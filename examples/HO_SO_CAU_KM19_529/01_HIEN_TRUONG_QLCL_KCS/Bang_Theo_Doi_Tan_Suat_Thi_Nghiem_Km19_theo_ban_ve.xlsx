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comments/comment3.xml" ContentType="application/vnd.openxmlformats-officedocument.spreadsheetml.comments+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820" windowHeight="15500" tabRatio="600" firstSheet="1" activeTab="2" autoFilterDateGrouping="1"/>
  </bookViews>
  <sheets>
    <sheet xmlns:r="http://schemas.openxmlformats.org/officeDocument/2006/relationships" name="Danh mục công việc" sheetId="1" state="hidden" r:id="rId1"/>
    <sheet xmlns:r="http://schemas.openxmlformats.org/officeDocument/2006/relationships" name="Theo_Doi_Tan_Suat_Be_Tong" sheetId="2" state="visible" r:id="rId2"/>
    <sheet xmlns:r="http://schemas.openxmlformats.org/officeDocument/2006/relationships" name="Theo_Doi_Tan_Suat_Cot_Thep" sheetId="3" state="visible" r:id="rId3"/>
    <sheet xmlns:r="http://schemas.openxmlformats.org/officeDocument/2006/relationships" name="Tong_Hop_Tan_Suat_Vat_Lieu" sheetId="4" state="visible" r:id="rId4"/>
    <sheet xmlns:r="http://schemas.openxmlformats.org/officeDocument/2006/relationships" name="DM" sheetId="5" state="visible" r:id="rId5"/>
    <sheet xmlns:r="http://schemas.openxmlformats.org/officeDocument/2006/relationships" name="BBLM" sheetId="6" state="visible" r:id="rId6"/>
    <sheet xmlns:r="http://schemas.openxmlformats.org/officeDocument/2006/relationships" name="TH_Thep_BQD_GLC" sheetId="7" state="visible" r:id="rId7"/>
    <sheet xmlns:r="http://schemas.openxmlformats.org/officeDocument/2006/relationships" name="Bang_Nhap_Thep" sheetId="8" state="visible" r:id="rId8"/>
    <sheet xmlns:r="http://schemas.openxmlformats.org/officeDocument/2006/relationships" name="Bang_Nhap_Thep PA1" sheetId="9" state="visible" r:id="rId9"/>
    <sheet xmlns:r="http://schemas.openxmlformats.org/officeDocument/2006/relationships" name="Bang_Nhap_Thep PA4" sheetId="10" state="visible" r:id="rId10"/>
    <sheet xmlns:r="http://schemas.openxmlformats.org/officeDocument/2006/relationships" name="NGHI_VAN" sheetId="11" state="visible" r:id="rId11"/>
  </sheets>
  <definedNames>
    <definedName name="_Order1" hidden="1">255</definedName>
    <definedName name="_Order2" hidden="1">255</definedName>
    <definedName name="_xlnm.Criteria" hidden="1">{"'Sheet1'!$A$4:$M$21","'Sheet1'!$J$17:$K$19"}</definedName>
    <definedName name="df" hidden="1">{"'Sheet1'!$L$16"}</definedName>
    <definedName name="DOCSO">_xlfn.LAMBDA(_xlpm.target_num,_xlop.unit_text,_xlfn.LET(_xlpm.u_name, IF(_xlfn.ISOMITTED(_xlpm.unit_text), " đồng", _xlpm.unit_text),_xlpm.clean_num, ROUND(ABS(_xlpm.target_num), 0),_xlpm.digits_arr, {"không","một","hai","ba","bốn","năm","sáu","bảy","tám","chín"},_xlpm.fn_read_triplet, _xlfn.LAMBDA(_xlpm.triplet_str,_xlpm.flag_full,_xlfn.LET(_xlpm.d_hundred, VALUE(MID(_xlpm.triplet_str, 1, 1)),_xlpm.d_ten, VALUE(MID(_xlpm.triplet_str, 2, 1)),_xlpm.d_unit, VALUE(MID(_xlpm.triplet_str, 3, 1)),_xlpm.s_hundred, IF(_xlpm.d_hundred &gt; 0, INDEX(_xlpm.digits_arr, _xlpm.d_hundred + 1) &amp; " trăm", IF(_xlpm.flag_full, "không trăm", "")),_xlpm.s_ten, IF(_xlpm.d_ten = 0, IF(AND(_xlpm.d_unit &gt; 0, _xlpm.s_hundred &lt;&gt; ""), "lẻ", ""), IF(_xlpm.d_ten = 1, "mười", INDEX(_xlpm.digits_arr, _xlpm.d_ten + 1) &amp; " mươi")),_xlpm.s_unit, IF(_xlpm.d_unit = 0, "", IF(AND(_xlpm.d_unit = 1, _xlpm.d_ten &gt; 1), "mốt", IF(AND(_xlpm.d_unit = 5, _xlpm.d_ten &gt; 0), "lăm", IF(AND(_xlpm.d_unit = 4, _xlpm.d_ten &gt; 1), "tư", INDEX(_xlpm.digits_arr, _xlpm.d_unit + 1))))),TRIM(_xlpm.s_hundred &amp; " " &amp; _xlpm.s_ten &amp; " " &amp; _xlpm.s_unit))),_xlpm.padded_str, TEXT(_xlpm.clean_num, "000000000000000"),_xlpm.blk_5, MID(_xlpm.padded_str, 1, 3), _xlpm.num_5, VALUE(_xlpm.blk_5),_xlpm.blk_4, MID(_xlpm.padded_str, 4, 3), _xlpm.num_4, VALUE(_xlpm.blk_4),_xlpm.blk_3, MID(_xlpm.padded_str, 7, 3), _xlpm.num_3, VALUE(_xlpm.blk_3),_xlpm.blk_2, MID(_xlpm.padded_str, 10, 3), _xlpm.num_2, VALUE(_xlpm.blk_2),_xlpm.blk_1, MID(_xlpm.padded_str, 13, 3), _xlpm.num_1, VALUE(_xlpm.blk_1),_xlpm.flg_4, _xlpm.num_5 &gt; 0,_xlpm.flg_3, (_xlpm.num_5 + _xlpm.num_4) &gt; 0,_xlpm.flg_2, (_xlpm.num_5 + _xlpm.num_4 + _xlpm.num_3) &gt; 0,_xlpm.flg_1, (_xlpm.num_5 + _xlpm.num_4 + _xlpm.num_3 + _xlpm.num_2) &gt; 0,_xlpm.txt_5, IF(_xlpm.num_5 &gt; 0, _xlpm.fn_read_triplet(_xlpm.blk_5, FALSE) &amp; " nghìn tỷ", ""),_xlpm.txt_4, IF(_xlpm.num_4 &gt; 0, _xlpm.fn_read_triplet(_xlpm.blk_4, _xlpm.flg_4) &amp; " tỷ", IF(_xlpm.num_5 &gt; 0, "tỷ", "")),_xlpm.txt_3, IF(_xlpm.num_3 &gt; 0, _xlpm.fn_read_triplet(_xlpm.blk_3, _xlpm.flg_3) &amp; " triệu", ""),_xlpm.txt_2, IF(_xlpm.num_2 &gt; 0, _xlpm.fn_read_triplet(_xlpm.blk_2, _xlpm.flg_2) &amp; " nghìn", ""),_xlpm.txt_1, IF(_xlpm.num_1 &gt; 0, _xlpm.fn_read_triplet(_xlpm.blk_1, _xlpm.flg_1), ""),_xlpm.full_body, TRIM(_xlpm.txt_5 &amp; " " &amp; _xlpm.txt_4 &amp; " " &amp; _xlpm.txt_3 &amp; " " &amp; _xlpm.txt_2 &amp; " " &amp; _xlpm.txt_1),_xlpm.base_text, IF(_xlpm.clean_num = 0, "không", _xlpm.full_body),_xlpm.signed_text, IF(_xlpm.target_num &lt; 0, "âm " &amp; _xlpm.base_text, _xlpm.base_text),_xlpm.cap_text, UPPER(LEFT(_xlpm.signed_text, 1)) &amp; MID(_xlpm.signed_text, 2, LEN(_xlpm.signed_text)),_xlpm.cap_text &amp; _xlpm.u_name))</definedName>
    <definedName name="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_xlnm._FilterDatabase" localSheetId="0" hidden="1">'Danh mục công việc'!$J$8:$AX$1290</definedName>
    <definedName name="_xlnm._FilterDatabase" localSheetId="2" hidden="1">'Theo_Doi_Tan_Suat_Cot_Thep'!$A$2:$AL$832</definedName>
    <definedName name="df" localSheetId="4" hidden="1">{"'Sheet1'!$L$16"}</definedName>
    <definedName name="h" localSheetId="4" hidden="1">{"'Sheet1'!$L$16"}</definedName>
    <definedName name="HTML_Control" localSheetId="4" hidden="1">{"'Sheet1'!$L$16"}</definedName>
    <definedName name="huy" localSheetId="4" hidden="1">{"'Sheet1'!$L$16"}</definedName>
    <definedName name="_xlnm.Print_Titles" localSheetId="4">'DM'!$13:$13</definedName>
    <definedName name="_xlnm.Print_Area" localSheetId="4">'DM'!$A$1:$J$39</definedName>
    <definedName name="_xlnm.Print_Area" localSheetId="5">'BBLM'!$B$2:$K$77</definedName>
    <definedName name="_xlnm._FilterDatabase" localSheetId="6" hidden="1">'TH_Thep_BQD_GLC'!$A$4:$N$54</definedName>
  </definedNames>
  <calcPr calcId="191029" fullCalcOnLoad="1"/>
</workbook>
</file>

<file path=xl/styles.xml><?xml version="1.0" encoding="utf-8"?>
<styleSheet xmlns="http://schemas.openxmlformats.org/spreadsheetml/2006/main">
  <numFmts count="15">
    <numFmt numFmtId="164" formatCode="0.000"/>
    <numFmt numFmtId="165" formatCode="#,##0.000"/>
    <numFmt numFmtId="166" formatCode="0.0"/>
    <numFmt numFmtId="167" formatCode="&quot;[&quot;#&quot;]&quot;"/>
    <numFmt numFmtId="168" formatCode="_-* #,##0.00_-;\-* #,##0.00_-;_-* &quot;-&quot;??_-;_-@_-"/>
    <numFmt numFmtId="169" formatCode="_-* #,##0_-;\-* #,##0_-;_-* &quot;-&quot;_-;_-@_-"/>
    <numFmt numFmtId="170" formatCode="_-&quot;$&quot;* #,##0.00_-;\-&quot;$&quot;* #,##0.00_-;_-&quot;$&quot;* &quot;-&quot;??_-;_-@_-"/>
    <numFmt numFmtId="171" formatCode="_-&quot;$&quot;* #,##0_-;\-&quot;$&quot;* #,##0_-;_-&quot;$&quot;* &quot;-&quot;_-;_-@_-"/>
    <numFmt numFmtId="172" formatCode="&quot;CH/2x(3x3)/&quot;0"/>
    <numFmt numFmtId="173" formatCode="[$-1010000]d/m/yyyy;@"/>
    <numFmt numFmtId="174" formatCode="hh:mm"/>
    <numFmt numFmtId="175" formatCode="hh&quot;h&quot;mm\,"/>
    <numFmt numFmtId="176" formatCode="&quot;ngày &quot;dd&quot; tháng &quot;mm\ &quot;năm &quot;yyyy\."/>
    <numFmt numFmtId="177" formatCode="m/d/yyyy"/>
    <numFmt numFmtId="178" formatCode="&quot;Tuyên Quang, Ngày &quot;dd&quot; tháng &quot;mm\ &quot;năm &quot;yyyy\."/>
  </numFmts>
  <fonts count="84">
    <font>
      <name val="Arial"/>
      <family val="2"/>
      <color theme="1"/>
      <sz val="11"/>
      <scheme val="minor"/>
    </font>
    <font>
      <name val="Arial"/>
      <charset val="163"/>
      <family val="2"/>
      <color theme="1"/>
      <sz val="11"/>
      <scheme val="minor"/>
    </font>
    <font>
      <name val="Arial"/>
      <family val="2"/>
      <b val="1"/>
      <sz val="9"/>
    </font>
    <font>
      <name val="Arial"/>
      <family val="2"/>
      <b val="1"/>
      <color rgb="FFC00000"/>
      <sz val="9"/>
    </font>
    <font>
      <name val="Arial"/>
      <family val="2"/>
      <b val="1"/>
      <color rgb="FF0070C0"/>
      <sz val="9"/>
    </font>
    <font>
      <name val="Arial"/>
      <family val="2"/>
      <b val="1"/>
      <color rgb="FF1B365D"/>
      <sz val="9.5"/>
    </font>
    <font>
      <name val="Arial"/>
      <family val="2"/>
      <sz val="8.5"/>
    </font>
    <font>
      <name val="Arial"/>
      <family val="2"/>
      <b val="1"/>
      <color rgb="FFC00000"/>
      <sz val="8.5"/>
    </font>
    <font>
      <name val="Arial"/>
      <family val="2"/>
      <b val="1"/>
      <color rgb="FF008000"/>
      <sz val="8.5"/>
    </font>
    <font>
      <name val="Arial"/>
      <family val="2"/>
      <b val="1"/>
      <color rgb="FF1B365D"/>
      <sz val="10"/>
    </font>
    <font>
      <name val="Arial"/>
      <family val="2"/>
      <b val="1"/>
      <color rgb="FF203764"/>
      <sz val="9"/>
    </font>
    <font>
      <name val="Arial"/>
      <family val="2"/>
      <b val="1"/>
      <sz val="8.5"/>
    </font>
    <font>
      <name val="Arial"/>
      <family val="2"/>
      <b val="1"/>
      <color rgb="FF1B365D"/>
      <sz val="13"/>
    </font>
    <font>
      <name val="Arial"/>
      <family val="2"/>
      <i val="1"/>
      <color rgb="FF595959"/>
      <sz val="9.5"/>
    </font>
    <font>
      <name val="Calibri"/>
      <family val="2"/>
      <color theme="1"/>
      <sz val="11"/>
    </font>
    <font>
      <name val="Times New Roman"/>
      <family val="1"/>
      <color theme="1"/>
      <sz val="11"/>
      <scheme val="major"/>
    </font>
    <font>
      <name val="Times New Roman"/>
      <family val="1"/>
      <b val="1"/>
      <color rgb="FF1C77FC"/>
      <sz val="15"/>
      <scheme val="major"/>
    </font>
    <font>
      <name val="Times New Roman"/>
      <family val="1"/>
      <b val="1"/>
      <color rgb="FF0000FF"/>
      <sz val="11"/>
      <scheme val="major"/>
    </font>
    <font>
      <name val="Times New Roman"/>
      <family val="1"/>
      <color rgb="FF0000FF"/>
      <sz val="11"/>
      <scheme val="major"/>
    </font>
    <font>
      <name val="Times New Roman"/>
      <family val="1"/>
      <color theme="9" tint="-0.499984740745262"/>
      <sz val="10"/>
      <scheme val="major"/>
    </font>
    <font>
      <name val="Times New Roman"/>
      <family val="1"/>
      <b val="1"/>
      <color theme="9" tint="-0.499984740745262"/>
      <sz val="10"/>
      <scheme val="major"/>
    </font>
    <font>
      <name val="Times New Roman"/>
      <family val="1"/>
      <b val="1"/>
      <color rgb="FF00589A"/>
      <sz val="9"/>
      <scheme val="major"/>
    </font>
    <font>
      <name val="Times New Roman"/>
      <family val="1"/>
      <b val="1"/>
      <color theme="0"/>
      <sz val="9"/>
      <scheme val="major"/>
    </font>
    <font>
      <name val="Times New Roman"/>
      <family val="1"/>
      <b val="1"/>
      <color rgb="FFFFEEBD"/>
      <sz val="9"/>
      <scheme val="major"/>
    </font>
    <font>
      <name val="Times New Roman"/>
      <family val="1"/>
      <b val="1"/>
      <color rgb="FF004A82"/>
      <sz val="9"/>
      <scheme val="major"/>
    </font>
    <font>
      <name val="Times New Roman"/>
      <family val="1"/>
      <color rgb="FF00589A"/>
      <sz val="9"/>
      <scheme val="major"/>
    </font>
    <font>
      <name val="Times New Roman"/>
      <family val="1"/>
      <color theme="0"/>
      <sz val="9"/>
      <scheme val="major"/>
    </font>
    <font>
      <name val="Times New Roman"/>
      <family val="1"/>
      <color rgb="FFFFEEBD"/>
      <sz val="9"/>
      <scheme val="major"/>
    </font>
    <font>
      <name val="Times New Roman"/>
      <family val="1"/>
      <color rgb="FF0000FF"/>
      <sz val="9"/>
      <scheme val="major"/>
    </font>
    <font>
      <name val="Times New Roman"/>
      <family val="1"/>
      <b val="1"/>
      <color rgb="FF41415F"/>
      <sz val="11"/>
      <scheme val="major"/>
    </font>
    <font>
      <name val="Times New Roman"/>
      <family val="1"/>
      <color rgb="FF0066FF"/>
      <sz val="11"/>
      <scheme val="major"/>
    </font>
    <font>
      <name val="Times New Roman"/>
      <family val="1"/>
      <color rgb="FF005000"/>
      <sz val="11"/>
      <scheme val="major"/>
    </font>
    <font>
      <name val="Times New Roman"/>
      <family val="1"/>
      <color rgb="FF000000"/>
      <sz val="11"/>
      <scheme val="major"/>
    </font>
    <font>
      <name val="Times New Roman"/>
      <family val="1"/>
      <color rgb="FF800000"/>
      <sz val="11"/>
      <scheme val="major"/>
    </font>
    <font>
      <name val="Times New Roman"/>
      <family val="1"/>
      <b val="1"/>
      <color rgb="FF007B80"/>
      <sz val="11"/>
      <scheme val="major"/>
    </font>
    <font>
      <name val="Times New Roman"/>
      <family val="1"/>
      <b val="1"/>
      <color rgb="FFFF2F2F"/>
      <sz val="10"/>
      <scheme val="major"/>
    </font>
    <font>
      <name val="Tahoma"/>
      <family val="2"/>
      <color indexed="81"/>
      <sz val="9"/>
    </font>
    <font>
      <name val="Tahoma"/>
      <family val="2"/>
      <b val="1"/>
      <color indexed="81"/>
      <sz val="9"/>
    </font>
    <font>
      <name val="Arial"/>
      <family val="2"/>
      <color theme="1"/>
      <sz val="11"/>
      <scheme val="minor"/>
    </font>
    <font>
      <name val="Times New Roman"/>
      <family val="1"/>
      <b val="1"/>
      <color theme="1"/>
      <sz val="11"/>
    </font>
    <font>
      <name val="Times New Roman"/>
      <family val="1"/>
      <color theme="1"/>
      <sz val="11"/>
    </font>
    <font>
      <name val="Times New Roman"/>
      <family val="1"/>
      <b val="1"/>
      <color theme="1"/>
      <sz val="11"/>
      <u val="single"/>
    </font>
    <font>
      <name val="Times New Roman"/>
      <family val="1"/>
      <b val="1"/>
      <color theme="1"/>
      <sz val="12"/>
      <u val="single"/>
    </font>
    <font>
      <name val="Times New Roman"/>
      <family val="1"/>
      <b val="1"/>
      <color theme="1"/>
      <sz val="12"/>
    </font>
    <font>
      <name val="Times New Roman"/>
      <family val="1"/>
      <color theme="1"/>
      <sz val="12"/>
    </font>
    <font>
      <name val="Times New Roman"/>
      <family val="1"/>
      <b val="1"/>
      <color theme="1"/>
      <sz val="14"/>
    </font>
    <font>
      <name val="Times New Roman"/>
      <family val="1"/>
      <color theme="1"/>
      <sz val="14"/>
    </font>
    <font>
      <name val="Times New Roman"/>
      <family val="1"/>
      <sz val="12"/>
    </font>
    <font>
      <name val="Times New Roman"/>
      <family val="1"/>
      <color rgb="FFC00000"/>
      <sz val="11"/>
    </font>
    <font>
      <name val="Times New Roman"/>
      <family val="2"/>
      <color theme="1"/>
      <sz val="12"/>
    </font>
    <font>
      <name val="Times New Roman"/>
      <family val="1"/>
      <b val="1"/>
      <sz val="11"/>
    </font>
    <font>
      <name val="Times New Roman"/>
      <family val="1"/>
      <sz val="11"/>
    </font>
    <font>
      <name val="Times New Roman"/>
      <family val="1"/>
      <b val="1"/>
      <sz val="12"/>
    </font>
    <font>
      <name val="Times New Roman"/>
      <family val="1"/>
      <b val="1"/>
      <sz val="13"/>
    </font>
    <font>
      <name val="Times New Roman"/>
      <family val="1"/>
      <i val="1"/>
      <sz val="13"/>
    </font>
    <font>
      <name val="Times New Roman"/>
      <family val="1"/>
      <b val="1"/>
      <sz val="14"/>
    </font>
    <font>
      <name val="Times New Roman"/>
      <family val="1"/>
      <sz val="13"/>
    </font>
    <font>
      <name val="Times New Roman"/>
      <family val="1"/>
      <b val="1"/>
      <color rgb="FF0000FF"/>
      <sz val="13"/>
    </font>
    <font>
      <name val="Times New Roman"/>
      <family val="1"/>
      <b val="1"/>
      <color rgb="FF000000"/>
      <sz val="13"/>
    </font>
    <font>
      <name val="Times New Roman"/>
      <family val="1"/>
      <color rgb="FF0000FF"/>
      <sz val="12"/>
    </font>
    <font>
      <name val="Times New Roman"/>
      <family val="1"/>
      <b val="1"/>
      <color rgb="FF000000"/>
      <sz val="12"/>
    </font>
    <font>
      <name val="Times New Roman"/>
      <family val="1"/>
      <b val="1"/>
      <color rgb="FF000000"/>
      <sz val="11"/>
    </font>
    <font>
      <name val="Times New Roman"/>
      <family val="1"/>
      <b val="1"/>
      <color rgb="FF0000FF"/>
      <sz val="12"/>
    </font>
    <font>
      <name val="Times New Roman"/>
      <family val="1"/>
      <b val="1"/>
      <color rgb="FF000000"/>
      <sz val="14"/>
    </font>
    <font>
      <name val="Arial"/>
      <family val="2"/>
      <b val="1"/>
      <color theme="1"/>
      <sz val="9"/>
      <scheme val="minor"/>
    </font>
    <font>
      <name val="Arial"/>
      <family val="2"/>
      <color theme="1"/>
      <sz val="9"/>
      <scheme val="minor"/>
    </font>
    <font>
      <name val="Arial"/>
      <family val="2"/>
      <color rgb="FF0000FF"/>
      <sz val="9"/>
      <scheme val="minor"/>
    </font>
    <font>
      <name val="Arial"/>
      <family val="2"/>
      <i val="1"/>
      <color rgb="FF808080"/>
      <sz val="8"/>
      <scheme val="minor"/>
    </font>
    <font>
      <name val="Arial"/>
      <family val="2"/>
      <b val="1"/>
      <color rgb="FF1B365D"/>
      <sz val="13"/>
      <scheme val="minor"/>
    </font>
    <font>
      <name val="Arial"/>
      <family val="2"/>
      <i val="1"/>
      <color rgb="FF808080"/>
      <sz val="9"/>
      <scheme val="minor"/>
    </font>
    <font>
      <name val="Arial"/>
      <family val="2"/>
      <b val="1"/>
      <color rgb="FF203764"/>
      <sz val="10"/>
      <scheme val="minor"/>
    </font>
    <font>
      <name val="Arial"/>
      <family val="2"/>
      <color theme="1"/>
      <sz val="9"/>
      <scheme val="minor"/>
    </font>
    <font>
      <name val="Arial"/>
      <family val="2"/>
      <b val="1"/>
      <color theme="1"/>
      <sz val="9"/>
      <scheme val="minor"/>
    </font>
    <font>
      <name val="Arial"/>
      <family val="2"/>
      <b val="1"/>
      <color rgb="FF203764"/>
      <sz val="9"/>
      <scheme val="minor"/>
    </font>
    <font>
      <name val="Arial"/>
      <family val="2"/>
      <sz val="8"/>
      <scheme val="minor"/>
    </font>
    <font>
      <name val="Arial"/>
      <family val="2"/>
      <b val="1"/>
      <color rgb="FF0000FF"/>
      <sz val="9"/>
      <scheme val="minor"/>
    </font>
    <font>
      <name val="Times New Roman"/>
      <family val="1"/>
      <b val="1"/>
      <color rgb="FF1B365D"/>
      <sz val="12"/>
      <scheme val="major"/>
    </font>
    <font>
      <name val="Times New Roman"/>
      <family val="1"/>
      <color theme="1"/>
      <sz val="12"/>
      <scheme val="major"/>
    </font>
    <font>
      <name val="Times New Roman"/>
      <family val="1"/>
      <b val="1"/>
      <color theme="1"/>
      <sz val="12"/>
      <scheme val="major"/>
    </font>
    <font>
      <name val="Times New Roman"/>
      <family val="1"/>
      <b val="1"/>
      <color rgb="FF0000FF"/>
      <sz val="12"/>
      <scheme val="major"/>
    </font>
    <font>
      <name val="Times New Roman"/>
      <family val="1"/>
      <b val="1"/>
      <color theme="1"/>
      <sz val="11"/>
      <scheme val="major"/>
    </font>
    <font>
      <b val="1"/>
    </font>
    <font>
      <b val="1"/>
      <sz val="12"/>
    </font>
    <font>
      <b val="1"/>
      <color rgb="00FFFFFF"/>
    </font>
  </fonts>
  <fills count="18">
    <fill>
      <patternFill/>
    </fill>
    <fill>
      <patternFill patternType="gray125"/>
    </fill>
    <fill>
      <patternFill patternType="solid">
        <fgColor rgb="FFF2F2F2"/>
      </patternFill>
    </fill>
    <fill>
      <patternFill patternType="solid">
        <fgColor rgb="FFD9E1F2"/>
      </patternFill>
    </fill>
    <fill>
      <patternFill patternType="solid">
        <fgColor rgb="FFFFF2CC"/>
      </patternFill>
    </fill>
    <fill>
      <patternFill patternType="solid">
        <fgColor rgb="FFEDF2F8"/>
      </patternFill>
    </fill>
    <fill>
      <patternFill patternType="solid">
        <fgColor rgb="FF5292BA"/>
        <bgColor indexed="64"/>
      </patternFill>
    </fill>
    <fill>
      <patternFill patternType="solid">
        <fgColor rgb="FF5C84CC"/>
        <bgColor indexed="64"/>
      </patternFill>
    </fill>
    <fill>
      <patternFill patternType="solid">
        <fgColor rgb="FFFFFFF3"/>
        <bgColor indexed="64"/>
      </patternFill>
    </fill>
    <fill>
      <patternFill patternType="solid">
        <fgColor theme="0"/>
        <bgColor indexed="64"/>
      </patternFill>
    </fill>
    <fill>
      <patternFill patternType="solid">
        <fgColor rgb="FFDEF4F6"/>
        <bgColor indexed="64"/>
      </patternFill>
    </fill>
    <fill>
      <patternFill patternType="solid">
        <fgColor rgb="FFF2F2F2"/>
        <bgColor indexed="64"/>
      </patternFill>
    </fill>
    <fill>
      <patternFill patternType="solid">
        <fgColor rgb="FFFFFF00"/>
        <bgColor indexed="64"/>
      </patternFill>
    </fill>
    <fill>
      <patternFill patternType="solid">
        <fgColor rgb="FFFFF2CC"/>
        <bgColor indexed="64"/>
      </patternFill>
    </fill>
    <fill>
      <patternFill patternType="solid">
        <fgColor rgb="FFD9E1F2"/>
        <bgColor indexed="64"/>
      </patternFill>
    </fill>
    <fill>
      <patternFill patternType="solid">
        <fgColor rgb="00FFF2CC"/>
      </patternFill>
    </fill>
    <fill>
      <patternFill patternType="solid">
        <fgColor rgb="00F8CBAD"/>
      </patternFill>
    </fill>
    <fill>
      <patternFill patternType="solid">
        <fgColor rgb="001F497D"/>
      </patternFill>
    </fill>
  </fills>
  <borders count="50">
    <border>
      <left/>
      <right/>
      <top/>
      <bottom/>
      <diagonal/>
    </border>
    <border>
      <left style="thin">
        <color rgb="FFBFBFBF"/>
      </left>
      <right style="thin">
        <color rgb="FFBFBFBF"/>
      </right>
      <top style="thin">
        <color rgb="FFBFBFBF"/>
      </top>
      <bottom style="thin">
        <color rgb="FFBFBFBF"/>
      </bottom>
      <diagonal/>
    </border>
    <border>
      <left style="thin">
        <color rgb="FF84A2D8"/>
      </left>
      <right style="thin">
        <color rgb="FF84A2D8"/>
      </right>
      <top style="thin">
        <color rgb="FF84A2D8"/>
      </top>
      <bottom style="thin">
        <color rgb="FF84A2D8"/>
      </bottom>
      <diagonal/>
    </border>
    <border>
      <left style="thin">
        <color rgb="FF84A2D8"/>
      </left>
      <right style="thin">
        <color rgb="FF84A2D8"/>
      </right>
      <top/>
      <bottom/>
      <diagonal/>
    </border>
    <border>
      <left style="thin">
        <color rgb="FF84A2D8"/>
      </left>
      <right style="thin">
        <color rgb="FF84A2D8"/>
      </right>
      <top style="thin">
        <color rgb="FF84A2D8"/>
      </top>
      <bottom style="hair">
        <color rgb="FF84A2D8"/>
      </bottom>
      <diagonal/>
    </border>
    <border>
      <left style="thin">
        <color rgb="FF84A2D8"/>
      </left>
      <right style="thin">
        <color rgb="FF84A2D8"/>
      </right>
      <top style="hair">
        <color rgb="FF84A2D8"/>
      </top>
      <bottom style="hair">
        <color rgb="FF84A2D8"/>
      </bottom>
      <diagonal/>
    </border>
    <border>
      <left style="thin">
        <color rgb="FF84A2D8"/>
      </left>
      <right style="thin">
        <color rgb="FF84A2D8"/>
      </right>
      <top style="hair">
        <color rgb="FF84A2D8"/>
      </top>
      <bottom style="thin">
        <color rgb="FF84A2D8"/>
      </bottom>
      <diagonal/>
    </border>
    <border>
      <left style="thin">
        <color indexed="64"/>
      </left>
      <right style="thin">
        <color indexed="64"/>
      </right>
      <top style="thin">
        <color indexed="64"/>
      </top>
      <bottom style="thin">
        <color indexed="64"/>
      </bottom>
      <diagonal/>
    </border>
    <border>
      <left style="thin">
        <color rgb="FF84A2D8"/>
      </left>
      <right style="thin">
        <color rgb="FF84A2D8"/>
      </right>
      <top style="thin">
        <color rgb="FF84A2D8"/>
      </top>
      <bottom/>
      <diagonal/>
    </border>
    <border>
      <left style="thin">
        <color rgb="FF84A2D8"/>
      </left>
      <right style="thin">
        <color rgb="FF84A2D8"/>
      </right>
      <top style="hair">
        <color rgb="FF84A2D8"/>
      </top>
      <bottom/>
      <diagonal/>
    </border>
    <border>
      <left style="thin">
        <color rgb="FF84A2D8"/>
      </left>
      <right style="thin">
        <color rgb="FF84A2D8"/>
      </right>
      <top/>
      <bottom style="hair">
        <color rgb="FF84A2D8"/>
      </bottom>
      <diagonal/>
    </border>
    <border>
      <left style="thin">
        <color indexed="64"/>
      </left>
      <right style="thin">
        <color indexed="64"/>
      </right>
      <top style="thin">
        <color indexed="64"/>
      </top>
      <bottom/>
      <diagonal/>
    </border>
    <border>
      <left style="thin">
        <color rgb="FF84A2D8"/>
      </left>
      <right style="thin">
        <color rgb="FF84A2D8"/>
      </right>
      <top style="hair">
        <color indexed="64"/>
      </top>
      <bottom style="hair">
        <color auto="1"/>
      </bottom>
      <diagonal/>
    </border>
    <border>
      <left style="thin">
        <color indexed="64"/>
      </left>
      <right style="thin">
        <color indexed="64"/>
      </right>
      <top/>
      <bottom style="thin">
        <color indexed="64"/>
      </bottom>
      <diagonal/>
    </border>
    <border>
      <left style="thin">
        <color rgb="FF84A2D8"/>
      </left>
      <right style="thin">
        <color rgb="FF84A2D8"/>
      </right>
      <top style="hair">
        <color indexed="64"/>
      </top>
      <bottom/>
      <diagonal/>
    </border>
    <border>
      <left style="thin">
        <color rgb="FF84A2D8"/>
      </left>
      <right style="thin">
        <color rgb="FF84A2D8"/>
      </right>
      <top style="hair">
        <color indexed="64"/>
      </top>
      <bottom style="thin">
        <color indexed="64"/>
      </bottom>
      <diagonal/>
    </border>
    <border>
      <left style="thin">
        <color indexed="64"/>
      </left>
      <right style="thin">
        <color indexed="64"/>
      </right>
      <top/>
      <bottom/>
      <diagonal/>
    </border>
    <border>
      <left style="thin">
        <color rgb="FF84A2D8"/>
      </left>
      <right style="thin">
        <color rgb="FF84A2D8"/>
      </right>
      <top style="hair">
        <color auto="1"/>
      </top>
      <bottom style="hair">
        <color rgb="FF84A2D8"/>
      </bottom>
      <diagonal/>
    </border>
    <border>
      <left style="thin">
        <color rgb="FF84A2D8"/>
      </left>
      <right style="thin">
        <color rgb="FF84A2D8"/>
      </right>
      <top style="thin">
        <color indexed="64"/>
      </top>
      <bottom style="thin">
        <color indexed="64"/>
      </bottom>
      <diagonal/>
    </border>
    <border>
      <left style="thin">
        <color rgb="FF84A2D8"/>
      </left>
      <right style="thin">
        <color rgb="FF84A2D8"/>
      </right>
      <top/>
      <bottom style="thin">
        <color rgb="FF84A2D8"/>
      </bottom>
      <diagonal/>
    </border>
    <border>
      <left style="thin">
        <color rgb="FF84A2D8"/>
      </left>
      <right/>
      <top style="hair">
        <color rgb="FF84A2D8"/>
      </top>
      <bottom/>
      <diagonal/>
    </border>
    <border>
      <left/>
      <right/>
      <top style="hair">
        <color rgb="FF84A2D8"/>
      </top>
      <bottom/>
      <diagonal/>
    </border>
    <border>
      <left/>
      <right style="thin">
        <color rgb="FF84A2D8"/>
      </right>
      <top style="hair">
        <color rgb="FF84A2D8"/>
      </top>
      <bottom/>
      <diagonal/>
    </border>
    <border>
      <left style="thin">
        <color rgb="FF84A2D8"/>
      </left>
      <right/>
      <top style="hair">
        <color rgb="FF84A2D8"/>
      </top>
      <bottom style="hair">
        <color rgb="FF84A2D8"/>
      </bottom>
      <diagonal/>
    </border>
    <border>
      <left/>
      <right/>
      <top style="hair">
        <color rgb="FF84A2D8"/>
      </top>
      <bottom style="hair">
        <color rgb="FF84A2D8"/>
      </bottom>
      <diagonal/>
    </border>
    <border>
      <left/>
      <right style="thin">
        <color rgb="FF84A2D8"/>
      </right>
      <top style="hair">
        <color rgb="FF84A2D8"/>
      </top>
      <bottom style="hair">
        <color rgb="FF84A2D8"/>
      </bottom>
      <diagonal/>
    </border>
    <border>
      <left style="thin">
        <color rgb="FF84A2D8"/>
      </left>
      <right style="thin">
        <color rgb="FF84A2D8"/>
      </right>
      <top style="hair">
        <color rgb="FF84A2D8"/>
      </top>
      <bottom style="hair">
        <color indexed="64"/>
      </bottom>
      <diagonal/>
    </border>
    <border>
      <left style="thin">
        <color rgb="FF84A2D8"/>
      </left>
      <right/>
      <top style="hair">
        <color rgb="FF84A2D8"/>
      </top>
      <bottom style="hair">
        <color indexed="64"/>
      </bottom>
      <diagonal/>
    </border>
    <border>
      <left/>
      <right/>
      <top style="hair">
        <color rgb="FF84A2D8"/>
      </top>
      <bottom style="hair">
        <color indexed="64"/>
      </bottom>
      <diagonal/>
    </border>
    <border>
      <left/>
      <right style="thin">
        <color rgb="FF84A2D8"/>
      </right>
      <top style="hair">
        <color rgb="FF84A2D8"/>
      </top>
      <bottom style="hair">
        <color indexed="64"/>
      </bottom>
      <diagonal/>
    </border>
    <border>
      <left style="thin">
        <color auto="1"/>
      </left>
      <right/>
      <top style="thin">
        <color auto="1"/>
      </top>
      <bottom style="thin">
        <color auto="1"/>
      </bottom>
      <diagonal/>
    </border>
    <border>
      <left/>
      <right/>
      <top/>
      <bottom style="thin">
        <color auto="1"/>
      </bottom>
      <diagonal/>
    </border>
    <border>
      <left/>
      <right style="thin">
        <color auto="1"/>
      </right>
      <top style="thin">
        <color auto="1"/>
      </top>
      <bottom style="thin">
        <color auto="1"/>
      </bottom>
      <diagonal/>
    </border>
    <border>
      <left/>
      <right/>
      <top style="thin">
        <color indexed="64"/>
      </top>
      <bottom style="thin">
        <color indexed="64"/>
      </bottom>
      <diagonal/>
    </border>
    <border>
      <left/>
      <right/>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style="thin">
        <color rgb="00999999"/>
      </left>
      <right style="thin">
        <color rgb="00999999"/>
      </right>
      <top style="thin">
        <color rgb="00999999"/>
      </top>
      <bottom style="thin">
        <color rgb="00999999"/>
      </bottom>
    </border>
  </borders>
  <cellStyleXfs count="12">
    <xf numFmtId="0" fontId="38" fillId="0" borderId="0"/>
    <xf numFmtId="0" fontId="14" fillId="0" borderId="0"/>
    <xf numFmtId="43" fontId="14" fillId="0" borderId="0"/>
    <xf numFmtId="41" fontId="14" fillId="0" borderId="0"/>
    <xf numFmtId="170" fontId="14" fillId="0" borderId="0"/>
    <xf numFmtId="171" fontId="14" fillId="0" borderId="0"/>
    <xf numFmtId="9" fontId="14" fillId="0" borderId="0"/>
    <xf numFmtId="0" fontId="1" fillId="0" borderId="0"/>
    <xf numFmtId="0" fontId="38" fillId="0" borderId="0"/>
    <xf numFmtId="0" fontId="49" fillId="0" borderId="0"/>
    <xf numFmtId="0" fontId="44" fillId="0" borderId="0"/>
    <xf numFmtId="0" fontId="38" fillId="0" borderId="0"/>
  </cellStyleXfs>
  <cellXfs count="749">
    <xf numFmtId="0" fontId="0" fillId="0" borderId="0" pivotButton="0" quotePrefix="0" xfId="0"/>
    <xf numFmtId="0" fontId="2" fillId="2" borderId="1" applyAlignment="1" pivotButton="0" quotePrefix="0" xfId="0">
      <alignment horizontal="center" vertical="center" wrapText="1"/>
    </xf>
    <xf numFmtId="0" fontId="3" fillId="2" borderId="1" applyAlignment="1" pivotButton="0" quotePrefix="0" xfId="0">
      <alignment horizontal="center" vertical="center" wrapText="1"/>
    </xf>
    <xf numFmtId="0" fontId="4"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14" fontId="6" fillId="0" borderId="1" applyAlignment="1" pivotButton="0" quotePrefix="0" xfId="0">
      <alignment horizontal="center" vertical="center" wrapText="1"/>
    </xf>
    <xf numFmtId="4" fontId="6" fillId="0" borderId="1" applyAlignment="1" pivotButton="0" quotePrefix="0" xfId="0">
      <alignment horizontal="right" vertical="center"/>
    </xf>
    <xf numFmtId="164"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0" fillId="4" borderId="1" pivotButton="0" quotePrefix="0" xfId="0"/>
    <xf numFmtId="4" fontId="2" fillId="4" borderId="1" applyAlignment="1" pivotButton="0" quotePrefix="0" xfId="0">
      <alignment horizontal="right" vertical="center"/>
    </xf>
    <xf numFmtId="0" fontId="11" fillId="0" borderId="1" applyAlignment="1" pivotButton="0" quotePrefix="0" xfId="0">
      <alignment horizontal="center" vertical="center" wrapText="1"/>
    </xf>
    <xf numFmtId="1" fontId="6" fillId="0" borderId="1" applyAlignment="1" pivotButton="0" quotePrefix="0" xfId="0">
      <alignment horizontal="center" vertical="center" wrapText="1"/>
    </xf>
    <xf numFmtId="165" fontId="6" fillId="0" borderId="1" applyAlignment="1" pivotButton="0" quotePrefix="0" xfId="0">
      <alignment horizontal="right" vertical="center"/>
    </xf>
    <xf numFmtId="3" fontId="6" fillId="0" borderId="1" applyAlignment="1" pivotButton="0" quotePrefix="0" xfId="0">
      <alignment horizontal="right" vertical="center"/>
    </xf>
    <xf numFmtId="164" fontId="6" fillId="0" borderId="1" applyAlignment="1" pivotButton="0" quotePrefix="0" xfId="0">
      <alignment horizontal="right" vertical="center"/>
    </xf>
    <xf numFmtId="165" fontId="11" fillId="0" borderId="1" applyAlignment="1" pivotButton="0" quotePrefix="0" xfId="0">
      <alignment horizontal="right" vertical="center"/>
    </xf>
    <xf numFmtId="0" fontId="3" fillId="0" borderId="1" applyAlignment="1" pivotButton="0" quotePrefix="0" xfId="0">
      <alignment horizontal="center" vertical="center" wrapText="1"/>
    </xf>
    <xf numFmtId="166" fontId="6" fillId="0" borderId="1" applyAlignment="1" pivotButton="0" quotePrefix="0" xfId="0">
      <alignment horizontal="center" vertical="center" wrapText="1"/>
    </xf>
    <xf numFmtId="165" fontId="2" fillId="4" borderId="1" applyAlignment="1" pivotButton="0" quotePrefix="0" xfId="0">
      <alignment horizontal="right" vertical="center"/>
    </xf>
    <xf numFmtId="0" fontId="0" fillId="4" borderId="1" applyAlignment="1" pivotButton="0" quotePrefix="0" xfId="0">
      <alignment horizontal="center" vertical="center" wrapText="1"/>
    </xf>
    <xf numFmtId="0" fontId="11" fillId="0" borderId="1" applyAlignment="1" pivotButton="0" quotePrefix="0" xfId="0">
      <alignment horizontal="left" vertical="center" wrapText="1"/>
    </xf>
    <xf numFmtId="0" fontId="11" fillId="0" borderId="1" applyAlignment="1" pivotButton="0" quotePrefix="0" xfId="0">
      <alignment horizontal="right" vertical="center"/>
    </xf>
    <xf numFmtId="3" fontId="11" fillId="0" borderId="1" applyAlignment="1" pivotButton="0" quotePrefix="0" xfId="0">
      <alignment horizontal="right" vertical="center"/>
    </xf>
    <xf numFmtId="4" fontId="11" fillId="0" borderId="1" applyAlignment="1" pivotButton="0" quotePrefix="0" xfId="0">
      <alignment horizontal="right" vertical="center"/>
    </xf>
    <xf numFmtId="167" fontId="15" fillId="0" borderId="0" applyAlignment="1" applyProtection="1" pivotButton="0" quotePrefix="0" xfId="1">
      <alignment horizontal="center" vertical="center"/>
      <protection locked="0" hidden="0"/>
    </xf>
    <xf numFmtId="0" fontId="15" fillId="0" borderId="0" applyAlignment="1" applyProtection="1" pivotButton="0" quotePrefix="0" xfId="1">
      <alignment horizontal="center" vertical="center"/>
      <protection locked="0" hidden="0"/>
    </xf>
    <xf numFmtId="0" fontId="15" fillId="0" borderId="0" applyAlignment="1" applyProtection="1" pivotButton="0" quotePrefix="0" xfId="1">
      <alignment vertical="center"/>
      <protection locked="0" hidden="0"/>
    </xf>
    <xf numFmtId="0" fontId="15" fillId="0" borderId="0" applyAlignment="1" applyProtection="1" pivotButton="0" quotePrefix="0" xfId="1">
      <alignment horizontal="left" vertical="center"/>
      <protection locked="0" hidden="0"/>
    </xf>
    <xf numFmtId="0" fontId="16" fillId="0" borderId="0" applyAlignment="1" applyProtection="1" pivotButton="0" quotePrefix="0" xfId="1">
      <alignment horizontal="left" vertical="center"/>
      <protection locked="0" hidden="0"/>
    </xf>
    <xf numFmtId="0" fontId="15" fillId="0" borderId="0" applyAlignment="1" applyProtection="1" pivotButton="0" quotePrefix="0" xfId="1">
      <alignment horizontal="center" vertical="center" wrapText="1"/>
      <protection locked="0" hidden="0"/>
    </xf>
    <xf numFmtId="0" fontId="17" fillId="0" borderId="0" applyAlignment="1" applyProtection="1" pivotButton="0" quotePrefix="0" xfId="1">
      <alignment horizontal="center" vertical="top"/>
      <protection locked="0" hidden="0"/>
    </xf>
    <xf numFmtId="0" fontId="17" fillId="0" borderId="0" applyAlignment="1" applyProtection="1" pivotButton="0" quotePrefix="0" xfId="1">
      <alignment vertical="top"/>
      <protection locked="0" hidden="0"/>
    </xf>
    <xf numFmtId="0" fontId="18" fillId="0" borderId="0" applyAlignment="1" applyProtection="1" pivotButton="0" quotePrefix="0" xfId="1">
      <alignment horizontal="left" vertical="top"/>
      <protection locked="0" hidden="0"/>
    </xf>
    <xf numFmtId="0" fontId="19" fillId="0" borderId="0" applyAlignment="1" applyProtection="1" pivotButton="0" quotePrefix="0" xfId="1">
      <alignment horizontal="center" vertical="top"/>
      <protection locked="0" hidden="0"/>
    </xf>
    <xf numFmtId="0" fontId="19" fillId="0" borderId="0" applyAlignment="1" applyProtection="1" pivotButton="0" quotePrefix="0" xfId="1">
      <alignment vertical="top"/>
      <protection locked="0" hidden="0"/>
    </xf>
    <xf numFmtId="0" fontId="20" fillId="0" borderId="0" applyAlignment="1" applyProtection="1" pivotButton="0" quotePrefix="0" xfId="1">
      <alignment horizontal="center" vertical="top"/>
      <protection locked="0" hidden="0"/>
    </xf>
    <xf numFmtId="0" fontId="19" fillId="0" borderId="0" applyAlignment="1" applyProtection="1" pivotButton="0" quotePrefix="0" xfId="1">
      <alignment vertical="top" wrapText="1"/>
      <protection locked="0" hidden="0"/>
    </xf>
    <xf numFmtId="0" fontId="19" fillId="0" borderId="0" applyAlignment="1" applyProtection="1" pivotButton="0" quotePrefix="0" xfId="1">
      <alignment horizontal="left" vertical="top" wrapText="1"/>
      <protection locked="0" hidden="0"/>
    </xf>
    <xf numFmtId="0" fontId="19" fillId="0" borderId="0" applyAlignment="1" applyProtection="1" pivotButton="0" quotePrefix="0" xfId="1">
      <alignment horizontal="center" vertical="top" wrapText="1"/>
      <protection locked="0" hidden="0"/>
    </xf>
    <xf numFmtId="0" fontId="21" fillId="0" borderId="2" applyAlignment="1" pivotButton="0" quotePrefix="0" xfId="1">
      <alignment horizontal="center" vertical="center"/>
    </xf>
    <xf numFmtId="0" fontId="21" fillId="0" borderId="0" applyAlignment="1" applyProtection="1" pivotButton="0" quotePrefix="0" xfId="1">
      <alignment horizontal="center" vertical="center" wrapText="1"/>
      <protection locked="0" hidden="0"/>
    </xf>
    <xf numFmtId="0" fontId="22" fillId="6" borderId="2" applyAlignment="1" applyProtection="1" pivotButton="0" quotePrefix="0" xfId="1">
      <alignment horizontal="center" vertical="center" wrapText="1"/>
      <protection locked="0" hidden="0"/>
    </xf>
    <xf numFmtId="49" fontId="22" fillId="6" borderId="2" applyAlignment="1" applyProtection="1" pivotButton="0" quotePrefix="0" xfId="1">
      <alignment horizontal="center" vertical="center" wrapText="1"/>
      <protection locked="0" hidden="0"/>
    </xf>
    <xf numFmtId="0" fontId="22" fillId="7" borderId="2" applyAlignment="1" applyProtection="1" pivotButton="0" quotePrefix="0" xfId="1">
      <alignment horizontal="center" vertical="center" wrapText="1"/>
      <protection locked="0" hidden="0"/>
    </xf>
    <xf numFmtId="0" fontId="23" fillId="6" borderId="2" applyAlignment="1" applyProtection="1" pivotButton="0" quotePrefix="0" xfId="1">
      <alignment horizontal="center" vertical="center" wrapText="1"/>
      <protection locked="0" hidden="0"/>
    </xf>
    <xf numFmtId="0" fontId="24" fillId="0" borderId="0" applyAlignment="1" applyProtection="1" pivotButton="0" quotePrefix="0" xfId="1">
      <alignment horizontal="center" vertical="center" wrapText="1"/>
      <protection locked="0" hidden="0"/>
    </xf>
    <xf numFmtId="167" fontId="25" fillId="0" borderId="2" applyAlignment="1" pivotButton="0" quotePrefix="0" xfId="1">
      <alignment horizontal="center" vertical="top"/>
    </xf>
    <xf numFmtId="0" fontId="25" fillId="0" borderId="0" applyAlignment="1" applyProtection="1" pivotButton="0" quotePrefix="0" xfId="1">
      <alignment horizontal="center" vertical="top" wrapText="1"/>
      <protection locked="0" hidden="0"/>
    </xf>
    <xf numFmtId="167" fontId="26" fillId="6" borderId="2" applyAlignment="1" applyProtection="1" pivotButton="0" quotePrefix="0" xfId="1">
      <alignment horizontal="center" vertical="top" wrapText="1"/>
      <protection locked="0" hidden="0"/>
    </xf>
    <xf numFmtId="167" fontId="26" fillId="7" borderId="2" applyAlignment="1" applyProtection="1" pivotButton="0" quotePrefix="0" xfId="1">
      <alignment horizontal="center" vertical="top" wrapText="1"/>
      <protection locked="0" hidden="0"/>
    </xf>
    <xf numFmtId="167" fontId="27" fillId="6" borderId="2" applyAlignment="1" applyProtection="1" pivotButton="0" quotePrefix="0" xfId="1">
      <alignment horizontal="center" vertical="top" wrapText="1"/>
      <protection locked="0" hidden="0"/>
    </xf>
    <xf numFmtId="0" fontId="28" fillId="0" borderId="0" applyAlignment="1" applyProtection="1" pivotButton="0" quotePrefix="0" xfId="1">
      <alignment horizontal="center" vertical="top"/>
      <protection locked="0" hidden="0"/>
    </xf>
    <xf numFmtId="0" fontId="15" fillId="0" borderId="3" applyAlignment="1" applyProtection="1" pivotButton="0" quotePrefix="0" xfId="1">
      <alignment horizontal="center" vertical="top"/>
      <protection locked="0" hidden="0"/>
    </xf>
    <xf numFmtId="0" fontId="15" fillId="0" borderId="3" applyAlignment="1" applyProtection="1" pivotButton="0" quotePrefix="0" xfId="1">
      <alignment vertical="top"/>
      <protection locked="0" hidden="0"/>
    </xf>
    <xf numFmtId="0" fontId="15" fillId="0" borderId="0" applyAlignment="1" applyProtection="1" pivotButton="0" quotePrefix="0" xfId="1">
      <alignment vertical="top"/>
      <protection locked="0" hidden="0"/>
    </xf>
    <xf numFmtId="0" fontId="29" fillId="8" borderId="2" applyAlignment="1" applyProtection="1" pivotButton="0" quotePrefix="1" xfId="1">
      <alignment horizontal="center" vertical="top"/>
      <protection locked="0" hidden="0"/>
    </xf>
    <xf numFmtId="0" fontId="29" fillId="8" borderId="2" applyAlignment="1" applyProtection="1" pivotButton="0" quotePrefix="0" xfId="1">
      <alignment vertical="top" wrapText="1"/>
      <protection locked="0" hidden="0"/>
    </xf>
    <xf numFmtId="0" fontId="29" fillId="8" borderId="2" applyAlignment="1" applyProtection="1" pivotButton="0" quotePrefix="0" xfId="1">
      <alignment horizontal="left" vertical="top" wrapText="1"/>
      <protection locked="0" hidden="0"/>
    </xf>
    <xf numFmtId="14" fontId="29" fillId="8" borderId="2" applyAlignment="1" applyProtection="1" pivotButton="0" quotePrefix="0" xfId="1">
      <alignment horizontal="center" vertical="top"/>
      <protection locked="0" hidden="0"/>
    </xf>
    <xf numFmtId="0" fontId="29" fillId="8" borderId="2" applyAlignment="1" applyProtection="1" pivotButton="0" quotePrefix="0" xfId="1">
      <alignment horizontal="center" vertical="top"/>
      <protection locked="0" hidden="0"/>
    </xf>
    <xf numFmtId="0" fontId="29" fillId="8" borderId="2" applyAlignment="1" applyProtection="1" pivotButton="0" quotePrefix="0" xfId="1">
      <alignment horizontal="center" vertical="top" wrapText="1"/>
      <protection locked="0" hidden="0"/>
    </xf>
    <xf numFmtId="0" fontId="29" fillId="8" borderId="2" applyAlignment="1" applyProtection="1" pivotButton="0" quotePrefix="1" xfId="1">
      <alignment horizontal="left" vertical="top" wrapText="1"/>
      <protection locked="0" hidden="0"/>
    </xf>
    <xf numFmtId="0" fontId="29" fillId="8" borderId="2" applyAlignment="1" applyProtection="1" pivotButton="0" quotePrefix="0" xfId="1">
      <alignment horizontal="left" vertical="top"/>
      <protection locked="0" hidden="0"/>
    </xf>
    <xf numFmtId="0" fontId="29" fillId="8" borderId="2" applyAlignment="1" applyProtection="1" pivotButton="0" quotePrefix="0" xfId="1">
      <alignment vertical="top"/>
      <protection locked="0" hidden="0"/>
    </xf>
    <xf numFmtId="0" fontId="30" fillId="0" borderId="3" applyAlignment="1" applyProtection="1" pivotButton="0" quotePrefix="0" xfId="1">
      <alignment horizontal="center" vertical="top"/>
      <protection locked="0" hidden="0"/>
    </xf>
    <xf numFmtId="0" fontId="30" fillId="0" borderId="3" applyAlignment="1" applyProtection="1" pivotButton="0" quotePrefix="0" xfId="1">
      <alignment vertical="top"/>
      <protection locked="0" hidden="0"/>
    </xf>
    <xf numFmtId="0" fontId="30" fillId="0" borderId="0" applyAlignment="1" applyProtection="1" pivotButton="0" quotePrefix="0" xfId="1">
      <alignment vertical="top"/>
      <protection locked="0" hidden="0"/>
    </xf>
    <xf numFmtId="0" fontId="30" fillId="0" borderId="4" applyAlignment="1" applyProtection="1" pivotButton="0" quotePrefix="1" xfId="1">
      <alignment horizontal="center" vertical="top"/>
      <protection locked="0" hidden="0"/>
    </xf>
    <xf numFmtId="0" fontId="30" fillId="0" borderId="4" applyAlignment="1" applyProtection="1" pivotButton="0" quotePrefix="1" xfId="1">
      <alignment vertical="top" wrapText="1"/>
      <protection locked="0" hidden="0"/>
    </xf>
    <xf numFmtId="0" fontId="30" fillId="0" borderId="4" applyAlignment="1" applyProtection="1" pivotButton="0" quotePrefix="0" xfId="1">
      <alignment horizontal="left" vertical="top" wrapText="1"/>
      <protection locked="0" hidden="0"/>
    </xf>
    <xf numFmtId="14" fontId="30" fillId="0" borderId="4" applyAlignment="1" applyProtection="1" pivotButton="0" quotePrefix="0" xfId="1">
      <alignment horizontal="center" vertical="top" wrapText="1"/>
      <protection locked="0" hidden="0"/>
    </xf>
    <xf numFmtId="0" fontId="30" fillId="0" borderId="4" applyAlignment="1" applyProtection="1" pivotButton="0" quotePrefix="0" xfId="1">
      <alignment horizontal="center" vertical="top" wrapText="1"/>
      <protection locked="0" hidden="0"/>
    </xf>
    <xf numFmtId="0" fontId="30" fillId="0" borderId="4" applyAlignment="1" applyProtection="1" pivotButton="0" quotePrefix="0" xfId="1">
      <alignment vertical="top"/>
      <protection locked="0" hidden="0"/>
    </xf>
    <xf numFmtId="0" fontId="30" fillId="0" borderId="5" applyAlignment="1" applyProtection="1" pivotButton="0" quotePrefix="1" xfId="1">
      <alignment horizontal="center" vertical="top"/>
      <protection locked="0" hidden="0"/>
    </xf>
    <xf numFmtId="0" fontId="30" fillId="0" borderId="5" applyAlignment="1" applyProtection="1" pivotButton="0" quotePrefix="1" xfId="1">
      <alignment vertical="top" wrapText="1"/>
      <protection locked="0" hidden="0"/>
    </xf>
    <xf numFmtId="0" fontId="30" fillId="0" borderId="5" applyAlignment="1" applyProtection="1" pivotButton="0" quotePrefix="0" xfId="1">
      <alignment horizontal="left" vertical="top" wrapText="1"/>
      <protection locked="0" hidden="0"/>
    </xf>
    <xf numFmtId="14" fontId="30" fillId="0" borderId="5" applyAlignment="1" applyProtection="1" pivotButton="0" quotePrefix="0" xfId="1">
      <alignment horizontal="center" vertical="top" wrapText="1"/>
      <protection locked="0" hidden="0"/>
    </xf>
    <xf numFmtId="0" fontId="30" fillId="0" borderId="5" applyAlignment="1" applyProtection="1" pivotButton="0" quotePrefix="0" xfId="1">
      <alignment horizontal="center" vertical="top" wrapText="1"/>
      <protection locked="0" hidden="0"/>
    </xf>
    <xf numFmtId="0" fontId="30" fillId="0" borderId="5" applyAlignment="1" applyProtection="1" pivotButton="0" quotePrefix="0" xfId="1">
      <alignment vertical="top"/>
      <protection locked="0" hidden="0"/>
    </xf>
    <xf numFmtId="0" fontId="31" fillId="0" borderId="5" applyAlignment="1" applyProtection="1" pivotButton="0" quotePrefix="1" xfId="1">
      <alignment horizontal="center" vertical="top"/>
      <protection locked="0" hidden="0"/>
    </xf>
    <xf numFmtId="0" fontId="31" fillId="0" borderId="5" applyAlignment="1" applyProtection="1" pivotButton="0" quotePrefix="0" xfId="1">
      <alignment vertical="top" wrapText="1"/>
      <protection locked="0" hidden="0"/>
    </xf>
    <xf numFmtId="0" fontId="31" fillId="0" borderId="5" applyAlignment="1" applyProtection="1" pivotButton="0" quotePrefix="0" xfId="1">
      <alignment horizontal="left" vertical="top" wrapText="1"/>
      <protection locked="0" hidden="0"/>
    </xf>
    <xf numFmtId="14" fontId="31" fillId="0" borderId="5" applyAlignment="1" applyProtection="1" pivotButton="0" quotePrefix="0" xfId="1">
      <alignment horizontal="center" vertical="top" wrapText="1"/>
      <protection locked="0" hidden="0"/>
    </xf>
    <xf numFmtId="20" fontId="31" fillId="0" borderId="5" applyAlignment="1" applyProtection="1" pivotButton="0" quotePrefix="0" xfId="1">
      <alignment horizontal="center" vertical="top" wrapText="1"/>
      <protection locked="0" hidden="0"/>
    </xf>
    <xf numFmtId="0" fontId="31" fillId="0" borderId="5" applyAlignment="1" applyProtection="1" pivotButton="0" quotePrefix="0" xfId="1">
      <alignment horizontal="center" vertical="top" wrapText="1"/>
      <protection locked="0" hidden="0"/>
    </xf>
    <xf numFmtId="0" fontId="31" fillId="0" borderId="5" applyAlignment="1" applyProtection="1" pivotButton="0" quotePrefix="0" xfId="1">
      <alignment vertical="top"/>
      <protection locked="0" hidden="0"/>
    </xf>
    <xf numFmtId="0" fontId="31" fillId="0" borderId="6" applyAlignment="1" applyProtection="1" pivotButton="0" quotePrefix="1" xfId="1">
      <alignment horizontal="center" vertical="top"/>
      <protection locked="0" hidden="0"/>
    </xf>
    <xf numFmtId="0" fontId="31" fillId="0" borderId="6" applyAlignment="1" applyProtection="1" pivotButton="0" quotePrefix="0" xfId="1">
      <alignment vertical="top" wrapText="1"/>
      <protection locked="0" hidden="0"/>
    </xf>
    <xf numFmtId="0" fontId="31" fillId="0" borderId="6" applyAlignment="1" applyProtection="1" pivotButton="0" quotePrefix="0" xfId="1">
      <alignment horizontal="left" vertical="top" wrapText="1"/>
      <protection locked="0" hidden="0"/>
    </xf>
    <xf numFmtId="14" fontId="31" fillId="0" borderId="6" applyAlignment="1" applyProtection="1" pivotButton="0" quotePrefix="0" xfId="1">
      <alignment horizontal="center" vertical="top" wrapText="1"/>
      <protection locked="0" hidden="0"/>
    </xf>
    <xf numFmtId="0" fontId="31" fillId="0" borderId="6" applyAlignment="1" applyProtection="1" pivotButton="0" quotePrefix="0" xfId="1">
      <alignment horizontal="center" vertical="top" wrapText="1"/>
      <protection locked="0" hidden="0"/>
    </xf>
    <xf numFmtId="0" fontId="31" fillId="0" borderId="6" applyAlignment="1" applyProtection="1" pivotButton="0" quotePrefix="0" xfId="1">
      <alignment vertical="top"/>
      <protection locked="0" hidden="0"/>
    </xf>
    <xf numFmtId="14" fontId="29" fillId="8" borderId="2" applyAlignment="1" applyProtection="1" pivotButton="0" quotePrefix="0" xfId="1">
      <alignment horizontal="center" vertical="top" wrapText="1"/>
      <protection locked="0" hidden="0"/>
    </xf>
    <xf numFmtId="20" fontId="29" fillId="8" borderId="2" applyAlignment="1" applyProtection="1" pivotButton="0" quotePrefix="0" xfId="1">
      <alignment horizontal="center" vertical="top" wrapText="1"/>
      <protection locked="0" hidden="0"/>
    </xf>
    <xf numFmtId="0" fontId="30" fillId="0" borderId="7" applyAlignment="1" applyProtection="1" pivotButton="0" quotePrefix="1" xfId="1">
      <alignment horizontal="center" vertical="top"/>
      <protection locked="0" hidden="0"/>
    </xf>
    <xf numFmtId="0" fontId="30" fillId="0" borderId="7" applyAlignment="1" applyProtection="1" pivotButton="0" quotePrefix="1" xfId="1">
      <alignment vertical="top" wrapText="1"/>
      <protection locked="0" hidden="0"/>
    </xf>
    <xf numFmtId="0" fontId="30" fillId="0" borderId="7" applyAlignment="1" applyProtection="1" pivotButton="0" quotePrefix="0" xfId="1">
      <alignment horizontal="left" vertical="top" wrapText="1"/>
      <protection locked="0" hidden="0"/>
    </xf>
    <xf numFmtId="14" fontId="30" fillId="0" borderId="7" applyAlignment="1" applyProtection="1" pivotButton="0" quotePrefix="0" xfId="1">
      <alignment horizontal="center" vertical="top" wrapText="1"/>
      <protection locked="0" hidden="0"/>
    </xf>
    <xf numFmtId="0" fontId="30" fillId="0" borderId="7" applyAlignment="1" applyProtection="1" pivotButton="0" quotePrefix="0" xfId="1">
      <alignment horizontal="center" vertical="top" wrapText="1"/>
      <protection locked="0" hidden="0"/>
    </xf>
    <xf numFmtId="0" fontId="30" fillId="0" borderId="7" applyAlignment="1" applyProtection="1" pivotButton="0" quotePrefix="0" xfId="1">
      <alignment vertical="top" wrapText="1"/>
      <protection locked="0" hidden="0"/>
    </xf>
    <xf numFmtId="0" fontId="30" fillId="0" borderId="7" applyAlignment="1" applyProtection="1" pivotButton="0" quotePrefix="0" xfId="1">
      <alignment vertical="top"/>
      <protection locked="0" hidden="0"/>
    </xf>
    <xf numFmtId="0" fontId="15" fillId="9" borderId="3" applyAlignment="1" applyProtection="1" pivotButton="0" quotePrefix="0" xfId="1">
      <alignment horizontal="center" vertical="top"/>
      <protection locked="0" hidden="0"/>
    </xf>
    <xf numFmtId="0" fontId="15" fillId="9" borderId="3" applyAlignment="1" applyProtection="1" pivotButton="0" quotePrefix="0" xfId="1">
      <alignment vertical="top"/>
      <protection locked="0" hidden="0"/>
    </xf>
    <xf numFmtId="0" fontId="15" fillId="9" borderId="0" applyAlignment="1" applyProtection="1" pivotButton="0" quotePrefix="0" xfId="1">
      <alignment vertical="top"/>
      <protection locked="0" hidden="0"/>
    </xf>
    <xf numFmtId="0" fontId="18" fillId="0" borderId="5" applyAlignment="1" applyProtection="1" pivotButton="0" quotePrefix="1" xfId="1">
      <alignment horizontal="center" vertical="top"/>
      <protection locked="0" hidden="0"/>
    </xf>
    <xf numFmtId="0" fontId="18" fillId="0" borderId="5" applyAlignment="1" applyProtection="1" pivotButton="0" quotePrefix="0" xfId="1">
      <alignment vertical="top" wrapText="1"/>
      <protection locked="0" hidden="0"/>
    </xf>
    <xf numFmtId="0" fontId="18" fillId="0" borderId="5" applyAlignment="1" applyProtection="1" pivotButton="0" quotePrefix="0" xfId="1">
      <alignment horizontal="left" vertical="top" wrapText="1"/>
      <protection locked="0" hidden="0"/>
    </xf>
    <xf numFmtId="14" fontId="18" fillId="0" borderId="5" applyAlignment="1" applyProtection="1" pivotButton="0" quotePrefix="0" xfId="1">
      <alignment horizontal="center" vertical="top" wrapText="1"/>
      <protection locked="0" hidden="0"/>
    </xf>
    <xf numFmtId="20" fontId="18" fillId="0" borderId="5" applyAlignment="1" applyProtection="1" pivotButton="0" quotePrefix="0" xfId="1">
      <alignment horizontal="center" vertical="top" wrapText="1"/>
      <protection locked="0" hidden="0"/>
    </xf>
    <xf numFmtId="0" fontId="18" fillId="0" borderId="5" applyAlignment="1" applyProtection="1" pivotButton="0" quotePrefix="0" xfId="1">
      <alignment horizontal="center" vertical="top" wrapText="1"/>
      <protection locked="0" hidden="0"/>
    </xf>
    <xf numFmtId="0" fontId="18" fillId="0" borderId="5" applyAlignment="1" applyProtection="1" pivotButton="0" quotePrefix="1" xfId="1">
      <alignment horizontal="center" vertical="top" wrapText="1"/>
      <protection locked="0" hidden="0"/>
    </xf>
    <xf numFmtId="0" fontId="18" fillId="0" borderId="5" applyAlignment="1" applyProtection="1" pivotButton="0" quotePrefix="0" xfId="1">
      <alignment vertical="top"/>
      <protection locked="0" hidden="0"/>
    </xf>
    <xf numFmtId="0" fontId="32" fillId="0" borderId="8" applyAlignment="1" applyProtection="1" pivotButton="0" quotePrefix="1" xfId="1">
      <alignment horizontal="center" vertical="top"/>
      <protection locked="0" hidden="0"/>
    </xf>
    <xf numFmtId="0" fontId="32" fillId="0" borderId="8" applyAlignment="1" applyProtection="1" pivotButton="0" quotePrefix="0" xfId="1">
      <alignment vertical="top" wrapText="1"/>
      <protection locked="0" hidden="0"/>
    </xf>
    <xf numFmtId="0" fontId="32" fillId="0" borderId="8" applyAlignment="1" applyProtection="1" pivotButton="0" quotePrefix="0" xfId="1">
      <alignment horizontal="left" vertical="top" wrapText="1"/>
      <protection locked="0" hidden="0"/>
    </xf>
    <xf numFmtId="14" fontId="32" fillId="0" borderId="8" applyAlignment="1" applyProtection="1" pivotButton="0" quotePrefix="0" xfId="1">
      <alignment horizontal="center" vertical="top" wrapText="1"/>
      <protection locked="0" hidden="0"/>
    </xf>
    <xf numFmtId="20" fontId="32" fillId="0" borderId="8" applyAlignment="1" applyProtection="1" pivotButton="0" quotePrefix="0" xfId="1">
      <alignment horizontal="center" vertical="top" wrapText="1"/>
      <protection locked="0" hidden="0"/>
    </xf>
    <xf numFmtId="0" fontId="32" fillId="0" borderId="8" applyAlignment="1" applyProtection="1" pivotButton="0" quotePrefix="0" xfId="1">
      <alignment horizontal="center" vertical="top" wrapText="1"/>
      <protection locked="0" hidden="0"/>
    </xf>
    <xf numFmtId="0" fontId="32" fillId="0" borderId="8" applyAlignment="1" applyProtection="1" pivotButton="0" quotePrefix="1" xfId="1">
      <alignment horizontal="center" vertical="top" wrapText="1"/>
      <protection locked="0" hidden="0"/>
    </xf>
    <xf numFmtId="0" fontId="32" fillId="0" borderId="8" applyAlignment="1" applyProtection="1" pivotButton="0" quotePrefix="0" xfId="1">
      <alignment vertical="top"/>
      <protection locked="0" hidden="0"/>
    </xf>
    <xf numFmtId="0" fontId="18" fillId="0" borderId="9" applyAlignment="1" applyProtection="1" pivotButton="0" quotePrefix="1" xfId="1">
      <alignment horizontal="center" vertical="top"/>
      <protection locked="0" hidden="0"/>
    </xf>
    <xf numFmtId="0" fontId="18" fillId="0" borderId="9" applyAlignment="1" applyProtection="1" pivotButton="0" quotePrefix="0" xfId="1">
      <alignment vertical="top" wrapText="1"/>
      <protection locked="0" hidden="0"/>
    </xf>
    <xf numFmtId="0" fontId="18" fillId="0" borderId="9" applyAlignment="1" applyProtection="1" pivotButton="0" quotePrefix="0" xfId="1">
      <alignment horizontal="left" vertical="top" wrapText="1"/>
      <protection locked="0" hidden="0"/>
    </xf>
    <xf numFmtId="14" fontId="18" fillId="0" borderId="9" applyAlignment="1" applyProtection="1" pivotButton="0" quotePrefix="0" xfId="1">
      <alignment horizontal="center" vertical="top" wrapText="1"/>
      <protection locked="0" hidden="0"/>
    </xf>
    <xf numFmtId="20" fontId="18" fillId="0" borderId="9" applyAlignment="1" applyProtection="1" pivotButton="0" quotePrefix="0" xfId="1">
      <alignment horizontal="center" vertical="top" wrapText="1"/>
      <protection locked="0" hidden="0"/>
    </xf>
    <xf numFmtId="0" fontId="18" fillId="0" borderId="9" applyAlignment="1" applyProtection="1" pivotButton="0" quotePrefix="0" xfId="1">
      <alignment horizontal="center" vertical="top" wrapText="1"/>
      <protection locked="0" hidden="0"/>
    </xf>
    <xf numFmtId="0" fontId="18" fillId="0" borderId="9" applyAlignment="1" applyProtection="1" pivotButton="0" quotePrefix="0" xfId="1">
      <alignment vertical="top"/>
      <protection locked="0" hidden="0"/>
    </xf>
    <xf numFmtId="0" fontId="32" fillId="0" borderId="3" applyAlignment="1" applyProtection="1" pivotButton="0" quotePrefix="1" xfId="1">
      <alignment horizontal="center" vertical="top"/>
      <protection locked="0" hidden="0"/>
    </xf>
    <xf numFmtId="0" fontId="32" fillId="0" borderId="3" applyAlignment="1" applyProtection="1" pivotButton="0" quotePrefix="0" xfId="1">
      <alignment vertical="top" wrapText="1"/>
      <protection locked="0" hidden="0"/>
    </xf>
    <xf numFmtId="0" fontId="32" fillId="0" borderId="3" applyAlignment="1" applyProtection="1" pivotButton="0" quotePrefix="0" xfId="1">
      <alignment horizontal="left" vertical="top" wrapText="1"/>
      <protection locked="0" hidden="0"/>
    </xf>
    <xf numFmtId="14" fontId="32" fillId="0" borderId="3" applyAlignment="1" applyProtection="1" pivotButton="0" quotePrefix="0" xfId="1">
      <alignment horizontal="center" vertical="top" wrapText="1"/>
      <protection locked="0" hidden="0"/>
    </xf>
    <xf numFmtId="20" fontId="32" fillId="0" borderId="3" applyAlignment="1" applyProtection="1" pivotButton="0" quotePrefix="0" xfId="1">
      <alignment horizontal="center" vertical="top" wrapText="1"/>
      <protection locked="0" hidden="0"/>
    </xf>
    <xf numFmtId="0" fontId="32" fillId="0" borderId="3" applyAlignment="1" applyProtection="1" pivotButton="0" quotePrefix="0" xfId="1">
      <alignment horizontal="center" vertical="top" wrapText="1"/>
      <protection locked="0" hidden="0"/>
    </xf>
    <xf numFmtId="0" fontId="32" fillId="0" borderId="3" applyAlignment="1" applyProtection="1" pivotButton="0" quotePrefix="1" xfId="1">
      <alignment horizontal="center" vertical="top" wrapText="1"/>
      <protection locked="0" hidden="0"/>
    </xf>
    <xf numFmtId="0" fontId="32" fillId="0" borderId="3" applyAlignment="1" applyProtection="1" pivotButton="0" quotePrefix="0" xfId="1">
      <alignment vertical="top"/>
      <protection locked="0" hidden="0"/>
    </xf>
    <xf numFmtId="0" fontId="18" fillId="0" borderId="10" applyAlignment="1" applyProtection="1" pivotButton="0" quotePrefix="1" xfId="1">
      <alignment horizontal="center" vertical="top"/>
      <protection locked="0" hidden="0"/>
    </xf>
    <xf numFmtId="0" fontId="18" fillId="0" borderId="10" applyAlignment="1" applyProtection="1" pivotButton="0" quotePrefix="0" xfId="1">
      <alignment vertical="top" wrapText="1"/>
      <protection locked="0" hidden="0"/>
    </xf>
    <xf numFmtId="0" fontId="18" fillId="0" borderId="10" applyAlignment="1" applyProtection="1" pivotButton="0" quotePrefix="0" xfId="1">
      <alignment horizontal="left" vertical="top" wrapText="1"/>
      <protection locked="0" hidden="0"/>
    </xf>
    <xf numFmtId="14" fontId="18" fillId="0" borderId="10" applyAlignment="1" applyProtection="1" pivotButton="0" quotePrefix="0" xfId="1">
      <alignment horizontal="center" vertical="top" wrapText="1"/>
      <protection locked="0" hidden="0"/>
    </xf>
    <xf numFmtId="20" fontId="18" fillId="0" borderId="10" applyAlignment="1" applyProtection="1" pivotButton="0" quotePrefix="0" xfId="1">
      <alignment horizontal="center" vertical="top" wrapText="1"/>
      <protection locked="0" hidden="0"/>
    </xf>
    <xf numFmtId="0" fontId="18" fillId="0" borderId="10" applyAlignment="1" applyProtection="1" pivotButton="0" quotePrefix="0" xfId="1">
      <alignment horizontal="center" vertical="top" wrapText="1"/>
      <protection locked="0" hidden="0"/>
    </xf>
    <xf numFmtId="0" fontId="18" fillId="0" borderId="10" applyAlignment="1" applyProtection="1" pivotButton="0" quotePrefix="1" xfId="1">
      <alignment horizontal="center" vertical="top" wrapText="1"/>
      <protection locked="0" hidden="0"/>
    </xf>
    <xf numFmtId="0" fontId="18" fillId="0" borderId="10" applyAlignment="1" applyProtection="1" pivotButton="0" quotePrefix="0" xfId="1">
      <alignment vertical="top"/>
      <protection locked="0" hidden="0"/>
    </xf>
    <xf numFmtId="0" fontId="32" fillId="0" borderId="9" applyAlignment="1" applyProtection="1" pivotButton="0" quotePrefix="1" xfId="1">
      <alignment horizontal="center" vertical="top"/>
      <protection locked="0" hidden="0"/>
    </xf>
    <xf numFmtId="0" fontId="32" fillId="0" borderId="9" applyAlignment="1" applyProtection="1" pivotButton="0" quotePrefix="0" xfId="1">
      <alignment vertical="top" wrapText="1"/>
      <protection locked="0" hidden="0"/>
    </xf>
    <xf numFmtId="0" fontId="32" fillId="0" borderId="9" applyAlignment="1" applyProtection="1" pivotButton="0" quotePrefix="0" xfId="1">
      <alignment horizontal="left" vertical="top" wrapText="1"/>
      <protection locked="0" hidden="0"/>
    </xf>
    <xf numFmtId="0" fontId="32" fillId="0" borderId="9" applyAlignment="1" applyProtection="1" pivotButton="0" quotePrefix="0" xfId="1">
      <alignment horizontal="center" vertical="top" wrapText="1"/>
      <protection locked="0" hidden="0"/>
    </xf>
    <xf numFmtId="0" fontId="32" fillId="0" borderId="9" applyAlignment="1" applyProtection="1" pivotButton="0" quotePrefix="0" xfId="1">
      <alignment vertical="top"/>
      <protection locked="0" hidden="0"/>
    </xf>
    <xf numFmtId="14" fontId="32" fillId="0" borderId="9" applyAlignment="1" applyProtection="1" pivotButton="0" quotePrefix="0" xfId="1">
      <alignment horizontal="center" vertical="top" wrapText="1"/>
      <protection locked="0" hidden="0"/>
    </xf>
    <xf numFmtId="0" fontId="18" fillId="0" borderId="4" applyAlignment="1" applyProtection="1" pivotButton="0" quotePrefix="1" xfId="1">
      <alignment horizontal="center" vertical="top"/>
      <protection locked="0" hidden="0"/>
    </xf>
    <xf numFmtId="0" fontId="18" fillId="0" borderId="4" applyAlignment="1" applyProtection="1" pivotButton="0" quotePrefix="0" xfId="1">
      <alignment vertical="top" wrapText="1"/>
      <protection locked="0" hidden="0"/>
    </xf>
    <xf numFmtId="0" fontId="18" fillId="0" borderId="4" applyAlignment="1" applyProtection="1" pivotButton="0" quotePrefix="0" xfId="1">
      <alignment horizontal="left" vertical="top" wrapText="1"/>
      <protection locked="0" hidden="0"/>
    </xf>
    <xf numFmtId="14" fontId="18" fillId="0" borderId="4" applyAlignment="1" applyProtection="1" pivotButton="0" quotePrefix="0" xfId="1">
      <alignment horizontal="center" vertical="top" wrapText="1"/>
      <protection locked="0" hidden="0"/>
    </xf>
    <xf numFmtId="20" fontId="18" fillId="0" borderId="4" applyAlignment="1" applyProtection="1" pivotButton="0" quotePrefix="0" xfId="1">
      <alignment horizontal="center" vertical="top" wrapText="1"/>
      <protection locked="0" hidden="0"/>
    </xf>
    <xf numFmtId="0" fontId="18" fillId="0" borderId="4" applyAlignment="1" applyProtection="1" pivotButton="0" quotePrefix="0" xfId="1">
      <alignment horizontal="center" vertical="top" wrapText="1"/>
      <protection locked="0" hidden="0"/>
    </xf>
    <xf numFmtId="0" fontId="18" fillId="0" borderId="4" applyAlignment="1" applyProtection="1" pivotButton="0" quotePrefix="0" xfId="1">
      <alignment vertical="top"/>
      <protection locked="0" hidden="0"/>
    </xf>
    <xf numFmtId="20" fontId="32" fillId="0" borderId="9" applyAlignment="1" applyProtection="1" pivotButton="0" quotePrefix="0" xfId="1">
      <alignment horizontal="center" vertical="top" wrapText="1"/>
      <protection locked="0" hidden="0"/>
    </xf>
    <xf numFmtId="0" fontId="32" fillId="0" borderId="5" applyAlignment="1" applyProtection="1" pivotButton="0" quotePrefix="1" xfId="1">
      <alignment horizontal="center" vertical="top"/>
      <protection locked="0" hidden="0"/>
    </xf>
    <xf numFmtId="0" fontId="32" fillId="0" borderId="5" applyAlignment="1" applyProtection="1" pivotButton="0" quotePrefix="0" xfId="1">
      <alignment vertical="top" wrapText="1"/>
      <protection locked="0" hidden="0"/>
    </xf>
    <xf numFmtId="0" fontId="32" fillId="0" borderId="5" applyAlignment="1" applyProtection="1" pivotButton="0" quotePrefix="0" xfId="1">
      <alignment horizontal="left" vertical="top" wrapText="1"/>
      <protection locked="0" hidden="0"/>
    </xf>
    <xf numFmtId="14" fontId="32" fillId="0" borderId="5" applyAlignment="1" applyProtection="1" pivotButton="0" quotePrefix="0" xfId="1">
      <alignment horizontal="center" vertical="top" wrapText="1"/>
      <protection locked="0" hidden="0"/>
    </xf>
    <xf numFmtId="20" fontId="32" fillId="0" borderId="5" applyAlignment="1" applyProtection="1" pivotButton="0" quotePrefix="0" xfId="1">
      <alignment horizontal="center" vertical="top" wrapText="1"/>
      <protection locked="0" hidden="0"/>
    </xf>
    <xf numFmtId="0" fontId="32" fillId="0" borderId="5" applyAlignment="1" applyProtection="1" pivotButton="0" quotePrefix="0" xfId="1">
      <alignment horizontal="center" vertical="top" wrapText="1"/>
      <protection locked="0" hidden="0"/>
    </xf>
    <xf numFmtId="0" fontId="32" fillId="0" borderId="5" applyAlignment="1" applyProtection="1" pivotButton="0" quotePrefix="0" xfId="1">
      <alignment vertical="top"/>
      <protection locked="0" hidden="0"/>
    </xf>
    <xf numFmtId="0" fontId="18" fillId="0" borderId="3" applyAlignment="1" applyProtection="1" pivotButton="0" quotePrefix="1" xfId="1">
      <alignment horizontal="center" vertical="top"/>
      <protection locked="0" hidden="0"/>
    </xf>
    <xf numFmtId="0" fontId="18" fillId="0" borderId="3" applyAlignment="1" applyProtection="1" pivotButton="0" quotePrefix="0" xfId="1">
      <alignment vertical="top" wrapText="1"/>
      <protection locked="0" hidden="0"/>
    </xf>
    <xf numFmtId="0" fontId="18" fillId="0" borderId="3" applyAlignment="1" applyProtection="1" pivotButton="0" quotePrefix="0" xfId="1">
      <alignment horizontal="left" vertical="top" wrapText="1"/>
      <protection locked="0" hidden="0"/>
    </xf>
    <xf numFmtId="14" fontId="18" fillId="0" borderId="3" applyAlignment="1" applyProtection="1" pivotButton="0" quotePrefix="0" xfId="1">
      <alignment horizontal="center" vertical="top" wrapText="1"/>
      <protection locked="0" hidden="0"/>
    </xf>
    <xf numFmtId="20" fontId="18" fillId="0" borderId="3" applyAlignment="1" applyProtection="1" pivotButton="0" quotePrefix="0" xfId="1">
      <alignment horizontal="center" vertical="top" wrapText="1"/>
      <protection locked="0" hidden="0"/>
    </xf>
    <xf numFmtId="0" fontId="18" fillId="0" borderId="3" applyAlignment="1" applyProtection="1" pivotButton="0" quotePrefix="0" xfId="1">
      <alignment horizontal="center" vertical="top" wrapText="1"/>
      <protection locked="0" hidden="0"/>
    </xf>
    <xf numFmtId="0" fontId="18" fillId="0" borderId="3" applyAlignment="1" applyProtection="1" pivotButton="0" quotePrefix="0" xfId="1">
      <alignment vertical="top"/>
      <protection locked="0" hidden="0"/>
    </xf>
    <xf numFmtId="0" fontId="33" fillId="0" borderId="5" applyAlignment="1" applyProtection="1" pivotButton="0" quotePrefix="1" xfId="1">
      <alignment horizontal="center" vertical="top"/>
      <protection locked="0" hidden="0"/>
    </xf>
    <xf numFmtId="0" fontId="33" fillId="0" borderId="5" applyAlignment="1" applyProtection="1" pivotButton="0" quotePrefix="0" xfId="1">
      <alignment vertical="top" wrapText="1"/>
      <protection locked="0" hidden="0"/>
    </xf>
    <xf numFmtId="0" fontId="33" fillId="0" borderId="5" applyAlignment="1" applyProtection="1" pivotButton="0" quotePrefix="0" xfId="1">
      <alignment horizontal="left" vertical="top" wrapText="1"/>
      <protection locked="0" hidden="0"/>
    </xf>
    <xf numFmtId="14" fontId="33" fillId="0" borderId="5" applyAlignment="1" applyProtection="1" pivotButton="0" quotePrefix="0" xfId="1">
      <alignment horizontal="center" vertical="top" wrapText="1"/>
      <protection locked="0" hidden="0"/>
    </xf>
    <xf numFmtId="20" fontId="33" fillId="0" borderId="5" applyAlignment="1" applyProtection="1" pivotButton="0" quotePrefix="0" xfId="1">
      <alignment horizontal="center" vertical="top" wrapText="1"/>
      <protection locked="0" hidden="0"/>
    </xf>
    <xf numFmtId="0" fontId="33" fillId="0" borderId="5" applyAlignment="1" applyProtection="1" pivotButton="0" quotePrefix="0" xfId="1">
      <alignment horizontal="center" vertical="top" wrapText="1"/>
      <protection locked="0" hidden="0"/>
    </xf>
    <xf numFmtId="0" fontId="33" fillId="0" borderId="5" applyAlignment="1" applyProtection="1" pivotButton="0" quotePrefix="0" xfId="1">
      <alignment vertical="top"/>
      <protection locked="0" hidden="0"/>
    </xf>
    <xf numFmtId="0" fontId="33" fillId="0" borderId="9" applyAlignment="1" applyProtection="1" pivotButton="0" quotePrefix="1" xfId="1">
      <alignment horizontal="center" vertical="top"/>
      <protection locked="0" hidden="0"/>
    </xf>
    <xf numFmtId="0" fontId="33" fillId="0" borderId="9" applyAlignment="1" applyProtection="1" pivotButton="0" quotePrefix="0" xfId="1">
      <alignment vertical="top" wrapText="1"/>
      <protection locked="0" hidden="0"/>
    </xf>
    <xf numFmtId="0" fontId="33" fillId="0" borderId="9" applyAlignment="1" applyProtection="1" pivotButton="0" quotePrefix="0" xfId="1">
      <alignment horizontal="left" vertical="top" wrapText="1"/>
      <protection locked="0" hidden="0"/>
    </xf>
    <xf numFmtId="14" fontId="33" fillId="0" borderId="9" applyAlignment="1" applyProtection="1" pivotButton="0" quotePrefix="0" xfId="1">
      <alignment horizontal="center" vertical="top" wrapText="1"/>
      <protection locked="0" hidden="0"/>
    </xf>
    <xf numFmtId="20" fontId="33" fillId="0" borderId="9" applyAlignment="1" applyProtection="1" pivotButton="0" quotePrefix="0" xfId="1">
      <alignment horizontal="center" vertical="top" wrapText="1"/>
      <protection locked="0" hidden="0"/>
    </xf>
    <xf numFmtId="0" fontId="33" fillId="0" borderId="9" applyAlignment="1" applyProtection="1" pivotButton="0" quotePrefix="0" xfId="1">
      <alignment horizontal="center" vertical="top" wrapText="1"/>
      <protection locked="0" hidden="0"/>
    </xf>
    <xf numFmtId="0" fontId="33" fillId="0" borderId="9" applyAlignment="1" applyProtection="1" pivotButton="0" quotePrefix="0" xfId="1">
      <alignment vertical="top"/>
      <protection locked="0" hidden="0"/>
    </xf>
    <xf numFmtId="0" fontId="29" fillId="8" borderId="8" applyAlignment="1" applyProtection="1" pivotButton="0" quotePrefix="1" xfId="1">
      <alignment horizontal="center" vertical="top"/>
      <protection locked="0" hidden="0"/>
    </xf>
    <xf numFmtId="0" fontId="29" fillId="8" borderId="8" applyAlignment="1" applyProtection="1" pivotButton="0" quotePrefix="0" xfId="1">
      <alignment vertical="top" wrapText="1"/>
      <protection locked="0" hidden="0"/>
    </xf>
    <xf numFmtId="0" fontId="29" fillId="8" borderId="8" applyAlignment="1" applyProtection="1" pivotButton="0" quotePrefix="0" xfId="1">
      <alignment horizontal="left" vertical="top" wrapText="1"/>
      <protection locked="0" hidden="0"/>
    </xf>
    <xf numFmtId="14" fontId="29" fillId="8" borderId="8" applyAlignment="1" applyProtection="1" pivotButton="0" quotePrefix="0" xfId="1">
      <alignment horizontal="center" vertical="top"/>
      <protection locked="0" hidden="0"/>
    </xf>
    <xf numFmtId="0" fontId="29" fillId="8" borderId="8" applyAlignment="1" applyProtection="1" pivotButton="0" quotePrefix="0" xfId="1">
      <alignment horizontal="center" vertical="top"/>
      <protection locked="0" hidden="0"/>
    </xf>
    <xf numFmtId="0" fontId="29" fillId="8" borderId="8" applyAlignment="1" applyProtection="1" pivotButton="0" quotePrefix="0" xfId="1">
      <alignment horizontal="center" vertical="top" wrapText="1"/>
      <protection locked="0" hidden="0"/>
    </xf>
    <xf numFmtId="0" fontId="29" fillId="8" borderId="8" applyAlignment="1" applyProtection="1" pivotButton="0" quotePrefix="1" xfId="1">
      <alignment horizontal="left" vertical="top" wrapText="1"/>
      <protection locked="0" hidden="0"/>
    </xf>
    <xf numFmtId="0" fontId="29" fillId="8" borderId="8" applyAlignment="1" applyProtection="1" pivotButton="0" quotePrefix="0" xfId="1">
      <alignment horizontal="left" vertical="top"/>
      <protection locked="0" hidden="0"/>
    </xf>
    <xf numFmtId="0" fontId="29" fillId="8" borderId="8" applyAlignment="1" applyProtection="1" pivotButton="0" quotePrefix="0" xfId="1">
      <alignment vertical="top"/>
      <protection locked="0" hidden="0"/>
    </xf>
    <xf numFmtId="0" fontId="18" fillId="0" borderId="7" applyAlignment="1" applyProtection="1" pivotButton="0" quotePrefix="1" xfId="1">
      <alignment horizontal="center" vertical="top"/>
      <protection locked="0" hidden="0"/>
    </xf>
    <xf numFmtId="0" fontId="18" fillId="0" borderId="7" applyAlignment="1" applyProtection="1" pivotButton="0" quotePrefix="0" xfId="1">
      <alignment vertical="top" wrapText="1"/>
      <protection locked="0" hidden="0"/>
    </xf>
    <xf numFmtId="0" fontId="18" fillId="0" borderId="7" applyAlignment="1" applyProtection="1" pivotButton="0" quotePrefix="0" xfId="1">
      <alignment horizontal="left" vertical="top" wrapText="1"/>
      <protection locked="0" hidden="0"/>
    </xf>
    <xf numFmtId="14" fontId="18" fillId="0" borderId="7" applyAlignment="1" applyProtection="1" pivotButton="0" quotePrefix="0" xfId="1">
      <alignment horizontal="center" vertical="top"/>
      <protection locked="0" hidden="0"/>
    </xf>
    <xf numFmtId="0" fontId="18" fillId="0" borderId="7" applyAlignment="1" applyProtection="1" pivotButton="0" quotePrefix="0" xfId="1">
      <alignment horizontal="center" vertical="top"/>
      <protection locked="0" hidden="0"/>
    </xf>
    <xf numFmtId="0" fontId="18" fillId="0" borderId="7" applyAlignment="1" applyProtection="1" pivotButton="0" quotePrefix="0" xfId="1">
      <alignment horizontal="center" vertical="top" wrapText="1"/>
      <protection locked="0" hidden="0"/>
    </xf>
    <xf numFmtId="0" fontId="32" fillId="0" borderId="7" applyAlignment="1" applyProtection="1" pivotButton="0" quotePrefix="1" xfId="1">
      <alignment horizontal="left" vertical="top" wrapText="1"/>
      <protection locked="0" hidden="0"/>
    </xf>
    <xf numFmtId="0" fontId="18" fillId="0" borderId="7" applyAlignment="1" applyProtection="1" pivotButton="0" quotePrefix="1" xfId="1">
      <alignment horizontal="left" vertical="top" wrapText="1"/>
      <protection locked="0" hidden="0"/>
    </xf>
    <xf numFmtId="0" fontId="18" fillId="0" borderId="7" applyAlignment="1" applyProtection="1" pivotButton="0" quotePrefix="0" xfId="1">
      <alignment horizontal="left" vertical="top"/>
      <protection locked="0" hidden="0"/>
    </xf>
    <xf numFmtId="0" fontId="18" fillId="0" borderId="7" applyAlignment="1" applyProtection="1" pivotButton="0" quotePrefix="0" xfId="1">
      <alignment vertical="top"/>
      <protection locked="0" hidden="0"/>
    </xf>
    <xf numFmtId="20" fontId="18" fillId="0" borderId="7" applyAlignment="1" applyProtection="1" pivotButton="0" quotePrefix="0" xfId="1">
      <alignment horizontal="center" vertical="top"/>
      <protection locked="0" hidden="0"/>
    </xf>
    <xf numFmtId="0" fontId="32" fillId="0" borderId="7" applyAlignment="1" applyProtection="1" pivotButton="0" quotePrefix="1" xfId="1">
      <alignment horizontal="center" vertical="top"/>
      <protection locked="0" hidden="0"/>
    </xf>
    <xf numFmtId="0" fontId="32" fillId="0" borderId="7" applyAlignment="1" applyProtection="1" pivotButton="0" quotePrefix="0" xfId="1">
      <alignment vertical="top" wrapText="1"/>
      <protection locked="0" hidden="0"/>
    </xf>
    <xf numFmtId="0" fontId="32" fillId="0" borderId="7" applyAlignment="1" applyProtection="1" pivotButton="0" quotePrefix="0" xfId="1">
      <alignment horizontal="left" vertical="top" wrapText="1"/>
      <protection locked="0" hidden="0"/>
    </xf>
    <xf numFmtId="14" fontId="32" fillId="0" borderId="7" applyAlignment="1" applyProtection="1" pivotButton="0" quotePrefix="0" xfId="1">
      <alignment horizontal="center" vertical="top"/>
      <protection locked="0" hidden="0"/>
    </xf>
    <xf numFmtId="20" fontId="32" fillId="0" borderId="7" applyAlignment="1" applyProtection="1" pivotButton="0" quotePrefix="0" xfId="1">
      <alignment horizontal="center" vertical="top"/>
      <protection locked="0" hidden="0"/>
    </xf>
    <xf numFmtId="0" fontId="32" fillId="0" borderId="7" applyAlignment="1" applyProtection="1" pivotButton="0" quotePrefix="0" xfId="1">
      <alignment horizontal="center" vertical="top"/>
      <protection locked="0" hidden="0"/>
    </xf>
    <xf numFmtId="0" fontId="32" fillId="0" borderId="7" applyAlignment="1" applyProtection="1" pivotButton="0" quotePrefix="0" xfId="1">
      <alignment horizontal="center" vertical="top" wrapText="1"/>
      <protection locked="0" hidden="0"/>
    </xf>
    <xf numFmtId="0" fontId="32" fillId="0" borderId="7" applyAlignment="1" applyProtection="1" pivotButton="0" quotePrefix="0" xfId="1">
      <alignment vertical="top"/>
      <protection locked="0" hidden="0"/>
    </xf>
    <xf numFmtId="0" fontId="32" fillId="0" borderId="7" applyAlignment="1" applyProtection="1" pivotButton="0" quotePrefix="0" xfId="1">
      <alignment horizontal="left" vertical="top"/>
      <protection locked="0" hidden="0"/>
    </xf>
    <xf numFmtId="0" fontId="32" fillId="0" borderId="11" applyAlignment="1" applyProtection="1" pivotButton="0" quotePrefix="1" xfId="1">
      <alignment horizontal="center" vertical="top"/>
      <protection locked="0" hidden="0"/>
    </xf>
    <xf numFmtId="0" fontId="32" fillId="0" borderId="11" applyAlignment="1" applyProtection="1" pivotButton="0" quotePrefix="0" xfId="1">
      <alignment vertical="top" wrapText="1"/>
      <protection locked="0" hidden="0"/>
    </xf>
    <xf numFmtId="0" fontId="32" fillId="0" borderId="11" applyAlignment="1" applyProtection="1" pivotButton="0" quotePrefix="0" xfId="1">
      <alignment horizontal="left" vertical="top" wrapText="1"/>
      <protection locked="0" hidden="0"/>
    </xf>
    <xf numFmtId="14" fontId="32" fillId="0" borderId="11" applyAlignment="1" applyProtection="1" pivotButton="0" quotePrefix="0" xfId="1">
      <alignment horizontal="center" vertical="top"/>
      <protection locked="0" hidden="0"/>
    </xf>
    <xf numFmtId="20" fontId="32" fillId="0" borderId="11" applyAlignment="1" applyProtection="1" pivotButton="0" quotePrefix="0" xfId="1">
      <alignment horizontal="center" vertical="top"/>
      <protection locked="0" hidden="0"/>
    </xf>
    <xf numFmtId="0" fontId="32" fillId="0" borderId="11" applyAlignment="1" applyProtection="1" pivotButton="0" quotePrefix="0" xfId="1">
      <alignment horizontal="center" vertical="top"/>
      <protection locked="0" hidden="0"/>
    </xf>
    <xf numFmtId="0" fontId="32" fillId="0" borderId="11" applyAlignment="1" applyProtection="1" pivotButton="0" quotePrefix="0" xfId="1">
      <alignment horizontal="center" vertical="top" wrapText="1"/>
      <protection locked="0" hidden="0"/>
    </xf>
    <xf numFmtId="0" fontId="32" fillId="0" borderId="11" applyAlignment="1" applyProtection="1" pivotButton="0" quotePrefix="1" xfId="1">
      <alignment horizontal="left" vertical="top" wrapText="1"/>
      <protection locked="0" hidden="0"/>
    </xf>
    <xf numFmtId="0" fontId="32" fillId="0" borderId="11" applyAlignment="1" applyProtection="1" pivotButton="0" quotePrefix="0" xfId="1">
      <alignment horizontal="left" vertical="top"/>
      <protection locked="0" hidden="0"/>
    </xf>
    <xf numFmtId="0" fontId="32" fillId="0" borderId="11" applyAlignment="1" applyProtection="1" pivotButton="0" quotePrefix="0" xfId="1">
      <alignment vertical="top"/>
      <protection locked="0" hidden="0"/>
    </xf>
    <xf numFmtId="0" fontId="33" fillId="0" borderId="12" applyAlignment="1" applyProtection="1" pivotButton="0" quotePrefix="1" xfId="1">
      <alignment horizontal="center" vertical="top"/>
      <protection locked="0" hidden="0"/>
    </xf>
    <xf numFmtId="0" fontId="33" fillId="0" borderId="12" applyAlignment="1" applyProtection="1" pivotButton="0" quotePrefix="0" xfId="1">
      <alignment vertical="top" wrapText="1"/>
      <protection locked="0" hidden="0"/>
    </xf>
    <xf numFmtId="0" fontId="33" fillId="0" borderId="12" applyAlignment="1" applyProtection="1" pivotButton="0" quotePrefix="0" xfId="1">
      <alignment horizontal="left" vertical="top" wrapText="1"/>
      <protection locked="0" hidden="0"/>
    </xf>
    <xf numFmtId="14" fontId="33" fillId="0" borderId="12" applyAlignment="1" applyProtection="1" pivotButton="0" quotePrefix="0" xfId="1">
      <alignment horizontal="center" vertical="top" wrapText="1"/>
      <protection locked="0" hidden="0"/>
    </xf>
    <xf numFmtId="20" fontId="33" fillId="0" borderId="12" applyAlignment="1" applyProtection="1" pivotButton="0" quotePrefix="0" xfId="1">
      <alignment horizontal="center" vertical="top" wrapText="1"/>
      <protection locked="0" hidden="0"/>
    </xf>
    <xf numFmtId="0" fontId="33" fillId="0" borderId="12" applyAlignment="1" applyProtection="1" pivotButton="0" quotePrefix="0" xfId="1">
      <alignment horizontal="center" vertical="top"/>
      <protection locked="0" hidden="0"/>
    </xf>
    <xf numFmtId="0" fontId="33" fillId="0" borderId="12" applyAlignment="1" applyProtection="1" pivotButton="0" quotePrefix="0" xfId="1">
      <alignment horizontal="center" vertical="top" wrapText="1"/>
      <protection locked="0" hidden="0"/>
    </xf>
    <xf numFmtId="0" fontId="33" fillId="0" borderId="12" applyAlignment="1" applyProtection="1" pivotButton="0" quotePrefix="0" xfId="1">
      <alignment vertical="top"/>
      <protection locked="0" hidden="0"/>
    </xf>
    <xf numFmtId="0" fontId="33" fillId="0" borderId="12" applyAlignment="1" applyProtection="1" pivotButton="0" quotePrefix="1" xfId="1">
      <alignment horizontal="left" vertical="top" wrapText="1"/>
      <protection locked="0" hidden="0"/>
    </xf>
    <xf numFmtId="0" fontId="18" fillId="0" borderId="13" applyAlignment="1" applyProtection="1" pivotButton="0" quotePrefix="1" xfId="1">
      <alignment horizontal="center" vertical="top"/>
      <protection locked="0" hidden="0"/>
    </xf>
    <xf numFmtId="0" fontId="18" fillId="0" borderId="13" applyAlignment="1" applyProtection="1" pivotButton="0" quotePrefix="0" xfId="1">
      <alignment vertical="top" wrapText="1"/>
      <protection locked="0" hidden="0"/>
    </xf>
    <xf numFmtId="0" fontId="18" fillId="0" borderId="13" applyAlignment="1" applyProtection="1" pivotButton="0" quotePrefix="0" xfId="1">
      <alignment horizontal="left" vertical="top" wrapText="1"/>
      <protection locked="0" hidden="0"/>
    </xf>
    <xf numFmtId="14" fontId="18" fillId="0" borderId="13" applyAlignment="1" applyProtection="1" pivotButton="0" quotePrefix="0" xfId="1">
      <alignment horizontal="center" vertical="top"/>
      <protection locked="0" hidden="0"/>
    </xf>
    <xf numFmtId="0" fontId="18" fillId="0" borderId="13" applyAlignment="1" applyProtection="1" pivotButton="0" quotePrefix="0" xfId="1">
      <alignment horizontal="center" vertical="top"/>
      <protection locked="0" hidden="0"/>
    </xf>
    <xf numFmtId="0" fontId="18" fillId="0" borderId="13" applyAlignment="1" applyProtection="1" pivotButton="0" quotePrefix="0" xfId="1">
      <alignment horizontal="center" vertical="top" wrapText="1"/>
      <protection locked="0" hidden="0"/>
    </xf>
    <xf numFmtId="0" fontId="32" fillId="0" borderId="13" applyAlignment="1" applyProtection="1" pivotButton="0" quotePrefix="1" xfId="1">
      <alignment horizontal="left" vertical="top" wrapText="1"/>
      <protection locked="0" hidden="0"/>
    </xf>
    <xf numFmtId="0" fontId="18" fillId="0" borderId="13" applyAlignment="1" applyProtection="1" pivotButton="0" quotePrefix="0" xfId="1">
      <alignment horizontal="left" vertical="top"/>
      <protection locked="0" hidden="0"/>
    </xf>
    <xf numFmtId="0" fontId="18" fillId="0" borderId="13" applyAlignment="1" applyProtection="1" pivotButton="0" quotePrefix="0" xfId="1">
      <alignment vertical="top"/>
      <protection locked="0" hidden="0"/>
    </xf>
    <xf numFmtId="0" fontId="29" fillId="8" borderId="7" applyAlignment="1" applyProtection="1" pivotButton="0" quotePrefix="1" xfId="1">
      <alignment horizontal="center" vertical="top"/>
      <protection locked="0" hidden="0"/>
    </xf>
    <xf numFmtId="0" fontId="29" fillId="8" borderId="7" applyAlignment="1" applyProtection="1" pivotButton="0" quotePrefix="0" xfId="1">
      <alignment vertical="top" wrapText="1"/>
      <protection locked="0" hidden="0"/>
    </xf>
    <xf numFmtId="0" fontId="29" fillId="8" borderId="7" applyAlignment="1" applyProtection="1" pivotButton="0" quotePrefix="0" xfId="1">
      <alignment horizontal="left" vertical="top" wrapText="1"/>
      <protection locked="0" hidden="0"/>
    </xf>
    <xf numFmtId="14" fontId="29" fillId="8" borderId="7" applyAlignment="1" applyProtection="1" pivotButton="0" quotePrefix="0" xfId="1">
      <alignment horizontal="center" vertical="top"/>
      <protection locked="0" hidden="0"/>
    </xf>
    <xf numFmtId="0" fontId="29" fillId="8" borderId="7" applyAlignment="1" applyProtection="1" pivotButton="0" quotePrefix="0" xfId="1">
      <alignment horizontal="center" vertical="top"/>
      <protection locked="0" hidden="0"/>
    </xf>
    <xf numFmtId="0" fontId="29" fillId="8" borderId="7" applyAlignment="1" applyProtection="1" pivotButton="0" quotePrefix="0" xfId="1">
      <alignment horizontal="center" vertical="top" wrapText="1"/>
      <protection locked="0" hidden="0"/>
    </xf>
    <xf numFmtId="0" fontId="29" fillId="8" borderId="7" applyAlignment="1" applyProtection="1" pivotButton="0" quotePrefix="1" xfId="1">
      <alignment horizontal="left" vertical="top" wrapText="1"/>
      <protection locked="0" hidden="0"/>
    </xf>
    <xf numFmtId="0" fontId="29" fillId="8" borderId="7" applyAlignment="1" applyProtection="1" pivotButton="0" quotePrefix="0" xfId="1">
      <alignment horizontal="left" vertical="top"/>
      <protection locked="0" hidden="0"/>
    </xf>
    <xf numFmtId="0" fontId="29" fillId="8" borderId="7" applyAlignment="1" applyProtection="1" pivotButton="0" quotePrefix="0" xfId="1">
      <alignment vertical="top"/>
      <protection locked="0" hidden="0"/>
    </xf>
    <xf numFmtId="164" fontId="32" fillId="0" borderId="7" applyAlignment="1" applyProtection="1" pivotButton="0" quotePrefix="1" xfId="1">
      <alignment horizontal="left" vertical="top" wrapText="1"/>
      <protection locked="0" hidden="0"/>
    </xf>
    <xf numFmtId="0" fontId="33" fillId="0" borderId="7" applyAlignment="1" applyProtection="1" pivotButton="0" quotePrefix="1" xfId="1">
      <alignment horizontal="center" vertical="top"/>
      <protection locked="0" hidden="0"/>
    </xf>
    <xf numFmtId="0" fontId="33" fillId="0" borderId="7" applyAlignment="1" applyProtection="1" pivotButton="0" quotePrefix="0" xfId="1">
      <alignment vertical="top" wrapText="1"/>
      <protection locked="0" hidden="0"/>
    </xf>
    <xf numFmtId="0" fontId="33" fillId="0" borderId="7" applyAlignment="1" applyProtection="1" pivotButton="0" quotePrefix="0" xfId="1">
      <alignment horizontal="left" vertical="top" wrapText="1"/>
      <protection locked="0" hidden="0"/>
    </xf>
    <xf numFmtId="14" fontId="33" fillId="0" borderId="7" applyAlignment="1" applyProtection="1" pivotButton="0" quotePrefix="0" xfId="1">
      <alignment horizontal="center" vertical="top" wrapText="1"/>
      <protection locked="0" hidden="0"/>
    </xf>
    <xf numFmtId="20" fontId="33" fillId="0" borderId="7" applyAlignment="1" applyProtection="1" pivotButton="0" quotePrefix="0" xfId="1">
      <alignment horizontal="center" vertical="top" wrapText="1"/>
      <protection locked="0" hidden="0"/>
    </xf>
    <xf numFmtId="0" fontId="33" fillId="0" borderId="7" applyAlignment="1" applyProtection="1" pivotButton="0" quotePrefix="0" xfId="1">
      <alignment horizontal="center" vertical="top"/>
      <protection locked="0" hidden="0"/>
    </xf>
    <xf numFmtId="0" fontId="33" fillId="0" borderId="7" applyAlignment="1" applyProtection="1" pivotButton="0" quotePrefix="0" xfId="1">
      <alignment horizontal="center" vertical="top" wrapText="1"/>
      <protection locked="0" hidden="0"/>
    </xf>
    <xf numFmtId="0" fontId="33" fillId="0" borderId="7" applyAlignment="1" applyProtection="1" pivotButton="0" quotePrefix="0" xfId="1">
      <alignment vertical="top"/>
      <protection locked="0" hidden="0"/>
    </xf>
    <xf numFmtId="0" fontId="33" fillId="0" borderId="7" applyAlignment="1" applyProtection="1" pivotButton="0" quotePrefix="1" xfId="1">
      <alignment horizontal="left" vertical="top" wrapText="1"/>
      <protection locked="0" hidden="0"/>
    </xf>
    <xf numFmtId="164" fontId="18" fillId="0" borderId="7" applyAlignment="1" applyProtection="1" pivotButton="0" quotePrefix="0" xfId="1">
      <alignment horizontal="center" vertical="top"/>
      <protection locked="0" hidden="0"/>
    </xf>
    <xf numFmtId="0" fontId="18" fillId="0" borderId="11" applyAlignment="1" applyProtection="1" pivotButton="0" quotePrefix="1" xfId="1">
      <alignment horizontal="center" vertical="top"/>
      <protection locked="0" hidden="0"/>
    </xf>
    <xf numFmtId="0" fontId="18" fillId="0" borderId="11" applyAlignment="1" applyProtection="1" pivotButton="0" quotePrefix="0" xfId="1">
      <alignment vertical="top" wrapText="1"/>
      <protection locked="0" hidden="0"/>
    </xf>
    <xf numFmtId="0" fontId="18" fillId="0" borderId="11" applyAlignment="1" applyProtection="1" pivotButton="0" quotePrefix="0" xfId="1">
      <alignment horizontal="left" vertical="top" wrapText="1"/>
      <protection locked="0" hidden="0"/>
    </xf>
    <xf numFmtId="14" fontId="18" fillId="0" borderId="11" applyAlignment="1" applyProtection="1" pivotButton="0" quotePrefix="0" xfId="1">
      <alignment horizontal="center" vertical="top"/>
      <protection locked="0" hidden="0"/>
    </xf>
    <xf numFmtId="0" fontId="18" fillId="0" borderId="11" applyAlignment="1" applyProtection="1" pivotButton="0" quotePrefix="0" xfId="1">
      <alignment horizontal="center" vertical="top"/>
      <protection locked="0" hidden="0"/>
    </xf>
    <xf numFmtId="0" fontId="18" fillId="0" borderId="11" applyAlignment="1" applyProtection="1" pivotButton="0" quotePrefix="0" xfId="1">
      <alignment horizontal="center" vertical="top" wrapText="1"/>
      <protection locked="0" hidden="0"/>
    </xf>
    <xf numFmtId="0" fontId="18" fillId="0" borderId="11" applyAlignment="1" applyProtection="1" pivotButton="0" quotePrefix="0" xfId="1">
      <alignment horizontal="left" vertical="top"/>
      <protection locked="0" hidden="0"/>
    </xf>
    <xf numFmtId="0" fontId="18" fillId="0" borderId="11" applyAlignment="1" applyProtection="1" pivotButton="0" quotePrefix="0" xfId="1">
      <alignment vertical="top"/>
      <protection locked="0" hidden="0"/>
    </xf>
    <xf numFmtId="0" fontId="18" fillId="0" borderId="12" applyAlignment="1" applyProtection="1" pivotButton="0" quotePrefix="1" xfId="1">
      <alignment horizontal="center" vertical="top"/>
      <protection locked="0" hidden="0"/>
    </xf>
    <xf numFmtId="0" fontId="18" fillId="0" borderId="12" applyAlignment="1" applyProtection="1" pivotButton="0" quotePrefix="0" xfId="1">
      <alignment vertical="top" wrapText="1"/>
      <protection locked="0" hidden="0"/>
    </xf>
    <xf numFmtId="0" fontId="18" fillId="0" borderId="12" applyAlignment="1" applyProtection="1" pivotButton="0" quotePrefix="0" xfId="1">
      <alignment horizontal="left" vertical="top" wrapText="1"/>
      <protection locked="0" hidden="0"/>
    </xf>
    <xf numFmtId="14" fontId="18" fillId="0" borderId="12" applyAlignment="1" applyProtection="1" pivotButton="0" quotePrefix="0" xfId="1">
      <alignment horizontal="center" vertical="top"/>
      <protection locked="0" hidden="0"/>
    </xf>
    <xf numFmtId="0" fontId="18" fillId="0" borderId="12" applyAlignment="1" applyProtection="1" pivotButton="0" quotePrefix="0" xfId="1">
      <alignment horizontal="center" vertical="top"/>
      <protection locked="0" hidden="0"/>
    </xf>
    <xf numFmtId="0" fontId="18" fillId="0" borderId="12" applyAlignment="1" applyProtection="1" pivotButton="0" quotePrefix="0" xfId="1">
      <alignment horizontal="center" vertical="top" wrapText="1"/>
      <protection locked="0" hidden="0"/>
    </xf>
    <xf numFmtId="0" fontId="18" fillId="0" borderId="12" applyAlignment="1" applyProtection="1" pivotButton="0" quotePrefix="1" xfId="1">
      <alignment horizontal="left" vertical="top" wrapText="1"/>
      <protection locked="0" hidden="0"/>
    </xf>
    <xf numFmtId="0" fontId="18" fillId="0" borderId="12" applyAlignment="1" applyProtection="1" pivotButton="0" quotePrefix="0" xfId="1">
      <alignment horizontal="left" vertical="top"/>
      <protection locked="0" hidden="0"/>
    </xf>
    <xf numFmtId="0" fontId="18" fillId="0" borderId="12" applyAlignment="1" applyProtection="1" pivotButton="0" quotePrefix="0" xfId="1">
      <alignment vertical="top"/>
      <protection locked="0" hidden="0"/>
    </xf>
    <xf numFmtId="0" fontId="32" fillId="0" borderId="13" applyAlignment="1" applyProtection="1" pivotButton="0" quotePrefix="1" xfId="1">
      <alignment horizontal="center" vertical="top"/>
      <protection locked="0" hidden="0"/>
    </xf>
    <xf numFmtId="0" fontId="32" fillId="0" borderId="13" applyAlignment="1" applyProtection="1" pivotButton="0" quotePrefix="0" xfId="1">
      <alignment vertical="top" wrapText="1"/>
      <protection locked="0" hidden="0"/>
    </xf>
    <xf numFmtId="0" fontId="32" fillId="0" borderId="13" applyAlignment="1" applyProtection="1" pivotButton="0" quotePrefix="0" xfId="1">
      <alignment horizontal="left" vertical="top" wrapText="1"/>
      <protection locked="0" hidden="0"/>
    </xf>
    <xf numFmtId="14" fontId="32" fillId="0" borderId="13" applyAlignment="1" applyProtection="1" pivotButton="0" quotePrefix="0" xfId="1">
      <alignment horizontal="center" vertical="top"/>
      <protection locked="0" hidden="0"/>
    </xf>
    <xf numFmtId="20" fontId="32" fillId="0" borderId="13" applyAlignment="1" applyProtection="1" pivotButton="0" quotePrefix="0" xfId="1">
      <alignment horizontal="center" vertical="top"/>
      <protection locked="0" hidden="0"/>
    </xf>
    <xf numFmtId="0" fontId="32" fillId="0" borderId="13" applyAlignment="1" applyProtection="1" pivotButton="0" quotePrefix="0" xfId="1">
      <alignment horizontal="center" vertical="top"/>
      <protection locked="0" hidden="0"/>
    </xf>
    <xf numFmtId="0" fontId="32" fillId="0" borderId="13" applyAlignment="1" applyProtection="1" pivotButton="0" quotePrefix="0" xfId="1">
      <alignment horizontal="center" vertical="top" wrapText="1"/>
      <protection locked="0" hidden="0"/>
    </xf>
    <xf numFmtId="0" fontId="32" fillId="0" borderId="13" applyAlignment="1" applyProtection="1" pivotButton="0" quotePrefix="0" xfId="1">
      <alignment horizontal="left" vertical="top"/>
      <protection locked="0" hidden="0"/>
    </xf>
    <xf numFmtId="0" fontId="32" fillId="0" borderId="13" applyAlignment="1" applyProtection="1" pivotButton="0" quotePrefix="0" xfId="1">
      <alignment vertical="top"/>
      <protection locked="0" hidden="0"/>
    </xf>
    <xf numFmtId="0" fontId="32" fillId="0" borderId="7" applyAlignment="1" applyProtection="1" pivotButton="0" quotePrefix="1" xfId="1">
      <alignment vertical="top"/>
      <protection locked="0" hidden="0"/>
    </xf>
    <xf numFmtId="20" fontId="33" fillId="0" borderId="7" applyAlignment="1" applyProtection="1" pivotButton="0" quotePrefix="0" xfId="1">
      <alignment horizontal="center" vertical="top"/>
      <protection locked="0" hidden="0"/>
    </xf>
    <xf numFmtId="20" fontId="29" fillId="8" borderId="7" applyAlignment="1" applyProtection="1" pivotButton="0" quotePrefix="0" xfId="1">
      <alignment horizontal="center" vertical="top"/>
      <protection locked="0" hidden="0"/>
    </xf>
    <xf numFmtId="0" fontId="18" fillId="0" borderId="7" applyAlignment="1" applyProtection="1" pivotButton="0" quotePrefix="1" xfId="1">
      <alignment horizontal="center" vertical="top" wrapText="1"/>
      <protection locked="0" hidden="0"/>
    </xf>
    <xf numFmtId="20" fontId="18" fillId="0" borderId="11" applyAlignment="1" applyProtection="1" pivotButton="0" quotePrefix="0" xfId="1">
      <alignment horizontal="center" vertical="top"/>
      <protection locked="0" hidden="0"/>
    </xf>
    <xf numFmtId="0" fontId="18" fillId="0" borderId="11" applyAlignment="1" applyProtection="1" pivotButton="0" quotePrefix="1" xfId="1">
      <alignment horizontal="left" vertical="top" wrapText="1"/>
      <protection locked="0" hidden="0"/>
    </xf>
    <xf numFmtId="0" fontId="15" fillId="0" borderId="3" applyAlignment="1" applyProtection="1" pivotButton="0" quotePrefix="0" xfId="1">
      <alignment vertical="top" wrapText="1"/>
      <protection locked="0" hidden="0"/>
    </xf>
    <xf numFmtId="14" fontId="33" fillId="0" borderId="5" applyAlignment="1" applyProtection="1" pivotButton="0" quotePrefix="0" xfId="1">
      <alignment horizontal="center" vertical="top"/>
      <protection locked="0" hidden="0"/>
    </xf>
    <xf numFmtId="20" fontId="33" fillId="0" borderId="5" applyAlignment="1" applyProtection="1" pivotButton="0" quotePrefix="0" xfId="1">
      <alignment horizontal="center" vertical="top"/>
      <protection locked="0" hidden="0"/>
    </xf>
    <xf numFmtId="0" fontId="33" fillId="0" borderId="5" applyAlignment="1" applyProtection="1" pivotButton="0" quotePrefix="0" xfId="1">
      <alignment horizontal="center" vertical="top"/>
      <protection locked="0" hidden="0"/>
    </xf>
    <xf numFmtId="0" fontId="33" fillId="0" borderId="5" applyAlignment="1" applyProtection="1" pivotButton="0" quotePrefix="1" xfId="1">
      <alignment horizontal="left" vertical="top" wrapText="1"/>
      <protection locked="0" hidden="0"/>
    </xf>
    <xf numFmtId="0" fontId="33" fillId="0" borderId="5" applyAlignment="1" applyProtection="1" pivotButton="0" quotePrefix="0" xfId="1">
      <alignment horizontal="left" vertical="top"/>
      <protection locked="0" hidden="0"/>
    </xf>
    <xf numFmtId="20" fontId="18" fillId="0" borderId="13" applyAlignment="1" applyProtection="1" pivotButton="0" quotePrefix="0" xfId="1">
      <alignment horizontal="center" vertical="top"/>
      <protection locked="0" hidden="0"/>
    </xf>
    <xf numFmtId="0" fontId="18" fillId="0" borderId="13" applyAlignment="1" applyProtection="1" pivotButton="0" quotePrefix="1" xfId="1">
      <alignment horizontal="left" vertical="top" wrapText="1"/>
      <protection locked="0" hidden="0"/>
    </xf>
    <xf numFmtId="0" fontId="34" fillId="0" borderId="14" applyAlignment="1" applyProtection="1" pivotButton="0" quotePrefix="1" xfId="1">
      <alignment horizontal="center" vertical="top"/>
      <protection locked="0" hidden="0"/>
    </xf>
    <xf numFmtId="0" fontId="34" fillId="0" borderId="14" applyAlignment="1" applyProtection="1" pivotButton="0" quotePrefix="0" xfId="1">
      <alignment vertical="top" wrapText="1"/>
      <protection locked="0" hidden="0"/>
    </xf>
    <xf numFmtId="0" fontId="34" fillId="0" borderId="14" applyAlignment="1" applyProtection="1" pivotButton="0" quotePrefix="0" xfId="1">
      <alignment horizontal="left" vertical="top" wrapText="1"/>
      <protection locked="0" hidden="0"/>
    </xf>
    <xf numFmtId="14" fontId="34" fillId="0" borderId="14" applyAlignment="1" applyProtection="1" pivotButton="0" quotePrefix="0" xfId="1">
      <alignment horizontal="center" vertical="top"/>
      <protection locked="0" hidden="0"/>
    </xf>
    <xf numFmtId="20" fontId="34" fillId="0" borderId="14" applyAlignment="1" applyProtection="1" pivotButton="0" quotePrefix="0" xfId="1">
      <alignment horizontal="center" vertical="top"/>
      <protection locked="0" hidden="0"/>
    </xf>
    <xf numFmtId="0" fontId="34" fillId="0" borderId="14" applyAlignment="1" applyProtection="1" pivotButton="0" quotePrefix="0" xfId="1">
      <alignment horizontal="center" vertical="top"/>
      <protection locked="0" hidden="0"/>
    </xf>
    <xf numFmtId="0" fontId="34" fillId="0" borderId="14" applyAlignment="1" applyProtection="1" pivotButton="0" quotePrefix="0" xfId="1">
      <alignment horizontal="center" vertical="top" wrapText="1"/>
      <protection locked="0" hidden="0"/>
    </xf>
    <xf numFmtId="0" fontId="34" fillId="0" borderId="14" applyAlignment="1" applyProtection="1" pivotButton="0" quotePrefix="1" xfId="1">
      <alignment horizontal="left" vertical="top" wrapText="1"/>
      <protection locked="0" hidden="0"/>
    </xf>
    <xf numFmtId="0" fontId="34" fillId="0" borderId="14" applyAlignment="1" applyProtection="1" pivotButton="0" quotePrefix="0" xfId="1">
      <alignment horizontal="left" vertical="top"/>
      <protection locked="0" hidden="0"/>
    </xf>
    <xf numFmtId="0" fontId="34" fillId="0" borderId="14" applyAlignment="1" applyProtection="1" pivotButton="0" quotePrefix="0" xfId="1">
      <alignment vertical="top"/>
      <protection locked="0" hidden="0"/>
    </xf>
    <xf numFmtId="0" fontId="18" fillId="0" borderId="15" applyAlignment="1" applyProtection="1" pivotButton="0" quotePrefix="1" xfId="1">
      <alignment horizontal="center" vertical="top"/>
      <protection locked="0" hidden="0"/>
    </xf>
    <xf numFmtId="0" fontId="18" fillId="0" borderId="15" applyAlignment="1" applyProtection="1" pivotButton="0" quotePrefix="0" xfId="1">
      <alignment vertical="top" wrapText="1"/>
      <protection locked="0" hidden="0"/>
    </xf>
    <xf numFmtId="0" fontId="18" fillId="0" borderId="15" applyAlignment="1" applyProtection="1" pivotButton="0" quotePrefix="0" xfId="1">
      <alignment horizontal="left" vertical="top" wrapText="1"/>
      <protection locked="0" hidden="0"/>
    </xf>
    <xf numFmtId="14" fontId="18" fillId="0" borderId="15" applyAlignment="1" applyProtection="1" pivotButton="0" quotePrefix="0" xfId="1">
      <alignment horizontal="center" vertical="top"/>
      <protection locked="0" hidden="0"/>
    </xf>
    <xf numFmtId="20" fontId="18" fillId="0" borderId="15" applyAlignment="1" applyProtection="1" pivotButton="0" quotePrefix="0" xfId="1">
      <alignment horizontal="center" vertical="top"/>
      <protection locked="0" hidden="0"/>
    </xf>
    <xf numFmtId="0" fontId="18" fillId="0" borderId="15" applyAlignment="1" applyProtection="1" pivotButton="0" quotePrefix="0" xfId="1">
      <alignment horizontal="center" vertical="top"/>
      <protection locked="0" hidden="0"/>
    </xf>
    <xf numFmtId="0" fontId="18" fillId="0" borderId="15" applyAlignment="1" applyProtection="1" pivotButton="0" quotePrefix="0" xfId="1">
      <alignment horizontal="center" vertical="top" wrapText="1"/>
      <protection locked="0" hidden="0"/>
    </xf>
    <xf numFmtId="0" fontId="18" fillId="0" borderId="15" applyAlignment="1" applyProtection="1" pivotButton="0" quotePrefix="1" xfId="1">
      <alignment horizontal="left" vertical="top" wrapText="1"/>
      <protection locked="0" hidden="0"/>
    </xf>
    <xf numFmtId="0" fontId="18" fillId="0" borderId="15" applyAlignment="1" applyProtection="1" pivotButton="0" quotePrefix="0" xfId="1">
      <alignment horizontal="left" vertical="top"/>
      <protection locked="0" hidden="0"/>
    </xf>
    <xf numFmtId="0" fontId="18" fillId="0" borderId="15" applyAlignment="1" applyProtection="1" pivotButton="0" quotePrefix="0" xfId="1">
      <alignment vertical="top"/>
      <protection locked="0" hidden="0"/>
    </xf>
    <xf numFmtId="0" fontId="18" fillId="0" borderId="14" applyAlignment="1" applyProtection="1" pivotButton="0" quotePrefix="1" xfId="1">
      <alignment horizontal="left" vertical="top" wrapText="1"/>
      <protection locked="0" hidden="0"/>
    </xf>
    <xf numFmtId="0" fontId="30" fillId="0" borderId="11" applyAlignment="1" applyProtection="1" pivotButton="0" quotePrefix="1" xfId="1">
      <alignment horizontal="center" vertical="top"/>
      <protection locked="0" hidden="0"/>
    </xf>
    <xf numFmtId="0" fontId="30" fillId="0" borderId="11" applyAlignment="1" applyProtection="1" pivotButton="0" quotePrefix="1" xfId="1">
      <alignment vertical="top" wrapText="1"/>
      <protection locked="0" hidden="0"/>
    </xf>
    <xf numFmtId="0" fontId="30" fillId="0" borderId="11" applyAlignment="1" applyProtection="1" pivotButton="0" quotePrefix="0" xfId="1">
      <alignment horizontal="left" vertical="top" wrapText="1"/>
      <protection locked="0" hidden="0"/>
    </xf>
    <xf numFmtId="14" fontId="30" fillId="0" borderId="11" applyAlignment="1" applyProtection="1" pivotButton="0" quotePrefix="0" xfId="1">
      <alignment horizontal="center" vertical="top" wrapText="1"/>
      <protection locked="0" hidden="0"/>
    </xf>
    <xf numFmtId="0" fontId="30" fillId="0" borderId="11" applyAlignment="1" applyProtection="1" pivotButton="0" quotePrefix="0" xfId="1">
      <alignment horizontal="center" vertical="top" wrapText="1"/>
      <protection locked="0" hidden="0"/>
    </xf>
    <xf numFmtId="0" fontId="30" fillId="0" borderId="11" applyAlignment="1" applyProtection="1" pivotButton="0" quotePrefix="0" xfId="1">
      <alignment vertical="top" wrapText="1"/>
      <protection locked="0" hidden="0"/>
    </xf>
    <xf numFmtId="0" fontId="30" fillId="0" borderId="11" applyAlignment="1" applyProtection="1" pivotButton="0" quotePrefix="0" xfId="1">
      <alignment vertical="top"/>
      <protection locked="0" hidden="0"/>
    </xf>
    <xf numFmtId="0" fontId="30" fillId="0" borderId="12" applyAlignment="1" applyProtection="1" pivotButton="0" quotePrefix="1" xfId="1">
      <alignment horizontal="center" vertical="top"/>
      <protection locked="0" hidden="0"/>
    </xf>
    <xf numFmtId="0" fontId="30" fillId="0" borderId="12" applyAlignment="1" applyProtection="1" pivotButton="0" quotePrefix="1" xfId="1">
      <alignment vertical="top" wrapText="1"/>
      <protection locked="0" hidden="0"/>
    </xf>
    <xf numFmtId="0" fontId="30" fillId="0" borderId="12" applyAlignment="1" applyProtection="1" pivotButton="0" quotePrefix="0" xfId="1">
      <alignment horizontal="left" vertical="top" wrapText="1"/>
      <protection locked="0" hidden="0"/>
    </xf>
    <xf numFmtId="14" fontId="30" fillId="0" borderId="12" applyAlignment="1" applyProtection="1" pivotButton="0" quotePrefix="0" xfId="1">
      <alignment horizontal="center" vertical="top" wrapText="1"/>
      <protection locked="0" hidden="0"/>
    </xf>
    <xf numFmtId="0" fontId="30" fillId="0" borderId="12" applyAlignment="1" applyProtection="1" pivotButton="0" quotePrefix="0" xfId="1">
      <alignment horizontal="center" vertical="top" wrapText="1"/>
      <protection locked="0" hidden="0"/>
    </xf>
    <xf numFmtId="0" fontId="30" fillId="0" borderId="12" applyAlignment="1" applyProtection="1" pivotButton="0" quotePrefix="0" xfId="1">
      <alignment vertical="top"/>
      <protection locked="0" hidden="0"/>
    </xf>
    <xf numFmtId="14" fontId="33" fillId="0" borderId="12" applyAlignment="1" applyProtection="1" pivotButton="0" quotePrefix="0" xfId="1">
      <alignment horizontal="center" vertical="top"/>
      <protection locked="0" hidden="0"/>
    </xf>
    <xf numFmtId="20" fontId="33" fillId="0" borderId="12" applyAlignment="1" applyProtection="1" pivotButton="0" quotePrefix="0" xfId="1">
      <alignment horizontal="center" vertical="top"/>
      <protection locked="0" hidden="0"/>
    </xf>
    <xf numFmtId="0" fontId="33" fillId="0" borderId="12" applyAlignment="1" applyProtection="1" pivotButton="0" quotePrefix="0" xfId="1">
      <alignment horizontal="left" vertical="top"/>
      <protection locked="0" hidden="0"/>
    </xf>
    <xf numFmtId="0" fontId="18" fillId="0" borderId="16" applyAlignment="1" applyProtection="1" pivotButton="0" quotePrefix="1" xfId="1">
      <alignment horizontal="center" vertical="top"/>
      <protection locked="0" hidden="0"/>
    </xf>
    <xf numFmtId="0" fontId="18" fillId="0" borderId="16" applyAlignment="1" applyProtection="1" pivotButton="0" quotePrefix="0" xfId="1">
      <alignment vertical="top" wrapText="1"/>
      <protection locked="0" hidden="0"/>
    </xf>
    <xf numFmtId="0" fontId="18" fillId="0" borderId="16" applyAlignment="1" applyProtection="1" pivotButton="0" quotePrefix="0" xfId="1">
      <alignment horizontal="left" vertical="top" wrapText="1"/>
      <protection locked="0" hidden="0"/>
    </xf>
    <xf numFmtId="14" fontId="18" fillId="0" borderId="16" applyAlignment="1" applyProtection="1" pivotButton="0" quotePrefix="0" xfId="1">
      <alignment horizontal="center" vertical="top"/>
      <protection locked="0" hidden="0"/>
    </xf>
    <xf numFmtId="20" fontId="18" fillId="0" borderId="16" applyAlignment="1" applyProtection="1" pivotButton="0" quotePrefix="0" xfId="1">
      <alignment horizontal="center" vertical="top"/>
      <protection locked="0" hidden="0"/>
    </xf>
    <xf numFmtId="0" fontId="18" fillId="0" borderId="16" applyAlignment="1" applyProtection="1" pivotButton="0" quotePrefix="0" xfId="1">
      <alignment horizontal="center" vertical="top"/>
      <protection locked="0" hidden="0"/>
    </xf>
    <xf numFmtId="0" fontId="18" fillId="0" borderId="16" applyAlignment="1" applyProtection="1" pivotButton="0" quotePrefix="0" xfId="1">
      <alignment horizontal="center" vertical="top" wrapText="1"/>
      <protection locked="0" hidden="0"/>
    </xf>
    <xf numFmtId="0" fontId="18" fillId="0" borderId="16" applyAlignment="1" applyProtection="1" pivotButton="0" quotePrefix="1" xfId="1">
      <alignment horizontal="left" vertical="top" wrapText="1"/>
      <protection locked="0" hidden="0"/>
    </xf>
    <xf numFmtId="0" fontId="32" fillId="0" borderId="16" applyAlignment="1" applyProtection="1" pivotButton="0" quotePrefix="1" xfId="1">
      <alignment horizontal="left" vertical="top" wrapText="1"/>
      <protection locked="0" hidden="0"/>
    </xf>
    <xf numFmtId="0" fontId="18" fillId="0" borderId="16" applyAlignment="1" applyProtection="1" pivotButton="0" quotePrefix="0" xfId="1">
      <alignment vertical="top"/>
      <protection locked="0" hidden="0"/>
    </xf>
    <xf numFmtId="0" fontId="18" fillId="0" borderId="16" applyAlignment="1" applyProtection="1" pivotButton="0" quotePrefix="0" xfId="1">
      <alignment horizontal="left" vertical="top"/>
      <protection locked="0" hidden="0"/>
    </xf>
    <xf numFmtId="0" fontId="18" fillId="0" borderId="17" applyAlignment="1" applyProtection="1" pivotButton="0" quotePrefix="1" xfId="1">
      <alignment horizontal="center" vertical="top"/>
      <protection locked="0" hidden="0"/>
    </xf>
    <xf numFmtId="0" fontId="18" fillId="0" borderId="17" applyAlignment="1" applyProtection="1" pivotButton="0" quotePrefix="0" xfId="1">
      <alignment vertical="top" wrapText="1"/>
      <protection locked="0" hidden="0"/>
    </xf>
    <xf numFmtId="0" fontId="18" fillId="0" borderId="17" applyAlignment="1" applyProtection="1" pivotButton="0" quotePrefix="0" xfId="1">
      <alignment horizontal="left" vertical="top" wrapText="1"/>
      <protection locked="0" hidden="0"/>
    </xf>
    <xf numFmtId="14" fontId="18" fillId="0" borderId="17" applyAlignment="1" applyProtection="1" pivotButton="0" quotePrefix="0" xfId="1">
      <alignment horizontal="center" vertical="top"/>
      <protection locked="0" hidden="0"/>
    </xf>
    <xf numFmtId="20" fontId="18" fillId="0" borderId="17" applyAlignment="1" applyProtection="1" pivotButton="0" quotePrefix="0" xfId="1">
      <alignment horizontal="center" vertical="top"/>
      <protection locked="0" hidden="0"/>
    </xf>
    <xf numFmtId="0" fontId="18" fillId="0" borderId="17" applyAlignment="1" applyProtection="1" pivotButton="0" quotePrefix="0" xfId="1">
      <alignment horizontal="center" vertical="top"/>
      <protection locked="0" hidden="0"/>
    </xf>
    <xf numFmtId="0" fontId="18" fillId="0" borderId="17" applyAlignment="1" applyProtection="1" pivotButton="0" quotePrefix="0" xfId="1">
      <alignment horizontal="center" vertical="top" wrapText="1"/>
      <protection locked="0" hidden="0"/>
    </xf>
    <xf numFmtId="0" fontId="18" fillId="0" borderId="17" applyAlignment="1" applyProtection="1" pivotButton="0" quotePrefix="1" xfId="1">
      <alignment horizontal="left" vertical="top" wrapText="1"/>
      <protection locked="0" hidden="0"/>
    </xf>
    <xf numFmtId="0" fontId="18" fillId="0" borderId="17" applyAlignment="1" applyProtection="1" pivotButton="0" quotePrefix="0" xfId="1">
      <alignment vertical="top"/>
      <protection locked="0" hidden="0"/>
    </xf>
    <xf numFmtId="0" fontId="18" fillId="0" borderId="17" applyAlignment="1" applyProtection="1" pivotButton="0" quotePrefix="0" xfId="1">
      <alignment horizontal="left" vertical="top"/>
      <protection locked="0" hidden="0"/>
    </xf>
    <xf numFmtId="0" fontId="34" fillId="0" borderId="3" applyAlignment="1" applyProtection="1" pivotButton="0" quotePrefix="1" xfId="1">
      <alignment horizontal="center" vertical="top"/>
      <protection locked="0" hidden="0"/>
    </xf>
    <xf numFmtId="0" fontId="34" fillId="0" borderId="3" applyAlignment="1" applyProtection="1" pivotButton="0" quotePrefix="0" xfId="1">
      <alignment vertical="top" wrapText="1"/>
      <protection locked="0" hidden="0"/>
    </xf>
    <xf numFmtId="0" fontId="34" fillId="0" borderId="3" applyAlignment="1" applyProtection="1" pivotButton="0" quotePrefix="0" xfId="1">
      <alignment horizontal="left" vertical="top" wrapText="1"/>
      <protection locked="0" hidden="0"/>
    </xf>
    <xf numFmtId="14" fontId="34" fillId="0" borderId="3" applyAlignment="1" applyProtection="1" pivotButton="0" quotePrefix="0" xfId="1">
      <alignment horizontal="center" vertical="top"/>
      <protection locked="0" hidden="0"/>
    </xf>
    <xf numFmtId="20" fontId="34" fillId="0" borderId="3" applyAlignment="1" applyProtection="1" pivotButton="0" quotePrefix="0" xfId="1">
      <alignment horizontal="center" vertical="top"/>
      <protection locked="0" hidden="0"/>
    </xf>
    <xf numFmtId="0" fontId="34" fillId="0" borderId="3" applyAlignment="1" applyProtection="1" pivotButton="0" quotePrefix="0" xfId="1">
      <alignment horizontal="center" vertical="top"/>
      <protection locked="0" hidden="0"/>
    </xf>
    <xf numFmtId="0" fontId="34" fillId="0" borderId="3" applyAlignment="1" applyProtection="1" pivotButton="0" quotePrefix="0" xfId="1">
      <alignment horizontal="center" vertical="top" wrapText="1"/>
      <protection locked="0" hidden="0"/>
    </xf>
    <xf numFmtId="0" fontId="34" fillId="0" borderId="3" applyAlignment="1" applyProtection="1" pivotButton="0" quotePrefix="1" xfId="1">
      <alignment horizontal="left" vertical="top" wrapText="1"/>
      <protection locked="0" hidden="0"/>
    </xf>
    <xf numFmtId="0" fontId="34" fillId="0" borderId="3" applyAlignment="1" applyProtection="1" pivotButton="0" quotePrefix="0" xfId="1">
      <alignment horizontal="left" vertical="top"/>
      <protection locked="0" hidden="0"/>
    </xf>
    <xf numFmtId="0" fontId="34" fillId="0" borderId="3" applyAlignment="1" applyProtection="1" pivotButton="0" quotePrefix="0" xfId="1">
      <alignment vertical="top"/>
      <protection locked="0" hidden="0"/>
    </xf>
    <xf numFmtId="0" fontId="18" fillId="0" borderId="14" applyAlignment="1" applyProtection="1" pivotButton="0" quotePrefix="1" xfId="1">
      <alignment horizontal="center" vertical="top"/>
      <protection locked="0" hidden="0"/>
    </xf>
    <xf numFmtId="0" fontId="18" fillId="0" borderId="14" applyAlignment="1" applyProtection="1" pivotButton="0" quotePrefix="0" xfId="1">
      <alignment vertical="top" wrapText="1"/>
      <protection locked="0" hidden="0"/>
    </xf>
    <xf numFmtId="14" fontId="18" fillId="0" borderId="14" applyAlignment="1" applyProtection="1" pivotButton="0" quotePrefix="0" xfId="1">
      <alignment horizontal="center" vertical="top"/>
      <protection locked="0" hidden="0"/>
    </xf>
    <xf numFmtId="20" fontId="18" fillId="0" borderId="14" applyAlignment="1" applyProtection="1" pivotButton="0" quotePrefix="0" xfId="1">
      <alignment horizontal="center" vertical="top"/>
      <protection locked="0" hidden="0"/>
    </xf>
    <xf numFmtId="0" fontId="18" fillId="0" borderId="14" applyAlignment="1" applyProtection="1" pivotButton="0" quotePrefix="0" xfId="1">
      <alignment horizontal="center" vertical="top"/>
      <protection locked="0" hidden="0"/>
    </xf>
    <xf numFmtId="0" fontId="18" fillId="0" borderId="14" applyAlignment="1" applyProtection="1" pivotButton="0" quotePrefix="0" xfId="1">
      <alignment horizontal="center" vertical="top" wrapText="1"/>
      <protection locked="0" hidden="0"/>
    </xf>
    <xf numFmtId="0" fontId="18" fillId="0" borderId="14" applyAlignment="1" applyProtection="1" pivotButton="0" quotePrefix="0" xfId="1">
      <alignment horizontal="left" vertical="top"/>
      <protection locked="0" hidden="0"/>
    </xf>
    <xf numFmtId="0" fontId="18" fillId="0" borderId="14" applyAlignment="1" applyProtection="1" pivotButton="0" quotePrefix="0" xfId="1">
      <alignment vertical="top"/>
      <protection locked="0" hidden="0"/>
    </xf>
    <xf numFmtId="14" fontId="18" fillId="0" borderId="10" applyAlignment="1" applyProtection="1" pivotButton="0" quotePrefix="0" xfId="1">
      <alignment horizontal="center" vertical="top"/>
      <protection locked="0" hidden="0"/>
    </xf>
    <xf numFmtId="20" fontId="18" fillId="0" borderId="10" applyAlignment="1" applyProtection="1" pivotButton="0" quotePrefix="0" xfId="1">
      <alignment horizontal="center" vertical="top"/>
      <protection locked="0" hidden="0"/>
    </xf>
    <xf numFmtId="0" fontId="18" fillId="0" borderId="10" applyAlignment="1" applyProtection="1" pivotButton="0" quotePrefix="0" xfId="1">
      <alignment horizontal="center" vertical="top"/>
      <protection locked="0" hidden="0"/>
    </xf>
    <xf numFmtId="0" fontId="18" fillId="0" borderId="10" applyAlignment="1" applyProtection="1" pivotButton="0" quotePrefix="1" xfId="1">
      <alignment horizontal="left" vertical="top" wrapText="1"/>
      <protection locked="0" hidden="0"/>
    </xf>
    <xf numFmtId="0" fontId="18" fillId="0" borderId="10" applyAlignment="1" applyProtection="1" pivotButton="0" quotePrefix="0" xfId="1">
      <alignment horizontal="left" vertical="top"/>
      <protection locked="0" hidden="0"/>
    </xf>
    <xf numFmtId="0" fontId="29" fillId="8" borderId="18" applyAlignment="1" applyProtection="1" pivotButton="0" quotePrefix="1" xfId="1">
      <alignment horizontal="center" vertical="top"/>
      <protection locked="0" hidden="0"/>
    </xf>
    <xf numFmtId="0" fontId="29" fillId="8" borderId="18" applyAlignment="1" applyProtection="1" pivotButton="0" quotePrefix="0" xfId="1">
      <alignment vertical="top" wrapText="1"/>
      <protection locked="0" hidden="0"/>
    </xf>
    <xf numFmtId="0" fontId="29" fillId="8" borderId="18" applyAlignment="1" applyProtection="1" pivotButton="0" quotePrefix="0" xfId="1">
      <alignment horizontal="left" vertical="top" wrapText="1"/>
      <protection locked="0" hidden="0"/>
    </xf>
    <xf numFmtId="14" fontId="29" fillId="8" borderId="18" applyAlignment="1" applyProtection="1" pivotButton="0" quotePrefix="0" xfId="1">
      <alignment horizontal="center" vertical="top"/>
      <protection locked="0" hidden="0"/>
    </xf>
    <xf numFmtId="0" fontId="29" fillId="8" borderId="18" applyAlignment="1" applyProtection="1" pivotButton="0" quotePrefix="0" xfId="1">
      <alignment horizontal="center" vertical="top"/>
      <protection locked="0" hidden="0"/>
    </xf>
    <xf numFmtId="0" fontId="29" fillId="8" borderId="18" applyAlignment="1" applyProtection="1" pivotButton="0" quotePrefix="0" xfId="1">
      <alignment horizontal="center" vertical="top" wrapText="1"/>
      <protection locked="0" hidden="0"/>
    </xf>
    <xf numFmtId="0" fontId="29" fillId="8" borderId="18" applyAlignment="1" applyProtection="1" pivotButton="0" quotePrefix="0" xfId="1">
      <alignment horizontal="left" vertical="top"/>
      <protection locked="0" hidden="0"/>
    </xf>
    <xf numFmtId="0" fontId="29" fillId="8" borderId="18" applyAlignment="1" applyProtection="1" pivotButton="0" quotePrefix="0" xfId="1">
      <alignment vertical="top"/>
      <protection locked="0" hidden="0"/>
    </xf>
    <xf numFmtId="0" fontId="30" fillId="0" borderId="14" applyAlignment="1" applyProtection="1" pivotButton="0" quotePrefix="1" xfId="1">
      <alignment horizontal="center" vertical="top"/>
      <protection locked="0" hidden="0"/>
    </xf>
    <xf numFmtId="0" fontId="30" fillId="0" borderId="14" applyAlignment="1" applyProtection="1" pivotButton="0" quotePrefix="1" xfId="1">
      <alignment vertical="top" wrapText="1"/>
      <protection locked="0" hidden="0"/>
    </xf>
    <xf numFmtId="0" fontId="30" fillId="0" borderId="14" applyAlignment="1" applyProtection="1" pivotButton="0" quotePrefix="0" xfId="1">
      <alignment horizontal="left" vertical="top" wrapText="1"/>
      <protection locked="0" hidden="0"/>
    </xf>
    <xf numFmtId="14" fontId="30" fillId="0" borderId="14" applyAlignment="1" applyProtection="1" pivotButton="0" quotePrefix="0" xfId="1">
      <alignment horizontal="center" vertical="top" wrapText="1"/>
      <protection locked="0" hidden="0"/>
    </xf>
    <xf numFmtId="0" fontId="30" fillId="0" borderId="14" applyAlignment="1" applyProtection="1" pivotButton="0" quotePrefix="0" xfId="1">
      <alignment horizontal="center" vertical="top" wrapText="1"/>
      <protection locked="0" hidden="0"/>
    </xf>
    <xf numFmtId="0" fontId="30" fillId="0" borderId="14" applyAlignment="1" applyProtection="1" pivotButton="0" quotePrefix="0" xfId="1">
      <alignment vertical="top"/>
      <protection locked="0" hidden="0"/>
    </xf>
    <xf numFmtId="14" fontId="18" fillId="0" borderId="5" applyAlignment="1" applyProtection="1" pivotButton="0" quotePrefix="0" xfId="1">
      <alignment horizontal="center" vertical="top"/>
      <protection locked="0" hidden="0"/>
    </xf>
    <xf numFmtId="20" fontId="18" fillId="0" borderId="5" applyAlignment="1" applyProtection="1" pivotButton="0" quotePrefix="0" xfId="1">
      <alignment horizontal="center" vertical="top"/>
      <protection locked="0" hidden="0"/>
    </xf>
    <xf numFmtId="0" fontId="18" fillId="0" borderId="5" applyAlignment="1" applyProtection="1" pivotButton="0" quotePrefix="0" xfId="1">
      <alignment horizontal="center" vertical="top"/>
      <protection locked="0" hidden="0"/>
    </xf>
    <xf numFmtId="0" fontId="18" fillId="0" borderId="5" applyAlignment="1" applyProtection="1" pivotButton="0" quotePrefix="0" xfId="1">
      <alignment horizontal="left" vertical="top"/>
      <protection locked="0" hidden="0"/>
    </xf>
    <xf numFmtId="14" fontId="18" fillId="0" borderId="3" applyAlignment="1" applyProtection="1" pivotButton="0" quotePrefix="0" xfId="1">
      <alignment horizontal="center" vertical="top"/>
      <protection locked="0" hidden="0"/>
    </xf>
    <xf numFmtId="0" fontId="18" fillId="0" borderId="3" applyAlignment="1" applyProtection="1" pivotButton="0" quotePrefix="0" xfId="1">
      <alignment horizontal="center" vertical="top"/>
      <protection locked="0" hidden="0"/>
    </xf>
    <xf numFmtId="0" fontId="18" fillId="0" borderId="3" applyAlignment="1" applyProtection="1" pivotButton="0" quotePrefix="1" xfId="1">
      <alignment horizontal="center" vertical="top" wrapText="1"/>
      <protection locked="0" hidden="0"/>
    </xf>
    <xf numFmtId="0" fontId="18" fillId="0" borderId="3" applyAlignment="1" applyProtection="1" pivotButton="0" quotePrefix="0" xfId="1">
      <alignment horizontal="left" vertical="top"/>
      <protection locked="0" hidden="0"/>
    </xf>
    <xf numFmtId="14" fontId="32" fillId="0" borderId="5" applyAlignment="1" applyProtection="1" pivotButton="0" quotePrefix="0" xfId="1">
      <alignment horizontal="center" vertical="top"/>
      <protection locked="0" hidden="0"/>
    </xf>
    <xf numFmtId="20" fontId="32" fillId="0" borderId="5" applyAlignment="1" applyProtection="1" pivotButton="0" quotePrefix="0" xfId="1">
      <alignment horizontal="center" vertical="top"/>
      <protection locked="0" hidden="0"/>
    </xf>
    <xf numFmtId="0" fontId="32" fillId="0" borderId="5" applyAlignment="1" applyProtection="1" pivotButton="0" quotePrefix="0" xfId="1">
      <alignment horizontal="center" vertical="top"/>
      <protection locked="0" hidden="0"/>
    </xf>
    <xf numFmtId="0" fontId="32" fillId="0" borderId="5" applyAlignment="1" applyProtection="1" pivotButton="0" quotePrefix="0" xfId="1">
      <alignment horizontal="left" vertical="top"/>
      <protection locked="0" hidden="0"/>
    </xf>
    <xf numFmtId="0" fontId="15" fillId="0" borderId="19" applyAlignment="1" applyProtection="1" pivotButton="0" quotePrefix="0" xfId="1">
      <alignment horizontal="center" vertical="top"/>
      <protection locked="0" hidden="0"/>
    </xf>
    <xf numFmtId="0" fontId="15" fillId="0" borderId="19" applyAlignment="1" applyProtection="1" pivotButton="0" quotePrefix="0" xfId="1">
      <alignment vertical="top"/>
      <protection locked="0" hidden="0"/>
    </xf>
    <xf numFmtId="14" fontId="32" fillId="0" borderId="9" applyAlignment="1" applyProtection="1" pivotButton="0" quotePrefix="0" xfId="1">
      <alignment horizontal="center" vertical="top"/>
      <protection locked="0" hidden="0"/>
    </xf>
    <xf numFmtId="20" fontId="32" fillId="0" borderId="9" applyAlignment="1" applyProtection="1" pivotButton="0" quotePrefix="0" xfId="1">
      <alignment horizontal="center" vertical="top"/>
      <protection locked="0" hidden="0"/>
    </xf>
    <xf numFmtId="0" fontId="32" fillId="0" borderId="9" applyAlignment="1" applyProtection="1" pivotButton="0" quotePrefix="0" xfId="1">
      <alignment horizontal="center" vertical="top"/>
      <protection locked="0" hidden="0"/>
    </xf>
    <xf numFmtId="0" fontId="32" fillId="0" borderId="9" applyAlignment="1" applyProtection="1" pivotButton="0" quotePrefix="0" xfId="1">
      <alignment horizontal="left" vertical="top"/>
      <protection locked="0" hidden="0"/>
    </xf>
    <xf numFmtId="14" fontId="32" fillId="0" borderId="3" applyAlignment="1" applyProtection="1" pivotButton="0" quotePrefix="0" xfId="1">
      <alignment horizontal="center" vertical="top"/>
      <protection locked="0" hidden="0"/>
    </xf>
    <xf numFmtId="20" fontId="32" fillId="0" borderId="3" applyAlignment="1" applyProtection="1" pivotButton="0" quotePrefix="0" xfId="1">
      <alignment horizontal="center" vertical="top"/>
      <protection locked="0" hidden="0"/>
    </xf>
    <xf numFmtId="0" fontId="32" fillId="0" borderId="3" applyAlignment="1" applyProtection="1" pivotButton="0" quotePrefix="0" xfId="1">
      <alignment horizontal="center" vertical="top"/>
      <protection locked="0" hidden="0"/>
    </xf>
    <xf numFmtId="0" fontId="32" fillId="0" borderId="3" applyAlignment="1" applyProtection="1" pivotButton="0" quotePrefix="0" xfId="1">
      <alignment horizontal="left" vertical="top"/>
      <protection locked="0" hidden="0"/>
    </xf>
    <xf numFmtId="14" fontId="18" fillId="0" borderId="9" applyAlignment="1" applyProtection="1" pivotButton="0" quotePrefix="0" xfId="1">
      <alignment horizontal="center" vertical="top"/>
      <protection locked="0" hidden="0"/>
    </xf>
    <xf numFmtId="20" fontId="18" fillId="0" borderId="9" applyAlignment="1" applyProtection="1" pivotButton="0" quotePrefix="0" xfId="1">
      <alignment horizontal="center" vertical="top"/>
      <protection locked="0" hidden="0"/>
    </xf>
    <xf numFmtId="0" fontId="18" fillId="0" borderId="9" applyAlignment="1" applyProtection="1" pivotButton="0" quotePrefix="0" xfId="1">
      <alignment horizontal="center" vertical="top"/>
      <protection locked="0" hidden="0"/>
    </xf>
    <xf numFmtId="0" fontId="18" fillId="0" borderId="9" applyAlignment="1" applyProtection="1" pivotButton="0" quotePrefix="1" xfId="1">
      <alignment horizontal="center" vertical="top" wrapText="1"/>
      <protection locked="0" hidden="0"/>
    </xf>
    <xf numFmtId="0" fontId="18" fillId="0" borderId="9" applyAlignment="1" applyProtection="1" pivotButton="0" quotePrefix="0" xfId="1">
      <alignment horizontal="left" vertical="top"/>
      <protection locked="0" hidden="0"/>
    </xf>
    <xf numFmtId="20" fontId="18" fillId="0" borderId="3" applyAlignment="1" applyProtection="1" pivotButton="0" quotePrefix="0" xfId="1">
      <alignment horizontal="center" vertical="top"/>
      <protection locked="0" hidden="0"/>
    </xf>
    <xf numFmtId="0" fontId="18" fillId="0" borderId="20" applyAlignment="1" applyProtection="1" pivotButton="0" quotePrefix="0" xfId="1">
      <alignment horizontal="center" vertical="top" wrapText="1"/>
      <protection locked="0" hidden="0"/>
    </xf>
    <xf numFmtId="0" fontId="18" fillId="0" borderId="21" applyAlignment="1" applyProtection="1" pivotButton="0" quotePrefix="0" xfId="1">
      <alignment horizontal="center" vertical="top" wrapText="1"/>
      <protection locked="0" hidden="0"/>
    </xf>
    <xf numFmtId="0" fontId="18" fillId="0" borderId="21" applyAlignment="1" applyProtection="1" pivotButton="0" quotePrefix="0" xfId="1">
      <alignment horizontal="center" vertical="top"/>
      <protection locked="0" hidden="0"/>
    </xf>
    <xf numFmtId="0" fontId="18" fillId="0" borderId="21" applyAlignment="1" applyProtection="1" pivotButton="0" quotePrefix="0" xfId="1">
      <alignment horizontal="left" vertical="top"/>
      <protection locked="0" hidden="0"/>
    </xf>
    <xf numFmtId="0" fontId="18" fillId="0" borderId="22" applyAlignment="1" applyProtection="1" pivotButton="0" quotePrefix="0" xfId="1">
      <alignment horizontal="center" vertical="top"/>
      <protection locked="0" hidden="0"/>
    </xf>
    <xf numFmtId="0" fontId="18" fillId="0" borderId="23" applyAlignment="1" applyProtection="1" pivotButton="0" quotePrefix="0" xfId="1">
      <alignment horizontal="center" vertical="top" wrapText="1"/>
      <protection locked="0" hidden="0"/>
    </xf>
    <xf numFmtId="0" fontId="18" fillId="0" borderId="24" applyAlignment="1" applyProtection="1" pivotButton="0" quotePrefix="0" xfId="1">
      <alignment horizontal="center" vertical="top" wrapText="1"/>
      <protection locked="0" hidden="0"/>
    </xf>
    <xf numFmtId="0" fontId="18" fillId="0" borderId="24" applyAlignment="1" applyProtection="1" pivotButton="0" quotePrefix="0" xfId="1">
      <alignment horizontal="center" vertical="top"/>
      <protection locked="0" hidden="0"/>
    </xf>
    <xf numFmtId="0" fontId="18" fillId="0" borderId="24" applyAlignment="1" applyProtection="1" pivotButton="0" quotePrefix="0" xfId="1">
      <alignment horizontal="left" vertical="top"/>
      <protection locked="0" hidden="0"/>
    </xf>
    <xf numFmtId="0" fontId="18" fillId="0" borderId="25" applyAlignment="1" applyProtection="1" pivotButton="0" quotePrefix="0" xfId="1">
      <alignment horizontal="center" vertical="top"/>
      <protection locked="0" hidden="0"/>
    </xf>
    <xf numFmtId="0" fontId="18" fillId="0" borderId="26" applyAlignment="1" applyProtection="1" pivotButton="0" quotePrefix="1" xfId="1">
      <alignment horizontal="center" vertical="top"/>
      <protection locked="0" hidden="0"/>
    </xf>
    <xf numFmtId="0" fontId="18" fillId="0" borderId="26" applyAlignment="1" applyProtection="1" pivotButton="0" quotePrefix="0" xfId="1">
      <alignment vertical="top" wrapText="1"/>
      <protection locked="0" hidden="0"/>
    </xf>
    <xf numFmtId="0" fontId="18" fillId="0" borderId="26" applyAlignment="1" applyProtection="1" pivotButton="0" quotePrefix="0" xfId="1">
      <alignment horizontal="left" vertical="top" wrapText="1"/>
      <protection locked="0" hidden="0"/>
    </xf>
    <xf numFmtId="14" fontId="18" fillId="0" borderId="26" applyAlignment="1" applyProtection="1" pivotButton="0" quotePrefix="0" xfId="1">
      <alignment horizontal="center" vertical="top"/>
      <protection locked="0" hidden="0"/>
    </xf>
    <xf numFmtId="20" fontId="18" fillId="0" borderId="26" applyAlignment="1" applyProtection="1" pivotButton="0" quotePrefix="0" xfId="1">
      <alignment horizontal="center" vertical="top"/>
      <protection locked="0" hidden="0"/>
    </xf>
    <xf numFmtId="0" fontId="18" fillId="0" borderId="26" applyAlignment="1" applyProtection="1" pivotButton="0" quotePrefix="0" xfId="1">
      <alignment horizontal="center" vertical="top"/>
      <protection locked="0" hidden="0"/>
    </xf>
    <xf numFmtId="0" fontId="18" fillId="0" borderId="27" applyAlignment="1" applyProtection="1" pivotButton="0" quotePrefix="0" xfId="1">
      <alignment horizontal="center" vertical="top" wrapText="1"/>
      <protection locked="0" hidden="0"/>
    </xf>
    <xf numFmtId="0" fontId="18" fillId="0" borderId="28" applyAlignment="1" applyProtection="1" pivotButton="0" quotePrefix="0" xfId="1">
      <alignment horizontal="center" vertical="top" wrapText="1"/>
      <protection locked="0" hidden="0"/>
    </xf>
    <xf numFmtId="0" fontId="18" fillId="0" borderId="28" applyAlignment="1" applyProtection="1" pivotButton="0" quotePrefix="0" xfId="1">
      <alignment horizontal="center" vertical="top"/>
      <protection locked="0" hidden="0"/>
    </xf>
    <xf numFmtId="0" fontId="18" fillId="0" borderId="28" applyAlignment="1" applyProtection="1" pivotButton="0" quotePrefix="0" xfId="1">
      <alignment horizontal="left" vertical="top"/>
      <protection locked="0" hidden="0"/>
    </xf>
    <xf numFmtId="0" fontId="18" fillId="0" borderId="29" applyAlignment="1" applyProtection="1" pivotButton="0" quotePrefix="0" xfId="1">
      <alignment horizontal="center" vertical="top"/>
      <protection locked="0" hidden="0"/>
    </xf>
    <xf numFmtId="0" fontId="18" fillId="0" borderId="26" applyAlignment="1" applyProtection="1" pivotButton="0" quotePrefix="0" xfId="1">
      <alignment vertical="top"/>
      <protection locked="0" hidden="0"/>
    </xf>
    <xf numFmtId="0" fontId="18" fillId="0" borderId="14" applyAlignment="1" applyProtection="1" pivotButton="0" quotePrefix="0" xfId="1">
      <alignment horizontal="left" vertical="top" wrapText="1"/>
      <protection locked="0" hidden="0"/>
    </xf>
    <xf numFmtId="0" fontId="32" fillId="0" borderId="20" applyAlignment="1" applyProtection="1" pivotButton="0" quotePrefix="0" xfId="1">
      <alignment horizontal="center" vertical="top" wrapText="1"/>
      <protection locked="0" hidden="0"/>
    </xf>
    <xf numFmtId="0" fontId="32" fillId="0" borderId="21" applyAlignment="1" applyProtection="1" pivotButton="0" quotePrefix="0" xfId="1">
      <alignment horizontal="center" vertical="top" wrapText="1"/>
      <protection locked="0" hidden="0"/>
    </xf>
    <xf numFmtId="0" fontId="32" fillId="0" borderId="21" applyAlignment="1" applyProtection="1" pivotButton="0" quotePrefix="0" xfId="1">
      <alignment horizontal="center" vertical="top"/>
      <protection locked="0" hidden="0"/>
    </xf>
    <xf numFmtId="0" fontId="32" fillId="0" borderId="21" applyAlignment="1" applyProtection="1" pivotButton="0" quotePrefix="0" xfId="1">
      <alignment horizontal="left" vertical="top"/>
      <protection locked="0" hidden="0"/>
    </xf>
    <xf numFmtId="0" fontId="32" fillId="0" borderId="22" applyAlignment="1" applyProtection="1" pivotButton="0" quotePrefix="0" xfId="1">
      <alignment horizontal="center" vertical="top"/>
      <protection locked="0" hidden="0"/>
    </xf>
    <xf numFmtId="0" fontId="15" fillId="0" borderId="10" applyAlignment="1" applyProtection="1" pivotButton="0" quotePrefix="1" xfId="1">
      <alignment horizontal="center" vertical="top"/>
      <protection locked="0" hidden="0"/>
    </xf>
    <xf numFmtId="0" fontId="15" fillId="0" borderId="10" applyAlignment="1" applyProtection="1" pivotButton="0" quotePrefix="0" xfId="1">
      <alignment vertical="top" wrapText="1"/>
      <protection locked="0" hidden="0"/>
    </xf>
    <xf numFmtId="0" fontId="15" fillId="0" borderId="10" applyAlignment="1" applyProtection="1" pivotButton="0" quotePrefix="0" xfId="1">
      <alignment horizontal="left" vertical="top" wrapText="1"/>
      <protection locked="0" hidden="0"/>
    </xf>
    <xf numFmtId="14" fontId="15" fillId="0" borderId="10" applyAlignment="1" applyProtection="1" pivotButton="0" quotePrefix="0" xfId="1">
      <alignment horizontal="center" vertical="top"/>
      <protection locked="0" hidden="0"/>
    </xf>
    <xf numFmtId="0" fontId="15" fillId="0" borderId="10" applyAlignment="1" applyProtection="1" pivotButton="0" quotePrefix="0" xfId="1">
      <alignment horizontal="center" vertical="top"/>
      <protection locked="0" hidden="0"/>
    </xf>
    <xf numFmtId="0" fontId="15" fillId="0" borderId="10" applyAlignment="1" applyProtection="1" pivotButton="0" quotePrefix="0" xfId="1">
      <alignment horizontal="center" vertical="top" wrapText="1"/>
      <protection locked="0" hidden="0"/>
    </xf>
    <xf numFmtId="0" fontId="15" fillId="0" borderId="10" applyAlignment="1" applyProtection="1" pivotButton="0" quotePrefix="0" xfId="1">
      <alignment horizontal="left" vertical="top"/>
      <protection locked="0" hidden="0"/>
    </xf>
    <xf numFmtId="0" fontId="15" fillId="0" borderId="10" applyAlignment="1" applyProtection="1" pivotButton="0" quotePrefix="0" xfId="1">
      <alignment vertical="top"/>
      <protection locked="0" hidden="0"/>
    </xf>
    <xf numFmtId="0" fontId="15" fillId="0" borderId="5" applyAlignment="1" applyProtection="1" pivotButton="0" quotePrefix="1" xfId="1">
      <alignment horizontal="center" vertical="top"/>
      <protection locked="0" hidden="0"/>
    </xf>
    <xf numFmtId="0" fontId="15" fillId="0" borderId="5" applyAlignment="1" applyProtection="1" pivotButton="0" quotePrefix="0" xfId="1">
      <alignment vertical="top" wrapText="1"/>
      <protection locked="0" hidden="0"/>
    </xf>
    <xf numFmtId="0" fontId="15" fillId="0" borderId="5" applyAlignment="1" applyProtection="1" pivotButton="0" quotePrefix="0" xfId="1">
      <alignment horizontal="left" vertical="top" wrapText="1"/>
      <protection locked="0" hidden="0"/>
    </xf>
    <xf numFmtId="14" fontId="15" fillId="0" borderId="5" applyAlignment="1" applyProtection="1" pivotButton="0" quotePrefix="0" xfId="1">
      <alignment horizontal="center" vertical="top"/>
      <protection locked="0" hidden="0"/>
    </xf>
    <xf numFmtId="0" fontId="15" fillId="0" borderId="5" applyAlignment="1" applyProtection="1" pivotButton="0" quotePrefix="0" xfId="1">
      <alignment horizontal="center" vertical="top"/>
      <protection locked="0" hidden="0"/>
    </xf>
    <xf numFmtId="0" fontId="15" fillId="0" borderId="5" applyAlignment="1" applyProtection="1" pivotButton="0" quotePrefix="0" xfId="1">
      <alignment horizontal="center" vertical="top" wrapText="1"/>
      <protection locked="0" hidden="0"/>
    </xf>
    <xf numFmtId="0" fontId="15" fillId="0" borderId="5" applyAlignment="1" applyProtection="1" pivotButton="0" quotePrefix="0" xfId="1">
      <alignment horizontal="left" vertical="top"/>
      <protection locked="0" hidden="0"/>
    </xf>
    <xf numFmtId="0" fontId="15" fillId="0" borderId="5" applyAlignment="1" applyProtection="1" pivotButton="0" quotePrefix="0" xfId="1">
      <alignment vertical="top"/>
      <protection locked="0" hidden="0"/>
    </xf>
    <xf numFmtId="0" fontId="15" fillId="0" borderId="17" applyAlignment="1" applyProtection="1" pivotButton="0" quotePrefix="1" xfId="1">
      <alignment horizontal="center" vertical="top"/>
      <protection locked="0" hidden="0"/>
    </xf>
    <xf numFmtId="0" fontId="15" fillId="0" borderId="17" applyAlignment="1" applyProtection="1" pivotButton="0" quotePrefix="0" xfId="1">
      <alignment vertical="top" wrapText="1"/>
      <protection locked="0" hidden="0"/>
    </xf>
    <xf numFmtId="0" fontId="15" fillId="0" borderId="17" applyAlignment="1" applyProtection="1" pivotButton="0" quotePrefix="0" xfId="1">
      <alignment horizontal="left" vertical="top" wrapText="1"/>
      <protection locked="0" hidden="0"/>
    </xf>
    <xf numFmtId="14" fontId="15" fillId="0" borderId="17" applyAlignment="1" applyProtection="1" pivotButton="0" quotePrefix="0" xfId="1">
      <alignment horizontal="center" vertical="top"/>
      <protection locked="0" hidden="0"/>
    </xf>
    <xf numFmtId="0" fontId="15" fillId="0" borderId="17" applyAlignment="1" applyProtection="1" pivotButton="0" quotePrefix="0" xfId="1">
      <alignment horizontal="center" vertical="top"/>
      <protection locked="0" hidden="0"/>
    </xf>
    <xf numFmtId="0" fontId="15" fillId="0" borderId="17" applyAlignment="1" applyProtection="1" pivotButton="0" quotePrefix="0" xfId="1">
      <alignment horizontal="center" vertical="top" wrapText="1"/>
      <protection locked="0" hidden="0"/>
    </xf>
    <xf numFmtId="0" fontId="15" fillId="0" borderId="17" applyAlignment="1" applyProtection="1" pivotButton="0" quotePrefix="0" xfId="1">
      <alignment horizontal="left" vertical="top"/>
      <protection locked="0" hidden="0"/>
    </xf>
    <xf numFmtId="0" fontId="15" fillId="0" borderId="17" applyAlignment="1" applyProtection="1" pivotButton="0" quotePrefix="0" xfId="1">
      <alignment vertical="top"/>
      <protection locked="0" hidden="0"/>
    </xf>
    <xf numFmtId="0" fontId="15" fillId="0" borderId="6" applyAlignment="1" applyProtection="1" pivotButton="0" quotePrefix="1" xfId="1">
      <alignment horizontal="center" vertical="top"/>
      <protection locked="0" hidden="0"/>
    </xf>
    <xf numFmtId="0" fontId="15" fillId="0" borderId="6" applyAlignment="1" applyProtection="1" pivotButton="0" quotePrefix="0" xfId="1">
      <alignment vertical="top" wrapText="1"/>
      <protection locked="0" hidden="0"/>
    </xf>
    <xf numFmtId="0" fontId="15" fillId="0" borderId="6" applyAlignment="1" applyProtection="1" pivotButton="0" quotePrefix="0" xfId="1">
      <alignment horizontal="left" vertical="top" wrapText="1"/>
      <protection locked="0" hidden="0"/>
    </xf>
    <xf numFmtId="14" fontId="15" fillId="0" borderId="6" applyAlignment="1" applyProtection="1" pivotButton="0" quotePrefix="0" xfId="1">
      <alignment horizontal="center" vertical="top"/>
      <protection locked="0" hidden="0"/>
    </xf>
    <xf numFmtId="0" fontId="15" fillId="0" borderId="6" applyAlignment="1" applyProtection="1" pivotButton="0" quotePrefix="0" xfId="1">
      <alignment horizontal="center" vertical="top"/>
      <protection locked="0" hidden="0"/>
    </xf>
    <xf numFmtId="0" fontId="15" fillId="0" borderId="6" applyAlignment="1" applyProtection="1" pivotButton="0" quotePrefix="0" xfId="1">
      <alignment horizontal="center" vertical="top" wrapText="1"/>
      <protection locked="0" hidden="0"/>
    </xf>
    <xf numFmtId="0" fontId="15" fillId="0" borderId="6" applyAlignment="1" applyProtection="1" pivotButton="0" quotePrefix="0" xfId="1">
      <alignment horizontal="left" vertical="top"/>
      <protection locked="0" hidden="0"/>
    </xf>
    <xf numFmtId="0" fontId="15" fillId="0" borderId="6" applyAlignment="1" applyProtection="1" pivotButton="0" quotePrefix="0" xfId="1">
      <alignment vertical="top"/>
      <protection locked="0" hidden="0"/>
    </xf>
    <xf numFmtId="0" fontId="35" fillId="10" borderId="2" applyAlignment="1" pivotButton="0" quotePrefix="0" xfId="1">
      <alignment horizontal="center" vertical="top"/>
    </xf>
    <xf numFmtId="0" fontId="35" fillId="0" borderId="0" applyAlignment="1" applyProtection="1" pivotButton="0" quotePrefix="0" xfId="1">
      <alignment horizontal="center" vertical="top"/>
      <protection locked="0" hidden="0"/>
    </xf>
    <xf numFmtId="0" fontId="35" fillId="10" borderId="19" applyAlignment="1" applyProtection="1" pivotButton="0" quotePrefix="0" xfId="1">
      <alignment horizontal="center" vertical="top"/>
      <protection locked="0" hidden="0"/>
    </xf>
    <xf numFmtId="0" fontId="35" fillId="10" borderId="19" applyAlignment="1" pivotButton="0" quotePrefix="0" xfId="1">
      <alignment horizontal="center" vertical="top" wrapText="1"/>
    </xf>
    <xf numFmtId="0" fontId="35" fillId="10" borderId="19" applyAlignment="1" applyProtection="1" pivotButton="0" quotePrefix="0" xfId="1">
      <alignment horizontal="center" vertical="top" wrapText="1"/>
      <protection locked="0" hidden="0"/>
    </xf>
    <xf numFmtId="0" fontId="35" fillId="10" borderId="19" applyAlignment="1" applyProtection="1" pivotButton="0" quotePrefix="0" xfId="1">
      <alignment horizontal="left" vertical="top"/>
      <protection locked="0" hidden="0"/>
    </xf>
    <xf numFmtId="49" fontId="35" fillId="10" borderId="19" applyAlignment="1" applyProtection="1" pivotButton="0" quotePrefix="0" xfId="1">
      <alignment horizontal="center" vertical="top"/>
      <protection locked="0" hidden="0"/>
    </xf>
    <xf numFmtId="49" fontId="35" fillId="10" borderId="19" applyAlignment="1" applyProtection="1" pivotButton="0" quotePrefix="0" xfId="1">
      <alignment horizontal="right" vertical="top"/>
      <protection locked="0" hidden="0"/>
    </xf>
    <xf numFmtId="0" fontId="35" fillId="0" borderId="0" applyAlignment="1" applyProtection="1" pivotButton="0" quotePrefix="0" xfId="1">
      <alignment vertical="top"/>
      <protection locked="0" hidden="0"/>
    </xf>
    <xf numFmtId="168" fontId="15" fillId="0" borderId="0" pivotButton="0" quotePrefix="0" xfId="2"/>
    <xf numFmtId="169" fontId="15" fillId="0" borderId="0" pivotButton="0" quotePrefix="0" xfId="3"/>
    <xf numFmtId="170" fontId="15" fillId="0" borderId="0" pivotButton="0" quotePrefix="0" xfId="4"/>
    <xf numFmtId="171" fontId="15" fillId="0" borderId="0" pivotButton="0" quotePrefix="0" xfId="5"/>
    <xf numFmtId="9" fontId="15" fillId="0" borderId="0" pivotButton="0" quotePrefix="0" xfId="6"/>
    <xf numFmtId="0" fontId="15" fillId="0" borderId="0" pivotButton="0" quotePrefix="0" xfId="1"/>
    <xf numFmtId="0" fontId="15" fillId="0" borderId="0" applyAlignment="1" pivotButton="0" quotePrefix="0" xfId="1">
      <alignment horizontal="center"/>
    </xf>
    <xf numFmtId="0" fontId="15" fillId="0" borderId="0" applyAlignment="1" pivotButton="0" quotePrefix="0" xfId="1">
      <alignment horizontal="center" wrapText="1"/>
    </xf>
    <xf numFmtId="0" fontId="15" fillId="0" borderId="0" applyAlignment="1" pivotButton="0" quotePrefix="0" xfId="1">
      <alignment horizontal="left"/>
    </xf>
    <xf numFmtId="0" fontId="15" fillId="0" borderId="0" applyAlignment="1" applyProtection="1" pivotButton="0" quotePrefix="0" xfId="1">
      <alignment horizontal="center" vertical="top"/>
      <protection locked="0" hidden="0"/>
    </xf>
    <xf numFmtId="0" fontId="15" fillId="0" borderId="0" applyAlignment="1" applyProtection="1" pivotButton="0" quotePrefix="0" xfId="1">
      <alignment vertical="top" wrapText="1"/>
      <protection locked="0" hidden="0"/>
    </xf>
    <xf numFmtId="0" fontId="15" fillId="0" borderId="0" applyAlignment="1" applyProtection="1" pivotButton="0" quotePrefix="0" xfId="1">
      <alignment horizontal="left" vertical="top" wrapText="1"/>
      <protection locked="0" hidden="0"/>
    </xf>
    <xf numFmtId="0" fontId="15" fillId="0" borderId="0" applyAlignment="1" applyProtection="1" pivotButton="0" quotePrefix="0" xfId="1">
      <alignment horizontal="center" vertical="top" wrapText="1"/>
      <protection locked="0" hidden="0"/>
    </xf>
    <xf numFmtId="0" fontId="15" fillId="0" borderId="0" applyAlignment="1" applyProtection="1" pivotButton="0" quotePrefix="0" xfId="1">
      <alignment horizontal="left" vertical="top"/>
      <protection locked="0" hidden="0"/>
    </xf>
    <xf numFmtId="0" fontId="39" fillId="9" borderId="0" pivotButton="0" quotePrefix="0" xfId="7"/>
    <xf numFmtId="0" fontId="40" fillId="0" borderId="0" applyAlignment="1" pivotButton="0" quotePrefix="0" xfId="7">
      <alignment horizontal="center" vertical="center"/>
    </xf>
    <xf numFmtId="0" fontId="43" fillId="9" borderId="0" applyAlignment="1" pivotButton="0" quotePrefix="0" xfId="7">
      <alignment vertical="center"/>
    </xf>
    <xf numFmtId="0" fontId="44" fillId="9" borderId="0" pivotButton="0" quotePrefix="0" xfId="7"/>
    <xf numFmtId="0" fontId="43" fillId="9" borderId="0" applyAlignment="1" pivotButton="0" quotePrefix="0" xfId="7">
      <alignment horizontal="center" vertical="center"/>
    </xf>
    <xf numFmtId="0" fontId="45" fillId="0" borderId="0" applyAlignment="1" pivotButton="0" quotePrefix="0" xfId="8">
      <alignment horizontal="center" vertical="center"/>
    </xf>
    <xf numFmtId="0" fontId="44" fillId="9" borderId="0" pivotButton="0" quotePrefix="0" xfId="8"/>
    <xf numFmtId="0" fontId="44" fillId="0" borderId="0" applyAlignment="1" pivotButton="0" quotePrefix="0" xfId="8">
      <alignment horizontal="left" vertical="center"/>
    </xf>
    <xf numFmtId="0" fontId="46" fillId="0" borderId="0" applyAlignment="1" pivotButton="0" quotePrefix="0" xfId="8">
      <alignment horizontal="center" vertical="center"/>
    </xf>
    <xf numFmtId="0" fontId="43" fillId="9" borderId="0" applyAlignment="1" pivotButton="0" quotePrefix="0" xfId="8">
      <alignment vertical="center"/>
    </xf>
    <xf numFmtId="0" fontId="43" fillId="9" borderId="0" pivotButton="0" quotePrefix="0" xfId="8"/>
    <xf numFmtId="0" fontId="47" fillId="9" borderId="0" applyAlignment="1" pivotButton="0" quotePrefix="0" xfId="0">
      <alignment vertical="center"/>
    </xf>
    <xf numFmtId="0" fontId="48" fillId="0" borderId="0" applyAlignment="1" pivotButton="0" quotePrefix="0" xfId="7">
      <alignment horizontal="center" vertical="center"/>
    </xf>
    <xf numFmtId="0" fontId="48" fillId="0" borderId="0" applyAlignment="1" pivotButton="0" quotePrefix="0" xfId="7">
      <alignment horizontal="center" vertical="center" wrapText="1"/>
    </xf>
    <xf numFmtId="14" fontId="40" fillId="0" borderId="0" applyAlignment="1" pivotButton="0" quotePrefix="0" xfId="7">
      <alignment horizontal="center" vertical="center"/>
    </xf>
    <xf numFmtId="0" fontId="40" fillId="0" borderId="0" applyAlignment="1" pivotButton="0" quotePrefix="0" xfId="7">
      <alignment horizontal="center" vertical="center" wrapText="1"/>
    </xf>
    <xf numFmtId="0" fontId="50" fillId="0" borderId="7" applyAlignment="1" pivotButton="0" quotePrefix="0" xfId="9">
      <alignment horizontal="center" vertical="center" wrapText="1"/>
    </xf>
    <xf numFmtId="0" fontId="50" fillId="9" borderId="7" applyAlignment="1" pivotButton="0" quotePrefix="0" xfId="9">
      <alignment horizontal="center" vertical="center" wrapText="1"/>
    </xf>
    <xf numFmtId="0" fontId="50" fillId="0" borderId="7" applyAlignment="1" pivotButton="0" quotePrefix="0" xfId="9">
      <alignment horizontal="center" vertical="center"/>
    </xf>
    <xf numFmtId="0" fontId="50" fillId="0" borderId="30" applyAlignment="1" pivotButton="0" quotePrefix="0" xfId="9">
      <alignment horizontal="center" vertical="center" wrapText="1"/>
    </xf>
    <xf numFmtId="0" fontId="51" fillId="0" borderId="7" applyAlignment="1" pivotButton="0" quotePrefix="0" xfId="9">
      <alignment horizontal="center" vertical="center"/>
    </xf>
    <xf numFmtId="0" fontId="51" fillId="0" borderId="7" applyAlignment="1" pivotButton="0" quotePrefix="0" xfId="9">
      <alignment horizontal="left" vertical="center" wrapText="1"/>
    </xf>
    <xf numFmtId="14" fontId="51" fillId="0" borderId="7" applyAlignment="1" pivotButton="0" quotePrefix="0" xfId="9">
      <alignment horizontal="center" vertical="center"/>
    </xf>
    <xf numFmtId="172" fontId="51" fillId="0" borderId="7" applyAlignment="1" pivotButton="0" quotePrefix="0" xfId="9">
      <alignment horizontal="center" vertical="center"/>
    </xf>
    <xf numFmtId="0" fontId="47" fillId="0" borderId="0" applyAlignment="1" pivotButton="0" quotePrefix="0" xfId="11">
      <alignment vertical="center"/>
    </xf>
    <xf numFmtId="0" fontId="47" fillId="0" borderId="0" pivotButton="0" quotePrefix="0" xfId="11"/>
    <xf numFmtId="0" fontId="52" fillId="0" borderId="0" applyAlignment="1" pivotButton="0" quotePrefix="0" xfId="11">
      <alignment vertical="center" wrapText="1"/>
    </xf>
    <xf numFmtId="14" fontId="47" fillId="9" borderId="0" applyAlignment="1" pivotButton="0" quotePrefix="0" xfId="10">
      <alignment vertical="center"/>
    </xf>
    <xf numFmtId="0" fontId="52" fillId="0" borderId="0" applyAlignment="1" pivotButton="0" quotePrefix="0" xfId="11">
      <alignment horizontal="center"/>
    </xf>
    <xf numFmtId="0" fontId="56" fillId="0" borderId="0" applyAlignment="1" applyProtection="1" pivotButton="0" quotePrefix="0" xfId="10">
      <alignment vertical="center"/>
      <protection locked="0" hidden="1"/>
    </xf>
    <xf numFmtId="0" fontId="53" fillId="0" borderId="0" applyAlignment="1" applyProtection="1" pivotButton="0" quotePrefix="0" xfId="10">
      <alignment vertical="center"/>
      <protection locked="0" hidden="1"/>
    </xf>
    <xf numFmtId="0" fontId="56" fillId="0" borderId="0" pivotButton="0" quotePrefix="0" xfId="11"/>
    <xf numFmtId="0" fontId="53" fillId="0" borderId="0" applyAlignment="1" applyProtection="1" pivotButton="0" quotePrefix="0" xfId="10">
      <alignment horizontal="center" vertical="center"/>
      <protection locked="0" hidden="1"/>
    </xf>
    <xf numFmtId="0" fontId="52" fillId="0" borderId="0" pivotButton="0" quotePrefix="0" xfId="11"/>
    <xf numFmtId="173" fontId="47" fillId="0" borderId="0" pivotButton="0" quotePrefix="0" xfId="11"/>
    <xf numFmtId="0" fontId="53" fillId="0" borderId="31" applyAlignment="1" pivotButton="0" quotePrefix="0" xfId="11">
      <alignment vertical="center"/>
    </xf>
    <xf numFmtId="0" fontId="56" fillId="0" borderId="0" applyAlignment="1" pivotButton="0" quotePrefix="0" xfId="11">
      <alignment vertical="center"/>
    </xf>
    <xf numFmtId="0" fontId="56" fillId="0" borderId="31" pivotButton="0" quotePrefix="0" xfId="11"/>
    <xf numFmtId="0" fontId="52" fillId="0" borderId="7" applyAlignment="1" pivotButton="0" quotePrefix="0" xfId="11">
      <alignment horizontal="center" vertical="center"/>
    </xf>
    <xf numFmtId="0" fontId="47" fillId="0" borderId="7" applyAlignment="1" pivotButton="0" quotePrefix="0" xfId="11">
      <alignment horizontal="center" vertical="center"/>
    </xf>
    <xf numFmtId="14" fontId="47" fillId="9" borderId="30" applyAlignment="1" pivotButton="0" quotePrefix="0" xfId="10">
      <alignment horizontal="right" vertical="center"/>
    </xf>
    <xf numFmtId="14" fontId="47" fillId="9" borderId="32" applyAlignment="1" pivotButton="0" quotePrefix="0" xfId="10">
      <alignment horizontal="left" vertical="center"/>
    </xf>
    <xf numFmtId="0" fontId="47" fillId="0" borderId="0" applyAlignment="1" pivotButton="0" quotePrefix="0" xfId="11">
      <alignment horizontal="center" vertical="center"/>
    </xf>
    <xf numFmtId="0" fontId="51" fillId="0" borderId="0" applyAlignment="1" pivotButton="0" quotePrefix="0" xfId="11">
      <alignment vertical="center"/>
    </xf>
    <xf numFmtId="0" fontId="47" fillId="0" borderId="0" applyAlignment="1" pivotButton="0" quotePrefix="0" xfId="11">
      <alignment vertical="center" wrapText="1"/>
    </xf>
    <xf numFmtId="0" fontId="56" fillId="0" borderId="0" applyAlignment="1" pivotButton="0" quotePrefix="0" xfId="11">
      <alignment horizontal="left" vertical="top" wrapText="1"/>
    </xf>
    <xf numFmtId="0" fontId="53" fillId="0" borderId="0" applyAlignment="1" pivotButton="0" quotePrefix="1" xfId="11">
      <alignment horizontal="left" vertical="top"/>
    </xf>
    <xf numFmtId="0" fontId="56" fillId="0" borderId="0" applyAlignment="1" pivotButton="0" quotePrefix="0" xfId="11">
      <alignment horizontal="left" vertical="top"/>
    </xf>
    <xf numFmtId="0" fontId="56" fillId="0" borderId="0" applyAlignment="1" pivotButton="0" quotePrefix="1" xfId="11">
      <alignment horizontal="left" vertical="top"/>
    </xf>
    <xf numFmtId="0" fontId="51" fillId="0" borderId="0" applyAlignment="1" pivotButton="0" quotePrefix="0" xfId="11">
      <alignment vertical="top" wrapText="1"/>
    </xf>
    <xf numFmtId="0" fontId="47" fillId="0" borderId="0" applyAlignment="1" pivotButton="0" quotePrefix="0" xfId="11">
      <alignment vertical="top" wrapText="1"/>
    </xf>
    <xf numFmtId="0" fontId="56" fillId="0" borderId="0" applyAlignment="1" applyProtection="1" pivotButton="0" quotePrefix="1" xfId="10">
      <alignment vertical="center"/>
      <protection locked="0" hidden="1"/>
    </xf>
    <xf numFmtId="0" fontId="56" fillId="0" borderId="0" applyProtection="1" pivotButton="0" quotePrefix="0" xfId="10">
      <protection locked="0" hidden="1"/>
    </xf>
    <xf numFmtId="0" fontId="56" fillId="0" borderId="0" applyAlignment="1" pivotButton="0" quotePrefix="0" xfId="11">
      <alignment horizontal="center"/>
    </xf>
    <xf numFmtId="0" fontId="56" fillId="0" borderId="0" applyAlignment="1" pivotButton="0" quotePrefix="0" xfId="11">
      <alignment horizontal="left" vertical="center"/>
    </xf>
    <xf numFmtId="0" fontId="53" fillId="0" borderId="0" applyAlignment="1" pivotButton="0" quotePrefix="0" xfId="11">
      <alignment vertical="center"/>
    </xf>
    <xf numFmtId="0" fontId="44" fillId="9" borderId="0" pivotButton="0" quotePrefix="0" xfId="0"/>
    <xf numFmtId="0" fontId="44" fillId="9" borderId="0" applyAlignment="1" pivotButton="0" quotePrefix="0" xfId="0">
      <alignment vertical="center"/>
    </xf>
    <xf numFmtId="0" fontId="58" fillId="9" borderId="0" applyAlignment="1" pivotButton="0" quotePrefix="0" xfId="0">
      <alignment horizontal="center" vertical="center"/>
    </xf>
    <xf numFmtId="0" fontId="43" fillId="9" borderId="0" pivotButton="0" quotePrefix="0" xfId="0"/>
    <xf numFmtId="0" fontId="59" fillId="9" borderId="0" pivotButton="0" quotePrefix="0" xfId="0"/>
    <xf numFmtId="0" fontId="43" fillId="9" borderId="0" applyAlignment="1" pivotButton="0" quotePrefix="0" xfId="0">
      <alignment vertical="center"/>
    </xf>
    <xf numFmtId="0" fontId="44" fillId="9" borderId="0" applyAlignment="1" pivotButton="0" quotePrefix="0" xfId="0">
      <alignment horizontal="left" vertical="center"/>
    </xf>
    <xf numFmtId="0" fontId="59" fillId="9" borderId="0" applyAlignment="1" pivotButton="0" quotePrefix="0" xfId="0">
      <alignment vertical="center"/>
    </xf>
    <xf numFmtId="0" fontId="43" fillId="9" borderId="7" applyAlignment="1" pivotButton="0" quotePrefix="0" xfId="0">
      <alignment horizontal="center" vertical="center" wrapText="1"/>
    </xf>
    <xf numFmtId="0" fontId="43" fillId="9" borderId="30" applyAlignment="1" pivotButton="0" quotePrefix="0" xfId="0">
      <alignment horizontal="center" vertical="center" wrapText="1"/>
    </xf>
    <xf numFmtId="0" fontId="44" fillId="9" borderId="7" applyAlignment="1" pivotButton="0" quotePrefix="0" xfId="0">
      <alignment horizontal="center" vertical="center" wrapText="1"/>
    </xf>
    <xf numFmtId="0" fontId="44" fillId="9" borderId="30" applyAlignment="1" pivotButton="0" quotePrefix="0" xfId="0">
      <alignment horizontal="center" vertical="center" wrapText="1"/>
    </xf>
    <xf numFmtId="166" fontId="44" fillId="9" borderId="7" applyAlignment="1" pivotButton="0" quotePrefix="0" xfId="0">
      <alignment horizontal="center" vertical="center" wrapText="1"/>
    </xf>
    <xf numFmtId="0" fontId="60" fillId="9" borderId="0" applyAlignment="1" pivotButton="0" quotePrefix="0" xfId="0">
      <alignment vertical="center"/>
    </xf>
    <xf numFmtId="0" fontId="62" fillId="9" borderId="0" applyAlignment="1" pivotButton="0" quotePrefix="0" xfId="0">
      <alignment vertical="center"/>
    </xf>
    <xf numFmtId="0" fontId="47" fillId="9" borderId="7" applyAlignment="1" pivotButton="0" quotePrefix="0" xfId="0">
      <alignment vertical="center" wrapText="1"/>
    </xf>
    <xf numFmtId="174" fontId="51" fillId="0" borderId="7" applyAlignment="1" pivotButton="0" quotePrefix="0" xfId="9">
      <alignment horizontal="center" vertical="center"/>
    </xf>
    <xf numFmtId="174" fontId="47" fillId="9" borderId="30" applyAlignment="1" pivotButton="0" quotePrefix="0" xfId="10">
      <alignment horizontal="right" vertical="center"/>
    </xf>
    <xf numFmtId="175" fontId="44" fillId="9" borderId="0" applyAlignment="1" pivotButton="0" quotePrefix="0" xfId="0">
      <alignment horizontal="right"/>
    </xf>
    <xf numFmtId="176" fontId="59" fillId="9" borderId="0" pivotButton="0" quotePrefix="0" xfId="0"/>
    <xf numFmtId="0" fontId="61" fillId="9" borderId="0" applyAlignment="1" pivotButton="0" quotePrefix="0" xfId="0">
      <alignment vertical="center"/>
    </xf>
    <xf numFmtId="0" fontId="51" fillId="0" borderId="7" applyAlignment="1" pivotButton="0" quotePrefix="0" xfId="7">
      <alignment horizontal="center" vertical="center"/>
    </xf>
    <xf numFmtId="0" fontId="40" fillId="0" borderId="7" applyAlignment="1" pivotButton="0" quotePrefix="0" xfId="7">
      <alignment horizontal="center" vertical="center"/>
    </xf>
    <xf numFmtId="0" fontId="51" fillId="0" borderId="7" applyAlignment="1" pivotButton="0" quotePrefix="0" xfId="7">
      <alignment horizontal="center" vertical="center" wrapText="1"/>
    </xf>
    <xf numFmtId="177" fontId="6" fillId="0" borderId="1" applyAlignment="1" pivotButton="0" quotePrefix="0" xfId="0">
      <alignment horizontal="center" vertical="center" wrapText="1"/>
    </xf>
    <xf numFmtId="0" fontId="64" fillId="11" borderId="0" pivotButton="0" quotePrefix="0" xfId="0"/>
    <xf numFmtId="0" fontId="65" fillId="0" borderId="0" pivotButton="0" quotePrefix="0" xfId="0"/>
    <xf numFmtId="0" fontId="66" fillId="0" borderId="0" applyAlignment="1" pivotButton="0" quotePrefix="0" xfId="0">
      <alignment horizontal="center"/>
    </xf>
    <xf numFmtId="0" fontId="67" fillId="0" borderId="0" pivotButton="0" quotePrefix="0" xfId="0"/>
    <xf numFmtId="0" fontId="39" fillId="0" borderId="0" applyAlignment="1" pivotButton="0" quotePrefix="0" xfId="7">
      <alignment horizontal="center" vertical="center"/>
    </xf>
    <xf numFmtId="0" fontId="0" fillId="0" borderId="1" pivotButton="0" quotePrefix="0" xfId="0"/>
    <xf numFmtId="0" fontId="0" fillId="0" borderId="0" applyAlignment="1" pivotButton="0" quotePrefix="0" xfId="0">
      <alignment wrapText="1"/>
    </xf>
    <xf numFmtId="0" fontId="6" fillId="12" borderId="1" applyAlignment="1" pivotButton="0" quotePrefix="0" xfId="0">
      <alignment horizontal="center" vertical="center" wrapText="1"/>
    </xf>
    <xf numFmtId="0" fontId="6" fillId="12" borderId="1" applyAlignment="1" pivotButton="0" quotePrefix="0" xfId="0">
      <alignment horizontal="left" vertical="center" wrapText="1"/>
    </xf>
    <xf numFmtId="0" fontId="11" fillId="12" borderId="1" applyAlignment="1" pivotButton="0" quotePrefix="0" xfId="0">
      <alignment horizontal="center" vertical="center" wrapText="1"/>
    </xf>
    <xf numFmtId="1" fontId="6" fillId="12" borderId="1" applyAlignment="1" pivotButton="0" quotePrefix="0" xfId="0">
      <alignment horizontal="center" vertical="center" wrapText="1"/>
    </xf>
    <xf numFmtId="165" fontId="6" fillId="12" borderId="1" applyAlignment="1" pivotButton="0" quotePrefix="0" xfId="0">
      <alignment horizontal="right" vertical="center"/>
    </xf>
    <xf numFmtId="3" fontId="6" fillId="12" borderId="1" applyAlignment="1" pivotButton="0" quotePrefix="0" xfId="0">
      <alignment horizontal="right" vertical="center"/>
    </xf>
    <xf numFmtId="164" fontId="6" fillId="12" borderId="1" applyAlignment="1" pivotButton="0" quotePrefix="0" xfId="0">
      <alignment horizontal="right" vertical="center"/>
    </xf>
    <xf numFmtId="4" fontId="6" fillId="12" borderId="1" applyAlignment="1" pivotButton="0" quotePrefix="0" xfId="0">
      <alignment horizontal="right" vertical="center"/>
    </xf>
    <xf numFmtId="165" fontId="11" fillId="12" borderId="1" applyAlignment="1" pivotButton="0" quotePrefix="0" xfId="0">
      <alignment horizontal="right" vertical="center"/>
    </xf>
    <xf numFmtId="177" fontId="6" fillId="12" borderId="1" applyAlignment="1" pivotButton="0" quotePrefix="0" xfId="0">
      <alignment horizontal="center" vertical="center" wrapText="1"/>
    </xf>
    <xf numFmtId="0" fontId="3" fillId="12" borderId="1" applyAlignment="1" pivotButton="0" quotePrefix="0" xfId="0">
      <alignment horizontal="center" vertical="center" wrapText="1"/>
    </xf>
    <xf numFmtId="0" fontId="7" fillId="12" borderId="1" applyAlignment="1" pivotButton="0" quotePrefix="0" xfId="0">
      <alignment horizontal="center" vertical="center" wrapText="1"/>
    </xf>
    <xf numFmtId="0" fontId="0" fillId="12" borderId="0" pivotButton="0" quotePrefix="0" xfId="0"/>
    <xf numFmtId="0" fontId="67" fillId="12" borderId="0" pivotButton="0" quotePrefix="0" xfId="0"/>
    <xf numFmtId="0" fontId="68" fillId="0" borderId="0" pivotButton="0" quotePrefix="0" xfId="0"/>
    <xf numFmtId="0" fontId="69" fillId="0" borderId="0" pivotButton="0" quotePrefix="0" xfId="0"/>
    <xf numFmtId="0" fontId="64" fillId="0" borderId="0" pivotButton="0" quotePrefix="0" xfId="0"/>
    <xf numFmtId="165" fontId="0" fillId="0" borderId="0" pivotButton="0" quotePrefix="0" xfId="0"/>
    <xf numFmtId="0" fontId="64" fillId="11" borderId="1" applyAlignment="1" pivotButton="0" quotePrefix="0" xfId="0">
      <alignment horizontal="center"/>
    </xf>
    <xf numFmtId="0" fontId="70" fillId="13" borderId="1" pivotButton="0" quotePrefix="0" xfId="0"/>
    <xf numFmtId="0" fontId="71" fillId="0" borderId="1" applyAlignment="1" pivotButton="0" quotePrefix="0" xfId="0">
      <alignment horizontal="center"/>
    </xf>
    <xf numFmtId="0" fontId="71" fillId="0" borderId="1" applyAlignment="1" pivotButton="0" quotePrefix="0" xfId="0">
      <alignment horizontal="left"/>
    </xf>
    <xf numFmtId="0" fontId="72" fillId="0" borderId="1" applyAlignment="1" pivotButton="0" quotePrefix="0" xfId="0">
      <alignment horizontal="left"/>
    </xf>
    <xf numFmtId="1" fontId="71" fillId="0" borderId="1" applyAlignment="1" pivotButton="0" quotePrefix="0" xfId="0">
      <alignment horizontal="center"/>
    </xf>
    <xf numFmtId="165" fontId="71" fillId="0" borderId="1" applyAlignment="1" pivotButton="0" quotePrefix="0" xfId="0">
      <alignment horizontal="right"/>
    </xf>
    <xf numFmtId="3" fontId="71" fillId="0" borderId="1" applyAlignment="1" pivotButton="0" quotePrefix="0" xfId="0">
      <alignment horizontal="right"/>
    </xf>
    <xf numFmtId="164" fontId="71" fillId="0" borderId="1" applyAlignment="1" pivotButton="0" quotePrefix="0" xfId="0">
      <alignment horizontal="right"/>
    </xf>
    <xf numFmtId="4" fontId="71" fillId="0" borderId="1" applyAlignment="1" pivotButton="0" quotePrefix="0" xfId="0">
      <alignment horizontal="right"/>
    </xf>
    <xf numFmtId="165" fontId="72" fillId="0" borderId="1" applyAlignment="1" pivotButton="0" quotePrefix="0" xfId="0">
      <alignment horizontal="right"/>
    </xf>
    <xf numFmtId="0" fontId="73" fillId="13" borderId="1" applyAlignment="1" pivotButton="0" quotePrefix="0" xfId="0">
      <alignment horizontal="center"/>
    </xf>
    <xf numFmtId="0" fontId="73" fillId="14" borderId="1" applyAlignment="1" pivotButton="0" quotePrefix="0" xfId="0">
      <alignment horizontal="center"/>
    </xf>
    <xf numFmtId="0" fontId="72" fillId="13" borderId="1" applyAlignment="1" pivotButton="0" quotePrefix="0" xfId="0">
      <alignment horizontal="center"/>
    </xf>
    <xf numFmtId="165" fontId="72" fillId="13" borderId="1" applyAlignment="1" pivotButton="0" quotePrefix="0" xfId="0">
      <alignment horizontal="right"/>
    </xf>
    <xf numFmtId="0" fontId="64" fillId="11" borderId="0" applyAlignment="1" pivotButton="0" quotePrefix="0" xfId="0">
      <alignment horizontal="center"/>
    </xf>
    <xf numFmtId="0" fontId="75" fillId="0" borderId="0" applyAlignment="1" pivotButton="0" quotePrefix="0" xfId="0">
      <alignment horizontal="center"/>
    </xf>
    <xf numFmtId="0" fontId="71" fillId="13" borderId="1" applyAlignment="1" pivotButton="0" quotePrefix="0" xfId="0">
      <alignment horizontal="center"/>
    </xf>
    <xf numFmtId="1" fontId="71" fillId="13" borderId="1" applyAlignment="1" pivotButton="0" quotePrefix="0" xfId="0">
      <alignment horizontal="center"/>
    </xf>
    <xf numFmtId="164" fontId="71" fillId="13" borderId="1" applyAlignment="1" pivotButton="0" quotePrefix="0" xfId="0">
      <alignment horizontal="right"/>
    </xf>
    <xf numFmtId="4" fontId="72" fillId="13" borderId="1" applyAlignment="1" pivotButton="0" quotePrefix="0" xfId="0">
      <alignment horizontal="right"/>
    </xf>
    <xf numFmtId="3" fontId="72" fillId="13" borderId="1" applyAlignment="1" pivotButton="0" quotePrefix="0" xfId="0">
      <alignment horizontal="right"/>
    </xf>
    <xf numFmtId="3" fontId="71" fillId="12" borderId="1" applyAlignment="1" pivotButton="0" quotePrefix="0" xfId="0">
      <alignment horizontal="right"/>
    </xf>
    <xf numFmtId="0" fontId="72" fillId="11" borderId="1" applyAlignment="1" pivotButton="0" quotePrefix="0" xfId="0">
      <alignment horizontal="center" vertical="center" wrapText="1"/>
    </xf>
    <xf numFmtId="0" fontId="79" fillId="0" borderId="0" applyAlignment="1" pivotButton="0" quotePrefix="0" xfId="0">
      <alignment horizontal="center" vertical="center"/>
    </xf>
    <xf numFmtId="0" fontId="77" fillId="0" borderId="1" applyAlignment="1" pivotButton="0" quotePrefix="0" xfId="0">
      <alignment horizontal="center" vertical="center"/>
    </xf>
    <xf numFmtId="1" fontId="77" fillId="0" borderId="1" applyAlignment="1" pivotButton="0" quotePrefix="0" xfId="0">
      <alignment horizontal="center" vertical="center"/>
    </xf>
    <xf numFmtId="0" fontId="77" fillId="13" borderId="1" applyAlignment="1" pivotButton="0" quotePrefix="0" xfId="0">
      <alignment horizontal="center" vertical="center"/>
    </xf>
    <xf numFmtId="1" fontId="77" fillId="13" borderId="1" applyAlignment="1" pivotButton="0" quotePrefix="0" xfId="0">
      <alignment horizontal="center" vertical="center"/>
    </xf>
    <xf numFmtId="0" fontId="78" fillId="13" borderId="1" applyAlignment="1" pivotButton="0" quotePrefix="0" xfId="0">
      <alignment horizontal="center" vertical="center"/>
    </xf>
    <xf numFmtId="0" fontId="77" fillId="0" borderId="0" applyAlignment="1" pivotButton="0" quotePrefix="0" xfId="0">
      <alignment horizontal="center" vertical="center"/>
    </xf>
    <xf numFmtId="164" fontId="77" fillId="0" borderId="1" applyAlignment="1" pivotButton="0" quotePrefix="0" xfId="0">
      <alignment horizontal="center" vertical="center"/>
    </xf>
    <xf numFmtId="165" fontId="77" fillId="0" borderId="1" applyAlignment="1" pivotButton="0" quotePrefix="0" xfId="0">
      <alignment horizontal="center" vertical="center"/>
    </xf>
    <xf numFmtId="4" fontId="77" fillId="0" borderId="1" applyAlignment="1" pivotButton="0" quotePrefix="0" xfId="0">
      <alignment horizontal="center" vertical="center"/>
    </xf>
    <xf numFmtId="3" fontId="77" fillId="0" borderId="1" applyAlignment="1" pivotButton="0" quotePrefix="0" xfId="0">
      <alignment horizontal="center" vertical="center"/>
    </xf>
    <xf numFmtId="165" fontId="78" fillId="0" borderId="1" applyAlignment="1" pivotButton="0" quotePrefix="0" xfId="0">
      <alignment horizontal="center" vertical="center"/>
    </xf>
    <xf numFmtId="164" fontId="77" fillId="13" borderId="1" applyAlignment="1" pivotButton="0" quotePrefix="0" xfId="0">
      <alignment horizontal="center" vertical="center"/>
    </xf>
    <xf numFmtId="165" fontId="78" fillId="13" borderId="1" applyAlignment="1" pivotButton="0" quotePrefix="0" xfId="0">
      <alignment horizontal="center" vertical="center"/>
    </xf>
    <xf numFmtId="4" fontId="78" fillId="13" borderId="1" applyAlignment="1" pivotButton="0" quotePrefix="0" xfId="0">
      <alignment horizontal="center" vertical="center"/>
    </xf>
    <xf numFmtId="3" fontId="78" fillId="13" borderId="1" applyAlignment="1" pivotButton="0" quotePrefix="0" xfId="0">
      <alignment horizontal="center" vertical="center"/>
    </xf>
    <xf numFmtId="0" fontId="76" fillId="0" borderId="0" applyAlignment="1" pivotButton="0" quotePrefix="0" xfId="0">
      <alignment horizontal="left" vertical="center"/>
    </xf>
    <xf numFmtId="0" fontId="77" fillId="0" borderId="0" applyAlignment="1" pivotButton="0" quotePrefix="0" xfId="0">
      <alignment horizontal="left" vertical="center"/>
    </xf>
    <xf numFmtId="0" fontId="80" fillId="11" borderId="1" applyAlignment="1" pivotButton="0" quotePrefix="0" xfId="0">
      <alignment horizontal="center" vertical="center" wrapText="1"/>
    </xf>
    <xf numFmtId="0" fontId="2" fillId="4" borderId="1" applyAlignment="1" pivotButton="0" quotePrefix="0" xfId="0">
      <alignment horizontal="center" vertical="center" wrapText="1"/>
    </xf>
    <xf numFmtId="0" fontId="0" fillId="4" borderId="1" pivotButton="0" quotePrefix="0" xfId="0"/>
    <xf numFmtId="0" fontId="2" fillId="2" borderId="1" applyAlignment="1" pivotButton="0" quotePrefix="0" xfId="0">
      <alignment horizontal="center" vertical="center" wrapText="1"/>
    </xf>
    <xf numFmtId="0" fontId="5" fillId="3" borderId="1" applyAlignment="1" pivotButton="0" quotePrefix="0" xfId="0">
      <alignment horizontal="left" vertical="center"/>
    </xf>
    <xf numFmtId="0" fontId="0" fillId="0" borderId="1" pivotButton="0" quotePrefix="0" xfId="0"/>
    <xf numFmtId="0" fontId="3" fillId="2" borderId="1" applyAlignment="1" pivotButton="0" quotePrefix="0" xfId="0">
      <alignment horizontal="center" vertical="center" wrapText="1"/>
    </xf>
    <xf numFmtId="0" fontId="4" fillId="2" borderId="1" applyAlignment="1" pivotButton="0" quotePrefix="0" xfId="0">
      <alignment horizontal="center" vertical="center" wrapText="1"/>
    </xf>
    <xf numFmtId="0" fontId="10" fillId="5" borderId="1" applyAlignment="1" pivotButton="0" quotePrefix="0" xfId="0">
      <alignment horizontal="left" vertical="center"/>
    </xf>
    <xf numFmtId="177" fontId="0" fillId="0" borderId="1" pivotButton="0" quotePrefix="0" xfId="0"/>
    <xf numFmtId="0" fontId="9" fillId="3" borderId="1" applyAlignment="1" pivotButton="0" quotePrefix="0" xfId="0">
      <alignment horizontal="left" vertical="center"/>
    </xf>
    <xf numFmtId="0" fontId="13" fillId="0" borderId="0" applyAlignment="1" pivotButton="0" quotePrefix="0" xfId="0">
      <alignment horizontal="center" vertical="center" wrapText="1"/>
    </xf>
    <xf numFmtId="0" fontId="0" fillId="0" borderId="0" pivotButton="0" quotePrefix="0" xfId="0"/>
    <xf numFmtId="0" fontId="12" fillId="0" borderId="0" applyAlignment="1" pivotButton="0" quotePrefix="0" xfId="0">
      <alignment horizontal="center" vertical="center" wrapText="1"/>
    </xf>
    <xf numFmtId="0" fontId="39" fillId="9" borderId="0" applyAlignment="1" pivotButton="0" quotePrefix="0" xfId="0">
      <alignment horizontal="center"/>
    </xf>
    <xf numFmtId="0" fontId="39" fillId="9" borderId="0" applyAlignment="1" pivotButton="0" quotePrefix="0" xfId="7">
      <alignment horizontal="center"/>
    </xf>
    <xf numFmtId="0" fontId="41" fillId="9" borderId="0" applyAlignment="1" pivotButton="0" quotePrefix="0" xfId="7">
      <alignment horizontal="center" vertical="center"/>
    </xf>
    <xf numFmtId="0" fontId="42" fillId="9" borderId="0" applyAlignment="1" pivotButton="0" quotePrefix="0" xfId="7">
      <alignment horizontal="center" vertical="center"/>
    </xf>
    <xf numFmtId="0" fontId="45" fillId="0" borderId="0" applyAlignment="1" pivotButton="0" quotePrefix="0" xfId="8">
      <alignment horizontal="center" vertical="center"/>
    </xf>
    <xf numFmtId="0" fontId="63" fillId="9" borderId="0" applyAlignment="1" pivotButton="0" quotePrefix="0" xfId="0">
      <alignment horizontal="center" vertical="center"/>
    </xf>
    <xf numFmtId="178" fontId="54" fillId="9" borderId="0" applyAlignment="1" pivotButton="0" quotePrefix="0" xfId="10">
      <alignment horizontal="right" vertical="center"/>
    </xf>
    <xf numFmtId="176" fontId="59" fillId="9" borderId="0" applyAlignment="1" pivotButton="0" quotePrefix="0" xfId="0">
      <alignment horizontal="left" vertical="center"/>
    </xf>
    <xf numFmtId="176" fontId="59" fillId="9" borderId="0" applyAlignment="1" pivotButton="0" quotePrefix="0" xfId="0">
      <alignment horizontal="left"/>
    </xf>
    <xf numFmtId="0" fontId="60" fillId="9" borderId="0" applyAlignment="1" pivotButton="0" quotePrefix="0" xfId="0">
      <alignment horizontal="center" vertical="top" wrapText="1"/>
    </xf>
    <xf numFmtId="0" fontId="45" fillId="9" borderId="0" applyAlignment="1" pivotButton="0" quotePrefix="0" xfId="0">
      <alignment horizontal="center" vertical="center"/>
    </xf>
    <xf numFmtId="0" fontId="43" fillId="9" borderId="0" applyAlignment="1" pivotButton="0" quotePrefix="0" xfId="0">
      <alignment horizontal="center" vertical="top" wrapText="1"/>
    </xf>
    <xf numFmtId="0" fontId="62" fillId="9" borderId="0" applyAlignment="1" pivotButton="0" quotePrefix="0" xfId="0">
      <alignment horizontal="center" vertical="center"/>
    </xf>
    <xf numFmtId="0" fontId="58" fillId="9" borderId="0" applyAlignment="1" pivotButton="0" quotePrefix="0" xfId="0">
      <alignment horizontal="center" vertical="center"/>
    </xf>
    <xf numFmtId="0" fontId="59" fillId="9" borderId="0" applyAlignment="1" pivotButton="0" quotePrefix="0" xfId="0">
      <alignment horizontal="left" vertical="center" wrapText="1"/>
    </xf>
    <xf numFmtId="0" fontId="43" fillId="9" borderId="30" applyAlignment="1" pivotButton="0" quotePrefix="0" xfId="0">
      <alignment horizontal="center" vertical="center" wrapText="1"/>
    </xf>
    <xf numFmtId="0" fontId="43" fillId="9" borderId="33" applyAlignment="1" pivotButton="0" quotePrefix="0" xfId="0">
      <alignment horizontal="center" vertical="center" wrapText="1"/>
    </xf>
    <xf numFmtId="0" fontId="43" fillId="9" borderId="32" applyAlignment="1" pivotButton="0" quotePrefix="0" xfId="0">
      <alignment horizontal="center" vertical="center" wrapText="1"/>
    </xf>
    <xf numFmtId="0" fontId="44" fillId="9" borderId="30" applyAlignment="1" pivotButton="0" quotePrefix="0" xfId="0">
      <alignment horizontal="left" vertical="center" wrapText="1"/>
    </xf>
    <xf numFmtId="0" fontId="44" fillId="9" borderId="33" applyAlignment="1" pivotButton="0" quotePrefix="0" xfId="0">
      <alignment horizontal="left" vertical="center" wrapText="1"/>
    </xf>
    <xf numFmtId="0" fontId="44" fillId="9" borderId="32" applyAlignment="1" pivotButton="0" quotePrefix="0" xfId="0">
      <alignment horizontal="left" vertical="center" wrapText="1"/>
    </xf>
    <xf numFmtId="3" fontId="44" fillId="9" borderId="7" applyAlignment="1" pivotButton="0" quotePrefix="0" xfId="0">
      <alignment horizontal="center" vertical="center" wrapText="1"/>
    </xf>
    <xf numFmtId="0" fontId="44" fillId="9" borderId="7" applyAlignment="1" pivotButton="0" quotePrefix="0" xfId="0">
      <alignment horizontal="center" vertical="center" wrapText="1"/>
    </xf>
    <xf numFmtId="0" fontId="39" fillId="9" borderId="0" applyAlignment="1" pivotButton="0" quotePrefix="0" xfId="0">
      <alignment horizontal="center" vertical="center"/>
    </xf>
    <xf numFmtId="0" fontId="43" fillId="9" borderId="0" applyAlignment="1" pivotButton="0" quotePrefix="0" xfId="0">
      <alignment horizontal="center" vertical="center"/>
    </xf>
    <xf numFmtId="0" fontId="57" fillId="9" borderId="0" applyAlignment="1" pivotButton="0" quotePrefix="0" xfId="0">
      <alignment horizontal="center"/>
    </xf>
    <xf numFmtId="0" fontId="56" fillId="0" borderId="0" applyAlignment="1" applyProtection="1" pivotButton="0" quotePrefix="1" xfId="10">
      <alignment horizontal="left" vertical="center" wrapText="1"/>
      <protection locked="0" hidden="1"/>
    </xf>
    <xf numFmtId="0" fontId="52" fillId="0" borderId="0" applyAlignment="1" applyProtection="1" pivotButton="0" quotePrefix="0" xfId="10">
      <alignment horizontal="center" vertical="center" wrapText="1"/>
      <protection locked="0" hidden="1"/>
    </xf>
    <xf numFmtId="0" fontId="52" fillId="0" borderId="0" applyAlignment="1" pivotButton="0" quotePrefix="0" xfId="11">
      <alignment horizontal="center" vertical="center"/>
    </xf>
    <xf numFmtId="0" fontId="53" fillId="0" borderId="0" applyAlignment="1" applyProtection="1" pivotButton="0" quotePrefix="0" xfId="10">
      <alignment horizontal="center" vertical="center" wrapText="1"/>
      <protection locked="0" hidden="1"/>
    </xf>
    <xf numFmtId="0" fontId="55" fillId="0" borderId="0" applyAlignment="1" pivotButton="0" quotePrefix="0" xfId="11">
      <alignment horizontal="center" vertical="center"/>
    </xf>
    <xf numFmtId="0" fontId="56" fillId="0" borderId="0" applyAlignment="1" pivotButton="0" quotePrefix="0" xfId="11">
      <alignment horizontal="center" vertical="center"/>
    </xf>
    <xf numFmtId="0" fontId="53" fillId="0" borderId="0" applyAlignment="1" applyProtection="1" pivotButton="0" quotePrefix="0" xfId="10">
      <alignment horizontal="right" vertical="center"/>
      <protection locked="0" hidden="1"/>
    </xf>
    <xf numFmtId="0" fontId="53" fillId="0" borderId="0" applyAlignment="1" pivotButton="0" quotePrefix="0" xfId="11">
      <alignment horizontal="left" vertical="center" wrapText="1"/>
    </xf>
    <xf numFmtId="0" fontId="56" fillId="0" borderId="0" applyAlignment="1" pivotButton="0" quotePrefix="0" xfId="11">
      <alignment horizontal="left" vertical="center" wrapText="1"/>
    </xf>
    <xf numFmtId="0" fontId="52" fillId="0" borderId="7" applyAlignment="1" pivotButton="0" quotePrefix="0" xfId="11">
      <alignment horizontal="center" vertical="center"/>
    </xf>
    <xf numFmtId="0" fontId="47" fillId="0" borderId="7" applyAlignment="1" pivotButton="0" quotePrefix="0" xfId="11">
      <alignment horizontal="center" vertical="center" wrapText="1"/>
    </xf>
    <xf numFmtId="0" fontId="53" fillId="0" borderId="0" applyAlignment="1" applyProtection="1" pivotButton="0" quotePrefix="1" xfId="10">
      <alignment horizontal="center" vertical="center"/>
      <protection locked="0" hidden="1"/>
    </xf>
    <xf numFmtId="0" fontId="53" fillId="0" borderId="0" applyAlignment="1" pivotButton="0" quotePrefix="0" xfId="11">
      <alignment horizontal="center" vertical="center"/>
    </xf>
    <xf numFmtId="0" fontId="56" fillId="0" borderId="0" applyAlignment="1" pivotButton="0" quotePrefix="0" xfId="11">
      <alignment horizontal="left" vertical="top" wrapText="1"/>
    </xf>
    <xf numFmtId="0" fontId="53" fillId="0" borderId="0" applyAlignment="1" applyProtection="1" pivotButton="0" quotePrefix="0" xfId="10">
      <alignment horizontal="center" vertical="center"/>
      <protection locked="0" hidden="1"/>
    </xf>
    <xf numFmtId="0" fontId="78" fillId="0" borderId="0" applyAlignment="1" pivotButton="0" quotePrefix="0" xfId="0">
      <alignment horizontal="left" vertical="center" wrapText="1"/>
    </xf>
    <xf numFmtId="0" fontId="78" fillId="0" borderId="34" applyAlignment="1" pivotButton="0" quotePrefix="0" xfId="0">
      <alignment horizontal="left" vertical="center" wrapText="1"/>
    </xf>
    <xf numFmtId="168" fontId="15" fillId="0" borderId="0" pivotButton="0" quotePrefix="0" xfId="2"/>
    <xf numFmtId="169" fontId="15" fillId="0" borderId="0" pivotButton="0" quotePrefix="0" xfId="3"/>
    <xf numFmtId="170" fontId="15" fillId="0" borderId="0" pivotButton="0" quotePrefix="0" xfId="4"/>
    <xf numFmtId="171" fontId="15" fillId="0" borderId="0" pivotButton="0" quotePrefix="0" xfId="5"/>
    <xf numFmtId="0" fontId="0" fillId="0" borderId="38" pivotButton="0" quotePrefix="0" xfId="0"/>
    <xf numFmtId="0" fontId="0" fillId="0" borderId="37" pivotButton="0" quotePrefix="0" xfId="0"/>
    <xf numFmtId="0" fontId="81" fillId="0" borderId="0" pivotButton="0" quotePrefix="0" xfId="0"/>
    <xf numFmtId="0" fontId="0" fillId="0" borderId="41" pivotButton="0" quotePrefix="0" xfId="0"/>
    <xf numFmtId="4" fontId="6" fillId="15" borderId="1" applyAlignment="1" pivotButton="0" quotePrefix="0" xfId="0">
      <alignment horizontal="right" vertical="center"/>
    </xf>
    <xf numFmtId="0" fontId="0" fillId="16" borderId="0" applyAlignment="1" pivotButton="0" quotePrefix="0" xfId="0">
      <alignment vertical="top" wrapText="1"/>
    </xf>
    <xf numFmtId="0" fontId="0" fillId="0" borderId="0" applyAlignment="1" pivotButton="0" quotePrefix="0" xfId="0">
      <alignment vertical="top" wrapText="1"/>
    </xf>
    <xf numFmtId="177" fontId="6" fillId="0" borderId="1" applyAlignment="1" pivotButton="0" quotePrefix="0" xfId="0">
      <alignment horizontal="center" vertical="center" wrapText="1"/>
    </xf>
    <xf numFmtId="174" fontId="51" fillId="0" borderId="7" applyAlignment="1" pivotButton="0" quotePrefix="0" xfId="9">
      <alignment horizontal="center" vertical="center"/>
    </xf>
    <xf numFmtId="172" fontId="51" fillId="0" borderId="7" applyAlignment="1" pivotButton="0" quotePrefix="0" xfId="9">
      <alignment horizontal="center" vertical="center"/>
    </xf>
    <xf numFmtId="0" fontId="0" fillId="0" borderId="0" applyProtection="1" pivotButton="0" quotePrefix="0" xfId="0">
      <protection locked="0" hidden="1"/>
    </xf>
    <xf numFmtId="178" fontId="54" fillId="9" borderId="0" applyAlignment="1" pivotButton="0" quotePrefix="0" xfId="10">
      <alignment horizontal="right" vertical="center"/>
    </xf>
    <xf numFmtId="173" fontId="47" fillId="0" borderId="0" pivotButton="0" quotePrefix="0" xfId="11"/>
    <xf numFmtId="0" fontId="0" fillId="0" borderId="44" pivotButton="0" quotePrefix="0" xfId="0"/>
    <xf numFmtId="0" fontId="0" fillId="0" borderId="33" pivotButton="0" quotePrefix="0" xfId="0"/>
    <xf numFmtId="174" fontId="47" fillId="9" borderId="30" applyAlignment="1" pivotButton="0" quotePrefix="0" xfId="10">
      <alignment horizontal="right" vertical="center"/>
    </xf>
    <xf numFmtId="176" fontId="59" fillId="9" borderId="0" pivotButton="0" quotePrefix="0" xfId="0"/>
    <xf numFmtId="175" fontId="44" fillId="9" borderId="0" applyAlignment="1" pivotButton="0" quotePrefix="0" xfId="0">
      <alignment horizontal="right"/>
    </xf>
    <xf numFmtId="176" fontId="59" fillId="9" borderId="0" applyAlignment="1" pivotButton="0" quotePrefix="0" xfId="0">
      <alignment horizontal="left"/>
    </xf>
    <xf numFmtId="176" fontId="59" fillId="9" borderId="0" applyAlignment="1" pivotButton="0" quotePrefix="0" xfId="0">
      <alignment horizontal="left" vertical="center"/>
    </xf>
    <xf numFmtId="0" fontId="43" fillId="9" borderId="45" applyAlignment="1" pivotButton="0" quotePrefix="0" xfId="0">
      <alignment horizontal="center" vertical="center" wrapText="1"/>
    </xf>
    <xf numFmtId="0" fontId="0" fillId="0" borderId="48" pivotButton="0" quotePrefix="0" xfId="0"/>
    <xf numFmtId="0" fontId="0" fillId="0" borderId="32" pivotButton="0" quotePrefix="0" xfId="0"/>
    <xf numFmtId="0" fontId="44" fillId="9" borderId="45" applyAlignment="1" pivotButton="0" quotePrefix="0" xfId="0">
      <alignment horizontal="left" vertical="center" wrapText="1"/>
    </xf>
    <xf numFmtId="0" fontId="0" fillId="0" borderId="34" pivotButton="0" quotePrefix="0" xfId="0"/>
    <xf numFmtId="0" fontId="82" fillId="0" borderId="0" pivotButton="0" quotePrefix="0" xfId="0"/>
    <xf numFmtId="0" fontId="83" fillId="17" borderId="49" applyAlignment="1" pivotButton="0" quotePrefix="0" xfId="0">
      <alignment horizontal="center" wrapText="1"/>
    </xf>
    <xf numFmtId="0" fontId="0" fillId="0" borderId="49" applyAlignment="1" pivotButton="0" quotePrefix="0" xfId="0">
      <alignment vertical="top" wrapText="1"/>
    </xf>
  </cellXfs>
  <cellStyles count="12">
    <cellStyle name="Normal" xfId="0" builtinId="0"/>
    <cellStyle name="Normal 2" xfId="1"/>
    <cellStyle name="Comma 2" xfId="2"/>
    <cellStyle name="Comma [0] 2" xfId="3"/>
    <cellStyle name="Currency 2" xfId="4"/>
    <cellStyle name="Currency [0] 2" xfId="5"/>
    <cellStyle name="Percent 2" xfId="6"/>
    <cellStyle name="Normal 70" xfId="7"/>
    <cellStyle name="Normal 11" xfId="8"/>
    <cellStyle name="Normal 2 10 2" xfId="9"/>
    <cellStyle name="Normal 12" xfId="10"/>
    <cellStyle name="Normal 11 2" xfId="11"/>
  </cellStyles>
  <dxfs count="2">
    <dxf>
      <font>
        <color rgb="FFFF0000"/>
      </font>
      <fill>
        <patternFill>
          <bgColor theme="7" tint="0.7999816888943144"/>
        </patternFill>
      </fill>
    </dxf>
    <dxf>
      <font>
        <color rgb="FFFF0000"/>
      </font>
      <fill>
        <patternFill>
          <bgColor theme="7" tint="0.799981688894314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24"/><Relationship Type="http://schemas.openxmlformats.org/officeDocument/2006/relationships/theme" Target="theme/theme1.xml" Id="rId25"/></Relationships>
</file>

<file path=xl/comments/comment1.xml><?xml version="1.0" encoding="utf-8"?>
<comments xmlns="http://schemas.openxmlformats.org/spreadsheetml/2006/main">
  <authors>
    <author>tu nguyen</author>
  </authors>
  <commentList>
    <comment ref="C33" authorId="0" shapeId="0">
      <text>
        <t>tu nguyen:
Ngày lấy từ cột NGÀY NT/LM/KT của sheet Danh mục công việc.</t>
      </text>
    </comment>
    <comment ref="C34" authorId="0" shapeId="0">
      <text>
        <t>tu nguyen:
Ngày lấy từ cột NGÀY NT/LM/KT của sheet Danh mục công việc.</t>
      </text>
    </comment>
    <comment ref="C35" authorId="0" shapeId="0">
      <text>
        <t>tu nguyen:
Ngày lấy từ cột NGÀY NT/LM/KT của sheet Danh mục công việc.</t>
      </text>
    </comment>
    <comment ref="C36" authorId="0" shapeId="0">
      <text>
        <t>tu nguyen:
Ngày lấy từ cột NGÀY NT/LM/KT của sheet Danh mục công việc.</t>
      </text>
    </comment>
    <comment ref="C37" authorId="0" shapeId="0">
      <text>
        <t>tu nguyen:
Ngày lấy từ cột NGÀY NT/LM/KT của sheet Danh mục công việc.</t>
      </text>
    </comment>
    <comment ref="C38" authorId="0" shapeId="0">
      <text>
        <t>tu nguyen:
Ngày lấy từ cột NGÀY NT/LM/KT của sheet Danh mục công việc.</t>
      </text>
    </comment>
    <comment ref="C39" authorId="0" shapeId="0">
      <text>
        <t>tu nguyen:
Ngày lấy từ cột NGÀY NT/LM/KT của sheet Danh mục công việc.</t>
      </text>
    </comment>
    <comment ref="C40" authorId="0" shapeId="0">
      <text>
        <t>tu nguyen:
Ngày lấy từ cột NGÀY NT/LM/KT của sheet Danh mục công việc.</t>
      </text>
    </comment>
    <comment ref="C42" authorId="0" shapeId="0">
      <text>
        <t>tu nguyen:
Ngày lấy từ cột NGÀY NT/LM/KT của sheet Danh mục công việc.</t>
      </text>
    </comment>
    <comment ref="C43" authorId="0" shapeId="0">
      <text>
        <t>tu nguyen:
Ngày lấy từ cột NGÀY NT/LM/KT của sheet Danh mục công việc.</t>
      </text>
    </comment>
    <comment ref="C44" authorId="0" shapeId="0">
      <text>
        <t>tu nguyen:
Ngày lấy từ cột NGÀY NT/LM/KT của sheet Danh mục công việc.</t>
      </text>
    </comment>
    <comment ref="C46" authorId="0" shapeId="0">
      <text>
        <t>tu nguyen:
Ngày lấy từ cột NGÀY NT/LM/KT của sheet Danh mục công việc.</t>
      </text>
    </comment>
    <comment ref="C47" authorId="0" shapeId="0">
      <text>
        <t>tu nguyen:
Ngày lấy từ cột NGÀY NT/LM/KT của sheet Danh mục công việc.</t>
      </text>
    </comment>
    <comment ref="C48" authorId="0" shapeId="0">
      <text>
        <t>tu nguyen:
Ngày lấy từ cột NGÀY NT/LM/KT của sheet Danh mục công việc.</t>
      </text>
    </comment>
    <comment ref="C50" authorId="0" shapeId="0">
      <text>
        <t>tu nguyen:
Ngày lấy từ cột NGÀY NT/LM/KT của sheet Danh mục công việc.</t>
      </text>
    </comment>
    <comment ref="C51" authorId="0" shapeId="0">
      <text>
        <t>tu nguyen:
Ngày lấy từ cột NGÀY NT/LM/KT của sheet Danh mục công việc.</t>
      </text>
    </comment>
    <comment ref="C54" authorId="0" shapeId="0">
      <text>
        <t>tu nguyen:
Ngày lấy từ cột NGÀY NT/LM/KT của sheet Danh mục công việc.</t>
      </text>
    </comment>
    <comment ref="C55" authorId="0" shapeId="0">
      <text>
        <t>tu nguyen:
Ngày lấy từ cột NGÀY NT/LM/KT của sheet Danh mục công việc.</t>
      </text>
    </comment>
  </commentList>
</comments>
</file>

<file path=xl/comments/comment2.xml><?xml version="1.0" encoding="utf-8"?>
<comments xmlns="http://schemas.openxmlformats.org/spreadsheetml/2006/main">
  <authors>
    <author>tu nguyen</author>
  </authors>
  <commentList>
    <comment ref="C4" authorId="0" shapeId="0">
      <text>
        <t>tu nguyen:
Chiều dài tiêu chuẩn thanh thép cây xuất xưởng (thông dụng TCVN) - giả định đầu vào, có thể chỉnh theo báo giá nhà cung cấp</t>
      </text>
    </comment>
  </commentList>
</comments>
</file>

<file path=xl/comments/comment3.xml><?xml version="1.0" encoding="utf-8"?>
<comments xmlns="http://schemas.openxmlformats.org/spreadsheetml/2006/main">
  <authors>
    <author>tu nguyen</author>
  </authors>
  <commentList>
    <comment ref="C4" authorId="0" shapeId="0">
      <text>
        <t>tu nguyen:
Chiều dài tiêu chuẩn thanh thép cây xuất xưởng (thông dụng TCVN) - giả định đầu vào, có thể chỉnh theo báo giá nhà cung cấp</t>
      </text>
    </comment>
  </commentList>
</comments>
</file>

<file path=xl/comments/comment4.xml><?xml version="1.0" encoding="utf-8"?>
<comments xmlns="http://schemas.openxmlformats.org/spreadsheetml/2006/main">
  <authors>
    <author>tu nguyen</author>
  </authors>
  <commentList>
    <comment ref="D3" authorId="0" shapeId="0">
      <text>
        <t>tu nguyen:
Chiều dài tiêu chuẩn thanh thép cây xuất xưởng (thông dụng TCVN) - giả định đầu vào, có thể chỉnh theo báo giá nhà cung cấp</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8.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9.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0.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codeName="sh_DMCV" syncHorizontal="1" syncRef="M1246" syncVertical="1">
    <tabColor rgb="FF0066FF"/>
    <outlinePr summaryBelow="1" summaryRight="1"/>
    <pageSetUpPr/>
  </sheetPr>
  <dimension ref="A1:AX1821"/>
  <sheetViews>
    <sheetView showGridLines="0" zoomScaleNormal="100" zoomScaleSheetLayoutView="100" workbookViewId="0">
      <pane xSplit="12" ySplit="8" topLeftCell="M1246" activePane="bottomRight" state="frozen"/>
      <selection activeCell="AB3" sqref="AB3"/>
      <selection pane="topRight" activeCell="AB3" sqref="AB3"/>
      <selection pane="bottomLeft" activeCell="AB3" sqref="AB3"/>
      <selection pane="bottomRight" activeCell="S1261" sqref="S1261"/>
    </sheetView>
  </sheetViews>
  <sheetFormatPr baseColWidth="8" defaultColWidth="8.4140625" defaultRowHeight="14"/>
  <cols>
    <col hidden="1" width="12.08203125" customWidth="1" style="507" min="1" max="1"/>
    <col hidden="1" width="13.25" customWidth="1" style="507" min="2" max="2"/>
    <col hidden="1" width="13" customWidth="1" style="507" min="3" max="3"/>
    <col hidden="1" width="19" customWidth="1" style="58" min="4" max="4"/>
    <col hidden="1" width="20.4140625" customWidth="1" style="58" min="5" max="5"/>
    <col hidden="1" width="19" customWidth="1" style="58" min="6" max="6"/>
    <col hidden="1" width="18.1640625" customWidth="1" style="58" min="7" max="7"/>
    <col hidden="1" width="19" customWidth="1" style="58" min="8" max="8"/>
    <col width="1.5" customWidth="1" style="58" min="9" max="9"/>
    <col width="5.08203125" customWidth="1" style="507" min="10" max="10"/>
    <col width="9.6640625" customWidth="1" style="507" min="11" max="11"/>
    <col width="42.58203125" customWidth="1" style="508" min="12" max="12"/>
    <col width="8.6640625" customWidth="1" style="508" min="13" max="13"/>
    <col width="19.83203125" customWidth="1" style="508" min="14" max="14"/>
    <col width="25" customWidth="1" style="509" min="15" max="15"/>
    <col width="9.83203125" customWidth="1" style="507" min="16" max="17"/>
    <col width="10.75" customWidth="1" style="507" min="18" max="18"/>
    <col width="9.83203125" customWidth="1" style="507" min="19" max="22"/>
    <col width="12.4140625" customWidth="1" style="507" min="23" max="26"/>
    <col width="32.6640625" customWidth="1" style="510" min="27" max="29"/>
    <col hidden="1" width="14.33203125" customWidth="1" style="510" min="30" max="32"/>
    <col width="15.5" customWidth="1" style="510" min="33" max="33"/>
    <col width="14.33203125" customWidth="1" style="510" min="34" max="34"/>
    <col hidden="1" width="10.58203125" customWidth="1" style="507" min="35" max="35"/>
    <col hidden="1" width="8.25" customWidth="1" style="507" min="36" max="36"/>
    <col hidden="1" width="32.5" customWidth="1" style="511" min="37" max="37"/>
    <col hidden="1" width="7.58203125" customWidth="1" style="507" min="38" max="38"/>
    <col hidden="1" width="10.83203125" customWidth="1" style="507" min="39" max="39"/>
    <col hidden="1" width="9" customWidth="1" style="507" min="40" max="40"/>
    <col hidden="1" width="7.5" customWidth="1" style="507" min="41" max="41"/>
    <col width="14.9140625" customWidth="1" style="58" min="42" max="43"/>
    <col width="7.75" customWidth="1" style="507" min="44" max="44"/>
    <col width="7.83203125" customWidth="1" style="507" min="45" max="45"/>
    <col width="8.4140625" customWidth="1" style="507" min="46" max="46"/>
    <col width="9.33203125" customWidth="1" style="507" min="47" max="47"/>
    <col width="7.58203125" customWidth="1" style="507" min="48" max="50"/>
    <col width="8.4140625" customWidth="1" style="58" min="51" max="16384"/>
  </cols>
  <sheetData>
    <row r="1" ht="19" customFormat="1" customHeight="1" s="30">
      <c r="A1" s="28" t="n"/>
      <c r="B1" s="28" t="n"/>
      <c r="C1" s="29" t="n"/>
      <c r="D1" s="29" t="n"/>
      <c r="E1" s="29" t="n"/>
      <c r="F1" s="29" t="n"/>
      <c r="G1" s="29" t="n"/>
      <c r="H1" s="29" t="n"/>
      <c r="J1" s="31" t="n"/>
      <c r="K1" s="32" t="inlineStr">
        <is>
          <t>DANH MỤC CÔNG VIỆC</t>
        </is>
      </c>
      <c r="O1" s="31" t="n"/>
      <c r="P1" s="29" t="n"/>
      <c r="Q1" s="29" t="n"/>
      <c r="R1" s="29" t="n"/>
      <c r="S1" s="29" t="n"/>
      <c r="T1" s="29" t="n"/>
      <c r="U1" s="29" t="n"/>
      <c r="V1" s="29" t="n"/>
      <c r="W1" s="29" t="n"/>
      <c r="X1" s="29" t="n"/>
      <c r="Y1" s="29" t="n"/>
      <c r="Z1" s="29" t="n"/>
      <c r="AA1" s="33" t="n"/>
      <c r="AB1" s="33" t="n"/>
      <c r="AC1" s="33" t="n"/>
      <c r="AD1" s="33" t="n"/>
      <c r="AE1" s="33" t="n"/>
      <c r="AF1" s="33" t="n"/>
      <c r="AG1" s="33" t="n"/>
      <c r="AH1" s="33" t="n"/>
      <c r="AI1" s="29" t="n"/>
      <c r="AJ1" s="29" t="n"/>
      <c r="AK1" s="31" t="n"/>
      <c r="AL1" s="29" t="n"/>
      <c r="AM1" s="29" t="n"/>
      <c r="AN1" s="29" t="n"/>
      <c r="AO1" s="29" t="n"/>
      <c r="AP1" s="31" t="n"/>
      <c r="AQ1" s="31" t="n"/>
      <c r="AR1" s="31" t="n"/>
      <c r="AS1" s="29" t="n"/>
      <c r="AT1" s="29" t="n"/>
      <c r="AU1" s="29" t="n"/>
      <c r="AV1" s="29" t="n"/>
      <c r="AW1" s="29" t="n"/>
      <c r="AX1" s="29" t="n"/>
    </row>
    <row r="2" hidden="1" customFormat="1" s="35">
      <c r="A2" s="34" t="n"/>
      <c r="B2" s="34" t="n"/>
      <c r="C2" s="34" t="n"/>
      <c r="J2" s="31" t="n"/>
      <c r="K2" s="36">
        <f>"     Dự án: "&amp;_xlfn.SINGLE(QLCL_DuAn)</f>
        <v/>
      </c>
      <c r="O2" s="31" t="n"/>
      <c r="P2" s="29" t="n"/>
      <c r="Q2" s="29" t="n"/>
      <c r="R2" s="29" t="n"/>
      <c r="S2" s="29" t="n"/>
      <c r="T2" s="29" t="n"/>
      <c r="U2" s="29" t="n"/>
      <c r="V2" s="29" t="n"/>
      <c r="W2" s="29" t="n"/>
      <c r="X2" s="29" t="n"/>
      <c r="Y2" s="29" t="n"/>
      <c r="Z2" s="29" t="n"/>
      <c r="AA2" s="33" t="n"/>
      <c r="AB2" s="33" t="n"/>
      <c r="AC2" s="33" t="n"/>
      <c r="AD2" s="33" t="n"/>
      <c r="AE2" s="33" t="n"/>
      <c r="AF2" s="33" t="n"/>
      <c r="AG2" s="33" t="n"/>
      <c r="AH2" s="33" t="n"/>
      <c r="AI2" s="29" t="n"/>
      <c r="AJ2" s="29" t="n"/>
      <c r="AK2" s="31" t="n"/>
      <c r="AL2" s="29" t="n"/>
      <c r="AM2" s="29" t="n"/>
      <c r="AN2" s="29" t="n"/>
      <c r="AO2" s="29" t="n"/>
      <c r="AP2" s="31" t="n"/>
      <c r="AQ2" s="31" t="n"/>
      <c r="AR2" s="31" t="n"/>
      <c r="AS2" s="29" t="n"/>
      <c r="AT2" s="29" t="n"/>
      <c r="AU2" s="29" t="n"/>
      <c r="AV2" s="29" t="n"/>
      <c r="AW2" s="29" t="n"/>
      <c r="AX2" s="29" t="n"/>
    </row>
    <row r="3" hidden="1" customFormat="1" s="35">
      <c r="A3" s="34" t="n"/>
      <c r="B3" s="34" t="n"/>
      <c r="C3" s="34" t="n"/>
      <c r="J3" s="31" t="n"/>
      <c r="K3" s="36">
        <f>"     Gói thầu: "&amp;_xlfn.SINGLE(QLCL_GoiThau)</f>
        <v/>
      </c>
      <c r="O3" s="31" t="n"/>
      <c r="P3" s="29" t="n"/>
      <c r="Q3" s="29" t="n"/>
      <c r="R3" s="29" t="n"/>
      <c r="S3" s="29" t="n"/>
      <c r="T3" s="29" t="n"/>
      <c r="U3" s="29" t="n"/>
      <c r="V3" s="29" t="n"/>
      <c r="W3" s="29" t="n"/>
      <c r="X3" s="29" t="n"/>
      <c r="Y3" s="29" t="n"/>
      <c r="Z3" s="29" t="n"/>
      <c r="AA3" s="33" t="n"/>
      <c r="AB3" s="33" t="n"/>
      <c r="AC3" s="33" t="n"/>
      <c r="AD3" s="33" t="n"/>
      <c r="AE3" s="33" t="n"/>
      <c r="AF3" s="33" t="n"/>
      <c r="AG3" s="33" t="n"/>
      <c r="AH3" s="33" t="n"/>
      <c r="AI3" s="29" t="n"/>
      <c r="AJ3" s="29" t="n"/>
      <c r="AK3" s="31" t="n"/>
      <c r="AL3" s="29" t="n"/>
      <c r="AM3" s="29" t="n"/>
      <c r="AN3" s="29" t="n"/>
      <c r="AO3" s="29" t="n"/>
      <c r="AP3" s="31" t="n"/>
      <c r="AQ3" s="31" t="n"/>
      <c r="AR3" s="31" t="n"/>
      <c r="AS3" s="29" t="n"/>
      <c r="AT3" s="29" t="n"/>
      <c r="AU3" s="29" t="n"/>
      <c r="AV3" s="29" t="n"/>
      <c r="AW3" s="29" t="n"/>
      <c r="AX3" s="29" t="n"/>
    </row>
    <row r="4" customFormat="1" s="35">
      <c r="A4" s="34" t="n"/>
      <c r="B4" s="34" t="n"/>
      <c r="C4" s="34" t="n"/>
      <c r="J4" s="31" t="n"/>
      <c r="K4" s="36">
        <f>"     Công trình: "&amp;_xlfn.SINGLE(QLCL_CongTrinh)</f>
        <v/>
      </c>
      <c r="O4" s="31" t="n"/>
      <c r="P4" s="29" t="n"/>
      <c r="Q4" s="29" t="n"/>
      <c r="R4" s="29" t="n"/>
      <c r="S4" s="29" t="n"/>
      <c r="T4" s="29" t="n"/>
      <c r="U4" s="29" t="n"/>
      <c r="V4" s="29" t="n"/>
      <c r="W4" s="29" t="n"/>
      <c r="X4" s="29" t="n"/>
      <c r="Y4" s="29" t="n"/>
      <c r="Z4" s="29" t="n"/>
      <c r="AA4" s="33" t="n"/>
      <c r="AB4" s="33" t="n"/>
      <c r="AC4" s="33" t="n"/>
      <c r="AD4" s="33" t="n"/>
      <c r="AE4" s="33" t="n"/>
      <c r="AF4" s="33" t="n"/>
      <c r="AG4" s="33" t="n"/>
      <c r="AH4" s="33" t="n"/>
      <c r="AI4" s="29" t="n"/>
      <c r="AJ4" s="29" t="n"/>
      <c r="AK4" s="31" t="n"/>
      <c r="AL4" s="29" t="n"/>
      <c r="AM4" s="29" t="n"/>
      <c r="AN4" s="29" t="n"/>
      <c r="AO4" s="29" t="n"/>
      <c r="AP4" s="31" t="n"/>
      <c r="AQ4" s="31" t="n"/>
      <c r="AR4" s="31" t="n"/>
      <c r="AS4" s="29" t="n"/>
      <c r="AT4" s="29" t="n"/>
      <c r="AU4" s="29" t="n"/>
      <c r="AV4" s="29" t="n"/>
      <c r="AW4" s="29" t="n"/>
      <c r="AX4" s="29" t="n"/>
    </row>
    <row r="5" customFormat="1" s="35">
      <c r="A5" s="34" t="n"/>
      <c r="B5" s="34" t="n"/>
      <c r="C5" s="34" t="n"/>
      <c r="J5" s="31" t="n"/>
      <c r="K5" s="36">
        <f>"     Địa điểm xây dựng: "&amp;_xlfn.SINGLE(QLCL_DiaDiemXD)</f>
        <v/>
      </c>
      <c r="O5" s="31" t="n"/>
      <c r="P5" s="29" t="n"/>
      <c r="Q5" s="29" t="n"/>
      <c r="R5" s="29" t="n"/>
      <c r="S5" s="29" t="n"/>
      <c r="T5" s="29" t="n"/>
      <c r="U5" s="29" t="n"/>
      <c r="V5" s="29" t="n"/>
      <c r="W5" s="29" t="n"/>
      <c r="X5" s="29" t="n"/>
      <c r="Y5" s="29" t="n"/>
      <c r="Z5" s="29" t="n"/>
      <c r="AA5" s="33" t="n"/>
      <c r="AB5" s="33" t="n"/>
      <c r="AC5" s="33" t="n"/>
      <c r="AD5" s="33" t="n"/>
      <c r="AE5" s="33" t="n"/>
      <c r="AF5" s="33" t="n"/>
      <c r="AG5" s="33" t="n"/>
      <c r="AH5" s="33" t="n"/>
      <c r="AI5" s="29" t="n"/>
      <c r="AJ5" s="29" t="n"/>
      <c r="AK5" s="31" t="n"/>
      <c r="AL5" s="29" t="n"/>
      <c r="AM5" s="29" t="n"/>
      <c r="AN5" s="29" t="n"/>
      <c r="AO5" s="29" t="n"/>
      <c r="AP5" s="31" t="n"/>
      <c r="AQ5" s="31" t="n"/>
      <c r="AR5" s="31" t="n"/>
      <c r="AS5" s="29" t="n"/>
      <c r="AT5" s="29" t="n"/>
      <c r="AU5" s="29" t="n"/>
      <c r="AV5" s="29" t="n"/>
      <c r="AW5" s="29" t="n"/>
      <c r="AX5" s="29" t="n"/>
    </row>
    <row r="6" ht="5.25" customFormat="1" customHeight="1" s="38">
      <c r="A6" s="37" t="n"/>
      <c r="B6" s="37" t="n"/>
      <c r="C6" s="37" t="n"/>
      <c r="J6" s="39" t="n"/>
      <c r="K6" s="37" t="n"/>
      <c r="L6" s="40" t="n"/>
      <c r="M6" s="40" t="n"/>
      <c r="N6" s="40" t="n"/>
      <c r="O6" s="41" t="n"/>
      <c r="P6" s="42" t="n"/>
      <c r="Q6" s="42" t="n"/>
      <c r="R6" s="42" t="n"/>
      <c r="S6" s="42" t="n"/>
      <c r="T6" s="42" t="n"/>
      <c r="U6" s="42" t="n"/>
      <c r="V6" s="42" t="n"/>
      <c r="W6" s="42" t="n"/>
      <c r="X6" s="42" t="n"/>
      <c r="Y6" s="42" t="n"/>
      <c r="Z6" s="42" t="n"/>
      <c r="AA6" s="42" t="n"/>
      <c r="AB6" s="42" t="n"/>
      <c r="AC6" s="42" t="n"/>
      <c r="AD6" s="42" t="n"/>
      <c r="AE6" s="42" t="n"/>
      <c r="AF6" s="42" t="n"/>
      <c r="AG6" s="42" t="n"/>
      <c r="AH6" s="42" t="n"/>
      <c r="AI6" s="42" t="n"/>
      <c r="AJ6" s="42" t="n"/>
      <c r="AK6" s="41" t="n"/>
      <c r="AL6" s="42" t="n"/>
      <c r="AM6" s="42" t="n"/>
      <c r="AN6" s="42" t="n"/>
      <c r="AO6" s="42" t="n"/>
      <c r="AP6" s="41" t="n"/>
      <c r="AQ6" s="41" t="n"/>
      <c r="AR6" s="41" t="n"/>
      <c r="AS6" s="42" t="n"/>
      <c r="AT6" s="42" t="n"/>
      <c r="AU6" s="42" t="n"/>
      <c r="AV6" s="42" t="n"/>
      <c r="AW6" s="42" t="n"/>
      <c r="AX6" s="42" t="n"/>
    </row>
    <row r="7" ht="29.25" customFormat="1" customHeight="1" s="49">
      <c r="A7" s="43" t="inlineStr">
        <is>
          <t>MÃ HIỆU CHUNG</t>
        </is>
      </c>
      <c r="B7" s="43" t="inlineStr">
        <is>
          <t>LƯU MÃ HIỆU</t>
        </is>
      </c>
      <c r="C7" s="43" t="inlineStr">
        <is>
          <t>MÃ CV</t>
        </is>
      </c>
      <c r="D7" s="43" t="inlineStr">
        <is>
          <t>TIÊU CHUẨN ÁP DỤNG</t>
        </is>
      </c>
      <c r="E7" s="43" t="inlineStr">
        <is>
          <t>NỘI DUNG, PHƯƠNG PHÁP KIỂM TRA</t>
        </is>
      </c>
      <c r="F7" s="43" t="inlineStr">
        <is>
          <t>THÔNG SỐ LẤY MẪU THÍ NGHIỆM</t>
        </is>
      </c>
      <c r="G7" s="43" t="inlineStr">
        <is>
          <t>THIẾT BỊ THI CÔNG</t>
        </is>
      </c>
      <c r="H7" s="43" t="inlineStr">
        <is>
          <t>THÔNG SỐ BẢNG PHỤ</t>
        </is>
      </c>
      <c r="I7" s="44" t="n"/>
      <c r="J7" s="45" t="inlineStr">
        <is>
          <t>STT</t>
        </is>
      </c>
      <c r="K7" s="45" t="inlineStr">
        <is>
          <t>MÃ HIỆU ▼</t>
        </is>
      </c>
      <c r="L7" s="45" t="inlineStr">
        <is>
          <t xml:space="preserve">NỘI DUNG CÔNG VIỆC </t>
        </is>
      </c>
      <c r="M7" s="45" t="inlineStr">
        <is>
          <t>LỚP SỐ</t>
        </is>
      </c>
      <c r="N7" s="45" t="inlineStr">
        <is>
          <t>LÝ TRÌNH</t>
        </is>
      </c>
      <c r="O7" s="45" t="inlineStr">
        <is>
          <t>VỊ TRÍ THI CÔNG/
VỊ TRÍ LẤY MẪU</t>
        </is>
      </c>
      <c r="P7" s="45" t="inlineStr">
        <is>
          <t>NGÀY
BẮT ĐẦU</t>
        </is>
      </c>
      <c r="Q7" s="45" t="inlineStr">
        <is>
          <t>NGÀY
KẾT THÚC</t>
        </is>
      </c>
      <c r="R7" s="45" t="inlineStr">
        <is>
          <t>NGÀY
PHIẾU YC</t>
        </is>
      </c>
      <c r="S7" s="45" t="inlineStr">
        <is>
          <t>NGÀY
NT/ LM/ KT</t>
        </is>
      </c>
      <c r="T7" s="45" t="inlineStr">
        <is>
          <t>GIỜ BẮT ĐẦU</t>
        </is>
      </c>
      <c r="U7" s="45" t="inlineStr">
        <is>
          <t>GIỜ KẾT THÚC</t>
        </is>
      </c>
      <c r="V7" s="45" t="inlineStr">
        <is>
          <t>GIỜ TÍNH</t>
        </is>
      </c>
      <c r="W7" s="45" t="inlineStr">
        <is>
          <t>GIỜ BIÊN BẢN</t>
        </is>
      </c>
      <c r="X7" s="45" t="inlineStr">
        <is>
          <t>Cao độ đáy khoan TK</t>
        </is>
      </c>
      <c r="Y7" s="45" t="inlineStr">
        <is>
          <t>Cao độ đáy khoan TT</t>
        </is>
      </c>
      <c r="Z7" s="45" t="inlineStr">
        <is>
          <t>Số Phụ lục</t>
        </is>
      </c>
      <c r="AA7" s="45" t="inlineStr">
        <is>
          <t>Tên cv PYC</t>
        </is>
      </c>
      <c r="AB7" s="45" t="inlineStr">
        <is>
          <t>Số PYCNT</t>
        </is>
      </c>
      <c r="AC7" s="45" t="inlineStr">
        <is>
          <t>Số BBNT</t>
        </is>
      </c>
      <c r="AD7" s="45" t="inlineStr">
        <is>
          <t>Cọc trục X</t>
        </is>
      </c>
      <c r="AE7" s="45" t="inlineStr">
        <is>
          <t>Cọc trục Y</t>
        </is>
      </c>
      <c r="AF7" s="45" t="inlineStr">
        <is>
          <t>Cao độ</t>
        </is>
      </c>
      <c r="AG7" s="45" t="inlineStr">
        <is>
          <t>Mã BB</t>
        </is>
      </c>
      <c r="AH7" s="45" t="inlineStr">
        <is>
          <t>Filter</t>
        </is>
      </c>
      <c r="AI7" s="46" t="inlineStr">
        <is>
          <t>NGÀY KHÔNG THI CÔNG</t>
        </is>
      </c>
      <c r="AJ7" s="47" t="inlineStr">
        <is>
          <t>MÃ CV</t>
        </is>
      </c>
      <c r="AK7" s="47" t="inlineStr">
        <is>
          <t>TÊN CV</t>
        </is>
      </c>
      <c r="AL7" s="47" t="inlineStr">
        <is>
          <t>ĐƠN VỊ</t>
        </is>
      </c>
      <c r="AM7" s="47" t="inlineStr">
        <is>
          <t>KHỐI LƯỢNG
NGHIỆM THU</t>
        </is>
      </c>
      <c r="AN7" s="47" t="inlineStr">
        <is>
          <t>ĐỢT THANH TOÁN</t>
        </is>
      </c>
      <c r="AO7" s="46" t="inlineStr">
        <is>
          <t>SL NHÂN CÔNG</t>
        </is>
      </c>
      <c r="AP7" s="45" t="inlineStr">
        <is>
          <t>TÊN BẢNG</t>
        </is>
      </c>
      <c r="AQ7" s="45" t="inlineStr">
        <is>
          <t>LINK ẢNH</t>
        </is>
      </c>
      <c r="AR7" s="45" t="inlineStr">
        <is>
          <t>NHÓM
KÝ BB</t>
        </is>
      </c>
      <c r="AS7" s="45" t="inlineStr">
        <is>
          <t>TIỀN TỐ PRINT</t>
        </is>
      </c>
      <c r="AT7" s="48" t="inlineStr">
        <is>
          <t>MÃ HẠNG MỤC</t>
        </is>
      </c>
      <c r="AU7" s="48" t="inlineStr">
        <is>
          <t>MÃ BIÊN BẢN</t>
        </is>
      </c>
      <c r="AV7" s="48" t="inlineStr">
        <is>
          <t>STT SORT DMCV</t>
        </is>
      </c>
      <c r="AW7" s="48" t="inlineStr">
        <is>
          <t>STT SORT HM</t>
        </is>
      </c>
      <c r="AX7" s="45" t="inlineStr">
        <is>
          <t>GHI CHÚ</t>
        </is>
      </c>
    </row>
    <row r="8" ht="11.5" customFormat="1" customHeight="1" s="55">
      <c r="A8" s="50">
        <f>COLUMN()</f>
        <v/>
      </c>
      <c r="B8" s="50">
        <f>COLUMN()</f>
        <v/>
      </c>
      <c r="C8" s="50">
        <f>COLUMN()</f>
        <v/>
      </c>
      <c r="D8" s="50">
        <f>COLUMN()</f>
        <v/>
      </c>
      <c r="E8" s="50">
        <f>COLUMN()</f>
        <v/>
      </c>
      <c r="F8" s="50">
        <f>COLUMN()</f>
        <v/>
      </c>
      <c r="G8" s="50">
        <f>COLUMN()</f>
        <v/>
      </c>
      <c r="H8" s="50">
        <f>COLUMN()</f>
        <v/>
      </c>
      <c r="I8" s="51" t="n"/>
      <c r="J8" s="52">
        <f>COLUMN()-9</f>
        <v/>
      </c>
      <c r="K8" s="52">
        <f>COLUMN()-9</f>
        <v/>
      </c>
      <c r="L8" s="52">
        <f>COLUMN()-9</f>
        <v/>
      </c>
      <c r="M8" s="52" t="n"/>
      <c r="N8" s="52" t="n"/>
      <c r="O8" s="52">
        <f>COLUMN()-9</f>
        <v/>
      </c>
      <c r="P8" s="52">
        <f>COLUMN()-9</f>
        <v/>
      </c>
      <c r="Q8" s="52">
        <f>COLUMN()-9</f>
        <v/>
      </c>
      <c r="R8" s="52">
        <f>COLUMN()-9</f>
        <v/>
      </c>
      <c r="S8" s="52">
        <f>COLUMN()-9</f>
        <v/>
      </c>
      <c r="T8" s="52" t="n"/>
      <c r="U8" s="52" t="n"/>
      <c r="V8" s="52" t="n"/>
      <c r="W8" s="52">
        <f>COLUMN()-9</f>
        <v/>
      </c>
      <c r="X8" s="52" t="n"/>
      <c r="Y8" s="52" t="n"/>
      <c r="Z8" s="52" t="n"/>
      <c r="AA8" s="52" t="n"/>
      <c r="AB8" s="52" t="n"/>
      <c r="AC8" s="52" t="n"/>
      <c r="AD8" s="52" t="n"/>
      <c r="AE8" s="52" t="n"/>
      <c r="AF8" s="52" t="n"/>
      <c r="AG8" s="52" t="n"/>
      <c r="AH8" s="52" t="n"/>
      <c r="AI8" s="52">
        <f>COLUMN()-9</f>
        <v/>
      </c>
      <c r="AJ8" s="53">
        <f>COLUMN()-9</f>
        <v/>
      </c>
      <c r="AK8" s="53">
        <f>COLUMN()-9</f>
        <v/>
      </c>
      <c r="AL8" s="53">
        <f>COLUMN()-9</f>
        <v/>
      </c>
      <c r="AM8" s="53">
        <f>COLUMN()-9</f>
        <v/>
      </c>
      <c r="AN8" s="53">
        <f>COLUMN()-9</f>
        <v/>
      </c>
      <c r="AO8" s="52">
        <f>COLUMN()-9</f>
        <v/>
      </c>
      <c r="AP8" s="52">
        <f>COLUMN()-9</f>
        <v/>
      </c>
      <c r="AQ8" s="52">
        <f>COLUMN()-9</f>
        <v/>
      </c>
      <c r="AR8" s="52">
        <f>COLUMN()-9</f>
        <v/>
      </c>
      <c r="AS8" s="52">
        <f>COLUMN()-9</f>
        <v/>
      </c>
      <c r="AT8" s="54">
        <f>COLUMN()-9</f>
        <v/>
      </c>
      <c r="AU8" s="54">
        <f>COLUMN()-9</f>
        <v/>
      </c>
      <c r="AV8" s="54">
        <f>COLUMN()-9</f>
        <v/>
      </c>
      <c r="AW8" s="54">
        <f>COLUMN()-9</f>
        <v/>
      </c>
      <c r="AX8" s="52">
        <f>COLUMN()-9</f>
        <v/>
      </c>
    </row>
    <row r="9">
      <c r="A9" s="56" t="inlineStr">
        <is>
          <t>HM</t>
        </is>
      </c>
      <c r="B9" s="56" t="inlineStr">
        <is>
          <t>HM</t>
        </is>
      </c>
      <c r="C9" s="56" t="inlineStr">
        <is>
          <t>HM.0533424</t>
        </is>
      </c>
      <c r="D9" s="57" t="n"/>
      <c r="E9" s="57" t="n"/>
      <c r="F9" s="57" t="n"/>
      <c r="G9" s="57" t="n"/>
      <c r="H9" s="57" t="n"/>
      <c r="J9" s="59" t="inlineStr">
        <is>
          <t>HM01</t>
        </is>
      </c>
      <c r="K9" s="59" t="inlineStr">
        <is>
          <t>HM</t>
        </is>
      </c>
      <c r="L9" s="60" t="inlineStr">
        <is>
          <t>Vật liệu đầu vào</t>
        </is>
      </c>
      <c r="M9" s="60" t="n"/>
      <c r="N9" s="60" t="n"/>
      <c r="O9" s="61" t="n"/>
      <c r="P9" s="62" t="n"/>
      <c r="Q9" s="62" t="n"/>
      <c r="R9" s="62" t="n"/>
      <c r="S9" s="62" t="n"/>
      <c r="T9" s="62" t="n"/>
      <c r="U9" s="62" t="n"/>
      <c r="V9" s="62" t="n"/>
      <c r="W9" s="63" t="n"/>
      <c r="X9" s="63" t="n"/>
      <c r="Y9" s="63" t="n"/>
      <c r="Z9" s="63" t="n"/>
      <c r="AA9" s="64" t="n"/>
      <c r="AB9" s="65" t="n"/>
      <c r="AC9" s="65" t="n"/>
      <c r="AD9" s="65" t="n"/>
      <c r="AE9" s="65" t="n"/>
      <c r="AF9" s="65" t="n"/>
      <c r="AG9" s="65" t="n"/>
      <c r="AH9" s="65" t="n"/>
      <c r="AI9" s="63" t="n"/>
      <c r="AJ9" s="63" t="n"/>
      <c r="AK9" s="66" t="n"/>
      <c r="AL9" s="63" t="n"/>
      <c r="AM9" s="63" t="n"/>
      <c r="AN9" s="63" t="n"/>
      <c r="AO9" s="63" t="n"/>
      <c r="AP9" s="67" t="n"/>
      <c r="AQ9" s="67" t="n"/>
      <c r="AR9" s="63" t="n"/>
      <c r="AS9" s="63" t="n"/>
      <c r="AT9" s="63" t="inlineStr">
        <is>
          <t>HM01</t>
        </is>
      </c>
      <c r="AU9" s="63" t="inlineStr">
        <is>
          <t>HM</t>
        </is>
      </c>
      <c r="AV9" s="63" t="n"/>
      <c r="AW9" s="63" t="n"/>
      <c r="AX9" s="63" t="n"/>
    </row>
    <row r="10" ht="28" customFormat="1" customHeight="1" s="70">
      <c r="A10" s="68" t="inlineStr">
        <is>
          <t>BBK_BIA</t>
        </is>
      </c>
      <c r="B10" s="68" t="inlineStr">
        <is>
          <t>TRANGBIA</t>
        </is>
      </c>
      <c r="C10" s="68" t="inlineStr">
        <is>
          <t>BBK_BIA.0579518</t>
        </is>
      </c>
      <c r="D10" s="69" t="n"/>
      <c r="E10" s="69" t="n"/>
      <c r="F10" s="69" t="n"/>
      <c r="G10" s="69" t="n"/>
      <c r="H10" s="69" t="n"/>
      <c r="J10" s="71" t="inlineStr">
        <is>
          <t>01</t>
        </is>
      </c>
      <c r="K10" s="71" t="inlineStr">
        <is>
          <t>TRANGBIA</t>
        </is>
      </c>
      <c r="L10" s="72" t="inlineStr">
        <is>
          <t>Biên bản lấy mẫu, kết quả thí nghiệm và biên bản nghiệm thu vật liệu đầu vào</t>
        </is>
      </c>
      <c r="M10" s="72" t="n"/>
      <c r="N10" s="72" t="n"/>
      <c r="O10" s="73" t="n"/>
      <c r="P10" s="74" t="n"/>
      <c r="Q10" s="74" t="n"/>
      <c r="R10" s="74" t="n"/>
      <c r="S10" s="74" t="n"/>
      <c r="T10" s="74" t="n"/>
      <c r="U10" s="74" t="n"/>
      <c r="V10" s="74" t="n"/>
      <c r="W10" s="75" t="n"/>
      <c r="X10" s="75" t="n"/>
      <c r="Y10" s="75" t="n"/>
      <c r="Z10" s="75" t="n"/>
      <c r="AA10" s="75" t="n"/>
      <c r="AB10" s="75" t="n"/>
      <c r="AC10" s="75" t="n"/>
      <c r="AD10" s="75" t="n"/>
      <c r="AE10" s="75" t="n"/>
      <c r="AF10" s="75" t="n"/>
      <c r="AG10" s="75" t="n"/>
      <c r="AH10" s="75" t="n"/>
      <c r="AI10" s="75" t="n"/>
      <c r="AJ10" s="75" t="n"/>
      <c r="AK10" s="73" t="n"/>
      <c r="AL10" s="75" t="n"/>
      <c r="AM10" s="75" t="n"/>
      <c r="AN10" s="75" t="n"/>
      <c r="AO10" s="75" t="n"/>
      <c r="AP10" s="76" t="n"/>
      <c r="AQ10" s="76" t="n"/>
      <c r="AR10" s="75" t="inlineStr">
        <is>
          <t>Nhóm 1</t>
        </is>
      </c>
      <c r="AS10" s="75" t="n"/>
      <c r="AT10" s="75" t="inlineStr">
        <is>
          <t>HM01</t>
        </is>
      </c>
      <c r="AU10" s="75" t="inlineStr">
        <is>
          <t>TRANGBIA</t>
        </is>
      </c>
      <c r="AV10" s="75" t="n">
        <v>1</v>
      </c>
      <c r="AW10" s="75" t="n">
        <v>1</v>
      </c>
      <c r="AX10" s="75" t="n"/>
    </row>
    <row r="11" customFormat="1" s="70">
      <c r="A11" s="68" t="inlineStr">
        <is>
          <t>BBK_ML</t>
        </is>
      </c>
      <c r="B11" s="68" t="inlineStr">
        <is>
          <t>MUCLUC</t>
        </is>
      </c>
      <c r="C11" s="68" t="inlineStr">
        <is>
          <t>BBK_ML.0289562</t>
        </is>
      </c>
      <c r="D11" s="69" t="n"/>
      <c r="E11" s="69" t="n"/>
      <c r="F11" s="69" t="n"/>
      <c r="G11" s="69" t="n"/>
      <c r="H11" s="69" t="n"/>
      <c r="J11" s="77" t="inlineStr">
        <is>
          <t>02</t>
        </is>
      </c>
      <c r="K11" s="77" t="inlineStr">
        <is>
          <t>MUCLUC</t>
        </is>
      </c>
      <c r="L11" s="78" t="inlineStr">
        <is>
          <t>Vật liệu đầu vào</t>
        </is>
      </c>
      <c r="M11" s="78" t="n"/>
      <c r="N11" s="78" t="n"/>
      <c r="O11" s="79" t="n"/>
      <c r="P11" s="80" t="n"/>
      <c r="Q11" s="80" t="n"/>
      <c r="R11" s="80" t="n"/>
      <c r="S11" s="80" t="n"/>
      <c r="T11" s="80" t="n"/>
      <c r="U11" s="80" t="n"/>
      <c r="V11" s="80" t="n"/>
      <c r="W11" s="81" t="n"/>
      <c r="X11" s="81" t="n"/>
      <c r="Y11" s="81" t="n"/>
      <c r="Z11" s="81" t="n"/>
      <c r="AA11" s="81" t="n"/>
      <c r="AB11" s="81" t="n"/>
      <c r="AC11" s="81" t="n"/>
      <c r="AD11" s="81" t="n"/>
      <c r="AE11" s="81" t="n"/>
      <c r="AF11" s="81" t="n"/>
      <c r="AG11" s="81" t="n"/>
      <c r="AH11" s="81" t="n"/>
      <c r="AI11" s="81" t="n"/>
      <c r="AJ11" s="81" t="n"/>
      <c r="AK11" s="79" t="n"/>
      <c r="AL11" s="81" t="n"/>
      <c r="AM11" s="81" t="n"/>
      <c r="AN11" s="81" t="n"/>
      <c r="AO11" s="81" t="n"/>
      <c r="AP11" s="82" t="n"/>
      <c r="AQ11" s="82" t="n"/>
      <c r="AR11" s="81" t="inlineStr">
        <is>
          <t>Nhóm 1</t>
        </is>
      </c>
      <c r="AS11" s="81" t="n"/>
      <c r="AT11" s="81" t="inlineStr">
        <is>
          <t>HM01</t>
        </is>
      </c>
      <c r="AU11" s="81" t="inlineStr">
        <is>
          <t>MUCLUC</t>
        </is>
      </c>
      <c r="AV11" s="81" t="n">
        <v>1</v>
      </c>
      <c r="AW11" s="81" t="n">
        <v>1</v>
      </c>
      <c r="AX11" s="81" t="n"/>
    </row>
    <row r="12" ht="70" customHeight="1" s="672">
      <c r="A12" s="56" t="inlineStr">
        <is>
          <t>LMDV</t>
        </is>
      </c>
      <c r="B12" s="56" t="inlineStr">
        <is>
          <t>LMDV</t>
        </is>
      </c>
      <c r="C12" s="56" t="inlineStr">
        <is>
          <t>LMDV.0301948</t>
        </is>
      </c>
      <c r="D12" s="57" t="inlineStr">
        <is>
          <t xml:space="preserve">TC.000205|TC.000204|TC.000206 </t>
        </is>
      </c>
      <c r="E12" s="57" t="n"/>
      <c r="F12" s="57" t="inlineStr">
        <is>
          <t xml:space="preserve">VL.0008^Lưới cốt thủy tinh 100/100 kN/m^^2^^^^TC.000205|TC.000204|TC.000206 </t>
        </is>
      </c>
      <c r="G12" s="57" t="n"/>
      <c r="H12" s="57" t="n"/>
      <c r="J12" s="83" t="inlineStr">
        <is>
          <t>03</t>
        </is>
      </c>
      <c r="K12" s="83" t="inlineStr">
        <is>
          <t>LMDV</t>
        </is>
      </c>
      <c r="L12" s="84" t="inlineStr">
        <is>
          <t>Lưới cốt sợi thủy tinh 100/100 kN/m</t>
        </is>
      </c>
      <c r="M12" s="84" t="n"/>
      <c r="N12" s="84" t="n"/>
      <c r="O12" s="85" t="inlineStr">
        <is>
          <t>Công ty cổ phần dịch vụ và công nghệ Trường Khánh (Địa chỉ: Số 2, ngõ 46/15 đường Yên Hòa, Tổ 14 phường Yên nghĩa, Tp Hà nội)</t>
        </is>
      </c>
      <c r="P12" s="86" t="n"/>
      <c r="Q12" s="86" t="n"/>
      <c r="R12" s="86" t="n"/>
      <c r="S12" s="86" t="n">
        <v>46154</v>
      </c>
      <c r="T12" s="87" t="n">
        <v>0.375</v>
      </c>
      <c r="U12" s="87">
        <f>T12+V12</f>
        <v/>
      </c>
      <c r="V12" s="87" t="n">
        <v>0.0625</v>
      </c>
      <c r="W12" s="88">
        <f>TEXT(T12,"HH""h""MM'")&amp;"÷"&amp;TEXT(U12,"HH""h""MM'")</f>
        <v/>
      </c>
      <c r="X12" s="88" t="n"/>
      <c r="Y12" s="88" t="n"/>
      <c r="Z12" s="88" t="n"/>
      <c r="AA12" s="88" t="n"/>
      <c r="AB12" s="88" t="n"/>
      <c r="AC12" s="88" t="n"/>
      <c r="AD12" s="88" t="n"/>
      <c r="AE12" s="88" t="n"/>
      <c r="AF12" s="88" t="n"/>
      <c r="AG12" s="88" t="n"/>
      <c r="AH12" s="88" t="n"/>
      <c r="AI12" s="84" t="n"/>
      <c r="AJ12" s="88" t="n"/>
      <c r="AK12" s="85" t="n"/>
      <c r="AL12" s="88" t="n"/>
      <c r="AM12" s="88" t="n"/>
      <c r="AN12" s="88" t="n"/>
      <c r="AO12" s="88" t="n"/>
      <c r="AP12" s="89" t="n"/>
      <c r="AQ12" s="89" t="n"/>
      <c r="AR12" s="88" t="inlineStr">
        <is>
          <t>Nhóm 1</t>
        </is>
      </c>
      <c r="AS12" s="88" t="n"/>
      <c r="AT12" s="88" t="inlineStr">
        <is>
          <t>HM01</t>
        </is>
      </c>
      <c r="AU12" s="88" t="inlineStr">
        <is>
          <t>LMDV</t>
        </is>
      </c>
      <c r="AV12" s="88" t="n">
        <v>5</v>
      </c>
      <c r="AW12" s="88" t="n">
        <v>5</v>
      </c>
      <c r="AX12" s="88" t="n"/>
    </row>
    <row r="13" ht="56" customHeight="1" s="672">
      <c r="A13" s="56" t="inlineStr">
        <is>
          <t>LMDV</t>
        </is>
      </c>
      <c r="B13" s="56" t="inlineStr">
        <is>
          <t>LMDV</t>
        </is>
      </c>
      <c r="C13" s="56" t="inlineStr">
        <is>
          <t>LMDV.0774740</t>
        </is>
      </c>
      <c r="D13" s="57" t="inlineStr">
        <is>
          <t>TC.000205|TC.000204</t>
        </is>
      </c>
      <c r="E13" s="57" t="n"/>
      <c r="F13" s="57" t="inlineStr">
        <is>
          <t>VL.0010^Bentonite - API Bentonite STAR-số lô :2003^^25kg^Công ty TNHH Thương mại &amp; Sản xuất Hùng Ngọc (Địa chỉ: Số 23 khu đất đấu giá TT5A, phường Phúc Lợi, TP Hà Nội)^^^TC.000205|TC.000204</t>
        </is>
      </c>
      <c r="G13" s="57" t="n"/>
      <c r="H13" s="57" t="n"/>
      <c r="J13" s="83" t="inlineStr">
        <is>
          <t>04</t>
        </is>
      </c>
      <c r="K13" s="83" t="inlineStr">
        <is>
          <t>LMDV</t>
        </is>
      </c>
      <c r="L13" s="84" t="inlineStr">
        <is>
          <t>Bentonite</t>
        </is>
      </c>
      <c r="M13" s="84" t="n"/>
      <c r="N13" s="84" t="n"/>
      <c r="O13" s="85" t="inlineStr">
        <is>
          <t>Công ty TNHH Thương mại &amp; Sản xuất Hùng Ngọc (Địa chỉ: Số 23 khu đất đấu giá TT5A, phường Phúc Lợi, TP Hà Nội)</t>
        </is>
      </c>
      <c r="P13" s="86" t="n"/>
      <c r="Q13" s="86" t="n"/>
      <c r="R13" s="86" t="n"/>
      <c r="S13" s="86" t="n">
        <v>46168</v>
      </c>
      <c r="T13" s="87" t="n">
        <v>0.3541666666666667</v>
      </c>
      <c r="U13" s="87">
        <f>T13+V13</f>
        <v/>
      </c>
      <c r="V13" s="87" t="n">
        <v>0.03125</v>
      </c>
      <c r="W13" s="88">
        <f>TEXT(T13,"HH""h""MM'")&amp;"÷"&amp;TEXT(U13,"HH""h""MM'")</f>
        <v/>
      </c>
      <c r="X13" s="88" t="n"/>
      <c r="Y13" s="88" t="n"/>
      <c r="Z13" s="88" t="n"/>
      <c r="AA13" s="88" t="n"/>
      <c r="AB13" s="88" t="n"/>
      <c r="AC13" s="88" t="n"/>
      <c r="AD13" s="88" t="n"/>
      <c r="AE13" s="88" t="n"/>
      <c r="AF13" s="88" t="n"/>
      <c r="AG13" s="88" t="n"/>
      <c r="AH13" s="88" t="n"/>
      <c r="AI13" s="84" t="n"/>
      <c r="AJ13" s="88" t="n"/>
      <c r="AK13" s="85" t="n"/>
      <c r="AL13" s="88" t="n"/>
      <c r="AM13" s="88" t="n"/>
      <c r="AN13" s="88" t="n"/>
      <c r="AO13" s="88" t="n"/>
      <c r="AP13" s="89" t="n"/>
      <c r="AQ13" s="89" t="n"/>
      <c r="AR13" s="88" t="inlineStr">
        <is>
          <t>Nhóm 1</t>
        </is>
      </c>
      <c r="AS13" s="88" t="n"/>
      <c r="AT13" s="88" t="inlineStr">
        <is>
          <t>HM01</t>
        </is>
      </c>
      <c r="AU13" s="88" t="inlineStr">
        <is>
          <t>LMDV</t>
        </is>
      </c>
      <c r="AV13" s="88" t="n">
        <v>6</v>
      </c>
      <c r="AW13" s="88" t="n">
        <v>6</v>
      </c>
      <c r="AX13" s="88" t="n"/>
    </row>
    <row r="14" ht="70" customHeight="1" s="672">
      <c r="A14" s="56" t="inlineStr">
        <is>
          <t>LMDV</t>
        </is>
      </c>
      <c r="B14" s="56" t="inlineStr">
        <is>
          <t>LMDV</t>
        </is>
      </c>
      <c r="C14" s="56" t="inlineStr">
        <is>
          <t>LMDV.0014017</t>
        </is>
      </c>
      <c r="D14" s="57" t="inlineStr">
        <is>
          <t>TC.000205|TC.000204|TC.000773</t>
        </is>
      </c>
      <c r="E14" s="57" t="n"/>
      <c r="F14" s="57" t="inlineStr">
        <is>
          <t>VL.0010^Cóc nối thép dọc M16, L=285mm^^6^^^^TC.000205|TC.000204~VL.0055^Thép ống D113.5x3.5mm^^6^^^^TC.000773~VL.0055^Thép ống D59.9x3mm^^6^^^^TC.000773</t>
        </is>
      </c>
      <c r="G14" s="57" t="n"/>
      <c r="H14" s="57" t="n"/>
      <c r="J14" s="83" t="inlineStr">
        <is>
          <t>05</t>
        </is>
      </c>
      <c r="K14" s="83" t="inlineStr">
        <is>
          <t>LMDV</t>
        </is>
      </c>
      <c r="L14" s="84" t="inlineStr">
        <is>
          <t>Cóc nối thép dọc, Ống thép</t>
        </is>
      </c>
      <c r="M14" s="84" t="n"/>
      <c r="N14" s="84" t="n"/>
      <c r="O14" s="85" t="inlineStr">
        <is>
          <t>Công ty TNHH SX và TM CTGT Hòa Bình (Địa chỉ: Số nhà 69 ngõ 157/10 Tổ 18, Đường Đức Giang, Phường Việt Hưng, TP Hà Nội)</t>
        </is>
      </c>
      <c r="P14" s="86" t="n"/>
      <c r="Q14" s="86" t="n"/>
      <c r="R14" s="86" t="n"/>
      <c r="S14" s="86" t="n">
        <v>46168</v>
      </c>
      <c r="T14" s="87">
        <f>U13</f>
        <v/>
      </c>
      <c r="U14" s="87">
        <f>T14+V14</f>
        <v/>
      </c>
      <c r="V14" s="87" t="n">
        <v>0.03125</v>
      </c>
      <c r="W14" s="88">
        <f>TEXT(T14,"HH""h""MM'")&amp;"÷"&amp;TEXT(U14,"HH""h""MM'")</f>
        <v/>
      </c>
      <c r="X14" s="88" t="n"/>
      <c r="Y14" s="88" t="n"/>
      <c r="Z14" s="88" t="n"/>
      <c r="AA14" s="88" t="n"/>
      <c r="AB14" s="88" t="n"/>
      <c r="AC14" s="88" t="n"/>
      <c r="AD14" s="88" t="n"/>
      <c r="AE14" s="88" t="n"/>
      <c r="AF14" s="88" t="n"/>
      <c r="AG14" s="88" t="n"/>
      <c r="AH14" s="88" t="n"/>
      <c r="AI14" s="84" t="n"/>
      <c r="AJ14" s="88" t="n"/>
      <c r="AK14" s="85" t="n"/>
      <c r="AL14" s="88" t="n"/>
      <c r="AM14" s="88" t="n"/>
      <c r="AN14" s="88" t="n"/>
      <c r="AO14" s="88" t="n"/>
      <c r="AP14" s="89" t="n"/>
      <c r="AQ14" s="89" t="n"/>
      <c r="AR14" s="88" t="inlineStr">
        <is>
          <t>Nhóm 1</t>
        </is>
      </c>
      <c r="AS14" s="88" t="n"/>
      <c r="AT14" s="88" t="inlineStr">
        <is>
          <t>HM01</t>
        </is>
      </c>
      <c r="AU14" s="88" t="inlineStr">
        <is>
          <t>LMDV</t>
        </is>
      </c>
      <c r="AV14" s="88" t="n">
        <v>7</v>
      </c>
      <c r="AW14" s="88" t="n">
        <v>7</v>
      </c>
      <c r="AX14" s="88" t="n"/>
    </row>
    <row r="15" ht="409.5" customHeight="1" s="672">
      <c r="A15" s="56" t="inlineStr">
        <is>
          <t>LMDV</t>
        </is>
      </c>
      <c r="B15" s="56" t="inlineStr">
        <is>
          <t>LMDV</t>
        </is>
      </c>
      <c r="C15" s="56" t="inlineStr">
        <is>
          <t>LMDV.0760723</t>
        </is>
      </c>
      <c r="D15" s="57" t="inlineStr">
        <is>
          <t>TC.000401|TC.000393.A|TC.000393.B|TC.000657</t>
        </is>
      </c>
      <c r="E15" s="57" t="n"/>
      <c r="F15" s="57" t="inlineStr">
        <is>
          <t>VL.0012^Xi măng^50 kg^01 mẫu^Vincem Hải phòng^^^TC.000401|TC.000393.A|TC.000393.B~VL.0042^ROADCON-SK3000^5 lít^1 mẫu^^^^TC.000657~VL.0012^Xi măng^200 kg^01 mẫu^Vincem Hải phòng^^^TC.000401|TC.000393.A|TC.000393.B</t>
        </is>
      </c>
      <c r="G15" s="57" t="n"/>
      <c r="H15" s="57" t="n"/>
      <c r="J15" s="83" t="inlineStr">
        <is>
          <t>06</t>
        </is>
      </c>
      <c r="K15" s="83" t="inlineStr">
        <is>
          <t>LMDV</t>
        </is>
      </c>
      <c r="L15" s="84" t="inlineStr">
        <is>
          <t>Xi măng Vicem Hải phòng PCB40</t>
        </is>
      </c>
      <c r="M15" s="84" t="n"/>
      <c r="N15" s="84" t="n"/>
      <c r="O15" s="85" t="inlineStr">
        <is>
          <t>Trạm trộn bê tông Phúc Lâm - Thí nghiệm các chỉ tiêu cơ lý</t>
        </is>
      </c>
      <c r="P15" s="86" t="n"/>
      <c r="Q15" s="86" t="n"/>
      <c r="R15" s="86" t="n"/>
      <c r="S15" s="86" t="n">
        <v>46128</v>
      </c>
      <c r="T15" s="87" t="n">
        <v>0.375</v>
      </c>
      <c r="U15" s="87">
        <f>T15+V15</f>
        <v/>
      </c>
      <c r="V15" s="87" t="n">
        <v>0.02083333333333333</v>
      </c>
      <c r="W15" s="88">
        <f>TEXT(T15,"HH""h""MM'")&amp;"÷"&amp;TEXT(U15,"HH""h""MM'")</f>
        <v/>
      </c>
      <c r="X15" s="88" t="n"/>
      <c r="Y15" s="88" t="n"/>
      <c r="Z15" s="88" t="n"/>
      <c r="AA15" s="88" t="n"/>
      <c r="AB15" s="88" t="n"/>
      <c r="AC15" s="88" t="n"/>
      <c r="AD15" s="88" t="n"/>
      <c r="AE15" s="88" t="n"/>
      <c r="AF15" s="88" t="n"/>
      <c r="AG15" s="88" t="n"/>
      <c r="AH15" s="88" t="n"/>
      <c r="AI15" s="84" t="n"/>
      <c r="AJ15" s="88" t="n"/>
      <c r="AK15" s="85" t="n"/>
      <c r="AL15" s="88" t="n"/>
      <c r="AM15" s="88" t="n"/>
      <c r="AN15" s="88" t="n"/>
      <c r="AO15" s="88" t="n"/>
      <c r="AP15" s="89" t="n"/>
      <c r="AQ15" s="89" t="n"/>
      <c r="AR15" s="88" t="inlineStr">
        <is>
          <t>Nhóm 1</t>
        </is>
      </c>
      <c r="AS15" s="88" t="n"/>
      <c r="AT15" s="88" t="inlineStr">
        <is>
          <t>HM01</t>
        </is>
      </c>
      <c r="AU15" s="88" t="inlineStr">
        <is>
          <t>LMDV</t>
        </is>
      </c>
      <c r="AV15" s="88" t="n">
        <v>1</v>
      </c>
      <c r="AW15" s="88" t="n">
        <v>1</v>
      </c>
      <c r="AX15" s="88" t="inlineStr">
        <is>
          <t>Xi măng (50 tấn): Lần 1 [BT 4] → Lần 2 [BT 6] → Lần 3 [BT 9] → Lần 4 [BT 12] → Lần 5 [BT 15] → Lần 6 [BT 17] → Lần 7 [BT 20] → Lần 8 [BT 23] → Lần 9 [BT 26] → Lần 10 [BT 32] → Lần 11 [BT 34] → Lần 12 [BT 35] → Lần 13 [BT 38] → Lần 14 [BT 40] → Lần 15 [BT 40] → Lần 16 [BT 43] → Lần 17 [BT 44] → Lần 18 [BT 46] → Lần 19 [BT 47] → Lần 20 [BT 49] → Lần 21 [BT 54] → Lần 22 [BT 57] → Lần 23 [BT 62] → Lần 24 [BT 67] → Lần 25 [BT 71] → Lần 26 [BT 78] → Lần 27 [BT 80] → Lần 28 [BT 81] → Lần 29 [BT 83] → Lần 30 [BT 85]</t>
        </is>
      </c>
    </row>
    <row r="16" ht="252" customHeight="1" s="672">
      <c r="A16" s="56" t="inlineStr">
        <is>
          <t>LMDV</t>
        </is>
      </c>
      <c r="B16" s="56" t="inlineStr">
        <is>
          <t>LMDV</t>
        </is>
      </c>
      <c r="C16" s="56" t="inlineStr">
        <is>
          <t>LMDV.0814490</t>
        </is>
      </c>
      <c r="D16" s="57" t="inlineStr">
        <is>
          <t xml:space="preserve">TC.000401|TC.000393.A|TC.000393.B|TC.000205|TC.000204|TC.000206 </t>
        </is>
      </c>
      <c r="E16" s="57" t="n"/>
      <c r="F16" s="57" t="inlineStr">
        <is>
          <t xml:space="preserve">VL.0012^Cát vàng^50 kg^01 mẫu^Sông Lô^^^TC.000401|TC.000393.A|TC.000393.B~VL.0008^Cát vàng^400 kg^01 mẫu^Sông Lô^^^TC.000205|TC.000204|TC.000206 </t>
        </is>
      </c>
      <c r="G16" s="57" t="n"/>
      <c r="H16" s="57" t="n"/>
      <c r="J16" s="83" t="inlineStr">
        <is>
          <t>07</t>
        </is>
      </c>
      <c r="K16" s="83" t="inlineStr">
        <is>
          <t>LMDV</t>
        </is>
      </c>
      <c r="L16" s="84" t="inlineStr">
        <is>
          <t>Cát vàng</t>
        </is>
      </c>
      <c r="M16" s="84" t="n"/>
      <c r="N16" s="84" t="n"/>
      <c r="O16" s="85" t="inlineStr">
        <is>
          <t>Trạm trộn bê tông Phúc Lâm - Thí nghiệm các chỉ tiêu cơ lý</t>
        </is>
      </c>
      <c r="P16" s="86" t="n"/>
      <c r="Q16" s="86" t="n"/>
      <c r="R16" s="86" t="n"/>
      <c r="S16" s="86" t="n">
        <v>46128</v>
      </c>
      <c r="T16" s="87">
        <f>U15</f>
        <v/>
      </c>
      <c r="U16" s="87">
        <f>T16+V16</f>
        <v/>
      </c>
      <c r="V16" s="87" t="n">
        <v>0.02083333333333333</v>
      </c>
      <c r="W16" s="88">
        <f>TEXT(T16,"HH""h""MM'")&amp;"÷"&amp;TEXT(U16,"HH""h""MM'")</f>
        <v/>
      </c>
      <c r="X16" s="88" t="n"/>
      <c r="Y16" s="88" t="n"/>
      <c r="Z16" s="88" t="n"/>
      <c r="AA16" s="88" t="n"/>
      <c r="AB16" s="88" t="n"/>
      <c r="AC16" s="88" t="n"/>
      <c r="AD16" s="88" t="n"/>
      <c r="AE16" s="88" t="n"/>
      <c r="AF16" s="88" t="n"/>
      <c r="AG16" s="88" t="n"/>
      <c r="AH16" s="88" t="n"/>
      <c r="AI16" s="84" t="n"/>
      <c r="AJ16" s="88" t="n"/>
      <c r="AK16" s="85" t="n"/>
      <c r="AL16" s="88" t="n"/>
      <c r="AM16" s="88" t="n"/>
      <c r="AN16" s="88" t="n"/>
      <c r="AO16" s="88" t="n"/>
      <c r="AP16" s="89" t="n"/>
      <c r="AQ16" s="89" t="n"/>
      <c r="AR16" s="88" t="inlineStr">
        <is>
          <t>Nhóm 1</t>
        </is>
      </c>
      <c r="AS16" s="88" t="n"/>
      <c r="AT16" s="88" t="inlineStr">
        <is>
          <t>HM01</t>
        </is>
      </c>
      <c r="AU16" s="88" t="inlineStr">
        <is>
          <t>LMDV</t>
        </is>
      </c>
      <c r="AV16" s="88" t="n">
        <v>2</v>
      </c>
      <c r="AW16" s="88" t="n">
        <v>2</v>
      </c>
      <c r="AX16" s="88" t="inlineStr">
        <is>
          <t>Cát (200 m³): Lần 1 [BT 4] → Lần 2 [BT 13] → Lần 3 [BT 22] → Lần 4 [BT 34] → Lần 5 [BT 40] → Lần 6 [BT 45] → Lần 7 [BT 49] → Lần 8 [BT 64] → Lần 9 [BT 79] → Lần 10 [BT 84]</t>
        </is>
      </c>
    </row>
    <row r="17" ht="168" customHeight="1" s="672">
      <c r="A17" s="56" t="inlineStr">
        <is>
          <t>LMDV</t>
        </is>
      </c>
      <c r="B17" s="56" t="inlineStr">
        <is>
          <t>LMDV</t>
        </is>
      </c>
      <c r="C17" s="56" t="inlineStr">
        <is>
          <t>LMDV.0709037</t>
        </is>
      </c>
      <c r="D17" s="57" t="inlineStr">
        <is>
          <t>TC.000401|TC.000393.A|TC.000393.B|TC.000205|TC.000204</t>
        </is>
      </c>
      <c r="E17" s="57" t="n"/>
      <c r="F17" s="57" t="inlineStr">
        <is>
          <t>VL.0012^Đá dăm 5-20mm^150 kg^01 mẫu^Mỏ đá Thạch Bàn-Hùng An-Tuyên Quang^^^TC.000401|TC.000393.A|TC.000393.B~VL.0010^Đá dăm 5-20mm^450 kg^01 mẫu^Mỏ đá Thạch Bàn-Hùng An-Tuyên Quang^^^TC.000205|TC.000204</t>
        </is>
      </c>
      <c r="G17" s="57" t="n"/>
      <c r="H17" s="57" t="n"/>
      <c r="J17" s="83" t="inlineStr">
        <is>
          <t>08</t>
        </is>
      </c>
      <c r="K17" s="83" t="inlineStr">
        <is>
          <t>LMDV</t>
        </is>
      </c>
      <c r="L17" s="84" t="inlineStr">
        <is>
          <t>Đá dăm 5-20mm</t>
        </is>
      </c>
      <c r="M17" s="84" t="n"/>
      <c r="N17" s="84" t="n"/>
      <c r="O17" s="85" t="inlineStr">
        <is>
          <t>Trạm trộn bê tông Phúc Lâm - Thí nghiệm các chỉ tiêu cơ lý</t>
        </is>
      </c>
      <c r="P17" s="86" t="n"/>
      <c r="Q17" s="86" t="n"/>
      <c r="R17" s="86" t="n"/>
      <c r="S17" s="86" t="n">
        <v>46128</v>
      </c>
      <c r="T17" s="87">
        <f>U16</f>
        <v/>
      </c>
      <c r="U17" s="87">
        <f>T17+V17</f>
        <v/>
      </c>
      <c r="V17" s="87" t="n">
        <v>0.02083333333333333</v>
      </c>
      <c r="W17" s="88">
        <f>TEXT(T17,"HH""h""MM'")&amp;"÷"&amp;TEXT(U17,"HH""h""MM'")</f>
        <v/>
      </c>
      <c r="X17" s="88" t="n"/>
      <c r="Y17" s="88" t="n"/>
      <c r="Z17" s="88" t="n"/>
      <c r="AA17" s="88" t="n"/>
      <c r="AB17" s="88" t="n"/>
      <c r="AC17" s="88" t="n"/>
      <c r="AD17" s="88" t="n"/>
      <c r="AE17" s="88" t="n"/>
      <c r="AF17" s="88" t="n"/>
      <c r="AG17" s="88" t="n"/>
      <c r="AH17" s="88" t="n"/>
      <c r="AI17" s="84" t="n"/>
      <c r="AJ17" s="88" t="n"/>
      <c r="AK17" s="85" t="n"/>
      <c r="AL17" s="88" t="n"/>
      <c r="AM17" s="88" t="n"/>
      <c r="AN17" s="88" t="n"/>
      <c r="AO17" s="88" t="n"/>
      <c r="AP17" s="89" t="n"/>
      <c r="AQ17" s="89" t="n"/>
      <c r="AR17" s="88" t="inlineStr">
        <is>
          <t>Nhóm 1</t>
        </is>
      </c>
      <c r="AS17" s="88" t="n"/>
      <c r="AT17" s="88" t="inlineStr">
        <is>
          <t>HM01</t>
        </is>
      </c>
      <c r="AU17" s="88" t="inlineStr">
        <is>
          <t>LMDV</t>
        </is>
      </c>
      <c r="AV17" s="88" t="n">
        <v>3</v>
      </c>
      <c r="AW17" s="88" t="n">
        <v>3</v>
      </c>
      <c r="AX17" s="88" t="inlineStr">
        <is>
          <t>Đá (350 m³): Lần 1 [BT 4] → Lần 2 [BT 16] → Lần 3 [BT 29] → Lần 4 [BT 40] → Lần 5 [BT 47] → Lần 6 [BT 61] → Lần 7 [BT 80]</t>
        </is>
      </c>
    </row>
    <row r="18" ht="409.5" customHeight="1" s="672">
      <c r="A18" s="56" t="inlineStr">
        <is>
          <t>LMDV</t>
        </is>
      </c>
      <c r="B18" s="56" t="inlineStr">
        <is>
          <t>LMDV</t>
        </is>
      </c>
      <c r="C18" s="56" t="inlineStr">
        <is>
          <t>LMDV.0045352</t>
        </is>
      </c>
      <c r="D18" s="57" t="inlineStr">
        <is>
          <t>TC.000709|TC.000226|TC.000227|TC.000713</t>
        </is>
      </c>
      <c r="E18" s="57" t="n"/>
      <c r="F18" s="57" t="inlineStr">
        <is>
          <t>VL.0013^Thép tròn trơn D6(CB240-T)^150 cm^06 thanh^Hòa Phát^^^TC.000709|TC.000226|TC.000227|TC.000713~VL.0013^Thép tròn trơn D8(CB240-T)^150 cm^06 thanh^Hòa Phát^^^TC.000709|TC.000226|TC.000227|TC.000713~VL.0013^Thép thanh vằn D10(CB400-V)^150 cm^03 thanh^Hòa Phát^^^TC.000709|TC.000226|TC.000227|TC.000713~VL.0013^Thép thanh vằn D12(CB400-V)^150 cm^06 thanh^Hòa Phát^^^TC.000709|TC.000226|TC.000227|TC.000713~VL.0013^Thép thanh vằn D14(CB400-V)^150 cm^06 thanh^Hòa Phát^^^TC.000709|TC.000226|TC.000227|TC.000713~VL.0013^Thép thanh vằn D16(CB400-V)^150 cm^06 thanh^Hòa Phát^^^TC.000709|TC.000226|TC.000227|TC.000713~VL.0013^Thép thanh vằn D18(CB400-V)^150 cm^06 thanh^Hòa Phát^^^TC.000709|TC.000226|TC.000227|TC.000713~VL.0013^Thép thanh vằn D20(CB400-V)^150 cm^06 thanh^Hòa Phát^^^TC.000709|TC.000226|TC.000227|TC.000713~VL.0013^Thép thanh vằn D22(CB400-V)^150 cm^06 thanh^Hòa Phát^^^TC.000709|TC.000226|TC.000227|TC.000713~VL.0013^Thép thanh vằn D25(CB400-V)^150 cm^06 thanh^Hòa Phát^^^TC.000709|TC.000226|TC.000227|TC.000713~VL.0013^Thép thanh vằn D28(CB400-V)^150 cm^06 thanh^Hòa Phát^^^TC.000709|TC.000226|TC.000227|TC.000713~VL.0013^Thép thanh vằn D32(CB400-V)^100 cm^06 thanh^Hòa Phát^^^TC.000709|TC.000226|TC.000227|TC.000713</t>
        </is>
      </c>
      <c r="G18" s="57" t="n"/>
      <c r="H18" s="57" t="n"/>
      <c r="J18" s="90" t="inlineStr">
        <is>
          <t>09</t>
        </is>
      </c>
      <c r="K18" s="90" t="inlineStr">
        <is>
          <t>LMDV</t>
        </is>
      </c>
      <c r="L18" s="91" t="inlineStr">
        <is>
          <t>Thép D6; Thép D8; Thép D10; Thép D12; Thép D14;Thép D16; Thép D18; Thép D20; Thép D22; Thép D25; Thép D28; Thép D32</t>
        </is>
      </c>
      <c r="M18" s="91" t="n"/>
      <c r="N18" s="91" t="n"/>
      <c r="O18" s="92" t="inlineStr">
        <is>
          <t>Công ty TNHH vật liệu xây dựng Phong Dung xã Bắc Quang, tỉnh Tuyên Quang</t>
        </is>
      </c>
      <c r="P18" s="93" t="n"/>
      <c r="Q18" s="93" t="n"/>
      <c r="R18" s="93" t="n"/>
      <c r="S18" s="93" t="n">
        <v>46135</v>
      </c>
      <c r="T18" s="87" t="n">
        <v>0.375</v>
      </c>
      <c r="U18" s="87">
        <f>T18+V18</f>
        <v/>
      </c>
      <c r="V18" s="87" t="n">
        <v>0.0625</v>
      </c>
      <c r="W18" s="94">
        <f>TEXT(T18,"HH""h""MM'")&amp;"÷"&amp;TEXT(U18,"HH""h""MM'")</f>
        <v/>
      </c>
      <c r="X18" s="94" t="n"/>
      <c r="Y18" s="94" t="n"/>
      <c r="Z18" s="94" t="n"/>
      <c r="AA18" s="94" t="n"/>
      <c r="AB18" s="94" t="n"/>
      <c r="AC18" s="94" t="n"/>
      <c r="AD18" s="94" t="n"/>
      <c r="AE18" s="94" t="n"/>
      <c r="AF18" s="94" t="n"/>
      <c r="AG18" s="94" t="n"/>
      <c r="AH18" s="94" t="n"/>
      <c r="AI18" s="91" t="n"/>
      <c r="AJ18" s="94" t="n"/>
      <c r="AK18" s="92" t="n"/>
      <c r="AL18" s="94" t="n"/>
      <c r="AM18" s="94" t="n"/>
      <c r="AN18" s="94" t="n"/>
      <c r="AO18" s="94" t="n"/>
      <c r="AP18" s="95" t="n"/>
      <c r="AQ18" s="95" t="n"/>
      <c r="AR18" s="94" t="inlineStr">
        <is>
          <t>Nhóm 1</t>
        </is>
      </c>
      <c r="AS18" s="94" t="n"/>
      <c r="AT18" s="94" t="inlineStr">
        <is>
          <t>HM01</t>
        </is>
      </c>
      <c r="AU18" s="94" t="inlineStr">
        <is>
          <t>LMDV</t>
        </is>
      </c>
      <c r="AV18" s="94" t="n">
        <v>4</v>
      </c>
      <c r="AW18" s="94" t="n">
        <v>4</v>
      </c>
      <c r="AX18" s="94" t="inlineStr">
        <is>
          <t>Thép (riêng từng Ø, 20 tấn): Ø10 Lần 1 [Thép 4] → Ø25 Lần 1 [Thép 9] → Ø12 Lần 1 [Thép 14] → Ø20 Lần 1 [Thép 16] → Ø16 Lần 1 [Thép 18] → Ø25 Lần 2 [Thép 91] → Ø25 Lần 3 [Thép 171] → Ø28 Lần 1 [Thép 265] → Ø25 Lần 4 [Thép 269] → Ø25 Lần 5 [Thép 392] → Ø32 Lần 1 [Thép 431] → Ø18 Lần 1 [Thép 432] → Ø32 Lần 2 [Thép 441] → Ø14 Lần 1 [Thép 448] → Ø22 Lần 1 [Thép 490] → Ø16 Lần 2 [Thép 524] → Ø32 Lần 3 [Thép 527] → Ø32 Lần 4 [Thép 595] → Ø16 Lần 3 [Thép 602] → Ø16 Lần 4 [Thép 688] → Ø16 Lần 5 [Thép 734] → Ø12 Lần 2 [Thép 736] → Ø32 Lần 5 [Thép 746] → Cáp 15.2 Lần 1 [Thép 756] → Cáp 15.2 Lần 2 [Thép 756] → Ø16 Lần 6 [Thép 762] → Ø18 Lần 2 [Thép 767] → Ø18 Lần 3 [Thép 774] → Ø14 Lần 2 [Thép 780] → Ø18 Lần 4 [Thép 784] → Ø25 Lần 6 [Thép 790]</t>
        </is>
      </c>
    </row>
    <row r="19">
      <c r="A19" s="56" t="inlineStr">
        <is>
          <t>HM</t>
        </is>
      </c>
      <c r="B19" s="56" t="inlineStr">
        <is>
          <t>HM</t>
        </is>
      </c>
      <c r="C19" s="56" t="inlineStr">
        <is>
          <t>HM.0414032</t>
        </is>
      </c>
      <c r="D19" s="57" t="n"/>
      <c r="E19" s="57" t="n"/>
      <c r="F19" s="57" t="n"/>
      <c r="G19" s="57" t="n"/>
      <c r="H19" s="57" t="n"/>
      <c r="J19" s="59" t="inlineStr">
        <is>
          <t>HM02</t>
        </is>
      </c>
      <c r="K19" s="59" t="inlineStr">
        <is>
          <t>HM</t>
        </is>
      </c>
      <c r="L19" s="60" t="inlineStr">
        <is>
          <t>Mặt bằng công trường, đường công vụ</t>
        </is>
      </c>
      <c r="M19" s="60" t="n"/>
      <c r="N19" s="60" t="n"/>
      <c r="O19" s="61" t="n"/>
      <c r="P19" s="96" t="n"/>
      <c r="Q19" s="96" t="n"/>
      <c r="R19" s="96" t="n"/>
      <c r="S19" s="96" t="n"/>
      <c r="T19" s="97" t="n"/>
      <c r="U19" s="97" t="n"/>
      <c r="V19" s="97" t="n"/>
      <c r="W19" s="64" t="n"/>
      <c r="X19" s="64" t="n"/>
      <c r="Y19" s="64" t="n"/>
      <c r="Z19" s="64" t="n"/>
      <c r="AA19" s="64" t="n"/>
      <c r="AB19" s="64" t="n"/>
      <c r="AC19" s="64" t="n"/>
      <c r="AD19" s="64" t="n"/>
      <c r="AE19" s="64" t="n"/>
      <c r="AF19" s="64" t="n"/>
      <c r="AG19" s="64" t="n"/>
      <c r="AH19" s="64" t="n"/>
      <c r="AI19" s="60" t="n"/>
      <c r="AJ19" s="64" t="n"/>
      <c r="AK19" s="61" t="n"/>
      <c r="AL19" s="64" t="n"/>
      <c r="AM19" s="64" t="n"/>
      <c r="AN19" s="64" t="n"/>
      <c r="AO19" s="64" t="n"/>
      <c r="AP19" s="67" t="n"/>
      <c r="AQ19" s="67" t="n"/>
      <c r="AR19" s="64" t="n"/>
      <c r="AS19" s="64" t="n"/>
      <c r="AT19" s="64" t="inlineStr">
        <is>
          <t>HM02</t>
        </is>
      </c>
      <c r="AU19" s="64" t="inlineStr">
        <is>
          <t>HM</t>
        </is>
      </c>
      <c r="AV19" s="64" t="n"/>
      <c r="AW19" s="64" t="n"/>
      <c r="AX19" s="64" t="n"/>
    </row>
    <row r="20" ht="28" customFormat="1" customHeight="1" s="70">
      <c r="A20" s="68" t="inlineStr">
        <is>
          <t>BBK_BIA</t>
        </is>
      </c>
      <c r="B20" s="68" t="inlineStr">
        <is>
          <t>TRANGBIA</t>
        </is>
      </c>
      <c r="C20" s="68" t="inlineStr">
        <is>
          <t>BBK_BIA.0862619</t>
        </is>
      </c>
      <c r="D20" s="69" t="n"/>
      <c r="E20" s="69" t="n"/>
      <c r="F20" s="69" t="n"/>
      <c r="G20" s="69" t="n"/>
      <c r="H20" s="69" t="n"/>
      <c r="J20" s="98" t="inlineStr">
        <is>
          <t>01</t>
        </is>
      </c>
      <c r="K20" s="98" t="inlineStr">
        <is>
          <t>TRANGBIA</t>
        </is>
      </c>
      <c r="L20" s="99">
        <f>+L19</f>
        <v/>
      </c>
      <c r="M20" s="99" t="n"/>
      <c r="N20" s="99" t="n"/>
      <c r="O20" s="100" t="inlineStr">
        <is>
          <t>Cầu Km19+529.080</t>
        </is>
      </c>
      <c r="P20" s="101" t="n"/>
      <c r="Q20" s="101" t="n"/>
      <c r="R20" s="101" t="n"/>
      <c r="S20" s="101" t="n"/>
      <c r="T20" s="101" t="n"/>
      <c r="U20" s="101" t="n"/>
      <c r="V20" s="101" t="n"/>
      <c r="W20" s="102" t="n"/>
      <c r="X20" s="102" t="n"/>
      <c r="Y20" s="102" t="n"/>
      <c r="Z20" s="102" t="n"/>
      <c r="AA20" s="102" t="n"/>
      <c r="AB20" s="102" t="n"/>
      <c r="AC20" s="102" t="n"/>
      <c r="AD20" s="102" t="n"/>
      <c r="AE20" s="102" t="n"/>
      <c r="AF20" s="102" t="n"/>
      <c r="AG20" s="102" t="n"/>
      <c r="AH20" s="102" t="n"/>
      <c r="AI20" s="102" t="n"/>
      <c r="AJ20" s="102" t="n"/>
      <c r="AK20" s="100" t="n"/>
      <c r="AL20" s="102" t="n"/>
      <c r="AM20" s="102" t="n"/>
      <c r="AN20" s="102" t="n"/>
      <c r="AO20" s="102" t="n"/>
      <c r="AP20" s="103" t="inlineStr">
        <is>
          <t>Đường công vụ 6, 6A</t>
        </is>
      </c>
      <c r="AQ20" s="104" t="n"/>
      <c r="AR20" s="102" t="inlineStr">
        <is>
          <t>Nhóm 1</t>
        </is>
      </c>
      <c r="AS20" s="102" t="n"/>
      <c r="AT20" s="102" t="inlineStr">
        <is>
          <t>HM02</t>
        </is>
      </c>
      <c r="AU20" s="102" t="inlineStr">
        <is>
          <t>TRANGBIA</t>
        </is>
      </c>
      <c r="AV20" s="102" t="n">
        <v>2</v>
      </c>
      <c r="AW20" s="102" t="n">
        <v>1</v>
      </c>
      <c r="AX20" s="102" t="n"/>
    </row>
    <row r="21" customFormat="1" s="70">
      <c r="A21" s="68" t="inlineStr">
        <is>
          <t>BBK_ML</t>
        </is>
      </c>
      <c r="B21" s="68" t="inlineStr">
        <is>
          <t>MUCLUC</t>
        </is>
      </c>
      <c r="C21" s="68" t="inlineStr">
        <is>
          <t>BBK_ML.0790480</t>
        </is>
      </c>
      <c r="D21" s="69" t="n"/>
      <c r="E21" s="69" t="n"/>
      <c r="F21" s="69" t="n"/>
      <c r="G21" s="69" t="n"/>
      <c r="H21" s="69" t="n"/>
      <c r="J21" s="98" t="inlineStr">
        <is>
          <t>02</t>
        </is>
      </c>
      <c r="K21" s="98" t="inlineStr">
        <is>
          <t>MUCLUC</t>
        </is>
      </c>
      <c r="L21" s="99" t="inlineStr">
        <is>
          <t>Danh mục biên bản Kiểm tra/Nghiệm thu</t>
        </is>
      </c>
      <c r="M21" s="99" t="n"/>
      <c r="N21" s="99" t="n"/>
      <c r="O21" s="100" t="inlineStr">
        <is>
          <t>Cầu Km19+529.080</t>
        </is>
      </c>
      <c r="P21" s="101" t="n"/>
      <c r="Q21" s="101" t="n"/>
      <c r="R21" s="101" t="n"/>
      <c r="S21" s="101" t="n"/>
      <c r="T21" s="101" t="n"/>
      <c r="U21" s="101" t="n"/>
      <c r="V21" s="101" t="n"/>
      <c r="W21" s="102" t="n"/>
      <c r="X21" s="102" t="n"/>
      <c r="Y21" s="102" t="n"/>
      <c r="Z21" s="102" t="n"/>
      <c r="AA21" s="102" t="n"/>
      <c r="AB21" s="102" t="n"/>
      <c r="AC21" s="102" t="n"/>
      <c r="AD21" s="102" t="n"/>
      <c r="AE21" s="102" t="n"/>
      <c r="AF21" s="102" t="n"/>
      <c r="AG21" s="102" t="n"/>
      <c r="AH21" s="102" t="n"/>
      <c r="AI21" s="102" t="n"/>
      <c r="AJ21" s="102" t="n"/>
      <c r="AK21" s="100" t="n"/>
      <c r="AL21" s="102" t="n"/>
      <c r="AM21" s="102" t="n"/>
      <c r="AN21" s="102" t="n"/>
      <c r="AO21" s="102" t="n"/>
      <c r="AP21" s="104" t="n"/>
      <c r="AQ21" s="104" t="n"/>
      <c r="AR21" s="102" t="inlineStr">
        <is>
          <t>Nhóm 1</t>
        </is>
      </c>
      <c r="AS21" s="102" t="n"/>
      <c r="AT21" s="102" t="inlineStr">
        <is>
          <t>HM02</t>
        </is>
      </c>
      <c r="AU21" s="102" t="inlineStr">
        <is>
          <t>MUCLUC</t>
        </is>
      </c>
      <c r="AV21" s="102" t="n">
        <v>2</v>
      </c>
      <c r="AW21" s="102" t="n">
        <v>1</v>
      </c>
      <c r="AX21" s="102" t="n"/>
    </row>
    <row r="22" customFormat="1" s="107">
      <c r="A22" s="105" t="inlineStr">
        <is>
          <t>BBK680</t>
        </is>
      </c>
      <c r="B22" s="105" t="inlineStr">
        <is>
          <t>PYC</t>
        </is>
      </c>
      <c r="C22" s="105" t="inlineStr">
        <is>
          <t>BBK680.0373536</t>
        </is>
      </c>
      <c r="D22" s="106" t="n"/>
      <c r="E22" s="106" t="n"/>
      <c r="F22" s="106" t="n"/>
      <c r="G22" s="106" t="n"/>
      <c r="H22" s="106" t="n"/>
      <c r="J22" s="108" t="inlineStr">
        <is>
          <t>03</t>
        </is>
      </c>
      <c r="K22" s="108" t="inlineStr">
        <is>
          <t>PYC</t>
        </is>
      </c>
      <c r="L22" s="109" t="inlineStr">
        <is>
          <t>phiếu yêu cầu</t>
        </is>
      </c>
      <c r="M22" s="109" t="n"/>
      <c r="N22" s="109" t="n"/>
      <c r="O22" s="110" t="n"/>
      <c r="P22" s="111" t="n"/>
      <c r="Q22" s="111" t="n"/>
      <c r="R22" s="111">
        <f>R23</f>
        <v/>
      </c>
      <c r="S22" s="111">
        <f>S23</f>
        <v/>
      </c>
      <c r="T22" s="112" t="n"/>
      <c r="U22" s="112" t="n"/>
      <c r="V22" s="112" t="n"/>
      <c r="W22" s="113" t="n"/>
      <c r="X22" s="113" t="n"/>
      <c r="Y22" s="113" t="n"/>
      <c r="Z22" s="113" t="n"/>
      <c r="AA22" s="113" t="n"/>
      <c r="AB22" s="114" t="inlineStr">
        <is>
          <t>09-XL-307HG/PYCNT/MB-ĐCV</t>
        </is>
      </c>
      <c r="AC22" s="113" t="n"/>
      <c r="AD22" s="113" t="n"/>
      <c r="AE22" s="113" t="n"/>
      <c r="AF22" s="113" t="n"/>
      <c r="AG22" s="113" t="inlineStr">
        <is>
          <t>NTCV</t>
        </is>
      </c>
      <c r="AH22" s="113" t="inlineStr">
        <is>
          <t>&gt;=1;&lt;=2</t>
        </is>
      </c>
      <c r="AI22" s="109" t="n"/>
      <c r="AJ22" s="113" t="n"/>
      <c r="AK22" s="110" t="n"/>
      <c r="AL22" s="113" t="n"/>
      <c r="AM22" s="113" t="n"/>
      <c r="AN22" s="113" t="n"/>
      <c r="AO22" s="113" t="n"/>
      <c r="AP22" s="115" t="n"/>
      <c r="AQ22" s="115" t="n"/>
      <c r="AR22" s="113" t="inlineStr">
        <is>
          <t>Nhóm 1</t>
        </is>
      </c>
      <c r="AS22" s="113" t="n"/>
      <c r="AT22" s="113" t="inlineStr">
        <is>
          <t>HM02</t>
        </is>
      </c>
      <c r="AU22" s="113" t="inlineStr">
        <is>
          <t>PYC</t>
        </is>
      </c>
      <c r="AV22" s="113" t="n">
        <v>1</v>
      </c>
      <c r="AW22" s="113" t="n">
        <v>1</v>
      </c>
      <c r="AX22" s="113" t="n"/>
    </row>
    <row r="23" customFormat="1" s="107">
      <c r="A23" s="105" t="inlineStr">
        <is>
          <t>NTCV</t>
        </is>
      </c>
      <c r="B23" s="105" t="inlineStr">
        <is>
          <t>K.9999</t>
        </is>
      </c>
      <c r="C23" s="105" t="inlineStr">
        <is>
          <t>NTCV.0961953</t>
        </is>
      </c>
      <c r="D23" s="106" t="n"/>
      <c r="E23" s="106" t="n"/>
      <c r="F23" s="106" t="n"/>
      <c r="G23" s="106" t="n"/>
      <c r="H23" s="106" t="n"/>
      <c r="J23" s="116" t="inlineStr">
        <is>
          <t>04</t>
        </is>
      </c>
      <c r="K23" s="116" t="inlineStr">
        <is>
          <t>K.9999</t>
        </is>
      </c>
      <c r="L23" s="117" t="inlineStr">
        <is>
          <t>Đào nền đường công vụ nhánh 6</t>
        </is>
      </c>
      <c r="M23" s="117" t="n"/>
      <c r="N23" s="117" t="inlineStr">
        <is>
          <t>Km0+0 -:- 9(Km0+89.62)</t>
        </is>
      </c>
      <c r="O23" s="118" t="inlineStr">
        <is>
          <t>Cầu Km19+529.080</t>
        </is>
      </c>
      <c r="P23" s="119" t="n">
        <v>46096</v>
      </c>
      <c r="Q23" s="119">
        <f>+P23+8</f>
        <v/>
      </c>
      <c r="R23" s="119">
        <f>+Q23-1</f>
        <v/>
      </c>
      <c r="S23" s="119">
        <f>+Q23</f>
        <v/>
      </c>
      <c r="T23" s="120" t="n">
        <v>0.3541666666666667</v>
      </c>
      <c r="U23" s="120">
        <f>+T23+V23</f>
        <v/>
      </c>
      <c r="V23" s="120" t="n">
        <v>0.02083333333333333</v>
      </c>
      <c r="W23" s="121">
        <f>TEXT(T23,"HH""h""MM'")&amp;"÷"&amp;TEXT(U23,"HH""h""MM'")</f>
        <v/>
      </c>
      <c r="X23" s="121" t="n"/>
      <c r="Y23" s="121" t="n"/>
      <c r="Z23" s="122" t="inlineStr">
        <is>
          <t>01;</t>
        </is>
      </c>
      <c r="AA23" s="121">
        <f>+L23</f>
        <v/>
      </c>
      <c r="AB23" s="122" t="inlineStr">
        <is>
          <t>09-XL-307HG/PYCNT/MB-ĐCV-1</t>
        </is>
      </c>
      <c r="AC23" s="122" t="inlineStr">
        <is>
          <t>09-XL-307HG/PYCNT/MB-ĐCV-1</t>
        </is>
      </c>
      <c r="AD23" s="121" t="n"/>
      <c r="AE23" s="121" t="n"/>
      <c r="AF23" s="121" t="n"/>
      <c r="AG23" s="121" t="n"/>
      <c r="AH23" s="121" t="n"/>
      <c r="AI23" s="117" t="n"/>
      <c r="AJ23" s="121" t="n"/>
      <c r="AK23" s="118" t="n"/>
      <c r="AL23" s="121" t="n"/>
      <c r="AM23" s="121" t="n"/>
      <c r="AN23" s="121" t="n"/>
      <c r="AO23" s="121" t="n"/>
      <c r="AP23" s="123" t="n"/>
      <c r="AQ23" s="123" t="n"/>
      <c r="AR23" s="121" t="inlineStr">
        <is>
          <t>Nhóm 1</t>
        </is>
      </c>
      <c r="AS23" s="121" t="n"/>
      <c r="AT23" s="121" t="inlineStr">
        <is>
          <t>HM02</t>
        </is>
      </c>
      <c r="AU23" s="121" t="inlineStr">
        <is>
          <t>NTCV</t>
        </is>
      </c>
      <c r="AV23" s="121" t="n">
        <v>1</v>
      </c>
      <c r="AW23" s="121" t="n">
        <v>1</v>
      </c>
      <c r="AX23" s="121" t="n"/>
    </row>
    <row r="24" customFormat="1" s="107">
      <c r="A24" s="105" t="inlineStr">
        <is>
          <t>BBK513</t>
        </is>
      </c>
      <c r="B24" s="105" t="inlineStr">
        <is>
          <t>CD-KTHH</t>
        </is>
      </c>
      <c r="C24" s="105" t="inlineStr">
        <is>
          <t>BBK513.0871445</t>
        </is>
      </c>
      <c r="D24" s="106" t="n"/>
      <c r="E24" s="106" t="n"/>
      <c r="F24" s="106" t="n"/>
      <c r="G24" s="106" t="n"/>
      <c r="H24" s="106" t="n"/>
      <c r="J24" s="124" t="inlineStr">
        <is>
          <t>05</t>
        </is>
      </c>
      <c r="K24" s="124" t="inlineStr">
        <is>
          <t>CD-KTHH</t>
        </is>
      </c>
      <c r="L24" s="125">
        <f>L23</f>
        <v/>
      </c>
      <c r="M24" s="125" t="n"/>
      <c r="N24" s="125" t="inlineStr">
        <is>
          <t>Km0+0 -:- 9(Km0+89.62)</t>
        </is>
      </c>
      <c r="O24" s="126" t="inlineStr">
        <is>
          <t>Cầu Km19+529.080</t>
        </is>
      </c>
      <c r="P24" s="127" t="n"/>
      <c r="Q24" s="127" t="n"/>
      <c r="R24" s="127" t="n"/>
      <c r="S24" s="127">
        <f>+S23</f>
        <v/>
      </c>
      <c r="T24" s="128">
        <f>T23</f>
        <v/>
      </c>
      <c r="U24" s="128">
        <f>U23</f>
        <v/>
      </c>
      <c r="V24" s="128">
        <f>V23</f>
        <v/>
      </c>
      <c r="W24" s="129" t="n"/>
      <c r="X24" s="129" t="n"/>
      <c r="Y24" s="129" t="n"/>
      <c r="Z24" s="129" t="n"/>
      <c r="AA24" s="129" t="n"/>
      <c r="AB24" s="129" t="n"/>
      <c r="AC24" s="129">
        <f>+AC23</f>
        <v/>
      </c>
      <c r="AD24" s="129" t="n"/>
      <c r="AE24" s="129" t="n"/>
      <c r="AF24" s="129" t="n"/>
      <c r="AG24" s="129" t="n"/>
      <c r="AH24" s="129" t="inlineStr">
        <is>
          <t>DAONEN_DCV6</t>
        </is>
      </c>
      <c r="AI24" s="125" t="n"/>
      <c r="AJ24" s="129" t="n"/>
      <c r="AK24" s="126" t="n"/>
      <c r="AL24" s="129" t="n"/>
      <c r="AM24" s="129" t="n"/>
      <c r="AN24" s="129" t="n"/>
      <c r="AO24" s="129" t="n"/>
      <c r="AP24" s="130" t="n"/>
      <c r="AQ24" s="130" t="inlineStr">
        <is>
          <t>Ảnh\daonen dcv.png</t>
        </is>
      </c>
      <c r="AR24" s="129" t="inlineStr">
        <is>
          <t>Nhóm 1</t>
        </is>
      </c>
      <c r="AS24" s="129" t="n"/>
      <c r="AT24" s="129" t="inlineStr">
        <is>
          <t>HM02</t>
        </is>
      </c>
      <c r="AU24" s="129" t="inlineStr">
        <is>
          <t>CD-KTHH</t>
        </is>
      </c>
      <c r="AV24" s="129" t="n">
        <v>1</v>
      </c>
      <c r="AW24" s="129" t="n">
        <v>1</v>
      </c>
      <c r="AX24" s="129" t="n"/>
    </row>
    <row r="25" customFormat="1" s="107">
      <c r="A25" s="105" t="inlineStr">
        <is>
          <t>BBK957</t>
        </is>
      </c>
      <c r="B25" s="105" t="inlineStr">
        <is>
          <t>PLKL01</t>
        </is>
      </c>
      <c r="C25" s="105" t="inlineStr">
        <is>
          <t>BBK957.0056236</t>
        </is>
      </c>
      <c r="D25" s="106" t="n"/>
      <c r="E25" s="106" t="n"/>
      <c r="F25" s="106" t="n"/>
      <c r="G25" s="106" t="n"/>
      <c r="H25" s="106" t="n"/>
      <c r="J25" s="108" t="inlineStr">
        <is>
          <t>06</t>
        </is>
      </c>
      <c r="K25" s="108" t="inlineStr">
        <is>
          <t>PLKL01</t>
        </is>
      </c>
      <c r="L25" s="109">
        <f>+L24</f>
        <v/>
      </c>
      <c r="M25" s="109" t="n"/>
      <c r="N25" s="109">
        <f>+N24</f>
        <v/>
      </c>
      <c r="O25" s="110">
        <f>+O24</f>
        <v/>
      </c>
      <c r="P25" s="111" t="n"/>
      <c r="Q25" s="111" t="n"/>
      <c r="R25" s="111" t="n"/>
      <c r="S25" s="111">
        <f>+S24</f>
        <v/>
      </c>
      <c r="T25" s="112" t="n"/>
      <c r="U25" s="112" t="n"/>
      <c r="V25" s="112" t="n"/>
      <c r="W25" s="113" t="n"/>
      <c r="X25" s="113" t="n"/>
      <c r="Y25" s="113" t="n"/>
      <c r="Z25" s="113" t="n"/>
      <c r="AA25" s="113" t="n"/>
      <c r="AB25" s="113" t="n"/>
      <c r="AC25" s="113" t="n"/>
      <c r="AD25" s="113" t="n"/>
      <c r="AE25" s="113" t="n"/>
      <c r="AF25" s="113" t="n"/>
      <c r="AG25" s="113">
        <f>+AH24</f>
        <v/>
      </c>
      <c r="AH25" s="113" t="inlineStr">
        <is>
          <t>&gt;=1;&lt;=19</t>
        </is>
      </c>
      <c r="AI25" s="109" t="n"/>
      <c r="AJ25" s="113" t="n"/>
      <c r="AK25" s="110" t="n"/>
      <c r="AL25" s="113" t="n"/>
      <c r="AM25" s="113" t="n"/>
      <c r="AN25" s="113" t="n"/>
      <c r="AO25" s="113" t="n"/>
      <c r="AP25" s="115" t="n"/>
      <c r="AQ25" s="115" t="n"/>
      <c r="AR25" s="113" t="inlineStr">
        <is>
          <t>Nhóm 1</t>
        </is>
      </c>
      <c r="AS25" s="113" t="n"/>
      <c r="AT25" s="113" t="inlineStr">
        <is>
          <t>HM02</t>
        </is>
      </c>
      <c r="AU25" s="113" t="inlineStr">
        <is>
          <t>PLKL01</t>
        </is>
      </c>
      <c r="AV25" s="113" t="n">
        <v>1</v>
      </c>
      <c r="AW25" s="113" t="n">
        <v>1</v>
      </c>
      <c r="AX25" s="113" t="n"/>
    </row>
    <row r="26" customFormat="1" s="107">
      <c r="A26" s="105" t="inlineStr">
        <is>
          <t>NTCV</t>
        </is>
      </c>
      <c r="B26" s="105" t="inlineStr">
        <is>
          <t>K.9999</t>
        </is>
      </c>
      <c r="C26" s="105" t="inlineStr">
        <is>
          <t>NTCV.0949556</t>
        </is>
      </c>
      <c r="D26" s="106" t="n"/>
      <c r="E26" s="106" t="n"/>
      <c r="F26" s="106" t="n"/>
      <c r="G26" s="106" t="n"/>
      <c r="H26" s="106" t="n"/>
      <c r="J26" s="131" t="inlineStr">
        <is>
          <t>07</t>
        </is>
      </c>
      <c r="K26" s="131" t="inlineStr">
        <is>
          <t>K.9999</t>
        </is>
      </c>
      <c r="L26" s="132" t="inlineStr">
        <is>
          <t>Đào nền đường công vụ nhánh 6A</t>
        </is>
      </c>
      <c r="M26" s="132" t="n"/>
      <c r="N26" s="132" t="inlineStr">
        <is>
          <t>Km0+0 -:- 9(Km0+81.23)</t>
        </is>
      </c>
      <c r="O26" s="133" t="inlineStr">
        <is>
          <t>Cầu Km19+529.080</t>
        </is>
      </c>
      <c r="P26" s="134">
        <f>+P23+1</f>
        <v/>
      </c>
      <c r="Q26" s="134">
        <f>+P26+7</f>
        <v/>
      </c>
      <c r="R26" s="134">
        <f>+Q26-1</f>
        <v/>
      </c>
      <c r="S26" s="134">
        <f>+Q26</f>
        <v/>
      </c>
      <c r="T26" s="135" t="n">
        <v>0.375</v>
      </c>
      <c r="U26" s="135">
        <f>+T26+V26</f>
        <v/>
      </c>
      <c r="V26" s="135" t="n">
        <v>0.02083333333333333</v>
      </c>
      <c r="W26" s="136">
        <f>TEXT(T26,"HH""h""MM'")&amp;"÷"&amp;TEXT(U26,"HH""h""MM'")</f>
        <v/>
      </c>
      <c r="X26" s="136" t="n"/>
      <c r="Y26" s="136" t="n"/>
      <c r="Z26" s="137" t="inlineStr">
        <is>
          <t>01;</t>
        </is>
      </c>
      <c r="AA26" s="136">
        <f>+L26</f>
        <v/>
      </c>
      <c r="AB26" s="137">
        <f>+AB23</f>
        <v/>
      </c>
      <c r="AC26" s="137" t="inlineStr">
        <is>
          <t>09-XL-307HG/PYCNT/MB-ĐCV-2</t>
        </is>
      </c>
      <c r="AD26" s="136" t="n"/>
      <c r="AE26" s="136" t="n"/>
      <c r="AF26" s="136" t="n"/>
      <c r="AG26" s="136" t="n"/>
      <c r="AH26" s="136" t="n"/>
      <c r="AI26" s="132" t="n"/>
      <c r="AJ26" s="136" t="n"/>
      <c r="AK26" s="133" t="n"/>
      <c r="AL26" s="136" t="n"/>
      <c r="AM26" s="136" t="n"/>
      <c r="AN26" s="136" t="n"/>
      <c r="AO26" s="136" t="n"/>
      <c r="AP26" s="138" t="n"/>
      <c r="AQ26" s="138" t="n"/>
      <c r="AR26" s="136" t="inlineStr">
        <is>
          <t>Nhóm 1</t>
        </is>
      </c>
      <c r="AS26" s="136" t="n"/>
      <c r="AT26" s="136" t="inlineStr">
        <is>
          <t>HM02</t>
        </is>
      </c>
      <c r="AU26" s="136" t="inlineStr">
        <is>
          <t>NTCV</t>
        </is>
      </c>
      <c r="AV26" s="136" t="n">
        <v>2</v>
      </c>
      <c r="AW26" s="136" t="n">
        <v>2</v>
      </c>
      <c r="AX26" s="136" t="n"/>
    </row>
    <row r="27" ht="28" customFormat="1" customHeight="1" s="107">
      <c r="A27" s="105" t="inlineStr">
        <is>
          <t>BBK513</t>
        </is>
      </c>
      <c r="B27" s="105" t="inlineStr">
        <is>
          <t>CD-KTHH</t>
        </is>
      </c>
      <c r="C27" s="105" t="inlineStr">
        <is>
          <t>BBK513.0364018</t>
        </is>
      </c>
      <c r="D27" s="106" t="n"/>
      <c r="E27" s="106" t="n"/>
      <c r="F27" s="106" t="n"/>
      <c r="G27" s="106" t="n"/>
      <c r="H27" s="106" t="n"/>
      <c r="J27" s="124" t="inlineStr">
        <is>
          <t>08</t>
        </is>
      </c>
      <c r="K27" s="124" t="inlineStr">
        <is>
          <t>CD-KTHH</t>
        </is>
      </c>
      <c r="L27" s="125">
        <f>L26</f>
        <v/>
      </c>
      <c r="M27" s="125" t="n"/>
      <c r="N27" s="125" t="inlineStr">
        <is>
          <t>Km0+0 -:- 9(Km0+81.23)</t>
        </is>
      </c>
      <c r="O27" s="126" t="inlineStr">
        <is>
          <t>Cầu Km19+529.080</t>
        </is>
      </c>
      <c r="P27" s="127" t="n"/>
      <c r="Q27" s="127" t="n"/>
      <c r="R27" s="127" t="n"/>
      <c r="S27" s="127">
        <f>+S26</f>
        <v/>
      </c>
      <c r="T27" s="128">
        <f>T26</f>
        <v/>
      </c>
      <c r="U27" s="128">
        <f>U26</f>
        <v/>
      </c>
      <c r="V27" s="128">
        <f>V26</f>
        <v/>
      </c>
      <c r="W27" s="129" t="n"/>
      <c r="X27" s="129" t="n"/>
      <c r="Y27" s="129" t="n"/>
      <c r="Z27" s="129" t="n"/>
      <c r="AA27" s="129" t="n"/>
      <c r="AB27" s="129" t="n"/>
      <c r="AC27" s="129">
        <f>+AC26</f>
        <v/>
      </c>
      <c r="AD27" s="129" t="n"/>
      <c r="AE27" s="129" t="n"/>
      <c r="AF27" s="129" t="n"/>
      <c r="AG27" s="129" t="n"/>
      <c r="AH27" s="129" t="inlineStr">
        <is>
          <t>DAONEN_DCV6A</t>
        </is>
      </c>
      <c r="AI27" s="125" t="n"/>
      <c r="AJ27" s="129" t="n"/>
      <c r="AK27" s="126" t="n"/>
      <c r="AL27" s="129" t="n"/>
      <c r="AM27" s="129" t="n"/>
      <c r="AN27" s="129" t="n"/>
      <c r="AO27" s="129" t="n"/>
      <c r="AP27" s="130" t="n"/>
      <c r="AQ27" s="130" t="inlineStr">
        <is>
          <t>Ảnh\daonen dcv.png</t>
        </is>
      </c>
      <c r="AR27" s="129" t="inlineStr">
        <is>
          <t>Nhóm 1</t>
        </is>
      </c>
      <c r="AS27" s="129" t="n"/>
      <c r="AT27" s="129" t="inlineStr">
        <is>
          <t>HM02</t>
        </is>
      </c>
      <c r="AU27" s="129" t="inlineStr">
        <is>
          <t>CD-KTHH</t>
        </is>
      </c>
      <c r="AV27" s="129" t="n">
        <v>2</v>
      </c>
      <c r="AW27" s="129" t="n">
        <v>2</v>
      </c>
      <c r="AX27" s="129" t="n"/>
    </row>
    <row r="28" ht="28" customFormat="1" customHeight="1" s="107">
      <c r="A28" s="105" t="inlineStr">
        <is>
          <t>BBK957</t>
        </is>
      </c>
      <c r="B28" s="105" t="inlineStr">
        <is>
          <t>PLKL01</t>
        </is>
      </c>
      <c r="C28" s="105" t="inlineStr">
        <is>
          <t>BBK957.0524868</t>
        </is>
      </c>
      <c r="D28" s="106" t="n"/>
      <c r="E28" s="106" t="n"/>
      <c r="F28" s="106" t="n"/>
      <c r="G28" s="106" t="n"/>
      <c r="H28" s="106" t="n"/>
      <c r="J28" s="108" t="inlineStr">
        <is>
          <t>09</t>
        </is>
      </c>
      <c r="K28" s="108" t="inlineStr">
        <is>
          <t>PLKL01</t>
        </is>
      </c>
      <c r="L28" s="109">
        <f>+L27</f>
        <v/>
      </c>
      <c r="M28" s="109" t="n"/>
      <c r="N28" s="109">
        <f>+N27</f>
        <v/>
      </c>
      <c r="O28" s="110">
        <f>+O27</f>
        <v/>
      </c>
      <c r="P28" s="111" t="n"/>
      <c r="Q28" s="111" t="n"/>
      <c r="R28" s="111" t="n"/>
      <c r="S28" s="111">
        <f>+S27</f>
        <v/>
      </c>
      <c r="T28" s="112" t="n"/>
      <c r="U28" s="112" t="n"/>
      <c r="V28" s="112" t="n"/>
      <c r="W28" s="113" t="n"/>
      <c r="X28" s="113" t="n"/>
      <c r="Y28" s="113" t="n"/>
      <c r="Z28" s="113" t="n"/>
      <c r="AA28" s="113" t="n"/>
      <c r="AB28" s="113" t="n"/>
      <c r="AC28" s="113" t="n"/>
      <c r="AD28" s="113" t="n"/>
      <c r="AE28" s="113" t="n"/>
      <c r="AF28" s="113" t="n"/>
      <c r="AG28" s="113">
        <f>+AH27</f>
        <v/>
      </c>
      <c r="AH28" s="113" t="inlineStr">
        <is>
          <t>&gt;=21;&lt;=36</t>
        </is>
      </c>
      <c r="AI28" s="109" t="n"/>
      <c r="AJ28" s="113" t="n"/>
      <c r="AK28" s="110" t="n"/>
      <c r="AL28" s="113" t="n"/>
      <c r="AM28" s="113" t="n"/>
      <c r="AN28" s="113" t="n"/>
      <c r="AO28" s="113" t="n"/>
      <c r="AP28" s="115" t="n"/>
      <c r="AQ28" s="115" t="n"/>
      <c r="AR28" s="113" t="inlineStr">
        <is>
          <t>Nhóm 1</t>
        </is>
      </c>
      <c r="AS28" s="113" t="n"/>
      <c r="AT28" s="113" t="inlineStr">
        <is>
          <t>HM02</t>
        </is>
      </c>
      <c r="AU28" s="113" t="inlineStr">
        <is>
          <t>PLKL01</t>
        </is>
      </c>
      <c r="AV28" s="113" t="n">
        <v>2</v>
      </c>
      <c r="AW28" s="113" t="n">
        <v>2</v>
      </c>
      <c r="AX28" s="113" t="n"/>
    </row>
    <row r="29" customFormat="1" s="107">
      <c r="A29" s="105" t="inlineStr">
        <is>
          <t>BBK680</t>
        </is>
      </c>
      <c r="B29" s="105" t="inlineStr">
        <is>
          <t>PYC</t>
        </is>
      </c>
      <c r="C29" s="105" t="inlineStr">
        <is>
          <t>BBK680.0767111</t>
        </is>
      </c>
      <c r="D29" s="106" t="n"/>
      <c r="E29" s="106" t="n"/>
      <c r="F29" s="106" t="n"/>
      <c r="G29" s="106" t="n"/>
      <c r="H29" s="106" t="n"/>
      <c r="J29" s="139" t="inlineStr">
        <is>
          <t>10</t>
        </is>
      </c>
      <c r="K29" s="139" t="inlineStr">
        <is>
          <t>PYC</t>
        </is>
      </c>
      <c r="L29" s="140" t="inlineStr">
        <is>
          <t>phiếu yêu cầu</t>
        </is>
      </c>
      <c r="M29" s="140" t="n"/>
      <c r="N29" s="140" t="n"/>
      <c r="O29" s="141" t="n"/>
      <c r="P29" s="142" t="n"/>
      <c r="Q29" s="142" t="n"/>
      <c r="R29" s="142">
        <f>+R30</f>
        <v/>
      </c>
      <c r="S29" s="142">
        <f>+S30</f>
        <v/>
      </c>
      <c r="T29" s="143" t="n"/>
      <c r="U29" s="143" t="n"/>
      <c r="V29" s="143" t="n"/>
      <c r="W29" s="144" t="n"/>
      <c r="X29" s="144" t="n"/>
      <c r="Y29" s="144" t="n"/>
      <c r="Z29" s="144" t="n"/>
      <c r="AA29" s="144" t="n"/>
      <c r="AB29" s="145" t="inlineStr">
        <is>
          <t>09-XL-307HG/PYCNT/MB-ĐCV</t>
        </is>
      </c>
      <c r="AC29" s="144" t="n"/>
      <c r="AD29" s="144" t="n"/>
      <c r="AE29" s="144" t="n"/>
      <c r="AF29" s="144" t="n"/>
      <c r="AG29" s="144" t="inlineStr">
        <is>
          <t>NTCV</t>
        </is>
      </c>
      <c r="AH29" s="144" t="inlineStr">
        <is>
          <t>&gt;=3;&lt;=6</t>
        </is>
      </c>
      <c r="AI29" s="140" t="n"/>
      <c r="AJ29" s="144" t="n"/>
      <c r="AK29" s="141" t="n"/>
      <c r="AL29" s="144" t="n"/>
      <c r="AM29" s="144" t="n"/>
      <c r="AN29" s="144" t="n"/>
      <c r="AO29" s="144" t="n"/>
      <c r="AP29" s="146" t="n"/>
      <c r="AQ29" s="146" t="n"/>
      <c r="AR29" s="144" t="inlineStr">
        <is>
          <t>Nhóm 1</t>
        </is>
      </c>
      <c r="AS29" s="144" t="n"/>
      <c r="AT29" s="144" t="inlineStr">
        <is>
          <t>HM02</t>
        </is>
      </c>
      <c r="AU29" s="144" t="inlineStr">
        <is>
          <t>PYC</t>
        </is>
      </c>
      <c r="AV29" s="144" t="n">
        <v>2</v>
      </c>
      <c r="AW29" s="144" t="n">
        <v>2</v>
      </c>
      <c r="AX29" s="144" t="n"/>
    </row>
    <row r="30" customFormat="1" s="107">
      <c r="A30" s="105" t="inlineStr">
        <is>
          <t>NTCV</t>
        </is>
      </c>
      <c r="B30" s="105" t="inlineStr">
        <is>
          <t>K.9999</t>
        </is>
      </c>
      <c r="C30" s="105" t="inlineStr">
        <is>
          <t>NTCV.0053504</t>
        </is>
      </c>
      <c r="D30" s="106" t="n"/>
      <c r="E30" s="106" t="n"/>
      <c r="F30" s="106" t="n"/>
      <c r="G30" s="106" t="n"/>
      <c r="H30" s="106" t="n"/>
      <c r="J30" s="131" t="inlineStr">
        <is>
          <t>11</t>
        </is>
      </c>
      <c r="K30" s="131" t="inlineStr">
        <is>
          <t>K.9999</t>
        </is>
      </c>
      <c r="L30" s="132">
        <f>"Đắp nền đường công vụ nhánh 6 lớp số "&amp;M30</f>
        <v/>
      </c>
      <c r="M30" s="132" t="n">
        <v>29</v>
      </c>
      <c r="N30" s="132" t="inlineStr">
        <is>
          <t>Km0+0 -:- 9(Km0+89.62)</t>
        </is>
      </c>
      <c r="O30" s="133" t="inlineStr">
        <is>
          <t>Cầu Km19+529.080</t>
        </is>
      </c>
      <c r="P30" s="134">
        <f>+S23</f>
        <v/>
      </c>
      <c r="Q30" s="134">
        <f>+P30+1</f>
        <v/>
      </c>
      <c r="R30" s="134">
        <f>+Q30-1</f>
        <v/>
      </c>
      <c r="S30" s="134">
        <f>+Q30</f>
        <v/>
      </c>
      <c r="T30" s="135" t="n">
        <v>0.3541666666666667</v>
      </c>
      <c r="U30" s="135">
        <f>+T30+V30</f>
        <v/>
      </c>
      <c r="V30" s="135" t="n">
        <v>0.01041666666666667</v>
      </c>
      <c r="W30" s="136">
        <f>TEXT(T30,"HH""h""MM'")&amp;"÷"&amp;TEXT(U30,"HH""h""MM'")</f>
        <v/>
      </c>
      <c r="X30" s="136" t="n"/>
      <c r="Y30" s="136" t="n"/>
      <c r="Z30" s="137" t="inlineStr">
        <is>
          <t>01A;</t>
        </is>
      </c>
      <c r="AA30" s="136">
        <f>+L30</f>
        <v/>
      </c>
      <c r="AB30" s="136" t="inlineStr">
        <is>
          <t>09-XL-307HG/PYCNT/MB-ĐCV-2</t>
        </is>
      </c>
      <c r="AC30" s="136" t="inlineStr">
        <is>
          <t>09-XL-307HG/PYCNT/MB-ĐCV-2</t>
        </is>
      </c>
      <c r="AD30" s="136" t="n"/>
      <c r="AE30" s="136" t="n"/>
      <c r="AF30" s="136" t="n"/>
      <c r="AG30" s="136" t="n"/>
      <c r="AH30" s="136" t="n"/>
      <c r="AI30" s="132" t="n"/>
      <c r="AJ30" s="136" t="n"/>
      <c r="AK30" s="133" t="n"/>
      <c r="AL30" s="136" t="n"/>
      <c r="AM30" s="136" t="n"/>
      <c r="AN30" s="136" t="n"/>
      <c r="AO30" s="136" t="n"/>
      <c r="AP30" s="138" t="n"/>
      <c r="AQ30" s="138" t="n"/>
      <c r="AR30" s="136" t="inlineStr">
        <is>
          <t>Nhóm 1</t>
        </is>
      </c>
      <c r="AS30" s="136" t="n"/>
      <c r="AT30" s="136" t="inlineStr">
        <is>
          <t>HM02</t>
        </is>
      </c>
      <c r="AU30" s="136" t="inlineStr">
        <is>
          <t>NTCV</t>
        </is>
      </c>
      <c r="AV30" s="136" t="n">
        <v>3</v>
      </c>
      <c r="AW30" s="136" t="n">
        <v>3</v>
      </c>
      <c r="AX30" s="136" t="n"/>
    </row>
    <row r="31" ht="28" customFormat="1" customHeight="1" s="107">
      <c r="A31" s="105" t="inlineStr">
        <is>
          <t>BBK371</t>
        </is>
      </c>
      <c r="B31" s="105" t="inlineStr">
        <is>
          <t>KTHH_DAP</t>
        </is>
      </c>
      <c r="C31" s="105" t="inlineStr">
        <is>
          <t>BBK371.0592458</t>
        </is>
      </c>
      <c r="D31" s="106" t="n"/>
      <c r="E31" s="106" t="n"/>
      <c r="F31" s="106" t="n"/>
      <c r="G31" s="106" t="n"/>
      <c r="H31" s="106" t="n"/>
      <c r="J31" s="124" t="inlineStr">
        <is>
          <t>12</t>
        </is>
      </c>
      <c r="K31" s="124" t="inlineStr">
        <is>
          <t>KTHH_DAP</t>
        </is>
      </c>
      <c r="L31" s="125">
        <f>L30</f>
        <v/>
      </c>
      <c r="M31" s="125">
        <f>+M30</f>
        <v/>
      </c>
      <c r="N31" s="125" t="inlineStr">
        <is>
          <t>Km0+0 -:- 9(Km0+89.62)</t>
        </is>
      </c>
      <c r="O31" s="126" t="inlineStr">
        <is>
          <t>Cầu Km19+529.080</t>
        </is>
      </c>
      <c r="P31" s="127" t="n"/>
      <c r="Q31" s="127" t="n"/>
      <c r="R31" s="127" t="n"/>
      <c r="S31" s="127">
        <f>+S30</f>
        <v/>
      </c>
      <c r="T31" s="128" t="n"/>
      <c r="U31" s="128" t="n"/>
      <c r="V31" s="128" t="n"/>
      <c r="W31" s="129" t="n"/>
      <c r="X31" s="129" t="n"/>
      <c r="Y31" s="129" t="n"/>
      <c r="Z31" s="129" t="n"/>
      <c r="AA31" s="129" t="n"/>
      <c r="AB31" s="129" t="n"/>
      <c r="AC31" s="129">
        <f>AC30</f>
        <v/>
      </c>
      <c r="AD31" s="129" t="n"/>
      <c r="AE31" s="129" t="n"/>
      <c r="AF31" s="129" t="n"/>
      <c r="AG31" s="129" t="inlineStr">
        <is>
          <t>DAPNEN_DCV6</t>
        </is>
      </c>
      <c r="AH31" s="129" t="inlineStr">
        <is>
          <t>&gt;=1;&lt;=19</t>
        </is>
      </c>
      <c r="AI31" s="125" t="n"/>
      <c r="AJ31" s="129" t="n"/>
      <c r="AK31" s="126" t="n"/>
      <c r="AL31" s="129" t="n"/>
      <c r="AM31" s="129" t="n"/>
      <c r="AN31" s="129" t="n"/>
      <c r="AO31" s="129" t="n"/>
      <c r="AP31" s="130" t="n"/>
      <c r="AQ31" s="130" t="inlineStr">
        <is>
          <t>Ảnh\dapnendcv.png</t>
        </is>
      </c>
      <c r="AR31" s="129" t="inlineStr">
        <is>
          <t>Nhóm 1</t>
        </is>
      </c>
      <c r="AS31" s="129" t="n"/>
      <c r="AT31" s="129" t="inlineStr">
        <is>
          <t>HM02</t>
        </is>
      </c>
      <c r="AU31" s="129" t="inlineStr">
        <is>
          <t>KTHH_DAP</t>
        </is>
      </c>
      <c r="AV31" s="129" t="n">
        <v>1</v>
      </c>
      <c r="AW31" s="129" t="n">
        <v>1</v>
      </c>
      <c r="AX31" s="129" t="n"/>
    </row>
    <row r="32" customFormat="1" s="107">
      <c r="A32" s="105" t="inlineStr">
        <is>
          <t>BBK957</t>
        </is>
      </c>
      <c r="B32" s="105" t="inlineStr">
        <is>
          <t>PLKL01</t>
        </is>
      </c>
      <c r="C32" s="105" t="inlineStr">
        <is>
          <t>BBK957.0468700</t>
        </is>
      </c>
      <c r="D32" s="106" t="n"/>
      <c r="E32" s="106" t="n"/>
      <c r="F32" s="106" t="n"/>
      <c r="G32" s="106" t="n"/>
      <c r="H32" s="106" t="n"/>
      <c r="J32" s="108" t="inlineStr">
        <is>
          <t>13</t>
        </is>
      </c>
      <c r="K32" s="108" t="inlineStr">
        <is>
          <t>PLKL01</t>
        </is>
      </c>
      <c r="L32" s="109">
        <f>+L31</f>
        <v/>
      </c>
      <c r="M32" s="109">
        <f>+M31</f>
        <v/>
      </c>
      <c r="N32" s="109">
        <f>+N31</f>
        <v/>
      </c>
      <c r="O32" s="110">
        <f>+O31</f>
        <v/>
      </c>
      <c r="P32" s="111" t="n"/>
      <c r="Q32" s="111" t="n"/>
      <c r="R32" s="111" t="n"/>
      <c r="S32" s="111">
        <f>+S31</f>
        <v/>
      </c>
      <c r="T32" s="112" t="n"/>
      <c r="U32" s="112" t="n"/>
      <c r="V32" s="112" t="n"/>
      <c r="W32" s="113" t="n"/>
      <c r="X32" s="113" t="n"/>
      <c r="Y32" s="113" t="n"/>
      <c r="Z32" s="113" t="n"/>
      <c r="AA32" s="113" t="n"/>
      <c r="AB32" s="113" t="n"/>
      <c r="AC32" s="113" t="n"/>
      <c r="AD32" s="113" t="n"/>
      <c r="AE32" s="113" t="n"/>
      <c r="AF32" s="113" t="n"/>
      <c r="AG32" s="113">
        <f>+AG31</f>
        <v/>
      </c>
      <c r="AH32" s="113" t="inlineStr">
        <is>
          <t>&gt;=38;&lt;=56</t>
        </is>
      </c>
      <c r="AI32" s="109" t="n"/>
      <c r="AJ32" s="113" t="n"/>
      <c r="AK32" s="110" t="n"/>
      <c r="AL32" s="113" t="n"/>
      <c r="AM32" s="113" t="n"/>
      <c r="AN32" s="113" t="n"/>
      <c r="AO32" s="113" t="n"/>
      <c r="AP32" s="115" t="n"/>
      <c r="AQ32" s="115" t="n"/>
      <c r="AR32" s="113" t="inlineStr">
        <is>
          <t>Nhóm 1</t>
        </is>
      </c>
      <c r="AS32" s="113" t="n"/>
      <c r="AT32" s="113" t="inlineStr">
        <is>
          <t>HM02</t>
        </is>
      </c>
      <c r="AU32" s="113" t="inlineStr">
        <is>
          <t>PLKL01</t>
        </is>
      </c>
      <c r="AV32" s="113" t="n">
        <v>3</v>
      </c>
      <c r="AW32" s="113" t="n">
        <v>3</v>
      </c>
      <c r="AX32" s="113" t="n"/>
    </row>
    <row r="33" customFormat="1" s="107">
      <c r="A33" s="105" t="inlineStr">
        <is>
          <t>NTCV</t>
        </is>
      </c>
      <c r="B33" s="105" t="inlineStr">
        <is>
          <t>K.9999</t>
        </is>
      </c>
      <c r="C33" s="105" t="inlineStr">
        <is>
          <t>NTCV.0298165</t>
        </is>
      </c>
      <c r="D33" s="106" t="n"/>
      <c r="E33" s="106" t="n"/>
      <c r="F33" s="106" t="n"/>
      <c r="G33" s="106" t="n"/>
      <c r="H33" s="106" t="n"/>
      <c r="J33" s="131" t="inlineStr">
        <is>
          <t>14</t>
        </is>
      </c>
      <c r="K33" s="131" t="inlineStr">
        <is>
          <t>K.9999</t>
        </is>
      </c>
      <c r="L33" s="132">
        <f>"Đắp nền đường công vụ nhánh 6 lớp số "&amp;M33</f>
        <v/>
      </c>
      <c r="M33" s="132" t="n">
        <v>28</v>
      </c>
      <c r="N33" s="132" t="inlineStr">
        <is>
          <t>Km0+0 -:- 9(Km0+89.62)</t>
        </is>
      </c>
      <c r="O33" s="133" t="inlineStr">
        <is>
          <t>Cầu Km19+529.080</t>
        </is>
      </c>
      <c r="P33" s="134">
        <f>+P30</f>
        <v/>
      </c>
      <c r="Q33" s="134">
        <f>+P33+1</f>
        <v/>
      </c>
      <c r="R33" s="134">
        <f>+Q33-1</f>
        <v/>
      </c>
      <c r="S33" s="134">
        <f>+Q33</f>
        <v/>
      </c>
      <c r="T33" s="135">
        <f>U30+TIME(,10,)</f>
        <v/>
      </c>
      <c r="U33" s="135">
        <f>+T33+V33</f>
        <v/>
      </c>
      <c r="V33" s="135" t="n">
        <v>0.01041666666666667</v>
      </c>
      <c r="W33" s="136">
        <f>TEXT(T33,"HH""h""MM'")&amp;"÷"&amp;TEXT(U33,"HH""h""MM'")</f>
        <v/>
      </c>
      <c r="X33" s="136" t="n"/>
      <c r="Y33" s="136" t="n"/>
      <c r="Z33" s="137" t="inlineStr">
        <is>
          <t>01A;</t>
        </is>
      </c>
      <c r="AA33" s="136">
        <f>+L33</f>
        <v/>
      </c>
      <c r="AB33" s="136">
        <f>+AB30</f>
        <v/>
      </c>
      <c r="AC33" s="136">
        <f>+AC30</f>
        <v/>
      </c>
      <c r="AD33" s="136" t="n"/>
      <c r="AE33" s="136" t="n"/>
      <c r="AF33" s="136" t="n"/>
      <c r="AG33" s="136" t="n"/>
      <c r="AH33" s="136" t="n"/>
      <c r="AI33" s="132" t="n"/>
      <c r="AJ33" s="136" t="n"/>
      <c r="AK33" s="133" t="n"/>
      <c r="AL33" s="136" t="n"/>
      <c r="AM33" s="136" t="n"/>
      <c r="AN33" s="136" t="n"/>
      <c r="AO33" s="136" t="n"/>
      <c r="AP33" s="138" t="n"/>
      <c r="AQ33" s="138" t="n"/>
      <c r="AR33" s="136" t="inlineStr">
        <is>
          <t>Nhóm 1</t>
        </is>
      </c>
      <c r="AS33" s="136" t="n"/>
      <c r="AT33" s="136" t="inlineStr">
        <is>
          <t>HM02</t>
        </is>
      </c>
      <c r="AU33" s="136" t="inlineStr">
        <is>
          <t>NTCV</t>
        </is>
      </c>
      <c r="AV33" s="136" t="n">
        <v>4</v>
      </c>
      <c r="AW33" s="136" t="n">
        <v>4</v>
      </c>
      <c r="AX33" s="136" t="n"/>
    </row>
    <row r="34" ht="28" customFormat="1" customHeight="1" s="107">
      <c r="A34" s="105" t="inlineStr">
        <is>
          <t>BBK371</t>
        </is>
      </c>
      <c r="B34" s="105" t="inlineStr">
        <is>
          <t>KTHH_DAP</t>
        </is>
      </c>
      <c r="C34" s="105" t="inlineStr">
        <is>
          <t>BBK371.0622696</t>
        </is>
      </c>
      <c r="D34" s="106" t="n"/>
      <c r="E34" s="106" t="n"/>
      <c r="F34" s="106" t="n"/>
      <c r="G34" s="106" t="n"/>
      <c r="H34" s="106" t="n"/>
      <c r="J34" s="108" t="inlineStr">
        <is>
          <t>15</t>
        </is>
      </c>
      <c r="K34" s="108" t="inlineStr">
        <is>
          <t>KTHH_DAP</t>
        </is>
      </c>
      <c r="L34" s="109">
        <f>L33</f>
        <v/>
      </c>
      <c r="M34" s="109">
        <f>+M33</f>
        <v/>
      </c>
      <c r="N34" s="109" t="inlineStr">
        <is>
          <t>Km0+0 -:- 9(Km0+89.62)</t>
        </is>
      </c>
      <c r="O34" s="110" t="inlineStr">
        <is>
          <t>Cầu Km19+529.080</t>
        </is>
      </c>
      <c r="P34" s="111" t="n"/>
      <c r="Q34" s="111" t="n"/>
      <c r="R34" s="111" t="n"/>
      <c r="S34" s="111">
        <f>+S33</f>
        <v/>
      </c>
      <c r="T34" s="112" t="n"/>
      <c r="U34" s="112" t="n"/>
      <c r="V34" s="112" t="n"/>
      <c r="W34" s="113" t="n"/>
      <c r="X34" s="113" t="n"/>
      <c r="Y34" s="113" t="n"/>
      <c r="Z34" s="113" t="n"/>
      <c r="AA34" s="113" t="n"/>
      <c r="AB34" s="113" t="n"/>
      <c r="AC34" s="113">
        <f>+AC33</f>
        <v/>
      </c>
      <c r="AD34" s="113" t="n"/>
      <c r="AE34" s="113" t="n"/>
      <c r="AF34" s="113" t="n"/>
      <c r="AG34" s="113" t="inlineStr">
        <is>
          <t>DAPNEN_DCV6</t>
        </is>
      </c>
      <c r="AH34" s="113" t="inlineStr">
        <is>
          <t>&gt;=1;&lt;=19</t>
        </is>
      </c>
      <c r="AI34" s="109" t="n"/>
      <c r="AJ34" s="113" t="n"/>
      <c r="AK34" s="110" t="n"/>
      <c r="AL34" s="113" t="n"/>
      <c r="AM34" s="113" t="n"/>
      <c r="AN34" s="113" t="n"/>
      <c r="AO34" s="113" t="n"/>
      <c r="AP34" s="115" t="n"/>
      <c r="AQ34" s="115" t="inlineStr">
        <is>
          <t>Ảnh\dapnendcv.png</t>
        </is>
      </c>
      <c r="AR34" s="113" t="inlineStr">
        <is>
          <t>Nhóm 1</t>
        </is>
      </c>
      <c r="AS34" s="113" t="n"/>
      <c r="AT34" s="113" t="inlineStr">
        <is>
          <t>HM02</t>
        </is>
      </c>
      <c r="AU34" s="113" t="inlineStr">
        <is>
          <t>KTHH_DAP</t>
        </is>
      </c>
      <c r="AV34" s="113" t="n">
        <v>2</v>
      </c>
      <c r="AW34" s="113" t="n">
        <v>2</v>
      </c>
      <c r="AX34" s="113" t="n"/>
    </row>
    <row r="35" customFormat="1" s="107">
      <c r="A35" s="105" t="inlineStr">
        <is>
          <t>BBK957</t>
        </is>
      </c>
      <c r="B35" s="105" t="inlineStr">
        <is>
          <t>PLKL01</t>
        </is>
      </c>
      <c r="C35" s="105" t="inlineStr">
        <is>
          <t>BBK957.0647821</t>
        </is>
      </c>
      <c r="D35" s="106" t="n"/>
      <c r="E35" s="106" t="n"/>
      <c r="F35" s="106" t="n"/>
      <c r="G35" s="106" t="n"/>
      <c r="H35" s="106" t="n"/>
      <c r="J35" s="108" t="inlineStr">
        <is>
          <t>16</t>
        </is>
      </c>
      <c r="K35" s="108" t="inlineStr">
        <is>
          <t>PLKL01</t>
        </is>
      </c>
      <c r="L35" s="109">
        <f>+L34</f>
        <v/>
      </c>
      <c r="M35" s="109">
        <f>+M34</f>
        <v/>
      </c>
      <c r="N35" s="109">
        <f>+N34</f>
        <v/>
      </c>
      <c r="O35" s="110">
        <f>+O34</f>
        <v/>
      </c>
      <c r="P35" s="111" t="n"/>
      <c r="Q35" s="111" t="n"/>
      <c r="R35" s="111" t="n"/>
      <c r="S35" s="111">
        <f>+S34</f>
        <v/>
      </c>
      <c r="T35" s="112" t="n"/>
      <c r="U35" s="112" t="n"/>
      <c r="V35" s="112" t="n"/>
      <c r="W35" s="113" t="n"/>
      <c r="X35" s="113" t="n"/>
      <c r="Y35" s="113" t="n"/>
      <c r="Z35" s="113" t="n"/>
      <c r="AA35" s="113" t="n"/>
      <c r="AB35" s="113" t="n"/>
      <c r="AC35" s="113" t="n"/>
      <c r="AD35" s="113" t="n"/>
      <c r="AE35" s="113" t="n"/>
      <c r="AF35" s="113" t="n"/>
      <c r="AG35" s="113">
        <f>+AG34</f>
        <v/>
      </c>
      <c r="AH35" s="113" t="inlineStr">
        <is>
          <t>&gt;=38;&lt;=56</t>
        </is>
      </c>
      <c r="AI35" s="109" t="n"/>
      <c r="AJ35" s="113" t="n"/>
      <c r="AK35" s="110" t="n"/>
      <c r="AL35" s="113" t="n"/>
      <c r="AM35" s="113" t="n"/>
      <c r="AN35" s="113" t="n"/>
      <c r="AO35" s="113" t="n"/>
      <c r="AP35" s="115" t="n"/>
      <c r="AQ35" s="115" t="n"/>
      <c r="AR35" s="113" t="inlineStr">
        <is>
          <t>Nhóm 1</t>
        </is>
      </c>
      <c r="AS35" s="113" t="n"/>
      <c r="AT35" s="113" t="inlineStr">
        <is>
          <t>HM02</t>
        </is>
      </c>
      <c r="AU35" s="113" t="inlineStr">
        <is>
          <t>PLKL01</t>
        </is>
      </c>
      <c r="AV35" s="113" t="n">
        <v>4</v>
      </c>
      <c r="AW35" s="113" t="n">
        <v>4</v>
      </c>
      <c r="AX35" s="113" t="n"/>
    </row>
    <row r="36" customFormat="1" s="107">
      <c r="A36" s="105" t="inlineStr">
        <is>
          <t>NTCV</t>
        </is>
      </c>
      <c r="B36" s="105" t="inlineStr">
        <is>
          <t>K.9999</t>
        </is>
      </c>
      <c r="C36" s="105" t="inlineStr">
        <is>
          <t>NTCV.0263792</t>
        </is>
      </c>
      <c r="D36" s="106" t="n"/>
      <c r="E36" s="106" t="n"/>
      <c r="F36" s="106" t="n"/>
      <c r="G36" s="106" t="n"/>
      <c r="H36" s="106" t="n"/>
      <c r="J36" s="147" t="inlineStr">
        <is>
          <t>17</t>
        </is>
      </c>
      <c r="K36" s="147" t="inlineStr">
        <is>
          <t>K.9999</t>
        </is>
      </c>
      <c r="L36" s="148">
        <f>"Đắp nền đường công vụ nhánh 6 lớp số "&amp;M36</f>
        <v/>
      </c>
      <c r="M36" s="148" t="n">
        <v>27</v>
      </c>
      <c r="N36" s="148" t="inlineStr">
        <is>
          <t>Km0+0 -:- 9(Km0+89.62)</t>
        </is>
      </c>
      <c r="O36" s="149" t="inlineStr">
        <is>
          <t>Cầu Km19+529.080</t>
        </is>
      </c>
      <c r="P36" s="134">
        <f>+P33</f>
        <v/>
      </c>
      <c r="Q36" s="134">
        <f>+P36+1</f>
        <v/>
      </c>
      <c r="R36" s="134">
        <f>+Q36-1</f>
        <v/>
      </c>
      <c r="S36" s="134">
        <f>+Q36</f>
        <v/>
      </c>
      <c r="T36" s="135">
        <f>U33+TIME(,10,)</f>
        <v/>
      </c>
      <c r="U36" s="135">
        <f>+T36+V36</f>
        <v/>
      </c>
      <c r="V36" s="135" t="n">
        <v>0.01041666666666667</v>
      </c>
      <c r="W36" s="121">
        <f>TEXT(T36,"HH""h""MM'")&amp;"÷"&amp;TEXT(U36,"HH""h""MM'")</f>
        <v/>
      </c>
      <c r="X36" s="150" t="n"/>
      <c r="Y36" s="150" t="n"/>
      <c r="Z36" s="137" t="inlineStr">
        <is>
          <t>01A;</t>
        </is>
      </c>
      <c r="AA36" s="136">
        <f>+L36</f>
        <v/>
      </c>
      <c r="AB36" s="136">
        <f>+AB33</f>
        <v/>
      </c>
      <c r="AC36" s="150">
        <f>+AC33</f>
        <v/>
      </c>
      <c r="AD36" s="150" t="n"/>
      <c r="AE36" s="150" t="n"/>
      <c r="AF36" s="150" t="n"/>
      <c r="AG36" s="150" t="n"/>
      <c r="AH36" s="150" t="n"/>
      <c r="AI36" s="148" t="n"/>
      <c r="AJ36" s="150" t="n"/>
      <c r="AK36" s="149" t="n"/>
      <c r="AL36" s="150" t="n"/>
      <c r="AM36" s="150" t="n"/>
      <c r="AN36" s="150" t="n"/>
      <c r="AO36" s="150" t="n"/>
      <c r="AP36" s="151" t="n"/>
      <c r="AQ36" s="151" t="n"/>
      <c r="AR36" s="150" t="inlineStr">
        <is>
          <t>Nhóm 1</t>
        </is>
      </c>
      <c r="AS36" s="150" t="n"/>
      <c r="AT36" s="150" t="inlineStr">
        <is>
          <t>HM02</t>
        </is>
      </c>
      <c r="AU36" s="150" t="inlineStr">
        <is>
          <t>NTCV</t>
        </is>
      </c>
      <c r="AV36" s="150" t="n">
        <v>5</v>
      </c>
      <c r="AW36" s="150" t="n">
        <v>5</v>
      </c>
      <c r="AX36" s="150" t="n"/>
    </row>
    <row r="37" ht="28" customFormat="1" customHeight="1" s="107">
      <c r="A37" s="105" t="inlineStr">
        <is>
          <t>BBK371</t>
        </is>
      </c>
      <c r="B37" s="105" t="inlineStr">
        <is>
          <t>KTHH_DAP</t>
        </is>
      </c>
      <c r="C37" s="105" t="inlineStr">
        <is>
          <t>BBK371.0279342</t>
        </is>
      </c>
      <c r="D37" s="106" t="n"/>
      <c r="E37" s="106" t="n"/>
      <c r="F37" s="106" t="n"/>
      <c r="G37" s="106" t="n"/>
      <c r="H37" s="106" t="n"/>
      <c r="J37" s="108" t="inlineStr">
        <is>
          <t>18</t>
        </is>
      </c>
      <c r="K37" s="108" t="inlineStr">
        <is>
          <t>KTHH_DAP</t>
        </is>
      </c>
      <c r="L37" s="109">
        <f>L36</f>
        <v/>
      </c>
      <c r="M37" s="109">
        <f>+M36</f>
        <v/>
      </c>
      <c r="N37" s="109" t="inlineStr">
        <is>
          <t>Km0+0 -:- 9(Km0+89.62)</t>
        </is>
      </c>
      <c r="O37" s="110" t="inlineStr">
        <is>
          <t>Cầu Km19+529.080</t>
        </is>
      </c>
      <c r="P37" s="111" t="n"/>
      <c r="Q37" s="111" t="n"/>
      <c r="R37" s="111" t="n"/>
      <c r="S37" s="111">
        <f>+S36</f>
        <v/>
      </c>
      <c r="T37" s="112" t="n"/>
      <c r="U37" s="112" t="n"/>
      <c r="V37" s="112" t="n"/>
      <c r="W37" s="113" t="n"/>
      <c r="X37" s="113" t="n"/>
      <c r="Y37" s="113" t="n"/>
      <c r="Z37" s="113" t="n"/>
      <c r="AA37" s="113" t="n"/>
      <c r="AB37" s="113" t="n"/>
      <c r="AC37" s="113">
        <f>+AC36</f>
        <v/>
      </c>
      <c r="AD37" s="113" t="n"/>
      <c r="AE37" s="113" t="n"/>
      <c r="AF37" s="113" t="n"/>
      <c r="AG37" s="113" t="inlineStr">
        <is>
          <t>DAPNEN_DCV6</t>
        </is>
      </c>
      <c r="AH37" s="113" t="inlineStr">
        <is>
          <t>&gt;=1;&lt;=19</t>
        </is>
      </c>
      <c r="AI37" s="109" t="n"/>
      <c r="AJ37" s="113" t="n"/>
      <c r="AK37" s="110" t="n"/>
      <c r="AL37" s="113" t="n"/>
      <c r="AM37" s="113" t="n"/>
      <c r="AN37" s="113" t="n"/>
      <c r="AO37" s="113" t="n"/>
      <c r="AP37" s="115" t="n"/>
      <c r="AQ37" s="115" t="inlineStr">
        <is>
          <t>Ảnh\dapnendcv.png</t>
        </is>
      </c>
      <c r="AR37" s="113" t="inlineStr">
        <is>
          <t>Nhóm 1</t>
        </is>
      </c>
      <c r="AS37" s="113" t="n"/>
      <c r="AT37" s="113" t="inlineStr">
        <is>
          <t>HM02</t>
        </is>
      </c>
      <c r="AU37" s="113" t="inlineStr">
        <is>
          <t>KTHH_DAP</t>
        </is>
      </c>
      <c r="AV37" s="113" t="n">
        <v>3</v>
      </c>
      <c r="AW37" s="113" t="n">
        <v>3</v>
      </c>
      <c r="AX37" s="113" t="n"/>
    </row>
    <row r="38" customFormat="1" s="107">
      <c r="A38" s="105" t="inlineStr">
        <is>
          <t>BBK957</t>
        </is>
      </c>
      <c r="B38" s="105" t="inlineStr">
        <is>
          <t>PLKL01</t>
        </is>
      </c>
      <c r="C38" s="105" t="inlineStr">
        <is>
          <t>BBK957.0829801</t>
        </is>
      </c>
      <c r="D38" s="106" t="n"/>
      <c r="E38" s="106" t="n"/>
      <c r="F38" s="106" t="n"/>
      <c r="G38" s="106" t="n"/>
      <c r="H38" s="106" t="n"/>
      <c r="J38" s="108" t="inlineStr">
        <is>
          <t>19</t>
        </is>
      </c>
      <c r="K38" s="108" t="inlineStr">
        <is>
          <t>PLKL01</t>
        </is>
      </c>
      <c r="L38" s="109">
        <f>+L37</f>
        <v/>
      </c>
      <c r="M38" s="109">
        <f>+M37</f>
        <v/>
      </c>
      <c r="N38" s="109">
        <f>+N37</f>
        <v/>
      </c>
      <c r="O38" s="110">
        <f>+O37</f>
        <v/>
      </c>
      <c r="P38" s="111" t="n"/>
      <c r="Q38" s="111" t="n"/>
      <c r="R38" s="111" t="n"/>
      <c r="S38" s="111">
        <f>+S37</f>
        <v/>
      </c>
      <c r="T38" s="112" t="n"/>
      <c r="U38" s="112" t="n"/>
      <c r="V38" s="112" t="n"/>
      <c r="W38" s="113" t="n"/>
      <c r="X38" s="113" t="n"/>
      <c r="Y38" s="113" t="n"/>
      <c r="Z38" s="113" t="n"/>
      <c r="AA38" s="113" t="n"/>
      <c r="AB38" s="113" t="n"/>
      <c r="AC38" s="113" t="n"/>
      <c r="AD38" s="113" t="n"/>
      <c r="AE38" s="113" t="n"/>
      <c r="AF38" s="113" t="n"/>
      <c r="AG38" s="113">
        <f>+AG37</f>
        <v/>
      </c>
      <c r="AH38" s="113" t="inlineStr">
        <is>
          <t>&gt;=38;&lt;=56</t>
        </is>
      </c>
      <c r="AI38" s="109" t="n"/>
      <c r="AJ38" s="113" t="n"/>
      <c r="AK38" s="110" t="n"/>
      <c r="AL38" s="113" t="n"/>
      <c r="AM38" s="113" t="n"/>
      <c r="AN38" s="113" t="n"/>
      <c r="AO38" s="113" t="n"/>
      <c r="AP38" s="115" t="n"/>
      <c r="AQ38" s="115" t="n"/>
      <c r="AR38" s="113" t="inlineStr">
        <is>
          <t>Nhóm 1</t>
        </is>
      </c>
      <c r="AS38" s="113" t="n"/>
      <c r="AT38" s="113" t="inlineStr">
        <is>
          <t>HM02</t>
        </is>
      </c>
      <c r="AU38" s="113" t="inlineStr">
        <is>
          <t>PLKL01</t>
        </is>
      </c>
      <c r="AV38" s="113" t="n">
        <v>5</v>
      </c>
      <c r="AW38" s="113" t="n">
        <v>5</v>
      </c>
      <c r="AX38" s="113" t="n"/>
    </row>
    <row r="39" customFormat="1" s="107">
      <c r="A39" s="105" t="inlineStr">
        <is>
          <t>NTCV</t>
        </is>
      </c>
      <c r="B39" s="105" t="inlineStr">
        <is>
          <t>K.9999</t>
        </is>
      </c>
      <c r="C39" s="105" t="inlineStr">
        <is>
          <t>NTCV.0824602</t>
        </is>
      </c>
      <c r="D39" s="106" t="n"/>
      <c r="E39" s="106" t="n"/>
      <c r="F39" s="106" t="n"/>
      <c r="G39" s="106" t="n"/>
      <c r="H39" s="106" t="n"/>
      <c r="J39" s="147" t="inlineStr">
        <is>
          <t>20</t>
        </is>
      </c>
      <c r="K39" s="147" t="inlineStr">
        <is>
          <t>K.9999</t>
        </is>
      </c>
      <c r="L39" s="148">
        <f>"Đắp nền đường công vụ nhánh 6 lớp số "&amp;M39</f>
        <v/>
      </c>
      <c r="M39" s="148" t="n">
        <v>26</v>
      </c>
      <c r="N39" s="148" t="inlineStr">
        <is>
          <t>Km0+0 -:- 9(Km0+89.62)</t>
        </is>
      </c>
      <c r="O39" s="149" t="inlineStr">
        <is>
          <t>Cầu Km19+529.080</t>
        </is>
      </c>
      <c r="P39" s="134">
        <f>+P36</f>
        <v/>
      </c>
      <c r="Q39" s="134">
        <f>+P39+1</f>
        <v/>
      </c>
      <c r="R39" s="134">
        <f>+Q39-1</f>
        <v/>
      </c>
      <c r="S39" s="134">
        <f>+Q39</f>
        <v/>
      </c>
      <c r="T39" s="135">
        <f>U36+TIME(,10,)</f>
        <v/>
      </c>
      <c r="U39" s="135">
        <f>+T39+V39</f>
        <v/>
      </c>
      <c r="V39" s="135" t="n">
        <v>0.01041666666666667</v>
      </c>
      <c r="W39" s="121">
        <f>TEXT(T39,"HH""h""MM'")&amp;"÷"&amp;TEXT(U39,"HH""h""MM'")</f>
        <v/>
      </c>
      <c r="X39" s="150" t="n"/>
      <c r="Y39" s="150" t="n"/>
      <c r="Z39" s="137" t="inlineStr">
        <is>
          <t>01A;</t>
        </is>
      </c>
      <c r="AA39" s="136">
        <f>+L39</f>
        <v/>
      </c>
      <c r="AB39" s="136">
        <f>+AB36</f>
        <v/>
      </c>
      <c r="AC39" s="150">
        <f>+AC36</f>
        <v/>
      </c>
      <c r="AD39" s="150" t="n"/>
      <c r="AE39" s="150" t="n"/>
      <c r="AF39" s="150" t="n"/>
      <c r="AG39" s="150" t="n"/>
      <c r="AH39" s="150" t="n"/>
      <c r="AI39" s="148" t="n"/>
      <c r="AJ39" s="150" t="n"/>
      <c r="AK39" s="149" t="n"/>
      <c r="AL39" s="150" t="n"/>
      <c r="AM39" s="150" t="n"/>
      <c r="AN39" s="150" t="n"/>
      <c r="AO39" s="150" t="n"/>
      <c r="AP39" s="151" t="n"/>
      <c r="AQ39" s="151" t="n"/>
      <c r="AR39" s="150" t="inlineStr">
        <is>
          <t>Nhóm 1</t>
        </is>
      </c>
      <c r="AS39" s="150" t="n"/>
      <c r="AT39" s="150" t="inlineStr">
        <is>
          <t>HM02</t>
        </is>
      </c>
      <c r="AU39" s="150" t="inlineStr">
        <is>
          <t>NTCV</t>
        </is>
      </c>
      <c r="AV39" s="150" t="n">
        <v>6</v>
      </c>
      <c r="AW39" s="150" t="n">
        <v>6</v>
      </c>
      <c r="AX39" s="150" t="n"/>
    </row>
    <row r="40" ht="28" customFormat="1" customHeight="1" s="107">
      <c r="A40" s="105" t="inlineStr">
        <is>
          <t>BBK371</t>
        </is>
      </c>
      <c r="B40" s="105" t="inlineStr">
        <is>
          <t>KTHH_DAP</t>
        </is>
      </c>
      <c r="C40" s="105" t="inlineStr">
        <is>
          <t>BBK371.0589163</t>
        </is>
      </c>
      <c r="D40" s="106" t="n"/>
      <c r="E40" s="106" t="n"/>
      <c r="F40" s="106" t="n"/>
      <c r="G40" s="106" t="n"/>
      <c r="H40" s="106" t="n"/>
      <c r="J40" s="124" t="inlineStr">
        <is>
          <t>21</t>
        </is>
      </c>
      <c r="K40" s="124" t="inlineStr">
        <is>
          <t>KTHH_DAP</t>
        </is>
      </c>
      <c r="L40" s="125">
        <f>L39</f>
        <v/>
      </c>
      <c r="M40" s="125">
        <f>+M39</f>
        <v/>
      </c>
      <c r="N40" s="125" t="inlineStr">
        <is>
          <t>Km0+0 -:- 9(Km0+89.62)</t>
        </is>
      </c>
      <c r="O40" s="126" t="inlineStr">
        <is>
          <t>Cầu Km19+529.080</t>
        </is>
      </c>
      <c r="P40" s="127" t="n"/>
      <c r="Q40" s="127" t="n"/>
      <c r="R40" s="127" t="n"/>
      <c r="S40" s="127">
        <f>+S39</f>
        <v/>
      </c>
      <c r="T40" s="128" t="n"/>
      <c r="U40" s="128" t="n"/>
      <c r="V40" s="128" t="n"/>
      <c r="W40" s="129" t="n"/>
      <c r="X40" s="129" t="n"/>
      <c r="Y40" s="129" t="n"/>
      <c r="Z40" s="129" t="n"/>
      <c r="AA40" s="129" t="n"/>
      <c r="AB40" s="129" t="n"/>
      <c r="AC40" s="129">
        <f>+AC39</f>
        <v/>
      </c>
      <c r="AD40" s="129" t="n"/>
      <c r="AE40" s="129" t="n"/>
      <c r="AF40" s="129" t="n"/>
      <c r="AG40" s="129" t="inlineStr">
        <is>
          <t>DAPNEN_DCV6</t>
        </is>
      </c>
      <c r="AH40" s="129" t="inlineStr">
        <is>
          <t>&gt;=1;&lt;=19</t>
        </is>
      </c>
      <c r="AI40" s="125" t="n"/>
      <c r="AJ40" s="129" t="n"/>
      <c r="AK40" s="126" t="n"/>
      <c r="AL40" s="129" t="n"/>
      <c r="AM40" s="129" t="n"/>
      <c r="AN40" s="129" t="n"/>
      <c r="AO40" s="129" t="n"/>
      <c r="AP40" s="130" t="n"/>
      <c r="AQ40" s="130" t="inlineStr">
        <is>
          <t>Ảnh\dapnendcv.png</t>
        </is>
      </c>
      <c r="AR40" s="129" t="inlineStr">
        <is>
          <t>Nhóm 1</t>
        </is>
      </c>
      <c r="AS40" s="129" t="n"/>
      <c r="AT40" s="129" t="inlineStr">
        <is>
          <t>HM02</t>
        </is>
      </c>
      <c r="AU40" s="129" t="inlineStr">
        <is>
          <t>KTHH_DAP</t>
        </is>
      </c>
      <c r="AV40" s="129" t="n">
        <v>4</v>
      </c>
      <c r="AW40" s="129" t="n">
        <v>4</v>
      </c>
      <c r="AX40" s="129" t="n"/>
    </row>
    <row r="41" customFormat="1" s="107">
      <c r="A41" s="105" t="inlineStr">
        <is>
          <t>BBK957</t>
        </is>
      </c>
      <c r="B41" s="105" t="inlineStr">
        <is>
          <t>PLKL01</t>
        </is>
      </c>
      <c r="C41" s="105" t="inlineStr">
        <is>
          <t>BBK957.0986093</t>
        </is>
      </c>
      <c r="D41" s="106" t="n"/>
      <c r="E41" s="106" t="n"/>
      <c r="F41" s="106" t="n"/>
      <c r="G41" s="106" t="n"/>
      <c r="H41" s="106" t="n"/>
      <c r="J41" s="108" t="inlineStr">
        <is>
          <t>22</t>
        </is>
      </c>
      <c r="K41" s="108" t="inlineStr">
        <is>
          <t>PLKL01</t>
        </is>
      </c>
      <c r="L41" s="109">
        <f>+L40</f>
        <v/>
      </c>
      <c r="M41" s="109">
        <f>+M40</f>
        <v/>
      </c>
      <c r="N41" s="109">
        <f>+N40</f>
        <v/>
      </c>
      <c r="O41" s="110">
        <f>+O40</f>
        <v/>
      </c>
      <c r="P41" s="111" t="n"/>
      <c r="Q41" s="111" t="n"/>
      <c r="R41" s="111" t="n"/>
      <c r="S41" s="111">
        <f>+S40</f>
        <v/>
      </c>
      <c r="T41" s="112" t="n"/>
      <c r="U41" s="112" t="n"/>
      <c r="V41" s="112" t="n"/>
      <c r="W41" s="113" t="n"/>
      <c r="X41" s="113" t="n"/>
      <c r="Y41" s="113" t="n"/>
      <c r="Z41" s="113" t="n"/>
      <c r="AA41" s="113" t="n"/>
      <c r="AB41" s="113" t="n"/>
      <c r="AC41" s="113" t="n"/>
      <c r="AD41" s="113" t="n"/>
      <c r="AE41" s="113" t="n"/>
      <c r="AF41" s="113" t="n"/>
      <c r="AG41" s="113">
        <f>+AG40</f>
        <v/>
      </c>
      <c r="AH41" s="113" t="inlineStr">
        <is>
          <t>&gt;=38;&lt;=56</t>
        </is>
      </c>
      <c r="AI41" s="109" t="n"/>
      <c r="AJ41" s="113" t="n"/>
      <c r="AK41" s="110" t="n"/>
      <c r="AL41" s="113" t="n"/>
      <c r="AM41" s="113" t="n"/>
      <c r="AN41" s="113" t="n"/>
      <c r="AO41" s="113" t="n"/>
      <c r="AP41" s="115" t="n"/>
      <c r="AQ41" s="115" t="n"/>
      <c r="AR41" s="113" t="inlineStr">
        <is>
          <t>Nhóm 1</t>
        </is>
      </c>
      <c r="AS41" s="113" t="n"/>
      <c r="AT41" s="113" t="inlineStr">
        <is>
          <t>HM02</t>
        </is>
      </c>
      <c r="AU41" s="113" t="inlineStr">
        <is>
          <t>PLKL01</t>
        </is>
      </c>
      <c r="AV41" s="113" t="n">
        <v>6</v>
      </c>
      <c r="AW41" s="113" t="n">
        <v>6</v>
      </c>
      <c r="AX41" s="113" t="n"/>
    </row>
    <row r="42" customFormat="1" s="107">
      <c r="A42" s="105" t="inlineStr">
        <is>
          <t>BBK680</t>
        </is>
      </c>
      <c r="B42" s="105" t="inlineStr">
        <is>
          <t>PYC</t>
        </is>
      </c>
      <c r="C42" s="105" t="inlineStr">
        <is>
          <t>BBK680.0910964</t>
        </is>
      </c>
      <c r="D42" s="106" t="n"/>
      <c r="E42" s="106" t="n"/>
      <c r="F42" s="106" t="n"/>
      <c r="G42" s="106" t="n"/>
      <c r="H42" s="106" t="n"/>
      <c r="J42" s="108" t="inlineStr">
        <is>
          <t>23</t>
        </is>
      </c>
      <c r="K42" s="108" t="inlineStr">
        <is>
          <t>PYC</t>
        </is>
      </c>
      <c r="L42" s="109" t="inlineStr">
        <is>
          <t>phiếu yêu cầu</t>
        </is>
      </c>
      <c r="M42" s="109" t="n"/>
      <c r="N42" s="109" t="n"/>
      <c r="O42" s="110" t="n"/>
      <c r="P42" s="111" t="n"/>
      <c r="Q42" s="111" t="n"/>
      <c r="R42" s="111">
        <f>+R43</f>
        <v/>
      </c>
      <c r="S42" s="111">
        <f>+S43</f>
        <v/>
      </c>
      <c r="T42" s="112" t="n"/>
      <c r="U42" s="112" t="n"/>
      <c r="V42" s="112" t="n"/>
      <c r="W42" s="113" t="n"/>
      <c r="X42" s="113" t="n"/>
      <c r="Y42" s="113" t="n"/>
      <c r="Z42" s="113" t="n"/>
      <c r="AA42" s="113" t="n"/>
      <c r="AB42" s="113" t="inlineStr">
        <is>
          <t>09-XL-307HG/PYCNT/MB-ĐCV</t>
        </is>
      </c>
      <c r="AC42" s="113" t="n"/>
      <c r="AD42" s="113" t="n"/>
      <c r="AE42" s="113" t="n"/>
      <c r="AF42" s="113" t="n"/>
      <c r="AG42" s="113" t="inlineStr">
        <is>
          <t>NTCV</t>
        </is>
      </c>
      <c r="AH42" s="113" t="inlineStr">
        <is>
          <t>&gt;=7;&lt;=10</t>
        </is>
      </c>
      <c r="AI42" s="109" t="n"/>
      <c r="AJ42" s="113" t="n"/>
      <c r="AK42" s="110" t="n"/>
      <c r="AL42" s="113" t="n"/>
      <c r="AM42" s="113" t="n"/>
      <c r="AN42" s="113" t="n"/>
      <c r="AO42" s="113" t="n"/>
      <c r="AP42" s="115" t="n"/>
      <c r="AQ42" s="115" t="n"/>
      <c r="AR42" s="113" t="inlineStr">
        <is>
          <t>Nhóm 1</t>
        </is>
      </c>
      <c r="AS42" s="113" t="n"/>
      <c r="AT42" s="113" t="inlineStr">
        <is>
          <t>HM02</t>
        </is>
      </c>
      <c r="AU42" s="113" t="inlineStr">
        <is>
          <t>PYC</t>
        </is>
      </c>
      <c r="AV42" s="113" t="n">
        <v>3</v>
      </c>
      <c r="AW42" s="113" t="n">
        <v>3</v>
      </c>
      <c r="AX42" s="113" t="n"/>
    </row>
    <row r="43" customFormat="1" s="107">
      <c r="A43" s="105" t="inlineStr">
        <is>
          <t>NTCV</t>
        </is>
      </c>
      <c r="B43" s="105" t="inlineStr">
        <is>
          <t>K.9999</t>
        </is>
      </c>
      <c r="C43" s="105" t="inlineStr">
        <is>
          <t>NTCV.0226866</t>
        </is>
      </c>
      <c r="D43" s="106" t="n"/>
      <c r="E43" s="106" t="n"/>
      <c r="F43" s="106" t="n"/>
      <c r="G43" s="106" t="n"/>
      <c r="H43" s="106" t="n"/>
      <c r="J43" s="131" t="inlineStr">
        <is>
          <t>24</t>
        </is>
      </c>
      <c r="K43" s="131" t="inlineStr">
        <is>
          <t>K.9999</t>
        </is>
      </c>
      <c r="L43" s="132">
        <f>"Đắp nền đường công vụ nhánh 6 lớp số "&amp;M43</f>
        <v/>
      </c>
      <c r="M43" s="132" t="n">
        <v>25</v>
      </c>
      <c r="N43" s="132" t="inlineStr">
        <is>
          <t>Km0+0 -:- 9(Km0+89.62)</t>
        </is>
      </c>
      <c r="O43" s="133" t="inlineStr">
        <is>
          <t>Cầu Km19+529.080</t>
        </is>
      </c>
      <c r="P43" s="134">
        <f>+S39</f>
        <v/>
      </c>
      <c r="Q43" s="134">
        <f>+P43+1</f>
        <v/>
      </c>
      <c r="R43" s="134">
        <f>+Q43-1</f>
        <v/>
      </c>
      <c r="S43" s="134">
        <f>+Q43</f>
        <v/>
      </c>
      <c r="T43" s="135" t="n">
        <v>0.3541666666666667</v>
      </c>
      <c r="U43" s="135">
        <f>+T43+V43</f>
        <v/>
      </c>
      <c r="V43" s="135" t="n">
        <v>0.01041666666666667</v>
      </c>
      <c r="W43" s="136">
        <f>TEXT(T43,"HH""h""MM'")&amp;"÷"&amp;TEXT(U43,"HH""h""MM'")</f>
        <v/>
      </c>
      <c r="X43" s="136" t="n"/>
      <c r="Y43" s="136" t="n"/>
      <c r="Z43" s="137" t="inlineStr">
        <is>
          <t>01A;</t>
        </is>
      </c>
      <c r="AA43" s="136">
        <f>+L43</f>
        <v/>
      </c>
      <c r="AB43" s="136" t="inlineStr">
        <is>
          <t>09-XL-307HG/PYCNT/MB-ĐCV-3</t>
        </is>
      </c>
      <c r="AC43" s="136" t="inlineStr">
        <is>
          <t>09-XL-307HG/PYCNT/MB-ĐCV-3</t>
        </is>
      </c>
      <c r="AD43" s="136" t="n"/>
      <c r="AE43" s="136" t="n"/>
      <c r="AF43" s="136" t="n"/>
      <c r="AG43" s="136" t="n"/>
      <c r="AH43" s="136" t="n"/>
      <c r="AI43" s="132" t="n"/>
      <c r="AJ43" s="136" t="n"/>
      <c r="AK43" s="133" t="n"/>
      <c r="AL43" s="136" t="n"/>
      <c r="AM43" s="136" t="n"/>
      <c r="AN43" s="136" t="n"/>
      <c r="AO43" s="136" t="n"/>
      <c r="AP43" s="138" t="n"/>
      <c r="AQ43" s="138" t="n"/>
      <c r="AR43" s="136" t="inlineStr">
        <is>
          <t>Nhóm 1</t>
        </is>
      </c>
      <c r="AS43" s="136" t="n"/>
      <c r="AT43" s="136" t="inlineStr">
        <is>
          <t>HM02</t>
        </is>
      </c>
      <c r="AU43" s="136" t="inlineStr">
        <is>
          <t>NTCV</t>
        </is>
      </c>
      <c r="AV43" s="136" t="n">
        <v>7</v>
      </c>
      <c r="AW43" s="136" t="n">
        <v>7</v>
      </c>
      <c r="AX43" s="136" t="n"/>
    </row>
    <row r="44" ht="28" customFormat="1" customHeight="1" s="107">
      <c r="A44" s="105" t="inlineStr">
        <is>
          <t>BBK371</t>
        </is>
      </c>
      <c r="B44" s="105" t="inlineStr">
        <is>
          <t>KTHH_DAP</t>
        </is>
      </c>
      <c r="C44" s="105" t="inlineStr">
        <is>
          <t>BBK371.0695115</t>
        </is>
      </c>
      <c r="D44" s="106" t="n"/>
      <c r="E44" s="106" t="n"/>
      <c r="F44" s="106" t="n"/>
      <c r="G44" s="106" t="n"/>
      <c r="H44" s="106" t="n"/>
      <c r="J44" s="108" t="inlineStr">
        <is>
          <t>25</t>
        </is>
      </c>
      <c r="K44" s="108" t="inlineStr">
        <is>
          <t>KTHH_DAP</t>
        </is>
      </c>
      <c r="L44" s="109">
        <f>L43</f>
        <v/>
      </c>
      <c r="M44" s="109">
        <f>+M43</f>
        <v/>
      </c>
      <c r="N44" s="109" t="inlineStr">
        <is>
          <t>Km0+0 -:- 9(Km0+89.62)</t>
        </is>
      </c>
      <c r="O44" s="110" t="inlineStr">
        <is>
          <t>Cầu Km19+529.080</t>
        </is>
      </c>
      <c r="P44" s="111" t="n"/>
      <c r="Q44" s="111" t="n"/>
      <c r="R44" s="111" t="n"/>
      <c r="S44" s="111">
        <f>+S43</f>
        <v/>
      </c>
      <c r="T44" s="112" t="n"/>
      <c r="U44" s="112" t="n"/>
      <c r="V44" s="112" t="n"/>
      <c r="W44" s="113" t="n"/>
      <c r="X44" s="113" t="n"/>
      <c r="Y44" s="113" t="n"/>
      <c r="Z44" s="113" t="n"/>
      <c r="AA44" s="113" t="n"/>
      <c r="AB44" s="113" t="n"/>
      <c r="AC44" s="113">
        <f>AC43</f>
        <v/>
      </c>
      <c r="AD44" s="113" t="n"/>
      <c r="AE44" s="113" t="n"/>
      <c r="AF44" s="113" t="n"/>
      <c r="AG44" s="113" t="inlineStr">
        <is>
          <t>DAPNEN_DCV6</t>
        </is>
      </c>
      <c r="AH44" s="113" t="inlineStr">
        <is>
          <t>&gt;=1;&lt;=19</t>
        </is>
      </c>
      <c r="AI44" s="109" t="n"/>
      <c r="AJ44" s="113" t="n"/>
      <c r="AK44" s="110" t="n"/>
      <c r="AL44" s="113" t="n"/>
      <c r="AM44" s="113" t="n"/>
      <c r="AN44" s="113" t="n"/>
      <c r="AO44" s="113" t="n"/>
      <c r="AP44" s="115" t="n"/>
      <c r="AQ44" s="115" t="inlineStr">
        <is>
          <t>Ảnh\dapnendcv.png</t>
        </is>
      </c>
      <c r="AR44" s="113" t="inlineStr">
        <is>
          <t>Nhóm 1</t>
        </is>
      </c>
      <c r="AS44" s="113" t="n"/>
      <c r="AT44" s="113" t="inlineStr">
        <is>
          <t>HM02</t>
        </is>
      </c>
      <c r="AU44" s="113" t="inlineStr">
        <is>
          <t>KTHH_DAP</t>
        </is>
      </c>
      <c r="AV44" s="113" t="n">
        <v>5</v>
      </c>
      <c r="AW44" s="113" t="n">
        <v>5</v>
      </c>
      <c r="AX44" s="113" t="n"/>
    </row>
    <row r="45" customFormat="1" s="107">
      <c r="A45" s="105" t="inlineStr">
        <is>
          <t>BBK957</t>
        </is>
      </c>
      <c r="B45" s="105" t="inlineStr">
        <is>
          <t>PLKL01</t>
        </is>
      </c>
      <c r="C45" s="105" t="inlineStr">
        <is>
          <t>BBK957.0980003</t>
        </is>
      </c>
      <c r="D45" s="106" t="n"/>
      <c r="E45" s="106" t="n"/>
      <c r="F45" s="106" t="n"/>
      <c r="G45" s="106" t="n"/>
      <c r="H45" s="106" t="n"/>
      <c r="J45" s="108" t="inlineStr">
        <is>
          <t>26</t>
        </is>
      </c>
      <c r="K45" s="108" t="inlineStr">
        <is>
          <t>PLKL01</t>
        </is>
      </c>
      <c r="L45" s="109">
        <f>+L44</f>
        <v/>
      </c>
      <c r="M45" s="109">
        <f>+M44</f>
        <v/>
      </c>
      <c r="N45" s="109">
        <f>+N44</f>
        <v/>
      </c>
      <c r="O45" s="110">
        <f>+O44</f>
        <v/>
      </c>
      <c r="P45" s="111" t="n"/>
      <c r="Q45" s="111" t="n"/>
      <c r="R45" s="111" t="n"/>
      <c r="S45" s="111">
        <f>+S44</f>
        <v/>
      </c>
      <c r="T45" s="112" t="n"/>
      <c r="U45" s="112" t="n"/>
      <c r="V45" s="112" t="n"/>
      <c r="W45" s="113" t="n"/>
      <c r="X45" s="113" t="n"/>
      <c r="Y45" s="113" t="n"/>
      <c r="Z45" s="113" t="n"/>
      <c r="AA45" s="113" t="n"/>
      <c r="AB45" s="113" t="n"/>
      <c r="AC45" s="113" t="n"/>
      <c r="AD45" s="113" t="n"/>
      <c r="AE45" s="113" t="n"/>
      <c r="AF45" s="113" t="n"/>
      <c r="AG45" s="113">
        <f>+AG44</f>
        <v/>
      </c>
      <c r="AH45" s="113" t="inlineStr">
        <is>
          <t>&gt;=38;&lt;=56</t>
        </is>
      </c>
      <c r="AI45" s="109" t="n"/>
      <c r="AJ45" s="113" t="n"/>
      <c r="AK45" s="110" t="n"/>
      <c r="AL45" s="113" t="n"/>
      <c r="AM45" s="113" t="n"/>
      <c r="AN45" s="113" t="n"/>
      <c r="AO45" s="113" t="n"/>
      <c r="AP45" s="115" t="n"/>
      <c r="AQ45" s="115" t="n"/>
      <c r="AR45" s="113" t="inlineStr">
        <is>
          <t>Nhóm 1</t>
        </is>
      </c>
      <c r="AS45" s="113" t="n"/>
      <c r="AT45" s="113" t="inlineStr">
        <is>
          <t>HM02</t>
        </is>
      </c>
      <c r="AU45" s="113" t="inlineStr">
        <is>
          <t>PLKL01</t>
        </is>
      </c>
      <c r="AV45" s="113" t="n">
        <v>7</v>
      </c>
      <c r="AW45" s="113" t="n">
        <v>7</v>
      </c>
      <c r="AX45" s="113" t="n"/>
    </row>
    <row r="46" customFormat="1" s="107">
      <c r="A46" s="105" t="inlineStr">
        <is>
          <t>NTCV</t>
        </is>
      </c>
      <c r="B46" s="105" t="inlineStr">
        <is>
          <t>K.9999</t>
        </is>
      </c>
      <c r="C46" s="105" t="inlineStr">
        <is>
          <t>NTCV.0243931</t>
        </is>
      </c>
      <c r="D46" s="106" t="n"/>
      <c r="E46" s="106" t="n"/>
      <c r="F46" s="106" t="n"/>
      <c r="G46" s="106" t="n"/>
      <c r="H46" s="106" t="n"/>
      <c r="J46" s="147" t="inlineStr">
        <is>
          <t>27</t>
        </is>
      </c>
      <c r="K46" s="147" t="inlineStr">
        <is>
          <t>K.9999</t>
        </is>
      </c>
      <c r="L46" s="148">
        <f>"Đắp nền đường công vụ nhánh 6 lớp số "&amp;M46</f>
        <v/>
      </c>
      <c r="M46" s="148" t="n">
        <v>24</v>
      </c>
      <c r="N46" s="148" t="inlineStr">
        <is>
          <t>Km0+0 -:- 9(Km0+89.62)</t>
        </is>
      </c>
      <c r="O46" s="149" t="inlineStr">
        <is>
          <t>Cầu Km19+529.080</t>
        </is>
      </c>
      <c r="P46" s="134">
        <f>+P43</f>
        <v/>
      </c>
      <c r="Q46" s="134">
        <f>+P46+1</f>
        <v/>
      </c>
      <c r="R46" s="134">
        <f>+Q46-1</f>
        <v/>
      </c>
      <c r="S46" s="134">
        <f>+Q46</f>
        <v/>
      </c>
      <c r="T46" s="135">
        <f>U43+TIME(,10,)</f>
        <v/>
      </c>
      <c r="U46" s="135">
        <f>+T46+V46</f>
        <v/>
      </c>
      <c r="V46" s="135" t="n">
        <v>0.01041666666666667</v>
      </c>
      <c r="W46" s="121">
        <f>TEXT(T46,"HH""h""MM'")&amp;"÷"&amp;TEXT(U46,"HH""h""MM'")</f>
        <v/>
      </c>
      <c r="X46" s="150" t="n"/>
      <c r="Y46" s="150" t="n"/>
      <c r="Z46" s="137" t="inlineStr">
        <is>
          <t>01A;</t>
        </is>
      </c>
      <c r="AA46" s="136">
        <f>+L46</f>
        <v/>
      </c>
      <c r="AB46" s="136">
        <f>+AB43</f>
        <v/>
      </c>
      <c r="AC46" s="150">
        <f>+AC43</f>
        <v/>
      </c>
      <c r="AD46" s="150" t="n"/>
      <c r="AE46" s="150" t="n"/>
      <c r="AF46" s="150" t="n"/>
      <c r="AG46" s="150" t="n"/>
      <c r="AH46" s="150" t="n"/>
      <c r="AI46" s="148" t="n"/>
      <c r="AJ46" s="150" t="n"/>
      <c r="AK46" s="149" t="n"/>
      <c r="AL46" s="150" t="n"/>
      <c r="AM46" s="150" t="n"/>
      <c r="AN46" s="150" t="n"/>
      <c r="AO46" s="150" t="n"/>
      <c r="AP46" s="151" t="n"/>
      <c r="AQ46" s="151" t="n"/>
      <c r="AR46" s="150" t="inlineStr">
        <is>
          <t>Nhóm 1</t>
        </is>
      </c>
      <c r="AS46" s="150" t="n"/>
      <c r="AT46" s="150" t="inlineStr">
        <is>
          <t>HM02</t>
        </is>
      </c>
      <c r="AU46" s="150" t="inlineStr">
        <is>
          <t>NTCV</t>
        </is>
      </c>
      <c r="AV46" s="150" t="n">
        <v>8</v>
      </c>
      <c r="AW46" s="150" t="n">
        <v>8</v>
      </c>
      <c r="AX46" s="150" t="n"/>
    </row>
    <row r="47" ht="28" customFormat="1" customHeight="1" s="107">
      <c r="A47" s="105" t="inlineStr">
        <is>
          <t>BBK371</t>
        </is>
      </c>
      <c r="B47" s="105" t="inlineStr">
        <is>
          <t>KTHH_DAP</t>
        </is>
      </c>
      <c r="C47" s="105" t="inlineStr">
        <is>
          <t>BBK371.0533873</t>
        </is>
      </c>
      <c r="D47" s="106" t="n"/>
      <c r="E47" s="106" t="n"/>
      <c r="F47" s="106" t="n"/>
      <c r="G47" s="106" t="n"/>
      <c r="H47" s="106" t="n"/>
      <c r="J47" s="108" t="inlineStr">
        <is>
          <t>28</t>
        </is>
      </c>
      <c r="K47" s="108" t="inlineStr">
        <is>
          <t>KTHH_DAP</t>
        </is>
      </c>
      <c r="L47" s="109">
        <f>L46</f>
        <v/>
      </c>
      <c r="M47" s="109">
        <f>+M46</f>
        <v/>
      </c>
      <c r="N47" s="109" t="inlineStr">
        <is>
          <t>Km0+0 -:- 9(Km0+89.62)</t>
        </is>
      </c>
      <c r="O47" s="110" t="inlineStr">
        <is>
          <t>Cầu Km19+529.080</t>
        </is>
      </c>
      <c r="P47" s="111" t="n"/>
      <c r="Q47" s="111" t="n"/>
      <c r="R47" s="111" t="n"/>
      <c r="S47" s="111">
        <f>+S46</f>
        <v/>
      </c>
      <c r="T47" s="112" t="n"/>
      <c r="U47" s="112" t="n"/>
      <c r="V47" s="112" t="n"/>
      <c r="W47" s="113" t="n"/>
      <c r="X47" s="113" t="n"/>
      <c r="Y47" s="113" t="n"/>
      <c r="Z47" s="113" t="n"/>
      <c r="AA47" s="113" t="n"/>
      <c r="AB47" s="113" t="n"/>
      <c r="AC47" s="113">
        <f>+AC46</f>
        <v/>
      </c>
      <c r="AD47" s="113" t="n"/>
      <c r="AE47" s="113" t="n"/>
      <c r="AF47" s="113" t="n"/>
      <c r="AG47" s="113" t="inlineStr">
        <is>
          <t>DAPNEN_DCV6</t>
        </is>
      </c>
      <c r="AH47" s="113" t="inlineStr">
        <is>
          <t>&gt;=1;&lt;=19</t>
        </is>
      </c>
      <c r="AI47" s="109" t="n"/>
      <c r="AJ47" s="113" t="n"/>
      <c r="AK47" s="110" t="n"/>
      <c r="AL47" s="113" t="n"/>
      <c r="AM47" s="113" t="n"/>
      <c r="AN47" s="113" t="n"/>
      <c r="AO47" s="113" t="n"/>
      <c r="AP47" s="115" t="n"/>
      <c r="AQ47" s="115" t="inlineStr">
        <is>
          <t>Ảnh\dapnendcv.png</t>
        </is>
      </c>
      <c r="AR47" s="113" t="inlineStr">
        <is>
          <t>Nhóm 1</t>
        </is>
      </c>
      <c r="AS47" s="113" t="n"/>
      <c r="AT47" s="113" t="inlineStr">
        <is>
          <t>HM02</t>
        </is>
      </c>
      <c r="AU47" s="113" t="inlineStr">
        <is>
          <t>KTHH_DAP</t>
        </is>
      </c>
      <c r="AV47" s="113" t="n">
        <v>6</v>
      </c>
      <c r="AW47" s="113" t="n">
        <v>6</v>
      </c>
      <c r="AX47" s="113" t="n"/>
    </row>
    <row r="48" customFormat="1" s="107">
      <c r="A48" s="105" t="inlineStr">
        <is>
          <t>BBK957</t>
        </is>
      </c>
      <c r="B48" s="105" t="inlineStr">
        <is>
          <t>PLKL01</t>
        </is>
      </c>
      <c r="C48" s="105" t="inlineStr">
        <is>
          <t>BBK957.0106369</t>
        </is>
      </c>
      <c r="D48" s="106" t="n"/>
      <c r="E48" s="106" t="n"/>
      <c r="F48" s="106" t="n"/>
      <c r="G48" s="106" t="n"/>
      <c r="H48" s="106" t="n"/>
      <c r="J48" s="108" t="inlineStr">
        <is>
          <t>29</t>
        </is>
      </c>
      <c r="K48" s="108" t="inlineStr">
        <is>
          <t>PLKL01</t>
        </is>
      </c>
      <c r="L48" s="109">
        <f>+L47</f>
        <v/>
      </c>
      <c r="M48" s="109">
        <f>+M47</f>
        <v/>
      </c>
      <c r="N48" s="109">
        <f>+N47</f>
        <v/>
      </c>
      <c r="O48" s="110">
        <f>+O47</f>
        <v/>
      </c>
      <c r="P48" s="111" t="n"/>
      <c r="Q48" s="111" t="n"/>
      <c r="R48" s="111" t="n"/>
      <c r="S48" s="111">
        <f>+S47</f>
        <v/>
      </c>
      <c r="T48" s="112" t="n"/>
      <c r="U48" s="112" t="n"/>
      <c r="V48" s="112" t="n"/>
      <c r="W48" s="113" t="n"/>
      <c r="X48" s="113" t="n"/>
      <c r="Y48" s="113" t="n"/>
      <c r="Z48" s="113" t="n"/>
      <c r="AA48" s="113" t="n"/>
      <c r="AB48" s="113" t="n"/>
      <c r="AC48" s="113" t="n"/>
      <c r="AD48" s="113" t="n"/>
      <c r="AE48" s="113" t="n"/>
      <c r="AF48" s="113" t="n"/>
      <c r="AG48" s="113">
        <f>+AG47</f>
        <v/>
      </c>
      <c r="AH48" s="113" t="inlineStr">
        <is>
          <t>&gt;=38;&lt;=56</t>
        </is>
      </c>
      <c r="AI48" s="109" t="n"/>
      <c r="AJ48" s="113" t="n"/>
      <c r="AK48" s="110" t="n"/>
      <c r="AL48" s="113" t="n"/>
      <c r="AM48" s="113" t="n"/>
      <c r="AN48" s="113" t="n"/>
      <c r="AO48" s="113" t="n"/>
      <c r="AP48" s="115" t="n"/>
      <c r="AQ48" s="115" t="n"/>
      <c r="AR48" s="113" t="inlineStr">
        <is>
          <t>Nhóm 1</t>
        </is>
      </c>
      <c r="AS48" s="113" t="n"/>
      <c r="AT48" s="113" t="inlineStr">
        <is>
          <t>HM02</t>
        </is>
      </c>
      <c r="AU48" s="113" t="inlineStr">
        <is>
          <t>PLKL01</t>
        </is>
      </c>
      <c r="AV48" s="113" t="n">
        <v>8</v>
      </c>
      <c r="AW48" s="113" t="n">
        <v>8</v>
      </c>
      <c r="AX48" s="113" t="n"/>
    </row>
    <row r="49" customFormat="1" s="107">
      <c r="A49" s="105" t="inlineStr">
        <is>
          <t>NTCV</t>
        </is>
      </c>
      <c r="B49" s="105" t="inlineStr">
        <is>
          <t>K.9999</t>
        </is>
      </c>
      <c r="C49" s="105" t="inlineStr">
        <is>
          <t>NTCV.0999414</t>
        </is>
      </c>
      <c r="D49" s="106" t="n"/>
      <c r="E49" s="106" t="n"/>
      <c r="F49" s="106" t="n"/>
      <c r="G49" s="106" t="n"/>
      <c r="H49" s="106" t="n"/>
      <c r="J49" s="147" t="inlineStr">
        <is>
          <t>30</t>
        </is>
      </c>
      <c r="K49" s="147" t="inlineStr">
        <is>
          <t>K.9999</t>
        </is>
      </c>
      <c r="L49" s="148">
        <f>"Đắp nền đường công vụ nhánh 6 lớp số "&amp;M49</f>
        <v/>
      </c>
      <c r="M49" s="148" t="n">
        <v>23</v>
      </c>
      <c r="N49" s="148" t="inlineStr">
        <is>
          <t>Km0+0 -:- 9(Km0+89.62)</t>
        </is>
      </c>
      <c r="O49" s="149" t="inlineStr">
        <is>
          <t>Cầu Km19+529.080</t>
        </is>
      </c>
      <c r="P49" s="134">
        <f>+P46</f>
        <v/>
      </c>
      <c r="Q49" s="134">
        <f>+P49+1</f>
        <v/>
      </c>
      <c r="R49" s="134">
        <f>+Q49-1</f>
        <v/>
      </c>
      <c r="S49" s="134">
        <f>+Q49</f>
        <v/>
      </c>
      <c r="T49" s="135">
        <f>U46+TIME(,10,)</f>
        <v/>
      </c>
      <c r="U49" s="135">
        <f>+T49+V49</f>
        <v/>
      </c>
      <c r="V49" s="135" t="n">
        <v>0.01041666666666667</v>
      </c>
      <c r="W49" s="121">
        <f>TEXT(T49,"HH""h""MM'")&amp;"÷"&amp;TEXT(U49,"HH""h""MM'")</f>
        <v/>
      </c>
      <c r="X49" s="150" t="n"/>
      <c r="Y49" s="150" t="n"/>
      <c r="Z49" s="137" t="inlineStr">
        <is>
          <t>01A;</t>
        </is>
      </c>
      <c r="AA49" s="136">
        <f>+L49</f>
        <v/>
      </c>
      <c r="AB49" s="136">
        <f>+AB46</f>
        <v/>
      </c>
      <c r="AC49" s="150">
        <f>+AC46</f>
        <v/>
      </c>
      <c r="AD49" s="150" t="n"/>
      <c r="AE49" s="150" t="n"/>
      <c r="AF49" s="150" t="n"/>
      <c r="AG49" s="150" t="n"/>
      <c r="AH49" s="150" t="n"/>
      <c r="AI49" s="148" t="n"/>
      <c r="AJ49" s="150" t="n"/>
      <c r="AK49" s="149" t="n"/>
      <c r="AL49" s="150" t="n"/>
      <c r="AM49" s="150" t="n"/>
      <c r="AN49" s="150" t="n"/>
      <c r="AO49" s="150" t="n"/>
      <c r="AP49" s="151" t="n"/>
      <c r="AQ49" s="151" t="n"/>
      <c r="AR49" s="150" t="inlineStr">
        <is>
          <t>Nhóm 1</t>
        </is>
      </c>
      <c r="AS49" s="150" t="n"/>
      <c r="AT49" s="150" t="inlineStr">
        <is>
          <t>HM02</t>
        </is>
      </c>
      <c r="AU49" s="150" t="inlineStr">
        <is>
          <t>NTCV</t>
        </is>
      </c>
      <c r="AV49" s="150" t="n">
        <v>9</v>
      </c>
      <c r="AW49" s="150" t="n">
        <v>9</v>
      </c>
      <c r="AX49" s="150" t="n"/>
    </row>
    <row r="50" ht="28" customFormat="1" customHeight="1" s="107">
      <c r="A50" s="105" t="inlineStr">
        <is>
          <t>BBK371</t>
        </is>
      </c>
      <c r="B50" s="105" t="inlineStr">
        <is>
          <t>KTHH_DAP</t>
        </is>
      </c>
      <c r="C50" s="105" t="inlineStr">
        <is>
          <t>BBK371.0676175</t>
        </is>
      </c>
      <c r="D50" s="106" t="n"/>
      <c r="E50" s="106" t="n"/>
      <c r="F50" s="106" t="n"/>
      <c r="G50" s="106" t="n"/>
      <c r="H50" s="106" t="n"/>
      <c r="J50" s="108" t="inlineStr">
        <is>
          <t>31</t>
        </is>
      </c>
      <c r="K50" s="108" t="inlineStr">
        <is>
          <t>KTHH_DAP</t>
        </is>
      </c>
      <c r="L50" s="109">
        <f>L49</f>
        <v/>
      </c>
      <c r="M50" s="109">
        <f>+M49</f>
        <v/>
      </c>
      <c r="N50" s="109" t="inlineStr">
        <is>
          <t>Km0+0 -:- 9(Km0+89.62)</t>
        </is>
      </c>
      <c r="O50" s="110" t="inlineStr">
        <is>
          <t>Cầu Km19+529.080</t>
        </is>
      </c>
      <c r="P50" s="111" t="n"/>
      <c r="Q50" s="111" t="n"/>
      <c r="R50" s="111" t="n"/>
      <c r="S50" s="111">
        <f>+S49</f>
        <v/>
      </c>
      <c r="T50" s="112" t="n"/>
      <c r="U50" s="112" t="n"/>
      <c r="V50" s="112" t="n"/>
      <c r="W50" s="113" t="n"/>
      <c r="X50" s="113" t="n"/>
      <c r="Y50" s="113" t="n"/>
      <c r="Z50" s="113" t="n"/>
      <c r="AA50" s="113" t="n"/>
      <c r="AB50" s="113" t="n"/>
      <c r="AC50" s="113">
        <f>+AC49</f>
        <v/>
      </c>
      <c r="AD50" s="113" t="n"/>
      <c r="AE50" s="113" t="n"/>
      <c r="AF50" s="113" t="n"/>
      <c r="AG50" s="113" t="inlineStr">
        <is>
          <t>DAPNEN_DCV6</t>
        </is>
      </c>
      <c r="AH50" s="113" t="inlineStr">
        <is>
          <t>&gt;=1;&lt;=19</t>
        </is>
      </c>
      <c r="AI50" s="109" t="n"/>
      <c r="AJ50" s="113" t="n"/>
      <c r="AK50" s="110" t="n"/>
      <c r="AL50" s="113" t="n"/>
      <c r="AM50" s="113" t="n"/>
      <c r="AN50" s="113" t="n"/>
      <c r="AO50" s="113" t="n"/>
      <c r="AP50" s="115" t="n"/>
      <c r="AQ50" s="115" t="inlineStr">
        <is>
          <t>Ảnh\dapnendcv.png</t>
        </is>
      </c>
      <c r="AR50" s="113" t="inlineStr">
        <is>
          <t>Nhóm 1</t>
        </is>
      </c>
      <c r="AS50" s="113" t="n"/>
      <c r="AT50" s="113" t="inlineStr">
        <is>
          <t>HM02</t>
        </is>
      </c>
      <c r="AU50" s="113" t="inlineStr">
        <is>
          <t>KTHH_DAP</t>
        </is>
      </c>
      <c r="AV50" s="113" t="n">
        <v>7</v>
      </c>
      <c r="AW50" s="113" t="n">
        <v>7</v>
      </c>
      <c r="AX50" s="113" t="n"/>
    </row>
    <row r="51" customFormat="1" s="107">
      <c r="A51" s="105" t="inlineStr">
        <is>
          <t>BBK957</t>
        </is>
      </c>
      <c r="B51" s="105" t="inlineStr">
        <is>
          <t>PLKL01</t>
        </is>
      </c>
      <c r="C51" s="105" t="inlineStr">
        <is>
          <t>BBK957.0015703</t>
        </is>
      </c>
      <c r="D51" s="106" t="n"/>
      <c r="E51" s="106" t="n"/>
      <c r="F51" s="106" t="n"/>
      <c r="G51" s="106" t="n"/>
      <c r="H51" s="106" t="n"/>
      <c r="J51" s="108" t="inlineStr">
        <is>
          <t>32</t>
        </is>
      </c>
      <c r="K51" s="108" t="inlineStr">
        <is>
          <t>PLKL01</t>
        </is>
      </c>
      <c r="L51" s="109">
        <f>+L50</f>
        <v/>
      </c>
      <c r="M51" s="109">
        <f>+M50</f>
        <v/>
      </c>
      <c r="N51" s="109">
        <f>+N50</f>
        <v/>
      </c>
      <c r="O51" s="110">
        <f>+O50</f>
        <v/>
      </c>
      <c r="P51" s="111" t="n"/>
      <c r="Q51" s="111" t="n"/>
      <c r="R51" s="111" t="n"/>
      <c r="S51" s="111">
        <f>+S50</f>
        <v/>
      </c>
      <c r="T51" s="112" t="n"/>
      <c r="U51" s="112" t="n"/>
      <c r="V51" s="112" t="n"/>
      <c r="W51" s="113" t="n"/>
      <c r="X51" s="113" t="n"/>
      <c r="Y51" s="113" t="n"/>
      <c r="Z51" s="113" t="n"/>
      <c r="AA51" s="113" t="n"/>
      <c r="AB51" s="113" t="n"/>
      <c r="AC51" s="113" t="n"/>
      <c r="AD51" s="113" t="n"/>
      <c r="AE51" s="113" t="n"/>
      <c r="AF51" s="113" t="n"/>
      <c r="AG51" s="113">
        <f>+AG50</f>
        <v/>
      </c>
      <c r="AH51" s="113" t="inlineStr">
        <is>
          <t>&gt;=38;&lt;=56</t>
        </is>
      </c>
      <c r="AI51" s="109" t="n"/>
      <c r="AJ51" s="113" t="n"/>
      <c r="AK51" s="110" t="n"/>
      <c r="AL51" s="113" t="n"/>
      <c r="AM51" s="113" t="n"/>
      <c r="AN51" s="113" t="n"/>
      <c r="AO51" s="113" t="n"/>
      <c r="AP51" s="115" t="n"/>
      <c r="AQ51" s="115" t="n"/>
      <c r="AR51" s="113" t="inlineStr">
        <is>
          <t>Nhóm 1</t>
        </is>
      </c>
      <c r="AS51" s="113" t="n"/>
      <c r="AT51" s="113" t="inlineStr">
        <is>
          <t>HM02</t>
        </is>
      </c>
      <c r="AU51" s="113" t="inlineStr">
        <is>
          <t>PLKL01</t>
        </is>
      </c>
      <c r="AV51" s="113" t="n">
        <v>9</v>
      </c>
      <c r="AW51" s="113" t="n">
        <v>9</v>
      </c>
      <c r="AX51" s="113" t="n"/>
    </row>
    <row r="52" customFormat="1" s="107">
      <c r="A52" s="105" t="inlineStr">
        <is>
          <t>NTCV</t>
        </is>
      </c>
      <c r="B52" s="105" t="inlineStr">
        <is>
          <t>K.9999</t>
        </is>
      </c>
      <c r="C52" s="105" t="inlineStr">
        <is>
          <t>NTCV.0575183</t>
        </is>
      </c>
      <c r="D52" s="106" t="n"/>
      <c r="E52" s="106" t="n"/>
      <c r="F52" s="106" t="n"/>
      <c r="G52" s="106" t="n"/>
      <c r="H52" s="106" t="n"/>
      <c r="J52" s="147" t="inlineStr">
        <is>
          <t>33</t>
        </is>
      </c>
      <c r="K52" s="147" t="inlineStr">
        <is>
          <t>K.9999</t>
        </is>
      </c>
      <c r="L52" s="148">
        <f>"Đắp nền đường công vụ nhánh 6 lớp số "&amp;M52</f>
        <v/>
      </c>
      <c r="M52" s="148" t="n">
        <v>22</v>
      </c>
      <c r="N52" s="148" t="inlineStr">
        <is>
          <t>Km0+0 -:- 9(Km0+89.62)</t>
        </is>
      </c>
      <c r="O52" s="149" t="inlineStr">
        <is>
          <t>Cầu Km19+529.080</t>
        </is>
      </c>
      <c r="P52" s="134">
        <f>+P49</f>
        <v/>
      </c>
      <c r="Q52" s="134">
        <f>+P52+1</f>
        <v/>
      </c>
      <c r="R52" s="134">
        <f>+Q52-1</f>
        <v/>
      </c>
      <c r="S52" s="134">
        <f>+Q52</f>
        <v/>
      </c>
      <c r="T52" s="135">
        <f>U49+TIME(,10,)</f>
        <v/>
      </c>
      <c r="U52" s="135">
        <f>+T52+V52</f>
        <v/>
      </c>
      <c r="V52" s="135" t="n">
        <v>0.01041666666666667</v>
      </c>
      <c r="W52" s="121">
        <f>TEXT(T52,"HH""h""MM'")&amp;"÷"&amp;TEXT(U52,"HH""h""MM'")</f>
        <v/>
      </c>
      <c r="X52" s="150" t="n"/>
      <c r="Y52" s="150" t="n"/>
      <c r="Z52" s="137" t="inlineStr">
        <is>
          <t>01A;</t>
        </is>
      </c>
      <c r="AA52" s="136">
        <f>+L52</f>
        <v/>
      </c>
      <c r="AB52" s="136">
        <f>+AB49</f>
        <v/>
      </c>
      <c r="AC52" s="150">
        <f>+AC49</f>
        <v/>
      </c>
      <c r="AD52" s="150" t="n"/>
      <c r="AE52" s="150" t="n"/>
      <c r="AF52" s="150" t="n"/>
      <c r="AG52" s="150" t="n"/>
      <c r="AH52" s="150" t="n"/>
      <c r="AI52" s="148" t="n"/>
      <c r="AJ52" s="150" t="n"/>
      <c r="AK52" s="149" t="n"/>
      <c r="AL52" s="150" t="n"/>
      <c r="AM52" s="150" t="n"/>
      <c r="AN52" s="150" t="n"/>
      <c r="AO52" s="150" t="n"/>
      <c r="AP52" s="151" t="n"/>
      <c r="AQ52" s="151" t="n"/>
      <c r="AR52" s="150" t="inlineStr">
        <is>
          <t>Nhóm 1</t>
        </is>
      </c>
      <c r="AS52" s="150" t="n"/>
      <c r="AT52" s="150" t="inlineStr">
        <is>
          <t>HM02</t>
        </is>
      </c>
      <c r="AU52" s="150" t="inlineStr">
        <is>
          <t>NTCV</t>
        </is>
      </c>
      <c r="AV52" s="150" t="n">
        <v>10</v>
      </c>
      <c r="AW52" s="150" t="n">
        <v>10</v>
      </c>
      <c r="AX52" s="150" t="n"/>
    </row>
    <row r="53" ht="28" customFormat="1" customHeight="1" s="107">
      <c r="A53" s="105" t="inlineStr">
        <is>
          <t>BBK371</t>
        </is>
      </c>
      <c r="B53" s="105" t="inlineStr">
        <is>
          <t>KTHH_DAP</t>
        </is>
      </c>
      <c r="C53" s="105" t="inlineStr">
        <is>
          <t>BBK371.0100052</t>
        </is>
      </c>
      <c r="D53" s="106" t="n"/>
      <c r="E53" s="106" t="n"/>
      <c r="F53" s="106" t="n"/>
      <c r="G53" s="106" t="n"/>
      <c r="H53" s="106" t="n"/>
      <c r="J53" s="124" t="inlineStr">
        <is>
          <t>34</t>
        </is>
      </c>
      <c r="K53" s="124" t="inlineStr">
        <is>
          <t>KTHH_DAP</t>
        </is>
      </c>
      <c r="L53" s="125">
        <f>L52</f>
        <v/>
      </c>
      <c r="M53" s="125">
        <f>+M52</f>
        <v/>
      </c>
      <c r="N53" s="125" t="inlineStr">
        <is>
          <t>Km0+0 -:- 9(Km0+89.62)</t>
        </is>
      </c>
      <c r="O53" s="126" t="inlineStr">
        <is>
          <t>Cầu Km19+529.080</t>
        </is>
      </c>
      <c r="P53" s="127" t="n"/>
      <c r="Q53" s="127" t="n"/>
      <c r="R53" s="127" t="n"/>
      <c r="S53" s="127">
        <f>+S52</f>
        <v/>
      </c>
      <c r="T53" s="128" t="n"/>
      <c r="U53" s="128" t="n"/>
      <c r="V53" s="128" t="n"/>
      <c r="W53" s="129" t="n"/>
      <c r="X53" s="129" t="n"/>
      <c r="Y53" s="129" t="n"/>
      <c r="Z53" s="129" t="n"/>
      <c r="AA53" s="129" t="n"/>
      <c r="AB53" s="129" t="n"/>
      <c r="AC53" s="129">
        <f>+AC52</f>
        <v/>
      </c>
      <c r="AD53" s="129" t="n"/>
      <c r="AE53" s="129" t="n"/>
      <c r="AF53" s="129" t="n"/>
      <c r="AG53" s="129" t="inlineStr">
        <is>
          <t>DAPNEN_DCV6</t>
        </is>
      </c>
      <c r="AH53" s="129" t="inlineStr">
        <is>
          <t>&gt;=1;&lt;=19</t>
        </is>
      </c>
      <c r="AI53" s="125" t="n"/>
      <c r="AJ53" s="129" t="n"/>
      <c r="AK53" s="126" t="n"/>
      <c r="AL53" s="129" t="n"/>
      <c r="AM53" s="129" t="n"/>
      <c r="AN53" s="129" t="n"/>
      <c r="AO53" s="129" t="n"/>
      <c r="AP53" s="130" t="n"/>
      <c r="AQ53" s="130" t="inlineStr">
        <is>
          <t>Ảnh\dapnendcv.png</t>
        </is>
      </c>
      <c r="AR53" s="129" t="inlineStr">
        <is>
          <t>Nhóm 1</t>
        </is>
      </c>
      <c r="AS53" s="129" t="n"/>
      <c r="AT53" s="129" t="inlineStr">
        <is>
          <t>HM02</t>
        </is>
      </c>
      <c r="AU53" s="129" t="inlineStr">
        <is>
          <t>KTHH_DAP</t>
        </is>
      </c>
      <c r="AV53" s="129" t="n">
        <v>8</v>
      </c>
      <c r="AW53" s="129" t="n">
        <v>8</v>
      </c>
      <c r="AX53" s="129" t="n"/>
    </row>
    <row r="54" customFormat="1" s="107">
      <c r="A54" s="105" t="inlineStr">
        <is>
          <t>BBK957</t>
        </is>
      </c>
      <c r="B54" s="105" t="inlineStr">
        <is>
          <t>PLKL01</t>
        </is>
      </c>
      <c r="C54" s="105" t="inlineStr">
        <is>
          <t>BBK957.0103022</t>
        </is>
      </c>
      <c r="D54" s="106" t="n"/>
      <c r="E54" s="106" t="n"/>
      <c r="F54" s="106" t="n"/>
      <c r="G54" s="106" t="n"/>
      <c r="H54" s="106" t="n"/>
      <c r="J54" s="108" t="inlineStr">
        <is>
          <t>35</t>
        </is>
      </c>
      <c r="K54" s="108" t="inlineStr">
        <is>
          <t>PLKL01</t>
        </is>
      </c>
      <c r="L54" s="109">
        <f>+L53</f>
        <v/>
      </c>
      <c r="M54" s="109">
        <f>+M53</f>
        <v/>
      </c>
      <c r="N54" s="109">
        <f>+N53</f>
        <v/>
      </c>
      <c r="O54" s="110">
        <f>+O53</f>
        <v/>
      </c>
      <c r="P54" s="111" t="n"/>
      <c r="Q54" s="111" t="n"/>
      <c r="R54" s="111" t="n"/>
      <c r="S54" s="111">
        <f>+S53</f>
        <v/>
      </c>
      <c r="T54" s="112" t="n"/>
      <c r="U54" s="112" t="n"/>
      <c r="V54" s="112" t="n"/>
      <c r="W54" s="113" t="n"/>
      <c r="X54" s="113" t="n"/>
      <c r="Y54" s="113" t="n"/>
      <c r="Z54" s="113" t="n"/>
      <c r="AA54" s="113" t="n"/>
      <c r="AB54" s="113" t="n"/>
      <c r="AC54" s="113" t="n"/>
      <c r="AD54" s="113" t="n"/>
      <c r="AE54" s="113" t="n"/>
      <c r="AF54" s="113" t="n"/>
      <c r="AG54" s="113">
        <f>+AG53</f>
        <v/>
      </c>
      <c r="AH54" s="113" t="inlineStr">
        <is>
          <t>&gt;=38;&lt;=56</t>
        </is>
      </c>
      <c r="AI54" s="109" t="n"/>
      <c r="AJ54" s="113" t="n"/>
      <c r="AK54" s="110" t="n"/>
      <c r="AL54" s="113" t="n"/>
      <c r="AM54" s="113" t="n"/>
      <c r="AN54" s="113" t="n"/>
      <c r="AO54" s="113" t="n"/>
      <c r="AP54" s="115" t="n"/>
      <c r="AQ54" s="115" t="n"/>
      <c r="AR54" s="113" t="inlineStr">
        <is>
          <t>Nhóm 1</t>
        </is>
      </c>
      <c r="AS54" s="113" t="n"/>
      <c r="AT54" s="113" t="inlineStr">
        <is>
          <t>HM02</t>
        </is>
      </c>
      <c r="AU54" s="113" t="inlineStr">
        <is>
          <t>PLKL01</t>
        </is>
      </c>
      <c r="AV54" s="113" t="n">
        <v>10</v>
      </c>
      <c r="AW54" s="113" t="n">
        <v>10</v>
      </c>
      <c r="AX54" s="113" t="n"/>
    </row>
    <row r="55" customFormat="1" s="107">
      <c r="A55" s="105" t="inlineStr">
        <is>
          <t>BBK680</t>
        </is>
      </c>
      <c r="B55" s="105" t="inlineStr">
        <is>
          <t>PYC</t>
        </is>
      </c>
      <c r="C55" s="105" t="inlineStr">
        <is>
          <t>BBK680.0798884</t>
        </is>
      </c>
      <c r="D55" s="106" t="n"/>
      <c r="E55" s="106" t="n"/>
      <c r="F55" s="106" t="n"/>
      <c r="G55" s="106" t="n"/>
      <c r="H55" s="106" t="n"/>
      <c r="J55" s="108" t="inlineStr">
        <is>
          <t>36</t>
        </is>
      </c>
      <c r="K55" s="108" t="inlineStr">
        <is>
          <t>PYC</t>
        </is>
      </c>
      <c r="L55" s="109" t="inlineStr">
        <is>
          <t>phiếu yêu cầu</t>
        </is>
      </c>
      <c r="M55" s="109" t="n"/>
      <c r="N55" s="109" t="n"/>
      <c r="O55" s="110" t="n"/>
      <c r="P55" s="111" t="n"/>
      <c r="Q55" s="111" t="n"/>
      <c r="R55" s="111">
        <f>+R56</f>
        <v/>
      </c>
      <c r="S55" s="111">
        <f>+S56</f>
        <v/>
      </c>
      <c r="T55" s="112" t="n"/>
      <c r="U55" s="112" t="n"/>
      <c r="V55" s="112" t="n"/>
      <c r="W55" s="113" t="n"/>
      <c r="X55" s="113" t="n"/>
      <c r="Y55" s="113" t="n"/>
      <c r="Z55" s="113" t="n"/>
      <c r="AA55" s="113" t="n"/>
      <c r="AB55" s="113" t="inlineStr">
        <is>
          <t>09-XL-307HG/PYCNT/MB-ĐCV</t>
        </is>
      </c>
      <c r="AC55" s="113" t="n"/>
      <c r="AD55" s="113" t="n"/>
      <c r="AE55" s="113" t="n"/>
      <c r="AF55" s="113" t="n"/>
      <c r="AG55" s="113" t="inlineStr">
        <is>
          <t>NTCV</t>
        </is>
      </c>
      <c r="AH55" s="113" t="inlineStr">
        <is>
          <t>&gt;=11;&lt;=14</t>
        </is>
      </c>
      <c r="AI55" s="109" t="n"/>
      <c r="AJ55" s="113" t="n"/>
      <c r="AK55" s="110" t="n"/>
      <c r="AL55" s="113" t="n"/>
      <c r="AM55" s="113" t="n"/>
      <c r="AN55" s="113" t="n"/>
      <c r="AO55" s="113" t="n"/>
      <c r="AP55" s="115" t="n"/>
      <c r="AQ55" s="115" t="n"/>
      <c r="AR55" s="113" t="inlineStr">
        <is>
          <t>Nhóm 1</t>
        </is>
      </c>
      <c r="AS55" s="113" t="n"/>
      <c r="AT55" s="113" t="inlineStr">
        <is>
          <t>HM02</t>
        </is>
      </c>
      <c r="AU55" s="113" t="inlineStr">
        <is>
          <t>PYC</t>
        </is>
      </c>
      <c r="AV55" s="113" t="n">
        <v>4</v>
      </c>
      <c r="AW55" s="113" t="n">
        <v>4</v>
      </c>
      <c r="AX55" s="113" t="n"/>
    </row>
    <row r="56" customFormat="1" s="107">
      <c r="A56" s="105" t="inlineStr">
        <is>
          <t>NTCV</t>
        </is>
      </c>
      <c r="B56" s="105" t="inlineStr">
        <is>
          <t>K.9999</t>
        </is>
      </c>
      <c r="C56" s="105" t="inlineStr">
        <is>
          <t>NTCV.0284480</t>
        </is>
      </c>
      <c r="D56" s="106" t="n"/>
      <c r="E56" s="106" t="n"/>
      <c r="F56" s="106" t="n"/>
      <c r="G56" s="106" t="n"/>
      <c r="H56" s="106" t="n"/>
      <c r="J56" s="131" t="inlineStr">
        <is>
          <t>37</t>
        </is>
      </c>
      <c r="K56" s="131" t="inlineStr">
        <is>
          <t>K.9999</t>
        </is>
      </c>
      <c r="L56" s="132">
        <f>"Đắp nền đường công vụ nhánh 6 lớp số "&amp;M56</f>
        <v/>
      </c>
      <c r="M56" s="132" t="n">
        <v>21</v>
      </c>
      <c r="N56" s="132" t="inlineStr">
        <is>
          <t>Km0+0 -:- 9(Km0+89.62)</t>
        </is>
      </c>
      <c r="O56" s="133" t="inlineStr">
        <is>
          <t>Cầu Km19+529.080</t>
        </is>
      </c>
      <c r="P56" s="134">
        <f>+S52</f>
        <v/>
      </c>
      <c r="Q56" s="134">
        <f>+P56+1</f>
        <v/>
      </c>
      <c r="R56" s="134">
        <f>+Q56-1</f>
        <v/>
      </c>
      <c r="S56" s="134">
        <f>+Q56</f>
        <v/>
      </c>
      <c r="T56" s="135" t="n">
        <v>0.3541666666666667</v>
      </c>
      <c r="U56" s="135">
        <f>+T56+V56</f>
        <v/>
      </c>
      <c r="V56" s="135" t="n">
        <v>0.01041666666666667</v>
      </c>
      <c r="W56" s="136">
        <f>TEXT(T56,"HH""h""MM'")&amp;"÷"&amp;TEXT(U56,"HH""h""MM'")</f>
        <v/>
      </c>
      <c r="X56" s="136" t="n"/>
      <c r="Y56" s="136" t="n"/>
      <c r="Z56" s="137" t="inlineStr">
        <is>
          <t>01A;</t>
        </is>
      </c>
      <c r="AA56" s="136">
        <f>+L56</f>
        <v/>
      </c>
      <c r="AB56" s="136" t="inlineStr">
        <is>
          <t>09-XL-307HG/PYCNT/MB-ĐCV-4</t>
        </is>
      </c>
      <c r="AC56" s="136" t="inlineStr">
        <is>
          <t>09-XL-307HG/PYCNT/MB-ĐCV-4</t>
        </is>
      </c>
      <c r="AD56" s="136" t="n"/>
      <c r="AE56" s="136" t="n"/>
      <c r="AF56" s="136" t="n"/>
      <c r="AG56" s="136" t="n"/>
      <c r="AH56" s="136" t="n"/>
      <c r="AI56" s="132" t="n"/>
      <c r="AJ56" s="136" t="n"/>
      <c r="AK56" s="133" t="n"/>
      <c r="AL56" s="136" t="n"/>
      <c r="AM56" s="136" t="n"/>
      <c r="AN56" s="136" t="n"/>
      <c r="AO56" s="136" t="n"/>
      <c r="AP56" s="138" t="n"/>
      <c r="AQ56" s="138" t="n"/>
      <c r="AR56" s="136" t="inlineStr">
        <is>
          <t>Nhóm 1</t>
        </is>
      </c>
      <c r="AS56" s="136" t="n"/>
      <c r="AT56" s="136" t="inlineStr">
        <is>
          <t>HM02</t>
        </is>
      </c>
      <c r="AU56" s="136" t="inlineStr">
        <is>
          <t>NTCV</t>
        </is>
      </c>
      <c r="AV56" s="136" t="n">
        <v>11</v>
      </c>
      <c r="AW56" s="136" t="n">
        <v>11</v>
      </c>
      <c r="AX56" s="136" t="n"/>
    </row>
    <row r="57" ht="28" customFormat="1" customHeight="1" s="107">
      <c r="A57" s="105" t="inlineStr">
        <is>
          <t>BBK371</t>
        </is>
      </c>
      <c r="B57" s="105" t="inlineStr">
        <is>
          <t>KTHH_DAP</t>
        </is>
      </c>
      <c r="C57" s="105" t="inlineStr">
        <is>
          <t>BBK371.0045649</t>
        </is>
      </c>
      <c r="D57" s="106" t="n"/>
      <c r="E57" s="106" t="n"/>
      <c r="F57" s="106" t="n"/>
      <c r="G57" s="106" t="n"/>
      <c r="H57" s="106" t="n"/>
      <c r="J57" s="108" t="inlineStr">
        <is>
          <t>38</t>
        </is>
      </c>
      <c r="K57" s="108" t="inlineStr">
        <is>
          <t>KTHH_DAP</t>
        </is>
      </c>
      <c r="L57" s="109">
        <f>L56</f>
        <v/>
      </c>
      <c r="M57" s="109">
        <f>+M56</f>
        <v/>
      </c>
      <c r="N57" s="109" t="inlineStr">
        <is>
          <t>Km0+0 -:- 9(Km0+89.62)</t>
        </is>
      </c>
      <c r="O57" s="110" t="inlineStr">
        <is>
          <t>Cầu Km19+529.080</t>
        </is>
      </c>
      <c r="P57" s="111" t="n"/>
      <c r="Q57" s="111" t="n"/>
      <c r="R57" s="111" t="n"/>
      <c r="S57" s="111">
        <f>+S56</f>
        <v/>
      </c>
      <c r="T57" s="112" t="n"/>
      <c r="U57" s="112" t="n"/>
      <c r="V57" s="112" t="n"/>
      <c r="W57" s="113" t="n"/>
      <c r="X57" s="113" t="n"/>
      <c r="Y57" s="113" t="n"/>
      <c r="Z57" s="113" t="n"/>
      <c r="AA57" s="113" t="n"/>
      <c r="AB57" s="113" t="n"/>
      <c r="AC57" s="113">
        <f>AC56</f>
        <v/>
      </c>
      <c r="AD57" s="113" t="n"/>
      <c r="AE57" s="113" t="n"/>
      <c r="AF57" s="113" t="n"/>
      <c r="AG57" s="113" t="inlineStr">
        <is>
          <t>DAPNEN_DCV6</t>
        </is>
      </c>
      <c r="AH57" s="113" t="inlineStr">
        <is>
          <t>&gt;=1;&lt;=19</t>
        </is>
      </c>
      <c r="AI57" s="109" t="n"/>
      <c r="AJ57" s="113" t="n"/>
      <c r="AK57" s="110" t="n"/>
      <c r="AL57" s="113" t="n"/>
      <c r="AM57" s="113" t="n"/>
      <c r="AN57" s="113" t="n"/>
      <c r="AO57" s="113" t="n"/>
      <c r="AP57" s="115" t="n"/>
      <c r="AQ57" s="115" t="inlineStr">
        <is>
          <t>Ảnh\dapnendcv.png</t>
        </is>
      </c>
      <c r="AR57" s="113" t="inlineStr">
        <is>
          <t>Nhóm 1</t>
        </is>
      </c>
      <c r="AS57" s="113" t="n"/>
      <c r="AT57" s="113" t="inlineStr">
        <is>
          <t>HM02</t>
        </is>
      </c>
      <c r="AU57" s="113" t="inlineStr">
        <is>
          <t>KTHH_DAP</t>
        </is>
      </c>
      <c r="AV57" s="113" t="n">
        <v>9</v>
      </c>
      <c r="AW57" s="113" t="n">
        <v>9</v>
      </c>
      <c r="AX57" s="113" t="n"/>
    </row>
    <row r="58" customFormat="1" s="107">
      <c r="A58" s="105" t="inlineStr">
        <is>
          <t>BBK957</t>
        </is>
      </c>
      <c r="B58" s="105" t="inlineStr">
        <is>
          <t>PLKL01</t>
        </is>
      </c>
      <c r="C58" s="105" t="inlineStr">
        <is>
          <t>BBK957.0295772</t>
        </is>
      </c>
      <c r="D58" s="106" t="n"/>
      <c r="E58" s="106" t="n"/>
      <c r="F58" s="106" t="n"/>
      <c r="G58" s="106" t="n"/>
      <c r="H58" s="106" t="n"/>
      <c r="J58" s="108" t="inlineStr">
        <is>
          <t>39</t>
        </is>
      </c>
      <c r="K58" s="108" t="inlineStr">
        <is>
          <t>PLKL01</t>
        </is>
      </c>
      <c r="L58" s="109">
        <f>+L57</f>
        <v/>
      </c>
      <c r="M58" s="109">
        <f>+M57</f>
        <v/>
      </c>
      <c r="N58" s="109">
        <f>+N57</f>
        <v/>
      </c>
      <c r="O58" s="110">
        <f>+O57</f>
        <v/>
      </c>
      <c r="P58" s="111" t="n"/>
      <c r="Q58" s="111" t="n"/>
      <c r="R58" s="111" t="n"/>
      <c r="S58" s="111">
        <f>+S57</f>
        <v/>
      </c>
      <c r="T58" s="112" t="n"/>
      <c r="U58" s="112" t="n"/>
      <c r="V58" s="112" t="n"/>
      <c r="W58" s="113" t="n"/>
      <c r="X58" s="113" t="n"/>
      <c r="Y58" s="113" t="n"/>
      <c r="Z58" s="113" t="n"/>
      <c r="AA58" s="113" t="n"/>
      <c r="AB58" s="113" t="n"/>
      <c r="AC58" s="113" t="n"/>
      <c r="AD58" s="113" t="n"/>
      <c r="AE58" s="113" t="n"/>
      <c r="AF58" s="113" t="n"/>
      <c r="AG58" s="113">
        <f>+AG57</f>
        <v/>
      </c>
      <c r="AH58" s="113" t="inlineStr">
        <is>
          <t>&gt;=38;&lt;=56</t>
        </is>
      </c>
      <c r="AI58" s="109" t="n"/>
      <c r="AJ58" s="113" t="n"/>
      <c r="AK58" s="110" t="n"/>
      <c r="AL58" s="113" t="n"/>
      <c r="AM58" s="113" t="n"/>
      <c r="AN58" s="113" t="n"/>
      <c r="AO58" s="113" t="n"/>
      <c r="AP58" s="115" t="n"/>
      <c r="AQ58" s="115" t="n"/>
      <c r="AR58" s="113" t="inlineStr">
        <is>
          <t>Nhóm 1</t>
        </is>
      </c>
      <c r="AS58" s="113" t="n"/>
      <c r="AT58" s="113" t="inlineStr">
        <is>
          <t>HM02</t>
        </is>
      </c>
      <c r="AU58" s="113" t="inlineStr">
        <is>
          <t>PLKL01</t>
        </is>
      </c>
      <c r="AV58" s="113" t="n">
        <v>11</v>
      </c>
      <c r="AW58" s="113" t="n">
        <v>11</v>
      </c>
      <c r="AX58" s="113" t="n"/>
    </row>
    <row r="59" customFormat="1" s="107">
      <c r="A59" s="105" t="inlineStr">
        <is>
          <t>NTCV</t>
        </is>
      </c>
      <c r="B59" s="105" t="inlineStr">
        <is>
          <t>K.9999</t>
        </is>
      </c>
      <c r="C59" s="105" t="inlineStr">
        <is>
          <t>NTCV.0382010</t>
        </is>
      </c>
      <c r="D59" s="106" t="n"/>
      <c r="E59" s="106" t="n"/>
      <c r="F59" s="106" t="n"/>
      <c r="G59" s="106" t="n"/>
      <c r="H59" s="106" t="n"/>
      <c r="J59" s="147" t="inlineStr">
        <is>
          <t>40</t>
        </is>
      </c>
      <c r="K59" s="147" t="inlineStr">
        <is>
          <t>K.9999</t>
        </is>
      </c>
      <c r="L59" s="148">
        <f>"Đắp nền đường công vụ nhánh 6 lớp số "&amp;M59</f>
        <v/>
      </c>
      <c r="M59" s="148" t="n">
        <v>20</v>
      </c>
      <c r="N59" s="148" t="inlineStr">
        <is>
          <t>Km0+0 -:- 9(Km0+89.62)</t>
        </is>
      </c>
      <c r="O59" s="149" t="inlineStr">
        <is>
          <t>Cầu Km19+529.080</t>
        </is>
      </c>
      <c r="P59" s="134">
        <f>+P56</f>
        <v/>
      </c>
      <c r="Q59" s="134">
        <f>+P59+1</f>
        <v/>
      </c>
      <c r="R59" s="134">
        <f>+Q59-1</f>
        <v/>
      </c>
      <c r="S59" s="134">
        <f>+Q59</f>
        <v/>
      </c>
      <c r="T59" s="135">
        <f>U56+TIME(,10,)</f>
        <v/>
      </c>
      <c r="U59" s="135">
        <f>+T59+V59</f>
        <v/>
      </c>
      <c r="V59" s="135" t="n">
        <v>0.01041666666666667</v>
      </c>
      <c r="W59" s="121">
        <f>TEXT(T59,"HH""h""MM'")&amp;"÷"&amp;TEXT(U59,"HH""h""MM'")</f>
        <v/>
      </c>
      <c r="X59" s="150" t="n"/>
      <c r="Y59" s="150" t="n"/>
      <c r="Z59" s="137" t="inlineStr">
        <is>
          <t>01A;</t>
        </is>
      </c>
      <c r="AA59" s="136">
        <f>+L59</f>
        <v/>
      </c>
      <c r="AB59" s="136">
        <f>+AB56</f>
        <v/>
      </c>
      <c r="AC59" s="150">
        <f>+AC56</f>
        <v/>
      </c>
      <c r="AD59" s="150" t="n"/>
      <c r="AE59" s="150" t="n"/>
      <c r="AF59" s="150" t="n"/>
      <c r="AG59" s="150" t="n"/>
      <c r="AH59" s="150" t="n"/>
      <c r="AI59" s="148" t="n"/>
      <c r="AJ59" s="150" t="n"/>
      <c r="AK59" s="149" t="n"/>
      <c r="AL59" s="150" t="n"/>
      <c r="AM59" s="150" t="n"/>
      <c r="AN59" s="150" t="n"/>
      <c r="AO59" s="150" t="n"/>
      <c r="AP59" s="151" t="n"/>
      <c r="AQ59" s="151" t="n"/>
      <c r="AR59" s="150" t="inlineStr">
        <is>
          <t>Nhóm 1</t>
        </is>
      </c>
      <c r="AS59" s="150" t="n"/>
      <c r="AT59" s="150" t="inlineStr">
        <is>
          <t>HM02</t>
        </is>
      </c>
      <c r="AU59" s="150" t="inlineStr">
        <is>
          <t>NTCV</t>
        </is>
      </c>
      <c r="AV59" s="150" t="n">
        <v>12</v>
      </c>
      <c r="AW59" s="150" t="n">
        <v>12</v>
      </c>
      <c r="AX59" s="150" t="n"/>
    </row>
    <row r="60" ht="28" customFormat="1" customHeight="1" s="107">
      <c r="A60" s="105" t="inlineStr">
        <is>
          <t>BBK371</t>
        </is>
      </c>
      <c r="B60" s="105" t="inlineStr">
        <is>
          <t>KTHH_DAP</t>
        </is>
      </c>
      <c r="C60" s="105" t="inlineStr">
        <is>
          <t>BBK371.0300970</t>
        </is>
      </c>
      <c r="D60" s="106" t="n"/>
      <c r="E60" s="106" t="n"/>
      <c r="F60" s="106" t="n"/>
      <c r="G60" s="106" t="n"/>
      <c r="H60" s="106" t="n"/>
      <c r="J60" s="108" t="inlineStr">
        <is>
          <t>41</t>
        </is>
      </c>
      <c r="K60" s="108" t="inlineStr">
        <is>
          <t>KTHH_DAP</t>
        </is>
      </c>
      <c r="L60" s="109">
        <f>L59</f>
        <v/>
      </c>
      <c r="M60" s="109">
        <f>+M59</f>
        <v/>
      </c>
      <c r="N60" s="109" t="inlineStr">
        <is>
          <t>Km0+0 -:- 9(Km0+89.62)</t>
        </is>
      </c>
      <c r="O60" s="110" t="inlineStr">
        <is>
          <t>Cầu Km19+529.080</t>
        </is>
      </c>
      <c r="P60" s="111" t="n"/>
      <c r="Q60" s="111" t="n"/>
      <c r="R60" s="111" t="n"/>
      <c r="S60" s="111">
        <f>+S59</f>
        <v/>
      </c>
      <c r="T60" s="112" t="n"/>
      <c r="U60" s="112" t="n"/>
      <c r="V60" s="112" t="n"/>
      <c r="W60" s="113" t="n"/>
      <c r="X60" s="113" t="n"/>
      <c r="Y60" s="113" t="n"/>
      <c r="Z60" s="113" t="n"/>
      <c r="AA60" s="113" t="n"/>
      <c r="AB60" s="113" t="n"/>
      <c r="AC60" s="113">
        <f>+AC59</f>
        <v/>
      </c>
      <c r="AD60" s="113" t="n"/>
      <c r="AE60" s="113" t="n"/>
      <c r="AF60" s="113" t="n"/>
      <c r="AG60" s="113" t="inlineStr">
        <is>
          <t>DAPNEN_DCV6</t>
        </is>
      </c>
      <c r="AH60" s="113" t="inlineStr">
        <is>
          <t>&gt;=1;&lt;=19</t>
        </is>
      </c>
      <c r="AI60" s="109" t="n"/>
      <c r="AJ60" s="113" t="n"/>
      <c r="AK60" s="110" t="n"/>
      <c r="AL60" s="113" t="n"/>
      <c r="AM60" s="113" t="n"/>
      <c r="AN60" s="113" t="n"/>
      <c r="AO60" s="113" t="n"/>
      <c r="AP60" s="115" t="n"/>
      <c r="AQ60" s="115" t="inlineStr">
        <is>
          <t>Ảnh\dapnendcv.png</t>
        </is>
      </c>
      <c r="AR60" s="113" t="inlineStr">
        <is>
          <t>Nhóm 1</t>
        </is>
      </c>
      <c r="AS60" s="113" t="n"/>
      <c r="AT60" s="113" t="inlineStr">
        <is>
          <t>HM02</t>
        </is>
      </c>
      <c r="AU60" s="113" t="inlineStr">
        <is>
          <t>KTHH_DAP</t>
        </is>
      </c>
      <c r="AV60" s="113" t="n">
        <v>10</v>
      </c>
      <c r="AW60" s="113" t="n">
        <v>10</v>
      </c>
      <c r="AX60" s="113" t="n"/>
    </row>
    <row r="61" customFormat="1" s="107">
      <c r="A61" s="105" t="inlineStr">
        <is>
          <t>BBK957</t>
        </is>
      </c>
      <c r="B61" s="105" t="inlineStr">
        <is>
          <t>PLKL01</t>
        </is>
      </c>
      <c r="C61" s="105" t="inlineStr">
        <is>
          <t>BBK957.0948571</t>
        </is>
      </c>
      <c r="D61" s="106" t="n"/>
      <c r="E61" s="106" t="n"/>
      <c r="F61" s="106" t="n"/>
      <c r="G61" s="106" t="n"/>
      <c r="H61" s="106" t="n"/>
      <c r="J61" s="108" t="inlineStr">
        <is>
          <t>42</t>
        </is>
      </c>
      <c r="K61" s="108" t="inlineStr">
        <is>
          <t>PLKL01</t>
        </is>
      </c>
      <c r="L61" s="109">
        <f>+L60</f>
        <v/>
      </c>
      <c r="M61" s="109">
        <f>+M60</f>
        <v/>
      </c>
      <c r="N61" s="109">
        <f>+N60</f>
        <v/>
      </c>
      <c r="O61" s="110">
        <f>+O60</f>
        <v/>
      </c>
      <c r="P61" s="111" t="n"/>
      <c r="Q61" s="111" t="n"/>
      <c r="R61" s="111" t="n"/>
      <c r="S61" s="111">
        <f>+S60</f>
        <v/>
      </c>
      <c r="T61" s="112" t="n"/>
      <c r="U61" s="112" t="n"/>
      <c r="V61" s="112" t="n"/>
      <c r="W61" s="113" t="n"/>
      <c r="X61" s="113" t="n"/>
      <c r="Y61" s="113" t="n"/>
      <c r="Z61" s="113" t="n"/>
      <c r="AA61" s="113" t="n"/>
      <c r="AB61" s="113" t="n"/>
      <c r="AC61" s="113" t="n"/>
      <c r="AD61" s="113" t="n"/>
      <c r="AE61" s="113" t="n"/>
      <c r="AF61" s="113" t="n"/>
      <c r="AG61" s="113">
        <f>+AG60</f>
        <v/>
      </c>
      <c r="AH61" s="113" t="inlineStr">
        <is>
          <t>&gt;=38;&lt;=56</t>
        </is>
      </c>
      <c r="AI61" s="109" t="n"/>
      <c r="AJ61" s="113" t="n"/>
      <c r="AK61" s="110" t="n"/>
      <c r="AL61" s="113" t="n"/>
      <c r="AM61" s="113" t="n"/>
      <c r="AN61" s="113" t="n"/>
      <c r="AO61" s="113" t="n"/>
      <c r="AP61" s="115" t="n"/>
      <c r="AQ61" s="115" t="n"/>
      <c r="AR61" s="113" t="inlineStr">
        <is>
          <t>Nhóm 1</t>
        </is>
      </c>
      <c r="AS61" s="113" t="n"/>
      <c r="AT61" s="113" t="inlineStr">
        <is>
          <t>HM02</t>
        </is>
      </c>
      <c r="AU61" s="113" t="inlineStr">
        <is>
          <t>PLKL01</t>
        </is>
      </c>
      <c r="AV61" s="113" t="n">
        <v>12</v>
      </c>
      <c r="AW61" s="113" t="n">
        <v>12</v>
      </c>
      <c r="AX61" s="113" t="n"/>
    </row>
    <row r="62" customFormat="1" s="107">
      <c r="A62" s="105" t="inlineStr">
        <is>
          <t>NTCV</t>
        </is>
      </c>
      <c r="B62" s="105" t="inlineStr">
        <is>
          <t>K.9999</t>
        </is>
      </c>
      <c r="C62" s="105" t="inlineStr">
        <is>
          <t>NTCV.0979829</t>
        </is>
      </c>
      <c r="D62" s="106" t="n"/>
      <c r="E62" s="106" t="n"/>
      <c r="F62" s="106" t="n"/>
      <c r="G62" s="106" t="n"/>
      <c r="H62" s="106" t="n"/>
      <c r="J62" s="147" t="inlineStr">
        <is>
          <t>43</t>
        </is>
      </c>
      <c r="K62" s="147" t="inlineStr">
        <is>
          <t>K.9999</t>
        </is>
      </c>
      <c r="L62" s="148">
        <f>"Đắp nền đường công vụ nhánh 6 lớp số "&amp;M62</f>
        <v/>
      </c>
      <c r="M62" s="148" t="n">
        <v>19</v>
      </c>
      <c r="N62" s="148" t="inlineStr">
        <is>
          <t>Km0+0 -:- 9(Km0+89.62)</t>
        </is>
      </c>
      <c r="O62" s="149" t="inlineStr">
        <is>
          <t>Cầu Km19+529.080</t>
        </is>
      </c>
      <c r="P62" s="134">
        <f>+P59</f>
        <v/>
      </c>
      <c r="Q62" s="134">
        <f>+P62+1</f>
        <v/>
      </c>
      <c r="R62" s="134">
        <f>+Q62-1</f>
        <v/>
      </c>
      <c r="S62" s="134">
        <f>+Q62</f>
        <v/>
      </c>
      <c r="T62" s="135">
        <f>U59+TIME(,10,)</f>
        <v/>
      </c>
      <c r="U62" s="135">
        <f>+T62+V62</f>
        <v/>
      </c>
      <c r="V62" s="135" t="n">
        <v>0.01041666666666667</v>
      </c>
      <c r="W62" s="121">
        <f>TEXT(T62,"HH""h""MM'")&amp;"÷"&amp;TEXT(U62,"HH""h""MM'")</f>
        <v/>
      </c>
      <c r="X62" s="150" t="n"/>
      <c r="Y62" s="150" t="n"/>
      <c r="Z62" s="137" t="inlineStr">
        <is>
          <t>01A;</t>
        </is>
      </c>
      <c r="AA62" s="136">
        <f>+L62</f>
        <v/>
      </c>
      <c r="AB62" s="136">
        <f>+AB59</f>
        <v/>
      </c>
      <c r="AC62" s="150">
        <f>+AC59</f>
        <v/>
      </c>
      <c r="AD62" s="150" t="n"/>
      <c r="AE62" s="150" t="n"/>
      <c r="AF62" s="150" t="n"/>
      <c r="AG62" s="150" t="n"/>
      <c r="AH62" s="150" t="n"/>
      <c r="AI62" s="148" t="n"/>
      <c r="AJ62" s="150" t="n"/>
      <c r="AK62" s="149" t="n"/>
      <c r="AL62" s="150" t="n"/>
      <c r="AM62" s="150" t="n"/>
      <c r="AN62" s="150" t="n"/>
      <c r="AO62" s="150" t="n"/>
      <c r="AP62" s="151" t="n"/>
      <c r="AQ62" s="151" t="n"/>
      <c r="AR62" s="150" t="inlineStr">
        <is>
          <t>Nhóm 1</t>
        </is>
      </c>
      <c r="AS62" s="150" t="n"/>
      <c r="AT62" s="150" t="inlineStr">
        <is>
          <t>HM02</t>
        </is>
      </c>
      <c r="AU62" s="150" t="inlineStr">
        <is>
          <t>NTCV</t>
        </is>
      </c>
      <c r="AV62" s="150" t="n">
        <v>13</v>
      </c>
      <c r="AW62" s="150" t="n">
        <v>13</v>
      </c>
      <c r="AX62" s="150" t="n"/>
    </row>
    <row r="63" ht="28" customFormat="1" customHeight="1" s="107">
      <c r="A63" s="105" t="inlineStr">
        <is>
          <t>BBK371</t>
        </is>
      </c>
      <c r="B63" s="105" t="inlineStr">
        <is>
          <t>KTHH_DAP</t>
        </is>
      </c>
      <c r="C63" s="105" t="inlineStr">
        <is>
          <t>BBK371.0401374</t>
        </is>
      </c>
      <c r="D63" s="106" t="n"/>
      <c r="E63" s="106" t="n"/>
      <c r="F63" s="106" t="n"/>
      <c r="G63" s="106" t="n"/>
      <c r="H63" s="106" t="n"/>
      <c r="J63" s="108" t="inlineStr">
        <is>
          <t>44</t>
        </is>
      </c>
      <c r="K63" s="108" t="inlineStr">
        <is>
          <t>KTHH_DAP</t>
        </is>
      </c>
      <c r="L63" s="109">
        <f>L62</f>
        <v/>
      </c>
      <c r="M63" s="109">
        <f>+M62</f>
        <v/>
      </c>
      <c r="N63" s="109" t="inlineStr">
        <is>
          <t>Km0+0 -:- 9(Km0+89.62)</t>
        </is>
      </c>
      <c r="O63" s="110" t="inlineStr">
        <is>
          <t>Cầu Km19+529.080</t>
        </is>
      </c>
      <c r="P63" s="111" t="n"/>
      <c r="Q63" s="111" t="n"/>
      <c r="R63" s="111" t="n"/>
      <c r="S63" s="111">
        <f>+S62</f>
        <v/>
      </c>
      <c r="T63" s="112" t="n"/>
      <c r="U63" s="112" t="n"/>
      <c r="V63" s="112" t="n"/>
      <c r="W63" s="113" t="n"/>
      <c r="X63" s="113" t="n"/>
      <c r="Y63" s="113" t="n"/>
      <c r="Z63" s="113" t="n"/>
      <c r="AA63" s="113" t="n"/>
      <c r="AB63" s="113" t="n"/>
      <c r="AC63" s="113">
        <f>+AC62</f>
        <v/>
      </c>
      <c r="AD63" s="113" t="n"/>
      <c r="AE63" s="113" t="n"/>
      <c r="AF63" s="113" t="n"/>
      <c r="AG63" s="113" t="inlineStr">
        <is>
          <t>DAPNEN_DCV6</t>
        </is>
      </c>
      <c r="AH63" s="113" t="inlineStr">
        <is>
          <t>&gt;=1;&lt;=19</t>
        </is>
      </c>
      <c r="AI63" s="109" t="n"/>
      <c r="AJ63" s="113" t="n"/>
      <c r="AK63" s="110" t="n"/>
      <c r="AL63" s="113" t="n"/>
      <c r="AM63" s="113" t="n"/>
      <c r="AN63" s="113" t="n"/>
      <c r="AO63" s="113" t="n"/>
      <c r="AP63" s="115" t="n"/>
      <c r="AQ63" s="115" t="inlineStr">
        <is>
          <t>Ảnh\dapnendcv.png</t>
        </is>
      </c>
      <c r="AR63" s="113" t="inlineStr">
        <is>
          <t>Nhóm 1</t>
        </is>
      </c>
      <c r="AS63" s="113" t="n"/>
      <c r="AT63" s="113" t="inlineStr">
        <is>
          <t>HM02</t>
        </is>
      </c>
      <c r="AU63" s="113" t="inlineStr">
        <is>
          <t>KTHH_DAP</t>
        </is>
      </c>
      <c r="AV63" s="113" t="n">
        <v>11</v>
      </c>
      <c r="AW63" s="113" t="n">
        <v>11</v>
      </c>
      <c r="AX63" s="113" t="n"/>
    </row>
    <row r="64" customFormat="1" s="107">
      <c r="A64" s="105" t="inlineStr">
        <is>
          <t>BBK957</t>
        </is>
      </c>
      <c r="B64" s="105" t="inlineStr">
        <is>
          <t>PLKL01</t>
        </is>
      </c>
      <c r="C64" s="105" t="inlineStr">
        <is>
          <t>BBK957.0278279</t>
        </is>
      </c>
      <c r="D64" s="106" t="n"/>
      <c r="E64" s="106" t="n"/>
      <c r="F64" s="106" t="n"/>
      <c r="G64" s="106" t="n"/>
      <c r="H64" s="106" t="n"/>
      <c r="J64" s="108" t="inlineStr">
        <is>
          <t>45</t>
        </is>
      </c>
      <c r="K64" s="108" t="inlineStr">
        <is>
          <t>PLKL01</t>
        </is>
      </c>
      <c r="L64" s="109">
        <f>+L63</f>
        <v/>
      </c>
      <c r="M64" s="109">
        <f>+M63</f>
        <v/>
      </c>
      <c r="N64" s="109">
        <f>+N63</f>
        <v/>
      </c>
      <c r="O64" s="110">
        <f>+O63</f>
        <v/>
      </c>
      <c r="P64" s="111" t="n"/>
      <c r="Q64" s="111" t="n"/>
      <c r="R64" s="111" t="n"/>
      <c r="S64" s="111">
        <f>+S63</f>
        <v/>
      </c>
      <c r="T64" s="112" t="n"/>
      <c r="U64" s="112" t="n"/>
      <c r="V64" s="112" t="n"/>
      <c r="W64" s="113" t="n"/>
      <c r="X64" s="113" t="n"/>
      <c r="Y64" s="113" t="n"/>
      <c r="Z64" s="113" t="n"/>
      <c r="AA64" s="113" t="n"/>
      <c r="AB64" s="113" t="n"/>
      <c r="AC64" s="113" t="n"/>
      <c r="AD64" s="113" t="n"/>
      <c r="AE64" s="113" t="n"/>
      <c r="AF64" s="113" t="n"/>
      <c r="AG64" s="113">
        <f>+AG63</f>
        <v/>
      </c>
      <c r="AH64" s="113" t="inlineStr">
        <is>
          <t>&gt;=38;&lt;=56</t>
        </is>
      </c>
      <c r="AI64" s="109" t="n"/>
      <c r="AJ64" s="113" t="n"/>
      <c r="AK64" s="110" t="n"/>
      <c r="AL64" s="113" t="n"/>
      <c r="AM64" s="113" t="n"/>
      <c r="AN64" s="113" t="n"/>
      <c r="AO64" s="113" t="n"/>
      <c r="AP64" s="115" t="n"/>
      <c r="AQ64" s="115" t="n"/>
      <c r="AR64" s="113" t="inlineStr">
        <is>
          <t>Nhóm 1</t>
        </is>
      </c>
      <c r="AS64" s="113" t="n"/>
      <c r="AT64" s="113" t="inlineStr">
        <is>
          <t>HM02</t>
        </is>
      </c>
      <c r="AU64" s="113" t="inlineStr">
        <is>
          <t>PLKL01</t>
        </is>
      </c>
      <c r="AV64" s="113" t="n">
        <v>13</v>
      </c>
      <c r="AW64" s="113" t="n">
        <v>13</v>
      </c>
      <c r="AX64" s="113" t="n"/>
    </row>
    <row r="65" customFormat="1" s="107">
      <c r="A65" s="105" t="inlineStr">
        <is>
          <t>NTCV</t>
        </is>
      </c>
      <c r="B65" s="105" t="inlineStr">
        <is>
          <t>K.9999</t>
        </is>
      </c>
      <c r="C65" s="105" t="inlineStr">
        <is>
          <t>NTCV.0160441</t>
        </is>
      </c>
      <c r="D65" s="106" t="n"/>
      <c r="E65" s="106" t="n"/>
      <c r="F65" s="106" t="n"/>
      <c r="G65" s="106" t="n"/>
      <c r="H65" s="106" t="n"/>
      <c r="J65" s="147" t="inlineStr">
        <is>
          <t>46</t>
        </is>
      </c>
      <c r="K65" s="147" t="inlineStr">
        <is>
          <t>K.9999</t>
        </is>
      </c>
      <c r="L65" s="148">
        <f>"Đắp nền đường công vụ nhánh 6 lớp số "&amp;M65</f>
        <v/>
      </c>
      <c r="M65" s="148" t="n">
        <v>18</v>
      </c>
      <c r="N65" s="148" t="inlineStr">
        <is>
          <t>Km0+0 -:- 9(Km0+89.62)</t>
        </is>
      </c>
      <c r="O65" s="149" t="inlineStr">
        <is>
          <t>Cầu Km19+529.080</t>
        </is>
      </c>
      <c r="P65" s="134">
        <f>+P62</f>
        <v/>
      </c>
      <c r="Q65" s="134">
        <f>+P65+1</f>
        <v/>
      </c>
      <c r="R65" s="134">
        <f>+Q65-1</f>
        <v/>
      </c>
      <c r="S65" s="134">
        <f>+Q65</f>
        <v/>
      </c>
      <c r="T65" s="135">
        <f>U62+TIME(,10,)</f>
        <v/>
      </c>
      <c r="U65" s="135">
        <f>+T65+V65</f>
        <v/>
      </c>
      <c r="V65" s="135" t="n">
        <v>0.01041666666666667</v>
      </c>
      <c r="W65" s="121">
        <f>TEXT(T65,"HH""h""MM'")&amp;"÷"&amp;TEXT(U65,"HH""h""MM'")</f>
        <v/>
      </c>
      <c r="X65" s="150" t="n"/>
      <c r="Y65" s="150" t="n"/>
      <c r="Z65" s="137" t="inlineStr">
        <is>
          <t>01A;</t>
        </is>
      </c>
      <c r="AA65" s="136">
        <f>+L65</f>
        <v/>
      </c>
      <c r="AB65" s="136">
        <f>+AB62</f>
        <v/>
      </c>
      <c r="AC65" s="150">
        <f>+AC62</f>
        <v/>
      </c>
      <c r="AD65" s="150" t="n"/>
      <c r="AE65" s="150" t="n"/>
      <c r="AF65" s="150" t="n"/>
      <c r="AG65" s="150" t="n"/>
      <c r="AH65" s="150" t="n"/>
      <c r="AI65" s="148" t="n"/>
      <c r="AJ65" s="150" t="n"/>
      <c r="AK65" s="149" t="n"/>
      <c r="AL65" s="150" t="n"/>
      <c r="AM65" s="150" t="n"/>
      <c r="AN65" s="150" t="n"/>
      <c r="AO65" s="150" t="n"/>
      <c r="AP65" s="151" t="n"/>
      <c r="AQ65" s="151" t="n"/>
      <c r="AR65" s="150" t="inlineStr">
        <is>
          <t>Nhóm 1</t>
        </is>
      </c>
      <c r="AS65" s="150" t="n"/>
      <c r="AT65" s="150" t="inlineStr">
        <is>
          <t>HM02</t>
        </is>
      </c>
      <c r="AU65" s="150" t="inlineStr">
        <is>
          <t>NTCV</t>
        </is>
      </c>
      <c r="AV65" s="150" t="n">
        <v>14</v>
      </c>
      <c r="AW65" s="150" t="n">
        <v>14</v>
      </c>
      <c r="AX65" s="150" t="n"/>
    </row>
    <row r="66" ht="28" customFormat="1" customHeight="1" s="107">
      <c r="A66" s="105" t="inlineStr">
        <is>
          <t>BBK371</t>
        </is>
      </c>
      <c r="B66" s="105" t="inlineStr">
        <is>
          <t>KTHH_DAP</t>
        </is>
      </c>
      <c r="C66" s="105" t="inlineStr">
        <is>
          <t>BBK371.0162821</t>
        </is>
      </c>
      <c r="D66" s="106" t="n"/>
      <c r="E66" s="106" t="n"/>
      <c r="F66" s="106" t="n"/>
      <c r="G66" s="106" t="n"/>
      <c r="H66" s="106" t="n"/>
      <c r="J66" s="124" t="inlineStr">
        <is>
          <t>47</t>
        </is>
      </c>
      <c r="K66" s="124" t="inlineStr">
        <is>
          <t>KTHH_DAP</t>
        </is>
      </c>
      <c r="L66" s="125">
        <f>L65</f>
        <v/>
      </c>
      <c r="M66" s="125">
        <f>+M65</f>
        <v/>
      </c>
      <c r="N66" s="125" t="inlineStr">
        <is>
          <t>Km0+0 -:- 9(Km0+89.62)</t>
        </is>
      </c>
      <c r="O66" s="126" t="inlineStr">
        <is>
          <t>Cầu Km19+529.080</t>
        </is>
      </c>
      <c r="P66" s="127" t="n"/>
      <c r="Q66" s="127" t="n"/>
      <c r="R66" s="127" t="n"/>
      <c r="S66" s="127">
        <f>+S65</f>
        <v/>
      </c>
      <c r="T66" s="128" t="n"/>
      <c r="U66" s="128" t="n"/>
      <c r="V66" s="128" t="n"/>
      <c r="W66" s="129" t="n"/>
      <c r="X66" s="129" t="n"/>
      <c r="Y66" s="129" t="n"/>
      <c r="Z66" s="129" t="n"/>
      <c r="AA66" s="129" t="n"/>
      <c r="AB66" s="129" t="n"/>
      <c r="AC66" s="129">
        <f>+AC65</f>
        <v/>
      </c>
      <c r="AD66" s="129" t="n"/>
      <c r="AE66" s="129" t="n"/>
      <c r="AF66" s="129" t="n"/>
      <c r="AG66" s="129" t="inlineStr">
        <is>
          <t>DAPNEN_DCV6</t>
        </is>
      </c>
      <c r="AH66" s="129" t="inlineStr">
        <is>
          <t>&gt;=1;&lt;=19</t>
        </is>
      </c>
      <c r="AI66" s="125" t="n"/>
      <c r="AJ66" s="129" t="n"/>
      <c r="AK66" s="126" t="n"/>
      <c r="AL66" s="129" t="n"/>
      <c r="AM66" s="129" t="n"/>
      <c r="AN66" s="129" t="n"/>
      <c r="AO66" s="129" t="n"/>
      <c r="AP66" s="130" t="n"/>
      <c r="AQ66" s="130" t="inlineStr">
        <is>
          <t>Ảnh\dapnendcv.png</t>
        </is>
      </c>
      <c r="AR66" s="129" t="inlineStr">
        <is>
          <t>Nhóm 1</t>
        </is>
      </c>
      <c r="AS66" s="129" t="n"/>
      <c r="AT66" s="129" t="inlineStr">
        <is>
          <t>HM02</t>
        </is>
      </c>
      <c r="AU66" s="129" t="inlineStr">
        <is>
          <t>KTHH_DAP</t>
        </is>
      </c>
      <c r="AV66" s="129" t="n">
        <v>12</v>
      </c>
      <c r="AW66" s="129" t="n">
        <v>12</v>
      </c>
      <c r="AX66" s="129" t="n"/>
    </row>
    <row r="67" customFormat="1" s="107">
      <c r="A67" s="105" t="inlineStr">
        <is>
          <t>BBK957</t>
        </is>
      </c>
      <c r="B67" s="105" t="inlineStr">
        <is>
          <t>PLKL01</t>
        </is>
      </c>
      <c r="C67" s="105" t="inlineStr">
        <is>
          <t>BBK957.0646587</t>
        </is>
      </c>
      <c r="D67" s="106" t="n"/>
      <c r="E67" s="106" t="n"/>
      <c r="F67" s="106" t="n"/>
      <c r="G67" s="106" t="n"/>
      <c r="H67" s="106" t="n"/>
      <c r="J67" s="108" t="inlineStr">
        <is>
          <t>48</t>
        </is>
      </c>
      <c r="K67" s="108" t="inlineStr">
        <is>
          <t>PLKL01</t>
        </is>
      </c>
      <c r="L67" s="109">
        <f>+L66</f>
        <v/>
      </c>
      <c r="M67" s="109">
        <f>+M66</f>
        <v/>
      </c>
      <c r="N67" s="109">
        <f>+N66</f>
        <v/>
      </c>
      <c r="O67" s="110">
        <f>+O66</f>
        <v/>
      </c>
      <c r="P67" s="111" t="n"/>
      <c r="Q67" s="111" t="n"/>
      <c r="R67" s="111" t="n"/>
      <c r="S67" s="111">
        <f>+S66</f>
        <v/>
      </c>
      <c r="T67" s="112" t="n"/>
      <c r="U67" s="112" t="n"/>
      <c r="V67" s="112" t="n"/>
      <c r="W67" s="113" t="n"/>
      <c r="X67" s="113" t="n"/>
      <c r="Y67" s="113" t="n"/>
      <c r="Z67" s="113" t="n"/>
      <c r="AA67" s="113" t="n"/>
      <c r="AB67" s="113" t="n"/>
      <c r="AC67" s="113" t="n"/>
      <c r="AD67" s="113" t="n"/>
      <c r="AE67" s="113" t="n"/>
      <c r="AF67" s="113" t="n"/>
      <c r="AG67" s="113">
        <f>+AG66</f>
        <v/>
      </c>
      <c r="AH67" s="113" t="inlineStr">
        <is>
          <t>&gt;=38;&lt;=56</t>
        </is>
      </c>
      <c r="AI67" s="109" t="n"/>
      <c r="AJ67" s="113" t="n"/>
      <c r="AK67" s="110" t="n"/>
      <c r="AL67" s="113" t="n"/>
      <c r="AM67" s="113" t="n"/>
      <c r="AN67" s="113" t="n"/>
      <c r="AO67" s="113" t="n"/>
      <c r="AP67" s="115" t="n"/>
      <c r="AQ67" s="115" t="n"/>
      <c r="AR67" s="113" t="inlineStr">
        <is>
          <t>Nhóm 1</t>
        </is>
      </c>
      <c r="AS67" s="113" t="n"/>
      <c r="AT67" s="113" t="inlineStr">
        <is>
          <t>HM02</t>
        </is>
      </c>
      <c r="AU67" s="113" t="inlineStr">
        <is>
          <t>PLKL01</t>
        </is>
      </c>
      <c r="AV67" s="113" t="n">
        <v>14</v>
      </c>
      <c r="AW67" s="113" t="n">
        <v>14</v>
      </c>
      <c r="AX67" s="113" t="n"/>
    </row>
    <row r="68" customFormat="1" s="107">
      <c r="A68" s="105" t="inlineStr">
        <is>
          <t>BBK680</t>
        </is>
      </c>
      <c r="B68" s="105" t="inlineStr">
        <is>
          <t>PYC</t>
        </is>
      </c>
      <c r="C68" s="105" t="inlineStr">
        <is>
          <t>BBK680.0410073</t>
        </is>
      </c>
      <c r="D68" s="106" t="n"/>
      <c r="E68" s="106" t="n"/>
      <c r="F68" s="106" t="n"/>
      <c r="G68" s="106" t="n"/>
      <c r="H68" s="106" t="n"/>
      <c r="J68" s="108" t="inlineStr">
        <is>
          <t>49</t>
        </is>
      </c>
      <c r="K68" s="108" t="inlineStr">
        <is>
          <t>PYC</t>
        </is>
      </c>
      <c r="L68" s="109" t="inlineStr">
        <is>
          <t>phiếu yêu cầu</t>
        </is>
      </c>
      <c r="M68" s="109" t="n"/>
      <c r="N68" s="109" t="n"/>
      <c r="O68" s="110" t="n"/>
      <c r="P68" s="111" t="n"/>
      <c r="Q68" s="111" t="n"/>
      <c r="R68" s="111">
        <f>+R69</f>
        <v/>
      </c>
      <c r="S68" s="111">
        <f>+S69</f>
        <v/>
      </c>
      <c r="T68" s="112" t="n"/>
      <c r="U68" s="112" t="n"/>
      <c r="V68" s="112" t="n"/>
      <c r="W68" s="113" t="n"/>
      <c r="X68" s="113" t="n"/>
      <c r="Y68" s="113" t="n"/>
      <c r="Z68" s="113" t="n"/>
      <c r="AA68" s="113" t="n"/>
      <c r="AB68" s="113" t="inlineStr">
        <is>
          <t>09-XL-307HG/PYCNT/MB-ĐCV</t>
        </is>
      </c>
      <c r="AC68" s="113" t="n"/>
      <c r="AD68" s="113" t="n"/>
      <c r="AE68" s="113" t="n"/>
      <c r="AF68" s="113" t="n"/>
      <c r="AG68" s="113" t="inlineStr">
        <is>
          <t>NTCV</t>
        </is>
      </c>
      <c r="AH68" s="113" t="inlineStr">
        <is>
          <t>&gt;=15;&lt;=18</t>
        </is>
      </c>
      <c r="AI68" s="109" t="n"/>
      <c r="AJ68" s="113" t="n"/>
      <c r="AK68" s="110" t="n"/>
      <c r="AL68" s="113" t="n"/>
      <c r="AM68" s="113" t="n"/>
      <c r="AN68" s="113" t="n"/>
      <c r="AO68" s="113" t="n"/>
      <c r="AP68" s="115" t="n"/>
      <c r="AQ68" s="115" t="n"/>
      <c r="AR68" s="113" t="inlineStr">
        <is>
          <t>Nhóm 1</t>
        </is>
      </c>
      <c r="AS68" s="113" t="n"/>
      <c r="AT68" s="113" t="inlineStr">
        <is>
          <t>HM02</t>
        </is>
      </c>
      <c r="AU68" s="113" t="inlineStr">
        <is>
          <t>PYC</t>
        </is>
      </c>
      <c r="AV68" s="113" t="n">
        <v>5</v>
      </c>
      <c r="AW68" s="113" t="n">
        <v>5</v>
      </c>
      <c r="AX68" s="113" t="n"/>
    </row>
    <row r="69" customFormat="1" s="107">
      <c r="A69" s="105" t="inlineStr">
        <is>
          <t>NTCV</t>
        </is>
      </c>
      <c r="B69" s="105" t="inlineStr">
        <is>
          <t>K.9999</t>
        </is>
      </c>
      <c r="C69" s="105" t="inlineStr">
        <is>
          <t>NTCV.0412766</t>
        </is>
      </c>
      <c r="D69" s="106" t="n"/>
      <c r="E69" s="106" t="n"/>
      <c r="F69" s="106" t="n"/>
      <c r="G69" s="106" t="n"/>
      <c r="H69" s="106" t="n"/>
      <c r="J69" s="131" t="inlineStr">
        <is>
          <t>50</t>
        </is>
      </c>
      <c r="K69" s="131" t="inlineStr">
        <is>
          <t>K.9999</t>
        </is>
      </c>
      <c r="L69" s="132">
        <f>"Đắp nền đường công vụ nhánh 6 lớp số "&amp;M69</f>
        <v/>
      </c>
      <c r="M69" s="132" t="n">
        <v>17</v>
      </c>
      <c r="N69" s="132" t="inlineStr">
        <is>
          <t>Km0+0 -:- 9(Km0+89.62)</t>
        </is>
      </c>
      <c r="O69" s="133" t="inlineStr">
        <is>
          <t>Cầu Km19+529.080</t>
        </is>
      </c>
      <c r="P69" s="134">
        <f>+S65</f>
        <v/>
      </c>
      <c r="Q69" s="134">
        <f>+P69+1</f>
        <v/>
      </c>
      <c r="R69" s="134">
        <f>+Q69-1</f>
        <v/>
      </c>
      <c r="S69" s="134">
        <f>+Q69</f>
        <v/>
      </c>
      <c r="T69" s="135" t="n">
        <v>0.3541666666666667</v>
      </c>
      <c r="U69" s="135">
        <f>+T69+V69</f>
        <v/>
      </c>
      <c r="V69" s="135" t="n">
        <v>0.01041666666666667</v>
      </c>
      <c r="W69" s="136">
        <f>TEXT(T69,"HH""h""MM'")&amp;"÷"&amp;TEXT(U69,"HH""h""MM'")</f>
        <v/>
      </c>
      <c r="X69" s="136" t="n"/>
      <c r="Y69" s="136" t="n"/>
      <c r="Z69" s="137" t="inlineStr">
        <is>
          <t>01A;</t>
        </is>
      </c>
      <c r="AA69" s="136">
        <f>+L69</f>
        <v/>
      </c>
      <c r="AB69" s="136" t="inlineStr">
        <is>
          <t>09-XL-307HG/PYCNT/MB-ĐCV-5</t>
        </is>
      </c>
      <c r="AC69" s="136" t="inlineStr">
        <is>
          <t>09-XL-307HG/PYCNT/MB-ĐCV-5</t>
        </is>
      </c>
      <c r="AD69" s="136" t="n"/>
      <c r="AE69" s="136" t="n"/>
      <c r="AF69" s="136" t="n"/>
      <c r="AG69" s="136" t="n"/>
      <c r="AH69" s="136" t="n"/>
      <c r="AI69" s="132" t="n"/>
      <c r="AJ69" s="136" t="n"/>
      <c r="AK69" s="133" t="n"/>
      <c r="AL69" s="136" t="n"/>
      <c r="AM69" s="136" t="n"/>
      <c r="AN69" s="136" t="n"/>
      <c r="AO69" s="136" t="n"/>
      <c r="AP69" s="138" t="n"/>
      <c r="AQ69" s="138" t="n"/>
      <c r="AR69" s="136" t="inlineStr">
        <is>
          <t>Nhóm 1</t>
        </is>
      </c>
      <c r="AS69" s="136" t="n"/>
      <c r="AT69" s="136" t="inlineStr">
        <is>
          <t>HM02</t>
        </is>
      </c>
      <c r="AU69" s="136" t="inlineStr">
        <is>
          <t>NTCV</t>
        </is>
      </c>
      <c r="AV69" s="136" t="n">
        <v>15</v>
      </c>
      <c r="AW69" s="136" t="n">
        <v>15</v>
      </c>
      <c r="AX69" s="136" t="n"/>
    </row>
    <row r="70" ht="28" customFormat="1" customHeight="1" s="107">
      <c r="A70" s="105" t="inlineStr">
        <is>
          <t>BBK371</t>
        </is>
      </c>
      <c r="B70" s="105" t="inlineStr">
        <is>
          <t>KTHH_DAP</t>
        </is>
      </c>
      <c r="C70" s="105" t="inlineStr">
        <is>
          <t>BBK371.0712730</t>
        </is>
      </c>
      <c r="D70" s="106" t="n"/>
      <c r="E70" s="106" t="n"/>
      <c r="F70" s="106" t="n"/>
      <c r="G70" s="106" t="n"/>
      <c r="H70" s="106" t="n"/>
      <c r="J70" s="108" t="inlineStr">
        <is>
          <t>51</t>
        </is>
      </c>
      <c r="K70" s="108" t="inlineStr">
        <is>
          <t>KTHH_DAP</t>
        </is>
      </c>
      <c r="L70" s="109">
        <f>L69</f>
        <v/>
      </c>
      <c r="M70" s="109">
        <f>+M69</f>
        <v/>
      </c>
      <c r="N70" s="109" t="inlineStr">
        <is>
          <t>Km0+0 -:- 9(Km0+89.62)</t>
        </is>
      </c>
      <c r="O70" s="110" t="inlineStr">
        <is>
          <t>Cầu Km19+529.080</t>
        </is>
      </c>
      <c r="P70" s="111" t="n"/>
      <c r="Q70" s="111" t="n"/>
      <c r="R70" s="111" t="n"/>
      <c r="S70" s="111">
        <f>+S69</f>
        <v/>
      </c>
      <c r="T70" s="112" t="n"/>
      <c r="U70" s="112" t="n"/>
      <c r="V70" s="112" t="n"/>
      <c r="W70" s="113" t="n"/>
      <c r="X70" s="113" t="n"/>
      <c r="Y70" s="113" t="n"/>
      <c r="Z70" s="113" t="n"/>
      <c r="AA70" s="113" t="n"/>
      <c r="AB70" s="113" t="n"/>
      <c r="AC70" s="113">
        <f>AC69</f>
        <v/>
      </c>
      <c r="AD70" s="113" t="n"/>
      <c r="AE70" s="113" t="n"/>
      <c r="AF70" s="113" t="n"/>
      <c r="AG70" s="113" t="inlineStr">
        <is>
          <t>DAPNEN_DCV6</t>
        </is>
      </c>
      <c r="AH70" s="113" t="inlineStr">
        <is>
          <t>&gt;=1;&lt;=19</t>
        </is>
      </c>
      <c r="AI70" s="109" t="n"/>
      <c r="AJ70" s="113" t="n"/>
      <c r="AK70" s="110" t="n"/>
      <c r="AL70" s="113" t="n"/>
      <c r="AM70" s="113" t="n"/>
      <c r="AN70" s="113" t="n"/>
      <c r="AO70" s="113" t="n"/>
      <c r="AP70" s="115" t="n"/>
      <c r="AQ70" s="115" t="inlineStr">
        <is>
          <t>Ảnh\dapnendcv.png</t>
        </is>
      </c>
      <c r="AR70" s="113" t="inlineStr">
        <is>
          <t>Nhóm 1</t>
        </is>
      </c>
      <c r="AS70" s="113" t="n"/>
      <c r="AT70" s="113" t="inlineStr">
        <is>
          <t>HM02</t>
        </is>
      </c>
      <c r="AU70" s="113" t="inlineStr">
        <is>
          <t>KTHH_DAP</t>
        </is>
      </c>
      <c r="AV70" s="113" t="n">
        <v>13</v>
      </c>
      <c r="AW70" s="113" t="n">
        <v>13</v>
      </c>
      <c r="AX70" s="113" t="n"/>
    </row>
    <row r="71" customFormat="1" s="107">
      <c r="A71" s="105" t="inlineStr">
        <is>
          <t>BBK957</t>
        </is>
      </c>
      <c r="B71" s="105" t="inlineStr">
        <is>
          <t>PLKL01</t>
        </is>
      </c>
      <c r="C71" s="105" t="inlineStr">
        <is>
          <t>BBK957.0326206</t>
        </is>
      </c>
      <c r="D71" s="106" t="n"/>
      <c r="E71" s="106" t="n"/>
      <c r="F71" s="106" t="n"/>
      <c r="G71" s="106" t="n"/>
      <c r="H71" s="106" t="n"/>
      <c r="J71" s="108" t="inlineStr">
        <is>
          <t>52</t>
        </is>
      </c>
      <c r="K71" s="108" t="inlineStr">
        <is>
          <t>PLKL01</t>
        </is>
      </c>
      <c r="L71" s="109">
        <f>+L70</f>
        <v/>
      </c>
      <c r="M71" s="109">
        <f>+M70</f>
        <v/>
      </c>
      <c r="N71" s="109">
        <f>+N70</f>
        <v/>
      </c>
      <c r="O71" s="110">
        <f>+O70</f>
        <v/>
      </c>
      <c r="P71" s="111" t="n"/>
      <c r="Q71" s="111" t="n"/>
      <c r="R71" s="111" t="n"/>
      <c r="S71" s="111">
        <f>+S70</f>
        <v/>
      </c>
      <c r="T71" s="112" t="n"/>
      <c r="U71" s="112" t="n"/>
      <c r="V71" s="112" t="n"/>
      <c r="W71" s="113" t="n"/>
      <c r="X71" s="113" t="n"/>
      <c r="Y71" s="113" t="n"/>
      <c r="Z71" s="113" t="n"/>
      <c r="AA71" s="113" t="n"/>
      <c r="AB71" s="113" t="n"/>
      <c r="AC71" s="113" t="n"/>
      <c r="AD71" s="113" t="n"/>
      <c r="AE71" s="113" t="n"/>
      <c r="AF71" s="113" t="n"/>
      <c r="AG71" s="113">
        <f>+AG70</f>
        <v/>
      </c>
      <c r="AH71" s="113" t="inlineStr">
        <is>
          <t>&gt;=38;&lt;=56</t>
        </is>
      </c>
      <c r="AI71" s="109" t="n"/>
      <c r="AJ71" s="113" t="n"/>
      <c r="AK71" s="110" t="n"/>
      <c r="AL71" s="113" t="n"/>
      <c r="AM71" s="113" t="n"/>
      <c r="AN71" s="113" t="n"/>
      <c r="AO71" s="113" t="n"/>
      <c r="AP71" s="115" t="n"/>
      <c r="AQ71" s="115" t="n"/>
      <c r="AR71" s="113" t="inlineStr">
        <is>
          <t>Nhóm 1</t>
        </is>
      </c>
      <c r="AS71" s="113" t="n"/>
      <c r="AT71" s="113" t="inlineStr">
        <is>
          <t>HM02</t>
        </is>
      </c>
      <c r="AU71" s="113" t="inlineStr">
        <is>
          <t>PLKL01</t>
        </is>
      </c>
      <c r="AV71" s="113" t="n">
        <v>15</v>
      </c>
      <c r="AW71" s="113" t="n">
        <v>15</v>
      </c>
      <c r="AX71" s="113" t="n"/>
    </row>
    <row r="72" customFormat="1" s="107">
      <c r="A72" s="105" t="inlineStr">
        <is>
          <t>NTCV</t>
        </is>
      </c>
      <c r="B72" s="105" t="inlineStr">
        <is>
          <t>K.9999</t>
        </is>
      </c>
      <c r="C72" s="105" t="inlineStr">
        <is>
          <t>NTCV.0633178</t>
        </is>
      </c>
      <c r="D72" s="106" t="n"/>
      <c r="E72" s="106" t="n"/>
      <c r="F72" s="106" t="n"/>
      <c r="G72" s="106" t="n"/>
      <c r="H72" s="106" t="n"/>
      <c r="J72" s="147" t="inlineStr">
        <is>
          <t>53</t>
        </is>
      </c>
      <c r="K72" s="147" t="inlineStr">
        <is>
          <t>K.9999</t>
        </is>
      </c>
      <c r="L72" s="148">
        <f>"Đắp nền đường công vụ nhánh 6 lớp số "&amp;M72</f>
        <v/>
      </c>
      <c r="M72" s="148" t="n">
        <v>16</v>
      </c>
      <c r="N72" s="148" t="inlineStr">
        <is>
          <t>Km0+0 -:- 9(Km0+89.62)</t>
        </is>
      </c>
      <c r="O72" s="149" t="inlineStr">
        <is>
          <t>Cầu Km19+529.080</t>
        </is>
      </c>
      <c r="P72" s="134">
        <f>+P69</f>
        <v/>
      </c>
      <c r="Q72" s="134">
        <f>+P72+1</f>
        <v/>
      </c>
      <c r="R72" s="134">
        <f>+Q72-1</f>
        <v/>
      </c>
      <c r="S72" s="134">
        <f>+Q72</f>
        <v/>
      </c>
      <c r="T72" s="135">
        <f>U69+TIME(,10,)</f>
        <v/>
      </c>
      <c r="U72" s="135">
        <f>+T72+V72</f>
        <v/>
      </c>
      <c r="V72" s="135" t="n">
        <v>0.01041666666666667</v>
      </c>
      <c r="W72" s="121">
        <f>TEXT(T72,"HH""h""MM'")&amp;"÷"&amp;TEXT(U72,"HH""h""MM'")</f>
        <v/>
      </c>
      <c r="X72" s="150" t="n"/>
      <c r="Y72" s="150" t="n"/>
      <c r="Z72" s="137" t="inlineStr">
        <is>
          <t>01A;</t>
        </is>
      </c>
      <c r="AA72" s="136">
        <f>+L72</f>
        <v/>
      </c>
      <c r="AB72" s="136">
        <f>+AB69</f>
        <v/>
      </c>
      <c r="AC72" s="150">
        <f>+AC69</f>
        <v/>
      </c>
      <c r="AD72" s="150" t="n"/>
      <c r="AE72" s="150" t="n"/>
      <c r="AF72" s="150" t="n"/>
      <c r="AG72" s="150" t="n"/>
      <c r="AH72" s="150" t="n"/>
      <c r="AI72" s="148" t="n"/>
      <c r="AJ72" s="150" t="n"/>
      <c r="AK72" s="149" t="n"/>
      <c r="AL72" s="150" t="n"/>
      <c r="AM72" s="150" t="n"/>
      <c r="AN72" s="150" t="n"/>
      <c r="AO72" s="150" t="n"/>
      <c r="AP72" s="151" t="n"/>
      <c r="AQ72" s="151" t="n"/>
      <c r="AR72" s="150" t="inlineStr">
        <is>
          <t>Nhóm 1</t>
        </is>
      </c>
      <c r="AS72" s="150" t="n"/>
      <c r="AT72" s="150" t="inlineStr">
        <is>
          <t>HM02</t>
        </is>
      </c>
      <c r="AU72" s="150" t="inlineStr">
        <is>
          <t>NTCV</t>
        </is>
      </c>
      <c r="AV72" s="150" t="n">
        <v>16</v>
      </c>
      <c r="AW72" s="150" t="n">
        <v>16</v>
      </c>
      <c r="AX72" s="150" t="n"/>
    </row>
    <row r="73" ht="28" customFormat="1" customHeight="1" s="107">
      <c r="A73" s="105" t="inlineStr">
        <is>
          <t>BBK371</t>
        </is>
      </c>
      <c r="B73" s="105" t="inlineStr">
        <is>
          <t>KTHH_DAP</t>
        </is>
      </c>
      <c r="C73" s="105" t="inlineStr">
        <is>
          <t>BBK371.0207561</t>
        </is>
      </c>
      <c r="D73" s="106" t="n"/>
      <c r="E73" s="106" t="n"/>
      <c r="F73" s="106" t="n"/>
      <c r="G73" s="106" t="n"/>
      <c r="H73" s="106" t="n"/>
      <c r="J73" s="108" t="inlineStr">
        <is>
          <t>54</t>
        </is>
      </c>
      <c r="K73" s="108" t="inlineStr">
        <is>
          <t>KTHH_DAP</t>
        </is>
      </c>
      <c r="L73" s="109">
        <f>L72</f>
        <v/>
      </c>
      <c r="M73" s="109">
        <f>+M72</f>
        <v/>
      </c>
      <c r="N73" s="109" t="inlineStr">
        <is>
          <t>Km0+0 -:- 9(Km0+89.62)</t>
        </is>
      </c>
      <c r="O73" s="110" t="inlineStr">
        <is>
          <t>Cầu Km19+529.080</t>
        </is>
      </c>
      <c r="P73" s="111" t="n"/>
      <c r="Q73" s="111" t="n"/>
      <c r="R73" s="111" t="n"/>
      <c r="S73" s="111">
        <f>+S72</f>
        <v/>
      </c>
      <c r="T73" s="112" t="n"/>
      <c r="U73" s="112" t="n"/>
      <c r="V73" s="112" t="n"/>
      <c r="W73" s="113" t="n"/>
      <c r="X73" s="113" t="n"/>
      <c r="Y73" s="113" t="n"/>
      <c r="Z73" s="113" t="n"/>
      <c r="AA73" s="113" t="n"/>
      <c r="AB73" s="113" t="n"/>
      <c r="AC73" s="113">
        <f>+AC72</f>
        <v/>
      </c>
      <c r="AD73" s="113" t="n"/>
      <c r="AE73" s="113" t="n"/>
      <c r="AF73" s="113" t="n"/>
      <c r="AG73" s="113" t="inlineStr">
        <is>
          <t>DAPNEN_DCV6</t>
        </is>
      </c>
      <c r="AH73" s="113" t="inlineStr">
        <is>
          <t>&gt;=1;&lt;=19</t>
        </is>
      </c>
      <c r="AI73" s="109" t="n"/>
      <c r="AJ73" s="113" t="n"/>
      <c r="AK73" s="110" t="n"/>
      <c r="AL73" s="113" t="n"/>
      <c r="AM73" s="113" t="n"/>
      <c r="AN73" s="113" t="n"/>
      <c r="AO73" s="113" t="n"/>
      <c r="AP73" s="115" t="n"/>
      <c r="AQ73" s="115" t="inlineStr">
        <is>
          <t>Ảnh\dapnendcv.png</t>
        </is>
      </c>
      <c r="AR73" s="113" t="inlineStr">
        <is>
          <t>Nhóm 1</t>
        </is>
      </c>
      <c r="AS73" s="113" t="n"/>
      <c r="AT73" s="113" t="inlineStr">
        <is>
          <t>HM02</t>
        </is>
      </c>
      <c r="AU73" s="113" t="inlineStr">
        <is>
          <t>KTHH_DAP</t>
        </is>
      </c>
      <c r="AV73" s="113" t="n">
        <v>14</v>
      </c>
      <c r="AW73" s="113" t="n">
        <v>14</v>
      </c>
      <c r="AX73" s="113" t="n"/>
    </row>
    <row r="74" customFormat="1" s="107">
      <c r="A74" s="105" t="inlineStr">
        <is>
          <t>BBK957</t>
        </is>
      </c>
      <c r="B74" s="105" t="inlineStr">
        <is>
          <t>PLKL01</t>
        </is>
      </c>
      <c r="C74" s="105" t="inlineStr">
        <is>
          <t>BBK957.0186013</t>
        </is>
      </c>
      <c r="D74" s="106" t="n"/>
      <c r="E74" s="106" t="n"/>
      <c r="F74" s="106" t="n"/>
      <c r="G74" s="106" t="n"/>
      <c r="H74" s="106" t="n"/>
      <c r="J74" s="108" t="inlineStr">
        <is>
          <t>55</t>
        </is>
      </c>
      <c r="K74" s="108" t="inlineStr">
        <is>
          <t>PLKL01</t>
        </is>
      </c>
      <c r="L74" s="109">
        <f>+L73</f>
        <v/>
      </c>
      <c r="M74" s="109">
        <f>+M73</f>
        <v/>
      </c>
      <c r="N74" s="109">
        <f>+N73</f>
        <v/>
      </c>
      <c r="O74" s="110">
        <f>+O73</f>
        <v/>
      </c>
      <c r="P74" s="111" t="n"/>
      <c r="Q74" s="111" t="n"/>
      <c r="R74" s="111" t="n"/>
      <c r="S74" s="111">
        <f>+S73</f>
        <v/>
      </c>
      <c r="T74" s="112" t="n"/>
      <c r="U74" s="112" t="n"/>
      <c r="V74" s="112" t="n"/>
      <c r="W74" s="113" t="n"/>
      <c r="X74" s="113" t="n"/>
      <c r="Y74" s="113" t="n"/>
      <c r="Z74" s="113" t="n"/>
      <c r="AA74" s="113" t="n"/>
      <c r="AB74" s="113" t="n"/>
      <c r="AC74" s="113" t="n"/>
      <c r="AD74" s="113" t="n"/>
      <c r="AE74" s="113" t="n"/>
      <c r="AF74" s="113" t="n"/>
      <c r="AG74" s="113">
        <f>+AG73</f>
        <v/>
      </c>
      <c r="AH74" s="113" t="inlineStr">
        <is>
          <t>&gt;=38;&lt;=56</t>
        </is>
      </c>
      <c r="AI74" s="109" t="n"/>
      <c r="AJ74" s="113" t="n"/>
      <c r="AK74" s="110" t="n"/>
      <c r="AL74" s="113" t="n"/>
      <c r="AM74" s="113" t="n"/>
      <c r="AN74" s="113" t="n"/>
      <c r="AO74" s="113" t="n"/>
      <c r="AP74" s="115" t="n"/>
      <c r="AQ74" s="115" t="n"/>
      <c r="AR74" s="113" t="inlineStr">
        <is>
          <t>Nhóm 1</t>
        </is>
      </c>
      <c r="AS74" s="113" t="n"/>
      <c r="AT74" s="113" t="inlineStr">
        <is>
          <t>HM02</t>
        </is>
      </c>
      <c r="AU74" s="113" t="inlineStr">
        <is>
          <t>PLKL01</t>
        </is>
      </c>
      <c r="AV74" s="113" t="n">
        <v>16</v>
      </c>
      <c r="AW74" s="113" t="n">
        <v>16</v>
      </c>
      <c r="AX74" s="113" t="n"/>
    </row>
    <row r="75" customFormat="1" s="107">
      <c r="A75" s="105" t="inlineStr">
        <is>
          <t>NTCV</t>
        </is>
      </c>
      <c r="B75" s="105" t="inlineStr">
        <is>
          <t>K.9999</t>
        </is>
      </c>
      <c r="C75" s="105" t="inlineStr">
        <is>
          <t>NTCV.0583359</t>
        </is>
      </c>
      <c r="D75" s="106" t="n"/>
      <c r="E75" s="106" t="n"/>
      <c r="F75" s="106" t="n"/>
      <c r="G75" s="106" t="n"/>
      <c r="H75" s="106" t="n"/>
      <c r="J75" s="147" t="inlineStr">
        <is>
          <t>56</t>
        </is>
      </c>
      <c r="K75" s="147" t="inlineStr">
        <is>
          <t>K.9999</t>
        </is>
      </c>
      <c r="L75" s="148">
        <f>"Đắp nền đường công vụ nhánh 6 lớp số "&amp;M75</f>
        <v/>
      </c>
      <c r="M75" s="148" t="n">
        <v>15</v>
      </c>
      <c r="N75" s="148" t="inlineStr">
        <is>
          <t>Km0+0 -:- 9(Km0+89.62)</t>
        </is>
      </c>
      <c r="O75" s="149" t="inlineStr">
        <is>
          <t>Cầu Km19+529.080</t>
        </is>
      </c>
      <c r="P75" s="134">
        <f>+P72</f>
        <v/>
      </c>
      <c r="Q75" s="134">
        <f>+P75+1</f>
        <v/>
      </c>
      <c r="R75" s="134">
        <f>+Q75-1</f>
        <v/>
      </c>
      <c r="S75" s="134">
        <f>+Q75</f>
        <v/>
      </c>
      <c r="T75" s="135">
        <f>U72+TIME(,10,)</f>
        <v/>
      </c>
      <c r="U75" s="135">
        <f>+T75+V75</f>
        <v/>
      </c>
      <c r="V75" s="135" t="n">
        <v>0.01041666666666667</v>
      </c>
      <c r="W75" s="121">
        <f>TEXT(T75,"HH""h""MM'")&amp;"÷"&amp;TEXT(U75,"HH""h""MM'")</f>
        <v/>
      </c>
      <c r="X75" s="150" t="n"/>
      <c r="Y75" s="150" t="n"/>
      <c r="Z75" s="137" t="inlineStr">
        <is>
          <t>01A;</t>
        </is>
      </c>
      <c r="AA75" s="136">
        <f>+L75</f>
        <v/>
      </c>
      <c r="AB75" s="136">
        <f>+AB72</f>
        <v/>
      </c>
      <c r="AC75" s="150">
        <f>+AC72</f>
        <v/>
      </c>
      <c r="AD75" s="150" t="n"/>
      <c r="AE75" s="150" t="n"/>
      <c r="AF75" s="150" t="n"/>
      <c r="AG75" s="150" t="n"/>
      <c r="AH75" s="150" t="n"/>
      <c r="AI75" s="148" t="n"/>
      <c r="AJ75" s="150" t="n"/>
      <c r="AK75" s="149" t="n"/>
      <c r="AL75" s="150" t="n"/>
      <c r="AM75" s="150" t="n"/>
      <c r="AN75" s="150" t="n"/>
      <c r="AO75" s="150" t="n"/>
      <c r="AP75" s="151" t="n"/>
      <c r="AQ75" s="151" t="n"/>
      <c r="AR75" s="150" t="inlineStr">
        <is>
          <t>Nhóm 1</t>
        </is>
      </c>
      <c r="AS75" s="150" t="n"/>
      <c r="AT75" s="150" t="inlineStr">
        <is>
          <t>HM02</t>
        </is>
      </c>
      <c r="AU75" s="150" t="inlineStr">
        <is>
          <t>NTCV</t>
        </is>
      </c>
      <c r="AV75" s="150" t="n">
        <v>17</v>
      </c>
      <c r="AW75" s="150" t="n">
        <v>17</v>
      </c>
      <c r="AX75" s="150" t="n"/>
    </row>
    <row r="76" ht="28" customFormat="1" customHeight="1" s="107">
      <c r="A76" s="105" t="inlineStr">
        <is>
          <t>BBK371</t>
        </is>
      </c>
      <c r="B76" s="105" t="inlineStr">
        <is>
          <t>KTHH_DAP</t>
        </is>
      </c>
      <c r="C76" s="105" t="inlineStr">
        <is>
          <t>BBK371.0080714</t>
        </is>
      </c>
      <c r="D76" s="106" t="n"/>
      <c r="E76" s="106" t="n"/>
      <c r="F76" s="106" t="n"/>
      <c r="G76" s="106" t="n"/>
      <c r="H76" s="106" t="n"/>
      <c r="J76" s="108" t="inlineStr">
        <is>
          <t>57</t>
        </is>
      </c>
      <c r="K76" s="108" t="inlineStr">
        <is>
          <t>KTHH_DAP</t>
        </is>
      </c>
      <c r="L76" s="109">
        <f>L75</f>
        <v/>
      </c>
      <c r="M76" s="109">
        <f>+M75</f>
        <v/>
      </c>
      <c r="N76" s="109" t="inlineStr">
        <is>
          <t>Km0+0 -:- 9(Km0+89.62)</t>
        </is>
      </c>
      <c r="O76" s="110" t="inlineStr">
        <is>
          <t>Cầu Km19+529.080</t>
        </is>
      </c>
      <c r="P76" s="111" t="n"/>
      <c r="Q76" s="111" t="n"/>
      <c r="R76" s="111" t="n"/>
      <c r="S76" s="111">
        <f>+S75</f>
        <v/>
      </c>
      <c r="T76" s="112" t="n"/>
      <c r="U76" s="112" t="n"/>
      <c r="V76" s="112" t="n"/>
      <c r="W76" s="113" t="n"/>
      <c r="X76" s="113" t="n"/>
      <c r="Y76" s="113" t="n"/>
      <c r="Z76" s="113" t="n"/>
      <c r="AA76" s="113" t="n"/>
      <c r="AB76" s="113" t="n"/>
      <c r="AC76" s="113">
        <f>+AC75</f>
        <v/>
      </c>
      <c r="AD76" s="113" t="n"/>
      <c r="AE76" s="113" t="n"/>
      <c r="AF76" s="113" t="n"/>
      <c r="AG76" s="113" t="inlineStr">
        <is>
          <t>DAPNEN_DCV6</t>
        </is>
      </c>
      <c r="AH76" s="113" t="inlineStr">
        <is>
          <t>&gt;=1;&lt;=19</t>
        </is>
      </c>
      <c r="AI76" s="109" t="n"/>
      <c r="AJ76" s="113" t="n"/>
      <c r="AK76" s="110" t="n"/>
      <c r="AL76" s="113" t="n"/>
      <c r="AM76" s="113" t="n"/>
      <c r="AN76" s="113" t="n"/>
      <c r="AO76" s="113" t="n"/>
      <c r="AP76" s="115" t="n"/>
      <c r="AQ76" s="115" t="inlineStr">
        <is>
          <t>Ảnh\dapnendcv.png</t>
        </is>
      </c>
      <c r="AR76" s="113" t="inlineStr">
        <is>
          <t>Nhóm 1</t>
        </is>
      </c>
      <c r="AS76" s="113" t="n"/>
      <c r="AT76" s="113" t="inlineStr">
        <is>
          <t>HM02</t>
        </is>
      </c>
      <c r="AU76" s="113" t="inlineStr">
        <is>
          <t>KTHH_DAP</t>
        </is>
      </c>
      <c r="AV76" s="113" t="n">
        <v>15</v>
      </c>
      <c r="AW76" s="113" t="n">
        <v>15</v>
      </c>
      <c r="AX76" s="113" t="n"/>
    </row>
    <row r="77" customFormat="1" s="107">
      <c r="A77" s="105" t="inlineStr">
        <is>
          <t>BBK957</t>
        </is>
      </c>
      <c r="B77" s="105" t="inlineStr">
        <is>
          <t>PLKL01</t>
        </is>
      </c>
      <c r="C77" s="105" t="inlineStr">
        <is>
          <t>BBK957.0457971</t>
        </is>
      </c>
      <c r="D77" s="106" t="n"/>
      <c r="E77" s="106" t="n"/>
      <c r="F77" s="106" t="n"/>
      <c r="G77" s="106" t="n"/>
      <c r="H77" s="106" t="n"/>
      <c r="J77" s="108" t="inlineStr">
        <is>
          <t>58</t>
        </is>
      </c>
      <c r="K77" s="108" t="inlineStr">
        <is>
          <t>PLKL01</t>
        </is>
      </c>
      <c r="L77" s="109">
        <f>+L76</f>
        <v/>
      </c>
      <c r="M77" s="109">
        <f>+M76</f>
        <v/>
      </c>
      <c r="N77" s="109">
        <f>+N76</f>
        <v/>
      </c>
      <c r="O77" s="110">
        <f>+O76</f>
        <v/>
      </c>
      <c r="P77" s="111" t="n"/>
      <c r="Q77" s="111" t="n"/>
      <c r="R77" s="111" t="n"/>
      <c r="S77" s="111">
        <f>+S76</f>
        <v/>
      </c>
      <c r="T77" s="112" t="n"/>
      <c r="U77" s="112" t="n"/>
      <c r="V77" s="112" t="n"/>
      <c r="W77" s="113" t="n"/>
      <c r="X77" s="113" t="n"/>
      <c r="Y77" s="113" t="n"/>
      <c r="Z77" s="113" t="n"/>
      <c r="AA77" s="113" t="n"/>
      <c r="AB77" s="113" t="n"/>
      <c r="AC77" s="113" t="n"/>
      <c r="AD77" s="113" t="n"/>
      <c r="AE77" s="113" t="n"/>
      <c r="AF77" s="113" t="n"/>
      <c r="AG77" s="113">
        <f>+AG76</f>
        <v/>
      </c>
      <c r="AH77" s="113" t="inlineStr">
        <is>
          <t>&gt;=38;&lt;=56</t>
        </is>
      </c>
      <c r="AI77" s="109" t="n"/>
      <c r="AJ77" s="113" t="n"/>
      <c r="AK77" s="110" t="n"/>
      <c r="AL77" s="113" t="n"/>
      <c r="AM77" s="113" t="n"/>
      <c r="AN77" s="113" t="n"/>
      <c r="AO77" s="113" t="n"/>
      <c r="AP77" s="115" t="n"/>
      <c r="AQ77" s="115" t="n"/>
      <c r="AR77" s="113" t="inlineStr">
        <is>
          <t>Nhóm 1</t>
        </is>
      </c>
      <c r="AS77" s="113" t="n"/>
      <c r="AT77" s="113" t="inlineStr">
        <is>
          <t>HM02</t>
        </is>
      </c>
      <c r="AU77" s="113" t="inlineStr">
        <is>
          <t>PLKL01</t>
        </is>
      </c>
      <c r="AV77" s="113" t="n">
        <v>17</v>
      </c>
      <c r="AW77" s="113" t="n">
        <v>17</v>
      </c>
      <c r="AX77" s="113" t="n"/>
    </row>
    <row r="78" customFormat="1" s="107">
      <c r="A78" s="105" t="inlineStr">
        <is>
          <t>NTCV</t>
        </is>
      </c>
      <c r="B78" s="105" t="inlineStr">
        <is>
          <t>K.9999</t>
        </is>
      </c>
      <c r="C78" s="105" t="inlineStr">
        <is>
          <t>NTCV.0905729</t>
        </is>
      </c>
      <c r="D78" s="106" t="n"/>
      <c r="E78" s="106" t="n"/>
      <c r="F78" s="106" t="n"/>
      <c r="G78" s="106" t="n"/>
      <c r="H78" s="106" t="n"/>
      <c r="J78" s="147" t="inlineStr">
        <is>
          <t>59</t>
        </is>
      </c>
      <c r="K78" s="147" t="inlineStr">
        <is>
          <t>K.9999</t>
        </is>
      </c>
      <c r="L78" s="148">
        <f>"Đắp nền đường công vụ nhánh 6 lớp số "&amp;M78</f>
        <v/>
      </c>
      <c r="M78" s="148" t="n">
        <v>14</v>
      </c>
      <c r="N78" s="148" t="inlineStr">
        <is>
          <t>Km0+0 -:- 9(Km0+89.62)</t>
        </is>
      </c>
      <c r="O78" s="149" t="inlineStr">
        <is>
          <t>Cầu Km19+529.080</t>
        </is>
      </c>
      <c r="P78" s="134">
        <f>+P75</f>
        <v/>
      </c>
      <c r="Q78" s="134">
        <f>+P78+1</f>
        <v/>
      </c>
      <c r="R78" s="134">
        <f>+Q78-1</f>
        <v/>
      </c>
      <c r="S78" s="134">
        <f>+Q78</f>
        <v/>
      </c>
      <c r="T78" s="135">
        <f>U75+TIME(,10,)</f>
        <v/>
      </c>
      <c r="U78" s="135">
        <f>+T78+V78</f>
        <v/>
      </c>
      <c r="V78" s="135" t="n">
        <v>0.01041666666666667</v>
      </c>
      <c r="W78" s="121">
        <f>TEXT(T78,"HH""h""MM'")&amp;"÷"&amp;TEXT(U78,"HH""h""MM'")</f>
        <v/>
      </c>
      <c r="X78" s="150" t="n"/>
      <c r="Y78" s="150" t="n"/>
      <c r="Z78" s="137" t="inlineStr">
        <is>
          <t>01A;</t>
        </is>
      </c>
      <c r="AA78" s="136">
        <f>+L78</f>
        <v/>
      </c>
      <c r="AB78" s="136">
        <f>+AB75</f>
        <v/>
      </c>
      <c r="AC78" s="150">
        <f>+AC75</f>
        <v/>
      </c>
      <c r="AD78" s="150" t="n"/>
      <c r="AE78" s="150" t="n"/>
      <c r="AF78" s="150" t="n"/>
      <c r="AG78" s="150" t="n"/>
      <c r="AH78" s="150" t="n"/>
      <c r="AI78" s="148" t="n"/>
      <c r="AJ78" s="150" t="n"/>
      <c r="AK78" s="149" t="n"/>
      <c r="AL78" s="150" t="n"/>
      <c r="AM78" s="150" t="n"/>
      <c r="AN78" s="150" t="n"/>
      <c r="AO78" s="150" t="n"/>
      <c r="AP78" s="151" t="n"/>
      <c r="AQ78" s="151" t="n"/>
      <c r="AR78" s="150" t="inlineStr">
        <is>
          <t>Nhóm 1</t>
        </is>
      </c>
      <c r="AS78" s="150" t="n"/>
      <c r="AT78" s="150" t="inlineStr">
        <is>
          <t>HM02</t>
        </is>
      </c>
      <c r="AU78" s="150" t="inlineStr">
        <is>
          <t>NTCV</t>
        </is>
      </c>
      <c r="AV78" s="150" t="n">
        <v>18</v>
      </c>
      <c r="AW78" s="150" t="n">
        <v>18</v>
      </c>
      <c r="AX78" s="150" t="n"/>
    </row>
    <row r="79" ht="28" customFormat="1" customHeight="1" s="107">
      <c r="A79" s="105" t="inlineStr">
        <is>
          <t>BBK371</t>
        </is>
      </c>
      <c r="B79" s="105" t="inlineStr">
        <is>
          <t>KTHH_DAP</t>
        </is>
      </c>
      <c r="C79" s="105" t="inlineStr">
        <is>
          <t>BBK371.0261368</t>
        </is>
      </c>
      <c r="D79" s="106" t="n"/>
      <c r="E79" s="106" t="n"/>
      <c r="F79" s="106" t="n"/>
      <c r="G79" s="106" t="n"/>
      <c r="H79" s="106" t="n"/>
      <c r="J79" s="124" t="inlineStr">
        <is>
          <t>60</t>
        </is>
      </c>
      <c r="K79" s="124" t="inlineStr">
        <is>
          <t>KTHH_DAP</t>
        </is>
      </c>
      <c r="L79" s="125">
        <f>L78</f>
        <v/>
      </c>
      <c r="M79" s="125">
        <f>+M78</f>
        <v/>
      </c>
      <c r="N79" s="125" t="inlineStr">
        <is>
          <t>Km0+0 -:- 9(Km0+89.62)</t>
        </is>
      </c>
      <c r="O79" s="126" t="inlineStr">
        <is>
          <t>Cầu Km19+529.080</t>
        </is>
      </c>
      <c r="P79" s="127" t="n"/>
      <c r="Q79" s="127" t="n"/>
      <c r="R79" s="127" t="n"/>
      <c r="S79" s="127">
        <f>+S78</f>
        <v/>
      </c>
      <c r="T79" s="128" t="n"/>
      <c r="U79" s="128" t="n"/>
      <c r="V79" s="128" t="n"/>
      <c r="W79" s="129" t="n"/>
      <c r="X79" s="129" t="n"/>
      <c r="Y79" s="129" t="n"/>
      <c r="Z79" s="129" t="n"/>
      <c r="AA79" s="129" t="n"/>
      <c r="AB79" s="129" t="n"/>
      <c r="AC79" s="129">
        <f>+AC78</f>
        <v/>
      </c>
      <c r="AD79" s="129" t="n"/>
      <c r="AE79" s="129" t="n"/>
      <c r="AF79" s="129" t="n"/>
      <c r="AG79" s="129" t="inlineStr">
        <is>
          <t>DAPNEN_DCV6</t>
        </is>
      </c>
      <c r="AH79" s="129" t="inlineStr">
        <is>
          <t>&gt;=1;&lt;=19</t>
        </is>
      </c>
      <c r="AI79" s="125" t="n"/>
      <c r="AJ79" s="129" t="n"/>
      <c r="AK79" s="126" t="n"/>
      <c r="AL79" s="129" t="n"/>
      <c r="AM79" s="129" t="n"/>
      <c r="AN79" s="129" t="n"/>
      <c r="AO79" s="129" t="n"/>
      <c r="AP79" s="130" t="n"/>
      <c r="AQ79" s="130" t="inlineStr">
        <is>
          <t>Ảnh\dapnendcv.png</t>
        </is>
      </c>
      <c r="AR79" s="129" t="inlineStr">
        <is>
          <t>Nhóm 1</t>
        </is>
      </c>
      <c r="AS79" s="129" t="n"/>
      <c r="AT79" s="129" t="inlineStr">
        <is>
          <t>HM02</t>
        </is>
      </c>
      <c r="AU79" s="129" t="inlineStr">
        <is>
          <t>KTHH_DAP</t>
        </is>
      </c>
      <c r="AV79" s="129" t="n">
        <v>16</v>
      </c>
      <c r="AW79" s="129" t="n">
        <v>16</v>
      </c>
      <c r="AX79" s="129" t="n"/>
    </row>
    <row r="80" customFormat="1" s="107">
      <c r="A80" s="105" t="inlineStr">
        <is>
          <t>BBK957</t>
        </is>
      </c>
      <c r="B80" s="105" t="inlineStr">
        <is>
          <t>PLKL01</t>
        </is>
      </c>
      <c r="C80" s="105" t="inlineStr">
        <is>
          <t>BBK957.0785212</t>
        </is>
      </c>
      <c r="D80" s="106" t="n"/>
      <c r="E80" s="106" t="n"/>
      <c r="F80" s="106" t="n"/>
      <c r="G80" s="106" t="n"/>
      <c r="H80" s="106" t="n"/>
      <c r="J80" s="108" t="inlineStr">
        <is>
          <t>61</t>
        </is>
      </c>
      <c r="K80" s="108" t="inlineStr">
        <is>
          <t>PLKL01</t>
        </is>
      </c>
      <c r="L80" s="109">
        <f>+L79</f>
        <v/>
      </c>
      <c r="M80" s="109">
        <f>+M79</f>
        <v/>
      </c>
      <c r="N80" s="109">
        <f>+N79</f>
        <v/>
      </c>
      <c r="O80" s="110">
        <f>+O79</f>
        <v/>
      </c>
      <c r="P80" s="111" t="n"/>
      <c r="Q80" s="111" t="n"/>
      <c r="R80" s="111" t="n"/>
      <c r="S80" s="111">
        <f>+S79</f>
        <v/>
      </c>
      <c r="T80" s="112" t="n"/>
      <c r="U80" s="112" t="n"/>
      <c r="V80" s="112" t="n"/>
      <c r="W80" s="113" t="n"/>
      <c r="X80" s="113" t="n"/>
      <c r="Y80" s="113" t="n"/>
      <c r="Z80" s="113" t="n"/>
      <c r="AA80" s="113" t="n"/>
      <c r="AB80" s="113" t="n"/>
      <c r="AC80" s="113" t="n"/>
      <c r="AD80" s="113" t="n"/>
      <c r="AE80" s="113" t="n"/>
      <c r="AF80" s="113" t="n"/>
      <c r="AG80" s="113">
        <f>+AG79</f>
        <v/>
      </c>
      <c r="AH80" s="113" t="inlineStr">
        <is>
          <t>&gt;=38;&lt;=56</t>
        </is>
      </c>
      <c r="AI80" s="109" t="n"/>
      <c r="AJ80" s="113" t="n"/>
      <c r="AK80" s="110" t="n"/>
      <c r="AL80" s="113" t="n"/>
      <c r="AM80" s="113" t="n"/>
      <c r="AN80" s="113" t="n"/>
      <c r="AO80" s="113" t="n"/>
      <c r="AP80" s="115" t="n"/>
      <c r="AQ80" s="115" t="n"/>
      <c r="AR80" s="113" t="inlineStr">
        <is>
          <t>Nhóm 1</t>
        </is>
      </c>
      <c r="AS80" s="113" t="n"/>
      <c r="AT80" s="113" t="inlineStr">
        <is>
          <t>HM02</t>
        </is>
      </c>
      <c r="AU80" s="113" t="inlineStr">
        <is>
          <t>PLKL01</t>
        </is>
      </c>
      <c r="AV80" s="113" t="n">
        <v>18</v>
      </c>
      <c r="AW80" s="113" t="n">
        <v>18</v>
      </c>
      <c r="AX80" s="113" t="n"/>
    </row>
    <row r="81" customFormat="1" s="107">
      <c r="A81" s="105" t="inlineStr">
        <is>
          <t>BBK680</t>
        </is>
      </c>
      <c r="B81" s="105" t="inlineStr">
        <is>
          <t>PYC</t>
        </is>
      </c>
      <c r="C81" s="105" t="inlineStr">
        <is>
          <t>BBK680.0378902</t>
        </is>
      </c>
      <c r="D81" s="106" t="n"/>
      <c r="E81" s="106" t="n"/>
      <c r="F81" s="106" t="n"/>
      <c r="G81" s="106" t="n"/>
      <c r="H81" s="106" t="n"/>
      <c r="J81" s="108" t="inlineStr">
        <is>
          <t>62</t>
        </is>
      </c>
      <c r="K81" s="108" t="inlineStr">
        <is>
          <t>PYC</t>
        </is>
      </c>
      <c r="L81" s="109" t="inlineStr">
        <is>
          <t>phiếu yêu cầu</t>
        </is>
      </c>
      <c r="M81" s="109" t="n"/>
      <c r="N81" s="109" t="n"/>
      <c r="O81" s="110" t="n"/>
      <c r="P81" s="111" t="n"/>
      <c r="Q81" s="111" t="n"/>
      <c r="R81" s="111">
        <f>+R82</f>
        <v/>
      </c>
      <c r="S81" s="111">
        <f>+S82</f>
        <v/>
      </c>
      <c r="T81" s="112" t="n"/>
      <c r="U81" s="112" t="n"/>
      <c r="V81" s="112" t="n"/>
      <c r="W81" s="113" t="n"/>
      <c r="X81" s="113" t="n"/>
      <c r="Y81" s="113" t="n"/>
      <c r="Z81" s="113" t="n"/>
      <c r="AA81" s="113" t="n"/>
      <c r="AB81" s="113" t="inlineStr">
        <is>
          <t>09-XL-307HG/PYCNT/MB-ĐCV</t>
        </is>
      </c>
      <c r="AC81" s="113" t="n"/>
      <c r="AD81" s="113" t="n"/>
      <c r="AE81" s="113" t="n"/>
      <c r="AF81" s="113" t="n"/>
      <c r="AG81" s="113" t="inlineStr">
        <is>
          <t>NTCV</t>
        </is>
      </c>
      <c r="AH81" s="113" t="inlineStr">
        <is>
          <t>&gt;=19;&lt;=22</t>
        </is>
      </c>
      <c r="AI81" s="109" t="n"/>
      <c r="AJ81" s="113" t="n"/>
      <c r="AK81" s="110" t="n"/>
      <c r="AL81" s="113" t="n"/>
      <c r="AM81" s="113" t="n"/>
      <c r="AN81" s="113" t="n"/>
      <c r="AO81" s="113" t="n"/>
      <c r="AP81" s="115" t="n"/>
      <c r="AQ81" s="115" t="n"/>
      <c r="AR81" s="113" t="inlineStr">
        <is>
          <t>Nhóm 1</t>
        </is>
      </c>
      <c r="AS81" s="113" t="n"/>
      <c r="AT81" s="113" t="inlineStr">
        <is>
          <t>HM02</t>
        </is>
      </c>
      <c r="AU81" s="113" t="inlineStr">
        <is>
          <t>PYC</t>
        </is>
      </c>
      <c r="AV81" s="113" t="n">
        <v>6</v>
      </c>
      <c r="AW81" s="113" t="n">
        <v>6</v>
      </c>
      <c r="AX81" s="113" t="n"/>
    </row>
    <row r="82" customFormat="1" s="107">
      <c r="A82" s="105" t="inlineStr">
        <is>
          <t>NTCV</t>
        </is>
      </c>
      <c r="B82" s="105" t="inlineStr">
        <is>
          <t>K.9999</t>
        </is>
      </c>
      <c r="C82" s="105" t="inlineStr">
        <is>
          <t>NTCV.0289665</t>
        </is>
      </c>
      <c r="D82" s="106" t="n"/>
      <c r="E82" s="106" t="n"/>
      <c r="F82" s="106" t="n"/>
      <c r="G82" s="106" t="n"/>
      <c r="H82" s="106" t="n"/>
      <c r="J82" s="131" t="inlineStr">
        <is>
          <t>63</t>
        </is>
      </c>
      <c r="K82" s="131" t="inlineStr">
        <is>
          <t>K.9999</t>
        </is>
      </c>
      <c r="L82" s="132">
        <f>"Đắp nền đường công vụ nhánh 6 lớp số "&amp;M82</f>
        <v/>
      </c>
      <c r="M82" s="132" t="n">
        <v>13</v>
      </c>
      <c r="N82" s="132" t="inlineStr">
        <is>
          <t>Km0+0 -:- 9(Km0+89.62)</t>
        </is>
      </c>
      <c r="O82" s="133" t="inlineStr">
        <is>
          <t>Cầu Km19+529.080</t>
        </is>
      </c>
      <c r="P82" s="134">
        <f>+S78</f>
        <v/>
      </c>
      <c r="Q82" s="134">
        <f>+P82+1</f>
        <v/>
      </c>
      <c r="R82" s="134">
        <f>+Q82-1</f>
        <v/>
      </c>
      <c r="S82" s="134">
        <f>+Q82</f>
        <v/>
      </c>
      <c r="T82" s="135" t="n">
        <v>0.3541666666666667</v>
      </c>
      <c r="U82" s="135">
        <f>+T82+V82</f>
        <v/>
      </c>
      <c r="V82" s="135" t="n">
        <v>0.01041666666666667</v>
      </c>
      <c r="W82" s="136">
        <f>TEXT(T82,"HH""h""MM'")&amp;"÷"&amp;TEXT(U82,"HH""h""MM'")</f>
        <v/>
      </c>
      <c r="X82" s="136" t="n"/>
      <c r="Y82" s="136" t="n"/>
      <c r="Z82" s="137" t="inlineStr">
        <is>
          <t>01A;</t>
        </is>
      </c>
      <c r="AA82" s="136">
        <f>+L82</f>
        <v/>
      </c>
      <c r="AB82" s="136" t="inlineStr">
        <is>
          <t>09-XL-307HG/PYCNT/MB-ĐCV-6</t>
        </is>
      </c>
      <c r="AC82" s="136" t="inlineStr">
        <is>
          <t>09-XL-307HG/PYCNT/MB-ĐCV-6</t>
        </is>
      </c>
      <c r="AD82" s="136" t="n"/>
      <c r="AE82" s="136" t="n"/>
      <c r="AF82" s="136" t="n"/>
      <c r="AG82" s="136" t="n"/>
      <c r="AH82" s="136" t="n"/>
      <c r="AI82" s="132" t="n"/>
      <c r="AJ82" s="136" t="n"/>
      <c r="AK82" s="133" t="n"/>
      <c r="AL82" s="136" t="n"/>
      <c r="AM82" s="136" t="n"/>
      <c r="AN82" s="136" t="n"/>
      <c r="AO82" s="136" t="n"/>
      <c r="AP82" s="138" t="n"/>
      <c r="AQ82" s="138" t="n"/>
      <c r="AR82" s="136" t="inlineStr">
        <is>
          <t>Nhóm 1</t>
        </is>
      </c>
      <c r="AS82" s="136" t="n"/>
      <c r="AT82" s="136" t="inlineStr">
        <is>
          <t>HM02</t>
        </is>
      </c>
      <c r="AU82" s="136" t="inlineStr">
        <is>
          <t>NTCV</t>
        </is>
      </c>
      <c r="AV82" s="136" t="n">
        <v>19</v>
      </c>
      <c r="AW82" s="136" t="n">
        <v>19</v>
      </c>
      <c r="AX82" s="136" t="n"/>
    </row>
    <row r="83" ht="28" customFormat="1" customHeight="1" s="107">
      <c r="A83" s="105" t="inlineStr">
        <is>
          <t>BBK371</t>
        </is>
      </c>
      <c r="B83" s="105" t="inlineStr">
        <is>
          <t>KTHH_DAP</t>
        </is>
      </c>
      <c r="C83" s="105" t="inlineStr">
        <is>
          <t>BBK371.0919377</t>
        </is>
      </c>
      <c r="D83" s="106" t="n"/>
      <c r="E83" s="106" t="n"/>
      <c r="F83" s="106" t="n"/>
      <c r="G83" s="106" t="n"/>
      <c r="H83" s="106" t="n"/>
      <c r="J83" s="108" t="inlineStr">
        <is>
          <t>64</t>
        </is>
      </c>
      <c r="K83" s="108" t="inlineStr">
        <is>
          <t>KTHH_DAP</t>
        </is>
      </c>
      <c r="L83" s="109">
        <f>L82</f>
        <v/>
      </c>
      <c r="M83" s="109">
        <f>+M82</f>
        <v/>
      </c>
      <c r="N83" s="109" t="inlineStr">
        <is>
          <t>Km0+0 -:- 9(Km0+89.62)</t>
        </is>
      </c>
      <c r="O83" s="110" t="inlineStr">
        <is>
          <t>Cầu Km19+529.080</t>
        </is>
      </c>
      <c r="P83" s="111" t="n"/>
      <c r="Q83" s="111" t="n"/>
      <c r="R83" s="111" t="n"/>
      <c r="S83" s="111">
        <f>+S82</f>
        <v/>
      </c>
      <c r="T83" s="112" t="n"/>
      <c r="U83" s="112" t="n"/>
      <c r="V83" s="112" t="n"/>
      <c r="W83" s="113" t="n"/>
      <c r="X83" s="113" t="n"/>
      <c r="Y83" s="113" t="n"/>
      <c r="Z83" s="113" t="n"/>
      <c r="AA83" s="113" t="n"/>
      <c r="AB83" s="113" t="n"/>
      <c r="AC83" s="113">
        <f>AC82</f>
        <v/>
      </c>
      <c r="AD83" s="113" t="n"/>
      <c r="AE83" s="113" t="n"/>
      <c r="AF83" s="113" t="n"/>
      <c r="AG83" s="113" t="inlineStr">
        <is>
          <t>DAPNEN_DCV6</t>
        </is>
      </c>
      <c r="AH83" s="113" t="inlineStr">
        <is>
          <t>&gt;=1;&lt;=19</t>
        </is>
      </c>
      <c r="AI83" s="109" t="n"/>
      <c r="AJ83" s="113" t="n"/>
      <c r="AK83" s="110" t="n"/>
      <c r="AL83" s="113" t="n"/>
      <c r="AM83" s="113" t="n"/>
      <c r="AN83" s="113" t="n"/>
      <c r="AO83" s="113" t="n"/>
      <c r="AP83" s="115" t="n"/>
      <c r="AQ83" s="115" t="inlineStr">
        <is>
          <t>Ảnh\dapnendcv.png</t>
        </is>
      </c>
      <c r="AR83" s="113" t="inlineStr">
        <is>
          <t>Nhóm 1</t>
        </is>
      </c>
      <c r="AS83" s="113" t="n"/>
      <c r="AT83" s="113" t="inlineStr">
        <is>
          <t>HM02</t>
        </is>
      </c>
      <c r="AU83" s="113" t="inlineStr">
        <is>
          <t>KTHH_DAP</t>
        </is>
      </c>
      <c r="AV83" s="113" t="n">
        <v>17</v>
      </c>
      <c r="AW83" s="113" t="n">
        <v>17</v>
      </c>
      <c r="AX83" s="113" t="n"/>
    </row>
    <row r="84" customFormat="1" s="107">
      <c r="A84" s="105" t="inlineStr">
        <is>
          <t>BBK957</t>
        </is>
      </c>
      <c r="B84" s="105" t="inlineStr">
        <is>
          <t>PLKL01</t>
        </is>
      </c>
      <c r="C84" s="105" t="inlineStr">
        <is>
          <t>BBK957.0631742</t>
        </is>
      </c>
      <c r="D84" s="106" t="n"/>
      <c r="E84" s="106" t="n"/>
      <c r="F84" s="106" t="n"/>
      <c r="G84" s="106" t="n"/>
      <c r="H84" s="106" t="n"/>
      <c r="J84" s="108" t="inlineStr">
        <is>
          <t>65</t>
        </is>
      </c>
      <c r="K84" s="108" t="inlineStr">
        <is>
          <t>PLKL01</t>
        </is>
      </c>
      <c r="L84" s="109">
        <f>+L83</f>
        <v/>
      </c>
      <c r="M84" s="109">
        <f>+M83</f>
        <v/>
      </c>
      <c r="N84" s="109">
        <f>+N83</f>
        <v/>
      </c>
      <c r="O84" s="110">
        <f>+O83</f>
        <v/>
      </c>
      <c r="P84" s="111" t="n"/>
      <c r="Q84" s="111" t="n"/>
      <c r="R84" s="111" t="n"/>
      <c r="S84" s="111">
        <f>+S83</f>
        <v/>
      </c>
      <c r="T84" s="112" t="n"/>
      <c r="U84" s="112" t="n"/>
      <c r="V84" s="112" t="n"/>
      <c r="W84" s="113" t="n"/>
      <c r="X84" s="113" t="n"/>
      <c r="Y84" s="113" t="n"/>
      <c r="Z84" s="113" t="n"/>
      <c r="AA84" s="113" t="n"/>
      <c r="AB84" s="113" t="n"/>
      <c r="AC84" s="113" t="n"/>
      <c r="AD84" s="113" t="n"/>
      <c r="AE84" s="113" t="n"/>
      <c r="AF84" s="113" t="n"/>
      <c r="AG84" s="113">
        <f>+AG83</f>
        <v/>
      </c>
      <c r="AH84" s="113" t="inlineStr">
        <is>
          <t>&gt;=38;&lt;=56</t>
        </is>
      </c>
      <c r="AI84" s="109" t="n"/>
      <c r="AJ84" s="113" t="n"/>
      <c r="AK84" s="110" t="n"/>
      <c r="AL84" s="113" t="n"/>
      <c r="AM84" s="113" t="n"/>
      <c r="AN84" s="113" t="n"/>
      <c r="AO84" s="113" t="n"/>
      <c r="AP84" s="115" t="n"/>
      <c r="AQ84" s="115" t="n"/>
      <c r="AR84" s="113" t="inlineStr">
        <is>
          <t>Nhóm 1</t>
        </is>
      </c>
      <c r="AS84" s="113" t="n"/>
      <c r="AT84" s="113" t="inlineStr">
        <is>
          <t>HM02</t>
        </is>
      </c>
      <c r="AU84" s="113" t="inlineStr">
        <is>
          <t>PLKL01</t>
        </is>
      </c>
      <c r="AV84" s="113" t="n">
        <v>19</v>
      </c>
      <c r="AW84" s="113" t="n">
        <v>19</v>
      </c>
      <c r="AX84" s="113" t="n"/>
    </row>
    <row r="85" customFormat="1" s="107">
      <c r="A85" s="105" t="inlineStr">
        <is>
          <t>NTCV</t>
        </is>
      </c>
      <c r="B85" s="105" t="inlineStr">
        <is>
          <t>K.9999</t>
        </is>
      </c>
      <c r="C85" s="105" t="inlineStr">
        <is>
          <t>NTCV.0627642</t>
        </is>
      </c>
      <c r="D85" s="106" t="n"/>
      <c r="E85" s="106" t="n"/>
      <c r="F85" s="106" t="n"/>
      <c r="G85" s="106" t="n"/>
      <c r="H85" s="106" t="n"/>
      <c r="J85" s="147" t="inlineStr">
        <is>
          <t>66</t>
        </is>
      </c>
      <c r="K85" s="147" t="inlineStr">
        <is>
          <t>K.9999</t>
        </is>
      </c>
      <c r="L85" s="148">
        <f>"Đắp nền đường công vụ nhánh 6 lớp số "&amp;M85</f>
        <v/>
      </c>
      <c r="M85" s="148" t="n">
        <v>12</v>
      </c>
      <c r="N85" s="148" t="inlineStr">
        <is>
          <t>Km0+0 -:- 9(Km0+89.62)</t>
        </is>
      </c>
      <c r="O85" s="149" t="inlineStr">
        <is>
          <t>Cầu Km19+529.080</t>
        </is>
      </c>
      <c r="P85" s="134">
        <f>+P82</f>
        <v/>
      </c>
      <c r="Q85" s="134">
        <f>+P85+1</f>
        <v/>
      </c>
      <c r="R85" s="134">
        <f>+Q85-1</f>
        <v/>
      </c>
      <c r="S85" s="134">
        <f>+Q85</f>
        <v/>
      </c>
      <c r="T85" s="135">
        <f>U82+TIME(,10,)</f>
        <v/>
      </c>
      <c r="U85" s="135">
        <f>+T85+V85</f>
        <v/>
      </c>
      <c r="V85" s="135" t="n">
        <v>0.01041666666666667</v>
      </c>
      <c r="W85" s="121">
        <f>TEXT(T85,"HH""h""MM'")&amp;"÷"&amp;TEXT(U85,"HH""h""MM'")</f>
        <v/>
      </c>
      <c r="X85" s="150" t="n"/>
      <c r="Y85" s="150" t="n"/>
      <c r="Z85" s="137" t="inlineStr">
        <is>
          <t>01A;</t>
        </is>
      </c>
      <c r="AA85" s="136">
        <f>+L85</f>
        <v/>
      </c>
      <c r="AB85" s="136">
        <f>+AB82</f>
        <v/>
      </c>
      <c r="AC85" s="150">
        <f>+AC82</f>
        <v/>
      </c>
      <c r="AD85" s="150" t="n"/>
      <c r="AE85" s="150" t="n"/>
      <c r="AF85" s="150" t="n"/>
      <c r="AG85" s="150" t="n"/>
      <c r="AH85" s="150" t="n"/>
      <c r="AI85" s="148" t="n"/>
      <c r="AJ85" s="150" t="n"/>
      <c r="AK85" s="149" t="n"/>
      <c r="AL85" s="150" t="n"/>
      <c r="AM85" s="150" t="n"/>
      <c r="AN85" s="150" t="n"/>
      <c r="AO85" s="150" t="n"/>
      <c r="AP85" s="151" t="n"/>
      <c r="AQ85" s="151" t="n"/>
      <c r="AR85" s="150" t="inlineStr">
        <is>
          <t>Nhóm 1</t>
        </is>
      </c>
      <c r="AS85" s="150" t="n"/>
      <c r="AT85" s="150" t="inlineStr">
        <is>
          <t>HM02</t>
        </is>
      </c>
      <c r="AU85" s="150" t="inlineStr">
        <is>
          <t>NTCV</t>
        </is>
      </c>
      <c r="AV85" s="150" t="n">
        <v>20</v>
      </c>
      <c r="AW85" s="150" t="n">
        <v>20</v>
      </c>
      <c r="AX85" s="150" t="n"/>
    </row>
    <row r="86" ht="28" customFormat="1" customHeight="1" s="107">
      <c r="A86" s="105" t="inlineStr">
        <is>
          <t>BBK371</t>
        </is>
      </c>
      <c r="B86" s="105" t="inlineStr">
        <is>
          <t>KTHH_DAP</t>
        </is>
      </c>
      <c r="C86" s="105" t="inlineStr">
        <is>
          <t>BBK371.0428456</t>
        </is>
      </c>
      <c r="D86" s="106" t="n"/>
      <c r="E86" s="106" t="n"/>
      <c r="F86" s="106" t="n"/>
      <c r="G86" s="106" t="n"/>
      <c r="H86" s="106" t="n"/>
      <c r="J86" s="108" t="inlineStr">
        <is>
          <t>67</t>
        </is>
      </c>
      <c r="K86" s="108" t="inlineStr">
        <is>
          <t>KTHH_DAP</t>
        </is>
      </c>
      <c r="L86" s="109">
        <f>L85</f>
        <v/>
      </c>
      <c r="M86" s="109">
        <f>+M85</f>
        <v/>
      </c>
      <c r="N86" s="109" t="inlineStr">
        <is>
          <t>Km0+0 -:- 9(Km0+89.62)</t>
        </is>
      </c>
      <c r="O86" s="110" t="inlineStr">
        <is>
          <t>Cầu Km19+529.080</t>
        </is>
      </c>
      <c r="P86" s="111" t="n"/>
      <c r="Q86" s="111" t="n"/>
      <c r="R86" s="111" t="n"/>
      <c r="S86" s="111">
        <f>+S85</f>
        <v/>
      </c>
      <c r="T86" s="112" t="n"/>
      <c r="U86" s="112" t="n"/>
      <c r="V86" s="112" t="n"/>
      <c r="W86" s="113" t="n"/>
      <c r="X86" s="113" t="n"/>
      <c r="Y86" s="113" t="n"/>
      <c r="Z86" s="113" t="n"/>
      <c r="AA86" s="113" t="n"/>
      <c r="AB86" s="113" t="n"/>
      <c r="AC86" s="113">
        <f>+AC85</f>
        <v/>
      </c>
      <c r="AD86" s="113" t="n"/>
      <c r="AE86" s="113" t="n"/>
      <c r="AF86" s="113" t="n"/>
      <c r="AG86" s="113" t="inlineStr">
        <is>
          <t>DAPNEN_DCV6</t>
        </is>
      </c>
      <c r="AH86" s="113" t="inlineStr">
        <is>
          <t>&gt;=1;&lt;=19</t>
        </is>
      </c>
      <c r="AI86" s="109" t="n"/>
      <c r="AJ86" s="113" t="n"/>
      <c r="AK86" s="110" t="n"/>
      <c r="AL86" s="113" t="n"/>
      <c r="AM86" s="113" t="n"/>
      <c r="AN86" s="113" t="n"/>
      <c r="AO86" s="113" t="n"/>
      <c r="AP86" s="115" t="n"/>
      <c r="AQ86" s="115" t="inlineStr">
        <is>
          <t>Ảnh\dapnendcv.png</t>
        </is>
      </c>
      <c r="AR86" s="113" t="inlineStr">
        <is>
          <t>Nhóm 1</t>
        </is>
      </c>
      <c r="AS86" s="113" t="n"/>
      <c r="AT86" s="113" t="inlineStr">
        <is>
          <t>HM02</t>
        </is>
      </c>
      <c r="AU86" s="113" t="inlineStr">
        <is>
          <t>KTHH_DAP</t>
        </is>
      </c>
      <c r="AV86" s="113" t="n">
        <v>18</v>
      </c>
      <c r="AW86" s="113" t="n">
        <v>18</v>
      </c>
      <c r="AX86" s="113" t="n"/>
    </row>
    <row r="87" customFormat="1" s="107">
      <c r="A87" s="105" t="inlineStr">
        <is>
          <t>BBK957</t>
        </is>
      </c>
      <c r="B87" s="105" t="inlineStr">
        <is>
          <t>PLKL01</t>
        </is>
      </c>
      <c r="C87" s="105" t="inlineStr">
        <is>
          <t>BBK957.0097973</t>
        </is>
      </c>
      <c r="D87" s="106" t="n"/>
      <c r="E87" s="106" t="n"/>
      <c r="F87" s="106" t="n"/>
      <c r="G87" s="106" t="n"/>
      <c r="H87" s="106" t="n"/>
      <c r="J87" s="108" t="inlineStr">
        <is>
          <t>68</t>
        </is>
      </c>
      <c r="K87" s="108" t="inlineStr">
        <is>
          <t>PLKL01</t>
        </is>
      </c>
      <c r="L87" s="109">
        <f>+L86</f>
        <v/>
      </c>
      <c r="M87" s="109">
        <f>+M86</f>
        <v/>
      </c>
      <c r="N87" s="109">
        <f>+N86</f>
        <v/>
      </c>
      <c r="O87" s="110">
        <f>+O86</f>
        <v/>
      </c>
      <c r="P87" s="111" t="n"/>
      <c r="Q87" s="111" t="n"/>
      <c r="R87" s="111" t="n"/>
      <c r="S87" s="111">
        <f>+S86</f>
        <v/>
      </c>
      <c r="T87" s="112" t="n"/>
      <c r="U87" s="112" t="n"/>
      <c r="V87" s="112" t="n"/>
      <c r="W87" s="113" t="n"/>
      <c r="X87" s="113" t="n"/>
      <c r="Y87" s="113" t="n"/>
      <c r="Z87" s="113" t="n"/>
      <c r="AA87" s="113" t="n"/>
      <c r="AB87" s="113" t="n"/>
      <c r="AC87" s="113" t="n"/>
      <c r="AD87" s="113" t="n"/>
      <c r="AE87" s="113" t="n"/>
      <c r="AF87" s="113" t="n"/>
      <c r="AG87" s="113">
        <f>+AG86</f>
        <v/>
      </c>
      <c r="AH87" s="113" t="inlineStr">
        <is>
          <t>&gt;=38;&lt;=56</t>
        </is>
      </c>
      <c r="AI87" s="109" t="n"/>
      <c r="AJ87" s="113" t="n"/>
      <c r="AK87" s="110" t="n"/>
      <c r="AL87" s="113" t="n"/>
      <c r="AM87" s="113" t="n"/>
      <c r="AN87" s="113" t="n"/>
      <c r="AO87" s="113" t="n"/>
      <c r="AP87" s="115" t="n"/>
      <c r="AQ87" s="115" t="n"/>
      <c r="AR87" s="113" t="inlineStr">
        <is>
          <t>Nhóm 1</t>
        </is>
      </c>
      <c r="AS87" s="113" t="n"/>
      <c r="AT87" s="113" t="inlineStr">
        <is>
          <t>HM02</t>
        </is>
      </c>
      <c r="AU87" s="113" t="inlineStr">
        <is>
          <t>PLKL01</t>
        </is>
      </c>
      <c r="AV87" s="113" t="n">
        <v>20</v>
      </c>
      <c r="AW87" s="113" t="n">
        <v>20</v>
      </c>
      <c r="AX87" s="113" t="n"/>
    </row>
    <row r="88" customFormat="1" s="107">
      <c r="A88" s="105" t="inlineStr">
        <is>
          <t>NTCV</t>
        </is>
      </c>
      <c r="B88" s="105" t="inlineStr">
        <is>
          <t>K.9999</t>
        </is>
      </c>
      <c r="C88" s="105" t="inlineStr">
        <is>
          <t>NTCV.0561040</t>
        </is>
      </c>
      <c r="D88" s="106" t="n"/>
      <c r="E88" s="106" t="n"/>
      <c r="F88" s="106" t="n"/>
      <c r="G88" s="106" t="n"/>
      <c r="H88" s="106" t="n"/>
      <c r="J88" s="147" t="inlineStr">
        <is>
          <t>69</t>
        </is>
      </c>
      <c r="K88" s="147" t="inlineStr">
        <is>
          <t>K.9999</t>
        </is>
      </c>
      <c r="L88" s="148">
        <f>"Đắp nền đường công vụ nhánh 6 lớp số "&amp;M88</f>
        <v/>
      </c>
      <c r="M88" s="148" t="n">
        <v>11</v>
      </c>
      <c r="N88" s="148" t="inlineStr">
        <is>
          <t>Km0+0 -:- 9(Km0+89.62)</t>
        </is>
      </c>
      <c r="O88" s="149" t="inlineStr">
        <is>
          <t>Cầu Km19+529.080</t>
        </is>
      </c>
      <c r="P88" s="134">
        <f>+P85</f>
        <v/>
      </c>
      <c r="Q88" s="134">
        <f>+P88+1</f>
        <v/>
      </c>
      <c r="R88" s="134">
        <f>+Q88-1</f>
        <v/>
      </c>
      <c r="S88" s="134">
        <f>+Q88</f>
        <v/>
      </c>
      <c r="T88" s="135">
        <f>U85+TIME(,10,)</f>
        <v/>
      </c>
      <c r="U88" s="135">
        <f>+T88+V88</f>
        <v/>
      </c>
      <c r="V88" s="135" t="n">
        <v>0.01041666666666667</v>
      </c>
      <c r="W88" s="121">
        <f>TEXT(T88,"HH""h""MM'")&amp;"÷"&amp;TEXT(U88,"HH""h""MM'")</f>
        <v/>
      </c>
      <c r="X88" s="150" t="n"/>
      <c r="Y88" s="150" t="n"/>
      <c r="Z88" s="137" t="inlineStr">
        <is>
          <t>01A;</t>
        </is>
      </c>
      <c r="AA88" s="136">
        <f>+L88</f>
        <v/>
      </c>
      <c r="AB88" s="136">
        <f>+AB85</f>
        <v/>
      </c>
      <c r="AC88" s="150">
        <f>+AC85</f>
        <v/>
      </c>
      <c r="AD88" s="150" t="n"/>
      <c r="AE88" s="150" t="n"/>
      <c r="AF88" s="150" t="n"/>
      <c r="AG88" s="150" t="n"/>
      <c r="AH88" s="150" t="n"/>
      <c r="AI88" s="148" t="n"/>
      <c r="AJ88" s="150" t="n"/>
      <c r="AK88" s="149" t="n"/>
      <c r="AL88" s="150" t="n"/>
      <c r="AM88" s="150" t="n"/>
      <c r="AN88" s="150" t="n"/>
      <c r="AO88" s="150" t="n"/>
      <c r="AP88" s="151" t="n"/>
      <c r="AQ88" s="151" t="n"/>
      <c r="AR88" s="150" t="inlineStr">
        <is>
          <t>Nhóm 1</t>
        </is>
      </c>
      <c r="AS88" s="150" t="n"/>
      <c r="AT88" s="150" t="inlineStr">
        <is>
          <t>HM02</t>
        </is>
      </c>
      <c r="AU88" s="150" t="inlineStr">
        <is>
          <t>NTCV</t>
        </is>
      </c>
      <c r="AV88" s="150" t="n">
        <v>21</v>
      </c>
      <c r="AW88" s="150" t="n">
        <v>21</v>
      </c>
      <c r="AX88" s="150" t="n"/>
    </row>
    <row r="89" ht="28" customFormat="1" customHeight="1" s="107">
      <c r="A89" s="105" t="inlineStr">
        <is>
          <t>BBK371</t>
        </is>
      </c>
      <c r="B89" s="105" t="inlineStr">
        <is>
          <t>KTHH_DAP</t>
        </is>
      </c>
      <c r="C89" s="105" t="inlineStr">
        <is>
          <t>BBK371.0694485</t>
        </is>
      </c>
      <c r="D89" s="106" t="n"/>
      <c r="E89" s="106" t="n"/>
      <c r="F89" s="106" t="n"/>
      <c r="G89" s="106" t="n"/>
      <c r="H89" s="106" t="n"/>
      <c r="J89" s="108" t="inlineStr">
        <is>
          <t>70</t>
        </is>
      </c>
      <c r="K89" s="108" t="inlineStr">
        <is>
          <t>KTHH_DAP</t>
        </is>
      </c>
      <c r="L89" s="109">
        <f>L88</f>
        <v/>
      </c>
      <c r="M89" s="109">
        <f>+M88</f>
        <v/>
      </c>
      <c r="N89" s="109" t="inlineStr">
        <is>
          <t>Km0+0 -:- 9(Km0+89.62)</t>
        </is>
      </c>
      <c r="O89" s="110" t="inlineStr">
        <is>
          <t>Cầu Km19+529.080</t>
        </is>
      </c>
      <c r="P89" s="111" t="n"/>
      <c r="Q89" s="111" t="n"/>
      <c r="R89" s="111" t="n"/>
      <c r="S89" s="111">
        <f>+S88</f>
        <v/>
      </c>
      <c r="T89" s="112" t="n"/>
      <c r="U89" s="112" t="n"/>
      <c r="V89" s="112" t="n"/>
      <c r="W89" s="113" t="n"/>
      <c r="X89" s="113" t="n"/>
      <c r="Y89" s="113" t="n"/>
      <c r="Z89" s="113" t="n"/>
      <c r="AA89" s="113" t="n"/>
      <c r="AB89" s="113" t="n"/>
      <c r="AC89" s="113">
        <f>+AC88</f>
        <v/>
      </c>
      <c r="AD89" s="113" t="n"/>
      <c r="AE89" s="113" t="n"/>
      <c r="AF89" s="113" t="n"/>
      <c r="AG89" s="113" t="inlineStr">
        <is>
          <t>DAPNEN_DCV6</t>
        </is>
      </c>
      <c r="AH89" s="113" t="inlineStr">
        <is>
          <t>&gt;=1;&lt;=19</t>
        </is>
      </c>
      <c r="AI89" s="109" t="n"/>
      <c r="AJ89" s="113" t="n"/>
      <c r="AK89" s="110" t="n"/>
      <c r="AL89" s="113" t="n"/>
      <c r="AM89" s="113" t="n"/>
      <c r="AN89" s="113" t="n"/>
      <c r="AO89" s="113" t="n"/>
      <c r="AP89" s="115" t="n"/>
      <c r="AQ89" s="115" t="inlineStr">
        <is>
          <t>Ảnh\dapnendcv.png</t>
        </is>
      </c>
      <c r="AR89" s="113" t="inlineStr">
        <is>
          <t>Nhóm 1</t>
        </is>
      </c>
      <c r="AS89" s="113" t="n"/>
      <c r="AT89" s="113" t="inlineStr">
        <is>
          <t>HM02</t>
        </is>
      </c>
      <c r="AU89" s="113" t="inlineStr">
        <is>
          <t>KTHH_DAP</t>
        </is>
      </c>
      <c r="AV89" s="113" t="n">
        <v>19</v>
      </c>
      <c r="AW89" s="113" t="n">
        <v>19</v>
      </c>
      <c r="AX89" s="113" t="n"/>
    </row>
    <row r="90" customFormat="1" s="107">
      <c r="A90" s="105" t="inlineStr">
        <is>
          <t>BBK957</t>
        </is>
      </c>
      <c r="B90" s="105" t="inlineStr">
        <is>
          <t>PLKL01</t>
        </is>
      </c>
      <c r="C90" s="105" t="inlineStr">
        <is>
          <t>BBK957.0913717</t>
        </is>
      </c>
      <c r="D90" s="106" t="n"/>
      <c r="E90" s="106" t="n"/>
      <c r="F90" s="106" t="n"/>
      <c r="G90" s="106" t="n"/>
      <c r="H90" s="106" t="n"/>
      <c r="J90" s="108" t="inlineStr">
        <is>
          <t>71</t>
        </is>
      </c>
      <c r="K90" s="108" t="inlineStr">
        <is>
          <t>PLKL01</t>
        </is>
      </c>
      <c r="L90" s="109">
        <f>+L89</f>
        <v/>
      </c>
      <c r="M90" s="109">
        <f>+M89</f>
        <v/>
      </c>
      <c r="N90" s="109">
        <f>+N89</f>
        <v/>
      </c>
      <c r="O90" s="110">
        <f>+O89</f>
        <v/>
      </c>
      <c r="P90" s="111" t="n"/>
      <c r="Q90" s="111" t="n"/>
      <c r="R90" s="111" t="n"/>
      <c r="S90" s="111">
        <f>+S89</f>
        <v/>
      </c>
      <c r="T90" s="112" t="n"/>
      <c r="U90" s="112" t="n"/>
      <c r="V90" s="112" t="n"/>
      <c r="W90" s="113" t="n"/>
      <c r="X90" s="113" t="n"/>
      <c r="Y90" s="113" t="n"/>
      <c r="Z90" s="113" t="n"/>
      <c r="AA90" s="113" t="n"/>
      <c r="AB90" s="113" t="n"/>
      <c r="AC90" s="113" t="n"/>
      <c r="AD90" s="113" t="n"/>
      <c r="AE90" s="113" t="n"/>
      <c r="AF90" s="113" t="n"/>
      <c r="AG90" s="113">
        <f>+AG89</f>
        <v/>
      </c>
      <c r="AH90" s="113" t="inlineStr">
        <is>
          <t>&gt;=38;&lt;=56</t>
        </is>
      </c>
      <c r="AI90" s="109" t="n"/>
      <c r="AJ90" s="113" t="n"/>
      <c r="AK90" s="110" t="n"/>
      <c r="AL90" s="113" t="n"/>
      <c r="AM90" s="113" t="n"/>
      <c r="AN90" s="113" t="n"/>
      <c r="AO90" s="113" t="n"/>
      <c r="AP90" s="115" t="n"/>
      <c r="AQ90" s="115" t="n"/>
      <c r="AR90" s="113" t="inlineStr">
        <is>
          <t>Nhóm 1</t>
        </is>
      </c>
      <c r="AS90" s="113" t="n"/>
      <c r="AT90" s="113" t="inlineStr">
        <is>
          <t>HM02</t>
        </is>
      </c>
      <c r="AU90" s="113" t="inlineStr">
        <is>
          <t>PLKL01</t>
        </is>
      </c>
      <c r="AV90" s="113" t="n">
        <v>21</v>
      </c>
      <c r="AW90" s="113" t="n">
        <v>21</v>
      </c>
      <c r="AX90" s="113" t="n"/>
    </row>
    <row r="91" customFormat="1" s="107">
      <c r="A91" s="105" t="inlineStr">
        <is>
          <t>NTCV</t>
        </is>
      </c>
      <c r="B91" s="105" t="inlineStr">
        <is>
          <t>K.9999</t>
        </is>
      </c>
      <c r="C91" s="105" t="inlineStr">
        <is>
          <t>NTCV.0834817</t>
        </is>
      </c>
      <c r="D91" s="106" t="n"/>
      <c r="E91" s="106" t="n"/>
      <c r="F91" s="106" t="n"/>
      <c r="G91" s="106" t="n"/>
      <c r="H91" s="106" t="n"/>
      <c r="J91" s="147" t="inlineStr">
        <is>
          <t>72</t>
        </is>
      </c>
      <c r="K91" s="147" t="inlineStr">
        <is>
          <t>K.9999</t>
        </is>
      </c>
      <c r="L91" s="148">
        <f>"Đắp nền đường công vụ nhánh 6 lớp số "&amp;M91</f>
        <v/>
      </c>
      <c r="M91" s="148" t="n">
        <v>10</v>
      </c>
      <c r="N91" s="148" t="inlineStr">
        <is>
          <t>Km0+0 -:- 9(Km0+89.62)</t>
        </is>
      </c>
      <c r="O91" s="149" t="inlineStr">
        <is>
          <t>Cầu Km19+529.080</t>
        </is>
      </c>
      <c r="P91" s="134">
        <f>+P88</f>
        <v/>
      </c>
      <c r="Q91" s="134">
        <f>+P91+1</f>
        <v/>
      </c>
      <c r="R91" s="134">
        <f>+Q91-1</f>
        <v/>
      </c>
      <c r="S91" s="134">
        <f>+Q91</f>
        <v/>
      </c>
      <c r="T91" s="135">
        <f>U88+TIME(,10,)</f>
        <v/>
      </c>
      <c r="U91" s="135">
        <f>+T91+V91</f>
        <v/>
      </c>
      <c r="V91" s="135" t="n">
        <v>0.01041666666666667</v>
      </c>
      <c r="W91" s="121">
        <f>TEXT(T91,"HH""h""MM'")&amp;"÷"&amp;TEXT(U91,"HH""h""MM'")</f>
        <v/>
      </c>
      <c r="X91" s="150" t="n"/>
      <c r="Y91" s="150" t="n"/>
      <c r="Z91" s="137" t="inlineStr">
        <is>
          <t>01A;</t>
        </is>
      </c>
      <c r="AA91" s="136">
        <f>+L91</f>
        <v/>
      </c>
      <c r="AB91" s="136">
        <f>+AB88</f>
        <v/>
      </c>
      <c r="AC91" s="150">
        <f>+AC88</f>
        <v/>
      </c>
      <c r="AD91" s="150" t="n"/>
      <c r="AE91" s="150" t="n"/>
      <c r="AF91" s="150" t="n"/>
      <c r="AG91" s="150" t="n"/>
      <c r="AH91" s="150" t="n"/>
      <c r="AI91" s="148" t="n"/>
      <c r="AJ91" s="150" t="n"/>
      <c r="AK91" s="149" t="n"/>
      <c r="AL91" s="150" t="n"/>
      <c r="AM91" s="150" t="n"/>
      <c r="AN91" s="150" t="n"/>
      <c r="AO91" s="150" t="n"/>
      <c r="AP91" s="151" t="n"/>
      <c r="AQ91" s="151" t="n"/>
      <c r="AR91" s="150" t="inlineStr">
        <is>
          <t>Nhóm 1</t>
        </is>
      </c>
      <c r="AS91" s="150" t="n"/>
      <c r="AT91" s="150" t="inlineStr">
        <is>
          <t>HM02</t>
        </is>
      </c>
      <c r="AU91" s="150" t="inlineStr">
        <is>
          <t>NTCV</t>
        </is>
      </c>
      <c r="AV91" s="150" t="n">
        <v>22</v>
      </c>
      <c r="AW91" s="150" t="n">
        <v>22</v>
      </c>
      <c r="AX91" s="150" t="n"/>
    </row>
    <row r="92" ht="28" customFormat="1" customHeight="1" s="107">
      <c r="A92" s="105" t="inlineStr">
        <is>
          <t>BBK371</t>
        </is>
      </c>
      <c r="B92" s="105" t="inlineStr">
        <is>
          <t>KTHH_DAP</t>
        </is>
      </c>
      <c r="C92" s="105" t="inlineStr">
        <is>
          <t>BBK371.0022629</t>
        </is>
      </c>
      <c r="D92" s="106" t="n"/>
      <c r="E92" s="106" t="n"/>
      <c r="F92" s="106" t="n"/>
      <c r="G92" s="106" t="n"/>
      <c r="H92" s="106" t="n"/>
      <c r="J92" s="124" t="inlineStr">
        <is>
          <t>73</t>
        </is>
      </c>
      <c r="K92" s="124" t="inlineStr">
        <is>
          <t>KTHH_DAP</t>
        </is>
      </c>
      <c r="L92" s="125">
        <f>L91</f>
        <v/>
      </c>
      <c r="M92" s="125">
        <f>+M91</f>
        <v/>
      </c>
      <c r="N92" s="125" t="inlineStr">
        <is>
          <t>Km0+0 -:- 9(Km0+89.62)</t>
        </is>
      </c>
      <c r="O92" s="126" t="inlineStr">
        <is>
          <t>Cầu Km19+529.080</t>
        </is>
      </c>
      <c r="P92" s="127" t="n"/>
      <c r="Q92" s="127" t="n"/>
      <c r="R92" s="127" t="n"/>
      <c r="S92" s="127">
        <f>+S91</f>
        <v/>
      </c>
      <c r="T92" s="128" t="n"/>
      <c r="U92" s="128" t="n"/>
      <c r="V92" s="128" t="n"/>
      <c r="W92" s="129" t="n"/>
      <c r="X92" s="129" t="n"/>
      <c r="Y92" s="129" t="n"/>
      <c r="Z92" s="129" t="n"/>
      <c r="AA92" s="129" t="n"/>
      <c r="AB92" s="129" t="n"/>
      <c r="AC92" s="129">
        <f>+AC91</f>
        <v/>
      </c>
      <c r="AD92" s="129" t="n"/>
      <c r="AE92" s="129" t="n"/>
      <c r="AF92" s="129" t="n"/>
      <c r="AG92" s="129" t="inlineStr">
        <is>
          <t>DAPNEN_DCV6</t>
        </is>
      </c>
      <c r="AH92" s="129" t="inlineStr">
        <is>
          <t>&gt;=1;&lt;=19</t>
        </is>
      </c>
      <c r="AI92" s="125" t="n"/>
      <c r="AJ92" s="129" t="n"/>
      <c r="AK92" s="126" t="n"/>
      <c r="AL92" s="129" t="n"/>
      <c r="AM92" s="129" t="n"/>
      <c r="AN92" s="129" t="n"/>
      <c r="AO92" s="129" t="n"/>
      <c r="AP92" s="130" t="n"/>
      <c r="AQ92" s="130" t="inlineStr">
        <is>
          <t>Ảnh\dapnendcv.png</t>
        </is>
      </c>
      <c r="AR92" s="129" t="inlineStr">
        <is>
          <t>Nhóm 1</t>
        </is>
      </c>
      <c r="AS92" s="129" t="n"/>
      <c r="AT92" s="129" t="inlineStr">
        <is>
          <t>HM02</t>
        </is>
      </c>
      <c r="AU92" s="129" t="inlineStr">
        <is>
          <t>KTHH_DAP</t>
        </is>
      </c>
      <c r="AV92" s="129" t="n">
        <v>20</v>
      </c>
      <c r="AW92" s="129" t="n">
        <v>20</v>
      </c>
      <c r="AX92" s="129" t="n"/>
    </row>
    <row r="93" customFormat="1" s="107">
      <c r="A93" s="105" t="inlineStr">
        <is>
          <t>BBK957</t>
        </is>
      </c>
      <c r="B93" s="105" t="inlineStr">
        <is>
          <t>PLKL01</t>
        </is>
      </c>
      <c r="C93" s="105" t="inlineStr">
        <is>
          <t>BBK957.0543360</t>
        </is>
      </c>
      <c r="D93" s="106" t="n"/>
      <c r="E93" s="106" t="n"/>
      <c r="F93" s="106" t="n"/>
      <c r="G93" s="106" t="n"/>
      <c r="H93" s="106" t="n"/>
      <c r="J93" s="108" t="inlineStr">
        <is>
          <t>74</t>
        </is>
      </c>
      <c r="K93" s="108" t="inlineStr">
        <is>
          <t>PLKL01</t>
        </is>
      </c>
      <c r="L93" s="109">
        <f>+L92</f>
        <v/>
      </c>
      <c r="M93" s="109">
        <f>+M92</f>
        <v/>
      </c>
      <c r="N93" s="109">
        <f>+N92</f>
        <v/>
      </c>
      <c r="O93" s="110">
        <f>+O92</f>
        <v/>
      </c>
      <c r="P93" s="111" t="n"/>
      <c r="Q93" s="111" t="n"/>
      <c r="R93" s="111" t="n"/>
      <c r="S93" s="111">
        <f>+S92</f>
        <v/>
      </c>
      <c r="T93" s="112" t="n"/>
      <c r="U93" s="112" t="n"/>
      <c r="V93" s="112" t="n"/>
      <c r="W93" s="113" t="n"/>
      <c r="X93" s="113" t="n"/>
      <c r="Y93" s="113" t="n"/>
      <c r="Z93" s="113" t="n"/>
      <c r="AA93" s="113" t="n"/>
      <c r="AB93" s="113" t="n"/>
      <c r="AC93" s="113" t="n"/>
      <c r="AD93" s="113" t="n"/>
      <c r="AE93" s="113" t="n"/>
      <c r="AF93" s="113" t="n"/>
      <c r="AG93" s="113">
        <f>+AG92</f>
        <v/>
      </c>
      <c r="AH93" s="113" t="inlineStr">
        <is>
          <t>&gt;=38;&lt;=56</t>
        </is>
      </c>
      <c r="AI93" s="109" t="n"/>
      <c r="AJ93" s="113" t="n"/>
      <c r="AK93" s="110" t="n"/>
      <c r="AL93" s="113" t="n"/>
      <c r="AM93" s="113" t="n"/>
      <c r="AN93" s="113" t="n"/>
      <c r="AO93" s="113" t="n"/>
      <c r="AP93" s="115" t="n"/>
      <c r="AQ93" s="115" t="n"/>
      <c r="AR93" s="113" t="inlineStr">
        <is>
          <t>Nhóm 1</t>
        </is>
      </c>
      <c r="AS93" s="113" t="n"/>
      <c r="AT93" s="113" t="inlineStr">
        <is>
          <t>HM02</t>
        </is>
      </c>
      <c r="AU93" s="113" t="inlineStr">
        <is>
          <t>PLKL01</t>
        </is>
      </c>
      <c r="AV93" s="113" t="n">
        <v>22</v>
      </c>
      <c r="AW93" s="113" t="n">
        <v>22</v>
      </c>
      <c r="AX93" s="113" t="n"/>
    </row>
    <row r="94" customFormat="1" s="107">
      <c r="A94" s="105" t="inlineStr">
        <is>
          <t>BBK680</t>
        </is>
      </c>
      <c r="B94" s="105" t="inlineStr">
        <is>
          <t>PYC</t>
        </is>
      </c>
      <c r="C94" s="105" t="inlineStr">
        <is>
          <t>BBK680.0916163</t>
        </is>
      </c>
      <c r="D94" s="106" t="n"/>
      <c r="E94" s="106" t="n"/>
      <c r="F94" s="106" t="n"/>
      <c r="G94" s="106" t="n"/>
      <c r="H94" s="106" t="n"/>
      <c r="J94" s="108" t="inlineStr">
        <is>
          <t>75</t>
        </is>
      </c>
      <c r="K94" s="108" t="inlineStr">
        <is>
          <t>PYC</t>
        </is>
      </c>
      <c r="L94" s="109" t="inlineStr">
        <is>
          <t>phiếu yêu cầu</t>
        </is>
      </c>
      <c r="M94" s="109" t="n"/>
      <c r="N94" s="109" t="n"/>
      <c r="O94" s="110" t="n"/>
      <c r="P94" s="111" t="n"/>
      <c r="Q94" s="111" t="n"/>
      <c r="R94" s="111">
        <f>+R95</f>
        <v/>
      </c>
      <c r="S94" s="111">
        <f>+S95</f>
        <v/>
      </c>
      <c r="T94" s="112" t="n"/>
      <c r="U94" s="112" t="n"/>
      <c r="V94" s="112" t="n"/>
      <c r="W94" s="113" t="n"/>
      <c r="X94" s="113" t="n"/>
      <c r="Y94" s="113" t="n"/>
      <c r="Z94" s="113" t="n"/>
      <c r="AA94" s="113" t="n"/>
      <c r="AB94" s="113" t="inlineStr">
        <is>
          <t>09-XL-307HG/PYCNT/MB-ĐCV</t>
        </is>
      </c>
      <c r="AC94" s="113" t="n"/>
      <c r="AD94" s="113" t="n"/>
      <c r="AE94" s="113" t="n"/>
      <c r="AF94" s="113" t="n"/>
      <c r="AG94" s="113" t="inlineStr">
        <is>
          <t>NTCV</t>
        </is>
      </c>
      <c r="AH94" s="113" t="inlineStr">
        <is>
          <t>&gt;=23;&lt;=26</t>
        </is>
      </c>
      <c r="AI94" s="109" t="n"/>
      <c r="AJ94" s="113" t="n"/>
      <c r="AK94" s="110" t="n"/>
      <c r="AL94" s="113" t="n"/>
      <c r="AM94" s="113" t="n"/>
      <c r="AN94" s="113" t="n"/>
      <c r="AO94" s="113" t="n"/>
      <c r="AP94" s="115" t="n"/>
      <c r="AQ94" s="115" t="n"/>
      <c r="AR94" s="113" t="inlineStr">
        <is>
          <t>Nhóm 1</t>
        </is>
      </c>
      <c r="AS94" s="113" t="n"/>
      <c r="AT94" s="113" t="inlineStr">
        <is>
          <t>HM02</t>
        </is>
      </c>
      <c r="AU94" s="113" t="inlineStr">
        <is>
          <t>PYC</t>
        </is>
      </c>
      <c r="AV94" s="113" t="n">
        <v>7</v>
      </c>
      <c r="AW94" s="113" t="n">
        <v>7</v>
      </c>
      <c r="AX94" s="113" t="n"/>
    </row>
    <row r="95" customFormat="1" s="107">
      <c r="A95" s="105" t="inlineStr">
        <is>
          <t>NTCV</t>
        </is>
      </c>
      <c r="B95" s="105" t="inlineStr">
        <is>
          <t>K.9999</t>
        </is>
      </c>
      <c r="C95" s="105" t="inlineStr">
        <is>
          <t>NTCV.0430261</t>
        </is>
      </c>
      <c r="D95" s="106" t="n"/>
      <c r="E95" s="106" t="n"/>
      <c r="F95" s="106" t="n"/>
      <c r="G95" s="106" t="n"/>
      <c r="H95" s="106" t="n"/>
      <c r="J95" s="131" t="inlineStr">
        <is>
          <t>76</t>
        </is>
      </c>
      <c r="K95" s="131" t="inlineStr">
        <is>
          <t>K.9999</t>
        </is>
      </c>
      <c r="L95" s="132">
        <f>"Đắp nền đường công vụ nhánh 6 lớp số "&amp;M95</f>
        <v/>
      </c>
      <c r="M95" s="132" t="n">
        <v>9</v>
      </c>
      <c r="N95" s="132" t="inlineStr">
        <is>
          <t>Km0+0 -:- 9(Km0+89.62)</t>
        </is>
      </c>
      <c r="O95" s="133" t="inlineStr">
        <is>
          <t>Cầu Km19+529.080</t>
        </is>
      </c>
      <c r="P95" s="134">
        <f>+S91</f>
        <v/>
      </c>
      <c r="Q95" s="134">
        <f>+P95+1</f>
        <v/>
      </c>
      <c r="R95" s="134">
        <f>+Q95-1</f>
        <v/>
      </c>
      <c r="S95" s="134">
        <f>+Q95</f>
        <v/>
      </c>
      <c r="T95" s="135" t="n">
        <v>0.3541666666666667</v>
      </c>
      <c r="U95" s="135">
        <f>+T95+V95</f>
        <v/>
      </c>
      <c r="V95" s="135" t="n">
        <v>0.01041666666666667</v>
      </c>
      <c r="W95" s="136">
        <f>TEXT(T95,"HH""h""MM'")&amp;"÷"&amp;TEXT(U95,"HH""h""MM'")</f>
        <v/>
      </c>
      <c r="X95" s="136" t="n"/>
      <c r="Y95" s="136" t="n"/>
      <c r="Z95" s="137" t="inlineStr">
        <is>
          <t>01A;</t>
        </is>
      </c>
      <c r="AA95" s="136">
        <f>+L95</f>
        <v/>
      </c>
      <c r="AB95" s="136" t="inlineStr">
        <is>
          <t>09-XL-307HG/PYCNT/MB-ĐCV-7</t>
        </is>
      </c>
      <c r="AC95" s="136" t="inlineStr">
        <is>
          <t>09-XL-307HG/PYCNT/MB-ĐCV-7</t>
        </is>
      </c>
      <c r="AD95" s="136" t="n"/>
      <c r="AE95" s="136" t="n"/>
      <c r="AF95" s="136" t="n"/>
      <c r="AG95" s="136" t="n"/>
      <c r="AH95" s="136" t="n"/>
      <c r="AI95" s="132" t="n"/>
      <c r="AJ95" s="136" t="n"/>
      <c r="AK95" s="133" t="n"/>
      <c r="AL95" s="136" t="n"/>
      <c r="AM95" s="136" t="n"/>
      <c r="AN95" s="136" t="n"/>
      <c r="AO95" s="136" t="n"/>
      <c r="AP95" s="138" t="n"/>
      <c r="AQ95" s="138" t="n"/>
      <c r="AR95" s="136" t="inlineStr">
        <is>
          <t>Nhóm 1</t>
        </is>
      </c>
      <c r="AS95" s="136" t="n"/>
      <c r="AT95" s="136" t="inlineStr">
        <is>
          <t>HM02</t>
        </is>
      </c>
      <c r="AU95" s="136" t="inlineStr">
        <is>
          <t>NTCV</t>
        </is>
      </c>
      <c r="AV95" s="136" t="n">
        <v>23</v>
      </c>
      <c r="AW95" s="136" t="n">
        <v>23</v>
      </c>
      <c r="AX95" s="136" t="n"/>
    </row>
    <row r="96" ht="28" customFormat="1" customHeight="1" s="107">
      <c r="A96" s="105" t="inlineStr">
        <is>
          <t>BBK371</t>
        </is>
      </c>
      <c r="B96" s="105" t="inlineStr">
        <is>
          <t>KTHH_DAP</t>
        </is>
      </c>
      <c r="C96" s="105" t="inlineStr">
        <is>
          <t>BBK371.0677947</t>
        </is>
      </c>
      <c r="D96" s="106" t="n"/>
      <c r="E96" s="106" t="n"/>
      <c r="F96" s="106" t="n"/>
      <c r="G96" s="106" t="n"/>
      <c r="H96" s="106" t="n"/>
      <c r="J96" s="108" t="inlineStr">
        <is>
          <t>77</t>
        </is>
      </c>
      <c r="K96" s="108" t="inlineStr">
        <is>
          <t>KTHH_DAP</t>
        </is>
      </c>
      <c r="L96" s="109">
        <f>L95</f>
        <v/>
      </c>
      <c r="M96" s="109">
        <f>+M95</f>
        <v/>
      </c>
      <c r="N96" s="109" t="inlineStr">
        <is>
          <t>Km0+0 -:- 9(Km0+89.62)</t>
        </is>
      </c>
      <c r="O96" s="110" t="inlineStr">
        <is>
          <t>Cầu Km19+529.080</t>
        </is>
      </c>
      <c r="P96" s="111" t="n"/>
      <c r="Q96" s="111" t="n"/>
      <c r="R96" s="111" t="n"/>
      <c r="S96" s="111">
        <f>+S95</f>
        <v/>
      </c>
      <c r="T96" s="112" t="n"/>
      <c r="U96" s="112" t="n"/>
      <c r="V96" s="112" t="n"/>
      <c r="W96" s="113" t="n"/>
      <c r="X96" s="113" t="n"/>
      <c r="Y96" s="113" t="n"/>
      <c r="Z96" s="113" t="n"/>
      <c r="AA96" s="113" t="n"/>
      <c r="AB96" s="113" t="n"/>
      <c r="AC96" s="113">
        <f>AC95</f>
        <v/>
      </c>
      <c r="AD96" s="113" t="n"/>
      <c r="AE96" s="113" t="n"/>
      <c r="AF96" s="113" t="n"/>
      <c r="AG96" s="113" t="inlineStr">
        <is>
          <t>DAPNEN_DCV6</t>
        </is>
      </c>
      <c r="AH96" s="113" t="inlineStr">
        <is>
          <t>&gt;=1;&lt;=19</t>
        </is>
      </c>
      <c r="AI96" s="109" t="n"/>
      <c r="AJ96" s="113" t="n"/>
      <c r="AK96" s="110" t="n"/>
      <c r="AL96" s="113" t="n"/>
      <c r="AM96" s="113" t="n"/>
      <c r="AN96" s="113" t="n"/>
      <c r="AO96" s="113" t="n"/>
      <c r="AP96" s="115" t="n"/>
      <c r="AQ96" s="115" t="inlineStr">
        <is>
          <t>Ảnh\dapnendcv.png</t>
        </is>
      </c>
      <c r="AR96" s="113" t="inlineStr">
        <is>
          <t>Nhóm 1</t>
        </is>
      </c>
      <c r="AS96" s="113" t="n"/>
      <c r="AT96" s="113" t="inlineStr">
        <is>
          <t>HM02</t>
        </is>
      </c>
      <c r="AU96" s="113" t="inlineStr">
        <is>
          <t>KTHH_DAP</t>
        </is>
      </c>
      <c r="AV96" s="113" t="n">
        <v>21</v>
      </c>
      <c r="AW96" s="113" t="n">
        <v>21</v>
      </c>
      <c r="AX96" s="113" t="n"/>
    </row>
    <row r="97" customFormat="1" s="107">
      <c r="A97" s="105" t="inlineStr">
        <is>
          <t>BBK957</t>
        </is>
      </c>
      <c r="B97" s="105" t="inlineStr">
        <is>
          <t>PLKL01</t>
        </is>
      </c>
      <c r="C97" s="105" t="inlineStr">
        <is>
          <t>BBK957.0502453</t>
        </is>
      </c>
      <c r="D97" s="106" t="n"/>
      <c r="E97" s="106" t="n"/>
      <c r="F97" s="106" t="n"/>
      <c r="G97" s="106" t="n"/>
      <c r="H97" s="106" t="n"/>
      <c r="J97" s="108" t="inlineStr">
        <is>
          <t>78</t>
        </is>
      </c>
      <c r="K97" s="108" t="inlineStr">
        <is>
          <t>PLKL01</t>
        </is>
      </c>
      <c r="L97" s="109">
        <f>+L96</f>
        <v/>
      </c>
      <c r="M97" s="109">
        <f>+M96</f>
        <v/>
      </c>
      <c r="N97" s="109">
        <f>+N96</f>
        <v/>
      </c>
      <c r="O97" s="110">
        <f>+O96</f>
        <v/>
      </c>
      <c r="P97" s="111" t="n"/>
      <c r="Q97" s="111" t="n"/>
      <c r="R97" s="111" t="n"/>
      <c r="S97" s="111">
        <f>+S96</f>
        <v/>
      </c>
      <c r="T97" s="112" t="n"/>
      <c r="U97" s="112" t="n"/>
      <c r="V97" s="112" t="n"/>
      <c r="W97" s="113" t="n"/>
      <c r="X97" s="113" t="n"/>
      <c r="Y97" s="113" t="n"/>
      <c r="Z97" s="113" t="n"/>
      <c r="AA97" s="113" t="n"/>
      <c r="AB97" s="113" t="n"/>
      <c r="AC97" s="113" t="n"/>
      <c r="AD97" s="113" t="n"/>
      <c r="AE97" s="113" t="n"/>
      <c r="AF97" s="113" t="n"/>
      <c r="AG97" s="113">
        <f>+AG96</f>
        <v/>
      </c>
      <c r="AH97" s="113" t="inlineStr">
        <is>
          <t>&gt;=38;&lt;=56</t>
        </is>
      </c>
      <c r="AI97" s="109" t="n"/>
      <c r="AJ97" s="113" t="n"/>
      <c r="AK97" s="110" t="n"/>
      <c r="AL97" s="113" t="n"/>
      <c r="AM97" s="113" t="n"/>
      <c r="AN97" s="113" t="n"/>
      <c r="AO97" s="113" t="n"/>
      <c r="AP97" s="115" t="n"/>
      <c r="AQ97" s="115" t="n"/>
      <c r="AR97" s="113" t="inlineStr">
        <is>
          <t>Nhóm 1</t>
        </is>
      </c>
      <c r="AS97" s="113" t="n"/>
      <c r="AT97" s="113" t="inlineStr">
        <is>
          <t>HM02</t>
        </is>
      </c>
      <c r="AU97" s="113" t="inlineStr">
        <is>
          <t>PLKL01</t>
        </is>
      </c>
      <c r="AV97" s="113" t="n">
        <v>23</v>
      </c>
      <c r="AW97" s="113" t="n">
        <v>23</v>
      </c>
      <c r="AX97" s="113" t="n"/>
    </row>
    <row r="98" customFormat="1" s="107">
      <c r="A98" s="105" t="inlineStr">
        <is>
          <t>NTCV</t>
        </is>
      </c>
      <c r="B98" s="105" t="inlineStr">
        <is>
          <t>K.9999</t>
        </is>
      </c>
      <c r="C98" s="105" t="inlineStr">
        <is>
          <t>NTCV.0513737</t>
        </is>
      </c>
      <c r="D98" s="106" t="n"/>
      <c r="E98" s="106" t="n"/>
      <c r="F98" s="106" t="n"/>
      <c r="G98" s="106" t="n"/>
      <c r="H98" s="106" t="n"/>
      <c r="J98" s="147" t="inlineStr">
        <is>
          <t>79</t>
        </is>
      </c>
      <c r="K98" s="147" t="inlineStr">
        <is>
          <t>K.9999</t>
        </is>
      </c>
      <c r="L98" s="148">
        <f>"Đắp nền đường công vụ nhánh 6 lớp số "&amp;M98</f>
        <v/>
      </c>
      <c r="M98" s="148" t="n">
        <v>8</v>
      </c>
      <c r="N98" s="148" t="inlineStr">
        <is>
          <t>Km0+0 -:- 9(Km0+89.62)</t>
        </is>
      </c>
      <c r="O98" s="149" t="inlineStr">
        <is>
          <t>Cầu Km19+529.080</t>
        </is>
      </c>
      <c r="P98" s="134">
        <f>+P95</f>
        <v/>
      </c>
      <c r="Q98" s="134">
        <f>+P98+1</f>
        <v/>
      </c>
      <c r="R98" s="134">
        <f>+Q98-1</f>
        <v/>
      </c>
      <c r="S98" s="134">
        <f>+Q98</f>
        <v/>
      </c>
      <c r="T98" s="135">
        <f>U95+TIME(,10,)</f>
        <v/>
      </c>
      <c r="U98" s="135">
        <f>+T98+V98</f>
        <v/>
      </c>
      <c r="V98" s="135" t="n">
        <v>0.01041666666666667</v>
      </c>
      <c r="W98" s="121">
        <f>TEXT(T98,"HH""h""MM'")&amp;"÷"&amp;TEXT(U98,"HH""h""MM'")</f>
        <v/>
      </c>
      <c r="X98" s="150" t="n"/>
      <c r="Y98" s="150" t="n"/>
      <c r="Z98" s="137" t="inlineStr">
        <is>
          <t>01A;</t>
        </is>
      </c>
      <c r="AA98" s="136">
        <f>+L98</f>
        <v/>
      </c>
      <c r="AB98" s="136">
        <f>+AB95</f>
        <v/>
      </c>
      <c r="AC98" s="150">
        <f>+AC95</f>
        <v/>
      </c>
      <c r="AD98" s="150" t="n"/>
      <c r="AE98" s="150" t="n"/>
      <c r="AF98" s="150" t="n"/>
      <c r="AG98" s="150" t="n"/>
      <c r="AH98" s="150" t="n"/>
      <c r="AI98" s="148" t="n"/>
      <c r="AJ98" s="150" t="n"/>
      <c r="AK98" s="149" t="n"/>
      <c r="AL98" s="150" t="n"/>
      <c r="AM98" s="150" t="n"/>
      <c r="AN98" s="150" t="n"/>
      <c r="AO98" s="150" t="n"/>
      <c r="AP98" s="151" t="n"/>
      <c r="AQ98" s="151" t="n"/>
      <c r="AR98" s="150" t="inlineStr">
        <is>
          <t>Nhóm 1</t>
        </is>
      </c>
      <c r="AS98" s="150" t="n"/>
      <c r="AT98" s="150" t="inlineStr">
        <is>
          <t>HM02</t>
        </is>
      </c>
      <c r="AU98" s="150" t="inlineStr">
        <is>
          <t>NTCV</t>
        </is>
      </c>
      <c r="AV98" s="150" t="n">
        <v>24</v>
      </c>
      <c r="AW98" s="150" t="n">
        <v>24</v>
      </c>
      <c r="AX98" s="150" t="n"/>
    </row>
    <row r="99" ht="28" customFormat="1" customHeight="1" s="107">
      <c r="A99" s="105" t="inlineStr">
        <is>
          <t>BBK371</t>
        </is>
      </c>
      <c r="B99" s="105" t="inlineStr">
        <is>
          <t>KTHH_DAP</t>
        </is>
      </c>
      <c r="C99" s="105" t="inlineStr">
        <is>
          <t>BBK371.0462980</t>
        </is>
      </c>
      <c r="D99" s="106" t="n"/>
      <c r="E99" s="106" t="n"/>
      <c r="F99" s="106" t="n"/>
      <c r="G99" s="106" t="n"/>
      <c r="H99" s="106" t="n"/>
      <c r="J99" s="108" t="inlineStr">
        <is>
          <t>80</t>
        </is>
      </c>
      <c r="K99" s="108" t="inlineStr">
        <is>
          <t>KTHH_DAP</t>
        </is>
      </c>
      <c r="L99" s="109">
        <f>L98</f>
        <v/>
      </c>
      <c r="M99" s="109">
        <f>+M98</f>
        <v/>
      </c>
      <c r="N99" s="109" t="inlineStr">
        <is>
          <t>Km0+0 -:- 9(Km0+89.62)</t>
        </is>
      </c>
      <c r="O99" s="110" t="inlineStr">
        <is>
          <t>Cầu Km19+529.080</t>
        </is>
      </c>
      <c r="P99" s="111" t="n"/>
      <c r="Q99" s="111" t="n"/>
      <c r="R99" s="111" t="n"/>
      <c r="S99" s="111">
        <f>+S98</f>
        <v/>
      </c>
      <c r="T99" s="112" t="n"/>
      <c r="U99" s="112" t="n"/>
      <c r="V99" s="112" t="n"/>
      <c r="W99" s="113" t="n"/>
      <c r="X99" s="113" t="n"/>
      <c r="Y99" s="113" t="n"/>
      <c r="Z99" s="113" t="n"/>
      <c r="AA99" s="113" t="n"/>
      <c r="AB99" s="113" t="n"/>
      <c r="AC99" s="113">
        <f>+AC98</f>
        <v/>
      </c>
      <c r="AD99" s="113" t="n"/>
      <c r="AE99" s="113" t="n"/>
      <c r="AF99" s="113" t="n"/>
      <c r="AG99" s="113" t="inlineStr">
        <is>
          <t>DAPNEN_DCV6</t>
        </is>
      </c>
      <c r="AH99" s="113" t="inlineStr">
        <is>
          <t>&gt;=1;&lt;=19</t>
        </is>
      </c>
      <c r="AI99" s="109" t="n"/>
      <c r="AJ99" s="113" t="n"/>
      <c r="AK99" s="110" t="n"/>
      <c r="AL99" s="113" t="n"/>
      <c r="AM99" s="113" t="n"/>
      <c r="AN99" s="113" t="n"/>
      <c r="AO99" s="113" t="n"/>
      <c r="AP99" s="115" t="n"/>
      <c r="AQ99" s="115" t="inlineStr">
        <is>
          <t>Ảnh\dapnendcv.png</t>
        </is>
      </c>
      <c r="AR99" s="113" t="inlineStr">
        <is>
          <t>Nhóm 1</t>
        </is>
      </c>
      <c r="AS99" s="113" t="n"/>
      <c r="AT99" s="113" t="inlineStr">
        <is>
          <t>HM02</t>
        </is>
      </c>
      <c r="AU99" s="113" t="inlineStr">
        <is>
          <t>KTHH_DAP</t>
        </is>
      </c>
      <c r="AV99" s="113" t="n">
        <v>22</v>
      </c>
      <c r="AW99" s="113" t="n">
        <v>22</v>
      </c>
      <c r="AX99" s="113" t="n"/>
    </row>
    <row r="100" customFormat="1" s="107">
      <c r="A100" s="105" t="inlineStr">
        <is>
          <t>BBK957</t>
        </is>
      </c>
      <c r="B100" s="105" t="inlineStr">
        <is>
          <t>PLKL01</t>
        </is>
      </c>
      <c r="C100" s="105" t="inlineStr">
        <is>
          <t>BBK957.0353472</t>
        </is>
      </c>
      <c r="D100" s="106" t="n"/>
      <c r="E100" s="106" t="n"/>
      <c r="F100" s="106" t="n"/>
      <c r="G100" s="106" t="n"/>
      <c r="H100" s="106" t="n"/>
      <c r="J100" s="108" t="inlineStr">
        <is>
          <t>81</t>
        </is>
      </c>
      <c r="K100" s="108" t="inlineStr">
        <is>
          <t>PLKL01</t>
        </is>
      </c>
      <c r="L100" s="109">
        <f>+L99</f>
        <v/>
      </c>
      <c r="M100" s="109">
        <f>+M99</f>
        <v/>
      </c>
      <c r="N100" s="109">
        <f>+N99</f>
        <v/>
      </c>
      <c r="O100" s="110">
        <f>+O99</f>
        <v/>
      </c>
      <c r="P100" s="111" t="n"/>
      <c r="Q100" s="111" t="n"/>
      <c r="R100" s="111" t="n"/>
      <c r="S100" s="111">
        <f>+S99</f>
        <v/>
      </c>
      <c r="T100" s="112" t="n"/>
      <c r="U100" s="112" t="n"/>
      <c r="V100" s="112" t="n"/>
      <c r="W100" s="113" t="n"/>
      <c r="X100" s="113" t="n"/>
      <c r="Y100" s="113" t="n"/>
      <c r="Z100" s="113" t="n"/>
      <c r="AA100" s="113" t="n"/>
      <c r="AB100" s="113" t="n"/>
      <c r="AC100" s="113" t="n"/>
      <c r="AD100" s="113" t="n"/>
      <c r="AE100" s="113" t="n"/>
      <c r="AF100" s="113" t="n"/>
      <c r="AG100" s="113">
        <f>+AG99</f>
        <v/>
      </c>
      <c r="AH100" s="113" t="inlineStr">
        <is>
          <t>&gt;=38;&lt;=56</t>
        </is>
      </c>
      <c r="AI100" s="109" t="n"/>
      <c r="AJ100" s="113" t="n"/>
      <c r="AK100" s="110" t="n"/>
      <c r="AL100" s="113" t="n"/>
      <c r="AM100" s="113" t="n"/>
      <c r="AN100" s="113" t="n"/>
      <c r="AO100" s="113" t="n"/>
      <c r="AP100" s="115" t="n"/>
      <c r="AQ100" s="115" t="n"/>
      <c r="AR100" s="113" t="inlineStr">
        <is>
          <t>Nhóm 1</t>
        </is>
      </c>
      <c r="AS100" s="113" t="n"/>
      <c r="AT100" s="113" t="inlineStr">
        <is>
          <t>HM02</t>
        </is>
      </c>
      <c r="AU100" s="113" t="inlineStr">
        <is>
          <t>PLKL01</t>
        </is>
      </c>
      <c r="AV100" s="113" t="n">
        <v>24</v>
      </c>
      <c r="AW100" s="113" t="n">
        <v>24</v>
      </c>
      <c r="AX100" s="113" t="n"/>
    </row>
    <row r="101" customFormat="1" s="107">
      <c r="A101" s="105" t="inlineStr">
        <is>
          <t>NTCV</t>
        </is>
      </c>
      <c r="B101" s="105" t="inlineStr">
        <is>
          <t>K.9999</t>
        </is>
      </c>
      <c r="C101" s="105" t="inlineStr">
        <is>
          <t>NTCV.0404834</t>
        </is>
      </c>
      <c r="D101" s="106" t="n"/>
      <c r="E101" s="106" t="n"/>
      <c r="F101" s="106" t="n"/>
      <c r="G101" s="106" t="n"/>
      <c r="H101" s="106" t="n"/>
      <c r="J101" s="147" t="inlineStr">
        <is>
          <t>82</t>
        </is>
      </c>
      <c r="K101" s="147" t="inlineStr">
        <is>
          <t>K.9999</t>
        </is>
      </c>
      <c r="L101" s="148">
        <f>"Đắp nền đường công vụ nhánh 6 lớp số "&amp;M101</f>
        <v/>
      </c>
      <c r="M101" s="148" t="n">
        <v>7</v>
      </c>
      <c r="N101" s="148" t="inlineStr">
        <is>
          <t>Km0+0 -:- 9(Km0+89.62)</t>
        </is>
      </c>
      <c r="O101" s="149" t="inlineStr">
        <is>
          <t>Cầu Km19+529.080</t>
        </is>
      </c>
      <c r="P101" s="134">
        <f>+P98</f>
        <v/>
      </c>
      <c r="Q101" s="134">
        <f>+P101+1</f>
        <v/>
      </c>
      <c r="R101" s="134">
        <f>+Q101-1</f>
        <v/>
      </c>
      <c r="S101" s="134">
        <f>+Q101</f>
        <v/>
      </c>
      <c r="T101" s="135">
        <f>U98+TIME(,10,)</f>
        <v/>
      </c>
      <c r="U101" s="135">
        <f>+T101+V101</f>
        <v/>
      </c>
      <c r="V101" s="135" t="n">
        <v>0.01041666666666667</v>
      </c>
      <c r="W101" s="121">
        <f>TEXT(T101,"HH""h""MM'")&amp;"÷"&amp;TEXT(U101,"HH""h""MM'")</f>
        <v/>
      </c>
      <c r="X101" s="150" t="n"/>
      <c r="Y101" s="150" t="n"/>
      <c r="Z101" s="137" t="inlineStr">
        <is>
          <t>01A;</t>
        </is>
      </c>
      <c r="AA101" s="136">
        <f>+L101</f>
        <v/>
      </c>
      <c r="AB101" s="136">
        <f>+AB98</f>
        <v/>
      </c>
      <c r="AC101" s="150">
        <f>+AC98</f>
        <v/>
      </c>
      <c r="AD101" s="150" t="n"/>
      <c r="AE101" s="150" t="n"/>
      <c r="AF101" s="150" t="n"/>
      <c r="AG101" s="150" t="n"/>
      <c r="AH101" s="150" t="n"/>
      <c r="AI101" s="148" t="n"/>
      <c r="AJ101" s="150" t="n"/>
      <c r="AK101" s="149" t="n"/>
      <c r="AL101" s="150" t="n"/>
      <c r="AM101" s="150" t="n"/>
      <c r="AN101" s="150" t="n"/>
      <c r="AO101" s="150" t="n"/>
      <c r="AP101" s="151" t="n"/>
      <c r="AQ101" s="151" t="n"/>
      <c r="AR101" s="150" t="inlineStr">
        <is>
          <t>Nhóm 1</t>
        </is>
      </c>
      <c r="AS101" s="150" t="n"/>
      <c r="AT101" s="150" t="inlineStr">
        <is>
          <t>HM02</t>
        </is>
      </c>
      <c r="AU101" s="150" t="inlineStr">
        <is>
          <t>NTCV</t>
        </is>
      </c>
      <c r="AV101" s="150" t="n">
        <v>25</v>
      </c>
      <c r="AW101" s="150" t="n">
        <v>25</v>
      </c>
      <c r="AX101" s="150" t="n"/>
    </row>
    <row r="102" ht="28" customFormat="1" customHeight="1" s="107">
      <c r="A102" s="105" t="inlineStr">
        <is>
          <t>BBK371</t>
        </is>
      </c>
      <c r="B102" s="105" t="inlineStr">
        <is>
          <t>KTHH_DAP</t>
        </is>
      </c>
      <c r="C102" s="105" t="inlineStr">
        <is>
          <t>BBK371.0269731</t>
        </is>
      </c>
      <c r="D102" s="106" t="n"/>
      <c r="E102" s="106" t="n"/>
      <c r="F102" s="106" t="n"/>
      <c r="G102" s="106" t="n"/>
      <c r="H102" s="106" t="n"/>
      <c r="J102" s="108" t="inlineStr">
        <is>
          <t>83</t>
        </is>
      </c>
      <c r="K102" s="108" t="inlineStr">
        <is>
          <t>KTHH_DAP</t>
        </is>
      </c>
      <c r="L102" s="109">
        <f>L101</f>
        <v/>
      </c>
      <c r="M102" s="109">
        <f>+M101</f>
        <v/>
      </c>
      <c r="N102" s="109" t="inlineStr">
        <is>
          <t>Km0+0 -:- 9(Km0+89.62)</t>
        </is>
      </c>
      <c r="O102" s="110" t="inlineStr">
        <is>
          <t>Cầu Km19+529.080</t>
        </is>
      </c>
      <c r="P102" s="111" t="n"/>
      <c r="Q102" s="111" t="n"/>
      <c r="R102" s="111" t="n"/>
      <c r="S102" s="111">
        <f>+S101</f>
        <v/>
      </c>
      <c r="T102" s="112" t="n"/>
      <c r="U102" s="112" t="n"/>
      <c r="V102" s="112" t="n"/>
      <c r="W102" s="113" t="n"/>
      <c r="X102" s="113" t="n"/>
      <c r="Y102" s="113" t="n"/>
      <c r="Z102" s="113" t="n"/>
      <c r="AA102" s="113" t="n"/>
      <c r="AB102" s="113" t="n"/>
      <c r="AC102" s="113">
        <f>+AC101</f>
        <v/>
      </c>
      <c r="AD102" s="113" t="n"/>
      <c r="AE102" s="113" t="n"/>
      <c r="AF102" s="113" t="n"/>
      <c r="AG102" s="113" t="inlineStr">
        <is>
          <t>DAPNEN_DCV6</t>
        </is>
      </c>
      <c r="AH102" s="113" t="inlineStr">
        <is>
          <t>&gt;=1;&lt;=19</t>
        </is>
      </c>
      <c r="AI102" s="109" t="n"/>
      <c r="AJ102" s="113" t="n"/>
      <c r="AK102" s="110" t="n"/>
      <c r="AL102" s="113" t="n"/>
      <c r="AM102" s="113" t="n"/>
      <c r="AN102" s="113" t="n"/>
      <c r="AO102" s="113" t="n"/>
      <c r="AP102" s="115" t="n"/>
      <c r="AQ102" s="115" t="inlineStr">
        <is>
          <t>Ảnh\dapnendcv.png</t>
        </is>
      </c>
      <c r="AR102" s="113" t="inlineStr">
        <is>
          <t>Nhóm 1</t>
        </is>
      </c>
      <c r="AS102" s="113" t="n"/>
      <c r="AT102" s="113" t="inlineStr">
        <is>
          <t>HM02</t>
        </is>
      </c>
      <c r="AU102" s="113" t="inlineStr">
        <is>
          <t>KTHH_DAP</t>
        </is>
      </c>
      <c r="AV102" s="113" t="n">
        <v>23</v>
      </c>
      <c r="AW102" s="113" t="n">
        <v>23</v>
      </c>
      <c r="AX102" s="113" t="n"/>
    </row>
    <row r="103" customFormat="1" s="107">
      <c r="A103" s="105" t="inlineStr">
        <is>
          <t>BBK957</t>
        </is>
      </c>
      <c r="B103" s="105" t="inlineStr">
        <is>
          <t>PLKL01</t>
        </is>
      </c>
      <c r="C103" s="105" t="inlineStr">
        <is>
          <t>BBK957.0055593</t>
        </is>
      </c>
      <c r="D103" s="106" t="n"/>
      <c r="E103" s="106" t="n"/>
      <c r="F103" s="106" t="n"/>
      <c r="G103" s="106" t="n"/>
      <c r="H103" s="106" t="n"/>
      <c r="J103" s="108" t="inlineStr">
        <is>
          <t>84</t>
        </is>
      </c>
      <c r="K103" s="108" t="inlineStr">
        <is>
          <t>PLKL01</t>
        </is>
      </c>
      <c r="L103" s="109">
        <f>+L102</f>
        <v/>
      </c>
      <c r="M103" s="109">
        <f>+M102</f>
        <v/>
      </c>
      <c r="N103" s="109">
        <f>+N102</f>
        <v/>
      </c>
      <c r="O103" s="110">
        <f>+O102</f>
        <v/>
      </c>
      <c r="P103" s="111" t="n"/>
      <c r="Q103" s="111" t="n"/>
      <c r="R103" s="111" t="n"/>
      <c r="S103" s="111">
        <f>+S102</f>
        <v/>
      </c>
      <c r="T103" s="112" t="n"/>
      <c r="U103" s="112" t="n"/>
      <c r="V103" s="112" t="n"/>
      <c r="W103" s="113" t="n"/>
      <c r="X103" s="113" t="n"/>
      <c r="Y103" s="113" t="n"/>
      <c r="Z103" s="113" t="n"/>
      <c r="AA103" s="113" t="n"/>
      <c r="AB103" s="113" t="n"/>
      <c r="AC103" s="113" t="n"/>
      <c r="AD103" s="113" t="n"/>
      <c r="AE103" s="113" t="n"/>
      <c r="AF103" s="113" t="n"/>
      <c r="AG103" s="113">
        <f>+AG102</f>
        <v/>
      </c>
      <c r="AH103" s="113" t="inlineStr">
        <is>
          <t>&gt;=38;&lt;=56</t>
        </is>
      </c>
      <c r="AI103" s="109" t="n"/>
      <c r="AJ103" s="113" t="n"/>
      <c r="AK103" s="110" t="n"/>
      <c r="AL103" s="113" t="n"/>
      <c r="AM103" s="113" t="n"/>
      <c r="AN103" s="113" t="n"/>
      <c r="AO103" s="113" t="n"/>
      <c r="AP103" s="115" t="n"/>
      <c r="AQ103" s="115" t="n"/>
      <c r="AR103" s="113" t="inlineStr">
        <is>
          <t>Nhóm 1</t>
        </is>
      </c>
      <c r="AS103" s="113" t="n"/>
      <c r="AT103" s="113" t="inlineStr">
        <is>
          <t>HM02</t>
        </is>
      </c>
      <c r="AU103" s="113" t="inlineStr">
        <is>
          <t>PLKL01</t>
        </is>
      </c>
      <c r="AV103" s="113" t="n">
        <v>25</v>
      </c>
      <c r="AW103" s="113" t="n">
        <v>25</v>
      </c>
      <c r="AX103" s="113" t="n"/>
    </row>
    <row r="104" customFormat="1" s="107">
      <c r="A104" s="105" t="inlineStr">
        <is>
          <t>NTCV</t>
        </is>
      </c>
      <c r="B104" s="105" t="inlineStr">
        <is>
          <t>K.9999</t>
        </is>
      </c>
      <c r="C104" s="105" t="inlineStr">
        <is>
          <t>NTCV.0243845</t>
        </is>
      </c>
      <c r="D104" s="106" t="n"/>
      <c r="E104" s="106" t="n"/>
      <c r="F104" s="106" t="n"/>
      <c r="G104" s="106" t="n"/>
      <c r="H104" s="106" t="n"/>
      <c r="J104" s="147" t="inlineStr">
        <is>
          <t>85</t>
        </is>
      </c>
      <c r="K104" s="147" t="inlineStr">
        <is>
          <t>K.9999</t>
        </is>
      </c>
      <c r="L104" s="148">
        <f>"Đắp nền đường công vụ nhánh 6 lớp số "&amp;M104</f>
        <v/>
      </c>
      <c r="M104" s="148" t="n">
        <v>6</v>
      </c>
      <c r="N104" s="148" t="inlineStr">
        <is>
          <t>Km0+0 -:- 9(Km0+89.62)</t>
        </is>
      </c>
      <c r="O104" s="149" t="inlineStr">
        <is>
          <t>Cầu Km19+529.080</t>
        </is>
      </c>
      <c r="P104" s="134">
        <f>+P101</f>
        <v/>
      </c>
      <c r="Q104" s="134">
        <f>+P104+1</f>
        <v/>
      </c>
      <c r="R104" s="134">
        <f>+Q104-1</f>
        <v/>
      </c>
      <c r="S104" s="134">
        <f>+Q104</f>
        <v/>
      </c>
      <c r="T104" s="135">
        <f>U101+TIME(,10,)</f>
        <v/>
      </c>
      <c r="U104" s="135">
        <f>+T104+V104</f>
        <v/>
      </c>
      <c r="V104" s="135" t="n">
        <v>0.01041666666666667</v>
      </c>
      <c r="W104" s="121">
        <f>TEXT(T104,"HH""h""MM'")&amp;"÷"&amp;TEXT(U104,"HH""h""MM'")</f>
        <v/>
      </c>
      <c r="X104" s="150" t="n"/>
      <c r="Y104" s="150" t="n"/>
      <c r="Z104" s="137" t="inlineStr">
        <is>
          <t>01A;</t>
        </is>
      </c>
      <c r="AA104" s="136">
        <f>+L104</f>
        <v/>
      </c>
      <c r="AB104" s="136">
        <f>+AB101</f>
        <v/>
      </c>
      <c r="AC104" s="150">
        <f>+AC101</f>
        <v/>
      </c>
      <c r="AD104" s="150" t="n"/>
      <c r="AE104" s="150" t="n"/>
      <c r="AF104" s="150" t="n"/>
      <c r="AG104" s="150" t="n"/>
      <c r="AH104" s="150" t="n"/>
      <c r="AI104" s="148" t="n"/>
      <c r="AJ104" s="150" t="n"/>
      <c r="AK104" s="149" t="n"/>
      <c r="AL104" s="150" t="n"/>
      <c r="AM104" s="150" t="n"/>
      <c r="AN104" s="150" t="n"/>
      <c r="AO104" s="150" t="n"/>
      <c r="AP104" s="151" t="n"/>
      <c r="AQ104" s="151" t="n"/>
      <c r="AR104" s="150" t="inlineStr">
        <is>
          <t>Nhóm 1</t>
        </is>
      </c>
      <c r="AS104" s="150" t="n"/>
      <c r="AT104" s="150" t="inlineStr">
        <is>
          <t>HM02</t>
        </is>
      </c>
      <c r="AU104" s="150" t="inlineStr">
        <is>
          <t>NTCV</t>
        </is>
      </c>
      <c r="AV104" s="150" t="n">
        <v>26</v>
      </c>
      <c r="AW104" s="150" t="n">
        <v>26</v>
      </c>
      <c r="AX104" s="150" t="n"/>
    </row>
    <row r="105" ht="28" customFormat="1" customHeight="1" s="107">
      <c r="A105" s="105" t="inlineStr">
        <is>
          <t>BBK371</t>
        </is>
      </c>
      <c r="B105" s="105" t="inlineStr">
        <is>
          <t>KTHH_DAP</t>
        </is>
      </c>
      <c r="C105" s="105" t="inlineStr">
        <is>
          <t>BBK371.0979077</t>
        </is>
      </c>
      <c r="D105" s="106" t="n"/>
      <c r="E105" s="106" t="n"/>
      <c r="F105" s="106" t="n"/>
      <c r="G105" s="106" t="n"/>
      <c r="H105" s="106" t="n"/>
      <c r="J105" s="124" t="inlineStr">
        <is>
          <t>86</t>
        </is>
      </c>
      <c r="K105" s="124" t="inlineStr">
        <is>
          <t>KTHH_DAP</t>
        </is>
      </c>
      <c r="L105" s="125">
        <f>L104</f>
        <v/>
      </c>
      <c r="M105" s="125">
        <f>+M104</f>
        <v/>
      </c>
      <c r="N105" s="125" t="inlineStr">
        <is>
          <t>Km0+0 -:- 9(Km0+89.62)</t>
        </is>
      </c>
      <c r="O105" s="126" t="inlineStr">
        <is>
          <t>Cầu Km19+529.080</t>
        </is>
      </c>
      <c r="P105" s="127" t="n"/>
      <c r="Q105" s="127" t="n"/>
      <c r="R105" s="127" t="n"/>
      <c r="S105" s="127">
        <f>+S104</f>
        <v/>
      </c>
      <c r="T105" s="128" t="n"/>
      <c r="U105" s="128" t="n"/>
      <c r="V105" s="128" t="n"/>
      <c r="W105" s="129" t="n"/>
      <c r="X105" s="129" t="n"/>
      <c r="Y105" s="129" t="n"/>
      <c r="Z105" s="129" t="n"/>
      <c r="AA105" s="129" t="n"/>
      <c r="AB105" s="129" t="n"/>
      <c r="AC105" s="129">
        <f>+AC104</f>
        <v/>
      </c>
      <c r="AD105" s="129" t="n"/>
      <c r="AE105" s="129" t="n"/>
      <c r="AF105" s="129" t="n"/>
      <c r="AG105" s="129" t="inlineStr">
        <is>
          <t>DAPNEN_DCV6</t>
        </is>
      </c>
      <c r="AH105" s="129" t="inlineStr">
        <is>
          <t>&gt;=1;&lt;=19</t>
        </is>
      </c>
      <c r="AI105" s="125" t="n"/>
      <c r="AJ105" s="129" t="n"/>
      <c r="AK105" s="126" t="n"/>
      <c r="AL105" s="129" t="n"/>
      <c r="AM105" s="129" t="n"/>
      <c r="AN105" s="129" t="n"/>
      <c r="AO105" s="129" t="n"/>
      <c r="AP105" s="130" t="n"/>
      <c r="AQ105" s="130" t="inlineStr">
        <is>
          <t>Ảnh\dapnendcv.png</t>
        </is>
      </c>
      <c r="AR105" s="129" t="inlineStr">
        <is>
          <t>Nhóm 1</t>
        </is>
      </c>
      <c r="AS105" s="129" t="n"/>
      <c r="AT105" s="129" t="inlineStr">
        <is>
          <t>HM02</t>
        </is>
      </c>
      <c r="AU105" s="129" t="inlineStr">
        <is>
          <t>KTHH_DAP</t>
        </is>
      </c>
      <c r="AV105" s="129" t="n">
        <v>24</v>
      </c>
      <c r="AW105" s="129" t="n">
        <v>24</v>
      </c>
      <c r="AX105" s="129" t="n"/>
    </row>
    <row r="106" customFormat="1" s="107">
      <c r="A106" s="105" t="inlineStr">
        <is>
          <t>BBK957</t>
        </is>
      </c>
      <c r="B106" s="105" t="inlineStr">
        <is>
          <t>PLKL01</t>
        </is>
      </c>
      <c r="C106" s="105" t="inlineStr">
        <is>
          <t>BBK957.0060916</t>
        </is>
      </c>
      <c r="D106" s="106" t="n"/>
      <c r="E106" s="106" t="n"/>
      <c r="F106" s="106" t="n"/>
      <c r="G106" s="106" t="n"/>
      <c r="H106" s="106" t="n"/>
      <c r="J106" s="108" t="inlineStr">
        <is>
          <t>87</t>
        </is>
      </c>
      <c r="K106" s="108" t="inlineStr">
        <is>
          <t>PLKL01</t>
        </is>
      </c>
      <c r="L106" s="109">
        <f>+L105</f>
        <v/>
      </c>
      <c r="M106" s="109">
        <f>+M105</f>
        <v/>
      </c>
      <c r="N106" s="109">
        <f>+N105</f>
        <v/>
      </c>
      <c r="O106" s="110">
        <f>+O105</f>
        <v/>
      </c>
      <c r="P106" s="111" t="n"/>
      <c r="Q106" s="111" t="n"/>
      <c r="R106" s="111" t="n"/>
      <c r="S106" s="111">
        <f>+S105</f>
        <v/>
      </c>
      <c r="T106" s="112" t="n"/>
      <c r="U106" s="112" t="n"/>
      <c r="V106" s="112" t="n"/>
      <c r="W106" s="113" t="n"/>
      <c r="X106" s="113" t="n"/>
      <c r="Y106" s="113" t="n"/>
      <c r="Z106" s="113" t="n"/>
      <c r="AA106" s="113" t="n"/>
      <c r="AB106" s="113" t="n"/>
      <c r="AC106" s="113" t="n"/>
      <c r="AD106" s="113" t="n"/>
      <c r="AE106" s="113" t="n"/>
      <c r="AF106" s="113" t="n"/>
      <c r="AG106" s="113">
        <f>+AG105</f>
        <v/>
      </c>
      <c r="AH106" s="113" t="inlineStr">
        <is>
          <t>&gt;=38;&lt;=56</t>
        </is>
      </c>
      <c r="AI106" s="109" t="n"/>
      <c r="AJ106" s="113" t="n"/>
      <c r="AK106" s="110" t="n"/>
      <c r="AL106" s="113" t="n"/>
      <c r="AM106" s="113" t="n"/>
      <c r="AN106" s="113" t="n"/>
      <c r="AO106" s="113" t="n"/>
      <c r="AP106" s="115" t="n"/>
      <c r="AQ106" s="115" t="n"/>
      <c r="AR106" s="113" t="inlineStr">
        <is>
          <t>Nhóm 1</t>
        </is>
      </c>
      <c r="AS106" s="113" t="n"/>
      <c r="AT106" s="113" t="inlineStr">
        <is>
          <t>HM02</t>
        </is>
      </c>
      <c r="AU106" s="113" t="inlineStr">
        <is>
          <t>PLKL01</t>
        </is>
      </c>
      <c r="AV106" s="113" t="n">
        <v>26</v>
      </c>
      <c r="AW106" s="113" t="n">
        <v>26</v>
      </c>
      <c r="AX106" s="113" t="n"/>
    </row>
    <row r="107" customFormat="1" s="107">
      <c r="A107" s="105" t="inlineStr">
        <is>
          <t>BBK680</t>
        </is>
      </c>
      <c r="B107" s="105" t="inlineStr">
        <is>
          <t>PYC</t>
        </is>
      </c>
      <c r="C107" s="105" t="inlineStr">
        <is>
          <t>BBK680.0390291</t>
        </is>
      </c>
      <c r="D107" s="106" t="n"/>
      <c r="E107" s="106" t="n"/>
      <c r="F107" s="106" t="n"/>
      <c r="G107" s="106" t="n"/>
      <c r="H107" s="106" t="n"/>
      <c r="J107" s="108" t="inlineStr">
        <is>
          <t>88</t>
        </is>
      </c>
      <c r="K107" s="108" t="inlineStr">
        <is>
          <t>PYC</t>
        </is>
      </c>
      <c r="L107" s="109" t="inlineStr">
        <is>
          <t>phiếu yêu cầu</t>
        </is>
      </c>
      <c r="M107" s="109" t="n"/>
      <c r="N107" s="109" t="n"/>
      <c r="O107" s="110" t="n"/>
      <c r="P107" s="111" t="n"/>
      <c r="Q107" s="111" t="n"/>
      <c r="R107" s="111">
        <f>+R108</f>
        <v/>
      </c>
      <c r="S107" s="111">
        <f>+S108</f>
        <v/>
      </c>
      <c r="T107" s="112" t="n"/>
      <c r="U107" s="112" t="n"/>
      <c r="V107" s="112" t="n"/>
      <c r="W107" s="113" t="n"/>
      <c r="X107" s="113" t="n"/>
      <c r="Y107" s="113" t="n"/>
      <c r="Z107" s="113" t="n"/>
      <c r="AA107" s="113" t="n"/>
      <c r="AB107" s="113" t="inlineStr">
        <is>
          <t>09-XL-307HG/PYCNT/MB-ĐCV</t>
        </is>
      </c>
      <c r="AC107" s="113" t="n"/>
      <c r="AD107" s="113" t="n"/>
      <c r="AE107" s="113" t="n"/>
      <c r="AF107" s="113" t="n"/>
      <c r="AG107" s="113" t="inlineStr">
        <is>
          <t>NTCV</t>
        </is>
      </c>
      <c r="AH107" s="113" t="inlineStr">
        <is>
          <t>&gt;=27;&lt;=30</t>
        </is>
      </c>
      <c r="AI107" s="109" t="n"/>
      <c r="AJ107" s="113" t="n"/>
      <c r="AK107" s="110" t="n"/>
      <c r="AL107" s="113" t="n"/>
      <c r="AM107" s="113" t="n"/>
      <c r="AN107" s="113" t="n"/>
      <c r="AO107" s="113" t="n"/>
      <c r="AP107" s="115" t="n"/>
      <c r="AQ107" s="115" t="n"/>
      <c r="AR107" s="113" t="inlineStr">
        <is>
          <t>Nhóm 1</t>
        </is>
      </c>
      <c r="AS107" s="113" t="n"/>
      <c r="AT107" s="113" t="inlineStr">
        <is>
          <t>HM02</t>
        </is>
      </c>
      <c r="AU107" s="113" t="inlineStr">
        <is>
          <t>PYC</t>
        </is>
      </c>
      <c r="AV107" s="113" t="n">
        <v>8</v>
      </c>
      <c r="AW107" s="113" t="n">
        <v>8</v>
      </c>
      <c r="AX107" s="113" t="n"/>
    </row>
    <row r="108" customFormat="1" s="107">
      <c r="A108" s="105" t="inlineStr">
        <is>
          <t>NTCV</t>
        </is>
      </c>
      <c r="B108" s="105" t="inlineStr">
        <is>
          <t>K.9999</t>
        </is>
      </c>
      <c r="C108" s="105" t="inlineStr">
        <is>
          <t>NTCV.0364995</t>
        </is>
      </c>
      <c r="D108" s="106" t="n"/>
      <c r="E108" s="106" t="n"/>
      <c r="F108" s="106" t="n"/>
      <c r="G108" s="106" t="n"/>
      <c r="H108" s="106" t="n"/>
      <c r="J108" s="131" t="inlineStr">
        <is>
          <t>89</t>
        </is>
      </c>
      <c r="K108" s="131" t="inlineStr">
        <is>
          <t>K.9999</t>
        </is>
      </c>
      <c r="L108" s="132">
        <f>"Đắp nền đường công vụ nhánh 6 lớp số "&amp;M108</f>
        <v/>
      </c>
      <c r="M108" s="132" t="n">
        <v>5</v>
      </c>
      <c r="N108" s="132" t="inlineStr">
        <is>
          <t>Km0+0 -:- 9(Km0+89.62)</t>
        </is>
      </c>
      <c r="O108" s="133" t="inlineStr">
        <is>
          <t>Cầu Km19+529.080</t>
        </is>
      </c>
      <c r="P108" s="134">
        <f>+S104</f>
        <v/>
      </c>
      <c r="Q108" s="134">
        <f>+P108+1</f>
        <v/>
      </c>
      <c r="R108" s="134">
        <f>+Q108-1</f>
        <v/>
      </c>
      <c r="S108" s="134">
        <f>+Q108</f>
        <v/>
      </c>
      <c r="T108" s="135" t="n">
        <v>0.3541666666666667</v>
      </c>
      <c r="U108" s="135">
        <f>+T108+V108</f>
        <v/>
      </c>
      <c r="V108" s="135" t="n">
        <v>0.01041666666666667</v>
      </c>
      <c r="W108" s="136">
        <f>TEXT(T108,"HH""h""MM'")&amp;"÷"&amp;TEXT(U108,"HH""h""MM'")</f>
        <v/>
      </c>
      <c r="X108" s="136" t="n"/>
      <c r="Y108" s="136" t="n"/>
      <c r="Z108" s="137" t="inlineStr">
        <is>
          <t>01A;</t>
        </is>
      </c>
      <c r="AA108" s="136">
        <f>+L108</f>
        <v/>
      </c>
      <c r="AB108" s="136" t="inlineStr">
        <is>
          <t>09-XL-307HG/PYCNT/MB-ĐCV-8</t>
        </is>
      </c>
      <c r="AC108" s="136" t="inlineStr">
        <is>
          <t>09-XL-307HG/PYCNT/MB-ĐCV-8</t>
        </is>
      </c>
      <c r="AD108" s="136" t="n"/>
      <c r="AE108" s="136" t="n"/>
      <c r="AF108" s="136" t="n"/>
      <c r="AG108" s="136" t="n"/>
      <c r="AH108" s="136" t="n"/>
      <c r="AI108" s="132" t="n"/>
      <c r="AJ108" s="136" t="n"/>
      <c r="AK108" s="133" t="n"/>
      <c r="AL108" s="136" t="n"/>
      <c r="AM108" s="136" t="n"/>
      <c r="AN108" s="136" t="n"/>
      <c r="AO108" s="136" t="n"/>
      <c r="AP108" s="138" t="n"/>
      <c r="AQ108" s="138" t="n"/>
      <c r="AR108" s="136" t="inlineStr">
        <is>
          <t>Nhóm 1</t>
        </is>
      </c>
      <c r="AS108" s="136" t="n"/>
      <c r="AT108" s="136" t="inlineStr">
        <is>
          <t>HM02</t>
        </is>
      </c>
      <c r="AU108" s="136" t="inlineStr">
        <is>
          <t>NTCV</t>
        </is>
      </c>
      <c r="AV108" s="136" t="n">
        <v>27</v>
      </c>
      <c r="AW108" s="136" t="n">
        <v>27</v>
      </c>
      <c r="AX108" s="136" t="n"/>
    </row>
    <row r="109" ht="28" customFormat="1" customHeight="1" s="107">
      <c r="A109" s="105" t="inlineStr">
        <is>
          <t>BBK371</t>
        </is>
      </c>
      <c r="B109" s="105" t="inlineStr">
        <is>
          <t>KTHH_DAP</t>
        </is>
      </c>
      <c r="C109" s="105" t="inlineStr">
        <is>
          <t>BBK371.0489894</t>
        </is>
      </c>
      <c r="D109" s="106" t="n"/>
      <c r="E109" s="106" t="n"/>
      <c r="F109" s="106" t="n"/>
      <c r="G109" s="106" t="n"/>
      <c r="H109" s="106" t="n"/>
      <c r="J109" s="108" t="inlineStr">
        <is>
          <t>90</t>
        </is>
      </c>
      <c r="K109" s="108" t="inlineStr">
        <is>
          <t>KTHH_DAP</t>
        </is>
      </c>
      <c r="L109" s="109">
        <f>L108</f>
        <v/>
      </c>
      <c r="M109" s="109">
        <f>+M108</f>
        <v/>
      </c>
      <c r="N109" s="109" t="inlineStr">
        <is>
          <t>Km0+0 -:- 9(Km0+89.62)</t>
        </is>
      </c>
      <c r="O109" s="110" t="inlineStr">
        <is>
          <t>Cầu Km19+529.080</t>
        </is>
      </c>
      <c r="P109" s="111" t="n"/>
      <c r="Q109" s="111" t="n"/>
      <c r="R109" s="111" t="n"/>
      <c r="S109" s="111">
        <f>+S108</f>
        <v/>
      </c>
      <c r="T109" s="112" t="n"/>
      <c r="U109" s="112" t="n"/>
      <c r="V109" s="112" t="n"/>
      <c r="W109" s="113" t="n"/>
      <c r="X109" s="113" t="n"/>
      <c r="Y109" s="113" t="n"/>
      <c r="Z109" s="113" t="n"/>
      <c r="AA109" s="113" t="n"/>
      <c r="AB109" s="113" t="n"/>
      <c r="AC109" s="113">
        <f>AC108</f>
        <v/>
      </c>
      <c r="AD109" s="113" t="n"/>
      <c r="AE109" s="113" t="n"/>
      <c r="AF109" s="113" t="n"/>
      <c r="AG109" s="113" t="inlineStr">
        <is>
          <t>DAPNEN_DCV6</t>
        </is>
      </c>
      <c r="AH109" s="113" t="inlineStr">
        <is>
          <t>&gt;=1;&lt;=19</t>
        </is>
      </c>
      <c r="AI109" s="109" t="n"/>
      <c r="AJ109" s="113" t="n"/>
      <c r="AK109" s="110" t="n"/>
      <c r="AL109" s="113" t="n"/>
      <c r="AM109" s="113" t="n"/>
      <c r="AN109" s="113" t="n"/>
      <c r="AO109" s="113" t="n"/>
      <c r="AP109" s="115" t="n"/>
      <c r="AQ109" s="115" t="inlineStr">
        <is>
          <t>Ảnh\dapnendcv.png</t>
        </is>
      </c>
      <c r="AR109" s="113" t="inlineStr">
        <is>
          <t>Nhóm 1</t>
        </is>
      </c>
      <c r="AS109" s="113" t="n"/>
      <c r="AT109" s="113" t="inlineStr">
        <is>
          <t>HM02</t>
        </is>
      </c>
      <c r="AU109" s="113" t="inlineStr">
        <is>
          <t>KTHH_DAP</t>
        </is>
      </c>
      <c r="AV109" s="113" t="n">
        <v>25</v>
      </c>
      <c r="AW109" s="113" t="n">
        <v>25</v>
      </c>
      <c r="AX109" s="113" t="n"/>
    </row>
    <row r="110" customFormat="1" s="107">
      <c r="A110" s="105" t="inlineStr">
        <is>
          <t>BBK957</t>
        </is>
      </c>
      <c r="B110" s="105" t="inlineStr">
        <is>
          <t>PLKL01</t>
        </is>
      </c>
      <c r="C110" s="105" t="inlineStr">
        <is>
          <t>BBK957.0155663</t>
        </is>
      </c>
      <c r="D110" s="106" t="n"/>
      <c r="E110" s="106" t="n"/>
      <c r="F110" s="106" t="n"/>
      <c r="G110" s="106" t="n"/>
      <c r="H110" s="106" t="n"/>
      <c r="J110" s="108" t="inlineStr">
        <is>
          <t>91</t>
        </is>
      </c>
      <c r="K110" s="108" t="inlineStr">
        <is>
          <t>PLKL01</t>
        </is>
      </c>
      <c r="L110" s="109">
        <f>+L109</f>
        <v/>
      </c>
      <c r="M110" s="109">
        <f>+M109</f>
        <v/>
      </c>
      <c r="N110" s="109">
        <f>+N109</f>
        <v/>
      </c>
      <c r="O110" s="110">
        <f>+O109</f>
        <v/>
      </c>
      <c r="P110" s="111" t="n"/>
      <c r="Q110" s="111" t="n"/>
      <c r="R110" s="111" t="n"/>
      <c r="S110" s="111">
        <f>+S109</f>
        <v/>
      </c>
      <c r="T110" s="112" t="n"/>
      <c r="U110" s="112" t="n"/>
      <c r="V110" s="112" t="n"/>
      <c r="W110" s="113" t="n"/>
      <c r="X110" s="113" t="n"/>
      <c r="Y110" s="113" t="n"/>
      <c r="Z110" s="113" t="n"/>
      <c r="AA110" s="113" t="n"/>
      <c r="AB110" s="113" t="n"/>
      <c r="AC110" s="113" t="n"/>
      <c r="AD110" s="113" t="n"/>
      <c r="AE110" s="113" t="n"/>
      <c r="AF110" s="113" t="n"/>
      <c r="AG110" s="113">
        <f>+AG109</f>
        <v/>
      </c>
      <c r="AH110" s="113" t="inlineStr">
        <is>
          <t>&gt;=38;&lt;=56</t>
        </is>
      </c>
      <c r="AI110" s="109" t="n"/>
      <c r="AJ110" s="113" t="n"/>
      <c r="AK110" s="110" t="n"/>
      <c r="AL110" s="113" t="n"/>
      <c r="AM110" s="113" t="n"/>
      <c r="AN110" s="113" t="n"/>
      <c r="AO110" s="113" t="n"/>
      <c r="AP110" s="115" t="n"/>
      <c r="AQ110" s="115" t="n"/>
      <c r="AR110" s="113" t="inlineStr">
        <is>
          <t>Nhóm 1</t>
        </is>
      </c>
      <c r="AS110" s="113" t="n"/>
      <c r="AT110" s="113" t="inlineStr">
        <is>
          <t>HM02</t>
        </is>
      </c>
      <c r="AU110" s="113" t="inlineStr">
        <is>
          <t>PLKL01</t>
        </is>
      </c>
      <c r="AV110" s="113" t="n">
        <v>27</v>
      </c>
      <c r="AW110" s="113" t="n">
        <v>27</v>
      </c>
      <c r="AX110" s="113" t="n"/>
    </row>
    <row r="111" customFormat="1" s="107">
      <c r="A111" s="105" t="inlineStr">
        <is>
          <t>NTCV</t>
        </is>
      </c>
      <c r="B111" s="105" t="inlineStr">
        <is>
          <t>K.9999</t>
        </is>
      </c>
      <c r="C111" s="105" t="inlineStr">
        <is>
          <t>NTCV.0474459</t>
        </is>
      </c>
      <c r="D111" s="106" t="n"/>
      <c r="E111" s="106" t="n"/>
      <c r="F111" s="106" t="n"/>
      <c r="G111" s="106" t="n"/>
      <c r="H111" s="106" t="n"/>
      <c r="J111" s="147" t="inlineStr">
        <is>
          <t>92</t>
        </is>
      </c>
      <c r="K111" s="147" t="inlineStr">
        <is>
          <t>K.9999</t>
        </is>
      </c>
      <c r="L111" s="148">
        <f>"Đắp nền đường công vụ nhánh 6 lớp số "&amp;M111</f>
        <v/>
      </c>
      <c r="M111" s="148" t="n">
        <v>4</v>
      </c>
      <c r="N111" s="148" t="inlineStr">
        <is>
          <t>Km0+0 -:- 9(Km0+89.62)</t>
        </is>
      </c>
      <c r="O111" s="149" t="inlineStr">
        <is>
          <t>Cầu Km19+529.080</t>
        </is>
      </c>
      <c r="P111" s="134">
        <f>+P108</f>
        <v/>
      </c>
      <c r="Q111" s="134">
        <f>+P111+1</f>
        <v/>
      </c>
      <c r="R111" s="134">
        <f>+Q111-1</f>
        <v/>
      </c>
      <c r="S111" s="134">
        <f>+Q111</f>
        <v/>
      </c>
      <c r="T111" s="135">
        <f>U108+TIME(,10,)</f>
        <v/>
      </c>
      <c r="U111" s="135">
        <f>+T111+V111</f>
        <v/>
      </c>
      <c r="V111" s="135" t="n">
        <v>0.01041666666666667</v>
      </c>
      <c r="W111" s="121">
        <f>TEXT(T111,"HH""h""MM'")&amp;"÷"&amp;TEXT(U111,"HH""h""MM'")</f>
        <v/>
      </c>
      <c r="X111" s="150" t="n"/>
      <c r="Y111" s="150" t="n"/>
      <c r="Z111" s="137" t="inlineStr">
        <is>
          <t>01A;</t>
        </is>
      </c>
      <c r="AA111" s="136">
        <f>+L111</f>
        <v/>
      </c>
      <c r="AB111" s="136">
        <f>+AB108</f>
        <v/>
      </c>
      <c r="AC111" s="150">
        <f>+AC108</f>
        <v/>
      </c>
      <c r="AD111" s="150" t="n"/>
      <c r="AE111" s="150" t="n"/>
      <c r="AF111" s="150" t="n"/>
      <c r="AG111" s="150" t="n"/>
      <c r="AH111" s="150" t="n"/>
      <c r="AI111" s="148" t="n"/>
      <c r="AJ111" s="150" t="n"/>
      <c r="AK111" s="149" t="n"/>
      <c r="AL111" s="150" t="n"/>
      <c r="AM111" s="150" t="n"/>
      <c r="AN111" s="150" t="n"/>
      <c r="AO111" s="150" t="n"/>
      <c r="AP111" s="151" t="n"/>
      <c r="AQ111" s="151" t="n"/>
      <c r="AR111" s="150" t="inlineStr">
        <is>
          <t>Nhóm 1</t>
        </is>
      </c>
      <c r="AS111" s="150" t="n"/>
      <c r="AT111" s="150" t="inlineStr">
        <is>
          <t>HM02</t>
        </is>
      </c>
      <c r="AU111" s="150" t="inlineStr">
        <is>
          <t>NTCV</t>
        </is>
      </c>
      <c r="AV111" s="150" t="n">
        <v>28</v>
      </c>
      <c r="AW111" s="150" t="n">
        <v>28</v>
      </c>
      <c r="AX111" s="150" t="n"/>
    </row>
    <row r="112" ht="28" customFormat="1" customHeight="1" s="107">
      <c r="A112" s="105" t="inlineStr">
        <is>
          <t>BBK371</t>
        </is>
      </c>
      <c r="B112" s="105" t="inlineStr">
        <is>
          <t>KTHH_DAP</t>
        </is>
      </c>
      <c r="C112" s="105" t="inlineStr">
        <is>
          <t>BBK371.0257267</t>
        </is>
      </c>
      <c r="D112" s="106" t="n"/>
      <c r="E112" s="106" t="n"/>
      <c r="F112" s="106" t="n"/>
      <c r="G112" s="106" t="n"/>
      <c r="H112" s="106" t="n"/>
      <c r="J112" s="108" t="inlineStr">
        <is>
          <t>93</t>
        </is>
      </c>
      <c r="K112" s="108" t="inlineStr">
        <is>
          <t>KTHH_DAP</t>
        </is>
      </c>
      <c r="L112" s="109">
        <f>L111</f>
        <v/>
      </c>
      <c r="M112" s="109">
        <f>+M111</f>
        <v/>
      </c>
      <c r="N112" s="109" t="inlineStr">
        <is>
          <t>Km0+0 -:- 9(Km0+89.62)</t>
        </is>
      </c>
      <c r="O112" s="110" t="inlineStr">
        <is>
          <t>Cầu Km19+529.080</t>
        </is>
      </c>
      <c r="P112" s="111" t="n"/>
      <c r="Q112" s="111" t="n"/>
      <c r="R112" s="111" t="n"/>
      <c r="S112" s="111">
        <f>+S111</f>
        <v/>
      </c>
      <c r="T112" s="112" t="n"/>
      <c r="U112" s="112" t="n"/>
      <c r="V112" s="112" t="n"/>
      <c r="W112" s="113" t="n"/>
      <c r="X112" s="113" t="n"/>
      <c r="Y112" s="113" t="n"/>
      <c r="Z112" s="113" t="n"/>
      <c r="AA112" s="113" t="n"/>
      <c r="AB112" s="113" t="n"/>
      <c r="AC112" s="113">
        <f>+AC111</f>
        <v/>
      </c>
      <c r="AD112" s="113" t="n"/>
      <c r="AE112" s="113" t="n"/>
      <c r="AF112" s="113" t="n"/>
      <c r="AG112" s="113" t="inlineStr">
        <is>
          <t>DAPNEN_DCV6</t>
        </is>
      </c>
      <c r="AH112" s="113" t="inlineStr">
        <is>
          <t>&gt;=1;&lt;=19</t>
        </is>
      </c>
      <c r="AI112" s="109" t="n"/>
      <c r="AJ112" s="113" t="n"/>
      <c r="AK112" s="110" t="n"/>
      <c r="AL112" s="113" t="n"/>
      <c r="AM112" s="113" t="n"/>
      <c r="AN112" s="113" t="n"/>
      <c r="AO112" s="113" t="n"/>
      <c r="AP112" s="115" t="n"/>
      <c r="AQ112" s="115" t="inlineStr">
        <is>
          <t>Ảnh\dapnendcv.png</t>
        </is>
      </c>
      <c r="AR112" s="113" t="inlineStr">
        <is>
          <t>Nhóm 1</t>
        </is>
      </c>
      <c r="AS112" s="113" t="n"/>
      <c r="AT112" s="113" t="inlineStr">
        <is>
          <t>HM02</t>
        </is>
      </c>
      <c r="AU112" s="113" t="inlineStr">
        <is>
          <t>KTHH_DAP</t>
        </is>
      </c>
      <c r="AV112" s="113" t="n">
        <v>26</v>
      </c>
      <c r="AW112" s="113" t="n">
        <v>26</v>
      </c>
      <c r="AX112" s="113" t="n"/>
    </row>
    <row r="113" customFormat="1" s="107">
      <c r="A113" s="105" t="inlineStr">
        <is>
          <t>BBK957</t>
        </is>
      </c>
      <c r="B113" s="105" t="inlineStr">
        <is>
          <t>PLKL01</t>
        </is>
      </c>
      <c r="C113" s="105" t="inlineStr">
        <is>
          <t>BBK957.0628751</t>
        </is>
      </c>
      <c r="D113" s="106" t="n"/>
      <c r="E113" s="106" t="n"/>
      <c r="F113" s="106" t="n"/>
      <c r="G113" s="106" t="n"/>
      <c r="H113" s="106" t="n"/>
      <c r="J113" s="108" t="inlineStr">
        <is>
          <t>94</t>
        </is>
      </c>
      <c r="K113" s="108" t="inlineStr">
        <is>
          <t>PLKL01</t>
        </is>
      </c>
      <c r="L113" s="109">
        <f>+L112</f>
        <v/>
      </c>
      <c r="M113" s="109">
        <f>+M112</f>
        <v/>
      </c>
      <c r="N113" s="109">
        <f>+N112</f>
        <v/>
      </c>
      <c r="O113" s="110">
        <f>+O112</f>
        <v/>
      </c>
      <c r="P113" s="111" t="n"/>
      <c r="Q113" s="111" t="n"/>
      <c r="R113" s="111" t="n"/>
      <c r="S113" s="111">
        <f>+S112</f>
        <v/>
      </c>
      <c r="T113" s="112" t="n"/>
      <c r="U113" s="112" t="n"/>
      <c r="V113" s="112" t="n"/>
      <c r="W113" s="113" t="n"/>
      <c r="X113" s="113" t="n"/>
      <c r="Y113" s="113" t="n"/>
      <c r="Z113" s="113" t="n"/>
      <c r="AA113" s="113" t="n"/>
      <c r="AB113" s="113" t="n"/>
      <c r="AC113" s="113" t="n"/>
      <c r="AD113" s="113" t="n"/>
      <c r="AE113" s="113" t="n"/>
      <c r="AF113" s="113" t="n"/>
      <c r="AG113" s="113">
        <f>+AG112</f>
        <v/>
      </c>
      <c r="AH113" s="113" t="inlineStr">
        <is>
          <t>&gt;=38;&lt;=56</t>
        </is>
      </c>
      <c r="AI113" s="109" t="n"/>
      <c r="AJ113" s="113" t="n"/>
      <c r="AK113" s="110" t="n"/>
      <c r="AL113" s="113" t="n"/>
      <c r="AM113" s="113" t="n"/>
      <c r="AN113" s="113" t="n"/>
      <c r="AO113" s="113" t="n"/>
      <c r="AP113" s="115" t="n"/>
      <c r="AQ113" s="115" t="n"/>
      <c r="AR113" s="113" t="inlineStr">
        <is>
          <t>Nhóm 1</t>
        </is>
      </c>
      <c r="AS113" s="113" t="n"/>
      <c r="AT113" s="113" t="inlineStr">
        <is>
          <t>HM02</t>
        </is>
      </c>
      <c r="AU113" s="113" t="inlineStr">
        <is>
          <t>PLKL01</t>
        </is>
      </c>
      <c r="AV113" s="113" t="n">
        <v>28</v>
      </c>
      <c r="AW113" s="113" t="n">
        <v>28</v>
      </c>
      <c r="AX113" s="113" t="n"/>
    </row>
    <row r="114" customFormat="1" s="107">
      <c r="A114" s="105" t="inlineStr">
        <is>
          <t>NTCV</t>
        </is>
      </c>
      <c r="B114" s="105" t="inlineStr">
        <is>
          <t>K.9999</t>
        </is>
      </c>
      <c r="C114" s="105" t="inlineStr">
        <is>
          <t>NTCV.0542070</t>
        </is>
      </c>
      <c r="D114" s="106" t="n"/>
      <c r="E114" s="106" t="n"/>
      <c r="F114" s="106" t="n"/>
      <c r="G114" s="106" t="n"/>
      <c r="H114" s="106" t="n"/>
      <c r="J114" s="147" t="inlineStr">
        <is>
          <t>95</t>
        </is>
      </c>
      <c r="K114" s="147" t="inlineStr">
        <is>
          <t>K.9999</t>
        </is>
      </c>
      <c r="L114" s="148">
        <f>"Đắp nền đường công vụ nhánh 6 lớp số "&amp;M114</f>
        <v/>
      </c>
      <c r="M114" s="148" t="n">
        <v>3</v>
      </c>
      <c r="N114" s="148" t="inlineStr">
        <is>
          <t>Km0+0 -:- 9(Km0+89.62)</t>
        </is>
      </c>
      <c r="O114" s="149" t="inlineStr">
        <is>
          <t>Cầu Km19+529.080</t>
        </is>
      </c>
      <c r="P114" s="134">
        <f>+P111</f>
        <v/>
      </c>
      <c r="Q114" s="134">
        <f>+P114+1</f>
        <v/>
      </c>
      <c r="R114" s="134">
        <f>+Q114-1</f>
        <v/>
      </c>
      <c r="S114" s="134">
        <f>+Q114</f>
        <v/>
      </c>
      <c r="T114" s="135">
        <f>U111+TIME(,10,)</f>
        <v/>
      </c>
      <c r="U114" s="135">
        <f>+T114+V114</f>
        <v/>
      </c>
      <c r="V114" s="135" t="n">
        <v>0.01041666666666667</v>
      </c>
      <c r="W114" s="121">
        <f>TEXT(T114,"HH""h""MM'")&amp;"÷"&amp;TEXT(U114,"HH""h""MM'")</f>
        <v/>
      </c>
      <c r="X114" s="150" t="n"/>
      <c r="Y114" s="150" t="n"/>
      <c r="Z114" s="137" t="inlineStr">
        <is>
          <t>01A;</t>
        </is>
      </c>
      <c r="AA114" s="136">
        <f>+L114</f>
        <v/>
      </c>
      <c r="AB114" s="136">
        <f>+AB111</f>
        <v/>
      </c>
      <c r="AC114" s="150">
        <f>+AC111</f>
        <v/>
      </c>
      <c r="AD114" s="150" t="n"/>
      <c r="AE114" s="150" t="n"/>
      <c r="AF114" s="150" t="n"/>
      <c r="AG114" s="150" t="n"/>
      <c r="AH114" s="150" t="n"/>
      <c r="AI114" s="148" t="n"/>
      <c r="AJ114" s="150" t="n"/>
      <c r="AK114" s="149" t="n"/>
      <c r="AL114" s="150" t="n"/>
      <c r="AM114" s="150" t="n"/>
      <c r="AN114" s="150" t="n"/>
      <c r="AO114" s="150" t="n"/>
      <c r="AP114" s="151" t="n"/>
      <c r="AQ114" s="151" t="n"/>
      <c r="AR114" s="150" t="inlineStr">
        <is>
          <t>Nhóm 1</t>
        </is>
      </c>
      <c r="AS114" s="150" t="n"/>
      <c r="AT114" s="150" t="inlineStr">
        <is>
          <t>HM02</t>
        </is>
      </c>
      <c r="AU114" s="150" t="inlineStr">
        <is>
          <t>NTCV</t>
        </is>
      </c>
      <c r="AV114" s="150" t="n">
        <v>29</v>
      </c>
      <c r="AW114" s="150" t="n">
        <v>29</v>
      </c>
      <c r="AX114" s="150" t="n"/>
    </row>
    <row r="115" ht="28" customFormat="1" customHeight="1" s="107">
      <c r="A115" s="105" t="inlineStr">
        <is>
          <t>BBK371</t>
        </is>
      </c>
      <c r="B115" s="105" t="inlineStr">
        <is>
          <t>KTHH_DAP</t>
        </is>
      </c>
      <c r="C115" s="105" t="inlineStr">
        <is>
          <t>BBK371.0156302</t>
        </is>
      </c>
      <c r="D115" s="106" t="n"/>
      <c r="E115" s="106" t="n"/>
      <c r="F115" s="106" t="n"/>
      <c r="G115" s="106" t="n"/>
      <c r="H115" s="106" t="n"/>
      <c r="J115" s="108" t="inlineStr">
        <is>
          <t>96</t>
        </is>
      </c>
      <c r="K115" s="108" t="inlineStr">
        <is>
          <t>KTHH_DAP</t>
        </is>
      </c>
      <c r="L115" s="109">
        <f>L114</f>
        <v/>
      </c>
      <c r="M115" s="109">
        <f>+M114</f>
        <v/>
      </c>
      <c r="N115" s="109" t="inlineStr">
        <is>
          <t>Km0+0 -:- 9(Km0+89.62)</t>
        </is>
      </c>
      <c r="O115" s="110" t="inlineStr">
        <is>
          <t>Cầu Km19+529.080</t>
        </is>
      </c>
      <c r="P115" s="111" t="n"/>
      <c r="Q115" s="111" t="n"/>
      <c r="R115" s="111" t="n"/>
      <c r="S115" s="111">
        <f>+S114</f>
        <v/>
      </c>
      <c r="T115" s="112" t="n"/>
      <c r="U115" s="112" t="n"/>
      <c r="V115" s="112" t="n"/>
      <c r="W115" s="113" t="n"/>
      <c r="X115" s="113" t="n"/>
      <c r="Y115" s="113" t="n"/>
      <c r="Z115" s="113" t="n"/>
      <c r="AA115" s="113" t="n"/>
      <c r="AB115" s="113" t="n"/>
      <c r="AC115" s="113">
        <f>+AC114</f>
        <v/>
      </c>
      <c r="AD115" s="113" t="n"/>
      <c r="AE115" s="113" t="n"/>
      <c r="AF115" s="113" t="n"/>
      <c r="AG115" s="113" t="inlineStr">
        <is>
          <t>DAPNEN_DCV6</t>
        </is>
      </c>
      <c r="AH115" s="113" t="inlineStr">
        <is>
          <t>&gt;=1;&lt;=19</t>
        </is>
      </c>
      <c r="AI115" s="109" t="n"/>
      <c r="AJ115" s="113" t="n"/>
      <c r="AK115" s="110" t="n"/>
      <c r="AL115" s="113" t="n"/>
      <c r="AM115" s="113" t="n"/>
      <c r="AN115" s="113" t="n"/>
      <c r="AO115" s="113" t="n"/>
      <c r="AP115" s="115" t="n"/>
      <c r="AQ115" s="115" t="inlineStr">
        <is>
          <t>Ảnh\dapnendcv.png</t>
        </is>
      </c>
      <c r="AR115" s="113" t="inlineStr">
        <is>
          <t>Nhóm 1</t>
        </is>
      </c>
      <c r="AS115" s="113" t="n"/>
      <c r="AT115" s="113" t="inlineStr">
        <is>
          <t>HM02</t>
        </is>
      </c>
      <c r="AU115" s="113" t="inlineStr">
        <is>
          <t>KTHH_DAP</t>
        </is>
      </c>
      <c r="AV115" s="113" t="n">
        <v>27</v>
      </c>
      <c r="AW115" s="113" t="n">
        <v>27</v>
      </c>
      <c r="AX115" s="113" t="n"/>
    </row>
    <row r="116" customFormat="1" s="107">
      <c r="A116" s="105" t="inlineStr">
        <is>
          <t>BBK957</t>
        </is>
      </c>
      <c r="B116" s="105" t="inlineStr">
        <is>
          <t>PLKL01</t>
        </is>
      </c>
      <c r="C116" s="105" t="inlineStr">
        <is>
          <t>BBK957.0938545</t>
        </is>
      </c>
      <c r="D116" s="106" t="n"/>
      <c r="E116" s="106" t="n"/>
      <c r="F116" s="106" t="n"/>
      <c r="G116" s="106" t="n"/>
      <c r="H116" s="106" t="n"/>
      <c r="J116" s="108" t="inlineStr">
        <is>
          <t>97</t>
        </is>
      </c>
      <c r="K116" s="108" t="inlineStr">
        <is>
          <t>PLKL01</t>
        </is>
      </c>
      <c r="L116" s="109">
        <f>+L115</f>
        <v/>
      </c>
      <c r="M116" s="109">
        <f>+M115</f>
        <v/>
      </c>
      <c r="N116" s="109">
        <f>+N115</f>
        <v/>
      </c>
      <c r="O116" s="110">
        <f>+O115</f>
        <v/>
      </c>
      <c r="P116" s="111" t="n"/>
      <c r="Q116" s="111" t="n"/>
      <c r="R116" s="111" t="n"/>
      <c r="S116" s="111">
        <f>+S115</f>
        <v/>
      </c>
      <c r="T116" s="112" t="n"/>
      <c r="U116" s="112" t="n"/>
      <c r="V116" s="112" t="n"/>
      <c r="W116" s="113" t="n"/>
      <c r="X116" s="113" t="n"/>
      <c r="Y116" s="113" t="n"/>
      <c r="Z116" s="113" t="n"/>
      <c r="AA116" s="113" t="n"/>
      <c r="AB116" s="113" t="n"/>
      <c r="AC116" s="113" t="n"/>
      <c r="AD116" s="113" t="n"/>
      <c r="AE116" s="113" t="n"/>
      <c r="AF116" s="113" t="n"/>
      <c r="AG116" s="113">
        <f>+AG115</f>
        <v/>
      </c>
      <c r="AH116" s="113" t="inlineStr">
        <is>
          <t>&gt;=38;&lt;=56</t>
        </is>
      </c>
      <c r="AI116" s="109" t="n"/>
      <c r="AJ116" s="113" t="n"/>
      <c r="AK116" s="110" t="n"/>
      <c r="AL116" s="113" t="n"/>
      <c r="AM116" s="113" t="n"/>
      <c r="AN116" s="113" t="n"/>
      <c r="AO116" s="113" t="n"/>
      <c r="AP116" s="115" t="n"/>
      <c r="AQ116" s="115" t="n"/>
      <c r="AR116" s="113" t="inlineStr">
        <is>
          <t>Nhóm 1</t>
        </is>
      </c>
      <c r="AS116" s="113" t="n"/>
      <c r="AT116" s="113" t="inlineStr">
        <is>
          <t>HM02</t>
        </is>
      </c>
      <c r="AU116" s="113" t="inlineStr">
        <is>
          <t>PLKL01</t>
        </is>
      </c>
      <c r="AV116" s="113" t="n">
        <v>29</v>
      </c>
      <c r="AW116" s="113" t="n">
        <v>29</v>
      </c>
      <c r="AX116" s="113" t="n"/>
    </row>
    <row r="117" customFormat="1" s="107">
      <c r="A117" s="105" t="inlineStr">
        <is>
          <t>NTCV</t>
        </is>
      </c>
      <c r="B117" s="105" t="inlineStr">
        <is>
          <t>K.9999</t>
        </is>
      </c>
      <c r="C117" s="105" t="inlineStr">
        <is>
          <t>NTCV.0654499</t>
        </is>
      </c>
      <c r="D117" s="106" t="n"/>
      <c r="E117" s="106" t="n"/>
      <c r="F117" s="106" t="n"/>
      <c r="G117" s="106" t="n"/>
      <c r="H117" s="106" t="n"/>
      <c r="J117" s="147" t="inlineStr">
        <is>
          <t>98</t>
        </is>
      </c>
      <c r="K117" s="147" t="inlineStr">
        <is>
          <t>K.9999</t>
        </is>
      </c>
      <c r="L117" s="148">
        <f>"Đắp nền đường công vụ nhánh 6 lớp số "&amp;M117</f>
        <v/>
      </c>
      <c r="M117" s="148" t="n">
        <v>2</v>
      </c>
      <c r="N117" s="148" t="inlineStr">
        <is>
          <t>Km0+0 -:- 9(Km0+89.62)</t>
        </is>
      </c>
      <c r="O117" s="149" t="inlineStr">
        <is>
          <t>Cầu Km19+529.080</t>
        </is>
      </c>
      <c r="P117" s="134">
        <f>+P114</f>
        <v/>
      </c>
      <c r="Q117" s="134">
        <f>+P117+1</f>
        <v/>
      </c>
      <c r="R117" s="134">
        <f>+Q117-1</f>
        <v/>
      </c>
      <c r="S117" s="134">
        <f>+Q117</f>
        <v/>
      </c>
      <c r="T117" s="135">
        <f>U114+TIME(,10,)</f>
        <v/>
      </c>
      <c r="U117" s="135">
        <f>+T117+V117</f>
        <v/>
      </c>
      <c r="V117" s="135" t="n">
        <v>0.01041666666666667</v>
      </c>
      <c r="W117" s="121">
        <f>TEXT(T117,"HH""h""MM'")&amp;"÷"&amp;TEXT(U117,"HH""h""MM'")</f>
        <v/>
      </c>
      <c r="X117" s="150" t="n"/>
      <c r="Y117" s="150" t="n"/>
      <c r="Z117" s="137" t="inlineStr">
        <is>
          <t>01A;</t>
        </is>
      </c>
      <c r="AA117" s="136">
        <f>+L117</f>
        <v/>
      </c>
      <c r="AB117" s="136">
        <f>+AB114</f>
        <v/>
      </c>
      <c r="AC117" s="150">
        <f>+AC114</f>
        <v/>
      </c>
      <c r="AD117" s="150" t="n"/>
      <c r="AE117" s="150" t="n"/>
      <c r="AF117" s="150" t="n"/>
      <c r="AG117" s="150" t="n"/>
      <c r="AH117" s="150" t="n"/>
      <c r="AI117" s="148" t="n"/>
      <c r="AJ117" s="150" t="n"/>
      <c r="AK117" s="149" t="n"/>
      <c r="AL117" s="150" t="n"/>
      <c r="AM117" s="150" t="n"/>
      <c r="AN117" s="150" t="n"/>
      <c r="AO117" s="150" t="n"/>
      <c r="AP117" s="151" t="n"/>
      <c r="AQ117" s="151" t="n"/>
      <c r="AR117" s="150" t="inlineStr">
        <is>
          <t>Nhóm 1</t>
        </is>
      </c>
      <c r="AS117" s="150" t="n"/>
      <c r="AT117" s="150" t="inlineStr">
        <is>
          <t>HM02</t>
        </is>
      </c>
      <c r="AU117" s="150" t="inlineStr">
        <is>
          <t>NTCV</t>
        </is>
      </c>
      <c r="AV117" s="150" t="n">
        <v>30</v>
      </c>
      <c r="AW117" s="150" t="n">
        <v>30</v>
      </c>
      <c r="AX117" s="150" t="n"/>
    </row>
    <row r="118" ht="28" customFormat="1" customHeight="1" s="107">
      <c r="A118" s="105" t="inlineStr">
        <is>
          <t>BBK371</t>
        </is>
      </c>
      <c r="B118" s="105" t="inlineStr">
        <is>
          <t>KTHH_DAP</t>
        </is>
      </c>
      <c r="C118" s="105" t="inlineStr">
        <is>
          <t>BBK371.0506087</t>
        </is>
      </c>
      <c r="D118" s="106" t="n"/>
      <c r="E118" s="106" t="n"/>
      <c r="F118" s="106" t="n"/>
      <c r="G118" s="106" t="n"/>
      <c r="H118" s="106" t="n"/>
      <c r="J118" s="124" t="inlineStr">
        <is>
          <t>99</t>
        </is>
      </c>
      <c r="K118" s="124" t="inlineStr">
        <is>
          <t>KTHH_DAP</t>
        </is>
      </c>
      <c r="L118" s="125">
        <f>L117</f>
        <v/>
      </c>
      <c r="M118" s="125">
        <f>+M117</f>
        <v/>
      </c>
      <c r="N118" s="125" t="inlineStr">
        <is>
          <t>Km0+0 -:- 9(Km0+89.62)</t>
        </is>
      </c>
      <c r="O118" s="126" t="inlineStr">
        <is>
          <t>Cầu Km19+529.080</t>
        </is>
      </c>
      <c r="P118" s="127" t="n"/>
      <c r="Q118" s="127" t="n"/>
      <c r="R118" s="127" t="n"/>
      <c r="S118" s="127">
        <f>+S117</f>
        <v/>
      </c>
      <c r="T118" s="128" t="n"/>
      <c r="U118" s="128" t="n"/>
      <c r="V118" s="128" t="n"/>
      <c r="W118" s="129" t="n"/>
      <c r="X118" s="129" t="n"/>
      <c r="Y118" s="129" t="n"/>
      <c r="Z118" s="129" t="n"/>
      <c r="AA118" s="129" t="n"/>
      <c r="AB118" s="129" t="n"/>
      <c r="AC118" s="129">
        <f>+AC117</f>
        <v/>
      </c>
      <c r="AD118" s="129" t="n"/>
      <c r="AE118" s="129" t="n"/>
      <c r="AF118" s="129" t="n"/>
      <c r="AG118" s="129" t="inlineStr">
        <is>
          <t>DAPNEN_DCV6</t>
        </is>
      </c>
      <c r="AH118" s="129" t="inlineStr">
        <is>
          <t>&gt;=1;&lt;=19</t>
        </is>
      </c>
      <c r="AI118" s="125" t="n"/>
      <c r="AJ118" s="129" t="n"/>
      <c r="AK118" s="126" t="n"/>
      <c r="AL118" s="129" t="n"/>
      <c r="AM118" s="129" t="n"/>
      <c r="AN118" s="129" t="n"/>
      <c r="AO118" s="129" t="n"/>
      <c r="AP118" s="130" t="n"/>
      <c r="AQ118" s="130" t="inlineStr">
        <is>
          <t>Ảnh\dapnendcv.png</t>
        </is>
      </c>
      <c r="AR118" s="129" t="inlineStr">
        <is>
          <t>Nhóm 1</t>
        </is>
      </c>
      <c r="AS118" s="129" t="n"/>
      <c r="AT118" s="129" t="inlineStr">
        <is>
          <t>HM02</t>
        </is>
      </c>
      <c r="AU118" s="129" t="inlineStr">
        <is>
          <t>KTHH_DAP</t>
        </is>
      </c>
      <c r="AV118" s="129" t="n">
        <v>28</v>
      </c>
      <c r="AW118" s="129" t="n">
        <v>28</v>
      </c>
      <c r="AX118" s="129" t="n"/>
    </row>
    <row r="119" customFormat="1" s="107">
      <c r="A119" s="105" t="inlineStr">
        <is>
          <t>BBK957</t>
        </is>
      </c>
      <c r="B119" s="105" t="inlineStr">
        <is>
          <t>PLKL01</t>
        </is>
      </c>
      <c r="C119" s="105" t="inlineStr">
        <is>
          <t>BBK957.0390471</t>
        </is>
      </c>
      <c r="D119" s="106" t="n"/>
      <c r="E119" s="106" t="n"/>
      <c r="F119" s="106" t="n"/>
      <c r="G119" s="106" t="n"/>
      <c r="H119" s="106" t="n"/>
      <c r="J119" s="108" t="inlineStr">
        <is>
          <t>100</t>
        </is>
      </c>
      <c r="K119" s="108" t="inlineStr">
        <is>
          <t>PLKL01</t>
        </is>
      </c>
      <c r="L119" s="109">
        <f>+L118</f>
        <v/>
      </c>
      <c r="M119" s="109">
        <f>+M118</f>
        <v/>
      </c>
      <c r="N119" s="109">
        <f>+N118</f>
        <v/>
      </c>
      <c r="O119" s="110">
        <f>+O118</f>
        <v/>
      </c>
      <c r="P119" s="111" t="n"/>
      <c r="Q119" s="111" t="n"/>
      <c r="R119" s="111" t="n"/>
      <c r="S119" s="111">
        <f>+S118</f>
        <v/>
      </c>
      <c r="T119" s="112" t="n"/>
      <c r="U119" s="112" t="n"/>
      <c r="V119" s="112" t="n"/>
      <c r="W119" s="113" t="n"/>
      <c r="X119" s="113" t="n"/>
      <c r="Y119" s="113" t="n"/>
      <c r="Z119" s="113" t="n"/>
      <c r="AA119" s="113" t="n"/>
      <c r="AB119" s="113" t="n"/>
      <c r="AC119" s="113" t="n"/>
      <c r="AD119" s="113" t="n"/>
      <c r="AE119" s="113" t="n"/>
      <c r="AF119" s="113" t="n"/>
      <c r="AG119" s="113">
        <f>+AG118</f>
        <v/>
      </c>
      <c r="AH119" s="113" t="inlineStr">
        <is>
          <t>&gt;=38;&lt;=56</t>
        </is>
      </c>
      <c r="AI119" s="109" t="n"/>
      <c r="AJ119" s="113" t="n"/>
      <c r="AK119" s="110" t="n"/>
      <c r="AL119" s="113" t="n"/>
      <c r="AM119" s="113" t="n"/>
      <c r="AN119" s="113" t="n"/>
      <c r="AO119" s="113" t="n"/>
      <c r="AP119" s="115" t="n"/>
      <c r="AQ119" s="115" t="n"/>
      <c r="AR119" s="113" t="inlineStr">
        <is>
          <t>Nhóm 1</t>
        </is>
      </c>
      <c r="AS119" s="113" t="n"/>
      <c r="AT119" s="113" t="inlineStr">
        <is>
          <t>HM02</t>
        </is>
      </c>
      <c r="AU119" s="113" t="inlineStr">
        <is>
          <t>PLKL01</t>
        </is>
      </c>
      <c r="AV119" s="113" t="n">
        <v>30</v>
      </c>
      <c r="AW119" s="113" t="n">
        <v>30</v>
      </c>
      <c r="AX119" s="113" t="n"/>
    </row>
    <row r="120" customFormat="1" s="107">
      <c r="A120" s="105" t="inlineStr">
        <is>
          <t>BBK680</t>
        </is>
      </c>
      <c r="B120" s="105" t="inlineStr">
        <is>
          <t>PYC</t>
        </is>
      </c>
      <c r="C120" s="105" t="inlineStr">
        <is>
          <t>BBK680.0107375</t>
        </is>
      </c>
      <c r="D120" s="106" t="n"/>
      <c r="E120" s="106" t="n"/>
      <c r="F120" s="106" t="n"/>
      <c r="G120" s="106" t="n"/>
      <c r="H120" s="106" t="n"/>
      <c r="J120" s="108" t="inlineStr">
        <is>
          <t>101</t>
        </is>
      </c>
      <c r="K120" s="108" t="inlineStr">
        <is>
          <t>PYC</t>
        </is>
      </c>
      <c r="L120" s="109" t="inlineStr">
        <is>
          <t>phiếu yêu cầu</t>
        </is>
      </c>
      <c r="M120" s="109" t="n"/>
      <c r="N120" s="109" t="n"/>
      <c r="O120" s="110" t="n"/>
      <c r="P120" s="111" t="n"/>
      <c r="Q120" s="111" t="n"/>
      <c r="R120" s="111">
        <f>+R121</f>
        <v/>
      </c>
      <c r="S120" s="111">
        <f>+S121</f>
        <v/>
      </c>
      <c r="T120" s="112" t="n"/>
      <c r="U120" s="112" t="n"/>
      <c r="V120" s="112" t="n"/>
      <c r="W120" s="113" t="n"/>
      <c r="X120" s="113" t="n"/>
      <c r="Y120" s="113" t="n"/>
      <c r="Z120" s="113" t="n"/>
      <c r="AA120" s="113" t="n"/>
      <c r="AB120" s="113" t="inlineStr">
        <is>
          <t>09-XL-307HG/PYCNT/MB-ĐCV</t>
        </is>
      </c>
      <c r="AC120" s="113" t="n"/>
      <c r="AD120" s="113" t="n"/>
      <c r="AE120" s="113" t="n"/>
      <c r="AF120" s="113" t="n"/>
      <c r="AG120" s="113" t="inlineStr">
        <is>
          <t>NTCV</t>
        </is>
      </c>
      <c r="AH120" s="113" t="inlineStr">
        <is>
          <t>&gt;=31;&lt;=32</t>
        </is>
      </c>
      <c r="AI120" s="109" t="n"/>
      <c r="AJ120" s="113" t="n"/>
      <c r="AK120" s="110" t="n"/>
      <c r="AL120" s="113" t="n"/>
      <c r="AM120" s="113" t="n"/>
      <c r="AN120" s="113" t="n"/>
      <c r="AO120" s="113" t="n"/>
      <c r="AP120" s="115" t="n"/>
      <c r="AQ120" s="115" t="n"/>
      <c r="AR120" s="113" t="inlineStr">
        <is>
          <t>Nhóm 1</t>
        </is>
      </c>
      <c r="AS120" s="113" t="n"/>
      <c r="AT120" s="113" t="inlineStr">
        <is>
          <t>HM02</t>
        </is>
      </c>
      <c r="AU120" s="113" t="inlineStr">
        <is>
          <t>PYC</t>
        </is>
      </c>
      <c r="AV120" s="113" t="n">
        <v>9</v>
      </c>
      <c r="AW120" s="113" t="n">
        <v>9</v>
      </c>
      <c r="AX120" s="113" t="n"/>
    </row>
    <row r="121" customFormat="1" s="107">
      <c r="A121" s="105" t="inlineStr">
        <is>
          <t>NTCV</t>
        </is>
      </c>
      <c r="B121" s="105" t="inlineStr">
        <is>
          <t>K.9999</t>
        </is>
      </c>
      <c r="C121" s="105" t="inlineStr">
        <is>
          <t>NTCV.0783995</t>
        </is>
      </c>
      <c r="D121" s="106" t="n"/>
      <c r="E121" s="106" t="n"/>
      <c r="F121" s="106" t="n"/>
      <c r="G121" s="106" t="n"/>
      <c r="H121" s="106" t="n"/>
      <c r="J121" s="131" t="inlineStr">
        <is>
          <t>102</t>
        </is>
      </c>
      <c r="K121" s="131" t="inlineStr">
        <is>
          <t>K.9999</t>
        </is>
      </c>
      <c r="L121" s="132">
        <f>"Đắp nền đường công vụ nhánh 6 lớp số "&amp;M121</f>
        <v/>
      </c>
      <c r="M121" s="132" t="n">
        <v>1</v>
      </c>
      <c r="N121" s="132" t="inlineStr">
        <is>
          <t>Km0+0 -:- 9(Km0+89.62)</t>
        </is>
      </c>
      <c r="O121" s="133" t="inlineStr">
        <is>
          <t>Cầu Km19+529.080</t>
        </is>
      </c>
      <c r="P121" s="134">
        <f>+S117</f>
        <v/>
      </c>
      <c r="Q121" s="134">
        <f>+P121+1</f>
        <v/>
      </c>
      <c r="R121" s="134">
        <f>+Q121-1</f>
        <v/>
      </c>
      <c r="S121" s="134">
        <f>+Q121</f>
        <v/>
      </c>
      <c r="T121" s="135" t="n">
        <v>0.3541666666666667</v>
      </c>
      <c r="U121" s="135">
        <f>+T121+V121</f>
        <v/>
      </c>
      <c r="V121" s="135" t="n">
        <v>0.01041666666666667</v>
      </c>
      <c r="W121" s="136">
        <f>TEXT(T121,"HH""h""MM'")&amp;"÷"&amp;TEXT(U121,"HH""h""MM'")</f>
        <v/>
      </c>
      <c r="X121" s="136" t="n"/>
      <c r="Y121" s="136" t="n"/>
      <c r="Z121" s="137" t="inlineStr">
        <is>
          <t>01A;</t>
        </is>
      </c>
      <c r="AA121" s="136">
        <f>+L121</f>
        <v/>
      </c>
      <c r="AB121" s="136" t="inlineStr">
        <is>
          <t>09-XL-307HG/PYCNT/MB-ĐCV-9</t>
        </is>
      </c>
      <c r="AC121" s="136" t="inlineStr">
        <is>
          <t>09-XL-307HG/PYCNT/MB-ĐCV-9</t>
        </is>
      </c>
      <c r="AD121" s="136" t="n"/>
      <c r="AE121" s="136" t="n"/>
      <c r="AF121" s="136" t="n"/>
      <c r="AG121" s="136" t="n"/>
      <c r="AH121" s="136" t="n"/>
      <c r="AI121" s="132" t="n"/>
      <c r="AJ121" s="136" t="n"/>
      <c r="AK121" s="133" t="n"/>
      <c r="AL121" s="136" t="n"/>
      <c r="AM121" s="136" t="n"/>
      <c r="AN121" s="136" t="n"/>
      <c r="AO121" s="136" t="n"/>
      <c r="AP121" s="138" t="n"/>
      <c r="AQ121" s="138" t="n"/>
      <c r="AR121" s="136" t="inlineStr">
        <is>
          <t>Nhóm 1</t>
        </is>
      </c>
      <c r="AS121" s="136" t="n"/>
      <c r="AT121" s="136" t="inlineStr">
        <is>
          <t>HM02</t>
        </is>
      </c>
      <c r="AU121" s="136" t="inlineStr">
        <is>
          <t>NTCV</t>
        </is>
      </c>
      <c r="AV121" s="136" t="n">
        <v>31</v>
      </c>
      <c r="AW121" s="136" t="n">
        <v>31</v>
      </c>
      <c r="AX121" s="136" t="n"/>
    </row>
    <row r="122" ht="28" customFormat="1" customHeight="1" s="107">
      <c r="A122" s="105" t="inlineStr">
        <is>
          <t>BBK371</t>
        </is>
      </c>
      <c r="B122" s="105" t="inlineStr">
        <is>
          <t>KTHH_DAP</t>
        </is>
      </c>
      <c r="C122" s="105" t="inlineStr">
        <is>
          <t>BBK371.0459640</t>
        </is>
      </c>
      <c r="D122" s="106" t="n"/>
      <c r="E122" s="106" t="n"/>
      <c r="F122" s="106" t="n"/>
      <c r="G122" s="106" t="n"/>
      <c r="H122" s="106" t="n"/>
      <c r="J122" s="108" t="inlineStr">
        <is>
          <t>103</t>
        </is>
      </c>
      <c r="K122" s="108" t="inlineStr">
        <is>
          <t>KTHH_DAP</t>
        </is>
      </c>
      <c r="L122" s="109">
        <f>L121</f>
        <v/>
      </c>
      <c r="M122" s="109">
        <f>+M121</f>
        <v/>
      </c>
      <c r="N122" s="109" t="inlineStr">
        <is>
          <t>Km0+0 -:- 9(Km0+89.62)</t>
        </is>
      </c>
      <c r="O122" s="110" t="inlineStr">
        <is>
          <t>Cầu Km19+529.080</t>
        </is>
      </c>
      <c r="P122" s="111" t="n"/>
      <c r="Q122" s="111" t="n"/>
      <c r="R122" s="111" t="n"/>
      <c r="S122" s="111">
        <f>+S121</f>
        <v/>
      </c>
      <c r="T122" s="112" t="n"/>
      <c r="U122" s="112" t="n"/>
      <c r="V122" s="112" t="n"/>
      <c r="W122" s="113" t="n"/>
      <c r="X122" s="113" t="n"/>
      <c r="Y122" s="113" t="n"/>
      <c r="Z122" s="113" t="n"/>
      <c r="AA122" s="113" t="n"/>
      <c r="AB122" s="113" t="n"/>
      <c r="AC122" s="113">
        <f>AC121</f>
        <v/>
      </c>
      <c r="AD122" s="113" t="n"/>
      <c r="AE122" s="113" t="n"/>
      <c r="AF122" s="113" t="n"/>
      <c r="AG122" s="113" t="inlineStr">
        <is>
          <t>DAPNEN_DCV6</t>
        </is>
      </c>
      <c r="AH122" s="113" t="inlineStr">
        <is>
          <t>&gt;=1;&lt;=19</t>
        </is>
      </c>
      <c r="AI122" s="109" t="n"/>
      <c r="AJ122" s="113" t="n"/>
      <c r="AK122" s="110" t="n"/>
      <c r="AL122" s="113" t="n"/>
      <c r="AM122" s="113" t="n"/>
      <c r="AN122" s="113" t="n"/>
      <c r="AO122" s="113" t="n"/>
      <c r="AP122" s="115" t="n"/>
      <c r="AQ122" s="115" t="inlineStr">
        <is>
          <t>Ảnh\dapnendcv.png</t>
        </is>
      </c>
      <c r="AR122" s="113" t="inlineStr">
        <is>
          <t>Nhóm 1</t>
        </is>
      </c>
      <c r="AS122" s="113" t="n"/>
      <c r="AT122" s="113" t="inlineStr">
        <is>
          <t>HM02</t>
        </is>
      </c>
      <c r="AU122" s="113" t="inlineStr">
        <is>
          <t>KTHH_DAP</t>
        </is>
      </c>
      <c r="AV122" s="113" t="n">
        <v>29</v>
      </c>
      <c r="AW122" s="113" t="n">
        <v>29</v>
      </c>
      <c r="AX122" s="113" t="n"/>
    </row>
    <row r="123" customFormat="1" s="107">
      <c r="A123" s="105" t="inlineStr">
        <is>
          <t>BBK957</t>
        </is>
      </c>
      <c r="B123" s="105" t="inlineStr">
        <is>
          <t>PLKL01</t>
        </is>
      </c>
      <c r="C123" s="105" t="inlineStr">
        <is>
          <t>BBK957.0753688</t>
        </is>
      </c>
      <c r="D123" s="106" t="n"/>
      <c r="E123" s="106" t="n"/>
      <c r="F123" s="106" t="n"/>
      <c r="G123" s="106" t="n"/>
      <c r="H123" s="106" t="n"/>
      <c r="J123" s="108" t="inlineStr">
        <is>
          <t>104</t>
        </is>
      </c>
      <c r="K123" s="108" t="inlineStr">
        <is>
          <t>PLKL01</t>
        </is>
      </c>
      <c r="L123" s="109">
        <f>+L122</f>
        <v/>
      </c>
      <c r="M123" s="109">
        <f>+M122</f>
        <v/>
      </c>
      <c r="N123" s="109">
        <f>+N122</f>
        <v/>
      </c>
      <c r="O123" s="110">
        <f>+O122</f>
        <v/>
      </c>
      <c r="P123" s="111" t="n"/>
      <c r="Q123" s="111" t="n"/>
      <c r="R123" s="111" t="n"/>
      <c r="S123" s="111">
        <f>+S122</f>
        <v/>
      </c>
      <c r="T123" s="112" t="n"/>
      <c r="U123" s="112" t="n"/>
      <c r="V123" s="112" t="n"/>
      <c r="W123" s="113" t="n"/>
      <c r="X123" s="113" t="n"/>
      <c r="Y123" s="113" t="n"/>
      <c r="Z123" s="113" t="n"/>
      <c r="AA123" s="113" t="n"/>
      <c r="AB123" s="113" t="n"/>
      <c r="AC123" s="113" t="n"/>
      <c r="AD123" s="113" t="n"/>
      <c r="AE123" s="113" t="n"/>
      <c r="AF123" s="113" t="n"/>
      <c r="AG123" s="113">
        <f>+AG122</f>
        <v/>
      </c>
      <c r="AH123" s="113" t="inlineStr">
        <is>
          <t>&gt;=38;&lt;=56</t>
        </is>
      </c>
      <c r="AI123" s="109" t="n"/>
      <c r="AJ123" s="113" t="n"/>
      <c r="AK123" s="110" t="n"/>
      <c r="AL123" s="113" t="n"/>
      <c r="AM123" s="113" t="n"/>
      <c r="AN123" s="113" t="n"/>
      <c r="AO123" s="113" t="n"/>
      <c r="AP123" s="115" t="n"/>
      <c r="AQ123" s="115" t="n"/>
      <c r="AR123" s="113" t="inlineStr">
        <is>
          <t>Nhóm 1</t>
        </is>
      </c>
      <c r="AS123" s="113" t="n"/>
      <c r="AT123" s="113" t="inlineStr">
        <is>
          <t>HM02</t>
        </is>
      </c>
      <c r="AU123" s="113" t="inlineStr">
        <is>
          <t>PLKL01</t>
        </is>
      </c>
      <c r="AV123" s="113" t="n">
        <v>31</v>
      </c>
      <c r="AW123" s="113" t="n">
        <v>31</v>
      </c>
      <c r="AX123" s="113" t="n"/>
    </row>
    <row r="124" customFormat="1" s="107">
      <c r="A124" s="105" t="inlineStr">
        <is>
          <t>NTCV</t>
        </is>
      </c>
      <c r="B124" s="105" t="inlineStr">
        <is>
          <t>K.9999</t>
        </is>
      </c>
      <c r="C124" s="105" t="inlineStr">
        <is>
          <t>NTCV.0596094</t>
        </is>
      </c>
      <c r="D124" s="106" t="n"/>
      <c r="E124" s="106" t="n"/>
      <c r="F124" s="106" t="n"/>
      <c r="G124" s="106" t="n"/>
      <c r="H124" s="106" t="n"/>
      <c r="J124" s="147" t="inlineStr">
        <is>
          <t>105</t>
        </is>
      </c>
      <c r="K124" s="147" t="inlineStr">
        <is>
          <t>K.9999</t>
        </is>
      </c>
      <c r="L124" s="148">
        <f>"Đắp nền đường công vụ nhánh 6A lớp số "&amp;M124</f>
        <v/>
      </c>
      <c r="M124" s="148" t="n">
        <v>1</v>
      </c>
      <c r="N124" s="148" t="inlineStr">
        <is>
          <t>Km0+0 -:- 9(Km0+81.23)</t>
        </is>
      </c>
      <c r="O124" s="149" t="inlineStr">
        <is>
          <t>Cầu Km19+529.080</t>
        </is>
      </c>
      <c r="P124" s="134">
        <f>+P121</f>
        <v/>
      </c>
      <c r="Q124" s="134">
        <f>+P124+1</f>
        <v/>
      </c>
      <c r="R124" s="134">
        <f>+Q124-1</f>
        <v/>
      </c>
      <c r="S124" s="134">
        <f>+Q124</f>
        <v/>
      </c>
      <c r="T124" s="135">
        <f>U121+TIME(,10,)</f>
        <v/>
      </c>
      <c r="U124" s="135">
        <f>+T124+V124</f>
        <v/>
      </c>
      <c r="V124" s="135" t="n">
        <v>0.01041666666666667</v>
      </c>
      <c r="W124" s="121">
        <f>TEXT(T124,"HH""h""MM'")&amp;"÷"&amp;TEXT(U124,"HH""h""MM'")</f>
        <v/>
      </c>
      <c r="X124" s="150" t="n"/>
      <c r="Y124" s="150" t="n"/>
      <c r="Z124" s="137" t="inlineStr">
        <is>
          <t>01A;</t>
        </is>
      </c>
      <c r="AA124" s="136">
        <f>+L124</f>
        <v/>
      </c>
      <c r="AB124" s="136">
        <f>+AB121</f>
        <v/>
      </c>
      <c r="AC124" s="150">
        <f>+AC121</f>
        <v/>
      </c>
      <c r="AD124" s="150" t="n"/>
      <c r="AE124" s="150" t="n"/>
      <c r="AF124" s="150" t="n"/>
      <c r="AG124" s="150" t="n"/>
      <c r="AH124" s="150" t="n"/>
      <c r="AI124" s="148" t="n"/>
      <c r="AJ124" s="150" t="n"/>
      <c r="AK124" s="149" t="n"/>
      <c r="AL124" s="150" t="n"/>
      <c r="AM124" s="150" t="n"/>
      <c r="AN124" s="150" t="n"/>
      <c r="AO124" s="150" t="n"/>
      <c r="AP124" s="151" t="n"/>
      <c r="AQ124" s="151" t="n"/>
      <c r="AR124" s="150" t="inlineStr">
        <is>
          <t>Nhóm 1</t>
        </is>
      </c>
      <c r="AS124" s="150" t="n"/>
      <c r="AT124" s="150" t="inlineStr">
        <is>
          <t>HM02</t>
        </is>
      </c>
      <c r="AU124" s="150" t="inlineStr">
        <is>
          <t>NTCV</t>
        </is>
      </c>
      <c r="AV124" s="150" t="n">
        <v>32</v>
      </c>
      <c r="AW124" s="150" t="n">
        <v>32</v>
      </c>
      <c r="AX124" s="150" t="n"/>
    </row>
    <row r="125" ht="28" customFormat="1" customHeight="1" s="107">
      <c r="A125" s="105" t="inlineStr">
        <is>
          <t>BBK371</t>
        </is>
      </c>
      <c r="B125" s="105" t="inlineStr">
        <is>
          <t>KTHH_DAP</t>
        </is>
      </c>
      <c r="C125" s="105" t="inlineStr">
        <is>
          <t>BBK371.0832730</t>
        </is>
      </c>
      <c r="D125" s="106" t="n"/>
      <c r="E125" s="106" t="n"/>
      <c r="F125" s="106" t="n"/>
      <c r="G125" s="106" t="n"/>
      <c r="H125" s="106" t="n"/>
      <c r="J125" s="124" t="inlineStr">
        <is>
          <t>106</t>
        </is>
      </c>
      <c r="K125" s="124" t="inlineStr">
        <is>
          <t>KTHH_DAP</t>
        </is>
      </c>
      <c r="L125" s="125">
        <f>L124</f>
        <v/>
      </c>
      <c r="M125" s="125">
        <f>+M124</f>
        <v/>
      </c>
      <c r="N125" s="125" t="inlineStr">
        <is>
          <t>Km0+0 -:- 9(Km0+81.23)</t>
        </is>
      </c>
      <c r="O125" s="126" t="inlineStr">
        <is>
          <t>Cầu Km19+529.080</t>
        </is>
      </c>
      <c r="P125" s="127" t="n"/>
      <c r="Q125" s="127" t="n"/>
      <c r="R125" s="127" t="n"/>
      <c r="S125" s="127">
        <f>+S124</f>
        <v/>
      </c>
      <c r="T125" s="128" t="n"/>
      <c r="U125" s="128" t="n"/>
      <c r="V125" s="128" t="n"/>
      <c r="W125" s="129" t="n"/>
      <c r="X125" s="129" t="n"/>
      <c r="Y125" s="129" t="n"/>
      <c r="Z125" s="129" t="n"/>
      <c r="AA125" s="129" t="n"/>
      <c r="AB125" s="129" t="n"/>
      <c r="AC125" s="129">
        <f>+AC124</f>
        <v/>
      </c>
      <c r="AD125" s="129" t="n"/>
      <c r="AE125" s="129" t="n"/>
      <c r="AF125" s="129" t="n"/>
      <c r="AG125" s="129" t="inlineStr">
        <is>
          <t>DAPNEN_DCV6A</t>
        </is>
      </c>
      <c r="AH125" s="129" t="inlineStr">
        <is>
          <t>&gt;=1;&lt;=19</t>
        </is>
      </c>
      <c r="AI125" s="125" t="n"/>
      <c r="AJ125" s="129" t="n"/>
      <c r="AK125" s="126" t="n"/>
      <c r="AL125" s="129" t="n"/>
      <c r="AM125" s="129" t="n"/>
      <c r="AN125" s="129" t="n"/>
      <c r="AO125" s="129" t="n"/>
      <c r="AP125" s="130" t="n"/>
      <c r="AQ125" s="130" t="inlineStr">
        <is>
          <t>Ảnh\dapnendcv.png</t>
        </is>
      </c>
      <c r="AR125" s="129" t="inlineStr">
        <is>
          <t>Nhóm 1</t>
        </is>
      </c>
      <c r="AS125" s="129" t="n"/>
      <c r="AT125" s="129" t="inlineStr">
        <is>
          <t>HM02</t>
        </is>
      </c>
      <c r="AU125" s="129" t="inlineStr">
        <is>
          <t>KTHH_DAP</t>
        </is>
      </c>
      <c r="AV125" s="129" t="n">
        <v>30</v>
      </c>
      <c r="AW125" s="129" t="n">
        <v>30</v>
      </c>
      <c r="AX125" s="129" t="n"/>
    </row>
    <row r="126" customFormat="1" s="107">
      <c r="A126" s="105" t="inlineStr">
        <is>
          <t>BBK957</t>
        </is>
      </c>
      <c r="B126" s="105" t="inlineStr">
        <is>
          <t>PLKL01</t>
        </is>
      </c>
      <c r="C126" s="105" t="inlineStr">
        <is>
          <t>BBK957.0018758</t>
        </is>
      </c>
      <c r="D126" s="106" t="n"/>
      <c r="E126" s="106" t="n"/>
      <c r="F126" s="106" t="n"/>
      <c r="G126" s="106" t="n"/>
      <c r="H126" s="106" t="n"/>
      <c r="J126" s="108" t="inlineStr">
        <is>
          <t>107</t>
        </is>
      </c>
      <c r="K126" s="108" t="inlineStr">
        <is>
          <t>PLKL01</t>
        </is>
      </c>
      <c r="L126" s="109">
        <f>+L125</f>
        <v/>
      </c>
      <c r="M126" s="109">
        <f>+M125</f>
        <v/>
      </c>
      <c r="N126" s="109">
        <f>+N125</f>
        <v/>
      </c>
      <c r="O126" s="110">
        <f>+O125</f>
        <v/>
      </c>
      <c r="P126" s="111" t="n"/>
      <c r="Q126" s="111" t="n"/>
      <c r="R126" s="111" t="n"/>
      <c r="S126" s="111">
        <f>+S125</f>
        <v/>
      </c>
      <c r="T126" s="112" t="n"/>
      <c r="U126" s="112" t="n"/>
      <c r="V126" s="112" t="n"/>
      <c r="W126" s="113" t="n"/>
      <c r="X126" s="113" t="n"/>
      <c r="Y126" s="113" t="n"/>
      <c r="Z126" s="113" t="n"/>
      <c r="AA126" s="113" t="n"/>
      <c r="AB126" s="113" t="n"/>
      <c r="AC126" s="113" t="n"/>
      <c r="AD126" s="113" t="n"/>
      <c r="AE126" s="113" t="n"/>
      <c r="AF126" s="113" t="n"/>
      <c r="AG126" s="113">
        <f>+AG125</f>
        <v/>
      </c>
      <c r="AH126" s="129" t="inlineStr">
        <is>
          <t>&gt;=58;&lt;=73</t>
        </is>
      </c>
      <c r="AI126" s="109" t="n"/>
      <c r="AJ126" s="113" t="n"/>
      <c r="AK126" s="110" t="n"/>
      <c r="AL126" s="113" t="n"/>
      <c r="AM126" s="113" t="n"/>
      <c r="AN126" s="113" t="n"/>
      <c r="AO126" s="113" t="n"/>
      <c r="AP126" s="115" t="n"/>
      <c r="AQ126" s="115" t="n"/>
      <c r="AR126" s="113" t="inlineStr">
        <is>
          <t>Nhóm 1</t>
        </is>
      </c>
      <c r="AS126" s="113" t="n"/>
      <c r="AT126" s="113" t="inlineStr">
        <is>
          <t>HM02</t>
        </is>
      </c>
      <c r="AU126" s="113" t="inlineStr">
        <is>
          <t>PLKL01</t>
        </is>
      </c>
      <c r="AV126" s="113" t="n">
        <v>32</v>
      </c>
      <c r="AW126" s="113" t="n">
        <v>32</v>
      </c>
      <c r="AX126" s="113" t="n"/>
    </row>
    <row r="127" customFormat="1" s="107">
      <c r="A127" s="105" t="inlineStr">
        <is>
          <t>BBK680</t>
        </is>
      </c>
      <c r="B127" s="105" t="inlineStr">
        <is>
          <t>PYC</t>
        </is>
      </c>
      <c r="C127" s="105" t="inlineStr">
        <is>
          <t>BBK680.0210368</t>
        </is>
      </c>
      <c r="D127" s="106" t="n"/>
      <c r="E127" s="106" t="n"/>
      <c r="F127" s="106" t="n"/>
      <c r="G127" s="106" t="n"/>
      <c r="H127" s="106" t="n"/>
      <c r="J127" s="108" t="inlineStr">
        <is>
          <t>108</t>
        </is>
      </c>
      <c r="K127" s="108" t="inlineStr">
        <is>
          <t>PYC</t>
        </is>
      </c>
      <c r="L127" s="109" t="inlineStr">
        <is>
          <t>phiếu yêu cầu</t>
        </is>
      </c>
      <c r="M127" s="109" t="n"/>
      <c r="N127" s="109" t="n"/>
      <c r="O127" s="110" t="n"/>
      <c r="P127" s="111" t="n"/>
      <c r="Q127" s="111" t="n"/>
      <c r="R127" s="111">
        <f>+R128</f>
        <v/>
      </c>
      <c r="S127" s="111">
        <f>+S128</f>
        <v/>
      </c>
      <c r="T127" s="112" t="n"/>
      <c r="U127" s="112" t="n"/>
      <c r="V127" s="112" t="n"/>
      <c r="W127" s="113" t="n"/>
      <c r="X127" s="113" t="n"/>
      <c r="Y127" s="113" t="n"/>
      <c r="Z127" s="113" t="n"/>
      <c r="AA127" s="113" t="n"/>
      <c r="AB127" s="113" t="inlineStr">
        <is>
          <t>09-XL-307HG/PYCNT/MB-ĐCV</t>
        </is>
      </c>
      <c r="AC127" s="113" t="n"/>
      <c r="AD127" s="113" t="n"/>
      <c r="AE127" s="113" t="n"/>
      <c r="AF127" s="113" t="n"/>
      <c r="AG127" s="113" t="inlineStr">
        <is>
          <t>NTCV</t>
        </is>
      </c>
      <c r="AH127" s="113" t="inlineStr">
        <is>
          <t>&gt;=33;&lt;=34</t>
        </is>
      </c>
      <c r="AI127" s="109" t="n"/>
      <c r="AJ127" s="113" t="n"/>
      <c r="AK127" s="110" t="n"/>
      <c r="AL127" s="113" t="n"/>
      <c r="AM127" s="113" t="n"/>
      <c r="AN127" s="113" t="n"/>
      <c r="AO127" s="113" t="n"/>
      <c r="AP127" s="115" t="n"/>
      <c r="AQ127" s="115" t="n"/>
      <c r="AR127" s="113" t="inlineStr">
        <is>
          <t>Nhóm 1</t>
        </is>
      </c>
      <c r="AS127" s="113" t="n"/>
      <c r="AT127" s="113" t="inlineStr">
        <is>
          <t>HM02</t>
        </is>
      </c>
      <c r="AU127" s="113" t="inlineStr">
        <is>
          <t>PYC</t>
        </is>
      </c>
      <c r="AV127" s="113" t="n">
        <v>10</v>
      </c>
      <c r="AW127" s="113" t="n">
        <v>10</v>
      </c>
      <c r="AX127" s="113" t="n"/>
    </row>
    <row r="128" ht="28" customFormat="1" customHeight="1" s="107">
      <c r="A128" s="105" t="inlineStr">
        <is>
          <t>NTCV</t>
        </is>
      </c>
      <c r="B128" s="105" t="inlineStr">
        <is>
          <t>K.9999</t>
        </is>
      </c>
      <c r="C128" s="105" t="inlineStr">
        <is>
          <t>NTCV.0073953</t>
        </is>
      </c>
      <c r="D128" s="106" t="n"/>
      <c r="E128" s="106" t="n"/>
      <c r="F128" s="106" t="n"/>
      <c r="G128" s="106" t="n"/>
      <c r="H128" s="106" t="n"/>
      <c r="J128" s="131" t="inlineStr">
        <is>
          <t>109</t>
        </is>
      </c>
      <c r="K128" s="131" t="inlineStr">
        <is>
          <t>K.9999</t>
        </is>
      </c>
      <c r="L128" s="132" t="inlineStr">
        <is>
          <t>Cấp phối đá dăm nền đường công vụ nhánh 6</t>
        </is>
      </c>
      <c r="M128" s="132" t="n">
        <v>1</v>
      </c>
      <c r="N128" s="132" t="inlineStr">
        <is>
          <t>Km0+0 -:- 9(Km0+89.62)</t>
        </is>
      </c>
      <c r="O128" s="133" t="inlineStr">
        <is>
          <t>Cầu Km19+529.080</t>
        </is>
      </c>
      <c r="P128" s="134">
        <f>+S124</f>
        <v/>
      </c>
      <c r="Q128" s="134">
        <f>+P128+2</f>
        <v/>
      </c>
      <c r="R128" s="134">
        <f>+Q128-1</f>
        <v/>
      </c>
      <c r="S128" s="134">
        <f>+Q128</f>
        <v/>
      </c>
      <c r="T128" s="135" t="n">
        <v>0.3333333333333333</v>
      </c>
      <c r="U128" s="135">
        <f>+T128+V128</f>
        <v/>
      </c>
      <c r="V128" s="135" t="n">
        <v>0.02083333333333333</v>
      </c>
      <c r="W128" s="121">
        <f>TEXT(T128,"HH""h""MM'")&amp;"÷"&amp;TEXT(U128,"HH""h""MM'")</f>
        <v/>
      </c>
      <c r="X128" s="136" t="n"/>
      <c r="Y128" s="136" t="n"/>
      <c r="Z128" s="137" t="inlineStr">
        <is>
          <t>01A;</t>
        </is>
      </c>
      <c r="AA128" s="136">
        <f>+L128</f>
        <v/>
      </c>
      <c r="AB128" s="136" t="inlineStr">
        <is>
          <t>09-XL-307HG/PYCNT/MB-ĐCV-10</t>
        </is>
      </c>
      <c r="AC128" s="136" t="inlineStr">
        <is>
          <t>09-XL-307HG/PYCNT/MB-ĐCV-10</t>
        </is>
      </c>
      <c r="AD128" s="136" t="n"/>
      <c r="AE128" s="136" t="n"/>
      <c r="AF128" s="136" t="n"/>
      <c r="AG128" s="136" t="n"/>
      <c r="AH128" s="136" t="n"/>
      <c r="AI128" s="132" t="n"/>
      <c r="AJ128" s="136" t="n"/>
      <c r="AK128" s="133" t="n"/>
      <c r="AL128" s="136" t="n"/>
      <c r="AM128" s="136" t="n"/>
      <c r="AN128" s="136" t="n"/>
      <c r="AO128" s="136" t="n"/>
      <c r="AP128" s="138" t="n"/>
      <c r="AQ128" s="138" t="n"/>
      <c r="AR128" s="136" t="inlineStr">
        <is>
          <t>Nhóm 1</t>
        </is>
      </c>
      <c r="AS128" s="136" t="n"/>
      <c r="AT128" s="136" t="inlineStr">
        <is>
          <t>HM02</t>
        </is>
      </c>
      <c r="AU128" s="136" t="inlineStr">
        <is>
          <t>NTCV</t>
        </is>
      </c>
      <c r="AV128" s="136" t="n">
        <v>33</v>
      </c>
      <c r="AW128" s="136" t="n">
        <v>33</v>
      </c>
      <c r="AX128" s="136" t="n"/>
    </row>
    <row r="129" ht="28" customFormat="1" customHeight="1" s="107">
      <c r="A129" s="105" t="inlineStr">
        <is>
          <t>BBK371</t>
        </is>
      </c>
      <c r="B129" s="105" t="inlineStr">
        <is>
          <t>KTHH_DAP</t>
        </is>
      </c>
      <c r="C129" s="105" t="inlineStr">
        <is>
          <t>BBK371.0105452</t>
        </is>
      </c>
      <c r="D129" s="106" t="n"/>
      <c r="E129" s="106" t="n"/>
      <c r="F129" s="106" t="n"/>
      <c r="G129" s="106" t="n"/>
      <c r="H129" s="106" t="n"/>
      <c r="J129" s="108" t="inlineStr">
        <is>
          <t>110</t>
        </is>
      </c>
      <c r="K129" s="108" t="inlineStr">
        <is>
          <t>KTHH_DAP</t>
        </is>
      </c>
      <c r="L129" s="109">
        <f>+L128</f>
        <v/>
      </c>
      <c r="M129" s="109">
        <f>+M128</f>
        <v/>
      </c>
      <c r="N129" s="109">
        <f>+N128</f>
        <v/>
      </c>
      <c r="O129" s="110" t="inlineStr">
        <is>
          <t>Cầu Km19+529.080</t>
        </is>
      </c>
      <c r="P129" s="111" t="n"/>
      <c r="Q129" s="111" t="n"/>
      <c r="R129" s="111" t="n"/>
      <c r="S129" s="111">
        <f>+S128</f>
        <v/>
      </c>
      <c r="T129" s="112" t="n"/>
      <c r="U129" s="112" t="n"/>
      <c r="V129" s="112" t="n"/>
      <c r="W129" s="113" t="n"/>
      <c r="X129" s="113" t="n"/>
      <c r="Y129" s="113" t="n"/>
      <c r="Z129" s="113" t="n"/>
      <c r="AA129" s="113" t="n"/>
      <c r="AB129" s="113" t="n"/>
      <c r="AC129" s="113">
        <f>AC128</f>
        <v/>
      </c>
      <c r="AD129" s="113" t="n"/>
      <c r="AE129" s="113" t="n"/>
      <c r="AF129" s="113" t="n"/>
      <c r="AG129" s="113" t="inlineStr">
        <is>
          <t>DAPCCDD_DCV6</t>
        </is>
      </c>
      <c r="AH129" s="113" t="inlineStr">
        <is>
          <t>&gt;=1;&lt;=19</t>
        </is>
      </c>
      <c r="AI129" s="109" t="n"/>
      <c r="AJ129" s="113" t="n"/>
      <c r="AK129" s="110" t="n"/>
      <c r="AL129" s="113" t="n"/>
      <c r="AM129" s="113" t="n"/>
      <c r="AN129" s="113" t="n"/>
      <c r="AO129" s="113" t="n"/>
      <c r="AP129" s="115" t="n"/>
      <c r="AQ129" s="115" t="inlineStr">
        <is>
          <t>Ảnh\CPDD+lề.png</t>
        </is>
      </c>
      <c r="AR129" s="113" t="inlineStr">
        <is>
          <t>Nhóm 1</t>
        </is>
      </c>
      <c r="AS129" s="113" t="n"/>
      <c r="AT129" s="113" t="inlineStr">
        <is>
          <t>HM02</t>
        </is>
      </c>
      <c r="AU129" s="113" t="inlineStr">
        <is>
          <t>KTHH_DAP</t>
        </is>
      </c>
      <c r="AV129" s="113" t="n">
        <v>31</v>
      </c>
      <c r="AW129" s="113" t="n">
        <v>31</v>
      </c>
      <c r="AX129" s="113" t="n"/>
    </row>
    <row r="130" customFormat="1" s="107">
      <c r="A130" s="105" t="inlineStr">
        <is>
          <t>BBK957</t>
        </is>
      </c>
      <c r="B130" s="105" t="inlineStr">
        <is>
          <t>PLKL01</t>
        </is>
      </c>
      <c r="C130" s="105" t="inlineStr">
        <is>
          <t>BBK957.0331694</t>
        </is>
      </c>
      <c r="D130" s="106" t="n"/>
      <c r="E130" s="106" t="n"/>
      <c r="F130" s="106" t="n"/>
      <c r="G130" s="106" t="n"/>
      <c r="H130" s="106" t="n"/>
      <c r="J130" s="108" t="inlineStr">
        <is>
          <t>111</t>
        </is>
      </c>
      <c r="K130" s="108" t="inlineStr">
        <is>
          <t>PLKL01</t>
        </is>
      </c>
      <c r="L130" s="109">
        <f>+L129</f>
        <v/>
      </c>
      <c r="M130" s="109">
        <f>+M129</f>
        <v/>
      </c>
      <c r="N130" s="109">
        <f>+N129</f>
        <v/>
      </c>
      <c r="O130" s="110">
        <f>+O129</f>
        <v/>
      </c>
      <c r="P130" s="111" t="n"/>
      <c r="Q130" s="111" t="n"/>
      <c r="R130" s="111" t="n"/>
      <c r="S130" s="111">
        <f>+S129</f>
        <v/>
      </c>
      <c r="T130" s="112" t="n"/>
      <c r="U130" s="112" t="n"/>
      <c r="V130" s="112" t="n"/>
      <c r="W130" s="113" t="n"/>
      <c r="X130" s="113" t="n"/>
      <c r="Y130" s="113" t="n"/>
      <c r="Z130" s="113" t="n"/>
      <c r="AA130" s="113" t="n"/>
      <c r="AB130" s="113" t="n"/>
      <c r="AC130" s="113" t="n"/>
      <c r="AD130" s="113" t="n"/>
      <c r="AE130" s="113" t="n"/>
      <c r="AF130" s="113" t="n"/>
      <c r="AG130" s="113">
        <f>+AG129</f>
        <v/>
      </c>
      <c r="AH130" s="129" t="inlineStr">
        <is>
          <t>&gt;=38;&lt;=56</t>
        </is>
      </c>
      <c r="AI130" s="109" t="n"/>
      <c r="AJ130" s="113" t="n"/>
      <c r="AK130" s="110" t="n"/>
      <c r="AL130" s="113" t="n"/>
      <c r="AM130" s="113" t="n"/>
      <c r="AN130" s="113" t="n"/>
      <c r="AO130" s="113" t="n"/>
      <c r="AP130" s="115" t="n"/>
      <c r="AQ130" s="115" t="n"/>
      <c r="AR130" s="113" t="inlineStr">
        <is>
          <t>Nhóm 1</t>
        </is>
      </c>
      <c r="AS130" s="113" t="n"/>
      <c r="AT130" s="113" t="inlineStr">
        <is>
          <t>HM02</t>
        </is>
      </c>
      <c r="AU130" s="113" t="inlineStr">
        <is>
          <t>PLKL01</t>
        </is>
      </c>
      <c r="AV130" s="113" t="n">
        <v>33</v>
      </c>
      <c r="AW130" s="113" t="n">
        <v>33</v>
      </c>
      <c r="AX130" s="113" t="n"/>
    </row>
    <row r="131" customFormat="1" s="107">
      <c r="A131" s="105" t="inlineStr">
        <is>
          <t>NTCV</t>
        </is>
      </c>
      <c r="B131" s="105" t="inlineStr">
        <is>
          <t>K.9999</t>
        </is>
      </c>
      <c r="C131" s="105" t="inlineStr">
        <is>
          <t>NTCV.0128249</t>
        </is>
      </c>
      <c r="D131" s="106" t="n"/>
      <c r="E131" s="106" t="n"/>
      <c r="F131" s="106" t="n"/>
      <c r="G131" s="106" t="n"/>
      <c r="H131" s="106" t="n"/>
      <c r="J131" s="131" t="inlineStr">
        <is>
          <t>112</t>
        </is>
      </c>
      <c r="K131" s="131" t="inlineStr">
        <is>
          <t>K.9999</t>
        </is>
      </c>
      <c r="L131" s="132" t="inlineStr">
        <is>
          <t>Đắp lề nền đường công vụ nhánh 6</t>
        </is>
      </c>
      <c r="M131" s="132" t="n">
        <v>1</v>
      </c>
      <c r="N131" s="132" t="inlineStr">
        <is>
          <t>Km0+0 -:- 9(Km0+89.62)</t>
        </is>
      </c>
      <c r="O131" s="133" t="inlineStr">
        <is>
          <t>Cầu Km19+529.080</t>
        </is>
      </c>
      <c r="P131" s="134">
        <f>+P128</f>
        <v/>
      </c>
      <c r="Q131" s="134">
        <f>+Q128</f>
        <v/>
      </c>
      <c r="R131" s="134">
        <f>+R128</f>
        <v/>
      </c>
      <c r="S131" s="134">
        <f>+S128</f>
        <v/>
      </c>
      <c r="T131" s="135">
        <f>+T128</f>
        <v/>
      </c>
      <c r="U131" s="135">
        <f>+U128</f>
        <v/>
      </c>
      <c r="V131" s="135">
        <f>+V128</f>
        <v/>
      </c>
      <c r="W131" s="134">
        <f>+W128</f>
        <v/>
      </c>
      <c r="X131" s="136" t="n"/>
      <c r="Y131" s="136" t="n"/>
      <c r="Z131" s="137" t="inlineStr">
        <is>
          <t>01A;</t>
        </is>
      </c>
      <c r="AA131" s="136">
        <f>+L131</f>
        <v/>
      </c>
      <c r="AB131" s="136" t="inlineStr">
        <is>
          <t>09-XL-307HG/PYCNT/MB-ĐCV-10</t>
        </is>
      </c>
      <c r="AC131" s="136" t="inlineStr">
        <is>
          <t>09-XL-307HG/PYCNT/MB-ĐCV-10</t>
        </is>
      </c>
      <c r="AD131" s="136" t="n"/>
      <c r="AE131" s="136" t="n"/>
      <c r="AF131" s="136" t="n"/>
      <c r="AG131" s="136" t="n"/>
      <c r="AH131" s="136" t="n"/>
      <c r="AI131" s="132" t="n"/>
      <c r="AJ131" s="136" t="n"/>
      <c r="AK131" s="133" t="n"/>
      <c r="AL131" s="136" t="n"/>
      <c r="AM131" s="136" t="n"/>
      <c r="AN131" s="136" t="n"/>
      <c r="AO131" s="136" t="n"/>
      <c r="AP131" s="138" t="n"/>
      <c r="AQ131" s="138" t="n"/>
      <c r="AR131" s="136" t="inlineStr">
        <is>
          <t>Nhóm 1</t>
        </is>
      </c>
      <c r="AS131" s="136" t="n"/>
      <c r="AT131" s="136" t="inlineStr">
        <is>
          <t>HM02</t>
        </is>
      </c>
      <c r="AU131" s="136" t="inlineStr">
        <is>
          <t>NTCV</t>
        </is>
      </c>
      <c r="AV131" s="136" t="n">
        <v>34</v>
      </c>
      <c r="AW131" s="136" t="n">
        <v>34</v>
      </c>
      <c r="AX131" s="136" t="n"/>
    </row>
    <row r="132" ht="28" customFormat="1" customHeight="1" s="107">
      <c r="A132" s="105" t="inlineStr">
        <is>
          <t>BBK371</t>
        </is>
      </c>
      <c r="B132" s="105" t="inlineStr">
        <is>
          <t>KTHH_DAP</t>
        </is>
      </c>
      <c r="C132" s="105" t="inlineStr">
        <is>
          <t>BBK371.0000241</t>
        </is>
      </c>
      <c r="D132" s="106" t="n"/>
      <c r="E132" s="106" t="n"/>
      <c r="F132" s="106" t="n"/>
      <c r="G132" s="106" t="n"/>
      <c r="H132" s="106" t="n"/>
      <c r="J132" s="108" t="inlineStr">
        <is>
          <t>113</t>
        </is>
      </c>
      <c r="K132" s="108" t="inlineStr">
        <is>
          <t>KTHH_DAP</t>
        </is>
      </c>
      <c r="L132" s="109">
        <f>+L131</f>
        <v/>
      </c>
      <c r="M132" s="109">
        <f>+M131</f>
        <v/>
      </c>
      <c r="N132" s="109">
        <f>+N131</f>
        <v/>
      </c>
      <c r="O132" s="110" t="inlineStr">
        <is>
          <t>Cầu Km19+529.080</t>
        </is>
      </c>
      <c r="P132" s="111" t="n"/>
      <c r="Q132" s="111" t="n"/>
      <c r="R132" s="111" t="n"/>
      <c r="S132" s="111">
        <f>+S131</f>
        <v/>
      </c>
      <c r="T132" s="112" t="n"/>
      <c r="U132" s="112" t="n"/>
      <c r="V132" s="112" t="n"/>
      <c r="W132" s="113" t="n"/>
      <c r="X132" s="113" t="n"/>
      <c r="Y132" s="113" t="n"/>
      <c r="Z132" s="113" t="n"/>
      <c r="AA132" s="113" t="n"/>
      <c r="AB132" s="113" t="n"/>
      <c r="AC132" s="113">
        <f>AC131</f>
        <v/>
      </c>
      <c r="AD132" s="113" t="n"/>
      <c r="AE132" s="113" t="n"/>
      <c r="AF132" s="113" t="n"/>
      <c r="AG132" s="113" t="inlineStr">
        <is>
          <t>DAPLE_DCV6</t>
        </is>
      </c>
      <c r="AH132" s="113" t="inlineStr">
        <is>
          <t>&gt;=1;&lt;=19</t>
        </is>
      </c>
      <c r="AI132" s="109" t="n"/>
      <c r="AJ132" s="113" t="n"/>
      <c r="AK132" s="110" t="n"/>
      <c r="AL132" s="113" t="n"/>
      <c r="AM132" s="113" t="n"/>
      <c r="AN132" s="113" t="n"/>
      <c r="AO132" s="113" t="n"/>
      <c r="AP132" s="115" t="n"/>
      <c r="AQ132" s="115" t="inlineStr">
        <is>
          <t>Ảnh\CPDD+lề.png</t>
        </is>
      </c>
      <c r="AR132" s="113" t="inlineStr">
        <is>
          <t>Nhóm 1</t>
        </is>
      </c>
      <c r="AS132" s="113" t="n"/>
      <c r="AT132" s="113" t="inlineStr">
        <is>
          <t>HM02</t>
        </is>
      </c>
      <c r="AU132" s="113" t="inlineStr">
        <is>
          <t>KTHH_DAP</t>
        </is>
      </c>
      <c r="AV132" s="113" t="n">
        <v>32</v>
      </c>
      <c r="AW132" s="113" t="n">
        <v>32</v>
      </c>
      <c r="AX132" s="113" t="n"/>
    </row>
    <row r="133" customFormat="1" s="107">
      <c r="A133" s="105" t="inlineStr">
        <is>
          <t>BBK957</t>
        </is>
      </c>
      <c r="B133" s="105" t="inlineStr">
        <is>
          <t>PLKL01</t>
        </is>
      </c>
      <c r="C133" s="105" t="inlineStr">
        <is>
          <t>BBK957.0536794</t>
        </is>
      </c>
      <c r="D133" s="106" t="n"/>
      <c r="E133" s="106" t="n"/>
      <c r="F133" s="106" t="n"/>
      <c r="G133" s="106" t="n"/>
      <c r="H133" s="106" t="n"/>
      <c r="J133" s="108" t="inlineStr">
        <is>
          <t>114</t>
        </is>
      </c>
      <c r="K133" s="108" t="inlineStr">
        <is>
          <t>PLKL01</t>
        </is>
      </c>
      <c r="L133" s="109">
        <f>+L132</f>
        <v/>
      </c>
      <c r="M133" s="109">
        <f>+M132</f>
        <v/>
      </c>
      <c r="N133" s="109">
        <f>+N132</f>
        <v/>
      </c>
      <c r="O133" s="110">
        <f>+O132</f>
        <v/>
      </c>
      <c r="P133" s="111" t="n"/>
      <c r="Q133" s="111" t="n"/>
      <c r="R133" s="111" t="n"/>
      <c r="S133" s="111">
        <f>+S132</f>
        <v/>
      </c>
      <c r="T133" s="112" t="n"/>
      <c r="U133" s="112" t="n"/>
      <c r="V133" s="112" t="n"/>
      <c r="W133" s="113" t="n"/>
      <c r="X133" s="113" t="n"/>
      <c r="Y133" s="113" t="n"/>
      <c r="Z133" s="113" t="n"/>
      <c r="AA133" s="113" t="n"/>
      <c r="AB133" s="113" t="n"/>
      <c r="AC133" s="113" t="n"/>
      <c r="AD133" s="113" t="n"/>
      <c r="AE133" s="113" t="n"/>
      <c r="AF133" s="113" t="n"/>
      <c r="AG133" s="113">
        <f>+AG132</f>
        <v/>
      </c>
      <c r="AH133" s="129" t="inlineStr">
        <is>
          <t>&gt;=38;&lt;=56</t>
        </is>
      </c>
      <c r="AI133" s="109" t="n"/>
      <c r="AJ133" s="113" t="n"/>
      <c r="AK133" s="110" t="n"/>
      <c r="AL133" s="113" t="n"/>
      <c r="AM133" s="113" t="n"/>
      <c r="AN133" s="113" t="n"/>
      <c r="AO133" s="113" t="n"/>
      <c r="AP133" s="115" t="n"/>
      <c r="AQ133" s="115" t="n"/>
      <c r="AR133" s="113" t="inlineStr">
        <is>
          <t>Nhóm 1</t>
        </is>
      </c>
      <c r="AS133" s="113" t="n"/>
      <c r="AT133" s="113" t="inlineStr">
        <is>
          <t>HM02</t>
        </is>
      </c>
      <c r="AU133" s="113" t="inlineStr">
        <is>
          <t>PLKL01</t>
        </is>
      </c>
      <c r="AV133" s="113" t="n">
        <v>34</v>
      </c>
      <c r="AW133" s="113" t="n">
        <v>34</v>
      </c>
      <c r="AX133" s="113" t="n"/>
    </row>
    <row r="134" customFormat="1" s="107">
      <c r="A134" s="105" t="inlineStr">
        <is>
          <t>BBK680</t>
        </is>
      </c>
      <c r="B134" s="105" t="inlineStr">
        <is>
          <t>PYC</t>
        </is>
      </c>
      <c r="C134" s="105" t="inlineStr">
        <is>
          <t>BBK680.0657054</t>
        </is>
      </c>
      <c r="D134" s="106" t="n"/>
      <c r="E134" s="106" t="n"/>
      <c r="F134" s="106" t="n"/>
      <c r="G134" s="106" t="n"/>
      <c r="H134" s="106" t="n"/>
      <c r="J134" s="108" t="inlineStr">
        <is>
          <t>115</t>
        </is>
      </c>
      <c r="K134" s="108" t="inlineStr">
        <is>
          <t>PYC</t>
        </is>
      </c>
      <c r="L134" s="109" t="inlineStr">
        <is>
          <t>phiếu yêu cầu</t>
        </is>
      </c>
      <c r="M134" s="109" t="n"/>
      <c r="N134" s="109" t="n"/>
      <c r="O134" s="110" t="n"/>
      <c r="P134" s="111" t="n"/>
      <c r="Q134" s="111" t="n"/>
      <c r="R134" s="111">
        <f>+R135</f>
        <v/>
      </c>
      <c r="S134" s="111">
        <f>+S135</f>
        <v/>
      </c>
      <c r="T134" s="112" t="n"/>
      <c r="U134" s="112" t="n"/>
      <c r="V134" s="112" t="n"/>
      <c r="W134" s="113" t="n"/>
      <c r="X134" s="113" t="n"/>
      <c r="Y134" s="113" t="n"/>
      <c r="Z134" s="113" t="n"/>
      <c r="AA134" s="113" t="n"/>
      <c r="AB134" s="113" t="inlineStr">
        <is>
          <t>09-XL-307HG/PYCNT/MB-ĐCV</t>
        </is>
      </c>
      <c r="AC134" s="113" t="n"/>
      <c r="AD134" s="113" t="n"/>
      <c r="AE134" s="113" t="n"/>
      <c r="AF134" s="113" t="n"/>
      <c r="AG134" s="113" t="n"/>
      <c r="AH134" s="113" t="n">
        <v>35</v>
      </c>
      <c r="AI134" s="109" t="n"/>
      <c r="AJ134" s="113" t="n"/>
      <c r="AK134" s="110" t="n"/>
      <c r="AL134" s="113" t="n"/>
      <c r="AM134" s="113" t="n"/>
      <c r="AN134" s="113" t="n"/>
      <c r="AO134" s="113" t="n"/>
      <c r="AP134" s="115" t="n"/>
      <c r="AQ134" s="115" t="n"/>
      <c r="AR134" s="113" t="inlineStr">
        <is>
          <t>Nhóm 1</t>
        </is>
      </c>
      <c r="AS134" s="113" t="n"/>
      <c r="AT134" s="113" t="inlineStr">
        <is>
          <t>HM02</t>
        </is>
      </c>
      <c r="AU134" s="113" t="inlineStr">
        <is>
          <t>PYC</t>
        </is>
      </c>
      <c r="AV134" s="113" t="n">
        <v>11</v>
      </c>
      <c r="AW134" s="113" t="n">
        <v>11</v>
      </c>
      <c r="AX134" s="113" t="n"/>
    </row>
    <row r="135" ht="28" customFormat="1" customHeight="1" s="107">
      <c r="A135" s="105" t="inlineStr">
        <is>
          <t>NTCV</t>
        </is>
      </c>
      <c r="B135" s="105" t="inlineStr">
        <is>
          <t>K.9999</t>
        </is>
      </c>
      <c r="C135" s="105" t="inlineStr">
        <is>
          <t>NTCV.0544013</t>
        </is>
      </c>
      <c r="D135" s="106" t="n"/>
      <c r="E135" s="106" t="n"/>
      <c r="F135" s="106" t="n"/>
      <c r="G135" s="106" t="n"/>
      <c r="H135" s="106" t="n"/>
      <c r="J135" s="131" t="inlineStr">
        <is>
          <t>116</t>
        </is>
      </c>
      <c r="K135" s="131" t="inlineStr">
        <is>
          <t>K.9999</t>
        </is>
      </c>
      <c r="L135" s="132" t="inlineStr">
        <is>
          <t>Cấp phối đá dăm nền đường công vụ nhánh 6A</t>
        </is>
      </c>
      <c r="M135" s="132" t="n">
        <v>1</v>
      </c>
      <c r="N135" s="132" t="inlineStr">
        <is>
          <t>Km0+0 -:- 9(Km0+81.23)</t>
        </is>
      </c>
      <c r="O135" s="133" t="inlineStr">
        <is>
          <t>Cầu Km19+529.080</t>
        </is>
      </c>
      <c r="P135" s="134">
        <f>+P128+1</f>
        <v/>
      </c>
      <c r="Q135" s="134">
        <f>+P135+2</f>
        <v/>
      </c>
      <c r="R135" s="134">
        <f>+Q135-1</f>
        <v/>
      </c>
      <c r="S135" s="134">
        <f>+Q135</f>
        <v/>
      </c>
      <c r="T135" s="135" t="n">
        <v>0.375</v>
      </c>
      <c r="U135" s="135">
        <f>+T135+V135</f>
        <v/>
      </c>
      <c r="V135" s="135" t="n">
        <v>0.02083333333333333</v>
      </c>
      <c r="W135" s="152">
        <f>+W131</f>
        <v/>
      </c>
      <c r="X135" s="136" t="n"/>
      <c r="Y135" s="136" t="n"/>
      <c r="Z135" s="137" t="inlineStr">
        <is>
          <t>01A;</t>
        </is>
      </c>
      <c r="AA135" s="136">
        <f>+L135</f>
        <v/>
      </c>
      <c r="AB135" s="136" t="inlineStr">
        <is>
          <t>09-XL-307HG/PYCNT/MB-ĐCV-11</t>
        </is>
      </c>
      <c r="AC135" s="136" t="inlineStr">
        <is>
          <t>09-XL-307HG/PYCNT/MB-ĐCV-11</t>
        </is>
      </c>
      <c r="AD135" s="136" t="n"/>
      <c r="AE135" s="136" t="n"/>
      <c r="AF135" s="136" t="n"/>
      <c r="AG135" s="136" t="n"/>
      <c r="AH135" s="136" t="n"/>
      <c r="AI135" s="132" t="n"/>
      <c r="AJ135" s="136" t="n"/>
      <c r="AK135" s="133" t="n"/>
      <c r="AL135" s="136" t="n"/>
      <c r="AM135" s="136" t="n"/>
      <c r="AN135" s="136" t="n"/>
      <c r="AO135" s="136" t="n"/>
      <c r="AP135" s="138" t="n"/>
      <c r="AQ135" s="138" t="n"/>
      <c r="AR135" s="136" t="inlineStr">
        <is>
          <t>Nhóm 1</t>
        </is>
      </c>
      <c r="AS135" s="136" t="n"/>
      <c r="AT135" s="136" t="inlineStr">
        <is>
          <t>HM02</t>
        </is>
      </c>
      <c r="AU135" s="136" t="inlineStr">
        <is>
          <t>NTCV</t>
        </is>
      </c>
      <c r="AV135" s="136" t="n">
        <v>35</v>
      </c>
      <c r="AW135" s="136" t="n">
        <v>35</v>
      </c>
      <c r="AX135" s="136" t="n"/>
    </row>
    <row r="136" ht="28" customFormat="1" customHeight="1" s="107">
      <c r="A136" s="105" t="inlineStr">
        <is>
          <t>BBK371</t>
        </is>
      </c>
      <c r="B136" s="105" t="inlineStr">
        <is>
          <t>KTHH_DAP</t>
        </is>
      </c>
      <c r="C136" s="105" t="inlineStr">
        <is>
          <t>BBK371.0827411</t>
        </is>
      </c>
      <c r="D136" s="106" t="n"/>
      <c r="E136" s="106" t="n"/>
      <c r="F136" s="106" t="n"/>
      <c r="G136" s="106" t="n"/>
      <c r="H136" s="106" t="n"/>
      <c r="J136" s="108" t="inlineStr">
        <is>
          <t>117</t>
        </is>
      </c>
      <c r="K136" s="108" t="inlineStr">
        <is>
          <t>KTHH_DAP</t>
        </is>
      </c>
      <c r="L136" s="109">
        <f>+L135</f>
        <v/>
      </c>
      <c r="M136" s="109">
        <f>+M135</f>
        <v/>
      </c>
      <c r="N136" s="109">
        <f>+N135</f>
        <v/>
      </c>
      <c r="O136" s="110" t="inlineStr">
        <is>
          <t>Cầu Km19+529.080</t>
        </is>
      </c>
      <c r="P136" s="111" t="n"/>
      <c r="Q136" s="111" t="n"/>
      <c r="R136" s="111" t="n"/>
      <c r="S136" s="111">
        <f>+S135</f>
        <v/>
      </c>
      <c r="T136" s="112" t="n"/>
      <c r="U136" s="112" t="n"/>
      <c r="V136" s="112" t="n"/>
      <c r="W136" s="113" t="n"/>
      <c r="X136" s="113" t="n"/>
      <c r="Y136" s="113" t="n"/>
      <c r="Z136" s="113" t="n"/>
      <c r="AA136" s="113" t="n"/>
      <c r="AB136" s="113" t="n"/>
      <c r="AC136" s="113">
        <f>AC135</f>
        <v/>
      </c>
      <c r="AD136" s="113" t="n"/>
      <c r="AE136" s="113" t="n"/>
      <c r="AF136" s="113" t="n"/>
      <c r="AG136" s="113" t="inlineStr">
        <is>
          <t>DAPCCDD_DCV6A</t>
        </is>
      </c>
      <c r="AH136" s="113" t="inlineStr">
        <is>
          <t>&gt;=1;&lt;=19</t>
        </is>
      </c>
      <c r="AI136" s="109" t="n"/>
      <c r="AJ136" s="113" t="n"/>
      <c r="AK136" s="110" t="n"/>
      <c r="AL136" s="113" t="n"/>
      <c r="AM136" s="113" t="n"/>
      <c r="AN136" s="113" t="n"/>
      <c r="AO136" s="113" t="n"/>
      <c r="AP136" s="115" t="n"/>
      <c r="AQ136" s="115" t="inlineStr">
        <is>
          <t>Ảnh\CPDD+lề.png</t>
        </is>
      </c>
      <c r="AR136" s="113" t="inlineStr">
        <is>
          <t>Nhóm 1</t>
        </is>
      </c>
      <c r="AS136" s="113" t="n"/>
      <c r="AT136" s="113" t="inlineStr">
        <is>
          <t>HM02</t>
        </is>
      </c>
      <c r="AU136" s="113" t="inlineStr">
        <is>
          <t>KTHH_DAP</t>
        </is>
      </c>
      <c r="AV136" s="113" t="n">
        <v>33</v>
      </c>
      <c r="AW136" s="113" t="n">
        <v>33</v>
      </c>
      <c r="AX136" s="113" t="n"/>
    </row>
    <row r="137" ht="28" customFormat="1" customHeight="1" s="107">
      <c r="A137" s="105" t="inlineStr">
        <is>
          <t>BBK957</t>
        </is>
      </c>
      <c r="B137" s="105" t="inlineStr">
        <is>
          <t>PLKL01</t>
        </is>
      </c>
      <c r="C137" s="105" t="inlineStr">
        <is>
          <t>BBK957.0081893</t>
        </is>
      </c>
      <c r="D137" s="106" t="n"/>
      <c r="E137" s="106" t="n"/>
      <c r="F137" s="106" t="n"/>
      <c r="G137" s="106" t="n"/>
      <c r="H137" s="106" t="n"/>
      <c r="J137" s="124" t="inlineStr">
        <is>
          <t>118</t>
        </is>
      </c>
      <c r="K137" s="124" t="inlineStr">
        <is>
          <t>PLKL01</t>
        </is>
      </c>
      <c r="L137" s="125">
        <f>+L136</f>
        <v/>
      </c>
      <c r="M137" s="125">
        <f>+M136</f>
        <v/>
      </c>
      <c r="N137" s="125">
        <f>+N136</f>
        <v/>
      </c>
      <c r="O137" s="126">
        <f>+O136</f>
        <v/>
      </c>
      <c r="P137" s="127" t="n"/>
      <c r="Q137" s="127" t="n"/>
      <c r="R137" s="127" t="n"/>
      <c r="S137" s="127">
        <f>+S136</f>
        <v/>
      </c>
      <c r="T137" s="128" t="n"/>
      <c r="U137" s="128" t="n"/>
      <c r="V137" s="128" t="n"/>
      <c r="W137" s="129" t="n"/>
      <c r="X137" s="129" t="n"/>
      <c r="Y137" s="129" t="n"/>
      <c r="Z137" s="129" t="n"/>
      <c r="AA137" s="129" t="n"/>
      <c r="AB137" s="129" t="n"/>
      <c r="AC137" s="129" t="n"/>
      <c r="AD137" s="129" t="n"/>
      <c r="AE137" s="129" t="n"/>
      <c r="AF137" s="129" t="n"/>
      <c r="AG137" s="129">
        <f>+AG136</f>
        <v/>
      </c>
      <c r="AH137" s="129" t="inlineStr">
        <is>
          <t>&gt;=58;&lt;=73</t>
        </is>
      </c>
      <c r="AI137" s="125" t="n"/>
      <c r="AJ137" s="129" t="n"/>
      <c r="AK137" s="126" t="n"/>
      <c r="AL137" s="129" t="n"/>
      <c r="AM137" s="129" t="n"/>
      <c r="AN137" s="129" t="n"/>
      <c r="AO137" s="129" t="n"/>
      <c r="AP137" s="130" t="n"/>
      <c r="AQ137" s="130" t="n"/>
      <c r="AR137" s="129" t="inlineStr">
        <is>
          <t>Nhóm 1</t>
        </is>
      </c>
      <c r="AS137" s="129" t="n"/>
      <c r="AT137" s="129" t="inlineStr">
        <is>
          <t>HM02</t>
        </is>
      </c>
      <c r="AU137" s="129" t="inlineStr">
        <is>
          <t>PLKL01</t>
        </is>
      </c>
      <c r="AV137" s="129" t="n">
        <v>35</v>
      </c>
      <c r="AW137" s="129" t="n">
        <v>35</v>
      </c>
      <c r="AX137" s="129" t="n"/>
    </row>
    <row r="138" customFormat="1" s="107">
      <c r="A138" s="105" t="inlineStr">
        <is>
          <t>HM</t>
        </is>
      </c>
      <c r="B138" s="105" t="inlineStr">
        <is>
          <t>HM</t>
        </is>
      </c>
      <c r="C138" s="105" t="inlineStr">
        <is>
          <t>HM.0191922</t>
        </is>
      </c>
      <c r="D138" s="106" t="n"/>
      <c r="E138" s="106" t="n"/>
      <c r="F138" s="106" t="n"/>
      <c r="G138" s="106" t="n"/>
      <c r="H138" s="106" t="n"/>
      <c r="J138" s="59" t="inlineStr">
        <is>
          <t>HM03</t>
        </is>
      </c>
      <c r="K138" s="59" t="inlineStr">
        <is>
          <t>HM</t>
        </is>
      </c>
      <c r="L138" s="60" t="inlineStr">
        <is>
          <t>Bệ đúc dầm</t>
        </is>
      </c>
      <c r="M138" s="60" t="n"/>
      <c r="N138" s="60" t="n"/>
      <c r="O138" s="61" t="n"/>
      <c r="P138" s="96" t="n"/>
      <c r="Q138" s="96" t="n"/>
      <c r="R138" s="96" t="n"/>
      <c r="S138" s="96" t="n"/>
      <c r="T138" s="97" t="n"/>
      <c r="U138" s="97" t="n"/>
      <c r="V138" s="97" t="n"/>
      <c r="W138" s="64" t="n"/>
      <c r="X138" s="64" t="n"/>
      <c r="Y138" s="64" t="n"/>
      <c r="Z138" s="64" t="n"/>
      <c r="AA138" s="64" t="n"/>
      <c r="AB138" s="64" t="n"/>
      <c r="AC138" s="64" t="n"/>
      <c r="AD138" s="64" t="n"/>
      <c r="AE138" s="64" t="n"/>
      <c r="AF138" s="64" t="n"/>
      <c r="AG138" s="64" t="n"/>
      <c r="AH138" s="64" t="n"/>
      <c r="AI138" s="60" t="n"/>
      <c r="AJ138" s="64" t="n"/>
      <c r="AK138" s="61" t="n"/>
      <c r="AL138" s="64" t="n"/>
      <c r="AM138" s="64" t="n"/>
      <c r="AN138" s="64" t="n"/>
      <c r="AO138" s="64" t="n"/>
      <c r="AP138" s="67" t="n"/>
      <c r="AQ138" s="67" t="n"/>
      <c r="AR138" s="64" t="n"/>
      <c r="AS138" s="64" t="n"/>
      <c r="AT138" s="64" t="inlineStr">
        <is>
          <t>HM03</t>
        </is>
      </c>
      <c r="AU138" s="64" t="inlineStr">
        <is>
          <t>HM</t>
        </is>
      </c>
      <c r="AV138" s="64" t="n"/>
      <c r="AW138" s="64" t="n"/>
      <c r="AX138" s="64" t="n"/>
    </row>
    <row r="139" ht="28" customFormat="1" customHeight="1" s="70">
      <c r="A139" s="68" t="inlineStr">
        <is>
          <t>BBK_BIA</t>
        </is>
      </c>
      <c r="B139" s="68" t="inlineStr">
        <is>
          <t>TRANGBIA</t>
        </is>
      </c>
      <c r="C139" s="68" t="inlineStr">
        <is>
          <t>BBK_BIA.0678913</t>
        </is>
      </c>
      <c r="D139" s="69" t="n"/>
      <c r="E139" s="69" t="n"/>
      <c r="F139" s="69" t="n"/>
      <c r="G139" s="69" t="n"/>
      <c r="H139" s="69" t="n"/>
      <c r="J139" s="98" t="inlineStr">
        <is>
          <t>01</t>
        </is>
      </c>
      <c r="K139" s="98" t="inlineStr">
        <is>
          <t>TRANGBIA</t>
        </is>
      </c>
      <c r="L139" s="99">
        <f>+L138</f>
        <v/>
      </c>
      <c r="M139" s="99" t="n"/>
      <c r="N139" s="99" t="n"/>
      <c r="O139" s="100" t="inlineStr">
        <is>
          <t>Cầu Km19+529.080</t>
        </is>
      </c>
      <c r="P139" s="101" t="n"/>
      <c r="Q139" s="101" t="n"/>
      <c r="R139" s="101" t="n"/>
      <c r="S139" s="101" t="n"/>
      <c r="T139" s="101" t="n"/>
      <c r="U139" s="101" t="n"/>
      <c r="V139" s="101" t="n"/>
      <c r="W139" s="102" t="n"/>
      <c r="X139" s="102" t="n"/>
      <c r="Y139" s="102" t="n"/>
      <c r="Z139" s="102" t="n"/>
      <c r="AA139" s="102" t="n"/>
      <c r="AB139" s="102" t="n"/>
      <c r="AC139" s="102" t="n"/>
      <c r="AD139" s="102" t="n"/>
      <c r="AE139" s="102" t="n"/>
      <c r="AF139" s="102" t="n"/>
      <c r="AG139" s="102" t="n"/>
      <c r="AH139" s="102" t="n"/>
      <c r="AI139" s="102" t="n"/>
      <c r="AJ139" s="102" t="n"/>
      <c r="AK139" s="100" t="n"/>
      <c r="AL139" s="102" t="n"/>
      <c r="AM139" s="102" t="n"/>
      <c r="AN139" s="102" t="n"/>
      <c r="AO139" s="102" t="n"/>
      <c r="AP139" s="103" t="inlineStr">
        <is>
          <t>Bệ đúc dầm/ Bãi chứa dầm</t>
        </is>
      </c>
      <c r="AQ139" s="104" t="n"/>
      <c r="AR139" s="102" t="inlineStr">
        <is>
          <t>Nhóm 1</t>
        </is>
      </c>
      <c r="AS139" s="102" t="n"/>
      <c r="AT139" s="102" t="inlineStr">
        <is>
          <t>HM03</t>
        </is>
      </c>
      <c r="AU139" s="102" t="inlineStr">
        <is>
          <t>TRANGBIA</t>
        </is>
      </c>
      <c r="AV139" s="102" t="n">
        <v>3</v>
      </c>
      <c r="AW139" s="102" t="n">
        <v>1</v>
      </c>
      <c r="AX139" s="102" t="n"/>
    </row>
    <row r="140" customFormat="1" s="70">
      <c r="A140" s="68" t="inlineStr">
        <is>
          <t>BBK_ML</t>
        </is>
      </c>
      <c r="B140" s="68" t="inlineStr">
        <is>
          <t>MUCLUC</t>
        </is>
      </c>
      <c r="C140" s="68" t="inlineStr">
        <is>
          <t>BBK_ML.0454207</t>
        </is>
      </c>
      <c r="D140" s="69" t="n"/>
      <c r="E140" s="69" t="n"/>
      <c r="F140" s="69" t="n"/>
      <c r="G140" s="69" t="n"/>
      <c r="H140" s="69" t="n"/>
      <c r="J140" s="98" t="inlineStr">
        <is>
          <t>02</t>
        </is>
      </c>
      <c r="K140" s="98" t="inlineStr">
        <is>
          <t>MUCLUC</t>
        </is>
      </c>
      <c r="L140" s="99" t="inlineStr">
        <is>
          <t>Danh mục biên bản Kiểm tra/Nghiệm thu</t>
        </is>
      </c>
      <c r="M140" s="99" t="n"/>
      <c r="N140" s="99" t="n"/>
      <c r="O140" s="100" t="inlineStr">
        <is>
          <t>Cầu Km19+529.080</t>
        </is>
      </c>
      <c r="P140" s="101" t="n"/>
      <c r="Q140" s="101" t="n"/>
      <c r="R140" s="101" t="n"/>
      <c r="S140" s="101" t="n"/>
      <c r="T140" s="101" t="n"/>
      <c r="U140" s="101" t="n"/>
      <c r="V140" s="101" t="n"/>
      <c r="W140" s="102" t="n"/>
      <c r="X140" s="102" t="n"/>
      <c r="Y140" s="102" t="n"/>
      <c r="Z140" s="102" t="n"/>
      <c r="AA140" s="102" t="n"/>
      <c r="AB140" s="102" t="n"/>
      <c r="AC140" s="102" t="n"/>
      <c r="AD140" s="102" t="n"/>
      <c r="AE140" s="102" t="n"/>
      <c r="AF140" s="102" t="n"/>
      <c r="AG140" s="102" t="n"/>
      <c r="AH140" s="102" t="n"/>
      <c r="AI140" s="102" t="n"/>
      <c r="AJ140" s="102" t="n"/>
      <c r="AK140" s="100" t="n"/>
      <c r="AL140" s="102" t="n"/>
      <c r="AM140" s="102" t="n"/>
      <c r="AN140" s="102" t="n"/>
      <c r="AO140" s="102" t="n"/>
      <c r="AP140" s="104" t="n"/>
      <c r="AQ140" s="104" t="n"/>
      <c r="AR140" s="102" t="inlineStr">
        <is>
          <t>Nhóm 1</t>
        </is>
      </c>
      <c r="AS140" s="102" t="n"/>
      <c r="AT140" s="102" t="inlineStr">
        <is>
          <t>HM03</t>
        </is>
      </c>
      <c r="AU140" s="102" t="inlineStr">
        <is>
          <t>MUCLUC</t>
        </is>
      </c>
      <c r="AV140" s="102" t="n">
        <v>3</v>
      </c>
      <c r="AW140" s="102" t="n">
        <v>1</v>
      </c>
      <c r="AX140" s="102" t="n"/>
    </row>
    <row r="141" customFormat="1" s="107">
      <c r="A141" s="105" t="inlineStr">
        <is>
          <t>BBK680</t>
        </is>
      </c>
      <c r="B141" s="105" t="inlineStr">
        <is>
          <t>PYC</t>
        </is>
      </c>
      <c r="C141" s="105" t="inlineStr">
        <is>
          <t>BBK680.0357023</t>
        </is>
      </c>
      <c r="D141" s="106" t="n"/>
      <c r="E141" s="106" t="n"/>
      <c r="F141" s="106" t="n"/>
      <c r="G141" s="106" t="n"/>
      <c r="H141" s="106" t="n"/>
      <c r="J141" s="153" t="inlineStr">
        <is>
          <t>03</t>
        </is>
      </c>
      <c r="K141" s="153" t="inlineStr">
        <is>
          <t>PYC</t>
        </is>
      </c>
      <c r="L141" s="154" t="inlineStr">
        <is>
          <t>phiếu yêu cầu</t>
        </is>
      </c>
      <c r="M141" s="154" t="n"/>
      <c r="N141" s="154" t="n"/>
      <c r="O141" s="155" t="n"/>
      <c r="P141" s="156" t="n"/>
      <c r="Q141" s="156" t="n"/>
      <c r="R141" s="156">
        <f>+R142</f>
        <v/>
      </c>
      <c r="S141" s="156">
        <f>+S142</f>
        <v/>
      </c>
      <c r="T141" s="157" t="n"/>
      <c r="U141" s="157" t="n"/>
      <c r="V141" s="157" t="n"/>
      <c r="W141" s="158" t="n"/>
      <c r="X141" s="158" t="n"/>
      <c r="Y141" s="158" t="n"/>
      <c r="Z141" s="158" t="n"/>
      <c r="AA141" s="158" t="n"/>
      <c r="AB141" s="158" t="inlineStr">
        <is>
          <t>09-XL-307HG/PYCNT/MB-BĐD</t>
        </is>
      </c>
      <c r="AC141" s="158" t="n"/>
      <c r="AD141" s="158" t="n"/>
      <c r="AE141" s="158" t="n"/>
      <c r="AF141" s="158" t="n"/>
      <c r="AG141" s="113" t="inlineStr">
        <is>
          <t>NTCV</t>
        </is>
      </c>
      <c r="AH141" s="113" t="inlineStr">
        <is>
          <t>&gt;=1;&lt;=4</t>
        </is>
      </c>
      <c r="AI141" s="154" t="n"/>
      <c r="AJ141" s="158" t="n"/>
      <c r="AK141" s="155" t="n"/>
      <c r="AL141" s="158" t="n"/>
      <c r="AM141" s="158" t="n"/>
      <c r="AN141" s="158" t="n"/>
      <c r="AO141" s="158" t="n"/>
      <c r="AP141" s="159" t="n"/>
      <c r="AQ141" s="159" t="n"/>
      <c r="AR141" s="158" t="inlineStr">
        <is>
          <t>Nhóm 1</t>
        </is>
      </c>
      <c r="AS141" s="158" t="n"/>
      <c r="AT141" s="158" t="inlineStr">
        <is>
          <t>HM03</t>
        </is>
      </c>
      <c r="AU141" s="158" t="inlineStr">
        <is>
          <t>PYC</t>
        </is>
      </c>
      <c r="AV141" s="158" t="n">
        <v>12</v>
      </c>
      <c r="AW141" s="158" t="n">
        <v>1</v>
      </c>
      <c r="AX141" s="158" t="n"/>
    </row>
    <row r="142" ht="28" customFormat="1" customHeight="1" s="107">
      <c r="A142" s="105" t="inlineStr">
        <is>
          <t>NTCV</t>
        </is>
      </c>
      <c r="B142" s="105" t="inlineStr">
        <is>
          <t>K.9999</t>
        </is>
      </c>
      <c r="C142" s="105" t="inlineStr">
        <is>
          <t>NTCV.0149981</t>
        </is>
      </c>
      <c r="D142" s="106" t="n"/>
      <c r="E142" s="106" t="n"/>
      <c r="F142" s="106" t="n"/>
      <c r="G142" s="106" t="n"/>
      <c r="H142" s="106" t="n"/>
      <c r="J142" s="131" t="inlineStr">
        <is>
          <t>04</t>
        </is>
      </c>
      <c r="K142" s="131" t="inlineStr">
        <is>
          <t>K.9999</t>
        </is>
      </c>
      <c r="L142" s="132" t="inlineStr">
        <is>
          <t>Đào đất hố móng bãi/bệ đúc dầm</t>
        </is>
      </c>
      <c r="M142" s="132" t="n"/>
      <c r="N142" s="132" t="n"/>
      <c r="O142" s="133" t="inlineStr">
        <is>
          <t>Nền bãi đúc Cầu Km19+529.080</t>
        </is>
      </c>
      <c r="P142" s="134">
        <f>+S137</f>
        <v/>
      </c>
      <c r="Q142" s="134">
        <f>+P142+1</f>
        <v/>
      </c>
      <c r="R142" s="134">
        <f>+Q142-1</f>
        <v/>
      </c>
      <c r="S142" s="134">
        <f>+Q142</f>
        <v/>
      </c>
      <c r="T142" s="135" t="n">
        <v>0.3333333333333333</v>
      </c>
      <c r="U142" s="135">
        <f>+T142+V142</f>
        <v/>
      </c>
      <c r="V142" s="135" t="n">
        <v>0.02083333333333333</v>
      </c>
      <c r="W142" s="121">
        <f>TEXT(T142,"HH""h""MM'")&amp;"÷"&amp;TEXT(U142,"HH""h""MM'")</f>
        <v/>
      </c>
      <c r="X142" s="136" t="n"/>
      <c r="Y142" s="136" t="n"/>
      <c r="Z142" s="136" t="n"/>
      <c r="AA142" s="136">
        <f>+L142</f>
        <v/>
      </c>
      <c r="AB142" s="136" t="inlineStr">
        <is>
          <t>09-XL-307HG/PYCNT/MB-BĐD-1</t>
        </is>
      </c>
      <c r="AC142" s="136">
        <f>"09-XL-307HG/PYCNT/MB-BĐD-"&amp;AW142</f>
        <v/>
      </c>
      <c r="AD142" s="136" t="n"/>
      <c r="AE142" s="136" t="n"/>
      <c r="AF142" s="136" t="n"/>
      <c r="AG142" s="136" t="n"/>
      <c r="AH142" s="136" t="n"/>
      <c r="AI142" s="132" t="n"/>
      <c r="AJ142" s="136" t="n"/>
      <c r="AK142" s="133" t="n"/>
      <c r="AL142" s="136" t="n"/>
      <c r="AM142" s="136" t="n"/>
      <c r="AN142" s="136" t="n"/>
      <c r="AO142" s="136" t="n"/>
      <c r="AP142" s="138" t="n"/>
      <c r="AQ142" s="138" t="n"/>
      <c r="AR142" s="136" t="inlineStr">
        <is>
          <t>Nhóm 1</t>
        </is>
      </c>
      <c r="AS142" s="136" t="n"/>
      <c r="AT142" s="136" t="inlineStr">
        <is>
          <t>HM03</t>
        </is>
      </c>
      <c r="AU142" s="136" t="inlineStr">
        <is>
          <t>NTCV</t>
        </is>
      </c>
      <c r="AV142" s="136" t="n">
        <v>36</v>
      </c>
      <c r="AW142" s="136" t="n">
        <v>1</v>
      </c>
      <c r="AX142" s="136" t="n"/>
    </row>
    <row r="143" ht="28" customFormat="1" customHeight="1" s="107">
      <c r="A143" s="105" t="inlineStr">
        <is>
          <t>BBK520</t>
        </is>
      </c>
      <c r="B143" s="105" t="inlineStr">
        <is>
          <t>BBK520</t>
        </is>
      </c>
      <c r="C143" s="105" t="inlineStr">
        <is>
          <t>BBK520.0704395</t>
        </is>
      </c>
      <c r="D143" s="106" t="n"/>
      <c r="E143" s="106" t="inlineStr">
        <is>
          <t>NDKT.0009</t>
        </is>
      </c>
      <c r="F143" s="106" t="n"/>
      <c r="G143" s="106" t="n"/>
      <c r="H143" s="106" t="n"/>
      <c r="J143" s="124" t="inlineStr">
        <is>
          <t>05</t>
        </is>
      </c>
      <c r="K143" s="124" t="inlineStr">
        <is>
          <t>BBK520</t>
        </is>
      </c>
      <c r="L143" s="125">
        <f>+L142</f>
        <v/>
      </c>
      <c r="M143" s="125" t="n"/>
      <c r="N143" s="125" t="n"/>
      <c r="O143" s="126" t="inlineStr">
        <is>
          <t>Nền bãi đúc Cầu Km19+529.080</t>
        </is>
      </c>
      <c r="P143" s="127" t="n"/>
      <c r="Q143" s="127" t="n"/>
      <c r="R143" s="127" t="n"/>
      <c r="S143" s="127">
        <f>+S142</f>
        <v/>
      </c>
      <c r="T143" s="128" t="n"/>
      <c r="U143" s="128" t="n"/>
      <c r="V143" s="128" t="n"/>
      <c r="W143" s="129" t="n"/>
      <c r="X143" s="129" t="n"/>
      <c r="Y143" s="129" t="n"/>
      <c r="Z143" s="129" t="n"/>
      <c r="AA143" s="129" t="n"/>
      <c r="AB143" s="129" t="n"/>
      <c r="AC143" s="129">
        <f>+AC142</f>
        <v/>
      </c>
      <c r="AD143" s="129" t="n"/>
      <c r="AE143" s="129" t="n"/>
      <c r="AF143" s="129" t="n"/>
      <c r="AG143" s="129" t="n"/>
      <c r="AH143" s="129" t="n"/>
      <c r="AI143" s="125" t="n"/>
      <c r="AJ143" s="129" t="n"/>
      <c r="AK143" s="126" t="n"/>
      <c r="AL143" s="129" t="n"/>
      <c r="AM143" s="129" t="n"/>
      <c r="AN143" s="129" t="n"/>
      <c r="AO143" s="129" t="n"/>
      <c r="AP143" s="130" t="n"/>
      <c r="AQ143" s="130" t="inlineStr">
        <is>
          <t>Ảnh\đào bệ đúc dầm.png</t>
        </is>
      </c>
      <c r="AR143" s="129" t="inlineStr">
        <is>
          <t>Nhóm 1</t>
        </is>
      </c>
      <c r="AS143" s="129" t="n"/>
      <c r="AT143" s="129" t="inlineStr">
        <is>
          <t>HM03</t>
        </is>
      </c>
      <c r="AU143" s="129" t="inlineStr">
        <is>
          <t>BBK520</t>
        </is>
      </c>
      <c r="AV143" s="129" t="n">
        <v>1</v>
      </c>
      <c r="AW143" s="129" t="n">
        <v>1</v>
      </c>
      <c r="AX143" s="129" t="n"/>
    </row>
    <row r="144" ht="28" customFormat="1" customHeight="1" s="107">
      <c r="A144" s="105" t="inlineStr">
        <is>
          <t>NTCV</t>
        </is>
      </c>
      <c r="B144" s="105" t="inlineStr">
        <is>
          <t>K.9999</t>
        </is>
      </c>
      <c r="C144" s="105" t="inlineStr">
        <is>
          <t>NTCV.0928785</t>
        </is>
      </c>
      <c r="D144" s="106" t="n"/>
      <c r="E144" s="106" t="n"/>
      <c r="F144" s="106" t="n"/>
      <c r="G144" s="106" t="n"/>
      <c r="H144" s="106" t="n"/>
      <c r="J144" s="147" t="inlineStr">
        <is>
          <t>06</t>
        </is>
      </c>
      <c r="K144" s="147" t="inlineStr">
        <is>
          <t>K.9999</t>
        </is>
      </c>
      <c r="L144" s="148" t="inlineStr">
        <is>
          <t>Rải lớp đá dăm đệm đầm chặt K95, 50cm</t>
        </is>
      </c>
      <c r="M144" s="148" t="n"/>
      <c r="N144" s="148" t="n"/>
      <c r="O144" s="149" t="inlineStr">
        <is>
          <t>Nền bãi đúc Cầu Km19+529.080</t>
        </is>
      </c>
      <c r="P144" s="152">
        <f>+S142</f>
        <v/>
      </c>
      <c r="Q144" s="152">
        <f>+P144+1</f>
        <v/>
      </c>
      <c r="R144" s="152">
        <f>+Q144-1</f>
        <v/>
      </c>
      <c r="S144" s="152">
        <f>+Q144</f>
        <v/>
      </c>
      <c r="T144" s="160" t="n">
        <v>0.3333333333333333</v>
      </c>
      <c r="U144" s="160">
        <f>+T144+V144</f>
        <v/>
      </c>
      <c r="V144" s="160" t="n">
        <v>0.02083333333333333</v>
      </c>
      <c r="W144" s="121">
        <f>TEXT(T144,"HH""h""MM'")&amp;"÷"&amp;TEXT(U144,"HH""h""MM'")</f>
        <v/>
      </c>
      <c r="X144" s="150" t="n"/>
      <c r="Y144" s="150" t="n"/>
      <c r="Z144" s="150" t="n"/>
      <c r="AA144" s="150">
        <f>+L144</f>
        <v/>
      </c>
      <c r="AB144" s="136" t="inlineStr">
        <is>
          <t>09-XL-307HG/PYCNT/MB-BĐD-1</t>
        </is>
      </c>
      <c r="AC144" s="136">
        <f>"09-XL-307HG/PYCNT/MB-BĐD-"&amp;AW144</f>
        <v/>
      </c>
      <c r="AD144" s="150" t="n"/>
      <c r="AE144" s="150" t="n"/>
      <c r="AF144" s="150" t="n"/>
      <c r="AG144" s="150" t="n"/>
      <c r="AH144" s="150" t="n"/>
      <c r="AI144" s="148" t="n"/>
      <c r="AJ144" s="150" t="n"/>
      <c r="AK144" s="149" t="n"/>
      <c r="AL144" s="150" t="n"/>
      <c r="AM144" s="150" t="n"/>
      <c r="AN144" s="150" t="n"/>
      <c r="AO144" s="150" t="n"/>
      <c r="AP144" s="151" t="n"/>
      <c r="AQ144" s="151" t="n"/>
      <c r="AR144" s="150" t="inlineStr">
        <is>
          <t>Nhóm 1</t>
        </is>
      </c>
      <c r="AS144" s="150" t="n"/>
      <c r="AT144" s="150" t="inlineStr">
        <is>
          <t>HM03</t>
        </is>
      </c>
      <c r="AU144" s="150" t="inlineStr">
        <is>
          <t>NTCV</t>
        </is>
      </c>
      <c r="AV144" s="150" t="n">
        <v>37</v>
      </c>
      <c r="AW144" s="150" t="n">
        <v>2</v>
      </c>
      <c r="AX144" s="150" t="n"/>
    </row>
    <row r="145" ht="28" customFormat="1" customHeight="1" s="107">
      <c r="A145" s="105" t="inlineStr">
        <is>
          <t>BBK520</t>
        </is>
      </c>
      <c r="B145" s="105" t="inlineStr">
        <is>
          <t>BBK520</t>
        </is>
      </c>
      <c r="C145" s="105" t="inlineStr">
        <is>
          <t>BBK520.0530212</t>
        </is>
      </c>
      <c r="D145" s="106" t="n"/>
      <c r="E145" s="106" t="inlineStr">
        <is>
          <t>NDKT.0002</t>
        </is>
      </c>
      <c r="F145" s="106" t="n"/>
      <c r="G145" s="106" t="n"/>
      <c r="H145" s="106" t="n"/>
      <c r="J145" s="124" t="inlineStr">
        <is>
          <t>07</t>
        </is>
      </c>
      <c r="K145" s="124" t="inlineStr">
        <is>
          <t>BBK520</t>
        </is>
      </c>
      <c r="L145" s="125">
        <f>+L144</f>
        <v/>
      </c>
      <c r="M145" s="125" t="n"/>
      <c r="N145" s="125" t="n"/>
      <c r="O145" s="126" t="inlineStr">
        <is>
          <t>Nền bãi đúc Cầu Km19+529.080</t>
        </is>
      </c>
      <c r="P145" s="127" t="n"/>
      <c r="Q145" s="127" t="n"/>
      <c r="R145" s="127" t="n"/>
      <c r="S145" s="127">
        <f>+S144</f>
        <v/>
      </c>
      <c r="T145" s="128" t="n"/>
      <c r="U145" s="128" t="n"/>
      <c r="V145" s="128" t="n"/>
      <c r="W145" s="129" t="n"/>
      <c r="X145" s="129" t="n"/>
      <c r="Y145" s="129" t="n"/>
      <c r="Z145" s="129" t="n"/>
      <c r="AA145" s="129" t="n"/>
      <c r="AB145" s="129" t="n"/>
      <c r="AC145" s="129">
        <f>+AC144</f>
        <v/>
      </c>
      <c r="AD145" s="129" t="n"/>
      <c r="AE145" s="129" t="n"/>
      <c r="AF145" s="129" t="n"/>
      <c r="AG145" s="129" t="n"/>
      <c r="AH145" s="129" t="n"/>
      <c r="AI145" s="125" t="n"/>
      <c r="AJ145" s="129" t="n"/>
      <c r="AK145" s="126" t="n"/>
      <c r="AL145" s="129" t="n"/>
      <c r="AM145" s="129" t="n"/>
      <c r="AN145" s="129" t="n"/>
      <c r="AO145" s="129" t="n"/>
      <c r="AP145" s="130" t="n"/>
      <c r="AQ145" s="130" t="inlineStr">
        <is>
          <t>Ảnh\Đắp bệ đúc dầm.png</t>
        </is>
      </c>
      <c r="AR145" s="129" t="inlineStr">
        <is>
          <t>Nhóm 1</t>
        </is>
      </c>
      <c r="AS145" s="129" t="n"/>
      <c r="AT145" s="129" t="inlineStr">
        <is>
          <t>HM03</t>
        </is>
      </c>
      <c r="AU145" s="129" t="inlineStr">
        <is>
          <t>BBK520</t>
        </is>
      </c>
      <c r="AV145" s="129" t="n">
        <v>2</v>
      </c>
      <c r="AW145" s="129" t="n">
        <v>2</v>
      </c>
      <c r="AX145" s="129" t="n"/>
    </row>
    <row r="146" ht="28" customFormat="1" customHeight="1" s="107">
      <c r="A146" s="105" t="inlineStr">
        <is>
          <t>NTCV</t>
        </is>
      </c>
      <c r="B146" s="105" t="inlineStr">
        <is>
          <t>K.9999</t>
        </is>
      </c>
      <c r="C146" s="105" t="inlineStr">
        <is>
          <t>NTCV.0089641</t>
        </is>
      </c>
      <c r="D146" s="106" t="n"/>
      <c r="E146" s="106" t="n"/>
      <c r="F146" s="106" t="n"/>
      <c r="G146" s="106" t="n"/>
      <c r="H146" s="106" t="n"/>
      <c r="J146" s="147" t="inlineStr">
        <is>
          <t>08</t>
        </is>
      </c>
      <c r="K146" s="147" t="inlineStr">
        <is>
          <t>K.9999</t>
        </is>
      </c>
      <c r="L146" s="148" t="inlineStr">
        <is>
          <t>Gia công lắp dựng ván khuôn lót tạo phẳng</t>
        </is>
      </c>
      <c r="M146" s="148" t="n"/>
      <c r="N146" s="148" t="n"/>
      <c r="O146" s="149" t="inlineStr">
        <is>
          <t>Nền bãi đúc Cầu Km19+529.080</t>
        </is>
      </c>
      <c r="P146" s="152">
        <f>+S144</f>
        <v/>
      </c>
      <c r="Q146" s="152">
        <f>+P146</f>
        <v/>
      </c>
      <c r="R146" s="152">
        <f>+Q146-1</f>
        <v/>
      </c>
      <c r="S146" s="152">
        <f>+R146+1</f>
        <v/>
      </c>
      <c r="T146" s="160">
        <f>+U144+TIME(1,20,)</f>
        <v/>
      </c>
      <c r="U146" s="160">
        <f>+T146+V146</f>
        <v/>
      </c>
      <c r="V146" s="160" t="n">
        <v>0.02083333333333333</v>
      </c>
      <c r="W146" s="121">
        <f>TEXT(T146,"HH""h""MM'")&amp;"÷"&amp;TEXT(U146,"HH""h""MM'")</f>
        <v/>
      </c>
      <c r="X146" s="150" t="n"/>
      <c r="Y146" s="150" t="n"/>
      <c r="Z146" s="150" t="n"/>
      <c r="AA146" s="150">
        <f>+L146</f>
        <v/>
      </c>
      <c r="AB146" s="136" t="inlineStr">
        <is>
          <t>09-XL-307HG/PYCNT/MB-BĐD-1</t>
        </is>
      </c>
      <c r="AC146" s="136">
        <f>"09-XL-307HG/PYCNT/MB-BĐD-"&amp;AW146</f>
        <v/>
      </c>
      <c r="AD146" s="150" t="n"/>
      <c r="AE146" s="150" t="n"/>
      <c r="AF146" s="150" t="n"/>
      <c r="AG146" s="150" t="n"/>
      <c r="AH146" s="150" t="n"/>
      <c r="AI146" s="148" t="n"/>
      <c r="AJ146" s="150" t="n"/>
      <c r="AK146" s="149" t="n"/>
      <c r="AL146" s="150" t="n"/>
      <c r="AM146" s="150" t="n"/>
      <c r="AN146" s="150" t="n"/>
      <c r="AO146" s="150" t="n"/>
      <c r="AP146" s="151" t="n"/>
      <c r="AQ146" s="151" t="n"/>
      <c r="AR146" s="150" t="inlineStr">
        <is>
          <t>Nhóm 1</t>
        </is>
      </c>
      <c r="AS146" s="150" t="n"/>
      <c r="AT146" s="150" t="inlineStr">
        <is>
          <t>HM03</t>
        </is>
      </c>
      <c r="AU146" s="150" t="inlineStr">
        <is>
          <t>NTCV</t>
        </is>
      </c>
      <c r="AV146" s="150" t="n">
        <v>38</v>
      </c>
      <c r="AW146" s="150" t="n">
        <v>3</v>
      </c>
      <c r="AX146" s="150" t="n"/>
    </row>
    <row r="147" ht="28" customFormat="1" customHeight="1" s="107">
      <c r="A147" s="105" t="inlineStr">
        <is>
          <t>BBK520</t>
        </is>
      </c>
      <c r="B147" s="105" t="inlineStr">
        <is>
          <t>BBK520</t>
        </is>
      </c>
      <c r="C147" s="105" t="inlineStr">
        <is>
          <t>BBK520.0757729</t>
        </is>
      </c>
      <c r="D147" s="106" t="n"/>
      <c r="E147" s="106" t="inlineStr">
        <is>
          <t>NDKT.0012</t>
        </is>
      </c>
      <c r="F147" s="106" t="n"/>
      <c r="G147" s="106" t="n"/>
      <c r="H147" s="106" t="n"/>
      <c r="J147" s="124" t="inlineStr">
        <is>
          <t>09</t>
        </is>
      </c>
      <c r="K147" s="124" t="inlineStr">
        <is>
          <t>BBK520</t>
        </is>
      </c>
      <c r="L147" s="125">
        <f>+L146</f>
        <v/>
      </c>
      <c r="M147" s="125" t="n"/>
      <c r="N147" s="125" t="n"/>
      <c r="O147" s="126" t="inlineStr">
        <is>
          <t>Nền bãi đúc Cầu Km19+529.080</t>
        </is>
      </c>
      <c r="P147" s="127" t="n"/>
      <c r="Q147" s="127" t="n"/>
      <c r="R147" s="127" t="n"/>
      <c r="S147" s="127">
        <f>+S146</f>
        <v/>
      </c>
      <c r="T147" s="128" t="n"/>
      <c r="U147" s="128" t="n"/>
      <c r="V147" s="128" t="n"/>
      <c r="W147" s="129" t="n"/>
      <c r="X147" s="129" t="n"/>
      <c r="Y147" s="129" t="n"/>
      <c r="Z147" s="129" t="n"/>
      <c r="AA147" s="129" t="n"/>
      <c r="AB147" s="129" t="n"/>
      <c r="AC147" s="129">
        <f>+AC146</f>
        <v/>
      </c>
      <c r="AD147" s="129" t="n"/>
      <c r="AE147" s="129" t="n"/>
      <c r="AF147" s="129" t="n"/>
      <c r="AG147" s="129" t="n"/>
      <c r="AH147" s="129" t="n"/>
      <c r="AI147" s="125" t="n"/>
      <c r="AJ147" s="129" t="n"/>
      <c r="AK147" s="126" t="n"/>
      <c r="AL147" s="129" t="n"/>
      <c r="AM147" s="129" t="n"/>
      <c r="AN147" s="129" t="n"/>
      <c r="AO147" s="129" t="n"/>
      <c r="AP147" s="130" t="n"/>
      <c r="AQ147" s="130" t="inlineStr">
        <is>
          <t>Ảnh\VK BTL.png</t>
        </is>
      </c>
      <c r="AR147" s="129" t="inlineStr">
        <is>
          <t>Nhóm 1</t>
        </is>
      </c>
      <c r="AS147" s="129" t="n"/>
      <c r="AT147" s="129" t="inlineStr">
        <is>
          <t>HM03</t>
        </is>
      </c>
      <c r="AU147" s="129" t="inlineStr">
        <is>
          <t>BBK520</t>
        </is>
      </c>
      <c r="AV147" s="129" t="n">
        <v>3</v>
      </c>
      <c r="AW147" s="129" t="n">
        <v>3</v>
      </c>
      <c r="AX147" s="129" t="n"/>
    </row>
    <row r="148" ht="28" customFormat="1" customHeight="1" s="107">
      <c r="A148" s="105" t="inlineStr">
        <is>
          <t>NTCV</t>
        </is>
      </c>
      <c r="B148" s="105" t="inlineStr">
        <is>
          <t>K.9999</t>
        </is>
      </c>
      <c r="C148" s="105" t="inlineStr">
        <is>
          <t>NTCV.0401842</t>
        </is>
      </c>
      <c r="D148" s="106" t="n"/>
      <c r="E148" s="106" t="n"/>
      <c r="F148" s="106" t="n"/>
      <c r="G148" s="106" t="n"/>
      <c r="H148" s="106" t="n"/>
      <c r="J148" s="161" t="inlineStr">
        <is>
          <t>10</t>
        </is>
      </c>
      <c r="K148" s="161" t="inlineStr">
        <is>
          <t>K.9999</t>
        </is>
      </c>
      <c r="L148" s="162" t="inlineStr">
        <is>
          <t>Đổ bê tông tạo phẳng C10</t>
        </is>
      </c>
      <c r="M148" s="162" t="n"/>
      <c r="N148" s="162" t="n"/>
      <c r="O148" s="163" t="inlineStr">
        <is>
          <t>Nền bãi đúc Cầu Km19+529.080</t>
        </is>
      </c>
      <c r="P148" s="164">
        <f>+S146</f>
        <v/>
      </c>
      <c r="Q148" s="164">
        <f>+P148</f>
        <v/>
      </c>
      <c r="R148" s="164">
        <f>+Q148-1</f>
        <v/>
      </c>
      <c r="S148" s="164">
        <f>+Q148</f>
        <v/>
      </c>
      <c r="T148" s="165">
        <f>+U146+TIME(3,30,)</f>
        <v/>
      </c>
      <c r="U148" s="165">
        <f>+T148+V148</f>
        <v/>
      </c>
      <c r="V148" s="165" t="n">
        <v>0.01388888888888889</v>
      </c>
      <c r="W148" s="166">
        <f>TEXT(T148,"HH""h""MM'")&amp;"÷"&amp;TEXT(U148,"HH""h""MM'")</f>
        <v/>
      </c>
      <c r="X148" s="166" t="n"/>
      <c r="Y148" s="166" t="n"/>
      <c r="Z148" s="166" t="n"/>
      <c r="AA148" s="166">
        <f>+L148</f>
        <v/>
      </c>
      <c r="AB148" s="166" t="inlineStr">
        <is>
          <t>09-XL-307HG/PYCNT/MB-BĐD-1</t>
        </is>
      </c>
      <c r="AC148" s="136">
        <f>"09-XL-307HG/PYCNT/MB-BĐD-"&amp;AW148</f>
        <v/>
      </c>
      <c r="AD148" s="166" t="n"/>
      <c r="AE148" s="166" t="n"/>
      <c r="AF148" s="166" t="n"/>
      <c r="AG148" s="166" t="n"/>
      <c r="AH148" s="166" t="n"/>
      <c r="AI148" s="162" t="n"/>
      <c r="AJ148" s="166" t="n"/>
      <c r="AK148" s="163" t="n"/>
      <c r="AL148" s="166" t="n"/>
      <c r="AM148" s="166" t="n"/>
      <c r="AN148" s="166" t="n"/>
      <c r="AO148" s="166" t="n"/>
      <c r="AP148" s="167" t="n"/>
      <c r="AQ148" s="167" t="n"/>
      <c r="AR148" s="166" t="inlineStr">
        <is>
          <t>Nhóm 1</t>
        </is>
      </c>
      <c r="AS148" s="166" t="n"/>
      <c r="AT148" s="166" t="inlineStr">
        <is>
          <t>HM03</t>
        </is>
      </c>
      <c r="AU148" s="166" t="inlineStr">
        <is>
          <t>NTCV</t>
        </is>
      </c>
      <c r="AV148" s="166" t="n">
        <v>39</v>
      </c>
      <c r="AW148" s="166" t="n">
        <v>4</v>
      </c>
      <c r="AX148" s="166" t="n"/>
    </row>
    <row r="149" ht="28" customFormat="1" customHeight="1" s="107">
      <c r="A149" s="105" t="inlineStr">
        <is>
          <t>BBK520</t>
        </is>
      </c>
      <c r="B149" s="105" t="inlineStr">
        <is>
          <t>BBK520</t>
        </is>
      </c>
      <c r="C149" s="105" t="inlineStr">
        <is>
          <t>BBK520.0461874</t>
        </is>
      </c>
      <c r="D149" s="106" t="n"/>
      <c r="E149" s="106" t="inlineStr">
        <is>
          <t>NDKT.0011</t>
        </is>
      </c>
      <c r="F149" s="106" t="n"/>
      <c r="G149" s="106" t="n"/>
      <c r="H149" s="106" t="n"/>
      <c r="J149" s="168" t="inlineStr">
        <is>
          <t>11</t>
        </is>
      </c>
      <c r="K149" s="168" t="inlineStr">
        <is>
          <t>BBK520</t>
        </is>
      </c>
      <c r="L149" s="169">
        <f>+L148</f>
        <v/>
      </c>
      <c r="M149" s="169" t="n"/>
      <c r="N149" s="169" t="n"/>
      <c r="O149" s="170" t="inlineStr">
        <is>
          <t>Nền bãi đúc Cầu Km19+529.080</t>
        </is>
      </c>
      <c r="P149" s="171" t="n"/>
      <c r="Q149" s="171" t="n"/>
      <c r="R149" s="171" t="n"/>
      <c r="S149" s="171">
        <f>+S148</f>
        <v/>
      </c>
      <c r="T149" s="172" t="n"/>
      <c r="U149" s="172" t="n"/>
      <c r="V149" s="172" t="n"/>
      <c r="W149" s="173" t="n"/>
      <c r="X149" s="173" t="n"/>
      <c r="Y149" s="173" t="n"/>
      <c r="Z149" s="173" t="n"/>
      <c r="AA149" s="173" t="n"/>
      <c r="AB149" s="173" t="n"/>
      <c r="AC149" s="173">
        <f>+AC148</f>
        <v/>
      </c>
      <c r="AD149" s="173" t="n"/>
      <c r="AE149" s="173" t="n"/>
      <c r="AF149" s="173" t="n"/>
      <c r="AG149" s="173" t="n"/>
      <c r="AH149" s="173" t="n"/>
      <c r="AI149" s="169" t="n"/>
      <c r="AJ149" s="173" t="n"/>
      <c r="AK149" s="170" t="n"/>
      <c r="AL149" s="173" t="n"/>
      <c r="AM149" s="173" t="n"/>
      <c r="AN149" s="173" t="n"/>
      <c r="AO149" s="173" t="n"/>
      <c r="AP149" s="174" t="n"/>
      <c r="AQ149" s="174" t="inlineStr">
        <is>
          <t>Ảnh\bê tông lót bệ đúc dầm.png</t>
        </is>
      </c>
      <c r="AR149" s="173" t="inlineStr">
        <is>
          <t>Nhóm 1</t>
        </is>
      </c>
      <c r="AS149" s="173" t="n"/>
      <c r="AT149" s="173" t="inlineStr">
        <is>
          <t>HM03</t>
        </is>
      </c>
      <c r="AU149" s="173" t="inlineStr">
        <is>
          <t>BBK520</t>
        </is>
      </c>
      <c r="AV149" s="173" t="n">
        <v>4</v>
      </c>
      <c r="AW149" s="173" t="n">
        <v>4</v>
      </c>
      <c r="AX149" s="173" t="n"/>
    </row>
    <row r="150" ht="28" customFormat="1" customHeight="1" s="107">
      <c r="A150" s="105" t="inlineStr">
        <is>
          <t>LMHT</t>
        </is>
      </c>
      <c r="B150" s="105" t="inlineStr">
        <is>
          <t>LMHT</t>
        </is>
      </c>
      <c r="C150" s="105" t="inlineStr">
        <is>
          <t>LMHT.0492165</t>
        </is>
      </c>
      <c r="D150" s="106" t="inlineStr">
        <is>
          <t>TC.000041|TC.000182|TC.000169.A</t>
        </is>
      </c>
      <c r="E150" s="106" t="n"/>
      <c r="F150" s="106" t="inlineStr">
        <is>
          <t>CP.0001^Bê tông tạo phẳng C10^(15x15x15) cm^01 tổ mẫu^10 Mpa^^^TC.000041|TC.000182|TC.000169.A</t>
        </is>
      </c>
      <c r="G150" s="106" t="n"/>
      <c r="H150" s="106" t="n"/>
      <c r="J150" s="175" t="inlineStr">
        <is>
          <t>12</t>
        </is>
      </c>
      <c r="K150" s="175" t="inlineStr">
        <is>
          <t>LMHT</t>
        </is>
      </c>
      <c r="L150" s="176" t="inlineStr">
        <is>
          <t>Bê tông tạo phẳng C10</t>
        </is>
      </c>
      <c r="M150" s="176" t="n"/>
      <c r="N150" s="176" t="n"/>
      <c r="O150" s="177" t="inlineStr">
        <is>
          <t>Nền bãi đúc Cầu Km19+529.080</t>
        </is>
      </c>
      <c r="P150" s="178" t="n"/>
      <c r="Q150" s="178" t="n"/>
      <c r="R150" s="178" t="n"/>
      <c r="S150" s="178">
        <f>+S149</f>
        <v/>
      </c>
      <c r="T150" s="179">
        <f>+T148</f>
        <v/>
      </c>
      <c r="U150" s="179">
        <f>+U148</f>
        <v/>
      </c>
      <c r="V150" s="179">
        <f>+V148</f>
        <v/>
      </c>
      <c r="W150" s="180">
        <f>+W148</f>
        <v/>
      </c>
      <c r="X150" s="180" t="n"/>
      <c r="Y150" s="180" t="n"/>
      <c r="Z150" s="180" t="n"/>
      <c r="AA150" s="180" t="n"/>
      <c r="AB150" s="180" t="n"/>
      <c r="AC150" s="180" t="n"/>
      <c r="AD150" s="180" t="n"/>
      <c r="AE150" s="180" t="n"/>
      <c r="AF150" s="180" t="n"/>
      <c r="AG150" s="180" t="n"/>
      <c r="AH150" s="180" t="n"/>
      <c r="AI150" s="176" t="n"/>
      <c r="AJ150" s="180" t="n"/>
      <c r="AK150" s="177" t="n"/>
      <c r="AL150" s="180" t="n"/>
      <c r="AM150" s="180" t="n"/>
      <c r="AN150" s="180" t="n"/>
      <c r="AO150" s="180" t="n"/>
      <c r="AP150" s="181" t="n"/>
      <c r="AQ150" s="181" t="n"/>
      <c r="AR150" s="180" t="inlineStr">
        <is>
          <t>Nhóm 1</t>
        </is>
      </c>
      <c r="AS150" s="180" t="n"/>
      <c r="AT150" s="180" t="inlineStr">
        <is>
          <t>HM03</t>
        </is>
      </c>
      <c r="AU150" s="180" t="inlineStr">
        <is>
          <t>LMHT</t>
        </is>
      </c>
      <c r="AV150" s="180" t="n">
        <v>1</v>
      </c>
      <c r="AW150" s="180" t="n">
        <v>1</v>
      </c>
      <c r="AX150" s="180" t="n"/>
    </row>
    <row r="151" customFormat="1" s="107">
      <c r="A151" s="105" t="inlineStr">
        <is>
          <t>BBK680</t>
        </is>
      </c>
      <c r="B151" s="105" t="inlineStr">
        <is>
          <t>PYC</t>
        </is>
      </c>
      <c r="C151" s="105" t="inlineStr">
        <is>
          <t>BBK680.0207627</t>
        </is>
      </c>
      <c r="D151" s="106" t="n"/>
      <c r="E151" s="106" t="n"/>
      <c r="F151" s="106" t="n"/>
      <c r="G151" s="106" t="n"/>
      <c r="H151" s="106" t="n"/>
      <c r="J151" s="139" t="inlineStr">
        <is>
          <t>13</t>
        </is>
      </c>
      <c r="K151" s="139" t="inlineStr">
        <is>
          <t>PYC</t>
        </is>
      </c>
      <c r="L151" s="140" t="inlineStr">
        <is>
          <t>phiếu yêu cầu</t>
        </is>
      </c>
      <c r="M151" s="140" t="n"/>
      <c r="N151" s="140" t="n"/>
      <c r="O151" s="141" t="n"/>
      <c r="P151" s="142" t="n"/>
      <c r="Q151" s="142" t="n"/>
      <c r="R151" s="142">
        <f>+R152</f>
        <v/>
      </c>
      <c r="S151" s="142">
        <f>+S152</f>
        <v/>
      </c>
      <c r="T151" s="143" t="n"/>
      <c r="U151" s="143" t="n"/>
      <c r="V151" s="143" t="n"/>
      <c r="W151" s="144" t="n"/>
      <c r="X151" s="144" t="n"/>
      <c r="Y151" s="144" t="n"/>
      <c r="Z151" s="144" t="n"/>
      <c r="AA151" s="144" t="n"/>
      <c r="AB151" s="144" t="inlineStr">
        <is>
          <t>09-XL-307HG/PYCNT/MB-BĐD</t>
        </is>
      </c>
      <c r="AC151" s="144" t="n"/>
      <c r="AD151" s="144" t="n"/>
      <c r="AE151" s="144" t="n"/>
      <c r="AF151" s="144" t="n"/>
      <c r="AG151" s="113" t="inlineStr">
        <is>
          <t>NTCV</t>
        </is>
      </c>
      <c r="AH151" s="144" t="n">
        <v>20</v>
      </c>
      <c r="AI151" s="140" t="n"/>
      <c r="AJ151" s="144" t="n"/>
      <c r="AK151" s="141" t="n"/>
      <c r="AL151" s="144" t="n"/>
      <c r="AM151" s="144" t="n"/>
      <c r="AN151" s="144" t="n"/>
      <c r="AO151" s="144" t="n"/>
      <c r="AP151" s="146" t="n"/>
      <c r="AQ151" s="146" t="n"/>
      <c r="AR151" s="144" t="inlineStr">
        <is>
          <t>Nhóm 1</t>
        </is>
      </c>
      <c r="AS151" s="144" t="n"/>
      <c r="AT151" s="144" t="inlineStr">
        <is>
          <t>HM03</t>
        </is>
      </c>
      <c r="AU151" s="144" t="inlineStr">
        <is>
          <t>PYC</t>
        </is>
      </c>
      <c r="AV151" s="144" t="n">
        <v>20</v>
      </c>
      <c r="AW151" s="144" t="n">
        <v>9</v>
      </c>
      <c r="AX151" s="144" t="n"/>
    </row>
    <row r="152" ht="28" customFormat="1" customHeight="1" s="107">
      <c r="A152" s="105" t="inlineStr">
        <is>
          <t>NTCV</t>
        </is>
      </c>
      <c r="B152" s="105" t="inlineStr">
        <is>
          <t>K.9999</t>
        </is>
      </c>
      <c r="C152" s="105" t="inlineStr">
        <is>
          <t>NTCV.0329735</t>
        </is>
      </c>
      <c r="D152" s="106" t="n"/>
      <c r="E152" s="106" t="n"/>
      <c r="F152" s="106" t="n"/>
      <c r="G152" s="106" t="n"/>
      <c r="H152" s="106" t="n"/>
      <c r="J152" s="131" t="inlineStr">
        <is>
          <t>14</t>
        </is>
      </c>
      <c r="K152" s="131" t="inlineStr">
        <is>
          <t>K.9999</t>
        </is>
      </c>
      <c r="L152" s="132" t="inlineStr">
        <is>
          <t>Bê tông tạo phẳng C10</t>
        </is>
      </c>
      <c r="M152" s="132" t="n"/>
      <c r="N152" s="132" t="n"/>
      <c r="O152" s="133" t="inlineStr">
        <is>
          <t>Nền bãi đúc Cầu Km19+529.080</t>
        </is>
      </c>
      <c r="P152" s="134" t="n"/>
      <c r="Q152" s="134" t="n"/>
      <c r="R152" s="134">
        <f>+S152-1</f>
        <v/>
      </c>
      <c r="S152" s="134">
        <f>+S150+28</f>
        <v/>
      </c>
      <c r="T152" s="135" t="n">
        <v>0.3333333333333333</v>
      </c>
      <c r="U152" s="135">
        <f>+T152+V152</f>
        <v/>
      </c>
      <c r="V152" s="135" t="n">
        <v>0.02083333333333333</v>
      </c>
      <c r="W152" s="136">
        <f>TEXT(T152,"HH""h""MM'")&amp;"÷"&amp;TEXT(U152,"HH""h""MM'")</f>
        <v/>
      </c>
      <c r="X152" s="136" t="n"/>
      <c r="Y152" s="136" t="n"/>
      <c r="Z152" s="136" t="n"/>
      <c r="AA152" s="136">
        <f>+L152</f>
        <v/>
      </c>
      <c r="AB152" s="136" t="inlineStr">
        <is>
          <t>09-XL-307HG/PYCNT/MB-BĐD-9</t>
        </is>
      </c>
      <c r="AC152" s="136">
        <f>"09-XL-307HG/PYCNT/MB-BĐD-"&amp;AW152</f>
        <v/>
      </c>
      <c r="AD152" s="136" t="n"/>
      <c r="AE152" s="136" t="n"/>
      <c r="AF152" s="136" t="n"/>
      <c r="AG152" s="136" t="n"/>
      <c r="AH152" s="136" t="n"/>
      <c r="AI152" s="132" t="n"/>
      <c r="AJ152" s="136" t="n"/>
      <c r="AK152" s="133" t="n"/>
      <c r="AL152" s="136" t="n"/>
      <c r="AM152" s="136" t="n"/>
      <c r="AN152" s="136" t="n"/>
      <c r="AO152" s="136" t="n"/>
      <c r="AP152" s="138" t="n"/>
      <c r="AQ152" s="138" t="n"/>
      <c r="AR152" s="136" t="inlineStr">
        <is>
          <t>Nhóm 1</t>
        </is>
      </c>
      <c r="AS152" s="136" t="n"/>
      <c r="AT152" s="136" t="inlineStr">
        <is>
          <t>HM03</t>
        </is>
      </c>
      <c r="AU152" s="136" t="inlineStr">
        <is>
          <t>NTCV</t>
        </is>
      </c>
      <c r="AV152" s="136" t="n">
        <v>55</v>
      </c>
      <c r="AW152" s="136" t="n">
        <v>20</v>
      </c>
      <c r="AX152" s="136" t="n"/>
    </row>
    <row r="153" customFormat="1" s="107">
      <c r="A153" s="105" t="inlineStr">
        <is>
          <t>BBK680</t>
        </is>
      </c>
      <c r="B153" s="105" t="inlineStr">
        <is>
          <t>PYC</t>
        </is>
      </c>
      <c r="C153" s="105" t="inlineStr">
        <is>
          <t>BBK680.0095429</t>
        </is>
      </c>
      <c r="D153" s="106" t="n"/>
      <c r="E153" s="106" t="n"/>
      <c r="F153" s="106" t="n"/>
      <c r="G153" s="106" t="n"/>
      <c r="H153" s="106" t="n"/>
      <c r="J153" s="108" t="inlineStr">
        <is>
          <t>15</t>
        </is>
      </c>
      <c r="K153" s="108" t="inlineStr">
        <is>
          <t>PYC</t>
        </is>
      </c>
      <c r="L153" s="109" t="inlineStr">
        <is>
          <t>phiếu yêu cầu</t>
        </is>
      </c>
      <c r="M153" s="109" t="n"/>
      <c r="N153" s="109" t="n"/>
      <c r="O153" s="110" t="n"/>
      <c r="P153" s="111" t="n"/>
      <c r="Q153" s="111" t="n"/>
      <c r="R153" s="111">
        <f>+R154</f>
        <v/>
      </c>
      <c r="S153" s="111">
        <f>+S154</f>
        <v/>
      </c>
      <c r="T153" s="112" t="n"/>
      <c r="U153" s="112" t="n"/>
      <c r="V153" s="112" t="n"/>
      <c r="W153" s="113" t="n"/>
      <c r="X153" s="113" t="n"/>
      <c r="Y153" s="113" t="n"/>
      <c r="Z153" s="113" t="n"/>
      <c r="AA153" s="113" t="n"/>
      <c r="AB153" s="113" t="inlineStr">
        <is>
          <t>09-XL-307HG/PYCNT/MB-BĐD</t>
        </is>
      </c>
      <c r="AC153" s="113" t="n"/>
      <c r="AD153" s="113" t="n"/>
      <c r="AE153" s="113" t="n"/>
      <c r="AF153" s="113" t="n"/>
      <c r="AG153" s="113" t="inlineStr">
        <is>
          <t>NTCV</t>
        </is>
      </c>
      <c r="AH153" s="113" t="inlineStr">
        <is>
          <t>&gt;=5;&lt;=7</t>
        </is>
      </c>
      <c r="AI153" s="109" t="n"/>
      <c r="AJ153" s="113" t="n"/>
      <c r="AK153" s="110" t="n"/>
      <c r="AL153" s="113" t="n"/>
      <c r="AM153" s="113" t="n"/>
      <c r="AN153" s="113" t="n"/>
      <c r="AO153" s="113" t="n"/>
      <c r="AP153" s="115" t="n"/>
      <c r="AQ153" s="115" t="n"/>
      <c r="AR153" s="113" t="inlineStr">
        <is>
          <t>Nhóm 1</t>
        </is>
      </c>
      <c r="AS153" s="113" t="n"/>
      <c r="AT153" s="113" t="inlineStr">
        <is>
          <t>HM03</t>
        </is>
      </c>
      <c r="AU153" s="113" t="inlineStr">
        <is>
          <t>PYC</t>
        </is>
      </c>
      <c r="AV153" s="113" t="n">
        <v>13</v>
      </c>
      <c r="AW153" s="113" t="n">
        <v>2</v>
      </c>
      <c r="AX153" s="113" t="n"/>
    </row>
    <row r="154" ht="28" customFormat="1" customHeight="1" s="107">
      <c r="A154" s="105" t="inlineStr">
        <is>
          <t>NTCV</t>
        </is>
      </c>
      <c r="B154" s="105" t="inlineStr">
        <is>
          <t>K.9999</t>
        </is>
      </c>
      <c r="C154" s="105" t="inlineStr">
        <is>
          <t>NTCV.0589792</t>
        </is>
      </c>
      <c r="D154" s="106" t="n"/>
      <c r="E154" s="106" t="n"/>
      <c r="F154" s="106" t="n"/>
      <c r="G154" s="106" t="n"/>
      <c r="H154" s="106" t="n"/>
      <c r="J154" s="131" t="inlineStr">
        <is>
          <t>16</t>
        </is>
      </c>
      <c r="K154" s="131" t="inlineStr">
        <is>
          <t>K.9999</t>
        </is>
      </c>
      <c r="L154" s="132" t="inlineStr">
        <is>
          <t>Gia công, lắp dựng cốt thép bệ đúc dầm</t>
        </is>
      </c>
      <c r="M154" s="132" t="n"/>
      <c r="N154" s="132" t="n"/>
      <c r="O154" s="133" t="inlineStr">
        <is>
          <t>Bãi đúc dầm Cầu Km19+529.080</t>
        </is>
      </c>
      <c r="P154" s="134">
        <f>+S150</f>
        <v/>
      </c>
      <c r="Q154" s="134">
        <f>+P154+1</f>
        <v/>
      </c>
      <c r="R154" s="134">
        <f>+Q154-1</f>
        <v/>
      </c>
      <c r="S154" s="134">
        <f>+Q154</f>
        <v/>
      </c>
      <c r="T154" s="135" t="n">
        <v>0.375</v>
      </c>
      <c r="U154" s="135">
        <f>+T154+V154</f>
        <v/>
      </c>
      <c r="V154" s="135" t="n">
        <v>0.02083333333333333</v>
      </c>
      <c r="W154" s="136">
        <f>TEXT(T154,"HH""h""MM'")&amp;"÷"&amp;TEXT(U154,"HH""h""MM'")</f>
        <v/>
      </c>
      <c r="X154" s="136" t="n"/>
      <c r="Y154" s="136" t="n"/>
      <c r="Z154" s="136" t="n"/>
      <c r="AA154" s="136">
        <f>+L154</f>
        <v/>
      </c>
      <c r="AB154" s="136" t="inlineStr">
        <is>
          <t>09-XL-307HG/PYCNT/MB-BĐD-2</t>
        </is>
      </c>
      <c r="AC154" s="136">
        <f>"09-XL-307HG/PYCNT/MB-BĐD-"&amp;AW154</f>
        <v/>
      </c>
      <c r="AD154" s="136" t="n"/>
      <c r="AE154" s="136" t="n"/>
      <c r="AF154" s="136" t="n"/>
      <c r="AG154" s="136" t="n"/>
      <c r="AH154" s="136" t="n"/>
      <c r="AI154" s="132" t="n"/>
      <c r="AJ154" s="136" t="n"/>
      <c r="AK154" s="133" t="n"/>
      <c r="AL154" s="136" t="n"/>
      <c r="AM154" s="136" t="n"/>
      <c r="AN154" s="136" t="n"/>
      <c r="AO154" s="136" t="n"/>
      <c r="AP154" s="138" t="n"/>
      <c r="AQ154" s="138" t="n"/>
      <c r="AR154" s="136" t="inlineStr">
        <is>
          <t>Nhóm 1</t>
        </is>
      </c>
      <c r="AS154" s="136" t="n"/>
      <c r="AT154" s="136" t="inlineStr">
        <is>
          <t>HM03</t>
        </is>
      </c>
      <c r="AU154" s="136" t="inlineStr">
        <is>
          <t>NTCV</t>
        </is>
      </c>
      <c r="AV154" s="136" t="n">
        <v>40</v>
      </c>
      <c r="AW154" s="136" t="n">
        <v>5</v>
      </c>
      <c r="AX154" s="136" t="n"/>
    </row>
    <row r="155" ht="28" customFormat="1" customHeight="1" s="107">
      <c r="A155" s="105" t="inlineStr">
        <is>
          <t>BBK520</t>
        </is>
      </c>
      <c r="B155" s="105" t="inlineStr">
        <is>
          <t>BBK520</t>
        </is>
      </c>
      <c r="C155" s="105" t="inlineStr">
        <is>
          <t>BBK520.0169873</t>
        </is>
      </c>
      <c r="D155" s="106" t="n"/>
      <c r="E155" s="106" t="inlineStr">
        <is>
          <t>NDKT.0013</t>
        </is>
      </c>
      <c r="F155" s="106" t="n"/>
      <c r="G155" s="106" t="n"/>
      <c r="H155" s="106" t="n"/>
      <c r="J155" s="124" t="inlineStr">
        <is>
          <t>17</t>
        </is>
      </c>
      <c r="K155" s="124" t="inlineStr">
        <is>
          <t>BBK520</t>
        </is>
      </c>
      <c r="L155" s="125" t="inlineStr">
        <is>
          <t>Gia công lắp dựng cốt thép bệ đúc dầm</t>
        </is>
      </c>
      <c r="M155" s="125" t="n"/>
      <c r="N155" s="125" t="n"/>
      <c r="O155" s="126" t="inlineStr">
        <is>
          <t>Bãi đúc dầm Cầu Km19+529.080</t>
        </is>
      </c>
      <c r="P155" s="127" t="n"/>
      <c r="Q155" s="127" t="n"/>
      <c r="R155" s="127" t="n"/>
      <c r="S155" s="127">
        <f>+S154</f>
        <v/>
      </c>
      <c r="T155" s="128" t="n"/>
      <c r="U155" s="128" t="n"/>
      <c r="V155" s="128" t="n"/>
      <c r="W155" s="129" t="n"/>
      <c r="X155" s="129" t="n"/>
      <c r="Y155" s="129" t="n"/>
      <c r="Z155" s="129" t="n"/>
      <c r="AA155" s="129" t="n"/>
      <c r="AB155" s="129" t="n"/>
      <c r="AC155" s="129">
        <f>+AC154</f>
        <v/>
      </c>
      <c r="AD155" s="129" t="n"/>
      <c r="AE155" s="129" t="n"/>
      <c r="AF155" s="129" t="n"/>
      <c r="AG155" s="129" t="n"/>
      <c r="AH155" s="129" t="n"/>
      <c r="AI155" s="125" t="n"/>
      <c r="AJ155" s="129" t="n"/>
      <c r="AK155" s="126" t="n"/>
      <c r="AL155" s="129" t="n"/>
      <c r="AM155" s="129" t="n"/>
      <c r="AN155" s="129" t="n"/>
      <c r="AO155" s="129" t="n"/>
      <c r="AP155" s="130" t="n"/>
      <c r="AQ155" s="130" t="inlineStr">
        <is>
          <t>Ảnh\cốt thép bệ đúc dầm.png</t>
        </is>
      </c>
      <c r="AR155" s="129" t="inlineStr">
        <is>
          <t>Nhóm 1</t>
        </is>
      </c>
      <c r="AS155" s="129" t="n"/>
      <c r="AT155" s="129" t="inlineStr">
        <is>
          <t>HM03</t>
        </is>
      </c>
      <c r="AU155" s="129" t="inlineStr">
        <is>
          <t>BBK520</t>
        </is>
      </c>
      <c r="AV155" s="129" t="n">
        <v>5</v>
      </c>
      <c r="AW155" s="129" t="n">
        <v>5</v>
      </c>
      <c r="AX155" s="129" t="n"/>
    </row>
    <row r="156" ht="28" customFormat="1" customHeight="1" s="107">
      <c r="A156" s="105" t="inlineStr">
        <is>
          <t>BBK520</t>
        </is>
      </c>
      <c r="B156" s="105" t="inlineStr">
        <is>
          <t>BBK520</t>
        </is>
      </c>
      <c r="C156" s="105" t="inlineStr">
        <is>
          <t>BBK520.0927616</t>
        </is>
      </c>
      <c r="D156" s="106" t="n"/>
      <c r="E156" s="106" t="inlineStr">
        <is>
          <t>IlIlllllIIllIllIIIIl.7153</t>
        </is>
      </c>
      <c r="F156" s="106" t="n"/>
      <c r="G156" s="106" t="n"/>
      <c r="H156" s="106" t="n"/>
      <c r="J156" s="108" t="inlineStr">
        <is>
          <t>18</t>
        </is>
      </c>
      <c r="K156" s="108" t="inlineStr">
        <is>
          <t>BBK520</t>
        </is>
      </c>
      <c r="L156" s="109" t="inlineStr">
        <is>
          <t>Gia công và lắp đặt cấu kiện, cốt thép/chi tiết đặt sẵn trong bê tông</t>
        </is>
      </c>
      <c r="M156" s="109" t="n"/>
      <c r="N156" s="109" t="n"/>
      <c r="O156" s="110" t="inlineStr">
        <is>
          <t>Bãi đúc dầm Cầu Km19+529.080</t>
        </is>
      </c>
      <c r="P156" s="111" t="n"/>
      <c r="Q156" s="111" t="n"/>
      <c r="R156" s="111" t="n"/>
      <c r="S156" s="111">
        <f>+S154</f>
        <v/>
      </c>
      <c r="T156" s="112" t="n"/>
      <c r="U156" s="112" t="n"/>
      <c r="V156" s="112" t="n"/>
      <c r="W156" s="113" t="n"/>
      <c r="X156" s="113" t="n"/>
      <c r="Y156" s="113" t="n"/>
      <c r="Z156" s="113" t="n"/>
      <c r="AA156" s="113" t="n"/>
      <c r="AB156" s="113" t="n"/>
      <c r="AC156" s="113">
        <f>+AC154</f>
        <v/>
      </c>
      <c r="AD156" s="113" t="n"/>
      <c r="AE156" s="113" t="n"/>
      <c r="AF156" s="113" t="n"/>
      <c r="AG156" s="113" t="n"/>
      <c r="AH156" s="113" t="n"/>
      <c r="AI156" s="109" t="n"/>
      <c r="AJ156" s="113" t="n"/>
      <c r="AK156" s="110" t="n"/>
      <c r="AL156" s="113" t="n"/>
      <c r="AM156" s="113" t="n"/>
      <c r="AN156" s="113" t="n"/>
      <c r="AO156" s="113" t="n"/>
      <c r="AP156" s="115" t="n"/>
      <c r="AQ156" s="115" t="inlineStr">
        <is>
          <t>Ảnh\cốt thép bệ đúc dầm.png</t>
        </is>
      </c>
      <c r="AR156" s="113" t="inlineStr">
        <is>
          <t>Nhóm 1</t>
        </is>
      </c>
      <c r="AS156" s="113" t="n"/>
      <c r="AT156" s="113" t="inlineStr">
        <is>
          <t>HM03</t>
        </is>
      </c>
      <c r="AU156" s="113" t="inlineStr">
        <is>
          <t>BBK520</t>
        </is>
      </c>
      <c r="AV156" s="113" t="n">
        <v>6</v>
      </c>
      <c r="AW156" s="113" t="n">
        <v>6</v>
      </c>
      <c r="AX156" s="113" t="n"/>
    </row>
    <row r="157" ht="28" customFormat="1" customHeight="1" s="107">
      <c r="A157" s="105" t="inlineStr">
        <is>
          <t>BBK520</t>
        </is>
      </c>
      <c r="B157" s="105" t="inlineStr">
        <is>
          <t>BBK520</t>
        </is>
      </c>
      <c r="C157" s="105" t="inlineStr">
        <is>
          <t>BBK520.0097929</t>
        </is>
      </c>
      <c r="D157" s="106" t="n"/>
      <c r="E157" s="106" t="inlineStr">
        <is>
          <t>IlIlllllIIllIllIIIIl.7142</t>
        </is>
      </c>
      <c r="F157" s="106" t="n"/>
      <c r="G157" s="106" t="n"/>
      <c r="H157" s="106" t="n"/>
      <c r="J157" s="139" t="inlineStr">
        <is>
          <t>19</t>
        </is>
      </c>
      <c r="K157" s="139" t="inlineStr">
        <is>
          <t>BBK520</t>
        </is>
      </c>
      <c r="L157" s="140" t="inlineStr">
        <is>
          <t>Lắp đặt bu lông neo M12, L=230 mm</t>
        </is>
      </c>
      <c r="M157" s="140" t="n"/>
      <c r="N157" s="140" t="n"/>
      <c r="O157" s="141" t="inlineStr">
        <is>
          <t>Bãi đúc dầm Cầu Km19+529.080</t>
        </is>
      </c>
      <c r="P157" s="142" t="n"/>
      <c r="Q157" s="142" t="n"/>
      <c r="R157" s="142" t="n"/>
      <c r="S157" s="142">
        <f>+S156</f>
        <v/>
      </c>
      <c r="T157" s="143" t="n"/>
      <c r="U157" s="143" t="n"/>
      <c r="V157" s="143" t="n"/>
      <c r="W157" s="144" t="n"/>
      <c r="X157" s="144" t="n"/>
      <c r="Y157" s="144" t="n"/>
      <c r="Z157" s="144" t="n"/>
      <c r="AA157" s="144" t="n"/>
      <c r="AB157" s="144" t="n"/>
      <c r="AC157" s="113">
        <f>+AC155</f>
        <v/>
      </c>
      <c r="AD157" s="144" t="n"/>
      <c r="AE157" s="144" t="n"/>
      <c r="AF157" s="144" t="n"/>
      <c r="AG157" s="144" t="n"/>
      <c r="AH157" s="144" t="n"/>
      <c r="AI157" s="140" t="n"/>
      <c r="AJ157" s="144" t="n"/>
      <c r="AK157" s="141" t="n"/>
      <c r="AL157" s="144" t="n"/>
      <c r="AM157" s="144" t="n"/>
      <c r="AN157" s="144" t="n"/>
      <c r="AO157" s="144" t="n"/>
      <c r="AP157" s="146" t="n"/>
      <c r="AQ157" s="146" t="inlineStr">
        <is>
          <t>Ảnh\cốt thép bệ đúc dầm.png</t>
        </is>
      </c>
      <c r="AR157" s="144" t="inlineStr">
        <is>
          <t>Nhóm 1</t>
        </is>
      </c>
      <c r="AS157" s="144" t="n"/>
      <c r="AT157" s="144" t="inlineStr">
        <is>
          <t>HM03</t>
        </is>
      </c>
      <c r="AU157" s="144" t="inlineStr">
        <is>
          <t>BBK520</t>
        </is>
      </c>
      <c r="AV157" s="144" t="n">
        <v>7</v>
      </c>
      <c r="AW157" s="144" t="n">
        <v>7</v>
      </c>
      <c r="AX157" s="144" t="n"/>
    </row>
    <row r="158" ht="28" customFormat="1" customHeight="1" s="107">
      <c r="A158" s="105" t="inlineStr">
        <is>
          <t>NTCV</t>
        </is>
      </c>
      <c r="B158" s="105" t="inlineStr">
        <is>
          <t>K.9999</t>
        </is>
      </c>
      <c r="C158" s="105" t="inlineStr">
        <is>
          <t>NTCV.0443862</t>
        </is>
      </c>
      <c r="D158" s="106" t="n"/>
      <c r="E158" s="106" t="n"/>
      <c r="F158" s="106" t="n"/>
      <c r="G158" s="106" t="n"/>
      <c r="H158" s="106" t="n"/>
      <c r="J158" s="131" t="inlineStr">
        <is>
          <t>20</t>
        </is>
      </c>
      <c r="K158" s="131" t="inlineStr">
        <is>
          <t>K.9999</t>
        </is>
      </c>
      <c r="L158" s="132" t="inlineStr">
        <is>
          <t>Gia công, lắp dựng ván khuôn bệ đúc dầm</t>
        </is>
      </c>
      <c r="M158" s="132" t="n"/>
      <c r="N158" s="132" t="n"/>
      <c r="O158" s="133" t="inlineStr">
        <is>
          <t>Bãi đúc dầm Cầu Km19+529.080</t>
        </is>
      </c>
      <c r="P158" s="134">
        <f>+S154</f>
        <v/>
      </c>
      <c r="Q158" s="134">
        <f>+P158</f>
        <v/>
      </c>
      <c r="R158" s="134">
        <f>+Q158-1</f>
        <v/>
      </c>
      <c r="S158" s="134">
        <f>+Q158</f>
        <v/>
      </c>
      <c r="T158" s="135">
        <f>+U154+TIME(,20,)</f>
        <v/>
      </c>
      <c r="U158" s="135">
        <f>+T158+V158</f>
        <v/>
      </c>
      <c r="V158" s="135" t="n">
        <v>0.02083333333333333</v>
      </c>
      <c r="W158" s="136">
        <f>TEXT(T158,"HH""h""MM'")&amp;"÷"&amp;TEXT(U158,"HH""h""MM'")</f>
        <v/>
      </c>
      <c r="X158" s="136" t="n"/>
      <c r="Y158" s="136" t="n"/>
      <c r="Z158" s="136" t="n"/>
      <c r="AA158" s="136">
        <f>+L158</f>
        <v/>
      </c>
      <c r="AB158" s="136" t="inlineStr">
        <is>
          <t>09-XL-307HG/PYCNT/MB-BĐD-2</t>
        </is>
      </c>
      <c r="AC158" s="136">
        <f>"09-XL-307HG/PYCNT/MB-BĐD-"&amp;AW158</f>
        <v/>
      </c>
      <c r="AD158" s="136" t="n"/>
      <c r="AE158" s="136" t="n"/>
      <c r="AF158" s="136" t="n"/>
      <c r="AG158" s="136" t="n"/>
      <c r="AH158" s="136" t="n"/>
      <c r="AI158" s="132" t="n"/>
      <c r="AJ158" s="136" t="n"/>
      <c r="AK158" s="133" t="n"/>
      <c r="AL158" s="136" t="n"/>
      <c r="AM158" s="136" t="n"/>
      <c r="AN158" s="136" t="n"/>
      <c r="AO158" s="136" t="n"/>
      <c r="AP158" s="138" t="n"/>
      <c r="AQ158" s="138" t="n"/>
      <c r="AR158" s="136" t="inlineStr">
        <is>
          <t>Nhóm 1</t>
        </is>
      </c>
      <c r="AS158" s="136" t="n"/>
      <c r="AT158" s="136" t="inlineStr">
        <is>
          <t>HM03</t>
        </is>
      </c>
      <c r="AU158" s="136" t="inlineStr">
        <is>
          <t>NTCV</t>
        </is>
      </c>
      <c r="AV158" s="136" t="n">
        <v>41</v>
      </c>
      <c r="AW158" s="136" t="n">
        <v>6</v>
      </c>
      <c r="AX158" s="136" t="n"/>
    </row>
    <row r="159" ht="28" customFormat="1" customHeight="1" s="107">
      <c r="A159" s="105" t="inlineStr">
        <is>
          <t>BBK520</t>
        </is>
      </c>
      <c r="B159" s="105" t="inlineStr">
        <is>
          <t>BBK520</t>
        </is>
      </c>
      <c r="C159" s="105" t="inlineStr">
        <is>
          <t>BBK520.0272946</t>
        </is>
      </c>
      <c r="D159" s="106" t="n"/>
      <c r="E159" s="106" t="inlineStr">
        <is>
          <t>NDKT.0012</t>
        </is>
      </c>
      <c r="F159" s="106" t="n"/>
      <c r="G159" s="106" t="n"/>
      <c r="H159" s="106" t="n"/>
      <c r="J159" s="124" t="inlineStr">
        <is>
          <t>21</t>
        </is>
      </c>
      <c r="K159" s="124" t="inlineStr">
        <is>
          <t>BBK520</t>
        </is>
      </c>
      <c r="L159" s="125">
        <f>+L158</f>
        <v/>
      </c>
      <c r="M159" s="125" t="n"/>
      <c r="N159" s="125" t="n"/>
      <c r="O159" s="126" t="inlineStr">
        <is>
          <t>Bãi đúc dầm Cầu Km19+529.080</t>
        </is>
      </c>
      <c r="P159" s="127" t="n"/>
      <c r="Q159" s="127" t="n"/>
      <c r="R159" s="127" t="n"/>
      <c r="S159" s="127">
        <f>+S158</f>
        <v/>
      </c>
      <c r="T159" s="128" t="n"/>
      <c r="U159" s="128" t="n"/>
      <c r="V159" s="128" t="n"/>
      <c r="W159" s="129" t="n"/>
      <c r="X159" s="129" t="n"/>
      <c r="Y159" s="129" t="n"/>
      <c r="Z159" s="129" t="n"/>
      <c r="AA159" s="129" t="n"/>
      <c r="AB159" s="129" t="n"/>
      <c r="AC159" s="129">
        <f>+AC158</f>
        <v/>
      </c>
      <c r="AD159" s="129" t="n"/>
      <c r="AE159" s="129" t="n"/>
      <c r="AF159" s="129" t="n"/>
      <c r="AG159" s="129" t="n"/>
      <c r="AH159" s="129" t="n"/>
      <c r="AI159" s="125" t="n"/>
      <c r="AJ159" s="129" t="n"/>
      <c r="AK159" s="126" t="n"/>
      <c r="AL159" s="129" t="n"/>
      <c r="AM159" s="129" t="n"/>
      <c r="AN159" s="129" t="n"/>
      <c r="AO159" s="129" t="n"/>
      <c r="AP159" s="130" t="n"/>
      <c r="AQ159" s="130" t="inlineStr">
        <is>
          <t>Ảnh\ván khuôn bệ đúc dầm.png</t>
        </is>
      </c>
      <c r="AR159" s="129" t="inlineStr">
        <is>
          <t>Nhóm 1</t>
        </is>
      </c>
      <c r="AS159" s="129" t="n"/>
      <c r="AT159" s="129" t="inlineStr">
        <is>
          <t>HM03</t>
        </is>
      </c>
      <c r="AU159" s="129" t="inlineStr">
        <is>
          <t>BBK520</t>
        </is>
      </c>
      <c r="AV159" s="129" t="n">
        <v>8</v>
      </c>
      <c r="AW159" s="129" t="n">
        <v>8</v>
      </c>
      <c r="AX159" s="129" t="n"/>
    </row>
    <row r="160" ht="28" customFormat="1" customHeight="1" s="107">
      <c r="A160" s="105" t="inlineStr">
        <is>
          <t>NTCV</t>
        </is>
      </c>
      <c r="B160" s="105" t="inlineStr">
        <is>
          <t>K.9999</t>
        </is>
      </c>
      <c r="C160" s="105" t="inlineStr">
        <is>
          <t>NTCV.0872546</t>
        </is>
      </c>
      <c r="D160" s="106" t="n"/>
      <c r="E160" s="106" t="n"/>
      <c r="F160" s="106" t="n"/>
      <c r="G160" s="106" t="n"/>
      <c r="H160" s="106" t="n"/>
      <c r="J160" s="147" t="inlineStr">
        <is>
          <t>22</t>
        </is>
      </c>
      <c r="K160" s="147" t="inlineStr">
        <is>
          <t>K.9999</t>
        </is>
      </c>
      <c r="L160" s="148" t="inlineStr">
        <is>
          <t>Đổ bê tông bệ đúc dầm</t>
        </is>
      </c>
      <c r="M160" s="148" t="n"/>
      <c r="N160" s="148" t="n"/>
      <c r="O160" s="149" t="inlineStr">
        <is>
          <t>Bãi đúc dầm Cầu Km19+529.080</t>
        </is>
      </c>
      <c r="P160" s="152">
        <f>+S158</f>
        <v/>
      </c>
      <c r="Q160" s="152">
        <f>+P160</f>
        <v/>
      </c>
      <c r="R160" s="152">
        <f>+Q160-1</f>
        <v/>
      </c>
      <c r="S160" s="152">
        <f>+Q160</f>
        <v/>
      </c>
      <c r="T160" s="135">
        <f>+U158+TIME(1,20,)</f>
        <v/>
      </c>
      <c r="U160" s="160">
        <f>+T160+V160</f>
        <v/>
      </c>
      <c r="V160" s="160" t="n">
        <v>0.03125</v>
      </c>
      <c r="W160" s="136">
        <f>TEXT(T160,"HH""h""MM'")&amp;"÷"&amp;TEXT(U160,"HH""h""MM'")</f>
        <v/>
      </c>
      <c r="X160" s="150" t="n"/>
      <c r="Y160" s="150" t="n"/>
      <c r="Z160" s="150" t="n"/>
      <c r="AA160" s="136">
        <f>+L160</f>
        <v/>
      </c>
      <c r="AB160" s="136" t="inlineStr">
        <is>
          <t>09-XL-307HG/PYCNT/MB-BĐD-2</t>
        </is>
      </c>
      <c r="AC160" s="136">
        <f>"09-XL-307HG/PYCNT/MB-BĐD-"&amp;AW160</f>
        <v/>
      </c>
      <c r="AD160" s="150" t="n"/>
      <c r="AE160" s="150" t="n"/>
      <c r="AF160" s="150" t="n"/>
      <c r="AG160" s="150" t="n"/>
      <c r="AH160" s="150" t="n"/>
      <c r="AI160" s="148" t="n"/>
      <c r="AJ160" s="150" t="n"/>
      <c r="AK160" s="149" t="n"/>
      <c r="AL160" s="150" t="n"/>
      <c r="AM160" s="150" t="n"/>
      <c r="AN160" s="150" t="n"/>
      <c r="AO160" s="150" t="n"/>
      <c r="AP160" s="151" t="n"/>
      <c r="AQ160" s="151" t="n"/>
      <c r="AR160" s="150" t="inlineStr">
        <is>
          <t>Nhóm 1</t>
        </is>
      </c>
      <c r="AS160" s="150" t="n"/>
      <c r="AT160" s="150" t="inlineStr">
        <is>
          <t>HM03</t>
        </is>
      </c>
      <c r="AU160" s="150" t="inlineStr">
        <is>
          <t>NTCV</t>
        </is>
      </c>
      <c r="AV160" s="150" t="n">
        <v>42</v>
      </c>
      <c r="AW160" s="150" t="n">
        <v>7</v>
      </c>
      <c r="AX160" s="150" t="n"/>
    </row>
    <row r="161" ht="28" customFormat="1" customHeight="1" s="107">
      <c r="A161" s="105" t="inlineStr">
        <is>
          <t>BBK520</t>
        </is>
      </c>
      <c r="B161" s="105" t="inlineStr">
        <is>
          <t>BBK520</t>
        </is>
      </c>
      <c r="C161" s="105" t="inlineStr">
        <is>
          <t>BBK520.0750687</t>
        </is>
      </c>
      <c r="D161" s="106" t="n"/>
      <c r="E161" s="106" t="inlineStr">
        <is>
          <t>NDKT.0011</t>
        </is>
      </c>
      <c r="F161" s="106" t="n"/>
      <c r="G161" s="106" t="n"/>
      <c r="H161" s="106" t="n"/>
      <c r="J161" s="124" t="inlineStr">
        <is>
          <t>23</t>
        </is>
      </c>
      <c r="K161" s="124" t="inlineStr">
        <is>
          <t>BBK520</t>
        </is>
      </c>
      <c r="L161" s="125">
        <f>+L160</f>
        <v/>
      </c>
      <c r="M161" s="125" t="n"/>
      <c r="N161" s="125" t="n"/>
      <c r="O161" s="126" t="inlineStr">
        <is>
          <t>Bãi đúc dầm Cầu Km19+529.080</t>
        </is>
      </c>
      <c r="P161" s="127" t="n"/>
      <c r="Q161" s="127" t="n"/>
      <c r="R161" s="127" t="n"/>
      <c r="S161" s="127">
        <f>+S160</f>
        <v/>
      </c>
      <c r="T161" s="128" t="n"/>
      <c r="U161" s="128" t="n"/>
      <c r="V161" s="128" t="n"/>
      <c r="W161" s="129" t="n"/>
      <c r="X161" s="129" t="n"/>
      <c r="Y161" s="129" t="n"/>
      <c r="Z161" s="129" t="n"/>
      <c r="AA161" s="129" t="n"/>
      <c r="AB161" s="129" t="n"/>
      <c r="AC161" s="129">
        <f>+AC160</f>
        <v/>
      </c>
      <c r="AD161" s="129" t="n"/>
      <c r="AE161" s="129" t="n"/>
      <c r="AF161" s="129" t="n"/>
      <c r="AG161" s="129" t="n"/>
      <c r="AH161" s="129" t="n"/>
      <c r="AI161" s="125" t="n"/>
      <c r="AJ161" s="129" t="n"/>
      <c r="AK161" s="126" t="n"/>
      <c r="AL161" s="129" t="n"/>
      <c r="AM161" s="129" t="n"/>
      <c r="AN161" s="129" t="n"/>
      <c r="AO161" s="129" t="n"/>
      <c r="AP161" s="130" t="n"/>
      <c r="AQ161" s="130" t="inlineStr">
        <is>
          <t>Ảnh\bê tông bệ đúc dầm.png</t>
        </is>
      </c>
      <c r="AR161" s="129" t="inlineStr">
        <is>
          <t>Nhóm 1</t>
        </is>
      </c>
      <c r="AS161" s="129" t="n"/>
      <c r="AT161" s="129" t="inlineStr">
        <is>
          <t>HM03</t>
        </is>
      </c>
      <c r="AU161" s="129" t="inlineStr">
        <is>
          <t>BBK520</t>
        </is>
      </c>
      <c r="AV161" s="129" t="n">
        <v>9</v>
      </c>
      <c r="AW161" s="129" t="n">
        <v>9</v>
      </c>
      <c r="AX161" s="129" t="n"/>
    </row>
    <row r="162" ht="28" customFormat="1" customHeight="1" s="107">
      <c r="A162" s="105" t="inlineStr">
        <is>
          <t>LMHT</t>
        </is>
      </c>
      <c r="B162" s="105" t="inlineStr">
        <is>
          <t>LMHT</t>
        </is>
      </c>
      <c r="C162" s="105" t="inlineStr">
        <is>
          <t>LMHT.0272942</t>
        </is>
      </c>
      <c r="D162" s="106" t="inlineStr">
        <is>
          <t>TC.000041|TC.000182|TC.000169.A</t>
        </is>
      </c>
      <c r="E162" s="106" t="n"/>
      <c r="F162" s="106" t="inlineStr">
        <is>
          <t>CP.0001^Bê tông bệ đúc dầm 25Mpa^Hình trụ (15x30) cm^12 mẫu^25Mpa^^^TC.000041|TC.000182|TC.000169.A</t>
        </is>
      </c>
      <c r="G162" s="106" t="n"/>
      <c r="H162" s="106" t="n"/>
      <c r="J162" s="182" t="inlineStr">
        <is>
          <t>24</t>
        </is>
      </c>
      <c r="K162" s="182" t="inlineStr">
        <is>
          <t>LMHT</t>
        </is>
      </c>
      <c r="L162" s="183" t="inlineStr">
        <is>
          <t>Bê tông bệ đúc dầm 25 Mpa</t>
        </is>
      </c>
      <c r="M162" s="183" t="n"/>
      <c r="N162" s="183" t="n"/>
      <c r="O162" s="184" t="inlineStr">
        <is>
          <t>Bãi đúc dầm Cầu Km19+529.080</t>
        </is>
      </c>
      <c r="P162" s="185" t="n"/>
      <c r="Q162" s="185" t="n"/>
      <c r="R162" s="185">
        <f>+S162-1</f>
        <v/>
      </c>
      <c r="S162" s="185">
        <f>+S161</f>
        <v/>
      </c>
      <c r="T162" s="186">
        <f>+T158</f>
        <v/>
      </c>
      <c r="U162" s="186">
        <f>+U158</f>
        <v/>
      </c>
      <c r="V162" s="186">
        <f>+V158</f>
        <v/>
      </c>
      <c r="W162" s="187" t="n"/>
      <c r="X162" s="187" t="n"/>
      <c r="Y162" s="187" t="n"/>
      <c r="Z162" s="187" t="n"/>
      <c r="AA162" s="187" t="n"/>
      <c r="AB162" s="187" t="n"/>
      <c r="AC162" s="187" t="n"/>
      <c r="AD162" s="187" t="n"/>
      <c r="AE162" s="187" t="n"/>
      <c r="AF162" s="187" t="n"/>
      <c r="AG162" s="113" t="n"/>
      <c r="AH162" s="113" t="n"/>
      <c r="AI162" s="183" t="n"/>
      <c r="AJ162" s="187" t="n"/>
      <c r="AK162" s="184" t="n"/>
      <c r="AL162" s="187" t="n"/>
      <c r="AM162" s="187" t="n"/>
      <c r="AN162" s="187" t="n"/>
      <c r="AO162" s="187" t="n"/>
      <c r="AP162" s="188" t="n"/>
      <c r="AQ162" s="188" t="n"/>
      <c r="AR162" s="187" t="inlineStr">
        <is>
          <t>Nhóm 1</t>
        </is>
      </c>
      <c r="AS162" s="187" t="n"/>
      <c r="AT162" s="187" t="inlineStr">
        <is>
          <t>HM03</t>
        </is>
      </c>
      <c r="AU162" s="187" t="inlineStr">
        <is>
          <t>LMHT</t>
        </is>
      </c>
      <c r="AV162" s="187" t="n">
        <v>2</v>
      </c>
      <c r="AW162" s="187" t="n">
        <v>2</v>
      </c>
      <c r="AX162" s="187" t="n"/>
    </row>
    <row r="163" customFormat="1" s="107">
      <c r="A163" s="105" t="inlineStr">
        <is>
          <t>BBK680</t>
        </is>
      </c>
      <c r="B163" s="105" t="inlineStr">
        <is>
          <t>PYC</t>
        </is>
      </c>
      <c r="C163" s="105" t="inlineStr">
        <is>
          <t>BBK680.0673646</t>
        </is>
      </c>
      <c r="D163" s="106" t="n"/>
      <c r="E163" s="106" t="n"/>
      <c r="F163" s="106" t="n"/>
      <c r="G163" s="106" t="n"/>
      <c r="H163" s="106" t="n"/>
      <c r="J163" s="108" t="inlineStr">
        <is>
          <t>25</t>
        </is>
      </c>
      <c r="K163" s="108" t="inlineStr">
        <is>
          <t>PYC</t>
        </is>
      </c>
      <c r="L163" s="109" t="inlineStr">
        <is>
          <t>phiếu yêu cầu</t>
        </is>
      </c>
      <c r="M163" s="109" t="n"/>
      <c r="N163" s="109" t="n"/>
      <c r="O163" s="110" t="n"/>
      <c r="P163" s="111" t="n"/>
      <c r="Q163" s="111" t="n"/>
      <c r="R163" s="111">
        <f>+R164</f>
        <v/>
      </c>
      <c r="S163" s="111">
        <f>+S164</f>
        <v/>
      </c>
      <c r="T163" s="112" t="n"/>
      <c r="U163" s="112" t="n"/>
      <c r="V163" s="112" t="n"/>
      <c r="W163" s="113" t="n"/>
      <c r="X163" s="113" t="n"/>
      <c r="Y163" s="113" t="n"/>
      <c r="Z163" s="113" t="n"/>
      <c r="AA163" s="113" t="n"/>
      <c r="AB163" s="113" t="inlineStr">
        <is>
          <t>09-XL-307HG/PYCNT/MB-BĐD</t>
        </is>
      </c>
      <c r="AC163" s="113" t="n"/>
      <c r="AD163" s="113" t="n"/>
      <c r="AE163" s="113" t="n"/>
      <c r="AF163" s="113" t="n"/>
      <c r="AG163" s="113" t="inlineStr">
        <is>
          <t>NTCV</t>
        </is>
      </c>
      <c r="AH163" s="113" t="n">
        <v>21</v>
      </c>
      <c r="AI163" s="109" t="n"/>
      <c r="AJ163" s="113" t="n"/>
      <c r="AK163" s="110" t="n"/>
      <c r="AL163" s="113" t="n"/>
      <c r="AM163" s="113" t="n"/>
      <c r="AN163" s="113" t="n"/>
      <c r="AO163" s="113" t="n"/>
      <c r="AP163" s="115" t="n"/>
      <c r="AQ163" s="115" t="n"/>
      <c r="AR163" s="113" t="inlineStr">
        <is>
          <t>Nhóm 1</t>
        </is>
      </c>
      <c r="AS163" s="113" t="n"/>
      <c r="AT163" s="113" t="inlineStr">
        <is>
          <t>HM03</t>
        </is>
      </c>
      <c r="AU163" s="113" t="inlineStr">
        <is>
          <t>PYC</t>
        </is>
      </c>
      <c r="AV163" s="113" t="n">
        <v>21</v>
      </c>
      <c r="AW163" s="113" t="n">
        <v>10</v>
      </c>
      <c r="AX163" s="113" t="n"/>
    </row>
    <row r="164" ht="28" customFormat="1" customHeight="1" s="107">
      <c r="A164" s="105" t="inlineStr">
        <is>
          <t>NTCV</t>
        </is>
      </c>
      <c r="B164" s="105" t="inlineStr">
        <is>
          <t>K.9999</t>
        </is>
      </c>
      <c r="C164" s="105" t="inlineStr">
        <is>
          <t>NTCV.0256628</t>
        </is>
      </c>
      <c r="D164" s="106" t="n"/>
      <c r="E164" s="106" t="n"/>
      <c r="F164" s="106" t="n"/>
      <c r="G164" s="106" t="n"/>
      <c r="H164" s="106" t="n"/>
      <c r="J164" s="131" t="inlineStr">
        <is>
          <t>26</t>
        </is>
      </c>
      <c r="K164" s="131" t="inlineStr">
        <is>
          <t>K.9999</t>
        </is>
      </c>
      <c r="L164" s="132">
        <f>+L162</f>
        <v/>
      </c>
      <c r="M164" s="132" t="n"/>
      <c r="N164" s="132" t="n"/>
      <c r="O164" s="133" t="inlineStr">
        <is>
          <t>Bãi đúc dầm Cầu Km19+529.080</t>
        </is>
      </c>
      <c r="P164" s="134" t="n"/>
      <c r="Q164" s="134" t="n"/>
      <c r="R164" s="134">
        <f>+S164-1</f>
        <v/>
      </c>
      <c r="S164" s="134">
        <f>+S162+28</f>
        <v/>
      </c>
      <c r="T164" s="135" t="n">
        <v>0.3333333333333333</v>
      </c>
      <c r="U164" s="135">
        <f>+T164+V164</f>
        <v/>
      </c>
      <c r="V164" s="135" t="n">
        <v>0.02083333333333333</v>
      </c>
      <c r="W164" s="136">
        <f>TEXT(T164,"HH""h""MM'")&amp;"÷"&amp;TEXT(U164,"HH""h""MM'")</f>
        <v/>
      </c>
      <c r="X164" s="136" t="n"/>
      <c r="Y164" s="136" t="n"/>
      <c r="Z164" s="136" t="n"/>
      <c r="AA164" s="136">
        <f>+L164</f>
        <v/>
      </c>
      <c r="AB164" s="136" t="inlineStr">
        <is>
          <t>09-XL-307HG/PYCNT/MB-BĐD-21</t>
        </is>
      </c>
      <c r="AC164" s="136">
        <f>"09-XL-307HG/PYCNT/MB-BĐD-"&amp;AW164</f>
        <v/>
      </c>
      <c r="AD164" s="136" t="n"/>
      <c r="AE164" s="136" t="n"/>
      <c r="AF164" s="136" t="n"/>
      <c r="AG164" s="136" t="n"/>
      <c r="AH164" s="136" t="n"/>
      <c r="AI164" s="132" t="n"/>
      <c r="AJ164" s="136" t="n"/>
      <c r="AK164" s="133" t="n"/>
      <c r="AL164" s="136" t="n"/>
      <c r="AM164" s="136" t="n"/>
      <c r="AN164" s="136" t="n"/>
      <c r="AO164" s="136" t="n"/>
      <c r="AP164" s="138" t="n"/>
      <c r="AQ164" s="138" t="n"/>
      <c r="AR164" s="136" t="inlineStr">
        <is>
          <t>Nhóm 1</t>
        </is>
      </c>
      <c r="AS164" s="136" t="n"/>
      <c r="AT164" s="136" t="inlineStr">
        <is>
          <t>HM03</t>
        </is>
      </c>
      <c r="AU164" s="136" t="inlineStr">
        <is>
          <t>NTCV</t>
        </is>
      </c>
      <c r="AV164" s="136" t="n">
        <v>56</v>
      </c>
      <c r="AW164" s="136" t="n">
        <v>21</v>
      </c>
      <c r="AX164" s="136" t="n"/>
    </row>
    <row r="165" customFormat="1" s="107">
      <c r="A165" s="105" t="inlineStr">
        <is>
          <t>BBK680</t>
        </is>
      </c>
      <c r="B165" s="105" t="inlineStr">
        <is>
          <t>PYC</t>
        </is>
      </c>
      <c r="C165" s="105" t="inlineStr">
        <is>
          <t>BBK680.0089896</t>
        </is>
      </c>
      <c r="D165" s="106" t="n"/>
      <c r="E165" s="106" t="n"/>
      <c r="F165" s="106" t="n"/>
      <c r="G165" s="106" t="n"/>
      <c r="H165" s="106" t="n"/>
      <c r="J165" s="108" t="inlineStr">
        <is>
          <t>27</t>
        </is>
      </c>
      <c r="K165" s="108" t="inlineStr">
        <is>
          <t>PYC</t>
        </is>
      </c>
      <c r="L165" s="109" t="inlineStr">
        <is>
          <t>phiếu yêu cầu</t>
        </is>
      </c>
      <c r="M165" s="109" t="n"/>
      <c r="N165" s="109" t="n"/>
      <c r="O165" s="110" t="n"/>
      <c r="P165" s="111" t="n"/>
      <c r="Q165" s="111" t="n"/>
      <c r="R165" s="111">
        <f>+R166</f>
        <v/>
      </c>
      <c r="S165" s="111">
        <f>+S166</f>
        <v/>
      </c>
      <c r="T165" s="112" t="n"/>
      <c r="U165" s="112" t="n"/>
      <c r="V165" s="112" t="n"/>
      <c r="W165" s="113" t="n"/>
      <c r="X165" s="113" t="n"/>
      <c r="Y165" s="113" t="n"/>
      <c r="Z165" s="113" t="n"/>
      <c r="AA165" s="113" t="n"/>
      <c r="AB165" s="113" t="inlineStr">
        <is>
          <t>09-XL-307HG/PYCNT/MB-BĐD</t>
        </is>
      </c>
      <c r="AC165" s="113" t="n"/>
      <c r="AD165" s="113" t="n"/>
      <c r="AE165" s="113" t="n"/>
      <c r="AF165" s="113" t="n"/>
      <c r="AG165" s="113" t="inlineStr">
        <is>
          <t>NTCV</t>
        </is>
      </c>
      <c r="AH165" s="113" t="inlineStr">
        <is>
          <t>&gt;=8;&lt;=9</t>
        </is>
      </c>
      <c r="AI165" s="109" t="n"/>
      <c r="AJ165" s="113" t="n"/>
      <c r="AK165" s="110" t="n"/>
      <c r="AL165" s="113" t="n"/>
      <c r="AM165" s="113" t="n"/>
      <c r="AN165" s="113" t="n"/>
      <c r="AO165" s="113" t="n"/>
      <c r="AP165" s="115" t="n"/>
      <c r="AQ165" s="115" t="n"/>
      <c r="AR165" s="113" t="inlineStr">
        <is>
          <t>Nhóm 1</t>
        </is>
      </c>
      <c r="AS165" s="113" t="n"/>
      <c r="AT165" s="113" t="inlineStr">
        <is>
          <t>HM03</t>
        </is>
      </c>
      <c r="AU165" s="113" t="inlineStr">
        <is>
          <t>PYC</t>
        </is>
      </c>
      <c r="AV165" s="113" t="n">
        <v>14</v>
      </c>
      <c r="AW165" s="113" t="n">
        <v>3</v>
      </c>
      <c r="AX165" s="113" t="n"/>
    </row>
    <row r="166" ht="28" customFormat="1" customHeight="1" s="107">
      <c r="A166" s="105" t="inlineStr">
        <is>
          <t>NTCV</t>
        </is>
      </c>
      <c r="B166" s="105" t="inlineStr">
        <is>
          <t>K.9999</t>
        </is>
      </c>
      <c r="C166" s="105" t="inlineStr">
        <is>
          <t>NTCV.0030950</t>
        </is>
      </c>
      <c r="D166" s="106" t="n"/>
      <c r="E166" s="106" t="n"/>
      <c r="F166" s="106" t="n"/>
      <c r="G166" s="106" t="n"/>
      <c r="H166" s="106" t="n"/>
      <c r="J166" s="131" t="inlineStr">
        <is>
          <t>28</t>
        </is>
      </c>
      <c r="K166" s="131" t="inlineStr">
        <is>
          <t>K.9999</t>
        </is>
      </c>
      <c r="L166" s="132" t="inlineStr">
        <is>
          <t>Chèn vữa xi măng tại khe và chi tiết liên kết</t>
        </is>
      </c>
      <c r="M166" s="132" t="n"/>
      <c r="N166" s="132" t="n"/>
      <c r="O166" s="133" t="inlineStr">
        <is>
          <t>Bãi đúc dầm Cầu Km19+529.080</t>
        </is>
      </c>
      <c r="P166" s="134">
        <f>+S162</f>
        <v/>
      </c>
      <c r="Q166" s="134">
        <f>+P166+2</f>
        <v/>
      </c>
      <c r="R166" s="134">
        <f>+Q166-1</f>
        <v/>
      </c>
      <c r="S166" s="134">
        <f>+Q166</f>
        <v/>
      </c>
      <c r="T166" s="135" t="n">
        <v>0.3541666666666667</v>
      </c>
      <c r="U166" s="135">
        <f>+T166+V166</f>
        <v/>
      </c>
      <c r="V166" s="135" t="n">
        <v>0.02083333333333333</v>
      </c>
      <c r="W166" s="136">
        <f>TEXT(T166,"HH""h""MM'")&amp;"÷"&amp;TEXT(U166,"HH""h""MM'")</f>
        <v/>
      </c>
      <c r="X166" s="136" t="n"/>
      <c r="Y166" s="136" t="n"/>
      <c r="Z166" s="136" t="n"/>
      <c r="AA166" s="136">
        <f>+L166</f>
        <v/>
      </c>
      <c r="AB166" s="136" t="inlineStr">
        <is>
          <t>09-XL-307HG/PYCNT/MB-BĐD-3</t>
        </is>
      </c>
      <c r="AC166" s="136">
        <f>"09-XL-307HG/PYCNT/MB-BĐD-"&amp;AW166</f>
        <v/>
      </c>
      <c r="AD166" s="136" t="n"/>
      <c r="AE166" s="136" t="n"/>
      <c r="AF166" s="136" t="n"/>
      <c r="AG166" s="136" t="n"/>
      <c r="AH166" s="136" t="n"/>
      <c r="AI166" s="132" t="n"/>
      <c r="AJ166" s="136" t="n"/>
      <c r="AK166" s="133" t="n"/>
      <c r="AL166" s="136" t="n"/>
      <c r="AM166" s="136" t="n"/>
      <c r="AN166" s="136" t="n"/>
      <c r="AO166" s="136" t="n"/>
      <c r="AP166" s="138" t="n"/>
      <c r="AQ166" s="138" t="n"/>
      <c r="AR166" s="136" t="inlineStr">
        <is>
          <t>Nhóm 1</t>
        </is>
      </c>
      <c r="AS166" s="136" t="n"/>
      <c r="AT166" s="136" t="inlineStr">
        <is>
          <t>HM03</t>
        </is>
      </c>
      <c r="AU166" s="136" t="inlineStr">
        <is>
          <t>NTCV</t>
        </is>
      </c>
      <c r="AV166" s="136" t="n">
        <v>43</v>
      </c>
      <c r="AW166" s="136" t="n">
        <v>8</v>
      </c>
      <c r="AX166" s="136" t="n"/>
    </row>
    <row r="167" ht="28" customFormat="1" customHeight="1" s="107">
      <c r="A167" s="105" t="inlineStr">
        <is>
          <t>BBK520</t>
        </is>
      </c>
      <c r="B167" s="105" t="inlineStr">
        <is>
          <t>BBK520</t>
        </is>
      </c>
      <c r="C167" s="105" t="inlineStr">
        <is>
          <t>BBK520.0322717</t>
        </is>
      </c>
      <c r="D167" s="106" t="n"/>
      <c r="E167" s="106" t="inlineStr">
        <is>
          <t>IlIlllllIIllIllIIIIl.7722</t>
        </is>
      </c>
      <c r="F167" s="106" t="n"/>
      <c r="G167" s="106" t="n"/>
      <c r="H167" s="106" t="n"/>
      <c r="J167" s="108" t="inlineStr">
        <is>
          <t>29</t>
        </is>
      </c>
      <c r="K167" s="108" t="inlineStr">
        <is>
          <t>BBK520</t>
        </is>
      </c>
      <c r="L167" s="109">
        <f>+L166</f>
        <v/>
      </c>
      <c r="M167" s="109" t="n"/>
      <c r="N167" s="109" t="n"/>
      <c r="O167" s="110" t="inlineStr">
        <is>
          <t>Bãi đúc dầm Cầu Km19+529.080</t>
        </is>
      </c>
      <c r="P167" s="111" t="n"/>
      <c r="Q167" s="111" t="n"/>
      <c r="R167" s="111" t="n"/>
      <c r="S167" s="111">
        <f>+S166</f>
        <v/>
      </c>
      <c r="T167" s="112" t="n"/>
      <c r="U167" s="112" t="n"/>
      <c r="V167" s="112" t="n"/>
      <c r="W167" s="113" t="n"/>
      <c r="X167" s="113" t="n"/>
      <c r="Y167" s="113" t="n"/>
      <c r="Z167" s="113" t="n"/>
      <c r="AA167" s="113" t="n"/>
      <c r="AB167" s="113" t="n"/>
      <c r="AC167" s="113">
        <f>+AC166</f>
        <v/>
      </c>
      <c r="AD167" s="113" t="n"/>
      <c r="AE167" s="113" t="n"/>
      <c r="AF167" s="113" t="n"/>
      <c r="AG167" s="113" t="n"/>
      <c r="AH167" s="113" t="n"/>
      <c r="AI167" s="109" t="n"/>
      <c r="AJ167" s="113" t="n"/>
      <c r="AK167" s="110" t="n"/>
      <c r="AL167" s="113" t="n"/>
      <c r="AM167" s="113" t="n"/>
      <c r="AN167" s="113" t="n"/>
      <c r="AO167" s="113" t="n"/>
      <c r="AP167" s="115" t="n"/>
      <c r="AQ167" s="115" t="inlineStr">
        <is>
          <t>Ảnh\bê tông bệ đúc dầm.png</t>
        </is>
      </c>
      <c r="AR167" s="113" t="inlineStr">
        <is>
          <t>Nhóm 1</t>
        </is>
      </c>
      <c r="AS167" s="113" t="n"/>
      <c r="AT167" s="113" t="inlineStr">
        <is>
          <t>HM03</t>
        </is>
      </c>
      <c r="AU167" s="113" t="inlineStr">
        <is>
          <t>BBK520</t>
        </is>
      </c>
      <c r="AV167" s="113" t="n">
        <v>10</v>
      </c>
      <c r="AW167" s="113" t="n">
        <v>10</v>
      </c>
      <c r="AX167" s="113" t="n"/>
    </row>
    <row r="168" ht="28" customFormat="1" customHeight="1" s="107">
      <c r="A168" s="105" t="inlineStr">
        <is>
          <t>NTCV</t>
        </is>
      </c>
      <c r="B168" s="105" t="inlineStr">
        <is>
          <t>K.9999</t>
        </is>
      </c>
      <c r="C168" s="105" t="inlineStr">
        <is>
          <t>NTCV.0790128</t>
        </is>
      </c>
      <c r="D168" s="106" t="n"/>
      <c r="E168" s="106" t="n"/>
      <c r="F168" s="106" t="n"/>
      <c r="G168" s="106" t="n"/>
      <c r="H168" s="106" t="n"/>
      <c r="J168" s="131" t="inlineStr">
        <is>
          <t>30</t>
        </is>
      </c>
      <c r="K168" s="131" t="inlineStr">
        <is>
          <t>K.9999</t>
        </is>
      </c>
      <c r="L168" s="132" t="inlineStr">
        <is>
          <t>Đổ bê tông bệ kê/ bãi chứa dầm</t>
        </is>
      </c>
      <c r="M168" s="132" t="n"/>
      <c r="N168" s="132" t="n"/>
      <c r="O168" s="133" t="inlineStr">
        <is>
          <t>Bãi chứa dầm Cầu Km19+529.080</t>
        </is>
      </c>
      <c r="P168" s="134">
        <f>+S166</f>
        <v/>
      </c>
      <c r="Q168" s="134">
        <f>+P168+1</f>
        <v/>
      </c>
      <c r="R168" s="134">
        <f>+Q168-1</f>
        <v/>
      </c>
      <c r="S168" s="134">
        <f>+Q168</f>
        <v/>
      </c>
      <c r="T168" s="135" t="n">
        <v>0.3541666666666667</v>
      </c>
      <c r="U168" s="135">
        <f>+T168+V168</f>
        <v/>
      </c>
      <c r="V168" s="135" t="n">
        <v>0.02083333333333333</v>
      </c>
      <c r="W168" s="136">
        <f>TEXT(T168,"HH""h""MM'")&amp;"÷"&amp;TEXT(U168,"HH""h""MM'")</f>
        <v/>
      </c>
      <c r="X168" s="136" t="n"/>
      <c r="Y168" s="136" t="n"/>
      <c r="Z168" s="136" t="n"/>
      <c r="AA168" s="136">
        <f>+L168</f>
        <v/>
      </c>
      <c r="AB168" s="136" t="inlineStr">
        <is>
          <t>09-XL-307HG/PYCNT/MB-BĐD-3</t>
        </is>
      </c>
      <c r="AC168" s="136">
        <f>"09-XL-307HG/PYCNT/MB-BĐD-"&amp;AW168</f>
        <v/>
      </c>
      <c r="AD168" s="136" t="n"/>
      <c r="AE168" s="136" t="n"/>
      <c r="AF168" s="136" t="n"/>
      <c r="AG168" s="136" t="n"/>
      <c r="AH168" s="136" t="n"/>
      <c r="AI168" s="132" t="n"/>
      <c r="AJ168" s="136" t="n"/>
      <c r="AK168" s="133" t="n"/>
      <c r="AL168" s="136" t="n"/>
      <c r="AM168" s="136" t="n"/>
      <c r="AN168" s="136" t="n"/>
      <c r="AO168" s="136" t="n"/>
      <c r="AP168" s="138" t="n"/>
      <c r="AQ168" s="138" t="n"/>
      <c r="AR168" s="136" t="inlineStr">
        <is>
          <t>Nhóm 1</t>
        </is>
      </c>
      <c r="AS168" s="136" t="n"/>
      <c r="AT168" s="136" t="inlineStr">
        <is>
          <t>HM03</t>
        </is>
      </c>
      <c r="AU168" s="136" t="inlineStr">
        <is>
          <t>NTCV</t>
        </is>
      </c>
      <c r="AV168" s="136" t="n">
        <v>44</v>
      </c>
      <c r="AW168" s="136" t="n">
        <v>9</v>
      </c>
      <c r="AX168" s="136" t="n"/>
    </row>
    <row r="169" ht="28" customFormat="1" customHeight="1" s="107">
      <c r="A169" s="105" t="inlineStr">
        <is>
          <t>BBK520</t>
        </is>
      </c>
      <c r="B169" s="105" t="inlineStr">
        <is>
          <t>BBK520</t>
        </is>
      </c>
      <c r="C169" s="105" t="inlineStr">
        <is>
          <t>BBK520.0297258</t>
        </is>
      </c>
      <c r="D169" s="106" t="n"/>
      <c r="E169" s="106" t="inlineStr">
        <is>
          <t>NDKT.0014</t>
        </is>
      </c>
      <c r="F169" s="106" t="n"/>
      <c r="G169" s="106" t="n"/>
      <c r="H169" s="106" t="n"/>
      <c r="J169" s="124" t="inlineStr">
        <is>
          <t>31</t>
        </is>
      </c>
      <c r="K169" s="124" t="inlineStr">
        <is>
          <t>BBK520</t>
        </is>
      </c>
      <c r="L169" s="125">
        <f>+L168</f>
        <v/>
      </c>
      <c r="M169" s="125" t="n"/>
      <c r="N169" s="125" t="n"/>
      <c r="O169" s="126" t="inlineStr">
        <is>
          <t>Bãi chứa dầm Cầu Km19+529.080</t>
        </is>
      </c>
      <c r="P169" s="127" t="n"/>
      <c r="Q169" s="127" t="n"/>
      <c r="R169" s="127" t="n"/>
      <c r="S169" s="127">
        <f>+S168</f>
        <v/>
      </c>
      <c r="T169" s="128" t="n"/>
      <c r="U169" s="128" t="n"/>
      <c r="V169" s="128" t="n"/>
      <c r="W169" s="129" t="n"/>
      <c r="X169" s="129" t="n"/>
      <c r="Y169" s="129" t="n"/>
      <c r="Z169" s="129" t="n"/>
      <c r="AA169" s="129" t="n"/>
      <c r="AB169" s="129" t="n"/>
      <c r="AC169" s="129">
        <f>+AC168</f>
        <v/>
      </c>
      <c r="AD169" s="129" t="n"/>
      <c r="AE169" s="129" t="n"/>
      <c r="AF169" s="129" t="n"/>
      <c r="AG169" s="129" t="n"/>
      <c r="AH169" s="129" t="n"/>
      <c r="AI169" s="125" t="n"/>
      <c r="AJ169" s="129" t="n"/>
      <c r="AK169" s="126" t="n"/>
      <c r="AL169" s="129" t="n"/>
      <c r="AM169" s="129" t="n"/>
      <c r="AN169" s="129" t="n"/>
      <c r="AO169" s="129" t="n"/>
      <c r="AP169" s="130" t="n"/>
      <c r="AQ169" s="130" t="inlineStr">
        <is>
          <t>Ảnh\bê tông bệ đúc dầm.png</t>
        </is>
      </c>
      <c r="AR169" s="129" t="inlineStr">
        <is>
          <t>Nhóm 1</t>
        </is>
      </c>
      <c r="AS169" s="129" t="n"/>
      <c r="AT169" s="129" t="inlineStr">
        <is>
          <t>HM03</t>
        </is>
      </c>
      <c r="AU169" s="129" t="inlineStr">
        <is>
          <t>BBK520</t>
        </is>
      </c>
      <c r="AV169" s="129" t="n">
        <v>11</v>
      </c>
      <c r="AW169" s="129" t="n">
        <v>11</v>
      </c>
      <c r="AX169" s="129" t="n"/>
    </row>
    <row r="170" ht="28" customFormat="1" customHeight="1" s="107">
      <c r="A170" s="105" t="inlineStr">
        <is>
          <t>LMHT</t>
        </is>
      </c>
      <c r="B170" s="105" t="inlineStr">
        <is>
          <t>LMHT</t>
        </is>
      </c>
      <c r="C170" s="105" t="inlineStr">
        <is>
          <t>LMHT.0235282</t>
        </is>
      </c>
      <c r="D170" s="106" t="inlineStr">
        <is>
          <t>TC.000041|TC.000182|TC.000169.A</t>
        </is>
      </c>
      <c r="E170" s="106" t="n"/>
      <c r="F170" s="106" t="inlineStr">
        <is>
          <t>CP.0001^Bê tông bệ kê/bãi chứa dầm 25Mpa^(15x15x15) cm^12 mẫu^25 Mpa^^^TC.000041|TC.000182|TC.000169.A</t>
        </is>
      </c>
      <c r="G170" s="106" t="n"/>
      <c r="H170" s="106" t="n"/>
      <c r="J170" s="182" t="inlineStr">
        <is>
          <t>32</t>
        </is>
      </c>
      <c r="K170" s="182" t="inlineStr">
        <is>
          <t>LMHT</t>
        </is>
      </c>
      <c r="L170" s="183" t="inlineStr">
        <is>
          <t>Bê tông bệ kê/bãi chứa dầm 25Mpa</t>
        </is>
      </c>
      <c r="M170" s="183" t="n"/>
      <c r="N170" s="183" t="n"/>
      <c r="O170" s="184" t="inlineStr">
        <is>
          <t>Bãi chứa dầm Cầu Km19+529.080</t>
        </is>
      </c>
      <c r="P170" s="185" t="n"/>
      <c r="Q170" s="185" t="n"/>
      <c r="R170" s="185" t="n"/>
      <c r="S170" s="185">
        <f>+S169</f>
        <v/>
      </c>
      <c r="T170" s="186" t="n">
        <v>0.3541666666666667</v>
      </c>
      <c r="U170" s="186">
        <f>+T170+V170</f>
        <v/>
      </c>
      <c r="V170" s="186" t="n">
        <v>0.02083333333333333</v>
      </c>
      <c r="W170" s="187">
        <f>TEXT(T170,"HH""h""MM'")&amp;"÷"&amp;TEXT(U170,"HH""h""MM'")</f>
        <v/>
      </c>
      <c r="X170" s="187" t="n"/>
      <c r="Y170" s="187" t="n"/>
      <c r="Z170" s="187" t="n"/>
      <c r="AA170" s="187" t="n"/>
      <c r="AB170" s="187" t="n"/>
      <c r="AC170" s="187" t="n"/>
      <c r="AD170" s="187" t="n"/>
      <c r="AE170" s="187" t="n"/>
      <c r="AF170" s="187" t="n"/>
      <c r="AG170" s="187" t="n"/>
      <c r="AH170" s="187" t="n"/>
      <c r="AI170" s="183" t="n"/>
      <c r="AJ170" s="187" t="n"/>
      <c r="AK170" s="184" t="n"/>
      <c r="AL170" s="187" t="n"/>
      <c r="AM170" s="187" t="n"/>
      <c r="AN170" s="187" t="n"/>
      <c r="AO170" s="187" t="n"/>
      <c r="AP170" s="188" t="n"/>
      <c r="AQ170" s="188" t="n"/>
      <c r="AR170" s="187" t="inlineStr">
        <is>
          <t>Nhóm 1</t>
        </is>
      </c>
      <c r="AS170" s="187" t="n"/>
      <c r="AT170" s="187" t="inlineStr">
        <is>
          <t>HM03</t>
        </is>
      </c>
      <c r="AU170" s="187" t="inlineStr">
        <is>
          <t>LMHT</t>
        </is>
      </c>
      <c r="AV170" s="187" t="n">
        <v>3</v>
      </c>
      <c r="AW170" s="187" t="n">
        <v>3</v>
      </c>
      <c r="AX170" s="187" t="n"/>
    </row>
    <row r="171" customFormat="1" s="107">
      <c r="A171" s="105" t="inlineStr">
        <is>
          <t>BBK680</t>
        </is>
      </c>
      <c r="B171" s="105" t="inlineStr">
        <is>
          <t>PYC</t>
        </is>
      </c>
      <c r="C171" s="105" t="inlineStr">
        <is>
          <t>BBK680.0480474</t>
        </is>
      </c>
      <c r="D171" s="106" t="n"/>
      <c r="E171" s="106" t="n"/>
      <c r="F171" s="106" t="n"/>
      <c r="G171" s="106" t="n"/>
      <c r="H171" s="106" t="n"/>
      <c r="J171" s="108" t="inlineStr">
        <is>
          <t>33</t>
        </is>
      </c>
      <c r="K171" s="108" t="inlineStr">
        <is>
          <t>PYC</t>
        </is>
      </c>
      <c r="L171" s="109" t="inlineStr">
        <is>
          <t>phiếu yêu cầu</t>
        </is>
      </c>
      <c r="M171" s="109" t="n"/>
      <c r="N171" s="109" t="n"/>
      <c r="O171" s="110" t="n"/>
      <c r="P171" s="111" t="n"/>
      <c r="Q171" s="111" t="n"/>
      <c r="R171" s="111">
        <f>+R172</f>
        <v/>
      </c>
      <c r="S171" s="111">
        <f>+S172</f>
        <v/>
      </c>
      <c r="T171" s="112" t="n"/>
      <c r="U171" s="112" t="n"/>
      <c r="V171" s="112" t="n"/>
      <c r="W171" s="113" t="n"/>
      <c r="X171" s="113" t="n"/>
      <c r="Y171" s="113" t="n"/>
      <c r="Z171" s="113" t="n"/>
      <c r="AA171" s="113" t="n"/>
      <c r="AB171" s="113" t="inlineStr">
        <is>
          <t>09-XL-307HG/PYCNT/MB-BĐD</t>
        </is>
      </c>
      <c r="AC171" s="113" t="n"/>
      <c r="AD171" s="113" t="n"/>
      <c r="AE171" s="113" t="n"/>
      <c r="AF171" s="113" t="n"/>
      <c r="AG171" s="113" t="inlineStr">
        <is>
          <t>NTCV</t>
        </is>
      </c>
      <c r="AH171" s="113" t="n">
        <v>22</v>
      </c>
      <c r="AI171" s="109" t="n"/>
      <c r="AJ171" s="113" t="n"/>
      <c r="AK171" s="110" t="n"/>
      <c r="AL171" s="113" t="n"/>
      <c r="AM171" s="113" t="n"/>
      <c r="AN171" s="113" t="n"/>
      <c r="AO171" s="113" t="n"/>
      <c r="AP171" s="115" t="n"/>
      <c r="AQ171" s="115" t="n"/>
      <c r="AR171" s="113" t="inlineStr">
        <is>
          <t>Nhóm 1</t>
        </is>
      </c>
      <c r="AS171" s="113" t="n"/>
      <c r="AT171" s="113" t="inlineStr">
        <is>
          <t>HM03</t>
        </is>
      </c>
      <c r="AU171" s="113" t="inlineStr">
        <is>
          <t>PYC</t>
        </is>
      </c>
      <c r="AV171" s="113" t="n">
        <v>22</v>
      </c>
      <c r="AW171" s="113" t="n">
        <v>11</v>
      </c>
      <c r="AX171" s="113" t="n"/>
    </row>
    <row r="172" ht="28" customFormat="1" customHeight="1" s="107">
      <c r="A172" s="105" t="inlineStr">
        <is>
          <t>NTCV</t>
        </is>
      </c>
      <c r="B172" s="105" t="inlineStr">
        <is>
          <t>K.9999</t>
        </is>
      </c>
      <c r="C172" s="105" t="inlineStr">
        <is>
          <t>NTCV.0254601</t>
        </is>
      </c>
      <c r="D172" s="106" t="n"/>
      <c r="E172" s="106" t="n"/>
      <c r="F172" s="106" t="n"/>
      <c r="G172" s="106" t="n"/>
      <c r="H172" s="106" t="n"/>
      <c r="J172" s="131" t="inlineStr">
        <is>
          <t>34</t>
        </is>
      </c>
      <c r="K172" s="131" t="inlineStr">
        <is>
          <t>K.9999</t>
        </is>
      </c>
      <c r="L172" s="132">
        <f>+L170</f>
        <v/>
      </c>
      <c r="M172" s="132" t="n"/>
      <c r="N172" s="132" t="n"/>
      <c r="O172" s="133" t="inlineStr">
        <is>
          <t>Bãi chứa dầm Cầu Km19+529.080</t>
        </is>
      </c>
      <c r="P172" s="134" t="n"/>
      <c r="Q172" s="134" t="n"/>
      <c r="R172" s="134">
        <f>+S172-1</f>
        <v/>
      </c>
      <c r="S172" s="134">
        <f>+S170+28</f>
        <v/>
      </c>
      <c r="T172" s="135" t="n">
        <v>0.3541666666666667</v>
      </c>
      <c r="U172" s="135">
        <f>+T172+V172</f>
        <v/>
      </c>
      <c r="V172" s="135" t="n">
        <v>0.02083333333333333</v>
      </c>
      <c r="W172" s="136">
        <f>TEXT(T172,"HH""h""MM'")&amp;"÷"&amp;TEXT(U172,"HH""h""MM'")</f>
        <v/>
      </c>
      <c r="X172" s="136" t="n"/>
      <c r="Y172" s="136" t="n"/>
      <c r="Z172" s="136" t="n"/>
      <c r="AA172" s="136">
        <f>+L172</f>
        <v/>
      </c>
      <c r="AB172" s="136" t="inlineStr">
        <is>
          <t>09-XL-307HG/PYCNT/MB-BĐD-11</t>
        </is>
      </c>
      <c r="AC172" s="136">
        <f>"09-XL-307HG/PYCNT/MB-BĐD-"&amp;AW172</f>
        <v/>
      </c>
      <c r="AD172" s="136" t="n"/>
      <c r="AE172" s="136" t="n"/>
      <c r="AF172" s="136" t="n"/>
      <c r="AG172" s="136" t="n"/>
      <c r="AH172" s="136" t="n"/>
      <c r="AI172" s="132" t="n"/>
      <c r="AJ172" s="136" t="n"/>
      <c r="AK172" s="133" t="n"/>
      <c r="AL172" s="136" t="n"/>
      <c r="AM172" s="136" t="n"/>
      <c r="AN172" s="136" t="n"/>
      <c r="AO172" s="136" t="n"/>
      <c r="AP172" s="138" t="n"/>
      <c r="AQ172" s="138" t="n"/>
      <c r="AR172" s="136" t="inlineStr">
        <is>
          <t>Nhóm 1</t>
        </is>
      </c>
      <c r="AS172" s="136" t="n"/>
      <c r="AT172" s="136" t="inlineStr">
        <is>
          <t>HM03</t>
        </is>
      </c>
      <c r="AU172" s="136" t="inlineStr">
        <is>
          <t>NTCV</t>
        </is>
      </c>
      <c r="AV172" s="136" t="n">
        <v>57</v>
      </c>
      <c r="AW172" s="136" t="n">
        <v>22</v>
      </c>
      <c r="AX172" s="136" t="n"/>
    </row>
    <row r="173" customFormat="1" s="107">
      <c r="A173" s="105" t="inlineStr">
        <is>
          <t>BBK680</t>
        </is>
      </c>
      <c r="B173" s="105" t="inlineStr">
        <is>
          <t>PYC</t>
        </is>
      </c>
      <c r="C173" s="105" t="inlineStr">
        <is>
          <t>BBK680.0340606</t>
        </is>
      </c>
      <c r="D173" s="106" t="n"/>
      <c r="E173" s="106" t="n"/>
      <c r="F173" s="106" t="n"/>
      <c r="G173" s="106" t="n"/>
      <c r="H173" s="106" t="n"/>
      <c r="J173" s="108" t="inlineStr">
        <is>
          <t>35</t>
        </is>
      </c>
      <c r="K173" s="108" t="inlineStr">
        <is>
          <t>PYC</t>
        </is>
      </c>
      <c r="L173" s="109" t="inlineStr">
        <is>
          <t>phiếu yêu cầu</t>
        </is>
      </c>
      <c r="M173" s="109" t="n"/>
      <c r="N173" s="109" t="n"/>
      <c r="O173" s="110" t="n"/>
      <c r="P173" s="111" t="n"/>
      <c r="Q173" s="111" t="n"/>
      <c r="R173" s="111">
        <f>+R174</f>
        <v/>
      </c>
      <c r="S173" s="111">
        <f>+S174</f>
        <v/>
      </c>
      <c r="T173" s="112" t="n"/>
      <c r="U173" s="112" t="n"/>
      <c r="V173" s="112" t="n"/>
      <c r="W173" s="113" t="n"/>
      <c r="X173" s="113" t="n"/>
      <c r="Y173" s="113" t="n"/>
      <c r="Z173" s="113" t="n"/>
      <c r="AA173" s="113" t="n"/>
      <c r="AB173" s="113" t="inlineStr">
        <is>
          <t>09-XL-307HG/PYCNT/MB-BĐD</t>
        </is>
      </c>
      <c r="AC173" s="113" t="n"/>
      <c r="AD173" s="113" t="n"/>
      <c r="AE173" s="113" t="n"/>
      <c r="AF173" s="113" t="n"/>
      <c r="AG173" s="113" t="inlineStr">
        <is>
          <t>NTCV</t>
        </is>
      </c>
      <c r="AH173" s="113" t="n">
        <v>10</v>
      </c>
      <c r="AI173" s="109" t="n"/>
      <c r="AJ173" s="113" t="n"/>
      <c r="AK173" s="110" t="n"/>
      <c r="AL173" s="113" t="n"/>
      <c r="AM173" s="113" t="n"/>
      <c r="AN173" s="113" t="n"/>
      <c r="AO173" s="113" t="n"/>
      <c r="AP173" s="115" t="n"/>
      <c r="AQ173" s="115" t="n"/>
      <c r="AR173" s="113" t="inlineStr">
        <is>
          <t>Nhóm 1</t>
        </is>
      </c>
      <c r="AS173" s="113" t="n"/>
      <c r="AT173" s="113" t="inlineStr">
        <is>
          <t>HM03</t>
        </is>
      </c>
      <c r="AU173" s="113" t="inlineStr">
        <is>
          <t>PYC</t>
        </is>
      </c>
      <c r="AV173" s="113" t="n">
        <v>15</v>
      </c>
      <c r="AW173" s="113" t="n">
        <v>4</v>
      </c>
      <c r="AX173" s="113" t="n"/>
    </row>
    <row r="174" ht="28" customFormat="1" customHeight="1" s="107">
      <c r="A174" s="105" t="inlineStr">
        <is>
          <t>NTCV</t>
        </is>
      </c>
      <c r="B174" s="105" t="inlineStr">
        <is>
          <t>K.9999</t>
        </is>
      </c>
      <c r="C174" s="105" t="inlineStr">
        <is>
          <t>NTCV.0044933</t>
        </is>
      </c>
      <c r="D174" s="106" t="n"/>
      <c r="E174" s="106" t="n"/>
      <c r="F174" s="106" t="n"/>
      <c r="G174" s="106" t="n"/>
      <c r="H174" s="106" t="n"/>
      <c r="J174" s="131" t="inlineStr">
        <is>
          <t>36</t>
        </is>
      </c>
      <c r="K174" s="131" t="inlineStr">
        <is>
          <t>K.9999</t>
        </is>
      </c>
      <c r="L174" s="132" t="inlineStr">
        <is>
          <t>Lắp dựng ván khuôn thép bệ kê</t>
        </is>
      </c>
      <c r="M174" s="132" t="n"/>
      <c r="N174" s="132" t="n"/>
      <c r="O174" s="133" t="inlineStr">
        <is>
          <t>Bãi chứa dầm Cầu Km19+529.080</t>
        </is>
      </c>
      <c r="P174" s="134">
        <f>+S170</f>
        <v/>
      </c>
      <c r="Q174" s="134">
        <f>+P174+3</f>
        <v/>
      </c>
      <c r="R174" s="134">
        <f>+Q174-1</f>
        <v/>
      </c>
      <c r="S174" s="134">
        <f>+Q174</f>
        <v/>
      </c>
      <c r="T174" s="135" t="n">
        <v>0.3958333333333333</v>
      </c>
      <c r="U174" s="135">
        <f>+T174+V174</f>
        <v/>
      </c>
      <c r="V174" s="135" t="n">
        <v>0.02083333333333333</v>
      </c>
      <c r="W174" s="136">
        <f>TEXT(T174,"HH""h""MM'")&amp;"÷"&amp;TEXT(U174,"HH""h""MM'")</f>
        <v/>
      </c>
      <c r="X174" s="136" t="n"/>
      <c r="Y174" s="136" t="n"/>
      <c r="Z174" s="136" t="n"/>
      <c r="AA174" s="136">
        <f>+L174</f>
        <v/>
      </c>
      <c r="AB174" s="136" t="inlineStr">
        <is>
          <t>09-XL-307HG/PYCNT/MB-BĐD-4</t>
        </is>
      </c>
      <c r="AC174" s="136">
        <f>"09-XL-307HG/PYCNT/MB-BĐD-"&amp;AW174</f>
        <v/>
      </c>
      <c r="AD174" s="136" t="n"/>
      <c r="AE174" s="136" t="n"/>
      <c r="AF174" s="136" t="n"/>
      <c r="AG174" s="136" t="n"/>
      <c r="AH174" s="136" t="n"/>
      <c r="AI174" s="132" t="n"/>
      <c r="AJ174" s="136" t="n"/>
      <c r="AK174" s="133" t="n"/>
      <c r="AL174" s="136" t="n"/>
      <c r="AM174" s="136" t="n"/>
      <c r="AN174" s="136" t="n"/>
      <c r="AO174" s="136" t="n"/>
      <c r="AP174" s="138" t="n"/>
      <c r="AQ174" s="138" t="n"/>
      <c r="AR174" s="136" t="inlineStr">
        <is>
          <t>Nhóm 1</t>
        </is>
      </c>
      <c r="AS174" s="136" t="n"/>
      <c r="AT174" s="136" t="inlineStr">
        <is>
          <t>HM03</t>
        </is>
      </c>
      <c r="AU174" s="136" t="inlineStr">
        <is>
          <t>NTCV</t>
        </is>
      </c>
      <c r="AV174" s="136" t="n">
        <v>45</v>
      </c>
      <c r="AW174" s="136" t="n">
        <v>10</v>
      </c>
      <c r="AX174" s="136" t="n"/>
    </row>
    <row r="175" ht="28" customFormat="1" customHeight="1" s="107">
      <c r="A175" s="105" t="inlineStr">
        <is>
          <t>BBK520</t>
        </is>
      </c>
      <c r="B175" s="105" t="inlineStr">
        <is>
          <t>BBK520</t>
        </is>
      </c>
      <c r="C175" s="105" t="inlineStr">
        <is>
          <t>BBK520.0482428</t>
        </is>
      </c>
      <c r="D175" s="106" t="n"/>
      <c r="E175" s="106" t="inlineStr">
        <is>
          <t>NDKT.0012</t>
        </is>
      </c>
      <c r="F175" s="106" t="n"/>
      <c r="G175" s="106" t="n"/>
      <c r="H175" s="106" t="n"/>
      <c r="J175" s="124" t="inlineStr">
        <is>
          <t>37</t>
        </is>
      </c>
      <c r="K175" s="124" t="inlineStr">
        <is>
          <t>BBK520</t>
        </is>
      </c>
      <c r="L175" s="125">
        <f>+L174</f>
        <v/>
      </c>
      <c r="M175" s="125" t="n"/>
      <c r="N175" s="125" t="n"/>
      <c r="O175" s="126" t="inlineStr">
        <is>
          <t>Bãi chứa dầm Cầu Km19+529.080</t>
        </is>
      </c>
      <c r="P175" s="127" t="n"/>
      <c r="Q175" s="127" t="n"/>
      <c r="R175" s="127" t="n"/>
      <c r="S175" s="127">
        <f>+S174</f>
        <v/>
      </c>
      <c r="T175" s="128" t="n"/>
      <c r="U175" s="128" t="n"/>
      <c r="V175" s="128" t="n"/>
      <c r="W175" s="129" t="n"/>
      <c r="X175" s="129" t="n"/>
      <c r="Y175" s="129" t="n"/>
      <c r="Z175" s="129" t="n"/>
      <c r="AA175" s="129" t="n"/>
      <c r="AB175" s="129" t="n"/>
      <c r="AC175" s="129">
        <f>+AC174</f>
        <v/>
      </c>
      <c r="AD175" s="129" t="n"/>
      <c r="AE175" s="129" t="n"/>
      <c r="AF175" s="129" t="n"/>
      <c r="AG175" s="129" t="n"/>
      <c r="AH175" s="129" t="n"/>
      <c r="AI175" s="125" t="n"/>
      <c r="AJ175" s="129" t="n"/>
      <c r="AK175" s="126" t="n"/>
      <c r="AL175" s="129" t="n"/>
      <c r="AM175" s="129" t="n"/>
      <c r="AN175" s="129" t="n"/>
      <c r="AO175" s="129" t="n"/>
      <c r="AP175" s="130" t="n"/>
      <c r="AQ175" s="130" t="inlineStr">
        <is>
          <t>Ảnh\bệ kê....png</t>
        </is>
      </c>
      <c r="AR175" s="129" t="inlineStr">
        <is>
          <t>Nhóm 1</t>
        </is>
      </c>
      <c r="AS175" s="129" t="n"/>
      <c r="AT175" s="129" t="inlineStr">
        <is>
          <t>HM03</t>
        </is>
      </c>
      <c r="AU175" s="129" t="inlineStr">
        <is>
          <t>BBK520</t>
        </is>
      </c>
      <c r="AV175" s="129" t="n">
        <v>12</v>
      </c>
      <c r="AW175" s="129" t="n">
        <v>12</v>
      </c>
      <c r="AX175" s="129" t="n"/>
    </row>
    <row r="176" ht="28" customFormat="1" customHeight="1" s="107">
      <c r="A176" s="105" t="inlineStr">
        <is>
          <t>BBK520</t>
        </is>
      </c>
      <c r="B176" s="105" t="inlineStr">
        <is>
          <t>BBK520</t>
        </is>
      </c>
      <c r="C176" s="105" t="inlineStr">
        <is>
          <t>BBK520.0206017</t>
        </is>
      </c>
      <c r="D176" s="106" t="n"/>
      <c r="E176" s="106" t="inlineStr">
        <is>
          <t>IlIlllllIIllIllIIIIl.7774</t>
        </is>
      </c>
      <c r="F176" s="106" t="n"/>
      <c r="G176" s="106" t="n"/>
      <c r="H176" s="106" t="n"/>
      <c r="J176" s="124" t="inlineStr">
        <is>
          <t>38</t>
        </is>
      </c>
      <c r="K176" s="124" t="inlineStr">
        <is>
          <t>BBK520</t>
        </is>
      </c>
      <c r="L176" s="125" t="inlineStr">
        <is>
          <t>Lắp đặt cấu kiện bê tông đúc sẵn bệ kê</t>
        </is>
      </c>
      <c r="M176" s="125" t="n"/>
      <c r="N176" s="125" t="n"/>
      <c r="O176" s="126" t="inlineStr">
        <is>
          <t>Bãi chứa dầm Cầu Km19+529.080</t>
        </is>
      </c>
      <c r="P176" s="127" t="n"/>
      <c r="Q176" s="127" t="n"/>
      <c r="R176" s="127" t="n"/>
      <c r="S176" s="127">
        <f>+S175</f>
        <v/>
      </c>
      <c r="T176" s="128" t="n"/>
      <c r="U176" s="128" t="n"/>
      <c r="V176" s="128" t="n"/>
      <c r="W176" s="129" t="n"/>
      <c r="X176" s="129" t="n"/>
      <c r="Y176" s="129" t="n"/>
      <c r="Z176" s="129" t="n"/>
      <c r="AA176" s="129" t="n"/>
      <c r="AB176" s="129" t="n"/>
      <c r="AC176" s="129">
        <f>+AC175</f>
        <v/>
      </c>
      <c r="AD176" s="129" t="n"/>
      <c r="AE176" s="129" t="n"/>
      <c r="AF176" s="129" t="n"/>
      <c r="AG176" s="129" t="n"/>
      <c r="AH176" s="129" t="n"/>
      <c r="AI176" s="125" t="n"/>
      <c r="AJ176" s="129" t="n"/>
      <c r="AK176" s="126" t="n"/>
      <c r="AL176" s="129" t="n"/>
      <c r="AM176" s="129" t="n"/>
      <c r="AN176" s="129" t="n"/>
      <c r="AO176" s="129" t="n"/>
      <c r="AP176" s="130" t="n"/>
      <c r="AQ176" s="130" t="inlineStr">
        <is>
          <t>Ảnh\bệ kê....png</t>
        </is>
      </c>
      <c r="AR176" s="129" t="inlineStr">
        <is>
          <t>Nhóm 1</t>
        </is>
      </c>
      <c r="AS176" s="129" t="n"/>
      <c r="AT176" s="129" t="inlineStr">
        <is>
          <t>HM03</t>
        </is>
      </c>
      <c r="AU176" s="129" t="inlineStr">
        <is>
          <t>BBK520</t>
        </is>
      </c>
      <c r="AV176" s="129" t="n">
        <v>13</v>
      </c>
      <c r="AW176" s="129" t="n">
        <v>13</v>
      </c>
      <c r="AX176" s="129" t="n"/>
    </row>
    <row r="177" customFormat="1" s="107">
      <c r="A177" s="105" t="inlineStr">
        <is>
          <t>BBK680</t>
        </is>
      </c>
      <c r="B177" s="105" t="inlineStr">
        <is>
          <t>PYC</t>
        </is>
      </c>
      <c r="C177" s="105" t="inlineStr">
        <is>
          <t>BBK680.0864534</t>
        </is>
      </c>
      <c r="D177" s="106" t="n"/>
      <c r="E177" s="106" t="n"/>
      <c r="F177" s="106" t="n"/>
      <c r="G177" s="106" t="n"/>
      <c r="H177" s="106" t="n"/>
      <c r="J177" s="108" t="inlineStr">
        <is>
          <t>39</t>
        </is>
      </c>
      <c r="K177" s="108" t="inlineStr">
        <is>
          <t>PYC</t>
        </is>
      </c>
      <c r="L177" s="109" t="inlineStr">
        <is>
          <t>phiếu yêu cầu</t>
        </is>
      </c>
      <c r="M177" s="109" t="n"/>
      <c r="N177" s="109" t="n"/>
      <c r="O177" s="110" t="n"/>
      <c r="P177" s="111" t="n"/>
      <c r="Q177" s="111" t="n"/>
      <c r="R177" s="111">
        <f>+R178</f>
        <v/>
      </c>
      <c r="S177" s="111">
        <f>+S178</f>
        <v/>
      </c>
      <c r="T177" s="112" t="n"/>
      <c r="U177" s="112" t="n"/>
      <c r="V177" s="112" t="n"/>
      <c r="W177" s="113" t="n"/>
      <c r="X177" s="113" t="n"/>
      <c r="Y177" s="113" t="n"/>
      <c r="Z177" s="113" t="n"/>
      <c r="AA177" s="113" t="n"/>
      <c r="AB177" s="113" t="inlineStr">
        <is>
          <t>09-XL-307HG/PYCNT/MB-BĐD</t>
        </is>
      </c>
      <c r="AC177" s="113" t="n"/>
      <c r="AD177" s="113" t="n"/>
      <c r="AE177" s="113" t="n"/>
      <c r="AF177" s="113" t="n"/>
      <c r="AG177" s="113" t="inlineStr">
        <is>
          <t>NTCV</t>
        </is>
      </c>
      <c r="AH177" s="113" t="inlineStr">
        <is>
          <t>&gt;=11;&lt;=12</t>
        </is>
      </c>
      <c r="AI177" s="109" t="n"/>
      <c r="AJ177" s="113" t="n"/>
      <c r="AK177" s="110" t="n"/>
      <c r="AL177" s="113" t="n"/>
      <c r="AM177" s="113" t="n"/>
      <c r="AN177" s="113" t="n"/>
      <c r="AO177" s="113" t="n"/>
      <c r="AP177" s="115" t="n"/>
      <c r="AQ177" s="115" t="n"/>
      <c r="AR177" s="113" t="inlineStr">
        <is>
          <t>Nhóm 1</t>
        </is>
      </c>
      <c r="AS177" s="113" t="n"/>
      <c r="AT177" s="113" t="inlineStr">
        <is>
          <t>HM03</t>
        </is>
      </c>
      <c r="AU177" s="113" t="inlineStr">
        <is>
          <t>PYC</t>
        </is>
      </c>
      <c r="AV177" s="113" t="n">
        <v>16</v>
      </c>
      <c r="AW177" s="113" t="n">
        <v>5</v>
      </c>
      <c r="AX177" s="113" t="n"/>
    </row>
    <row r="178" ht="28" customFormat="1" customHeight="1" s="107">
      <c r="A178" s="105" t="inlineStr">
        <is>
          <t>NTCV</t>
        </is>
      </c>
      <c r="B178" s="105" t="inlineStr">
        <is>
          <t>K.9999</t>
        </is>
      </c>
      <c r="C178" s="105" t="inlineStr">
        <is>
          <t>NTCV.0588628</t>
        </is>
      </c>
      <c r="D178" s="106" t="n"/>
      <c r="E178" s="106" t="n"/>
      <c r="F178" s="106" t="n"/>
      <c r="G178" s="106" t="n"/>
      <c r="H178" s="106" t="n"/>
      <c r="J178" s="131" t="inlineStr">
        <is>
          <t>40</t>
        </is>
      </c>
      <c r="K178" s="131" t="inlineStr">
        <is>
          <t>K.9999</t>
        </is>
      </c>
      <c r="L178" s="132" t="inlineStr">
        <is>
          <t>Bố trí tà vẹt gỗ kê dầm</t>
        </is>
      </c>
      <c r="M178" s="132" t="n"/>
      <c r="N178" s="132" t="n"/>
      <c r="O178" s="133" t="inlineStr">
        <is>
          <t>Bãi chứa dầm Cầu Km19+529.080</t>
        </is>
      </c>
      <c r="P178" s="134">
        <f>+S174</f>
        <v/>
      </c>
      <c r="Q178" s="134">
        <f>+P178</f>
        <v/>
      </c>
      <c r="R178" s="134">
        <f>+Q178-1</f>
        <v/>
      </c>
      <c r="S178" s="134">
        <f>+Q178</f>
        <v/>
      </c>
      <c r="T178" s="135">
        <f>+U174+TIME(1,,)</f>
        <v/>
      </c>
      <c r="U178" s="135">
        <f>+T178+V178</f>
        <v/>
      </c>
      <c r="V178" s="135" t="n">
        <v>0.02083333333333333</v>
      </c>
      <c r="W178" s="136">
        <f>TEXT(T178,"HH""h""MM'")&amp;"÷"&amp;TEXT(U178,"HH""h""MM'")</f>
        <v/>
      </c>
      <c r="X178" s="136" t="n"/>
      <c r="Y178" s="136" t="n"/>
      <c r="Z178" s="136" t="n"/>
      <c r="AA178" s="136">
        <f>+L178</f>
        <v/>
      </c>
      <c r="AB178" s="136" t="inlineStr">
        <is>
          <t>09-XL-307HG/PYCNT/MB-BĐD-5</t>
        </is>
      </c>
      <c r="AC178" s="136">
        <f>"09-XL-307HG/PYCNT/MB-BĐD-"&amp;AW178</f>
        <v/>
      </c>
      <c r="AD178" s="136" t="n"/>
      <c r="AE178" s="136" t="n"/>
      <c r="AF178" s="136" t="n"/>
      <c r="AG178" s="136" t="n"/>
      <c r="AH178" s="136" t="n"/>
      <c r="AI178" s="132" t="n"/>
      <c r="AJ178" s="136" t="n"/>
      <c r="AK178" s="133" t="n"/>
      <c r="AL178" s="136" t="n"/>
      <c r="AM178" s="136" t="n"/>
      <c r="AN178" s="136" t="n"/>
      <c r="AO178" s="136" t="n"/>
      <c r="AP178" s="138" t="n"/>
      <c r="AQ178" s="138" t="n"/>
      <c r="AR178" s="136" t="inlineStr">
        <is>
          <t>Nhóm 1</t>
        </is>
      </c>
      <c r="AS178" s="136" t="n"/>
      <c r="AT178" s="136" t="inlineStr">
        <is>
          <t>HM03</t>
        </is>
      </c>
      <c r="AU178" s="136" t="inlineStr">
        <is>
          <t>NTCV</t>
        </is>
      </c>
      <c r="AV178" s="136" t="n">
        <v>46</v>
      </c>
      <c r="AW178" s="136" t="n">
        <v>11</v>
      </c>
      <c r="AX178" s="136" t="n"/>
    </row>
    <row r="179" ht="28" customFormat="1" customHeight="1" s="107">
      <c r="A179" s="105" t="inlineStr">
        <is>
          <t>BBK520</t>
        </is>
      </c>
      <c r="B179" s="105" t="inlineStr">
        <is>
          <t>BBK520</t>
        </is>
      </c>
      <c r="C179" s="105" t="inlineStr">
        <is>
          <t>BBK520.0754908</t>
        </is>
      </c>
      <c r="D179" s="106" t="n"/>
      <c r="E179" s="106" t="inlineStr">
        <is>
          <t>IlIlllllIIllIllIIIIl.3169</t>
        </is>
      </c>
      <c r="F179" s="106" t="n"/>
      <c r="G179" s="106" t="n"/>
      <c r="H179" s="106" t="n"/>
      <c r="J179" s="108" t="inlineStr">
        <is>
          <t>41</t>
        </is>
      </c>
      <c r="K179" s="108" t="inlineStr">
        <is>
          <t>BBK520</t>
        </is>
      </c>
      <c r="L179" s="109">
        <f>+L178</f>
        <v/>
      </c>
      <c r="M179" s="109" t="n"/>
      <c r="N179" s="109" t="n"/>
      <c r="O179" s="110" t="inlineStr">
        <is>
          <t>Bãi chứa dầm Cầu Km19+529.080</t>
        </is>
      </c>
      <c r="P179" s="111" t="n"/>
      <c r="Q179" s="111" t="n"/>
      <c r="R179" s="111" t="n"/>
      <c r="S179" s="111">
        <f>+S178</f>
        <v/>
      </c>
      <c r="T179" s="112" t="n"/>
      <c r="U179" s="112" t="n"/>
      <c r="V179" s="112" t="n"/>
      <c r="W179" s="113" t="n"/>
      <c r="X179" s="113" t="n"/>
      <c r="Y179" s="113" t="n"/>
      <c r="Z179" s="113" t="n"/>
      <c r="AA179" s="113" t="n"/>
      <c r="AB179" s="113" t="n"/>
      <c r="AC179" s="113">
        <f>+AC178</f>
        <v/>
      </c>
      <c r="AD179" s="113" t="n"/>
      <c r="AE179" s="113" t="n"/>
      <c r="AF179" s="113" t="n"/>
      <c r="AG179" s="113" t="n"/>
      <c r="AH179" s="113" t="n"/>
      <c r="AI179" s="109" t="n"/>
      <c r="AJ179" s="113" t="n"/>
      <c r="AK179" s="110" t="n"/>
      <c r="AL179" s="113" t="n"/>
      <c r="AM179" s="113" t="n"/>
      <c r="AN179" s="113" t="n"/>
      <c r="AO179" s="113" t="n"/>
      <c r="AP179" s="115" t="n"/>
      <c r="AQ179" s="115" t="inlineStr">
        <is>
          <t>Ảnh\bệ kê....png</t>
        </is>
      </c>
      <c r="AR179" s="113" t="inlineStr">
        <is>
          <t>Nhóm 1</t>
        </is>
      </c>
      <c r="AS179" s="113" t="n"/>
      <c r="AT179" s="113" t="inlineStr">
        <is>
          <t>HM03</t>
        </is>
      </c>
      <c r="AU179" s="113" t="inlineStr">
        <is>
          <t>BBK520</t>
        </is>
      </c>
      <c r="AV179" s="113" t="n">
        <v>14</v>
      </c>
      <c r="AW179" s="113" t="n">
        <v>14</v>
      </c>
      <c r="AX179" s="113" t="n"/>
    </row>
    <row r="180" ht="28" customFormat="1" customHeight="1" s="107">
      <c r="A180" s="105" t="inlineStr">
        <is>
          <t>NTCV</t>
        </is>
      </c>
      <c r="B180" s="105" t="inlineStr">
        <is>
          <t>K.9999</t>
        </is>
      </c>
      <c r="C180" s="105" t="inlineStr">
        <is>
          <t>NTCV.0927883</t>
        </is>
      </c>
      <c r="D180" s="106" t="n"/>
      <c r="E180" s="106" t="n"/>
      <c r="F180" s="106" t="n"/>
      <c r="G180" s="106" t="n"/>
      <c r="H180" s="106" t="n"/>
      <c r="J180" s="131" t="inlineStr">
        <is>
          <t>42</t>
        </is>
      </c>
      <c r="K180" s="131" t="inlineStr">
        <is>
          <t>K.9999</t>
        </is>
      </c>
      <c r="L180" s="132" t="inlineStr">
        <is>
          <t>Sản xuất và lắp đặt giá lắp dựng cốt thép</t>
        </is>
      </c>
      <c r="M180" s="132" t="n"/>
      <c r="N180" s="132" t="n"/>
      <c r="O180" s="133" t="inlineStr">
        <is>
          <t>Hệ tạm phục vụ đúc dầm Cầu Km19+529.080</t>
        </is>
      </c>
      <c r="P180" s="134">
        <f>+S178</f>
        <v/>
      </c>
      <c r="Q180" s="134">
        <f>+P180+4</f>
        <v/>
      </c>
      <c r="R180" s="134">
        <f>+Q180-1</f>
        <v/>
      </c>
      <c r="S180" s="134">
        <f>+Q180</f>
        <v/>
      </c>
      <c r="T180" s="135" t="n">
        <v>0.375</v>
      </c>
      <c r="U180" s="135">
        <f>+T180+V180</f>
        <v/>
      </c>
      <c r="V180" s="135" t="n">
        <v>0.03125</v>
      </c>
      <c r="W180" s="136">
        <f>TEXT(T180,"HH""h""MM'")&amp;"÷"&amp;TEXT(U180,"HH""h""MM'")</f>
        <v/>
      </c>
      <c r="X180" s="136" t="n"/>
      <c r="Y180" s="136" t="n"/>
      <c r="Z180" s="136" t="n"/>
      <c r="AA180" s="136">
        <f>+L180</f>
        <v/>
      </c>
      <c r="AB180" s="136" t="inlineStr">
        <is>
          <t>09-XL-307HG/PYCNT/MB-BĐD-5</t>
        </is>
      </c>
      <c r="AC180" s="136">
        <f>"09-XL-307HG/PYCNT/MB-BĐD-"&amp;AW180</f>
        <v/>
      </c>
      <c r="AD180" s="136" t="n"/>
      <c r="AE180" s="136" t="n"/>
      <c r="AF180" s="136" t="n"/>
      <c r="AG180" s="136" t="n"/>
      <c r="AH180" s="136" t="n"/>
      <c r="AI180" s="132" t="n"/>
      <c r="AJ180" s="136" t="n"/>
      <c r="AK180" s="133" t="n"/>
      <c r="AL180" s="136" t="n"/>
      <c r="AM180" s="136" t="n"/>
      <c r="AN180" s="136" t="n"/>
      <c r="AO180" s="136" t="n"/>
      <c r="AP180" s="138" t="n"/>
      <c r="AQ180" s="138" t="n"/>
      <c r="AR180" s="136" t="inlineStr">
        <is>
          <t>Nhóm 1</t>
        </is>
      </c>
      <c r="AS180" s="136" t="n"/>
      <c r="AT180" s="136" t="inlineStr">
        <is>
          <t>HM03</t>
        </is>
      </c>
      <c r="AU180" s="136" t="inlineStr">
        <is>
          <t>NTCV</t>
        </is>
      </c>
      <c r="AV180" s="136" t="n">
        <v>47</v>
      </c>
      <c r="AW180" s="136" t="n">
        <v>12</v>
      </c>
      <c r="AX180" s="136" t="n"/>
    </row>
    <row r="181" ht="28" customFormat="1" customHeight="1" s="107">
      <c r="A181" s="105" t="inlineStr">
        <is>
          <t>BBK520</t>
        </is>
      </c>
      <c r="B181" s="105" t="inlineStr">
        <is>
          <t>BBK520</t>
        </is>
      </c>
      <c r="C181" s="105" t="inlineStr">
        <is>
          <t>BBK520.0331016</t>
        </is>
      </c>
      <c r="D181" s="106" t="n"/>
      <c r="E181" s="106" t="inlineStr">
        <is>
          <t>NDKT.0013</t>
        </is>
      </c>
      <c r="F181" s="106" t="n"/>
      <c r="G181" s="106" t="n"/>
      <c r="H181" s="106" t="n"/>
      <c r="J181" s="124" t="inlineStr">
        <is>
          <t>43</t>
        </is>
      </c>
      <c r="K181" s="124" t="inlineStr">
        <is>
          <t>BBK520</t>
        </is>
      </c>
      <c r="L181" s="125">
        <f>+L180</f>
        <v/>
      </c>
      <c r="M181" s="125" t="n"/>
      <c r="N181" s="125" t="n"/>
      <c r="O181" s="126" t="inlineStr">
        <is>
          <t>Hệ tạm phục vụ đúc dầm Cầu Km19+529.080</t>
        </is>
      </c>
      <c r="P181" s="127" t="n"/>
      <c r="Q181" s="127" t="n"/>
      <c r="R181" s="127" t="n"/>
      <c r="S181" s="127">
        <f>+S180</f>
        <v/>
      </c>
      <c r="T181" s="128" t="n"/>
      <c r="U181" s="128" t="n"/>
      <c r="V181" s="128" t="n"/>
      <c r="W181" s="129" t="n"/>
      <c r="X181" s="129" t="n"/>
      <c r="Y181" s="129" t="n"/>
      <c r="Z181" s="129" t="n"/>
      <c r="AA181" s="129" t="n"/>
      <c r="AB181" s="129" t="n"/>
      <c r="AC181" s="129">
        <f>+AC180</f>
        <v/>
      </c>
      <c r="AD181" s="129" t="n"/>
      <c r="AE181" s="129" t="n"/>
      <c r="AF181" s="129" t="n"/>
      <c r="AG181" s="129" t="n"/>
      <c r="AH181" s="129" t="n"/>
      <c r="AI181" s="125" t="n"/>
      <c r="AJ181" s="129" t="n"/>
      <c r="AK181" s="126" t="n"/>
      <c r="AL181" s="129" t="n"/>
      <c r="AM181" s="129" t="n"/>
      <c r="AN181" s="129" t="n"/>
      <c r="AO181" s="129" t="n"/>
      <c r="AP181" s="130" t="n"/>
      <c r="AQ181" s="130" t="inlineStr">
        <is>
          <t>Ảnh\bệ kê....png</t>
        </is>
      </c>
      <c r="AR181" s="129" t="inlineStr">
        <is>
          <t>Nhóm 1</t>
        </is>
      </c>
      <c r="AS181" s="129" t="n"/>
      <c r="AT181" s="129" t="inlineStr">
        <is>
          <t>HM03</t>
        </is>
      </c>
      <c r="AU181" s="129" t="inlineStr">
        <is>
          <t>BBK520</t>
        </is>
      </c>
      <c r="AV181" s="129" t="n">
        <v>15</v>
      </c>
      <c r="AW181" s="129" t="n">
        <v>15</v>
      </c>
      <c r="AX181" s="129" t="n"/>
    </row>
    <row r="182" customFormat="1" s="107">
      <c r="A182" s="105" t="inlineStr">
        <is>
          <t>BBK680</t>
        </is>
      </c>
      <c r="B182" s="105" t="inlineStr">
        <is>
          <t>PYC</t>
        </is>
      </c>
      <c r="C182" s="105" t="inlineStr">
        <is>
          <t>BBK680.0542941</t>
        </is>
      </c>
      <c r="D182" s="106" t="n"/>
      <c r="E182" s="106" t="n"/>
      <c r="F182" s="106" t="n"/>
      <c r="G182" s="106" t="n"/>
      <c r="H182" s="106" t="n"/>
      <c r="J182" s="108" t="inlineStr">
        <is>
          <t>44</t>
        </is>
      </c>
      <c r="K182" s="108" t="inlineStr">
        <is>
          <t>PYC</t>
        </is>
      </c>
      <c r="L182" s="109" t="inlineStr">
        <is>
          <t>phiếu yêu cầu</t>
        </is>
      </c>
      <c r="M182" s="109" t="n"/>
      <c r="N182" s="109" t="n"/>
      <c r="O182" s="110" t="n"/>
      <c r="P182" s="111" t="n"/>
      <c r="Q182" s="111" t="n"/>
      <c r="R182" s="111">
        <f>+R183</f>
        <v/>
      </c>
      <c r="S182" s="111">
        <f>+S183</f>
        <v/>
      </c>
      <c r="T182" s="112" t="n"/>
      <c r="U182" s="112" t="n"/>
      <c r="V182" s="112" t="n"/>
      <c r="W182" s="113" t="n"/>
      <c r="X182" s="113" t="n"/>
      <c r="Y182" s="113" t="n"/>
      <c r="Z182" s="113" t="n"/>
      <c r="AA182" s="113" t="n"/>
      <c r="AB182" s="113" t="inlineStr">
        <is>
          <t>09-XL-307HG/PYCNT/MB-BĐD</t>
        </is>
      </c>
      <c r="AC182" s="113" t="n"/>
      <c r="AD182" s="113" t="n"/>
      <c r="AE182" s="113" t="n"/>
      <c r="AF182" s="113" t="n"/>
      <c r="AG182" s="113" t="inlineStr">
        <is>
          <t>NTCV</t>
        </is>
      </c>
      <c r="AH182" s="113" t="inlineStr">
        <is>
          <t>&gt;=13;&lt;=14</t>
        </is>
      </c>
      <c r="AI182" s="109" t="n"/>
      <c r="AJ182" s="113" t="n"/>
      <c r="AK182" s="110" t="n"/>
      <c r="AL182" s="113" t="n"/>
      <c r="AM182" s="113" t="n"/>
      <c r="AN182" s="113" t="n"/>
      <c r="AO182" s="113" t="n"/>
      <c r="AP182" s="115" t="n"/>
      <c r="AQ182" s="115" t="n"/>
      <c r="AR182" s="113" t="inlineStr">
        <is>
          <t>Nhóm 1</t>
        </is>
      </c>
      <c r="AS182" s="113" t="n"/>
      <c r="AT182" s="113" t="inlineStr">
        <is>
          <t>HM03</t>
        </is>
      </c>
      <c r="AU182" s="113" t="inlineStr">
        <is>
          <t>PYC</t>
        </is>
      </c>
      <c r="AV182" s="113" t="n">
        <v>17</v>
      </c>
      <c r="AW182" s="113" t="n">
        <v>6</v>
      </c>
      <c r="AX182" s="113" t="n"/>
    </row>
    <row r="183" ht="28" customFormat="1" customHeight="1" s="107">
      <c r="A183" s="105" t="inlineStr">
        <is>
          <t>NTCV</t>
        </is>
      </c>
      <c r="B183" s="105" t="inlineStr">
        <is>
          <t>K.9999</t>
        </is>
      </c>
      <c r="C183" s="105" t="inlineStr">
        <is>
          <t>NTCV.0080691</t>
        </is>
      </c>
      <c r="D183" s="106" t="n"/>
      <c r="E183" s="106" t="n"/>
      <c r="F183" s="106" t="n"/>
      <c r="G183" s="106" t="n"/>
      <c r="H183" s="106" t="n"/>
      <c r="J183" s="131" t="inlineStr">
        <is>
          <t>45</t>
        </is>
      </c>
      <c r="K183" s="131" t="inlineStr">
        <is>
          <t>K.9999</t>
        </is>
      </c>
      <c r="L183" s="132" t="inlineStr">
        <is>
          <t>Sản xuất và lắp đặt dầm gánh/khung treo</t>
        </is>
      </c>
      <c r="M183" s="132" t="n"/>
      <c r="N183" s="132" t="n"/>
      <c r="O183" s="133" t="inlineStr">
        <is>
          <t>Hệ tạm phục vụ đúc dầm Cầu Km19+529.080</t>
        </is>
      </c>
      <c r="P183" s="134">
        <f>+S181</f>
        <v/>
      </c>
      <c r="Q183" s="134">
        <f>+P183+3</f>
        <v/>
      </c>
      <c r="R183" s="134">
        <f>+Q183-1</f>
        <v/>
      </c>
      <c r="S183" s="134">
        <f>+Q183</f>
        <v/>
      </c>
      <c r="T183" s="135" t="n">
        <v>0.3333333333333333</v>
      </c>
      <c r="U183" s="135">
        <f>+T183+V183</f>
        <v/>
      </c>
      <c r="V183" s="135" t="n">
        <v>0.02083333333333333</v>
      </c>
      <c r="W183" s="136">
        <f>TEXT(T183,"HH""h""MM'")&amp;"÷"&amp;TEXT(U183,"HH""h""MM'")</f>
        <v/>
      </c>
      <c r="X183" s="136" t="n"/>
      <c r="Y183" s="136" t="n"/>
      <c r="Z183" s="136" t="n"/>
      <c r="AA183" s="136">
        <f>+L183</f>
        <v/>
      </c>
      <c r="AB183" s="136" t="inlineStr">
        <is>
          <t>09-XL-307HG/PYCNT/MB-BĐD-6</t>
        </is>
      </c>
      <c r="AC183" s="136">
        <f>"09-XL-307HG/PYCNT/MB-BĐD-"&amp;AW183</f>
        <v/>
      </c>
      <c r="AD183" s="136" t="n"/>
      <c r="AE183" s="136" t="n"/>
      <c r="AF183" s="136" t="n"/>
      <c r="AG183" s="136" t="n"/>
      <c r="AH183" s="136" t="n"/>
      <c r="AI183" s="132" t="n"/>
      <c r="AJ183" s="136" t="n"/>
      <c r="AK183" s="133" t="n"/>
      <c r="AL183" s="136" t="n"/>
      <c r="AM183" s="136" t="n"/>
      <c r="AN183" s="136" t="n"/>
      <c r="AO183" s="136" t="n"/>
      <c r="AP183" s="138" t="n"/>
      <c r="AQ183" s="138" t="n"/>
      <c r="AR183" s="136" t="inlineStr">
        <is>
          <t>Nhóm 1</t>
        </is>
      </c>
      <c r="AS183" s="136" t="n"/>
      <c r="AT183" s="136" t="inlineStr">
        <is>
          <t>HM03</t>
        </is>
      </c>
      <c r="AU183" s="136" t="inlineStr">
        <is>
          <t>NTCV</t>
        </is>
      </c>
      <c r="AV183" s="136" t="n">
        <v>48</v>
      </c>
      <c r="AW183" s="136" t="n">
        <v>13</v>
      </c>
      <c r="AX183" s="136" t="n"/>
    </row>
    <row r="184" ht="28" customFormat="1" customHeight="1" s="107">
      <c r="A184" s="105" t="inlineStr">
        <is>
          <t>BBK520</t>
        </is>
      </c>
      <c r="B184" s="105" t="inlineStr">
        <is>
          <t>BBK520</t>
        </is>
      </c>
      <c r="C184" s="105" t="inlineStr">
        <is>
          <t>BBK520.0634371</t>
        </is>
      </c>
      <c r="D184" s="106" t="n"/>
      <c r="E184" s="106" t="inlineStr">
        <is>
          <t>IlIlllllIIllIllIIIIl.1704</t>
        </is>
      </c>
      <c r="F184" s="106" t="n"/>
      <c r="G184" s="106" t="n"/>
      <c r="H184" s="106" t="n"/>
      <c r="J184" s="124" t="inlineStr">
        <is>
          <t>46</t>
        </is>
      </c>
      <c r="K184" s="124" t="inlineStr">
        <is>
          <t>BBK520</t>
        </is>
      </c>
      <c r="L184" s="125">
        <f>+L183</f>
        <v/>
      </c>
      <c r="M184" s="125" t="n"/>
      <c r="N184" s="125" t="n"/>
      <c r="O184" s="126" t="inlineStr">
        <is>
          <t>Hệ tạm phục vụ đúc dầm Cầu Km19+529.080</t>
        </is>
      </c>
      <c r="P184" s="127" t="n"/>
      <c r="Q184" s="127" t="n"/>
      <c r="R184" s="127" t="n"/>
      <c r="S184" s="127">
        <f>+S183</f>
        <v/>
      </c>
      <c r="T184" s="128" t="n"/>
      <c r="U184" s="128" t="n"/>
      <c r="V184" s="128" t="n"/>
      <c r="W184" s="129" t="n"/>
      <c r="X184" s="129" t="n"/>
      <c r="Y184" s="129" t="n"/>
      <c r="Z184" s="129" t="n"/>
      <c r="AA184" s="129" t="n"/>
      <c r="AB184" s="129" t="n"/>
      <c r="AC184" s="129">
        <f>+AC183</f>
        <v/>
      </c>
      <c r="AD184" s="129" t="n"/>
      <c r="AE184" s="129" t="n"/>
      <c r="AF184" s="129" t="n"/>
      <c r="AG184" s="129" t="n"/>
      <c r="AH184" s="129" t="n"/>
      <c r="AI184" s="125" t="n"/>
      <c r="AJ184" s="129" t="n"/>
      <c r="AK184" s="126" t="n"/>
      <c r="AL184" s="129" t="n"/>
      <c r="AM184" s="129" t="n"/>
      <c r="AN184" s="129" t="n"/>
      <c r="AO184" s="129" t="n"/>
      <c r="AP184" s="130" t="n"/>
      <c r="AQ184" s="130" t="inlineStr">
        <is>
          <t>Ảnh\bệ kê....png</t>
        </is>
      </c>
      <c r="AR184" s="129" t="inlineStr">
        <is>
          <t>Nhóm 1</t>
        </is>
      </c>
      <c r="AS184" s="129" t="n"/>
      <c r="AT184" s="129" t="inlineStr">
        <is>
          <t>HM03</t>
        </is>
      </c>
      <c r="AU184" s="129" t="inlineStr">
        <is>
          <t>BBK520</t>
        </is>
      </c>
      <c r="AV184" s="129" t="n">
        <v>16</v>
      </c>
      <c r="AW184" s="129" t="n">
        <v>16</v>
      </c>
      <c r="AX184" s="129" t="n"/>
    </row>
    <row r="185" ht="28" customFormat="1" customHeight="1" s="107">
      <c r="A185" s="105" t="inlineStr">
        <is>
          <t>NTCV</t>
        </is>
      </c>
      <c r="B185" s="105" t="inlineStr">
        <is>
          <t>K.9999</t>
        </is>
      </c>
      <c r="C185" s="105" t="inlineStr">
        <is>
          <t>NTCV.0410036</t>
        </is>
      </c>
      <c r="D185" s="106" t="n"/>
      <c r="E185" s="106" t="n"/>
      <c r="F185" s="106" t="n"/>
      <c r="G185" s="106" t="n"/>
      <c r="H185" s="106" t="n"/>
      <c r="J185" s="147" t="inlineStr">
        <is>
          <t>47</t>
        </is>
      </c>
      <c r="K185" s="147" t="inlineStr">
        <is>
          <t>K.9999</t>
        </is>
      </c>
      <c r="L185" s="148" t="inlineStr">
        <is>
          <t>Sản xuất hệ ván khuôn ngoài chế tạo dầm</t>
        </is>
      </c>
      <c r="M185" s="148" t="n"/>
      <c r="N185" s="148" t="n"/>
      <c r="O185" s="149" t="inlineStr">
        <is>
          <t>Hệ tạm phục vụ đúc dầm Cầu Km19+529.080</t>
        </is>
      </c>
      <c r="P185" s="152">
        <f>+S183</f>
        <v/>
      </c>
      <c r="Q185" s="152">
        <f>+P185+3</f>
        <v/>
      </c>
      <c r="R185" s="152">
        <f>+Q185-1</f>
        <v/>
      </c>
      <c r="S185" s="152">
        <f>+Q185</f>
        <v/>
      </c>
      <c r="T185" s="160" t="n">
        <v>0.3333333333333333</v>
      </c>
      <c r="U185" s="160">
        <f>+T185+V185</f>
        <v/>
      </c>
      <c r="V185" s="160" t="n">
        <v>0.02083333333333333</v>
      </c>
      <c r="W185" s="136">
        <f>TEXT(T185,"HH""h""MM'")&amp;"÷"&amp;TEXT(U185,"HH""h""MM'")</f>
        <v/>
      </c>
      <c r="X185" s="150" t="n"/>
      <c r="Y185" s="150" t="n"/>
      <c r="Z185" s="150" t="n"/>
      <c r="AA185" s="136">
        <f>+L185</f>
        <v/>
      </c>
      <c r="AB185" s="136" t="inlineStr">
        <is>
          <t>09-XL-307HG/PYCNT/MB-BĐD-6</t>
        </is>
      </c>
      <c r="AC185" s="136">
        <f>"09-XL-307HG/PYCNT/MB-BĐD-"&amp;AW185</f>
        <v/>
      </c>
      <c r="AD185" s="150" t="n"/>
      <c r="AE185" s="150" t="n"/>
      <c r="AF185" s="150" t="n"/>
      <c r="AG185" s="150" t="n"/>
      <c r="AH185" s="150" t="n"/>
      <c r="AI185" s="148" t="n"/>
      <c r="AJ185" s="150" t="n"/>
      <c r="AK185" s="149" t="n"/>
      <c r="AL185" s="150" t="n"/>
      <c r="AM185" s="150" t="n"/>
      <c r="AN185" s="150" t="n"/>
      <c r="AO185" s="150" t="n"/>
      <c r="AP185" s="151" t="n"/>
      <c r="AQ185" s="151" t="n"/>
      <c r="AR185" s="150" t="inlineStr">
        <is>
          <t>Nhóm 1</t>
        </is>
      </c>
      <c r="AS185" s="150" t="n"/>
      <c r="AT185" s="150" t="inlineStr">
        <is>
          <t>HM03</t>
        </is>
      </c>
      <c r="AU185" s="150" t="inlineStr">
        <is>
          <t>NTCV</t>
        </is>
      </c>
      <c r="AV185" s="150" t="n">
        <v>49</v>
      </c>
      <c r="AW185" s="150" t="n">
        <v>14</v>
      </c>
      <c r="AX185" s="150" t="n"/>
    </row>
    <row r="186" ht="28" customFormat="1" customHeight="1" s="107">
      <c r="A186" s="105" t="inlineStr">
        <is>
          <t>BBK520</t>
        </is>
      </c>
      <c r="B186" s="105" t="inlineStr">
        <is>
          <t>BBK520</t>
        </is>
      </c>
      <c r="C186" s="105" t="inlineStr">
        <is>
          <t>BBK520.0960422</t>
        </is>
      </c>
      <c r="D186" s="106" t="n"/>
      <c r="E186" s="106" t="inlineStr">
        <is>
          <t>NDKT.0012</t>
        </is>
      </c>
      <c r="F186" s="106" t="n"/>
      <c r="G186" s="106" t="n"/>
      <c r="H186" s="106" t="n"/>
      <c r="J186" s="124" t="inlineStr">
        <is>
          <t>48</t>
        </is>
      </c>
      <c r="K186" s="124" t="inlineStr">
        <is>
          <t>BBK520</t>
        </is>
      </c>
      <c r="L186" s="125">
        <f>+L185</f>
        <v/>
      </c>
      <c r="M186" s="125" t="n"/>
      <c r="N186" s="125" t="n"/>
      <c r="O186" s="126" t="inlineStr">
        <is>
          <t>Hệ tạm phục vụ đúc dầm Cầu Km19+529.080</t>
        </is>
      </c>
      <c r="P186" s="127" t="n"/>
      <c r="Q186" s="127" t="n"/>
      <c r="R186" s="127" t="n"/>
      <c r="S186" s="127">
        <f>+S185</f>
        <v/>
      </c>
      <c r="T186" s="128" t="n"/>
      <c r="U186" s="128" t="n"/>
      <c r="V186" s="128" t="n"/>
      <c r="W186" s="129" t="n"/>
      <c r="X186" s="129" t="n"/>
      <c r="Y186" s="129" t="n"/>
      <c r="Z186" s="129" t="n"/>
      <c r="AA186" s="129" t="n"/>
      <c r="AB186" s="129" t="n"/>
      <c r="AC186" s="129">
        <f>+AC185</f>
        <v/>
      </c>
      <c r="AD186" s="129" t="n"/>
      <c r="AE186" s="129" t="n"/>
      <c r="AF186" s="129" t="n"/>
      <c r="AG186" s="129" t="n"/>
      <c r="AH186" s="129" t="n"/>
      <c r="AI186" s="125" t="n"/>
      <c r="AJ186" s="129" t="n"/>
      <c r="AK186" s="126" t="n"/>
      <c r="AL186" s="129" t="n"/>
      <c r="AM186" s="129" t="n"/>
      <c r="AN186" s="129" t="n"/>
      <c r="AO186" s="129" t="n"/>
      <c r="AP186" s="130" t="n"/>
      <c r="AQ186" s="130" t="inlineStr">
        <is>
          <t>Ảnh\bệ kê....png</t>
        </is>
      </c>
      <c r="AR186" s="129" t="inlineStr">
        <is>
          <t>Nhóm 1</t>
        </is>
      </c>
      <c r="AS186" s="129" t="n"/>
      <c r="AT186" s="129" t="inlineStr">
        <is>
          <t>HM03</t>
        </is>
      </c>
      <c r="AU186" s="129" t="inlineStr">
        <is>
          <t>BBK520</t>
        </is>
      </c>
      <c r="AV186" s="129" t="n">
        <v>17</v>
      </c>
      <c r="AW186" s="129" t="n">
        <v>17</v>
      </c>
      <c r="AX186" s="129" t="n"/>
    </row>
    <row r="187" customFormat="1" s="107">
      <c r="A187" s="105" t="inlineStr">
        <is>
          <t>BBK680</t>
        </is>
      </c>
      <c r="B187" s="105" t="inlineStr">
        <is>
          <t>PYC</t>
        </is>
      </c>
      <c r="C187" s="105" t="inlineStr">
        <is>
          <t>BBK680.0114623</t>
        </is>
      </c>
      <c r="D187" s="106" t="n"/>
      <c r="E187" s="106" t="n"/>
      <c r="F187" s="106" t="n"/>
      <c r="G187" s="106" t="n"/>
      <c r="H187" s="106" t="n"/>
      <c r="J187" s="108" t="inlineStr">
        <is>
          <t>49</t>
        </is>
      </c>
      <c r="K187" s="108" t="inlineStr">
        <is>
          <t>PYC</t>
        </is>
      </c>
      <c r="L187" s="109" t="inlineStr">
        <is>
          <t>phiếu yêu cầu</t>
        </is>
      </c>
      <c r="M187" s="109" t="n"/>
      <c r="N187" s="109" t="n"/>
      <c r="O187" s="110" t="n"/>
      <c r="P187" s="111" t="n"/>
      <c r="Q187" s="111" t="n"/>
      <c r="R187" s="111">
        <f>+R188</f>
        <v/>
      </c>
      <c r="S187" s="111">
        <f>+S188</f>
        <v/>
      </c>
      <c r="T187" s="112" t="n"/>
      <c r="U187" s="112" t="n"/>
      <c r="V187" s="112" t="n"/>
      <c r="W187" s="113" t="n"/>
      <c r="X187" s="113" t="n"/>
      <c r="Y187" s="113" t="n"/>
      <c r="Z187" s="113" t="n"/>
      <c r="AA187" s="113" t="n"/>
      <c r="AB187" s="113" t="inlineStr">
        <is>
          <t>09-XL-307HG/PYCNT/MB-BĐD</t>
        </is>
      </c>
      <c r="AC187" s="113" t="n"/>
      <c r="AD187" s="113" t="n"/>
      <c r="AE187" s="113" t="n"/>
      <c r="AF187" s="113" t="n"/>
      <c r="AG187" s="113" t="inlineStr">
        <is>
          <t>NTCV</t>
        </is>
      </c>
      <c r="AH187" s="113" t="inlineStr">
        <is>
          <t>&gt;=15;&lt;=18</t>
        </is>
      </c>
      <c r="AI187" s="109" t="n"/>
      <c r="AJ187" s="113" t="n"/>
      <c r="AK187" s="110" t="n"/>
      <c r="AL187" s="113" t="n"/>
      <c r="AM187" s="113" t="n"/>
      <c r="AN187" s="113" t="n"/>
      <c r="AO187" s="113" t="n"/>
      <c r="AP187" s="115" t="n"/>
      <c r="AQ187" s="115" t="n"/>
      <c r="AR187" s="113" t="inlineStr">
        <is>
          <t>Nhóm 1</t>
        </is>
      </c>
      <c r="AS187" s="113" t="n"/>
      <c r="AT187" s="113" t="inlineStr">
        <is>
          <t>HM03</t>
        </is>
      </c>
      <c r="AU187" s="113" t="inlineStr">
        <is>
          <t>PYC</t>
        </is>
      </c>
      <c r="AV187" s="113" t="n">
        <v>18</v>
      </c>
      <c r="AW187" s="113" t="n">
        <v>7</v>
      </c>
      <c r="AX187" s="113" t="n"/>
    </row>
    <row r="188" ht="28" customFormat="1" customHeight="1" s="107">
      <c r="A188" s="105" t="inlineStr">
        <is>
          <t>NTCV</t>
        </is>
      </c>
      <c r="B188" s="105" t="inlineStr">
        <is>
          <t>K.9999</t>
        </is>
      </c>
      <c r="C188" s="105" t="inlineStr">
        <is>
          <t>NTCV.0923445</t>
        </is>
      </c>
      <c r="D188" s="106" t="n"/>
      <c r="E188" s="106" t="n"/>
      <c r="F188" s="106" t="n"/>
      <c r="G188" s="106" t="n"/>
      <c r="H188" s="106" t="n"/>
      <c r="J188" s="131" t="inlineStr">
        <is>
          <t>50</t>
        </is>
      </c>
      <c r="K188" s="131" t="inlineStr">
        <is>
          <t>K.9999</t>
        </is>
      </c>
      <c r="L188" s="132" t="inlineStr">
        <is>
          <t>Sản xuất hệ ván khuôn trong chế tạo dầm</t>
        </is>
      </c>
      <c r="M188" s="132" t="n"/>
      <c r="N188" s="132" t="n"/>
      <c r="O188" s="133" t="inlineStr">
        <is>
          <t>Hệ tạm phục vụ đúc dầm Cầu Km19+529.080</t>
        </is>
      </c>
      <c r="P188" s="134">
        <f>+S185</f>
        <v/>
      </c>
      <c r="Q188" s="134">
        <f>+P188+3</f>
        <v/>
      </c>
      <c r="R188" s="134">
        <f>+Q188-1</f>
        <v/>
      </c>
      <c r="S188" s="134">
        <f>+Q188</f>
        <v/>
      </c>
      <c r="T188" s="135" t="n">
        <v>0.3333333333333333</v>
      </c>
      <c r="U188" s="135">
        <f>+T188+V188</f>
        <v/>
      </c>
      <c r="V188" s="135" t="n">
        <v>0.02083333333333333</v>
      </c>
      <c r="W188" s="136">
        <f>TEXT(T188,"HH""h""MM'")&amp;"÷"&amp;TEXT(U188,"HH""h""MM'")</f>
        <v/>
      </c>
      <c r="X188" s="136" t="n"/>
      <c r="Y188" s="136" t="n"/>
      <c r="Z188" s="136" t="n"/>
      <c r="AA188" s="136">
        <f>+L188</f>
        <v/>
      </c>
      <c r="AB188" s="136" t="inlineStr">
        <is>
          <t>09-XL-307HG/PYCNT/MB-BĐD-7</t>
        </is>
      </c>
      <c r="AC188" s="136">
        <f>"09-XL-307HG/PYCNT/MB-BĐD-"&amp;AW188</f>
        <v/>
      </c>
      <c r="AD188" s="136" t="n"/>
      <c r="AE188" s="136" t="n"/>
      <c r="AF188" s="136" t="n"/>
      <c r="AG188" s="136" t="n"/>
      <c r="AH188" s="136" t="n"/>
      <c r="AI188" s="132" t="n"/>
      <c r="AJ188" s="136" t="n"/>
      <c r="AK188" s="133" t="n"/>
      <c r="AL188" s="136" t="n"/>
      <c r="AM188" s="136" t="n"/>
      <c r="AN188" s="136" t="n"/>
      <c r="AO188" s="136" t="n"/>
      <c r="AP188" s="138" t="n"/>
      <c r="AQ188" s="138" t="n"/>
      <c r="AR188" s="136" t="inlineStr">
        <is>
          <t>Nhóm 1</t>
        </is>
      </c>
      <c r="AS188" s="136" t="n"/>
      <c r="AT188" s="136" t="inlineStr">
        <is>
          <t>HM03</t>
        </is>
      </c>
      <c r="AU188" s="136" t="inlineStr">
        <is>
          <t>NTCV</t>
        </is>
      </c>
      <c r="AV188" s="136" t="n">
        <v>50</v>
      </c>
      <c r="AW188" s="136" t="n">
        <v>15</v>
      </c>
      <c r="AX188" s="136" t="n"/>
    </row>
    <row r="189" ht="28" customFormat="1" customHeight="1" s="107">
      <c r="A189" s="105" t="inlineStr">
        <is>
          <t>BBK520</t>
        </is>
      </c>
      <c r="B189" s="105" t="inlineStr">
        <is>
          <t>BBK520</t>
        </is>
      </c>
      <c r="C189" s="105" t="inlineStr">
        <is>
          <t>BBK520.0620209</t>
        </is>
      </c>
      <c r="D189" s="106" t="n"/>
      <c r="E189" s="106" t="inlineStr">
        <is>
          <t>NDKT.0012</t>
        </is>
      </c>
      <c r="F189" s="106" t="n"/>
      <c r="G189" s="106" t="n"/>
      <c r="H189" s="106" t="n"/>
      <c r="J189" s="108" t="inlineStr">
        <is>
          <t>51</t>
        </is>
      </c>
      <c r="K189" s="108" t="inlineStr">
        <is>
          <t>BBK520</t>
        </is>
      </c>
      <c r="L189" s="109">
        <f>+L188</f>
        <v/>
      </c>
      <c r="M189" s="109" t="n"/>
      <c r="N189" s="109" t="n"/>
      <c r="O189" s="110" t="inlineStr">
        <is>
          <t>Hệ tạm phục vụ đúc dầm Cầu Km19+529.080</t>
        </is>
      </c>
      <c r="P189" s="111" t="n"/>
      <c r="Q189" s="111" t="n"/>
      <c r="R189" s="111" t="n"/>
      <c r="S189" s="111">
        <f>+S188</f>
        <v/>
      </c>
      <c r="T189" s="112" t="n"/>
      <c r="U189" s="112" t="n"/>
      <c r="V189" s="112" t="n"/>
      <c r="W189" s="113" t="n"/>
      <c r="X189" s="113" t="n"/>
      <c r="Y189" s="113" t="n"/>
      <c r="Z189" s="113" t="n"/>
      <c r="AA189" s="113" t="n"/>
      <c r="AB189" s="113" t="n"/>
      <c r="AC189" s="113">
        <f>+AC188</f>
        <v/>
      </c>
      <c r="AD189" s="113" t="n"/>
      <c r="AE189" s="113" t="n"/>
      <c r="AF189" s="113" t="n"/>
      <c r="AG189" s="113" t="n"/>
      <c r="AH189" s="113" t="n"/>
      <c r="AI189" s="109" t="n"/>
      <c r="AJ189" s="113" t="n"/>
      <c r="AK189" s="110" t="n"/>
      <c r="AL189" s="113" t="n"/>
      <c r="AM189" s="113" t="n"/>
      <c r="AN189" s="113" t="n"/>
      <c r="AO189" s="113" t="n"/>
      <c r="AP189" s="115" t="n"/>
      <c r="AQ189" s="115" t="inlineStr">
        <is>
          <t>Ảnh\bệ kê....png</t>
        </is>
      </c>
      <c r="AR189" s="113" t="inlineStr">
        <is>
          <t>Nhóm 1</t>
        </is>
      </c>
      <c r="AS189" s="113" t="n"/>
      <c r="AT189" s="113" t="inlineStr">
        <is>
          <t>HM03</t>
        </is>
      </c>
      <c r="AU189" s="113" t="inlineStr">
        <is>
          <t>BBK520</t>
        </is>
      </c>
      <c r="AV189" s="113" t="n">
        <v>18</v>
      </c>
      <c r="AW189" s="113" t="n">
        <v>18</v>
      </c>
      <c r="AX189" s="113" t="n"/>
    </row>
    <row r="190" ht="28" customFormat="1" customHeight="1" s="107">
      <c r="A190" s="105" t="inlineStr">
        <is>
          <t>NTCV</t>
        </is>
      </c>
      <c r="B190" s="105" t="inlineStr">
        <is>
          <t>K.9999</t>
        </is>
      </c>
      <c r="C190" s="105" t="inlineStr">
        <is>
          <t>NTCV.0347726</t>
        </is>
      </c>
      <c r="D190" s="106" t="n"/>
      <c r="E190" s="106" t="n"/>
      <c r="F190" s="106" t="n"/>
      <c r="G190" s="106" t="n"/>
      <c r="H190" s="106" t="n"/>
      <c r="J190" s="131" t="inlineStr">
        <is>
          <t>52</t>
        </is>
      </c>
      <c r="K190" s="131" t="inlineStr">
        <is>
          <t>K.9999</t>
        </is>
      </c>
      <c r="L190" s="132" t="inlineStr">
        <is>
          <t>Sản xuất và lắp đặt trụ đỡ ván khuôn trong</t>
        </is>
      </c>
      <c r="M190" s="132" t="n"/>
      <c r="N190" s="132" t="n"/>
      <c r="O190" s="133" t="inlineStr">
        <is>
          <t>Hệ tạm phục vụ đúc dầm Cầu Km19+529.080</t>
        </is>
      </c>
      <c r="P190" s="134">
        <f>+P188</f>
        <v/>
      </c>
      <c r="Q190" s="134">
        <f>+P190+3</f>
        <v/>
      </c>
      <c r="R190" s="134">
        <f>+Q190-1</f>
        <v/>
      </c>
      <c r="S190" s="134">
        <f>+Q190</f>
        <v/>
      </c>
      <c r="T190" s="135">
        <f>+U188+TIME(1,,)</f>
        <v/>
      </c>
      <c r="U190" s="135">
        <f>+T190+V190</f>
        <v/>
      </c>
      <c r="V190" s="135" t="n">
        <v>0.02083333333333333</v>
      </c>
      <c r="W190" s="136">
        <f>TEXT(T190,"HH""h""MM'")&amp;"÷"&amp;TEXT(U190,"HH""h""MM'")</f>
        <v/>
      </c>
      <c r="X190" s="136" t="n"/>
      <c r="Y190" s="136" t="n"/>
      <c r="Z190" s="136" t="n"/>
      <c r="AA190" s="136">
        <f>+L190</f>
        <v/>
      </c>
      <c r="AB190" s="136" t="inlineStr">
        <is>
          <t>09-XL-307HG/PYCNT/MB-BĐD-7</t>
        </is>
      </c>
      <c r="AC190" s="136">
        <f>"09-XL-307HG/PYCNT/MB-BĐD-"&amp;AW190</f>
        <v/>
      </c>
      <c r="AD190" s="136" t="n"/>
      <c r="AE190" s="136" t="n"/>
      <c r="AF190" s="136" t="n"/>
      <c r="AG190" s="136" t="n"/>
      <c r="AH190" s="136" t="n"/>
      <c r="AI190" s="132" t="n"/>
      <c r="AJ190" s="136" t="n"/>
      <c r="AK190" s="133" t="n"/>
      <c r="AL190" s="136" t="n"/>
      <c r="AM190" s="136" t="n"/>
      <c r="AN190" s="136" t="n"/>
      <c r="AO190" s="136" t="n"/>
      <c r="AP190" s="138" t="n"/>
      <c r="AQ190" s="138" t="n"/>
      <c r="AR190" s="136" t="inlineStr">
        <is>
          <t>Nhóm 1</t>
        </is>
      </c>
      <c r="AS190" s="136" t="n"/>
      <c r="AT190" s="136" t="inlineStr">
        <is>
          <t>HM03</t>
        </is>
      </c>
      <c r="AU190" s="136" t="inlineStr">
        <is>
          <t>NTCV</t>
        </is>
      </c>
      <c r="AV190" s="136" t="n">
        <v>51</v>
      </c>
      <c r="AW190" s="136" t="n">
        <v>16</v>
      </c>
      <c r="AX190" s="136" t="n"/>
    </row>
    <row r="191" ht="28" customFormat="1" customHeight="1" s="107">
      <c r="A191" s="105" t="inlineStr">
        <is>
          <t>BBK520</t>
        </is>
      </c>
      <c r="B191" s="105" t="inlineStr">
        <is>
          <t>BBK520</t>
        </is>
      </c>
      <c r="C191" s="105" t="inlineStr">
        <is>
          <t>BBK520.0149245</t>
        </is>
      </c>
      <c r="D191" s="106" t="n"/>
      <c r="E191" s="106" t="inlineStr">
        <is>
          <t>IlIlllllIIllIllIIIIl.7104</t>
        </is>
      </c>
      <c r="F191" s="106" t="n"/>
      <c r="G191" s="106" t="n"/>
      <c r="H191" s="106" t="n"/>
      <c r="J191" s="108" t="inlineStr">
        <is>
          <t>53</t>
        </is>
      </c>
      <c r="K191" s="108" t="inlineStr">
        <is>
          <t>BBK520</t>
        </is>
      </c>
      <c r="L191" s="109">
        <f>+L190</f>
        <v/>
      </c>
      <c r="M191" s="109" t="n"/>
      <c r="N191" s="109" t="n"/>
      <c r="O191" s="110" t="inlineStr">
        <is>
          <t>Hệ tạm phục vụ đúc dầm Cầu Km19+529.080</t>
        </is>
      </c>
      <c r="P191" s="111" t="n"/>
      <c r="Q191" s="111" t="n"/>
      <c r="R191" s="111" t="n"/>
      <c r="S191" s="111">
        <f>+S190</f>
        <v/>
      </c>
      <c r="T191" s="112" t="n"/>
      <c r="U191" s="112" t="n"/>
      <c r="V191" s="112" t="n"/>
      <c r="W191" s="113" t="n"/>
      <c r="X191" s="113" t="n"/>
      <c r="Y191" s="113" t="n"/>
      <c r="Z191" s="113" t="n"/>
      <c r="AA191" s="113" t="n"/>
      <c r="AB191" s="113" t="n"/>
      <c r="AC191" s="113">
        <f>+AC190</f>
        <v/>
      </c>
      <c r="AD191" s="113" t="n"/>
      <c r="AE191" s="113" t="n"/>
      <c r="AF191" s="113" t="n"/>
      <c r="AG191" s="113" t="n"/>
      <c r="AH191" s="113" t="n"/>
      <c r="AI191" s="109" t="n"/>
      <c r="AJ191" s="113" t="n"/>
      <c r="AK191" s="110" t="n"/>
      <c r="AL191" s="113" t="n"/>
      <c r="AM191" s="113" t="n"/>
      <c r="AN191" s="113" t="n"/>
      <c r="AO191" s="113" t="n"/>
      <c r="AP191" s="115" t="n"/>
      <c r="AQ191" s="115" t="inlineStr">
        <is>
          <t>Ảnh\bệ kê....png</t>
        </is>
      </c>
      <c r="AR191" s="113" t="inlineStr">
        <is>
          <t>Nhóm 1</t>
        </is>
      </c>
      <c r="AS191" s="113" t="n"/>
      <c r="AT191" s="113" t="inlineStr">
        <is>
          <t>HM03</t>
        </is>
      </c>
      <c r="AU191" s="113" t="inlineStr">
        <is>
          <t>BBK520</t>
        </is>
      </c>
      <c r="AV191" s="113" t="n">
        <v>19</v>
      </c>
      <c r="AW191" s="113" t="n">
        <v>19</v>
      </c>
      <c r="AX191" s="113" t="n"/>
    </row>
    <row r="192" ht="28" customFormat="1" customHeight="1" s="107">
      <c r="A192" s="105" t="inlineStr">
        <is>
          <t>NTCV</t>
        </is>
      </c>
      <c r="B192" s="105" t="inlineStr">
        <is>
          <t>K.9999</t>
        </is>
      </c>
      <c r="C192" s="105" t="inlineStr">
        <is>
          <t>NTCV.0479978</t>
        </is>
      </c>
      <c r="D192" s="106" t="n"/>
      <c r="E192" s="106" t="n"/>
      <c r="F192" s="106" t="n"/>
      <c r="G192" s="106" t="n"/>
      <c r="H192" s="106" t="n"/>
      <c r="J192" s="131" t="inlineStr">
        <is>
          <t>54</t>
        </is>
      </c>
      <c r="K192" s="131" t="inlineStr">
        <is>
          <t>K.9999</t>
        </is>
      </c>
      <c r="L192" s="132" t="inlineStr">
        <is>
          <t>Sản xuất và lắp dựng hệ sàn công tác</t>
        </is>
      </c>
      <c r="M192" s="132" t="n"/>
      <c r="N192" s="132" t="n"/>
      <c r="O192" s="133" t="inlineStr">
        <is>
          <t>Hệ tạm phục vụ đúc dầm Cầu Km19+529.080</t>
        </is>
      </c>
      <c r="P192" s="134">
        <f>+P190</f>
        <v/>
      </c>
      <c r="Q192" s="134">
        <f>+P192+3</f>
        <v/>
      </c>
      <c r="R192" s="134">
        <f>+Q192-1</f>
        <v/>
      </c>
      <c r="S192" s="134">
        <f>+Q192</f>
        <v/>
      </c>
      <c r="T192" s="135">
        <f>+U190+TIME(1,,)</f>
        <v/>
      </c>
      <c r="U192" s="135">
        <f>+T192+V192</f>
        <v/>
      </c>
      <c r="V192" s="135" t="n">
        <v>0.02083333333333333</v>
      </c>
      <c r="W192" s="136">
        <f>TEXT(T192,"HH""h""MM'")&amp;"÷"&amp;TEXT(U192,"HH""h""MM'")</f>
        <v/>
      </c>
      <c r="X192" s="136" t="n"/>
      <c r="Y192" s="136" t="n"/>
      <c r="Z192" s="136" t="n"/>
      <c r="AA192" s="136">
        <f>+L192</f>
        <v/>
      </c>
      <c r="AB192" s="136" t="inlineStr">
        <is>
          <t>09-XL-307HG/PYCNT/MB-BĐD-7</t>
        </is>
      </c>
      <c r="AC192" s="136">
        <f>"09-XL-307HG/PYCNT/MB-BĐD-"&amp;AW192</f>
        <v/>
      </c>
      <c r="AD192" s="136" t="n"/>
      <c r="AE192" s="136" t="n"/>
      <c r="AF192" s="136" t="n"/>
      <c r="AG192" s="136" t="n"/>
      <c r="AH192" s="136" t="n"/>
      <c r="AI192" s="132" t="n"/>
      <c r="AJ192" s="136" t="n"/>
      <c r="AK192" s="133" t="n"/>
      <c r="AL192" s="136" t="n"/>
      <c r="AM192" s="136" t="n"/>
      <c r="AN192" s="136" t="n"/>
      <c r="AO192" s="136" t="n"/>
      <c r="AP192" s="138" t="n"/>
      <c r="AQ192" s="138" t="n"/>
      <c r="AR192" s="136" t="inlineStr">
        <is>
          <t>Nhóm 1</t>
        </is>
      </c>
      <c r="AS192" s="136" t="n"/>
      <c r="AT192" s="136" t="inlineStr">
        <is>
          <t>HM03</t>
        </is>
      </c>
      <c r="AU192" s="136" t="inlineStr">
        <is>
          <t>NTCV</t>
        </is>
      </c>
      <c r="AV192" s="136" t="n">
        <v>52</v>
      </c>
      <c r="AW192" s="136" t="n">
        <v>17</v>
      </c>
      <c r="AX192" s="136" t="n"/>
    </row>
    <row r="193" ht="28" customFormat="1" customHeight="1" s="107">
      <c r="A193" s="105" t="inlineStr">
        <is>
          <t>BBK520</t>
        </is>
      </c>
      <c r="B193" s="105" t="inlineStr">
        <is>
          <t>BBK520</t>
        </is>
      </c>
      <c r="C193" s="105" t="inlineStr">
        <is>
          <t>BBK520.0219409</t>
        </is>
      </c>
      <c r="D193" s="106" t="n"/>
      <c r="E193" s="106" t="inlineStr">
        <is>
          <t>IlIlllllIIllIllIIIIl.7562</t>
        </is>
      </c>
      <c r="F193" s="106" t="n"/>
      <c r="G193" s="106" t="n"/>
      <c r="H193" s="106" t="n"/>
      <c r="J193" s="108" t="inlineStr">
        <is>
          <t>55</t>
        </is>
      </c>
      <c r="K193" s="108" t="inlineStr">
        <is>
          <t>BBK520</t>
        </is>
      </c>
      <c r="L193" s="109">
        <f>+L192</f>
        <v/>
      </c>
      <c r="M193" s="109" t="n"/>
      <c r="N193" s="109" t="n"/>
      <c r="O193" s="110" t="inlineStr">
        <is>
          <t>Hệ tạm phục vụ đúc dầm Cầu Km19+529.080</t>
        </is>
      </c>
      <c r="P193" s="111" t="n"/>
      <c r="Q193" s="111" t="n"/>
      <c r="R193" s="111" t="n"/>
      <c r="S193" s="111">
        <f>+S192</f>
        <v/>
      </c>
      <c r="T193" s="112" t="n"/>
      <c r="U193" s="112" t="n"/>
      <c r="V193" s="112" t="n"/>
      <c r="W193" s="113" t="n"/>
      <c r="X193" s="113" t="n"/>
      <c r="Y193" s="113" t="n"/>
      <c r="Z193" s="113" t="n"/>
      <c r="AA193" s="113" t="n"/>
      <c r="AB193" s="113" t="n"/>
      <c r="AC193" s="113">
        <f>+AC192</f>
        <v/>
      </c>
      <c r="AD193" s="113" t="n"/>
      <c r="AE193" s="113" t="n"/>
      <c r="AF193" s="113" t="n"/>
      <c r="AG193" s="113" t="n"/>
      <c r="AH193" s="113" t="n"/>
      <c r="AI193" s="109" t="n"/>
      <c r="AJ193" s="113" t="n"/>
      <c r="AK193" s="110" t="n"/>
      <c r="AL193" s="113" t="n"/>
      <c r="AM193" s="113" t="n"/>
      <c r="AN193" s="113" t="n"/>
      <c r="AO193" s="113" t="n"/>
      <c r="AP193" s="115" t="n"/>
      <c r="AQ193" s="115" t="inlineStr">
        <is>
          <t>Ảnh\bệ kê....png</t>
        </is>
      </c>
      <c r="AR193" s="113" t="inlineStr">
        <is>
          <t>Nhóm 1</t>
        </is>
      </c>
      <c r="AS193" s="113" t="n"/>
      <c r="AT193" s="113" t="inlineStr">
        <is>
          <t>HM03</t>
        </is>
      </c>
      <c r="AU193" s="113" t="inlineStr">
        <is>
          <t>BBK520</t>
        </is>
      </c>
      <c r="AV193" s="113" t="n">
        <v>20</v>
      </c>
      <c r="AW193" s="113" t="n">
        <v>20</v>
      </c>
      <c r="AX193" s="113" t="n"/>
    </row>
    <row r="194" ht="28" customFormat="1" customHeight="1" s="107">
      <c r="A194" s="105" t="inlineStr">
        <is>
          <t>NTCV</t>
        </is>
      </c>
      <c r="B194" s="105" t="inlineStr">
        <is>
          <t>K.9999</t>
        </is>
      </c>
      <c r="C194" s="105" t="inlineStr">
        <is>
          <t>NTCV.0993731</t>
        </is>
      </c>
      <c r="D194" s="106" t="n"/>
      <c r="E194" s="106" t="n"/>
      <c r="F194" s="106" t="n"/>
      <c r="G194" s="106" t="n"/>
      <c r="H194" s="106" t="n"/>
      <c r="J194" s="131" t="inlineStr">
        <is>
          <t>56</t>
        </is>
      </c>
      <c r="K194" s="131" t="inlineStr">
        <is>
          <t>K.9999</t>
        </is>
      </c>
      <c r="L194" s="132" t="inlineStr">
        <is>
          <t>Sản xuất và lắp dựng hệ dầm kích</t>
        </is>
      </c>
      <c r="M194" s="132" t="n"/>
      <c r="N194" s="132" t="n"/>
      <c r="O194" s="133" t="inlineStr">
        <is>
          <t>Hệ tạm phục vụ đúc dầm Cầu Km19+529.080</t>
        </is>
      </c>
      <c r="P194" s="134">
        <f>+P192+1</f>
        <v/>
      </c>
      <c r="Q194" s="134">
        <f>+P194+3</f>
        <v/>
      </c>
      <c r="R194" s="134">
        <f>+Q194-1</f>
        <v/>
      </c>
      <c r="S194" s="134">
        <f>+Q194</f>
        <v/>
      </c>
      <c r="T194" s="135" t="n">
        <v>0.3541666666666667</v>
      </c>
      <c r="U194" s="135">
        <f>+T194+V194</f>
        <v/>
      </c>
      <c r="V194" s="135" t="n">
        <v>0.02083333333333333</v>
      </c>
      <c r="W194" s="136">
        <f>TEXT(T194,"HH""h""MM'")&amp;"÷"&amp;TEXT(U194,"HH""h""MM'")</f>
        <v/>
      </c>
      <c r="X194" s="136" t="n"/>
      <c r="Y194" s="136" t="n"/>
      <c r="Z194" s="136" t="n"/>
      <c r="AA194" s="136">
        <f>+L194</f>
        <v/>
      </c>
      <c r="AB194" s="136" t="inlineStr">
        <is>
          <t>09-XL-307HG/PYCNT/MB-BĐD-7</t>
        </is>
      </c>
      <c r="AC194" s="136">
        <f>"09-XL-307HG/PYCNT/MB-BĐD-"&amp;AW194</f>
        <v/>
      </c>
      <c r="AD194" s="136" t="n"/>
      <c r="AE194" s="136" t="n"/>
      <c r="AF194" s="136" t="n"/>
      <c r="AG194" s="136" t="n"/>
      <c r="AH194" s="136" t="n"/>
      <c r="AI194" s="132" t="n"/>
      <c r="AJ194" s="136" t="n"/>
      <c r="AK194" s="133" t="n"/>
      <c r="AL194" s="136" t="n"/>
      <c r="AM194" s="136" t="n"/>
      <c r="AN194" s="136" t="n"/>
      <c r="AO194" s="136" t="n"/>
      <c r="AP194" s="138" t="n"/>
      <c r="AQ194" s="138" t="n"/>
      <c r="AR194" s="136" t="inlineStr">
        <is>
          <t>Nhóm 1</t>
        </is>
      </c>
      <c r="AS194" s="136" t="n"/>
      <c r="AT194" s="136" t="inlineStr">
        <is>
          <t>HM03</t>
        </is>
      </c>
      <c r="AU194" s="136" t="inlineStr">
        <is>
          <t>NTCV</t>
        </is>
      </c>
      <c r="AV194" s="136" t="n">
        <v>53</v>
      </c>
      <c r="AW194" s="136" t="n">
        <v>18</v>
      </c>
      <c r="AX194" s="136" t="n"/>
    </row>
    <row r="195" ht="28" customFormat="1" customHeight="1" s="107">
      <c r="A195" s="105" t="inlineStr">
        <is>
          <t>BBK520</t>
        </is>
      </c>
      <c r="B195" s="105" t="inlineStr">
        <is>
          <t>BBK520</t>
        </is>
      </c>
      <c r="C195" s="105" t="inlineStr">
        <is>
          <t>BBK520.0130420</t>
        </is>
      </c>
      <c r="D195" s="106" t="n"/>
      <c r="E195" s="106" t="inlineStr">
        <is>
          <t>IlIlllllIIllIllIIIIl.8961</t>
        </is>
      </c>
      <c r="F195" s="106" t="n"/>
      <c r="G195" s="106" t="n"/>
      <c r="H195" s="106" t="n"/>
      <c r="J195" s="124" t="inlineStr">
        <is>
          <t>57</t>
        </is>
      </c>
      <c r="K195" s="124" t="inlineStr">
        <is>
          <t>BBK520</t>
        </is>
      </c>
      <c r="L195" s="125">
        <f>+L194</f>
        <v/>
      </c>
      <c r="M195" s="125" t="n"/>
      <c r="N195" s="125" t="n"/>
      <c r="O195" s="126" t="inlineStr">
        <is>
          <t>Hệ tạm phục vụ đúc dầm Cầu Km19+529.080</t>
        </is>
      </c>
      <c r="P195" s="127" t="n"/>
      <c r="Q195" s="127" t="n"/>
      <c r="R195" s="127" t="n"/>
      <c r="S195" s="127">
        <f>+S194</f>
        <v/>
      </c>
      <c r="T195" s="128" t="n"/>
      <c r="U195" s="128" t="n"/>
      <c r="V195" s="128" t="n"/>
      <c r="W195" s="129" t="n"/>
      <c r="X195" s="129" t="n"/>
      <c r="Y195" s="129" t="n"/>
      <c r="Z195" s="129" t="n"/>
      <c r="AA195" s="129" t="n"/>
      <c r="AB195" s="129" t="n"/>
      <c r="AC195" s="129">
        <f>+AC194</f>
        <v/>
      </c>
      <c r="AD195" s="129" t="n"/>
      <c r="AE195" s="129" t="n"/>
      <c r="AF195" s="129" t="n"/>
      <c r="AG195" s="129" t="n"/>
      <c r="AH195" s="129" t="n"/>
      <c r="AI195" s="125" t="n"/>
      <c r="AJ195" s="129" t="n"/>
      <c r="AK195" s="126" t="n"/>
      <c r="AL195" s="129" t="n"/>
      <c r="AM195" s="129" t="n"/>
      <c r="AN195" s="129" t="n"/>
      <c r="AO195" s="129" t="n"/>
      <c r="AP195" s="130" t="n"/>
      <c r="AQ195" s="130" t="inlineStr">
        <is>
          <t>Ảnh\bệ kê....png</t>
        </is>
      </c>
      <c r="AR195" s="129" t="inlineStr">
        <is>
          <t>Nhóm 1</t>
        </is>
      </c>
      <c r="AS195" s="129" t="n"/>
      <c r="AT195" s="129" t="inlineStr">
        <is>
          <t>HM03</t>
        </is>
      </c>
      <c r="AU195" s="129" t="inlineStr">
        <is>
          <t>BBK520</t>
        </is>
      </c>
      <c r="AV195" s="129" t="n">
        <v>21</v>
      </c>
      <c r="AW195" s="129" t="n">
        <v>21</v>
      </c>
      <c r="AX195" s="129" t="n"/>
    </row>
    <row r="196" customFormat="1" s="107">
      <c r="A196" s="105" t="inlineStr">
        <is>
          <t>BBK680</t>
        </is>
      </c>
      <c r="B196" s="105" t="inlineStr">
        <is>
          <t>PYC</t>
        </is>
      </c>
      <c r="C196" s="105" t="inlineStr">
        <is>
          <t>BBK680.0028885</t>
        </is>
      </c>
      <c r="D196" s="106" t="n"/>
      <c r="E196" s="106" t="n"/>
      <c r="F196" s="106" t="n"/>
      <c r="G196" s="106" t="n"/>
      <c r="H196" s="106" t="n"/>
      <c r="J196" s="108" t="inlineStr">
        <is>
          <t>58</t>
        </is>
      </c>
      <c r="K196" s="108" t="inlineStr">
        <is>
          <t>PYC</t>
        </is>
      </c>
      <c r="L196" s="109" t="inlineStr">
        <is>
          <t>phiếu yêu cầu</t>
        </is>
      </c>
      <c r="M196" s="109" t="n"/>
      <c r="N196" s="109" t="n"/>
      <c r="O196" s="110" t="n"/>
      <c r="P196" s="111" t="n"/>
      <c r="Q196" s="111" t="n"/>
      <c r="R196" s="111">
        <f>+R197</f>
        <v/>
      </c>
      <c r="S196" s="111">
        <f>+S197</f>
        <v/>
      </c>
      <c r="T196" s="112" t="n"/>
      <c r="U196" s="112" t="n"/>
      <c r="V196" s="112" t="n"/>
      <c r="W196" s="113" t="n"/>
      <c r="X196" s="113" t="n"/>
      <c r="Y196" s="113" t="n"/>
      <c r="Z196" s="113" t="n"/>
      <c r="AA196" s="113" t="n"/>
      <c r="AB196" s="113" t="inlineStr">
        <is>
          <t>09-XL-307HG/PYCNT/MB-BĐD</t>
        </is>
      </c>
      <c r="AC196" s="113" t="n"/>
      <c r="AD196" s="113" t="n"/>
      <c r="AE196" s="113" t="n"/>
      <c r="AF196" s="113" t="n"/>
      <c r="AG196" s="113" t="inlineStr">
        <is>
          <t>NTCV</t>
        </is>
      </c>
      <c r="AH196" s="113" t="n">
        <v>19</v>
      </c>
      <c r="AI196" s="109" t="n"/>
      <c r="AJ196" s="113" t="n"/>
      <c r="AK196" s="110" t="n"/>
      <c r="AL196" s="113" t="n"/>
      <c r="AM196" s="113" t="n"/>
      <c r="AN196" s="113" t="n"/>
      <c r="AO196" s="113" t="n"/>
      <c r="AP196" s="115" t="n"/>
      <c r="AQ196" s="115" t="n"/>
      <c r="AR196" s="113" t="inlineStr">
        <is>
          <t>Nhóm 1</t>
        </is>
      </c>
      <c r="AS196" s="113" t="n"/>
      <c r="AT196" s="113" t="inlineStr">
        <is>
          <t>HM03</t>
        </is>
      </c>
      <c r="AU196" s="113" t="inlineStr">
        <is>
          <t>PYC</t>
        </is>
      </c>
      <c r="AV196" s="113" t="n">
        <v>19</v>
      </c>
      <c r="AW196" s="113" t="n">
        <v>8</v>
      </c>
      <c r="AX196" s="113" t="n"/>
    </row>
    <row r="197" ht="28" customFormat="1" customHeight="1" s="107">
      <c r="A197" s="105" t="inlineStr">
        <is>
          <t>NTCV</t>
        </is>
      </c>
      <c r="B197" s="105" t="inlineStr">
        <is>
          <t>K.9999</t>
        </is>
      </c>
      <c r="C197" s="105" t="inlineStr">
        <is>
          <t>NTCV.0345391</t>
        </is>
      </c>
      <c r="D197" s="106" t="n"/>
      <c r="E197" s="106" t="n"/>
      <c r="F197" s="106" t="n"/>
      <c r="G197" s="106" t="n"/>
      <c r="H197" s="106" t="n"/>
      <c r="J197" s="131" t="inlineStr">
        <is>
          <t>59</t>
        </is>
      </c>
      <c r="K197" s="131" t="inlineStr">
        <is>
          <t>K.9999</t>
        </is>
      </c>
      <c r="L197" s="132" t="inlineStr">
        <is>
          <t>Lắp dựng, căn chỉnh ván khuôn trong và ngoài dầm Super T</t>
        </is>
      </c>
      <c r="M197" s="132" t="n"/>
      <c r="N197" s="132" t="n"/>
      <c r="O197" s="133" t="inlineStr">
        <is>
          <t>Hệ tạm phục vụ đúc dầm Cầu Km19+529.080</t>
        </is>
      </c>
      <c r="P197" s="134">
        <f>+S194</f>
        <v/>
      </c>
      <c r="Q197" s="134">
        <f>+P197+2</f>
        <v/>
      </c>
      <c r="R197" s="134">
        <f>+Q197-1</f>
        <v/>
      </c>
      <c r="S197" s="134">
        <f>+Q197</f>
        <v/>
      </c>
      <c r="T197" s="135" t="n">
        <v>0.3541666666666667</v>
      </c>
      <c r="U197" s="135">
        <f>+T197+V197</f>
        <v/>
      </c>
      <c r="V197" s="135" t="n">
        <v>0.02083333333333333</v>
      </c>
      <c r="W197" s="136">
        <f>TEXT(T197,"HH""h""MM'")&amp;"÷"&amp;TEXT(U197,"HH""h""MM'")</f>
        <v/>
      </c>
      <c r="X197" s="136" t="n"/>
      <c r="Y197" s="136" t="n"/>
      <c r="Z197" s="136" t="n"/>
      <c r="AA197" s="136">
        <f>+L197</f>
        <v/>
      </c>
      <c r="AB197" s="136" t="inlineStr">
        <is>
          <t>09-XL-307HG/PYCNT/MB-BĐD-8</t>
        </is>
      </c>
      <c r="AC197" s="136">
        <f>"09-XL-307HG/PYCNT/MB-BĐD-"&amp;AW197</f>
        <v/>
      </c>
      <c r="AD197" s="136" t="n"/>
      <c r="AE197" s="136" t="n"/>
      <c r="AF197" s="136" t="n"/>
      <c r="AG197" s="136" t="n"/>
      <c r="AH197" s="136" t="n"/>
      <c r="AI197" s="132" t="n"/>
      <c r="AJ197" s="136" t="n"/>
      <c r="AK197" s="133" t="n"/>
      <c r="AL197" s="136" t="n"/>
      <c r="AM197" s="136" t="n"/>
      <c r="AN197" s="136" t="n"/>
      <c r="AO197" s="136" t="n"/>
      <c r="AP197" s="138" t="n"/>
      <c r="AQ197" s="138" t="n"/>
      <c r="AR197" s="136" t="inlineStr">
        <is>
          <t>Nhóm 1</t>
        </is>
      </c>
      <c r="AS197" s="136" t="n"/>
      <c r="AT197" s="136" t="inlineStr">
        <is>
          <t>HM03</t>
        </is>
      </c>
      <c r="AU197" s="136" t="inlineStr">
        <is>
          <t>NTCV</t>
        </is>
      </c>
      <c r="AV197" s="136" t="n">
        <v>54</v>
      </c>
      <c r="AW197" s="136" t="n">
        <v>19</v>
      </c>
      <c r="AX197" s="136" t="n"/>
    </row>
    <row r="198" ht="28" customFormat="1" customHeight="1" s="107">
      <c r="A198" s="105" t="inlineStr">
        <is>
          <t>BBK520</t>
        </is>
      </c>
      <c r="B198" s="105" t="inlineStr">
        <is>
          <t>BBK520</t>
        </is>
      </c>
      <c r="C198" s="105" t="inlineStr">
        <is>
          <t>BBK520.0547668</t>
        </is>
      </c>
      <c r="D198" s="106" t="n"/>
      <c r="E198" s="106" t="inlineStr">
        <is>
          <t>IlIlllllIIllIllIIIIl.6174</t>
        </is>
      </c>
      <c r="F198" s="106" t="n"/>
      <c r="G198" s="106" t="n"/>
      <c r="H198" s="106" t="n"/>
      <c r="J198" s="124" t="inlineStr">
        <is>
          <t>60</t>
        </is>
      </c>
      <c r="K198" s="124" t="inlineStr">
        <is>
          <t>BBK520</t>
        </is>
      </c>
      <c r="L198" s="125">
        <f>+L197</f>
        <v/>
      </c>
      <c r="M198" s="125" t="n"/>
      <c r="N198" s="125" t="n"/>
      <c r="O198" s="126" t="inlineStr">
        <is>
          <t>Hệ tạm phục vụ đúc dầm Cầu Km19+529.080</t>
        </is>
      </c>
      <c r="P198" s="127" t="n"/>
      <c r="Q198" s="127" t="n"/>
      <c r="R198" s="127" t="n"/>
      <c r="S198" s="127">
        <f>+S197</f>
        <v/>
      </c>
      <c r="T198" s="128" t="n"/>
      <c r="U198" s="128" t="n"/>
      <c r="V198" s="128" t="n"/>
      <c r="W198" s="129" t="n"/>
      <c r="X198" s="129" t="n"/>
      <c r="Y198" s="129" t="n"/>
      <c r="Z198" s="129" t="n"/>
      <c r="AA198" s="129" t="n"/>
      <c r="AB198" s="129" t="n"/>
      <c r="AC198" s="129">
        <f>+AC197</f>
        <v/>
      </c>
      <c r="AD198" s="129" t="n"/>
      <c r="AE198" s="129" t="n"/>
      <c r="AF198" s="129" t="n"/>
      <c r="AG198" s="129" t="n"/>
      <c r="AH198" s="129" t="n"/>
      <c r="AI198" s="125" t="n"/>
      <c r="AJ198" s="129" t="n"/>
      <c r="AK198" s="126" t="n"/>
      <c r="AL198" s="129" t="n"/>
      <c r="AM198" s="129" t="n"/>
      <c r="AN198" s="129" t="n"/>
      <c r="AO198" s="129" t="n"/>
      <c r="AP198" s="130" t="n"/>
      <c r="AQ198" s="130" t="inlineStr">
        <is>
          <t>Ảnh\bệ kê....png</t>
        </is>
      </c>
      <c r="AR198" s="129" t="inlineStr">
        <is>
          <t>Nhóm 1</t>
        </is>
      </c>
      <c r="AS198" s="129" t="n"/>
      <c r="AT198" s="129" t="inlineStr">
        <is>
          <t>HM03</t>
        </is>
      </c>
      <c r="AU198" s="129" t="inlineStr">
        <is>
          <t>BBK520</t>
        </is>
      </c>
      <c r="AV198" s="129" t="n">
        <v>22</v>
      </c>
      <c r="AW198" s="129" t="n">
        <v>22</v>
      </c>
      <c r="AX198" s="129" t="n"/>
    </row>
    <row r="199">
      <c r="A199" s="56" t="inlineStr">
        <is>
          <t>HM</t>
        </is>
      </c>
      <c r="B199" s="56" t="inlineStr">
        <is>
          <t>HM</t>
        </is>
      </c>
      <c r="C199" s="56" t="inlineStr">
        <is>
          <t>HM.0922954</t>
        </is>
      </c>
      <c r="D199" s="57" t="n"/>
      <c r="E199" s="57" t="n"/>
      <c r="F199" s="57" t="n"/>
      <c r="G199" s="57" t="n"/>
      <c r="H199" s="57" t="n"/>
      <c r="J199" s="189" t="inlineStr">
        <is>
          <t>HM04</t>
        </is>
      </c>
      <c r="K199" s="189" t="inlineStr">
        <is>
          <t>HM</t>
        </is>
      </c>
      <c r="L199" s="190" t="inlineStr">
        <is>
          <t>Mố M1 - Cọc C1</t>
        </is>
      </c>
      <c r="M199" s="190" t="n"/>
      <c r="N199" s="190" t="n"/>
      <c r="O199" s="191" t="n"/>
      <c r="P199" s="192" t="n"/>
      <c r="Q199" s="192" t="n"/>
      <c r="R199" s="192" t="n"/>
      <c r="S199" s="192" t="n"/>
      <c r="T199" s="192" t="n"/>
      <c r="U199" s="192" t="n"/>
      <c r="V199" s="192" t="n"/>
      <c r="W199" s="193" t="n"/>
      <c r="X199" s="193" t="n"/>
      <c r="Y199" s="193" t="n"/>
      <c r="Z199" s="193" t="n"/>
      <c r="AA199" s="194" t="n"/>
      <c r="AB199" s="195" t="n"/>
      <c r="AC199" s="195" t="n"/>
      <c r="AD199" s="195" t="n"/>
      <c r="AE199" s="195" t="n"/>
      <c r="AF199" s="195" t="n"/>
      <c r="AG199" s="195" t="n"/>
      <c r="AH199" s="195" t="n"/>
      <c r="AI199" s="193" t="n"/>
      <c r="AJ199" s="193" t="n"/>
      <c r="AK199" s="196" t="n"/>
      <c r="AL199" s="193" t="n"/>
      <c r="AM199" s="193" t="n"/>
      <c r="AN199" s="193" t="n"/>
      <c r="AO199" s="193" t="n"/>
      <c r="AP199" s="197" t="n"/>
      <c r="AQ199" s="197" t="n"/>
      <c r="AR199" s="193" t="n"/>
      <c r="AS199" s="193" t="n"/>
      <c r="AT199" s="193" t="inlineStr">
        <is>
          <t>HM04</t>
        </is>
      </c>
      <c r="AU199" s="193" t="inlineStr">
        <is>
          <t>HM</t>
        </is>
      </c>
      <c r="AV199" s="193" t="n"/>
      <c r="AW199" s="193" t="n"/>
      <c r="AX199" s="193" t="n"/>
    </row>
    <row r="200" ht="28" customFormat="1" customHeight="1" s="70">
      <c r="A200" s="68" t="inlineStr">
        <is>
          <t>BBK_BIA</t>
        </is>
      </c>
      <c r="B200" s="68" t="inlineStr">
        <is>
          <t>TRANGBIA</t>
        </is>
      </c>
      <c r="C200" s="68" t="inlineStr">
        <is>
          <t>BBK_BIA.0538246</t>
        </is>
      </c>
      <c r="D200" s="69" t="n"/>
      <c r="E200" s="69" t="n"/>
      <c r="F200" s="69" t="n"/>
      <c r="G200" s="69" t="n"/>
      <c r="H200" s="69" t="n"/>
      <c r="J200" s="98" t="inlineStr">
        <is>
          <t>01</t>
        </is>
      </c>
      <c r="K200" s="98" t="inlineStr">
        <is>
          <t>TRANGBIA</t>
        </is>
      </c>
      <c r="L200" s="99">
        <f>"Cọc Khoan Nhồi"&amp;" - "&amp;L199</f>
        <v/>
      </c>
      <c r="M200" s="99" t="n"/>
      <c r="N200" s="99" t="n"/>
      <c r="O200" s="100" t="inlineStr">
        <is>
          <t>Cầu Km19+529.080</t>
        </is>
      </c>
      <c r="P200" s="101" t="n"/>
      <c r="Q200" s="101" t="n"/>
      <c r="R200" s="101" t="n"/>
      <c r="S200" s="101" t="n"/>
      <c r="T200" s="101" t="n"/>
      <c r="U200" s="101" t="n"/>
      <c r="V200" s="101" t="n"/>
      <c r="W200" s="102" t="n"/>
      <c r="X200" s="102" t="n"/>
      <c r="Y200" s="102" t="n"/>
      <c r="Z200" s="102" t="n"/>
      <c r="AA200" s="102" t="n"/>
      <c r="AB200" s="102" t="n"/>
      <c r="AC200" s="102" t="n"/>
      <c r="AD200" s="102" t="n"/>
      <c r="AE200" s="102" t="n"/>
      <c r="AF200" s="102" t="n"/>
      <c r="AG200" s="102" t="n"/>
      <c r="AH200" s="102" t="n"/>
      <c r="AI200" s="102" t="n"/>
      <c r="AJ200" s="102" t="n"/>
      <c r="AK200" s="100" t="n"/>
      <c r="AL200" s="102" t="n"/>
      <c r="AM200" s="102" t="n"/>
      <c r="AN200" s="102" t="n"/>
      <c r="AO200" s="102" t="n"/>
      <c r="AP200" s="103" t="inlineStr">
        <is>
          <t>Kết cấu cọc khoan nhồi mố, trụ</t>
        </is>
      </c>
      <c r="AQ200" s="104" t="n"/>
      <c r="AR200" s="102" t="inlineStr">
        <is>
          <t>Nhóm 1</t>
        </is>
      </c>
      <c r="AS200" s="102" t="n"/>
      <c r="AT200" s="102" t="inlineStr">
        <is>
          <t>HM04</t>
        </is>
      </c>
      <c r="AU200" s="102" t="inlineStr">
        <is>
          <t>TRANGBIA</t>
        </is>
      </c>
      <c r="AV200" s="102" t="n">
        <v>4</v>
      </c>
      <c r="AW200" s="102" t="n">
        <v>1</v>
      </c>
      <c r="AX200" s="102" t="n"/>
    </row>
    <row r="201" customFormat="1" s="70">
      <c r="A201" s="68" t="inlineStr">
        <is>
          <t>BBK_ML</t>
        </is>
      </c>
      <c r="B201" s="68" t="inlineStr">
        <is>
          <t>MUCLUC</t>
        </is>
      </c>
      <c r="C201" s="68" t="inlineStr">
        <is>
          <t>BBK_ML.0406421</t>
        </is>
      </c>
      <c r="D201" s="69" t="n"/>
      <c r="E201" s="69" t="n"/>
      <c r="F201" s="69" t="n"/>
      <c r="G201" s="69" t="n"/>
      <c r="H201" s="69" t="n"/>
      <c r="J201" s="98" t="inlineStr">
        <is>
          <t>02</t>
        </is>
      </c>
      <c r="K201" s="98" t="inlineStr">
        <is>
          <t>MUCLUC</t>
        </is>
      </c>
      <c r="L201" s="99" t="inlineStr">
        <is>
          <t>Danh mục biên bản Kiểm tra/Nghiệm thu</t>
        </is>
      </c>
      <c r="M201" s="99" t="n"/>
      <c r="N201" s="99" t="n"/>
      <c r="O201" s="100" t="inlineStr">
        <is>
          <t>Cầu Km19+529.080</t>
        </is>
      </c>
      <c r="P201" s="101" t="n"/>
      <c r="Q201" s="101" t="n"/>
      <c r="R201" s="101" t="n"/>
      <c r="S201" s="101" t="n"/>
      <c r="T201" s="101" t="n"/>
      <c r="U201" s="101" t="n"/>
      <c r="V201" s="101" t="n"/>
      <c r="W201" s="102" t="n"/>
      <c r="X201" s="102" t="n"/>
      <c r="Y201" s="102" t="n"/>
      <c r="Z201" s="102" t="n"/>
      <c r="AA201" s="102" t="n"/>
      <c r="AB201" s="102" t="n"/>
      <c r="AC201" s="102" t="n"/>
      <c r="AD201" s="102" t="n"/>
      <c r="AE201" s="102" t="n"/>
      <c r="AF201" s="102" t="n"/>
      <c r="AG201" s="102" t="n"/>
      <c r="AH201" s="102" t="n"/>
      <c r="AI201" s="102" t="n"/>
      <c r="AJ201" s="102" t="n"/>
      <c r="AK201" s="100" t="n"/>
      <c r="AL201" s="102" t="n"/>
      <c r="AM201" s="102" t="n"/>
      <c r="AN201" s="102" t="n"/>
      <c r="AO201" s="102" t="n"/>
      <c r="AP201" s="104" t="n"/>
      <c r="AQ201" s="104" t="n"/>
      <c r="AR201" s="102" t="inlineStr">
        <is>
          <t>Nhóm 1</t>
        </is>
      </c>
      <c r="AS201" s="102" t="n"/>
      <c r="AT201" s="102" t="inlineStr">
        <is>
          <t>HM04</t>
        </is>
      </c>
      <c r="AU201" s="102" t="inlineStr">
        <is>
          <t>MUCLUC</t>
        </is>
      </c>
      <c r="AV201" s="102" t="n">
        <v>4</v>
      </c>
      <c r="AW201" s="102" t="n">
        <v>1</v>
      </c>
      <c r="AX201" s="102" t="n"/>
    </row>
    <row r="202">
      <c r="A202" s="56" t="inlineStr">
        <is>
          <t>BBK680</t>
        </is>
      </c>
      <c r="B202" s="56" t="inlineStr">
        <is>
          <t>PYC</t>
        </is>
      </c>
      <c r="C202" s="56" t="inlineStr">
        <is>
          <t>BBK680.0847245</t>
        </is>
      </c>
      <c r="D202" s="57" t="n"/>
      <c r="E202" s="57" t="n"/>
      <c r="F202" s="57" t="n"/>
      <c r="G202" s="57" t="n"/>
      <c r="H202" s="57" t="n"/>
      <c r="J202" s="198" t="inlineStr">
        <is>
          <t>03</t>
        </is>
      </c>
      <c r="K202" s="198" t="inlineStr">
        <is>
          <t>PYC</t>
        </is>
      </c>
      <c r="L202" s="199" t="inlineStr">
        <is>
          <t>Phiếu yêu cầu nghiệm thu</t>
        </is>
      </c>
      <c r="M202" s="199" t="n"/>
      <c r="N202" s="199" t="n"/>
      <c r="O202" s="200" t="inlineStr">
        <is>
          <t>Cầu Km19+529.080</t>
        </is>
      </c>
      <c r="P202" s="201" t="n"/>
      <c r="Q202" s="201" t="n"/>
      <c r="R202" s="201">
        <f>R203</f>
        <v/>
      </c>
      <c r="S202" s="201" t="n"/>
      <c r="T202" s="201" t="n"/>
      <c r="U202" s="201" t="n"/>
      <c r="V202" s="201" t="n"/>
      <c r="W202" s="202" t="n"/>
      <c r="X202" s="202" t="n"/>
      <c r="Y202" s="202" t="n"/>
      <c r="Z202" s="202" t="n"/>
      <c r="AA202" s="203" t="n"/>
      <c r="AB202" s="204" t="inlineStr">
        <is>
          <t>09-XL-307HG/PYCNT/CKN/M1/C1</t>
        </is>
      </c>
      <c r="AC202" s="205" t="n"/>
      <c r="AD202" s="205" t="n"/>
      <c r="AE202" s="205" t="n"/>
      <c r="AF202" s="205" t="n"/>
      <c r="AG202" s="205" t="inlineStr">
        <is>
          <t>NTCV;BBKTĐK</t>
        </is>
      </c>
      <c r="AH202" s="204" t="inlineStr">
        <is>
          <t>&gt;=1;&lt;=5</t>
        </is>
      </c>
      <c r="AI202" s="202" t="n"/>
      <c r="AJ202" s="202" t="n"/>
      <c r="AK202" s="206" t="n"/>
      <c r="AL202" s="202" t="n"/>
      <c r="AM202" s="202" t="n"/>
      <c r="AN202" s="202" t="n"/>
      <c r="AO202" s="202" t="n"/>
      <c r="AP202" s="207" t="n"/>
      <c r="AQ202" s="207" t="n"/>
      <c r="AR202" s="202" t="inlineStr">
        <is>
          <t>Nhóm 1</t>
        </is>
      </c>
      <c r="AS202" s="202" t="n"/>
      <c r="AT202" s="202" t="inlineStr">
        <is>
          <t>HM04</t>
        </is>
      </c>
      <c r="AU202" s="202" t="inlineStr">
        <is>
          <t>PYC</t>
        </is>
      </c>
      <c r="AV202" s="202" t="n">
        <v>141</v>
      </c>
      <c r="AW202" s="202" t="n">
        <v>1</v>
      </c>
      <c r="AX202" s="202" t="n"/>
    </row>
    <row r="203" ht="28" customHeight="1" s="672">
      <c r="A203" s="56" t="inlineStr">
        <is>
          <t>BBK884</t>
        </is>
      </c>
      <c r="B203" s="56" t="inlineStr">
        <is>
          <t>BBKTĐK</t>
        </is>
      </c>
      <c r="C203" s="56" t="inlineStr">
        <is>
          <t>BBK884.0826225</t>
        </is>
      </c>
      <c r="D203" s="57" t="n"/>
      <c r="E203" s="57" t="n"/>
      <c r="F203" s="57" t="n"/>
      <c r="G203" s="57" t="n"/>
      <c r="H203" s="57" t="n"/>
      <c r="J203" s="198" t="inlineStr">
        <is>
          <t>04</t>
        </is>
      </c>
      <c r="K203" s="198" t="inlineStr">
        <is>
          <t>BBKTĐK</t>
        </is>
      </c>
      <c r="L203" s="199" t="inlineStr">
        <is>
          <t>Kiểm tra điều kiện trước khi thi công cọc khoan nhồi: Thiết bị, nhân lực, vật tư</t>
        </is>
      </c>
      <c r="M203" s="199" t="n"/>
      <c r="N203" s="199" t="n"/>
      <c r="O203" s="200" t="inlineStr">
        <is>
          <t>Cầu Km19+529.080</t>
        </is>
      </c>
      <c r="P203" s="201" t="n">
        <v>46230</v>
      </c>
      <c r="Q203" s="201">
        <f>P203</f>
        <v/>
      </c>
      <c r="R203" s="201">
        <f>Q203-1</f>
        <v/>
      </c>
      <c r="S203" s="201">
        <f>Q203</f>
        <v/>
      </c>
      <c r="T203" s="208" t="n">
        <v>0.2916666666666667</v>
      </c>
      <c r="U203" s="208">
        <f>T203+V203</f>
        <v/>
      </c>
      <c r="V203" s="208" t="n">
        <v>0.02083333333333333</v>
      </c>
      <c r="W203" s="202">
        <f>TEXT(T203,"HH""h""MM'")&amp;"÷"&amp;TEXT(U203,"HH""h""MM'")</f>
        <v/>
      </c>
      <c r="X203" s="202" t="n"/>
      <c r="Y203" s="202" t="n"/>
      <c r="Z203" s="202" t="inlineStr">
        <is>
          <t>01;</t>
        </is>
      </c>
      <c r="AA203" s="200" t="inlineStr">
        <is>
          <t>Kiểm tra điều kiện trước khi thi công Cọc khoan nhồi Mố M1 - Cọc C1</t>
        </is>
      </c>
      <c r="AB203" s="205" t="inlineStr">
        <is>
          <t>09-XL-307HG/PYCNT/CKN/M1/C1-1</t>
        </is>
      </c>
      <c r="AC203" s="205" t="inlineStr">
        <is>
          <t>09-XL-307HG/BBNT/CKN/M1/C1-1</t>
        </is>
      </c>
      <c r="AD203" s="205" t="n"/>
      <c r="AE203" s="205" t="n"/>
      <c r="AF203" s="205" t="n"/>
      <c r="AG203" s="205" t="n"/>
      <c r="AH203" s="205" t="n"/>
      <c r="AI203" s="207" t="n"/>
      <c r="AJ203" s="202" t="n"/>
      <c r="AK203" s="206" t="n"/>
      <c r="AL203" s="202" t="n"/>
      <c r="AM203" s="202" t="n"/>
      <c r="AN203" s="202" t="n"/>
      <c r="AO203" s="202" t="n"/>
      <c r="AP203" s="207" t="n"/>
      <c r="AQ203" s="207" t="n"/>
      <c r="AR203" s="202" t="inlineStr">
        <is>
          <t>Nhóm 1</t>
        </is>
      </c>
      <c r="AS203" s="202" t="n"/>
      <c r="AT203" s="202" t="inlineStr">
        <is>
          <t>HM04</t>
        </is>
      </c>
      <c r="AU203" s="202" t="inlineStr">
        <is>
          <t>BBKTĐK</t>
        </is>
      </c>
      <c r="AV203" s="202" t="n">
        <v>27</v>
      </c>
      <c r="AW203" s="202" t="n">
        <v>1</v>
      </c>
      <c r="AX203" s="202" t="n"/>
    </row>
    <row r="204" ht="28" customHeight="1" s="672">
      <c r="A204" s="56" t="inlineStr">
        <is>
          <t>BBK860</t>
        </is>
      </c>
      <c r="B204" s="56" t="inlineStr">
        <is>
          <t>PL01</t>
        </is>
      </c>
      <c r="C204" s="56" t="inlineStr">
        <is>
          <t>BBK860.0672427</t>
        </is>
      </c>
      <c r="D204" s="57" t="n"/>
      <c r="E204" s="57" t="n"/>
      <c r="F204" s="57" t="n"/>
      <c r="G204" s="57" t="n"/>
      <c r="H204" s="57" t="n"/>
      <c r="J204" s="198" t="inlineStr">
        <is>
          <t>05</t>
        </is>
      </c>
      <c r="K204" s="198" t="inlineStr">
        <is>
          <t>PL01</t>
        </is>
      </c>
      <c r="L204" s="199" t="inlineStr">
        <is>
          <t>Máy móc, thiết bị, nhân lực, vật tư thi công cọc khoan nhồi</t>
        </is>
      </c>
      <c r="M204" s="199" t="n"/>
      <c r="N204" s="199" t="n"/>
      <c r="O204" s="199" t="inlineStr">
        <is>
          <t>Cầu Km19+529.080</t>
        </is>
      </c>
      <c r="P204" s="201" t="n"/>
      <c r="Q204" s="201" t="n"/>
      <c r="R204" s="201" t="n"/>
      <c r="S204" s="201">
        <f>S203</f>
        <v/>
      </c>
      <c r="T204" s="201" t="n"/>
      <c r="U204" s="201" t="n"/>
      <c r="V204" s="201" t="n"/>
      <c r="W204" s="202" t="n"/>
      <c r="X204" s="202" t="n"/>
      <c r="Y204" s="202" t="n"/>
      <c r="Z204" s="198" t="inlineStr">
        <is>
          <t>01</t>
        </is>
      </c>
      <c r="AA204" s="203" t="n"/>
      <c r="AB204" s="204" t="inlineStr">
        <is>
          <t>09-XL-307HG/PYCNT/CKN/M1/C1-1</t>
        </is>
      </c>
      <c r="AC204" s="204">
        <f>AC203</f>
        <v/>
      </c>
      <c r="AD204" s="204" t="n"/>
      <c r="AE204" s="204" t="n"/>
      <c r="AF204" s="204" t="n"/>
      <c r="AG204" s="204" t="n"/>
      <c r="AH204" s="204" t="inlineStr">
        <is>
          <t>CKN</t>
        </is>
      </c>
      <c r="AI204" s="207" t="n"/>
      <c r="AJ204" s="202" t="n"/>
      <c r="AK204" s="206" t="n"/>
      <c r="AL204" s="202" t="n"/>
      <c r="AM204" s="202" t="n"/>
      <c r="AN204" s="202" t="n"/>
      <c r="AO204" s="202" t="n"/>
      <c r="AP204" s="207" t="n"/>
      <c r="AQ204" s="207" t="n"/>
      <c r="AR204" s="202" t="inlineStr">
        <is>
          <t>Nhóm 1</t>
        </is>
      </c>
      <c r="AS204" s="202" t="n"/>
      <c r="AT204" s="202" t="inlineStr">
        <is>
          <t>HM04</t>
        </is>
      </c>
      <c r="AU204" s="202" t="inlineStr">
        <is>
          <t>PL01</t>
        </is>
      </c>
      <c r="AV204" s="202" t="n">
        <v>29</v>
      </c>
      <c r="AW204" s="202" t="n">
        <v>1</v>
      </c>
      <c r="AX204" s="202" t="n"/>
    </row>
    <row r="205" ht="42" customHeight="1" s="672">
      <c r="A205" s="56" t="inlineStr">
        <is>
          <t>NTCV</t>
        </is>
      </c>
      <c r="B205" s="56" t="inlineStr">
        <is>
          <t>K.9999</t>
        </is>
      </c>
      <c r="C205" s="56" t="inlineStr">
        <is>
          <t>NTCV.0721895</t>
        </is>
      </c>
      <c r="D205" s="57" t="n"/>
      <c r="E205" s="57" t="n"/>
      <c r="F205" s="57" t="n"/>
      <c r="G205" s="57" t="n"/>
      <c r="H205" s="57" t="n"/>
      <c r="J205" s="209" t="inlineStr">
        <is>
          <t>06</t>
        </is>
      </c>
      <c r="K205" s="209" t="inlineStr">
        <is>
          <t>K.9999</t>
        </is>
      </c>
      <c r="L205" s="210" t="inlineStr">
        <is>
          <t>Kiểm tra ống vách, dung dịch bentonite trước khi khoan cọc khoan nhồi</t>
        </is>
      </c>
      <c r="M205" s="210" t="n"/>
      <c r="N205" s="210" t="n"/>
      <c r="O205" s="211" t="inlineStr">
        <is>
          <t>Cầu Km19+529.080</t>
        </is>
      </c>
      <c r="P205" s="212">
        <f>S203</f>
        <v/>
      </c>
      <c r="Q205" s="212">
        <f>P205</f>
        <v/>
      </c>
      <c r="R205" s="212">
        <f>Q205-1</f>
        <v/>
      </c>
      <c r="S205" s="212">
        <f>Q205</f>
        <v/>
      </c>
      <c r="T205" s="213">
        <f>U203</f>
        <v/>
      </c>
      <c r="U205" s="213">
        <f>T205+V205</f>
        <v/>
      </c>
      <c r="V205" s="213" t="n">
        <v>0.02083333333333333</v>
      </c>
      <c r="W205" s="214">
        <f>TEXT(T205,"HH""h""MM'")&amp;"÷"&amp;TEXT(U205,"HH""h""MM'")</f>
        <v/>
      </c>
      <c r="X205" s="214" t="n"/>
      <c r="Y205" s="214" t="n"/>
      <c r="Z205" s="214" t="inlineStr">
        <is>
          <t>02; 02a</t>
        </is>
      </c>
      <c r="AA205" s="215" t="inlineStr">
        <is>
          <t>Kiểm tra ống vách, dung dịch bentonite Cọc khoan nhồi Mố M1 - Cọc C1 trước khi khoan</t>
        </is>
      </c>
      <c r="AB205" s="204" t="inlineStr">
        <is>
          <t>09-XL-307HG/PYCNT/CKN/M1/C1-1</t>
        </is>
      </c>
      <c r="AC205" s="204" t="inlineStr">
        <is>
          <t>09-XL-307HG/BBNT/CKN/M1/C1-2</t>
        </is>
      </c>
      <c r="AD205" s="204" t="n"/>
      <c r="AE205" s="204" t="n"/>
      <c r="AF205" s="204" t="n"/>
      <c r="AG205" s="204" t="n"/>
      <c r="AH205" s="204" t="n"/>
      <c r="AI205" s="216" t="n"/>
      <c r="AJ205" s="214" t="n"/>
      <c r="AK205" s="217" t="n"/>
      <c r="AL205" s="214" t="n"/>
      <c r="AM205" s="214" t="n"/>
      <c r="AN205" s="214" t="n"/>
      <c r="AO205" s="214" t="n"/>
      <c r="AP205" s="216" t="n"/>
      <c r="AQ205" s="216" t="n"/>
      <c r="AR205" s="214" t="inlineStr">
        <is>
          <t>Nhóm 1</t>
        </is>
      </c>
      <c r="AS205" s="214" t="n"/>
      <c r="AT205" s="214" t="inlineStr">
        <is>
          <t>HM04</t>
        </is>
      </c>
      <c r="AU205" s="214" t="inlineStr">
        <is>
          <t>NTCV</t>
        </is>
      </c>
      <c r="AV205" s="214" t="n">
        <v>327</v>
      </c>
      <c r="AW205" s="214" t="n">
        <v>1</v>
      </c>
      <c r="AX205" s="214" t="n"/>
    </row>
    <row r="206">
      <c r="A206" s="56" t="inlineStr">
        <is>
          <t>BBK170</t>
        </is>
      </c>
      <c r="B206" s="56" t="inlineStr">
        <is>
          <t>PL02</t>
        </is>
      </c>
      <c r="C206" s="56" t="inlineStr">
        <is>
          <t>BBK170.0996771</t>
        </is>
      </c>
      <c r="D206" s="57" t="n"/>
      <c r="E206" s="57" t="n"/>
      <c r="F206" s="57" t="n"/>
      <c r="G206" s="57" t="n"/>
      <c r="H206" s="57" t="n"/>
      <c r="J206" s="198" t="inlineStr">
        <is>
          <t>07</t>
        </is>
      </c>
      <c r="K206" s="198" t="inlineStr">
        <is>
          <t>PL02</t>
        </is>
      </c>
      <c r="L206" s="199" t="inlineStr">
        <is>
          <t>Kiểm tra ống vách thi công trước khi hạ</t>
        </is>
      </c>
      <c r="M206" s="199" t="n"/>
      <c r="N206" s="199" t="n"/>
      <c r="O206" s="200" t="inlineStr">
        <is>
          <t>Cầu Km19+529.080</t>
        </is>
      </c>
      <c r="P206" s="201" t="n"/>
      <c r="Q206" s="201" t="n"/>
      <c r="R206" s="201" t="n"/>
      <c r="S206" s="201">
        <f>S205</f>
        <v/>
      </c>
      <c r="T206" s="201" t="n"/>
      <c r="U206" s="201" t="n"/>
      <c r="V206" s="201" t="n"/>
      <c r="W206" s="202" t="n"/>
      <c r="X206" s="202" t="n"/>
      <c r="Y206" s="202" t="n"/>
      <c r="Z206" s="198" t="inlineStr">
        <is>
          <t>02</t>
        </is>
      </c>
      <c r="AA206" s="203" t="n"/>
      <c r="AB206" s="204" t="inlineStr">
        <is>
          <t>09-XL-307HG/PYCNT/CKN/M1/C1-1</t>
        </is>
      </c>
      <c r="AC206" s="204">
        <f>AC205</f>
        <v/>
      </c>
      <c r="AD206" s="204" t="n"/>
      <c r="AE206" s="204" t="n"/>
      <c r="AF206" s="204" t="n"/>
      <c r="AG206" s="204" t="n"/>
      <c r="AH206" s="204" t="inlineStr">
        <is>
          <t>CKN</t>
        </is>
      </c>
      <c r="AI206" s="207" t="n"/>
      <c r="AJ206" s="202" t="n"/>
      <c r="AK206" s="206" t="n"/>
      <c r="AL206" s="202" t="n"/>
      <c r="AM206" s="202" t="n"/>
      <c r="AN206" s="202" t="n"/>
      <c r="AO206" s="202" t="n"/>
      <c r="AP206" s="207" t="n"/>
      <c r="AQ206" s="207" t="inlineStr">
        <is>
          <t>Ảnh\PL02 CKN.png</t>
        </is>
      </c>
      <c r="AR206" s="202" t="inlineStr">
        <is>
          <t>Nhóm 1</t>
        </is>
      </c>
      <c r="AS206" s="202" t="n"/>
      <c r="AT206" s="202" t="inlineStr">
        <is>
          <t>HM04</t>
        </is>
      </c>
      <c r="AU206" s="202" t="inlineStr">
        <is>
          <t>PL02</t>
        </is>
      </c>
      <c r="AV206" s="202" t="n">
        <v>27</v>
      </c>
      <c r="AW206" s="202" t="n">
        <v>1</v>
      </c>
      <c r="AX206" s="202" t="n"/>
    </row>
    <row r="207">
      <c r="A207" s="56" t="inlineStr">
        <is>
          <t>BBK721</t>
        </is>
      </c>
      <c r="B207" s="56" t="inlineStr">
        <is>
          <t>PL02a</t>
        </is>
      </c>
      <c r="C207" s="56" t="inlineStr">
        <is>
          <t>BBK721.0339806</t>
        </is>
      </c>
      <c r="D207" s="57" t="n"/>
      <c r="E207" s="57" t="n"/>
      <c r="F207" s="57" t="n"/>
      <c r="G207" s="57" t="n"/>
      <c r="H207" s="57" t="n"/>
      <c r="J207" s="198" t="inlineStr">
        <is>
          <t>08</t>
        </is>
      </c>
      <c r="K207" s="198" t="inlineStr">
        <is>
          <t>PL02a</t>
        </is>
      </c>
      <c r="L207" s="199" t="inlineStr">
        <is>
          <t>Kiểm tra ống vách thi công trước khi hạ</t>
        </is>
      </c>
      <c r="M207" s="199" t="n"/>
      <c r="N207" s="199" t="n"/>
      <c r="O207" s="200" t="inlineStr">
        <is>
          <t>Cầu Km19+529.080</t>
        </is>
      </c>
      <c r="P207" s="201" t="n"/>
      <c r="Q207" s="201" t="n"/>
      <c r="R207" s="201" t="n"/>
      <c r="S207" s="201">
        <f>S206</f>
        <v/>
      </c>
      <c r="T207" s="201" t="n"/>
      <c r="U207" s="201" t="n"/>
      <c r="V207" s="201" t="n"/>
      <c r="W207" s="202" t="n"/>
      <c r="X207" s="202" t="n"/>
      <c r="Y207" s="202" t="n"/>
      <c r="Z207" s="198" t="inlineStr">
        <is>
          <t>02a</t>
        </is>
      </c>
      <c r="AA207" s="203" t="n"/>
      <c r="AB207" s="204" t="inlineStr">
        <is>
          <t>09-XL-307HG/PYCNT/CKN/M1/C1-1</t>
        </is>
      </c>
      <c r="AC207" s="204">
        <f>AC206</f>
        <v/>
      </c>
      <c r="AD207" s="204" t="n"/>
      <c r="AE207" s="204" t="n"/>
      <c r="AF207" s="204" t="n"/>
      <c r="AG207" s="204" t="n"/>
      <c r="AH207" s="204" t="n"/>
      <c r="AI207" s="207" t="n"/>
      <c r="AJ207" s="202" t="n"/>
      <c r="AK207" s="206" t="n"/>
      <c r="AL207" s="202" t="n"/>
      <c r="AM207" s="202" t="n"/>
      <c r="AN207" s="202" t="n"/>
      <c r="AO207" s="202" t="n"/>
      <c r="AP207" s="207" t="n"/>
      <c r="AQ207" s="207" t="n"/>
      <c r="AR207" s="202" t="inlineStr">
        <is>
          <t>Nhóm 1</t>
        </is>
      </c>
      <c r="AS207" s="202" t="n"/>
      <c r="AT207" s="202" t="inlineStr">
        <is>
          <t>HM04</t>
        </is>
      </c>
      <c r="AU207" s="202" t="inlineStr">
        <is>
          <t>PL02a</t>
        </is>
      </c>
      <c r="AV207" s="202" t="n">
        <v>25</v>
      </c>
      <c r="AW207" s="202" t="n">
        <v>1</v>
      </c>
      <c r="AX207" s="202" t="n"/>
    </row>
    <row r="208" ht="28" customHeight="1" s="672">
      <c r="A208" s="56" t="inlineStr">
        <is>
          <t>NTCV</t>
        </is>
      </c>
      <c r="B208" s="56" t="inlineStr">
        <is>
          <t>K.9999</t>
        </is>
      </c>
      <c r="C208" s="56" t="inlineStr">
        <is>
          <t>NTCV.0495211</t>
        </is>
      </c>
      <c r="D208" s="57" t="n"/>
      <c r="E208" s="57" t="n"/>
      <c r="F208" s="57" t="n"/>
      <c r="G208" s="57" t="n"/>
      <c r="H208" s="57" t="n"/>
      <c r="J208" s="209" t="inlineStr">
        <is>
          <t>09</t>
        </is>
      </c>
      <c r="K208" s="209" t="inlineStr">
        <is>
          <t>K.9999</t>
        </is>
      </c>
      <c r="L208" s="210" t="inlineStr">
        <is>
          <t>Kiểm tra định vị tim cọc khoan nhồi, hạ ống vách thi công</t>
        </is>
      </c>
      <c r="M208" s="210" t="n"/>
      <c r="N208" s="210" t="n"/>
      <c r="O208" s="211" t="inlineStr">
        <is>
          <t>Cầu Km19+529.080</t>
        </is>
      </c>
      <c r="P208" s="212">
        <f>S205</f>
        <v/>
      </c>
      <c r="Q208" s="212">
        <f>P208</f>
        <v/>
      </c>
      <c r="R208" s="212">
        <f>Q208-1</f>
        <v/>
      </c>
      <c r="S208" s="212">
        <f>Q208</f>
        <v/>
      </c>
      <c r="T208" s="213">
        <f>U205</f>
        <v/>
      </c>
      <c r="U208" s="213">
        <f>T208+V208</f>
        <v/>
      </c>
      <c r="V208" s="213" t="n">
        <v>0.02083333333333333</v>
      </c>
      <c r="W208" s="214">
        <f>TEXT(T208,"HH""h""MM'")&amp;"÷"&amp;TEXT(U208,"HH""h""MM'")</f>
        <v/>
      </c>
      <c r="X208" s="214" t="n"/>
      <c r="Y208" s="214" t="n"/>
      <c r="Z208" s="214" t="inlineStr">
        <is>
          <t>03;</t>
        </is>
      </c>
      <c r="AA208" s="215" t="inlineStr">
        <is>
          <t>Kiểm tra định vị Cọc khoan nhồi Mố M1 - Cọc C1</t>
        </is>
      </c>
      <c r="AB208" s="204" t="inlineStr">
        <is>
          <t>09-XL-307HG/PYCNT/CKN/M1/C1-1</t>
        </is>
      </c>
      <c r="AC208" s="204" t="inlineStr">
        <is>
          <t>09-XL-307HG/BBNT/CKN/M1/C1-3</t>
        </is>
      </c>
      <c r="AD208" s="204" t="n"/>
      <c r="AE208" s="204" t="n"/>
      <c r="AF208" s="204" t="n"/>
      <c r="AG208" s="204" t="n"/>
      <c r="AH208" s="204" t="n"/>
      <c r="AI208" s="216" t="n"/>
      <c r="AJ208" s="214" t="n"/>
      <c r="AK208" s="217" t="n"/>
      <c r="AL208" s="214" t="n"/>
      <c r="AM208" s="214" t="n"/>
      <c r="AN208" s="214" t="n"/>
      <c r="AO208" s="214" t="n"/>
      <c r="AP208" s="216" t="n"/>
      <c r="AQ208" s="216" t="n"/>
      <c r="AR208" s="214" t="inlineStr">
        <is>
          <t>Nhóm 1</t>
        </is>
      </c>
      <c r="AS208" s="214" t="n"/>
      <c r="AT208" s="214" t="inlineStr">
        <is>
          <t>HM04</t>
        </is>
      </c>
      <c r="AU208" s="214" t="inlineStr">
        <is>
          <t>NTCV</t>
        </is>
      </c>
      <c r="AV208" s="214" t="n">
        <v>328</v>
      </c>
      <c r="AW208" s="214" t="n">
        <v>2</v>
      </c>
      <c r="AX208" s="214" t="n"/>
    </row>
    <row r="209" ht="28" customHeight="1" s="672">
      <c r="A209" s="56" t="inlineStr">
        <is>
          <t>BBK478</t>
        </is>
      </c>
      <c r="B209" s="56" t="inlineStr">
        <is>
          <t>PL03</t>
        </is>
      </c>
      <c r="C209" s="56" t="inlineStr">
        <is>
          <t>BBK478.0412967</t>
        </is>
      </c>
      <c r="D209" s="57" t="n"/>
      <c r="E209" s="57" t="n"/>
      <c r="F209" s="57" t="n"/>
      <c r="G209" s="57" t="n"/>
      <c r="H209" s="57" t="n"/>
      <c r="J209" s="198" t="inlineStr">
        <is>
          <t>10</t>
        </is>
      </c>
      <c r="K209" s="198" t="inlineStr">
        <is>
          <t>PL03</t>
        </is>
      </c>
      <c r="L209" s="199" t="inlineStr">
        <is>
          <t>Kiểm tra định vị tim cọc khoan nhồi, hạ ống vách thi công</t>
        </is>
      </c>
      <c r="M209" s="199" t="n"/>
      <c r="N209" s="199" t="n"/>
      <c r="O209" s="200" t="inlineStr">
        <is>
          <t>Cầu Km19+529.080</t>
        </is>
      </c>
      <c r="P209" s="201" t="n"/>
      <c r="Q209" s="201" t="n"/>
      <c r="R209" s="201" t="n"/>
      <c r="S209" s="201">
        <f>S208</f>
        <v/>
      </c>
      <c r="T209" s="201" t="n"/>
      <c r="U209" s="201" t="n"/>
      <c r="V209" s="201" t="n"/>
      <c r="W209" s="202" t="n"/>
      <c r="X209" s="202" t="n"/>
      <c r="Y209" s="202" t="n"/>
      <c r="Z209" s="198" t="inlineStr">
        <is>
          <t>03</t>
        </is>
      </c>
      <c r="AA209" s="203" t="n"/>
      <c r="AB209" s="204" t="inlineStr">
        <is>
          <t>09-XL-307HG/PYCNT/CKN/M1/C1-1</t>
        </is>
      </c>
      <c r="AC209" s="204">
        <f>AC208</f>
        <v/>
      </c>
      <c r="AD209" s="204" t="n">
        <v>2481729.205</v>
      </c>
      <c r="AE209" s="204" t="n">
        <v>382376.016</v>
      </c>
      <c r="AF209" s="204" t="n">
        <v>193.084</v>
      </c>
      <c r="AG209" s="204" t="n"/>
      <c r="AH209" s="204" t="inlineStr">
        <is>
          <t>&gt;=1;&lt;=20</t>
        </is>
      </c>
      <c r="AI209" s="207" t="n"/>
      <c r="AJ209" s="202" t="n"/>
      <c r="AK209" s="206" t="n"/>
      <c r="AL209" s="202" t="n"/>
      <c r="AM209" s="202" t="n"/>
      <c r="AN209" s="202" t="n"/>
      <c r="AO209" s="202" t="n"/>
      <c r="AP209" s="207" t="n"/>
      <c r="AQ209" s="207" t="n"/>
      <c r="AR209" s="202" t="inlineStr">
        <is>
          <t>Nhóm 1</t>
        </is>
      </c>
      <c r="AS209" s="202" t="n"/>
      <c r="AT209" s="202" t="inlineStr">
        <is>
          <t>HM04</t>
        </is>
      </c>
      <c r="AU209" s="202" t="inlineStr">
        <is>
          <t>PL03</t>
        </is>
      </c>
      <c r="AV209" s="202" t="n">
        <v>25</v>
      </c>
      <c r="AW209" s="202" t="n">
        <v>1</v>
      </c>
      <c r="AX209" s="202" t="n"/>
    </row>
    <row r="210" ht="28" customHeight="1" s="672">
      <c r="A210" s="56" t="inlineStr">
        <is>
          <t>NTCV</t>
        </is>
      </c>
      <c r="B210" s="56" t="inlineStr">
        <is>
          <t>K.9999</t>
        </is>
      </c>
      <c r="C210" s="56" t="inlineStr">
        <is>
          <t>NTCV.0695281</t>
        </is>
      </c>
      <c r="D210" s="57" t="n"/>
      <c r="E210" s="57" t="n"/>
      <c r="F210" s="57" t="n"/>
      <c r="G210" s="57" t="n"/>
      <c r="H210" s="57" t="n"/>
      <c r="J210" s="209" t="inlineStr">
        <is>
          <t>11</t>
        </is>
      </c>
      <c r="K210" s="209" t="inlineStr">
        <is>
          <t>K.9999</t>
        </is>
      </c>
      <c r="L210" s="210" t="inlineStr">
        <is>
          <t>Nghiệm thu lồng thép cọc khoan nhồi trước khi hạ</t>
        </is>
      </c>
      <c r="M210" s="210" t="n"/>
      <c r="N210" s="210" t="n"/>
      <c r="O210" s="211" t="inlineStr">
        <is>
          <t>Cầu Km19+529.080</t>
        </is>
      </c>
      <c r="P210" s="212">
        <f>S208</f>
        <v/>
      </c>
      <c r="Q210" s="212">
        <f>P210</f>
        <v/>
      </c>
      <c r="R210" s="212">
        <f>Q210-1</f>
        <v/>
      </c>
      <c r="S210" s="212">
        <f>Q210</f>
        <v/>
      </c>
      <c r="T210" s="213">
        <f>U208</f>
        <v/>
      </c>
      <c r="U210" s="213">
        <f>T210+V210</f>
        <v/>
      </c>
      <c r="V210" s="213" t="n">
        <v>0.02083333333333333</v>
      </c>
      <c r="W210" s="214">
        <f>TEXT(T210,"HH""h""MM'")&amp;"÷"&amp;TEXT(U210,"HH""h""MM'")</f>
        <v/>
      </c>
      <c r="X210" s="214" t="n"/>
      <c r="Y210" s="214" t="n"/>
      <c r="Z210" s="214" t="inlineStr">
        <is>
          <t>04;</t>
        </is>
      </c>
      <c r="AA210" s="215" t="inlineStr">
        <is>
          <t>Nghiệm thu lồng thép Cọc khoan nhồi Mố M1 - Cọc C1</t>
        </is>
      </c>
      <c r="AB210" s="204" t="inlineStr">
        <is>
          <t>09-XL-307HG/PYCNT/CKN/M1/C1-1</t>
        </is>
      </c>
      <c r="AC210" s="204" t="inlineStr">
        <is>
          <t>09-XL-307HG/BBNT/CKN/M1/C1-4</t>
        </is>
      </c>
      <c r="AD210" s="204" t="n"/>
      <c r="AE210" s="204" t="n"/>
      <c r="AF210" s="204" t="n"/>
      <c r="AG210" s="204" t="n"/>
      <c r="AH210" s="204" t="n"/>
      <c r="AI210" s="216" t="n"/>
      <c r="AJ210" s="214" t="n"/>
      <c r="AK210" s="217" t="n"/>
      <c r="AL210" s="214" t="n"/>
      <c r="AM210" s="214" t="n"/>
      <c r="AN210" s="214" t="n"/>
      <c r="AO210" s="214" t="n"/>
      <c r="AP210" s="216" t="n"/>
      <c r="AQ210" s="216" t="n"/>
      <c r="AR210" s="214" t="inlineStr">
        <is>
          <t>Nhóm 1</t>
        </is>
      </c>
      <c r="AS210" s="214" t="n"/>
      <c r="AT210" s="214" t="inlineStr">
        <is>
          <t>HM04</t>
        </is>
      </c>
      <c r="AU210" s="214" t="inlineStr">
        <is>
          <t>NTCV</t>
        </is>
      </c>
      <c r="AV210" s="214" t="n">
        <v>329</v>
      </c>
      <c r="AW210" s="214" t="n">
        <v>3</v>
      </c>
      <c r="AX210" s="214" t="n"/>
    </row>
    <row r="211">
      <c r="A211" s="56" t="inlineStr">
        <is>
          <t>BBK096</t>
        </is>
      </c>
      <c r="B211" s="56" t="inlineStr">
        <is>
          <t>PL04</t>
        </is>
      </c>
      <c r="C211" s="56" t="inlineStr">
        <is>
          <t>BBK096.0179089</t>
        </is>
      </c>
      <c r="D211" s="57" t="n"/>
      <c r="E211" s="57" t="n"/>
      <c r="F211" s="57" t="n"/>
      <c r="G211" s="57" t="n"/>
      <c r="H211" s="57" t="n"/>
      <c r="J211" s="198" t="inlineStr">
        <is>
          <t>12</t>
        </is>
      </c>
      <c r="K211" s="198" t="inlineStr">
        <is>
          <t>PL04</t>
        </is>
      </c>
      <c r="L211" s="199" t="inlineStr">
        <is>
          <t>Nghiệm thu lồng thép cọc khoan nhồi trước khi hạ</t>
        </is>
      </c>
      <c r="M211" s="199" t="n"/>
      <c r="N211" s="199" t="n"/>
      <c r="O211" s="200" t="inlineStr">
        <is>
          <t>Cầu Km19+529.080</t>
        </is>
      </c>
      <c r="P211" s="201" t="n"/>
      <c r="Q211" s="201" t="n"/>
      <c r="R211" s="201" t="n"/>
      <c r="S211" s="201">
        <f>S210</f>
        <v/>
      </c>
      <c r="T211" s="201" t="n"/>
      <c r="U211" s="201" t="n"/>
      <c r="V211" s="201" t="n"/>
      <c r="W211" s="202" t="n"/>
      <c r="X211" s="202" t="n"/>
      <c r="Y211" s="202" t="n"/>
      <c r="Z211" s="198" t="inlineStr">
        <is>
          <t>04</t>
        </is>
      </c>
      <c r="AA211" s="203" t="n"/>
      <c r="AB211" s="204" t="inlineStr">
        <is>
          <t>09-XL-307HG/PYCNT/CKN/M1/C1-1</t>
        </is>
      </c>
      <c r="AC211" s="204">
        <f>AC210</f>
        <v/>
      </c>
      <c r="AD211" s="204" t="n"/>
      <c r="AE211" s="204" t="n"/>
      <c r="AF211" s="204" t="n"/>
      <c r="AG211" s="204" t="n"/>
      <c r="AH211" s="204" t="inlineStr">
        <is>
          <t>M1</t>
        </is>
      </c>
      <c r="AI211" s="207" t="n"/>
      <c r="AJ211" s="202" t="n"/>
      <c r="AK211" s="206" t="n"/>
      <c r="AL211" s="202" t="n"/>
      <c r="AM211" s="202" t="n"/>
      <c r="AN211" s="202" t="n"/>
      <c r="AO211" s="202" t="n"/>
      <c r="AP211" s="207" t="n"/>
      <c r="AQ211" s="207" t="n"/>
      <c r="AR211" s="202" t="inlineStr">
        <is>
          <t>Nhóm 1</t>
        </is>
      </c>
      <c r="AS211" s="202" t="n"/>
      <c r="AT211" s="202" t="inlineStr">
        <is>
          <t>HM04</t>
        </is>
      </c>
      <c r="AU211" s="202" t="inlineStr">
        <is>
          <t>PL04</t>
        </is>
      </c>
      <c r="AV211" s="202" t="n">
        <v>25</v>
      </c>
      <c r="AW211" s="202" t="n">
        <v>1</v>
      </c>
      <c r="AX211" s="202" t="n"/>
    </row>
    <row r="212" ht="28" customHeight="1" s="672">
      <c r="A212" s="56" t="inlineStr">
        <is>
          <t>NTCV</t>
        </is>
      </c>
      <c r="B212" s="56" t="inlineStr">
        <is>
          <t>K.9999</t>
        </is>
      </c>
      <c r="C212" s="56" t="inlineStr">
        <is>
          <t>NTCV.0422918</t>
        </is>
      </c>
      <c r="D212" s="57" t="n"/>
      <c r="E212" s="57" t="n"/>
      <c r="F212" s="57" t="n"/>
      <c r="G212" s="57" t="n"/>
      <c r="H212" s="57" t="n"/>
      <c r="J212" s="209" t="inlineStr">
        <is>
          <t>13</t>
        </is>
      </c>
      <c r="K212" s="209" t="inlineStr">
        <is>
          <t>K.9999</t>
        </is>
      </c>
      <c r="L212" s="210" t="inlineStr">
        <is>
          <t xml:space="preserve">Kiểm tra công tác khoan tạo lỗ cọc khoan nhồi </t>
        </is>
      </c>
      <c r="M212" s="210" t="n"/>
      <c r="N212" s="210" t="n"/>
      <c r="O212" s="211" t="inlineStr">
        <is>
          <t>Cầu Km19+529.080</t>
        </is>
      </c>
      <c r="P212" s="212">
        <f>S210</f>
        <v/>
      </c>
      <c r="Q212" s="212">
        <f>P212</f>
        <v/>
      </c>
      <c r="R212" s="212">
        <f>Q212-1</f>
        <v/>
      </c>
      <c r="S212" s="212">
        <f>Q212</f>
        <v/>
      </c>
      <c r="T212" s="213">
        <f>U210</f>
        <v/>
      </c>
      <c r="U212" s="213">
        <f>T212+V212</f>
        <v/>
      </c>
      <c r="V212" s="213" t="n">
        <v>0.2395833333333333</v>
      </c>
      <c r="W212" s="214">
        <f>TEXT(T212,"HH""h""MM'")&amp;"÷"&amp;TEXT(U212,"HH""h""MM'")</f>
        <v/>
      </c>
      <c r="X212" s="214" t="n"/>
      <c r="Y212" s="214" t="n"/>
      <c r="Z212" s="214" t="inlineStr">
        <is>
          <t>05;</t>
        </is>
      </c>
      <c r="AA212" s="215" t="inlineStr">
        <is>
          <t>Kiểm tra công tác khoan tạo lỗ Cọc khoan nhồi Mố M1 - Cọc C1</t>
        </is>
      </c>
      <c r="AB212" s="204" t="inlineStr">
        <is>
          <t>09-XL-307HG/PYCNT/CKN/M1/C1-1</t>
        </is>
      </c>
      <c r="AC212" s="204" t="inlineStr">
        <is>
          <t>09-XL-307HG/BBNT/CKN/M1/C1-5</t>
        </is>
      </c>
      <c r="AD212" s="204" t="n"/>
      <c r="AE212" s="204" t="n"/>
      <c r="AF212" s="204" t="n"/>
      <c r="AG212" s="204" t="n"/>
      <c r="AH212" s="204" t="n"/>
      <c r="AI212" s="216" t="n"/>
      <c r="AJ212" s="214" t="n"/>
      <c r="AK212" s="217" t="n"/>
      <c r="AL212" s="214" t="n"/>
      <c r="AM212" s="214" t="n"/>
      <c r="AN212" s="214" t="n"/>
      <c r="AO212" s="214" t="n"/>
      <c r="AP212" s="216" t="n"/>
      <c r="AQ212" s="216" t="n"/>
      <c r="AR212" s="214" t="inlineStr">
        <is>
          <t>Nhóm 1</t>
        </is>
      </c>
      <c r="AS212" s="214" t="n"/>
      <c r="AT212" s="214" t="inlineStr">
        <is>
          <t>HM04</t>
        </is>
      </c>
      <c r="AU212" s="214" t="inlineStr">
        <is>
          <t>NTCV</t>
        </is>
      </c>
      <c r="AV212" s="214" t="n">
        <v>334</v>
      </c>
      <c r="AW212" s="214" t="n">
        <v>4</v>
      </c>
      <c r="AX212" s="214" t="n"/>
    </row>
    <row r="213">
      <c r="A213" s="56" t="inlineStr">
        <is>
          <t>BBK638</t>
        </is>
      </c>
      <c r="B213" s="56" t="inlineStr">
        <is>
          <t>PL05</t>
        </is>
      </c>
      <c r="C213" s="56" t="inlineStr">
        <is>
          <t>BBK638.0543177</t>
        </is>
      </c>
      <c r="D213" s="57" t="n"/>
      <c r="E213" s="57" t="n"/>
      <c r="F213" s="57" t="n"/>
      <c r="G213" s="57" t="n"/>
      <c r="H213" s="57" t="n"/>
      <c r="J213" s="198" t="inlineStr">
        <is>
          <t>14</t>
        </is>
      </c>
      <c r="K213" s="198" t="inlineStr">
        <is>
          <t>PL05</t>
        </is>
      </c>
      <c r="L213" s="199" t="inlineStr">
        <is>
          <t>Kiểm tra công tác khoan tạo lỗ cọc khoan nhồi</t>
        </is>
      </c>
      <c r="M213" s="199" t="n"/>
      <c r="N213" s="199" t="n"/>
      <c r="O213" s="200" t="inlineStr">
        <is>
          <t>Cầu Km19+529.080</t>
        </is>
      </c>
      <c r="P213" s="201" t="n"/>
      <c r="Q213" s="201" t="n"/>
      <c r="R213" s="201" t="n"/>
      <c r="S213" s="201">
        <f>S212</f>
        <v/>
      </c>
      <c r="T213" s="208">
        <f>T212</f>
        <v/>
      </c>
      <c r="U213" s="208" t="n">
        <v>0.6145833333333334</v>
      </c>
      <c r="V213" s="208">
        <f>U213-T213</f>
        <v/>
      </c>
      <c r="W213" s="202" t="n"/>
      <c r="X213" s="202" t="n"/>
      <c r="Y213" s="202" t="n"/>
      <c r="Z213" s="198" t="inlineStr">
        <is>
          <t>05</t>
        </is>
      </c>
      <c r="AA213" s="203" t="n"/>
      <c r="AB213" s="204" t="inlineStr">
        <is>
          <t>09-XL-307HG/PYCNT/CKN/M1/C1</t>
        </is>
      </c>
      <c r="AC213" s="204">
        <f>AC212</f>
        <v/>
      </c>
      <c r="AD213" s="204" t="n"/>
      <c r="AE213" s="204" t="n"/>
      <c r="AF213" s="204" t="n">
        <v>193.084</v>
      </c>
      <c r="AG213" s="204" t="n"/>
      <c r="AH213" s="204" t="inlineStr">
        <is>
          <t>M1-C1</t>
        </is>
      </c>
      <c r="AI213" s="207" t="n"/>
      <c r="AJ213" s="202" t="n"/>
      <c r="AK213" s="206" t="n"/>
      <c r="AL213" s="202" t="n"/>
      <c r="AM213" s="202" t="n"/>
      <c r="AN213" s="202" t="n"/>
      <c r="AO213" s="202" t="n"/>
      <c r="AP213" s="207" t="n"/>
      <c r="AQ213" s="207" t="n"/>
      <c r="AR213" s="202" t="inlineStr">
        <is>
          <t>Nhóm 1</t>
        </is>
      </c>
      <c r="AS213" s="202" t="n"/>
      <c r="AT213" s="202" t="inlineStr">
        <is>
          <t>HM04</t>
        </is>
      </c>
      <c r="AU213" s="202" t="inlineStr">
        <is>
          <t>PL05</t>
        </is>
      </c>
      <c r="AV213" s="202" t="n">
        <v>25</v>
      </c>
      <c r="AW213" s="202" t="n">
        <v>1</v>
      </c>
      <c r="AX213" s="202" t="n"/>
    </row>
    <row r="214">
      <c r="A214" s="56" t="inlineStr">
        <is>
          <t>BBK680</t>
        </is>
      </c>
      <c r="B214" s="56" t="inlineStr">
        <is>
          <t>PYC</t>
        </is>
      </c>
      <c r="C214" s="56" t="inlineStr">
        <is>
          <t>BBK680.0814663</t>
        </is>
      </c>
      <c r="D214" s="57" t="n"/>
      <c r="E214" s="57" t="n"/>
      <c r="F214" s="57" t="n"/>
      <c r="G214" s="57" t="n"/>
      <c r="H214" s="57" t="n"/>
      <c r="J214" s="198" t="inlineStr">
        <is>
          <t>15</t>
        </is>
      </c>
      <c r="K214" s="198" t="inlineStr">
        <is>
          <t>PYC</t>
        </is>
      </c>
      <c r="L214" s="199" t="inlineStr">
        <is>
          <t>Phiếu yêu cầu nghiệm thu</t>
        </is>
      </c>
      <c r="M214" s="199" t="n"/>
      <c r="N214" s="199" t="n"/>
      <c r="O214" s="200" t="inlineStr">
        <is>
          <t>Cầu Km19+529.080</t>
        </is>
      </c>
      <c r="P214" s="201" t="n"/>
      <c r="Q214" s="201" t="n"/>
      <c r="R214" s="201">
        <f>R215</f>
        <v/>
      </c>
      <c r="S214" s="201" t="n"/>
      <c r="T214" s="201" t="n"/>
      <c r="U214" s="201" t="n"/>
      <c r="V214" s="201" t="n"/>
      <c r="W214" s="202" t="n"/>
      <c r="X214" s="202" t="n"/>
      <c r="Y214" s="202" t="n"/>
      <c r="Z214" s="202" t="n"/>
      <c r="AA214" s="203" t="n"/>
      <c r="AB214" s="204" t="inlineStr">
        <is>
          <t>09-XL-307HG/PYCNT/CKN/M1/C1</t>
        </is>
      </c>
      <c r="AC214" s="205" t="n"/>
      <c r="AD214" s="205" t="n"/>
      <c r="AE214" s="205" t="n"/>
      <c r="AF214" s="205" t="n"/>
      <c r="AG214" s="205" t="inlineStr">
        <is>
          <t>NTCV;BBKTĐK</t>
        </is>
      </c>
      <c r="AH214" s="204" t="inlineStr">
        <is>
          <t>&gt;=6;&lt;=10</t>
        </is>
      </c>
      <c r="AI214" s="202" t="n"/>
      <c r="AJ214" s="202" t="n"/>
      <c r="AK214" s="206" t="n"/>
      <c r="AL214" s="202" t="n"/>
      <c r="AM214" s="202" t="n"/>
      <c r="AN214" s="202" t="n"/>
      <c r="AO214" s="202" t="n"/>
      <c r="AP214" s="207" t="n"/>
      <c r="AQ214" s="207" t="n"/>
      <c r="AR214" s="202" t="inlineStr">
        <is>
          <t>Nhóm 1</t>
        </is>
      </c>
      <c r="AS214" s="202" t="n"/>
      <c r="AT214" s="202" t="inlineStr">
        <is>
          <t>HM04</t>
        </is>
      </c>
      <c r="AU214" s="202" t="inlineStr">
        <is>
          <t>PYC</t>
        </is>
      </c>
      <c r="AV214" s="202" t="n">
        <v>142</v>
      </c>
      <c r="AW214" s="202" t="n">
        <v>2</v>
      </c>
      <c r="AX214" s="202" t="n"/>
    </row>
    <row r="215" ht="42" customHeight="1" s="672">
      <c r="A215" s="56" t="inlineStr">
        <is>
          <t>NTCV</t>
        </is>
      </c>
      <c r="B215" s="56" t="inlineStr">
        <is>
          <t>K.9999</t>
        </is>
      </c>
      <c r="C215" s="56" t="inlineStr">
        <is>
          <t>NTCV.0540913</t>
        </is>
      </c>
      <c r="D215" s="57" t="n"/>
      <c r="E215" s="57" t="n"/>
      <c r="F215" s="57" t="n"/>
      <c r="G215" s="57" t="n"/>
      <c r="H215" s="57" t="n"/>
      <c r="J215" s="209" t="inlineStr">
        <is>
          <t>16</t>
        </is>
      </c>
      <c r="K215" s="209" t="inlineStr">
        <is>
          <t>K.9999</t>
        </is>
      </c>
      <c r="L215" s="210" t="inlineStr">
        <is>
          <t>Kiểm tra công tác vệ sinh lỗ khoan trước khi hạ lồng cốt thép cọc khoan nhồi</t>
        </is>
      </c>
      <c r="M215" s="210" t="n"/>
      <c r="N215" s="210" t="n"/>
      <c r="O215" s="211" t="inlineStr">
        <is>
          <t>Cầu Km19+529.080</t>
        </is>
      </c>
      <c r="P215" s="212">
        <f>S212+1</f>
        <v/>
      </c>
      <c r="Q215" s="212">
        <f>P215</f>
        <v/>
      </c>
      <c r="R215" s="212">
        <f>Q215-1</f>
        <v/>
      </c>
      <c r="S215" s="212">
        <f>Q215</f>
        <v/>
      </c>
      <c r="T215" s="213" t="n">
        <v>0.3333333333333333</v>
      </c>
      <c r="U215" s="213">
        <f>T215+V215</f>
        <v/>
      </c>
      <c r="V215" s="213" t="n">
        <v>0.01041666666666667</v>
      </c>
      <c r="W215" s="214">
        <f>TEXT(T215,"HH""h""MM'")&amp;"÷"&amp;TEXT(U215,"HH""h""MM'")</f>
        <v/>
      </c>
      <c r="X215" s="214" t="n"/>
      <c r="Y215" s="214" t="n"/>
      <c r="Z215" s="214" t="inlineStr">
        <is>
          <t>06;</t>
        </is>
      </c>
      <c r="AA215" s="215" t="inlineStr">
        <is>
          <t>Kiểm tra công tác vệ sinh lỗ khoan trước khi hạ lồng cốt thép Cọc khoan nhồi Mố M1 - Cọc C1</t>
        </is>
      </c>
      <c r="AB215" s="204" t="inlineStr">
        <is>
          <t>09-XL-307HG/PYCNT/CKN/M1/C1-2</t>
        </is>
      </c>
      <c r="AC215" s="204" t="inlineStr">
        <is>
          <t>09-XL-307HG/BBNT/CKN/M1/C1-6</t>
        </is>
      </c>
      <c r="AD215" s="204" t="n"/>
      <c r="AE215" s="204" t="n"/>
      <c r="AF215" s="204" t="n"/>
      <c r="AG215" s="204" t="n"/>
      <c r="AH215" s="204" t="n"/>
      <c r="AI215" s="216" t="n"/>
      <c r="AJ215" s="214" t="n"/>
      <c r="AK215" s="217" t="n"/>
      <c r="AL215" s="214" t="n"/>
      <c r="AM215" s="214" t="n"/>
      <c r="AN215" s="214" t="n"/>
      <c r="AO215" s="214" t="n"/>
      <c r="AP215" s="216" t="n"/>
      <c r="AQ215" s="216" t="n"/>
      <c r="AR215" s="214" t="inlineStr">
        <is>
          <t>Nhóm 1</t>
        </is>
      </c>
      <c r="AS215" s="214" t="n"/>
      <c r="AT215" s="214" t="inlineStr">
        <is>
          <t>HM04</t>
        </is>
      </c>
      <c r="AU215" s="214" t="inlineStr">
        <is>
          <t>NTCV</t>
        </is>
      </c>
      <c r="AV215" s="214" t="n">
        <v>342</v>
      </c>
      <c r="AW215" s="214" t="n">
        <v>5</v>
      </c>
      <c r="AX215" s="214" t="n"/>
    </row>
    <row r="216" ht="28" customHeight="1" s="672">
      <c r="A216" s="56" t="inlineStr">
        <is>
          <t>BBK570</t>
        </is>
      </c>
      <c r="B216" s="56" t="inlineStr">
        <is>
          <t>PL06</t>
        </is>
      </c>
      <c r="C216" s="56" t="inlineStr">
        <is>
          <t>BBK570.0427533</t>
        </is>
      </c>
      <c r="D216" s="57" t="n"/>
      <c r="E216" s="57" t="n"/>
      <c r="F216" s="57" t="n"/>
      <c r="G216" s="57" t="n"/>
      <c r="H216" s="57" t="n"/>
      <c r="J216" s="198" t="inlineStr">
        <is>
          <t>17</t>
        </is>
      </c>
      <c r="K216" s="198" t="inlineStr">
        <is>
          <t>PL06</t>
        </is>
      </c>
      <c r="L216" s="199" t="inlineStr">
        <is>
          <t>Kiểm tra công tác vệ sinh lỗ khoan trước khi hạ lồng cốt thép cọc khoan nhồi</t>
        </is>
      </c>
      <c r="M216" s="199" t="n"/>
      <c r="N216" s="199" t="n"/>
      <c r="O216" s="200" t="inlineStr">
        <is>
          <t>Cầu Km19+529.080</t>
        </is>
      </c>
      <c r="P216" s="201" t="n"/>
      <c r="Q216" s="201" t="n"/>
      <c r="R216" s="201" t="n"/>
      <c r="S216" s="201">
        <f>S215</f>
        <v/>
      </c>
      <c r="T216" s="201" t="n"/>
      <c r="U216" s="201" t="n"/>
      <c r="V216" s="201" t="n"/>
      <c r="W216" s="202" t="n"/>
      <c r="X216" s="202" t="n">
        <v>171.084</v>
      </c>
      <c r="Y216" s="202">
        <f>X216-0.02</f>
        <v/>
      </c>
      <c r="Z216" s="198" t="inlineStr">
        <is>
          <t>06</t>
        </is>
      </c>
      <c r="AA216" s="203" t="n"/>
      <c r="AB216" s="204" t="inlineStr">
        <is>
          <t>09-XL-307HG/PYCNT/CKN/M1/C1-2</t>
        </is>
      </c>
      <c r="AC216" s="204">
        <f>AC215</f>
        <v/>
      </c>
      <c r="AD216" s="204" t="n"/>
      <c r="AE216" s="204" t="n"/>
      <c r="AF216" s="204" t="n"/>
      <c r="AG216" s="204" t="n"/>
      <c r="AH216" s="204" t="n"/>
      <c r="AI216" s="202" t="n"/>
      <c r="AJ216" s="202" t="n"/>
      <c r="AK216" s="206" t="n"/>
      <c r="AL216" s="202" t="n"/>
      <c r="AM216" s="202" t="n"/>
      <c r="AN216" s="202" t="n"/>
      <c r="AO216" s="202" t="n"/>
      <c r="AP216" s="207" t="n"/>
      <c r="AQ216" s="207" t="n"/>
      <c r="AR216" s="202" t="inlineStr">
        <is>
          <t>Nhóm 1</t>
        </is>
      </c>
      <c r="AS216" s="202" t="n"/>
      <c r="AT216" s="202" t="inlineStr">
        <is>
          <t>HM04</t>
        </is>
      </c>
      <c r="AU216" s="202" t="inlineStr">
        <is>
          <t>PL06</t>
        </is>
      </c>
      <c r="AV216" s="202" t="n">
        <v>25</v>
      </c>
      <c r="AW216" s="202" t="n">
        <v>1</v>
      </c>
      <c r="AX216" s="202" t="n"/>
    </row>
    <row r="217" ht="28" customHeight="1" s="672">
      <c r="A217" s="56" t="inlineStr">
        <is>
          <t>NTCV</t>
        </is>
      </c>
      <c r="B217" s="56" t="inlineStr">
        <is>
          <t>K.9999</t>
        </is>
      </c>
      <c r="C217" s="56" t="inlineStr">
        <is>
          <t>NTCV.0509068</t>
        </is>
      </c>
      <c r="D217" s="57" t="n"/>
      <c r="E217" s="57" t="n"/>
      <c r="F217" s="57" t="n"/>
      <c r="G217" s="57" t="n"/>
      <c r="H217" s="57" t="n"/>
      <c r="J217" s="209" t="inlineStr">
        <is>
          <t>18</t>
        </is>
      </c>
      <c r="K217" s="209" t="inlineStr">
        <is>
          <t>K.9999</t>
        </is>
      </c>
      <c r="L217" s="210" t="inlineStr">
        <is>
          <t xml:space="preserve">Nghiệm thu công tác hạ lồng thép </t>
        </is>
      </c>
      <c r="M217" s="210" t="n"/>
      <c r="N217" s="210" t="n"/>
      <c r="O217" s="211" t="inlineStr">
        <is>
          <t>Cầu Km19+529.080</t>
        </is>
      </c>
      <c r="P217" s="212">
        <f>S215</f>
        <v/>
      </c>
      <c r="Q217" s="212">
        <f>P217</f>
        <v/>
      </c>
      <c r="R217" s="212">
        <f>Q217-1</f>
        <v/>
      </c>
      <c r="S217" s="212">
        <f>Q217</f>
        <v/>
      </c>
      <c r="T217" s="213">
        <f>U215</f>
        <v/>
      </c>
      <c r="U217" s="213">
        <f>T217+V217</f>
        <v/>
      </c>
      <c r="V217" s="213" t="n">
        <v>0.03125</v>
      </c>
      <c r="W217" s="214">
        <f>TEXT(T217,"HH""h""MM'")&amp;"÷"&amp;TEXT(U217,"HH""h""MM'")</f>
        <v/>
      </c>
      <c r="X217" s="214" t="n"/>
      <c r="Y217" s="214" t="n"/>
      <c r="Z217" s="214" t="inlineStr">
        <is>
          <t>07;</t>
        </is>
      </c>
      <c r="AA217" s="215" t="inlineStr">
        <is>
          <t>Công tác hạ lồng thép Cọc khoan nhồi Mố M1 - Cọc C1</t>
        </is>
      </c>
      <c r="AB217" s="204" t="inlineStr">
        <is>
          <t>09-XL-307HG/PYCNT/CKN/M1/C1-2</t>
        </is>
      </c>
      <c r="AC217" s="204" t="inlineStr">
        <is>
          <t>09-XL-307HG/BBNT/CKN/M1/C1-7</t>
        </is>
      </c>
      <c r="AD217" s="204" t="n"/>
      <c r="AE217" s="204" t="n"/>
      <c r="AF217" s="204" t="n"/>
      <c r="AG217" s="204" t="n"/>
      <c r="AH217" s="204" t="n"/>
      <c r="AI217" s="214" t="n"/>
      <c r="AJ217" s="214" t="n"/>
      <c r="AK217" s="217" t="n"/>
      <c r="AL217" s="214" t="n"/>
      <c r="AM217" s="214" t="n"/>
      <c r="AN217" s="214" t="n"/>
      <c r="AO217" s="214" t="n"/>
      <c r="AP217" s="216" t="n"/>
      <c r="AQ217" s="216" t="n"/>
      <c r="AR217" s="214" t="inlineStr">
        <is>
          <t>Nhóm 1</t>
        </is>
      </c>
      <c r="AS217" s="214" t="n"/>
      <c r="AT217" s="214" t="inlineStr">
        <is>
          <t>HM04</t>
        </is>
      </c>
      <c r="AU217" s="214" t="inlineStr">
        <is>
          <t>NTCV</t>
        </is>
      </c>
      <c r="AV217" s="214" t="n">
        <v>344</v>
      </c>
      <c r="AW217" s="214" t="n">
        <v>6</v>
      </c>
      <c r="AX217" s="214" t="n"/>
    </row>
    <row r="218">
      <c r="A218" s="56" t="inlineStr">
        <is>
          <t>BBK396</t>
        </is>
      </c>
      <c r="B218" s="56" t="inlineStr">
        <is>
          <t>PL07</t>
        </is>
      </c>
      <c r="C218" s="56" t="inlineStr">
        <is>
          <t>BBK396.0227781</t>
        </is>
      </c>
      <c r="D218" s="57" t="n"/>
      <c r="E218" s="57" t="n"/>
      <c r="F218" s="57" t="n"/>
      <c r="G218" s="57" t="n"/>
      <c r="H218" s="57" t="n"/>
      <c r="J218" s="198" t="inlineStr">
        <is>
          <t>19</t>
        </is>
      </c>
      <c r="K218" s="198" t="inlineStr">
        <is>
          <t>PL07</t>
        </is>
      </c>
      <c r="L218" s="199" t="inlineStr">
        <is>
          <t>Nghiệm thu công tác hạ lồng thép</t>
        </is>
      </c>
      <c r="M218" s="199" t="n"/>
      <c r="N218" s="199" t="n"/>
      <c r="O218" s="200" t="inlineStr">
        <is>
          <t>Cầu Km19+529.080</t>
        </is>
      </c>
      <c r="P218" s="201" t="n"/>
      <c r="Q218" s="201" t="n"/>
      <c r="R218" s="201" t="n"/>
      <c r="S218" s="201">
        <f>S217</f>
        <v/>
      </c>
      <c r="T218" s="201" t="n"/>
      <c r="U218" s="201" t="n"/>
      <c r="V218" s="201" t="n"/>
      <c r="W218" s="202" t="n"/>
      <c r="X218" s="202" t="n"/>
      <c r="Y218" s="202" t="n"/>
      <c r="Z218" s="198" t="inlineStr">
        <is>
          <t>07</t>
        </is>
      </c>
      <c r="AA218" s="203" t="n"/>
      <c r="AB218" s="204" t="inlineStr">
        <is>
          <t>09-XL-307HG/PYCNT/CKN/M1/C1-2</t>
        </is>
      </c>
      <c r="AC218" s="204">
        <f>AC217</f>
        <v/>
      </c>
      <c r="AD218" s="204" t="n"/>
      <c r="AE218" s="204" t="n"/>
      <c r="AF218" s="204" t="n"/>
      <c r="AG218" s="204" t="n"/>
      <c r="AH218" s="204" t="n"/>
      <c r="AI218" s="202" t="n"/>
      <c r="AJ218" s="202" t="n"/>
      <c r="AK218" s="206" t="n"/>
      <c r="AL218" s="202" t="n"/>
      <c r="AM218" s="202" t="n"/>
      <c r="AN218" s="202" t="n"/>
      <c r="AO218" s="202" t="n"/>
      <c r="AP218" s="207" t="n"/>
      <c r="AQ218" s="207" t="n"/>
      <c r="AR218" s="202" t="inlineStr">
        <is>
          <t>Nhóm 1</t>
        </is>
      </c>
      <c r="AS218" s="202" t="n"/>
      <c r="AT218" s="202" t="inlineStr">
        <is>
          <t>HM04</t>
        </is>
      </c>
      <c r="AU218" s="202" t="inlineStr">
        <is>
          <t>PL07</t>
        </is>
      </c>
      <c r="AV218" s="202" t="n">
        <v>25</v>
      </c>
      <c r="AW218" s="202" t="n">
        <v>1</v>
      </c>
      <c r="AX218" s="202" t="n"/>
    </row>
    <row r="219" ht="42" customHeight="1" s="672">
      <c r="A219" s="56" t="inlineStr">
        <is>
          <t>NTCV</t>
        </is>
      </c>
      <c r="B219" s="56" t="inlineStr">
        <is>
          <t>K.9999</t>
        </is>
      </c>
      <c r="C219" s="56" t="inlineStr">
        <is>
          <t>NTCV.0619187</t>
        </is>
      </c>
      <c r="D219" s="57" t="n"/>
      <c r="E219" s="57" t="n"/>
      <c r="F219" s="57" t="n"/>
      <c r="G219" s="57" t="n"/>
      <c r="H219" s="57" t="n"/>
      <c r="J219" s="209" t="inlineStr">
        <is>
          <t>20</t>
        </is>
      </c>
      <c r="K219" s="209" t="inlineStr">
        <is>
          <t>K.9999</t>
        </is>
      </c>
      <c r="L219" s="210" t="inlineStr">
        <is>
          <t xml:space="preserve">Kiểm tra công tác vệ sinh lỗ khoan cọc khoan nhồi trước khi đổ bê tông </t>
        </is>
      </c>
      <c r="M219" s="210" t="n"/>
      <c r="N219" s="210" t="n"/>
      <c r="O219" s="211" t="inlineStr">
        <is>
          <t>Cầu Km19+529.080</t>
        </is>
      </c>
      <c r="P219" s="212">
        <f>S217</f>
        <v/>
      </c>
      <c r="Q219" s="212">
        <f>P219</f>
        <v/>
      </c>
      <c r="R219" s="212">
        <f>Q219-1</f>
        <v/>
      </c>
      <c r="S219" s="212">
        <f>Q219</f>
        <v/>
      </c>
      <c r="T219" s="213">
        <f>U217</f>
        <v/>
      </c>
      <c r="U219" s="213">
        <f>T219+V219</f>
        <v/>
      </c>
      <c r="V219" s="213" t="n">
        <v>0.02083333333333333</v>
      </c>
      <c r="W219" s="214">
        <f>TEXT(T219,"HH""h""MM'")&amp;"÷"&amp;TEXT(U219,"HH""h""MM'")</f>
        <v/>
      </c>
      <c r="X219" s="214" t="n"/>
      <c r="Y219" s="214" t="n"/>
      <c r="Z219" s="214" t="inlineStr">
        <is>
          <t>08;</t>
        </is>
      </c>
      <c r="AA219" s="215" t="inlineStr">
        <is>
          <t>Kiểm tra công tác vệ sinh lỗ khoan cọc khoan nhồi trước khi đổ bê tông Cọc khoan nhồi Mố M1 - Cọc C1</t>
        </is>
      </c>
      <c r="AB219" s="204" t="inlineStr">
        <is>
          <t>09-XL-307HG/PYCNT/CKN/M1/C1-2</t>
        </is>
      </c>
      <c r="AC219" s="204" t="inlineStr">
        <is>
          <t>09-XL-307HG/BBNT/CKN/M1/C1-8</t>
        </is>
      </c>
      <c r="AD219" s="204" t="n"/>
      <c r="AE219" s="204" t="n"/>
      <c r="AF219" s="204" t="n"/>
      <c r="AG219" s="204" t="n"/>
      <c r="AH219" s="204" t="n"/>
      <c r="AI219" s="214" t="n"/>
      <c r="AJ219" s="214" t="n"/>
      <c r="AK219" s="217" t="n"/>
      <c r="AL219" s="214" t="n"/>
      <c r="AM219" s="214" t="n"/>
      <c r="AN219" s="214" t="n"/>
      <c r="AO219" s="214" t="n"/>
      <c r="AP219" s="216" t="n"/>
      <c r="AQ219" s="216" t="n"/>
      <c r="AR219" s="214" t="inlineStr">
        <is>
          <t>Nhóm 1</t>
        </is>
      </c>
      <c r="AS219" s="214" t="n"/>
      <c r="AT219" s="214" t="inlineStr">
        <is>
          <t>HM04</t>
        </is>
      </c>
      <c r="AU219" s="214" t="inlineStr">
        <is>
          <t>NTCV</t>
        </is>
      </c>
      <c r="AV219" s="214" t="n">
        <v>348</v>
      </c>
      <c r="AW219" s="214" t="n">
        <v>7</v>
      </c>
      <c r="AX219" s="214" t="n"/>
    </row>
    <row r="220" ht="28" customHeight="1" s="672">
      <c r="A220" s="56" t="inlineStr">
        <is>
          <t>BBK521</t>
        </is>
      </c>
      <c r="B220" s="56" t="inlineStr">
        <is>
          <t>PL08</t>
        </is>
      </c>
      <c r="C220" s="56" t="inlineStr">
        <is>
          <t>BBK521.0489830</t>
        </is>
      </c>
      <c r="D220" s="57" t="n"/>
      <c r="E220" s="57" t="n"/>
      <c r="F220" s="57" t="n"/>
      <c r="G220" s="57" t="n"/>
      <c r="H220" s="57" t="n"/>
      <c r="J220" s="198" t="inlineStr">
        <is>
          <t>21</t>
        </is>
      </c>
      <c r="K220" s="198" t="inlineStr">
        <is>
          <t>PL08</t>
        </is>
      </c>
      <c r="L220" s="199" t="inlineStr">
        <is>
          <t>Kiểm tra công tác vệ sinh lỗ khoan cọc khoan nhồi trước khi đổ bê tông</t>
        </is>
      </c>
      <c r="M220" s="199" t="n"/>
      <c r="N220" s="199" t="n"/>
      <c r="O220" s="200" t="inlineStr">
        <is>
          <t>Cầu Km19+529.080</t>
        </is>
      </c>
      <c r="P220" s="201" t="n"/>
      <c r="Q220" s="201" t="n"/>
      <c r="R220" s="201" t="n"/>
      <c r="S220" s="201">
        <f>S219</f>
        <v/>
      </c>
      <c r="T220" s="201" t="n"/>
      <c r="U220" s="201" t="n"/>
      <c r="V220" s="201" t="n"/>
      <c r="W220" s="202" t="n"/>
      <c r="X220" s="202" t="n"/>
      <c r="Y220" s="202" t="n"/>
      <c r="Z220" s="198" t="inlineStr">
        <is>
          <t>08</t>
        </is>
      </c>
      <c r="AA220" s="203" t="n"/>
      <c r="AB220" s="204" t="inlineStr">
        <is>
          <t>09-XL-307HG/PYCNT/CKN/M1/C1-2</t>
        </is>
      </c>
      <c r="AC220" s="204">
        <f>AC219</f>
        <v/>
      </c>
      <c r="AD220" s="204" t="n"/>
      <c r="AE220" s="204" t="n"/>
      <c r="AF220" s="204" t="n"/>
      <c r="AG220" s="204" t="n"/>
      <c r="AH220" s="204" t="n"/>
      <c r="AI220" s="202" t="n"/>
      <c r="AJ220" s="202" t="n"/>
      <c r="AK220" s="206" t="n"/>
      <c r="AL220" s="202" t="n"/>
      <c r="AM220" s="202" t="n"/>
      <c r="AN220" s="202" t="n"/>
      <c r="AO220" s="202" t="n"/>
      <c r="AP220" s="207" t="n"/>
      <c r="AQ220" s="207" t="n"/>
      <c r="AR220" s="202" t="inlineStr">
        <is>
          <t>Nhóm 1</t>
        </is>
      </c>
      <c r="AS220" s="202" t="n"/>
      <c r="AT220" s="202" t="inlineStr">
        <is>
          <t>HM04</t>
        </is>
      </c>
      <c r="AU220" s="202" t="inlineStr">
        <is>
          <t>PL08</t>
        </is>
      </c>
      <c r="AV220" s="202" t="n">
        <v>25</v>
      </c>
      <c r="AW220" s="202" t="n">
        <v>1</v>
      </c>
      <c r="AX220" s="202" t="n"/>
    </row>
    <row r="221" ht="28" customHeight="1" s="672">
      <c r="A221" s="56" t="inlineStr">
        <is>
          <t>NTCV</t>
        </is>
      </c>
      <c r="B221" s="56" t="inlineStr">
        <is>
          <t>K.9999</t>
        </is>
      </c>
      <c r="C221" s="56" t="inlineStr">
        <is>
          <t>NTCV.0680819</t>
        </is>
      </c>
      <c r="D221" s="57" t="n"/>
      <c r="E221" s="57" t="n"/>
      <c r="F221" s="57" t="n"/>
      <c r="G221" s="57" t="n"/>
      <c r="H221" s="57" t="n"/>
      <c r="J221" s="209" t="inlineStr">
        <is>
          <t>22</t>
        </is>
      </c>
      <c r="K221" s="209" t="inlineStr">
        <is>
          <t>K.9999</t>
        </is>
      </c>
      <c r="L221" s="210" t="inlineStr">
        <is>
          <t xml:space="preserve">Kiểm tra công tác chuẩn bị đổ bê tông cọc khoan nhồi </t>
        </is>
      </c>
      <c r="M221" s="210" t="n"/>
      <c r="N221" s="210" t="n"/>
      <c r="O221" s="211" t="inlineStr">
        <is>
          <t>Cầu Km19+529.080</t>
        </is>
      </c>
      <c r="P221" s="212">
        <f>S219</f>
        <v/>
      </c>
      <c r="Q221" s="212">
        <f>P221</f>
        <v/>
      </c>
      <c r="R221" s="212">
        <f>Q221-1</f>
        <v/>
      </c>
      <c r="S221" s="212">
        <f>Q221</f>
        <v/>
      </c>
      <c r="T221" s="213">
        <f>U219</f>
        <v/>
      </c>
      <c r="U221" s="213">
        <f>T221+V221</f>
        <v/>
      </c>
      <c r="V221" s="213" t="n">
        <v>0.02083333333333333</v>
      </c>
      <c r="W221" s="214">
        <f>TEXT(T221,"HH""h""MM'")&amp;"÷"&amp;TEXT(U221,"HH""h""MM'")</f>
        <v/>
      </c>
      <c r="X221" s="214" t="n"/>
      <c r="Y221" s="214" t="n"/>
      <c r="Z221" s="214" t="inlineStr">
        <is>
          <t>09;</t>
        </is>
      </c>
      <c r="AA221" s="215" t="inlineStr">
        <is>
          <t>Kiểm tra công tác chuẩn bị đổ bê tông Cọc khoan nhồi Mố M1 - Cọc C1</t>
        </is>
      </c>
      <c r="AB221" s="204" t="inlineStr">
        <is>
          <t>09-XL-307HG/PYCNT/CKN/M1/C1-2</t>
        </is>
      </c>
      <c r="AC221" s="204" t="inlineStr">
        <is>
          <t>09-XL-307HG/BBNT/CKN/M1/C1-9</t>
        </is>
      </c>
      <c r="AD221" s="204" t="n"/>
      <c r="AE221" s="204" t="n"/>
      <c r="AF221" s="204" t="n"/>
      <c r="AG221" s="204" t="n"/>
      <c r="AH221" s="204" t="n"/>
      <c r="AI221" s="214" t="n"/>
      <c r="AJ221" s="214" t="n"/>
      <c r="AK221" s="217" t="n"/>
      <c r="AL221" s="214" t="n"/>
      <c r="AM221" s="214" t="n"/>
      <c r="AN221" s="214" t="n"/>
      <c r="AO221" s="214" t="n"/>
      <c r="AP221" s="216" t="n"/>
      <c r="AQ221" s="216" t="n"/>
      <c r="AR221" s="214" t="inlineStr">
        <is>
          <t>Nhóm 1</t>
        </is>
      </c>
      <c r="AS221" s="214" t="n"/>
      <c r="AT221" s="214" t="inlineStr">
        <is>
          <t>HM04</t>
        </is>
      </c>
      <c r="AU221" s="214" t="inlineStr">
        <is>
          <t>NTCV</t>
        </is>
      </c>
      <c r="AV221" s="214" t="n">
        <v>350</v>
      </c>
      <c r="AW221" s="214" t="n">
        <v>8</v>
      </c>
      <c r="AX221" s="214" t="n"/>
    </row>
    <row r="222">
      <c r="A222" s="56" t="inlineStr">
        <is>
          <t>BBK209</t>
        </is>
      </c>
      <c r="B222" s="56" t="inlineStr">
        <is>
          <t>PL09</t>
        </is>
      </c>
      <c r="C222" s="56" t="inlineStr">
        <is>
          <t>BBK209.0886600</t>
        </is>
      </c>
      <c r="D222" s="57" t="n"/>
      <c r="E222" s="57" t="n"/>
      <c r="F222" s="57" t="n"/>
      <c r="G222" s="57" t="n"/>
      <c r="H222" s="57" t="n"/>
      <c r="J222" s="198" t="inlineStr">
        <is>
          <t>23</t>
        </is>
      </c>
      <c r="K222" s="198" t="inlineStr">
        <is>
          <t>PL09</t>
        </is>
      </c>
      <c r="L222" s="199" t="inlineStr">
        <is>
          <t>Kiểm tra công tác chuẩn bị đổ bê tông cọc khoan nhồi</t>
        </is>
      </c>
      <c r="M222" s="199" t="n"/>
      <c r="N222" s="199" t="n"/>
      <c r="O222" s="200" t="inlineStr">
        <is>
          <t>Cầu Km19+529.080</t>
        </is>
      </c>
      <c r="P222" s="201" t="n"/>
      <c r="Q222" s="201" t="n"/>
      <c r="R222" s="201" t="n"/>
      <c r="S222" s="201">
        <f>S221</f>
        <v/>
      </c>
      <c r="T222" s="201" t="n"/>
      <c r="U222" s="201" t="n"/>
      <c r="V222" s="201" t="n"/>
      <c r="W222" s="202" t="n"/>
      <c r="X222" s="202" t="n"/>
      <c r="Y222" s="202" t="n"/>
      <c r="Z222" s="198" t="inlineStr">
        <is>
          <t>09</t>
        </is>
      </c>
      <c r="AA222" s="203" t="n"/>
      <c r="AB222" s="204" t="inlineStr">
        <is>
          <t>09-XL-307HG/PYCNT/CKN/M1/C1-2</t>
        </is>
      </c>
      <c r="AC222" s="204">
        <f>AC221</f>
        <v/>
      </c>
      <c r="AD222" s="204" t="n"/>
      <c r="AE222" s="204" t="n"/>
      <c r="AF222" s="204" t="n"/>
      <c r="AG222" s="204" t="n"/>
      <c r="AH222" s="204" t="inlineStr">
        <is>
          <t>C30(1)</t>
        </is>
      </c>
      <c r="AI222" s="202" t="n"/>
      <c r="AJ222" s="202" t="n"/>
      <c r="AK222" s="206" t="n"/>
      <c r="AL222" s="202" t="n"/>
      <c r="AM222" s="202" t="n"/>
      <c r="AN222" s="202" t="n"/>
      <c r="AO222" s="202" t="n"/>
      <c r="AP222" s="207" t="n"/>
      <c r="AQ222" s="207" t="n"/>
      <c r="AR222" s="202" t="inlineStr">
        <is>
          <t>Nhóm 1</t>
        </is>
      </c>
      <c r="AS222" s="202" t="n"/>
      <c r="AT222" s="202" t="inlineStr">
        <is>
          <t>HM04</t>
        </is>
      </c>
      <c r="AU222" s="202" t="inlineStr">
        <is>
          <t>PL09</t>
        </is>
      </c>
      <c r="AV222" s="202" t="n">
        <v>25</v>
      </c>
      <c r="AW222" s="202" t="n">
        <v>1</v>
      </c>
      <c r="AX222" s="202" t="n"/>
    </row>
    <row r="223" ht="28" customHeight="1" s="672">
      <c r="A223" s="56" t="inlineStr">
        <is>
          <t>NTCV</t>
        </is>
      </c>
      <c r="B223" s="56" t="inlineStr">
        <is>
          <t>K.9999</t>
        </is>
      </c>
      <c r="C223" s="56" t="inlineStr">
        <is>
          <t>NTCV.0370515</t>
        </is>
      </c>
      <c r="D223" s="57" t="n"/>
      <c r="E223" s="57" t="n"/>
      <c r="F223" s="57" t="n"/>
      <c r="G223" s="57" t="n"/>
      <c r="H223" s="57" t="n"/>
      <c r="J223" s="218" t="inlineStr">
        <is>
          <t>24</t>
        </is>
      </c>
      <c r="K223" s="218" t="inlineStr">
        <is>
          <t>K.9999</t>
        </is>
      </c>
      <c r="L223" s="219" t="inlineStr">
        <is>
          <t>Theo dõi quá trình đổ bê tông cọc khoan nhồi</t>
        </is>
      </c>
      <c r="M223" s="219" t="n"/>
      <c r="N223" s="219" t="n"/>
      <c r="O223" s="220" t="inlineStr">
        <is>
          <t>Cầu Km19+529.080</t>
        </is>
      </c>
      <c r="P223" s="221">
        <f>S221</f>
        <v/>
      </c>
      <c r="Q223" s="221">
        <f>P223</f>
        <v/>
      </c>
      <c r="R223" s="221">
        <f>Q223-1</f>
        <v/>
      </c>
      <c r="S223" s="221">
        <f>Q223</f>
        <v/>
      </c>
      <c r="T223" s="222">
        <f>U221</f>
        <v/>
      </c>
      <c r="U223" s="222">
        <f>T223+V223</f>
        <v/>
      </c>
      <c r="V223" s="222" t="n">
        <v>0.1458333333333333</v>
      </c>
      <c r="W223" s="223">
        <f>TEXT(T223,"HH""h""MM'")&amp;"÷"&amp;TEXT(U223,"HH""h""MM'")</f>
        <v/>
      </c>
      <c r="X223" s="223" t="n"/>
      <c r="Y223" s="223" t="n"/>
      <c r="Z223" s="223" t="inlineStr">
        <is>
          <t>10;</t>
        </is>
      </c>
      <c r="AA223" s="224" t="inlineStr">
        <is>
          <t>Theo dõi quá trình đổ bê tông  Cọc khoan nhồi Mố M1 - Cọc C1</t>
        </is>
      </c>
      <c r="AB223" s="225" t="inlineStr">
        <is>
          <t>09-XL-307HG/PYCNT/CKN/M1/C1-2</t>
        </is>
      </c>
      <c r="AC223" s="225" t="inlineStr">
        <is>
          <t>09-XL-307HG/BBNT/CKN/M1/C1-10</t>
        </is>
      </c>
      <c r="AD223" s="225" t="n"/>
      <c r="AE223" s="225" t="n"/>
      <c r="AF223" s="225" t="n"/>
      <c r="AG223" s="225" t="n"/>
      <c r="AH223" s="225" t="n"/>
      <c r="AI223" s="223" t="n"/>
      <c r="AJ223" s="223" t="n"/>
      <c r="AK223" s="226" t="n"/>
      <c r="AL223" s="223" t="n"/>
      <c r="AM223" s="223" t="n"/>
      <c r="AN223" s="223" t="n"/>
      <c r="AO223" s="223" t="n"/>
      <c r="AP223" s="227" t="n"/>
      <c r="AQ223" s="227" t="n"/>
      <c r="AR223" s="223" t="inlineStr">
        <is>
          <t>Nhóm 1</t>
        </is>
      </c>
      <c r="AS223" s="223" t="n"/>
      <c r="AT223" s="223" t="inlineStr">
        <is>
          <t>HM04</t>
        </is>
      </c>
      <c r="AU223" s="223" t="inlineStr">
        <is>
          <t>NTCV</t>
        </is>
      </c>
      <c r="AV223" s="223" t="n">
        <v>352</v>
      </c>
      <c r="AW223" s="223" t="n">
        <v>9</v>
      </c>
      <c r="AX223" s="223" t="n"/>
    </row>
    <row r="224" ht="112" customHeight="1" s="672">
      <c r="A224" s="56" t="inlineStr">
        <is>
          <t>LMHT</t>
        </is>
      </c>
      <c r="B224" s="56" t="inlineStr">
        <is>
          <t>LMHT</t>
        </is>
      </c>
      <c r="C224" s="56" t="inlineStr">
        <is>
          <t>LMHT.0302497</t>
        </is>
      </c>
      <c r="D224" s="57" t="inlineStr">
        <is>
          <t>TC.000041|TC.000182|TC.000169.A</t>
        </is>
      </c>
      <c r="E224" s="57" t="n"/>
      <c r="F224" s="57" t="inlineStr">
        <is>
          <t>CP.0001^Cọc khoan nhồi Mố M1 - Cọc C1^Hình Trụ 15x30 (cm)^12^30 Mpa, 18±2^^^TC.000041|TC.000182|TC.000169.A</t>
        </is>
      </c>
      <c r="G224" s="57" t="n"/>
      <c r="H224" s="57" t="inlineStr">
        <is>
          <t>^^A|C|J|O|S|X|Z^Stt|Hạng mục|Cấp bê tông|Kích thước mẫu|Số lượng mẫu|Ghi chú^|||||</t>
        </is>
      </c>
      <c r="J224" s="228" t="inlineStr">
        <is>
          <t>25</t>
        </is>
      </c>
      <c r="K224" s="228" t="inlineStr">
        <is>
          <t>LMHT</t>
        </is>
      </c>
      <c r="L224" s="229" t="inlineStr">
        <is>
          <t>Lấy mẫu bê tông Cọc khoan nhồi, 30(1) Mpa Mố M1 - Cọc C1</t>
        </is>
      </c>
      <c r="M224" s="229" t="n"/>
      <c r="N224" s="229" t="n"/>
      <c r="O224" s="230" t="inlineStr">
        <is>
          <t>Cầu Km19+529.080</t>
        </is>
      </c>
      <c r="P224" s="231" t="n"/>
      <c r="Q224" s="231" t="n"/>
      <c r="R224" s="231" t="n"/>
      <c r="S224" s="231">
        <f>S223</f>
        <v/>
      </c>
      <c r="T224" s="232">
        <f>T223</f>
        <v/>
      </c>
      <c r="U224" s="232">
        <f>U223</f>
        <v/>
      </c>
      <c r="V224" s="232">
        <f>V223</f>
        <v/>
      </c>
      <c r="W224" s="233">
        <f>TEXT(T224,"HH""h""MM'")&amp;"÷"&amp;TEXT(U224,"HH""h""MM'")</f>
        <v/>
      </c>
      <c r="X224" s="234" t="n"/>
      <c r="Y224" s="234" t="n"/>
      <c r="Z224" s="234" t="n"/>
      <c r="AA224" s="234" t="n"/>
      <c r="AB224" s="235" t="inlineStr">
        <is>
          <t>09-XL-307HG/PYCNT/CKN/M1/C1-2</t>
        </is>
      </c>
      <c r="AC224" s="235" t="n"/>
      <c r="AD224" s="236" t="n"/>
      <c r="AE224" s="236" t="n"/>
      <c r="AF224" s="236" t="n"/>
      <c r="AG224" s="236" t="n"/>
      <c r="AH224" s="236" t="n"/>
      <c r="AI224" s="229" t="n"/>
      <c r="AJ224" s="234" t="n"/>
      <c r="AK224" s="230" t="n"/>
      <c r="AL224" s="234" t="n"/>
      <c r="AM224" s="234" t="n"/>
      <c r="AN224" s="234" t="n"/>
      <c r="AO224" s="234" t="n"/>
      <c r="AP224" s="235" t="inlineStr">
        <is>
          <t>Bảng lấy mẫu CKN</t>
        </is>
      </c>
      <c r="AQ224" s="235" t="n"/>
      <c r="AR224" s="234" t="inlineStr">
        <is>
          <t>Nhóm 1</t>
        </is>
      </c>
      <c r="AS224" s="234" t="n"/>
      <c r="AT224" s="234" t="inlineStr">
        <is>
          <t>HM04</t>
        </is>
      </c>
      <c r="AU224" s="234" t="inlineStr">
        <is>
          <t>LMHT</t>
        </is>
      </c>
      <c r="AV224" s="234" t="n">
        <v>32</v>
      </c>
      <c r="AW224" s="234" t="n">
        <v>1</v>
      </c>
      <c r="AX224" s="234" t="inlineStr">
        <is>
          <t>Cọc M1-C1 [BT dòng 28]: chưa đến ngưỡng phát sinh lượt mẫu xi măng/cát/đá; mẫu bê tông cấu kiện vẫn theo F224.</t>
        </is>
      </c>
    </row>
    <row r="225">
      <c r="A225" s="56" t="inlineStr">
        <is>
          <t>BBK994</t>
        </is>
      </c>
      <c r="B225" s="56" t="inlineStr">
        <is>
          <t>PL10</t>
        </is>
      </c>
      <c r="C225" s="56" t="inlineStr">
        <is>
          <t>BBK994.0292866</t>
        </is>
      </c>
      <c r="D225" s="57" t="n"/>
      <c r="E225" s="57" t="n"/>
      <c r="F225" s="57" t="n"/>
      <c r="G225" s="57" t="n"/>
      <c r="H225" s="57" t="n"/>
      <c r="J225" s="237" t="inlineStr">
        <is>
          <t>26</t>
        </is>
      </c>
      <c r="K225" s="237" t="inlineStr">
        <is>
          <t>PL10</t>
        </is>
      </c>
      <c r="L225" s="238" t="inlineStr">
        <is>
          <t>Theo dõi quá trình đổ bê tông cọc khoan nhồi</t>
        </is>
      </c>
      <c r="M225" s="238" t="n"/>
      <c r="N225" s="238" t="n"/>
      <c r="O225" s="239" t="inlineStr">
        <is>
          <t>Cầu Km19+529.080</t>
        </is>
      </c>
      <c r="P225" s="240" t="n"/>
      <c r="Q225" s="240" t="n"/>
      <c r="R225" s="240" t="n"/>
      <c r="S225" s="240">
        <f>S223</f>
        <v/>
      </c>
      <c r="T225" s="240" t="n"/>
      <c r="U225" s="240" t="n"/>
      <c r="V225" s="240" t="n"/>
      <c r="W225" s="241" t="n"/>
      <c r="X225" s="241" t="n"/>
      <c r="Y225" s="241" t="n"/>
      <c r="Z225" s="237" t="inlineStr">
        <is>
          <t>10</t>
        </is>
      </c>
      <c r="AA225" s="242" t="n"/>
      <c r="AB225" s="243" t="inlineStr">
        <is>
          <t>09-XL-307HG/PYCNT/CKN/M1/C1-2</t>
        </is>
      </c>
      <c r="AC225" s="243">
        <f>AC223</f>
        <v/>
      </c>
      <c r="AD225" s="243" t="n"/>
      <c r="AE225" s="243" t="n"/>
      <c r="AF225" s="243" t="n"/>
      <c r="AG225" s="243" t="n"/>
      <c r="AH225" s="243" t="inlineStr">
        <is>
          <t>C1</t>
        </is>
      </c>
      <c r="AI225" s="241" t="n"/>
      <c r="AJ225" s="241" t="n"/>
      <c r="AK225" s="244" t="n"/>
      <c r="AL225" s="241" t="n"/>
      <c r="AM225" s="241" t="n"/>
      <c r="AN225" s="241" t="n"/>
      <c r="AO225" s="241" t="n"/>
      <c r="AP225" s="245" t="n"/>
      <c r="AQ225" s="245" t="n"/>
      <c r="AR225" s="241" t="inlineStr">
        <is>
          <t>Nhóm 1</t>
        </is>
      </c>
      <c r="AS225" s="241" t="n"/>
      <c r="AT225" s="241" t="inlineStr">
        <is>
          <t>HM04</t>
        </is>
      </c>
      <c r="AU225" s="241" t="inlineStr">
        <is>
          <t>PL10</t>
        </is>
      </c>
      <c r="AV225" s="241" t="n">
        <v>25</v>
      </c>
      <c r="AW225" s="241" t="n">
        <v>1</v>
      </c>
      <c r="AX225" s="241" t="n"/>
    </row>
    <row r="226" ht="28" customHeight="1" s="672">
      <c r="A226" s="56" t="inlineStr">
        <is>
          <t>NTCV</t>
        </is>
      </c>
      <c r="B226" s="56" t="inlineStr">
        <is>
          <t>K.9999</t>
        </is>
      </c>
      <c r="C226" s="56" t="inlineStr">
        <is>
          <t>NTCV.0150311</t>
        </is>
      </c>
      <c r="D226" s="57" t="n"/>
      <c r="E226" s="57" t="n"/>
      <c r="F226" s="57" t="n"/>
      <c r="G226" s="57" t="n"/>
      <c r="H226" s="57" t="n"/>
      <c r="J226" s="209" t="inlineStr">
        <is>
          <t>27</t>
        </is>
      </c>
      <c r="K226" s="209" t="inlineStr">
        <is>
          <t>K.9999</t>
        </is>
      </c>
      <c r="L226" s="210" t="inlineStr">
        <is>
          <t xml:space="preserve"> Rút ống vách thi công cọc khoan nhồi</t>
        </is>
      </c>
      <c r="M226" s="210" t="n"/>
      <c r="N226" s="210" t="n"/>
      <c r="O226" s="211" t="inlineStr">
        <is>
          <t>Cầu Km19+529.080</t>
        </is>
      </c>
      <c r="P226" s="212">
        <f>S223</f>
        <v/>
      </c>
      <c r="Q226" s="212">
        <f>P226</f>
        <v/>
      </c>
      <c r="R226" s="212">
        <f>Q226-1</f>
        <v/>
      </c>
      <c r="S226" s="212">
        <f>Q226</f>
        <v/>
      </c>
      <c r="T226" s="213">
        <f>U223</f>
        <v/>
      </c>
      <c r="U226" s="213">
        <f>T226+V226</f>
        <v/>
      </c>
      <c r="V226" s="213" t="n">
        <v>0.01041666666666667</v>
      </c>
      <c r="W226" s="214">
        <f>TEXT(T226,"HH""h""MM'")&amp;"÷"&amp;TEXT(U226,"HH""h""MM'")</f>
        <v/>
      </c>
      <c r="X226" s="214" t="n"/>
      <c r="Y226" s="214" t="n"/>
      <c r="Z226" s="214" t="inlineStr">
        <is>
          <t>11;</t>
        </is>
      </c>
      <c r="AA226" s="215" t="inlineStr">
        <is>
          <t>Rút ống vách  Cọc khoan nhồi Mố M1 - Cọc C1</t>
        </is>
      </c>
      <c r="AB226" s="204" t="inlineStr">
        <is>
          <t>09-XL-307HG/PYCNT/CKN/M1/C1-2</t>
        </is>
      </c>
      <c r="AC226" s="204" t="inlineStr">
        <is>
          <t>09-XL-307HG/BBNT/CKN/M1/C1-11</t>
        </is>
      </c>
      <c r="AD226" s="204" t="n"/>
      <c r="AE226" s="204" t="n"/>
      <c r="AF226" s="204" t="n"/>
      <c r="AG226" s="204" t="n"/>
      <c r="AH226" s="204" t="n"/>
      <c r="AI226" s="214" t="n"/>
      <c r="AJ226" s="214" t="n"/>
      <c r="AK226" s="217" t="n"/>
      <c r="AL226" s="214" t="n"/>
      <c r="AM226" s="214" t="n"/>
      <c r="AN226" s="214" t="n"/>
      <c r="AO226" s="214" t="n"/>
      <c r="AP226" s="216" t="n"/>
      <c r="AQ226" s="216" t="n"/>
      <c r="AR226" s="214" t="inlineStr">
        <is>
          <t>Nhóm 1</t>
        </is>
      </c>
      <c r="AS226" s="214" t="n"/>
      <c r="AT226" s="214" t="inlineStr">
        <is>
          <t>HM04</t>
        </is>
      </c>
      <c r="AU226" s="214" t="inlineStr">
        <is>
          <t>NTCV</t>
        </is>
      </c>
      <c r="AV226" s="214" t="n">
        <v>353</v>
      </c>
      <c r="AW226" s="214" t="n">
        <v>10</v>
      </c>
      <c r="AX226" s="214" t="n"/>
    </row>
    <row r="227">
      <c r="A227" s="56" t="inlineStr">
        <is>
          <t>BBK544</t>
        </is>
      </c>
      <c r="B227" s="56" t="inlineStr">
        <is>
          <t>PL11</t>
        </is>
      </c>
      <c r="C227" s="56" t="inlineStr">
        <is>
          <t>BBK544.0529821</t>
        </is>
      </c>
      <c r="D227" s="57" t="n"/>
      <c r="E227" s="57" t="n"/>
      <c r="F227" s="57" t="n"/>
      <c r="G227" s="57" t="n"/>
      <c r="H227" s="57" t="n"/>
      <c r="J227" s="198" t="inlineStr">
        <is>
          <t>28</t>
        </is>
      </c>
      <c r="K227" s="198" t="inlineStr">
        <is>
          <t>PL11</t>
        </is>
      </c>
      <c r="L227" s="199" t="inlineStr">
        <is>
          <t>Rút ống vách thi công cọc khoan nhồi</t>
        </is>
      </c>
      <c r="M227" s="199" t="n"/>
      <c r="N227" s="199" t="n"/>
      <c r="O227" s="200" t="inlineStr">
        <is>
          <t>Cầu Km19+529.080</t>
        </is>
      </c>
      <c r="P227" s="201" t="n"/>
      <c r="Q227" s="201" t="n"/>
      <c r="R227" s="201" t="n"/>
      <c r="S227" s="201">
        <f>S226</f>
        <v/>
      </c>
      <c r="T227" s="201" t="n"/>
      <c r="U227" s="201" t="n"/>
      <c r="V227" s="201" t="n"/>
      <c r="W227" s="202" t="n"/>
      <c r="X227" s="202" t="n"/>
      <c r="Y227" s="202" t="n"/>
      <c r="Z227" s="198" t="inlineStr">
        <is>
          <t>11</t>
        </is>
      </c>
      <c r="AA227" s="203" t="n"/>
      <c r="AB227" s="204" t="inlineStr">
        <is>
          <t>09-XL-307HG/PYCNT/CKN/M1/C1-2</t>
        </is>
      </c>
      <c r="AC227" s="204">
        <f>AC226</f>
        <v/>
      </c>
      <c r="AD227" s="204" t="n"/>
      <c r="AE227" s="204" t="n"/>
      <c r="AF227" s="204" t="n"/>
      <c r="AG227" s="204" t="n"/>
      <c r="AH227" s="204" t="inlineStr">
        <is>
          <t>&gt;=1;&lt;=33</t>
        </is>
      </c>
      <c r="AI227" s="202" t="n"/>
      <c r="AJ227" s="202" t="n"/>
      <c r="AK227" s="206" t="n"/>
      <c r="AL227" s="202" t="n"/>
      <c r="AM227" s="202" t="n"/>
      <c r="AN227" s="202" t="n"/>
      <c r="AO227" s="202" t="n"/>
      <c r="AP227" s="207" t="n"/>
      <c r="AQ227" s="207" t="n"/>
      <c r="AR227" s="202" t="inlineStr">
        <is>
          <t>Nhóm 1</t>
        </is>
      </c>
      <c r="AS227" s="202" t="n"/>
      <c r="AT227" s="202" t="inlineStr">
        <is>
          <t>HM04</t>
        </is>
      </c>
      <c r="AU227" s="202" t="inlineStr">
        <is>
          <t>PL11</t>
        </is>
      </c>
      <c r="AV227" s="202" t="n">
        <v>25</v>
      </c>
      <c r="AW227" s="202" t="n">
        <v>1</v>
      </c>
      <c r="AX227" s="202" t="n"/>
    </row>
    <row r="228">
      <c r="A228" s="56" t="inlineStr">
        <is>
          <t>BBK680</t>
        </is>
      </c>
      <c r="B228" s="56" t="inlineStr">
        <is>
          <t>PYC</t>
        </is>
      </c>
      <c r="C228" s="56" t="inlineStr">
        <is>
          <t>BBK680.0223261</t>
        </is>
      </c>
      <c r="D228" s="57" t="n"/>
      <c r="E228" s="57" t="n"/>
      <c r="F228" s="57" t="n"/>
      <c r="G228" s="57" t="n"/>
      <c r="H228" s="57" t="n"/>
      <c r="J228" s="198" t="inlineStr">
        <is>
          <t>29</t>
        </is>
      </c>
      <c r="K228" s="198" t="inlineStr">
        <is>
          <t>PYC</t>
        </is>
      </c>
      <c r="L228" s="199" t="inlineStr">
        <is>
          <t>Phiếu yêu cầu nghiệm thu</t>
        </is>
      </c>
      <c r="M228" s="199" t="n"/>
      <c r="N228" s="199" t="n"/>
      <c r="O228" s="200" t="inlineStr">
        <is>
          <t>Cầu Km19+529.080</t>
        </is>
      </c>
      <c r="P228" s="201" t="n"/>
      <c r="Q228" s="201" t="n"/>
      <c r="R228" s="201">
        <f>R229</f>
        <v/>
      </c>
      <c r="S228" s="201" t="n"/>
      <c r="T228" s="201" t="n"/>
      <c r="U228" s="201" t="n"/>
      <c r="V228" s="201" t="n"/>
      <c r="W228" s="202" t="n"/>
      <c r="X228" s="202" t="n"/>
      <c r="Y228" s="202" t="n"/>
      <c r="Z228" s="202" t="n"/>
      <c r="AA228" s="203" t="n"/>
      <c r="AB228" s="204" t="inlineStr">
        <is>
          <t>09-XL-307HG/PYCNT/CKN/M1/C1</t>
        </is>
      </c>
      <c r="AC228" s="205" t="n"/>
      <c r="AD228" s="205" t="n"/>
      <c r="AE228" s="205" t="n"/>
      <c r="AF228" s="205" t="n"/>
      <c r="AG228" s="205" t="inlineStr">
        <is>
          <t>NTCV;BBKTĐK</t>
        </is>
      </c>
      <c r="AH228" s="204" t="n">
        <v>11</v>
      </c>
      <c r="AI228" s="202" t="n"/>
      <c r="AJ228" s="202" t="n"/>
      <c r="AK228" s="206" t="n"/>
      <c r="AL228" s="202" t="n"/>
      <c r="AM228" s="202" t="n"/>
      <c r="AN228" s="202" t="n"/>
      <c r="AO228" s="202" t="n"/>
      <c r="AP228" s="207" t="n"/>
      <c r="AQ228" s="207" t="n"/>
      <c r="AR228" s="202" t="inlineStr">
        <is>
          <t>Nhóm 1</t>
        </is>
      </c>
      <c r="AS228" s="202" t="n"/>
      <c r="AT228" s="202" t="inlineStr">
        <is>
          <t>HM04</t>
        </is>
      </c>
      <c r="AU228" s="202" t="inlineStr">
        <is>
          <t>PYC</t>
        </is>
      </c>
      <c r="AV228" s="202" t="n">
        <v>143</v>
      </c>
      <c r="AW228" s="202" t="n">
        <v>3</v>
      </c>
      <c r="AX228" s="202" t="n"/>
    </row>
    <row r="229" ht="28" customHeight="1" s="672">
      <c r="A229" s="56" t="inlineStr">
        <is>
          <t>NTCV</t>
        </is>
      </c>
      <c r="B229" s="56" t="inlineStr">
        <is>
          <t>K.9999</t>
        </is>
      </c>
      <c r="C229" s="56" t="inlineStr">
        <is>
          <t>NTCV.0584529</t>
        </is>
      </c>
      <c r="D229" s="57" t="n"/>
      <c r="E229" s="57" t="n"/>
      <c r="F229" s="57" t="n"/>
      <c r="G229" s="57" t="n"/>
      <c r="H229" s="57" t="n"/>
      <c r="J229" s="209" t="inlineStr">
        <is>
          <t>30</t>
        </is>
      </c>
      <c r="K229" s="209" t="inlineStr">
        <is>
          <t>K.9999</t>
        </is>
      </c>
      <c r="L229" s="210" t="inlineStr">
        <is>
          <t>Theo dõi nén mẫu R7 Cọc khoan nhồi Mố M1 - Cọc C1</t>
        </is>
      </c>
      <c r="M229" s="210" t="n"/>
      <c r="N229" s="210" t="n"/>
      <c r="O229" s="211" t="inlineStr">
        <is>
          <t>Cầu Km19+529.080</t>
        </is>
      </c>
      <c r="P229" s="212">
        <f>S226+7</f>
        <v/>
      </c>
      <c r="Q229" s="212">
        <f>P229</f>
        <v/>
      </c>
      <c r="R229" s="212">
        <f>Q229-1</f>
        <v/>
      </c>
      <c r="S229" s="212">
        <f>Q229</f>
        <v/>
      </c>
      <c r="T229" s="213" t="n">
        <v>0.3541666666666667</v>
      </c>
      <c r="U229" s="213">
        <f>T229+V229</f>
        <v/>
      </c>
      <c r="V229" s="213" t="n">
        <v>0.02083333333333333</v>
      </c>
      <c r="W229" s="214">
        <f>TEXT(T229,"HH""h""MM'")&amp;"÷"&amp;TEXT(U229,"HH""h""MM'")</f>
        <v/>
      </c>
      <c r="X229" s="214" t="n"/>
      <c r="Y229" s="214" t="n"/>
      <c r="Z229" s="214" t="n"/>
      <c r="AA229" s="215" t="inlineStr">
        <is>
          <t>Theo dõi nén mẫu R7 Cọc khoan nhồi Mố M1 - Cọc C1</t>
        </is>
      </c>
      <c r="AB229" s="204" t="inlineStr">
        <is>
          <t>09-XL-307HG/PYCNT/CKN/M1/C1-3</t>
        </is>
      </c>
      <c r="AC229" s="204" t="inlineStr">
        <is>
          <t>09-XL-307HG/BBNT/CKN/M1/C1-12</t>
        </is>
      </c>
      <c r="AD229" s="204" t="n"/>
      <c r="AE229" s="204" t="n"/>
      <c r="AF229" s="204" t="n"/>
      <c r="AG229" s="204" t="n"/>
      <c r="AH229" s="204" t="n"/>
      <c r="AI229" s="214" t="n"/>
      <c r="AJ229" s="214" t="n"/>
      <c r="AK229" s="217" t="n"/>
      <c r="AL229" s="214" t="n"/>
      <c r="AM229" s="214" t="n"/>
      <c r="AN229" s="214" t="n"/>
      <c r="AO229" s="214" t="n"/>
      <c r="AP229" s="216" t="n"/>
      <c r="AQ229" s="216" t="n"/>
      <c r="AR229" s="214" t="inlineStr">
        <is>
          <t>Nhóm 1</t>
        </is>
      </c>
      <c r="AS229" s="214" t="n"/>
      <c r="AT229" s="214" t="inlineStr">
        <is>
          <t>HM04</t>
        </is>
      </c>
      <c r="AU229" s="214" t="inlineStr">
        <is>
          <t>NTCV</t>
        </is>
      </c>
      <c r="AV229" s="214" t="n">
        <v>382</v>
      </c>
      <c r="AW229" s="214" t="n">
        <v>11</v>
      </c>
      <c r="AX229" s="214" t="n"/>
    </row>
    <row r="230">
      <c r="A230" s="56" t="inlineStr">
        <is>
          <t>BBK680</t>
        </is>
      </c>
      <c r="B230" s="56" t="inlineStr">
        <is>
          <t>PYC</t>
        </is>
      </c>
      <c r="C230" s="56" t="inlineStr">
        <is>
          <t>BBK680.0363458</t>
        </is>
      </c>
      <c r="D230" s="57" t="n"/>
      <c r="E230" s="57" t="n"/>
      <c r="F230" s="57" t="n"/>
      <c r="G230" s="57" t="n"/>
      <c r="H230" s="57" t="n"/>
      <c r="J230" s="198" t="inlineStr">
        <is>
          <t>31</t>
        </is>
      </c>
      <c r="K230" s="198" t="inlineStr">
        <is>
          <t>PYC</t>
        </is>
      </c>
      <c r="L230" s="199" t="inlineStr">
        <is>
          <t>Phiếu yêu cầu nghiệm thu</t>
        </is>
      </c>
      <c r="M230" s="199" t="n"/>
      <c r="N230" s="199" t="n"/>
      <c r="O230" s="200" t="inlineStr">
        <is>
          <t>Cầu Km19+529.080</t>
        </is>
      </c>
      <c r="P230" s="201" t="n"/>
      <c r="Q230" s="201" t="n"/>
      <c r="R230" s="201">
        <f>+S225+28</f>
        <v/>
      </c>
      <c r="S230" s="201" t="n"/>
      <c r="T230" s="201" t="n"/>
      <c r="U230" s="201" t="n"/>
      <c r="V230" s="201" t="n"/>
      <c r="W230" s="202" t="n"/>
      <c r="X230" s="202" t="n"/>
      <c r="Y230" s="202" t="n"/>
      <c r="Z230" s="202" t="n"/>
      <c r="AA230" s="203" t="n"/>
      <c r="AB230" s="204" t="inlineStr">
        <is>
          <t>09-XL-307HG/PYCNT/CKN/M1/C1</t>
        </is>
      </c>
      <c r="AC230" s="205" t="n"/>
      <c r="AD230" s="205" t="n"/>
      <c r="AE230" s="205" t="n"/>
      <c r="AF230" s="205" t="n"/>
      <c r="AG230" s="205" t="inlineStr">
        <is>
          <t>NTCV;BBKTĐK</t>
        </is>
      </c>
      <c r="AH230" s="204" t="n">
        <v>12</v>
      </c>
      <c r="AI230" s="202" t="n"/>
      <c r="AJ230" s="202" t="n"/>
      <c r="AK230" s="206" t="n"/>
      <c r="AL230" s="202" t="n"/>
      <c r="AM230" s="202" t="n"/>
      <c r="AN230" s="202" t="n"/>
      <c r="AO230" s="202" t="n"/>
      <c r="AP230" s="207" t="n"/>
      <c r="AQ230" s="207" t="n"/>
      <c r="AR230" s="202" t="inlineStr">
        <is>
          <t>Nhóm 1</t>
        </is>
      </c>
      <c r="AS230" s="202" t="n"/>
      <c r="AT230" s="202" t="inlineStr">
        <is>
          <t>HM04</t>
        </is>
      </c>
      <c r="AU230" s="202" t="inlineStr">
        <is>
          <t>PYC</t>
        </is>
      </c>
      <c r="AV230" s="202" t="n">
        <v>144</v>
      </c>
      <c r="AW230" s="202" t="n">
        <v>4</v>
      </c>
      <c r="AX230" s="202" t="n"/>
    </row>
    <row r="231" ht="28" customHeight="1" s="672">
      <c r="A231" s="56" t="inlineStr">
        <is>
          <t>NTCV</t>
        </is>
      </c>
      <c r="B231" s="56" t="inlineStr">
        <is>
          <t>K.9999</t>
        </is>
      </c>
      <c r="C231" s="56" t="inlineStr">
        <is>
          <t>NTCV.0875974</t>
        </is>
      </c>
      <c r="D231" s="57" t="n"/>
      <c r="E231" s="57" t="n"/>
      <c r="F231" s="57" t="n"/>
      <c r="G231" s="57" t="n"/>
      <c r="H231" s="57" t="n"/>
      <c r="J231" s="209" t="inlineStr">
        <is>
          <t>32</t>
        </is>
      </c>
      <c r="K231" s="209" t="inlineStr">
        <is>
          <t>K.9999</t>
        </is>
      </c>
      <c r="L231" s="210" t="inlineStr">
        <is>
          <t>Đập đầu cọc khoan nhồi Mố M1 - Cọc C1</t>
        </is>
      </c>
      <c r="M231" s="210" t="n"/>
      <c r="N231" s="210" t="n"/>
      <c r="O231" s="211" t="inlineStr">
        <is>
          <t>Cầu Km19+529.080</t>
        </is>
      </c>
      <c r="P231" s="212">
        <f>S229</f>
        <v/>
      </c>
      <c r="Q231" s="212">
        <f>P231</f>
        <v/>
      </c>
      <c r="R231" s="212">
        <f>Q231-1</f>
        <v/>
      </c>
      <c r="S231" s="212">
        <f>Q231</f>
        <v/>
      </c>
      <c r="T231" s="213" t="n">
        <v>0.3541666666666667</v>
      </c>
      <c r="U231" s="213">
        <f>T231+V231</f>
        <v/>
      </c>
      <c r="V231" s="213" t="n">
        <v>0.0625</v>
      </c>
      <c r="W231" s="214">
        <f>TEXT(T231,"HH""h""MM'")&amp;"÷"&amp;TEXT(U231,"HH""h""MM'")</f>
        <v/>
      </c>
      <c r="X231" s="214" t="n"/>
      <c r="Y231" s="214" t="n"/>
      <c r="Z231" s="214" t="n"/>
      <c r="AA231" s="215" t="inlineStr">
        <is>
          <t>Theo dõi nén mẫu R28 Cọc khoan nhồi Mố M1 - Cọc C1</t>
        </is>
      </c>
      <c r="AB231" s="204" t="inlineStr">
        <is>
          <t>09-XL-307HG/PYCNT/CKN/M1/C1-4</t>
        </is>
      </c>
      <c r="AC231" s="204" t="inlineStr">
        <is>
          <t>09-XL-307HG/BBNT/CKN/M1/C1-13</t>
        </is>
      </c>
      <c r="AD231" s="204" t="n"/>
      <c r="AE231" s="204" t="n"/>
      <c r="AF231" s="204" t="n"/>
      <c r="AG231" s="204" t="n"/>
      <c r="AH231" s="204" t="n"/>
      <c r="AI231" s="214" t="n"/>
      <c r="AJ231" s="214" t="n"/>
      <c r="AK231" s="217" t="n"/>
      <c r="AL231" s="214" t="n"/>
      <c r="AM231" s="214" t="n"/>
      <c r="AN231" s="214" t="n"/>
      <c r="AO231" s="214" t="n"/>
      <c r="AP231" s="216" t="n"/>
      <c r="AQ231" s="216" t="n"/>
      <c r="AR231" s="214" t="inlineStr">
        <is>
          <t>Nhóm 1</t>
        </is>
      </c>
      <c r="AS231" s="214" t="n"/>
      <c r="AT231" s="214" t="inlineStr">
        <is>
          <t>HM04</t>
        </is>
      </c>
      <c r="AU231" s="214" t="inlineStr">
        <is>
          <t>NTCV</t>
        </is>
      </c>
      <c r="AV231" s="214" t="n">
        <v>383</v>
      </c>
      <c r="AW231" s="214" t="n">
        <v>12</v>
      </c>
      <c r="AX231" s="214" t="n"/>
    </row>
    <row r="232">
      <c r="A232" s="56" t="inlineStr">
        <is>
          <t>HM</t>
        </is>
      </c>
      <c r="B232" s="56" t="inlineStr">
        <is>
          <t>HM</t>
        </is>
      </c>
      <c r="C232" s="56" t="inlineStr">
        <is>
          <t>HM.0478014</t>
        </is>
      </c>
      <c r="D232" s="57" t="n"/>
      <c r="E232" s="57" t="n"/>
      <c r="F232" s="57" t="n"/>
      <c r="G232" s="57" t="n"/>
      <c r="H232" s="57" t="n"/>
      <c r="J232" s="246" t="inlineStr">
        <is>
          <t>HM05</t>
        </is>
      </c>
      <c r="K232" s="246" t="inlineStr">
        <is>
          <t>HM</t>
        </is>
      </c>
      <c r="L232" s="247" t="inlineStr">
        <is>
          <t>Mố M1 - Cọc C2</t>
        </is>
      </c>
      <c r="M232" s="247" t="n"/>
      <c r="N232" s="247" t="n"/>
      <c r="O232" s="248" t="inlineStr">
        <is>
          <t>Cầu Km19+529.080</t>
        </is>
      </c>
      <c r="P232" s="249" t="n"/>
      <c r="Q232" s="249" t="n"/>
      <c r="R232" s="249" t="n"/>
      <c r="S232" s="249" t="n"/>
      <c r="T232" s="249" t="n"/>
      <c r="U232" s="249" t="n"/>
      <c r="V232" s="249" t="n"/>
      <c r="W232" s="250" t="n"/>
      <c r="X232" s="250" t="n"/>
      <c r="Y232" s="250" t="n"/>
      <c r="Z232" s="250" t="n"/>
      <c r="AA232" s="251" t="n"/>
      <c r="AB232" s="252" t="n"/>
      <c r="AC232" s="252" t="n"/>
      <c r="AD232" s="252" t="n"/>
      <c r="AE232" s="252" t="n"/>
      <c r="AF232" s="252" t="n"/>
      <c r="AG232" s="252" t="n"/>
      <c r="AH232" s="252" t="n"/>
      <c r="AI232" s="250" t="n"/>
      <c r="AJ232" s="250" t="n"/>
      <c r="AK232" s="253" t="n"/>
      <c r="AL232" s="250" t="n"/>
      <c r="AM232" s="250" t="n"/>
      <c r="AN232" s="250" t="n"/>
      <c r="AO232" s="250" t="n"/>
      <c r="AP232" s="254" t="n"/>
      <c r="AQ232" s="254" t="n"/>
      <c r="AR232" s="250" t="n"/>
      <c r="AS232" s="250" t="n"/>
      <c r="AT232" s="250" t="inlineStr">
        <is>
          <t>HM05</t>
        </is>
      </c>
      <c r="AU232" s="250" t="inlineStr">
        <is>
          <t>HM</t>
        </is>
      </c>
      <c r="AV232" s="250" t="n"/>
      <c r="AW232" s="250" t="n"/>
      <c r="AX232" s="250" t="n"/>
    </row>
    <row r="233" ht="28" customFormat="1" customHeight="1" s="70">
      <c r="A233" s="68" t="inlineStr">
        <is>
          <t>BBK_BIA</t>
        </is>
      </c>
      <c r="B233" s="68" t="inlineStr">
        <is>
          <t>TRANGBIA</t>
        </is>
      </c>
      <c r="C233" s="68" t="inlineStr">
        <is>
          <t>BBK_BIA.0190633</t>
        </is>
      </c>
      <c r="D233" s="69" t="n"/>
      <c r="E233" s="69" t="n"/>
      <c r="F233" s="69" t="n"/>
      <c r="G233" s="69" t="n"/>
      <c r="H233" s="69" t="n"/>
      <c r="J233" s="98" t="inlineStr">
        <is>
          <t>01</t>
        </is>
      </c>
      <c r="K233" s="98" t="inlineStr">
        <is>
          <t>TRANGBIA</t>
        </is>
      </c>
      <c r="L233" s="99">
        <f>"Cọc Khoan Nhồi"&amp;" - "&amp;L232</f>
        <v/>
      </c>
      <c r="M233" s="99" t="n"/>
      <c r="N233" s="99" t="n"/>
      <c r="O233" s="100" t="inlineStr">
        <is>
          <t>Cầu Km19+529.080</t>
        </is>
      </c>
      <c r="P233" s="101" t="n"/>
      <c r="Q233" s="101" t="n"/>
      <c r="R233" s="101" t="n"/>
      <c r="S233" s="101" t="n"/>
      <c r="T233" s="101" t="n"/>
      <c r="U233" s="101" t="n"/>
      <c r="V233" s="101" t="n"/>
      <c r="W233" s="102" t="n"/>
      <c r="X233" s="102" t="n"/>
      <c r="Y233" s="102" t="n"/>
      <c r="Z233" s="102" t="n"/>
      <c r="AA233" s="102" t="n"/>
      <c r="AB233" s="102" t="n"/>
      <c r="AC233" s="102" t="n"/>
      <c r="AD233" s="102" t="n"/>
      <c r="AE233" s="102" t="n"/>
      <c r="AF233" s="102" t="n"/>
      <c r="AG233" s="102" t="n"/>
      <c r="AH233" s="102" t="n"/>
      <c r="AI233" s="102" t="n"/>
      <c r="AJ233" s="102" t="n"/>
      <c r="AK233" s="100" t="n"/>
      <c r="AL233" s="102" t="n"/>
      <c r="AM233" s="102" t="n"/>
      <c r="AN233" s="102" t="n"/>
      <c r="AO233" s="102" t="n"/>
      <c r="AP233" s="103" t="inlineStr">
        <is>
          <t>Kết cấu cọc khoan nhồi mố, trụ</t>
        </is>
      </c>
      <c r="AQ233" s="104" t="n"/>
      <c r="AR233" s="102" t="inlineStr">
        <is>
          <t>Nhóm 1</t>
        </is>
      </c>
      <c r="AS233" s="102" t="n"/>
      <c r="AT233" s="102" t="inlineStr">
        <is>
          <t>HM05</t>
        </is>
      </c>
      <c r="AU233" s="102" t="inlineStr">
        <is>
          <t>TRANGBIA</t>
        </is>
      </c>
      <c r="AV233" s="102" t="n">
        <v>5</v>
      </c>
      <c r="AW233" s="102" t="n">
        <v>1</v>
      </c>
      <c r="AX233" s="102" t="n"/>
    </row>
    <row r="234" customFormat="1" s="70">
      <c r="A234" s="68" t="inlineStr">
        <is>
          <t>BBK_ML</t>
        </is>
      </c>
      <c r="B234" s="68" t="inlineStr">
        <is>
          <t>MUCLUC</t>
        </is>
      </c>
      <c r="C234" s="68" t="inlineStr">
        <is>
          <t>BBK_ML.0684062</t>
        </is>
      </c>
      <c r="D234" s="69" t="n"/>
      <c r="E234" s="69" t="n"/>
      <c r="F234" s="69" t="n"/>
      <c r="G234" s="69" t="n"/>
      <c r="H234" s="69" t="n"/>
      <c r="J234" s="98" t="inlineStr">
        <is>
          <t>02</t>
        </is>
      </c>
      <c r="K234" s="98" t="inlineStr">
        <is>
          <t>MUCLUC</t>
        </is>
      </c>
      <c r="L234" s="99" t="inlineStr">
        <is>
          <t>Danh mục biên bản Kiểm tra/Nghiệm thu</t>
        </is>
      </c>
      <c r="M234" s="99" t="n"/>
      <c r="N234" s="99" t="n"/>
      <c r="O234" s="100" t="inlineStr">
        <is>
          <t>Cầu Km19+529.080</t>
        </is>
      </c>
      <c r="P234" s="101" t="n"/>
      <c r="Q234" s="101" t="n"/>
      <c r="R234" s="101" t="n"/>
      <c r="S234" s="101" t="n"/>
      <c r="T234" s="101" t="n"/>
      <c r="U234" s="101" t="n"/>
      <c r="V234" s="101" t="n"/>
      <c r="W234" s="102" t="n"/>
      <c r="X234" s="102" t="n"/>
      <c r="Y234" s="102" t="n"/>
      <c r="Z234" s="102" t="n"/>
      <c r="AA234" s="102" t="n"/>
      <c r="AB234" s="102" t="n"/>
      <c r="AC234" s="102" t="n"/>
      <c r="AD234" s="102" t="n"/>
      <c r="AE234" s="102" t="n"/>
      <c r="AF234" s="102" t="n"/>
      <c r="AG234" s="102" t="n"/>
      <c r="AH234" s="102" t="n"/>
      <c r="AI234" s="102" t="n"/>
      <c r="AJ234" s="102" t="n"/>
      <c r="AK234" s="100" t="n"/>
      <c r="AL234" s="102" t="n"/>
      <c r="AM234" s="102" t="n"/>
      <c r="AN234" s="102" t="n"/>
      <c r="AO234" s="102" t="n"/>
      <c r="AP234" s="104" t="n"/>
      <c r="AQ234" s="104" t="n"/>
      <c r="AR234" s="102" t="inlineStr">
        <is>
          <t>Nhóm 1</t>
        </is>
      </c>
      <c r="AS234" s="102" t="n"/>
      <c r="AT234" s="102" t="inlineStr">
        <is>
          <t>HM05</t>
        </is>
      </c>
      <c r="AU234" s="102" t="inlineStr">
        <is>
          <t>MUCLUC</t>
        </is>
      </c>
      <c r="AV234" s="102" t="n">
        <v>5</v>
      </c>
      <c r="AW234" s="102" t="n">
        <v>1</v>
      </c>
      <c r="AX234" s="102" t="n"/>
    </row>
    <row r="235">
      <c r="A235" s="56" t="inlineStr">
        <is>
          <t>BBK680</t>
        </is>
      </c>
      <c r="B235" s="56" t="inlineStr">
        <is>
          <t>PYC</t>
        </is>
      </c>
      <c r="C235" s="56" t="inlineStr">
        <is>
          <t>BBK680.0747415</t>
        </is>
      </c>
      <c r="D235" s="57" t="n"/>
      <c r="E235" s="57" t="n"/>
      <c r="F235" s="57" t="n"/>
      <c r="G235" s="57" t="n"/>
      <c r="H235" s="57" t="n"/>
      <c r="J235" s="198" t="inlineStr">
        <is>
          <t>03</t>
        </is>
      </c>
      <c r="K235" s="198" t="inlineStr">
        <is>
          <t>PYC</t>
        </is>
      </c>
      <c r="L235" s="199" t="inlineStr">
        <is>
          <t>Phiếu yêu cầu nghiệm thu</t>
        </is>
      </c>
      <c r="M235" s="199" t="n"/>
      <c r="N235" s="199" t="n"/>
      <c r="O235" s="200" t="inlineStr">
        <is>
          <t>Cầu Km19+529.080</t>
        </is>
      </c>
      <c r="P235" s="201" t="n"/>
      <c r="Q235" s="201" t="n"/>
      <c r="R235" s="201">
        <f>R236</f>
        <v/>
      </c>
      <c r="S235" s="201" t="n"/>
      <c r="T235" s="201" t="n"/>
      <c r="U235" s="201" t="n"/>
      <c r="V235" s="201" t="n"/>
      <c r="W235" s="202" t="n"/>
      <c r="X235" s="202" t="n"/>
      <c r="Y235" s="202" t="n"/>
      <c r="Z235" s="202" t="n"/>
      <c r="AA235" s="203" t="n"/>
      <c r="AB235" s="204" t="inlineStr">
        <is>
          <t>09-XL-307HG/PYCNT/CKN/M1/C2</t>
        </is>
      </c>
      <c r="AC235" s="205" t="n"/>
      <c r="AD235" s="205" t="n"/>
      <c r="AE235" s="205" t="n"/>
      <c r="AF235" s="205" t="n"/>
      <c r="AG235" s="205" t="inlineStr">
        <is>
          <t>NTCV;BBKTĐK</t>
        </is>
      </c>
      <c r="AH235" s="204" t="inlineStr">
        <is>
          <t>&gt;=1;&lt;=5</t>
        </is>
      </c>
      <c r="AI235" s="202" t="n"/>
      <c r="AJ235" s="202" t="n"/>
      <c r="AK235" s="206" t="n"/>
      <c r="AL235" s="202" t="n"/>
      <c r="AM235" s="202" t="n"/>
      <c r="AN235" s="202" t="n"/>
      <c r="AO235" s="202" t="n"/>
      <c r="AP235" s="207" t="n"/>
      <c r="AQ235" s="207" t="n"/>
      <c r="AR235" s="202" t="inlineStr">
        <is>
          <t>Nhóm 1</t>
        </is>
      </c>
      <c r="AS235" s="202" t="n"/>
      <c r="AT235" s="202" t="inlineStr">
        <is>
          <t>HM05</t>
        </is>
      </c>
      <c r="AU235" s="202" t="inlineStr">
        <is>
          <t>PYC</t>
        </is>
      </c>
      <c r="AV235" s="202" t="n">
        <v>145</v>
      </c>
      <c r="AW235" s="202" t="n">
        <v>1</v>
      </c>
      <c r="AX235" s="202" t="n"/>
    </row>
    <row r="236" ht="28" customHeight="1" s="672">
      <c r="A236" s="56" t="inlineStr">
        <is>
          <t>BBK884</t>
        </is>
      </c>
      <c r="B236" s="56" t="inlineStr">
        <is>
          <t>BBKTĐK</t>
        </is>
      </c>
      <c r="C236" s="56" t="inlineStr">
        <is>
          <t>BBK884.0613934</t>
        </is>
      </c>
      <c r="D236" s="57" t="n"/>
      <c r="E236" s="57" t="n"/>
      <c r="F236" s="57" t="n"/>
      <c r="G236" s="57" t="n"/>
      <c r="H236" s="57" t="n"/>
      <c r="J236" s="198" t="inlineStr">
        <is>
          <t>04</t>
        </is>
      </c>
      <c r="K236" s="198" t="inlineStr">
        <is>
          <t>BBKTĐK</t>
        </is>
      </c>
      <c r="L236" s="199" t="inlineStr">
        <is>
          <t>Kiểm tra điều kiện trước khi thi công cọc khoan nhồi: Thiết bị, nhân lực, vật tư</t>
        </is>
      </c>
      <c r="M236" s="199" t="n"/>
      <c r="N236" s="199" t="n"/>
      <c r="O236" s="200" t="inlineStr">
        <is>
          <t>Cầu Km19+529.080</t>
        </is>
      </c>
      <c r="P236" s="201" t="n">
        <v>46231</v>
      </c>
      <c r="Q236" s="201">
        <f>P236</f>
        <v/>
      </c>
      <c r="R236" s="201">
        <f>Q236-1</f>
        <v/>
      </c>
      <c r="S236" s="201">
        <f>Q236</f>
        <v/>
      </c>
      <c r="T236" s="208" t="n">
        <v>0.2916666666666667</v>
      </c>
      <c r="U236" s="208">
        <f>T236+V236</f>
        <v/>
      </c>
      <c r="V236" s="208" t="n">
        <v>0.02083333333333333</v>
      </c>
      <c r="W236" s="202">
        <f>TEXT(T236,"HH""h""MM'")&amp;"÷"&amp;TEXT(U236,"HH""h""MM'")</f>
        <v/>
      </c>
      <c r="X236" s="202" t="n"/>
      <c r="Y236" s="202" t="n"/>
      <c r="Z236" s="202" t="inlineStr">
        <is>
          <t>01;</t>
        </is>
      </c>
      <c r="AA236" s="200" t="inlineStr">
        <is>
          <t>Kiểm tra điều kiện trước khi thi công Cọc khoan nhồi Mố M1 - Cọc C2</t>
        </is>
      </c>
      <c r="AB236" s="205" t="inlineStr">
        <is>
          <t>09-XL-307HG/PYCNT/CKN/M1/C2-1</t>
        </is>
      </c>
      <c r="AC236" s="205" t="inlineStr">
        <is>
          <t>09-XL-307HG/BBNT/CKN/M1/C2-1</t>
        </is>
      </c>
      <c r="AD236" s="205" t="n"/>
      <c r="AE236" s="205" t="n"/>
      <c r="AF236" s="205" t="n"/>
      <c r="AG236" s="205" t="n"/>
      <c r="AH236" s="205" t="n"/>
      <c r="AI236" s="207" t="n"/>
      <c r="AJ236" s="214" t="n"/>
      <c r="AK236" s="217" t="n"/>
      <c r="AL236" s="214" t="n"/>
      <c r="AM236" s="214" t="n"/>
      <c r="AN236" s="214" t="n"/>
      <c r="AO236" s="202" t="n"/>
      <c r="AP236" s="207" t="n"/>
      <c r="AQ236" s="207" t="n"/>
      <c r="AR236" s="202" t="inlineStr">
        <is>
          <t>Nhóm 1</t>
        </is>
      </c>
      <c r="AS236" s="202" t="n"/>
      <c r="AT236" s="202" t="inlineStr">
        <is>
          <t>HM05</t>
        </is>
      </c>
      <c r="AU236" s="202" t="inlineStr">
        <is>
          <t>BBKTĐK</t>
        </is>
      </c>
      <c r="AV236" s="202" t="n">
        <v>28</v>
      </c>
      <c r="AW236" s="202" t="n">
        <v>1</v>
      </c>
      <c r="AX236" s="202" t="n"/>
    </row>
    <row r="237" ht="28" customHeight="1" s="672">
      <c r="A237" s="56" t="inlineStr">
        <is>
          <t>BBK860</t>
        </is>
      </c>
      <c r="B237" s="56" t="inlineStr">
        <is>
          <t>PL01</t>
        </is>
      </c>
      <c r="C237" s="56" t="inlineStr">
        <is>
          <t>BBK860.0782138</t>
        </is>
      </c>
      <c r="D237" s="57" t="n"/>
      <c r="E237" s="57" t="n"/>
      <c r="F237" s="57" t="n"/>
      <c r="G237" s="57" t="n"/>
      <c r="H237" s="57" t="n"/>
      <c r="J237" s="198" t="inlineStr">
        <is>
          <t>05</t>
        </is>
      </c>
      <c r="K237" s="198" t="inlineStr">
        <is>
          <t>PL01</t>
        </is>
      </c>
      <c r="L237" s="199" t="inlineStr">
        <is>
          <t>Máy móc, thiết bị, nhân lực, vật tư thi công cọc khoan nhồi</t>
        </is>
      </c>
      <c r="M237" s="199" t="n"/>
      <c r="N237" s="199" t="n"/>
      <c r="O237" s="199" t="inlineStr">
        <is>
          <t>Cầu Km19+529.080</t>
        </is>
      </c>
      <c r="P237" s="201" t="n"/>
      <c r="Q237" s="201" t="n"/>
      <c r="R237" s="201" t="n"/>
      <c r="S237" s="201">
        <f>S236</f>
        <v/>
      </c>
      <c r="T237" s="201" t="n"/>
      <c r="U237" s="201" t="n"/>
      <c r="V237" s="201" t="n"/>
      <c r="W237" s="202" t="n"/>
      <c r="X237" s="202" t="n"/>
      <c r="Y237" s="202" t="n"/>
      <c r="Z237" s="198" t="inlineStr">
        <is>
          <t>01</t>
        </is>
      </c>
      <c r="AA237" s="203" t="n"/>
      <c r="AB237" s="204" t="inlineStr">
        <is>
          <t>09-XL-307HG/PYCNT/CKN/M1/C2-1</t>
        </is>
      </c>
      <c r="AC237" s="204">
        <f>AC236</f>
        <v/>
      </c>
      <c r="AD237" s="204" t="n"/>
      <c r="AE237" s="204" t="n"/>
      <c r="AF237" s="204" t="n"/>
      <c r="AG237" s="204" t="n"/>
      <c r="AH237" s="204" t="inlineStr">
        <is>
          <t>CKN</t>
        </is>
      </c>
      <c r="AI237" s="207" t="n"/>
      <c r="AJ237" s="202" t="n"/>
      <c r="AK237" s="206" t="n"/>
      <c r="AL237" s="202" t="n"/>
      <c r="AM237" s="202" t="n"/>
      <c r="AN237" s="202" t="n"/>
      <c r="AO237" s="202" t="n"/>
      <c r="AP237" s="207" t="n"/>
      <c r="AQ237" s="207" t="n"/>
      <c r="AR237" s="202" t="inlineStr">
        <is>
          <t>Nhóm 1</t>
        </is>
      </c>
      <c r="AS237" s="202" t="n"/>
      <c r="AT237" s="202" t="inlineStr">
        <is>
          <t>HM05</t>
        </is>
      </c>
      <c r="AU237" s="202" t="inlineStr">
        <is>
          <t>PL01</t>
        </is>
      </c>
      <c r="AV237" s="202" t="n">
        <v>30</v>
      </c>
      <c r="AW237" s="202" t="n">
        <v>1</v>
      </c>
      <c r="AX237" s="202" t="n"/>
    </row>
    <row r="238" ht="42" customHeight="1" s="672">
      <c r="A238" s="56" t="inlineStr">
        <is>
          <t>NTCV</t>
        </is>
      </c>
      <c r="B238" s="56" t="inlineStr">
        <is>
          <t>K.9999</t>
        </is>
      </c>
      <c r="C238" s="56" t="inlineStr">
        <is>
          <t>NTCV.0161743</t>
        </is>
      </c>
      <c r="D238" s="57" t="n"/>
      <c r="E238" s="57" t="n"/>
      <c r="F238" s="57" t="n"/>
      <c r="G238" s="57" t="n"/>
      <c r="H238" s="57" t="n"/>
      <c r="J238" s="209" t="inlineStr">
        <is>
          <t>06</t>
        </is>
      </c>
      <c r="K238" s="209" t="inlineStr">
        <is>
          <t>K.9999</t>
        </is>
      </c>
      <c r="L238" s="210" t="inlineStr">
        <is>
          <t>Kiểm tra ống vách, dung dịch bentonite trước khi khoan cọc khoan nhồi</t>
        </is>
      </c>
      <c r="M238" s="210" t="n"/>
      <c r="N238" s="210" t="n"/>
      <c r="O238" s="211" t="inlineStr">
        <is>
          <t>Cầu Km19+529.080</t>
        </is>
      </c>
      <c r="P238" s="212">
        <f>S236</f>
        <v/>
      </c>
      <c r="Q238" s="212">
        <f>P238</f>
        <v/>
      </c>
      <c r="R238" s="212">
        <f>Q238-1</f>
        <v/>
      </c>
      <c r="S238" s="212">
        <f>Q238</f>
        <v/>
      </c>
      <c r="T238" s="213">
        <f>U236</f>
        <v/>
      </c>
      <c r="U238" s="213">
        <f>T238+V238</f>
        <v/>
      </c>
      <c r="V238" s="213" t="n">
        <v>0.02083333333333333</v>
      </c>
      <c r="W238" s="214">
        <f>TEXT(T238,"HH""h""MM'")&amp;"÷"&amp;TEXT(U238,"HH""h""MM'")</f>
        <v/>
      </c>
      <c r="X238" s="214" t="n"/>
      <c r="Y238" s="214" t="n"/>
      <c r="Z238" s="214" t="inlineStr">
        <is>
          <t>02; 02a</t>
        </is>
      </c>
      <c r="AA238" s="215" t="inlineStr">
        <is>
          <t>Kiểm tra ống vách, dung dịch bentonite Cọc khoan nhồi Mố M1 - Cọc C2 trước khi khoan</t>
        </is>
      </c>
      <c r="AB238" s="204" t="inlineStr">
        <is>
          <t>09-XL-307HG/PYCNT/CKN/M1/C2-1</t>
        </is>
      </c>
      <c r="AC238" s="204" t="inlineStr">
        <is>
          <t>09-XL-307HG/BBNT/CKN/M1/C2-2</t>
        </is>
      </c>
      <c r="AD238" s="204" t="n"/>
      <c r="AE238" s="204" t="n"/>
      <c r="AF238" s="204" t="n"/>
      <c r="AG238" s="204" t="n"/>
      <c r="AH238" s="204" t="n"/>
      <c r="AI238" s="216" t="n"/>
      <c r="AJ238" s="214" t="n"/>
      <c r="AK238" s="217" t="n"/>
      <c r="AL238" s="214" t="n"/>
      <c r="AM238" s="214" t="n"/>
      <c r="AN238" s="214" t="n"/>
      <c r="AO238" s="214" t="n"/>
      <c r="AP238" s="216" t="n"/>
      <c r="AQ238" s="216" t="n"/>
      <c r="AR238" s="214" t="inlineStr">
        <is>
          <t>Nhóm 1</t>
        </is>
      </c>
      <c r="AS238" s="214" t="n"/>
      <c r="AT238" s="214" t="inlineStr">
        <is>
          <t>HM05</t>
        </is>
      </c>
      <c r="AU238" s="214" t="inlineStr">
        <is>
          <t>NTCV</t>
        </is>
      </c>
      <c r="AV238" s="214" t="n">
        <v>341</v>
      </c>
      <c r="AW238" s="214" t="n">
        <v>1</v>
      </c>
      <c r="AX238" s="214" t="n"/>
    </row>
    <row r="239">
      <c r="A239" s="56" t="inlineStr">
        <is>
          <t>BBK170</t>
        </is>
      </c>
      <c r="B239" s="56" t="inlineStr">
        <is>
          <t>PL02</t>
        </is>
      </c>
      <c r="C239" s="56" t="inlineStr">
        <is>
          <t>BBK170.0807779</t>
        </is>
      </c>
      <c r="D239" s="57" t="n"/>
      <c r="E239" s="57" t="n"/>
      <c r="F239" s="57" t="n"/>
      <c r="G239" s="57" t="n"/>
      <c r="H239" s="57" t="n"/>
      <c r="J239" s="198" t="inlineStr">
        <is>
          <t>07</t>
        </is>
      </c>
      <c r="K239" s="198" t="inlineStr">
        <is>
          <t>PL02</t>
        </is>
      </c>
      <c r="L239" s="199" t="inlineStr">
        <is>
          <t>Kiểm tra ống vách thi công trước khi hạ</t>
        </is>
      </c>
      <c r="M239" s="199" t="n"/>
      <c r="N239" s="199" t="n"/>
      <c r="O239" s="200" t="inlineStr">
        <is>
          <t>Cầu Km19+529.080</t>
        </is>
      </c>
      <c r="P239" s="201" t="n"/>
      <c r="Q239" s="201" t="n"/>
      <c r="R239" s="201" t="n"/>
      <c r="S239" s="201">
        <f>S238</f>
        <v/>
      </c>
      <c r="T239" s="201" t="n"/>
      <c r="U239" s="201" t="n"/>
      <c r="V239" s="201" t="n"/>
      <c r="W239" s="202" t="n"/>
      <c r="X239" s="202" t="n"/>
      <c r="Y239" s="202" t="n"/>
      <c r="Z239" s="198" t="inlineStr">
        <is>
          <t>02</t>
        </is>
      </c>
      <c r="AA239" s="203" t="n"/>
      <c r="AB239" s="204" t="inlineStr">
        <is>
          <t>09-XL-307HG/PYCNT/CKN/M1/C2-1</t>
        </is>
      </c>
      <c r="AC239" s="204">
        <f>AC238</f>
        <v/>
      </c>
      <c r="AD239" s="204" t="n"/>
      <c r="AE239" s="204" t="n"/>
      <c r="AF239" s="204" t="n"/>
      <c r="AG239" s="204" t="n"/>
      <c r="AH239" s="204" t="inlineStr">
        <is>
          <t>CKN</t>
        </is>
      </c>
      <c r="AI239" s="207" t="n"/>
      <c r="AJ239" s="202" t="n"/>
      <c r="AK239" s="206" t="n"/>
      <c r="AL239" s="202" t="n"/>
      <c r="AM239" s="202" t="n"/>
      <c r="AN239" s="202" t="n"/>
      <c r="AO239" s="202" t="n"/>
      <c r="AP239" s="207" t="n"/>
      <c r="AQ239" s="207" t="inlineStr">
        <is>
          <t>Ảnh\PL02 CKN.png</t>
        </is>
      </c>
      <c r="AR239" s="202" t="inlineStr">
        <is>
          <t>Nhóm 1</t>
        </is>
      </c>
      <c r="AS239" s="202" t="n"/>
      <c r="AT239" s="202" t="inlineStr">
        <is>
          <t>HM05</t>
        </is>
      </c>
      <c r="AU239" s="202" t="inlineStr">
        <is>
          <t>PL02</t>
        </is>
      </c>
      <c r="AV239" s="202" t="n">
        <v>28</v>
      </c>
      <c r="AW239" s="202" t="n">
        <v>1</v>
      </c>
      <c r="AX239" s="202" t="n"/>
    </row>
    <row r="240">
      <c r="A240" s="56" t="inlineStr">
        <is>
          <t>BBK721</t>
        </is>
      </c>
      <c r="B240" s="56" t="inlineStr">
        <is>
          <t>PL02a</t>
        </is>
      </c>
      <c r="C240" s="56" t="inlineStr">
        <is>
          <t>BBK721.0202618</t>
        </is>
      </c>
      <c r="D240" s="57" t="n"/>
      <c r="E240" s="57" t="n"/>
      <c r="F240" s="57" t="n"/>
      <c r="G240" s="57" t="n"/>
      <c r="H240" s="57" t="n"/>
      <c r="J240" s="198" t="inlineStr">
        <is>
          <t>08</t>
        </is>
      </c>
      <c r="K240" s="198" t="inlineStr">
        <is>
          <t>PL02a</t>
        </is>
      </c>
      <c r="L240" s="199" t="inlineStr">
        <is>
          <t>Kiểm tra ống vách thi công trước khi hạ</t>
        </is>
      </c>
      <c r="M240" s="199" t="n"/>
      <c r="N240" s="199" t="n"/>
      <c r="O240" s="200" t="inlineStr">
        <is>
          <t>Cầu Km19+529.080</t>
        </is>
      </c>
      <c r="P240" s="201" t="n"/>
      <c r="Q240" s="201" t="n"/>
      <c r="R240" s="201" t="n"/>
      <c r="S240" s="201">
        <f>S239</f>
        <v/>
      </c>
      <c r="T240" s="201" t="n"/>
      <c r="U240" s="201" t="n"/>
      <c r="V240" s="201" t="n"/>
      <c r="W240" s="202" t="n"/>
      <c r="X240" s="202" t="n"/>
      <c r="Y240" s="202" t="n"/>
      <c r="Z240" s="198" t="inlineStr">
        <is>
          <t>02a</t>
        </is>
      </c>
      <c r="AA240" s="203" t="n"/>
      <c r="AB240" s="204" t="inlineStr">
        <is>
          <t>09-XL-307HG/PYCNT/CKN/M1/C2-1</t>
        </is>
      </c>
      <c r="AC240" s="204">
        <f>AC239</f>
        <v/>
      </c>
      <c r="AD240" s="204" t="n"/>
      <c r="AE240" s="204" t="n"/>
      <c r="AF240" s="204" t="n"/>
      <c r="AG240" s="204" t="n"/>
      <c r="AH240" s="204" t="n"/>
      <c r="AI240" s="207" t="n"/>
      <c r="AJ240" s="202" t="n"/>
      <c r="AK240" s="206" t="n"/>
      <c r="AL240" s="202" t="n"/>
      <c r="AM240" s="202" t="n"/>
      <c r="AN240" s="202" t="n"/>
      <c r="AO240" s="202" t="n"/>
      <c r="AP240" s="207" t="n"/>
      <c r="AQ240" s="207" t="n"/>
      <c r="AR240" s="202" t="inlineStr">
        <is>
          <t>Nhóm 1</t>
        </is>
      </c>
      <c r="AS240" s="202" t="n"/>
      <c r="AT240" s="202" t="inlineStr">
        <is>
          <t>HM05</t>
        </is>
      </c>
      <c r="AU240" s="202" t="inlineStr">
        <is>
          <t>PL02a</t>
        </is>
      </c>
      <c r="AV240" s="202" t="n">
        <v>26</v>
      </c>
      <c r="AW240" s="202" t="n">
        <v>1</v>
      </c>
      <c r="AX240" s="202" t="n"/>
    </row>
    <row r="241" ht="28" customHeight="1" s="672">
      <c r="A241" s="56" t="inlineStr">
        <is>
          <t>NTCV</t>
        </is>
      </c>
      <c r="B241" s="56" t="inlineStr">
        <is>
          <t>K.9999</t>
        </is>
      </c>
      <c r="C241" s="56" t="inlineStr">
        <is>
          <t>NTCV.0956762</t>
        </is>
      </c>
      <c r="D241" s="57" t="n"/>
      <c r="E241" s="57" t="n"/>
      <c r="F241" s="57" t="n"/>
      <c r="G241" s="57" t="n"/>
      <c r="H241" s="57" t="n"/>
      <c r="J241" s="209" t="inlineStr">
        <is>
          <t>09</t>
        </is>
      </c>
      <c r="K241" s="209" t="inlineStr">
        <is>
          <t>K.9999</t>
        </is>
      </c>
      <c r="L241" s="210" t="inlineStr">
        <is>
          <t>Kiểm tra định vị tim cọc khoan nhồi, hạ ống vách thi công</t>
        </is>
      </c>
      <c r="M241" s="210" t="n"/>
      <c r="N241" s="210" t="n"/>
      <c r="O241" s="211" t="inlineStr">
        <is>
          <t>Cầu Km19+529.080</t>
        </is>
      </c>
      <c r="P241" s="212">
        <f>S238</f>
        <v/>
      </c>
      <c r="Q241" s="212">
        <f>P241</f>
        <v/>
      </c>
      <c r="R241" s="212">
        <f>Q241-1</f>
        <v/>
      </c>
      <c r="S241" s="212">
        <f>Q241</f>
        <v/>
      </c>
      <c r="T241" s="213">
        <f>U238</f>
        <v/>
      </c>
      <c r="U241" s="213">
        <f>T241+V241</f>
        <v/>
      </c>
      <c r="V241" s="213" t="n">
        <v>0.02083333333333333</v>
      </c>
      <c r="W241" s="214">
        <f>TEXT(T241,"HH""h""MM'")&amp;"÷"&amp;TEXT(U241,"HH""h""MM'")</f>
        <v/>
      </c>
      <c r="X241" s="214" t="n"/>
      <c r="Y241" s="214" t="n"/>
      <c r="Z241" s="214" t="inlineStr">
        <is>
          <t>03;</t>
        </is>
      </c>
      <c r="AA241" s="215" t="inlineStr">
        <is>
          <t>Kiểm tra định vị Cọc khoan nhồi Mố M1 - Cọc C2</t>
        </is>
      </c>
      <c r="AB241" s="204" t="inlineStr">
        <is>
          <t>09-XL-307HG/PYCNT/CKN/M1/C2-1</t>
        </is>
      </c>
      <c r="AC241" s="204" t="inlineStr">
        <is>
          <t>09-XL-307HG/BBNT/CKN/M1/C2-3</t>
        </is>
      </c>
      <c r="AD241" s="204" t="n"/>
      <c r="AE241" s="204" t="n"/>
      <c r="AF241" s="204" t="n"/>
      <c r="AG241" s="204" t="n"/>
      <c r="AH241" s="204" t="n"/>
      <c r="AI241" s="216" t="n"/>
      <c r="AJ241" s="214" t="n"/>
      <c r="AK241" s="217" t="n"/>
      <c r="AL241" s="214" t="n"/>
      <c r="AM241" s="214" t="n"/>
      <c r="AN241" s="214" t="n"/>
      <c r="AO241" s="214" t="n"/>
      <c r="AP241" s="216" t="n"/>
      <c r="AQ241" s="216" t="n"/>
      <c r="AR241" s="214" t="inlineStr">
        <is>
          <t>Nhóm 1</t>
        </is>
      </c>
      <c r="AS241" s="214" t="n"/>
      <c r="AT241" s="214" t="inlineStr">
        <is>
          <t>HM05</t>
        </is>
      </c>
      <c r="AU241" s="214" t="inlineStr">
        <is>
          <t>NTCV</t>
        </is>
      </c>
      <c r="AV241" s="214" t="n">
        <v>343</v>
      </c>
      <c r="AW241" s="214" t="n">
        <v>2</v>
      </c>
      <c r="AX241" s="214" t="n"/>
    </row>
    <row r="242" ht="28" customHeight="1" s="672">
      <c r="A242" s="56" t="inlineStr">
        <is>
          <t>BBK478</t>
        </is>
      </c>
      <c r="B242" s="56" t="inlineStr">
        <is>
          <t>PL03</t>
        </is>
      </c>
      <c r="C242" s="56" t="inlineStr">
        <is>
          <t>BBK478.0065851</t>
        </is>
      </c>
      <c r="D242" s="57" t="n"/>
      <c r="E242" s="57" t="n"/>
      <c r="F242" s="57" t="n"/>
      <c r="G242" s="57" t="n"/>
      <c r="H242" s="57" t="n"/>
      <c r="J242" s="198" t="inlineStr">
        <is>
          <t>10</t>
        </is>
      </c>
      <c r="K242" s="198" t="inlineStr">
        <is>
          <t>PL03</t>
        </is>
      </c>
      <c r="L242" s="199" t="inlineStr">
        <is>
          <t>Kiểm tra định vị tim cọc khoan nhồi, hạ ống vách thi công</t>
        </is>
      </c>
      <c r="M242" s="199" t="n"/>
      <c r="N242" s="199" t="n"/>
      <c r="O242" s="200" t="inlineStr">
        <is>
          <t>Cầu Km19+529.080</t>
        </is>
      </c>
      <c r="P242" s="201" t="n"/>
      <c r="Q242" s="201" t="n"/>
      <c r="R242" s="201" t="n"/>
      <c r="S242" s="201">
        <f>S241</f>
        <v/>
      </c>
      <c r="T242" s="201" t="n"/>
      <c r="U242" s="201" t="n"/>
      <c r="V242" s="201" t="n"/>
      <c r="W242" s="202" t="n"/>
      <c r="X242" s="202" t="n"/>
      <c r="Y242" s="202" t="n"/>
      <c r="Z242" s="198" t="inlineStr">
        <is>
          <t>03</t>
        </is>
      </c>
      <c r="AA242" s="203" t="n"/>
      <c r="AB242" s="204" t="inlineStr">
        <is>
          <t>09-XL-307HG/PYCNT/CKN/M1/C2-1</t>
        </is>
      </c>
      <c r="AC242" s="204">
        <f>AC241</f>
        <v/>
      </c>
      <c r="AD242" s="255" t="n">
        <v>2481725.94</v>
      </c>
      <c r="AE242" s="204" t="n">
        <v>382379.669</v>
      </c>
      <c r="AF242" s="204" t="n">
        <v>193.084</v>
      </c>
      <c r="AG242" s="204" t="n"/>
      <c r="AH242" s="204" t="inlineStr">
        <is>
          <t>&gt;=21;&lt;=39</t>
        </is>
      </c>
      <c r="AI242" s="207" t="n"/>
      <c r="AJ242" s="202" t="n"/>
      <c r="AK242" s="206" t="n"/>
      <c r="AL242" s="202" t="n"/>
      <c r="AM242" s="202" t="n"/>
      <c r="AN242" s="202" t="n"/>
      <c r="AO242" s="202" t="n"/>
      <c r="AP242" s="207" t="n"/>
      <c r="AQ242" s="207" t="n"/>
      <c r="AR242" s="202" t="inlineStr">
        <is>
          <t>Nhóm 1</t>
        </is>
      </c>
      <c r="AS242" s="202" t="n"/>
      <c r="AT242" s="202" t="inlineStr">
        <is>
          <t>HM05</t>
        </is>
      </c>
      <c r="AU242" s="202" t="inlineStr">
        <is>
          <t>PL03</t>
        </is>
      </c>
      <c r="AV242" s="202" t="n">
        <v>26</v>
      </c>
      <c r="AW242" s="202" t="n">
        <v>1</v>
      </c>
      <c r="AX242" s="202" t="n"/>
    </row>
    <row r="243" ht="28" customHeight="1" s="672">
      <c r="A243" s="56" t="inlineStr">
        <is>
          <t>NTCV</t>
        </is>
      </c>
      <c r="B243" s="56" t="inlineStr">
        <is>
          <t>K.9999</t>
        </is>
      </c>
      <c r="C243" s="56" t="inlineStr">
        <is>
          <t>NTCV.0061522</t>
        </is>
      </c>
      <c r="D243" s="57" t="n"/>
      <c r="E243" s="57" t="n"/>
      <c r="F243" s="57" t="n"/>
      <c r="G243" s="57" t="n"/>
      <c r="H243" s="57" t="n"/>
      <c r="J243" s="209" t="inlineStr">
        <is>
          <t>11</t>
        </is>
      </c>
      <c r="K243" s="209" t="inlineStr">
        <is>
          <t>K.9999</t>
        </is>
      </c>
      <c r="L243" s="210" t="inlineStr">
        <is>
          <t>Nghiệm thu lồng thép cọc khoan nhồi trước khi hạ</t>
        </is>
      </c>
      <c r="M243" s="210" t="n"/>
      <c r="N243" s="210" t="n"/>
      <c r="O243" s="211" t="inlineStr">
        <is>
          <t>Cầu Km19+529.080</t>
        </is>
      </c>
      <c r="P243" s="212">
        <f>S241</f>
        <v/>
      </c>
      <c r="Q243" s="212">
        <f>P243</f>
        <v/>
      </c>
      <c r="R243" s="212">
        <f>Q243-1</f>
        <v/>
      </c>
      <c r="S243" s="212">
        <f>Q243</f>
        <v/>
      </c>
      <c r="T243" s="213">
        <f>U241</f>
        <v/>
      </c>
      <c r="U243" s="213">
        <f>T243+V243</f>
        <v/>
      </c>
      <c r="V243" s="213" t="n">
        <v>0.02083333333333333</v>
      </c>
      <c r="W243" s="214">
        <f>TEXT(T243,"HH""h""MM'")&amp;"÷"&amp;TEXT(U243,"HH""h""MM'")</f>
        <v/>
      </c>
      <c r="X243" s="214" t="n"/>
      <c r="Y243" s="214" t="n"/>
      <c r="Z243" s="214" t="inlineStr">
        <is>
          <t>04;</t>
        </is>
      </c>
      <c r="AA243" s="215" t="inlineStr">
        <is>
          <t>Nghiệm thu lồng thép Cọc khoan nhồi Mố M1 - Cọc C2</t>
        </is>
      </c>
      <c r="AB243" s="204" t="inlineStr">
        <is>
          <t>09-XL-307HG/PYCNT/CKN/M1/C2-1</t>
        </is>
      </c>
      <c r="AC243" s="204" t="inlineStr">
        <is>
          <t>09-XL-307HG/BBNT/CKN/M1/C2-4</t>
        </is>
      </c>
      <c r="AD243" s="204" t="n"/>
      <c r="AE243" s="204" t="n"/>
      <c r="AF243" s="204" t="n"/>
      <c r="AG243" s="204" t="n"/>
      <c r="AH243" s="204" t="n"/>
      <c r="AI243" s="216" t="n"/>
      <c r="AJ243" s="214" t="n"/>
      <c r="AK243" s="217" t="n"/>
      <c r="AL243" s="214" t="n"/>
      <c r="AM243" s="214" t="n"/>
      <c r="AN243" s="214" t="n"/>
      <c r="AO243" s="214" t="n"/>
      <c r="AP243" s="216" t="n"/>
      <c r="AQ243" s="216" t="n"/>
      <c r="AR243" s="214" t="inlineStr">
        <is>
          <t>Nhóm 1</t>
        </is>
      </c>
      <c r="AS243" s="214" t="n"/>
      <c r="AT243" s="214" t="inlineStr">
        <is>
          <t>HM05</t>
        </is>
      </c>
      <c r="AU243" s="214" t="inlineStr">
        <is>
          <t>NTCV</t>
        </is>
      </c>
      <c r="AV243" s="214" t="n">
        <v>345</v>
      </c>
      <c r="AW243" s="214" t="n">
        <v>3</v>
      </c>
      <c r="AX243" s="214" t="n"/>
    </row>
    <row r="244">
      <c r="A244" s="56" t="inlineStr">
        <is>
          <t>BBK096</t>
        </is>
      </c>
      <c r="B244" s="56" t="inlineStr">
        <is>
          <t>PL04</t>
        </is>
      </c>
      <c r="C244" s="56" t="inlineStr">
        <is>
          <t>BBK096.0793197</t>
        </is>
      </c>
      <c r="D244" s="57" t="n"/>
      <c r="E244" s="57" t="n"/>
      <c r="F244" s="57" t="n"/>
      <c r="G244" s="57" t="n"/>
      <c r="H244" s="57" t="n"/>
      <c r="J244" s="198" t="inlineStr">
        <is>
          <t>12</t>
        </is>
      </c>
      <c r="K244" s="198" t="inlineStr">
        <is>
          <t>PL04</t>
        </is>
      </c>
      <c r="L244" s="199" t="inlineStr">
        <is>
          <t>Nghiệm thu lồng thép cọc khoan nhồi trước khi hạ</t>
        </is>
      </c>
      <c r="M244" s="199" t="n"/>
      <c r="N244" s="199" t="n"/>
      <c r="O244" s="200" t="inlineStr">
        <is>
          <t>Cầu Km19+529.080</t>
        </is>
      </c>
      <c r="P244" s="201" t="n"/>
      <c r="Q244" s="201" t="n"/>
      <c r="R244" s="201" t="n"/>
      <c r="S244" s="201">
        <f>S243</f>
        <v/>
      </c>
      <c r="T244" s="201" t="n"/>
      <c r="U244" s="201" t="n"/>
      <c r="V244" s="201" t="n"/>
      <c r="W244" s="202" t="n"/>
      <c r="X244" s="202" t="n"/>
      <c r="Y244" s="202" t="n"/>
      <c r="Z244" s="198" t="inlineStr">
        <is>
          <t>04</t>
        </is>
      </c>
      <c r="AA244" s="203" t="n"/>
      <c r="AB244" s="204" t="inlineStr">
        <is>
          <t>09-XL-307HG/PYCNT/CKN/M1/C2-1</t>
        </is>
      </c>
      <c r="AC244" s="204">
        <f>AC243</f>
        <v/>
      </c>
      <c r="AD244" s="204" t="n"/>
      <c r="AE244" s="204" t="n"/>
      <c r="AF244" s="204" t="n"/>
      <c r="AG244" s="204" t="n"/>
      <c r="AH244" s="204" t="inlineStr">
        <is>
          <t>M1</t>
        </is>
      </c>
      <c r="AI244" s="207" t="n"/>
      <c r="AJ244" s="202" t="n"/>
      <c r="AK244" s="206" t="n"/>
      <c r="AL244" s="202" t="n"/>
      <c r="AM244" s="202" t="n"/>
      <c r="AN244" s="202" t="n"/>
      <c r="AO244" s="202" t="n"/>
      <c r="AP244" s="207" t="n"/>
      <c r="AQ244" s="207" t="n"/>
      <c r="AR244" s="202" t="inlineStr">
        <is>
          <t>Nhóm 1</t>
        </is>
      </c>
      <c r="AS244" s="202" t="n"/>
      <c r="AT244" s="202" t="inlineStr">
        <is>
          <t>HM05</t>
        </is>
      </c>
      <c r="AU244" s="202" t="inlineStr">
        <is>
          <t>PL04</t>
        </is>
      </c>
      <c r="AV244" s="202" t="n">
        <v>26</v>
      </c>
      <c r="AW244" s="202" t="n">
        <v>1</v>
      </c>
      <c r="AX244" s="202" t="n"/>
    </row>
    <row r="245" ht="28" customHeight="1" s="672">
      <c r="A245" s="56" t="inlineStr">
        <is>
          <t>NTCV</t>
        </is>
      </c>
      <c r="B245" s="56" t="inlineStr">
        <is>
          <t>K.9999</t>
        </is>
      </c>
      <c r="C245" s="56" t="inlineStr">
        <is>
          <t>NTCV.0379604</t>
        </is>
      </c>
      <c r="D245" s="57" t="n"/>
      <c r="E245" s="57" t="n"/>
      <c r="F245" s="57" t="n"/>
      <c r="G245" s="57" t="n"/>
      <c r="H245" s="57" t="n"/>
      <c r="J245" s="209" t="inlineStr">
        <is>
          <t>13</t>
        </is>
      </c>
      <c r="K245" s="209" t="inlineStr">
        <is>
          <t>K.9999</t>
        </is>
      </c>
      <c r="L245" s="210" t="inlineStr">
        <is>
          <t xml:space="preserve">Kiểm tra công tác khoan tạo lỗ cọc khoan nhồi </t>
        </is>
      </c>
      <c r="M245" s="210" t="n"/>
      <c r="N245" s="210" t="n"/>
      <c r="O245" s="211" t="inlineStr">
        <is>
          <t>Cầu Km19+529.080</t>
        </is>
      </c>
      <c r="P245" s="212">
        <f>S243</f>
        <v/>
      </c>
      <c r="Q245" s="212">
        <f>P245</f>
        <v/>
      </c>
      <c r="R245" s="212">
        <f>Q245-1</f>
        <v/>
      </c>
      <c r="S245" s="212">
        <f>Q245</f>
        <v/>
      </c>
      <c r="T245" s="213">
        <f>U243</f>
        <v/>
      </c>
      <c r="U245" s="213">
        <f>T245+V245</f>
        <v/>
      </c>
      <c r="V245" s="213" t="n">
        <v>0.2534722222222222</v>
      </c>
      <c r="W245" s="214">
        <f>TEXT(T245,"HH""h""MM'")&amp;"÷"&amp;TEXT(U245,"HH""h""MM'")</f>
        <v/>
      </c>
      <c r="X245" s="214" t="n"/>
      <c r="Y245" s="214" t="n"/>
      <c r="Z245" s="214" t="inlineStr">
        <is>
          <t>05;</t>
        </is>
      </c>
      <c r="AA245" s="215" t="inlineStr">
        <is>
          <t>Kiểm tra công tác khoan tạo lỗ Cọc khoan nhồi Mố M1 - Cọc C2</t>
        </is>
      </c>
      <c r="AB245" s="204" t="inlineStr">
        <is>
          <t>09-XL-307HG/PYCNT/CKN/M1/C2-1</t>
        </is>
      </c>
      <c r="AC245" s="204" t="inlineStr">
        <is>
          <t>09-XL-307HG/BBNT/CKN/M1/C2-5</t>
        </is>
      </c>
      <c r="AD245" s="204" t="n"/>
      <c r="AE245" s="204" t="n"/>
      <c r="AF245" s="204" t="n"/>
      <c r="AG245" s="204" t="n"/>
      <c r="AH245" s="204" t="n"/>
      <c r="AI245" s="216" t="n"/>
      <c r="AJ245" s="214" t="n"/>
      <c r="AK245" s="217" t="n"/>
      <c r="AL245" s="214" t="n"/>
      <c r="AM245" s="214" t="n"/>
      <c r="AN245" s="214" t="n"/>
      <c r="AO245" s="214" t="n"/>
      <c r="AP245" s="216" t="n"/>
      <c r="AQ245" s="216" t="n"/>
      <c r="AR245" s="214" t="inlineStr">
        <is>
          <t>Nhóm 1</t>
        </is>
      </c>
      <c r="AS245" s="214" t="n"/>
      <c r="AT245" s="214" t="inlineStr">
        <is>
          <t>HM05</t>
        </is>
      </c>
      <c r="AU245" s="214" t="inlineStr">
        <is>
          <t>NTCV</t>
        </is>
      </c>
      <c r="AV245" s="214" t="n">
        <v>349</v>
      </c>
      <c r="AW245" s="214" t="n">
        <v>4</v>
      </c>
      <c r="AX245" s="214" t="n"/>
    </row>
    <row r="246">
      <c r="A246" s="56" t="inlineStr">
        <is>
          <t>BBK638</t>
        </is>
      </c>
      <c r="B246" s="56" t="inlineStr">
        <is>
          <t>PL05</t>
        </is>
      </c>
      <c r="C246" s="56" t="inlineStr">
        <is>
          <t>BBK638.0463584</t>
        </is>
      </c>
      <c r="D246" s="57" t="n"/>
      <c r="E246" s="57" t="n"/>
      <c r="F246" s="57" t="n"/>
      <c r="G246" s="57" t="n"/>
      <c r="H246" s="57" t="n"/>
      <c r="J246" s="198" t="inlineStr">
        <is>
          <t>14</t>
        </is>
      </c>
      <c r="K246" s="198" t="inlineStr">
        <is>
          <t>PL05</t>
        </is>
      </c>
      <c r="L246" s="199" t="inlineStr">
        <is>
          <t>Kiểm tra công tác khoan tạo lỗ cọc khoan nhồi</t>
        </is>
      </c>
      <c r="M246" s="199" t="n"/>
      <c r="N246" s="199" t="n"/>
      <c r="O246" s="200" t="inlineStr">
        <is>
          <t>Cầu Km19+529.080</t>
        </is>
      </c>
      <c r="P246" s="201" t="n"/>
      <c r="Q246" s="201" t="n"/>
      <c r="R246" s="201" t="n"/>
      <c r="S246" s="201">
        <f>S245</f>
        <v/>
      </c>
      <c r="T246" s="208">
        <f>T245</f>
        <v/>
      </c>
      <c r="U246" s="208" t="n">
        <v>0.6284722222222222</v>
      </c>
      <c r="V246" s="208">
        <f>U246-T246</f>
        <v/>
      </c>
      <c r="W246" s="202" t="n"/>
      <c r="X246" s="202" t="n"/>
      <c r="Y246" s="202" t="n"/>
      <c r="Z246" s="198" t="inlineStr">
        <is>
          <t>05</t>
        </is>
      </c>
      <c r="AA246" s="203" t="n"/>
      <c r="AB246" s="204" t="inlineStr">
        <is>
          <t>09-XL-307HG/PYCNT/CKN/M1/C2</t>
        </is>
      </c>
      <c r="AC246" s="204">
        <f>AC245</f>
        <v/>
      </c>
      <c r="AD246" s="204" t="n"/>
      <c r="AE246" s="204" t="n"/>
      <c r="AF246" s="204" t="n">
        <v>193.084</v>
      </c>
      <c r="AG246" s="204" t="n"/>
      <c r="AH246" s="204" t="inlineStr">
        <is>
          <t>M1-C2</t>
        </is>
      </c>
      <c r="AI246" s="207" t="n"/>
      <c r="AJ246" s="202" t="n"/>
      <c r="AK246" s="206" t="n"/>
      <c r="AL246" s="202" t="n"/>
      <c r="AM246" s="202" t="n"/>
      <c r="AN246" s="202" t="n"/>
      <c r="AO246" s="202" t="n"/>
      <c r="AP246" s="207" t="n"/>
      <c r="AQ246" s="207" t="n"/>
      <c r="AR246" s="202" t="inlineStr">
        <is>
          <t>Nhóm 1</t>
        </is>
      </c>
      <c r="AS246" s="202" t="n"/>
      <c r="AT246" s="202" t="inlineStr">
        <is>
          <t>HM05</t>
        </is>
      </c>
      <c r="AU246" s="202" t="inlineStr">
        <is>
          <t>PL05</t>
        </is>
      </c>
      <c r="AV246" s="202" t="n">
        <v>26</v>
      </c>
      <c r="AW246" s="202" t="n">
        <v>1</v>
      </c>
      <c r="AX246" s="202" t="n"/>
    </row>
    <row r="247">
      <c r="A247" s="56" t="inlineStr">
        <is>
          <t>BBK680</t>
        </is>
      </c>
      <c r="B247" s="56" t="inlineStr">
        <is>
          <t>PYC</t>
        </is>
      </c>
      <c r="C247" s="56" t="inlineStr">
        <is>
          <t>BBK680.0119544</t>
        </is>
      </c>
      <c r="D247" s="57" t="n"/>
      <c r="E247" s="57" t="n"/>
      <c r="F247" s="57" t="n"/>
      <c r="G247" s="57" t="n"/>
      <c r="H247" s="57" t="n"/>
      <c r="J247" s="198" t="inlineStr">
        <is>
          <t>15</t>
        </is>
      </c>
      <c r="K247" s="198" t="inlineStr">
        <is>
          <t>PYC</t>
        </is>
      </c>
      <c r="L247" s="199" t="inlineStr">
        <is>
          <t>Phiếu yêu cầu nghiệm thu</t>
        </is>
      </c>
      <c r="M247" s="199" t="n"/>
      <c r="N247" s="199" t="n"/>
      <c r="O247" s="200" t="inlineStr">
        <is>
          <t>Cầu Km19+529.080</t>
        </is>
      </c>
      <c r="P247" s="201" t="n"/>
      <c r="Q247" s="201" t="n"/>
      <c r="R247" s="201">
        <f>R248</f>
        <v/>
      </c>
      <c r="S247" s="201" t="n"/>
      <c r="T247" s="201" t="n"/>
      <c r="U247" s="201" t="n"/>
      <c r="V247" s="201" t="n"/>
      <c r="W247" s="202" t="n"/>
      <c r="X247" s="202" t="n"/>
      <c r="Y247" s="202" t="n"/>
      <c r="Z247" s="202" t="n"/>
      <c r="AA247" s="203" t="n"/>
      <c r="AB247" s="204" t="inlineStr">
        <is>
          <t>09-XL-307HG/PYCNT/CKN/M1/C2</t>
        </is>
      </c>
      <c r="AC247" s="205" t="inlineStr"/>
      <c r="AD247" s="205" t="n"/>
      <c r="AE247" s="205" t="n"/>
      <c r="AF247" s="205" t="n"/>
      <c r="AG247" s="205" t="inlineStr">
        <is>
          <t>NTCV;BBKTĐK</t>
        </is>
      </c>
      <c r="AH247" s="204" t="inlineStr">
        <is>
          <t>&gt;=6;&lt;=10</t>
        </is>
      </c>
      <c r="AI247" s="202" t="n"/>
      <c r="AJ247" s="202" t="n"/>
      <c r="AK247" s="206" t="n"/>
      <c r="AL247" s="202" t="n"/>
      <c r="AM247" s="202" t="n"/>
      <c r="AN247" s="202" t="n"/>
      <c r="AO247" s="202" t="n"/>
      <c r="AP247" s="207" t="n"/>
      <c r="AQ247" s="207" t="n"/>
      <c r="AR247" s="202" t="inlineStr">
        <is>
          <t>Nhóm 1</t>
        </is>
      </c>
      <c r="AS247" s="202" t="n"/>
      <c r="AT247" s="202" t="inlineStr">
        <is>
          <t>HM05</t>
        </is>
      </c>
      <c r="AU247" s="202" t="inlineStr">
        <is>
          <t>PYC</t>
        </is>
      </c>
      <c r="AV247" s="202" t="n">
        <v>146</v>
      </c>
      <c r="AW247" s="202" t="n">
        <v>2</v>
      </c>
      <c r="AX247" s="202" t="n"/>
    </row>
    <row r="248" ht="42" customHeight="1" s="672">
      <c r="A248" s="56" t="inlineStr">
        <is>
          <t>NTCV</t>
        </is>
      </c>
      <c r="B248" s="56" t="inlineStr">
        <is>
          <t>K.9999</t>
        </is>
      </c>
      <c r="C248" s="56" t="inlineStr">
        <is>
          <t>NTCV.0115470</t>
        </is>
      </c>
      <c r="D248" s="57" t="n"/>
      <c r="E248" s="57" t="n"/>
      <c r="F248" s="57" t="n"/>
      <c r="G248" s="57" t="n"/>
      <c r="H248" s="57" t="n"/>
      <c r="J248" s="209" t="inlineStr">
        <is>
          <t>16</t>
        </is>
      </c>
      <c r="K248" s="209" t="inlineStr">
        <is>
          <t>K.9999</t>
        </is>
      </c>
      <c r="L248" s="210" t="inlineStr">
        <is>
          <t>Kiểm tra công tác vệ sinh lỗ khoan trước khi hạ lồng cốt thép cọc khoan nhồi</t>
        </is>
      </c>
      <c r="M248" s="210" t="n"/>
      <c r="N248" s="210" t="n"/>
      <c r="O248" s="211" t="inlineStr">
        <is>
          <t>Cầu Km19+529.080</t>
        </is>
      </c>
      <c r="P248" s="212">
        <f>S245+1</f>
        <v/>
      </c>
      <c r="Q248" s="212">
        <f>P248</f>
        <v/>
      </c>
      <c r="R248" s="212">
        <f>Q248-1</f>
        <v/>
      </c>
      <c r="S248" s="212">
        <f>Q248</f>
        <v/>
      </c>
      <c r="T248" s="213" t="n">
        <v>0.34375</v>
      </c>
      <c r="U248" s="213">
        <f>T248+V248</f>
        <v/>
      </c>
      <c r="V248" s="213" t="n">
        <v>0.01041666666666667</v>
      </c>
      <c r="W248" s="214">
        <f>TEXT(T248,"HH""h""MM'")&amp;"÷"&amp;TEXT(U248,"HH""h""MM'")</f>
        <v/>
      </c>
      <c r="X248" s="214" t="n"/>
      <c r="Y248" s="214" t="n"/>
      <c r="Z248" s="214" t="inlineStr">
        <is>
          <t>06;</t>
        </is>
      </c>
      <c r="AA248" s="215" t="inlineStr">
        <is>
          <t>Kiểm tra công tác vệ sinh lỗ khoan trước khi hạ lồng cốt thép Cọc khoan nhồi Mố M1 - Cọc C2</t>
        </is>
      </c>
      <c r="AB248" s="204" t="inlineStr">
        <is>
          <t>09-XL-307HG/PYCNT/CKN/M1/C2-2</t>
        </is>
      </c>
      <c r="AC248" s="204" t="inlineStr">
        <is>
          <t>09-XL-307HG/BBNT/CKN/M1/C2-6</t>
        </is>
      </c>
      <c r="AD248" s="204" t="n"/>
      <c r="AE248" s="204" t="n"/>
      <c r="AF248" s="204" t="n"/>
      <c r="AG248" s="204" t="n"/>
      <c r="AH248" s="204" t="n"/>
      <c r="AI248" s="216" t="n"/>
      <c r="AJ248" s="214" t="n"/>
      <c r="AK248" s="217" t="n"/>
      <c r="AL248" s="214" t="n"/>
      <c r="AM248" s="214" t="n"/>
      <c r="AN248" s="214" t="n"/>
      <c r="AO248" s="214" t="n"/>
      <c r="AP248" s="216" t="n"/>
      <c r="AQ248" s="216" t="n"/>
      <c r="AR248" s="214" t="inlineStr">
        <is>
          <t>Nhóm 1</t>
        </is>
      </c>
      <c r="AS248" s="214" t="n"/>
      <c r="AT248" s="214" t="inlineStr">
        <is>
          <t>HM05</t>
        </is>
      </c>
      <c r="AU248" s="214" t="inlineStr">
        <is>
          <t>NTCV</t>
        </is>
      </c>
      <c r="AV248" s="214" t="n">
        <v>354</v>
      </c>
      <c r="AW248" s="214" t="n">
        <v>5</v>
      </c>
      <c r="AX248" s="214" t="n"/>
    </row>
    <row r="249" ht="28" customHeight="1" s="672">
      <c r="A249" s="56" t="inlineStr">
        <is>
          <t>BBK570</t>
        </is>
      </c>
      <c r="B249" s="56" t="inlineStr">
        <is>
          <t>PL06</t>
        </is>
      </c>
      <c r="C249" s="56" t="inlineStr">
        <is>
          <t>BBK570.0173773</t>
        </is>
      </c>
      <c r="D249" s="57" t="n"/>
      <c r="E249" s="57" t="n"/>
      <c r="F249" s="57" t="n"/>
      <c r="G249" s="57" t="n"/>
      <c r="H249" s="57" t="n"/>
      <c r="J249" s="198" t="inlineStr">
        <is>
          <t>17</t>
        </is>
      </c>
      <c r="K249" s="198" t="inlineStr">
        <is>
          <t>PL06</t>
        </is>
      </c>
      <c r="L249" s="199" t="inlineStr">
        <is>
          <t>Kiểm tra công tác vệ sinh lỗ khoan trước khi hạ lồng cốt thép cọc khoan nhồi</t>
        </is>
      </c>
      <c r="M249" s="199" t="n"/>
      <c r="N249" s="199" t="n"/>
      <c r="O249" s="200" t="inlineStr">
        <is>
          <t>Cầu Km19+529.080</t>
        </is>
      </c>
      <c r="P249" s="201" t="n"/>
      <c r="Q249" s="201" t="n"/>
      <c r="R249" s="201" t="n"/>
      <c r="S249" s="201">
        <f>S248</f>
        <v/>
      </c>
      <c r="T249" s="201" t="n"/>
      <c r="U249" s="201" t="n"/>
      <c r="V249" s="201" t="n"/>
      <c r="W249" s="202" t="n"/>
      <c r="X249" s="202" t="n">
        <v>171.084</v>
      </c>
      <c r="Y249" s="202">
        <f>X249-0.02</f>
        <v/>
      </c>
      <c r="Z249" s="198" t="inlineStr">
        <is>
          <t>06</t>
        </is>
      </c>
      <c r="AA249" s="203" t="n"/>
      <c r="AB249" s="204" t="inlineStr">
        <is>
          <t>09-XL-307HG/PYCNT/CKN/M1/C2-2</t>
        </is>
      </c>
      <c r="AC249" s="204">
        <f>AC248</f>
        <v/>
      </c>
      <c r="AD249" s="204" t="n"/>
      <c r="AE249" s="204" t="n"/>
      <c r="AF249" s="204" t="n"/>
      <c r="AG249" s="204" t="n"/>
      <c r="AH249" s="204" t="n"/>
      <c r="AI249" s="202" t="n"/>
      <c r="AJ249" s="202" t="n"/>
      <c r="AK249" s="206" t="n"/>
      <c r="AL249" s="202" t="n"/>
      <c r="AM249" s="202" t="n"/>
      <c r="AN249" s="202" t="n"/>
      <c r="AO249" s="202" t="n"/>
      <c r="AP249" s="207" t="n"/>
      <c r="AQ249" s="207" t="n"/>
      <c r="AR249" s="202" t="inlineStr">
        <is>
          <t>Nhóm 1</t>
        </is>
      </c>
      <c r="AS249" s="202" t="n"/>
      <c r="AT249" s="202" t="inlineStr">
        <is>
          <t>HM05</t>
        </is>
      </c>
      <c r="AU249" s="202" t="inlineStr">
        <is>
          <t>PL06</t>
        </is>
      </c>
      <c r="AV249" s="202" t="n">
        <v>26</v>
      </c>
      <c r="AW249" s="202" t="n">
        <v>1</v>
      </c>
      <c r="AX249" s="202" t="n"/>
    </row>
    <row r="250" ht="28" customHeight="1" s="672">
      <c r="A250" s="56" t="inlineStr">
        <is>
          <t>NTCV</t>
        </is>
      </c>
      <c r="B250" s="56" t="inlineStr">
        <is>
          <t>K.9999</t>
        </is>
      </c>
      <c r="C250" s="56" t="inlineStr">
        <is>
          <t>NTCV.0048118</t>
        </is>
      </c>
      <c r="D250" s="57" t="n"/>
      <c r="E250" s="57" t="n"/>
      <c r="F250" s="57" t="n"/>
      <c r="G250" s="57" t="n"/>
      <c r="H250" s="57" t="n"/>
      <c r="J250" s="209" t="inlineStr">
        <is>
          <t>18</t>
        </is>
      </c>
      <c r="K250" s="209" t="inlineStr">
        <is>
          <t>K.9999</t>
        </is>
      </c>
      <c r="L250" s="210" t="inlineStr">
        <is>
          <t xml:space="preserve">Nghiệm thu công tác hạ lồng thép </t>
        </is>
      </c>
      <c r="M250" s="210" t="n"/>
      <c r="N250" s="210" t="n"/>
      <c r="O250" s="211" t="inlineStr">
        <is>
          <t>Cầu Km19+529.080</t>
        </is>
      </c>
      <c r="P250" s="212">
        <f>S248</f>
        <v/>
      </c>
      <c r="Q250" s="212">
        <f>P250</f>
        <v/>
      </c>
      <c r="R250" s="212">
        <f>Q250-1</f>
        <v/>
      </c>
      <c r="S250" s="212">
        <f>Q250</f>
        <v/>
      </c>
      <c r="T250" s="213">
        <f>U248</f>
        <v/>
      </c>
      <c r="U250" s="213">
        <f>T250+V250</f>
        <v/>
      </c>
      <c r="V250" s="213" t="n">
        <v>0.03125</v>
      </c>
      <c r="W250" s="214">
        <f>TEXT(T250,"HH""h""MM'")&amp;"÷"&amp;TEXT(U250,"HH""h""MM'")</f>
        <v/>
      </c>
      <c r="X250" s="214" t="n"/>
      <c r="Y250" s="214" t="n"/>
      <c r="Z250" s="214" t="inlineStr">
        <is>
          <t>07;</t>
        </is>
      </c>
      <c r="AA250" s="215" t="inlineStr">
        <is>
          <t>Công tác hạ lồng thép Cọc khoan nhồi Mố M1 - Cọc C2</t>
        </is>
      </c>
      <c r="AB250" s="204" t="inlineStr">
        <is>
          <t>09-XL-307HG/PYCNT/CKN/M1/C2-2</t>
        </is>
      </c>
      <c r="AC250" s="204" t="inlineStr">
        <is>
          <t>09-XL-307HG/BBNT/CKN/M1/C2-7</t>
        </is>
      </c>
      <c r="AD250" s="204" t="n"/>
      <c r="AE250" s="204" t="n"/>
      <c r="AF250" s="204" t="n"/>
      <c r="AG250" s="204" t="n"/>
      <c r="AH250" s="204" t="n"/>
      <c r="AI250" s="214" t="n"/>
      <c r="AJ250" s="214" t="n"/>
      <c r="AK250" s="217" t="n"/>
      <c r="AL250" s="214" t="n"/>
      <c r="AM250" s="214" t="n"/>
      <c r="AN250" s="214" t="n"/>
      <c r="AO250" s="214" t="n"/>
      <c r="AP250" s="216" t="n"/>
      <c r="AQ250" s="216" t="n"/>
      <c r="AR250" s="214" t="inlineStr">
        <is>
          <t>Nhóm 1</t>
        </is>
      </c>
      <c r="AS250" s="214" t="n"/>
      <c r="AT250" s="214" t="inlineStr">
        <is>
          <t>HM05</t>
        </is>
      </c>
      <c r="AU250" s="214" t="inlineStr">
        <is>
          <t>NTCV</t>
        </is>
      </c>
      <c r="AV250" s="214" t="n">
        <v>355</v>
      </c>
      <c r="AW250" s="214" t="n">
        <v>6</v>
      </c>
      <c r="AX250" s="214" t="n"/>
    </row>
    <row r="251">
      <c r="A251" s="56" t="inlineStr">
        <is>
          <t>BBK396</t>
        </is>
      </c>
      <c r="B251" s="56" t="inlineStr">
        <is>
          <t>PL07</t>
        </is>
      </c>
      <c r="C251" s="56" t="inlineStr">
        <is>
          <t>BBK396.0714816</t>
        </is>
      </c>
      <c r="D251" s="57" t="n"/>
      <c r="E251" s="57" t="n"/>
      <c r="F251" s="57" t="n"/>
      <c r="G251" s="57" t="n"/>
      <c r="H251" s="57" t="n"/>
      <c r="J251" s="198" t="inlineStr">
        <is>
          <t>19</t>
        </is>
      </c>
      <c r="K251" s="198" t="inlineStr">
        <is>
          <t>PL07</t>
        </is>
      </c>
      <c r="L251" s="199" t="inlineStr">
        <is>
          <t>Nghiệm thu công tác hạ lồng thép</t>
        </is>
      </c>
      <c r="M251" s="199" t="n"/>
      <c r="N251" s="199" t="n"/>
      <c r="O251" s="200" t="inlineStr">
        <is>
          <t>Cầu Km19+529.080</t>
        </is>
      </c>
      <c r="P251" s="201" t="n"/>
      <c r="Q251" s="201" t="n"/>
      <c r="R251" s="201" t="n"/>
      <c r="S251" s="201">
        <f>S250</f>
        <v/>
      </c>
      <c r="T251" s="201" t="n"/>
      <c r="U251" s="201" t="n"/>
      <c r="V251" s="201" t="n"/>
      <c r="W251" s="202" t="n"/>
      <c r="X251" s="202" t="n"/>
      <c r="Y251" s="202" t="n"/>
      <c r="Z251" s="198" t="inlineStr">
        <is>
          <t>07</t>
        </is>
      </c>
      <c r="AA251" s="203" t="n"/>
      <c r="AB251" s="204" t="inlineStr">
        <is>
          <t>09-XL-307HG/PYCNT/CKN/M1/C2-2</t>
        </is>
      </c>
      <c r="AC251" s="204">
        <f>AC250</f>
        <v/>
      </c>
      <c r="AD251" s="204" t="n"/>
      <c r="AE251" s="204" t="n"/>
      <c r="AF251" s="204" t="n"/>
      <c r="AG251" s="204" t="n"/>
      <c r="AH251" s="204" t="n"/>
      <c r="AI251" s="202" t="n"/>
      <c r="AJ251" s="202" t="n"/>
      <c r="AK251" s="206" t="n"/>
      <c r="AL251" s="202" t="n"/>
      <c r="AM251" s="202" t="n"/>
      <c r="AN251" s="202" t="n"/>
      <c r="AO251" s="202" t="n"/>
      <c r="AP251" s="207" t="n"/>
      <c r="AQ251" s="207" t="n"/>
      <c r="AR251" s="202" t="inlineStr">
        <is>
          <t>Nhóm 1</t>
        </is>
      </c>
      <c r="AS251" s="202" t="n"/>
      <c r="AT251" s="202" t="inlineStr">
        <is>
          <t>HM05</t>
        </is>
      </c>
      <c r="AU251" s="202" t="inlineStr">
        <is>
          <t>PL07</t>
        </is>
      </c>
      <c r="AV251" s="202" t="n">
        <v>26</v>
      </c>
      <c r="AW251" s="202" t="n">
        <v>1</v>
      </c>
      <c r="AX251" s="202" t="n"/>
    </row>
    <row r="252" ht="42" customHeight="1" s="672">
      <c r="A252" s="56" t="inlineStr">
        <is>
          <t>NTCV</t>
        </is>
      </c>
      <c r="B252" s="56" t="inlineStr">
        <is>
          <t>K.9999</t>
        </is>
      </c>
      <c r="C252" s="56" t="inlineStr">
        <is>
          <t>NTCV.0533022</t>
        </is>
      </c>
      <c r="D252" s="57" t="n"/>
      <c r="E252" s="57" t="n"/>
      <c r="F252" s="57" t="n"/>
      <c r="G252" s="57" t="n"/>
      <c r="H252" s="57" t="n"/>
      <c r="J252" s="209" t="inlineStr">
        <is>
          <t>20</t>
        </is>
      </c>
      <c r="K252" s="209" t="inlineStr">
        <is>
          <t>K.9999</t>
        </is>
      </c>
      <c r="L252" s="210" t="inlineStr">
        <is>
          <t xml:space="preserve">Kiểm tra công tác vệ sinh lỗ khoan cọc khoan nhồi trước khi đổ bê tông </t>
        </is>
      </c>
      <c r="M252" s="210" t="n"/>
      <c r="N252" s="210" t="n"/>
      <c r="O252" s="211" t="inlineStr">
        <is>
          <t>Cầu Km19+529.080</t>
        </is>
      </c>
      <c r="P252" s="212">
        <f>S250</f>
        <v/>
      </c>
      <c r="Q252" s="212">
        <f>P252</f>
        <v/>
      </c>
      <c r="R252" s="212">
        <f>Q252-1</f>
        <v/>
      </c>
      <c r="S252" s="212">
        <f>Q252</f>
        <v/>
      </c>
      <c r="T252" s="213">
        <f>U250</f>
        <v/>
      </c>
      <c r="U252" s="213">
        <f>T252+V252</f>
        <v/>
      </c>
      <c r="V252" s="213" t="n">
        <v>0.02083333333333333</v>
      </c>
      <c r="W252" s="214">
        <f>TEXT(T252,"HH""h""MM'")&amp;"÷"&amp;TEXT(U252,"HH""h""MM'")</f>
        <v/>
      </c>
      <c r="X252" s="214" t="n"/>
      <c r="Y252" s="214" t="n"/>
      <c r="Z252" s="214" t="inlineStr">
        <is>
          <t>08;</t>
        </is>
      </c>
      <c r="AA252" s="215" t="inlineStr">
        <is>
          <t>Kiểm tra công tác vệ sinh lỗ khoan cọc khoan nhồi trước khi đổ bê tông Cọc khoan nhồi Mố M1 - Cọc C2</t>
        </is>
      </c>
      <c r="AB252" s="204" t="inlineStr">
        <is>
          <t>09-XL-307HG/PYCNT/CKN/M1/C2-2</t>
        </is>
      </c>
      <c r="AC252" s="204" t="inlineStr">
        <is>
          <t>09-XL-307HG/BBNT/CKN/M1/C2-8</t>
        </is>
      </c>
      <c r="AD252" s="204" t="n"/>
      <c r="AE252" s="204" t="n"/>
      <c r="AF252" s="204" t="n"/>
      <c r="AG252" s="204" t="n"/>
      <c r="AH252" s="204" t="n"/>
      <c r="AI252" s="214" t="n"/>
      <c r="AJ252" s="214" t="n"/>
      <c r="AK252" s="217" t="n"/>
      <c r="AL252" s="214" t="n"/>
      <c r="AM252" s="214" t="n"/>
      <c r="AN252" s="214" t="n"/>
      <c r="AO252" s="214" t="n"/>
      <c r="AP252" s="216" t="n"/>
      <c r="AQ252" s="216" t="n"/>
      <c r="AR252" s="214" t="inlineStr">
        <is>
          <t>Nhóm 1</t>
        </is>
      </c>
      <c r="AS252" s="214" t="n"/>
      <c r="AT252" s="214" t="inlineStr">
        <is>
          <t>HM05</t>
        </is>
      </c>
      <c r="AU252" s="214" t="inlineStr">
        <is>
          <t>NTCV</t>
        </is>
      </c>
      <c r="AV252" s="214" t="n">
        <v>358</v>
      </c>
      <c r="AW252" s="214" t="n">
        <v>7</v>
      </c>
      <c r="AX252" s="214" t="n"/>
    </row>
    <row r="253" ht="28" customHeight="1" s="672">
      <c r="A253" s="56" t="inlineStr">
        <is>
          <t>BBK521</t>
        </is>
      </c>
      <c r="B253" s="56" t="inlineStr">
        <is>
          <t>PL08</t>
        </is>
      </c>
      <c r="C253" s="56" t="inlineStr">
        <is>
          <t>BBK521.0561009</t>
        </is>
      </c>
      <c r="D253" s="57" t="n"/>
      <c r="E253" s="57" t="n"/>
      <c r="F253" s="57" t="n"/>
      <c r="G253" s="57" t="n"/>
      <c r="H253" s="57" t="n"/>
      <c r="J253" s="198" t="inlineStr">
        <is>
          <t>21</t>
        </is>
      </c>
      <c r="K253" s="198" t="inlineStr">
        <is>
          <t>PL08</t>
        </is>
      </c>
      <c r="L253" s="199" t="inlineStr">
        <is>
          <t>Kiểm tra công tác vệ sinh lỗ khoan cọc khoan nhồi trước khi đổ bê tông</t>
        </is>
      </c>
      <c r="M253" s="199" t="n"/>
      <c r="N253" s="199" t="n"/>
      <c r="O253" s="200" t="inlineStr">
        <is>
          <t>Cầu Km19+529.080</t>
        </is>
      </c>
      <c r="P253" s="201" t="n"/>
      <c r="Q253" s="201" t="n"/>
      <c r="R253" s="201" t="n"/>
      <c r="S253" s="201">
        <f>S252</f>
        <v/>
      </c>
      <c r="T253" s="201" t="n"/>
      <c r="U253" s="201" t="n"/>
      <c r="V253" s="201" t="n"/>
      <c r="W253" s="202" t="n"/>
      <c r="X253" s="202" t="n"/>
      <c r="Y253" s="202" t="n"/>
      <c r="Z253" s="198" t="inlineStr">
        <is>
          <t>08</t>
        </is>
      </c>
      <c r="AA253" s="203" t="n"/>
      <c r="AB253" s="204" t="inlineStr">
        <is>
          <t>09-XL-307HG/PYCNT/CKN/M1/C2-2</t>
        </is>
      </c>
      <c r="AC253" s="204">
        <f>AC252</f>
        <v/>
      </c>
      <c r="AD253" s="204" t="n"/>
      <c r="AE253" s="204" t="n"/>
      <c r="AF253" s="204" t="n"/>
      <c r="AG253" s="204" t="n"/>
      <c r="AH253" s="204" t="n"/>
      <c r="AI253" s="202" t="n"/>
      <c r="AJ253" s="202" t="n"/>
      <c r="AK253" s="206" t="n"/>
      <c r="AL253" s="202" t="n"/>
      <c r="AM253" s="202" t="n"/>
      <c r="AN253" s="202" t="n"/>
      <c r="AO253" s="202" t="n"/>
      <c r="AP253" s="207" t="n"/>
      <c r="AQ253" s="207" t="n"/>
      <c r="AR253" s="202" t="inlineStr">
        <is>
          <t>Nhóm 1</t>
        </is>
      </c>
      <c r="AS253" s="202" t="n"/>
      <c r="AT253" s="202" t="inlineStr">
        <is>
          <t>HM05</t>
        </is>
      </c>
      <c r="AU253" s="202" t="inlineStr">
        <is>
          <t>PL08</t>
        </is>
      </c>
      <c r="AV253" s="202" t="n">
        <v>26</v>
      </c>
      <c r="AW253" s="202" t="n">
        <v>1</v>
      </c>
      <c r="AX253" s="202" t="n"/>
    </row>
    <row r="254" ht="28" customHeight="1" s="672">
      <c r="A254" s="56" t="inlineStr">
        <is>
          <t>NTCV</t>
        </is>
      </c>
      <c r="B254" s="56" t="inlineStr">
        <is>
          <t>K.9999</t>
        </is>
      </c>
      <c r="C254" s="56" t="inlineStr">
        <is>
          <t>NTCV.0216733</t>
        </is>
      </c>
      <c r="D254" s="57" t="n"/>
      <c r="E254" s="57" t="n"/>
      <c r="F254" s="57" t="n"/>
      <c r="G254" s="57" t="n"/>
      <c r="H254" s="57" t="n"/>
      <c r="J254" s="209" t="inlineStr">
        <is>
          <t>22</t>
        </is>
      </c>
      <c r="K254" s="209" t="inlineStr">
        <is>
          <t>K.9999</t>
        </is>
      </c>
      <c r="L254" s="210" t="inlineStr">
        <is>
          <t xml:space="preserve">Kiểm tra công tác chuẩn bị đổ bê tông cọc khoan nhồi </t>
        </is>
      </c>
      <c r="M254" s="210" t="n"/>
      <c r="N254" s="210" t="n"/>
      <c r="O254" s="211" t="inlineStr">
        <is>
          <t>Cầu Km19+529.080</t>
        </is>
      </c>
      <c r="P254" s="212">
        <f>S252</f>
        <v/>
      </c>
      <c r="Q254" s="212">
        <f>P254</f>
        <v/>
      </c>
      <c r="R254" s="212">
        <f>Q254-1</f>
        <v/>
      </c>
      <c r="S254" s="212">
        <f>Q254</f>
        <v/>
      </c>
      <c r="T254" s="213">
        <f>U252</f>
        <v/>
      </c>
      <c r="U254" s="213">
        <f>T254+V254</f>
        <v/>
      </c>
      <c r="V254" s="213" t="n">
        <v>0.02083333333333333</v>
      </c>
      <c r="W254" s="214">
        <f>TEXT(T254,"HH""h""MM'")&amp;"÷"&amp;TEXT(U254,"HH""h""MM'")</f>
        <v/>
      </c>
      <c r="X254" s="214" t="n"/>
      <c r="Y254" s="214" t="n"/>
      <c r="Z254" s="214" t="inlineStr">
        <is>
          <t>09;</t>
        </is>
      </c>
      <c r="AA254" s="215" t="inlineStr">
        <is>
          <t>Kiểm tra công tác chuẩn bị đổ bê tông Cọc khoan nhồi Mố M1 - Cọc C2</t>
        </is>
      </c>
      <c r="AB254" s="204" t="inlineStr">
        <is>
          <t>09-XL-307HG/PYCNT/CKN/M1/C2-2</t>
        </is>
      </c>
      <c r="AC254" s="204" t="inlineStr">
        <is>
          <t>09-XL-307HG/BBNT/CKN/M1/C2-9</t>
        </is>
      </c>
      <c r="AD254" s="204" t="n"/>
      <c r="AE254" s="204" t="n"/>
      <c r="AF254" s="204" t="n"/>
      <c r="AG254" s="204" t="n"/>
      <c r="AH254" s="204" t="n"/>
      <c r="AI254" s="214" t="n"/>
      <c r="AJ254" s="214" t="n"/>
      <c r="AK254" s="217" t="n"/>
      <c r="AL254" s="214" t="n"/>
      <c r="AM254" s="214" t="n"/>
      <c r="AN254" s="214" t="n"/>
      <c r="AO254" s="214" t="n"/>
      <c r="AP254" s="216" t="n"/>
      <c r="AQ254" s="216" t="n"/>
      <c r="AR254" s="214" t="inlineStr">
        <is>
          <t>Nhóm 1</t>
        </is>
      </c>
      <c r="AS254" s="214" t="n"/>
      <c r="AT254" s="214" t="inlineStr">
        <is>
          <t>HM05</t>
        </is>
      </c>
      <c r="AU254" s="214" t="inlineStr">
        <is>
          <t>NTCV</t>
        </is>
      </c>
      <c r="AV254" s="214" t="n">
        <v>359</v>
      </c>
      <c r="AW254" s="214" t="n">
        <v>8</v>
      </c>
      <c r="AX254" s="214" t="n"/>
    </row>
    <row r="255">
      <c r="A255" s="56" t="inlineStr">
        <is>
          <t>BBK209</t>
        </is>
      </c>
      <c r="B255" s="56" t="inlineStr">
        <is>
          <t>PL09</t>
        </is>
      </c>
      <c r="C255" s="56" t="inlineStr">
        <is>
          <t>BBK209.0468005</t>
        </is>
      </c>
      <c r="D255" s="57" t="n"/>
      <c r="E255" s="57" t="n"/>
      <c r="F255" s="57" t="n"/>
      <c r="G255" s="57" t="n"/>
      <c r="H255" s="57" t="n"/>
      <c r="J255" s="198" t="inlineStr">
        <is>
          <t>23</t>
        </is>
      </c>
      <c r="K255" s="198" t="inlineStr">
        <is>
          <t>PL09</t>
        </is>
      </c>
      <c r="L255" s="199" t="inlineStr">
        <is>
          <t>Kiểm tra công tác chuẩn bị đổ bê tông cọc khoan nhồi</t>
        </is>
      </c>
      <c r="M255" s="199" t="n"/>
      <c r="N255" s="199" t="n"/>
      <c r="O255" s="200" t="inlineStr">
        <is>
          <t>Cầu Km19+529.080</t>
        </is>
      </c>
      <c r="P255" s="201" t="n"/>
      <c r="Q255" s="201" t="n"/>
      <c r="R255" s="201" t="n"/>
      <c r="S255" s="201">
        <f>S254</f>
        <v/>
      </c>
      <c r="T255" s="201" t="n"/>
      <c r="U255" s="201" t="n"/>
      <c r="V255" s="201" t="n"/>
      <c r="W255" s="202" t="n"/>
      <c r="X255" s="202" t="n"/>
      <c r="Y255" s="202" t="n"/>
      <c r="Z255" s="198" t="inlineStr">
        <is>
          <t>09</t>
        </is>
      </c>
      <c r="AA255" s="203" t="n"/>
      <c r="AB255" s="204" t="inlineStr">
        <is>
          <t>09-XL-307HG/PYCNT/CKN/M1/C2-2</t>
        </is>
      </c>
      <c r="AC255" s="204">
        <f>AC254</f>
        <v/>
      </c>
      <c r="AD255" s="204" t="n"/>
      <c r="AE255" s="204" t="n"/>
      <c r="AF255" s="204" t="n"/>
      <c r="AG255" s="204" t="n"/>
      <c r="AH255" s="204" t="inlineStr">
        <is>
          <t>C30(1)</t>
        </is>
      </c>
      <c r="AI255" s="202" t="n"/>
      <c r="AJ255" s="202" t="n"/>
      <c r="AK255" s="206" t="n"/>
      <c r="AL255" s="202" t="n"/>
      <c r="AM255" s="202" t="n"/>
      <c r="AN255" s="202" t="n"/>
      <c r="AO255" s="202" t="n"/>
      <c r="AP255" s="207" t="n"/>
      <c r="AQ255" s="207" t="n"/>
      <c r="AR255" s="202" t="inlineStr">
        <is>
          <t>Nhóm 1</t>
        </is>
      </c>
      <c r="AS255" s="202" t="n"/>
      <c r="AT255" s="202" t="inlineStr">
        <is>
          <t>HM05</t>
        </is>
      </c>
      <c r="AU255" s="202" t="inlineStr">
        <is>
          <t>PL09</t>
        </is>
      </c>
      <c r="AV255" s="202" t="n">
        <v>26</v>
      </c>
      <c r="AW255" s="202" t="n">
        <v>1</v>
      </c>
      <c r="AX255" s="202" t="n"/>
    </row>
    <row r="256" ht="28" customHeight="1" s="672">
      <c r="A256" s="56" t="inlineStr">
        <is>
          <t>NTCV</t>
        </is>
      </c>
      <c r="B256" s="56" t="inlineStr">
        <is>
          <t>K.9999</t>
        </is>
      </c>
      <c r="C256" s="56" t="inlineStr">
        <is>
          <t>NTCV.0746354</t>
        </is>
      </c>
      <c r="D256" s="57" t="n"/>
      <c r="E256" s="57" t="n"/>
      <c r="F256" s="57" t="n"/>
      <c r="G256" s="57" t="n"/>
      <c r="H256" s="57" t="n"/>
      <c r="J256" s="209" t="inlineStr">
        <is>
          <t>24</t>
        </is>
      </c>
      <c r="K256" s="209" t="inlineStr">
        <is>
          <t>K.9999</t>
        </is>
      </c>
      <c r="L256" s="210" t="inlineStr">
        <is>
          <t>Theo dõi quá trình đổ bê tông cọc khoan nhồi</t>
        </is>
      </c>
      <c r="M256" s="210" t="n"/>
      <c r="N256" s="210" t="n"/>
      <c r="O256" s="211" t="inlineStr">
        <is>
          <t>Cầu Km19+529.080</t>
        </is>
      </c>
      <c r="P256" s="212">
        <f>S254</f>
        <v/>
      </c>
      <c r="Q256" s="212">
        <f>P256</f>
        <v/>
      </c>
      <c r="R256" s="212">
        <f>Q256-1</f>
        <v/>
      </c>
      <c r="S256" s="212">
        <f>Q256</f>
        <v/>
      </c>
      <c r="T256" s="213">
        <f>U254</f>
        <v/>
      </c>
      <c r="U256" s="213">
        <f>T256+V256</f>
        <v/>
      </c>
      <c r="V256" s="213" t="n">
        <v>0.1458333333333333</v>
      </c>
      <c r="W256" s="214">
        <f>TEXT(T256,"HH""h""MM'")&amp;"÷"&amp;TEXT(U256,"HH""h""MM'")</f>
        <v/>
      </c>
      <c r="X256" s="214" t="n"/>
      <c r="Y256" s="214" t="n"/>
      <c r="Z256" s="214" t="inlineStr">
        <is>
          <t>10;</t>
        </is>
      </c>
      <c r="AA256" s="215" t="inlineStr">
        <is>
          <t>Theo dõi quá trình đổ bê tông  Cọc khoan nhồi Mố M1 - Cọc C2</t>
        </is>
      </c>
      <c r="AB256" s="204" t="inlineStr">
        <is>
          <t>09-XL-307HG/PYCNT/CKN/M1/C2-2</t>
        </is>
      </c>
      <c r="AC256" s="204" t="inlineStr">
        <is>
          <t>09-XL-307HG/BBNT/CKN/M1/C2-10</t>
        </is>
      </c>
      <c r="AD256" s="204" t="n"/>
      <c r="AE256" s="204" t="n"/>
      <c r="AF256" s="204" t="n"/>
      <c r="AG256" s="204" t="n"/>
      <c r="AH256" s="204" t="n"/>
      <c r="AI256" s="214" t="n"/>
      <c r="AJ256" s="214" t="n"/>
      <c r="AK256" s="217" t="n"/>
      <c r="AL256" s="214" t="n"/>
      <c r="AM256" s="214" t="n"/>
      <c r="AN256" s="214" t="n"/>
      <c r="AO256" s="214" t="n"/>
      <c r="AP256" s="216" t="n"/>
      <c r="AQ256" s="216" t="n"/>
      <c r="AR256" s="214" t="inlineStr">
        <is>
          <t>Nhóm 1</t>
        </is>
      </c>
      <c r="AS256" s="214" t="n"/>
      <c r="AT256" s="214" t="inlineStr">
        <is>
          <t>HM05</t>
        </is>
      </c>
      <c r="AU256" s="214" t="inlineStr">
        <is>
          <t>NTCV</t>
        </is>
      </c>
      <c r="AV256" s="214" t="n">
        <v>360</v>
      </c>
      <c r="AW256" s="214" t="n">
        <v>9</v>
      </c>
      <c r="AX256" s="214" t="n"/>
    </row>
    <row r="257" ht="210" customHeight="1" s="672">
      <c r="A257" s="56" t="inlineStr">
        <is>
          <t>LMHT</t>
        </is>
      </c>
      <c r="B257" s="56" t="inlineStr">
        <is>
          <t>LMHT</t>
        </is>
      </c>
      <c r="C257" s="56" t="inlineStr">
        <is>
          <t>LMHT.0752310</t>
        </is>
      </c>
      <c r="D257" s="57" t="inlineStr">
        <is>
          <t>TC.000041|TC.000182|TC.000169.A</t>
        </is>
      </c>
      <c r="E257" s="57" t="n"/>
      <c r="F257" s="57" t="inlineStr">
        <is>
          <t>CP.0001^Cọc khoan nhồi Mố M1 - Cọc C2^Hình Trụ 15x30 (cm)^12^30 Mpa, 18±2^^^TC.000041|TC.000182|TC.000169.A</t>
        </is>
      </c>
      <c r="G257" s="57" t="n"/>
      <c r="H257" s="57" t="inlineStr">
        <is>
          <t>^^A|C|J|O|S|X|Z^Stt|Hạng mục|Cấp bê tông|Kích thước mẫu|Số lượng mẫu|Ghi chú^|||||</t>
        </is>
      </c>
      <c r="J257" s="256" t="inlineStr">
        <is>
          <t>25</t>
        </is>
      </c>
      <c r="K257" s="256" t="inlineStr">
        <is>
          <t>LMHT</t>
        </is>
      </c>
      <c r="L257" s="257" t="inlineStr">
        <is>
          <t>Lấy mẫu bê tông Cọc khoan nhồi, 30(1) Mpa Mố M1 - Cọc C2</t>
        </is>
      </c>
      <c r="M257" s="257" t="n"/>
      <c r="N257" s="257" t="n"/>
      <c r="O257" s="258" t="inlineStr">
        <is>
          <t>Cầu Km19+529.080</t>
        </is>
      </c>
      <c r="P257" s="259" t="n"/>
      <c r="Q257" s="259" t="n"/>
      <c r="R257" s="259" t="n"/>
      <c r="S257" s="259">
        <f>S256</f>
        <v/>
      </c>
      <c r="T257" s="260">
        <f>T256</f>
        <v/>
      </c>
      <c r="U257" s="260">
        <f>U256</f>
        <v/>
      </c>
      <c r="V257" s="260">
        <f>V256</f>
        <v/>
      </c>
      <c r="W257" s="261">
        <f>TEXT(T257,"HH""h""MM'")&amp;"÷"&amp;TEXT(U257,"HH""h""MM'")</f>
        <v/>
      </c>
      <c r="X257" s="262" t="n"/>
      <c r="Y257" s="262" t="n"/>
      <c r="Z257" s="262" t="n"/>
      <c r="AA257" s="262" t="n"/>
      <c r="AB257" s="263" t="inlineStr">
        <is>
          <t>09-XL-307HG/PYCNT/CKN/M1/C2-2</t>
        </is>
      </c>
      <c r="AC257" s="263" t="inlineStr"/>
      <c r="AD257" s="264" t="n"/>
      <c r="AE257" s="264" t="n"/>
      <c r="AF257" s="264" t="n"/>
      <c r="AG257" s="264" t="n"/>
      <c r="AH257" s="264" t="n"/>
      <c r="AI257" s="257" t="n"/>
      <c r="AJ257" s="262" t="n"/>
      <c r="AK257" s="258" t="n"/>
      <c r="AL257" s="262" t="n"/>
      <c r="AM257" s="262" t="n"/>
      <c r="AN257" s="262" t="n"/>
      <c r="AO257" s="262" t="n"/>
      <c r="AP257" s="263" t="inlineStr">
        <is>
          <t>Bảng lấy mẫu CKN</t>
        </is>
      </c>
      <c r="AQ257" s="263" t="n"/>
      <c r="AR257" s="262" t="inlineStr">
        <is>
          <t>Nhóm 1</t>
        </is>
      </c>
      <c r="AS257" s="262" t="n"/>
      <c r="AT257" s="262" t="inlineStr">
        <is>
          <t>HM05</t>
        </is>
      </c>
      <c r="AU257" s="262" t="inlineStr">
        <is>
          <t>LMHT</t>
        </is>
      </c>
      <c r="AV257" s="262" t="n">
        <v>33</v>
      </c>
      <c r="AW257" s="262" t="n">
        <v>1</v>
      </c>
      <c r="AX257" s="262" t="inlineStr">
        <is>
          <t>Cọc M1-C2: đá Lần 3 [BT dòng 29].</t>
        </is>
      </c>
    </row>
    <row r="258">
      <c r="A258" s="56" t="inlineStr">
        <is>
          <t>BBK994</t>
        </is>
      </c>
      <c r="B258" s="56" t="inlineStr">
        <is>
          <t>PL10</t>
        </is>
      </c>
      <c r="C258" s="56" t="inlineStr">
        <is>
          <t>BBK994.0398932</t>
        </is>
      </c>
      <c r="D258" s="57" t="n"/>
      <c r="E258" s="57" t="n"/>
      <c r="F258" s="57" t="n"/>
      <c r="G258" s="57" t="n"/>
      <c r="H258" s="57" t="n"/>
      <c r="J258" s="198" t="inlineStr">
        <is>
          <t>26</t>
        </is>
      </c>
      <c r="K258" s="198" t="inlineStr">
        <is>
          <t>PL10</t>
        </is>
      </c>
      <c r="L258" s="199" t="inlineStr">
        <is>
          <t>Theo dõi quá trình đổ bê tông cọc khoan nhồi</t>
        </is>
      </c>
      <c r="M258" s="199" t="n"/>
      <c r="N258" s="199" t="n"/>
      <c r="O258" s="200" t="inlineStr">
        <is>
          <t>Cầu Km19+529.080</t>
        </is>
      </c>
      <c r="P258" s="201" t="n"/>
      <c r="Q258" s="201" t="n"/>
      <c r="R258" s="201" t="n"/>
      <c r="S258" s="201">
        <f>S256</f>
        <v/>
      </c>
      <c r="T258" s="201" t="n"/>
      <c r="U258" s="201" t="n"/>
      <c r="V258" s="201" t="n"/>
      <c r="W258" s="202" t="n"/>
      <c r="X258" s="202" t="n"/>
      <c r="Y258" s="202" t="n"/>
      <c r="Z258" s="198" t="inlineStr">
        <is>
          <t>10</t>
        </is>
      </c>
      <c r="AA258" s="203" t="n"/>
      <c r="AB258" s="204" t="inlineStr">
        <is>
          <t>09-XL-307HG/PYCNT/CKN/M1/C2-2</t>
        </is>
      </c>
      <c r="AC258" s="204">
        <f>AC256</f>
        <v/>
      </c>
      <c r="AD258" s="204" t="n"/>
      <c r="AE258" s="204" t="n"/>
      <c r="AF258" s="204" t="n"/>
      <c r="AG258" s="204" t="n"/>
      <c r="AH258" s="204" t="inlineStr">
        <is>
          <t>C2</t>
        </is>
      </c>
      <c r="AI258" s="202" t="n"/>
      <c r="AJ258" s="202" t="n"/>
      <c r="AK258" s="206" t="n"/>
      <c r="AL258" s="202" t="n"/>
      <c r="AM258" s="202" t="n"/>
      <c r="AN258" s="202" t="n"/>
      <c r="AO258" s="202" t="n"/>
      <c r="AP258" s="207" t="n"/>
      <c r="AQ258" s="207" t="n"/>
      <c r="AR258" s="202" t="inlineStr">
        <is>
          <t>Nhóm 1</t>
        </is>
      </c>
      <c r="AS258" s="202" t="n"/>
      <c r="AT258" s="202" t="inlineStr">
        <is>
          <t>HM05</t>
        </is>
      </c>
      <c r="AU258" s="202" t="inlineStr">
        <is>
          <t>PL10</t>
        </is>
      </c>
      <c r="AV258" s="202" t="n">
        <v>26</v>
      </c>
      <c r="AW258" s="202" t="n">
        <v>1</v>
      </c>
      <c r="AX258" s="202" t="n"/>
    </row>
    <row r="259" ht="28" customHeight="1" s="672">
      <c r="A259" s="56" t="inlineStr">
        <is>
          <t>NTCV</t>
        </is>
      </c>
      <c r="B259" s="56" t="inlineStr">
        <is>
          <t>K.9999</t>
        </is>
      </c>
      <c r="C259" s="56" t="inlineStr">
        <is>
          <t>NTCV.0903098</t>
        </is>
      </c>
      <c r="D259" s="57" t="n"/>
      <c r="E259" s="57" t="n"/>
      <c r="F259" s="57" t="n"/>
      <c r="G259" s="57" t="n"/>
      <c r="H259" s="57" t="n"/>
      <c r="J259" s="209" t="inlineStr">
        <is>
          <t>27</t>
        </is>
      </c>
      <c r="K259" s="209" t="inlineStr">
        <is>
          <t>K.9999</t>
        </is>
      </c>
      <c r="L259" s="210" t="inlineStr">
        <is>
          <t xml:space="preserve"> Rút ống vách thi công cọc khoan nhồi</t>
        </is>
      </c>
      <c r="M259" s="210" t="n"/>
      <c r="N259" s="210" t="n"/>
      <c r="O259" s="211" t="inlineStr">
        <is>
          <t>Cầu Km19+529.080</t>
        </is>
      </c>
      <c r="P259" s="212">
        <f>S256</f>
        <v/>
      </c>
      <c r="Q259" s="212">
        <f>P259</f>
        <v/>
      </c>
      <c r="R259" s="212">
        <f>Q259-1</f>
        <v/>
      </c>
      <c r="S259" s="212">
        <f>Q259</f>
        <v/>
      </c>
      <c r="T259" s="213">
        <f>U256</f>
        <v/>
      </c>
      <c r="U259" s="213">
        <f>T259+V259</f>
        <v/>
      </c>
      <c r="V259" s="213" t="n">
        <v>0.01041666666666667</v>
      </c>
      <c r="W259" s="214">
        <f>TEXT(T259,"HH""h""MM'")&amp;"÷"&amp;TEXT(U259,"HH""h""MM'")</f>
        <v/>
      </c>
      <c r="X259" s="214" t="n"/>
      <c r="Y259" s="214" t="n"/>
      <c r="Z259" s="214" t="inlineStr">
        <is>
          <t>11;</t>
        </is>
      </c>
      <c r="AA259" s="215" t="inlineStr">
        <is>
          <t>Rút ống vách  Cọc khoan nhồi Mố M1 - Cọc C2</t>
        </is>
      </c>
      <c r="AB259" s="204" t="inlineStr">
        <is>
          <t>09-XL-307HG/PYCNT/CKN/M1/C2-2</t>
        </is>
      </c>
      <c r="AC259" s="204" t="inlineStr">
        <is>
          <t>09-XL-307HG/BBNT/CKN/M1/C2-11</t>
        </is>
      </c>
      <c r="AD259" s="204" t="n"/>
      <c r="AE259" s="204" t="n"/>
      <c r="AF259" s="204" t="n"/>
      <c r="AG259" s="204" t="n"/>
      <c r="AH259" s="204" t="n"/>
      <c r="AI259" s="214" t="n"/>
      <c r="AJ259" s="214" t="n"/>
      <c r="AK259" s="217" t="n"/>
      <c r="AL259" s="214" t="n"/>
      <c r="AM259" s="214" t="n"/>
      <c r="AN259" s="214" t="n"/>
      <c r="AO259" s="214" t="n"/>
      <c r="AP259" s="216" t="n"/>
      <c r="AQ259" s="216" t="n"/>
      <c r="AR259" s="214" t="inlineStr">
        <is>
          <t>Nhóm 1</t>
        </is>
      </c>
      <c r="AS259" s="214" t="n"/>
      <c r="AT259" s="214" t="inlineStr">
        <is>
          <t>HM05</t>
        </is>
      </c>
      <c r="AU259" s="214" t="inlineStr">
        <is>
          <t>NTCV</t>
        </is>
      </c>
      <c r="AV259" s="214" t="n">
        <v>361</v>
      </c>
      <c r="AW259" s="214" t="n">
        <v>10</v>
      </c>
      <c r="AX259" s="214" t="n"/>
    </row>
    <row r="260">
      <c r="A260" s="56" t="inlineStr">
        <is>
          <t>BBK544</t>
        </is>
      </c>
      <c r="B260" s="56" t="inlineStr">
        <is>
          <t>PL11</t>
        </is>
      </c>
      <c r="C260" s="56" t="inlineStr">
        <is>
          <t>BBK544.0746006</t>
        </is>
      </c>
      <c r="D260" s="57" t="n"/>
      <c r="E260" s="57" t="n"/>
      <c r="F260" s="57" t="n"/>
      <c r="G260" s="57" t="n"/>
      <c r="H260" s="57" t="n"/>
      <c r="J260" s="198" t="inlineStr">
        <is>
          <t>28</t>
        </is>
      </c>
      <c r="K260" s="198" t="inlineStr">
        <is>
          <t>PL11</t>
        </is>
      </c>
      <c r="L260" s="199" t="inlineStr">
        <is>
          <t>Rút ống vách thi công cọc khoan nhồi</t>
        </is>
      </c>
      <c r="M260" s="199" t="n"/>
      <c r="N260" s="199" t="n"/>
      <c r="O260" s="200" t="inlineStr">
        <is>
          <t>Cầu Km19+529.080</t>
        </is>
      </c>
      <c r="P260" s="201" t="n"/>
      <c r="Q260" s="201" t="n"/>
      <c r="R260" s="201" t="n"/>
      <c r="S260" s="201">
        <f>S259</f>
        <v/>
      </c>
      <c r="T260" s="201" t="n"/>
      <c r="U260" s="201" t="n"/>
      <c r="V260" s="201" t="n"/>
      <c r="W260" s="202" t="n"/>
      <c r="X260" s="202" t="n"/>
      <c r="Y260" s="202" t="n"/>
      <c r="Z260" s="198" t="inlineStr">
        <is>
          <t>11</t>
        </is>
      </c>
      <c r="AA260" s="203" t="n"/>
      <c r="AB260" s="204" t="inlineStr">
        <is>
          <t>09-XL-307HG/PYCNT/CKN/M1/C2-2</t>
        </is>
      </c>
      <c r="AC260" s="204">
        <f>AC259</f>
        <v/>
      </c>
      <c r="AD260" s="204" t="n"/>
      <c r="AE260" s="204" t="n"/>
      <c r="AF260" s="204" t="n"/>
      <c r="AG260" s="204" t="n"/>
      <c r="AH260" s="204" t="inlineStr">
        <is>
          <t>&gt;=34;&lt;=65</t>
        </is>
      </c>
      <c r="AI260" s="202" t="n"/>
      <c r="AJ260" s="202" t="n"/>
      <c r="AK260" s="206" t="n"/>
      <c r="AL260" s="202" t="n"/>
      <c r="AM260" s="202" t="n"/>
      <c r="AN260" s="202" t="n"/>
      <c r="AO260" s="202" t="n"/>
      <c r="AP260" s="207" t="n"/>
      <c r="AQ260" s="207" t="n"/>
      <c r="AR260" s="202" t="inlineStr">
        <is>
          <t>Nhóm 1</t>
        </is>
      </c>
      <c r="AS260" s="202" t="n"/>
      <c r="AT260" s="202" t="inlineStr">
        <is>
          <t>HM05</t>
        </is>
      </c>
      <c r="AU260" s="202" t="inlineStr">
        <is>
          <t>PL11</t>
        </is>
      </c>
      <c r="AV260" s="202" t="n">
        <v>26</v>
      </c>
      <c r="AW260" s="202" t="n">
        <v>1</v>
      </c>
      <c r="AX260" s="202" t="n"/>
    </row>
    <row r="261">
      <c r="A261" s="56" t="inlineStr">
        <is>
          <t>BBK680</t>
        </is>
      </c>
      <c r="B261" s="56" t="inlineStr">
        <is>
          <t>PYC</t>
        </is>
      </c>
      <c r="C261" s="56" t="inlineStr">
        <is>
          <t>BBK680.0088559</t>
        </is>
      </c>
      <c r="D261" s="57" t="n"/>
      <c r="E261" s="57" t="n"/>
      <c r="F261" s="57" t="n"/>
      <c r="G261" s="57" t="n"/>
      <c r="H261" s="57" t="n"/>
      <c r="J261" s="198" t="inlineStr">
        <is>
          <t>29</t>
        </is>
      </c>
      <c r="K261" s="198" t="inlineStr">
        <is>
          <t>PYC</t>
        </is>
      </c>
      <c r="L261" s="199" t="inlineStr">
        <is>
          <t>Phiếu yêu cầu nghiệm thu</t>
        </is>
      </c>
      <c r="M261" s="199" t="n"/>
      <c r="N261" s="199" t="n"/>
      <c r="O261" s="200" t="inlineStr">
        <is>
          <t>Cầu Km19+529.080</t>
        </is>
      </c>
      <c r="P261" s="201" t="n"/>
      <c r="Q261" s="201" t="n"/>
      <c r="R261" s="201">
        <f>R262</f>
        <v/>
      </c>
      <c r="S261" s="201" t="n"/>
      <c r="T261" s="201" t="n"/>
      <c r="U261" s="201" t="n"/>
      <c r="V261" s="201" t="n"/>
      <c r="W261" s="202" t="n"/>
      <c r="X261" s="202" t="n"/>
      <c r="Y261" s="202" t="n"/>
      <c r="Z261" s="202" t="n"/>
      <c r="AA261" s="203" t="n"/>
      <c r="AB261" s="204" t="inlineStr">
        <is>
          <t>09-XL-307HG/PYCNT/CKN/M1/C2</t>
        </is>
      </c>
      <c r="AC261" s="205" t="inlineStr"/>
      <c r="AD261" s="205" t="n"/>
      <c r="AE261" s="205" t="n"/>
      <c r="AF261" s="205" t="n"/>
      <c r="AG261" s="205" t="inlineStr">
        <is>
          <t>NTCV;BBKTĐK</t>
        </is>
      </c>
      <c r="AH261" s="204" t="n">
        <v>11</v>
      </c>
      <c r="AI261" s="202" t="n"/>
      <c r="AJ261" s="202" t="n"/>
      <c r="AK261" s="206" t="n"/>
      <c r="AL261" s="202" t="n"/>
      <c r="AM261" s="202" t="n"/>
      <c r="AN261" s="202" t="n"/>
      <c r="AO261" s="202" t="n"/>
      <c r="AP261" s="207" t="n"/>
      <c r="AQ261" s="207" t="n"/>
      <c r="AR261" s="202" t="inlineStr">
        <is>
          <t>Nhóm 1</t>
        </is>
      </c>
      <c r="AS261" s="202" t="n"/>
      <c r="AT261" s="202" t="inlineStr">
        <is>
          <t>HM05</t>
        </is>
      </c>
      <c r="AU261" s="202" t="inlineStr">
        <is>
          <t>PYC</t>
        </is>
      </c>
      <c r="AV261" s="202" t="n">
        <v>147</v>
      </c>
      <c r="AW261" s="202" t="n">
        <v>3</v>
      </c>
      <c r="AX261" s="202" t="n"/>
    </row>
    <row r="262" ht="28" customHeight="1" s="672">
      <c r="A262" s="56" t="inlineStr">
        <is>
          <t>NTCV</t>
        </is>
      </c>
      <c r="B262" s="56" t="inlineStr">
        <is>
          <t>K.9999</t>
        </is>
      </c>
      <c r="C262" s="56" t="inlineStr">
        <is>
          <t>NTCV.0634571</t>
        </is>
      </c>
      <c r="D262" s="57" t="n"/>
      <c r="E262" s="57" t="n"/>
      <c r="F262" s="57" t="n"/>
      <c r="G262" s="57" t="n"/>
      <c r="H262" s="57" t="n"/>
      <c r="J262" s="209" t="inlineStr">
        <is>
          <t>30</t>
        </is>
      </c>
      <c r="K262" s="209" t="inlineStr">
        <is>
          <t>K.9999</t>
        </is>
      </c>
      <c r="L262" s="210" t="inlineStr">
        <is>
          <t>Theo dõi nén mẫu R7 Cọc khoan nhồi Mố M1 - Cọc C2</t>
        </is>
      </c>
      <c r="M262" s="210" t="n"/>
      <c r="N262" s="210" t="n"/>
      <c r="O262" s="211" t="inlineStr">
        <is>
          <t>Cầu Km19+529.080</t>
        </is>
      </c>
      <c r="P262" s="212">
        <f>S259+7</f>
        <v/>
      </c>
      <c r="Q262" s="212">
        <f>P262</f>
        <v/>
      </c>
      <c r="R262" s="212">
        <f>Q262-1</f>
        <v/>
      </c>
      <c r="S262" s="212">
        <f>Q262</f>
        <v/>
      </c>
      <c r="T262" s="213" t="n">
        <v>0.3541666666666667</v>
      </c>
      <c r="U262" s="213">
        <f>T262+V262</f>
        <v/>
      </c>
      <c r="V262" s="213" t="n">
        <v>0.02083333333333333</v>
      </c>
      <c r="W262" s="214">
        <f>TEXT(T262,"HH""h""MM'")&amp;"÷"&amp;TEXT(U262,"HH""h""MM'")</f>
        <v/>
      </c>
      <c r="X262" s="214" t="n"/>
      <c r="Y262" s="214" t="n"/>
      <c r="Z262" s="214" t="n"/>
      <c r="AA262" s="215" t="inlineStr">
        <is>
          <t>Theo dõi nén mẫu R7 Cọc khoan nhồi Mố M1 - Cọc C2</t>
        </is>
      </c>
      <c r="AB262" s="204" t="inlineStr">
        <is>
          <t>09-XL-307HG/PYCNT/CKN/M1/C2-3</t>
        </is>
      </c>
      <c r="AC262" s="204" t="inlineStr">
        <is>
          <t>09-XL-307HG/BBNT/CKN/M1/C2-12</t>
        </is>
      </c>
      <c r="AD262" s="204" t="n"/>
      <c r="AE262" s="204" t="n"/>
      <c r="AF262" s="204" t="n"/>
      <c r="AG262" s="204" t="n"/>
      <c r="AH262" s="204" t="n"/>
      <c r="AI262" s="214" t="n"/>
      <c r="AJ262" s="214" t="n"/>
      <c r="AK262" s="217" t="n"/>
      <c r="AL262" s="214" t="n"/>
      <c r="AM262" s="214" t="n"/>
      <c r="AN262" s="214" t="n"/>
      <c r="AO262" s="214" t="n"/>
      <c r="AP262" s="216" t="n"/>
      <c r="AQ262" s="216" t="n"/>
      <c r="AR262" s="214" t="inlineStr">
        <is>
          <t>Nhóm 1</t>
        </is>
      </c>
      <c r="AS262" s="214" t="n"/>
      <c r="AT262" s="214" t="inlineStr">
        <is>
          <t>HM05</t>
        </is>
      </c>
      <c r="AU262" s="214" t="inlineStr">
        <is>
          <t>NTCV</t>
        </is>
      </c>
      <c r="AV262" s="214" t="n">
        <v>385</v>
      </c>
      <c r="AW262" s="214" t="n">
        <v>11</v>
      </c>
      <c r="AX262" s="214" t="n"/>
    </row>
    <row r="263">
      <c r="A263" s="56" t="inlineStr">
        <is>
          <t>BBK680</t>
        </is>
      </c>
      <c r="B263" s="56" t="inlineStr">
        <is>
          <t>PYC</t>
        </is>
      </c>
      <c r="C263" s="56" t="inlineStr">
        <is>
          <t>BBK680.0713027</t>
        </is>
      </c>
      <c r="D263" s="57" t="n"/>
      <c r="E263" s="57" t="n"/>
      <c r="F263" s="57" t="n"/>
      <c r="G263" s="57" t="n"/>
      <c r="H263" s="57" t="n"/>
      <c r="J263" s="198" t="inlineStr">
        <is>
          <t>31</t>
        </is>
      </c>
      <c r="K263" s="198" t="inlineStr">
        <is>
          <t>PYC</t>
        </is>
      </c>
      <c r="L263" s="199" t="inlineStr">
        <is>
          <t>Phiếu yêu cầu nghiệm thu</t>
        </is>
      </c>
      <c r="M263" s="199" t="n"/>
      <c r="N263" s="199" t="n"/>
      <c r="O263" s="200" t="inlineStr">
        <is>
          <t>Cầu Km19+529.080</t>
        </is>
      </c>
      <c r="P263" s="201" t="n"/>
      <c r="Q263" s="201" t="n"/>
      <c r="R263" s="201">
        <f>+S258+28</f>
        <v/>
      </c>
      <c r="S263" s="201" t="n"/>
      <c r="T263" s="201" t="n"/>
      <c r="U263" s="201" t="n"/>
      <c r="V263" s="201" t="n"/>
      <c r="W263" s="202" t="n"/>
      <c r="X263" s="202" t="n"/>
      <c r="Y263" s="202" t="n"/>
      <c r="Z263" s="202" t="n"/>
      <c r="AA263" s="203" t="n"/>
      <c r="AB263" s="204" t="inlineStr">
        <is>
          <t>09-XL-307HG/PYCNT/CKN/M1/C2</t>
        </is>
      </c>
      <c r="AC263" s="205" t="inlineStr"/>
      <c r="AD263" s="205" t="n"/>
      <c r="AE263" s="205" t="n"/>
      <c r="AF263" s="205" t="n"/>
      <c r="AG263" s="205" t="inlineStr">
        <is>
          <t>NTCV;BBKTĐK</t>
        </is>
      </c>
      <c r="AH263" s="204" t="n">
        <v>12</v>
      </c>
      <c r="AI263" s="202" t="n"/>
      <c r="AJ263" s="202" t="n"/>
      <c r="AK263" s="206" t="n"/>
      <c r="AL263" s="202" t="n"/>
      <c r="AM263" s="202" t="n"/>
      <c r="AN263" s="202" t="n"/>
      <c r="AO263" s="202" t="n"/>
      <c r="AP263" s="207" t="n"/>
      <c r="AQ263" s="207" t="n"/>
      <c r="AR263" s="202" t="inlineStr">
        <is>
          <t>Nhóm 1</t>
        </is>
      </c>
      <c r="AS263" s="202" t="n"/>
      <c r="AT263" s="202" t="inlineStr">
        <is>
          <t>HM05</t>
        </is>
      </c>
      <c r="AU263" s="202" t="inlineStr">
        <is>
          <t>PYC</t>
        </is>
      </c>
      <c r="AV263" s="202" t="n">
        <v>148</v>
      </c>
      <c r="AW263" s="202" t="n">
        <v>4</v>
      </c>
      <c r="AX263" s="202" t="n"/>
    </row>
    <row r="264" ht="28" customHeight="1" s="672">
      <c r="A264" s="56" t="inlineStr">
        <is>
          <t>NTCV</t>
        </is>
      </c>
      <c r="B264" s="56" t="inlineStr">
        <is>
          <t>K.9999</t>
        </is>
      </c>
      <c r="C264" s="56" t="inlineStr">
        <is>
          <t>NTCV.0015682</t>
        </is>
      </c>
      <c r="D264" s="57" t="n"/>
      <c r="E264" s="57" t="n"/>
      <c r="F264" s="57" t="n"/>
      <c r="G264" s="57" t="n"/>
      <c r="H264" s="57" t="n"/>
      <c r="J264" s="209" t="inlineStr">
        <is>
          <t>32</t>
        </is>
      </c>
      <c r="K264" s="209" t="inlineStr">
        <is>
          <t>K.9999</t>
        </is>
      </c>
      <c r="L264" s="210" t="inlineStr">
        <is>
          <t>Đập đầu cọc khoan nhồi Mố M1 - Cọc C2</t>
        </is>
      </c>
      <c r="M264" s="210" t="n"/>
      <c r="N264" s="210" t="n"/>
      <c r="O264" s="211" t="inlineStr">
        <is>
          <t>Cầu Km19+529.080</t>
        </is>
      </c>
      <c r="P264" s="212">
        <f>S262</f>
        <v/>
      </c>
      <c r="Q264" s="212">
        <f>P264</f>
        <v/>
      </c>
      <c r="R264" s="212">
        <f>Q264-1</f>
        <v/>
      </c>
      <c r="S264" s="212">
        <f>Q264</f>
        <v/>
      </c>
      <c r="T264" s="213" t="n">
        <v>0.3541666666666667</v>
      </c>
      <c r="U264" s="213">
        <f>T264+V264</f>
        <v/>
      </c>
      <c r="V264" s="213" t="n">
        <v>0.0625</v>
      </c>
      <c r="W264" s="214">
        <f>TEXT(T264,"HH""h""MM'")&amp;"÷"&amp;TEXT(U264,"HH""h""MM'")</f>
        <v/>
      </c>
      <c r="X264" s="214" t="n"/>
      <c r="Y264" s="214" t="n"/>
      <c r="Z264" s="214" t="n"/>
      <c r="AA264" s="215" t="inlineStr">
        <is>
          <t>Theo dõi nén mẫu R28 Cọc khoan nhồi Mố M1 - Cọc C2</t>
        </is>
      </c>
      <c r="AB264" s="204" t="inlineStr">
        <is>
          <t>09-XL-307HG/PYCNT/CKN/M1/C2-4</t>
        </is>
      </c>
      <c r="AC264" s="204" t="inlineStr">
        <is>
          <t>09-XL-307HG/BBNT/CKN/M1/C2-13</t>
        </is>
      </c>
      <c r="AD264" s="204" t="n"/>
      <c r="AE264" s="204" t="n"/>
      <c r="AF264" s="204" t="n"/>
      <c r="AG264" s="204" t="n"/>
      <c r="AH264" s="204" t="n"/>
      <c r="AI264" s="214" t="n"/>
      <c r="AJ264" s="214" t="n"/>
      <c r="AK264" s="217" t="n"/>
      <c r="AL264" s="214" t="n"/>
      <c r="AM264" s="214" t="n"/>
      <c r="AN264" s="214" t="n"/>
      <c r="AO264" s="214" t="n"/>
      <c r="AP264" s="216" t="n"/>
      <c r="AQ264" s="216" t="n"/>
      <c r="AR264" s="214" t="inlineStr">
        <is>
          <t>Nhóm 1</t>
        </is>
      </c>
      <c r="AS264" s="214" t="n"/>
      <c r="AT264" s="214" t="inlineStr">
        <is>
          <t>HM05</t>
        </is>
      </c>
      <c r="AU264" s="214" t="inlineStr">
        <is>
          <t>NTCV</t>
        </is>
      </c>
      <c r="AV264" s="214" t="n">
        <v>386</v>
      </c>
      <c r="AW264" s="214" t="n">
        <v>12</v>
      </c>
      <c r="AX264" s="214" t="n"/>
    </row>
    <row r="265">
      <c r="A265" s="56" t="inlineStr">
        <is>
          <t>HM</t>
        </is>
      </c>
      <c r="B265" s="56" t="inlineStr">
        <is>
          <t>HM</t>
        </is>
      </c>
      <c r="C265" s="56" t="inlineStr">
        <is>
          <t>HM.0431144</t>
        </is>
      </c>
      <c r="D265" s="57" t="n"/>
      <c r="E265" s="57" t="n"/>
      <c r="F265" s="57" t="n"/>
      <c r="G265" s="57" t="n"/>
      <c r="H265" s="57" t="n"/>
      <c r="J265" s="246" t="inlineStr">
        <is>
          <t>HM06</t>
        </is>
      </c>
      <c r="K265" s="246" t="inlineStr">
        <is>
          <t>HM</t>
        </is>
      </c>
      <c r="L265" s="247" t="inlineStr">
        <is>
          <t>Mố M1 - Cọc C3</t>
        </is>
      </c>
      <c r="M265" s="247" t="n"/>
      <c r="N265" s="247" t="n"/>
      <c r="O265" s="248" t="inlineStr">
        <is>
          <t>Cầu Km19+529.080</t>
        </is>
      </c>
      <c r="P265" s="249" t="n"/>
      <c r="Q265" s="249" t="n"/>
      <c r="R265" s="249" t="n"/>
      <c r="S265" s="249" t="n"/>
      <c r="T265" s="249" t="n"/>
      <c r="U265" s="249" t="n"/>
      <c r="V265" s="249" t="n"/>
      <c r="W265" s="250" t="n"/>
      <c r="X265" s="250" t="n"/>
      <c r="Y265" s="250" t="n"/>
      <c r="Z265" s="250" t="n"/>
      <c r="AA265" s="251" t="n"/>
      <c r="AB265" s="252" t="n"/>
      <c r="AC265" s="252" t="inlineStr"/>
      <c r="AD265" s="252" t="n"/>
      <c r="AE265" s="252" t="n"/>
      <c r="AF265" s="252" t="n"/>
      <c r="AG265" s="252" t="n"/>
      <c r="AH265" s="252" t="n"/>
      <c r="AI265" s="250" t="n"/>
      <c r="AJ265" s="250" t="n"/>
      <c r="AK265" s="253" t="n"/>
      <c r="AL265" s="250" t="n"/>
      <c r="AM265" s="250" t="n"/>
      <c r="AN265" s="250" t="n"/>
      <c r="AO265" s="250" t="n"/>
      <c r="AP265" s="254" t="n"/>
      <c r="AQ265" s="254" t="n"/>
      <c r="AR265" s="250" t="n"/>
      <c r="AS265" s="250" t="n"/>
      <c r="AT265" s="250" t="inlineStr">
        <is>
          <t>HM06</t>
        </is>
      </c>
      <c r="AU265" s="250" t="inlineStr">
        <is>
          <t>HM</t>
        </is>
      </c>
      <c r="AV265" s="250" t="n"/>
      <c r="AW265" s="250" t="n"/>
      <c r="AX265" s="250" t="n"/>
    </row>
    <row r="266" ht="28" customFormat="1" customHeight="1" s="70">
      <c r="A266" s="68" t="inlineStr">
        <is>
          <t>BBK_BIA</t>
        </is>
      </c>
      <c r="B266" s="68" t="inlineStr">
        <is>
          <t>TRANGBIA</t>
        </is>
      </c>
      <c r="C266" s="68" t="inlineStr">
        <is>
          <t>BBK_BIA.0401982</t>
        </is>
      </c>
      <c r="D266" s="69" t="n"/>
      <c r="E266" s="69" t="n"/>
      <c r="F266" s="69" t="n"/>
      <c r="G266" s="69" t="n"/>
      <c r="H266" s="69" t="n"/>
      <c r="J266" s="98" t="inlineStr">
        <is>
          <t>01</t>
        </is>
      </c>
      <c r="K266" s="98" t="inlineStr">
        <is>
          <t>TRANGBIA</t>
        </is>
      </c>
      <c r="L266" s="99">
        <f>"Cọc Khoan Nhồi"&amp;" - "&amp;L265</f>
        <v/>
      </c>
      <c r="M266" s="99" t="n"/>
      <c r="N266" s="99" t="n"/>
      <c r="O266" s="100" t="inlineStr">
        <is>
          <t>Cầu Km19+529.080</t>
        </is>
      </c>
      <c r="P266" s="101" t="n"/>
      <c r="Q266" s="101" t="n"/>
      <c r="R266" s="101" t="n"/>
      <c r="S266" s="101" t="n"/>
      <c r="T266" s="101" t="n"/>
      <c r="U266" s="101" t="n"/>
      <c r="V266" s="101" t="n"/>
      <c r="W266" s="102" t="n"/>
      <c r="X266" s="102" t="n"/>
      <c r="Y266" s="102" t="n"/>
      <c r="Z266" s="102" t="n"/>
      <c r="AA266" s="102" t="n"/>
      <c r="AB266" s="102" t="n"/>
      <c r="AC266" s="102" t="inlineStr"/>
      <c r="AD266" s="102" t="n"/>
      <c r="AE266" s="102" t="n"/>
      <c r="AF266" s="102" t="n"/>
      <c r="AG266" s="102" t="n"/>
      <c r="AH266" s="102" t="n"/>
      <c r="AI266" s="102" t="n"/>
      <c r="AJ266" s="102" t="n"/>
      <c r="AK266" s="100" t="n"/>
      <c r="AL266" s="102" t="n"/>
      <c r="AM266" s="102" t="n"/>
      <c r="AN266" s="102" t="n"/>
      <c r="AO266" s="102" t="n"/>
      <c r="AP266" s="103" t="inlineStr">
        <is>
          <t>Kết cấu cọc khoan nhồi mố, trụ</t>
        </is>
      </c>
      <c r="AQ266" s="104" t="n"/>
      <c r="AR266" s="102" t="inlineStr">
        <is>
          <t>Nhóm 1</t>
        </is>
      </c>
      <c r="AS266" s="102" t="n"/>
      <c r="AT266" s="102" t="inlineStr">
        <is>
          <t>HM06</t>
        </is>
      </c>
      <c r="AU266" s="102" t="inlineStr">
        <is>
          <t>TRANGBIA</t>
        </is>
      </c>
      <c r="AV266" s="102" t="n">
        <v>6</v>
      </c>
      <c r="AW266" s="102" t="n">
        <v>1</v>
      </c>
      <c r="AX266" s="102" t="n"/>
    </row>
    <row r="267" customFormat="1" s="70">
      <c r="A267" s="68" t="inlineStr">
        <is>
          <t>BBK_ML</t>
        </is>
      </c>
      <c r="B267" s="68" t="inlineStr">
        <is>
          <t>MUCLUC</t>
        </is>
      </c>
      <c r="C267" s="68" t="inlineStr">
        <is>
          <t>BBK_ML.0275295</t>
        </is>
      </c>
      <c r="D267" s="69" t="n"/>
      <c r="E267" s="69" t="n"/>
      <c r="F267" s="69" t="n"/>
      <c r="G267" s="69" t="n"/>
      <c r="H267" s="69" t="n"/>
      <c r="J267" s="98" t="inlineStr">
        <is>
          <t>02</t>
        </is>
      </c>
      <c r="K267" s="98" t="inlineStr">
        <is>
          <t>MUCLUC</t>
        </is>
      </c>
      <c r="L267" s="99" t="inlineStr">
        <is>
          <t>Danh mục biên bản Kiểm tra/Nghiệm thu</t>
        </is>
      </c>
      <c r="M267" s="99" t="n"/>
      <c r="N267" s="99" t="n"/>
      <c r="O267" s="100" t="inlineStr">
        <is>
          <t>Cầu Km19+529.080</t>
        </is>
      </c>
      <c r="P267" s="101" t="n"/>
      <c r="Q267" s="101" t="n"/>
      <c r="R267" s="101" t="n"/>
      <c r="S267" s="101" t="n"/>
      <c r="T267" s="101" t="n"/>
      <c r="U267" s="101" t="n"/>
      <c r="V267" s="101" t="n"/>
      <c r="W267" s="102" t="n"/>
      <c r="X267" s="102" t="n"/>
      <c r="Y267" s="102" t="n"/>
      <c r="Z267" s="102" t="n"/>
      <c r="AA267" s="102" t="n"/>
      <c r="AB267" s="102" t="n"/>
      <c r="AC267" s="102" t="inlineStr"/>
      <c r="AD267" s="102" t="n"/>
      <c r="AE267" s="102" t="n"/>
      <c r="AF267" s="102" t="n"/>
      <c r="AG267" s="102" t="n"/>
      <c r="AH267" s="102" t="n"/>
      <c r="AI267" s="102" t="n"/>
      <c r="AJ267" s="102" t="n"/>
      <c r="AK267" s="100" t="n"/>
      <c r="AL267" s="102" t="n"/>
      <c r="AM267" s="102" t="n"/>
      <c r="AN267" s="102" t="n"/>
      <c r="AO267" s="102" t="n"/>
      <c r="AP267" s="104" t="n"/>
      <c r="AQ267" s="104" t="n"/>
      <c r="AR267" s="102" t="inlineStr">
        <is>
          <t>Nhóm 1</t>
        </is>
      </c>
      <c r="AS267" s="102" t="n"/>
      <c r="AT267" s="102" t="inlineStr">
        <is>
          <t>HM06</t>
        </is>
      </c>
      <c r="AU267" s="102" t="inlineStr">
        <is>
          <t>MUCLUC</t>
        </is>
      </c>
      <c r="AV267" s="102" t="n">
        <v>6</v>
      </c>
      <c r="AW267" s="102" t="n">
        <v>1</v>
      </c>
      <c r="AX267" s="102" t="n"/>
    </row>
    <row r="268">
      <c r="A268" s="56" t="inlineStr">
        <is>
          <t>BBK680</t>
        </is>
      </c>
      <c r="B268" s="56" t="inlineStr">
        <is>
          <t>PYC</t>
        </is>
      </c>
      <c r="C268" s="56" t="inlineStr">
        <is>
          <t>BBK680.0985373</t>
        </is>
      </c>
      <c r="D268" s="57" t="n"/>
      <c r="E268" s="57" t="n"/>
      <c r="F268" s="57" t="n"/>
      <c r="G268" s="57" t="n"/>
      <c r="H268" s="57" t="n"/>
      <c r="J268" s="198" t="inlineStr">
        <is>
          <t>03</t>
        </is>
      </c>
      <c r="K268" s="198" t="inlineStr">
        <is>
          <t>PYC</t>
        </is>
      </c>
      <c r="L268" s="199" t="inlineStr">
        <is>
          <t>Phiếu yêu cầu nghiệm thu</t>
        </is>
      </c>
      <c r="M268" s="199" t="n"/>
      <c r="N268" s="199" t="n"/>
      <c r="O268" s="200" t="inlineStr">
        <is>
          <t>Cầu Km19+529.080</t>
        </is>
      </c>
      <c r="P268" s="201" t="n"/>
      <c r="Q268" s="201" t="n"/>
      <c r="R268" s="201">
        <f>R269</f>
        <v/>
      </c>
      <c r="S268" s="201" t="n"/>
      <c r="T268" s="201" t="n"/>
      <c r="U268" s="201" t="n"/>
      <c r="V268" s="201" t="n"/>
      <c r="W268" s="202" t="n"/>
      <c r="X268" s="202" t="n"/>
      <c r="Y268" s="202" t="n"/>
      <c r="Z268" s="202" t="n"/>
      <c r="AA268" s="203" t="n"/>
      <c r="AB268" s="204" t="inlineStr">
        <is>
          <t>09-XL-307HG/PYCNT/CKN/M1/C3</t>
        </is>
      </c>
      <c r="AC268" s="205" t="inlineStr"/>
      <c r="AD268" s="205" t="n"/>
      <c r="AE268" s="205" t="n"/>
      <c r="AF268" s="205" t="n"/>
      <c r="AG268" s="205" t="inlineStr">
        <is>
          <t>NTCV;BBKTĐK</t>
        </is>
      </c>
      <c r="AH268" s="204" t="inlineStr">
        <is>
          <t>&gt;=1;&lt;=5</t>
        </is>
      </c>
      <c r="AI268" s="202" t="n"/>
      <c r="AJ268" s="202" t="n"/>
      <c r="AK268" s="206" t="n"/>
      <c r="AL268" s="202" t="n"/>
      <c r="AM268" s="202" t="n"/>
      <c r="AN268" s="202" t="n"/>
      <c r="AO268" s="202" t="n"/>
      <c r="AP268" s="207" t="n"/>
      <c r="AQ268" s="207" t="n"/>
      <c r="AR268" s="202" t="inlineStr">
        <is>
          <t>Nhóm 1</t>
        </is>
      </c>
      <c r="AS268" s="202" t="n"/>
      <c r="AT268" s="202" t="inlineStr">
        <is>
          <t>HM06</t>
        </is>
      </c>
      <c r="AU268" s="202" t="inlineStr">
        <is>
          <t>PYC</t>
        </is>
      </c>
      <c r="AV268" s="202" t="n">
        <v>149</v>
      </c>
      <c r="AW268" s="202" t="n">
        <v>1</v>
      </c>
      <c r="AX268" s="202" t="n"/>
    </row>
    <row r="269" ht="28" customHeight="1" s="672">
      <c r="A269" s="56" t="inlineStr">
        <is>
          <t>BBK884</t>
        </is>
      </c>
      <c r="B269" s="56" t="inlineStr">
        <is>
          <t>BBKTĐK</t>
        </is>
      </c>
      <c r="C269" s="56" t="inlineStr">
        <is>
          <t>BBK884.0802587</t>
        </is>
      </c>
      <c r="D269" s="57" t="n"/>
      <c r="E269" s="57" t="n"/>
      <c r="F269" s="57" t="n"/>
      <c r="G269" s="57" t="n"/>
      <c r="H269" s="57" t="n"/>
      <c r="J269" s="198" t="inlineStr">
        <is>
          <t>04</t>
        </is>
      </c>
      <c r="K269" s="198" t="inlineStr">
        <is>
          <t>BBKTĐK</t>
        </is>
      </c>
      <c r="L269" s="199" t="inlineStr">
        <is>
          <t>Kiểm tra điều kiện trước khi thi công cọc khoan nhồi: Thiết bị, nhân lực, vật tư</t>
        </is>
      </c>
      <c r="M269" s="199" t="n"/>
      <c r="N269" s="199" t="n"/>
      <c r="O269" s="200" t="inlineStr">
        <is>
          <t>Cầu Km19+529.080</t>
        </is>
      </c>
      <c r="P269" s="201" t="n">
        <v>46229</v>
      </c>
      <c r="Q269" s="201">
        <f>P269</f>
        <v/>
      </c>
      <c r="R269" s="201">
        <f>Q269-1</f>
        <v/>
      </c>
      <c r="S269" s="201">
        <f>Q269</f>
        <v/>
      </c>
      <c r="T269" s="208" t="n">
        <v>0.2916666666666667</v>
      </c>
      <c r="U269" s="208">
        <f>T269+V269</f>
        <v/>
      </c>
      <c r="V269" s="208" t="n">
        <v>0.02083333333333333</v>
      </c>
      <c r="W269" s="202">
        <f>TEXT(T269,"HH""h""MM'")&amp;"÷"&amp;TEXT(U269,"HH""h""MM'")</f>
        <v/>
      </c>
      <c r="X269" s="202" t="n"/>
      <c r="Y269" s="202" t="n"/>
      <c r="Z269" s="202" t="inlineStr">
        <is>
          <t>01;</t>
        </is>
      </c>
      <c r="AA269" s="200" t="inlineStr">
        <is>
          <t>Kiểm tra điều kiện trước khi thi công Cọc khoan nhồi Mố M1 - Cọc C3</t>
        </is>
      </c>
      <c r="AB269" s="205" t="inlineStr">
        <is>
          <t>09-XL-307HG/PYCNT/CKN/M1/C3-1</t>
        </is>
      </c>
      <c r="AC269" s="205" t="inlineStr">
        <is>
          <t>09-XL-307HG/BBNT/CKN/M1/C3-1</t>
        </is>
      </c>
      <c r="AD269" s="205" t="n"/>
      <c r="AE269" s="205" t="n"/>
      <c r="AF269" s="205" t="n"/>
      <c r="AG269" s="205" t="n"/>
      <c r="AH269" s="205" t="n"/>
      <c r="AI269" s="207" t="n"/>
      <c r="AJ269" s="214" t="n"/>
      <c r="AK269" s="217" t="n"/>
      <c r="AL269" s="214" t="n"/>
      <c r="AM269" s="214" t="n"/>
      <c r="AN269" s="214" t="n"/>
      <c r="AO269" s="202" t="n"/>
      <c r="AP269" s="207" t="n"/>
      <c r="AQ269" s="207" t="n"/>
      <c r="AR269" s="202" t="inlineStr">
        <is>
          <t>Nhóm 1</t>
        </is>
      </c>
      <c r="AS269" s="202" t="n"/>
      <c r="AT269" s="202" t="inlineStr">
        <is>
          <t>HM06</t>
        </is>
      </c>
      <c r="AU269" s="202" t="inlineStr">
        <is>
          <t>BBKTĐK</t>
        </is>
      </c>
      <c r="AV269" s="202" t="n">
        <v>26</v>
      </c>
      <c r="AW269" s="202" t="n">
        <v>1</v>
      </c>
      <c r="AX269" s="202" t="n"/>
    </row>
    <row r="270" ht="28" customHeight="1" s="672">
      <c r="A270" s="56" t="inlineStr">
        <is>
          <t>BBK860</t>
        </is>
      </c>
      <c r="B270" s="56" t="inlineStr">
        <is>
          <t>PL01</t>
        </is>
      </c>
      <c r="C270" s="56" t="inlineStr">
        <is>
          <t>BBK860.0696100</t>
        </is>
      </c>
      <c r="D270" s="57" t="n"/>
      <c r="E270" s="57" t="n"/>
      <c r="F270" s="57" t="n"/>
      <c r="G270" s="57" t="n"/>
      <c r="H270" s="57" t="n"/>
      <c r="J270" s="198" t="inlineStr">
        <is>
          <t>05</t>
        </is>
      </c>
      <c r="K270" s="198" t="inlineStr">
        <is>
          <t>PL01</t>
        </is>
      </c>
      <c r="L270" s="199" t="inlineStr">
        <is>
          <t>Máy móc, thiết bị, nhân lực, vật tư thi công cọc khoan nhồi</t>
        </is>
      </c>
      <c r="M270" s="199" t="n"/>
      <c r="N270" s="199" t="n"/>
      <c r="O270" s="199" t="inlineStr">
        <is>
          <t>Cầu Km19+529.080</t>
        </is>
      </c>
      <c r="P270" s="201" t="n"/>
      <c r="Q270" s="201" t="n"/>
      <c r="R270" s="201" t="n"/>
      <c r="S270" s="201">
        <f>S269</f>
        <v/>
      </c>
      <c r="T270" s="201" t="n"/>
      <c r="U270" s="201" t="n"/>
      <c r="V270" s="201" t="n"/>
      <c r="W270" s="202" t="n"/>
      <c r="X270" s="202" t="n"/>
      <c r="Y270" s="202" t="n"/>
      <c r="Z270" s="198" t="inlineStr">
        <is>
          <t>01</t>
        </is>
      </c>
      <c r="AA270" s="203" t="n"/>
      <c r="AB270" s="204" t="inlineStr">
        <is>
          <t>09-XL-307HG/PYCNT/CKN/M1/C3-1</t>
        </is>
      </c>
      <c r="AC270" s="204">
        <f>AC269</f>
        <v/>
      </c>
      <c r="AD270" s="204" t="n"/>
      <c r="AE270" s="204" t="n"/>
      <c r="AF270" s="204" t="n"/>
      <c r="AG270" s="204" t="n"/>
      <c r="AH270" s="204" t="inlineStr">
        <is>
          <t>CKN</t>
        </is>
      </c>
      <c r="AI270" s="207" t="n"/>
      <c r="AJ270" s="202" t="n"/>
      <c r="AK270" s="206" t="n"/>
      <c r="AL270" s="202" t="n"/>
      <c r="AM270" s="202" t="n"/>
      <c r="AN270" s="202" t="n"/>
      <c r="AO270" s="202" t="n"/>
      <c r="AP270" s="207" t="n"/>
      <c r="AQ270" s="207" t="n"/>
      <c r="AR270" s="202" t="inlineStr">
        <is>
          <t>Nhóm 1</t>
        </is>
      </c>
      <c r="AS270" s="202" t="n"/>
      <c r="AT270" s="202" t="inlineStr">
        <is>
          <t>HM06</t>
        </is>
      </c>
      <c r="AU270" s="202" t="inlineStr">
        <is>
          <t>PL01</t>
        </is>
      </c>
      <c r="AV270" s="202" t="n">
        <v>28</v>
      </c>
      <c r="AW270" s="202" t="n">
        <v>1</v>
      </c>
      <c r="AX270" s="202" t="n"/>
    </row>
    <row r="271" ht="42" customHeight="1" s="672">
      <c r="A271" s="56" t="inlineStr">
        <is>
          <t>NTCV</t>
        </is>
      </c>
      <c r="B271" s="56" t="inlineStr">
        <is>
          <t>K.9999</t>
        </is>
      </c>
      <c r="C271" s="56" t="inlineStr">
        <is>
          <t>NTCV.0417599</t>
        </is>
      </c>
      <c r="D271" s="57" t="n"/>
      <c r="E271" s="57" t="n"/>
      <c r="F271" s="57" t="n"/>
      <c r="G271" s="57" t="n"/>
      <c r="H271" s="57" t="n"/>
      <c r="J271" s="209" t="inlineStr">
        <is>
          <t>06</t>
        </is>
      </c>
      <c r="K271" s="209" t="inlineStr">
        <is>
          <t>K.9999</t>
        </is>
      </c>
      <c r="L271" s="210" t="inlineStr">
        <is>
          <t>Kiểm tra ống vách, dung dịch bentonite trước khi khoan cọc khoan nhồi</t>
        </is>
      </c>
      <c r="M271" s="210" t="n"/>
      <c r="N271" s="210" t="n"/>
      <c r="O271" s="211" t="inlineStr">
        <is>
          <t>Cầu Km19+529.080</t>
        </is>
      </c>
      <c r="P271" s="212">
        <f>S269</f>
        <v/>
      </c>
      <c r="Q271" s="212">
        <f>P271</f>
        <v/>
      </c>
      <c r="R271" s="212">
        <f>Q271-1</f>
        <v/>
      </c>
      <c r="S271" s="212">
        <f>Q271</f>
        <v/>
      </c>
      <c r="T271" s="213">
        <f>U269</f>
        <v/>
      </c>
      <c r="U271" s="213">
        <f>T271+V271</f>
        <v/>
      </c>
      <c r="V271" s="213" t="n">
        <v>0.02083333333333333</v>
      </c>
      <c r="W271" s="214">
        <f>TEXT(T271,"HH""h""MM'")&amp;"÷"&amp;TEXT(U271,"HH""h""MM'")</f>
        <v/>
      </c>
      <c r="X271" s="214" t="n"/>
      <c r="Y271" s="214" t="n"/>
      <c r="Z271" s="214" t="inlineStr">
        <is>
          <t>02; 02a</t>
        </is>
      </c>
      <c r="AA271" s="215" t="inlineStr">
        <is>
          <t>Kiểm tra ống vách, dung dịch bentonite Cọc khoan nhồi Mố M1 - Cọc C3 trước khi khoan</t>
        </is>
      </c>
      <c r="AB271" s="204" t="inlineStr">
        <is>
          <t>09-XL-307HG/PYCNT/CKN/M1/C3-1</t>
        </is>
      </c>
      <c r="AC271" s="204" t="inlineStr">
        <is>
          <t>09-XL-307HG/BBNT/CKN/M1/C3-2</t>
        </is>
      </c>
      <c r="AD271" s="204" t="n"/>
      <c r="AE271" s="204" t="n"/>
      <c r="AF271" s="204" t="n"/>
      <c r="AG271" s="204" t="n"/>
      <c r="AH271" s="204" t="n"/>
      <c r="AI271" s="216" t="n"/>
      <c r="AJ271" s="214" t="n"/>
      <c r="AK271" s="217" t="n"/>
      <c r="AL271" s="214" t="n"/>
      <c r="AM271" s="214" t="n"/>
      <c r="AN271" s="214" t="n"/>
      <c r="AO271" s="214" t="n"/>
      <c r="AP271" s="216" t="n"/>
      <c r="AQ271" s="216" t="n"/>
      <c r="AR271" s="214" t="inlineStr">
        <is>
          <t>Nhóm 1</t>
        </is>
      </c>
      <c r="AS271" s="214" t="n"/>
      <c r="AT271" s="214" t="inlineStr">
        <is>
          <t>HM06</t>
        </is>
      </c>
      <c r="AU271" s="214" t="inlineStr">
        <is>
          <t>NTCV</t>
        </is>
      </c>
      <c r="AV271" s="214" t="n">
        <v>313</v>
      </c>
      <c r="AW271" s="214" t="n">
        <v>1</v>
      </c>
      <c r="AX271" s="214" t="n"/>
    </row>
    <row r="272">
      <c r="A272" s="56" t="inlineStr">
        <is>
          <t>BBK170</t>
        </is>
      </c>
      <c r="B272" s="56" t="inlineStr">
        <is>
          <t>PL02</t>
        </is>
      </c>
      <c r="C272" s="56" t="inlineStr">
        <is>
          <t>BBK170.0734488</t>
        </is>
      </c>
      <c r="D272" s="57" t="n"/>
      <c r="E272" s="57" t="n"/>
      <c r="F272" s="57" t="n"/>
      <c r="G272" s="57" t="n"/>
      <c r="H272" s="57" t="n"/>
      <c r="J272" s="198" t="inlineStr">
        <is>
          <t>07</t>
        </is>
      </c>
      <c r="K272" s="198" t="inlineStr">
        <is>
          <t>PL02</t>
        </is>
      </c>
      <c r="L272" s="199" t="inlineStr">
        <is>
          <t>Kiểm tra ống vách thi công trước khi hạ</t>
        </is>
      </c>
      <c r="M272" s="199" t="n"/>
      <c r="N272" s="199" t="n"/>
      <c r="O272" s="200" t="inlineStr">
        <is>
          <t>Cầu Km19+529.080</t>
        </is>
      </c>
      <c r="P272" s="201" t="n"/>
      <c r="Q272" s="201" t="n"/>
      <c r="R272" s="201" t="n"/>
      <c r="S272" s="201">
        <f>S271</f>
        <v/>
      </c>
      <c r="T272" s="201" t="n"/>
      <c r="U272" s="201" t="n"/>
      <c r="V272" s="201" t="n"/>
      <c r="W272" s="202" t="n"/>
      <c r="X272" s="202" t="n"/>
      <c r="Y272" s="202" t="n"/>
      <c r="Z272" s="198" t="inlineStr">
        <is>
          <t>02</t>
        </is>
      </c>
      <c r="AA272" s="203" t="n"/>
      <c r="AB272" s="204" t="inlineStr">
        <is>
          <t>09-XL-307HG/PYCNT/CKN/M1/C3-1</t>
        </is>
      </c>
      <c r="AC272" s="204">
        <f>AC271</f>
        <v/>
      </c>
      <c r="AD272" s="204" t="n"/>
      <c r="AE272" s="204" t="n"/>
      <c r="AF272" s="204" t="n"/>
      <c r="AG272" s="204" t="n"/>
      <c r="AH272" s="204" t="inlineStr">
        <is>
          <t>CKN</t>
        </is>
      </c>
      <c r="AI272" s="207" t="n"/>
      <c r="AJ272" s="202" t="n"/>
      <c r="AK272" s="206" t="n"/>
      <c r="AL272" s="202" t="n"/>
      <c r="AM272" s="202" t="n"/>
      <c r="AN272" s="202" t="n"/>
      <c r="AO272" s="202" t="n"/>
      <c r="AP272" s="207" t="n"/>
      <c r="AQ272" s="207" t="inlineStr">
        <is>
          <t>Ảnh\PL02 CKN.png</t>
        </is>
      </c>
      <c r="AR272" s="202" t="inlineStr">
        <is>
          <t>Nhóm 1</t>
        </is>
      </c>
      <c r="AS272" s="202" t="n"/>
      <c r="AT272" s="202" t="inlineStr">
        <is>
          <t>HM06</t>
        </is>
      </c>
      <c r="AU272" s="202" t="inlineStr">
        <is>
          <t>PL02</t>
        </is>
      </c>
      <c r="AV272" s="202" t="n">
        <v>25</v>
      </c>
      <c r="AW272" s="202" t="n">
        <v>1</v>
      </c>
      <c r="AX272" s="202" t="n"/>
    </row>
    <row r="273">
      <c r="A273" s="56" t="inlineStr">
        <is>
          <t>BBK721</t>
        </is>
      </c>
      <c r="B273" s="56" t="inlineStr">
        <is>
          <t>PL02a</t>
        </is>
      </c>
      <c r="C273" s="56" t="inlineStr">
        <is>
          <t>BBK721.0277168</t>
        </is>
      </c>
      <c r="D273" s="57" t="n"/>
      <c r="E273" s="57" t="n"/>
      <c r="F273" s="57" t="n"/>
      <c r="G273" s="57" t="n"/>
      <c r="H273" s="57" t="n"/>
      <c r="J273" s="198" t="inlineStr">
        <is>
          <t>08</t>
        </is>
      </c>
      <c r="K273" s="198" t="inlineStr">
        <is>
          <t>PL02a</t>
        </is>
      </c>
      <c r="L273" s="199" t="inlineStr">
        <is>
          <t>Kiểm tra ống vách thi công trước khi hạ</t>
        </is>
      </c>
      <c r="M273" s="199" t="n"/>
      <c r="N273" s="199" t="n"/>
      <c r="O273" s="200" t="inlineStr">
        <is>
          <t>Cầu Km19+529.080</t>
        </is>
      </c>
      <c r="P273" s="201" t="n"/>
      <c r="Q273" s="201" t="n"/>
      <c r="R273" s="201" t="n"/>
      <c r="S273" s="201">
        <f>S272</f>
        <v/>
      </c>
      <c r="T273" s="201" t="n"/>
      <c r="U273" s="201" t="n"/>
      <c r="V273" s="201" t="n"/>
      <c r="W273" s="202" t="n"/>
      <c r="X273" s="202" t="n"/>
      <c r="Y273" s="202" t="n"/>
      <c r="Z273" s="198" t="inlineStr">
        <is>
          <t>02a</t>
        </is>
      </c>
      <c r="AA273" s="203" t="n"/>
      <c r="AB273" s="204" t="inlineStr">
        <is>
          <t>09-XL-307HG/PYCNT/CKN/M1/C3-1</t>
        </is>
      </c>
      <c r="AC273" s="204">
        <f>AC272</f>
        <v/>
      </c>
      <c r="AD273" s="204" t="n"/>
      <c r="AE273" s="204" t="n"/>
      <c r="AF273" s="204" t="n"/>
      <c r="AG273" s="204" t="n"/>
      <c r="AH273" s="204" t="n"/>
      <c r="AI273" s="207" t="n"/>
      <c r="AJ273" s="202" t="n"/>
      <c r="AK273" s="206" t="n"/>
      <c r="AL273" s="202" t="n"/>
      <c r="AM273" s="202" t="n"/>
      <c r="AN273" s="202" t="n"/>
      <c r="AO273" s="202" t="n"/>
      <c r="AP273" s="207" t="n"/>
      <c r="AQ273" s="207" t="n"/>
      <c r="AR273" s="202" t="inlineStr">
        <is>
          <t>Nhóm 1</t>
        </is>
      </c>
      <c r="AS273" s="202" t="n"/>
      <c r="AT273" s="202" t="inlineStr">
        <is>
          <t>HM06</t>
        </is>
      </c>
      <c r="AU273" s="202" t="inlineStr">
        <is>
          <t>PL02a</t>
        </is>
      </c>
      <c r="AV273" s="202" t="n">
        <v>24</v>
      </c>
      <c r="AW273" s="202" t="n">
        <v>1</v>
      </c>
      <c r="AX273" s="202" t="n"/>
    </row>
    <row r="274" ht="28" customHeight="1" s="672">
      <c r="A274" s="56" t="inlineStr">
        <is>
          <t>NTCV</t>
        </is>
      </c>
      <c r="B274" s="56" t="inlineStr">
        <is>
          <t>K.9999</t>
        </is>
      </c>
      <c r="C274" s="56" t="inlineStr">
        <is>
          <t>NTCV.0356586</t>
        </is>
      </c>
      <c r="D274" s="57" t="n"/>
      <c r="E274" s="57" t="n"/>
      <c r="F274" s="57" t="n"/>
      <c r="G274" s="57" t="n"/>
      <c r="H274" s="57" t="n"/>
      <c r="J274" s="209" t="inlineStr">
        <is>
          <t>09</t>
        </is>
      </c>
      <c r="K274" s="209" t="inlineStr">
        <is>
          <t>K.9999</t>
        </is>
      </c>
      <c r="L274" s="210" t="inlineStr">
        <is>
          <t>Kiểm tra định vị tim cọc khoan nhồi, hạ ống vách thi công</t>
        </is>
      </c>
      <c r="M274" s="210" t="n"/>
      <c r="N274" s="210" t="n"/>
      <c r="O274" s="211" t="inlineStr">
        <is>
          <t>Cầu Km19+529.080</t>
        </is>
      </c>
      <c r="P274" s="212">
        <f>S271</f>
        <v/>
      </c>
      <c r="Q274" s="212">
        <f>P274</f>
        <v/>
      </c>
      <c r="R274" s="212">
        <f>Q274-1</f>
        <v/>
      </c>
      <c r="S274" s="212">
        <f>Q274</f>
        <v/>
      </c>
      <c r="T274" s="213">
        <f>U271</f>
        <v/>
      </c>
      <c r="U274" s="213">
        <f>T274+V274</f>
        <v/>
      </c>
      <c r="V274" s="213" t="n">
        <v>0.02083333333333333</v>
      </c>
      <c r="W274" s="214">
        <f>TEXT(T274,"HH""h""MM'")&amp;"÷"&amp;TEXT(U274,"HH""h""MM'")</f>
        <v/>
      </c>
      <c r="X274" s="214" t="n"/>
      <c r="Y274" s="214" t="n"/>
      <c r="Z274" s="214" t="inlineStr">
        <is>
          <t>03;</t>
        </is>
      </c>
      <c r="AA274" s="215" t="inlineStr">
        <is>
          <t>Kiểm tra định vị Cọc khoan nhồi Mố M1 - Cọc C3</t>
        </is>
      </c>
      <c r="AB274" s="204" t="inlineStr">
        <is>
          <t>09-XL-307HG/PYCNT/CKN/M1/C3-1</t>
        </is>
      </c>
      <c r="AC274" s="204" t="inlineStr">
        <is>
          <t>09-XL-307HG/BBNT/CKN/M1/C3-3</t>
        </is>
      </c>
      <c r="AD274" s="204" t="n"/>
      <c r="AE274" s="204" t="n"/>
      <c r="AF274" s="204" t="n"/>
      <c r="AG274" s="204" t="n"/>
      <c r="AH274" s="204" t="n"/>
      <c r="AI274" s="216" t="n"/>
      <c r="AJ274" s="214" t="n"/>
      <c r="AK274" s="217" t="n"/>
      <c r="AL274" s="214" t="n"/>
      <c r="AM274" s="214" t="n"/>
      <c r="AN274" s="214" t="n"/>
      <c r="AO274" s="214" t="n"/>
      <c r="AP274" s="216" t="n"/>
      <c r="AQ274" s="216" t="n"/>
      <c r="AR274" s="214" t="inlineStr">
        <is>
          <t>Nhóm 1</t>
        </is>
      </c>
      <c r="AS274" s="214" t="n"/>
      <c r="AT274" s="214" t="inlineStr">
        <is>
          <t>HM06</t>
        </is>
      </c>
      <c r="AU274" s="214" t="inlineStr">
        <is>
          <t>NTCV</t>
        </is>
      </c>
      <c r="AV274" s="214" t="n">
        <v>314</v>
      </c>
      <c r="AW274" s="214" t="n">
        <v>2</v>
      </c>
      <c r="AX274" s="214" t="n"/>
    </row>
    <row r="275" ht="28" customHeight="1" s="672">
      <c r="A275" s="56" t="inlineStr">
        <is>
          <t>BBK478</t>
        </is>
      </c>
      <c r="B275" s="56" t="inlineStr">
        <is>
          <t>PL03</t>
        </is>
      </c>
      <c r="C275" s="56" t="inlineStr">
        <is>
          <t>BBK478.0433457</t>
        </is>
      </c>
      <c r="D275" s="57" t="n"/>
      <c r="E275" s="57" t="n"/>
      <c r="F275" s="57" t="n"/>
      <c r="G275" s="57" t="n"/>
      <c r="H275" s="57" t="n"/>
      <c r="J275" s="198" t="inlineStr">
        <is>
          <t>10</t>
        </is>
      </c>
      <c r="K275" s="198" t="inlineStr">
        <is>
          <t>PL03</t>
        </is>
      </c>
      <c r="L275" s="199" t="inlineStr">
        <is>
          <t>Kiểm tra định vị tim cọc khoan nhồi, hạ ống vách thi công</t>
        </is>
      </c>
      <c r="M275" s="199" t="n"/>
      <c r="N275" s="199" t="n"/>
      <c r="O275" s="200" t="inlineStr">
        <is>
          <t>Cầu Km19+529.080</t>
        </is>
      </c>
      <c r="P275" s="201" t="n"/>
      <c r="Q275" s="201" t="n"/>
      <c r="R275" s="201" t="n"/>
      <c r="S275" s="201">
        <f>S274</f>
        <v/>
      </c>
      <c r="T275" s="201" t="n"/>
      <c r="U275" s="201" t="n"/>
      <c r="V275" s="201" t="n"/>
      <c r="W275" s="202" t="n"/>
      <c r="X275" s="202" t="n"/>
      <c r="Y275" s="202" t="n"/>
      <c r="Z275" s="198" t="inlineStr">
        <is>
          <t>03</t>
        </is>
      </c>
      <c r="AA275" s="203" t="n"/>
      <c r="AB275" s="204" t="inlineStr">
        <is>
          <t>09-XL-307HG/PYCNT/CKN/M1/C3-1</t>
        </is>
      </c>
      <c r="AC275" s="204">
        <f>AC274</f>
        <v/>
      </c>
      <c r="AD275" s="204" t="n">
        <v>2481722.674</v>
      </c>
      <c r="AE275" s="204" t="n">
        <v>382383.323</v>
      </c>
      <c r="AF275" s="204" t="n">
        <v>193.084</v>
      </c>
      <c r="AG275" s="204" t="n"/>
      <c r="AH275" s="204" t="inlineStr">
        <is>
          <t>&gt;=40;&lt;=58</t>
        </is>
      </c>
      <c r="AI275" s="207" t="n"/>
      <c r="AJ275" s="202" t="n"/>
      <c r="AK275" s="206" t="n"/>
      <c r="AL275" s="202" t="n"/>
      <c r="AM275" s="202" t="n"/>
      <c r="AN275" s="202" t="n"/>
      <c r="AO275" s="202" t="n"/>
      <c r="AP275" s="207" t="n"/>
      <c r="AQ275" s="207" t="n"/>
      <c r="AR275" s="202" t="inlineStr">
        <is>
          <t>Nhóm 1</t>
        </is>
      </c>
      <c r="AS275" s="202" t="n"/>
      <c r="AT275" s="202" t="inlineStr">
        <is>
          <t>HM06</t>
        </is>
      </c>
      <c r="AU275" s="202" t="inlineStr">
        <is>
          <t>PL03</t>
        </is>
      </c>
      <c r="AV275" s="202" t="n">
        <v>24</v>
      </c>
      <c r="AW275" s="202" t="n">
        <v>1</v>
      </c>
      <c r="AX275" s="202" t="n"/>
    </row>
    <row r="276" ht="28" customHeight="1" s="672">
      <c r="A276" s="56" t="inlineStr">
        <is>
          <t>NTCV</t>
        </is>
      </c>
      <c r="B276" s="56" t="inlineStr">
        <is>
          <t>K.9999</t>
        </is>
      </c>
      <c r="C276" s="56" t="inlineStr">
        <is>
          <t>NTCV.0944971</t>
        </is>
      </c>
      <c r="D276" s="57" t="n"/>
      <c r="E276" s="57" t="n"/>
      <c r="F276" s="57" t="n"/>
      <c r="G276" s="57" t="n"/>
      <c r="H276" s="57" t="n"/>
      <c r="J276" s="209" t="inlineStr">
        <is>
          <t>11</t>
        </is>
      </c>
      <c r="K276" s="209" t="inlineStr">
        <is>
          <t>K.9999</t>
        </is>
      </c>
      <c r="L276" s="210" t="inlineStr">
        <is>
          <t>Nghiệm thu lồng thép cọc khoan nhồi trước khi hạ</t>
        </is>
      </c>
      <c r="M276" s="210" t="n"/>
      <c r="N276" s="210" t="n"/>
      <c r="O276" s="211" t="inlineStr">
        <is>
          <t>Cầu Km19+529.080</t>
        </is>
      </c>
      <c r="P276" s="212">
        <f>S274</f>
        <v/>
      </c>
      <c r="Q276" s="212">
        <f>P276</f>
        <v/>
      </c>
      <c r="R276" s="212">
        <f>Q276-1</f>
        <v/>
      </c>
      <c r="S276" s="212">
        <f>Q276</f>
        <v/>
      </c>
      <c r="T276" s="213">
        <f>U274</f>
        <v/>
      </c>
      <c r="U276" s="213">
        <f>T276+V276</f>
        <v/>
      </c>
      <c r="V276" s="213" t="n">
        <v>0.02083333333333333</v>
      </c>
      <c r="W276" s="214">
        <f>TEXT(T276,"HH""h""MM'")&amp;"÷"&amp;TEXT(U276,"HH""h""MM'")</f>
        <v/>
      </c>
      <c r="X276" s="214" t="n"/>
      <c r="Y276" s="214" t="n"/>
      <c r="Z276" s="214" t="inlineStr">
        <is>
          <t>04;</t>
        </is>
      </c>
      <c r="AA276" s="215" t="inlineStr">
        <is>
          <t>Nghiệm thu lồng thép Cọc khoan nhồi Mố M1 - Cọc C3</t>
        </is>
      </c>
      <c r="AB276" s="204" t="inlineStr">
        <is>
          <t>09-XL-307HG/PYCNT/CKN/M1/C3-1</t>
        </is>
      </c>
      <c r="AC276" s="204" t="inlineStr">
        <is>
          <t>09-XL-307HG/BBNT/CKN/M1/C3-4</t>
        </is>
      </c>
      <c r="AD276" s="204" t="n"/>
      <c r="AE276" s="204" t="n"/>
      <c r="AF276" s="204" t="n"/>
      <c r="AG276" s="204" t="n"/>
      <c r="AH276" s="204" t="n"/>
      <c r="AI276" s="216" t="n"/>
      <c r="AJ276" s="214" t="n"/>
      <c r="AK276" s="217" t="n"/>
      <c r="AL276" s="214" t="n"/>
      <c r="AM276" s="214" t="n"/>
      <c r="AN276" s="214" t="n"/>
      <c r="AO276" s="214" t="n"/>
      <c r="AP276" s="216" t="n"/>
      <c r="AQ276" s="216" t="n"/>
      <c r="AR276" s="214" t="inlineStr">
        <is>
          <t>Nhóm 1</t>
        </is>
      </c>
      <c r="AS276" s="214" t="n"/>
      <c r="AT276" s="214" t="inlineStr">
        <is>
          <t>HM06</t>
        </is>
      </c>
      <c r="AU276" s="214" t="inlineStr">
        <is>
          <t>NTCV</t>
        </is>
      </c>
      <c r="AV276" s="214" t="n">
        <v>317</v>
      </c>
      <c r="AW276" s="214" t="n">
        <v>3</v>
      </c>
      <c r="AX276" s="214" t="n"/>
    </row>
    <row r="277">
      <c r="A277" s="56" t="inlineStr">
        <is>
          <t>BBK096</t>
        </is>
      </c>
      <c r="B277" s="56" t="inlineStr">
        <is>
          <t>PL04</t>
        </is>
      </c>
      <c r="C277" s="56" t="inlineStr">
        <is>
          <t>BBK096.0121549</t>
        </is>
      </c>
      <c r="D277" s="57" t="n"/>
      <c r="E277" s="57" t="n"/>
      <c r="F277" s="57" t="n"/>
      <c r="G277" s="57" t="n"/>
      <c r="H277" s="57" t="n"/>
      <c r="J277" s="198" t="inlineStr">
        <is>
          <t>12</t>
        </is>
      </c>
      <c r="K277" s="198" t="inlineStr">
        <is>
          <t>PL04</t>
        </is>
      </c>
      <c r="L277" s="199" t="inlineStr">
        <is>
          <t>Nghiệm thu lồng thép cọc khoan nhồi trước khi hạ</t>
        </is>
      </c>
      <c r="M277" s="199" t="n"/>
      <c r="N277" s="199" t="n"/>
      <c r="O277" s="200" t="inlineStr">
        <is>
          <t>Cầu Km19+529.080</t>
        </is>
      </c>
      <c r="P277" s="201" t="n"/>
      <c r="Q277" s="201" t="n"/>
      <c r="R277" s="201" t="n"/>
      <c r="S277" s="201">
        <f>S276</f>
        <v/>
      </c>
      <c r="T277" s="201" t="n"/>
      <c r="U277" s="201" t="n"/>
      <c r="V277" s="201" t="n"/>
      <c r="W277" s="202" t="n"/>
      <c r="X277" s="202" t="n"/>
      <c r="Y277" s="202" t="n"/>
      <c r="Z277" s="198" t="inlineStr">
        <is>
          <t>04</t>
        </is>
      </c>
      <c r="AA277" s="203" t="n"/>
      <c r="AB277" s="204" t="inlineStr">
        <is>
          <t>09-XL-307HG/PYCNT/CKN/M1/C3-1</t>
        </is>
      </c>
      <c r="AC277" s="204">
        <f>AC276</f>
        <v/>
      </c>
      <c r="AD277" s="204" t="n"/>
      <c r="AE277" s="204" t="n"/>
      <c r="AF277" s="204" t="n"/>
      <c r="AG277" s="204" t="n"/>
      <c r="AH277" s="204" t="inlineStr">
        <is>
          <t>M1</t>
        </is>
      </c>
      <c r="AI277" s="207" t="n"/>
      <c r="AJ277" s="202" t="n"/>
      <c r="AK277" s="206" t="n"/>
      <c r="AL277" s="202" t="n"/>
      <c r="AM277" s="202" t="n"/>
      <c r="AN277" s="202" t="n"/>
      <c r="AO277" s="202" t="n"/>
      <c r="AP277" s="207" t="n"/>
      <c r="AQ277" s="207" t="n"/>
      <c r="AR277" s="202" t="inlineStr">
        <is>
          <t>Nhóm 1</t>
        </is>
      </c>
      <c r="AS277" s="202" t="n"/>
      <c r="AT277" s="202" t="inlineStr">
        <is>
          <t>HM06</t>
        </is>
      </c>
      <c r="AU277" s="202" t="inlineStr">
        <is>
          <t>PL04</t>
        </is>
      </c>
      <c r="AV277" s="202" t="n">
        <v>24</v>
      </c>
      <c r="AW277" s="202" t="n">
        <v>1</v>
      </c>
      <c r="AX277" s="202" t="n"/>
    </row>
    <row r="278" ht="28" customHeight="1" s="672">
      <c r="A278" s="56" t="inlineStr">
        <is>
          <t>NTCV</t>
        </is>
      </c>
      <c r="B278" s="56" t="inlineStr">
        <is>
          <t>K.9999</t>
        </is>
      </c>
      <c r="C278" s="56" t="inlineStr">
        <is>
          <t>NTCV.0645951</t>
        </is>
      </c>
      <c r="D278" s="57" t="n"/>
      <c r="E278" s="57" t="n"/>
      <c r="F278" s="57" t="n"/>
      <c r="G278" s="57" t="n"/>
      <c r="H278" s="57" t="n"/>
      <c r="J278" s="209" t="inlineStr">
        <is>
          <t>13</t>
        </is>
      </c>
      <c r="K278" s="209" t="inlineStr">
        <is>
          <t>K.9999</t>
        </is>
      </c>
      <c r="L278" s="210" t="inlineStr">
        <is>
          <t xml:space="preserve">Kiểm tra công tác khoan tạo lỗ cọc khoan nhồi </t>
        </is>
      </c>
      <c r="M278" s="210" t="n"/>
      <c r="N278" s="210" t="n"/>
      <c r="O278" s="211" t="inlineStr">
        <is>
          <t>Cầu Km19+529.080</t>
        </is>
      </c>
      <c r="P278" s="212">
        <f>S276</f>
        <v/>
      </c>
      <c r="Q278" s="212">
        <f>P278</f>
        <v/>
      </c>
      <c r="R278" s="212">
        <f>Q278-1</f>
        <v/>
      </c>
      <c r="S278" s="212">
        <f>Q278</f>
        <v/>
      </c>
      <c r="T278" s="213">
        <f>U276</f>
        <v/>
      </c>
      <c r="U278" s="213">
        <f>T278+V278</f>
        <v/>
      </c>
      <c r="V278" s="213" t="n">
        <v>0.25</v>
      </c>
      <c r="W278" s="214">
        <f>TEXT(T278,"HH""h""MM'")&amp;"÷"&amp;TEXT(U278,"HH""h""MM'")</f>
        <v/>
      </c>
      <c r="X278" s="214" t="n"/>
      <c r="Y278" s="214" t="n"/>
      <c r="Z278" s="214" t="inlineStr">
        <is>
          <t>05;</t>
        </is>
      </c>
      <c r="AA278" s="215" t="inlineStr">
        <is>
          <t>Kiểm tra công tác khoan tạo lỗ Cọc khoan nhồi Mố M1 - Cọc C3</t>
        </is>
      </c>
      <c r="AB278" s="204" t="inlineStr">
        <is>
          <t>09-XL-307HG/PYCNT/CKN/M1/C3-1</t>
        </is>
      </c>
      <c r="AC278" s="204" t="inlineStr">
        <is>
          <t>09-XL-307HG/BBNT/CKN/M1/C3-5</t>
        </is>
      </c>
      <c r="AD278" s="204" t="n"/>
      <c r="AE278" s="204" t="n"/>
      <c r="AF278" s="204" t="n"/>
      <c r="AG278" s="204" t="n"/>
      <c r="AH278" s="204" t="n"/>
      <c r="AI278" s="216" t="n"/>
      <c r="AJ278" s="214" t="n"/>
      <c r="AK278" s="217" t="n"/>
      <c r="AL278" s="214" t="n"/>
      <c r="AM278" s="214" t="n"/>
      <c r="AN278" s="214" t="n"/>
      <c r="AO278" s="214" t="n"/>
      <c r="AP278" s="216" t="n"/>
      <c r="AQ278" s="216" t="n"/>
      <c r="AR278" s="214" t="inlineStr">
        <is>
          <t>Nhóm 1</t>
        </is>
      </c>
      <c r="AS278" s="214" t="n"/>
      <c r="AT278" s="214" t="inlineStr">
        <is>
          <t>HM06</t>
        </is>
      </c>
      <c r="AU278" s="214" t="inlineStr">
        <is>
          <t>NTCV</t>
        </is>
      </c>
      <c r="AV278" s="214" t="n">
        <v>320</v>
      </c>
      <c r="AW278" s="214" t="n">
        <v>4</v>
      </c>
      <c r="AX278" s="214" t="n"/>
    </row>
    <row r="279">
      <c r="A279" s="56" t="inlineStr">
        <is>
          <t>BBK638</t>
        </is>
      </c>
      <c r="B279" s="56" t="inlineStr">
        <is>
          <t>PL05</t>
        </is>
      </c>
      <c r="C279" s="56" t="inlineStr">
        <is>
          <t>BBK638.0347832</t>
        </is>
      </c>
      <c r="D279" s="57" t="n"/>
      <c r="E279" s="57" t="n"/>
      <c r="F279" s="57" t="n"/>
      <c r="G279" s="57" t="n"/>
      <c r="H279" s="57" t="n"/>
      <c r="J279" s="198" t="inlineStr">
        <is>
          <t>14</t>
        </is>
      </c>
      <c r="K279" s="198" t="inlineStr">
        <is>
          <t>PL05</t>
        </is>
      </c>
      <c r="L279" s="199" t="inlineStr">
        <is>
          <t>Kiểm tra công tác khoan tạo lỗ cọc khoan nhồi</t>
        </is>
      </c>
      <c r="M279" s="199" t="n"/>
      <c r="N279" s="199" t="n"/>
      <c r="O279" s="200" t="inlineStr">
        <is>
          <t>Cầu Km19+529.080</t>
        </is>
      </c>
      <c r="P279" s="201" t="n"/>
      <c r="Q279" s="201" t="n"/>
      <c r="R279" s="201" t="n"/>
      <c r="S279" s="201">
        <f>S278</f>
        <v/>
      </c>
      <c r="T279" s="208">
        <f>T278</f>
        <v/>
      </c>
      <c r="U279" s="208" t="n">
        <v>0.625</v>
      </c>
      <c r="V279" s="208">
        <f>U279-T279</f>
        <v/>
      </c>
      <c r="W279" s="202" t="n"/>
      <c r="X279" s="202" t="n"/>
      <c r="Y279" s="202" t="n"/>
      <c r="Z279" s="198" t="inlineStr">
        <is>
          <t>05</t>
        </is>
      </c>
      <c r="AA279" s="203" t="n"/>
      <c r="AB279" s="204" t="inlineStr">
        <is>
          <t>09-XL-307HG/PYCNT/CKN/M1/C3</t>
        </is>
      </c>
      <c r="AC279" s="204">
        <f>AC278</f>
        <v/>
      </c>
      <c r="AD279" s="204" t="n"/>
      <c r="AE279" s="204" t="n"/>
      <c r="AF279" s="204" t="n">
        <v>193.084</v>
      </c>
      <c r="AG279" s="204" t="n"/>
      <c r="AH279" s="204" t="inlineStr">
        <is>
          <t>M1-C3</t>
        </is>
      </c>
      <c r="AI279" s="207" t="n"/>
      <c r="AJ279" s="202" t="n"/>
      <c r="AK279" s="206" t="n"/>
      <c r="AL279" s="202" t="n"/>
      <c r="AM279" s="202" t="n"/>
      <c r="AN279" s="202" t="n"/>
      <c r="AO279" s="202" t="n"/>
      <c r="AP279" s="207" t="n"/>
      <c r="AQ279" s="207" t="n"/>
      <c r="AR279" s="202" t="inlineStr">
        <is>
          <t>Nhóm 1</t>
        </is>
      </c>
      <c r="AS279" s="202" t="n"/>
      <c r="AT279" s="202" t="inlineStr">
        <is>
          <t>HM06</t>
        </is>
      </c>
      <c r="AU279" s="202" t="inlineStr">
        <is>
          <t>PL05</t>
        </is>
      </c>
      <c r="AV279" s="202" t="n">
        <v>24</v>
      </c>
      <c r="AW279" s="202" t="n">
        <v>1</v>
      </c>
      <c r="AX279" s="202" t="n"/>
    </row>
    <row r="280">
      <c r="A280" s="56" t="inlineStr">
        <is>
          <t>BBK680</t>
        </is>
      </c>
      <c r="B280" s="56" t="inlineStr">
        <is>
          <t>PYC</t>
        </is>
      </c>
      <c r="C280" s="56" t="inlineStr">
        <is>
          <t>BBK680.0104432</t>
        </is>
      </c>
      <c r="D280" s="57" t="n"/>
      <c r="E280" s="57" t="n"/>
      <c r="F280" s="57" t="n"/>
      <c r="G280" s="57" t="n"/>
      <c r="H280" s="57" t="n"/>
      <c r="J280" s="198" t="inlineStr">
        <is>
          <t>15</t>
        </is>
      </c>
      <c r="K280" s="198" t="inlineStr">
        <is>
          <t>PYC</t>
        </is>
      </c>
      <c r="L280" s="199" t="inlineStr">
        <is>
          <t>Phiếu yêu cầu nghiệm thu</t>
        </is>
      </c>
      <c r="M280" s="199" t="n"/>
      <c r="N280" s="199" t="n"/>
      <c r="O280" s="200" t="inlineStr">
        <is>
          <t>Cầu Km19+529.080</t>
        </is>
      </c>
      <c r="P280" s="201" t="n"/>
      <c r="Q280" s="201" t="n"/>
      <c r="R280" s="201">
        <f>R281</f>
        <v/>
      </c>
      <c r="S280" s="201" t="n"/>
      <c r="T280" s="201" t="n"/>
      <c r="U280" s="201" t="n"/>
      <c r="V280" s="201" t="n"/>
      <c r="W280" s="202" t="n"/>
      <c r="X280" s="202" t="n"/>
      <c r="Y280" s="202" t="n"/>
      <c r="Z280" s="202" t="n"/>
      <c r="AA280" s="203" t="n"/>
      <c r="AB280" s="204" t="inlineStr">
        <is>
          <t>09-XL-307HG/PYCNT/CKN/M1/C3</t>
        </is>
      </c>
      <c r="AC280" s="205" t="inlineStr"/>
      <c r="AD280" s="205" t="n"/>
      <c r="AE280" s="205" t="n"/>
      <c r="AF280" s="205" t="n"/>
      <c r="AG280" s="205" t="inlineStr">
        <is>
          <t>NTCV;BBKTĐK</t>
        </is>
      </c>
      <c r="AH280" s="204" t="inlineStr">
        <is>
          <t>&gt;=6;&lt;=10</t>
        </is>
      </c>
      <c r="AI280" s="202" t="n"/>
      <c r="AJ280" s="202" t="n"/>
      <c r="AK280" s="206" t="n"/>
      <c r="AL280" s="202" t="n"/>
      <c r="AM280" s="202" t="n"/>
      <c r="AN280" s="202" t="n"/>
      <c r="AO280" s="202" t="n"/>
      <c r="AP280" s="207" t="n"/>
      <c r="AQ280" s="207" t="n"/>
      <c r="AR280" s="202" t="inlineStr">
        <is>
          <t>Nhóm 1</t>
        </is>
      </c>
      <c r="AS280" s="202" t="n"/>
      <c r="AT280" s="202" t="inlineStr">
        <is>
          <t>HM06</t>
        </is>
      </c>
      <c r="AU280" s="202" t="inlineStr">
        <is>
          <t>PYC</t>
        </is>
      </c>
      <c r="AV280" s="202" t="n">
        <v>150</v>
      </c>
      <c r="AW280" s="202" t="n">
        <v>2</v>
      </c>
      <c r="AX280" s="202" t="n"/>
    </row>
    <row r="281" ht="42" customHeight="1" s="672">
      <c r="A281" s="56" t="inlineStr">
        <is>
          <t>NTCV</t>
        </is>
      </c>
      <c r="B281" s="56" t="inlineStr">
        <is>
          <t>K.9999</t>
        </is>
      </c>
      <c r="C281" s="56" t="inlineStr">
        <is>
          <t>NTCV.0185402</t>
        </is>
      </c>
      <c r="D281" s="57" t="n"/>
      <c r="E281" s="57" t="n"/>
      <c r="F281" s="57" t="n"/>
      <c r="G281" s="57" t="n"/>
      <c r="H281" s="57" t="n"/>
      <c r="J281" s="209" t="inlineStr">
        <is>
          <t>16</t>
        </is>
      </c>
      <c r="K281" s="209" t="inlineStr">
        <is>
          <t>K.9999</t>
        </is>
      </c>
      <c r="L281" s="210" t="inlineStr">
        <is>
          <t>Kiểm tra công tác vệ sinh lỗ khoan trước khi hạ lồng cốt thép cọc khoan nhồi</t>
        </is>
      </c>
      <c r="M281" s="210" t="n"/>
      <c r="N281" s="210" t="n"/>
      <c r="O281" s="211" t="inlineStr">
        <is>
          <t>Cầu Km19+529.080</t>
        </is>
      </c>
      <c r="P281" s="212">
        <f>S278+1</f>
        <v/>
      </c>
      <c r="Q281" s="212">
        <f>P281</f>
        <v/>
      </c>
      <c r="R281" s="212">
        <f>Q281-1</f>
        <v/>
      </c>
      <c r="S281" s="212">
        <f>Q281</f>
        <v/>
      </c>
      <c r="T281" s="213" t="n">
        <v>0.3541666666666667</v>
      </c>
      <c r="U281" s="213">
        <f>T281+V281</f>
        <v/>
      </c>
      <c r="V281" s="213" t="n">
        <v>0.01736111111111111</v>
      </c>
      <c r="W281" s="214">
        <f>TEXT(T281,"HH""h""MM'")&amp;"÷"&amp;TEXT(U281,"HH""h""MM'")</f>
        <v/>
      </c>
      <c r="X281" s="214" t="n"/>
      <c r="Y281" s="214" t="n"/>
      <c r="Z281" s="214" t="inlineStr">
        <is>
          <t>06;</t>
        </is>
      </c>
      <c r="AA281" s="215" t="inlineStr">
        <is>
          <t>Kiểm tra công tác vệ sinh lỗ khoan trước khi hạ lồng cốt thép Cọc khoan nhồi Mố M1 - Cọc C3</t>
        </is>
      </c>
      <c r="AB281" s="204" t="inlineStr">
        <is>
          <t>09-XL-307HG/PYCNT/CKN/M1/C3-2</t>
        </is>
      </c>
      <c r="AC281" s="204" t="inlineStr">
        <is>
          <t>09-XL-307HG/BBNT/CKN/M1/C3-6</t>
        </is>
      </c>
      <c r="AD281" s="204" t="n"/>
      <c r="AE281" s="204" t="n"/>
      <c r="AF281" s="204" t="n"/>
      <c r="AG281" s="204" t="n"/>
      <c r="AH281" s="204" t="n"/>
      <c r="AI281" s="216" t="n"/>
      <c r="AJ281" s="214" t="n"/>
      <c r="AK281" s="217" t="n"/>
      <c r="AL281" s="214" t="n"/>
      <c r="AM281" s="214" t="n"/>
      <c r="AN281" s="214" t="n"/>
      <c r="AO281" s="214" t="n"/>
      <c r="AP281" s="216" t="n"/>
      <c r="AQ281" s="216" t="n"/>
      <c r="AR281" s="214" t="inlineStr">
        <is>
          <t>Nhóm 1</t>
        </is>
      </c>
      <c r="AS281" s="214" t="n"/>
      <c r="AT281" s="214" t="inlineStr">
        <is>
          <t>HM06</t>
        </is>
      </c>
      <c r="AU281" s="214" t="inlineStr">
        <is>
          <t>NTCV</t>
        </is>
      </c>
      <c r="AV281" s="214" t="n">
        <v>330</v>
      </c>
      <c r="AW281" s="214" t="n">
        <v>5</v>
      </c>
      <c r="AX281" s="214" t="n"/>
    </row>
    <row r="282" ht="28" customHeight="1" s="672">
      <c r="A282" s="56" t="inlineStr">
        <is>
          <t>BBK570</t>
        </is>
      </c>
      <c r="B282" s="56" t="inlineStr">
        <is>
          <t>PL06</t>
        </is>
      </c>
      <c r="C282" s="56" t="inlineStr">
        <is>
          <t>BBK570.0077684</t>
        </is>
      </c>
      <c r="D282" s="57" t="n"/>
      <c r="E282" s="57" t="n"/>
      <c r="F282" s="57" t="n"/>
      <c r="G282" s="57" t="n"/>
      <c r="H282" s="57" t="n"/>
      <c r="J282" s="198" t="inlineStr">
        <is>
          <t>17</t>
        </is>
      </c>
      <c r="K282" s="198" t="inlineStr">
        <is>
          <t>PL06</t>
        </is>
      </c>
      <c r="L282" s="199" t="inlineStr">
        <is>
          <t>Kiểm tra công tác vệ sinh lỗ khoan trước khi hạ lồng cốt thép cọc khoan nhồi</t>
        </is>
      </c>
      <c r="M282" s="199" t="n"/>
      <c r="N282" s="199" t="n"/>
      <c r="O282" s="200" t="inlineStr">
        <is>
          <t>Cầu Km19+529.080</t>
        </is>
      </c>
      <c r="P282" s="201" t="n"/>
      <c r="Q282" s="201" t="n"/>
      <c r="R282" s="201" t="n"/>
      <c r="S282" s="201">
        <f>S281</f>
        <v/>
      </c>
      <c r="T282" s="201" t="n"/>
      <c r="U282" s="201" t="n"/>
      <c r="V282" s="201" t="n"/>
      <c r="W282" s="202" t="n"/>
      <c r="X282" s="202" t="n">
        <v>171.084</v>
      </c>
      <c r="Y282" s="202">
        <f>X282-0.02</f>
        <v/>
      </c>
      <c r="Z282" s="198" t="inlineStr">
        <is>
          <t>06</t>
        </is>
      </c>
      <c r="AA282" s="203" t="n"/>
      <c r="AB282" s="204" t="inlineStr">
        <is>
          <t>09-XL-307HG/PYCNT/CKN/M1/C3-2</t>
        </is>
      </c>
      <c r="AC282" s="204">
        <f>AC281</f>
        <v/>
      </c>
      <c r="AD282" s="204" t="n"/>
      <c r="AE282" s="204" t="n"/>
      <c r="AF282" s="204" t="n"/>
      <c r="AG282" s="204" t="n"/>
      <c r="AH282" s="204" t="n"/>
      <c r="AI282" s="202" t="n"/>
      <c r="AJ282" s="202" t="n"/>
      <c r="AK282" s="206" t="n"/>
      <c r="AL282" s="202" t="n"/>
      <c r="AM282" s="202" t="n"/>
      <c r="AN282" s="202" t="n"/>
      <c r="AO282" s="202" t="n"/>
      <c r="AP282" s="207" t="n"/>
      <c r="AQ282" s="207" t="n"/>
      <c r="AR282" s="202" t="inlineStr">
        <is>
          <t>Nhóm 1</t>
        </is>
      </c>
      <c r="AS282" s="202" t="n"/>
      <c r="AT282" s="202" t="inlineStr">
        <is>
          <t>HM06</t>
        </is>
      </c>
      <c r="AU282" s="202" t="inlineStr">
        <is>
          <t>PL06</t>
        </is>
      </c>
      <c r="AV282" s="202" t="n">
        <v>24</v>
      </c>
      <c r="AW282" s="202" t="n">
        <v>1</v>
      </c>
      <c r="AX282" s="202" t="n"/>
    </row>
    <row r="283" ht="28" customHeight="1" s="672">
      <c r="A283" s="56" t="inlineStr">
        <is>
          <t>NTCV</t>
        </is>
      </c>
      <c r="B283" s="56" t="inlineStr">
        <is>
          <t>K.9999</t>
        </is>
      </c>
      <c r="C283" s="56" t="inlineStr">
        <is>
          <t>NTCV.0432759</t>
        </is>
      </c>
      <c r="D283" s="57" t="n"/>
      <c r="E283" s="57" t="n"/>
      <c r="F283" s="57" t="n"/>
      <c r="G283" s="57" t="n"/>
      <c r="H283" s="57" t="n"/>
      <c r="J283" s="209" t="inlineStr">
        <is>
          <t>18</t>
        </is>
      </c>
      <c r="K283" s="209" t="inlineStr">
        <is>
          <t>K.9999</t>
        </is>
      </c>
      <c r="L283" s="210" t="inlineStr">
        <is>
          <t xml:space="preserve">Nghiệm thu công tác hạ lồng thép </t>
        </is>
      </c>
      <c r="M283" s="210" t="n"/>
      <c r="N283" s="210" t="n"/>
      <c r="O283" s="211" t="inlineStr">
        <is>
          <t>Cầu Km19+529.080</t>
        </is>
      </c>
      <c r="P283" s="212">
        <f>S281</f>
        <v/>
      </c>
      <c r="Q283" s="212">
        <f>P283</f>
        <v/>
      </c>
      <c r="R283" s="212">
        <f>Q283-1</f>
        <v/>
      </c>
      <c r="S283" s="212">
        <f>Q283</f>
        <v/>
      </c>
      <c r="T283" s="213">
        <f>U281</f>
        <v/>
      </c>
      <c r="U283" s="213">
        <f>T283+V283</f>
        <v/>
      </c>
      <c r="V283" s="213" t="n">
        <v>0.03125</v>
      </c>
      <c r="W283" s="214">
        <f>TEXT(T283,"HH""h""MM'")&amp;"÷"&amp;TEXT(U283,"HH""h""MM'")</f>
        <v/>
      </c>
      <c r="X283" s="214" t="n"/>
      <c r="Y283" s="214" t="n"/>
      <c r="Z283" s="214" t="inlineStr">
        <is>
          <t>07;</t>
        </is>
      </c>
      <c r="AA283" s="215" t="inlineStr">
        <is>
          <t>Công tác hạ lồng thép Cọc khoan nhồi Mố M1 - Cọc C3</t>
        </is>
      </c>
      <c r="AB283" s="204" t="inlineStr">
        <is>
          <t>09-XL-307HG/PYCNT/CKN/M1/C3-2</t>
        </is>
      </c>
      <c r="AC283" s="204" t="inlineStr">
        <is>
          <t>09-XL-307HG/BBNT/CKN/M1/C3-7</t>
        </is>
      </c>
      <c r="AD283" s="204" t="n"/>
      <c r="AE283" s="204" t="n"/>
      <c r="AF283" s="204" t="n"/>
      <c r="AG283" s="204" t="n"/>
      <c r="AH283" s="204" t="n"/>
      <c r="AI283" s="214" t="n"/>
      <c r="AJ283" s="214" t="n"/>
      <c r="AK283" s="217" t="n"/>
      <c r="AL283" s="214" t="n"/>
      <c r="AM283" s="214" t="n"/>
      <c r="AN283" s="214" t="n"/>
      <c r="AO283" s="214" t="n"/>
      <c r="AP283" s="216" t="n"/>
      <c r="AQ283" s="216" t="n"/>
      <c r="AR283" s="214" t="inlineStr">
        <is>
          <t>Nhóm 1</t>
        </is>
      </c>
      <c r="AS283" s="214" t="n"/>
      <c r="AT283" s="214" t="inlineStr">
        <is>
          <t>HM06</t>
        </is>
      </c>
      <c r="AU283" s="214" t="inlineStr">
        <is>
          <t>NTCV</t>
        </is>
      </c>
      <c r="AV283" s="214" t="n">
        <v>333</v>
      </c>
      <c r="AW283" s="214" t="n">
        <v>6</v>
      </c>
      <c r="AX283" s="214" t="n"/>
    </row>
    <row r="284">
      <c r="A284" s="56" t="inlineStr">
        <is>
          <t>BBK396</t>
        </is>
      </c>
      <c r="B284" s="56" t="inlineStr">
        <is>
          <t>PL07</t>
        </is>
      </c>
      <c r="C284" s="56" t="inlineStr">
        <is>
          <t>BBK396.0959270</t>
        </is>
      </c>
      <c r="D284" s="57" t="n"/>
      <c r="E284" s="57" t="n"/>
      <c r="F284" s="57" t="n"/>
      <c r="G284" s="57" t="n"/>
      <c r="H284" s="57" t="n"/>
      <c r="J284" s="198" t="inlineStr">
        <is>
          <t>19</t>
        </is>
      </c>
      <c r="K284" s="198" t="inlineStr">
        <is>
          <t>PL07</t>
        </is>
      </c>
      <c r="L284" s="199" t="inlineStr">
        <is>
          <t>Nghiệm thu công tác hạ lồng thép</t>
        </is>
      </c>
      <c r="M284" s="199" t="n"/>
      <c r="N284" s="199" t="n"/>
      <c r="O284" s="200" t="inlineStr">
        <is>
          <t>Cầu Km19+529.080</t>
        </is>
      </c>
      <c r="P284" s="201" t="n"/>
      <c r="Q284" s="201" t="n"/>
      <c r="R284" s="201" t="n"/>
      <c r="S284" s="201">
        <f>S283</f>
        <v/>
      </c>
      <c r="T284" s="201" t="n"/>
      <c r="U284" s="201" t="n"/>
      <c r="V284" s="201" t="n"/>
      <c r="W284" s="202" t="n"/>
      <c r="X284" s="202" t="n"/>
      <c r="Y284" s="202" t="n"/>
      <c r="Z284" s="198" t="inlineStr">
        <is>
          <t>07</t>
        </is>
      </c>
      <c r="AA284" s="203" t="n"/>
      <c r="AB284" s="204" t="inlineStr">
        <is>
          <t>09-XL-307HG/PYCNT/CKN/M1/C3-2</t>
        </is>
      </c>
      <c r="AC284" s="204">
        <f>AC283</f>
        <v/>
      </c>
      <c r="AD284" s="204" t="n"/>
      <c r="AE284" s="204" t="n"/>
      <c r="AF284" s="204" t="n"/>
      <c r="AG284" s="204" t="n"/>
      <c r="AH284" s="204" t="n"/>
      <c r="AI284" s="202" t="n"/>
      <c r="AJ284" s="202" t="n"/>
      <c r="AK284" s="206" t="n"/>
      <c r="AL284" s="202" t="n"/>
      <c r="AM284" s="202" t="n"/>
      <c r="AN284" s="202" t="n"/>
      <c r="AO284" s="202" t="n"/>
      <c r="AP284" s="207" t="n"/>
      <c r="AQ284" s="207" t="n"/>
      <c r="AR284" s="202" t="inlineStr">
        <is>
          <t>Nhóm 1</t>
        </is>
      </c>
      <c r="AS284" s="202" t="n"/>
      <c r="AT284" s="202" t="inlineStr">
        <is>
          <t>HM06</t>
        </is>
      </c>
      <c r="AU284" s="202" t="inlineStr">
        <is>
          <t>PL07</t>
        </is>
      </c>
      <c r="AV284" s="202" t="n">
        <v>24</v>
      </c>
      <c r="AW284" s="202" t="n">
        <v>1</v>
      </c>
      <c r="AX284" s="202" t="n"/>
    </row>
    <row r="285" ht="42" customHeight="1" s="672">
      <c r="A285" s="56" t="inlineStr">
        <is>
          <t>NTCV</t>
        </is>
      </c>
      <c r="B285" s="56" t="inlineStr">
        <is>
          <t>K.9999</t>
        </is>
      </c>
      <c r="C285" s="56" t="inlineStr">
        <is>
          <t>NTCV.0542029</t>
        </is>
      </c>
      <c r="D285" s="57" t="n"/>
      <c r="E285" s="57" t="n"/>
      <c r="F285" s="57" t="n"/>
      <c r="G285" s="57" t="n"/>
      <c r="H285" s="57" t="n"/>
      <c r="J285" s="209" t="inlineStr">
        <is>
          <t>20</t>
        </is>
      </c>
      <c r="K285" s="209" t="inlineStr">
        <is>
          <t>K.9999</t>
        </is>
      </c>
      <c r="L285" s="210" t="inlineStr">
        <is>
          <t xml:space="preserve">Kiểm tra công tác vệ sinh lỗ khoan cọc khoan nhồi trước khi đổ bê tông </t>
        </is>
      </c>
      <c r="M285" s="210" t="n"/>
      <c r="N285" s="210" t="n"/>
      <c r="O285" s="211" t="inlineStr">
        <is>
          <t>Cầu Km19+529.080</t>
        </is>
      </c>
      <c r="P285" s="212">
        <f>S283</f>
        <v/>
      </c>
      <c r="Q285" s="212">
        <f>P285</f>
        <v/>
      </c>
      <c r="R285" s="212">
        <f>Q285-1</f>
        <v/>
      </c>
      <c r="S285" s="212">
        <f>Q285</f>
        <v/>
      </c>
      <c r="T285" s="213">
        <f>U283</f>
        <v/>
      </c>
      <c r="U285" s="213">
        <f>T285+V285</f>
        <v/>
      </c>
      <c r="V285" s="213" t="n">
        <v>0.02083333333333333</v>
      </c>
      <c r="W285" s="214">
        <f>TEXT(T285,"HH""h""MM'")&amp;"÷"&amp;TEXT(U285,"HH""h""MM'")</f>
        <v/>
      </c>
      <c r="X285" s="214" t="n"/>
      <c r="Y285" s="214" t="n"/>
      <c r="Z285" s="214" t="inlineStr">
        <is>
          <t>08;</t>
        </is>
      </c>
      <c r="AA285" s="215" t="inlineStr">
        <is>
          <t>Kiểm tra công tác vệ sinh lỗ khoan cọc khoan nhồi trước khi đổ bê tông Cọc khoan nhồi Mố M1 - Cọc C3</t>
        </is>
      </c>
      <c r="AB285" s="204" t="inlineStr">
        <is>
          <t>09-XL-307HG/PYCNT/CKN/M1/C3-2</t>
        </is>
      </c>
      <c r="AC285" s="204" t="inlineStr">
        <is>
          <t>09-XL-307HG/BBNT/CKN/M1/C3-8</t>
        </is>
      </c>
      <c r="AD285" s="204" t="n"/>
      <c r="AE285" s="204" t="n"/>
      <c r="AF285" s="204" t="n"/>
      <c r="AG285" s="204" t="n"/>
      <c r="AH285" s="204" t="n"/>
      <c r="AI285" s="214" t="n"/>
      <c r="AJ285" s="214" t="n"/>
      <c r="AK285" s="217" t="n"/>
      <c r="AL285" s="214" t="n"/>
      <c r="AM285" s="214" t="n"/>
      <c r="AN285" s="214" t="n"/>
      <c r="AO285" s="214" t="n"/>
      <c r="AP285" s="216" t="n"/>
      <c r="AQ285" s="216" t="n"/>
      <c r="AR285" s="214" t="inlineStr">
        <is>
          <t>Nhóm 1</t>
        </is>
      </c>
      <c r="AS285" s="214" t="n"/>
      <c r="AT285" s="214" t="inlineStr">
        <is>
          <t>HM06</t>
        </is>
      </c>
      <c r="AU285" s="214" t="inlineStr">
        <is>
          <t>NTCV</t>
        </is>
      </c>
      <c r="AV285" s="214" t="n">
        <v>337</v>
      </c>
      <c r="AW285" s="214" t="n">
        <v>7</v>
      </c>
      <c r="AX285" s="214" t="n"/>
    </row>
    <row r="286" ht="28" customHeight="1" s="672">
      <c r="A286" s="56" t="inlineStr">
        <is>
          <t>BBK521</t>
        </is>
      </c>
      <c r="B286" s="56" t="inlineStr">
        <is>
          <t>PL08</t>
        </is>
      </c>
      <c r="C286" s="56" t="inlineStr">
        <is>
          <t>BBK521.0494376</t>
        </is>
      </c>
      <c r="D286" s="57" t="n"/>
      <c r="E286" s="57" t="n"/>
      <c r="F286" s="57" t="n"/>
      <c r="G286" s="57" t="n"/>
      <c r="H286" s="57" t="n"/>
      <c r="J286" s="198" t="inlineStr">
        <is>
          <t>21</t>
        </is>
      </c>
      <c r="K286" s="198" t="inlineStr">
        <is>
          <t>PL08</t>
        </is>
      </c>
      <c r="L286" s="199" t="inlineStr">
        <is>
          <t>Kiểm tra công tác vệ sinh lỗ khoan cọc khoan nhồi trước khi đổ bê tông</t>
        </is>
      </c>
      <c r="M286" s="199" t="n"/>
      <c r="N286" s="199" t="n"/>
      <c r="O286" s="200" t="inlineStr">
        <is>
          <t>Cầu Km19+529.080</t>
        </is>
      </c>
      <c r="P286" s="201" t="n"/>
      <c r="Q286" s="201" t="n"/>
      <c r="R286" s="201" t="n"/>
      <c r="S286" s="201">
        <f>S285</f>
        <v/>
      </c>
      <c r="T286" s="201" t="n"/>
      <c r="U286" s="201" t="n"/>
      <c r="V286" s="201" t="n"/>
      <c r="W286" s="202" t="n"/>
      <c r="X286" s="202" t="n"/>
      <c r="Y286" s="202" t="n"/>
      <c r="Z286" s="198" t="inlineStr">
        <is>
          <t>08</t>
        </is>
      </c>
      <c r="AA286" s="203" t="n"/>
      <c r="AB286" s="204" t="inlineStr">
        <is>
          <t>09-XL-307HG/PYCNT/CKN/M1/C3-2</t>
        </is>
      </c>
      <c r="AC286" s="204">
        <f>AC285</f>
        <v/>
      </c>
      <c r="AD286" s="204" t="n"/>
      <c r="AE286" s="204" t="n"/>
      <c r="AF286" s="204" t="n"/>
      <c r="AG286" s="204" t="n"/>
      <c r="AH286" s="204" t="n"/>
      <c r="AI286" s="202" t="n"/>
      <c r="AJ286" s="202" t="n"/>
      <c r="AK286" s="206" t="n"/>
      <c r="AL286" s="202" t="n"/>
      <c r="AM286" s="202" t="n"/>
      <c r="AN286" s="202" t="n"/>
      <c r="AO286" s="202" t="n"/>
      <c r="AP286" s="207" t="n"/>
      <c r="AQ286" s="207" t="n"/>
      <c r="AR286" s="202" t="inlineStr">
        <is>
          <t>Nhóm 1</t>
        </is>
      </c>
      <c r="AS286" s="202" t="n"/>
      <c r="AT286" s="202" t="inlineStr">
        <is>
          <t>HM06</t>
        </is>
      </c>
      <c r="AU286" s="202" t="inlineStr">
        <is>
          <t>PL08</t>
        </is>
      </c>
      <c r="AV286" s="202" t="n">
        <v>24</v>
      </c>
      <c r="AW286" s="202" t="n">
        <v>1</v>
      </c>
      <c r="AX286" s="202" t="n"/>
    </row>
    <row r="287" ht="28" customHeight="1" s="672">
      <c r="A287" s="56" t="inlineStr">
        <is>
          <t>NTCV</t>
        </is>
      </c>
      <c r="B287" s="56" t="inlineStr">
        <is>
          <t>K.9999</t>
        </is>
      </c>
      <c r="C287" s="56" t="inlineStr">
        <is>
          <t>NTCV.0972966</t>
        </is>
      </c>
      <c r="D287" s="57" t="n"/>
      <c r="E287" s="57" t="n"/>
      <c r="F287" s="57" t="n"/>
      <c r="G287" s="57" t="n"/>
      <c r="H287" s="57" t="n"/>
      <c r="J287" s="209" t="inlineStr">
        <is>
          <t>22</t>
        </is>
      </c>
      <c r="K287" s="209" t="inlineStr">
        <is>
          <t>K.9999</t>
        </is>
      </c>
      <c r="L287" s="210" t="inlineStr">
        <is>
          <t xml:space="preserve">Kiểm tra công tác chuẩn bị đổ bê tông cọc khoan nhồi </t>
        </is>
      </c>
      <c r="M287" s="210" t="n"/>
      <c r="N287" s="210" t="n"/>
      <c r="O287" s="211" t="inlineStr">
        <is>
          <t>Cầu Km19+529.080</t>
        </is>
      </c>
      <c r="P287" s="212">
        <f>S285</f>
        <v/>
      </c>
      <c r="Q287" s="212">
        <f>P287</f>
        <v/>
      </c>
      <c r="R287" s="212">
        <f>Q287-1</f>
        <v/>
      </c>
      <c r="S287" s="212">
        <f>Q287</f>
        <v/>
      </c>
      <c r="T287" s="213">
        <f>U285</f>
        <v/>
      </c>
      <c r="U287" s="213">
        <f>T287+V287</f>
        <v/>
      </c>
      <c r="V287" s="213" t="n">
        <v>0.02083333333333333</v>
      </c>
      <c r="W287" s="214">
        <f>TEXT(T287,"HH""h""MM'")&amp;"÷"&amp;TEXT(U287,"HH""h""MM'")</f>
        <v/>
      </c>
      <c r="X287" s="214" t="n"/>
      <c r="Y287" s="214" t="n"/>
      <c r="Z287" s="214" t="inlineStr">
        <is>
          <t>09;</t>
        </is>
      </c>
      <c r="AA287" s="215" t="inlineStr">
        <is>
          <t>Kiểm tra công tác chuẩn bị đổ bê tông Cọc khoan nhồi Mố M1 - Cọc C3</t>
        </is>
      </c>
      <c r="AB287" s="204" t="inlineStr">
        <is>
          <t>09-XL-307HG/PYCNT/CKN/M1/C3-2</t>
        </is>
      </c>
      <c r="AC287" s="204" t="inlineStr">
        <is>
          <t>09-XL-307HG/BBNT/CKN/M1/C3-9</t>
        </is>
      </c>
      <c r="AD287" s="204" t="n"/>
      <c r="AE287" s="204" t="n"/>
      <c r="AF287" s="204" t="n"/>
      <c r="AG287" s="204" t="n"/>
      <c r="AH287" s="204" t="n"/>
      <c r="AI287" s="214" t="n"/>
      <c r="AJ287" s="214" t="n"/>
      <c r="AK287" s="217" t="n"/>
      <c r="AL287" s="214" t="n"/>
      <c r="AM287" s="214" t="n"/>
      <c r="AN287" s="214" t="n"/>
      <c r="AO287" s="214" t="n"/>
      <c r="AP287" s="216" t="n"/>
      <c r="AQ287" s="216" t="n"/>
      <c r="AR287" s="214" t="inlineStr">
        <is>
          <t>Nhóm 1</t>
        </is>
      </c>
      <c r="AS287" s="214" t="n"/>
      <c r="AT287" s="214" t="inlineStr">
        <is>
          <t>HM06</t>
        </is>
      </c>
      <c r="AU287" s="214" t="inlineStr">
        <is>
          <t>NTCV</t>
        </is>
      </c>
      <c r="AV287" s="214" t="n">
        <v>338</v>
      </c>
      <c r="AW287" s="214" t="n">
        <v>8</v>
      </c>
      <c r="AX287" s="214" t="n"/>
    </row>
    <row r="288">
      <c r="A288" s="56" t="inlineStr">
        <is>
          <t>BBK209</t>
        </is>
      </c>
      <c r="B288" s="56" t="inlineStr">
        <is>
          <t>PL09</t>
        </is>
      </c>
      <c r="C288" s="56" t="inlineStr">
        <is>
          <t>BBK209.0217799</t>
        </is>
      </c>
      <c r="D288" s="57" t="n"/>
      <c r="E288" s="57" t="n"/>
      <c r="F288" s="57" t="n"/>
      <c r="G288" s="57" t="n"/>
      <c r="H288" s="57" t="n"/>
      <c r="J288" s="198" t="inlineStr">
        <is>
          <t>23</t>
        </is>
      </c>
      <c r="K288" s="198" t="inlineStr">
        <is>
          <t>PL09</t>
        </is>
      </c>
      <c r="L288" s="199" t="inlineStr">
        <is>
          <t>Kiểm tra công tác chuẩn bị đổ bê tông cọc khoan nhồi</t>
        </is>
      </c>
      <c r="M288" s="199" t="n"/>
      <c r="N288" s="199" t="n"/>
      <c r="O288" s="200" t="inlineStr">
        <is>
          <t>Cầu Km19+529.080</t>
        </is>
      </c>
      <c r="P288" s="201" t="n"/>
      <c r="Q288" s="201" t="n"/>
      <c r="R288" s="201" t="n"/>
      <c r="S288" s="201">
        <f>S287</f>
        <v/>
      </c>
      <c r="T288" s="201" t="n"/>
      <c r="U288" s="201" t="n"/>
      <c r="V288" s="201" t="n"/>
      <c r="W288" s="202" t="n"/>
      <c r="X288" s="202" t="n"/>
      <c r="Y288" s="202" t="n"/>
      <c r="Z288" s="198" t="inlineStr">
        <is>
          <t>09</t>
        </is>
      </c>
      <c r="AA288" s="203" t="n"/>
      <c r="AB288" s="204" t="inlineStr">
        <is>
          <t>09-XL-307HG/PYCNT/CKN/M1/C3-2</t>
        </is>
      </c>
      <c r="AC288" s="204">
        <f>AC287</f>
        <v/>
      </c>
      <c r="AD288" s="204" t="n"/>
      <c r="AE288" s="204" t="n"/>
      <c r="AF288" s="204" t="n"/>
      <c r="AG288" s="204" t="n"/>
      <c r="AH288" s="204" t="inlineStr">
        <is>
          <t>C30(1)</t>
        </is>
      </c>
      <c r="AI288" s="202" t="n"/>
      <c r="AJ288" s="202" t="n"/>
      <c r="AK288" s="206" t="n"/>
      <c r="AL288" s="202" t="n"/>
      <c r="AM288" s="202" t="n"/>
      <c r="AN288" s="202" t="n"/>
      <c r="AO288" s="202" t="n"/>
      <c r="AP288" s="207" t="n"/>
      <c r="AQ288" s="207" t="n"/>
      <c r="AR288" s="202" t="inlineStr">
        <is>
          <t>Nhóm 1</t>
        </is>
      </c>
      <c r="AS288" s="202" t="n"/>
      <c r="AT288" s="202" t="inlineStr">
        <is>
          <t>HM06</t>
        </is>
      </c>
      <c r="AU288" s="202" t="inlineStr">
        <is>
          <t>PL09</t>
        </is>
      </c>
      <c r="AV288" s="202" t="n">
        <v>24</v>
      </c>
      <c r="AW288" s="202" t="n">
        <v>1</v>
      </c>
      <c r="AX288" s="202" t="n"/>
    </row>
    <row r="289" ht="28" customHeight="1" s="672">
      <c r="A289" s="56" t="inlineStr">
        <is>
          <t>NTCV</t>
        </is>
      </c>
      <c r="B289" s="56" t="inlineStr">
        <is>
          <t>K.9999</t>
        </is>
      </c>
      <c r="C289" s="56" t="inlineStr">
        <is>
          <t>NTCV.0378991</t>
        </is>
      </c>
      <c r="D289" s="57" t="n"/>
      <c r="E289" s="57" t="n"/>
      <c r="F289" s="57" t="n"/>
      <c r="G289" s="57" t="n"/>
      <c r="H289" s="57" t="n"/>
      <c r="J289" s="209" t="inlineStr">
        <is>
          <t>24</t>
        </is>
      </c>
      <c r="K289" s="209" t="inlineStr">
        <is>
          <t>K.9999</t>
        </is>
      </c>
      <c r="L289" s="210" t="inlineStr">
        <is>
          <t>Theo dõi quá trình đổ bê tông cọc khoan nhồi</t>
        </is>
      </c>
      <c r="M289" s="210" t="n"/>
      <c r="N289" s="210" t="n"/>
      <c r="O289" s="211" t="inlineStr">
        <is>
          <t>Cầu Km19+529.080</t>
        </is>
      </c>
      <c r="P289" s="212">
        <f>S287</f>
        <v/>
      </c>
      <c r="Q289" s="212">
        <f>P289</f>
        <v/>
      </c>
      <c r="R289" s="212">
        <f>Q289-1</f>
        <v/>
      </c>
      <c r="S289" s="212">
        <f>Q289</f>
        <v/>
      </c>
      <c r="T289" s="213">
        <f>U287</f>
        <v/>
      </c>
      <c r="U289" s="213">
        <f>T289+V289</f>
        <v/>
      </c>
      <c r="V289" s="213" t="n">
        <v>0.1458333333333333</v>
      </c>
      <c r="W289" s="214">
        <f>TEXT(T289,"HH""h""MM'")&amp;"÷"&amp;TEXT(U289,"HH""h""MM'")</f>
        <v/>
      </c>
      <c r="X289" s="214" t="n"/>
      <c r="Y289" s="214" t="n"/>
      <c r="Z289" s="214" t="inlineStr">
        <is>
          <t>10;</t>
        </is>
      </c>
      <c r="AA289" s="215" t="inlineStr">
        <is>
          <t>Theo dõi quá trình đổ bê tông  Cọc khoan nhồi Mố M1 - Cọc C3</t>
        </is>
      </c>
      <c r="AB289" s="204" t="inlineStr">
        <is>
          <t>09-XL-307HG/PYCNT/CKN/M1/C3-2</t>
        </is>
      </c>
      <c r="AC289" s="204" t="inlineStr">
        <is>
          <t>09-XL-307HG/BBNT/CKN/M1/C3-10</t>
        </is>
      </c>
      <c r="AD289" s="204" t="n"/>
      <c r="AE289" s="204" t="n"/>
      <c r="AF289" s="204" t="n"/>
      <c r="AG289" s="204" t="n"/>
      <c r="AH289" s="204" t="n"/>
      <c r="AI289" s="214" t="n"/>
      <c r="AJ289" s="214" t="n"/>
      <c r="AK289" s="217" t="n"/>
      <c r="AL289" s="214" t="n"/>
      <c r="AM289" s="214" t="n"/>
      <c r="AN289" s="214" t="n"/>
      <c r="AO289" s="214" t="n"/>
      <c r="AP289" s="216" t="n"/>
      <c r="AQ289" s="216" t="n"/>
      <c r="AR289" s="214" t="inlineStr">
        <is>
          <t>Nhóm 1</t>
        </is>
      </c>
      <c r="AS289" s="214" t="n"/>
      <c r="AT289" s="214" t="inlineStr">
        <is>
          <t>HM06</t>
        </is>
      </c>
      <c r="AU289" s="214" t="inlineStr">
        <is>
          <t>NTCV</t>
        </is>
      </c>
      <c r="AV289" s="214" t="n">
        <v>339</v>
      </c>
      <c r="AW289" s="214" t="n">
        <v>9</v>
      </c>
      <c r="AX289" s="214" t="n"/>
    </row>
    <row r="290" ht="210" customHeight="1" s="672">
      <c r="A290" s="56" t="inlineStr">
        <is>
          <t>LMHT</t>
        </is>
      </c>
      <c r="B290" s="56" t="inlineStr">
        <is>
          <t>LMHT</t>
        </is>
      </c>
      <c r="C290" s="56" t="inlineStr">
        <is>
          <t>LMHT.0395844</t>
        </is>
      </c>
      <c r="D290" s="57" t="inlineStr">
        <is>
          <t>TC.000041|TC.000182|TC.000169.A</t>
        </is>
      </c>
      <c r="E290" s="57" t="n"/>
      <c r="F290" s="57" t="inlineStr">
        <is>
          <t>CP.0001^Cọc khoan nhồi Mố M1 - Cọc C3^Hình Trụ 15x30 (cm)^12^30 Mpa, 18±2^^^TC.000041|TC.000182|TC.000169.A</t>
        </is>
      </c>
      <c r="G290" s="57" t="n"/>
      <c r="H290" s="57" t="inlineStr">
        <is>
          <t>^^A|C|J|O|S|X|Z^Stt|Hạng mục|Cấp bê tông|Kích thước mẫu|Số lượng mẫu|Ghi chú^|||||</t>
        </is>
      </c>
      <c r="J290" s="256" t="inlineStr">
        <is>
          <t>25</t>
        </is>
      </c>
      <c r="K290" s="256" t="inlineStr">
        <is>
          <t>LMHT</t>
        </is>
      </c>
      <c r="L290" s="257" t="inlineStr">
        <is>
          <t>Lấy mẫu bê tông Cọc khoan nhồi, 30(1) Mpa Mố M1 - Cọc C3</t>
        </is>
      </c>
      <c r="M290" s="257" t="n"/>
      <c r="N290" s="257" t="n"/>
      <c r="O290" s="258" t="inlineStr">
        <is>
          <t>Cầu Km19+529.080</t>
        </is>
      </c>
      <c r="P290" s="259" t="n"/>
      <c r="Q290" s="259" t="n"/>
      <c r="R290" s="259" t="n"/>
      <c r="S290" s="259">
        <f>S289</f>
        <v/>
      </c>
      <c r="T290" s="260">
        <f>T289</f>
        <v/>
      </c>
      <c r="U290" s="260">
        <f>U289</f>
        <v/>
      </c>
      <c r="V290" s="260">
        <f>V289</f>
        <v/>
      </c>
      <c r="W290" s="261">
        <f>TEXT(T290,"HH""h""MM'")&amp;"÷"&amp;TEXT(U290,"HH""h""MM'")</f>
        <v/>
      </c>
      <c r="X290" s="262" t="n"/>
      <c r="Y290" s="262" t="n"/>
      <c r="Z290" s="262" t="n"/>
      <c r="AA290" s="262" t="n"/>
      <c r="AB290" s="263" t="inlineStr">
        <is>
          <t>09-XL-307HG/PYCNT/CKN/M1/C3-2</t>
        </is>
      </c>
      <c r="AC290" s="263" t="inlineStr"/>
      <c r="AD290" s="264" t="n"/>
      <c r="AE290" s="264" t="n"/>
      <c r="AF290" s="264" t="n"/>
      <c r="AG290" s="264" t="n"/>
      <c r="AH290" s="264" t="n"/>
      <c r="AI290" s="257" t="n"/>
      <c r="AJ290" s="262" t="n"/>
      <c r="AK290" s="258" t="n"/>
      <c r="AL290" s="262" t="n"/>
      <c r="AM290" s="262" t="n"/>
      <c r="AN290" s="262" t="n"/>
      <c r="AO290" s="262" t="n"/>
      <c r="AP290" s="263" t="inlineStr">
        <is>
          <t>Bảng lấy mẫu CKN</t>
        </is>
      </c>
      <c r="AQ290" s="263" t="n"/>
      <c r="AR290" s="262" t="inlineStr">
        <is>
          <t>Nhóm 1</t>
        </is>
      </c>
      <c r="AS290" s="262" t="n"/>
      <c r="AT290" s="262" t="inlineStr">
        <is>
          <t>HM06</t>
        </is>
      </c>
      <c r="AU290" s="262" t="inlineStr">
        <is>
          <t>LMHT</t>
        </is>
      </c>
      <c r="AV290" s="262" t="n">
        <v>30</v>
      </c>
      <c r="AW290" s="262" t="n">
        <v>1</v>
      </c>
      <c r="AX290" s="262" t="inlineStr">
        <is>
          <t>Cọc M1-C3 [BT dòng 27]: chưa đến ngưỡng phát sinh lượt mẫu xi măng/cát/đá; mẫu bê tông cấu kiện vẫn theo F290.</t>
        </is>
      </c>
    </row>
    <row r="291">
      <c r="A291" s="56" t="inlineStr">
        <is>
          <t>BBK994</t>
        </is>
      </c>
      <c r="B291" s="56" t="inlineStr">
        <is>
          <t>PL10</t>
        </is>
      </c>
      <c r="C291" s="56" t="inlineStr">
        <is>
          <t>BBK994.0281503</t>
        </is>
      </c>
      <c r="D291" s="57" t="n"/>
      <c r="E291" s="57" t="n"/>
      <c r="F291" s="57" t="n"/>
      <c r="G291" s="57" t="n"/>
      <c r="H291" s="57" t="n"/>
      <c r="J291" s="198" t="inlineStr">
        <is>
          <t>26</t>
        </is>
      </c>
      <c r="K291" s="198" t="inlineStr">
        <is>
          <t>PL10</t>
        </is>
      </c>
      <c r="L291" s="199" t="inlineStr">
        <is>
          <t>Theo dõi quá trình đổ bê tông cọc khoan nhồi</t>
        </is>
      </c>
      <c r="M291" s="199" t="n"/>
      <c r="N291" s="199" t="n"/>
      <c r="O291" s="200" t="inlineStr">
        <is>
          <t>Cầu Km19+529.080</t>
        </is>
      </c>
      <c r="P291" s="201" t="n"/>
      <c r="Q291" s="201" t="n"/>
      <c r="R291" s="201" t="n"/>
      <c r="S291" s="201">
        <f>S289</f>
        <v/>
      </c>
      <c r="T291" s="201" t="n"/>
      <c r="U291" s="201" t="n"/>
      <c r="V291" s="201" t="n"/>
      <c r="W291" s="202" t="n"/>
      <c r="X291" s="202" t="n"/>
      <c r="Y291" s="202" t="n"/>
      <c r="Z291" s="198" t="inlineStr">
        <is>
          <t>10</t>
        </is>
      </c>
      <c r="AA291" s="203" t="n"/>
      <c r="AB291" s="204" t="inlineStr">
        <is>
          <t>09-XL-307HG/PYCNT/CKN/M1/C3-2</t>
        </is>
      </c>
      <c r="AC291" s="204">
        <f>AC289</f>
        <v/>
      </c>
      <c r="AD291" s="204" t="n"/>
      <c r="AE291" s="204" t="n"/>
      <c r="AF291" s="204" t="n"/>
      <c r="AG291" s="204" t="n"/>
      <c r="AH291" s="204" t="inlineStr">
        <is>
          <t>C3</t>
        </is>
      </c>
      <c r="AI291" s="202" t="n"/>
      <c r="AJ291" s="202" t="n"/>
      <c r="AK291" s="206" t="n"/>
      <c r="AL291" s="202" t="n"/>
      <c r="AM291" s="202" t="n"/>
      <c r="AN291" s="202" t="n"/>
      <c r="AO291" s="202" t="n"/>
      <c r="AP291" s="207" t="n"/>
      <c r="AQ291" s="207" t="n"/>
      <c r="AR291" s="202" t="inlineStr">
        <is>
          <t>Nhóm 1</t>
        </is>
      </c>
      <c r="AS291" s="202" t="n"/>
      <c r="AT291" s="202" t="inlineStr">
        <is>
          <t>HM06</t>
        </is>
      </c>
      <c r="AU291" s="202" t="inlineStr">
        <is>
          <t>PL10</t>
        </is>
      </c>
      <c r="AV291" s="202" t="n">
        <v>24</v>
      </c>
      <c r="AW291" s="202" t="n">
        <v>1</v>
      </c>
      <c r="AX291" s="202" t="n"/>
    </row>
    <row r="292" ht="28" customHeight="1" s="672">
      <c r="A292" s="56" t="inlineStr">
        <is>
          <t>NTCV</t>
        </is>
      </c>
      <c r="B292" s="56" t="inlineStr">
        <is>
          <t>K.9999</t>
        </is>
      </c>
      <c r="C292" s="56" t="inlineStr">
        <is>
          <t>NTCV.0503371</t>
        </is>
      </c>
      <c r="D292" s="57" t="n"/>
      <c r="E292" s="57" t="n"/>
      <c r="F292" s="57" t="n"/>
      <c r="G292" s="57" t="n"/>
      <c r="H292" s="57" t="n"/>
      <c r="J292" s="209" t="inlineStr">
        <is>
          <t>27</t>
        </is>
      </c>
      <c r="K292" s="209" t="inlineStr">
        <is>
          <t>K.9999</t>
        </is>
      </c>
      <c r="L292" s="210" t="inlineStr">
        <is>
          <t xml:space="preserve"> Rút ống vách thi công cọc khoan nhồi</t>
        </is>
      </c>
      <c r="M292" s="210" t="n"/>
      <c r="N292" s="210" t="n"/>
      <c r="O292" s="211" t="inlineStr">
        <is>
          <t>Cầu Km19+529.080</t>
        </is>
      </c>
      <c r="P292" s="212">
        <f>S289</f>
        <v/>
      </c>
      <c r="Q292" s="212">
        <f>P292</f>
        <v/>
      </c>
      <c r="R292" s="212">
        <f>Q292-1</f>
        <v/>
      </c>
      <c r="S292" s="212">
        <f>Q292</f>
        <v/>
      </c>
      <c r="T292" s="213">
        <f>U289</f>
        <v/>
      </c>
      <c r="U292" s="213">
        <f>T292+V292</f>
        <v/>
      </c>
      <c r="V292" s="213" t="n">
        <v>0.01041666666666667</v>
      </c>
      <c r="W292" s="214">
        <f>TEXT(T292,"HH""h""MM'")&amp;"÷"&amp;TEXT(U292,"HH""h""MM'")</f>
        <v/>
      </c>
      <c r="X292" s="214" t="n"/>
      <c r="Y292" s="214" t="n"/>
      <c r="Z292" s="214" t="inlineStr">
        <is>
          <t>11;</t>
        </is>
      </c>
      <c r="AA292" s="215" t="inlineStr">
        <is>
          <t>Rút ống vách  Cọc khoan nhồi Mố M1 - Cọc C3</t>
        </is>
      </c>
      <c r="AB292" s="204" t="inlineStr">
        <is>
          <t>09-XL-307HG/PYCNT/CKN/M1/C3-2</t>
        </is>
      </c>
      <c r="AC292" s="204" t="inlineStr">
        <is>
          <t>09-XL-307HG/BBNT/CKN/M1/C3-11</t>
        </is>
      </c>
      <c r="AD292" s="204" t="n"/>
      <c r="AE292" s="204" t="n"/>
      <c r="AF292" s="204" t="n"/>
      <c r="AG292" s="204" t="n"/>
      <c r="AH292" s="204" t="n"/>
      <c r="AI292" s="214" t="n"/>
      <c r="AJ292" s="214" t="n"/>
      <c r="AK292" s="217" t="n"/>
      <c r="AL292" s="214" t="n"/>
      <c r="AM292" s="214" t="n"/>
      <c r="AN292" s="214" t="n"/>
      <c r="AO292" s="214" t="n"/>
      <c r="AP292" s="216" t="n"/>
      <c r="AQ292" s="216" t="n"/>
      <c r="AR292" s="214" t="inlineStr">
        <is>
          <t>Nhóm 1</t>
        </is>
      </c>
      <c r="AS292" s="214" t="n"/>
      <c r="AT292" s="214" t="inlineStr">
        <is>
          <t>HM06</t>
        </is>
      </c>
      <c r="AU292" s="214" t="inlineStr">
        <is>
          <t>NTCV</t>
        </is>
      </c>
      <c r="AV292" s="214" t="n">
        <v>340</v>
      </c>
      <c r="AW292" s="214" t="n">
        <v>10</v>
      </c>
      <c r="AX292" s="214" t="n"/>
    </row>
    <row r="293">
      <c r="A293" s="56" t="inlineStr">
        <is>
          <t>BBK544</t>
        </is>
      </c>
      <c r="B293" s="56" t="inlineStr">
        <is>
          <t>PL11</t>
        </is>
      </c>
      <c r="C293" s="56" t="inlineStr">
        <is>
          <t>BBK544.0138732</t>
        </is>
      </c>
      <c r="D293" s="57" t="n"/>
      <c r="E293" s="57" t="n"/>
      <c r="F293" s="57" t="n"/>
      <c r="G293" s="57" t="n"/>
      <c r="H293" s="57" t="n"/>
      <c r="J293" s="198" t="inlineStr">
        <is>
          <t>28</t>
        </is>
      </c>
      <c r="K293" s="198" t="inlineStr">
        <is>
          <t>PL11</t>
        </is>
      </c>
      <c r="L293" s="199" t="inlineStr">
        <is>
          <t>Rút ống vách thi công cọc khoan nhồi</t>
        </is>
      </c>
      <c r="M293" s="199" t="n"/>
      <c r="N293" s="199" t="n"/>
      <c r="O293" s="200" t="inlineStr">
        <is>
          <t>Cầu Km19+529.080</t>
        </is>
      </c>
      <c r="P293" s="201" t="n"/>
      <c r="Q293" s="201" t="n"/>
      <c r="R293" s="201" t="n"/>
      <c r="S293" s="201">
        <f>S292</f>
        <v/>
      </c>
      <c r="T293" s="201" t="n"/>
      <c r="U293" s="201" t="n"/>
      <c r="V293" s="201" t="n"/>
      <c r="W293" s="202" t="n"/>
      <c r="X293" s="202" t="n"/>
      <c r="Y293" s="202" t="n"/>
      <c r="Z293" s="198" t="inlineStr">
        <is>
          <t>11</t>
        </is>
      </c>
      <c r="AA293" s="203" t="n"/>
      <c r="AB293" s="204" t="inlineStr">
        <is>
          <t>09-XL-307HG/PYCNT/CKN/M1/C3-2</t>
        </is>
      </c>
      <c r="AC293" s="204">
        <f>AC292</f>
        <v/>
      </c>
      <c r="AD293" s="204" t="n"/>
      <c r="AE293" s="204" t="n"/>
      <c r="AF293" s="204" t="n"/>
      <c r="AG293" s="204" t="n"/>
      <c r="AH293" s="204" t="inlineStr">
        <is>
          <t>&gt;=66;&lt;=97</t>
        </is>
      </c>
      <c r="AI293" s="202" t="n"/>
      <c r="AJ293" s="202" t="n"/>
      <c r="AK293" s="206" t="n"/>
      <c r="AL293" s="202" t="n"/>
      <c r="AM293" s="202" t="n"/>
      <c r="AN293" s="202" t="n"/>
      <c r="AO293" s="202" t="n"/>
      <c r="AP293" s="207" t="n"/>
      <c r="AQ293" s="207" t="n"/>
      <c r="AR293" s="202" t="inlineStr">
        <is>
          <t>Nhóm 1</t>
        </is>
      </c>
      <c r="AS293" s="202" t="n"/>
      <c r="AT293" s="202" t="inlineStr">
        <is>
          <t>HM06</t>
        </is>
      </c>
      <c r="AU293" s="202" t="inlineStr">
        <is>
          <t>PL11</t>
        </is>
      </c>
      <c r="AV293" s="202" t="n">
        <v>24</v>
      </c>
      <c r="AW293" s="202" t="n">
        <v>1</v>
      </c>
      <c r="AX293" s="202" t="n"/>
    </row>
    <row r="294">
      <c r="A294" s="56" t="inlineStr">
        <is>
          <t>BBK680</t>
        </is>
      </c>
      <c r="B294" s="56" t="inlineStr">
        <is>
          <t>PYC</t>
        </is>
      </c>
      <c r="C294" s="56" t="inlineStr">
        <is>
          <t>BBK680.0517255</t>
        </is>
      </c>
      <c r="D294" s="57" t="n"/>
      <c r="E294" s="57" t="n"/>
      <c r="F294" s="57" t="n"/>
      <c r="G294" s="57" t="n"/>
      <c r="H294" s="57" t="n"/>
      <c r="J294" s="198" t="inlineStr">
        <is>
          <t>29</t>
        </is>
      </c>
      <c r="K294" s="198" t="inlineStr">
        <is>
          <t>PYC</t>
        </is>
      </c>
      <c r="L294" s="199" t="inlineStr">
        <is>
          <t>Phiếu yêu cầu nghiệm thu</t>
        </is>
      </c>
      <c r="M294" s="199" t="n"/>
      <c r="N294" s="199" t="n"/>
      <c r="O294" s="200" t="inlineStr">
        <is>
          <t>Cầu Km19+529.080</t>
        </is>
      </c>
      <c r="P294" s="201" t="n"/>
      <c r="Q294" s="201" t="n"/>
      <c r="R294" s="201">
        <f>R295</f>
        <v/>
      </c>
      <c r="S294" s="201" t="n"/>
      <c r="T294" s="201" t="n"/>
      <c r="U294" s="201" t="n"/>
      <c r="V294" s="201" t="n"/>
      <c r="W294" s="202" t="n"/>
      <c r="X294" s="202" t="n"/>
      <c r="Y294" s="202" t="n"/>
      <c r="Z294" s="202" t="n"/>
      <c r="AA294" s="203" t="n"/>
      <c r="AB294" s="204" t="inlineStr">
        <is>
          <t>09-XL-307HG/PYCNT/CKN/M1/C3</t>
        </is>
      </c>
      <c r="AC294" s="205" t="inlineStr"/>
      <c r="AD294" s="205" t="n"/>
      <c r="AE294" s="205" t="n"/>
      <c r="AF294" s="205" t="n"/>
      <c r="AG294" s="205" t="inlineStr">
        <is>
          <t>NTCV;BBKTĐK</t>
        </is>
      </c>
      <c r="AH294" s="204" t="n">
        <v>11</v>
      </c>
      <c r="AI294" s="202" t="n"/>
      <c r="AJ294" s="202" t="n"/>
      <c r="AK294" s="206" t="n"/>
      <c r="AL294" s="202" t="n"/>
      <c r="AM294" s="202" t="n"/>
      <c r="AN294" s="202" t="n"/>
      <c r="AO294" s="202" t="n"/>
      <c r="AP294" s="207" t="n"/>
      <c r="AQ294" s="207" t="n"/>
      <c r="AR294" s="202" t="inlineStr">
        <is>
          <t>Nhóm 1</t>
        </is>
      </c>
      <c r="AS294" s="202" t="n"/>
      <c r="AT294" s="202" t="inlineStr">
        <is>
          <t>HM06</t>
        </is>
      </c>
      <c r="AU294" s="202" t="inlineStr">
        <is>
          <t>PYC</t>
        </is>
      </c>
      <c r="AV294" s="202" t="n">
        <v>151</v>
      </c>
      <c r="AW294" s="202" t="n">
        <v>3</v>
      </c>
      <c r="AX294" s="202" t="n"/>
    </row>
    <row r="295" ht="28" customHeight="1" s="672">
      <c r="A295" s="56" t="inlineStr">
        <is>
          <t>NTCV</t>
        </is>
      </c>
      <c r="B295" s="56" t="inlineStr">
        <is>
          <t>K.9999</t>
        </is>
      </c>
      <c r="C295" s="56" t="inlineStr">
        <is>
          <t>NTCV.0965364</t>
        </is>
      </c>
      <c r="D295" s="57" t="n"/>
      <c r="E295" s="57" t="n"/>
      <c r="F295" s="57" t="n"/>
      <c r="G295" s="57" t="n"/>
      <c r="H295" s="57" t="n"/>
      <c r="J295" s="209" t="inlineStr">
        <is>
          <t>30</t>
        </is>
      </c>
      <c r="K295" s="209" t="inlineStr">
        <is>
          <t>K.9999</t>
        </is>
      </c>
      <c r="L295" s="210" t="inlineStr">
        <is>
          <t>Theo dõi nén mẫu R7 Cọc khoan nhồi Mố M1 - Cọc C3</t>
        </is>
      </c>
      <c r="M295" s="210" t="n"/>
      <c r="N295" s="210" t="n"/>
      <c r="O295" s="211" t="inlineStr">
        <is>
          <t>Cầu Km19+529.080</t>
        </is>
      </c>
      <c r="P295" s="212">
        <f>S292+7</f>
        <v/>
      </c>
      <c r="Q295" s="212">
        <f>P295</f>
        <v/>
      </c>
      <c r="R295" s="212">
        <f>Q295-1</f>
        <v/>
      </c>
      <c r="S295" s="212">
        <f>Q295</f>
        <v/>
      </c>
      <c r="T295" s="213" t="n">
        <v>0.3541666666666667</v>
      </c>
      <c r="U295" s="213">
        <f>T295+V295</f>
        <v/>
      </c>
      <c r="V295" s="213" t="n">
        <v>0.02083333333333333</v>
      </c>
      <c r="W295" s="214">
        <f>TEXT(T295,"HH""h""MM'")&amp;"÷"&amp;TEXT(U295,"HH""h""MM'")</f>
        <v/>
      </c>
      <c r="X295" s="214" t="n"/>
      <c r="Y295" s="214" t="n"/>
      <c r="Z295" s="214" t="n"/>
      <c r="AA295" s="215" t="inlineStr">
        <is>
          <t>Theo dõi nén mẫu R7 Cọc khoan nhồi Mố M1 - Cọc C3</t>
        </is>
      </c>
      <c r="AB295" s="204" t="inlineStr">
        <is>
          <t>09-XL-307HG/PYCNT/CKN/M1/C3-3</t>
        </is>
      </c>
      <c r="AC295" s="204" t="inlineStr">
        <is>
          <t>09-XL-307HG/BBNT/CKN/M1/C3-12</t>
        </is>
      </c>
      <c r="AD295" s="204" t="n"/>
      <c r="AE295" s="204" t="n"/>
      <c r="AF295" s="204" t="n"/>
      <c r="AG295" s="204" t="n"/>
      <c r="AH295" s="204" t="n"/>
      <c r="AI295" s="214" t="n"/>
      <c r="AJ295" s="214" t="n"/>
      <c r="AK295" s="217" t="n"/>
      <c r="AL295" s="214" t="n"/>
      <c r="AM295" s="214" t="n"/>
      <c r="AN295" s="214" t="n"/>
      <c r="AO295" s="214" t="n"/>
      <c r="AP295" s="216" t="n"/>
      <c r="AQ295" s="216" t="n"/>
      <c r="AR295" s="214" t="inlineStr">
        <is>
          <t>Nhóm 1</t>
        </is>
      </c>
      <c r="AS295" s="214" t="n"/>
      <c r="AT295" s="214" t="inlineStr">
        <is>
          <t>HM06</t>
        </is>
      </c>
      <c r="AU295" s="214" t="inlineStr">
        <is>
          <t>NTCV</t>
        </is>
      </c>
      <c r="AV295" s="214" t="n">
        <v>380</v>
      </c>
      <c r="AW295" s="214" t="n">
        <v>11</v>
      </c>
      <c r="AX295" s="214" t="n"/>
    </row>
    <row r="296">
      <c r="A296" s="56" t="inlineStr">
        <is>
          <t>BBK680</t>
        </is>
      </c>
      <c r="B296" s="56" t="inlineStr">
        <is>
          <t>PYC</t>
        </is>
      </c>
      <c r="C296" s="56" t="inlineStr">
        <is>
          <t>BBK680.0557501</t>
        </is>
      </c>
      <c r="D296" s="57" t="n"/>
      <c r="E296" s="57" t="n"/>
      <c r="F296" s="57" t="n"/>
      <c r="G296" s="57" t="n"/>
      <c r="H296" s="57" t="n"/>
      <c r="J296" s="198" t="inlineStr">
        <is>
          <t>31</t>
        </is>
      </c>
      <c r="K296" s="198" t="inlineStr">
        <is>
          <t>PYC</t>
        </is>
      </c>
      <c r="L296" s="199" t="inlineStr">
        <is>
          <t>Phiếu yêu cầu nghiệm thu</t>
        </is>
      </c>
      <c r="M296" s="199" t="n"/>
      <c r="N296" s="199" t="n"/>
      <c r="O296" s="200" t="inlineStr">
        <is>
          <t>Cầu Km19+529.080</t>
        </is>
      </c>
      <c r="P296" s="201" t="n"/>
      <c r="Q296" s="201" t="n"/>
      <c r="R296" s="201">
        <f>+S291+28</f>
        <v/>
      </c>
      <c r="S296" s="201" t="n"/>
      <c r="T296" s="201" t="n"/>
      <c r="U296" s="201" t="n"/>
      <c r="V296" s="201" t="n"/>
      <c r="W296" s="202" t="n"/>
      <c r="X296" s="202" t="n"/>
      <c r="Y296" s="202" t="n"/>
      <c r="Z296" s="202" t="n"/>
      <c r="AA296" s="203" t="n"/>
      <c r="AB296" s="204" t="inlineStr">
        <is>
          <t>09-XL-307HG/PYCNT/CKN/M1/C3</t>
        </is>
      </c>
      <c r="AC296" s="205" t="inlineStr"/>
      <c r="AD296" s="205" t="n"/>
      <c r="AE296" s="205" t="n"/>
      <c r="AF296" s="205" t="n"/>
      <c r="AG296" s="205" t="inlineStr">
        <is>
          <t>NTCV;BBKTĐK</t>
        </is>
      </c>
      <c r="AH296" s="204" t="n">
        <v>12</v>
      </c>
      <c r="AI296" s="202" t="n"/>
      <c r="AJ296" s="202" t="n"/>
      <c r="AK296" s="206" t="n"/>
      <c r="AL296" s="202" t="n"/>
      <c r="AM296" s="202" t="n"/>
      <c r="AN296" s="202" t="n"/>
      <c r="AO296" s="202" t="n"/>
      <c r="AP296" s="207" t="n"/>
      <c r="AQ296" s="207" t="n"/>
      <c r="AR296" s="202" t="inlineStr">
        <is>
          <t>Nhóm 1</t>
        </is>
      </c>
      <c r="AS296" s="202" t="n"/>
      <c r="AT296" s="202" t="inlineStr">
        <is>
          <t>HM06</t>
        </is>
      </c>
      <c r="AU296" s="202" t="inlineStr">
        <is>
          <t>PYC</t>
        </is>
      </c>
      <c r="AV296" s="202" t="n">
        <v>152</v>
      </c>
      <c r="AW296" s="202" t="n">
        <v>4</v>
      </c>
      <c r="AX296" s="202" t="n"/>
    </row>
    <row r="297" ht="28" customHeight="1" s="672">
      <c r="A297" s="56" t="inlineStr">
        <is>
          <t>NTCV</t>
        </is>
      </c>
      <c r="B297" s="56" t="inlineStr">
        <is>
          <t>K.9999</t>
        </is>
      </c>
      <c r="C297" s="56" t="inlineStr">
        <is>
          <t>NTCV.0909204</t>
        </is>
      </c>
      <c r="D297" s="57" t="n"/>
      <c r="E297" s="57" t="n"/>
      <c r="F297" s="57" t="n"/>
      <c r="G297" s="57" t="n"/>
      <c r="H297" s="57" t="n"/>
      <c r="J297" s="209" t="inlineStr">
        <is>
          <t>32</t>
        </is>
      </c>
      <c r="K297" s="209" t="inlineStr">
        <is>
          <t>K.9999</t>
        </is>
      </c>
      <c r="L297" s="210" t="inlineStr">
        <is>
          <t>Đập đầu cọc khoan nhồi Mố M1 - Cọc C3</t>
        </is>
      </c>
      <c r="M297" s="210" t="n"/>
      <c r="N297" s="210" t="n"/>
      <c r="O297" s="211" t="inlineStr">
        <is>
          <t>Cầu Km19+529.080</t>
        </is>
      </c>
      <c r="P297" s="212">
        <f>S295</f>
        <v/>
      </c>
      <c r="Q297" s="212">
        <f>P297</f>
        <v/>
      </c>
      <c r="R297" s="212">
        <f>Q297-1</f>
        <v/>
      </c>
      <c r="S297" s="212">
        <f>Q297</f>
        <v/>
      </c>
      <c r="T297" s="213" t="n">
        <v>0.3541666666666667</v>
      </c>
      <c r="U297" s="213">
        <f>T297+V297</f>
        <v/>
      </c>
      <c r="V297" s="213" t="n">
        <v>0.0625</v>
      </c>
      <c r="W297" s="214">
        <f>TEXT(T297,"HH""h""MM'")&amp;"÷"&amp;TEXT(U297,"HH""h""MM'")</f>
        <v/>
      </c>
      <c r="X297" s="214" t="n"/>
      <c r="Y297" s="214" t="n"/>
      <c r="Z297" s="214" t="n"/>
      <c r="AA297" s="215" t="inlineStr">
        <is>
          <t>Theo dõi nén mẫu R28 Cọc khoan nhồi Mố M1 - Cọc C3</t>
        </is>
      </c>
      <c r="AB297" s="204" t="inlineStr">
        <is>
          <t>09-XL-307HG/PYCNT/CKN/M1/C3-4</t>
        </is>
      </c>
      <c r="AC297" s="204" t="inlineStr">
        <is>
          <t>09-XL-307HG/BBNT/CKN/M1/C3-13</t>
        </is>
      </c>
      <c r="AD297" s="204" t="n"/>
      <c r="AE297" s="204" t="n"/>
      <c r="AF297" s="204" t="n"/>
      <c r="AG297" s="204" t="n"/>
      <c r="AH297" s="204" t="n"/>
      <c r="AI297" s="214" t="n"/>
      <c r="AJ297" s="214" t="n"/>
      <c r="AK297" s="217" t="n"/>
      <c r="AL297" s="214" t="n"/>
      <c r="AM297" s="214" t="n"/>
      <c r="AN297" s="214" t="n"/>
      <c r="AO297" s="214" t="n"/>
      <c r="AP297" s="216" t="n"/>
      <c r="AQ297" s="216" t="n"/>
      <c r="AR297" s="214" t="inlineStr">
        <is>
          <t>Nhóm 1</t>
        </is>
      </c>
      <c r="AS297" s="214" t="n"/>
      <c r="AT297" s="214" t="inlineStr">
        <is>
          <t>HM06</t>
        </is>
      </c>
      <c r="AU297" s="214" t="inlineStr">
        <is>
          <t>NTCV</t>
        </is>
      </c>
      <c r="AV297" s="214" t="n">
        <v>381</v>
      </c>
      <c r="AW297" s="214" t="n">
        <v>12</v>
      </c>
      <c r="AX297" s="214" t="n"/>
    </row>
    <row r="298">
      <c r="A298" s="56" t="inlineStr">
        <is>
          <t>HM</t>
        </is>
      </c>
      <c r="B298" s="56" t="inlineStr">
        <is>
          <t>HM</t>
        </is>
      </c>
      <c r="C298" s="56" t="inlineStr">
        <is>
          <t>HM.0657256</t>
        </is>
      </c>
      <c r="D298" s="57" t="n"/>
      <c r="E298" s="57" t="n"/>
      <c r="F298" s="57" t="n"/>
      <c r="G298" s="57" t="n"/>
      <c r="H298" s="57" t="n"/>
      <c r="J298" s="246" t="inlineStr">
        <is>
          <t>HM07</t>
        </is>
      </c>
      <c r="K298" s="246" t="inlineStr">
        <is>
          <t>HM</t>
        </is>
      </c>
      <c r="L298" s="247" t="inlineStr">
        <is>
          <t>Trụ T1 - Cọc C1</t>
        </is>
      </c>
      <c r="M298" s="247" t="n"/>
      <c r="N298" s="247" t="n"/>
      <c r="O298" s="248" t="inlineStr">
        <is>
          <t>Cầu Km19+529.080</t>
        </is>
      </c>
      <c r="P298" s="249" t="n"/>
      <c r="Q298" s="249" t="n"/>
      <c r="R298" s="249" t="n"/>
      <c r="S298" s="249" t="n"/>
      <c r="T298" s="249" t="n"/>
      <c r="U298" s="249" t="n"/>
      <c r="V298" s="249" t="n"/>
      <c r="W298" s="250" t="n"/>
      <c r="X298" s="250" t="n"/>
      <c r="Y298" s="250" t="n"/>
      <c r="Z298" s="250" t="n"/>
      <c r="AA298" s="251" t="n"/>
      <c r="AB298" s="252" t="n"/>
      <c r="AC298" s="252" t="inlineStr"/>
      <c r="AD298" s="252" t="n"/>
      <c r="AE298" s="252" t="n"/>
      <c r="AF298" s="252" t="n"/>
      <c r="AG298" s="252" t="n"/>
      <c r="AH298" s="252" t="n"/>
      <c r="AI298" s="250" t="n"/>
      <c r="AJ298" s="250" t="n"/>
      <c r="AK298" s="253" t="n"/>
      <c r="AL298" s="250" t="n"/>
      <c r="AM298" s="250" t="n"/>
      <c r="AN298" s="250" t="n"/>
      <c r="AO298" s="250" t="n"/>
      <c r="AP298" s="254" t="n"/>
      <c r="AQ298" s="254" t="n"/>
      <c r="AR298" s="250" t="n"/>
      <c r="AS298" s="250" t="n"/>
      <c r="AT298" s="250" t="inlineStr">
        <is>
          <t>HM07</t>
        </is>
      </c>
      <c r="AU298" s="250" t="inlineStr">
        <is>
          <t>HM</t>
        </is>
      </c>
      <c r="AV298" s="250" t="n"/>
      <c r="AW298" s="250" t="n"/>
      <c r="AX298" s="250" t="n"/>
    </row>
    <row r="299" ht="28" customFormat="1" customHeight="1" s="70">
      <c r="A299" s="68" t="inlineStr">
        <is>
          <t>BBK_BIA</t>
        </is>
      </c>
      <c r="B299" s="68" t="inlineStr">
        <is>
          <t>TRANGBIA</t>
        </is>
      </c>
      <c r="C299" s="68" t="inlineStr">
        <is>
          <t>BBK_BIA.0441114</t>
        </is>
      </c>
      <c r="D299" s="69" t="n"/>
      <c r="E299" s="69" t="n"/>
      <c r="F299" s="69" t="n"/>
      <c r="G299" s="69" t="n"/>
      <c r="H299" s="69" t="n"/>
      <c r="J299" s="98" t="inlineStr">
        <is>
          <t>01</t>
        </is>
      </c>
      <c r="K299" s="98" t="inlineStr">
        <is>
          <t>TRANGBIA</t>
        </is>
      </c>
      <c r="L299" s="99">
        <f>"Cọc Khoan Nhồi"&amp;" - "&amp;L298</f>
        <v/>
      </c>
      <c r="M299" s="99" t="n"/>
      <c r="N299" s="99" t="n"/>
      <c r="O299" s="100" t="inlineStr">
        <is>
          <t>Cầu Km19+529.080</t>
        </is>
      </c>
      <c r="P299" s="101" t="n"/>
      <c r="Q299" s="101" t="n"/>
      <c r="R299" s="101" t="n"/>
      <c r="S299" s="101" t="n"/>
      <c r="T299" s="101" t="n"/>
      <c r="U299" s="101" t="n"/>
      <c r="V299" s="101" t="n"/>
      <c r="W299" s="102" t="n"/>
      <c r="X299" s="102" t="n"/>
      <c r="Y299" s="102" t="n"/>
      <c r="Z299" s="102" t="n"/>
      <c r="AA299" s="102" t="n"/>
      <c r="AB299" s="102" t="n"/>
      <c r="AC299" s="102" t="inlineStr"/>
      <c r="AD299" s="102" t="n"/>
      <c r="AE299" s="102" t="n"/>
      <c r="AF299" s="102" t="n"/>
      <c r="AG299" s="102" t="n"/>
      <c r="AH299" s="102" t="n"/>
      <c r="AI299" s="102" t="n"/>
      <c r="AJ299" s="102" t="n"/>
      <c r="AK299" s="100" t="n"/>
      <c r="AL299" s="102" t="n"/>
      <c r="AM299" s="102" t="n"/>
      <c r="AN299" s="102" t="n"/>
      <c r="AO299" s="102" t="n"/>
      <c r="AP299" s="103" t="inlineStr">
        <is>
          <t>Kết cấu cọc khoan nhồi mố, trụ</t>
        </is>
      </c>
      <c r="AQ299" s="104" t="n"/>
      <c r="AR299" s="102" t="inlineStr">
        <is>
          <t>Nhóm 1</t>
        </is>
      </c>
      <c r="AS299" s="102" t="n"/>
      <c r="AT299" s="102" t="inlineStr">
        <is>
          <t>HM07</t>
        </is>
      </c>
      <c r="AU299" s="102" t="inlineStr">
        <is>
          <t>TRANGBIA</t>
        </is>
      </c>
      <c r="AV299" s="102" t="n">
        <v>7</v>
      </c>
      <c r="AW299" s="102" t="n">
        <v>1</v>
      </c>
      <c r="AX299" s="102" t="n"/>
    </row>
    <row r="300" customFormat="1" s="70">
      <c r="A300" s="68" t="inlineStr">
        <is>
          <t>BBK_ML</t>
        </is>
      </c>
      <c r="B300" s="68" t="inlineStr">
        <is>
          <t>MUCLUC</t>
        </is>
      </c>
      <c r="C300" s="68" t="inlineStr">
        <is>
          <t>BBK_ML.0692994</t>
        </is>
      </c>
      <c r="D300" s="69" t="n"/>
      <c r="E300" s="69" t="n"/>
      <c r="F300" s="69" t="n"/>
      <c r="G300" s="69" t="n"/>
      <c r="H300" s="69" t="n"/>
      <c r="J300" s="98" t="inlineStr">
        <is>
          <t>02</t>
        </is>
      </c>
      <c r="K300" s="98" t="inlineStr">
        <is>
          <t>MUCLUC</t>
        </is>
      </c>
      <c r="L300" s="99" t="inlineStr">
        <is>
          <t>Danh mục biên bản Kiểm tra/Nghiệm thu</t>
        </is>
      </c>
      <c r="M300" s="99" t="n"/>
      <c r="N300" s="99" t="n"/>
      <c r="O300" s="100" t="inlineStr">
        <is>
          <t>Cầu Km19+529.080</t>
        </is>
      </c>
      <c r="P300" s="101" t="n"/>
      <c r="Q300" s="101" t="n"/>
      <c r="R300" s="101" t="n"/>
      <c r="S300" s="101" t="n"/>
      <c r="T300" s="101" t="n"/>
      <c r="U300" s="101" t="n"/>
      <c r="V300" s="101" t="n"/>
      <c r="W300" s="102" t="n"/>
      <c r="X300" s="102" t="n"/>
      <c r="Y300" s="102" t="n"/>
      <c r="Z300" s="102" t="n"/>
      <c r="AA300" s="102" t="n"/>
      <c r="AB300" s="102" t="n"/>
      <c r="AC300" s="102" t="inlineStr"/>
      <c r="AD300" s="102" t="n"/>
      <c r="AE300" s="102" t="n"/>
      <c r="AF300" s="102" t="n"/>
      <c r="AG300" s="102" t="n"/>
      <c r="AH300" s="102" t="n"/>
      <c r="AI300" s="102" t="n"/>
      <c r="AJ300" s="102" t="n"/>
      <c r="AK300" s="100" t="n"/>
      <c r="AL300" s="102" t="n"/>
      <c r="AM300" s="102" t="n"/>
      <c r="AN300" s="102" t="n"/>
      <c r="AO300" s="102" t="n"/>
      <c r="AP300" s="104" t="n"/>
      <c r="AQ300" s="104" t="n"/>
      <c r="AR300" s="102" t="inlineStr">
        <is>
          <t>Nhóm 1</t>
        </is>
      </c>
      <c r="AS300" s="102" t="n"/>
      <c r="AT300" s="102" t="inlineStr">
        <is>
          <t>HM07</t>
        </is>
      </c>
      <c r="AU300" s="102" t="inlineStr">
        <is>
          <t>MUCLUC</t>
        </is>
      </c>
      <c r="AV300" s="102" t="n">
        <v>7</v>
      </c>
      <c r="AW300" s="102" t="n">
        <v>1</v>
      </c>
      <c r="AX300" s="102" t="n"/>
    </row>
    <row r="301">
      <c r="A301" s="56" t="inlineStr">
        <is>
          <t>BBK680</t>
        </is>
      </c>
      <c r="B301" s="56" t="inlineStr">
        <is>
          <t>PYC</t>
        </is>
      </c>
      <c r="C301" s="56" t="inlineStr">
        <is>
          <t>BBK680.0064491</t>
        </is>
      </c>
      <c r="D301" s="57" t="n"/>
      <c r="E301" s="57" t="n"/>
      <c r="F301" s="57" t="n"/>
      <c r="G301" s="57" t="n"/>
      <c r="H301" s="57" t="n"/>
      <c r="J301" s="198" t="inlineStr">
        <is>
          <t>03</t>
        </is>
      </c>
      <c r="K301" s="198" t="inlineStr">
        <is>
          <t>PYC</t>
        </is>
      </c>
      <c r="L301" s="199" t="inlineStr">
        <is>
          <t>Phiếu yêu cầu nghiệm thu</t>
        </is>
      </c>
      <c r="M301" s="199" t="n"/>
      <c r="N301" s="199" t="n"/>
      <c r="O301" s="200" t="inlineStr">
        <is>
          <t>Cầu Km19+529.080</t>
        </is>
      </c>
      <c r="P301" s="201" t="n"/>
      <c r="Q301" s="201" t="n"/>
      <c r="R301" s="201">
        <f>R302</f>
        <v/>
      </c>
      <c r="S301" s="201" t="n"/>
      <c r="T301" s="201" t="n"/>
      <c r="U301" s="201" t="n"/>
      <c r="V301" s="201" t="n"/>
      <c r="W301" s="202" t="n"/>
      <c r="X301" s="202" t="n"/>
      <c r="Y301" s="202" t="n"/>
      <c r="Z301" s="202" t="n"/>
      <c r="AA301" s="203" t="n"/>
      <c r="AB301" s="204" t="inlineStr">
        <is>
          <t>09-XL-307HG/PYCNT/CKN/T1/C1</t>
        </is>
      </c>
      <c r="AC301" s="205" t="inlineStr"/>
      <c r="AD301" s="205" t="n"/>
      <c r="AE301" s="205" t="n"/>
      <c r="AF301" s="205" t="n"/>
      <c r="AG301" s="205" t="inlineStr">
        <is>
          <t>NTCV;BBKTĐK</t>
        </is>
      </c>
      <c r="AH301" s="204" t="inlineStr">
        <is>
          <t>&gt;=1;&lt;=5</t>
        </is>
      </c>
      <c r="AI301" s="202" t="n"/>
      <c r="AJ301" s="202" t="n"/>
      <c r="AK301" s="206" t="n"/>
      <c r="AL301" s="202" t="n"/>
      <c r="AM301" s="202" t="n"/>
      <c r="AN301" s="202" t="n"/>
      <c r="AO301" s="202" t="n"/>
      <c r="AP301" s="207" t="n"/>
      <c r="AQ301" s="207" t="n"/>
      <c r="AR301" s="202" t="inlineStr">
        <is>
          <t>Nhóm 1</t>
        </is>
      </c>
      <c r="AS301" s="202" t="n"/>
      <c r="AT301" s="202" t="inlineStr">
        <is>
          <t>HM07</t>
        </is>
      </c>
      <c r="AU301" s="202" t="inlineStr">
        <is>
          <t>PYC</t>
        </is>
      </c>
      <c r="AV301" s="202" t="n">
        <v>153</v>
      </c>
      <c r="AW301" s="202" t="n">
        <v>1</v>
      </c>
      <c r="AX301" s="202" t="n"/>
    </row>
    <row r="302" ht="28" customHeight="1" s="672">
      <c r="A302" s="56" t="inlineStr">
        <is>
          <t>BBK884</t>
        </is>
      </c>
      <c r="B302" s="56" t="inlineStr">
        <is>
          <t>BBKTĐK</t>
        </is>
      </c>
      <c r="C302" s="56" t="inlineStr">
        <is>
          <t>BBK884.0756092</t>
        </is>
      </c>
      <c r="D302" s="57" t="n"/>
      <c r="E302" s="57" t="n"/>
      <c r="F302" s="57" t="n"/>
      <c r="G302" s="57" t="n"/>
      <c r="H302" s="57" t="n"/>
      <c r="J302" s="198" t="inlineStr">
        <is>
          <t>04</t>
        </is>
      </c>
      <c r="K302" s="198" t="inlineStr">
        <is>
          <t>BBKTĐK</t>
        </is>
      </c>
      <c r="L302" s="199" t="inlineStr">
        <is>
          <t>Kiểm tra điều kiện trước khi thi công cọc khoan nhồi: Thiết bị, nhân lực, vật tư</t>
        </is>
      </c>
      <c r="M302" s="199" t="n"/>
      <c r="N302" s="199" t="n"/>
      <c r="O302" s="200" t="inlineStr">
        <is>
          <t>Cầu Km19+529.080</t>
        </is>
      </c>
      <c r="P302" s="201" t="n">
        <v>46208</v>
      </c>
      <c r="Q302" s="201">
        <f>P302</f>
        <v/>
      </c>
      <c r="R302" s="201">
        <f>Q302-1</f>
        <v/>
      </c>
      <c r="S302" s="201">
        <f>Q302</f>
        <v/>
      </c>
      <c r="T302" s="208" t="n">
        <v>0.2916666666666667</v>
      </c>
      <c r="U302" s="208">
        <f>T302+V302</f>
        <v/>
      </c>
      <c r="V302" s="208" t="n">
        <v>0.02083333333333333</v>
      </c>
      <c r="W302" s="202">
        <f>TEXT(T302,"HH""h""MM'")&amp;"÷"&amp;TEXT(U302,"HH""h""MM'")</f>
        <v/>
      </c>
      <c r="X302" s="202" t="n"/>
      <c r="Y302" s="202" t="n"/>
      <c r="Z302" s="202" t="inlineStr">
        <is>
          <t>01;</t>
        </is>
      </c>
      <c r="AA302" s="200" t="inlineStr">
        <is>
          <t>Kiểm tra điều kiện trước khi thi công Cọc khoan nhồi Trụ T1 - Cọc C1</t>
        </is>
      </c>
      <c r="AB302" s="205" t="inlineStr">
        <is>
          <t>09-XL-307HG/PYCNT/CKN/T1/C1-1</t>
        </is>
      </c>
      <c r="AC302" s="205" t="inlineStr">
        <is>
          <t>09-XL-307HG/BBNT/CKN/T1/C1-1</t>
        </is>
      </c>
      <c r="AD302" s="205" t="n"/>
      <c r="AE302" s="205" t="n"/>
      <c r="AF302" s="205" t="n"/>
      <c r="AG302" s="205" t="n"/>
      <c r="AH302" s="205" t="n"/>
      <c r="AI302" s="207" t="n"/>
      <c r="AJ302" s="214" t="n"/>
      <c r="AK302" s="217" t="n"/>
      <c r="AL302" s="214" t="n"/>
      <c r="AM302" s="214" t="n"/>
      <c r="AN302" s="214" t="n"/>
      <c r="AO302" s="202" t="n"/>
      <c r="AP302" s="207" t="n"/>
      <c r="AQ302" s="207" t="n"/>
      <c r="AR302" s="202" t="inlineStr">
        <is>
          <t>Nhóm 1</t>
        </is>
      </c>
      <c r="AS302" s="202" t="n"/>
      <c r="AT302" s="202" t="inlineStr">
        <is>
          <t>HM07</t>
        </is>
      </c>
      <c r="AU302" s="202" t="inlineStr">
        <is>
          <t>BBKTĐK</t>
        </is>
      </c>
      <c r="AV302" s="202" t="n">
        <v>3</v>
      </c>
      <c r="AW302" s="202" t="n">
        <v>1</v>
      </c>
      <c r="AX302" s="202" t="n"/>
    </row>
    <row r="303" ht="28" customHeight="1" s="672">
      <c r="A303" s="56" t="inlineStr">
        <is>
          <t>BBK860</t>
        </is>
      </c>
      <c r="B303" s="56" t="inlineStr">
        <is>
          <t>PL01</t>
        </is>
      </c>
      <c r="C303" s="56" t="inlineStr">
        <is>
          <t>BBK860.0700514</t>
        </is>
      </c>
      <c r="D303" s="57" t="n"/>
      <c r="E303" s="57" t="n"/>
      <c r="F303" s="57" t="n"/>
      <c r="G303" s="57" t="n"/>
      <c r="H303" s="57" t="n"/>
      <c r="J303" s="198" t="inlineStr">
        <is>
          <t>05</t>
        </is>
      </c>
      <c r="K303" s="198" t="inlineStr">
        <is>
          <t>PL01</t>
        </is>
      </c>
      <c r="L303" s="199" t="inlineStr">
        <is>
          <t>Máy móc, thiết bị, nhân lực, vật tư thi công cọc khoan nhồi</t>
        </is>
      </c>
      <c r="M303" s="199" t="n"/>
      <c r="N303" s="199" t="n"/>
      <c r="O303" s="199" t="inlineStr">
        <is>
          <t>Cầu Km19+529.080</t>
        </is>
      </c>
      <c r="P303" s="201" t="n"/>
      <c r="Q303" s="201" t="n"/>
      <c r="R303" s="201" t="n"/>
      <c r="S303" s="201">
        <f>S302</f>
        <v/>
      </c>
      <c r="T303" s="201" t="n"/>
      <c r="U303" s="201" t="n"/>
      <c r="V303" s="201" t="n"/>
      <c r="W303" s="202" t="n"/>
      <c r="X303" s="202" t="n"/>
      <c r="Y303" s="202" t="n"/>
      <c r="Z303" s="198" t="inlineStr">
        <is>
          <t>01</t>
        </is>
      </c>
      <c r="AA303" s="203" t="n"/>
      <c r="AB303" s="204" t="inlineStr">
        <is>
          <t>09-XL-307HG/PYCNT/CKN/T1/C1-1</t>
        </is>
      </c>
      <c r="AC303" s="204">
        <f>AC302</f>
        <v/>
      </c>
      <c r="AD303" s="204" t="n"/>
      <c r="AE303" s="204" t="n"/>
      <c r="AF303" s="204" t="n"/>
      <c r="AG303" s="204" t="n"/>
      <c r="AH303" s="204" t="inlineStr">
        <is>
          <t>CKN</t>
        </is>
      </c>
      <c r="AI303" s="207" t="n"/>
      <c r="AJ303" s="202" t="n"/>
      <c r="AK303" s="206" t="n"/>
      <c r="AL303" s="202" t="n"/>
      <c r="AM303" s="202" t="n"/>
      <c r="AN303" s="202" t="n"/>
      <c r="AO303" s="202" t="n"/>
      <c r="AP303" s="207" t="n"/>
      <c r="AQ303" s="207" t="n"/>
      <c r="AR303" s="202" t="inlineStr">
        <is>
          <t>Nhóm 1</t>
        </is>
      </c>
      <c r="AS303" s="202" t="n"/>
      <c r="AT303" s="202" t="inlineStr">
        <is>
          <t>HM07</t>
        </is>
      </c>
      <c r="AU303" s="202" t="inlineStr">
        <is>
          <t>PL01</t>
        </is>
      </c>
      <c r="AV303" s="202" t="n">
        <v>3</v>
      </c>
      <c r="AW303" s="202" t="n">
        <v>1</v>
      </c>
      <c r="AX303" s="202" t="n"/>
    </row>
    <row r="304" ht="42" customHeight="1" s="672">
      <c r="A304" s="56" t="inlineStr">
        <is>
          <t>NTCV</t>
        </is>
      </c>
      <c r="B304" s="56" t="inlineStr">
        <is>
          <t>K.9999</t>
        </is>
      </c>
      <c r="C304" s="56" t="inlineStr">
        <is>
          <t>NTCV.0497070</t>
        </is>
      </c>
      <c r="D304" s="57" t="n"/>
      <c r="E304" s="57" t="n"/>
      <c r="F304" s="57" t="n"/>
      <c r="G304" s="57" t="n"/>
      <c r="H304" s="57" t="n"/>
      <c r="J304" s="209" t="inlineStr">
        <is>
          <t>06</t>
        </is>
      </c>
      <c r="K304" s="209" t="inlineStr">
        <is>
          <t>K.9999</t>
        </is>
      </c>
      <c r="L304" s="210" t="inlineStr">
        <is>
          <t>Kiểm tra ống vách, dung dịch bentonite trước khi khoan cọc khoan nhồi</t>
        </is>
      </c>
      <c r="M304" s="210" t="n"/>
      <c r="N304" s="210" t="n"/>
      <c r="O304" s="211" t="inlineStr">
        <is>
          <t>Cầu Km19+529.080</t>
        </is>
      </c>
      <c r="P304" s="212">
        <f>S302</f>
        <v/>
      </c>
      <c r="Q304" s="212">
        <f>P304</f>
        <v/>
      </c>
      <c r="R304" s="212">
        <f>Q304-1</f>
        <v/>
      </c>
      <c r="S304" s="212">
        <f>Q304</f>
        <v/>
      </c>
      <c r="T304" s="213">
        <f>U302</f>
        <v/>
      </c>
      <c r="U304" s="213">
        <f>T304+V304</f>
        <v/>
      </c>
      <c r="V304" s="213" t="n">
        <v>0.02083333333333333</v>
      </c>
      <c r="W304" s="214">
        <f>TEXT(T304,"HH""h""MM'")&amp;"÷"&amp;TEXT(U304,"HH""h""MM'")</f>
        <v/>
      </c>
      <c r="X304" s="214" t="n"/>
      <c r="Y304" s="214" t="n"/>
      <c r="Z304" s="214" t="inlineStr">
        <is>
          <t>02; 02a</t>
        </is>
      </c>
      <c r="AA304" s="215" t="inlineStr">
        <is>
          <t>Kiểm tra ống vách, dung dịch bentonite Cọc khoan nhồi Trụ T1 - Cọc C1 trước khi khoan</t>
        </is>
      </c>
      <c r="AB304" s="204" t="inlineStr">
        <is>
          <t>09-XL-307HG/PYCNT/CKN/T1/C1-1</t>
        </is>
      </c>
      <c r="AC304" s="204" t="inlineStr">
        <is>
          <t>09-XL-307HG/BBNT/CKN/T1/C1-2</t>
        </is>
      </c>
      <c r="AD304" s="204" t="n"/>
      <c r="AE304" s="204" t="n"/>
      <c r="AF304" s="204" t="n"/>
      <c r="AG304" s="204" t="n"/>
      <c r="AH304" s="204" t="n"/>
      <c r="AI304" s="216" t="n"/>
      <c r="AJ304" s="214" t="n"/>
      <c r="AK304" s="217" t="n"/>
      <c r="AL304" s="214" t="n"/>
      <c r="AM304" s="214" t="n"/>
      <c r="AN304" s="214" t="n"/>
      <c r="AO304" s="214" t="n"/>
      <c r="AP304" s="216" t="n"/>
      <c r="AQ304" s="216" t="n"/>
      <c r="AR304" s="214" t="inlineStr">
        <is>
          <t>Nhóm 1</t>
        </is>
      </c>
      <c r="AS304" s="214" t="n"/>
      <c r="AT304" s="214" t="inlineStr">
        <is>
          <t>HM07</t>
        </is>
      </c>
      <c r="AU304" s="214" t="inlineStr">
        <is>
          <t>NTCV</t>
        </is>
      </c>
      <c r="AV304" s="214" t="n">
        <v>74</v>
      </c>
      <c r="AW304" s="214" t="n">
        <v>1</v>
      </c>
      <c r="AX304" s="214" t="n"/>
    </row>
    <row r="305">
      <c r="A305" s="56" t="inlineStr">
        <is>
          <t>BBK170</t>
        </is>
      </c>
      <c r="B305" s="56" t="inlineStr">
        <is>
          <t>PL02</t>
        </is>
      </c>
      <c r="C305" s="56" t="inlineStr">
        <is>
          <t>BBK170.0155435</t>
        </is>
      </c>
      <c r="D305" s="57" t="n"/>
      <c r="E305" s="57" t="n"/>
      <c r="F305" s="57" t="n"/>
      <c r="G305" s="57" t="n"/>
      <c r="H305" s="57" t="n"/>
      <c r="J305" s="198" t="inlineStr">
        <is>
          <t>07</t>
        </is>
      </c>
      <c r="K305" s="198" t="inlineStr">
        <is>
          <t>PL02</t>
        </is>
      </c>
      <c r="L305" s="199" t="inlineStr">
        <is>
          <t>Kiểm tra ống vách thi công trước khi hạ</t>
        </is>
      </c>
      <c r="M305" s="199" t="n"/>
      <c r="N305" s="199" t="n"/>
      <c r="O305" s="200" t="inlineStr">
        <is>
          <t>Cầu Km19+529.080</t>
        </is>
      </c>
      <c r="P305" s="201" t="n"/>
      <c r="Q305" s="201" t="n"/>
      <c r="R305" s="201" t="n"/>
      <c r="S305" s="201">
        <f>S304</f>
        <v/>
      </c>
      <c r="T305" s="201" t="n"/>
      <c r="U305" s="201" t="n"/>
      <c r="V305" s="201" t="n"/>
      <c r="W305" s="202" t="n"/>
      <c r="X305" s="202" t="n"/>
      <c r="Y305" s="202" t="n"/>
      <c r="Z305" s="198" t="inlineStr">
        <is>
          <t>02</t>
        </is>
      </c>
      <c r="AA305" s="203" t="n"/>
      <c r="AB305" s="204" t="inlineStr">
        <is>
          <t>09-XL-307HG/PYCNT/CKN/T1/C1-1</t>
        </is>
      </c>
      <c r="AC305" s="204">
        <f>AC304</f>
        <v/>
      </c>
      <c r="AD305" s="204" t="n"/>
      <c r="AE305" s="204" t="n"/>
      <c r="AF305" s="204" t="n"/>
      <c r="AG305" s="204" t="n"/>
      <c r="AH305" s="204" t="inlineStr">
        <is>
          <t>CKN</t>
        </is>
      </c>
      <c r="AI305" s="207" t="n"/>
      <c r="AJ305" s="202" t="n"/>
      <c r="AK305" s="206" t="n"/>
      <c r="AL305" s="202" t="n"/>
      <c r="AM305" s="202" t="n"/>
      <c r="AN305" s="202" t="n"/>
      <c r="AO305" s="202" t="n"/>
      <c r="AP305" s="207" t="n"/>
      <c r="AQ305" s="207" t="inlineStr">
        <is>
          <t>Ảnh\PL02 CKN.png</t>
        </is>
      </c>
      <c r="AR305" s="202" t="inlineStr">
        <is>
          <t>Nhóm 1</t>
        </is>
      </c>
      <c r="AS305" s="202" t="n"/>
      <c r="AT305" s="202" t="inlineStr">
        <is>
          <t>HM07</t>
        </is>
      </c>
      <c r="AU305" s="202" t="inlineStr">
        <is>
          <t>PL02</t>
        </is>
      </c>
      <c r="AV305" s="202" t="n">
        <v>3</v>
      </c>
      <c r="AW305" s="202" t="n">
        <v>1</v>
      </c>
      <c r="AX305" s="202" t="n"/>
    </row>
    <row r="306">
      <c r="A306" s="56" t="inlineStr">
        <is>
          <t>BBK721</t>
        </is>
      </c>
      <c r="B306" s="56" t="inlineStr">
        <is>
          <t>PL02a</t>
        </is>
      </c>
      <c r="C306" s="56" t="inlineStr">
        <is>
          <t>BBK721.0223737</t>
        </is>
      </c>
      <c r="D306" s="57" t="n"/>
      <c r="E306" s="57" t="n"/>
      <c r="F306" s="57" t="n"/>
      <c r="G306" s="57" t="n"/>
      <c r="H306" s="57" t="n"/>
      <c r="J306" s="198" t="inlineStr">
        <is>
          <t>08</t>
        </is>
      </c>
      <c r="K306" s="198" t="inlineStr">
        <is>
          <t>PL02a</t>
        </is>
      </c>
      <c r="L306" s="199" t="inlineStr">
        <is>
          <t>Kiểm tra ống vách thi công trước khi hạ</t>
        </is>
      </c>
      <c r="M306" s="199" t="n"/>
      <c r="N306" s="199" t="n"/>
      <c r="O306" s="200" t="inlineStr">
        <is>
          <t>Cầu Km19+529.080</t>
        </is>
      </c>
      <c r="P306" s="201" t="n"/>
      <c r="Q306" s="201" t="n"/>
      <c r="R306" s="201" t="n"/>
      <c r="S306" s="201">
        <f>S305</f>
        <v/>
      </c>
      <c r="T306" s="201" t="n"/>
      <c r="U306" s="201" t="n"/>
      <c r="V306" s="201" t="n"/>
      <c r="W306" s="202" t="n"/>
      <c r="X306" s="202" t="n"/>
      <c r="Y306" s="202" t="n"/>
      <c r="Z306" s="198" t="inlineStr">
        <is>
          <t>02a</t>
        </is>
      </c>
      <c r="AA306" s="203" t="n"/>
      <c r="AB306" s="204" t="inlineStr">
        <is>
          <t>09-XL-307HG/PYCNT/CKN/T1/C1-1</t>
        </is>
      </c>
      <c r="AC306" s="204">
        <f>AC305</f>
        <v/>
      </c>
      <c r="AD306" s="204" t="n"/>
      <c r="AE306" s="204" t="n"/>
      <c r="AF306" s="204" t="n"/>
      <c r="AG306" s="204" t="n"/>
      <c r="AH306" s="204" t="n"/>
      <c r="AI306" s="207" t="n"/>
      <c r="AJ306" s="202" t="n"/>
      <c r="AK306" s="206" t="n"/>
      <c r="AL306" s="202" t="n"/>
      <c r="AM306" s="202" t="n"/>
      <c r="AN306" s="202" t="n"/>
      <c r="AO306" s="202" t="n"/>
      <c r="AP306" s="207" t="n"/>
      <c r="AQ306" s="207" t="n"/>
      <c r="AR306" s="202" t="inlineStr">
        <is>
          <t>Nhóm 1</t>
        </is>
      </c>
      <c r="AS306" s="202" t="n"/>
      <c r="AT306" s="202" t="inlineStr">
        <is>
          <t>HM07</t>
        </is>
      </c>
      <c r="AU306" s="202" t="inlineStr">
        <is>
          <t>PL02a</t>
        </is>
      </c>
      <c r="AV306" s="202" t="n">
        <v>3</v>
      </c>
      <c r="AW306" s="202" t="n">
        <v>1</v>
      </c>
      <c r="AX306" s="202" t="n"/>
    </row>
    <row r="307" ht="28" customHeight="1" s="672">
      <c r="A307" s="56" t="inlineStr">
        <is>
          <t>NTCV</t>
        </is>
      </c>
      <c r="B307" s="56" t="inlineStr">
        <is>
          <t>K.9999</t>
        </is>
      </c>
      <c r="C307" s="56" t="inlineStr">
        <is>
          <t>NTCV.0326143</t>
        </is>
      </c>
      <c r="D307" s="57" t="n"/>
      <c r="E307" s="57" t="n"/>
      <c r="F307" s="57" t="n"/>
      <c r="G307" s="57" t="n"/>
      <c r="H307" s="57" t="n"/>
      <c r="J307" s="209" t="inlineStr">
        <is>
          <t>09</t>
        </is>
      </c>
      <c r="K307" s="209" t="inlineStr">
        <is>
          <t>K.9999</t>
        </is>
      </c>
      <c r="L307" s="210" t="inlineStr">
        <is>
          <t>Kiểm tra định vị tim cọc khoan nhồi, hạ ống vách thi công</t>
        </is>
      </c>
      <c r="M307" s="210" t="n"/>
      <c r="N307" s="210" t="n"/>
      <c r="O307" s="211" t="inlineStr">
        <is>
          <t>Cầu Km19+529.080</t>
        </is>
      </c>
      <c r="P307" s="212">
        <f>S304</f>
        <v/>
      </c>
      <c r="Q307" s="212">
        <f>P307</f>
        <v/>
      </c>
      <c r="R307" s="212">
        <f>Q307-1</f>
        <v/>
      </c>
      <c r="S307" s="212">
        <f>Q307</f>
        <v/>
      </c>
      <c r="T307" s="213">
        <f>U304</f>
        <v/>
      </c>
      <c r="U307" s="213">
        <f>T307+V307</f>
        <v/>
      </c>
      <c r="V307" s="213" t="n">
        <v>0.02083333333333333</v>
      </c>
      <c r="W307" s="214">
        <f>TEXT(T307,"HH""h""MM'")&amp;"÷"&amp;TEXT(U307,"HH""h""MM'")</f>
        <v/>
      </c>
      <c r="X307" s="214" t="n"/>
      <c r="Y307" s="214" t="n"/>
      <c r="Z307" s="214" t="inlineStr">
        <is>
          <t>03;</t>
        </is>
      </c>
      <c r="AA307" s="215" t="inlineStr">
        <is>
          <t>Kiểm tra định vị Cọc khoan nhồi Trụ T1 - Cọc C1</t>
        </is>
      </c>
      <c r="AB307" s="204" t="inlineStr">
        <is>
          <t>09-XL-307HG/PYCNT/CKN/T1/C1-1</t>
        </is>
      </c>
      <c r="AC307" s="204" t="inlineStr">
        <is>
          <t>09-XL-307HG/BBNT/CKN/T1/C1-3</t>
        </is>
      </c>
      <c r="AD307" s="204" t="n"/>
      <c r="AE307" s="204" t="n"/>
      <c r="AF307" s="204" t="n"/>
      <c r="AG307" s="204" t="n"/>
      <c r="AH307" s="204" t="n"/>
      <c r="AI307" s="216" t="n"/>
      <c r="AJ307" s="214" t="n"/>
      <c r="AK307" s="217" t="n"/>
      <c r="AL307" s="214" t="n"/>
      <c r="AM307" s="214" t="n"/>
      <c r="AN307" s="214" t="n"/>
      <c r="AO307" s="214" t="n"/>
      <c r="AP307" s="216" t="n"/>
      <c r="AQ307" s="216" t="n"/>
      <c r="AR307" s="214" t="inlineStr">
        <is>
          <t>Nhóm 1</t>
        </is>
      </c>
      <c r="AS307" s="214" t="n"/>
      <c r="AT307" s="214" t="inlineStr">
        <is>
          <t>HM07</t>
        </is>
      </c>
      <c r="AU307" s="214" t="inlineStr">
        <is>
          <t>NTCV</t>
        </is>
      </c>
      <c r="AV307" s="214" t="n">
        <v>75</v>
      </c>
      <c r="AW307" s="214" t="n">
        <v>2</v>
      </c>
      <c r="AX307" s="214" t="n"/>
    </row>
    <row r="308" ht="28" customHeight="1" s="672">
      <c r="A308" s="56" t="inlineStr">
        <is>
          <t>BBK478</t>
        </is>
      </c>
      <c r="B308" s="56" t="inlineStr">
        <is>
          <t>PL03</t>
        </is>
      </c>
      <c r="C308" s="56" t="inlineStr">
        <is>
          <t>BBK478.0784488</t>
        </is>
      </c>
      <c r="D308" s="57" t="n"/>
      <c r="E308" s="57" t="n"/>
      <c r="F308" s="57" t="n"/>
      <c r="G308" s="57" t="n"/>
      <c r="H308" s="57" t="n"/>
      <c r="J308" s="198" t="inlineStr">
        <is>
          <t>10</t>
        </is>
      </c>
      <c r="K308" s="198" t="inlineStr">
        <is>
          <t>PL03</t>
        </is>
      </c>
      <c r="L308" s="199" t="inlineStr">
        <is>
          <t>Kiểm tra định vị tim cọc khoan nhồi, hạ ống vách thi công</t>
        </is>
      </c>
      <c r="M308" s="199" t="n"/>
      <c r="N308" s="199" t="n"/>
      <c r="O308" s="200" t="inlineStr">
        <is>
          <t>Cầu Km19+529.080</t>
        </is>
      </c>
      <c r="P308" s="201" t="n"/>
      <c r="Q308" s="201" t="n"/>
      <c r="R308" s="201" t="n"/>
      <c r="S308" s="201">
        <f>S307</f>
        <v/>
      </c>
      <c r="T308" s="201" t="n"/>
      <c r="U308" s="201" t="n"/>
      <c r="V308" s="201" t="n"/>
      <c r="W308" s="202" t="n"/>
      <c r="X308" s="202" t="n"/>
      <c r="Y308" s="202" t="n"/>
      <c r="Z308" s="198" t="inlineStr">
        <is>
          <t>03</t>
        </is>
      </c>
      <c r="AA308" s="203" t="n"/>
      <c r="AB308" s="204" t="inlineStr">
        <is>
          <t>09-XL-307HG/PYCNT/CKN/T1/C1-1</t>
        </is>
      </c>
      <c r="AC308" s="204">
        <f>AC307</f>
        <v/>
      </c>
      <c r="AD308" s="204" t="n">
        <v>2481755.705</v>
      </c>
      <c r="AE308" s="204" t="n">
        <v>382400.239</v>
      </c>
      <c r="AF308" s="255" t="n">
        <v>169.36</v>
      </c>
      <c r="AG308" s="255" t="n"/>
      <c r="AH308" s="204" t="inlineStr">
        <is>
          <t>&gt;=59;&lt;=77</t>
        </is>
      </c>
      <c r="AI308" s="207" t="n"/>
      <c r="AJ308" s="202" t="n"/>
      <c r="AK308" s="206" t="n"/>
      <c r="AL308" s="202" t="n"/>
      <c r="AM308" s="202" t="n"/>
      <c r="AN308" s="202" t="n"/>
      <c r="AO308" s="202" t="n"/>
      <c r="AP308" s="207" t="n"/>
      <c r="AQ308" s="207" t="n"/>
      <c r="AR308" s="202" t="inlineStr">
        <is>
          <t>Nhóm 1</t>
        </is>
      </c>
      <c r="AS308" s="202" t="n"/>
      <c r="AT308" s="202" t="inlineStr">
        <is>
          <t>HM07</t>
        </is>
      </c>
      <c r="AU308" s="202" t="inlineStr">
        <is>
          <t>PL03</t>
        </is>
      </c>
      <c r="AV308" s="202" t="n">
        <v>3</v>
      </c>
      <c r="AW308" s="202" t="n">
        <v>1</v>
      </c>
      <c r="AX308" s="202" t="n"/>
    </row>
    <row r="309" ht="28" customHeight="1" s="672">
      <c r="A309" s="56" t="inlineStr">
        <is>
          <t>NTCV</t>
        </is>
      </c>
      <c r="B309" s="56" t="inlineStr">
        <is>
          <t>K.9999</t>
        </is>
      </c>
      <c r="C309" s="56" t="inlineStr">
        <is>
          <t>NTCV.0050262</t>
        </is>
      </c>
      <c r="D309" s="57" t="n"/>
      <c r="E309" s="57" t="n"/>
      <c r="F309" s="57" t="n"/>
      <c r="G309" s="57" t="n"/>
      <c r="H309" s="57" t="n"/>
      <c r="J309" s="209" t="inlineStr">
        <is>
          <t>11</t>
        </is>
      </c>
      <c r="K309" s="209" t="inlineStr">
        <is>
          <t>K.9999</t>
        </is>
      </c>
      <c r="L309" s="210" t="inlineStr">
        <is>
          <t>Nghiệm thu lồng thép cọc khoan nhồi trước khi hạ</t>
        </is>
      </c>
      <c r="M309" s="210" t="n"/>
      <c r="N309" s="210" t="n"/>
      <c r="O309" s="211" t="inlineStr">
        <is>
          <t>Cầu Km19+529.080</t>
        </is>
      </c>
      <c r="P309" s="212">
        <f>S307</f>
        <v/>
      </c>
      <c r="Q309" s="212">
        <f>P309</f>
        <v/>
      </c>
      <c r="R309" s="212">
        <f>Q309-1</f>
        <v/>
      </c>
      <c r="S309" s="212">
        <f>Q309</f>
        <v/>
      </c>
      <c r="T309" s="213">
        <f>U307</f>
        <v/>
      </c>
      <c r="U309" s="213">
        <f>T309+V309</f>
        <v/>
      </c>
      <c r="V309" s="213" t="n">
        <v>0.02083333333333333</v>
      </c>
      <c r="W309" s="214">
        <f>TEXT(T309,"HH""h""MM'")&amp;"÷"&amp;TEXT(U309,"HH""h""MM'")</f>
        <v/>
      </c>
      <c r="X309" s="214" t="n"/>
      <c r="Y309" s="214" t="n"/>
      <c r="Z309" s="214" t="inlineStr">
        <is>
          <t>04;</t>
        </is>
      </c>
      <c r="AA309" s="215" t="inlineStr">
        <is>
          <t>Nghiệm thu lồng thép Cọc khoan nhồi Trụ T1 - Cọc C1</t>
        </is>
      </c>
      <c r="AB309" s="204" t="inlineStr">
        <is>
          <t>09-XL-307HG/PYCNT/CKN/T1/C1-1</t>
        </is>
      </c>
      <c r="AC309" s="204" t="inlineStr">
        <is>
          <t>09-XL-307HG/BBNT/CKN/T1/C1-4</t>
        </is>
      </c>
      <c r="AD309" s="204" t="n"/>
      <c r="AE309" s="204" t="n"/>
      <c r="AF309" s="204" t="n"/>
      <c r="AG309" s="204" t="n"/>
      <c r="AH309" s="204" t="n"/>
      <c r="AI309" s="216" t="n"/>
      <c r="AJ309" s="214" t="n"/>
      <c r="AK309" s="217" t="n"/>
      <c r="AL309" s="214" t="n"/>
      <c r="AM309" s="214" t="n"/>
      <c r="AN309" s="214" t="n"/>
      <c r="AO309" s="214" t="n"/>
      <c r="AP309" s="216" t="n"/>
      <c r="AQ309" s="216" t="n"/>
      <c r="AR309" s="214" t="inlineStr">
        <is>
          <t>Nhóm 1</t>
        </is>
      </c>
      <c r="AS309" s="214" t="n"/>
      <c r="AT309" s="214" t="inlineStr">
        <is>
          <t>HM07</t>
        </is>
      </c>
      <c r="AU309" s="214" t="inlineStr">
        <is>
          <t>NTCV</t>
        </is>
      </c>
      <c r="AV309" s="214" t="n">
        <v>78</v>
      </c>
      <c r="AW309" s="214" t="n">
        <v>3</v>
      </c>
      <c r="AX309" s="214" t="n"/>
    </row>
    <row r="310">
      <c r="A310" s="56" t="inlineStr">
        <is>
          <t>BBK096</t>
        </is>
      </c>
      <c r="B310" s="56" t="inlineStr">
        <is>
          <t>PL04</t>
        </is>
      </c>
      <c r="C310" s="56" t="inlineStr">
        <is>
          <t>BBK096.0518015</t>
        </is>
      </c>
      <c r="D310" s="57" t="n"/>
      <c r="E310" s="57" t="n"/>
      <c r="F310" s="57" t="n"/>
      <c r="G310" s="57" t="n"/>
      <c r="H310" s="57" t="n"/>
      <c r="J310" s="198" t="inlineStr">
        <is>
          <t>12</t>
        </is>
      </c>
      <c r="K310" s="198" t="inlineStr">
        <is>
          <t>PL04</t>
        </is>
      </c>
      <c r="L310" s="199" t="inlineStr">
        <is>
          <t>Nghiệm thu lồng thép cọc khoan nhồi trước khi hạ</t>
        </is>
      </c>
      <c r="M310" s="199" t="n"/>
      <c r="N310" s="199" t="n"/>
      <c r="O310" s="200" t="inlineStr">
        <is>
          <t>Cầu Km19+529.080</t>
        </is>
      </c>
      <c r="P310" s="201" t="n"/>
      <c r="Q310" s="201" t="n"/>
      <c r="R310" s="201" t="n"/>
      <c r="S310" s="201">
        <f>S309</f>
        <v/>
      </c>
      <c r="T310" s="201" t="n"/>
      <c r="U310" s="201" t="n"/>
      <c r="V310" s="201" t="n"/>
      <c r="W310" s="202" t="n"/>
      <c r="X310" s="202" t="n"/>
      <c r="Y310" s="202" t="n"/>
      <c r="Z310" s="198" t="inlineStr">
        <is>
          <t>04</t>
        </is>
      </c>
      <c r="AA310" s="203" t="n"/>
      <c r="AB310" s="204" t="inlineStr">
        <is>
          <t>09-XL-307HG/PYCNT/CKN/T1/C1-1</t>
        </is>
      </c>
      <c r="AC310" s="204">
        <f>AC309</f>
        <v/>
      </c>
      <c r="AD310" s="204" t="n"/>
      <c r="AE310" s="204" t="n"/>
      <c r="AF310" s="204" t="n"/>
      <c r="AG310" s="204" t="n"/>
      <c r="AH310" s="204" t="inlineStr">
        <is>
          <t>T1</t>
        </is>
      </c>
      <c r="AI310" s="207" t="n"/>
      <c r="AJ310" s="202" t="n"/>
      <c r="AK310" s="206" t="n"/>
      <c r="AL310" s="202" t="n"/>
      <c r="AM310" s="202" t="n"/>
      <c r="AN310" s="202" t="n"/>
      <c r="AO310" s="202" t="n"/>
      <c r="AP310" s="207" t="n"/>
      <c r="AQ310" s="207" t="n"/>
      <c r="AR310" s="202" t="inlineStr">
        <is>
          <t>Nhóm 1</t>
        </is>
      </c>
      <c r="AS310" s="202" t="n"/>
      <c r="AT310" s="202" t="inlineStr">
        <is>
          <t>HM07</t>
        </is>
      </c>
      <c r="AU310" s="202" t="inlineStr">
        <is>
          <t>PL04</t>
        </is>
      </c>
      <c r="AV310" s="202" t="n">
        <v>3</v>
      </c>
      <c r="AW310" s="202" t="n">
        <v>1</v>
      </c>
      <c r="AX310" s="202" t="n"/>
    </row>
    <row r="311" ht="28" customHeight="1" s="672">
      <c r="A311" s="56" t="inlineStr">
        <is>
          <t>NTCV</t>
        </is>
      </c>
      <c r="B311" s="56" t="inlineStr">
        <is>
          <t>K.9999</t>
        </is>
      </c>
      <c r="C311" s="56" t="inlineStr">
        <is>
          <t>NTCV.0757029</t>
        </is>
      </c>
      <c r="D311" s="57" t="n"/>
      <c r="E311" s="57" t="n"/>
      <c r="F311" s="57" t="n"/>
      <c r="G311" s="57" t="n"/>
      <c r="H311" s="57" t="n"/>
      <c r="J311" s="209" t="inlineStr">
        <is>
          <t>13</t>
        </is>
      </c>
      <c r="K311" s="209" t="inlineStr">
        <is>
          <t>K.9999</t>
        </is>
      </c>
      <c r="L311" s="210" t="inlineStr">
        <is>
          <t xml:space="preserve">Kiểm tra công tác khoan tạo lỗ cọc khoan nhồi </t>
        </is>
      </c>
      <c r="M311" s="210" t="n"/>
      <c r="N311" s="210" t="n"/>
      <c r="O311" s="211" t="inlineStr">
        <is>
          <t>Cầu Km19+529.080</t>
        </is>
      </c>
      <c r="P311" s="212">
        <f>S309</f>
        <v/>
      </c>
      <c r="Q311" s="212">
        <f>P311</f>
        <v/>
      </c>
      <c r="R311" s="212">
        <f>Q311-1</f>
        <v/>
      </c>
      <c r="S311" s="212">
        <f>Q311</f>
        <v/>
      </c>
      <c r="T311" s="213">
        <f>U309</f>
        <v/>
      </c>
      <c r="U311" s="213">
        <f>T311+V311</f>
        <v/>
      </c>
      <c r="V311" s="213" t="n">
        <v>0.375</v>
      </c>
      <c r="W311" s="214">
        <f>TEXT(T311,"HH""h""MM'")&amp;"÷"&amp;TEXT(U311,"HH""h""MM'")</f>
        <v/>
      </c>
      <c r="X311" s="214" t="n"/>
      <c r="Y311" s="214" t="n"/>
      <c r="Z311" s="214" t="inlineStr">
        <is>
          <t>05;</t>
        </is>
      </c>
      <c r="AA311" s="215" t="inlineStr">
        <is>
          <t>Kiểm tra công tác khoan tạo lỗ Cọc khoan nhồi Trụ T1 - Cọc C1</t>
        </is>
      </c>
      <c r="AB311" s="204" t="inlineStr">
        <is>
          <t>09-XL-307HG/PYCNT/CKN/T1/C1-1</t>
        </is>
      </c>
      <c r="AC311" s="204" t="inlineStr">
        <is>
          <t>09-XL-307HG/BBNT/CKN/T1/C1-5</t>
        </is>
      </c>
      <c r="AD311" s="204" t="n"/>
      <c r="AE311" s="204" t="n"/>
      <c r="AF311" s="204" t="n"/>
      <c r="AG311" s="204" t="n"/>
      <c r="AH311" s="204" t="n"/>
      <c r="AI311" s="216" t="n"/>
      <c r="AJ311" s="214" t="n"/>
      <c r="AK311" s="217" t="n"/>
      <c r="AL311" s="214" t="n"/>
      <c r="AM311" s="214" t="n"/>
      <c r="AN311" s="214" t="n"/>
      <c r="AO311" s="214" t="n"/>
      <c r="AP311" s="216" t="n"/>
      <c r="AQ311" s="216" t="n"/>
      <c r="AR311" s="214" t="inlineStr">
        <is>
          <t>Nhóm 1</t>
        </is>
      </c>
      <c r="AS311" s="214" t="n"/>
      <c r="AT311" s="214" t="inlineStr">
        <is>
          <t>HM07</t>
        </is>
      </c>
      <c r="AU311" s="214" t="inlineStr">
        <is>
          <t>NTCV</t>
        </is>
      </c>
      <c r="AV311" s="214" t="n">
        <v>79</v>
      </c>
      <c r="AW311" s="214" t="n">
        <v>4</v>
      </c>
      <c r="AX311" s="214" t="n"/>
    </row>
    <row r="312">
      <c r="A312" s="56" t="inlineStr">
        <is>
          <t>BBK638</t>
        </is>
      </c>
      <c r="B312" s="56" t="inlineStr">
        <is>
          <t>PL05</t>
        </is>
      </c>
      <c r="C312" s="56" t="inlineStr">
        <is>
          <t>BBK638.0800669</t>
        </is>
      </c>
      <c r="D312" s="57" t="n"/>
      <c r="E312" s="57" t="n"/>
      <c r="F312" s="57" t="n"/>
      <c r="G312" s="57" t="n"/>
      <c r="H312" s="57" t="n"/>
      <c r="J312" s="198" t="inlineStr">
        <is>
          <t>14</t>
        </is>
      </c>
      <c r="K312" s="198" t="inlineStr">
        <is>
          <t>PL05</t>
        </is>
      </c>
      <c r="L312" s="199" t="inlineStr">
        <is>
          <t>Kiểm tra công tác khoan tạo lỗ cọc khoan nhồi</t>
        </is>
      </c>
      <c r="M312" s="199" t="n"/>
      <c r="N312" s="199" t="n"/>
      <c r="O312" s="200" t="inlineStr">
        <is>
          <t>Cầu Km19+529.080</t>
        </is>
      </c>
      <c r="P312" s="201" t="n"/>
      <c r="Q312" s="201" t="n"/>
      <c r="R312" s="201" t="n"/>
      <c r="S312" s="201">
        <f>S311</f>
        <v/>
      </c>
      <c r="T312" s="208">
        <f>T311</f>
        <v/>
      </c>
      <c r="U312" s="208" t="n">
        <v>0.75</v>
      </c>
      <c r="V312" s="208">
        <f>U312-T312</f>
        <v/>
      </c>
      <c r="W312" s="202" t="n"/>
      <c r="X312" s="202" t="n"/>
      <c r="Y312" s="202" t="n"/>
      <c r="Z312" s="198" t="inlineStr">
        <is>
          <t>05</t>
        </is>
      </c>
      <c r="AA312" s="203" t="n"/>
      <c r="AB312" s="204" t="inlineStr">
        <is>
          <t>09-XL-307HG/PYCNT/CKN/T1/C1</t>
        </is>
      </c>
      <c r="AC312" s="204">
        <f>AC311</f>
        <v/>
      </c>
      <c r="AD312" s="204" t="n"/>
      <c r="AE312" s="204" t="n"/>
      <c r="AF312" s="255" t="n">
        <v>169.36</v>
      </c>
      <c r="AG312" s="255" t="n"/>
      <c r="AH312" s="204" t="inlineStr">
        <is>
          <t>T1-C1</t>
        </is>
      </c>
      <c r="AI312" s="207" t="n"/>
      <c r="AJ312" s="202" t="n"/>
      <c r="AK312" s="206" t="n"/>
      <c r="AL312" s="202" t="n"/>
      <c r="AM312" s="202" t="n"/>
      <c r="AN312" s="202" t="n"/>
      <c r="AO312" s="202" t="n"/>
      <c r="AP312" s="207" t="n"/>
      <c r="AQ312" s="207" t="n"/>
      <c r="AR312" s="202" t="inlineStr">
        <is>
          <t>Nhóm 1</t>
        </is>
      </c>
      <c r="AS312" s="202" t="n"/>
      <c r="AT312" s="202" t="inlineStr">
        <is>
          <t>HM07</t>
        </is>
      </c>
      <c r="AU312" s="202" t="inlineStr">
        <is>
          <t>PL05</t>
        </is>
      </c>
      <c r="AV312" s="202" t="n">
        <v>3</v>
      </c>
      <c r="AW312" s="202" t="n">
        <v>1</v>
      </c>
      <c r="AX312" s="202" t="n"/>
    </row>
    <row r="313">
      <c r="A313" s="56" t="inlineStr">
        <is>
          <t>BBK680</t>
        </is>
      </c>
      <c r="B313" s="56" t="inlineStr">
        <is>
          <t>PYC</t>
        </is>
      </c>
      <c r="C313" s="56" t="inlineStr">
        <is>
          <t>BBK680.0325205</t>
        </is>
      </c>
      <c r="D313" s="57" t="n"/>
      <c r="E313" s="57" t="n"/>
      <c r="F313" s="57" t="n"/>
      <c r="G313" s="57" t="n"/>
      <c r="H313" s="57" t="n"/>
      <c r="J313" s="198" t="inlineStr">
        <is>
          <t>15</t>
        </is>
      </c>
      <c r="K313" s="198" t="inlineStr">
        <is>
          <t>PYC</t>
        </is>
      </c>
      <c r="L313" s="199" t="inlineStr">
        <is>
          <t>Phiếu yêu cầu nghiệm thu</t>
        </is>
      </c>
      <c r="M313" s="199" t="n"/>
      <c r="N313" s="199" t="n"/>
      <c r="O313" s="200" t="inlineStr">
        <is>
          <t>Cầu Km19+529.080</t>
        </is>
      </c>
      <c r="P313" s="201" t="n"/>
      <c r="Q313" s="201" t="n"/>
      <c r="R313" s="201">
        <f>R314</f>
        <v/>
      </c>
      <c r="S313" s="201" t="n"/>
      <c r="T313" s="201" t="n"/>
      <c r="U313" s="201" t="n"/>
      <c r="V313" s="201" t="n"/>
      <c r="W313" s="202" t="n"/>
      <c r="X313" s="202" t="n"/>
      <c r="Y313" s="202" t="n"/>
      <c r="Z313" s="202" t="n"/>
      <c r="AA313" s="203" t="n"/>
      <c r="AB313" s="204" t="inlineStr">
        <is>
          <t>09-XL-307HG/PYCNT/CKN/T1/C1</t>
        </is>
      </c>
      <c r="AC313" s="205" t="inlineStr"/>
      <c r="AD313" s="205" t="n"/>
      <c r="AE313" s="205" t="n"/>
      <c r="AF313" s="205" t="n"/>
      <c r="AG313" s="205" t="inlineStr">
        <is>
          <t>NTCV;BBKTĐK</t>
        </is>
      </c>
      <c r="AH313" s="204" t="inlineStr">
        <is>
          <t>&gt;=6;&lt;=10</t>
        </is>
      </c>
      <c r="AI313" s="202" t="n"/>
      <c r="AJ313" s="202" t="n"/>
      <c r="AK313" s="206" t="n"/>
      <c r="AL313" s="202" t="n"/>
      <c r="AM313" s="202" t="n"/>
      <c r="AN313" s="202" t="n"/>
      <c r="AO313" s="202" t="n"/>
      <c r="AP313" s="207" t="n"/>
      <c r="AQ313" s="207" t="n"/>
      <c r="AR313" s="202" t="inlineStr">
        <is>
          <t>Nhóm 1</t>
        </is>
      </c>
      <c r="AS313" s="202" t="n"/>
      <c r="AT313" s="202" t="inlineStr">
        <is>
          <t>HM07</t>
        </is>
      </c>
      <c r="AU313" s="202" t="inlineStr">
        <is>
          <t>PYC</t>
        </is>
      </c>
      <c r="AV313" s="202" t="n">
        <v>154</v>
      </c>
      <c r="AW313" s="202" t="n">
        <v>2</v>
      </c>
      <c r="AX313" s="202" t="n"/>
    </row>
    <row r="314" ht="42" customHeight="1" s="672">
      <c r="A314" s="56" t="inlineStr">
        <is>
          <t>NTCV</t>
        </is>
      </c>
      <c r="B314" s="56" t="inlineStr">
        <is>
          <t>K.9999</t>
        </is>
      </c>
      <c r="C314" s="56" t="inlineStr">
        <is>
          <t>NTCV.0972729</t>
        </is>
      </c>
      <c r="D314" s="57" t="n"/>
      <c r="E314" s="57" t="n"/>
      <c r="F314" s="57" t="n"/>
      <c r="G314" s="57" t="n"/>
      <c r="H314" s="57" t="n"/>
      <c r="J314" s="209" t="inlineStr">
        <is>
          <t>16</t>
        </is>
      </c>
      <c r="K314" s="209" t="inlineStr">
        <is>
          <t>K.9999</t>
        </is>
      </c>
      <c r="L314" s="210" t="inlineStr">
        <is>
          <t>Kiểm tra công tác vệ sinh lỗ khoan trước khi hạ lồng cốt thép cọc khoan nhồi</t>
        </is>
      </c>
      <c r="M314" s="210" t="n"/>
      <c r="N314" s="210" t="n"/>
      <c r="O314" s="211" t="inlineStr">
        <is>
          <t>Cầu Km19+529.080</t>
        </is>
      </c>
      <c r="P314" s="212">
        <f>S311+1</f>
        <v/>
      </c>
      <c r="Q314" s="212">
        <f>P314</f>
        <v/>
      </c>
      <c r="R314" s="212">
        <f>Q314-1</f>
        <v/>
      </c>
      <c r="S314" s="212">
        <f>Q314</f>
        <v/>
      </c>
      <c r="T314" s="213" t="n">
        <v>0.3333333333333333</v>
      </c>
      <c r="U314" s="213">
        <f>T314+V314</f>
        <v/>
      </c>
      <c r="V314" s="213" t="n">
        <v>0.01041666666666667</v>
      </c>
      <c r="W314" s="214">
        <f>TEXT(T314,"HH""h""MM'")&amp;"÷"&amp;TEXT(U314,"HH""h""MM'")</f>
        <v/>
      </c>
      <c r="X314" s="214" t="n"/>
      <c r="Y314" s="214" t="n"/>
      <c r="Z314" s="214" t="inlineStr">
        <is>
          <t>06;</t>
        </is>
      </c>
      <c r="AA314" s="215" t="inlineStr">
        <is>
          <t>Kiểm tra công tác vệ sinh lỗ khoan trước khi hạ lồng cốt thép Cọc khoan nhồi Trụ T1 - Cọc C1</t>
        </is>
      </c>
      <c r="AB314" s="204" t="inlineStr">
        <is>
          <t>09-XL-307HG/PYCNT/CKN/T1/C1-2</t>
        </is>
      </c>
      <c r="AC314" s="204" t="inlineStr">
        <is>
          <t>09-XL-307HG/BBNT/CKN/T1/C1-6</t>
        </is>
      </c>
      <c r="AD314" s="204" t="n"/>
      <c r="AE314" s="204" t="n"/>
      <c r="AF314" s="204" t="n"/>
      <c r="AG314" s="204" t="n"/>
      <c r="AH314" s="204" t="n"/>
      <c r="AI314" s="216" t="n"/>
      <c r="AJ314" s="214" t="n"/>
      <c r="AK314" s="217" t="n"/>
      <c r="AL314" s="214" t="n"/>
      <c r="AM314" s="214" t="n"/>
      <c r="AN314" s="214" t="n"/>
      <c r="AO314" s="214" t="n"/>
      <c r="AP314" s="216" t="n"/>
      <c r="AQ314" s="216" t="n"/>
      <c r="AR314" s="214" t="inlineStr">
        <is>
          <t>Nhóm 1</t>
        </is>
      </c>
      <c r="AS314" s="214" t="n"/>
      <c r="AT314" s="214" t="inlineStr">
        <is>
          <t>HM07</t>
        </is>
      </c>
      <c r="AU314" s="214" t="inlineStr">
        <is>
          <t>NTCV</t>
        </is>
      </c>
      <c r="AV314" s="214" t="n">
        <v>85</v>
      </c>
      <c r="AW314" s="214" t="n">
        <v>5</v>
      </c>
      <c r="AX314" s="214" t="n"/>
    </row>
    <row r="315" ht="28" customHeight="1" s="672">
      <c r="A315" s="56" t="inlineStr">
        <is>
          <t>BBK570</t>
        </is>
      </c>
      <c r="B315" s="56" t="inlineStr">
        <is>
          <t>PL06</t>
        </is>
      </c>
      <c r="C315" s="56" t="inlineStr">
        <is>
          <t>BBK570.0804267</t>
        </is>
      </c>
      <c r="D315" s="57" t="n"/>
      <c r="E315" s="57" t="n"/>
      <c r="F315" s="57" t="n"/>
      <c r="G315" s="57" t="n"/>
      <c r="H315" s="57" t="n"/>
      <c r="J315" s="198" t="inlineStr">
        <is>
          <t>17</t>
        </is>
      </c>
      <c r="K315" s="198" t="inlineStr">
        <is>
          <t>PL06</t>
        </is>
      </c>
      <c r="L315" s="199" t="inlineStr">
        <is>
          <t>Kiểm tra công tác vệ sinh lỗ khoan trước khi hạ lồng cốt thép cọc khoan nhồi</t>
        </is>
      </c>
      <c r="M315" s="199" t="n"/>
      <c r="N315" s="199" t="n"/>
      <c r="O315" s="200" t="inlineStr">
        <is>
          <t>Cầu Km19+529.080</t>
        </is>
      </c>
      <c r="P315" s="201" t="n"/>
      <c r="Q315" s="201" t="n"/>
      <c r="R315" s="201" t="n"/>
      <c r="S315" s="201">
        <f>S314</f>
        <v/>
      </c>
      <c r="T315" s="201" t="n"/>
      <c r="U315" s="201" t="n"/>
      <c r="V315" s="201" t="n"/>
      <c r="W315" s="202" t="n"/>
      <c r="X315" s="265" t="n">
        <v>127.36</v>
      </c>
      <c r="Y315" s="265">
        <f>X315-0.02</f>
        <v/>
      </c>
      <c r="Z315" s="198" t="inlineStr">
        <is>
          <t>06</t>
        </is>
      </c>
      <c r="AA315" s="203" t="n"/>
      <c r="AB315" s="204" t="inlineStr">
        <is>
          <t>09-XL-307HG/PYCNT/CKN/T1/C1-2</t>
        </is>
      </c>
      <c r="AC315" s="204">
        <f>AC314</f>
        <v/>
      </c>
      <c r="AD315" s="204" t="n"/>
      <c r="AE315" s="204" t="n"/>
      <c r="AF315" s="204" t="n"/>
      <c r="AG315" s="204" t="n"/>
      <c r="AH315" s="204" t="n"/>
      <c r="AI315" s="202" t="n"/>
      <c r="AJ315" s="202" t="n"/>
      <c r="AK315" s="206" t="n"/>
      <c r="AL315" s="202" t="n"/>
      <c r="AM315" s="202" t="n"/>
      <c r="AN315" s="202" t="n"/>
      <c r="AO315" s="202" t="n"/>
      <c r="AP315" s="207" t="n"/>
      <c r="AQ315" s="207" t="n"/>
      <c r="AR315" s="202" t="inlineStr">
        <is>
          <t>Nhóm 1</t>
        </is>
      </c>
      <c r="AS315" s="202" t="n"/>
      <c r="AT315" s="202" t="inlineStr">
        <is>
          <t>HM07</t>
        </is>
      </c>
      <c r="AU315" s="202" t="inlineStr">
        <is>
          <t>PL06</t>
        </is>
      </c>
      <c r="AV315" s="202" t="n">
        <v>3</v>
      </c>
      <c r="AW315" s="202" t="n">
        <v>1</v>
      </c>
      <c r="AX315" s="202" t="n"/>
    </row>
    <row r="316" ht="28" customHeight="1" s="672">
      <c r="A316" s="56" t="inlineStr">
        <is>
          <t>NTCV</t>
        </is>
      </c>
      <c r="B316" s="56" t="inlineStr">
        <is>
          <t>K.9999</t>
        </is>
      </c>
      <c r="C316" s="56" t="inlineStr">
        <is>
          <t>NTCV.0674826</t>
        </is>
      </c>
      <c r="D316" s="57" t="n"/>
      <c r="E316" s="57" t="n"/>
      <c r="F316" s="57" t="n"/>
      <c r="G316" s="57" t="n"/>
      <c r="H316" s="57" t="n"/>
      <c r="J316" s="209" t="inlineStr">
        <is>
          <t>18</t>
        </is>
      </c>
      <c r="K316" s="209" t="inlineStr">
        <is>
          <t>K.9999</t>
        </is>
      </c>
      <c r="L316" s="210" t="inlineStr">
        <is>
          <t xml:space="preserve">Nghiệm thu công tác hạ lồng thép </t>
        </is>
      </c>
      <c r="M316" s="210" t="n"/>
      <c r="N316" s="210" t="n"/>
      <c r="O316" s="211" t="inlineStr">
        <is>
          <t>Cầu Km19+529.080</t>
        </is>
      </c>
      <c r="P316" s="212">
        <f>S314</f>
        <v/>
      </c>
      <c r="Q316" s="212">
        <f>P316</f>
        <v/>
      </c>
      <c r="R316" s="212">
        <f>Q316-1</f>
        <v/>
      </c>
      <c r="S316" s="212">
        <f>Q316</f>
        <v/>
      </c>
      <c r="T316" s="213">
        <f>U314</f>
        <v/>
      </c>
      <c r="U316" s="213">
        <f>T316+V316</f>
        <v/>
      </c>
      <c r="V316" s="213" t="n">
        <v>0.03125</v>
      </c>
      <c r="W316" s="214">
        <f>TEXT(T316,"HH""h""MM'")&amp;"÷"&amp;TEXT(U316,"HH""h""MM'")</f>
        <v/>
      </c>
      <c r="X316" s="214" t="n"/>
      <c r="Y316" s="214" t="n"/>
      <c r="Z316" s="214" t="inlineStr">
        <is>
          <t>07;</t>
        </is>
      </c>
      <c r="AA316" s="215" t="inlineStr">
        <is>
          <t>Công tác hạ lồng thép Cọc khoan nhồi Trụ T1 - Cọc C1</t>
        </is>
      </c>
      <c r="AB316" s="204" t="inlineStr">
        <is>
          <t>09-XL-307HG/PYCNT/CKN/T1/C1-2</t>
        </is>
      </c>
      <c r="AC316" s="204" t="inlineStr">
        <is>
          <t>09-XL-307HG/BBNT/CKN/T1/C1-7</t>
        </is>
      </c>
      <c r="AD316" s="204" t="n"/>
      <c r="AE316" s="204" t="n"/>
      <c r="AF316" s="204" t="n"/>
      <c r="AG316" s="204" t="n"/>
      <c r="AH316" s="204" t="n"/>
      <c r="AI316" s="214" t="n"/>
      <c r="AJ316" s="214" t="n"/>
      <c r="AK316" s="217" t="n"/>
      <c r="AL316" s="214" t="n"/>
      <c r="AM316" s="214" t="n"/>
      <c r="AN316" s="214" t="n"/>
      <c r="AO316" s="214" t="n"/>
      <c r="AP316" s="216" t="n"/>
      <c r="AQ316" s="216" t="n"/>
      <c r="AR316" s="214" t="inlineStr">
        <is>
          <t>Nhóm 1</t>
        </is>
      </c>
      <c r="AS316" s="214" t="n"/>
      <c r="AT316" s="214" t="inlineStr">
        <is>
          <t>HM07</t>
        </is>
      </c>
      <c r="AU316" s="214" t="inlineStr">
        <is>
          <t>NTCV</t>
        </is>
      </c>
      <c r="AV316" s="214" t="n">
        <v>87</v>
      </c>
      <c r="AW316" s="214" t="n">
        <v>6</v>
      </c>
      <c r="AX316" s="214" t="n"/>
    </row>
    <row r="317">
      <c r="A317" s="56" t="inlineStr">
        <is>
          <t>BBK396</t>
        </is>
      </c>
      <c r="B317" s="56" t="inlineStr">
        <is>
          <t>PL07</t>
        </is>
      </c>
      <c r="C317" s="56" t="inlineStr">
        <is>
          <t>BBK396.0905129</t>
        </is>
      </c>
      <c r="D317" s="57" t="n"/>
      <c r="E317" s="57" t="n"/>
      <c r="F317" s="57" t="n"/>
      <c r="G317" s="57" t="n"/>
      <c r="H317" s="57" t="n"/>
      <c r="J317" s="198" t="inlineStr">
        <is>
          <t>19</t>
        </is>
      </c>
      <c r="K317" s="198" t="inlineStr">
        <is>
          <t>PL07</t>
        </is>
      </c>
      <c r="L317" s="199" t="inlineStr">
        <is>
          <t>Nghiệm thu công tác hạ lồng thép</t>
        </is>
      </c>
      <c r="M317" s="199" t="n"/>
      <c r="N317" s="199" t="n"/>
      <c r="O317" s="200" t="inlineStr">
        <is>
          <t>Cầu Km19+529.080</t>
        </is>
      </c>
      <c r="P317" s="201" t="n"/>
      <c r="Q317" s="201" t="n"/>
      <c r="R317" s="201" t="n"/>
      <c r="S317" s="201">
        <f>S316</f>
        <v/>
      </c>
      <c r="T317" s="201" t="n"/>
      <c r="U317" s="201" t="n"/>
      <c r="V317" s="201" t="n"/>
      <c r="W317" s="202" t="n"/>
      <c r="X317" s="202" t="n"/>
      <c r="Y317" s="202" t="n"/>
      <c r="Z317" s="198" t="inlineStr">
        <is>
          <t>07</t>
        </is>
      </c>
      <c r="AA317" s="203" t="n"/>
      <c r="AB317" s="204" t="inlineStr">
        <is>
          <t>09-XL-307HG/PYCNT/CKN/T1/C1-2</t>
        </is>
      </c>
      <c r="AC317" s="204">
        <f>AC316</f>
        <v/>
      </c>
      <c r="AD317" s="204" t="n"/>
      <c r="AE317" s="204" t="n"/>
      <c r="AF317" s="204" t="n"/>
      <c r="AG317" s="204" t="n"/>
      <c r="AH317" s="204" t="n"/>
      <c r="AI317" s="202" t="n"/>
      <c r="AJ317" s="202" t="n"/>
      <c r="AK317" s="206" t="n"/>
      <c r="AL317" s="202" t="n"/>
      <c r="AM317" s="202" t="n"/>
      <c r="AN317" s="202" t="n"/>
      <c r="AO317" s="202" t="n"/>
      <c r="AP317" s="207" t="n"/>
      <c r="AQ317" s="207" t="n"/>
      <c r="AR317" s="202" t="inlineStr">
        <is>
          <t>Nhóm 1</t>
        </is>
      </c>
      <c r="AS317" s="202" t="n"/>
      <c r="AT317" s="202" t="inlineStr">
        <is>
          <t>HM07</t>
        </is>
      </c>
      <c r="AU317" s="202" t="inlineStr">
        <is>
          <t>PL07</t>
        </is>
      </c>
      <c r="AV317" s="202" t="n">
        <v>3</v>
      </c>
      <c r="AW317" s="202" t="n">
        <v>1</v>
      </c>
      <c r="AX317" s="202" t="n"/>
    </row>
    <row r="318" ht="42" customHeight="1" s="672">
      <c r="A318" s="56" t="inlineStr">
        <is>
          <t>NTCV</t>
        </is>
      </c>
      <c r="B318" s="56" t="inlineStr">
        <is>
          <t>K.9999</t>
        </is>
      </c>
      <c r="C318" s="56" t="inlineStr">
        <is>
          <t>NTCV.0875779</t>
        </is>
      </c>
      <c r="D318" s="57" t="n"/>
      <c r="E318" s="57" t="n"/>
      <c r="F318" s="57" t="n"/>
      <c r="G318" s="57" t="n"/>
      <c r="H318" s="57" t="n"/>
      <c r="J318" s="209" t="inlineStr">
        <is>
          <t>20</t>
        </is>
      </c>
      <c r="K318" s="209" t="inlineStr">
        <is>
          <t>K.9999</t>
        </is>
      </c>
      <c r="L318" s="210" t="inlineStr">
        <is>
          <t xml:space="preserve">Kiểm tra công tác vệ sinh lỗ khoan cọc khoan nhồi trước khi đổ bê tông </t>
        </is>
      </c>
      <c r="M318" s="210" t="n"/>
      <c r="N318" s="210" t="n"/>
      <c r="O318" s="211" t="inlineStr">
        <is>
          <t>Cầu Km19+529.080</t>
        </is>
      </c>
      <c r="P318" s="212">
        <f>S316</f>
        <v/>
      </c>
      <c r="Q318" s="212">
        <f>P318</f>
        <v/>
      </c>
      <c r="R318" s="212">
        <f>Q318-1</f>
        <v/>
      </c>
      <c r="S318" s="212">
        <f>Q318</f>
        <v/>
      </c>
      <c r="T318" s="213">
        <f>U316</f>
        <v/>
      </c>
      <c r="U318" s="213">
        <f>T318+V318</f>
        <v/>
      </c>
      <c r="V318" s="213" t="n">
        <v>0.02083333333333333</v>
      </c>
      <c r="W318" s="214">
        <f>TEXT(T318,"HH""h""MM'")&amp;"÷"&amp;TEXT(U318,"HH""h""MM'")</f>
        <v/>
      </c>
      <c r="X318" s="214" t="n"/>
      <c r="Y318" s="214" t="n"/>
      <c r="Z318" s="214" t="inlineStr">
        <is>
          <t>08;</t>
        </is>
      </c>
      <c r="AA318" s="215" t="inlineStr">
        <is>
          <t>Kiểm tra công tác vệ sinh lỗ khoan cọc khoan nhồi trước khi đổ bê tông Cọc khoan nhồi Trụ T1 - Cọc C1</t>
        </is>
      </c>
      <c r="AB318" s="204" t="inlineStr">
        <is>
          <t>09-XL-307HG/PYCNT/CKN/T1/C1-2</t>
        </is>
      </c>
      <c r="AC318" s="204" t="inlineStr">
        <is>
          <t>09-XL-307HG/BBNT/CKN/T1/C1-8</t>
        </is>
      </c>
      <c r="AD318" s="204" t="n"/>
      <c r="AE318" s="204" t="n"/>
      <c r="AF318" s="204" t="n"/>
      <c r="AG318" s="204" t="n"/>
      <c r="AH318" s="204" t="n"/>
      <c r="AI318" s="214" t="n"/>
      <c r="AJ318" s="214" t="n"/>
      <c r="AK318" s="217" t="n"/>
      <c r="AL318" s="214" t="n"/>
      <c r="AM318" s="214" t="n"/>
      <c r="AN318" s="214" t="n"/>
      <c r="AO318" s="214" t="n"/>
      <c r="AP318" s="216" t="n"/>
      <c r="AQ318" s="216" t="n"/>
      <c r="AR318" s="214" t="inlineStr">
        <is>
          <t>Nhóm 1</t>
        </is>
      </c>
      <c r="AS318" s="214" t="n"/>
      <c r="AT318" s="214" t="inlineStr">
        <is>
          <t>HM07</t>
        </is>
      </c>
      <c r="AU318" s="214" t="inlineStr">
        <is>
          <t>NTCV</t>
        </is>
      </c>
      <c r="AV318" s="214" t="n">
        <v>89</v>
      </c>
      <c r="AW318" s="214" t="n">
        <v>7</v>
      </c>
      <c r="AX318" s="214" t="n"/>
    </row>
    <row r="319" ht="28" customHeight="1" s="672">
      <c r="A319" s="56" t="inlineStr">
        <is>
          <t>BBK521</t>
        </is>
      </c>
      <c r="B319" s="56" t="inlineStr">
        <is>
          <t>PL08</t>
        </is>
      </c>
      <c r="C319" s="56" t="inlineStr">
        <is>
          <t>BBK521.0416648</t>
        </is>
      </c>
      <c r="D319" s="57" t="n"/>
      <c r="E319" s="57" t="n"/>
      <c r="F319" s="57" t="n"/>
      <c r="G319" s="57" t="n"/>
      <c r="H319" s="57" t="n"/>
      <c r="J319" s="198" t="inlineStr">
        <is>
          <t>21</t>
        </is>
      </c>
      <c r="K319" s="198" t="inlineStr">
        <is>
          <t>PL08</t>
        </is>
      </c>
      <c r="L319" s="199" t="inlineStr">
        <is>
          <t>Kiểm tra công tác vệ sinh lỗ khoan cọc khoan nhồi trước khi đổ bê tông</t>
        </is>
      </c>
      <c r="M319" s="199" t="n"/>
      <c r="N319" s="199" t="n"/>
      <c r="O319" s="200" t="inlineStr">
        <is>
          <t>Cầu Km19+529.080</t>
        </is>
      </c>
      <c r="P319" s="201" t="n"/>
      <c r="Q319" s="201" t="n"/>
      <c r="R319" s="201" t="n"/>
      <c r="S319" s="201">
        <f>S318</f>
        <v/>
      </c>
      <c r="T319" s="201" t="n"/>
      <c r="U319" s="201" t="n"/>
      <c r="V319" s="201" t="n"/>
      <c r="W319" s="202" t="n"/>
      <c r="X319" s="202" t="n"/>
      <c r="Y319" s="202" t="n"/>
      <c r="Z319" s="198" t="inlineStr">
        <is>
          <t>08</t>
        </is>
      </c>
      <c r="AA319" s="203" t="n"/>
      <c r="AB319" s="204" t="inlineStr">
        <is>
          <t>09-XL-307HG/PYCNT/CKN/T1/C1-2</t>
        </is>
      </c>
      <c r="AC319" s="204">
        <f>AC318</f>
        <v/>
      </c>
      <c r="AD319" s="204" t="n"/>
      <c r="AE319" s="204" t="n"/>
      <c r="AF319" s="204" t="n"/>
      <c r="AG319" s="204" t="n"/>
      <c r="AH319" s="204" t="n"/>
      <c r="AI319" s="202" t="n"/>
      <c r="AJ319" s="202" t="n"/>
      <c r="AK319" s="206" t="n"/>
      <c r="AL319" s="202" t="n"/>
      <c r="AM319" s="202" t="n"/>
      <c r="AN319" s="202" t="n"/>
      <c r="AO319" s="202" t="n"/>
      <c r="AP319" s="207" t="n"/>
      <c r="AQ319" s="207" t="n"/>
      <c r="AR319" s="202" t="inlineStr">
        <is>
          <t>Nhóm 1</t>
        </is>
      </c>
      <c r="AS319" s="202" t="n"/>
      <c r="AT319" s="202" t="inlineStr">
        <is>
          <t>HM07</t>
        </is>
      </c>
      <c r="AU319" s="202" t="inlineStr">
        <is>
          <t>PL08</t>
        </is>
      </c>
      <c r="AV319" s="202" t="n">
        <v>3</v>
      </c>
      <c r="AW319" s="202" t="n">
        <v>1</v>
      </c>
      <c r="AX319" s="202" t="n"/>
    </row>
    <row r="320" ht="28" customHeight="1" s="672">
      <c r="A320" s="56" t="inlineStr">
        <is>
          <t>NTCV</t>
        </is>
      </c>
      <c r="B320" s="56" t="inlineStr">
        <is>
          <t>K.9999</t>
        </is>
      </c>
      <c r="C320" s="56" t="inlineStr">
        <is>
          <t>NTCV.0123082</t>
        </is>
      </c>
      <c r="D320" s="57" t="n"/>
      <c r="E320" s="57" t="n"/>
      <c r="F320" s="57" t="n"/>
      <c r="G320" s="57" t="n"/>
      <c r="H320" s="57" t="n"/>
      <c r="J320" s="209" t="inlineStr">
        <is>
          <t>22</t>
        </is>
      </c>
      <c r="K320" s="209" t="inlineStr">
        <is>
          <t>K.9999</t>
        </is>
      </c>
      <c r="L320" s="210" t="inlineStr">
        <is>
          <t xml:space="preserve">Kiểm tra công tác chuẩn bị đổ bê tông cọc khoan nhồi </t>
        </is>
      </c>
      <c r="M320" s="210" t="n"/>
      <c r="N320" s="210" t="n"/>
      <c r="O320" s="211" t="inlineStr">
        <is>
          <t>Cầu Km19+529.080</t>
        </is>
      </c>
      <c r="P320" s="212">
        <f>S318</f>
        <v/>
      </c>
      <c r="Q320" s="212">
        <f>P320</f>
        <v/>
      </c>
      <c r="R320" s="212">
        <f>Q320-1</f>
        <v/>
      </c>
      <c r="S320" s="212">
        <f>Q320</f>
        <v/>
      </c>
      <c r="T320" s="213">
        <f>U318</f>
        <v/>
      </c>
      <c r="U320" s="213">
        <f>T320+V320</f>
        <v/>
      </c>
      <c r="V320" s="213" t="n">
        <v>0.02083333333333333</v>
      </c>
      <c r="W320" s="214">
        <f>TEXT(T320,"HH""h""MM'")&amp;"÷"&amp;TEXT(U320,"HH""h""MM'")</f>
        <v/>
      </c>
      <c r="X320" s="214" t="n"/>
      <c r="Y320" s="214" t="n"/>
      <c r="Z320" s="214" t="inlineStr">
        <is>
          <t>09;</t>
        </is>
      </c>
      <c r="AA320" s="215" t="inlineStr">
        <is>
          <t>Kiểm tra công tác chuẩn bị đổ bê tông Cọc khoan nhồi Trụ T1 - Cọc C1</t>
        </is>
      </c>
      <c r="AB320" s="204" t="inlineStr">
        <is>
          <t>09-XL-307HG/PYCNT/CKN/T1/C1-2</t>
        </is>
      </c>
      <c r="AC320" s="204" t="inlineStr">
        <is>
          <t>09-XL-307HG/BBNT/CKN/T1/C1-9</t>
        </is>
      </c>
      <c r="AD320" s="204" t="n"/>
      <c r="AE320" s="204" t="n"/>
      <c r="AF320" s="204" t="n"/>
      <c r="AG320" s="204" t="n"/>
      <c r="AH320" s="204" t="n"/>
      <c r="AI320" s="214" t="n"/>
      <c r="AJ320" s="214" t="n"/>
      <c r="AK320" s="217" t="n"/>
      <c r="AL320" s="214" t="n"/>
      <c r="AM320" s="214" t="n"/>
      <c r="AN320" s="214" t="n"/>
      <c r="AO320" s="214" t="n"/>
      <c r="AP320" s="216" t="n"/>
      <c r="AQ320" s="216" t="n"/>
      <c r="AR320" s="214" t="inlineStr">
        <is>
          <t>Nhóm 1</t>
        </is>
      </c>
      <c r="AS320" s="214" t="n"/>
      <c r="AT320" s="214" t="inlineStr">
        <is>
          <t>HM07</t>
        </is>
      </c>
      <c r="AU320" s="214" t="inlineStr">
        <is>
          <t>NTCV</t>
        </is>
      </c>
      <c r="AV320" s="214" t="n">
        <v>91</v>
      </c>
      <c r="AW320" s="214" t="n">
        <v>8</v>
      </c>
      <c r="AX320" s="214" t="n"/>
    </row>
    <row r="321">
      <c r="A321" s="56" t="inlineStr">
        <is>
          <t>BBK209</t>
        </is>
      </c>
      <c r="B321" s="56" t="inlineStr">
        <is>
          <t>PL09</t>
        </is>
      </c>
      <c r="C321" s="56" t="inlineStr">
        <is>
          <t>BBK209.0954157</t>
        </is>
      </c>
      <c r="D321" s="57" t="n"/>
      <c r="E321" s="57" t="n"/>
      <c r="F321" s="57" t="n"/>
      <c r="G321" s="57" t="n"/>
      <c r="H321" s="57" t="n"/>
      <c r="J321" s="198" t="inlineStr">
        <is>
          <t>23</t>
        </is>
      </c>
      <c r="K321" s="198" t="inlineStr">
        <is>
          <t>PL09</t>
        </is>
      </c>
      <c r="L321" s="199" t="inlineStr">
        <is>
          <t>Kiểm tra công tác chuẩn bị đổ bê tông cọc khoan nhồi</t>
        </is>
      </c>
      <c r="M321" s="199" t="n"/>
      <c r="N321" s="199" t="n"/>
      <c r="O321" s="200" t="inlineStr">
        <is>
          <t>Cầu Km19+529.080</t>
        </is>
      </c>
      <c r="P321" s="201" t="n"/>
      <c r="Q321" s="201" t="n"/>
      <c r="R321" s="201" t="n"/>
      <c r="S321" s="201">
        <f>S320</f>
        <v/>
      </c>
      <c r="T321" s="201" t="n"/>
      <c r="U321" s="201" t="n"/>
      <c r="V321" s="201" t="n"/>
      <c r="W321" s="202" t="n"/>
      <c r="X321" s="202" t="n"/>
      <c r="Y321" s="202" t="n"/>
      <c r="Z321" s="198" t="inlineStr">
        <is>
          <t>09</t>
        </is>
      </c>
      <c r="AA321" s="203" t="n"/>
      <c r="AB321" s="204" t="inlineStr">
        <is>
          <t>09-XL-307HG/PYCNT/CKN/T1/C1-2</t>
        </is>
      </c>
      <c r="AC321" s="204">
        <f>AC320</f>
        <v/>
      </c>
      <c r="AD321" s="204" t="n"/>
      <c r="AE321" s="204" t="n"/>
      <c r="AF321" s="204" t="n"/>
      <c r="AG321" s="204" t="n"/>
      <c r="AH321" s="204" t="inlineStr">
        <is>
          <t>C30(1)</t>
        </is>
      </c>
      <c r="AI321" s="202" t="n"/>
      <c r="AJ321" s="202" t="n"/>
      <c r="AK321" s="206" t="n"/>
      <c r="AL321" s="202" t="n"/>
      <c r="AM321" s="202" t="n"/>
      <c r="AN321" s="202" t="n"/>
      <c r="AO321" s="202" t="n"/>
      <c r="AP321" s="207" t="n"/>
      <c r="AQ321" s="207" t="n"/>
      <c r="AR321" s="202" t="inlineStr">
        <is>
          <t>Nhóm 1</t>
        </is>
      </c>
      <c r="AS321" s="202" t="n"/>
      <c r="AT321" s="202" t="inlineStr">
        <is>
          <t>HM07</t>
        </is>
      </c>
      <c r="AU321" s="202" t="inlineStr">
        <is>
          <t>PL09</t>
        </is>
      </c>
      <c r="AV321" s="202" t="n">
        <v>3</v>
      </c>
      <c r="AW321" s="202" t="n">
        <v>1</v>
      </c>
      <c r="AX321" s="202" t="n"/>
    </row>
    <row r="322" ht="28" customHeight="1" s="672">
      <c r="A322" s="56" t="inlineStr">
        <is>
          <t>NTCV</t>
        </is>
      </c>
      <c r="B322" s="56" t="inlineStr">
        <is>
          <t>K.9999</t>
        </is>
      </c>
      <c r="C322" s="56" t="inlineStr">
        <is>
          <t>NTCV.0797297</t>
        </is>
      </c>
      <c r="D322" s="57" t="n"/>
      <c r="E322" s="57" t="n"/>
      <c r="F322" s="57" t="n"/>
      <c r="G322" s="57" t="n"/>
      <c r="H322" s="57" t="n"/>
      <c r="J322" s="209" t="inlineStr">
        <is>
          <t>24</t>
        </is>
      </c>
      <c r="K322" s="209" t="inlineStr">
        <is>
          <t>K.9999</t>
        </is>
      </c>
      <c r="L322" s="210" t="inlineStr">
        <is>
          <t>Theo dõi quá trình đổ bê tông cọc khoan nhồi</t>
        </is>
      </c>
      <c r="M322" s="210" t="n"/>
      <c r="N322" s="210" t="n"/>
      <c r="O322" s="211" t="inlineStr">
        <is>
          <t>Cầu Km19+529.080</t>
        </is>
      </c>
      <c r="P322" s="212">
        <f>S320</f>
        <v/>
      </c>
      <c r="Q322" s="212">
        <f>P322</f>
        <v/>
      </c>
      <c r="R322" s="212">
        <f>Q322-1</f>
        <v/>
      </c>
      <c r="S322" s="212">
        <f>Q322</f>
        <v/>
      </c>
      <c r="T322" s="213">
        <f>U320</f>
        <v/>
      </c>
      <c r="U322" s="213">
        <f>T322+V322</f>
        <v/>
      </c>
      <c r="V322" s="213" t="n">
        <v>0.1458333333333333</v>
      </c>
      <c r="W322" s="214">
        <f>TEXT(T322,"HH""h""MM'")&amp;"÷"&amp;TEXT(U322,"HH""h""MM'")</f>
        <v/>
      </c>
      <c r="X322" s="214" t="n"/>
      <c r="Y322" s="214" t="n"/>
      <c r="Z322" s="214" t="inlineStr">
        <is>
          <t>10;</t>
        </is>
      </c>
      <c r="AA322" s="215" t="inlineStr">
        <is>
          <t>Theo dõi quá trình đổ bê tông  Cọc khoan nhồi Trụ T1 - Cọc C1</t>
        </is>
      </c>
      <c r="AB322" s="204" t="inlineStr">
        <is>
          <t>09-XL-307HG/PYCNT/CKN/T1/C1-2</t>
        </is>
      </c>
      <c r="AC322" s="204" t="inlineStr">
        <is>
          <t>09-XL-307HG/BBNT/CKN/T1/C1-10</t>
        </is>
      </c>
      <c r="AD322" s="204" t="n"/>
      <c r="AE322" s="204" t="n"/>
      <c r="AF322" s="204" t="n"/>
      <c r="AG322" s="204" t="n"/>
      <c r="AH322" s="204" t="n"/>
      <c r="AI322" s="214" t="n"/>
      <c r="AJ322" s="214" t="n"/>
      <c r="AK322" s="217" t="n"/>
      <c r="AL322" s="214" t="n"/>
      <c r="AM322" s="214" t="n"/>
      <c r="AN322" s="214" t="n"/>
      <c r="AO322" s="214" t="n"/>
      <c r="AP322" s="216" t="n"/>
      <c r="AQ322" s="216" t="n"/>
      <c r="AR322" s="214" t="inlineStr">
        <is>
          <t>Nhóm 1</t>
        </is>
      </c>
      <c r="AS322" s="214" t="n"/>
      <c r="AT322" s="214" t="inlineStr">
        <is>
          <t>HM07</t>
        </is>
      </c>
      <c r="AU322" s="214" t="inlineStr">
        <is>
          <t>NTCV</t>
        </is>
      </c>
      <c r="AV322" s="214" t="n">
        <v>92</v>
      </c>
      <c r="AW322" s="214" t="n">
        <v>9</v>
      </c>
      <c r="AX322" s="214" t="n"/>
    </row>
    <row r="323" ht="84" customHeight="1" s="672">
      <c r="A323" s="56" t="inlineStr">
        <is>
          <t>LMHT</t>
        </is>
      </c>
      <c r="B323" s="56" t="inlineStr">
        <is>
          <t>LMHT</t>
        </is>
      </c>
      <c r="C323" s="56" t="inlineStr">
        <is>
          <t>LMHT.0696285</t>
        </is>
      </c>
      <c r="D323" s="57" t="inlineStr">
        <is>
          <t>TC.000041|TC.000182|TC.000169.A</t>
        </is>
      </c>
      <c r="E323" s="57" t="n"/>
      <c r="F323" s="57" t="inlineStr">
        <is>
          <t>CP.0001^Cọc khoan nhồi Trụ T1 - Cọc C1^Hình Trụ 15x30 (cm)^12^30 Mpa, 18±2^^^TC.000041|TC.000182|TC.000169.A</t>
        </is>
      </c>
      <c r="G323" s="57" t="n"/>
      <c r="H323" s="57" t="inlineStr">
        <is>
          <t>^^A|C|J|O|S|X|Z^Stt|Hạng mục|Cấp bê tông|Kích thước mẫu|Số lượng mẫu|Ghi chú^|||||</t>
        </is>
      </c>
      <c r="J323" s="256" t="inlineStr">
        <is>
          <t>25</t>
        </is>
      </c>
      <c r="K323" s="256" t="inlineStr">
        <is>
          <t>LMHT</t>
        </is>
      </c>
      <c r="L323" s="257" t="inlineStr">
        <is>
          <t>Lấy mẫu bê tông Cọc khoan nhồi, 30(1) Mpa Trụ T1 - Cọc C1</t>
        </is>
      </c>
      <c r="M323" s="257" t="n"/>
      <c r="N323" s="257" t="n"/>
      <c r="O323" s="258" t="inlineStr">
        <is>
          <t>Cầu Km19+529.080</t>
        </is>
      </c>
      <c r="P323" s="259" t="n"/>
      <c r="Q323" s="259" t="n"/>
      <c r="R323" s="259" t="n"/>
      <c r="S323" s="259">
        <f>S322</f>
        <v/>
      </c>
      <c r="T323" s="260">
        <f>T322</f>
        <v/>
      </c>
      <c r="U323" s="260">
        <f>U322</f>
        <v/>
      </c>
      <c r="V323" s="260">
        <f>V322</f>
        <v/>
      </c>
      <c r="W323" s="261">
        <f>TEXT(T323,"HH""h""MM'")&amp;"÷"&amp;TEXT(U323,"HH""h""MM'")</f>
        <v/>
      </c>
      <c r="X323" s="262" t="n"/>
      <c r="Y323" s="262" t="n"/>
      <c r="Z323" s="262" t="n"/>
      <c r="AA323" s="262" t="n"/>
      <c r="AB323" s="263" t="inlineStr">
        <is>
          <t>09-XL-307HG/PYCNT/CKN/T1/C1-2</t>
        </is>
      </c>
      <c r="AC323" s="263" t="inlineStr"/>
      <c r="AD323" s="264" t="n"/>
      <c r="AE323" s="264" t="n"/>
      <c r="AF323" s="264" t="n"/>
      <c r="AG323" s="264" t="n"/>
      <c r="AH323" s="264" t="n"/>
      <c r="AI323" s="257" t="n"/>
      <c r="AJ323" s="262" t="n"/>
      <c r="AK323" s="258" t="n"/>
      <c r="AL323" s="262" t="n"/>
      <c r="AM323" s="262" t="n"/>
      <c r="AN323" s="262" t="n"/>
      <c r="AO323" s="262" t="n"/>
      <c r="AP323" s="263" t="inlineStr">
        <is>
          <t>Bảng lấy mẫu CKN</t>
        </is>
      </c>
      <c r="AQ323" s="263" t="n"/>
      <c r="AR323" s="262" t="inlineStr">
        <is>
          <t>Nhóm 1</t>
        </is>
      </c>
      <c r="AS323" s="262" t="n"/>
      <c r="AT323" s="262" t="inlineStr">
        <is>
          <t>HM07</t>
        </is>
      </c>
      <c r="AU323" s="262" t="inlineStr">
        <is>
          <t>LMHT</t>
        </is>
      </c>
      <c r="AV323" s="262" t="n">
        <v>6</v>
      </c>
      <c r="AW323" s="262" t="n">
        <v>1</v>
      </c>
      <c r="AX323" s="262" t="inlineStr">
        <is>
          <t>Cọc T1-C1: xi măng Lần 2 [BT dòng 6].</t>
        </is>
      </c>
    </row>
    <row r="324">
      <c r="A324" s="56" t="inlineStr">
        <is>
          <t>BBK994</t>
        </is>
      </c>
      <c r="B324" s="56" t="inlineStr">
        <is>
          <t>PL10</t>
        </is>
      </c>
      <c r="C324" s="56" t="inlineStr">
        <is>
          <t>BBK994.0401604</t>
        </is>
      </c>
      <c r="D324" s="57" t="n"/>
      <c r="E324" s="57" t="n"/>
      <c r="F324" s="57" t="n"/>
      <c r="G324" s="57" t="n"/>
      <c r="H324" s="57" t="n"/>
      <c r="J324" s="198" t="inlineStr">
        <is>
          <t>26</t>
        </is>
      </c>
      <c r="K324" s="198" t="inlineStr">
        <is>
          <t>PL10</t>
        </is>
      </c>
      <c r="L324" s="199" t="inlineStr">
        <is>
          <t>Theo dõi quá trình đổ bê tông cọc khoan nhồi</t>
        </is>
      </c>
      <c r="M324" s="199" t="n"/>
      <c r="N324" s="199" t="n"/>
      <c r="O324" s="200" t="inlineStr">
        <is>
          <t>Cầu Km19+529.080</t>
        </is>
      </c>
      <c r="P324" s="201" t="n"/>
      <c r="Q324" s="201" t="n"/>
      <c r="R324" s="201" t="n"/>
      <c r="S324" s="201">
        <f>S322</f>
        <v/>
      </c>
      <c r="T324" s="201" t="n"/>
      <c r="U324" s="201" t="n"/>
      <c r="V324" s="201" t="n"/>
      <c r="W324" s="202" t="n"/>
      <c r="X324" s="202" t="n"/>
      <c r="Y324" s="202" t="n"/>
      <c r="Z324" s="198" t="inlineStr">
        <is>
          <t>10</t>
        </is>
      </c>
      <c r="AA324" s="203" t="n"/>
      <c r="AB324" s="204" t="inlineStr">
        <is>
          <t>09-XL-307HG/PYCNT/CKN/T1/C1-2</t>
        </is>
      </c>
      <c r="AC324" s="204">
        <f>AC322</f>
        <v/>
      </c>
      <c r="AD324" s="204" t="n"/>
      <c r="AE324" s="204" t="n"/>
      <c r="AF324" s="204" t="n"/>
      <c r="AG324" s="204" t="n"/>
      <c r="AH324" s="204" t="inlineStr">
        <is>
          <t>T1-C1</t>
        </is>
      </c>
      <c r="AI324" s="202" t="n"/>
      <c r="AJ324" s="202" t="n"/>
      <c r="AK324" s="206" t="n"/>
      <c r="AL324" s="202" t="n"/>
      <c r="AM324" s="202" t="n"/>
      <c r="AN324" s="202" t="n"/>
      <c r="AO324" s="202" t="n"/>
      <c r="AP324" s="207" t="n"/>
      <c r="AQ324" s="207" t="inlineStr">
        <is>
          <t>Ảnh\BĐ.T1.png</t>
        </is>
      </c>
      <c r="AR324" s="202" t="inlineStr">
        <is>
          <t>Nhóm 1</t>
        </is>
      </c>
      <c r="AS324" s="202" t="n"/>
      <c r="AT324" s="202" t="inlineStr">
        <is>
          <t>HM07</t>
        </is>
      </c>
      <c r="AU324" s="202" t="inlineStr">
        <is>
          <t>PL10</t>
        </is>
      </c>
      <c r="AV324" s="202" t="n">
        <v>3</v>
      </c>
      <c r="AW324" s="202" t="n">
        <v>1</v>
      </c>
      <c r="AX324" s="202" t="n"/>
    </row>
    <row r="325" ht="28" customHeight="1" s="672">
      <c r="A325" s="56" t="inlineStr">
        <is>
          <t>NTCV</t>
        </is>
      </c>
      <c r="B325" s="56" t="inlineStr">
        <is>
          <t>K.9999</t>
        </is>
      </c>
      <c r="C325" s="56" t="inlineStr">
        <is>
          <t>NTCV.0016297</t>
        </is>
      </c>
      <c r="D325" s="57" t="n"/>
      <c r="E325" s="57" t="n"/>
      <c r="F325" s="57" t="n"/>
      <c r="G325" s="57" t="n"/>
      <c r="H325" s="57" t="n"/>
      <c r="J325" s="209" t="inlineStr">
        <is>
          <t>27</t>
        </is>
      </c>
      <c r="K325" s="209" t="inlineStr">
        <is>
          <t>K.9999</t>
        </is>
      </c>
      <c r="L325" s="210" t="inlineStr">
        <is>
          <t xml:space="preserve"> Rút ống vách thi công cọc khoan nhồi</t>
        </is>
      </c>
      <c r="M325" s="210" t="n"/>
      <c r="N325" s="210" t="n"/>
      <c r="O325" s="211" t="inlineStr">
        <is>
          <t>Cầu Km19+529.080</t>
        </is>
      </c>
      <c r="P325" s="212">
        <f>S322</f>
        <v/>
      </c>
      <c r="Q325" s="212">
        <f>P325</f>
        <v/>
      </c>
      <c r="R325" s="212">
        <f>Q325-1</f>
        <v/>
      </c>
      <c r="S325" s="212">
        <f>Q325</f>
        <v/>
      </c>
      <c r="T325" s="213">
        <f>U322</f>
        <v/>
      </c>
      <c r="U325" s="213">
        <f>T325+V325</f>
        <v/>
      </c>
      <c r="V325" s="213" t="n">
        <v>0.01041666666666667</v>
      </c>
      <c r="W325" s="214">
        <f>TEXT(T325,"HH""h""MM'")&amp;"÷"&amp;TEXT(U325,"HH""h""MM'")</f>
        <v/>
      </c>
      <c r="X325" s="214" t="n"/>
      <c r="Y325" s="214" t="n"/>
      <c r="Z325" s="214" t="inlineStr">
        <is>
          <t>11;</t>
        </is>
      </c>
      <c r="AA325" s="215" t="inlineStr">
        <is>
          <t>Rút ống vách  Cọc khoan nhồi Trụ T1 - Cọc C1</t>
        </is>
      </c>
      <c r="AB325" s="204" t="inlineStr">
        <is>
          <t>09-XL-307HG/PYCNT/CKN/T1/C1-2</t>
        </is>
      </c>
      <c r="AC325" s="204" t="inlineStr">
        <is>
          <t>09-XL-307HG/BBNT/CKN/T1/C1-11</t>
        </is>
      </c>
      <c r="AD325" s="204" t="n"/>
      <c r="AE325" s="204" t="n"/>
      <c r="AF325" s="204" t="n"/>
      <c r="AG325" s="204" t="n"/>
      <c r="AH325" s="204" t="n"/>
      <c r="AI325" s="214" t="n"/>
      <c r="AJ325" s="214" t="n"/>
      <c r="AK325" s="217" t="n"/>
      <c r="AL325" s="214" t="n"/>
      <c r="AM325" s="214" t="n"/>
      <c r="AN325" s="214" t="n"/>
      <c r="AO325" s="214" t="n"/>
      <c r="AP325" s="216" t="n"/>
      <c r="AQ325" s="216" t="n"/>
      <c r="AR325" s="214" t="inlineStr">
        <is>
          <t>Nhóm 1</t>
        </is>
      </c>
      <c r="AS325" s="214" t="n"/>
      <c r="AT325" s="214" t="inlineStr">
        <is>
          <t>HM07</t>
        </is>
      </c>
      <c r="AU325" s="214" t="inlineStr">
        <is>
          <t>NTCV</t>
        </is>
      </c>
      <c r="AV325" s="214" t="n">
        <v>93</v>
      </c>
      <c r="AW325" s="214" t="n">
        <v>10</v>
      </c>
      <c r="AX325" s="214" t="n"/>
    </row>
    <row r="326">
      <c r="A326" s="56" t="inlineStr">
        <is>
          <t>BBK544</t>
        </is>
      </c>
      <c r="B326" s="56" t="inlineStr">
        <is>
          <t>PL11</t>
        </is>
      </c>
      <c r="C326" s="56" t="inlineStr">
        <is>
          <t>BBK544.0167762</t>
        </is>
      </c>
      <c r="D326" s="57" t="n"/>
      <c r="E326" s="57" t="n"/>
      <c r="F326" s="57" t="n"/>
      <c r="G326" s="57" t="n"/>
      <c r="H326" s="57" t="n"/>
      <c r="J326" s="198" t="inlineStr">
        <is>
          <t>28</t>
        </is>
      </c>
      <c r="K326" s="198" t="inlineStr">
        <is>
          <t>PL11</t>
        </is>
      </c>
      <c r="L326" s="199" t="inlineStr">
        <is>
          <t>Rút ống vách thi công cọc khoan nhồi</t>
        </is>
      </c>
      <c r="M326" s="199" t="n"/>
      <c r="N326" s="199" t="n"/>
      <c r="O326" s="200" t="inlineStr">
        <is>
          <t>Cầu Km19+529.080</t>
        </is>
      </c>
      <c r="P326" s="201" t="n"/>
      <c r="Q326" s="201" t="n"/>
      <c r="R326" s="201" t="n"/>
      <c r="S326" s="201">
        <f>S325</f>
        <v/>
      </c>
      <c r="T326" s="201" t="n"/>
      <c r="U326" s="201" t="n"/>
      <c r="V326" s="201" t="n"/>
      <c r="W326" s="202" t="n"/>
      <c r="X326" s="202" t="n"/>
      <c r="Y326" s="202" t="n"/>
      <c r="Z326" s="198" t="inlineStr">
        <is>
          <t>11</t>
        </is>
      </c>
      <c r="AA326" s="203" t="n"/>
      <c r="AB326" s="204" t="inlineStr">
        <is>
          <t>09-XL-307HG/PYCNT/CKN/T1/C1-2</t>
        </is>
      </c>
      <c r="AC326" s="204">
        <f>AC325</f>
        <v/>
      </c>
      <c r="AD326" s="204" t="n"/>
      <c r="AE326" s="204" t="n"/>
      <c r="AF326" s="204" t="n"/>
      <c r="AG326" s="204" t="n"/>
      <c r="AH326" s="204" t="inlineStr">
        <is>
          <t>&gt;=98;&lt;=129</t>
        </is>
      </c>
      <c r="AI326" s="202" t="n"/>
      <c r="AJ326" s="202" t="n"/>
      <c r="AK326" s="206" t="n"/>
      <c r="AL326" s="202" t="n"/>
      <c r="AM326" s="202" t="n"/>
      <c r="AN326" s="202" t="n"/>
      <c r="AO326" s="202" t="n"/>
      <c r="AP326" s="207" t="n"/>
      <c r="AQ326" s="207" t="n"/>
      <c r="AR326" s="202" t="inlineStr">
        <is>
          <t>Nhóm 1</t>
        </is>
      </c>
      <c r="AS326" s="202" t="n"/>
      <c r="AT326" s="202" t="inlineStr">
        <is>
          <t>HM07</t>
        </is>
      </c>
      <c r="AU326" s="202" t="inlineStr">
        <is>
          <t>PL11</t>
        </is>
      </c>
      <c r="AV326" s="202" t="n">
        <v>3</v>
      </c>
      <c r="AW326" s="202" t="n">
        <v>1</v>
      </c>
      <c r="AX326" s="202" t="n"/>
    </row>
    <row r="327">
      <c r="A327" s="56" t="inlineStr">
        <is>
          <t>BBK680</t>
        </is>
      </c>
      <c r="B327" s="56" t="inlineStr">
        <is>
          <t>PYC</t>
        </is>
      </c>
      <c r="C327" s="56" t="inlineStr">
        <is>
          <t>BBK680.0164234</t>
        </is>
      </c>
      <c r="D327" s="57" t="n"/>
      <c r="E327" s="57" t="n"/>
      <c r="F327" s="57" t="n"/>
      <c r="G327" s="57" t="n"/>
      <c r="H327" s="57" t="n"/>
      <c r="J327" s="198" t="inlineStr">
        <is>
          <t>29</t>
        </is>
      </c>
      <c r="K327" s="198" t="inlineStr">
        <is>
          <t>PYC</t>
        </is>
      </c>
      <c r="L327" s="199" t="inlineStr">
        <is>
          <t>Phiếu yêu cầu nghiệm thu</t>
        </is>
      </c>
      <c r="M327" s="199" t="n"/>
      <c r="N327" s="199" t="n"/>
      <c r="O327" s="200" t="inlineStr">
        <is>
          <t>Cầu Km19+529.080</t>
        </is>
      </c>
      <c r="P327" s="201" t="n"/>
      <c r="Q327" s="201" t="n"/>
      <c r="R327" s="201">
        <f>R328</f>
        <v/>
      </c>
      <c r="S327" s="201" t="n"/>
      <c r="T327" s="201" t="n"/>
      <c r="U327" s="201" t="n"/>
      <c r="V327" s="201" t="n"/>
      <c r="W327" s="202" t="n"/>
      <c r="X327" s="202" t="n"/>
      <c r="Y327" s="202" t="n"/>
      <c r="Z327" s="202" t="n"/>
      <c r="AA327" s="203" t="n"/>
      <c r="AB327" s="204" t="inlineStr">
        <is>
          <t>09-XL-307HG/PYCNT/CKN/T1/C1</t>
        </is>
      </c>
      <c r="AC327" s="205" t="inlineStr"/>
      <c r="AD327" s="205" t="n"/>
      <c r="AE327" s="205" t="n"/>
      <c r="AF327" s="205" t="n"/>
      <c r="AG327" s="205" t="inlineStr">
        <is>
          <t>NTCV;BBKTĐK</t>
        </is>
      </c>
      <c r="AH327" s="204" t="n">
        <v>11</v>
      </c>
      <c r="AI327" s="202" t="n"/>
      <c r="AJ327" s="202" t="n"/>
      <c r="AK327" s="206" t="n"/>
      <c r="AL327" s="202" t="n"/>
      <c r="AM327" s="202" t="n"/>
      <c r="AN327" s="202" t="n"/>
      <c r="AO327" s="202" t="n"/>
      <c r="AP327" s="207" t="n"/>
      <c r="AQ327" s="207" t="n"/>
      <c r="AR327" s="202" t="inlineStr">
        <is>
          <t>Nhóm 1</t>
        </is>
      </c>
      <c r="AS327" s="202" t="n"/>
      <c r="AT327" s="202" t="inlineStr">
        <is>
          <t>HM07</t>
        </is>
      </c>
      <c r="AU327" s="202" t="inlineStr">
        <is>
          <t>PYC</t>
        </is>
      </c>
      <c r="AV327" s="202" t="n">
        <v>155</v>
      </c>
      <c r="AW327" s="202" t="n">
        <v>3</v>
      </c>
      <c r="AX327" s="202" t="n"/>
    </row>
    <row r="328" ht="28" customHeight="1" s="672">
      <c r="A328" s="56" t="inlineStr">
        <is>
          <t>NTCV</t>
        </is>
      </c>
      <c r="B328" s="56" t="inlineStr">
        <is>
          <t>K.9999</t>
        </is>
      </c>
      <c r="C328" s="56" t="inlineStr">
        <is>
          <t>NTCV.0509720</t>
        </is>
      </c>
      <c r="D328" s="57" t="n"/>
      <c r="E328" s="57" t="n"/>
      <c r="F328" s="57" t="n"/>
      <c r="G328" s="57" t="n"/>
      <c r="H328" s="57" t="n"/>
      <c r="J328" s="209" t="inlineStr">
        <is>
          <t>30</t>
        </is>
      </c>
      <c r="K328" s="209" t="inlineStr">
        <is>
          <t>K.9999</t>
        </is>
      </c>
      <c r="L328" s="210" t="inlineStr">
        <is>
          <t>Theo dõi nén mẫu R7 Cọc khoan nhồi Trụ T1 - Cọc C1</t>
        </is>
      </c>
      <c r="M328" s="210" t="n"/>
      <c r="N328" s="210" t="n"/>
      <c r="O328" s="211" t="inlineStr">
        <is>
          <t>Cầu Km19+529.080</t>
        </is>
      </c>
      <c r="P328" s="212">
        <f>S325+7</f>
        <v/>
      </c>
      <c r="Q328" s="212">
        <f>P328</f>
        <v/>
      </c>
      <c r="R328" s="212">
        <f>Q328-1</f>
        <v/>
      </c>
      <c r="S328" s="212">
        <f>Q328</f>
        <v/>
      </c>
      <c r="T328" s="213" t="n">
        <v>0.3541666666666667</v>
      </c>
      <c r="U328" s="213">
        <f>T328+V328</f>
        <v/>
      </c>
      <c r="V328" s="213" t="n">
        <v>0.02083333333333333</v>
      </c>
      <c r="W328" s="214">
        <f>TEXT(T328,"HH""h""MM'")&amp;"÷"&amp;TEXT(U328,"HH""h""MM'")</f>
        <v/>
      </c>
      <c r="X328" s="214" t="n"/>
      <c r="Y328" s="214" t="n"/>
      <c r="Z328" s="214" t="n"/>
      <c r="AA328" s="215" t="inlineStr">
        <is>
          <t>Theo dõi nén mẫu R7 Cọc khoan nhồi Trụ T1 - Cọc C1</t>
        </is>
      </c>
      <c r="AB328" s="204" t="inlineStr">
        <is>
          <t>09-XL-307HG/PYCNT/CKN/T1/C1-3</t>
        </is>
      </c>
      <c r="AC328" s="204" t="inlineStr">
        <is>
          <t>09-XL-307HG/BBNT/CKN/T1/C1-12</t>
        </is>
      </c>
      <c r="AD328" s="204" t="n"/>
      <c r="AE328" s="204" t="n"/>
      <c r="AF328" s="204" t="n"/>
      <c r="AG328" s="204" t="n"/>
      <c r="AH328" s="204" t="n"/>
      <c r="AI328" s="214" t="n"/>
      <c r="AJ328" s="214" t="n"/>
      <c r="AK328" s="217" t="n"/>
      <c r="AL328" s="214" t="n"/>
      <c r="AM328" s="214" t="n"/>
      <c r="AN328" s="214" t="n"/>
      <c r="AO328" s="214" t="n"/>
      <c r="AP328" s="216" t="n"/>
      <c r="AQ328" s="216" t="n"/>
      <c r="AR328" s="214" t="inlineStr">
        <is>
          <t>Nhóm 1</t>
        </is>
      </c>
      <c r="AS328" s="214" t="n"/>
      <c r="AT328" s="214" t="inlineStr">
        <is>
          <t>HM07</t>
        </is>
      </c>
      <c r="AU328" s="214" t="inlineStr">
        <is>
          <t>NTCV</t>
        </is>
      </c>
      <c r="AV328" s="214" t="n">
        <v>160</v>
      </c>
      <c r="AW328" s="214" t="n">
        <v>11</v>
      </c>
      <c r="AX328" s="214" t="n"/>
    </row>
    <row r="329">
      <c r="A329" s="56" t="inlineStr">
        <is>
          <t>BBK680</t>
        </is>
      </c>
      <c r="B329" s="56" t="inlineStr">
        <is>
          <t>PYC</t>
        </is>
      </c>
      <c r="C329" s="56" t="inlineStr">
        <is>
          <t>BBK680.0406062</t>
        </is>
      </c>
      <c r="D329" s="57" t="n"/>
      <c r="E329" s="57" t="n"/>
      <c r="F329" s="57" t="n"/>
      <c r="G329" s="57" t="n"/>
      <c r="H329" s="57" t="n"/>
      <c r="J329" s="198" t="inlineStr">
        <is>
          <t>31</t>
        </is>
      </c>
      <c r="K329" s="198" t="inlineStr">
        <is>
          <t>PYC</t>
        </is>
      </c>
      <c r="L329" s="199" t="inlineStr">
        <is>
          <t>Phiếu yêu cầu nghiệm thu</t>
        </is>
      </c>
      <c r="M329" s="199" t="n"/>
      <c r="N329" s="199" t="n"/>
      <c r="O329" s="200" t="inlineStr">
        <is>
          <t>Cầu Km19+529.080</t>
        </is>
      </c>
      <c r="P329" s="201" t="n"/>
      <c r="Q329" s="201" t="n"/>
      <c r="R329" s="201">
        <f>+S324+28</f>
        <v/>
      </c>
      <c r="S329" s="201" t="n"/>
      <c r="T329" s="201" t="n"/>
      <c r="U329" s="201" t="n"/>
      <c r="V329" s="201" t="n"/>
      <c r="W329" s="202" t="n"/>
      <c r="X329" s="202" t="n"/>
      <c r="Y329" s="202" t="n"/>
      <c r="Z329" s="202" t="n"/>
      <c r="AA329" s="203" t="n"/>
      <c r="AB329" s="204" t="inlineStr">
        <is>
          <t>09-XL-307HG/PYCNT/CKN/T1/C1</t>
        </is>
      </c>
      <c r="AC329" s="205" t="inlineStr"/>
      <c r="AD329" s="205" t="n"/>
      <c r="AE329" s="205" t="n"/>
      <c r="AF329" s="205" t="n"/>
      <c r="AG329" s="205" t="inlineStr">
        <is>
          <t>NTCV;BBKTĐK</t>
        </is>
      </c>
      <c r="AH329" s="204" t="n">
        <v>12</v>
      </c>
      <c r="AI329" s="202" t="n"/>
      <c r="AJ329" s="202" t="n"/>
      <c r="AK329" s="206" t="n"/>
      <c r="AL329" s="202" t="n"/>
      <c r="AM329" s="202" t="n"/>
      <c r="AN329" s="202" t="n"/>
      <c r="AO329" s="202" t="n"/>
      <c r="AP329" s="207" t="n"/>
      <c r="AQ329" s="207" t="n"/>
      <c r="AR329" s="202" t="inlineStr">
        <is>
          <t>Nhóm 1</t>
        </is>
      </c>
      <c r="AS329" s="202" t="n"/>
      <c r="AT329" s="202" t="inlineStr">
        <is>
          <t>HM07</t>
        </is>
      </c>
      <c r="AU329" s="202" t="inlineStr">
        <is>
          <t>PYC</t>
        </is>
      </c>
      <c r="AV329" s="202" t="n">
        <v>156</v>
      </c>
      <c r="AW329" s="202" t="n">
        <v>4</v>
      </c>
      <c r="AX329" s="202" t="n"/>
    </row>
    <row r="330" ht="28" customHeight="1" s="672">
      <c r="A330" s="56" t="inlineStr">
        <is>
          <t>NTCV</t>
        </is>
      </c>
      <c r="B330" s="56" t="inlineStr">
        <is>
          <t>K.9999</t>
        </is>
      </c>
      <c r="C330" s="56" t="inlineStr">
        <is>
          <t>NTCV.0106133</t>
        </is>
      </c>
      <c r="D330" s="57" t="n"/>
      <c r="E330" s="57" t="n"/>
      <c r="F330" s="57" t="n"/>
      <c r="G330" s="57" t="n"/>
      <c r="H330" s="57" t="n"/>
      <c r="J330" s="209" t="inlineStr">
        <is>
          <t>32</t>
        </is>
      </c>
      <c r="K330" s="209" t="inlineStr">
        <is>
          <t>K.9999</t>
        </is>
      </c>
      <c r="L330" s="210" t="inlineStr">
        <is>
          <t>Đập đầu cọc khoan nhồi Trụ T1 - Cọc C1</t>
        </is>
      </c>
      <c r="M330" s="210" t="n"/>
      <c r="N330" s="210" t="n"/>
      <c r="O330" s="211" t="inlineStr">
        <is>
          <t>Cầu Km19+529.080</t>
        </is>
      </c>
      <c r="P330" s="212">
        <f>S328</f>
        <v/>
      </c>
      <c r="Q330" s="212">
        <f>P330</f>
        <v/>
      </c>
      <c r="R330" s="212">
        <f>Q330-1</f>
        <v/>
      </c>
      <c r="S330" s="212">
        <f>Q330</f>
        <v/>
      </c>
      <c r="T330" s="213" t="n">
        <v>0.3541666666666667</v>
      </c>
      <c r="U330" s="213">
        <f>T330+V330</f>
        <v/>
      </c>
      <c r="V330" s="213" t="n">
        <v>0.0625</v>
      </c>
      <c r="W330" s="214">
        <f>TEXT(T330,"HH""h""MM'")&amp;"÷"&amp;TEXT(U330,"HH""h""MM'")</f>
        <v/>
      </c>
      <c r="X330" s="214" t="n"/>
      <c r="Y330" s="214" t="n"/>
      <c r="Z330" s="214" t="n"/>
      <c r="AA330" s="215" t="inlineStr">
        <is>
          <t>Theo dõi nén mẫu R28 Cọc khoan nhồi Trụ T1 - Cọc C1</t>
        </is>
      </c>
      <c r="AB330" s="204" t="inlineStr">
        <is>
          <t>09-XL-307HG/PYCNT/CKN/T1/C1-4</t>
        </is>
      </c>
      <c r="AC330" s="204" t="inlineStr">
        <is>
          <t>09-XL-307HG/BBNT/CKN/T1/C1-13</t>
        </is>
      </c>
      <c r="AD330" s="204" t="n"/>
      <c r="AE330" s="204" t="n"/>
      <c r="AF330" s="204" t="n"/>
      <c r="AG330" s="204" t="n"/>
      <c r="AH330" s="204" t="n"/>
      <c r="AI330" s="214" t="n"/>
      <c r="AJ330" s="214" t="n"/>
      <c r="AK330" s="217" t="n"/>
      <c r="AL330" s="214" t="n"/>
      <c r="AM330" s="214" t="n"/>
      <c r="AN330" s="214" t="n"/>
      <c r="AO330" s="214" t="n"/>
      <c r="AP330" s="216" t="n"/>
      <c r="AQ330" s="216" t="n"/>
      <c r="AR330" s="214" t="inlineStr">
        <is>
          <t>Nhóm 1</t>
        </is>
      </c>
      <c r="AS330" s="214" t="n"/>
      <c r="AT330" s="214" t="inlineStr">
        <is>
          <t>HM07</t>
        </is>
      </c>
      <c r="AU330" s="214" t="inlineStr">
        <is>
          <t>NTCV</t>
        </is>
      </c>
      <c r="AV330" s="214" t="n">
        <v>161</v>
      </c>
      <c r="AW330" s="214" t="n">
        <v>12</v>
      </c>
      <c r="AX330" s="214" t="n"/>
    </row>
    <row r="331">
      <c r="A331" s="56" t="inlineStr">
        <is>
          <t>HM</t>
        </is>
      </c>
      <c r="B331" s="56" t="inlineStr">
        <is>
          <t>HM</t>
        </is>
      </c>
      <c r="C331" s="56" t="inlineStr">
        <is>
          <t>HM.0276123</t>
        </is>
      </c>
      <c r="D331" s="57" t="n"/>
      <c r="E331" s="57" t="n"/>
      <c r="F331" s="57" t="n"/>
      <c r="G331" s="57" t="n"/>
      <c r="H331" s="57" t="n"/>
      <c r="J331" s="246" t="inlineStr">
        <is>
          <t>HM08</t>
        </is>
      </c>
      <c r="K331" s="246" t="inlineStr">
        <is>
          <t>HM</t>
        </is>
      </c>
      <c r="L331" s="247" t="inlineStr">
        <is>
          <t>Trụ T1 - Cọc C2</t>
        </is>
      </c>
      <c r="M331" s="247" t="n"/>
      <c r="N331" s="247" t="n"/>
      <c r="O331" s="248" t="inlineStr">
        <is>
          <t>Cầu Km19+529.080</t>
        </is>
      </c>
      <c r="P331" s="249" t="n"/>
      <c r="Q331" s="249" t="n"/>
      <c r="R331" s="249" t="n"/>
      <c r="S331" s="249" t="n"/>
      <c r="T331" s="249" t="n"/>
      <c r="U331" s="249" t="n"/>
      <c r="V331" s="249" t="n"/>
      <c r="W331" s="250" t="n"/>
      <c r="X331" s="250" t="n"/>
      <c r="Y331" s="250" t="n"/>
      <c r="Z331" s="250" t="n"/>
      <c r="AA331" s="251" t="n"/>
      <c r="AB331" s="252" t="n"/>
      <c r="AC331" s="252" t="inlineStr"/>
      <c r="AD331" s="252" t="n"/>
      <c r="AE331" s="252" t="n"/>
      <c r="AF331" s="252" t="n"/>
      <c r="AG331" s="252" t="n"/>
      <c r="AH331" s="252" t="n"/>
      <c r="AI331" s="250" t="n"/>
      <c r="AJ331" s="250" t="n"/>
      <c r="AK331" s="253" t="n"/>
      <c r="AL331" s="250" t="n"/>
      <c r="AM331" s="250" t="n"/>
      <c r="AN331" s="250" t="n"/>
      <c r="AO331" s="250" t="n"/>
      <c r="AP331" s="254" t="n"/>
      <c r="AQ331" s="254" t="n"/>
      <c r="AR331" s="250" t="n"/>
      <c r="AS331" s="250" t="n"/>
      <c r="AT331" s="250" t="inlineStr">
        <is>
          <t>HM08</t>
        </is>
      </c>
      <c r="AU331" s="250" t="inlineStr">
        <is>
          <t>HM</t>
        </is>
      </c>
      <c r="AV331" s="250" t="n"/>
      <c r="AW331" s="250" t="n"/>
      <c r="AX331" s="250" t="n"/>
    </row>
    <row r="332" ht="28" customFormat="1" customHeight="1" s="70">
      <c r="A332" s="68" t="inlineStr">
        <is>
          <t>BBK_BIA</t>
        </is>
      </c>
      <c r="B332" s="68" t="inlineStr">
        <is>
          <t>TRANGBIA</t>
        </is>
      </c>
      <c r="C332" s="68" t="inlineStr">
        <is>
          <t>BBK_BIA.0643046</t>
        </is>
      </c>
      <c r="D332" s="69" t="n"/>
      <c r="E332" s="69" t="n"/>
      <c r="F332" s="69" t="n"/>
      <c r="G332" s="69" t="n"/>
      <c r="H332" s="69" t="n"/>
      <c r="J332" s="98" t="inlineStr">
        <is>
          <t>01</t>
        </is>
      </c>
      <c r="K332" s="98" t="inlineStr">
        <is>
          <t>TRANGBIA</t>
        </is>
      </c>
      <c r="L332" s="99">
        <f>"Cọc Khoan Nhồi"&amp;" - "&amp;L331</f>
        <v/>
      </c>
      <c r="M332" s="99" t="n"/>
      <c r="N332" s="99" t="n"/>
      <c r="O332" s="100" t="inlineStr">
        <is>
          <t>Cầu Km19+529.080</t>
        </is>
      </c>
      <c r="P332" s="101" t="n"/>
      <c r="Q332" s="101" t="n"/>
      <c r="R332" s="101" t="n"/>
      <c r="S332" s="101" t="n"/>
      <c r="T332" s="101" t="n"/>
      <c r="U332" s="101" t="n"/>
      <c r="V332" s="101" t="n"/>
      <c r="W332" s="102" t="n"/>
      <c r="X332" s="102" t="n"/>
      <c r="Y332" s="102" t="n"/>
      <c r="Z332" s="102" t="n"/>
      <c r="AA332" s="102" t="n"/>
      <c r="AB332" s="102" t="n"/>
      <c r="AC332" s="102" t="inlineStr"/>
      <c r="AD332" s="102" t="n"/>
      <c r="AE332" s="102" t="n"/>
      <c r="AF332" s="102" t="n"/>
      <c r="AG332" s="102" t="n"/>
      <c r="AH332" s="102" t="n"/>
      <c r="AI332" s="102" t="n"/>
      <c r="AJ332" s="102" t="n"/>
      <c r="AK332" s="100" t="n"/>
      <c r="AL332" s="102" t="n"/>
      <c r="AM332" s="102" t="n"/>
      <c r="AN332" s="102" t="n"/>
      <c r="AO332" s="102" t="n"/>
      <c r="AP332" s="103" t="inlineStr">
        <is>
          <t>Kết cấu cọc khoan nhồi mố, trụ</t>
        </is>
      </c>
      <c r="AQ332" s="104" t="n"/>
      <c r="AR332" s="102" t="inlineStr">
        <is>
          <t>Nhóm 1</t>
        </is>
      </c>
      <c r="AS332" s="102" t="n"/>
      <c r="AT332" s="102" t="inlineStr">
        <is>
          <t>HM08</t>
        </is>
      </c>
      <c r="AU332" s="102" t="inlineStr">
        <is>
          <t>TRANGBIA</t>
        </is>
      </c>
      <c r="AV332" s="102" t="n">
        <v>8</v>
      </c>
      <c r="AW332" s="102" t="n">
        <v>1</v>
      </c>
      <c r="AX332" s="102" t="n"/>
    </row>
    <row r="333" customFormat="1" s="70">
      <c r="A333" s="68" t="inlineStr">
        <is>
          <t>BBK_ML</t>
        </is>
      </c>
      <c r="B333" s="68" t="inlineStr">
        <is>
          <t>MUCLUC</t>
        </is>
      </c>
      <c r="C333" s="68" t="inlineStr">
        <is>
          <t>BBK_ML.0849099</t>
        </is>
      </c>
      <c r="D333" s="69" t="n"/>
      <c r="E333" s="69" t="n"/>
      <c r="F333" s="69" t="n"/>
      <c r="G333" s="69" t="n"/>
      <c r="H333" s="69" t="n"/>
      <c r="J333" s="98" t="inlineStr">
        <is>
          <t>02</t>
        </is>
      </c>
      <c r="K333" s="98" t="inlineStr">
        <is>
          <t>MUCLUC</t>
        </is>
      </c>
      <c r="L333" s="99" t="inlineStr">
        <is>
          <t>Danh mục biên bản Kiểm tra/Nghiệm thu</t>
        </is>
      </c>
      <c r="M333" s="99" t="n"/>
      <c r="N333" s="99" t="n"/>
      <c r="O333" s="100" t="inlineStr">
        <is>
          <t>Cầu Km19+529.080</t>
        </is>
      </c>
      <c r="P333" s="101" t="n"/>
      <c r="Q333" s="101" t="n"/>
      <c r="R333" s="101" t="n"/>
      <c r="S333" s="101" t="n"/>
      <c r="T333" s="101" t="n"/>
      <c r="U333" s="101" t="n"/>
      <c r="V333" s="101" t="n"/>
      <c r="W333" s="102" t="n"/>
      <c r="X333" s="102" t="n"/>
      <c r="Y333" s="102" t="n"/>
      <c r="Z333" s="102" t="n"/>
      <c r="AA333" s="102" t="n"/>
      <c r="AB333" s="102" t="n"/>
      <c r="AC333" s="102" t="inlineStr"/>
      <c r="AD333" s="102" t="n"/>
      <c r="AE333" s="102" t="n"/>
      <c r="AF333" s="102" t="n"/>
      <c r="AG333" s="102" t="n"/>
      <c r="AH333" s="102" t="n"/>
      <c r="AI333" s="102" t="n"/>
      <c r="AJ333" s="102" t="n"/>
      <c r="AK333" s="100" t="n"/>
      <c r="AL333" s="102" t="n"/>
      <c r="AM333" s="102" t="n"/>
      <c r="AN333" s="102" t="n"/>
      <c r="AO333" s="102" t="n"/>
      <c r="AP333" s="104" t="n"/>
      <c r="AQ333" s="104" t="n"/>
      <c r="AR333" s="102" t="inlineStr">
        <is>
          <t>Nhóm 1</t>
        </is>
      </c>
      <c r="AS333" s="102" t="n"/>
      <c r="AT333" s="102" t="inlineStr">
        <is>
          <t>HM08</t>
        </is>
      </c>
      <c r="AU333" s="102" t="inlineStr">
        <is>
          <t>MUCLUC</t>
        </is>
      </c>
      <c r="AV333" s="102" t="n">
        <v>8</v>
      </c>
      <c r="AW333" s="102" t="n">
        <v>1</v>
      </c>
      <c r="AX333" s="102" t="n"/>
    </row>
    <row r="334">
      <c r="A334" s="56" t="inlineStr">
        <is>
          <t>BBK680</t>
        </is>
      </c>
      <c r="B334" s="56" t="inlineStr">
        <is>
          <t>PYC</t>
        </is>
      </c>
      <c r="C334" s="56" t="inlineStr">
        <is>
          <t>BBK680.0497969</t>
        </is>
      </c>
      <c r="D334" s="57" t="n"/>
      <c r="E334" s="57" t="n"/>
      <c r="F334" s="57" t="n"/>
      <c r="G334" s="57" t="n"/>
      <c r="H334" s="57" t="n"/>
      <c r="J334" s="198" t="inlineStr">
        <is>
          <t>03</t>
        </is>
      </c>
      <c r="K334" s="198" t="inlineStr">
        <is>
          <t>PYC</t>
        </is>
      </c>
      <c r="L334" s="199" t="inlineStr">
        <is>
          <t>Phiếu yêu cầu nghiệm thu</t>
        </is>
      </c>
      <c r="M334" s="199" t="n"/>
      <c r="N334" s="199" t="n"/>
      <c r="O334" s="200" t="inlineStr">
        <is>
          <t>Cầu Km19+529.080</t>
        </is>
      </c>
      <c r="P334" s="201" t="n"/>
      <c r="Q334" s="201" t="n"/>
      <c r="R334" s="201">
        <f>R335</f>
        <v/>
      </c>
      <c r="S334" s="201" t="n"/>
      <c r="T334" s="201" t="n"/>
      <c r="U334" s="201" t="n"/>
      <c r="V334" s="201" t="n"/>
      <c r="W334" s="202" t="n"/>
      <c r="X334" s="202" t="n"/>
      <c r="Y334" s="202" t="n"/>
      <c r="Z334" s="202" t="n"/>
      <c r="AA334" s="203" t="n"/>
      <c r="AB334" s="204" t="inlineStr">
        <is>
          <t>307HG/PYCNT/CKN/T1/C2</t>
        </is>
      </c>
      <c r="AC334" s="205" t="inlineStr"/>
      <c r="AD334" s="205" t="n"/>
      <c r="AE334" s="205" t="n"/>
      <c r="AF334" s="205" t="n"/>
      <c r="AG334" s="205" t="inlineStr">
        <is>
          <t>NTCV;BBKTĐK</t>
        </is>
      </c>
      <c r="AH334" s="204" t="inlineStr">
        <is>
          <t>&gt;=1;&lt;=5</t>
        </is>
      </c>
      <c r="AI334" s="202" t="n"/>
      <c r="AJ334" s="202" t="n"/>
      <c r="AK334" s="206" t="n"/>
      <c r="AL334" s="202" t="n"/>
      <c r="AM334" s="202" t="n"/>
      <c r="AN334" s="202" t="n"/>
      <c r="AO334" s="202" t="n"/>
      <c r="AP334" s="207" t="n"/>
      <c r="AQ334" s="207" t="n"/>
      <c r="AR334" s="202" t="inlineStr">
        <is>
          <t>Nhóm 1</t>
        </is>
      </c>
      <c r="AS334" s="202" t="n"/>
      <c r="AT334" s="202" t="inlineStr">
        <is>
          <t>HM08</t>
        </is>
      </c>
      <c r="AU334" s="202" t="inlineStr">
        <is>
          <t>PYC</t>
        </is>
      </c>
      <c r="AV334" s="202" t="n">
        <v>157</v>
      </c>
      <c r="AW334" s="202" t="n">
        <v>1</v>
      </c>
      <c r="AX334" s="202" t="n"/>
    </row>
    <row r="335" ht="28" customHeight="1" s="672">
      <c r="A335" s="56" t="inlineStr">
        <is>
          <t>BBK884</t>
        </is>
      </c>
      <c r="B335" s="56" t="inlineStr">
        <is>
          <t>BBKTĐK</t>
        </is>
      </c>
      <c r="C335" s="56" t="inlineStr">
        <is>
          <t>BBK884.0187775</t>
        </is>
      </c>
      <c r="D335" s="57" t="n"/>
      <c r="E335" s="57" t="n"/>
      <c r="F335" s="57" t="n"/>
      <c r="G335" s="57" t="n"/>
      <c r="H335" s="57" t="n"/>
      <c r="J335" s="198" t="inlineStr">
        <is>
          <t>04</t>
        </is>
      </c>
      <c r="K335" s="198" t="inlineStr">
        <is>
          <t>BBKTĐK</t>
        </is>
      </c>
      <c r="L335" s="199" t="inlineStr">
        <is>
          <t>Kiểm tra điều kiện trước khi thi công cọc khoan nhồi: Thiết bị, nhân lực, vật tư</t>
        </is>
      </c>
      <c r="M335" s="199" t="n"/>
      <c r="N335" s="199" t="n"/>
      <c r="O335" s="200" t="inlineStr">
        <is>
          <t>Cầu Km19+529.080</t>
        </is>
      </c>
      <c r="P335" s="201" t="n">
        <v>46210</v>
      </c>
      <c r="Q335" s="201">
        <f>P335</f>
        <v/>
      </c>
      <c r="R335" s="201">
        <f>Q335-1</f>
        <v/>
      </c>
      <c r="S335" s="201">
        <f>Q335</f>
        <v/>
      </c>
      <c r="T335" s="208" t="n">
        <v>0.2916666666666667</v>
      </c>
      <c r="U335" s="208">
        <f>T335+V335</f>
        <v/>
      </c>
      <c r="V335" s="208" t="n">
        <v>0.02083333333333333</v>
      </c>
      <c r="W335" s="202">
        <f>TEXT(T335,"HH""h""MM'")&amp;"÷"&amp;TEXT(U335,"HH""h""MM'")</f>
        <v/>
      </c>
      <c r="X335" s="202" t="n"/>
      <c r="Y335" s="202" t="n"/>
      <c r="Z335" s="202" t="inlineStr">
        <is>
          <t>01;</t>
        </is>
      </c>
      <c r="AA335" s="200" t="inlineStr">
        <is>
          <t>Kiểm tra điều kiện trước khi thi công Cọc khoan nhồi Trụ T1 - Cọc C2</t>
        </is>
      </c>
      <c r="AB335" s="205" t="inlineStr">
        <is>
          <t>307HG/PYCNT/CKN/T1/C2-1</t>
        </is>
      </c>
      <c r="AC335" s="205" t="inlineStr">
        <is>
          <t>09-XL-307HG/BBNT/CKN/T1/C2-1</t>
        </is>
      </c>
      <c r="AD335" s="205" t="n"/>
      <c r="AE335" s="205" t="n"/>
      <c r="AF335" s="205" t="n"/>
      <c r="AG335" s="205" t="n"/>
      <c r="AH335" s="205" t="n"/>
      <c r="AI335" s="207" t="n"/>
      <c r="AJ335" s="214" t="n"/>
      <c r="AK335" s="217" t="n"/>
      <c r="AL335" s="214" t="n"/>
      <c r="AM335" s="214" t="n"/>
      <c r="AN335" s="214" t="n"/>
      <c r="AO335" s="202" t="n"/>
      <c r="AP335" s="207" t="n"/>
      <c r="AQ335" s="207" t="n"/>
      <c r="AR335" s="202" t="inlineStr">
        <is>
          <t>Nhóm 1</t>
        </is>
      </c>
      <c r="AS335" s="202" t="n"/>
      <c r="AT335" s="202" t="inlineStr">
        <is>
          <t>HM08</t>
        </is>
      </c>
      <c r="AU335" s="202" t="inlineStr">
        <is>
          <t>BBKTĐK</t>
        </is>
      </c>
      <c r="AV335" s="202" t="n">
        <v>5</v>
      </c>
      <c r="AW335" s="202" t="n">
        <v>1</v>
      </c>
      <c r="AX335" s="202" t="n"/>
    </row>
    <row r="336" ht="28" customHeight="1" s="672">
      <c r="A336" s="56" t="inlineStr">
        <is>
          <t>BBK860</t>
        </is>
      </c>
      <c r="B336" s="56" t="inlineStr">
        <is>
          <t>PL01</t>
        </is>
      </c>
      <c r="C336" s="56" t="inlineStr">
        <is>
          <t>BBK860.0896616</t>
        </is>
      </c>
      <c r="D336" s="57" t="n"/>
      <c r="E336" s="57" t="n"/>
      <c r="F336" s="57" t="n"/>
      <c r="G336" s="57" t="n"/>
      <c r="H336" s="57" t="n"/>
      <c r="J336" s="198" t="inlineStr">
        <is>
          <t>05</t>
        </is>
      </c>
      <c r="K336" s="198" t="inlineStr">
        <is>
          <t>PL01</t>
        </is>
      </c>
      <c r="L336" s="199" t="inlineStr">
        <is>
          <t>Máy móc, thiết bị, nhân lực, vật tư thi công cọc khoan nhồi</t>
        </is>
      </c>
      <c r="M336" s="199" t="n"/>
      <c r="N336" s="199" t="n"/>
      <c r="O336" s="199" t="inlineStr">
        <is>
          <t>Cầu Km19+529.080</t>
        </is>
      </c>
      <c r="P336" s="201" t="n"/>
      <c r="Q336" s="201" t="n"/>
      <c r="R336" s="201" t="n"/>
      <c r="S336" s="201">
        <f>S335</f>
        <v/>
      </c>
      <c r="T336" s="201" t="n"/>
      <c r="U336" s="201" t="n"/>
      <c r="V336" s="201" t="n"/>
      <c r="W336" s="202" t="n"/>
      <c r="X336" s="202" t="n"/>
      <c r="Y336" s="202" t="n"/>
      <c r="Z336" s="198" t="inlineStr">
        <is>
          <t>01</t>
        </is>
      </c>
      <c r="AA336" s="203" t="n"/>
      <c r="AB336" s="204" t="inlineStr">
        <is>
          <t>307HG/PYCNT/CKN/T1/C2-1</t>
        </is>
      </c>
      <c r="AC336" s="204">
        <f>AC335</f>
        <v/>
      </c>
      <c r="AD336" s="204" t="n"/>
      <c r="AE336" s="204" t="n"/>
      <c r="AF336" s="204" t="n"/>
      <c r="AG336" s="204" t="n"/>
      <c r="AH336" s="204" t="inlineStr">
        <is>
          <t>CKN</t>
        </is>
      </c>
      <c r="AI336" s="207" t="n"/>
      <c r="AJ336" s="202" t="n"/>
      <c r="AK336" s="206" t="n"/>
      <c r="AL336" s="202" t="n"/>
      <c r="AM336" s="202" t="n"/>
      <c r="AN336" s="202" t="n"/>
      <c r="AO336" s="202" t="n"/>
      <c r="AP336" s="207" t="n"/>
      <c r="AQ336" s="207" t="n"/>
      <c r="AR336" s="202" t="inlineStr">
        <is>
          <t>Nhóm 1</t>
        </is>
      </c>
      <c r="AS336" s="202" t="n"/>
      <c r="AT336" s="202" t="inlineStr">
        <is>
          <t>HM08</t>
        </is>
      </c>
      <c r="AU336" s="202" t="inlineStr">
        <is>
          <t>PL01</t>
        </is>
      </c>
      <c r="AV336" s="202" t="n">
        <v>5</v>
      </c>
      <c r="AW336" s="202" t="n">
        <v>1</v>
      </c>
      <c r="AX336" s="202" t="n"/>
    </row>
    <row r="337" ht="42" customHeight="1" s="672">
      <c r="A337" s="56" t="inlineStr">
        <is>
          <t>NTCV</t>
        </is>
      </c>
      <c r="B337" s="56" t="inlineStr">
        <is>
          <t>K.9999</t>
        </is>
      </c>
      <c r="C337" s="56" t="inlineStr">
        <is>
          <t>NTCV.0372814</t>
        </is>
      </c>
      <c r="D337" s="57" t="n"/>
      <c r="E337" s="57" t="n"/>
      <c r="F337" s="57" t="n"/>
      <c r="G337" s="57" t="n"/>
      <c r="H337" s="57" t="n"/>
      <c r="J337" s="209" t="inlineStr">
        <is>
          <t>06</t>
        </is>
      </c>
      <c r="K337" s="209" t="inlineStr">
        <is>
          <t>K.9999</t>
        </is>
      </c>
      <c r="L337" s="210" t="inlineStr">
        <is>
          <t>Kiểm tra ống vách, dung dịch bentonite trước khi khoan cọc khoan nhồi</t>
        </is>
      </c>
      <c r="M337" s="210" t="n"/>
      <c r="N337" s="210" t="n"/>
      <c r="O337" s="211" t="inlineStr">
        <is>
          <t>Cầu Km19+529.080</t>
        </is>
      </c>
      <c r="P337" s="212">
        <f>S335</f>
        <v/>
      </c>
      <c r="Q337" s="212">
        <f>P337</f>
        <v/>
      </c>
      <c r="R337" s="212">
        <f>Q337-1</f>
        <v/>
      </c>
      <c r="S337" s="212">
        <f>Q337</f>
        <v/>
      </c>
      <c r="T337" s="213">
        <f>U335</f>
        <v/>
      </c>
      <c r="U337" s="213">
        <f>T337+V337</f>
        <v/>
      </c>
      <c r="V337" s="213" t="n">
        <v>0.02083333333333333</v>
      </c>
      <c r="W337" s="214">
        <f>TEXT(T337,"HH""h""MM'")&amp;"÷"&amp;TEXT(U337,"HH""h""MM'")</f>
        <v/>
      </c>
      <c r="X337" s="214" t="n"/>
      <c r="Y337" s="214" t="n"/>
      <c r="Z337" s="214" t="inlineStr">
        <is>
          <t>02; 02a</t>
        </is>
      </c>
      <c r="AA337" s="215" t="inlineStr">
        <is>
          <t>Kiểm tra ống vách, dung dịch bentonite Cọc khoan nhồi Trụ T1 - Cọc C2 trước khi khoan</t>
        </is>
      </c>
      <c r="AB337" s="204" t="inlineStr">
        <is>
          <t>307HG/PYCNT/CKN/T1/C2-1</t>
        </is>
      </c>
      <c r="AC337" s="204" t="inlineStr">
        <is>
          <t>09-XL-307HG/BBNT/CKN/T1/C2-2</t>
        </is>
      </c>
      <c r="AD337" s="204" t="n"/>
      <c r="AE337" s="204" t="n"/>
      <c r="AF337" s="204" t="n"/>
      <c r="AG337" s="204" t="n"/>
      <c r="AH337" s="204" t="n"/>
      <c r="AI337" s="216" t="n"/>
      <c r="AJ337" s="214" t="n"/>
      <c r="AK337" s="217" t="n"/>
      <c r="AL337" s="214" t="n"/>
      <c r="AM337" s="214" t="n"/>
      <c r="AN337" s="214" t="n"/>
      <c r="AO337" s="214" t="n"/>
      <c r="AP337" s="216" t="n"/>
      <c r="AQ337" s="216" t="n"/>
      <c r="AR337" s="214" t="inlineStr">
        <is>
          <t>Nhóm 1</t>
        </is>
      </c>
      <c r="AS337" s="214" t="n"/>
      <c r="AT337" s="214" t="inlineStr">
        <is>
          <t>HM08</t>
        </is>
      </c>
      <c r="AU337" s="214" t="inlineStr">
        <is>
          <t>NTCV</t>
        </is>
      </c>
      <c r="AV337" s="214" t="n">
        <v>94</v>
      </c>
      <c r="AW337" s="214" t="n">
        <v>1</v>
      </c>
      <c r="AX337" s="214" t="n"/>
    </row>
    <row r="338">
      <c r="A338" s="56" t="inlineStr">
        <is>
          <t>BBK170</t>
        </is>
      </c>
      <c r="B338" s="56" t="inlineStr">
        <is>
          <t>PL02</t>
        </is>
      </c>
      <c r="C338" s="56" t="inlineStr">
        <is>
          <t>BBK170.0323554</t>
        </is>
      </c>
      <c r="D338" s="57" t="n"/>
      <c r="E338" s="57" t="n"/>
      <c r="F338" s="57" t="n"/>
      <c r="G338" s="57" t="n"/>
      <c r="H338" s="57" t="n"/>
      <c r="J338" s="198" t="inlineStr">
        <is>
          <t>07</t>
        </is>
      </c>
      <c r="K338" s="198" t="inlineStr">
        <is>
          <t>PL02</t>
        </is>
      </c>
      <c r="L338" s="199" t="inlineStr">
        <is>
          <t>Kiểm tra ống vách thi công trước khi hạ</t>
        </is>
      </c>
      <c r="M338" s="199" t="n"/>
      <c r="N338" s="199" t="n"/>
      <c r="O338" s="200" t="inlineStr">
        <is>
          <t>Cầu Km19+529.080</t>
        </is>
      </c>
      <c r="P338" s="201" t="n"/>
      <c r="Q338" s="201" t="n"/>
      <c r="R338" s="201" t="n"/>
      <c r="S338" s="201">
        <f>S337</f>
        <v/>
      </c>
      <c r="T338" s="201" t="n"/>
      <c r="U338" s="201" t="n"/>
      <c r="V338" s="201" t="n"/>
      <c r="W338" s="202" t="n"/>
      <c r="X338" s="202" t="n"/>
      <c r="Y338" s="202" t="n"/>
      <c r="Z338" s="198" t="inlineStr">
        <is>
          <t>02</t>
        </is>
      </c>
      <c r="AA338" s="203" t="n"/>
      <c r="AB338" s="204" t="inlineStr">
        <is>
          <t>307HG/PYCNT/CKN/T1/C2-1</t>
        </is>
      </c>
      <c r="AC338" s="204">
        <f>AC337</f>
        <v/>
      </c>
      <c r="AD338" s="204" t="n"/>
      <c r="AE338" s="204" t="n"/>
      <c r="AF338" s="204" t="n"/>
      <c r="AG338" s="204" t="n"/>
      <c r="AH338" s="204" t="inlineStr">
        <is>
          <t>CKN</t>
        </is>
      </c>
      <c r="AI338" s="207" t="n"/>
      <c r="AJ338" s="202" t="n"/>
      <c r="AK338" s="206" t="n"/>
      <c r="AL338" s="202" t="n"/>
      <c r="AM338" s="202" t="n"/>
      <c r="AN338" s="202" t="n"/>
      <c r="AO338" s="202" t="n"/>
      <c r="AP338" s="207" t="n"/>
      <c r="AQ338" s="207" t="inlineStr">
        <is>
          <t>Ảnh\PL02 CKN.png</t>
        </is>
      </c>
      <c r="AR338" s="202" t="inlineStr">
        <is>
          <t>Nhóm 1</t>
        </is>
      </c>
      <c r="AS338" s="202" t="n"/>
      <c r="AT338" s="202" t="inlineStr">
        <is>
          <t>HM08</t>
        </is>
      </c>
      <c r="AU338" s="202" t="inlineStr">
        <is>
          <t>PL02</t>
        </is>
      </c>
      <c r="AV338" s="202" t="n">
        <v>5</v>
      </c>
      <c r="AW338" s="202" t="n">
        <v>1</v>
      </c>
      <c r="AX338" s="202" t="n"/>
    </row>
    <row r="339">
      <c r="A339" s="56" t="inlineStr">
        <is>
          <t>BBK721</t>
        </is>
      </c>
      <c r="B339" s="56" t="inlineStr">
        <is>
          <t>PL02a</t>
        </is>
      </c>
      <c r="C339" s="56" t="inlineStr">
        <is>
          <t>BBK721.0770832</t>
        </is>
      </c>
      <c r="D339" s="57" t="n"/>
      <c r="E339" s="57" t="n"/>
      <c r="F339" s="57" t="n"/>
      <c r="G339" s="57" t="n"/>
      <c r="H339" s="57" t="n"/>
      <c r="J339" s="198" t="inlineStr">
        <is>
          <t>08</t>
        </is>
      </c>
      <c r="K339" s="198" t="inlineStr">
        <is>
          <t>PL02a</t>
        </is>
      </c>
      <c r="L339" s="199" t="inlineStr">
        <is>
          <t>Kiểm tra ống vách thi công trước khi hạ</t>
        </is>
      </c>
      <c r="M339" s="199" t="n"/>
      <c r="N339" s="199" t="n"/>
      <c r="O339" s="200" t="inlineStr">
        <is>
          <t>Cầu Km19+529.080</t>
        </is>
      </c>
      <c r="P339" s="201" t="n"/>
      <c r="Q339" s="201" t="n"/>
      <c r="R339" s="201" t="n"/>
      <c r="S339" s="201">
        <f>S338</f>
        <v/>
      </c>
      <c r="T339" s="201" t="n"/>
      <c r="U339" s="201" t="n"/>
      <c r="V339" s="201" t="n"/>
      <c r="W339" s="202" t="n"/>
      <c r="X339" s="202" t="n"/>
      <c r="Y339" s="202" t="n"/>
      <c r="Z339" s="198" t="inlineStr">
        <is>
          <t>02a</t>
        </is>
      </c>
      <c r="AA339" s="203" t="n"/>
      <c r="AB339" s="204" t="inlineStr">
        <is>
          <t>307HG/PYCNT/CKN/T1/C2-1</t>
        </is>
      </c>
      <c r="AC339" s="204">
        <f>AC338</f>
        <v/>
      </c>
      <c r="AD339" s="204" t="n"/>
      <c r="AE339" s="204" t="n"/>
      <c r="AF339" s="204" t="n"/>
      <c r="AG339" s="204" t="n"/>
      <c r="AH339" s="204" t="n"/>
      <c r="AI339" s="207" t="n"/>
      <c r="AJ339" s="202" t="n"/>
      <c r="AK339" s="206" t="n"/>
      <c r="AL339" s="202" t="n"/>
      <c r="AM339" s="202" t="n"/>
      <c r="AN339" s="202" t="n"/>
      <c r="AO339" s="202" t="n"/>
      <c r="AP339" s="207" t="n"/>
      <c r="AQ339" s="207" t="n"/>
      <c r="AR339" s="202" t="inlineStr">
        <is>
          <t>Nhóm 1</t>
        </is>
      </c>
      <c r="AS339" s="202" t="n"/>
      <c r="AT339" s="202" t="inlineStr">
        <is>
          <t>HM08</t>
        </is>
      </c>
      <c r="AU339" s="202" t="inlineStr">
        <is>
          <t>PL02a</t>
        </is>
      </c>
      <c r="AV339" s="202" t="n">
        <v>5</v>
      </c>
      <c r="AW339" s="202" t="n">
        <v>1</v>
      </c>
      <c r="AX339" s="202" t="n"/>
    </row>
    <row r="340" ht="28" customHeight="1" s="672">
      <c r="A340" s="56" t="inlineStr">
        <is>
          <t>NTCV</t>
        </is>
      </c>
      <c r="B340" s="56" t="inlineStr">
        <is>
          <t>K.9999</t>
        </is>
      </c>
      <c r="C340" s="56" t="inlineStr">
        <is>
          <t>NTCV.0218000</t>
        </is>
      </c>
      <c r="D340" s="57" t="n"/>
      <c r="E340" s="57" t="n"/>
      <c r="F340" s="57" t="n"/>
      <c r="G340" s="57" t="n"/>
      <c r="H340" s="57" t="n"/>
      <c r="J340" s="209" t="inlineStr">
        <is>
          <t>09</t>
        </is>
      </c>
      <c r="K340" s="209" t="inlineStr">
        <is>
          <t>K.9999</t>
        </is>
      </c>
      <c r="L340" s="210" t="inlineStr">
        <is>
          <t>Kiểm tra định vị tim cọc khoan nhồi, hạ ống vách thi công</t>
        </is>
      </c>
      <c r="M340" s="210" t="n"/>
      <c r="N340" s="210" t="n"/>
      <c r="O340" s="211" t="inlineStr">
        <is>
          <t>Cầu Km19+529.080</t>
        </is>
      </c>
      <c r="P340" s="212">
        <f>S337</f>
        <v/>
      </c>
      <c r="Q340" s="212">
        <f>P340</f>
        <v/>
      </c>
      <c r="R340" s="212">
        <f>Q340-1</f>
        <v/>
      </c>
      <c r="S340" s="212">
        <f>Q340</f>
        <v/>
      </c>
      <c r="T340" s="213">
        <f>U337</f>
        <v/>
      </c>
      <c r="U340" s="213">
        <f>T340+V340</f>
        <v/>
      </c>
      <c r="V340" s="213" t="n">
        <v>0.02083333333333333</v>
      </c>
      <c r="W340" s="214">
        <f>TEXT(T340,"HH""h""MM'")&amp;"÷"&amp;TEXT(U340,"HH""h""MM'")</f>
        <v/>
      </c>
      <c r="X340" s="214" t="n"/>
      <c r="Y340" s="214" t="n"/>
      <c r="Z340" s="214" t="inlineStr">
        <is>
          <t>03;</t>
        </is>
      </c>
      <c r="AA340" s="215" t="inlineStr">
        <is>
          <t>Kiểm tra định vị Cọc khoan nhồi Trụ T1 - Cọc C2</t>
        </is>
      </c>
      <c r="AB340" s="204" t="inlineStr">
        <is>
          <t>307HG/PYCNT/CKN/T1/C2-1</t>
        </is>
      </c>
      <c r="AC340" s="204" t="inlineStr">
        <is>
          <t>09-XL-307HG/BBNT/CKN/T1/C2-3</t>
        </is>
      </c>
      <c r="AD340" s="204" t="n"/>
      <c r="AE340" s="204" t="n"/>
      <c r="AF340" s="204" t="n"/>
      <c r="AG340" s="204" t="n"/>
      <c r="AH340" s="204" t="n"/>
      <c r="AI340" s="216" t="n"/>
      <c r="AJ340" s="214" t="n"/>
      <c r="AK340" s="217" t="n"/>
      <c r="AL340" s="214" t="n"/>
      <c r="AM340" s="214" t="n"/>
      <c r="AN340" s="214" t="n"/>
      <c r="AO340" s="214" t="n"/>
      <c r="AP340" s="216" t="n"/>
      <c r="AQ340" s="216" t="n"/>
      <c r="AR340" s="214" t="inlineStr">
        <is>
          <t>Nhóm 1</t>
        </is>
      </c>
      <c r="AS340" s="214" t="n"/>
      <c r="AT340" s="214" t="inlineStr">
        <is>
          <t>HM08</t>
        </is>
      </c>
      <c r="AU340" s="214" t="inlineStr">
        <is>
          <t>NTCV</t>
        </is>
      </c>
      <c r="AV340" s="214" t="n">
        <v>95</v>
      </c>
      <c r="AW340" s="214" t="n">
        <v>2</v>
      </c>
      <c r="AX340" s="214" t="n"/>
    </row>
    <row r="341" ht="28" customHeight="1" s="672">
      <c r="A341" s="56" t="inlineStr">
        <is>
          <t>BBK478</t>
        </is>
      </c>
      <c r="B341" s="56" t="inlineStr">
        <is>
          <t>PL03</t>
        </is>
      </c>
      <c r="C341" s="56" t="inlineStr">
        <is>
          <t>BBK478.0446993</t>
        </is>
      </c>
      <c r="D341" s="57" t="n"/>
      <c r="E341" s="57" t="n"/>
      <c r="F341" s="57" t="n"/>
      <c r="G341" s="57" t="n"/>
      <c r="H341" s="57" t="n"/>
      <c r="J341" s="198" t="inlineStr">
        <is>
          <t>10</t>
        </is>
      </c>
      <c r="K341" s="198" t="inlineStr">
        <is>
          <t>PL03</t>
        </is>
      </c>
      <c r="L341" s="199" t="inlineStr">
        <is>
          <t>Kiểm tra định vị tim cọc khoan nhồi, hạ ống vách thi công</t>
        </is>
      </c>
      <c r="M341" s="199" t="n"/>
      <c r="N341" s="199" t="n"/>
      <c r="O341" s="200" t="inlineStr">
        <is>
          <t>Cầu Km19+529.080</t>
        </is>
      </c>
      <c r="P341" s="201" t="n"/>
      <c r="Q341" s="201" t="n"/>
      <c r="R341" s="201" t="n"/>
      <c r="S341" s="201">
        <f>S340</f>
        <v/>
      </c>
      <c r="T341" s="201" t="n"/>
      <c r="U341" s="201" t="n"/>
      <c r="V341" s="201" t="n"/>
      <c r="W341" s="202" t="n"/>
      <c r="X341" s="202" t="n"/>
      <c r="Y341" s="202" t="n"/>
      <c r="Z341" s="198" t="inlineStr">
        <is>
          <t>03</t>
        </is>
      </c>
      <c r="AA341" s="203" t="n"/>
      <c r="AB341" s="204" t="inlineStr">
        <is>
          <t>307HG/PYCNT/CKN/T1/C2-1</t>
        </is>
      </c>
      <c r="AC341" s="204">
        <f>AC340</f>
        <v/>
      </c>
      <c r="AD341" s="204" t="n">
        <v>2481752.639</v>
      </c>
      <c r="AE341" s="204" t="n">
        <v>382403.669</v>
      </c>
      <c r="AF341" s="255" t="n">
        <v>169.36</v>
      </c>
      <c r="AG341" s="255" t="n"/>
      <c r="AH341" s="204" t="inlineStr">
        <is>
          <t>&gt;=78;&lt;=96</t>
        </is>
      </c>
      <c r="AI341" s="207" t="n"/>
      <c r="AJ341" s="202" t="n"/>
      <c r="AK341" s="206" t="n"/>
      <c r="AL341" s="202" t="n"/>
      <c r="AM341" s="202" t="n"/>
      <c r="AN341" s="202" t="n"/>
      <c r="AO341" s="202" t="n"/>
      <c r="AP341" s="207" t="n"/>
      <c r="AQ341" s="207" t="n"/>
      <c r="AR341" s="202" t="inlineStr">
        <is>
          <t>Nhóm 1</t>
        </is>
      </c>
      <c r="AS341" s="202" t="n"/>
      <c r="AT341" s="202" t="inlineStr">
        <is>
          <t>HM08</t>
        </is>
      </c>
      <c r="AU341" s="202" t="inlineStr">
        <is>
          <t>PL03</t>
        </is>
      </c>
      <c r="AV341" s="202" t="n">
        <v>5</v>
      </c>
      <c r="AW341" s="202" t="n">
        <v>1</v>
      </c>
      <c r="AX341" s="202" t="n"/>
    </row>
    <row r="342" ht="28" customHeight="1" s="672">
      <c r="A342" s="56" t="inlineStr">
        <is>
          <t>NTCV</t>
        </is>
      </c>
      <c r="B342" s="56" t="inlineStr">
        <is>
          <t>K.9999</t>
        </is>
      </c>
      <c r="C342" s="56" t="inlineStr">
        <is>
          <t>NTCV.0236027</t>
        </is>
      </c>
      <c r="D342" s="57" t="n"/>
      <c r="E342" s="57" t="n"/>
      <c r="F342" s="57" t="n"/>
      <c r="G342" s="57" t="n"/>
      <c r="H342" s="57" t="n"/>
      <c r="J342" s="209" t="inlineStr">
        <is>
          <t>11</t>
        </is>
      </c>
      <c r="K342" s="209" t="inlineStr">
        <is>
          <t>K.9999</t>
        </is>
      </c>
      <c r="L342" s="210" t="inlineStr">
        <is>
          <t>Nghiệm thu lồng thép cọc khoan nhồi trước khi hạ</t>
        </is>
      </c>
      <c r="M342" s="210" t="n"/>
      <c r="N342" s="210" t="n"/>
      <c r="O342" s="211" t="inlineStr">
        <is>
          <t>Cầu Km19+529.080</t>
        </is>
      </c>
      <c r="P342" s="212">
        <f>S340</f>
        <v/>
      </c>
      <c r="Q342" s="212">
        <f>P342</f>
        <v/>
      </c>
      <c r="R342" s="212">
        <f>Q342-1</f>
        <v/>
      </c>
      <c r="S342" s="212">
        <f>Q342</f>
        <v/>
      </c>
      <c r="T342" s="213">
        <f>U340</f>
        <v/>
      </c>
      <c r="U342" s="213">
        <f>T342+V342</f>
        <v/>
      </c>
      <c r="V342" s="213" t="n">
        <v>0.02083333333333333</v>
      </c>
      <c r="W342" s="214">
        <f>TEXT(T342,"HH""h""MM'")&amp;"÷"&amp;TEXT(U342,"HH""h""MM'")</f>
        <v/>
      </c>
      <c r="X342" s="214" t="n"/>
      <c r="Y342" s="214" t="n"/>
      <c r="Z342" s="214" t="inlineStr">
        <is>
          <t>04;</t>
        </is>
      </c>
      <c r="AA342" s="215" t="inlineStr">
        <is>
          <t>Nghiệm thu lồng thép Cọc khoan nhồi Trụ T1 - Cọc C2</t>
        </is>
      </c>
      <c r="AB342" s="204" t="inlineStr">
        <is>
          <t>307HG/PYCNT/CKN/T1/C2-1</t>
        </is>
      </c>
      <c r="AC342" s="204" t="inlineStr">
        <is>
          <t>09-XL-307HG/BBNT/CKN/T1/C2-4</t>
        </is>
      </c>
      <c r="AD342" s="204" t="n"/>
      <c r="AE342" s="204" t="n"/>
      <c r="AF342" s="204" t="n"/>
      <c r="AG342" s="204" t="n"/>
      <c r="AH342" s="204" t="n"/>
      <c r="AI342" s="216" t="n"/>
      <c r="AJ342" s="214" t="n"/>
      <c r="AK342" s="217" t="n"/>
      <c r="AL342" s="214" t="n"/>
      <c r="AM342" s="214" t="n"/>
      <c r="AN342" s="214" t="n"/>
      <c r="AO342" s="214" t="n"/>
      <c r="AP342" s="216" t="n"/>
      <c r="AQ342" s="216" t="n"/>
      <c r="AR342" s="214" t="inlineStr">
        <is>
          <t>Nhóm 1</t>
        </is>
      </c>
      <c r="AS342" s="214" t="n"/>
      <c r="AT342" s="214" t="inlineStr">
        <is>
          <t>HM08</t>
        </is>
      </c>
      <c r="AU342" s="214" t="inlineStr">
        <is>
          <t>NTCV</t>
        </is>
      </c>
      <c r="AV342" s="214" t="n">
        <v>98</v>
      </c>
      <c r="AW342" s="214" t="n">
        <v>3</v>
      </c>
      <c r="AX342" s="214" t="n"/>
    </row>
    <row r="343">
      <c r="A343" s="56" t="inlineStr">
        <is>
          <t>BBK096</t>
        </is>
      </c>
      <c r="B343" s="56" t="inlineStr">
        <is>
          <t>PL04</t>
        </is>
      </c>
      <c r="C343" s="56" t="inlineStr">
        <is>
          <t>BBK096.0878384</t>
        </is>
      </c>
      <c r="D343" s="57" t="n"/>
      <c r="E343" s="57" t="n"/>
      <c r="F343" s="57" t="n"/>
      <c r="G343" s="57" t="n"/>
      <c r="H343" s="57" t="n"/>
      <c r="J343" s="198" t="inlineStr">
        <is>
          <t>12</t>
        </is>
      </c>
      <c r="K343" s="198" t="inlineStr">
        <is>
          <t>PL04</t>
        </is>
      </c>
      <c r="L343" s="199" t="inlineStr">
        <is>
          <t>Nghiệm thu lồng thép cọc khoan nhồi trước khi hạ</t>
        </is>
      </c>
      <c r="M343" s="199" t="n"/>
      <c r="N343" s="199" t="n"/>
      <c r="O343" s="200" t="inlineStr">
        <is>
          <t>Cầu Km19+529.080</t>
        </is>
      </c>
      <c r="P343" s="201" t="n"/>
      <c r="Q343" s="201" t="n"/>
      <c r="R343" s="201" t="n"/>
      <c r="S343" s="201">
        <f>S342</f>
        <v/>
      </c>
      <c r="T343" s="201" t="n"/>
      <c r="U343" s="201" t="n"/>
      <c r="V343" s="201" t="n"/>
      <c r="W343" s="202" t="n"/>
      <c r="X343" s="202" t="n"/>
      <c r="Y343" s="202" t="n"/>
      <c r="Z343" s="198" t="inlineStr">
        <is>
          <t>04</t>
        </is>
      </c>
      <c r="AA343" s="203" t="n"/>
      <c r="AB343" s="204" t="inlineStr">
        <is>
          <t>307HG/PYCNT/CKN/T1/C2-1</t>
        </is>
      </c>
      <c r="AC343" s="204">
        <f>AC342</f>
        <v/>
      </c>
      <c r="AD343" s="204" t="n"/>
      <c r="AE343" s="204" t="n"/>
      <c r="AF343" s="204" t="n"/>
      <c r="AG343" s="204" t="n"/>
      <c r="AH343" s="204" t="inlineStr">
        <is>
          <t>T1</t>
        </is>
      </c>
      <c r="AI343" s="207" t="n"/>
      <c r="AJ343" s="202" t="n"/>
      <c r="AK343" s="206" t="n"/>
      <c r="AL343" s="202" t="n"/>
      <c r="AM343" s="202" t="n"/>
      <c r="AN343" s="202" t="n"/>
      <c r="AO343" s="202" t="n"/>
      <c r="AP343" s="207" t="n"/>
      <c r="AQ343" s="207" t="n"/>
      <c r="AR343" s="202" t="inlineStr">
        <is>
          <t>Nhóm 1</t>
        </is>
      </c>
      <c r="AS343" s="202" t="n"/>
      <c r="AT343" s="202" t="inlineStr">
        <is>
          <t>HM08</t>
        </is>
      </c>
      <c r="AU343" s="202" t="inlineStr">
        <is>
          <t>PL04</t>
        </is>
      </c>
      <c r="AV343" s="202" t="n">
        <v>5</v>
      </c>
      <c r="AW343" s="202" t="n">
        <v>1</v>
      </c>
      <c r="AX343" s="202" t="n"/>
    </row>
    <row r="344" ht="28" customHeight="1" s="672">
      <c r="A344" s="56" t="inlineStr">
        <is>
          <t>NTCV</t>
        </is>
      </c>
      <c r="B344" s="56" t="inlineStr">
        <is>
          <t>K.9999</t>
        </is>
      </c>
      <c r="C344" s="56" t="inlineStr">
        <is>
          <t>NTCV.0610432</t>
        </is>
      </c>
      <c r="D344" s="57" t="n"/>
      <c r="E344" s="57" t="n"/>
      <c r="F344" s="57" t="n"/>
      <c r="G344" s="57" t="n"/>
      <c r="H344" s="57" t="n"/>
      <c r="J344" s="209" t="inlineStr">
        <is>
          <t>13</t>
        </is>
      </c>
      <c r="K344" s="209" t="inlineStr">
        <is>
          <t>K.9999</t>
        </is>
      </c>
      <c r="L344" s="210" t="inlineStr">
        <is>
          <t xml:space="preserve">Kiểm tra công tác khoan tạo lỗ cọc khoan nhồi </t>
        </is>
      </c>
      <c r="M344" s="210" t="n"/>
      <c r="N344" s="210" t="n"/>
      <c r="O344" s="211" t="inlineStr">
        <is>
          <t>Cầu Km19+529.080</t>
        </is>
      </c>
      <c r="P344" s="212">
        <f>S342</f>
        <v/>
      </c>
      <c r="Q344" s="212">
        <f>P344</f>
        <v/>
      </c>
      <c r="R344" s="212">
        <f>Q344-1</f>
        <v/>
      </c>
      <c r="S344" s="212">
        <f>Q344</f>
        <v/>
      </c>
      <c r="T344" s="213">
        <f>U342</f>
        <v/>
      </c>
      <c r="U344" s="213">
        <f>T344+V344</f>
        <v/>
      </c>
      <c r="V344" s="213" t="n">
        <v>0.375</v>
      </c>
      <c r="W344" s="214">
        <f>TEXT(T344,"HH""h""MM'")&amp;"÷"&amp;TEXT(U344,"HH""h""MM'")</f>
        <v/>
      </c>
      <c r="X344" s="214" t="n"/>
      <c r="Y344" s="214" t="n"/>
      <c r="Z344" s="214" t="inlineStr">
        <is>
          <t>05;</t>
        </is>
      </c>
      <c r="AA344" s="215" t="inlineStr">
        <is>
          <t>Kiểm tra công tác khoan tạo lỗ Cọc khoan nhồi Trụ T1 - Cọc C2</t>
        </is>
      </c>
      <c r="AB344" s="204" t="inlineStr">
        <is>
          <t>307HG/PYCNT/CKN/T1/C2-1</t>
        </is>
      </c>
      <c r="AC344" s="204" t="inlineStr">
        <is>
          <t>09-XL-307HG/BBNT/CKN/T1/C2-5</t>
        </is>
      </c>
      <c r="AD344" s="204" t="n"/>
      <c r="AE344" s="204" t="n"/>
      <c r="AF344" s="204" t="n"/>
      <c r="AG344" s="204" t="n"/>
      <c r="AH344" s="204" t="n"/>
      <c r="AI344" s="216" t="n"/>
      <c r="AJ344" s="214" t="n"/>
      <c r="AK344" s="217" t="n"/>
      <c r="AL344" s="214" t="n"/>
      <c r="AM344" s="214" t="n"/>
      <c r="AN344" s="214" t="n"/>
      <c r="AO344" s="214" t="n"/>
      <c r="AP344" s="216" t="n"/>
      <c r="AQ344" s="216" t="n"/>
      <c r="AR344" s="214" t="inlineStr">
        <is>
          <t>Nhóm 1</t>
        </is>
      </c>
      <c r="AS344" s="214" t="n"/>
      <c r="AT344" s="214" t="inlineStr">
        <is>
          <t>HM08</t>
        </is>
      </c>
      <c r="AU344" s="214" t="inlineStr">
        <is>
          <t>NTCV</t>
        </is>
      </c>
      <c r="AV344" s="214" t="n">
        <v>99</v>
      </c>
      <c r="AW344" s="214" t="n">
        <v>4</v>
      </c>
      <c r="AX344" s="214" t="n"/>
    </row>
    <row r="345">
      <c r="A345" s="56" t="inlineStr">
        <is>
          <t>BBK638</t>
        </is>
      </c>
      <c r="B345" s="56" t="inlineStr">
        <is>
          <t>PL05</t>
        </is>
      </c>
      <c r="C345" s="56" t="inlineStr">
        <is>
          <t>BBK638.0374432</t>
        </is>
      </c>
      <c r="D345" s="57" t="n"/>
      <c r="E345" s="57" t="n"/>
      <c r="F345" s="57" t="n"/>
      <c r="G345" s="57" t="n"/>
      <c r="H345" s="57" t="n"/>
      <c r="J345" s="198" t="inlineStr">
        <is>
          <t>14</t>
        </is>
      </c>
      <c r="K345" s="198" t="inlineStr">
        <is>
          <t>PL05</t>
        </is>
      </c>
      <c r="L345" s="199" t="inlineStr">
        <is>
          <t>Kiểm tra công tác khoan tạo lỗ cọc khoan nhồi</t>
        </is>
      </c>
      <c r="M345" s="199" t="n"/>
      <c r="N345" s="199" t="n"/>
      <c r="O345" s="200" t="inlineStr">
        <is>
          <t>Cầu Km19+529.080</t>
        </is>
      </c>
      <c r="P345" s="201" t="n"/>
      <c r="Q345" s="201" t="n"/>
      <c r="R345" s="201" t="n"/>
      <c r="S345" s="201">
        <f>S344</f>
        <v/>
      </c>
      <c r="T345" s="208">
        <f>T344</f>
        <v/>
      </c>
      <c r="U345" s="208" t="n">
        <v>0.75</v>
      </c>
      <c r="V345" s="208">
        <f>U345-T345</f>
        <v/>
      </c>
      <c r="W345" s="202" t="n"/>
      <c r="X345" s="202" t="n"/>
      <c r="Y345" s="202" t="n"/>
      <c r="Z345" s="198" t="inlineStr">
        <is>
          <t>05</t>
        </is>
      </c>
      <c r="AA345" s="203" t="n"/>
      <c r="AB345" s="204" t="inlineStr">
        <is>
          <t>307HG/PYCNT/CKN/T1/C2</t>
        </is>
      </c>
      <c r="AC345" s="204">
        <f>AC344</f>
        <v/>
      </c>
      <c r="AD345" s="204" t="n"/>
      <c r="AE345" s="204" t="n"/>
      <c r="AF345" s="255" t="n">
        <v>169.36</v>
      </c>
      <c r="AG345" s="255" t="n"/>
      <c r="AH345" s="204" t="inlineStr">
        <is>
          <t>T1-C2</t>
        </is>
      </c>
      <c r="AI345" s="207" t="n"/>
      <c r="AJ345" s="202" t="n"/>
      <c r="AK345" s="206" t="n"/>
      <c r="AL345" s="202" t="n"/>
      <c r="AM345" s="202" t="n"/>
      <c r="AN345" s="202" t="n"/>
      <c r="AO345" s="202" t="n"/>
      <c r="AP345" s="207" t="n"/>
      <c r="AQ345" s="207" t="n"/>
      <c r="AR345" s="202" t="inlineStr">
        <is>
          <t>Nhóm 1</t>
        </is>
      </c>
      <c r="AS345" s="202" t="n"/>
      <c r="AT345" s="202" t="inlineStr">
        <is>
          <t>HM08</t>
        </is>
      </c>
      <c r="AU345" s="202" t="inlineStr">
        <is>
          <t>PL05</t>
        </is>
      </c>
      <c r="AV345" s="202" t="n">
        <v>5</v>
      </c>
      <c r="AW345" s="202" t="n">
        <v>1</v>
      </c>
      <c r="AX345" s="202" t="n"/>
    </row>
    <row r="346">
      <c r="A346" s="56" t="inlineStr">
        <is>
          <t>BBK680</t>
        </is>
      </c>
      <c r="B346" s="56" t="inlineStr">
        <is>
          <t>PYC</t>
        </is>
      </c>
      <c r="C346" s="56" t="inlineStr">
        <is>
          <t>BBK680.0389501</t>
        </is>
      </c>
      <c r="D346" s="57" t="n"/>
      <c r="E346" s="57" t="n"/>
      <c r="F346" s="57" t="n"/>
      <c r="G346" s="57" t="n"/>
      <c r="H346" s="57" t="n"/>
      <c r="J346" s="198" t="inlineStr">
        <is>
          <t>15</t>
        </is>
      </c>
      <c r="K346" s="198" t="inlineStr">
        <is>
          <t>PYC</t>
        </is>
      </c>
      <c r="L346" s="199" t="inlineStr">
        <is>
          <t>Phiếu yêu cầu nghiệm thu</t>
        </is>
      </c>
      <c r="M346" s="199" t="n"/>
      <c r="N346" s="199" t="n"/>
      <c r="O346" s="200" t="inlineStr">
        <is>
          <t>Cầu Km19+529.080</t>
        </is>
      </c>
      <c r="P346" s="201" t="n"/>
      <c r="Q346" s="201" t="n"/>
      <c r="R346" s="201">
        <f>R347</f>
        <v/>
      </c>
      <c r="S346" s="201" t="n"/>
      <c r="T346" s="201" t="n"/>
      <c r="U346" s="201" t="n"/>
      <c r="V346" s="201" t="n"/>
      <c r="W346" s="202" t="n"/>
      <c r="X346" s="202" t="n"/>
      <c r="Y346" s="202" t="n"/>
      <c r="Z346" s="202" t="n"/>
      <c r="AA346" s="203" t="n"/>
      <c r="AB346" s="204" t="inlineStr">
        <is>
          <t>307HG/PYCNT/CKN/T1/C2</t>
        </is>
      </c>
      <c r="AC346" s="205" t="inlineStr"/>
      <c r="AD346" s="205" t="n"/>
      <c r="AE346" s="205" t="n"/>
      <c r="AF346" s="205" t="n"/>
      <c r="AG346" s="205" t="inlineStr">
        <is>
          <t>NTCV;BBKTĐK</t>
        </is>
      </c>
      <c r="AH346" s="204" t="inlineStr">
        <is>
          <t>&gt;=6;&lt;=10</t>
        </is>
      </c>
      <c r="AI346" s="202" t="n"/>
      <c r="AJ346" s="202" t="n"/>
      <c r="AK346" s="206" t="n"/>
      <c r="AL346" s="202" t="n"/>
      <c r="AM346" s="202" t="n"/>
      <c r="AN346" s="202" t="n"/>
      <c r="AO346" s="202" t="n"/>
      <c r="AP346" s="207" t="n"/>
      <c r="AQ346" s="207" t="n"/>
      <c r="AR346" s="202" t="inlineStr">
        <is>
          <t>Nhóm 1</t>
        </is>
      </c>
      <c r="AS346" s="202" t="n"/>
      <c r="AT346" s="202" t="inlineStr">
        <is>
          <t>HM08</t>
        </is>
      </c>
      <c r="AU346" s="202" t="inlineStr">
        <is>
          <t>PYC</t>
        </is>
      </c>
      <c r="AV346" s="202" t="n">
        <v>158</v>
      </c>
      <c r="AW346" s="202" t="n">
        <v>2</v>
      </c>
      <c r="AX346" s="202" t="n"/>
    </row>
    <row r="347" ht="42" customHeight="1" s="672">
      <c r="A347" s="56" t="inlineStr">
        <is>
          <t>NTCV</t>
        </is>
      </c>
      <c r="B347" s="56" t="inlineStr">
        <is>
          <t>K.9999</t>
        </is>
      </c>
      <c r="C347" s="56" t="inlineStr">
        <is>
          <t>NTCV.0860589</t>
        </is>
      </c>
      <c r="D347" s="57" t="n"/>
      <c r="E347" s="57" t="n"/>
      <c r="F347" s="57" t="n"/>
      <c r="G347" s="57" t="n"/>
      <c r="H347" s="57" t="n"/>
      <c r="J347" s="209" t="inlineStr">
        <is>
          <t>16</t>
        </is>
      </c>
      <c r="K347" s="209" t="inlineStr">
        <is>
          <t>K.9999</t>
        </is>
      </c>
      <c r="L347" s="210" t="inlineStr">
        <is>
          <t>Kiểm tra công tác vệ sinh lỗ khoan trước khi hạ lồng cốt thép cọc khoan nhồi</t>
        </is>
      </c>
      <c r="M347" s="210" t="n"/>
      <c r="N347" s="210" t="n"/>
      <c r="O347" s="211" t="inlineStr">
        <is>
          <t>Cầu Km19+529.080</t>
        </is>
      </c>
      <c r="P347" s="212">
        <f>S344+1</f>
        <v/>
      </c>
      <c r="Q347" s="212">
        <f>P347</f>
        <v/>
      </c>
      <c r="R347" s="212">
        <f>Q347-1</f>
        <v/>
      </c>
      <c r="S347" s="212">
        <f>Q347</f>
        <v/>
      </c>
      <c r="T347" s="213" t="n">
        <v>0.3333333333333333</v>
      </c>
      <c r="U347" s="213">
        <f>T347+V347</f>
        <v/>
      </c>
      <c r="V347" s="213" t="n">
        <v>0.01041666666666667</v>
      </c>
      <c r="W347" s="214">
        <f>TEXT(T347,"HH""h""MM'")&amp;"÷"&amp;TEXT(U347,"HH""h""MM'")</f>
        <v/>
      </c>
      <c r="X347" s="214" t="n"/>
      <c r="Y347" s="214" t="n"/>
      <c r="Z347" s="214" t="inlineStr">
        <is>
          <t>06;</t>
        </is>
      </c>
      <c r="AA347" s="215" t="inlineStr">
        <is>
          <t>Kiểm tra công tác vệ sinh lỗ khoan trước khi hạ lồng cốt thép Cọc khoan nhồi Trụ T1 - Cọc C2</t>
        </is>
      </c>
      <c r="AB347" s="204" t="inlineStr">
        <is>
          <t>307HG/PYCNT/CKN/T1/C2-2</t>
        </is>
      </c>
      <c r="AC347" s="204" t="inlineStr">
        <is>
          <t>09-XL-307HG/BBNT/CKN/T1/C2-6</t>
        </is>
      </c>
      <c r="AD347" s="204" t="n"/>
      <c r="AE347" s="204" t="n"/>
      <c r="AF347" s="204" t="n"/>
      <c r="AG347" s="204" t="n"/>
      <c r="AH347" s="204" t="n"/>
      <c r="AI347" s="216" t="n"/>
      <c r="AJ347" s="214" t="n"/>
      <c r="AK347" s="217" t="n"/>
      <c r="AL347" s="214" t="n"/>
      <c r="AM347" s="214" t="n"/>
      <c r="AN347" s="214" t="n"/>
      <c r="AO347" s="214" t="n"/>
      <c r="AP347" s="216" t="n"/>
      <c r="AQ347" s="216" t="n"/>
      <c r="AR347" s="214" t="inlineStr">
        <is>
          <t>Nhóm 1</t>
        </is>
      </c>
      <c r="AS347" s="214" t="n"/>
      <c r="AT347" s="214" t="inlineStr">
        <is>
          <t>HM08</t>
        </is>
      </c>
      <c r="AU347" s="214" t="inlineStr">
        <is>
          <t>NTCV</t>
        </is>
      </c>
      <c r="AV347" s="214" t="n">
        <v>105</v>
      </c>
      <c r="AW347" s="214" t="n">
        <v>5</v>
      </c>
      <c r="AX347" s="214" t="n"/>
    </row>
    <row r="348" ht="28" customHeight="1" s="672">
      <c r="A348" s="56" t="inlineStr">
        <is>
          <t>BBK570</t>
        </is>
      </c>
      <c r="B348" s="56" t="inlineStr">
        <is>
          <t>PL06</t>
        </is>
      </c>
      <c r="C348" s="56" t="inlineStr">
        <is>
          <t>BBK570.0585937</t>
        </is>
      </c>
      <c r="D348" s="57" t="n"/>
      <c r="E348" s="57" t="n"/>
      <c r="F348" s="57" t="n"/>
      <c r="G348" s="57" t="n"/>
      <c r="H348" s="57" t="n"/>
      <c r="J348" s="198" t="inlineStr">
        <is>
          <t>17</t>
        </is>
      </c>
      <c r="K348" s="198" t="inlineStr">
        <is>
          <t>PL06</t>
        </is>
      </c>
      <c r="L348" s="199" t="inlineStr">
        <is>
          <t>Kiểm tra công tác vệ sinh lỗ khoan trước khi hạ lồng cốt thép cọc khoan nhồi</t>
        </is>
      </c>
      <c r="M348" s="199" t="n"/>
      <c r="N348" s="199" t="n"/>
      <c r="O348" s="200" t="inlineStr">
        <is>
          <t>Cầu Km19+529.080</t>
        </is>
      </c>
      <c r="P348" s="201" t="n"/>
      <c r="Q348" s="201" t="n"/>
      <c r="R348" s="201" t="n"/>
      <c r="S348" s="201">
        <f>S347</f>
        <v/>
      </c>
      <c r="T348" s="201" t="n"/>
      <c r="U348" s="201" t="n"/>
      <c r="V348" s="201" t="n"/>
      <c r="W348" s="202" t="n"/>
      <c r="X348" s="265" t="n">
        <v>127.36</v>
      </c>
      <c r="Y348" s="265">
        <f>X348-0.02</f>
        <v/>
      </c>
      <c r="Z348" s="198" t="inlineStr">
        <is>
          <t>06</t>
        </is>
      </c>
      <c r="AA348" s="203" t="n"/>
      <c r="AB348" s="204" t="inlineStr">
        <is>
          <t>307HG/PYCNT/CKN/T1/C2-2</t>
        </is>
      </c>
      <c r="AC348" s="204">
        <f>AC347</f>
        <v/>
      </c>
      <c r="AD348" s="204" t="n"/>
      <c r="AE348" s="204" t="n"/>
      <c r="AF348" s="204" t="n"/>
      <c r="AG348" s="204" t="n"/>
      <c r="AH348" s="204" t="n"/>
      <c r="AI348" s="202" t="n"/>
      <c r="AJ348" s="202" t="n"/>
      <c r="AK348" s="206" t="n"/>
      <c r="AL348" s="202" t="n"/>
      <c r="AM348" s="202" t="n"/>
      <c r="AN348" s="202" t="n"/>
      <c r="AO348" s="202" t="n"/>
      <c r="AP348" s="207" t="n"/>
      <c r="AQ348" s="207" t="n"/>
      <c r="AR348" s="202" t="inlineStr">
        <is>
          <t>Nhóm 1</t>
        </is>
      </c>
      <c r="AS348" s="202" t="n"/>
      <c r="AT348" s="202" t="inlineStr">
        <is>
          <t>HM08</t>
        </is>
      </c>
      <c r="AU348" s="202" t="inlineStr">
        <is>
          <t>PL06</t>
        </is>
      </c>
      <c r="AV348" s="202" t="n">
        <v>5</v>
      </c>
      <c r="AW348" s="202" t="n">
        <v>1</v>
      </c>
      <c r="AX348" s="202" t="n"/>
    </row>
    <row r="349" ht="28" customHeight="1" s="672">
      <c r="A349" s="56" t="inlineStr">
        <is>
          <t>NTCV</t>
        </is>
      </c>
      <c r="B349" s="56" t="inlineStr">
        <is>
          <t>K.9999</t>
        </is>
      </c>
      <c r="C349" s="56" t="inlineStr">
        <is>
          <t>NTCV.0931559</t>
        </is>
      </c>
      <c r="D349" s="57" t="n"/>
      <c r="E349" s="57" t="n"/>
      <c r="F349" s="57" t="n"/>
      <c r="G349" s="57" t="n"/>
      <c r="H349" s="57" t="n"/>
      <c r="J349" s="209" t="inlineStr">
        <is>
          <t>18</t>
        </is>
      </c>
      <c r="K349" s="209" t="inlineStr">
        <is>
          <t>K.9999</t>
        </is>
      </c>
      <c r="L349" s="210" t="inlineStr">
        <is>
          <t xml:space="preserve">Nghiệm thu công tác hạ lồng thép </t>
        </is>
      </c>
      <c r="M349" s="210" t="n"/>
      <c r="N349" s="210" t="n"/>
      <c r="O349" s="211" t="inlineStr">
        <is>
          <t>Cầu Km19+529.080</t>
        </is>
      </c>
      <c r="P349" s="212">
        <f>S347</f>
        <v/>
      </c>
      <c r="Q349" s="212">
        <f>P349</f>
        <v/>
      </c>
      <c r="R349" s="212">
        <f>Q349-1</f>
        <v/>
      </c>
      <c r="S349" s="212">
        <f>Q349</f>
        <v/>
      </c>
      <c r="T349" s="213">
        <f>U347</f>
        <v/>
      </c>
      <c r="U349" s="213">
        <f>T349+V349</f>
        <v/>
      </c>
      <c r="V349" s="213" t="n">
        <v>0.03125</v>
      </c>
      <c r="W349" s="214">
        <f>TEXT(T349,"HH""h""MM'")&amp;"÷"&amp;TEXT(U349,"HH""h""MM'")</f>
        <v/>
      </c>
      <c r="X349" s="214" t="n"/>
      <c r="Y349" s="214" t="n"/>
      <c r="Z349" s="214" t="inlineStr">
        <is>
          <t>07;</t>
        </is>
      </c>
      <c r="AA349" s="215" t="inlineStr">
        <is>
          <t>Công tác hạ lồng thép Cọc khoan nhồi Trụ T1 - Cọc C2</t>
        </is>
      </c>
      <c r="AB349" s="204" t="inlineStr">
        <is>
          <t>307HG/PYCNT/CKN/T1/C2-2</t>
        </is>
      </c>
      <c r="AC349" s="204" t="inlineStr">
        <is>
          <t>09-XL-307HG/BBNT/CKN/T1/C2-7</t>
        </is>
      </c>
      <c r="AD349" s="204" t="n"/>
      <c r="AE349" s="204" t="n"/>
      <c r="AF349" s="204" t="n"/>
      <c r="AG349" s="204" t="n"/>
      <c r="AH349" s="204" t="n"/>
      <c r="AI349" s="214" t="n"/>
      <c r="AJ349" s="214" t="n"/>
      <c r="AK349" s="217" t="n"/>
      <c r="AL349" s="214" t="n"/>
      <c r="AM349" s="214" t="n"/>
      <c r="AN349" s="214" t="n"/>
      <c r="AO349" s="214" t="n"/>
      <c r="AP349" s="216" t="n"/>
      <c r="AQ349" s="216" t="n"/>
      <c r="AR349" s="214" t="inlineStr">
        <is>
          <t>Nhóm 1</t>
        </is>
      </c>
      <c r="AS349" s="214" t="n"/>
      <c r="AT349" s="214" t="inlineStr">
        <is>
          <t>HM08</t>
        </is>
      </c>
      <c r="AU349" s="214" t="inlineStr">
        <is>
          <t>NTCV</t>
        </is>
      </c>
      <c r="AV349" s="214" t="n">
        <v>107</v>
      </c>
      <c r="AW349" s="214" t="n">
        <v>6</v>
      </c>
      <c r="AX349" s="214" t="n"/>
    </row>
    <row r="350">
      <c r="A350" s="56" t="inlineStr">
        <is>
          <t>BBK396</t>
        </is>
      </c>
      <c r="B350" s="56" t="inlineStr">
        <is>
          <t>PL07</t>
        </is>
      </c>
      <c r="C350" s="56" t="inlineStr">
        <is>
          <t>BBK396.0517192</t>
        </is>
      </c>
      <c r="D350" s="57" t="n"/>
      <c r="E350" s="57" t="n"/>
      <c r="F350" s="57" t="n"/>
      <c r="G350" s="57" t="n"/>
      <c r="H350" s="57" t="n"/>
      <c r="J350" s="198" t="inlineStr">
        <is>
          <t>19</t>
        </is>
      </c>
      <c r="K350" s="198" t="inlineStr">
        <is>
          <t>PL07</t>
        </is>
      </c>
      <c r="L350" s="199" t="inlineStr">
        <is>
          <t>Nghiệm thu công tác hạ lồng thép</t>
        </is>
      </c>
      <c r="M350" s="199" t="n"/>
      <c r="N350" s="199" t="n"/>
      <c r="O350" s="200" t="inlineStr">
        <is>
          <t>Cầu Km19+529.080</t>
        </is>
      </c>
      <c r="P350" s="201" t="n"/>
      <c r="Q350" s="201" t="n"/>
      <c r="R350" s="201" t="n"/>
      <c r="S350" s="201">
        <f>S349</f>
        <v/>
      </c>
      <c r="T350" s="201" t="n"/>
      <c r="U350" s="201" t="n"/>
      <c r="V350" s="201" t="n"/>
      <c r="W350" s="202" t="n"/>
      <c r="X350" s="202" t="n"/>
      <c r="Y350" s="202" t="n"/>
      <c r="Z350" s="198" t="inlineStr">
        <is>
          <t>07</t>
        </is>
      </c>
      <c r="AA350" s="203" t="n"/>
      <c r="AB350" s="204" t="inlineStr">
        <is>
          <t>307HG/PYCNT/CKN/T1/C2-2</t>
        </is>
      </c>
      <c r="AC350" s="204">
        <f>AC349</f>
        <v/>
      </c>
      <c r="AD350" s="204" t="n"/>
      <c r="AE350" s="204" t="n"/>
      <c r="AF350" s="204" t="n"/>
      <c r="AG350" s="204" t="n"/>
      <c r="AH350" s="204" t="n"/>
      <c r="AI350" s="202" t="n"/>
      <c r="AJ350" s="202" t="n"/>
      <c r="AK350" s="206" t="n"/>
      <c r="AL350" s="202" t="n"/>
      <c r="AM350" s="202" t="n"/>
      <c r="AN350" s="202" t="n"/>
      <c r="AO350" s="202" t="n"/>
      <c r="AP350" s="207" t="n"/>
      <c r="AQ350" s="207" t="n"/>
      <c r="AR350" s="202" t="inlineStr">
        <is>
          <t>Nhóm 1</t>
        </is>
      </c>
      <c r="AS350" s="202" t="n"/>
      <c r="AT350" s="202" t="inlineStr">
        <is>
          <t>HM08</t>
        </is>
      </c>
      <c r="AU350" s="202" t="inlineStr">
        <is>
          <t>PL07</t>
        </is>
      </c>
      <c r="AV350" s="202" t="n">
        <v>5</v>
      </c>
      <c r="AW350" s="202" t="n">
        <v>1</v>
      </c>
      <c r="AX350" s="202" t="n"/>
    </row>
    <row r="351" ht="42" customHeight="1" s="672">
      <c r="A351" s="56" t="inlineStr">
        <is>
          <t>NTCV</t>
        </is>
      </c>
      <c r="B351" s="56" t="inlineStr">
        <is>
          <t>K.9999</t>
        </is>
      </c>
      <c r="C351" s="56" t="inlineStr">
        <is>
          <t>NTCV.0330300</t>
        </is>
      </c>
      <c r="D351" s="57" t="n"/>
      <c r="E351" s="57" t="n"/>
      <c r="F351" s="57" t="n"/>
      <c r="G351" s="57" t="n"/>
      <c r="H351" s="57" t="n"/>
      <c r="J351" s="209" t="inlineStr">
        <is>
          <t>20</t>
        </is>
      </c>
      <c r="K351" s="209" t="inlineStr">
        <is>
          <t>K.9999</t>
        </is>
      </c>
      <c r="L351" s="210" t="inlineStr">
        <is>
          <t xml:space="preserve">Kiểm tra công tác vệ sinh lỗ khoan cọc khoan nhồi trước khi đổ bê tông </t>
        </is>
      </c>
      <c r="M351" s="210" t="n"/>
      <c r="N351" s="210" t="n"/>
      <c r="O351" s="211" t="inlineStr">
        <is>
          <t>Cầu Km19+529.080</t>
        </is>
      </c>
      <c r="P351" s="212">
        <f>S349</f>
        <v/>
      </c>
      <c r="Q351" s="212">
        <f>P351</f>
        <v/>
      </c>
      <c r="R351" s="212">
        <f>Q351-1</f>
        <v/>
      </c>
      <c r="S351" s="212">
        <f>Q351</f>
        <v/>
      </c>
      <c r="T351" s="213">
        <f>U349</f>
        <v/>
      </c>
      <c r="U351" s="213">
        <f>T351+V351</f>
        <v/>
      </c>
      <c r="V351" s="213" t="n">
        <v>0.02083333333333333</v>
      </c>
      <c r="W351" s="214">
        <f>TEXT(T351,"HH""h""MM'")&amp;"÷"&amp;TEXT(U351,"HH""h""MM'")</f>
        <v/>
      </c>
      <c r="X351" s="214" t="n"/>
      <c r="Y351" s="214" t="n"/>
      <c r="Z351" s="214" t="inlineStr">
        <is>
          <t>08;</t>
        </is>
      </c>
      <c r="AA351" s="215" t="inlineStr">
        <is>
          <t>Kiểm tra công tác vệ sinh lỗ khoan cọc khoan nhồi trước khi đổ bê tông Cọc khoan nhồi Trụ T1 - Cọc C2</t>
        </is>
      </c>
      <c r="AB351" s="204" t="inlineStr">
        <is>
          <t>307HG/PYCNT/CKN/T1/C2-2</t>
        </is>
      </c>
      <c r="AC351" s="204" t="inlineStr">
        <is>
          <t>09-XL-307HG/BBNT/CKN/T1/C2-8</t>
        </is>
      </c>
      <c r="AD351" s="204" t="n"/>
      <c r="AE351" s="204" t="n"/>
      <c r="AF351" s="204" t="n"/>
      <c r="AG351" s="204" t="n"/>
      <c r="AH351" s="204" t="n"/>
      <c r="AI351" s="214" t="n"/>
      <c r="AJ351" s="214" t="n"/>
      <c r="AK351" s="217" t="n"/>
      <c r="AL351" s="214" t="n"/>
      <c r="AM351" s="214" t="n"/>
      <c r="AN351" s="214" t="n"/>
      <c r="AO351" s="214" t="n"/>
      <c r="AP351" s="216" t="n"/>
      <c r="AQ351" s="216" t="n"/>
      <c r="AR351" s="214" t="inlineStr">
        <is>
          <t>Nhóm 1</t>
        </is>
      </c>
      <c r="AS351" s="214" t="n"/>
      <c r="AT351" s="214" t="inlineStr">
        <is>
          <t>HM08</t>
        </is>
      </c>
      <c r="AU351" s="214" t="inlineStr">
        <is>
          <t>NTCV</t>
        </is>
      </c>
      <c r="AV351" s="214" t="n">
        <v>109</v>
      </c>
      <c r="AW351" s="214" t="n">
        <v>7</v>
      </c>
      <c r="AX351" s="214" t="n"/>
    </row>
    <row r="352" ht="28" customHeight="1" s="672">
      <c r="A352" s="56" t="inlineStr">
        <is>
          <t>BBK521</t>
        </is>
      </c>
      <c r="B352" s="56" t="inlineStr">
        <is>
          <t>PL08</t>
        </is>
      </c>
      <c r="C352" s="56" t="inlineStr">
        <is>
          <t>BBK521.0868453</t>
        </is>
      </c>
      <c r="D352" s="57" t="n"/>
      <c r="E352" s="57" t="n"/>
      <c r="F352" s="57" t="n"/>
      <c r="G352" s="57" t="n"/>
      <c r="H352" s="57" t="n"/>
      <c r="J352" s="198" t="inlineStr">
        <is>
          <t>21</t>
        </is>
      </c>
      <c r="K352" s="198" t="inlineStr">
        <is>
          <t>PL08</t>
        </is>
      </c>
      <c r="L352" s="199" t="inlineStr">
        <is>
          <t>Kiểm tra công tác vệ sinh lỗ khoan cọc khoan nhồi trước khi đổ bê tông</t>
        </is>
      </c>
      <c r="M352" s="199" t="n"/>
      <c r="N352" s="199" t="n"/>
      <c r="O352" s="200" t="inlineStr">
        <is>
          <t>Cầu Km19+529.080</t>
        </is>
      </c>
      <c r="P352" s="201" t="n"/>
      <c r="Q352" s="201" t="n"/>
      <c r="R352" s="201" t="n"/>
      <c r="S352" s="201">
        <f>S351</f>
        <v/>
      </c>
      <c r="T352" s="201" t="n"/>
      <c r="U352" s="201" t="n"/>
      <c r="V352" s="201" t="n"/>
      <c r="W352" s="202" t="n"/>
      <c r="X352" s="202" t="n"/>
      <c r="Y352" s="202" t="n"/>
      <c r="Z352" s="198" t="inlineStr">
        <is>
          <t>08</t>
        </is>
      </c>
      <c r="AA352" s="203" t="n"/>
      <c r="AB352" s="204" t="inlineStr">
        <is>
          <t>307HG/PYCNT/CKN/T1/C2-2</t>
        </is>
      </c>
      <c r="AC352" s="204">
        <f>AC351</f>
        <v/>
      </c>
      <c r="AD352" s="204" t="n"/>
      <c r="AE352" s="204" t="n"/>
      <c r="AF352" s="204" t="n"/>
      <c r="AG352" s="204" t="n"/>
      <c r="AH352" s="204" t="n"/>
      <c r="AI352" s="202" t="n"/>
      <c r="AJ352" s="202" t="n"/>
      <c r="AK352" s="206" t="n"/>
      <c r="AL352" s="202" t="n"/>
      <c r="AM352" s="202" t="n"/>
      <c r="AN352" s="202" t="n"/>
      <c r="AO352" s="202" t="n"/>
      <c r="AP352" s="207" t="n"/>
      <c r="AQ352" s="207" t="n"/>
      <c r="AR352" s="202" t="inlineStr">
        <is>
          <t>Nhóm 1</t>
        </is>
      </c>
      <c r="AS352" s="202" t="n"/>
      <c r="AT352" s="202" t="inlineStr">
        <is>
          <t>HM08</t>
        </is>
      </c>
      <c r="AU352" s="202" t="inlineStr">
        <is>
          <t>PL08</t>
        </is>
      </c>
      <c r="AV352" s="202" t="n">
        <v>5</v>
      </c>
      <c r="AW352" s="202" t="n">
        <v>1</v>
      </c>
      <c r="AX352" s="202" t="n"/>
    </row>
    <row r="353" ht="28" customHeight="1" s="672">
      <c r="A353" s="56" t="inlineStr">
        <is>
          <t>NTCV</t>
        </is>
      </c>
      <c r="B353" s="56" t="inlineStr">
        <is>
          <t>K.9999</t>
        </is>
      </c>
      <c r="C353" s="56" t="inlineStr">
        <is>
          <t>NTCV.0259060</t>
        </is>
      </c>
      <c r="D353" s="57" t="n"/>
      <c r="E353" s="57" t="n"/>
      <c r="F353" s="57" t="n"/>
      <c r="G353" s="57" t="n"/>
      <c r="H353" s="57" t="n"/>
      <c r="J353" s="209" t="inlineStr">
        <is>
          <t>22</t>
        </is>
      </c>
      <c r="K353" s="209" t="inlineStr">
        <is>
          <t>K.9999</t>
        </is>
      </c>
      <c r="L353" s="210" t="inlineStr">
        <is>
          <t xml:space="preserve">Kiểm tra công tác chuẩn bị đổ bê tông cọc khoan nhồi </t>
        </is>
      </c>
      <c r="M353" s="210" t="n"/>
      <c r="N353" s="210" t="n"/>
      <c r="O353" s="211" t="inlineStr">
        <is>
          <t>Cầu Km19+529.080</t>
        </is>
      </c>
      <c r="P353" s="212">
        <f>S351</f>
        <v/>
      </c>
      <c r="Q353" s="212">
        <f>P353</f>
        <v/>
      </c>
      <c r="R353" s="212">
        <f>Q353-1</f>
        <v/>
      </c>
      <c r="S353" s="212">
        <f>Q353</f>
        <v/>
      </c>
      <c r="T353" s="213">
        <f>U351</f>
        <v/>
      </c>
      <c r="U353" s="213">
        <f>T353+V353</f>
        <v/>
      </c>
      <c r="V353" s="213" t="n">
        <v>0.02083333333333333</v>
      </c>
      <c r="W353" s="214">
        <f>TEXT(T353,"HH""h""MM'")&amp;"÷"&amp;TEXT(U353,"HH""h""MM'")</f>
        <v/>
      </c>
      <c r="X353" s="214" t="n"/>
      <c r="Y353" s="214" t="n"/>
      <c r="Z353" s="214" t="inlineStr">
        <is>
          <t>09;</t>
        </is>
      </c>
      <c r="AA353" s="215" t="inlineStr">
        <is>
          <t>Kiểm tra công tác chuẩn bị đổ bê tông Cọc khoan nhồi Trụ T1 - Cọc C2</t>
        </is>
      </c>
      <c r="AB353" s="204" t="inlineStr">
        <is>
          <t>307HG/PYCNT/CKN/T1/C2-2</t>
        </is>
      </c>
      <c r="AC353" s="204" t="inlineStr">
        <is>
          <t>09-XL-307HG/BBNT/CKN/T1/C2-9</t>
        </is>
      </c>
      <c r="AD353" s="204" t="n"/>
      <c r="AE353" s="204" t="n"/>
      <c r="AF353" s="204" t="n"/>
      <c r="AG353" s="204" t="n"/>
      <c r="AH353" s="204" t="n"/>
      <c r="AI353" s="214" t="n"/>
      <c r="AJ353" s="214" t="n"/>
      <c r="AK353" s="217" t="n"/>
      <c r="AL353" s="214" t="n"/>
      <c r="AM353" s="214" t="n"/>
      <c r="AN353" s="214" t="n"/>
      <c r="AO353" s="214" t="n"/>
      <c r="AP353" s="216" t="n"/>
      <c r="AQ353" s="216" t="n"/>
      <c r="AR353" s="214" t="inlineStr">
        <is>
          <t>Nhóm 1</t>
        </is>
      </c>
      <c r="AS353" s="214" t="n"/>
      <c r="AT353" s="214" t="inlineStr">
        <is>
          <t>HM08</t>
        </is>
      </c>
      <c r="AU353" s="214" t="inlineStr">
        <is>
          <t>NTCV</t>
        </is>
      </c>
      <c r="AV353" s="214" t="n">
        <v>111</v>
      </c>
      <c r="AW353" s="214" t="n">
        <v>8</v>
      </c>
      <c r="AX353" s="214" t="n"/>
    </row>
    <row r="354">
      <c r="A354" s="56" t="inlineStr">
        <is>
          <t>BBK209</t>
        </is>
      </c>
      <c r="B354" s="56" t="inlineStr">
        <is>
          <t>PL09</t>
        </is>
      </c>
      <c r="C354" s="56" t="inlineStr">
        <is>
          <t>BBK209.0259541</t>
        </is>
      </c>
      <c r="D354" s="57" t="n"/>
      <c r="E354" s="57" t="n"/>
      <c r="F354" s="57" t="n"/>
      <c r="G354" s="57" t="n"/>
      <c r="H354" s="57" t="n"/>
      <c r="J354" s="198" t="inlineStr">
        <is>
          <t>23</t>
        </is>
      </c>
      <c r="K354" s="198" t="inlineStr">
        <is>
          <t>PL09</t>
        </is>
      </c>
      <c r="L354" s="199" t="inlineStr">
        <is>
          <t>Kiểm tra công tác chuẩn bị đổ bê tông cọc khoan nhồi</t>
        </is>
      </c>
      <c r="M354" s="199" t="n"/>
      <c r="N354" s="199" t="n"/>
      <c r="O354" s="200" t="inlineStr">
        <is>
          <t>Cầu Km19+529.080</t>
        </is>
      </c>
      <c r="P354" s="201" t="n"/>
      <c r="Q354" s="201" t="n"/>
      <c r="R354" s="201" t="n"/>
      <c r="S354" s="201">
        <f>S353</f>
        <v/>
      </c>
      <c r="T354" s="201" t="n"/>
      <c r="U354" s="201" t="n"/>
      <c r="V354" s="201" t="n"/>
      <c r="W354" s="202" t="n"/>
      <c r="X354" s="202" t="n"/>
      <c r="Y354" s="202" t="n"/>
      <c r="Z354" s="198" t="inlineStr">
        <is>
          <t>09</t>
        </is>
      </c>
      <c r="AA354" s="203" t="n"/>
      <c r="AB354" s="204" t="inlineStr">
        <is>
          <t>307HG/PYCNT/CKN/T1/C2-2</t>
        </is>
      </c>
      <c r="AC354" s="204">
        <f>AC353</f>
        <v/>
      </c>
      <c r="AD354" s="204" t="n"/>
      <c r="AE354" s="204" t="n"/>
      <c r="AF354" s="204" t="n"/>
      <c r="AG354" s="204" t="n"/>
      <c r="AH354" s="204" t="inlineStr">
        <is>
          <t>C30(1)</t>
        </is>
      </c>
      <c r="AI354" s="202" t="n"/>
      <c r="AJ354" s="202" t="n"/>
      <c r="AK354" s="206" t="n"/>
      <c r="AL354" s="202" t="n"/>
      <c r="AM354" s="202" t="n"/>
      <c r="AN354" s="202" t="n"/>
      <c r="AO354" s="202" t="n"/>
      <c r="AP354" s="207" t="n"/>
      <c r="AQ354" s="207" t="n"/>
      <c r="AR354" s="202" t="inlineStr">
        <is>
          <t>Nhóm 1</t>
        </is>
      </c>
      <c r="AS354" s="202" t="n"/>
      <c r="AT354" s="202" t="inlineStr">
        <is>
          <t>HM08</t>
        </is>
      </c>
      <c r="AU354" s="202" t="inlineStr">
        <is>
          <t>PL09</t>
        </is>
      </c>
      <c r="AV354" s="202" t="n">
        <v>5</v>
      </c>
      <c r="AW354" s="202" t="n">
        <v>1</v>
      </c>
      <c r="AX354" s="202" t="n"/>
    </row>
    <row r="355" ht="28" customHeight="1" s="672">
      <c r="A355" s="56" t="inlineStr">
        <is>
          <t>NTCV</t>
        </is>
      </c>
      <c r="B355" s="56" t="inlineStr">
        <is>
          <t>K.9999</t>
        </is>
      </c>
      <c r="C355" s="56" t="inlineStr">
        <is>
          <t>NTCV.0178693</t>
        </is>
      </c>
      <c r="D355" s="57" t="n"/>
      <c r="E355" s="57" t="n"/>
      <c r="F355" s="57" t="n"/>
      <c r="G355" s="57" t="n"/>
      <c r="H355" s="57" t="n"/>
      <c r="J355" s="209" t="inlineStr">
        <is>
          <t>24</t>
        </is>
      </c>
      <c r="K355" s="209" t="inlineStr">
        <is>
          <t>K.9999</t>
        </is>
      </c>
      <c r="L355" s="210" t="inlineStr">
        <is>
          <t>Theo dõi quá trình đổ bê tông cọc khoan nhồi</t>
        </is>
      </c>
      <c r="M355" s="210" t="n"/>
      <c r="N355" s="210" t="n"/>
      <c r="O355" s="211" t="inlineStr">
        <is>
          <t>Cầu Km19+529.080</t>
        </is>
      </c>
      <c r="P355" s="212">
        <f>S353</f>
        <v/>
      </c>
      <c r="Q355" s="212">
        <f>P355</f>
        <v/>
      </c>
      <c r="R355" s="212">
        <f>Q355-1</f>
        <v/>
      </c>
      <c r="S355" s="212">
        <f>Q355</f>
        <v/>
      </c>
      <c r="T355" s="213">
        <f>U353</f>
        <v/>
      </c>
      <c r="U355" s="213">
        <f>T355+V355</f>
        <v/>
      </c>
      <c r="V355" s="213" t="n">
        <v>0.1458333333333333</v>
      </c>
      <c r="W355" s="214">
        <f>TEXT(T355,"HH""h""MM'")&amp;"÷"&amp;TEXT(U355,"HH""h""MM'")</f>
        <v/>
      </c>
      <c r="X355" s="214" t="n"/>
      <c r="Y355" s="214" t="n"/>
      <c r="Z355" s="214" t="inlineStr">
        <is>
          <t>10;</t>
        </is>
      </c>
      <c r="AA355" s="215" t="inlineStr">
        <is>
          <t>Theo dõi quá trình đổ bê tông  Cọc khoan nhồi Trụ T1 - Cọc C2</t>
        </is>
      </c>
      <c r="AB355" s="204" t="inlineStr">
        <is>
          <t>307HG/PYCNT/CKN/T1/C2-2</t>
        </is>
      </c>
      <c r="AC355" s="204" t="inlineStr">
        <is>
          <t>09-XL-307HG/BBNT/CKN/T1/C2-10</t>
        </is>
      </c>
      <c r="AD355" s="204" t="n"/>
      <c r="AE355" s="204" t="n"/>
      <c r="AF355" s="204" t="n"/>
      <c r="AG355" s="204" t="n"/>
      <c r="AH355" s="204" t="n"/>
      <c r="AI355" s="214" t="n"/>
      <c r="AJ355" s="214" t="n"/>
      <c r="AK355" s="217" t="n"/>
      <c r="AL355" s="214" t="n"/>
      <c r="AM355" s="214" t="n"/>
      <c r="AN355" s="214" t="n"/>
      <c r="AO355" s="214" t="n"/>
      <c r="AP355" s="216" t="n"/>
      <c r="AQ355" s="216" t="n"/>
      <c r="AR355" s="214" t="inlineStr">
        <is>
          <t>Nhóm 1</t>
        </is>
      </c>
      <c r="AS355" s="214" t="n"/>
      <c r="AT355" s="214" t="inlineStr">
        <is>
          <t>HM08</t>
        </is>
      </c>
      <c r="AU355" s="214" t="inlineStr">
        <is>
          <t>NTCV</t>
        </is>
      </c>
      <c r="AV355" s="214" t="n">
        <v>112</v>
      </c>
      <c r="AW355" s="214" t="n">
        <v>9</v>
      </c>
      <c r="AX355" s="214" t="n"/>
    </row>
    <row r="356" ht="196" customHeight="1" s="672">
      <c r="A356" s="56" t="inlineStr">
        <is>
          <t>LMHT</t>
        </is>
      </c>
      <c r="B356" s="56" t="inlineStr">
        <is>
          <t>LMHT</t>
        </is>
      </c>
      <c r="C356" s="56" t="inlineStr">
        <is>
          <t>LMHT.0346957</t>
        </is>
      </c>
      <c r="D356" s="57" t="inlineStr">
        <is>
          <t>TC.000041|TC.000182|TC.000169.A</t>
        </is>
      </c>
      <c r="E356" s="57" t="n"/>
      <c r="F356" s="57" t="inlineStr">
        <is>
          <t>CP.0001^Cọc khoan nhồi Trụ T1 - Cọc C2^Hình Trụ 15x30 (cm)^12^30 Mpa, 18±2^^^TC.000041|TC.000182|TC.000169.A</t>
        </is>
      </c>
      <c r="G356" s="57" t="n"/>
      <c r="H356" s="57" t="inlineStr">
        <is>
          <t>^^A|C|J|O|S|X|Z^Stt|Hạng mục|Cấp bê tông|Kích thước mẫu|Số lượng mẫu|Ghi chú^|||||</t>
        </is>
      </c>
      <c r="J356" s="256" t="inlineStr">
        <is>
          <t>25</t>
        </is>
      </c>
      <c r="K356" s="256" t="inlineStr">
        <is>
          <t>LMHT</t>
        </is>
      </c>
      <c r="L356" s="257" t="inlineStr">
        <is>
          <t>Lấy mẫu bê tông Cọc khoan nhồi, 30(1) Mpa Trụ T1 - Cọc C2</t>
        </is>
      </c>
      <c r="M356" s="257" t="n"/>
      <c r="N356" s="257" t="n"/>
      <c r="O356" s="258" t="inlineStr">
        <is>
          <t>Cầu Km19+529.080</t>
        </is>
      </c>
      <c r="P356" s="259" t="n"/>
      <c r="Q356" s="259" t="n"/>
      <c r="R356" s="259" t="n"/>
      <c r="S356" s="259">
        <f>S355</f>
        <v/>
      </c>
      <c r="T356" s="260">
        <f>T355</f>
        <v/>
      </c>
      <c r="U356" s="260">
        <f>U355</f>
        <v/>
      </c>
      <c r="V356" s="260">
        <f>V355</f>
        <v/>
      </c>
      <c r="W356" s="261">
        <f>TEXT(T356,"HH""h""MM'")&amp;"÷"&amp;TEXT(U356,"HH""h""MM'")</f>
        <v/>
      </c>
      <c r="X356" s="262" t="n"/>
      <c r="Y356" s="262" t="n"/>
      <c r="Z356" s="262" t="n"/>
      <c r="AA356" s="262" t="n"/>
      <c r="AB356" s="263" t="inlineStr">
        <is>
          <t>307HG/PYCNT/CKN/T1/C2-2</t>
        </is>
      </c>
      <c r="AC356" s="263" t="inlineStr"/>
      <c r="AD356" s="264" t="n"/>
      <c r="AE356" s="264" t="n"/>
      <c r="AF356" s="264" t="n"/>
      <c r="AG356" s="264" t="n"/>
      <c r="AH356" s="264" t="n"/>
      <c r="AI356" s="257" t="n"/>
      <c r="AJ356" s="262" t="n"/>
      <c r="AK356" s="258" t="n"/>
      <c r="AL356" s="262" t="n"/>
      <c r="AM356" s="262" t="n"/>
      <c r="AN356" s="262" t="n"/>
      <c r="AO356" s="262" t="n"/>
      <c r="AP356" s="263" t="inlineStr">
        <is>
          <t>Bảng lấy mẫu CKN</t>
        </is>
      </c>
      <c r="AQ356" s="263" t="n"/>
      <c r="AR356" s="262" t="inlineStr">
        <is>
          <t>Nhóm 1</t>
        </is>
      </c>
      <c r="AS356" s="262" t="n"/>
      <c r="AT356" s="262" t="inlineStr">
        <is>
          <t>HM08</t>
        </is>
      </c>
      <c r="AU356" s="262" t="inlineStr">
        <is>
          <t>LMHT</t>
        </is>
      </c>
      <c r="AV356" s="262" t="n">
        <v>8</v>
      </c>
      <c r="AW356" s="262" t="n">
        <v>1</v>
      </c>
      <c r="AX356" s="262" t="inlineStr">
        <is>
          <t>Cọc T1-C2 [BT dòng 8]: chưa đến ngưỡng phát sinh lượt mẫu xi măng/cát/đá; mẫu bê tông cấu kiện vẫn theo F356.</t>
        </is>
      </c>
    </row>
    <row r="357">
      <c r="A357" s="56" t="inlineStr">
        <is>
          <t>BBK994</t>
        </is>
      </c>
      <c r="B357" s="56" t="inlineStr">
        <is>
          <t>PL10</t>
        </is>
      </c>
      <c r="C357" s="56" t="inlineStr">
        <is>
          <t>BBK994.0002505</t>
        </is>
      </c>
      <c r="D357" s="57" t="n"/>
      <c r="E357" s="57" t="n"/>
      <c r="F357" s="57" t="n"/>
      <c r="G357" s="57" t="n"/>
      <c r="H357" s="57" t="n"/>
      <c r="J357" s="198" t="inlineStr">
        <is>
          <t>26</t>
        </is>
      </c>
      <c r="K357" s="198" t="inlineStr">
        <is>
          <t>PL10</t>
        </is>
      </c>
      <c r="L357" s="199" t="inlineStr">
        <is>
          <t>Theo dõi quá trình đổ bê tông cọc khoan nhồi</t>
        </is>
      </c>
      <c r="M357" s="199" t="n"/>
      <c r="N357" s="199" t="n"/>
      <c r="O357" s="200" t="inlineStr">
        <is>
          <t>Cầu Km19+529.080</t>
        </is>
      </c>
      <c r="P357" s="201" t="n"/>
      <c r="Q357" s="201" t="n"/>
      <c r="R357" s="201" t="n"/>
      <c r="S357" s="201">
        <f>S355</f>
        <v/>
      </c>
      <c r="T357" s="201" t="n"/>
      <c r="U357" s="201" t="n"/>
      <c r="V357" s="201" t="n"/>
      <c r="W357" s="202" t="n"/>
      <c r="X357" s="202" t="n"/>
      <c r="Y357" s="202" t="n"/>
      <c r="Z357" s="198" t="inlineStr">
        <is>
          <t>10</t>
        </is>
      </c>
      <c r="AA357" s="203" t="n"/>
      <c r="AB357" s="204" t="inlineStr">
        <is>
          <t>307HG/PYCNT/CKN/T1/C2-2</t>
        </is>
      </c>
      <c r="AC357" s="204">
        <f>AC355</f>
        <v/>
      </c>
      <c r="AD357" s="204" t="n"/>
      <c r="AE357" s="204" t="n"/>
      <c r="AF357" s="204" t="n"/>
      <c r="AG357" s="204" t="n"/>
      <c r="AH357" s="204" t="inlineStr">
        <is>
          <t>T1-C2</t>
        </is>
      </c>
      <c r="AI357" s="202" t="n"/>
      <c r="AJ357" s="202" t="n"/>
      <c r="AK357" s="206" t="n"/>
      <c r="AL357" s="202" t="n"/>
      <c r="AM357" s="202" t="n"/>
      <c r="AN357" s="202" t="n"/>
      <c r="AO357" s="202" t="n"/>
      <c r="AP357" s="207" t="n"/>
      <c r="AQ357" s="207" t="n"/>
      <c r="AR357" s="202" t="inlineStr">
        <is>
          <t>Nhóm 1</t>
        </is>
      </c>
      <c r="AS357" s="202" t="n"/>
      <c r="AT357" s="202" t="inlineStr">
        <is>
          <t>HM08</t>
        </is>
      </c>
      <c r="AU357" s="202" t="inlineStr">
        <is>
          <t>PL10</t>
        </is>
      </c>
      <c r="AV357" s="202" t="n">
        <v>5</v>
      </c>
      <c r="AW357" s="202" t="n">
        <v>1</v>
      </c>
      <c r="AX357" s="202" t="n"/>
    </row>
    <row r="358" ht="28" customHeight="1" s="672">
      <c r="A358" s="56" t="inlineStr">
        <is>
          <t>NTCV</t>
        </is>
      </c>
      <c r="B358" s="56" t="inlineStr">
        <is>
          <t>K.9999</t>
        </is>
      </c>
      <c r="C358" s="56" t="inlineStr">
        <is>
          <t>NTCV.0742342</t>
        </is>
      </c>
      <c r="D358" s="57" t="n"/>
      <c r="E358" s="57" t="n"/>
      <c r="F358" s="57" t="n"/>
      <c r="G358" s="57" t="n"/>
      <c r="H358" s="57" t="n"/>
      <c r="J358" s="209" t="inlineStr">
        <is>
          <t>27</t>
        </is>
      </c>
      <c r="K358" s="209" t="inlineStr">
        <is>
          <t>K.9999</t>
        </is>
      </c>
      <c r="L358" s="210" t="inlineStr">
        <is>
          <t xml:space="preserve"> Rút ống vách thi công cọc khoan nhồi</t>
        </is>
      </c>
      <c r="M358" s="210" t="n"/>
      <c r="N358" s="210" t="n"/>
      <c r="O358" s="211" t="inlineStr">
        <is>
          <t>Cầu Km19+529.080</t>
        </is>
      </c>
      <c r="P358" s="212">
        <f>S355</f>
        <v/>
      </c>
      <c r="Q358" s="212">
        <f>P358</f>
        <v/>
      </c>
      <c r="R358" s="212">
        <f>Q358-1</f>
        <v/>
      </c>
      <c r="S358" s="212">
        <f>Q358</f>
        <v/>
      </c>
      <c r="T358" s="213">
        <f>U355</f>
        <v/>
      </c>
      <c r="U358" s="213">
        <f>T358+V358</f>
        <v/>
      </c>
      <c r="V358" s="213" t="n">
        <v>0.01041666666666667</v>
      </c>
      <c r="W358" s="214">
        <f>TEXT(T358,"HH""h""MM'")&amp;"÷"&amp;TEXT(U358,"HH""h""MM'")</f>
        <v/>
      </c>
      <c r="X358" s="214" t="n"/>
      <c r="Y358" s="214" t="n"/>
      <c r="Z358" s="214" t="inlineStr">
        <is>
          <t>11;</t>
        </is>
      </c>
      <c r="AA358" s="215" t="inlineStr">
        <is>
          <t>Rút ống vách  Cọc khoan nhồi Trụ T1 - Cọc C2</t>
        </is>
      </c>
      <c r="AB358" s="204" t="inlineStr">
        <is>
          <t>307HG/PYCNT/CKN/T1/C2-2</t>
        </is>
      </c>
      <c r="AC358" s="204" t="inlineStr">
        <is>
          <t>09-XL-307HG/BBNT/CKN/T1/C2-11</t>
        </is>
      </c>
      <c r="AD358" s="204" t="n"/>
      <c r="AE358" s="204" t="n"/>
      <c r="AF358" s="204" t="n"/>
      <c r="AG358" s="204" t="n"/>
      <c r="AH358" s="204" t="n"/>
      <c r="AI358" s="214" t="n"/>
      <c r="AJ358" s="214" t="n"/>
      <c r="AK358" s="217" t="n"/>
      <c r="AL358" s="214" t="n"/>
      <c r="AM358" s="214" t="n"/>
      <c r="AN358" s="214" t="n"/>
      <c r="AO358" s="214" t="n"/>
      <c r="AP358" s="216" t="n"/>
      <c r="AQ358" s="216" t="n"/>
      <c r="AR358" s="214" t="inlineStr">
        <is>
          <t>Nhóm 1</t>
        </is>
      </c>
      <c r="AS358" s="214" t="n"/>
      <c r="AT358" s="214" t="inlineStr">
        <is>
          <t>HM08</t>
        </is>
      </c>
      <c r="AU358" s="214" t="inlineStr">
        <is>
          <t>NTCV</t>
        </is>
      </c>
      <c r="AV358" s="214" t="n">
        <v>113</v>
      </c>
      <c r="AW358" s="214" t="n">
        <v>10</v>
      </c>
      <c r="AX358" s="214" t="n"/>
    </row>
    <row r="359">
      <c r="A359" s="56" t="inlineStr">
        <is>
          <t>BBK544</t>
        </is>
      </c>
      <c r="B359" s="56" t="inlineStr">
        <is>
          <t>PL11</t>
        </is>
      </c>
      <c r="C359" s="56" t="inlineStr">
        <is>
          <t>BBK544.0840887</t>
        </is>
      </c>
      <c r="D359" s="57" t="n"/>
      <c r="E359" s="57" t="n"/>
      <c r="F359" s="57" t="n"/>
      <c r="G359" s="57" t="n"/>
      <c r="H359" s="57" t="n"/>
      <c r="J359" s="198" t="inlineStr">
        <is>
          <t>28</t>
        </is>
      </c>
      <c r="K359" s="198" t="inlineStr">
        <is>
          <t>PL11</t>
        </is>
      </c>
      <c r="L359" s="199" t="inlineStr">
        <is>
          <t>Rút ống vách thi công cọc khoan nhồi</t>
        </is>
      </c>
      <c r="M359" s="199" t="n"/>
      <c r="N359" s="199" t="n"/>
      <c r="O359" s="200" t="inlineStr">
        <is>
          <t>Cầu Km19+529.080</t>
        </is>
      </c>
      <c r="P359" s="201" t="n"/>
      <c r="Q359" s="201" t="n"/>
      <c r="R359" s="201" t="n"/>
      <c r="S359" s="201">
        <f>S358</f>
        <v/>
      </c>
      <c r="T359" s="201" t="n"/>
      <c r="U359" s="201" t="n"/>
      <c r="V359" s="201" t="n"/>
      <c r="W359" s="202" t="n"/>
      <c r="X359" s="202" t="n"/>
      <c r="Y359" s="202" t="n"/>
      <c r="Z359" s="198" t="inlineStr">
        <is>
          <t>11</t>
        </is>
      </c>
      <c r="AA359" s="203" t="n"/>
      <c r="AB359" s="204" t="inlineStr">
        <is>
          <t>307HG/PYCNT/CKN/T1/C2-2</t>
        </is>
      </c>
      <c r="AC359" s="204">
        <f>AC358</f>
        <v/>
      </c>
      <c r="AD359" s="204" t="n"/>
      <c r="AE359" s="204" t="n"/>
      <c r="AF359" s="204" t="n"/>
      <c r="AG359" s="204" t="n"/>
      <c r="AH359" s="204" t="inlineStr">
        <is>
          <t>&gt;=130;&lt;=161</t>
        </is>
      </c>
      <c r="AI359" s="202" t="n"/>
      <c r="AJ359" s="202" t="n"/>
      <c r="AK359" s="206" t="n"/>
      <c r="AL359" s="202" t="n"/>
      <c r="AM359" s="202" t="n"/>
      <c r="AN359" s="202" t="n"/>
      <c r="AO359" s="202" t="n"/>
      <c r="AP359" s="207" t="n"/>
      <c r="AQ359" s="207" t="n"/>
      <c r="AR359" s="202" t="inlineStr">
        <is>
          <t>Nhóm 1</t>
        </is>
      </c>
      <c r="AS359" s="202" t="n"/>
      <c r="AT359" s="202" t="inlineStr">
        <is>
          <t>HM08</t>
        </is>
      </c>
      <c r="AU359" s="202" t="inlineStr">
        <is>
          <t>PL11</t>
        </is>
      </c>
      <c r="AV359" s="202" t="n">
        <v>5</v>
      </c>
      <c r="AW359" s="202" t="n">
        <v>1</v>
      </c>
      <c r="AX359" s="202" t="n"/>
    </row>
    <row r="360">
      <c r="A360" s="56" t="inlineStr">
        <is>
          <t>BBK680</t>
        </is>
      </c>
      <c r="B360" s="56" t="inlineStr">
        <is>
          <t>PYC</t>
        </is>
      </c>
      <c r="C360" s="56" t="inlineStr">
        <is>
          <t>BBK680.0278589</t>
        </is>
      </c>
      <c r="D360" s="57" t="n"/>
      <c r="E360" s="57" t="n"/>
      <c r="F360" s="57" t="n"/>
      <c r="G360" s="57" t="n"/>
      <c r="H360" s="57" t="n"/>
      <c r="J360" s="198" t="inlineStr">
        <is>
          <t>29</t>
        </is>
      </c>
      <c r="K360" s="198" t="inlineStr">
        <is>
          <t>PYC</t>
        </is>
      </c>
      <c r="L360" s="199" t="inlineStr">
        <is>
          <t>Phiếu yêu cầu nghiệm thu</t>
        </is>
      </c>
      <c r="M360" s="199" t="n"/>
      <c r="N360" s="199" t="n"/>
      <c r="O360" s="200" t="inlineStr">
        <is>
          <t>Cầu Km19+529.080</t>
        </is>
      </c>
      <c r="P360" s="201" t="n"/>
      <c r="Q360" s="201" t="n"/>
      <c r="R360" s="201">
        <f>R361</f>
        <v/>
      </c>
      <c r="S360" s="201" t="n"/>
      <c r="T360" s="201" t="n"/>
      <c r="U360" s="201" t="n"/>
      <c r="V360" s="201" t="n"/>
      <c r="W360" s="202" t="n"/>
      <c r="X360" s="202" t="n"/>
      <c r="Y360" s="202" t="n"/>
      <c r="Z360" s="202" t="n"/>
      <c r="AA360" s="203" t="n"/>
      <c r="AB360" s="204" t="inlineStr">
        <is>
          <t>307HG/PYCNT/CKN/T1/C2</t>
        </is>
      </c>
      <c r="AC360" s="205" t="inlineStr"/>
      <c r="AD360" s="205" t="n"/>
      <c r="AE360" s="205" t="n"/>
      <c r="AF360" s="205" t="n"/>
      <c r="AG360" s="205" t="inlineStr">
        <is>
          <t>NTCV;BBKTĐK</t>
        </is>
      </c>
      <c r="AH360" s="204" t="n">
        <v>11</v>
      </c>
      <c r="AI360" s="202" t="n"/>
      <c r="AJ360" s="202" t="n"/>
      <c r="AK360" s="206" t="n"/>
      <c r="AL360" s="202" t="n"/>
      <c r="AM360" s="202" t="n"/>
      <c r="AN360" s="202" t="n"/>
      <c r="AO360" s="202" t="n"/>
      <c r="AP360" s="207" t="n"/>
      <c r="AQ360" s="207" t="n"/>
      <c r="AR360" s="202" t="inlineStr">
        <is>
          <t>Nhóm 1</t>
        </is>
      </c>
      <c r="AS360" s="202" t="n"/>
      <c r="AT360" s="202" t="inlineStr">
        <is>
          <t>HM08</t>
        </is>
      </c>
      <c r="AU360" s="202" t="inlineStr">
        <is>
          <t>PYC</t>
        </is>
      </c>
      <c r="AV360" s="202" t="n">
        <v>159</v>
      </c>
      <c r="AW360" s="202" t="n">
        <v>3</v>
      </c>
      <c r="AX360" s="202" t="n"/>
    </row>
    <row r="361" ht="28" customHeight="1" s="672">
      <c r="A361" s="56" t="inlineStr">
        <is>
          <t>NTCV</t>
        </is>
      </c>
      <c r="B361" s="56" t="inlineStr">
        <is>
          <t>K.9999</t>
        </is>
      </c>
      <c r="C361" s="56" t="inlineStr">
        <is>
          <t>NTCV.0702970</t>
        </is>
      </c>
      <c r="D361" s="57" t="n"/>
      <c r="E361" s="57" t="n"/>
      <c r="F361" s="57" t="n"/>
      <c r="G361" s="57" t="n"/>
      <c r="H361" s="57" t="n"/>
      <c r="J361" s="209" t="inlineStr">
        <is>
          <t>30</t>
        </is>
      </c>
      <c r="K361" s="209" t="inlineStr">
        <is>
          <t>K.9999</t>
        </is>
      </c>
      <c r="L361" s="210" t="inlineStr">
        <is>
          <t>Theo dõi nén mẫu R7 Cọc khoan nhồi Trụ T1 - Cọc C2</t>
        </is>
      </c>
      <c r="M361" s="210" t="n"/>
      <c r="N361" s="210" t="n"/>
      <c r="O361" s="211" t="inlineStr">
        <is>
          <t>Cầu Km19+529.080</t>
        </is>
      </c>
      <c r="P361" s="212">
        <f>S358+7</f>
        <v/>
      </c>
      <c r="Q361" s="212">
        <f>P361</f>
        <v/>
      </c>
      <c r="R361" s="212">
        <f>Q361-1</f>
        <v/>
      </c>
      <c r="S361" s="212">
        <f>Q361</f>
        <v/>
      </c>
      <c r="T361" s="213" t="n">
        <v>0.3541666666666667</v>
      </c>
      <c r="U361" s="213">
        <f>T361+V361</f>
        <v/>
      </c>
      <c r="V361" s="213" t="n">
        <v>0.02083333333333333</v>
      </c>
      <c r="W361" s="214">
        <f>TEXT(T361,"HH""h""MM'")&amp;"÷"&amp;TEXT(U361,"HH""h""MM'")</f>
        <v/>
      </c>
      <c r="X361" s="214" t="n"/>
      <c r="Y361" s="214" t="n"/>
      <c r="Z361" s="214" t="n"/>
      <c r="AA361" s="215" t="inlineStr">
        <is>
          <t>Theo dõi nén mẫu R7 Cọc khoan nhồi Trụ T1 - Cọc C2</t>
        </is>
      </c>
      <c r="AB361" s="204" t="inlineStr">
        <is>
          <t>307HG/PYCNT/CKN/T1/C2-3</t>
        </is>
      </c>
      <c r="AC361" s="204" t="inlineStr">
        <is>
          <t>09-XL-307HG/BBNT/CKN/T1/C2-12</t>
        </is>
      </c>
      <c r="AD361" s="204" t="n"/>
      <c r="AE361" s="204" t="n"/>
      <c r="AF361" s="204" t="n"/>
      <c r="AG361" s="204" t="n"/>
      <c r="AH361" s="204" t="n"/>
      <c r="AI361" s="214" t="n"/>
      <c r="AJ361" s="214" t="n"/>
      <c r="AK361" s="217" t="n"/>
      <c r="AL361" s="214" t="n"/>
      <c r="AM361" s="214" t="n"/>
      <c r="AN361" s="214" t="n"/>
      <c r="AO361" s="214" t="n"/>
      <c r="AP361" s="216" t="n"/>
      <c r="AQ361" s="216" t="n"/>
      <c r="AR361" s="214" t="inlineStr">
        <is>
          <t>Nhóm 1</t>
        </is>
      </c>
      <c r="AS361" s="214" t="n"/>
      <c r="AT361" s="214" t="inlineStr">
        <is>
          <t>HM08</t>
        </is>
      </c>
      <c r="AU361" s="214" t="inlineStr">
        <is>
          <t>NTCV</t>
        </is>
      </c>
      <c r="AV361" s="214" t="n">
        <v>184</v>
      </c>
      <c r="AW361" s="214" t="n">
        <v>11</v>
      </c>
      <c r="AX361" s="214" t="n"/>
    </row>
    <row r="362">
      <c r="A362" s="56" t="inlineStr">
        <is>
          <t>BBK680</t>
        </is>
      </c>
      <c r="B362" s="56" t="inlineStr">
        <is>
          <t>PYC</t>
        </is>
      </c>
      <c r="C362" s="56" t="inlineStr">
        <is>
          <t>BBK680.0404864</t>
        </is>
      </c>
      <c r="D362" s="57" t="n"/>
      <c r="E362" s="57" t="n"/>
      <c r="F362" s="57" t="n"/>
      <c r="G362" s="57" t="n"/>
      <c r="H362" s="57" t="n"/>
      <c r="J362" s="198" t="inlineStr">
        <is>
          <t>31</t>
        </is>
      </c>
      <c r="K362" s="198" t="inlineStr">
        <is>
          <t>PYC</t>
        </is>
      </c>
      <c r="L362" s="199" t="inlineStr">
        <is>
          <t>Phiếu yêu cầu nghiệm thu</t>
        </is>
      </c>
      <c r="M362" s="199" t="n"/>
      <c r="N362" s="199" t="n"/>
      <c r="O362" s="200" t="inlineStr">
        <is>
          <t>Cầu Km19+529.080</t>
        </is>
      </c>
      <c r="P362" s="201" t="n"/>
      <c r="Q362" s="201" t="n"/>
      <c r="R362" s="201">
        <f>+S357+28</f>
        <v/>
      </c>
      <c r="S362" s="201" t="n"/>
      <c r="T362" s="201" t="n"/>
      <c r="U362" s="201" t="n"/>
      <c r="V362" s="201" t="n"/>
      <c r="W362" s="202" t="n"/>
      <c r="X362" s="202" t="n"/>
      <c r="Y362" s="202" t="n"/>
      <c r="Z362" s="202" t="n"/>
      <c r="AA362" s="203" t="n"/>
      <c r="AB362" s="204" t="inlineStr">
        <is>
          <t>307HG/PYCNT/CKN/T1/C2</t>
        </is>
      </c>
      <c r="AC362" s="205" t="inlineStr"/>
      <c r="AD362" s="205" t="n"/>
      <c r="AE362" s="205" t="n"/>
      <c r="AF362" s="205" t="n"/>
      <c r="AG362" s="205" t="inlineStr">
        <is>
          <t>NTCV;BBKTĐK</t>
        </is>
      </c>
      <c r="AH362" s="204" t="n">
        <v>12</v>
      </c>
      <c r="AI362" s="202" t="n"/>
      <c r="AJ362" s="202" t="n"/>
      <c r="AK362" s="206" t="n"/>
      <c r="AL362" s="202" t="n"/>
      <c r="AM362" s="202" t="n"/>
      <c r="AN362" s="202" t="n"/>
      <c r="AO362" s="202" t="n"/>
      <c r="AP362" s="207" t="n"/>
      <c r="AQ362" s="207" t="n"/>
      <c r="AR362" s="202" t="inlineStr">
        <is>
          <t>Nhóm 1</t>
        </is>
      </c>
      <c r="AS362" s="202" t="n"/>
      <c r="AT362" s="202" t="inlineStr">
        <is>
          <t>HM08</t>
        </is>
      </c>
      <c r="AU362" s="202" t="inlineStr">
        <is>
          <t>PYC</t>
        </is>
      </c>
      <c r="AV362" s="202" t="n">
        <v>160</v>
      </c>
      <c r="AW362" s="202" t="n">
        <v>4</v>
      </c>
      <c r="AX362" s="202" t="n"/>
    </row>
    <row r="363" ht="28" customHeight="1" s="672">
      <c r="A363" s="56" t="inlineStr">
        <is>
          <t>NTCV</t>
        </is>
      </c>
      <c r="B363" s="56" t="inlineStr">
        <is>
          <t>K.9999</t>
        </is>
      </c>
      <c r="C363" s="56" t="inlineStr">
        <is>
          <t>NTCV.0811571</t>
        </is>
      </c>
      <c r="D363" s="57" t="n"/>
      <c r="E363" s="57" t="n"/>
      <c r="F363" s="57" t="n"/>
      <c r="G363" s="57" t="n"/>
      <c r="H363" s="57" t="n"/>
      <c r="J363" s="209" t="inlineStr">
        <is>
          <t>32</t>
        </is>
      </c>
      <c r="K363" s="209" t="inlineStr">
        <is>
          <t>K.9999</t>
        </is>
      </c>
      <c r="L363" s="210" t="inlineStr">
        <is>
          <t>Đập đầu cọc khoan nhồi Trụ T1 - Cọc C2</t>
        </is>
      </c>
      <c r="M363" s="210" t="n"/>
      <c r="N363" s="210" t="n"/>
      <c r="O363" s="211" t="inlineStr">
        <is>
          <t>Cầu Km19+529.080</t>
        </is>
      </c>
      <c r="P363" s="212">
        <f>S361</f>
        <v/>
      </c>
      <c r="Q363" s="212">
        <f>P363</f>
        <v/>
      </c>
      <c r="R363" s="212">
        <f>Q363-1</f>
        <v/>
      </c>
      <c r="S363" s="212">
        <f>Q363</f>
        <v/>
      </c>
      <c r="T363" s="213" t="n">
        <v>0.3541666666666667</v>
      </c>
      <c r="U363" s="213">
        <f>T363+V363</f>
        <v/>
      </c>
      <c r="V363" s="213" t="n">
        <v>0.0625</v>
      </c>
      <c r="W363" s="214">
        <f>TEXT(T363,"HH""h""MM'")&amp;"÷"&amp;TEXT(U363,"HH""h""MM'")</f>
        <v/>
      </c>
      <c r="X363" s="214" t="n"/>
      <c r="Y363" s="214" t="n"/>
      <c r="Z363" s="214" t="n"/>
      <c r="AA363" s="215" t="inlineStr">
        <is>
          <t>Theo dõi nén mẫu R28 Cọc khoan nhồi Trụ T1 - Cọc C2</t>
        </is>
      </c>
      <c r="AB363" s="204" t="inlineStr">
        <is>
          <t>307HG/PYCNT/CKN/T1/C2-4</t>
        </is>
      </c>
      <c r="AC363" s="204" t="inlineStr">
        <is>
          <t>09-XL-307HG/BBNT/CKN/T1/C2-13</t>
        </is>
      </c>
      <c r="AD363" s="204" t="n"/>
      <c r="AE363" s="204" t="n"/>
      <c r="AF363" s="204" t="n"/>
      <c r="AG363" s="204" t="n"/>
      <c r="AH363" s="204" t="n"/>
      <c r="AI363" s="214" t="n"/>
      <c r="AJ363" s="214" t="n"/>
      <c r="AK363" s="217" t="n"/>
      <c r="AL363" s="214" t="n"/>
      <c r="AM363" s="214" t="n"/>
      <c r="AN363" s="214" t="n"/>
      <c r="AO363" s="214" t="n"/>
      <c r="AP363" s="216" t="n"/>
      <c r="AQ363" s="216" t="n"/>
      <c r="AR363" s="214" t="inlineStr">
        <is>
          <t>Nhóm 1</t>
        </is>
      </c>
      <c r="AS363" s="214" t="n"/>
      <c r="AT363" s="214" t="inlineStr">
        <is>
          <t>HM08</t>
        </is>
      </c>
      <c r="AU363" s="214" t="inlineStr">
        <is>
          <t>NTCV</t>
        </is>
      </c>
      <c r="AV363" s="214" t="n">
        <v>185</v>
      </c>
      <c r="AW363" s="214" t="n">
        <v>12</v>
      </c>
      <c r="AX363" s="214" t="n"/>
    </row>
    <row r="364">
      <c r="A364" s="56" t="inlineStr">
        <is>
          <t>HM</t>
        </is>
      </c>
      <c r="B364" s="56" t="inlineStr">
        <is>
          <t>HM</t>
        </is>
      </c>
      <c r="C364" s="56" t="inlineStr">
        <is>
          <t>HM.0741780</t>
        </is>
      </c>
      <c r="D364" s="57" t="n"/>
      <c r="E364" s="57" t="n"/>
      <c r="F364" s="57" t="n"/>
      <c r="G364" s="57" t="n"/>
      <c r="H364" s="57" t="n"/>
      <c r="J364" s="246" t="inlineStr">
        <is>
          <t>HM09</t>
        </is>
      </c>
      <c r="K364" s="246" t="inlineStr">
        <is>
          <t>HM</t>
        </is>
      </c>
      <c r="L364" s="247" t="inlineStr">
        <is>
          <t>Trụ T1 - Cọc C3</t>
        </is>
      </c>
      <c r="M364" s="247" t="n"/>
      <c r="N364" s="247" t="n"/>
      <c r="O364" s="248" t="inlineStr">
        <is>
          <t>Cầu Km19+529.080</t>
        </is>
      </c>
      <c r="P364" s="249" t="n"/>
      <c r="Q364" s="249" t="n"/>
      <c r="R364" s="249" t="n"/>
      <c r="S364" s="249" t="n"/>
      <c r="T364" s="249" t="n"/>
      <c r="U364" s="249" t="n"/>
      <c r="V364" s="249" t="n"/>
      <c r="W364" s="250" t="n"/>
      <c r="X364" s="250" t="n"/>
      <c r="Y364" s="250" t="n"/>
      <c r="Z364" s="250" t="n"/>
      <c r="AA364" s="251" t="n"/>
      <c r="AB364" s="252" t="n"/>
      <c r="AC364" s="252" t="inlineStr"/>
      <c r="AD364" s="252" t="n"/>
      <c r="AE364" s="252" t="n"/>
      <c r="AF364" s="252" t="n"/>
      <c r="AG364" s="252" t="n"/>
      <c r="AH364" s="252" t="n"/>
      <c r="AI364" s="250" t="n"/>
      <c r="AJ364" s="250" t="n"/>
      <c r="AK364" s="253" t="n"/>
      <c r="AL364" s="250" t="n"/>
      <c r="AM364" s="250" t="n"/>
      <c r="AN364" s="250" t="n"/>
      <c r="AO364" s="250" t="n"/>
      <c r="AP364" s="254" t="n"/>
      <c r="AQ364" s="254" t="n"/>
      <c r="AR364" s="250" t="n"/>
      <c r="AS364" s="250" t="n"/>
      <c r="AT364" s="250" t="inlineStr">
        <is>
          <t>HM09</t>
        </is>
      </c>
      <c r="AU364" s="250" t="inlineStr">
        <is>
          <t>HM</t>
        </is>
      </c>
      <c r="AV364" s="250" t="n"/>
      <c r="AW364" s="250" t="n"/>
      <c r="AX364" s="250" t="n"/>
    </row>
    <row r="365" ht="28" customFormat="1" customHeight="1" s="70">
      <c r="A365" s="68" t="inlineStr">
        <is>
          <t>BBK_BIA</t>
        </is>
      </c>
      <c r="B365" s="68" t="inlineStr">
        <is>
          <t>TRANGBIA</t>
        </is>
      </c>
      <c r="C365" s="68" t="inlineStr">
        <is>
          <t>BBK_BIA.0437663</t>
        </is>
      </c>
      <c r="D365" s="69" t="n"/>
      <c r="E365" s="69" t="n"/>
      <c r="F365" s="69" t="n"/>
      <c r="G365" s="69" t="n"/>
      <c r="H365" s="69" t="n"/>
      <c r="J365" s="98" t="inlineStr">
        <is>
          <t>01</t>
        </is>
      </c>
      <c r="K365" s="98" t="inlineStr">
        <is>
          <t>TRANGBIA</t>
        </is>
      </c>
      <c r="L365" s="99">
        <f>"Cọc Khoan Nhồi"&amp;" - "&amp;L364</f>
        <v/>
      </c>
      <c r="M365" s="99" t="n"/>
      <c r="N365" s="99" t="n"/>
      <c r="O365" s="100" t="inlineStr">
        <is>
          <t>Cầu Km19+529.080</t>
        </is>
      </c>
      <c r="P365" s="101" t="n"/>
      <c r="Q365" s="101" t="n"/>
      <c r="R365" s="101" t="n"/>
      <c r="S365" s="101" t="n"/>
      <c r="T365" s="101" t="n"/>
      <c r="U365" s="101" t="n"/>
      <c r="V365" s="101" t="n"/>
      <c r="W365" s="102" t="n"/>
      <c r="X365" s="102" t="n"/>
      <c r="Y365" s="102" t="n"/>
      <c r="Z365" s="102" t="n"/>
      <c r="AA365" s="102" t="n"/>
      <c r="AB365" s="102" t="n"/>
      <c r="AC365" s="102" t="inlineStr"/>
      <c r="AD365" s="102" t="n"/>
      <c r="AE365" s="102" t="n"/>
      <c r="AF365" s="102" t="n"/>
      <c r="AG365" s="102" t="n"/>
      <c r="AH365" s="102" t="n"/>
      <c r="AI365" s="102" t="n"/>
      <c r="AJ365" s="102" t="n"/>
      <c r="AK365" s="100" t="n"/>
      <c r="AL365" s="102" t="n"/>
      <c r="AM365" s="102" t="n"/>
      <c r="AN365" s="102" t="n"/>
      <c r="AO365" s="102" t="n"/>
      <c r="AP365" s="103" t="inlineStr">
        <is>
          <t>Kết cấu cọc khoan nhồi mố, trụ</t>
        </is>
      </c>
      <c r="AQ365" s="104" t="n"/>
      <c r="AR365" s="102" t="inlineStr">
        <is>
          <t>Nhóm 1</t>
        </is>
      </c>
      <c r="AS365" s="102" t="n"/>
      <c r="AT365" s="102" t="inlineStr">
        <is>
          <t>HM09</t>
        </is>
      </c>
      <c r="AU365" s="102" t="inlineStr">
        <is>
          <t>TRANGBIA</t>
        </is>
      </c>
      <c r="AV365" s="102" t="n">
        <v>9</v>
      </c>
      <c r="AW365" s="102" t="n">
        <v>1</v>
      </c>
      <c r="AX365" s="102" t="n"/>
    </row>
    <row r="366" customFormat="1" s="70">
      <c r="A366" s="68" t="inlineStr">
        <is>
          <t>BBK_ML</t>
        </is>
      </c>
      <c r="B366" s="68" t="inlineStr">
        <is>
          <t>MUCLUC</t>
        </is>
      </c>
      <c r="C366" s="68" t="inlineStr">
        <is>
          <t>BBK_ML.0077980</t>
        </is>
      </c>
      <c r="D366" s="69" t="n"/>
      <c r="E366" s="69" t="n"/>
      <c r="F366" s="69" t="n"/>
      <c r="G366" s="69" t="n"/>
      <c r="H366" s="69" t="n"/>
      <c r="J366" s="98" t="inlineStr">
        <is>
          <t>02</t>
        </is>
      </c>
      <c r="K366" s="98" t="inlineStr">
        <is>
          <t>MUCLUC</t>
        </is>
      </c>
      <c r="L366" s="99" t="inlineStr">
        <is>
          <t>Danh mục biên bản Kiểm tra/Nghiệm thu</t>
        </is>
      </c>
      <c r="M366" s="99" t="n"/>
      <c r="N366" s="99" t="n"/>
      <c r="O366" s="100" t="inlineStr">
        <is>
          <t>Cầu Km19+529.080</t>
        </is>
      </c>
      <c r="P366" s="101" t="n"/>
      <c r="Q366" s="101" t="n"/>
      <c r="R366" s="101" t="n"/>
      <c r="S366" s="101" t="n"/>
      <c r="T366" s="101" t="n"/>
      <c r="U366" s="101" t="n"/>
      <c r="V366" s="101" t="n"/>
      <c r="W366" s="102" t="n"/>
      <c r="X366" s="102" t="n"/>
      <c r="Y366" s="102" t="n"/>
      <c r="Z366" s="102" t="n"/>
      <c r="AA366" s="102" t="n"/>
      <c r="AB366" s="102" t="n"/>
      <c r="AC366" s="102" t="inlineStr"/>
      <c r="AD366" s="102" t="n"/>
      <c r="AE366" s="102" t="n"/>
      <c r="AF366" s="102" t="n"/>
      <c r="AG366" s="102" t="n"/>
      <c r="AH366" s="102" t="n"/>
      <c r="AI366" s="102" t="n"/>
      <c r="AJ366" s="102" t="n"/>
      <c r="AK366" s="100" t="n"/>
      <c r="AL366" s="102" t="n"/>
      <c r="AM366" s="102" t="n"/>
      <c r="AN366" s="102" t="n"/>
      <c r="AO366" s="102" t="n"/>
      <c r="AP366" s="104" t="n"/>
      <c r="AQ366" s="104" t="n"/>
      <c r="AR366" s="102" t="inlineStr">
        <is>
          <t>Nhóm 1</t>
        </is>
      </c>
      <c r="AS366" s="102" t="n"/>
      <c r="AT366" s="102" t="inlineStr">
        <is>
          <t>HM09</t>
        </is>
      </c>
      <c r="AU366" s="102" t="inlineStr">
        <is>
          <t>MUCLUC</t>
        </is>
      </c>
      <c r="AV366" s="102" t="n">
        <v>9</v>
      </c>
      <c r="AW366" s="102" t="n">
        <v>1</v>
      </c>
      <c r="AX366" s="102" t="n"/>
    </row>
    <row r="367">
      <c r="A367" s="56" t="inlineStr">
        <is>
          <t>BBK680</t>
        </is>
      </c>
      <c r="B367" s="56" t="inlineStr">
        <is>
          <t>PYC</t>
        </is>
      </c>
      <c r="C367" s="56" t="inlineStr">
        <is>
          <t>BBK680.0410631</t>
        </is>
      </c>
      <c r="D367" s="57" t="n"/>
      <c r="E367" s="57" t="n"/>
      <c r="F367" s="57" t="n"/>
      <c r="G367" s="57" t="n"/>
      <c r="H367" s="57" t="n"/>
      <c r="J367" s="198" t="inlineStr">
        <is>
          <t>03</t>
        </is>
      </c>
      <c r="K367" s="198" t="inlineStr">
        <is>
          <t>PYC</t>
        </is>
      </c>
      <c r="L367" s="199" t="inlineStr">
        <is>
          <t>Phiếu yêu cầu nghiệm thu</t>
        </is>
      </c>
      <c r="M367" s="199" t="n"/>
      <c r="N367" s="199" t="n"/>
      <c r="O367" s="200" t="inlineStr">
        <is>
          <t>Cầu Km19+529.080</t>
        </is>
      </c>
      <c r="P367" s="201" t="n"/>
      <c r="Q367" s="201" t="n"/>
      <c r="R367" s="201">
        <f>R368</f>
        <v/>
      </c>
      <c r="S367" s="201" t="n"/>
      <c r="T367" s="201" t="n"/>
      <c r="U367" s="201" t="n"/>
      <c r="V367" s="201" t="n"/>
      <c r="W367" s="202" t="n"/>
      <c r="X367" s="202" t="n"/>
      <c r="Y367" s="202" t="n"/>
      <c r="Z367" s="202" t="n"/>
      <c r="AA367" s="203" t="n"/>
      <c r="AB367" s="204" t="inlineStr">
        <is>
          <t>09-XL-307HG/PYCNT/CKN/T1/C3</t>
        </is>
      </c>
      <c r="AC367" s="205" t="inlineStr"/>
      <c r="AD367" s="205" t="n"/>
      <c r="AE367" s="205" t="n"/>
      <c r="AF367" s="205" t="n"/>
      <c r="AG367" s="205" t="inlineStr">
        <is>
          <t>NTCV;BBKTĐK</t>
        </is>
      </c>
      <c r="AH367" s="204" t="inlineStr">
        <is>
          <t>&gt;=1;&lt;=5</t>
        </is>
      </c>
      <c r="AI367" s="202" t="n"/>
      <c r="AJ367" s="202" t="n"/>
      <c r="AK367" s="206" t="n"/>
      <c r="AL367" s="202" t="n"/>
      <c r="AM367" s="202" t="n"/>
      <c r="AN367" s="202" t="n"/>
      <c r="AO367" s="202" t="n"/>
      <c r="AP367" s="207" t="n"/>
      <c r="AQ367" s="207" t="n"/>
      <c r="AR367" s="202" t="inlineStr">
        <is>
          <t>Nhóm 1</t>
        </is>
      </c>
      <c r="AS367" s="202" t="n"/>
      <c r="AT367" s="202" t="inlineStr">
        <is>
          <t>HM09</t>
        </is>
      </c>
      <c r="AU367" s="202" t="inlineStr">
        <is>
          <t>PYC</t>
        </is>
      </c>
      <c r="AV367" s="202" t="n">
        <v>161</v>
      </c>
      <c r="AW367" s="202" t="n">
        <v>1</v>
      </c>
      <c r="AX367" s="202" t="n"/>
    </row>
    <row r="368" ht="28" customHeight="1" s="672">
      <c r="A368" s="56" t="inlineStr">
        <is>
          <t>BBK884</t>
        </is>
      </c>
      <c r="B368" s="56" t="inlineStr">
        <is>
          <t>BBKTĐK</t>
        </is>
      </c>
      <c r="C368" s="56" t="inlineStr">
        <is>
          <t>BBK884.0339375</t>
        </is>
      </c>
      <c r="D368" s="57" t="n"/>
      <c r="E368" s="57" t="n"/>
      <c r="F368" s="57" t="n"/>
      <c r="G368" s="57" t="n"/>
      <c r="H368" s="57" t="n"/>
      <c r="J368" s="198" t="inlineStr">
        <is>
          <t>04</t>
        </is>
      </c>
      <c r="K368" s="198" t="inlineStr">
        <is>
          <t>BBKTĐK</t>
        </is>
      </c>
      <c r="L368" s="199" t="inlineStr">
        <is>
          <t>Kiểm tra điều kiện trước khi thi công cọc khoan nhồi: Thiết bị, nhân lực, vật tư</t>
        </is>
      </c>
      <c r="M368" s="199" t="n"/>
      <c r="N368" s="199" t="n"/>
      <c r="O368" s="200" t="inlineStr">
        <is>
          <t>Cầu Km19+529.080</t>
        </is>
      </c>
      <c r="P368" s="201" t="n">
        <v>46212</v>
      </c>
      <c r="Q368" s="201">
        <f>P368</f>
        <v/>
      </c>
      <c r="R368" s="201">
        <f>Q368-1</f>
        <v/>
      </c>
      <c r="S368" s="201">
        <f>Q368</f>
        <v/>
      </c>
      <c r="T368" s="208" t="n">
        <v>0.2916666666666667</v>
      </c>
      <c r="U368" s="208">
        <f>T368+V368</f>
        <v/>
      </c>
      <c r="V368" s="208" t="n">
        <v>0.02083333333333333</v>
      </c>
      <c r="W368" s="202">
        <f>TEXT(T368,"HH""h""MM'")&amp;"÷"&amp;TEXT(U368,"HH""h""MM'")</f>
        <v/>
      </c>
      <c r="X368" s="202" t="n"/>
      <c r="Y368" s="202" t="n"/>
      <c r="Z368" s="202" t="inlineStr">
        <is>
          <t>01;</t>
        </is>
      </c>
      <c r="AA368" s="200" t="inlineStr">
        <is>
          <t>Kiểm tra điều kiện trước khi thi công Cọc khoan nhồi Trụ T1 - Cọc C3</t>
        </is>
      </c>
      <c r="AB368" s="205" t="inlineStr">
        <is>
          <t>09-XL-307HG/PYCNT/CKN/T1/C3-1</t>
        </is>
      </c>
      <c r="AC368" s="205" t="inlineStr">
        <is>
          <t>09-XL-307HG/BBNT/CKN/T1/C3-1</t>
        </is>
      </c>
      <c r="AD368" s="205" t="n"/>
      <c r="AE368" s="205" t="n"/>
      <c r="AF368" s="205" t="n"/>
      <c r="AG368" s="205" t="n"/>
      <c r="AH368" s="205" t="n"/>
      <c r="AI368" s="207" t="n"/>
      <c r="AJ368" s="214" t="n"/>
      <c r="AK368" s="217" t="n"/>
      <c r="AL368" s="214" t="n"/>
      <c r="AM368" s="214" t="n"/>
      <c r="AN368" s="214" t="n"/>
      <c r="AO368" s="202" t="n"/>
      <c r="AP368" s="207" t="n"/>
      <c r="AQ368" s="207" t="n"/>
      <c r="AR368" s="202" t="inlineStr">
        <is>
          <t>Nhóm 1</t>
        </is>
      </c>
      <c r="AS368" s="202" t="n"/>
      <c r="AT368" s="202" t="inlineStr">
        <is>
          <t>HM09</t>
        </is>
      </c>
      <c r="AU368" s="202" t="inlineStr">
        <is>
          <t>BBKTĐK</t>
        </is>
      </c>
      <c r="AV368" s="202" t="n">
        <v>7</v>
      </c>
      <c r="AW368" s="202" t="n">
        <v>1</v>
      </c>
      <c r="AX368" s="202" t="n"/>
    </row>
    <row r="369" ht="28" customHeight="1" s="672">
      <c r="A369" s="56" t="inlineStr">
        <is>
          <t>BBK860</t>
        </is>
      </c>
      <c r="B369" s="56" t="inlineStr">
        <is>
          <t>PL01</t>
        </is>
      </c>
      <c r="C369" s="56" t="inlineStr">
        <is>
          <t>BBK860.0710554</t>
        </is>
      </c>
      <c r="D369" s="57" t="n"/>
      <c r="E369" s="57" t="n"/>
      <c r="F369" s="57" t="n"/>
      <c r="G369" s="57" t="n"/>
      <c r="H369" s="57" t="n"/>
      <c r="J369" s="198" t="inlineStr">
        <is>
          <t>05</t>
        </is>
      </c>
      <c r="K369" s="198" t="inlineStr">
        <is>
          <t>PL01</t>
        </is>
      </c>
      <c r="L369" s="199" t="inlineStr">
        <is>
          <t>Máy móc, thiết bị, nhân lực, vật tư thi công cọc khoan nhồi</t>
        </is>
      </c>
      <c r="M369" s="199" t="n"/>
      <c r="N369" s="199" t="n"/>
      <c r="O369" s="199" t="inlineStr">
        <is>
          <t>Cầu Km19+529.080</t>
        </is>
      </c>
      <c r="P369" s="201" t="n"/>
      <c r="Q369" s="201" t="n"/>
      <c r="R369" s="201" t="n"/>
      <c r="S369" s="201">
        <f>S368</f>
        <v/>
      </c>
      <c r="T369" s="201" t="n"/>
      <c r="U369" s="201" t="n"/>
      <c r="V369" s="201" t="n"/>
      <c r="W369" s="202" t="n"/>
      <c r="X369" s="202" t="n"/>
      <c r="Y369" s="202" t="n"/>
      <c r="Z369" s="198" t="inlineStr">
        <is>
          <t>01</t>
        </is>
      </c>
      <c r="AA369" s="203" t="n"/>
      <c r="AB369" s="204" t="inlineStr">
        <is>
          <t>09-XL-307HG/PYCNT/CKN/T1/C3-1</t>
        </is>
      </c>
      <c r="AC369" s="204">
        <f>AC368</f>
        <v/>
      </c>
      <c r="AD369" s="204" t="n"/>
      <c r="AE369" s="204" t="n"/>
      <c r="AF369" s="204" t="n"/>
      <c r="AG369" s="204" t="n"/>
      <c r="AH369" s="204" t="inlineStr">
        <is>
          <t>CKN</t>
        </is>
      </c>
      <c r="AI369" s="207" t="n"/>
      <c r="AJ369" s="202" t="n"/>
      <c r="AK369" s="206" t="n"/>
      <c r="AL369" s="202" t="n"/>
      <c r="AM369" s="202" t="n"/>
      <c r="AN369" s="202" t="n"/>
      <c r="AO369" s="202" t="n"/>
      <c r="AP369" s="207" t="n"/>
      <c r="AQ369" s="207" t="n"/>
      <c r="AR369" s="202" t="inlineStr">
        <is>
          <t>Nhóm 1</t>
        </is>
      </c>
      <c r="AS369" s="202" t="n"/>
      <c r="AT369" s="202" t="inlineStr">
        <is>
          <t>HM09</t>
        </is>
      </c>
      <c r="AU369" s="202" t="inlineStr">
        <is>
          <t>PL01</t>
        </is>
      </c>
      <c r="AV369" s="202" t="n">
        <v>7</v>
      </c>
      <c r="AW369" s="202" t="n">
        <v>1</v>
      </c>
      <c r="AX369" s="202" t="n"/>
    </row>
    <row r="370" ht="42" customHeight="1" s="672">
      <c r="A370" s="56" t="inlineStr">
        <is>
          <t>NTCV</t>
        </is>
      </c>
      <c r="B370" s="56" t="inlineStr">
        <is>
          <t>K.9999</t>
        </is>
      </c>
      <c r="C370" s="56" t="inlineStr">
        <is>
          <t>NTCV.0312288</t>
        </is>
      </c>
      <c r="D370" s="57" t="n"/>
      <c r="E370" s="57" t="n"/>
      <c r="F370" s="57" t="n"/>
      <c r="G370" s="57" t="n"/>
      <c r="H370" s="57" t="n"/>
      <c r="J370" s="209" t="inlineStr">
        <is>
          <t>06</t>
        </is>
      </c>
      <c r="K370" s="209" t="inlineStr">
        <is>
          <t>K.9999</t>
        </is>
      </c>
      <c r="L370" s="210" t="inlineStr">
        <is>
          <t>Kiểm tra ống vách, dung dịch bentonite trước khi khoan cọc khoan nhồi</t>
        </is>
      </c>
      <c r="M370" s="210" t="n"/>
      <c r="N370" s="210" t="n"/>
      <c r="O370" s="211" t="inlineStr">
        <is>
          <t>Cầu Km19+529.080</t>
        </is>
      </c>
      <c r="P370" s="212">
        <f>S368</f>
        <v/>
      </c>
      <c r="Q370" s="212">
        <f>P370</f>
        <v/>
      </c>
      <c r="R370" s="212">
        <f>Q370-1</f>
        <v/>
      </c>
      <c r="S370" s="212">
        <f>Q370</f>
        <v/>
      </c>
      <c r="T370" s="213">
        <f>U368</f>
        <v/>
      </c>
      <c r="U370" s="213">
        <f>T370+V370</f>
        <v/>
      </c>
      <c r="V370" s="213" t="n">
        <v>0.02083333333333333</v>
      </c>
      <c r="W370" s="214">
        <f>TEXT(T370,"HH""h""MM'")&amp;"÷"&amp;TEXT(U370,"HH""h""MM'")</f>
        <v/>
      </c>
      <c r="X370" s="214" t="n"/>
      <c r="Y370" s="214" t="n"/>
      <c r="Z370" s="214" t="inlineStr">
        <is>
          <t>02; 02a</t>
        </is>
      </c>
      <c r="AA370" s="215" t="inlineStr">
        <is>
          <t>Kiểm tra ống vách, dung dịch bentonite Cọc khoan nhồi Trụ T1 - Cọc C3 trước khi khoan</t>
        </is>
      </c>
      <c r="AB370" s="204" t="inlineStr">
        <is>
          <t>09-XL-307HG/PYCNT/CKN/T1/C3-1</t>
        </is>
      </c>
      <c r="AC370" s="204" t="inlineStr">
        <is>
          <t>09-XL-307HG/BBNT/CKN/T1/C3-2</t>
        </is>
      </c>
      <c r="AD370" s="204" t="n"/>
      <c r="AE370" s="204" t="n"/>
      <c r="AF370" s="204" t="n"/>
      <c r="AG370" s="204" t="n"/>
      <c r="AH370" s="204" t="n"/>
      <c r="AI370" s="216" t="n"/>
      <c r="AJ370" s="214" t="n"/>
      <c r="AK370" s="217" t="n"/>
      <c r="AL370" s="214" t="n"/>
      <c r="AM370" s="214" t="n"/>
      <c r="AN370" s="214" t="n"/>
      <c r="AO370" s="214" t="n"/>
      <c r="AP370" s="216" t="n"/>
      <c r="AQ370" s="216" t="n"/>
      <c r="AR370" s="214" t="inlineStr">
        <is>
          <t>Nhóm 1</t>
        </is>
      </c>
      <c r="AS370" s="214" t="n"/>
      <c r="AT370" s="214" t="inlineStr">
        <is>
          <t>HM09</t>
        </is>
      </c>
      <c r="AU370" s="214" t="inlineStr">
        <is>
          <t>NTCV</t>
        </is>
      </c>
      <c r="AV370" s="214" t="n">
        <v>114</v>
      </c>
      <c r="AW370" s="214" t="n">
        <v>1</v>
      </c>
      <c r="AX370" s="214" t="n"/>
    </row>
    <row r="371">
      <c r="A371" s="56" t="inlineStr">
        <is>
          <t>BBK170</t>
        </is>
      </c>
      <c r="B371" s="56" t="inlineStr">
        <is>
          <t>PL02</t>
        </is>
      </c>
      <c r="C371" s="56" t="inlineStr">
        <is>
          <t>BBK170.0798773</t>
        </is>
      </c>
      <c r="D371" s="57" t="n"/>
      <c r="E371" s="57" t="n"/>
      <c r="F371" s="57" t="n"/>
      <c r="G371" s="57" t="n"/>
      <c r="H371" s="57" t="n"/>
      <c r="J371" s="198" t="inlineStr">
        <is>
          <t>07</t>
        </is>
      </c>
      <c r="K371" s="198" t="inlineStr">
        <is>
          <t>PL02</t>
        </is>
      </c>
      <c r="L371" s="199" t="inlineStr">
        <is>
          <t>Kiểm tra ống vách thi công trước khi hạ</t>
        </is>
      </c>
      <c r="M371" s="199" t="n"/>
      <c r="N371" s="199" t="n"/>
      <c r="O371" s="200" t="inlineStr">
        <is>
          <t>Cầu Km19+529.080</t>
        </is>
      </c>
      <c r="P371" s="201" t="n"/>
      <c r="Q371" s="201" t="n"/>
      <c r="R371" s="201" t="n"/>
      <c r="S371" s="201">
        <f>S370</f>
        <v/>
      </c>
      <c r="T371" s="201" t="n"/>
      <c r="U371" s="201" t="n"/>
      <c r="V371" s="201" t="n"/>
      <c r="W371" s="202" t="n"/>
      <c r="X371" s="202" t="n"/>
      <c r="Y371" s="202" t="n"/>
      <c r="Z371" s="198" t="inlineStr">
        <is>
          <t>02</t>
        </is>
      </c>
      <c r="AA371" s="203" t="n"/>
      <c r="AB371" s="204" t="inlineStr">
        <is>
          <t>09-XL-307HG/PYCNT/CKN/T1/C3-1</t>
        </is>
      </c>
      <c r="AC371" s="204">
        <f>AC370</f>
        <v/>
      </c>
      <c r="AD371" s="204" t="n"/>
      <c r="AE371" s="204" t="n"/>
      <c r="AF371" s="204" t="n"/>
      <c r="AG371" s="204" t="n"/>
      <c r="AH371" s="204" t="inlineStr">
        <is>
          <t>CKN</t>
        </is>
      </c>
      <c r="AI371" s="207" t="n"/>
      <c r="AJ371" s="202" t="n"/>
      <c r="AK371" s="206" t="n"/>
      <c r="AL371" s="202" t="n"/>
      <c r="AM371" s="202" t="n"/>
      <c r="AN371" s="202" t="n"/>
      <c r="AO371" s="202" t="n"/>
      <c r="AP371" s="207" t="n"/>
      <c r="AQ371" s="207" t="inlineStr">
        <is>
          <t>Ảnh\PL02 CKN.png</t>
        </is>
      </c>
      <c r="AR371" s="202" t="inlineStr">
        <is>
          <t>Nhóm 1</t>
        </is>
      </c>
      <c r="AS371" s="202" t="n"/>
      <c r="AT371" s="202" t="inlineStr">
        <is>
          <t>HM09</t>
        </is>
      </c>
      <c r="AU371" s="202" t="inlineStr">
        <is>
          <t>PL02</t>
        </is>
      </c>
      <c r="AV371" s="202" t="n">
        <v>7</v>
      </c>
      <c r="AW371" s="202" t="n">
        <v>1</v>
      </c>
      <c r="AX371" s="202" t="n"/>
    </row>
    <row r="372">
      <c r="A372" s="56" t="inlineStr">
        <is>
          <t>BBK721</t>
        </is>
      </c>
      <c r="B372" s="56" t="inlineStr">
        <is>
          <t>PL02a</t>
        </is>
      </c>
      <c r="C372" s="56" t="inlineStr">
        <is>
          <t>BBK721.0151756</t>
        </is>
      </c>
      <c r="D372" s="57" t="n"/>
      <c r="E372" s="57" t="n"/>
      <c r="F372" s="57" t="n"/>
      <c r="G372" s="57" t="n"/>
      <c r="H372" s="57" t="n"/>
      <c r="J372" s="198" t="inlineStr">
        <is>
          <t>08</t>
        </is>
      </c>
      <c r="K372" s="198" t="inlineStr">
        <is>
          <t>PL02a</t>
        </is>
      </c>
      <c r="L372" s="199" t="inlineStr">
        <is>
          <t>Kiểm tra ống vách thi công trước khi hạ</t>
        </is>
      </c>
      <c r="M372" s="199" t="n"/>
      <c r="N372" s="199" t="n"/>
      <c r="O372" s="200" t="inlineStr">
        <is>
          <t>Cầu Km19+529.080</t>
        </is>
      </c>
      <c r="P372" s="201" t="n"/>
      <c r="Q372" s="201" t="n"/>
      <c r="R372" s="201" t="n"/>
      <c r="S372" s="201">
        <f>S371</f>
        <v/>
      </c>
      <c r="T372" s="201" t="n"/>
      <c r="U372" s="201" t="n"/>
      <c r="V372" s="201" t="n"/>
      <c r="W372" s="202" t="n"/>
      <c r="X372" s="202" t="n"/>
      <c r="Y372" s="202" t="n"/>
      <c r="Z372" s="198" t="inlineStr">
        <is>
          <t>02a</t>
        </is>
      </c>
      <c r="AA372" s="203" t="n"/>
      <c r="AB372" s="204" t="inlineStr">
        <is>
          <t>09-XL-307HG/PYCNT/CKN/T1/C3-1</t>
        </is>
      </c>
      <c r="AC372" s="204">
        <f>AC371</f>
        <v/>
      </c>
      <c r="AD372" s="204" t="n"/>
      <c r="AE372" s="204" t="n"/>
      <c r="AF372" s="204" t="n"/>
      <c r="AG372" s="204" t="n"/>
      <c r="AH372" s="204" t="n"/>
      <c r="AI372" s="207" t="n"/>
      <c r="AJ372" s="202" t="n"/>
      <c r="AK372" s="206" t="n"/>
      <c r="AL372" s="202" t="n"/>
      <c r="AM372" s="202" t="n"/>
      <c r="AN372" s="202" t="n"/>
      <c r="AO372" s="202" t="n"/>
      <c r="AP372" s="207" t="n"/>
      <c r="AQ372" s="207" t="n"/>
      <c r="AR372" s="202" t="inlineStr">
        <is>
          <t>Nhóm 1</t>
        </is>
      </c>
      <c r="AS372" s="202" t="n"/>
      <c r="AT372" s="202" t="inlineStr">
        <is>
          <t>HM09</t>
        </is>
      </c>
      <c r="AU372" s="202" t="inlineStr">
        <is>
          <t>PL02a</t>
        </is>
      </c>
      <c r="AV372" s="202" t="n">
        <v>7</v>
      </c>
      <c r="AW372" s="202" t="n">
        <v>1</v>
      </c>
      <c r="AX372" s="202" t="n"/>
    </row>
    <row r="373" ht="28" customHeight="1" s="672">
      <c r="A373" s="56" t="inlineStr">
        <is>
          <t>NTCV</t>
        </is>
      </c>
      <c r="B373" s="56" t="inlineStr">
        <is>
          <t>K.9999</t>
        </is>
      </c>
      <c r="C373" s="56" t="inlineStr">
        <is>
          <t>NTCV.0592991</t>
        </is>
      </c>
      <c r="D373" s="57" t="n"/>
      <c r="E373" s="57" t="n"/>
      <c r="F373" s="57" t="n"/>
      <c r="G373" s="57" t="n"/>
      <c r="H373" s="57" t="n"/>
      <c r="J373" s="209" t="inlineStr">
        <is>
          <t>09</t>
        </is>
      </c>
      <c r="K373" s="209" t="inlineStr">
        <is>
          <t>K.9999</t>
        </is>
      </c>
      <c r="L373" s="210" t="inlineStr">
        <is>
          <t>Kiểm tra định vị tim cọc khoan nhồi, hạ ống vách thi công</t>
        </is>
      </c>
      <c r="M373" s="210" t="n"/>
      <c r="N373" s="210" t="n"/>
      <c r="O373" s="211" t="inlineStr">
        <is>
          <t>Cầu Km19+529.080</t>
        </is>
      </c>
      <c r="P373" s="212">
        <f>S370</f>
        <v/>
      </c>
      <c r="Q373" s="212">
        <f>P373</f>
        <v/>
      </c>
      <c r="R373" s="212">
        <f>Q373-1</f>
        <v/>
      </c>
      <c r="S373" s="212">
        <f>Q373</f>
        <v/>
      </c>
      <c r="T373" s="213">
        <f>U370</f>
        <v/>
      </c>
      <c r="U373" s="213">
        <f>T373+V373</f>
        <v/>
      </c>
      <c r="V373" s="213" t="n">
        <v>0.02083333333333333</v>
      </c>
      <c r="W373" s="214">
        <f>TEXT(T373,"HH""h""MM'")&amp;"÷"&amp;TEXT(U373,"HH""h""MM'")</f>
        <v/>
      </c>
      <c r="X373" s="214" t="n"/>
      <c r="Y373" s="214" t="n"/>
      <c r="Z373" s="214" t="inlineStr">
        <is>
          <t>03;</t>
        </is>
      </c>
      <c r="AA373" s="215" t="inlineStr">
        <is>
          <t>Kiểm tra định vị Cọc khoan nhồi Trụ T1 - Cọc C3</t>
        </is>
      </c>
      <c r="AB373" s="204" t="inlineStr">
        <is>
          <t>09-XL-307HG/PYCNT/CKN/T1/C3-1</t>
        </is>
      </c>
      <c r="AC373" s="204" t="inlineStr">
        <is>
          <t>09-XL-307HG/BBNT/CKN/T1/C3-3</t>
        </is>
      </c>
      <c r="AD373" s="204" t="n"/>
      <c r="AE373" s="204" t="n"/>
      <c r="AF373" s="204" t="n"/>
      <c r="AG373" s="204" t="n"/>
      <c r="AH373" s="204" t="n"/>
      <c r="AI373" s="216" t="n"/>
      <c r="AJ373" s="214" t="n"/>
      <c r="AK373" s="217" t="n"/>
      <c r="AL373" s="214" t="n"/>
      <c r="AM373" s="214" t="n"/>
      <c r="AN373" s="214" t="n"/>
      <c r="AO373" s="214" t="n"/>
      <c r="AP373" s="216" t="n"/>
      <c r="AQ373" s="216" t="n"/>
      <c r="AR373" s="214" t="inlineStr">
        <is>
          <t>Nhóm 1</t>
        </is>
      </c>
      <c r="AS373" s="214" t="n"/>
      <c r="AT373" s="214" t="inlineStr">
        <is>
          <t>HM09</t>
        </is>
      </c>
      <c r="AU373" s="214" t="inlineStr">
        <is>
          <t>NTCV</t>
        </is>
      </c>
      <c r="AV373" s="214" t="n">
        <v>115</v>
      </c>
      <c r="AW373" s="214" t="n">
        <v>2</v>
      </c>
      <c r="AX373" s="214" t="n"/>
    </row>
    <row r="374" ht="28" customHeight="1" s="672">
      <c r="A374" s="56" t="inlineStr">
        <is>
          <t>BBK478</t>
        </is>
      </c>
      <c r="B374" s="56" t="inlineStr">
        <is>
          <t>PL03</t>
        </is>
      </c>
      <c r="C374" s="56" t="inlineStr">
        <is>
          <t>BBK478.0956236</t>
        </is>
      </c>
      <c r="D374" s="57" t="n"/>
      <c r="E374" s="57" t="n"/>
      <c r="F374" s="57" t="n"/>
      <c r="G374" s="57" t="n"/>
      <c r="H374" s="57" t="n"/>
      <c r="J374" s="198" t="inlineStr">
        <is>
          <t>10</t>
        </is>
      </c>
      <c r="K374" s="198" t="inlineStr">
        <is>
          <t>PL03</t>
        </is>
      </c>
      <c r="L374" s="199" t="inlineStr">
        <is>
          <t>Kiểm tra định vị tim cọc khoan nhồi, hạ ống vách thi công</t>
        </is>
      </c>
      <c r="M374" s="199" t="n"/>
      <c r="N374" s="199" t="n"/>
      <c r="O374" s="200" t="inlineStr">
        <is>
          <t>Cầu Km19+529.080</t>
        </is>
      </c>
      <c r="P374" s="201" t="n"/>
      <c r="Q374" s="201" t="n"/>
      <c r="R374" s="201" t="n"/>
      <c r="S374" s="201">
        <f>S373</f>
        <v/>
      </c>
      <c r="T374" s="201" t="n"/>
      <c r="U374" s="201" t="n"/>
      <c r="V374" s="201" t="n"/>
      <c r="W374" s="202" t="n"/>
      <c r="X374" s="202" t="n"/>
      <c r="Y374" s="202" t="n"/>
      <c r="Z374" s="198" t="inlineStr">
        <is>
          <t>03</t>
        </is>
      </c>
      <c r="AA374" s="203" t="n"/>
      <c r="AB374" s="204" t="inlineStr">
        <is>
          <t>09-XL-307HG/PYCNT/CKN/T1/C3-1</t>
        </is>
      </c>
      <c r="AC374" s="204">
        <f>AC373</f>
        <v/>
      </c>
      <c r="AD374" s="204" t="n">
        <v>2481749.574</v>
      </c>
      <c r="AE374" s="204" t="n">
        <v>382407.098</v>
      </c>
      <c r="AF374" s="255" t="n">
        <v>169.36</v>
      </c>
      <c r="AG374" s="255" t="n"/>
      <c r="AH374" s="204" t="inlineStr">
        <is>
          <t>&gt;=97;&lt;=114</t>
        </is>
      </c>
      <c r="AI374" s="207" t="n"/>
      <c r="AJ374" s="202" t="n"/>
      <c r="AK374" s="206" t="n"/>
      <c r="AL374" s="202" t="n"/>
      <c r="AM374" s="202" t="n"/>
      <c r="AN374" s="202" t="n"/>
      <c r="AO374" s="202" t="n"/>
      <c r="AP374" s="207" t="n"/>
      <c r="AQ374" s="207" t="n"/>
      <c r="AR374" s="202" t="inlineStr">
        <is>
          <t>Nhóm 1</t>
        </is>
      </c>
      <c r="AS374" s="202" t="n"/>
      <c r="AT374" s="202" t="inlineStr">
        <is>
          <t>HM09</t>
        </is>
      </c>
      <c r="AU374" s="202" t="inlineStr">
        <is>
          <t>PL03</t>
        </is>
      </c>
      <c r="AV374" s="202" t="n">
        <v>7</v>
      </c>
      <c r="AW374" s="202" t="n">
        <v>1</v>
      </c>
      <c r="AX374" s="202" t="n"/>
    </row>
    <row r="375" ht="28" customHeight="1" s="672">
      <c r="A375" s="56" t="inlineStr">
        <is>
          <t>NTCV</t>
        </is>
      </c>
      <c r="B375" s="56" t="inlineStr">
        <is>
          <t>K.9999</t>
        </is>
      </c>
      <c r="C375" s="56" t="inlineStr">
        <is>
          <t>NTCV.0243147</t>
        </is>
      </c>
      <c r="D375" s="57" t="n"/>
      <c r="E375" s="57" t="n"/>
      <c r="F375" s="57" t="n"/>
      <c r="G375" s="57" t="n"/>
      <c r="H375" s="57" t="n"/>
      <c r="J375" s="209" t="inlineStr">
        <is>
          <t>11</t>
        </is>
      </c>
      <c r="K375" s="209" t="inlineStr">
        <is>
          <t>K.9999</t>
        </is>
      </c>
      <c r="L375" s="210" t="inlineStr">
        <is>
          <t>Nghiệm thu lồng thép cọc khoan nhồi trước khi hạ</t>
        </is>
      </c>
      <c r="M375" s="210" t="n"/>
      <c r="N375" s="210" t="n"/>
      <c r="O375" s="211" t="inlineStr">
        <is>
          <t>Cầu Km19+529.080</t>
        </is>
      </c>
      <c r="P375" s="212">
        <f>S373</f>
        <v/>
      </c>
      <c r="Q375" s="212">
        <f>P375</f>
        <v/>
      </c>
      <c r="R375" s="212">
        <f>Q375-1</f>
        <v/>
      </c>
      <c r="S375" s="212">
        <f>Q375</f>
        <v/>
      </c>
      <c r="T375" s="213">
        <f>U373</f>
        <v/>
      </c>
      <c r="U375" s="213">
        <f>T375+V375</f>
        <v/>
      </c>
      <c r="V375" s="213" t="n">
        <v>0.02083333333333333</v>
      </c>
      <c r="W375" s="214">
        <f>TEXT(T375,"HH""h""MM'")&amp;"÷"&amp;TEXT(U375,"HH""h""MM'")</f>
        <v/>
      </c>
      <c r="X375" s="214" t="n"/>
      <c r="Y375" s="214" t="n"/>
      <c r="Z375" s="214" t="inlineStr">
        <is>
          <t>04;</t>
        </is>
      </c>
      <c r="AA375" s="215" t="inlineStr">
        <is>
          <t>Nghiệm thu lồng thép Cọc khoan nhồi Trụ T1 - Cọc C3</t>
        </is>
      </c>
      <c r="AB375" s="204" t="inlineStr">
        <is>
          <t>09-XL-307HG/PYCNT/CKN/T1/C3-1</t>
        </is>
      </c>
      <c r="AC375" s="204" t="inlineStr">
        <is>
          <t>09-XL-307HG/BBNT/CKN/T1/C3-4</t>
        </is>
      </c>
      <c r="AD375" s="204" t="n"/>
      <c r="AE375" s="204" t="n"/>
      <c r="AF375" s="204" t="n"/>
      <c r="AG375" s="204" t="n"/>
      <c r="AH375" s="204" t="n"/>
      <c r="AI375" s="216" t="n"/>
      <c r="AJ375" s="214" t="n"/>
      <c r="AK375" s="217" t="n"/>
      <c r="AL375" s="214" t="n"/>
      <c r="AM375" s="214" t="n"/>
      <c r="AN375" s="214" t="n"/>
      <c r="AO375" s="214" t="n"/>
      <c r="AP375" s="216" t="n"/>
      <c r="AQ375" s="216" t="n"/>
      <c r="AR375" s="214" t="inlineStr">
        <is>
          <t>Nhóm 1</t>
        </is>
      </c>
      <c r="AS375" s="214" t="n"/>
      <c r="AT375" s="214" t="inlineStr">
        <is>
          <t>HM09</t>
        </is>
      </c>
      <c r="AU375" s="214" t="inlineStr">
        <is>
          <t>NTCV</t>
        </is>
      </c>
      <c r="AV375" s="214" t="n">
        <v>118</v>
      </c>
      <c r="AW375" s="214" t="n">
        <v>3</v>
      </c>
      <c r="AX375" s="214" t="n"/>
    </row>
    <row r="376">
      <c r="A376" s="56" t="inlineStr">
        <is>
          <t>BBK096</t>
        </is>
      </c>
      <c r="B376" s="56" t="inlineStr">
        <is>
          <t>PL04</t>
        </is>
      </c>
      <c r="C376" s="56" t="inlineStr">
        <is>
          <t>BBK096.0939971</t>
        </is>
      </c>
      <c r="D376" s="57" t="n"/>
      <c r="E376" s="57" t="n"/>
      <c r="F376" s="57" t="n"/>
      <c r="G376" s="57" t="n"/>
      <c r="H376" s="57" t="n"/>
      <c r="J376" s="198" t="inlineStr">
        <is>
          <t>12</t>
        </is>
      </c>
      <c r="K376" s="198" t="inlineStr">
        <is>
          <t>PL04</t>
        </is>
      </c>
      <c r="L376" s="199" t="inlineStr">
        <is>
          <t>Nghiệm thu lồng thép cọc khoan nhồi trước khi hạ</t>
        </is>
      </c>
      <c r="M376" s="199" t="n"/>
      <c r="N376" s="199" t="n"/>
      <c r="O376" s="200" t="inlineStr">
        <is>
          <t>Cầu Km19+529.080</t>
        </is>
      </c>
      <c r="P376" s="201" t="n"/>
      <c r="Q376" s="201" t="n"/>
      <c r="R376" s="201" t="n"/>
      <c r="S376" s="201">
        <f>S375</f>
        <v/>
      </c>
      <c r="T376" s="201" t="n"/>
      <c r="U376" s="201" t="n"/>
      <c r="V376" s="201" t="n"/>
      <c r="W376" s="202" t="n"/>
      <c r="X376" s="202" t="n"/>
      <c r="Y376" s="202" t="n"/>
      <c r="Z376" s="198" t="inlineStr">
        <is>
          <t>04</t>
        </is>
      </c>
      <c r="AA376" s="203" t="n"/>
      <c r="AB376" s="204" t="inlineStr">
        <is>
          <t>09-XL-307HG/PYCNT/CKN/T1/C3-1</t>
        </is>
      </c>
      <c r="AC376" s="204">
        <f>AC375</f>
        <v/>
      </c>
      <c r="AD376" s="204" t="n"/>
      <c r="AE376" s="204" t="n"/>
      <c r="AF376" s="204" t="n"/>
      <c r="AG376" s="204" t="n"/>
      <c r="AH376" s="204" t="inlineStr">
        <is>
          <t>T1</t>
        </is>
      </c>
      <c r="AI376" s="207" t="n"/>
      <c r="AJ376" s="202" t="n"/>
      <c r="AK376" s="206" t="n"/>
      <c r="AL376" s="202" t="n"/>
      <c r="AM376" s="202" t="n"/>
      <c r="AN376" s="202" t="n"/>
      <c r="AO376" s="202" t="n"/>
      <c r="AP376" s="207" t="n"/>
      <c r="AQ376" s="207" t="n"/>
      <c r="AR376" s="202" t="inlineStr">
        <is>
          <t>Nhóm 1</t>
        </is>
      </c>
      <c r="AS376" s="202" t="n"/>
      <c r="AT376" s="202" t="inlineStr">
        <is>
          <t>HM09</t>
        </is>
      </c>
      <c r="AU376" s="202" t="inlineStr">
        <is>
          <t>PL04</t>
        </is>
      </c>
      <c r="AV376" s="202" t="n">
        <v>7</v>
      </c>
      <c r="AW376" s="202" t="n">
        <v>1</v>
      </c>
      <c r="AX376" s="202" t="n"/>
    </row>
    <row r="377" ht="28" customHeight="1" s="672">
      <c r="A377" s="56" t="inlineStr">
        <is>
          <t>NTCV</t>
        </is>
      </c>
      <c r="B377" s="56" t="inlineStr">
        <is>
          <t>K.9999</t>
        </is>
      </c>
      <c r="C377" s="56" t="inlineStr">
        <is>
          <t>NTCV.0114332</t>
        </is>
      </c>
      <c r="D377" s="57" t="n"/>
      <c r="E377" s="57" t="n"/>
      <c r="F377" s="57" t="n"/>
      <c r="G377" s="57" t="n"/>
      <c r="H377" s="57" t="n"/>
      <c r="J377" s="209" t="inlineStr">
        <is>
          <t>13</t>
        </is>
      </c>
      <c r="K377" s="209" t="inlineStr">
        <is>
          <t>K.9999</t>
        </is>
      </c>
      <c r="L377" s="210" t="inlineStr">
        <is>
          <t xml:space="preserve">Kiểm tra công tác khoan tạo lỗ cọc khoan nhồi </t>
        </is>
      </c>
      <c r="M377" s="210" t="n"/>
      <c r="N377" s="210" t="n"/>
      <c r="O377" s="211" t="inlineStr">
        <is>
          <t>Cầu Km19+529.080</t>
        </is>
      </c>
      <c r="P377" s="212">
        <f>S375</f>
        <v/>
      </c>
      <c r="Q377" s="212">
        <f>P377</f>
        <v/>
      </c>
      <c r="R377" s="212">
        <f>Q377-1</f>
        <v/>
      </c>
      <c r="S377" s="212">
        <f>Q377</f>
        <v/>
      </c>
      <c r="T377" s="213">
        <f>U375</f>
        <v/>
      </c>
      <c r="U377" s="213">
        <f>T377+V377</f>
        <v/>
      </c>
      <c r="V377" s="213" t="n">
        <v>0.375</v>
      </c>
      <c r="W377" s="214">
        <f>TEXT(T377,"HH""h""MM'")&amp;"÷"&amp;TEXT(U377,"HH""h""MM'")</f>
        <v/>
      </c>
      <c r="X377" s="214" t="n"/>
      <c r="Y377" s="214" t="n"/>
      <c r="Z377" s="214" t="inlineStr">
        <is>
          <t>05;</t>
        </is>
      </c>
      <c r="AA377" s="215" t="inlineStr">
        <is>
          <t>Kiểm tra công tác khoan tạo lỗ Cọc khoan nhồi Trụ T1 - Cọc C3</t>
        </is>
      </c>
      <c r="AB377" s="204" t="inlineStr">
        <is>
          <t>09-XL-307HG/PYCNT/CKN/T1/C3-1</t>
        </is>
      </c>
      <c r="AC377" s="204" t="inlineStr">
        <is>
          <t>09-XL-307HG/BBNT/CKN/T1/C3-5</t>
        </is>
      </c>
      <c r="AD377" s="204" t="n"/>
      <c r="AE377" s="204" t="n"/>
      <c r="AF377" s="204" t="n"/>
      <c r="AG377" s="204" t="n"/>
      <c r="AH377" s="204" t="n"/>
      <c r="AI377" s="216" t="n"/>
      <c r="AJ377" s="214" t="n"/>
      <c r="AK377" s="217" t="n"/>
      <c r="AL377" s="214" t="n"/>
      <c r="AM377" s="214" t="n"/>
      <c r="AN377" s="214" t="n"/>
      <c r="AO377" s="214" t="n"/>
      <c r="AP377" s="216" t="n"/>
      <c r="AQ377" s="216" t="n"/>
      <c r="AR377" s="214" t="inlineStr">
        <is>
          <t>Nhóm 1</t>
        </is>
      </c>
      <c r="AS377" s="214" t="n"/>
      <c r="AT377" s="214" t="inlineStr">
        <is>
          <t>HM09</t>
        </is>
      </c>
      <c r="AU377" s="214" t="inlineStr">
        <is>
          <t>NTCV</t>
        </is>
      </c>
      <c r="AV377" s="214" t="n">
        <v>119</v>
      </c>
      <c r="AW377" s="214" t="n">
        <v>4</v>
      </c>
      <c r="AX377" s="214" t="n"/>
    </row>
    <row r="378">
      <c r="A378" s="56" t="inlineStr">
        <is>
          <t>BBK638</t>
        </is>
      </c>
      <c r="B378" s="56" t="inlineStr">
        <is>
          <t>PL05</t>
        </is>
      </c>
      <c r="C378" s="56" t="inlineStr">
        <is>
          <t>BBK638.0984253</t>
        </is>
      </c>
      <c r="D378" s="57" t="n"/>
      <c r="E378" s="57" t="n"/>
      <c r="F378" s="57" t="n"/>
      <c r="G378" s="57" t="n"/>
      <c r="H378" s="57" t="n"/>
      <c r="J378" s="198" t="inlineStr">
        <is>
          <t>14</t>
        </is>
      </c>
      <c r="K378" s="198" t="inlineStr">
        <is>
          <t>PL05</t>
        </is>
      </c>
      <c r="L378" s="199" t="inlineStr">
        <is>
          <t>Kiểm tra công tác khoan tạo lỗ cọc khoan nhồi</t>
        </is>
      </c>
      <c r="M378" s="199" t="n"/>
      <c r="N378" s="199" t="n"/>
      <c r="O378" s="200" t="inlineStr">
        <is>
          <t>Cầu Km19+529.080</t>
        </is>
      </c>
      <c r="P378" s="201" t="n"/>
      <c r="Q378" s="201" t="n"/>
      <c r="R378" s="201" t="n"/>
      <c r="S378" s="201">
        <f>S377</f>
        <v/>
      </c>
      <c r="T378" s="208">
        <f>T377</f>
        <v/>
      </c>
      <c r="U378" s="208" t="n">
        <v>0.75</v>
      </c>
      <c r="V378" s="208">
        <f>U378-T378</f>
        <v/>
      </c>
      <c r="W378" s="202" t="n"/>
      <c r="X378" s="202" t="n"/>
      <c r="Y378" s="202" t="n"/>
      <c r="Z378" s="198" t="inlineStr">
        <is>
          <t>05</t>
        </is>
      </c>
      <c r="AA378" s="203" t="n"/>
      <c r="AB378" s="204" t="inlineStr">
        <is>
          <t>09-XL-307HG/PYCNT/CKN/T1/C3</t>
        </is>
      </c>
      <c r="AC378" s="204">
        <f>AC377</f>
        <v/>
      </c>
      <c r="AD378" s="204" t="n"/>
      <c r="AE378" s="204" t="n"/>
      <c r="AF378" s="255" t="n">
        <v>169.36</v>
      </c>
      <c r="AG378" s="255" t="n"/>
      <c r="AH378" s="204" t="inlineStr">
        <is>
          <t>T1-C3</t>
        </is>
      </c>
      <c r="AI378" s="207" t="n"/>
      <c r="AJ378" s="202" t="n"/>
      <c r="AK378" s="206" t="n"/>
      <c r="AL378" s="202" t="n"/>
      <c r="AM378" s="202" t="n"/>
      <c r="AN378" s="202" t="n"/>
      <c r="AO378" s="202" t="n"/>
      <c r="AP378" s="207" t="n"/>
      <c r="AQ378" s="207" t="n"/>
      <c r="AR378" s="202" t="inlineStr">
        <is>
          <t>Nhóm 1</t>
        </is>
      </c>
      <c r="AS378" s="202" t="n"/>
      <c r="AT378" s="202" t="inlineStr">
        <is>
          <t>HM09</t>
        </is>
      </c>
      <c r="AU378" s="202" t="inlineStr">
        <is>
          <t>PL05</t>
        </is>
      </c>
      <c r="AV378" s="202" t="n">
        <v>7</v>
      </c>
      <c r="AW378" s="202" t="n">
        <v>1</v>
      </c>
      <c r="AX378" s="202" t="n"/>
    </row>
    <row r="379">
      <c r="A379" s="56" t="inlineStr">
        <is>
          <t>BBK680</t>
        </is>
      </c>
      <c r="B379" s="56" t="inlineStr">
        <is>
          <t>PYC</t>
        </is>
      </c>
      <c r="C379" s="56" t="inlineStr">
        <is>
          <t>BBK680.0632975</t>
        </is>
      </c>
      <c r="D379" s="57" t="n"/>
      <c r="E379" s="57" t="n"/>
      <c r="F379" s="57" t="n"/>
      <c r="G379" s="57" t="n"/>
      <c r="H379" s="57" t="n"/>
      <c r="J379" s="198" t="inlineStr">
        <is>
          <t>15</t>
        </is>
      </c>
      <c r="K379" s="198" t="inlineStr">
        <is>
          <t>PYC</t>
        </is>
      </c>
      <c r="L379" s="199" t="inlineStr">
        <is>
          <t>Phiếu yêu cầu nghiệm thu</t>
        </is>
      </c>
      <c r="M379" s="199" t="n"/>
      <c r="N379" s="199" t="n"/>
      <c r="O379" s="200" t="inlineStr">
        <is>
          <t>Cầu Km19+529.080</t>
        </is>
      </c>
      <c r="P379" s="201" t="n"/>
      <c r="Q379" s="201" t="n"/>
      <c r="R379" s="201">
        <f>R380</f>
        <v/>
      </c>
      <c r="S379" s="201" t="n"/>
      <c r="T379" s="201" t="n"/>
      <c r="U379" s="201" t="n"/>
      <c r="V379" s="201" t="n"/>
      <c r="W379" s="202" t="n"/>
      <c r="X379" s="202" t="n"/>
      <c r="Y379" s="202" t="n"/>
      <c r="Z379" s="202" t="n"/>
      <c r="AA379" s="203" t="n"/>
      <c r="AB379" s="204" t="inlineStr">
        <is>
          <t>09-XL-307HG/PYCNT/CKN/T1/C3</t>
        </is>
      </c>
      <c r="AC379" s="205" t="inlineStr"/>
      <c r="AD379" s="205" t="n"/>
      <c r="AE379" s="205" t="n"/>
      <c r="AF379" s="205" t="n"/>
      <c r="AG379" s="205" t="inlineStr">
        <is>
          <t>NTCV;BBKTĐK</t>
        </is>
      </c>
      <c r="AH379" s="204" t="inlineStr">
        <is>
          <t>&gt;=6;&lt;=10</t>
        </is>
      </c>
      <c r="AI379" s="202" t="n"/>
      <c r="AJ379" s="202" t="n"/>
      <c r="AK379" s="206" t="n"/>
      <c r="AL379" s="202" t="n"/>
      <c r="AM379" s="202" t="n"/>
      <c r="AN379" s="202" t="n"/>
      <c r="AO379" s="202" t="n"/>
      <c r="AP379" s="207" t="n"/>
      <c r="AQ379" s="207" t="n"/>
      <c r="AR379" s="202" t="inlineStr">
        <is>
          <t>Nhóm 1</t>
        </is>
      </c>
      <c r="AS379" s="202" t="n"/>
      <c r="AT379" s="202" t="inlineStr">
        <is>
          <t>HM09</t>
        </is>
      </c>
      <c r="AU379" s="202" t="inlineStr">
        <is>
          <t>PYC</t>
        </is>
      </c>
      <c r="AV379" s="202" t="n">
        <v>162</v>
      </c>
      <c r="AW379" s="202" t="n">
        <v>2</v>
      </c>
      <c r="AX379" s="202" t="n"/>
    </row>
    <row r="380" ht="42" customHeight="1" s="672">
      <c r="A380" s="56" t="inlineStr">
        <is>
          <t>NTCV</t>
        </is>
      </c>
      <c r="B380" s="56" t="inlineStr">
        <is>
          <t>K.9999</t>
        </is>
      </c>
      <c r="C380" s="56" t="inlineStr">
        <is>
          <t>NTCV.0598856</t>
        </is>
      </c>
      <c r="D380" s="57" t="n"/>
      <c r="E380" s="57" t="n"/>
      <c r="F380" s="57" t="n"/>
      <c r="G380" s="57" t="n"/>
      <c r="H380" s="57" t="n"/>
      <c r="J380" s="209" t="inlineStr">
        <is>
          <t>16</t>
        </is>
      </c>
      <c r="K380" s="209" t="inlineStr">
        <is>
          <t>K.9999</t>
        </is>
      </c>
      <c r="L380" s="210" t="inlineStr">
        <is>
          <t>Kiểm tra công tác vệ sinh lỗ khoan trước khi hạ lồng cốt thép cọc khoan nhồi</t>
        </is>
      </c>
      <c r="M380" s="210" t="n"/>
      <c r="N380" s="210" t="n"/>
      <c r="O380" s="211" t="inlineStr">
        <is>
          <t>Cầu Km19+529.080</t>
        </is>
      </c>
      <c r="P380" s="212">
        <f>S377+1</f>
        <v/>
      </c>
      <c r="Q380" s="212">
        <f>P380</f>
        <v/>
      </c>
      <c r="R380" s="212">
        <f>Q380-1</f>
        <v/>
      </c>
      <c r="S380" s="212">
        <f>Q380</f>
        <v/>
      </c>
      <c r="T380" s="213" t="n">
        <v>0.3333333333333333</v>
      </c>
      <c r="U380" s="213">
        <f>T380+V380</f>
        <v/>
      </c>
      <c r="V380" s="213" t="n">
        <v>0.01041666666666667</v>
      </c>
      <c r="W380" s="214">
        <f>TEXT(T380,"HH""h""MM'")&amp;"÷"&amp;TEXT(U380,"HH""h""MM'")</f>
        <v/>
      </c>
      <c r="X380" s="214" t="n"/>
      <c r="Y380" s="214" t="n"/>
      <c r="Z380" s="214" t="inlineStr">
        <is>
          <t>06;</t>
        </is>
      </c>
      <c r="AA380" s="215" t="inlineStr">
        <is>
          <t>Kiểm tra công tác vệ sinh lỗ khoan trước khi hạ lồng cốt thép Cọc khoan nhồi Trụ T1 - Cọc C3</t>
        </is>
      </c>
      <c r="AB380" s="204" t="inlineStr">
        <is>
          <t>09-XL-307HG/PYCNT/CKN/T1/C3-2</t>
        </is>
      </c>
      <c r="AC380" s="204" t="inlineStr">
        <is>
          <t>09-XL-307HG/BBNT/CKN/T1/C3-6</t>
        </is>
      </c>
      <c r="AD380" s="204" t="n"/>
      <c r="AE380" s="204" t="n"/>
      <c r="AF380" s="204" t="n"/>
      <c r="AG380" s="204" t="n"/>
      <c r="AH380" s="204" t="n"/>
      <c r="AI380" s="216" t="n"/>
      <c r="AJ380" s="214" t="n"/>
      <c r="AK380" s="217" t="n"/>
      <c r="AL380" s="214" t="n"/>
      <c r="AM380" s="214" t="n"/>
      <c r="AN380" s="214" t="n"/>
      <c r="AO380" s="214" t="n"/>
      <c r="AP380" s="216" t="n"/>
      <c r="AQ380" s="216" t="n"/>
      <c r="AR380" s="214" t="inlineStr">
        <is>
          <t>Nhóm 1</t>
        </is>
      </c>
      <c r="AS380" s="214" t="n"/>
      <c r="AT380" s="214" t="inlineStr">
        <is>
          <t>HM09</t>
        </is>
      </c>
      <c r="AU380" s="214" t="inlineStr">
        <is>
          <t>NTCV</t>
        </is>
      </c>
      <c r="AV380" s="214" t="n">
        <v>125</v>
      </c>
      <c r="AW380" s="214" t="n">
        <v>5</v>
      </c>
      <c r="AX380" s="214" t="n"/>
    </row>
    <row r="381" ht="28" customHeight="1" s="672">
      <c r="A381" s="56" t="inlineStr">
        <is>
          <t>BBK570</t>
        </is>
      </c>
      <c r="B381" s="56" t="inlineStr">
        <is>
          <t>PL06</t>
        </is>
      </c>
      <c r="C381" s="56" t="inlineStr">
        <is>
          <t>BBK570.0902569</t>
        </is>
      </c>
      <c r="D381" s="57" t="n"/>
      <c r="E381" s="57" t="n"/>
      <c r="F381" s="57" t="n"/>
      <c r="G381" s="57" t="n"/>
      <c r="H381" s="57" t="n"/>
      <c r="J381" s="198" t="inlineStr">
        <is>
          <t>17</t>
        </is>
      </c>
      <c r="K381" s="198" t="inlineStr">
        <is>
          <t>PL06</t>
        </is>
      </c>
      <c r="L381" s="199" t="inlineStr">
        <is>
          <t>Kiểm tra công tác vệ sinh lỗ khoan trước khi hạ lồng cốt thép cọc khoan nhồi</t>
        </is>
      </c>
      <c r="M381" s="199" t="n"/>
      <c r="N381" s="199" t="n"/>
      <c r="O381" s="200" t="inlineStr">
        <is>
          <t>Cầu Km19+529.080</t>
        </is>
      </c>
      <c r="P381" s="201" t="n"/>
      <c r="Q381" s="201" t="n"/>
      <c r="R381" s="201" t="n"/>
      <c r="S381" s="201">
        <f>S380</f>
        <v/>
      </c>
      <c r="T381" s="201" t="n"/>
      <c r="U381" s="201" t="n"/>
      <c r="V381" s="201" t="n"/>
      <c r="W381" s="202" t="n"/>
      <c r="X381" s="265" t="n">
        <v>127.36</v>
      </c>
      <c r="Y381" s="265">
        <f>X381-0.02</f>
        <v/>
      </c>
      <c r="Z381" s="198" t="inlineStr">
        <is>
          <t>06</t>
        </is>
      </c>
      <c r="AA381" s="203" t="n"/>
      <c r="AB381" s="204" t="inlineStr">
        <is>
          <t>09-XL-307HG/PYCNT/CKN/T1/C3-2</t>
        </is>
      </c>
      <c r="AC381" s="204">
        <f>AC380</f>
        <v/>
      </c>
      <c r="AD381" s="204" t="n"/>
      <c r="AE381" s="204" t="n"/>
      <c r="AF381" s="204" t="n"/>
      <c r="AG381" s="204" t="n"/>
      <c r="AH381" s="204" t="n"/>
      <c r="AI381" s="202" t="n"/>
      <c r="AJ381" s="202" t="n"/>
      <c r="AK381" s="206" t="n"/>
      <c r="AL381" s="202" t="n"/>
      <c r="AM381" s="202" t="n"/>
      <c r="AN381" s="202" t="n"/>
      <c r="AO381" s="202" t="n"/>
      <c r="AP381" s="207" t="n"/>
      <c r="AQ381" s="207" t="n"/>
      <c r="AR381" s="202" t="inlineStr">
        <is>
          <t>Nhóm 1</t>
        </is>
      </c>
      <c r="AS381" s="202" t="n"/>
      <c r="AT381" s="202" t="inlineStr">
        <is>
          <t>HM09</t>
        </is>
      </c>
      <c r="AU381" s="202" t="inlineStr">
        <is>
          <t>PL06</t>
        </is>
      </c>
      <c r="AV381" s="202" t="n">
        <v>7</v>
      </c>
      <c r="AW381" s="202" t="n">
        <v>1</v>
      </c>
      <c r="AX381" s="202" t="n"/>
    </row>
    <row r="382" ht="28" customHeight="1" s="672">
      <c r="A382" s="56" t="inlineStr">
        <is>
          <t>NTCV</t>
        </is>
      </c>
      <c r="B382" s="56" t="inlineStr">
        <is>
          <t>K.9999</t>
        </is>
      </c>
      <c r="C382" s="56" t="inlineStr">
        <is>
          <t>NTCV.0574864</t>
        </is>
      </c>
      <c r="D382" s="57" t="n"/>
      <c r="E382" s="57" t="n"/>
      <c r="F382" s="57" t="n"/>
      <c r="G382" s="57" t="n"/>
      <c r="H382" s="57" t="n"/>
      <c r="J382" s="209" t="inlineStr">
        <is>
          <t>18</t>
        </is>
      </c>
      <c r="K382" s="209" t="inlineStr">
        <is>
          <t>K.9999</t>
        </is>
      </c>
      <c r="L382" s="210" t="inlineStr">
        <is>
          <t xml:space="preserve">Nghiệm thu công tác hạ lồng thép </t>
        </is>
      </c>
      <c r="M382" s="210" t="n"/>
      <c r="N382" s="210" t="n"/>
      <c r="O382" s="211" t="inlineStr">
        <is>
          <t>Cầu Km19+529.080</t>
        </is>
      </c>
      <c r="P382" s="212">
        <f>S380</f>
        <v/>
      </c>
      <c r="Q382" s="212">
        <f>P382</f>
        <v/>
      </c>
      <c r="R382" s="212">
        <f>Q382-1</f>
        <v/>
      </c>
      <c r="S382" s="212">
        <f>Q382</f>
        <v/>
      </c>
      <c r="T382" s="213">
        <f>U380</f>
        <v/>
      </c>
      <c r="U382" s="213">
        <f>T382+V382</f>
        <v/>
      </c>
      <c r="V382" s="213" t="n">
        <v>0.03125</v>
      </c>
      <c r="W382" s="214">
        <f>TEXT(T382,"HH""h""MM'")&amp;"÷"&amp;TEXT(U382,"HH""h""MM'")</f>
        <v/>
      </c>
      <c r="X382" s="214" t="n"/>
      <c r="Y382" s="214" t="n"/>
      <c r="Z382" s="214" t="inlineStr">
        <is>
          <t>07;</t>
        </is>
      </c>
      <c r="AA382" s="215" t="inlineStr">
        <is>
          <t>Công tác hạ lồng thép Cọc khoan nhồi Trụ T1 - Cọc C3</t>
        </is>
      </c>
      <c r="AB382" s="204" t="inlineStr">
        <is>
          <t>09-XL-307HG/PYCNT/CKN/T1/C3-2</t>
        </is>
      </c>
      <c r="AC382" s="204" t="inlineStr">
        <is>
          <t>09-XL-307HG/BBNT/CKN/T1/C3-7</t>
        </is>
      </c>
      <c r="AD382" s="204" t="n"/>
      <c r="AE382" s="204" t="n"/>
      <c r="AF382" s="204" t="n"/>
      <c r="AG382" s="204" t="n"/>
      <c r="AH382" s="204" t="n"/>
      <c r="AI382" s="214" t="n"/>
      <c r="AJ382" s="214" t="n"/>
      <c r="AK382" s="217" t="n"/>
      <c r="AL382" s="214" t="n"/>
      <c r="AM382" s="214" t="n"/>
      <c r="AN382" s="214" t="n"/>
      <c r="AO382" s="214" t="n"/>
      <c r="AP382" s="216" t="n"/>
      <c r="AQ382" s="216" t="n"/>
      <c r="AR382" s="214" t="inlineStr">
        <is>
          <t>Nhóm 1</t>
        </is>
      </c>
      <c r="AS382" s="214" t="n"/>
      <c r="AT382" s="214" t="inlineStr">
        <is>
          <t>HM09</t>
        </is>
      </c>
      <c r="AU382" s="214" t="inlineStr">
        <is>
          <t>NTCV</t>
        </is>
      </c>
      <c r="AV382" s="214" t="n">
        <v>127</v>
      </c>
      <c r="AW382" s="214" t="n">
        <v>6</v>
      </c>
      <c r="AX382" s="214" t="n"/>
    </row>
    <row r="383">
      <c r="A383" s="56" t="inlineStr">
        <is>
          <t>BBK396</t>
        </is>
      </c>
      <c r="B383" s="56" t="inlineStr">
        <is>
          <t>PL07</t>
        </is>
      </c>
      <c r="C383" s="56" t="inlineStr">
        <is>
          <t>BBK396.0245173</t>
        </is>
      </c>
      <c r="D383" s="57" t="n"/>
      <c r="E383" s="57" t="n"/>
      <c r="F383" s="57" t="n"/>
      <c r="G383" s="57" t="n"/>
      <c r="H383" s="57" t="n"/>
      <c r="J383" s="198" t="inlineStr">
        <is>
          <t>19</t>
        </is>
      </c>
      <c r="K383" s="198" t="inlineStr">
        <is>
          <t>PL07</t>
        </is>
      </c>
      <c r="L383" s="199" t="inlineStr">
        <is>
          <t>Nghiệm thu công tác hạ lồng thép</t>
        </is>
      </c>
      <c r="M383" s="199" t="n"/>
      <c r="N383" s="199" t="n"/>
      <c r="O383" s="200" t="inlineStr">
        <is>
          <t>Cầu Km19+529.080</t>
        </is>
      </c>
      <c r="P383" s="201" t="n"/>
      <c r="Q383" s="201" t="n"/>
      <c r="R383" s="201" t="n"/>
      <c r="S383" s="201">
        <f>S382</f>
        <v/>
      </c>
      <c r="T383" s="201" t="n"/>
      <c r="U383" s="201" t="n"/>
      <c r="V383" s="201" t="n"/>
      <c r="W383" s="202" t="n"/>
      <c r="X383" s="202" t="n"/>
      <c r="Y383" s="202" t="n"/>
      <c r="Z383" s="198" t="inlineStr">
        <is>
          <t>07</t>
        </is>
      </c>
      <c r="AA383" s="203" t="n"/>
      <c r="AB383" s="204" t="inlineStr">
        <is>
          <t>09-XL-307HG/PYCNT/CKN/T1/C3-2</t>
        </is>
      </c>
      <c r="AC383" s="204">
        <f>AC382</f>
        <v/>
      </c>
      <c r="AD383" s="204" t="n"/>
      <c r="AE383" s="204" t="n"/>
      <c r="AF383" s="204" t="n"/>
      <c r="AG383" s="204" t="n"/>
      <c r="AH383" s="204" t="n"/>
      <c r="AI383" s="202" t="n"/>
      <c r="AJ383" s="202" t="n"/>
      <c r="AK383" s="206" t="n"/>
      <c r="AL383" s="202" t="n"/>
      <c r="AM383" s="202" t="n"/>
      <c r="AN383" s="202" t="n"/>
      <c r="AO383" s="202" t="n"/>
      <c r="AP383" s="207" t="n"/>
      <c r="AQ383" s="207" t="n"/>
      <c r="AR383" s="202" t="inlineStr">
        <is>
          <t>Nhóm 1</t>
        </is>
      </c>
      <c r="AS383" s="202" t="n"/>
      <c r="AT383" s="202" t="inlineStr">
        <is>
          <t>HM09</t>
        </is>
      </c>
      <c r="AU383" s="202" t="inlineStr">
        <is>
          <t>PL07</t>
        </is>
      </c>
      <c r="AV383" s="202" t="n">
        <v>7</v>
      </c>
      <c r="AW383" s="202" t="n">
        <v>1</v>
      </c>
      <c r="AX383" s="202" t="n"/>
    </row>
    <row r="384" ht="42" customHeight="1" s="672">
      <c r="A384" s="56" t="inlineStr">
        <is>
          <t>NTCV</t>
        </is>
      </c>
      <c r="B384" s="56" t="inlineStr">
        <is>
          <t>K.9999</t>
        </is>
      </c>
      <c r="C384" s="56" t="inlineStr">
        <is>
          <t>NTCV.0860162</t>
        </is>
      </c>
      <c r="D384" s="57" t="n"/>
      <c r="E384" s="57" t="n"/>
      <c r="F384" s="57" t="n"/>
      <c r="G384" s="57" t="n"/>
      <c r="H384" s="57" t="n"/>
      <c r="J384" s="209" t="inlineStr">
        <is>
          <t>20</t>
        </is>
      </c>
      <c r="K384" s="209" t="inlineStr">
        <is>
          <t>K.9999</t>
        </is>
      </c>
      <c r="L384" s="210" t="inlineStr">
        <is>
          <t xml:space="preserve">Kiểm tra công tác vệ sinh lỗ khoan cọc khoan nhồi trước khi đổ bê tông </t>
        </is>
      </c>
      <c r="M384" s="210" t="n"/>
      <c r="N384" s="210" t="n"/>
      <c r="O384" s="211" t="inlineStr">
        <is>
          <t>Cầu Km19+529.080</t>
        </is>
      </c>
      <c r="P384" s="212">
        <f>S382</f>
        <v/>
      </c>
      <c r="Q384" s="212">
        <f>P384</f>
        <v/>
      </c>
      <c r="R384" s="212">
        <f>Q384-1</f>
        <v/>
      </c>
      <c r="S384" s="212">
        <f>Q384</f>
        <v/>
      </c>
      <c r="T384" s="213">
        <f>U382</f>
        <v/>
      </c>
      <c r="U384" s="213">
        <f>T384+V384</f>
        <v/>
      </c>
      <c r="V384" s="213" t="n">
        <v>0.02083333333333333</v>
      </c>
      <c r="W384" s="214">
        <f>TEXT(T384,"HH""h""MM'")&amp;"÷"&amp;TEXT(U384,"HH""h""MM'")</f>
        <v/>
      </c>
      <c r="X384" s="214" t="n"/>
      <c r="Y384" s="214" t="n"/>
      <c r="Z384" s="214" t="inlineStr">
        <is>
          <t>08;</t>
        </is>
      </c>
      <c r="AA384" s="215" t="inlineStr">
        <is>
          <t>Kiểm tra công tác vệ sinh lỗ khoan cọc khoan nhồi trước khi đổ bê tông Cọc khoan nhồi Trụ T1 - Cọc C3</t>
        </is>
      </c>
      <c r="AB384" s="204" t="inlineStr">
        <is>
          <t>09-XL-307HG/PYCNT/CKN/T1/C3-2</t>
        </is>
      </c>
      <c r="AC384" s="204" t="inlineStr">
        <is>
          <t>09-XL-307HG/BBNT/CKN/T1/C3-8</t>
        </is>
      </c>
      <c r="AD384" s="204" t="n"/>
      <c r="AE384" s="204" t="n"/>
      <c r="AF384" s="204" t="n"/>
      <c r="AG384" s="204" t="n"/>
      <c r="AH384" s="204" t="n"/>
      <c r="AI384" s="214" t="n"/>
      <c r="AJ384" s="214" t="n"/>
      <c r="AK384" s="217" t="n"/>
      <c r="AL384" s="214" t="n"/>
      <c r="AM384" s="214" t="n"/>
      <c r="AN384" s="214" t="n"/>
      <c r="AO384" s="214" t="n"/>
      <c r="AP384" s="216" t="n"/>
      <c r="AQ384" s="216" t="n"/>
      <c r="AR384" s="214" t="inlineStr">
        <is>
          <t>Nhóm 1</t>
        </is>
      </c>
      <c r="AS384" s="214" t="n"/>
      <c r="AT384" s="214" t="inlineStr">
        <is>
          <t>HM09</t>
        </is>
      </c>
      <c r="AU384" s="214" t="inlineStr">
        <is>
          <t>NTCV</t>
        </is>
      </c>
      <c r="AV384" s="214" t="n">
        <v>129</v>
      </c>
      <c r="AW384" s="214" t="n">
        <v>7</v>
      </c>
      <c r="AX384" s="214" t="n"/>
    </row>
    <row r="385" ht="28" customHeight="1" s="672">
      <c r="A385" s="56" t="inlineStr">
        <is>
          <t>BBK521</t>
        </is>
      </c>
      <c r="B385" s="56" t="inlineStr">
        <is>
          <t>PL08</t>
        </is>
      </c>
      <c r="C385" s="56" t="inlineStr">
        <is>
          <t>BBK521.0074950</t>
        </is>
      </c>
      <c r="D385" s="57" t="n"/>
      <c r="E385" s="57" t="n"/>
      <c r="F385" s="57" t="n"/>
      <c r="G385" s="57" t="n"/>
      <c r="H385" s="57" t="n"/>
      <c r="J385" s="198" t="inlineStr">
        <is>
          <t>21</t>
        </is>
      </c>
      <c r="K385" s="198" t="inlineStr">
        <is>
          <t>PL08</t>
        </is>
      </c>
      <c r="L385" s="199" t="inlineStr">
        <is>
          <t>Kiểm tra công tác vệ sinh lỗ khoan cọc khoan nhồi trước khi đổ bê tông</t>
        </is>
      </c>
      <c r="M385" s="199" t="n"/>
      <c r="N385" s="199" t="n"/>
      <c r="O385" s="200" t="inlineStr">
        <is>
          <t>Cầu Km19+529.080</t>
        </is>
      </c>
      <c r="P385" s="201" t="n"/>
      <c r="Q385" s="201" t="n"/>
      <c r="R385" s="201" t="n"/>
      <c r="S385" s="201">
        <f>S384</f>
        <v/>
      </c>
      <c r="T385" s="201" t="n"/>
      <c r="U385" s="201" t="n"/>
      <c r="V385" s="201" t="n"/>
      <c r="W385" s="202" t="n"/>
      <c r="X385" s="202" t="n"/>
      <c r="Y385" s="202" t="n"/>
      <c r="Z385" s="198" t="inlineStr">
        <is>
          <t>08</t>
        </is>
      </c>
      <c r="AA385" s="203" t="n"/>
      <c r="AB385" s="204" t="inlineStr">
        <is>
          <t>09-XL-307HG/PYCNT/CKN/T1/C3-2</t>
        </is>
      </c>
      <c r="AC385" s="204">
        <f>AC384</f>
        <v/>
      </c>
      <c r="AD385" s="204" t="n"/>
      <c r="AE385" s="204" t="n"/>
      <c r="AF385" s="204" t="n"/>
      <c r="AG385" s="204" t="n"/>
      <c r="AH385" s="204" t="n"/>
      <c r="AI385" s="202" t="n"/>
      <c r="AJ385" s="202" t="n"/>
      <c r="AK385" s="206" t="n"/>
      <c r="AL385" s="202" t="n"/>
      <c r="AM385" s="202" t="n"/>
      <c r="AN385" s="202" t="n"/>
      <c r="AO385" s="202" t="n"/>
      <c r="AP385" s="207" t="n"/>
      <c r="AQ385" s="207" t="n"/>
      <c r="AR385" s="202" t="inlineStr">
        <is>
          <t>Nhóm 1</t>
        </is>
      </c>
      <c r="AS385" s="202" t="n"/>
      <c r="AT385" s="202" t="inlineStr">
        <is>
          <t>HM09</t>
        </is>
      </c>
      <c r="AU385" s="202" t="inlineStr">
        <is>
          <t>PL08</t>
        </is>
      </c>
      <c r="AV385" s="202" t="n">
        <v>7</v>
      </c>
      <c r="AW385" s="202" t="n">
        <v>1</v>
      </c>
      <c r="AX385" s="202" t="n"/>
    </row>
    <row r="386" ht="28" customHeight="1" s="672">
      <c r="A386" s="56" t="inlineStr">
        <is>
          <t>NTCV</t>
        </is>
      </c>
      <c r="B386" s="56" t="inlineStr">
        <is>
          <t>K.9999</t>
        </is>
      </c>
      <c r="C386" s="56" t="inlineStr">
        <is>
          <t>NTCV.0438826</t>
        </is>
      </c>
      <c r="D386" s="57" t="n"/>
      <c r="E386" s="57" t="n"/>
      <c r="F386" s="57" t="n"/>
      <c r="G386" s="57" t="n"/>
      <c r="H386" s="57" t="n"/>
      <c r="J386" s="209" t="inlineStr">
        <is>
          <t>22</t>
        </is>
      </c>
      <c r="K386" s="209" t="inlineStr">
        <is>
          <t>K.9999</t>
        </is>
      </c>
      <c r="L386" s="210" t="inlineStr">
        <is>
          <t xml:space="preserve">Kiểm tra công tác chuẩn bị đổ bê tông cọc khoan nhồi </t>
        </is>
      </c>
      <c r="M386" s="210" t="n"/>
      <c r="N386" s="210" t="n"/>
      <c r="O386" s="211" t="inlineStr">
        <is>
          <t>Cầu Km19+529.080</t>
        </is>
      </c>
      <c r="P386" s="212">
        <f>S384</f>
        <v/>
      </c>
      <c r="Q386" s="212">
        <f>P386</f>
        <v/>
      </c>
      <c r="R386" s="212">
        <f>Q386-1</f>
        <v/>
      </c>
      <c r="S386" s="212">
        <f>Q386</f>
        <v/>
      </c>
      <c r="T386" s="213">
        <f>U384</f>
        <v/>
      </c>
      <c r="U386" s="213">
        <f>T386+V386</f>
        <v/>
      </c>
      <c r="V386" s="213" t="n">
        <v>0.02083333333333333</v>
      </c>
      <c r="W386" s="214">
        <f>TEXT(T386,"HH""h""MM'")&amp;"÷"&amp;TEXT(U386,"HH""h""MM'")</f>
        <v/>
      </c>
      <c r="X386" s="214" t="n"/>
      <c r="Y386" s="214" t="n"/>
      <c r="Z386" s="214" t="inlineStr">
        <is>
          <t>09;</t>
        </is>
      </c>
      <c r="AA386" s="215" t="inlineStr">
        <is>
          <t>Kiểm tra công tác chuẩn bị đổ bê tông Cọc khoan nhồi Trụ T1 - Cọc C3</t>
        </is>
      </c>
      <c r="AB386" s="204" t="inlineStr">
        <is>
          <t>09-XL-307HG/PYCNT/CKN/T1/C3-2</t>
        </is>
      </c>
      <c r="AC386" s="204" t="inlineStr">
        <is>
          <t>09-XL-307HG/BBNT/CKN/T1/C3-9</t>
        </is>
      </c>
      <c r="AD386" s="204" t="n"/>
      <c r="AE386" s="204" t="n"/>
      <c r="AF386" s="204" t="n"/>
      <c r="AG386" s="204" t="n"/>
      <c r="AH386" s="204" t="n"/>
      <c r="AI386" s="214" t="n"/>
      <c r="AJ386" s="214" t="n"/>
      <c r="AK386" s="217" t="n"/>
      <c r="AL386" s="214" t="n"/>
      <c r="AM386" s="214" t="n"/>
      <c r="AN386" s="214" t="n"/>
      <c r="AO386" s="214" t="n"/>
      <c r="AP386" s="216" t="n"/>
      <c r="AQ386" s="216" t="n"/>
      <c r="AR386" s="214" t="inlineStr">
        <is>
          <t>Nhóm 1</t>
        </is>
      </c>
      <c r="AS386" s="214" t="n"/>
      <c r="AT386" s="214" t="inlineStr">
        <is>
          <t>HM09</t>
        </is>
      </c>
      <c r="AU386" s="214" t="inlineStr">
        <is>
          <t>NTCV</t>
        </is>
      </c>
      <c r="AV386" s="214" t="n">
        <v>131</v>
      </c>
      <c r="AW386" s="214" t="n">
        <v>8</v>
      </c>
      <c r="AX386" s="214" t="n"/>
    </row>
    <row r="387">
      <c r="A387" s="56" t="inlineStr">
        <is>
          <t>BBK209</t>
        </is>
      </c>
      <c r="B387" s="56" t="inlineStr">
        <is>
          <t>PL09</t>
        </is>
      </c>
      <c r="C387" s="56" t="inlineStr">
        <is>
          <t>BBK209.0759979</t>
        </is>
      </c>
      <c r="D387" s="57" t="n"/>
      <c r="E387" s="57" t="n"/>
      <c r="F387" s="57" t="n"/>
      <c r="G387" s="57" t="n"/>
      <c r="H387" s="57" t="n"/>
      <c r="J387" s="198" t="inlineStr">
        <is>
          <t>23</t>
        </is>
      </c>
      <c r="K387" s="198" t="inlineStr">
        <is>
          <t>PL09</t>
        </is>
      </c>
      <c r="L387" s="199" t="inlineStr">
        <is>
          <t>Kiểm tra công tác chuẩn bị đổ bê tông cọc khoan nhồi</t>
        </is>
      </c>
      <c r="M387" s="199" t="n"/>
      <c r="N387" s="199" t="n"/>
      <c r="O387" s="200" t="inlineStr">
        <is>
          <t>Cầu Km19+529.080</t>
        </is>
      </c>
      <c r="P387" s="201" t="n"/>
      <c r="Q387" s="201" t="n"/>
      <c r="R387" s="201" t="n"/>
      <c r="S387" s="201">
        <f>S386</f>
        <v/>
      </c>
      <c r="T387" s="201" t="n"/>
      <c r="U387" s="201" t="n"/>
      <c r="V387" s="201" t="n"/>
      <c r="W387" s="202" t="n"/>
      <c r="X387" s="202" t="n"/>
      <c r="Y387" s="202" t="n"/>
      <c r="Z387" s="198" t="inlineStr">
        <is>
          <t>09</t>
        </is>
      </c>
      <c r="AA387" s="203" t="n"/>
      <c r="AB387" s="204" t="inlineStr">
        <is>
          <t>09-XL-307HG/PYCNT/CKN/T1/C3-2</t>
        </is>
      </c>
      <c r="AC387" s="204">
        <f>AC386</f>
        <v/>
      </c>
      <c r="AD387" s="204" t="n"/>
      <c r="AE387" s="204" t="n"/>
      <c r="AF387" s="204" t="n"/>
      <c r="AG387" s="204" t="n"/>
      <c r="AH387" s="204" t="inlineStr">
        <is>
          <t>C30(1)</t>
        </is>
      </c>
      <c r="AI387" s="202" t="n"/>
      <c r="AJ387" s="202" t="n"/>
      <c r="AK387" s="206" t="n"/>
      <c r="AL387" s="202" t="n"/>
      <c r="AM387" s="202" t="n"/>
      <c r="AN387" s="202" t="n"/>
      <c r="AO387" s="202" t="n"/>
      <c r="AP387" s="207" t="n"/>
      <c r="AQ387" s="207" t="n"/>
      <c r="AR387" s="202" t="inlineStr">
        <is>
          <t>Nhóm 1</t>
        </is>
      </c>
      <c r="AS387" s="202" t="n"/>
      <c r="AT387" s="202" t="inlineStr">
        <is>
          <t>HM09</t>
        </is>
      </c>
      <c r="AU387" s="202" t="inlineStr">
        <is>
          <t>PL09</t>
        </is>
      </c>
      <c r="AV387" s="202" t="n">
        <v>7</v>
      </c>
      <c r="AW387" s="202" t="n">
        <v>1</v>
      </c>
      <c r="AX387" s="202" t="n"/>
    </row>
    <row r="388" ht="28" customHeight="1" s="672">
      <c r="A388" s="56" t="inlineStr">
        <is>
          <t>NTCV</t>
        </is>
      </c>
      <c r="B388" s="56" t="inlineStr">
        <is>
          <t>K.9999</t>
        </is>
      </c>
      <c r="C388" s="56" t="inlineStr">
        <is>
          <t>NTCV.0245678</t>
        </is>
      </c>
      <c r="D388" s="57" t="n"/>
      <c r="E388" s="57" t="n"/>
      <c r="F388" s="57" t="n"/>
      <c r="G388" s="57" t="n"/>
      <c r="H388" s="57" t="n"/>
      <c r="J388" s="209" t="inlineStr">
        <is>
          <t>24</t>
        </is>
      </c>
      <c r="K388" s="209" t="inlineStr">
        <is>
          <t>K.9999</t>
        </is>
      </c>
      <c r="L388" s="210" t="inlineStr">
        <is>
          <t>Theo dõi quá trình đổ bê tông cọc khoan nhồi</t>
        </is>
      </c>
      <c r="M388" s="210" t="n"/>
      <c r="N388" s="210" t="n"/>
      <c r="O388" s="211" t="inlineStr">
        <is>
          <t>Cầu Km19+529.080</t>
        </is>
      </c>
      <c r="P388" s="212">
        <f>S386</f>
        <v/>
      </c>
      <c r="Q388" s="212">
        <f>P388</f>
        <v/>
      </c>
      <c r="R388" s="212">
        <f>Q388-1</f>
        <v/>
      </c>
      <c r="S388" s="212">
        <f>Q388</f>
        <v/>
      </c>
      <c r="T388" s="213">
        <f>U386</f>
        <v/>
      </c>
      <c r="U388" s="213">
        <f>T388+V388</f>
        <v/>
      </c>
      <c r="V388" s="213" t="n">
        <v>0.1458333333333333</v>
      </c>
      <c r="W388" s="214">
        <f>TEXT(T388,"HH""h""MM'")&amp;"÷"&amp;TEXT(U388,"HH""h""MM'")</f>
        <v/>
      </c>
      <c r="X388" s="214" t="n"/>
      <c r="Y388" s="214" t="n"/>
      <c r="Z388" s="214" t="inlineStr">
        <is>
          <t>10;</t>
        </is>
      </c>
      <c r="AA388" s="215" t="inlineStr">
        <is>
          <t>Theo dõi quá trình đổ bê tông  Cọc khoan nhồi Trụ T1 - Cọc C3</t>
        </is>
      </c>
      <c r="AB388" s="204" t="inlineStr">
        <is>
          <t>09-XL-307HG/PYCNT/CKN/T1/C3-2</t>
        </is>
      </c>
      <c r="AC388" s="204" t="inlineStr">
        <is>
          <t>09-XL-307HG/BBNT/CKN/T1/C3-10</t>
        </is>
      </c>
      <c r="AD388" s="204" t="n"/>
      <c r="AE388" s="204" t="n"/>
      <c r="AF388" s="204" t="n"/>
      <c r="AG388" s="204" t="n"/>
      <c r="AH388" s="204" t="n"/>
      <c r="AI388" s="214" t="n"/>
      <c r="AJ388" s="214" t="n"/>
      <c r="AK388" s="217" t="n"/>
      <c r="AL388" s="214" t="n"/>
      <c r="AM388" s="214" t="n"/>
      <c r="AN388" s="214" t="n"/>
      <c r="AO388" s="214" t="n"/>
      <c r="AP388" s="216" t="n"/>
      <c r="AQ388" s="216" t="n"/>
      <c r="AR388" s="214" t="inlineStr">
        <is>
          <t>Nhóm 1</t>
        </is>
      </c>
      <c r="AS388" s="214" t="n"/>
      <c r="AT388" s="214" t="inlineStr">
        <is>
          <t>HM09</t>
        </is>
      </c>
      <c r="AU388" s="214" t="inlineStr">
        <is>
          <t>NTCV</t>
        </is>
      </c>
      <c r="AV388" s="214" t="n">
        <v>132</v>
      </c>
      <c r="AW388" s="214" t="n">
        <v>9</v>
      </c>
      <c r="AX388" s="214" t="n"/>
    </row>
    <row r="389" ht="210" customHeight="1" s="672">
      <c r="A389" s="56" t="inlineStr">
        <is>
          <t>LMHT</t>
        </is>
      </c>
      <c r="B389" s="56" t="inlineStr">
        <is>
          <t>LMHT</t>
        </is>
      </c>
      <c r="C389" s="56" t="inlineStr">
        <is>
          <t>LMHT.0378606</t>
        </is>
      </c>
      <c r="D389" s="57" t="inlineStr">
        <is>
          <t>TC.000041|TC.000182|TC.000169.A</t>
        </is>
      </c>
      <c r="E389" s="57" t="n"/>
      <c r="F389" s="57" t="inlineStr">
        <is>
          <t>CP.0001^Cọc khoan nhồi Trụ T1 - Cọc C3^Hình Trụ 15x30 (cm)^12^30 Mpa, 18±2^^^TC.000041|TC.000182|TC.000169.A</t>
        </is>
      </c>
      <c r="G389" s="57" t="n"/>
      <c r="H389" s="57" t="inlineStr">
        <is>
          <t>^^A|C|J|O|S|X|Z^Stt|Hạng mục|Cấp bê tông|Kích thước mẫu|Số lượng mẫu|Ghi chú^|||||</t>
        </is>
      </c>
      <c r="J389" s="256" t="inlineStr">
        <is>
          <t>25</t>
        </is>
      </c>
      <c r="K389" s="256" t="inlineStr">
        <is>
          <t>LMHT</t>
        </is>
      </c>
      <c r="L389" s="257" t="inlineStr">
        <is>
          <t>Lấy mẫu bê tông Cọc khoan nhồi, 30(1) Mpa Trụ T1 - Cọc C3</t>
        </is>
      </c>
      <c r="M389" s="257" t="n"/>
      <c r="N389" s="257" t="n"/>
      <c r="O389" s="258" t="inlineStr">
        <is>
          <t>Cầu Km19+529.080</t>
        </is>
      </c>
      <c r="P389" s="259" t="n"/>
      <c r="Q389" s="259" t="n"/>
      <c r="R389" s="259" t="n"/>
      <c r="S389" s="259">
        <f>S388</f>
        <v/>
      </c>
      <c r="T389" s="260">
        <f>T388</f>
        <v/>
      </c>
      <c r="U389" s="260">
        <f>U388</f>
        <v/>
      </c>
      <c r="V389" s="260">
        <f>V388</f>
        <v/>
      </c>
      <c r="W389" s="261">
        <f>TEXT(T389,"HH""h""MM'")&amp;"÷"&amp;TEXT(U389,"HH""h""MM'")</f>
        <v/>
      </c>
      <c r="X389" s="262" t="n"/>
      <c r="Y389" s="262" t="n"/>
      <c r="Z389" s="262" t="n"/>
      <c r="AA389" s="262" t="n"/>
      <c r="AB389" s="263" t="inlineStr">
        <is>
          <t>09-XL-307HG/PYCNT/CKN/T1/C3-2</t>
        </is>
      </c>
      <c r="AC389" s="263" t="inlineStr"/>
      <c r="AD389" s="264" t="n"/>
      <c r="AE389" s="264" t="n"/>
      <c r="AF389" s="264" t="n"/>
      <c r="AG389" s="264" t="n"/>
      <c r="AH389" s="264" t="n"/>
      <c r="AI389" s="257" t="n"/>
      <c r="AJ389" s="262" t="n"/>
      <c r="AK389" s="258" t="n"/>
      <c r="AL389" s="262" t="n"/>
      <c r="AM389" s="262" t="n"/>
      <c r="AN389" s="262" t="n"/>
      <c r="AO389" s="262" t="n"/>
      <c r="AP389" s="263" t="inlineStr">
        <is>
          <t>Bảng lấy mẫu CKN</t>
        </is>
      </c>
      <c r="AQ389" s="263" t="n"/>
      <c r="AR389" s="262" t="inlineStr">
        <is>
          <t>Nhóm 1</t>
        </is>
      </c>
      <c r="AS389" s="262" t="n"/>
      <c r="AT389" s="262" t="inlineStr">
        <is>
          <t>HM09</t>
        </is>
      </c>
      <c r="AU389" s="262" t="inlineStr">
        <is>
          <t>LMHT</t>
        </is>
      </c>
      <c r="AV389" s="262" t="n">
        <v>10</v>
      </c>
      <c r="AW389" s="262" t="n">
        <v>1</v>
      </c>
      <c r="AX389" s="262" t="inlineStr">
        <is>
          <t>Cọc T1-C3 [BT dòng 10]: chưa đến ngưỡng phát sinh lượt mẫu xi măng/cát/đá; mẫu bê tông cấu kiện vẫn theo F389.</t>
        </is>
      </c>
    </row>
    <row r="390">
      <c r="A390" s="56" t="inlineStr">
        <is>
          <t>BBK994</t>
        </is>
      </c>
      <c r="B390" s="56" t="inlineStr">
        <is>
          <t>PL10</t>
        </is>
      </c>
      <c r="C390" s="56" t="inlineStr">
        <is>
          <t>BBK994.0397243</t>
        </is>
      </c>
      <c r="D390" s="57" t="n"/>
      <c r="E390" s="57" t="n"/>
      <c r="F390" s="57" t="n"/>
      <c r="G390" s="57" t="n"/>
      <c r="H390" s="57" t="n"/>
      <c r="J390" s="198" t="inlineStr">
        <is>
          <t>26</t>
        </is>
      </c>
      <c r="K390" s="198" t="inlineStr">
        <is>
          <t>PL10</t>
        </is>
      </c>
      <c r="L390" s="199" t="inlineStr">
        <is>
          <t>Theo dõi quá trình đổ bê tông cọc khoan nhồi</t>
        </is>
      </c>
      <c r="M390" s="199" t="n"/>
      <c r="N390" s="199" t="n"/>
      <c r="O390" s="200" t="inlineStr">
        <is>
          <t>Cầu Km19+529.080</t>
        </is>
      </c>
      <c r="P390" s="201" t="n"/>
      <c r="Q390" s="201" t="n"/>
      <c r="R390" s="201" t="n"/>
      <c r="S390" s="201">
        <f>S388</f>
        <v/>
      </c>
      <c r="T390" s="201" t="n"/>
      <c r="U390" s="201" t="n"/>
      <c r="V390" s="201" t="n"/>
      <c r="W390" s="202" t="n"/>
      <c r="X390" s="202" t="n"/>
      <c r="Y390" s="202" t="n"/>
      <c r="Z390" s="198" t="inlineStr">
        <is>
          <t>10</t>
        </is>
      </c>
      <c r="AA390" s="203" t="n"/>
      <c r="AB390" s="204" t="inlineStr">
        <is>
          <t>09-XL-307HG/PYCNT/CKN/T1/C3-2</t>
        </is>
      </c>
      <c r="AC390" s="204">
        <f>AC388</f>
        <v/>
      </c>
      <c r="AD390" s="204" t="n"/>
      <c r="AE390" s="204" t="n"/>
      <c r="AF390" s="204" t="n"/>
      <c r="AG390" s="204" t="n"/>
      <c r="AH390" s="204" t="inlineStr">
        <is>
          <t>T1-C3</t>
        </is>
      </c>
      <c r="AI390" s="202" t="n"/>
      <c r="AJ390" s="202" t="n"/>
      <c r="AK390" s="206" t="n"/>
      <c r="AL390" s="202" t="n"/>
      <c r="AM390" s="202" t="n"/>
      <c r="AN390" s="202" t="n"/>
      <c r="AO390" s="202" t="n"/>
      <c r="AP390" s="207" t="n"/>
      <c r="AQ390" s="207" t="n"/>
      <c r="AR390" s="202" t="inlineStr">
        <is>
          <t>Nhóm 1</t>
        </is>
      </c>
      <c r="AS390" s="202" t="n"/>
      <c r="AT390" s="202" t="inlineStr">
        <is>
          <t>HM09</t>
        </is>
      </c>
      <c r="AU390" s="202" t="inlineStr">
        <is>
          <t>PL10</t>
        </is>
      </c>
      <c r="AV390" s="202" t="n">
        <v>7</v>
      </c>
      <c r="AW390" s="202" t="n">
        <v>1</v>
      </c>
      <c r="AX390" s="202" t="n"/>
    </row>
    <row r="391" ht="28" customHeight="1" s="672">
      <c r="A391" s="56" t="inlineStr">
        <is>
          <t>NTCV</t>
        </is>
      </c>
      <c r="B391" s="56" t="inlineStr">
        <is>
          <t>K.9999</t>
        </is>
      </c>
      <c r="C391" s="56" t="inlineStr">
        <is>
          <t>NTCV.0526573</t>
        </is>
      </c>
      <c r="D391" s="57" t="n"/>
      <c r="E391" s="57" t="n"/>
      <c r="F391" s="57" t="n"/>
      <c r="G391" s="57" t="n"/>
      <c r="H391" s="57" t="n"/>
      <c r="J391" s="209" t="inlineStr">
        <is>
          <t>27</t>
        </is>
      </c>
      <c r="K391" s="209" t="inlineStr">
        <is>
          <t>K.9999</t>
        </is>
      </c>
      <c r="L391" s="210" t="inlineStr">
        <is>
          <t xml:space="preserve"> Rút ống vách thi công cọc khoan nhồi</t>
        </is>
      </c>
      <c r="M391" s="210" t="n"/>
      <c r="N391" s="210" t="n"/>
      <c r="O391" s="211" t="inlineStr">
        <is>
          <t>Cầu Km19+529.080</t>
        </is>
      </c>
      <c r="P391" s="212">
        <f>S388</f>
        <v/>
      </c>
      <c r="Q391" s="212">
        <f>P391</f>
        <v/>
      </c>
      <c r="R391" s="212">
        <f>Q391-1</f>
        <v/>
      </c>
      <c r="S391" s="212">
        <f>Q391</f>
        <v/>
      </c>
      <c r="T391" s="213">
        <f>U388</f>
        <v/>
      </c>
      <c r="U391" s="213">
        <f>T391+V391</f>
        <v/>
      </c>
      <c r="V391" s="213" t="n">
        <v>0.01041666666666667</v>
      </c>
      <c r="W391" s="214">
        <f>TEXT(T391,"HH""h""MM'")&amp;"÷"&amp;TEXT(U391,"HH""h""MM'")</f>
        <v/>
      </c>
      <c r="X391" s="214" t="n"/>
      <c r="Y391" s="214" t="n"/>
      <c r="Z391" s="214" t="inlineStr">
        <is>
          <t>11;</t>
        </is>
      </c>
      <c r="AA391" s="215" t="inlineStr">
        <is>
          <t>Rút ống vách  Cọc khoan nhồi Trụ T1 - Cọc C3</t>
        </is>
      </c>
      <c r="AB391" s="204" t="inlineStr">
        <is>
          <t>09-XL-307HG/PYCNT/CKN/T1/C3-2</t>
        </is>
      </c>
      <c r="AC391" s="204" t="inlineStr">
        <is>
          <t>09-XL-307HG/BBNT/CKN/T1/C3-11</t>
        </is>
      </c>
      <c r="AD391" s="204" t="n"/>
      <c r="AE391" s="204" t="n"/>
      <c r="AF391" s="204" t="n"/>
      <c r="AG391" s="204" t="n"/>
      <c r="AH391" s="204" t="n"/>
      <c r="AI391" s="214" t="n"/>
      <c r="AJ391" s="214" t="n"/>
      <c r="AK391" s="217" t="n"/>
      <c r="AL391" s="214" t="n"/>
      <c r="AM391" s="214" t="n"/>
      <c r="AN391" s="214" t="n"/>
      <c r="AO391" s="214" t="n"/>
      <c r="AP391" s="216" t="n"/>
      <c r="AQ391" s="216" t="n"/>
      <c r="AR391" s="214" t="inlineStr">
        <is>
          <t>Nhóm 1</t>
        </is>
      </c>
      <c r="AS391" s="214" t="n"/>
      <c r="AT391" s="214" t="inlineStr">
        <is>
          <t>HM09</t>
        </is>
      </c>
      <c r="AU391" s="214" t="inlineStr">
        <is>
          <t>NTCV</t>
        </is>
      </c>
      <c r="AV391" s="214" t="n">
        <v>133</v>
      </c>
      <c r="AW391" s="214" t="n">
        <v>10</v>
      </c>
      <c r="AX391" s="214" t="n"/>
    </row>
    <row r="392">
      <c r="A392" s="56" t="inlineStr">
        <is>
          <t>BBK544</t>
        </is>
      </c>
      <c r="B392" s="56" t="inlineStr">
        <is>
          <t>PL11</t>
        </is>
      </c>
      <c r="C392" s="56" t="inlineStr">
        <is>
          <t>BBK544.0270359</t>
        </is>
      </c>
      <c r="D392" s="57" t="n"/>
      <c r="E392" s="57" t="n"/>
      <c r="F392" s="57" t="n"/>
      <c r="G392" s="57" t="n"/>
      <c r="H392" s="57" t="n"/>
      <c r="J392" s="198" t="inlineStr">
        <is>
          <t>28</t>
        </is>
      </c>
      <c r="K392" s="198" t="inlineStr">
        <is>
          <t>PL11</t>
        </is>
      </c>
      <c r="L392" s="199" t="inlineStr">
        <is>
          <t>Rút ống vách thi công cọc khoan nhồi</t>
        </is>
      </c>
      <c r="M392" s="199" t="n"/>
      <c r="N392" s="199" t="n"/>
      <c r="O392" s="200" t="inlineStr">
        <is>
          <t>Cầu Km19+529.080</t>
        </is>
      </c>
      <c r="P392" s="201" t="n"/>
      <c r="Q392" s="201" t="n"/>
      <c r="R392" s="201" t="n"/>
      <c r="S392" s="201">
        <f>S391</f>
        <v/>
      </c>
      <c r="T392" s="201" t="n"/>
      <c r="U392" s="201" t="n"/>
      <c r="V392" s="201" t="n"/>
      <c r="W392" s="202" t="n"/>
      <c r="X392" s="202" t="n"/>
      <c r="Y392" s="202" t="n"/>
      <c r="Z392" s="198" t="inlineStr">
        <is>
          <t>11</t>
        </is>
      </c>
      <c r="AA392" s="203" t="n"/>
      <c r="AB392" s="204" t="inlineStr">
        <is>
          <t>09-XL-307HG/PYCNT/CKN/T1/C3-2</t>
        </is>
      </c>
      <c r="AC392" s="204">
        <f>AC391</f>
        <v/>
      </c>
      <c r="AD392" s="204" t="n"/>
      <c r="AE392" s="204" t="n"/>
      <c r="AF392" s="204" t="n"/>
      <c r="AG392" s="204" t="n"/>
      <c r="AH392" s="204" t="inlineStr">
        <is>
          <t>&gt;=162;&lt;=193</t>
        </is>
      </c>
      <c r="AI392" s="202" t="n"/>
      <c r="AJ392" s="202" t="n"/>
      <c r="AK392" s="206" t="n"/>
      <c r="AL392" s="202" t="n"/>
      <c r="AM392" s="202" t="n"/>
      <c r="AN392" s="202" t="n"/>
      <c r="AO392" s="202" t="n"/>
      <c r="AP392" s="207" t="n"/>
      <c r="AQ392" s="207" t="n"/>
      <c r="AR392" s="202" t="inlineStr">
        <is>
          <t>Nhóm 1</t>
        </is>
      </c>
      <c r="AS392" s="202" t="n"/>
      <c r="AT392" s="202" t="inlineStr">
        <is>
          <t>HM09</t>
        </is>
      </c>
      <c r="AU392" s="202" t="inlineStr">
        <is>
          <t>PL11</t>
        </is>
      </c>
      <c r="AV392" s="202" t="n">
        <v>7</v>
      </c>
      <c r="AW392" s="202" t="n">
        <v>1</v>
      </c>
      <c r="AX392" s="202" t="n"/>
    </row>
    <row r="393">
      <c r="A393" s="56" t="inlineStr">
        <is>
          <t>BBK680</t>
        </is>
      </c>
      <c r="B393" s="56" t="inlineStr">
        <is>
          <t>PYC</t>
        </is>
      </c>
      <c r="C393" s="56" t="inlineStr">
        <is>
          <t>BBK680.0581176</t>
        </is>
      </c>
      <c r="D393" s="57" t="n"/>
      <c r="E393" s="57" t="n"/>
      <c r="F393" s="57" t="n"/>
      <c r="G393" s="57" t="n"/>
      <c r="H393" s="57" t="n"/>
      <c r="J393" s="198" t="inlineStr">
        <is>
          <t>29</t>
        </is>
      </c>
      <c r="K393" s="198" t="inlineStr">
        <is>
          <t>PYC</t>
        </is>
      </c>
      <c r="L393" s="199" t="inlineStr">
        <is>
          <t>Phiếu yêu cầu nghiệm thu</t>
        </is>
      </c>
      <c r="M393" s="199" t="n"/>
      <c r="N393" s="199" t="n"/>
      <c r="O393" s="200" t="inlineStr">
        <is>
          <t>Cầu Km19+529.080</t>
        </is>
      </c>
      <c r="P393" s="201" t="n"/>
      <c r="Q393" s="201" t="n"/>
      <c r="R393" s="201">
        <f>R394</f>
        <v/>
      </c>
      <c r="S393" s="201" t="n"/>
      <c r="T393" s="201" t="n"/>
      <c r="U393" s="201" t="n"/>
      <c r="V393" s="201" t="n"/>
      <c r="W393" s="202" t="n"/>
      <c r="X393" s="202" t="n"/>
      <c r="Y393" s="202" t="n"/>
      <c r="Z393" s="202" t="n"/>
      <c r="AA393" s="203" t="n"/>
      <c r="AB393" s="204" t="inlineStr">
        <is>
          <t>09-XL-307HG/PYCNT/CKN/T1/C3</t>
        </is>
      </c>
      <c r="AC393" s="205" t="inlineStr"/>
      <c r="AD393" s="205" t="n"/>
      <c r="AE393" s="205" t="n"/>
      <c r="AF393" s="205" t="n"/>
      <c r="AG393" s="205" t="inlineStr">
        <is>
          <t>NTCV;BBKTĐK</t>
        </is>
      </c>
      <c r="AH393" s="204" t="n">
        <v>11</v>
      </c>
      <c r="AI393" s="202" t="n"/>
      <c r="AJ393" s="202" t="n"/>
      <c r="AK393" s="206" t="n"/>
      <c r="AL393" s="202" t="n"/>
      <c r="AM393" s="202" t="n"/>
      <c r="AN393" s="202" t="n"/>
      <c r="AO393" s="202" t="n"/>
      <c r="AP393" s="207" t="n"/>
      <c r="AQ393" s="207" t="n"/>
      <c r="AR393" s="202" t="inlineStr">
        <is>
          <t>Nhóm 1</t>
        </is>
      </c>
      <c r="AS393" s="202" t="n"/>
      <c r="AT393" s="202" t="inlineStr">
        <is>
          <t>HM09</t>
        </is>
      </c>
      <c r="AU393" s="202" t="inlineStr">
        <is>
          <t>PYC</t>
        </is>
      </c>
      <c r="AV393" s="202" t="n">
        <v>163</v>
      </c>
      <c r="AW393" s="202" t="n">
        <v>3</v>
      </c>
      <c r="AX393" s="202" t="n"/>
    </row>
    <row r="394" ht="28" customHeight="1" s="672">
      <c r="A394" s="56" t="inlineStr">
        <is>
          <t>NTCV</t>
        </is>
      </c>
      <c r="B394" s="56" t="inlineStr">
        <is>
          <t>K.9999</t>
        </is>
      </c>
      <c r="C394" s="56" t="inlineStr">
        <is>
          <t>NTCV.0209698</t>
        </is>
      </c>
      <c r="D394" s="57" t="n"/>
      <c r="E394" s="57" t="n"/>
      <c r="F394" s="57" t="n"/>
      <c r="G394" s="57" t="n"/>
      <c r="H394" s="57" t="n"/>
      <c r="J394" s="209" t="inlineStr">
        <is>
          <t>30</t>
        </is>
      </c>
      <c r="K394" s="209" t="inlineStr">
        <is>
          <t>K.9999</t>
        </is>
      </c>
      <c r="L394" s="210" t="inlineStr">
        <is>
          <t>Theo dõi nén mẫu R7 Cọc khoan nhồi Trụ T1 - Cọc C3</t>
        </is>
      </c>
      <c r="M394" s="210" t="n"/>
      <c r="N394" s="210" t="n"/>
      <c r="O394" s="211" t="inlineStr">
        <is>
          <t>Cầu Km19+529.080</t>
        </is>
      </c>
      <c r="P394" s="212">
        <f>S391+7</f>
        <v/>
      </c>
      <c r="Q394" s="212">
        <f>P394</f>
        <v/>
      </c>
      <c r="R394" s="212">
        <f>Q394-1</f>
        <v/>
      </c>
      <c r="S394" s="212">
        <f>Q394</f>
        <v/>
      </c>
      <c r="T394" s="213" t="n">
        <v>0.3541666666666667</v>
      </c>
      <c r="U394" s="213">
        <f>T394+V394</f>
        <v/>
      </c>
      <c r="V394" s="213" t="n">
        <v>0.02083333333333333</v>
      </c>
      <c r="W394" s="214">
        <f>TEXT(T394,"HH""h""MM'")&amp;"÷"&amp;TEXT(U394,"HH""h""MM'")</f>
        <v/>
      </c>
      <c r="X394" s="214" t="n"/>
      <c r="Y394" s="214" t="n"/>
      <c r="Z394" s="214" t="n"/>
      <c r="AA394" s="215" t="inlineStr">
        <is>
          <t>Theo dõi nén mẫu R7 Cọc khoan nhồi Trụ T1 - Cọc C3</t>
        </is>
      </c>
      <c r="AB394" s="204" t="inlineStr">
        <is>
          <t>09-XL-307HG/PYCNT/CKN/T1/C3-3</t>
        </is>
      </c>
      <c r="AC394" s="204" t="inlineStr">
        <is>
          <t>09-XL-307HG/BBNT/CKN/T1/C3-12</t>
        </is>
      </c>
      <c r="AD394" s="204" t="n"/>
      <c r="AE394" s="204" t="n"/>
      <c r="AF394" s="204" t="n"/>
      <c r="AG394" s="204" t="n"/>
      <c r="AH394" s="204" t="n"/>
      <c r="AI394" s="214" t="n"/>
      <c r="AJ394" s="214" t="n"/>
      <c r="AK394" s="217" t="n"/>
      <c r="AL394" s="214" t="n"/>
      <c r="AM394" s="214" t="n"/>
      <c r="AN394" s="214" t="n"/>
      <c r="AO394" s="214" t="n"/>
      <c r="AP394" s="216" t="n"/>
      <c r="AQ394" s="216" t="n"/>
      <c r="AR394" s="214" t="inlineStr">
        <is>
          <t>Nhóm 1</t>
        </is>
      </c>
      <c r="AS394" s="214" t="n"/>
      <c r="AT394" s="214" t="inlineStr">
        <is>
          <t>HM09</t>
        </is>
      </c>
      <c r="AU394" s="214" t="inlineStr">
        <is>
          <t>NTCV</t>
        </is>
      </c>
      <c r="AV394" s="214" t="n">
        <v>207</v>
      </c>
      <c r="AW394" s="214" t="n">
        <v>11</v>
      </c>
      <c r="AX394" s="214" t="n"/>
    </row>
    <row r="395">
      <c r="A395" s="56" t="inlineStr">
        <is>
          <t>BBK680</t>
        </is>
      </c>
      <c r="B395" s="56" t="inlineStr">
        <is>
          <t>PYC</t>
        </is>
      </c>
      <c r="C395" s="56" t="inlineStr">
        <is>
          <t>BBK680.0078708</t>
        </is>
      </c>
      <c r="D395" s="57" t="n"/>
      <c r="E395" s="57" t="n"/>
      <c r="F395" s="57" t="n"/>
      <c r="G395" s="57" t="n"/>
      <c r="H395" s="57" t="n"/>
      <c r="J395" s="198" t="inlineStr">
        <is>
          <t>31</t>
        </is>
      </c>
      <c r="K395" s="198" t="inlineStr">
        <is>
          <t>PYC</t>
        </is>
      </c>
      <c r="L395" s="199" t="inlineStr">
        <is>
          <t>Phiếu yêu cầu nghiệm thu</t>
        </is>
      </c>
      <c r="M395" s="199" t="n"/>
      <c r="N395" s="199" t="n"/>
      <c r="O395" s="200" t="inlineStr">
        <is>
          <t>Cầu Km19+529.080</t>
        </is>
      </c>
      <c r="P395" s="201" t="n"/>
      <c r="Q395" s="201" t="n"/>
      <c r="R395" s="201">
        <f>+S390+28</f>
        <v/>
      </c>
      <c r="S395" s="201" t="n"/>
      <c r="T395" s="201" t="n"/>
      <c r="U395" s="201" t="n"/>
      <c r="V395" s="201" t="n"/>
      <c r="W395" s="202" t="n"/>
      <c r="X395" s="202" t="n"/>
      <c r="Y395" s="202" t="n"/>
      <c r="Z395" s="202" t="n"/>
      <c r="AA395" s="203" t="n"/>
      <c r="AB395" s="204" t="inlineStr">
        <is>
          <t>09-XL-307HG/PYCNT/CKN/T1/C3</t>
        </is>
      </c>
      <c r="AC395" s="205" t="inlineStr"/>
      <c r="AD395" s="205" t="n"/>
      <c r="AE395" s="205" t="n"/>
      <c r="AF395" s="205" t="n"/>
      <c r="AG395" s="205" t="inlineStr">
        <is>
          <t>NTCV;BBKTĐK</t>
        </is>
      </c>
      <c r="AH395" s="204" t="n">
        <v>12</v>
      </c>
      <c r="AI395" s="202" t="n"/>
      <c r="AJ395" s="202" t="n"/>
      <c r="AK395" s="206" t="n"/>
      <c r="AL395" s="202" t="n"/>
      <c r="AM395" s="202" t="n"/>
      <c r="AN395" s="202" t="n"/>
      <c r="AO395" s="202" t="n"/>
      <c r="AP395" s="207" t="n"/>
      <c r="AQ395" s="207" t="n"/>
      <c r="AR395" s="202" t="inlineStr">
        <is>
          <t>Nhóm 1</t>
        </is>
      </c>
      <c r="AS395" s="202" t="n"/>
      <c r="AT395" s="202" t="inlineStr">
        <is>
          <t>HM09</t>
        </is>
      </c>
      <c r="AU395" s="202" t="inlineStr">
        <is>
          <t>PYC</t>
        </is>
      </c>
      <c r="AV395" s="202" t="n">
        <v>164</v>
      </c>
      <c r="AW395" s="202" t="n">
        <v>4</v>
      </c>
      <c r="AX395" s="202" t="n"/>
    </row>
    <row r="396" ht="28" customHeight="1" s="672">
      <c r="A396" s="56" t="inlineStr">
        <is>
          <t>NTCV</t>
        </is>
      </c>
      <c r="B396" s="56" t="inlineStr">
        <is>
          <t>K.9999</t>
        </is>
      </c>
      <c r="C396" s="56" t="inlineStr">
        <is>
          <t>NTCV.0895446</t>
        </is>
      </c>
      <c r="D396" s="57" t="n"/>
      <c r="E396" s="57" t="n"/>
      <c r="F396" s="57" t="n"/>
      <c r="G396" s="57" t="n"/>
      <c r="H396" s="57" t="n"/>
      <c r="J396" s="209" t="inlineStr">
        <is>
          <t>32</t>
        </is>
      </c>
      <c r="K396" s="209" t="inlineStr">
        <is>
          <t>K.9999</t>
        </is>
      </c>
      <c r="L396" s="210" t="inlineStr">
        <is>
          <t>Đập đầu cọc khoan nhồi Trụ T1 - Cọc C3</t>
        </is>
      </c>
      <c r="M396" s="210" t="n"/>
      <c r="N396" s="210" t="n"/>
      <c r="O396" s="211" t="inlineStr">
        <is>
          <t>Cầu Km19+529.080</t>
        </is>
      </c>
      <c r="P396" s="212">
        <f>S394</f>
        <v/>
      </c>
      <c r="Q396" s="212">
        <f>P396</f>
        <v/>
      </c>
      <c r="R396" s="212">
        <f>Q396-1</f>
        <v/>
      </c>
      <c r="S396" s="212">
        <f>Q396</f>
        <v/>
      </c>
      <c r="T396" s="213" t="n">
        <v>0.3541666666666667</v>
      </c>
      <c r="U396" s="213">
        <f>T396+V396</f>
        <v/>
      </c>
      <c r="V396" s="213" t="n">
        <v>0.0625</v>
      </c>
      <c r="W396" s="214">
        <f>TEXT(T396,"HH""h""MM'")&amp;"÷"&amp;TEXT(U396,"HH""h""MM'")</f>
        <v/>
      </c>
      <c r="X396" s="214" t="n"/>
      <c r="Y396" s="214" t="n"/>
      <c r="Z396" s="214" t="n"/>
      <c r="AA396" s="215" t="inlineStr">
        <is>
          <t>Theo dõi nén mẫu R28 Cọc khoan nhồi Trụ T1 - Cọc C3</t>
        </is>
      </c>
      <c r="AB396" s="204" t="inlineStr">
        <is>
          <t>09-XL-307HG/PYCNT/CKN/T1/C3-4</t>
        </is>
      </c>
      <c r="AC396" s="204" t="inlineStr">
        <is>
          <t>09-XL-307HG/BBNT/CKN/T1/C3-13</t>
        </is>
      </c>
      <c r="AD396" s="204" t="n"/>
      <c r="AE396" s="204" t="n"/>
      <c r="AF396" s="204" t="n"/>
      <c r="AG396" s="204" t="n"/>
      <c r="AH396" s="204" t="n"/>
      <c r="AI396" s="214" t="n"/>
      <c r="AJ396" s="214" t="n"/>
      <c r="AK396" s="217" t="n"/>
      <c r="AL396" s="214" t="n"/>
      <c r="AM396" s="214" t="n"/>
      <c r="AN396" s="214" t="n"/>
      <c r="AO396" s="214" t="n"/>
      <c r="AP396" s="216" t="n"/>
      <c r="AQ396" s="216" t="n"/>
      <c r="AR396" s="214" t="inlineStr">
        <is>
          <t>Nhóm 1</t>
        </is>
      </c>
      <c r="AS396" s="214" t="n"/>
      <c r="AT396" s="214" t="inlineStr">
        <is>
          <t>HM09</t>
        </is>
      </c>
      <c r="AU396" s="214" t="inlineStr">
        <is>
          <t>NTCV</t>
        </is>
      </c>
      <c r="AV396" s="214" t="n">
        <v>208</v>
      </c>
      <c r="AW396" s="214" t="n">
        <v>12</v>
      </c>
      <c r="AX396" s="214" t="n"/>
    </row>
    <row r="397">
      <c r="A397" s="56" t="inlineStr">
        <is>
          <t>HM</t>
        </is>
      </c>
      <c r="B397" s="56" t="inlineStr">
        <is>
          <t>HM</t>
        </is>
      </c>
      <c r="C397" s="56" t="inlineStr">
        <is>
          <t>HM.0111432</t>
        </is>
      </c>
      <c r="D397" s="57" t="n"/>
      <c r="E397" s="57" t="n"/>
      <c r="F397" s="57" t="n"/>
      <c r="G397" s="57" t="n"/>
      <c r="H397" s="57" t="n"/>
      <c r="J397" s="246" t="inlineStr">
        <is>
          <t>HM10</t>
        </is>
      </c>
      <c r="K397" s="246" t="inlineStr">
        <is>
          <t>HM</t>
        </is>
      </c>
      <c r="L397" s="247" t="inlineStr">
        <is>
          <t>Trụ T1 - Cọc C4</t>
        </is>
      </c>
      <c r="M397" s="247" t="n"/>
      <c r="N397" s="247" t="n"/>
      <c r="O397" s="248" t="inlineStr">
        <is>
          <t>Cầu Km19+529.080</t>
        </is>
      </c>
      <c r="P397" s="249" t="n"/>
      <c r="Q397" s="249" t="n"/>
      <c r="R397" s="249" t="n"/>
      <c r="S397" s="249" t="n"/>
      <c r="T397" s="249" t="n"/>
      <c r="U397" s="249" t="n"/>
      <c r="V397" s="249" t="n"/>
      <c r="W397" s="250" t="n"/>
      <c r="X397" s="250" t="n"/>
      <c r="Y397" s="250" t="n"/>
      <c r="Z397" s="250" t="n"/>
      <c r="AA397" s="251" t="n"/>
      <c r="AB397" s="252" t="n"/>
      <c r="AC397" s="252" t="inlineStr"/>
      <c r="AD397" s="252" t="n"/>
      <c r="AE397" s="252" t="n"/>
      <c r="AF397" s="252" t="n"/>
      <c r="AG397" s="252" t="n"/>
      <c r="AH397" s="252" t="n"/>
      <c r="AI397" s="250" t="n"/>
      <c r="AJ397" s="250" t="n"/>
      <c r="AK397" s="253" t="n"/>
      <c r="AL397" s="250" t="n"/>
      <c r="AM397" s="250" t="n"/>
      <c r="AN397" s="250" t="n"/>
      <c r="AO397" s="250" t="n"/>
      <c r="AP397" s="254" t="n"/>
      <c r="AQ397" s="254" t="n"/>
      <c r="AR397" s="250" t="n"/>
      <c r="AS397" s="250" t="n"/>
      <c r="AT397" s="250" t="inlineStr">
        <is>
          <t>HM10</t>
        </is>
      </c>
      <c r="AU397" s="250" t="inlineStr">
        <is>
          <t>HM</t>
        </is>
      </c>
      <c r="AV397" s="250" t="n"/>
      <c r="AW397" s="250" t="n"/>
      <c r="AX397" s="250" t="n"/>
    </row>
    <row r="398" ht="28" customFormat="1" customHeight="1" s="70">
      <c r="A398" s="68" t="inlineStr">
        <is>
          <t>BBK_BIA</t>
        </is>
      </c>
      <c r="B398" s="68" t="inlineStr">
        <is>
          <t>TRANGBIA</t>
        </is>
      </c>
      <c r="C398" s="68" t="inlineStr">
        <is>
          <t>BBK_BIA.0652376</t>
        </is>
      </c>
      <c r="D398" s="69" t="n"/>
      <c r="E398" s="69" t="n"/>
      <c r="F398" s="69" t="n"/>
      <c r="G398" s="69" t="n"/>
      <c r="H398" s="69" t="n"/>
      <c r="J398" s="98" t="inlineStr">
        <is>
          <t>01</t>
        </is>
      </c>
      <c r="K398" s="98" t="inlineStr">
        <is>
          <t>TRANGBIA</t>
        </is>
      </c>
      <c r="L398" s="99">
        <f>"Cọc Khoan Nhồi"&amp;" - "&amp;L397</f>
        <v/>
      </c>
      <c r="M398" s="99" t="n"/>
      <c r="N398" s="99" t="n"/>
      <c r="O398" s="100" t="inlineStr">
        <is>
          <t>Cầu Km19+529.080</t>
        </is>
      </c>
      <c r="P398" s="101" t="n"/>
      <c r="Q398" s="101" t="n"/>
      <c r="R398" s="101" t="n"/>
      <c r="S398" s="101" t="n"/>
      <c r="T398" s="101" t="n"/>
      <c r="U398" s="101" t="n"/>
      <c r="V398" s="101" t="n"/>
      <c r="W398" s="102" t="n"/>
      <c r="X398" s="102" t="n"/>
      <c r="Y398" s="102" t="n"/>
      <c r="Z398" s="102" t="n"/>
      <c r="AA398" s="102" t="n"/>
      <c r="AB398" s="102" t="n"/>
      <c r="AC398" s="102" t="inlineStr"/>
      <c r="AD398" s="102" t="n"/>
      <c r="AE398" s="102" t="n"/>
      <c r="AF398" s="102" t="n"/>
      <c r="AG398" s="102" t="n"/>
      <c r="AH398" s="102" t="n"/>
      <c r="AI398" s="102" t="n"/>
      <c r="AJ398" s="102" t="n"/>
      <c r="AK398" s="100" t="n"/>
      <c r="AL398" s="102" t="n"/>
      <c r="AM398" s="102" t="n"/>
      <c r="AN398" s="102" t="n"/>
      <c r="AO398" s="102" t="n"/>
      <c r="AP398" s="103" t="inlineStr">
        <is>
          <t>Kết cấu cọc khoan nhồi mố, trụ</t>
        </is>
      </c>
      <c r="AQ398" s="104" t="n"/>
      <c r="AR398" s="102" t="inlineStr">
        <is>
          <t>Nhóm 1</t>
        </is>
      </c>
      <c r="AS398" s="102" t="n"/>
      <c r="AT398" s="102" t="inlineStr">
        <is>
          <t>HM10</t>
        </is>
      </c>
      <c r="AU398" s="102" t="inlineStr">
        <is>
          <t>TRANGBIA</t>
        </is>
      </c>
      <c r="AV398" s="102" t="n">
        <v>10</v>
      </c>
      <c r="AW398" s="102" t="n">
        <v>1</v>
      </c>
      <c r="AX398" s="102" t="n"/>
    </row>
    <row r="399" customFormat="1" s="70">
      <c r="A399" s="68" t="inlineStr">
        <is>
          <t>BBK_ML</t>
        </is>
      </c>
      <c r="B399" s="68" t="inlineStr">
        <is>
          <t>MUCLUC</t>
        </is>
      </c>
      <c r="C399" s="68" t="inlineStr">
        <is>
          <t>BBK_ML.0900333</t>
        </is>
      </c>
      <c r="D399" s="69" t="n"/>
      <c r="E399" s="69" t="n"/>
      <c r="F399" s="69" t="n"/>
      <c r="G399" s="69" t="n"/>
      <c r="H399" s="69" t="n"/>
      <c r="J399" s="98" t="inlineStr">
        <is>
          <t>02</t>
        </is>
      </c>
      <c r="K399" s="98" t="inlineStr">
        <is>
          <t>MUCLUC</t>
        </is>
      </c>
      <c r="L399" s="99" t="inlineStr">
        <is>
          <t>Danh mục biên bản Kiểm tra/Nghiệm thu</t>
        </is>
      </c>
      <c r="M399" s="99" t="n"/>
      <c r="N399" s="99" t="n"/>
      <c r="O399" s="100" t="inlineStr">
        <is>
          <t>Cầu Km19+529.080</t>
        </is>
      </c>
      <c r="P399" s="101" t="n"/>
      <c r="Q399" s="101" t="n"/>
      <c r="R399" s="101" t="n"/>
      <c r="S399" s="101" t="n"/>
      <c r="T399" s="101" t="n"/>
      <c r="U399" s="101" t="n"/>
      <c r="V399" s="101" t="n"/>
      <c r="W399" s="102" t="n"/>
      <c r="X399" s="102" t="n"/>
      <c r="Y399" s="102" t="n"/>
      <c r="Z399" s="102" t="n"/>
      <c r="AA399" s="102" t="n"/>
      <c r="AB399" s="102" t="n"/>
      <c r="AC399" s="102" t="inlineStr"/>
      <c r="AD399" s="102" t="n"/>
      <c r="AE399" s="102" t="n"/>
      <c r="AF399" s="102" t="n"/>
      <c r="AG399" s="102" t="n"/>
      <c r="AH399" s="102" t="n"/>
      <c r="AI399" s="102" t="n"/>
      <c r="AJ399" s="102" t="n"/>
      <c r="AK399" s="100" t="n"/>
      <c r="AL399" s="102" t="n"/>
      <c r="AM399" s="102" t="n"/>
      <c r="AN399" s="102" t="n"/>
      <c r="AO399" s="102" t="n"/>
      <c r="AP399" s="104" t="n"/>
      <c r="AQ399" s="104" t="n"/>
      <c r="AR399" s="102" t="inlineStr">
        <is>
          <t>Nhóm 1</t>
        </is>
      </c>
      <c r="AS399" s="102" t="n"/>
      <c r="AT399" s="102" t="inlineStr">
        <is>
          <t>HM10</t>
        </is>
      </c>
      <c r="AU399" s="102" t="inlineStr">
        <is>
          <t>MUCLUC</t>
        </is>
      </c>
      <c r="AV399" s="102" t="n">
        <v>10</v>
      </c>
      <c r="AW399" s="102" t="n">
        <v>1</v>
      </c>
      <c r="AX399" s="102" t="n"/>
    </row>
    <row r="400">
      <c r="A400" s="56" t="inlineStr">
        <is>
          <t>BBK680</t>
        </is>
      </c>
      <c r="B400" s="56" t="inlineStr">
        <is>
          <t>PYC</t>
        </is>
      </c>
      <c r="C400" s="56" t="inlineStr">
        <is>
          <t>BBK680.0231596</t>
        </is>
      </c>
      <c r="D400" s="57" t="n"/>
      <c r="E400" s="57" t="n"/>
      <c r="F400" s="57" t="n"/>
      <c r="G400" s="57" t="n"/>
      <c r="H400" s="57" t="n"/>
      <c r="J400" s="198" t="inlineStr">
        <is>
          <t>03</t>
        </is>
      </c>
      <c r="K400" s="198" t="inlineStr">
        <is>
          <t>PYC</t>
        </is>
      </c>
      <c r="L400" s="199" t="inlineStr">
        <is>
          <t>Phiếu yêu cầu nghiệm thu</t>
        </is>
      </c>
      <c r="M400" s="199" t="n"/>
      <c r="N400" s="199" t="n"/>
      <c r="O400" s="200" t="inlineStr">
        <is>
          <t>Cầu Km19+529.080</t>
        </is>
      </c>
      <c r="P400" s="201" t="n"/>
      <c r="Q400" s="201" t="n"/>
      <c r="R400" s="201">
        <f>R401</f>
        <v/>
      </c>
      <c r="S400" s="201" t="n"/>
      <c r="T400" s="201" t="n"/>
      <c r="U400" s="201" t="n"/>
      <c r="V400" s="201" t="n"/>
      <c r="W400" s="202" t="n"/>
      <c r="X400" s="202" t="n"/>
      <c r="Y400" s="202" t="n"/>
      <c r="Z400" s="202" t="n"/>
      <c r="AA400" s="203" t="n"/>
      <c r="AB400" s="204" t="inlineStr">
        <is>
          <t>09-XL-307HG/PYCNT/CKN/T1/C4</t>
        </is>
      </c>
      <c r="AC400" s="205" t="inlineStr"/>
      <c r="AD400" s="205" t="n"/>
      <c r="AE400" s="205" t="n"/>
      <c r="AF400" s="205" t="n"/>
      <c r="AG400" s="205" t="inlineStr">
        <is>
          <t>NTCV;BBKTĐK</t>
        </is>
      </c>
      <c r="AH400" s="204" t="inlineStr">
        <is>
          <t>&gt;=1;&lt;=5</t>
        </is>
      </c>
      <c r="AI400" s="202" t="n"/>
      <c r="AJ400" s="202" t="n"/>
      <c r="AK400" s="206" t="n"/>
      <c r="AL400" s="202" t="n"/>
      <c r="AM400" s="202" t="n"/>
      <c r="AN400" s="202" t="n"/>
      <c r="AO400" s="202" t="n"/>
      <c r="AP400" s="207" t="n"/>
      <c r="AQ400" s="207" t="n"/>
      <c r="AR400" s="202" t="inlineStr">
        <is>
          <t>Nhóm 1</t>
        </is>
      </c>
      <c r="AS400" s="202" t="n"/>
      <c r="AT400" s="202" t="inlineStr">
        <is>
          <t>HM10</t>
        </is>
      </c>
      <c r="AU400" s="202" t="inlineStr">
        <is>
          <t>PYC</t>
        </is>
      </c>
      <c r="AV400" s="202" t="n">
        <v>165</v>
      </c>
      <c r="AW400" s="202" t="n">
        <v>1</v>
      </c>
      <c r="AX400" s="202" t="n"/>
    </row>
    <row r="401" ht="28" customHeight="1" s="672">
      <c r="A401" s="56" t="inlineStr">
        <is>
          <t>BBK884</t>
        </is>
      </c>
      <c r="B401" s="56" t="inlineStr">
        <is>
          <t>BBKTĐK</t>
        </is>
      </c>
      <c r="C401" s="56" t="inlineStr">
        <is>
          <t>BBK884.0949905</t>
        </is>
      </c>
      <c r="D401" s="57" t="n"/>
      <c r="E401" s="57" t="n"/>
      <c r="F401" s="57" t="n"/>
      <c r="G401" s="57" t="n"/>
      <c r="H401" s="57" t="n"/>
      <c r="J401" s="198" t="inlineStr">
        <is>
          <t>04</t>
        </is>
      </c>
      <c r="K401" s="198" t="inlineStr">
        <is>
          <t>BBKTĐK</t>
        </is>
      </c>
      <c r="L401" s="199" t="inlineStr">
        <is>
          <t>Kiểm tra điều kiện trước khi thi công cọc khoan nhồi: Thiết bị, nhân lực, vật tư</t>
        </is>
      </c>
      <c r="M401" s="199" t="n"/>
      <c r="N401" s="199" t="n"/>
      <c r="O401" s="200" t="inlineStr">
        <is>
          <t>Cầu Km19+529.080</t>
        </is>
      </c>
      <c r="P401" s="201" t="n">
        <v>46214</v>
      </c>
      <c r="Q401" s="201">
        <f>P401</f>
        <v/>
      </c>
      <c r="R401" s="201">
        <f>Q401-1</f>
        <v/>
      </c>
      <c r="S401" s="201">
        <f>Q401</f>
        <v/>
      </c>
      <c r="T401" s="208" t="n">
        <v>0.2916666666666667</v>
      </c>
      <c r="U401" s="208">
        <f>T401+V401</f>
        <v/>
      </c>
      <c r="V401" s="208" t="n">
        <v>0.02083333333333333</v>
      </c>
      <c r="W401" s="202">
        <f>TEXT(T401,"HH""h""MM'")&amp;"÷"&amp;TEXT(U401,"HH""h""MM'")</f>
        <v/>
      </c>
      <c r="X401" s="202" t="n"/>
      <c r="Y401" s="202" t="n"/>
      <c r="Z401" s="202" t="inlineStr">
        <is>
          <t>01;</t>
        </is>
      </c>
      <c r="AA401" s="200" t="inlineStr">
        <is>
          <t>Kiểm tra điều kiện trước khi thi công Cọc khoan nhồi Trụ T1 - Cọc C4</t>
        </is>
      </c>
      <c r="AB401" s="205" t="inlineStr">
        <is>
          <t>09-XL-307HG/PYCNT/CKN/T1/C4-1</t>
        </is>
      </c>
      <c r="AC401" s="205" t="inlineStr">
        <is>
          <t>09-XL-307HG/BBNT/CKN/T1/C4-1</t>
        </is>
      </c>
      <c r="AD401" s="205" t="n"/>
      <c r="AE401" s="205" t="n"/>
      <c r="AF401" s="205" t="n"/>
      <c r="AG401" s="205" t="n"/>
      <c r="AH401" s="205" t="n"/>
      <c r="AI401" s="207" t="n"/>
      <c r="AJ401" s="214" t="n"/>
      <c r="AK401" s="217" t="n"/>
      <c r="AL401" s="214" t="n"/>
      <c r="AM401" s="214" t="n"/>
      <c r="AN401" s="214" t="n"/>
      <c r="AO401" s="202" t="n"/>
      <c r="AP401" s="207" t="n"/>
      <c r="AQ401" s="207" t="n"/>
      <c r="AR401" s="202" t="inlineStr">
        <is>
          <t>Nhóm 1</t>
        </is>
      </c>
      <c r="AS401" s="202" t="n"/>
      <c r="AT401" s="202" t="inlineStr">
        <is>
          <t>HM10</t>
        </is>
      </c>
      <c r="AU401" s="202" t="inlineStr">
        <is>
          <t>BBKTĐK</t>
        </is>
      </c>
      <c r="AV401" s="202" t="n">
        <v>9</v>
      </c>
      <c r="AW401" s="202" t="n">
        <v>1</v>
      </c>
      <c r="AX401" s="202" t="n"/>
    </row>
    <row r="402" ht="28" customHeight="1" s="672">
      <c r="A402" s="56" t="inlineStr">
        <is>
          <t>BBK860</t>
        </is>
      </c>
      <c r="B402" s="56" t="inlineStr">
        <is>
          <t>PL01</t>
        </is>
      </c>
      <c r="C402" s="56" t="inlineStr">
        <is>
          <t>BBK860.0846187</t>
        </is>
      </c>
      <c r="D402" s="57" t="n"/>
      <c r="E402" s="57" t="n"/>
      <c r="F402" s="57" t="n"/>
      <c r="G402" s="57" t="n"/>
      <c r="H402" s="57" t="n"/>
      <c r="J402" s="198" t="inlineStr">
        <is>
          <t>05</t>
        </is>
      </c>
      <c r="K402" s="198" t="inlineStr">
        <is>
          <t>PL01</t>
        </is>
      </c>
      <c r="L402" s="199" t="inlineStr">
        <is>
          <t>Máy móc, thiết bị, nhân lực, vật tư thi công cọc khoan nhồi</t>
        </is>
      </c>
      <c r="M402" s="199" t="n"/>
      <c r="N402" s="199" t="n"/>
      <c r="O402" s="199" t="inlineStr">
        <is>
          <t>Cầu Km19+529.080</t>
        </is>
      </c>
      <c r="P402" s="201" t="n"/>
      <c r="Q402" s="201" t="n"/>
      <c r="R402" s="201" t="n"/>
      <c r="S402" s="201">
        <f>S401</f>
        <v/>
      </c>
      <c r="T402" s="201" t="n"/>
      <c r="U402" s="201" t="n"/>
      <c r="V402" s="201" t="n"/>
      <c r="W402" s="202" t="n"/>
      <c r="X402" s="202" t="n"/>
      <c r="Y402" s="202" t="n"/>
      <c r="Z402" s="198" t="inlineStr">
        <is>
          <t>01</t>
        </is>
      </c>
      <c r="AA402" s="203" t="n"/>
      <c r="AB402" s="204" t="inlineStr">
        <is>
          <t>09-XL-307HG/PYCNT/CKN/T1/C4-1</t>
        </is>
      </c>
      <c r="AC402" s="204">
        <f>AC401</f>
        <v/>
      </c>
      <c r="AD402" s="204" t="n"/>
      <c r="AE402" s="204" t="n"/>
      <c r="AF402" s="204" t="n"/>
      <c r="AG402" s="204" t="n"/>
      <c r="AH402" s="204" t="inlineStr">
        <is>
          <t>CKN</t>
        </is>
      </c>
      <c r="AI402" s="207" t="n"/>
      <c r="AJ402" s="202" t="n"/>
      <c r="AK402" s="206" t="n"/>
      <c r="AL402" s="202" t="n"/>
      <c r="AM402" s="202" t="n"/>
      <c r="AN402" s="202" t="n"/>
      <c r="AO402" s="202" t="n"/>
      <c r="AP402" s="207" t="n"/>
      <c r="AQ402" s="207" t="n"/>
      <c r="AR402" s="202" t="inlineStr">
        <is>
          <t>Nhóm 1</t>
        </is>
      </c>
      <c r="AS402" s="202" t="n"/>
      <c r="AT402" s="202" t="inlineStr">
        <is>
          <t>HM10</t>
        </is>
      </c>
      <c r="AU402" s="202" t="inlineStr">
        <is>
          <t>PL01</t>
        </is>
      </c>
      <c r="AV402" s="202" t="n">
        <v>9</v>
      </c>
      <c r="AW402" s="202" t="n">
        <v>1</v>
      </c>
      <c r="AX402" s="202" t="n"/>
    </row>
    <row r="403" ht="42" customHeight="1" s="672">
      <c r="A403" s="56" t="inlineStr">
        <is>
          <t>NTCV</t>
        </is>
      </c>
      <c r="B403" s="56" t="inlineStr">
        <is>
          <t>K.9999</t>
        </is>
      </c>
      <c r="C403" s="56" t="inlineStr">
        <is>
          <t>NTCV.0441216</t>
        </is>
      </c>
      <c r="D403" s="57" t="n"/>
      <c r="E403" s="57" t="n"/>
      <c r="F403" s="57" t="n"/>
      <c r="G403" s="57" t="n"/>
      <c r="H403" s="57" t="n"/>
      <c r="J403" s="209" t="inlineStr">
        <is>
          <t>06</t>
        </is>
      </c>
      <c r="K403" s="209" t="inlineStr">
        <is>
          <t>K.9999</t>
        </is>
      </c>
      <c r="L403" s="210" t="inlineStr">
        <is>
          <t>Kiểm tra ống vách, dung dịch bentonite trước khi khoan cọc khoan nhồi</t>
        </is>
      </c>
      <c r="M403" s="210" t="n"/>
      <c r="N403" s="210" t="n"/>
      <c r="O403" s="211" t="inlineStr">
        <is>
          <t>Cầu Km19+529.080</t>
        </is>
      </c>
      <c r="P403" s="212">
        <f>S401</f>
        <v/>
      </c>
      <c r="Q403" s="212">
        <f>P403</f>
        <v/>
      </c>
      <c r="R403" s="212">
        <f>Q403-1</f>
        <v/>
      </c>
      <c r="S403" s="212">
        <f>Q403</f>
        <v/>
      </c>
      <c r="T403" s="213">
        <f>U401</f>
        <v/>
      </c>
      <c r="U403" s="213">
        <f>T403+V403</f>
        <v/>
      </c>
      <c r="V403" s="213" t="n">
        <v>0.02083333333333333</v>
      </c>
      <c r="W403" s="214">
        <f>TEXT(T403,"HH""h""MM'")&amp;"÷"&amp;TEXT(U403,"HH""h""MM'")</f>
        <v/>
      </c>
      <c r="X403" s="214" t="n"/>
      <c r="Y403" s="214" t="n"/>
      <c r="Z403" s="214" t="inlineStr">
        <is>
          <t>02; 02a</t>
        </is>
      </c>
      <c r="AA403" s="215" t="inlineStr">
        <is>
          <t>Kiểm tra ống vách, dung dịch bentonite Cọc khoan nhồi Trụ T1 - Cọc C4 trước khi khoan</t>
        </is>
      </c>
      <c r="AB403" s="204" t="inlineStr">
        <is>
          <t>09-XL-307HG/PYCNT/CKN/T1/C4-1</t>
        </is>
      </c>
      <c r="AC403" s="204" t="inlineStr">
        <is>
          <t>09-XL-307HG/BBNT/CKN/T1/C4-2</t>
        </is>
      </c>
      <c r="AD403" s="204" t="n"/>
      <c r="AE403" s="204" t="n"/>
      <c r="AF403" s="204" t="n"/>
      <c r="AG403" s="204" t="n"/>
      <c r="AH403" s="204" t="n"/>
      <c r="AI403" s="216" t="n"/>
      <c r="AJ403" s="214" t="n"/>
      <c r="AK403" s="217" t="n"/>
      <c r="AL403" s="214" t="n"/>
      <c r="AM403" s="214" t="n"/>
      <c r="AN403" s="214" t="n"/>
      <c r="AO403" s="214" t="n"/>
      <c r="AP403" s="216" t="n"/>
      <c r="AQ403" s="216" t="n"/>
      <c r="AR403" s="214" t="inlineStr">
        <is>
          <t>Nhóm 1</t>
        </is>
      </c>
      <c r="AS403" s="214" t="n"/>
      <c r="AT403" s="214" t="inlineStr">
        <is>
          <t>HM10</t>
        </is>
      </c>
      <c r="AU403" s="214" t="inlineStr">
        <is>
          <t>NTCV</t>
        </is>
      </c>
      <c r="AV403" s="214" t="n">
        <v>134</v>
      </c>
      <c r="AW403" s="214" t="n">
        <v>1</v>
      </c>
      <c r="AX403" s="214" t="n"/>
    </row>
    <row r="404">
      <c r="A404" s="56" t="inlineStr">
        <is>
          <t>BBK170</t>
        </is>
      </c>
      <c r="B404" s="56" t="inlineStr">
        <is>
          <t>PL02</t>
        </is>
      </c>
      <c r="C404" s="56" t="inlineStr">
        <is>
          <t>BBK170.0492006</t>
        </is>
      </c>
      <c r="D404" s="57" t="n"/>
      <c r="E404" s="57" t="n"/>
      <c r="F404" s="57" t="n"/>
      <c r="G404" s="57" t="n"/>
      <c r="H404" s="57" t="n"/>
      <c r="J404" s="198" t="inlineStr">
        <is>
          <t>07</t>
        </is>
      </c>
      <c r="K404" s="198" t="inlineStr">
        <is>
          <t>PL02</t>
        </is>
      </c>
      <c r="L404" s="199" t="inlineStr">
        <is>
          <t>Kiểm tra ống vách thi công trước khi hạ</t>
        </is>
      </c>
      <c r="M404" s="199" t="n"/>
      <c r="N404" s="199" t="n"/>
      <c r="O404" s="200" t="inlineStr">
        <is>
          <t>Cầu Km19+529.080</t>
        </is>
      </c>
      <c r="P404" s="201" t="n"/>
      <c r="Q404" s="201" t="n"/>
      <c r="R404" s="201" t="n"/>
      <c r="S404" s="201">
        <f>S403</f>
        <v/>
      </c>
      <c r="T404" s="201" t="n"/>
      <c r="U404" s="201" t="n"/>
      <c r="V404" s="201" t="n"/>
      <c r="W404" s="202" t="n"/>
      <c r="X404" s="202" t="n"/>
      <c r="Y404" s="202" t="n"/>
      <c r="Z404" s="198" t="inlineStr">
        <is>
          <t>02</t>
        </is>
      </c>
      <c r="AA404" s="203" t="n"/>
      <c r="AB404" s="204" t="inlineStr">
        <is>
          <t>09-XL-307HG/PYCNT/CKN/T1/C4-1</t>
        </is>
      </c>
      <c r="AC404" s="204">
        <f>AC403</f>
        <v/>
      </c>
      <c r="AD404" s="204" t="n"/>
      <c r="AE404" s="204" t="n"/>
      <c r="AF404" s="204" t="n"/>
      <c r="AG404" s="204" t="n"/>
      <c r="AH404" s="204" t="inlineStr">
        <is>
          <t>CKN</t>
        </is>
      </c>
      <c r="AI404" s="207" t="n"/>
      <c r="AJ404" s="202" t="n"/>
      <c r="AK404" s="206" t="n"/>
      <c r="AL404" s="202" t="n"/>
      <c r="AM404" s="202" t="n"/>
      <c r="AN404" s="202" t="n"/>
      <c r="AO404" s="202" t="n"/>
      <c r="AP404" s="207" t="n"/>
      <c r="AQ404" s="207" t="inlineStr">
        <is>
          <t>Ảnh\PL02 CKN.png</t>
        </is>
      </c>
      <c r="AR404" s="202" t="inlineStr">
        <is>
          <t>Nhóm 1</t>
        </is>
      </c>
      <c r="AS404" s="202" t="n"/>
      <c r="AT404" s="202" t="inlineStr">
        <is>
          <t>HM10</t>
        </is>
      </c>
      <c r="AU404" s="202" t="inlineStr">
        <is>
          <t>PL02</t>
        </is>
      </c>
      <c r="AV404" s="202" t="n">
        <v>9</v>
      </c>
      <c r="AW404" s="202" t="n">
        <v>1</v>
      </c>
      <c r="AX404" s="202" t="n"/>
    </row>
    <row r="405">
      <c r="A405" s="56" t="inlineStr">
        <is>
          <t>BBK721</t>
        </is>
      </c>
      <c r="B405" s="56" t="inlineStr">
        <is>
          <t>PL02a</t>
        </is>
      </c>
      <c r="C405" s="56" t="inlineStr">
        <is>
          <t>BBK721.0769506</t>
        </is>
      </c>
      <c r="D405" s="57" t="n"/>
      <c r="E405" s="57" t="n"/>
      <c r="F405" s="57" t="n"/>
      <c r="G405" s="57" t="n"/>
      <c r="H405" s="57" t="n"/>
      <c r="J405" s="198" t="inlineStr">
        <is>
          <t>08</t>
        </is>
      </c>
      <c r="K405" s="198" t="inlineStr">
        <is>
          <t>PL02a</t>
        </is>
      </c>
      <c r="L405" s="199" t="inlineStr">
        <is>
          <t>Kiểm tra ống vách thi công trước khi hạ</t>
        </is>
      </c>
      <c r="M405" s="199" t="n"/>
      <c r="N405" s="199" t="n"/>
      <c r="O405" s="200" t="inlineStr">
        <is>
          <t>Cầu Km19+529.080</t>
        </is>
      </c>
      <c r="P405" s="201" t="n"/>
      <c r="Q405" s="201" t="n"/>
      <c r="R405" s="201" t="n"/>
      <c r="S405" s="201">
        <f>S404</f>
        <v/>
      </c>
      <c r="T405" s="201" t="n"/>
      <c r="U405" s="201" t="n"/>
      <c r="V405" s="201" t="n"/>
      <c r="W405" s="202" t="n"/>
      <c r="X405" s="202" t="n"/>
      <c r="Y405" s="202" t="n"/>
      <c r="Z405" s="198" t="inlineStr">
        <is>
          <t>02a</t>
        </is>
      </c>
      <c r="AA405" s="203" t="n"/>
      <c r="AB405" s="204" t="inlineStr">
        <is>
          <t>09-XL-307HG/PYCNT/CKN/T1/C4-1</t>
        </is>
      </c>
      <c r="AC405" s="204">
        <f>AC404</f>
        <v/>
      </c>
      <c r="AD405" s="204" t="n"/>
      <c r="AE405" s="204" t="n"/>
      <c r="AF405" s="204" t="n"/>
      <c r="AG405" s="204" t="n"/>
      <c r="AH405" s="204" t="n"/>
      <c r="AI405" s="207" t="n"/>
      <c r="AJ405" s="202" t="n"/>
      <c r="AK405" s="206" t="n"/>
      <c r="AL405" s="202" t="n"/>
      <c r="AM405" s="202" t="n"/>
      <c r="AN405" s="202" t="n"/>
      <c r="AO405" s="202" t="n"/>
      <c r="AP405" s="207" t="n"/>
      <c r="AQ405" s="207" t="n"/>
      <c r="AR405" s="202" t="inlineStr">
        <is>
          <t>Nhóm 1</t>
        </is>
      </c>
      <c r="AS405" s="202" t="n"/>
      <c r="AT405" s="202" t="inlineStr">
        <is>
          <t>HM10</t>
        </is>
      </c>
      <c r="AU405" s="202" t="inlineStr">
        <is>
          <t>PL02a</t>
        </is>
      </c>
      <c r="AV405" s="202" t="n">
        <v>9</v>
      </c>
      <c r="AW405" s="202" t="n">
        <v>1</v>
      </c>
      <c r="AX405" s="202" t="n"/>
    </row>
    <row r="406" ht="28" customHeight="1" s="672">
      <c r="A406" s="56" t="inlineStr">
        <is>
          <t>NTCV</t>
        </is>
      </c>
      <c r="B406" s="56" t="inlineStr">
        <is>
          <t>K.9999</t>
        </is>
      </c>
      <c r="C406" s="56" t="inlineStr">
        <is>
          <t>NTCV.0834893</t>
        </is>
      </c>
      <c r="D406" s="57" t="n"/>
      <c r="E406" s="57" t="n"/>
      <c r="F406" s="57" t="n"/>
      <c r="G406" s="57" t="n"/>
      <c r="H406" s="57" t="n"/>
      <c r="J406" s="209" t="inlineStr">
        <is>
          <t>09</t>
        </is>
      </c>
      <c r="K406" s="209" t="inlineStr">
        <is>
          <t>K.9999</t>
        </is>
      </c>
      <c r="L406" s="210" t="inlineStr">
        <is>
          <t>Kiểm tra định vị tim cọc khoan nhồi, hạ ống vách thi công</t>
        </is>
      </c>
      <c r="M406" s="210" t="n"/>
      <c r="N406" s="210" t="n"/>
      <c r="O406" s="211" t="inlineStr">
        <is>
          <t>Cầu Km19+529.080</t>
        </is>
      </c>
      <c r="P406" s="212">
        <f>S403</f>
        <v/>
      </c>
      <c r="Q406" s="212">
        <f>P406</f>
        <v/>
      </c>
      <c r="R406" s="212">
        <f>Q406-1</f>
        <v/>
      </c>
      <c r="S406" s="212">
        <f>Q406</f>
        <v/>
      </c>
      <c r="T406" s="213">
        <f>U403</f>
        <v/>
      </c>
      <c r="U406" s="213">
        <f>T406+V406</f>
        <v/>
      </c>
      <c r="V406" s="213" t="n">
        <v>0.02083333333333333</v>
      </c>
      <c r="W406" s="214">
        <f>TEXT(T406,"HH""h""MM'")&amp;"÷"&amp;TEXT(U406,"HH""h""MM'")</f>
        <v/>
      </c>
      <c r="X406" s="214" t="n"/>
      <c r="Y406" s="214" t="n"/>
      <c r="Z406" s="214" t="inlineStr">
        <is>
          <t>03;</t>
        </is>
      </c>
      <c r="AA406" s="215" t="inlineStr">
        <is>
          <t>Kiểm tra định vị Cọc khoan nhồi Trụ T1 - Cọc C4</t>
        </is>
      </c>
      <c r="AB406" s="204" t="inlineStr">
        <is>
          <t>09-XL-307HG/PYCNT/CKN/T1/C4-1</t>
        </is>
      </c>
      <c r="AC406" s="204" t="inlineStr">
        <is>
          <t>09-XL-307HG/BBNT/CKN/T1/C4-3</t>
        </is>
      </c>
      <c r="AD406" s="204" t="n"/>
      <c r="AE406" s="204" t="n"/>
      <c r="AF406" s="204" t="n"/>
      <c r="AG406" s="204" t="n"/>
      <c r="AH406" s="204" t="n"/>
      <c r="AI406" s="216" t="n"/>
      <c r="AJ406" s="214" t="n"/>
      <c r="AK406" s="217" t="n"/>
      <c r="AL406" s="214" t="n"/>
      <c r="AM406" s="214" t="n"/>
      <c r="AN406" s="214" t="n"/>
      <c r="AO406" s="214" t="n"/>
      <c r="AP406" s="216" t="n"/>
      <c r="AQ406" s="216" t="n"/>
      <c r="AR406" s="214" t="inlineStr">
        <is>
          <t>Nhóm 1</t>
        </is>
      </c>
      <c r="AS406" s="214" t="n"/>
      <c r="AT406" s="214" t="inlineStr">
        <is>
          <t>HM10</t>
        </is>
      </c>
      <c r="AU406" s="214" t="inlineStr">
        <is>
          <t>NTCV</t>
        </is>
      </c>
      <c r="AV406" s="214" t="n">
        <v>135</v>
      </c>
      <c r="AW406" s="214" t="n">
        <v>2</v>
      </c>
      <c r="AX406" s="214" t="n"/>
    </row>
    <row r="407" ht="28" customHeight="1" s="672">
      <c r="A407" s="56" t="inlineStr">
        <is>
          <t>BBK478</t>
        </is>
      </c>
      <c r="B407" s="56" t="inlineStr">
        <is>
          <t>PL03</t>
        </is>
      </c>
      <c r="C407" s="56" t="inlineStr">
        <is>
          <t>BBK478.0382569</t>
        </is>
      </c>
      <c r="D407" s="57" t="n"/>
      <c r="E407" s="57" t="n"/>
      <c r="F407" s="57" t="n"/>
      <c r="G407" s="57" t="n"/>
      <c r="H407" s="57" t="n"/>
      <c r="J407" s="198" t="inlineStr">
        <is>
          <t>10</t>
        </is>
      </c>
      <c r="K407" s="198" t="inlineStr">
        <is>
          <t>PL03</t>
        </is>
      </c>
      <c r="L407" s="199" t="inlineStr">
        <is>
          <t>Kiểm tra định vị tim cọc khoan nhồi, hạ ống vách thi công</t>
        </is>
      </c>
      <c r="M407" s="199" t="n"/>
      <c r="N407" s="199" t="n"/>
      <c r="O407" s="200" t="inlineStr">
        <is>
          <t>Cầu Km19+529.080</t>
        </is>
      </c>
      <c r="P407" s="201" t="n"/>
      <c r="Q407" s="201" t="n"/>
      <c r="R407" s="201" t="n"/>
      <c r="S407" s="201">
        <f>S406</f>
        <v/>
      </c>
      <c r="T407" s="201" t="n"/>
      <c r="U407" s="201" t="n"/>
      <c r="V407" s="201" t="n"/>
      <c r="W407" s="202" t="n"/>
      <c r="X407" s="202" t="n"/>
      <c r="Y407" s="202" t="n"/>
      <c r="Z407" s="198" t="inlineStr">
        <is>
          <t>03</t>
        </is>
      </c>
      <c r="AA407" s="203" t="n"/>
      <c r="AB407" s="204" t="inlineStr">
        <is>
          <t>09-XL-307HG/PYCNT/CKN/T1/C4-1</t>
        </is>
      </c>
      <c r="AC407" s="204">
        <f>AC406</f>
        <v/>
      </c>
      <c r="AD407" s="204" t="n">
        <v>2481756.259</v>
      </c>
      <c r="AE407" s="255" t="n">
        <v>382403.82</v>
      </c>
      <c r="AF407" s="255" t="n">
        <v>169.36</v>
      </c>
      <c r="AG407" s="255" t="n"/>
      <c r="AH407" s="204" t="inlineStr">
        <is>
          <t>&gt;=115;&lt;=133</t>
        </is>
      </c>
      <c r="AI407" s="207" t="n"/>
      <c r="AJ407" s="202" t="n"/>
      <c r="AK407" s="206" t="n"/>
      <c r="AL407" s="202" t="n"/>
      <c r="AM407" s="202" t="n"/>
      <c r="AN407" s="202" t="n"/>
      <c r="AO407" s="202" t="n"/>
      <c r="AP407" s="207" t="n"/>
      <c r="AQ407" s="207" t="n"/>
      <c r="AR407" s="202" t="inlineStr">
        <is>
          <t>Nhóm 1</t>
        </is>
      </c>
      <c r="AS407" s="202" t="n"/>
      <c r="AT407" s="202" t="inlineStr">
        <is>
          <t>HM10</t>
        </is>
      </c>
      <c r="AU407" s="202" t="inlineStr">
        <is>
          <t>PL03</t>
        </is>
      </c>
      <c r="AV407" s="202" t="n">
        <v>9</v>
      </c>
      <c r="AW407" s="202" t="n">
        <v>1</v>
      </c>
      <c r="AX407" s="202" t="n"/>
    </row>
    <row r="408" ht="28" customHeight="1" s="672">
      <c r="A408" s="56" t="inlineStr">
        <is>
          <t>NTCV</t>
        </is>
      </c>
      <c r="B408" s="56" t="inlineStr">
        <is>
          <t>K.9999</t>
        </is>
      </c>
      <c r="C408" s="56" t="inlineStr">
        <is>
          <t>NTCV.0195534</t>
        </is>
      </c>
      <c r="D408" s="57" t="n"/>
      <c r="E408" s="57" t="n"/>
      <c r="F408" s="57" t="n"/>
      <c r="G408" s="57" t="n"/>
      <c r="H408" s="57" t="n"/>
      <c r="J408" s="209" t="inlineStr">
        <is>
          <t>11</t>
        </is>
      </c>
      <c r="K408" s="209" t="inlineStr">
        <is>
          <t>K.9999</t>
        </is>
      </c>
      <c r="L408" s="210" t="inlineStr">
        <is>
          <t>Nghiệm thu lồng thép cọc khoan nhồi trước khi hạ</t>
        </is>
      </c>
      <c r="M408" s="210" t="n"/>
      <c r="N408" s="210" t="n"/>
      <c r="O408" s="211" t="inlineStr">
        <is>
          <t>Cầu Km19+529.080</t>
        </is>
      </c>
      <c r="P408" s="212">
        <f>S406</f>
        <v/>
      </c>
      <c r="Q408" s="212">
        <f>P408</f>
        <v/>
      </c>
      <c r="R408" s="212">
        <f>Q408-1</f>
        <v/>
      </c>
      <c r="S408" s="212">
        <f>Q408</f>
        <v/>
      </c>
      <c r="T408" s="213">
        <f>U406</f>
        <v/>
      </c>
      <c r="U408" s="213">
        <f>T408+V408</f>
        <v/>
      </c>
      <c r="V408" s="213" t="n">
        <v>0.02083333333333333</v>
      </c>
      <c r="W408" s="214">
        <f>TEXT(T408,"HH""h""MM'")&amp;"÷"&amp;TEXT(U408,"HH""h""MM'")</f>
        <v/>
      </c>
      <c r="X408" s="214" t="n"/>
      <c r="Y408" s="214" t="n"/>
      <c r="Z408" s="214" t="inlineStr">
        <is>
          <t>04;</t>
        </is>
      </c>
      <c r="AA408" s="215" t="inlineStr">
        <is>
          <t>Nghiệm thu lồng thép Cọc khoan nhồi Trụ T1 - Cọc C4</t>
        </is>
      </c>
      <c r="AB408" s="204" t="inlineStr">
        <is>
          <t>09-XL-307HG/PYCNT/CKN/T1/C4-1</t>
        </is>
      </c>
      <c r="AC408" s="204" t="inlineStr">
        <is>
          <t>09-XL-307HG/BBNT/CKN/T1/C4-4</t>
        </is>
      </c>
      <c r="AD408" s="204" t="n"/>
      <c r="AE408" s="204" t="n"/>
      <c r="AF408" s="204" t="n"/>
      <c r="AG408" s="204" t="n"/>
      <c r="AH408" s="204" t="n"/>
      <c r="AI408" s="216" t="n"/>
      <c r="AJ408" s="214" t="n"/>
      <c r="AK408" s="217" t="n"/>
      <c r="AL408" s="214" t="n"/>
      <c r="AM408" s="214" t="n"/>
      <c r="AN408" s="214" t="n"/>
      <c r="AO408" s="214" t="n"/>
      <c r="AP408" s="216" t="n"/>
      <c r="AQ408" s="216" t="n"/>
      <c r="AR408" s="214" t="inlineStr">
        <is>
          <t>Nhóm 1</t>
        </is>
      </c>
      <c r="AS408" s="214" t="n"/>
      <c r="AT408" s="214" t="inlineStr">
        <is>
          <t>HM10</t>
        </is>
      </c>
      <c r="AU408" s="214" t="inlineStr">
        <is>
          <t>NTCV</t>
        </is>
      </c>
      <c r="AV408" s="214" t="n">
        <v>138</v>
      </c>
      <c r="AW408" s="214" t="n">
        <v>3</v>
      </c>
      <c r="AX408" s="214" t="n"/>
    </row>
    <row r="409">
      <c r="A409" s="56" t="inlineStr">
        <is>
          <t>BBK096</t>
        </is>
      </c>
      <c r="B409" s="56" t="inlineStr">
        <is>
          <t>PL04</t>
        </is>
      </c>
      <c r="C409" s="56" t="inlineStr">
        <is>
          <t>BBK096.0326157</t>
        </is>
      </c>
      <c r="D409" s="57" t="n"/>
      <c r="E409" s="57" t="n"/>
      <c r="F409" s="57" t="n"/>
      <c r="G409" s="57" t="n"/>
      <c r="H409" s="57" t="n"/>
      <c r="J409" s="198" t="inlineStr">
        <is>
          <t>12</t>
        </is>
      </c>
      <c r="K409" s="198" t="inlineStr">
        <is>
          <t>PL04</t>
        </is>
      </c>
      <c r="L409" s="199" t="inlineStr">
        <is>
          <t>Nghiệm thu lồng thép cọc khoan nhồi trước khi hạ</t>
        </is>
      </c>
      <c r="M409" s="199" t="n"/>
      <c r="N409" s="199" t="n"/>
      <c r="O409" s="200" t="inlineStr">
        <is>
          <t>Cầu Km19+529.080</t>
        </is>
      </c>
      <c r="P409" s="201" t="n"/>
      <c r="Q409" s="201" t="n"/>
      <c r="R409" s="201" t="n"/>
      <c r="S409" s="201">
        <f>S408</f>
        <v/>
      </c>
      <c r="T409" s="201" t="n"/>
      <c r="U409" s="201" t="n"/>
      <c r="V409" s="201" t="n"/>
      <c r="W409" s="202" t="n"/>
      <c r="X409" s="202" t="n"/>
      <c r="Y409" s="202" t="n"/>
      <c r="Z409" s="198" t="inlineStr">
        <is>
          <t>04</t>
        </is>
      </c>
      <c r="AA409" s="203" t="n"/>
      <c r="AB409" s="204" t="inlineStr">
        <is>
          <t>09-XL-307HG/PYCNT/CKN/T1/C4-1</t>
        </is>
      </c>
      <c r="AC409" s="204">
        <f>AC408</f>
        <v/>
      </c>
      <c r="AD409" s="204" t="n"/>
      <c r="AE409" s="204" t="n"/>
      <c r="AF409" s="204" t="n"/>
      <c r="AG409" s="204" t="n"/>
      <c r="AH409" s="204" t="inlineStr">
        <is>
          <t>T1</t>
        </is>
      </c>
      <c r="AI409" s="207" t="n"/>
      <c r="AJ409" s="202" t="n"/>
      <c r="AK409" s="206" t="n"/>
      <c r="AL409" s="202" t="n"/>
      <c r="AM409" s="202" t="n"/>
      <c r="AN409" s="202" t="n"/>
      <c r="AO409" s="202" t="n"/>
      <c r="AP409" s="207" t="n"/>
      <c r="AQ409" s="207" t="n"/>
      <c r="AR409" s="202" t="inlineStr">
        <is>
          <t>Nhóm 1</t>
        </is>
      </c>
      <c r="AS409" s="202" t="n"/>
      <c r="AT409" s="202" t="inlineStr">
        <is>
          <t>HM10</t>
        </is>
      </c>
      <c r="AU409" s="202" t="inlineStr">
        <is>
          <t>PL04</t>
        </is>
      </c>
      <c r="AV409" s="202" t="n">
        <v>9</v>
      </c>
      <c r="AW409" s="202" t="n">
        <v>1</v>
      </c>
      <c r="AX409" s="202" t="n"/>
    </row>
    <row r="410" ht="28" customHeight="1" s="672">
      <c r="A410" s="56" t="inlineStr">
        <is>
          <t>NTCV</t>
        </is>
      </c>
      <c r="B410" s="56" t="inlineStr">
        <is>
          <t>K.9999</t>
        </is>
      </c>
      <c r="C410" s="56" t="inlineStr">
        <is>
          <t>NTCV.0413233</t>
        </is>
      </c>
      <c r="D410" s="57" t="n"/>
      <c r="E410" s="57" t="n"/>
      <c r="F410" s="57" t="n"/>
      <c r="G410" s="57" t="n"/>
      <c r="H410" s="57" t="n"/>
      <c r="J410" s="209" t="inlineStr">
        <is>
          <t>13</t>
        </is>
      </c>
      <c r="K410" s="209" t="inlineStr">
        <is>
          <t>K.9999</t>
        </is>
      </c>
      <c r="L410" s="210" t="inlineStr">
        <is>
          <t xml:space="preserve">Kiểm tra công tác khoan tạo lỗ cọc khoan nhồi </t>
        </is>
      </c>
      <c r="M410" s="210" t="n"/>
      <c r="N410" s="210" t="n"/>
      <c r="O410" s="211" t="inlineStr">
        <is>
          <t>Cầu Km19+529.080</t>
        </is>
      </c>
      <c r="P410" s="212">
        <f>S408</f>
        <v/>
      </c>
      <c r="Q410" s="212">
        <f>P410</f>
        <v/>
      </c>
      <c r="R410" s="212">
        <f>Q410-1</f>
        <v/>
      </c>
      <c r="S410" s="212">
        <f>Q410</f>
        <v/>
      </c>
      <c r="T410" s="213">
        <f>U408</f>
        <v/>
      </c>
      <c r="U410" s="213">
        <f>T410+V410</f>
        <v/>
      </c>
      <c r="V410" s="213" t="n">
        <v>0.375</v>
      </c>
      <c r="W410" s="214">
        <f>TEXT(T410,"HH""h""MM'")&amp;"÷"&amp;TEXT(U410,"HH""h""MM'")</f>
        <v/>
      </c>
      <c r="X410" s="214" t="n"/>
      <c r="Y410" s="214" t="n"/>
      <c r="Z410" s="214" t="inlineStr">
        <is>
          <t>05;</t>
        </is>
      </c>
      <c r="AA410" s="215" t="inlineStr">
        <is>
          <t>Kiểm tra công tác khoan tạo lỗ Cọc khoan nhồi Trụ T1 - Cọc C4</t>
        </is>
      </c>
      <c r="AB410" s="204" t="inlineStr">
        <is>
          <t>09-XL-307HG/PYCNT/CKN/T1/C4-1</t>
        </is>
      </c>
      <c r="AC410" s="204" t="inlineStr">
        <is>
          <t>09-XL-307HG/BBNT/CKN/T1/C4-5</t>
        </is>
      </c>
      <c r="AD410" s="204" t="n"/>
      <c r="AE410" s="204" t="n"/>
      <c r="AF410" s="204" t="n"/>
      <c r="AG410" s="204" t="n"/>
      <c r="AH410" s="204" t="n"/>
      <c r="AI410" s="216" t="n"/>
      <c r="AJ410" s="214" t="n"/>
      <c r="AK410" s="217" t="n"/>
      <c r="AL410" s="214" t="n"/>
      <c r="AM410" s="214" t="n"/>
      <c r="AN410" s="214" t="n"/>
      <c r="AO410" s="214" t="n"/>
      <c r="AP410" s="216" t="n"/>
      <c r="AQ410" s="216" t="n"/>
      <c r="AR410" s="214" t="inlineStr">
        <is>
          <t>Nhóm 1</t>
        </is>
      </c>
      <c r="AS410" s="214" t="n"/>
      <c r="AT410" s="214" t="inlineStr">
        <is>
          <t>HM10</t>
        </is>
      </c>
      <c r="AU410" s="214" t="inlineStr">
        <is>
          <t>NTCV</t>
        </is>
      </c>
      <c r="AV410" s="214" t="n">
        <v>139</v>
      </c>
      <c r="AW410" s="214" t="n">
        <v>4</v>
      </c>
      <c r="AX410" s="214" t="n"/>
    </row>
    <row r="411">
      <c r="A411" s="56" t="inlineStr">
        <is>
          <t>BBK638</t>
        </is>
      </c>
      <c r="B411" s="56" t="inlineStr">
        <is>
          <t>PL05</t>
        </is>
      </c>
      <c r="C411" s="56" t="inlineStr">
        <is>
          <t>BBK638.0152676</t>
        </is>
      </c>
      <c r="D411" s="57" t="n"/>
      <c r="E411" s="57" t="n"/>
      <c r="F411" s="57" t="n"/>
      <c r="G411" s="57" t="n"/>
      <c r="H411" s="57" t="n"/>
      <c r="J411" s="198" t="inlineStr">
        <is>
          <t>14</t>
        </is>
      </c>
      <c r="K411" s="198" t="inlineStr">
        <is>
          <t>PL05</t>
        </is>
      </c>
      <c r="L411" s="199" t="inlineStr">
        <is>
          <t>Kiểm tra công tác khoan tạo lỗ cọc khoan nhồi</t>
        </is>
      </c>
      <c r="M411" s="199" t="n"/>
      <c r="N411" s="199" t="n"/>
      <c r="O411" s="200" t="inlineStr">
        <is>
          <t>Cầu Km19+529.080</t>
        </is>
      </c>
      <c r="P411" s="201" t="n"/>
      <c r="Q411" s="201" t="n"/>
      <c r="R411" s="201" t="n"/>
      <c r="S411" s="201">
        <f>S410</f>
        <v/>
      </c>
      <c r="T411" s="208">
        <f>T410</f>
        <v/>
      </c>
      <c r="U411" s="208" t="n">
        <v>0.75</v>
      </c>
      <c r="V411" s="208">
        <f>U411-T411</f>
        <v/>
      </c>
      <c r="W411" s="202" t="n"/>
      <c r="X411" s="202" t="n"/>
      <c r="Y411" s="202" t="n"/>
      <c r="Z411" s="198" t="inlineStr">
        <is>
          <t>05</t>
        </is>
      </c>
      <c r="AA411" s="203" t="n"/>
      <c r="AB411" s="204" t="inlineStr">
        <is>
          <t>09-XL-307HG/PYCNT/CKN/T1/C4</t>
        </is>
      </c>
      <c r="AC411" s="204">
        <f>AC410</f>
        <v/>
      </c>
      <c r="AD411" s="204" t="n"/>
      <c r="AE411" s="204" t="n"/>
      <c r="AF411" s="255" t="n">
        <v>169.36</v>
      </c>
      <c r="AG411" s="255" t="n"/>
      <c r="AH411" s="204" t="inlineStr">
        <is>
          <t>T1-C4</t>
        </is>
      </c>
      <c r="AI411" s="207" t="n"/>
      <c r="AJ411" s="202" t="n"/>
      <c r="AK411" s="206" t="n"/>
      <c r="AL411" s="202" t="n"/>
      <c r="AM411" s="202" t="n"/>
      <c r="AN411" s="202" t="n"/>
      <c r="AO411" s="202" t="n"/>
      <c r="AP411" s="207" t="n"/>
      <c r="AQ411" s="207" t="n"/>
      <c r="AR411" s="202" t="inlineStr">
        <is>
          <t>Nhóm 1</t>
        </is>
      </c>
      <c r="AS411" s="202" t="n"/>
      <c r="AT411" s="202" t="inlineStr">
        <is>
          <t>HM10</t>
        </is>
      </c>
      <c r="AU411" s="202" t="inlineStr">
        <is>
          <t>PL05</t>
        </is>
      </c>
      <c r="AV411" s="202" t="n">
        <v>9</v>
      </c>
      <c r="AW411" s="202" t="n">
        <v>1</v>
      </c>
      <c r="AX411" s="202" t="n"/>
    </row>
    <row r="412">
      <c r="A412" s="56" t="inlineStr">
        <is>
          <t>BBK680</t>
        </is>
      </c>
      <c r="B412" s="56" t="inlineStr">
        <is>
          <t>PYC</t>
        </is>
      </c>
      <c r="C412" s="56" t="inlineStr">
        <is>
          <t>BBK680.0619831</t>
        </is>
      </c>
      <c r="D412" s="57" t="n"/>
      <c r="E412" s="57" t="n"/>
      <c r="F412" s="57" t="n"/>
      <c r="G412" s="57" t="n"/>
      <c r="H412" s="57" t="n"/>
      <c r="J412" s="198" t="inlineStr">
        <is>
          <t>15</t>
        </is>
      </c>
      <c r="K412" s="198" t="inlineStr">
        <is>
          <t>PYC</t>
        </is>
      </c>
      <c r="L412" s="199" t="inlineStr">
        <is>
          <t>Phiếu yêu cầu nghiệm thu</t>
        </is>
      </c>
      <c r="M412" s="199" t="n"/>
      <c r="N412" s="199" t="n"/>
      <c r="O412" s="200" t="inlineStr">
        <is>
          <t>Cầu Km19+529.080</t>
        </is>
      </c>
      <c r="P412" s="201" t="n"/>
      <c r="Q412" s="201" t="n"/>
      <c r="R412" s="201">
        <f>R413</f>
        <v/>
      </c>
      <c r="S412" s="201" t="n"/>
      <c r="T412" s="201" t="n"/>
      <c r="U412" s="201" t="n"/>
      <c r="V412" s="201" t="n"/>
      <c r="W412" s="202" t="n"/>
      <c r="X412" s="202" t="n"/>
      <c r="Y412" s="202" t="n"/>
      <c r="Z412" s="202" t="n"/>
      <c r="AA412" s="203" t="n"/>
      <c r="AB412" s="204" t="inlineStr">
        <is>
          <t>09-XL-307HG/PYCNT/CKN/T1/C4</t>
        </is>
      </c>
      <c r="AC412" s="205" t="inlineStr"/>
      <c r="AD412" s="205" t="n"/>
      <c r="AE412" s="205" t="n"/>
      <c r="AF412" s="205" t="n"/>
      <c r="AG412" s="205" t="inlineStr">
        <is>
          <t>NTCV;BBKTĐK</t>
        </is>
      </c>
      <c r="AH412" s="204" t="inlineStr">
        <is>
          <t>&gt;=6;&lt;=10</t>
        </is>
      </c>
      <c r="AI412" s="202" t="n"/>
      <c r="AJ412" s="202" t="n"/>
      <c r="AK412" s="206" t="n"/>
      <c r="AL412" s="202" t="n"/>
      <c r="AM412" s="202" t="n"/>
      <c r="AN412" s="202" t="n"/>
      <c r="AO412" s="202" t="n"/>
      <c r="AP412" s="207" t="n"/>
      <c r="AQ412" s="207" t="n"/>
      <c r="AR412" s="202" t="inlineStr">
        <is>
          <t>Nhóm 1</t>
        </is>
      </c>
      <c r="AS412" s="202" t="n"/>
      <c r="AT412" s="202" t="inlineStr">
        <is>
          <t>HM10</t>
        </is>
      </c>
      <c r="AU412" s="202" t="inlineStr">
        <is>
          <t>PYC</t>
        </is>
      </c>
      <c r="AV412" s="202" t="n">
        <v>166</v>
      </c>
      <c r="AW412" s="202" t="n">
        <v>2</v>
      </c>
      <c r="AX412" s="202" t="n"/>
    </row>
    <row r="413" ht="42" customHeight="1" s="672">
      <c r="A413" s="56" t="inlineStr">
        <is>
          <t>NTCV</t>
        </is>
      </c>
      <c r="B413" s="56" t="inlineStr">
        <is>
          <t>K.9999</t>
        </is>
      </c>
      <c r="C413" s="56" t="inlineStr">
        <is>
          <t>NTCV.0099409</t>
        </is>
      </c>
      <c r="D413" s="57" t="n"/>
      <c r="E413" s="57" t="n"/>
      <c r="F413" s="57" t="n"/>
      <c r="G413" s="57" t="n"/>
      <c r="H413" s="57" t="n"/>
      <c r="J413" s="209" t="inlineStr">
        <is>
          <t>16</t>
        </is>
      </c>
      <c r="K413" s="209" t="inlineStr">
        <is>
          <t>K.9999</t>
        </is>
      </c>
      <c r="L413" s="210" t="inlineStr">
        <is>
          <t>Kiểm tra công tác vệ sinh lỗ khoan trước khi hạ lồng cốt thép cọc khoan nhồi</t>
        </is>
      </c>
      <c r="M413" s="210" t="n"/>
      <c r="N413" s="210" t="n"/>
      <c r="O413" s="211" t="inlineStr">
        <is>
          <t>Cầu Km19+529.080</t>
        </is>
      </c>
      <c r="P413" s="212">
        <f>S410+1</f>
        <v/>
      </c>
      <c r="Q413" s="212">
        <f>P413</f>
        <v/>
      </c>
      <c r="R413" s="212">
        <f>Q413-1</f>
        <v/>
      </c>
      <c r="S413" s="212">
        <f>Q413</f>
        <v/>
      </c>
      <c r="T413" s="213" t="n">
        <v>0.3333333333333333</v>
      </c>
      <c r="U413" s="213">
        <f>T413+V413</f>
        <v/>
      </c>
      <c r="V413" s="213" t="n">
        <v>0.01388888888888889</v>
      </c>
      <c r="W413" s="214">
        <f>TEXT(T413,"HH""h""MM'")&amp;"÷"&amp;TEXT(U413,"HH""h""MM'")</f>
        <v/>
      </c>
      <c r="X413" s="214" t="n"/>
      <c r="Y413" s="214" t="n"/>
      <c r="Z413" s="214" t="inlineStr">
        <is>
          <t>06;</t>
        </is>
      </c>
      <c r="AA413" s="215" t="inlineStr">
        <is>
          <t>Kiểm tra công tác vệ sinh lỗ khoan trước khi hạ lồng cốt thép Cọc khoan nhồi Trụ T1 - Cọc C4</t>
        </is>
      </c>
      <c r="AB413" s="204" t="inlineStr">
        <is>
          <t>09-XL-307HG/PYCNT/CKN/T1/C4-2</t>
        </is>
      </c>
      <c r="AC413" s="204" t="inlineStr">
        <is>
          <t>09-XL-307HG/BBNT/CKN/T1/C4-6</t>
        </is>
      </c>
      <c r="AD413" s="204" t="n"/>
      <c r="AE413" s="204" t="n"/>
      <c r="AF413" s="204" t="n"/>
      <c r="AG413" s="204" t="n"/>
      <c r="AH413" s="204" t="n"/>
      <c r="AI413" s="216" t="n"/>
      <c r="AJ413" s="214" t="n"/>
      <c r="AK413" s="217" t="n"/>
      <c r="AL413" s="214" t="n"/>
      <c r="AM413" s="214" t="n"/>
      <c r="AN413" s="214" t="n"/>
      <c r="AO413" s="214" t="n"/>
      <c r="AP413" s="216" t="n"/>
      <c r="AQ413" s="216" t="n"/>
      <c r="AR413" s="214" t="inlineStr">
        <is>
          <t>Nhóm 1</t>
        </is>
      </c>
      <c r="AS413" s="214" t="n"/>
      <c r="AT413" s="214" t="inlineStr">
        <is>
          <t>HM10</t>
        </is>
      </c>
      <c r="AU413" s="214" t="inlineStr">
        <is>
          <t>NTCV</t>
        </is>
      </c>
      <c r="AV413" s="214" t="n">
        <v>145</v>
      </c>
      <c r="AW413" s="214" t="n">
        <v>5</v>
      </c>
      <c r="AX413" s="214" t="n"/>
    </row>
    <row r="414" ht="28" customHeight="1" s="672">
      <c r="A414" s="56" t="inlineStr">
        <is>
          <t>BBK570</t>
        </is>
      </c>
      <c r="B414" s="56" t="inlineStr">
        <is>
          <t>PL06</t>
        </is>
      </c>
      <c r="C414" s="56" t="inlineStr">
        <is>
          <t>BBK570.0205047</t>
        </is>
      </c>
      <c r="D414" s="57" t="n"/>
      <c r="E414" s="57" t="n"/>
      <c r="F414" s="57" t="n"/>
      <c r="G414" s="57" t="n"/>
      <c r="H414" s="57" t="n"/>
      <c r="J414" s="198" t="inlineStr">
        <is>
          <t>17</t>
        </is>
      </c>
      <c r="K414" s="198" t="inlineStr">
        <is>
          <t>PL06</t>
        </is>
      </c>
      <c r="L414" s="199" t="inlineStr">
        <is>
          <t>Kiểm tra công tác vệ sinh lỗ khoan trước khi hạ lồng cốt thép cọc khoan nhồi</t>
        </is>
      </c>
      <c r="M414" s="199" t="n"/>
      <c r="N414" s="199" t="n"/>
      <c r="O414" s="200" t="inlineStr">
        <is>
          <t>Cầu Km19+529.080</t>
        </is>
      </c>
      <c r="P414" s="201" t="n"/>
      <c r="Q414" s="201" t="n"/>
      <c r="R414" s="201" t="n"/>
      <c r="S414" s="201">
        <f>S413</f>
        <v/>
      </c>
      <c r="T414" s="201" t="n"/>
      <c r="U414" s="201" t="n"/>
      <c r="V414" s="201" t="n"/>
      <c r="W414" s="202" t="n"/>
      <c r="X414" s="265" t="n">
        <v>127.36</v>
      </c>
      <c r="Y414" s="265">
        <f>X414-0.02</f>
        <v/>
      </c>
      <c r="Z414" s="198" t="inlineStr">
        <is>
          <t>06</t>
        </is>
      </c>
      <c r="AA414" s="203" t="n"/>
      <c r="AB414" s="204" t="inlineStr">
        <is>
          <t>09-XL-307HG/PYCNT/CKN/T1/C4-2</t>
        </is>
      </c>
      <c r="AC414" s="204">
        <f>AC413</f>
        <v/>
      </c>
      <c r="AD414" s="204" t="n"/>
      <c r="AE414" s="204" t="n"/>
      <c r="AF414" s="204" t="n"/>
      <c r="AG414" s="204" t="n"/>
      <c r="AH414" s="204" t="n"/>
      <c r="AI414" s="202" t="n"/>
      <c r="AJ414" s="202" t="n"/>
      <c r="AK414" s="206" t="n"/>
      <c r="AL414" s="202" t="n"/>
      <c r="AM414" s="202" t="n"/>
      <c r="AN414" s="202" t="n"/>
      <c r="AO414" s="202" t="n"/>
      <c r="AP414" s="207" t="n"/>
      <c r="AQ414" s="207" t="n"/>
      <c r="AR414" s="202" t="inlineStr">
        <is>
          <t>Nhóm 1</t>
        </is>
      </c>
      <c r="AS414" s="202" t="n"/>
      <c r="AT414" s="202" t="inlineStr">
        <is>
          <t>HM10</t>
        </is>
      </c>
      <c r="AU414" s="202" t="inlineStr">
        <is>
          <t>PL06</t>
        </is>
      </c>
      <c r="AV414" s="202" t="n">
        <v>9</v>
      </c>
      <c r="AW414" s="202" t="n">
        <v>1</v>
      </c>
      <c r="AX414" s="202" t="n"/>
    </row>
    <row r="415" ht="28" customHeight="1" s="672">
      <c r="A415" s="56" t="inlineStr">
        <is>
          <t>NTCV</t>
        </is>
      </c>
      <c r="B415" s="56" t="inlineStr">
        <is>
          <t>K.9999</t>
        </is>
      </c>
      <c r="C415" s="56" t="inlineStr">
        <is>
          <t>NTCV.0692517</t>
        </is>
      </c>
      <c r="D415" s="57" t="n"/>
      <c r="E415" s="57" t="n"/>
      <c r="F415" s="57" t="n"/>
      <c r="G415" s="57" t="n"/>
      <c r="H415" s="57" t="n"/>
      <c r="J415" s="209" t="inlineStr">
        <is>
          <t>18</t>
        </is>
      </c>
      <c r="K415" s="209" t="inlineStr">
        <is>
          <t>K.9999</t>
        </is>
      </c>
      <c r="L415" s="210" t="inlineStr">
        <is>
          <t xml:space="preserve">Nghiệm thu công tác hạ lồng thép </t>
        </is>
      </c>
      <c r="M415" s="210" t="n"/>
      <c r="N415" s="210" t="n"/>
      <c r="O415" s="211" t="inlineStr">
        <is>
          <t>Cầu Km19+529.080</t>
        </is>
      </c>
      <c r="P415" s="212">
        <f>S413</f>
        <v/>
      </c>
      <c r="Q415" s="212">
        <f>P415</f>
        <v/>
      </c>
      <c r="R415" s="212">
        <f>Q415-1</f>
        <v/>
      </c>
      <c r="S415" s="212">
        <f>Q415</f>
        <v/>
      </c>
      <c r="T415" s="213">
        <f>U413</f>
        <v/>
      </c>
      <c r="U415" s="213">
        <f>T415+V415</f>
        <v/>
      </c>
      <c r="V415" s="213" t="n">
        <v>0.03125</v>
      </c>
      <c r="W415" s="214">
        <f>TEXT(T415,"HH""h""MM'")&amp;"÷"&amp;TEXT(U415,"HH""h""MM'")</f>
        <v/>
      </c>
      <c r="X415" s="214" t="n"/>
      <c r="Y415" s="214" t="n"/>
      <c r="Z415" s="214" t="inlineStr">
        <is>
          <t>07;</t>
        </is>
      </c>
      <c r="AA415" s="215" t="inlineStr">
        <is>
          <t>Công tác hạ lồng thép Cọc khoan nhồi Trụ T1 - Cọc C4</t>
        </is>
      </c>
      <c r="AB415" s="204" t="inlineStr">
        <is>
          <t>09-XL-307HG/PYCNT/CKN/T1/C4-2</t>
        </is>
      </c>
      <c r="AC415" s="204" t="inlineStr">
        <is>
          <t>09-XL-307HG/BBNT/CKN/T1/C4-7</t>
        </is>
      </c>
      <c r="AD415" s="204" t="n"/>
      <c r="AE415" s="204" t="n"/>
      <c r="AF415" s="204" t="n"/>
      <c r="AG415" s="204" t="n"/>
      <c r="AH415" s="204" t="n"/>
      <c r="AI415" s="214" t="n"/>
      <c r="AJ415" s="214" t="n"/>
      <c r="AK415" s="217" t="n"/>
      <c r="AL415" s="214" t="n"/>
      <c r="AM415" s="214" t="n"/>
      <c r="AN415" s="214" t="n"/>
      <c r="AO415" s="214" t="n"/>
      <c r="AP415" s="216" t="n"/>
      <c r="AQ415" s="216" t="n"/>
      <c r="AR415" s="214" t="inlineStr">
        <is>
          <t>Nhóm 1</t>
        </is>
      </c>
      <c r="AS415" s="214" t="n"/>
      <c r="AT415" s="214" t="inlineStr">
        <is>
          <t>HM10</t>
        </is>
      </c>
      <c r="AU415" s="214" t="inlineStr">
        <is>
          <t>NTCV</t>
        </is>
      </c>
      <c r="AV415" s="214" t="n">
        <v>147</v>
      </c>
      <c r="AW415" s="214" t="n">
        <v>6</v>
      </c>
      <c r="AX415" s="214" t="n"/>
    </row>
    <row r="416">
      <c r="A416" s="56" t="inlineStr">
        <is>
          <t>BBK396</t>
        </is>
      </c>
      <c r="B416" s="56" t="inlineStr">
        <is>
          <t>PL07</t>
        </is>
      </c>
      <c r="C416" s="56" t="inlineStr">
        <is>
          <t>BBK396.0504459</t>
        </is>
      </c>
      <c r="D416" s="57" t="n"/>
      <c r="E416" s="57" t="n"/>
      <c r="F416" s="57" t="n"/>
      <c r="G416" s="57" t="n"/>
      <c r="H416" s="57" t="n"/>
      <c r="J416" s="198" t="inlineStr">
        <is>
          <t>19</t>
        </is>
      </c>
      <c r="K416" s="198" t="inlineStr">
        <is>
          <t>PL07</t>
        </is>
      </c>
      <c r="L416" s="199" t="inlineStr">
        <is>
          <t>Nghiệm thu công tác hạ lồng thép</t>
        </is>
      </c>
      <c r="M416" s="199" t="n"/>
      <c r="N416" s="199" t="n"/>
      <c r="O416" s="200" t="inlineStr">
        <is>
          <t>Cầu Km19+529.080</t>
        </is>
      </c>
      <c r="P416" s="201" t="n"/>
      <c r="Q416" s="201" t="n"/>
      <c r="R416" s="201" t="n"/>
      <c r="S416" s="201">
        <f>S415</f>
        <v/>
      </c>
      <c r="T416" s="201" t="n"/>
      <c r="U416" s="201" t="n"/>
      <c r="V416" s="201" t="n"/>
      <c r="W416" s="202" t="n"/>
      <c r="X416" s="202" t="n"/>
      <c r="Y416" s="202" t="n"/>
      <c r="Z416" s="198" t="inlineStr">
        <is>
          <t>07</t>
        </is>
      </c>
      <c r="AA416" s="203" t="n"/>
      <c r="AB416" s="204" t="inlineStr">
        <is>
          <t>09-XL-307HG/PYCNT/CKN/T1/C4-2</t>
        </is>
      </c>
      <c r="AC416" s="204">
        <f>AC415</f>
        <v/>
      </c>
      <c r="AD416" s="204" t="n"/>
      <c r="AE416" s="204" t="n"/>
      <c r="AF416" s="204" t="n"/>
      <c r="AG416" s="204" t="n"/>
      <c r="AH416" s="204" t="n"/>
      <c r="AI416" s="202" t="n"/>
      <c r="AJ416" s="202" t="n"/>
      <c r="AK416" s="206" t="n"/>
      <c r="AL416" s="202" t="n"/>
      <c r="AM416" s="202" t="n"/>
      <c r="AN416" s="202" t="n"/>
      <c r="AO416" s="202" t="n"/>
      <c r="AP416" s="207" t="n"/>
      <c r="AQ416" s="207" t="n"/>
      <c r="AR416" s="202" t="inlineStr">
        <is>
          <t>Nhóm 1</t>
        </is>
      </c>
      <c r="AS416" s="202" t="n"/>
      <c r="AT416" s="202" t="inlineStr">
        <is>
          <t>HM10</t>
        </is>
      </c>
      <c r="AU416" s="202" t="inlineStr">
        <is>
          <t>PL07</t>
        </is>
      </c>
      <c r="AV416" s="202" t="n">
        <v>9</v>
      </c>
      <c r="AW416" s="202" t="n">
        <v>1</v>
      </c>
      <c r="AX416" s="202" t="n"/>
    </row>
    <row r="417" ht="42" customHeight="1" s="672">
      <c r="A417" s="56" t="inlineStr">
        <is>
          <t>NTCV</t>
        </is>
      </c>
      <c r="B417" s="56" t="inlineStr">
        <is>
          <t>K.9999</t>
        </is>
      </c>
      <c r="C417" s="56" t="inlineStr">
        <is>
          <t>NTCV.0183076</t>
        </is>
      </c>
      <c r="D417" s="57" t="n"/>
      <c r="E417" s="57" t="n"/>
      <c r="F417" s="57" t="n"/>
      <c r="G417" s="57" t="n"/>
      <c r="H417" s="57" t="n"/>
      <c r="J417" s="209" t="inlineStr">
        <is>
          <t>20</t>
        </is>
      </c>
      <c r="K417" s="209" t="inlineStr">
        <is>
          <t>K.9999</t>
        </is>
      </c>
      <c r="L417" s="210" t="inlineStr">
        <is>
          <t xml:space="preserve">Kiểm tra công tác vệ sinh lỗ khoan cọc khoan nhồi trước khi đổ bê tông </t>
        </is>
      </c>
      <c r="M417" s="210" t="n"/>
      <c r="N417" s="210" t="n"/>
      <c r="O417" s="211" t="inlineStr">
        <is>
          <t>Cầu Km19+529.080</t>
        </is>
      </c>
      <c r="P417" s="212">
        <f>S415</f>
        <v/>
      </c>
      <c r="Q417" s="212">
        <f>P417</f>
        <v/>
      </c>
      <c r="R417" s="212">
        <f>Q417-1</f>
        <v/>
      </c>
      <c r="S417" s="212">
        <f>Q417</f>
        <v/>
      </c>
      <c r="T417" s="213">
        <f>U415</f>
        <v/>
      </c>
      <c r="U417" s="213">
        <f>T417+V417</f>
        <v/>
      </c>
      <c r="V417" s="213" t="n">
        <v>0.02083333333333333</v>
      </c>
      <c r="W417" s="214">
        <f>TEXT(T417,"HH""h""MM'")&amp;"÷"&amp;TEXT(U417,"HH""h""MM'")</f>
        <v/>
      </c>
      <c r="X417" s="214" t="n"/>
      <c r="Y417" s="214" t="n"/>
      <c r="Z417" s="214" t="inlineStr">
        <is>
          <t>08;</t>
        </is>
      </c>
      <c r="AA417" s="215" t="inlineStr">
        <is>
          <t>Kiểm tra công tác vệ sinh lỗ khoan cọc khoan nhồi trước khi đổ bê tông Cọc khoan nhồi Trụ T1 - Cọc C4</t>
        </is>
      </c>
      <c r="AB417" s="204" t="inlineStr">
        <is>
          <t>09-XL-307HG/PYCNT/CKN/T1/C4-2</t>
        </is>
      </c>
      <c r="AC417" s="204" t="inlineStr">
        <is>
          <t>09-XL-307HG/BBNT/CKN/T1/C4-8</t>
        </is>
      </c>
      <c r="AD417" s="204" t="n"/>
      <c r="AE417" s="204" t="n"/>
      <c r="AF417" s="204" t="n"/>
      <c r="AG417" s="204" t="n"/>
      <c r="AH417" s="204" t="n"/>
      <c r="AI417" s="214" t="n"/>
      <c r="AJ417" s="214" t="n"/>
      <c r="AK417" s="217" t="n"/>
      <c r="AL417" s="214" t="n"/>
      <c r="AM417" s="214" t="n"/>
      <c r="AN417" s="214" t="n"/>
      <c r="AO417" s="214" t="n"/>
      <c r="AP417" s="216" t="n"/>
      <c r="AQ417" s="216" t="n"/>
      <c r="AR417" s="214" t="inlineStr">
        <is>
          <t>Nhóm 1</t>
        </is>
      </c>
      <c r="AS417" s="214" t="n"/>
      <c r="AT417" s="214" t="inlineStr">
        <is>
          <t>HM10</t>
        </is>
      </c>
      <c r="AU417" s="214" t="inlineStr">
        <is>
          <t>NTCV</t>
        </is>
      </c>
      <c r="AV417" s="214" t="n">
        <v>152</v>
      </c>
      <c r="AW417" s="214" t="n">
        <v>7</v>
      </c>
      <c r="AX417" s="214" t="n"/>
    </row>
    <row r="418" ht="28" customHeight="1" s="672">
      <c r="A418" s="56" t="inlineStr">
        <is>
          <t>BBK521</t>
        </is>
      </c>
      <c r="B418" s="56" t="inlineStr">
        <is>
          <t>PL08</t>
        </is>
      </c>
      <c r="C418" s="56" t="inlineStr">
        <is>
          <t>BBK521.0991402</t>
        </is>
      </c>
      <c r="D418" s="57" t="n"/>
      <c r="E418" s="57" t="n"/>
      <c r="F418" s="57" t="n"/>
      <c r="G418" s="57" t="n"/>
      <c r="H418" s="57" t="n"/>
      <c r="J418" s="198" t="inlineStr">
        <is>
          <t>21</t>
        </is>
      </c>
      <c r="K418" s="198" t="inlineStr">
        <is>
          <t>PL08</t>
        </is>
      </c>
      <c r="L418" s="199" t="inlineStr">
        <is>
          <t>Kiểm tra công tác vệ sinh lỗ khoan cọc khoan nhồi trước khi đổ bê tông</t>
        </is>
      </c>
      <c r="M418" s="199" t="n"/>
      <c r="N418" s="199" t="n"/>
      <c r="O418" s="200" t="inlineStr">
        <is>
          <t>Cầu Km19+529.080</t>
        </is>
      </c>
      <c r="P418" s="201" t="n"/>
      <c r="Q418" s="201" t="n"/>
      <c r="R418" s="201" t="n"/>
      <c r="S418" s="201">
        <f>S417</f>
        <v/>
      </c>
      <c r="T418" s="201" t="n"/>
      <c r="U418" s="201" t="n"/>
      <c r="V418" s="201" t="n"/>
      <c r="W418" s="202" t="n"/>
      <c r="X418" s="202" t="n"/>
      <c r="Y418" s="202" t="n"/>
      <c r="Z418" s="198" t="inlineStr">
        <is>
          <t>08</t>
        </is>
      </c>
      <c r="AA418" s="203" t="n"/>
      <c r="AB418" s="204" t="inlineStr">
        <is>
          <t>09-XL-307HG/PYCNT/CKN/T1/C4-2</t>
        </is>
      </c>
      <c r="AC418" s="204">
        <f>AC417</f>
        <v/>
      </c>
      <c r="AD418" s="204" t="n"/>
      <c r="AE418" s="204" t="n"/>
      <c r="AF418" s="204" t="n"/>
      <c r="AG418" s="204" t="n"/>
      <c r="AH418" s="204" t="n"/>
      <c r="AI418" s="202" t="n"/>
      <c r="AJ418" s="202" t="n"/>
      <c r="AK418" s="206" t="n"/>
      <c r="AL418" s="202" t="n"/>
      <c r="AM418" s="202" t="n"/>
      <c r="AN418" s="202" t="n"/>
      <c r="AO418" s="202" t="n"/>
      <c r="AP418" s="207" t="n"/>
      <c r="AQ418" s="207" t="n"/>
      <c r="AR418" s="202" t="inlineStr">
        <is>
          <t>Nhóm 1</t>
        </is>
      </c>
      <c r="AS418" s="202" t="n"/>
      <c r="AT418" s="202" t="inlineStr">
        <is>
          <t>HM10</t>
        </is>
      </c>
      <c r="AU418" s="202" t="inlineStr">
        <is>
          <t>PL08</t>
        </is>
      </c>
      <c r="AV418" s="202" t="n">
        <v>9</v>
      </c>
      <c r="AW418" s="202" t="n">
        <v>1</v>
      </c>
      <c r="AX418" s="202" t="n"/>
    </row>
    <row r="419" ht="28" customHeight="1" s="672">
      <c r="A419" s="56" t="inlineStr">
        <is>
          <t>NTCV</t>
        </is>
      </c>
      <c r="B419" s="56" t="inlineStr">
        <is>
          <t>K.9999</t>
        </is>
      </c>
      <c r="C419" s="56" t="inlineStr">
        <is>
          <t>NTCV.0471391</t>
        </is>
      </c>
      <c r="D419" s="57" t="n"/>
      <c r="E419" s="57" t="n"/>
      <c r="F419" s="57" t="n"/>
      <c r="G419" s="57" t="n"/>
      <c r="H419" s="57" t="n"/>
      <c r="J419" s="209" t="inlineStr">
        <is>
          <t>22</t>
        </is>
      </c>
      <c r="K419" s="209" t="inlineStr">
        <is>
          <t>K.9999</t>
        </is>
      </c>
      <c r="L419" s="210" t="inlineStr">
        <is>
          <t xml:space="preserve">Kiểm tra công tác chuẩn bị đổ bê tông cọc khoan nhồi </t>
        </is>
      </c>
      <c r="M419" s="210" t="n"/>
      <c r="N419" s="210" t="n"/>
      <c r="O419" s="211" t="inlineStr">
        <is>
          <t>Cầu Km19+529.080</t>
        </is>
      </c>
      <c r="P419" s="212">
        <f>S417</f>
        <v/>
      </c>
      <c r="Q419" s="212">
        <f>P419</f>
        <v/>
      </c>
      <c r="R419" s="212">
        <f>Q419-1</f>
        <v/>
      </c>
      <c r="S419" s="212">
        <f>Q419</f>
        <v/>
      </c>
      <c r="T419" s="213">
        <f>U417</f>
        <v/>
      </c>
      <c r="U419" s="213">
        <f>T419+V419</f>
        <v/>
      </c>
      <c r="V419" s="213" t="n">
        <v>0.02083333333333333</v>
      </c>
      <c r="W419" s="214">
        <f>TEXT(T419,"HH""h""MM'")&amp;"÷"&amp;TEXT(U419,"HH""h""MM'")</f>
        <v/>
      </c>
      <c r="X419" s="214" t="n"/>
      <c r="Y419" s="214" t="n"/>
      <c r="Z419" s="214" t="inlineStr">
        <is>
          <t>09;</t>
        </is>
      </c>
      <c r="AA419" s="215" t="inlineStr">
        <is>
          <t>Kiểm tra công tác chuẩn bị đổ bê tông Cọc khoan nhồi Trụ T1 - Cọc C4</t>
        </is>
      </c>
      <c r="AB419" s="204" t="inlineStr">
        <is>
          <t>09-XL-307HG/PYCNT/CKN/T1/C4-2</t>
        </is>
      </c>
      <c r="AC419" s="204" t="inlineStr">
        <is>
          <t>09-XL-307HG/BBNT/CKN/T1/C4-9</t>
        </is>
      </c>
      <c r="AD419" s="204" t="n"/>
      <c r="AE419" s="204" t="n"/>
      <c r="AF419" s="204" t="n"/>
      <c r="AG419" s="204" t="n"/>
      <c r="AH419" s="204" t="n"/>
      <c r="AI419" s="214" t="n"/>
      <c r="AJ419" s="214" t="n"/>
      <c r="AK419" s="217" t="n"/>
      <c r="AL419" s="214" t="n"/>
      <c r="AM419" s="214" t="n"/>
      <c r="AN419" s="214" t="n"/>
      <c r="AO419" s="214" t="n"/>
      <c r="AP419" s="216" t="n"/>
      <c r="AQ419" s="216" t="n"/>
      <c r="AR419" s="214" t="inlineStr">
        <is>
          <t>Nhóm 1</t>
        </is>
      </c>
      <c r="AS419" s="214" t="n"/>
      <c r="AT419" s="214" t="inlineStr">
        <is>
          <t>HM10</t>
        </is>
      </c>
      <c r="AU419" s="214" t="inlineStr">
        <is>
          <t>NTCV</t>
        </is>
      </c>
      <c r="AV419" s="214" t="n">
        <v>153</v>
      </c>
      <c r="AW419" s="214" t="n">
        <v>8</v>
      </c>
      <c r="AX419" s="214" t="n"/>
    </row>
    <row r="420">
      <c r="A420" s="56" t="inlineStr">
        <is>
          <t>BBK209</t>
        </is>
      </c>
      <c r="B420" s="56" t="inlineStr">
        <is>
          <t>PL09</t>
        </is>
      </c>
      <c r="C420" s="56" t="inlineStr">
        <is>
          <t>BBK209.0004019</t>
        </is>
      </c>
      <c r="D420" s="57" t="n"/>
      <c r="E420" s="57" t="n"/>
      <c r="F420" s="57" t="n"/>
      <c r="G420" s="57" t="n"/>
      <c r="H420" s="57" t="n"/>
      <c r="J420" s="198" t="inlineStr">
        <is>
          <t>23</t>
        </is>
      </c>
      <c r="K420" s="198" t="inlineStr">
        <is>
          <t>PL09</t>
        </is>
      </c>
      <c r="L420" s="199" t="inlineStr">
        <is>
          <t>Kiểm tra công tác chuẩn bị đổ bê tông cọc khoan nhồi</t>
        </is>
      </c>
      <c r="M420" s="199" t="n"/>
      <c r="N420" s="199" t="n"/>
      <c r="O420" s="200" t="inlineStr">
        <is>
          <t>Cầu Km19+529.080</t>
        </is>
      </c>
      <c r="P420" s="201" t="n"/>
      <c r="Q420" s="201" t="n"/>
      <c r="R420" s="201" t="n"/>
      <c r="S420" s="201">
        <f>S419</f>
        <v/>
      </c>
      <c r="T420" s="201" t="n"/>
      <c r="U420" s="201" t="n"/>
      <c r="V420" s="201" t="n"/>
      <c r="W420" s="202" t="n"/>
      <c r="X420" s="202" t="n"/>
      <c r="Y420" s="202" t="n"/>
      <c r="Z420" s="198" t="inlineStr">
        <is>
          <t>09</t>
        </is>
      </c>
      <c r="AA420" s="203" t="n"/>
      <c r="AB420" s="204" t="inlineStr">
        <is>
          <t>09-XL-307HG/PYCNT/CKN/T1/C4-2</t>
        </is>
      </c>
      <c r="AC420" s="204">
        <f>AC419</f>
        <v/>
      </c>
      <c r="AD420" s="204" t="n"/>
      <c r="AE420" s="204" t="n"/>
      <c r="AF420" s="204" t="n"/>
      <c r="AG420" s="204" t="n"/>
      <c r="AH420" s="204" t="inlineStr">
        <is>
          <t>C30(1)</t>
        </is>
      </c>
      <c r="AI420" s="202" t="n"/>
      <c r="AJ420" s="202" t="n"/>
      <c r="AK420" s="206" t="n"/>
      <c r="AL420" s="202" t="n"/>
      <c r="AM420" s="202" t="n"/>
      <c r="AN420" s="202" t="n"/>
      <c r="AO420" s="202" t="n"/>
      <c r="AP420" s="207" t="n"/>
      <c r="AQ420" s="207" t="n"/>
      <c r="AR420" s="202" t="inlineStr">
        <is>
          <t>Nhóm 1</t>
        </is>
      </c>
      <c r="AS420" s="202" t="n"/>
      <c r="AT420" s="202" t="inlineStr">
        <is>
          <t>HM10</t>
        </is>
      </c>
      <c r="AU420" s="202" t="inlineStr">
        <is>
          <t>PL09</t>
        </is>
      </c>
      <c r="AV420" s="202" t="n">
        <v>9</v>
      </c>
      <c r="AW420" s="202" t="n">
        <v>1</v>
      </c>
      <c r="AX420" s="202" t="n"/>
    </row>
    <row r="421" ht="28" customHeight="1" s="672">
      <c r="A421" s="56" t="inlineStr">
        <is>
          <t>NTCV</t>
        </is>
      </c>
      <c r="B421" s="56" t="inlineStr">
        <is>
          <t>K.9999</t>
        </is>
      </c>
      <c r="C421" s="56" t="inlineStr">
        <is>
          <t>NTCV.0425849</t>
        </is>
      </c>
      <c r="D421" s="57" t="n"/>
      <c r="E421" s="57" t="n"/>
      <c r="F421" s="57" t="n"/>
      <c r="G421" s="57" t="n"/>
      <c r="H421" s="57" t="n"/>
      <c r="J421" s="209" t="inlineStr">
        <is>
          <t>24</t>
        </is>
      </c>
      <c r="K421" s="209" t="inlineStr">
        <is>
          <t>K.9999</t>
        </is>
      </c>
      <c r="L421" s="210" t="inlineStr">
        <is>
          <t>Theo dõi quá trình đổ bê tông cọc khoan nhồi</t>
        </is>
      </c>
      <c r="M421" s="210" t="n"/>
      <c r="N421" s="210" t="n"/>
      <c r="O421" s="211" t="inlineStr">
        <is>
          <t>Cầu Km19+529.080</t>
        </is>
      </c>
      <c r="P421" s="212">
        <f>S419</f>
        <v/>
      </c>
      <c r="Q421" s="212">
        <f>P421</f>
        <v/>
      </c>
      <c r="R421" s="212">
        <f>Q421-1</f>
        <v/>
      </c>
      <c r="S421" s="212">
        <f>Q421</f>
        <v/>
      </c>
      <c r="T421" s="213">
        <f>U419</f>
        <v/>
      </c>
      <c r="U421" s="213">
        <f>T421+V421</f>
        <v/>
      </c>
      <c r="V421" s="213" t="n">
        <v>0.1458333333333333</v>
      </c>
      <c r="W421" s="214">
        <f>TEXT(T421,"HH""h""MM'")&amp;"÷"&amp;TEXT(U421,"HH""h""MM'")</f>
        <v/>
      </c>
      <c r="X421" s="214" t="n"/>
      <c r="Y421" s="214" t="n"/>
      <c r="Z421" s="214" t="inlineStr">
        <is>
          <t>10;</t>
        </is>
      </c>
      <c r="AA421" s="215" t="inlineStr">
        <is>
          <t>Theo dõi quá trình đổ bê tông  Cọc khoan nhồi Trụ T1 - Cọc C4</t>
        </is>
      </c>
      <c r="AB421" s="204" t="inlineStr">
        <is>
          <t>09-XL-307HG/PYCNT/CKN/T1/C4-2</t>
        </is>
      </c>
      <c r="AC421" s="204" t="inlineStr">
        <is>
          <t>09-XL-307HG/BBNT/CKN/T1/C4-10</t>
        </is>
      </c>
      <c r="AD421" s="204" t="n"/>
      <c r="AE421" s="204" t="n"/>
      <c r="AF421" s="204" t="n"/>
      <c r="AG421" s="204" t="n"/>
      <c r="AH421" s="204" t="n"/>
      <c r="AI421" s="214" t="n"/>
      <c r="AJ421" s="214" t="n"/>
      <c r="AK421" s="217" t="n"/>
      <c r="AL421" s="214" t="n"/>
      <c r="AM421" s="214" t="n"/>
      <c r="AN421" s="214" t="n"/>
      <c r="AO421" s="214" t="n"/>
      <c r="AP421" s="216" t="n"/>
      <c r="AQ421" s="216" t="n"/>
      <c r="AR421" s="214" t="inlineStr">
        <is>
          <t>Nhóm 1</t>
        </is>
      </c>
      <c r="AS421" s="214" t="n"/>
      <c r="AT421" s="214" t="inlineStr">
        <is>
          <t>HM10</t>
        </is>
      </c>
      <c r="AU421" s="214" t="inlineStr">
        <is>
          <t>NTCV</t>
        </is>
      </c>
      <c r="AV421" s="214" t="n">
        <v>154</v>
      </c>
      <c r="AW421" s="214" t="n">
        <v>9</v>
      </c>
      <c r="AX421" s="214" t="n"/>
    </row>
    <row r="422" ht="98" customHeight="1" s="672">
      <c r="A422" s="56" t="inlineStr">
        <is>
          <t>LMHT</t>
        </is>
      </c>
      <c r="B422" s="56" t="inlineStr">
        <is>
          <t>LMHT</t>
        </is>
      </c>
      <c r="C422" s="56" t="inlineStr">
        <is>
          <t>LMHT.0288717</t>
        </is>
      </c>
      <c r="D422" s="57" t="inlineStr">
        <is>
          <t>TC.000041|TC.000182|TC.000169.A</t>
        </is>
      </c>
      <c r="E422" s="57" t="n"/>
      <c r="F422" s="57" t="inlineStr">
        <is>
          <t>CP.0001^Cọc khoan nhồi Trụ T1 - Cọc C4^Hình trụ 15x30 (cm)^12^30 Mpa, 18±2^^^TC.000041|TC.000182|TC.000169.A</t>
        </is>
      </c>
      <c r="G422" s="57" t="n"/>
      <c r="H422" s="57" t="inlineStr">
        <is>
          <t>^^A|C|J|O|S|X|Z^Stt|Hạng mục|Cấp bê tông|Kích thước mẫu|Số lượng mẫu|Ghi chú^|||||</t>
        </is>
      </c>
      <c r="J422" s="256" t="inlineStr">
        <is>
          <t>25</t>
        </is>
      </c>
      <c r="K422" s="256" t="inlineStr">
        <is>
          <t>LMHT</t>
        </is>
      </c>
      <c r="L422" s="257" t="inlineStr">
        <is>
          <t>Lấy mẫu bê tông Cọc khoan nhồi, 30(1) Mpa Trụ T1 - Cọc C4</t>
        </is>
      </c>
      <c r="M422" s="257" t="n"/>
      <c r="N422" s="257" t="n"/>
      <c r="O422" s="258" t="inlineStr">
        <is>
          <t>Cầu Km19+529.080</t>
        </is>
      </c>
      <c r="P422" s="259" t="n"/>
      <c r="Q422" s="259" t="n"/>
      <c r="R422" s="259" t="n"/>
      <c r="S422" s="259">
        <f>S421</f>
        <v/>
      </c>
      <c r="T422" s="260">
        <f>T421</f>
        <v/>
      </c>
      <c r="U422" s="260">
        <f>U421</f>
        <v/>
      </c>
      <c r="V422" s="260">
        <f>V421</f>
        <v/>
      </c>
      <c r="W422" s="261">
        <f>TEXT(T422,"HH""h""MM'")&amp;"÷"&amp;TEXT(U422,"HH""h""MM'")</f>
        <v/>
      </c>
      <c r="X422" s="262" t="n"/>
      <c r="Y422" s="262" t="n"/>
      <c r="Z422" s="262" t="n"/>
      <c r="AA422" s="262" t="n"/>
      <c r="AB422" s="263" t="inlineStr">
        <is>
          <t>09-XL-307HG/PYCNT/CKN/T1/C4-2</t>
        </is>
      </c>
      <c r="AC422" s="263" t="inlineStr"/>
      <c r="AD422" s="264" t="n"/>
      <c r="AE422" s="264" t="n"/>
      <c r="AF422" s="264" t="n"/>
      <c r="AG422" s="264" t="n"/>
      <c r="AH422" s="264" t="n"/>
      <c r="AI422" s="257" t="n"/>
      <c r="AJ422" s="262" t="n"/>
      <c r="AK422" s="258" t="n"/>
      <c r="AL422" s="262" t="n"/>
      <c r="AM422" s="262" t="n"/>
      <c r="AN422" s="262" t="n"/>
      <c r="AO422" s="262" t="n"/>
      <c r="AP422" s="263" t="inlineStr">
        <is>
          <t>Bảng lấy mẫu CKN</t>
        </is>
      </c>
      <c r="AQ422" s="263" t="n"/>
      <c r="AR422" s="262" t="inlineStr">
        <is>
          <t>Nhóm 1</t>
        </is>
      </c>
      <c r="AS422" s="262" t="n"/>
      <c r="AT422" s="262" t="inlineStr">
        <is>
          <t>HM10</t>
        </is>
      </c>
      <c r="AU422" s="262" t="inlineStr">
        <is>
          <t>LMHT</t>
        </is>
      </c>
      <c r="AV422" s="262" t="n">
        <v>12</v>
      </c>
      <c r="AW422" s="262" t="n">
        <v>1</v>
      </c>
      <c r="AX422" s="262" t="inlineStr">
        <is>
          <t>Cọc T1-C4: xi măng Lần 4 [BT dòng 12].</t>
        </is>
      </c>
    </row>
    <row r="423">
      <c r="A423" s="56" t="inlineStr">
        <is>
          <t>BBK994</t>
        </is>
      </c>
      <c r="B423" s="56" t="inlineStr">
        <is>
          <t>PL10</t>
        </is>
      </c>
      <c r="C423" s="56" t="inlineStr">
        <is>
          <t>BBK994.0752542</t>
        </is>
      </c>
      <c r="D423" s="57" t="n"/>
      <c r="E423" s="57" t="n"/>
      <c r="F423" s="57" t="n"/>
      <c r="G423" s="57" t="n"/>
      <c r="H423" s="57" t="n"/>
      <c r="J423" s="198" t="inlineStr">
        <is>
          <t>26</t>
        </is>
      </c>
      <c r="K423" s="198" t="inlineStr">
        <is>
          <t>PL10</t>
        </is>
      </c>
      <c r="L423" s="199" t="inlineStr">
        <is>
          <t>Theo dõi quá trình đổ bê tông cọc khoan nhồi</t>
        </is>
      </c>
      <c r="M423" s="199" t="n"/>
      <c r="N423" s="199" t="n"/>
      <c r="O423" s="200" t="inlineStr">
        <is>
          <t>Cầu Km19+529.080</t>
        </is>
      </c>
      <c r="P423" s="201" t="n"/>
      <c r="Q423" s="201" t="n"/>
      <c r="R423" s="201" t="n"/>
      <c r="S423" s="201">
        <f>S421</f>
        <v/>
      </c>
      <c r="T423" s="201" t="n"/>
      <c r="U423" s="201" t="n"/>
      <c r="V423" s="201" t="n"/>
      <c r="W423" s="202" t="n"/>
      <c r="X423" s="202" t="n"/>
      <c r="Y423" s="202" t="n"/>
      <c r="Z423" s="198" t="inlineStr">
        <is>
          <t>10</t>
        </is>
      </c>
      <c r="AA423" s="203" t="n"/>
      <c r="AB423" s="205" t="inlineStr">
        <is>
          <t>09-XL-307HG/PYCNT/CKN/T1/C4-2</t>
        </is>
      </c>
      <c r="AC423" s="205">
        <f>AC421</f>
        <v/>
      </c>
      <c r="AD423" s="205" t="n"/>
      <c r="AE423" s="205" t="n"/>
      <c r="AF423" s="205" t="n"/>
      <c r="AG423" s="205" t="n"/>
      <c r="AH423" s="204" t="inlineStr">
        <is>
          <t>T1-C4</t>
        </is>
      </c>
      <c r="AI423" s="202" t="n"/>
      <c r="AJ423" s="202" t="n"/>
      <c r="AK423" s="206" t="n"/>
      <c r="AL423" s="202" t="n"/>
      <c r="AM423" s="202" t="n"/>
      <c r="AN423" s="202" t="n"/>
      <c r="AO423" s="202" t="n"/>
      <c r="AP423" s="207" t="n"/>
      <c r="AQ423" s="207" t="n"/>
      <c r="AR423" s="202" t="inlineStr">
        <is>
          <t>Nhóm 1</t>
        </is>
      </c>
      <c r="AS423" s="202" t="n"/>
      <c r="AT423" s="202" t="inlineStr">
        <is>
          <t>HM10</t>
        </is>
      </c>
      <c r="AU423" s="202" t="inlineStr">
        <is>
          <t>PL10</t>
        </is>
      </c>
      <c r="AV423" s="202" t="n">
        <v>9</v>
      </c>
      <c r="AW423" s="202" t="n">
        <v>1</v>
      </c>
      <c r="AX423" s="202" t="n"/>
    </row>
    <row r="424" ht="28" customHeight="1" s="672">
      <c r="A424" s="56" t="inlineStr">
        <is>
          <t>NTCV</t>
        </is>
      </c>
      <c r="B424" s="56" t="inlineStr">
        <is>
          <t>K.9999</t>
        </is>
      </c>
      <c r="C424" s="56" t="inlineStr">
        <is>
          <t>NTCV.0891279</t>
        </is>
      </c>
      <c r="D424" s="57" t="n"/>
      <c r="E424" s="57" t="n"/>
      <c r="F424" s="57" t="n"/>
      <c r="G424" s="57" t="n"/>
      <c r="H424" s="57" t="n"/>
      <c r="J424" s="209" t="inlineStr">
        <is>
          <t>27</t>
        </is>
      </c>
      <c r="K424" s="209" t="inlineStr">
        <is>
          <t>K.9999</t>
        </is>
      </c>
      <c r="L424" s="210" t="inlineStr">
        <is>
          <t xml:space="preserve"> Rút ống vách thi công cọc khoan nhồi</t>
        </is>
      </c>
      <c r="M424" s="210" t="n"/>
      <c r="N424" s="210" t="n"/>
      <c r="O424" s="211" t="inlineStr">
        <is>
          <t>Cầu Km19+529.080</t>
        </is>
      </c>
      <c r="P424" s="212">
        <f>S421</f>
        <v/>
      </c>
      <c r="Q424" s="212">
        <f>P424</f>
        <v/>
      </c>
      <c r="R424" s="212">
        <f>Q424-1</f>
        <v/>
      </c>
      <c r="S424" s="212">
        <f>Q424</f>
        <v/>
      </c>
      <c r="T424" s="213">
        <f>U421</f>
        <v/>
      </c>
      <c r="U424" s="213">
        <f>T424+V424</f>
        <v/>
      </c>
      <c r="V424" s="213" t="n">
        <v>0.01041666666666667</v>
      </c>
      <c r="W424" s="214">
        <f>TEXT(T424,"HH""h""MM'")&amp;"÷"&amp;TEXT(U424,"HH""h""MM'")</f>
        <v/>
      </c>
      <c r="X424" s="214" t="n"/>
      <c r="Y424" s="214" t="n"/>
      <c r="Z424" s="214" t="inlineStr">
        <is>
          <t>11;</t>
        </is>
      </c>
      <c r="AA424" s="215" t="inlineStr">
        <is>
          <t>Rút ống vách  Cọc khoan nhồi Trụ T1 - Cọc C4</t>
        </is>
      </c>
      <c r="AB424" s="204" t="inlineStr">
        <is>
          <t>09-XL-307HG/PYCNT/CKN/T1/C4-2</t>
        </is>
      </c>
      <c r="AC424" s="204" t="inlineStr">
        <is>
          <t>09-XL-307HG/BBNT/CKN/T1/C4-11</t>
        </is>
      </c>
      <c r="AD424" s="204" t="n"/>
      <c r="AE424" s="204" t="n"/>
      <c r="AF424" s="204" t="n"/>
      <c r="AG424" s="204" t="n"/>
      <c r="AH424" s="204" t="n"/>
      <c r="AI424" s="214" t="n"/>
      <c r="AJ424" s="214" t="n"/>
      <c r="AK424" s="217" t="n"/>
      <c r="AL424" s="214" t="n"/>
      <c r="AM424" s="214" t="n"/>
      <c r="AN424" s="214" t="n"/>
      <c r="AO424" s="214" t="n"/>
      <c r="AP424" s="216" t="n"/>
      <c r="AQ424" s="216" t="n"/>
      <c r="AR424" s="214" t="inlineStr">
        <is>
          <t>Nhóm 1</t>
        </is>
      </c>
      <c r="AS424" s="214" t="n"/>
      <c r="AT424" s="214" t="inlineStr">
        <is>
          <t>HM10</t>
        </is>
      </c>
      <c r="AU424" s="214" t="inlineStr">
        <is>
          <t>NTCV</t>
        </is>
      </c>
      <c r="AV424" s="214" t="n">
        <v>155</v>
      </c>
      <c r="AW424" s="214" t="n">
        <v>10</v>
      </c>
      <c r="AX424" s="214" t="n"/>
    </row>
    <row r="425">
      <c r="A425" s="56" t="inlineStr">
        <is>
          <t>BBK544</t>
        </is>
      </c>
      <c r="B425" s="56" t="inlineStr">
        <is>
          <t>PL11</t>
        </is>
      </c>
      <c r="C425" s="56" t="inlineStr">
        <is>
          <t>BBK544.0821931</t>
        </is>
      </c>
      <c r="D425" s="57" t="n"/>
      <c r="E425" s="57" t="n"/>
      <c r="F425" s="57" t="n"/>
      <c r="G425" s="57" t="n"/>
      <c r="H425" s="57" t="n"/>
      <c r="J425" s="198" t="inlineStr">
        <is>
          <t>28</t>
        </is>
      </c>
      <c r="K425" s="198" t="inlineStr">
        <is>
          <t>PL11</t>
        </is>
      </c>
      <c r="L425" s="199" t="inlineStr">
        <is>
          <t>Rút ống vách thi công cọc khoan nhồi</t>
        </is>
      </c>
      <c r="M425" s="199" t="n"/>
      <c r="N425" s="199" t="n"/>
      <c r="O425" s="200" t="inlineStr">
        <is>
          <t>Cầu Km19+529.080</t>
        </is>
      </c>
      <c r="P425" s="201" t="n"/>
      <c r="Q425" s="201" t="n"/>
      <c r="R425" s="201" t="n"/>
      <c r="S425" s="201">
        <f>S424</f>
        <v/>
      </c>
      <c r="T425" s="201" t="n"/>
      <c r="U425" s="201" t="n"/>
      <c r="V425" s="201" t="n"/>
      <c r="W425" s="202" t="n"/>
      <c r="X425" s="202" t="n"/>
      <c r="Y425" s="202" t="n"/>
      <c r="Z425" s="198" t="inlineStr">
        <is>
          <t>11</t>
        </is>
      </c>
      <c r="AA425" s="203" t="n"/>
      <c r="AB425" s="204" t="inlineStr">
        <is>
          <t>09-XL-307HG/PYCNT/CKN/T1/C4-2</t>
        </is>
      </c>
      <c r="AC425" s="204">
        <f>AC424</f>
        <v/>
      </c>
      <c r="AD425" s="204" t="n"/>
      <c r="AE425" s="204" t="n"/>
      <c r="AF425" s="204" t="n"/>
      <c r="AG425" s="204" t="n"/>
      <c r="AH425" s="204" t="inlineStr">
        <is>
          <t>&gt;=194;&lt;=225</t>
        </is>
      </c>
      <c r="AI425" s="202" t="n"/>
      <c r="AJ425" s="202" t="n"/>
      <c r="AK425" s="206" t="n"/>
      <c r="AL425" s="202" t="n"/>
      <c r="AM425" s="202" t="n"/>
      <c r="AN425" s="202" t="n"/>
      <c r="AO425" s="202" t="n"/>
      <c r="AP425" s="207" t="n"/>
      <c r="AQ425" s="207" t="n"/>
      <c r="AR425" s="202" t="inlineStr">
        <is>
          <t>Nhóm 1</t>
        </is>
      </c>
      <c r="AS425" s="202" t="n"/>
      <c r="AT425" s="202" t="inlineStr">
        <is>
          <t>HM10</t>
        </is>
      </c>
      <c r="AU425" s="202" t="inlineStr">
        <is>
          <t>PL11</t>
        </is>
      </c>
      <c r="AV425" s="202" t="n">
        <v>9</v>
      </c>
      <c r="AW425" s="202" t="n">
        <v>1</v>
      </c>
      <c r="AX425" s="202" t="n"/>
    </row>
    <row r="426">
      <c r="A426" s="56" t="inlineStr">
        <is>
          <t>BBK680</t>
        </is>
      </c>
      <c r="B426" s="56" t="inlineStr">
        <is>
          <t>PYC</t>
        </is>
      </c>
      <c r="C426" s="56" t="inlineStr">
        <is>
          <t>BBK680.0176886</t>
        </is>
      </c>
      <c r="D426" s="57" t="n"/>
      <c r="E426" s="57" t="n"/>
      <c r="F426" s="57" t="n"/>
      <c r="G426" s="57" t="n"/>
      <c r="H426" s="57" t="n"/>
      <c r="J426" s="198" t="inlineStr">
        <is>
          <t>29</t>
        </is>
      </c>
      <c r="K426" s="198" t="inlineStr">
        <is>
          <t>PYC</t>
        </is>
      </c>
      <c r="L426" s="199" t="inlineStr">
        <is>
          <t>Phiếu yêu cầu nghiệm thu</t>
        </is>
      </c>
      <c r="M426" s="199" t="n"/>
      <c r="N426" s="199" t="n"/>
      <c r="O426" s="200" t="inlineStr">
        <is>
          <t>Cầu Km19+529.080</t>
        </is>
      </c>
      <c r="P426" s="201" t="n"/>
      <c r="Q426" s="201" t="n"/>
      <c r="R426" s="201">
        <f>R427</f>
        <v/>
      </c>
      <c r="S426" s="201" t="n"/>
      <c r="T426" s="201" t="n"/>
      <c r="U426" s="201" t="n"/>
      <c r="V426" s="201" t="n"/>
      <c r="W426" s="202" t="n"/>
      <c r="X426" s="202" t="n"/>
      <c r="Y426" s="202" t="n"/>
      <c r="Z426" s="202" t="n"/>
      <c r="AA426" s="203" t="n"/>
      <c r="AB426" s="204" t="inlineStr">
        <is>
          <t>09-XL-307HG/PYCNT/CKN/T1/C4</t>
        </is>
      </c>
      <c r="AC426" s="205" t="inlineStr"/>
      <c r="AD426" s="205" t="n"/>
      <c r="AE426" s="205" t="n"/>
      <c r="AF426" s="205" t="n"/>
      <c r="AG426" s="205" t="inlineStr">
        <is>
          <t>NTCV;BBKTĐK</t>
        </is>
      </c>
      <c r="AH426" s="204" t="n">
        <v>11</v>
      </c>
      <c r="AI426" s="202" t="n"/>
      <c r="AJ426" s="202" t="n"/>
      <c r="AK426" s="206" t="n"/>
      <c r="AL426" s="202" t="n"/>
      <c r="AM426" s="202" t="n"/>
      <c r="AN426" s="202" t="n"/>
      <c r="AO426" s="202" t="n"/>
      <c r="AP426" s="207" t="n"/>
      <c r="AQ426" s="207" t="n"/>
      <c r="AR426" s="202" t="inlineStr">
        <is>
          <t>Nhóm 1</t>
        </is>
      </c>
      <c r="AS426" s="202" t="n"/>
      <c r="AT426" s="202" t="inlineStr">
        <is>
          <t>HM10</t>
        </is>
      </c>
      <c r="AU426" s="202" t="inlineStr">
        <is>
          <t>PYC</t>
        </is>
      </c>
      <c r="AV426" s="202" t="n">
        <v>167</v>
      </c>
      <c r="AW426" s="202" t="n">
        <v>3</v>
      </c>
      <c r="AX426" s="202" t="n"/>
    </row>
    <row r="427" ht="28" customHeight="1" s="672">
      <c r="A427" s="56" t="inlineStr">
        <is>
          <t>NTCV</t>
        </is>
      </c>
      <c r="B427" s="56" t="inlineStr">
        <is>
          <t>K.9999</t>
        </is>
      </c>
      <c r="C427" s="56" t="inlineStr">
        <is>
          <t>NTCV.0108785</t>
        </is>
      </c>
      <c r="D427" s="57" t="n"/>
      <c r="E427" s="57" t="n"/>
      <c r="F427" s="57" t="n"/>
      <c r="G427" s="57" t="n"/>
      <c r="H427" s="57" t="n"/>
      <c r="J427" s="209" t="inlineStr">
        <is>
          <t>30</t>
        </is>
      </c>
      <c r="K427" s="209" t="inlineStr">
        <is>
          <t>K.9999</t>
        </is>
      </c>
      <c r="L427" s="210" t="inlineStr">
        <is>
          <t>Theo dõi nén mẫu R7 Cọc khoan nhồi Trụ T1 - Cọc C4</t>
        </is>
      </c>
      <c r="M427" s="210" t="n"/>
      <c r="N427" s="210" t="n"/>
      <c r="O427" s="211" t="inlineStr">
        <is>
          <t>Cầu Km19+529.080</t>
        </is>
      </c>
      <c r="P427" s="212">
        <f>S424+7</f>
        <v/>
      </c>
      <c r="Q427" s="212">
        <f>P427</f>
        <v/>
      </c>
      <c r="R427" s="212">
        <f>Q427-1</f>
        <v/>
      </c>
      <c r="S427" s="212">
        <f>Q427</f>
        <v/>
      </c>
      <c r="T427" s="213" t="n">
        <v>0.3541666666666667</v>
      </c>
      <c r="U427" s="213">
        <f>T427+V427</f>
        <v/>
      </c>
      <c r="V427" s="213" t="n">
        <v>0.02083333333333333</v>
      </c>
      <c r="W427" s="214">
        <f>TEXT(T427,"HH""h""MM'")&amp;"÷"&amp;TEXT(U427,"HH""h""MM'")</f>
        <v/>
      </c>
      <c r="X427" s="214" t="n"/>
      <c r="Y427" s="214" t="n"/>
      <c r="Z427" s="214" t="n"/>
      <c r="AA427" s="215" t="inlineStr">
        <is>
          <t>Theo dõi nén mẫu R7 Cọc khoan nhồi Trụ T1 - Cọc C4</t>
        </is>
      </c>
      <c r="AB427" s="204" t="inlineStr">
        <is>
          <t>09-XL-307HG/PYCNT/CKN/T1/C4-3</t>
        </is>
      </c>
      <c r="AC427" s="204" t="inlineStr">
        <is>
          <t>09-XL-307HG/BBNT/CKN/T1/C4-12</t>
        </is>
      </c>
      <c r="AD427" s="204" t="n"/>
      <c r="AE427" s="204" t="n"/>
      <c r="AF427" s="204" t="n"/>
      <c r="AG427" s="204" t="n"/>
      <c r="AH427" s="204" t="n"/>
      <c r="AI427" s="214" t="n"/>
      <c r="AJ427" s="214" t="n"/>
      <c r="AK427" s="217" t="n"/>
      <c r="AL427" s="214" t="n"/>
      <c r="AM427" s="214" t="n"/>
      <c r="AN427" s="214" t="n"/>
      <c r="AO427" s="214" t="n"/>
      <c r="AP427" s="216" t="n"/>
      <c r="AQ427" s="216" t="n"/>
      <c r="AR427" s="214" t="inlineStr">
        <is>
          <t>Nhóm 1</t>
        </is>
      </c>
      <c r="AS427" s="214" t="n"/>
      <c r="AT427" s="214" t="inlineStr">
        <is>
          <t>HM10</t>
        </is>
      </c>
      <c r="AU427" s="214" t="inlineStr">
        <is>
          <t>NTCV</t>
        </is>
      </c>
      <c r="AV427" s="214" t="n">
        <v>230</v>
      </c>
      <c r="AW427" s="214" t="n">
        <v>11</v>
      </c>
      <c r="AX427" s="214" t="n"/>
    </row>
    <row r="428">
      <c r="A428" s="56" t="inlineStr">
        <is>
          <t>BBK680</t>
        </is>
      </c>
      <c r="B428" s="56" t="inlineStr">
        <is>
          <t>PYC</t>
        </is>
      </c>
      <c r="C428" s="56" t="inlineStr">
        <is>
          <t>BBK680.0010293</t>
        </is>
      </c>
      <c r="D428" s="57" t="n"/>
      <c r="E428" s="57" t="n"/>
      <c r="F428" s="57" t="n"/>
      <c r="G428" s="57" t="n"/>
      <c r="H428" s="57" t="n"/>
      <c r="J428" s="198" t="inlineStr">
        <is>
          <t>31</t>
        </is>
      </c>
      <c r="K428" s="198" t="inlineStr">
        <is>
          <t>PYC</t>
        </is>
      </c>
      <c r="L428" s="199" t="inlineStr">
        <is>
          <t>Phiếu yêu cầu nghiệm thu</t>
        </is>
      </c>
      <c r="M428" s="199" t="n"/>
      <c r="N428" s="199" t="n"/>
      <c r="O428" s="200" t="inlineStr">
        <is>
          <t>Cầu Km19+529.080</t>
        </is>
      </c>
      <c r="P428" s="201" t="n"/>
      <c r="Q428" s="201" t="n"/>
      <c r="R428" s="201">
        <f>+S423+28</f>
        <v/>
      </c>
      <c r="S428" s="201" t="n"/>
      <c r="T428" s="201" t="n"/>
      <c r="U428" s="201" t="n"/>
      <c r="V428" s="201" t="n"/>
      <c r="W428" s="202" t="n"/>
      <c r="X428" s="202" t="n"/>
      <c r="Y428" s="202" t="n"/>
      <c r="Z428" s="202" t="n"/>
      <c r="AA428" s="203" t="n"/>
      <c r="AB428" s="204" t="inlineStr">
        <is>
          <t>09-XL-307HG/PYCNT/CKN/T1/C4</t>
        </is>
      </c>
      <c r="AC428" s="205" t="inlineStr"/>
      <c r="AD428" s="205" t="n"/>
      <c r="AE428" s="205" t="n"/>
      <c r="AF428" s="205" t="n"/>
      <c r="AG428" s="205" t="inlineStr">
        <is>
          <t>NTCV;BBKTĐK</t>
        </is>
      </c>
      <c r="AH428" s="204" t="n">
        <v>12</v>
      </c>
      <c r="AI428" s="202" t="n"/>
      <c r="AJ428" s="202" t="n"/>
      <c r="AK428" s="206" t="n"/>
      <c r="AL428" s="202" t="n"/>
      <c r="AM428" s="202" t="n"/>
      <c r="AN428" s="202" t="n"/>
      <c r="AO428" s="202" t="n"/>
      <c r="AP428" s="207" t="n"/>
      <c r="AQ428" s="207" t="n"/>
      <c r="AR428" s="202" t="inlineStr">
        <is>
          <t>Nhóm 1</t>
        </is>
      </c>
      <c r="AS428" s="202" t="n"/>
      <c r="AT428" s="202" t="inlineStr">
        <is>
          <t>HM10</t>
        </is>
      </c>
      <c r="AU428" s="202" t="inlineStr">
        <is>
          <t>PYC</t>
        </is>
      </c>
      <c r="AV428" s="202" t="n">
        <v>168</v>
      </c>
      <c r="AW428" s="202" t="n">
        <v>4</v>
      </c>
      <c r="AX428" s="202" t="n"/>
    </row>
    <row r="429" ht="28" customHeight="1" s="672">
      <c r="A429" s="56" t="inlineStr">
        <is>
          <t>NTCV</t>
        </is>
      </c>
      <c r="B429" s="56" t="inlineStr">
        <is>
          <t>K.9999</t>
        </is>
      </c>
      <c r="C429" s="56" t="inlineStr">
        <is>
          <t>NTCV.0151656</t>
        </is>
      </c>
      <c r="D429" s="57" t="n"/>
      <c r="E429" s="57" t="n"/>
      <c r="F429" s="57" t="n"/>
      <c r="G429" s="57" t="n"/>
      <c r="H429" s="57" t="n"/>
      <c r="J429" s="209" t="inlineStr">
        <is>
          <t>32</t>
        </is>
      </c>
      <c r="K429" s="209" t="inlineStr">
        <is>
          <t>K.9999</t>
        </is>
      </c>
      <c r="L429" s="210" t="inlineStr">
        <is>
          <t>Đập đầu cọc khoan nhồi Trụ T1 - Cọc C4</t>
        </is>
      </c>
      <c r="M429" s="210" t="n"/>
      <c r="N429" s="210" t="n"/>
      <c r="O429" s="211" t="inlineStr">
        <is>
          <t>Cầu Km19+529.080</t>
        </is>
      </c>
      <c r="P429" s="212">
        <f>S427</f>
        <v/>
      </c>
      <c r="Q429" s="212">
        <f>P429</f>
        <v/>
      </c>
      <c r="R429" s="212">
        <f>Q429-1</f>
        <v/>
      </c>
      <c r="S429" s="212">
        <f>Q429</f>
        <v/>
      </c>
      <c r="T429" s="213" t="n">
        <v>0.3541666666666667</v>
      </c>
      <c r="U429" s="213">
        <f>T429+V429</f>
        <v/>
      </c>
      <c r="V429" s="213" t="n">
        <v>0.0625</v>
      </c>
      <c r="W429" s="214">
        <f>TEXT(T429,"HH""h""MM'")&amp;"÷"&amp;TEXT(U429,"HH""h""MM'")</f>
        <v/>
      </c>
      <c r="X429" s="214" t="n"/>
      <c r="Y429" s="214" t="n"/>
      <c r="Z429" s="214" t="n"/>
      <c r="AA429" s="215" t="inlineStr">
        <is>
          <t>Theo dõi nén mẫu R28 Cọc khoan nhồi Trụ T1 - Cọc C4</t>
        </is>
      </c>
      <c r="AB429" s="204" t="inlineStr">
        <is>
          <t>09-XL-307HG/PYCNT/CKN/T1/C4-4</t>
        </is>
      </c>
      <c r="AC429" s="204" t="inlineStr">
        <is>
          <t>09-XL-307HG/BBNT/CKN/T1/C4-13</t>
        </is>
      </c>
      <c r="AD429" s="204" t="n"/>
      <c r="AE429" s="204" t="n"/>
      <c r="AF429" s="204" t="n"/>
      <c r="AG429" s="204" t="n"/>
      <c r="AH429" s="204" t="n"/>
      <c r="AI429" s="214" t="n"/>
      <c r="AJ429" s="214" t="n"/>
      <c r="AK429" s="217" t="n"/>
      <c r="AL429" s="214" t="n"/>
      <c r="AM429" s="214" t="n"/>
      <c r="AN429" s="214" t="n"/>
      <c r="AO429" s="214" t="n"/>
      <c r="AP429" s="216" t="n"/>
      <c r="AQ429" s="216" t="n"/>
      <c r="AR429" s="214" t="inlineStr">
        <is>
          <t>Nhóm 1</t>
        </is>
      </c>
      <c r="AS429" s="214" t="n"/>
      <c r="AT429" s="214" t="inlineStr">
        <is>
          <t>HM10</t>
        </is>
      </c>
      <c r="AU429" s="214" t="inlineStr">
        <is>
          <t>NTCV</t>
        </is>
      </c>
      <c r="AV429" s="214" t="n">
        <v>231</v>
      </c>
      <c r="AW429" s="214" t="n">
        <v>12</v>
      </c>
      <c r="AX429" s="214" t="n"/>
    </row>
    <row r="430">
      <c r="A430" s="56" t="inlineStr">
        <is>
          <t>HM</t>
        </is>
      </c>
      <c r="B430" s="56" t="inlineStr">
        <is>
          <t>HM</t>
        </is>
      </c>
      <c r="C430" s="56" t="inlineStr">
        <is>
          <t>HM.0377407</t>
        </is>
      </c>
      <c r="D430" s="57" t="n"/>
      <c r="E430" s="57" t="n"/>
      <c r="F430" s="57" t="n"/>
      <c r="G430" s="57" t="n"/>
      <c r="H430" s="57" t="n"/>
      <c r="J430" s="246" t="inlineStr">
        <is>
          <t>HM11</t>
        </is>
      </c>
      <c r="K430" s="246" t="inlineStr">
        <is>
          <t>HM</t>
        </is>
      </c>
      <c r="L430" s="247" t="inlineStr">
        <is>
          <t>Trụ T1 - Cọc C5 (Cọc PDA)</t>
        </is>
      </c>
      <c r="M430" s="247" t="n"/>
      <c r="N430" s="247" t="n"/>
      <c r="O430" s="248" t="inlineStr">
        <is>
          <t>Cầu Km19+529.080</t>
        </is>
      </c>
      <c r="P430" s="249" t="n"/>
      <c r="Q430" s="249" t="n"/>
      <c r="R430" s="249" t="n"/>
      <c r="S430" s="249" t="n"/>
      <c r="T430" s="249" t="n"/>
      <c r="U430" s="249" t="n"/>
      <c r="V430" s="249" t="n"/>
      <c r="W430" s="250" t="n"/>
      <c r="X430" s="250" t="n"/>
      <c r="Y430" s="250" t="n"/>
      <c r="Z430" s="250" t="n"/>
      <c r="AA430" s="251" t="n"/>
      <c r="AB430" s="252" t="n"/>
      <c r="AC430" s="252" t="inlineStr"/>
      <c r="AD430" s="252" t="n"/>
      <c r="AE430" s="252" t="n"/>
      <c r="AF430" s="252" t="n"/>
      <c r="AG430" s="252" t="n"/>
      <c r="AH430" s="252" t="n"/>
      <c r="AI430" s="250" t="n"/>
      <c r="AJ430" s="250" t="n"/>
      <c r="AK430" s="253" t="n"/>
      <c r="AL430" s="250" t="n"/>
      <c r="AM430" s="250" t="n"/>
      <c r="AN430" s="250" t="n"/>
      <c r="AO430" s="250" t="n"/>
      <c r="AP430" s="254" t="n"/>
      <c r="AQ430" s="254" t="n"/>
      <c r="AR430" s="250" t="n"/>
      <c r="AS430" s="250" t="n"/>
      <c r="AT430" s="250" t="inlineStr">
        <is>
          <t>HM11</t>
        </is>
      </c>
      <c r="AU430" s="250" t="inlineStr">
        <is>
          <t>HM</t>
        </is>
      </c>
      <c r="AV430" s="250" t="n"/>
      <c r="AW430" s="250" t="n"/>
      <c r="AX430" s="250" t="n"/>
    </row>
    <row r="431" ht="28" customFormat="1" customHeight="1" s="70">
      <c r="A431" s="68" t="inlineStr">
        <is>
          <t>BBK_BIA</t>
        </is>
      </c>
      <c r="B431" s="68" t="inlineStr">
        <is>
          <t>TRANGBIA</t>
        </is>
      </c>
      <c r="C431" s="68" t="inlineStr">
        <is>
          <t>BBK_BIA.0188131</t>
        </is>
      </c>
      <c r="D431" s="69" t="n"/>
      <c r="E431" s="69" t="n"/>
      <c r="F431" s="69" t="n"/>
      <c r="G431" s="69" t="n"/>
      <c r="H431" s="69" t="n"/>
      <c r="J431" s="98" t="inlineStr">
        <is>
          <t>01</t>
        </is>
      </c>
      <c r="K431" s="98" t="inlineStr">
        <is>
          <t>TRANGBIA</t>
        </is>
      </c>
      <c r="L431" s="99">
        <f>"Cọc Khoan Nhồi"&amp;" - "&amp;L430</f>
        <v/>
      </c>
      <c r="M431" s="99" t="n"/>
      <c r="N431" s="99" t="n"/>
      <c r="O431" s="100" t="inlineStr">
        <is>
          <t>Cầu Km19+529.080</t>
        </is>
      </c>
      <c r="P431" s="101" t="n"/>
      <c r="Q431" s="101" t="n"/>
      <c r="R431" s="101" t="n"/>
      <c r="S431" s="101" t="n"/>
      <c r="T431" s="101" t="n"/>
      <c r="U431" s="101" t="n"/>
      <c r="V431" s="101" t="n"/>
      <c r="W431" s="102" t="n"/>
      <c r="X431" s="102" t="n"/>
      <c r="Y431" s="102" t="n"/>
      <c r="Z431" s="102" t="n"/>
      <c r="AA431" s="102" t="n"/>
      <c r="AB431" s="102" t="n"/>
      <c r="AC431" s="102" t="inlineStr"/>
      <c r="AD431" s="102" t="n"/>
      <c r="AE431" s="102" t="n"/>
      <c r="AF431" s="102" t="n"/>
      <c r="AG431" s="102" t="n"/>
      <c r="AH431" s="102" t="n"/>
      <c r="AI431" s="102" t="n"/>
      <c r="AJ431" s="102" t="n"/>
      <c r="AK431" s="100" t="n"/>
      <c r="AL431" s="102" t="n"/>
      <c r="AM431" s="102" t="n"/>
      <c r="AN431" s="102" t="n"/>
      <c r="AO431" s="102" t="n"/>
      <c r="AP431" s="103" t="inlineStr">
        <is>
          <t>Kết cấu cọc khoan nhồi mố, trụ</t>
        </is>
      </c>
      <c r="AQ431" s="104" t="n"/>
      <c r="AR431" s="102" t="inlineStr">
        <is>
          <t>Nhóm 1</t>
        </is>
      </c>
      <c r="AS431" s="102" t="n"/>
      <c r="AT431" s="102" t="inlineStr">
        <is>
          <t>HM11</t>
        </is>
      </c>
      <c r="AU431" s="102" t="inlineStr">
        <is>
          <t>TRANGBIA</t>
        </is>
      </c>
      <c r="AV431" s="102" t="n">
        <v>11</v>
      </c>
      <c r="AW431" s="102" t="n">
        <v>1</v>
      </c>
      <c r="AX431" s="102" t="n"/>
    </row>
    <row r="432" customFormat="1" s="70">
      <c r="A432" s="68" t="inlineStr">
        <is>
          <t>BBK_ML</t>
        </is>
      </c>
      <c r="B432" s="68" t="inlineStr">
        <is>
          <t>MUCLUC</t>
        </is>
      </c>
      <c r="C432" s="68" t="inlineStr">
        <is>
          <t>BBK_ML.0979530</t>
        </is>
      </c>
      <c r="D432" s="69" t="n"/>
      <c r="E432" s="69" t="n"/>
      <c r="F432" s="69" t="n"/>
      <c r="G432" s="69" t="n"/>
      <c r="H432" s="69" t="n"/>
      <c r="J432" s="98" t="inlineStr">
        <is>
          <t>02</t>
        </is>
      </c>
      <c r="K432" s="98" t="inlineStr">
        <is>
          <t>MUCLUC</t>
        </is>
      </c>
      <c r="L432" s="99" t="inlineStr">
        <is>
          <t>Danh mục biên bản Kiểm tra/Nghiệm thu</t>
        </is>
      </c>
      <c r="M432" s="99" t="n"/>
      <c r="N432" s="99" t="n"/>
      <c r="O432" s="100" t="inlineStr">
        <is>
          <t>Cầu Km19+529.080</t>
        </is>
      </c>
      <c r="P432" s="101" t="n"/>
      <c r="Q432" s="101" t="n"/>
      <c r="R432" s="101" t="n"/>
      <c r="S432" s="101" t="n"/>
      <c r="T432" s="101" t="n"/>
      <c r="U432" s="101" t="n"/>
      <c r="V432" s="101" t="n"/>
      <c r="W432" s="102" t="n"/>
      <c r="X432" s="102" t="n"/>
      <c r="Y432" s="102" t="n"/>
      <c r="Z432" s="102" t="n"/>
      <c r="AA432" s="102" t="n"/>
      <c r="AB432" s="102" t="n"/>
      <c r="AC432" s="102" t="inlineStr"/>
      <c r="AD432" s="102" t="n"/>
      <c r="AE432" s="102" t="n"/>
      <c r="AF432" s="102" t="n"/>
      <c r="AG432" s="102" t="n"/>
      <c r="AH432" s="102" t="n"/>
      <c r="AI432" s="102" t="n"/>
      <c r="AJ432" s="102" t="n"/>
      <c r="AK432" s="100" t="n"/>
      <c r="AL432" s="102" t="n"/>
      <c r="AM432" s="102" t="n"/>
      <c r="AN432" s="102" t="n"/>
      <c r="AO432" s="102" t="n"/>
      <c r="AP432" s="104" t="n"/>
      <c r="AQ432" s="104" t="n"/>
      <c r="AR432" s="102" t="inlineStr">
        <is>
          <t>Nhóm 1</t>
        </is>
      </c>
      <c r="AS432" s="102" t="n"/>
      <c r="AT432" s="102" t="inlineStr">
        <is>
          <t>HM11</t>
        </is>
      </c>
      <c r="AU432" s="102" t="inlineStr">
        <is>
          <t>MUCLUC</t>
        </is>
      </c>
      <c r="AV432" s="102" t="n">
        <v>11</v>
      </c>
      <c r="AW432" s="102" t="n">
        <v>1</v>
      </c>
      <c r="AX432" s="102" t="n"/>
    </row>
    <row r="433">
      <c r="A433" s="56" t="inlineStr">
        <is>
          <t>BBK680</t>
        </is>
      </c>
      <c r="B433" s="56" t="inlineStr">
        <is>
          <t>PYC</t>
        </is>
      </c>
      <c r="C433" s="56" t="inlineStr">
        <is>
          <t>BBK680.0872118</t>
        </is>
      </c>
      <c r="D433" s="57" t="n"/>
      <c r="E433" s="57" t="n"/>
      <c r="F433" s="57" t="n"/>
      <c r="G433" s="57" t="n"/>
      <c r="H433" s="57" t="n"/>
      <c r="J433" s="198" t="inlineStr">
        <is>
          <t>03</t>
        </is>
      </c>
      <c r="K433" s="198" t="inlineStr">
        <is>
          <t>PYC</t>
        </is>
      </c>
      <c r="L433" s="199" t="inlineStr">
        <is>
          <t>Phiếu yêu cầu nghiệm thu</t>
        </is>
      </c>
      <c r="M433" s="199" t="n"/>
      <c r="N433" s="199" t="n"/>
      <c r="O433" s="200" t="inlineStr">
        <is>
          <t>Cầu Km19+529.080</t>
        </is>
      </c>
      <c r="P433" s="201" t="n"/>
      <c r="Q433" s="201" t="n"/>
      <c r="R433" s="201">
        <f>R434</f>
        <v/>
      </c>
      <c r="S433" s="201" t="n"/>
      <c r="T433" s="201" t="n"/>
      <c r="U433" s="201" t="n"/>
      <c r="V433" s="201" t="n"/>
      <c r="W433" s="202" t="n"/>
      <c r="X433" s="202" t="n"/>
      <c r="Y433" s="202" t="n"/>
      <c r="Z433" s="202" t="n"/>
      <c r="AA433" s="203" t="n"/>
      <c r="AB433" s="204" t="inlineStr">
        <is>
          <t>09-XL-307HG/PYCNT/CKN/T1/C5</t>
        </is>
      </c>
      <c r="AC433" s="205" t="inlineStr"/>
      <c r="AD433" s="205" t="n"/>
      <c r="AE433" s="205" t="n"/>
      <c r="AF433" s="205" t="n"/>
      <c r="AG433" s="205" t="inlineStr">
        <is>
          <t>NTCV;BBKTĐK</t>
        </is>
      </c>
      <c r="AH433" s="204" t="inlineStr">
        <is>
          <t>&gt;=1;&lt;=5</t>
        </is>
      </c>
      <c r="AI433" s="202" t="n"/>
      <c r="AJ433" s="202" t="n"/>
      <c r="AK433" s="206" t="n"/>
      <c r="AL433" s="202" t="n"/>
      <c r="AM433" s="202" t="n"/>
      <c r="AN433" s="202" t="n"/>
      <c r="AO433" s="202" t="n"/>
      <c r="AP433" s="207" t="n"/>
      <c r="AQ433" s="207" t="n"/>
      <c r="AR433" s="202" t="inlineStr">
        <is>
          <t>Nhóm 1</t>
        </is>
      </c>
      <c r="AS433" s="202" t="n"/>
      <c r="AT433" s="202" t="inlineStr">
        <is>
          <t>HM11</t>
        </is>
      </c>
      <c r="AU433" s="202" t="inlineStr">
        <is>
          <t>PYC</t>
        </is>
      </c>
      <c r="AV433" s="202" t="n">
        <v>169</v>
      </c>
      <c r="AW433" s="202" t="n">
        <v>1</v>
      </c>
      <c r="AX433" s="202" t="n"/>
    </row>
    <row r="434" ht="28" customHeight="1" s="672">
      <c r="A434" s="56" t="inlineStr">
        <is>
          <t>BBK884</t>
        </is>
      </c>
      <c r="B434" s="56" t="inlineStr">
        <is>
          <t>BBKTĐK</t>
        </is>
      </c>
      <c r="C434" s="56" t="inlineStr">
        <is>
          <t>BBK884.0581502</t>
        </is>
      </c>
      <c r="D434" s="57" t="n"/>
      <c r="E434" s="57" t="n"/>
      <c r="F434" s="57" t="n"/>
      <c r="G434" s="57" t="n"/>
      <c r="H434" s="57" t="n"/>
      <c r="J434" s="198" t="inlineStr">
        <is>
          <t>04</t>
        </is>
      </c>
      <c r="K434" s="198" t="inlineStr">
        <is>
          <t>BBKTĐK</t>
        </is>
      </c>
      <c r="L434" s="199" t="inlineStr">
        <is>
          <t>Kiểm tra điều kiện trước khi thi công cọc khoan nhồi: Thiết bị, nhân lực, vật tư</t>
        </is>
      </c>
      <c r="M434" s="199" t="n"/>
      <c r="N434" s="199" t="n"/>
      <c r="O434" s="200" t="inlineStr">
        <is>
          <t>Cầu Km19+529.080</t>
        </is>
      </c>
      <c r="P434" s="201" t="n">
        <v>46179</v>
      </c>
      <c r="Q434" s="201">
        <f>P434</f>
        <v/>
      </c>
      <c r="R434" s="201">
        <f>Q434-1</f>
        <v/>
      </c>
      <c r="S434" s="201">
        <f>Q434</f>
        <v/>
      </c>
      <c r="T434" s="208" t="n">
        <v>0.2916666666666667</v>
      </c>
      <c r="U434" s="208">
        <f>T434+V434</f>
        <v/>
      </c>
      <c r="V434" s="208" t="n">
        <v>0.02083333333333333</v>
      </c>
      <c r="W434" s="202">
        <f>TEXT(T434,"HH""h""MM'")&amp;"÷"&amp;TEXT(U434,"HH""h""MM'")</f>
        <v/>
      </c>
      <c r="X434" s="202" t="n"/>
      <c r="Y434" s="202" t="n"/>
      <c r="Z434" s="202" t="inlineStr">
        <is>
          <t>01;</t>
        </is>
      </c>
      <c r="AA434" s="200" t="inlineStr">
        <is>
          <t>Kiểm tra điều kiện trước khi thi công Cọc khoan nhồi cọc ( Cọc PDA)</t>
        </is>
      </c>
      <c r="AB434" s="205" t="inlineStr">
        <is>
          <t>09-XL-307HG/PYCNT/CKN/T1/C5-1</t>
        </is>
      </c>
      <c r="AC434" s="205" t="inlineStr">
        <is>
          <t>09-XL-307HG/BBNT/CKN/T1/C5-1</t>
        </is>
      </c>
      <c r="AD434" s="205" t="n"/>
      <c r="AE434" s="205" t="n"/>
      <c r="AF434" s="205" t="n"/>
      <c r="AG434" s="205" t="n"/>
      <c r="AH434" s="205" t="n"/>
      <c r="AI434" s="207" t="n"/>
      <c r="AJ434" s="214" t="n"/>
      <c r="AK434" s="217" t="n"/>
      <c r="AL434" s="214" t="n"/>
      <c r="AM434" s="214" t="n"/>
      <c r="AN434" s="214" t="n"/>
      <c r="AO434" s="202" t="n"/>
      <c r="AP434" s="207" t="n"/>
      <c r="AQ434" s="207" t="n"/>
      <c r="AR434" s="202" t="inlineStr">
        <is>
          <t>Nhóm 1</t>
        </is>
      </c>
      <c r="AS434" s="202" t="n"/>
      <c r="AT434" s="202" t="inlineStr">
        <is>
          <t>HM11</t>
        </is>
      </c>
      <c r="AU434" s="202" t="inlineStr">
        <is>
          <t>BBKTĐK</t>
        </is>
      </c>
      <c r="AV434" s="202" t="n">
        <v>1</v>
      </c>
      <c r="AW434" s="202" t="n">
        <v>1</v>
      </c>
      <c r="AX434" s="202" t="n"/>
    </row>
    <row r="435" ht="28" customHeight="1" s="672">
      <c r="A435" s="56" t="inlineStr">
        <is>
          <t>BBK860</t>
        </is>
      </c>
      <c r="B435" s="56" t="inlineStr">
        <is>
          <t>PL01</t>
        </is>
      </c>
      <c r="C435" s="56" t="inlineStr">
        <is>
          <t>BBK860.0729410</t>
        </is>
      </c>
      <c r="D435" s="57" t="n"/>
      <c r="E435" s="57" t="n"/>
      <c r="F435" s="57" t="n"/>
      <c r="G435" s="57" t="n"/>
      <c r="H435" s="57" t="n"/>
      <c r="J435" s="198" t="inlineStr">
        <is>
          <t>05</t>
        </is>
      </c>
      <c r="K435" s="198" t="inlineStr">
        <is>
          <t>PL01</t>
        </is>
      </c>
      <c r="L435" s="199" t="inlineStr">
        <is>
          <t>Máy móc, thiết bị, nhân lực, vật tư thi công cọc khoan nhồi</t>
        </is>
      </c>
      <c r="M435" s="199" t="n"/>
      <c r="N435" s="199" t="n"/>
      <c r="O435" s="199" t="inlineStr">
        <is>
          <t>Cầu Km19+529.080</t>
        </is>
      </c>
      <c r="P435" s="201" t="n"/>
      <c r="Q435" s="201" t="n"/>
      <c r="R435" s="201" t="n"/>
      <c r="S435" s="201">
        <f>S434</f>
        <v/>
      </c>
      <c r="T435" s="201" t="n"/>
      <c r="U435" s="201" t="n"/>
      <c r="V435" s="201" t="n"/>
      <c r="W435" s="202" t="n"/>
      <c r="X435" s="202" t="n"/>
      <c r="Y435" s="202" t="n"/>
      <c r="Z435" s="198" t="inlineStr">
        <is>
          <t>01</t>
        </is>
      </c>
      <c r="AA435" s="203" t="n"/>
      <c r="AB435" s="204" t="inlineStr">
        <is>
          <t>09-XL-307HG/PYCNT/CKN/T1/C5-1</t>
        </is>
      </c>
      <c r="AC435" s="204">
        <f>AC434</f>
        <v/>
      </c>
      <c r="AD435" s="204" t="n"/>
      <c r="AE435" s="204" t="n"/>
      <c r="AF435" s="204" t="n"/>
      <c r="AG435" s="204" t="n"/>
      <c r="AH435" s="204" t="inlineStr">
        <is>
          <t>CKN</t>
        </is>
      </c>
      <c r="AI435" s="207" t="n"/>
      <c r="AJ435" s="202" t="n"/>
      <c r="AK435" s="206" t="n"/>
      <c r="AL435" s="202" t="n"/>
      <c r="AM435" s="202" t="n"/>
      <c r="AN435" s="202" t="n"/>
      <c r="AO435" s="202" t="n"/>
      <c r="AP435" s="207" t="n"/>
      <c r="AQ435" s="207" t="n"/>
      <c r="AR435" s="202" t="inlineStr">
        <is>
          <t>Nhóm 1</t>
        </is>
      </c>
      <c r="AS435" s="202" t="n"/>
      <c r="AT435" s="202" t="inlineStr">
        <is>
          <t>HM11</t>
        </is>
      </c>
      <c r="AU435" s="202" t="inlineStr">
        <is>
          <t>PL01</t>
        </is>
      </c>
      <c r="AV435" s="202" t="n">
        <v>1</v>
      </c>
      <c r="AW435" s="202" t="n">
        <v>1</v>
      </c>
      <c r="AX435" s="202" t="n"/>
    </row>
    <row r="436" ht="42" customHeight="1" s="672">
      <c r="A436" s="56" t="inlineStr">
        <is>
          <t>NTCV</t>
        </is>
      </c>
      <c r="B436" s="56" t="inlineStr">
        <is>
          <t>K.9999</t>
        </is>
      </c>
      <c r="C436" s="56" t="inlineStr">
        <is>
          <t>NTCV.0145000</t>
        </is>
      </c>
      <c r="D436" s="57" t="n"/>
      <c r="E436" s="57" t="n"/>
      <c r="F436" s="57" t="n"/>
      <c r="G436" s="57" t="n"/>
      <c r="H436" s="57" t="n"/>
      <c r="J436" s="209" t="inlineStr">
        <is>
          <t>06</t>
        </is>
      </c>
      <c r="K436" s="209" t="inlineStr">
        <is>
          <t>K.9999</t>
        </is>
      </c>
      <c r="L436" s="210" t="inlineStr">
        <is>
          <t>Kiểm tra ống vách, dung dịch bentonite trước khi khoan cọc khoan nhồi</t>
        </is>
      </c>
      <c r="M436" s="210" t="n"/>
      <c r="N436" s="210" t="n"/>
      <c r="O436" s="211" t="inlineStr">
        <is>
          <t>Cầu Km19+529.080</t>
        </is>
      </c>
      <c r="P436" s="212">
        <f>S434</f>
        <v/>
      </c>
      <c r="Q436" s="212">
        <f>P436</f>
        <v/>
      </c>
      <c r="R436" s="212">
        <f>Q436-1</f>
        <v/>
      </c>
      <c r="S436" s="212">
        <f>Q436</f>
        <v/>
      </c>
      <c r="T436" s="213">
        <f>U434</f>
        <v/>
      </c>
      <c r="U436" s="213">
        <f>T436+V436</f>
        <v/>
      </c>
      <c r="V436" s="213" t="n">
        <v>0.02083333333333333</v>
      </c>
      <c r="W436" s="214">
        <f>TEXT(T436,"HH""h""MM'")&amp;"÷"&amp;TEXT(U436,"HH""h""MM'")</f>
        <v/>
      </c>
      <c r="X436" s="214" t="n"/>
      <c r="Y436" s="214" t="n"/>
      <c r="Z436" s="214" t="inlineStr">
        <is>
          <t>02; 02a</t>
        </is>
      </c>
      <c r="AA436" s="215" t="inlineStr">
        <is>
          <t>Kiểm tra ống vách, dung dịch bentonite Cọc khoan nhồi cọc ( Cọc PDA) trước khi khoan</t>
        </is>
      </c>
      <c r="AB436" s="204" t="inlineStr">
        <is>
          <t>09-XL-307HG/PYCNT/CKN/T1/C5-1</t>
        </is>
      </c>
      <c r="AC436" s="204" t="inlineStr">
        <is>
          <t>09-XL-307HG/BBNT/CKN/T1/C5-2</t>
        </is>
      </c>
      <c r="AD436" s="204" t="n"/>
      <c r="AE436" s="204" t="n"/>
      <c r="AF436" s="204" t="n"/>
      <c r="AG436" s="204" t="n"/>
      <c r="AH436" s="204" t="n"/>
      <c r="AI436" s="216" t="n"/>
      <c r="AJ436" s="214" t="n"/>
      <c r="AK436" s="217" t="n"/>
      <c r="AL436" s="214" t="n"/>
      <c r="AM436" s="214" t="n"/>
      <c r="AN436" s="214" t="n"/>
      <c r="AO436" s="214" t="n"/>
      <c r="AP436" s="216" t="n"/>
      <c r="AQ436" s="216" t="n"/>
      <c r="AR436" s="214" t="inlineStr">
        <is>
          <t>Nhóm 1</t>
        </is>
      </c>
      <c r="AS436" s="214" t="n"/>
      <c r="AT436" s="214" t="inlineStr">
        <is>
          <t>HM11</t>
        </is>
      </c>
      <c r="AU436" s="214" t="inlineStr">
        <is>
          <t>NTCV</t>
        </is>
      </c>
      <c r="AV436" s="214" t="n">
        <v>58</v>
      </c>
      <c r="AW436" s="214" t="n">
        <v>1</v>
      </c>
      <c r="AX436" s="214" t="n"/>
    </row>
    <row r="437">
      <c r="A437" s="56" t="inlineStr">
        <is>
          <t>BBK170</t>
        </is>
      </c>
      <c r="B437" s="56" t="inlineStr">
        <is>
          <t>PL02</t>
        </is>
      </c>
      <c r="C437" s="56" t="inlineStr">
        <is>
          <t>BBK170.0257789</t>
        </is>
      </c>
      <c r="D437" s="57" t="n"/>
      <c r="E437" s="57" t="n"/>
      <c r="F437" s="57" t="n"/>
      <c r="G437" s="57" t="n"/>
      <c r="H437" s="57" t="n"/>
      <c r="J437" s="198" t="inlineStr">
        <is>
          <t>07</t>
        </is>
      </c>
      <c r="K437" s="198" t="inlineStr">
        <is>
          <t>PL02</t>
        </is>
      </c>
      <c r="L437" s="199" t="inlineStr">
        <is>
          <t>Kiểm tra ống vách thi công trước khi hạ</t>
        </is>
      </c>
      <c r="M437" s="199" t="n"/>
      <c r="N437" s="199" t="n"/>
      <c r="O437" s="200" t="inlineStr">
        <is>
          <t>Cầu Km19+529.080</t>
        </is>
      </c>
      <c r="P437" s="201" t="n"/>
      <c r="Q437" s="201" t="n"/>
      <c r="R437" s="201" t="n"/>
      <c r="S437" s="201">
        <f>S436</f>
        <v/>
      </c>
      <c r="T437" s="201" t="n"/>
      <c r="U437" s="201" t="n"/>
      <c r="V437" s="201" t="n"/>
      <c r="W437" s="202" t="n"/>
      <c r="X437" s="202" t="n"/>
      <c r="Y437" s="202" t="n"/>
      <c r="Z437" s="198" t="inlineStr">
        <is>
          <t>02</t>
        </is>
      </c>
      <c r="AA437" s="203" t="n"/>
      <c r="AB437" s="204" t="inlineStr">
        <is>
          <t>09-XL-307HG/PYCNT/CKN/T1/C5-1</t>
        </is>
      </c>
      <c r="AC437" s="204">
        <f>AC436</f>
        <v/>
      </c>
      <c r="AD437" s="204" t="n"/>
      <c r="AE437" s="204" t="n"/>
      <c r="AF437" s="204" t="n"/>
      <c r="AG437" s="204" t="n"/>
      <c r="AH437" s="204" t="inlineStr">
        <is>
          <t>CKN</t>
        </is>
      </c>
      <c r="AI437" s="207" t="n"/>
      <c r="AJ437" s="202" t="n"/>
      <c r="AK437" s="206" t="n"/>
      <c r="AL437" s="202" t="n"/>
      <c r="AM437" s="202" t="n"/>
      <c r="AN437" s="202" t="n"/>
      <c r="AO437" s="202" t="n"/>
      <c r="AP437" s="207" t="n"/>
      <c r="AQ437" s="207" t="inlineStr">
        <is>
          <t>Ảnh\PL02 CKN.png</t>
        </is>
      </c>
      <c r="AR437" s="202" t="inlineStr">
        <is>
          <t>Nhóm 1</t>
        </is>
      </c>
      <c r="AS437" s="202" t="n"/>
      <c r="AT437" s="202" t="inlineStr">
        <is>
          <t>HM11</t>
        </is>
      </c>
      <c r="AU437" s="202" t="inlineStr">
        <is>
          <t>PL02</t>
        </is>
      </c>
      <c r="AV437" s="202" t="n">
        <v>1</v>
      </c>
      <c r="AW437" s="202" t="n">
        <v>1</v>
      </c>
      <c r="AX437" s="202" t="n"/>
    </row>
    <row r="438">
      <c r="A438" s="56" t="inlineStr">
        <is>
          <t>BBK721</t>
        </is>
      </c>
      <c r="B438" s="56" t="inlineStr">
        <is>
          <t>PL02a</t>
        </is>
      </c>
      <c r="C438" s="56" t="inlineStr">
        <is>
          <t>BBK721.0028246</t>
        </is>
      </c>
      <c r="D438" s="57" t="n"/>
      <c r="E438" s="57" t="n"/>
      <c r="F438" s="57" t="n"/>
      <c r="G438" s="57" t="n"/>
      <c r="H438" s="57" t="n"/>
      <c r="J438" s="198" t="inlineStr">
        <is>
          <t>08</t>
        </is>
      </c>
      <c r="K438" s="198" t="inlineStr">
        <is>
          <t>PL02a</t>
        </is>
      </c>
      <c r="L438" s="199" t="inlineStr">
        <is>
          <t>Kiểm tra ống vách thi công trước khi hạ</t>
        </is>
      </c>
      <c r="M438" s="199" t="n"/>
      <c r="N438" s="199" t="n"/>
      <c r="O438" s="200" t="inlineStr">
        <is>
          <t>Cầu Km19+529.080</t>
        </is>
      </c>
      <c r="P438" s="201" t="n"/>
      <c r="Q438" s="201" t="n"/>
      <c r="R438" s="201" t="n"/>
      <c r="S438" s="201">
        <f>S437</f>
        <v/>
      </c>
      <c r="T438" s="201" t="n"/>
      <c r="U438" s="201" t="n"/>
      <c r="V438" s="201" t="n"/>
      <c r="W438" s="202" t="n"/>
      <c r="X438" s="202" t="n"/>
      <c r="Y438" s="202" t="n"/>
      <c r="Z438" s="198" t="inlineStr">
        <is>
          <t>02a</t>
        </is>
      </c>
      <c r="AA438" s="203" t="n"/>
      <c r="AB438" s="204" t="inlineStr">
        <is>
          <t>09-XL-307HG/PYCNT/CKN/T1/C5-1</t>
        </is>
      </c>
      <c r="AC438" s="204">
        <f>AC437</f>
        <v/>
      </c>
      <c r="AD438" s="204" t="n"/>
      <c r="AE438" s="204" t="n"/>
      <c r="AF438" s="204" t="n"/>
      <c r="AG438" s="204" t="n"/>
      <c r="AH438" s="204" t="n"/>
      <c r="AI438" s="207" t="n"/>
      <c r="AJ438" s="202" t="n"/>
      <c r="AK438" s="206" t="n"/>
      <c r="AL438" s="202" t="n"/>
      <c r="AM438" s="202" t="n"/>
      <c r="AN438" s="202" t="n"/>
      <c r="AO438" s="202" t="n"/>
      <c r="AP438" s="207" t="n"/>
      <c r="AQ438" s="207" t="n"/>
      <c r="AR438" s="202" t="inlineStr">
        <is>
          <t>Nhóm 1</t>
        </is>
      </c>
      <c r="AS438" s="202" t="n"/>
      <c r="AT438" s="202" t="inlineStr">
        <is>
          <t>HM11</t>
        </is>
      </c>
      <c r="AU438" s="202" t="inlineStr">
        <is>
          <t>PL02a</t>
        </is>
      </c>
      <c r="AV438" s="202" t="n">
        <v>1</v>
      </c>
      <c r="AW438" s="202" t="n">
        <v>1</v>
      </c>
      <c r="AX438" s="202" t="n"/>
    </row>
    <row r="439" ht="28" customHeight="1" s="672">
      <c r="A439" s="56" t="inlineStr">
        <is>
          <t>NTCV</t>
        </is>
      </c>
      <c r="B439" s="56" t="inlineStr">
        <is>
          <t>K.9999</t>
        </is>
      </c>
      <c r="C439" s="56" t="inlineStr">
        <is>
          <t>NTCV.0827898</t>
        </is>
      </c>
      <c r="D439" s="57" t="n"/>
      <c r="E439" s="57" t="n"/>
      <c r="F439" s="57" t="n"/>
      <c r="G439" s="57" t="n"/>
      <c r="H439" s="57" t="n"/>
      <c r="J439" s="209" t="inlineStr">
        <is>
          <t>09</t>
        </is>
      </c>
      <c r="K439" s="209" t="inlineStr">
        <is>
          <t>K.9999</t>
        </is>
      </c>
      <c r="L439" s="210" t="inlineStr">
        <is>
          <t>Kiểm tra định vị tim cọc khoan nhồi, hạ ống vách thi công</t>
        </is>
      </c>
      <c r="M439" s="210" t="n"/>
      <c r="N439" s="210" t="n"/>
      <c r="O439" s="211" t="inlineStr">
        <is>
          <t>Cầu Km19+529.080</t>
        </is>
      </c>
      <c r="P439" s="212">
        <f>S436</f>
        <v/>
      </c>
      <c r="Q439" s="212">
        <f>P439</f>
        <v/>
      </c>
      <c r="R439" s="212">
        <f>Q439-1</f>
        <v/>
      </c>
      <c r="S439" s="212">
        <f>Q439</f>
        <v/>
      </c>
      <c r="T439" s="213">
        <f>U436</f>
        <v/>
      </c>
      <c r="U439" s="213">
        <f>T439+V439</f>
        <v/>
      </c>
      <c r="V439" s="213" t="n">
        <v>0.02083333333333333</v>
      </c>
      <c r="W439" s="214">
        <f>TEXT(T439,"HH""h""MM'")&amp;"÷"&amp;TEXT(U439,"HH""h""MM'")</f>
        <v/>
      </c>
      <c r="X439" s="214" t="n"/>
      <c r="Y439" s="214" t="n"/>
      <c r="Z439" s="214" t="inlineStr">
        <is>
          <t>03;</t>
        </is>
      </c>
      <c r="AA439" s="215" t="inlineStr">
        <is>
          <t>Kiểm tra định vị Cọc khoan nhồi Trụ T1 - Cọc C5 ( Cọc PDA)</t>
        </is>
      </c>
      <c r="AB439" s="204" t="inlineStr">
        <is>
          <t>09-XL-307HG/PYCNT/CKN/T1/C5-1</t>
        </is>
      </c>
      <c r="AC439" s="204" t="inlineStr">
        <is>
          <t>09-XL-307HG/BBNT/CKN/T1/C5-3</t>
        </is>
      </c>
      <c r="AD439" s="204" t="n"/>
      <c r="AE439" s="204" t="n"/>
      <c r="AF439" s="204" t="n"/>
      <c r="AG439" s="204" t="n"/>
      <c r="AH439" s="204" t="n"/>
      <c r="AI439" s="216" t="n"/>
      <c r="AJ439" s="214" t="n"/>
      <c r="AK439" s="217" t="n"/>
      <c r="AL439" s="214" t="n"/>
      <c r="AM439" s="214" t="n"/>
      <c r="AN439" s="214" t="n"/>
      <c r="AO439" s="214" t="n"/>
      <c r="AP439" s="216" t="n"/>
      <c r="AQ439" s="216" t="n"/>
      <c r="AR439" s="214" t="inlineStr">
        <is>
          <t>Nhóm 1</t>
        </is>
      </c>
      <c r="AS439" s="214" t="n"/>
      <c r="AT439" s="214" t="inlineStr">
        <is>
          <t>HM11</t>
        </is>
      </c>
      <c r="AU439" s="214" t="inlineStr">
        <is>
          <t>NTCV</t>
        </is>
      </c>
      <c r="AV439" s="214" t="n">
        <v>59</v>
      </c>
      <c r="AW439" s="214" t="n">
        <v>2</v>
      </c>
      <c r="AX439" s="214" t="n"/>
    </row>
    <row r="440" ht="28" customHeight="1" s="672">
      <c r="A440" s="56" t="inlineStr">
        <is>
          <t>BBK478</t>
        </is>
      </c>
      <c r="B440" s="56" t="inlineStr">
        <is>
          <t>PL03</t>
        </is>
      </c>
      <c r="C440" s="56" t="inlineStr">
        <is>
          <t>BBK478.0783374</t>
        </is>
      </c>
      <c r="D440" s="57" t="n"/>
      <c r="E440" s="57" t="n"/>
      <c r="F440" s="57" t="n"/>
      <c r="G440" s="57" t="n"/>
      <c r="H440" s="57" t="n"/>
      <c r="J440" s="198" t="inlineStr">
        <is>
          <t>10</t>
        </is>
      </c>
      <c r="K440" s="198" t="inlineStr">
        <is>
          <t>PL03</t>
        </is>
      </c>
      <c r="L440" s="199" t="inlineStr">
        <is>
          <t>Kiểm tra định vị tim cọc khoan nhồi, hạ ống vách thi công</t>
        </is>
      </c>
      <c r="M440" s="199" t="n"/>
      <c r="N440" s="199" t="n"/>
      <c r="O440" s="200" t="inlineStr">
        <is>
          <t>Cầu Km19+529.080</t>
        </is>
      </c>
      <c r="P440" s="201" t="n"/>
      <c r="Q440" s="201" t="n"/>
      <c r="R440" s="201" t="n"/>
      <c r="S440" s="201">
        <f>S439</f>
        <v/>
      </c>
      <c r="T440" s="201" t="n"/>
      <c r="U440" s="201" t="n"/>
      <c r="V440" s="201" t="n"/>
      <c r="W440" s="202" t="n"/>
      <c r="X440" s="202" t="n"/>
      <c r="Y440" s="202" t="n"/>
      <c r="Z440" s="198" t="inlineStr">
        <is>
          <t>03</t>
        </is>
      </c>
      <c r="AA440" s="203" t="n"/>
      <c r="AB440" s="204" t="inlineStr">
        <is>
          <t>09-XL-307HG/PYCNT/CKN/T1/C5-1</t>
        </is>
      </c>
      <c r="AC440" s="204">
        <f>AC439</f>
        <v/>
      </c>
      <c r="AD440" s="204" t="n">
        <v>2481753.194</v>
      </c>
      <c r="AE440" s="255" t="n">
        <v>382407.249</v>
      </c>
      <c r="AF440" s="255" t="n">
        <v>169.36</v>
      </c>
      <c r="AG440" s="255" t="n"/>
      <c r="AH440" s="204" t="inlineStr">
        <is>
          <t>&gt;=134;&lt;=152</t>
        </is>
      </c>
      <c r="AI440" s="207" t="n"/>
      <c r="AJ440" s="202" t="n"/>
      <c r="AK440" s="206" t="n"/>
      <c r="AL440" s="202" t="n"/>
      <c r="AM440" s="202" t="n"/>
      <c r="AN440" s="202" t="n"/>
      <c r="AO440" s="202" t="n"/>
      <c r="AP440" s="207" t="n"/>
      <c r="AQ440" s="207" t="n"/>
      <c r="AR440" s="202" t="inlineStr">
        <is>
          <t>Nhóm 1</t>
        </is>
      </c>
      <c r="AS440" s="202" t="n"/>
      <c r="AT440" s="202" t="inlineStr">
        <is>
          <t>HM11</t>
        </is>
      </c>
      <c r="AU440" s="202" t="inlineStr">
        <is>
          <t>PL03</t>
        </is>
      </c>
      <c r="AV440" s="202" t="n">
        <v>1</v>
      </c>
      <c r="AW440" s="202" t="n">
        <v>1</v>
      </c>
      <c r="AX440" s="202" t="n"/>
    </row>
    <row r="441" ht="28" customHeight="1" s="672">
      <c r="A441" s="56" t="inlineStr">
        <is>
          <t>NTCV</t>
        </is>
      </c>
      <c r="B441" s="56" t="inlineStr">
        <is>
          <t>K.9999</t>
        </is>
      </c>
      <c r="C441" s="56" t="inlineStr">
        <is>
          <t>NTCV.0791155</t>
        </is>
      </c>
      <c r="D441" s="57" t="n"/>
      <c r="E441" s="57" t="n"/>
      <c r="F441" s="57" t="n"/>
      <c r="G441" s="57" t="n"/>
      <c r="H441" s="57" t="n"/>
      <c r="J441" s="209" t="inlineStr">
        <is>
          <t>11</t>
        </is>
      </c>
      <c r="K441" s="209" t="inlineStr">
        <is>
          <t>K.9999</t>
        </is>
      </c>
      <c r="L441" s="210" t="inlineStr">
        <is>
          <t>Nghiệm thu lồng thép cọc khoan nhồi trước khi hạ</t>
        </is>
      </c>
      <c r="M441" s="210" t="n"/>
      <c r="N441" s="210" t="n"/>
      <c r="O441" s="211" t="inlineStr">
        <is>
          <t>Cầu Km19+529.080</t>
        </is>
      </c>
      <c r="P441" s="212">
        <f>S439</f>
        <v/>
      </c>
      <c r="Q441" s="212">
        <f>P441</f>
        <v/>
      </c>
      <c r="R441" s="212">
        <f>Q441-1</f>
        <v/>
      </c>
      <c r="S441" s="212">
        <f>Q441</f>
        <v/>
      </c>
      <c r="T441" s="213">
        <f>U439</f>
        <v/>
      </c>
      <c r="U441" s="213">
        <f>T441+V441</f>
        <v/>
      </c>
      <c r="V441" s="213" t="n">
        <v>0.02083333333333333</v>
      </c>
      <c r="W441" s="214">
        <f>TEXT(T441,"HH""h""MM'")&amp;"÷"&amp;TEXT(U441,"HH""h""MM'")</f>
        <v/>
      </c>
      <c r="X441" s="214" t="n"/>
      <c r="Y441" s="214" t="n"/>
      <c r="Z441" s="214" t="inlineStr">
        <is>
          <t>04; 04a</t>
        </is>
      </c>
      <c r="AA441" s="215" t="inlineStr">
        <is>
          <t>Nghiệm thu lồng thép Cọc khoan nhồi Trụ T1 - Cọc C5 ( Cọc PDA)</t>
        </is>
      </c>
      <c r="AB441" s="204" t="inlineStr">
        <is>
          <t>09-XL-307HG/PYCNT/CKN/T1/C5-1</t>
        </is>
      </c>
      <c r="AC441" s="204" t="inlineStr">
        <is>
          <t>09-XL-307HG/BBNT/CKN/T1/C5-4</t>
        </is>
      </c>
      <c r="AD441" s="204" t="n"/>
      <c r="AE441" s="204" t="n"/>
      <c r="AF441" s="204" t="n"/>
      <c r="AG441" s="204" t="n"/>
      <c r="AH441" s="204" t="n"/>
      <c r="AI441" s="216" t="n"/>
      <c r="AJ441" s="214" t="n"/>
      <c r="AK441" s="217" t="n"/>
      <c r="AL441" s="214" t="n"/>
      <c r="AM441" s="214" t="n"/>
      <c r="AN441" s="214" t="n"/>
      <c r="AO441" s="214" t="n"/>
      <c r="AP441" s="216" t="n"/>
      <c r="AQ441" s="216" t="n"/>
      <c r="AR441" s="214" t="inlineStr">
        <is>
          <t>Nhóm 1</t>
        </is>
      </c>
      <c r="AS441" s="214" t="n"/>
      <c r="AT441" s="214" t="inlineStr">
        <is>
          <t>HM11</t>
        </is>
      </c>
      <c r="AU441" s="214" t="inlineStr">
        <is>
          <t>NTCV</t>
        </is>
      </c>
      <c r="AV441" s="214" t="n">
        <v>60</v>
      </c>
      <c r="AW441" s="214" t="n">
        <v>3</v>
      </c>
      <c r="AX441" s="214" t="n"/>
    </row>
    <row r="442">
      <c r="A442" s="56" t="inlineStr">
        <is>
          <t>BBK096</t>
        </is>
      </c>
      <c r="B442" s="56" t="inlineStr">
        <is>
          <t>PL04</t>
        </is>
      </c>
      <c r="C442" s="56" t="inlineStr">
        <is>
          <t>BBK096.0332691</t>
        </is>
      </c>
      <c r="D442" s="57" t="n"/>
      <c r="E442" s="57" t="n"/>
      <c r="F442" s="57" t="n"/>
      <c r="G442" s="57" t="n"/>
      <c r="H442" s="57" t="n"/>
      <c r="J442" s="198" t="inlineStr">
        <is>
          <t>12</t>
        </is>
      </c>
      <c r="K442" s="198" t="inlineStr">
        <is>
          <t>PL04</t>
        </is>
      </c>
      <c r="L442" s="199" t="inlineStr">
        <is>
          <t>Nghiệm thu lồng thép cọc khoan nhồi trước khi hạ</t>
        </is>
      </c>
      <c r="M442" s="199" t="n"/>
      <c r="N442" s="199" t="n"/>
      <c r="O442" s="200" t="inlineStr">
        <is>
          <t>Cầu Km19+529.080</t>
        </is>
      </c>
      <c r="P442" s="201" t="n"/>
      <c r="Q442" s="201" t="n"/>
      <c r="R442" s="201" t="n"/>
      <c r="S442" s="201">
        <f>S441</f>
        <v/>
      </c>
      <c r="T442" s="201" t="n"/>
      <c r="U442" s="201" t="n"/>
      <c r="V442" s="201" t="n"/>
      <c r="W442" s="202" t="n"/>
      <c r="X442" s="202" t="n"/>
      <c r="Y442" s="202" t="n"/>
      <c r="Z442" s="198" t="inlineStr">
        <is>
          <t>04</t>
        </is>
      </c>
      <c r="AA442" s="203" t="n"/>
      <c r="AB442" s="205" t="inlineStr">
        <is>
          <t>09-XL-307HG/PYCNT/CKN/T1/C5-1</t>
        </is>
      </c>
      <c r="AC442" s="204">
        <f>AC441</f>
        <v/>
      </c>
      <c r="AD442" s="205" t="n"/>
      <c r="AE442" s="205" t="n"/>
      <c r="AF442" s="205" t="n"/>
      <c r="AG442" s="205" t="n"/>
      <c r="AH442" s="205" t="inlineStr">
        <is>
          <t>T1</t>
        </is>
      </c>
      <c r="AI442" s="207" t="n"/>
      <c r="AJ442" s="202" t="n"/>
      <c r="AK442" s="206" t="n"/>
      <c r="AL442" s="202" t="n"/>
      <c r="AM442" s="202" t="n"/>
      <c r="AN442" s="202" t="n"/>
      <c r="AO442" s="202" t="n"/>
      <c r="AP442" s="207" t="n"/>
      <c r="AQ442" s="207" t="n"/>
      <c r="AR442" s="202" t="inlineStr">
        <is>
          <t>Nhóm 1</t>
        </is>
      </c>
      <c r="AS442" s="202" t="n"/>
      <c r="AT442" s="202" t="inlineStr">
        <is>
          <t>HM11</t>
        </is>
      </c>
      <c r="AU442" s="202" t="inlineStr">
        <is>
          <t>PL04</t>
        </is>
      </c>
      <c r="AV442" s="202" t="n">
        <v>1</v>
      </c>
      <c r="AW442" s="202" t="n">
        <v>1</v>
      </c>
      <c r="AX442" s="202" t="n"/>
    </row>
    <row r="443">
      <c r="A443" s="56" t="inlineStr">
        <is>
          <t>BBK899</t>
        </is>
      </c>
      <c r="B443" s="56" t="inlineStr">
        <is>
          <t>PL4a</t>
        </is>
      </c>
      <c r="C443" s="56" t="inlineStr">
        <is>
          <t>BBK899.0450942</t>
        </is>
      </c>
      <c r="D443" s="57" t="n"/>
      <c r="E443" s="57" t="n"/>
      <c r="F443" s="57" t="n"/>
      <c r="G443" s="57" t="n"/>
      <c r="H443" s="57" t="n"/>
      <c r="J443" s="198" t="inlineStr">
        <is>
          <t>13</t>
        </is>
      </c>
      <c r="K443" s="198" t="inlineStr">
        <is>
          <t>PL4a</t>
        </is>
      </c>
      <c r="L443" s="199" t="inlineStr">
        <is>
          <t>Nghiệm thu lồng thép cọc PDA trước khi hạ</t>
        </is>
      </c>
      <c r="M443" s="199" t="n"/>
      <c r="N443" s="199" t="n"/>
      <c r="O443" s="200" t="inlineStr">
        <is>
          <t>Cầu Km19+529.080</t>
        </is>
      </c>
      <c r="P443" s="201" t="n"/>
      <c r="Q443" s="201" t="n"/>
      <c r="R443" s="201" t="n"/>
      <c r="S443" s="201">
        <f>S442</f>
        <v/>
      </c>
      <c r="T443" s="201" t="n"/>
      <c r="U443" s="201" t="n"/>
      <c r="V443" s="201" t="n"/>
      <c r="W443" s="202" t="n"/>
      <c r="X443" s="202" t="n"/>
      <c r="Y443" s="202" t="n"/>
      <c r="Z443" s="198" t="inlineStr">
        <is>
          <t>04a</t>
        </is>
      </c>
      <c r="AA443" s="203" t="n"/>
      <c r="AB443" s="205" t="n"/>
      <c r="AC443" s="204">
        <f>AC442</f>
        <v/>
      </c>
      <c r="AD443" s="205" t="n"/>
      <c r="AE443" s="205" t="n"/>
      <c r="AF443" s="205" t="n"/>
      <c r="AG443" s="205" t="n"/>
      <c r="AH443" s="205" t="inlineStr">
        <is>
          <t>PDA</t>
        </is>
      </c>
      <c r="AI443" s="207" t="n"/>
      <c r="AJ443" s="202" t="n"/>
      <c r="AK443" s="206" t="n"/>
      <c r="AL443" s="202" t="n"/>
      <c r="AM443" s="202" t="n"/>
      <c r="AN443" s="202" t="n"/>
      <c r="AO443" s="202" t="n"/>
      <c r="AP443" s="207" t="n"/>
      <c r="AQ443" s="207" t="n"/>
      <c r="AR443" s="202" t="inlineStr">
        <is>
          <t>Nhóm 1</t>
        </is>
      </c>
      <c r="AS443" s="202" t="n"/>
      <c r="AT443" s="202" t="inlineStr">
        <is>
          <t>HM11</t>
        </is>
      </c>
      <c r="AU443" s="202" t="inlineStr">
        <is>
          <t>PL4a</t>
        </is>
      </c>
      <c r="AV443" s="202" t="n">
        <v>1</v>
      </c>
      <c r="AW443" s="202" t="n">
        <v>1</v>
      </c>
      <c r="AX443" s="202" t="n"/>
    </row>
    <row r="444" ht="28" customHeight="1" s="672">
      <c r="A444" s="56" t="inlineStr">
        <is>
          <t>NTCV</t>
        </is>
      </c>
      <c r="B444" s="56" t="inlineStr">
        <is>
          <t>K.9999</t>
        </is>
      </c>
      <c r="C444" s="56" t="inlineStr">
        <is>
          <t>NTCV.0555113</t>
        </is>
      </c>
      <c r="D444" s="57" t="n"/>
      <c r="E444" s="57" t="n"/>
      <c r="F444" s="57" t="n"/>
      <c r="G444" s="57" t="n"/>
      <c r="H444" s="57" t="n"/>
      <c r="J444" s="209" t="inlineStr">
        <is>
          <t>14</t>
        </is>
      </c>
      <c r="K444" s="209" t="inlineStr">
        <is>
          <t>K.9999</t>
        </is>
      </c>
      <c r="L444" s="210" t="inlineStr">
        <is>
          <t xml:space="preserve">Kiểm tra công tác khoan tạo lỗ cọc khoan nhồi </t>
        </is>
      </c>
      <c r="M444" s="210" t="n"/>
      <c r="N444" s="210" t="n"/>
      <c r="O444" s="211" t="inlineStr">
        <is>
          <t>Cầu Km19+529.080</t>
        </is>
      </c>
      <c r="P444" s="212">
        <f>S441</f>
        <v/>
      </c>
      <c r="Q444" s="212">
        <f>P444</f>
        <v/>
      </c>
      <c r="R444" s="212">
        <f>Q444-1</f>
        <v/>
      </c>
      <c r="S444" s="212">
        <f>Q444</f>
        <v/>
      </c>
      <c r="T444" s="213">
        <f>U441</f>
        <v/>
      </c>
      <c r="U444" s="213">
        <f>T444+V444</f>
        <v/>
      </c>
      <c r="V444" s="213" t="n">
        <v>0.375</v>
      </c>
      <c r="W444" s="214">
        <f>TEXT(T444,"HH""h""MM'")&amp;"÷"&amp;TEXT(U444,"HH""h""MM'")</f>
        <v/>
      </c>
      <c r="X444" s="214" t="n"/>
      <c r="Y444" s="214" t="n"/>
      <c r="Z444" s="214" t="inlineStr">
        <is>
          <t>05;</t>
        </is>
      </c>
      <c r="AA444" s="215" t="inlineStr">
        <is>
          <t>Kiểm tra công tác khoan tạo lỗ Cọc khoan nhồi Trụ T1 - Cọc C5 ( Cọc PDA)</t>
        </is>
      </c>
      <c r="AB444" s="204" t="inlineStr">
        <is>
          <t>09-XL-307HG/PYCNT/CKN/T1/C5-1</t>
        </is>
      </c>
      <c r="AC444" s="204" t="inlineStr">
        <is>
          <t>09-XL-307HG/BBNT/CKN/T1/C5-5</t>
        </is>
      </c>
      <c r="AD444" s="204" t="n"/>
      <c r="AE444" s="204" t="n"/>
      <c r="AF444" s="204" t="n"/>
      <c r="AG444" s="204" t="n"/>
      <c r="AH444" s="204" t="n"/>
      <c r="AI444" s="216" t="n"/>
      <c r="AJ444" s="214" t="n"/>
      <c r="AK444" s="217" t="n"/>
      <c r="AL444" s="214" t="n"/>
      <c r="AM444" s="214" t="n"/>
      <c r="AN444" s="214" t="n"/>
      <c r="AO444" s="214" t="n"/>
      <c r="AP444" s="216" t="n"/>
      <c r="AQ444" s="216" t="n"/>
      <c r="AR444" s="214" t="inlineStr">
        <is>
          <t>Nhóm 1</t>
        </is>
      </c>
      <c r="AS444" s="214" t="n"/>
      <c r="AT444" s="214" t="inlineStr">
        <is>
          <t>HM11</t>
        </is>
      </c>
      <c r="AU444" s="214" t="inlineStr">
        <is>
          <t>NTCV</t>
        </is>
      </c>
      <c r="AV444" s="214" t="n">
        <v>61</v>
      </c>
      <c r="AW444" s="214" t="n">
        <v>4</v>
      </c>
      <c r="AX444" s="214" t="n"/>
    </row>
    <row r="445">
      <c r="A445" s="56" t="inlineStr">
        <is>
          <t>BBK638</t>
        </is>
      </c>
      <c r="B445" s="56" t="inlineStr">
        <is>
          <t>PL05</t>
        </is>
      </c>
      <c r="C445" s="56" t="inlineStr">
        <is>
          <t>BBK638.0803330</t>
        </is>
      </c>
      <c r="D445" s="57" t="n"/>
      <c r="E445" s="57" t="n"/>
      <c r="F445" s="57" t="n"/>
      <c r="G445" s="57" t="n"/>
      <c r="H445" s="57" t="n"/>
      <c r="J445" s="198" t="inlineStr">
        <is>
          <t>15</t>
        </is>
      </c>
      <c r="K445" s="198" t="inlineStr">
        <is>
          <t>PL05</t>
        </is>
      </c>
      <c r="L445" s="199" t="inlineStr">
        <is>
          <t>Kiểm tra công tác khoan tạo lỗ cọc khoan nhồi</t>
        </is>
      </c>
      <c r="M445" s="199" t="n"/>
      <c r="N445" s="199" t="n"/>
      <c r="O445" s="200" t="inlineStr">
        <is>
          <t>Cầu Km19+529.080</t>
        </is>
      </c>
      <c r="P445" s="201" t="n"/>
      <c r="Q445" s="201" t="n"/>
      <c r="R445" s="201" t="n"/>
      <c r="S445" s="201">
        <f>S444</f>
        <v/>
      </c>
      <c r="T445" s="208">
        <f>T444</f>
        <v/>
      </c>
      <c r="U445" s="208" t="n">
        <v>0.75</v>
      </c>
      <c r="V445" s="208">
        <f>U445-T445</f>
        <v/>
      </c>
      <c r="W445" s="202" t="n"/>
      <c r="X445" s="202" t="n"/>
      <c r="Y445" s="202" t="n"/>
      <c r="Z445" s="198" t="inlineStr">
        <is>
          <t>05</t>
        </is>
      </c>
      <c r="AA445" s="203" t="n"/>
      <c r="AB445" s="204" t="inlineStr">
        <is>
          <t>09-XL-307HG/PYCNT/CKN/T1/C5</t>
        </is>
      </c>
      <c r="AC445" s="204">
        <f>AC444</f>
        <v/>
      </c>
      <c r="AD445" s="204" t="n"/>
      <c r="AE445" s="204" t="n"/>
      <c r="AF445" s="255" t="n">
        <v>169.36</v>
      </c>
      <c r="AG445" s="255" t="n"/>
      <c r="AH445" s="204" t="inlineStr">
        <is>
          <t>T1-C5</t>
        </is>
      </c>
      <c r="AI445" s="207" t="n"/>
      <c r="AJ445" s="202" t="n"/>
      <c r="AK445" s="206" t="n"/>
      <c r="AL445" s="202" t="n"/>
      <c r="AM445" s="202" t="n"/>
      <c r="AN445" s="202" t="n"/>
      <c r="AO445" s="202" t="n"/>
      <c r="AP445" s="207" t="n"/>
      <c r="AQ445" s="207" t="n"/>
      <c r="AR445" s="202" t="inlineStr">
        <is>
          <t>Nhóm 1</t>
        </is>
      </c>
      <c r="AS445" s="202" t="n"/>
      <c r="AT445" s="202" t="inlineStr">
        <is>
          <t>HM11</t>
        </is>
      </c>
      <c r="AU445" s="202" t="inlineStr">
        <is>
          <t>PL05</t>
        </is>
      </c>
      <c r="AV445" s="202" t="n">
        <v>1</v>
      </c>
      <c r="AW445" s="202" t="n">
        <v>1</v>
      </c>
      <c r="AX445" s="202" t="n"/>
    </row>
    <row r="446">
      <c r="A446" s="56" t="inlineStr">
        <is>
          <t>BBK680</t>
        </is>
      </c>
      <c r="B446" s="56" t="inlineStr">
        <is>
          <t>PYC</t>
        </is>
      </c>
      <c r="C446" s="56" t="inlineStr">
        <is>
          <t>BBK680.0563989</t>
        </is>
      </c>
      <c r="D446" s="57" t="n"/>
      <c r="E446" s="57" t="n"/>
      <c r="F446" s="57" t="n"/>
      <c r="G446" s="57" t="n"/>
      <c r="H446" s="57" t="n"/>
      <c r="J446" s="198" t="inlineStr">
        <is>
          <t>16</t>
        </is>
      </c>
      <c r="K446" s="198" t="inlineStr">
        <is>
          <t>PYC</t>
        </is>
      </c>
      <c r="L446" s="199" t="inlineStr">
        <is>
          <t>Phiếu yêu cầu nghiệm thu</t>
        </is>
      </c>
      <c r="M446" s="199" t="n"/>
      <c r="N446" s="199" t="n"/>
      <c r="O446" s="200" t="inlineStr">
        <is>
          <t>Cầu Km19+529.080</t>
        </is>
      </c>
      <c r="P446" s="201" t="n"/>
      <c r="Q446" s="201" t="n"/>
      <c r="R446" s="201">
        <f>R447</f>
        <v/>
      </c>
      <c r="S446" s="201" t="n"/>
      <c r="T446" s="201" t="n"/>
      <c r="U446" s="201" t="n"/>
      <c r="V446" s="201" t="n"/>
      <c r="W446" s="202" t="n"/>
      <c r="X446" s="202" t="n"/>
      <c r="Y446" s="202" t="n"/>
      <c r="Z446" s="202" t="n"/>
      <c r="AA446" s="203" t="n"/>
      <c r="AB446" s="204" t="inlineStr">
        <is>
          <t>09-XL-307HG/PYCNT/CKN/T1/C5</t>
        </is>
      </c>
      <c r="AC446" s="205" t="inlineStr"/>
      <c r="AD446" s="205" t="n"/>
      <c r="AE446" s="205" t="n"/>
      <c r="AF446" s="205" t="n"/>
      <c r="AG446" s="205" t="inlineStr">
        <is>
          <t>NTCV;BBKTĐK</t>
        </is>
      </c>
      <c r="AH446" s="204" t="inlineStr">
        <is>
          <t>&gt;=6;&lt;=10</t>
        </is>
      </c>
      <c r="AI446" s="202" t="n"/>
      <c r="AJ446" s="202" t="n"/>
      <c r="AK446" s="206" t="n"/>
      <c r="AL446" s="202" t="n"/>
      <c r="AM446" s="202" t="n"/>
      <c r="AN446" s="202" t="n"/>
      <c r="AO446" s="202" t="n"/>
      <c r="AP446" s="207" t="n"/>
      <c r="AQ446" s="207" t="n"/>
      <c r="AR446" s="202" t="inlineStr">
        <is>
          <t>Nhóm 1</t>
        </is>
      </c>
      <c r="AS446" s="202" t="n"/>
      <c r="AT446" s="202" t="inlineStr">
        <is>
          <t>HM11</t>
        </is>
      </c>
      <c r="AU446" s="202" t="inlineStr">
        <is>
          <t>PYC</t>
        </is>
      </c>
      <c r="AV446" s="202" t="n">
        <v>170</v>
      </c>
      <c r="AW446" s="202" t="n">
        <v>2</v>
      </c>
      <c r="AX446" s="202" t="n"/>
    </row>
    <row r="447" ht="42" customHeight="1" s="672">
      <c r="A447" s="56" t="inlineStr">
        <is>
          <t>NTCV</t>
        </is>
      </c>
      <c r="B447" s="56" t="inlineStr">
        <is>
          <t>K.9999</t>
        </is>
      </c>
      <c r="C447" s="56" t="inlineStr">
        <is>
          <t>NTCV.0203582</t>
        </is>
      </c>
      <c r="D447" s="57" t="n"/>
      <c r="E447" s="57" t="n"/>
      <c r="F447" s="57" t="n"/>
      <c r="G447" s="57" t="n"/>
      <c r="H447" s="57" t="n"/>
      <c r="J447" s="209" t="inlineStr">
        <is>
          <t>17</t>
        </is>
      </c>
      <c r="K447" s="209" t="inlineStr">
        <is>
          <t>K.9999</t>
        </is>
      </c>
      <c r="L447" s="210" t="inlineStr">
        <is>
          <t>Kiểm tra công tác vệ sinh lỗ khoan trước khi hạ lồng cốt thép cọc khoan nhồi</t>
        </is>
      </c>
      <c r="M447" s="210" t="n"/>
      <c r="N447" s="210" t="n"/>
      <c r="O447" s="211" t="inlineStr">
        <is>
          <t>Cầu Km19+529.080</t>
        </is>
      </c>
      <c r="P447" s="212">
        <f>S444+1</f>
        <v/>
      </c>
      <c r="Q447" s="212">
        <f>P447</f>
        <v/>
      </c>
      <c r="R447" s="212">
        <f>Q447-1</f>
        <v/>
      </c>
      <c r="S447" s="212">
        <f>Q447</f>
        <v/>
      </c>
      <c r="T447" s="213" t="n">
        <v>0.3333333333333333</v>
      </c>
      <c r="U447" s="213">
        <f>T447+V447</f>
        <v/>
      </c>
      <c r="V447" s="213" t="n">
        <v>0.01041666666666667</v>
      </c>
      <c r="W447" s="214">
        <f>TEXT(T447,"HH""h""MM'")&amp;"÷"&amp;TEXT(U447,"HH""h""MM'")</f>
        <v/>
      </c>
      <c r="X447" s="214" t="n"/>
      <c r="Y447" s="214" t="n"/>
      <c r="Z447" s="214" t="inlineStr">
        <is>
          <t>06;</t>
        </is>
      </c>
      <c r="AA447" s="215" t="inlineStr">
        <is>
          <t>Kiểm tra công tác vệ sinh lỗ khoan trước khi hạ lồng cốt thép Cọc khoan nhồi Trụ T1 - Cọc C5 ( Cọc PDA)</t>
        </is>
      </c>
      <c r="AB447" s="204" t="inlineStr">
        <is>
          <t>09-XL-307HG/PYCNT/CKN/T1/C5-2</t>
        </is>
      </c>
      <c r="AC447" s="204" t="inlineStr">
        <is>
          <t>09-XL-307HG/BBNT/CKN/T1/C5-6</t>
        </is>
      </c>
      <c r="AD447" s="204" t="n"/>
      <c r="AE447" s="204" t="n"/>
      <c r="AF447" s="204" t="n"/>
      <c r="AG447" s="204" t="n"/>
      <c r="AH447" s="204" t="n"/>
      <c r="AI447" s="216" t="n"/>
      <c r="AJ447" s="214" t="n"/>
      <c r="AK447" s="217" t="n"/>
      <c r="AL447" s="214" t="n"/>
      <c r="AM447" s="214" t="n"/>
      <c r="AN447" s="214" t="n"/>
      <c r="AO447" s="214" t="n"/>
      <c r="AP447" s="216" t="n"/>
      <c r="AQ447" s="216" t="n"/>
      <c r="AR447" s="214" t="inlineStr">
        <is>
          <t>Nhóm 1</t>
        </is>
      </c>
      <c r="AS447" s="214" t="n"/>
      <c r="AT447" s="214" t="inlineStr">
        <is>
          <t>HM11</t>
        </is>
      </c>
      <c r="AU447" s="214" t="inlineStr">
        <is>
          <t>NTCV</t>
        </is>
      </c>
      <c r="AV447" s="214" t="n">
        <v>62</v>
      </c>
      <c r="AW447" s="214" t="n">
        <v>5</v>
      </c>
      <c r="AX447" s="214" t="n"/>
    </row>
    <row r="448" ht="28" customHeight="1" s="672">
      <c r="A448" s="56" t="inlineStr">
        <is>
          <t>BBK570</t>
        </is>
      </c>
      <c r="B448" s="56" t="inlineStr">
        <is>
          <t>PL06</t>
        </is>
      </c>
      <c r="C448" s="56" t="inlineStr">
        <is>
          <t>BBK570.0207593</t>
        </is>
      </c>
      <c r="D448" s="57" t="n"/>
      <c r="E448" s="57" t="n"/>
      <c r="F448" s="57" t="n"/>
      <c r="G448" s="57" t="n"/>
      <c r="H448" s="57" t="n"/>
      <c r="J448" s="198" t="inlineStr">
        <is>
          <t>18</t>
        </is>
      </c>
      <c r="K448" s="198" t="inlineStr">
        <is>
          <t>PL06</t>
        </is>
      </c>
      <c r="L448" s="199" t="inlineStr">
        <is>
          <t>Kiểm tra công tác vệ sinh lỗ khoan trước khi hạ lồng cốt thép cọc khoan nhồi</t>
        </is>
      </c>
      <c r="M448" s="199" t="n"/>
      <c r="N448" s="199" t="n"/>
      <c r="O448" s="200" t="inlineStr">
        <is>
          <t>Cầu Km19+529.080</t>
        </is>
      </c>
      <c r="P448" s="201" t="n"/>
      <c r="Q448" s="201" t="n"/>
      <c r="R448" s="201" t="n"/>
      <c r="S448" s="201">
        <f>S447</f>
        <v/>
      </c>
      <c r="T448" s="201" t="n"/>
      <c r="U448" s="201" t="n"/>
      <c r="V448" s="201" t="n"/>
      <c r="W448" s="202" t="n"/>
      <c r="X448" s="265" t="n">
        <v>127.36</v>
      </c>
      <c r="Y448" s="265">
        <f>X448-0.02</f>
        <v/>
      </c>
      <c r="Z448" s="198" t="inlineStr">
        <is>
          <t>06</t>
        </is>
      </c>
      <c r="AA448" s="203" t="n"/>
      <c r="AB448" s="204" t="inlineStr">
        <is>
          <t>09-XL-307HG/PYCNT/CKN/T1/C5-2</t>
        </is>
      </c>
      <c r="AC448" s="204">
        <f>AC447</f>
        <v/>
      </c>
      <c r="AD448" s="204" t="n"/>
      <c r="AE448" s="204" t="n"/>
      <c r="AF448" s="204" t="n"/>
      <c r="AG448" s="204" t="n"/>
      <c r="AH448" s="204" t="n"/>
      <c r="AI448" s="202" t="n"/>
      <c r="AJ448" s="202" t="n"/>
      <c r="AK448" s="206" t="n"/>
      <c r="AL448" s="202" t="n"/>
      <c r="AM448" s="202" t="n"/>
      <c r="AN448" s="202" t="n"/>
      <c r="AO448" s="202" t="n"/>
      <c r="AP448" s="207" t="n"/>
      <c r="AQ448" s="207" t="n"/>
      <c r="AR448" s="202" t="inlineStr">
        <is>
          <t>Nhóm 1</t>
        </is>
      </c>
      <c r="AS448" s="202" t="n"/>
      <c r="AT448" s="202" t="inlineStr">
        <is>
          <t>HM11</t>
        </is>
      </c>
      <c r="AU448" s="202" t="inlineStr">
        <is>
          <t>PL06</t>
        </is>
      </c>
      <c r="AV448" s="202" t="n">
        <v>1</v>
      </c>
      <c r="AW448" s="202" t="n">
        <v>1</v>
      </c>
      <c r="AX448" s="202" t="n"/>
    </row>
    <row r="449" ht="28" customHeight="1" s="672">
      <c r="A449" s="56" t="inlineStr">
        <is>
          <t>NTCV</t>
        </is>
      </c>
      <c r="B449" s="56" t="inlineStr">
        <is>
          <t>K.9999</t>
        </is>
      </c>
      <c r="C449" s="56" t="inlineStr">
        <is>
          <t>NTCV.0364688</t>
        </is>
      </c>
      <c r="D449" s="57" t="n"/>
      <c r="E449" s="57" t="n"/>
      <c r="F449" s="57" t="n"/>
      <c r="G449" s="57" t="n"/>
      <c r="H449" s="57" t="n"/>
      <c r="J449" s="209" t="inlineStr">
        <is>
          <t>19</t>
        </is>
      </c>
      <c r="K449" s="209" t="inlineStr">
        <is>
          <t>K.9999</t>
        </is>
      </c>
      <c r="L449" s="210" t="inlineStr">
        <is>
          <t xml:space="preserve">Nghiệm thu công tác hạ lồng thép </t>
        </is>
      </c>
      <c r="M449" s="210" t="n"/>
      <c r="N449" s="210" t="n"/>
      <c r="O449" s="211" t="inlineStr">
        <is>
          <t>Cầu Km19+529.080</t>
        </is>
      </c>
      <c r="P449" s="212">
        <f>S447</f>
        <v/>
      </c>
      <c r="Q449" s="212">
        <f>P449</f>
        <v/>
      </c>
      <c r="R449" s="212">
        <f>Q449-1</f>
        <v/>
      </c>
      <c r="S449" s="212">
        <f>Q449</f>
        <v/>
      </c>
      <c r="T449" s="213">
        <f>U447</f>
        <v/>
      </c>
      <c r="U449" s="213">
        <f>T449+V449</f>
        <v/>
      </c>
      <c r="V449" s="213" t="n">
        <v>0.03125</v>
      </c>
      <c r="W449" s="214">
        <f>TEXT(T449,"HH""h""MM'")&amp;"÷"&amp;TEXT(U449,"HH""h""MM'")</f>
        <v/>
      </c>
      <c r="X449" s="214" t="n"/>
      <c r="Y449" s="214" t="n"/>
      <c r="Z449" s="214" t="inlineStr">
        <is>
          <t>07;</t>
        </is>
      </c>
      <c r="AA449" s="215" t="inlineStr">
        <is>
          <t>Công tác hạ lồng thép Cọc khoan nhồi cọc và nối cọc PDA</t>
        </is>
      </c>
      <c r="AB449" s="204" t="inlineStr">
        <is>
          <t>09-XL-307HG/PYCNT/CKN/T1/C5-2</t>
        </is>
      </c>
      <c r="AC449" s="204" t="inlineStr">
        <is>
          <t>09-XL-307HG/BBNT/CKN/T1/C5-7</t>
        </is>
      </c>
      <c r="AD449" s="204" t="n"/>
      <c r="AE449" s="204" t="n"/>
      <c r="AF449" s="204" t="n"/>
      <c r="AG449" s="204" t="n"/>
      <c r="AH449" s="204" t="n"/>
      <c r="AI449" s="214" t="n"/>
      <c r="AJ449" s="214" t="n"/>
      <c r="AK449" s="217" t="n"/>
      <c r="AL449" s="214" t="n"/>
      <c r="AM449" s="214" t="n"/>
      <c r="AN449" s="214" t="n"/>
      <c r="AO449" s="214" t="n"/>
      <c r="AP449" s="216" t="n"/>
      <c r="AQ449" s="216" t="n"/>
      <c r="AR449" s="214" t="inlineStr">
        <is>
          <t>Nhóm 1</t>
        </is>
      </c>
      <c r="AS449" s="214" t="n"/>
      <c r="AT449" s="214" t="inlineStr">
        <is>
          <t>HM11</t>
        </is>
      </c>
      <c r="AU449" s="214" t="inlineStr">
        <is>
          <t>NTCV</t>
        </is>
      </c>
      <c r="AV449" s="214" t="n">
        <v>63</v>
      </c>
      <c r="AW449" s="214" t="n">
        <v>6</v>
      </c>
      <c r="AX449" s="214" t="n"/>
    </row>
    <row r="450">
      <c r="A450" s="56" t="inlineStr">
        <is>
          <t>BBK396</t>
        </is>
      </c>
      <c r="B450" s="56" t="inlineStr">
        <is>
          <t>PL07</t>
        </is>
      </c>
      <c r="C450" s="56" t="inlineStr">
        <is>
          <t>BBK396.0573519</t>
        </is>
      </c>
      <c r="D450" s="57" t="n"/>
      <c r="E450" s="57" t="n"/>
      <c r="F450" s="57" t="n"/>
      <c r="G450" s="57" t="n"/>
      <c r="H450" s="57" t="n"/>
      <c r="J450" s="198" t="inlineStr">
        <is>
          <t>20</t>
        </is>
      </c>
      <c r="K450" s="198" t="inlineStr">
        <is>
          <t>PL07</t>
        </is>
      </c>
      <c r="L450" s="199" t="inlineStr">
        <is>
          <t>Nghiệm thu công tác hạ lồng thép</t>
        </is>
      </c>
      <c r="M450" s="199" t="n"/>
      <c r="N450" s="199" t="n"/>
      <c r="O450" s="200" t="inlineStr">
        <is>
          <t>Cầu Km19+529.080</t>
        </is>
      </c>
      <c r="P450" s="201" t="n"/>
      <c r="Q450" s="201" t="n"/>
      <c r="R450" s="201" t="n"/>
      <c r="S450" s="201">
        <f>S449</f>
        <v/>
      </c>
      <c r="T450" s="201" t="n"/>
      <c r="U450" s="201" t="n"/>
      <c r="V450" s="201" t="n"/>
      <c r="W450" s="202" t="n"/>
      <c r="X450" s="202" t="n"/>
      <c r="Y450" s="202" t="n"/>
      <c r="Z450" s="198" t="inlineStr">
        <is>
          <t>07</t>
        </is>
      </c>
      <c r="AA450" s="203" t="n"/>
      <c r="AB450" s="204" t="inlineStr">
        <is>
          <t>09-XL-307HG/PYCNT/CKN/T1/C5-2</t>
        </is>
      </c>
      <c r="AC450" s="204">
        <f>AC449</f>
        <v/>
      </c>
      <c r="AD450" s="204" t="n"/>
      <c r="AE450" s="204" t="n"/>
      <c r="AF450" s="204" t="n"/>
      <c r="AG450" s="204" t="n"/>
      <c r="AH450" s="204" t="n"/>
      <c r="AI450" s="202" t="n"/>
      <c r="AJ450" s="202" t="n"/>
      <c r="AK450" s="206" t="n"/>
      <c r="AL450" s="202" t="n"/>
      <c r="AM450" s="202" t="n"/>
      <c r="AN450" s="202" t="n"/>
      <c r="AO450" s="202" t="n"/>
      <c r="AP450" s="207" t="n"/>
      <c r="AQ450" s="207" t="n"/>
      <c r="AR450" s="202" t="inlineStr">
        <is>
          <t>Nhóm 1</t>
        </is>
      </c>
      <c r="AS450" s="202" t="n"/>
      <c r="AT450" s="202" t="inlineStr">
        <is>
          <t>HM11</t>
        </is>
      </c>
      <c r="AU450" s="202" t="inlineStr">
        <is>
          <t>PL07</t>
        </is>
      </c>
      <c r="AV450" s="202" t="n">
        <v>1</v>
      </c>
      <c r="AW450" s="202" t="n">
        <v>1</v>
      </c>
      <c r="AX450" s="202" t="n"/>
    </row>
    <row r="451" ht="42" customHeight="1" s="672">
      <c r="A451" s="56" t="inlineStr">
        <is>
          <t>NTCV</t>
        </is>
      </c>
      <c r="B451" s="56" t="inlineStr">
        <is>
          <t>K.9999</t>
        </is>
      </c>
      <c r="C451" s="56" t="inlineStr">
        <is>
          <t>NTCV.0344180</t>
        </is>
      </c>
      <c r="D451" s="57" t="n"/>
      <c r="E451" s="57" t="n"/>
      <c r="F451" s="57" t="n"/>
      <c r="G451" s="57" t="n"/>
      <c r="H451" s="57" t="n"/>
      <c r="J451" s="209" t="inlineStr">
        <is>
          <t>21</t>
        </is>
      </c>
      <c r="K451" s="209" t="inlineStr">
        <is>
          <t>K.9999</t>
        </is>
      </c>
      <c r="L451" s="210" t="inlineStr">
        <is>
          <t xml:space="preserve">Kiểm tra công tác vệ sinh lỗ khoan cọc khoan nhồi trước khi đổ bê tông </t>
        </is>
      </c>
      <c r="M451" s="210" t="n"/>
      <c r="N451" s="210" t="n"/>
      <c r="O451" s="211" t="inlineStr">
        <is>
          <t>Cầu Km19+529.080</t>
        </is>
      </c>
      <c r="P451" s="212">
        <f>S449</f>
        <v/>
      </c>
      <c r="Q451" s="212">
        <f>P451</f>
        <v/>
      </c>
      <c r="R451" s="212">
        <f>Q451-1</f>
        <v/>
      </c>
      <c r="S451" s="212">
        <f>Q451</f>
        <v/>
      </c>
      <c r="T451" s="213">
        <f>U449</f>
        <v/>
      </c>
      <c r="U451" s="213">
        <f>T451+V451</f>
        <v/>
      </c>
      <c r="V451" s="213" t="n">
        <v>0.02083333333333333</v>
      </c>
      <c r="W451" s="214">
        <f>TEXT(T451,"HH""h""MM'")&amp;"÷"&amp;TEXT(U451,"HH""h""MM'")</f>
        <v/>
      </c>
      <c r="X451" s="214" t="n"/>
      <c r="Y451" s="214" t="n"/>
      <c r="Z451" s="214" t="inlineStr">
        <is>
          <t>08;</t>
        </is>
      </c>
      <c r="AA451" s="215" t="inlineStr">
        <is>
          <t>Kiểm tra công tác vệ sinh lỗ khoan cọc khoan nhồi trước khi đổ bê tông Cọc khoan nhồi Trụ T1 - Cọc C5  ( Cọc PDA)</t>
        </is>
      </c>
      <c r="AB451" s="204" t="inlineStr">
        <is>
          <t>09-XL-307HG/PYCNT/CKN/T1/C5-2</t>
        </is>
      </c>
      <c r="AC451" s="204" t="inlineStr">
        <is>
          <t>09-XL-307HG/BBNT/CKN/T1/C5-8</t>
        </is>
      </c>
      <c r="AD451" s="204" t="n"/>
      <c r="AE451" s="204" t="n"/>
      <c r="AF451" s="204" t="n"/>
      <c r="AG451" s="204" t="n"/>
      <c r="AH451" s="204" t="n"/>
      <c r="AI451" s="214" t="n"/>
      <c r="AJ451" s="214" t="n"/>
      <c r="AK451" s="217" t="n"/>
      <c r="AL451" s="214" t="n"/>
      <c r="AM451" s="214" t="n"/>
      <c r="AN451" s="214" t="n"/>
      <c r="AO451" s="214" t="n"/>
      <c r="AP451" s="216" t="n"/>
      <c r="AQ451" s="216" t="n"/>
      <c r="AR451" s="214" t="inlineStr">
        <is>
          <t>Nhóm 1</t>
        </is>
      </c>
      <c r="AS451" s="214" t="n"/>
      <c r="AT451" s="214" t="inlineStr">
        <is>
          <t>HM11</t>
        </is>
      </c>
      <c r="AU451" s="214" t="inlineStr">
        <is>
          <t>NTCV</t>
        </is>
      </c>
      <c r="AV451" s="214" t="n">
        <v>64</v>
      </c>
      <c r="AW451" s="214" t="n">
        <v>7</v>
      </c>
      <c r="AX451" s="214" t="n"/>
    </row>
    <row r="452" ht="28" customHeight="1" s="672">
      <c r="A452" s="56" t="inlineStr">
        <is>
          <t>BBK521</t>
        </is>
      </c>
      <c r="B452" s="56" t="inlineStr">
        <is>
          <t>PL08</t>
        </is>
      </c>
      <c r="C452" s="56" t="inlineStr">
        <is>
          <t>BBK521.0528229</t>
        </is>
      </c>
      <c r="D452" s="57" t="n"/>
      <c r="E452" s="57" t="n"/>
      <c r="F452" s="57" t="n"/>
      <c r="G452" s="57" t="n"/>
      <c r="H452" s="57" t="n"/>
      <c r="J452" s="198" t="inlineStr">
        <is>
          <t>22</t>
        </is>
      </c>
      <c r="K452" s="198" t="inlineStr">
        <is>
          <t>PL08</t>
        </is>
      </c>
      <c r="L452" s="199" t="inlineStr">
        <is>
          <t>Kiểm tra công tác vệ sinh lỗ khoan cọc khoan nhồi trước khi đổ bê tông</t>
        </is>
      </c>
      <c r="M452" s="199" t="n"/>
      <c r="N452" s="199" t="n"/>
      <c r="O452" s="200" t="inlineStr">
        <is>
          <t>Cầu Km19+529.080</t>
        </is>
      </c>
      <c r="P452" s="201" t="n"/>
      <c r="Q452" s="201" t="n"/>
      <c r="R452" s="201" t="n"/>
      <c r="S452" s="201">
        <f>S451</f>
        <v/>
      </c>
      <c r="T452" s="201" t="n"/>
      <c r="U452" s="201" t="n"/>
      <c r="V452" s="201" t="n"/>
      <c r="W452" s="202" t="n"/>
      <c r="X452" s="202" t="n"/>
      <c r="Y452" s="202" t="n"/>
      <c r="Z452" s="198" t="inlineStr">
        <is>
          <t>08</t>
        </is>
      </c>
      <c r="AA452" s="203" t="n"/>
      <c r="AB452" s="204" t="inlineStr">
        <is>
          <t>09-XL-307HG/PYCNT/CKN/T1/C5-2</t>
        </is>
      </c>
      <c r="AC452" s="204">
        <f>AC451</f>
        <v/>
      </c>
      <c r="AD452" s="204" t="n"/>
      <c r="AE452" s="204" t="n"/>
      <c r="AF452" s="204" t="n"/>
      <c r="AG452" s="204" t="n"/>
      <c r="AH452" s="204" t="n"/>
      <c r="AI452" s="202" t="n"/>
      <c r="AJ452" s="202" t="n"/>
      <c r="AK452" s="206" t="n"/>
      <c r="AL452" s="202" t="n"/>
      <c r="AM452" s="202" t="n"/>
      <c r="AN452" s="202" t="n"/>
      <c r="AO452" s="202" t="n"/>
      <c r="AP452" s="207" t="n"/>
      <c r="AQ452" s="207" t="n"/>
      <c r="AR452" s="202" t="inlineStr">
        <is>
          <t>Nhóm 1</t>
        </is>
      </c>
      <c r="AS452" s="202" t="n"/>
      <c r="AT452" s="202" t="inlineStr">
        <is>
          <t>HM11</t>
        </is>
      </c>
      <c r="AU452" s="202" t="inlineStr">
        <is>
          <t>PL08</t>
        </is>
      </c>
      <c r="AV452" s="202" t="n">
        <v>1</v>
      </c>
      <c r="AW452" s="202" t="n">
        <v>1</v>
      </c>
      <c r="AX452" s="202" t="n"/>
    </row>
    <row r="453" ht="28" customHeight="1" s="672">
      <c r="A453" s="56" t="inlineStr">
        <is>
          <t>NTCV</t>
        </is>
      </c>
      <c r="B453" s="56" t="inlineStr">
        <is>
          <t>K.9999</t>
        </is>
      </c>
      <c r="C453" s="56" t="inlineStr">
        <is>
          <t>NTCV.0425485</t>
        </is>
      </c>
      <c r="D453" s="57" t="n"/>
      <c r="E453" s="57" t="n"/>
      <c r="F453" s="57" t="n"/>
      <c r="G453" s="57" t="n"/>
      <c r="H453" s="57" t="n"/>
      <c r="J453" s="209" t="inlineStr">
        <is>
          <t>23</t>
        </is>
      </c>
      <c r="K453" s="209" t="inlineStr">
        <is>
          <t>K.9999</t>
        </is>
      </c>
      <c r="L453" s="210" t="inlineStr">
        <is>
          <t xml:space="preserve">Kiểm tra công tác chuẩn bị đổ bê tông cọc khoan nhồi </t>
        </is>
      </c>
      <c r="M453" s="210" t="n"/>
      <c r="N453" s="210" t="n"/>
      <c r="O453" s="211" t="inlineStr">
        <is>
          <t>Cầu Km19+529.080</t>
        </is>
      </c>
      <c r="P453" s="212">
        <f>S451</f>
        <v/>
      </c>
      <c r="Q453" s="212">
        <f>P453</f>
        <v/>
      </c>
      <c r="R453" s="212">
        <f>Q453-1</f>
        <v/>
      </c>
      <c r="S453" s="212">
        <f>Q453</f>
        <v/>
      </c>
      <c r="T453" s="213">
        <f>U451</f>
        <v/>
      </c>
      <c r="U453" s="213">
        <f>T453+V453</f>
        <v/>
      </c>
      <c r="V453" s="213" t="n">
        <v>0.02083333333333333</v>
      </c>
      <c r="W453" s="214">
        <f>TEXT(T453,"HH""h""MM'")&amp;"÷"&amp;TEXT(U453,"HH""h""MM'")</f>
        <v/>
      </c>
      <c r="X453" s="214" t="n"/>
      <c r="Y453" s="214" t="n"/>
      <c r="Z453" s="214" t="inlineStr">
        <is>
          <t>09;</t>
        </is>
      </c>
      <c r="AA453" s="215" t="inlineStr">
        <is>
          <t>Kiểm tra công tác chuẩn bị đổ bê tông Cọc khoan nhồi Trụ T1 - Cọc C5 ( Cọc PDA)</t>
        </is>
      </c>
      <c r="AB453" s="204" t="inlineStr">
        <is>
          <t>09-XL-307HG/PYCNT/CKN/T1/C5-2</t>
        </is>
      </c>
      <c r="AC453" s="204" t="inlineStr">
        <is>
          <t>09-XL-307HG/BBNT/CKN/T1/C5-9</t>
        </is>
      </c>
      <c r="AD453" s="204" t="n"/>
      <c r="AE453" s="204" t="n"/>
      <c r="AF453" s="204" t="n"/>
      <c r="AG453" s="204" t="n"/>
      <c r="AH453" s="204" t="n"/>
      <c r="AI453" s="214" t="n"/>
      <c r="AJ453" s="214" t="n"/>
      <c r="AK453" s="217" t="n"/>
      <c r="AL453" s="214" t="n"/>
      <c r="AM453" s="214" t="n"/>
      <c r="AN453" s="214" t="n"/>
      <c r="AO453" s="214" t="n"/>
      <c r="AP453" s="216" t="n"/>
      <c r="AQ453" s="216" t="n"/>
      <c r="AR453" s="214" t="inlineStr">
        <is>
          <t>Nhóm 1</t>
        </is>
      </c>
      <c r="AS453" s="214" t="n"/>
      <c r="AT453" s="214" t="inlineStr">
        <is>
          <t>HM11</t>
        </is>
      </c>
      <c r="AU453" s="214" t="inlineStr">
        <is>
          <t>NTCV</t>
        </is>
      </c>
      <c r="AV453" s="214" t="n">
        <v>65</v>
      </c>
      <c r="AW453" s="214" t="n">
        <v>8</v>
      </c>
      <c r="AX453" s="214" t="n"/>
    </row>
    <row r="454">
      <c r="A454" s="56" t="inlineStr">
        <is>
          <t>BBK209</t>
        </is>
      </c>
      <c r="B454" s="56" t="inlineStr">
        <is>
          <t>PL09</t>
        </is>
      </c>
      <c r="C454" s="56" t="inlineStr">
        <is>
          <t>BBK209.0573013</t>
        </is>
      </c>
      <c r="D454" s="57" t="n"/>
      <c r="E454" s="57" t="n"/>
      <c r="F454" s="57" t="n"/>
      <c r="G454" s="57" t="n"/>
      <c r="H454" s="57" t="n"/>
      <c r="J454" s="198" t="inlineStr">
        <is>
          <t>24</t>
        </is>
      </c>
      <c r="K454" s="198" t="inlineStr">
        <is>
          <t>PL09</t>
        </is>
      </c>
      <c r="L454" s="199" t="inlineStr">
        <is>
          <t>Kiểm tra công tác chuẩn bị đổ bê tông cọc khoan nhồi</t>
        </is>
      </c>
      <c r="M454" s="199" t="n"/>
      <c r="N454" s="199" t="n"/>
      <c r="O454" s="200" t="inlineStr">
        <is>
          <t>Cầu Km19+529.080</t>
        </is>
      </c>
      <c r="P454" s="201" t="n"/>
      <c r="Q454" s="201" t="n"/>
      <c r="R454" s="201" t="n"/>
      <c r="S454" s="201">
        <f>S453</f>
        <v/>
      </c>
      <c r="T454" s="201" t="n"/>
      <c r="U454" s="201" t="n"/>
      <c r="V454" s="201" t="n"/>
      <c r="W454" s="202" t="n"/>
      <c r="X454" s="202" t="n"/>
      <c r="Y454" s="202" t="n"/>
      <c r="Z454" s="198" t="inlineStr">
        <is>
          <t>09</t>
        </is>
      </c>
      <c r="AA454" s="203" t="n"/>
      <c r="AB454" s="204" t="inlineStr">
        <is>
          <t>09-XL-307HG/PYCNT/CKN/T1/C5-2</t>
        </is>
      </c>
      <c r="AC454" s="204">
        <f>AC453</f>
        <v/>
      </c>
      <c r="AD454" s="204" t="n"/>
      <c r="AE454" s="204" t="n"/>
      <c r="AF454" s="204" t="n"/>
      <c r="AG454" s="204" t="n"/>
      <c r="AH454" s="204" t="inlineStr">
        <is>
          <t>C30(1)</t>
        </is>
      </c>
      <c r="AI454" s="202" t="n"/>
      <c r="AJ454" s="202" t="n"/>
      <c r="AK454" s="206" t="n"/>
      <c r="AL454" s="202" t="n"/>
      <c r="AM454" s="202" t="n"/>
      <c r="AN454" s="202" t="n"/>
      <c r="AO454" s="202" t="n"/>
      <c r="AP454" s="207" t="n"/>
      <c r="AQ454" s="207" t="n"/>
      <c r="AR454" s="202" t="inlineStr">
        <is>
          <t>Nhóm 1</t>
        </is>
      </c>
      <c r="AS454" s="202" t="n"/>
      <c r="AT454" s="202" t="inlineStr">
        <is>
          <t>HM11</t>
        </is>
      </c>
      <c r="AU454" s="202" t="inlineStr">
        <is>
          <t>PL09</t>
        </is>
      </c>
      <c r="AV454" s="202" t="n">
        <v>1</v>
      </c>
      <c r="AW454" s="202" t="n">
        <v>1</v>
      </c>
      <c r="AX454" s="202" t="n"/>
    </row>
    <row r="455" ht="28" customHeight="1" s="672">
      <c r="A455" s="56" t="inlineStr">
        <is>
          <t>NTCV</t>
        </is>
      </c>
      <c r="B455" s="56" t="inlineStr">
        <is>
          <t>K.9999</t>
        </is>
      </c>
      <c r="C455" s="56" t="inlineStr">
        <is>
          <t>NTCV.0050045</t>
        </is>
      </c>
      <c r="D455" s="57" t="n"/>
      <c r="E455" s="57" t="n"/>
      <c r="F455" s="57" t="n"/>
      <c r="G455" s="57" t="n"/>
      <c r="H455" s="57" t="n"/>
      <c r="J455" s="209" t="inlineStr">
        <is>
          <t>25</t>
        </is>
      </c>
      <c r="K455" s="209" t="inlineStr">
        <is>
          <t>K.9999</t>
        </is>
      </c>
      <c r="L455" s="210" t="inlineStr">
        <is>
          <t>Theo dõi quá trình đổ bê tông cọc khoan nhồi</t>
        </is>
      </c>
      <c r="M455" s="210" t="n"/>
      <c r="N455" s="210" t="n"/>
      <c r="O455" s="211" t="inlineStr">
        <is>
          <t>Cầu Km19+529.080</t>
        </is>
      </c>
      <c r="P455" s="212">
        <f>S453</f>
        <v/>
      </c>
      <c r="Q455" s="212">
        <f>P455</f>
        <v/>
      </c>
      <c r="R455" s="212">
        <f>Q455-1</f>
        <v/>
      </c>
      <c r="S455" s="212">
        <f>Q455</f>
        <v/>
      </c>
      <c r="T455" s="213">
        <f>U453</f>
        <v/>
      </c>
      <c r="U455" s="213">
        <f>T455+V455</f>
        <v/>
      </c>
      <c r="V455" s="213" t="n">
        <v>0.1458333333333333</v>
      </c>
      <c r="W455" s="214">
        <f>TEXT(T455,"HH""h""MM'")&amp;"÷"&amp;TEXT(U455,"HH""h""MM'")</f>
        <v/>
      </c>
      <c r="X455" s="214" t="n"/>
      <c r="Y455" s="214" t="n"/>
      <c r="Z455" s="214" t="inlineStr">
        <is>
          <t>10;</t>
        </is>
      </c>
      <c r="AA455" s="215" t="inlineStr">
        <is>
          <t>Theo dõi quá trình đổ bê tông  Cọc khoan nhồi Trụ T1 - Cọc C5 ( Cọc PDA)</t>
        </is>
      </c>
      <c r="AB455" s="204" t="inlineStr">
        <is>
          <t>09-XL-307HG/PYCNT/CKN/T1/C5-2</t>
        </is>
      </c>
      <c r="AC455" s="204" t="inlineStr">
        <is>
          <t>09-XL-307HG/BBNT/CKN/T1/C5-10</t>
        </is>
      </c>
      <c r="AD455" s="204" t="n"/>
      <c r="AE455" s="204" t="n"/>
      <c r="AF455" s="204" t="n"/>
      <c r="AG455" s="204" t="n"/>
      <c r="AH455" s="204" t="n"/>
      <c r="AI455" s="214" t="n"/>
      <c r="AJ455" s="214" t="n"/>
      <c r="AK455" s="217" t="n"/>
      <c r="AL455" s="214" t="n"/>
      <c r="AM455" s="214" t="n"/>
      <c r="AN455" s="214" t="n"/>
      <c r="AO455" s="214" t="n"/>
      <c r="AP455" s="216" t="n"/>
      <c r="AQ455" s="216" t="n"/>
      <c r="AR455" s="214" t="inlineStr">
        <is>
          <t>Nhóm 1</t>
        </is>
      </c>
      <c r="AS455" s="214" t="n"/>
      <c r="AT455" s="214" t="inlineStr">
        <is>
          <t>HM11</t>
        </is>
      </c>
      <c r="AU455" s="214" t="inlineStr">
        <is>
          <t>NTCV</t>
        </is>
      </c>
      <c r="AV455" s="214" t="n">
        <v>66</v>
      </c>
      <c r="AW455" s="214" t="n">
        <v>9</v>
      </c>
      <c r="AX455" s="214" t="n"/>
    </row>
    <row r="456" ht="196" customHeight="1" s="672">
      <c r="A456" s="56" t="inlineStr">
        <is>
          <t>LMHT</t>
        </is>
      </c>
      <c r="B456" s="56" t="inlineStr">
        <is>
          <t>LMHT</t>
        </is>
      </c>
      <c r="C456" s="56" t="inlineStr">
        <is>
          <t>LMHT.0547599</t>
        </is>
      </c>
      <c r="D456" s="57" t="inlineStr">
        <is>
          <t>TC.000041|TC.000182|TC.000169.A</t>
        </is>
      </c>
      <c r="E456" s="57" t="n"/>
      <c r="F456" s="57" t="inlineStr">
        <is>
          <t>CP.0001^Cọc khoan nhồi Trụ T1 - Cọc C5 (Cọc PDA)^Hình trụ 15x30 (cm)^12^30 Mpa, 18±2^^^TC.000041|TC.000182|TC.000169.A</t>
        </is>
      </c>
      <c r="G456" s="57" t="n"/>
      <c r="H456" s="57" t="inlineStr">
        <is>
          <t>^^A|C|J|O|S|X|Z^Stt|Hạng mục|Cấp bê tông|Kích thước mẫu|Số lượng mẫu|Ghi chú^|||||</t>
        </is>
      </c>
      <c r="J456" s="256" t="inlineStr">
        <is>
          <t>26</t>
        </is>
      </c>
      <c r="K456" s="256" t="inlineStr">
        <is>
          <t>LMHT</t>
        </is>
      </c>
      <c r="L456" s="257" t="inlineStr">
        <is>
          <t>Lấy mẫu bê tông Cọc khoan nhồi, 30(1) Mpa Trụ T1 - Cọc C5 (Cọc PDA)</t>
        </is>
      </c>
      <c r="M456" s="257" t="n"/>
      <c r="N456" s="257" t="n"/>
      <c r="O456" s="258" t="inlineStr">
        <is>
          <t>Cầu Km19+529.080</t>
        </is>
      </c>
      <c r="P456" s="259" t="n"/>
      <c r="Q456" s="259" t="n"/>
      <c r="R456" s="259" t="n"/>
      <c r="S456" s="259">
        <f>S455</f>
        <v/>
      </c>
      <c r="T456" s="260">
        <f>T455</f>
        <v/>
      </c>
      <c r="U456" s="260">
        <f>U455</f>
        <v/>
      </c>
      <c r="V456" s="260">
        <f>V455</f>
        <v/>
      </c>
      <c r="W456" s="261">
        <f>TEXT(T456,"HH""h""MM'")&amp;"÷"&amp;TEXT(U456,"HH""h""MM'")</f>
        <v/>
      </c>
      <c r="X456" s="262" t="n"/>
      <c r="Y456" s="262" t="n"/>
      <c r="Z456" s="262" t="n"/>
      <c r="AA456" s="262" t="n"/>
      <c r="AB456" s="263" t="inlineStr">
        <is>
          <t>09-XL-307HG/PYCNT/CKN/T1/C5-2</t>
        </is>
      </c>
      <c r="AC456" s="263" t="inlineStr"/>
      <c r="AD456" s="264" t="n"/>
      <c r="AE456" s="264" t="n"/>
      <c r="AF456" s="264" t="n"/>
      <c r="AG456" s="264" t="n"/>
      <c r="AH456" s="264" t="n"/>
      <c r="AI456" s="257" t="n"/>
      <c r="AJ456" s="262" t="n"/>
      <c r="AK456" s="258" t="n"/>
      <c r="AL456" s="262" t="n"/>
      <c r="AM456" s="262" t="n"/>
      <c r="AN456" s="262" t="n"/>
      <c r="AO456" s="262" t="n"/>
      <c r="AP456" s="263" t="inlineStr">
        <is>
          <t>Bảng lấy mẫu CKN</t>
        </is>
      </c>
      <c r="AQ456" s="263" t="n"/>
      <c r="AR456" s="262" t="inlineStr">
        <is>
          <t>Nhóm 1</t>
        </is>
      </c>
      <c r="AS456" s="262" t="n"/>
      <c r="AT456" s="262" t="inlineStr">
        <is>
          <t>HM11</t>
        </is>
      </c>
      <c r="AU456" s="262" t="inlineStr">
        <is>
          <t>LMHT</t>
        </is>
      </c>
      <c r="AV456" s="262" t="n">
        <v>4</v>
      </c>
      <c r="AW456" s="262" t="n">
        <v>1</v>
      </c>
      <c r="AX456" s="262" t="inlineStr">
        <is>
          <t>Cọc T1-C5: xi măng Lần 1; cát Lần 1; đá Lần 1 [BT dòng 4].</t>
        </is>
      </c>
    </row>
    <row r="457">
      <c r="A457" s="56" t="inlineStr">
        <is>
          <t>BBK994</t>
        </is>
      </c>
      <c r="B457" s="56" t="inlineStr">
        <is>
          <t>PL10</t>
        </is>
      </c>
      <c r="C457" s="56" t="inlineStr">
        <is>
          <t>BBK994.0206485</t>
        </is>
      </c>
      <c r="D457" s="57" t="n"/>
      <c r="E457" s="57" t="n"/>
      <c r="F457" s="57" t="n"/>
      <c r="G457" s="57" t="n"/>
      <c r="H457" s="57" t="n"/>
      <c r="J457" s="198" t="inlineStr">
        <is>
          <t>27</t>
        </is>
      </c>
      <c r="K457" s="198" t="inlineStr">
        <is>
          <t>PL10</t>
        </is>
      </c>
      <c r="L457" s="199" t="inlineStr">
        <is>
          <t>Theo dõi quá trình đổ bê tông cọc khoan nhồi</t>
        </is>
      </c>
      <c r="M457" s="199" t="n"/>
      <c r="N457" s="199" t="n"/>
      <c r="O457" s="200" t="inlineStr">
        <is>
          <t>Cầu Km19+529.080</t>
        </is>
      </c>
      <c r="P457" s="201" t="n"/>
      <c r="Q457" s="201" t="n"/>
      <c r="R457" s="201" t="n"/>
      <c r="S457" s="201">
        <f>S455</f>
        <v/>
      </c>
      <c r="T457" s="201" t="n"/>
      <c r="U457" s="201" t="n"/>
      <c r="V457" s="201" t="n"/>
      <c r="W457" s="202" t="n"/>
      <c r="X457" s="202" t="n"/>
      <c r="Y457" s="202" t="n"/>
      <c r="Z457" s="198" t="inlineStr">
        <is>
          <t>10</t>
        </is>
      </c>
      <c r="AA457" s="203" t="n"/>
      <c r="AB457" s="205" t="inlineStr">
        <is>
          <t>09-XL-307HG/PYCNT/CKN/T1/C5-2</t>
        </is>
      </c>
      <c r="AC457" s="205">
        <f>AC455</f>
        <v/>
      </c>
      <c r="AD457" s="205" t="n"/>
      <c r="AE457" s="205" t="n"/>
      <c r="AF457" s="205" t="n"/>
      <c r="AG457" s="205" t="n"/>
      <c r="AH457" s="205" t="inlineStr">
        <is>
          <t>T1-C5</t>
        </is>
      </c>
      <c r="AI457" s="202" t="n"/>
      <c r="AJ457" s="202" t="n"/>
      <c r="AK457" s="206" t="n"/>
      <c r="AL457" s="202" t="n"/>
      <c r="AM457" s="202" t="n"/>
      <c r="AN457" s="202" t="n"/>
      <c r="AO457" s="202" t="n"/>
      <c r="AP457" s="207" t="n"/>
      <c r="AQ457" s="207" t="n"/>
      <c r="AR457" s="202" t="inlineStr">
        <is>
          <t>Nhóm 1</t>
        </is>
      </c>
      <c r="AS457" s="202" t="n"/>
      <c r="AT457" s="202" t="inlineStr">
        <is>
          <t>HM11</t>
        </is>
      </c>
      <c r="AU457" s="202" t="inlineStr">
        <is>
          <t>PL10</t>
        </is>
      </c>
      <c r="AV457" s="202" t="n">
        <v>1</v>
      </c>
      <c r="AW457" s="202" t="n">
        <v>1</v>
      </c>
      <c r="AX457" s="202" t="n"/>
    </row>
    <row r="458" ht="28" customHeight="1" s="672">
      <c r="A458" s="56" t="inlineStr">
        <is>
          <t>NTCV</t>
        </is>
      </c>
      <c r="B458" s="56" t="inlineStr">
        <is>
          <t>K.9999</t>
        </is>
      </c>
      <c r="C458" s="56" t="inlineStr">
        <is>
          <t>NTCV.0962678</t>
        </is>
      </c>
      <c r="D458" s="57" t="n"/>
      <c r="E458" s="57" t="n"/>
      <c r="F458" s="57" t="n"/>
      <c r="G458" s="57" t="n"/>
      <c r="H458" s="57" t="n"/>
      <c r="J458" s="209" t="inlineStr">
        <is>
          <t>28</t>
        </is>
      </c>
      <c r="K458" s="209" t="inlineStr">
        <is>
          <t>K.9999</t>
        </is>
      </c>
      <c r="L458" s="210" t="inlineStr">
        <is>
          <t xml:space="preserve"> Rút ống vách thi công cọc khoan nhồi</t>
        </is>
      </c>
      <c r="M458" s="210" t="n"/>
      <c r="N458" s="210" t="n"/>
      <c r="O458" s="211" t="inlineStr">
        <is>
          <t>Cầu Km19+529.080</t>
        </is>
      </c>
      <c r="P458" s="212">
        <f>S455</f>
        <v/>
      </c>
      <c r="Q458" s="212">
        <f>P458</f>
        <v/>
      </c>
      <c r="R458" s="212">
        <f>Q458-1</f>
        <v/>
      </c>
      <c r="S458" s="212">
        <f>Q458</f>
        <v/>
      </c>
      <c r="T458" s="213">
        <f>U455</f>
        <v/>
      </c>
      <c r="U458" s="213">
        <f>T458+V458</f>
        <v/>
      </c>
      <c r="V458" s="213" t="n">
        <v>0.01041666666666667</v>
      </c>
      <c r="W458" s="214">
        <f>TEXT(T458,"HH""h""MM'")&amp;"÷"&amp;TEXT(U458,"HH""h""MM'")</f>
        <v/>
      </c>
      <c r="X458" s="214" t="n"/>
      <c r="Y458" s="214" t="n"/>
      <c r="Z458" s="214" t="inlineStr">
        <is>
          <t>11;</t>
        </is>
      </c>
      <c r="AA458" s="215" t="inlineStr">
        <is>
          <t>Rút ống vách  Cọc khoan nhồi Trụ T1 - Cọc C5 ( Cọc PDA)</t>
        </is>
      </c>
      <c r="AB458" s="204" t="inlineStr">
        <is>
          <t>09-XL-307HG/PYCNT/CKN/T1/C5-2</t>
        </is>
      </c>
      <c r="AC458" s="204" t="inlineStr">
        <is>
          <t>09-XL-307HG/BBNT/CKN/T1/C5-11</t>
        </is>
      </c>
      <c r="AD458" s="204" t="n"/>
      <c r="AE458" s="204" t="n"/>
      <c r="AF458" s="204" t="n"/>
      <c r="AG458" s="204" t="n"/>
      <c r="AH458" s="204" t="n"/>
      <c r="AI458" s="214" t="n"/>
      <c r="AJ458" s="214" t="n"/>
      <c r="AK458" s="217" t="n"/>
      <c r="AL458" s="214" t="n"/>
      <c r="AM458" s="214" t="n"/>
      <c r="AN458" s="214" t="n"/>
      <c r="AO458" s="214" t="n"/>
      <c r="AP458" s="216" t="n"/>
      <c r="AQ458" s="216" t="n"/>
      <c r="AR458" s="214" t="inlineStr">
        <is>
          <t>Nhóm 1</t>
        </is>
      </c>
      <c r="AS458" s="214" t="n"/>
      <c r="AT458" s="214" t="inlineStr">
        <is>
          <t>HM11</t>
        </is>
      </c>
      <c r="AU458" s="214" t="inlineStr">
        <is>
          <t>NTCV</t>
        </is>
      </c>
      <c r="AV458" s="214" t="n">
        <v>67</v>
      </c>
      <c r="AW458" s="214" t="n">
        <v>10</v>
      </c>
      <c r="AX458" s="214" t="n"/>
    </row>
    <row r="459">
      <c r="A459" s="56" t="inlineStr">
        <is>
          <t>BBK544</t>
        </is>
      </c>
      <c r="B459" s="56" t="inlineStr">
        <is>
          <t>PL11</t>
        </is>
      </c>
      <c r="C459" s="56" t="inlineStr">
        <is>
          <t>BBK544.0933052</t>
        </is>
      </c>
      <c r="D459" s="57" t="n"/>
      <c r="E459" s="57" t="n"/>
      <c r="F459" s="57" t="n"/>
      <c r="G459" s="57" t="n"/>
      <c r="H459" s="57" t="n"/>
      <c r="J459" s="266" t="inlineStr">
        <is>
          <t>29</t>
        </is>
      </c>
      <c r="K459" s="266" t="inlineStr">
        <is>
          <t>PL11</t>
        </is>
      </c>
      <c r="L459" s="267" t="inlineStr">
        <is>
          <t>Rút ống vách thi công cọc khoan nhồi</t>
        </is>
      </c>
      <c r="M459" s="267" t="n"/>
      <c r="N459" s="267" t="n"/>
      <c r="O459" s="268" t="inlineStr">
        <is>
          <t>Cầu Km19+529.080</t>
        </is>
      </c>
      <c r="P459" s="269" t="n"/>
      <c r="Q459" s="269" t="n"/>
      <c r="R459" s="269" t="n"/>
      <c r="S459" s="269">
        <f>S458</f>
        <v/>
      </c>
      <c r="T459" s="269" t="n"/>
      <c r="U459" s="269" t="n"/>
      <c r="V459" s="269" t="n"/>
      <c r="W459" s="270" t="n"/>
      <c r="X459" s="270" t="n"/>
      <c r="Y459" s="270" t="n"/>
      <c r="Z459" s="266" t="inlineStr">
        <is>
          <t>11</t>
        </is>
      </c>
      <c r="AA459" s="271" t="n"/>
      <c r="AB459" s="225" t="inlineStr">
        <is>
          <t>09-XL-307HG/PYCNT/CKN/T1/C5-2</t>
        </is>
      </c>
      <c r="AC459" s="225">
        <f>AC458</f>
        <v/>
      </c>
      <c r="AD459" s="225" t="n"/>
      <c r="AE459" s="225" t="n"/>
      <c r="AF459" s="225" t="n"/>
      <c r="AG459" s="225" t="n"/>
      <c r="AH459" s="225" t="inlineStr">
        <is>
          <t>&gt;=226;&lt;=257</t>
        </is>
      </c>
      <c r="AI459" s="270" t="n"/>
      <c r="AJ459" s="270" t="n"/>
      <c r="AK459" s="272" t="n"/>
      <c r="AL459" s="270" t="n"/>
      <c r="AM459" s="270" t="n"/>
      <c r="AN459" s="270" t="n"/>
      <c r="AO459" s="270" t="n"/>
      <c r="AP459" s="273" t="n"/>
      <c r="AQ459" s="273" t="n"/>
      <c r="AR459" s="270" t="inlineStr">
        <is>
          <t>Nhóm 1</t>
        </is>
      </c>
      <c r="AS459" s="270" t="n"/>
      <c r="AT459" s="270" t="inlineStr">
        <is>
          <t>HM11</t>
        </is>
      </c>
      <c r="AU459" s="270" t="inlineStr">
        <is>
          <t>PL11</t>
        </is>
      </c>
      <c r="AV459" s="270" t="n">
        <v>1</v>
      </c>
      <c r="AW459" s="270" t="n">
        <v>1</v>
      </c>
      <c r="AX459" s="270" t="n"/>
    </row>
    <row r="460">
      <c r="A460" s="56" t="inlineStr">
        <is>
          <t>BBK680</t>
        </is>
      </c>
      <c r="B460" s="56" t="inlineStr">
        <is>
          <t>PYC</t>
        </is>
      </c>
      <c r="C460" s="56" t="inlineStr">
        <is>
          <t>BBK680.0992572</t>
        </is>
      </c>
      <c r="D460" s="57" t="n"/>
      <c r="E460" s="57" t="n"/>
      <c r="F460" s="57" t="n"/>
      <c r="G460" s="57" t="n"/>
      <c r="H460" s="57" t="n"/>
      <c r="J460" s="274" t="inlineStr">
        <is>
          <t>30</t>
        </is>
      </c>
      <c r="K460" s="274" t="inlineStr">
        <is>
          <t>PYC</t>
        </is>
      </c>
      <c r="L460" s="275" t="inlineStr">
        <is>
          <t>Phiếu yêu cầu nghiệm thu</t>
        </is>
      </c>
      <c r="M460" s="275" t="n"/>
      <c r="N460" s="275" t="n"/>
      <c r="O460" s="276" t="inlineStr">
        <is>
          <t>Cầu Km19+529.080</t>
        </is>
      </c>
      <c r="P460" s="277" t="n"/>
      <c r="Q460" s="277" t="n"/>
      <c r="R460" s="277">
        <f>R461</f>
        <v/>
      </c>
      <c r="S460" s="277" t="n"/>
      <c r="T460" s="277" t="n"/>
      <c r="U460" s="277" t="n"/>
      <c r="V460" s="277" t="n"/>
      <c r="W460" s="278" t="n"/>
      <c r="X460" s="278" t="n"/>
      <c r="Y460" s="278" t="n"/>
      <c r="Z460" s="278" t="n"/>
      <c r="AA460" s="279" t="n"/>
      <c r="AB460" s="280" t="inlineStr">
        <is>
          <t>09-XL-307HG/PYCNT/CKN/T1/C5</t>
        </is>
      </c>
      <c r="AC460" s="280" t="inlineStr"/>
      <c r="AD460" s="280" t="n"/>
      <c r="AE460" s="280" t="n"/>
      <c r="AF460" s="280" t="n"/>
      <c r="AG460" s="205" t="inlineStr">
        <is>
          <t>NTCV;BBKTĐK</t>
        </is>
      </c>
      <c r="AH460" s="280" t="n">
        <v>11</v>
      </c>
      <c r="AI460" s="278" t="n"/>
      <c r="AJ460" s="278" t="n"/>
      <c r="AK460" s="281" t="n"/>
      <c r="AL460" s="278" t="n"/>
      <c r="AM460" s="278" t="n"/>
      <c r="AN460" s="278" t="n"/>
      <c r="AO460" s="278" t="n"/>
      <c r="AP460" s="282" t="n"/>
      <c r="AQ460" s="282" t="n"/>
      <c r="AR460" s="278" t="inlineStr">
        <is>
          <t>Nhóm 1</t>
        </is>
      </c>
      <c r="AS460" s="278" t="n"/>
      <c r="AT460" s="278" t="inlineStr">
        <is>
          <t>HM11</t>
        </is>
      </c>
      <c r="AU460" s="278" t="inlineStr">
        <is>
          <t>PYC</t>
        </is>
      </c>
      <c r="AV460" s="278" t="n">
        <v>171</v>
      </c>
      <c r="AW460" s="278" t="n">
        <v>3</v>
      </c>
      <c r="AX460" s="278" t="n"/>
    </row>
    <row r="461" ht="28" customHeight="1" s="672">
      <c r="A461" s="56" t="inlineStr">
        <is>
          <t>NTCV</t>
        </is>
      </c>
      <c r="B461" s="56" t="inlineStr">
        <is>
          <t>K.9999</t>
        </is>
      </c>
      <c r="C461" s="56" t="inlineStr">
        <is>
          <t>NTCV.0839586</t>
        </is>
      </c>
      <c r="D461" s="57" t="n"/>
      <c r="E461" s="57" t="n"/>
      <c r="F461" s="57" t="n"/>
      <c r="G461" s="57" t="n"/>
      <c r="H461" s="57" t="n"/>
      <c r="J461" s="283" t="inlineStr">
        <is>
          <t>31</t>
        </is>
      </c>
      <c r="K461" s="283" t="inlineStr">
        <is>
          <t>K.9999</t>
        </is>
      </c>
      <c r="L461" s="284" t="inlineStr">
        <is>
          <t>Theo dõi nén mẫu R7 Cọc khoan nhồi Trụ T1 - Cọc C5 (Cọc PDA)</t>
        </is>
      </c>
      <c r="M461" s="284" t="n"/>
      <c r="N461" s="284" t="n"/>
      <c r="O461" s="285" t="inlineStr">
        <is>
          <t>Cầu Km19+529.080</t>
        </is>
      </c>
      <c r="P461" s="286">
        <f>S458+7</f>
        <v/>
      </c>
      <c r="Q461" s="286">
        <f>P461</f>
        <v/>
      </c>
      <c r="R461" s="286">
        <f>Q461-1</f>
        <v/>
      </c>
      <c r="S461" s="286">
        <f>Q461</f>
        <v/>
      </c>
      <c r="T461" s="287" t="n">
        <v>0.3541666666666667</v>
      </c>
      <c r="U461" s="287">
        <f>T461+V461</f>
        <v/>
      </c>
      <c r="V461" s="287" t="n">
        <v>0.02083333333333333</v>
      </c>
      <c r="W461" s="288">
        <f>TEXT(T461,"HH""h""MM'")&amp;"÷"&amp;TEXT(U461,"HH""h""MM'")</f>
        <v/>
      </c>
      <c r="X461" s="288" t="n"/>
      <c r="Y461" s="288" t="n"/>
      <c r="Z461" s="288" t="n"/>
      <c r="AA461" s="289" t="inlineStr">
        <is>
          <t>Theo dõi nén mẫu R7 Cọc khoan nhồi Trụ T1 - Cọc C5 ( Cọc PDA)</t>
        </is>
      </c>
      <c r="AB461" s="243" t="inlineStr">
        <is>
          <t>09-XL-307HG/PYCNT/CKN/T1/C5-3</t>
        </is>
      </c>
      <c r="AC461" s="243" t="inlineStr">
        <is>
          <t>09-XL-307HG/BBNT/CKN/T1/C5-12</t>
        </is>
      </c>
      <c r="AD461" s="243" t="n"/>
      <c r="AE461" s="243" t="n"/>
      <c r="AF461" s="243" t="n"/>
      <c r="AG461" s="243" t="n"/>
      <c r="AH461" s="243" t="n"/>
      <c r="AI461" s="288" t="n"/>
      <c r="AJ461" s="288" t="n"/>
      <c r="AK461" s="290" t="n"/>
      <c r="AL461" s="288" t="n"/>
      <c r="AM461" s="288" t="n"/>
      <c r="AN461" s="288" t="n"/>
      <c r="AO461" s="288" t="n"/>
      <c r="AP461" s="291" t="n"/>
      <c r="AQ461" s="291" t="n"/>
      <c r="AR461" s="288" t="inlineStr">
        <is>
          <t>Nhóm 1</t>
        </is>
      </c>
      <c r="AS461" s="288" t="n"/>
      <c r="AT461" s="288" t="inlineStr">
        <is>
          <t>HM11</t>
        </is>
      </c>
      <c r="AU461" s="288" t="inlineStr">
        <is>
          <t>NTCV</t>
        </is>
      </c>
      <c r="AV461" s="288" t="n">
        <v>68</v>
      </c>
      <c r="AW461" s="288" t="n">
        <v>11</v>
      </c>
      <c r="AX461" s="288" t="n"/>
    </row>
    <row r="462">
      <c r="A462" s="56" t="inlineStr">
        <is>
          <t>BBK680</t>
        </is>
      </c>
      <c r="B462" s="56" t="inlineStr">
        <is>
          <t>PYC</t>
        </is>
      </c>
      <c r="C462" s="56" t="inlineStr">
        <is>
          <t>BBK680.0409323</t>
        </is>
      </c>
      <c r="D462" s="57" t="n"/>
      <c r="E462" s="57" t="n"/>
      <c r="F462" s="57" t="n"/>
      <c r="G462" s="57" t="n"/>
      <c r="H462" s="57" t="n"/>
      <c r="J462" s="198" t="inlineStr">
        <is>
          <t>32</t>
        </is>
      </c>
      <c r="K462" s="198" t="inlineStr">
        <is>
          <t>PYC</t>
        </is>
      </c>
      <c r="L462" s="199" t="inlineStr">
        <is>
          <t>Phiếu yêu cầu nghiệm thu</t>
        </is>
      </c>
      <c r="M462" s="199" t="n"/>
      <c r="N462" s="199" t="n"/>
      <c r="O462" s="200" t="inlineStr">
        <is>
          <t>Cầu Km19+529.080</t>
        </is>
      </c>
      <c r="P462" s="201" t="n"/>
      <c r="Q462" s="201" t="n"/>
      <c r="R462" s="201">
        <f>+S457+28</f>
        <v/>
      </c>
      <c r="S462" s="201" t="n"/>
      <c r="T462" s="201" t="n"/>
      <c r="U462" s="201" t="n"/>
      <c r="V462" s="201" t="n"/>
      <c r="W462" s="202" t="n"/>
      <c r="X462" s="202" t="n"/>
      <c r="Y462" s="202" t="n"/>
      <c r="Z462" s="202" t="n"/>
      <c r="AA462" s="203" t="n"/>
      <c r="AB462" s="205" t="inlineStr">
        <is>
          <t>09-XL-307HG/PYCNT/CKN/T1/C5</t>
        </is>
      </c>
      <c r="AC462" s="205" t="inlineStr"/>
      <c r="AD462" s="205" t="n"/>
      <c r="AE462" s="205" t="n"/>
      <c r="AF462" s="205" t="n"/>
      <c r="AG462" s="205" t="inlineStr">
        <is>
          <t>NTCV;BBKTĐK</t>
        </is>
      </c>
      <c r="AH462" s="205" t="n">
        <v>12</v>
      </c>
      <c r="AI462" s="202" t="n"/>
      <c r="AJ462" s="202" t="n"/>
      <c r="AK462" s="206" t="n"/>
      <c r="AL462" s="202" t="n"/>
      <c r="AM462" s="202" t="n"/>
      <c r="AN462" s="202" t="n"/>
      <c r="AO462" s="202" t="n"/>
      <c r="AP462" s="207" t="n"/>
      <c r="AQ462" s="207" t="n"/>
      <c r="AR462" s="202" t="inlineStr">
        <is>
          <t>Nhóm 1</t>
        </is>
      </c>
      <c r="AS462" s="202" t="n"/>
      <c r="AT462" s="202" t="inlineStr">
        <is>
          <t>HM11</t>
        </is>
      </c>
      <c r="AU462" s="202" t="inlineStr">
        <is>
          <t>PYC</t>
        </is>
      </c>
      <c r="AV462" s="202" t="n">
        <v>172</v>
      </c>
      <c r="AW462" s="202" t="n">
        <v>4</v>
      </c>
      <c r="AX462" s="202" t="n"/>
    </row>
    <row r="463" ht="28" customHeight="1" s="672">
      <c r="A463" s="56" t="inlineStr">
        <is>
          <t>NTCV</t>
        </is>
      </c>
      <c r="B463" s="56" t="inlineStr">
        <is>
          <t>K.9999</t>
        </is>
      </c>
      <c r="C463" s="56" t="inlineStr">
        <is>
          <t>NTCV.0805275</t>
        </is>
      </c>
      <c r="D463" s="57" t="n"/>
      <c r="E463" s="57" t="n"/>
      <c r="F463" s="57" t="n"/>
      <c r="G463" s="57" t="n"/>
      <c r="H463" s="57" t="n"/>
      <c r="J463" s="209" t="inlineStr">
        <is>
          <t>33</t>
        </is>
      </c>
      <c r="K463" s="209" t="inlineStr">
        <is>
          <t>K.9999</t>
        </is>
      </c>
      <c r="L463" s="210" t="inlineStr">
        <is>
          <t>Đập đầu cọc khoan nhồi Trụ T1 - Cọc C5 (Cọc PDA)</t>
        </is>
      </c>
      <c r="M463" s="210" t="n"/>
      <c r="N463" s="210" t="n"/>
      <c r="O463" s="211" t="inlineStr">
        <is>
          <t>Cầu Km19+529.080</t>
        </is>
      </c>
      <c r="P463" s="212">
        <f>S461</f>
        <v/>
      </c>
      <c r="Q463" s="212">
        <f>P463</f>
        <v/>
      </c>
      <c r="R463" s="212">
        <f>Q463-1</f>
        <v/>
      </c>
      <c r="S463" s="212">
        <f>Q463</f>
        <v/>
      </c>
      <c r="T463" s="213" t="n">
        <v>0.3541666666666667</v>
      </c>
      <c r="U463" s="213">
        <f>T463+V463</f>
        <v/>
      </c>
      <c r="V463" s="213" t="n">
        <v>0.0625</v>
      </c>
      <c r="W463" s="214">
        <f>TEXT(T463,"HH""h""MM'")&amp;"÷"&amp;TEXT(U463,"HH""h""MM'")</f>
        <v/>
      </c>
      <c r="X463" s="214" t="n"/>
      <c r="Y463" s="214" t="n"/>
      <c r="Z463" s="209" t="n"/>
      <c r="AA463" s="215" t="inlineStr">
        <is>
          <t>Theo dõi nén mẫu R28 Cọc khoan nhồi Trụ T1 - Cọc C5 ( Cọc PDA)</t>
        </is>
      </c>
      <c r="AB463" s="204" t="inlineStr">
        <is>
          <t>09-XL-307HG/PYCNT/CKN/T1/C5-4</t>
        </is>
      </c>
      <c r="AC463" s="204" t="inlineStr">
        <is>
          <t>09-XL-307HG/BBNT/CKN/T1/C5-13</t>
        </is>
      </c>
      <c r="AD463" s="204" t="n"/>
      <c r="AE463" s="204" t="n"/>
      <c r="AF463" s="204" t="n"/>
      <c r="AG463" s="204" t="n"/>
      <c r="AH463" s="204" t="n"/>
      <c r="AI463" s="214" t="n"/>
      <c r="AJ463" s="214" t="n"/>
      <c r="AK463" s="217" t="n"/>
      <c r="AL463" s="214" t="n"/>
      <c r="AM463" s="214" t="n"/>
      <c r="AN463" s="214" t="n"/>
      <c r="AO463" s="214" t="n"/>
      <c r="AP463" s="216" t="n"/>
      <c r="AQ463" s="216" t="n"/>
      <c r="AR463" s="214" t="inlineStr">
        <is>
          <t>Nhóm 1</t>
        </is>
      </c>
      <c r="AS463" s="214" t="n"/>
      <c r="AT463" s="214" t="inlineStr">
        <is>
          <t>HM11</t>
        </is>
      </c>
      <c r="AU463" s="214" t="inlineStr">
        <is>
          <t>NTCV</t>
        </is>
      </c>
      <c r="AV463" s="214" t="n">
        <v>69</v>
      </c>
      <c r="AW463" s="214" t="n">
        <v>12</v>
      </c>
      <c r="AX463" s="214" t="n"/>
    </row>
    <row r="464">
      <c r="A464" s="56" t="inlineStr">
        <is>
          <t>HM</t>
        </is>
      </c>
      <c r="B464" s="56" t="inlineStr">
        <is>
          <t>HM</t>
        </is>
      </c>
      <c r="C464" s="56" t="inlineStr">
        <is>
          <t>HM.0989428</t>
        </is>
      </c>
      <c r="D464" s="57" t="n"/>
      <c r="E464" s="57" t="n"/>
      <c r="F464" s="57" t="n"/>
      <c r="G464" s="57" t="n"/>
      <c r="H464" s="57" t="n"/>
      <c r="J464" s="246" t="inlineStr">
        <is>
          <t>HM12</t>
        </is>
      </c>
      <c r="K464" s="246" t="inlineStr">
        <is>
          <t>HM</t>
        </is>
      </c>
      <c r="L464" s="247" t="inlineStr">
        <is>
          <t>Trụ T1 - Cọc C6</t>
        </is>
      </c>
      <c r="M464" s="247" t="n"/>
      <c r="N464" s="247" t="n"/>
      <c r="O464" s="248" t="inlineStr">
        <is>
          <t>Cầu Km19+529.080</t>
        </is>
      </c>
      <c r="P464" s="249" t="n"/>
      <c r="Q464" s="249" t="n"/>
      <c r="R464" s="249" t="n"/>
      <c r="S464" s="249" t="n"/>
      <c r="T464" s="249" t="n"/>
      <c r="U464" s="249" t="n"/>
      <c r="V464" s="249" t="n"/>
      <c r="W464" s="250" t="n"/>
      <c r="X464" s="250" t="n"/>
      <c r="Y464" s="250" t="n"/>
      <c r="Z464" s="250" t="n"/>
      <c r="AA464" s="251" t="n"/>
      <c r="AB464" s="252" t="n"/>
      <c r="AC464" s="252" t="inlineStr"/>
      <c r="AD464" s="252" t="n"/>
      <c r="AE464" s="252" t="n"/>
      <c r="AF464" s="252" t="n"/>
      <c r="AG464" s="252" t="n"/>
      <c r="AH464" s="252" t="n"/>
      <c r="AI464" s="250" t="n"/>
      <c r="AJ464" s="250" t="n"/>
      <c r="AK464" s="253" t="n"/>
      <c r="AL464" s="250" t="n"/>
      <c r="AM464" s="250" t="n"/>
      <c r="AN464" s="250" t="n"/>
      <c r="AO464" s="250" t="n"/>
      <c r="AP464" s="254" t="n"/>
      <c r="AQ464" s="254" t="n"/>
      <c r="AR464" s="250" t="n"/>
      <c r="AS464" s="250" t="n"/>
      <c r="AT464" s="250" t="inlineStr">
        <is>
          <t>HM12</t>
        </is>
      </c>
      <c r="AU464" s="250" t="inlineStr">
        <is>
          <t>HM</t>
        </is>
      </c>
      <c r="AV464" s="250" t="n"/>
      <c r="AW464" s="250" t="n"/>
      <c r="AX464" s="250" t="n"/>
    </row>
    <row r="465" ht="28" customFormat="1" customHeight="1" s="70">
      <c r="A465" s="68" t="inlineStr">
        <is>
          <t>BBK_BIA</t>
        </is>
      </c>
      <c r="B465" s="68" t="inlineStr">
        <is>
          <t>TRANGBIA</t>
        </is>
      </c>
      <c r="C465" s="68" t="inlineStr">
        <is>
          <t>BBK_BIA.0258442</t>
        </is>
      </c>
      <c r="D465" s="69" t="n"/>
      <c r="E465" s="69" t="n"/>
      <c r="F465" s="69" t="n"/>
      <c r="G465" s="69" t="n"/>
      <c r="H465" s="69" t="n"/>
      <c r="J465" s="98" t="inlineStr">
        <is>
          <t>01</t>
        </is>
      </c>
      <c r="K465" s="98" t="inlineStr">
        <is>
          <t>TRANGBIA</t>
        </is>
      </c>
      <c r="L465" s="99">
        <f>"Cọc Khoan Nhồi"&amp;" - "&amp;L464</f>
        <v/>
      </c>
      <c r="M465" s="99" t="n"/>
      <c r="N465" s="99" t="n"/>
      <c r="O465" s="100" t="inlineStr">
        <is>
          <t>Cầu Km19+529.080</t>
        </is>
      </c>
      <c r="P465" s="101" t="n"/>
      <c r="Q465" s="101" t="n"/>
      <c r="R465" s="101" t="n"/>
      <c r="S465" s="101" t="n"/>
      <c r="T465" s="101" t="n"/>
      <c r="U465" s="101" t="n"/>
      <c r="V465" s="101" t="n"/>
      <c r="W465" s="102" t="n"/>
      <c r="X465" s="102" t="n"/>
      <c r="Y465" s="102" t="n"/>
      <c r="Z465" s="102" t="n"/>
      <c r="AA465" s="102" t="n"/>
      <c r="AB465" s="102" t="n"/>
      <c r="AC465" s="102" t="inlineStr"/>
      <c r="AD465" s="102" t="n"/>
      <c r="AE465" s="102" t="n"/>
      <c r="AF465" s="102" t="n"/>
      <c r="AG465" s="102" t="n"/>
      <c r="AH465" s="102" t="n"/>
      <c r="AI465" s="102" t="n"/>
      <c r="AJ465" s="102" t="n"/>
      <c r="AK465" s="100" t="n"/>
      <c r="AL465" s="102" t="n"/>
      <c r="AM465" s="102" t="n"/>
      <c r="AN465" s="102" t="n"/>
      <c r="AO465" s="102" t="n"/>
      <c r="AP465" s="103" t="inlineStr">
        <is>
          <t>Kết cấu cọc khoan nhồi mố, trụ</t>
        </is>
      </c>
      <c r="AQ465" s="104" t="n"/>
      <c r="AR465" s="102" t="inlineStr">
        <is>
          <t>Nhóm 1</t>
        </is>
      </c>
      <c r="AS465" s="102" t="n"/>
      <c r="AT465" s="102" t="inlineStr">
        <is>
          <t>HM12</t>
        </is>
      </c>
      <c r="AU465" s="102" t="inlineStr">
        <is>
          <t>TRANGBIA</t>
        </is>
      </c>
      <c r="AV465" s="102" t="n">
        <v>12</v>
      </c>
      <c r="AW465" s="102" t="n">
        <v>1</v>
      </c>
      <c r="AX465" s="102" t="n"/>
    </row>
    <row r="466" customFormat="1" s="70">
      <c r="A466" s="68" t="inlineStr">
        <is>
          <t>BBK_ML</t>
        </is>
      </c>
      <c r="B466" s="68" t="inlineStr">
        <is>
          <t>MUCLUC</t>
        </is>
      </c>
      <c r="C466" s="68" t="inlineStr">
        <is>
          <t>BBK_ML.0174484</t>
        </is>
      </c>
      <c r="D466" s="69" t="n"/>
      <c r="E466" s="69" t="n"/>
      <c r="F466" s="69" t="n"/>
      <c r="G466" s="69" t="n"/>
      <c r="H466" s="69" t="n"/>
      <c r="J466" s="98" t="inlineStr">
        <is>
          <t>02</t>
        </is>
      </c>
      <c r="K466" s="98" t="inlineStr">
        <is>
          <t>MUCLUC</t>
        </is>
      </c>
      <c r="L466" s="99" t="inlineStr">
        <is>
          <t>Danh mục biên bản Kiểm tra/Nghiệm thu</t>
        </is>
      </c>
      <c r="M466" s="99" t="n"/>
      <c r="N466" s="99" t="n"/>
      <c r="O466" s="100" t="inlineStr">
        <is>
          <t>Cầu Km19+529.080</t>
        </is>
      </c>
      <c r="P466" s="101" t="n"/>
      <c r="Q466" s="101" t="n"/>
      <c r="R466" s="101" t="n"/>
      <c r="S466" s="101" t="n"/>
      <c r="T466" s="101" t="n"/>
      <c r="U466" s="101" t="n"/>
      <c r="V466" s="101" t="n"/>
      <c r="W466" s="102" t="n"/>
      <c r="X466" s="102" t="n"/>
      <c r="Y466" s="102" t="n"/>
      <c r="Z466" s="102" t="n"/>
      <c r="AA466" s="102" t="n"/>
      <c r="AB466" s="102" t="n"/>
      <c r="AC466" s="102" t="inlineStr"/>
      <c r="AD466" s="102" t="n"/>
      <c r="AE466" s="102" t="n"/>
      <c r="AF466" s="102" t="n"/>
      <c r="AG466" s="102" t="n"/>
      <c r="AH466" s="102" t="n"/>
      <c r="AI466" s="102" t="n"/>
      <c r="AJ466" s="102" t="n"/>
      <c r="AK466" s="100" t="n"/>
      <c r="AL466" s="102" t="n"/>
      <c r="AM466" s="102" t="n"/>
      <c r="AN466" s="102" t="n"/>
      <c r="AO466" s="102" t="n"/>
      <c r="AP466" s="104" t="n"/>
      <c r="AQ466" s="104" t="n"/>
      <c r="AR466" s="102" t="inlineStr">
        <is>
          <t>Nhóm 1</t>
        </is>
      </c>
      <c r="AS466" s="102" t="n"/>
      <c r="AT466" s="102" t="inlineStr">
        <is>
          <t>HM12</t>
        </is>
      </c>
      <c r="AU466" s="102" t="inlineStr">
        <is>
          <t>MUCLUC</t>
        </is>
      </c>
      <c r="AV466" s="102" t="n">
        <v>12</v>
      </c>
      <c r="AW466" s="102" t="n">
        <v>1</v>
      </c>
      <c r="AX466" s="102" t="n"/>
    </row>
    <row r="467">
      <c r="A467" s="56" t="inlineStr">
        <is>
          <t>BBK680</t>
        </is>
      </c>
      <c r="B467" s="56" t="inlineStr">
        <is>
          <t>PYC</t>
        </is>
      </c>
      <c r="C467" s="56" t="inlineStr">
        <is>
          <t>BBK680.0694607</t>
        </is>
      </c>
      <c r="D467" s="57" t="n"/>
      <c r="E467" s="57" t="n"/>
      <c r="F467" s="57" t="n"/>
      <c r="G467" s="57" t="n"/>
      <c r="H467" s="57" t="n"/>
      <c r="J467" s="198" t="inlineStr">
        <is>
          <t>03</t>
        </is>
      </c>
      <c r="K467" s="198" t="inlineStr">
        <is>
          <t>PYC</t>
        </is>
      </c>
      <c r="L467" s="199" t="inlineStr">
        <is>
          <t>Phiếu yêu cầu nghiệm thu</t>
        </is>
      </c>
      <c r="M467" s="199" t="n"/>
      <c r="N467" s="199" t="n"/>
      <c r="O467" s="200" t="inlineStr">
        <is>
          <t>Cầu Km19+529.080</t>
        </is>
      </c>
      <c r="P467" s="201" t="n"/>
      <c r="Q467" s="201" t="n"/>
      <c r="R467" s="201">
        <f>R468</f>
        <v/>
      </c>
      <c r="S467" s="201" t="n"/>
      <c r="T467" s="201" t="n"/>
      <c r="U467" s="201" t="n"/>
      <c r="V467" s="201" t="n"/>
      <c r="W467" s="202" t="n"/>
      <c r="X467" s="202" t="n"/>
      <c r="Y467" s="202" t="n"/>
      <c r="Z467" s="202" t="n"/>
      <c r="AA467" s="203" t="n"/>
      <c r="AB467" s="204" t="inlineStr">
        <is>
          <t>09-XL-307HG/PYCNT/CKN/T1/C6</t>
        </is>
      </c>
      <c r="AC467" s="205" t="inlineStr"/>
      <c r="AD467" s="205" t="n"/>
      <c r="AE467" s="205" t="n"/>
      <c r="AF467" s="205" t="n"/>
      <c r="AG467" s="205" t="inlineStr">
        <is>
          <t>NTCV;BBKTĐK</t>
        </is>
      </c>
      <c r="AH467" s="204" t="inlineStr">
        <is>
          <t>&gt;=1;&lt;=5</t>
        </is>
      </c>
      <c r="AI467" s="202" t="n"/>
      <c r="AJ467" s="202" t="n"/>
      <c r="AK467" s="206" t="n"/>
      <c r="AL467" s="202" t="n"/>
      <c r="AM467" s="202" t="n"/>
      <c r="AN467" s="202" t="n"/>
      <c r="AO467" s="202" t="n"/>
      <c r="AP467" s="207" t="n"/>
      <c r="AQ467" s="207" t="n"/>
      <c r="AR467" s="202" t="inlineStr">
        <is>
          <t>Nhóm 1</t>
        </is>
      </c>
      <c r="AS467" s="202" t="n"/>
      <c r="AT467" s="202" t="inlineStr">
        <is>
          <t>HM12</t>
        </is>
      </c>
      <c r="AU467" s="202" t="inlineStr">
        <is>
          <t>PYC</t>
        </is>
      </c>
      <c r="AV467" s="202" t="n">
        <v>173</v>
      </c>
      <c r="AW467" s="202" t="n">
        <v>1</v>
      </c>
      <c r="AX467" s="202" t="n"/>
    </row>
    <row r="468" ht="28" customHeight="1" s="672">
      <c r="A468" s="56" t="inlineStr">
        <is>
          <t>BBK884</t>
        </is>
      </c>
      <c r="B468" s="56" t="inlineStr">
        <is>
          <t>BBKTĐK</t>
        </is>
      </c>
      <c r="C468" s="56" t="inlineStr">
        <is>
          <t>BBK884.0016988</t>
        </is>
      </c>
      <c r="D468" s="57" t="n"/>
      <c r="E468" s="57" t="n"/>
      <c r="F468" s="57" t="n"/>
      <c r="G468" s="57" t="n"/>
      <c r="H468" s="57" t="n"/>
      <c r="J468" s="198" t="inlineStr">
        <is>
          <t>04</t>
        </is>
      </c>
      <c r="K468" s="198" t="inlineStr">
        <is>
          <t>BBKTĐK</t>
        </is>
      </c>
      <c r="L468" s="199" t="inlineStr">
        <is>
          <t>Kiểm tra điều kiện trước khi thi công cọc khoan nhồi: Thiết bị, nhân lực, vật tư</t>
        </is>
      </c>
      <c r="M468" s="199" t="n"/>
      <c r="N468" s="199" t="n"/>
      <c r="O468" s="200" t="inlineStr">
        <is>
          <t>Cầu Km19+529.080</t>
        </is>
      </c>
      <c r="P468" s="201" t="n">
        <v>46216</v>
      </c>
      <c r="Q468" s="201">
        <f>P468</f>
        <v/>
      </c>
      <c r="R468" s="201">
        <f>Q468-1</f>
        <v/>
      </c>
      <c r="S468" s="201">
        <f>Q468</f>
        <v/>
      </c>
      <c r="T468" s="208" t="n">
        <v>0.2916666666666667</v>
      </c>
      <c r="U468" s="208">
        <f>T468+V468</f>
        <v/>
      </c>
      <c r="V468" s="208" t="n">
        <v>0.02083333333333333</v>
      </c>
      <c r="W468" s="202">
        <f>TEXT(T468,"HH""h""MM'")&amp;"÷"&amp;TEXT(U468,"HH""h""MM'")</f>
        <v/>
      </c>
      <c r="X468" s="202" t="n"/>
      <c r="Y468" s="202" t="n"/>
      <c r="Z468" s="202" t="inlineStr">
        <is>
          <t>01;</t>
        </is>
      </c>
      <c r="AA468" s="200" t="inlineStr">
        <is>
          <t>Kiểm tra điều kiện trước khi thi công Cọc khoan nhồi Trụ T1 - Cọc C6</t>
        </is>
      </c>
      <c r="AB468" s="205" t="inlineStr">
        <is>
          <t>09-XL-307HG/PYCNT/CKN/T1/C6-1</t>
        </is>
      </c>
      <c r="AC468" s="205" t="inlineStr">
        <is>
          <t>09-XL-307HG/BBNT/CKN/T1/C6-1</t>
        </is>
      </c>
      <c r="AD468" s="205" t="n"/>
      <c r="AE468" s="205" t="n"/>
      <c r="AF468" s="205" t="n"/>
      <c r="AG468" s="205" t="n"/>
      <c r="AH468" s="205" t="n"/>
      <c r="AI468" s="207" t="n"/>
      <c r="AJ468" s="214" t="n"/>
      <c r="AK468" s="217" t="n"/>
      <c r="AL468" s="214" t="n"/>
      <c r="AM468" s="214" t="n"/>
      <c r="AN468" s="214" t="n"/>
      <c r="AO468" s="202" t="n"/>
      <c r="AP468" s="207" t="n"/>
      <c r="AQ468" s="207" t="n"/>
      <c r="AR468" s="202" t="inlineStr">
        <is>
          <t>Nhóm 1</t>
        </is>
      </c>
      <c r="AS468" s="202" t="n"/>
      <c r="AT468" s="202" t="inlineStr">
        <is>
          <t>HM12</t>
        </is>
      </c>
      <c r="AU468" s="202" t="inlineStr">
        <is>
          <t>BBKTĐK</t>
        </is>
      </c>
      <c r="AV468" s="202" t="n">
        <v>11</v>
      </c>
      <c r="AW468" s="202" t="n">
        <v>1</v>
      </c>
      <c r="AX468" s="202" t="n"/>
    </row>
    <row r="469" ht="28" customHeight="1" s="672">
      <c r="A469" s="56" t="inlineStr">
        <is>
          <t>BBK860</t>
        </is>
      </c>
      <c r="B469" s="56" t="inlineStr">
        <is>
          <t>PL01</t>
        </is>
      </c>
      <c r="C469" s="56" t="inlineStr">
        <is>
          <t>BBK860.0339090</t>
        </is>
      </c>
      <c r="D469" s="57" t="n"/>
      <c r="E469" s="57" t="n"/>
      <c r="F469" s="57" t="n"/>
      <c r="G469" s="57" t="n"/>
      <c r="H469" s="57" t="n"/>
      <c r="J469" s="198" t="inlineStr">
        <is>
          <t>05</t>
        </is>
      </c>
      <c r="K469" s="198" t="inlineStr">
        <is>
          <t>PL01</t>
        </is>
      </c>
      <c r="L469" s="199" t="inlineStr">
        <is>
          <t>Máy móc, thiết bị, nhân lực, vật tư thi công cọc khoan nhồi</t>
        </is>
      </c>
      <c r="M469" s="199" t="n"/>
      <c r="N469" s="199" t="n"/>
      <c r="O469" s="199" t="inlineStr">
        <is>
          <t>Cầu Km19+529.080</t>
        </is>
      </c>
      <c r="P469" s="201" t="n"/>
      <c r="Q469" s="201" t="n"/>
      <c r="R469" s="201" t="n"/>
      <c r="S469" s="201">
        <f>S468</f>
        <v/>
      </c>
      <c r="T469" s="201" t="n"/>
      <c r="U469" s="201" t="n"/>
      <c r="V469" s="201" t="n"/>
      <c r="W469" s="202" t="n"/>
      <c r="X469" s="202" t="n"/>
      <c r="Y469" s="202" t="n"/>
      <c r="Z469" s="198" t="inlineStr">
        <is>
          <t>01</t>
        </is>
      </c>
      <c r="AA469" s="203" t="n"/>
      <c r="AB469" s="204" t="inlineStr">
        <is>
          <t>09-XL-307HG/PYCNT/CKN/T1/C6-1</t>
        </is>
      </c>
      <c r="AC469" s="204">
        <f>AC468</f>
        <v/>
      </c>
      <c r="AD469" s="204" t="n"/>
      <c r="AE469" s="204" t="n"/>
      <c r="AF469" s="204" t="n"/>
      <c r="AG469" s="204" t="n"/>
      <c r="AH469" s="204" t="inlineStr">
        <is>
          <t>CKN</t>
        </is>
      </c>
      <c r="AI469" s="207" t="n"/>
      <c r="AJ469" s="202" t="n"/>
      <c r="AK469" s="206" t="n"/>
      <c r="AL469" s="202" t="n"/>
      <c r="AM469" s="202" t="n"/>
      <c r="AN469" s="202" t="n"/>
      <c r="AO469" s="202" t="n"/>
      <c r="AP469" s="207" t="n"/>
      <c r="AQ469" s="207" t="n"/>
      <c r="AR469" s="202" t="inlineStr">
        <is>
          <t>Nhóm 1</t>
        </is>
      </c>
      <c r="AS469" s="202" t="n"/>
      <c r="AT469" s="202" t="inlineStr">
        <is>
          <t>HM12</t>
        </is>
      </c>
      <c r="AU469" s="202" t="inlineStr">
        <is>
          <t>PL01</t>
        </is>
      </c>
      <c r="AV469" s="202" t="n">
        <v>11</v>
      </c>
      <c r="AW469" s="202" t="n">
        <v>1</v>
      </c>
      <c r="AX469" s="202" t="n"/>
    </row>
    <row r="470" ht="42" customHeight="1" s="672">
      <c r="A470" s="56" t="inlineStr">
        <is>
          <t>NTCV</t>
        </is>
      </c>
      <c r="B470" s="56" t="inlineStr">
        <is>
          <t>K.9999</t>
        </is>
      </c>
      <c r="C470" s="56" t="inlineStr">
        <is>
          <t>NTCV.0692547</t>
        </is>
      </c>
      <c r="D470" s="57" t="n"/>
      <c r="E470" s="57" t="n"/>
      <c r="F470" s="57" t="n"/>
      <c r="G470" s="57" t="n"/>
      <c r="H470" s="57" t="n"/>
      <c r="J470" s="209" t="inlineStr">
        <is>
          <t>06</t>
        </is>
      </c>
      <c r="K470" s="209" t="inlineStr">
        <is>
          <t>K.9999</t>
        </is>
      </c>
      <c r="L470" s="210" t="inlineStr">
        <is>
          <t>Kiểm tra ống vách, dung dịch bentonite trước khi khoan cọc khoan nhồi</t>
        </is>
      </c>
      <c r="M470" s="210" t="n"/>
      <c r="N470" s="210" t="n"/>
      <c r="O470" s="211" t="inlineStr">
        <is>
          <t>Cầu Km19+529.080</t>
        </is>
      </c>
      <c r="P470" s="212">
        <f>S468</f>
        <v/>
      </c>
      <c r="Q470" s="212">
        <f>P470</f>
        <v/>
      </c>
      <c r="R470" s="212">
        <f>Q470-1</f>
        <v/>
      </c>
      <c r="S470" s="212">
        <f>Q470</f>
        <v/>
      </c>
      <c r="T470" s="213">
        <f>U468</f>
        <v/>
      </c>
      <c r="U470" s="213">
        <f>T470+V470</f>
        <v/>
      </c>
      <c r="V470" s="213" t="n">
        <v>0.02083333333333333</v>
      </c>
      <c r="W470" s="214">
        <f>TEXT(T470,"HH""h""MM'")&amp;"÷"&amp;TEXT(U470,"HH""h""MM'")</f>
        <v/>
      </c>
      <c r="X470" s="214" t="n"/>
      <c r="Y470" s="214" t="n"/>
      <c r="Z470" s="214" t="inlineStr">
        <is>
          <t>02; 02a</t>
        </is>
      </c>
      <c r="AA470" s="215" t="inlineStr">
        <is>
          <t>Kiểm tra ống vách, dung dịch bentonite Cọc khoan nhồi Trụ T1 - Cọc C6 trước khi khoan</t>
        </is>
      </c>
      <c r="AB470" s="204" t="inlineStr">
        <is>
          <t>09-XL-307HG/PYCNT/CKN/T1/C6-1</t>
        </is>
      </c>
      <c r="AC470" s="204" t="inlineStr">
        <is>
          <t>09-XL-307HG/BBNT/CKN/T1/C6-2</t>
        </is>
      </c>
      <c r="AD470" s="204" t="n"/>
      <c r="AE470" s="204" t="n"/>
      <c r="AF470" s="204" t="n"/>
      <c r="AG470" s="204" t="n"/>
      <c r="AH470" s="204" t="n"/>
      <c r="AI470" s="216" t="n"/>
      <c r="AJ470" s="214" t="n"/>
      <c r="AK470" s="217" t="n"/>
      <c r="AL470" s="214" t="n"/>
      <c r="AM470" s="214" t="n"/>
      <c r="AN470" s="214" t="n"/>
      <c r="AO470" s="214" t="n"/>
      <c r="AP470" s="216" t="n"/>
      <c r="AQ470" s="216" t="n"/>
      <c r="AR470" s="214" t="inlineStr">
        <is>
          <t>Nhóm 1</t>
        </is>
      </c>
      <c r="AS470" s="214" t="n"/>
      <c r="AT470" s="214" t="inlineStr">
        <is>
          <t>HM12</t>
        </is>
      </c>
      <c r="AU470" s="214" t="inlineStr">
        <is>
          <t>NTCV</t>
        </is>
      </c>
      <c r="AV470" s="214" t="n">
        <v>156</v>
      </c>
      <c r="AW470" s="214" t="n">
        <v>1</v>
      </c>
      <c r="AX470" s="214" t="n"/>
    </row>
    <row r="471">
      <c r="A471" s="56" t="inlineStr">
        <is>
          <t>BBK170</t>
        </is>
      </c>
      <c r="B471" s="56" t="inlineStr">
        <is>
          <t>PL02</t>
        </is>
      </c>
      <c r="C471" s="56" t="inlineStr">
        <is>
          <t>BBK170.0110386</t>
        </is>
      </c>
      <c r="D471" s="57" t="n"/>
      <c r="E471" s="57" t="n"/>
      <c r="F471" s="57" t="n"/>
      <c r="G471" s="57" t="n"/>
      <c r="H471" s="57" t="n"/>
      <c r="J471" s="198" t="inlineStr">
        <is>
          <t>07</t>
        </is>
      </c>
      <c r="K471" s="198" t="inlineStr">
        <is>
          <t>PL02</t>
        </is>
      </c>
      <c r="L471" s="199" t="inlineStr">
        <is>
          <t>Kiểm tra ống vách thi công trước khi hạ</t>
        </is>
      </c>
      <c r="M471" s="199" t="n"/>
      <c r="N471" s="199" t="n"/>
      <c r="O471" s="200" t="inlineStr">
        <is>
          <t>Cầu Km19+529.080</t>
        </is>
      </c>
      <c r="P471" s="201" t="n"/>
      <c r="Q471" s="201" t="n"/>
      <c r="R471" s="201" t="n"/>
      <c r="S471" s="201">
        <f>S470</f>
        <v/>
      </c>
      <c r="T471" s="201" t="n"/>
      <c r="U471" s="201" t="n"/>
      <c r="V471" s="201" t="n"/>
      <c r="W471" s="202" t="n"/>
      <c r="X471" s="202" t="n"/>
      <c r="Y471" s="202" t="n"/>
      <c r="Z471" s="198" t="inlineStr">
        <is>
          <t>02</t>
        </is>
      </c>
      <c r="AA471" s="203" t="n"/>
      <c r="AB471" s="204" t="inlineStr">
        <is>
          <t>09-XL-307HG/PYCNT/CKN/T1/C6-1</t>
        </is>
      </c>
      <c r="AC471" s="204">
        <f>AC470</f>
        <v/>
      </c>
      <c r="AD471" s="204" t="n"/>
      <c r="AE471" s="204" t="n"/>
      <c r="AF471" s="204" t="n"/>
      <c r="AG471" s="204" t="n"/>
      <c r="AH471" s="204" t="inlineStr">
        <is>
          <t>CKN</t>
        </is>
      </c>
      <c r="AI471" s="207" t="n"/>
      <c r="AJ471" s="202" t="n"/>
      <c r="AK471" s="206" t="n"/>
      <c r="AL471" s="202" t="n"/>
      <c r="AM471" s="202" t="n"/>
      <c r="AN471" s="202" t="n"/>
      <c r="AO471" s="202" t="n"/>
      <c r="AP471" s="207" t="n"/>
      <c r="AQ471" s="207" t="inlineStr">
        <is>
          <t>Ảnh\PL02 CKN.png</t>
        </is>
      </c>
      <c r="AR471" s="202" t="inlineStr">
        <is>
          <t>Nhóm 1</t>
        </is>
      </c>
      <c r="AS471" s="202" t="n"/>
      <c r="AT471" s="202" t="inlineStr">
        <is>
          <t>HM12</t>
        </is>
      </c>
      <c r="AU471" s="202" t="inlineStr">
        <is>
          <t>PL02</t>
        </is>
      </c>
      <c r="AV471" s="202" t="n">
        <v>11</v>
      </c>
      <c r="AW471" s="202" t="n">
        <v>1</v>
      </c>
      <c r="AX471" s="202" t="n"/>
    </row>
    <row r="472">
      <c r="A472" s="56" t="inlineStr">
        <is>
          <t>BBK721</t>
        </is>
      </c>
      <c r="B472" s="56" t="inlineStr">
        <is>
          <t>PL02a</t>
        </is>
      </c>
      <c r="C472" s="56" t="inlineStr">
        <is>
          <t>BBK721.0109738</t>
        </is>
      </c>
      <c r="D472" s="57" t="n"/>
      <c r="E472" s="57" t="n"/>
      <c r="F472" s="57" t="n"/>
      <c r="G472" s="57" t="n"/>
      <c r="H472" s="57" t="n"/>
      <c r="J472" s="198" t="inlineStr">
        <is>
          <t>08</t>
        </is>
      </c>
      <c r="K472" s="198" t="inlineStr">
        <is>
          <t>PL02a</t>
        </is>
      </c>
      <c r="L472" s="199" t="inlineStr">
        <is>
          <t>Kiểm tra ống vách thi công trước khi hạ</t>
        </is>
      </c>
      <c r="M472" s="199" t="n"/>
      <c r="N472" s="199" t="n"/>
      <c r="O472" s="200" t="inlineStr">
        <is>
          <t>Cầu Km19+529.080</t>
        </is>
      </c>
      <c r="P472" s="201" t="n"/>
      <c r="Q472" s="201" t="n"/>
      <c r="R472" s="201" t="n"/>
      <c r="S472" s="201">
        <f>S471</f>
        <v/>
      </c>
      <c r="T472" s="201" t="n"/>
      <c r="U472" s="201" t="n"/>
      <c r="V472" s="201" t="n"/>
      <c r="W472" s="202" t="n"/>
      <c r="X472" s="202" t="n"/>
      <c r="Y472" s="202" t="n"/>
      <c r="Z472" s="198" t="inlineStr">
        <is>
          <t>02a</t>
        </is>
      </c>
      <c r="AA472" s="203" t="n"/>
      <c r="AB472" s="204" t="inlineStr">
        <is>
          <t>09-XL-307HG/PYCNT/CKN/T1/C6-1</t>
        </is>
      </c>
      <c r="AC472" s="204">
        <f>AC471</f>
        <v/>
      </c>
      <c r="AD472" s="204" t="n"/>
      <c r="AE472" s="204" t="n"/>
      <c r="AF472" s="204" t="n"/>
      <c r="AG472" s="204" t="n"/>
      <c r="AH472" s="204" t="n"/>
      <c r="AI472" s="207" t="n"/>
      <c r="AJ472" s="202" t="n"/>
      <c r="AK472" s="206" t="n"/>
      <c r="AL472" s="202" t="n"/>
      <c r="AM472" s="202" t="n"/>
      <c r="AN472" s="202" t="n"/>
      <c r="AO472" s="202" t="n"/>
      <c r="AP472" s="207" t="n"/>
      <c r="AQ472" s="207" t="n"/>
      <c r="AR472" s="202" t="inlineStr">
        <is>
          <t>Nhóm 1</t>
        </is>
      </c>
      <c r="AS472" s="202" t="n"/>
      <c r="AT472" s="202" t="inlineStr">
        <is>
          <t>HM12</t>
        </is>
      </c>
      <c r="AU472" s="202" t="inlineStr">
        <is>
          <t>PL02a</t>
        </is>
      </c>
      <c r="AV472" s="202" t="n">
        <v>11</v>
      </c>
      <c r="AW472" s="202" t="n">
        <v>1</v>
      </c>
      <c r="AX472" s="202" t="n"/>
    </row>
    <row r="473" ht="28" customHeight="1" s="672">
      <c r="A473" s="56" t="inlineStr">
        <is>
          <t>NTCV</t>
        </is>
      </c>
      <c r="B473" s="56" t="inlineStr">
        <is>
          <t>K.9999</t>
        </is>
      </c>
      <c r="C473" s="56" t="inlineStr">
        <is>
          <t>NTCV.0290577</t>
        </is>
      </c>
      <c r="D473" s="57" t="n"/>
      <c r="E473" s="57" t="n"/>
      <c r="F473" s="57" t="n"/>
      <c r="G473" s="57" t="n"/>
      <c r="H473" s="57" t="n"/>
      <c r="J473" s="209" t="inlineStr">
        <is>
          <t>09</t>
        </is>
      </c>
      <c r="K473" s="209" t="inlineStr">
        <is>
          <t>K.9999</t>
        </is>
      </c>
      <c r="L473" s="210" t="inlineStr">
        <is>
          <t>Kiểm tra định vị tim cọc khoan nhồi, hạ ống vách thi công</t>
        </is>
      </c>
      <c r="M473" s="210" t="n"/>
      <c r="N473" s="210" t="n"/>
      <c r="O473" s="211" t="inlineStr">
        <is>
          <t>Cầu Km19+529.080</t>
        </is>
      </c>
      <c r="P473" s="212">
        <f>S470</f>
        <v/>
      </c>
      <c r="Q473" s="212">
        <f>P473</f>
        <v/>
      </c>
      <c r="R473" s="212">
        <f>Q473-1</f>
        <v/>
      </c>
      <c r="S473" s="212">
        <f>Q473</f>
        <v/>
      </c>
      <c r="T473" s="213">
        <f>U470</f>
        <v/>
      </c>
      <c r="U473" s="213">
        <f>T473+V473</f>
        <v/>
      </c>
      <c r="V473" s="213" t="n">
        <v>0.02083333333333333</v>
      </c>
      <c r="W473" s="214">
        <f>TEXT(T473,"HH""h""MM'")&amp;"÷"&amp;TEXT(U473,"HH""h""MM'")</f>
        <v/>
      </c>
      <c r="X473" s="214" t="n"/>
      <c r="Y473" s="214" t="n"/>
      <c r="Z473" s="214" t="inlineStr">
        <is>
          <t>03;</t>
        </is>
      </c>
      <c r="AA473" s="215" t="inlineStr">
        <is>
          <t>Kiểm tra định vị Cọc khoan nhồi Trụ T1 - Cọc C6</t>
        </is>
      </c>
      <c r="AB473" s="204" t="inlineStr">
        <is>
          <t>09-XL-307HG/PYCNT/CKN/T1/C6-1</t>
        </is>
      </c>
      <c r="AC473" s="204" t="inlineStr">
        <is>
          <t>09-XL-307HG/BBNT/CKN/T1/C6-3</t>
        </is>
      </c>
      <c r="AD473" s="204" t="n"/>
      <c r="AE473" s="204" t="n"/>
      <c r="AF473" s="204" t="n"/>
      <c r="AG473" s="204" t="n"/>
      <c r="AH473" s="204" t="n"/>
      <c r="AI473" s="216" t="n"/>
      <c r="AJ473" s="214" t="n"/>
      <c r="AK473" s="217" t="n"/>
      <c r="AL473" s="214" t="n"/>
      <c r="AM473" s="214" t="n"/>
      <c r="AN473" s="214" t="n"/>
      <c r="AO473" s="214" t="n"/>
      <c r="AP473" s="216" t="n"/>
      <c r="AQ473" s="216" t="n"/>
      <c r="AR473" s="214" t="inlineStr">
        <is>
          <t>Nhóm 1</t>
        </is>
      </c>
      <c r="AS473" s="214" t="n"/>
      <c r="AT473" s="214" t="inlineStr">
        <is>
          <t>HM12</t>
        </is>
      </c>
      <c r="AU473" s="214" t="inlineStr">
        <is>
          <t>NTCV</t>
        </is>
      </c>
      <c r="AV473" s="214" t="n">
        <v>157</v>
      </c>
      <c r="AW473" s="214" t="n">
        <v>2</v>
      </c>
      <c r="AX473" s="214" t="n"/>
    </row>
    <row r="474" ht="28" customHeight="1" s="672">
      <c r="A474" s="56" t="inlineStr">
        <is>
          <t>BBK478</t>
        </is>
      </c>
      <c r="B474" s="56" t="inlineStr">
        <is>
          <t>PL03</t>
        </is>
      </c>
      <c r="C474" s="56" t="inlineStr">
        <is>
          <t>BBK478.0398878</t>
        </is>
      </c>
      <c r="D474" s="57" t="n"/>
      <c r="E474" s="57" t="n"/>
      <c r="F474" s="57" t="n"/>
      <c r="G474" s="57" t="n"/>
      <c r="H474" s="57" t="n"/>
      <c r="J474" s="198" t="inlineStr">
        <is>
          <t>10</t>
        </is>
      </c>
      <c r="K474" s="198" t="inlineStr">
        <is>
          <t>PL03</t>
        </is>
      </c>
      <c r="L474" s="199" t="inlineStr">
        <is>
          <t>Kiểm tra định vị tim cọc khoan nhồi, hạ ống vách thi công</t>
        </is>
      </c>
      <c r="M474" s="199" t="n"/>
      <c r="N474" s="199" t="n"/>
      <c r="O474" s="200" t="inlineStr">
        <is>
          <t>Cầu Km19+529.080</t>
        </is>
      </c>
      <c r="P474" s="201" t="n"/>
      <c r="Q474" s="201" t="n"/>
      <c r="R474" s="201" t="n"/>
      <c r="S474" s="201">
        <f>S473</f>
        <v/>
      </c>
      <c r="T474" s="201" t="n"/>
      <c r="U474" s="201" t="n"/>
      <c r="V474" s="201" t="n"/>
      <c r="W474" s="202" t="n"/>
      <c r="X474" s="202" t="n"/>
      <c r="Y474" s="202" t="n"/>
      <c r="Z474" s="198" t="inlineStr">
        <is>
          <t>03</t>
        </is>
      </c>
      <c r="AA474" s="203" t="n"/>
      <c r="AB474" s="204" t="inlineStr">
        <is>
          <t>09-XL-307HG/PYCNT/CKN/T1/C6-1</t>
        </is>
      </c>
      <c r="AC474" s="204">
        <f>AC473</f>
        <v/>
      </c>
      <c r="AD474" s="255" t="n">
        <v>2481759.88</v>
      </c>
      <c r="AE474" s="255" t="n">
        <v>382403.971</v>
      </c>
      <c r="AF474" s="255" t="n">
        <v>169.36</v>
      </c>
      <c r="AG474" s="255" t="n"/>
      <c r="AH474" s="204" t="inlineStr">
        <is>
          <t>&gt;=154;&lt;=172</t>
        </is>
      </c>
      <c r="AI474" s="207" t="n"/>
      <c r="AJ474" s="202" t="n"/>
      <c r="AK474" s="206" t="n"/>
      <c r="AL474" s="202" t="n"/>
      <c r="AM474" s="202" t="n"/>
      <c r="AN474" s="202" t="n"/>
      <c r="AO474" s="202" t="n"/>
      <c r="AP474" s="207" t="n"/>
      <c r="AQ474" s="207" t="n"/>
      <c r="AR474" s="202" t="inlineStr">
        <is>
          <t>Nhóm 1</t>
        </is>
      </c>
      <c r="AS474" s="202" t="n"/>
      <c r="AT474" s="202" t="inlineStr">
        <is>
          <t>HM12</t>
        </is>
      </c>
      <c r="AU474" s="202" t="inlineStr">
        <is>
          <t>PL03</t>
        </is>
      </c>
      <c r="AV474" s="202" t="n">
        <v>11</v>
      </c>
      <c r="AW474" s="202" t="n">
        <v>1</v>
      </c>
      <c r="AX474" s="202" t="n"/>
    </row>
    <row r="475" ht="28" customHeight="1" s="672">
      <c r="A475" s="56" t="inlineStr">
        <is>
          <t>NTCV</t>
        </is>
      </c>
      <c r="B475" s="56" t="inlineStr">
        <is>
          <t>K.9999</t>
        </is>
      </c>
      <c r="C475" s="56" t="inlineStr">
        <is>
          <t>NTCV.0559022</t>
        </is>
      </c>
      <c r="D475" s="57" t="n"/>
      <c r="E475" s="57" t="n"/>
      <c r="F475" s="57" t="n"/>
      <c r="G475" s="57" t="n"/>
      <c r="H475" s="57" t="n"/>
      <c r="J475" s="209" t="inlineStr">
        <is>
          <t>11</t>
        </is>
      </c>
      <c r="K475" s="209" t="inlineStr">
        <is>
          <t>K.9999</t>
        </is>
      </c>
      <c r="L475" s="210" t="inlineStr">
        <is>
          <t>Nghiệm thu lồng thép cọc khoan nhồi trước khi hạ</t>
        </is>
      </c>
      <c r="M475" s="210" t="n"/>
      <c r="N475" s="210" t="n"/>
      <c r="O475" s="211" t="inlineStr">
        <is>
          <t>Cầu Km19+529.080</t>
        </is>
      </c>
      <c r="P475" s="212">
        <f>S473</f>
        <v/>
      </c>
      <c r="Q475" s="212">
        <f>P475</f>
        <v/>
      </c>
      <c r="R475" s="212">
        <f>Q475-1</f>
        <v/>
      </c>
      <c r="S475" s="212">
        <f>Q475</f>
        <v/>
      </c>
      <c r="T475" s="213">
        <f>U473</f>
        <v/>
      </c>
      <c r="U475" s="213">
        <f>T475+V475</f>
        <v/>
      </c>
      <c r="V475" s="213" t="n">
        <v>0.02083333333333333</v>
      </c>
      <c r="W475" s="214">
        <f>TEXT(T475,"HH""h""MM'")&amp;"÷"&amp;TEXT(U475,"HH""h""MM'")</f>
        <v/>
      </c>
      <c r="X475" s="214" t="n"/>
      <c r="Y475" s="214" t="n"/>
      <c r="Z475" s="214" t="inlineStr">
        <is>
          <t>04;</t>
        </is>
      </c>
      <c r="AA475" s="215" t="inlineStr">
        <is>
          <t>Nghiệm thu lồng thép Cọc khoan nhồi Trụ T1 - Cọc C6</t>
        </is>
      </c>
      <c r="AB475" s="204" t="inlineStr">
        <is>
          <t>09-XL-307HG/PYCNT/CKN/T1/C6-1</t>
        </is>
      </c>
      <c r="AC475" s="204" t="inlineStr">
        <is>
          <t>09-XL-307HG/BBNT/CKN/T1/C6-4</t>
        </is>
      </c>
      <c r="AD475" s="204" t="n"/>
      <c r="AE475" s="204" t="n"/>
      <c r="AF475" s="204" t="n"/>
      <c r="AG475" s="204" t="n"/>
      <c r="AH475" s="204" t="n"/>
      <c r="AI475" s="216" t="n"/>
      <c r="AJ475" s="214" t="n"/>
      <c r="AK475" s="217" t="n"/>
      <c r="AL475" s="214" t="n"/>
      <c r="AM475" s="214" t="n"/>
      <c r="AN475" s="214" t="n"/>
      <c r="AO475" s="214" t="n"/>
      <c r="AP475" s="216" t="n"/>
      <c r="AQ475" s="216" t="n"/>
      <c r="AR475" s="214" t="inlineStr">
        <is>
          <t>Nhóm 1</t>
        </is>
      </c>
      <c r="AS475" s="214" t="n"/>
      <c r="AT475" s="214" t="inlineStr">
        <is>
          <t>HM12</t>
        </is>
      </c>
      <c r="AU475" s="214" t="inlineStr">
        <is>
          <t>NTCV</t>
        </is>
      </c>
      <c r="AV475" s="214" t="n">
        <v>162</v>
      </c>
      <c r="AW475" s="214" t="n">
        <v>3</v>
      </c>
      <c r="AX475" s="214" t="n"/>
    </row>
    <row r="476">
      <c r="A476" s="56" t="inlineStr">
        <is>
          <t>BBK096</t>
        </is>
      </c>
      <c r="B476" s="56" t="inlineStr">
        <is>
          <t>PL04</t>
        </is>
      </c>
      <c r="C476" s="56" t="inlineStr">
        <is>
          <t>BBK096.0310951</t>
        </is>
      </c>
      <c r="D476" s="57" t="n"/>
      <c r="E476" s="57" t="n"/>
      <c r="F476" s="57" t="n"/>
      <c r="G476" s="57" t="n"/>
      <c r="H476" s="57" t="n"/>
      <c r="J476" s="198" t="inlineStr">
        <is>
          <t>12</t>
        </is>
      </c>
      <c r="K476" s="198" t="inlineStr">
        <is>
          <t>PL04</t>
        </is>
      </c>
      <c r="L476" s="199" t="inlineStr">
        <is>
          <t>Nghiệm thu lồng thép cọc khoan nhồi trước khi hạ</t>
        </is>
      </c>
      <c r="M476" s="199" t="n"/>
      <c r="N476" s="199" t="n"/>
      <c r="O476" s="200" t="inlineStr">
        <is>
          <t>Cầu Km19+529.080</t>
        </is>
      </c>
      <c r="P476" s="201" t="n"/>
      <c r="Q476" s="201" t="n"/>
      <c r="R476" s="201" t="n"/>
      <c r="S476" s="201">
        <f>S475</f>
        <v/>
      </c>
      <c r="T476" s="201" t="n"/>
      <c r="U476" s="201" t="n"/>
      <c r="V476" s="201" t="n"/>
      <c r="W476" s="202" t="n"/>
      <c r="X476" s="202" t="n"/>
      <c r="Y476" s="202" t="n"/>
      <c r="Z476" s="198" t="inlineStr">
        <is>
          <t>04</t>
        </is>
      </c>
      <c r="AA476" s="203" t="n"/>
      <c r="AB476" s="204" t="inlineStr">
        <is>
          <t>09-XL-307HG/PYCNT/CKN/T1/C6-1</t>
        </is>
      </c>
      <c r="AC476" s="204">
        <f>AC475</f>
        <v/>
      </c>
      <c r="AD476" s="204" t="n"/>
      <c r="AE476" s="204" t="n"/>
      <c r="AF476" s="204" t="n"/>
      <c r="AG476" s="204" t="n"/>
      <c r="AH476" s="204" t="inlineStr">
        <is>
          <t>T1</t>
        </is>
      </c>
      <c r="AI476" s="207" t="n"/>
      <c r="AJ476" s="202" t="n"/>
      <c r="AK476" s="206" t="n"/>
      <c r="AL476" s="202" t="n"/>
      <c r="AM476" s="202" t="n"/>
      <c r="AN476" s="202" t="n"/>
      <c r="AO476" s="202" t="n"/>
      <c r="AP476" s="207" t="n"/>
      <c r="AQ476" s="207" t="n"/>
      <c r="AR476" s="202" t="inlineStr">
        <is>
          <t>Nhóm 1</t>
        </is>
      </c>
      <c r="AS476" s="202" t="n"/>
      <c r="AT476" s="202" t="inlineStr">
        <is>
          <t>HM12</t>
        </is>
      </c>
      <c r="AU476" s="202" t="inlineStr">
        <is>
          <t>PL04</t>
        </is>
      </c>
      <c r="AV476" s="202" t="n">
        <v>11</v>
      </c>
      <c r="AW476" s="202" t="n">
        <v>1</v>
      </c>
      <c r="AX476" s="202" t="n"/>
    </row>
    <row r="477" ht="28" customHeight="1" s="672">
      <c r="A477" s="56" t="inlineStr">
        <is>
          <t>NTCV</t>
        </is>
      </c>
      <c r="B477" s="56" t="inlineStr">
        <is>
          <t>K.9999</t>
        </is>
      </c>
      <c r="C477" s="56" t="inlineStr">
        <is>
          <t>NTCV.0295580</t>
        </is>
      </c>
      <c r="D477" s="57" t="n"/>
      <c r="E477" s="57" t="n"/>
      <c r="F477" s="57" t="n"/>
      <c r="G477" s="57" t="n"/>
      <c r="H477" s="57" t="n"/>
      <c r="J477" s="209" t="inlineStr">
        <is>
          <t>13</t>
        </is>
      </c>
      <c r="K477" s="209" t="inlineStr">
        <is>
          <t>K.9999</t>
        </is>
      </c>
      <c r="L477" s="210" t="inlineStr">
        <is>
          <t xml:space="preserve">Kiểm tra công tác khoan tạo lỗ cọc khoan nhồi </t>
        </is>
      </c>
      <c r="M477" s="210" t="n"/>
      <c r="N477" s="210" t="n"/>
      <c r="O477" s="211" t="inlineStr">
        <is>
          <t>Cầu Km19+529.080</t>
        </is>
      </c>
      <c r="P477" s="212">
        <f>S475</f>
        <v/>
      </c>
      <c r="Q477" s="212">
        <f>P477</f>
        <v/>
      </c>
      <c r="R477" s="212">
        <f>Q477-1</f>
        <v/>
      </c>
      <c r="S477" s="212">
        <f>Q477</f>
        <v/>
      </c>
      <c r="T477" s="213">
        <f>U475</f>
        <v/>
      </c>
      <c r="U477" s="213">
        <f>T477+V477</f>
        <v/>
      </c>
      <c r="V477" s="213" t="n">
        <v>0.375</v>
      </c>
      <c r="W477" s="214">
        <f>TEXT(T477,"HH""h""MM'")&amp;"÷"&amp;TEXT(U477,"HH""h""MM'")</f>
        <v/>
      </c>
      <c r="X477" s="214" t="n"/>
      <c r="Y477" s="214" t="n"/>
      <c r="Z477" s="214" t="inlineStr">
        <is>
          <t>05;</t>
        </is>
      </c>
      <c r="AA477" s="215" t="inlineStr">
        <is>
          <t>Kiểm tra công tác khoan tạo lỗ Cọc khoan nhồi Trụ T1 - Cọc C6</t>
        </is>
      </c>
      <c r="AB477" s="204" t="inlineStr">
        <is>
          <t>09-XL-307HG/PYCNT/CKN/T1/C6-1</t>
        </is>
      </c>
      <c r="AC477" s="204" t="inlineStr">
        <is>
          <t>09-XL-307HG/BBNT/CKN/T1/C6-5</t>
        </is>
      </c>
      <c r="AD477" s="204" t="n"/>
      <c r="AE477" s="204" t="n"/>
      <c r="AF477" s="204" t="n"/>
      <c r="AG477" s="204" t="n"/>
      <c r="AH477" s="204" t="n"/>
      <c r="AI477" s="216" t="n"/>
      <c r="AJ477" s="214" t="n"/>
      <c r="AK477" s="217" t="n"/>
      <c r="AL477" s="214" t="n"/>
      <c r="AM477" s="214" t="n"/>
      <c r="AN477" s="214" t="n"/>
      <c r="AO477" s="214" t="n"/>
      <c r="AP477" s="216" t="n"/>
      <c r="AQ477" s="216" t="n"/>
      <c r="AR477" s="214" t="inlineStr">
        <is>
          <t>Nhóm 1</t>
        </is>
      </c>
      <c r="AS477" s="214" t="n"/>
      <c r="AT477" s="214" t="inlineStr">
        <is>
          <t>HM12</t>
        </is>
      </c>
      <c r="AU477" s="214" t="inlineStr">
        <is>
          <t>NTCV</t>
        </is>
      </c>
      <c r="AV477" s="214" t="n">
        <v>163</v>
      </c>
      <c r="AW477" s="214" t="n">
        <v>4</v>
      </c>
      <c r="AX477" s="214" t="n"/>
    </row>
    <row r="478">
      <c r="A478" s="56" t="inlineStr">
        <is>
          <t>BBK638</t>
        </is>
      </c>
      <c r="B478" s="56" t="inlineStr">
        <is>
          <t>PL05</t>
        </is>
      </c>
      <c r="C478" s="56" t="inlineStr">
        <is>
          <t>BBK638.0807941</t>
        </is>
      </c>
      <c r="D478" s="57" t="n"/>
      <c r="E478" s="57" t="n"/>
      <c r="F478" s="57" t="n"/>
      <c r="G478" s="57" t="n"/>
      <c r="H478" s="57" t="n"/>
      <c r="J478" s="198" t="inlineStr">
        <is>
          <t>14</t>
        </is>
      </c>
      <c r="K478" s="198" t="inlineStr">
        <is>
          <t>PL05</t>
        </is>
      </c>
      <c r="L478" s="199" t="inlineStr">
        <is>
          <t>Kiểm tra công tác khoan tạo lỗ cọc khoan nhồi</t>
        </is>
      </c>
      <c r="M478" s="199" t="n"/>
      <c r="N478" s="199" t="n"/>
      <c r="O478" s="200" t="inlineStr">
        <is>
          <t>Cầu Km19+529.080</t>
        </is>
      </c>
      <c r="P478" s="201" t="n"/>
      <c r="Q478" s="201" t="n"/>
      <c r="R478" s="201" t="n"/>
      <c r="S478" s="201">
        <f>S477</f>
        <v/>
      </c>
      <c r="T478" s="208">
        <f>T477</f>
        <v/>
      </c>
      <c r="U478" s="208" t="n">
        <v>0.75</v>
      </c>
      <c r="V478" s="208">
        <f>U478-T478</f>
        <v/>
      </c>
      <c r="W478" s="202" t="n"/>
      <c r="X478" s="202" t="n"/>
      <c r="Y478" s="202" t="n"/>
      <c r="Z478" s="198" t="inlineStr">
        <is>
          <t>05</t>
        </is>
      </c>
      <c r="AA478" s="203" t="n"/>
      <c r="AB478" s="204" t="inlineStr">
        <is>
          <t>09-XL-307HG/PYCNT/CKN/T1/C6</t>
        </is>
      </c>
      <c r="AC478" s="204">
        <f>AC477</f>
        <v/>
      </c>
      <c r="AD478" s="204" t="n"/>
      <c r="AE478" s="204" t="n"/>
      <c r="AF478" s="255" t="n">
        <v>169.36</v>
      </c>
      <c r="AG478" s="255" t="n"/>
      <c r="AH478" s="204" t="inlineStr">
        <is>
          <t>T1-C6</t>
        </is>
      </c>
      <c r="AI478" s="207" t="n"/>
      <c r="AJ478" s="202" t="n"/>
      <c r="AK478" s="206" t="n"/>
      <c r="AL478" s="202" t="n"/>
      <c r="AM478" s="202" t="n"/>
      <c r="AN478" s="202" t="n"/>
      <c r="AO478" s="202" t="n"/>
      <c r="AP478" s="207" t="n"/>
      <c r="AQ478" s="207" t="n"/>
      <c r="AR478" s="202" t="inlineStr">
        <is>
          <t>Nhóm 1</t>
        </is>
      </c>
      <c r="AS478" s="202" t="n"/>
      <c r="AT478" s="202" t="inlineStr">
        <is>
          <t>HM12</t>
        </is>
      </c>
      <c r="AU478" s="202" t="inlineStr">
        <is>
          <t>PL05</t>
        </is>
      </c>
      <c r="AV478" s="202" t="n">
        <v>11</v>
      </c>
      <c r="AW478" s="202" t="n">
        <v>1</v>
      </c>
      <c r="AX478" s="202" t="n"/>
    </row>
    <row r="479">
      <c r="A479" s="56" t="inlineStr">
        <is>
          <t>BBK680</t>
        </is>
      </c>
      <c r="B479" s="56" t="inlineStr">
        <is>
          <t>PYC</t>
        </is>
      </c>
      <c r="C479" s="56" t="inlineStr">
        <is>
          <t>BBK680.0309617</t>
        </is>
      </c>
      <c r="D479" s="57" t="n"/>
      <c r="E479" s="57" t="n"/>
      <c r="F479" s="57" t="n"/>
      <c r="G479" s="57" t="n"/>
      <c r="H479" s="57" t="n"/>
      <c r="J479" s="198" t="inlineStr">
        <is>
          <t>15</t>
        </is>
      </c>
      <c r="K479" s="198" t="inlineStr">
        <is>
          <t>PYC</t>
        </is>
      </c>
      <c r="L479" s="199" t="inlineStr">
        <is>
          <t>Phiếu yêu cầu nghiệm thu</t>
        </is>
      </c>
      <c r="M479" s="199" t="n"/>
      <c r="N479" s="199" t="n"/>
      <c r="O479" s="200" t="inlineStr">
        <is>
          <t>Cầu Km19+529.080</t>
        </is>
      </c>
      <c r="P479" s="201" t="n"/>
      <c r="Q479" s="201" t="n"/>
      <c r="R479" s="201">
        <f>R480</f>
        <v/>
      </c>
      <c r="S479" s="201" t="n"/>
      <c r="T479" s="201" t="n"/>
      <c r="U479" s="201" t="n"/>
      <c r="V479" s="201" t="n"/>
      <c r="W479" s="202" t="n"/>
      <c r="X479" s="202" t="n"/>
      <c r="Y479" s="202" t="n"/>
      <c r="Z479" s="202" t="n"/>
      <c r="AA479" s="203" t="n"/>
      <c r="AB479" s="204" t="inlineStr">
        <is>
          <t>09-XL-307HG/PYCNT/CKN/T1/C6</t>
        </is>
      </c>
      <c r="AC479" s="205" t="inlineStr"/>
      <c r="AD479" s="205" t="n"/>
      <c r="AE479" s="205" t="n"/>
      <c r="AF479" s="205" t="n"/>
      <c r="AG479" s="205" t="inlineStr">
        <is>
          <t>NTCV;BBKTĐK</t>
        </is>
      </c>
      <c r="AH479" s="204" t="inlineStr">
        <is>
          <t>&gt;=6;&lt;=10</t>
        </is>
      </c>
      <c r="AI479" s="202" t="n"/>
      <c r="AJ479" s="202" t="n"/>
      <c r="AK479" s="206" t="n"/>
      <c r="AL479" s="202" t="n"/>
      <c r="AM479" s="202" t="n"/>
      <c r="AN479" s="202" t="n"/>
      <c r="AO479" s="202" t="n"/>
      <c r="AP479" s="207" t="n"/>
      <c r="AQ479" s="207" t="n"/>
      <c r="AR479" s="202" t="inlineStr">
        <is>
          <t>Nhóm 1</t>
        </is>
      </c>
      <c r="AS479" s="202" t="n"/>
      <c r="AT479" s="202" t="inlineStr">
        <is>
          <t>HM12</t>
        </is>
      </c>
      <c r="AU479" s="202" t="inlineStr">
        <is>
          <t>PYC</t>
        </is>
      </c>
      <c r="AV479" s="202" t="n">
        <v>174</v>
      </c>
      <c r="AW479" s="202" t="n">
        <v>2</v>
      </c>
      <c r="AX479" s="202" t="n"/>
    </row>
    <row r="480" ht="42" customHeight="1" s="672">
      <c r="A480" s="56" t="inlineStr">
        <is>
          <t>NTCV</t>
        </is>
      </c>
      <c r="B480" s="56" t="inlineStr">
        <is>
          <t>K.9999</t>
        </is>
      </c>
      <c r="C480" s="56" t="inlineStr">
        <is>
          <t>NTCV.0375816</t>
        </is>
      </c>
      <c r="D480" s="57" t="n"/>
      <c r="E480" s="57" t="n"/>
      <c r="F480" s="57" t="n"/>
      <c r="G480" s="57" t="n"/>
      <c r="H480" s="57" t="n"/>
      <c r="J480" s="209" t="inlineStr">
        <is>
          <t>16</t>
        </is>
      </c>
      <c r="K480" s="209" t="inlineStr">
        <is>
          <t>K.9999</t>
        </is>
      </c>
      <c r="L480" s="210" t="inlineStr">
        <is>
          <t>Kiểm tra công tác vệ sinh lỗ khoan trước khi hạ lồng cốt thép cọc khoan nhồi</t>
        </is>
      </c>
      <c r="M480" s="210" t="n"/>
      <c r="N480" s="210" t="n"/>
      <c r="O480" s="211" t="inlineStr">
        <is>
          <t>Cầu Km19+529.080</t>
        </is>
      </c>
      <c r="P480" s="212">
        <f>S477+1</f>
        <v/>
      </c>
      <c r="Q480" s="212">
        <f>P480</f>
        <v/>
      </c>
      <c r="R480" s="212">
        <f>Q480-1</f>
        <v/>
      </c>
      <c r="S480" s="212">
        <f>Q480</f>
        <v/>
      </c>
      <c r="T480" s="213" t="n">
        <v>0.3333333333333333</v>
      </c>
      <c r="U480" s="213">
        <f>T480+V480</f>
        <v/>
      </c>
      <c r="V480" s="213" t="n">
        <v>0.01388888888888889</v>
      </c>
      <c r="W480" s="214">
        <f>TEXT(T480,"HH""h""MM'")&amp;"÷"&amp;TEXT(U480,"HH""h""MM'")</f>
        <v/>
      </c>
      <c r="X480" s="214" t="n"/>
      <c r="Y480" s="214" t="n"/>
      <c r="Z480" s="214" t="inlineStr">
        <is>
          <t>06;</t>
        </is>
      </c>
      <c r="AA480" s="215" t="inlineStr">
        <is>
          <t>Kiểm tra công tác vệ sinh lỗ khoan trước khi hạ lồng cốt thép Cọc khoan nhồi Trụ T1 - Cọc C6</t>
        </is>
      </c>
      <c r="AB480" s="204" t="inlineStr">
        <is>
          <t>09-XL-307HG/PYCNT/CKN/T1/C6-2</t>
        </is>
      </c>
      <c r="AC480" s="204" t="inlineStr">
        <is>
          <t>09-XL-307HG/BBNT/CKN/T1/C6-6</t>
        </is>
      </c>
      <c r="AD480" s="204" t="n"/>
      <c r="AE480" s="204" t="n"/>
      <c r="AF480" s="204" t="n"/>
      <c r="AG480" s="204" t="n"/>
      <c r="AH480" s="204" t="n"/>
      <c r="AI480" s="216" t="n"/>
      <c r="AJ480" s="214" t="n"/>
      <c r="AK480" s="217" t="n"/>
      <c r="AL480" s="214" t="n"/>
      <c r="AM480" s="214" t="n"/>
      <c r="AN480" s="214" t="n"/>
      <c r="AO480" s="214" t="n"/>
      <c r="AP480" s="216" t="n"/>
      <c r="AQ480" s="216" t="n"/>
      <c r="AR480" s="214" t="inlineStr">
        <is>
          <t>Nhóm 1</t>
        </is>
      </c>
      <c r="AS480" s="214" t="n"/>
      <c r="AT480" s="214" t="inlineStr">
        <is>
          <t>HM12</t>
        </is>
      </c>
      <c r="AU480" s="214" t="inlineStr">
        <is>
          <t>NTCV</t>
        </is>
      </c>
      <c r="AV480" s="214" t="n">
        <v>169</v>
      </c>
      <c r="AW480" s="214" t="n">
        <v>5</v>
      </c>
      <c r="AX480" s="214" t="n"/>
    </row>
    <row r="481" ht="28" customHeight="1" s="672">
      <c r="A481" s="56" t="inlineStr">
        <is>
          <t>BBK570</t>
        </is>
      </c>
      <c r="B481" s="56" t="inlineStr">
        <is>
          <t>PL06</t>
        </is>
      </c>
      <c r="C481" s="56" t="inlineStr">
        <is>
          <t>BBK570.0401036</t>
        </is>
      </c>
      <c r="D481" s="57" t="n"/>
      <c r="E481" s="57" t="n"/>
      <c r="F481" s="57" t="n"/>
      <c r="G481" s="57" t="n"/>
      <c r="H481" s="57" t="n"/>
      <c r="J481" s="198" t="inlineStr">
        <is>
          <t>17</t>
        </is>
      </c>
      <c r="K481" s="198" t="inlineStr">
        <is>
          <t>PL06</t>
        </is>
      </c>
      <c r="L481" s="199" t="inlineStr">
        <is>
          <t>Kiểm tra công tác vệ sinh lỗ khoan trước khi hạ lồng cốt thép cọc khoan nhồi</t>
        </is>
      </c>
      <c r="M481" s="199" t="n"/>
      <c r="N481" s="199" t="n"/>
      <c r="O481" s="200" t="inlineStr">
        <is>
          <t>Cầu Km19+529.080</t>
        </is>
      </c>
      <c r="P481" s="201" t="n"/>
      <c r="Q481" s="201" t="n"/>
      <c r="R481" s="201" t="n"/>
      <c r="S481" s="201">
        <f>S480</f>
        <v/>
      </c>
      <c r="T481" s="201" t="n"/>
      <c r="U481" s="201" t="n"/>
      <c r="V481" s="201" t="n"/>
      <c r="W481" s="202" t="n"/>
      <c r="X481" s="265" t="n">
        <v>127.36</v>
      </c>
      <c r="Y481" s="265">
        <f>X481-0.02</f>
        <v/>
      </c>
      <c r="Z481" s="198" t="inlineStr">
        <is>
          <t>06</t>
        </is>
      </c>
      <c r="AA481" s="203" t="n"/>
      <c r="AB481" s="204" t="inlineStr">
        <is>
          <t>09-XL-307HG/PYCNT/CKN/T1/C6-2</t>
        </is>
      </c>
      <c r="AC481" s="204">
        <f>AC480</f>
        <v/>
      </c>
      <c r="AD481" s="204" t="n"/>
      <c r="AE481" s="204" t="n"/>
      <c r="AF481" s="204" t="n"/>
      <c r="AG481" s="204" t="n"/>
      <c r="AH481" s="204" t="n"/>
      <c r="AI481" s="202" t="n"/>
      <c r="AJ481" s="202" t="n"/>
      <c r="AK481" s="206" t="n"/>
      <c r="AL481" s="202" t="n"/>
      <c r="AM481" s="202" t="n"/>
      <c r="AN481" s="202" t="n"/>
      <c r="AO481" s="202" t="n"/>
      <c r="AP481" s="207" t="n"/>
      <c r="AQ481" s="207" t="n"/>
      <c r="AR481" s="202" t="inlineStr">
        <is>
          <t>Nhóm 1</t>
        </is>
      </c>
      <c r="AS481" s="202" t="n"/>
      <c r="AT481" s="202" t="inlineStr">
        <is>
          <t>HM12</t>
        </is>
      </c>
      <c r="AU481" s="202" t="inlineStr">
        <is>
          <t>PL06</t>
        </is>
      </c>
      <c r="AV481" s="202" t="n">
        <v>11</v>
      </c>
      <c r="AW481" s="202" t="n">
        <v>1</v>
      </c>
      <c r="AX481" s="202" t="n"/>
    </row>
    <row r="482" ht="28" customHeight="1" s="672">
      <c r="A482" s="56" t="inlineStr">
        <is>
          <t>NTCV</t>
        </is>
      </c>
      <c r="B482" s="56" t="inlineStr">
        <is>
          <t>K.9999</t>
        </is>
      </c>
      <c r="C482" s="56" t="inlineStr">
        <is>
          <t>NTCV.0841427</t>
        </is>
      </c>
      <c r="D482" s="57" t="n"/>
      <c r="E482" s="57" t="n"/>
      <c r="F482" s="57" t="n"/>
      <c r="G482" s="57" t="n"/>
      <c r="H482" s="57" t="n"/>
      <c r="J482" s="209" t="inlineStr">
        <is>
          <t>18</t>
        </is>
      </c>
      <c r="K482" s="209" t="inlineStr">
        <is>
          <t>K.9999</t>
        </is>
      </c>
      <c r="L482" s="210" t="inlineStr">
        <is>
          <t xml:space="preserve">Nghiệm thu công tác hạ lồng thép </t>
        </is>
      </c>
      <c r="M482" s="210" t="n"/>
      <c r="N482" s="210" t="n"/>
      <c r="O482" s="211" t="inlineStr">
        <is>
          <t>Cầu Km19+529.080</t>
        </is>
      </c>
      <c r="P482" s="212">
        <f>S480</f>
        <v/>
      </c>
      <c r="Q482" s="212">
        <f>P482</f>
        <v/>
      </c>
      <c r="R482" s="212">
        <f>Q482-1</f>
        <v/>
      </c>
      <c r="S482" s="212">
        <f>Q482</f>
        <v/>
      </c>
      <c r="T482" s="213">
        <f>U480</f>
        <v/>
      </c>
      <c r="U482" s="213">
        <f>T482+V482</f>
        <v/>
      </c>
      <c r="V482" s="213" t="n">
        <v>0.03125</v>
      </c>
      <c r="W482" s="214">
        <f>TEXT(T482,"HH""h""MM'")&amp;"÷"&amp;TEXT(U482,"HH""h""MM'")</f>
        <v/>
      </c>
      <c r="X482" s="214" t="n"/>
      <c r="Y482" s="214" t="n"/>
      <c r="Z482" s="214" t="inlineStr">
        <is>
          <t>07;</t>
        </is>
      </c>
      <c r="AA482" s="215" t="inlineStr">
        <is>
          <t>Công tác hạ lồng thép Cọc khoan nhồi Trụ T1 - Cọc C6</t>
        </is>
      </c>
      <c r="AB482" s="204" t="inlineStr">
        <is>
          <t>09-XL-307HG/PYCNT/CKN/T1/C6-2</t>
        </is>
      </c>
      <c r="AC482" s="204" t="inlineStr">
        <is>
          <t>09-XL-307HG/BBNT/CKN/T1/C6-7</t>
        </is>
      </c>
      <c r="AD482" s="204" t="n"/>
      <c r="AE482" s="204" t="n"/>
      <c r="AF482" s="204" t="n"/>
      <c r="AG482" s="204" t="n"/>
      <c r="AH482" s="204" t="n"/>
      <c r="AI482" s="214" t="n"/>
      <c r="AJ482" s="214" t="n"/>
      <c r="AK482" s="217" t="n"/>
      <c r="AL482" s="214" t="n"/>
      <c r="AM482" s="214" t="n"/>
      <c r="AN482" s="214" t="n"/>
      <c r="AO482" s="214" t="n"/>
      <c r="AP482" s="216" t="n"/>
      <c r="AQ482" s="216" t="n"/>
      <c r="AR482" s="214" t="inlineStr">
        <is>
          <t>Nhóm 1</t>
        </is>
      </c>
      <c r="AS482" s="214" t="n"/>
      <c r="AT482" s="214" t="inlineStr">
        <is>
          <t>HM12</t>
        </is>
      </c>
      <c r="AU482" s="214" t="inlineStr">
        <is>
          <t>NTCV</t>
        </is>
      </c>
      <c r="AV482" s="214" t="n">
        <v>171</v>
      </c>
      <c r="AW482" s="214" t="n">
        <v>6</v>
      </c>
      <c r="AX482" s="214" t="n"/>
    </row>
    <row r="483">
      <c r="A483" s="56" t="inlineStr">
        <is>
          <t>BBK396</t>
        </is>
      </c>
      <c r="B483" s="56" t="inlineStr">
        <is>
          <t>PL07</t>
        </is>
      </c>
      <c r="C483" s="56" t="inlineStr">
        <is>
          <t>BBK396.0409597</t>
        </is>
      </c>
      <c r="D483" s="57" t="n"/>
      <c r="E483" s="57" t="n"/>
      <c r="F483" s="57" t="n"/>
      <c r="G483" s="57" t="n"/>
      <c r="H483" s="57" t="n"/>
      <c r="J483" s="198" t="inlineStr">
        <is>
          <t>19</t>
        </is>
      </c>
      <c r="K483" s="198" t="inlineStr">
        <is>
          <t>PL07</t>
        </is>
      </c>
      <c r="L483" s="199" t="inlineStr">
        <is>
          <t>Nghiệm thu công tác hạ lồng thép</t>
        </is>
      </c>
      <c r="M483" s="199" t="n"/>
      <c r="N483" s="199" t="n"/>
      <c r="O483" s="200" t="inlineStr">
        <is>
          <t>Cầu Km19+529.080</t>
        </is>
      </c>
      <c r="P483" s="201" t="n"/>
      <c r="Q483" s="201" t="n"/>
      <c r="R483" s="201" t="n"/>
      <c r="S483" s="201">
        <f>S482</f>
        <v/>
      </c>
      <c r="T483" s="201" t="n"/>
      <c r="U483" s="201" t="n"/>
      <c r="V483" s="201" t="n"/>
      <c r="W483" s="202" t="n"/>
      <c r="X483" s="202" t="n"/>
      <c r="Y483" s="202" t="n"/>
      <c r="Z483" s="198" t="inlineStr">
        <is>
          <t>07</t>
        </is>
      </c>
      <c r="AA483" s="203" t="n"/>
      <c r="AB483" s="204" t="inlineStr">
        <is>
          <t>09-XL-307HG/PYCNT/CKN/T1/C6-2</t>
        </is>
      </c>
      <c r="AC483" s="204">
        <f>AC482</f>
        <v/>
      </c>
      <c r="AD483" s="204" t="n"/>
      <c r="AE483" s="204" t="n"/>
      <c r="AF483" s="204" t="n"/>
      <c r="AG483" s="204" t="n"/>
      <c r="AH483" s="204" t="n"/>
      <c r="AI483" s="202" t="n"/>
      <c r="AJ483" s="202" t="n"/>
      <c r="AK483" s="206" t="n"/>
      <c r="AL483" s="202" t="n"/>
      <c r="AM483" s="202" t="n"/>
      <c r="AN483" s="202" t="n"/>
      <c r="AO483" s="202" t="n"/>
      <c r="AP483" s="207" t="n"/>
      <c r="AQ483" s="207" t="n"/>
      <c r="AR483" s="202" t="inlineStr">
        <is>
          <t>Nhóm 1</t>
        </is>
      </c>
      <c r="AS483" s="202" t="n"/>
      <c r="AT483" s="202" t="inlineStr">
        <is>
          <t>HM12</t>
        </is>
      </c>
      <c r="AU483" s="202" t="inlineStr">
        <is>
          <t>PL07</t>
        </is>
      </c>
      <c r="AV483" s="202" t="n">
        <v>11</v>
      </c>
      <c r="AW483" s="202" t="n">
        <v>1</v>
      </c>
      <c r="AX483" s="202" t="n"/>
    </row>
    <row r="484" ht="42" customHeight="1" s="672">
      <c r="A484" s="56" t="inlineStr">
        <is>
          <t>NTCV</t>
        </is>
      </c>
      <c r="B484" s="56" t="inlineStr">
        <is>
          <t>K.9999</t>
        </is>
      </c>
      <c r="C484" s="56" t="inlineStr">
        <is>
          <t>NTCV.0724558</t>
        </is>
      </c>
      <c r="D484" s="57" t="n"/>
      <c r="E484" s="57" t="n"/>
      <c r="F484" s="57" t="n"/>
      <c r="G484" s="57" t="n"/>
      <c r="H484" s="57" t="n"/>
      <c r="J484" s="209" t="inlineStr">
        <is>
          <t>20</t>
        </is>
      </c>
      <c r="K484" s="209" t="inlineStr">
        <is>
          <t>K.9999</t>
        </is>
      </c>
      <c r="L484" s="210" t="inlineStr">
        <is>
          <t xml:space="preserve">Kiểm tra công tác vệ sinh lỗ khoan cọc khoan nhồi trước khi đổ bê tông </t>
        </is>
      </c>
      <c r="M484" s="210" t="n"/>
      <c r="N484" s="210" t="n"/>
      <c r="O484" s="211" t="inlineStr">
        <is>
          <t>Cầu Km19+529.080</t>
        </is>
      </c>
      <c r="P484" s="212">
        <f>S482</f>
        <v/>
      </c>
      <c r="Q484" s="212">
        <f>P484</f>
        <v/>
      </c>
      <c r="R484" s="212">
        <f>Q484-1</f>
        <v/>
      </c>
      <c r="S484" s="212">
        <f>Q484</f>
        <v/>
      </c>
      <c r="T484" s="213">
        <f>U482</f>
        <v/>
      </c>
      <c r="U484" s="213">
        <f>T484+V484</f>
        <v/>
      </c>
      <c r="V484" s="213" t="n">
        <v>0.02083333333333333</v>
      </c>
      <c r="W484" s="214">
        <f>TEXT(T484,"HH""h""MM'")&amp;"÷"&amp;TEXT(U484,"HH""h""MM'")</f>
        <v/>
      </c>
      <c r="X484" s="214" t="n"/>
      <c r="Y484" s="214" t="n"/>
      <c r="Z484" s="214" t="inlineStr">
        <is>
          <t>08;</t>
        </is>
      </c>
      <c r="AA484" s="215" t="inlineStr">
        <is>
          <t>Kiểm tra công tác vệ sinh lỗ khoan cọc khoan nhồi trước khi đổ bê tông Cọc khoan nhồi Trụ T1 - Cọc C6</t>
        </is>
      </c>
      <c r="AB484" s="204" t="inlineStr">
        <is>
          <t>09-XL-307HG/PYCNT/CKN/T1/C6-2</t>
        </is>
      </c>
      <c r="AC484" s="204" t="inlineStr">
        <is>
          <t>09-XL-307HG/BBNT/CKN/T1/C6-8</t>
        </is>
      </c>
      <c r="AD484" s="204" t="n"/>
      <c r="AE484" s="204" t="n"/>
      <c r="AF484" s="204" t="n"/>
      <c r="AG484" s="204" t="n"/>
      <c r="AH484" s="204" t="n"/>
      <c r="AI484" s="214" t="n"/>
      <c r="AJ484" s="214" t="n"/>
      <c r="AK484" s="217" t="n"/>
      <c r="AL484" s="214" t="n"/>
      <c r="AM484" s="214" t="n"/>
      <c r="AN484" s="214" t="n"/>
      <c r="AO484" s="214" t="n"/>
      <c r="AP484" s="216" t="n"/>
      <c r="AQ484" s="216" t="n"/>
      <c r="AR484" s="214" t="inlineStr">
        <is>
          <t>Nhóm 1</t>
        </is>
      </c>
      <c r="AS484" s="214" t="n"/>
      <c r="AT484" s="214" t="inlineStr">
        <is>
          <t>HM12</t>
        </is>
      </c>
      <c r="AU484" s="214" t="inlineStr">
        <is>
          <t>NTCV</t>
        </is>
      </c>
      <c r="AV484" s="214" t="n">
        <v>176</v>
      </c>
      <c r="AW484" s="214" t="n">
        <v>7</v>
      </c>
      <c r="AX484" s="214" t="n"/>
    </row>
    <row r="485" ht="28" customHeight="1" s="672">
      <c r="A485" s="56" t="inlineStr">
        <is>
          <t>BBK521</t>
        </is>
      </c>
      <c r="B485" s="56" t="inlineStr">
        <is>
          <t>PL08</t>
        </is>
      </c>
      <c r="C485" s="56" t="inlineStr">
        <is>
          <t>BBK521.0658763</t>
        </is>
      </c>
      <c r="D485" s="57" t="n"/>
      <c r="E485" s="57" t="n"/>
      <c r="F485" s="57" t="n"/>
      <c r="G485" s="57" t="n"/>
      <c r="H485" s="57" t="n"/>
      <c r="J485" s="198" t="inlineStr">
        <is>
          <t>21</t>
        </is>
      </c>
      <c r="K485" s="198" t="inlineStr">
        <is>
          <t>PL08</t>
        </is>
      </c>
      <c r="L485" s="199" t="inlineStr">
        <is>
          <t>Kiểm tra công tác vệ sinh lỗ khoan cọc khoan nhồi trước khi đổ bê tông</t>
        </is>
      </c>
      <c r="M485" s="199" t="n"/>
      <c r="N485" s="199" t="n"/>
      <c r="O485" s="200" t="inlineStr">
        <is>
          <t>Cầu Km19+529.080</t>
        </is>
      </c>
      <c r="P485" s="201" t="n"/>
      <c r="Q485" s="201" t="n"/>
      <c r="R485" s="201" t="n"/>
      <c r="S485" s="201">
        <f>S484</f>
        <v/>
      </c>
      <c r="T485" s="201" t="n"/>
      <c r="U485" s="201" t="n"/>
      <c r="V485" s="201" t="n"/>
      <c r="W485" s="202" t="n"/>
      <c r="X485" s="202" t="n"/>
      <c r="Y485" s="202" t="n"/>
      <c r="Z485" s="198" t="inlineStr">
        <is>
          <t>08</t>
        </is>
      </c>
      <c r="AA485" s="203" t="n"/>
      <c r="AB485" s="204" t="inlineStr">
        <is>
          <t>09-XL-307HG/PYCNT/CKN/T1/C6-2</t>
        </is>
      </c>
      <c r="AC485" s="204">
        <f>AC484</f>
        <v/>
      </c>
      <c r="AD485" s="204" t="n"/>
      <c r="AE485" s="204" t="n"/>
      <c r="AF485" s="204" t="n"/>
      <c r="AG485" s="204" t="n"/>
      <c r="AH485" s="204" t="n"/>
      <c r="AI485" s="202" t="n"/>
      <c r="AJ485" s="202" t="n"/>
      <c r="AK485" s="206" t="n"/>
      <c r="AL485" s="202" t="n"/>
      <c r="AM485" s="202" t="n"/>
      <c r="AN485" s="202" t="n"/>
      <c r="AO485" s="202" t="n"/>
      <c r="AP485" s="207" t="n"/>
      <c r="AQ485" s="207" t="n"/>
      <c r="AR485" s="202" t="inlineStr">
        <is>
          <t>Nhóm 1</t>
        </is>
      </c>
      <c r="AS485" s="202" t="n"/>
      <c r="AT485" s="202" t="inlineStr">
        <is>
          <t>HM12</t>
        </is>
      </c>
      <c r="AU485" s="202" t="inlineStr">
        <is>
          <t>PL08</t>
        </is>
      </c>
      <c r="AV485" s="202" t="n">
        <v>11</v>
      </c>
      <c r="AW485" s="202" t="n">
        <v>1</v>
      </c>
      <c r="AX485" s="202" t="n"/>
    </row>
    <row r="486" ht="28" customHeight="1" s="672">
      <c r="A486" s="56" t="inlineStr">
        <is>
          <t>NTCV</t>
        </is>
      </c>
      <c r="B486" s="56" t="inlineStr">
        <is>
          <t>K.9999</t>
        </is>
      </c>
      <c r="C486" s="56" t="inlineStr">
        <is>
          <t>NTCV.0406381</t>
        </is>
      </c>
      <c r="D486" s="57" t="n"/>
      <c r="E486" s="57" t="n"/>
      <c r="F486" s="57" t="n"/>
      <c r="G486" s="57" t="n"/>
      <c r="H486" s="57" t="n"/>
      <c r="J486" s="209" t="inlineStr">
        <is>
          <t>22</t>
        </is>
      </c>
      <c r="K486" s="209" t="inlineStr">
        <is>
          <t>K.9999</t>
        </is>
      </c>
      <c r="L486" s="210" t="inlineStr">
        <is>
          <t xml:space="preserve">Kiểm tra công tác chuẩn bị đổ bê tông cọc khoan nhồi </t>
        </is>
      </c>
      <c r="M486" s="210" t="n"/>
      <c r="N486" s="210" t="n"/>
      <c r="O486" s="211" t="inlineStr">
        <is>
          <t>Cầu Km19+529.080</t>
        </is>
      </c>
      <c r="P486" s="212">
        <f>S484</f>
        <v/>
      </c>
      <c r="Q486" s="212">
        <f>P486</f>
        <v/>
      </c>
      <c r="R486" s="212">
        <f>Q486-1</f>
        <v/>
      </c>
      <c r="S486" s="212">
        <f>Q486</f>
        <v/>
      </c>
      <c r="T486" s="213">
        <f>U484</f>
        <v/>
      </c>
      <c r="U486" s="213">
        <f>T486+V486</f>
        <v/>
      </c>
      <c r="V486" s="213" t="n">
        <v>0.02083333333333333</v>
      </c>
      <c r="W486" s="214">
        <f>TEXT(T486,"HH""h""MM'")&amp;"÷"&amp;TEXT(U486,"HH""h""MM'")</f>
        <v/>
      </c>
      <c r="X486" s="214" t="n"/>
      <c r="Y486" s="214" t="n"/>
      <c r="Z486" s="214" t="inlineStr">
        <is>
          <t>09;</t>
        </is>
      </c>
      <c r="AA486" s="215" t="inlineStr">
        <is>
          <t>Kiểm tra công tác chuẩn bị đổ bê tông Cọc khoan nhồi Trụ T1 - Cọc C6</t>
        </is>
      </c>
      <c r="AB486" s="204" t="inlineStr">
        <is>
          <t>09-XL-307HG/PYCNT/CKN/T1/C6-2</t>
        </is>
      </c>
      <c r="AC486" s="204" t="inlineStr">
        <is>
          <t>09-XL-307HG/BBNT/CKN/T1/C6-9</t>
        </is>
      </c>
      <c r="AD486" s="204" t="n"/>
      <c r="AE486" s="204" t="n"/>
      <c r="AF486" s="204" t="n"/>
      <c r="AG486" s="204" t="n"/>
      <c r="AH486" s="204" t="n"/>
      <c r="AI486" s="214" t="n"/>
      <c r="AJ486" s="214" t="n"/>
      <c r="AK486" s="217" t="n"/>
      <c r="AL486" s="214" t="n"/>
      <c r="AM486" s="214" t="n"/>
      <c r="AN486" s="214" t="n"/>
      <c r="AO486" s="214" t="n"/>
      <c r="AP486" s="216" t="n"/>
      <c r="AQ486" s="216" t="n"/>
      <c r="AR486" s="214" t="inlineStr">
        <is>
          <t>Nhóm 1</t>
        </is>
      </c>
      <c r="AS486" s="214" t="n"/>
      <c r="AT486" s="214" t="inlineStr">
        <is>
          <t>HM12</t>
        </is>
      </c>
      <c r="AU486" s="214" t="inlineStr">
        <is>
          <t>NTCV</t>
        </is>
      </c>
      <c r="AV486" s="214" t="n">
        <v>177</v>
      </c>
      <c r="AW486" s="214" t="n">
        <v>8</v>
      </c>
      <c r="AX486" s="214" t="n"/>
    </row>
    <row r="487">
      <c r="A487" s="56" t="inlineStr">
        <is>
          <t>BBK209</t>
        </is>
      </c>
      <c r="B487" s="56" t="inlineStr">
        <is>
          <t>PL09</t>
        </is>
      </c>
      <c r="C487" s="56" t="inlineStr">
        <is>
          <t>BBK209.0950330</t>
        </is>
      </c>
      <c r="D487" s="57" t="n"/>
      <c r="E487" s="57" t="n"/>
      <c r="F487" s="57" t="n"/>
      <c r="G487" s="57" t="n"/>
      <c r="H487" s="57" t="n"/>
      <c r="J487" s="198" t="inlineStr">
        <is>
          <t>23</t>
        </is>
      </c>
      <c r="K487" s="198" t="inlineStr">
        <is>
          <t>PL09</t>
        </is>
      </c>
      <c r="L487" s="199" t="inlineStr">
        <is>
          <t>Kiểm tra công tác chuẩn bị đổ bê tông cọc khoan nhồi</t>
        </is>
      </c>
      <c r="M487" s="199" t="n"/>
      <c r="N487" s="199" t="n"/>
      <c r="O487" s="200" t="inlineStr">
        <is>
          <t>Cầu Km19+529.080</t>
        </is>
      </c>
      <c r="P487" s="201" t="n"/>
      <c r="Q487" s="201" t="n"/>
      <c r="R487" s="201" t="n"/>
      <c r="S487" s="201">
        <f>S486</f>
        <v/>
      </c>
      <c r="T487" s="201" t="n"/>
      <c r="U487" s="201" t="n"/>
      <c r="V487" s="201" t="n"/>
      <c r="W487" s="202" t="n"/>
      <c r="X487" s="202" t="n"/>
      <c r="Y487" s="202" t="n"/>
      <c r="Z487" s="198" t="inlineStr">
        <is>
          <t>09</t>
        </is>
      </c>
      <c r="AA487" s="203" t="n"/>
      <c r="AB487" s="204" t="inlineStr">
        <is>
          <t>09-XL-307HG/PYCNT/CKN/T1/C6-2</t>
        </is>
      </c>
      <c r="AC487" s="204">
        <f>AC486</f>
        <v/>
      </c>
      <c r="AD487" s="204" t="n"/>
      <c r="AE487" s="204" t="n"/>
      <c r="AF487" s="204" t="n"/>
      <c r="AG487" s="204" t="n"/>
      <c r="AH487" s="204" t="inlineStr">
        <is>
          <t>C30(1)</t>
        </is>
      </c>
      <c r="AI487" s="202" t="n"/>
      <c r="AJ487" s="202" t="n"/>
      <c r="AK487" s="206" t="n"/>
      <c r="AL487" s="202" t="n"/>
      <c r="AM487" s="202" t="n"/>
      <c r="AN487" s="202" t="n"/>
      <c r="AO487" s="202" t="n"/>
      <c r="AP487" s="207" t="n"/>
      <c r="AQ487" s="207" t="n"/>
      <c r="AR487" s="202" t="inlineStr">
        <is>
          <t>Nhóm 1</t>
        </is>
      </c>
      <c r="AS487" s="202" t="n"/>
      <c r="AT487" s="202" t="inlineStr">
        <is>
          <t>HM12</t>
        </is>
      </c>
      <c r="AU487" s="202" t="inlineStr">
        <is>
          <t>PL09</t>
        </is>
      </c>
      <c r="AV487" s="202" t="n">
        <v>11</v>
      </c>
      <c r="AW487" s="202" t="n">
        <v>1</v>
      </c>
      <c r="AX487" s="202" t="n"/>
    </row>
    <row r="488" ht="28" customHeight="1" s="672">
      <c r="A488" s="56" t="inlineStr">
        <is>
          <t>NTCV</t>
        </is>
      </c>
      <c r="B488" s="56" t="inlineStr">
        <is>
          <t>K.9999</t>
        </is>
      </c>
      <c r="C488" s="56" t="inlineStr">
        <is>
          <t>NTCV.0645570</t>
        </is>
      </c>
      <c r="D488" s="57" t="n"/>
      <c r="E488" s="57" t="n"/>
      <c r="F488" s="57" t="n"/>
      <c r="G488" s="57" t="n"/>
      <c r="H488" s="57" t="n"/>
      <c r="J488" s="209" t="inlineStr">
        <is>
          <t>24</t>
        </is>
      </c>
      <c r="K488" s="209" t="inlineStr">
        <is>
          <t>K.9999</t>
        </is>
      </c>
      <c r="L488" s="210" t="inlineStr">
        <is>
          <t>Theo dõi quá trình đổ bê tông cọc khoan nhồi</t>
        </is>
      </c>
      <c r="M488" s="210" t="n"/>
      <c r="N488" s="210" t="n"/>
      <c r="O488" s="211" t="inlineStr">
        <is>
          <t>Cầu Km19+529.080</t>
        </is>
      </c>
      <c r="P488" s="212">
        <f>S486</f>
        <v/>
      </c>
      <c r="Q488" s="212">
        <f>P488</f>
        <v/>
      </c>
      <c r="R488" s="212">
        <f>Q488-1</f>
        <v/>
      </c>
      <c r="S488" s="212">
        <f>Q488</f>
        <v/>
      </c>
      <c r="T488" s="213">
        <f>U486</f>
        <v/>
      </c>
      <c r="U488" s="213">
        <f>T488+V488</f>
        <v/>
      </c>
      <c r="V488" s="213" t="n">
        <v>0.1458333333333333</v>
      </c>
      <c r="W488" s="214">
        <f>TEXT(T488,"HH""h""MM'")&amp;"÷"&amp;TEXT(U488,"HH""h""MM'")</f>
        <v/>
      </c>
      <c r="X488" s="214" t="n"/>
      <c r="Y488" s="214" t="n"/>
      <c r="Z488" s="214" t="inlineStr">
        <is>
          <t>10;</t>
        </is>
      </c>
      <c r="AA488" s="215" t="inlineStr">
        <is>
          <t>Theo dõi quá trình đổ bê tông  Cọc khoan nhồi Trụ T1 - Cọc C6</t>
        </is>
      </c>
      <c r="AB488" s="204" t="inlineStr">
        <is>
          <t>09-XL-307HG/PYCNT/CKN/T1/C6-2</t>
        </is>
      </c>
      <c r="AC488" s="204" t="inlineStr">
        <is>
          <t>09-XL-307HG/BBNT/CKN/T1/C6-10</t>
        </is>
      </c>
      <c r="AD488" s="204" t="n"/>
      <c r="AE488" s="204" t="n"/>
      <c r="AF488" s="204" t="n"/>
      <c r="AG488" s="204" t="n"/>
      <c r="AH488" s="204" t="n"/>
      <c r="AI488" s="214" t="n"/>
      <c r="AJ488" s="214" t="n"/>
      <c r="AK488" s="217" t="n"/>
      <c r="AL488" s="214" t="n"/>
      <c r="AM488" s="214" t="n"/>
      <c r="AN488" s="214" t="n"/>
      <c r="AO488" s="214" t="n"/>
      <c r="AP488" s="216" t="n"/>
      <c r="AQ488" s="216" t="n"/>
      <c r="AR488" s="214" t="inlineStr">
        <is>
          <t>Nhóm 1</t>
        </is>
      </c>
      <c r="AS488" s="214" t="n"/>
      <c r="AT488" s="214" t="inlineStr">
        <is>
          <t>HM12</t>
        </is>
      </c>
      <c r="AU488" s="214" t="inlineStr">
        <is>
          <t>NTCV</t>
        </is>
      </c>
      <c r="AV488" s="214" t="n">
        <v>178</v>
      </c>
      <c r="AW488" s="214" t="n">
        <v>9</v>
      </c>
      <c r="AX488" s="214" t="n"/>
    </row>
    <row r="489" ht="98" customHeight="1" s="672">
      <c r="A489" s="56" t="inlineStr">
        <is>
          <t>LMHT</t>
        </is>
      </c>
      <c r="B489" s="56" t="inlineStr">
        <is>
          <t>LMHT</t>
        </is>
      </c>
      <c r="C489" s="56" t="inlineStr">
        <is>
          <t>LMHT.0516088</t>
        </is>
      </c>
      <c r="D489" s="57" t="inlineStr">
        <is>
          <t>TC.000041|TC.000182|TC.000169.A</t>
        </is>
      </c>
      <c r="E489" s="57" t="n"/>
      <c r="F489" s="57" t="inlineStr">
        <is>
          <t>CP.0001^Cọc khoan nhồi Trụ T1 - Cọc C6^Hình trụ 15x30 (cm)^12^30 Mpa, 18±2^^^TC.000041|TC.000182|TC.000169.A</t>
        </is>
      </c>
      <c r="G489" s="57" t="n"/>
      <c r="H489" s="57" t="inlineStr">
        <is>
          <t>^^A|C|J|O|S|X|Z^Stt|Hạng mục|Cấp bê tông|Kích thước mẫu|Số lượng mẫu|Ghi chú^|||||</t>
        </is>
      </c>
      <c r="J489" s="256" t="inlineStr">
        <is>
          <t>25</t>
        </is>
      </c>
      <c r="K489" s="256" t="inlineStr">
        <is>
          <t>LMHT</t>
        </is>
      </c>
      <c r="L489" s="257" t="inlineStr">
        <is>
          <t>Lấy mẫu bê tông Cọc khoan nhồi, 30(1) Mpa Trụ T1 - Cọc C6</t>
        </is>
      </c>
      <c r="M489" s="257" t="n"/>
      <c r="N489" s="257" t="n"/>
      <c r="O489" s="258" t="inlineStr">
        <is>
          <t>Cầu Km19+529.080</t>
        </is>
      </c>
      <c r="P489" s="259" t="n"/>
      <c r="Q489" s="259" t="n"/>
      <c r="R489" s="259" t="n"/>
      <c r="S489" s="259">
        <f>S488</f>
        <v/>
      </c>
      <c r="T489" s="260">
        <f>T488</f>
        <v/>
      </c>
      <c r="U489" s="260">
        <f>U488</f>
        <v/>
      </c>
      <c r="V489" s="260">
        <f>V488</f>
        <v/>
      </c>
      <c r="W489" s="261">
        <f>TEXT(T489,"HH""h""MM'")&amp;"÷"&amp;TEXT(U489,"HH""h""MM'")</f>
        <v/>
      </c>
      <c r="X489" s="262" t="n"/>
      <c r="Y489" s="262" t="n"/>
      <c r="Z489" s="262" t="n"/>
      <c r="AA489" s="262" t="n"/>
      <c r="AB489" s="263" t="inlineStr">
        <is>
          <t>09-XL-307HG/PYCNT/CKN/T1/C6-2</t>
        </is>
      </c>
      <c r="AC489" s="263" t="inlineStr"/>
      <c r="AD489" s="264" t="n"/>
      <c r="AE489" s="264" t="n"/>
      <c r="AF489" s="264" t="n"/>
      <c r="AG489" s="264" t="n"/>
      <c r="AH489" s="264" t="n"/>
      <c r="AI489" s="257" t="n"/>
      <c r="AJ489" s="262" t="n"/>
      <c r="AK489" s="258" t="n"/>
      <c r="AL489" s="262" t="n"/>
      <c r="AM489" s="262" t="n"/>
      <c r="AN489" s="262" t="n"/>
      <c r="AO489" s="262" t="n"/>
      <c r="AP489" s="263" t="inlineStr">
        <is>
          <t>Bảng lấy mẫu CKN</t>
        </is>
      </c>
      <c r="AQ489" s="263" t="n"/>
      <c r="AR489" s="262" t="inlineStr">
        <is>
          <t>Nhóm 1</t>
        </is>
      </c>
      <c r="AS489" s="262" t="n"/>
      <c r="AT489" s="262" t="inlineStr">
        <is>
          <t>HM12</t>
        </is>
      </c>
      <c r="AU489" s="262" t="inlineStr">
        <is>
          <t>LMHT</t>
        </is>
      </c>
      <c r="AV489" s="262" t="n">
        <v>14</v>
      </c>
      <c r="AW489" s="262" t="n">
        <v>1</v>
      </c>
      <c r="AX489" s="262" t="inlineStr">
        <is>
          <t>Cọc T1-C6 [BT dòng 14]: chưa đến ngưỡng phát sinh lượt mẫu xi măng/cát/đá; mẫu bê tông cấu kiện vẫn theo F489.</t>
        </is>
      </c>
    </row>
    <row r="490">
      <c r="A490" s="56" t="inlineStr">
        <is>
          <t>BBK994</t>
        </is>
      </c>
      <c r="B490" s="56" t="inlineStr">
        <is>
          <t>PL10</t>
        </is>
      </c>
      <c r="C490" s="56" t="inlineStr">
        <is>
          <t>BBK994.0223323</t>
        </is>
      </c>
      <c r="D490" s="57" t="n"/>
      <c r="E490" s="57" t="n"/>
      <c r="F490" s="57" t="n"/>
      <c r="G490" s="57" t="n"/>
      <c r="H490" s="57" t="n"/>
      <c r="J490" s="198" t="inlineStr">
        <is>
          <t>26</t>
        </is>
      </c>
      <c r="K490" s="198" t="inlineStr">
        <is>
          <t>PL10</t>
        </is>
      </c>
      <c r="L490" s="199" t="inlineStr">
        <is>
          <t>Theo dõi quá trình đổ bê tông cọc khoan nhồi</t>
        </is>
      </c>
      <c r="M490" s="199" t="n"/>
      <c r="N490" s="199" t="n"/>
      <c r="O490" s="200" t="inlineStr">
        <is>
          <t>Cầu Km19+529.080</t>
        </is>
      </c>
      <c r="P490" s="201" t="n"/>
      <c r="Q490" s="201" t="n"/>
      <c r="R490" s="201" t="n"/>
      <c r="S490" s="201">
        <f>S488</f>
        <v/>
      </c>
      <c r="T490" s="201" t="n"/>
      <c r="U490" s="201" t="n"/>
      <c r="V490" s="201" t="n"/>
      <c r="W490" s="202" t="n"/>
      <c r="X490" s="202" t="n"/>
      <c r="Y490" s="202" t="n"/>
      <c r="Z490" s="198" t="inlineStr">
        <is>
          <t>10</t>
        </is>
      </c>
      <c r="AA490" s="203" t="n"/>
      <c r="AB490" s="204" t="inlineStr">
        <is>
          <t>09-XL-307HG/PYCNT/CKN/T1/C6-2</t>
        </is>
      </c>
      <c r="AC490" s="204">
        <f>AC488</f>
        <v/>
      </c>
      <c r="AD490" s="204" t="n"/>
      <c r="AE490" s="204" t="n"/>
      <c r="AF490" s="204" t="n"/>
      <c r="AG490" s="204" t="n"/>
      <c r="AH490" s="204" t="inlineStr">
        <is>
          <t>T1-C6</t>
        </is>
      </c>
      <c r="AI490" s="202" t="n"/>
      <c r="AJ490" s="202" t="n"/>
      <c r="AK490" s="206" t="n"/>
      <c r="AL490" s="202" t="n"/>
      <c r="AM490" s="202" t="n"/>
      <c r="AN490" s="202" t="n"/>
      <c r="AO490" s="202" t="n"/>
      <c r="AP490" s="207" t="n"/>
      <c r="AQ490" s="207" t="n"/>
      <c r="AR490" s="202" t="inlineStr">
        <is>
          <t>Nhóm 1</t>
        </is>
      </c>
      <c r="AS490" s="202" t="n"/>
      <c r="AT490" s="202" t="inlineStr">
        <is>
          <t>HM12</t>
        </is>
      </c>
      <c r="AU490" s="202" t="inlineStr">
        <is>
          <t>PL10</t>
        </is>
      </c>
      <c r="AV490" s="202" t="n">
        <v>11</v>
      </c>
      <c r="AW490" s="202" t="n">
        <v>1</v>
      </c>
      <c r="AX490" s="202" t="n"/>
    </row>
    <row r="491" ht="28" customHeight="1" s="672">
      <c r="A491" s="56" t="inlineStr">
        <is>
          <t>NTCV</t>
        </is>
      </c>
      <c r="B491" s="56" t="inlineStr">
        <is>
          <t>K.9999</t>
        </is>
      </c>
      <c r="C491" s="56" t="inlineStr">
        <is>
          <t>NTCV.0582758</t>
        </is>
      </c>
      <c r="D491" s="57" t="n"/>
      <c r="E491" s="57" t="n"/>
      <c r="F491" s="57" t="n"/>
      <c r="G491" s="57" t="n"/>
      <c r="H491" s="57" t="n"/>
      <c r="J491" s="209" t="inlineStr">
        <is>
          <t>27</t>
        </is>
      </c>
      <c r="K491" s="209" t="inlineStr">
        <is>
          <t>K.9999</t>
        </is>
      </c>
      <c r="L491" s="210" t="inlineStr">
        <is>
          <t xml:space="preserve"> Rút ống vách thi công cọc khoan nhồi</t>
        </is>
      </c>
      <c r="M491" s="210" t="n"/>
      <c r="N491" s="210" t="n"/>
      <c r="O491" s="211" t="inlineStr">
        <is>
          <t>Cầu Km19+529.080</t>
        </is>
      </c>
      <c r="P491" s="212">
        <f>S488</f>
        <v/>
      </c>
      <c r="Q491" s="212">
        <f>P491</f>
        <v/>
      </c>
      <c r="R491" s="212">
        <f>Q491-1</f>
        <v/>
      </c>
      <c r="S491" s="212">
        <f>Q491</f>
        <v/>
      </c>
      <c r="T491" s="213">
        <f>U488</f>
        <v/>
      </c>
      <c r="U491" s="213">
        <f>T491+V491</f>
        <v/>
      </c>
      <c r="V491" s="213" t="n">
        <v>0.01041666666666667</v>
      </c>
      <c r="W491" s="214">
        <f>TEXT(T491,"HH""h""MM'")&amp;"÷"&amp;TEXT(U491,"HH""h""MM'")</f>
        <v/>
      </c>
      <c r="X491" s="214" t="n"/>
      <c r="Y491" s="214" t="n"/>
      <c r="Z491" s="214" t="inlineStr">
        <is>
          <t>11;</t>
        </is>
      </c>
      <c r="AA491" s="215" t="inlineStr">
        <is>
          <t>Rút ống vách  Cọc khoan nhồi Trụ T1 - Cọc C6</t>
        </is>
      </c>
      <c r="AB491" s="204" t="inlineStr">
        <is>
          <t>09-XL-307HG/PYCNT/CKN/T1/C6-2</t>
        </is>
      </c>
      <c r="AC491" s="204" t="inlineStr">
        <is>
          <t>09-XL-307HG/BBNT/CKN/T1/C6-11</t>
        </is>
      </c>
      <c r="AD491" s="204" t="n"/>
      <c r="AE491" s="204" t="n"/>
      <c r="AF491" s="204" t="n"/>
      <c r="AG491" s="204" t="n"/>
      <c r="AH491" s="204" t="n"/>
      <c r="AI491" s="214" t="n"/>
      <c r="AJ491" s="214" t="n"/>
      <c r="AK491" s="217" t="n"/>
      <c r="AL491" s="214" t="n"/>
      <c r="AM491" s="214" t="n"/>
      <c r="AN491" s="214" t="n"/>
      <c r="AO491" s="214" t="n"/>
      <c r="AP491" s="216" t="n"/>
      <c r="AQ491" s="216" t="n"/>
      <c r="AR491" s="214" t="inlineStr">
        <is>
          <t>Nhóm 1</t>
        </is>
      </c>
      <c r="AS491" s="214" t="n"/>
      <c r="AT491" s="214" t="inlineStr">
        <is>
          <t>HM12</t>
        </is>
      </c>
      <c r="AU491" s="214" t="inlineStr">
        <is>
          <t>NTCV</t>
        </is>
      </c>
      <c r="AV491" s="214" t="n">
        <v>179</v>
      </c>
      <c r="AW491" s="214" t="n">
        <v>10</v>
      </c>
      <c r="AX491" s="214" t="n"/>
    </row>
    <row r="492">
      <c r="A492" s="56" t="inlineStr">
        <is>
          <t>BBK544</t>
        </is>
      </c>
      <c r="B492" s="56" t="inlineStr">
        <is>
          <t>PL11</t>
        </is>
      </c>
      <c r="C492" s="56" t="inlineStr">
        <is>
          <t>BBK544.0748532</t>
        </is>
      </c>
      <c r="D492" s="57" t="n"/>
      <c r="E492" s="57" t="n"/>
      <c r="F492" s="57" t="n"/>
      <c r="G492" s="57" t="n"/>
      <c r="H492" s="57" t="n"/>
      <c r="J492" s="198" t="inlineStr">
        <is>
          <t>28</t>
        </is>
      </c>
      <c r="K492" s="198" t="inlineStr">
        <is>
          <t>PL11</t>
        </is>
      </c>
      <c r="L492" s="199" t="inlineStr">
        <is>
          <t>Rút ống vách thi công cọc khoan nhồi</t>
        </is>
      </c>
      <c r="M492" s="199" t="n"/>
      <c r="N492" s="199" t="n"/>
      <c r="O492" s="200" t="inlineStr">
        <is>
          <t>Cầu Km19+529.080</t>
        </is>
      </c>
      <c r="P492" s="201" t="n"/>
      <c r="Q492" s="201" t="n"/>
      <c r="R492" s="201" t="n"/>
      <c r="S492" s="201">
        <f>S491</f>
        <v/>
      </c>
      <c r="T492" s="201" t="n"/>
      <c r="U492" s="201" t="n"/>
      <c r="V492" s="201" t="n"/>
      <c r="W492" s="202" t="n"/>
      <c r="X492" s="202" t="n"/>
      <c r="Y492" s="202" t="n"/>
      <c r="Z492" s="198" t="inlineStr">
        <is>
          <t>11</t>
        </is>
      </c>
      <c r="AA492" s="203" t="n"/>
      <c r="AB492" s="204" t="inlineStr">
        <is>
          <t>09-XL-307HG/PYCNT/CKN/T1/C6-2</t>
        </is>
      </c>
      <c r="AC492" s="204">
        <f>AC491</f>
        <v/>
      </c>
      <c r="AD492" s="204" t="n"/>
      <c r="AE492" s="204" t="n"/>
      <c r="AF492" s="204" t="n"/>
      <c r="AG492" s="204" t="n"/>
      <c r="AH492" s="204" t="inlineStr">
        <is>
          <t>&gt;=258;&lt;=289</t>
        </is>
      </c>
      <c r="AI492" s="202" t="n"/>
      <c r="AJ492" s="202" t="n"/>
      <c r="AK492" s="206" t="n"/>
      <c r="AL492" s="202" t="n"/>
      <c r="AM492" s="202" t="n"/>
      <c r="AN492" s="202" t="n"/>
      <c r="AO492" s="202" t="n"/>
      <c r="AP492" s="207" t="n"/>
      <c r="AQ492" s="207" t="n"/>
      <c r="AR492" s="202" t="inlineStr">
        <is>
          <t>Nhóm 1</t>
        </is>
      </c>
      <c r="AS492" s="202" t="n"/>
      <c r="AT492" s="202" t="inlineStr">
        <is>
          <t>HM12</t>
        </is>
      </c>
      <c r="AU492" s="202" t="inlineStr">
        <is>
          <t>PL11</t>
        </is>
      </c>
      <c r="AV492" s="202" t="n">
        <v>11</v>
      </c>
      <c r="AW492" s="202" t="n">
        <v>1</v>
      </c>
      <c r="AX492" s="202" t="n"/>
    </row>
    <row r="493">
      <c r="A493" s="56" t="inlineStr">
        <is>
          <t>BBK680</t>
        </is>
      </c>
      <c r="B493" s="56" t="inlineStr">
        <is>
          <t>PYC</t>
        </is>
      </c>
      <c r="C493" s="56" t="inlineStr">
        <is>
          <t>BBK680.0456470</t>
        </is>
      </c>
      <c r="D493" s="57" t="n"/>
      <c r="E493" s="57" t="n"/>
      <c r="F493" s="57" t="n"/>
      <c r="G493" s="57" t="n"/>
      <c r="H493" s="57" t="n"/>
      <c r="J493" s="198" t="inlineStr">
        <is>
          <t>29</t>
        </is>
      </c>
      <c r="K493" s="198" t="inlineStr">
        <is>
          <t>PYC</t>
        </is>
      </c>
      <c r="L493" s="199" t="inlineStr">
        <is>
          <t>Phiếu yêu cầu nghiệm thu</t>
        </is>
      </c>
      <c r="M493" s="199" t="n"/>
      <c r="N493" s="199" t="n"/>
      <c r="O493" s="200" t="inlineStr">
        <is>
          <t>Cầu Km19+529.080</t>
        </is>
      </c>
      <c r="P493" s="201" t="n"/>
      <c r="Q493" s="201" t="n"/>
      <c r="R493" s="201">
        <f>R494</f>
        <v/>
      </c>
      <c r="S493" s="201" t="n"/>
      <c r="T493" s="201" t="n"/>
      <c r="U493" s="201" t="n"/>
      <c r="V493" s="201" t="n"/>
      <c r="W493" s="202" t="n"/>
      <c r="X493" s="202" t="n"/>
      <c r="Y493" s="202" t="n"/>
      <c r="Z493" s="202" t="n"/>
      <c r="AA493" s="203" t="n"/>
      <c r="AB493" s="204" t="inlineStr">
        <is>
          <t>09-XL-307HG/PYCNT/CKN/T1/C6</t>
        </is>
      </c>
      <c r="AC493" s="205" t="inlineStr"/>
      <c r="AD493" s="205" t="n"/>
      <c r="AE493" s="205" t="n"/>
      <c r="AF493" s="205" t="n"/>
      <c r="AG493" s="205" t="inlineStr">
        <is>
          <t>NTCV;BBKTĐK</t>
        </is>
      </c>
      <c r="AH493" s="204" t="n">
        <v>11</v>
      </c>
      <c r="AI493" s="202" t="n"/>
      <c r="AJ493" s="202" t="n"/>
      <c r="AK493" s="206" t="n"/>
      <c r="AL493" s="202" t="n"/>
      <c r="AM493" s="202" t="n"/>
      <c r="AN493" s="202" t="n"/>
      <c r="AO493" s="202" t="n"/>
      <c r="AP493" s="207" t="n"/>
      <c r="AQ493" s="207" t="n"/>
      <c r="AR493" s="202" t="inlineStr">
        <is>
          <t>Nhóm 1</t>
        </is>
      </c>
      <c r="AS493" s="202" t="n"/>
      <c r="AT493" s="202" t="inlineStr">
        <is>
          <t>HM12</t>
        </is>
      </c>
      <c r="AU493" s="202" t="inlineStr">
        <is>
          <t>PYC</t>
        </is>
      </c>
      <c r="AV493" s="202" t="n">
        <v>175</v>
      </c>
      <c r="AW493" s="202" t="n">
        <v>3</v>
      </c>
      <c r="AX493" s="202" t="n"/>
    </row>
    <row r="494" ht="28" customHeight="1" s="672">
      <c r="A494" s="56" t="inlineStr">
        <is>
          <t>NTCV</t>
        </is>
      </c>
      <c r="B494" s="56" t="inlineStr">
        <is>
          <t>K.9999</t>
        </is>
      </c>
      <c r="C494" s="56" t="inlineStr">
        <is>
          <t>NTCV.0904373</t>
        </is>
      </c>
      <c r="D494" s="57" t="n"/>
      <c r="E494" s="57" t="n"/>
      <c r="F494" s="57" t="n"/>
      <c r="G494" s="57" t="n"/>
      <c r="H494" s="57" t="n"/>
      <c r="J494" s="209" t="inlineStr">
        <is>
          <t>30</t>
        </is>
      </c>
      <c r="K494" s="209" t="inlineStr">
        <is>
          <t>K.9999</t>
        </is>
      </c>
      <c r="L494" s="210" t="inlineStr">
        <is>
          <t>Theo dõi nén mẫu R7 Cọc khoan nhồi Trụ T1 - Cọc C6</t>
        </is>
      </c>
      <c r="M494" s="210" t="n"/>
      <c r="N494" s="210" t="n"/>
      <c r="O494" s="211" t="inlineStr">
        <is>
          <t>Cầu Km19+529.080</t>
        </is>
      </c>
      <c r="P494" s="212">
        <f>S491+7</f>
        <v/>
      </c>
      <c r="Q494" s="212">
        <f>P494</f>
        <v/>
      </c>
      <c r="R494" s="212">
        <f>Q494-1</f>
        <v/>
      </c>
      <c r="S494" s="212">
        <f>Q494</f>
        <v/>
      </c>
      <c r="T494" s="213" t="n">
        <v>0.3541666666666667</v>
      </c>
      <c r="U494" s="213">
        <f>T494+V494</f>
        <v/>
      </c>
      <c r="V494" s="213" t="n">
        <v>0.02083333333333333</v>
      </c>
      <c r="W494" s="214">
        <f>TEXT(T494,"HH""h""MM'")&amp;"÷"&amp;TEXT(U494,"HH""h""MM'")</f>
        <v/>
      </c>
      <c r="X494" s="214" t="n"/>
      <c r="Y494" s="214" t="n"/>
      <c r="Z494" s="214" t="n"/>
      <c r="AA494" s="215" t="inlineStr">
        <is>
          <t>Theo dõi nén mẫu R7 Cọc khoan nhồi Trụ T1 - Cọc C6</t>
        </is>
      </c>
      <c r="AB494" s="204" t="inlineStr">
        <is>
          <t>09-XL-307HG/PYCNT/CKN/T1/C6-3</t>
        </is>
      </c>
      <c r="AC494" s="204" t="inlineStr">
        <is>
          <t>09-XL-307HG/BBNT/CKN/T1/C6-12</t>
        </is>
      </c>
      <c r="AD494" s="204" t="n"/>
      <c r="AE494" s="204" t="n"/>
      <c r="AF494" s="204" t="n"/>
      <c r="AG494" s="204" t="n"/>
      <c r="AH494" s="204" t="n"/>
      <c r="AI494" s="214" t="n"/>
      <c r="AJ494" s="214" t="n"/>
      <c r="AK494" s="217" t="n"/>
      <c r="AL494" s="214" t="n"/>
      <c r="AM494" s="214" t="n"/>
      <c r="AN494" s="214" t="n"/>
      <c r="AO494" s="214" t="n"/>
      <c r="AP494" s="216" t="n"/>
      <c r="AQ494" s="216" t="n"/>
      <c r="AR494" s="214" t="inlineStr">
        <is>
          <t>Nhóm 1</t>
        </is>
      </c>
      <c r="AS494" s="214" t="n"/>
      <c r="AT494" s="214" t="inlineStr">
        <is>
          <t>HM12</t>
        </is>
      </c>
      <c r="AU494" s="214" t="inlineStr">
        <is>
          <t>NTCV</t>
        </is>
      </c>
      <c r="AV494" s="214" t="n">
        <v>256</v>
      </c>
      <c r="AW494" s="214" t="n">
        <v>11</v>
      </c>
      <c r="AX494" s="214" t="n"/>
    </row>
    <row r="495">
      <c r="A495" s="56" t="inlineStr">
        <is>
          <t>BBK680</t>
        </is>
      </c>
      <c r="B495" s="56" t="inlineStr">
        <is>
          <t>PYC</t>
        </is>
      </c>
      <c r="C495" s="56" t="inlineStr">
        <is>
          <t>BBK680.0283014</t>
        </is>
      </c>
      <c r="D495" s="57" t="n"/>
      <c r="E495" s="57" t="n"/>
      <c r="F495" s="57" t="n"/>
      <c r="G495" s="57" t="n"/>
      <c r="H495" s="57" t="n"/>
      <c r="J495" s="198" t="inlineStr">
        <is>
          <t>31</t>
        </is>
      </c>
      <c r="K495" s="198" t="inlineStr">
        <is>
          <t>PYC</t>
        </is>
      </c>
      <c r="L495" s="199" t="inlineStr">
        <is>
          <t>Phiếu yêu cầu nghiệm thu</t>
        </is>
      </c>
      <c r="M495" s="199" t="n"/>
      <c r="N495" s="199" t="n"/>
      <c r="O495" s="200" t="inlineStr">
        <is>
          <t>Cầu Km19+529.080</t>
        </is>
      </c>
      <c r="P495" s="201" t="n"/>
      <c r="Q495" s="201" t="n"/>
      <c r="R495" s="201">
        <f>+S490+28</f>
        <v/>
      </c>
      <c r="S495" s="201" t="n"/>
      <c r="T495" s="201" t="n"/>
      <c r="U495" s="201" t="n"/>
      <c r="V495" s="201" t="n"/>
      <c r="W495" s="202" t="n"/>
      <c r="X495" s="202" t="n"/>
      <c r="Y495" s="202" t="n"/>
      <c r="Z495" s="202" t="n"/>
      <c r="AA495" s="203" t="n"/>
      <c r="AB495" s="204" t="inlineStr">
        <is>
          <t>09-XL-307HG/PYCNT/CKN/T1/C6</t>
        </is>
      </c>
      <c r="AC495" s="205" t="inlineStr"/>
      <c r="AD495" s="205" t="n"/>
      <c r="AE495" s="205" t="n"/>
      <c r="AF495" s="205" t="n"/>
      <c r="AG495" s="205" t="inlineStr">
        <is>
          <t>NTCV;BBKTĐK</t>
        </is>
      </c>
      <c r="AH495" s="204" t="n">
        <v>12</v>
      </c>
      <c r="AI495" s="202" t="n"/>
      <c r="AJ495" s="202" t="n"/>
      <c r="AK495" s="206" t="n"/>
      <c r="AL495" s="202" t="n"/>
      <c r="AM495" s="202" t="n"/>
      <c r="AN495" s="202" t="n"/>
      <c r="AO495" s="202" t="n"/>
      <c r="AP495" s="207" t="n"/>
      <c r="AQ495" s="207" t="n"/>
      <c r="AR495" s="202" t="inlineStr">
        <is>
          <t>Nhóm 1</t>
        </is>
      </c>
      <c r="AS495" s="202" t="n"/>
      <c r="AT495" s="202" t="inlineStr">
        <is>
          <t>HM12</t>
        </is>
      </c>
      <c r="AU495" s="202" t="inlineStr">
        <is>
          <t>PYC</t>
        </is>
      </c>
      <c r="AV495" s="202" t="n">
        <v>176</v>
      </c>
      <c r="AW495" s="202" t="n">
        <v>4</v>
      </c>
      <c r="AX495" s="202" t="n"/>
    </row>
    <row r="496" ht="28" customHeight="1" s="672">
      <c r="A496" s="56" t="inlineStr">
        <is>
          <t>NTCV</t>
        </is>
      </c>
      <c r="B496" s="56" t="inlineStr">
        <is>
          <t>K.9999</t>
        </is>
      </c>
      <c r="C496" s="56" t="inlineStr">
        <is>
          <t>NTCV.0667538</t>
        </is>
      </c>
      <c r="D496" s="57" t="n"/>
      <c r="E496" s="57" t="n"/>
      <c r="F496" s="57" t="n"/>
      <c r="G496" s="57" t="n"/>
      <c r="H496" s="57" t="n"/>
      <c r="J496" s="209" t="inlineStr">
        <is>
          <t>32</t>
        </is>
      </c>
      <c r="K496" s="209" t="inlineStr">
        <is>
          <t>K.9999</t>
        </is>
      </c>
      <c r="L496" s="210" t="inlineStr">
        <is>
          <t>Đập đầu cọc khoan nhồi Trụ T1 - Cọc C6</t>
        </is>
      </c>
      <c r="M496" s="210" t="n"/>
      <c r="N496" s="210" t="n"/>
      <c r="O496" s="211" t="inlineStr">
        <is>
          <t>Cầu Km19+529.080</t>
        </is>
      </c>
      <c r="P496" s="212">
        <f>S494</f>
        <v/>
      </c>
      <c r="Q496" s="212">
        <f>P496</f>
        <v/>
      </c>
      <c r="R496" s="212">
        <f>Q496-1</f>
        <v/>
      </c>
      <c r="S496" s="212">
        <f>Q496</f>
        <v/>
      </c>
      <c r="T496" s="213" t="n">
        <v>0.3541666666666667</v>
      </c>
      <c r="U496" s="213">
        <f>T496+V496</f>
        <v/>
      </c>
      <c r="V496" s="213" t="n">
        <v>0.0625</v>
      </c>
      <c r="W496" s="214">
        <f>TEXT(T496,"HH""h""MM'")&amp;"÷"&amp;TEXT(U496,"HH""h""MM'")</f>
        <v/>
      </c>
      <c r="X496" s="214" t="n"/>
      <c r="Y496" s="214" t="n"/>
      <c r="Z496" s="214" t="n"/>
      <c r="AA496" s="215" t="inlineStr">
        <is>
          <t>Theo dõi nén mẫu R28 Cọc khoan nhồi Trụ T1 - Cọc C6</t>
        </is>
      </c>
      <c r="AB496" s="204" t="inlineStr">
        <is>
          <t>09-XL-307HG/PYCNT/CKN/T1/C6-4</t>
        </is>
      </c>
      <c r="AC496" s="204" t="inlineStr">
        <is>
          <t>09-XL-307HG/BBNT/CKN/T1/C6-13</t>
        </is>
      </c>
      <c r="AD496" s="204" t="n"/>
      <c r="AE496" s="204" t="n"/>
      <c r="AF496" s="204" t="n"/>
      <c r="AG496" s="204" t="n"/>
      <c r="AH496" s="204" t="n"/>
      <c r="AI496" s="214" t="n"/>
      <c r="AJ496" s="214" t="n"/>
      <c r="AK496" s="217" t="n"/>
      <c r="AL496" s="214" t="n"/>
      <c r="AM496" s="214" t="n"/>
      <c r="AN496" s="214" t="n"/>
      <c r="AO496" s="214" t="n"/>
      <c r="AP496" s="216" t="n"/>
      <c r="AQ496" s="216" t="n"/>
      <c r="AR496" s="214" t="inlineStr">
        <is>
          <t>Nhóm 1</t>
        </is>
      </c>
      <c r="AS496" s="214" t="n"/>
      <c r="AT496" s="214" t="inlineStr">
        <is>
          <t>HM12</t>
        </is>
      </c>
      <c r="AU496" s="214" t="inlineStr">
        <is>
          <t>NTCV</t>
        </is>
      </c>
      <c r="AV496" s="214" t="n">
        <v>257</v>
      </c>
      <c r="AW496" s="214" t="n">
        <v>12</v>
      </c>
      <c r="AX496" s="214" t="n"/>
    </row>
    <row r="497">
      <c r="A497" s="56" t="inlineStr">
        <is>
          <t>HM</t>
        </is>
      </c>
      <c r="B497" s="56" t="inlineStr">
        <is>
          <t>HM</t>
        </is>
      </c>
      <c r="C497" s="56" t="inlineStr">
        <is>
          <t>HM.0890127</t>
        </is>
      </c>
      <c r="D497" s="57" t="n"/>
      <c r="E497" s="57" t="n"/>
      <c r="F497" s="57" t="n"/>
      <c r="G497" s="57" t="n"/>
      <c r="H497" s="57" t="n"/>
      <c r="J497" s="246" t="inlineStr">
        <is>
          <t>HM13</t>
        </is>
      </c>
      <c r="K497" s="246" t="inlineStr">
        <is>
          <t>HM</t>
        </is>
      </c>
      <c r="L497" s="247" t="inlineStr">
        <is>
          <t>Trụ T1 - Cọc C7</t>
        </is>
      </c>
      <c r="M497" s="247" t="n"/>
      <c r="N497" s="247" t="n"/>
      <c r="O497" s="248" t="inlineStr">
        <is>
          <t>Cầu Km19+529.080</t>
        </is>
      </c>
      <c r="P497" s="249" t="n"/>
      <c r="Q497" s="249" t="n"/>
      <c r="R497" s="249" t="n"/>
      <c r="S497" s="249" t="n"/>
      <c r="T497" s="249" t="n"/>
      <c r="U497" s="249" t="n"/>
      <c r="V497" s="249" t="n"/>
      <c r="W497" s="250" t="n"/>
      <c r="X497" s="250" t="n"/>
      <c r="Y497" s="250" t="n"/>
      <c r="Z497" s="250" t="n"/>
      <c r="AA497" s="251" t="n"/>
      <c r="AB497" s="252" t="n"/>
      <c r="AC497" s="252" t="inlineStr"/>
      <c r="AD497" s="252" t="n"/>
      <c r="AE497" s="252" t="n"/>
      <c r="AF497" s="252" t="n"/>
      <c r="AG497" s="252" t="n"/>
      <c r="AH497" s="252" t="n"/>
      <c r="AI497" s="250" t="n"/>
      <c r="AJ497" s="250" t="n"/>
      <c r="AK497" s="253" t="n"/>
      <c r="AL497" s="250" t="n"/>
      <c r="AM497" s="250" t="n"/>
      <c r="AN497" s="250" t="n"/>
      <c r="AO497" s="250" t="n"/>
      <c r="AP497" s="254" t="n"/>
      <c r="AQ497" s="254" t="n"/>
      <c r="AR497" s="250" t="n"/>
      <c r="AS497" s="250" t="n"/>
      <c r="AT497" s="250" t="inlineStr">
        <is>
          <t>HM13</t>
        </is>
      </c>
      <c r="AU497" s="250" t="inlineStr">
        <is>
          <t>HM</t>
        </is>
      </c>
      <c r="AV497" s="250" t="n"/>
      <c r="AW497" s="250" t="n"/>
      <c r="AX497" s="250" t="n"/>
    </row>
    <row r="498" ht="28" customFormat="1" customHeight="1" s="70">
      <c r="A498" s="68" t="inlineStr">
        <is>
          <t>BBK_BIA</t>
        </is>
      </c>
      <c r="B498" s="68" t="inlineStr">
        <is>
          <t>TRANGBIA</t>
        </is>
      </c>
      <c r="C498" s="68" t="inlineStr">
        <is>
          <t>BBK_BIA.0281381</t>
        </is>
      </c>
      <c r="D498" s="69" t="n"/>
      <c r="E498" s="69" t="n"/>
      <c r="F498" s="69" t="n"/>
      <c r="G498" s="69" t="n"/>
      <c r="H498" s="69" t="n"/>
      <c r="J498" s="98" t="inlineStr">
        <is>
          <t>01</t>
        </is>
      </c>
      <c r="K498" s="98" t="inlineStr">
        <is>
          <t>TRANGBIA</t>
        </is>
      </c>
      <c r="L498" s="99">
        <f>"Cọc Khoan Nhồi"&amp;" - "&amp;L497</f>
        <v/>
      </c>
      <c r="M498" s="99" t="n"/>
      <c r="N498" s="99" t="n"/>
      <c r="O498" s="100" t="inlineStr">
        <is>
          <t>Cầu Km19+529.080</t>
        </is>
      </c>
      <c r="P498" s="101" t="n"/>
      <c r="Q498" s="101" t="n"/>
      <c r="R498" s="101" t="n"/>
      <c r="S498" s="101" t="n"/>
      <c r="T498" s="101" t="n"/>
      <c r="U498" s="101" t="n"/>
      <c r="V498" s="101" t="n"/>
      <c r="W498" s="102" t="n"/>
      <c r="X498" s="102" t="n"/>
      <c r="Y498" s="102" t="n"/>
      <c r="Z498" s="102" t="n"/>
      <c r="AA498" s="102" t="n"/>
      <c r="AB498" s="102" t="n"/>
      <c r="AC498" s="102" t="inlineStr"/>
      <c r="AD498" s="102" t="n"/>
      <c r="AE498" s="102" t="n"/>
      <c r="AF498" s="102" t="n"/>
      <c r="AG498" s="102" t="n"/>
      <c r="AH498" s="102" t="n"/>
      <c r="AI498" s="102" t="n"/>
      <c r="AJ498" s="102" t="n"/>
      <c r="AK498" s="100" t="n"/>
      <c r="AL498" s="102" t="n"/>
      <c r="AM498" s="102" t="n"/>
      <c r="AN498" s="102" t="n"/>
      <c r="AO498" s="102" t="n"/>
      <c r="AP498" s="103" t="inlineStr">
        <is>
          <t>Kết cấu cọc khoan nhồi mố, trụ</t>
        </is>
      </c>
      <c r="AQ498" s="104" t="n"/>
      <c r="AR498" s="102" t="inlineStr">
        <is>
          <t>Nhóm 1</t>
        </is>
      </c>
      <c r="AS498" s="102" t="n"/>
      <c r="AT498" s="102" t="inlineStr">
        <is>
          <t>HM13</t>
        </is>
      </c>
      <c r="AU498" s="102" t="inlineStr">
        <is>
          <t>TRANGBIA</t>
        </is>
      </c>
      <c r="AV498" s="102" t="n">
        <v>13</v>
      </c>
      <c r="AW498" s="102" t="n">
        <v>1</v>
      </c>
      <c r="AX498" s="102" t="n"/>
    </row>
    <row r="499" customFormat="1" s="70">
      <c r="A499" s="68" t="inlineStr">
        <is>
          <t>BBK_ML</t>
        </is>
      </c>
      <c r="B499" s="68" t="inlineStr">
        <is>
          <t>MUCLUC</t>
        </is>
      </c>
      <c r="C499" s="68" t="inlineStr">
        <is>
          <t>BBK_ML.0368056</t>
        </is>
      </c>
      <c r="D499" s="69" t="n"/>
      <c r="E499" s="69" t="n"/>
      <c r="F499" s="69" t="n"/>
      <c r="G499" s="69" t="n"/>
      <c r="H499" s="69" t="n"/>
      <c r="J499" s="98" t="inlineStr">
        <is>
          <t>02</t>
        </is>
      </c>
      <c r="K499" s="98" t="inlineStr">
        <is>
          <t>MUCLUC</t>
        </is>
      </c>
      <c r="L499" s="99" t="inlineStr">
        <is>
          <t>Danh mục biên bản Kiểm tra/Nghiệm thu</t>
        </is>
      </c>
      <c r="M499" s="99" t="n"/>
      <c r="N499" s="99" t="n"/>
      <c r="O499" s="100" t="inlineStr">
        <is>
          <t>Cầu Km19+529.080</t>
        </is>
      </c>
      <c r="P499" s="101" t="n"/>
      <c r="Q499" s="101" t="n"/>
      <c r="R499" s="101" t="n"/>
      <c r="S499" s="101" t="n"/>
      <c r="T499" s="101" t="n"/>
      <c r="U499" s="101" t="n"/>
      <c r="V499" s="101" t="n"/>
      <c r="W499" s="102" t="n"/>
      <c r="X499" s="102" t="n"/>
      <c r="Y499" s="102" t="n"/>
      <c r="Z499" s="102" t="n"/>
      <c r="AA499" s="102" t="n"/>
      <c r="AB499" s="102" t="n"/>
      <c r="AC499" s="102" t="inlineStr"/>
      <c r="AD499" s="102" t="n"/>
      <c r="AE499" s="102" t="n"/>
      <c r="AF499" s="102" t="n"/>
      <c r="AG499" s="102" t="n"/>
      <c r="AH499" s="102" t="n"/>
      <c r="AI499" s="102" t="n"/>
      <c r="AJ499" s="102" t="n"/>
      <c r="AK499" s="100" t="n"/>
      <c r="AL499" s="102" t="n"/>
      <c r="AM499" s="102" t="n"/>
      <c r="AN499" s="102" t="n"/>
      <c r="AO499" s="102" t="n"/>
      <c r="AP499" s="104" t="n"/>
      <c r="AQ499" s="104" t="n"/>
      <c r="AR499" s="102" t="inlineStr">
        <is>
          <t>Nhóm 1</t>
        </is>
      </c>
      <c r="AS499" s="102" t="n"/>
      <c r="AT499" s="102" t="inlineStr">
        <is>
          <t>HM13</t>
        </is>
      </c>
      <c r="AU499" s="102" t="inlineStr">
        <is>
          <t>MUCLUC</t>
        </is>
      </c>
      <c r="AV499" s="102" t="n">
        <v>13</v>
      </c>
      <c r="AW499" s="102" t="n">
        <v>1</v>
      </c>
      <c r="AX499" s="102" t="n"/>
    </row>
    <row r="500">
      <c r="A500" s="56" t="inlineStr">
        <is>
          <t>BBK680</t>
        </is>
      </c>
      <c r="B500" s="56" t="inlineStr">
        <is>
          <t>PYC</t>
        </is>
      </c>
      <c r="C500" s="56" t="inlineStr">
        <is>
          <t>BBK680.0014221</t>
        </is>
      </c>
      <c r="D500" s="57" t="n"/>
      <c r="E500" s="57" t="n"/>
      <c r="F500" s="57" t="n"/>
      <c r="G500" s="57" t="n"/>
      <c r="H500" s="57" t="n"/>
      <c r="J500" s="198" t="inlineStr">
        <is>
          <t>03</t>
        </is>
      </c>
      <c r="K500" s="198" t="inlineStr">
        <is>
          <t>PYC</t>
        </is>
      </c>
      <c r="L500" s="199" t="inlineStr">
        <is>
          <t>Phiếu yêu cầu nghiệm thu</t>
        </is>
      </c>
      <c r="M500" s="199" t="n"/>
      <c r="N500" s="199" t="n"/>
      <c r="O500" s="200" t="inlineStr">
        <is>
          <t>Cầu Km19+529.080</t>
        </is>
      </c>
      <c r="P500" s="201" t="n"/>
      <c r="Q500" s="201" t="n"/>
      <c r="R500" s="201">
        <f>R501</f>
        <v/>
      </c>
      <c r="S500" s="201" t="n"/>
      <c r="T500" s="201" t="n"/>
      <c r="U500" s="201" t="n"/>
      <c r="V500" s="201" t="n"/>
      <c r="W500" s="202" t="n"/>
      <c r="X500" s="202" t="n"/>
      <c r="Y500" s="202" t="n"/>
      <c r="Z500" s="202" t="n"/>
      <c r="AA500" s="203" t="n"/>
      <c r="AB500" s="204" t="inlineStr">
        <is>
          <t>09-XL-307HG/PYCNT/CKN/T1/C7</t>
        </is>
      </c>
      <c r="AC500" s="205" t="inlineStr"/>
      <c r="AD500" s="205" t="n"/>
      <c r="AE500" s="205" t="n"/>
      <c r="AF500" s="205" t="n"/>
      <c r="AG500" s="205" t="inlineStr">
        <is>
          <t>NTCV;BBKTĐK</t>
        </is>
      </c>
      <c r="AH500" s="204" t="inlineStr">
        <is>
          <t>&gt;=1;&lt;=5</t>
        </is>
      </c>
      <c r="AI500" s="202" t="n"/>
      <c r="AJ500" s="202" t="n"/>
      <c r="AK500" s="206" t="n"/>
      <c r="AL500" s="202" t="n"/>
      <c r="AM500" s="202" t="n"/>
      <c r="AN500" s="202" t="n"/>
      <c r="AO500" s="202" t="n"/>
      <c r="AP500" s="207" t="n"/>
      <c r="AQ500" s="207" t="n"/>
      <c r="AR500" s="202" t="inlineStr">
        <is>
          <t>Nhóm 1</t>
        </is>
      </c>
      <c r="AS500" s="202" t="n"/>
      <c r="AT500" s="202" t="inlineStr">
        <is>
          <t>HM13</t>
        </is>
      </c>
      <c r="AU500" s="202" t="inlineStr">
        <is>
          <t>PYC</t>
        </is>
      </c>
      <c r="AV500" s="202" t="n">
        <v>177</v>
      </c>
      <c r="AW500" s="202" t="n">
        <v>1</v>
      </c>
      <c r="AX500" s="202" t="n"/>
    </row>
    <row r="501" ht="28" customHeight="1" s="672">
      <c r="A501" s="56" t="inlineStr">
        <is>
          <t>BBK884</t>
        </is>
      </c>
      <c r="B501" s="56" t="inlineStr">
        <is>
          <t>BBKTĐK</t>
        </is>
      </c>
      <c r="C501" s="56" t="inlineStr">
        <is>
          <t>BBK884.0294659</t>
        </is>
      </c>
      <c r="D501" s="57" t="n"/>
      <c r="E501" s="57" t="n"/>
      <c r="F501" s="57" t="n"/>
      <c r="G501" s="57" t="n"/>
      <c r="H501" s="57" t="n"/>
      <c r="J501" s="198" t="inlineStr">
        <is>
          <t>04</t>
        </is>
      </c>
      <c r="K501" s="198" t="inlineStr">
        <is>
          <t>BBKTĐK</t>
        </is>
      </c>
      <c r="L501" s="199" t="inlineStr">
        <is>
          <t>Kiểm tra điều kiện trước khi thi công cọc khoan nhồi: Thiết bị, nhân lực, vật tư</t>
        </is>
      </c>
      <c r="M501" s="199" t="n"/>
      <c r="N501" s="199" t="n"/>
      <c r="O501" s="200" t="inlineStr">
        <is>
          <t>Cầu Km19+529.080</t>
        </is>
      </c>
      <c r="P501" s="201" t="n">
        <v>46218</v>
      </c>
      <c r="Q501" s="201">
        <f>P501</f>
        <v/>
      </c>
      <c r="R501" s="201">
        <f>Q501-1</f>
        <v/>
      </c>
      <c r="S501" s="201">
        <f>Q501</f>
        <v/>
      </c>
      <c r="T501" s="208" t="n">
        <v>0.2916666666666667</v>
      </c>
      <c r="U501" s="208">
        <f>T501+V501</f>
        <v/>
      </c>
      <c r="V501" s="208" t="n">
        <v>0.02083333333333333</v>
      </c>
      <c r="W501" s="202">
        <f>TEXT(T501,"HH""h""MM'")&amp;"÷"&amp;TEXT(U501,"HH""h""MM'")</f>
        <v/>
      </c>
      <c r="X501" s="202" t="n"/>
      <c r="Y501" s="202" t="n"/>
      <c r="Z501" s="202" t="inlineStr">
        <is>
          <t>01;</t>
        </is>
      </c>
      <c r="AA501" s="200" t="inlineStr">
        <is>
          <t>Kiểm tra điều kiện trước khi thi công Cọc khoan nhồi Trụ T1 - Cọc C7</t>
        </is>
      </c>
      <c r="AB501" s="205" t="inlineStr">
        <is>
          <t>09-XL-307HG/PYCNT/CKN/T1/C7-1</t>
        </is>
      </c>
      <c r="AC501" s="205" t="inlineStr">
        <is>
          <t>09-XL-307HG/BBNT/CKN/T1/C7-1</t>
        </is>
      </c>
      <c r="AD501" s="205" t="n"/>
      <c r="AE501" s="205" t="n"/>
      <c r="AF501" s="205" t="n"/>
      <c r="AG501" s="205" t="n"/>
      <c r="AH501" s="205" t="n"/>
      <c r="AI501" s="207" t="n"/>
      <c r="AJ501" s="214" t="n"/>
      <c r="AK501" s="217" t="n"/>
      <c r="AL501" s="214" t="n"/>
      <c r="AM501" s="214" t="n"/>
      <c r="AN501" s="214" t="n"/>
      <c r="AO501" s="202" t="n"/>
      <c r="AP501" s="207" t="n"/>
      <c r="AQ501" s="207" t="n"/>
      <c r="AR501" s="202" t="inlineStr">
        <is>
          <t>Nhóm 1</t>
        </is>
      </c>
      <c r="AS501" s="202" t="n"/>
      <c r="AT501" s="202" t="inlineStr">
        <is>
          <t>HM13</t>
        </is>
      </c>
      <c r="AU501" s="202" t="inlineStr">
        <is>
          <t>BBKTĐK</t>
        </is>
      </c>
      <c r="AV501" s="202" t="n">
        <v>13</v>
      </c>
      <c r="AW501" s="202" t="n">
        <v>1</v>
      </c>
      <c r="AX501" s="202" t="n"/>
    </row>
    <row r="502" ht="28" customHeight="1" s="672">
      <c r="A502" s="56" t="inlineStr">
        <is>
          <t>BBK860</t>
        </is>
      </c>
      <c r="B502" s="56" t="inlineStr">
        <is>
          <t>PL01</t>
        </is>
      </c>
      <c r="C502" s="56" t="inlineStr">
        <is>
          <t>BBK860.0984046</t>
        </is>
      </c>
      <c r="D502" s="57" t="n"/>
      <c r="E502" s="57" t="n"/>
      <c r="F502" s="57" t="n"/>
      <c r="G502" s="57" t="n"/>
      <c r="H502" s="57" t="n"/>
      <c r="J502" s="198" t="inlineStr">
        <is>
          <t>05</t>
        </is>
      </c>
      <c r="K502" s="198" t="inlineStr">
        <is>
          <t>PL01</t>
        </is>
      </c>
      <c r="L502" s="199" t="inlineStr">
        <is>
          <t>Máy móc, thiết bị, nhân lực, vật tư thi công cọc khoan nhồi</t>
        </is>
      </c>
      <c r="M502" s="199" t="n"/>
      <c r="N502" s="199" t="n"/>
      <c r="O502" s="199" t="inlineStr">
        <is>
          <t>Cầu Km19+529.080</t>
        </is>
      </c>
      <c r="P502" s="201" t="n"/>
      <c r="Q502" s="201" t="n"/>
      <c r="R502" s="201" t="n"/>
      <c r="S502" s="201">
        <f>S501</f>
        <v/>
      </c>
      <c r="T502" s="201" t="n"/>
      <c r="U502" s="201" t="n"/>
      <c r="V502" s="201" t="n"/>
      <c r="W502" s="202" t="n"/>
      <c r="X502" s="202" t="n"/>
      <c r="Y502" s="202" t="n"/>
      <c r="Z502" s="198" t="inlineStr">
        <is>
          <t>01</t>
        </is>
      </c>
      <c r="AA502" s="203" t="n"/>
      <c r="AB502" s="204" t="inlineStr">
        <is>
          <t>09-XL-307HG/PYCNT/CKN/T1/C7-1</t>
        </is>
      </c>
      <c r="AC502" s="204">
        <f>AC501</f>
        <v/>
      </c>
      <c r="AD502" s="204" t="n"/>
      <c r="AE502" s="204" t="n"/>
      <c r="AF502" s="204" t="n"/>
      <c r="AG502" s="204" t="n"/>
      <c r="AH502" s="204" t="inlineStr">
        <is>
          <t>CKN</t>
        </is>
      </c>
      <c r="AI502" s="207" t="n"/>
      <c r="AJ502" s="202" t="n"/>
      <c r="AK502" s="206" t="n"/>
      <c r="AL502" s="202" t="n"/>
      <c r="AM502" s="202" t="n"/>
      <c r="AN502" s="202" t="n"/>
      <c r="AO502" s="202" t="n"/>
      <c r="AP502" s="207" t="n"/>
      <c r="AQ502" s="207" t="n"/>
      <c r="AR502" s="202" t="inlineStr">
        <is>
          <t>Nhóm 1</t>
        </is>
      </c>
      <c r="AS502" s="202" t="n"/>
      <c r="AT502" s="202" t="inlineStr">
        <is>
          <t>HM13</t>
        </is>
      </c>
      <c r="AU502" s="202" t="inlineStr">
        <is>
          <t>PL01</t>
        </is>
      </c>
      <c r="AV502" s="202" t="n">
        <v>13</v>
      </c>
      <c r="AW502" s="202" t="n">
        <v>1</v>
      </c>
      <c r="AX502" s="202" t="n"/>
    </row>
    <row r="503" ht="42" customHeight="1" s="672">
      <c r="A503" s="56" t="inlineStr">
        <is>
          <t>NTCV</t>
        </is>
      </c>
      <c r="B503" s="56" t="inlineStr">
        <is>
          <t>K.9999</t>
        </is>
      </c>
      <c r="C503" s="56" t="inlineStr">
        <is>
          <t>NTCV.0761282</t>
        </is>
      </c>
      <c r="D503" s="57" t="n"/>
      <c r="E503" s="57" t="n"/>
      <c r="F503" s="57" t="n"/>
      <c r="G503" s="57" t="n"/>
      <c r="H503" s="57" t="n"/>
      <c r="J503" s="209" t="inlineStr">
        <is>
          <t>06</t>
        </is>
      </c>
      <c r="K503" s="209" t="inlineStr">
        <is>
          <t>K.9999</t>
        </is>
      </c>
      <c r="L503" s="210" t="inlineStr">
        <is>
          <t>Kiểm tra ống vách, dung dịch bentonite trước khi khoan cọc khoan nhồi</t>
        </is>
      </c>
      <c r="M503" s="210" t="n"/>
      <c r="N503" s="210" t="n"/>
      <c r="O503" s="211" t="inlineStr">
        <is>
          <t>Cầu Km19+529.080</t>
        </is>
      </c>
      <c r="P503" s="212">
        <f>S501</f>
        <v/>
      </c>
      <c r="Q503" s="212">
        <f>P503</f>
        <v/>
      </c>
      <c r="R503" s="212">
        <f>Q503-1</f>
        <v/>
      </c>
      <c r="S503" s="212">
        <f>Q503</f>
        <v/>
      </c>
      <c r="T503" s="213">
        <f>U501</f>
        <v/>
      </c>
      <c r="U503" s="213">
        <f>T503+V503</f>
        <v/>
      </c>
      <c r="V503" s="213" t="n">
        <v>0.02083333333333333</v>
      </c>
      <c r="W503" s="214">
        <f>TEXT(T503,"HH""h""MM'")&amp;"÷"&amp;TEXT(U503,"HH""h""MM'")</f>
        <v/>
      </c>
      <c r="X503" s="214" t="n"/>
      <c r="Y503" s="214" t="n"/>
      <c r="Z503" s="214" t="inlineStr">
        <is>
          <t>02; 02a</t>
        </is>
      </c>
      <c r="AA503" s="215" t="inlineStr">
        <is>
          <t>Kiểm tra ống vách, dung dịch bentonite Cọc khoan nhồi Trụ T1 - Cọc C7 trước khi khoan</t>
        </is>
      </c>
      <c r="AB503" s="204" t="inlineStr">
        <is>
          <t>09-XL-307HG/PYCNT/CKN/T1/C7-1</t>
        </is>
      </c>
      <c r="AC503" s="204" t="inlineStr">
        <is>
          <t>09-XL-307HG/BBNT/CKN/T1/C7-2</t>
        </is>
      </c>
      <c r="AD503" s="204" t="n"/>
      <c r="AE503" s="204" t="n"/>
      <c r="AF503" s="204" t="n"/>
      <c r="AG503" s="204" t="n"/>
      <c r="AH503" s="204" t="n"/>
      <c r="AI503" s="216" t="n"/>
      <c r="AJ503" s="214" t="n"/>
      <c r="AK503" s="217" t="n"/>
      <c r="AL503" s="214" t="n"/>
      <c r="AM503" s="214" t="n"/>
      <c r="AN503" s="214" t="n"/>
      <c r="AO503" s="214" t="n"/>
      <c r="AP503" s="216" t="n"/>
      <c r="AQ503" s="216" t="n"/>
      <c r="AR503" s="214" t="inlineStr">
        <is>
          <t>Nhóm 1</t>
        </is>
      </c>
      <c r="AS503" s="214" t="n"/>
      <c r="AT503" s="214" t="inlineStr">
        <is>
          <t>HM13</t>
        </is>
      </c>
      <c r="AU503" s="214" t="inlineStr">
        <is>
          <t>NTCV</t>
        </is>
      </c>
      <c r="AV503" s="214" t="n">
        <v>180</v>
      </c>
      <c r="AW503" s="214" t="n">
        <v>1</v>
      </c>
      <c r="AX503" s="214" t="n"/>
    </row>
    <row r="504">
      <c r="A504" s="56" t="inlineStr">
        <is>
          <t>BBK170</t>
        </is>
      </c>
      <c r="B504" s="56" t="inlineStr">
        <is>
          <t>PL02</t>
        </is>
      </c>
      <c r="C504" s="56" t="inlineStr">
        <is>
          <t>BBK170.0580878</t>
        </is>
      </c>
      <c r="D504" s="57" t="n"/>
      <c r="E504" s="57" t="n"/>
      <c r="F504" s="57" t="n"/>
      <c r="G504" s="57" t="n"/>
      <c r="H504" s="57" t="n"/>
      <c r="J504" s="198" t="inlineStr">
        <is>
          <t>07</t>
        </is>
      </c>
      <c r="K504" s="198" t="inlineStr">
        <is>
          <t>PL02</t>
        </is>
      </c>
      <c r="L504" s="199" t="inlineStr">
        <is>
          <t>Kiểm tra ống vách thi công trước khi hạ</t>
        </is>
      </c>
      <c r="M504" s="199" t="n"/>
      <c r="N504" s="199" t="n"/>
      <c r="O504" s="200" t="inlineStr">
        <is>
          <t>Cầu Km19+529.080</t>
        </is>
      </c>
      <c r="P504" s="201" t="n"/>
      <c r="Q504" s="201" t="n"/>
      <c r="R504" s="201" t="n"/>
      <c r="S504" s="201">
        <f>S503</f>
        <v/>
      </c>
      <c r="T504" s="201" t="n"/>
      <c r="U504" s="201" t="n"/>
      <c r="V504" s="201" t="n"/>
      <c r="W504" s="202" t="n"/>
      <c r="X504" s="202" t="n"/>
      <c r="Y504" s="202" t="n"/>
      <c r="Z504" s="198" t="inlineStr">
        <is>
          <t>02</t>
        </is>
      </c>
      <c r="AA504" s="203" t="n"/>
      <c r="AB504" s="204" t="inlineStr">
        <is>
          <t>09-XL-307HG/PYCNT/CKN/T1/C7-1</t>
        </is>
      </c>
      <c r="AC504" s="204">
        <f>AC503</f>
        <v/>
      </c>
      <c r="AD504" s="204" t="n"/>
      <c r="AE504" s="204" t="n"/>
      <c r="AF504" s="204" t="n"/>
      <c r="AG504" s="204" t="n"/>
      <c r="AH504" s="204" t="inlineStr">
        <is>
          <t>CKN</t>
        </is>
      </c>
      <c r="AI504" s="207" t="n"/>
      <c r="AJ504" s="202" t="n"/>
      <c r="AK504" s="206" t="n"/>
      <c r="AL504" s="202" t="n"/>
      <c r="AM504" s="202" t="n"/>
      <c r="AN504" s="202" t="n"/>
      <c r="AO504" s="202" t="n"/>
      <c r="AP504" s="207" t="n"/>
      <c r="AQ504" s="207" t="inlineStr">
        <is>
          <t>Ảnh\PL02 CKN.png</t>
        </is>
      </c>
      <c r="AR504" s="202" t="inlineStr">
        <is>
          <t>Nhóm 1</t>
        </is>
      </c>
      <c r="AS504" s="202" t="n"/>
      <c r="AT504" s="202" t="inlineStr">
        <is>
          <t>HM13</t>
        </is>
      </c>
      <c r="AU504" s="202" t="inlineStr">
        <is>
          <t>PL02</t>
        </is>
      </c>
      <c r="AV504" s="202" t="n">
        <v>13</v>
      </c>
      <c r="AW504" s="202" t="n">
        <v>1</v>
      </c>
      <c r="AX504" s="202" t="n"/>
    </row>
    <row r="505">
      <c r="A505" s="56" t="inlineStr">
        <is>
          <t>BBK721</t>
        </is>
      </c>
      <c r="B505" s="56" t="inlineStr">
        <is>
          <t>PL02a</t>
        </is>
      </c>
      <c r="C505" s="56" t="inlineStr">
        <is>
          <t>BBK721.0605673</t>
        </is>
      </c>
      <c r="D505" s="57" t="n"/>
      <c r="E505" s="57" t="n"/>
      <c r="F505" s="57" t="n"/>
      <c r="G505" s="57" t="n"/>
      <c r="H505" s="57" t="n"/>
      <c r="J505" s="198" t="inlineStr">
        <is>
          <t>08</t>
        </is>
      </c>
      <c r="K505" s="198" t="inlineStr">
        <is>
          <t>PL02a</t>
        </is>
      </c>
      <c r="L505" s="199" t="inlineStr">
        <is>
          <t>Kiểm tra ống vách thi công trước khi hạ</t>
        </is>
      </c>
      <c r="M505" s="199" t="n"/>
      <c r="N505" s="199" t="n"/>
      <c r="O505" s="200" t="inlineStr">
        <is>
          <t>Cầu Km19+529.080</t>
        </is>
      </c>
      <c r="P505" s="201" t="n"/>
      <c r="Q505" s="201" t="n"/>
      <c r="R505" s="201" t="n"/>
      <c r="S505" s="201">
        <f>S504</f>
        <v/>
      </c>
      <c r="T505" s="201" t="n"/>
      <c r="U505" s="201" t="n"/>
      <c r="V505" s="201" t="n"/>
      <c r="W505" s="202" t="n"/>
      <c r="X505" s="202" t="n"/>
      <c r="Y505" s="202" t="n"/>
      <c r="Z505" s="198" t="inlineStr">
        <is>
          <t>02a</t>
        </is>
      </c>
      <c r="AA505" s="203" t="n"/>
      <c r="AB505" s="204" t="inlineStr">
        <is>
          <t>09-XL-307HG/PYCNT/CKN/T1/C7-1</t>
        </is>
      </c>
      <c r="AC505" s="204">
        <f>AC504</f>
        <v/>
      </c>
      <c r="AD505" s="204" t="n"/>
      <c r="AE505" s="204" t="n"/>
      <c r="AF505" s="204" t="n"/>
      <c r="AG505" s="204" t="n"/>
      <c r="AH505" s="204" t="n"/>
      <c r="AI505" s="207" t="n"/>
      <c r="AJ505" s="202" t="n"/>
      <c r="AK505" s="206" t="n"/>
      <c r="AL505" s="202" t="n"/>
      <c r="AM505" s="202" t="n"/>
      <c r="AN505" s="202" t="n"/>
      <c r="AO505" s="202" t="n"/>
      <c r="AP505" s="207" t="n"/>
      <c r="AQ505" s="207" t="n"/>
      <c r="AR505" s="202" t="inlineStr">
        <is>
          <t>Nhóm 1</t>
        </is>
      </c>
      <c r="AS505" s="202" t="n"/>
      <c r="AT505" s="202" t="inlineStr">
        <is>
          <t>HM13</t>
        </is>
      </c>
      <c r="AU505" s="202" t="inlineStr">
        <is>
          <t>PL02a</t>
        </is>
      </c>
      <c r="AV505" s="202" t="n">
        <v>13</v>
      </c>
      <c r="AW505" s="202" t="n">
        <v>1</v>
      </c>
      <c r="AX505" s="202" t="n"/>
    </row>
    <row r="506" ht="28" customHeight="1" s="672">
      <c r="A506" s="56" t="inlineStr">
        <is>
          <t>NTCV</t>
        </is>
      </c>
      <c r="B506" s="56" t="inlineStr">
        <is>
          <t>K.9999</t>
        </is>
      </c>
      <c r="C506" s="56" t="inlineStr">
        <is>
          <t>NTCV.0268043</t>
        </is>
      </c>
      <c r="D506" s="57" t="n"/>
      <c r="E506" s="57" t="n"/>
      <c r="F506" s="57" t="n"/>
      <c r="G506" s="57" t="n"/>
      <c r="H506" s="57" t="n"/>
      <c r="J506" s="209" t="inlineStr">
        <is>
          <t>09</t>
        </is>
      </c>
      <c r="K506" s="209" t="inlineStr">
        <is>
          <t>K.9999</t>
        </is>
      </c>
      <c r="L506" s="210" t="inlineStr">
        <is>
          <t>Kiểm tra định vị tim cọc khoan nhồi, hạ ống vách thi công</t>
        </is>
      </c>
      <c r="M506" s="210" t="n"/>
      <c r="N506" s="210" t="n"/>
      <c r="O506" s="211" t="inlineStr">
        <is>
          <t>Cầu Km19+529.080</t>
        </is>
      </c>
      <c r="P506" s="212">
        <f>S503</f>
        <v/>
      </c>
      <c r="Q506" s="212">
        <f>P506</f>
        <v/>
      </c>
      <c r="R506" s="212">
        <f>Q506-1</f>
        <v/>
      </c>
      <c r="S506" s="212">
        <f>Q506</f>
        <v/>
      </c>
      <c r="T506" s="213">
        <f>U503</f>
        <v/>
      </c>
      <c r="U506" s="213">
        <f>T506+V506</f>
        <v/>
      </c>
      <c r="V506" s="213" t="n">
        <v>0.02083333333333333</v>
      </c>
      <c r="W506" s="214">
        <f>TEXT(T506,"HH""h""MM'")&amp;"÷"&amp;TEXT(U506,"HH""h""MM'")</f>
        <v/>
      </c>
      <c r="X506" s="214" t="n"/>
      <c r="Y506" s="214" t="n"/>
      <c r="Z506" s="214" t="inlineStr">
        <is>
          <t>03;</t>
        </is>
      </c>
      <c r="AA506" s="215" t="inlineStr">
        <is>
          <t>Kiểm tra định vị Cọc khoan nhồi Trụ T1 - Cọc C7</t>
        </is>
      </c>
      <c r="AB506" s="204" t="inlineStr">
        <is>
          <t>09-XL-307HG/PYCNT/CKN/T1/C7-1</t>
        </is>
      </c>
      <c r="AC506" s="204" t="inlineStr">
        <is>
          <t>09-XL-307HG/BBNT/CKN/T1/C7-3</t>
        </is>
      </c>
      <c r="AD506" s="204" t="n"/>
      <c r="AE506" s="204" t="n"/>
      <c r="AF506" s="204" t="n"/>
      <c r="AG506" s="204" t="n"/>
      <c r="AH506" s="204" t="n"/>
      <c r="AI506" s="216" t="n"/>
      <c r="AJ506" s="214" t="n"/>
      <c r="AK506" s="217" t="n"/>
      <c r="AL506" s="214" t="n"/>
      <c r="AM506" s="214" t="n"/>
      <c r="AN506" s="214" t="n"/>
      <c r="AO506" s="214" t="n"/>
      <c r="AP506" s="216" t="n"/>
      <c r="AQ506" s="216" t="n"/>
      <c r="AR506" s="214" t="inlineStr">
        <is>
          <t>Nhóm 1</t>
        </is>
      </c>
      <c r="AS506" s="214" t="n"/>
      <c r="AT506" s="214" t="inlineStr">
        <is>
          <t>HM13</t>
        </is>
      </c>
      <c r="AU506" s="214" t="inlineStr">
        <is>
          <t>NTCV</t>
        </is>
      </c>
      <c r="AV506" s="214" t="n">
        <v>181</v>
      </c>
      <c r="AW506" s="214" t="n">
        <v>2</v>
      </c>
      <c r="AX506" s="214" t="n"/>
    </row>
    <row r="507" ht="28" customHeight="1" s="672">
      <c r="A507" s="56" t="inlineStr">
        <is>
          <t>BBK478</t>
        </is>
      </c>
      <c r="B507" s="56" t="inlineStr">
        <is>
          <t>PL03</t>
        </is>
      </c>
      <c r="C507" s="56" t="inlineStr">
        <is>
          <t>BBK478.0508166</t>
        </is>
      </c>
      <c r="D507" s="57" t="n"/>
      <c r="E507" s="57" t="n"/>
      <c r="F507" s="57" t="n"/>
      <c r="G507" s="57" t="n"/>
      <c r="H507" s="57" t="n"/>
      <c r="J507" s="198" t="inlineStr">
        <is>
          <t>10</t>
        </is>
      </c>
      <c r="K507" s="198" t="inlineStr">
        <is>
          <t>PL03</t>
        </is>
      </c>
      <c r="L507" s="199" t="inlineStr">
        <is>
          <t>Kiểm tra định vị tim cọc khoan nhồi, hạ ống vách thi công</t>
        </is>
      </c>
      <c r="M507" s="199" t="n"/>
      <c r="N507" s="199" t="n"/>
      <c r="O507" s="200" t="inlineStr">
        <is>
          <t>Cầu Km19+529.080</t>
        </is>
      </c>
      <c r="P507" s="201" t="n"/>
      <c r="Q507" s="201" t="n"/>
      <c r="R507" s="201" t="n"/>
      <c r="S507" s="201">
        <f>S506</f>
        <v/>
      </c>
      <c r="T507" s="201" t="n"/>
      <c r="U507" s="201" t="n"/>
      <c r="V507" s="201" t="n"/>
      <c r="W507" s="202" t="n"/>
      <c r="X507" s="202" t="n"/>
      <c r="Y507" s="202" t="n"/>
      <c r="Z507" s="198" t="inlineStr">
        <is>
          <t>03</t>
        </is>
      </c>
      <c r="AA507" s="203" t="n"/>
      <c r="AB507" s="204" t="inlineStr">
        <is>
          <t>09-XL-307HG/PYCNT/CKN/T1/C7-1</t>
        </is>
      </c>
      <c r="AC507" s="204">
        <f>AC506</f>
        <v/>
      </c>
      <c r="AD507" s="255" t="n">
        <v>2481756.814</v>
      </c>
      <c r="AE507" s="255" t="n">
        <v>382407.401</v>
      </c>
      <c r="AF507" s="255" t="n">
        <v>169.36</v>
      </c>
      <c r="AG507" s="255" t="n"/>
      <c r="AH507" s="204" t="inlineStr">
        <is>
          <t>&gt;=173;&lt;=191</t>
        </is>
      </c>
      <c r="AI507" s="207" t="n"/>
      <c r="AJ507" s="202" t="n"/>
      <c r="AK507" s="206" t="n"/>
      <c r="AL507" s="202" t="n"/>
      <c r="AM507" s="202" t="n"/>
      <c r="AN507" s="202" t="n"/>
      <c r="AO507" s="202" t="n"/>
      <c r="AP507" s="207" t="n"/>
      <c r="AQ507" s="207" t="n"/>
      <c r="AR507" s="202" t="inlineStr">
        <is>
          <t>Nhóm 1</t>
        </is>
      </c>
      <c r="AS507" s="202" t="n"/>
      <c r="AT507" s="202" t="inlineStr">
        <is>
          <t>HM13</t>
        </is>
      </c>
      <c r="AU507" s="202" t="inlineStr">
        <is>
          <t>PL03</t>
        </is>
      </c>
      <c r="AV507" s="202" t="n">
        <v>13</v>
      </c>
      <c r="AW507" s="202" t="n">
        <v>1</v>
      </c>
      <c r="AX507" s="202" t="n"/>
    </row>
    <row r="508" ht="28" customHeight="1" s="672">
      <c r="A508" s="56" t="inlineStr">
        <is>
          <t>NTCV</t>
        </is>
      </c>
      <c r="B508" s="56" t="inlineStr">
        <is>
          <t>K.9999</t>
        </is>
      </c>
      <c r="C508" s="56" t="inlineStr">
        <is>
          <t>NTCV.0793596</t>
        </is>
      </c>
      <c r="D508" s="57" t="n"/>
      <c r="E508" s="57" t="n"/>
      <c r="F508" s="57" t="n"/>
      <c r="G508" s="57" t="n"/>
      <c r="H508" s="57" t="n"/>
      <c r="J508" s="209" t="inlineStr">
        <is>
          <t>11</t>
        </is>
      </c>
      <c r="K508" s="209" t="inlineStr">
        <is>
          <t>K.9999</t>
        </is>
      </c>
      <c r="L508" s="210" t="inlineStr">
        <is>
          <t>Nghiệm thu lồng thép cọc khoan nhồi trước khi hạ</t>
        </is>
      </c>
      <c r="M508" s="210" t="n"/>
      <c r="N508" s="210" t="n"/>
      <c r="O508" s="211" t="inlineStr">
        <is>
          <t>Cầu Km19+529.080</t>
        </is>
      </c>
      <c r="P508" s="212">
        <f>S506</f>
        <v/>
      </c>
      <c r="Q508" s="212">
        <f>P508</f>
        <v/>
      </c>
      <c r="R508" s="212">
        <f>Q508-1</f>
        <v/>
      </c>
      <c r="S508" s="212">
        <f>Q508</f>
        <v/>
      </c>
      <c r="T508" s="213">
        <f>U506</f>
        <v/>
      </c>
      <c r="U508" s="213">
        <f>T508+V508</f>
        <v/>
      </c>
      <c r="V508" s="213" t="n">
        <v>0.02083333333333333</v>
      </c>
      <c r="W508" s="214">
        <f>TEXT(T508,"HH""h""MM'")&amp;"÷"&amp;TEXT(U508,"HH""h""MM'")</f>
        <v/>
      </c>
      <c r="X508" s="214" t="n"/>
      <c r="Y508" s="214" t="n"/>
      <c r="Z508" s="214" t="inlineStr">
        <is>
          <t>04;</t>
        </is>
      </c>
      <c r="AA508" s="215" t="inlineStr">
        <is>
          <t>Nghiệm thu lồng thép Cọc khoan nhồi Trụ T1 - Cọc C7</t>
        </is>
      </c>
      <c r="AB508" s="204" t="inlineStr">
        <is>
          <t>09-XL-307HG/PYCNT/CKN/T1/C7-1</t>
        </is>
      </c>
      <c r="AC508" s="204" t="inlineStr">
        <is>
          <t>09-XL-307HG/BBNT/CKN/T1/C7-4</t>
        </is>
      </c>
      <c r="AD508" s="204" t="n"/>
      <c r="AE508" s="204" t="n"/>
      <c r="AF508" s="204" t="n"/>
      <c r="AG508" s="204" t="n"/>
      <c r="AH508" s="204" t="n"/>
      <c r="AI508" s="216" t="n"/>
      <c r="AJ508" s="214" t="n"/>
      <c r="AK508" s="217" t="n"/>
      <c r="AL508" s="214" t="n"/>
      <c r="AM508" s="214" t="n"/>
      <c r="AN508" s="214" t="n"/>
      <c r="AO508" s="214" t="n"/>
      <c r="AP508" s="216" t="n"/>
      <c r="AQ508" s="216" t="n"/>
      <c r="AR508" s="214" t="inlineStr">
        <is>
          <t>Nhóm 1</t>
        </is>
      </c>
      <c r="AS508" s="214" t="n"/>
      <c r="AT508" s="214" t="inlineStr">
        <is>
          <t>HM13</t>
        </is>
      </c>
      <c r="AU508" s="214" t="inlineStr">
        <is>
          <t>NTCV</t>
        </is>
      </c>
      <c r="AV508" s="214" t="n">
        <v>186</v>
      </c>
      <c r="AW508" s="214" t="n">
        <v>3</v>
      </c>
      <c r="AX508" s="214" t="n"/>
    </row>
    <row r="509">
      <c r="A509" s="56" t="inlineStr">
        <is>
          <t>BBK096</t>
        </is>
      </c>
      <c r="B509" s="56" t="inlineStr">
        <is>
          <t>PL04</t>
        </is>
      </c>
      <c r="C509" s="56" t="inlineStr">
        <is>
          <t>BBK096.0857411</t>
        </is>
      </c>
      <c r="D509" s="57" t="n"/>
      <c r="E509" s="57" t="n"/>
      <c r="F509" s="57" t="n"/>
      <c r="G509" s="57" t="n"/>
      <c r="H509" s="57" t="n"/>
      <c r="J509" s="198" t="inlineStr">
        <is>
          <t>12</t>
        </is>
      </c>
      <c r="K509" s="198" t="inlineStr">
        <is>
          <t>PL04</t>
        </is>
      </c>
      <c r="L509" s="199" t="inlineStr">
        <is>
          <t>Nghiệm thu lồng thép cọc khoan nhồi trước khi hạ</t>
        </is>
      </c>
      <c r="M509" s="199" t="n"/>
      <c r="N509" s="199" t="n"/>
      <c r="O509" s="200" t="inlineStr">
        <is>
          <t>Cầu Km19+529.080</t>
        </is>
      </c>
      <c r="P509" s="201" t="n"/>
      <c r="Q509" s="201" t="n"/>
      <c r="R509" s="201" t="n"/>
      <c r="S509" s="201">
        <f>S508</f>
        <v/>
      </c>
      <c r="T509" s="201" t="n"/>
      <c r="U509" s="201" t="n"/>
      <c r="V509" s="201" t="n"/>
      <c r="W509" s="202" t="n"/>
      <c r="X509" s="202" t="n"/>
      <c r="Y509" s="202" t="n"/>
      <c r="Z509" s="198" t="inlineStr">
        <is>
          <t>04</t>
        </is>
      </c>
      <c r="AA509" s="203" t="n"/>
      <c r="AB509" s="204" t="inlineStr">
        <is>
          <t>09-XL-307HG/PYCNT/CKN/T1/C7-1</t>
        </is>
      </c>
      <c r="AC509" s="204">
        <f>AC508</f>
        <v/>
      </c>
      <c r="AD509" s="204" t="n"/>
      <c r="AE509" s="204" t="n"/>
      <c r="AF509" s="204" t="n"/>
      <c r="AG509" s="204" t="n"/>
      <c r="AH509" s="204" t="inlineStr">
        <is>
          <t>T1</t>
        </is>
      </c>
      <c r="AI509" s="207" t="n"/>
      <c r="AJ509" s="202" t="n"/>
      <c r="AK509" s="206" t="n"/>
      <c r="AL509" s="202" t="n"/>
      <c r="AM509" s="202" t="n"/>
      <c r="AN509" s="202" t="n"/>
      <c r="AO509" s="202" t="n"/>
      <c r="AP509" s="207" t="n"/>
      <c r="AQ509" s="207" t="n"/>
      <c r="AR509" s="202" t="inlineStr">
        <is>
          <t>Nhóm 1</t>
        </is>
      </c>
      <c r="AS509" s="202" t="n"/>
      <c r="AT509" s="202" t="inlineStr">
        <is>
          <t>HM13</t>
        </is>
      </c>
      <c r="AU509" s="202" t="inlineStr">
        <is>
          <t>PL04</t>
        </is>
      </c>
      <c r="AV509" s="202" t="n">
        <v>13</v>
      </c>
      <c r="AW509" s="202" t="n">
        <v>1</v>
      </c>
      <c r="AX509" s="202" t="n"/>
    </row>
    <row r="510" ht="28" customHeight="1" s="672">
      <c r="A510" s="56" t="inlineStr">
        <is>
          <t>NTCV</t>
        </is>
      </c>
      <c r="B510" s="56" t="inlineStr">
        <is>
          <t>K.9999</t>
        </is>
      </c>
      <c r="C510" s="56" t="inlineStr">
        <is>
          <t>NTCV.0093152</t>
        </is>
      </c>
      <c r="D510" s="57" t="n"/>
      <c r="E510" s="57" t="n"/>
      <c r="F510" s="57" t="n"/>
      <c r="G510" s="57" t="n"/>
      <c r="H510" s="57" t="n"/>
      <c r="J510" s="209" t="inlineStr">
        <is>
          <t>13</t>
        </is>
      </c>
      <c r="K510" s="209" t="inlineStr">
        <is>
          <t>K.9999</t>
        </is>
      </c>
      <c r="L510" s="210" t="inlineStr">
        <is>
          <t xml:space="preserve">Kiểm tra công tác khoan tạo lỗ cọc khoan nhồi </t>
        </is>
      </c>
      <c r="M510" s="210" t="n"/>
      <c r="N510" s="210" t="n"/>
      <c r="O510" s="211" t="inlineStr">
        <is>
          <t>Cầu Km19+529.080</t>
        </is>
      </c>
      <c r="P510" s="212">
        <f>S508</f>
        <v/>
      </c>
      <c r="Q510" s="212">
        <f>P510</f>
        <v/>
      </c>
      <c r="R510" s="212">
        <f>Q510-1</f>
        <v/>
      </c>
      <c r="S510" s="212">
        <f>Q510</f>
        <v/>
      </c>
      <c r="T510" s="213">
        <f>U508</f>
        <v/>
      </c>
      <c r="U510" s="213">
        <f>T510+V510</f>
        <v/>
      </c>
      <c r="V510" s="213" t="n">
        <v>0.375</v>
      </c>
      <c r="W510" s="214">
        <f>TEXT(T510,"HH""h""MM'")&amp;"÷"&amp;TEXT(U510,"HH""h""MM'")</f>
        <v/>
      </c>
      <c r="X510" s="214" t="n"/>
      <c r="Y510" s="214" t="n"/>
      <c r="Z510" s="214" t="inlineStr">
        <is>
          <t>05;</t>
        </is>
      </c>
      <c r="AA510" s="215" t="inlineStr">
        <is>
          <t>Kiểm tra công tác khoan tạo lỗ Cọc khoan nhồi Trụ T1 - Cọc C7</t>
        </is>
      </c>
      <c r="AB510" s="204" t="inlineStr">
        <is>
          <t>09-XL-307HG/PYCNT/CKN/T1/C7-1</t>
        </is>
      </c>
      <c r="AC510" s="204" t="inlineStr">
        <is>
          <t>09-XL-307HG/BBNT/CKN/T1/C7-5</t>
        </is>
      </c>
      <c r="AD510" s="204" t="n"/>
      <c r="AE510" s="204" t="n"/>
      <c r="AF510" s="204" t="n"/>
      <c r="AG510" s="204" t="n"/>
      <c r="AH510" s="204" t="n"/>
      <c r="AI510" s="216" t="n"/>
      <c r="AJ510" s="214" t="n"/>
      <c r="AK510" s="217" t="n"/>
      <c r="AL510" s="214" t="n"/>
      <c r="AM510" s="214" t="n"/>
      <c r="AN510" s="214" t="n"/>
      <c r="AO510" s="214" t="n"/>
      <c r="AP510" s="216" t="n"/>
      <c r="AQ510" s="216" t="n"/>
      <c r="AR510" s="214" t="inlineStr">
        <is>
          <t>Nhóm 1</t>
        </is>
      </c>
      <c r="AS510" s="214" t="n"/>
      <c r="AT510" s="214" t="inlineStr">
        <is>
          <t>HM13</t>
        </is>
      </c>
      <c r="AU510" s="214" t="inlineStr">
        <is>
          <t>NTCV</t>
        </is>
      </c>
      <c r="AV510" s="214" t="n">
        <v>187</v>
      </c>
      <c r="AW510" s="214" t="n">
        <v>4</v>
      </c>
      <c r="AX510" s="214" t="n"/>
    </row>
    <row r="511">
      <c r="A511" s="56" t="inlineStr">
        <is>
          <t>BBK638</t>
        </is>
      </c>
      <c r="B511" s="56" t="inlineStr">
        <is>
          <t>PL05</t>
        </is>
      </c>
      <c r="C511" s="56" t="inlineStr">
        <is>
          <t>BBK638.0541873</t>
        </is>
      </c>
      <c r="D511" s="57" t="n"/>
      <c r="E511" s="57" t="n"/>
      <c r="F511" s="57" t="n"/>
      <c r="G511" s="57" t="n"/>
      <c r="H511" s="57" t="n"/>
      <c r="J511" s="198" t="inlineStr">
        <is>
          <t>14</t>
        </is>
      </c>
      <c r="K511" s="198" t="inlineStr">
        <is>
          <t>PL05</t>
        </is>
      </c>
      <c r="L511" s="199" t="inlineStr">
        <is>
          <t>Kiểm tra công tác khoan tạo lỗ cọc khoan nhồi</t>
        </is>
      </c>
      <c r="M511" s="199" t="n"/>
      <c r="N511" s="199" t="n"/>
      <c r="O511" s="200" t="inlineStr">
        <is>
          <t>Cầu Km19+529.080</t>
        </is>
      </c>
      <c r="P511" s="201" t="n"/>
      <c r="Q511" s="201" t="n"/>
      <c r="R511" s="201" t="n"/>
      <c r="S511" s="201">
        <f>S510</f>
        <v/>
      </c>
      <c r="T511" s="208">
        <f>T510</f>
        <v/>
      </c>
      <c r="U511" s="208" t="n">
        <v>0.75</v>
      </c>
      <c r="V511" s="208">
        <f>U511-T511</f>
        <v/>
      </c>
      <c r="W511" s="202" t="n"/>
      <c r="X511" s="202" t="n"/>
      <c r="Y511" s="202" t="n"/>
      <c r="Z511" s="198" t="inlineStr">
        <is>
          <t>05</t>
        </is>
      </c>
      <c r="AA511" s="203" t="n"/>
      <c r="AB511" s="204" t="inlineStr">
        <is>
          <t>09-XL-307HG/PYCNT/CKN/T1/C7</t>
        </is>
      </c>
      <c r="AC511" s="204">
        <f>AC510</f>
        <v/>
      </c>
      <c r="AD511" s="204" t="n"/>
      <c r="AE511" s="204" t="n"/>
      <c r="AF511" s="255" t="n">
        <v>169.36</v>
      </c>
      <c r="AG511" s="255" t="n"/>
      <c r="AH511" s="204" t="inlineStr">
        <is>
          <t>T1-C7</t>
        </is>
      </c>
      <c r="AI511" s="207" t="n"/>
      <c r="AJ511" s="202" t="n"/>
      <c r="AK511" s="206" t="n"/>
      <c r="AL511" s="202" t="n"/>
      <c r="AM511" s="202" t="n"/>
      <c r="AN511" s="202" t="n"/>
      <c r="AO511" s="202" t="n"/>
      <c r="AP511" s="207" t="n"/>
      <c r="AQ511" s="207" t="n"/>
      <c r="AR511" s="202" t="inlineStr">
        <is>
          <t>Nhóm 1</t>
        </is>
      </c>
      <c r="AS511" s="202" t="n"/>
      <c r="AT511" s="202" t="inlineStr">
        <is>
          <t>HM13</t>
        </is>
      </c>
      <c r="AU511" s="202" t="inlineStr">
        <is>
          <t>PL05</t>
        </is>
      </c>
      <c r="AV511" s="202" t="n">
        <v>13</v>
      </c>
      <c r="AW511" s="202" t="n">
        <v>1</v>
      </c>
      <c r="AX511" s="202" t="n"/>
    </row>
    <row r="512">
      <c r="A512" s="56" t="inlineStr">
        <is>
          <t>BBK680</t>
        </is>
      </c>
      <c r="B512" s="56" t="inlineStr">
        <is>
          <t>PYC</t>
        </is>
      </c>
      <c r="C512" s="56" t="inlineStr">
        <is>
          <t>BBK680.0415376</t>
        </is>
      </c>
      <c r="D512" s="57" t="n"/>
      <c r="E512" s="57" t="n"/>
      <c r="F512" s="57" t="n"/>
      <c r="G512" s="57" t="n"/>
      <c r="H512" s="57" t="n"/>
      <c r="J512" s="198" t="inlineStr">
        <is>
          <t>15</t>
        </is>
      </c>
      <c r="K512" s="198" t="inlineStr">
        <is>
          <t>PYC</t>
        </is>
      </c>
      <c r="L512" s="199" t="inlineStr">
        <is>
          <t>Phiếu yêu cầu nghiệm thu</t>
        </is>
      </c>
      <c r="M512" s="199" t="n"/>
      <c r="N512" s="199" t="n"/>
      <c r="O512" s="200" t="inlineStr">
        <is>
          <t>Cầu Km19+529.080</t>
        </is>
      </c>
      <c r="P512" s="201" t="n"/>
      <c r="Q512" s="201" t="n"/>
      <c r="R512" s="201">
        <f>R513</f>
        <v/>
      </c>
      <c r="S512" s="201" t="n"/>
      <c r="T512" s="201" t="n"/>
      <c r="U512" s="201" t="n"/>
      <c r="V512" s="201" t="n"/>
      <c r="W512" s="202" t="n"/>
      <c r="X512" s="202" t="n"/>
      <c r="Y512" s="202" t="n"/>
      <c r="Z512" s="202" t="n"/>
      <c r="AA512" s="203" t="n"/>
      <c r="AB512" s="204" t="inlineStr">
        <is>
          <t>09-XL-307HG/PYCNT/CKN/T1/C7</t>
        </is>
      </c>
      <c r="AC512" s="205" t="inlineStr"/>
      <c r="AD512" s="205" t="n"/>
      <c r="AE512" s="205" t="n"/>
      <c r="AF512" s="205" t="n"/>
      <c r="AG512" s="205" t="inlineStr">
        <is>
          <t>NTCV;BBKTĐK</t>
        </is>
      </c>
      <c r="AH512" s="204" t="inlineStr">
        <is>
          <t>&gt;=6;&lt;=10</t>
        </is>
      </c>
      <c r="AI512" s="202" t="n"/>
      <c r="AJ512" s="202" t="n"/>
      <c r="AK512" s="206" t="n"/>
      <c r="AL512" s="202" t="n"/>
      <c r="AM512" s="202" t="n"/>
      <c r="AN512" s="202" t="n"/>
      <c r="AO512" s="202" t="n"/>
      <c r="AP512" s="207" t="n"/>
      <c r="AQ512" s="207" t="n"/>
      <c r="AR512" s="202" t="inlineStr">
        <is>
          <t>Nhóm 1</t>
        </is>
      </c>
      <c r="AS512" s="202" t="n"/>
      <c r="AT512" s="202" t="inlineStr">
        <is>
          <t>HM13</t>
        </is>
      </c>
      <c r="AU512" s="202" t="inlineStr">
        <is>
          <t>PYC</t>
        </is>
      </c>
      <c r="AV512" s="202" t="n">
        <v>178</v>
      </c>
      <c r="AW512" s="202" t="n">
        <v>2</v>
      </c>
      <c r="AX512" s="202" t="n"/>
    </row>
    <row r="513" ht="42" customHeight="1" s="672">
      <c r="A513" s="56" t="inlineStr">
        <is>
          <t>NTCV</t>
        </is>
      </c>
      <c r="B513" s="56" t="inlineStr">
        <is>
          <t>K.9999</t>
        </is>
      </c>
      <c r="C513" s="56" t="inlineStr">
        <is>
          <t>NTCV.0073371</t>
        </is>
      </c>
      <c r="D513" s="57" t="n"/>
      <c r="E513" s="57" t="n"/>
      <c r="F513" s="57" t="n"/>
      <c r="G513" s="57" t="n"/>
      <c r="H513" s="57" t="n"/>
      <c r="J513" s="209" t="inlineStr">
        <is>
          <t>16</t>
        </is>
      </c>
      <c r="K513" s="209" t="inlineStr">
        <is>
          <t>K.9999</t>
        </is>
      </c>
      <c r="L513" s="210" t="inlineStr">
        <is>
          <t>Kiểm tra công tác vệ sinh lỗ khoan trước khi hạ lồng cốt thép cọc khoan nhồi</t>
        </is>
      </c>
      <c r="M513" s="210" t="n"/>
      <c r="N513" s="210" t="n"/>
      <c r="O513" s="211" t="inlineStr">
        <is>
          <t>Cầu Km19+529.080</t>
        </is>
      </c>
      <c r="P513" s="212">
        <f>S510+1</f>
        <v/>
      </c>
      <c r="Q513" s="212">
        <f>P513</f>
        <v/>
      </c>
      <c r="R513" s="212">
        <f>Q513-1</f>
        <v/>
      </c>
      <c r="S513" s="212">
        <f>Q513</f>
        <v/>
      </c>
      <c r="T513" s="213" t="n">
        <v>0.3333333333333333</v>
      </c>
      <c r="U513" s="213">
        <f>T513+V513</f>
        <v/>
      </c>
      <c r="V513" s="213" t="n">
        <v>0.01388888888888889</v>
      </c>
      <c r="W513" s="214">
        <f>TEXT(T513,"HH""h""MM'")&amp;"÷"&amp;TEXT(U513,"HH""h""MM'")</f>
        <v/>
      </c>
      <c r="X513" s="214" t="n"/>
      <c r="Y513" s="214" t="n"/>
      <c r="Z513" s="214" t="inlineStr">
        <is>
          <t>06;</t>
        </is>
      </c>
      <c r="AA513" s="215" t="inlineStr">
        <is>
          <t>Kiểm tra công tác vệ sinh lỗ khoan trước khi hạ lồng cốt thép Cọc khoan nhồi Trụ T1 - Cọc C7</t>
        </is>
      </c>
      <c r="AB513" s="204" t="inlineStr">
        <is>
          <t>09-XL-307HG/PYCNT/CKN/T1/C7-2</t>
        </is>
      </c>
      <c r="AC513" s="204" t="inlineStr">
        <is>
          <t>09-XL-307HG/BBNT/CKN/T1/C7-6</t>
        </is>
      </c>
      <c r="AD513" s="204" t="n"/>
      <c r="AE513" s="204" t="n"/>
      <c r="AF513" s="204" t="n"/>
      <c r="AG513" s="204" t="n"/>
      <c r="AH513" s="204" t="n"/>
      <c r="AI513" s="216" t="n"/>
      <c r="AJ513" s="214" t="n"/>
      <c r="AK513" s="217" t="n"/>
      <c r="AL513" s="214" t="n"/>
      <c r="AM513" s="214" t="n"/>
      <c r="AN513" s="214" t="n"/>
      <c r="AO513" s="214" t="n"/>
      <c r="AP513" s="216" t="n"/>
      <c r="AQ513" s="216" t="n"/>
      <c r="AR513" s="214" t="inlineStr">
        <is>
          <t>Nhóm 1</t>
        </is>
      </c>
      <c r="AS513" s="214" t="n"/>
      <c r="AT513" s="214" t="inlineStr">
        <is>
          <t>HM13</t>
        </is>
      </c>
      <c r="AU513" s="214" t="inlineStr">
        <is>
          <t>NTCV</t>
        </is>
      </c>
      <c r="AV513" s="214" t="n">
        <v>193</v>
      </c>
      <c r="AW513" s="214" t="n">
        <v>5</v>
      </c>
      <c r="AX513" s="214" t="n"/>
    </row>
    <row r="514" ht="28" customHeight="1" s="672">
      <c r="A514" s="56" t="inlineStr">
        <is>
          <t>BBK570</t>
        </is>
      </c>
      <c r="B514" s="56" t="inlineStr">
        <is>
          <t>PL06</t>
        </is>
      </c>
      <c r="C514" s="56" t="inlineStr">
        <is>
          <t>BBK570.0451376</t>
        </is>
      </c>
      <c r="D514" s="57" t="n"/>
      <c r="E514" s="57" t="n"/>
      <c r="F514" s="57" t="n"/>
      <c r="G514" s="57" t="n"/>
      <c r="H514" s="57" t="n"/>
      <c r="J514" s="198" t="inlineStr">
        <is>
          <t>17</t>
        </is>
      </c>
      <c r="K514" s="198" t="inlineStr">
        <is>
          <t>PL06</t>
        </is>
      </c>
      <c r="L514" s="199" t="inlineStr">
        <is>
          <t>Kiểm tra công tác vệ sinh lỗ khoan trước khi hạ lồng cốt thép cọc khoan nhồi</t>
        </is>
      </c>
      <c r="M514" s="199" t="n"/>
      <c r="N514" s="199" t="n"/>
      <c r="O514" s="200" t="inlineStr">
        <is>
          <t>Cầu Km19+529.080</t>
        </is>
      </c>
      <c r="P514" s="201" t="n"/>
      <c r="Q514" s="201" t="n"/>
      <c r="R514" s="201" t="n"/>
      <c r="S514" s="201">
        <f>S513</f>
        <v/>
      </c>
      <c r="T514" s="201" t="n"/>
      <c r="U514" s="201" t="n"/>
      <c r="V514" s="201" t="n"/>
      <c r="W514" s="202" t="n"/>
      <c r="X514" s="265" t="n">
        <v>127.36</v>
      </c>
      <c r="Y514" s="265">
        <f>X514-0.02</f>
        <v/>
      </c>
      <c r="Z514" s="198" t="inlineStr">
        <is>
          <t>06</t>
        </is>
      </c>
      <c r="AA514" s="203" t="n"/>
      <c r="AB514" s="204" t="inlineStr">
        <is>
          <t>09-XL-307HG/PYCNT/CKN/T1/C7-2</t>
        </is>
      </c>
      <c r="AC514" s="204">
        <f>AC513</f>
        <v/>
      </c>
      <c r="AD514" s="204" t="n"/>
      <c r="AE514" s="204" t="n"/>
      <c r="AF514" s="204" t="n"/>
      <c r="AG514" s="204" t="n"/>
      <c r="AH514" s="204" t="n"/>
      <c r="AI514" s="202" t="n"/>
      <c r="AJ514" s="202" t="n"/>
      <c r="AK514" s="206" t="n"/>
      <c r="AL514" s="202" t="n"/>
      <c r="AM514" s="202" t="n"/>
      <c r="AN514" s="202" t="n"/>
      <c r="AO514" s="202" t="n"/>
      <c r="AP514" s="207" t="n"/>
      <c r="AQ514" s="207" t="n"/>
      <c r="AR514" s="202" t="inlineStr">
        <is>
          <t>Nhóm 1</t>
        </is>
      </c>
      <c r="AS514" s="202" t="n"/>
      <c r="AT514" s="202" t="inlineStr">
        <is>
          <t>HM13</t>
        </is>
      </c>
      <c r="AU514" s="202" t="inlineStr">
        <is>
          <t>PL06</t>
        </is>
      </c>
      <c r="AV514" s="202" t="n">
        <v>13</v>
      </c>
      <c r="AW514" s="202" t="n">
        <v>1</v>
      </c>
      <c r="AX514" s="202" t="n"/>
    </row>
    <row r="515" ht="28" customHeight="1" s="672">
      <c r="A515" s="56" t="inlineStr">
        <is>
          <t>NTCV</t>
        </is>
      </c>
      <c r="B515" s="56" t="inlineStr">
        <is>
          <t>K.9999</t>
        </is>
      </c>
      <c r="C515" s="56" t="inlineStr">
        <is>
          <t>NTCV.0698890</t>
        </is>
      </c>
      <c r="D515" s="57" t="n"/>
      <c r="E515" s="57" t="n"/>
      <c r="F515" s="57" t="n"/>
      <c r="G515" s="57" t="n"/>
      <c r="H515" s="57" t="n"/>
      <c r="J515" s="209" t="inlineStr">
        <is>
          <t>18</t>
        </is>
      </c>
      <c r="K515" s="209" t="inlineStr">
        <is>
          <t>K.9999</t>
        </is>
      </c>
      <c r="L515" s="210" t="inlineStr">
        <is>
          <t xml:space="preserve">Nghiệm thu công tác hạ lồng thép </t>
        </is>
      </c>
      <c r="M515" s="210" t="n"/>
      <c r="N515" s="210" t="n"/>
      <c r="O515" s="211" t="inlineStr">
        <is>
          <t>Cầu Km19+529.080</t>
        </is>
      </c>
      <c r="P515" s="212">
        <f>S513</f>
        <v/>
      </c>
      <c r="Q515" s="212">
        <f>P515</f>
        <v/>
      </c>
      <c r="R515" s="212">
        <f>Q515-1</f>
        <v/>
      </c>
      <c r="S515" s="212">
        <f>Q515</f>
        <v/>
      </c>
      <c r="T515" s="213">
        <f>U513</f>
        <v/>
      </c>
      <c r="U515" s="213">
        <f>T515+V515</f>
        <v/>
      </c>
      <c r="V515" s="213" t="n">
        <v>0.03125</v>
      </c>
      <c r="W515" s="214">
        <f>TEXT(T515,"HH""h""MM'")&amp;"÷"&amp;TEXT(U515,"HH""h""MM'")</f>
        <v/>
      </c>
      <c r="X515" s="214" t="n"/>
      <c r="Y515" s="214" t="n"/>
      <c r="Z515" s="214" t="inlineStr">
        <is>
          <t>07;</t>
        </is>
      </c>
      <c r="AA515" s="215" t="inlineStr">
        <is>
          <t>Công tác hạ lồng thép Cọc khoan nhồi Trụ T1 - Cọc C7</t>
        </is>
      </c>
      <c r="AB515" s="204" t="inlineStr">
        <is>
          <t>09-XL-307HG/PYCNT/CKN/T1/C7-2</t>
        </is>
      </c>
      <c r="AC515" s="204" t="inlineStr">
        <is>
          <t>09-XL-307HG/BBNT/CKN/T1/C7-7</t>
        </is>
      </c>
      <c r="AD515" s="204" t="n"/>
      <c r="AE515" s="204" t="n"/>
      <c r="AF515" s="204" t="n"/>
      <c r="AG515" s="204" t="n"/>
      <c r="AH515" s="204" t="n"/>
      <c r="AI515" s="214" t="n"/>
      <c r="AJ515" s="214" t="n"/>
      <c r="AK515" s="217" t="n"/>
      <c r="AL515" s="214" t="n"/>
      <c r="AM515" s="214" t="n"/>
      <c r="AN515" s="214" t="n"/>
      <c r="AO515" s="214" t="n"/>
      <c r="AP515" s="216" t="n"/>
      <c r="AQ515" s="216" t="n"/>
      <c r="AR515" s="214" t="inlineStr">
        <is>
          <t>Nhóm 1</t>
        </is>
      </c>
      <c r="AS515" s="214" t="n"/>
      <c r="AT515" s="214" t="inlineStr">
        <is>
          <t>HM13</t>
        </is>
      </c>
      <c r="AU515" s="214" t="inlineStr">
        <is>
          <t>NTCV</t>
        </is>
      </c>
      <c r="AV515" s="214" t="n">
        <v>195</v>
      </c>
      <c r="AW515" s="214" t="n">
        <v>6</v>
      </c>
      <c r="AX515" s="214" t="n"/>
    </row>
    <row r="516">
      <c r="A516" s="56" t="inlineStr">
        <is>
          <t>BBK396</t>
        </is>
      </c>
      <c r="B516" s="56" t="inlineStr">
        <is>
          <t>PL07</t>
        </is>
      </c>
      <c r="C516" s="56" t="inlineStr">
        <is>
          <t>BBK396.0499257</t>
        </is>
      </c>
      <c r="D516" s="57" t="n"/>
      <c r="E516" s="57" t="n"/>
      <c r="F516" s="57" t="n"/>
      <c r="G516" s="57" t="n"/>
      <c r="H516" s="57" t="n"/>
      <c r="J516" s="198" t="inlineStr">
        <is>
          <t>19</t>
        </is>
      </c>
      <c r="K516" s="198" t="inlineStr">
        <is>
          <t>PL07</t>
        </is>
      </c>
      <c r="L516" s="199" t="inlineStr">
        <is>
          <t>Nghiệm thu công tác hạ lồng thép</t>
        </is>
      </c>
      <c r="M516" s="199" t="n"/>
      <c r="N516" s="199" t="n"/>
      <c r="O516" s="200" t="inlineStr">
        <is>
          <t>Cầu Km19+529.080</t>
        </is>
      </c>
      <c r="P516" s="201" t="n"/>
      <c r="Q516" s="201" t="n"/>
      <c r="R516" s="201" t="n"/>
      <c r="S516" s="201">
        <f>S515</f>
        <v/>
      </c>
      <c r="T516" s="201" t="n"/>
      <c r="U516" s="201" t="n"/>
      <c r="V516" s="201" t="n"/>
      <c r="W516" s="202" t="n"/>
      <c r="X516" s="202" t="n"/>
      <c r="Y516" s="202" t="n"/>
      <c r="Z516" s="198" t="inlineStr">
        <is>
          <t>07</t>
        </is>
      </c>
      <c r="AA516" s="203" t="n"/>
      <c r="AB516" s="204" t="inlineStr">
        <is>
          <t>09-XL-307HG/PYCNT/CKN/T1/C7-2</t>
        </is>
      </c>
      <c r="AC516" s="204">
        <f>AC515</f>
        <v/>
      </c>
      <c r="AD516" s="204" t="n"/>
      <c r="AE516" s="204" t="n"/>
      <c r="AF516" s="204" t="n"/>
      <c r="AG516" s="204" t="n"/>
      <c r="AH516" s="204" t="n"/>
      <c r="AI516" s="202" t="n"/>
      <c r="AJ516" s="202" t="n"/>
      <c r="AK516" s="206" t="n"/>
      <c r="AL516" s="202" t="n"/>
      <c r="AM516" s="202" t="n"/>
      <c r="AN516" s="202" t="n"/>
      <c r="AO516" s="202" t="n"/>
      <c r="AP516" s="207" t="n"/>
      <c r="AQ516" s="207" t="n"/>
      <c r="AR516" s="202" t="inlineStr">
        <is>
          <t>Nhóm 1</t>
        </is>
      </c>
      <c r="AS516" s="202" t="n"/>
      <c r="AT516" s="202" t="inlineStr">
        <is>
          <t>HM13</t>
        </is>
      </c>
      <c r="AU516" s="202" t="inlineStr">
        <is>
          <t>PL07</t>
        </is>
      </c>
      <c r="AV516" s="202" t="n">
        <v>13</v>
      </c>
      <c r="AW516" s="202" t="n">
        <v>1</v>
      </c>
      <c r="AX516" s="202" t="n"/>
    </row>
    <row r="517" ht="42" customHeight="1" s="672">
      <c r="A517" s="56" t="inlineStr">
        <is>
          <t>NTCV</t>
        </is>
      </c>
      <c r="B517" s="56" t="inlineStr">
        <is>
          <t>K.9999</t>
        </is>
      </c>
      <c r="C517" s="56" t="inlineStr">
        <is>
          <t>NTCV.0406934</t>
        </is>
      </c>
      <c r="D517" s="57" t="n"/>
      <c r="E517" s="57" t="n"/>
      <c r="F517" s="57" t="n"/>
      <c r="G517" s="57" t="n"/>
      <c r="H517" s="57" t="n"/>
      <c r="J517" s="209" t="inlineStr">
        <is>
          <t>20</t>
        </is>
      </c>
      <c r="K517" s="209" t="inlineStr">
        <is>
          <t>K.9999</t>
        </is>
      </c>
      <c r="L517" s="210" t="inlineStr">
        <is>
          <t xml:space="preserve">Kiểm tra công tác vệ sinh lỗ khoan cọc khoan nhồi trước khi đổ bê tông </t>
        </is>
      </c>
      <c r="M517" s="210" t="n"/>
      <c r="N517" s="210" t="n"/>
      <c r="O517" s="211" t="inlineStr">
        <is>
          <t>Cầu Km19+529.080</t>
        </is>
      </c>
      <c r="P517" s="212">
        <f>S515</f>
        <v/>
      </c>
      <c r="Q517" s="212">
        <f>P517</f>
        <v/>
      </c>
      <c r="R517" s="212">
        <f>Q517-1</f>
        <v/>
      </c>
      <c r="S517" s="212">
        <f>Q517</f>
        <v/>
      </c>
      <c r="T517" s="213">
        <f>U515</f>
        <v/>
      </c>
      <c r="U517" s="213">
        <f>T517+V517</f>
        <v/>
      </c>
      <c r="V517" s="213" t="n">
        <v>0.02083333333333333</v>
      </c>
      <c r="W517" s="214">
        <f>TEXT(T517,"HH""h""MM'")&amp;"÷"&amp;TEXT(U517,"HH""h""MM'")</f>
        <v/>
      </c>
      <c r="X517" s="214" t="n"/>
      <c r="Y517" s="214" t="n"/>
      <c r="Z517" s="214" t="inlineStr">
        <is>
          <t>08;</t>
        </is>
      </c>
      <c r="AA517" s="215" t="inlineStr">
        <is>
          <t>Kiểm tra công tác vệ sinh lỗ khoan cọc khoan nhồi trước khi đổ bê tông Cọc khoan nhồi Trụ T1 - Cọc C7</t>
        </is>
      </c>
      <c r="AB517" s="204" t="inlineStr">
        <is>
          <t>09-XL-307HG/PYCNT/CKN/T1/C7-2</t>
        </is>
      </c>
      <c r="AC517" s="204" t="inlineStr">
        <is>
          <t>09-XL-307HG/BBNT/CKN/T1/C7-8</t>
        </is>
      </c>
      <c r="AD517" s="204" t="n"/>
      <c r="AE517" s="204" t="n"/>
      <c r="AF517" s="204" t="n"/>
      <c r="AG517" s="204" t="n"/>
      <c r="AH517" s="204" t="n"/>
      <c r="AI517" s="214" t="n"/>
      <c r="AJ517" s="214" t="n"/>
      <c r="AK517" s="217" t="n"/>
      <c r="AL517" s="214" t="n"/>
      <c r="AM517" s="214" t="n"/>
      <c r="AN517" s="214" t="n"/>
      <c r="AO517" s="214" t="n"/>
      <c r="AP517" s="216" t="n"/>
      <c r="AQ517" s="216" t="n"/>
      <c r="AR517" s="214" t="inlineStr">
        <is>
          <t>Nhóm 1</t>
        </is>
      </c>
      <c r="AS517" s="214" t="n"/>
      <c r="AT517" s="214" t="inlineStr">
        <is>
          <t>HM13</t>
        </is>
      </c>
      <c r="AU517" s="214" t="inlineStr">
        <is>
          <t>NTCV</t>
        </is>
      </c>
      <c r="AV517" s="214" t="n">
        <v>200</v>
      </c>
      <c r="AW517" s="214" t="n">
        <v>7</v>
      </c>
      <c r="AX517" s="214" t="n"/>
    </row>
    <row r="518" ht="28" customHeight="1" s="672">
      <c r="A518" s="56" t="inlineStr">
        <is>
          <t>BBK521</t>
        </is>
      </c>
      <c r="B518" s="56" t="inlineStr">
        <is>
          <t>PL08</t>
        </is>
      </c>
      <c r="C518" s="56" t="inlineStr">
        <is>
          <t>BBK521.0945072</t>
        </is>
      </c>
      <c r="D518" s="57" t="n"/>
      <c r="E518" s="57" t="n"/>
      <c r="F518" s="57" t="n"/>
      <c r="G518" s="57" t="n"/>
      <c r="H518" s="57" t="n"/>
      <c r="J518" s="198" t="inlineStr">
        <is>
          <t>21</t>
        </is>
      </c>
      <c r="K518" s="198" t="inlineStr">
        <is>
          <t>PL08</t>
        </is>
      </c>
      <c r="L518" s="199" t="inlineStr">
        <is>
          <t>Kiểm tra công tác vệ sinh lỗ khoan cọc khoan nhồi trước khi đổ bê tông</t>
        </is>
      </c>
      <c r="M518" s="199" t="n"/>
      <c r="N518" s="199" t="n"/>
      <c r="O518" s="200" t="inlineStr">
        <is>
          <t>Cầu Km19+529.080</t>
        </is>
      </c>
      <c r="P518" s="201" t="n"/>
      <c r="Q518" s="201" t="n"/>
      <c r="R518" s="201" t="n"/>
      <c r="S518" s="201">
        <f>S517</f>
        <v/>
      </c>
      <c r="T518" s="201" t="n"/>
      <c r="U518" s="201" t="n"/>
      <c r="V518" s="201" t="n"/>
      <c r="W518" s="202" t="n"/>
      <c r="X518" s="202" t="n"/>
      <c r="Y518" s="202" t="n"/>
      <c r="Z518" s="198" t="inlineStr">
        <is>
          <t>08</t>
        </is>
      </c>
      <c r="AA518" s="203" t="n"/>
      <c r="AB518" s="204" t="inlineStr">
        <is>
          <t>09-XL-307HG/PYCNT/CKN/T1/C7-2</t>
        </is>
      </c>
      <c r="AC518" s="204">
        <f>AC517</f>
        <v/>
      </c>
      <c r="AD518" s="204" t="n"/>
      <c r="AE518" s="204" t="n"/>
      <c r="AF518" s="204" t="n"/>
      <c r="AG518" s="204" t="n"/>
      <c r="AH518" s="204" t="n"/>
      <c r="AI518" s="202" t="n"/>
      <c r="AJ518" s="202" t="n"/>
      <c r="AK518" s="206" t="n"/>
      <c r="AL518" s="202" t="n"/>
      <c r="AM518" s="202" t="n"/>
      <c r="AN518" s="202" t="n"/>
      <c r="AO518" s="202" t="n"/>
      <c r="AP518" s="207" t="n"/>
      <c r="AQ518" s="207" t="n"/>
      <c r="AR518" s="202" t="inlineStr">
        <is>
          <t>Nhóm 1</t>
        </is>
      </c>
      <c r="AS518" s="202" t="n"/>
      <c r="AT518" s="202" t="inlineStr">
        <is>
          <t>HM13</t>
        </is>
      </c>
      <c r="AU518" s="202" t="inlineStr">
        <is>
          <t>PL08</t>
        </is>
      </c>
      <c r="AV518" s="202" t="n">
        <v>13</v>
      </c>
      <c r="AW518" s="202" t="n">
        <v>1</v>
      </c>
      <c r="AX518" s="202" t="n"/>
    </row>
    <row r="519" ht="28" customHeight="1" s="672">
      <c r="A519" s="56" t="inlineStr">
        <is>
          <t>NTCV</t>
        </is>
      </c>
      <c r="B519" s="56" t="inlineStr">
        <is>
          <t>K.9999</t>
        </is>
      </c>
      <c r="C519" s="56" t="inlineStr">
        <is>
          <t>NTCV.0984649</t>
        </is>
      </c>
      <c r="D519" s="57" t="n"/>
      <c r="E519" s="57" t="n"/>
      <c r="F519" s="57" t="n"/>
      <c r="G519" s="57" t="n"/>
      <c r="H519" s="57" t="n"/>
      <c r="J519" s="209" t="inlineStr">
        <is>
          <t>22</t>
        </is>
      </c>
      <c r="K519" s="209" t="inlineStr">
        <is>
          <t>K.9999</t>
        </is>
      </c>
      <c r="L519" s="210" t="inlineStr">
        <is>
          <t xml:space="preserve">Kiểm tra công tác chuẩn bị đổ bê tông cọc khoan nhồi </t>
        </is>
      </c>
      <c r="M519" s="210" t="n"/>
      <c r="N519" s="210" t="n"/>
      <c r="O519" s="211" t="inlineStr">
        <is>
          <t>Cầu Km19+529.080</t>
        </is>
      </c>
      <c r="P519" s="212">
        <f>S517</f>
        <v/>
      </c>
      <c r="Q519" s="212">
        <f>P519</f>
        <v/>
      </c>
      <c r="R519" s="212">
        <f>Q519-1</f>
        <v/>
      </c>
      <c r="S519" s="212">
        <f>Q519</f>
        <v/>
      </c>
      <c r="T519" s="213">
        <f>U517</f>
        <v/>
      </c>
      <c r="U519" s="213">
        <f>T519+V519</f>
        <v/>
      </c>
      <c r="V519" s="213" t="n">
        <v>0.02083333333333333</v>
      </c>
      <c r="W519" s="214">
        <f>TEXT(T519,"HH""h""MM'")&amp;"÷"&amp;TEXT(U519,"HH""h""MM'")</f>
        <v/>
      </c>
      <c r="X519" s="214" t="n"/>
      <c r="Y519" s="214" t="n"/>
      <c r="Z519" s="214" t="inlineStr">
        <is>
          <t>09;</t>
        </is>
      </c>
      <c r="AA519" s="215" t="inlineStr">
        <is>
          <t>Kiểm tra công tác chuẩn bị đổ bê tông Cọc khoan nhồi Trụ T1 - Cọc C7</t>
        </is>
      </c>
      <c r="AB519" s="204" t="inlineStr">
        <is>
          <t>09-XL-307HG/PYCNT/CKN/T1/C7-2</t>
        </is>
      </c>
      <c r="AC519" s="204" t="inlineStr">
        <is>
          <t>09-XL-307HG/BBNT/CKN/T1/C7-9</t>
        </is>
      </c>
      <c r="AD519" s="204" t="n"/>
      <c r="AE519" s="204" t="n"/>
      <c r="AF519" s="204" t="n"/>
      <c r="AG519" s="204" t="n"/>
      <c r="AH519" s="204" t="n"/>
      <c r="AI519" s="214" t="n"/>
      <c r="AJ519" s="214" t="n"/>
      <c r="AK519" s="217" t="n"/>
      <c r="AL519" s="214" t="n"/>
      <c r="AM519" s="214" t="n"/>
      <c r="AN519" s="214" t="n"/>
      <c r="AO519" s="214" t="n"/>
      <c r="AP519" s="216" t="n"/>
      <c r="AQ519" s="216" t="n"/>
      <c r="AR519" s="214" t="inlineStr">
        <is>
          <t>Nhóm 1</t>
        </is>
      </c>
      <c r="AS519" s="214" t="n"/>
      <c r="AT519" s="214" t="inlineStr">
        <is>
          <t>HM13</t>
        </is>
      </c>
      <c r="AU519" s="214" t="inlineStr">
        <is>
          <t>NTCV</t>
        </is>
      </c>
      <c r="AV519" s="214" t="n">
        <v>201</v>
      </c>
      <c r="AW519" s="214" t="n">
        <v>8</v>
      </c>
      <c r="AX519" s="214" t="n"/>
    </row>
    <row r="520">
      <c r="A520" s="56" t="inlineStr">
        <is>
          <t>BBK209</t>
        </is>
      </c>
      <c r="B520" s="56" t="inlineStr">
        <is>
          <t>PL09</t>
        </is>
      </c>
      <c r="C520" s="56" t="inlineStr">
        <is>
          <t>BBK209.0591442</t>
        </is>
      </c>
      <c r="D520" s="57" t="n"/>
      <c r="E520" s="57" t="n"/>
      <c r="F520" s="57" t="n"/>
      <c r="G520" s="57" t="n"/>
      <c r="H520" s="57" t="n"/>
      <c r="J520" s="198" t="inlineStr">
        <is>
          <t>23</t>
        </is>
      </c>
      <c r="K520" s="198" t="inlineStr">
        <is>
          <t>PL09</t>
        </is>
      </c>
      <c r="L520" s="199" t="inlineStr">
        <is>
          <t>Kiểm tra công tác chuẩn bị đổ bê tông cọc khoan nhồi</t>
        </is>
      </c>
      <c r="M520" s="199" t="n"/>
      <c r="N520" s="199" t="n"/>
      <c r="O520" s="200" t="inlineStr">
        <is>
          <t>Cầu Km19+529.080</t>
        </is>
      </c>
      <c r="P520" s="201" t="n"/>
      <c r="Q520" s="201" t="n"/>
      <c r="R520" s="201" t="n"/>
      <c r="S520" s="201">
        <f>S519</f>
        <v/>
      </c>
      <c r="T520" s="201" t="n"/>
      <c r="U520" s="201" t="n"/>
      <c r="V520" s="201" t="n"/>
      <c r="W520" s="202" t="n"/>
      <c r="X520" s="202" t="n"/>
      <c r="Y520" s="202" t="n"/>
      <c r="Z520" s="198" t="inlineStr">
        <is>
          <t>09</t>
        </is>
      </c>
      <c r="AA520" s="203" t="n"/>
      <c r="AB520" s="204" t="inlineStr">
        <is>
          <t>09-XL-307HG/PYCNT/CKN/T1/C7-2</t>
        </is>
      </c>
      <c r="AC520" s="204">
        <f>AC519</f>
        <v/>
      </c>
      <c r="AD520" s="204" t="n"/>
      <c r="AE520" s="204" t="n"/>
      <c r="AF520" s="204" t="n"/>
      <c r="AG520" s="204" t="n"/>
      <c r="AH520" s="204" t="inlineStr">
        <is>
          <t>C30(1)</t>
        </is>
      </c>
      <c r="AI520" s="202" t="n"/>
      <c r="AJ520" s="202" t="n"/>
      <c r="AK520" s="206" t="n"/>
      <c r="AL520" s="202" t="n"/>
      <c r="AM520" s="202" t="n"/>
      <c r="AN520" s="202" t="n"/>
      <c r="AO520" s="202" t="n"/>
      <c r="AP520" s="207" t="n"/>
      <c r="AQ520" s="207" t="n"/>
      <c r="AR520" s="202" t="inlineStr">
        <is>
          <t>Nhóm 1</t>
        </is>
      </c>
      <c r="AS520" s="202" t="n"/>
      <c r="AT520" s="202" t="inlineStr">
        <is>
          <t>HM13</t>
        </is>
      </c>
      <c r="AU520" s="202" t="inlineStr">
        <is>
          <t>PL09</t>
        </is>
      </c>
      <c r="AV520" s="202" t="n">
        <v>13</v>
      </c>
      <c r="AW520" s="202" t="n">
        <v>1</v>
      </c>
      <c r="AX520" s="202" t="n"/>
    </row>
    <row r="521" ht="28" customHeight="1" s="672">
      <c r="A521" s="56" t="inlineStr">
        <is>
          <t>NTCV</t>
        </is>
      </c>
      <c r="B521" s="56" t="inlineStr">
        <is>
          <t>K.9999</t>
        </is>
      </c>
      <c r="C521" s="56" t="inlineStr">
        <is>
          <t>NTCV.0531989</t>
        </is>
      </c>
      <c r="D521" s="57" t="n"/>
      <c r="E521" s="57" t="n"/>
      <c r="F521" s="57" t="n"/>
      <c r="G521" s="57" t="n"/>
      <c r="H521" s="57" t="n"/>
      <c r="J521" s="209" t="inlineStr">
        <is>
          <t>24</t>
        </is>
      </c>
      <c r="K521" s="209" t="inlineStr">
        <is>
          <t>K.9999</t>
        </is>
      </c>
      <c r="L521" s="210" t="inlineStr">
        <is>
          <t>Theo dõi quá trình đổ bê tông cọc khoan nhồi</t>
        </is>
      </c>
      <c r="M521" s="210" t="n"/>
      <c r="N521" s="210" t="n"/>
      <c r="O521" s="211" t="inlineStr">
        <is>
          <t>Cầu Km19+529.080</t>
        </is>
      </c>
      <c r="P521" s="212">
        <f>S519</f>
        <v/>
      </c>
      <c r="Q521" s="212">
        <f>P521</f>
        <v/>
      </c>
      <c r="R521" s="212">
        <f>Q521-1</f>
        <v/>
      </c>
      <c r="S521" s="212">
        <f>Q521</f>
        <v/>
      </c>
      <c r="T521" s="213">
        <f>U519</f>
        <v/>
      </c>
      <c r="U521" s="213">
        <f>T521+V521</f>
        <v/>
      </c>
      <c r="V521" s="213" t="n">
        <v>0.1458333333333333</v>
      </c>
      <c r="W521" s="214">
        <f>TEXT(T521,"HH""h""MM'")&amp;"÷"&amp;TEXT(U521,"HH""h""MM'")</f>
        <v/>
      </c>
      <c r="X521" s="214" t="n"/>
      <c r="Y521" s="214" t="n"/>
      <c r="Z521" s="214" t="inlineStr">
        <is>
          <t>10;</t>
        </is>
      </c>
      <c r="AA521" s="215" t="inlineStr">
        <is>
          <t>Theo dõi quá trình đổ bê tông  Cọc khoan nhồi Trụ T1 - Cọc C7</t>
        </is>
      </c>
      <c r="AB521" s="204" t="inlineStr">
        <is>
          <t>09-XL-307HG/PYCNT/CKN/T1/C7-2</t>
        </is>
      </c>
      <c r="AC521" s="204" t="inlineStr">
        <is>
          <t>09-XL-307HG/BBNT/CKN/T1/C7-10</t>
        </is>
      </c>
      <c r="AD521" s="204" t="n"/>
      <c r="AE521" s="204" t="n"/>
      <c r="AF521" s="204" t="n"/>
      <c r="AG521" s="204" t="n"/>
      <c r="AH521" s="204" t="n"/>
      <c r="AI521" s="214" t="n"/>
      <c r="AJ521" s="214" t="n"/>
      <c r="AK521" s="217" t="n"/>
      <c r="AL521" s="214" t="n"/>
      <c r="AM521" s="214" t="n"/>
      <c r="AN521" s="214" t="n"/>
      <c r="AO521" s="214" t="n"/>
      <c r="AP521" s="216" t="n"/>
      <c r="AQ521" s="216" t="n"/>
      <c r="AR521" s="214" t="inlineStr">
        <is>
          <t>Nhóm 1</t>
        </is>
      </c>
      <c r="AS521" s="214" t="n"/>
      <c r="AT521" s="214" t="inlineStr">
        <is>
          <t>HM13</t>
        </is>
      </c>
      <c r="AU521" s="214" t="inlineStr">
        <is>
          <t>NTCV</t>
        </is>
      </c>
      <c r="AV521" s="214" t="n">
        <v>202</v>
      </c>
      <c r="AW521" s="214" t="n">
        <v>9</v>
      </c>
      <c r="AX521" s="214" t="n"/>
    </row>
    <row r="522" ht="84" customHeight="1" s="672">
      <c r="A522" s="56" t="inlineStr">
        <is>
          <t>LMHT</t>
        </is>
      </c>
      <c r="B522" s="56" t="inlineStr">
        <is>
          <t>LMHT</t>
        </is>
      </c>
      <c r="C522" s="56" t="inlineStr">
        <is>
          <t>LMHT.0615071</t>
        </is>
      </c>
      <c r="D522" s="57" t="inlineStr">
        <is>
          <t>TC.000041|TC.000182|TC.000169.A</t>
        </is>
      </c>
      <c r="E522" s="57" t="n"/>
      <c r="F522" s="57" t="inlineStr">
        <is>
          <t>CP.0001^Cọc khoan nhồi Trụ T1 - Cọc C7^Hình trụ 15x30 (cm)^12^30 Mpa, 18±2^^^TC.000041|TC.000182|TC.000169.A</t>
        </is>
      </c>
      <c r="G522" s="57" t="n"/>
      <c r="H522" s="57" t="inlineStr">
        <is>
          <t>^^A|C|J|O|S|X|Z^Stt|Hạng mục|Cấp bê tông|Kích thước mẫu|Số lượng mẫu|Ghi chú^|||||</t>
        </is>
      </c>
      <c r="J522" s="256" t="inlineStr">
        <is>
          <t>25</t>
        </is>
      </c>
      <c r="K522" s="256" t="inlineStr">
        <is>
          <t>LMHT</t>
        </is>
      </c>
      <c r="L522" s="257" t="inlineStr">
        <is>
          <t>Lấy mẫu bê tông Cọc khoan nhồi, 30(1) Mpa Trụ T1 - Cọc C7</t>
        </is>
      </c>
      <c r="M522" s="257" t="n"/>
      <c r="N522" s="257" t="n"/>
      <c r="O522" s="258" t="inlineStr">
        <is>
          <t>Cầu Km19+529.080</t>
        </is>
      </c>
      <c r="P522" s="259" t="n"/>
      <c r="Q522" s="259" t="n"/>
      <c r="R522" s="259" t="n"/>
      <c r="S522" s="259">
        <f>S521</f>
        <v/>
      </c>
      <c r="T522" s="260">
        <f>T521</f>
        <v/>
      </c>
      <c r="U522" s="260">
        <f>U521</f>
        <v/>
      </c>
      <c r="V522" s="260">
        <f>V521</f>
        <v/>
      </c>
      <c r="W522" s="261">
        <f>TEXT(T522,"HH""h""MM'")&amp;"÷"&amp;TEXT(U522,"HH""h""MM'")</f>
        <v/>
      </c>
      <c r="X522" s="262" t="n"/>
      <c r="Y522" s="262" t="n"/>
      <c r="Z522" s="262" t="n"/>
      <c r="AA522" s="262" t="n"/>
      <c r="AB522" s="263" t="inlineStr">
        <is>
          <t>09-XL-307HG/PYCNT/CKN/T1/C7-2</t>
        </is>
      </c>
      <c r="AC522" s="263" t="inlineStr"/>
      <c r="AD522" s="264" t="n"/>
      <c r="AE522" s="264" t="n"/>
      <c r="AF522" s="264" t="n"/>
      <c r="AG522" s="264" t="n"/>
      <c r="AH522" s="264" t="n"/>
      <c r="AI522" s="257" t="n"/>
      <c r="AJ522" s="262" t="n"/>
      <c r="AK522" s="258" t="n"/>
      <c r="AL522" s="262" t="n"/>
      <c r="AM522" s="262" t="n"/>
      <c r="AN522" s="262" t="n"/>
      <c r="AO522" s="262" t="n"/>
      <c r="AP522" s="263" t="inlineStr">
        <is>
          <t>Bảng lấy mẫu CKN</t>
        </is>
      </c>
      <c r="AQ522" s="263" t="n"/>
      <c r="AR522" s="262" t="inlineStr">
        <is>
          <t>Nhóm 1</t>
        </is>
      </c>
      <c r="AS522" s="262" t="n"/>
      <c r="AT522" s="262" t="inlineStr">
        <is>
          <t>HM13</t>
        </is>
      </c>
      <c r="AU522" s="262" t="inlineStr">
        <is>
          <t>LMHT</t>
        </is>
      </c>
      <c r="AV522" s="262" t="n">
        <v>16</v>
      </c>
      <c r="AW522" s="262" t="n">
        <v>1</v>
      </c>
      <c r="AX522" s="262" t="inlineStr">
        <is>
          <t>Cọc T1-C7: đá Lần 2 [BT dòng 16].</t>
        </is>
      </c>
    </row>
    <row r="523">
      <c r="A523" s="56" t="inlineStr">
        <is>
          <t>BBK994</t>
        </is>
      </c>
      <c r="B523" s="56" t="inlineStr">
        <is>
          <t>PL10</t>
        </is>
      </c>
      <c r="C523" s="56" t="inlineStr">
        <is>
          <t>BBK994.0089153</t>
        </is>
      </c>
      <c r="D523" s="57" t="n"/>
      <c r="E523" s="57" t="n"/>
      <c r="F523" s="57" t="n"/>
      <c r="G523" s="57" t="n"/>
      <c r="H523" s="57" t="n"/>
      <c r="J523" s="198" t="inlineStr">
        <is>
          <t>26</t>
        </is>
      </c>
      <c r="K523" s="198" t="inlineStr">
        <is>
          <t>PL10</t>
        </is>
      </c>
      <c r="L523" s="199" t="inlineStr">
        <is>
          <t>Theo dõi quá trình đổ bê tông cọc khoan nhồi</t>
        </is>
      </c>
      <c r="M523" s="199" t="n"/>
      <c r="N523" s="199" t="n"/>
      <c r="O523" s="200" t="inlineStr">
        <is>
          <t>Cầu Km19+529.080</t>
        </is>
      </c>
      <c r="P523" s="201" t="n"/>
      <c r="Q523" s="201" t="n"/>
      <c r="R523" s="201" t="n"/>
      <c r="S523" s="201">
        <f>S521</f>
        <v/>
      </c>
      <c r="T523" s="201" t="n"/>
      <c r="U523" s="201" t="n"/>
      <c r="V523" s="201" t="n"/>
      <c r="W523" s="202" t="n"/>
      <c r="X523" s="202" t="n"/>
      <c r="Y523" s="202" t="n"/>
      <c r="Z523" s="198" t="inlineStr">
        <is>
          <t>10</t>
        </is>
      </c>
      <c r="AA523" s="203" t="n"/>
      <c r="AB523" s="204" t="inlineStr">
        <is>
          <t>09-XL-307HG/PYCNT/CKN/T1/C7-2</t>
        </is>
      </c>
      <c r="AC523" s="204">
        <f>AC521</f>
        <v/>
      </c>
      <c r="AD523" s="204" t="n"/>
      <c r="AE523" s="204" t="n"/>
      <c r="AF523" s="204" t="n"/>
      <c r="AG523" s="204" t="n"/>
      <c r="AH523" s="204" t="inlineStr">
        <is>
          <t>T1-C7</t>
        </is>
      </c>
      <c r="AI523" s="202" t="n"/>
      <c r="AJ523" s="202" t="n"/>
      <c r="AK523" s="206" t="n"/>
      <c r="AL523" s="202" t="n"/>
      <c r="AM523" s="202" t="n"/>
      <c r="AN523" s="202" t="n"/>
      <c r="AO523" s="202" t="n"/>
      <c r="AP523" s="207" t="n"/>
      <c r="AQ523" s="207" t="n"/>
      <c r="AR523" s="202" t="inlineStr">
        <is>
          <t>Nhóm 1</t>
        </is>
      </c>
      <c r="AS523" s="202" t="n"/>
      <c r="AT523" s="202" t="inlineStr">
        <is>
          <t>HM13</t>
        </is>
      </c>
      <c r="AU523" s="202" t="inlineStr">
        <is>
          <t>PL10</t>
        </is>
      </c>
      <c r="AV523" s="202" t="n">
        <v>13</v>
      </c>
      <c r="AW523" s="202" t="n">
        <v>1</v>
      </c>
      <c r="AX523" s="202" t="n"/>
    </row>
    <row r="524" ht="28" customHeight="1" s="672">
      <c r="A524" s="56" t="inlineStr">
        <is>
          <t>NTCV</t>
        </is>
      </c>
      <c r="B524" s="56" t="inlineStr">
        <is>
          <t>K.9999</t>
        </is>
      </c>
      <c r="C524" s="56" t="inlineStr">
        <is>
          <t>NTCV.0184424</t>
        </is>
      </c>
      <c r="D524" s="57" t="n"/>
      <c r="E524" s="57" t="n"/>
      <c r="F524" s="57" t="n"/>
      <c r="G524" s="57" t="n"/>
      <c r="H524" s="57" t="n"/>
      <c r="J524" s="209" t="inlineStr">
        <is>
          <t>27</t>
        </is>
      </c>
      <c r="K524" s="209" t="inlineStr">
        <is>
          <t>K.9999</t>
        </is>
      </c>
      <c r="L524" s="210" t="inlineStr">
        <is>
          <t xml:space="preserve"> Rút ống vách thi công cọc khoan nhồi</t>
        </is>
      </c>
      <c r="M524" s="210" t="n"/>
      <c r="N524" s="210" t="n"/>
      <c r="O524" s="211" t="inlineStr">
        <is>
          <t>Cầu Km19+529.080</t>
        </is>
      </c>
      <c r="P524" s="212">
        <f>S521</f>
        <v/>
      </c>
      <c r="Q524" s="212">
        <f>P524</f>
        <v/>
      </c>
      <c r="R524" s="212">
        <f>Q524-1</f>
        <v/>
      </c>
      <c r="S524" s="212">
        <f>Q524</f>
        <v/>
      </c>
      <c r="T524" s="213">
        <f>U521</f>
        <v/>
      </c>
      <c r="U524" s="213">
        <f>T524+V524</f>
        <v/>
      </c>
      <c r="V524" s="213" t="n">
        <v>0.01041666666666667</v>
      </c>
      <c r="W524" s="214">
        <f>TEXT(T524,"HH""h""MM'")&amp;"÷"&amp;TEXT(U524,"HH""h""MM'")</f>
        <v/>
      </c>
      <c r="X524" s="214" t="n"/>
      <c r="Y524" s="214" t="n"/>
      <c r="Z524" s="214" t="inlineStr">
        <is>
          <t>11;</t>
        </is>
      </c>
      <c r="AA524" s="215" t="inlineStr">
        <is>
          <t>Rút ống vách  Cọc khoan nhồi Trụ T1 - Cọc C7</t>
        </is>
      </c>
      <c r="AB524" s="204" t="inlineStr">
        <is>
          <t>09-XL-307HG/PYCNT/CKN/T1/C7-2</t>
        </is>
      </c>
      <c r="AC524" s="204" t="inlineStr">
        <is>
          <t>09-XL-307HG/BBNT/CKN/T1/C7-11</t>
        </is>
      </c>
      <c r="AD524" s="204" t="n"/>
      <c r="AE524" s="204" t="n"/>
      <c r="AF524" s="204" t="n"/>
      <c r="AG524" s="204" t="n"/>
      <c r="AH524" s="204" t="n"/>
      <c r="AI524" s="214" t="n"/>
      <c r="AJ524" s="214" t="n"/>
      <c r="AK524" s="217" t="n"/>
      <c r="AL524" s="214" t="n"/>
      <c r="AM524" s="214" t="n"/>
      <c r="AN524" s="214" t="n"/>
      <c r="AO524" s="214" t="n"/>
      <c r="AP524" s="216" t="n"/>
      <c r="AQ524" s="216" t="n"/>
      <c r="AR524" s="214" t="inlineStr">
        <is>
          <t>Nhóm 1</t>
        </is>
      </c>
      <c r="AS524" s="214" t="n"/>
      <c r="AT524" s="214" t="inlineStr">
        <is>
          <t>HM13</t>
        </is>
      </c>
      <c r="AU524" s="214" t="inlineStr">
        <is>
          <t>NTCV</t>
        </is>
      </c>
      <c r="AV524" s="214" t="n">
        <v>203</v>
      </c>
      <c r="AW524" s="214" t="n">
        <v>10</v>
      </c>
      <c r="AX524" s="214" t="n"/>
    </row>
    <row r="525">
      <c r="A525" s="56" t="inlineStr">
        <is>
          <t>BBK544</t>
        </is>
      </c>
      <c r="B525" s="56" t="inlineStr">
        <is>
          <t>PL11</t>
        </is>
      </c>
      <c r="C525" s="56" t="inlineStr">
        <is>
          <t>BBK544.0283559</t>
        </is>
      </c>
      <c r="D525" s="57" t="n"/>
      <c r="E525" s="57" t="n"/>
      <c r="F525" s="57" t="n"/>
      <c r="G525" s="57" t="n"/>
      <c r="H525" s="57" t="n"/>
      <c r="J525" s="198" t="inlineStr">
        <is>
          <t>28</t>
        </is>
      </c>
      <c r="K525" s="198" t="inlineStr">
        <is>
          <t>PL11</t>
        </is>
      </c>
      <c r="L525" s="199" t="inlineStr">
        <is>
          <t>Rút ống vách thi công cọc khoan nhồi</t>
        </is>
      </c>
      <c r="M525" s="199" t="n"/>
      <c r="N525" s="199" t="n"/>
      <c r="O525" s="200" t="inlineStr">
        <is>
          <t>Cầu Km19+529.080</t>
        </is>
      </c>
      <c r="P525" s="201" t="n"/>
      <c r="Q525" s="201" t="n"/>
      <c r="R525" s="201" t="n"/>
      <c r="S525" s="201">
        <f>S524</f>
        <v/>
      </c>
      <c r="T525" s="201" t="n"/>
      <c r="U525" s="201" t="n"/>
      <c r="V525" s="201" t="n"/>
      <c r="W525" s="202" t="n"/>
      <c r="X525" s="202" t="n"/>
      <c r="Y525" s="202" t="n"/>
      <c r="Z525" s="198" t="inlineStr">
        <is>
          <t>11</t>
        </is>
      </c>
      <c r="AA525" s="203" t="n"/>
      <c r="AB525" s="204" t="inlineStr">
        <is>
          <t>09-XL-307HG/PYCNT/CKN/T1/C7-2</t>
        </is>
      </c>
      <c r="AC525" s="204">
        <f>AC524</f>
        <v/>
      </c>
      <c r="AD525" s="204" t="n"/>
      <c r="AE525" s="204" t="n"/>
      <c r="AF525" s="204" t="n"/>
      <c r="AG525" s="204" t="n"/>
      <c r="AH525" s="204" t="inlineStr">
        <is>
          <t>&gt;=290;&lt;=321</t>
        </is>
      </c>
      <c r="AI525" s="202" t="n"/>
      <c r="AJ525" s="202" t="n"/>
      <c r="AK525" s="206" t="n"/>
      <c r="AL525" s="202" t="n"/>
      <c r="AM525" s="202" t="n"/>
      <c r="AN525" s="202" t="n"/>
      <c r="AO525" s="202" t="n"/>
      <c r="AP525" s="207" t="n"/>
      <c r="AQ525" s="207" t="n"/>
      <c r="AR525" s="202" t="inlineStr">
        <is>
          <t>Nhóm 1</t>
        </is>
      </c>
      <c r="AS525" s="202" t="n"/>
      <c r="AT525" s="202" t="inlineStr">
        <is>
          <t>HM13</t>
        </is>
      </c>
      <c r="AU525" s="202" t="inlineStr">
        <is>
          <t>PL11</t>
        </is>
      </c>
      <c r="AV525" s="202" t="n">
        <v>13</v>
      </c>
      <c r="AW525" s="202" t="n">
        <v>1</v>
      </c>
      <c r="AX525" s="202" t="n"/>
    </row>
    <row r="526">
      <c r="A526" s="56" t="inlineStr">
        <is>
          <t>BBK680</t>
        </is>
      </c>
      <c r="B526" s="56" t="inlineStr">
        <is>
          <t>PYC</t>
        </is>
      </c>
      <c r="C526" s="56" t="inlineStr">
        <is>
          <t>BBK680.0018808</t>
        </is>
      </c>
      <c r="D526" s="57" t="n"/>
      <c r="E526" s="57" t="n"/>
      <c r="F526" s="57" t="n"/>
      <c r="G526" s="57" t="n"/>
      <c r="H526" s="57" t="n"/>
      <c r="J526" s="198" t="inlineStr">
        <is>
          <t>29</t>
        </is>
      </c>
      <c r="K526" s="198" t="inlineStr">
        <is>
          <t>PYC</t>
        </is>
      </c>
      <c r="L526" s="199" t="inlineStr">
        <is>
          <t>Phiếu yêu cầu nghiệm thu</t>
        </is>
      </c>
      <c r="M526" s="199" t="n"/>
      <c r="N526" s="199" t="n"/>
      <c r="O526" s="200" t="inlineStr">
        <is>
          <t>Cầu Km19+529.080</t>
        </is>
      </c>
      <c r="P526" s="201" t="n"/>
      <c r="Q526" s="201" t="n"/>
      <c r="R526" s="201">
        <f>R527</f>
        <v/>
      </c>
      <c r="S526" s="201" t="n"/>
      <c r="T526" s="201" t="n"/>
      <c r="U526" s="201" t="n"/>
      <c r="V526" s="201" t="n"/>
      <c r="W526" s="202" t="n"/>
      <c r="X526" s="202" t="n"/>
      <c r="Y526" s="202" t="n"/>
      <c r="Z526" s="202" t="n"/>
      <c r="AA526" s="203" t="n"/>
      <c r="AB526" s="204" t="inlineStr">
        <is>
          <t>09-XL-307HG/PYCNT/CKN/T1/C7</t>
        </is>
      </c>
      <c r="AC526" s="205" t="inlineStr"/>
      <c r="AD526" s="205" t="n"/>
      <c r="AE526" s="205" t="n"/>
      <c r="AF526" s="205" t="n"/>
      <c r="AG526" s="205" t="inlineStr">
        <is>
          <t>NTCV;BBKTĐK</t>
        </is>
      </c>
      <c r="AH526" s="204" t="n">
        <v>11</v>
      </c>
      <c r="AI526" s="202" t="n"/>
      <c r="AJ526" s="202" t="n"/>
      <c r="AK526" s="206" t="n"/>
      <c r="AL526" s="202" t="n"/>
      <c r="AM526" s="202" t="n"/>
      <c r="AN526" s="202" t="n"/>
      <c r="AO526" s="202" t="n"/>
      <c r="AP526" s="207" t="n"/>
      <c r="AQ526" s="207" t="n"/>
      <c r="AR526" s="202" t="inlineStr">
        <is>
          <t>Nhóm 1</t>
        </is>
      </c>
      <c r="AS526" s="202" t="n"/>
      <c r="AT526" s="202" t="inlineStr">
        <is>
          <t>HM13</t>
        </is>
      </c>
      <c r="AU526" s="202" t="inlineStr">
        <is>
          <t>PYC</t>
        </is>
      </c>
      <c r="AV526" s="202" t="n">
        <v>179</v>
      </c>
      <c r="AW526" s="202" t="n">
        <v>3</v>
      </c>
      <c r="AX526" s="202" t="n"/>
    </row>
    <row r="527" ht="28" customHeight="1" s="672">
      <c r="A527" s="56" t="inlineStr">
        <is>
          <t>NTCV</t>
        </is>
      </c>
      <c r="B527" s="56" t="inlineStr">
        <is>
          <t>K.9999</t>
        </is>
      </c>
      <c r="C527" s="56" t="inlineStr">
        <is>
          <t>NTCV.0152599</t>
        </is>
      </c>
      <c r="D527" s="57" t="n"/>
      <c r="E527" s="57" t="n"/>
      <c r="F527" s="57" t="n"/>
      <c r="G527" s="57" t="n"/>
      <c r="H527" s="57" t="n"/>
      <c r="J527" s="209" t="inlineStr">
        <is>
          <t>30</t>
        </is>
      </c>
      <c r="K527" s="209" t="inlineStr">
        <is>
          <t>K.9999</t>
        </is>
      </c>
      <c r="L527" s="210" t="inlineStr">
        <is>
          <t>Theo dõi nén mẫu R7 Cọc khoan nhồi Trụ T1 - Cọc C7</t>
        </is>
      </c>
      <c r="M527" s="210" t="n"/>
      <c r="N527" s="210" t="n"/>
      <c r="O527" s="211" t="inlineStr">
        <is>
          <t>Cầu Km19+529.080</t>
        </is>
      </c>
      <c r="P527" s="212">
        <f>S524+7</f>
        <v/>
      </c>
      <c r="Q527" s="212">
        <f>P527</f>
        <v/>
      </c>
      <c r="R527" s="212">
        <f>Q527-1</f>
        <v/>
      </c>
      <c r="S527" s="212">
        <f>Q527</f>
        <v/>
      </c>
      <c r="T527" s="213" t="n">
        <v>0.3541666666666667</v>
      </c>
      <c r="U527" s="213">
        <f>T527+V527</f>
        <v/>
      </c>
      <c r="V527" s="213" t="n">
        <v>0.02083333333333333</v>
      </c>
      <c r="W527" s="214">
        <f>TEXT(T527,"HH""h""MM'")&amp;"÷"&amp;TEXT(U527,"HH""h""MM'")</f>
        <v/>
      </c>
      <c r="X527" s="214" t="n"/>
      <c r="Y527" s="214" t="n"/>
      <c r="Z527" s="214" t="n"/>
      <c r="AA527" s="215" t="inlineStr">
        <is>
          <t>Theo dõi nén mẫu R7 Cọc khoan nhồi Trụ T1 - Cọc C7</t>
        </is>
      </c>
      <c r="AB527" s="204" t="inlineStr">
        <is>
          <t>09-XL-307HG/PYCNT/CKN/T1/C7-3</t>
        </is>
      </c>
      <c r="AC527" s="204" t="inlineStr">
        <is>
          <t>09-XL-307HG/BBNT/CKN/T1/C7-12</t>
        </is>
      </c>
      <c r="AD527" s="204" t="n"/>
      <c r="AE527" s="204" t="n"/>
      <c r="AF527" s="204" t="n"/>
      <c r="AG527" s="204" t="n"/>
      <c r="AH527" s="204" t="n"/>
      <c r="AI527" s="214" t="n"/>
      <c r="AJ527" s="214" t="n"/>
      <c r="AK527" s="217" t="n"/>
      <c r="AL527" s="214" t="n"/>
      <c r="AM527" s="214" t="n"/>
      <c r="AN527" s="214" t="n"/>
      <c r="AO527" s="214" t="n"/>
      <c r="AP527" s="216" t="n"/>
      <c r="AQ527" s="216" t="n"/>
      <c r="AR527" s="214" t="inlineStr">
        <is>
          <t>Nhóm 1</t>
        </is>
      </c>
      <c r="AS527" s="214" t="n"/>
      <c r="AT527" s="214" t="inlineStr">
        <is>
          <t>HM13</t>
        </is>
      </c>
      <c r="AU527" s="214" t="inlineStr">
        <is>
          <t>NTCV</t>
        </is>
      </c>
      <c r="AV527" s="214" t="n">
        <v>280</v>
      </c>
      <c r="AW527" s="214" t="n">
        <v>11</v>
      </c>
      <c r="AX527" s="214" t="n"/>
    </row>
    <row r="528">
      <c r="A528" s="56" t="inlineStr">
        <is>
          <t>BBK680</t>
        </is>
      </c>
      <c r="B528" s="56" t="inlineStr">
        <is>
          <t>PYC</t>
        </is>
      </c>
      <c r="C528" s="56" t="inlineStr">
        <is>
          <t>BBK680.0420111</t>
        </is>
      </c>
      <c r="D528" s="57" t="n"/>
      <c r="E528" s="57" t="n"/>
      <c r="F528" s="57" t="n"/>
      <c r="G528" s="57" t="n"/>
      <c r="H528" s="57" t="n"/>
      <c r="J528" s="198" t="inlineStr">
        <is>
          <t>31</t>
        </is>
      </c>
      <c r="K528" s="198" t="inlineStr">
        <is>
          <t>PYC</t>
        </is>
      </c>
      <c r="L528" s="199" t="inlineStr">
        <is>
          <t>Phiếu yêu cầu nghiệm thu</t>
        </is>
      </c>
      <c r="M528" s="199" t="n"/>
      <c r="N528" s="199" t="n"/>
      <c r="O528" s="200" t="inlineStr">
        <is>
          <t>Cầu Km19+529.080</t>
        </is>
      </c>
      <c r="P528" s="201" t="n"/>
      <c r="Q528" s="201" t="n"/>
      <c r="R528" s="201">
        <f>+S523+28</f>
        <v/>
      </c>
      <c r="S528" s="201" t="n"/>
      <c r="T528" s="201" t="n"/>
      <c r="U528" s="201" t="n"/>
      <c r="V528" s="201" t="n"/>
      <c r="W528" s="202" t="n"/>
      <c r="X528" s="202" t="n"/>
      <c r="Y528" s="202" t="n"/>
      <c r="Z528" s="202" t="n"/>
      <c r="AA528" s="203" t="n"/>
      <c r="AB528" s="204" t="inlineStr">
        <is>
          <t>09-XL-307HG/PYCNT/CKN/T1/C7</t>
        </is>
      </c>
      <c r="AC528" s="205" t="inlineStr"/>
      <c r="AD528" s="205" t="n"/>
      <c r="AE528" s="205" t="n"/>
      <c r="AF528" s="205" t="n"/>
      <c r="AG528" s="205" t="inlineStr">
        <is>
          <t>NTCV;BBKTĐK</t>
        </is>
      </c>
      <c r="AH528" s="204" t="n">
        <v>12</v>
      </c>
      <c r="AI528" s="202" t="n"/>
      <c r="AJ528" s="202" t="n"/>
      <c r="AK528" s="206" t="n"/>
      <c r="AL528" s="202" t="n"/>
      <c r="AM528" s="202" t="n"/>
      <c r="AN528" s="202" t="n"/>
      <c r="AO528" s="202" t="n"/>
      <c r="AP528" s="207" t="n"/>
      <c r="AQ528" s="207" t="n"/>
      <c r="AR528" s="202" t="inlineStr">
        <is>
          <t>Nhóm 1</t>
        </is>
      </c>
      <c r="AS528" s="202" t="n"/>
      <c r="AT528" s="202" t="inlineStr">
        <is>
          <t>HM13</t>
        </is>
      </c>
      <c r="AU528" s="202" t="inlineStr">
        <is>
          <t>PYC</t>
        </is>
      </c>
      <c r="AV528" s="202" t="n">
        <v>180</v>
      </c>
      <c r="AW528" s="202" t="n">
        <v>4</v>
      </c>
      <c r="AX528" s="202" t="n"/>
    </row>
    <row r="529" ht="28" customHeight="1" s="672">
      <c r="A529" s="56" t="inlineStr">
        <is>
          <t>NTCV</t>
        </is>
      </c>
      <c r="B529" s="56" t="inlineStr">
        <is>
          <t>K.9999</t>
        </is>
      </c>
      <c r="C529" s="56" t="inlineStr">
        <is>
          <t>NTCV.0548423</t>
        </is>
      </c>
      <c r="D529" s="57" t="n"/>
      <c r="E529" s="57" t="n"/>
      <c r="F529" s="57" t="n"/>
      <c r="G529" s="57" t="n"/>
      <c r="H529" s="57" t="n"/>
      <c r="J529" s="209" t="inlineStr">
        <is>
          <t>32</t>
        </is>
      </c>
      <c r="K529" s="209" t="inlineStr">
        <is>
          <t>K.9999</t>
        </is>
      </c>
      <c r="L529" s="210" t="inlineStr">
        <is>
          <t>Đập đầu cọc khoan nhồi Trụ T1 - Cọc C7</t>
        </is>
      </c>
      <c r="M529" s="210" t="n"/>
      <c r="N529" s="210" t="n"/>
      <c r="O529" s="211" t="inlineStr">
        <is>
          <t>Cầu Km19+529.080</t>
        </is>
      </c>
      <c r="P529" s="212">
        <f>S527</f>
        <v/>
      </c>
      <c r="Q529" s="212">
        <f>P529</f>
        <v/>
      </c>
      <c r="R529" s="212">
        <f>Q529-1</f>
        <v/>
      </c>
      <c r="S529" s="212">
        <f>Q529</f>
        <v/>
      </c>
      <c r="T529" s="213" t="n">
        <v>0.3541666666666667</v>
      </c>
      <c r="U529" s="213">
        <f>T529+V529</f>
        <v/>
      </c>
      <c r="V529" s="213" t="n">
        <v>0.0625</v>
      </c>
      <c r="W529" s="214">
        <f>TEXT(T529,"HH""h""MM'")&amp;"÷"&amp;TEXT(U529,"HH""h""MM'")</f>
        <v/>
      </c>
      <c r="X529" s="214" t="n"/>
      <c r="Y529" s="214" t="n"/>
      <c r="Z529" s="214" t="n"/>
      <c r="AA529" s="215" t="inlineStr">
        <is>
          <t>Theo dõi nén mẫu R28 Cọc khoan nhồi Trụ T1 - Cọc C7</t>
        </is>
      </c>
      <c r="AB529" s="204" t="inlineStr">
        <is>
          <t>09-XL-307HG/PYCNT/CKN/T1/C7-4</t>
        </is>
      </c>
      <c r="AC529" s="204" t="inlineStr">
        <is>
          <t>09-XL-307HG/BBNT/CKN/T1/C7-13</t>
        </is>
      </c>
      <c r="AD529" s="204" t="n"/>
      <c r="AE529" s="204" t="n"/>
      <c r="AF529" s="204" t="n"/>
      <c r="AG529" s="204" t="n"/>
      <c r="AH529" s="204" t="n"/>
      <c r="AI529" s="214" t="n"/>
      <c r="AJ529" s="214" t="n"/>
      <c r="AK529" s="217" t="n"/>
      <c r="AL529" s="214" t="n"/>
      <c r="AM529" s="214" t="n"/>
      <c r="AN529" s="214" t="n"/>
      <c r="AO529" s="214" t="n"/>
      <c r="AP529" s="216" t="n"/>
      <c r="AQ529" s="216" t="n"/>
      <c r="AR529" s="214" t="inlineStr">
        <is>
          <t>Nhóm 1</t>
        </is>
      </c>
      <c r="AS529" s="214" t="n"/>
      <c r="AT529" s="214" t="inlineStr">
        <is>
          <t>HM13</t>
        </is>
      </c>
      <c r="AU529" s="214" t="inlineStr">
        <is>
          <t>NTCV</t>
        </is>
      </c>
      <c r="AV529" s="214" t="n">
        <v>281</v>
      </c>
      <c r="AW529" s="214" t="n">
        <v>12</v>
      </c>
      <c r="AX529" s="214" t="n"/>
    </row>
    <row r="530">
      <c r="A530" s="56" t="inlineStr">
        <is>
          <t>HM</t>
        </is>
      </c>
      <c r="B530" s="56" t="inlineStr">
        <is>
          <t>HM</t>
        </is>
      </c>
      <c r="C530" s="56" t="inlineStr">
        <is>
          <t>HM.0558444</t>
        </is>
      </c>
      <c r="D530" s="57" t="n"/>
      <c r="E530" s="57" t="n"/>
      <c r="F530" s="57" t="n"/>
      <c r="G530" s="57" t="n"/>
      <c r="H530" s="57" t="n"/>
      <c r="J530" s="246" t="inlineStr">
        <is>
          <t>HM14</t>
        </is>
      </c>
      <c r="K530" s="246" t="inlineStr">
        <is>
          <t>HM</t>
        </is>
      </c>
      <c r="L530" s="247" t="inlineStr">
        <is>
          <t>Trụ T1 - Cọc C8</t>
        </is>
      </c>
      <c r="M530" s="247" t="n"/>
      <c r="N530" s="247" t="n"/>
      <c r="O530" s="248" t="inlineStr">
        <is>
          <t>Cầu Km19+529.080</t>
        </is>
      </c>
      <c r="P530" s="249" t="n"/>
      <c r="Q530" s="249" t="n"/>
      <c r="R530" s="249" t="n"/>
      <c r="S530" s="249" t="n"/>
      <c r="T530" s="249" t="n"/>
      <c r="U530" s="249" t="n"/>
      <c r="V530" s="249" t="n"/>
      <c r="W530" s="250" t="n"/>
      <c r="X530" s="250" t="n"/>
      <c r="Y530" s="250" t="n"/>
      <c r="Z530" s="250" t="n"/>
      <c r="AA530" s="251" t="n"/>
      <c r="AB530" s="252" t="n"/>
      <c r="AC530" s="252" t="inlineStr"/>
      <c r="AD530" s="252" t="n"/>
      <c r="AE530" s="252" t="n"/>
      <c r="AF530" s="252" t="n"/>
      <c r="AG530" s="252" t="n"/>
      <c r="AH530" s="252" t="n"/>
      <c r="AI530" s="250" t="n"/>
      <c r="AJ530" s="250" t="n"/>
      <c r="AK530" s="253" t="n"/>
      <c r="AL530" s="250" t="n"/>
      <c r="AM530" s="250" t="n"/>
      <c r="AN530" s="250" t="n"/>
      <c r="AO530" s="250" t="n"/>
      <c r="AP530" s="254" t="n"/>
      <c r="AQ530" s="254" t="n"/>
      <c r="AR530" s="250" t="n"/>
      <c r="AS530" s="250" t="n"/>
      <c r="AT530" s="250" t="inlineStr">
        <is>
          <t>HM14</t>
        </is>
      </c>
      <c r="AU530" s="250" t="inlineStr">
        <is>
          <t>HM</t>
        </is>
      </c>
      <c r="AV530" s="250" t="n"/>
      <c r="AW530" s="250" t="n"/>
      <c r="AX530" s="250" t="n"/>
    </row>
    <row r="531" ht="28" customFormat="1" customHeight="1" s="70">
      <c r="A531" s="68" t="inlineStr">
        <is>
          <t>BBK_BIA</t>
        </is>
      </c>
      <c r="B531" s="68" t="inlineStr">
        <is>
          <t>TRANGBIA</t>
        </is>
      </c>
      <c r="C531" s="68" t="inlineStr">
        <is>
          <t>BBK_BIA.0781006</t>
        </is>
      </c>
      <c r="D531" s="69" t="n"/>
      <c r="E531" s="69" t="n"/>
      <c r="F531" s="69" t="n"/>
      <c r="G531" s="69" t="n"/>
      <c r="H531" s="69" t="n"/>
      <c r="J531" s="98" t="inlineStr">
        <is>
          <t>01</t>
        </is>
      </c>
      <c r="K531" s="98" t="inlineStr">
        <is>
          <t>TRANGBIA</t>
        </is>
      </c>
      <c r="L531" s="99">
        <f>"Cọc Khoan Nhồi"&amp;" - "&amp;L530</f>
        <v/>
      </c>
      <c r="M531" s="99" t="n"/>
      <c r="N531" s="99" t="n"/>
      <c r="O531" s="100" t="inlineStr">
        <is>
          <t>Cầu Km19+529.080</t>
        </is>
      </c>
      <c r="P531" s="101" t="n"/>
      <c r="Q531" s="101" t="n"/>
      <c r="R531" s="101" t="n"/>
      <c r="S531" s="101" t="n"/>
      <c r="T531" s="101" t="n"/>
      <c r="U531" s="101" t="n"/>
      <c r="V531" s="101" t="n"/>
      <c r="W531" s="102" t="n"/>
      <c r="X531" s="102" t="n"/>
      <c r="Y531" s="102" t="n"/>
      <c r="Z531" s="102" t="n"/>
      <c r="AA531" s="102" t="n"/>
      <c r="AB531" s="102" t="n"/>
      <c r="AC531" s="102" t="inlineStr"/>
      <c r="AD531" s="102" t="n"/>
      <c r="AE531" s="102" t="n"/>
      <c r="AF531" s="102" t="n"/>
      <c r="AG531" s="102" t="n"/>
      <c r="AH531" s="102" t="n"/>
      <c r="AI531" s="102" t="n"/>
      <c r="AJ531" s="102" t="n"/>
      <c r="AK531" s="100" t="n"/>
      <c r="AL531" s="102" t="n"/>
      <c r="AM531" s="102" t="n"/>
      <c r="AN531" s="102" t="n"/>
      <c r="AO531" s="102" t="n"/>
      <c r="AP531" s="103" t="inlineStr">
        <is>
          <t>Kết cấu cọc khoan nhồi mố, trụ</t>
        </is>
      </c>
      <c r="AQ531" s="104" t="n"/>
      <c r="AR531" s="102" t="inlineStr">
        <is>
          <t>Nhóm 1</t>
        </is>
      </c>
      <c r="AS531" s="102" t="n"/>
      <c r="AT531" s="102" t="inlineStr">
        <is>
          <t>HM14</t>
        </is>
      </c>
      <c r="AU531" s="102" t="inlineStr">
        <is>
          <t>TRANGBIA</t>
        </is>
      </c>
      <c r="AV531" s="102" t="n">
        <v>14</v>
      </c>
      <c r="AW531" s="102" t="n">
        <v>1</v>
      </c>
      <c r="AX531" s="102" t="n"/>
    </row>
    <row r="532" customFormat="1" s="70">
      <c r="A532" s="68" t="inlineStr">
        <is>
          <t>BBK_ML</t>
        </is>
      </c>
      <c r="B532" s="68" t="inlineStr">
        <is>
          <t>MUCLUC</t>
        </is>
      </c>
      <c r="C532" s="68" t="inlineStr">
        <is>
          <t>BBK_ML.0042947</t>
        </is>
      </c>
      <c r="D532" s="69" t="n"/>
      <c r="E532" s="69" t="n"/>
      <c r="F532" s="69" t="n"/>
      <c r="G532" s="69" t="n"/>
      <c r="H532" s="69" t="n"/>
      <c r="J532" s="98" t="inlineStr">
        <is>
          <t>02</t>
        </is>
      </c>
      <c r="K532" s="98" t="inlineStr">
        <is>
          <t>MUCLUC</t>
        </is>
      </c>
      <c r="L532" s="99" t="inlineStr">
        <is>
          <t>Danh mục biên bản Kiểm tra/Nghiệm thu</t>
        </is>
      </c>
      <c r="M532" s="99" t="n"/>
      <c r="N532" s="99" t="n"/>
      <c r="O532" s="100" t="inlineStr">
        <is>
          <t>Cầu Km19+529.080</t>
        </is>
      </c>
      <c r="P532" s="101" t="n"/>
      <c r="Q532" s="101" t="n"/>
      <c r="R532" s="101" t="n"/>
      <c r="S532" s="101" t="n"/>
      <c r="T532" s="101" t="n"/>
      <c r="U532" s="101" t="n"/>
      <c r="V532" s="101" t="n"/>
      <c r="W532" s="102" t="n"/>
      <c r="X532" s="102" t="n"/>
      <c r="Y532" s="102" t="n"/>
      <c r="Z532" s="102" t="n"/>
      <c r="AA532" s="102" t="n"/>
      <c r="AB532" s="102" t="n"/>
      <c r="AC532" s="102" t="inlineStr"/>
      <c r="AD532" s="102" t="n"/>
      <c r="AE532" s="102" t="n"/>
      <c r="AF532" s="102" t="n"/>
      <c r="AG532" s="102" t="n"/>
      <c r="AH532" s="102" t="n"/>
      <c r="AI532" s="102" t="n"/>
      <c r="AJ532" s="102" t="n"/>
      <c r="AK532" s="100" t="n"/>
      <c r="AL532" s="102" t="n"/>
      <c r="AM532" s="102" t="n"/>
      <c r="AN532" s="102" t="n"/>
      <c r="AO532" s="102" t="n"/>
      <c r="AP532" s="104" t="n"/>
      <c r="AQ532" s="104" t="n"/>
      <c r="AR532" s="102" t="inlineStr">
        <is>
          <t>Nhóm 1</t>
        </is>
      </c>
      <c r="AS532" s="102" t="n"/>
      <c r="AT532" s="102" t="inlineStr">
        <is>
          <t>HM14</t>
        </is>
      </c>
      <c r="AU532" s="102" t="inlineStr">
        <is>
          <t>MUCLUC</t>
        </is>
      </c>
      <c r="AV532" s="102" t="n">
        <v>14</v>
      </c>
      <c r="AW532" s="102" t="n">
        <v>1</v>
      </c>
      <c r="AX532" s="102" t="n"/>
    </row>
    <row r="533">
      <c r="A533" s="56" t="inlineStr">
        <is>
          <t>BBK680</t>
        </is>
      </c>
      <c r="B533" s="56" t="inlineStr">
        <is>
          <t>PYC</t>
        </is>
      </c>
      <c r="C533" s="56" t="inlineStr">
        <is>
          <t>BBK680.0405744</t>
        </is>
      </c>
      <c r="D533" s="57" t="n"/>
      <c r="E533" s="57" t="n"/>
      <c r="F533" s="57" t="n"/>
      <c r="G533" s="57" t="n"/>
      <c r="H533" s="57" t="n"/>
      <c r="J533" s="198" t="inlineStr">
        <is>
          <t>03</t>
        </is>
      </c>
      <c r="K533" s="198" t="inlineStr">
        <is>
          <t>PYC</t>
        </is>
      </c>
      <c r="L533" s="199" t="inlineStr">
        <is>
          <t>Phiếu yêu cầu nghiệm thu</t>
        </is>
      </c>
      <c r="M533" s="199" t="n"/>
      <c r="N533" s="199" t="n"/>
      <c r="O533" s="200" t="inlineStr">
        <is>
          <t>Cầu Km19+529.080</t>
        </is>
      </c>
      <c r="P533" s="201" t="n"/>
      <c r="Q533" s="201" t="n"/>
      <c r="R533" s="201">
        <f>R534</f>
        <v/>
      </c>
      <c r="S533" s="201" t="n"/>
      <c r="T533" s="201" t="n"/>
      <c r="U533" s="201" t="n"/>
      <c r="V533" s="201" t="n"/>
      <c r="W533" s="202" t="n"/>
      <c r="X533" s="202" t="n"/>
      <c r="Y533" s="202" t="n"/>
      <c r="Z533" s="202" t="n"/>
      <c r="AA533" s="203" t="n"/>
      <c r="AB533" s="204" t="inlineStr">
        <is>
          <t>09-XL-307HG/PYCNT/CKN/T1/C8</t>
        </is>
      </c>
      <c r="AC533" s="205" t="inlineStr"/>
      <c r="AD533" s="205" t="n"/>
      <c r="AE533" s="205" t="n"/>
      <c r="AF533" s="205" t="n"/>
      <c r="AG533" s="205" t="inlineStr">
        <is>
          <t>NTCV;BBKTĐK</t>
        </is>
      </c>
      <c r="AH533" s="204" t="inlineStr">
        <is>
          <t>&gt;=1;&lt;=5</t>
        </is>
      </c>
      <c r="AI533" s="202" t="n"/>
      <c r="AJ533" s="202" t="n"/>
      <c r="AK533" s="206" t="n"/>
      <c r="AL533" s="202" t="n"/>
      <c r="AM533" s="202" t="n"/>
      <c r="AN533" s="202" t="n"/>
      <c r="AO533" s="202" t="n"/>
      <c r="AP533" s="207" t="n"/>
      <c r="AQ533" s="207" t="n"/>
      <c r="AR533" s="202" t="inlineStr">
        <is>
          <t>Nhóm 1</t>
        </is>
      </c>
      <c r="AS533" s="202" t="n"/>
      <c r="AT533" s="202" t="inlineStr">
        <is>
          <t>HM14</t>
        </is>
      </c>
      <c r="AU533" s="202" t="inlineStr">
        <is>
          <t>PYC</t>
        </is>
      </c>
      <c r="AV533" s="202" t="n">
        <v>181</v>
      </c>
      <c r="AW533" s="202" t="n">
        <v>1</v>
      </c>
      <c r="AX533" s="202" t="n"/>
    </row>
    <row r="534" ht="28" customHeight="1" s="672">
      <c r="A534" s="56" t="inlineStr">
        <is>
          <t>BBK884</t>
        </is>
      </c>
      <c r="B534" s="56" t="inlineStr">
        <is>
          <t>BBKTĐK</t>
        </is>
      </c>
      <c r="C534" s="56" t="inlineStr">
        <is>
          <t>BBK884.0058991</t>
        </is>
      </c>
      <c r="D534" s="57" t="n"/>
      <c r="E534" s="57" t="n"/>
      <c r="F534" s="57" t="n"/>
      <c r="G534" s="57" t="n"/>
      <c r="H534" s="57" t="n"/>
      <c r="J534" s="198" t="inlineStr">
        <is>
          <t>04</t>
        </is>
      </c>
      <c r="K534" s="198" t="inlineStr">
        <is>
          <t>BBKTĐK</t>
        </is>
      </c>
      <c r="L534" s="199" t="inlineStr">
        <is>
          <t>Kiểm tra điều kiện trước khi thi công cọc khoan nhồi: Thiết bị, nhân lực, vật tư</t>
        </is>
      </c>
      <c r="M534" s="199" t="n"/>
      <c r="N534" s="199" t="n"/>
      <c r="O534" s="200" t="inlineStr">
        <is>
          <t>Cầu Km19+529.080</t>
        </is>
      </c>
      <c r="P534" s="201" t="n">
        <v>46220</v>
      </c>
      <c r="Q534" s="201">
        <f>P534</f>
        <v/>
      </c>
      <c r="R534" s="201">
        <f>Q534-1</f>
        <v/>
      </c>
      <c r="S534" s="201">
        <f>Q534</f>
        <v/>
      </c>
      <c r="T534" s="208" t="n">
        <v>0.2916666666666667</v>
      </c>
      <c r="U534" s="208">
        <f>T534+V534</f>
        <v/>
      </c>
      <c r="V534" s="208" t="n">
        <v>0.02083333333333333</v>
      </c>
      <c r="W534" s="202">
        <f>TEXT(T534,"HH""h""MM'")&amp;"÷"&amp;TEXT(U534,"HH""h""MM'")</f>
        <v/>
      </c>
      <c r="X534" s="202" t="n"/>
      <c r="Y534" s="202" t="n"/>
      <c r="Z534" s="202" t="inlineStr">
        <is>
          <t>01;</t>
        </is>
      </c>
      <c r="AA534" s="200" t="inlineStr">
        <is>
          <t>Kiểm tra điều kiện trước khi thi công Cọc khoan nhồi Trụ T1 - Cọc C8</t>
        </is>
      </c>
      <c r="AB534" s="205" t="inlineStr">
        <is>
          <t>09-XL-307HG/PYCNT/CKN/T1/C8-1</t>
        </is>
      </c>
      <c r="AC534" s="205" t="inlineStr">
        <is>
          <t>09-XL-307HG/BBNT/CKN/T1/C8-1</t>
        </is>
      </c>
      <c r="AD534" s="205" t="n"/>
      <c r="AE534" s="205" t="n"/>
      <c r="AF534" s="205" t="n"/>
      <c r="AG534" s="205" t="n"/>
      <c r="AH534" s="205" t="n"/>
      <c r="AI534" s="207" t="n"/>
      <c r="AJ534" s="214" t="n"/>
      <c r="AK534" s="217" t="n"/>
      <c r="AL534" s="214" t="n"/>
      <c r="AM534" s="214" t="n"/>
      <c r="AN534" s="214" t="n"/>
      <c r="AO534" s="202" t="n"/>
      <c r="AP534" s="207" t="n"/>
      <c r="AQ534" s="207" t="n"/>
      <c r="AR534" s="202" t="inlineStr">
        <is>
          <t>Nhóm 1</t>
        </is>
      </c>
      <c r="AS534" s="202" t="n"/>
      <c r="AT534" s="202" t="inlineStr">
        <is>
          <t>HM14</t>
        </is>
      </c>
      <c r="AU534" s="202" t="inlineStr">
        <is>
          <t>BBKTĐK</t>
        </is>
      </c>
      <c r="AV534" s="202" t="n">
        <v>15</v>
      </c>
      <c r="AW534" s="202" t="n">
        <v>1</v>
      </c>
      <c r="AX534" s="202" t="n"/>
    </row>
    <row r="535" ht="28" customHeight="1" s="672">
      <c r="A535" s="56" t="inlineStr">
        <is>
          <t>BBK860</t>
        </is>
      </c>
      <c r="B535" s="56" t="inlineStr">
        <is>
          <t>PL01</t>
        </is>
      </c>
      <c r="C535" s="56" t="inlineStr">
        <is>
          <t>BBK860.0311837</t>
        </is>
      </c>
      <c r="D535" s="57" t="n"/>
      <c r="E535" s="57" t="n"/>
      <c r="F535" s="57" t="n"/>
      <c r="G535" s="57" t="n"/>
      <c r="H535" s="57" t="n"/>
      <c r="J535" s="198" t="inlineStr">
        <is>
          <t>05</t>
        </is>
      </c>
      <c r="K535" s="198" t="inlineStr">
        <is>
          <t>PL01</t>
        </is>
      </c>
      <c r="L535" s="199" t="inlineStr">
        <is>
          <t>Máy móc, thiết bị, nhân lực, vật tư thi công cọc khoan nhồi</t>
        </is>
      </c>
      <c r="M535" s="199" t="n"/>
      <c r="N535" s="199" t="n"/>
      <c r="O535" s="199" t="inlineStr">
        <is>
          <t>Cầu Km19+529.080</t>
        </is>
      </c>
      <c r="P535" s="201" t="n"/>
      <c r="Q535" s="201" t="n"/>
      <c r="R535" s="201" t="n"/>
      <c r="S535" s="201">
        <f>S534</f>
        <v/>
      </c>
      <c r="T535" s="201" t="n"/>
      <c r="U535" s="201" t="n"/>
      <c r="V535" s="201" t="n"/>
      <c r="W535" s="202" t="n"/>
      <c r="X535" s="202" t="n"/>
      <c r="Y535" s="202" t="n"/>
      <c r="Z535" s="198" t="inlineStr">
        <is>
          <t>01</t>
        </is>
      </c>
      <c r="AA535" s="203" t="n"/>
      <c r="AB535" s="204" t="inlineStr">
        <is>
          <t>09-XL-307HG/PYCNT/CKN/T1/C8-1</t>
        </is>
      </c>
      <c r="AC535" s="204">
        <f>AC534</f>
        <v/>
      </c>
      <c r="AD535" s="204" t="n"/>
      <c r="AE535" s="204" t="n"/>
      <c r="AF535" s="204" t="n"/>
      <c r="AG535" s="204" t="n"/>
      <c r="AH535" s="204" t="inlineStr">
        <is>
          <t>CKN</t>
        </is>
      </c>
      <c r="AI535" s="207" t="n"/>
      <c r="AJ535" s="202" t="n"/>
      <c r="AK535" s="206" t="n"/>
      <c r="AL535" s="202" t="n"/>
      <c r="AM535" s="202" t="n"/>
      <c r="AN535" s="202" t="n"/>
      <c r="AO535" s="202" t="n"/>
      <c r="AP535" s="207" t="n"/>
      <c r="AQ535" s="207" t="n"/>
      <c r="AR535" s="202" t="inlineStr">
        <is>
          <t>Nhóm 1</t>
        </is>
      </c>
      <c r="AS535" s="202" t="n"/>
      <c r="AT535" s="202" t="inlineStr">
        <is>
          <t>HM14</t>
        </is>
      </c>
      <c r="AU535" s="202" t="inlineStr">
        <is>
          <t>PL01</t>
        </is>
      </c>
      <c r="AV535" s="202" t="n">
        <v>15</v>
      </c>
      <c r="AW535" s="202" t="n">
        <v>1</v>
      </c>
      <c r="AX535" s="202" t="n"/>
    </row>
    <row r="536" ht="42" customHeight="1" s="672">
      <c r="A536" s="56" t="inlineStr">
        <is>
          <t>NTCV</t>
        </is>
      </c>
      <c r="B536" s="56" t="inlineStr">
        <is>
          <t>K.9999</t>
        </is>
      </c>
      <c r="C536" s="56" t="inlineStr">
        <is>
          <t>NTCV.0603043</t>
        </is>
      </c>
      <c r="D536" s="57" t="n"/>
      <c r="E536" s="57" t="n"/>
      <c r="F536" s="57" t="n"/>
      <c r="G536" s="57" t="n"/>
      <c r="H536" s="57" t="n"/>
      <c r="J536" s="209" t="inlineStr">
        <is>
          <t>06</t>
        </is>
      </c>
      <c r="K536" s="209" t="inlineStr">
        <is>
          <t>K.9999</t>
        </is>
      </c>
      <c r="L536" s="210" t="inlineStr">
        <is>
          <t>Kiểm tra ống vách, dung dịch bentonite trước khi khoan cọc khoan nhồi</t>
        </is>
      </c>
      <c r="M536" s="210" t="n"/>
      <c r="N536" s="210" t="n"/>
      <c r="O536" s="211" t="inlineStr">
        <is>
          <t>Cầu Km19+529.080</t>
        </is>
      </c>
      <c r="P536" s="212">
        <f>S534</f>
        <v/>
      </c>
      <c r="Q536" s="212">
        <f>P536</f>
        <v/>
      </c>
      <c r="R536" s="212">
        <f>Q536-1</f>
        <v/>
      </c>
      <c r="S536" s="212">
        <f>Q536</f>
        <v/>
      </c>
      <c r="T536" s="213">
        <f>U534</f>
        <v/>
      </c>
      <c r="U536" s="213">
        <f>T536+V536</f>
        <v/>
      </c>
      <c r="V536" s="213" t="n">
        <v>0.02083333333333333</v>
      </c>
      <c r="W536" s="214">
        <f>TEXT(T536,"HH""h""MM'")&amp;"÷"&amp;TEXT(U536,"HH""h""MM'")</f>
        <v/>
      </c>
      <c r="X536" s="214" t="n"/>
      <c r="Y536" s="214" t="n"/>
      <c r="Z536" s="214" t="inlineStr">
        <is>
          <t>02; 02a</t>
        </is>
      </c>
      <c r="AA536" s="215" t="inlineStr">
        <is>
          <t>Kiểm tra ống vách, dung dịch bentonite Cọc khoan nhồi Trụ T1 - Cọc C8 trước khi khoan</t>
        </is>
      </c>
      <c r="AB536" s="204" t="inlineStr">
        <is>
          <t>09-XL-307HG/PYCNT/CKN/T1/C8-1</t>
        </is>
      </c>
      <c r="AC536" s="204" t="inlineStr">
        <is>
          <t>09-XL-307HG/BBNT/CKN/T1/C8-2</t>
        </is>
      </c>
      <c r="AD536" s="204" t="n"/>
      <c r="AE536" s="204" t="n"/>
      <c r="AF536" s="204" t="n"/>
      <c r="AG536" s="204" t="n"/>
      <c r="AH536" s="204" t="n"/>
      <c r="AI536" s="216" t="n"/>
      <c r="AJ536" s="214" t="n"/>
      <c r="AK536" s="217" t="n"/>
      <c r="AL536" s="214" t="n"/>
      <c r="AM536" s="214" t="n"/>
      <c r="AN536" s="214" t="n"/>
      <c r="AO536" s="214" t="n"/>
      <c r="AP536" s="216" t="n"/>
      <c r="AQ536" s="216" t="n"/>
      <c r="AR536" s="214" t="inlineStr">
        <is>
          <t>Nhóm 1</t>
        </is>
      </c>
      <c r="AS536" s="214" t="n"/>
      <c r="AT536" s="214" t="inlineStr">
        <is>
          <t>HM14</t>
        </is>
      </c>
      <c r="AU536" s="214" t="inlineStr">
        <is>
          <t>NTCV</t>
        </is>
      </c>
      <c r="AV536" s="214" t="n">
        <v>204</v>
      </c>
      <c r="AW536" s="214" t="n">
        <v>1</v>
      </c>
      <c r="AX536" s="214" t="n"/>
    </row>
    <row r="537">
      <c r="A537" s="56" t="inlineStr">
        <is>
          <t>BBK170</t>
        </is>
      </c>
      <c r="B537" s="56" t="inlineStr">
        <is>
          <t>PL02</t>
        </is>
      </c>
      <c r="C537" s="56" t="inlineStr">
        <is>
          <t>BBK170.0517693</t>
        </is>
      </c>
      <c r="D537" s="57" t="n"/>
      <c r="E537" s="57" t="n"/>
      <c r="F537" s="57" t="n"/>
      <c r="G537" s="57" t="n"/>
      <c r="H537" s="57" t="n"/>
      <c r="J537" s="198" t="inlineStr">
        <is>
          <t>07</t>
        </is>
      </c>
      <c r="K537" s="198" t="inlineStr">
        <is>
          <t>PL02</t>
        </is>
      </c>
      <c r="L537" s="199" t="inlineStr">
        <is>
          <t>Kiểm tra ống vách thi công trước khi hạ</t>
        </is>
      </c>
      <c r="M537" s="199" t="n"/>
      <c r="N537" s="199" t="n"/>
      <c r="O537" s="200" t="inlineStr">
        <is>
          <t>Cầu Km19+529.080</t>
        </is>
      </c>
      <c r="P537" s="201" t="n"/>
      <c r="Q537" s="201" t="n"/>
      <c r="R537" s="201" t="n"/>
      <c r="S537" s="201">
        <f>S536</f>
        <v/>
      </c>
      <c r="T537" s="201" t="n"/>
      <c r="U537" s="201" t="n"/>
      <c r="V537" s="201" t="n"/>
      <c r="W537" s="202" t="n"/>
      <c r="X537" s="202" t="n"/>
      <c r="Y537" s="202" t="n"/>
      <c r="Z537" s="198" t="inlineStr">
        <is>
          <t>02</t>
        </is>
      </c>
      <c r="AA537" s="203" t="n"/>
      <c r="AB537" s="204" t="inlineStr">
        <is>
          <t>09-XL-307HG/PYCNT/CKN/T1/C8-1</t>
        </is>
      </c>
      <c r="AC537" s="204">
        <f>AC536</f>
        <v/>
      </c>
      <c r="AD537" s="204" t="n"/>
      <c r="AE537" s="204" t="n"/>
      <c r="AF537" s="204" t="n"/>
      <c r="AG537" s="204" t="n"/>
      <c r="AH537" s="204" t="inlineStr">
        <is>
          <t>CKN</t>
        </is>
      </c>
      <c r="AI537" s="207" t="n"/>
      <c r="AJ537" s="202" t="n"/>
      <c r="AK537" s="206" t="n"/>
      <c r="AL537" s="202" t="n"/>
      <c r="AM537" s="202" t="n"/>
      <c r="AN537" s="202" t="n"/>
      <c r="AO537" s="202" t="n"/>
      <c r="AP537" s="207" t="n"/>
      <c r="AQ537" s="207" t="inlineStr">
        <is>
          <t>Ảnh\PL02 CKN.png</t>
        </is>
      </c>
      <c r="AR537" s="202" t="inlineStr">
        <is>
          <t>Nhóm 1</t>
        </is>
      </c>
      <c r="AS537" s="202" t="n"/>
      <c r="AT537" s="202" t="inlineStr">
        <is>
          <t>HM14</t>
        </is>
      </c>
      <c r="AU537" s="202" t="inlineStr">
        <is>
          <t>PL02</t>
        </is>
      </c>
      <c r="AV537" s="202" t="n">
        <v>15</v>
      </c>
      <c r="AW537" s="202" t="n">
        <v>1</v>
      </c>
      <c r="AX537" s="202" t="n"/>
    </row>
    <row r="538">
      <c r="A538" s="56" t="inlineStr">
        <is>
          <t>BBK721</t>
        </is>
      </c>
      <c r="B538" s="56" t="inlineStr">
        <is>
          <t>PL02a</t>
        </is>
      </c>
      <c r="C538" s="56" t="inlineStr">
        <is>
          <t>BBK721.0596437</t>
        </is>
      </c>
      <c r="D538" s="57" t="n"/>
      <c r="E538" s="57" t="n"/>
      <c r="F538" s="57" t="n"/>
      <c r="G538" s="57" t="n"/>
      <c r="H538" s="57" t="n"/>
      <c r="J538" s="198" t="inlineStr">
        <is>
          <t>08</t>
        </is>
      </c>
      <c r="K538" s="198" t="inlineStr">
        <is>
          <t>PL02a</t>
        </is>
      </c>
      <c r="L538" s="199" t="inlineStr">
        <is>
          <t>Kiểm tra ống vách thi công trước khi hạ</t>
        </is>
      </c>
      <c r="M538" s="199" t="n"/>
      <c r="N538" s="199" t="n"/>
      <c r="O538" s="200" t="inlineStr">
        <is>
          <t>Cầu Km19+529.080</t>
        </is>
      </c>
      <c r="P538" s="201" t="n"/>
      <c r="Q538" s="201" t="n"/>
      <c r="R538" s="201" t="n"/>
      <c r="S538" s="201">
        <f>S537</f>
        <v/>
      </c>
      <c r="T538" s="201" t="n"/>
      <c r="U538" s="201" t="n"/>
      <c r="V538" s="201" t="n"/>
      <c r="W538" s="202" t="n"/>
      <c r="X538" s="202" t="n"/>
      <c r="Y538" s="202" t="n"/>
      <c r="Z538" s="198" t="inlineStr">
        <is>
          <t>02a</t>
        </is>
      </c>
      <c r="AA538" s="203" t="n"/>
      <c r="AB538" s="204" t="inlineStr">
        <is>
          <t>09-XL-307HG/PYCNT/CKN/T1/C8-1</t>
        </is>
      </c>
      <c r="AC538" s="204">
        <f>AC537</f>
        <v/>
      </c>
      <c r="AD538" s="204" t="n"/>
      <c r="AE538" s="204" t="n"/>
      <c r="AF538" s="204" t="n"/>
      <c r="AG538" s="204" t="n"/>
      <c r="AH538" s="204" t="n"/>
      <c r="AI538" s="207" t="n"/>
      <c r="AJ538" s="202" t="n"/>
      <c r="AK538" s="206" t="n"/>
      <c r="AL538" s="202" t="n"/>
      <c r="AM538" s="202" t="n"/>
      <c r="AN538" s="202" t="n"/>
      <c r="AO538" s="202" t="n"/>
      <c r="AP538" s="207" t="n"/>
      <c r="AQ538" s="207" t="n"/>
      <c r="AR538" s="202" t="inlineStr">
        <is>
          <t>Nhóm 1</t>
        </is>
      </c>
      <c r="AS538" s="202" t="n"/>
      <c r="AT538" s="202" t="inlineStr">
        <is>
          <t>HM14</t>
        </is>
      </c>
      <c r="AU538" s="202" t="inlineStr">
        <is>
          <t>PL02a</t>
        </is>
      </c>
      <c r="AV538" s="202" t="n">
        <v>15</v>
      </c>
      <c r="AW538" s="202" t="n">
        <v>1</v>
      </c>
      <c r="AX538" s="202" t="n"/>
    </row>
    <row r="539" ht="28" customHeight="1" s="672">
      <c r="A539" s="56" t="inlineStr">
        <is>
          <t>NTCV</t>
        </is>
      </c>
      <c r="B539" s="56" t="inlineStr">
        <is>
          <t>K.9999</t>
        </is>
      </c>
      <c r="C539" s="56" t="inlineStr">
        <is>
          <t>NTCV.0329625</t>
        </is>
      </c>
      <c r="D539" s="57" t="n"/>
      <c r="E539" s="57" t="n"/>
      <c r="F539" s="57" t="n"/>
      <c r="G539" s="57" t="n"/>
      <c r="H539" s="57" t="n"/>
      <c r="J539" s="209" t="inlineStr">
        <is>
          <t>09</t>
        </is>
      </c>
      <c r="K539" s="209" t="inlineStr">
        <is>
          <t>K.9999</t>
        </is>
      </c>
      <c r="L539" s="210" t="inlineStr">
        <is>
          <t>Kiểm tra định vị tim cọc khoan nhồi, hạ ống vách thi công</t>
        </is>
      </c>
      <c r="M539" s="210" t="n"/>
      <c r="N539" s="210" t="n"/>
      <c r="O539" s="211" t="inlineStr">
        <is>
          <t>Cầu Km19+529.080</t>
        </is>
      </c>
      <c r="P539" s="212">
        <f>S536</f>
        <v/>
      </c>
      <c r="Q539" s="212">
        <f>P539</f>
        <v/>
      </c>
      <c r="R539" s="212">
        <f>Q539-1</f>
        <v/>
      </c>
      <c r="S539" s="212">
        <f>Q539</f>
        <v/>
      </c>
      <c r="T539" s="213">
        <f>U536</f>
        <v/>
      </c>
      <c r="U539" s="213">
        <f>T539+V539</f>
        <v/>
      </c>
      <c r="V539" s="213" t="n">
        <v>0.02083333333333333</v>
      </c>
      <c r="W539" s="214">
        <f>TEXT(T539,"HH""h""MM'")&amp;"÷"&amp;TEXT(U539,"HH""h""MM'")</f>
        <v/>
      </c>
      <c r="X539" s="214" t="n"/>
      <c r="Y539" s="214" t="n"/>
      <c r="Z539" s="214" t="inlineStr">
        <is>
          <t>03;</t>
        </is>
      </c>
      <c r="AA539" s="215" t="inlineStr">
        <is>
          <t>Kiểm tra định vị Cọc khoan nhồi Trụ T1 - Cọc C8</t>
        </is>
      </c>
      <c r="AB539" s="204" t="inlineStr">
        <is>
          <t>09-XL-307HG/PYCNT/CKN/T1/C8-1</t>
        </is>
      </c>
      <c r="AC539" s="204" t="inlineStr">
        <is>
          <t>09-XL-307HG/BBNT/CKN/T1/C8-3</t>
        </is>
      </c>
      <c r="AD539" s="204" t="n"/>
      <c r="AE539" s="204" t="n"/>
      <c r="AF539" s="204" t="n"/>
      <c r="AG539" s="204" t="n"/>
      <c r="AH539" s="204" t="n"/>
      <c r="AI539" s="216" t="n"/>
      <c r="AJ539" s="214" t="n"/>
      <c r="AK539" s="217" t="n"/>
      <c r="AL539" s="214" t="n"/>
      <c r="AM539" s="214" t="n"/>
      <c r="AN539" s="214" t="n"/>
      <c r="AO539" s="214" t="n"/>
      <c r="AP539" s="216" t="n"/>
      <c r="AQ539" s="216" t="n"/>
      <c r="AR539" s="214" t="inlineStr">
        <is>
          <t>Nhóm 1</t>
        </is>
      </c>
      <c r="AS539" s="214" t="n"/>
      <c r="AT539" s="214" t="inlineStr">
        <is>
          <t>HM14</t>
        </is>
      </c>
      <c r="AU539" s="214" t="inlineStr">
        <is>
          <t>NTCV</t>
        </is>
      </c>
      <c r="AV539" s="214" t="n">
        <v>205</v>
      </c>
      <c r="AW539" s="214" t="n">
        <v>2</v>
      </c>
      <c r="AX539" s="214" t="n"/>
    </row>
    <row r="540" ht="28" customHeight="1" s="672">
      <c r="A540" s="56" t="inlineStr">
        <is>
          <t>BBK478</t>
        </is>
      </c>
      <c r="B540" s="56" t="inlineStr">
        <is>
          <t>PL03</t>
        </is>
      </c>
      <c r="C540" s="56" t="inlineStr">
        <is>
          <t>BBK478.0909298</t>
        </is>
      </c>
      <c r="D540" s="57" t="n"/>
      <c r="E540" s="57" t="n"/>
      <c r="F540" s="57" t="n"/>
      <c r="G540" s="57" t="n"/>
      <c r="H540" s="57" t="n"/>
      <c r="J540" s="198" t="inlineStr">
        <is>
          <t>10</t>
        </is>
      </c>
      <c r="K540" s="198" t="inlineStr">
        <is>
          <t>PL03</t>
        </is>
      </c>
      <c r="L540" s="199" t="inlineStr">
        <is>
          <t>Kiểm tra định vị tim cọc khoan nhồi, hạ ống vách thi công</t>
        </is>
      </c>
      <c r="M540" s="199" t="n"/>
      <c r="N540" s="199" t="n"/>
      <c r="O540" s="200" t="inlineStr">
        <is>
          <t>Cầu Km19+529.080</t>
        </is>
      </c>
      <c r="P540" s="201" t="n"/>
      <c r="Q540" s="201" t="n"/>
      <c r="R540" s="201" t="n"/>
      <c r="S540" s="201">
        <f>S539</f>
        <v/>
      </c>
      <c r="T540" s="201" t="n"/>
      <c r="U540" s="201" t="n"/>
      <c r="V540" s="201" t="n"/>
      <c r="W540" s="202" t="n"/>
      <c r="X540" s="202" t="n"/>
      <c r="Y540" s="202" t="n"/>
      <c r="Z540" s="198" t="inlineStr">
        <is>
          <t>03</t>
        </is>
      </c>
      <c r="AA540" s="203" t="n"/>
      <c r="AB540" s="204" t="inlineStr">
        <is>
          <t>09-XL-307HG/PYCNT/CKN/T1/C8-1</t>
        </is>
      </c>
      <c r="AC540" s="204">
        <f>AC539</f>
        <v/>
      </c>
      <c r="AD540" s="255" t="n">
        <v>2481753.749</v>
      </c>
      <c r="AE540" s="255" t="n">
        <v>382410.83</v>
      </c>
      <c r="AF540" s="255" t="n">
        <v>169.36</v>
      </c>
      <c r="AG540" s="255" t="n"/>
      <c r="AH540" s="204" t="inlineStr">
        <is>
          <t>&gt;=192;&lt;=210</t>
        </is>
      </c>
      <c r="AI540" s="207" t="n"/>
      <c r="AJ540" s="202" t="n"/>
      <c r="AK540" s="206" t="n"/>
      <c r="AL540" s="202" t="n"/>
      <c r="AM540" s="202" t="n"/>
      <c r="AN540" s="202" t="n"/>
      <c r="AO540" s="202" t="n"/>
      <c r="AP540" s="207" t="n"/>
      <c r="AQ540" s="207" t="n"/>
      <c r="AR540" s="202" t="inlineStr">
        <is>
          <t>Nhóm 1</t>
        </is>
      </c>
      <c r="AS540" s="202" t="n"/>
      <c r="AT540" s="202" t="inlineStr">
        <is>
          <t>HM14</t>
        </is>
      </c>
      <c r="AU540" s="202" t="inlineStr">
        <is>
          <t>PL03</t>
        </is>
      </c>
      <c r="AV540" s="202" t="n">
        <v>15</v>
      </c>
      <c r="AW540" s="202" t="n">
        <v>1</v>
      </c>
      <c r="AX540" s="202" t="n"/>
    </row>
    <row r="541" ht="28" customHeight="1" s="672">
      <c r="A541" s="56" t="inlineStr">
        <is>
          <t>NTCV</t>
        </is>
      </c>
      <c r="B541" s="56" t="inlineStr">
        <is>
          <t>K.9999</t>
        </is>
      </c>
      <c r="C541" s="56" t="inlineStr">
        <is>
          <t>NTCV.0770071</t>
        </is>
      </c>
      <c r="D541" s="57" t="n"/>
      <c r="E541" s="57" t="n"/>
      <c r="F541" s="57" t="n"/>
      <c r="G541" s="57" t="n"/>
      <c r="H541" s="57" t="n"/>
      <c r="J541" s="209" t="inlineStr">
        <is>
          <t>11</t>
        </is>
      </c>
      <c r="K541" s="209" t="inlineStr">
        <is>
          <t>K.9999</t>
        </is>
      </c>
      <c r="L541" s="210" t="inlineStr">
        <is>
          <t>Nghiệm thu lồng thép cọc khoan nhồi trước khi hạ</t>
        </is>
      </c>
      <c r="M541" s="210" t="n"/>
      <c r="N541" s="210" t="n"/>
      <c r="O541" s="211" t="inlineStr">
        <is>
          <t>Cầu Km19+529.080</t>
        </is>
      </c>
      <c r="P541" s="212">
        <f>S539</f>
        <v/>
      </c>
      <c r="Q541" s="212">
        <f>P541</f>
        <v/>
      </c>
      <c r="R541" s="212">
        <f>Q541-1</f>
        <v/>
      </c>
      <c r="S541" s="212">
        <f>Q541</f>
        <v/>
      </c>
      <c r="T541" s="213">
        <f>U539</f>
        <v/>
      </c>
      <c r="U541" s="213">
        <f>T541+V541</f>
        <v/>
      </c>
      <c r="V541" s="213" t="n">
        <v>0.02083333333333333</v>
      </c>
      <c r="W541" s="214">
        <f>TEXT(T541,"HH""h""MM'")&amp;"÷"&amp;TEXT(U541,"HH""h""MM'")</f>
        <v/>
      </c>
      <c r="X541" s="214" t="n"/>
      <c r="Y541" s="214" t="n"/>
      <c r="Z541" s="214" t="inlineStr">
        <is>
          <t>04;</t>
        </is>
      </c>
      <c r="AA541" s="215" t="inlineStr">
        <is>
          <t>Nghiệm thu lồng thép Cọc khoan nhồi Trụ T1 - Cọc C8</t>
        </is>
      </c>
      <c r="AB541" s="204" t="inlineStr">
        <is>
          <t>09-XL-307HG/PYCNT/CKN/T1/C8-1</t>
        </is>
      </c>
      <c r="AC541" s="204" t="inlineStr">
        <is>
          <t>09-XL-307HG/BBNT/CKN/T1/C8-4</t>
        </is>
      </c>
      <c r="AD541" s="204" t="n"/>
      <c r="AE541" s="204" t="n"/>
      <c r="AF541" s="204" t="n"/>
      <c r="AG541" s="204" t="n"/>
      <c r="AH541" s="204" t="n"/>
      <c r="AI541" s="216" t="n"/>
      <c r="AJ541" s="214" t="n"/>
      <c r="AK541" s="217" t="n"/>
      <c r="AL541" s="214" t="n"/>
      <c r="AM541" s="214" t="n"/>
      <c r="AN541" s="214" t="n"/>
      <c r="AO541" s="214" t="n"/>
      <c r="AP541" s="216" t="n"/>
      <c r="AQ541" s="216" t="n"/>
      <c r="AR541" s="214" t="inlineStr">
        <is>
          <t>Nhóm 1</t>
        </is>
      </c>
      <c r="AS541" s="214" t="n"/>
      <c r="AT541" s="214" t="inlineStr">
        <is>
          <t>HM14</t>
        </is>
      </c>
      <c r="AU541" s="214" t="inlineStr">
        <is>
          <t>NTCV</t>
        </is>
      </c>
      <c r="AV541" s="214" t="n">
        <v>209</v>
      </c>
      <c r="AW541" s="214" t="n">
        <v>3</v>
      </c>
      <c r="AX541" s="214" t="n"/>
    </row>
    <row r="542">
      <c r="A542" s="56" t="inlineStr">
        <is>
          <t>BBK096</t>
        </is>
      </c>
      <c r="B542" s="56" t="inlineStr">
        <is>
          <t>PL04</t>
        </is>
      </c>
      <c r="C542" s="56" t="inlineStr">
        <is>
          <t>BBK096.0575873</t>
        </is>
      </c>
      <c r="D542" s="57" t="n"/>
      <c r="E542" s="57" t="n"/>
      <c r="F542" s="57" t="n"/>
      <c r="G542" s="57" t="n"/>
      <c r="H542" s="57" t="n"/>
      <c r="J542" s="198" t="inlineStr">
        <is>
          <t>12</t>
        </is>
      </c>
      <c r="K542" s="198" t="inlineStr">
        <is>
          <t>PL04</t>
        </is>
      </c>
      <c r="L542" s="199" t="inlineStr">
        <is>
          <t>Nghiệm thu lồng thép cọc khoan nhồi trước khi hạ</t>
        </is>
      </c>
      <c r="M542" s="199" t="n"/>
      <c r="N542" s="199" t="n"/>
      <c r="O542" s="200" t="inlineStr">
        <is>
          <t>Cầu Km19+529.080</t>
        </is>
      </c>
      <c r="P542" s="201" t="n"/>
      <c r="Q542" s="201" t="n"/>
      <c r="R542" s="201" t="n"/>
      <c r="S542" s="201">
        <f>S541</f>
        <v/>
      </c>
      <c r="T542" s="201" t="n"/>
      <c r="U542" s="201" t="n"/>
      <c r="V542" s="201" t="n"/>
      <c r="W542" s="202" t="n"/>
      <c r="X542" s="202" t="n"/>
      <c r="Y542" s="202" t="n"/>
      <c r="Z542" s="198" t="inlineStr">
        <is>
          <t>04</t>
        </is>
      </c>
      <c r="AA542" s="203" t="n"/>
      <c r="AB542" s="204" t="inlineStr">
        <is>
          <t>09-XL-307HG/PYCNT/CKN/T1/C8-1</t>
        </is>
      </c>
      <c r="AC542" s="204">
        <f>AC541</f>
        <v/>
      </c>
      <c r="AD542" s="204" t="n"/>
      <c r="AE542" s="204" t="n"/>
      <c r="AF542" s="204" t="n"/>
      <c r="AG542" s="204" t="n"/>
      <c r="AH542" s="204" t="inlineStr">
        <is>
          <t>T1</t>
        </is>
      </c>
      <c r="AI542" s="207" t="n"/>
      <c r="AJ542" s="202" t="n"/>
      <c r="AK542" s="206" t="n"/>
      <c r="AL542" s="202" t="n"/>
      <c r="AM542" s="202" t="n"/>
      <c r="AN542" s="202" t="n"/>
      <c r="AO542" s="202" t="n"/>
      <c r="AP542" s="207" t="n"/>
      <c r="AQ542" s="207" t="n"/>
      <c r="AR542" s="202" t="inlineStr">
        <is>
          <t>Nhóm 1</t>
        </is>
      </c>
      <c r="AS542" s="202" t="n"/>
      <c r="AT542" s="202" t="inlineStr">
        <is>
          <t>HM14</t>
        </is>
      </c>
      <c r="AU542" s="202" t="inlineStr">
        <is>
          <t>PL04</t>
        </is>
      </c>
      <c r="AV542" s="202" t="n">
        <v>15</v>
      </c>
      <c r="AW542" s="202" t="n">
        <v>1</v>
      </c>
      <c r="AX542" s="202" t="n"/>
    </row>
    <row r="543" ht="28" customHeight="1" s="672">
      <c r="A543" s="56" t="inlineStr">
        <is>
          <t>NTCV</t>
        </is>
      </c>
      <c r="B543" s="56" t="inlineStr">
        <is>
          <t>K.9999</t>
        </is>
      </c>
      <c r="C543" s="56" t="inlineStr">
        <is>
          <t>NTCV.0431600</t>
        </is>
      </c>
      <c r="D543" s="57" t="n"/>
      <c r="E543" s="57" t="n"/>
      <c r="F543" s="57" t="n"/>
      <c r="G543" s="57" t="n"/>
      <c r="H543" s="57" t="n"/>
      <c r="J543" s="209" t="inlineStr">
        <is>
          <t>13</t>
        </is>
      </c>
      <c r="K543" s="209" t="inlineStr">
        <is>
          <t>K.9999</t>
        </is>
      </c>
      <c r="L543" s="210" t="inlineStr">
        <is>
          <t xml:space="preserve">Kiểm tra công tác khoan tạo lỗ cọc khoan nhồi </t>
        </is>
      </c>
      <c r="M543" s="210" t="n"/>
      <c r="N543" s="210" t="n"/>
      <c r="O543" s="211" t="inlineStr">
        <is>
          <t>Cầu Km19+529.080</t>
        </is>
      </c>
      <c r="P543" s="212">
        <f>S541</f>
        <v/>
      </c>
      <c r="Q543" s="212">
        <f>P543</f>
        <v/>
      </c>
      <c r="R543" s="212">
        <f>Q543-1</f>
        <v/>
      </c>
      <c r="S543" s="212">
        <f>Q543</f>
        <v/>
      </c>
      <c r="T543" s="213">
        <f>U541</f>
        <v/>
      </c>
      <c r="U543" s="213" t="n">
        <v>0.75</v>
      </c>
      <c r="V543" s="213">
        <f>U543-T543</f>
        <v/>
      </c>
      <c r="W543" s="214">
        <f>TEXT(T543,"HH""h""MM'")&amp;"÷"&amp;TEXT(U543,"HH""h""MM'")</f>
        <v/>
      </c>
      <c r="X543" s="214" t="n"/>
      <c r="Y543" s="214" t="n"/>
      <c r="Z543" s="214" t="inlineStr">
        <is>
          <t>05;</t>
        </is>
      </c>
      <c r="AA543" s="215" t="inlineStr">
        <is>
          <t>Kiểm tra công tác khoan tạo lỗ Cọc khoan nhồi Trụ T1 - Cọc C8</t>
        </is>
      </c>
      <c r="AB543" s="204" t="inlineStr">
        <is>
          <t>09-XL-307HG/PYCNT/CKN/T1/C8-1</t>
        </is>
      </c>
      <c r="AC543" s="204" t="inlineStr">
        <is>
          <t>09-XL-307HG/BBNT/CKN/T1/C8-5</t>
        </is>
      </c>
      <c r="AD543" s="204" t="n"/>
      <c r="AE543" s="204" t="n"/>
      <c r="AF543" s="204" t="n"/>
      <c r="AG543" s="204" t="n"/>
      <c r="AH543" s="204" t="n"/>
      <c r="AI543" s="216" t="n"/>
      <c r="AJ543" s="214" t="n"/>
      <c r="AK543" s="217" t="n"/>
      <c r="AL543" s="214" t="n"/>
      <c r="AM543" s="214" t="n"/>
      <c r="AN543" s="214" t="n"/>
      <c r="AO543" s="214" t="n"/>
      <c r="AP543" s="216" t="n"/>
      <c r="AQ543" s="216" t="n"/>
      <c r="AR543" s="214" t="inlineStr">
        <is>
          <t>Nhóm 1</t>
        </is>
      </c>
      <c r="AS543" s="214" t="n"/>
      <c r="AT543" s="214" t="inlineStr">
        <is>
          <t>HM14</t>
        </is>
      </c>
      <c r="AU543" s="214" t="inlineStr">
        <is>
          <t>NTCV</t>
        </is>
      </c>
      <c r="AV543" s="214" t="n">
        <v>211</v>
      </c>
      <c r="AW543" s="214" t="n">
        <v>4</v>
      </c>
      <c r="AX543" s="214" t="n"/>
    </row>
    <row r="544">
      <c r="A544" s="56" t="inlineStr">
        <is>
          <t>BBK638</t>
        </is>
      </c>
      <c r="B544" s="56" t="inlineStr">
        <is>
          <t>PL05</t>
        </is>
      </c>
      <c r="C544" s="56" t="inlineStr">
        <is>
          <t>BBK638.0732524</t>
        </is>
      </c>
      <c r="D544" s="57" t="n"/>
      <c r="E544" s="57" t="n"/>
      <c r="F544" s="57" t="n"/>
      <c r="G544" s="57" t="n"/>
      <c r="H544" s="57" t="n"/>
      <c r="J544" s="198" t="inlineStr">
        <is>
          <t>14</t>
        </is>
      </c>
      <c r="K544" s="198" t="inlineStr">
        <is>
          <t>PL05</t>
        </is>
      </c>
      <c r="L544" s="199" t="inlineStr">
        <is>
          <t>Kiểm tra công tác khoan tạo lỗ cọc khoan nhồi</t>
        </is>
      </c>
      <c r="M544" s="199" t="n"/>
      <c r="N544" s="199" t="n"/>
      <c r="O544" s="200" t="inlineStr">
        <is>
          <t>Cầu Km19+529.080</t>
        </is>
      </c>
      <c r="P544" s="201" t="n"/>
      <c r="Q544" s="201" t="n"/>
      <c r="R544" s="201" t="n"/>
      <c r="S544" s="201">
        <f>S543</f>
        <v/>
      </c>
      <c r="T544" s="208">
        <f>T543</f>
        <v/>
      </c>
      <c r="U544" s="208" t="n">
        <v>0.75</v>
      </c>
      <c r="V544" s="208">
        <f>U544-T544</f>
        <v/>
      </c>
      <c r="W544" s="202" t="n"/>
      <c r="X544" s="202" t="n"/>
      <c r="Y544" s="202" t="n"/>
      <c r="Z544" s="198" t="inlineStr">
        <is>
          <t>05</t>
        </is>
      </c>
      <c r="AA544" s="203" t="n"/>
      <c r="AB544" s="204" t="inlineStr">
        <is>
          <t>09-XL-307HG/PYCNT/CKN/T1/C8</t>
        </is>
      </c>
      <c r="AC544" s="204">
        <f>AC543</f>
        <v/>
      </c>
      <c r="AD544" s="204" t="n"/>
      <c r="AE544" s="204" t="n"/>
      <c r="AF544" s="255" t="n">
        <v>169.36</v>
      </c>
      <c r="AG544" s="255" t="n"/>
      <c r="AH544" s="204" t="inlineStr">
        <is>
          <t>T1-C8</t>
        </is>
      </c>
      <c r="AI544" s="207" t="n"/>
      <c r="AJ544" s="202" t="n"/>
      <c r="AK544" s="206" t="n"/>
      <c r="AL544" s="202" t="n"/>
      <c r="AM544" s="202" t="n"/>
      <c r="AN544" s="202" t="n"/>
      <c r="AO544" s="202" t="n"/>
      <c r="AP544" s="207" t="n"/>
      <c r="AQ544" s="207" t="n"/>
      <c r="AR544" s="202" t="inlineStr">
        <is>
          <t>Nhóm 1</t>
        </is>
      </c>
      <c r="AS544" s="202" t="n"/>
      <c r="AT544" s="202" t="inlineStr">
        <is>
          <t>HM14</t>
        </is>
      </c>
      <c r="AU544" s="202" t="inlineStr">
        <is>
          <t>PL05</t>
        </is>
      </c>
      <c r="AV544" s="202" t="n">
        <v>15</v>
      </c>
      <c r="AW544" s="202" t="n">
        <v>1</v>
      </c>
      <c r="AX544" s="202" t="n"/>
    </row>
    <row r="545">
      <c r="A545" s="56" t="inlineStr">
        <is>
          <t>BBK680</t>
        </is>
      </c>
      <c r="B545" s="56" t="inlineStr">
        <is>
          <t>PYC</t>
        </is>
      </c>
      <c r="C545" s="56" t="inlineStr">
        <is>
          <t>BBK680.0162942</t>
        </is>
      </c>
      <c r="D545" s="57" t="n"/>
      <c r="E545" s="57" t="n"/>
      <c r="F545" s="57" t="n"/>
      <c r="G545" s="57" t="n"/>
      <c r="H545" s="57" t="n"/>
      <c r="J545" s="198" t="inlineStr">
        <is>
          <t>15</t>
        </is>
      </c>
      <c r="K545" s="198" t="inlineStr">
        <is>
          <t>PYC</t>
        </is>
      </c>
      <c r="L545" s="199" t="inlineStr">
        <is>
          <t>Phiếu yêu cầu nghiệm thu</t>
        </is>
      </c>
      <c r="M545" s="199" t="n"/>
      <c r="N545" s="199" t="n"/>
      <c r="O545" s="200" t="inlineStr">
        <is>
          <t>Cầu Km19+529.080</t>
        </is>
      </c>
      <c r="P545" s="201" t="n"/>
      <c r="Q545" s="201" t="n"/>
      <c r="R545" s="201">
        <f>R546</f>
        <v/>
      </c>
      <c r="S545" s="201" t="n"/>
      <c r="T545" s="201" t="n"/>
      <c r="U545" s="201" t="n"/>
      <c r="V545" s="201" t="n"/>
      <c r="W545" s="202" t="n"/>
      <c r="X545" s="202" t="n"/>
      <c r="Y545" s="202" t="n"/>
      <c r="Z545" s="202" t="n"/>
      <c r="AA545" s="203" t="n"/>
      <c r="AB545" s="204" t="inlineStr">
        <is>
          <t>09-XL-307HG/PYCNT/CKN/T1/C8</t>
        </is>
      </c>
      <c r="AC545" s="205" t="inlineStr"/>
      <c r="AD545" s="205" t="n"/>
      <c r="AE545" s="205" t="n"/>
      <c r="AF545" s="205" t="n"/>
      <c r="AG545" s="205" t="inlineStr">
        <is>
          <t>NTCV;BBKTĐK</t>
        </is>
      </c>
      <c r="AH545" s="204" t="inlineStr">
        <is>
          <t>&gt;=6;&lt;=10</t>
        </is>
      </c>
      <c r="AI545" s="202" t="n"/>
      <c r="AJ545" s="202" t="n"/>
      <c r="AK545" s="206" t="n"/>
      <c r="AL545" s="202" t="n"/>
      <c r="AM545" s="202" t="n"/>
      <c r="AN545" s="202" t="n"/>
      <c r="AO545" s="202" t="n"/>
      <c r="AP545" s="207" t="n"/>
      <c r="AQ545" s="207" t="n"/>
      <c r="AR545" s="202" t="inlineStr">
        <is>
          <t>Nhóm 1</t>
        </is>
      </c>
      <c r="AS545" s="202" t="n"/>
      <c r="AT545" s="202" t="inlineStr">
        <is>
          <t>HM14</t>
        </is>
      </c>
      <c r="AU545" s="202" t="inlineStr">
        <is>
          <t>PYC</t>
        </is>
      </c>
      <c r="AV545" s="202" t="n">
        <v>182</v>
      </c>
      <c r="AW545" s="202" t="n">
        <v>2</v>
      </c>
      <c r="AX545" s="202" t="n"/>
    </row>
    <row r="546" ht="42" customHeight="1" s="672">
      <c r="A546" s="56" t="inlineStr">
        <is>
          <t>NTCV</t>
        </is>
      </c>
      <c r="B546" s="56" t="inlineStr">
        <is>
          <t>K.9999</t>
        </is>
      </c>
      <c r="C546" s="56" t="inlineStr">
        <is>
          <t>NTCV.0059616</t>
        </is>
      </c>
      <c r="D546" s="57" t="n"/>
      <c r="E546" s="57" t="n"/>
      <c r="F546" s="57" t="n"/>
      <c r="G546" s="57" t="n"/>
      <c r="H546" s="57" t="n"/>
      <c r="J546" s="209" t="inlineStr">
        <is>
          <t>16</t>
        </is>
      </c>
      <c r="K546" s="209" t="inlineStr">
        <is>
          <t>K.9999</t>
        </is>
      </c>
      <c r="L546" s="210" t="inlineStr">
        <is>
          <t>Kiểm tra công tác vệ sinh lỗ khoan trước khi hạ lồng cốt thép cọc khoan nhồi</t>
        </is>
      </c>
      <c r="M546" s="210" t="n"/>
      <c r="N546" s="210" t="n"/>
      <c r="O546" s="211" t="inlineStr">
        <is>
          <t>Cầu Km19+529.080</t>
        </is>
      </c>
      <c r="P546" s="212">
        <f>S543+1</f>
        <v/>
      </c>
      <c r="Q546" s="212">
        <f>P546</f>
        <v/>
      </c>
      <c r="R546" s="212">
        <f>Q546-1</f>
        <v/>
      </c>
      <c r="S546" s="212">
        <f>Q546</f>
        <v/>
      </c>
      <c r="T546" s="213" t="n">
        <v>0.3541666666666667</v>
      </c>
      <c r="U546" s="213">
        <f>T546+V546</f>
        <v/>
      </c>
      <c r="V546" s="213" t="n">
        <v>0.01388888888888889</v>
      </c>
      <c r="W546" s="214">
        <f>TEXT(T546,"HH""h""MM'")&amp;"÷"&amp;TEXT(U546,"HH""h""MM'")</f>
        <v/>
      </c>
      <c r="X546" s="214" t="n"/>
      <c r="Y546" s="214" t="n"/>
      <c r="Z546" s="214" t="inlineStr">
        <is>
          <t>06;</t>
        </is>
      </c>
      <c r="AA546" s="215" t="inlineStr">
        <is>
          <t>Kiểm tra công tác vệ sinh lỗ khoan trước khi hạ lồng cốt thép Cọc khoan nhồi Trụ T1 - Cọc C8</t>
        </is>
      </c>
      <c r="AB546" s="204" t="inlineStr">
        <is>
          <t>09-XL-307HG/PYCNT/CKN/T1/C8-2</t>
        </is>
      </c>
      <c r="AC546" s="204" t="inlineStr">
        <is>
          <t>09-XL-307HG/BBNT/CKN/T1/C8-6</t>
        </is>
      </c>
      <c r="AD546" s="204" t="n"/>
      <c r="AE546" s="204" t="n"/>
      <c r="AF546" s="204" t="n"/>
      <c r="AG546" s="204" t="n"/>
      <c r="AH546" s="204" t="n"/>
      <c r="AI546" s="216" t="n"/>
      <c r="AJ546" s="214" t="n"/>
      <c r="AK546" s="217" t="n"/>
      <c r="AL546" s="214" t="n"/>
      <c r="AM546" s="214" t="n"/>
      <c r="AN546" s="214" t="n"/>
      <c r="AO546" s="214" t="n"/>
      <c r="AP546" s="216" t="n"/>
      <c r="AQ546" s="216" t="n"/>
      <c r="AR546" s="214" t="inlineStr">
        <is>
          <t>Nhóm 1</t>
        </is>
      </c>
      <c r="AS546" s="214" t="n"/>
      <c r="AT546" s="214" t="inlineStr">
        <is>
          <t>HM14</t>
        </is>
      </c>
      <c r="AU546" s="214" t="inlineStr">
        <is>
          <t>NTCV</t>
        </is>
      </c>
      <c r="AV546" s="214" t="n">
        <v>218</v>
      </c>
      <c r="AW546" s="214" t="n">
        <v>5</v>
      </c>
      <c r="AX546" s="214" t="n"/>
    </row>
    <row r="547" ht="28" customHeight="1" s="672">
      <c r="A547" s="56" t="inlineStr">
        <is>
          <t>BBK570</t>
        </is>
      </c>
      <c r="B547" s="56" t="inlineStr">
        <is>
          <t>PL06</t>
        </is>
      </c>
      <c r="C547" s="56" t="inlineStr">
        <is>
          <t>BBK570.0243310</t>
        </is>
      </c>
      <c r="D547" s="57" t="n"/>
      <c r="E547" s="57" t="n"/>
      <c r="F547" s="57" t="n"/>
      <c r="G547" s="57" t="n"/>
      <c r="H547" s="57" t="n"/>
      <c r="J547" s="198" t="inlineStr">
        <is>
          <t>17</t>
        </is>
      </c>
      <c r="K547" s="198" t="inlineStr">
        <is>
          <t>PL06</t>
        </is>
      </c>
      <c r="L547" s="199" t="inlineStr">
        <is>
          <t>Kiểm tra công tác vệ sinh lỗ khoan trước khi hạ lồng cốt thép cọc khoan nhồi</t>
        </is>
      </c>
      <c r="M547" s="199" t="n"/>
      <c r="N547" s="199" t="n"/>
      <c r="O547" s="200" t="inlineStr">
        <is>
          <t>Cầu Km19+529.080</t>
        </is>
      </c>
      <c r="P547" s="201" t="n"/>
      <c r="Q547" s="201" t="n"/>
      <c r="R547" s="201" t="n"/>
      <c r="S547" s="201">
        <f>S546</f>
        <v/>
      </c>
      <c r="T547" s="201" t="n"/>
      <c r="U547" s="201" t="n"/>
      <c r="V547" s="201" t="n"/>
      <c r="W547" s="202" t="n"/>
      <c r="X547" s="265" t="n">
        <v>127.36</v>
      </c>
      <c r="Y547" s="265">
        <f>X547-0.02</f>
        <v/>
      </c>
      <c r="Z547" s="198" t="inlineStr">
        <is>
          <t>06</t>
        </is>
      </c>
      <c r="AA547" s="203" t="n"/>
      <c r="AB547" s="204" t="inlineStr">
        <is>
          <t>09-XL-307HG/PYCNT/CKN/T1/C8-2</t>
        </is>
      </c>
      <c r="AC547" s="204">
        <f>AC546</f>
        <v/>
      </c>
      <c r="AD547" s="204" t="n"/>
      <c r="AE547" s="204" t="n"/>
      <c r="AF547" s="204" t="n"/>
      <c r="AG547" s="204" t="n"/>
      <c r="AH547" s="204" t="n"/>
      <c r="AI547" s="202" t="n"/>
      <c r="AJ547" s="202" t="n"/>
      <c r="AK547" s="206" t="n"/>
      <c r="AL547" s="202" t="n"/>
      <c r="AM547" s="202" t="n"/>
      <c r="AN547" s="202" t="n"/>
      <c r="AO547" s="202" t="n"/>
      <c r="AP547" s="207" t="n"/>
      <c r="AQ547" s="207" t="n"/>
      <c r="AR547" s="202" t="inlineStr">
        <is>
          <t>Nhóm 1</t>
        </is>
      </c>
      <c r="AS547" s="202" t="n"/>
      <c r="AT547" s="202" t="inlineStr">
        <is>
          <t>HM14</t>
        </is>
      </c>
      <c r="AU547" s="202" t="inlineStr">
        <is>
          <t>PL06</t>
        </is>
      </c>
      <c r="AV547" s="202" t="n">
        <v>15</v>
      </c>
      <c r="AW547" s="202" t="n">
        <v>1</v>
      </c>
      <c r="AX547" s="202" t="n"/>
    </row>
    <row r="548" ht="28" customHeight="1" s="672">
      <c r="A548" s="56" t="inlineStr">
        <is>
          <t>NTCV</t>
        </is>
      </c>
      <c r="B548" s="56" t="inlineStr">
        <is>
          <t>K.9999</t>
        </is>
      </c>
      <c r="C548" s="56" t="inlineStr">
        <is>
          <t>NTCV.0758574</t>
        </is>
      </c>
      <c r="D548" s="57" t="n"/>
      <c r="E548" s="57" t="n"/>
      <c r="F548" s="57" t="n"/>
      <c r="G548" s="57" t="n"/>
      <c r="H548" s="57" t="n"/>
      <c r="J548" s="209" t="inlineStr">
        <is>
          <t>18</t>
        </is>
      </c>
      <c r="K548" s="209" t="inlineStr">
        <is>
          <t>K.9999</t>
        </is>
      </c>
      <c r="L548" s="210" t="inlineStr">
        <is>
          <t xml:space="preserve">Nghiệm thu công tác hạ lồng thép </t>
        </is>
      </c>
      <c r="M548" s="210" t="n"/>
      <c r="N548" s="210" t="n"/>
      <c r="O548" s="211" t="inlineStr">
        <is>
          <t>Cầu Km19+529.080</t>
        </is>
      </c>
      <c r="P548" s="212">
        <f>S546</f>
        <v/>
      </c>
      <c r="Q548" s="212">
        <f>P548</f>
        <v/>
      </c>
      <c r="R548" s="212">
        <f>Q548-1</f>
        <v/>
      </c>
      <c r="S548" s="212">
        <f>Q548</f>
        <v/>
      </c>
      <c r="T548" s="213">
        <f>U546</f>
        <v/>
      </c>
      <c r="U548" s="213">
        <f>T548+V548</f>
        <v/>
      </c>
      <c r="V548" s="213" t="n">
        <v>0.04166666666666666</v>
      </c>
      <c r="W548" s="214">
        <f>TEXT(T548,"HH""h""MM'")&amp;"÷"&amp;TEXT(U548,"HH""h""MM'")</f>
        <v/>
      </c>
      <c r="X548" s="214" t="n"/>
      <c r="Y548" s="214" t="n"/>
      <c r="Z548" s="214" t="inlineStr">
        <is>
          <t>07;</t>
        </is>
      </c>
      <c r="AA548" s="215" t="inlineStr">
        <is>
          <t>Công tác hạ lồng thép Cọc khoan nhồi Trụ T1 - Cọc C8</t>
        </is>
      </c>
      <c r="AB548" s="204" t="inlineStr">
        <is>
          <t>09-XL-307HG/PYCNT/CKN/T1/C8-2</t>
        </is>
      </c>
      <c r="AC548" s="204" t="inlineStr">
        <is>
          <t>09-XL-307HG/BBNT/CKN/T1/C8-7</t>
        </is>
      </c>
      <c r="AD548" s="204" t="n"/>
      <c r="AE548" s="204" t="n"/>
      <c r="AF548" s="204" t="n"/>
      <c r="AG548" s="204" t="n"/>
      <c r="AH548" s="204" t="n"/>
      <c r="AI548" s="214" t="n"/>
      <c r="AJ548" s="214" t="n"/>
      <c r="AK548" s="217" t="n"/>
      <c r="AL548" s="214" t="n"/>
      <c r="AM548" s="214" t="n"/>
      <c r="AN548" s="214" t="n"/>
      <c r="AO548" s="214" t="n"/>
      <c r="AP548" s="216" t="n"/>
      <c r="AQ548" s="216" t="n"/>
      <c r="AR548" s="214" t="inlineStr">
        <is>
          <t>Nhóm 1</t>
        </is>
      </c>
      <c r="AS548" s="214" t="n"/>
      <c r="AT548" s="214" t="inlineStr">
        <is>
          <t>HM14</t>
        </is>
      </c>
      <c r="AU548" s="214" t="inlineStr">
        <is>
          <t>NTCV</t>
        </is>
      </c>
      <c r="AV548" s="214" t="n">
        <v>222</v>
      </c>
      <c r="AW548" s="214" t="n">
        <v>6</v>
      </c>
      <c r="AX548" s="214" t="n"/>
    </row>
    <row r="549">
      <c r="A549" s="56" t="inlineStr">
        <is>
          <t>BBK396</t>
        </is>
      </c>
      <c r="B549" s="56" t="inlineStr">
        <is>
          <t>PL07</t>
        </is>
      </c>
      <c r="C549" s="56" t="inlineStr">
        <is>
          <t>BBK396.0951247</t>
        </is>
      </c>
      <c r="D549" s="57" t="n"/>
      <c r="E549" s="57" t="n"/>
      <c r="F549" s="57" t="n"/>
      <c r="G549" s="57" t="n"/>
      <c r="H549" s="57" t="n"/>
      <c r="J549" s="198" t="inlineStr">
        <is>
          <t>19</t>
        </is>
      </c>
      <c r="K549" s="198" t="inlineStr">
        <is>
          <t>PL07</t>
        </is>
      </c>
      <c r="L549" s="199" t="inlineStr">
        <is>
          <t>Nghiệm thu công tác hạ lồng thép</t>
        </is>
      </c>
      <c r="M549" s="199" t="n"/>
      <c r="N549" s="199" t="n"/>
      <c r="O549" s="200" t="inlineStr">
        <is>
          <t>Cầu Km19+529.080</t>
        </is>
      </c>
      <c r="P549" s="201" t="n"/>
      <c r="Q549" s="201" t="n"/>
      <c r="R549" s="201" t="n"/>
      <c r="S549" s="201">
        <f>S548</f>
        <v/>
      </c>
      <c r="T549" s="201" t="n"/>
      <c r="U549" s="201" t="n"/>
      <c r="V549" s="201" t="n"/>
      <c r="W549" s="202" t="n"/>
      <c r="X549" s="202" t="n"/>
      <c r="Y549" s="202" t="n"/>
      <c r="Z549" s="198" t="inlineStr">
        <is>
          <t>07</t>
        </is>
      </c>
      <c r="AA549" s="203" t="n"/>
      <c r="AB549" s="204" t="inlineStr">
        <is>
          <t>09-XL-307HG/PYCNT/CKN/T1/C8-2</t>
        </is>
      </c>
      <c r="AC549" s="204">
        <f>AC548</f>
        <v/>
      </c>
      <c r="AD549" s="204" t="n"/>
      <c r="AE549" s="204" t="n"/>
      <c r="AF549" s="204" t="n"/>
      <c r="AG549" s="204" t="n"/>
      <c r="AH549" s="204" t="n"/>
      <c r="AI549" s="202" t="n"/>
      <c r="AJ549" s="202" t="n"/>
      <c r="AK549" s="206" t="n"/>
      <c r="AL549" s="202" t="n"/>
      <c r="AM549" s="202" t="n"/>
      <c r="AN549" s="202" t="n"/>
      <c r="AO549" s="202" t="n"/>
      <c r="AP549" s="207" t="n"/>
      <c r="AQ549" s="207" t="n"/>
      <c r="AR549" s="202" t="inlineStr">
        <is>
          <t>Nhóm 1</t>
        </is>
      </c>
      <c r="AS549" s="202" t="n"/>
      <c r="AT549" s="202" t="inlineStr">
        <is>
          <t>HM14</t>
        </is>
      </c>
      <c r="AU549" s="202" t="inlineStr">
        <is>
          <t>PL07</t>
        </is>
      </c>
      <c r="AV549" s="202" t="n">
        <v>15</v>
      </c>
      <c r="AW549" s="202" t="n">
        <v>1</v>
      </c>
      <c r="AX549" s="202" t="n"/>
    </row>
    <row r="550" ht="42" customHeight="1" s="672">
      <c r="A550" s="56" t="inlineStr">
        <is>
          <t>NTCV</t>
        </is>
      </c>
      <c r="B550" s="56" t="inlineStr">
        <is>
          <t>K.9999</t>
        </is>
      </c>
      <c r="C550" s="56" t="inlineStr">
        <is>
          <t>NTCV.0345335</t>
        </is>
      </c>
      <c r="D550" s="57" t="n"/>
      <c r="E550" s="57" t="n"/>
      <c r="F550" s="57" t="n"/>
      <c r="G550" s="57" t="n"/>
      <c r="H550" s="57" t="n"/>
      <c r="J550" s="209" t="inlineStr">
        <is>
          <t>20</t>
        </is>
      </c>
      <c r="K550" s="209" t="inlineStr">
        <is>
          <t>K.9999</t>
        </is>
      </c>
      <c r="L550" s="210" t="inlineStr">
        <is>
          <t xml:space="preserve">Kiểm tra công tác vệ sinh lỗ khoan cọc khoan nhồi trước khi đổ bê tông </t>
        </is>
      </c>
      <c r="M550" s="210" t="n"/>
      <c r="N550" s="210" t="n"/>
      <c r="O550" s="211" t="inlineStr">
        <is>
          <t>Cầu Km19+529.080</t>
        </is>
      </c>
      <c r="P550" s="212">
        <f>S548</f>
        <v/>
      </c>
      <c r="Q550" s="212">
        <f>P550</f>
        <v/>
      </c>
      <c r="R550" s="212">
        <f>Q550-1</f>
        <v/>
      </c>
      <c r="S550" s="212">
        <f>Q550</f>
        <v/>
      </c>
      <c r="T550" s="213">
        <f>U548</f>
        <v/>
      </c>
      <c r="U550" s="213">
        <f>T550+V550</f>
        <v/>
      </c>
      <c r="V550" s="213" t="n">
        <v>0.02083333333333333</v>
      </c>
      <c r="W550" s="214">
        <f>TEXT(T550,"HH""h""MM'")&amp;"÷"&amp;TEXT(U550,"HH""h""MM'")</f>
        <v/>
      </c>
      <c r="X550" s="214" t="n"/>
      <c r="Y550" s="214" t="n"/>
      <c r="Z550" s="214" t="inlineStr">
        <is>
          <t>08;</t>
        </is>
      </c>
      <c r="AA550" s="215" t="inlineStr">
        <is>
          <t>Kiểm tra công tác vệ sinh lỗ khoan cọc khoan nhồi trước khi đổ bê tông Cọc khoan nhồi Trụ T1 - Cọc C8</t>
        </is>
      </c>
      <c r="AB550" s="204" t="inlineStr">
        <is>
          <t>09-XL-307HG/PYCNT/CKN/T1/C8-2</t>
        </is>
      </c>
      <c r="AC550" s="204" t="inlineStr">
        <is>
          <t>09-XL-307HG/BBNT/CKN/T1/C8-8</t>
        </is>
      </c>
      <c r="AD550" s="204" t="n"/>
      <c r="AE550" s="204" t="n"/>
      <c r="AF550" s="204" t="n"/>
      <c r="AG550" s="204" t="n"/>
      <c r="AH550" s="204" t="n"/>
      <c r="AI550" s="214" t="n"/>
      <c r="AJ550" s="214" t="n"/>
      <c r="AK550" s="217" t="n"/>
      <c r="AL550" s="214" t="n"/>
      <c r="AM550" s="214" t="n"/>
      <c r="AN550" s="214" t="n"/>
      <c r="AO550" s="214" t="n"/>
      <c r="AP550" s="216" t="n"/>
      <c r="AQ550" s="216" t="n"/>
      <c r="AR550" s="214" t="inlineStr">
        <is>
          <t>Nhóm 1</t>
        </is>
      </c>
      <c r="AS550" s="214" t="n"/>
      <c r="AT550" s="214" t="inlineStr">
        <is>
          <t>HM14</t>
        </is>
      </c>
      <c r="AU550" s="214" t="inlineStr">
        <is>
          <t>NTCV</t>
        </is>
      </c>
      <c r="AV550" s="214" t="n">
        <v>224</v>
      </c>
      <c r="AW550" s="214" t="n">
        <v>7</v>
      </c>
      <c r="AX550" s="214" t="n"/>
    </row>
    <row r="551" ht="28" customHeight="1" s="672">
      <c r="A551" s="56" t="inlineStr">
        <is>
          <t>BBK521</t>
        </is>
      </c>
      <c r="B551" s="56" t="inlineStr">
        <is>
          <t>PL08</t>
        </is>
      </c>
      <c r="C551" s="56" t="inlineStr">
        <is>
          <t>BBK521.0684251</t>
        </is>
      </c>
      <c r="D551" s="57" t="n"/>
      <c r="E551" s="57" t="n"/>
      <c r="F551" s="57" t="n"/>
      <c r="G551" s="57" t="n"/>
      <c r="H551" s="57" t="n"/>
      <c r="J551" s="198" t="inlineStr">
        <is>
          <t>21</t>
        </is>
      </c>
      <c r="K551" s="198" t="inlineStr">
        <is>
          <t>PL08</t>
        </is>
      </c>
      <c r="L551" s="199" t="inlineStr">
        <is>
          <t>Kiểm tra công tác vệ sinh lỗ khoan cọc khoan nhồi trước khi đổ bê tông</t>
        </is>
      </c>
      <c r="M551" s="199" t="n"/>
      <c r="N551" s="199" t="n"/>
      <c r="O551" s="200" t="inlineStr">
        <is>
          <t>Cầu Km19+529.080</t>
        </is>
      </c>
      <c r="P551" s="201" t="n"/>
      <c r="Q551" s="201" t="n"/>
      <c r="R551" s="201" t="n"/>
      <c r="S551" s="201">
        <f>S550</f>
        <v/>
      </c>
      <c r="T551" s="201" t="n"/>
      <c r="U551" s="201" t="n"/>
      <c r="V551" s="201" t="n"/>
      <c r="W551" s="202" t="n"/>
      <c r="X551" s="202" t="n"/>
      <c r="Y551" s="202" t="n"/>
      <c r="Z551" s="198" t="inlineStr">
        <is>
          <t>08</t>
        </is>
      </c>
      <c r="AA551" s="203" t="n"/>
      <c r="AB551" s="204" t="inlineStr">
        <is>
          <t>09-XL-307HG/PYCNT/CKN/T1/C8-2</t>
        </is>
      </c>
      <c r="AC551" s="204">
        <f>AC550</f>
        <v/>
      </c>
      <c r="AD551" s="204" t="n"/>
      <c r="AE551" s="204" t="n"/>
      <c r="AF551" s="204" t="n"/>
      <c r="AG551" s="204" t="n"/>
      <c r="AH551" s="204" t="n"/>
      <c r="AI551" s="202" t="n"/>
      <c r="AJ551" s="202" t="n"/>
      <c r="AK551" s="206" t="n"/>
      <c r="AL551" s="202" t="n"/>
      <c r="AM551" s="202" t="n"/>
      <c r="AN551" s="202" t="n"/>
      <c r="AO551" s="202" t="n"/>
      <c r="AP551" s="207" t="n"/>
      <c r="AQ551" s="207" t="n"/>
      <c r="AR551" s="202" t="inlineStr">
        <is>
          <t>Nhóm 1</t>
        </is>
      </c>
      <c r="AS551" s="202" t="n"/>
      <c r="AT551" s="202" t="inlineStr">
        <is>
          <t>HM14</t>
        </is>
      </c>
      <c r="AU551" s="202" t="inlineStr">
        <is>
          <t>PL08</t>
        </is>
      </c>
      <c r="AV551" s="202" t="n">
        <v>15</v>
      </c>
      <c r="AW551" s="202" t="n">
        <v>1</v>
      </c>
      <c r="AX551" s="202" t="n"/>
    </row>
    <row r="552" ht="28" customHeight="1" s="672">
      <c r="A552" s="56" t="inlineStr">
        <is>
          <t>NTCV</t>
        </is>
      </c>
      <c r="B552" s="56" t="inlineStr">
        <is>
          <t>K.9999</t>
        </is>
      </c>
      <c r="C552" s="56" t="inlineStr">
        <is>
          <t>NTCV.0791464</t>
        </is>
      </c>
      <c r="D552" s="57" t="n"/>
      <c r="E552" s="57" t="n"/>
      <c r="F552" s="57" t="n"/>
      <c r="G552" s="57" t="n"/>
      <c r="H552" s="57" t="n"/>
      <c r="J552" s="209" t="inlineStr">
        <is>
          <t>22</t>
        </is>
      </c>
      <c r="K552" s="209" t="inlineStr">
        <is>
          <t>K.9999</t>
        </is>
      </c>
      <c r="L552" s="210" t="inlineStr">
        <is>
          <t xml:space="preserve">Kiểm tra công tác chuẩn bị đổ bê tông cọc khoan nhồi </t>
        </is>
      </c>
      <c r="M552" s="210" t="n"/>
      <c r="N552" s="210" t="n"/>
      <c r="O552" s="211" t="inlineStr">
        <is>
          <t>Cầu Km19+529.080</t>
        </is>
      </c>
      <c r="P552" s="212">
        <f>S550</f>
        <v/>
      </c>
      <c r="Q552" s="212">
        <f>P552</f>
        <v/>
      </c>
      <c r="R552" s="212">
        <f>Q552-1</f>
        <v/>
      </c>
      <c r="S552" s="212">
        <f>Q552</f>
        <v/>
      </c>
      <c r="T552" s="213">
        <f>U550+TIME(,10,)</f>
        <v/>
      </c>
      <c r="U552" s="213">
        <f>T552+V552</f>
        <v/>
      </c>
      <c r="V552" s="213" t="n">
        <v>0.02083333333333333</v>
      </c>
      <c r="W552" s="214">
        <f>TEXT(T552,"HH""h""MM'")&amp;"÷"&amp;TEXT(U552,"HH""h""MM'")</f>
        <v/>
      </c>
      <c r="X552" s="214" t="n"/>
      <c r="Y552" s="214" t="n"/>
      <c r="Z552" s="214" t="inlineStr">
        <is>
          <t>09;</t>
        </is>
      </c>
      <c r="AA552" s="215" t="inlineStr">
        <is>
          <t>Kiểm tra công tác chuẩn bị đổ bê tông Cọc khoan nhồi Trụ T1 - Cọc C8</t>
        </is>
      </c>
      <c r="AB552" s="204" t="inlineStr">
        <is>
          <t>09-XL-307HG/PYCNT/CKN/T1/C8-2</t>
        </is>
      </c>
      <c r="AC552" s="204" t="inlineStr">
        <is>
          <t>09-XL-307HG/BBNT/CKN/T1/C8-9</t>
        </is>
      </c>
      <c r="AD552" s="204" t="n"/>
      <c r="AE552" s="204" t="n"/>
      <c r="AF552" s="204" t="n"/>
      <c r="AG552" s="204" t="n"/>
      <c r="AH552" s="204" t="n"/>
      <c r="AI552" s="214" t="n"/>
      <c r="AJ552" s="214" t="n"/>
      <c r="AK552" s="217" t="n"/>
      <c r="AL552" s="214" t="n"/>
      <c r="AM552" s="214" t="n"/>
      <c r="AN552" s="214" t="n"/>
      <c r="AO552" s="214" t="n"/>
      <c r="AP552" s="216" t="n"/>
      <c r="AQ552" s="216" t="n"/>
      <c r="AR552" s="214" t="inlineStr">
        <is>
          <t>Nhóm 1</t>
        </is>
      </c>
      <c r="AS552" s="214" t="n"/>
      <c r="AT552" s="214" t="inlineStr">
        <is>
          <t>HM14</t>
        </is>
      </c>
      <c r="AU552" s="214" t="inlineStr">
        <is>
          <t>NTCV</t>
        </is>
      </c>
      <c r="AV552" s="214" t="n">
        <v>225</v>
      </c>
      <c r="AW552" s="214" t="n">
        <v>8</v>
      </c>
      <c r="AX552" s="214" t="n"/>
    </row>
    <row r="553">
      <c r="A553" s="56" t="inlineStr">
        <is>
          <t>BBK209</t>
        </is>
      </c>
      <c r="B553" s="56" t="inlineStr">
        <is>
          <t>PL09</t>
        </is>
      </c>
      <c r="C553" s="56" t="inlineStr">
        <is>
          <t>BBK209.0035440</t>
        </is>
      </c>
      <c r="D553" s="57" t="n"/>
      <c r="E553" s="57" t="n"/>
      <c r="F553" s="57" t="n"/>
      <c r="G553" s="57" t="n"/>
      <c r="H553" s="57" t="n"/>
      <c r="J553" s="198" t="inlineStr">
        <is>
          <t>23</t>
        </is>
      </c>
      <c r="K553" s="198" t="inlineStr">
        <is>
          <t>PL09</t>
        </is>
      </c>
      <c r="L553" s="199" t="inlineStr">
        <is>
          <t>Kiểm tra công tác chuẩn bị đổ bê tông cọc khoan nhồi</t>
        </is>
      </c>
      <c r="M553" s="199" t="n"/>
      <c r="N553" s="199" t="n"/>
      <c r="O553" s="200" t="inlineStr">
        <is>
          <t>Cầu Km19+529.080</t>
        </is>
      </c>
      <c r="P553" s="201" t="n"/>
      <c r="Q553" s="201" t="n"/>
      <c r="R553" s="201" t="n"/>
      <c r="S553" s="201">
        <f>S552</f>
        <v/>
      </c>
      <c r="T553" s="201" t="n"/>
      <c r="U553" s="201" t="n"/>
      <c r="V553" s="201" t="n"/>
      <c r="W553" s="202" t="n"/>
      <c r="X553" s="202" t="n"/>
      <c r="Y553" s="202" t="n"/>
      <c r="Z553" s="198" t="inlineStr">
        <is>
          <t>09</t>
        </is>
      </c>
      <c r="AA553" s="203" t="n"/>
      <c r="AB553" s="204" t="inlineStr">
        <is>
          <t>09-XL-307HG/PYCNT/CKN/T1/C8-2</t>
        </is>
      </c>
      <c r="AC553" s="204">
        <f>AC552</f>
        <v/>
      </c>
      <c r="AD553" s="204" t="n"/>
      <c r="AE553" s="204" t="n"/>
      <c r="AF553" s="204" t="n"/>
      <c r="AG553" s="204" t="n"/>
      <c r="AH553" s="204" t="inlineStr">
        <is>
          <t>C30(1)</t>
        </is>
      </c>
      <c r="AI553" s="202" t="n"/>
      <c r="AJ553" s="202" t="n"/>
      <c r="AK553" s="206" t="n"/>
      <c r="AL553" s="202" t="n"/>
      <c r="AM553" s="202" t="n"/>
      <c r="AN553" s="202" t="n"/>
      <c r="AO553" s="202" t="n"/>
      <c r="AP553" s="207" t="n"/>
      <c r="AQ553" s="207" t="n"/>
      <c r="AR553" s="202" t="inlineStr">
        <is>
          <t>Nhóm 1</t>
        </is>
      </c>
      <c r="AS553" s="202" t="n"/>
      <c r="AT553" s="202" t="inlineStr">
        <is>
          <t>HM14</t>
        </is>
      </c>
      <c r="AU553" s="202" t="inlineStr">
        <is>
          <t>PL09</t>
        </is>
      </c>
      <c r="AV553" s="202" t="n">
        <v>15</v>
      </c>
      <c r="AW553" s="202" t="n">
        <v>1</v>
      </c>
      <c r="AX553" s="202" t="n"/>
    </row>
    <row r="554" ht="28" customHeight="1" s="672">
      <c r="A554" s="56" t="inlineStr">
        <is>
          <t>NTCV</t>
        </is>
      </c>
      <c r="B554" s="56" t="inlineStr">
        <is>
          <t>K.9999</t>
        </is>
      </c>
      <c r="C554" s="56" t="inlineStr">
        <is>
          <t>NTCV.0794173</t>
        </is>
      </c>
      <c r="D554" s="57" t="n"/>
      <c r="E554" s="57" t="n"/>
      <c r="F554" s="57" t="n"/>
      <c r="G554" s="57" t="n"/>
      <c r="H554" s="57" t="n"/>
      <c r="J554" s="209" t="inlineStr">
        <is>
          <t>24</t>
        </is>
      </c>
      <c r="K554" s="209" t="inlineStr">
        <is>
          <t>K.9999</t>
        </is>
      </c>
      <c r="L554" s="210" t="inlineStr">
        <is>
          <t>Theo dõi quá trình đổ bê tông cọc khoan nhồi</t>
        </is>
      </c>
      <c r="M554" s="210" t="n"/>
      <c r="N554" s="210" t="n"/>
      <c r="O554" s="211" t="inlineStr">
        <is>
          <t>Cầu Km19+529.080</t>
        </is>
      </c>
      <c r="P554" s="212">
        <f>S552</f>
        <v/>
      </c>
      <c r="Q554" s="212">
        <f>P554</f>
        <v/>
      </c>
      <c r="R554" s="212">
        <f>Q554-1</f>
        <v/>
      </c>
      <c r="S554" s="212">
        <f>Q554</f>
        <v/>
      </c>
      <c r="T554" s="213">
        <f>U552</f>
        <v/>
      </c>
      <c r="U554" s="213">
        <f>T554+V554</f>
        <v/>
      </c>
      <c r="V554" s="213" t="n">
        <v>0.1458333333333333</v>
      </c>
      <c r="W554" s="214">
        <f>TEXT(T554,"HH""h""MM'")&amp;"÷"&amp;TEXT(U554,"HH""h""MM'")</f>
        <v/>
      </c>
      <c r="X554" s="214" t="n"/>
      <c r="Y554" s="214" t="n"/>
      <c r="Z554" s="214" t="inlineStr">
        <is>
          <t>10;</t>
        </is>
      </c>
      <c r="AA554" s="215" t="inlineStr">
        <is>
          <t>Theo dõi quá trình đổ bê tông  Cọc khoan nhồi Trụ T1 - Cọc C8</t>
        </is>
      </c>
      <c r="AB554" s="216" t="inlineStr">
        <is>
          <t>09-XL-307HG/PYCNT/CKN/T1/C8-2</t>
        </is>
      </c>
      <c r="AC554" s="292" t="inlineStr">
        <is>
          <t>09-XL-307HG/BBNT/CKN/T1/C8-10</t>
        </is>
      </c>
      <c r="AD554" s="204" t="n"/>
      <c r="AE554" s="204" t="n"/>
      <c r="AF554" s="204" t="n"/>
      <c r="AG554" s="204" t="n"/>
      <c r="AH554" s="204" t="n"/>
      <c r="AI554" s="214" t="n"/>
      <c r="AJ554" s="214" t="n"/>
      <c r="AK554" s="217" t="n"/>
      <c r="AL554" s="214" t="n"/>
      <c r="AM554" s="214" t="n"/>
      <c r="AN554" s="214" t="n"/>
      <c r="AO554" s="214" t="n"/>
      <c r="AP554" s="216" t="n"/>
      <c r="AQ554" s="216" t="n"/>
      <c r="AR554" s="214" t="inlineStr">
        <is>
          <t>Nhóm 1</t>
        </is>
      </c>
      <c r="AS554" s="214" t="n"/>
      <c r="AT554" s="214" t="inlineStr">
        <is>
          <t>HM14</t>
        </is>
      </c>
      <c r="AU554" s="214" t="inlineStr">
        <is>
          <t>NTCV</t>
        </is>
      </c>
      <c r="AV554" s="214" t="n">
        <v>226</v>
      </c>
      <c r="AW554" s="214" t="n">
        <v>9</v>
      </c>
      <c r="AX554" s="214" t="n"/>
    </row>
    <row r="555" ht="210" customHeight="1" s="672">
      <c r="A555" s="56" t="inlineStr">
        <is>
          <t>LMHT</t>
        </is>
      </c>
      <c r="B555" s="56" t="inlineStr">
        <is>
          <t>LMHT</t>
        </is>
      </c>
      <c r="C555" s="56" t="inlineStr">
        <is>
          <t>LMHT.0483488</t>
        </is>
      </c>
      <c r="D555" s="57" t="inlineStr">
        <is>
          <t>TC.000041|TC.000182|TC.000169.A</t>
        </is>
      </c>
      <c r="E555" s="57" t="n"/>
      <c r="F555" s="57" t="inlineStr">
        <is>
          <t>CP.0001^Cọc khoan nhồi Trụ T1 - Cọc C8^Hình trụ 15x30 (cm)^12^30 Mpa, 18±2^^^TC.000041|TC.000182|TC.000169.A</t>
        </is>
      </c>
      <c r="G555" s="57" t="n"/>
      <c r="H555" s="57" t="inlineStr">
        <is>
          <t>^^A|C|J|O|S|X|Z^Stt|Hạng mục|Cấp bê tông|Kích thước mẫu|Số lượng mẫu|Ghi chú^|||||</t>
        </is>
      </c>
      <c r="J555" s="256" t="inlineStr">
        <is>
          <t>25</t>
        </is>
      </c>
      <c r="K555" s="256" t="inlineStr">
        <is>
          <t>LMHT</t>
        </is>
      </c>
      <c r="L555" s="257" t="inlineStr">
        <is>
          <t>Lấy mẫu bê tông Cọc khoan nhồi, 30(1) Mpa Trụ T1 - Cọc C8</t>
        </is>
      </c>
      <c r="M555" s="257" t="n"/>
      <c r="N555" s="257" t="n"/>
      <c r="O555" s="258" t="inlineStr">
        <is>
          <t>Cầu Km19+529.080</t>
        </is>
      </c>
      <c r="P555" s="259" t="n"/>
      <c r="Q555" s="259" t="n"/>
      <c r="R555" s="259" t="n"/>
      <c r="S555" s="259">
        <f>S552</f>
        <v/>
      </c>
      <c r="T555" s="260">
        <f>T552</f>
        <v/>
      </c>
      <c r="U555" s="260">
        <f>U552</f>
        <v/>
      </c>
      <c r="V555" s="260">
        <f>V552</f>
        <v/>
      </c>
      <c r="W555" s="261">
        <f>TEXT(T555,"HH""h""MM'")&amp;"÷"&amp;TEXT(U555,"HH""h""MM'")</f>
        <v/>
      </c>
      <c r="X555" s="262" t="n"/>
      <c r="Y555" s="262" t="n"/>
      <c r="Z555" s="262" t="n"/>
      <c r="AA555" s="262" t="n"/>
      <c r="AB555" s="264" t="inlineStr">
        <is>
          <t>09-XL-307HG/PYCNT/CKN/T1/C8-2</t>
        </is>
      </c>
      <c r="AC555" s="264" t="inlineStr"/>
      <c r="AD555" s="264" t="n"/>
      <c r="AE555" s="264" t="n"/>
      <c r="AF555" s="264" t="n"/>
      <c r="AG555" s="264" t="n"/>
      <c r="AH555" s="264" t="n"/>
      <c r="AI555" s="257" t="n"/>
      <c r="AJ555" s="262" t="n"/>
      <c r="AK555" s="258" t="n"/>
      <c r="AL555" s="262" t="n"/>
      <c r="AM555" s="262" t="n"/>
      <c r="AN555" s="262" t="n"/>
      <c r="AO555" s="262" t="n"/>
      <c r="AP555" s="263" t="inlineStr">
        <is>
          <t>Bảng lấy mẫu CKN</t>
        </is>
      </c>
      <c r="AQ555" s="263" t="n"/>
      <c r="AR555" s="262" t="inlineStr">
        <is>
          <t>Nhóm 1</t>
        </is>
      </c>
      <c r="AS555" s="262" t="n"/>
      <c r="AT555" s="262" t="inlineStr">
        <is>
          <t>HM14</t>
        </is>
      </c>
      <c r="AU555" s="262" t="inlineStr">
        <is>
          <t>LMHT</t>
        </is>
      </c>
      <c r="AV555" s="262" t="n">
        <v>18</v>
      </c>
      <c r="AW555" s="262" t="n">
        <v>1</v>
      </c>
      <c r="AX555" s="262" t="inlineStr">
        <is>
          <t>Cọc T1-C8 [BT dòng 18]: chưa đến ngưỡng phát sinh lượt mẫu xi măng/cát/đá; mẫu bê tông cấu kiện vẫn theo F555.</t>
        </is>
      </c>
    </row>
    <row r="556">
      <c r="A556" s="56" t="inlineStr">
        <is>
          <t>BBK994</t>
        </is>
      </c>
      <c r="B556" s="56" t="inlineStr">
        <is>
          <t>PL10</t>
        </is>
      </c>
      <c r="C556" s="56" t="inlineStr">
        <is>
          <t>BBK994.0206498</t>
        </is>
      </c>
      <c r="D556" s="57" t="n"/>
      <c r="E556" s="57" t="n"/>
      <c r="F556" s="57" t="n"/>
      <c r="G556" s="57" t="n"/>
      <c r="H556" s="57" t="n"/>
      <c r="J556" s="198" t="inlineStr">
        <is>
          <t>26</t>
        </is>
      </c>
      <c r="K556" s="198" t="inlineStr">
        <is>
          <t>PL10</t>
        </is>
      </c>
      <c r="L556" s="199" t="inlineStr">
        <is>
          <t>Theo dõi quá trình đổ bê tông cọc khoan nhồi</t>
        </is>
      </c>
      <c r="M556" s="199" t="n"/>
      <c r="N556" s="199" t="n"/>
      <c r="O556" s="200" t="inlineStr">
        <is>
          <t>Cầu Km19+529.080</t>
        </is>
      </c>
      <c r="P556" s="201" t="n"/>
      <c r="Q556" s="201" t="n"/>
      <c r="R556" s="201" t="n"/>
      <c r="S556" s="201">
        <f>S554</f>
        <v/>
      </c>
      <c r="T556" s="201" t="n"/>
      <c r="U556" s="201" t="n"/>
      <c r="V556" s="201" t="n"/>
      <c r="W556" s="202" t="n"/>
      <c r="X556" s="202" t="n"/>
      <c r="Y556" s="202" t="n"/>
      <c r="Z556" s="198" t="inlineStr">
        <is>
          <t>10</t>
        </is>
      </c>
      <c r="AA556" s="203" t="n"/>
      <c r="AB556" s="204" t="inlineStr">
        <is>
          <t>09-XL-307HG/PYCNT/CKN/T1/C8-2</t>
        </is>
      </c>
      <c r="AC556" s="204">
        <f>AC554</f>
        <v/>
      </c>
      <c r="AD556" s="204" t="n"/>
      <c r="AE556" s="204" t="n"/>
      <c r="AF556" s="204" t="n"/>
      <c r="AG556" s="204" t="n"/>
      <c r="AH556" s="204" t="inlineStr">
        <is>
          <t>T1-C8</t>
        </is>
      </c>
      <c r="AI556" s="202" t="n"/>
      <c r="AJ556" s="202" t="n"/>
      <c r="AK556" s="206" t="n"/>
      <c r="AL556" s="202" t="n"/>
      <c r="AM556" s="202" t="n"/>
      <c r="AN556" s="202" t="n"/>
      <c r="AO556" s="202" t="n"/>
      <c r="AP556" s="207" t="n"/>
      <c r="AQ556" s="207" t="n"/>
      <c r="AR556" s="202" t="inlineStr">
        <is>
          <t>Nhóm 1</t>
        </is>
      </c>
      <c r="AS556" s="202" t="n"/>
      <c r="AT556" s="202" t="inlineStr">
        <is>
          <t>HM14</t>
        </is>
      </c>
      <c r="AU556" s="202" t="inlineStr">
        <is>
          <t>PL10</t>
        </is>
      </c>
      <c r="AV556" s="202" t="n">
        <v>15</v>
      </c>
      <c r="AW556" s="202" t="n">
        <v>1</v>
      </c>
      <c r="AX556" s="202" t="n"/>
    </row>
    <row r="557" ht="28" customHeight="1" s="672">
      <c r="A557" s="56" t="inlineStr">
        <is>
          <t>NTCV</t>
        </is>
      </c>
      <c r="B557" s="56" t="inlineStr">
        <is>
          <t>K.9999</t>
        </is>
      </c>
      <c r="C557" s="56" t="inlineStr">
        <is>
          <t>NTCV.0602104</t>
        </is>
      </c>
      <c r="D557" s="57" t="n"/>
      <c r="E557" s="57" t="n"/>
      <c r="F557" s="57" t="n"/>
      <c r="G557" s="57" t="n"/>
      <c r="H557" s="57" t="n"/>
      <c r="J557" s="209" t="inlineStr">
        <is>
          <t>27</t>
        </is>
      </c>
      <c r="K557" s="209" t="inlineStr">
        <is>
          <t>K.9999</t>
        </is>
      </c>
      <c r="L557" s="210" t="inlineStr">
        <is>
          <t xml:space="preserve"> Rút ống vách thi công cọc khoan nhồi</t>
        </is>
      </c>
      <c r="M557" s="210" t="n"/>
      <c r="N557" s="210" t="n"/>
      <c r="O557" s="211" t="inlineStr">
        <is>
          <t>Cầu Km19+529.080</t>
        </is>
      </c>
      <c r="P557" s="212">
        <f>S554</f>
        <v/>
      </c>
      <c r="Q557" s="212">
        <f>P557</f>
        <v/>
      </c>
      <c r="R557" s="212">
        <f>Q557-1</f>
        <v/>
      </c>
      <c r="S557" s="212">
        <f>Q557</f>
        <v/>
      </c>
      <c r="T557" s="213">
        <f>U554</f>
        <v/>
      </c>
      <c r="U557" s="213">
        <f>T557+V557</f>
        <v/>
      </c>
      <c r="V557" s="213" t="n">
        <v>0.01041666666666667</v>
      </c>
      <c r="W557" s="214">
        <f>TEXT(T557,"HH""h""MM'")&amp;"÷"&amp;TEXT(U557,"HH""h""MM'")</f>
        <v/>
      </c>
      <c r="X557" s="214" t="n"/>
      <c r="Y557" s="214" t="n"/>
      <c r="Z557" s="214" t="inlineStr">
        <is>
          <t>11;</t>
        </is>
      </c>
      <c r="AA557" s="215" t="inlineStr">
        <is>
          <t>Rút ống vách  Cọc khoan nhồi Trụ T1 - Cọc C8</t>
        </is>
      </c>
      <c r="AB557" s="204" t="inlineStr">
        <is>
          <t>09-XL-307HG/PYCNT/CKN/T1/C8-2</t>
        </is>
      </c>
      <c r="AC557" s="204" t="inlineStr">
        <is>
          <t>09-XL-307HG/BBNT/CKN/T1/C8-11</t>
        </is>
      </c>
      <c r="AD557" s="204" t="n"/>
      <c r="AE557" s="204" t="n"/>
      <c r="AF557" s="204" t="n"/>
      <c r="AG557" s="204" t="n"/>
      <c r="AH557" s="204" t="n"/>
      <c r="AI557" s="214" t="n"/>
      <c r="AJ557" s="214" t="n"/>
      <c r="AK557" s="217" t="n"/>
      <c r="AL557" s="214" t="n"/>
      <c r="AM557" s="214" t="n"/>
      <c r="AN557" s="214" t="n"/>
      <c r="AO557" s="214" t="n"/>
      <c r="AP557" s="216" t="n"/>
      <c r="AQ557" s="216" t="n"/>
      <c r="AR557" s="214" t="inlineStr">
        <is>
          <t>Nhóm 1</t>
        </is>
      </c>
      <c r="AS557" s="214" t="n"/>
      <c r="AT557" s="214" t="inlineStr">
        <is>
          <t>HM14</t>
        </is>
      </c>
      <c r="AU557" s="214" t="inlineStr">
        <is>
          <t>NTCV</t>
        </is>
      </c>
      <c r="AV557" s="214" t="n">
        <v>227</v>
      </c>
      <c r="AW557" s="214" t="n">
        <v>10</v>
      </c>
      <c r="AX557" s="214" t="n"/>
    </row>
    <row r="558">
      <c r="A558" s="56" t="inlineStr">
        <is>
          <t>BBK544</t>
        </is>
      </c>
      <c r="B558" s="56" t="inlineStr">
        <is>
          <t>PL11</t>
        </is>
      </c>
      <c r="C558" s="56" t="inlineStr">
        <is>
          <t>BBK544.0908878</t>
        </is>
      </c>
      <c r="D558" s="57" t="n"/>
      <c r="E558" s="57" t="n"/>
      <c r="F558" s="57" t="n"/>
      <c r="G558" s="57" t="n"/>
      <c r="H558" s="57" t="n"/>
      <c r="J558" s="198" t="inlineStr">
        <is>
          <t>28</t>
        </is>
      </c>
      <c r="K558" s="198" t="inlineStr">
        <is>
          <t>PL11</t>
        </is>
      </c>
      <c r="L558" s="199" t="inlineStr">
        <is>
          <t>Rút ống vách thi công cọc khoan nhồi</t>
        </is>
      </c>
      <c r="M558" s="199" t="n"/>
      <c r="N558" s="199" t="n"/>
      <c r="O558" s="200" t="inlineStr">
        <is>
          <t>Cầu Km19+529.080</t>
        </is>
      </c>
      <c r="P558" s="201" t="n"/>
      <c r="Q558" s="201" t="n"/>
      <c r="R558" s="201" t="n"/>
      <c r="S558" s="201">
        <f>S557</f>
        <v/>
      </c>
      <c r="T558" s="201" t="n"/>
      <c r="U558" s="201" t="n"/>
      <c r="V558" s="201" t="n"/>
      <c r="W558" s="202" t="n"/>
      <c r="X558" s="202" t="n"/>
      <c r="Y558" s="202" t="n"/>
      <c r="Z558" s="198" t="inlineStr">
        <is>
          <t>11</t>
        </is>
      </c>
      <c r="AA558" s="203" t="n"/>
      <c r="AB558" s="204" t="inlineStr">
        <is>
          <t>09-XL-307HG/PYCNT/CKN/T1/C8-2</t>
        </is>
      </c>
      <c r="AC558" s="204">
        <f>AC557</f>
        <v/>
      </c>
      <c r="AD558" s="204" t="n"/>
      <c r="AE558" s="204" t="n"/>
      <c r="AF558" s="204" t="n"/>
      <c r="AG558" s="204" t="n"/>
      <c r="AH558" s="204" t="inlineStr">
        <is>
          <t>&gt;=322;&lt;=353</t>
        </is>
      </c>
      <c r="AI558" s="202" t="n"/>
      <c r="AJ558" s="202" t="n"/>
      <c r="AK558" s="206" t="n"/>
      <c r="AL558" s="202" t="n"/>
      <c r="AM558" s="202" t="n"/>
      <c r="AN558" s="202" t="n"/>
      <c r="AO558" s="202" t="n"/>
      <c r="AP558" s="207" t="n"/>
      <c r="AQ558" s="207" t="n"/>
      <c r="AR558" s="202" t="inlineStr">
        <is>
          <t>Nhóm 1</t>
        </is>
      </c>
      <c r="AS558" s="202" t="n"/>
      <c r="AT558" s="202" t="inlineStr">
        <is>
          <t>HM14</t>
        </is>
      </c>
      <c r="AU558" s="202" t="inlineStr">
        <is>
          <t>PL11</t>
        </is>
      </c>
      <c r="AV558" s="202" t="n">
        <v>15</v>
      </c>
      <c r="AW558" s="202" t="n">
        <v>1</v>
      </c>
      <c r="AX558" s="202" t="n"/>
    </row>
    <row r="559">
      <c r="A559" s="56" t="inlineStr">
        <is>
          <t>BBK680</t>
        </is>
      </c>
      <c r="B559" s="56" t="inlineStr">
        <is>
          <t>PYC</t>
        </is>
      </c>
      <c r="C559" s="56" t="inlineStr">
        <is>
          <t>BBK680.0945280</t>
        </is>
      </c>
      <c r="D559" s="57" t="n"/>
      <c r="E559" s="57" t="n"/>
      <c r="F559" s="57" t="n"/>
      <c r="G559" s="57" t="n"/>
      <c r="H559" s="57" t="n"/>
      <c r="J559" s="198" t="inlineStr">
        <is>
          <t>29</t>
        </is>
      </c>
      <c r="K559" s="198" t="inlineStr">
        <is>
          <t>PYC</t>
        </is>
      </c>
      <c r="L559" s="199" t="inlineStr">
        <is>
          <t>Phiếu yêu cầu nghiệm thu</t>
        </is>
      </c>
      <c r="M559" s="199" t="n"/>
      <c r="N559" s="199" t="n"/>
      <c r="O559" s="200" t="inlineStr">
        <is>
          <t>Cầu Km19+529.080</t>
        </is>
      </c>
      <c r="P559" s="201" t="n"/>
      <c r="Q559" s="201" t="n"/>
      <c r="R559" s="201">
        <f>R560</f>
        <v/>
      </c>
      <c r="S559" s="201" t="n"/>
      <c r="T559" s="201" t="n"/>
      <c r="U559" s="201" t="n"/>
      <c r="V559" s="201" t="n"/>
      <c r="W559" s="202" t="n"/>
      <c r="X559" s="202" t="n"/>
      <c r="Y559" s="202" t="n"/>
      <c r="Z559" s="202" t="n"/>
      <c r="AA559" s="203" t="n"/>
      <c r="AB559" s="204" t="inlineStr">
        <is>
          <t>09-XL-307HG/PYCNT/CKN/T1/C8</t>
        </is>
      </c>
      <c r="AC559" s="205" t="inlineStr"/>
      <c r="AD559" s="205" t="n"/>
      <c r="AE559" s="205" t="n"/>
      <c r="AF559" s="205" t="n"/>
      <c r="AG559" s="205" t="inlineStr">
        <is>
          <t>NTCV;BBKTĐK</t>
        </is>
      </c>
      <c r="AH559" s="204" t="n">
        <v>11</v>
      </c>
      <c r="AI559" s="202" t="n"/>
      <c r="AJ559" s="202" t="n"/>
      <c r="AK559" s="206" t="n"/>
      <c r="AL559" s="202" t="n"/>
      <c r="AM559" s="202" t="n"/>
      <c r="AN559" s="202" t="n"/>
      <c r="AO559" s="202" t="n"/>
      <c r="AP559" s="207" t="n"/>
      <c r="AQ559" s="207" t="n"/>
      <c r="AR559" s="202" t="inlineStr">
        <is>
          <t>Nhóm 1</t>
        </is>
      </c>
      <c r="AS559" s="202" t="n"/>
      <c r="AT559" s="202" t="inlineStr">
        <is>
          <t>HM14</t>
        </is>
      </c>
      <c r="AU559" s="202" t="inlineStr">
        <is>
          <t>PYC</t>
        </is>
      </c>
      <c r="AV559" s="202" t="n">
        <v>183</v>
      </c>
      <c r="AW559" s="202" t="n">
        <v>3</v>
      </c>
      <c r="AX559" s="202" t="n"/>
    </row>
    <row r="560" ht="28" customHeight="1" s="672">
      <c r="A560" s="56" t="inlineStr">
        <is>
          <t>NTCV</t>
        </is>
      </c>
      <c r="B560" s="56" t="inlineStr">
        <is>
          <t>K.9999</t>
        </is>
      </c>
      <c r="C560" s="56" t="inlineStr">
        <is>
          <t>NTCV.0653397</t>
        </is>
      </c>
      <c r="D560" s="57" t="n"/>
      <c r="E560" s="57" t="n"/>
      <c r="F560" s="57" t="n"/>
      <c r="G560" s="57" t="n"/>
      <c r="H560" s="57" t="n"/>
      <c r="J560" s="209" t="inlineStr">
        <is>
          <t>30</t>
        </is>
      </c>
      <c r="K560" s="209" t="inlineStr">
        <is>
          <t>K.9999</t>
        </is>
      </c>
      <c r="L560" s="210" t="inlineStr">
        <is>
          <t>Theo dõi nén mẫu R7 Cọc khoan nhồi Trụ T1 - Cọc C8</t>
        </is>
      </c>
      <c r="M560" s="210" t="n"/>
      <c r="N560" s="210" t="n"/>
      <c r="O560" s="211" t="inlineStr">
        <is>
          <t>Cầu Km19+529.080</t>
        </is>
      </c>
      <c r="P560" s="212">
        <f>S557+7</f>
        <v/>
      </c>
      <c r="Q560" s="212">
        <f>P560</f>
        <v/>
      </c>
      <c r="R560" s="212">
        <f>Q560-1</f>
        <v/>
      </c>
      <c r="S560" s="212">
        <f>Q560</f>
        <v/>
      </c>
      <c r="T560" s="213" t="n">
        <v>0.3541666666666667</v>
      </c>
      <c r="U560" s="213">
        <f>T560+V560</f>
        <v/>
      </c>
      <c r="V560" s="213" t="n">
        <v>0.02083333333333333</v>
      </c>
      <c r="W560" s="214">
        <f>TEXT(T560,"HH""h""MM'")&amp;"÷"&amp;TEXT(U560,"HH""h""MM'")</f>
        <v/>
      </c>
      <c r="X560" s="214" t="n"/>
      <c r="Y560" s="214" t="n"/>
      <c r="Z560" s="214" t="n"/>
      <c r="AA560" s="215" t="inlineStr">
        <is>
          <t>Theo dõi nén mẫu R7 Cọc khoan nhồi Trụ T1 - Cọc C8</t>
        </is>
      </c>
      <c r="AB560" s="204" t="inlineStr">
        <is>
          <t>09-XL-307HG/PYCNT/CKN/T1/C8-3</t>
        </is>
      </c>
      <c r="AC560" s="204" t="inlineStr">
        <is>
          <t>09-XL-307HG/BBNT/CKN/T1/C8-12</t>
        </is>
      </c>
      <c r="AD560" s="204" t="n"/>
      <c r="AE560" s="204" t="n"/>
      <c r="AF560" s="204" t="n"/>
      <c r="AG560" s="204" t="n"/>
      <c r="AH560" s="204" t="n"/>
      <c r="AI560" s="214" t="n"/>
      <c r="AJ560" s="214" t="n"/>
      <c r="AK560" s="217" t="n"/>
      <c r="AL560" s="214" t="n"/>
      <c r="AM560" s="214" t="n"/>
      <c r="AN560" s="214" t="n"/>
      <c r="AO560" s="214" t="n"/>
      <c r="AP560" s="216" t="n"/>
      <c r="AQ560" s="216" t="n"/>
      <c r="AR560" s="214" t="inlineStr">
        <is>
          <t>Nhóm 1</t>
        </is>
      </c>
      <c r="AS560" s="214" t="n"/>
      <c r="AT560" s="214" t="inlineStr">
        <is>
          <t>HM14</t>
        </is>
      </c>
      <c r="AU560" s="214" t="inlineStr">
        <is>
          <t>NTCV</t>
        </is>
      </c>
      <c r="AV560" s="214" t="n">
        <v>304</v>
      </c>
      <c r="AW560" s="214" t="n">
        <v>11</v>
      </c>
      <c r="AX560" s="214" t="n"/>
    </row>
    <row r="561">
      <c r="A561" s="56" t="inlineStr">
        <is>
          <t>BBK680</t>
        </is>
      </c>
      <c r="B561" s="56" t="inlineStr">
        <is>
          <t>PYC</t>
        </is>
      </c>
      <c r="C561" s="56" t="inlineStr">
        <is>
          <t>BBK680.0014581</t>
        </is>
      </c>
      <c r="D561" s="57" t="n"/>
      <c r="E561" s="57" t="n"/>
      <c r="F561" s="57" t="n"/>
      <c r="G561" s="57" t="n"/>
      <c r="H561" s="57" t="n"/>
      <c r="J561" s="198" t="inlineStr">
        <is>
          <t>31</t>
        </is>
      </c>
      <c r="K561" s="198" t="inlineStr">
        <is>
          <t>PYC</t>
        </is>
      </c>
      <c r="L561" s="199" t="inlineStr">
        <is>
          <t>Phiếu yêu cầu nghiệm thu</t>
        </is>
      </c>
      <c r="M561" s="199" t="n"/>
      <c r="N561" s="199" t="n"/>
      <c r="O561" s="200" t="inlineStr">
        <is>
          <t>Cầu Km19+529.080</t>
        </is>
      </c>
      <c r="P561" s="201" t="n"/>
      <c r="Q561" s="201" t="n"/>
      <c r="R561" s="201">
        <f>+S556+28</f>
        <v/>
      </c>
      <c r="S561" s="201" t="n"/>
      <c r="T561" s="201" t="n"/>
      <c r="U561" s="201" t="n"/>
      <c r="V561" s="201" t="n"/>
      <c r="W561" s="202" t="n"/>
      <c r="X561" s="202" t="n"/>
      <c r="Y561" s="202" t="n"/>
      <c r="Z561" s="202" t="n"/>
      <c r="AA561" s="203" t="n"/>
      <c r="AB561" s="204" t="inlineStr">
        <is>
          <t>09-XL-307HG/PYCNT/CKN/T1/C8</t>
        </is>
      </c>
      <c r="AC561" s="205" t="inlineStr"/>
      <c r="AD561" s="205" t="n"/>
      <c r="AE561" s="205" t="n"/>
      <c r="AF561" s="205" t="n"/>
      <c r="AG561" s="205" t="inlineStr">
        <is>
          <t>NTCV;BBKTĐK</t>
        </is>
      </c>
      <c r="AH561" s="204" t="n">
        <v>12</v>
      </c>
      <c r="AI561" s="202" t="n"/>
      <c r="AJ561" s="202" t="n"/>
      <c r="AK561" s="206" t="n"/>
      <c r="AL561" s="202" t="n"/>
      <c r="AM561" s="202" t="n"/>
      <c r="AN561" s="202" t="n"/>
      <c r="AO561" s="202" t="n"/>
      <c r="AP561" s="207" t="n"/>
      <c r="AQ561" s="207" t="n"/>
      <c r="AR561" s="202" t="inlineStr">
        <is>
          <t>Nhóm 1</t>
        </is>
      </c>
      <c r="AS561" s="202" t="n"/>
      <c r="AT561" s="202" t="inlineStr">
        <is>
          <t>HM14</t>
        </is>
      </c>
      <c r="AU561" s="202" t="inlineStr">
        <is>
          <t>PYC</t>
        </is>
      </c>
      <c r="AV561" s="202" t="n">
        <v>184</v>
      </c>
      <c r="AW561" s="202" t="n">
        <v>4</v>
      </c>
      <c r="AX561" s="202" t="n"/>
    </row>
    <row r="562" ht="28" customHeight="1" s="672">
      <c r="A562" s="56" t="inlineStr">
        <is>
          <t>NTCV</t>
        </is>
      </c>
      <c r="B562" s="56" t="inlineStr">
        <is>
          <t>K.9999</t>
        </is>
      </c>
      <c r="C562" s="56" t="inlineStr">
        <is>
          <t>NTCV.0661924</t>
        </is>
      </c>
      <c r="D562" s="57" t="n"/>
      <c r="E562" s="57" t="n"/>
      <c r="F562" s="57" t="n"/>
      <c r="G562" s="57" t="n"/>
      <c r="H562" s="57" t="n"/>
      <c r="J562" s="218" t="inlineStr">
        <is>
          <t>32</t>
        </is>
      </c>
      <c r="K562" s="218" t="inlineStr">
        <is>
          <t>K.9999</t>
        </is>
      </c>
      <c r="L562" s="219" t="inlineStr">
        <is>
          <t>Đập đầu cọc khoan nhồi Trụ T1 - Cọc C8</t>
        </is>
      </c>
      <c r="M562" s="219" t="n"/>
      <c r="N562" s="219" t="n"/>
      <c r="O562" s="220" t="inlineStr">
        <is>
          <t>Cầu Km19+529.080</t>
        </is>
      </c>
      <c r="P562" s="221">
        <f>S560</f>
        <v/>
      </c>
      <c r="Q562" s="221">
        <f>P562</f>
        <v/>
      </c>
      <c r="R562" s="221">
        <f>Q562-1</f>
        <v/>
      </c>
      <c r="S562" s="221">
        <f>Q562</f>
        <v/>
      </c>
      <c r="T562" s="222" t="n">
        <v>0.3541666666666667</v>
      </c>
      <c r="U562" s="222">
        <f>T562+V562</f>
        <v/>
      </c>
      <c r="V562" s="222" t="n">
        <v>0.0625</v>
      </c>
      <c r="W562" s="223">
        <f>TEXT(T562,"HH""h""MM'")&amp;"÷"&amp;TEXT(U562,"HH""h""MM'")</f>
        <v/>
      </c>
      <c r="X562" s="223" t="n"/>
      <c r="Y562" s="223" t="n"/>
      <c r="Z562" s="223" t="n"/>
      <c r="AA562" s="224" t="inlineStr">
        <is>
          <t>Theo dõi nén mẫu R28 Cọc khoan nhồi Trụ T1 - Cọc C8</t>
        </is>
      </c>
      <c r="AB562" s="225" t="inlineStr">
        <is>
          <t>09-XL-307HG/PYCNT/CKN/T1/C8-4</t>
        </is>
      </c>
      <c r="AC562" s="225" t="inlineStr">
        <is>
          <t>09-XL-307HG/BBNT/CKN/T1/C8-13</t>
        </is>
      </c>
      <c r="AD562" s="225" t="n"/>
      <c r="AE562" s="225" t="n"/>
      <c r="AF562" s="225" t="n"/>
      <c r="AG562" s="225" t="n"/>
      <c r="AH562" s="225" t="n"/>
      <c r="AI562" s="223" t="n"/>
      <c r="AJ562" s="223" t="n"/>
      <c r="AK562" s="226" t="n"/>
      <c r="AL562" s="223" t="n"/>
      <c r="AM562" s="223" t="n"/>
      <c r="AN562" s="223" t="n"/>
      <c r="AO562" s="223" t="n"/>
      <c r="AP562" s="227" t="n"/>
      <c r="AQ562" s="227" t="n"/>
      <c r="AR562" s="223" t="inlineStr">
        <is>
          <t>Nhóm 1</t>
        </is>
      </c>
      <c r="AS562" s="223" t="n"/>
      <c r="AT562" s="223" t="inlineStr">
        <is>
          <t>HM14</t>
        </is>
      </c>
      <c r="AU562" s="223" t="inlineStr">
        <is>
          <t>NTCV</t>
        </is>
      </c>
      <c r="AV562" s="223" t="n">
        <v>305</v>
      </c>
      <c r="AW562" s="223" t="n">
        <v>12</v>
      </c>
      <c r="AX562" s="223" t="n"/>
    </row>
    <row r="563">
      <c r="A563" s="56" t="inlineStr">
        <is>
          <t>HM</t>
        </is>
      </c>
      <c r="B563" s="56" t="inlineStr">
        <is>
          <t>HM</t>
        </is>
      </c>
      <c r="C563" s="56" t="inlineStr">
        <is>
          <t>HM.0964709</t>
        </is>
      </c>
      <c r="D563" s="57" t="n"/>
      <c r="E563" s="57" t="n"/>
      <c r="F563" s="57" t="n"/>
      <c r="G563" s="57" t="n"/>
      <c r="H563" s="57" t="n"/>
      <c r="J563" s="246" t="inlineStr">
        <is>
          <t>HM15</t>
        </is>
      </c>
      <c r="K563" s="246" t="inlineStr">
        <is>
          <t>HM</t>
        </is>
      </c>
      <c r="L563" s="247" t="inlineStr">
        <is>
          <t>Trụ T2 - Cọc C1</t>
        </is>
      </c>
      <c r="M563" s="247" t="n"/>
      <c r="N563" s="247" t="n"/>
      <c r="O563" s="248" t="inlineStr">
        <is>
          <t>Cầu Km19+529.080</t>
        </is>
      </c>
      <c r="P563" s="249" t="n"/>
      <c r="Q563" s="249" t="n"/>
      <c r="R563" s="249" t="n"/>
      <c r="S563" s="249" t="n"/>
      <c r="T563" s="249" t="n"/>
      <c r="U563" s="249" t="n"/>
      <c r="V563" s="249" t="n"/>
      <c r="W563" s="250" t="n"/>
      <c r="X563" s="250" t="n"/>
      <c r="Y563" s="250" t="n"/>
      <c r="Z563" s="250" t="n"/>
      <c r="AA563" s="251" t="n"/>
      <c r="AB563" s="252" t="n"/>
      <c r="AC563" s="252" t="inlineStr"/>
      <c r="AD563" s="252" t="n"/>
      <c r="AE563" s="252" t="n"/>
      <c r="AF563" s="252" t="n"/>
      <c r="AG563" s="252" t="n"/>
      <c r="AH563" s="252" t="n"/>
      <c r="AI563" s="250" t="n"/>
      <c r="AJ563" s="250" t="n"/>
      <c r="AK563" s="253" t="n"/>
      <c r="AL563" s="250" t="n"/>
      <c r="AM563" s="250" t="n"/>
      <c r="AN563" s="250" t="n"/>
      <c r="AO563" s="250" t="n"/>
      <c r="AP563" s="254" t="n"/>
      <c r="AQ563" s="254" t="n"/>
      <c r="AR563" s="250" t="n"/>
      <c r="AS563" s="250" t="n"/>
      <c r="AT563" s="250" t="inlineStr">
        <is>
          <t>HM15</t>
        </is>
      </c>
      <c r="AU563" s="250" t="inlineStr">
        <is>
          <t>HM</t>
        </is>
      </c>
      <c r="AV563" s="250" t="n"/>
      <c r="AW563" s="250" t="n"/>
      <c r="AX563" s="250" t="n"/>
    </row>
    <row r="564" ht="28" customFormat="1" customHeight="1" s="70">
      <c r="A564" s="68" t="inlineStr">
        <is>
          <t>BBK_BIA</t>
        </is>
      </c>
      <c r="B564" s="68" t="inlineStr">
        <is>
          <t>TRANGBIA</t>
        </is>
      </c>
      <c r="C564" s="68" t="inlineStr">
        <is>
          <t>BBK_BIA.0009418</t>
        </is>
      </c>
      <c r="D564" s="69" t="n"/>
      <c r="E564" s="69" t="n"/>
      <c r="F564" s="69" t="n"/>
      <c r="G564" s="69" t="n"/>
      <c r="H564" s="69" t="n"/>
      <c r="J564" s="98" t="inlineStr">
        <is>
          <t>01</t>
        </is>
      </c>
      <c r="K564" s="98" t="inlineStr">
        <is>
          <t>TRANGBIA</t>
        </is>
      </c>
      <c r="L564" s="99">
        <f>"Cọc Khoan Nhồi"&amp;" - "&amp;L563</f>
        <v/>
      </c>
      <c r="M564" s="99" t="n"/>
      <c r="N564" s="99" t="n"/>
      <c r="O564" s="100" t="inlineStr">
        <is>
          <t>Cầu Km19+529.080</t>
        </is>
      </c>
      <c r="P564" s="101" t="n"/>
      <c r="Q564" s="101" t="n"/>
      <c r="R564" s="101" t="n"/>
      <c r="S564" s="101" t="n"/>
      <c r="T564" s="101" t="n"/>
      <c r="U564" s="101" t="n"/>
      <c r="V564" s="101" t="n"/>
      <c r="W564" s="102" t="n"/>
      <c r="X564" s="102" t="n"/>
      <c r="Y564" s="102" t="n"/>
      <c r="Z564" s="102" t="n"/>
      <c r="AA564" s="102" t="n"/>
      <c r="AB564" s="102" t="n"/>
      <c r="AC564" s="102" t="inlineStr"/>
      <c r="AD564" s="102" t="n"/>
      <c r="AE564" s="102" t="n"/>
      <c r="AF564" s="102" t="n"/>
      <c r="AG564" s="102" t="n"/>
      <c r="AH564" s="102" t="n"/>
      <c r="AI564" s="102" t="n"/>
      <c r="AJ564" s="102" t="n"/>
      <c r="AK564" s="100" t="n"/>
      <c r="AL564" s="102" t="n"/>
      <c r="AM564" s="102" t="n"/>
      <c r="AN564" s="102" t="n"/>
      <c r="AO564" s="102" t="n"/>
      <c r="AP564" s="103" t="inlineStr">
        <is>
          <t>Kết cấu cọc khoan nhồi mố, trụ</t>
        </is>
      </c>
      <c r="AQ564" s="104" t="n"/>
      <c r="AR564" s="102" t="inlineStr">
        <is>
          <t>Nhóm 1</t>
        </is>
      </c>
      <c r="AS564" s="102" t="n"/>
      <c r="AT564" s="102" t="inlineStr">
        <is>
          <t>HM15</t>
        </is>
      </c>
      <c r="AU564" s="102" t="inlineStr">
        <is>
          <t>TRANGBIA</t>
        </is>
      </c>
      <c r="AV564" s="102" t="n">
        <v>15</v>
      </c>
      <c r="AW564" s="102" t="n">
        <v>1</v>
      </c>
      <c r="AX564" s="102" t="n"/>
    </row>
    <row r="565" customFormat="1" s="70">
      <c r="A565" s="68" t="inlineStr">
        <is>
          <t>BBK_ML</t>
        </is>
      </c>
      <c r="B565" s="68" t="inlineStr">
        <is>
          <t>MUCLUC</t>
        </is>
      </c>
      <c r="C565" s="68" t="inlineStr">
        <is>
          <t>BBK_ML.0953598</t>
        </is>
      </c>
      <c r="D565" s="69" t="n"/>
      <c r="E565" s="69" t="n"/>
      <c r="F565" s="69" t="n"/>
      <c r="G565" s="69" t="n"/>
      <c r="H565" s="69" t="n"/>
      <c r="J565" s="98" t="inlineStr">
        <is>
          <t>02</t>
        </is>
      </c>
      <c r="K565" s="98" t="inlineStr">
        <is>
          <t>MUCLUC</t>
        </is>
      </c>
      <c r="L565" s="99" t="inlineStr">
        <is>
          <t>Danh mục biên bản Kiểm tra/Nghiệm thu</t>
        </is>
      </c>
      <c r="M565" s="99" t="n"/>
      <c r="N565" s="99" t="n"/>
      <c r="O565" s="100" t="inlineStr">
        <is>
          <t>Cầu Km19+529.080</t>
        </is>
      </c>
      <c r="P565" s="101" t="n"/>
      <c r="Q565" s="101" t="n"/>
      <c r="R565" s="101" t="n"/>
      <c r="S565" s="101" t="n"/>
      <c r="T565" s="101" t="n"/>
      <c r="U565" s="101" t="n"/>
      <c r="V565" s="101" t="n"/>
      <c r="W565" s="102" t="n"/>
      <c r="X565" s="102" t="n"/>
      <c r="Y565" s="102" t="n"/>
      <c r="Z565" s="102" t="n"/>
      <c r="AA565" s="102" t="n"/>
      <c r="AB565" s="102" t="n"/>
      <c r="AC565" s="102" t="inlineStr"/>
      <c r="AD565" s="102" t="n"/>
      <c r="AE565" s="102" t="n"/>
      <c r="AF565" s="102" t="n"/>
      <c r="AG565" s="102" t="n"/>
      <c r="AH565" s="102" t="n"/>
      <c r="AI565" s="102" t="n"/>
      <c r="AJ565" s="102" t="n"/>
      <c r="AK565" s="100" t="n"/>
      <c r="AL565" s="102" t="n"/>
      <c r="AM565" s="102" t="n"/>
      <c r="AN565" s="102" t="n"/>
      <c r="AO565" s="102" t="n"/>
      <c r="AP565" s="104" t="n"/>
      <c r="AQ565" s="104" t="n"/>
      <c r="AR565" s="102" t="inlineStr">
        <is>
          <t>Nhóm 1</t>
        </is>
      </c>
      <c r="AS565" s="102" t="n"/>
      <c r="AT565" s="102" t="inlineStr">
        <is>
          <t>HM15</t>
        </is>
      </c>
      <c r="AU565" s="102" t="inlineStr">
        <is>
          <t>MUCLUC</t>
        </is>
      </c>
      <c r="AV565" s="102" t="n">
        <v>15</v>
      </c>
      <c r="AW565" s="102" t="n">
        <v>1</v>
      </c>
      <c r="AX565" s="102" t="n"/>
    </row>
    <row r="566">
      <c r="A566" s="56" t="inlineStr">
        <is>
          <t>BBK680</t>
        </is>
      </c>
      <c r="B566" s="56" t="inlineStr">
        <is>
          <t>PYC</t>
        </is>
      </c>
      <c r="C566" s="56" t="inlineStr">
        <is>
          <t>BBK680.0073634</t>
        </is>
      </c>
      <c r="D566" s="57" t="n"/>
      <c r="E566" s="57" t="n"/>
      <c r="F566" s="57" t="n"/>
      <c r="G566" s="57" t="n"/>
      <c r="H566" s="57" t="n"/>
      <c r="J566" s="198" t="inlineStr">
        <is>
          <t>03</t>
        </is>
      </c>
      <c r="K566" s="198" t="inlineStr">
        <is>
          <t>PYC</t>
        </is>
      </c>
      <c r="L566" s="199" t="inlineStr">
        <is>
          <t>Phiếu yêu cầu nghiệm thu</t>
        </is>
      </c>
      <c r="M566" s="199" t="n"/>
      <c r="N566" s="199" t="n"/>
      <c r="O566" s="200" t="inlineStr">
        <is>
          <t>Cầu Km19+529.080</t>
        </is>
      </c>
      <c r="P566" s="201" t="n"/>
      <c r="Q566" s="201" t="n"/>
      <c r="R566" s="201">
        <f>R567</f>
        <v/>
      </c>
      <c r="S566" s="201" t="n"/>
      <c r="T566" s="201" t="n"/>
      <c r="U566" s="201" t="n"/>
      <c r="V566" s="201" t="n"/>
      <c r="W566" s="202" t="n"/>
      <c r="X566" s="202" t="n"/>
      <c r="Y566" s="202" t="n"/>
      <c r="Z566" s="202" t="n"/>
      <c r="AA566" s="203" t="n"/>
      <c r="AB566" s="204" t="inlineStr">
        <is>
          <t>09-XL-307HG/PYCNT/CKN/T2/C1</t>
        </is>
      </c>
      <c r="AC566" s="205" t="inlineStr"/>
      <c r="AD566" s="205" t="n"/>
      <c r="AE566" s="205" t="n"/>
      <c r="AF566" s="205" t="n"/>
      <c r="AG566" s="205" t="inlineStr">
        <is>
          <t>NTCV;BBKTĐK</t>
        </is>
      </c>
      <c r="AH566" s="204" t="inlineStr">
        <is>
          <t>&gt;=1;&lt;=5</t>
        </is>
      </c>
      <c r="AI566" s="202" t="n"/>
      <c r="AJ566" s="202" t="n"/>
      <c r="AK566" s="206" t="n"/>
      <c r="AL566" s="202" t="n"/>
      <c r="AM566" s="202" t="n"/>
      <c r="AN566" s="202" t="n"/>
      <c r="AO566" s="202" t="n"/>
      <c r="AP566" s="207" t="n"/>
      <c r="AQ566" s="207" t="n"/>
      <c r="AR566" s="202" t="inlineStr">
        <is>
          <t>Nhóm 1</t>
        </is>
      </c>
      <c r="AS566" s="202" t="n"/>
      <c r="AT566" s="202" t="inlineStr">
        <is>
          <t>HM15</t>
        </is>
      </c>
      <c r="AU566" s="202" t="inlineStr">
        <is>
          <t>PYC</t>
        </is>
      </c>
      <c r="AV566" s="202" t="n">
        <v>185</v>
      </c>
      <c r="AW566" s="202" t="n">
        <v>1</v>
      </c>
      <c r="AX566" s="202" t="n"/>
    </row>
    <row r="567" ht="28" customHeight="1" s="672">
      <c r="A567" s="56" t="inlineStr">
        <is>
          <t>BBK884</t>
        </is>
      </c>
      <c r="B567" s="56" t="inlineStr">
        <is>
          <t>BBKTĐK</t>
        </is>
      </c>
      <c r="C567" s="56" t="inlineStr">
        <is>
          <t>BBK884.0293299</t>
        </is>
      </c>
      <c r="D567" s="57" t="n"/>
      <c r="E567" s="57" t="n"/>
      <c r="F567" s="57" t="n"/>
      <c r="G567" s="57" t="n"/>
      <c r="H567" s="57" t="n"/>
      <c r="J567" s="198" t="inlineStr">
        <is>
          <t>04</t>
        </is>
      </c>
      <c r="K567" s="198" t="inlineStr">
        <is>
          <t>BBKTĐK</t>
        </is>
      </c>
      <c r="L567" s="199" t="inlineStr">
        <is>
          <t>Kiểm tra điều kiện trước khi thi công cọc khoan nhồi: Thiết bị, nhân lực, vật tư</t>
        </is>
      </c>
      <c r="M567" s="199" t="n"/>
      <c r="N567" s="199" t="n"/>
      <c r="O567" s="200" t="inlineStr">
        <is>
          <t>Cầu Km19+529.080</t>
        </is>
      </c>
      <c r="P567" s="201" t="n">
        <v>46221</v>
      </c>
      <c r="Q567" s="201">
        <f>P567</f>
        <v/>
      </c>
      <c r="R567" s="201">
        <f>Q567-1</f>
        <v/>
      </c>
      <c r="S567" s="201">
        <f>Q567</f>
        <v/>
      </c>
      <c r="T567" s="208" t="n">
        <v>0.2916666666666667</v>
      </c>
      <c r="U567" s="208">
        <f>T567+V567</f>
        <v/>
      </c>
      <c r="V567" s="208" t="n">
        <v>0.02083333333333333</v>
      </c>
      <c r="W567" s="202">
        <f>TEXT(T567,"HH""h""MM'")&amp;"÷"&amp;TEXT(U567,"HH""h""MM'")</f>
        <v/>
      </c>
      <c r="X567" s="202" t="n"/>
      <c r="Y567" s="202" t="n"/>
      <c r="Z567" s="202" t="inlineStr">
        <is>
          <t>01;</t>
        </is>
      </c>
      <c r="AA567" s="200" t="inlineStr">
        <is>
          <t>Kiểm tra điều kiện trước khi thi công Cọc khoan nhồi Trụ T2 - Cọc C1</t>
        </is>
      </c>
      <c r="AB567" s="205" t="inlineStr">
        <is>
          <t>09-XL-307HG/PYCNT/CKN/T2/C1-1</t>
        </is>
      </c>
      <c r="AC567" s="205" t="inlineStr">
        <is>
          <t>09-XL-307HG/BBNT/CKN/T2/C1-1</t>
        </is>
      </c>
      <c r="AD567" s="205" t="n"/>
      <c r="AE567" s="205" t="n"/>
      <c r="AF567" s="205" t="n"/>
      <c r="AG567" s="205" t="n"/>
      <c r="AH567" s="205" t="n"/>
      <c r="AI567" s="207" t="n"/>
      <c r="AJ567" s="214" t="n"/>
      <c r="AK567" s="217" t="n"/>
      <c r="AL567" s="214" t="n"/>
      <c r="AM567" s="214" t="n"/>
      <c r="AN567" s="214" t="n"/>
      <c r="AO567" s="202" t="n"/>
      <c r="AP567" s="207" t="n"/>
      <c r="AQ567" s="207" t="n"/>
      <c r="AR567" s="202" t="inlineStr">
        <is>
          <t>Nhóm 1</t>
        </is>
      </c>
      <c r="AS567" s="202" t="n"/>
      <c r="AT567" s="202" t="inlineStr">
        <is>
          <t>HM15</t>
        </is>
      </c>
      <c r="AU567" s="202" t="inlineStr">
        <is>
          <t>BBKTĐK</t>
        </is>
      </c>
      <c r="AV567" s="202" t="n">
        <v>16</v>
      </c>
      <c r="AW567" s="202" t="n">
        <v>1</v>
      </c>
      <c r="AX567" s="202" t="n"/>
    </row>
    <row r="568" ht="28" customHeight="1" s="672">
      <c r="A568" s="56" t="inlineStr">
        <is>
          <t>BBK860</t>
        </is>
      </c>
      <c r="B568" s="56" t="inlineStr">
        <is>
          <t>PL01</t>
        </is>
      </c>
      <c r="C568" s="56" t="inlineStr">
        <is>
          <t>BBK860.0582484</t>
        </is>
      </c>
      <c r="D568" s="57" t="n"/>
      <c r="E568" s="57" t="n"/>
      <c r="F568" s="57" t="n"/>
      <c r="G568" s="57" t="n"/>
      <c r="H568" s="57" t="n"/>
      <c r="J568" s="198" t="inlineStr">
        <is>
          <t>05</t>
        </is>
      </c>
      <c r="K568" s="198" t="inlineStr">
        <is>
          <t>PL01</t>
        </is>
      </c>
      <c r="L568" s="199" t="inlineStr">
        <is>
          <t>Máy móc, thiết bị, nhân lực, vật tư thi công cọc khoan nhồi</t>
        </is>
      </c>
      <c r="M568" s="199" t="n"/>
      <c r="N568" s="199" t="n"/>
      <c r="O568" s="199" t="inlineStr">
        <is>
          <t>Cầu Km19+529.080</t>
        </is>
      </c>
      <c r="P568" s="201" t="n"/>
      <c r="Q568" s="201" t="n"/>
      <c r="R568" s="201" t="n"/>
      <c r="S568" s="201">
        <f>S567</f>
        <v/>
      </c>
      <c r="T568" s="201" t="n"/>
      <c r="U568" s="201" t="n"/>
      <c r="V568" s="201" t="n"/>
      <c r="W568" s="202" t="n"/>
      <c r="X568" s="202" t="n"/>
      <c r="Y568" s="202" t="n"/>
      <c r="Z568" s="198" t="inlineStr">
        <is>
          <t>01</t>
        </is>
      </c>
      <c r="AA568" s="203" t="n"/>
      <c r="AB568" s="204" t="inlineStr">
        <is>
          <t>09-XL-307HG/PYCNT/CKN/T2/C1-1</t>
        </is>
      </c>
      <c r="AC568" s="204">
        <f>AC567</f>
        <v/>
      </c>
      <c r="AD568" s="204" t="n"/>
      <c r="AE568" s="204" t="n"/>
      <c r="AF568" s="204" t="n"/>
      <c r="AG568" s="204" t="n"/>
      <c r="AH568" s="204" t="inlineStr">
        <is>
          <t>CKN</t>
        </is>
      </c>
      <c r="AI568" s="207" t="n"/>
      <c r="AJ568" s="202" t="n"/>
      <c r="AK568" s="206" t="n"/>
      <c r="AL568" s="202" t="n"/>
      <c r="AM568" s="202" t="n"/>
      <c r="AN568" s="202" t="n"/>
      <c r="AO568" s="202" t="n"/>
      <c r="AP568" s="207" t="n"/>
      <c r="AQ568" s="207" t="n"/>
      <c r="AR568" s="202" t="inlineStr">
        <is>
          <t>Nhóm 1</t>
        </is>
      </c>
      <c r="AS568" s="202" t="n"/>
      <c r="AT568" s="202" t="inlineStr">
        <is>
          <t>HM15</t>
        </is>
      </c>
      <c r="AU568" s="202" t="inlineStr">
        <is>
          <t>PL01</t>
        </is>
      </c>
      <c r="AV568" s="202" t="n">
        <v>16</v>
      </c>
      <c r="AW568" s="202" t="n">
        <v>1</v>
      </c>
      <c r="AX568" s="202" t="n"/>
    </row>
    <row r="569" ht="42" customHeight="1" s="672">
      <c r="A569" s="56" t="inlineStr">
        <is>
          <t>NTCV</t>
        </is>
      </c>
      <c r="B569" s="56" t="inlineStr">
        <is>
          <t>K.9999</t>
        </is>
      </c>
      <c r="C569" s="56" t="inlineStr">
        <is>
          <t>NTCV.0807886</t>
        </is>
      </c>
      <c r="D569" s="57" t="n"/>
      <c r="E569" s="57" t="n"/>
      <c r="F569" s="57" t="n"/>
      <c r="G569" s="57" t="n"/>
      <c r="H569" s="57" t="n"/>
      <c r="J569" s="209" t="inlineStr">
        <is>
          <t>06</t>
        </is>
      </c>
      <c r="K569" s="209" t="inlineStr">
        <is>
          <t>K.9999</t>
        </is>
      </c>
      <c r="L569" s="210" t="inlineStr">
        <is>
          <t>Kiểm tra ống vách, dung dịch bentonite trước khi khoan cọc khoan nhồi</t>
        </is>
      </c>
      <c r="M569" s="210" t="n"/>
      <c r="N569" s="210" t="n"/>
      <c r="O569" s="211" t="inlineStr">
        <is>
          <t>Cầu Km19+529.080</t>
        </is>
      </c>
      <c r="P569" s="212">
        <f>S567</f>
        <v/>
      </c>
      <c r="Q569" s="212">
        <f>P569</f>
        <v/>
      </c>
      <c r="R569" s="212">
        <f>Q569-1</f>
        <v/>
      </c>
      <c r="S569" s="212">
        <f>Q569</f>
        <v/>
      </c>
      <c r="T569" s="213">
        <f>U567</f>
        <v/>
      </c>
      <c r="U569" s="213">
        <f>T569+V569</f>
        <v/>
      </c>
      <c r="V569" s="213" t="n">
        <v>0.02083333333333333</v>
      </c>
      <c r="W569" s="214">
        <f>TEXT(T569,"HH""h""MM'")&amp;"÷"&amp;TEXT(U569,"HH""h""MM'")</f>
        <v/>
      </c>
      <c r="X569" s="214" t="n"/>
      <c r="Y569" s="214" t="n"/>
      <c r="Z569" s="214" t="inlineStr">
        <is>
          <t>02; 02a</t>
        </is>
      </c>
      <c r="AA569" s="215" t="inlineStr">
        <is>
          <t>Kiểm tra ống vách, dung dịch bentonite Cọc khoan nhồi Trụ T2 - Cọc C1 trước khi khoan</t>
        </is>
      </c>
      <c r="AB569" s="204" t="inlineStr">
        <is>
          <t>09-XL-307HG/PYCNT/CKN/T2/C1-1</t>
        </is>
      </c>
      <c r="AC569" s="204" t="inlineStr">
        <is>
          <t>09-XL-307HG/BBNT/CKN/T2/C1-2</t>
        </is>
      </c>
      <c r="AD569" s="204" t="n"/>
      <c r="AE569" s="204" t="n"/>
      <c r="AF569" s="204" t="n"/>
      <c r="AG569" s="204" t="n"/>
      <c r="AH569" s="204" t="n"/>
      <c r="AI569" s="216" t="n"/>
      <c r="AJ569" s="214" t="n"/>
      <c r="AK569" s="217" t="n"/>
      <c r="AL569" s="214" t="n"/>
      <c r="AM569" s="214" t="n"/>
      <c r="AN569" s="214" t="n"/>
      <c r="AO569" s="214" t="n"/>
      <c r="AP569" s="216" t="n"/>
      <c r="AQ569" s="216" t="n"/>
      <c r="AR569" s="214" t="inlineStr">
        <is>
          <t>Nhóm 1</t>
        </is>
      </c>
      <c r="AS569" s="214" t="n"/>
      <c r="AT569" s="214" t="inlineStr">
        <is>
          <t>HM15</t>
        </is>
      </c>
      <c r="AU569" s="214" t="inlineStr">
        <is>
          <t>NTCV</t>
        </is>
      </c>
      <c r="AV569" s="214" t="n">
        <v>216</v>
      </c>
      <c r="AW569" s="214" t="n">
        <v>1</v>
      </c>
      <c r="AX569" s="214" t="n"/>
    </row>
    <row r="570">
      <c r="A570" s="56" t="inlineStr">
        <is>
          <t>BBK170</t>
        </is>
      </c>
      <c r="B570" s="56" t="inlineStr">
        <is>
          <t>PL02</t>
        </is>
      </c>
      <c r="C570" s="56" t="inlineStr">
        <is>
          <t>BBK170.0040310</t>
        </is>
      </c>
      <c r="D570" s="57" t="n"/>
      <c r="E570" s="57" t="n"/>
      <c r="F570" s="57" t="n"/>
      <c r="G570" s="57" t="n"/>
      <c r="H570" s="57" t="n"/>
      <c r="J570" s="198" t="inlineStr">
        <is>
          <t>07</t>
        </is>
      </c>
      <c r="K570" s="198" t="inlineStr">
        <is>
          <t>PL02</t>
        </is>
      </c>
      <c r="L570" s="199" t="inlineStr">
        <is>
          <t>Kiểm tra ống vách thi công trước khi hạ</t>
        </is>
      </c>
      <c r="M570" s="199" t="n"/>
      <c r="N570" s="199" t="n"/>
      <c r="O570" s="200" t="inlineStr">
        <is>
          <t>Cầu Km19+529.080</t>
        </is>
      </c>
      <c r="P570" s="201" t="n"/>
      <c r="Q570" s="201" t="n"/>
      <c r="R570" s="201" t="n"/>
      <c r="S570" s="201">
        <f>S569</f>
        <v/>
      </c>
      <c r="T570" s="201" t="n"/>
      <c r="U570" s="201" t="n"/>
      <c r="V570" s="201" t="n"/>
      <c r="W570" s="202" t="n"/>
      <c r="X570" s="202" t="n"/>
      <c r="Y570" s="202" t="n"/>
      <c r="Z570" s="198" t="inlineStr">
        <is>
          <t>02</t>
        </is>
      </c>
      <c r="AA570" s="203" t="n"/>
      <c r="AB570" s="204" t="inlineStr">
        <is>
          <t>09-XL-307HG/PYCNT/CKN/T2/C1-1</t>
        </is>
      </c>
      <c r="AC570" s="204">
        <f>AC569</f>
        <v/>
      </c>
      <c r="AD570" s="204" t="n"/>
      <c r="AE570" s="204" t="n"/>
      <c r="AF570" s="204" t="n"/>
      <c r="AG570" s="204" t="n"/>
      <c r="AH570" s="204" t="inlineStr">
        <is>
          <t>CKN</t>
        </is>
      </c>
      <c r="AI570" s="207" t="n"/>
      <c r="AJ570" s="202" t="n"/>
      <c r="AK570" s="206" t="n"/>
      <c r="AL570" s="202" t="n"/>
      <c r="AM570" s="202" t="n"/>
      <c r="AN570" s="202" t="n"/>
      <c r="AO570" s="202" t="n"/>
      <c r="AP570" s="207" t="n"/>
      <c r="AQ570" s="207" t="inlineStr">
        <is>
          <t>Ảnh\PL02 CKN.png</t>
        </is>
      </c>
      <c r="AR570" s="202" t="inlineStr">
        <is>
          <t>Nhóm 1</t>
        </is>
      </c>
      <c r="AS570" s="202" t="n"/>
      <c r="AT570" s="202" t="inlineStr">
        <is>
          <t>HM15</t>
        </is>
      </c>
      <c r="AU570" s="202" t="inlineStr">
        <is>
          <t>PL02</t>
        </is>
      </c>
      <c r="AV570" s="202" t="n">
        <v>16</v>
      </c>
      <c r="AW570" s="202" t="n">
        <v>1</v>
      </c>
      <c r="AX570" s="202" t="n"/>
    </row>
    <row r="571">
      <c r="A571" s="56" t="inlineStr">
        <is>
          <t>BBK721</t>
        </is>
      </c>
      <c r="B571" s="56" t="inlineStr">
        <is>
          <t>PL02a</t>
        </is>
      </c>
      <c r="C571" s="56" t="inlineStr">
        <is>
          <t>BBK721.0054648</t>
        </is>
      </c>
      <c r="D571" s="57" t="n"/>
      <c r="E571" s="57" t="n"/>
      <c r="F571" s="57" t="n"/>
      <c r="G571" s="57" t="n"/>
      <c r="H571" s="57" t="n"/>
      <c r="J571" s="198" t="inlineStr">
        <is>
          <t>08</t>
        </is>
      </c>
      <c r="K571" s="198" t="inlineStr">
        <is>
          <t>PL02a</t>
        </is>
      </c>
      <c r="L571" s="199" t="inlineStr">
        <is>
          <t>Kiểm tra ống vách thi công trước khi hạ</t>
        </is>
      </c>
      <c r="M571" s="199" t="n"/>
      <c r="N571" s="199" t="n"/>
      <c r="O571" s="200" t="inlineStr">
        <is>
          <t>Cầu Km19+529.080</t>
        </is>
      </c>
      <c r="P571" s="201" t="n"/>
      <c r="Q571" s="201" t="n"/>
      <c r="R571" s="201" t="n"/>
      <c r="S571" s="201">
        <f>S570</f>
        <v/>
      </c>
      <c r="T571" s="201" t="n"/>
      <c r="U571" s="201" t="n"/>
      <c r="V571" s="201" t="n"/>
      <c r="W571" s="202" t="n"/>
      <c r="X571" s="202" t="n"/>
      <c r="Y571" s="202" t="n"/>
      <c r="Z571" s="198" t="inlineStr">
        <is>
          <t>02a</t>
        </is>
      </c>
      <c r="AA571" s="203" t="n"/>
      <c r="AB571" s="204" t="inlineStr">
        <is>
          <t>09-XL-307HG/PYCNT/CKN/T2/C1-1</t>
        </is>
      </c>
      <c r="AC571" s="204">
        <f>AC570</f>
        <v/>
      </c>
      <c r="AD571" s="204" t="n"/>
      <c r="AE571" s="204" t="n"/>
      <c r="AF571" s="204" t="n"/>
      <c r="AG571" s="204" t="n"/>
      <c r="AH571" s="204" t="n"/>
      <c r="AI571" s="207" t="n"/>
      <c r="AJ571" s="202" t="n"/>
      <c r="AK571" s="206" t="n"/>
      <c r="AL571" s="202" t="n"/>
      <c r="AM571" s="202" t="n"/>
      <c r="AN571" s="202" t="n"/>
      <c r="AO571" s="202" t="n"/>
      <c r="AP571" s="207" t="n"/>
      <c r="AQ571" s="207" t="n"/>
      <c r="AR571" s="202" t="inlineStr">
        <is>
          <t>Nhóm 1</t>
        </is>
      </c>
      <c r="AS571" s="202" t="n"/>
      <c r="AT571" s="202" t="inlineStr">
        <is>
          <t>HM15</t>
        </is>
      </c>
      <c r="AU571" s="202" t="inlineStr">
        <is>
          <t>PL02a</t>
        </is>
      </c>
      <c r="AV571" s="202" t="n">
        <v>16</v>
      </c>
      <c r="AW571" s="202" t="n">
        <v>1</v>
      </c>
      <c r="AX571" s="202" t="n"/>
    </row>
    <row r="572" ht="28" customHeight="1" s="672">
      <c r="A572" s="56" t="inlineStr">
        <is>
          <t>NTCV</t>
        </is>
      </c>
      <c r="B572" s="56" t="inlineStr">
        <is>
          <t>K.9999</t>
        </is>
      </c>
      <c r="C572" s="56" t="inlineStr">
        <is>
          <t>NTCV.0564306</t>
        </is>
      </c>
      <c r="D572" s="57" t="n"/>
      <c r="E572" s="57" t="n"/>
      <c r="F572" s="57" t="n"/>
      <c r="G572" s="57" t="n"/>
      <c r="H572" s="57" t="n"/>
      <c r="J572" s="209" t="inlineStr">
        <is>
          <t>09</t>
        </is>
      </c>
      <c r="K572" s="209" t="inlineStr">
        <is>
          <t>K.9999</t>
        </is>
      </c>
      <c r="L572" s="210" t="inlineStr">
        <is>
          <t>Kiểm tra định vị tim cọc khoan nhồi, hạ ống vách thi công</t>
        </is>
      </c>
      <c r="M572" s="210" t="n"/>
      <c r="N572" s="210" t="n"/>
      <c r="O572" s="211" t="inlineStr">
        <is>
          <t>Cầu Km19+529.080</t>
        </is>
      </c>
      <c r="P572" s="212">
        <f>S569</f>
        <v/>
      </c>
      <c r="Q572" s="212">
        <f>P572</f>
        <v/>
      </c>
      <c r="R572" s="212">
        <f>Q572-1</f>
        <v/>
      </c>
      <c r="S572" s="212">
        <f>Q572</f>
        <v/>
      </c>
      <c r="T572" s="213">
        <f>U569</f>
        <v/>
      </c>
      <c r="U572" s="213">
        <f>T572+V572</f>
        <v/>
      </c>
      <c r="V572" s="213" t="n">
        <v>0.02083333333333333</v>
      </c>
      <c r="W572" s="214">
        <f>TEXT(T572,"HH""h""MM'")&amp;"÷"&amp;TEXT(U572,"HH""h""MM'")</f>
        <v/>
      </c>
      <c r="X572" s="214" t="n"/>
      <c r="Y572" s="214" t="n"/>
      <c r="Z572" s="214" t="inlineStr">
        <is>
          <t>03;</t>
        </is>
      </c>
      <c r="AA572" s="215" t="inlineStr">
        <is>
          <t>Kiểm tra định vị Cọc khoan nhồi Trụ T2 - Cọc C1</t>
        </is>
      </c>
      <c r="AB572" s="204" t="inlineStr">
        <is>
          <t>09-XL-307HG/PYCNT/CKN/T2/C1-1</t>
        </is>
      </c>
      <c r="AC572" s="204" t="inlineStr">
        <is>
          <t>09-XL-307HG/BBNT/CKN/T2/C1-3</t>
        </is>
      </c>
      <c r="AD572" s="204" t="n"/>
      <c r="AE572" s="204" t="n"/>
      <c r="AF572" s="204" t="n"/>
      <c r="AG572" s="204" t="n"/>
      <c r="AH572" s="204" t="n"/>
      <c r="AI572" s="216" t="n"/>
      <c r="AJ572" s="214" t="n"/>
      <c r="AK572" s="217" t="n"/>
      <c r="AL572" s="214" t="n"/>
      <c r="AM572" s="214" t="n"/>
      <c r="AN572" s="214" t="n"/>
      <c r="AO572" s="214" t="n"/>
      <c r="AP572" s="216" t="n"/>
      <c r="AQ572" s="216" t="n"/>
      <c r="AR572" s="214" t="inlineStr">
        <is>
          <t>Nhóm 1</t>
        </is>
      </c>
      <c r="AS572" s="214" t="n"/>
      <c r="AT572" s="214" t="inlineStr">
        <is>
          <t>HM15</t>
        </is>
      </c>
      <c r="AU572" s="214" t="inlineStr">
        <is>
          <t>NTCV</t>
        </is>
      </c>
      <c r="AV572" s="214" t="n">
        <v>217</v>
      </c>
      <c r="AW572" s="214" t="n">
        <v>2</v>
      </c>
      <c r="AX572" s="214" t="n"/>
    </row>
    <row r="573" ht="28" customHeight="1" s="672">
      <c r="A573" s="56" t="inlineStr">
        <is>
          <t>BBK478</t>
        </is>
      </c>
      <c r="B573" s="56" t="inlineStr">
        <is>
          <t>PL03</t>
        </is>
      </c>
      <c r="C573" s="56" t="inlineStr">
        <is>
          <t>BBK478.0314812</t>
        </is>
      </c>
      <c r="D573" s="57" t="n"/>
      <c r="E573" s="57" t="n"/>
      <c r="F573" s="57" t="n"/>
      <c r="G573" s="57" t="n"/>
      <c r="H573" s="57" t="n"/>
      <c r="J573" s="198" t="inlineStr">
        <is>
          <t>10</t>
        </is>
      </c>
      <c r="K573" s="198" t="inlineStr">
        <is>
          <t>PL03</t>
        </is>
      </c>
      <c r="L573" s="199" t="inlineStr">
        <is>
          <t>Kiểm tra định vị tim cọc khoan nhồi, hạ ống vách thi công</t>
        </is>
      </c>
      <c r="M573" s="199" t="n"/>
      <c r="N573" s="199" t="n"/>
      <c r="O573" s="200" t="inlineStr">
        <is>
          <t>Cầu Km19+529.080</t>
        </is>
      </c>
      <c r="P573" s="201" t="n"/>
      <c r="Q573" s="201" t="n"/>
      <c r="R573" s="201" t="n"/>
      <c r="S573" s="201">
        <f>S572</f>
        <v/>
      </c>
      <c r="T573" s="201" t="n"/>
      <c r="U573" s="201" t="n"/>
      <c r="V573" s="201" t="n"/>
      <c r="W573" s="202" t="n"/>
      <c r="X573" s="202" t="n"/>
      <c r="Y573" s="202" t="n"/>
      <c r="Z573" s="198" t="inlineStr">
        <is>
          <t>03</t>
        </is>
      </c>
      <c r="AA573" s="203" t="n"/>
      <c r="AB573" s="204" t="inlineStr">
        <is>
          <t>09-XL-307HG/PYCNT/CKN/T2/C1-1</t>
        </is>
      </c>
      <c r="AC573" s="204">
        <f>AC572</f>
        <v/>
      </c>
      <c r="AD573" s="255" t="n">
        <v>2481785.528</v>
      </c>
      <c r="AE573" s="255" t="n">
        <v>382426.896</v>
      </c>
      <c r="AF573" s="255" t="n">
        <v>167.86</v>
      </c>
      <c r="AG573" s="255" t="n"/>
      <c r="AH573" s="204" t="inlineStr">
        <is>
          <t>&gt;=211;&lt;=229</t>
        </is>
      </c>
      <c r="AI573" s="207" t="n"/>
      <c r="AJ573" s="202" t="n"/>
      <c r="AK573" s="206" t="n"/>
      <c r="AL573" s="202" t="n"/>
      <c r="AM573" s="202" t="n"/>
      <c r="AN573" s="202" t="n"/>
      <c r="AO573" s="202" t="n"/>
      <c r="AP573" s="207" t="n"/>
      <c r="AQ573" s="207" t="n"/>
      <c r="AR573" s="202" t="inlineStr">
        <is>
          <t>Nhóm 1</t>
        </is>
      </c>
      <c r="AS573" s="202" t="n"/>
      <c r="AT573" s="202" t="inlineStr">
        <is>
          <t>HM15</t>
        </is>
      </c>
      <c r="AU573" s="202" t="inlineStr">
        <is>
          <t>PL03</t>
        </is>
      </c>
      <c r="AV573" s="202" t="n">
        <v>16</v>
      </c>
      <c r="AW573" s="202" t="n">
        <v>1</v>
      </c>
      <c r="AX573" s="202" t="n"/>
    </row>
    <row r="574" ht="28" customHeight="1" s="672">
      <c r="A574" s="56" t="inlineStr">
        <is>
          <t>NTCV</t>
        </is>
      </c>
      <c r="B574" s="56" t="inlineStr">
        <is>
          <t>K.9999</t>
        </is>
      </c>
      <c r="C574" s="56" t="inlineStr">
        <is>
          <t>NTCV.0412355</t>
        </is>
      </c>
      <c r="D574" s="57" t="n"/>
      <c r="E574" s="57" t="n"/>
      <c r="F574" s="57" t="n"/>
      <c r="G574" s="57" t="n"/>
      <c r="H574" s="57" t="n"/>
      <c r="J574" s="209" t="inlineStr">
        <is>
          <t>11</t>
        </is>
      </c>
      <c r="K574" s="209" t="inlineStr">
        <is>
          <t>K.9999</t>
        </is>
      </c>
      <c r="L574" s="210" t="inlineStr">
        <is>
          <t>Nghiệm thu lồng thép cọc khoan nhồi trước khi hạ</t>
        </is>
      </c>
      <c r="M574" s="210" t="n"/>
      <c r="N574" s="210" t="n"/>
      <c r="O574" s="211" t="inlineStr">
        <is>
          <t>Cầu Km19+529.080</t>
        </is>
      </c>
      <c r="P574" s="212">
        <f>S572</f>
        <v/>
      </c>
      <c r="Q574" s="212">
        <f>P574</f>
        <v/>
      </c>
      <c r="R574" s="212">
        <f>Q574-1</f>
        <v/>
      </c>
      <c r="S574" s="212">
        <f>Q574</f>
        <v/>
      </c>
      <c r="T574" s="213">
        <f>U572</f>
        <v/>
      </c>
      <c r="U574" s="213">
        <f>T574+V574</f>
        <v/>
      </c>
      <c r="V574" s="213" t="n">
        <v>0.02083333333333333</v>
      </c>
      <c r="W574" s="214">
        <f>TEXT(T574,"HH""h""MM'")&amp;"÷"&amp;TEXT(U574,"HH""h""MM'")</f>
        <v/>
      </c>
      <c r="X574" s="214" t="n"/>
      <c r="Y574" s="214" t="n"/>
      <c r="Z574" s="214" t="inlineStr">
        <is>
          <t>04;</t>
        </is>
      </c>
      <c r="AA574" s="215" t="inlineStr">
        <is>
          <t>Nghiệm thu lồng thép Cọc khoan nhồi Trụ T2 - Cọc C1</t>
        </is>
      </c>
      <c r="AB574" s="204" t="inlineStr">
        <is>
          <t>09-XL-307HG/PYCNT/CKN/T2/C1-1</t>
        </is>
      </c>
      <c r="AC574" s="204" t="inlineStr">
        <is>
          <t>09-XL-307HG/BBNT/CKN/T2/C1-4</t>
        </is>
      </c>
      <c r="AD574" s="204" t="n"/>
      <c r="AE574" s="204" t="n"/>
      <c r="AF574" s="204" t="n"/>
      <c r="AG574" s="204" t="n"/>
      <c r="AH574" s="204" t="n"/>
      <c r="AI574" s="216" t="n"/>
      <c r="AJ574" s="214" t="n"/>
      <c r="AK574" s="217" t="n"/>
      <c r="AL574" s="214" t="n"/>
      <c r="AM574" s="214" t="n"/>
      <c r="AN574" s="214" t="n"/>
      <c r="AO574" s="214" t="n"/>
      <c r="AP574" s="216" t="n"/>
      <c r="AQ574" s="216" t="n"/>
      <c r="AR574" s="214" t="inlineStr">
        <is>
          <t>Nhóm 1</t>
        </is>
      </c>
      <c r="AS574" s="214" t="n"/>
      <c r="AT574" s="214" t="inlineStr">
        <is>
          <t>HM15</t>
        </is>
      </c>
      <c r="AU574" s="214" t="inlineStr">
        <is>
          <t>NTCV</t>
        </is>
      </c>
      <c r="AV574" s="214" t="n">
        <v>219</v>
      </c>
      <c r="AW574" s="214" t="n">
        <v>3</v>
      </c>
      <c r="AX574" s="214" t="n"/>
    </row>
    <row r="575">
      <c r="A575" s="56" t="inlineStr">
        <is>
          <t>BBK096</t>
        </is>
      </c>
      <c r="B575" s="56" t="inlineStr">
        <is>
          <t>PL04</t>
        </is>
      </c>
      <c r="C575" s="56" t="inlineStr">
        <is>
          <t>BBK096.0510047</t>
        </is>
      </c>
      <c r="D575" s="57" t="n"/>
      <c r="E575" s="57" t="n"/>
      <c r="F575" s="57" t="n"/>
      <c r="G575" s="57" t="n"/>
      <c r="H575" s="57" t="n"/>
      <c r="J575" s="198" t="inlineStr">
        <is>
          <t>12</t>
        </is>
      </c>
      <c r="K575" s="198" t="inlineStr">
        <is>
          <t>PL04</t>
        </is>
      </c>
      <c r="L575" s="199" t="inlineStr">
        <is>
          <t>Nghiệm thu lồng thép cọc khoan nhồi trước khi hạ</t>
        </is>
      </c>
      <c r="M575" s="199" t="n"/>
      <c r="N575" s="199" t="n"/>
      <c r="O575" s="200" t="inlineStr">
        <is>
          <t>Cầu Km19+529.080</t>
        </is>
      </c>
      <c r="P575" s="201" t="n"/>
      <c r="Q575" s="201" t="n"/>
      <c r="R575" s="201" t="n"/>
      <c r="S575" s="201">
        <f>S574</f>
        <v/>
      </c>
      <c r="T575" s="201" t="n"/>
      <c r="U575" s="201" t="n"/>
      <c r="V575" s="201" t="n"/>
      <c r="W575" s="202" t="n"/>
      <c r="X575" s="202" t="n"/>
      <c r="Y575" s="202" t="n"/>
      <c r="Z575" s="198" t="inlineStr">
        <is>
          <t>04</t>
        </is>
      </c>
      <c r="AA575" s="203" t="n"/>
      <c r="AB575" s="204" t="inlineStr">
        <is>
          <t>09-XL-307HG/PYCNT/CKN/T2/C1-1</t>
        </is>
      </c>
      <c r="AC575" s="204">
        <f>AC574</f>
        <v/>
      </c>
      <c r="AD575" s="204" t="n"/>
      <c r="AE575" s="204" t="n"/>
      <c r="AF575" s="204" t="n"/>
      <c r="AG575" s="204" t="n"/>
      <c r="AH575" s="204" t="inlineStr">
        <is>
          <t>T2</t>
        </is>
      </c>
      <c r="AI575" s="207" t="n"/>
      <c r="AJ575" s="202" t="n"/>
      <c r="AK575" s="206" t="n"/>
      <c r="AL575" s="202" t="n"/>
      <c r="AM575" s="202" t="n"/>
      <c r="AN575" s="202" t="n"/>
      <c r="AO575" s="202" t="n"/>
      <c r="AP575" s="207" t="n"/>
      <c r="AQ575" s="207" t="n"/>
      <c r="AR575" s="202" t="inlineStr">
        <is>
          <t>Nhóm 1</t>
        </is>
      </c>
      <c r="AS575" s="202" t="n"/>
      <c r="AT575" s="202" t="inlineStr">
        <is>
          <t>HM15</t>
        </is>
      </c>
      <c r="AU575" s="202" t="inlineStr">
        <is>
          <t>PL04</t>
        </is>
      </c>
      <c r="AV575" s="202" t="n">
        <v>16</v>
      </c>
      <c r="AW575" s="202" t="n">
        <v>1</v>
      </c>
      <c r="AX575" s="202" t="n"/>
    </row>
    <row r="576" ht="28" customHeight="1" s="672">
      <c r="A576" s="56" t="inlineStr">
        <is>
          <t>NTCV</t>
        </is>
      </c>
      <c r="B576" s="56" t="inlineStr">
        <is>
          <t>K.9999</t>
        </is>
      </c>
      <c r="C576" s="56" t="inlineStr">
        <is>
          <t>NTCV.0733510</t>
        </is>
      </c>
      <c r="D576" s="57" t="n"/>
      <c r="E576" s="57" t="n"/>
      <c r="F576" s="57" t="n"/>
      <c r="G576" s="57" t="n"/>
      <c r="H576" s="57" t="n"/>
      <c r="J576" s="209" t="inlineStr">
        <is>
          <t>13</t>
        </is>
      </c>
      <c r="K576" s="209" t="inlineStr">
        <is>
          <t>K.9999</t>
        </is>
      </c>
      <c r="L576" s="210" t="inlineStr">
        <is>
          <t xml:space="preserve">Kiểm tra công tác khoan tạo lỗ cọc khoan nhồi </t>
        </is>
      </c>
      <c r="M576" s="210" t="n"/>
      <c r="N576" s="210" t="n"/>
      <c r="O576" s="211" t="inlineStr">
        <is>
          <t>Cầu Km19+529.080</t>
        </is>
      </c>
      <c r="P576" s="212">
        <f>S574</f>
        <v/>
      </c>
      <c r="Q576" s="212">
        <f>P576</f>
        <v/>
      </c>
      <c r="R576" s="212">
        <f>Q576-1</f>
        <v/>
      </c>
      <c r="S576" s="212">
        <f>Q576</f>
        <v/>
      </c>
      <c r="T576" s="213">
        <f>U574</f>
        <v/>
      </c>
      <c r="U576" s="213">
        <f>U577</f>
        <v/>
      </c>
      <c r="V576" s="213">
        <f>U576-T576</f>
        <v/>
      </c>
      <c r="W576" s="214">
        <f>TEXT(T576,"HH""h""MM'")&amp;"÷"&amp;TEXT(U576,"HH""h""MM'")</f>
        <v/>
      </c>
      <c r="X576" s="214" t="n"/>
      <c r="Y576" s="214" t="n"/>
      <c r="Z576" s="214" t="inlineStr">
        <is>
          <t>05;</t>
        </is>
      </c>
      <c r="AA576" s="215" t="inlineStr">
        <is>
          <t>Kiểm tra công tác khoan tạo lỗ Cọc khoan nhồi Trụ T2 - Cọc C1</t>
        </is>
      </c>
      <c r="AB576" s="204" t="inlineStr">
        <is>
          <t>09-XL-307HG/PYCNT/CKN/T2/C1-1</t>
        </is>
      </c>
      <c r="AC576" s="204" t="inlineStr">
        <is>
          <t>09-XL-307HG/BBNT/CKN/T2/C1-5</t>
        </is>
      </c>
      <c r="AD576" s="204" t="n"/>
      <c r="AE576" s="204" t="n"/>
      <c r="AF576" s="204" t="n"/>
      <c r="AG576" s="204" t="n"/>
      <c r="AH576" s="204" t="n"/>
      <c r="AI576" s="216" t="n"/>
      <c r="AJ576" s="214" t="n"/>
      <c r="AK576" s="217" t="n"/>
      <c r="AL576" s="214" t="n"/>
      <c r="AM576" s="214" t="n"/>
      <c r="AN576" s="214" t="n"/>
      <c r="AO576" s="214" t="n"/>
      <c r="AP576" s="216" t="n"/>
      <c r="AQ576" s="216" t="n"/>
      <c r="AR576" s="214" t="inlineStr">
        <is>
          <t>Nhóm 1</t>
        </is>
      </c>
      <c r="AS576" s="214" t="n"/>
      <c r="AT576" s="214" t="inlineStr">
        <is>
          <t>HM15</t>
        </is>
      </c>
      <c r="AU576" s="214" t="inlineStr">
        <is>
          <t>NTCV</t>
        </is>
      </c>
      <c r="AV576" s="214" t="n">
        <v>223</v>
      </c>
      <c r="AW576" s="214" t="n">
        <v>4</v>
      </c>
      <c r="AX576" s="214" t="n"/>
    </row>
    <row r="577">
      <c r="A577" s="56" t="inlineStr">
        <is>
          <t>BBK638</t>
        </is>
      </c>
      <c r="B577" s="56" t="inlineStr">
        <is>
          <t>PL05</t>
        </is>
      </c>
      <c r="C577" s="56" t="inlineStr">
        <is>
          <t>BBK638.0450999</t>
        </is>
      </c>
      <c r="D577" s="57" t="n"/>
      <c r="E577" s="57" t="n"/>
      <c r="F577" s="57" t="n"/>
      <c r="G577" s="57" t="n"/>
      <c r="H577" s="57" t="n"/>
      <c r="J577" s="198" t="inlineStr">
        <is>
          <t>14</t>
        </is>
      </c>
      <c r="K577" s="198" t="inlineStr">
        <is>
          <t>PL05</t>
        </is>
      </c>
      <c r="L577" s="199" t="inlineStr">
        <is>
          <t>Kiểm tra công tác khoan tạo lỗ cọc khoan nhồi</t>
        </is>
      </c>
      <c r="M577" s="199" t="n"/>
      <c r="N577" s="199" t="n"/>
      <c r="O577" s="200" t="inlineStr">
        <is>
          <t>Cầu Km19+529.080</t>
        </is>
      </c>
      <c r="P577" s="201" t="n"/>
      <c r="Q577" s="201" t="n"/>
      <c r="R577" s="201" t="n"/>
      <c r="S577" s="201">
        <f>S576</f>
        <v/>
      </c>
      <c r="T577" s="208">
        <f>T576</f>
        <v/>
      </c>
      <c r="U577" s="208" t="n">
        <v>0.7638888888888888</v>
      </c>
      <c r="V577" s="208">
        <f>U577-T577</f>
        <v/>
      </c>
      <c r="W577" s="202" t="n"/>
      <c r="X577" s="202" t="n"/>
      <c r="Y577" s="202" t="n"/>
      <c r="Z577" s="198" t="inlineStr">
        <is>
          <t>05</t>
        </is>
      </c>
      <c r="AA577" s="203" t="n"/>
      <c r="AB577" s="204" t="inlineStr">
        <is>
          <t>09-XL-307HG/PYCNT/CKN/T2/C1</t>
        </is>
      </c>
      <c r="AC577" s="204">
        <f>AC576</f>
        <v/>
      </c>
      <c r="AD577" s="204" t="n"/>
      <c r="AE577" s="204" t="n"/>
      <c r="AF577" s="255" t="n">
        <v>167.86</v>
      </c>
      <c r="AG577" s="255" t="n"/>
      <c r="AH577" s="204" t="inlineStr">
        <is>
          <t>T2-C1</t>
        </is>
      </c>
      <c r="AI577" s="207" t="n"/>
      <c r="AJ577" s="202" t="n"/>
      <c r="AK577" s="206" t="n"/>
      <c r="AL577" s="202" t="n"/>
      <c r="AM577" s="202" t="n"/>
      <c r="AN577" s="202" t="n"/>
      <c r="AO577" s="202" t="n"/>
      <c r="AP577" s="207" t="n"/>
      <c r="AQ577" s="207" t="n"/>
      <c r="AR577" s="202" t="inlineStr">
        <is>
          <t>Nhóm 1</t>
        </is>
      </c>
      <c r="AS577" s="202" t="n"/>
      <c r="AT577" s="202" t="inlineStr">
        <is>
          <t>HM15</t>
        </is>
      </c>
      <c r="AU577" s="202" t="inlineStr">
        <is>
          <t>PL05</t>
        </is>
      </c>
      <c r="AV577" s="202" t="n">
        <v>16</v>
      </c>
      <c r="AW577" s="202" t="n">
        <v>1</v>
      </c>
      <c r="AX577" s="202" t="n"/>
    </row>
    <row r="578">
      <c r="A578" s="56" t="inlineStr">
        <is>
          <t>BBK680</t>
        </is>
      </c>
      <c r="B578" s="56" t="inlineStr">
        <is>
          <t>PYC</t>
        </is>
      </c>
      <c r="C578" s="56" t="inlineStr">
        <is>
          <t>BBK680.0322398</t>
        </is>
      </c>
      <c r="D578" s="57" t="n"/>
      <c r="E578" s="57" t="n"/>
      <c r="F578" s="57" t="n"/>
      <c r="G578" s="57" t="n"/>
      <c r="H578" s="57" t="n"/>
      <c r="J578" s="198" t="inlineStr">
        <is>
          <t>15</t>
        </is>
      </c>
      <c r="K578" s="198" t="inlineStr">
        <is>
          <t>PYC</t>
        </is>
      </c>
      <c r="L578" s="199" t="inlineStr">
        <is>
          <t>Phiếu yêu cầu nghiệm thu</t>
        </is>
      </c>
      <c r="M578" s="199" t="n"/>
      <c r="N578" s="199" t="n"/>
      <c r="O578" s="200" t="inlineStr">
        <is>
          <t>Cầu Km19+529.080</t>
        </is>
      </c>
      <c r="P578" s="201" t="n"/>
      <c r="Q578" s="201" t="n"/>
      <c r="R578" s="201">
        <f>R579</f>
        <v/>
      </c>
      <c r="S578" s="201" t="n"/>
      <c r="T578" s="201" t="n"/>
      <c r="U578" s="201" t="n"/>
      <c r="V578" s="201" t="n"/>
      <c r="W578" s="202" t="n"/>
      <c r="X578" s="202" t="n"/>
      <c r="Y578" s="202" t="n"/>
      <c r="Z578" s="202" t="n"/>
      <c r="AA578" s="203" t="n"/>
      <c r="AB578" s="204" t="inlineStr">
        <is>
          <t>09-XL-307HG/PYCNT/CKN/T2/C1</t>
        </is>
      </c>
      <c r="AC578" s="205" t="inlineStr"/>
      <c r="AD578" s="205" t="n"/>
      <c r="AE578" s="205" t="n"/>
      <c r="AF578" s="205" t="n"/>
      <c r="AG578" s="205" t="inlineStr">
        <is>
          <t>NTCV;BBKTĐK</t>
        </is>
      </c>
      <c r="AH578" s="204" t="inlineStr">
        <is>
          <t>&gt;=6;&lt;=10</t>
        </is>
      </c>
      <c r="AI578" s="202" t="n"/>
      <c r="AJ578" s="202" t="n"/>
      <c r="AK578" s="206" t="n"/>
      <c r="AL578" s="202" t="n"/>
      <c r="AM578" s="202" t="n"/>
      <c r="AN578" s="202" t="n"/>
      <c r="AO578" s="202" t="n"/>
      <c r="AP578" s="207" t="n"/>
      <c r="AQ578" s="207" t="n"/>
      <c r="AR578" s="202" t="inlineStr">
        <is>
          <t>Nhóm 1</t>
        </is>
      </c>
      <c r="AS578" s="202" t="n"/>
      <c r="AT578" s="202" t="inlineStr">
        <is>
          <t>HM15</t>
        </is>
      </c>
      <c r="AU578" s="202" t="inlineStr">
        <is>
          <t>PYC</t>
        </is>
      </c>
      <c r="AV578" s="202" t="n">
        <v>186</v>
      </c>
      <c r="AW578" s="202" t="n">
        <v>2</v>
      </c>
      <c r="AX578" s="202" t="n"/>
    </row>
    <row r="579" ht="42" customHeight="1" s="672">
      <c r="A579" s="56" t="inlineStr">
        <is>
          <t>NTCV</t>
        </is>
      </c>
      <c r="B579" s="56" t="inlineStr">
        <is>
          <t>K.9999</t>
        </is>
      </c>
      <c r="C579" s="56" t="inlineStr">
        <is>
          <t>NTCV.0074107</t>
        </is>
      </c>
      <c r="D579" s="57" t="n"/>
      <c r="E579" s="57" t="n"/>
      <c r="F579" s="57" t="n"/>
      <c r="G579" s="57" t="n"/>
      <c r="H579" s="57" t="n"/>
      <c r="J579" s="209" t="inlineStr">
        <is>
          <t>16</t>
        </is>
      </c>
      <c r="K579" s="209" t="inlineStr">
        <is>
          <t>K.9999</t>
        </is>
      </c>
      <c r="L579" s="210" t="inlineStr">
        <is>
          <t>Kiểm tra công tác vệ sinh lỗ khoan trước khi hạ lồng cốt thép cọc khoan nhồi</t>
        </is>
      </c>
      <c r="M579" s="210" t="n"/>
      <c r="N579" s="210" t="n"/>
      <c r="O579" s="211" t="inlineStr">
        <is>
          <t>Cầu Km19+529.080</t>
        </is>
      </c>
      <c r="P579" s="212">
        <f>S576+1</f>
        <v/>
      </c>
      <c r="Q579" s="212">
        <f>P579</f>
        <v/>
      </c>
      <c r="R579" s="212">
        <f>Q579-1</f>
        <v/>
      </c>
      <c r="S579" s="212">
        <f>Q579</f>
        <v/>
      </c>
      <c r="T579" s="213" t="n">
        <v>0.3541666666666667</v>
      </c>
      <c r="U579" s="213">
        <f>T579+V579</f>
        <v/>
      </c>
      <c r="V579" s="213" t="n">
        <v>0.03125</v>
      </c>
      <c r="W579" s="214">
        <f>TEXT(T579,"HH""h""MM'")&amp;"÷"&amp;TEXT(U579,"HH""h""MM'")</f>
        <v/>
      </c>
      <c r="X579" s="214" t="n"/>
      <c r="Y579" s="214" t="n"/>
      <c r="Z579" s="214" t="inlineStr">
        <is>
          <t>06;</t>
        </is>
      </c>
      <c r="AA579" s="215" t="inlineStr">
        <is>
          <t>Kiểm tra công tác vệ sinh lỗ khoan trước khi hạ lồng cốt thép Cọc khoan nhồi Trụ T2 - Cọc C1</t>
        </is>
      </c>
      <c r="AB579" s="204" t="inlineStr">
        <is>
          <t>09-XL-307HG/PYCNT/CKN/T2/C1-2</t>
        </is>
      </c>
      <c r="AC579" s="204" t="inlineStr">
        <is>
          <t>09-XL-307HG/BBNT/CKN/T2/C1-6</t>
        </is>
      </c>
      <c r="AD579" s="204" t="n"/>
      <c r="AE579" s="204" t="n"/>
      <c r="AF579" s="204" t="n"/>
      <c r="AG579" s="204" t="n"/>
      <c r="AH579" s="204" t="n"/>
      <c r="AI579" s="216" t="n"/>
      <c r="AJ579" s="214" t="n"/>
      <c r="AK579" s="217" t="n"/>
      <c r="AL579" s="214" t="n"/>
      <c r="AM579" s="214" t="n"/>
      <c r="AN579" s="214" t="n"/>
      <c r="AO579" s="214" t="n"/>
      <c r="AP579" s="216" t="n"/>
      <c r="AQ579" s="216" t="n"/>
      <c r="AR579" s="214" t="inlineStr">
        <is>
          <t>Nhóm 1</t>
        </is>
      </c>
      <c r="AS579" s="214" t="n"/>
      <c r="AT579" s="214" t="inlineStr">
        <is>
          <t>HM15</t>
        </is>
      </c>
      <c r="AU579" s="214" t="inlineStr">
        <is>
          <t>NTCV</t>
        </is>
      </c>
      <c r="AV579" s="214" t="n">
        <v>232</v>
      </c>
      <c r="AW579" s="214" t="n">
        <v>5</v>
      </c>
      <c r="AX579" s="214" t="n"/>
    </row>
    <row r="580" ht="28" customHeight="1" s="672">
      <c r="A580" s="56" t="inlineStr">
        <is>
          <t>BBK570</t>
        </is>
      </c>
      <c r="B580" s="56" t="inlineStr">
        <is>
          <t>PL06</t>
        </is>
      </c>
      <c r="C580" s="56" t="inlineStr">
        <is>
          <t>BBK570.0408760</t>
        </is>
      </c>
      <c r="D580" s="57" t="n"/>
      <c r="E580" s="57" t="n"/>
      <c r="F580" s="57" t="n"/>
      <c r="G580" s="57" t="n"/>
      <c r="H580" s="57" t="n"/>
      <c r="J580" s="198" t="inlineStr">
        <is>
          <t>17</t>
        </is>
      </c>
      <c r="K580" s="198" t="inlineStr">
        <is>
          <t>PL06</t>
        </is>
      </c>
      <c r="L580" s="199" t="inlineStr">
        <is>
          <t>Kiểm tra công tác vệ sinh lỗ khoan trước khi hạ lồng cốt thép cọc khoan nhồi</t>
        </is>
      </c>
      <c r="M580" s="199" t="n"/>
      <c r="N580" s="199" t="n"/>
      <c r="O580" s="200" t="inlineStr">
        <is>
          <t>Cầu Km19+529.080</t>
        </is>
      </c>
      <c r="P580" s="201" t="n"/>
      <c r="Q580" s="201" t="n"/>
      <c r="R580" s="201" t="n"/>
      <c r="S580" s="201">
        <f>S579</f>
        <v/>
      </c>
      <c r="T580" s="201" t="n"/>
      <c r="U580" s="201" t="n"/>
      <c r="V580" s="201" t="n"/>
      <c r="W580" s="202" t="n"/>
      <c r="X580" s="265" t="n">
        <v>135.86</v>
      </c>
      <c r="Y580" s="265">
        <f>X580-0.02</f>
        <v/>
      </c>
      <c r="Z580" s="198" t="inlineStr">
        <is>
          <t>06</t>
        </is>
      </c>
      <c r="AA580" s="203" t="n"/>
      <c r="AB580" s="204" t="inlineStr">
        <is>
          <t>09-XL-307HG/PYCNT/CKN/T2/C1-2</t>
        </is>
      </c>
      <c r="AC580" s="204">
        <f>AC579</f>
        <v/>
      </c>
      <c r="AD580" s="204" t="n"/>
      <c r="AE580" s="204" t="n"/>
      <c r="AF580" s="204" t="n"/>
      <c r="AG580" s="204" t="n"/>
      <c r="AH580" s="204" t="n"/>
      <c r="AI580" s="202" t="n"/>
      <c r="AJ580" s="202" t="n"/>
      <c r="AK580" s="206" t="n"/>
      <c r="AL580" s="202" t="n"/>
      <c r="AM580" s="202" t="n"/>
      <c r="AN580" s="202" t="n"/>
      <c r="AO580" s="202" t="n"/>
      <c r="AP580" s="207" t="n"/>
      <c r="AQ580" s="207" t="n"/>
      <c r="AR580" s="202" t="inlineStr">
        <is>
          <t>Nhóm 1</t>
        </is>
      </c>
      <c r="AS580" s="202" t="n"/>
      <c r="AT580" s="202" t="inlineStr">
        <is>
          <t>HM15</t>
        </is>
      </c>
      <c r="AU580" s="202" t="inlineStr">
        <is>
          <t>PL06</t>
        </is>
      </c>
      <c r="AV580" s="202" t="n">
        <v>16</v>
      </c>
      <c r="AW580" s="202" t="n">
        <v>1</v>
      </c>
      <c r="AX580" s="202" t="n"/>
    </row>
    <row r="581" ht="28" customHeight="1" s="672">
      <c r="A581" s="56" t="inlineStr">
        <is>
          <t>NTCV</t>
        </is>
      </c>
      <c r="B581" s="56" t="inlineStr">
        <is>
          <t>K.9999</t>
        </is>
      </c>
      <c r="C581" s="56" t="inlineStr">
        <is>
          <t>NTCV.0572953</t>
        </is>
      </c>
      <c r="D581" s="57" t="n"/>
      <c r="E581" s="57" t="n"/>
      <c r="F581" s="57" t="n"/>
      <c r="G581" s="57" t="n"/>
      <c r="H581" s="57" t="n"/>
      <c r="J581" s="209" t="inlineStr">
        <is>
          <t>18</t>
        </is>
      </c>
      <c r="K581" s="209" t="inlineStr">
        <is>
          <t>K.9999</t>
        </is>
      </c>
      <c r="L581" s="210" t="inlineStr">
        <is>
          <t xml:space="preserve">Nghiệm thu công tác hạ lồng thép </t>
        </is>
      </c>
      <c r="M581" s="210" t="n"/>
      <c r="N581" s="210" t="n"/>
      <c r="O581" s="211" t="inlineStr">
        <is>
          <t>Cầu Km19+529.080</t>
        </is>
      </c>
      <c r="P581" s="212">
        <f>S579</f>
        <v/>
      </c>
      <c r="Q581" s="212">
        <f>P581</f>
        <v/>
      </c>
      <c r="R581" s="212">
        <f>Q581-1</f>
        <v/>
      </c>
      <c r="S581" s="212">
        <f>Q581</f>
        <v/>
      </c>
      <c r="T581" s="213">
        <f>U579</f>
        <v/>
      </c>
      <c r="U581" s="213">
        <f>T581+V581</f>
        <v/>
      </c>
      <c r="V581" s="213" t="n">
        <v>0.03125</v>
      </c>
      <c r="W581" s="214">
        <f>TEXT(T581,"HH""h""MM'")&amp;"÷"&amp;TEXT(U581,"HH""h""MM'")</f>
        <v/>
      </c>
      <c r="X581" s="214" t="n"/>
      <c r="Y581" s="214" t="n"/>
      <c r="Z581" s="214" t="inlineStr">
        <is>
          <t>07;</t>
        </is>
      </c>
      <c r="AA581" s="215" t="inlineStr">
        <is>
          <t>Công tác hạ lồng thép Cọc khoan nhồi Trụ T2 - Cọc C1</t>
        </is>
      </c>
      <c r="AB581" s="204" t="inlineStr">
        <is>
          <t>09-XL-307HG/PYCNT/CKN/T2/C1-2</t>
        </is>
      </c>
      <c r="AC581" s="204" t="inlineStr">
        <is>
          <t>09-XL-307HG/BBNT/CKN/T2/C1-7</t>
        </is>
      </c>
      <c r="AD581" s="204" t="n"/>
      <c r="AE581" s="204" t="n"/>
      <c r="AF581" s="204" t="n"/>
      <c r="AG581" s="204" t="n"/>
      <c r="AH581" s="204" t="n"/>
      <c r="AI581" s="214" t="n"/>
      <c r="AJ581" s="214" t="n"/>
      <c r="AK581" s="217" t="n"/>
      <c r="AL581" s="214" t="n"/>
      <c r="AM581" s="214" t="n"/>
      <c r="AN581" s="214" t="n"/>
      <c r="AO581" s="214" t="n"/>
      <c r="AP581" s="216" t="n"/>
      <c r="AQ581" s="216" t="n"/>
      <c r="AR581" s="214" t="inlineStr">
        <is>
          <t>Nhóm 1</t>
        </is>
      </c>
      <c r="AS581" s="214" t="n"/>
      <c r="AT581" s="214" t="inlineStr">
        <is>
          <t>HM15</t>
        </is>
      </c>
      <c r="AU581" s="214" t="inlineStr">
        <is>
          <t>NTCV</t>
        </is>
      </c>
      <c r="AV581" s="214" t="n">
        <v>235</v>
      </c>
      <c r="AW581" s="214" t="n">
        <v>6</v>
      </c>
      <c r="AX581" s="214" t="n"/>
    </row>
    <row r="582">
      <c r="A582" s="56" t="inlineStr">
        <is>
          <t>BBK396</t>
        </is>
      </c>
      <c r="B582" s="56" t="inlineStr">
        <is>
          <t>PL07</t>
        </is>
      </c>
      <c r="C582" s="56" t="inlineStr">
        <is>
          <t>BBK396.0763420</t>
        </is>
      </c>
      <c r="D582" s="57" t="n"/>
      <c r="E582" s="57" t="n"/>
      <c r="F582" s="57" t="n"/>
      <c r="G582" s="57" t="n"/>
      <c r="H582" s="57" t="n"/>
      <c r="J582" s="198" t="inlineStr">
        <is>
          <t>19</t>
        </is>
      </c>
      <c r="K582" s="198" t="inlineStr">
        <is>
          <t>PL07</t>
        </is>
      </c>
      <c r="L582" s="199" t="inlineStr">
        <is>
          <t>Nghiệm thu công tác hạ lồng thép</t>
        </is>
      </c>
      <c r="M582" s="199" t="n"/>
      <c r="N582" s="199" t="n"/>
      <c r="O582" s="200" t="inlineStr">
        <is>
          <t>Cầu Km19+529.080</t>
        </is>
      </c>
      <c r="P582" s="201" t="n"/>
      <c r="Q582" s="201" t="n"/>
      <c r="R582" s="201" t="n"/>
      <c r="S582" s="201">
        <f>S581</f>
        <v/>
      </c>
      <c r="T582" s="201" t="n"/>
      <c r="U582" s="201" t="n"/>
      <c r="V582" s="201" t="n"/>
      <c r="W582" s="202" t="n"/>
      <c r="X582" s="202" t="n"/>
      <c r="Y582" s="202" t="n"/>
      <c r="Z582" s="198" t="inlineStr">
        <is>
          <t>07</t>
        </is>
      </c>
      <c r="AA582" s="203" t="n"/>
      <c r="AB582" s="204" t="inlineStr">
        <is>
          <t>09-XL-307HG/PYCNT/CKN/T2/C1-2</t>
        </is>
      </c>
      <c r="AC582" s="204">
        <f>AC581</f>
        <v/>
      </c>
      <c r="AD582" s="204" t="n"/>
      <c r="AE582" s="204" t="n"/>
      <c r="AF582" s="204" t="n"/>
      <c r="AG582" s="204" t="n"/>
      <c r="AH582" s="204" t="n"/>
      <c r="AI582" s="202" t="n"/>
      <c r="AJ582" s="202" t="n"/>
      <c r="AK582" s="206" t="n"/>
      <c r="AL582" s="202" t="n"/>
      <c r="AM582" s="202" t="n"/>
      <c r="AN582" s="202" t="n"/>
      <c r="AO582" s="202" t="n"/>
      <c r="AP582" s="207" t="n"/>
      <c r="AQ582" s="207" t="n"/>
      <c r="AR582" s="202" t="inlineStr">
        <is>
          <t>Nhóm 1</t>
        </is>
      </c>
      <c r="AS582" s="202" t="n"/>
      <c r="AT582" s="202" t="inlineStr">
        <is>
          <t>HM15</t>
        </is>
      </c>
      <c r="AU582" s="202" t="inlineStr">
        <is>
          <t>PL07</t>
        </is>
      </c>
      <c r="AV582" s="202" t="n">
        <v>16</v>
      </c>
      <c r="AW582" s="202" t="n">
        <v>1</v>
      </c>
      <c r="AX582" s="202" t="n"/>
    </row>
    <row r="583" ht="42" customHeight="1" s="672">
      <c r="A583" s="56" t="inlineStr">
        <is>
          <t>NTCV</t>
        </is>
      </c>
      <c r="B583" s="56" t="inlineStr">
        <is>
          <t>K.9999</t>
        </is>
      </c>
      <c r="C583" s="56" t="inlineStr">
        <is>
          <t>NTCV.0580387</t>
        </is>
      </c>
      <c r="D583" s="57" t="n"/>
      <c r="E583" s="57" t="n"/>
      <c r="F583" s="57" t="n"/>
      <c r="G583" s="57" t="n"/>
      <c r="H583" s="57" t="n"/>
      <c r="J583" s="209" t="inlineStr">
        <is>
          <t>20</t>
        </is>
      </c>
      <c r="K583" s="209" t="inlineStr">
        <is>
          <t>K.9999</t>
        </is>
      </c>
      <c r="L583" s="210" t="inlineStr">
        <is>
          <t xml:space="preserve">Kiểm tra công tác vệ sinh lỗ khoan cọc khoan nhồi trước khi đổ bê tông </t>
        </is>
      </c>
      <c r="M583" s="210" t="n"/>
      <c r="N583" s="210" t="n"/>
      <c r="O583" s="211" t="inlineStr">
        <is>
          <t>Cầu Km19+529.080</t>
        </is>
      </c>
      <c r="P583" s="212">
        <f>S581</f>
        <v/>
      </c>
      <c r="Q583" s="212">
        <f>P583</f>
        <v/>
      </c>
      <c r="R583" s="212">
        <f>Q583-1</f>
        <v/>
      </c>
      <c r="S583" s="212">
        <f>Q583</f>
        <v/>
      </c>
      <c r="T583" s="213">
        <f>U581</f>
        <v/>
      </c>
      <c r="U583" s="213">
        <f>T583+V583</f>
        <v/>
      </c>
      <c r="V583" s="213" t="n">
        <v>0.02083333333333333</v>
      </c>
      <c r="W583" s="214">
        <f>TEXT(T583,"HH""h""MM'")&amp;"÷"&amp;TEXT(U583,"HH""h""MM'")</f>
        <v/>
      </c>
      <c r="X583" s="214" t="n"/>
      <c r="Y583" s="214" t="n"/>
      <c r="Z583" s="214" t="inlineStr">
        <is>
          <t>08;</t>
        </is>
      </c>
      <c r="AA583" s="215" t="inlineStr">
        <is>
          <t>Kiểm tra công tác vệ sinh lỗ khoan cọc khoan nhồi trước khi đổ bê tông Cọc khoan nhồi Trụ T2 - Cọc C1</t>
        </is>
      </c>
      <c r="AB583" s="204" t="inlineStr">
        <is>
          <t>09-XL-307HG/PYCNT/CKN/T2/C1-2</t>
        </is>
      </c>
      <c r="AC583" s="204" t="inlineStr">
        <is>
          <t>09-XL-307HG/BBNT/CKN/T2/C1-8</t>
        </is>
      </c>
      <c r="AD583" s="204" t="n"/>
      <c r="AE583" s="204" t="n"/>
      <c r="AF583" s="204" t="n"/>
      <c r="AG583" s="204" t="n"/>
      <c r="AH583" s="204" t="n"/>
      <c r="AI583" s="214" t="n"/>
      <c r="AJ583" s="214" t="n"/>
      <c r="AK583" s="217" t="n"/>
      <c r="AL583" s="214" t="n"/>
      <c r="AM583" s="214" t="n"/>
      <c r="AN583" s="214" t="n"/>
      <c r="AO583" s="214" t="n"/>
      <c r="AP583" s="216" t="n"/>
      <c r="AQ583" s="216" t="n"/>
      <c r="AR583" s="214" t="inlineStr">
        <is>
          <t>Nhóm 1</t>
        </is>
      </c>
      <c r="AS583" s="214" t="n"/>
      <c r="AT583" s="214" t="inlineStr">
        <is>
          <t>HM15</t>
        </is>
      </c>
      <c r="AU583" s="214" t="inlineStr">
        <is>
          <t>NTCV</t>
        </is>
      </c>
      <c r="AV583" s="214" t="n">
        <v>236</v>
      </c>
      <c r="AW583" s="214" t="n">
        <v>7</v>
      </c>
      <c r="AX583" s="214" t="n"/>
    </row>
    <row r="584" ht="28" customHeight="1" s="672">
      <c r="A584" s="56" t="inlineStr">
        <is>
          <t>BBK521</t>
        </is>
      </c>
      <c r="B584" s="56" t="inlineStr">
        <is>
          <t>PL08</t>
        </is>
      </c>
      <c r="C584" s="56" t="inlineStr">
        <is>
          <t>BBK521.0651886</t>
        </is>
      </c>
      <c r="D584" s="57" t="n"/>
      <c r="E584" s="57" t="n"/>
      <c r="F584" s="57" t="n"/>
      <c r="G584" s="57" t="n"/>
      <c r="H584" s="57" t="n"/>
      <c r="J584" s="198" t="inlineStr">
        <is>
          <t>21</t>
        </is>
      </c>
      <c r="K584" s="198" t="inlineStr">
        <is>
          <t>PL08</t>
        </is>
      </c>
      <c r="L584" s="199" t="inlineStr">
        <is>
          <t>Kiểm tra công tác vệ sinh lỗ khoan cọc khoan nhồi trước khi đổ bê tông</t>
        </is>
      </c>
      <c r="M584" s="199" t="n"/>
      <c r="N584" s="199" t="n"/>
      <c r="O584" s="200" t="inlineStr">
        <is>
          <t>Cầu Km19+529.080</t>
        </is>
      </c>
      <c r="P584" s="201" t="n"/>
      <c r="Q584" s="201" t="n"/>
      <c r="R584" s="201" t="n"/>
      <c r="S584" s="201">
        <f>S583</f>
        <v/>
      </c>
      <c r="T584" s="201" t="n"/>
      <c r="U584" s="201" t="n"/>
      <c r="V584" s="201" t="n"/>
      <c r="W584" s="202" t="n"/>
      <c r="X584" s="202" t="n"/>
      <c r="Y584" s="202" t="n"/>
      <c r="Z584" s="198" t="inlineStr">
        <is>
          <t>08</t>
        </is>
      </c>
      <c r="AA584" s="203" t="n"/>
      <c r="AB584" s="204" t="inlineStr">
        <is>
          <t>09-XL-307HG/PYCNT/CKN/T2/C1-2</t>
        </is>
      </c>
      <c r="AC584" s="204">
        <f>AC583</f>
        <v/>
      </c>
      <c r="AD584" s="204" t="n"/>
      <c r="AE584" s="204" t="n"/>
      <c r="AF584" s="204" t="n"/>
      <c r="AG584" s="204" t="n"/>
      <c r="AH584" s="204" t="n"/>
      <c r="AI584" s="202" t="n"/>
      <c r="AJ584" s="202" t="n"/>
      <c r="AK584" s="206" t="n"/>
      <c r="AL584" s="202" t="n"/>
      <c r="AM584" s="202" t="n"/>
      <c r="AN584" s="202" t="n"/>
      <c r="AO584" s="202" t="n"/>
      <c r="AP584" s="207" t="n"/>
      <c r="AQ584" s="207" t="n"/>
      <c r="AR584" s="202" t="inlineStr">
        <is>
          <t>Nhóm 1</t>
        </is>
      </c>
      <c r="AS584" s="202" t="n"/>
      <c r="AT584" s="202" t="inlineStr">
        <is>
          <t>HM15</t>
        </is>
      </c>
      <c r="AU584" s="202" t="inlineStr">
        <is>
          <t>PL08</t>
        </is>
      </c>
      <c r="AV584" s="202" t="n">
        <v>16</v>
      </c>
      <c r="AW584" s="202" t="n">
        <v>1</v>
      </c>
      <c r="AX584" s="202" t="n"/>
    </row>
    <row r="585" ht="28" customHeight="1" s="672">
      <c r="A585" s="56" t="inlineStr">
        <is>
          <t>NTCV</t>
        </is>
      </c>
      <c r="B585" s="56" t="inlineStr">
        <is>
          <t>K.9999</t>
        </is>
      </c>
      <c r="C585" s="56" t="inlineStr">
        <is>
          <t>NTCV.0807689</t>
        </is>
      </c>
      <c r="D585" s="57" t="n"/>
      <c r="E585" s="57" t="n"/>
      <c r="F585" s="57" t="n"/>
      <c r="G585" s="57" t="n"/>
      <c r="H585" s="57" t="n"/>
      <c r="J585" s="209" t="inlineStr">
        <is>
          <t>22</t>
        </is>
      </c>
      <c r="K585" s="209" t="inlineStr">
        <is>
          <t>K.9999</t>
        </is>
      </c>
      <c r="L585" s="210" t="inlineStr">
        <is>
          <t xml:space="preserve">Kiểm tra công tác chuẩn bị đổ bê tông cọc khoan nhồi </t>
        </is>
      </c>
      <c r="M585" s="210" t="n"/>
      <c r="N585" s="210" t="n"/>
      <c r="O585" s="211" t="inlineStr">
        <is>
          <t>Cầu Km19+529.080</t>
        </is>
      </c>
      <c r="P585" s="212">
        <f>S583</f>
        <v/>
      </c>
      <c r="Q585" s="212">
        <f>P585</f>
        <v/>
      </c>
      <c r="R585" s="212">
        <f>Q585-1</f>
        <v/>
      </c>
      <c r="S585" s="212">
        <f>Q585</f>
        <v/>
      </c>
      <c r="T585" s="213">
        <f>U583</f>
        <v/>
      </c>
      <c r="U585" s="213">
        <f>T585+V585</f>
        <v/>
      </c>
      <c r="V585" s="213" t="n">
        <v>0.02083333333333333</v>
      </c>
      <c r="W585" s="214">
        <f>TEXT(T585,"HH""h""MM'")&amp;"÷"&amp;TEXT(U585,"HH""h""MM'")</f>
        <v/>
      </c>
      <c r="X585" s="214" t="n"/>
      <c r="Y585" s="214" t="n"/>
      <c r="Z585" s="214" t="inlineStr">
        <is>
          <t>09;</t>
        </is>
      </c>
      <c r="AA585" s="215" t="inlineStr">
        <is>
          <t>Kiểm tra công tác chuẩn bị đổ bê tông Cọc khoan nhồi Trụ T2 - Cọc C1</t>
        </is>
      </c>
      <c r="AB585" s="204" t="inlineStr">
        <is>
          <t>09-XL-307HG/PYCNT/CKN/T2/C1-2</t>
        </is>
      </c>
      <c r="AC585" s="204" t="inlineStr">
        <is>
          <t>09-XL-307HG/BBNT/CKN/T2/C1-9</t>
        </is>
      </c>
      <c r="AD585" s="204" t="n"/>
      <c r="AE585" s="204" t="n"/>
      <c r="AF585" s="204" t="n"/>
      <c r="AG585" s="204" t="n"/>
      <c r="AH585" s="204" t="n"/>
      <c r="AI585" s="214" t="n"/>
      <c r="AJ585" s="214" t="n"/>
      <c r="AK585" s="217" t="n"/>
      <c r="AL585" s="214" t="n"/>
      <c r="AM585" s="214" t="n"/>
      <c r="AN585" s="214" t="n"/>
      <c r="AO585" s="214" t="n"/>
      <c r="AP585" s="216" t="n"/>
      <c r="AQ585" s="216" t="n"/>
      <c r="AR585" s="214" t="inlineStr">
        <is>
          <t>Nhóm 1</t>
        </is>
      </c>
      <c r="AS585" s="214" t="n"/>
      <c r="AT585" s="214" t="inlineStr">
        <is>
          <t>HM15</t>
        </is>
      </c>
      <c r="AU585" s="214" t="inlineStr">
        <is>
          <t>NTCV</t>
        </is>
      </c>
      <c r="AV585" s="214" t="n">
        <v>237</v>
      </c>
      <c r="AW585" s="214" t="n">
        <v>8</v>
      </c>
      <c r="AX585" s="214" t="n"/>
    </row>
    <row r="586">
      <c r="A586" s="56" t="inlineStr">
        <is>
          <t>BBK209</t>
        </is>
      </c>
      <c r="B586" s="56" t="inlineStr">
        <is>
          <t>PL09</t>
        </is>
      </c>
      <c r="C586" s="56" t="inlineStr">
        <is>
          <t>BBK209.0416878</t>
        </is>
      </c>
      <c r="D586" s="57" t="n"/>
      <c r="E586" s="57" t="n"/>
      <c r="F586" s="57" t="n"/>
      <c r="G586" s="57" t="n"/>
      <c r="H586" s="57" t="n"/>
      <c r="J586" s="198" t="inlineStr">
        <is>
          <t>23</t>
        </is>
      </c>
      <c r="K586" s="198" t="inlineStr">
        <is>
          <t>PL09</t>
        </is>
      </c>
      <c r="L586" s="199" t="inlineStr">
        <is>
          <t>Kiểm tra công tác chuẩn bị đổ bê tông cọc khoan nhồi</t>
        </is>
      </c>
      <c r="M586" s="199" t="n"/>
      <c r="N586" s="199" t="n"/>
      <c r="O586" s="200" t="inlineStr">
        <is>
          <t>Cầu Km19+529.080</t>
        </is>
      </c>
      <c r="P586" s="201" t="n"/>
      <c r="Q586" s="201" t="n"/>
      <c r="R586" s="201" t="n"/>
      <c r="S586" s="201">
        <f>S585</f>
        <v/>
      </c>
      <c r="T586" s="201" t="n"/>
      <c r="U586" s="201" t="n"/>
      <c r="V586" s="201" t="n"/>
      <c r="W586" s="202" t="n"/>
      <c r="X586" s="202" t="n"/>
      <c r="Y586" s="202" t="n"/>
      <c r="Z586" s="198" t="inlineStr">
        <is>
          <t>09</t>
        </is>
      </c>
      <c r="AA586" s="203" t="n"/>
      <c r="AB586" s="204" t="inlineStr">
        <is>
          <t>09-XL-307HG/PYCNT/CKN/T2/C1-2</t>
        </is>
      </c>
      <c r="AC586" s="204">
        <f>AC585</f>
        <v/>
      </c>
      <c r="AD586" s="204" t="n"/>
      <c r="AE586" s="204" t="n"/>
      <c r="AF586" s="204" t="n"/>
      <c r="AG586" s="204" t="n"/>
      <c r="AH586" s="204" t="inlineStr">
        <is>
          <t>C30(1)</t>
        </is>
      </c>
      <c r="AI586" s="202" t="n"/>
      <c r="AJ586" s="202" t="n"/>
      <c r="AK586" s="206" t="n"/>
      <c r="AL586" s="202" t="n"/>
      <c r="AM586" s="202" t="n"/>
      <c r="AN586" s="202" t="n"/>
      <c r="AO586" s="202" t="n"/>
      <c r="AP586" s="207" t="n"/>
      <c r="AQ586" s="207" t="n"/>
      <c r="AR586" s="202" t="inlineStr">
        <is>
          <t>Nhóm 1</t>
        </is>
      </c>
      <c r="AS586" s="202" t="n"/>
      <c r="AT586" s="202" t="inlineStr">
        <is>
          <t>HM15</t>
        </is>
      </c>
      <c r="AU586" s="202" t="inlineStr">
        <is>
          <t>PL09</t>
        </is>
      </c>
      <c r="AV586" s="202" t="n">
        <v>16</v>
      </c>
      <c r="AW586" s="202" t="n">
        <v>1</v>
      </c>
      <c r="AX586" s="202" t="n"/>
    </row>
    <row r="587" ht="28" customHeight="1" s="672">
      <c r="A587" s="56" t="inlineStr">
        <is>
          <t>NTCV</t>
        </is>
      </c>
      <c r="B587" s="56" t="inlineStr">
        <is>
          <t>K.9999</t>
        </is>
      </c>
      <c r="C587" s="56" t="inlineStr">
        <is>
          <t>NTCV.0797012</t>
        </is>
      </c>
      <c r="D587" s="57" t="n"/>
      <c r="E587" s="57" t="n"/>
      <c r="F587" s="57" t="n"/>
      <c r="G587" s="57" t="n"/>
      <c r="H587" s="57" t="n"/>
      <c r="J587" s="209" t="inlineStr">
        <is>
          <t>24</t>
        </is>
      </c>
      <c r="K587" s="209" t="inlineStr">
        <is>
          <t>K.9999</t>
        </is>
      </c>
      <c r="L587" s="210" t="inlineStr">
        <is>
          <t>Theo dõi quá trình đổ bê tông cọc khoan nhồi</t>
        </is>
      </c>
      <c r="M587" s="210" t="n"/>
      <c r="N587" s="210" t="n"/>
      <c r="O587" s="211" t="inlineStr">
        <is>
          <t>Cầu Km19+529.080</t>
        </is>
      </c>
      <c r="P587" s="212">
        <f>S585</f>
        <v/>
      </c>
      <c r="Q587" s="212">
        <f>P587</f>
        <v/>
      </c>
      <c r="R587" s="212">
        <f>Q587-1</f>
        <v/>
      </c>
      <c r="S587" s="212">
        <f>Q587</f>
        <v/>
      </c>
      <c r="T587" s="213">
        <f>U585</f>
        <v/>
      </c>
      <c r="U587" s="213">
        <f>T587+V587</f>
        <v/>
      </c>
      <c r="V587" s="213" t="n">
        <v>0.1458333333333333</v>
      </c>
      <c r="W587" s="214">
        <f>TEXT(T587,"HH""h""MM'")&amp;"÷"&amp;TEXT(U587,"HH""h""MM'")</f>
        <v/>
      </c>
      <c r="X587" s="214" t="n"/>
      <c r="Y587" s="214" t="n"/>
      <c r="Z587" s="214" t="inlineStr">
        <is>
          <t>10;</t>
        </is>
      </c>
      <c r="AA587" s="215" t="inlineStr">
        <is>
          <t>Theo dõi quá trình đổ bê tông  Cọc khoan nhồi Trụ T2 - Cọc C1</t>
        </is>
      </c>
      <c r="AB587" s="204" t="inlineStr">
        <is>
          <t>09-XL-307HG/PYCNT/CKN/T2/C1-2</t>
        </is>
      </c>
      <c r="AC587" s="204" t="inlineStr">
        <is>
          <t>09-XL-307HG/BBNT/CKN/T2/C1-10</t>
        </is>
      </c>
      <c r="AD587" s="204" t="n"/>
      <c r="AE587" s="204" t="n"/>
      <c r="AF587" s="204" t="n"/>
      <c r="AG587" s="204" t="n"/>
      <c r="AH587" s="204" t="n"/>
      <c r="AI587" s="214" t="n"/>
      <c r="AJ587" s="214" t="n"/>
      <c r="AK587" s="217" t="n"/>
      <c r="AL587" s="214" t="n"/>
      <c r="AM587" s="214" t="n"/>
      <c r="AN587" s="214" t="n"/>
      <c r="AO587" s="214" t="n"/>
      <c r="AP587" s="216" t="n"/>
      <c r="AQ587" s="216" t="n"/>
      <c r="AR587" s="214" t="inlineStr">
        <is>
          <t>Nhóm 1</t>
        </is>
      </c>
      <c r="AS587" s="214" t="n"/>
      <c r="AT587" s="214" t="inlineStr">
        <is>
          <t>HM15</t>
        </is>
      </c>
      <c r="AU587" s="214" t="inlineStr">
        <is>
          <t>NTCV</t>
        </is>
      </c>
      <c r="AV587" s="214" t="n">
        <v>238</v>
      </c>
      <c r="AW587" s="214" t="n">
        <v>9</v>
      </c>
      <c r="AX587" s="214" t="n"/>
    </row>
    <row r="588" ht="210" customHeight="1" s="672">
      <c r="A588" s="56" t="inlineStr">
        <is>
          <t>LMHT</t>
        </is>
      </c>
      <c r="B588" s="56" t="inlineStr">
        <is>
          <t>LMHT</t>
        </is>
      </c>
      <c r="C588" s="56" t="inlineStr">
        <is>
          <t>LMHT.0721003</t>
        </is>
      </c>
      <c r="D588" s="57" t="inlineStr">
        <is>
          <t>TC.000041|TC.000182|TC.000169.A</t>
        </is>
      </c>
      <c r="E588" s="57" t="n"/>
      <c r="F588" s="57" t="inlineStr">
        <is>
          <t>CP.0001^Cọc khoan nhồi Trụ T2 - Cọc C1^Hình trụ 15x30 (cm)^12^30 Mpa, 18±2^^^TC.000041|TC.000182|TC.000169.A</t>
        </is>
      </c>
      <c r="G588" s="57" t="n"/>
      <c r="H588" s="57" t="inlineStr">
        <is>
          <t>^^A|C|J|O|S|X|Z^Stt|Hạng mục|Cấp bê tông|Kích thước mẫu|Số lượng mẫu|Ghi chú^|||||</t>
        </is>
      </c>
      <c r="J588" s="256" t="inlineStr">
        <is>
          <t>25</t>
        </is>
      </c>
      <c r="K588" s="256" t="inlineStr">
        <is>
          <t>LMHT</t>
        </is>
      </c>
      <c r="L588" s="257" t="inlineStr">
        <is>
          <t>Lấy mẫu bê tông Cọc khoan nhồi, 30(1) Mpa Trụ T2 - Cọc C1</t>
        </is>
      </c>
      <c r="M588" s="257" t="n"/>
      <c r="N588" s="257" t="n"/>
      <c r="O588" s="258" t="inlineStr">
        <is>
          <t>Cầu Km19+529.080</t>
        </is>
      </c>
      <c r="P588" s="259" t="n"/>
      <c r="Q588" s="259" t="n"/>
      <c r="R588" s="259" t="n"/>
      <c r="S588" s="259">
        <f>S587</f>
        <v/>
      </c>
      <c r="T588" s="260">
        <f>T587</f>
        <v/>
      </c>
      <c r="U588" s="260">
        <f>U587</f>
        <v/>
      </c>
      <c r="V588" s="293">
        <f>V587</f>
        <v/>
      </c>
      <c r="W588" s="261">
        <f>TEXT(T588,"HH""h""MM'")&amp;"÷"&amp;TEXT(U588,"HH""h""MM'")</f>
        <v/>
      </c>
      <c r="X588" s="262" t="n"/>
      <c r="Y588" s="262" t="n"/>
      <c r="Z588" s="262" t="n"/>
      <c r="AA588" s="262" t="n"/>
      <c r="AB588" s="263" t="inlineStr">
        <is>
          <t>09-XL-307HG/PYCNT/CKN/T2/C1-2</t>
        </is>
      </c>
      <c r="AC588" s="263" t="inlineStr"/>
      <c r="AD588" s="264" t="n"/>
      <c r="AE588" s="264" t="n"/>
      <c r="AF588" s="264" t="n"/>
      <c r="AG588" s="264" t="n"/>
      <c r="AH588" s="264" t="n"/>
      <c r="AI588" s="257" t="n"/>
      <c r="AJ588" s="262" t="n"/>
      <c r="AK588" s="258" t="n"/>
      <c r="AL588" s="262" t="n"/>
      <c r="AM588" s="262" t="n"/>
      <c r="AN588" s="262" t="n"/>
      <c r="AO588" s="262" t="n"/>
      <c r="AP588" s="263" t="inlineStr">
        <is>
          <t>Bảng lấy mẫu CKN</t>
        </is>
      </c>
      <c r="AQ588" s="263" t="n"/>
      <c r="AR588" s="262" t="inlineStr">
        <is>
          <t>Nhóm 1</t>
        </is>
      </c>
      <c r="AS588" s="262" t="n"/>
      <c r="AT588" s="262" t="inlineStr">
        <is>
          <t>HM15</t>
        </is>
      </c>
      <c r="AU588" s="262" t="inlineStr">
        <is>
          <t>LMHT</t>
        </is>
      </c>
      <c r="AV588" s="262" t="n">
        <v>19</v>
      </c>
      <c r="AW588" s="262" t="n">
        <v>1</v>
      </c>
      <c r="AX588" s="262" t="inlineStr">
        <is>
          <t>Cọc T2-C1 [BT dòng 19]: chưa đến ngưỡng phát sinh lượt mẫu xi măng/cát/đá; mẫu bê tông cấu kiện vẫn theo F588.</t>
        </is>
      </c>
    </row>
    <row r="589">
      <c r="A589" s="56" t="inlineStr">
        <is>
          <t>BBK994</t>
        </is>
      </c>
      <c r="B589" s="56" t="inlineStr">
        <is>
          <t>PL10</t>
        </is>
      </c>
      <c r="C589" s="56" t="inlineStr">
        <is>
          <t>BBK994.0693353</t>
        </is>
      </c>
      <c r="D589" s="57" t="n"/>
      <c r="E589" s="57" t="n"/>
      <c r="F589" s="57" t="n"/>
      <c r="G589" s="57" t="n"/>
      <c r="H589" s="57" t="n"/>
      <c r="J589" s="198" t="inlineStr">
        <is>
          <t>26</t>
        </is>
      </c>
      <c r="K589" s="198" t="inlineStr">
        <is>
          <t>PL10</t>
        </is>
      </c>
      <c r="L589" s="199" t="inlineStr">
        <is>
          <t>Theo dõi quá trình đổ bê tông cọc khoan nhồi</t>
        </is>
      </c>
      <c r="M589" s="199" t="n"/>
      <c r="N589" s="199" t="n"/>
      <c r="O589" s="200" t="inlineStr">
        <is>
          <t>Cầu Km19+529.080</t>
        </is>
      </c>
      <c r="P589" s="201" t="n"/>
      <c r="Q589" s="201" t="n"/>
      <c r="R589" s="201" t="n"/>
      <c r="S589" s="201">
        <f>S587</f>
        <v/>
      </c>
      <c r="T589" s="201" t="n"/>
      <c r="U589" s="201" t="n"/>
      <c r="V589" s="201" t="n"/>
      <c r="W589" s="202" t="n"/>
      <c r="X589" s="202" t="n"/>
      <c r="Y589" s="202" t="n"/>
      <c r="Z589" s="198" t="inlineStr">
        <is>
          <t>10</t>
        </is>
      </c>
      <c r="AA589" s="203" t="n"/>
      <c r="AB589" s="204" t="inlineStr">
        <is>
          <t>09-XL-307HG/PYCNT/CKN/T2/C1-2</t>
        </is>
      </c>
      <c r="AC589" s="204">
        <f>AC587</f>
        <v/>
      </c>
      <c r="AD589" s="204" t="n"/>
      <c r="AE589" s="204" t="n"/>
      <c r="AF589" s="204" t="n"/>
      <c r="AG589" s="204" t="n"/>
      <c r="AH589" s="204" t="inlineStr">
        <is>
          <t>T2-C1</t>
        </is>
      </c>
      <c r="AI589" s="202" t="n"/>
      <c r="AJ589" s="202" t="n"/>
      <c r="AK589" s="206" t="n"/>
      <c r="AL589" s="202" t="n"/>
      <c r="AM589" s="202" t="n"/>
      <c r="AN589" s="202" t="n"/>
      <c r="AO589" s="202" t="n"/>
      <c r="AP589" s="207" t="n"/>
      <c r="AQ589" s="207" t="n"/>
      <c r="AR589" s="202" t="inlineStr">
        <is>
          <t>Nhóm 1</t>
        </is>
      </c>
      <c r="AS589" s="202" t="n"/>
      <c r="AT589" s="202" t="inlineStr">
        <is>
          <t>HM15</t>
        </is>
      </c>
      <c r="AU589" s="202" t="inlineStr">
        <is>
          <t>PL10</t>
        </is>
      </c>
      <c r="AV589" s="202" t="n">
        <v>16</v>
      </c>
      <c r="AW589" s="202" t="n">
        <v>1</v>
      </c>
      <c r="AX589" s="202" t="n"/>
    </row>
    <row r="590" ht="28" customHeight="1" s="672">
      <c r="A590" s="56" t="inlineStr">
        <is>
          <t>NTCV</t>
        </is>
      </c>
      <c r="B590" s="56" t="inlineStr">
        <is>
          <t>K.9999</t>
        </is>
      </c>
      <c r="C590" s="56" t="inlineStr">
        <is>
          <t>NTCV.0730833</t>
        </is>
      </c>
      <c r="D590" s="57" t="n"/>
      <c r="E590" s="57" t="n"/>
      <c r="F590" s="57" t="n"/>
      <c r="G590" s="57" t="n"/>
      <c r="H590" s="57" t="n"/>
      <c r="J590" s="209" t="inlineStr">
        <is>
          <t>27</t>
        </is>
      </c>
      <c r="K590" s="209" t="inlineStr">
        <is>
          <t>K.9999</t>
        </is>
      </c>
      <c r="L590" s="210" t="inlineStr">
        <is>
          <t xml:space="preserve"> Rút ống vách thi công cọc khoan nhồi</t>
        </is>
      </c>
      <c r="M590" s="210" t="n"/>
      <c r="N590" s="210" t="n"/>
      <c r="O590" s="211" t="inlineStr">
        <is>
          <t>Cầu Km19+529.080</t>
        </is>
      </c>
      <c r="P590" s="212">
        <f>S587</f>
        <v/>
      </c>
      <c r="Q590" s="212">
        <f>P590</f>
        <v/>
      </c>
      <c r="R590" s="212">
        <f>Q590-1</f>
        <v/>
      </c>
      <c r="S590" s="212">
        <f>Q590</f>
        <v/>
      </c>
      <c r="T590" s="213">
        <f>U587</f>
        <v/>
      </c>
      <c r="U590" s="213">
        <f>T590+V590</f>
        <v/>
      </c>
      <c r="V590" s="213" t="n">
        <v>0.01041666666666667</v>
      </c>
      <c r="W590" s="214">
        <f>TEXT(T590,"HH""h""MM'")&amp;"÷"&amp;TEXT(U590,"HH""h""MM'")</f>
        <v/>
      </c>
      <c r="X590" s="214" t="n"/>
      <c r="Y590" s="214" t="n"/>
      <c r="Z590" s="214" t="inlineStr">
        <is>
          <t>11;</t>
        </is>
      </c>
      <c r="AA590" s="215" t="inlineStr">
        <is>
          <t>Rút ống vách  Cọc khoan nhồi Trụ T2 - Cọc C1</t>
        </is>
      </c>
      <c r="AB590" s="204" t="inlineStr">
        <is>
          <t>09-XL-307HG/PYCNT/CKN/T2/C1-2</t>
        </is>
      </c>
      <c r="AC590" s="204" t="inlineStr">
        <is>
          <t>09-XL-307HG/BBNT/CKN/T2/C1-11</t>
        </is>
      </c>
      <c r="AD590" s="204" t="n"/>
      <c r="AE590" s="204" t="n"/>
      <c r="AF590" s="204" t="n"/>
      <c r="AG590" s="204" t="n"/>
      <c r="AH590" s="204" t="n"/>
      <c r="AI590" s="214" t="n"/>
      <c r="AJ590" s="214" t="n"/>
      <c r="AK590" s="217" t="n"/>
      <c r="AL590" s="214" t="n"/>
      <c r="AM590" s="214" t="n"/>
      <c r="AN590" s="214" t="n"/>
      <c r="AO590" s="214" t="n"/>
      <c r="AP590" s="216" t="n"/>
      <c r="AQ590" s="216" t="n"/>
      <c r="AR590" s="214" t="inlineStr">
        <is>
          <t>Nhóm 1</t>
        </is>
      </c>
      <c r="AS590" s="214" t="n"/>
      <c r="AT590" s="214" t="inlineStr">
        <is>
          <t>HM15</t>
        </is>
      </c>
      <c r="AU590" s="214" t="inlineStr">
        <is>
          <t>NTCV</t>
        </is>
      </c>
      <c r="AV590" s="214" t="n">
        <v>239</v>
      </c>
      <c r="AW590" s="214" t="n">
        <v>10</v>
      </c>
      <c r="AX590" s="214" t="n"/>
    </row>
    <row r="591">
      <c r="A591" s="56" t="inlineStr">
        <is>
          <t>BBK544</t>
        </is>
      </c>
      <c r="B591" s="56" t="inlineStr">
        <is>
          <t>PL11</t>
        </is>
      </c>
      <c r="C591" s="56" t="inlineStr">
        <is>
          <t>BBK544.0192306</t>
        </is>
      </c>
      <c r="D591" s="57" t="n"/>
      <c r="E591" s="57" t="n"/>
      <c r="F591" s="57" t="n"/>
      <c r="G591" s="57" t="n"/>
      <c r="H591" s="57" t="n"/>
      <c r="J591" s="198" t="inlineStr">
        <is>
          <t>28</t>
        </is>
      </c>
      <c r="K591" s="198" t="inlineStr">
        <is>
          <t>PL11</t>
        </is>
      </c>
      <c r="L591" s="199" t="inlineStr">
        <is>
          <t>Rút ống vách thi công cọc khoan nhồi</t>
        </is>
      </c>
      <c r="M591" s="199" t="n"/>
      <c r="N591" s="199" t="n"/>
      <c r="O591" s="200" t="inlineStr">
        <is>
          <t>Cầu Km19+529.080</t>
        </is>
      </c>
      <c r="P591" s="201" t="n"/>
      <c r="Q591" s="201" t="n"/>
      <c r="R591" s="201" t="n"/>
      <c r="S591" s="201">
        <f>S590</f>
        <v/>
      </c>
      <c r="T591" s="201" t="n"/>
      <c r="U591" s="201" t="n"/>
      <c r="V591" s="201" t="n"/>
      <c r="W591" s="202" t="n"/>
      <c r="X591" s="202" t="n"/>
      <c r="Y591" s="202" t="n"/>
      <c r="Z591" s="198" t="inlineStr">
        <is>
          <t>11</t>
        </is>
      </c>
      <c r="AA591" s="203" t="n"/>
      <c r="AB591" s="204" t="inlineStr">
        <is>
          <t>09-XL-307HG/PYCNT/CKN/T2/C1-2</t>
        </is>
      </c>
      <c r="AC591" s="204">
        <f>AC590</f>
        <v/>
      </c>
      <c r="AD591" s="204" t="n"/>
      <c r="AE591" s="204" t="n"/>
      <c r="AF591" s="204" t="n"/>
      <c r="AG591" s="204" t="n"/>
      <c r="AH591" s="204" t="inlineStr">
        <is>
          <t>&gt;=354;&lt;=385</t>
        </is>
      </c>
      <c r="AI591" s="202" t="n"/>
      <c r="AJ591" s="202" t="n"/>
      <c r="AK591" s="206" t="n"/>
      <c r="AL591" s="202" t="n"/>
      <c r="AM591" s="202" t="n"/>
      <c r="AN591" s="202" t="n"/>
      <c r="AO591" s="202" t="n"/>
      <c r="AP591" s="207" t="n"/>
      <c r="AQ591" s="207" t="n"/>
      <c r="AR591" s="202" t="inlineStr">
        <is>
          <t>Nhóm 1</t>
        </is>
      </c>
      <c r="AS591" s="202" t="n"/>
      <c r="AT591" s="202" t="inlineStr">
        <is>
          <t>HM15</t>
        </is>
      </c>
      <c r="AU591" s="202" t="inlineStr">
        <is>
          <t>PL11</t>
        </is>
      </c>
      <c r="AV591" s="202" t="n">
        <v>16</v>
      </c>
      <c r="AW591" s="202" t="n">
        <v>1</v>
      </c>
      <c r="AX591" s="202" t="n"/>
    </row>
    <row r="592">
      <c r="A592" s="56" t="inlineStr">
        <is>
          <t>BBK680</t>
        </is>
      </c>
      <c r="B592" s="56" t="inlineStr">
        <is>
          <t>PYC</t>
        </is>
      </c>
      <c r="C592" s="56" t="inlineStr">
        <is>
          <t>BBK680.0773646</t>
        </is>
      </c>
      <c r="D592" s="57" t="n"/>
      <c r="E592" s="57" t="n"/>
      <c r="F592" s="57" t="n"/>
      <c r="G592" s="57" t="n"/>
      <c r="H592" s="57" t="n"/>
      <c r="J592" s="198" t="inlineStr">
        <is>
          <t>29</t>
        </is>
      </c>
      <c r="K592" s="198" t="inlineStr">
        <is>
          <t>PYC</t>
        </is>
      </c>
      <c r="L592" s="199" t="inlineStr">
        <is>
          <t>Phiếu yêu cầu nghiệm thu</t>
        </is>
      </c>
      <c r="M592" s="199" t="n"/>
      <c r="N592" s="199" t="n"/>
      <c r="O592" s="200" t="inlineStr">
        <is>
          <t>Cầu Km19+529.080</t>
        </is>
      </c>
      <c r="P592" s="201" t="n"/>
      <c r="Q592" s="201" t="n"/>
      <c r="R592" s="201">
        <f>R593</f>
        <v/>
      </c>
      <c r="S592" s="201" t="n"/>
      <c r="T592" s="201" t="n"/>
      <c r="U592" s="201" t="n"/>
      <c r="V592" s="201" t="n"/>
      <c r="W592" s="202" t="n"/>
      <c r="X592" s="202" t="n"/>
      <c r="Y592" s="202" t="n"/>
      <c r="Z592" s="202" t="n"/>
      <c r="AA592" s="203" t="n"/>
      <c r="AB592" s="204" t="inlineStr">
        <is>
          <t>09-XL-307HG/PYCNT/CKN/T2/C1</t>
        </is>
      </c>
      <c r="AC592" s="205" t="inlineStr"/>
      <c r="AD592" s="205" t="n"/>
      <c r="AE592" s="205" t="n"/>
      <c r="AF592" s="205" t="n"/>
      <c r="AG592" s="205" t="inlineStr">
        <is>
          <t>NTCV;BBKTĐK</t>
        </is>
      </c>
      <c r="AH592" s="204" t="n">
        <v>11</v>
      </c>
      <c r="AI592" s="202" t="n"/>
      <c r="AJ592" s="202" t="n"/>
      <c r="AK592" s="206" t="n"/>
      <c r="AL592" s="202" t="n"/>
      <c r="AM592" s="202" t="n"/>
      <c r="AN592" s="202" t="n"/>
      <c r="AO592" s="202" t="n"/>
      <c r="AP592" s="207" t="n"/>
      <c r="AQ592" s="207" t="n"/>
      <c r="AR592" s="202" t="inlineStr">
        <is>
          <t>Nhóm 1</t>
        </is>
      </c>
      <c r="AS592" s="202" t="n"/>
      <c r="AT592" s="202" t="inlineStr">
        <is>
          <t>HM15</t>
        </is>
      </c>
      <c r="AU592" s="202" t="inlineStr">
        <is>
          <t>PYC</t>
        </is>
      </c>
      <c r="AV592" s="202" t="n">
        <v>187</v>
      </c>
      <c r="AW592" s="202" t="n">
        <v>3</v>
      </c>
      <c r="AX592" s="202" t="n"/>
    </row>
    <row r="593" ht="28" customHeight="1" s="672">
      <c r="A593" s="56" t="inlineStr">
        <is>
          <t>NTCV</t>
        </is>
      </c>
      <c r="B593" s="56" t="inlineStr">
        <is>
          <t>K.9999</t>
        </is>
      </c>
      <c r="C593" s="56" t="inlineStr">
        <is>
          <t>NTCV.0069851</t>
        </is>
      </c>
      <c r="D593" s="57" t="n"/>
      <c r="E593" s="57" t="n"/>
      <c r="F593" s="57" t="n"/>
      <c r="G593" s="57" t="n"/>
      <c r="H593" s="57" t="n"/>
      <c r="J593" s="209" t="inlineStr">
        <is>
          <t>30</t>
        </is>
      </c>
      <c r="K593" s="209" t="inlineStr">
        <is>
          <t>K.9999</t>
        </is>
      </c>
      <c r="L593" s="210" t="inlineStr">
        <is>
          <t>Theo dõi nén mẫu R7 Cọc khoan nhồi Trụ T2 - Cọc C1</t>
        </is>
      </c>
      <c r="M593" s="210" t="n"/>
      <c r="N593" s="210" t="n"/>
      <c r="O593" s="211" t="inlineStr">
        <is>
          <t>Cầu Km19+529.080</t>
        </is>
      </c>
      <c r="P593" s="212">
        <f>S590+7</f>
        <v/>
      </c>
      <c r="Q593" s="212">
        <f>P593</f>
        <v/>
      </c>
      <c r="R593" s="212">
        <f>Q593-1</f>
        <v/>
      </c>
      <c r="S593" s="212">
        <f>Q593</f>
        <v/>
      </c>
      <c r="T593" s="213" t="n">
        <v>0.3541666666666667</v>
      </c>
      <c r="U593" s="213">
        <f>T593+V593</f>
        <v/>
      </c>
      <c r="V593" s="213" t="n">
        <v>0.02083333333333333</v>
      </c>
      <c r="W593" s="214">
        <f>TEXT(T593,"HH""h""MM'")&amp;"÷"&amp;TEXT(U593,"HH""h""MM'")</f>
        <v/>
      </c>
      <c r="X593" s="214" t="n"/>
      <c r="Y593" s="214" t="n"/>
      <c r="Z593" s="214" t="n"/>
      <c r="AA593" s="215" t="inlineStr">
        <is>
          <t>Theo dõi nén mẫu R7 Cọc khoan nhồi Trụ T2 - Cọc C1</t>
        </is>
      </c>
      <c r="AB593" s="204" t="inlineStr">
        <is>
          <t>09-XL-307HG/PYCNT/CKN/T2/C1-3</t>
        </is>
      </c>
      <c r="AC593" s="204" t="inlineStr">
        <is>
          <t>09-XL-307HG/BBNT/CKN/T2/C1-12</t>
        </is>
      </c>
      <c r="AD593" s="204" t="n"/>
      <c r="AE593" s="204" t="n"/>
      <c r="AF593" s="204" t="n"/>
      <c r="AG593" s="204" t="n"/>
      <c r="AH593" s="204" t="n"/>
      <c r="AI593" s="214" t="n"/>
      <c r="AJ593" s="214" t="n"/>
      <c r="AK593" s="217" t="n"/>
      <c r="AL593" s="214" t="n"/>
      <c r="AM593" s="214" t="n"/>
      <c r="AN593" s="214" t="n"/>
      <c r="AO593" s="214" t="n"/>
      <c r="AP593" s="216" t="n"/>
      <c r="AQ593" s="216" t="n"/>
      <c r="AR593" s="214" t="inlineStr">
        <is>
          <t>Nhóm 1</t>
        </is>
      </c>
      <c r="AS593" s="214" t="n"/>
      <c r="AT593" s="214" t="inlineStr">
        <is>
          <t>HM15</t>
        </is>
      </c>
      <c r="AU593" s="214" t="inlineStr">
        <is>
          <t>NTCV</t>
        </is>
      </c>
      <c r="AV593" s="214" t="n">
        <v>318</v>
      </c>
      <c r="AW593" s="214" t="n">
        <v>11</v>
      </c>
      <c r="AX593" s="214" t="n"/>
    </row>
    <row r="594">
      <c r="A594" s="56" t="inlineStr">
        <is>
          <t>BBK680</t>
        </is>
      </c>
      <c r="B594" s="56" t="inlineStr">
        <is>
          <t>PYC</t>
        </is>
      </c>
      <c r="C594" s="56" t="inlineStr">
        <is>
          <t>BBK680.0248069</t>
        </is>
      </c>
      <c r="D594" s="57" t="n"/>
      <c r="E594" s="57" t="n"/>
      <c r="F594" s="57" t="n"/>
      <c r="G594" s="57" t="n"/>
      <c r="H594" s="57" t="n"/>
      <c r="J594" s="198" t="inlineStr">
        <is>
          <t>31</t>
        </is>
      </c>
      <c r="K594" s="198" t="inlineStr">
        <is>
          <t>PYC</t>
        </is>
      </c>
      <c r="L594" s="199" t="inlineStr">
        <is>
          <t>Phiếu yêu cầu nghiệm thu</t>
        </is>
      </c>
      <c r="M594" s="199" t="n"/>
      <c r="N594" s="199" t="n"/>
      <c r="O594" s="200" t="inlineStr">
        <is>
          <t>Cầu Km19+529.080</t>
        </is>
      </c>
      <c r="P594" s="201" t="n"/>
      <c r="Q594" s="201" t="n"/>
      <c r="R594" s="201">
        <f>+S589+28</f>
        <v/>
      </c>
      <c r="S594" s="201" t="n"/>
      <c r="T594" s="201" t="n"/>
      <c r="U594" s="201" t="n"/>
      <c r="V594" s="201" t="n"/>
      <c r="W594" s="202" t="n"/>
      <c r="X594" s="202" t="n"/>
      <c r="Y594" s="202" t="n"/>
      <c r="Z594" s="202" t="n"/>
      <c r="AA594" s="203" t="n"/>
      <c r="AB594" s="204" t="inlineStr">
        <is>
          <t>09-XL-307HG/PYCNT/CKN/T2/C1</t>
        </is>
      </c>
      <c r="AC594" s="205" t="inlineStr"/>
      <c r="AD594" s="205" t="n"/>
      <c r="AE594" s="205" t="n"/>
      <c r="AF594" s="205" t="n"/>
      <c r="AG594" s="205" t="inlineStr">
        <is>
          <t>NTCV;BBKTĐK</t>
        </is>
      </c>
      <c r="AH594" s="204" t="n">
        <v>12</v>
      </c>
      <c r="AI594" s="202" t="n"/>
      <c r="AJ594" s="202" t="n"/>
      <c r="AK594" s="206" t="n"/>
      <c r="AL594" s="202" t="n"/>
      <c r="AM594" s="202" t="n"/>
      <c r="AN594" s="202" t="n"/>
      <c r="AO594" s="202" t="n"/>
      <c r="AP594" s="207" t="n"/>
      <c r="AQ594" s="207" t="n"/>
      <c r="AR594" s="202" t="inlineStr">
        <is>
          <t>Nhóm 1</t>
        </is>
      </c>
      <c r="AS594" s="202" t="n"/>
      <c r="AT594" s="202" t="inlineStr">
        <is>
          <t>HM15</t>
        </is>
      </c>
      <c r="AU594" s="202" t="inlineStr">
        <is>
          <t>PYC</t>
        </is>
      </c>
      <c r="AV594" s="202" t="n">
        <v>188</v>
      </c>
      <c r="AW594" s="202" t="n">
        <v>4</v>
      </c>
      <c r="AX594" s="202" t="n"/>
    </row>
    <row r="595" ht="28" customHeight="1" s="672">
      <c r="A595" s="56" t="inlineStr">
        <is>
          <t>NTCV</t>
        </is>
      </c>
      <c r="B595" s="56" t="inlineStr">
        <is>
          <t>K.9999</t>
        </is>
      </c>
      <c r="C595" s="56" t="inlineStr">
        <is>
          <t>NTCV.0950413</t>
        </is>
      </c>
      <c r="D595" s="57" t="n"/>
      <c r="E595" s="57" t="n"/>
      <c r="F595" s="57" t="n"/>
      <c r="G595" s="57" t="n"/>
      <c r="H595" s="57" t="n"/>
      <c r="J595" s="209" t="inlineStr">
        <is>
          <t>32</t>
        </is>
      </c>
      <c r="K595" s="209" t="inlineStr">
        <is>
          <t>K.9999</t>
        </is>
      </c>
      <c r="L595" s="210" t="inlineStr">
        <is>
          <t>Đập đầu cọc khoan nhồi Trụ T2 - Cọc C1</t>
        </is>
      </c>
      <c r="M595" s="210" t="n"/>
      <c r="N595" s="210" t="n"/>
      <c r="O595" s="211" t="inlineStr">
        <is>
          <t>Cầu Km19+529.080</t>
        </is>
      </c>
      <c r="P595" s="212">
        <f>S593</f>
        <v/>
      </c>
      <c r="Q595" s="212">
        <f>P595</f>
        <v/>
      </c>
      <c r="R595" s="212">
        <f>Q595-1</f>
        <v/>
      </c>
      <c r="S595" s="212">
        <f>Q595</f>
        <v/>
      </c>
      <c r="T595" s="213" t="n">
        <v>0.3541666666666667</v>
      </c>
      <c r="U595" s="213">
        <f>T595+V595</f>
        <v/>
      </c>
      <c r="V595" s="213" t="n">
        <v>0.0625</v>
      </c>
      <c r="W595" s="214">
        <f>TEXT(T595,"HH""h""MM'")&amp;"÷"&amp;TEXT(U595,"HH""h""MM'")</f>
        <v/>
      </c>
      <c r="X595" s="214" t="n"/>
      <c r="Y595" s="214" t="n"/>
      <c r="Z595" s="214" t="n"/>
      <c r="AA595" s="215" t="inlineStr">
        <is>
          <t>Theo dõi nén mẫu R28 Cọc khoan nhồi Trụ T2 - Cọc C1</t>
        </is>
      </c>
      <c r="AB595" s="204" t="inlineStr">
        <is>
          <t>09-XL-307HG/PYCNT/CKN/T2/C1-4</t>
        </is>
      </c>
      <c r="AC595" s="204" t="inlineStr">
        <is>
          <t>09-XL-307HG/BBNT/CKN/T2/C1-13</t>
        </is>
      </c>
      <c r="AD595" s="204" t="n"/>
      <c r="AE595" s="204" t="n"/>
      <c r="AF595" s="204" t="n"/>
      <c r="AG595" s="204" t="n"/>
      <c r="AH595" s="204" t="n"/>
      <c r="AI595" s="214" t="n"/>
      <c r="AJ595" s="214" t="n"/>
      <c r="AK595" s="217" t="n"/>
      <c r="AL595" s="214" t="n"/>
      <c r="AM595" s="214" t="n"/>
      <c r="AN595" s="214" t="n"/>
      <c r="AO595" s="214" t="n"/>
      <c r="AP595" s="216" t="n"/>
      <c r="AQ595" s="216" t="n"/>
      <c r="AR595" s="214" t="inlineStr">
        <is>
          <t>Nhóm 1</t>
        </is>
      </c>
      <c r="AS595" s="214" t="n"/>
      <c r="AT595" s="214" t="inlineStr">
        <is>
          <t>HM15</t>
        </is>
      </c>
      <c r="AU595" s="214" t="inlineStr">
        <is>
          <t>NTCV</t>
        </is>
      </c>
      <c r="AV595" s="214" t="n">
        <v>319</v>
      </c>
      <c r="AW595" s="214" t="n">
        <v>12</v>
      </c>
      <c r="AX595" s="214" t="n"/>
    </row>
    <row r="596">
      <c r="A596" s="56" t="inlineStr">
        <is>
          <t>HM</t>
        </is>
      </c>
      <c r="B596" s="56" t="inlineStr">
        <is>
          <t>HM</t>
        </is>
      </c>
      <c r="C596" s="56" t="inlineStr">
        <is>
          <t>HM.0819883</t>
        </is>
      </c>
      <c r="D596" s="57" t="n"/>
      <c r="E596" s="57" t="n"/>
      <c r="F596" s="57" t="n"/>
      <c r="G596" s="57" t="n"/>
      <c r="H596" s="57" t="n"/>
      <c r="J596" s="246" t="inlineStr">
        <is>
          <t>HM16</t>
        </is>
      </c>
      <c r="K596" s="246" t="inlineStr">
        <is>
          <t>HM</t>
        </is>
      </c>
      <c r="L596" s="247" t="inlineStr">
        <is>
          <t>Trụ T2 - Cọc C2</t>
        </is>
      </c>
      <c r="M596" s="247" t="n"/>
      <c r="N596" s="247" t="n"/>
      <c r="O596" s="248" t="inlineStr">
        <is>
          <t>Cầu Km19+529.080</t>
        </is>
      </c>
      <c r="P596" s="249" t="n"/>
      <c r="Q596" s="249" t="n"/>
      <c r="R596" s="249" t="n"/>
      <c r="S596" s="249" t="n"/>
      <c r="T596" s="249" t="n"/>
      <c r="U596" s="249" t="n"/>
      <c r="V596" s="249" t="n"/>
      <c r="W596" s="250" t="n"/>
      <c r="X596" s="250" t="n"/>
      <c r="Y596" s="250" t="n"/>
      <c r="Z596" s="250" t="n"/>
      <c r="AA596" s="251" t="n"/>
      <c r="AB596" s="252" t="n"/>
      <c r="AC596" s="252" t="inlineStr"/>
      <c r="AD596" s="252" t="n"/>
      <c r="AE596" s="252" t="n"/>
      <c r="AF596" s="252" t="n"/>
      <c r="AG596" s="252" t="n"/>
      <c r="AH596" s="252" t="n"/>
      <c r="AI596" s="250" t="n"/>
      <c r="AJ596" s="250" t="n"/>
      <c r="AK596" s="253" t="n"/>
      <c r="AL596" s="250" t="n"/>
      <c r="AM596" s="250" t="n"/>
      <c r="AN596" s="250" t="n"/>
      <c r="AO596" s="250" t="n"/>
      <c r="AP596" s="254" t="n"/>
      <c r="AQ596" s="254" t="n"/>
      <c r="AR596" s="250" t="n"/>
      <c r="AS596" s="250" t="n"/>
      <c r="AT596" s="250" t="inlineStr">
        <is>
          <t>HM16</t>
        </is>
      </c>
      <c r="AU596" s="250" t="inlineStr">
        <is>
          <t>HM</t>
        </is>
      </c>
      <c r="AV596" s="250" t="n"/>
      <c r="AW596" s="250" t="n"/>
      <c r="AX596" s="250" t="n"/>
    </row>
    <row r="597" ht="28" customFormat="1" customHeight="1" s="70">
      <c r="A597" s="68" t="inlineStr">
        <is>
          <t>BBK_BIA</t>
        </is>
      </c>
      <c r="B597" s="68" t="inlineStr">
        <is>
          <t>TRANGBIA</t>
        </is>
      </c>
      <c r="C597" s="68" t="inlineStr">
        <is>
          <t>BBK_BIA.0219469</t>
        </is>
      </c>
      <c r="D597" s="69" t="n"/>
      <c r="E597" s="69" t="n"/>
      <c r="F597" s="69" t="n"/>
      <c r="G597" s="69" t="n"/>
      <c r="H597" s="69" t="n"/>
      <c r="J597" s="98" t="inlineStr">
        <is>
          <t>01</t>
        </is>
      </c>
      <c r="K597" s="98" t="inlineStr">
        <is>
          <t>TRANGBIA</t>
        </is>
      </c>
      <c r="L597" s="99">
        <f>"Cọc Khoan Nhồi"&amp;" - "&amp;L596</f>
        <v/>
      </c>
      <c r="M597" s="99" t="n"/>
      <c r="N597" s="99" t="n"/>
      <c r="O597" s="100" t="inlineStr">
        <is>
          <t>Cầu Km19+529.080</t>
        </is>
      </c>
      <c r="P597" s="101" t="n"/>
      <c r="Q597" s="101" t="n"/>
      <c r="R597" s="101" t="n"/>
      <c r="S597" s="101" t="n"/>
      <c r="T597" s="101" t="n"/>
      <c r="U597" s="101" t="n"/>
      <c r="V597" s="101" t="n"/>
      <c r="W597" s="102" t="n"/>
      <c r="X597" s="102" t="n"/>
      <c r="Y597" s="102" t="n"/>
      <c r="Z597" s="102" t="n"/>
      <c r="AA597" s="102" t="n"/>
      <c r="AB597" s="102" t="n"/>
      <c r="AC597" s="102" t="inlineStr"/>
      <c r="AD597" s="102" t="n"/>
      <c r="AE597" s="102" t="n"/>
      <c r="AF597" s="102" t="n"/>
      <c r="AG597" s="102" t="n"/>
      <c r="AH597" s="102" t="n"/>
      <c r="AI597" s="102" t="n"/>
      <c r="AJ597" s="102" t="n"/>
      <c r="AK597" s="100" t="n"/>
      <c r="AL597" s="102" t="n"/>
      <c r="AM597" s="102" t="n"/>
      <c r="AN597" s="102" t="n"/>
      <c r="AO597" s="102" t="n"/>
      <c r="AP597" s="103" t="inlineStr">
        <is>
          <t>Kết cấu cọc khoan nhồi mố, trụ</t>
        </is>
      </c>
      <c r="AQ597" s="104" t="n"/>
      <c r="AR597" s="102" t="inlineStr">
        <is>
          <t>Nhóm 1</t>
        </is>
      </c>
      <c r="AS597" s="102" t="n"/>
      <c r="AT597" s="102" t="inlineStr">
        <is>
          <t>HM16</t>
        </is>
      </c>
      <c r="AU597" s="102" t="inlineStr">
        <is>
          <t>TRANGBIA</t>
        </is>
      </c>
      <c r="AV597" s="102" t="n">
        <v>16</v>
      </c>
      <c r="AW597" s="102" t="n">
        <v>1</v>
      </c>
      <c r="AX597" s="102" t="n"/>
    </row>
    <row r="598" customFormat="1" s="70">
      <c r="A598" s="68" t="inlineStr">
        <is>
          <t>BBK_ML</t>
        </is>
      </c>
      <c r="B598" s="68" t="inlineStr">
        <is>
          <t>MUCLUC</t>
        </is>
      </c>
      <c r="C598" s="68" t="inlineStr">
        <is>
          <t>BBK_ML.0184224</t>
        </is>
      </c>
      <c r="D598" s="69" t="n"/>
      <c r="E598" s="69" t="n"/>
      <c r="F598" s="69" t="n"/>
      <c r="G598" s="69" t="n"/>
      <c r="H598" s="69" t="n"/>
      <c r="J598" s="98" t="inlineStr">
        <is>
          <t>02</t>
        </is>
      </c>
      <c r="K598" s="98" t="inlineStr">
        <is>
          <t>MUCLUC</t>
        </is>
      </c>
      <c r="L598" s="99" t="inlineStr">
        <is>
          <t>Danh mục biên bản Kiểm tra/Nghiệm thu</t>
        </is>
      </c>
      <c r="M598" s="99" t="n"/>
      <c r="N598" s="99" t="n"/>
      <c r="O598" s="100" t="inlineStr">
        <is>
          <t>Cầu Km19+529.080</t>
        </is>
      </c>
      <c r="P598" s="101" t="n"/>
      <c r="Q598" s="101" t="n"/>
      <c r="R598" s="101" t="n"/>
      <c r="S598" s="101" t="n"/>
      <c r="T598" s="101" t="n"/>
      <c r="U598" s="101" t="n"/>
      <c r="V598" s="101" t="n"/>
      <c r="W598" s="102" t="n"/>
      <c r="X598" s="102" t="n"/>
      <c r="Y598" s="102" t="n"/>
      <c r="Z598" s="102" t="n"/>
      <c r="AA598" s="102" t="n"/>
      <c r="AB598" s="102" t="n"/>
      <c r="AC598" s="102" t="inlineStr"/>
      <c r="AD598" s="102" t="n"/>
      <c r="AE598" s="102" t="n"/>
      <c r="AF598" s="102" t="n"/>
      <c r="AG598" s="102" t="n"/>
      <c r="AH598" s="102" t="n"/>
      <c r="AI598" s="102" t="n"/>
      <c r="AJ598" s="102" t="n"/>
      <c r="AK598" s="100" t="n"/>
      <c r="AL598" s="102" t="n"/>
      <c r="AM598" s="102" t="n"/>
      <c r="AN598" s="102" t="n"/>
      <c r="AO598" s="102" t="n"/>
      <c r="AP598" s="104" t="n"/>
      <c r="AQ598" s="104" t="n"/>
      <c r="AR598" s="102" t="inlineStr">
        <is>
          <t>Nhóm 1</t>
        </is>
      </c>
      <c r="AS598" s="102" t="n"/>
      <c r="AT598" s="102" t="inlineStr">
        <is>
          <t>HM16</t>
        </is>
      </c>
      <c r="AU598" s="102" t="inlineStr">
        <is>
          <t>MUCLUC</t>
        </is>
      </c>
      <c r="AV598" s="102" t="n">
        <v>16</v>
      </c>
      <c r="AW598" s="102" t="n">
        <v>1</v>
      </c>
      <c r="AX598" s="102" t="n"/>
    </row>
    <row r="599">
      <c r="A599" s="56" t="inlineStr">
        <is>
          <t>BBK680</t>
        </is>
      </c>
      <c r="B599" s="56" t="inlineStr">
        <is>
          <t>PYC</t>
        </is>
      </c>
      <c r="C599" s="56" t="inlineStr">
        <is>
          <t>BBK680.0236920</t>
        </is>
      </c>
      <c r="D599" s="57" t="n"/>
      <c r="E599" s="57" t="n"/>
      <c r="F599" s="57" t="n"/>
      <c r="G599" s="57" t="n"/>
      <c r="H599" s="57" t="n"/>
      <c r="J599" s="198" t="inlineStr">
        <is>
          <t>03</t>
        </is>
      </c>
      <c r="K599" s="198" t="inlineStr">
        <is>
          <t>PYC</t>
        </is>
      </c>
      <c r="L599" s="199" t="inlineStr">
        <is>
          <t>Phiếu yêu cầu nghiệm thu</t>
        </is>
      </c>
      <c r="M599" s="199" t="n"/>
      <c r="N599" s="199" t="n"/>
      <c r="O599" s="200" t="inlineStr">
        <is>
          <t>Cầu Km19+529.080</t>
        </is>
      </c>
      <c r="P599" s="201" t="n"/>
      <c r="Q599" s="201" t="n"/>
      <c r="R599" s="201">
        <f>R600</f>
        <v/>
      </c>
      <c r="S599" s="201" t="n"/>
      <c r="T599" s="201" t="n"/>
      <c r="U599" s="201" t="n"/>
      <c r="V599" s="201" t="n"/>
      <c r="W599" s="202" t="n"/>
      <c r="X599" s="202" t="n"/>
      <c r="Y599" s="202" t="n"/>
      <c r="Z599" s="202" t="n"/>
      <c r="AA599" s="203" t="n"/>
      <c r="AB599" s="204" t="inlineStr">
        <is>
          <t>09-XL-307HG/PYCNT/CKN/T2/C2</t>
        </is>
      </c>
      <c r="AC599" s="205" t="inlineStr"/>
      <c r="AD599" s="205" t="n"/>
      <c r="AE599" s="205" t="n"/>
      <c r="AF599" s="205" t="n"/>
      <c r="AG599" s="205" t="inlineStr">
        <is>
          <t>NTCV;BBKTĐK</t>
        </is>
      </c>
      <c r="AH599" s="204" t="inlineStr">
        <is>
          <t>&gt;=1;&lt;=5</t>
        </is>
      </c>
      <c r="AI599" s="202" t="n"/>
      <c r="AJ599" s="202" t="n"/>
      <c r="AK599" s="206" t="n"/>
      <c r="AL599" s="202" t="n"/>
      <c r="AM599" s="202" t="n"/>
      <c r="AN599" s="202" t="n"/>
      <c r="AO599" s="202" t="n"/>
      <c r="AP599" s="207" t="n"/>
      <c r="AQ599" s="207" t="n"/>
      <c r="AR599" s="202" t="inlineStr">
        <is>
          <t>Nhóm 1</t>
        </is>
      </c>
      <c r="AS599" s="202" t="n"/>
      <c r="AT599" s="202" t="inlineStr">
        <is>
          <t>HM16</t>
        </is>
      </c>
      <c r="AU599" s="202" t="inlineStr">
        <is>
          <t>PYC</t>
        </is>
      </c>
      <c r="AV599" s="202" t="n">
        <v>189</v>
      </c>
      <c r="AW599" s="202" t="n">
        <v>1</v>
      </c>
      <c r="AX599" s="202" t="n"/>
    </row>
    <row r="600" ht="28" customHeight="1" s="672">
      <c r="A600" s="56" t="inlineStr">
        <is>
          <t>BBK884</t>
        </is>
      </c>
      <c r="B600" s="56" t="inlineStr">
        <is>
          <t>BBKTĐK</t>
        </is>
      </c>
      <c r="C600" s="56" t="inlineStr">
        <is>
          <t>BBK884.0925450</t>
        </is>
      </c>
      <c r="D600" s="57" t="n"/>
      <c r="E600" s="57" t="n"/>
      <c r="F600" s="57" t="n"/>
      <c r="G600" s="57" t="n"/>
      <c r="H600" s="57" t="n"/>
      <c r="J600" s="198" t="inlineStr">
        <is>
          <t>04</t>
        </is>
      </c>
      <c r="K600" s="198" t="inlineStr">
        <is>
          <t>BBKTĐK</t>
        </is>
      </c>
      <c r="L600" s="199" t="inlineStr">
        <is>
          <t>Kiểm tra điều kiện trước khi thi công cọc khoan nhồi: Thiết bị, nhân lực, vật tư</t>
        </is>
      </c>
      <c r="M600" s="199" t="n"/>
      <c r="N600" s="199" t="n"/>
      <c r="O600" s="200" t="inlineStr">
        <is>
          <t>Cầu Km19+529.080</t>
        </is>
      </c>
      <c r="P600" s="201" t="n">
        <v>46219</v>
      </c>
      <c r="Q600" s="201">
        <f>P600</f>
        <v/>
      </c>
      <c r="R600" s="201">
        <f>Q600-1</f>
        <v/>
      </c>
      <c r="S600" s="201">
        <f>Q600</f>
        <v/>
      </c>
      <c r="T600" s="208" t="n">
        <v>0.2916666666666667</v>
      </c>
      <c r="U600" s="208">
        <f>T600+V600</f>
        <v/>
      </c>
      <c r="V600" s="208" t="n">
        <v>0.02083333333333333</v>
      </c>
      <c r="W600" s="202">
        <f>TEXT(T600,"HH""h""MM'")&amp;"÷"&amp;TEXT(U600,"HH""h""MM'")</f>
        <v/>
      </c>
      <c r="X600" s="202" t="n"/>
      <c r="Y600" s="202" t="n"/>
      <c r="Z600" s="202" t="inlineStr">
        <is>
          <t>01;</t>
        </is>
      </c>
      <c r="AA600" s="200" t="inlineStr">
        <is>
          <t>Kiểm tra điều kiện trước khi thi công Cọc khoan nhồi Trụ T2 - Cọc C2</t>
        </is>
      </c>
      <c r="AB600" s="205" t="inlineStr">
        <is>
          <t>09-XL-307HG/PYCNT/CKN/T2/C2-1</t>
        </is>
      </c>
      <c r="AC600" s="205" t="inlineStr">
        <is>
          <t>09-XL-307HG/BBNT/CKN/T2/C2-1</t>
        </is>
      </c>
      <c r="AD600" s="205" t="n"/>
      <c r="AE600" s="205" t="n"/>
      <c r="AF600" s="205" t="n"/>
      <c r="AG600" s="205" t="n"/>
      <c r="AH600" s="205" t="n"/>
      <c r="AI600" s="207" t="n"/>
      <c r="AJ600" s="214" t="n"/>
      <c r="AK600" s="217" t="n"/>
      <c r="AL600" s="214" t="n"/>
      <c r="AM600" s="214" t="n"/>
      <c r="AN600" s="214" t="n"/>
      <c r="AO600" s="202" t="n"/>
      <c r="AP600" s="207" t="n"/>
      <c r="AQ600" s="207" t="n"/>
      <c r="AR600" s="202" t="inlineStr">
        <is>
          <t>Nhóm 1</t>
        </is>
      </c>
      <c r="AS600" s="202" t="n"/>
      <c r="AT600" s="202" t="inlineStr">
        <is>
          <t>HM16</t>
        </is>
      </c>
      <c r="AU600" s="202" t="inlineStr">
        <is>
          <t>BBKTĐK</t>
        </is>
      </c>
      <c r="AV600" s="202" t="n">
        <v>14</v>
      </c>
      <c r="AW600" s="202" t="n">
        <v>1</v>
      </c>
      <c r="AX600" s="202" t="n"/>
    </row>
    <row r="601" ht="28" customHeight="1" s="672">
      <c r="A601" s="56" t="inlineStr">
        <is>
          <t>BBK860</t>
        </is>
      </c>
      <c r="B601" s="56" t="inlineStr">
        <is>
          <t>PL01</t>
        </is>
      </c>
      <c r="C601" s="56" t="inlineStr">
        <is>
          <t>BBK860.0257504</t>
        </is>
      </c>
      <c r="D601" s="57" t="n"/>
      <c r="E601" s="57" t="n"/>
      <c r="F601" s="57" t="n"/>
      <c r="G601" s="57" t="n"/>
      <c r="H601" s="57" t="n"/>
      <c r="J601" s="198" t="inlineStr">
        <is>
          <t>05</t>
        </is>
      </c>
      <c r="K601" s="198" t="inlineStr">
        <is>
          <t>PL01</t>
        </is>
      </c>
      <c r="L601" s="199" t="inlineStr">
        <is>
          <t>Máy móc, thiết bị, nhân lực, vật tư thi công cọc khoan nhồi</t>
        </is>
      </c>
      <c r="M601" s="199" t="n"/>
      <c r="N601" s="199" t="n"/>
      <c r="O601" s="199" t="inlineStr">
        <is>
          <t>Cầu Km19+529.080</t>
        </is>
      </c>
      <c r="P601" s="201" t="n"/>
      <c r="Q601" s="201" t="n"/>
      <c r="R601" s="201" t="n"/>
      <c r="S601" s="201">
        <f>S600</f>
        <v/>
      </c>
      <c r="T601" s="201" t="n"/>
      <c r="U601" s="201" t="n"/>
      <c r="V601" s="201" t="n"/>
      <c r="W601" s="202" t="n"/>
      <c r="X601" s="202" t="n"/>
      <c r="Y601" s="202" t="n"/>
      <c r="Z601" s="198" t="inlineStr">
        <is>
          <t>01</t>
        </is>
      </c>
      <c r="AA601" s="203" t="n"/>
      <c r="AB601" s="204" t="inlineStr">
        <is>
          <t>09-XL-307HG/PYCNT/CKN/T2/C2-1</t>
        </is>
      </c>
      <c r="AC601" s="204">
        <f>AC600</f>
        <v/>
      </c>
      <c r="AD601" s="204" t="n"/>
      <c r="AE601" s="204" t="n"/>
      <c r="AF601" s="204" t="n"/>
      <c r="AG601" s="204" t="n"/>
      <c r="AH601" s="204" t="inlineStr">
        <is>
          <t>CKN</t>
        </is>
      </c>
      <c r="AI601" s="207" t="n"/>
      <c r="AJ601" s="202" t="n"/>
      <c r="AK601" s="206" t="n"/>
      <c r="AL601" s="202" t="n"/>
      <c r="AM601" s="202" t="n"/>
      <c r="AN601" s="202" t="n"/>
      <c r="AO601" s="202" t="n"/>
      <c r="AP601" s="207" t="n"/>
      <c r="AQ601" s="207" t="n"/>
      <c r="AR601" s="202" t="inlineStr">
        <is>
          <t>Nhóm 1</t>
        </is>
      </c>
      <c r="AS601" s="202" t="n"/>
      <c r="AT601" s="202" t="inlineStr">
        <is>
          <t>HM16</t>
        </is>
      </c>
      <c r="AU601" s="202" t="inlineStr">
        <is>
          <t>PL01</t>
        </is>
      </c>
      <c r="AV601" s="202" t="n">
        <v>14</v>
      </c>
      <c r="AW601" s="202" t="n">
        <v>1</v>
      </c>
      <c r="AX601" s="202" t="n"/>
    </row>
    <row r="602" ht="42" customHeight="1" s="672">
      <c r="A602" s="56" t="inlineStr">
        <is>
          <t>NTCV</t>
        </is>
      </c>
      <c r="B602" s="56" t="inlineStr">
        <is>
          <t>K.9999</t>
        </is>
      </c>
      <c r="C602" s="56" t="inlineStr">
        <is>
          <t>NTCV.0255911</t>
        </is>
      </c>
      <c r="D602" s="57" t="n"/>
      <c r="E602" s="57" t="n"/>
      <c r="F602" s="57" t="n"/>
      <c r="G602" s="57" t="n"/>
      <c r="H602" s="57" t="n"/>
      <c r="J602" s="209" t="inlineStr">
        <is>
          <t>06</t>
        </is>
      </c>
      <c r="K602" s="209" t="inlineStr">
        <is>
          <t>K.9999</t>
        </is>
      </c>
      <c r="L602" s="210" t="inlineStr">
        <is>
          <t>Kiểm tra ống vách, dung dịch bentonite trước khi khoan cọc khoan nhồi</t>
        </is>
      </c>
      <c r="M602" s="210" t="n"/>
      <c r="N602" s="210" t="n"/>
      <c r="O602" s="211" t="inlineStr">
        <is>
          <t>Cầu Km19+529.080</t>
        </is>
      </c>
      <c r="P602" s="212">
        <f>S600</f>
        <v/>
      </c>
      <c r="Q602" s="212">
        <f>P602</f>
        <v/>
      </c>
      <c r="R602" s="212">
        <f>Q602-1</f>
        <v/>
      </c>
      <c r="S602" s="212">
        <f>Q602</f>
        <v/>
      </c>
      <c r="T602" s="213">
        <f>U600</f>
        <v/>
      </c>
      <c r="U602" s="213">
        <f>T602+V602</f>
        <v/>
      </c>
      <c r="V602" s="213" t="n">
        <v>0.02083333333333333</v>
      </c>
      <c r="W602" s="214">
        <f>TEXT(T602,"HH""h""MM'")&amp;"÷"&amp;TEXT(U602,"HH""h""MM'")</f>
        <v/>
      </c>
      <c r="X602" s="214" t="n"/>
      <c r="Y602" s="214" t="n"/>
      <c r="Z602" s="214" t="inlineStr">
        <is>
          <t>02; 02a</t>
        </is>
      </c>
      <c r="AA602" s="215" t="inlineStr">
        <is>
          <t>Kiểm tra ống vách, dung dịch bentonite Cọc khoan nhồi Trụ T2 - Cọc C2 trước khi khoan</t>
        </is>
      </c>
      <c r="AB602" s="204" t="inlineStr">
        <is>
          <t>09-XL-307HG/PYCNT/CKN/T2/C2-1</t>
        </is>
      </c>
      <c r="AC602" s="204" t="inlineStr">
        <is>
          <t>09-XL-307HG/BBNT/CKN/T2/C2-2</t>
        </is>
      </c>
      <c r="AD602" s="204" t="n"/>
      <c r="AE602" s="204" t="n"/>
      <c r="AF602" s="204" t="n"/>
      <c r="AG602" s="204" t="n"/>
      <c r="AH602" s="204" t="n"/>
      <c r="AI602" s="216" t="n"/>
      <c r="AJ602" s="214" t="n"/>
      <c r="AK602" s="217" t="n"/>
      <c r="AL602" s="214" t="n"/>
      <c r="AM602" s="214" t="n"/>
      <c r="AN602" s="214" t="n"/>
      <c r="AO602" s="214" t="n"/>
      <c r="AP602" s="216" t="n"/>
      <c r="AQ602" s="216" t="n"/>
      <c r="AR602" s="214" t="inlineStr">
        <is>
          <t>Nhóm 1</t>
        </is>
      </c>
      <c r="AS602" s="214" t="n"/>
      <c r="AT602" s="214" t="inlineStr">
        <is>
          <t>HM16</t>
        </is>
      </c>
      <c r="AU602" s="214" t="inlineStr">
        <is>
          <t>NTCV</t>
        </is>
      </c>
      <c r="AV602" s="214" t="n">
        <v>192</v>
      </c>
      <c r="AW602" s="214" t="n">
        <v>1</v>
      </c>
      <c r="AX602" s="214" t="n"/>
    </row>
    <row r="603">
      <c r="A603" s="56" t="inlineStr">
        <is>
          <t>BBK170</t>
        </is>
      </c>
      <c r="B603" s="56" t="inlineStr">
        <is>
          <t>PL02</t>
        </is>
      </c>
      <c r="C603" s="56" t="inlineStr">
        <is>
          <t>BBK170.0714486</t>
        </is>
      </c>
      <c r="D603" s="57" t="n"/>
      <c r="E603" s="57" t="n"/>
      <c r="F603" s="57" t="n"/>
      <c r="G603" s="57" t="n"/>
      <c r="H603" s="57" t="n"/>
      <c r="J603" s="198" t="inlineStr">
        <is>
          <t>07</t>
        </is>
      </c>
      <c r="K603" s="198" t="inlineStr">
        <is>
          <t>PL02</t>
        </is>
      </c>
      <c r="L603" s="199" t="inlineStr">
        <is>
          <t>Kiểm tra ống vách thi công trước khi hạ</t>
        </is>
      </c>
      <c r="M603" s="199" t="n"/>
      <c r="N603" s="199" t="n"/>
      <c r="O603" s="200" t="inlineStr">
        <is>
          <t>Cầu Km19+529.080</t>
        </is>
      </c>
      <c r="P603" s="201" t="n"/>
      <c r="Q603" s="201" t="n"/>
      <c r="R603" s="201" t="n"/>
      <c r="S603" s="201">
        <f>S602</f>
        <v/>
      </c>
      <c r="T603" s="201" t="n"/>
      <c r="U603" s="201" t="n"/>
      <c r="V603" s="201" t="n"/>
      <c r="W603" s="202" t="n"/>
      <c r="X603" s="202" t="n"/>
      <c r="Y603" s="202" t="n"/>
      <c r="Z603" s="198" t="inlineStr">
        <is>
          <t>02</t>
        </is>
      </c>
      <c r="AA603" s="203" t="n"/>
      <c r="AB603" s="204" t="inlineStr">
        <is>
          <t>09-XL-307HG/PYCNT/CKN/T2/C2-1</t>
        </is>
      </c>
      <c r="AC603" s="204">
        <f>AC602</f>
        <v/>
      </c>
      <c r="AD603" s="204" t="n"/>
      <c r="AE603" s="204" t="n"/>
      <c r="AF603" s="204" t="n"/>
      <c r="AG603" s="204" t="n"/>
      <c r="AH603" s="204" t="inlineStr">
        <is>
          <t>CKN</t>
        </is>
      </c>
      <c r="AI603" s="207" t="n"/>
      <c r="AJ603" s="202" t="n"/>
      <c r="AK603" s="206" t="n"/>
      <c r="AL603" s="202" t="n"/>
      <c r="AM603" s="202" t="n"/>
      <c r="AN603" s="202" t="n"/>
      <c r="AO603" s="202" t="n"/>
      <c r="AP603" s="207" t="n"/>
      <c r="AQ603" s="207" t="inlineStr">
        <is>
          <t>Ảnh\PL02 CKN.png</t>
        </is>
      </c>
      <c r="AR603" s="202" t="inlineStr">
        <is>
          <t>Nhóm 1</t>
        </is>
      </c>
      <c r="AS603" s="202" t="n"/>
      <c r="AT603" s="202" t="inlineStr">
        <is>
          <t>HM16</t>
        </is>
      </c>
      <c r="AU603" s="202" t="inlineStr">
        <is>
          <t>PL02</t>
        </is>
      </c>
      <c r="AV603" s="202" t="n">
        <v>14</v>
      </c>
      <c r="AW603" s="202" t="n">
        <v>1</v>
      </c>
      <c r="AX603" s="202" t="n"/>
    </row>
    <row r="604">
      <c r="A604" s="56" t="inlineStr">
        <is>
          <t>BBK721</t>
        </is>
      </c>
      <c r="B604" s="56" t="inlineStr">
        <is>
          <t>PL02a</t>
        </is>
      </c>
      <c r="C604" s="56" t="inlineStr">
        <is>
          <t>BBK721.0664871</t>
        </is>
      </c>
      <c r="D604" s="57" t="n"/>
      <c r="E604" s="57" t="n"/>
      <c r="F604" s="57" t="n"/>
      <c r="G604" s="57" t="n"/>
      <c r="H604" s="57" t="n"/>
      <c r="J604" s="198" t="inlineStr">
        <is>
          <t>08</t>
        </is>
      </c>
      <c r="K604" s="198" t="inlineStr">
        <is>
          <t>PL02a</t>
        </is>
      </c>
      <c r="L604" s="199" t="inlineStr">
        <is>
          <t>Kiểm tra ống vách thi công trước khi hạ</t>
        </is>
      </c>
      <c r="M604" s="199" t="n"/>
      <c r="N604" s="199" t="n"/>
      <c r="O604" s="200" t="inlineStr">
        <is>
          <t>Cầu Km19+529.080</t>
        </is>
      </c>
      <c r="P604" s="201" t="n"/>
      <c r="Q604" s="201" t="n"/>
      <c r="R604" s="201" t="n"/>
      <c r="S604" s="201">
        <f>S603</f>
        <v/>
      </c>
      <c r="T604" s="201" t="n"/>
      <c r="U604" s="201" t="n"/>
      <c r="V604" s="201" t="n"/>
      <c r="W604" s="202" t="n"/>
      <c r="X604" s="202" t="n"/>
      <c r="Y604" s="202" t="n"/>
      <c r="Z604" s="198" t="inlineStr">
        <is>
          <t>02a</t>
        </is>
      </c>
      <c r="AA604" s="203" t="n"/>
      <c r="AB604" s="204" t="inlineStr">
        <is>
          <t>09-XL-307HG/PYCNT/CKN/T2/C2-1</t>
        </is>
      </c>
      <c r="AC604" s="204">
        <f>AC603</f>
        <v/>
      </c>
      <c r="AD604" s="204" t="n"/>
      <c r="AE604" s="204" t="n"/>
      <c r="AF604" s="204" t="n"/>
      <c r="AG604" s="204" t="n"/>
      <c r="AH604" s="204" t="n"/>
      <c r="AI604" s="207" t="n"/>
      <c r="AJ604" s="202" t="n"/>
      <c r="AK604" s="206" t="n"/>
      <c r="AL604" s="202" t="n"/>
      <c r="AM604" s="202" t="n"/>
      <c r="AN604" s="202" t="n"/>
      <c r="AO604" s="202" t="n"/>
      <c r="AP604" s="207" t="n"/>
      <c r="AQ604" s="207" t="n"/>
      <c r="AR604" s="202" t="inlineStr">
        <is>
          <t>Nhóm 1</t>
        </is>
      </c>
      <c r="AS604" s="202" t="n"/>
      <c r="AT604" s="202" t="inlineStr">
        <is>
          <t>HM16</t>
        </is>
      </c>
      <c r="AU604" s="202" t="inlineStr">
        <is>
          <t>PL02a</t>
        </is>
      </c>
      <c r="AV604" s="202" t="n">
        <v>14</v>
      </c>
      <c r="AW604" s="202" t="n">
        <v>1</v>
      </c>
      <c r="AX604" s="202" t="n"/>
    </row>
    <row r="605" ht="28" customHeight="1" s="672">
      <c r="A605" s="56" t="inlineStr">
        <is>
          <t>NTCV</t>
        </is>
      </c>
      <c r="B605" s="56" t="inlineStr">
        <is>
          <t>K.9999</t>
        </is>
      </c>
      <c r="C605" s="56" t="inlineStr">
        <is>
          <t>NTCV.0772883</t>
        </is>
      </c>
      <c r="D605" s="57" t="n"/>
      <c r="E605" s="57" t="n"/>
      <c r="F605" s="57" t="n"/>
      <c r="G605" s="57" t="n"/>
      <c r="H605" s="57" t="n"/>
      <c r="J605" s="209" t="inlineStr">
        <is>
          <t>09</t>
        </is>
      </c>
      <c r="K605" s="209" t="inlineStr">
        <is>
          <t>K.9999</t>
        </is>
      </c>
      <c r="L605" s="210" t="inlineStr">
        <is>
          <t>Kiểm tra định vị tim cọc khoan nhồi, hạ ống vách thi công</t>
        </is>
      </c>
      <c r="M605" s="210" t="n"/>
      <c r="N605" s="210" t="n"/>
      <c r="O605" s="211" t="inlineStr">
        <is>
          <t>Cầu Km19+529.080</t>
        </is>
      </c>
      <c r="P605" s="212">
        <f>S602</f>
        <v/>
      </c>
      <c r="Q605" s="212">
        <f>P605</f>
        <v/>
      </c>
      <c r="R605" s="212">
        <f>Q605-1</f>
        <v/>
      </c>
      <c r="S605" s="212">
        <f>Q605</f>
        <v/>
      </c>
      <c r="T605" s="213">
        <f>U602</f>
        <v/>
      </c>
      <c r="U605" s="213">
        <f>T605+V605</f>
        <v/>
      </c>
      <c r="V605" s="213" t="n">
        <v>0.02083333333333333</v>
      </c>
      <c r="W605" s="214">
        <f>TEXT(T605,"HH""h""MM'")&amp;"÷"&amp;TEXT(U605,"HH""h""MM'")</f>
        <v/>
      </c>
      <c r="X605" s="214" t="n"/>
      <c r="Y605" s="214" t="n"/>
      <c r="Z605" s="214" t="inlineStr">
        <is>
          <t>03;</t>
        </is>
      </c>
      <c r="AA605" s="215" t="inlineStr">
        <is>
          <t>Kiểm tra định vị Cọc khoan nhồi Trụ T2 - Cọc C2</t>
        </is>
      </c>
      <c r="AB605" s="204" t="inlineStr">
        <is>
          <t>09-XL-307HG/PYCNT/CKN/T2/C2-1</t>
        </is>
      </c>
      <c r="AC605" s="204" t="inlineStr">
        <is>
          <t>09-XL-307HG/BBNT/CKN/T2/C2-3</t>
        </is>
      </c>
      <c r="AD605" s="204" t="n"/>
      <c r="AE605" s="204" t="n"/>
      <c r="AF605" s="204" t="n"/>
      <c r="AG605" s="204" t="n"/>
      <c r="AH605" s="204" t="n"/>
      <c r="AI605" s="216" t="n"/>
      <c r="AJ605" s="214" t="n"/>
      <c r="AK605" s="217" t="n"/>
      <c r="AL605" s="214" t="n"/>
      <c r="AM605" s="214" t="n"/>
      <c r="AN605" s="214" t="n"/>
      <c r="AO605" s="214" t="n"/>
      <c r="AP605" s="216" t="n"/>
      <c r="AQ605" s="216" t="n"/>
      <c r="AR605" s="214" t="inlineStr">
        <is>
          <t>Nhóm 1</t>
        </is>
      </c>
      <c r="AS605" s="214" t="n"/>
      <c r="AT605" s="214" t="inlineStr">
        <is>
          <t>HM16</t>
        </is>
      </c>
      <c r="AU605" s="214" t="inlineStr">
        <is>
          <t>NTCV</t>
        </is>
      </c>
      <c r="AV605" s="214" t="n">
        <v>194</v>
      </c>
      <c r="AW605" s="214" t="n">
        <v>2</v>
      </c>
      <c r="AX605" s="214" t="n"/>
    </row>
    <row r="606" ht="28" customHeight="1" s="672">
      <c r="A606" s="56" t="inlineStr">
        <is>
          <t>BBK478</t>
        </is>
      </c>
      <c r="B606" s="56" t="inlineStr">
        <is>
          <t>PL03</t>
        </is>
      </c>
      <c r="C606" s="56" t="inlineStr">
        <is>
          <t>BBK478.0758845</t>
        </is>
      </c>
      <c r="D606" s="57" t="n"/>
      <c r="E606" s="57" t="n"/>
      <c r="F606" s="57" t="n"/>
      <c r="G606" s="57" t="n"/>
      <c r="H606" s="57" t="n"/>
      <c r="J606" s="198" t="inlineStr">
        <is>
          <t>10</t>
        </is>
      </c>
      <c r="K606" s="198" t="inlineStr">
        <is>
          <t>PL03</t>
        </is>
      </c>
      <c r="L606" s="199" t="inlineStr">
        <is>
          <t>Kiểm tra định vị tim cọc khoan nhồi, hạ ống vách thi công</t>
        </is>
      </c>
      <c r="M606" s="199" t="n"/>
      <c r="N606" s="199" t="n"/>
      <c r="O606" s="200" t="inlineStr">
        <is>
          <t>Cầu Km19+529.080</t>
        </is>
      </c>
      <c r="P606" s="201" t="n"/>
      <c r="Q606" s="201" t="n"/>
      <c r="R606" s="201" t="n"/>
      <c r="S606" s="201">
        <f>S605</f>
        <v/>
      </c>
      <c r="T606" s="201" t="n"/>
      <c r="U606" s="201" t="n"/>
      <c r="V606" s="201" t="n"/>
      <c r="W606" s="202" t="n"/>
      <c r="X606" s="202" t="n"/>
      <c r="Y606" s="202" t="n"/>
      <c r="Z606" s="198" t="inlineStr">
        <is>
          <t>03</t>
        </is>
      </c>
      <c r="AA606" s="203" t="n"/>
      <c r="AB606" s="204" t="inlineStr">
        <is>
          <t>09-XL-307HG/PYCNT/CKN/T2/C2-1</t>
        </is>
      </c>
      <c r="AC606" s="204">
        <f>AC605</f>
        <v/>
      </c>
      <c r="AD606" s="255" t="n">
        <v>2481782.462</v>
      </c>
      <c r="AE606" s="255" t="n">
        <v>382430.326</v>
      </c>
      <c r="AF606" s="255" t="n">
        <v>167.86</v>
      </c>
      <c r="AG606" s="255" t="n"/>
      <c r="AH606" s="204" t="inlineStr">
        <is>
          <t>&gt;=230;&lt;=248</t>
        </is>
      </c>
      <c r="AI606" s="207" t="n"/>
      <c r="AJ606" s="202" t="n"/>
      <c r="AK606" s="206" t="n"/>
      <c r="AL606" s="202" t="n"/>
      <c r="AM606" s="202" t="n"/>
      <c r="AN606" s="202" t="n"/>
      <c r="AO606" s="202" t="n"/>
      <c r="AP606" s="207" t="n"/>
      <c r="AQ606" s="207" t="n"/>
      <c r="AR606" s="202" t="inlineStr">
        <is>
          <t>Nhóm 1</t>
        </is>
      </c>
      <c r="AS606" s="202" t="n"/>
      <c r="AT606" s="202" t="inlineStr">
        <is>
          <t>HM16</t>
        </is>
      </c>
      <c r="AU606" s="202" t="inlineStr">
        <is>
          <t>PL03</t>
        </is>
      </c>
      <c r="AV606" s="202" t="n">
        <v>14</v>
      </c>
      <c r="AW606" s="202" t="n">
        <v>1</v>
      </c>
      <c r="AX606" s="202" t="n"/>
    </row>
    <row r="607" ht="28" customHeight="1" s="672">
      <c r="A607" s="56" t="inlineStr">
        <is>
          <t>NTCV</t>
        </is>
      </c>
      <c r="B607" s="56" t="inlineStr">
        <is>
          <t>K.9999</t>
        </is>
      </c>
      <c r="C607" s="56" t="inlineStr">
        <is>
          <t>NTCV.0308465</t>
        </is>
      </c>
      <c r="D607" s="57" t="n"/>
      <c r="E607" s="57" t="n"/>
      <c r="F607" s="57" t="n"/>
      <c r="G607" s="57" t="n"/>
      <c r="H607" s="57" t="n"/>
      <c r="J607" s="209" t="inlineStr">
        <is>
          <t>11</t>
        </is>
      </c>
      <c r="K607" s="209" t="inlineStr">
        <is>
          <t>K.9999</t>
        </is>
      </c>
      <c r="L607" s="210" t="inlineStr">
        <is>
          <t>Nghiệm thu lồng thép cọc khoan nhồi trước khi hạ</t>
        </is>
      </c>
      <c r="M607" s="210" t="n"/>
      <c r="N607" s="210" t="n"/>
      <c r="O607" s="211" t="inlineStr">
        <is>
          <t>Cầu Km19+529.080</t>
        </is>
      </c>
      <c r="P607" s="212">
        <f>S605</f>
        <v/>
      </c>
      <c r="Q607" s="212">
        <f>P607</f>
        <v/>
      </c>
      <c r="R607" s="212">
        <f>Q607-1</f>
        <v/>
      </c>
      <c r="S607" s="212">
        <f>Q607</f>
        <v/>
      </c>
      <c r="T607" s="213">
        <f>U605</f>
        <v/>
      </c>
      <c r="U607" s="213">
        <f>T607+V607</f>
        <v/>
      </c>
      <c r="V607" s="213" t="n">
        <v>0.02083333333333333</v>
      </c>
      <c r="W607" s="214">
        <f>TEXT(T607,"HH""h""MM'")&amp;"÷"&amp;TEXT(U607,"HH""h""MM'")</f>
        <v/>
      </c>
      <c r="X607" s="214" t="n"/>
      <c r="Y607" s="214" t="n"/>
      <c r="Z607" s="214" t="inlineStr">
        <is>
          <t>04;</t>
        </is>
      </c>
      <c r="AA607" s="215" t="inlineStr">
        <is>
          <t>Nghiệm thu lồng thép Cọc khoan nhồi Trụ T2 - Cọc C2</t>
        </is>
      </c>
      <c r="AB607" s="204" t="inlineStr">
        <is>
          <t>09-XL-307HG/PYCNT/CKN/T2/C2-1</t>
        </is>
      </c>
      <c r="AC607" s="204" t="inlineStr">
        <is>
          <t>09-XL-307HG/BBNT/CKN/T2/C2-4</t>
        </is>
      </c>
      <c r="AD607" s="204" t="n"/>
      <c r="AE607" s="204" t="n"/>
      <c r="AF607" s="204" t="n"/>
      <c r="AG607" s="204" t="n"/>
      <c r="AH607" s="204" t="n"/>
      <c r="AI607" s="216" t="n"/>
      <c r="AJ607" s="214" t="n"/>
      <c r="AK607" s="217" t="n"/>
      <c r="AL607" s="214" t="n"/>
      <c r="AM607" s="214" t="n"/>
      <c r="AN607" s="214" t="n"/>
      <c r="AO607" s="214" t="n"/>
      <c r="AP607" s="216" t="n"/>
      <c r="AQ607" s="216" t="n"/>
      <c r="AR607" s="214" t="inlineStr">
        <is>
          <t>Nhóm 1</t>
        </is>
      </c>
      <c r="AS607" s="214" t="n"/>
      <c r="AT607" s="214" t="inlineStr">
        <is>
          <t>HM16</t>
        </is>
      </c>
      <c r="AU607" s="214" t="inlineStr">
        <is>
          <t>NTCV</t>
        </is>
      </c>
      <c r="AV607" s="214" t="n">
        <v>196</v>
      </c>
      <c r="AW607" s="214" t="n">
        <v>3</v>
      </c>
      <c r="AX607" s="214" t="n"/>
    </row>
    <row r="608">
      <c r="A608" s="56" t="inlineStr">
        <is>
          <t>BBK096</t>
        </is>
      </c>
      <c r="B608" s="56" t="inlineStr">
        <is>
          <t>PL04</t>
        </is>
      </c>
      <c r="C608" s="56" t="inlineStr">
        <is>
          <t>BBK096.0824584</t>
        </is>
      </c>
      <c r="D608" s="57" t="n"/>
      <c r="E608" s="57" t="n"/>
      <c r="F608" s="57" t="n"/>
      <c r="G608" s="57" t="n"/>
      <c r="H608" s="57" t="n"/>
      <c r="J608" s="198" t="inlineStr">
        <is>
          <t>12</t>
        </is>
      </c>
      <c r="K608" s="198" t="inlineStr">
        <is>
          <t>PL04</t>
        </is>
      </c>
      <c r="L608" s="199" t="inlineStr">
        <is>
          <t>Nghiệm thu lồng thép cọc khoan nhồi trước khi hạ</t>
        </is>
      </c>
      <c r="M608" s="199" t="n"/>
      <c r="N608" s="199" t="n"/>
      <c r="O608" s="200" t="inlineStr">
        <is>
          <t>Cầu Km19+529.080</t>
        </is>
      </c>
      <c r="P608" s="201" t="n"/>
      <c r="Q608" s="201" t="n"/>
      <c r="R608" s="201" t="n"/>
      <c r="S608" s="201">
        <f>S607</f>
        <v/>
      </c>
      <c r="T608" s="201" t="n"/>
      <c r="U608" s="201" t="n"/>
      <c r="V608" s="201" t="n"/>
      <c r="W608" s="202" t="n"/>
      <c r="X608" s="202" t="n"/>
      <c r="Y608" s="202" t="n"/>
      <c r="Z608" s="198" t="inlineStr">
        <is>
          <t>04</t>
        </is>
      </c>
      <c r="AA608" s="203" t="n"/>
      <c r="AB608" s="204" t="inlineStr">
        <is>
          <t>09-XL-307HG/PYCNT/CKN/T2/C2-1</t>
        </is>
      </c>
      <c r="AC608" s="204">
        <f>AC607</f>
        <v/>
      </c>
      <c r="AD608" s="204" t="n"/>
      <c r="AE608" s="204" t="n"/>
      <c r="AF608" s="204" t="n"/>
      <c r="AG608" s="204" t="n"/>
      <c r="AH608" s="204" t="inlineStr">
        <is>
          <t>T2</t>
        </is>
      </c>
      <c r="AI608" s="207" t="n"/>
      <c r="AJ608" s="202" t="n"/>
      <c r="AK608" s="206" t="n"/>
      <c r="AL608" s="202" t="n"/>
      <c r="AM608" s="202" t="n"/>
      <c r="AN608" s="202" t="n"/>
      <c r="AO608" s="202" t="n"/>
      <c r="AP608" s="207" t="n"/>
      <c r="AQ608" s="207" t="n"/>
      <c r="AR608" s="202" t="inlineStr">
        <is>
          <t>Nhóm 1</t>
        </is>
      </c>
      <c r="AS608" s="202" t="n"/>
      <c r="AT608" s="202" t="inlineStr">
        <is>
          <t>HM16</t>
        </is>
      </c>
      <c r="AU608" s="202" t="inlineStr">
        <is>
          <t>PL04</t>
        </is>
      </c>
      <c r="AV608" s="202" t="n">
        <v>14</v>
      </c>
      <c r="AW608" s="202" t="n">
        <v>1</v>
      </c>
      <c r="AX608" s="202" t="n"/>
    </row>
    <row r="609" ht="28" customHeight="1" s="672">
      <c r="A609" s="56" t="inlineStr">
        <is>
          <t>NTCV</t>
        </is>
      </c>
      <c r="B609" s="56" t="inlineStr">
        <is>
          <t>K.9999</t>
        </is>
      </c>
      <c r="C609" s="56" t="inlineStr">
        <is>
          <t>NTCV.0718793</t>
        </is>
      </c>
      <c r="D609" s="57" t="n"/>
      <c r="E609" s="57" t="n"/>
      <c r="F609" s="57" t="n"/>
      <c r="G609" s="57" t="n"/>
      <c r="H609" s="57" t="n"/>
      <c r="J609" s="209" t="inlineStr">
        <is>
          <t>13</t>
        </is>
      </c>
      <c r="K609" s="209" t="inlineStr">
        <is>
          <t>K.9999</t>
        </is>
      </c>
      <c r="L609" s="210" t="inlineStr">
        <is>
          <t xml:space="preserve">Kiểm tra công tác khoan tạo lỗ cọc khoan nhồi </t>
        </is>
      </c>
      <c r="M609" s="210" t="n"/>
      <c r="N609" s="210" t="n"/>
      <c r="O609" s="211" t="inlineStr">
        <is>
          <t>Cầu Km19+529.080</t>
        </is>
      </c>
      <c r="P609" s="212">
        <f>S607</f>
        <v/>
      </c>
      <c r="Q609" s="212">
        <f>P609</f>
        <v/>
      </c>
      <c r="R609" s="212">
        <f>Q609-1</f>
        <v/>
      </c>
      <c r="S609" s="212">
        <f>Q609</f>
        <v/>
      </c>
      <c r="T609" s="213">
        <f>U607</f>
        <v/>
      </c>
      <c r="U609" s="213">
        <f>T609+V609</f>
        <v/>
      </c>
      <c r="V609" s="213" t="n">
        <v>0.3888888888888889</v>
      </c>
      <c r="W609" s="214">
        <f>TEXT(T609,"HH""h""MM'")&amp;"÷"&amp;TEXT(U609,"HH""h""MM'")</f>
        <v/>
      </c>
      <c r="X609" s="214" t="n"/>
      <c r="Y609" s="214" t="n"/>
      <c r="Z609" s="214" t="inlineStr">
        <is>
          <t>05;</t>
        </is>
      </c>
      <c r="AA609" s="215" t="inlineStr">
        <is>
          <t>Kiểm tra công tác khoan tạo lỗ Cọc khoan nhồi Trụ T2 - Cọc C2</t>
        </is>
      </c>
      <c r="AB609" s="204" t="inlineStr">
        <is>
          <t>09-XL-307HG/PYCNT/CKN/T2/C2-1</t>
        </is>
      </c>
      <c r="AC609" s="204" t="inlineStr">
        <is>
          <t>09-XL-307HG/BBNT/CKN/T2/C2-5</t>
        </is>
      </c>
      <c r="AD609" s="204" t="n"/>
      <c r="AE609" s="204" t="n"/>
      <c r="AF609" s="204" t="n"/>
      <c r="AG609" s="204" t="n"/>
      <c r="AH609" s="204" t="n"/>
      <c r="AI609" s="216" t="n"/>
      <c r="AJ609" s="214" t="n"/>
      <c r="AK609" s="217" t="n"/>
      <c r="AL609" s="214" t="n"/>
      <c r="AM609" s="214" t="n"/>
      <c r="AN609" s="214" t="n"/>
      <c r="AO609" s="214" t="n"/>
      <c r="AP609" s="216" t="n"/>
      <c r="AQ609" s="216" t="n"/>
      <c r="AR609" s="214" t="inlineStr">
        <is>
          <t>Nhóm 1</t>
        </is>
      </c>
      <c r="AS609" s="214" t="n"/>
      <c r="AT609" s="214" t="inlineStr">
        <is>
          <t>HM16</t>
        </is>
      </c>
      <c r="AU609" s="214" t="inlineStr">
        <is>
          <t>NTCV</t>
        </is>
      </c>
      <c r="AV609" s="214" t="n">
        <v>199</v>
      </c>
      <c r="AW609" s="214" t="n">
        <v>4</v>
      </c>
      <c r="AX609" s="214" t="n"/>
    </row>
    <row r="610">
      <c r="A610" s="56" t="inlineStr">
        <is>
          <t>BBK638</t>
        </is>
      </c>
      <c r="B610" s="56" t="inlineStr">
        <is>
          <t>PL05</t>
        </is>
      </c>
      <c r="C610" s="56" t="inlineStr">
        <is>
          <t>BBK638.0895970</t>
        </is>
      </c>
      <c r="D610" s="57" t="n"/>
      <c r="E610" s="57" t="n"/>
      <c r="F610" s="57" t="n"/>
      <c r="G610" s="57" t="n"/>
      <c r="H610" s="57" t="n"/>
      <c r="J610" s="198" t="inlineStr">
        <is>
          <t>14</t>
        </is>
      </c>
      <c r="K610" s="198" t="inlineStr">
        <is>
          <t>PL05</t>
        </is>
      </c>
      <c r="L610" s="199" t="inlineStr">
        <is>
          <t>Kiểm tra công tác khoan tạo lỗ cọc khoan nhồi</t>
        </is>
      </c>
      <c r="M610" s="199" t="n"/>
      <c r="N610" s="199" t="n"/>
      <c r="O610" s="200" t="inlineStr">
        <is>
          <t>Cầu Km19+529.080</t>
        </is>
      </c>
      <c r="P610" s="201" t="n"/>
      <c r="Q610" s="201" t="n"/>
      <c r="R610" s="201" t="n"/>
      <c r="S610" s="201">
        <f>S609</f>
        <v/>
      </c>
      <c r="T610" s="208">
        <f>T609</f>
        <v/>
      </c>
      <c r="U610" s="208" t="n">
        <v>0.7638888888888888</v>
      </c>
      <c r="V610" s="208">
        <f>U610-T610</f>
        <v/>
      </c>
      <c r="W610" s="202" t="n"/>
      <c r="X610" s="202" t="n"/>
      <c r="Y610" s="202" t="n"/>
      <c r="Z610" s="198" t="inlineStr">
        <is>
          <t>05</t>
        </is>
      </c>
      <c r="AA610" s="203" t="n"/>
      <c r="AB610" s="204" t="inlineStr">
        <is>
          <t>09-XL-307HG/PYCNT/CKN/T2/C2</t>
        </is>
      </c>
      <c r="AC610" s="204">
        <f>AC609</f>
        <v/>
      </c>
      <c r="AD610" s="204" t="n"/>
      <c r="AE610" s="204" t="n"/>
      <c r="AF610" s="255" t="n">
        <v>167.86</v>
      </c>
      <c r="AG610" s="255" t="n"/>
      <c r="AH610" s="204" t="inlineStr">
        <is>
          <t>T2-C2</t>
        </is>
      </c>
      <c r="AI610" s="207" t="n"/>
      <c r="AJ610" s="202" t="n"/>
      <c r="AK610" s="206" t="n"/>
      <c r="AL610" s="202" t="n"/>
      <c r="AM610" s="202" t="n"/>
      <c r="AN610" s="202" t="n"/>
      <c r="AO610" s="202" t="n"/>
      <c r="AP610" s="207" t="n"/>
      <c r="AQ610" s="207" t="n"/>
      <c r="AR610" s="202" t="inlineStr">
        <is>
          <t>Nhóm 1</t>
        </is>
      </c>
      <c r="AS610" s="202" t="n"/>
      <c r="AT610" s="202" t="inlineStr">
        <is>
          <t>HM16</t>
        </is>
      </c>
      <c r="AU610" s="202" t="inlineStr">
        <is>
          <t>PL05</t>
        </is>
      </c>
      <c r="AV610" s="202" t="n">
        <v>14</v>
      </c>
      <c r="AW610" s="202" t="n">
        <v>1</v>
      </c>
      <c r="AX610" s="202" t="n"/>
    </row>
    <row r="611">
      <c r="A611" s="56" t="inlineStr">
        <is>
          <t>BBK680</t>
        </is>
      </c>
      <c r="B611" s="56" t="inlineStr">
        <is>
          <t>PYC</t>
        </is>
      </c>
      <c r="C611" s="56" t="inlineStr">
        <is>
          <t>BBK680.0222532</t>
        </is>
      </c>
      <c r="D611" s="57" t="n"/>
      <c r="E611" s="57" t="n"/>
      <c r="F611" s="57" t="n"/>
      <c r="G611" s="57" t="n"/>
      <c r="H611" s="57" t="n"/>
      <c r="J611" s="198" t="inlineStr">
        <is>
          <t>15</t>
        </is>
      </c>
      <c r="K611" s="198" t="inlineStr">
        <is>
          <t>PYC</t>
        </is>
      </c>
      <c r="L611" s="199" t="inlineStr">
        <is>
          <t>Phiếu yêu cầu nghiệm thu</t>
        </is>
      </c>
      <c r="M611" s="199" t="n"/>
      <c r="N611" s="199" t="n"/>
      <c r="O611" s="200" t="inlineStr">
        <is>
          <t>Cầu Km19+529.080</t>
        </is>
      </c>
      <c r="P611" s="201" t="n"/>
      <c r="Q611" s="201" t="n"/>
      <c r="R611" s="201">
        <f>R612</f>
        <v/>
      </c>
      <c r="S611" s="201" t="n"/>
      <c r="T611" s="201" t="n"/>
      <c r="U611" s="201" t="n"/>
      <c r="V611" s="201" t="n"/>
      <c r="W611" s="202" t="n"/>
      <c r="X611" s="202" t="n"/>
      <c r="Y611" s="202" t="n"/>
      <c r="Z611" s="202" t="n"/>
      <c r="AA611" s="203" t="n"/>
      <c r="AB611" s="204" t="inlineStr">
        <is>
          <t>09-XL-307HG/PYCNT/CKN/T2/C2</t>
        </is>
      </c>
      <c r="AC611" s="205" t="inlineStr"/>
      <c r="AD611" s="205" t="n"/>
      <c r="AE611" s="205" t="n"/>
      <c r="AF611" s="205" t="n"/>
      <c r="AG611" s="205" t="inlineStr">
        <is>
          <t>NTCV;BBKTĐK</t>
        </is>
      </c>
      <c r="AH611" s="204" t="inlineStr">
        <is>
          <t>&gt;=6;&lt;=10</t>
        </is>
      </c>
      <c r="AI611" s="202" t="n"/>
      <c r="AJ611" s="202" t="n"/>
      <c r="AK611" s="206" t="n"/>
      <c r="AL611" s="202" t="n"/>
      <c r="AM611" s="202" t="n"/>
      <c r="AN611" s="202" t="n"/>
      <c r="AO611" s="202" t="n"/>
      <c r="AP611" s="207" t="n"/>
      <c r="AQ611" s="207" t="n"/>
      <c r="AR611" s="202" t="inlineStr">
        <is>
          <t>Nhóm 1</t>
        </is>
      </c>
      <c r="AS611" s="202" t="n"/>
      <c r="AT611" s="202" t="inlineStr">
        <is>
          <t>HM16</t>
        </is>
      </c>
      <c r="AU611" s="202" t="inlineStr">
        <is>
          <t>PYC</t>
        </is>
      </c>
      <c r="AV611" s="202" t="n">
        <v>190</v>
      </c>
      <c r="AW611" s="202" t="n">
        <v>2</v>
      </c>
      <c r="AX611" s="202" t="n"/>
    </row>
    <row r="612" ht="42" customHeight="1" s="672">
      <c r="A612" s="56" t="inlineStr">
        <is>
          <t>NTCV</t>
        </is>
      </c>
      <c r="B612" s="56" t="inlineStr">
        <is>
          <t>K.9999</t>
        </is>
      </c>
      <c r="C612" s="56" t="inlineStr">
        <is>
          <t>NTCV.0356066</t>
        </is>
      </c>
      <c r="D612" s="57" t="n"/>
      <c r="E612" s="57" t="n"/>
      <c r="F612" s="57" t="n"/>
      <c r="G612" s="57" t="n"/>
      <c r="H612" s="57" t="n"/>
      <c r="J612" s="209" t="inlineStr">
        <is>
          <t>16</t>
        </is>
      </c>
      <c r="K612" s="209" t="inlineStr">
        <is>
          <t>K.9999</t>
        </is>
      </c>
      <c r="L612" s="210" t="inlineStr">
        <is>
          <t>Kiểm tra công tác vệ sinh lỗ khoan trước khi hạ lồng cốt thép cọc khoan nhồi</t>
        </is>
      </c>
      <c r="M612" s="210" t="n"/>
      <c r="N612" s="210" t="n"/>
      <c r="O612" s="211" t="inlineStr">
        <is>
          <t>Cầu Km19+529.080</t>
        </is>
      </c>
      <c r="P612" s="212">
        <f>S609+1</f>
        <v/>
      </c>
      <c r="Q612" s="212">
        <f>P612</f>
        <v/>
      </c>
      <c r="R612" s="212">
        <f>Q612-1</f>
        <v/>
      </c>
      <c r="S612" s="212">
        <f>Q612</f>
        <v/>
      </c>
      <c r="T612" s="213" t="n">
        <v>0.3333333333333333</v>
      </c>
      <c r="U612" s="213">
        <f>T612+V612</f>
        <v/>
      </c>
      <c r="V612" s="213" t="n">
        <v>0.01736111111111111</v>
      </c>
      <c r="W612" s="214">
        <f>TEXT(T612,"HH""h""MM'")&amp;"÷"&amp;TEXT(U612,"HH""h""MM'")</f>
        <v/>
      </c>
      <c r="X612" s="214" t="n"/>
      <c r="Y612" s="214" t="n"/>
      <c r="Z612" s="214" t="inlineStr">
        <is>
          <t>06;</t>
        </is>
      </c>
      <c r="AA612" s="215" t="inlineStr">
        <is>
          <t>Kiểm tra công tác vệ sinh lỗ khoan trước khi hạ lồng cốt thép Cọc khoan nhồi Trụ T2 - Cọc C2</t>
        </is>
      </c>
      <c r="AB612" s="204" t="inlineStr">
        <is>
          <t>09-XL-307HG/PYCNT/CKN/T2/C2-2</t>
        </is>
      </c>
      <c r="AC612" s="204" t="inlineStr">
        <is>
          <t>09-XL-307HG/BBNT/CKN/T2/C2-6</t>
        </is>
      </c>
      <c r="AD612" s="204" t="n"/>
      <c r="AE612" s="204" t="n"/>
      <c r="AF612" s="204" t="n"/>
      <c r="AG612" s="204" t="n"/>
      <c r="AH612" s="204" t="n"/>
      <c r="AI612" s="216" t="n"/>
      <c r="AJ612" s="214" t="n"/>
      <c r="AK612" s="217" t="n"/>
      <c r="AL612" s="214" t="n"/>
      <c r="AM612" s="214" t="n"/>
      <c r="AN612" s="214" t="n"/>
      <c r="AO612" s="214" t="n"/>
      <c r="AP612" s="216" t="n"/>
      <c r="AQ612" s="216" t="n"/>
      <c r="AR612" s="214" t="inlineStr">
        <is>
          <t>Nhóm 1</t>
        </is>
      </c>
      <c r="AS612" s="214" t="n"/>
      <c r="AT612" s="214" t="inlineStr">
        <is>
          <t>HM16</t>
        </is>
      </c>
      <c r="AU612" s="214" t="inlineStr">
        <is>
          <t>NTCV</t>
        </is>
      </c>
      <c r="AV612" s="214" t="n">
        <v>206</v>
      </c>
      <c r="AW612" s="214" t="n">
        <v>5</v>
      </c>
      <c r="AX612" s="214" t="n"/>
    </row>
    <row r="613" ht="28" customHeight="1" s="672">
      <c r="A613" s="56" t="inlineStr">
        <is>
          <t>BBK570</t>
        </is>
      </c>
      <c r="B613" s="56" t="inlineStr">
        <is>
          <t>PL06</t>
        </is>
      </c>
      <c r="C613" s="56" t="inlineStr">
        <is>
          <t>BBK570.0553302</t>
        </is>
      </c>
      <c r="D613" s="57" t="n"/>
      <c r="E613" s="57" t="n"/>
      <c r="F613" s="57" t="n"/>
      <c r="G613" s="57" t="n"/>
      <c r="H613" s="57" t="n"/>
      <c r="J613" s="198" t="inlineStr">
        <is>
          <t>17</t>
        </is>
      </c>
      <c r="K613" s="198" t="inlineStr">
        <is>
          <t>PL06</t>
        </is>
      </c>
      <c r="L613" s="199" t="inlineStr">
        <is>
          <t>Kiểm tra công tác vệ sinh lỗ khoan trước khi hạ lồng cốt thép cọc khoan nhồi</t>
        </is>
      </c>
      <c r="M613" s="199" t="n"/>
      <c r="N613" s="199" t="n"/>
      <c r="O613" s="200" t="inlineStr">
        <is>
          <t>Cầu Km19+529.080</t>
        </is>
      </c>
      <c r="P613" s="201" t="n"/>
      <c r="Q613" s="201" t="n"/>
      <c r="R613" s="201" t="n"/>
      <c r="S613" s="201">
        <f>S612</f>
        <v/>
      </c>
      <c r="T613" s="201" t="n"/>
      <c r="U613" s="201" t="n"/>
      <c r="V613" s="201" t="n"/>
      <c r="W613" s="202" t="n"/>
      <c r="X613" s="265" t="n">
        <v>135.86</v>
      </c>
      <c r="Y613" s="265">
        <f>X613-0.02</f>
        <v/>
      </c>
      <c r="Z613" s="198" t="inlineStr">
        <is>
          <t>06</t>
        </is>
      </c>
      <c r="AA613" s="203" t="n"/>
      <c r="AB613" s="204" t="inlineStr">
        <is>
          <t>09-XL-307HG/PYCNT/CKN/T2/C2-2</t>
        </is>
      </c>
      <c r="AC613" s="204">
        <f>AC612</f>
        <v/>
      </c>
      <c r="AD613" s="204" t="n"/>
      <c r="AE613" s="204" t="n"/>
      <c r="AF613" s="204" t="n"/>
      <c r="AG613" s="204" t="n"/>
      <c r="AH613" s="204" t="n"/>
      <c r="AI613" s="202" t="n"/>
      <c r="AJ613" s="202" t="n"/>
      <c r="AK613" s="206" t="n"/>
      <c r="AL613" s="202" t="n"/>
      <c r="AM613" s="202" t="n"/>
      <c r="AN613" s="202" t="n"/>
      <c r="AO613" s="202" t="n"/>
      <c r="AP613" s="207" t="n"/>
      <c r="AQ613" s="207" t="n"/>
      <c r="AR613" s="202" t="inlineStr">
        <is>
          <t>Nhóm 1</t>
        </is>
      </c>
      <c r="AS613" s="202" t="n"/>
      <c r="AT613" s="202" t="inlineStr">
        <is>
          <t>HM16</t>
        </is>
      </c>
      <c r="AU613" s="202" t="inlineStr">
        <is>
          <t>PL06</t>
        </is>
      </c>
      <c r="AV613" s="202" t="n">
        <v>14</v>
      </c>
      <c r="AW613" s="202" t="n">
        <v>1</v>
      </c>
      <c r="AX613" s="202" t="n"/>
    </row>
    <row r="614" ht="28" customHeight="1" s="672">
      <c r="A614" s="56" t="inlineStr">
        <is>
          <t>NTCV</t>
        </is>
      </c>
      <c r="B614" s="56" t="inlineStr">
        <is>
          <t>K.9999</t>
        </is>
      </c>
      <c r="C614" s="56" t="inlineStr">
        <is>
          <t>NTCV.0355577</t>
        </is>
      </c>
      <c r="D614" s="57" t="n"/>
      <c r="E614" s="57" t="n"/>
      <c r="F614" s="57" t="n"/>
      <c r="G614" s="57" t="n"/>
      <c r="H614" s="57" t="n"/>
      <c r="J614" s="209" t="inlineStr">
        <is>
          <t>18</t>
        </is>
      </c>
      <c r="K614" s="209" t="inlineStr">
        <is>
          <t>K.9999</t>
        </is>
      </c>
      <c r="L614" s="210" t="inlineStr">
        <is>
          <t xml:space="preserve">Nghiệm thu công tác hạ lồng thép </t>
        </is>
      </c>
      <c r="M614" s="210" t="n"/>
      <c r="N614" s="210" t="n"/>
      <c r="O614" s="211" t="inlineStr">
        <is>
          <t>Cầu Km19+529.080</t>
        </is>
      </c>
      <c r="P614" s="212">
        <f>S612</f>
        <v/>
      </c>
      <c r="Q614" s="212">
        <f>P614</f>
        <v/>
      </c>
      <c r="R614" s="212">
        <f>Q614-1</f>
        <v/>
      </c>
      <c r="S614" s="212">
        <f>Q614</f>
        <v/>
      </c>
      <c r="T614" s="213" t="n">
        <v>0.3541666666666667</v>
      </c>
      <c r="U614" s="213">
        <f>T614+V614</f>
        <v/>
      </c>
      <c r="V614" s="213" t="n">
        <v>0.03125</v>
      </c>
      <c r="W614" s="214">
        <f>TEXT(T614,"HH""h""MM'")&amp;"÷"&amp;TEXT(U614,"HH""h""MM'")</f>
        <v/>
      </c>
      <c r="X614" s="214" t="n"/>
      <c r="Y614" s="214" t="n"/>
      <c r="Z614" s="214" t="inlineStr">
        <is>
          <t>07;</t>
        </is>
      </c>
      <c r="AA614" s="215" t="inlineStr">
        <is>
          <t>Công tác hạ lồng thép Cọc khoan nhồi Trụ T2 - Cọc C2</t>
        </is>
      </c>
      <c r="AB614" s="204" t="inlineStr">
        <is>
          <t>09-XL-307HG/PYCNT/CKN/T2/C2-2</t>
        </is>
      </c>
      <c r="AC614" s="204" t="inlineStr">
        <is>
          <t>09-XL-307HG/BBNT/CKN/T2/C2-7</t>
        </is>
      </c>
      <c r="AD614" s="204" t="n"/>
      <c r="AE614" s="204" t="n"/>
      <c r="AF614" s="204" t="n"/>
      <c r="AG614" s="204" t="n"/>
      <c r="AH614" s="204" t="n"/>
      <c r="AI614" s="214" t="n"/>
      <c r="AJ614" s="214" t="n"/>
      <c r="AK614" s="217" t="n"/>
      <c r="AL614" s="214" t="n"/>
      <c r="AM614" s="214" t="n"/>
      <c r="AN614" s="214" t="n"/>
      <c r="AO614" s="214" t="n"/>
      <c r="AP614" s="216" t="n"/>
      <c r="AQ614" s="216" t="n"/>
      <c r="AR614" s="214" t="inlineStr">
        <is>
          <t>Nhóm 1</t>
        </is>
      </c>
      <c r="AS614" s="214" t="n"/>
      <c r="AT614" s="214" t="inlineStr">
        <is>
          <t>HM16</t>
        </is>
      </c>
      <c r="AU614" s="214" t="inlineStr">
        <is>
          <t>NTCV</t>
        </is>
      </c>
      <c r="AV614" s="214" t="n">
        <v>210</v>
      </c>
      <c r="AW614" s="214" t="n">
        <v>6</v>
      </c>
      <c r="AX614" s="214" t="n"/>
    </row>
    <row r="615">
      <c r="A615" s="56" t="inlineStr">
        <is>
          <t>BBK396</t>
        </is>
      </c>
      <c r="B615" s="56" t="inlineStr">
        <is>
          <t>PL07</t>
        </is>
      </c>
      <c r="C615" s="56" t="inlineStr">
        <is>
          <t>BBK396.0204305</t>
        </is>
      </c>
      <c r="D615" s="57" t="n"/>
      <c r="E615" s="57" t="n"/>
      <c r="F615" s="57" t="n"/>
      <c r="G615" s="57" t="n"/>
      <c r="H615" s="57" t="n"/>
      <c r="J615" s="198" t="inlineStr">
        <is>
          <t>19</t>
        </is>
      </c>
      <c r="K615" s="198" t="inlineStr">
        <is>
          <t>PL07</t>
        </is>
      </c>
      <c r="L615" s="199" t="inlineStr">
        <is>
          <t>Nghiệm thu công tác hạ lồng thép</t>
        </is>
      </c>
      <c r="M615" s="199" t="n"/>
      <c r="N615" s="199" t="n"/>
      <c r="O615" s="200" t="inlineStr">
        <is>
          <t>Cầu Km19+529.080</t>
        </is>
      </c>
      <c r="P615" s="201" t="n"/>
      <c r="Q615" s="201" t="n"/>
      <c r="R615" s="201" t="n"/>
      <c r="S615" s="201">
        <f>S614</f>
        <v/>
      </c>
      <c r="T615" s="201" t="n"/>
      <c r="U615" s="201" t="n"/>
      <c r="V615" s="201" t="n"/>
      <c r="W615" s="202" t="n"/>
      <c r="X615" s="202" t="n"/>
      <c r="Y615" s="202" t="n"/>
      <c r="Z615" s="198" t="inlineStr">
        <is>
          <t>07</t>
        </is>
      </c>
      <c r="AA615" s="203" t="n"/>
      <c r="AB615" s="204" t="inlineStr">
        <is>
          <t>09-XL-307HG/PYCNT/CKN/T2/C2-2</t>
        </is>
      </c>
      <c r="AC615" s="204">
        <f>AC614</f>
        <v/>
      </c>
      <c r="AD615" s="204" t="n"/>
      <c r="AE615" s="204" t="n"/>
      <c r="AF615" s="204" t="n"/>
      <c r="AG615" s="204" t="n"/>
      <c r="AH615" s="204" t="n"/>
      <c r="AI615" s="202" t="n"/>
      <c r="AJ615" s="202" t="n"/>
      <c r="AK615" s="206" t="n"/>
      <c r="AL615" s="202" t="n"/>
      <c r="AM615" s="202" t="n"/>
      <c r="AN615" s="202" t="n"/>
      <c r="AO615" s="202" t="n"/>
      <c r="AP615" s="207" t="n"/>
      <c r="AQ615" s="207" t="n"/>
      <c r="AR615" s="202" t="inlineStr">
        <is>
          <t>Nhóm 1</t>
        </is>
      </c>
      <c r="AS615" s="202" t="n"/>
      <c r="AT615" s="202" t="inlineStr">
        <is>
          <t>HM16</t>
        </is>
      </c>
      <c r="AU615" s="202" t="inlineStr">
        <is>
          <t>PL07</t>
        </is>
      </c>
      <c r="AV615" s="202" t="n">
        <v>14</v>
      </c>
      <c r="AW615" s="202" t="n">
        <v>1</v>
      </c>
      <c r="AX615" s="202" t="n"/>
    </row>
    <row r="616" ht="42" customHeight="1" s="672">
      <c r="A616" s="56" t="inlineStr">
        <is>
          <t>NTCV</t>
        </is>
      </c>
      <c r="B616" s="56" t="inlineStr">
        <is>
          <t>K.9999</t>
        </is>
      </c>
      <c r="C616" s="56" t="inlineStr">
        <is>
          <t>NTCV.0578958</t>
        </is>
      </c>
      <c r="D616" s="57" t="n"/>
      <c r="E616" s="57" t="n"/>
      <c r="F616" s="57" t="n"/>
      <c r="G616" s="57" t="n"/>
      <c r="H616" s="57" t="n"/>
      <c r="J616" s="209" t="inlineStr">
        <is>
          <t>20</t>
        </is>
      </c>
      <c r="K616" s="209" t="inlineStr">
        <is>
          <t>K.9999</t>
        </is>
      </c>
      <c r="L616" s="210" t="inlineStr">
        <is>
          <t xml:space="preserve">Kiểm tra công tác vệ sinh lỗ khoan cọc khoan nhồi trước khi đổ bê tông </t>
        </is>
      </c>
      <c r="M616" s="210" t="n"/>
      <c r="N616" s="210" t="n"/>
      <c r="O616" s="211" t="inlineStr">
        <is>
          <t>Cầu Km19+529.080</t>
        </is>
      </c>
      <c r="P616" s="212">
        <f>S614</f>
        <v/>
      </c>
      <c r="Q616" s="212">
        <f>P616</f>
        <v/>
      </c>
      <c r="R616" s="212">
        <f>Q616-1</f>
        <v/>
      </c>
      <c r="S616" s="212">
        <f>Q616</f>
        <v/>
      </c>
      <c r="T616" s="213">
        <f>U614</f>
        <v/>
      </c>
      <c r="U616" s="213">
        <f>T616+V616</f>
        <v/>
      </c>
      <c r="V616" s="213" t="n">
        <v>0.02083333333333333</v>
      </c>
      <c r="W616" s="214">
        <f>TEXT(T616,"HH""h""MM'")&amp;"÷"&amp;TEXT(U616,"HH""h""MM'")</f>
        <v/>
      </c>
      <c r="X616" s="214" t="n"/>
      <c r="Y616" s="214" t="n"/>
      <c r="Z616" s="214" t="inlineStr">
        <is>
          <t>08;</t>
        </is>
      </c>
      <c r="AA616" s="215" t="inlineStr">
        <is>
          <t>Kiểm tra công tác vệ sinh lỗ khoan cọc khoan nhồi trước khi đổ bê tông Cọc khoan nhồi Trụ T2 - Cọc C2</t>
        </is>
      </c>
      <c r="AB616" s="204" t="inlineStr">
        <is>
          <t>09-XL-307HG/PYCNT/CKN/T2/C2-2</t>
        </is>
      </c>
      <c r="AC616" s="204" t="inlineStr">
        <is>
          <t>09-XL-307HG/BBNT/CKN/T2/C2-8</t>
        </is>
      </c>
      <c r="AD616" s="204" t="n"/>
      <c r="AE616" s="204" t="n"/>
      <c r="AF616" s="204" t="n"/>
      <c r="AG616" s="204" t="n"/>
      <c r="AH616" s="204" t="n"/>
      <c r="AI616" s="214" t="n"/>
      <c r="AJ616" s="214" t="n"/>
      <c r="AK616" s="217" t="n"/>
      <c r="AL616" s="214" t="n"/>
      <c r="AM616" s="214" t="n"/>
      <c r="AN616" s="214" t="n"/>
      <c r="AO616" s="214" t="n"/>
      <c r="AP616" s="216" t="n"/>
      <c r="AQ616" s="216" t="n"/>
      <c r="AR616" s="214" t="inlineStr">
        <is>
          <t>Nhóm 1</t>
        </is>
      </c>
      <c r="AS616" s="214" t="n"/>
      <c r="AT616" s="214" t="inlineStr">
        <is>
          <t>HM16</t>
        </is>
      </c>
      <c r="AU616" s="214" t="inlineStr">
        <is>
          <t>NTCV</t>
        </is>
      </c>
      <c r="AV616" s="214" t="n">
        <v>212</v>
      </c>
      <c r="AW616" s="214" t="n">
        <v>7</v>
      </c>
      <c r="AX616" s="214" t="n"/>
    </row>
    <row r="617" ht="28" customHeight="1" s="672">
      <c r="A617" s="56" t="inlineStr">
        <is>
          <t>BBK521</t>
        </is>
      </c>
      <c r="B617" s="56" t="inlineStr">
        <is>
          <t>PL08</t>
        </is>
      </c>
      <c r="C617" s="56" t="inlineStr">
        <is>
          <t>BBK521.0629987</t>
        </is>
      </c>
      <c r="D617" s="57" t="n"/>
      <c r="E617" s="57" t="n"/>
      <c r="F617" s="57" t="n"/>
      <c r="G617" s="57" t="n"/>
      <c r="H617" s="57" t="n"/>
      <c r="J617" s="198" t="inlineStr">
        <is>
          <t>21</t>
        </is>
      </c>
      <c r="K617" s="198" t="inlineStr">
        <is>
          <t>PL08</t>
        </is>
      </c>
      <c r="L617" s="199" t="inlineStr">
        <is>
          <t>Kiểm tra công tác vệ sinh lỗ khoan cọc khoan nhồi trước khi đổ bê tông</t>
        </is>
      </c>
      <c r="M617" s="199" t="n"/>
      <c r="N617" s="199" t="n"/>
      <c r="O617" s="200" t="inlineStr">
        <is>
          <t>Cầu Km19+529.080</t>
        </is>
      </c>
      <c r="P617" s="201" t="n"/>
      <c r="Q617" s="201" t="n"/>
      <c r="R617" s="201" t="n"/>
      <c r="S617" s="201">
        <f>S616</f>
        <v/>
      </c>
      <c r="T617" s="201" t="n"/>
      <c r="U617" s="201" t="n"/>
      <c r="V617" s="201" t="n"/>
      <c r="W617" s="202" t="n"/>
      <c r="X617" s="202" t="n"/>
      <c r="Y617" s="202" t="n"/>
      <c r="Z617" s="198" t="inlineStr">
        <is>
          <t>08</t>
        </is>
      </c>
      <c r="AA617" s="203" t="n"/>
      <c r="AB617" s="204" t="inlineStr">
        <is>
          <t>09-XL-307HG/PYCNT/CKN/T2/C2-2</t>
        </is>
      </c>
      <c r="AC617" s="204">
        <f>AC616</f>
        <v/>
      </c>
      <c r="AD617" s="204" t="n"/>
      <c r="AE617" s="204" t="n"/>
      <c r="AF617" s="204" t="n"/>
      <c r="AG617" s="204" t="n"/>
      <c r="AH617" s="204" t="n"/>
      <c r="AI617" s="202" t="n"/>
      <c r="AJ617" s="202" t="n"/>
      <c r="AK617" s="206" t="n"/>
      <c r="AL617" s="202" t="n"/>
      <c r="AM617" s="202" t="n"/>
      <c r="AN617" s="202" t="n"/>
      <c r="AO617" s="202" t="n"/>
      <c r="AP617" s="207" t="n"/>
      <c r="AQ617" s="207" t="n"/>
      <c r="AR617" s="202" t="inlineStr">
        <is>
          <t>Nhóm 1</t>
        </is>
      </c>
      <c r="AS617" s="202" t="n"/>
      <c r="AT617" s="202" t="inlineStr">
        <is>
          <t>HM16</t>
        </is>
      </c>
      <c r="AU617" s="202" t="inlineStr">
        <is>
          <t>PL08</t>
        </is>
      </c>
      <c r="AV617" s="202" t="n">
        <v>14</v>
      </c>
      <c r="AW617" s="202" t="n">
        <v>1</v>
      </c>
      <c r="AX617" s="202" t="n"/>
    </row>
    <row r="618" ht="28" customHeight="1" s="672">
      <c r="A618" s="56" t="inlineStr">
        <is>
          <t>NTCV</t>
        </is>
      </c>
      <c r="B618" s="56" t="inlineStr">
        <is>
          <t>K.9999</t>
        </is>
      </c>
      <c r="C618" s="56" t="inlineStr">
        <is>
          <t>NTCV.0139437</t>
        </is>
      </c>
      <c r="D618" s="57" t="n"/>
      <c r="E618" s="57" t="n"/>
      <c r="F618" s="57" t="n"/>
      <c r="G618" s="57" t="n"/>
      <c r="H618" s="57" t="n"/>
      <c r="J618" s="209" t="inlineStr">
        <is>
          <t>22</t>
        </is>
      </c>
      <c r="K618" s="209" t="inlineStr">
        <is>
          <t>K.9999</t>
        </is>
      </c>
      <c r="L618" s="210" t="inlineStr">
        <is>
          <t xml:space="preserve">Kiểm tra công tác chuẩn bị đổ bê tông cọc khoan nhồi </t>
        </is>
      </c>
      <c r="M618" s="210" t="n"/>
      <c r="N618" s="210" t="n"/>
      <c r="O618" s="211" t="inlineStr">
        <is>
          <t>Cầu Km19+529.080</t>
        </is>
      </c>
      <c r="P618" s="212">
        <f>S616</f>
        <v/>
      </c>
      <c r="Q618" s="212">
        <f>P618</f>
        <v/>
      </c>
      <c r="R618" s="212">
        <f>Q618-1</f>
        <v/>
      </c>
      <c r="S618" s="212">
        <f>Q618</f>
        <v/>
      </c>
      <c r="T618" s="213">
        <f>U616</f>
        <v/>
      </c>
      <c r="U618" s="213">
        <f>T618+V618</f>
        <v/>
      </c>
      <c r="V618" s="213" t="n">
        <v>0.02083333333333333</v>
      </c>
      <c r="W618" s="214">
        <f>TEXT(T618,"HH""h""MM'")&amp;"÷"&amp;TEXT(U618,"HH""h""MM'")</f>
        <v/>
      </c>
      <c r="X618" s="214" t="n"/>
      <c r="Y618" s="214" t="n"/>
      <c r="Z618" s="214" t="inlineStr">
        <is>
          <t>09;</t>
        </is>
      </c>
      <c r="AA618" s="215" t="inlineStr">
        <is>
          <t>Kiểm tra công tác chuẩn bị đổ bê tông Cọc khoan nhồi Trụ T2 - Cọc C2</t>
        </is>
      </c>
      <c r="AB618" s="204" t="inlineStr">
        <is>
          <t>09-XL-307HG/PYCNT/CKN/T2/C2-2</t>
        </is>
      </c>
      <c r="AC618" s="204" t="inlineStr">
        <is>
          <t>09-XL-307HG/BBNT/CKN/T2/C2-9</t>
        </is>
      </c>
      <c r="AD618" s="204" t="n"/>
      <c r="AE618" s="204" t="n"/>
      <c r="AF618" s="204" t="n"/>
      <c r="AG618" s="204" t="n"/>
      <c r="AH618" s="204" t="n"/>
      <c r="AI618" s="214" t="n"/>
      <c r="AJ618" s="214" t="n"/>
      <c r="AK618" s="217" t="n"/>
      <c r="AL618" s="214" t="n"/>
      <c r="AM618" s="214" t="n"/>
      <c r="AN618" s="214" t="n"/>
      <c r="AO618" s="214" t="n"/>
      <c r="AP618" s="216" t="n"/>
      <c r="AQ618" s="216" t="n"/>
      <c r="AR618" s="214" t="inlineStr">
        <is>
          <t>Nhóm 1</t>
        </is>
      </c>
      <c r="AS618" s="214" t="n"/>
      <c r="AT618" s="214" t="inlineStr">
        <is>
          <t>HM16</t>
        </is>
      </c>
      <c r="AU618" s="214" t="inlineStr">
        <is>
          <t>NTCV</t>
        </is>
      </c>
      <c r="AV618" s="214" t="n">
        <v>213</v>
      </c>
      <c r="AW618" s="214" t="n">
        <v>8</v>
      </c>
      <c r="AX618" s="214" t="n"/>
    </row>
    <row r="619">
      <c r="A619" s="56" t="inlineStr">
        <is>
          <t>BBK209</t>
        </is>
      </c>
      <c r="B619" s="56" t="inlineStr">
        <is>
          <t>PL09</t>
        </is>
      </c>
      <c r="C619" s="56" t="inlineStr">
        <is>
          <t>BBK209.0060976</t>
        </is>
      </c>
      <c r="D619" s="57" t="n"/>
      <c r="E619" s="57" t="n"/>
      <c r="F619" s="57" t="n"/>
      <c r="G619" s="57" t="n"/>
      <c r="H619" s="57" t="n"/>
      <c r="J619" s="198" t="inlineStr">
        <is>
          <t>23</t>
        </is>
      </c>
      <c r="K619" s="198" t="inlineStr">
        <is>
          <t>PL09</t>
        </is>
      </c>
      <c r="L619" s="199" t="inlineStr">
        <is>
          <t>Kiểm tra công tác chuẩn bị đổ bê tông cọc khoan nhồi</t>
        </is>
      </c>
      <c r="M619" s="199" t="n"/>
      <c r="N619" s="199" t="n"/>
      <c r="O619" s="200" t="inlineStr">
        <is>
          <t>Cầu Km19+529.080</t>
        </is>
      </c>
      <c r="P619" s="201" t="n"/>
      <c r="Q619" s="201" t="n"/>
      <c r="R619" s="201" t="n"/>
      <c r="S619" s="201">
        <f>S618</f>
        <v/>
      </c>
      <c r="T619" s="201" t="n"/>
      <c r="U619" s="201" t="n"/>
      <c r="V619" s="201" t="n"/>
      <c r="W619" s="202" t="n"/>
      <c r="X619" s="202" t="n"/>
      <c r="Y619" s="202" t="n"/>
      <c r="Z619" s="198" t="inlineStr">
        <is>
          <t>09</t>
        </is>
      </c>
      <c r="AA619" s="203" t="n"/>
      <c r="AB619" s="204" t="inlineStr">
        <is>
          <t>09-XL-307HG/PYCNT/CKN/T2/C2-2</t>
        </is>
      </c>
      <c r="AC619" s="204">
        <f>AC618</f>
        <v/>
      </c>
      <c r="AD619" s="204" t="n"/>
      <c r="AE619" s="204" t="n"/>
      <c r="AF619" s="204" t="n"/>
      <c r="AG619" s="204" t="n"/>
      <c r="AH619" s="204" t="inlineStr">
        <is>
          <t>C30(1)</t>
        </is>
      </c>
      <c r="AI619" s="202" t="n"/>
      <c r="AJ619" s="202" t="n"/>
      <c r="AK619" s="206" t="n"/>
      <c r="AL619" s="202" t="n"/>
      <c r="AM619" s="202" t="n"/>
      <c r="AN619" s="202" t="n"/>
      <c r="AO619" s="202" t="n"/>
      <c r="AP619" s="207" t="n"/>
      <c r="AQ619" s="207" t="n"/>
      <c r="AR619" s="202" t="inlineStr">
        <is>
          <t>Nhóm 1</t>
        </is>
      </c>
      <c r="AS619" s="202" t="n"/>
      <c r="AT619" s="202" t="inlineStr">
        <is>
          <t>HM16</t>
        </is>
      </c>
      <c r="AU619" s="202" t="inlineStr">
        <is>
          <t>PL09</t>
        </is>
      </c>
      <c r="AV619" s="202" t="n">
        <v>14</v>
      </c>
      <c r="AW619" s="202" t="n">
        <v>1</v>
      </c>
      <c r="AX619" s="202" t="n"/>
    </row>
    <row r="620" ht="28" customHeight="1" s="672">
      <c r="A620" s="56" t="inlineStr">
        <is>
          <t>NTCV</t>
        </is>
      </c>
      <c r="B620" s="56" t="inlineStr">
        <is>
          <t>K.9999</t>
        </is>
      </c>
      <c r="C620" s="56" t="inlineStr">
        <is>
          <t>NTCV.0634190</t>
        </is>
      </c>
      <c r="D620" s="57" t="n"/>
      <c r="E620" s="57" t="n"/>
      <c r="F620" s="57" t="n"/>
      <c r="G620" s="57" t="n"/>
      <c r="H620" s="57" t="n"/>
      <c r="J620" s="209" t="inlineStr">
        <is>
          <t>24</t>
        </is>
      </c>
      <c r="K620" s="209" t="inlineStr">
        <is>
          <t>K.9999</t>
        </is>
      </c>
      <c r="L620" s="210" t="inlineStr">
        <is>
          <t>Theo dõi quá trình đổ bê tông cọc khoan nhồi</t>
        </is>
      </c>
      <c r="M620" s="210" t="n"/>
      <c r="N620" s="210" t="n"/>
      <c r="O620" s="211" t="inlineStr">
        <is>
          <t>Cầu Km19+529.080</t>
        </is>
      </c>
      <c r="P620" s="212">
        <f>S618</f>
        <v/>
      </c>
      <c r="Q620" s="212">
        <f>P620</f>
        <v/>
      </c>
      <c r="R620" s="212">
        <f>Q620-1</f>
        <v/>
      </c>
      <c r="S620" s="212">
        <f>Q620</f>
        <v/>
      </c>
      <c r="T620" s="213">
        <f>U618</f>
        <v/>
      </c>
      <c r="U620" s="213">
        <f>T620+V620</f>
        <v/>
      </c>
      <c r="V620" s="213" t="n">
        <v>0.1458333333333333</v>
      </c>
      <c r="W620" s="214">
        <f>TEXT(T620,"HH""h""MM'")&amp;"÷"&amp;TEXT(U620,"HH""h""MM'")</f>
        <v/>
      </c>
      <c r="X620" s="214" t="n"/>
      <c r="Y620" s="214" t="n"/>
      <c r="Z620" s="214" t="inlineStr">
        <is>
          <t>10;</t>
        </is>
      </c>
      <c r="AA620" s="215" t="inlineStr">
        <is>
          <t>Theo dõi quá trình đổ bê tông  Cọc khoan nhồi Trụ T2 - Cọc C2</t>
        </is>
      </c>
      <c r="AB620" s="204" t="inlineStr">
        <is>
          <t>09-XL-307HG/PYCNT/CKN/T2/C2-2</t>
        </is>
      </c>
      <c r="AC620" s="204" t="inlineStr">
        <is>
          <t>09-XL-307HG/BBNT/CKN/T2/C2-10</t>
        </is>
      </c>
      <c r="AD620" s="204" t="n"/>
      <c r="AE620" s="204" t="n"/>
      <c r="AF620" s="204" t="n"/>
      <c r="AG620" s="204" t="n"/>
      <c r="AH620" s="204" t="n"/>
      <c r="AI620" s="214" t="n"/>
      <c r="AJ620" s="214" t="n"/>
      <c r="AK620" s="217" t="n"/>
      <c r="AL620" s="214" t="n"/>
      <c r="AM620" s="214" t="n"/>
      <c r="AN620" s="214" t="n"/>
      <c r="AO620" s="214" t="n"/>
      <c r="AP620" s="216" t="n"/>
      <c r="AQ620" s="216" t="n"/>
      <c r="AR620" s="214" t="inlineStr">
        <is>
          <t>Nhóm 1</t>
        </is>
      </c>
      <c r="AS620" s="214" t="n"/>
      <c r="AT620" s="214" t="inlineStr">
        <is>
          <t>HM16</t>
        </is>
      </c>
      <c r="AU620" s="214" t="inlineStr">
        <is>
          <t>NTCV</t>
        </is>
      </c>
      <c r="AV620" s="214" t="n">
        <v>214</v>
      </c>
      <c r="AW620" s="214" t="n">
        <v>9</v>
      </c>
      <c r="AX620" s="214" t="n"/>
    </row>
    <row r="621" ht="98" customHeight="1" s="672">
      <c r="A621" s="56" t="inlineStr">
        <is>
          <t>LMHT</t>
        </is>
      </c>
      <c r="B621" s="56" t="inlineStr">
        <is>
          <t>LMHT</t>
        </is>
      </c>
      <c r="C621" s="56" t="inlineStr">
        <is>
          <t>LMHT.0838558</t>
        </is>
      </c>
      <c r="D621" s="57" t="inlineStr">
        <is>
          <t>TC.000041|TC.000182|TC.000169.A</t>
        </is>
      </c>
      <c r="E621" s="57" t="n"/>
      <c r="F621" s="57" t="inlineStr">
        <is>
          <t>CP.0001^Cọc khoan nhồi Trụ T2 - Cọc C2^Hình trụ 15x30 (cm)^12^30 Mpa, 18±2^^^TC.000041|TC.000182|TC.000169.A</t>
        </is>
      </c>
      <c r="G621" s="57" t="n"/>
      <c r="H621" s="57" t="inlineStr">
        <is>
          <t>^^A|C|J|O|S|X|Z^Stt|Hạng mục|Cấp bê tông|Kích thước mẫu|Số lượng mẫu|Ghi chú^|||||</t>
        </is>
      </c>
      <c r="J621" s="256" t="inlineStr">
        <is>
          <t>25</t>
        </is>
      </c>
      <c r="K621" s="256" t="inlineStr">
        <is>
          <t>LMHT</t>
        </is>
      </c>
      <c r="L621" s="257" t="inlineStr">
        <is>
          <t>Lấy mẫu bê tông Cọc khoan nhồi, 30(1) Mpa Trụ T2 - Cọc C2</t>
        </is>
      </c>
      <c r="M621" s="257" t="n"/>
      <c r="N621" s="257" t="n"/>
      <c r="O621" s="258" t="inlineStr">
        <is>
          <t>Cầu Km19+529.080</t>
        </is>
      </c>
      <c r="P621" s="259" t="n"/>
      <c r="Q621" s="259" t="n"/>
      <c r="R621" s="259" t="n"/>
      <c r="S621" s="259">
        <f>S620</f>
        <v/>
      </c>
      <c r="T621" s="260">
        <f>T620</f>
        <v/>
      </c>
      <c r="U621" s="260">
        <f>U620</f>
        <v/>
      </c>
      <c r="V621" s="293" t="n">
        <v>0.1458333333333333</v>
      </c>
      <c r="W621" s="261">
        <f>TEXT(T621,"HH""h""MM'")&amp;"÷"&amp;TEXT(U621,"HH""h""MM'")</f>
        <v/>
      </c>
      <c r="X621" s="262" t="n"/>
      <c r="Y621" s="262" t="n"/>
      <c r="Z621" s="262" t="n"/>
      <c r="AA621" s="262" t="n"/>
      <c r="AB621" s="263" t="inlineStr">
        <is>
          <t>09-XL-307HG/PYCNT/CKN/T2/C2-2</t>
        </is>
      </c>
      <c r="AC621" s="263" t="inlineStr"/>
      <c r="AD621" s="264" t="n"/>
      <c r="AE621" s="264" t="n"/>
      <c r="AF621" s="264" t="n"/>
      <c r="AG621" s="264" t="n"/>
      <c r="AH621" s="264" t="n"/>
      <c r="AI621" s="257" t="n"/>
      <c r="AJ621" s="262" t="n"/>
      <c r="AK621" s="258" t="n"/>
      <c r="AL621" s="262" t="n"/>
      <c r="AM621" s="262" t="n"/>
      <c r="AN621" s="262" t="n"/>
      <c r="AO621" s="262" t="n"/>
      <c r="AP621" s="263" t="inlineStr">
        <is>
          <t>Bảng lấy mẫu CKN</t>
        </is>
      </c>
      <c r="AQ621" s="263" t="n"/>
      <c r="AR621" s="262" t="inlineStr">
        <is>
          <t>Nhóm 1</t>
        </is>
      </c>
      <c r="AS621" s="262" t="n"/>
      <c r="AT621" s="262" t="inlineStr">
        <is>
          <t>HM16</t>
        </is>
      </c>
      <c r="AU621" s="262" t="inlineStr">
        <is>
          <t>LMHT</t>
        </is>
      </c>
      <c r="AV621" s="262" t="n">
        <v>17</v>
      </c>
      <c r="AW621" s="262" t="n">
        <v>1</v>
      </c>
      <c r="AX621" s="262" t="inlineStr">
        <is>
          <t>Cọc T2-C2: xi măng Lần 6 [BT dòng 17].</t>
        </is>
      </c>
    </row>
    <row r="622">
      <c r="A622" s="56" t="inlineStr">
        <is>
          <t>BBK994</t>
        </is>
      </c>
      <c r="B622" s="56" t="inlineStr">
        <is>
          <t>PL10</t>
        </is>
      </c>
      <c r="C622" s="56" t="inlineStr">
        <is>
          <t>BBK994.0640923</t>
        </is>
      </c>
      <c r="D622" s="57" t="n"/>
      <c r="E622" s="57" t="n"/>
      <c r="F622" s="57" t="n"/>
      <c r="G622" s="57" t="n"/>
      <c r="H622" s="57" t="n"/>
      <c r="J622" s="198" t="inlineStr">
        <is>
          <t>26</t>
        </is>
      </c>
      <c r="K622" s="198" t="inlineStr">
        <is>
          <t>PL10</t>
        </is>
      </c>
      <c r="L622" s="199" t="inlineStr">
        <is>
          <t>Theo dõi quá trình đổ bê tông cọc khoan nhồi</t>
        </is>
      </c>
      <c r="M622" s="199" t="n"/>
      <c r="N622" s="199" t="n"/>
      <c r="O622" s="200" t="inlineStr">
        <is>
          <t>Cầu Km19+529.080</t>
        </is>
      </c>
      <c r="P622" s="201" t="n"/>
      <c r="Q622" s="201" t="n"/>
      <c r="R622" s="201" t="n"/>
      <c r="S622" s="201">
        <f>S620</f>
        <v/>
      </c>
      <c r="T622" s="201" t="n"/>
      <c r="U622" s="201" t="n"/>
      <c r="V622" s="201" t="n"/>
      <c r="W622" s="202" t="n"/>
      <c r="X622" s="202" t="n"/>
      <c r="Y622" s="202" t="n"/>
      <c r="Z622" s="198" t="inlineStr">
        <is>
          <t>10</t>
        </is>
      </c>
      <c r="AA622" s="203" t="n"/>
      <c r="AB622" s="204" t="inlineStr">
        <is>
          <t>09-XL-307HG/PYCNT/CKN/T2/C2-2</t>
        </is>
      </c>
      <c r="AC622" s="204">
        <f>AC620</f>
        <v/>
      </c>
      <c r="AD622" s="204" t="n"/>
      <c r="AE622" s="204" t="n"/>
      <c r="AF622" s="204" t="n"/>
      <c r="AG622" s="204" t="n"/>
      <c r="AH622" s="204" t="inlineStr">
        <is>
          <t>T2-C2</t>
        </is>
      </c>
      <c r="AI622" s="202" t="n"/>
      <c r="AJ622" s="202" t="n"/>
      <c r="AK622" s="206" t="n"/>
      <c r="AL622" s="202" t="n"/>
      <c r="AM622" s="202" t="n"/>
      <c r="AN622" s="202" t="n"/>
      <c r="AO622" s="202" t="n"/>
      <c r="AP622" s="207" t="n"/>
      <c r="AQ622" s="207" t="n"/>
      <c r="AR622" s="202" t="inlineStr">
        <is>
          <t>Nhóm 1</t>
        </is>
      </c>
      <c r="AS622" s="202" t="n"/>
      <c r="AT622" s="202" t="inlineStr">
        <is>
          <t>HM16</t>
        </is>
      </c>
      <c r="AU622" s="202" t="inlineStr">
        <is>
          <t>PL10</t>
        </is>
      </c>
      <c r="AV622" s="202" t="n">
        <v>14</v>
      </c>
      <c r="AW622" s="202" t="n">
        <v>1</v>
      </c>
      <c r="AX622" s="202" t="n"/>
    </row>
    <row r="623" ht="28" customHeight="1" s="672">
      <c r="A623" s="56" t="inlineStr">
        <is>
          <t>NTCV</t>
        </is>
      </c>
      <c r="B623" s="56" t="inlineStr">
        <is>
          <t>K.9999</t>
        </is>
      </c>
      <c r="C623" s="56" t="inlineStr">
        <is>
          <t>NTCV.0424929</t>
        </is>
      </c>
      <c r="D623" s="57" t="n"/>
      <c r="E623" s="57" t="n"/>
      <c r="F623" s="57" t="n"/>
      <c r="G623" s="57" t="n"/>
      <c r="H623" s="57" t="n"/>
      <c r="J623" s="209" t="inlineStr">
        <is>
          <t>27</t>
        </is>
      </c>
      <c r="K623" s="209" t="inlineStr">
        <is>
          <t>K.9999</t>
        </is>
      </c>
      <c r="L623" s="210" t="inlineStr">
        <is>
          <t xml:space="preserve"> Rút ống vách thi công cọc khoan nhồi</t>
        </is>
      </c>
      <c r="M623" s="210" t="n"/>
      <c r="N623" s="210" t="n"/>
      <c r="O623" s="211" t="inlineStr">
        <is>
          <t>Cầu Km19+529.080</t>
        </is>
      </c>
      <c r="P623" s="212">
        <f>S620</f>
        <v/>
      </c>
      <c r="Q623" s="212">
        <f>P623</f>
        <v/>
      </c>
      <c r="R623" s="212">
        <f>Q623-1</f>
        <v/>
      </c>
      <c r="S623" s="212">
        <f>Q623</f>
        <v/>
      </c>
      <c r="T623" s="213">
        <f>U620</f>
        <v/>
      </c>
      <c r="U623" s="213">
        <f>T623+V623</f>
        <v/>
      </c>
      <c r="V623" s="213" t="n">
        <v>0.01041666666666667</v>
      </c>
      <c r="W623" s="214">
        <f>TEXT(T623,"HH""h""MM'")&amp;"÷"&amp;TEXT(U623,"HH""h""MM'")</f>
        <v/>
      </c>
      <c r="X623" s="214" t="n"/>
      <c r="Y623" s="214" t="n"/>
      <c r="Z623" s="214" t="inlineStr">
        <is>
          <t>11;</t>
        </is>
      </c>
      <c r="AA623" s="215" t="inlineStr">
        <is>
          <t>Rút ống vách  Cọc khoan nhồi Trụ T2 - Cọc C2</t>
        </is>
      </c>
      <c r="AB623" s="204" t="inlineStr">
        <is>
          <t>09-XL-307HG/PYCNT/CKN/T2/C2-2</t>
        </is>
      </c>
      <c r="AC623" s="204" t="inlineStr">
        <is>
          <t>09-XL-307HG/BBNT/CKN/T2/C2-11</t>
        </is>
      </c>
      <c r="AD623" s="204" t="n"/>
      <c r="AE623" s="204" t="n"/>
      <c r="AF623" s="204" t="n"/>
      <c r="AG623" s="204" t="n"/>
      <c r="AH623" s="204" t="n"/>
      <c r="AI623" s="214" t="n"/>
      <c r="AJ623" s="214" t="n"/>
      <c r="AK623" s="217" t="n"/>
      <c r="AL623" s="214" t="n"/>
      <c r="AM623" s="214" t="n"/>
      <c r="AN623" s="214" t="n"/>
      <c r="AO623" s="214" t="n"/>
      <c r="AP623" s="216" t="n"/>
      <c r="AQ623" s="216" t="n"/>
      <c r="AR623" s="214" t="inlineStr">
        <is>
          <t>Nhóm 1</t>
        </is>
      </c>
      <c r="AS623" s="214" t="n"/>
      <c r="AT623" s="214" t="inlineStr">
        <is>
          <t>HM16</t>
        </is>
      </c>
      <c r="AU623" s="214" t="inlineStr">
        <is>
          <t>NTCV</t>
        </is>
      </c>
      <c r="AV623" s="214" t="n">
        <v>215</v>
      </c>
      <c r="AW623" s="214" t="n">
        <v>10</v>
      </c>
      <c r="AX623" s="214" t="n"/>
    </row>
    <row r="624">
      <c r="A624" s="56" t="inlineStr">
        <is>
          <t>BBK544</t>
        </is>
      </c>
      <c r="B624" s="56" t="inlineStr">
        <is>
          <t>PL11</t>
        </is>
      </c>
      <c r="C624" s="56" t="inlineStr">
        <is>
          <t>BBK544.0187107</t>
        </is>
      </c>
      <c r="D624" s="57" t="n"/>
      <c r="E624" s="57" t="n"/>
      <c r="F624" s="57" t="n"/>
      <c r="G624" s="57" t="n"/>
      <c r="H624" s="57" t="n"/>
      <c r="J624" s="198" t="inlineStr">
        <is>
          <t>28</t>
        </is>
      </c>
      <c r="K624" s="198" t="inlineStr">
        <is>
          <t>PL11</t>
        </is>
      </c>
      <c r="L624" s="199" t="inlineStr">
        <is>
          <t>Rút ống vách thi công cọc khoan nhồi</t>
        </is>
      </c>
      <c r="M624" s="199" t="n"/>
      <c r="N624" s="199" t="n"/>
      <c r="O624" s="200" t="inlineStr">
        <is>
          <t>Cầu Km19+529.080</t>
        </is>
      </c>
      <c r="P624" s="201" t="n"/>
      <c r="Q624" s="201" t="n"/>
      <c r="R624" s="201" t="n"/>
      <c r="S624" s="201">
        <f>S623</f>
        <v/>
      </c>
      <c r="T624" s="201" t="n"/>
      <c r="U624" s="201" t="n"/>
      <c r="V624" s="201" t="n"/>
      <c r="W624" s="202" t="n"/>
      <c r="X624" s="202" t="n"/>
      <c r="Y624" s="202" t="n"/>
      <c r="Z624" s="198" t="inlineStr">
        <is>
          <t>11</t>
        </is>
      </c>
      <c r="AA624" s="203" t="n"/>
      <c r="AB624" s="204" t="inlineStr">
        <is>
          <t>09-XL-307HG/PYCNT/CKN/T2/C2-2</t>
        </is>
      </c>
      <c r="AC624" s="204">
        <f>AC623</f>
        <v/>
      </c>
      <c r="AD624" s="204" t="n"/>
      <c r="AE624" s="204" t="n"/>
      <c r="AF624" s="204" t="n"/>
      <c r="AG624" s="204" t="n"/>
      <c r="AH624" s="204" t="inlineStr">
        <is>
          <t>&gt;=386;&lt;=417</t>
        </is>
      </c>
      <c r="AI624" s="202" t="n"/>
      <c r="AJ624" s="202" t="n"/>
      <c r="AK624" s="206" t="n"/>
      <c r="AL624" s="202" t="n"/>
      <c r="AM624" s="202" t="n"/>
      <c r="AN624" s="202" t="n"/>
      <c r="AO624" s="202" t="n"/>
      <c r="AP624" s="207" t="n"/>
      <c r="AQ624" s="207" t="n"/>
      <c r="AR624" s="202" t="inlineStr">
        <is>
          <t>Nhóm 1</t>
        </is>
      </c>
      <c r="AS624" s="202" t="n"/>
      <c r="AT624" s="202" t="inlineStr">
        <is>
          <t>HM16</t>
        </is>
      </c>
      <c r="AU624" s="202" t="inlineStr">
        <is>
          <t>PL11</t>
        </is>
      </c>
      <c r="AV624" s="202" t="n">
        <v>14</v>
      </c>
      <c r="AW624" s="202" t="n">
        <v>1</v>
      </c>
      <c r="AX624" s="202" t="n"/>
    </row>
    <row r="625">
      <c r="A625" s="56" t="inlineStr">
        <is>
          <t>BBK680</t>
        </is>
      </c>
      <c r="B625" s="56" t="inlineStr">
        <is>
          <t>PYC</t>
        </is>
      </c>
      <c r="C625" s="56" t="inlineStr">
        <is>
          <t>BBK680.0495481</t>
        </is>
      </c>
      <c r="D625" s="57" t="n"/>
      <c r="E625" s="57" t="n"/>
      <c r="F625" s="57" t="n"/>
      <c r="G625" s="57" t="n"/>
      <c r="H625" s="57" t="n"/>
      <c r="J625" s="198" t="inlineStr">
        <is>
          <t>29</t>
        </is>
      </c>
      <c r="K625" s="198" t="inlineStr">
        <is>
          <t>PYC</t>
        </is>
      </c>
      <c r="L625" s="199" t="inlineStr">
        <is>
          <t>Phiếu yêu cầu nghiệm thu</t>
        </is>
      </c>
      <c r="M625" s="199" t="n"/>
      <c r="N625" s="199" t="n"/>
      <c r="O625" s="200" t="inlineStr">
        <is>
          <t>Cầu Km19+529.080</t>
        </is>
      </c>
      <c r="P625" s="201" t="n"/>
      <c r="Q625" s="201" t="n"/>
      <c r="R625" s="201">
        <f>R626</f>
        <v/>
      </c>
      <c r="S625" s="201" t="n"/>
      <c r="T625" s="201" t="n"/>
      <c r="U625" s="201" t="n"/>
      <c r="V625" s="201" t="n"/>
      <c r="W625" s="202" t="n"/>
      <c r="X625" s="202" t="n"/>
      <c r="Y625" s="202" t="n"/>
      <c r="Z625" s="202" t="n"/>
      <c r="AA625" s="203" t="n"/>
      <c r="AB625" s="204" t="inlineStr">
        <is>
          <t>09-XL-307HG/PYCNT/CKN/T2/C2</t>
        </is>
      </c>
      <c r="AC625" s="205" t="inlineStr"/>
      <c r="AD625" s="205" t="n"/>
      <c r="AE625" s="205" t="n"/>
      <c r="AF625" s="205" t="n"/>
      <c r="AG625" s="205" t="inlineStr">
        <is>
          <t>NTCV;BBKTĐK</t>
        </is>
      </c>
      <c r="AH625" s="204" t="n">
        <v>11</v>
      </c>
      <c r="AI625" s="202" t="n"/>
      <c r="AJ625" s="202" t="n"/>
      <c r="AK625" s="206" t="n"/>
      <c r="AL625" s="202" t="n"/>
      <c r="AM625" s="202" t="n"/>
      <c r="AN625" s="202" t="n"/>
      <c r="AO625" s="202" t="n"/>
      <c r="AP625" s="207" t="n"/>
      <c r="AQ625" s="207" t="n"/>
      <c r="AR625" s="202" t="inlineStr">
        <is>
          <t>Nhóm 1</t>
        </is>
      </c>
      <c r="AS625" s="202" t="n"/>
      <c r="AT625" s="202" t="inlineStr">
        <is>
          <t>HM16</t>
        </is>
      </c>
      <c r="AU625" s="202" t="inlineStr">
        <is>
          <t>PYC</t>
        </is>
      </c>
      <c r="AV625" s="202" t="n">
        <v>191</v>
      </c>
      <c r="AW625" s="202" t="n">
        <v>3</v>
      </c>
      <c r="AX625" s="202" t="n"/>
    </row>
    <row r="626" ht="28" customHeight="1" s="672">
      <c r="A626" s="56" t="inlineStr">
        <is>
          <t>NTCV</t>
        </is>
      </c>
      <c r="B626" s="56" t="inlineStr">
        <is>
          <t>K.9999</t>
        </is>
      </c>
      <c r="C626" s="56" t="inlineStr">
        <is>
          <t>NTCV.0973131</t>
        </is>
      </c>
      <c r="D626" s="57" t="n"/>
      <c r="E626" s="57" t="n"/>
      <c r="F626" s="57" t="n"/>
      <c r="G626" s="57" t="n"/>
      <c r="H626" s="57" t="n"/>
      <c r="J626" s="209" t="inlineStr">
        <is>
          <t>30</t>
        </is>
      </c>
      <c r="K626" s="209" t="inlineStr">
        <is>
          <t>K.9999</t>
        </is>
      </c>
      <c r="L626" s="210" t="inlineStr">
        <is>
          <t>Theo dõi nén mẫu R7 Cọc khoan nhồi Trụ T2 - Cọc C2</t>
        </is>
      </c>
      <c r="M626" s="210" t="n"/>
      <c r="N626" s="210" t="n"/>
      <c r="O626" s="211" t="inlineStr">
        <is>
          <t>Cầu Km19+529.080</t>
        </is>
      </c>
      <c r="P626" s="212">
        <f>S623+7</f>
        <v/>
      </c>
      <c r="Q626" s="212">
        <f>P626</f>
        <v/>
      </c>
      <c r="R626" s="212">
        <f>Q626-1</f>
        <v/>
      </c>
      <c r="S626" s="212">
        <f>Q626</f>
        <v/>
      </c>
      <c r="T626" s="213" t="n">
        <v>0.3541666666666667</v>
      </c>
      <c r="U626" s="213">
        <f>T626+V626</f>
        <v/>
      </c>
      <c r="V626" s="213" t="n">
        <v>0.02083333333333333</v>
      </c>
      <c r="W626" s="214">
        <f>TEXT(T626,"HH""h""MM'")&amp;"÷"&amp;TEXT(U626,"HH""h""MM'")</f>
        <v/>
      </c>
      <c r="X626" s="214" t="n"/>
      <c r="Y626" s="214" t="n"/>
      <c r="Z626" s="214" t="n"/>
      <c r="AA626" s="215" t="inlineStr">
        <is>
          <t>Theo dõi nén mẫu R7 Cọc khoan nhồi Trụ T2 - Cọc C2</t>
        </is>
      </c>
      <c r="AB626" s="204" t="inlineStr">
        <is>
          <t>09-XL-307HG/PYCNT/CKN/T2/C2-3</t>
        </is>
      </c>
      <c r="AC626" s="204" t="inlineStr">
        <is>
          <t>09-XL-307HG/BBNT/CKN/T2/C2-12</t>
        </is>
      </c>
      <c r="AD626" s="204" t="n"/>
      <c r="AE626" s="204" t="n"/>
      <c r="AF626" s="204" t="n"/>
      <c r="AG626" s="204" t="n"/>
      <c r="AH626" s="204" t="n"/>
      <c r="AI626" s="214" t="n"/>
      <c r="AJ626" s="214" t="n"/>
      <c r="AK626" s="217" t="n"/>
      <c r="AL626" s="214" t="n"/>
      <c r="AM626" s="214" t="n"/>
      <c r="AN626" s="214" t="n"/>
      <c r="AO626" s="214" t="n"/>
      <c r="AP626" s="216" t="n"/>
      <c r="AQ626" s="216" t="n"/>
      <c r="AR626" s="214" t="inlineStr">
        <is>
          <t>Nhóm 1</t>
        </is>
      </c>
      <c r="AS626" s="214" t="n"/>
      <c r="AT626" s="214" t="inlineStr">
        <is>
          <t>HM16</t>
        </is>
      </c>
      <c r="AU626" s="214" t="inlineStr">
        <is>
          <t>NTCV</t>
        </is>
      </c>
      <c r="AV626" s="214" t="n">
        <v>292</v>
      </c>
      <c r="AW626" s="214" t="n">
        <v>11</v>
      </c>
      <c r="AX626" s="214" t="n"/>
    </row>
    <row r="627">
      <c r="A627" s="56" t="inlineStr">
        <is>
          <t>BBK680</t>
        </is>
      </c>
      <c r="B627" s="56" t="inlineStr">
        <is>
          <t>PYC</t>
        </is>
      </c>
      <c r="C627" s="56" t="inlineStr">
        <is>
          <t>BBK680.0769369</t>
        </is>
      </c>
      <c r="D627" s="57" t="n"/>
      <c r="E627" s="57" t="n"/>
      <c r="F627" s="57" t="n"/>
      <c r="G627" s="57" t="n"/>
      <c r="H627" s="57" t="n"/>
      <c r="J627" s="198" t="inlineStr">
        <is>
          <t>31</t>
        </is>
      </c>
      <c r="K627" s="198" t="inlineStr">
        <is>
          <t>PYC</t>
        </is>
      </c>
      <c r="L627" s="199" t="inlineStr">
        <is>
          <t>Phiếu yêu cầu nghiệm thu</t>
        </is>
      </c>
      <c r="M627" s="199" t="n"/>
      <c r="N627" s="199" t="n"/>
      <c r="O627" s="200" t="inlineStr">
        <is>
          <t>Cầu Km19+529.080</t>
        </is>
      </c>
      <c r="P627" s="201" t="n"/>
      <c r="Q627" s="201" t="n"/>
      <c r="R627" s="201">
        <f>+S622+28</f>
        <v/>
      </c>
      <c r="S627" s="201" t="n"/>
      <c r="T627" s="201" t="n"/>
      <c r="U627" s="201" t="n"/>
      <c r="V627" s="201" t="n"/>
      <c r="W627" s="202" t="n"/>
      <c r="X627" s="202" t="n"/>
      <c r="Y627" s="202" t="n"/>
      <c r="Z627" s="202" t="n"/>
      <c r="AA627" s="203" t="n"/>
      <c r="AB627" s="204" t="inlineStr">
        <is>
          <t>09-XL-307HG/PYCNT/CKN/T2/C2</t>
        </is>
      </c>
      <c r="AC627" s="205" t="inlineStr"/>
      <c r="AD627" s="205" t="n"/>
      <c r="AE627" s="205" t="n"/>
      <c r="AF627" s="205" t="n"/>
      <c r="AG627" s="205" t="inlineStr">
        <is>
          <t>NTCV;BBKTĐK</t>
        </is>
      </c>
      <c r="AH627" s="204" t="n">
        <v>12</v>
      </c>
      <c r="AI627" s="202" t="n"/>
      <c r="AJ627" s="202" t="n"/>
      <c r="AK627" s="206" t="n"/>
      <c r="AL627" s="202" t="n"/>
      <c r="AM627" s="202" t="n"/>
      <c r="AN627" s="202" t="n"/>
      <c r="AO627" s="202" t="n"/>
      <c r="AP627" s="207" t="n"/>
      <c r="AQ627" s="207" t="n"/>
      <c r="AR627" s="202" t="inlineStr">
        <is>
          <t>Nhóm 1</t>
        </is>
      </c>
      <c r="AS627" s="202" t="n"/>
      <c r="AT627" s="202" t="inlineStr">
        <is>
          <t>HM16</t>
        </is>
      </c>
      <c r="AU627" s="202" t="inlineStr">
        <is>
          <t>PYC</t>
        </is>
      </c>
      <c r="AV627" s="202" t="n">
        <v>192</v>
      </c>
      <c r="AW627" s="202" t="n">
        <v>4</v>
      </c>
      <c r="AX627" s="202" t="n"/>
    </row>
    <row r="628" ht="28" customHeight="1" s="672">
      <c r="A628" s="56" t="inlineStr">
        <is>
          <t>NTCV</t>
        </is>
      </c>
      <c r="B628" s="56" t="inlineStr">
        <is>
          <t>K.9999</t>
        </is>
      </c>
      <c r="C628" s="56" t="inlineStr">
        <is>
          <t>NTCV.0380592</t>
        </is>
      </c>
      <c r="D628" s="57" t="n"/>
      <c r="E628" s="57" t="n"/>
      <c r="F628" s="57" t="n"/>
      <c r="G628" s="57" t="n"/>
      <c r="H628" s="57" t="n"/>
      <c r="J628" s="209" t="inlineStr">
        <is>
          <t>32</t>
        </is>
      </c>
      <c r="K628" s="209" t="inlineStr">
        <is>
          <t>K.9999</t>
        </is>
      </c>
      <c r="L628" s="210" t="inlineStr">
        <is>
          <t>Đập đầu cọc khoan nhồi Trụ T2 - Cọc C2</t>
        </is>
      </c>
      <c r="M628" s="210" t="n"/>
      <c r="N628" s="210" t="n"/>
      <c r="O628" s="211" t="inlineStr">
        <is>
          <t>Cầu Km19+529.080</t>
        </is>
      </c>
      <c r="P628" s="212">
        <f>S626</f>
        <v/>
      </c>
      <c r="Q628" s="212">
        <f>P628</f>
        <v/>
      </c>
      <c r="R628" s="212">
        <f>Q628-1</f>
        <v/>
      </c>
      <c r="S628" s="212">
        <f>Q628</f>
        <v/>
      </c>
      <c r="T628" s="213" t="n">
        <v>0.3541666666666667</v>
      </c>
      <c r="U628" s="213">
        <f>T628+V628</f>
        <v/>
      </c>
      <c r="V628" s="213" t="n">
        <v>0.0625</v>
      </c>
      <c r="W628" s="214">
        <f>TEXT(T628,"HH""h""MM'")&amp;"÷"&amp;TEXT(U628,"HH""h""MM'")</f>
        <v/>
      </c>
      <c r="X628" s="214" t="n"/>
      <c r="Y628" s="214" t="n"/>
      <c r="Z628" s="214" t="n"/>
      <c r="AA628" s="215" t="inlineStr">
        <is>
          <t>Theo dõi nén mẫu R28 Cọc khoan nhồi Trụ T2 - Cọc C2</t>
        </is>
      </c>
      <c r="AB628" s="204" t="inlineStr">
        <is>
          <t>09-XL-307HG/PYCNT/CKN/T2/C2-4</t>
        </is>
      </c>
      <c r="AC628" s="204" t="inlineStr">
        <is>
          <t>09-XL-307HG/BBNT/CKN/T2/C2-13</t>
        </is>
      </c>
      <c r="AD628" s="204" t="n"/>
      <c r="AE628" s="204" t="n"/>
      <c r="AF628" s="204" t="n"/>
      <c r="AG628" s="204" t="n"/>
      <c r="AH628" s="204" t="n"/>
      <c r="AI628" s="214" t="n"/>
      <c r="AJ628" s="214" t="n"/>
      <c r="AK628" s="217" t="n"/>
      <c r="AL628" s="214" t="n"/>
      <c r="AM628" s="214" t="n"/>
      <c r="AN628" s="214" t="n"/>
      <c r="AO628" s="214" t="n"/>
      <c r="AP628" s="216" t="n"/>
      <c r="AQ628" s="216" t="n"/>
      <c r="AR628" s="214" t="inlineStr">
        <is>
          <t>Nhóm 1</t>
        </is>
      </c>
      <c r="AS628" s="214" t="n"/>
      <c r="AT628" s="214" t="inlineStr">
        <is>
          <t>HM16</t>
        </is>
      </c>
      <c r="AU628" s="214" t="inlineStr">
        <is>
          <t>NTCV</t>
        </is>
      </c>
      <c r="AV628" s="214" t="n">
        <v>293</v>
      </c>
      <c r="AW628" s="214" t="n">
        <v>12</v>
      </c>
      <c r="AX628" s="214" t="n"/>
    </row>
    <row r="629">
      <c r="A629" s="56" t="inlineStr">
        <is>
          <t>HM</t>
        </is>
      </c>
      <c r="B629" s="56" t="inlineStr">
        <is>
          <t>HM</t>
        </is>
      </c>
      <c r="C629" s="56" t="inlineStr">
        <is>
          <t>HM.0484608</t>
        </is>
      </c>
      <c r="D629" s="57" t="n"/>
      <c r="E629" s="57" t="n"/>
      <c r="F629" s="57" t="n"/>
      <c r="G629" s="57" t="n"/>
      <c r="H629" s="57" t="n"/>
      <c r="J629" s="246" t="inlineStr">
        <is>
          <t>HM17</t>
        </is>
      </c>
      <c r="K629" s="246" t="inlineStr">
        <is>
          <t>HM</t>
        </is>
      </c>
      <c r="L629" s="247" t="inlineStr">
        <is>
          <t>Trụ T2 - Cọc C3</t>
        </is>
      </c>
      <c r="M629" s="247" t="n"/>
      <c r="N629" s="247" t="n"/>
      <c r="O629" s="248" t="inlineStr">
        <is>
          <t>Cầu Km19+529.080</t>
        </is>
      </c>
      <c r="P629" s="249" t="n"/>
      <c r="Q629" s="249" t="n"/>
      <c r="R629" s="249" t="n"/>
      <c r="S629" s="249" t="n"/>
      <c r="T629" s="249" t="n"/>
      <c r="U629" s="249" t="n"/>
      <c r="V629" s="249" t="n"/>
      <c r="W629" s="250" t="n"/>
      <c r="X629" s="250" t="n"/>
      <c r="Y629" s="250" t="n"/>
      <c r="Z629" s="250" t="n"/>
      <c r="AA629" s="251" t="n"/>
      <c r="AB629" s="252" t="n"/>
      <c r="AC629" s="252" t="inlineStr"/>
      <c r="AD629" s="252" t="n"/>
      <c r="AE629" s="252" t="n"/>
      <c r="AF629" s="252" t="n"/>
      <c r="AG629" s="252" t="n"/>
      <c r="AH629" s="252" t="n"/>
      <c r="AI629" s="250" t="n"/>
      <c r="AJ629" s="250" t="n"/>
      <c r="AK629" s="253" t="n"/>
      <c r="AL629" s="250" t="n"/>
      <c r="AM629" s="250" t="n"/>
      <c r="AN629" s="250" t="n"/>
      <c r="AO629" s="250" t="n"/>
      <c r="AP629" s="254" t="n"/>
      <c r="AQ629" s="254" t="n"/>
      <c r="AR629" s="250" t="n"/>
      <c r="AS629" s="250" t="n"/>
      <c r="AT629" s="250" t="inlineStr">
        <is>
          <t>HM17</t>
        </is>
      </c>
      <c r="AU629" s="250" t="inlineStr">
        <is>
          <t>HM</t>
        </is>
      </c>
      <c r="AV629" s="250" t="n"/>
      <c r="AW629" s="250" t="n"/>
      <c r="AX629" s="250" t="n"/>
    </row>
    <row r="630" ht="28" customFormat="1" customHeight="1" s="70">
      <c r="A630" s="68" t="inlineStr">
        <is>
          <t>BBK_BIA</t>
        </is>
      </c>
      <c r="B630" s="68" t="inlineStr">
        <is>
          <t>TRANGBIA</t>
        </is>
      </c>
      <c r="C630" s="68" t="inlineStr">
        <is>
          <t>BBK_BIA.0547011</t>
        </is>
      </c>
      <c r="D630" s="69" t="n"/>
      <c r="E630" s="69" t="n"/>
      <c r="F630" s="69" t="n"/>
      <c r="G630" s="69" t="n"/>
      <c r="H630" s="69" t="n"/>
      <c r="J630" s="98" t="inlineStr">
        <is>
          <t>01</t>
        </is>
      </c>
      <c r="K630" s="98" t="inlineStr">
        <is>
          <t>TRANGBIA</t>
        </is>
      </c>
      <c r="L630" s="99">
        <f>"Cọc Khoan Nhồi"&amp;" - "&amp;L629</f>
        <v/>
      </c>
      <c r="M630" s="99" t="n"/>
      <c r="N630" s="99" t="n"/>
      <c r="O630" s="100" t="inlineStr">
        <is>
          <t>Cầu Km19+529.080</t>
        </is>
      </c>
      <c r="P630" s="101" t="n"/>
      <c r="Q630" s="101" t="n"/>
      <c r="R630" s="101" t="n"/>
      <c r="S630" s="101" t="n"/>
      <c r="T630" s="101" t="n"/>
      <c r="U630" s="101" t="n"/>
      <c r="V630" s="101" t="n"/>
      <c r="W630" s="102" t="n"/>
      <c r="X630" s="102" t="n"/>
      <c r="Y630" s="102" t="n"/>
      <c r="Z630" s="102" t="n"/>
      <c r="AA630" s="102" t="n"/>
      <c r="AB630" s="102" t="n"/>
      <c r="AC630" s="102" t="inlineStr"/>
      <c r="AD630" s="102" t="n"/>
      <c r="AE630" s="102" t="n"/>
      <c r="AF630" s="102" t="n"/>
      <c r="AG630" s="102" t="n"/>
      <c r="AH630" s="102" t="n"/>
      <c r="AI630" s="102" t="n"/>
      <c r="AJ630" s="102" t="n"/>
      <c r="AK630" s="100" t="n"/>
      <c r="AL630" s="102" t="n"/>
      <c r="AM630" s="102" t="n"/>
      <c r="AN630" s="102" t="n"/>
      <c r="AO630" s="102" t="n"/>
      <c r="AP630" s="103" t="inlineStr">
        <is>
          <t>Kết cấu cọc khoan nhồi mố, trụ</t>
        </is>
      </c>
      <c r="AQ630" s="104" t="n"/>
      <c r="AR630" s="102" t="inlineStr">
        <is>
          <t>Nhóm 1</t>
        </is>
      </c>
      <c r="AS630" s="102" t="n"/>
      <c r="AT630" s="102" t="inlineStr">
        <is>
          <t>HM17</t>
        </is>
      </c>
      <c r="AU630" s="102" t="inlineStr">
        <is>
          <t>TRANGBIA</t>
        </is>
      </c>
      <c r="AV630" s="102" t="n">
        <v>17</v>
      </c>
      <c r="AW630" s="102" t="n">
        <v>1</v>
      </c>
      <c r="AX630" s="102" t="n"/>
    </row>
    <row r="631" customFormat="1" s="70">
      <c r="A631" s="68" t="inlineStr">
        <is>
          <t>BBK_ML</t>
        </is>
      </c>
      <c r="B631" s="68" t="inlineStr">
        <is>
          <t>MUCLUC</t>
        </is>
      </c>
      <c r="C631" s="68" t="inlineStr">
        <is>
          <t>BBK_ML.0673949</t>
        </is>
      </c>
      <c r="D631" s="69" t="n"/>
      <c r="E631" s="69" t="n"/>
      <c r="F631" s="69" t="n"/>
      <c r="G631" s="69" t="n"/>
      <c r="H631" s="69" t="n"/>
      <c r="J631" s="98" t="inlineStr">
        <is>
          <t>02</t>
        </is>
      </c>
      <c r="K631" s="98" t="inlineStr">
        <is>
          <t>MUCLUC</t>
        </is>
      </c>
      <c r="L631" s="99" t="inlineStr">
        <is>
          <t>Danh mục biên bản Kiểm tra/Nghiệm thu</t>
        </is>
      </c>
      <c r="M631" s="99" t="n"/>
      <c r="N631" s="99" t="n"/>
      <c r="O631" s="100" t="inlineStr">
        <is>
          <t>Cầu Km19+529.080</t>
        </is>
      </c>
      <c r="P631" s="101" t="n"/>
      <c r="Q631" s="101" t="n"/>
      <c r="R631" s="101" t="n"/>
      <c r="S631" s="101" t="n"/>
      <c r="T631" s="101" t="n"/>
      <c r="U631" s="101" t="n"/>
      <c r="V631" s="101" t="n"/>
      <c r="W631" s="102" t="n"/>
      <c r="X631" s="102" t="n"/>
      <c r="Y631" s="102" t="n"/>
      <c r="Z631" s="102" t="n"/>
      <c r="AA631" s="102" t="n"/>
      <c r="AB631" s="102" t="n"/>
      <c r="AC631" s="102" t="inlineStr"/>
      <c r="AD631" s="102" t="n"/>
      <c r="AE631" s="102" t="n"/>
      <c r="AF631" s="102" t="n"/>
      <c r="AG631" s="102" t="n"/>
      <c r="AH631" s="102" t="n"/>
      <c r="AI631" s="102" t="n"/>
      <c r="AJ631" s="102" t="n"/>
      <c r="AK631" s="100" t="n"/>
      <c r="AL631" s="102" t="n"/>
      <c r="AM631" s="102" t="n"/>
      <c r="AN631" s="102" t="n"/>
      <c r="AO631" s="102" t="n"/>
      <c r="AP631" s="104" t="n"/>
      <c r="AQ631" s="104" t="n"/>
      <c r="AR631" s="102" t="inlineStr">
        <is>
          <t>Nhóm 1</t>
        </is>
      </c>
      <c r="AS631" s="102" t="n"/>
      <c r="AT631" s="102" t="inlineStr">
        <is>
          <t>HM17</t>
        </is>
      </c>
      <c r="AU631" s="102" t="inlineStr">
        <is>
          <t>MUCLUC</t>
        </is>
      </c>
      <c r="AV631" s="102" t="n">
        <v>17</v>
      </c>
      <c r="AW631" s="102" t="n">
        <v>1</v>
      </c>
      <c r="AX631" s="102" t="n"/>
    </row>
    <row r="632">
      <c r="A632" s="56" t="inlineStr">
        <is>
          <t>BBK680</t>
        </is>
      </c>
      <c r="B632" s="56" t="inlineStr">
        <is>
          <t>PYC</t>
        </is>
      </c>
      <c r="C632" s="56" t="inlineStr">
        <is>
          <t>BBK680.0038191</t>
        </is>
      </c>
      <c r="D632" s="57" t="n"/>
      <c r="E632" s="57" t="n"/>
      <c r="F632" s="57" t="n"/>
      <c r="G632" s="57" t="n"/>
      <c r="H632" s="57" t="n"/>
      <c r="J632" s="198" t="inlineStr">
        <is>
          <t>03</t>
        </is>
      </c>
      <c r="K632" s="198" t="inlineStr">
        <is>
          <t>PYC</t>
        </is>
      </c>
      <c r="L632" s="199" t="inlineStr">
        <is>
          <t>Phiếu yêu cầu nghiệm thu</t>
        </is>
      </c>
      <c r="M632" s="199" t="n"/>
      <c r="N632" s="199" t="n"/>
      <c r="O632" s="200" t="inlineStr">
        <is>
          <t>Cầu Km19+529.080</t>
        </is>
      </c>
      <c r="P632" s="201" t="n"/>
      <c r="Q632" s="201" t="n"/>
      <c r="R632" s="201">
        <f>R633</f>
        <v/>
      </c>
      <c r="S632" s="201" t="n"/>
      <c r="T632" s="201" t="n"/>
      <c r="U632" s="201" t="n"/>
      <c r="V632" s="201" t="n"/>
      <c r="W632" s="202" t="n"/>
      <c r="X632" s="202" t="n"/>
      <c r="Y632" s="202" t="n"/>
      <c r="Z632" s="202" t="n"/>
      <c r="AA632" s="203" t="n"/>
      <c r="AB632" s="204" t="inlineStr">
        <is>
          <t>09-XL-307HG/PYCNT/CKN/T2/C3</t>
        </is>
      </c>
      <c r="AC632" s="205" t="inlineStr"/>
      <c r="AD632" s="205" t="n"/>
      <c r="AE632" s="205" t="n"/>
      <c r="AF632" s="205" t="n"/>
      <c r="AG632" s="205" t="inlineStr">
        <is>
          <t>NTCV;BBKTĐK</t>
        </is>
      </c>
      <c r="AH632" s="204" t="inlineStr">
        <is>
          <t>&gt;=1;&lt;=5</t>
        </is>
      </c>
      <c r="AI632" s="202" t="n"/>
      <c r="AJ632" s="202" t="n"/>
      <c r="AK632" s="206" t="n"/>
      <c r="AL632" s="202" t="n"/>
      <c r="AM632" s="202" t="n"/>
      <c r="AN632" s="202" t="n"/>
      <c r="AO632" s="202" t="n"/>
      <c r="AP632" s="207" t="n"/>
      <c r="AQ632" s="207" t="n"/>
      <c r="AR632" s="202" t="inlineStr">
        <is>
          <t>Nhóm 1</t>
        </is>
      </c>
      <c r="AS632" s="202" t="n"/>
      <c r="AT632" s="202" t="inlineStr">
        <is>
          <t>HM17</t>
        </is>
      </c>
      <c r="AU632" s="202" t="inlineStr">
        <is>
          <t>PYC</t>
        </is>
      </c>
      <c r="AV632" s="202" t="n">
        <v>193</v>
      </c>
      <c r="AW632" s="202" t="n">
        <v>1</v>
      </c>
      <c r="AX632" s="202" t="n"/>
    </row>
    <row r="633" ht="28" customHeight="1" s="672">
      <c r="A633" s="56" t="inlineStr">
        <is>
          <t>BBK884</t>
        </is>
      </c>
      <c r="B633" s="56" t="inlineStr">
        <is>
          <t>BBKTĐK</t>
        </is>
      </c>
      <c r="C633" s="56" t="inlineStr">
        <is>
          <t>BBK884.0647795</t>
        </is>
      </c>
      <c r="D633" s="57" t="n"/>
      <c r="E633" s="57" t="n"/>
      <c r="F633" s="57" t="n"/>
      <c r="G633" s="57" t="n"/>
      <c r="H633" s="57" t="n"/>
      <c r="J633" s="198" t="inlineStr">
        <is>
          <t>04</t>
        </is>
      </c>
      <c r="K633" s="198" t="inlineStr">
        <is>
          <t>BBKTĐK</t>
        </is>
      </c>
      <c r="L633" s="199" t="inlineStr">
        <is>
          <t>Kiểm tra điều kiện trước khi thi công cọc khoan nhồi: Thiết bị, nhân lực, vật tư</t>
        </is>
      </c>
      <c r="M633" s="199" t="n"/>
      <c r="N633" s="199" t="n"/>
      <c r="O633" s="200" t="inlineStr">
        <is>
          <t>Cầu Km19+529.080</t>
        </is>
      </c>
      <c r="P633" s="201" t="n">
        <v>46217</v>
      </c>
      <c r="Q633" s="201">
        <f>P633</f>
        <v/>
      </c>
      <c r="R633" s="201">
        <f>Q633-1</f>
        <v/>
      </c>
      <c r="S633" s="201">
        <f>Q633</f>
        <v/>
      </c>
      <c r="T633" s="208" t="n">
        <v>0.2916666666666667</v>
      </c>
      <c r="U633" s="208">
        <f>T633+V633</f>
        <v/>
      </c>
      <c r="V633" s="208" t="n">
        <v>0.02083333333333333</v>
      </c>
      <c r="W633" s="202">
        <f>TEXT(T633,"HH""h""MM'")&amp;"÷"&amp;TEXT(U633,"HH""h""MM'")</f>
        <v/>
      </c>
      <c r="X633" s="202" t="n"/>
      <c r="Y633" s="202" t="n"/>
      <c r="Z633" s="202" t="inlineStr">
        <is>
          <t>01;</t>
        </is>
      </c>
      <c r="AA633" s="200" t="inlineStr">
        <is>
          <t>Kiểm tra điều kiện trước khi thi công Cọc khoan nhồi Trụ T2 - Cọc C3</t>
        </is>
      </c>
      <c r="AB633" s="205" t="inlineStr">
        <is>
          <t>09-XL-307HG/PYCNT/CKN/T2/C3-1</t>
        </is>
      </c>
      <c r="AC633" s="205" t="inlineStr">
        <is>
          <t>09-XL-307HG/BBNT/CKN/T2/C3-1</t>
        </is>
      </c>
      <c r="AD633" s="205" t="n"/>
      <c r="AE633" s="205" t="n"/>
      <c r="AF633" s="205" t="n"/>
      <c r="AG633" s="205" t="n"/>
      <c r="AH633" s="205" t="n"/>
      <c r="AI633" s="207" t="n"/>
      <c r="AJ633" s="214" t="n"/>
      <c r="AK633" s="217" t="n"/>
      <c r="AL633" s="214" t="n"/>
      <c r="AM633" s="214" t="n"/>
      <c r="AN633" s="214" t="n"/>
      <c r="AO633" s="202" t="n"/>
      <c r="AP633" s="207" t="n"/>
      <c r="AQ633" s="207" t="n"/>
      <c r="AR633" s="202" t="inlineStr">
        <is>
          <t>Nhóm 1</t>
        </is>
      </c>
      <c r="AS633" s="202" t="n"/>
      <c r="AT633" s="202" t="inlineStr">
        <is>
          <t>HM17</t>
        </is>
      </c>
      <c r="AU633" s="202" t="inlineStr">
        <is>
          <t>BBKTĐK</t>
        </is>
      </c>
      <c r="AV633" s="202" t="n">
        <v>12</v>
      </c>
      <c r="AW633" s="202" t="n">
        <v>1</v>
      </c>
      <c r="AX633" s="202" t="n"/>
    </row>
    <row r="634" ht="28" customHeight="1" s="672">
      <c r="A634" s="56" t="inlineStr">
        <is>
          <t>BBK860</t>
        </is>
      </c>
      <c r="B634" s="56" t="inlineStr">
        <is>
          <t>PL01</t>
        </is>
      </c>
      <c r="C634" s="56" t="inlineStr">
        <is>
          <t>BBK860.0899490</t>
        </is>
      </c>
      <c r="D634" s="57" t="n"/>
      <c r="E634" s="57" t="n"/>
      <c r="F634" s="57" t="n"/>
      <c r="G634" s="57" t="n"/>
      <c r="H634" s="57" t="n"/>
      <c r="J634" s="198" t="inlineStr">
        <is>
          <t>05</t>
        </is>
      </c>
      <c r="K634" s="198" t="inlineStr">
        <is>
          <t>PL01</t>
        </is>
      </c>
      <c r="L634" s="199" t="inlineStr">
        <is>
          <t>Máy móc, thiết bị, nhân lực, vật tư thi công cọc khoan nhồi</t>
        </is>
      </c>
      <c r="M634" s="199" t="n"/>
      <c r="N634" s="199" t="n"/>
      <c r="O634" s="199" t="inlineStr">
        <is>
          <t>Cầu Km19+529.080</t>
        </is>
      </c>
      <c r="P634" s="201" t="n"/>
      <c r="Q634" s="201" t="n"/>
      <c r="R634" s="201" t="n"/>
      <c r="S634" s="201">
        <f>S633</f>
        <v/>
      </c>
      <c r="T634" s="201" t="n"/>
      <c r="U634" s="201" t="n"/>
      <c r="V634" s="201" t="n"/>
      <c r="W634" s="202" t="n"/>
      <c r="X634" s="202" t="n"/>
      <c r="Y634" s="202" t="n"/>
      <c r="Z634" s="198" t="inlineStr">
        <is>
          <t>01</t>
        </is>
      </c>
      <c r="AA634" s="203" t="n"/>
      <c r="AB634" s="204" t="inlineStr">
        <is>
          <t>09-XL-307HG/PYCNT/CKN/T2/C3-1</t>
        </is>
      </c>
      <c r="AC634" s="204">
        <f>AC633</f>
        <v/>
      </c>
      <c r="AD634" s="204" t="n"/>
      <c r="AE634" s="204" t="n"/>
      <c r="AF634" s="204" t="n"/>
      <c r="AG634" s="204" t="n"/>
      <c r="AH634" s="204" t="inlineStr">
        <is>
          <t>CKN</t>
        </is>
      </c>
      <c r="AI634" s="207" t="n"/>
      <c r="AJ634" s="202" t="n"/>
      <c r="AK634" s="206" t="n"/>
      <c r="AL634" s="202" t="n"/>
      <c r="AM634" s="202" t="n"/>
      <c r="AN634" s="202" t="n"/>
      <c r="AO634" s="202" t="n"/>
      <c r="AP634" s="207" t="n"/>
      <c r="AQ634" s="207" t="n"/>
      <c r="AR634" s="202" t="inlineStr">
        <is>
          <t>Nhóm 1</t>
        </is>
      </c>
      <c r="AS634" s="202" t="n"/>
      <c r="AT634" s="202" t="inlineStr">
        <is>
          <t>HM17</t>
        </is>
      </c>
      <c r="AU634" s="202" t="inlineStr">
        <is>
          <t>PL01</t>
        </is>
      </c>
      <c r="AV634" s="202" t="n">
        <v>12</v>
      </c>
      <c r="AW634" s="202" t="n">
        <v>1</v>
      </c>
      <c r="AX634" s="202" t="n"/>
    </row>
    <row r="635" ht="42" customHeight="1" s="672">
      <c r="A635" s="56" t="inlineStr">
        <is>
          <t>NTCV</t>
        </is>
      </c>
      <c r="B635" s="56" t="inlineStr">
        <is>
          <t>K.9999</t>
        </is>
      </c>
      <c r="C635" s="56" t="inlineStr">
        <is>
          <t>NTCV.0340388</t>
        </is>
      </c>
      <c r="D635" s="57" t="n"/>
      <c r="E635" s="57" t="n"/>
      <c r="F635" s="57" t="n"/>
      <c r="G635" s="57" t="n"/>
      <c r="H635" s="57" t="n"/>
      <c r="J635" s="209" t="inlineStr">
        <is>
          <t>06</t>
        </is>
      </c>
      <c r="K635" s="209" t="inlineStr">
        <is>
          <t>K.9999</t>
        </is>
      </c>
      <c r="L635" s="210" t="inlineStr">
        <is>
          <t>Kiểm tra ống vách, dung dịch bentonite trước khi khoan cọc khoan nhồi</t>
        </is>
      </c>
      <c r="M635" s="210" t="n"/>
      <c r="N635" s="210" t="n"/>
      <c r="O635" s="211" t="inlineStr">
        <is>
          <t>Cầu Km19+529.080</t>
        </is>
      </c>
      <c r="P635" s="212">
        <f>S633</f>
        <v/>
      </c>
      <c r="Q635" s="212">
        <f>P635</f>
        <v/>
      </c>
      <c r="R635" s="212">
        <f>Q635-1</f>
        <v/>
      </c>
      <c r="S635" s="212">
        <f>Q635</f>
        <v/>
      </c>
      <c r="T635" s="213">
        <f>U633</f>
        <v/>
      </c>
      <c r="U635" s="213">
        <f>T635+V635</f>
        <v/>
      </c>
      <c r="V635" s="213" t="n">
        <v>0.02083333333333333</v>
      </c>
      <c r="W635" s="214">
        <f>TEXT(T635,"HH""h""MM'")&amp;"÷"&amp;TEXT(U635,"HH""h""MM'")</f>
        <v/>
      </c>
      <c r="X635" s="214" t="n"/>
      <c r="Y635" s="214" t="n"/>
      <c r="Z635" s="214" t="inlineStr">
        <is>
          <t>02; 02a</t>
        </is>
      </c>
      <c r="AA635" s="215" t="inlineStr">
        <is>
          <t>Kiểm tra ống vách, dung dịch bentonite Cọc khoan nhồi Trụ T2 - Cọc C3 trước khi khoan</t>
        </is>
      </c>
      <c r="AB635" s="204" t="inlineStr">
        <is>
          <t>09-XL-307HG/PYCNT/CKN/T2/C3-1</t>
        </is>
      </c>
      <c r="AC635" s="204" t="inlineStr">
        <is>
          <t>09-XL-307HG/BBNT/CKN/T2/C3-2</t>
        </is>
      </c>
      <c r="AD635" s="204" t="n"/>
      <c r="AE635" s="204" t="n"/>
      <c r="AF635" s="204" t="n"/>
      <c r="AG635" s="204" t="n"/>
      <c r="AH635" s="204" t="n"/>
      <c r="AI635" s="216" t="n"/>
      <c r="AJ635" s="214" t="n"/>
      <c r="AK635" s="217" t="n"/>
      <c r="AL635" s="214" t="n"/>
      <c r="AM635" s="214" t="n"/>
      <c r="AN635" s="214" t="n"/>
      <c r="AO635" s="214" t="n"/>
      <c r="AP635" s="216" t="n"/>
      <c r="AQ635" s="216" t="n"/>
      <c r="AR635" s="214" t="inlineStr">
        <is>
          <t>Nhóm 1</t>
        </is>
      </c>
      <c r="AS635" s="214" t="n"/>
      <c r="AT635" s="214" t="inlineStr">
        <is>
          <t>HM17</t>
        </is>
      </c>
      <c r="AU635" s="214" t="inlineStr">
        <is>
          <t>NTCV</t>
        </is>
      </c>
      <c r="AV635" s="214" t="n">
        <v>168</v>
      </c>
      <c r="AW635" s="214" t="n">
        <v>1</v>
      </c>
      <c r="AX635" s="214" t="n"/>
    </row>
    <row r="636">
      <c r="A636" s="56" t="inlineStr">
        <is>
          <t>BBK170</t>
        </is>
      </c>
      <c r="B636" s="56" t="inlineStr">
        <is>
          <t>PL02</t>
        </is>
      </c>
      <c r="C636" s="56" t="inlineStr">
        <is>
          <t>BBK170.0117243</t>
        </is>
      </c>
      <c r="D636" s="57" t="n"/>
      <c r="E636" s="57" t="n"/>
      <c r="F636" s="57" t="n"/>
      <c r="G636" s="57" t="n"/>
      <c r="H636" s="57" t="n"/>
      <c r="J636" s="198" t="inlineStr">
        <is>
          <t>07</t>
        </is>
      </c>
      <c r="K636" s="198" t="inlineStr">
        <is>
          <t>PL02</t>
        </is>
      </c>
      <c r="L636" s="199" t="inlineStr">
        <is>
          <t>Kiểm tra ống vách thi công trước khi hạ</t>
        </is>
      </c>
      <c r="M636" s="199" t="n"/>
      <c r="N636" s="199" t="n"/>
      <c r="O636" s="200" t="inlineStr">
        <is>
          <t>Cầu Km19+529.080</t>
        </is>
      </c>
      <c r="P636" s="201" t="n"/>
      <c r="Q636" s="201" t="n"/>
      <c r="R636" s="201" t="n"/>
      <c r="S636" s="201">
        <f>S635</f>
        <v/>
      </c>
      <c r="T636" s="201" t="n"/>
      <c r="U636" s="201" t="n"/>
      <c r="V636" s="201" t="n"/>
      <c r="W636" s="202" t="n"/>
      <c r="X636" s="202" t="n"/>
      <c r="Y636" s="202" t="n"/>
      <c r="Z636" s="198" t="inlineStr">
        <is>
          <t>02</t>
        </is>
      </c>
      <c r="AA636" s="203" t="n"/>
      <c r="AB636" s="204" t="inlineStr">
        <is>
          <t>09-XL-307HG/PYCNT/CKN/T2/C3-1</t>
        </is>
      </c>
      <c r="AC636" s="204">
        <f>AC635</f>
        <v/>
      </c>
      <c r="AD636" s="204" t="n"/>
      <c r="AE636" s="204" t="n"/>
      <c r="AF636" s="204" t="n"/>
      <c r="AG636" s="204" t="n"/>
      <c r="AH636" s="204" t="inlineStr">
        <is>
          <t>CKN</t>
        </is>
      </c>
      <c r="AI636" s="207" t="n"/>
      <c r="AJ636" s="202" t="n"/>
      <c r="AK636" s="206" t="n"/>
      <c r="AL636" s="202" t="n"/>
      <c r="AM636" s="202" t="n"/>
      <c r="AN636" s="202" t="n"/>
      <c r="AO636" s="202" t="n"/>
      <c r="AP636" s="207" t="n"/>
      <c r="AQ636" s="207" t="inlineStr">
        <is>
          <t>Ảnh\PL02 CKN.png</t>
        </is>
      </c>
      <c r="AR636" s="202" t="inlineStr">
        <is>
          <t>Nhóm 1</t>
        </is>
      </c>
      <c r="AS636" s="202" t="n"/>
      <c r="AT636" s="202" t="inlineStr">
        <is>
          <t>HM17</t>
        </is>
      </c>
      <c r="AU636" s="202" t="inlineStr">
        <is>
          <t>PL02</t>
        </is>
      </c>
      <c r="AV636" s="202" t="n">
        <v>12</v>
      </c>
      <c r="AW636" s="202" t="n">
        <v>1</v>
      </c>
      <c r="AX636" s="202" t="n"/>
    </row>
    <row r="637">
      <c r="A637" s="56" t="inlineStr">
        <is>
          <t>BBK721</t>
        </is>
      </c>
      <c r="B637" s="56" t="inlineStr">
        <is>
          <t>PL02a</t>
        </is>
      </c>
      <c r="C637" s="56" t="inlineStr">
        <is>
          <t>BBK721.0425534</t>
        </is>
      </c>
      <c r="D637" s="57" t="n"/>
      <c r="E637" s="57" t="n"/>
      <c r="F637" s="57" t="n"/>
      <c r="G637" s="57" t="n"/>
      <c r="H637" s="57" t="n"/>
      <c r="J637" s="198" t="inlineStr">
        <is>
          <t>08</t>
        </is>
      </c>
      <c r="K637" s="198" t="inlineStr">
        <is>
          <t>PL02a</t>
        </is>
      </c>
      <c r="L637" s="199" t="inlineStr">
        <is>
          <t>Kiểm tra ống vách thi công trước khi hạ</t>
        </is>
      </c>
      <c r="M637" s="199" t="n"/>
      <c r="N637" s="199" t="n"/>
      <c r="O637" s="200" t="inlineStr">
        <is>
          <t>Cầu Km19+529.080</t>
        </is>
      </c>
      <c r="P637" s="201" t="n"/>
      <c r="Q637" s="201" t="n"/>
      <c r="R637" s="201" t="n"/>
      <c r="S637" s="201">
        <f>S636</f>
        <v/>
      </c>
      <c r="T637" s="201" t="n"/>
      <c r="U637" s="201" t="n"/>
      <c r="V637" s="201" t="n"/>
      <c r="W637" s="202" t="n"/>
      <c r="X637" s="202" t="n"/>
      <c r="Y637" s="202" t="n"/>
      <c r="Z637" s="198" t="inlineStr">
        <is>
          <t>02a</t>
        </is>
      </c>
      <c r="AA637" s="203" t="n"/>
      <c r="AB637" s="204" t="inlineStr">
        <is>
          <t>09-XL-307HG/PYCNT/CKN/T2/C3-1</t>
        </is>
      </c>
      <c r="AC637" s="204">
        <f>AC636</f>
        <v/>
      </c>
      <c r="AD637" s="204" t="n"/>
      <c r="AE637" s="204" t="n"/>
      <c r="AF637" s="204" t="n"/>
      <c r="AG637" s="204" t="n"/>
      <c r="AH637" s="204" t="n"/>
      <c r="AI637" s="207" t="n"/>
      <c r="AJ637" s="202" t="n"/>
      <c r="AK637" s="206" t="n"/>
      <c r="AL637" s="202" t="n"/>
      <c r="AM637" s="202" t="n"/>
      <c r="AN637" s="202" t="n"/>
      <c r="AO637" s="202" t="n"/>
      <c r="AP637" s="207" t="n"/>
      <c r="AQ637" s="207" t="n"/>
      <c r="AR637" s="202" t="inlineStr">
        <is>
          <t>Nhóm 1</t>
        </is>
      </c>
      <c r="AS637" s="202" t="n"/>
      <c r="AT637" s="202" t="inlineStr">
        <is>
          <t>HM17</t>
        </is>
      </c>
      <c r="AU637" s="202" t="inlineStr">
        <is>
          <t>PL02a</t>
        </is>
      </c>
      <c r="AV637" s="202" t="n">
        <v>12</v>
      </c>
      <c r="AW637" s="202" t="n">
        <v>1</v>
      </c>
      <c r="AX637" s="202" t="n"/>
    </row>
    <row r="638" ht="28" customHeight="1" s="672">
      <c r="A638" s="56" t="inlineStr">
        <is>
          <t>NTCV</t>
        </is>
      </c>
      <c r="B638" s="56" t="inlineStr">
        <is>
          <t>K.9999</t>
        </is>
      </c>
      <c r="C638" s="56" t="inlineStr">
        <is>
          <t>NTCV.0771596</t>
        </is>
      </c>
      <c r="D638" s="57" t="n"/>
      <c r="E638" s="57" t="n"/>
      <c r="F638" s="57" t="n"/>
      <c r="G638" s="57" t="n"/>
      <c r="H638" s="57" t="n"/>
      <c r="J638" s="209" t="inlineStr">
        <is>
          <t>09</t>
        </is>
      </c>
      <c r="K638" s="209" t="inlineStr">
        <is>
          <t>K.9999</t>
        </is>
      </c>
      <c r="L638" s="210" t="inlineStr">
        <is>
          <t>Kiểm tra định vị tim cọc khoan nhồi, hạ ống vách thi công</t>
        </is>
      </c>
      <c r="M638" s="210" t="n"/>
      <c r="N638" s="210" t="n"/>
      <c r="O638" s="211" t="inlineStr">
        <is>
          <t>Cầu Km19+529.080</t>
        </is>
      </c>
      <c r="P638" s="212">
        <f>S635</f>
        <v/>
      </c>
      <c r="Q638" s="212">
        <f>P638</f>
        <v/>
      </c>
      <c r="R638" s="212">
        <f>Q638-1</f>
        <v/>
      </c>
      <c r="S638" s="212">
        <f>Q638</f>
        <v/>
      </c>
      <c r="T638" s="213">
        <f>U635</f>
        <v/>
      </c>
      <c r="U638" s="213">
        <f>T638+V638</f>
        <v/>
      </c>
      <c r="V638" s="213" t="n">
        <v>0.02083333333333333</v>
      </c>
      <c r="W638" s="214">
        <f>TEXT(T638,"HH""h""MM'")&amp;"÷"&amp;TEXT(U638,"HH""h""MM'")</f>
        <v/>
      </c>
      <c r="X638" s="214" t="n"/>
      <c r="Y638" s="214" t="n"/>
      <c r="Z638" s="214" t="inlineStr">
        <is>
          <t>03;</t>
        </is>
      </c>
      <c r="AA638" s="215" t="inlineStr">
        <is>
          <t>Kiểm tra định vị Cọc khoan nhồi Trụ T2 - Cọc C3</t>
        </is>
      </c>
      <c r="AB638" s="204" t="inlineStr">
        <is>
          <t>09-XL-307HG/PYCNT/CKN/T2/C3-1</t>
        </is>
      </c>
      <c r="AC638" s="204" t="inlineStr">
        <is>
          <t>09-XL-307HG/BBNT/CKN/T2/C3-3</t>
        </is>
      </c>
      <c r="AD638" s="204" t="n"/>
      <c r="AE638" s="204" t="n"/>
      <c r="AF638" s="204" t="n"/>
      <c r="AG638" s="204" t="n"/>
      <c r="AH638" s="204" t="n"/>
      <c r="AI638" s="216" t="n"/>
      <c r="AJ638" s="214" t="n"/>
      <c r="AK638" s="217" t="n"/>
      <c r="AL638" s="214" t="n"/>
      <c r="AM638" s="214" t="n"/>
      <c r="AN638" s="214" t="n"/>
      <c r="AO638" s="214" t="n"/>
      <c r="AP638" s="216" t="n"/>
      <c r="AQ638" s="216" t="n"/>
      <c r="AR638" s="214" t="inlineStr">
        <is>
          <t>Nhóm 1</t>
        </is>
      </c>
      <c r="AS638" s="214" t="n"/>
      <c r="AT638" s="214" t="inlineStr">
        <is>
          <t>HM17</t>
        </is>
      </c>
      <c r="AU638" s="214" t="inlineStr">
        <is>
          <t>NTCV</t>
        </is>
      </c>
      <c r="AV638" s="214" t="n">
        <v>170</v>
      </c>
      <c r="AW638" s="214" t="n">
        <v>2</v>
      </c>
      <c r="AX638" s="214" t="n"/>
    </row>
    <row r="639" ht="28" customHeight="1" s="672">
      <c r="A639" s="56" t="inlineStr">
        <is>
          <t>BBK478</t>
        </is>
      </c>
      <c r="B639" s="56" t="inlineStr">
        <is>
          <t>PL03</t>
        </is>
      </c>
      <c r="C639" s="56" t="inlineStr">
        <is>
          <t>BBK478.0358104</t>
        </is>
      </c>
      <c r="D639" s="57" t="n"/>
      <c r="E639" s="57" t="n"/>
      <c r="F639" s="57" t="n"/>
      <c r="G639" s="57" t="n"/>
      <c r="H639" s="57" t="n"/>
      <c r="J639" s="198" t="inlineStr">
        <is>
          <t>10</t>
        </is>
      </c>
      <c r="K639" s="198" t="inlineStr">
        <is>
          <t>PL03</t>
        </is>
      </c>
      <c r="L639" s="199" t="inlineStr">
        <is>
          <t>Kiểm tra định vị tim cọc khoan nhồi, hạ ống vách thi công</t>
        </is>
      </c>
      <c r="M639" s="199" t="n"/>
      <c r="N639" s="199" t="n"/>
      <c r="O639" s="200" t="inlineStr">
        <is>
          <t>Cầu Km19+529.080</t>
        </is>
      </c>
      <c r="P639" s="201" t="n"/>
      <c r="Q639" s="201" t="n"/>
      <c r="R639" s="201" t="n"/>
      <c r="S639" s="201">
        <f>S638</f>
        <v/>
      </c>
      <c r="T639" s="201" t="n"/>
      <c r="U639" s="201" t="n"/>
      <c r="V639" s="201" t="n"/>
      <c r="W639" s="202" t="n"/>
      <c r="X639" s="202" t="n"/>
      <c r="Y639" s="202" t="n"/>
      <c r="Z639" s="198" t="inlineStr">
        <is>
          <t>03</t>
        </is>
      </c>
      <c r="AA639" s="203" t="n"/>
      <c r="AB639" s="204" t="inlineStr">
        <is>
          <t>09-XL-307HG/PYCNT/CKN/T2/C3-1</t>
        </is>
      </c>
      <c r="AC639" s="204">
        <f>AC638</f>
        <v/>
      </c>
      <c r="AD639" s="255" t="n">
        <v>2481779.396</v>
      </c>
      <c r="AE639" s="255" t="n">
        <v>382433.755</v>
      </c>
      <c r="AF639" s="255" t="n">
        <v>167.86</v>
      </c>
      <c r="AG639" s="255" t="n"/>
      <c r="AH639" s="204" t="inlineStr">
        <is>
          <t>&gt;=249;&lt;=267</t>
        </is>
      </c>
      <c r="AI639" s="207" t="n"/>
      <c r="AJ639" s="202" t="n"/>
      <c r="AK639" s="206" t="n"/>
      <c r="AL639" s="202" t="n"/>
      <c r="AM639" s="202" t="n"/>
      <c r="AN639" s="202" t="n"/>
      <c r="AO639" s="202" t="n"/>
      <c r="AP639" s="207" t="n"/>
      <c r="AQ639" s="207" t="n"/>
      <c r="AR639" s="202" t="inlineStr">
        <is>
          <t>Nhóm 1</t>
        </is>
      </c>
      <c r="AS639" s="202" t="n"/>
      <c r="AT639" s="202" t="inlineStr">
        <is>
          <t>HM17</t>
        </is>
      </c>
      <c r="AU639" s="202" t="inlineStr">
        <is>
          <t>PL03</t>
        </is>
      </c>
      <c r="AV639" s="202" t="n">
        <v>12</v>
      </c>
      <c r="AW639" s="202" t="n">
        <v>1</v>
      </c>
      <c r="AX639" s="202" t="n"/>
    </row>
    <row r="640" ht="28" customHeight="1" s="672">
      <c r="A640" s="56" t="inlineStr">
        <is>
          <t>NTCV</t>
        </is>
      </c>
      <c r="B640" s="56" t="inlineStr">
        <is>
          <t>K.9999</t>
        </is>
      </c>
      <c r="C640" s="56" t="inlineStr">
        <is>
          <t>NTCV.0411996</t>
        </is>
      </c>
      <c r="D640" s="57" t="n"/>
      <c r="E640" s="57" t="n"/>
      <c r="F640" s="57" t="n"/>
      <c r="G640" s="57" t="n"/>
      <c r="H640" s="57" t="n"/>
      <c r="J640" s="209" t="inlineStr">
        <is>
          <t>11</t>
        </is>
      </c>
      <c r="K640" s="209" t="inlineStr">
        <is>
          <t>K.9999</t>
        </is>
      </c>
      <c r="L640" s="210" t="inlineStr">
        <is>
          <t>Nghiệm thu lồng thép cọc khoan nhồi trước khi hạ</t>
        </is>
      </c>
      <c r="M640" s="210" t="n"/>
      <c r="N640" s="210" t="n"/>
      <c r="O640" s="211" t="inlineStr">
        <is>
          <t>Cầu Km19+529.080</t>
        </is>
      </c>
      <c r="P640" s="212">
        <f>S638</f>
        <v/>
      </c>
      <c r="Q640" s="212">
        <f>P640</f>
        <v/>
      </c>
      <c r="R640" s="212">
        <f>Q640-1</f>
        <v/>
      </c>
      <c r="S640" s="212">
        <f>Q640</f>
        <v/>
      </c>
      <c r="T640" s="213">
        <f>U638</f>
        <v/>
      </c>
      <c r="U640" s="213">
        <f>T640+V640</f>
        <v/>
      </c>
      <c r="V640" s="213" t="n">
        <v>0.02083333333333333</v>
      </c>
      <c r="W640" s="214">
        <f>TEXT(T640,"HH""h""MM'")&amp;"÷"&amp;TEXT(U640,"HH""h""MM'")</f>
        <v/>
      </c>
      <c r="X640" s="214" t="n"/>
      <c r="Y640" s="214" t="n"/>
      <c r="Z640" s="214" t="inlineStr">
        <is>
          <t>04;</t>
        </is>
      </c>
      <c r="AA640" s="215" t="inlineStr">
        <is>
          <t>Nghiệm thu lồng thép Cọc khoan nhồi Trụ T2 - Cọc C3</t>
        </is>
      </c>
      <c r="AB640" s="204" t="inlineStr">
        <is>
          <t>09-XL-307HG/PYCNT/CKN/T2/C3-1</t>
        </is>
      </c>
      <c r="AC640" s="204" t="inlineStr">
        <is>
          <t>09-XL-307HG/BBNT/CKN/T2/C3-4</t>
        </is>
      </c>
      <c r="AD640" s="204" t="n"/>
      <c r="AE640" s="204" t="n"/>
      <c r="AF640" s="204" t="n"/>
      <c r="AG640" s="204" t="n"/>
      <c r="AH640" s="204" t="n"/>
      <c r="AI640" s="216" t="n"/>
      <c r="AJ640" s="214" t="n"/>
      <c r="AK640" s="217" t="n"/>
      <c r="AL640" s="214" t="n"/>
      <c r="AM640" s="214" t="n"/>
      <c r="AN640" s="214" t="n"/>
      <c r="AO640" s="214" t="n"/>
      <c r="AP640" s="216" t="n"/>
      <c r="AQ640" s="216" t="n"/>
      <c r="AR640" s="214" t="inlineStr">
        <is>
          <t>Nhóm 1</t>
        </is>
      </c>
      <c r="AS640" s="214" t="n"/>
      <c r="AT640" s="214" t="inlineStr">
        <is>
          <t>HM17</t>
        </is>
      </c>
      <c r="AU640" s="214" t="inlineStr">
        <is>
          <t>NTCV</t>
        </is>
      </c>
      <c r="AV640" s="214" t="n">
        <v>172</v>
      </c>
      <c r="AW640" s="214" t="n">
        <v>3</v>
      </c>
      <c r="AX640" s="214" t="n"/>
    </row>
    <row r="641">
      <c r="A641" s="56" t="inlineStr">
        <is>
          <t>BBK096</t>
        </is>
      </c>
      <c r="B641" s="56" t="inlineStr">
        <is>
          <t>PL04</t>
        </is>
      </c>
      <c r="C641" s="56" t="inlineStr">
        <is>
          <t>BBK096.0747573</t>
        </is>
      </c>
      <c r="D641" s="57" t="n"/>
      <c r="E641" s="57" t="n"/>
      <c r="F641" s="57" t="n"/>
      <c r="G641" s="57" t="n"/>
      <c r="H641" s="57" t="n"/>
      <c r="J641" s="198" t="inlineStr">
        <is>
          <t>12</t>
        </is>
      </c>
      <c r="K641" s="198" t="inlineStr">
        <is>
          <t>PL04</t>
        </is>
      </c>
      <c r="L641" s="199" t="inlineStr">
        <is>
          <t>Nghiệm thu lồng thép cọc khoan nhồi trước khi hạ</t>
        </is>
      </c>
      <c r="M641" s="199" t="n"/>
      <c r="N641" s="199" t="n"/>
      <c r="O641" s="200" t="inlineStr">
        <is>
          <t>Cầu Km19+529.080</t>
        </is>
      </c>
      <c r="P641" s="201" t="n"/>
      <c r="Q641" s="201" t="n"/>
      <c r="R641" s="201" t="n"/>
      <c r="S641" s="201">
        <f>S640</f>
        <v/>
      </c>
      <c r="T641" s="201" t="n"/>
      <c r="U641" s="201" t="n"/>
      <c r="V641" s="201" t="n"/>
      <c r="W641" s="202" t="n"/>
      <c r="X641" s="202" t="n"/>
      <c r="Y641" s="202" t="n"/>
      <c r="Z641" s="198" t="inlineStr">
        <is>
          <t>04</t>
        </is>
      </c>
      <c r="AA641" s="203" t="n"/>
      <c r="AB641" s="204" t="inlineStr">
        <is>
          <t>09-XL-307HG/PYCNT/CKN/T2/C3-1</t>
        </is>
      </c>
      <c r="AC641" s="204">
        <f>AC640</f>
        <v/>
      </c>
      <c r="AD641" s="204" t="n"/>
      <c r="AE641" s="204" t="n"/>
      <c r="AF641" s="204" t="n"/>
      <c r="AG641" s="204" t="n"/>
      <c r="AH641" s="204" t="inlineStr">
        <is>
          <t>T2</t>
        </is>
      </c>
      <c r="AI641" s="207" t="n"/>
      <c r="AJ641" s="202" t="n"/>
      <c r="AK641" s="206" t="n"/>
      <c r="AL641" s="202" t="n"/>
      <c r="AM641" s="202" t="n"/>
      <c r="AN641" s="202" t="n"/>
      <c r="AO641" s="202" t="n"/>
      <c r="AP641" s="207" t="n"/>
      <c r="AQ641" s="207" t="n"/>
      <c r="AR641" s="202" t="inlineStr">
        <is>
          <t>Nhóm 1</t>
        </is>
      </c>
      <c r="AS641" s="202" t="n"/>
      <c r="AT641" s="202" t="inlineStr">
        <is>
          <t>HM17</t>
        </is>
      </c>
      <c r="AU641" s="202" t="inlineStr">
        <is>
          <t>PL04</t>
        </is>
      </c>
      <c r="AV641" s="202" t="n">
        <v>12</v>
      </c>
      <c r="AW641" s="202" t="n">
        <v>1</v>
      </c>
      <c r="AX641" s="202" t="n"/>
    </row>
    <row r="642" ht="28" customHeight="1" s="672">
      <c r="A642" s="56" t="inlineStr">
        <is>
          <t>NTCV</t>
        </is>
      </c>
      <c r="B642" s="56" t="inlineStr">
        <is>
          <t>K.9999</t>
        </is>
      </c>
      <c r="C642" s="56" t="inlineStr">
        <is>
          <t>NTCV.0436583</t>
        </is>
      </c>
      <c r="D642" s="57" t="n"/>
      <c r="E642" s="57" t="n"/>
      <c r="F642" s="57" t="n"/>
      <c r="G642" s="57" t="n"/>
      <c r="H642" s="57" t="n"/>
      <c r="J642" s="209" t="inlineStr">
        <is>
          <t>13</t>
        </is>
      </c>
      <c r="K642" s="209" t="inlineStr">
        <is>
          <t>K.9999</t>
        </is>
      </c>
      <c r="L642" s="210" t="inlineStr">
        <is>
          <t xml:space="preserve">Kiểm tra công tác khoan tạo lỗ cọc khoan nhồi </t>
        </is>
      </c>
      <c r="M642" s="210" t="n"/>
      <c r="N642" s="210" t="n"/>
      <c r="O642" s="211" t="inlineStr">
        <is>
          <t>Cầu Km19+529.080</t>
        </is>
      </c>
      <c r="P642" s="212">
        <f>S640</f>
        <v/>
      </c>
      <c r="Q642" s="212">
        <f>P642</f>
        <v/>
      </c>
      <c r="R642" s="212">
        <f>Q642-1</f>
        <v/>
      </c>
      <c r="S642" s="212">
        <f>Q642</f>
        <v/>
      </c>
      <c r="T642" s="213">
        <f>U640</f>
        <v/>
      </c>
      <c r="U642" s="213">
        <f>T642+V642</f>
        <v/>
      </c>
      <c r="V642" s="213" t="n">
        <v>0.3888888888888889</v>
      </c>
      <c r="W642" s="214">
        <f>TEXT(T642,"HH""h""MM'")&amp;"÷"&amp;TEXT(U642,"HH""h""MM'")</f>
        <v/>
      </c>
      <c r="X642" s="214" t="n"/>
      <c r="Y642" s="214" t="n"/>
      <c r="Z642" s="214" t="inlineStr">
        <is>
          <t>05;</t>
        </is>
      </c>
      <c r="AA642" s="215" t="inlineStr">
        <is>
          <t>Kiểm tra công tác khoan tạo lỗ Cọc khoan nhồi Trụ T2 - Cọc C3</t>
        </is>
      </c>
      <c r="AB642" s="204" t="inlineStr">
        <is>
          <t>09-XL-307HG/PYCNT/CKN/T2/C3-1</t>
        </is>
      </c>
      <c r="AC642" s="204" t="inlineStr">
        <is>
          <t>09-XL-307HG/BBNT/CKN/T2/C3-5</t>
        </is>
      </c>
      <c r="AD642" s="204" t="n"/>
      <c r="AE642" s="204" t="n"/>
      <c r="AF642" s="204" t="n"/>
      <c r="AG642" s="204" t="n"/>
      <c r="AH642" s="204" t="n"/>
      <c r="AI642" s="216" t="n"/>
      <c r="AJ642" s="214" t="n"/>
      <c r="AK642" s="217" t="n"/>
      <c r="AL642" s="214" t="n"/>
      <c r="AM642" s="214" t="n"/>
      <c r="AN642" s="214" t="n"/>
      <c r="AO642" s="214" t="n"/>
      <c r="AP642" s="216" t="n"/>
      <c r="AQ642" s="216" t="n"/>
      <c r="AR642" s="214" t="inlineStr">
        <is>
          <t>Nhóm 1</t>
        </is>
      </c>
      <c r="AS642" s="214" t="n"/>
      <c r="AT642" s="214" t="inlineStr">
        <is>
          <t>HM17</t>
        </is>
      </c>
      <c r="AU642" s="214" t="inlineStr">
        <is>
          <t>NTCV</t>
        </is>
      </c>
      <c r="AV642" s="214" t="n">
        <v>175</v>
      </c>
      <c r="AW642" s="214" t="n">
        <v>4</v>
      </c>
      <c r="AX642" s="214" t="n"/>
    </row>
    <row r="643">
      <c r="A643" s="56" t="inlineStr">
        <is>
          <t>BBK638</t>
        </is>
      </c>
      <c r="B643" s="56" t="inlineStr">
        <is>
          <t>PL05</t>
        </is>
      </c>
      <c r="C643" s="56" t="inlineStr">
        <is>
          <t>BBK638.0719833</t>
        </is>
      </c>
      <c r="D643" s="57" t="n"/>
      <c r="E643" s="57" t="n"/>
      <c r="F643" s="57" t="n"/>
      <c r="G643" s="57" t="n"/>
      <c r="H643" s="57" t="n"/>
      <c r="J643" s="198" t="inlineStr">
        <is>
          <t>14</t>
        </is>
      </c>
      <c r="K643" s="198" t="inlineStr">
        <is>
          <t>PL05</t>
        </is>
      </c>
      <c r="L643" s="199" t="inlineStr">
        <is>
          <t>Kiểm tra công tác khoan tạo lỗ cọc khoan nhồi</t>
        </is>
      </c>
      <c r="M643" s="199" t="n"/>
      <c r="N643" s="199" t="n"/>
      <c r="O643" s="200" t="inlineStr">
        <is>
          <t>Cầu Km19+529.080</t>
        </is>
      </c>
      <c r="P643" s="201" t="n"/>
      <c r="Q643" s="201" t="n"/>
      <c r="R643" s="201" t="n"/>
      <c r="S643" s="201">
        <f>S642</f>
        <v/>
      </c>
      <c r="T643" s="208">
        <f>T642</f>
        <v/>
      </c>
      <c r="U643" s="208">
        <f>U642</f>
        <v/>
      </c>
      <c r="V643" s="208">
        <f>U643-T643</f>
        <v/>
      </c>
      <c r="W643" s="202" t="n"/>
      <c r="X643" s="202" t="n"/>
      <c r="Y643" s="202" t="n"/>
      <c r="Z643" s="198" t="inlineStr">
        <is>
          <t>05</t>
        </is>
      </c>
      <c r="AA643" s="203" t="n"/>
      <c r="AB643" s="204" t="inlineStr">
        <is>
          <t>09-XL-307HG/PYCNT/CKN/T2/C3</t>
        </is>
      </c>
      <c r="AC643" s="204">
        <f>AC642</f>
        <v/>
      </c>
      <c r="AD643" s="204" t="n"/>
      <c r="AE643" s="204" t="n"/>
      <c r="AF643" s="255" t="n">
        <v>167.86</v>
      </c>
      <c r="AG643" s="255" t="n"/>
      <c r="AH643" s="204" t="inlineStr">
        <is>
          <t>T2-C3</t>
        </is>
      </c>
      <c r="AI643" s="207" t="n"/>
      <c r="AJ643" s="202" t="n"/>
      <c r="AK643" s="206" t="n"/>
      <c r="AL643" s="202" t="n"/>
      <c r="AM643" s="202" t="n"/>
      <c r="AN643" s="202" t="n"/>
      <c r="AO643" s="202" t="n"/>
      <c r="AP643" s="207" t="n"/>
      <c r="AQ643" s="207" t="n"/>
      <c r="AR643" s="202" t="inlineStr">
        <is>
          <t>Nhóm 1</t>
        </is>
      </c>
      <c r="AS643" s="202" t="n"/>
      <c r="AT643" s="202" t="inlineStr">
        <is>
          <t>HM17</t>
        </is>
      </c>
      <c r="AU643" s="202" t="inlineStr">
        <is>
          <t>PL05</t>
        </is>
      </c>
      <c r="AV643" s="202" t="n">
        <v>12</v>
      </c>
      <c r="AW643" s="202" t="n">
        <v>1</v>
      </c>
      <c r="AX643" s="202" t="n"/>
    </row>
    <row r="644">
      <c r="A644" s="56" t="inlineStr">
        <is>
          <t>BBK680</t>
        </is>
      </c>
      <c r="B644" s="56" t="inlineStr">
        <is>
          <t>PYC</t>
        </is>
      </c>
      <c r="C644" s="56" t="inlineStr">
        <is>
          <t>BBK680.0506741</t>
        </is>
      </c>
      <c r="D644" s="57" t="n"/>
      <c r="E644" s="57" t="n"/>
      <c r="F644" s="57" t="n"/>
      <c r="G644" s="57" t="n"/>
      <c r="H644" s="57" t="n"/>
      <c r="J644" s="198" t="inlineStr">
        <is>
          <t>15</t>
        </is>
      </c>
      <c r="K644" s="198" t="inlineStr">
        <is>
          <t>PYC</t>
        </is>
      </c>
      <c r="L644" s="199" t="inlineStr">
        <is>
          <t>Phiếu yêu cầu nghiệm thu</t>
        </is>
      </c>
      <c r="M644" s="199" t="n"/>
      <c r="N644" s="199" t="n"/>
      <c r="O644" s="200" t="inlineStr">
        <is>
          <t>Cầu Km19+529.080</t>
        </is>
      </c>
      <c r="P644" s="201" t="n"/>
      <c r="Q644" s="201" t="n"/>
      <c r="R644" s="201">
        <f>R645</f>
        <v/>
      </c>
      <c r="S644" s="201" t="n"/>
      <c r="T644" s="201" t="n"/>
      <c r="U644" s="201" t="n"/>
      <c r="V644" s="201" t="n"/>
      <c r="W644" s="202" t="n"/>
      <c r="X644" s="202" t="n"/>
      <c r="Y644" s="202" t="n"/>
      <c r="Z644" s="202" t="n"/>
      <c r="AA644" s="203" t="n"/>
      <c r="AB644" s="204" t="inlineStr">
        <is>
          <t>09-XL-307HG/PYCNT/CKN/T2/C3</t>
        </is>
      </c>
      <c r="AC644" s="205" t="inlineStr"/>
      <c r="AD644" s="205" t="n"/>
      <c r="AE644" s="205" t="n"/>
      <c r="AF644" s="205" t="n"/>
      <c r="AG644" s="205" t="inlineStr">
        <is>
          <t>NTCV;BBKTĐK</t>
        </is>
      </c>
      <c r="AH644" s="204" t="inlineStr">
        <is>
          <t>&gt;=6;&lt;=10</t>
        </is>
      </c>
      <c r="AI644" s="202" t="n"/>
      <c r="AJ644" s="202" t="n"/>
      <c r="AK644" s="206" t="n"/>
      <c r="AL644" s="202" t="n"/>
      <c r="AM644" s="202" t="n"/>
      <c r="AN644" s="202" t="n"/>
      <c r="AO644" s="202" t="n"/>
      <c r="AP644" s="207" t="n"/>
      <c r="AQ644" s="207" t="n"/>
      <c r="AR644" s="202" t="inlineStr">
        <is>
          <t>Nhóm 1</t>
        </is>
      </c>
      <c r="AS644" s="202" t="n"/>
      <c r="AT644" s="202" t="inlineStr">
        <is>
          <t>HM17</t>
        </is>
      </c>
      <c r="AU644" s="202" t="inlineStr">
        <is>
          <t>PYC</t>
        </is>
      </c>
      <c r="AV644" s="202" t="n">
        <v>194</v>
      </c>
      <c r="AW644" s="202" t="n">
        <v>2</v>
      </c>
      <c r="AX644" s="202" t="n"/>
    </row>
    <row r="645" ht="42" customHeight="1" s="672">
      <c r="A645" s="56" t="inlineStr">
        <is>
          <t>NTCV</t>
        </is>
      </c>
      <c r="B645" s="56" t="inlineStr">
        <is>
          <t>K.9999</t>
        </is>
      </c>
      <c r="C645" s="56" t="inlineStr">
        <is>
          <t>NTCV.0173543</t>
        </is>
      </c>
      <c r="D645" s="57" t="n"/>
      <c r="E645" s="57" t="n"/>
      <c r="F645" s="57" t="n"/>
      <c r="G645" s="57" t="n"/>
      <c r="H645" s="57" t="n"/>
      <c r="J645" s="209" t="inlineStr">
        <is>
          <t>16</t>
        </is>
      </c>
      <c r="K645" s="209" t="inlineStr">
        <is>
          <t>K.9999</t>
        </is>
      </c>
      <c r="L645" s="210" t="inlineStr">
        <is>
          <t>Kiểm tra công tác vệ sinh lỗ khoan trước khi hạ lồng cốt thép cọc khoan nhồi</t>
        </is>
      </c>
      <c r="M645" s="210" t="n"/>
      <c r="N645" s="210" t="n"/>
      <c r="O645" s="211" t="inlineStr">
        <is>
          <t>Cầu Km19+529.080</t>
        </is>
      </c>
      <c r="P645" s="212">
        <f>S642+1</f>
        <v/>
      </c>
      <c r="Q645" s="212">
        <f>P645</f>
        <v/>
      </c>
      <c r="R645" s="212">
        <f>Q645-1</f>
        <v/>
      </c>
      <c r="S645" s="212">
        <f>Q645</f>
        <v/>
      </c>
      <c r="T645" s="213" t="n">
        <v>0.3333333333333333</v>
      </c>
      <c r="U645" s="213">
        <f>T645+V645</f>
        <v/>
      </c>
      <c r="V645" s="213" t="n">
        <v>0.01041666666666667</v>
      </c>
      <c r="W645" s="214">
        <f>TEXT(T645,"HH""h""MM'")&amp;"÷"&amp;TEXT(U645,"HH""h""MM'")</f>
        <v/>
      </c>
      <c r="X645" s="214" t="n"/>
      <c r="Y645" s="214" t="n"/>
      <c r="Z645" s="214" t="inlineStr">
        <is>
          <t>06;</t>
        </is>
      </c>
      <c r="AA645" s="215" t="inlineStr">
        <is>
          <t>Kiểm tra công tác vệ sinh lỗ khoan trước khi hạ lồng cốt thép Cọc khoan nhồi Trụ T2 - Cọc C3</t>
        </is>
      </c>
      <c r="AB645" s="204" t="inlineStr">
        <is>
          <t>09-XL-307HG/PYCNT/CKN/T2/C3-2</t>
        </is>
      </c>
      <c r="AC645" s="204" t="inlineStr">
        <is>
          <t>09-XL-307HG/BBNT/CKN/T2/C3-6</t>
        </is>
      </c>
      <c r="AD645" s="204" t="n"/>
      <c r="AE645" s="204" t="n"/>
      <c r="AF645" s="204" t="n"/>
      <c r="AG645" s="204" t="n"/>
      <c r="AH645" s="204" t="n"/>
      <c r="AI645" s="216" t="n"/>
      <c r="AJ645" s="214" t="n"/>
      <c r="AK645" s="217" t="n"/>
      <c r="AL645" s="214" t="n"/>
      <c r="AM645" s="214" t="n"/>
      <c r="AN645" s="214" t="n"/>
      <c r="AO645" s="214" t="n"/>
      <c r="AP645" s="216" t="n"/>
      <c r="AQ645" s="216" t="n"/>
      <c r="AR645" s="214" t="inlineStr">
        <is>
          <t>Nhóm 1</t>
        </is>
      </c>
      <c r="AS645" s="214" t="n"/>
      <c r="AT645" s="214" t="inlineStr">
        <is>
          <t>HM17</t>
        </is>
      </c>
      <c r="AU645" s="214" t="inlineStr">
        <is>
          <t>NTCV</t>
        </is>
      </c>
      <c r="AV645" s="214" t="n">
        <v>182</v>
      </c>
      <c r="AW645" s="214" t="n">
        <v>5</v>
      </c>
      <c r="AX645" s="214" t="n"/>
    </row>
    <row r="646" ht="28" customHeight="1" s="672">
      <c r="A646" s="56" t="inlineStr">
        <is>
          <t>BBK570</t>
        </is>
      </c>
      <c r="B646" s="56" t="inlineStr">
        <is>
          <t>PL06</t>
        </is>
      </c>
      <c r="C646" s="56" t="inlineStr">
        <is>
          <t>BBK570.0278057</t>
        </is>
      </c>
      <c r="D646" s="57" t="n"/>
      <c r="E646" s="57" t="n"/>
      <c r="F646" s="57" t="n"/>
      <c r="G646" s="57" t="n"/>
      <c r="H646" s="57" t="n"/>
      <c r="J646" s="198" t="inlineStr">
        <is>
          <t>17</t>
        </is>
      </c>
      <c r="K646" s="198" t="inlineStr">
        <is>
          <t>PL06</t>
        </is>
      </c>
      <c r="L646" s="199" t="inlineStr">
        <is>
          <t>Kiểm tra công tác vệ sinh lỗ khoan trước khi hạ lồng cốt thép cọc khoan nhồi</t>
        </is>
      </c>
      <c r="M646" s="199" t="n"/>
      <c r="N646" s="199" t="n"/>
      <c r="O646" s="200" t="inlineStr">
        <is>
          <t>Cầu Km19+529.080</t>
        </is>
      </c>
      <c r="P646" s="201" t="n"/>
      <c r="Q646" s="201" t="n"/>
      <c r="R646" s="201" t="n"/>
      <c r="S646" s="201">
        <f>S645</f>
        <v/>
      </c>
      <c r="T646" s="201" t="n"/>
      <c r="U646" s="201" t="n"/>
      <c r="V646" s="201" t="n"/>
      <c r="W646" s="202" t="n"/>
      <c r="X646" s="265" t="n">
        <v>135.86</v>
      </c>
      <c r="Y646" s="265">
        <f>X646-0.02</f>
        <v/>
      </c>
      <c r="Z646" s="198" t="inlineStr">
        <is>
          <t>06</t>
        </is>
      </c>
      <c r="AA646" s="203" t="n"/>
      <c r="AB646" s="204" t="inlineStr">
        <is>
          <t>09-XL-307HG/PYCNT/CKN/T2/C3-2</t>
        </is>
      </c>
      <c r="AC646" s="204">
        <f>AC645</f>
        <v/>
      </c>
      <c r="AD646" s="204" t="n"/>
      <c r="AE646" s="204" t="n"/>
      <c r="AF646" s="204" t="n"/>
      <c r="AG646" s="204" t="n"/>
      <c r="AH646" s="204" t="n"/>
      <c r="AI646" s="202" t="n"/>
      <c r="AJ646" s="202" t="n"/>
      <c r="AK646" s="206" t="n"/>
      <c r="AL646" s="202" t="n"/>
      <c r="AM646" s="202" t="n"/>
      <c r="AN646" s="202" t="n"/>
      <c r="AO646" s="202" t="n"/>
      <c r="AP646" s="207" t="n"/>
      <c r="AQ646" s="207" t="n"/>
      <c r="AR646" s="202" t="inlineStr">
        <is>
          <t>Nhóm 1</t>
        </is>
      </c>
      <c r="AS646" s="202" t="n"/>
      <c r="AT646" s="202" t="inlineStr">
        <is>
          <t>HM17</t>
        </is>
      </c>
      <c r="AU646" s="202" t="inlineStr">
        <is>
          <t>PL06</t>
        </is>
      </c>
      <c r="AV646" s="202" t="n">
        <v>12</v>
      </c>
      <c r="AW646" s="202" t="n">
        <v>1</v>
      </c>
      <c r="AX646" s="202" t="n"/>
    </row>
    <row r="647" ht="28" customHeight="1" s="672">
      <c r="A647" s="56" t="inlineStr">
        <is>
          <t>NTCV</t>
        </is>
      </c>
      <c r="B647" s="56" t="inlineStr">
        <is>
          <t>K.9999</t>
        </is>
      </c>
      <c r="C647" s="56" t="inlineStr">
        <is>
          <t>NTCV.0087257</t>
        </is>
      </c>
      <c r="D647" s="57" t="n"/>
      <c r="E647" s="57" t="n"/>
      <c r="F647" s="57" t="n"/>
      <c r="G647" s="57" t="n"/>
      <c r="H647" s="57" t="n"/>
      <c r="J647" s="209" t="inlineStr">
        <is>
          <t>18</t>
        </is>
      </c>
      <c r="K647" s="209" t="inlineStr">
        <is>
          <t>K.9999</t>
        </is>
      </c>
      <c r="L647" s="210" t="inlineStr">
        <is>
          <t xml:space="preserve">Nghiệm thu công tác hạ lồng thép </t>
        </is>
      </c>
      <c r="M647" s="210" t="n"/>
      <c r="N647" s="210" t="n"/>
      <c r="O647" s="211" t="inlineStr">
        <is>
          <t>Cầu Km19+529.080</t>
        </is>
      </c>
      <c r="P647" s="212">
        <f>S645</f>
        <v/>
      </c>
      <c r="Q647" s="212">
        <f>P647</f>
        <v/>
      </c>
      <c r="R647" s="212">
        <f>Q647-1</f>
        <v/>
      </c>
      <c r="S647" s="212">
        <f>Q647</f>
        <v/>
      </c>
      <c r="T647" s="213">
        <f>U645</f>
        <v/>
      </c>
      <c r="U647" s="213">
        <f>T647+V647</f>
        <v/>
      </c>
      <c r="V647" s="213" t="n">
        <v>0.03125</v>
      </c>
      <c r="W647" s="214">
        <f>TEXT(T647,"HH""h""MM'")&amp;"÷"&amp;TEXT(U647,"HH""h""MM'")</f>
        <v/>
      </c>
      <c r="X647" s="214" t="n"/>
      <c r="Y647" s="214" t="n"/>
      <c r="Z647" s="214" t="inlineStr">
        <is>
          <t>07;</t>
        </is>
      </c>
      <c r="AA647" s="215" t="inlineStr">
        <is>
          <t>Công tác hạ lồng thép Cọc khoan nhồi Trụ T2 - Cọc C3</t>
        </is>
      </c>
      <c r="AB647" s="204" t="inlineStr">
        <is>
          <t>09-XL-307HG/PYCNT/CKN/T2/C3-2</t>
        </is>
      </c>
      <c r="AC647" s="204" t="inlineStr">
        <is>
          <t>09-XL-307HG/BBNT/CKN/T2/C3-7</t>
        </is>
      </c>
      <c r="AD647" s="204" t="n"/>
      <c r="AE647" s="204" t="n"/>
      <c r="AF647" s="204" t="n"/>
      <c r="AG647" s="204" t="n"/>
      <c r="AH647" s="204" t="n"/>
      <c r="AI647" s="214" t="n"/>
      <c r="AJ647" s="214" t="n"/>
      <c r="AK647" s="217" t="n"/>
      <c r="AL647" s="214" t="n"/>
      <c r="AM647" s="214" t="n"/>
      <c r="AN647" s="214" t="n"/>
      <c r="AO647" s="214" t="n"/>
      <c r="AP647" s="216" t="n"/>
      <c r="AQ647" s="216" t="n"/>
      <c r="AR647" s="214" t="inlineStr">
        <is>
          <t>Nhóm 1</t>
        </is>
      </c>
      <c r="AS647" s="214" t="n"/>
      <c r="AT647" s="214" t="inlineStr">
        <is>
          <t>HM17</t>
        </is>
      </c>
      <c r="AU647" s="214" t="inlineStr">
        <is>
          <t>NTCV</t>
        </is>
      </c>
      <c r="AV647" s="214" t="n">
        <v>183</v>
      </c>
      <c r="AW647" s="214" t="n">
        <v>6</v>
      </c>
      <c r="AX647" s="214" t="n"/>
    </row>
    <row r="648">
      <c r="A648" s="56" t="inlineStr">
        <is>
          <t>BBK396</t>
        </is>
      </c>
      <c r="B648" s="56" t="inlineStr">
        <is>
          <t>PL07</t>
        </is>
      </c>
      <c r="C648" s="56" t="inlineStr">
        <is>
          <t>BBK396.0978931</t>
        </is>
      </c>
      <c r="D648" s="57" t="n"/>
      <c r="E648" s="57" t="n"/>
      <c r="F648" s="57" t="n"/>
      <c r="G648" s="57" t="n"/>
      <c r="H648" s="57" t="n"/>
      <c r="J648" s="198" t="inlineStr">
        <is>
          <t>19</t>
        </is>
      </c>
      <c r="K648" s="198" t="inlineStr">
        <is>
          <t>PL07</t>
        </is>
      </c>
      <c r="L648" s="199" t="inlineStr">
        <is>
          <t>Nghiệm thu công tác hạ lồng thép</t>
        </is>
      </c>
      <c r="M648" s="199" t="n"/>
      <c r="N648" s="199" t="n"/>
      <c r="O648" s="200" t="inlineStr">
        <is>
          <t>Cầu Km19+529.080</t>
        </is>
      </c>
      <c r="P648" s="201" t="n"/>
      <c r="Q648" s="201" t="n"/>
      <c r="R648" s="201" t="n"/>
      <c r="S648" s="201">
        <f>S647</f>
        <v/>
      </c>
      <c r="T648" s="201" t="n"/>
      <c r="U648" s="201" t="n"/>
      <c r="V648" s="201" t="n"/>
      <c r="W648" s="202" t="n"/>
      <c r="X648" s="202" t="n"/>
      <c r="Y648" s="202" t="n"/>
      <c r="Z648" s="198" t="inlineStr">
        <is>
          <t>07</t>
        </is>
      </c>
      <c r="AA648" s="203" t="n"/>
      <c r="AB648" s="204" t="inlineStr">
        <is>
          <t>09-XL-307HG/PYCNT/CKN/T2/C3-2</t>
        </is>
      </c>
      <c r="AC648" s="204">
        <f>AC647</f>
        <v/>
      </c>
      <c r="AD648" s="204" t="n"/>
      <c r="AE648" s="204" t="n"/>
      <c r="AF648" s="204" t="n"/>
      <c r="AG648" s="204" t="n"/>
      <c r="AH648" s="204" t="n"/>
      <c r="AI648" s="202" t="n"/>
      <c r="AJ648" s="202" t="n"/>
      <c r="AK648" s="206" t="n"/>
      <c r="AL648" s="202" t="n"/>
      <c r="AM648" s="202" t="n"/>
      <c r="AN648" s="202" t="n"/>
      <c r="AO648" s="202" t="n"/>
      <c r="AP648" s="207" t="n"/>
      <c r="AQ648" s="207" t="n"/>
      <c r="AR648" s="202" t="inlineStr">
        <is>
          <t>Nhóm 1</t>
        </is>
      </c>
      <c r="AS648" s="202" t="n"/>
      <c r="AT648" s="202" t="inlineStr">
        <is>
          <t>HM17</t>
        </is>
      </c>
      <c r="AU648" s="202" t="inlineStr">
        <is>
          <t>PL07</t>
        </is>
      </c>
      <c r="AV648" s="202" t="n">
        <v>12</v>
      </c>
      <c r="AW648" s="202" t="n">
        <v>1</v>
      </c>
      <c r="AX648" s="202" t="n"/>
    </row>
    <row r="649" ht="42" customHeight="1" s="672">
      <c r="A649" s="56" t="inlineStr">
        <is>
          <t>NTCV</t>
        </is>
      </c>
      <c r="B649" s="56" t="inlineStr">
        <is>
          <t>K.9999</t>
        </is>
      </c>
      <c r="C649" s="56" t="inlineStr">
        <is>
          <t>NTCV.0283584</t>
        </is>
      </c>
      <c r="D649" s="57" t="n"/>
      <c r="E649" s="57" t="n"/>
      <c r="F649" s="57" t="n"/>
      <c r="G649" s="57" t="n"/>
      <c r="H649" s="57" t="n"/>
      <c r="J649" s="209" t="inlineStr">
        <is>
          <t>20</t>
        </is>
      </c>
      <c r="K649" s="209" t="inlineStr">
        <is>
          <t>K.9999</t>
        </is>
      </c>
      <c r="L649" s="210" t="inlineStr">
        <is>
          <t xml:space="preserve">Kiểm tra công tác vệ sinh lỗ khoan cọc khoan nhồi trước khi đổ bê tông </t>
        </is>
      </c>
      <c r="M649" s="210" t="n"/>
      <c r="N649" s="210" t="n"/>
      <c r="O649" s="211" t="inlineStr">
        <is>
          <t>Cầu Km19+529.080</t>
        </is>
      </c>
      <c r="P649" s="212">
        <f>S647</f>
        <v/>
      </c>
      <c r="Q649" s="212">
        <f>P649</f>
        <v/>
      </c>
      <c r="R649" s="212">
        <f>Q649-1</f>
        <v/>
      </c>
      <c r="S649" s="212">
        <f>Q649</f>
        <v/>
      </c>
      <c r="T649" s="213">
        <f>U647</f>
        <v/>
      </c>
      <c r="U649" s="213">
        <f>T649+V649</f>
        <v/>
      </c>
      <c r="V649" s="213" t="n">
        <v>0.02083333333333333</v>
      </c>
      <c r="W649" s="214">
        <f>TEXT(T649,"HH""h""MM'")&amp;"÷"&amp;TEXT(U649,"HH""h""MM'")</f>
        <v/>
      </c>
      <c r="X649" s="214" t="n"/>
      <c r="Y649" s="214" t="n"/>
      <c r="Z649" s="214" t="inlineStr">
        <is>
          <t>08;</t>
        </is>
      </c>
      <c r="AA649" s="215" t="inlineStr">
        <is>
          <t>Kiểm tra công tác vệ sinh lỗ khoan cọc khoan nhồi trước khi đổ bê tông Cọc khoan nhồi Trụ T2 - Cọc C3</t>
        </is>
      </c>
      <c r="AB649" s="204" t="inlineStr">
        <is>
          <t>09-XL-307HG/PYCNT/CKN/T2/C3-2</t>
        </is>
      </c>
      <c r="AC649" s="204" t="inlineStr">
        <is>
          <t>09-XL-307HG/BBNT/CKN/T2/C3-8</t>
        </is>
      </c>
      <c r="AD649" s="204" t="n"/>
      <c r="AE649" s="204" t="n"/>
      <c r="AF649" s="204" t="n"/>
      <c r="AG649" s="204" t="n"/>
      <c r="AH649" s="204" t="n"/>
      <c r="AI649" s="214" t="n"/>
      <c r="AJ649" s="214" t="n"/>
      <c r="AK649" s="217" t="n"/>
      <c r="AL649" s="214" t="n"/>
      <c r="AM649" s="214" t="n"/>
      <c r="AN649" s="214" t="n"/>
      <c r="AO649" s="214" t="n"/>
      <c r="AP649" s="216" t="n"/>
      <c r="AQ649" s="216" t="n"/>
      <c r="AR649" s="214" t="inlineStr">
        <is>
          <t>Nhóm 1</t>
        </is>
      </c>
      <c r="AS649" s="214" t="n"/>
      <c r="AT649" s="214" t="inlineStr">
        <is>
          <t>HM17</t>
        </is>
      </c>
      <c r="AU649" s="214" t="inlineStr">
        <is>
          <t>NTCV</t>
        </is>
      </c>
      <c r="AV649" s="214" t="n">
        <v>188</v>
      </c>
      <c r="AW649" s="214" t="n">
        <v>7</v>
      </c>
      <c r="AX649" s="214" t="n"/>
    </row>
    <row r="650" ht="28" customHeight="1" s="672">
      <c r="A650" s="56" t="inlineStr">
        <is>
          <t>BBK521</t>
        </is>
      </c>
      <c r="B650" s="56" t="inlineStr">
        <is>
          <t>PL08</t>
        </is>
      </c>
      <c r="C650" s="56" t="inlineStr">
        <is>
          <t>BBK521.0618100</t>
        </is>
      </c>
      <c r="D650" s="57" t="n"/>
      <c r="E650" s="57" t="n"/>
      <c r="F650" s="57" t="n"/>
      <c r="G650" s="57" t="n"/>
      <c r="H650" s="57" t="n"/>
      <c r="J650" s="198" t="inlineStr">
        <is>
          <t>21</t>
        </is>
      </c>
      <c r="K650" s="198" t="inlineStr">
        <is>
          <t>PL08</t>
        </is>
      </c>
      <c r="L650" s="199" t="inlineStr">
        <is>
          <t>Kiểm tra công tác vệ sinh lỗ khoan cọc khoan nhồi trước khi đổ bê tông</t>
        </is>
      </c>
      <c r="M650" s="199" t="n"/>
      <c r="N650" s="199" t="n"/>
      <c r="O650" s="200" t="inlineStr">
        <is>
          <t>Cầu Km19+529.080</t>
        </is>
      </c>
      <c r="P650" s="201" t="n"/>
      <c r="Q650" s="201" t="n"/>
      <c r="R650" s="201" t="n"/>
      <c r="S650" s="201">
        <f>S649</f>
        <v/>
      </c>
      <c r="T650" s="201" t="n"/>
      <c r="U650" s="201" t="n"/>
      <c r="V650" s="201" t="n"/>
      <c r="W650" s="202" t="n"/>
      <c r="X650" s="202" t="n"/>
      <c r="Y650" s="202" t="n"/>
      <c r="Z650" s="198" t="inlineStr">
        <is>
          <t>08</t>
        </is>
      </c>
      <c r="AA650" s="203" t="n"/>
      <c r="AB650" s="204" t="inlineStr">
        <is>
          <t>09-XL-307HG/PYCNT/CKN/T2/C3-2</t>
        </is>
      </c>
      <c r="AC650" s="204">
        <f>AC649</f>
        <v/>
      </c>
      <c r="AD650" s="204" t="n"/>
      <c r="AE650" s="204" t="n"/>
      <c r="AF650" s="204" t="n"/>
      <c r="AG650" s="204" t="n"/>
      <c r="AH650" s="204" t="n"/>
      <c r="AI650" s="202" t="n"/>
      <c r="AJ650" s="202" t="n"/>
      <c r="AK650" s="206" t="n"/>
      <c r="AL650" s="202" t="n"/>
      <c r="AM650" s="202" t="n"/>
      <c r="AN650" s="202" t="n"/>
      <c r="AO650" s="202" t="n"/>
      <c r="AP650" s="207" t="n"/>
      <c r="AQ650" s="207" t="n"/>
      <c r="AR650" s="202" t="inlineStr">
        <is>
          <t>Nhóm 1</t>
        </is>
      </c>
      <c r="AS650" s="202" t="n"/>
      <c r="AT650" s="202" t="inlineStr">
        <is>
          <t>HM17</t>
        </is>
      </c>
      <c r="AU650" s="202" t="inlineStr">
        <is>
          <t>PL08</t>
        </is>
      </c>
      <c r="AV650" s="202" t="n">
        <v>12</v>
      </c>
      <c r="AW650" s="202" t="n">
        <v>1</v>
      </c>
      <c r="AX650" s="202" t="n"/>
    </row>
    <row r="651" ht="28" customHeight="1" s="672">
      <c r="A651" s="56" t="inlineStr">
        <is>
          <t>NTCV</t>
        </is>
      </c>
      <c r="B651" s="56" t="inlineStr">
        <is>
          <t>K.9999</t>
        </is>
      </c>
      <c r="C651" s="56" t="inlineStr">
        <is>
          <t>NTCV.0306629</t>
        </is>
      </c>
      <c r="D651" s="57" t="n"/>
      <c r="E651" s="57" t="n"/>
      <c r="F651" s="57" t="n"/>
      <c r="G651" s="57" t="n"/>
      <c r="H651" s="57" t="n"/>
      <c r="J651" s="209" t="inlineStr">
        <is>
          <t>22</t>
        </is>
      </c>
      <c r="K651" s="209" t="inlineStr">
        <is>
          <t>K.9999</t>
        </is>
      </c>
      <c r="L651" s="210" t="inlineStr">
        <is>
          <t xml:space="preserve">Kiểm tra công tác chuẩn bị đổ bê tông cọc khoan nhồi </t>
        </is>
      </c>
      <c r="M651" s="210" t="n"/>
      <c r="N651" s="210" t="n"/>
      <c r="O651" s="211" t="inlineStr">
        <is>
          <t>Cầu Km19+529.080</t>
        </is>
      </c>
      <c r="P651" s="212">
        <f>S649</f>
        <v/>
      </c>
      <c r="Q651" s="212">
        <f>P651</f>
        <v/>
      </c>
      <c r="R651" s="212">
        <f>Q651-1</f>
        <v/>
      </c>
      <c r="S651" s="212">
        <f>Q651</f>
        <v/>
      </c>
      <c r="T651" s="213">
        <f>U649</f>
        <v/>
      </c>
      <c r="U651" s="213">
        <f>T651+V651</f>
        <v/>
      </c>
      <c r="V651" s="213" t="n">
        <v>0.02083333333333333</v>
      </c>
      <c r="W651" s="214">
        <f>TEXT(T651,"HH""h""MM'")&amp;"÷"&amp;TEXT(U651,"HH""h""MM'")</f>
        <v/>
      </c>
      <c r="X651" s="214" t="n"/>
      <c r="Y651" s="214" t="n"/>
      <c r="Z651" s="214" t="inlineStr">
        <is>
          <t>09;</t>
        </is>
      </c>
      <c r="AA651" s="215" t="inlineStr">
        <is>
          <t>Kiểm tra công tác chuẩn bị đổ bê tông Cọc khoan nhồi Trụ T2 - Cọc C3</t>
        </is>
      </c>
      <c r="AB651" s="204" t="inlineStr">
        <is>
          <t>09-XL-307HG/PYCNT/CKN/T2/C3-2</t>
        </is>
      </c>
      <c r="AC651" s="204" t="inlineStr">
        <is>
          <t>09-XL-307HG/BBNT/CKN/T2/C3-9</t>
        </is>
      </c>
      <c r="AD651" s="204" t="n"/>
      <c r="AE651" s="204" t="n"/>
      <c r="AF651" s="204" t="n"/>
      <c r="AG651" s="204" t="n"/>
      <c r="AH651" s="204" t="n"/>
      <c r="AI651" s="214" t="n"/>
      <c r="AJ651" s="214" t="n"/>
      <c r="AK651" s="217" t="n"/>
      <c r="AL651" s="214" t="n"/>
      <c r="AM651" s="214" t="n"/>
      <c r="AN651" s="214" t="n"/>
      <c r="AO651" s="214" t="n"/>
      <c r="AP651" s="216" t="n"/>
      <c r="AQ651" s="216" t="n"/>
      <c r="AR651" s="214" t="inlineStr">
        <is>
          <t>Nhóm 1</t>
        </is>
      </c>
      <c r="AS651" s="214" t="n"/>
      <c r="AT651" s="214" t="inlineStr">
        <is>
          <t>HM17</t>
        </is>
      </c>
      <c r="AU651" s="214" t="inlineStr">
        <is>
          <t>NTCV</t>
        </is>
      </c>
      <c r="AV651" s="214" t="n">
        <v>189</v>
      </c>
      <c r="AW651" s="214" t="n">
        <v>8</v>
      </c>
      <c r="AX651" s="214" t="n"/>
    </row>
    <row r="652">
      <c r="A652" s="56" t="inlineStr">
        <is>
          <t>BBK209</t>
        </is>
      </c>
      <c r="B652" s="56" t="inlineStr">
        <is>
          <t>PL09</t>
        </is>
      </c>
      <c r="C652" s="56" t="inlineStr">
        <is>
          <t>BBK209.0852309</t>
        </is>
      </c>
      <c r="D652" s="57" t="n"/>
      <c r="E652" s="57" t="n"/>
      <c r="F652" s="57" t="n"/>
      <c r="G652" s="57" t="n"/>
      <c r="H652" s="57" t="n"/>
      <c r="J652" s="198" t="inlineStr">
        <is>
          <t>23</t>
        </is>
      </c>
      <c r="K652" s="198" t="inlineStr">
        <is>
          <t>PL09</t>
        </is>
      </c>
      <c r="L652" s="199" t="inlineStr">
        <is>
          <t>Kiểm tra công tác chuẩn bị đổ bê tông cọc khoan nhồi</t>
        </is>
      </c>
      <c r="M652" s="199" t="n"/>
      <c r="N652" s="199" t="n"/>
      <c r="O652" s="200" t="inlineStr">
        <is>
          <t>Cầu Km19+529.080</t>
        </is>
      </c>
      <c r="P652" s="201" t="n"/>
      <c r="Q652" s="201" t="n"/>
      <c r="R652" s="201" t="n"/>
      <c r="S652" s="201">
        <f>S651</f>
        <v/>
      </c>
      <c r="T652" s="201" t="n"/>
      <c r="U652" s="201" t="n"/>
      <c r="V652" s="201" t="n"/>
      <c r="W652" s="202" t="n"/>
      <c r="X652" s="202" t="n"/>
      <c r="Y652" s="202" t="n"/>
      <c r="Z652" s="198" t="inlineStr">
        <is>
          <t>09</t>
        </is>
      </c>
      <c r="AA652" s="203" t="n"/>
      <c r="AB652" s="204" t="inlineStr">
        <is>
          <t>09-XL-307HG/PYCNT/CKN/T2/C3-2</t>
        </is>
      </c>
      <c r="AC652" s="204">
        <f>AC651</f>
        <v/>
      </c>
      <c r="AD652" s="204" t="n"/>
      <c r="AE652" s="204" t="n"/>
      <c r="AF652" s="204" t="n"/>
      <c r="AG652" s="204" t="n"/>
      <c r="AH652" s="204" t="inlineStr">
        <is>
          <t>C30(1)</t>
        </is>
      </c>
      <c r="AI652" s="202" t="n"/>
      <c r="AJ652" s="202" t="n"/>
      <c r="AK652" s="206" t="n"/>
      <c r="AL652" s="202" t="n"/>
      <c r="AM652" s="202" t="n"/>
      <c r="AN652" s="202" t="n"/>
      <c r="AO652" s="202" t="n"/>
      <c r="AP652" s="207" t="n"/>
      <c r="AQ652" s="207" t="n"/>
      <c r="AR652" s="202" t="inlineStr">
        <is>
          <t>Nhóm 1</t>
        </is>
      </c>
      <c r="AS652" s="202" t="n"/>
      <c r="AT652" s="202" t="inlineStr">
        <is>
          <t>HM17</t>
        </is>
      </c>
      <c r="AU652" s="202" t="inlineStr">
        <is>
          <t>PL09</t>
        </is>
      </c>
      <c r="AV652" s="202" t="n">
        <v>12</v>
      </c>
      <c r="AW652" s="202" t="n">
        <v>1</v>
      </c>
      <c r="AX652" s="202" t="n"/>
    </row>
    <row r="653" ht="28" customHeight="1" s="672">
      <c r="A653" s="56" t="inlineStr">
        <is>
          <t>NTCV</t>
        </is>
      </c>
      <c r="B653" s="56" t="inlineStr">
        <is>
          <t>K.9999</t>
        </is>
      </c>
      <c r="C653" s="56" t="inlineStr">
        <is>
          <t>NTCV.0318967</t>
        </is>
      </c>
      <c r="D653" s="57" t="n"/>
      <c r="E653" s="57" t="n"/>
      <c r="F653" s="57" t="n"/>
      <c r="G653" s="57" t="n"/>
      <c r="H653" s="57" t="n"/>
      <c r="J653" s="209" t="inlineStr">
        <is>
          <t>24</t>
        </is>
      </c>
      <c r="K653" s="209" t="inlineStr">
        <is>
          <t>K.9999</t>
        </is>
      </c>
      <c r="L653" s="210" t="inlineStr">
        <is>
          <t>Theo dõi quá trình đổ bê tông cọc khoan nhồi</t>
        </is>
      </c>
      <c r="M653" s="210" t="n"/>
      <c r="N653" s="210" t="n"/>
      <c r="O653" s="211" t="inlineStr">
        <is>
          <t>Cầu Km19+529.080</t>
        </is>
      </c>
      <c r="P653" s="212">
        <f>S651</f>
        <v/>
      </c>
      <c r="Q653" s="212">
        <f>P653</f>
        <v/>
      </c>
      <c r="R653" s="212">
        <f>Q653-1</f>
        <v/>
      </c>
      <c r="S653" s="212">
        <f>Q653</f>
        <v/>
      </c>
      <c r="T653" s="213">
        <f>U651</f>
        <v/>
      </c>
      <c r="U653" s="213">
        <f>T653+V653</f>
        <v/>
      </c>
      <c r="V653" s="213" t="n">
        <v>0.1458333333333333</v>
      </c>
      <c r="W653" s="214">
        <f>TEXT(T653,"HH""h""MM'")&amp;"÷"&amp;TEXT(U653,"HH""h""MM'")</f>
        <v/>
      </c>
      <c r="X653" s="214" t="n"/>
      <c r="Y653" s="214" t="n"/>
      <c r="Z653" s="214" t="inlineStr">
        <is>
          <t>10;</t>
        </is>
      </c>
      <c r="AA653" s="215" t="inlineStr">
        <is>
          <t>Theo dõi quá trình đổ bê tông  Cọc khoan nhồi Trụ T2 - Cọc C3</t>
        </is>
      </c>
      <c r="AB653" s="204" t="inlineStr">
        <is>
          <t>09-XL-307HG/PYCNT/CKN/T2/C3-2</t>
        </is>
      </c>
      <c r="AC653" s="204" t="inlineStr">
        <is>
          <t>09-XL-307HG/BBNT/CKN/T2/C3-10</t>
        </is>
      </c>
      <c r="AD653" s="204" t="n"/>
      <c r="AE653" s="204" t="n"/>
      <c r="AF653" s="204" t="n"/>
      <c r="AG653" s="204" t="n"/>
      <c r="AH653" s="204" t="n"/>
      <c r="AI653" s="214" t="n"/>
      <c r="AJ653" s="214" t="n"/>
      <c r="AK653" s="217" t="n"/>
      <c r="AL653" s="214" t="n"/>
      <c r="AM653" s="214" t="n"/>
      <c r="AN653" s="214" t="n"/>
      <c r="AO653" s="214" t="n"/>
      <c r="AP653" s="216" t="n"/>
      <c r="AQ653" s="216" t="n"/>
      <c r="AR653" s="214" t="inlineStr">
        <is>
          <t>Nhóm 1</t>
        </is>
      </c>
      <c r="AS653" s="214" t="n"/>
      <c r="AT653" s="214" t="inlineStr">
        <is>
          <t>HM17</t>
        </is>
      </c>
      <c r="AU653" s="214" t="inlineStr">
        <is>
          <t>NTCV</t>
        </is>
      </c>
      <c r="AV653" s="214" t="n">
        <v>190</v>
      </c>
      <c r="AW653" s="214" t="n">
        <v>9</v>
      </c>
      <c r="AX653" s="214" t="n"/>
    </row>
    <row r="654">
      <c r="A654" s="56" t="inlineStr">
        <is>
          <t>BBK994</t>
        </is>
      </c>
      <c r="B654" s="56" t="inlineStr">
        <is>
          <t>PL10</t>
        </is>
      </c>
      <c r="C654" s="56" t="inlineStr">
        <is>
          <t>BBK994.0795397</t>
        </is>
      </c>
      <c r="D654" s="57" t="n"/>
      <c r="E654" s="57" t="n"/>
      <c r="F654" s="57" t="n"/>
      <c r="G654" s="57" t="n"/>
      <c r="H654" s="57" t="n"/>
      <c r="J654" s="198" t="inlineStr">
        <is>
          <t>25</t>
        </is>
      </c>
      <c r="K654" s="198" t="inlineStr">
        <is>
          <t>PL10</t>
        </is>
      </c>
      <c r="L654" s="199" t="inlineStr">
        <is>
          <t>Theo dõi quá trình đổ bê tông cọc khoan nhồi</t>
        </is>
      </c>
      <c r="M654" s="199" t="n"/>
      <c r="N654" s="199" t="n"/>
      <c r="O654" s="200" t="inlineStr">
        <is>
          <t>Cầu Km19+529.080</t>
        </is>
      </c>
      <c r="P654" s="201" t="n"/>
      <c r="Q654" s="201" t="n"/>
      <c r="R654" s="201" t="n"/>
      <c r="S654" s="201">
        <f>S653</f>
        <v/>
      </c>
      <c r="T654" s="201" t="n"/>
      <c r="U654" s="201" t="n"/>
      <c r="V654" s="201" t="n"/>
      <c r="W654" s="202" t="n"/>
      <c r="X654" s="202" t="n"/>
      <c r="Y654" s="202" t="n"/>
      <c r="Z654" s="198" t="inlineStr">
        <is>
          <t>10</t>
        </is>
      </c>
      <c r="AA654" s="203" t="n"/>
      <c r="AB654" s="263" t="inlineStr">
        <is>
          <t>09-XL-307HG/PYCNT/CKN/T2/C3-2</t>
        </is>
      </c>
      <c r="AC654" s="204">
        <f>AC653</f>
        <v/>
      </c>
      <c r="AD654" s="204" t="n"/>
      <c r="AE654" s="204" t="n"/>
      <c r="AF654" s="204" t="n"/>
      <c r="AG654" s="204" t="n"/>
      <c r="AH654" s="204" t="inlineStr">
        <is>
          <t>T2-C3</t>
        </is>
      </c>
      <c r="AI654" s="202" t="n"/>
      <c r="AJ654" s="202" t="n"/>
      <c r="AK654" s="206" t="n"/>
      <c r="AL654" s="202" t="n"/>
      <c r="AM654" s="202" t="n"/>
      <c r="AN654" s="202" t="n"/>
      <c r="AO654" s="202" t="n"/>
      <c r="AP654" s="207" t="n"/>
      <c r="AQ654" s="207" t="n"/>
      <c r="AR654" s="202" t="inlineStr">
        <is>
          <t>Nhóm 1</t>
        </is>
      </c>
      <c r="AS654" s="202" t="n"/>
      <c r="AT654" s="202" t="inlineStr">
        <is>
          <t>HM17</t>
        </is>
      </c>
      <c r="AU654" s="202" t="inlineStr">
        <is>
          <t>PL10</t>
        </is>
      </c>
      <c r="AV654" s="202" t="n">
        <v>12</v>
      </c>
      <c r="AW654" s="202" t="n">
        <v>1</v>
      </c>
      <c r="AX654" s="202" t="n"/>
    </row>
    <row r="655" ht="28" customHeight="1" s="672">
      <c r="A655" s="56" t="inlineStr">
        <is>
          <t>NTCV</t>
        </is>
      </c>
      <c r="B655" s="56" t="inlineStr">
        <is>
          <t>K.9999</t>
        </is>
      </c>
      <c r="C655" s="56" t="inlineStr">
        <is>
          <t>NTCV.0174396</t>
        </is>
      </c>
      <c r="D655" s="57" t="n"/>
      <c r="E655" s="57" t="n"/>
      <c r="F655" s="57" t="n"/>
      <c r="G655" s="57" t="n"/>
      <c r="H655" s="57" t="n"/>
      <c r="J655" s="209" t="inlineStr">
        <is>
          <t>26</t>
        </is>
      </c>
      <c r="K655" s="209" t="inlineStr">
        <is>
          <t>K.9999</t>
        </is>
      </c>
      <c r="L655" s="210" t="inlineStr">
        <is>
          <t xml:space="preserve"> Rút ống vách thi công cọc khoan nhồi</t>
        </is>
      </c>
      <c r="M655" s="210" t="n"/>
      <c r="N655" s="210" t="n"/>
      <c r="O655" s="211" t="inlineStr">
        <is>
          <t>Cầu Km19+529.080</t>
        </is>
      </c>
      <c r="P655" s="212">
        <f>S653</f>
        <v/>
      </c>
      <c r="Q655" s="212">
        <f>P655</f>
        <v/>
      </c>
      <c r="R655" s="212">
        <f>Q655-1</f>
        <v/>
      </c>
      <c r="S655" s="212">
        <f>Q655</f>
        <v/>
      </c>
      <c r="T655" s="213">
        <f>U653</f>
        <v/>
      </c>
      <c r="U655" s="213">
        <f>T655+V655</f>
        <v/>
      </c>
      <c r="V655" s="213" t="n">
        <v>0.01041666666666667</v>
      </c>
      <c r="W655" s="214">
        <f>TEXT(T655,"HH""h""MM'")&amp;"÷"&amp;TEXT(U655,"HH""h""MM'")</f>
        <v/>
      </c>
      <c r="X655" s="214" t="n"/>
      <c r="Y655" s="214" t="n"/>
      <c r="Z655" s="214" t="inlineStr">
        <is>
          <t>11;</t>
        </is>
      </c>
      <c r="AA655" s="215" t="inlineStr">
        <is>
          <t>Rút ống vách  Cọc khoan nhồi Trụ T2 - Cọc C3</t>
        </is>
      </c>
      <c r="AB655" s="204" t="inlineStr">
        <is>
          <t>09-XL-307HG/PYCNT/CKN/T2/C3-2</t>
        </is>
      </c>
      <c r="AC655" s="204" t="inlineStr"/>
      <c r="AD655" s="204" t="n"/>
      <c r="AE655" s="204" t="n"/>
      <c r="AF655" s="204" t="n"/>
      <c r="AG655" s="204" t="n"/>
      <c r="AH655" s="204" t="n"/>
      <c r="AI655" s="214" t="n"/>
      <c r="AJ655" s="214" t="n"/>
      <c r="AK655" s="217" t="n"/>
      <c r="AL655" s="214" t="n"/>
      <c r="AM655" s="214" t="n"/>
      <c r="AN655" s="214" t="n"/>
      <c r="AO655" s="214" t="n"/>
      <c r="AP655" s="216" t="n"/>
      <c r="AQ655" s="216" t="n"/>
      <c r="AR655" s="214" t="inlineStr">
        <is>
          <t>Nhóm 1</t>
        </is>
      </c>
      <c r="AS655" s="214" t="n"/>
      <c r="AT655" s="214" t="inlineStr">
        <is>
          <t>HM17</t>
        </is>
      </c>
      <c r="AU655" s="214" t="inlineStr">
        <is>
          <t>NTCV</t>
        </is>
      </c>
      <c r="AV655" s="214" t="n">
        <v>191</v>
      </c>
      <c r="AW655" s="214" t="n">
        <v>10</v>
      </c>
      <c r="AX655" s="214" t="n"/>
    </row>
    <row r="656" ht="238" customHeight="1" s="672">
      <c r="A656" s="56" t="inlineStr">
        <is>
          <t>LMHT</t>
        </is>
      </c>
      <c r="B656" s="56" t="inlineStr">
        <is>
          <t>LMHT</t>
        </is>
      </c>
      <c r="C656" s="56" t="inlineStr">
        <is>
          <t>LMHT.0300032</t>
        </is>
      </c>
      <c r="D656" s="57" t="inlineStr">
        <is>
          <t>TC.000041|TC.000182|TC.000169.A</t>
        </is>
      </c>
      <c r="E656" s="57" t="n"/>
      <c r="F656" s="57" t="inlineStr">
        <is>
          <t>CP.0001^Cọc khoan nhồi Trụ T2 - Cọc C3^Hình trụ 15x30 (cm)^12^30 Mpa, 18±2^^^TC.000041|TC.000182|TC.000169.A</t>
        </is>
      </c>
      <c r="G656" s="57" t="n"/>
      <c r="H656" s="57" t="inlineStr">
        <is>
          <t>^^A|C|J|O|S|X|Z^Stt|Hạng mục|Cấp bê tông|Kích thước mẫu|Số lượng mẫu|Ghi chú^|||||</t>
        </is>
      </c>
      <c r="J656" s="256" t="inlineStr">
        <is>
          <t>27</t>
        </is>
      </c>
      <c r="K656" s="256" t="inlineStr">
        <is>
          <t>LMHT</t>
        </is>
      </c>
      <c r="L656" s="257" t="inlineStr">
        <is>
          <t>Lấy mẫu bê tông Cọc khoan nhồi, 30(1) Mpa Trụ T2 - Cọc C3</t>
        </is>
      </c>
      <c r="M656" s="257" t="n"/>
      <c r="N656" s="257" t="n"/>
      <c r="O656" s="258" t="inlineStr">
        <is>
          <t>Cầu Km19+529.080</t>
        </is>
      </c>
      <c r="P656" s="259" t="n"/>
      <c r="Q656" s="259" t="n"/>
      <c r="R656" s="259" t="n"/>
      <c r="S656" s="259">
        <f>S655</f>
        <v/>
      </c>
      <c r="T656" s="260">
        <f>T655</f>
        <v/>
      </c>
      <c r="U656" s="260">
        <f>U655</f>
        <v/>
      </c>
      <c r="V656" s="260">
        <f>V655</f>
        <v/>
      </c>
      <c r="W656" s="261">
        <f>TEXT(T656,"HH""h""MM'")&amp;"÷"&amp;TEXT(U656,"HH""h""MM'")</f>
        <v/>
      </c>
      <c r="X656" s="262" t="n"/>
      <c r="Y656" s="262" t="n"/>
      <c r="Z656" s="262" t="n"/>
      <c r="AA656" s="262" t="n"/>
      <c r="AB656" s="264" t="inlineStr">
        <is>
          <t>09-XL-307HG/PYCNT/CKN/T2/C3-2</t>
        </is>
      </c>
      <c r="AC656" s="264" t="inlineStr">
        <is>
          <t>09-XL-307HG/BBNT/CKN/T2/C3-11</t>
        </is>
      </c>
      <c r="AD656" s="264" t="n"/>
      <c r="AE656" s="264" t="n"/>
      <c r="AF656" s="264" t="n"/>
      <c r="AG656" s="264" t="n"/>
      <c r="AH656" s="264" t="n"/>
      <c r="AI656" s="257" t="n"/>
      <c r="AJ656" s="262" t="n"/>
      <c r="AK656" s="258" t="n"/>
      <c r="AL656" s="262" t="n"/>
      <c r="AM656" s="262" t="n"/>
      <c r="AN656" s="262" t="n"/>
      <c r="AO656" s="262" t="n"/>
      <c r="AP656" s="263" t="inlineStr">
        <is>
          <t>Bảng lấy mẫu CKN</t>
        </is>
      </c>
      <c r="AQ656" s="263" t="n"/>
      <c r="AR656" s="262" t="inlineStr">
        <is>
          <t>Nhóm 1</t>
        </is>
      </c>
      <c r="AS656" s="262" t="n"/>
      <c r="AT656" s="262" t="inlineStr">
        <is>
          <t>HM17</t>
        </is>
      </c>
      <c r="AU656" s="262" t="inlineStr">
        <is>
          <t>LMHT</t>
        </is>
      </c>
      <c r="AV656" s="262" t="n">
        <v>15</v>
      </c>
      <c r="AW656" s="262" t="n">
        <v>1</v>
      </c>
      <c r="AX656" s="262" t="inlineStr">
        <is>
          <t>Cọc T2-C3: xi măng Lần 5 [BT dòng 15].</t>
        </is>
      </c>
    </row>
    <row r="657">
      <c r="A657" s="56" t="inlineStr">
        <is>
          <t>BBK544</t>
        </is>
      </c>
      <c r="B657" s="56" t="inlineStr">
        <is>
          <t>PL11</t>
        </is>
      </c>
      <c r="C657" s="56" t="inlineStr">
        <is>
          <t>BBK544.0072723</t>
        </is>
      </c>
      <c r="D657" s="57" t="n"/>
      <c r="E657" s="57" t="n"/>
      <c r="F657" s="57" t="n"/>
      <c r="G657" s="57" t="n"/>
      <c r="H657" s="57" t="n"/>
      <c r="J657" s="198" t="inlineStr">
        <is>
          <t>28</t>
        </is>
      </c>
      <c r="K657" s="198" t="inlineStr">
        <is>
          <t>PL11</t>
        </is>
      </c>
      <c r="L657" s="199" t="inlineStr">
        <is>
          <t>Rút ống vách thi công cọc khoan nhồi</t>
        </is>
      </c>
      <c r="M657" s="199" t="n"/>
      <c r="N657" s="199" t="n"/>
      <c r="O657" s="200" t="inlineStr">
        <is>
          <t>Cầu Km19+529.080</t>
        </is>
      </c>
      <c r="P657" s="201" t="n"/>
      <c r="Q657" s="201" t="n"/>
      <c r="R657" s="201" t="n"/>
      <c r="S657" s="201">
        <f>S655</f>
        <v/>
      </c>
      <c r="T657" s="201" t="n"/>
      <c r="U657" s="201" t="n"/>
      <c r="V657" s="201" t="n"/>
      <c r="W657" s="202" t="n"/>
      <c r="X657" s="202" t="n"/>
      <c r="Y657" s="202" t="n"/>
      <c r="Z657" s="198" t="inlineStr">
        <is>
          <t>11</t>
        </is>
      </c>
      <c r="AA657" s="203" t="n"/>
      <c r="AB657" s="204" t="inlineStr">
        <is>
          <t>09-XL-307HG/PYCNT/CKN/T2/C3-2</t>
        </is>
      </c>
      <c r="AC657" s="204">
        <f>AC656</f>
        <v/>
      </c>
      <c r="AD657" s="204" t="n"/>
      <c r="AE657" s="204" t="n"/>
      <c r="AF657" s="204" t="n"/>
      <c r="AG657" s="204" t="n"/>
      <c r="AH657" s="204" t="inlineStr">
        <is>
          <t>&gt;=418;&lt;=449</t>
        </is>
      </c>
      <c r="AI657" s="202" t="n"/>
      <c r="AJ657" s="202" t="n"/>
      <c r="AK657" s="206" t="n"/>
      <c r="AL657" s="202" t="n"/>
      <c r="AM657" s="202" t="n"/>
      <c r="AN657" s="202" t="n"/>
      <c r="AO657" s="202" t="n"/>
      <c r="AP657" s="207" t="n"/>
      <c r="AQ657" s="207" t="n"/>
      <c r="AR657" s="202" t="inlineStr">
        <is>
          <t>Nhóm 1</t>
        </is>
      </c>
      <c r="AS657" s="202" t="n"/>
      <c r="AT657" s="202" t="inlineStr">
        <is>
          <t>HM17</t>
        </is>
      </c>
      <c r="AU657" s="202" t="inlineStr">
        <is>
          <t>PL11</t>
        </is>
      </c>
      <c r="AV657" s="202" t="n">
        <v>12</v>
      </c>
      <c r="AW657" s="202" t="n">
        <v>1</v>
      </c>
      <c r="AX657" s="202" t="n"/>
    </row>
    <row r="658">
      <c r="A658" s="56" t="inlineStr">
        <is>
          <t>BBK680</t>
        </is>
      </c>
      <c r="B658" s="56" t="inlineStr">
        <is>
          <t>PYC</t>
        </is>
      </c>
      <c r="C658" s="56" t="inlineStr">
        <is>
          <t>BBK680.0493358</t>
        </is>
      </c>
      <c r="D658" s="57" t="n"/>
      <c r="E658" s="57" t="n"/>
      <c r="F658" s="57" t="n"/>
      <c r="G658" s="57" t="n"/>
      <c r="H658" s="57" t="n"/>
      <c r="J658" s="198" t="inlineStr">
        <is>
          <t>29</t>
        </is>
      </c>
      <c r="K658" s="198" t="inlineStr">
        <is>
          <t>PYC</t>
        </is>
      </c>
      <c r="L658" s="199" t="inlineStr">
        <is>
          <t>Phiếu yêu cầu nghiệm thu</t>
        </is>
      </c>
      <c r="M658" s="199" t="n"/>
      <c r="N658" s="199" t="n"/>
      <c r="O658" s="200" t="inlineStr">
        <is>
          <t>Cầu Km19+529.080</t>
        </is>
      </c>
      <c r="P658" s="201" t="n"/>
      <c r="Q658" s="201" t="n"/>
      <c r="R658" s="201">
        <f>R659</f>
        <v/>
      </c>
      <c r="S658" s="201" t="n"/>
      <c r="T658" s="201" t="n"/>
      <c r="U658" s="201" t="n"/>
      <c r="V658" s="201" t="n"/>
      <c r="W658" s="202" t="n"/>
      <c r="X658" s="202" t="n"/>
      <c r="Y658" s="202" t="n"/>
      <c r="Z658" s="202" t="n"/>
      <c r="AA658" s="203" t="n"/>
      <c r="AB658" s="204" t="inlineStr">
        <is>
          <t>09-XL-307HG/PYCNT/CKN/T2/C3</t>
        </is>
      </c>
      <c r="AC658" s="205" t="inlineStr"/>
      <c r="AD658" s="205" t="n"/>
      <c r="AE658" s="205" t="n"/>
      <c r="AF658" s="205" t="n"/>
      <c r="AG658" s="205" t="inlineStr">
        <is>
          <t>NTCV;BBKTĐK</t>
        </is>
      </c>
      <c r="AH658" s="204" t="n">
        <v>11</v>
      </c>
      <c r="AI658" s="202" t="n"/>
      <c r="AJ658" s="202" t="n"/>
      <c r="AK658" s="206" t="n"/>
      <c r="AL658" s="202" t="n"/>
      <c r="AM658" s="202" t="n"/>
      <c r="AN658" s="202" t="n"/>
      <c r="AO658" s="202" t="n"/>
      <c r="AP658" s="207" t="n"/>
      <c r="AQ658" s="207" t="n"/>
      <c r="AR658" s="202" t="inlineStr">
        <is>
          <t>Nhóm 1</t>
        </is>
      </c>
      <c r="AS658" s="202" t="n"/>
      <c r="AT658" s="202" t="inlineStr">
        <is>
          <t>HM17</t>
        </is>
      </c>
      <c r="AU658" s="202" t="inlineStr">
        <is>
          <t>PYC</t>
        </is>
      </c>
      <c r="AV658" s="202" t="n">
        <v>195</v>
      </c>
      <c r="AW658" s="202" t="n">
        <v>3</v>
      </c>
      <c r="AX658" s="202" t="n"/>
    </row>
    <row r="659" ht="28" customHeight="1" s="672">
      <c r="A659" s="56" t="inlineStr">
        <is>
          <t>NTCV</t>
        </is>
      </c>
      <c r="B659" s="56" t="inlineStr">
        <is>
          <t>K.9999</t>
        </is>
      </c>
      <c r="C659" s="56" t="inlineStr">
        <is>
          <t>NTCV.0452828</t>
        </is>
      </c>
      <c r="D659" s="57" t="n"/>
      <c r="E659" s="57" t="n"/>
      <c r="F659" s="57" t="n"/>
      <c r="G659" s="57" t="n"/>
      <c r="H659" s="57" t="n"/>
      <c r="J659" s="209" t="inlineStr">
        <is>
          <t>30</t>
        </is>
      </c>
      <c r="K659" s="209" t="inlineStr">
        <is>
          <t>K.9999</t>
        </is>
      </c>
      <c r="L659" s="210" t="inlineStr">
        <is>
          <t>Theo dõi nén mẫu R7 Cọc khoan nhồi Trụ T2 - Cọc C3</t>
        </is>
      </c>
      <c r="M659" s="210" t="n"/>
      <c r="N659" s="210" t="n"/>
      <c r="O659" s="211" t="inlineStr">
        <is>
          <t>Cầu Km19+529.080</t>
        </is>
      </c>
      <c r="P659" s="212">
        <f>S655+7</f>
        <v/>
      </c>
      <c r="Q659" s="212">
        <f>P659</f>
        <v/>
      </c>
      <c r="R659" s="212">
        <f>Q659-1</f>
        <v/>
      </c>
      <c r="S659" s="212">
        <f>Q659</f>
        <v/>
      </c>
      <c r="T659" s="213" t="n">
        <v>0.3541666666666667</v>
      </c>
      <c r="U659" s="213">
        <f>T659+V659</f>
        <v/>
      </c>
      <c r="V659" s="213" t="n">
        <v>0.02083333333333333</v>
      </c>
      <c r="W659" s="214">
        <f>TEXT(T659,"HH""h""MM'")&amp;"÷"&amp;TEXT(U659,"HH""h""MM'")</f>
        <v/>
      </c>
      <c r="X659" s="214" t="n"/>
      <c r="Y659" s="214" t="n"/>
      <c r="Z659" s="214" t="n"/>
      <c r="AA659" s="215" t="inlineStr">
        <is>
          <t>Theo dõi nén mẫu R7 Cọc khoan nhồi Trụ T2 - Cọc C3</t>
        </is>
      </c>
      <c r="AB659" s="204" t="inlineStr">
        <is>
          <t>09-XL-307HG/PYCNT/CKN/T2/C3-3</t>
        </is>
      </c>
      <c r="AC659" s="204" t="inlineStr">
        <is>
          <t>09-XL-307HG/BBNT/CKN/T2/C3-12</t>
        </is>
      </c>
      <c r="AD659" s="204" t="n"/>
      <c r="AE659" s="204" t="n"/>
      <c r="AF659" s="204" t="n"/>
      <c r="AG659" s="204" t="n"/>
      <c r="AH659" s="204" t="n"/>
      <c r="AI659" s="214" t="n"/>
      <c r="AJ659" s="214" t="n"/>
      <c r="AK659" s="217" t="n"/>
      <c r="AL659" s="214" t="n"/>
      <c r="AM659" s="214" t="n"/>
      <c r="AN659" s="214" t="n"/>
      <c r="AO659" s="214" t="n"/>
      <c r="AP659" s="216" t="n"/>
      <c r="AQ659" s="216" t="n"/>
      <c r="AR659" s="214" t="inlineStr">
        <is>
          <t>Nhóm 1</t>
        </is>
      </c>
      <c r="AS659" s="214" t="n"/>
      <c r="AT659" s="214" t="inlineStr">
        <is>
          <t>HM17</t>
        </is>
      </c>
      <c r="AU659" s="214" t="inlineStr">
        <is>
          <t>NTCV</t>
        </is>
      </c>
      <c r="AV659" s="214" t="n">
        <v>268</v>
      </c>
      <c r="AW659" s="214" t="n">
        <v>11</v>
      </c>
      <c r="AX659" s="214" t="n"/>
    </row>
    <row r="660">
      <c r="A660" s="56" t="inlineStr">
        <is>
          <t>BBK680</t>
        </is>
      </c>
      <c r="B660" s="56" t="inlineStr">
        <is>
          <t>PYC</t>
        </is>
      </c>
      <c r="C660" s="56" t="inlineStr">
        <is>
          <t>BBK680.0597795</t>
        </is>
      </c>
      <c r="D660" s="57" t="n"/>
      <c r="E660" s="57" t="n"/>
      <c r="F660" s="57" t="n"/>
      <c r="G660" s="57" t="n"/>
      <c r="H660" s="57" t="n"/>
      <c r="J660" s="198" t="inlineStr">
        <is>
          <t>31</t>
        </is>
      </c>
      <c r="K660" s="198" t="inlineStr">
        <is>
          <t>PYC</t>
        </is>
      </c>
      <c r="L660" s="199" t="inlineStr">
        <is>
          <t>Phiếu yêu cầu nghiệm thu</t>
        </is>
      </c>
      <c r="M660" s="199" t="n"/>
      <c r="N660" s="199" t="n"/>
      <c r="O660" s="200" t="inlineStr">
        <is>
          <t>Cầu Km19+529.080</t>
        </is>
      </c>
      <c r="P660" s="201" t="n"/>
      <c r="Q660" s="201" t="n"/>
      <c r="R660" s="201">
        <f>+S655+28</f>
        <v/>
      </c>
      <c r="S660" s="201" t="n"/>
      <c r="T660" s="201" t="n"/>
      <c r="U660" s="201" t="n"/>
      <c r="V660" s="201" t="n"/>
      <c r="W660" s="202" t="n"/>
      <c r="X660" s="202" t="n"/>
      <c r="Y660" s="202" t="n"/>
      <c r="Z660" s="202" t="n"/>
      <c r="AA660" s="203" t="n"/>
      <c r="AB660" s="204" t="inlineStr">
        <is>
          <t>09-XL-307HG/PYCNT/CKN/T2/C3</t>
        </is>
      </c>
      <c r="AC660" s="205" t="inlineStr"/>
      <c r="AD660" s="205" t="n"/>
      <c r="AE660" s="205" t="n"/>
      <c r="AF660" s="205" t="n"/>
      <c r="AG660" s="205" t="inlineStr">
        <is>
          <t>NTCV;BBKTĐK</t>
        </is>
      </c>
      <c r="AH660" s="204" t="n">
        <v>12</v>
      </c>
      <c r="AI660" s="202" t="n"/>
      <c r="AJ660" s="202" t="n"/>
      <c r="AK660" s="206" t="n"/>
      <c r="AL660" s="202" t="n"/>
      <c r="AM660" s="202" t="n"/>
      <c r="AN660" s="202" t="n"/>
      <c r="AO660" s="202" t="n"/>
      <c r="AP660" s="207" t="n"/>
      <c r="AQ660" s="207" t="n"/>
      <c r="AR660" s="202" t="inlineStr">
        <is>
          <t>Nhóm 1</t>
        </is>
      </c>
      <c r="AS660" s="202" t="n"/>
      <c r="AT660" s="202" t="inlineStr">
        <is>
          <t>HM17</t>
        </is>
      </c>
      <c r="AU660" s="202" t="inlineStr">
        <is>
          <t>PYC</t>
        </is>
      </c>
      <c r="AV660" s="202" t="n">
        <v>196</v>
      </c>
      <c r="AW660" s="202" t="n">
        <v>4</v>
      </c>
      <c r="AX660" s="202" t="n"/>
    </row>
    <row r="661" ht="28" customHeight="1" s="672">
      <c r="A661" s="56" t="inlineStr">
        <is>
          <t>NTCV</t>
        </is>
      </c>
      <c r="B661" s="56" t="inlineStr">
        <is>
          <t>K.9999</t>
        </is>
      </c>
      <c r="C661" s="56" t="inlineStr">
        <is>
          <t>NTCV.0030264</t>
        </is>
      </c>
      <c r="D661" s="57" t="n"/>
      <c r="E661" s="57" t="n"/>
      <c r="F661" s="57" t="n"/>
      <c r="G661" s="57" t="n"/>
      <c r="H661" s="57" t="n"/>
      <c r="J661" s="209" t="inlineStr">
        <is>
          <t>32</t>
        </is>
      </c>
      <c r="K661" s="209" t="inlineStr">
        <is>
          <t>K.9999</t>
        </is>
      </c>
      <c r="L661" s="210" t="inlineStr">
        <is>
          <t>Đập đầu cọc khoan nhồi Trụ T2 - Cọc C3</t>
        </is>
      </c>
      <c r="M661" s="210" t="n"/>
      <c r="N661" s="210" t="n"/>
      <c r="O661" s="211" t="inlineStr">
        <is>
          <t>Cầu Km19+529.080</t>
        </is>
      </c>
      <c r="P661" s="212">
        <f>S659</f>
        <v/>
      </c>
      <c r="Q661" s="212">
        <f>P661</f>
        <v/>
      </c>
      <c r="R661" s="212">
        <f>Q661-1</f>
        <v/>
      </c>
      <c r="S661" s="212">
        <f>Q661</f>
        <v/>
      </c>
      <c r="T661" s="213" t="n">
        <v>0.3541666666666667</v>
      </c>
      <c r="U661" s="213">
        <f>T661+V661</f>
        <v/>
      </c>
      <c r="V661" s="213" t="n">
        <v>0.0625</v>
      </c>
      <c r="W661" s="214">
        <f>TEXT(T661,"HH""h""MM'")&amp;"÷"&amp;TEXT(U661,"HH""h""MM'")</f>
        <v/>
      </c>
      <c r="X661" s="214" t="n"/>
      <c r="Y661" s="214" t="n"/>
      <c r="Z661" s="214" t="n"/>
      <c r="AA661" s="215" t="inlineStr">
        <is>
          <t>Theo dõi nén mẫu R28 Cọc khoan nhồi Trụ T2 - Cọc C3</t>
        </is>
      </c>
      <c r="AB661" s="204" t="inlineStr">
        <is>
          <t>09-XL-307HG/PYCNT/CKN/T2/C3-4</t>
        </is>
      </c>
      <c r="AC661" s="204" t="inlineStr">
        <is>
          <t>09-XL-307HG/BBNT/CKN/T2/C3-13</t>
        </is>
      </c>
      <c r="AD661" s="204" t="n"/>
      <c r="AE661" s="204" t="n"/>
      <c r="AF661" s="204" t="n"/>
      <c r="AG661" s="204" t="n"/>
      <c r="AH661" s="204" t="n"/>
      <c r="AI661" s="214" t="n"/>
      <c r="AJ661" s="214" t="n"/>
      <c r="AK661" s="217" t="n"/>
      <c r="AL661" s="214" t="n"/>
      <c r="AM661" s="214" t="n"/>
      <c r="AN661" s="214" t="n"/>
      <c r="AO661" s="214" t="n"/>
      <c r="AP661" s="216" t="n"/>
      <c r="AQ661" s="216" t="n"/>
      <c r="AR661" s="214" t="inlineStr">
        <is>
          <t>Nhóm 1</t>
        </is>
      </c>
      <c r="AS661" s="214" t="n"/>
      <c r="AT661" s="214" t="inlineStr">
        <is>
          <t>HM17</t>
        </is>
      </c>
      <c r="AU661" s="214" t="inlineStr">
        <is>
          <t>NTCV</t>
        </is>
      </c>
      <c r="AV661" s="214" t="n">
        <v>269</v>
      </c>
      <c r="AW661" s="214" t="n">
        <v>12</v>
      </c>
      <c r="AX661" s="214" t="n"/>
    </row>
    <row r="662">
      <c r="A662" s="56" t="inlineStr">
        <is>
          <t>HM</t>
        </is>
      </c>
      <c r="B662" s="56" t="inlineStr">
        <is>
          <t>HM</t>
        </is>
      </c>
      <c r="C662" s="56" t="inlineStr">
        <is>
          <t>HM.0318245</t>
        </is>
      </c>
      <c r="D662" s="57" t="n"/>
      <c r="E662" s="57" t="n"/>
      <c r="F662" s="57" t="n"/>
      <c r="G662" s="57" t="n"/>
      <c r="H662" s="57" t="n"/>
      <c r="J662" s="246" t="inlineStr">
        <is>
          <t>HM18</t>
        </is>
      </c>
      <c r="K662" s="246" t="inlineStr">
        <is>
          <t>HM</t>
        </is>
      </c>
      <c r="L662" s="247" t="inlineStr">
        <is>
          <t>Trụ T2 - Cọc C4</t>
        </is>
      </c>
      <c r="M662" s="247" t="n"/>
      <c r="N662" s="247" t="n"/>
      <c r="O662" s="248" t="inlineStr">
        <is>
          <t>Cầu Km19+529.080</t>
        </is>
      </c>
      <c r="P662" s="249" t="n"/>
      <c r="Q662" s="249" t="n"/>
      <c r="R662" s="249" t="n"/>
      <c r="S662" s="249" t="n"/>
      <c r="T662" s="249" t="n"/>
      <c r="U662" s="249" t="n"/>
      <c r="V662" s="249" t="n"/>
      <c r="W662" s="250" t="n"/>
      <c r="X662" s="250" t="n"/>
      <c r="Y662" s="250" t="n"/>
      <c r="Z662" s="250" t="n"/>
      <c r="AA662" s="251" t="n"/>
      <c r="AB662" s="252" t="n"/>
      <c r="AC662" s="252" t="inlineStr"/>
      <c r="AD662" s="252" t="n"/>
      <c r="AE662" s="252" t="n"/>
      <c r="AF662" s="252" t="n"/>
      <c r="AG662" s="252" t="n"/>
      <c r="AH662" s="252" t="n"/>
      <c r="AI662" s="250" t="n"/>
      <c r="AJ662" s="250" t="n"/>
      <c r="AK662" s="253" t="n"/>
      <c r="AL662" s="250" t="n"/>
      <c r="AM662" s="250" t="n"/>
      <c r="AN662" s="250" t="n"/>
      <c r="AO662" s="250" t="n"/>
      <c r="AP662" s="254" t="n"/>
      <c r="AQ662" s="254" t="n"/>
      <c r="AR662" s="250" t="n"/>
      <c r="AS662" s="250" t="n"/>
      <c r="AT662" s="250" t="inlineStr">
        <is>
          <t>HM18</t>
        </is>
      </c>
      <c r="AU662" s="250" t="inlineStr">
        <is>
          <t>HM</t>
        </is>
      </c>
      <c r="AV662" s="250" t="n"/>
      <c r="AW662" s="250" t="n"/>
      <c r="AX662" s="250" t="n"/>
    </row>
    <row r="663" ht="28" customFormat="1" customHeight="1" s="70">
      <c r="A663" s="68" t="inlineStr">
        <is>
          <t>BBK_BIA</t>
        </is>
      </c>
      <c r="B663" s="68" t="inlineStr">
        <is>
          <t>TRANGBIA</t>
        </is>
      </c>
      <c r="C663" s="68" t="inlineStr">
        <is>
          <t>BBK_BIA.0135636</t>
        </is>
      </c>
      <c r="D663" s="69" t="n"/>
      <c r="E663" s="69" t="n"/>
      <c r="F663" s="69" t="n"/>
      <c r="G663" s="69" t="n"/>
      <c r="H663" s="69" t="n"/>
      <c r="J663" s="98" t="inlineStr">
        <is>
          <t>01</t>
        </is>
      </c>
      <c r="K663" s="98" t="inlineStr">
        <is>
          <t>TRANGBIA</t>
        </is>
      </c>
      <c r="L663" s="99">
        <f>"Cọc Khoan Nhồi"&amp;" - "&amp;L662</f>
        <v/>
      </c>
      <c r="M663" s="99" t="n"/>
      <c r="N663" s="99" t="n"/>
      <c r="O663" s="100" t="inlineStr">
        <is>
          <t>Cầu Km19+529.080</t>
        </is>
      </c>
      <c r="P663" s="101" t="n"/>
      <c r="Q663" s="101" t="n"/>
      <c r="R663" s="101" t="n"/>
      <c r="S663" s="101" t="n"/>
      <c r="T663" s="101" t="n"/>
      <c r="U663" s="101" t="n"/>
      <c r="V663" s="101" t="n"/>
      <c r="W663" s="102" t="n"/>
      <c r="X663" s="102" t="n"/>
      <c r="Y663" s="102" t="n"/>
      <c r="Z663" s="102" t="n"/>
      <c r="AA663" s="102" t="n"/>
      <c r="AB663" s="102" t="n"/>
      <c r="AC663" s="102" t="inlineStr"/>
      <c r="AD663" s="102" t="n"/>
      <c r="AE663" s="102" t="n"/>
      <c r="AF663" s="102" t="n"/>
      <c r="AG663" s="102" t="n"/>
      <c r="AH663" s="102" t="n"/>
      <c r="AI663" s="102" t="n"/>
      <c r="AJ663" s="102" t="n"/>
      <c r="AK663" s="100" t="n"/>
      <c r="AL663" s="102" t="n"/>
      <c r="AM663" s="102" t="n"/>
      <c r="AN663" s="102" t="n"/>
      <c r="AO663" s="102" t="n"/>
      <c r="AP663" s="103" t="inlineStr">
        <is>
          <t>Kết cấu cọc khoan nhồi mố, trụ</t>
        </is>
      </c>
      <c r="AQ663" s="104" t="n"/>
      <c r="AR663" s="102" t="inlineStr">
        <is>
          <t>Nhóm 1</t>
        </is>
      </c>
      <c r="AS663" s="102" t="n"/>
      <c r="AT663" s="102" t="inlineStr">
        <is>
          <t>HM18</t>
        </is>
      </c>
      <c r="AU663" s="102" t="inlineStr">
        <is>
          <t>TRANGBIA</t>
        </is>
      </c>
      <c r="AV663" s="102" t="n">
        <v>18</v>
      </c>
      <c r="AW663" s="102" t="n">
        <v>1</v>
      </c>
      <c r="AX663" s="102" t="n"/>
    </row>
    <row r="664" customFormat="1" s="70">
      <c r="A664" s="68" t="inlineStr">
        <is>
          <t>BBK_ML</t>
        </is>
      </c>
      <c r="B664" s="68" t="inlineStr">
        <is>
          <t>MUCLUC</t>
        </is>
      </c>
      <c r="C664" s="68" t="inlineStr">
        <is>
          <t>BBK_ML.0326958</t>
        </is>
      </c>
      <c r="D664" s="69" t="n"/>
      <c r="E664" s="69" t="n"/>
      <c r="F664" s="69" t="n"/>
      <c r="G664" s="69" t="n"/>
      <c r="H664" s="69" t="n"/>
      <c r="J664" s="98" t="inlineStr">
        <is>
          <t>02</t>
        </is>
      </c>
      <c r="K664" s="98" t="inlineStr">
        <is>
          <t>MUCLUC</t>
        </is>
      </c>
      <c r="L664" s="99" t="inlineStr">
        <is>
          <t>Danh mục biên bản Kiểm tra/Nghiệm thu</t>
        </is>
      </c>
      <c r="M664" s="99" t="n"/>
      <c r="N664" s="99" t="n"/>
      <c r="O664" s="100" t="inlineStr">
        <is>
          <t>Cầu Km19+529.080</t>
        </is>
      </c>
      <c r="P664" s="101" t="n"/>
      <c r="Q664" s="101" t="n"/>
      <c r="R664" s="101" t="n"/>
      <c r="S664" s="101" t="n"/>
      <c r="T664" s="101" t="n"/>
      <c r="U664" s="101" t="n"/>
      <c r="V664" s="101" t="n"/>
      <c r="W664" s="102" t="n"/>
      <c r="X664" s="102" t="n"/>
      <c r="Y664" s="102" t="n"/>
      <c r="Z664" s="102" t="n"/>
      <c r="AA664" s="102" t="n"/>
      <c r="AB664" s="102" t="n"/>
      <c r="AC664" s="102" t="inlineStr"/>
      <c r="AD664" s="102" t="n"/>
      <c r="AE664" s="102" t="n"/>
      <c r="AF664" s="102" t="n"/>
      <c r="AG664" s="102" t="n"/>
      <c r="AH664" s="102" t="n"/>
      <c r="AI664" s="102" t="n"/>
      <c r="AJ664" s="102" t="n"/>
      <c r="AK664" s="100" t="n"/>
      <c r="AL664" s="102" t="n"/>
      <c r="AM664" s="102" t="n"/>
      <c r="AN664" s="102" t="n"/>
      <c r="AO664" s="102" t="n"/>
      <c r="AP664" s="104" t="n"/>
      <c r="AQ664" s="104" t="n"/>
      <c r="AR664" s="102" t="inlineStr">
        <is>
          <t>Nhóm 1</t>
        </is>
      </c>
      <c r="AS664" s="102" t="n"/>
      <c r="AT664" s="102" t="inlineStr">
        <is>
          <t>HM18</t>
        </is>
      </c>
      <c r="AU664" s="102" t="inlineStr">
        <is>
          <t>MUCLUC</t>
        </is>
      </c>
      <c r="AV664" s="102" t="n">
        <v>18</v>
      </c>
      <c r="AW664" s="102" t="n">
        <v>1</v>
      </c>
      <c r="AX664" s="102" t="n"/>
    </row>
    <row r="665">
      <c r="A665" s="56" t="inlineStr">
        <is>
          <t>BBK680</t>
        </is>
      </c>
      <c r="B665" s="56" t="inlineStr">
        <is>
          <t>PYC</t>
        </is>
      </c>
      <c r="C665" s="56" t="inlineStr">
        <is>
          <t>BBK680.0760010</t>
        </is>
      </c>
      <c r="D665" s="57" t="n"/>
      <c r="E665" s="57" t="n"/>
      <c r="F665" s="57" t="n"/>
      <c r="G665" s="57" t="n"/>
      <c r="H665" s="57" t="n"/>
      <c r="J665" s="198" t="inlineStr">
        <is>
          <t>03</t>
        </is>
      </c>
      <c r="K665" s="198" t="inlineStr">
        <is>
          <t>PYC</t>
        </is>
      </c>
      <c r="L665" s="199" t="inlineStr">
        <is>
          <t>Phiếu yêu cầu nghiệm thu</t>
        </is>
      </c>
      <c r="M665" s="199" t="n"/>
      <c r="N665" s="199" t="n"/>
      <c r="O665" s="200" t="inlineStr">
        <is>
          <t>Cầu Km19+529.080</t>
        </is>
      </c>
      <c r="P665" s="201" t="n"/>
      <c r="Q665" s="201" t="n"/>
      <c r="R665" s="201">
        <f>R666</f>
        <v/>
      </c>
      <c r="S665" s="201" t="n"/>
      <c r="T665" s="201" t="n"/>
      <c r="U665" s="201" t="n"/>
      <c r="V665" s="201" t="n"/>
      <c r="W665" s="202" t="n"/>
      <c r="X665" s="202" t="n"/>
      <c r="Y665" s="202" t="n"/>
      <c r="Z665" s="202" t="n"/>
      <c r="AA665" s="203" t="n"/>
      <c r="AB665" s="204" t="inlineStr">
        <is>
          <t>09-XL-307HG/PYCNT/CKN/T2/C4</t>
        </is>
      </c>
      <c r="AC665" s="205" t="inlineStr"/>
      <c r="AD665" s="205" t="n"/>
      <c r="AE665" s="205" t="n"/>
      <c r="AF665" s="205" t="n"/>
      <c r="AG665" s="205" t="inlineStr">
        <is>
          <t>NTCV;BBKTĐK</t>
        </is>
      </c>
      <c r="AH665" s="204" t="inlineStr">
        <is>
          <t>&gt;=1;&lt;=5</t>
        </is>
      </c>
      <c r="AI665" s="202" t="n"/>
      <c r="AJ665" s="202" t="n"/>
      <c r="AK665" s="206" t="n"/>
      <c r="AL665" s="202" t="n"/>
      <c r="AM665" s="202" t="n"/>
      <c r="AN665" s="202" t="n"/>
      <c r="AO665" s="202" t="n"/>
      <c r="AP665" s="207" t="n"/>
      <c r="AQ665" s="207" t="n"/>
      <c r="AR665" s="202" t="inlineStr">
        <is>
          <t>Nhóm 1</t>
        </is>
      </c>
      <c r="AS665" s="202" t="n"/>
      <c r="AT665" s="202" t="inlineStr">
        <is>
          <t>HM18</t>
        </is>
      </c>
      <c r="AU665" s="202" t="inlineStr">
        <is>
          <t>PYC</t>
        </is>
      </c>
      <c r="AV665" s="202" t="n">
        <v>197</v>
      </c>
      <c r="AW665" s="202" t="n">
        <v>1</v>
      </c>
      <c r="AX665" s="202" t="n"/>
    </row>
    <row r="666" ht="28" customHeight="1" s="672">
      <c r="A666" s="56" t="inlineStr">
        <is>
          <t>BBK884</t>
        </is>
      </c>
      <c r="B666" s="56" t="inlineStr">
        <is>
          <t>BBKTĐK</t>
        </is>
      </c>
      <c r="C666" s="56" t="inlineStr">
        <is>
          <t>BBK884.0627298</t>
        </is>
      </c>
      <c r="D666" s="57" t="n"/>
      <c r="E666" s="57" t="n"/>
      <c r="F666" s="57" t="n"/>
      <c r="G666" s="57" t="n"/>
      <c r="H666" s="57" t="n"/>
      <c r="J666" s="198" t="inlineStr">
        <is>
          <t>04</t>
        </is>
      </c>
      <c r="K666" s="198" t="inlineStr">
        <is>
          <t>BBKTĐK</t>
        </is>
      </c>
      <c r="L666" s="199" t="inlineStr">
        <is>
          <t>Kiểm tra điều kiện trước khi thi công cọc khoan nhồi: Thiết bị, nhân lực, vật tư</t>
        </is>
      </c>
      <c r="M666" s="199" t="n"/>
      <c r="N666" s="199" t="n"/>
      <c r="O666" s="200" t="inlineStr">
        <is>
          <t>Cầu Km19+529.080</t>
        </is>
      </c>
      <c r="P666" s="201" t="n">
        <v>46215</v>
      </c>
      <c r="Q666" s="201">
        <f>P666</f>
        <v/>
      </c>
      <c r="R666" s="201">
        <f>Q666-1</f>
        <v/>
      </c>
      <c r="S666" s="201">
        <f>Q666</f>
        <v/>
      </c>
      <c r="T666" s="208" t="n">
        <v>0.2916666666666667</v>
      </c>
      <c r="U666" s="208">
        <f>T666+V666</f>
        <v/>
      </c>
      <c r="V666" s="208" t="n">
        <v>0.02083333333333333</v>
      </c>
      <c r="W666" s="202">
        <f>TEXT(T666,"HH""h""MM'")&amp;"÷"&amp;TEXT(U666,"HH""h""MM'")</f>
        <v/>
      </c>
      <c r="X666" s="202" t="n"/>
      <c r="Y666" s="202" t="n"/>
      <c r="Z666" s="202" t="inlineStr">
        <is>
          <t>01;</t>
        </is>
      </c>
      <c r="AA666" s="200" t="inlineStr">
        <is>
          <t>Kiểm tra điều kiện trước khi thi công Cọc khoan nhồi Trụ T2 - Cọc C4</t>
        </is>
      </c>
      <c r="AB666" s="205" t="inlineStr">
        <is>
          <t>09-XL-307HG/PYCNT/CKN/T2/C4-1</t>
        </is>
      </c>
      <c r="AC666" s="205" t="inlineStr">
        <is>
          <t>09-XL-307HG/BBNT/CKN/T2/C4-1</t>
        </is>
      </c>
      <c r="AD666" s="205" t="n"/>
      <c r="AE666" s="205" t="n"/>
      <c r="AF666" s="205" t="n"/>
      <c r="AG666" s="205" t="n"/>
      <c r="AH666" s="205" t="n"/>
      <c r="AI666" s="207" t="n"/>
      <c r="AJ666" s="214" t="n"/>
      <c r="AK666" s="217" t="n"/>
      <c r="AL666" s="214" t="n"/>
      <c r="AM666" s="214" t="n"/>
      <c r="AN666" s="214" t="n"/>
      <c r="AO666" s="202" t="n"/>
      <c r="AP666" s="207" t="n"/>
      <c r="AQ666" s="207" t="n"/>
      <c r="AR666" s="202" t="inlineStr">
        <is>
          <t>Nhóm 1</t>
        </is>
      </c>
      <c r="AS666" s="202" t="n"/>
      <c r="AT666" s="202" t="inlineStr">
        <is>
          <t>HM18</t>
        </is>
      </c>
      <c r="AU666" s="202" t="inlineStr">
        <is>
          <t>BBKTĐK</t>
        </is>
      </c>
      <c r="AV666" s="202" t="n">
        <v>10</v>
      </c>
      <c r="AW666" s="202" t="n">
        <v>1</v>
      </c>
      <c r="AX666" s="202" t="n"/>
    </row>
    <row r="667" ht="28" customHeight="1" s="672">
      <c r="A667" s="56" t="inlineStr">
        <is>
          <t>BBK860</t>
        </is>
      </c>
      <c r="B667" s="56" t="inlineStr">
        <is>
          <t>PL01</t>
        </is>
      </c>
      <c r="C667" s="56" t="inlineStr">
        <is>
          <t>BBK860.0963605</t>
        </is>
      </c>
      <c r="D667" s="57" t="n"/>
      <c r="E667" s="57" t="n"/>
      <c r="F667" s="57" t="n"/>
      <c r="G667" s="57" t="n"/>
      <c r="H667" s="57" t="n"/>
      <c r="J667" s="198" t="inlineStr">
        <is>
          <t>05</t>
        </is>
      </c>
      <c r="K667" s="198" t="inlineStr">
        <is>
          <t>PL01</t>
        </is>
      </c>
      <c r="L667" s="199" t="inlineStr">
        <is>
          <t>Máy móc, thiết bị, nhân lực, vật tư thi công cọc khoan nhồi</t>
        </is>
      </c>
      <c r="M667" s="199" t="n"/>
      <c r="N667" s="199" t="n"/>
      <c r="O667" s="199" t="inlineStr">
        <is>
          <t>Cầu Km19+529.080</t>
        </is>
      </c>
      <c r="P667" s="201" t="n"/>
      <c r="Q667" s="201" t="n"/>
      <c r="R667" s="201" t="n"/>
      <c r="S667" s="201">
        <f>S666</f>
        <v/>
      </c>
      <c r="T667" s="201" t="n"/>
      <c r="U667" s="201" t="n"/>
      <c r="V667" s="201" t="n"/>
      <c r="W667" s="202" t="n"/>
      <c r="X667" s="202" t="n"/>
      <c r="Y667" s="202" t="n"/>
      <c r="Z667" s="198" t="inlineStr">
        <is>
          <t>01</t>
        </is>
      </c>
      <c r="AA667" s="203" t="n"/>
      <c r="AB667" s="204" t="inlineStr">
        <is>
          <t>09-XL-307HG/PYCNT/CKN/T2/C4-1</t>
        </is>
      </c>
      <c r="AC667" s="204">
        <f>AC666</f>
        <v/>
      </c>
      <c r="AD667" s="204" t="n"/>
      <c r="AE667" s="204" t="n"/>
      <c r="AF667" s="204" t="n"/>
      <c r="AG667" s="204" t="n"/>
      <c r="AH667" s="204" t="inlineStr">
        <is>
          <t>CKN</t>
        </is>
      </c>
      <c r="AI667" s="207" t="n"/>
      <c r="AJ667" s="202" t="n"/>
      <c r="AK667" s="206" t="n"/>
      <c r="AL667" s="202" t="n"/>
      <c r="AM667" s="202" t="n"/>
      <c r="AN667" s="202" t="n"/>
      <c r="AO667" s="202" t="n"/>
      <c r="AP667" s="207" t="n"/>
      <c r="AQ667" s="207" t="n"/>
      <c r="AR667" s="202" t="inlineStr">
        <is>
          <t>Nhóm 1</t>
        </is>
      </c>
      <c r="AS667" s="202" t="n"/>
      <c r="AT667" s="202" t="inlineStr">
        <is>
          <t>HM18</t>
        </is>
      </c>
      <c r="AU667" s="202" t="inlineStr">
        <is>
          <t>PL01</t>
        </is>
      </c>
      <c r="AV667" s="202" t="n">
        <v>10</v>
      </c>
      <c r="AW667" s="202" t="n">
        <v>1</v>
      </c>
      <c r="AX667" s="202" t="n"/>
    </row>
    <row r="668" ht="42" customHeight="1" s="672">
      <c r="A668" s="56" t="inlineStr">
        <is>
          <t>NTCV</t>
        </is>
      </c>
      <c r="B668" s="56" t="inlineStr">
        <is>
          <t>K.9999</t>
        </is>
      </c>
      <c r="C668" s="56" t="inlineStr">
        <is>
          <t>NTCV.0827671</t>
        </is>
      </c>
      <c r="D668" s="57" t="n"/>
      <c r="E668" s="57" t="n"/>
      <c r="F668" s="57" t="n"/>
      <c r="G668" s="57" t="n"/>
      <c r="H668" s="57" t="n"/>
      <c r="J668" s="209" t="inlineStr">
        <is>
          <t>06</t>
        </is>
      </c>
      <c r="K668" s="209" t="inlineStr">
        <is>
          <t>K.9999</t>
        </is>
      </c>
      <c r="L668" s="210" t="inlineStr">
        <is>
          <t>Kiểm tra ống vách, dung dịch bentonite trước khi khoan cọc khoan nhồi</t>
        </is>
      </c>
      <c r="M668" s="210" t="n"/>
      <c r="N668" s="210" t="n"/>
      <c r="O668" s="211" t="inlineStr">
        <is>
          <t>Cầu Km19+529.080</t>
        </is>
      </c>
      <c r="P668" s="212">
        <f>S666</f>
        <v/>
      </c>
      <c r="Q668" s="212">
        <f>P668</f>
        <v/>
      </c>
      <c r="R668" s="212">
        <f>Q668-1</f>
        <v/>
      </c>
      <c r="S668" s="212">
        <f>Q668</f>
        <v/>
      </c>
      <c r="T668" s="213">
        <f>U666</f>
        <v/>
      </c>
      <c r="U668" s="213">
        <f>T668+V668</f>
        <v/>
      </c>
      <c r="V668" s="213" t="n">
        <v>0.02083333333333333</v>
      </c>
      <c r="W668" s="214">
        <f>TEXT(T668,"HH""h""MM'")&amp;"÷"&amp;TEXT(U668,"HH""h""MM'")</f>
        <v/>
      </c>
      <c r="X668" s="214" t="n"/>
      <c r="Y668" s="214" t="n"/>
      <c r="Z668" s="214" t="inlineStr">
        <is>
          <t>02; 02a</t>
        </is>
      </c>
      <c r="AA668" s="215" t="inlineStr">
        <is>
          <t>Kiểm tra ống vách, dung dịch bentonite Cọc khoan nhồi Trụ T2 - Cọc C4 trước khi khoan</t>
        </is>
      </c>
      <c r="AB668" s="204" t="inlineStr">
        <is>
          <t>09-XL-307HG/PYCNT/CKN/T2/C4-1</t>
        </is>
      </c>
      <c r="AC668" s="204" t="inlineStr">
        <is>
          <t>09-XL-307HG/BBNT/CKN/T2/C4-2</t>
        </is>
      </c>
      <c r="AD668" s="204" t="n"/>
      <c r="AE668" s="204" t="n"/>
      <c r="AF668" s="204" t="n"/>
      <c r="AG668" s="204" t="n"/>
      <c r="AH668" s="204" t="n"/>
      <c r="AI668" s="216" t="n"/>
      <c r="AJ668" s="214" t="n"/>
      <c r="AK668" s="217" t="n"/>
      <c r="AL668" s="214" t="n"/>
      <c r="AM668" s="214" t="n"/>
      <c r="AN668" s="214" t="n"/>
      <c r="AO668" s="214" t="n"/>
      <c r="AP668" s="216" t="n"/>
      <c r="AQ668" s="216" t="n"/>
      <c r="AR668" s="214" t="inlineStr">
        <is>
          <t>Nhóm 1</t>
        </is>
      </c>
      <c r="AS668" s="214" t="n"/>
      <c r="AT668" s="214" t="inlineStr">
        <is>
          <t>HM18</t>
        </is>
      </c>
      <c r="AU668" s="214" t="inlineStr">
        <is>
          <t>NTCV</t>
        </is>
      </c>
      <c r="AV668" s="214" t="n">
        <v>144</v>
      </c>
      <c r="AW668" s="214" t="n">
        <v>1</v>
      </c>
      <c r="AX668" s="214" t="n"/>
    </row>
    <row r="669">
      <c r="A669" s="56" t="inlineStr">
        <is>
          <t>BBK170</t>
        </is>
      </c>
      <c r="B669" s="56" t="inlineStr">
        <is>
          <t>PL02</t>
        </is>
      </c>
      <c r="C669" s="56" t="inlineStr">
        <is>
          <t>BBK170.0554015</t>
        </is>
      </c>
      <c r="D669" s="57" t="n"/>
      <c r="E669" s="57" t="n"/>
      <c r="F669" s="57" t="n"/>
      <c r="G669" s="57" t="n"/>
      <c r="H669" s="57" t="n"/>
      <c r="J669" s="198" t="inlineStr">
        <is>
          <t>07</t>
        </is>
      </c>
      <c r="K669" s="198" t="inlineStr">
        <is>
          <t>PL02</t>
        </is>
      </c>
      <c r="L669" s="199" t="inlineStr">
        <is>
          <t>Kiểm tra ống vách thi công trước khi hạ</t>
        </is>
      </c>
      <c r="M669" s="199" t="n"/>
      <c r="N669" s="199" t="n"/>
      <c r="O669" s="200" t="inlineStr">
        <is>
          <t>Cầu Km19+529.080</t>
        </is>
      </c>
      <c r="P669" s="201" t="n"/>
      <c r="Q669" s="201" t="n"/>
      <c r="R669" s="201" t="n"/>
      <c r="S669" s="201">
        <f>S668</f>
        <v/>
      </c>
      <c r="T669" s="201" t="n"/>
      <c r="U669" s="201" t="n"/>
      <c r="V669" s="201" t="n"/>
      <c r="W669" s="202" t="n"/>
      <c r="X669" s="202" t="n"/>
      <c r="Y669" s="202" t="n"/>
      <c r="Z669" s="198" t="inlineStr">
        <is>
          <t>02</t>
        </is>
      </c>
      <c r="AA669" s="203" t="n"/>
      <c r="AB669" s="204" t="inlineStr">
        <is>
          <t>09-XL-307HG/PYCNT/CKN/T2/C4-1</t>
        </is>
      </c>
      <c r="AC669" s="204">
        <f>AC668</f>
        <v/>
      </c>
      <c r="AD669" s="204" t="n"/>
      <c r="AE669" s="204" t="n"/>
      <c r="AF669" s="204" t="n"/>
      <c r="AG669" s="204" t="n"/>
      <c r="AH669" s="204" t="inlineStr">
        <is>
          <t>CKN</t>
        </is>
      </c>
      <c r="AI669" s="207" t="n"/>
      <c r="AJ669" s="202" t="n"/>
      <c r="AK669" s="206" t="n"/>
      <c r="AL669" s="202" t="n"/>
      <c r="AM669" s="202" t="n"/>
      <c r="AN669" s="202" t="n"/>
      <c r="AO669" s="202" t="n"/>
      <c r="AP669" s="207" t="n"/>
      <c r="AQ669" s="207" t="inlineStr">
        <is>
          <t>Ảnh\PL02 CKN.png</t>
        </is>
      </c>
      <c r="AR669" s="202" t="inlineStr">
        <is>
          <t>Nhóm 1</t>
        </is>
      </c>
      <c r="AS669" s="202" t="n"/>
      <c r="AT669" s="202" t="inlineStr">
        <is>
          <t>HM18</t>
        </is>
      </c>
      <c r="AU669" s="202" t="inlineStr">
        <is>
          <t>PL02</t>
        </is>
      </c>
      <c r="AV669" s="202" t="n">
        <v>10</v>
      </c>
      <c r="AW669" s="202" t="n">
        <v>1</v>
      </c>
      <c r="AX669" s="202" t="n"/>
    </row>
    <row r="670">
      <c r="A670" s="56" t="inlineStr">
        <is>
          <t>BBK721</t>
        </is>
      </c>
      <c r="B670" s="56" t="inlineStr">
        <is>
          <t>PL02a</t>
        </is>
      </c>
      <c r="C670" s="56" t="inlineStr">
        <is>
          <t>BBK721.0606856</t>
        </is>
      </c>
      <c r="D670" s="57" t="n"/>
      <c r="E670" s="57" t="n"/>
      <c r="F670" s="57" t="n"/>
      <c r="G670" s="57" t="n"/>
      <c r="H670" s="57" t="n"/>
      <c r="J670" s="198" t="inlineStr">
        <is>
          <t>08</t>
        </is>
      </c>
      <c r="K670" s="198" t="inlineStr">
        <is>
          <t>PL02a</t>
        </is>
      </c>
      <c r="L670" s="199" t="inlineStr">
        <is>
          <t>Kiểm tra ống vách thi công trước khi hạ</t>
        </is>
      </c>
      <c r="M670" s="199" t="n"/>
      <c r="N670" s="199" t="n"/>
      <c r="O670" s="200" t="inlineStr">
        <is>
          <t>Cầu Km19+529.080</t>
        </is>
      </c>
      <c r="P670" s="201" t="n"/>
      <c r="Q670" s="201" t="n"/>
      <c r="R670" s="201" t="n"/>
      <c r="S670" s="201">
        <f>S669</f>
        <v/>
      </c>
      <c r="T670" s="201" t="n"/>
      <c r="U670" s="201" t="n"/>
      <c r="V670" s="201" t="n"/>
      <c r="W670" s="202" t="n"/>
      <c r="X670" s="202" t="n"/>
      <c r="Y670" s="202" t="n"/>
      <c r="Z670" s="198" t="inlineStr">
        <is>
          <t>02a</t>
        </is>
      </c>
      <c r="AA670" s="203" t="n"/>
      <c r="AB670" s="204" t="inlineStr">
        <is>
          <t>09-XL-307HG/PYCNT/CKN/T2/C4-1</t>
        </is>
      </c>
      <c r="AC670" s="204">
        <f>AC669</f>
        <v/>
      </c>
      <c r="AD670" s="204" t="n"/>
      <c r="AE670" s="204" t="n"/>
      <c r="AF670" s="204" t="n"/>
      <c r="AG670" s="204" t="n"/>
      <c r="AH670" s="204" t="n"/>
      <c r="AI670" s="207" t="n"/>
      <c r="AJ670" s="202" t="n"/>
      <c r="AK670" s="206" t="n"/>
      <c r="AL670" s="202" t="n"/>
      <c r="AM670" s="202" t="n"/>
      <c r="AN670" s="202" t="n"/>
      <c r="AO670" s="202" t="n"/>
      <c r="AP670" s="207" t="n"/>
      <c r="AQ670" s="207" t="n"/>
      <c r="AR670" s="202" t="inlineStr">
        <is>
          <t>Nhóm 1</t>
        </is>
      </c>
      <c r="AS670" s="202" t="n"/>
      <c r="AT670" s="202" t="inlineStr">
        <is>
          <t>HM18</t>
        </is>
      </c>
      <c r="AU670" s="202" t="inlineStr">
        <is>
          <t>PL02a</t>
        </is>
      </c>
      <c r="AV670" s="202" t="n">
        <v>10</v>
      </c>
      <c r="AW670" s="202" t="n">
        <v>1</v>
      </c>
      <c r="AX670" s="202" t="n"/>
    </row>
    <row r="671" ht="28" customHeight="1" s="672">
      <c r="A671" s="56" t="inlineStr">
        <is>
          <t>NTCV</t>
        </is>
      </c>
      <c r="B671" s="56" t="inlineStr">
        <is>
          <t>K.9999</t>
        </is>
      </c>
      <c r="C671" s="56" t="inlineStr">
        <is>
          <t>NTCV.0190213</t>
        </is>
      </c>
      <c r="D671" s="57" t="n"/>
      <c r="E671" s="57" t="n"/>
      <c r="F671" s="57" t="n"/>
      <c r="G671" s="57" t="n"/>
      <c r="H671" s="57" t="n"/>
      <c r="J671" s="209" t="inlineStr">
        <is>
          <t>09</t>
        </is>
      </c>
      <c r="K671" s="209" t="inlineStr">
        <is>
          <t>K.9999</t>
        </is>
      </c>
      <c r="L671" s="210" t="inlineStr">
        <is>
          <t>Kiểm tra định vị tim cọc khoan nhồi, hạ ống vách thi công</t>
        </is>
      </c>
      <c r="M671" s="210" t="n"/>
      <c r="N671" s="210" t="n"/>
      <c r="O671" s="211" t="inlineStr">
        <is>
          <t>Cầu Km19+529.080</t>
        </is>
      </c>
      <c r="P671" s="212">
        <f>S668</f>
        <v/>
      </c>
      <c r="Q671" s="212">
        <f>P671</f>
        <v/>
      </c>
      <c r="R671" s="212">
        <f>Q671-1</f>
        <v/>
      </c>
      <c r="S671" s="212">
        <f>Q671</f>
        <v/>
      </c>
      <c r="T671" s="213">
        <f>U668</f>
        <v/>
      </c>
      <c r="U671" s="213">
        <f>T671+V671</f>
        <v/>
      </c>
      <c r="V671" s="213" t="n">
        <v>0.02083333333333333</v>
      </c>
      <c r="W671" s="214">
        <f>TEXT(T671,"HH""h""MM'")&amp;"÷"&amp;TEXT(U671,"HH""h""MM'")</f>
        <v/>
      </c>
      <c r="X671" s="214" t="n"/>
      <c r="Y671" s="214" t="n"/>
      <c r="Z671" s="214" t="inlineStr">
        <is>
          <t>03;</t>
        </is>
      </c>
      <c r="AA671" s="215" t="inlineStr">
        <is>
          <t>Kiểm tra định vị Cọc khoan nhồi Trụ T2 - Cọc C4</t>
        </is>
      </c>
      <c r="AB671" s="204" t="inlineStr">
        <is>
          <t>09-XL-307HG/PYCNT/CKN/T2/C4-1</t>
        </is>
      </c>
      <c r="AC671" s="204" t="inlineStr">
        <is>
          <t>09-XL-307HG/BBNT/CKN/T2/C4-3</t>
        </is>
      </c>
      <c r="AD671" s="204" t="n"/>
      <c r="AE671" s="204" t="n"/>
      <c r="AF671" s="204" t="n"/>
      <c r="AG671" s="204" t="n"/>
      <c r="AH671" s="204" t="n"/>
      <c r="AI671" s="216" t="n"/>
      <c r="AJ671" s="214" t="n"/>
      <c r="AK671" s="217" t="n"/>
      <c r="AL671" s="214" t="n"/>
      <c r="AM671" s="214" t="n"/>
      <c r="AN671" s="214" t="n"/>
      <c r="AO671" s="214" t="n"/>
      <c r="AP671" s="216" t="n"/>
      <c r="AQ671" s="216" t="n"/>
      <c r="AR671" s="214" t="inlineStr">
        <is>
          <t>Nhóm 1</t>
        </is>
      </c>
      <c r="AS671" s="214" t="n"/>
      <c r="AT671" s="214" t="inlineStr">
        <is>
          <t>HM18</t>
        </is>
      </c>
      <c r="AU671" s="214" t="inlineStr">
        <is>
          <t>NTCV</t>
        </is>
      </c>
      <c r="AV671" s="214" t="n">
        <v>146</v>
      </c>
      <c r="AW671" s="214" t="n">
        <v>2</v>
      </c>
      <c r="AX671" s="214" t="n"/>
    </row>
    <row r="672" ht="28" customHeight="1" s="672">
      <c r="A672" s="56" t="inlineStr">
        <is>
          <t>BBK478</t>
        </is>
      </c>
      <c r="B672" s="56" t="inlineStr">
        <is>
          <t>PL03</t>
        </is>
      </c>
      <c r="C672" s="56" t="inlineStr">
        <is>
          <t>BBK478.0901996</t>
        </is>
      </c>
      <c r="D672" s="57" t="n"/>
      <c r="E672" s="57" t="n"/>
      <c r="F672" s="57" t="n"/>
      <c r="G672" s="57" t="n"/>
      <c r="H672" s="57" t="n"/>
      <c r="J672" s="198" t="inlineStr">
        <is>
          <t>10</t>
        </is>
      </c>
      <c r="K672" s="198" t="inlineStr">
        <is>
          <t>PL03</t>
        </is>
      </c>
      <c r="L672" s="199" t="inlineStr">
        <is>
          <t>Kiểm tra định vị tim cọc khoan nhồi, hạ ống vách thi công</t>
        </is>
      </c>
      <c r="M672" s="199" t="n"/>
      <c r="N672" s="199" t="n"/>
      <c r="O672" s="200" t="inlineStr">
        <is>
          <t>Cầu Km19+529.080</t>
        </is>
      </c>
      <c r="P672" s="201" t="n"/>
      <c r="Q672" s="201" t="n"/>
      <c r="R672" s="201" t="n"/>
      <c r="S672" s="201">
        <f>S671</f>
        <v/>
      </c>
      <c r="T672" s="201" t="n"/>
      <c r="U672" s="201" t="n"/>
      <c r="V672" s="201" t="n"/>
      <c r="W672" s="202" t="n"/>
      <c r="X672" s="202" t="n"/>
      <c r="Y672" s="202" t="n"/>
      <c r="Z672" s="198" t="inlineStr">
        <is>
          <t>03</t>
        </is>
      </c>
      <c r="AA672" s="203" t="n"/>
      <c r="AB672" s="204" t="inlineStr">
        <is>
          <t>09-XL-307HG/PYCNT/CKN/T2/C4-1</t>
        </is>
      </c>
      <c r="AC672" s="204">
        <f>AC671</f>
        <v/>
      </c>
      <c r="AD672" s="255" t="n">
        <v>2481786.082</v>
      </c>
      <c r="AE672" s="255" t="n">
        <v>382430.477</v>
      </c>
      <c r="AF672" s="255" t="n">
        <v>167.86</v>
      </c>
      <c r="AG672" s="255" t="n"/>
      <c r="AH672" s="204" t="inlineStr">
        <is>
          <t>&gt;=268;&lt;=286</t>
        </is>
      </c>
      <c r="AI672" s="207" t="n"/>
      <c r="AJ672" s="202" t="n"/>
      <c r="AK672" s="206" t="n"/>
      <c r="AL672" s="202" t="n"/>
      <c r="AM672" s="202" t="n"/>
      <c r="AN672" s="202" t="n"/>
      <c r="AO672" s="202" t="n"/>
      <c r="AP672" s="207" t="n"/>
      <c r="AQ672" s="207" t="n"/>
      <c r="AR672" s="202" t="inlineStr">
        <is>
          <t>Nhóm 1</t>
        </is>
      </c>
      <c r="AS672" s="202" t="n"/>
      <c r="AT672" s="202" t="inlineStr">
        <is>
          <t>HM18</t>
        </is>
      </c>
      <c r="AU672" s="202" t="inlineStr">
        <is>
          <t>PL03</t>
        </is>
      </c>
      <c r="AV672" s="202" t="n">
        <v>10</v>
      </c>
      <c r="AW672" s="202" t="n">
        <v>1</v>
      </c>
      <c r="AX672" s="202" t="n"/>
    </row>
    <row r="673" ht="28" customHeight="1" s="672">
      <c r="A673" s="56" t="inlineStr">
        <is>
          <t>NTCV</t>
        </is>
      </c>
      <c r="B673" s="56" t="inlineStr">
        <is>
          <t>K.9999</t>
        </is>
      </c>
      <c r="C673" s="56" t="inlineStr">
        <is>
          <t>NTCV.0318589</t>
        </is>
      </c>
      <c r="D673" s="57" t="n"/>
      <c r="E673" s="57" t="n"/>
      <c r="F673" s="57" t="n"/>
      <c r="G673" s="57" t="n"/>
      <c r="H673" s="57" t="n"/>
      <c r="J673" s="209" t="inlineStr">
        <is>
          <t>11</t>
        </is>
      </c>
      <c r="K673" s="209" t="inlineStr">
        <is>
          <t>K.9999</t>
        </is>
      </c>
      <c r="L673" s="210" t="inlineStr">
        <is>
          <t>Nghiệm thu lồng thép cọc khoan nhồi trước khi hạ</t>
        </is>
      </c>
      <c r="M673" s="210" t="n"/>
      <c r="N673" s="210" t="n"/>
      <c r="O673" s="211" t="inlineStr">
        <is>
          <t>Cầu Km19+529.080</t>
        </is>
      </c>
      <c r="P673" s="212">
        <f>S671</f>
        <v/>
      </c>
      <c r="Q673" s="212">
        <f>P673</f>
        <v/>
      </c>
      <c r="R673" s="212">
        <f>Q673-1</f>
        <v/>
      </c>
      <c r="S673" s="212">
        <f>Q673</f>
        <v/>
      </c>
      <c r="T673" s="213">
        <f>U671</f>
        <v/>
      </c>
      <c r="U673" s="213">
        <f>T673+V673</f>
        <v/>
      </c>
      <c r="V673" s="213" t="n">
        <v>0.02083333333333333</v>
      </c>
      <c r="W673" s="214">
        <f>TEXT(T673,"HH""h""MM'")&amp;"÷"&amp;TEXT(U673,"HH""h""MM'")</f>
        <v/>
      </c>
      <c r="X673" s="214" t="n"/>
      <c r="Y673" s="214" t="n"/>
      <c r="Z673" s="214" t="inlineStr">
        <is>
          <t>04;</t>
        </is>
      </c>
      <c r="AA673" s="215" t="inlineStr">
        <is>
          <t>Nghiệm thu lồng thép Cọc khoan nhồi Trụ T2 - Cọc C4</t>
        </is>
      </c>
      <c r="AB673" s="204" t="inlineStr">
        <is>
          <t>09-XL-307HG/PYCNT/CKN/T2/C4-1</t>
        </is>
      </c>
      <c r="AC673" s="204" t="inlineStr">
        <is>
          <t>09-XL-307HG/BBNT/CKN/T2/C4-4</t>
        </is>
      </c>
      <c r="AD673" s="204" t="n"/>
      <c r="AE673" s="204" t="n"/>
      <c r="AF673" s="204" t="n"/>
      <c r="AG673" s="204" t="n"/>
      <c r="AH673" s="204" t="n"/>
      <c r="AI673" s="216" t="n"/>
      <c r="AJ673" s="214" t="n"/>
      <c r="AK673" s="217" t="n"/>
      <c r="AL673" s="214" t="n"/>
      <c r="AM673" s="214" t="n"/>
      <c r="AN673" s="214" t="n"/>
      <c r="AO673" s="214" t="n"/>
      <c r="AP673" s="216" t="n"/>
      <c r="AQ673" s="216" t="n"/>
      <c r="AR673" s="214" t="inlineStr">
        <is>
          <t>Nhóm 1</t>
        </is>
      </c>
      <c r="AS673" s="214" t="n"/>
      <c r="AT673" s="214" t="inlineStr">
        <is>
          <t>HM18</t>
        </is>
      </c>
      <c r="AU673" s="214" t="inlineStr">
        <is>
          <t>NTCV</t>
        </is>
      </c>
      <c r="AV673" s="214" t="n">
        <v>148</v>
      </c>
      <c r="AW673" s="214" t="n">
        <v>3</v>
      </c>
      <c r="AX673" s="214" t="n"/>
    </row>
    <row r="674">
      <c r="A674" s="56" t="inlineStr">
        <is>
          <t>BBK096</t>
        </is>
      </c>
      <c r="B674" s="56" t="inlineStr">
        <is>
          <t>PL04</t>
        </is>
      </c>
      <c r="C674" s="56" t="inlineStr">
        <is>
          <t>BBK096.0600487</t>
        </is>
      </c>
      <c r="D674" s="57" t="n"/>
      <c r="E674" s="57" t="n"/>
      <c r="F674" s="57" t="n"/>
      <c r="G674" s="57" t="n"/>
      <c r="H674" s="57" t="n"/>
      <c r="J674" s="198" t="inlineStr">
        <is>
          <t>12</t>
        </is>
      </c>
      <c r="K674" s="198" t="inlineStr">
        <is>
          <t>PL04</t>
        </is>
      </c>
      <c r="L674" s="199" t="inlineStr">
        <is>
          <t>Nghiệm thu lồng thép cọc khoan nhồi trước khi hạ</t>
        </is>
      </c>
      <c r="M674" s="199" t="n"/>
      <c r="N674" s="199" t="n"/>
      <c r="O674" s="200" t="inlineStr">
        <is>
          <t>Cầu Km19+529.080</t>
        </is>
      </c>
      <c r="P674" s="201" t="n"/>
      <c r="Q674" s="201" t="n"/>
      <c r="R674" s="201" t="n"/>
      <c r="S674" s="201">
        <f>S673</f>
        <v/>
      </c>
      <c r="T674" s="201" t="n"/>
      <c r="U674" s="201" t="n"/>
      <c r="V674" s="201" t="n"/>
      <c r="W674" s="202" t="n"/>
      <c r="X674" s="202" t="n"/>
      <c r="Y674" s="202" t="n"/>
      <c r="Z674" s="198" t="inlineStr">
        <is>
          <t>04</t>
        </is>
      </c>
      <c r="AA674" s="203" t="n"/>
      <c r="AB674" s="204" t="inlineStr">
        <is>
          <t>09-XL-307HG/PYCNT/CKN/T2/C4-1</t>
        </is>
      </c>
      <c r="AC674" s="204">
        <f>AC673</f>
        <v/>
      </c>
      <c r="AD674" s="204" t="n"/>
      <c r="AE674" s="204" t="n"/>
      <c r="AF674" s="204" t="n"/>
      <c r="AG674" s="204" t="n"/>
      <c r="AH674" s="204" t="inlineStr">
        <is>
          <t>T2</t>
        </is>
      </c>
      <c r="AI674" s="207" t="n"/>
      <c r="AJ674" s="202" t="n"/>
      <c r="AK674" s="206" t="n"/>
      <c r="AL674" s="202" t="n"/>
      <c r="AM674" s="202" t="n"/>
      <c r="AN674" s="202" t="n"/>
      <c r="AO674" s="202" t="n"/>
      <c r="AP674" s="207" t="n"/>
      <c r="AQ674" s="207" t="n"/>
      <c r="AR674" s="202" t="inlineStr">
        <is>
          <t>Nhóm 1</t>
        </is>
      </c>
      <c r="AS674" s="202" t="n"/>
      <c r="AT674" s="202" t="inlineStr">
        <is>
          <t>HM18</t>
        </is>
      </c>
      <c r="AU674" s="202" t="inlineStr">
        <is>
          <t>PL04</t>
        </is>
      </c>
      <c r="AV674" s="202" t="n">
        <v>10</v>
      </c>
      <c r="AW674" s="202" t="n">
        <v>1</v>
      </c>
      <c r="AX674" s="202" t="n"/>
    </row>
    <row r="675" ht="28" customHeight="1" s="672">
      <c r="A675" s="56" t="inlineStr">
        <is>
          <t>NTCV</t>
        </is>
      </c>
      <c r="B675" s="56" t="inlineStr">
        <is>
          <t>K.9999</t>
        </is>
      </c>
      <c r="C675" s="56" t="inlineStr">
        <is>
          <t>NTCV.0597261</t>
        </is>
      </c>
      <c r="D675" s="57" t="n"/>
      <c r="E675" s="57" t="n"/>
      <c r="F675" s="57" t="n"/>
      <c r="G675" s="57" t="n"/>
      <c r="H675" s="57" t="n"/>
      <c r="J675" s="209" t="inlineStr">
        <is>
          <t>13</t>
        </is>
      </c>
      <c r="K675" s="209" t="inlineStr">
        <is>
          <t>K.9999</t>
        </is>
      </c>
      <c r="L675" s="210" t="inlineStr">
        <is>
          <t xml:space="preserve">Kiểm tra công tác khoan tạo lỗ cọc khoan nhồi </t>
        </is>
      </c>
      <c r="M675" s="210" t="n"/>
      <c r="N675" s="210" t="n"/>
      <c r="O675" s="211" t="inlineStr">
        <is>
          <t>Cầu Km19+529.080</t>
        </is>
      </c>
      <c r="P675" s="212">
        <f>S673</f>
        <v/>
      </c>
      <c r="Q675" s="212">
        <f>P675</f>
        <v/>
      </c>
      <c r="R675" s="212">
        <f>Q675-1</f>
        <v/>
      </c>
      <c r="S675" s="212">
        <f>Q675</f>
        <v/>
      </c>
      <c r="T675" s="213">
        <f>U673</f>
        <v/>
      </c>
      <c r="U675" s="213">
        <f>T675+V675</f>
        <v/>
      </c>
      <c r="V675" s="213" t="n">
        <v>0.3888888888888889</v>
      </c>
      <c r="W675" s="214">
        <f>TEXT(T675,"HH""h""MM'")&amp;"÷"&amp;TEXT(U675,"HH""h""MM'")</f>
        <v/>
      </c>
      <c r="X675" s="214" t="n"/>
      <c r="Y675" s="214" t="n"/>
      <c r="Z675" s="214" t="inlineStr">
        <is>
          <t>05;</t>
        </is>
      </c>
      <c r="AA675" s="215" t="inlineStr">
        <is>
          <t>Kiểm tra công tác khoan tạo lỗ Cọc khoan nhồi Trụ T2 - Cọc C4</t>
        </is>
      </c>
      <c r="AB675" s="204" t="inlineStr">
        <is>
          <t>09-XL-307HG/PYCNT/CKN/T2/C4-1</t>
        </is>
      </c>
      <c r="AC675" s="204" t="inlineStr">
        <is>
          <t>09-XL-307HG/BBNT/CKN/T2/C4-5</t>
        </is>
      </c>
      <c r="AD675" s="204" t="n"/>
      <c r="AE675" s="204" t="n"/>
      <c r="AF675" s="204" t="n"/>
      <c r="AG675" s="204" t="n"/>
      <c r="AH675" s="204" t="n"/>
      <c r="AI675" s="216" t="n"/>
      <c r="AJ675" s="214" t="n"/>
      <c r="AK675" s="217" t="n"/>
      <c r="AL675" s="214" t="n"/>
      <c r="AM675" s="214" t="n"/>
      <c r="AN675" s="214" t="n"/>
      <c r="AO675" s="214" t="n"/>
      <c r="AP675" s="216" t="n"/>
      <c r="AQ675" s="216" t="n"/>
      <c r="AR675" s="214" t="inlineStr">
        <is>
          <t>Nhóm 1</t>
        </is>
      </c>
      <c r="AS675" s="214" t="n"/>
      <c r="AT675" s="214" t="inlineStr">
        <is>
          <t>HM18</t>
        </is>
      </c>
      <c r="AU675" s="214" t="inlineStr">
        <is>
          <t>NTCV</t>
        </is>
      </c>
      <c r="AV675" s="214" t="n">
        <v>151</v>
      </c>
      <c r="AW675" s="214" t="n">
        <v>4</v>
      </c>
      <c r="AX675" s="214" t="n"/>
    </row>
    <row r="676">
      <c r="A676" s="56" t="inlineStr">
        <is>
          <t>BBK638</t>
        </is>
      </c>
      <c r="B676" s="56" t="inlineStr">
        <is>
          <t>PL05</t>
        </is>
      </c>
      <c r="C676" s="56" t="inlineStr">
        <is>
          <t>BBK638.0767035</t>
        </is>
      </c>
      <c r="D676" s="57" t="n"/>
      <c r="E676" s="57" t="n"/>
      <c r="F676" s="57" t="n"/>
      <c r="G676" s="57" t="n"/>
      <c r="H676" s="57" t="n"/>
      <c r="J676" s="198" t="inlineStr">
        <is>
          <t>14</t>
        </is>
      </c>
      <c r="K676" s="198" t="inlineStr">
        <is>
          <t>PL05</t>
        </is>
      </c>
      <c r="L676" s="199" t="inlineStr">
        <is>
          <t>Kiểm tra công tác khoan tạo lỗ cọc khoan nhồi</t>
        </is>
      </c>
      <c r="M676" s="199" t="n"/>
      <c r="N676" s="199" t="n"/>
      <c r="O676" s="200" t="inlineStr">
        <is>
          <t>Cầu Km19+529.080</t>
        </is>
      </c>
      <c r="P676" s="201" t="n"/>
      <c r="Q676" s="201" t="n"/>
      <c r="R676" s="201" t="n"/>
      <c r="S676" s="201">
        <f>S675</f>
        <v/>
      </c>
      <c r="T676" s="208">
        <f>T675</f>
        <v/>
      </c>
      <c r="U676" s="208" t="n">
        <v>0.7638888888888888</v>
      </c>
      <c r="V676" s="208">
        <f>U676-T676</f>
        <v/>
      </c>
      <c r="W676" s="202" t="n"/>
      <c r="X676" s="202" t="n"/>
      <c r="Y676" s="202" t="n"/>
      <c r="Z676" s="198" t="inlineStr">
        <is>
          <t>05</t>
        </is>
      </c>
      <c r="AA676" s="203" t="n"/>
      <c r="AB676" s="204" t="inlineStr">
        <is>
          <t>09-XL-307HG/PYCNT/CKN/T2/C4</t>
        </is>
      </c>
      <c r="AC676" s="204">
        <f>AC675</f>
        <v/>
      </c>
      <c r="AD676" s="204" t="n"/>
      <c r="AE676" s="204" t="n"/>
      <c r="AF676" s="255" t="n">
        <v>167.86</v>
      </c>
      <c r="AG676" s="255" t="n"/>
      <c r="AH676" s="204" t="inlineStr">
        <is>
          <t>T2-C4</t>
        </is>
      </c>
      <c r="AI676" s="207" t="n"/>
      <c r="AJ676" s="202" t="n"/>
      <c r="AK676" s="206" t="n"/>
      <c r="AL676" s="202" t="n"/>
      <c r="AM676" s="202" t="n"/>
      <c r="AN676" s="202" t="n"/>
      <c r="AO676" s="202" t="n"/>
      <c r="AP676" s="207" t="n"/>
      <c r="AQ676" s="207" t="n"/>
      <c r="AR676" s="202" t="inlineStr">
        <is>
          <t>Nhóm 1</t>
        </is>
      </c>
      <c r="AS676" s="202" t="n"/>
      <c r="AT676" s="202" t="inlineStr">
        <is>
          <t>HM18</t>
        </is>
      </c>
      <c r="AU676" s="202" t="inlineStr">
        <is>
          <t>PL05</t>
        </is>
      </c>
      <c r="AV676" s="202" t="n">
        <v>10</v>
      </c>
      <c r="AW676" s="202" t="n">
        <v>1</v>
      </c>
      <c r="AX676" s="202" t="n"/>
    </row>
    <row r="677">
      <c r="A677" s="56" t="inlineStr">
        <is>
          <t>BBK680</t>
        </is>
      </c>
      <c r="B677" s="56" t="inlineStr">
        <is>
          <t>PYC</t>
        </is>
      </c>
      <c r="C677" s="56" t="inlineStr">
        <is>
          <t>BBK680.0714927</t>
        </is>
      </c>
      <c r="D677" s="57" t="n"/>
      <c r="E677" s="57" t="n"/>
      <c r="F677" s="57" t="n"/>
      <c r="G677" s="57" t="n"/>
      <c r="H677" s="57" t="n"/>
      <c r="J677" s="198" t="inlineStr">
        <is>
          <t>15</t>
        </is>
      </c>
      <c r="K677" s="198" t="inlineStr">
        <is>
          <t>PYC</t>
        </is>
      </c>
      <c r="L677" s="199" t="inlineStr">
        <is>
          <t>Phiếu yêu cầu nghiệm thu</t>
        </is>
      </c>
      <c r="M677" s="199" t="n"/>
      <c r="N677" s="199" t="n"/>
      <c r="O677" s="200" t="inlineStr">
        <is>
          <t>Cầu Km19+529.080</t>
        </is>
      </c>
      <c r="P677" s="201" t="n"/>
      <c r="Q677" s="201" t="n"/>
      <c r="R677" s="201">
        <f>R678</f>
        <v/>
      </c>
      <c r="S677" s="201" t="n"/>
      <c r="T677" s="201" t="n"/>
      <c r="U677" s="201" t="n"/>
      <c r="V677" s="201" t="n"/>
      <c r="W677" s="202" t="n"/>
      <c r="X677" s="202" t="n"/>
      <c r="Y677" s="202" t="n"/>
      <c r="Z677" s="202" t="n"/>
      <c r="AA677" s="203" t="n"/>
      <c r="AB677" s="204" t="inlineStr">
        <is>
          <t>09-XL-307HG/PYCNT/CKN/T2/C4</t>
        </is>
      </c>
      <c r="AC677" s="205" t="inlineStr"/>
      <c r="AD677" s="205" t="n"/>
      <c r="AE677" s="205" t="n"/>
      <c r="AF677" s="205" t="n"/>
      <c r="AG677" s="205" t="inlineStr">
        <is>
          <t>NTCV;BBKTĐK</t>
        </is>
      </c>
      <c r="AH677" s="204" t="inlineStr">
        <is>
          <t>&gt;=6;&lt;=10</t>
        </is>
      </c>
      <c r="AI677" s="202" t="n"/>
      <c r="AJ677" s="202" t="n"/>
      <c r="AK677" s="206" t="n"/>
      <c r="AL677" s="202" t="n"/>
      <c r="AM677" s="202" t="n"/>
      <c r="AN677" s="202" t="n"/>
      <c r="AO677" s="202" t="n"/>
      <c r="AP677" s="207" t="n"/>
      <c r="AQ677" s="207" t="n"/>
      <c r="AR677" s="202" t="inlineStr">
        <is>
          <t>Nhóm 1</t>
        </is>
      </c>
      <c r="AS677" s="202" t="n"/>
      <c r="AT677" s="202" t="inlineStr">
        <is>
          <t>HM18</t>
        </is>
      </c>
      <c r="AU677" s="202" t="inlineStr">
        <is>
          <t>PYC</t>
        </is>
      </c>
      <c r="AV677" s="202" t="n">
        <v>198</v>
      </c>
      <c r="AW677" s="202" t="n">
        <v>2</v>
      </c>
      <c r="AX677" s="202" t="n"/>
    </row>
    <row r="678" ht="42" customHeight="1" s="672">
      <c r="A678" s="56" t="inlineStr">
        <is>
          <t>NTCV</t>
        </is>
      </c>
      <c r="B678" s="56" t="inlineStr">
        <is>
          <t>K.9999</t>
        </is>
      </c>
      <c r="C678" s="56" t="inlineStr">
        <is>
          <t>NTCV.0687109</t>
        </is>
      </c>
      <c r="D678" s="57" t="n"/>
      <c r="E678" s="57" t="n"/>
      <c r="F678" s="57" t="n"/>
      <c r="G678" s="57" t="n"/>
      <c r="H678" s="57" t="n"/>
      <c r="J678" s="209" t="inlineStr">
        <is>
          <t>16</t>
        </is>
      </c>
      <c r="K678" s="209" t="inlineStr">
        <is>
          <t>K.9999</t>
        </is>
      </c>
      <c r="L678" s="210" t="inlineStr">
        <is>
          <t>Kiểm tra công tác vệ sinh lỗ khoan trước khi hạ lồng cốt thép cọc khoan nhồi</t>
        </is>
      </c>
      <c r="M678" s="210" t="n"/>
      <c r="N678" s="210" t="n"/>
      <c r="O678" s="211" t="inlineStr">
        <is>
          <t>Cầu Km19+529.080</t>
        </is>
      </c>
      <c r="P678" s="212">
        <f>S675+1</f>
        <v/>
      </c>
      <c r="Q678" s="212">
        <f>P678</f>
        <v/>
      </c>
      <c r="R678" s="212">
        <f>Q678-1</f>
        <v/>
      </c>
      <c r="S678" s="212">
        <f>Q678</f>
        <v/>
      </c>
      <c r="T678" s="213" t="n">
        <v>0.3333333333333333</v>
      </c>
      <c r="U678" s="213">
        <f>T678+V678</f>
        <v/>
      </c>
      <c r="V678" s="213" t="n">
        <v>0.01041666666666667</v>
      </c>
      <c r="W678" s="214">
        <f>TEXT(T678,"HH""h""MM'")&amp;"÷"&amp;TEXT(U678,"HH""h""MM'")</f>
        <v/>
      </c>
      <c r="X678" s="214" t="n"/>
      <c r="Y678" s="214" t="n"/>
      <c r="Z678" s="214" t="inlineStr">
        <is>
          <t>06;</t>
        </is>
      </c>
      <c r="AA678" s="215" t="inlineStr">
        <is>
          <t>Kiểm tra công tác vệ sinh lỗ khoan trước khi hạ lồng cốt thép Cọc khoan nhồi Trụ T2 - Cọc C4</t>
        </is>
      </c>
      <c r="AB678" s="204" t="inlineStr">
        <is>
          <t>09-XL-307HG/PYCNT/CKN/T2/C4-2</t>
        </is>
      </c>
      <c r="AC678" s="204" t="inlineStr">
        <is>
          <t>09-XL-307HG/BBNT/CKN/T2/C4-6</t>
        </is>
      </c>
      <c r="AD678" s="204" t="n"/>
      <c r="AE678" s="204" t="n"/>
      <c r="AF678" s="204" t="n"/>
      <c r="AG678" s="204" t="n"/>
      <c r="AH678" s="204" t="n"/>
      <c r="AI678" s="216" t="n"/>
      <c r="AJ678" s="214" t="n"/>
      <c r="AK678" s="217" t="n"/>
      <c r="AL678" s="214" t="n"/>
      <c r="AM678" s="214" t="n"/>
      <c r="AN678" s="214" t="n"/>
      <c r="AO678" s="214" t="n"/>
      <c r="AP678" s="216" t="n"/>
      <c r="AQ678" s="216" t="n"/>
      <c r="AR678" s="214" t="inlineStr">
        <is>
          <t>Nhóm 1</t>
        </is>
      </c>
      <c r="AS678" s="214" t="n"/>
      <c r="AT678" s="214" t="inlineStr">
        <is>
          <t>HM18</t>
        </is>
      </c>
      <c r="AU678" s="214" t="inlineStr">
        <is>
          <t>NTCV</t>
        </is>
      </c>
      <c r="AV678" s="214" t="n">
        <v>158</v>
      </c>
      <c r="AW678" s="214" t="n">
        <v>5</v>
      </c>
      <c r="AX678" s="214" t="n"/>
    </row>
    <row r="679" ht="28" customHeight="1" s="672">
      <c r="A679" s="56" t="inlineStr">
        <is>
          <t>BBK570</t>
        </is>
      </c>
      <c r="B679" s="56" t="inlineStr">
        <is>
          <t>PL06</t>
        </is>
      </c>
      <c r="C679" s="56" t="inlineStr">
        <is>
          <t>BBK570.0760492</t>
        </is>
      </c>
      <c r="D679" s="57" t="n"/>
      <c r="E679" s="57" t="n"/>
      <c r="F679" s="57" t="n"/>
      <c r="G679" s="57" t="n"/>
      <c r="H679" s="57" t="n"/>
      <c r="J679" s="198" t="inlineStr">
        <is>
          <t>17</t>
        </is>
      </c>
      <c r="K679" s="198" t="inlineStr">
        <is>
          <t>PL06</t>
        </is>
      </c>
      <c r="L679" s="199" t="inlineStr">
        <is>
          <t>Kiểm tra công tác vệ sinh lỗ khoan trước khi hạ lồng cốt thép cọc khoan nhồi</t>
        </is>
      </c>
      <c r="M679" s="199" t="n"/>
      <c r="N679" s="199" t="n"/>
      <c r="O679" s="200" t="inlineStr">
        <is>
          <t>Cầu Km19+529.080</t>
        </is>
      </c>
      <c r="P679" s="201" t="n"/>
      <c r="Q679" s="201" t="n"/>
      <c r="R679" s="201" t="n"/>
      <c r="S679" s="201">
        <f>S678</f>
        <v/>
      </c>
      <c r="T679" s="201" t="n"/>
      <c r="U679" s="201" t="n"/>
      <c r="V679" s="201" t="n"/>
      <c r="W679" s="202" t="n"/>
      <c r="X679" s="265" t="n">
        <v>135.86</v>
      </c>
      <c r="Y679" s="265">
        <f>X679-0.02</f>
        <v/>
      </c>
      <c r="Z679" s="198" t="inlineStr">
        <is>
          <t>06</t>
        </is>
      </c>
      <c r="AA679" s="203" t="n"/>
      <c r="AB679" s="204" t="inlineStr">
        <is>
          <t>09-XL-307HG/PYCNT/CKN/T2/C4-2</t>
        </is>
      </c>
      <c r="AC679" s="204">
        <f>AC678</f>
        <v/>
      </c>
      <c r="AD679" s="204" t="n"/>
      <c r="AE679" s="204" t="n"/>
      <c r="AF679" s="204" t="n"/>
      <c r="AG679" s="204" t="n"/>
      <c r="AH679" s="204" t="n"/>
      <c r="AI679" s="202" t="n"/>
      <c r="AJ679" s="202" t="n"/>
      <c r="AK679" s="206" t="n"/>
      <c r="AL679" s="202" t="n"/>
      <c r="AM679" s="202" t="n"/>
      <c r="AN679" s="202" t="n"/>
      <c r="AO679" s="202" t="n"/>
      <c r="AP679" s="207" t="n"/>
      <c r="AQ679" s="207" t="n"/>
      <c r="AR679" s="202" t="inlineStr">
        <is>
          <t>Nhóm 1</t>
        </is>
      </c>
      <c r="AS679" s="202" t="n"/>
      <c r="AT679" s="202" t="inlineStr">
        <is>
          <t>HM18</t>
        </is>
      </c>
      <c r="AU679" s="202" t="inlineStr">
        <is>
          <t>PL06</t>
        </is>
      </c>
      <c r="AV679" s="202" t="n">
        <v>10</v>
      </c>
      <c r="AW679" s="202" t="n">
        <v>1</v>
      </c>
      <c r="AX679" s="202" t="n"/>
    </row>
    <row r="680" ht="28" customHeight="1" s="672">
      <c r="A680" s="56" t="inlineStr">
        <is>
          <t>NTCV</t>
        </is>
      </c>
      <c r="B680" s="56" t="inlineStr">
        <is>
          <t>K.9999</t>
        </is>
      </c>
      <c r="C680" s="56" t="inlineStr">
        <is>
          <t>NTCV.0258054</t>
        </is>
      </c>
      <c r="D680" s="57" t="n"/>
      <c r="E680" s="57" t="n"/>
      <c r="F680" s="57" t="n"/>
      <c r="G680" s="57" t="n"/>
      <c r="H680" s="57" t="n"/>
      <c r="J680" s="209" t="inlineStr">
        <is>
          <t>18</t>
        </is>
      </c>
      <c r="K680" s="209" t="inlineStr">
        <is>
          <t>K.9999</t>
        </is>
      </c>
      <c r="L680" s="210" t="inlineStr">
        <is>
          <t xml:space="preserve">Nghiệm thu công tác hạ lồng thép </t>
        </is>
      </c>
      <c r="M680" s="210" t="n"/>
      <c r="N680" s="210" t="n"/>
      <c r="O680" s="211" t="inlineStr">
        <is>
          <t>Cầu Km19+529.080</t>
        </is>
      </c>
      <c r="P680" s="212">
        <f>S678</f>
        <v/>
      </c>
      <c r="Q680" s="212">
        <f>P680</f>
        <v/>
      </c>
      <c r="R680" s="212">
        <f>Q680-1</f>
        <v/>
      </c>
      <c r="S680" s="212">
        <f>Q680</f>
        <v/>
      </c>
      <c r="T680" s="213">
        <f>U678</f>
        <v/>
      </c>
      <c r="U680" s="213">
        <f>T680+V680</f>
        <v/>
      </c>
      <c r="V680" s="213" t="n">
        <v>0.03125</v>
      </c>
      <c r="W680" s="214">
        <f>TEXT(T680,"HH""h""MM'")&amp;"÷"&amp;TEXT(U680,"HH""h""MM'")</f>
        <v/>
      </c>
      <c r="X680" s="214" t="n"/>
      <c r="Y680" s="214" t="n"/>
      <c r="Z680" s="214" t="inlineStr">
        <is>
          <t>07;</t>
        </is>
      </c>
      <c r="AA680" s="215" t="inlineStr">
        <is>
          <t>Công tác hạ lồng thép Cọc khoan nhồi Trụ T2 - Cọc C4</t>
        </is>
      </c>
      <c r="AB680" s="204" t="inlineStr">
        <is>
          <t>09-XL-307HG/PYCNT/CKN/T2/C4-2</t>
        </is>
      </c>
      <c r="AC680" s="204" t="inlineStr">
        <is>
          <t>09-XL-307HG/BBNT/CKN/T2/C4-7</t>
        </is>
      </c>
      <c r="AD680" s="204" t="n"/>
      <c r="AE680" s="204" t="n"/>
      <c r="AF680" s="204" t="n"/>
      <c r="AG680" s="204" t="n"/>
      <c r="AH680" s="204" t="n"/>
      <c r="AI680" s="214" t="n"/>
      <c r="AJ680" s="214" t="n"/>
      <c r="AK680" s="217" t="n"/>
      <c r="AL680" s="214" t="n"/>
      <c r="AM680" s="214" t="n"/>
      <c r="AN680" s="214" t="n"/>
      <c r="AO680" s="214" t="n"/>
      <c r="AP680" s="216" t="n"/>
      <c r="AQ680" s="216" t="n"/>
      <c r="AR680" s="214" t="inlineStr">
        <is>
          <t>Nhóm 1</t>
        </is>
      </c>
      <c r="AS680" s="214" t="n"/>
      <c r="AT680" s="214" t="inlineStr">
        <is>
          <t>HM18</t>
        </is>
      </c>
      <c r="AU680" s="214" t="inlineStr">
        <is>
          <t>NTCV</t>
        </is>
      </c>
      <c r="AV680" s="214" t="n">
        <v>159</v>
      </c>
      <c r="AW680" s="214" t="n">
        <v>6</v>
      </c>
      <c r="AX680" s="214" t="n"/>
    </row>
    <row r="681">
      <c r="A681" s="56" t="inlineStr">
        <is>
          <t>BBK396</t>
        </is>
      </c>
      <c r="B681" s="56" t="inlineStr">
        <is>
          <t>PL07</t>
        </is>
      </c>
      <c r="C681" s="56" t="inlineStr">
        <is>
          <t>BBK396.0549729</t>
        </is>
      </c>
      <c r="D681" s="57" t="n"/>
      <c r="E681" s="57" t="n"/>
      <c r="F681" s="57" t="n"/>
      <c r="G681" s="57" t="n"/>
      <c r="H681" s="57" t="n"/>
      <c r="J681" s="198" t="inlineStr">
        <is>
          <t>19</t>
        </is>
      </c>
      <c r="K681" s="198" t="inlineStr">
        <is>
          <t>PL07</t>
        </is>
      </c>
      <c r="L681" s="199" t="inlineStr">
        <is>
          <t>Nghiệm thu công tác hạ lồng thép</t>
        </is>
      </c>
      <c r="M681" s="199" t="n"/>
      <c r="N681" s="199" t="n"/>
      <c r="O681" s="200" t="inlineStr">
        <is>
          <t>Cầu Km19+529.080</t>
        </is>
      </c>
      <c r="P681" s="201" t="n"/>
      <c r="Q681" s="201" t="n"/>
      <c r="R681" s="201" t="n"/>
      <c r="S681" s="201">
        <f>S680</f>
        <v/>
      </c>
      <c r="T681" s="201" t="n"/>
      <c r="U681" s="201" t="n"/>
      <c r="V681" s="201" t="n"/>
      <c r="W681" s="202" t="n"/>
      <c r="X681" s="202" t="n"/>
      <c r="Y681" s="202" t="n"/>
      <c r="Z681" s="198" t="inlineStr">
        <is>
          <t>07</t>
        </is>
      </c>
      <c r="AA681" s="203" t="n"/>
      <c r="AB681" s="204" t="inlineStr">
        <is>
          <t>09-XL-307HG/PYCNT/CKN/T2/C4-2</t>
        </is>
      </c>
      <c r="AC681" s="204">
        <f>AC680</f>
        <v/>
      </c>
      <c r="AD681" s="204" t="n"/>
      <c r="AE681" s="204" t="n"/>
      <c r="AF681" s="204" t="n"/>
      <c r="AG681" s="204" t="n"/>
      <c r="AH681" s="204" t="n"/>
      <c r="AI681" s="202" t="n"/>
      <c r="AJ681" s="202" t="n"/>
      <c r="AK681" s="206" t="n"/>
      <c r="AL681" s="202" t="n"/>
      <c r="AM681" s="202" t="n"/>
      <c r="AN681" s="202" t="n"/>
      <c r="AO681" s="202" t="n"/>
      <c r="AP681" s="207" t="n"/>
      <c r="AQ681" s="207" t="n"/>
      <c r="AR681" s="202" t="inlineStr">
        <is>
          <t>Nhóm 1</t>
        </is>
      </c>
      <c r="AS681" s="202" t="n"/>
      <c r="AT681" s="202" t="inlineStr">
        <is>
          <t>HM18</t>
        </is>
      </c>
      <c r="AU681" s="202" t="inlineStr">
        <is>
          <t>PL07</t>
        </is>
      </c>
      <c r="AV681" s="202" t="n">
        <v>10</v>
      </c>
      <c r="AW681" s="202" t="n">
        <v>1</v>
      </c>
      <c r="AX681" s="202" t="n"/>
    </row>
    <row r="682" ht="42" customHeight="1" s="672">
      <c r="A682" s="56" t="inlineStr">
        <is>
          <t>NTCV</t>
        </is>
      </c>
      <c r="B682" s="56" t="inlineStr">
        <is>
          <t>K.9999</t>
        </is>
      </c>
      <c r="C682" s="56" t="inlineStr">
        <is>
          <t>NTCV.0509116</t>
        </is>
      </c>
      <c r="D682" s="57" t="n"/>
      <c r="E682" s="57" t="n"/>
      <c r="F682" s="57" t="n"/>
      <c r="G682" s="57" t="n"/>
      <c r="H682" s="57" t="n"/>
      <c r="J682" s="209" t="inlineStr">
        <is>
          <t>20</t>
        </is>
      </c>
      <c r="K682" s="209" t="inlineStr">
        <is>
          <t>K.9999</t>
        </is>
      </c>
      <c r="L682" s="210" t="inlineStr">
        <is>
          <t xml:space="preserve">Kiểm tra công tác vệ sinh lỗ khoan cọc khoan nhồi trước khi đổ bê tông </t>
        </is>
      </c>
      <c r="M682" s="210" t="n"/>
      <c r="N682" s="210" t="n"/>
      <c r="O682" s="211" t="inlineStr">
        <is>
          <t>Cầu Km19+529.080</t>
        </is>
      </c>
      <c r="P682" s="212">
        <f>S680</f>
        <v/>
      </c>
      <c r="Q682" s="212">
        <f>P682</f>
        <v/>
      </c>
      <c r="R682" s="212">
        <f>Q682-1</f>
        <v/>
      </c>
      <c r="S682" s="212">
        <f>Q682</f>
        <v/>
      </c>
      <c r="T682" s="213">
        <f>U680</f>
        <v/>
      </c>
      <c r="U682" s="213">
        <f>T682+V682</f>
        <v/>
      </c>
      <c r="V682" s="213" t="n">
        <v>0.02083333333333333</v>
      </c>
      <c r="W682" s="214">
        <f>TEXT(T682,"HH""h""MM'")&amp;"÷"&amp;TEXT(U682,"HH""h""MM'")</f>
        <v/>
      </c>
      <c r="X682" s="214" t="n"/>
      <c r="Y682" s="214" t="n"/>
      <c r="Z682" s="214" t="inlineStr">
        <is>
          <t>08;</t>
        </is>
      </c>
      <c r="AA682" s="215" t="inlineStr">
        <is>
          <t>Kiểm tra công tác vệ sinh lỗ khoan cọc khoan nhồi trước khi đổ bê tông Cọc khoan nhồi Trụ T2 - Cọc C4</t>
        </is>
      </c>
      <c r="AB682" s="204" t="inlineStr">
        <is>
          <t>09-XL-307HG/PYCNT/CKN/T2/C4-2</t>
        </is>
      </c>
      <c r="AC682" s="204" t="inlineStr">
        <is>
          <t>09-XL-307HG/BBNT/CKN/T2/C4-8</t>
        </is>
      </c>
      <c r="AD682" s="204" t="n"/>
      <c r="AE682" s="204" t="n"/>
      <c r="AF682" s="204" t="n"/>
      <c r="AG682" s="204" t="n"/>
      <c r="AH682" s="204" t="n"/>
      <c r="AI682" s="214" t="n"/>
      <c r="AJ682" s="214" t="n"/>
      <c r="AK682" s="217" t="n"/>
      <c r="AL682" s="214" t="n"/>
      <c r="AM682" s="214" t="n"/>
      <c r="AN682" s="214" t="n"/>
      <c r="AO682" s="214" t="n"/>
      <c r="AP682" s="216" t="n"/>
      <c r="AQ682" s="216" t="n"/>
      <c r="AR682" s="214" t="inlineStr">
        <is>
          <t>Nhóm 1</t>
        </is>
      </c>
      <c r="AS682" s="214" t="n"/>
      <c r="AT682" s="214" t="inlineStr">
        <is>
          <t>HM18</t>
        </is>
      </c>
      <c r="AU682" s="214" t="inlineStr">
        <is>
          <t>NTCV</t>
        </is>
      </c>
      <c r="AV682" s="214" t="n">
        <v>164</v>
      </c>
      <c r="AW682" s="214" t="n">
        <v>7</v>
      </c>
      <c r="AX682" s="214" t="n"/>
    </row>
    <row r="683" ht="28" customHeight="1" s="672">
      <c r="A683" s="56" t="inlineStr">
        <is>
          <t>BBK521</t>
        </is>
      </c>
      <c r="B683" s="56" t="inlineStr">
        <is>
          <t>PL08</t>
        </is>
      </c>
      <c r="C683" s="56" t="inlineStr">
        <is>
          <t>BBK521.0565222</t>
        </is>
      </c>
      <c r="D683" s="57" t="n"/>
      <c r="E683" s="57" t="n"/>
      <c r="F683" s="57" t="n"/>
      <c r="G683" s="57" t="n"/>
      <c r="H683" s="57" t="n"/>
      <c r="J683" s="198" t="inlineStr">
        <is>
          <t>21</t>
        </is>
      </c>
      <c r="K683" s="198" t="inlineStr">
        <is>
          <t>PL08</t>
        </is>
      </c>
      <c r="L683" s="199" t="inlineStr">
        <is>
          <t>Kiểm tra công tác vệ sinh lỗ khoan cọc khoan nhồi trước khi đổ bê tông</t>
        </is>
      </c>
      <c r="M683" s="199" t="n"/>
      <c r="N683" s="199" t="n"/>
      <c r="O683" s="200" t="inlineStr">
        <is>
          <t>Cầu Km19+529.080</t>
        </is>
      </c>
      <c r="P683" s="201" t="n"/>
      <c r="Q683" s="201" t="n"/>
      <c r="R683" s="201" t="n"/>
      <c r="S683" s="201">
        <f>S682</f>
        <v/>
      </c>
      <c r="T683" s="201" t="n"/>
      <c r="U683" s="201" t="n"/>
      <c r="V683" s="201" t="n"/>
      <c r="W683" s="202" t="n"/>
      <c r="X683" s="202" t="n"/>
      <c r="Y683" s="202" t="n"/>
      <c r="Z683" s="198" t="inlineStr">
        <is>
          <t>08</t>
        </is>
      </c>
      <c r="AA683" s="203" t="n"/>
      <c r="AB683" s="204" t="inlineStr">
        <is>
          <t>09-XL-307HG/PYCNT/CKN/T2/C4-2</t>
        </is>
      </c>
      <c r="AC683" s="204">
        <f>AC682</f>
        <v/>
      </c>
      <c r="AD683" s="204" t="n"/>
      <c r="AE683" s="204" t="n"/>
      <c r="AF683" s="204" t="n"/>
      <c r="AG683" s="204" t="n"/>
      <c r="AH683" s="204" t="n"/>
      <c r="AI683" s="202" t="n"/>
      <c r="AJ683" s="202" t="n"/>
      <c r="AK683" s="206" t="n"/>
      <c r="AL683" s="202" t="n"/>
      <c r="AM683" s="202" t="n"/>
      <c r="AN683" s="202" t="n"/>
      <c r="AO683" s="202" t="n"/>
      <c r="AP683" s="207" t="n"/>
      <c r="AQ683" s="207" t="n"/>
      <c r="AR683" s="202" t="inlineStr">
        <is>
          <t>Nhóm 1</t>
        </is>
      </c>
      <c r="AS683" s="202" t="n"/>
      <c r="AT683" s="202" t="inlineStr">
        <is>
          <t>HM18</t>
        </is>
      </c>
      <c r="AU683" s="202" t="inlineStr">
        <is>
          <t>PL08</t>
        </is>
      </c>
      <c r="AV683" s="202" t="n">
        <v>10</v>
      </c>
      <c r="AW683" s="202" t="n">
        <v>1</v>
      </c>
      <c r="AX683" s="202" t="n"/>
    </row>
    <row r="684" ht="28" customHeight="1" s="672">
      <c r="A684" s="56" t="inlineStr">
        <is>
          <t>NTCV</t>
        </is>
      </c>
      <c r="B684" s="56" t="inlineStr">
        <is>
          <t>K.9999</t>
        </is>
      </c>
      <c r="C684" s="56" t="inlineStr">
        <is>
          <t>NTCV.0281609</t>
        </is>
      </c>
      <c r="D684" s="57" t="n"/>
      <c r="E684" s="57" t="n"/>
      <c r="F684" s="57" t="n"/>
      <c r="G684" s="57" t="n"/>
      <c r="H684" s="57" t="n"/>
      <c r="J684" s="209" t="inlineStr">
        <is>
          <t>22</t>
        </is>
      </c>
      <c r="K684" s="209" t="inlineStr">
        <is>
          <t>K.9999</t>
        </is>
      </c>
      <c r="L684" s="210" t="inlineStr">
        <is>
          <t xml:space="preserve">Kiểm tra công tác chuẩn bị đổ bê tông cọc khoan nhồi </t>
        </is>
      </c>
      <c r="M684" s="210" t="n"/>
      <c r="N684" s="210" t="n"/>
      <c r="O684" s="211" t="inlineStr">
        <is>
          <t>Cầu Km19+529.080</t>
        </is>
      </c>
      <c r="P684" s="212">
        <f>S682</f>
        <v/>
      </c>
      <c r="Q684" s="212">
        <f>P684</f>
        <v/>
      </c>
      <c r="R684" s="212">
        <f>Q684-1</f>
        <v/>
      </c>
      <c r="S684" s="212">
        <f>Q684</f>
        <v/>
      </c>
      <c r="T684" s="213">
        <f>U682</f>
        <v/>
      </c>
      <c r="U684" s="213">
        <f>T684+V684</f>
        <v/>
      </c>
      <c r="V684" s="213" t="n">
        <v>0.02083333333333333</v>
      </c>
      <c r="W684" s="214">
        <f>TEXT(T684,"HH""h""MM'")&amp;"÷"&amp;TEXT(U684,"HH""h""MM'")</f>
        <v/>
      </c>
      <c r="X684" s="214" t="n"/>
      <c r="Y684" s="214" t="n"/>
      <c r="Z684" s="214" t="inlineStr">
        <is>
          <t>09;</t>
        </is>
      </c>
      <c r="AA684" s="215" t="inlineStr">
        <is>
          <t>Kiểm tra công tác chuẩn bị đổ bê tông Cọc khoan nhồi Trụ T2 - Cọc C4</t>
        </is>
      </c>
      <c r="AB684" s="204" t="inlineStr">
        <is>
          <t>09-XL-307HG/PYCNT/CKN/T2/C4-2</t>
        </is>
      </c>
      <c r="AC684" s="204" t="inlineStr">
        <is>
          <t>09-XL-307HG/BBNT/CKN/T2/C4-9</t>
        </is>
      </c>
      <c r="AD684" s="204" t="n"/>
      <c r="AE684" s="204" t="n"/>
      <c r="AF684" s="204" t="n"/>
      <c r="AG684" s="204" t="n"/>
      <c r="AH684" s="204" t="n"/>
      <c r="AI684" s="214" t="n"/>
      <c r="AJ684" s="214" t="n"/>
      <c r="AK684" s="217" t="n"/>
      <c r="AL684" s="214" t="n"/>
      <c r="AM684" s="214" t="n"/>
      <c r="AN684" s="214" t="n"/>
      <c r="AO684" s="214" t="n"/>
      <c r="AP684" s="216" t="n"/>
      <c r="AQ684" s="216" t="n"/>
      <c r="AR684" s="214" t="inlineStr">
        <is>
          <t>Nhóm 1</t>
        </is>
      </c>
      <c r="AS684" s="214" t="n"/>
      <c r="AT684" s="214" t="inlineStr">
        <is>
          <t>HM18</t>
        </is>
      </c>
      <c r="AU684" s="214" t="inlineStr">
        <is>
          <t>NTCV</t>
        </is>
      </c>
      <c r="AV684" s="214" t="n">
        <v>165</v>
      </c>
      <c r="AW684" s="214" t="n">
        <v>8</v>
      </c>
      <c r="AX684" s="214" t="n"/>
    </row>
    <row r="685">
      <c r="A685" s="56" t="inlineStr">
        <is>
          <t>BBK209</t>
        </is>
      </c>
      <c r="B685" s="56" t="inlineStr">
        <is>
          <t>PL09</t>
        </is>
      </c>
      <c r="C685" s="56" t="inlineStr">
        <is>
          <t>BBK209.0415832</t>
        </is>
      </c>
      <c r="D685" s="57" t="n"/>
      <c r="E685" s="57" t="n"/>
      <c r="F685" s="57" t="n"/>
      <c r="G685" s="57" t="n"/>
      <c r="H685" s="57" t="n"/>
      <c r="J685" s="198" t="inlineStr">
        <is>
          <t>23</t>
        </is>
      </c>
      <c r="K685" s="198" t="inlineStr">
        <is>
          <t>PL09</t>
        </is>
      </c>
      <c r="L685" s="199" t="inlineStr">
        <is>
          <t>Kiểm tra công tác chuẩn bị đổ bê tông cọc khoan nhồi</t>
        </is>
      </c>
      <c r="M685" s="199" t="n"/>
      <c r="N685" s="199" t="n"/>
      <c r="O685" s="200" t="inlineStr">
        <is>
          <t>Cầu Km19+529.080</t>
        </is>
      </c>
      <c r="P685" s="201" t="n"/>
      <c r="Q685" s="201" t="n"/>
      <c r="R685" s="201" t="n"/>
      <c r="S685" s="201">
        <f>S684</f>
        <v/>
      </c>
      <c r="T685" s="201" t="n"/>
      <c r="U685" s="201" t="n"/>
      <c r="V685" s="201" t="n"/>
      <c r="W685" s="202" t="n"/>
      <c r="X685" s="202" t="n"/>
      <c r="Y685" s="202" t="n"/>
      <c r="Z685" s="198" t="inlineStr">
        <is>
          <t>09</t>
        </is>
      </c>
      <c r="AA685" s="203" t="n"/>
      <c r="AB685" s="204" t="inlineStr">
        <is>
          <t>09-XL-307HG/PYCNT/CKN/T2/C4-2</t>
        </is>
      </c>
      <c r="AC685" s="204">
        <f>AC684</f>
        <v/>
      </c>
      <c r="AD685" s="204" t="n"/>
      <c r="AE685" s="204" t="n"/>
      <c r="AF685" s="204" t="n"/>
      <c r="AG685" s="204" t="n"/>
      <c r="AH685" s="204" t="inlineStr">
        <is>
          <t>C30(1)</t>
        </is>
      </c>
      <c r="AI685" s="202" t="n"/>
      <c r="AJ685" s="202" t="n"/>
      <c r="AK685" s="206" t="n"/>
      <c r="AL685" s="202" t="n"/>
      <c r="AM685" s="202" t="n"/>
      <c r="AN685" s="202" t="n"/>
      <c r="AO685" s="202" t="n"/>
      <c r="AP685" s="207" t="n"/>
      <c r="AQ685" s="207" t="n"/>
      <c r="AR685" s="202" t="inlineStr">
        <is>
          <t>Nhóm 1</t>
        </is>
      </c>
      <c r="AS685" s="202" t="n"/>
      <c r="AT685" s="202" t="inlineStr">
        <is>
          <t>HM18</t>
        </is>
      </c>
      <c r="AU685" s="202" t="inlineStr">
        <is>
          <t>PL09</t>
        </is>
      </c>
      <c r="AV685" s="202" t="n">
        <v>10</v>
      </c>
      <c r="AW685" s="202" t="n">
        <v>1</v>
      </c>
      <c r="AX685" s="202" t="n"/>
    </row>
    <row r="686" ht="28" customHeight="1" s="672">
      <c r="A686" s="56" t="inlineStr">
        <is>
          <t>NTCV</t>
        </is>
      </c>
      <c r="B686" s="56" t="inlineStr">
        <is>
          <t>K.9999</t>
        </is>
      </c>
      <c r="C686" s="56" t="inlineStr">
        <is>
          <t>NTCV.0350506</t>
        </is>
      </c>
      <c r="D686" s="57" t="n"/>
      <c r="E686" s="57" t="n"/>
      <c r="F686" s="57" t="n"/>
      <c r="G686" s="57" t="n"/>
      <c r="H686" s="57" t="n"/>
      <c r="J686" s="209" t="inlineStr">
        <is>
          <t>24</t>
        </is>
      </c>
      <c r="K686" s="209" t="inlineStr">
        <is>
          <t>K.9999</t>
        </is>
      </c>
      <c r="L686" s="210" t="inlineStr">
        <is>
          <t>Theo dõi quá trình đổ bê tông cọc khoan nhồi</t>
        </is>
      </c>
      <c r="M686" s="210" t="n"/>
      <c r="N686" s="210" t="n"/>
      <c r="O686" s="211" t="inlineStr">
        <is>
          <t>Cầu Km19+529.080</t>
        </is>
      </c>
      <c r="P686" s="212">
        <f>S684</f>
        <v/>
      </c>
      <c r="Q686" s="212">
        <f>P686</f>
        <v/>
      </c>
      <c r="R686" s="212">
        <f>Q686-1</f>
        <v/>
      </c>
      <c r="S686" s="212">
        <f>Q686</f>
        <v/>
      </c>
      <c r="T686" s="213">
        <f>U684</f>
        <v/>
      </c>
      <c r="U686" s="213">
        <f>T686+V686</f>
        <v/>
      </c>
      <c r="V686" s="213" t="n">
        <v>0.1458333333333333</v>
      </c>
      <c r="W686" s="214">
        <f>TEXT(T686,"HH""h""MM'")&amp;"÷"&amp;TEXT(U686,"HH""h""MM'")</f>
        <v/>
      </c>
      <c r="X686" s="214" t="n"/>
      <c r="Y686" s="214" t="n"/>
      <c r="Z686" s="214" t="inlineStr">
        <is>
          <t>10;</t>
        </is>
      </c>
      <c r="AA686" s="215" t="inlineStr">
        <is>
          <t>Theo dõi quá trình đổ bê tông  Cọc khoan nhồi Trụ T2 - Cọc C4</t>
        </is>
      </c>
      <c r="AB686" s="204" t="inlineStr">
        <is>
          <t>09-XL-307HG/PYCNT/CKN/T2/C4-2</t>
        </is>
      </c>
      <c r="AC686" s="204" t="inlineStr">
        <is>
          <t>09-XL-307HG/BBNT/CKN/T2/C4-10</t>
        </is>
      </c>
      <c r="AD686" s="204" t="n"/>
      <c r="AE686" s="204" t="n"/>
      <c r="AF686" s="204" t="n"/>
      <c r="AG686" s="204" t="n"/>
      <c r="AH686" s="204" t="n"/>
      <c r="AI686" s="214" t="n"/>
      <c r="AJ686" s="214" t="n"/>
      <c r="AK686" s="217" t="n"/>
      <c r="AL686" s="214" t="n"/>
      <c r="AM686" s="214" t="n"/>
      <c r="AN686" s="214" t="n"/>
      <c r="AO686" s="214" t="n"/>
      <c r="AP686" s="216" t="n"/>
      <c r="AQ686" s="216" t="n"/>
      <c r="AR686" s="214" t="inlineStr">
        <is>
          <t>Nhóm 1</t>
        </is>
      </c>
      <c r="AS686" s="214" t="n"/>
      <c r="AT686" s="214" t="inlineStr">
        <is>
          <t>HM18</t>
        </is>
      </c>
      <c r="AU686" s="214" t="inlineStr">
        <is>
          <t>NTCV</t>
        </is>
      </c>
      <c r="AV686" s="214" t="n">
        <v>166</v>
      </c>
      <c r="AW686" s="214" t="n">
        <v>9</v>
      </c>
      <c r="AX686" s="214" t="n"/>
    </row>
    <row r="687" ht="84" customHeight="1" s="672">
      <c r="A687" s="56" t="inlineStr">
        <is>
          <t>LMHT</t>
        </is>
      </c>
      <c r="B687" s="56" t="inlineStr">
        <is>
          <t>LMHT</t>
        </is>
      </c>
      <c r="C687" s="56" t="inlineStr">
        <is>
          <t>LMHT.0971960</t>
        </is>
      </c>
      <c r="D687" s="57" t="inlineStr">
        <is>
          <t>TC.000041|TC.000182|TC.000169.A</t>
        </is>
      </c>
      <c r="E687" s="57" t="n"/>
      <c r="F687" s="57" t="inlineStr">
        <is>
          <t>CP.0001^Cọc khoan nhồi Trụ T2 - Cọc C4^Hình trụ 15x30 (cm)^12^30 Mpa, 18±2^^^TC.000041|TC.000182|TC.000169.A</t>
        </is>
      </c>
      <c r="G687" s="57" t="n"/>
      <c r="H687" s="57" t="inlineStr">
        <is>
          <t>^^A|C|J|O|S|X|Z^Stt|Hạng mục|Cấp bê tông|Kích thước mẫu|Số lượng mẫu|Ghi chú^|||||</t>
        </is>
      </c>
      <c r="J687" s="256" t="inlineStr">
        <is>
          <t>25</t>
        </is>
      </c>
      <c r="K687" s="256" t="inlineStr">
        <is>
          <t>LMHT</t>
        </is>
      </c>
      <c r="L687" s="257" t="inlineStr">
        <is>
          <t>Lấy mẫu bê tông Cọc khoan nhồi, 30(1) Mpa Trụ T2 - Cọc C4</t>
        </is>
      </c>
      <c r="M687" s="257" t="n"/>
      <c r="N687" s="257" t="n"/>
      <c r="O687" s="258" t="inlineStr">
        <is>
          <t>Cầu Km19+529.080</t>
        </is>
      </c>
      <c r="P687" s="259" t="n"/>
      <c r="Q687" s="259" t="n"/>
      <c r="R687" s="259" t="n"/>
      <c r="S687" s="259">
        <f>S686</f>
        <v/>
      </c>
      <c r="T687" s="260">
        <f>T686</f>
        <v/>
      </c>
      <c r="U687" s="260">
        <f>U686</f>
        <v/>
      </c>
      <c r="V687" s="260">
        <f>V686</f>
        <v/>
      </c>
      <c r="W687" s="261">
        <f>TEXT(T687,"HH""h""MM'")&amp;"÷"&amp;TEXT(U687,"HH""h""MM'")</f>
        <v/>
      </c>
      <c r="X687" s="262" t="n"/>
      <c r="Y687" s="262" t="n"/>
      <c r="Z687" s="262" t="n"/>
      <c r="AA687" s="262" t="n"/>
      <c r="AB687" s="263" t="inlineStr">
        <is>
          <t>09-XL-307HG/PYCNT/CKN/T2/C4-2</t>
        </is>
      </c>
      <c r="AC687" s="263" t="inlineStr"/>
      <c r="AD687" s="264" t="n"/>
      <c r="AE687" s="264" t="n"/>
      <c r="AF687" s="264" t="n"/>
      <c r="AG687" s="264" t="n"/>
      <c r="AH687" s="264" t="n"/>
      <c r="AI687" s="257" t="n"/>
      <c r="AJ687" s="262" t="n"/>
      <c r="AK687" s="258" t="n"/>
      <c r="AL687" s="262" t="n"/>
      <c r="AM687" s="262" t="n"/>
      <c r="AN687" s="262" t="n"/>
      <c r="AO687" s="262" t="n"/>
      <c r="AP687" s="263" t="inlineStr">
        <is>
          <t>Bảng lấy mẫu CKN</t>
        </is>
      </c>
      <c r="AQ687" s="263" t="n"/>
      <c r="AR687" s="262" t="inlineStr">
        <is>
          <t>Nhóm 1</t>
        </is>
      </c>
      <c r="AS687" s="262" t="n"/>
      <c r="AT687" s="262" t="inlineStr">
        <is>
          <t>HM18</t>
        </is>
      </c>
      <c r="AU687" s="262" t="inlineStr">
        <is>
          <t>LMHT</t>
        </is>
      </c>
      <c r="AV687" s="262" t="n">
        <v>13</v>
      </c>
      <c r="AW687" s="262" t="n">
        <v>1</v>
      </c>
      <c r="AX687" s="262" t="inlineStr">
        <is>
          <t>Cọc T2-C4: cát Lần 2 [BT dòng 13].</t>
        </is>
      </c>
    </row>
    <row r="688">
      <c r="A688" s="56" t="inlineStr">
        <is>
          <t>BBK994</t>
        </is>
      </c>
      <c r="B688" s="56" t="inlineStr">
        <is>
          <t>PL10</t>
        </is>
      </c>
      <c r="C688" s="56" t="inlineStr">
        <is>
          <t>BBK994.0518669</t>
        </is>
      </c>
      <c r="D688" s="57" t="n"/>
      <c r="E688" s="57" t="n"/>
      <c r="F688" s="57" t="n"/>
      <c r="G688" s="57" t="n"/>
      <c r="H688" s="57" t="n"/>
      <c r="J688" s="198" t="inlineStr">
        <is>
          <t>26</t>
        </is>
      </c>
      <c r="K688" s="198" t="inlineStr">
        <is>
          <t>PL10</t>
        </is>
      </c>
      <c r="L688" s="199" t="inlineStr">
        <is>
          <t>Theo dõi quá trình đổ bê tông cọc khoan nhồi</t>
        </is>
      </c>
      <c r="M688" s="199" t="n"/>
      <c r="N688" s="199" t="n"/>
      <c r="O688" s="200" t="inlineStr">
        <is>
          <t>Cầu Km19+529.080</t>
        </is>
      </c>
      <c r="P688" s="201" t="n"/>
      <c r="Q688" s="201" t="n"/>
      <c r="R688" s="201" t="n"/>
      <c r="S688" s="201">
        <f>S686</f>
        <v/>
      </c>
      <c r="T688" s="201" t="n"/>
      <c r="U688" s="201" t="n"/>
      <c r="V688" s="201" t="n"/>
      <c r="W688" s="202" t="n"/>
      <c r="X688" s="202" t="n"/>
      <c r="Y688" s="202" t="n"/>
      <c r="Z688" s="198" t="inlineStr">
        <is>
          <t>10</t>
        </is>
      </c>
      <c r="AA688" s="203" t="n"/>
      <c r="AB688" s="204" t="inlineStr">
        <is>
          <t>09-XL-307HG/PYCNT/CKN/T2/C4-2</t>
        </is>
      </c>
      <c r="AC688" s="204">
        <f>AC686</f>
        <v/>
      </c>
      <c r="AD688" s="204" t="n"/>
      <c r="AE688" s="204" t="n"/>
      <c r="AF688" s="204" t="n"/>
      <c r="AG688" s="204" t="n"/>
      <c r="AH688" s="204" t="inlineStr">
        <is>
          <t>T2-C4</t>
        </is>
      </c>
      <c r="AI688" s="202" t="n"/>
      <c r="AJ688" s="202" t="n"/>
      <c r="AK688" s="206" t="n"/>
      <c r="AL688" s="202" t="n"/>
      <c r="AM688" s="202" t="n"/>
      <c r="AN688" s="202" t="n"/>
      <c r="AO688" s="202" t="n"/>
      <c r="AP688" s="207" t="n"/>
      <c r="AQ688" s="207" t="n"/>
      <c r="AR688" s="202" t="inlineStr">
        <is>
          <t>Nhóm 1</t>
        </is>
      </c>
      <c r="AS688" s="202" t="n"/>
      <c r="AT688" s="202" t="inlineStr">
        <is>
          <t>HM18</t>
        </is>
      </c>
      <c r="AU688" s="202" t="inlineStr">
        <is>
          <t>PL10</t>
        </is>
      </c>
      <c r="AV688" s="202" t="n">
        <v>10</v>
      </c>
      <c r="AW688" s="202" t="n">
        <v>1</v>
      </c>
      <c r="AX688" s="202" t="n"/>
    </row>
    <row r="689" ht="28" customHeight="1" s="672">
      <c r="A689" s="56" t="inlineStr">
        <is>
          <t>NTCV</t>
        </is>
      </c>
      <c r="B689" s="56" t="inlineStr">
        <is>
          <t>K.9999</t>
        </is>
      </c>
      <c r="C689" s="56" t="inlineStr">
        <is>
          <t>NTCV.0582826</t>
        </is>
      </c>
      <c r="D689" s="57" t="n"/>
      <c r="E689" s="57" t="n"/>
      <c r="F689" s="57" t="n"/>
      <c r="G689" s="57" t="n"/>
      <c r="H689" s="57" t="n"/>
      <c r="J689" s="209" t="inlineStr">
        <is>
          <t>27</t>
        </is>
      </c>
      <c r="K689" s="209" t="inlineStr">
        <is>
          <t>K.9999</t>
        </is>
      </c>
      <c r="L689" s="210" t="inlineStr">
        <is>
          <t xml:space="preserve"> Rút ống vách thi công cọc khoan nhồi</t>
        </is>
      </c>
      <c r="M689" s="210" t="n"/>
      <c r="N689" s="210" t="n"/>
      <c r="O689" s="211" t="inlineStr">
        <is>
          <t>Cầu Km19+529.080</t>
        </is>
      </c>
      <c r="P689" s="212">
        <f>S686</f>
        <v/>
      </c>
      <c r="Q689" s="212">
        <f>P689</f>
        <v/>
      </c>
      <c r="R689" s="212">
        <f>Q689-1</f>
        <v/>
      </c>
      <c r="S689" s="212">
        <f>Q689</f>
        <v/>
      </c>
      <c r="T689" s="213">
        <f>U686</f>
        <v/>
      </c>
      <c r="U689" s="213">
        <f>T689+V689</f>
        <v/>
      </c>
      <c r="V689" s="213" t="n">
        <v>0.01041666666666667</v>
      </c>
      <c r="W689" s="214">
        <f>TEXT(T689,"HH""h""MM'")&amp;"÷"&amp;TEXT(U689,"HH""h""MM'")</f>
        <v/>
      </c>
      <c r="X689" s="214" t="n"/>
      <c r="Y689" s="214" t="n"/>
      <c r="Z689" s="214" t="inlineStr">
        <is>
          <t>11;</t>
        </is>
      </c>
      <c r="AA689" s="215" t="inlineStr">
        <is>
          <t>Rút ống vách  Cọc khoan nhồi Trụ T2 - Cọc C4</t>
        </is>
      </c>
      <c r="AB689" s="204" t="inlineStr">
        <is>
          <t>09-XL-307HG/PYCNT/CKN/T2/C4-2</t>
        </is>
      </c>
      <c r="AC689" s="204" t="inlineStr">
        <is>
          <t>09-XL-307HG/BBNT/CKN/T2/C4-11</t>
        </is>
      </c>
      <c r="AD689" s="204" t="n"/>
      <c r="AE689" s="204" t="n"/>
      <c r="AF689" s="204" t="n"/>
      <c r="AG689" s="204" t="n"/>
      <c r="AH689" s="204" t="n"/>
      <c r="AI689" s="214" t="n"/>
      <c r="AJ689" s="214" t="n"/>
      <c r="AK689" s="217" t="n"/>
      <c r="AL689" s="214" t="n"/>
      <c r="AM689" s="214" t="n"/>
      <c r="AN689" s="214" t="n"/>
      <c r="AO689" s="214" t="n"/>
      <c r="AP689" s="216" t="n"/>
      <c r="AQ689" s="216" t="n"/>
      <c r="AR689" s="214" t="inlineStr">
        <is>
          <t>Nhóm 1</t>
        </is>
      </c>
      <c r="AS689" s="214" t="n"/>
      <c r="AT689" s="214" t="inlineStr">
        <is>
          <t>HM18</t>
        </is>
      </c>
      <c r="AU689" s="214" t="inlineStr">
        <is>
          <t>NTCV</t>
        </is>
      </c>
      <c r="AV689" s="214" t="n">
        <v>167</v>
      </c>
      <c r="AW689" s="214" t="n">
        <v>10</v>
      </c>
      <c r="AX689" s="214" t="n"/>
    </row>
    <row r="690">
      <c r="A690" s="56" t="inlineStr">
        <is>
          <t>BBK544</t>
        </is>
      </c>
      <c r="B690" s="56" t="inlineStr">
        <is>
          <t>PL11</t>
        </is>
      </c>
      <c r="C690" s="56" t="inlineStr">
        <is>
          <t>BBK544.0465001</t>
        </is>
      </c>
      <c r="D690" s="57" t="n"/>
      <c r="E690" s="57" t="n"/>
      <c r="F690" s="57" t="n"/>
      <c r="G690" s="57" t="n"/>
      <c r="H690" s="57" t="n"/>
      <c r="J690" s="198" t="inlineStr">
        <is>
          <t>28</t>
        </is>
      </c>
      <c r="K690" s="198" t="inlineStr">
        <is>
          <t>PL11</t>
        </is>
      </c>
      <c r="L690" s="199" t="inlineStr">
        <is>
          <t>Rút ống vách thi công cọc khoan nhồi</t>
        </is>
      </c>
      <c r="M690" s="199" t="n"/>
      <c r="N690" s="199" t="n"/>
      <c r="O690" s="200" t="inlineStr">
        <is>
          <t>Cầu Km19+529.080</t>
        </is>
      </c>
      <c r="P690" s="201" t="n"/>
      <c r="Q690" s="201" t="n"/>
      <c r="R690" s="201" t="n"/>
      <c r="S690" s="201">
        <f>S689</f>
        <v/>
      </c>
      <c r="T690" s="201" t="n"/>
      <c r="U690" s="201" t="n"/>
      <c r="V690" s="201" t="n"/>
      <c r="W690" s="202" t="n"/>
      <c r="X690" s="202" t="n"/>
      <c r="Y690" s="202" t="n"/>
      <c r="Z690" s="198" t="inlineStr">
        <is>
          <t>11</t>
        </is>
      </c>
      <c r="AA690" s="203" t="n"/>
      <c r="AB690" s="204" t="inlineStr">
        <is>
          <t>09-XL-307HG/PYCNT/CKN/T2/C4-2</t>
        </is>
      </c>
      <c r="AC690" s="204">
        <f>AC689</f>
        <v/>
      </c>
      <c r="AD690" s="204" t="n"/>
      <c r="AE690" s="204" t="n"/>
      <c r="AF690" s="204" t="n"/>
      <c r="AG690" s="204" t="n"/>
      <c r="AH690" s="204" t="inlineStr">
        <is>
          <t>&gt;=450;&lt;=481</t>
        </is>
      </c>
      <c r="AI690" s="202" t="n"/>
      <c r="AJ690" s="202" t="n"/>
      <c r="AK690" s="206" t="n"/>
      <c r="AL690" s="202" t="n"/>
      <c r="AM690" s="202" t="n"/>
      <c r="AN690" s="202" t="n"/>
      <c r="AO690" s="202" t="n"/>
      <c r="AP690" s="207" t="n"/>
      <c r="AQ690" s="207" t="n"/>
      <c r="AR690" s="202" t="inlineStr">
        <is>
          <t>Nhóm 1</t>
        </is>
      </c>
      <c r="AS690" s="202" t="n"/>
      <c r="AT690" s="202" t="inlineStr">
        <is>
          <t>HM18</t>
        </is>
      </c>
      <c r="AU690" s="202" t="inlineStr">
        <is>
          <t>PL11</t>
        </is>
      </c>
      <c r="AV690" s="202" t="n">
        <v>10</v>
      </c>
      <c r="AW690" s="202" t="n">
        <v>1</v>
      </c>
      <c r="AX690" s="202" t="n"/>
    </row>
    <row r="691">
      <c r="A691" s="56" t="inlineStr">
        <is>
          <t>BBK680</t>
        </is>
      </c>
      <c r="B691" s="56" t="inlineStr">
        <is>
          <t>PYC</t>
        </is>
      </c>
      <c r="C691" s="56" t="inlineStr">
        <is>
          <t>BBK680.0032038</t>
        </is>
      </c>
      <c r="D691" s="57" t="n"/>
      <c r="E691" s="57" t="n"/>
      <c r="F691" s="57" t="n"/>
      <c r="G691" s="57" t="n"/>
      <c r="H691" s="57" t="n"/>
      <c r="J691" s="198" t="inlineStr">
        <is>
          <t>29</t>
        </is>
      </c>
      <c r="K691" s="198" t="inlineStr">
        <is>
          <t>PYC</t>
        </is>
      </c>
      <c r="L691" s="199" t="inlineStr">
        <is>
          <t>Phiếu yêu cầu nghiệm thu</t>
        </is>
      </c>
      <c r="M691" s="199" t="n"/>
      <c r="N691" s="199" t="n"/>
      <c r="O691" s="200" t="inlineStr">
        <is>
          <t>Cầu Km19+529.080</t>
        </is>
      </c>
      <c r="P691" s="201" t="n"/>
      <c r="Q691" s="201" t="n"/>
      <c r="R691" s="201">
        <f>R692</f>
        <v/>
      </c>
      <c r="S691" s="201" t="n"/>
      <c r="T691" s="201" t="n"/>
      <c r="U691" s="201" t="n"/>
      <c r="V691" s="201" t="n"/>
      <c r="W691" s="202" t="n"/>
      <c r="X691" s="202" t="n"/>
      <c r="Y691" s="202" t="n"/>
      <c r="Z691" s="202" t="n"/>
      <c r="AA691" s="203" t="n"/>
      <c r="AB691" s="204" t="inlineStr">
        <is>
          <t>09-XL-307HG/PYCNT/CKN/T2/C4</t>
        </is>
      </c>
      <c r="AC691" s="205" t="inlineStr"/>
      <c r="AD691" s="205" t="n"/>
      <c r="AE691" s="205" t="n"/>
      <c r="AF691" s="205" t="n"/>
      <c r="AG691" s="205" t="inlineStr">
        <is>
          <t>NTCV;BBKTĐK</t>
        </is>
      </c>
      <c r="AH691" s="204" t="n">
        <v>11</v>
      </c>
      <c r="AI691" s="202" t="n"/>
      <c r="AJ691" s="202" t="n"/>
      <c r="AK691" s="206" t="n"/>
      <c r="AL691" s="202" t="n"/>
      <c r="AM691" s="202" t="n"/>
      <c r="AN691" s="202" t="n"/>
      <c r="AO691" s="202" t="n"/>
      <c r="AP691" s="207" t="n"/>
      <c r="AQ691" s="207" t="n"/>
      <c r="AR691" s="202" t="inlineStr">
        <is>
          <t>Nhóm 1</t>
        </is>
      </c>
      <c r="AS691" s="202" t="n"/>
      <c r="AT691" s="202" t="inlineStr">
        <is>
          <t>HM18</t>
        </is>
      </c>
      <c r="AU691" s="202" t="inlineStr">
        <is>
          <t>PYC</t>
        </is>
      </c>
      <c r="AV691" s="202" t="n">
        <v>199</v>
      </c>
      <c r="AW691" s="202" t="n">
        <v>3</v>
      </c>
      <c r="AX691" s="202" t="n"/>
    </row>
    <row r="692" ht="28" customHeight="1" s="672">
      <c r="A692" s="56" t="inlineStr">
        <is>
          <t>NTCV</t>
        </is>
      </c>
      <c r="B692" s="56" t="inlineStr">
        <is>
          <t>K.9999</t>
        </is>
      </c>
      <c r="C692" s="56" t="inlineStr">
        <is>
          <t>NTCV.0377742</t>
        </is>
      </c>
      <c r="D692" s="57" t="n"/>
      <c r="E692" s="57" t="n"/>
      <c r="F692" s="57" t="n"/>
      <c r="G692" s="57" t="n"/>
      <c r="H692" s="57" t="n"/>
      <c r="J692" s="209" t="inlineStr">
        <is>
          <t>30</t>
        </is>
      </c>
      <c r="K692" s="209" t="inlineStr">
        <is>
          <t>K.9999</t>
        </is>
      </c>
      <c r="L692" s="210" t="inlineStr">
        <is>
          <t>Theo dõi nén mẫu R7 Cọc khoan nhồi Trụ T2 - Cọc C4</t>
        </is>
      </c>
      <c r="M692" s="210" t="n"/>
      <c r="N692" s="210" t="n"/>
      <c r="O692" s="211" t="inlineStr">
        <is>
          <t>Cầu Km19+529.080</t>
        </is>
      </c>
      <c r="P692" s="212">
        <f>S689+7</f>
        <v/>
      </c>
      <c r="Q692" s="212">
        <f>P692</f>
        <v/>
      </c>
      <c r="R692" s="212">
        <f>Q692-1</f>
        <v/>
      </c>
      <c r="S692" s="212">
        <f>Q692</f>
        <v/>
      </c>
      <c r="T692" s="213" t="n">
        <v>0.3541666666666667</v>
      </c>
      <c r="U692" s="213">
        <f>T692+V692</f>
        <v/>
      </c>
      <c r="V692" s="213" t="n">
        <v>0.02083333333333333</v>
      </c>
      <c r="W692" s="214">
        <f>TEXT(T692,"HH""h""MM'")&amp;"÷"&amp;TEXT(U692,"HH""h""MM'")</f>
        <v/>
      </c>
      <c r="X692" s="214" t="n"/>
      <c r="Y692" s="214" t="n"/>
      <c r="Z692" s="214" t="n"/>
      <c r="AA692" s="215" t="inlineStr">
        <is>
          <t>Theo dõi nén mẫu R7 Cọc khoan nhồi Trụ T2 - Cọc C4</t>
        </is>
      </c>
      <c r="AB692" s="204" t="inlineStr">
        <is>
          <t>09-XL-307HG/PYCNT/CKN/T2/C4-3</t>
        </is>
      </c>
      <c r="AC692" s="204" t="inlineStr">
        <is>
          <t>09-XL-307HG/BBNT/CKN/T2/C4-12</t>
        </is>
      </c>
      <c r="AD692" s="204" t="n"/>
      <c r="AE692" s="204" t="n"/>
      <c r="AF692" s="204" t="n"/>
      <c r="AG692" s="204" t="n"/>
      <c r="AH692" s="204" t="n"/>
      <c r="AI692" s="214" t="n"/>
      <c r="AJ692" s="214" t="n"/>
      <c r="AK692" s="217" t="n"/>
      <c r="AL692" s="214" t="n"/>
      <c r="AM692" s="214" t="n"/>
      <c r="AN692" s="214" t="n"/>
      <c r="AO692" s="214" t="n"/>
      <c r="AP692" s="216" t="n"/>
      <c r="AQ692" s="216" t="n"/>
      <c r="AR692" s="214" t="inlineStr">
        <is>
          <t>Nhóm 1</t>
        </is>
      </c>
      <c r="AS692" s="214" t="n"/>
      <c r="AT692" s="214" t="inlineStr">
        <is>
          <t>HM18</t>
        </is>
      </c>
      <c r="AU692" s="214" t="inlineStr">
        <is>
          <t>NTCV</t>
        </is>
      </c>
      <c r="AV692" s="214" t="n">
        <v>244</v>
      </c>
      <c r="AW692" s="214" t="n">
        <v>11</v>
      </c>
      <c r="AX692" s="214" t="n"/>
    </row>
    <row r="693">
      <c r="A693" s="56" t="inlineStr">
        <is>
          <t>BBK680</t>
        </is>
      </c>
      <c r="B693" s="56" t="inlineStr">
        <is>
          <t>PYC</t>
        </is>
      </c>
      <c r="C693" s="56" t="inlineStr">
        <is>
          <t>BBK680.0137688</t>
        </is>
      </c>
      <c r="D693" s="57" t="n"/>
      <c r="E693" s="57" t="n"/>
      <c r="F693" s="57" t="n"/>
      <c r="G693" s="57" t="n"/>
      <c r="H693" s="57" t="n"/>
      <c r="J693" s="198" t="inlineStr">
        <is>
          <t>31</t>
        </is>
      </c>
      <c r="K693" s="198" t="inlineStr">
        <is>
          <t>PYC</t>
        </is>
      </c>
      <c r="L693" s="199" t="inlineStr">
        <is>
          <t>Phiếu yêu cầu nghiệm thu</t>
        </is>
      </c>
      <c r="M693" s="199" t="n"/>
      <c r="N693" s="199" t="n"/>
      <c r="O693" s="200" t="inlineStr">
        <is>
          <t>Cầu Km19+529.080</t>
        </is>
      </c>
      <c r="P693" s="201" t="n"/>
      <c r="Q693" s="201" t="n"/>
      <c r="R693" s="201">
        <f>+S688+28</f>
        <v/>
      </c>
      <c r="S693" s="201" t="n"/>
      <c r="T693" s="201" t="n"/>
      <c r="U693" s="201" t="n"/>
      <c r="V693" s="201" t="n"/>
      <c r="W693" s="202" t="n"/>
      <c r="X693" s="202" t="n"/>
      <c r="Y693" s="202" t="n"/>
      <c r="Z693" s="202" t="n"/>
      <c r="AA693" s="203" t="n"/>
      <c r="AB693" s="204" t="inlineStr">
        <is>
          <t>09-XL-307HG/PYCNT/CKN/T2/C4</t>
        </is>
      </c>
      <c r="AC693" s="205" t="inlineStr"/>
      <c r="AD693" s="205" t="n"/>
      <c r="AE693" s="205" t="n"/>
      <c r="AF693" s="205" t="n"/>
      <c r="AG693" s="205" t="inlineStr">
        <is>
          <t>NTCV;BBKTĐK</t>
        </is>
      </c>
      <c r="AH693" s="204" t="n">
        <v>12</v>
      </c>
      <c r="AI693" s="202" t="n"/>
      <c r="AJ693" s="202" t="n"/>
      <c r="AK693" s="206" t="n"/>
      <c r="AL693" s="202" t="n"/>
      <c r="AM693" s="202" t="n"/>
      <c r="AN693" s="202" t="n"/>
      <c r="AO693" s="202" t="n"/>
      <c r="AP693" s="207" t="n"/>
      <c r="AQ693" s="207" t="n"/>
      <c r="AR693" s="202" t="inlineStr">
        <is>
          <t>Nhóm 1</t>
        </is>
      </c>
      <c r="AS693" s="202" t="n"/>
      <c r="AT693" s="202" t="inlineStr">
        <is>
          <t>HM18</t>
        </is>
      </c>
      <c r="AU693" s="202" t="inlineStr">
        <is>
          <t>PYC</t>
        </is>
      </c>
      <c r="AV693" s="202" t="n">
        <v>200</v>
      </c>
      <c r="AW693" s="202" t="n">
        <v>4</v>
      </c>
      <c r="AX693" s="202" t="n"/>
    </row>
    <row r="694" ht="28" customHeight="1" s="672">
      <c r="A694" s="56" t="inlineStr">
        <is>
          <t>NTCV</t>
        </is>
      </c>
      <c r="B694" s="56" t="inlineStr">
        <is>
          <t>K.9999</t>
        </is>
      </c>
      <c r="C694" s="56" t="inlineStr">
        <is>
          <t>NTCV.0654177</t>
        </is>
      </c>
      <c r="D694" s="57" t="n"/>
      <c r="E694" s="57" t="n"/>
      <c r="F694" s="57" t="n"/>
      <c r="G694" s="57" t="n"/>
      <c r="H694" s="57" t="n"/>
      <c r="J694" s="209" t="inlineStr">
        <is>
          <t>32</t>
        </is>
      </c>
      <c r="K694" s="209" t="inlineStr">
        <is>
          <t>K.9999</t>
        </is>
      </c>
      <c r="L694" s="210" t="inlineStr">
        <is>
          <t>Đập đầu cọc khoan nhồi Trụ T2 - Cọc C4</t>
        </is>
      </c>
      <c r="M694" s="210" t="n"/>
      <c r="N694" s="210" t="n"/>
      <c r="O694" s="211" t="inlineStr">
        <is>
          <t>Cầu Km19+529.080</t>
        </is>
      </c>
      <c r="P694" s="212">
        <f>S692</f>
        <v/>
      </c>
      <c r="Q694" s="212">
        <f>P694</f>
        <v/>
      </c>
      <c r="R694" s="212">
        <f>Q694-1</f>
        <v/>
      </c>
      <c r="S694" s="212">
        <f>Q694</f>
        <v/>
      </c>
      <c r="T694" s="213" t="n">
        <v>0.3541666666666667</v>
      </c>
      <c r="U694" s="213">
        <f>T694+V694</f>
        <v/>
      </c>
      <c r="V694" s="213" t="n">
        <v>0.0625</v>
      </c>
      <c r="W694" s="214">
        <f>TEXT(T694,"HH""h""MM'")&amp;"÷"&amp;TEXT(U694,"HH""h""MM'")</f>
        <v/>
      </c>
      <c r="X694" s="214" t="n"/>
      <c r="Y694" s="214" t="n"/>
      <c r="Z694" s="214" t="n"/>
      <c r="AA694" s="215" t="inlineStr">
        <is>
          <t>Theo dõi nén mẫu R28 Cọc khoan nhồi Trụ T2 - Cọc C4</t>
        </is>
      </c>
      <c r="AB694" s="204" t="inlineStr">
        <is>
          <t>09-XL-307HG/PYCNT/CKN/T2/C4-4</t>
        </is>
      </c>
      <c r="AC694" s="204" t="inlineStr">
        <is>
          <t>09-XL-307HG/BBNT/CKN/T2/C4-13</t>
        </is>
      </c>
      <c r="AD694" s="204" t="n"/>
      <c r="AE694" s="204" t="n"/>
      <c r="AF694" s="204" t="n"/>
      <c r="AG694" s="204" t="n"/>
      <c r="AH694" s="204" t="n"/>
      <c r="AI694" s="214" t="n"/>
      <c r="AJ694" s="214" t="n"/>
      <c r="AK694" s="217" t="n"/>
      <c r="AL694" s="214" t="n"/>
      <c r="AM694" s="214" t="n"/>
      <c r="AN694" s="214" t="n"/>
      <c r="AO694" s="214" t="n"/>
      <c r="AP694" s="216" t="n"/>
      <c r="AQ694" s="216" t="n"/>
      <c r="AR694" s="214" t="inlineStr">
        <is>
          <t>Nhóm 1</t>
        </is>
      </c>
      <c r="AS694" s="214" t="n"/>
      <c r="AT694" s="214" t="inlineStr">
        <is>
          <t>HM18</t>
        </is>
      </c>
      <c r="AU694" s="214" t="inlineStr">
        <is>
          <t>NTCV</t>
        </is>
      </c>
      <c r="AV694" s="214" t="n">
        <v>245</v>
      </c>
      <c r="AW694" s="214" t="n">
        <v>12</v>
      </c>
      <c r="AX694" s="214" t="n"/>
    </row>
    <row r="695">
      <c r="A695" s="56" t="inlineStr">
        <is>
          <t>HM</t>
        </is>
      </c>
      <c r="B695" s="56" t="inlineStr">
        <is>
          <t>HM</t>
        </is>
      </c>
      <c r="C695" s="56" t="inlineStr">
        <is>
          <t>HM.0153231</t>
        </is>
      </c>
      <c r="D695" s="57" t="n"/>
      <c r="E695" s="57" t="n"/>
      <c r="F695" s="57" t="n"/>
      <c r="G695" s="57" t="n"/>
      <c r="H695" s="57" t="n"/>
      <c r="J695" s="246" t="inlineStr">
        <is>
          <t>HM19</t>
        </is>
      </c>
      <c r="K695" s="246" t="inlineStr">
        <is>
          <t>HM</t>
        </is>
      </c>
      <c r="L695" s="247" t="inlineStr">
        <is>
          <t>Trụ T2 - Cọc C5</t>
        </is>
      </c>
      <c r="M695" s="247" t="n"/>
      <c r="N695" s="247" t="n"/>
      <c r="O695" s="248" t="inlineStr">
        <is>
          <t>Cầu Km19+529.080</t>
        </is>
      </c>
      <c r="P695" s="249" t="n"/>
      <c r="Q695" s="249" t="n"/>
      <c r="R695" s="249" t="n"/>
      <c r="S695" s="249" t="n"/>
      <c r="T695" s="249" t="n"/>
      <c r="U695" s="249" t="n"/>
      <c r="V695" s="249" t="n"/>
      <c r="W695" s="250" t="n"/>
      <c r="X695" s="250" t="n"/>
      <c r="Y695" s="250" t="n"/>
      <c r="Z695" s="250" t="n"/>
      <c r="AA695" s="251" t="n"/>
      <c r="AB695" s="252" t="n"/>
      <c r="AC695" s="252" t="inlineStr"/>
      <c r="AD695" s="252" t="n"/>
      <c r="AE695" s="252" t="n"/>
      <c r="AF695" s="252" t="n"/>
      <c r="AG695" s="252" t="n"/>
      <c r="AH695" s="252" t="n"/>
      <c r="AI695" s="250" t="n"/>
      <c r="AJ695" s="250" t="n"/>
      <c r="AK695" s="253" t="n"/>
      <c r="AL695" s="250" t="n"/>
      <c r="AM695" s="250" t="n"/>
      <c r="AN695" s="250" t="n"/>
      <c r="AO695" s="250" t="n"/>
      <c r="AP695" s="254" t="n"/>
      <c r="AQ695" s="254" t="n"/>
      <c r="AR695" s="250" t="n"/>
      <c r="AS695" s="250" t="n"/>
      <c r="AT695" s="250" t="inlineStr">
        <is>
          <t>HM19</t>
        </is>
      </c>
      <c r="AU695" s="250" t="inlineStr">
        <is>
          <t>HM</t>
        </is>
      </c>
      <c r="AV695" s="250" t="n"/>
      <c r="AW695" s="250" t="n"/>
      <c r="AX695" s="250" t="n"/>
    </row>
    <row r="696" ht="28" customFormat="1" customHeight="1" s="70">
      <c r="A696" s="68" t="inlineStr">
        <is>
          <t>BBK_BIA</t>
        </is>
      </c>
      <c r="B696" s="68" t="inlineStr">
        <is>
          <t>TRANGBIA</t>
        </is>
      </c>
      <c r="C696" s="68" t="inlineStr">
        <is>
          <t>BBK_BIA.0198001</t>
        </is>
      </c>
      <c r="D696" s="69" t="n"/>
      <c r="E696" s="69" t="n"/>
      <c r="F696" s="69" t="n"/>
      <c r="G696" s="69" t="n"/>
      <c r="H696" s="69" t="n"/>
      <c r="J696" s="98" t="inlineStr">
        <is>
          <t>01</t>
        </is>
      </c>
      <c r="K696" s="98" t="inlineStr">
        <is>
          <t>TRANGBIA</t>
        </is>
      </c>
      <c r="L696" s="99">
        <f>"Cọc Khoan Nhồi"&amp;" - "&amp;L695</f>
        <v/>
      </c>
      <c r="M696" s="99" t="n"/>
      <c r="N696" s="99" t="n"/>
      <c r="O696" s="100" t="inlineStr">
        <is>
          <t>Cầu Km19+529.080</t>
        </is>
      </c>
      <c r="P696" s="101" t="n"/>
      <c r="Q696" s="101" t="n"/>
      <c r="R696" s="101" t="n"/>
      <c r="S696" s="101" t="n"/>
      <c r="T696" s="101" t="n"/>
      <c r="U696" s="101" t="n"/>
      <c r="V696" s="101" t="n"/>
      <c r="W696" s="102" t="n"/>
      <c r="X696" s="102" t="n"/>
      <c r="Y696" s="102" t="n"/>
      <c r="Z696" s="102" t="n"/>
      <c r="AA696" s="102" t="n"/>
      <c r="AB696" s="102" t="n"/>
      <c r="AC696" s="102" t="inlineStr"/>
      <c r="AD696" s="102" t="n"/>
      <c r="AE696" s="102" t="n"/>
      <c r="AF696" s="102" t="n"/>
      <c r="AG696" s="102" t="n"/>
      <c r="AH696" s="102" t="n"/>
      <c r="AI696" s="102" t="n"/>
      <c r="AJ696" s="102" t="n"/>
      <c r="AK696" s="100" t="n"/>
      <c r="AL696" s="102" t="n"/>
      <c r="AM696" s="102" t="n"/>
      <c r="AN696" s="102" t="n"/>
      <c r="AO696" s="102" t="n"/>
      <c r="AP696" s="103" t="inlineStr">
        <is>
          <t>Kết cấu cọc khoan nhồi mố, trụ</t>
        </is>
      </c>
      <c r="AQ696" s="104" t="n"/>
      <c r="AR696" s="102" t="inlineStr">
        <is>
          <t>Nhóm 1</t>
        </is>
      </c>
      <c r="AS696" s="102" t="n"/>
      <c r="AT696" s="102" t="inlineStr">
        <is>
          <t>HM19</t>
        </is>
      </c>
      <c r="AU696" s="102" t="inlineStr">
        <is>
          <t>TRANGBIA</t>
        </is>
      </c>
      <c r="AV696" s="102" t="n">
        <v>19</v>
      </c>
      <c r="AW696" s="102" t="n">
        <v>1</v>
      </c>
      <c r="AX696" s="102" t="n"/>
    </row>
    <row r="697" customFormat="1" s="70">
      <c r="A697" s="68" t="inlineStr">
        <is>
          <t>BBK_ML</t>
        </is>
      </c>
      <c r="B697" s="68" t="inlineStr">
        <is>
          <t>MUCLUC</t>
        </is>
      </c>
      <c r="C697" s="68" t="inlineStr">
        <is>
          <t>BBK_ML.0375399</t>
        </is>
      </c>
      <c r="D697" s="69" t="n"/>
      <c r="E697" s="69" t="n"/>
      <c r="F697" s="69" t="n"/>
      <c r="G697" s="69" t="n"/>
      <c r="H697" s="69" t="n"/>
      <c r="J697" s="98" t="inlineStr">
        <is>
          <t>02</t>
        </is>
      </c>
      <c r="K697" s="98" t="inlineStr">
        <is>
          <t>MUCLUC</t>
        </is>
      </c>
      <c r="L697" s="99" t="inlineStr">
        <is>
          <t>Danh mục biên bản Kiểm tra/Nghiệm thu</t>
        </is>
      </c>
      <c r="M697" s="99" t="n"/>
      <c r="N697" s="99" t="n"/>
      <c r="O697" s="100" t="inlineStr">
        <is>
          <t>Cầu Km19+529.080</t>
        </is>
      </c>
      <c r="P697" s="101" t="n"/>
      <c r="Q697" s="101" t="n"/>
      <c r="R697" s="101" t="n"/>
      <c r="S697" s="101" t="n"/>
      <c r="T697" s="101" t="n"/>
      <c r="U697" s="101" t="n"/>
      <c r="V697" s="101" t="n"/>
      <c r="W697" s="102" t="n"/>
      <c r="X697" s="102" t="n"/>
      <c r="Y697" s="102" t="n"/>
      <c r="Z697" s="102" t="n"/>
      <c r="AA697" s="102" t="n"/>
      <c r="AB697" s="102" t="n"/>
      <c r="AC697" s="102" t="inlineStr"/>
      <c r="AD697" s="102" t="n"/>
      <c r="AE697" s="102" t="n"/>
      <c r="AF697" s="102" t="n"/>
      <c r="AG697" s="102" t="n"/>
      <c r="AH697" s="102" t="n"/>
      <c r="AI697" s="102" t="n"/>
      <c r="AJ697" s="102" t="n"/>
      <c r="AK697" s="100" t="n"/>
      <c r="AL697" s="102" t="n"/>
      <c r="AM697" s="102" t="n"/>
      <c r="AN697" s="102" t="n"/>
      <c r="AO697" s="102" t="n"/>
      <c r="AP697" s="104" t="n"/>
      <c r="AQ697" s="104" t="n"/>
      <c r="AR697" s="102" t="inlineStr">
        <is>
          <t>Nhóm 1</t>
        </is>
      </c>
      <c r="AS697" s="102" t="n"/>
      <c r="AT697" s="102" t="inlineStr">
        <is>
          <t>HM19</t>
        </is>
      </c>
      <c r="AU697" s="102" t="inlineStr">
        <is>
          <t>MUCLUC</t>
        </is>
      </c>
      <c r="AV697" s="102" t="n">
        <v>19</v>
      </c>
      <c r="AW697" s="102" t="n">
        <v>1</v>
      </c>
      <c r="AX697" s="102" t="n"/>
    </row>
    <row r="698">
      <c r="A698" s="56" t="inlineStr">
        <is>
          <t>BBK680</t>
        </is>
      </c>
      <c r="B698" s="56" t="inlineStr">
        <is>
          <t>PYC</t>
        </is>
      </c>
      <c r="C698" s="56" t="inlineStr">
        <is>
          <t>BBK680.0095585</t>
        </is>
      </c>
      <c r="D698" s="57" t="n"/>
      <c r="E698" s="57" t="n"/>
      <c r="F698" s="57" t="n"/>
      <c r="G698" s="57" t="n"/>
      <c r="H698" s="57" t="n"/>
      <c r="J698" s="198" t="inlineStr">
        <is>
          <t>03</t>
        </is>
      </c>
      <c r="K698" s="198" t="inlineStr">
        <is>
          <t>PYC</t>
        </is>
      </c>
      <c r="L698" s="199" t="inlineStr">
        <is>
          <t>Phiếu yêu cầu nghiệm thu</t>
        </is>
      </c>
      <c r="M698" s="199" t="n"/>
      <c r="N698" s="199" t="n"/>
      <c r="O698" s="200" t="inlineStr">
        <is>
          <t>Cầu Km19+529.080</t>
        </is>
      </c>
      <c r="P698" s="201" t="n"/>
      <c r="Q698" s="201" t="n"/>
      <c r="R698" s="201">
        <f>R699</f>
        <v/>
      </c>
      <c r="S698" s="201" t="n"/>
      <c r="T698" s="201" t="n"/>
      <c r="U698" s="201" t="n"/>
      <c r="V698" s="201" t="n"/>
      <c r="W698" s="202" t="n"/>
      <c r="X698" s="202" t="n"/>
      <c r="Y698" s="202" t="n"/>
      <c r="Z698" s="202" t="n"/>
      <c r="AA698" s="203" t="n"/>
      <c r="AB698" s="204" t="inlineStr">
        <is>
          <t>09-XL-307HG/PYCNT/CKN/T2/C5</t>
        </is>
      </c>
      <c r="AC698" s="205" t="inlineStr"/>
      <c r="AD698" s="205" t="n"/>
      <c r="AE698" s="205" t="n"/>
      <c r="AF698" s="205" t="n"/>
      <c r="AG698" s="205" t="inlineStr">
        <is>
          <t>NTCV;BBKTĐK</t>
        </is>
      </c>
      <c r="AH698" s="204" t="inlineStr">
        <is>
          <t>&gt;=1;&lt;=5</t>
        </is>
      </c>
      <c r="AI698" s="202" t="n"/>
      <c r="AJ698" s="202" t="n"/>
      <c r="AK698" s="206" t="n"/>
      <c r="AL698" s="202" t="n"/>
      <c r="AM698" s="202" t="n"/>
      <c r="AN698" s="202" t="n"/>
      <c r="AO698" s="202" t="n"/>
      <c r="AP698" s="207" t="n"/>
      <c r="AQ698" s="207" t="n"/>
      <c r="AR698" s="202" t="inlineStr">
        <is>
          <t>Nhóm 1</t>
        </is>
      </c>
      <c r="AS698" s="202" t="n"/>
      <c r="AT698" s="202" t="inlineStr">
        <is>
          <t>HM19</t>
        </is>
      </c>
      <c r="AU698" s="202" t="inlineStr">
        <is>
          <t>PYC</t>
        </is>
      </c>
      <c r="AV698" s="202" t="n">
        <v>201</v>
      </c>
      <c r="AW698" s="202" t="n">
        <v>1</v>
      </c>
      <c r="AX698" s="202" t="n"/>
    </row>
    <row r="699" ht="28" customHeight="1" s="672">
      <c r="A699" s="56" t="inlineStr">
        <is>
          <t>BBK884</t>
        </is>
      </c>
      <c r="B699" s="56" t="inlineStr">
        <is>
          <t>BBKTĐK</t>
        </is>
      </c>
      <c r="C699" s="56" t="inlineStr">
        <is>
          <t>BBK884.0615386</t>
        </is>
      </c>
      <c r="D699" s="57" t="n"/>
      <c r="E699" s="57" t="n"/>
      <c r="F699" s="57" t="n"/>
      <c r="G699" s="57" t="n"/>
      <c r="H699" s="57" t="n"/>
      <c r="J699" s="198" t="inlineStr">
        <is>
          <t>04</t>
        </is>
      </c>
      <c r="K699" s="198" t="inlineStr">
        <is>
          <t>BBKTĐK</t>
        </is>
      </c>
      <c r="L699" s="199" t="inlineStr">
        <is>
          <t>Kiểm tra điều kiện trước khi thi công cọc khoan nhồi: Thiết bị, nhân lực, vật tư</t>
        </is>
      </c>
      <c r="M699" s="199" t="n"/>
      <c r="N699" s="199" t="n"/>
      <c r="O699" s="200" t="inlineStr">
        <is>
          <t>Cầu Km19+529.080</t>
        </is>
      </c>
      <c r="P699" s="201" t="n">
        <v>46213</v>
      </c>
      <c r="Q699" s="201">
        <f>P699</f>
        <v/>
      </c>
      <c r="R699" s="201">
        <f>Q699-1</f>
        <v/>
      </c>
      <c r="S699" s="201">
        <f>Q699</f>
        <v/>
      </c>
      <c r="T699" s="208" t="n">
        <v>0.2916666666666667</v>
      </c>
      <c r="U699" s="208">
        <f>T699+V699</f>
        <v/>
      </c>
      <c r="V699" s="208" t="n">
        <v>0.02083333333333333</v>
      </c>
      <c r="W699" s="202">
        <f>TEXT(T699,"HH""h""MM'")&amp;"÷"&amp;TEXT(U699,"HH""h""MM'")</f>
        <v/>
      </c>
      <c r="X699" s="202" t="n"/>
      <c r="Y699" s="202" t="n"/>
      <c r="Z699" s="202" t="inlineStr">
        <is>
          <t>01;</t>
        </is>
      </c>
      <c r="AA699" s="200" t="inlineStr">
        <is>
          <t>Kiểm tra điều kiện trước khi thi công Cọc khoan nhồi Trụ T2 - Cọc C5</t>
        </is>
      </c>
      <c r="AB699" s="205" t="inlineStr">
        <is>
          <t>09-XL-307HG/PYCNT/CKN/T2/C5-1</t>
        </is>
      </c>
      <c r="AC699" s="205" t="inlineStr">
        <is>
          <t>09-XL-307HG/BBNT/CKN/T2/C5-1</t>
        </is>
      </c>
      <c r="AD699" s="205" t="n"/>
      <c r="AE699" s="205" t="n"/>
      <c r="AF699" s="205" t="n"/>
      <c r="AG699" s="205" t="n"/>
      <c r="AH699" s="205" t="n"/>
      <c r="AI699" s="207" t="n"/>
      <c r="AJ699" s="214" t="n"/>
      <c r="AK699" s="217" t="n"/>
      <c r="AL699" s="214" t="n"/>
      <c r="AM699" s="214" t="n"/>
      <c r="AN699" s="214" t="n"/>
      <c r="AO699" s="202" t="n"/>
      <c r="AP699" s="207" t="n"/>
      <c r="AQ699" s="207" t="n"/>
      <c r="AR699" s="202" t="inlineStr">
        <is>
          <t>Nhóm 1</t>
        </is>
      </c>
      <c r="AS699" s="202" t="n"/>
      <c r="AT699" s="202" t="inlineStr">
        <is>
          <t>HM19</t>
        </is>
      </c>
      <c r="AU699" s="202" t="inlineStr">
        <is>
          <t>BBKTĐK</t>
        </is>
      </c>
      <c r="AV699" s="202" t="n">
        <v>8</v>
      </c>
      <c r="AW699" s="202" t="n">
        <v>1</v>
      </c>
      <c r="AX699" s="202" t="n"/>
    </row>
    <row r="700" ht="28" customHeight="1" s="672">
      <c r="A700" s="56" t="inlineStr">
        <is>
          <t>BBK860</t>
        </is>
      </c>
      <c r="B700" s="56" t="inlineStr">
        <is>
          <t>PL01</t>
        </is>
      </c>
      <c r="C700" s="56" t="inlineStr">
        <is>
          <t>BBK860.0702406</t>
        </is>
      </c>
      <c r="D700" s="57" t="n"/>
      <c r="E700" s="57" t="n"/>
      <c r="F700" s="57" t="n"/>
      <c r="G700" s="57" t="n"/>
      <c r="H700" s="57" t="n"/>
      <c r="J700" s="198" t="inlineStr">
        <is>
          <t>05</t>
        </is>
      </c>
      <c r="K700" s="198" t="inlineStr">
        <is>
          <t>PL01</t>
        </is>
      </c>
      <c r="L700" s="199" t="inlineStr">
        <is>
          <t>Máy móc, thiết bị, nhân lực, vật tư thi công cọc khoan nhồi</t>
        </is>
      </c>
      <c r="M700" s="199" t="n"/>
      <c r="N700" s="199" t="n"/>
      <c r="O700" s="199" t="inlineStr">
        <is>
          <t>Cầu Km19+529.080</t>
        </is>
      </c>
      <c r="P700" s="201" t="n"/>
      <c r="Q700" s="201" t="n"/>
      <c r="R700" s="201" t="n"/>
      <c r="S700" s="201">
        <f>S699</f>
        <v/>
      </c>
      <c r="T700" s="201" t="n"/>
      <c r="U700" s="201" t="n"/>
      <c r="V700" s="201" t="n"/>
      <c r="W700" s="202" t="n"/>
      <c r="X700" s="202" t="n"/>
      <c r="Y700" s="202" t="n"/>
      <c r="Z700" s="198" t="inlineStr">
        <is>
          <t>01</t>
        </is>
      </c>
      <c r="AA700" s="203" t="n"/>
      <c r="AB700" s="204" t="inlineStr">
        <is>
          <t>09-XL-307HG/PYCNT/CKN/T2/C5-1</t>
        </is>
      </c>
      <c r="AC700" s="204">
        <f>AC699</f>
        <v/>
      </c>
      <c r="AD700" s="204" t="n"/>
      <c r="AE700" s="204" t="n"/>
      <c r="AF700" s="204" t="n"/>
      <c r="AG700" s="204" t="n"/>
      <c r="AH700" s="204" t="inlineStr">
        <is>
          <t>CKN</t>
        </is>
      </c>
      <c r="AI700" s="207" t="n"/>
      <c r="AJ700" s="202" t="n"/>
      <c r="AK700" s="206" t="n"/>
      <c r="AL700" s="202" t="n"/>
      <c r="AM700" s="202" t="n"/>
      <c r="AN700" s="202" t="n"/>
      <c r="AO700" s="202" t="n"/>
      <c r="AP700" s="207" t="n"/>
      <c r="AQ700" s="207" t="n"/>
      <c r="AR700" s="202" t="inlineStr">
        <is>
          <t>Nhóm 1</t>
        </is>
      </c>
      <c r="AS700" s="202" t="n"/>
      <c r="AT700" s="202" t="inlineStr">
        <is>
          <t>HM19</t>
        </is>
      </c>
      <c r="AU700" s="202" t="inlineStr">
        <is>
          <t>PL01</t>
        </is>
      </c>
      <c r="AV700" s="202" t="n">
        <v>8</v>
      </c>
      <c r="AW700" s="202" t="n">
        <v>1</v>
      </c>
      <c r="AX700" s="202" t="n"/>
    </row>
    <row r="701" ht="42" customHeight="1" s="672">
      <c r="A701" s="56" t="inlineStr">
        <is>
          <t>NTCV</t>
        </is>
      </c>
      <c r="B701" s="56" t="inlineStr">
        <is>
          <t>K.9999</t>
        </is>
      </c>
      <c r="C701" s="56" t="inlineStr">
        <is>
          <t>NTCV.0439576</t>
        </is>
      </c>
      <c r="D701" s="57" t="n"/>
      <c r="E701" s="57" t="n"/>
      <c r="F701" s="57" t="n"/>
      <c r="G701" s="57" t="n"/>
      <c r="H701" s="57" t="n"/>
      <c r="J701" s="209" t="inlineStr">
        <is>
          <t>06</t>
        </is>
      </c>
      <c r="K701" s="209" t="inlineStr">
        <is>
          <t>K.9999</t>
        </is>
      </c>
      <c r="L701" s="210" t="inlineStr">
        <is>
          <t>Kiểm tra ống vách, dung dịch bentonite trước khi khoan cọc khoan nhồi</t>
        </is>
      </c>
      <c r="M701" s="210" t="n"/>
      <c r="N701" s="210" t="n"/>
      <c r="O701" s="211" t="inlineStr">
        <is>
          <t>Cầu Km19+529.080</t>
        </is>
      </c>
      <c r="P701" s="212">
        <f>S699</f>
        <v/>
      </c>
      <c r="Q701" s="212">
        <f>P701</f>
        <v/>
      </c>
      <c r="R701" s="212">
        <f>Q701-1</f>
        <v/>
      </c>
      <c r="S701" s="212">
        <f>Q701</f>
        <v/>
      </c>
      <c r="T701" s="213">
        <f>U699</f>
        <v/>
      </c>
      <c r="U701" s="213">
        <f>T701+V701</f>
        <v/>
      </c>
      <c r="V701" s="213" t="n">
        <v>0.02083333333333333</v>
      </c>
      <c r="W701" s="214">
        <f>TEXT(T701,"HH""h""MM'")&amp;"÷"&amp;TEXT(U701,"HH""h""MM'")</f>
        <v/>
      </c>
      <c r="X701" s="214" t="n"/>
      <c r="Y701" s="214" t="n"/>
      <c r="Z701" s="214" t="inlineStr">
        <is>
          <t>02; 02a</t>
        </is>
      </c>
      <c r="AA701" s="215" t="inlineStr">
        <is>
          <t>Kiểm tra ống vách, dung dịch bentonite Cọc khoan nhồi Trụ T2 - Cọc C5 trước khi khoan</t>
        </is>
      </c>
      <c r="AB701" s="204" t="inlineStr">
        <is>
          <t>09-XL-307HG/PYCNT/CKN/T2/C5-1</t>
        </is>
      </c>
      <c r="AC701" s="204" t="inlineStr">
        <is>
          <t>09-XL-307HG/BBNT/CKN/T2/C5-2</t>
        </is>
      </c>
      <c r="AD701" s="204" t="n"/>
      <c r="AE701" s="204" t="n"/>
      <c r="AF701" s="204" t="n"/>
      <c r="AG701" s="204" t="n"/>
      <c r="AH701" s="204" t="n"/>
      <c r="AI701" s="216" t="n"/>
      <c r="AJ701" s="214" t="n"/>
      <c r="AK701" s="217" t="n"/>
      <c r="AL701" s="214" t="n"/>
      <c r="AM701" s="214" t="n"/>
      <c r="AN701" s="214" t="n"/>
      <c r="AO701" s="214" t="n"/>
      <c r="AP701" s="216" t="n"/>
      <c r="AQ701" s="216" t="n"/>
      <c r="AR701" s="214" t="inlineStr">
        <is>
          <t>Nhóm 1</t>
        </is>
      </c>
      <c r="AS701" s="214" t="n"/>
      <c r="AT701" s="214" t="inlineStr">
        <is>
          <t>HM19</t>
        </is>
      </c>
      <c r="AU701" s="214" t="inlineStr">
        <is>
          <t>NTCV</t>
        </is>
      </c>
      <c r="AV701" s="214" t="n">
        <v>124</v>
      </c>
      <c r="AW701" s="214" t="n">
        <v>1</v>
      </c>
      <c r="AX701" s="214" t="n"/>
    </row>
    <row r="702">
      <c r="A702" s="56" t="inlineStr">
        <is>
          <t>BBK170</t>
        </is>
      </c>
      <c r="B702" s="56" t="inlineStr">
        <is>
          <t>PL02</t>
        </is>
      </c>
      <c r="C702" s="56" t="inlineStr">
        <is>
          <t>BBK170.0420877</t>
        </is>
      </c>
      <c r="D702" s="57" t="n"/>
      <c r="E702" s="57" t="n"/>
      <c r="F702" s="57" t="n"/>
      <c r="G702" s="57" t="n"/>
      <c r="H702" s="57" t="n"/>
      <c r="J702" s="198" t="inlineStr">
        <is>
          <t>07</t>
        </is>
      </c>
      <c r="K702" s="198" t="inlineStr">
        <is>
          <t>PL02</t>
        </is>
      </c>
      <c r="L702" s="199" t="inlineStr">
        <is>
          <t>Kiểm tra ống vách thi công trước khi hạ</t>
        </is>
      </c>
      <c r="M702" s="199" t="n"/>
      <c r="N702" s="199" t="n"/>
      <c r="O702" s="200" t="inlineStr">
        <is>
          <t>Cầu Km19+529.080</t>
        </is>
      </c>
      <c r="P702" s="201" t="n"/>
      <c r="Q702" s="201" t="n"/>
      <c r="R702" s="201" t="n"/>
      <c r="S702" s="201">
        <f>S701</f>
        <v/>
      </c>
      <c r="T702" s="201" t="n"/>
      <c r="U702" s="201" t="n"/>
      <c r="V702" s="201" t="n"/>
      <c r="W702" s="202" t="n"/>
      <c r="X702" s="202" t="n"/>
      <c r="Y702" s="202" t="n"/>
      <c r="Z702" s="198" t="inlineStr">
        <is>
          <t>02</t>
        </is>
      </c>
      <c r="AA702" s="203" t="n"/>
      <c r="AB702" s="204" t="inlineStr">
        <is>
          <t>09-XL-307HG/PYCNT/CKN/T2/C5-1</t>
        </is>
      </c>
      <c r="AC702" s="204">
        <f>AC701</f>
        <v/>
      </c>
      <c r="AD702" s="204" t="n"/>
      <c r="AE702" s="204" t="n"/>
      <c r="AF702" s="204" t="n"/>
      <c r="AG702" s="204" t="n"/>
      <c r="AH702" s="204" t="inlineStr">
        <is>
          <t>CKN</t>
        </is>
      </c>
      <c r="AI702" s="207" t="n"/>
      <c r="AJ702" s="202" t="n"/>
      <c r="AK702" s="206" t="n"/>
      <c r="AL702" s="202" t="n"/>
      <c r="AM702" s="202" t="n"/>
      <c r="AN702" s="202" t="n"/>
      <c r="AO702" s="202" t="n"/>
      <c r="AP702" s="207" t="n"/>
      <c r="AQ702" s="207" t="inlineStr">
        <is>
          <t>Ảnh\PL02 CKN.png</t>
        </is>
      </c>
      <c r="AR702" s="202" t="inlineStr">
        <is>
          <t>Nhóm 1</t>
        </is>
      </c>
      <c r="AS702" s="202" t="n"/>
      <c r="AT702" s="202" t="inlineStr">
        <is>
          <t>HM19</t>
        </is>
      </c>
      <c r="AU702" s="202" t="inlineStr">
        <is>
          <t>PL02</t>
        </is>
      </c>
      <c r="AV702" s="202" t="n">
        <v>8</v>
      </c>
      <c r="AW702" s="202" t="n">
        <v>1</v>
      </c>
      <c r="AX702" s="202" t="n"/>
    </row>
    <row r="703">
      <c r="A703" s="56" t="inlineStr">
        <is>
          <t>BBK721</t>
        </is>
      </c>
      <c r="B703" s="56" t="inlineStr">
        <is>
          <t>PL02a</t>
        </is>
      </c>
      <c r="C703" s="56" t="inlineStr">
        <is>
          <t>BBK721.0336043</t>
        </is>
      </c>
      <c r="D703" s="57" t="n"/>
      <c r="E703" s="57" t="n"/>
      <c r="F703" s="57" t="n"/>
      <c r="G703" s="57" t="n"/>
      <c r="H703" s="57" t="n"/>
      <c r="J703" s="198" t="inlineStr">
        <is>
          <t>08</t>
        </is>
      </c>
      <c r="K703" s="198" t="inlineStr">
        <is>
          <t>PL02a</t>
        </is>
      </c>
      <c r="L703" s="199" t="inlineStr">
        <is>
          <t>Kiểm tra ống vách thi công trước khi hạ</t>
        </is>
      </c>
      <c r="M703" s="199" t="n"/>
      <c r="N703" s="199" t="n"/>
      <c r="O703" s="200" t="inlineStr">
        <is>
          <t>Cầu Km19+529.080</t>
        </is>
      </c>
      <c r="P703" s="201" t="n"/>
      <c r="Q703" s="201" t="n"/>
      <c r="R703" s="201" t="n"/>
      <c r="S703" s="201">
        <f>S702</f>
        <v/>
      </c>
      <c r="T703" s="201" t="n"/>
      <c r="U703" s="201" t="n"/>
      <c r="V703" s="201" t="n"/>
      <c r="W703" s="202" t="n"/>
      <c r="X703" s="202" t="n"/>
      <c r="Y703" s="202" t="n"/>
      <c r="Z703" s="198" t="inlineStr">
        <is>
          <t>02</t>
        </is>
      </c>
      <c r="AA703" s="203" t="n"/>
      <c r="AB703" s="204" t="inlineStr">
        <is>
          <t>09-XL-307HG/PYCNT/CKN/T2/C5-1</t>
        </is>
      </c>
      <c r="AC703" s="204">
        <f>AC702</f>
        <v/>
      </c>
      <c r="AD703" s="204" t="n"/>
      <c r="AE703" s="204" t="n"/>
      <c r="AF703" s="204" t="n"/>
      <c r="AG703" s="204" t="n"/>
      <c r="AH703" s="204" t="n"/>
      <c r="AI703" s="207" t="n"/>
      <c r="AJ703" s="202" t="n"/>
      <c r="AK703" s="206" t="n"/>
      <c r="AL703" s="202" t="n"/>
      <c r="AM703" s="202" t="n"/>
      <c r="AN703" s="202" t="n"/>
      <c r="AO703" s="202" t="n"/>
      <c r="AP703" s="207" t="n"/>
      <c r="AQ703" s="207" t="n"/>
      <c r="AR703" s="202" t="inlineStr">
        <is>
          <t>Nhóm 1</t>
        </is>
      </c>
      <c r="AS703" s="202" t="n"/>
      <c r="AT703" s="202" t="inlineStr">
        <is>
          <t>HM19</t>
        </is>
      </c>
      <c r="AU703" s="202" t="inlineStr">
        <is>
          <t>PL02a</t>
        </is>
      </c>
      <c r="AV703" s="202" t="n">
        <v>8</v>
      </c>
      <c r="AW703" s="202" t="n">
        <v>1</v>
      </c>
      <c r="AX703" s="202" t="n"/>
    </row>
    <row r="704" ht="28" customHeight="1" s="672">
      <c r="A704" s="56" t="inlineStr">
        <is>
          <t>NTCV</t>
        </is>
      </c>
      <c r="B704" s="56" t="inlineStr">
        <is>
          <t>K.9999</t>
        </is>
      </c>
      <c r="C704" s="56" t="inlineStr">
        <is>
          <t>NTCV.0700833</t>
        </is>
      </c>
      <c r="D704" s="57" t="n"/>
      <c r="E704" s="57" t="n"/>
      <c r="F704" s="57" t="n"/>
      <c r="G704" s="57" t="n"/>
      <c r="H704" s="57" t="n"/>
      <c r="J704" s="209" t="inlineStr">
        <is>
          <t>09</t>
        </is>
      </c>
      <c r="K704" s="209" t="inlineStr">
        <is>
          <t>K.9999</t>
        </is>
      </c>
      <c r="L704" s="210" t="inlineStr">
        <is>
          <t>Kiểm tra định vị tim cọc khoan nhồi, hạ ống vách thi công</t>
        </is>
      </c>
      <c r="M704" s="210" t="n"/>
      <c r="N704" s="210" t="n"/>
      <c r="O704" s="211" t="inlineStr">
        <is>
          <t>Cầu Km19+529.080</t>
        </is>
      </c>
      <c r="P704" s="212">
        <f>S701</f>
        <v/>
      </c>
      <c r="Q704" s="212">
        <f>P704</f>
        <v/>
      </c>
      <c r="R704" s="212">
        <f>Q704-1</f>
        <v/>
      </c>
      <c r="S704" s="212">
        <f>Q704</f>
        <v/>
      </c>
      <c r="T704" s="213">
        <f>U701</f>
        <v/>
      </c>
      <c r="U704" s="213">
        <f>T704+V704</f>
        <v/>
      </c>
      <c r="V704" s="213" t="n">
        <v>0.02083333333333333</v>
      </c>
      <c r="W704" s="214">
        <f>TEXT(T704,"HH""h""MM'")&amp;"÷"&amp;TEXT(U704,"HH""h""MM'")</f>
        <v/>
      </c>
      <c r="X704" s="214" t="n"/>
      <c r="Y704" s="214" t="n"/>
      <c r="Z704" s="214" t="inlineStr">
        <is>
          <t>03;</t>
        </is>
      </c>
      <c r="AA704" s="215" t="inlineStr">
        <is>
          <t>Kiểm tra định vị Cọc khoan nhồi Trụ T2 - Cọc C5</t>
        </is>
      </c>
      <c r="AB704" s="204" t="inlineStr">
        <is>
          <t>09-XL-307HG/PYCNT/CKN/T2/C5-1</t>
        </is>
      </c>
      <c r="AC704" s="204" t="inlineStr">
        <is>
          <t>09-XL-307HG/BBNT/CKN/T2/C5-3</t>
        </is>
      </c>
      <c r="AD704" s="204" t="n"/>
      <c r="AE704" s="204" t="n"/>
      <c r="AF704" s="204" t="n"/>
      <c r="AG704" s="204" t="n"/>
      <c r="AH704" s="204" t="n"/>
      <c r="AI704" s="216" t="n"/>
      <c r="AJ704" s="214" t="n"/>
      <c r="AK704" s="217" t="n"/>
      <c r="AL704" s="214" t="n"/>
      <c r="AM704" s="214" t="n"/>
      <c r="AN704" s="214" t="n"/>
      <c r="AO704" s="214" t="n"/>
      <c r="AP704" s="216" t="n"/>
      <c r="AQ704" s="216" t="n"/>
      <c r="AR704" s="214" t="inlineStr">
        <is>
          <t>Nhóm 1</t>
        </is>
      </c>
      <c r="AS704" s="214" t="n"/>
      <c r="AT704" s="214" t="inlineStr">
        <is>
          <t>HM19</t>
        </is>
      </c>
      <c r="AU704" s="214" t="inlineStr">
        <is>
          <t>NTCV</t>
        </is>
      </c>
      <c r="AV704" s="214" t="n">
        <v>126</v>
      </c>
      <c r="AW704" s="214" t="n">
        <v>2</v>
      </c>
      <c r="AX704" s="214" t="n"/>
    </row>
    <row r="705" ht="28" customHeight="1" s="672">
      <c r="A705" s="56" t="inlineStr">
        <is>
          <t>BBK478</t>
        </is>
      </c>
      <c r="B705" s="56" t="inlineStr">
        <is>
          <t>PL03</t>
        </is>
      </c>
      <c r="C705" s="56" t="inlineStr">
        <is>
          <t>BBK478.0213091</t>
        </is>
      </c>
      <c r="D705" s="57" t="n"/>
      <c r="E705" s="57" t="n"/>
      <c r="F705" s="57" t="n"/>
      <c r="G705" s="57" t="n"/>
      <c r="H705" s="57" t="n"/>
      <c r="J705" s="198" t="inlineStr">
        <is>
          <t>10</t>
        </is>
      </c>
      <c r="K705" s="198" t="inlineStr">
        <is>
          <t>PL03</t>
        </is>
      </c>
      <c r="L705" s="199" t="inlineStr">
        <is>
          <t>Kiểm tra định vị tim cọc khoan nhồi, hạ ống vách thi công</t>
        </is>
      </c>
      <c r="M705" s="199" t="n"/>
      <c r="N705" s="199" t="n"/>
      <c r="O705" s="200" t="inlineStr">
        <is>
          <t>Cầu Km19+529.080</t>
        </is>
      </c>
      <c r="P705" s="201" t="n"/>
      <c r="Q705" s="201" t="n"/>
      <c r="R705" s="201" t="n"/>
      <c r="S705" s="201">
        <f>S704</f>
        <v/>
      </c>
      <c r="T705" s="201" t="n"/>
      <c r="U705" s="201" t="n"/>
      <c r="V705" s="201" t="n"/>
      <c r="W705" s="202" t="n"/>
      <c r="X705" s="202" t="n"/>
      <c r="Y705" s="202" t="n"/>
      <c r="Z705" s="198" t="inlineStr">
        <is>
          <t>03</t>
        </is>
      </c>
      <c r="AA705" s="203" t="n"/>
      <c r="AB705" s="204" t="inlineStr">
        <is>
          <t>09-XL-307HG/PYCNT/CKN/T2/C5-1</t>
        </is>
      </c>
      <c r="AC705" s="204">
        <f>AC704</f>
        <v/>
      </c>
      <c r="AD705" s="255" t="n">
        <v>2481783.017</v>
      </c>
      <c r="AE705" s="255" t="n">
        <v>382433.906</v>
      </c>
      <c r="AF705" s="255" t="n">
        <v>167.86</v>
      </c>
      <c r="AG705" s="255" t="n"/>
      <c r="AH705" s="204" t="inlineStr">
        <is>
          <t>&gt;=287;&lt;=305</t>
        </is>
      </c>
      <c r="AI705" s="207" t="n"/>
      <c r="AJ705" s="202" t="n"/>
      <c r="AK705" s="206" t="n"/>
      <c r="AL705" s="202" t="n"/>
      <c r="AM705" s="202" t="n"/>
      <c r="AN705" s="202" t="n"/>
      <c r="AO705" s="202" t="n"/>
      <c r="AP705" s="207" t="n"/>
      <c r="AQ705" s="207" t="n"/>
      <c r="AR705" s="202" t="inlineStr">
        <is>
          <t>Nhóm 1</t>
        </is>
      </c>
      <c r="AS705" s="202" t="n"/>
      <c r="AT705" s="202" t="inlineStr">
        <is>
          <t>HM19</t>
        </is>
      </c>
      <c r="AU705" s="202" t="inlineStr">
        <is>
          <t>PL03</t>
        </is>
      </c>
      <c r="AV705" s="202" t="n">
        <v>8</v>
      </c>
      <c r="AW705" s="202" t="n">
        <v>1</v>
      </c>
      <c r="AX705" s="202" t="n"/>
    </row>
    <row r="706" ht="28" customHeight="1" s="672">
      <c r="A706" s="56" t="inlineStr">
        <is>
          <t>NTCV</t>
        </is>
      </c>
      <c r="B706" s="56" t="inlineStr">
        <is>
          <t>K.9999</t>
        </is>
      </c>
      <c r="C706" s="56" t="inlineStr">
        <is>
          <t>NTCV.0043932</t>
        </is>
      </c>
      <c r="D706" s="57" t="n"/>
      <c r="E706" s="57" t="n"/>
      <c r="F706" s="57" t="n"/>
      <c r="G706" s="57" t="n"/>
      <c r="H706" s="57" t="n"/>
      <c r="J706" s="209" t="inlineStr">
        <is>
          <t>11</t>
        </is>
      </c>
      <c r="K706" s="209" t="inlineStr">
        <is>
          <t>K.9999</t>
        </is>
      </c>
      <c r="L706" s="210" t="inlineStr">
        <is>
          <t>Nghiệm thu lồng thép cọc khoan nhồi trước khi hạ</t>
        </is>
      </c>
      <c r="M706" s="210" t="n"/>
      <c r="N706" s="210" t="n"/>
      <c r="O706" s="211" t="inlineStr">
        <is>
          <t>Cầu Km19+529.080</t>
        </is>
      </c>
      <c r="P706" s="212">
        <f>S704</f>
        <v/>
      </c>
      <c r="Q706" s="212">
        <f>P706</f>
        <v/>
      </c>
      <c r="R706" s="212">
        <f>Q706-1</f>
        <v/>
      </c>
      <c r="S706" s="212">
        <f>Q706</f>
        <v/>
      </c>
      <c r="T706" s="213">
        <f>U704</f>
        <v/>
      </c>
      <c r="U706" s="213">
        <f>T706+V706</f>
        <v/>
      </c>
      <c r="V706" s="213" t="n">
        <v>0.02083333333333333</v>
      </c>
      <c r="W706" s="214">
        <f>TEXT(T706,"HH""h""MM'")&amp;"÷"&amp;TEXT(U706,"HH""h""MM'")</f>
        <v/>
      </c>
      <c r="X706" s="214" t="n"/>
      <c r="Y706" s="214" t="n"/>
      <c r="Z706" s="214" t="inlineStr">
        <is>
          <t>04;</t>
        </is>
      </c>
      <c r="AA706" s="215" t="inlineStr">
        <is>
          <t>Nghiệm thu lồng thép Cọc khoan nhồi Trụ T2 - Cọc C5</t>
        </is>
      </c>
      <c r="AB706" s="204" t="inlineStr">
        <is>
          <t>09-XL-307HG/PYCNT/CKN/T2/C5-1</t>
        </is>
      </c>
      <c r="AC706" s="204" t="inlineStr">
        <is>
          <t>09-XL-307HG/BBNT/CKN/T2/C5-4</t>
        </is>
      </c>
      <c r="AD706" s="204" t="n"/>
      <c r="AE706" s="204" t="n"/>
      <c r="AF706" s="204" t="n"/>
      <c r="AG706" s="204" t="n"/>
      <c r="AH706" s="204" t="n"/>
      <c r="AI706" s="216" t="n"/>
      <c r="AJ706" s="214" t="n"/>
      <c r="AK706" s="217" t="n"/>
      <c r="AL706" s="214" t="n"/>
      <c r="AM706" s="214" t="n"/>
      <c r="AN706" s="214" t="n"/>
      <c r="AO706" s="214" t="n"/>
      <c r="AP706" s="216" t="n"/>
      <c r="AQ706" s="216" t="n"/>
      <c r="AR706" s="214" t="inlineStr">
        <is>
          <t>Nhóm 1</t>
        </is>
      </c>
      <c r="AS706" s="214" t="n"/>
      <c r="AT706" s="214" t="inlineStr">
        <is>
          <t>HM19</t>
        </is>
      </c>
      <c r="AU706" s="214" t="inlineStr">
        <is>
          <t>NTCV</t>
        </is>
      </c>
      <c r="AV706" s="214" t="n">
        <v>128</v>
      </c>
      <c r="AW706" s="214" t="n">
        <v>3</v>
      </c>
      <c r="AX706" s="214" t="n"/>
    </row>
    <row r="707">
      <c r="A707" s="56" t="inlineStr">
        <is>
          <t>BBK096</t>
        </is>
      </c>
      <c r="B707" s="56" t="inlineStr">
        <is>
          <t>PL04</t>
        </is>
      </c>
      <c r="C707" s="56" t="inlineStr">
        <is>
          <t>BBK096.0886066</t>
        </is>
      </c>
      <c r="D707" s="57" t="n"/>
      <c r="E707" s="57" t="n"/>
      <c r="F707" s="57" t="n"/>
      <c r="G707" s="57" t="n"/>
      <c r="H707" s="57" t="n"/>
      <c r="J707" s="198" t="inlineStr">
        <is>
          <t>12</t>
        </is>
      </c>
      <c r="K707" s="198" t="inlineStr">
        <is>
          <t>PL04</t>
        </is>
      </c>
      <c r="L707" s="199" t="inlineStr">
        <is>
          <t>Nghiệm thu lồng thép cọc khoan nhồi trước khi hạ</t>
        </is>
      </c>
      <c r="M707" s="199" t="n"/>
      <c r="N707" s="199" t="n"/>
      <c r="O707" s="200" t="inlineStr">
        <is>
          <t>Cầu Km19+529.080</t>
        </is>
      </c>
      <c r="P707" s="201" t="n"/>
      <c r="Q707" s="201" t="n"/>
      <c r="R707" s="201" t="n"/>
      <c r="S707" s="201">
        <f>S706</f>
        <v/>
      </c>
      <c r="T707" s="201" t="n"/>
      <c r="U707" s="201" t="n"/>
      <c r="V707" s="201" t="n"/>
      <c r="W707" s="202" t="n"/>
      <c r="X707" s="202" t="n"/>
      <c r="Y707" s="202" t="n"/>
      <c r="Z707" s="198" t="inlineStr">
        <is>
          <t>04</t>
        </is>
      </c>
      <c r="AA707" s="203" t="n"/>
      <c r="AB707" s="204" t="inlineStr">
        <is>
          <t>09-XL-307HG/PYCNT/CKN/T2/C5-1</t>
        </is>
      </c>
      <c r="AC707" s="204">
        <f>AC706</f>
        <v/>
      </c>
      <c r="AD707" s="204" t="n"/>
      <c r="AE707" s="204" t="n"/>
      <c r="AF707" s="204" t="n"/>
      <c r="AG707" s="204" t="n"/>
      <c r="AH707" s="204" t="inlineStr">
        <is>
          <t>T2</t>
        </is>
      </c>
      <c r="AI707" s="207" t="n"/>
      <c r="AJ707" s="202" t="n"/>
      <c r="AK707" s="206" t="n"/>
      <c r="AL707" s="202" t="n"/>
      <c r="AM707" s="202" t="n"/>
      <c r="AN707" s="202" t="n"/>
      <c r="AO707" s="202" t="n"/>
      <c r="AP707" s="207" t="n"/>
      <c r="AQ707" s="207" t="n"/>
      <c r="AR707" s="202" t="inlineStr">
        <is>
          <t>Nhóm 1</t>
        </is>
      </c>
      <c r="AS707" s="202" t="n"/>
      <c r="AT707" s="202" t="inlineStr">
        <is>
          <t>HM19</t>
        </is>
      </c>
      <c r="AU707" s="202" t="inlineStr">
        <is>
          <t>PL04</t>
        </is>
      </c>
      <c r="AV707" s="202" t="n">
        <v>8</v>
      </c>
      <c r="AW707" s="202" t="n">
        <v>1</v>
      </c>
      <c r="AX707" s="202" t="n"/>
    </row>
    <row r="708" ht="28" customHeight="1" s="672">
      <c r="A708" s="56" t="inlineStr">
        <is>
          <t>NTCV</t>
        </is>
      </c>
      <c r="B708" s="56" t="inlineStr">
        <is>
          <t>K.9999</t>
        </is>
      </c>
      <c r="C708" s="56" t="inlineStr">
        <is>
          <t>NTCV.0043198</t>
        </is>
      </c>
      <c r="D708" s="57" t="n"/>
      <c r="E708" s="57" t="n"/>
      <c r="F708" s="57" t="n"/>
      <c r="G708" s="57" t="n"/>
      <c r="H708" s="57" t="n"/>
      <c r="J708" s="209" t="inlineStr">
        <is>
          <t>13</t>
        </is>
      </c>
      <c r="K708" s="209" t="inlineStr">
        <is>
          <t>K.9999</t>
        </is>
      </c>
      <c r="L708" s="210" t="inlineStr">
        <is>
          <t xml:space="preserve">Kiểm tra công tác khoan tạo lỗ cọc khoan nhồi </t>
        </is>
      </c>
      <c r="M708" s="210" t="n"/>
      <c r="N708" s="210" t="n"/>
      <c r="O708" s="211" t="inlineStr">
        <is>
          <t>Cầu Km19+529.080</t>
        </is>
      </c>
      <c r="P708" s="212">
        <f>S706</f>
        <v/>
      </c>
      <c r="Q708" s="212">
        <f>P708</f>
        <v/>
      </c>
      <c r="R708" s="212">
        <f>Q708-1</f>
        <v/>
      </c>
      <c r="S708" s="212">
        <f>Q708</f>
        <v/>
      </c>
      <c r="T708" s="213">
        <f>U706</f>
        <v/>
      </c>
      <c r="U708" s="213">
        <f>T708+V708</f>
        <v/>
      </c>
      <c r="V708" s="213" t="n">
        <v>0.3888888888888889</v>
      </c>
      <c r="W708" s="214">
        <f>TEXT(T708,"HH""h""MM'")&amp;"÷"&amp;TEXT(U708,"HH""h""MM'")</f>
        <v/>
      </c>
      <c r="X708" s="214" t="n"/>
      <c r="Y708" s="214" t="n"/>
      <c r="Z708" s="214" t="inlineStr">
        <is>
          <t>05;</t>
        </is>
      </c>
      <c r="AA708" s="215" t="inlineStr">
        <is>
          <t>Kiểm tra công tác khoan tạo lỗ Cọc khoan nhồi Trụ T2 - Cọc C5</t>
        </is>
      </c>
      <c r="AB708" s="204" t="inlineStr">
        <is>
          <t>09-XL-307HG/PYCNT/CKN/T2/C5-1</t>
        </is>
      </c>
      <c r="AC708" s="204" t="inlineStr">
        <is>
          <t>09-XL-307HG/BBNT/CKN/T2/C5-5</t>
        </is>
      </c>
      <c r="AD708" s="204" t="n"/>
      <c r="AE708" s="204" t="n"/>
      <c r="AF708" s="204" t="n"/>
      <c r="AG708" s="204" t="n"/>
      <c r="AH708" s="204" t="n"/>
      <c r="AI708" s="216" t="n"/>
      <c r="AJ708" s="214" t="n"/>
      <c r="AK708" s="217" t="n"/>
      <c r="AL708" s="214" t="n"/>
      <c r="AM708" s="214" t="n"/>
      <c r="AN708" s="214" t="n"/>
      <c r="AO708" s="214" t="n"/>
      <c r="AP708" s="216" t="n"/>
      <c r="AQ708" s="216" t="n"/>
      <c r="AR708" s="214" t="inlineStr">
        <is>
          <t>Nhóm 1</t>
        </is>
      </c>
      <c r="AS708" s="214" t="n"/>
      <c r="AT708" s="214" t="inlineStr">
        <is>
          <t>HM19</t>
        </is>
      </c>
      <c r="AU708" s="214" t="inlineStr">
        <is>
          <t>NTCV</t>
        </is>
      </c>
      <c r="AV708" s="214" t="n">
        <v>130</v>
      </c>
      <c r="AW708" s="214" t="n">
        <v>4</v>
      </c>
      <c r="AX708" s="214" t="n"/>
    </row>
    <row r="709">
      <c r="A709" s="56" t="inlineStr">
        <is>
          <t>BBK638</t>
        </is>
      </c>
      <c r="B709" s="56" t="inlineStr">
        <is>
          <t>PL05</t>
        </is>
      </c>
      <c r="C709" s="56" t="inlineStr">
        <is>
          <t>BBK638.0458703</t>
        </is>
      </c>
      <c r="D709" s="57" t="n"/>
      <c r="E709" s="57" t="n"/>
      <c r="F709" s="57" t="n"/>
      <c r="G709" s="57" t="n"/>
      <c r="H709" s="57" t="n"/>
      <c r="J709" s="198" t="inlineStr">
        <is>
          <t>14</t>
        </is>
      </c>
      <c r="K709" s="198" t="inlineStr">
        <is>
          <t>PL05</t>
        </is>
      </c>
      <c r="L709" s="199" t="inlineStr">
        <is>
          <t>Kiểm tra công tác khoan tạo lỗ cọc khoan nhồi</t>
        </is>
      </c>
      <c r="M709" s="199" t="n"/>
      <c r="N709" s="199" t="n"/>
      <c r="O709" s="200" t="inlineStr">
        <is>
          <t>Cầu Km19+529.080</t>
        </is>
      </c>
      <c r="P709" s="201" t="n"/>
      <c r="Q709" s="201" t="n"/>
      <c r="R709" s="201" t="n"/>
      <c r="S709" s="201">
        <f>S708</f>
        <v/>
      </c>
      <c r="T709" s="208">
        <f>T708</f>
        <v/>
      </c>
      <c r="U709" s="208">
        <f>U708</f>
        <v/>
      </c>
      <c r="V709" s="208">
        <f>U709-T709</f>
        <v/>
      </c>
      <c r="W709" s="202" t="n"/>
      <c r="X709" s="202" t="n"/>
      <c r="Y709" s="202" t="n"/>
      <c r="Z709" s="198" t="inlineStr">
        <is>
          <t>05</t>
        </is>
      </c>
      <c r="AA709" s="203" t="n"/>
      <c r="AB709" s="204" t="inlineStr">
        <is>
          <t>09-XL-307HG/PYCNT/CKN/T2/C5</t>
        </is>
      </c>
      <c r="AC709" s="204">
        <f>AC708</f>
        <v/>
      </c>
      <c r="AD709" s="204" t="n"/>
      <c r="AE709" s="204" t="n"/>
      <c r="AF709" s="255" t="n">
        <v>167.86</v>
      </c>
      <c r="AG709" s="255" t="n"/>
      <c r="AH709" s="204" t="inlineStr">
        <is>
          <t>T2-C5</t>
        </is>
      </c>
      <c r="AI709" s="207" t="n"/>
      <c r="AJ709" s="202" t="n"/>
      <c r="AK709" s="206" t="n"/>
      <c r="AL709" s="202" t="n"/>
      <c r="AM709" s="202" t="n"/>
      <c r="AN709" s="202" t="n"/>
      <c r="AO709" s="202" t="n"/>
      <c r="AP709" s="207" t="n"/>
      <c r="AQ709" s="207" t="n"/>
      <c r="AR709" s="202" t="inlineStr">
        <is>
          <t>Nhóm 1</t>
        </is>
      </c>
      <c r="AS709" s="202" t="n"/>
      <c r="AT709" s="202" t="inlineStr">
        <is>
          <t>HM19</t>
        </is>
      </c>
      <c r="AU709" s="202" t="inlineStr">
        <is>
          <t>PL05</t>
        </is>
      </c>
      <c r="AV709" s="202" t="n">
        <v>8</v>
      </c>
      <c r="AW709" s="202" t="n">
        <v>1</v>
      </c>
      <c r="AX709" s="202" t="n"/>
    </row>
    <row r="710">
      <c r="A710" s="56" t="inlineStr">
        <is>
          <t>BBK680</t>
        </is>
      </c>
      <c r="B710" s="56" t="inlineStr">
        <is>
          <t>PYC</t>
        </is>
      </c>
      <c r="C710" s="56" t="inlineStr">
        <is>
          <t>BBK680.0738983</t>
        </is>
      </c>
      <c r="D710" s="57" t="n"/>
      <c r="E710" s="57" t="n"/>
      <c r="F710" s="57" t="n"/>
      <c r="G710" s="57" t="n"/>
      <c r="H710" s="57" t="n"/>
      <c r="J710" s="198" t="inlineStr">
        <is>
          <t>15</t>
        </is>
      </c>
      <c r="K710" s="198" t="inlineStr">
        <is>
          <t>PYC</t>
        </is>
      </c>
      <c r="L710" s="199" t="inlineStr">
        <is>
          <t>Phiếu yêu cầu nghiệm thu</t>
        </is>
      </c>
      <c r="M710" s="199" t="n"/>
      <c r="N710" s="199" t="n"/>
      <c r="O710" s="200" t="inlineStr">
        <is>
          <t>Cầu Km19+529.080</t>
        </is>
      </c>
      <c r="P710" s="201" t="n"/>
      <c r="Q710" s="201" t="n"/>
      <c r="R710" s="201">
        <f>R711</f>
        <v/>
      </c>
      <c r="S710" s="201" t="n"/>
      <c r="T710" s="201" t="n"/>
      <c r="U710" s="201" t="n"/>
      <c r="V710" s="201" t="n"/>
      <c r="W710" s="202" t="n"/>
      <c r="X710" s="202" t="n"/>
      <c r="Y710" s="202" t="n"/>
      <c r="Z710" s="202" t="n"/>
      <c r="AA710" s="203" t="n"/>
      <c r="AB710" s="204" t="inlineStr">
        <is>
          <t>09-XL-307HG/PYCNT/CKN/T2/C5</t>
        </is>
      </c>
      <c r="AC710" s="205" t="inlineStr"/>
      <c r="AD710" s="205" t="n"/>
      <c r="AE710" s="205" t="n"/>
      <c r="AF710" s="205" t="n"/>
      <c r="AG710" s="205" t="inlineStr">
        <is>
          <t>NTCV;BBKTĐK</t>
        </is>
      </c>
      <c r="AH710" s="204" t="inlineStr">
        <is>
          <t>&gt;=6;&lt;=10</t>
        </is>
      </c>
      <c r="AI710" s="202" t="n"/>
      <c r="AJ710" s="202" t="n"/>
      <c r="AK710" s="206" t="n"/>
      <c r="AL710" s="202" t="n"/>
      <c r="AM710" s="202" t="n"/>
      <c r="AN710" s="202" t="n"/>
      <c r="AO710" s="202" t="n"/>
      <c r="AP710" s="207" t="n"/>
      <c r="AQ710" s="207" t="n"/>
      <c r="AR710" s="202" t="inlineStr">
        <is>
          <t>Nhóm 1</t>
        </is>
      </c>
      <c r="AS710" s="202" t="n"/>
      <c r="AT710" s="202" t="inlineStr">
        <is>
          <t>HM19</t>
        </is>
      </c>
      <c r="AU710" s="202" t="inlineStr">
        <is>
          <t>PYC</t>
        </is>
      </c>
      <c r="AV710" s="202" t="n">
        <v>202</v>
      </c>
      <c r="AW710" s="202" t="n">
        <v>2</v>
      </c>
      <c r="AX710" s="202" t="n"/>
    </row>
    <row r="711" ht="42" customHeight="1" s="672">
      <c r="A711" s="56" t="inlineStr">
        <is>
          <t>NTCV</t>
        </is>
      </c>
      <c r="B711" s="56" t="inlineStr">
        <is>
          <t>K.9999</t>
        </is>
      </c>
      <c r="C711" s="56" t="inlineStr">
        <is>
          <t>NTCV.0755260</t>
        </is>
      </c>
      <c r="D711" s="57" t="n"/>
      <c r="E711" s="57" t="n"/>
      <c r="F711" s="57" t="n"/>
      <c r="G711" s="57" t="n"/>
      <c r="H711" s="57" t="n"/>
      <c r="J711" s="209" t="inlineStr">
        <is>
          <t>16</t>
        </is>
      </c>
      <c r="K711" s="209" t="inlineStr">
        <is>
          <t>K.9999</t>
        </is>
      </c>
      <c r="L711" s="210" t="inlineStr">
        <is>
          <t>Kiểm tra công tác vệ sinh lỗ khoan trước khi hạ lồng cốt thép cọc khoan nhồi</t>
        </is>
      </c>
      <c r="M711" s="210" t="n"/>
      <c r="N711" s="210" t="n"/>
      <c r="O711" s="211" t="inlineStr">
        <is>
          <t>Cầu Km19+529.080</t>
        </is>
      </c>
      <c r="P711" s="212">
        <f>S708+1</f>
        <v/>
      </c>
      <c r="Q711" s="212">
        <f>P711</f>
        <v/>
      </c>
      <c r="R711" s="212">
        <f>Q711-1</f>
        <v/>
      </c>
      <c r="S711" s="212">
        <f>Q711</f>
        <v/>
      </c>
      <c r="T711" s="213" t="n">
        <v>0.3333333333333333</v>
      </c>
      <c r="U711" s="213">
        <f>T711+V711</f>
        <v/>
      </c>
      <c r="V711" s="213" t="n">
        <v>0.01041666666666667</v>
      </c>
      <c r="W711" s="214">
        <f>TEXT(T711,"HH""h""MM'")&amp;"÷"&amp;TEXT(U711,"HH""h""MM'")</f>
        <v/>
      </c>
      <c r="X711" s="214" t="n"/>
      <c r="Y711" s="214" t="n"/>
      <c r="Z711" s="214" t="inlineStr">
        <is>
          <t>06;</t>
        </is>
      </c>
      <c r="AA711" s="215" t="inlineStr">
        <is>
          <t>Kiểm tra công tác vệ sinh lỗ khoan trước khi hạ lồng cốt thép Cọc khoan nhồi Trụ T2 - Cọc C5</t>
        </is>
      </c>
      <c r="AB711" s="204" t="inlineStr">
        <is>
          <t>09-XL-307HG/PYCNT/CKN/T2/C5-2</t>
        </is>
      </c>
      <c r="AC711" s="204" t="inlineStr">
        <is>
          <t>09-XL-307HG/BBNT/CKN/T2/C5-6</t>
        </is>
      </c>
      <c r="AD711" s="204" t="n"/>
      <c r="AE711" s="204" t="n"/>
      <c r="AF711" s="204" t="n"/>
      <c r="AG711" s="204" t="n"/>
      <c r="AH711" s="204" t="n"/>
      <c r="AI711" s="216" t="n"/>
      <c r="AJ711" s="214" t="n"/>
      <c r="AK711" s="217" t="n"/>
      <c r="AL711" s="214" t="n"/>
      <c r="AM711" s="214" t="n"/>
      <c r="AN711" s="214" t="n"/>
      <c r="AO711" s="214" t="n"/>
      <c r="AP711" s="216" t="n"/>
      <c r="AQ711" s="216" t="n"/>
      <c r="AR711" s="214" t="inlineStr">
        <is>
          <t>Nhóm 1</t>
        </is>
      </c>
      <c r="AS711" s="214" t="n"/>
      <c r="AT711" s="214" t="inlineStr">
        <is>
          <t>HM19</t>
        </is>
      </c>
      <c r="AU711" s="214" t="inlineStr">
        <is>
          <t>NTCV</t>
        </is>
      </c>
      <c r="AV711" s="214" t="n">
        <v>136</v>
      </c>
      <c r="AW711" s="214" t="n">
        <v>5</v>
      </c>
      <c r="AX711" s="214" t="n"/>
    </row>
    <row r="712" ht="28" customHeight="1" s="672">
      <c r="A712" s="56" t="inlineStr">
        <is>
          <t>BBK570</t>
        </is>
      </c>
      <c r="B712" s="56" t="inlineStr">
        <is>
          <t>PL06</t>
        </is>
      </c>
      <c r="C712" s="56" t="inlineStr">
        <is>
          <t>BBK570.0822578</t>
        </is>
      </c>
      <c r="D712" s="57" t="n"/>
      <c r="E712" s="57" t="n"/>
      <c r="F712" s="57" t="n"/>
      <c r="G712" s="57" t="n"/>
      <c r="H712" s="57" t="n"/>
      <c r="J712" s="198" t="inlineStr">
        <is>
          <t>17</t>
        </is>
      </c>
      <c r="K712" s="198" t="inlineStr">
        <is>
          <t>PL06</t>
        </is>
      </c>
      <c r="L712" s="199" t="inlineStr">
        <is>
          <t>Kiểm tra công tác vệ sinh lỗ khoan trước khi hạ lồng cốt thép cọc khoan nhồi</t>
        </is>
      </c>
      <c r="M712" s="199" t="n"/>
      <c r="N712" s="199" t="n"/>
      <c r="O712" s="200" t="inlineStr">
        <is>
          <t>Cầu Km19+529.080</t>
        </is>
      </c>
      <c r="P712" s="201" t="n"/>
      <c r="Q712" s="201" t="n"/>
      <c r="R712" s="201" t="n"/>
      <c r="S712" s="201">
        <f>S711</f>
        <v/>
      </c>
      <c r="T712" s="201" t="n"/>
      <c r="U712" s="201" t="n"/>
      <c r="V712" s="201" t="n"/>
      <c r="W712" s="202" t="n"/>
      <c r="X712" s="265" t="n">
        <v>135.86</v>
      </c>
      <c r="Y712" s="265">
        <f>X712-0.02</f>
        <v/>
      </c>
      <c r="Z712" s="198" t="inlineStr">
        <is>
          <t>06</t>
        </is>
      </c>
      <c r="AA712" s="203" t="n"/>
      <c r="AB712" s="204" t="inlineStr">
        <is>
          <t>09-XL-307HG/PYCNT/CKN/T2/C5-2</t>
        </is>
      </c>
      <c r="AC712" s="204">
        <f>AC711</f>
        <v/>
      </c>
      <c r="AD712" s="204" t="n"/>
      <c r="AE712" s="204" t="n"/>
      <c r="AF712" s="204" t="n"/>
      <c r="AG712" s="204" t="n"/>
      <c r="AH712" s="204" t="n"/>
      <c r="AI712" s="202" t="n"/>
      <c r="AJ712" s="202" t="n"/>
      <c r="AK712" s="206" t="n"/>
      <c r="AL712" s="202" t="n"/>
      <c r="AM712" s="202" t="n"/>
      <c r="AN712" s="202" t="n"/>
      <c r="AO712" s="202" t="n"/>
      <c r="AP712" s="207" t="n"/>
      <c r="AQ712" s="207" t="n"/>
      <c r="AR712" s="202" t="inlineStr">
        <is>
          <t>Nhóm 1</t>
        </is>
      </c>
      <c r="AS712" s="202" t="n"/>
      <c r="AT712" s="202" t="inlineStr">
        <is>
          <t>HM19</t>
        </is>
      </c>
      <c r="AU712" s="202" t="inlineStr">
        <is>
          <t>PL06</t>
        </is>
      </c>
      <c r="AV712" s="202" t="n">
        <v>8</v>
      </c>
      <c r="AW712" s="202" t="n">
        <v>1</v>
      </c>
      <c r="AX712" s="202" t="n"/>
    </row>
    <row r="713" ht="28" customHeight="1" s="672">
      <c r="A713" s="56" t="inlineStr">
        <is>
          <t>NTCV</t>
        </is>
      </c>
      <c r="B713" s="56" t="inlineStr">
        <is>
          <t>K.9999</t>
        </is>
      </c>
      <c r="C713" s="56" t="inlineStr">
        <is>
          <t>NTCV.0209674</t>
        </is>
      </c>
      <c r="D713" s="57" t="n"/>
      <c r="E713" s="57" t="n"/>
      <c r="F713" s="57" t="n"/>
      <c r="G713" s="57" t="n"/>
      <c r="H713" s="57" t="n"/>
      <c r="J713" s="209" t="inlineStr">
        <is>
          <t>18</t>
        </is>
      </c>
      <c r="K713" s="209" t="inlineStr">
        <is>
          <t>K.9999</t>
        </is>
      </c>
      <c r="L713" s="210" t="inlineStr">
        <is>
          <t xml:space="preserve">Nghiệm thu công tác hạ lồng thép </t>
        </is>
      </c>
      <c r="M713" s="210" t="n"/>
      <c r="N713" s="210" t="n"/>
      <c r="O713" s="211" t="inlineStr">
        <is>
          <t>Cầu Km19+529.080</t>
        </is>
      </c>
      <c r="P713" s="212">
        <f>S711</f>
        <v/>
      </c>
      <c r="Q713" s="212">
        <f>P713</f>
        <v/>
      </c>
      <c r="R713" s="212">
        <f>Q713-1</f>
        <v/>
      </c>
      <c r="S713" s="212">
        <f>Q713</f>
        <v/>
      </c>
      <c r="T713" s="213">
        <f>U711</f>
        <v/>
      </c>
      <c r="U713" s="213">
        <f>T713+V713</f>
        <v/>
      </c>
      <c r="V713" s="213" t="n">
        <v>0.03125</v>
      </c>
      <c r="W713" s="214">
        <f>TEXT(T713,"HH""h""MM'")&amp;"÷"&amp;TEXT(U713,"HH""h""MM'")</f>
        <v/>
      </c>
      <c r="X713" s="214" t="n"/>
      <c r="Y713" s="214" t="n"/>
      <c r="Z713" s="214" t="inlineStr">
        <is>
          <t>07;</t>
        </is>
      </c>
      <c r="AA713" s="215" t="inlineStr">
        <is>
          <t>Công tác hạ lồng thép Cọc khoan nhồi Trụ T2 - Cọc C5</t>
        </is>
      </c>
      <c r="AB713" s="204" t="inlineStr">
        <is>
          <t>09-XL-307HG/PYCNT/CKN/T2/C5-2</t>
        </is>
      </c>
      <c r="AC713" s="204" t="inlineStr">
        <is>
          <t>09-XL-307HG/BBNT/CKN/T2/C5-7</t>
        </is>
      </c>
      <c r="AD713" s="204" t="n"/>
      <c r="AE713" s="204" t="n"/>
      <c r="AF713" s="204" t="n"/>
      <c r="AG713" s="204" t="n"/>
      <c r="AH713" s="204" t="n"/>
      <c r="AI713" s="214" t="n"/>
      <c r="AJ713" s="214" t="n"/>
      <c r="AK713" s="217" t="n"/>
      <c r="AL713" s="214" t="n"/>
      <c r="AM713" s="214" t="n"/>
      <c r="AN713" s="214" t="n"/>
      <c r="AO713" s="214" t="n"/>
      <c r="AP713" s="216" t="n"/>
      <c r="AQ713" s="216" t="n"/>
      <c r="AR713" s="214" t="inlineStr">
        <is>
          <t>Nhóm 1</t>
        </is>
      </c>
      <c r="AS713" s="214" t="n"/>
      <c r="AT713" s="214" t="inlineStr">
        <is>
          <t>HM19</t>
        </is>
      </c>
      <c r="AU713" s="214" t="inlineStr">
        <is>
          <t>NTCV</t>
        </is>
      </c>
      <c r="AV713" s="214" t="n">
        <v>137</v>
      </c>
      <c r="AW713" s="214" t="n">
        <v>6</v>
      </c>
      <c r="AX713" s="214" t="n"/>
    </row>
    <row r="714">
      <c r="A714" s="56" t="inlineStr">
        <is>
          <t>BBK396</t>
        </is>
      </c>
      <c r="B714" s="56" t="inlineStr">
        <is>
          <t>PL07</t>
        </is>
      </c>
      <c r="C714" s="56" t="inlineStr">
        <is>
          <t>BBK396.0468735</t>
        </is>
      </c>
      <c r="D714" s="57" t="n"/>
      <c r="E714" s="57" t="n"/>
      <c r="F714" s="57" t="n"/>
      <c r="G714" s="57" t="n"/>
      <c r="H714" s="57" t="n"/>
      <c r="J714" s="198" t="inlineStr">
        <is>
          <t>19</t>
        </is>
      </c>
      <c r="K714" s="198" t="inlineStr">
        <is>
          <t>PL07</t>
        </is>
      </c>
      <c r="L714" s="199" t="inlineStr">
        <is>
          <t>Nghiệm thu công tác hạ lồng thép</t>
        </is>
      </c>
      <c r="M714" s="199" t="n"/>
      <c r="N714" s="199" t="n"/>
      <c r="O714" s="200" t="inlineStr">
        <is>
          <t>Cầu Km19+529.080</t>
        </is>
      </c>
      <c r="P714" s="201" t="n"/>
      <c r="Q714" s="201" t="n"/>
      <c r="R714" s="201" t="n"/>
      <c r="S714" s="201">
        <f>S713</f>
        <v/>
      </c>
      <c r="T714" s="201" t="n"/>
      <c r="U714" s="201" t="n"/>
      <c r="V714" s="201" t="n"/>
      <c r="W714" s="202" t="n"/>
      <c r="X714" s="202" t="n"/>
      <c r="Y714" s="202" t="n"/>
      <c r="Z714" s="198" t="inlineStr">
        <is>
          <t>07</t>
        </is>
      </c>
      <c r="AA714" s="203" t="n"/>
      <c r="AB714" s="204" t="inlineStr">
        <is>
          <t>09-XL-307HG/PYCNT/CKN/T2/C5-2</t>
        </is>
      </c>
      <c r="AC714" s="204">
        <f>AC713</f>
        <v/>
      </c>
      <c r="AD714" s="204" t="n"/>
      <c r="AE714" s="204" t="n"/>
      <c r="AF714" s="204" t="n"/>
      <c r="AG714" s="204" t="n"/>
      <c r="AH714" s="204" t="n"/>
      <c r="AI714" s="202" t="n"/>
      <c r="AJ714" s="202" t="n"/>
      <c r="AK714" s="206" t="n"/>
      <c r="AL714" s="202" t="n"/>
      <c r="AM714" s="202" t="n"/>
      <c r="AN714" s="202" t="n"/>
      <c r="AO714" s="202" t="n"/>
      <c r="AP714" s="207" t="n"/>
      <c r="AQ714" s="207" t="n"/>
      <c r="AR714" s="202" t="inlineStr">
        <is>
          <t>Nhóm 1</t>
        </is>
      </c>
      <c r="AS714" s="202" t="n"/>
      <c r="AT714" s="202" t="inlineStr">
        <is>
          <t>HM19</t>
        </is>
      </c>
      <c r="AU714" s="202" t="inlineStr">
        <is>
          <t>PL07</t>
        </is>
      </c>
      <c r="AV714" s="202" t="n">
        <v>8</v>
      </c>
      <c r="AW714" s="202" t="n">
        <v>1</v>
      </c>
      <c r="AX714" s="202" t="n"/>
    </row>
    <row r="715" ht="42" customHeight="1" s="672">
      <c r="A715" s="56" t="inlineStr">
        <is>
          <t>NTCV</t>
        </is>
      </c>
      <c r="B715" s="56" t="inlineStr">
        <is>
          <t>K.9999</t>
        </is>
      </c>
      <c r="C715" s="56" t="inlineStr">
        <is>
          <t>NTCV.0868004</t>
        </is>
      </c>
      <c r="D715" s="57" t="n"/>
      <c r="E715" s="57" t="n"/>
      <c r="F715" s="57" t="n"/>
      <c r="G715" s="57" t="n"/>
      <c r="H715" s="57" t="n"/>
      <c r="J715" s="209" t="inlineStr">
        <is>
          <t>20</t>
        </is>
      </c>
      <c r="K715" s="209" t="inlineStr">
        <is>
          <t>K.9999</t>
        </is>
      </c>
      <c r="L715" s="210" t="inlineStr">
        <is>
          <t xml:space="preserve">Kiểm tra công tác vệ sinh lỗ khoan cọc khoan nhồi trước khi đổ bê tông </t>
        </is>
      </c>
      <c r="M715" s="210" t="n"/>
      <c r="N715" s="210" t="n"/>
      <c r="O715" s="211" t="inlineStr">
        <is>
          <t>Cầu Km19+529.080</t>
        </is>
      </c>
      <c r="P715" s="212">
        <f>S713</f>
        <v/>
      </c>
      <c r="Q715" s="212">
        <f>P715</f>
        <v/>
      </c>
      <c r="R715" s="212">
        <f>Q715-1</f>
        <v/>
      </c>
      <c r="S715" s="212">
        <f>Q715</f>
        <v/>
      </c>
      <c r="T715" s="213">
        <f>U713</f>
        <v/>
      </c>
      <c r="U715" s="213">
        <f>T715+V715</f>
        <v/>
      </c>
      <c r="V715" s="213" t="n">
        <v>0.02083333333333333</v>
      </c>
      <c r="W715" s="214">
        <f>TEXT(T715,"HH""h""MM'")&amp;"÷"&amp;TEXT(U715,"HH""h""MM'")</f>
        <v/>
      </c>
      <c r="X715" s="214" t="n"/>
      <c r="Y715" s="214" t="n"/>
      <c r="Z715" s="214" t="inlineStr">
        <is>
          <t>08;</t>
        </is>
      </c>
      <c r="AA715" s="215" t="inlineStr">
        <is>
          <t>Kiểm tra công tác vệ sinh lỗ khoan cọc khoan nhồi trước khi đổ bê tông Cọc khoan nhồi Trụ T2 - Cọc C5</t>
        </is>
      </c>
      <c r="AB715" s="204" t="inlineStr">
        <is>
          <t>09-XL-307HG/PYCNT/CKN/T2/C5-2</t>
        </is>
      </c>
      <c r="AC715" s="204" t="inlineStr">
        <is>
          <t>09-XL-307HG/BBNT/CKN/T2/C5-8</t>
        </is>
      </c>
      <c r="AD715" s="204" t="n"/>
      <c r="AE715" s="204" t="n"/>
      <c r="AF715" s="204" t="n"/>
      <c r="AG715" s="204" t="n"/>
      <c r="AH715" s="204" t="n"/>
      <c r="AI715" s="214" t="n"/>
      <c r="AJ715" s="214" t="n"/>
      <c r="AK715" s="217" t="n"/>
      <c r="AL715" s="214" t="n"/>
      <c r="AM715" s="214" t="n"/>
      <c r="AN715" s="214" t="n"/>
      <c r="AO715" s="214" t="n"/>
      <c r="AP715" s="216" t="n"/>
      <c r="AQ715" s="216" t="n"/>
      <c r="AR715" s="214" t="inlineStr">
        <is>
          <t>Nhóm 1</t>
        </is>
      </c>
      <c r="AS715" s="214" t="n"/>
      <c r="AT715" s="214" t="inlineStr">
        <is>
          <t>HM19</t>
        </is>
      </c>
      <c r="AU715" s="214" t="inlineStr">
        <is>
          <t>NTCV</t>
        </is>
      </c>
      <c r="AV715" s="214" t="n">
        <v>140</v>
      </c>
      <c r="AW715" s="214" t="n">
        <v>7</v>
      </c>
      <c r="AX715" s="214" t="n"/>
    </row>
    <row r="716" ht="28" customHeight="1" s="672">
      <c r="A716" s="56" t="inlineStr">
        <is>
          <t>BBK521</t>
        </is>
      </c>
      <c r="B716" s="56" t="inlineStr">
        <is>
          <t>PL08</t>
        </is>
      </c>
      <c r="C716" s="56" t="inlineStr">
        <is>
          <t>BBK521.0828341</t>
        </is>
      </c>
      <c r="D716" s="57" t="n"/>
      <c r="E716" s="57" t="n"/>
      <c r="F716" s="57" t="n"/>
      <c r="G716" s="57" t="n"/>
      <c r="H716" s="57" t="n"/>
      <c r="J716" s="198" t="inlineStr">
        <is>
          <t>21</t>
        </is>
      </c>
      <c r="K716" s="198" t="inlineStr">
        <is>
          <t>PL08</t>
        </is>
      </c>
      <c r="L716" s="199" t="inlineStr">
        <is>
          <t>Kiểm tra công tác vệ sinh lỗ khoan cọc khoan nhồi trước khi đổ bê tông</t>
        </is>
      </c>
      <c r="M716" s="199" t="n"/>
      <c r="N716" s="199" t="n"/>
      <c r="O716" s="200" t="inlineStr">
        <is>
          <t>Cầu Km19+529.080</t>
        </is>
      </c>
      <c r="P716" s="201" t="n"/>
      <c r="Q716" s="201" t="n"/>
      <c r="R716" s="201" t="n"/>
      <c r="S716" s="201">
        <f>S715</f>
        <v/>
      </c>
      <c r="T716" s="201" t="n"/>
      <c r="U716" s="201" t="n"/>
      <c r="V716" s="201" t="n"/>
      <c r="W716" s="202" t="n"/>
      <c r="X716" s="202" t="n"/>
      <c r="Y716" s="202" t="n"/>
      <c r="Z716" s="198" t="inlineStr">
        <is>
          <t>08</t>
        </is>
      </c>
      <c r="AA716" s="203" t="n"/>
      <c r="AB716" s="204" t="inlineStr">
        <is>
          <t>09-XL-307HG/PYCNT/CKN/T2/C5-2</t>
        </is>
      </c>
      <c r="AC716" s="204">
        <f>AC715</f>
        <v/>
      </c>
      <c r="AD716" s="204" t="n"/>
      <c r="AE716" s="204" t="n"/>
      <c r="AF716" s="204" t="n"/>
      <c r="AG716" s="204" t="n"/>
      <c r="AH716" s="204" t="n"/>
      <c r="AI716" s="202" t="n"/>
      <c r="AJ716" s="202" t="n"/>
      <c r="AK716" s="206" t="n"/>
      <c r="AL716" s="202" t="n"/>
      <c r="AM716" s="202" t="n"/>
      <c r="AN716" s="202" t="n"/>
      <c r="AO716" s="202" t="n"/>
      <c r="AP716" s="207" t="n"/>
      <c r="AQ716" s="207" t="n"/>
      <c r="AR716" s="202" t="inlineStr">
        <is>
          <t>Nhóm 1</t>
        </is>
      </c>
      <c r="AS716" s="202" t="n"/>
      <c r="AT716" s="202" t="inlineStr">
        <is>
          <t>HM19</t>
        </is>
      </c>
      <c r="AU716" s="202" t="inlineStr">
        <is>
          <t>PL08</t>
        </is>
      </c>
      <c r="AV716" s="202" t="n">
        <v>8</v>
      </c>
      <c r="AW716" s="202" t="n">
        <v>1</v>
      </c>
      <c r="AX716" s="202" t="n"/>
    </row>
    <row r="717" ht="28" customHeight="1" s="672">
      <c r="A717" s="56" t="inlineStr">
        <is>
          <t>NTCV</t>
        </is>
      </c>
      <c r="B717" s="56" t="inlineStr">
        <is>
          <t>K.9999</t>
        </is>
      </c>
      <c r="C717" s="56" t="inlineStr">
        <is>
          <t>NTCV.0410402</t>
        </is>
      </c>
      <c r="D717" s="57" t="n"/>
      <c r="E717" s="57" t="n"/>
      <c r="F717" s="57" t="n"/>
      <c r="G717" s="57" t="n"/>
      <c r="H717" s="57" t="n"/>
      <c r="J717" s="209" t="inlineStr">
        <is>
          <t>22</t>
        </is>
      </c>
      <c r="K717" s="209" t="inlineStr">
        <is>
          <t>K.9999</t>
        </is>
      </c>
      <c r="L717" s="210" t="inlineStr">
        <is>
          <t xml:space="preserve">Kiểm tra công tác chuẩn bị đổ bê tông cọc khoan nhồi </t>
        </is>
      </c>
      <c r="M717" s="210" t="n"/>
      <c r="N717" s="210" t="n"/>
      <c r="O717" s="211" t="inlineStr">
        <is>
          <t>Cầu Km19+529.080</t>
        </is>
      </c>
      <c r="P717" s="212">
        <f>S715</f>
        <v/>
      </c>
      <c r="Q717" s="212">
        <f>P717</f>
        <v/>
      </c>
      <c r="R717" s="212">
        <f>Q717-1</f>
        <v/>
      </c>
      <c r="S717" s="212">
        <f>Q717</f>
        <v/>
      </c>
      <c r="T717" s="213">
        <f>U715</f>
        <v/>
      </c>
      <c r="U717" s="213">
        <f>T717+V717</f>
        <v/>
      </c>
      <c r="V717" s="213" t="n">
        <v>0.02083333333333333</v>
      </c>
      <c r="W717" s="214">
        <f>TEXT(T717,"HH""h""MM'")&amp;"÷"&amp;TEXT(U717,"HH""h""MM'")</f>
        <v/>
      </c>
      <c r="X717" s="214" t="n"/>
      <c r="Y717" s="214" t="n"/>
      <c r="Z717" s="214" t="inlineStr">
        <is>
          <t>09;</t>
        </is>
      </c>
      <c r="AA717" s="215" t="inlineStr">
        <is>
          <t>Kiểm tra công tác chuẩn bị đổ bê tông Cọc khoan nhồi Trụ T2 - Cọc C5</t>
        </is>
      </c>
      <c r="AB717" s="204" t="inlineStr">
        <is>
          <t>09-XL-307HG/PYCNT/CKN/T2/C5-2</t>
        </is>
      </c>
      <c r="AC717" s="204" t="inlineStr">
        <is>
          <t>09-XL-307HG/BBNT/CKN/T2/C5-9</t>
        </is>
      </c>
      <c r="AD717" s="204" t="n"/>
      <c r="AE717" s="204" t="n"/>
      <c r="AF717" s="204" t="n"/>
      <c r="AG717" s="204" t="n"/>
      <c r="AH717" s="204" t="n"/>
      <c r="AI717" s="214" t="n"/>
      <c r="AJ717" s="214" t="n"/>
      <c r="AK717" s="217" t="n"/>
      <c r="AL717" s="214" t="n"/>
      <c r="AM717" s="214" t="n"/>
      <c r="AN717" s="214" t="n"/>
      <c r="AO717" s="214" t="n"/>
      <c r="AP717" s="216" t="n"/>
      <c r="AQ717" s="216" t="n"/>
      <c r="AR717" s="214" t="inlineStr">
        <is>
          <t>Nhóm 1</t>
        </is>
      </c>
      <c r="AS717" s="214" t="n"/>
      <c r="AT717" s="214" t="inlineStr">
        <is>
          <t>HM19</t>
        </is>
      </c>
      <c r="AU717" s="214" t="inlineStr">
        <is>
          <t>NTCV</t>
        </is>
      </c>
      <c r="AV717" s="214" t="n">
        <v>141</v>
      </c>
      <c r="AW717" s="214" t="n">
        <v>8</v>
      </c>
      <c r="AX717" s="214" t="n"/>
    </row>
    <row r="718">
      <c r="A718" s="56" t="inlineStr">
        <is>
          <t>BBK209</t>
        </is>
      </c>
      <c r="B718" s="56" t="inlineStr">
        <is>
          <t>PL09</t>
        </is>
      </c>
      <c r="C718" s="56" t="inlineStr">
        <is>
          <t>BBK209.0462500</t>
        </is>
      </c>
      <c r="D718" s="57" t="n"/>
      <c r="E718" s="57" t="n"/>
      <c r="F718" s="57" t="n"/>
      <c r="G718" s="57" t="n"/>
      <c r="H718" s="57" t="n"/>
      <c r="J718" s="198" t="inlineStr">
        <is>
          <t>23</t>
        </is>
      </c>
      <c r="K718" s="198" t="inlineStr">
        <is>
          <t>PL09</t>
        </is>
      </c>
      <c r="L718" s="199" t="inlineStr">
        <is>
          <t>Kiểm tra công tác chuẩn bị đổ bê tông cọc khoan nhồi</t>
        </is>
      </c>
      <c r="M718" s="199" t="n"/>
      <c r="N718" s="199" t="n"/>
      <c r="O718" s="200" t="inlineStr">
        <is>
          <t>Cầu Km19+529.080</t>
        </is>
      </c>
      <c r="P718" s="201" t="n"/>
      <c r="Q718" s="201" t="n"/>
      <c r="R718" s="201" t="n"/>
      <c r="S718" s="201">
        <f>S717</f>
        <v/>
      </c>
      <c r="T718" s="201" t="n"/>
      <c r="U718" s="201" t="n"/>
      <c r="V718" s="201" t="n"/>
      <c r="W718" s="202" t="n"/>
      <c r="X718" s="202" t="n"/>
      <c r="Y718" s="202" t="n"/>
      <c r="Z718" s="198" t="inlineStr">
        <is>
          <t>09</t>
        </is>
      </c>
      <c r="AA718" s="203" t="n"/>
      <c r="AB718" s="204" t="inlineStr">
        <is>
          <t>09-XL-307HG/PYCNT/CKN/T2/C5-2</t>
        </is>
      </c>
      <c r="AC718" s="204">
        <f>AC717</f>
        <v/>
      </c>
      <c r="AD718" s="204" t="n"/>
      <c r="AE718" s="204" t="n"/>
      <c r="AF718" s="204" t="n"/>
      <c r="AG718" s="204" t="n"/>
      <c r="AH718" s="204" t="inlineStr">
        <is>
          <t>C30(1)</t>
        </is>
      </c>
      <c r="AI718" s="202" t="n"/>
      <c r="AJ718" s="202" t="n"/>
      <c r="AK718" s="206" t="n"/>
      <c r="AL718" s="202" t="n"/>
      <c r="AM718" s="202" t="n"/>
      <c r="AN718" s="202" t="n"/>
      <c r="AO718" s="202" t="n"/>
      <c r="AP718" s="207" t="n"/>
      <c r="AQ718" s="207" t="n"/>
      <c r="AR718" s="202" t="inlineStr">
        <is>
          <t>Nhóm 1</t>
        </is>
      </c>
      <c r="AS718" s="202" t="n"/>
      <c r="AT718" s="202" t="inlineStr">
        <is>
          <t>HM19</t>
        </is>
      </c>
      <c r="AU718" s="202" t="inlineStr">
        <is>
          <t>PL09</t>
        </is>
      </c>
      <c r="AV718" s="202" t="n">
        <v>8</v>
      </c>
      <c r="AW718" s="202" t="n">
        <v>1</v>
      </c>
      <c r="AX718" s="202" t="n"/>
    </row>
    <row r="719" ht="28" customHeight="1" s="672">
      <c r="A719" s="56" t="inlineStr">
        <is>
          <t>NTCV</t>
        </is>
      </c>
      <c r="B719" s="56" t="inlineStr">
        <is>
          <t>K.9999</t>
        </is>
      </c>
      <c r="C719" s="56" t="inlineStr">
        <is>
          <t>NTCV.0348869</t>
        </is>
      </c>
      <c r="D719" s="57" t="n"/>
      <c r="E719" s="57" t="n"/>
      <c r="F719" s="57" t="n"/>
      <c r="G719" s="57" t="n"/>
      <c r="H719" s="57" t="n"/>
      <c r="J719" s="209" t="inlineStr">
        <is>
          <t>24</t>
        </is>
      </c>
      <c r="K719" s="209" t="inlineStr">
        <is>
          <t>K.9999</t>
        </is>
      </c>
      <c r="L719" s="210" t="inlineStr">
        <is>
          <t>Theo dõi quá trình đổ bê tông cọc khoan nhồi</t>
        </is>
      </c>
      <c r="M719" s="210" t="n"/>
      <c r="N719" s="210" t="n"/>
      <c r="O719" s="211" t="inlineStr">
        <is>
          <t>Cầu Km19+529.080</t>
        </is>
      </c>
      <c r="P719" s="212">
        <f>S717</f>
        <v/>
      </c>
      <c r="Q719" s="212">
        <f>P719</f>
        <v/>
      </c>
      <c r="R719" s="212">
        <f>Q719-1</f>
        <v/>
      </c>
      <c r="S719" s="212">
        <f>Q719</f>
        <v/>
      </c>
      <c r="T719" s="213">
        <f>U717</f>
        <v/>
      </c>
      <c r="U719" s="213">
        <f>T719+V719</f>
        <v/>
      </c>
      <c r="V719" s="213" t="n">
        <v>0.1458333333333333</v>
      </c>
      <c r="W719" s="214">
        <f>TEXT(T719,"HH""h""MM'")&amp;"÷"&amp;TEXT(U719,"HH""h""MM'")</f>
        <v/>
      </c>
      <c r="X719" s="214" t="n"/>
      <c r="Y719" s="214" t="n"/>
      <c r="Z719" s="214" t="inlineStr">
        <is>
          <t>10;</t>
        </is>
      </c>
      <c r="AA719" s="215" t="inlineStr">
        <is>
          <t>Theo dõi quá trình đổ bê tông  Cọc khoan nhồi Trụ T2 - Cọc C5</t>
        </is>
      </c>
      <c r="AB719" s="204" t="inlineStr">
        <is>
          <t>09-XL-307HG/PYCNT/CKN/T2/C5-2</t>
        </is>
      </c>
      <c r="AC719" s="204" t="inlineStr">
        <is>
          <t>09-XL-307HG/BBNT/CKN/T2/C5-10</t>
        </is>
      </c>
      <c r="AD719" s="204" t="n"/>
      <c r="AE719" s="204" t="n"/>
      <c r="AF719" s="204" t="n"/>
      <c r="AG719" s="204" t="n"/>
      <c r="AH719" s="204" t="n"/>
      <c r="AI719" s="214" t="n"/>
      <c r="AJ719" s="214" t="n"/>
      <c r="AK719" s="217" t="n"/>
      <c r="AL719" s="214" t="n"/>
      <c r="AM719" s="214" t="n"/>
      <c r="AN719" s="214" t="n"/>
      <c r="AO719" s="214" t="n"/>
      <c r="AP719" s="216" t="n"/>
      <c r="AQ719" s="216" t="n"/>
      <c r="AR719" s="214" t="inlineStr">
        <is>
          <t>Nhóm 1</t>
        </is>
      </c>
      <c r="AS719" s="214" t="n"/>
      <c r="AT719" s="214" t="inlineStr">
        <is>
          <t>HM19</t>
        </is>
      </c>
      <c r="AU719" s="214" t="inlineStr">
        <is>
          <t>NTCV</t>
        </is>
      </c>
      <c r="AV719" s="214" t="n">
        <v>142</v>
      </c>
      <c r="AW719" s="214" t="n">
        <v>9</v>
      </c>
      <c r="AX719" s="214" t="n"/>
    </row>
    <row r="720" ht="210" customHeight="1" s="672">
      <c r="A720" s="56" t="inlineStr">
        <is>
          <t>LMHT</t>
        </is>
      </c>
      <c r="B720" s="56" t="inlineStr">
        <is>
          <t>LMHT</t>
        </is>
      </c>
      <c r="C720" s="56" t="inlineStr">
        <is>
          <t>LMHT.0249270</t>
        </is>
      </c>
      <c r="D720" s="57" t="inlineStr">
        <is>
          <t>TC.000041|TC.000182|TC.000169.A</t>
        </is>
      </c>
      <c r="E720" s="57" t="n"/>
      <c r="F720" s="57" t="inlineStr">
        <is>
          <t>CP.0001^Cọc khoan nhồi Trụ T2 - Cọc C5^Hình trụ 15x30 (cm)^12^30 Mpa, 18±2^^^TC.000041|TC.000182|TC.000169.A</t>
        </is>
      </c>
      <c r="G720" s="57" t="n"/>
      <c r="H720" s="57" t="inlineStr">
        <is>
          <t>^^A|C|J|O|S|X|Z^Stt|Hạng mục|Cấp bê tông|Kích thước mẫu|Số lượng mẫu|Ghi chú^|||||</t>
        </is>
      </c>
      <c r="J720" s="256" t="inlineStr">
        <is>
          <t>25</t>
        </is>
      </c>
      <c r="K720" s="256" t="inlineStr">
        <is>
          <t>LMHT</t>
        </is>
      </c>
      <c r="L720" s="257" t="inlineStr">
        <is>
          <t>Lấy mẫu bê tông Cọc khoan nhồi, 30(1) Mpa Trụ T2 - Cọc C5</t>
        </is>
      </c>
      <c r="M720" s="257" t="n"/>
      <c r="N720" s="257" t="n"/>
      <c r="O720" s="258" t="inlineStr">
        <is>
          <t>Cầu Km19+529.080</t>
        </is>
      </c>
      <c r="P720" s="259" t="n"/>
      <c r="Q720" s="259" t="n"/>
      <c r="R720" s="259" t="n"/>
      <c r="S720" s="259">
        <f>S719</f>
        <v/>
      </c>
      <c r="T720" s="260">
        <f>T719</f>
        <v/>
      </c>
      <c r="U720" s="260">
        <f>U719</f>
        <v/>
      </c>
      <c r="V720" s="260">
        <f>V719</f>
        <v/>
      </c>
      <c r="W720" s="261">
        <f>TEXT(T720,"HH""h""MM'")&amp;"÷"&amp;TEXT(U720,"HH""h""MM'")</f>
        <v/>
      </c>
      <c r="X720" s="262" t="n"/>
      <c r="Y720" s="262" t="n"/>
      <c r="Z720" s="262" t="n"/>
      <c r="AA720" s="262" t="n"/>
      <c r="AB720" s="263" t="inlineStr">
        <is>
          <t>09-XL-307HG/PYCNT/CKN/T2/C5-2</t>
        </is>
      </c>
      <c r="AC720" s="263" t="inlineStr"/>
      <c r="AD720" s="264" t="n"/>
      <c r="AE720" s="264" t="n"/>
      <c r="AF720" s="264" t="n"/>
      <c r="AG720" s="264" t="n"/>
      <c r="AH720" s="264" t="n"/>
      <c r="AI720" s="257" t="n"/>
      <c r="AJ720" s="262" t="n"/>
      <c r="AK720" s="258" t="n"/>
      <c r="AL720" s="262" t="n"/>
      <c r="AM720" s="262" t="n"/>
      <c r="AN720" s="262" t="n"/>
      <c r="AO720" s="262" t="n"/>
      <c r="AP720" s="263" t="inlineStr">
        <is>
          <t>Bảng lấy mẫu CKN</t>
        </is>
      </c>
      <c r="AQ720" s="263" t="n"/>
      <c r="AR720" s="262" t="inlineStr">
        <is>
          <t>Nhóm 1</t>
        </is>
      </c>
      <c r="AS720" s="262" t="n"/>
      <c r="AT720" s="262" t="inlineStr">
        <is>
          <t>HM19</t>
        </is>
      </c>
      <c r="AU720" s="262" t="inlineStr">
        <is>
          <t>LMHT</t>
        </is>
      </c>
      <c r="AV720" s="262" t="n">
        <v>11</v>
      </c>
      <c r="AW720" s="262" t="n">
        <v>1</v>
      </c>
      <c r="AX720" s="262" t="inlineStr">
        <is>
          <t>Cọc T2-C5 [BT dòng 11]: chưa đến ngưỡng phát sinh lượt mẫu xi măng/cát/đá; mẫu bê tông cấu kiện vẫn theo F720.</t>
        </is>
      </c>
    </row>
    <row r="721">
      <c r="A721" s="56" t="inlineStr">
        <is>
          <t>BBK994</t>
        </is>
      </c>
      <c r="B721" s="56" t="inlineStr">
        <is>
          <t>PL10</t>
        </is>
      </c>
      <c r="C721" s="56" t="inlineStr">
        <is>
          <t>BBK994.0807041</t>
        </is>
      </c>
      <c r="D721" s="57" t="n"/>
      <c r="E721" s="57" t="n"/>
      <c r="F721" s="57" t="n"/>
      <c r="G721" s="57" t="n"/>
      <c r="H721" s="57" t="n"/>
      <c r="J721" s="198" t="inlineStr">
        <is>
          <t>26</t>
        </is>
      </c>
      <c r="K721" s="198" t="inlineStr">
        <is>
          <t>PL10</t>
        </is>
      </c>
      <c r="L721" s="199" t="inlineStr">
        <is>
          <t>Theo dõi quá trình đổ bê tông cọc khoan nhồi</t>
        </is>
      </c>
      <c r="M721" s="199" t="n"/>
      <c r="N721" s="199" t="n"/>
      <c r="O721" s="200" t="inlineStr">
        <is>
          <t>Cầu Km19+529.080</t>
        </is>
      </c>
      <c r="P721" s="201" t="n"/>
      <c r="Q721" s="201" t="n"/>
      <c r="R721" s="201" t="n"/>
      <c r="S721" s="201">
        <f>S719</f>
        <v/>
      </c>
      <c r="T721" s="201" t="n"/>
      <c r="U721" s="201" t="n"/>
      <c r="V721" s="201" t="n"/>
      <c r="W721" s="202" t="n"/>
      <c r="X721" s="202" t="n"/>
      <c r="Y721" s="202" t="n"/>
      <c r="Z721" s="198" t="inlineStr">
        <is>
          <t>10</t>
        </is>
      </c>
      <c r="AA721" s="203" t="n"/>
      <c r="AB721" s="204" t="inlineStr">
        <is>
          <t>09-XL-307HG/PYCNT/CKN/T2/C5-2</t>
        </is>
      </c>
      <c r="AC721" s="204">
        <f>AC719</f>
        <v/>
      </c>
      <c r="AD721" s="204" t="n"/>
      <c r="AE721" s="204" t="n"/>
      <c r="AF721" s="204" t="n"/>
      <c r="AG721" s="204" t="n"/>
      <c r="AH721" s="204" t="inlineStr">
        <is>
          <t>T2-C5</t>
        </is>
      </c>
      <c r="AI721" s="202" t="n"/>
      <c r="AJ721" s="202" t="n"/>
      <c r="AK721" s="206" t="n"/>
      <c r="AL721" s="202" t="n"/>
      <c r="AM721" s="202" t="n"/>
      <c r="AN721" s="202" t="n"/>
      <c r="AO721" s="202" t="n"/>
      <c r="AP721" s="207" t="n"/>
      <c r="AQ721" s="207" t="n"/>
      <c r="AR721" s="202" t="inlineStr">
        <is>
          <t>Nhóm 1</t>
        </is>
      </c>
      <c r="AS721" s="202" t="n"/>
      <c r="AT721" s="202" t="inlineStr">
        <is>
          <t>HM19</t>
        </is>
      </c>
      <c r="AU721" s="202" t="inlineStr">
        <is>
          <t>PL10</t>
        </is>
      </c>
      <c r="AV721" s="202" t="n">
        <v>8</v>
      </c>
      <c r="AW721" s="202" t="n">
        <v>1</v>
      </c>
      <c r="AX721" s="202" t="n"/>
    </row>
    <row r="722" ht="28" customHeight="1" s="672">
      <c r="A722" s="56" t="inlineStr">
        <is>
          <t>NTCV</t>
        </is>
      </c>
      <c r="B722" s="56" t="inlineStr">
        <is>
          <t>K.9999</t>
        </is>
      </c>
      <c r="C722" s="56" t="inlineStr">
        <is>
          <t>NTCV.0544311</t>
        </is>
      </c>
      <c r="D722" s="57" t="n"/>
      <c r="E722" s="57" t="n"/>
      <c r="F722" s="57" t="n"/>
      <c r="G722" s="57" t="n"/>
      <c r="H722" s="57" t="n"/>
      <c r="J722" s="209" t="inlineStr">
        <is>
          <t>27</t>
        </is>
      </c>
      <c r="K722" s="209" t="inlineStr">
        <is>
          <t>K.9999</t>
        </is>
      </c>
      <c r="L722" s="210" t="inlineStr">
        <is>
          <t xml:space="preserve"> Rút ống vách thi công cọc khoan nhồi</t>
        </is>
      </c>
      <c r="M722" s="210" t="n"/>
      <c r="N722" s="210" t="n"/>
      <c r="O722" s="211" t="inlineStr">
        <is>
          <t>Cầu Km19+529.080</t>
        </is>
      </c>
      <c r="P722" s="212">
        <f>S719</f>
        <v/>
      </c>
      <c r="Q722" s="212">
        <f>P722</f>
        <v/>
      </c>
      <c r="R722" s="212">
        <f>Q722-1</f>
        <v/>
      </c>
      <c r="S722" s="212">
        <f>Q722</f>
        <v/>
      </c>
      <c r="T722" s="213">
        <f>U719</f>
        <v/>
      </c>
      <c r="U722" s="213">
        <f>T722+V722</f>
        <v/>
      </c>
      <c r="V722" s="213" t="n">
        <v>0.01041666666666667</v>
      </c>
      <c r="W722" s="214">
        <f>TEXT(T722,"HH""h""MM'")&amp;"÷"&amp;TEXT(U722,"HH""h""MM'")</f>
        <v/>
      </c>
      <c r="X722" s="214" t="n"/>
      <c r="Y722" s="214" t="n"/>
      <c r="Z722" s="214" t="inlineStr">
        <is>
          <t>11;</t>
        </is>
      </c>
      <c r="AA722" s="215" t="inlineStr">
        <is>
          <t>Rút ống vách  Cọc khoan nhồi Trụ T2 - Cọc C5</t>
        </is>
      </c>
      <c r="AB722" s="204" t="inlineStr">
        <is>
          <t>09-XL-307HG/PYCNT/CKN/T2/C5-2</t>
        </is>
      </c>
      <c r="AC722" s="204" t="inlineStr">
        <is>
          <t>09-XL-307HG/BBNT/CKN/T2/C5-11</t>
        </is>
      </c>
      <c r="AD722" s="204" t="n"/>
      <c r="AE722" s="204" t="n"/>
      <c r="AF722" s="204" t="n"/>
      <c r="AG722" s="204" t="n"/>
      <c r="AH722" s="204" t="n"/>
      <c r="AI722" s="214" t="n"/>
      <c r="AJ722" s="214" t="n"/>
      <c r="AK722" s="217" t="n"/>
      <c r="AL722" s="214" t="n"/>
      <c r="AM722" s="214" t="n"/>
      <c r="AN722" s="214" t="n"/>
      <c r="AO722" s="214" t="n"/>
      <c r="AP722" s="216" t="n"/>
      <c r="AQ722" s="216" t="n"/>
      <c r="AR722" s="214" t="inlineStr">
        <is>
          <t>Nhóm 1</t>
        </is>
      </c>
      <c r="AS722" s="214" t="n"/>
      <c r="AT722" s="214" t="inlineStr">
        <is>
          <t>HM19</t>
        </is>
      </c>
      <c r="AU722" s="214" t="inlineStr">
        <is>
          <t>NTCV</t>
        </is>
      </c>
      <c r="AV722" s="214" t="n">
        <v>143</v>
      </c>
      <c r="AW722" s="214" t="n">
        <v>10</v>
      </c>
      <c r="AX722" s="214" t="n"/>
    </row>
    <row r="723">
      <c r="A723" s="56" t="inlineStr">
        <is>
          <t>BBK544</t>
        </is>
      </c>
      <c r="B723" s="56" t="inlineStr">
        <is>
          <t>PL11</t>
        </is>
      </c>
      <c r="C723" s="56" t="inlineStr">
        <is>
          <t>BBK544.0538250</t>
        </is>
      </c>
      <c r="D723" s="57" t="n"/>
      <c r="E723" s="57" t="n"/>
      <c r="F723" s="57" t="n"/>
      <c r="G723" s="57" t="n"/>
      <c r="H723" s="57" t="n"/>
      <c r="J723" s="198" t="inlineStr">
        <is>
          <t>28</t>
        </is>
      </c>
      <c r="K723" s="198" t="inlineStr">
        <is>
          <t>PL11</t>
        </is>
      </c>
      <c r="L723" s="199" t="inlineStr">
        <is>
          <t>Rút ống vách thi công cọc khoan nhồi</t>
        </is>
      </c>
      <c r="M723" s="199" t="n"/>
      <c r="N723" s="199" t="n"/>
      <c r="O723" s="200" t="inlineStr">
        <is>
          <t>Cầu Km19+529.080</t>
        </is>
      </c>
      <c r="P723" s="201" t="n"/>
      <c r="Q723" s="201" t="n"/>
      <c r="R723" s="201" t="n"/>
      <c r="S723" s="201">
        <f>S722</f>
        <v/>
      </c>
      <c r="T723" s="201" t="n"/>
      <c r="U723" s="201" t="n"/>
      <c r="V723" s="201" t="n"/>
      <c r="W723" s="202" t="n"/>
      <c r="X723" s="202" t="n"/>
      <c r="Y723" s="202" t="n"/>
      <c r="Z723" s="198" t="inlineStr">
        <is>
          <t>11</t>
        </is>
      </c>
      <c r="AA723" s="203" t="n"/>
      <c r="AB723" s="204" t="inlineStr">
        <is>
          <t>09-XL-307HG/PYCNT/CKN/T2/C5-2</t>
        </is>
      </c>
      <c r="AC723" s="204">
        <f>AC722</f>
        <v/>
      </c>
      <c r="AD723" s="204" t="n"/>
      <c r="AE723" s="204" t="n"/>
      <c r="AF723" s="204" t="n"/>
      <c r="AG723" s="204" t="n"/>
      <c r="AH723" s="204" t="inlineStr">
        <is>
          <t>&gt;=482;&lt;=513</t>
        </is>
      </c>
      <c r="AI723" s="202" t="n"/>
      <c r="AJ723" s="202" t="n"/>
      <c r="AK723" s="206" t="n"/>
      <c r="AL723" s="202" t="n"/>
      <c r="AM723" s="202" t="n"/>
      <c r="AN723" s="202" t="n"/>
      <c r="AO723" s="202" t="n"/>
      <c r="AP723" s="207" t="n"/>
      <c r="AQ723" s="207" t="n"/>
      <c r="AR723" s="202" t="inlineStr">
        <is>
          <t>Nhóm 1</t>
        </is>
      </c>
      <c r="AS723" s="202" t="n"/>
      <c r="AT723" s="202" t="inlineStr">
        <is>
          <t>HM19</t>
        </is>
      </c>
      <c r="AU723" s="202" t="inlineStr">
        <is>
          <t>PL11</t>
        </is>
      </c>
      <c r="AV723" s="202" t="n">
        <v>8</v>
      </c>
      <c r="AW723" s="202" t="n">
        <v>1</v>
      </c>
      <c r="AX723" s="202" t="n"/>
    </row>
    <row r="724">
      <c r="A724" s="56" t="inlineStr">
        <is>
          <t>BBK680</t>
        </is>
      </c>
      <c r="B724" s="56" t="inlineStr">
        <is>
          <t>PYC</t>
        </is>
      </c>
      <c r="C724" s="56" t="inlineStr">
        <is>
          <t>BBK680.0626684</t>
        </is>
      </c>
      <c r="D724" s="57" t="n"/>
      <c r="E724" s="57" t="n"/>
      <c r="F724" s="57" t="n"/>
      <c r="G724" s="57" t="n"/>
      <c r="H724" s="57" t="n"/>
      <c r="J724" s="198" t="inlineStr">
        <is>
          <t>29</t>
        </is>
      </c>
      <c r="K724" s="198" t="inlineStr">
        <is>
          <t>PYC</t>
        </is>
      </c>
      <c r="L724" s="199" t="inlineStr">
        <is>
          <t>Phiếu yêu cầu nghiệm thu</t>
        </is>
      </c>
      <c r="M724" s="199" t="n"/>
      <c r="N724" s="199" t="n"/>
      <c r="O724" s="200" t="inlineStr">
        <is>
          <t>Cầu Km19+529.080</t>
        </is>
      </c>
      <c r="P724" s="201" t="n"/>
      <c r="Q724" s="201" t="n"/>
      <c r="R724" s="201">
        <f>R725</f>
        <v/>
      </c>
      <c r="S724" s="201" t="n"/>
      <c r="T724" s="201" t="n"/>
      <c r="U724" s="201" t="n"/>
      <c r="V724" s="201" t="n"/>
      <c r="W724" s="202" t="n"/>
      <c r="X724" s="202" t="n"/>
      <c r="Y724" s="202" t="n"/>
      <c r="Z724" s="202" t="n"/>
      <c r="AA724" s="203" t="n"/>
      <c r="AB724" s="204" t="inlineStr">
        <is>
          <t>09-XL-307HG/PYCNT/CKN/T2/C5</t>
        </is>
      </c>
      <c r="AC724" s="205" t="inlineStr"/>
      <c r="AD724" s="205" t="n"/>
      <c r="AE724" s="205" t="n"/>
      <c r="AF724" s="205" t="n"/>
      <c r="AG724" s="205" t="inlineStr">
        <is>
          <t>NTCV;BBKTĐK</t>
        </is>
      </c>
      <c r="AH724" s="204" t="n">
        <v>11</v>
      </c>
      <c r="AI724" s="202" t="n"/>
      <c r="AJ724" s="202" t="n"/>
      <c r="AK724" s="206" t="n"/>
      <c r="AL724" s="202" t="n"/>
      <c r="AM724" s="202" t="n"/>
      <c r="AN724" s="202" t="n"/>
      <c r="AO724" s="202" t="n"/>
      <c r="AP724" s="207" t="n"/>
      <c r="AQ724" s="207" t="n"/>
      <c r="AR724" s="202" t="inlineStr">
        <is>
          <t>Nhóm 1</t>
        </is>
      </c>
      <c r="AS724" s="202" t="n"/>
      <c r="AT724" s="202" t="inlineStr">
        <is>
          <t>HM19</t>
        </is>
      </c>
      <c r="AU724" s="202" t="inlineStr">
        <is>
          <t>PYC</t>
        </is>
      </c>
      <c r="AV724" s="202" t="n">
        <v>203</v>
      </c>
      <c r="AW724" s="202" t="n">
        <v>3</v>
      </c>
      <c r="AX724" s="202" t="n"/>
    </row>
    <row r="725" ht="28" customHeight="1" s="672">
      <c r="A725" s="56" t="inlineStr">
        <is>
          <t>NTCV</t>
        </is>
      </c>
      <c r="B725" s="56" t="inlineStr">
        <is>
          <t>K.9999</t>
        </is>
      </c>
      <c r="C725" s="56" t="inlineStr">
        <is>
          <t>NTCV.0088129</t>
        </is>
      </c>
      <c r="D725" s="57" t="n"/>
      <c r="E725" s="57" t="n"/>
      <c r="F725" s="57" t="n"/>
      <c r="G725" s="57" t="n"/>
      <c r="H725" s="57" t="n"/>
      <c r="J725" s="209" t="inlineStr">
        <is>
          <t>30</t>
        </is>
      </c>
      <c r="K725" s="209" t="inlineStr">
        <is>
          <t>K.9999</t>
        </is>
      </c>
      <c r="L725" s="210" t="inlineStr">
        <is>
          <t>Theo dõi nén mẫu R7 Cọc khoan nhồi Trụ T2 - Cọc C5</t>
        </is>
      </c>
      <c r="M725" s="210" t="n"/>
      <c r="N725" s="210" t="n"/>
      <c r="O725" s="211" t="inlineStr">
        <is>
          <t>Cầu Km19+529.080</t>
        </is>
      </c>
      <c r="P725" s="212">
        <f>S722+7</f>
        <v/>
      </c>
      <c r="Q725" s="212">
        <f>P725</f>
        <v/>
      </c>
      <c r="R725" s="212">
        <f>Q725-1</f>
        <v/>
      </c>
      <c r="S725" s="212">
        <f>Q725</f>
        <v/>
      </c>
      <c r="T725" s="213" t="n">
        <v>0.3541666666666667</v>
      </c>
      <c r="U725" s="213">
        <f>T725+V725</f>
        <v/>
      </c>
      <c r="V725" s="213" t="n">
        <v>0.02083333333333333</v>
      </c>
      <c r="W725" s="214">
        <f>TEXT(T725,"HH""h""MM'")&amp;"÷"&amp;TEXT(U725,"HH""h""MM'")</f>
        <v/>
      </c>
      <c r="X725" s="214" t="n"/>
      <c r="Y725" s="214" t="n"/>
      <c r="Z725" s="214" t="n"/>
      <c r="AA725" s="215" t="inlineStr">
        <is>
          <t>Theo dõi nén mẫu R7 Cọc khoan nhồi Trụ T2 - Cọc C5</t>
        </is>
      </c>
      <c r="AB725" s="204" t="inlineStr">
        <is>
          <t>09-XL-307HG/PYCNT/CKN/T2/C5-3</t>
        </is>
      </c>
      <c r="AC725" s="204" t="inlineStr">
        <is>
          <t>09-XL-307HG/BBNT/CKN/T2/C5-12</t>
        </is>
      </c>
      <c r="AD725" s="204" t="n"/>
      <c r="AE725" s="204" t="n"/>
      <c r="AF725" s="204" t="n"/>
      <c r="AG725" s="204" t="n"/>
      <c r="AH725" s="204" t="n"/>
      <c r="AI725" s="214" t="n"/>
      <c r="AJ725" s="214" t="n"/>
      <c r="AK725" s="217" t="n"/>
      <c r="AL725" s="214" t="n"/>
      <c r="AM725" s="214" t="n"/>
      <c r="AN725" s="214" t="n"/>
      <c r="AO725" s="214" t="n"/>
      <c r="AP725" s="216" t="n"/>
      <c r="AQ725" s="216" t="n"/>
      <c r="AR725" s="214" t="inlineStr">
        <is>
          <t>Nhóm 1</t>
        </is>
      </c>
      <c r="AS725" s="214" t="n"/>
      <c r="AT725" s="214" t="inlineStr">
        <is>
          <t>HM19</t>
        </is>
      </c>
      <c r="AU725" s="214" t="inlineStr">
        <is>
          <t>NTCV</t>
        </is>
      </c>
      <c r="AV725" s="214" t="n">
        <v>220</v>
      </c>
      <c r="AW725" s="214" t="n">
        <v>11</v>
      </c>
      <c r="AX725" s="214" t="n"/>
    </row>
    <row r="726">
      <c r="A726" s="56" t="inlineStr">
        <is>
          <t>BBK680</t>
        </is>
      </c>
      <c r="B726" s="56" t="inlineStr">
        <is>
          <t>PYC</t>
        </is>
      </c>
      <c r="C726" s="56" t="inlineStr">
        <is>
          <t>BBK680.0711056</t>
        </is>
      </c>
      <c r="D726" s="57" t="n"/>
      <c r="E726" s="57" t="n"/>
      <c r="F726" s="57" t="n"/>
      <c r="G726" s="57" t="n"/>
      <c r="H726" s="57" t="n"/>
      <c r="J726" s="198" t="inlineStr">
        <is>
          <t>31</t>
        </is>
      </c>
      <c r="K726" s="198" t="inlineStr">
        <is>
          <t>PYC</t>
        </is>
      </c>
      <c r="L726" s="199" t="inlineStr">
        <is>
          <t>Phiếu yêu cầu nghiệm thu</t>
        </is>
      </c>
      <c r="M726" s="199" t="n"/>
      <c r="N726" s="199" t="n"/>
      <c r="O726" s="200" t="inlineStr">
        <is>
          <t>Cầu Km19+529.080</t>
        </is>
      </c>
      <c r="P726" s="201" t="n"/>
      <c r="Q726" s="201" t="n"/>
      <c r="R726" s="201">
        <f>+S721+28</f>
        <v/>
      </c>
      <c r="S726" s="201" t="n"/>
      <c r="T726" s="201" t="n"/>
      <c r="U726" s="201" t="n"/>
      <c r="V726" s="201" t="n"/>
      <c r="W726" s="202" t="n"/>
      <c r="X726" s="202" t="n"/>
      <c r="Y726" s="202" t="n"/>
      <c r="Z726" s="202" t="n"/>
      <c r="AA726" s="203" t="n"/>
      <c r="AB726" s="204" t="inlineStr">
        <is>
          <t>09-XL-307HG/PYCNT/CKN/T2/C5</t>
        </is>
      </c>
      <c r="AC726" s="205" t="inlineStr"/>
      <c r="AD726" s="205" t="n"/>
      <c r="AE726" s="205" t="n"/>
      <c r="AF726" s="205" t="n"/>
      <c r="AG726" s="205" t="inlineStr">
        <is>
          <t>NTCV;BBKTĐK</t>
        </is>
      </c>
      <c r="AH726" s="204" t="n">
        <v>12</v>
      </c>
      <c r="AI726" s="202" t="n"/>
      <c r="AJ726" s="202" t="n"/>
      <c r="AK726" s="206" t="n"/>
      <c r="AL726" s="202" t="n"/>
      <c r="AM726" s="202" t="n"/>
      <c r="AN726" s="202" t="n"/>
      <c r="AO726" s="202" t="n"/>
      <c r="AP726" s="207" t="n"/>
      <c r="AQ726" s="207" t="n"/>
      <c r="AR726" s="202" t="inlineStr">
        <is>
          <t>Nhóm 1</t>
        </is>
      </c>
      <c r="AS726" s="202" t="n"/>
      <c r="AT726" s="202" t="inlineStr">
        <is>
          <t>HM19</t>
        </is>
      </c>
      <c r="AU726" s="202" t="inlineStr">
        <is>
          <t>PYC</t>
        </is>
      </c>
      <c r="AV726" s="202" t="n">
        <v>204</v>
      </c>
      <c r="AW726" s="202" t="n">
        <v>4</v>
      </c>
      <c r="AX726" s="202" t="n"/>
    </row>
    <row r="727" ht="28" customHeight="1" s="672">
      <c r="A727" s="56" t="inlineStr">
        <is>
          <t>NTCV</t>
        </is>
      </c>
      <c r="B727" s="56" t="inlineStr">
        <is>
          <t>K.9999</t>
        </is>
      </c>
      <c r="C727" s="56" t="inlineStr">
        <is>
          <t>NTCV.0257985</t>
        </is>
      </c>
      <c r="D727" s="57" t="n"/>
      <c r="E727" s="57" t="n"/>
      <c r="F727" s="57" t="n"/>
      <c r="G727" s="57" t="n"/>
      <c r="H727" s="57" t="n"/>
      <c r="J727" s="209" t="inlineStr">
        <is>
          <t>32</t>
        </is>
      </c>
      <c r="K727" s="209" t="inlineStr">
        <is>
          <t>K.9999</t>
        </is>
      </c>
      <c r="L727" s="210" t="inlineStr">
        <is>
          <t>Đập đầu cọc khoan nhồi Trụ T2 - Cọc C5</t>
        </is>
      </c>
      <c r="M727" s="210" t="n"/>
      <c r="N727" s="210" t="n"/>
      <c r="O727" s="211" t="inlineStr">
        <is>
          <t>Cầu Km19+529.080</t>
        </is>
      </c>
      <c r="P727" s="212">
        <f>S725</f>
        <v/>
      </c>
      <c r="Q727" s="212">
        <f>P727</f>
        <v/>
      </c>
      <c r="R727" s="212">
        <f>Q727-1</f>
        <v/>
      </c>
      <c r="S727" s="212">
        <f>Q727</f>
        <v/>
      </c>
      <c r="T727" s="213" t="n">
        <v>0.3541666666666667</v>
      </c>
      <c r="U727" s="213">
        <f>T727+V727</f>
        <v/>
      </c>
      <c r="V727" s="213" t="n">
        <v>0.0625</v>
      </c>
      <c r="W727" s="214">
        <f>TEXT(T727,"HH""h""MM'")&amp;"÷"&amp;TEXT(U727,"HH""h""MM'")</f>
        <v/>
      </c>
      <c r="X727" s="214" t="n"/>
      <c r="Y727" s="214" t="n"/>
      <c r="Z727" s="214" t="n"/>
      <c r="AA727" s="215" t="inlineStr">
        <is>
          <t>Theo dõi nén mẫu R28 Cọc khoan nhồi Trụ T2 - Cọc C5</t>
        </is>
      </c>
      <c r="AB727" s="204" t="inlineStr">
        <is>
          <t>09-XL-307HG/PYCNT/CKN/T2/C5-4</t>
        </is>
      </c>
      <c r="AC727" s="204" t="inlineStr">
        <is>
          <t>09-XL-307HG/BBNT/CKN/T2/C5-13</t>
        </is>
      </c>
      <c r="AD727" s="204" t="n"/>
      <c r="AE727" s="204" t="n"/>
      <c r="AF727" s="204" t="n"/>
      <c r="AG727" s="204" t="n"/>
      <c r="AH727" s="204" t="n"/>
      <c r="AI727" s="214" t="n"/>
      <c r="AJ727" s="214" t="n"/>
      <c r="AK727" s="217" t="n"/>
      <c r="AL727" s="214" t="n"/>
      <c r="AM727" s="214" t="n"/>
      <c r="AN727" s="214" t="n"/>
      <c r="AO727" s="214" t="n"/>
      <c r="AP727" s="216" t="n"/>
      <c r="AQ727" s="216" t="n"/>
      <c r="AR727" s="214" t="inlineStr">
        <is>
          <t>Nhóm 1</t>
        </is>
      </c>
      <c r="AS727" s="214" t="n"/>
      <c r="AT727" s="214" t="inlineStr">
        <is>
          <t>HM19</t>
        </is>
      </c>
      <c r="AU727" s="214" t="inlineStr">
        <is>
          <t>NTCV</t>
        </is>
      </c>
      <c r="AV727" s="214" t="n">
        <v>221</v>
      </c>
      <c r="AW727" s="214" t="n">
        <v>12</v>
      </c>
      <c r="AX727" s="214" t="n"/>
    </row>
    <row r="728">
      <c r="A728" s="56" t="inlineStr">
        <is>
          <t>HM</t>
        </is>
      </c>
      <c r="B728" s="56" t="inlineStr">
        <is>
          <t>HM</t>
        </is>
      </c>
      <c r="C728" s="56" t="inlineStr">
        <is>
          <t>HM.0057568</t>
        </is>
      </c>
      <c r="D728" s="57" t="n"/>
      <c r="E728" s="57" t="n"/>
      <c r="F728" s="57" t="n"/>
      <c r="G728" s="57" t="n"/>
      <c r="H728" s="57" t="n"/>
      <c r="J728" s="246" t="inlineStr">
        <is>
          <t>HM20</t>
        </is>
      </c>
      <c r="K728" s="246" t="inlineStr">
        <is>
          <t>HM</t>
        </is>
      </c>
      <c r="L728" s="247" t="inlineStr">
        <is>
          <t>Trụ T2 - Cọc C6</t>
        </is>
      </c>
      <c r="M728" s="247" t="n"/>
      <c r="N728" s="247" t="n"/>
      <c r="O728" s="248" t="inlineStr">
        <is>
          <t>Cầu Km19+529.080</t>
        </is>
      </c>
      <c r="P728" s="249" t="n"/>
      <c r="Q728" s="249" t="n"/>
      <c r="R728" s="249" t="n"/>
      <c r="S728" s="249" t="n"/>
      <c r="T728" s="249" t="n"/>
      <c r="U728" s="249" t="n"/>
      <c r="V728" s="249" t="n"/>
      <c r="W728" s="250" t="n"/>
      <c r="X728" s="250" t="n"/>
      <c r="Y728" s="250" t="n"/>
      <c r="Z728" s="250" t="n"/>
      <c r="AA728" s="251" t="n"/>
      <c r="AB728" s="252" t="n"/>
      <c r="AC728" s="252" t="inlineStr"/>
      <c r="AD728" s="252" t="n"/>
      <c r="AE728" s="252" t="n"/>
      <c r="AF728" s="252" t="n"/>
      <c r="AG728" s="252" t="n"/>
      <c r="AH728" s="252" t="n"/>
      <c r="AI728" s="250" t="n"/>
      <c r="AJ728" s="250" t="n"/>
      <c r="AK728" s="253" t="n"/>
      <c r="AL728" s="250" t="n"/>
      <c r="AM728" s="250" t="n"/>
      <c r="AN728" s="250" t="n"/>
      <c r="AO728" s="250" t="n"/>
      <c r="AP728" s="254" t="n"/>
      <c r="AQ728" s="254" t="n"/>
      <c r="AR728" s="250" t="n"/>
      <c r="AS728" s="250" t="n"/>
      <c r="AT728" s="250" t="inlineStr">
        <is>
          <t>HM20</t>
        </is>
      </c>
      <c r="AU728" s="250" t="inlineStr">
        <is>
          <t>HM</t>
        </is>
      </c>
      <c r="AV728" s="250" t="n"/>
      <c r="AW728" s="250" t="n"/>
      <c r="AX728" s="250" t="n"/>
    </row>
    <row r="729" ht="28" customFormat="1" customHeight="1" s="70">
      <c r="A729" s="68" t="inlineStr">
        <is>
          <t>BBK_BIA</t>
        </is>
      </c>
      <c r="B729" s="68" t="inlineStr">
        <is>
          <t>TRANGBIA</t>
        </is>
      </c>
      <c r="C729" s="68" t="inlineStr">
        <is>
          <t>BBK_BIA.0275211</t>
        </is>
      </c>
      <c r="D729" s="69" t="n"/>
      <c r="E729" s="69" t="n"/>
      <c r="F729" s="69" t="n"/>
      <c r="G729" s="69" t="n"/>
      <c r="H729" s="69" t="n"/>
      <c r="J729" s="98" t="inlineStr">
        <is>
          <t>01</t>
        </is>
      </c>
      <c r="K729" s="98" t="inlineStr">
        <is>
          <t>TRANGBIA</t>
        </is>
      </c>
      <c r="L729" s="99">
        <f>"Cọc Khoan Nhồi"&amp;" - "&amp;L728</f>
        <v/>
      </c>
      <c r="M729" s="99" t="n"/>
      <c r="N729" s="99" t="n"/>
      <c r="O729" s="100" t="inlineStr">
        <is>
          <t>Cầu Km19+529.080</t>
        </is>
      </c>
      <c r="P729" s="101" t="n"/>
      <c r="Q729" s="101" t="n"/>
      <c r="R729" s="101" t="n"/>
      <c r="S729" s="101" t="n"/>
      <c r="T729" s="101" t="n"/>
      <c r="U729" s="101" t="n"/>
      <c r="V729" s="101" t="n"/>
      <c r="W729" s="102" t="n"/>
      <c r="X729" s="102" t="n"/>
      <c r="Y729" s="102" t="n"/>
      <c r="Z729" s="102" t="n"/>
      <c r="AA729" s="102" t="n"/>
      <c r="AB729" s="102" t="n"/>
      <c r="AC729" s="102" t="inlineStr"/>
      <c r="AD729" s="102" t="n"/>
      <c r="AE729" s="102" t="n"/>
      <c r="AF729" s="102" t="n"/>
      <c r="AG729" s="102" t="n"/>
      <c r="AH729" s="102" t="n"/>
      <c r="AI729" s="102" t="n"/>
      <c r="AJ729" s="102" t="n"/>
      <c r="AK729" s="100" t="n"/>
      <c r="AL729" s="102" t="n"/>
      <c r="AM729" s="102" t="n"/>
      <c r="AN729" s="102" t="n"/>
      <c r="AO729" s="102" t="n"/>
      <c r="AP729" s="103" t="inlineStr">
        <is>
          <t>Kết cấu cọc khoan nhồi mố, trụ</t>
        </is>
      </c>
      <c r="AQ729" s="104" t="n"/>
      <c r="AR729" s="102" t="inlineStr">
        <is>
          <t>Nhóm 1</t>
        </is>
      </c>
      <c r="AS729" s="102" t="n"/>
      <c r="AT729" s="102" t="inlineStr">
        <is>
          <t>HM20</t>
        </is>
      </c>
      <c r="AU729" s="102" t="inlineStr">
        <is>
          <t>TRANGBIA</t>
        </is>
      </c>
      <c r="AV729" s="102" t="n">
        <v>20</v>
      </c>
      <c r="AW729" s="102" t="n">
        <v>1</v>
      </c>
      <c r="AX729" s="102" t="n"/>
    </row>
    <row r="730" customFormat="1" s="70">
      <c r="A730" s="68" t="inlineStr">
        <is>
          <t>BBK_ML</t>
        </is>
      </c>
      <c r="B730" s="68" t="inlineStr">
        <is>
          <t>MUCLUC</t>
        </is>
      </c>
      <c r="C730" s="68" t="inlineStr">
        <is>
          <t>BBK_ML.0960600</t>
        </is>
      </c>
      <c r="D730" s="69" t="n"/>
      <c r="E730" s="69" t="n"/>
      <c r="F730" s="69" t="n"/>
      <c r="G730" s="69" t="n"/>
      <c r="H730" s="69" t="n"/>
      <c r="J730" s="98" t="inlineStr">
        <is>
          <t>02</t>
        </is>
      </c>
      <c r="K730" s="98" t="inlineStr">
        <is>
          <t>MUCLUC</t>
        </is>
      </c>
      <c r="L730" s="99" t="inlineStr">
        <is>
          <t>Danh mục biên bản Kiểm tra/Nghiệm thu</t>
        </is>
      </c>
      <c r="M730" s="99" t="n"/>
      <c r="N730" s="99" t="n"/>
      <c r="O730" s="100" t="inlineStr">
        <is>
          <t>Cầu Km19+529.080</t>
        </is>
      </c>
      <c r="P730" s="101" t="n"/>
      <c r="Q730" s="101" t="n"/>
      <c r="R730" s="101" t="n"/>
      <c r="S730" s="101" t="n"/>
      <c r="T730" s="101" t="n"/>
      <c r="U730" s="101" t="n"/>
      <c r="V730" s="101" t="n"/>
      <c r="W730" s="102" t="n"/>
      <c r="X730" s="102" t="n"/>
      <c r="Y730" s="102" t="n"/>
      <c r="Z730" s="102" t="n"/>
      <c r="AA730" s="102" t="n"/>
      <c r="AB730" s="102" t="n"/>
      <c r="AC730" s="102" t="inlineStr"/>
      <c r="AD730" s="102" t="n"/>
      <c r="AE730" s="102" t="n"/>
      <c r="AF730" s="102" t="n"/>
      <c r="AG730" s="102" t="n"/>
      <c r="AH730" s="102" t="n"/>
      <c r="AI730" s="102" t="n"/>
      <c r="AJ730" s="102" t="n"/>
      <c r="AK730" s="100" t="n"/>
      <c r="AL730" s="102" t="n"/>
      <c r="AM730" s="102" t="n"/>
      <c r="AN730" s="102" t="n"/>
      <c r="AO730" s="102" t="n"/>
      <c r="AP730" s="104" t="n"/>
      <c r="AQ730" s="104" t="n"/>
      <c r="AR730" s="102" t="inlineStr">
        <is>
          <t>Nhóm 1</t>
        </is>
      </c>
      <c r="AS730" s="102" t="n"/>
      <c r="AT730" s="102" t="inlineStr">
        <is>
          <t>HM20</t>
        </is>
      </c>
      <c r="AU730" s="102" t="inlineStr">
        <is>
          <t>MUCLUC</t>
        </is>
      </c>
      <c r="AV730" s="102" t="n">
        <v>20</v>
      </c>
      <c r="AW730" s="102" t="n">
        <v>1</v>
      </c>
      <c r="AX730" s="102" t="n"/>
    </row>
    <row r="731">
      <c r="A731" s="56" t="inlineStr">
        <is>
          <t>BBK680</t>
        </is>
      </c>
      <c r="B731" s="56" t="inlineStr">
        <is>
          <t>PYC</t>
        </is>
      </c>
      <c r="C731" s="56" t="inlineStr">
        <is>
          <t>BBK680.0326981</t>
        </is>
      </c>
      <c r="D731" s="57" t="n"/>
      <c r="E731" s="57" t="n"/>
      <c r="F731" s="57" t="n"/>
      <c r="G731" s="57" t="n"/>
      <c r="H731" s="57" t="n"/>
      <c r="J731" s="198" t="inlineStr">
        <is>
          <t>03</t>
        </is>
      </c>
      <c r="K731" s="198" t="inlineStr">
        <is>
          <t>PYC</t>
        </is>
      </c>
      <c r="L731" s="199" t="inlineStr">
        <is>
          <t>Phiếu yêu cầu nghiệm thu</t>
        </is>
      </c>
      <c r="M731" s="199" t="n"/>
      <c r="N731" s="199" t="n"/>
      <c r="O731" s="200" t="inlineStr">
        <is>
          <t>Cầu Km19+529.080</t>
        </is>
      </c>
      <c r="P731" s="201" t="n"/>
      <c r="Q731" s="201" t="n"/>
      <c r="R731" s="201">
        <f>R732</f>
        <v/>
      </c>
      <c r="S731" s="201" t="n"/>
      <c r="T731" s="201" t="n"/>
      <c r="U731" s="201" t="n"/>
      <c r="V731" s="201" t="n"/>
      <c r="W731" s="202" t="n"/>
      <c r="X731" s="202" t="n"/>
      <c r="Y731" s="202" t="n"/>
      <c r="Z731" s="202" t="n"/>
      <c r="AA731" s="203" t="n"/>
      <c r="AB731" s="204" t="inlineStr">
        <is>
          <t>09-XL-307HG/PYCNT/CKN/T2/C6</t>
        </is>
      </c>
      <c r="AC731" s="205" t="inlineStr"/>
      <c r="AD731" s="205" t="n"/>
      <c r="AE731" s="205" t="n"/>
      <c r="AF731" s="205" t="n"/>
      <c r="AG731" s="205" t="inlineStr">
        <is>
          <t>NTCV;BBKTĐK</t>
        </is>
      </c>
      <c r="AH731" s="204" t="inlineStr">
        <is>
          <t>&gt;=1;&lt;=5</t>
        </is>
      </c>
      <c r="AI731" s="202" t="n"/>
      <c r="AJ731" s="202" t="n"/>
      <c r="AK731" s="206" t="n"/>
      <c r="AL731" s="202" t="n"/>
      <c r="AM731" s="202" t="n"/>
      <c r="AN731" s="202" t="n"/>
      <c r="AO731" s="202" t="n"/>
      <c r="AP731" s="207" t="n"/>
      <c r="AQ731" s="207" t="n"/>
      <c r="AR731" s="202" t="inlineStr">
        <is>
          <t>Nhóm 1</t>
        </is>
      </c>
      <c r="AS731" s="202" t="n"/>
      <c r="AT731" s="202" t="inlineStr">
        <is>
          <t>HM20</t>
        </is>
      </c>
      <c r="AU731" s="202" t="inlineStr">
        <is>
          <t>PYC</t>
        </is>
      </c>
      <c r="AV731" s="202" t="n">
        <v>205</v>
      </c>
      <c r="AW731" s="202" t="n">
        <v>1</v>
      </c>
      <c r="AX731" s="202" t="n"/>
    </row>
    <row r="732" ht="28" customHeight="1" s="672">
      <c r="A732" s="56" t="inlineStr">
        <is>
          <t>BBK884</t>
        </is>
      </c>
      <c r="B732" s="56" t="inlineStr">
        <is>
          <t>BBKTĐK</t>
        </is>
      </c>
      <c r="C732" s="56" t="inlineStr">
        <is>
          <t>BBK884.0647697</t>
        </is>
      </c>
      <c r="D732" s="57" t="n"/>
      <c r="E732" s="57" t="n"/>
      <c r="F732" s="57" t="n"/>
      <c r="G732" s="57" t="n"/>
      <c r="H732" s="57" t="n"/>
      <c r="J732" s="198" t="inlineStr">
        <is>
          <t>04</t>
        </is>
      </c>
      <c r="K732" s="198" t="inlineStr">
        <is>
          <t>BBKTĐK</t>
        </is>
      </c>
      <c r="L732" s="199" t="inlineStr">
        <is>
          <t>Kiểm tra điều kiện trước khi thi công cọc khoan nhồi: Thiết bị, nhân lực, vật tư</t>
        </is>
      </c>
      <c r="M732" s="199" t="n"/>
      <c r="N732" s="199" t="n"/>
      <c r="O732" s="200" t="inlineStr">
        <is>
          <t>Cầu Km19+529.080</t>
        </is>
      </c>
      <c r="P732" s="201" t="n">
        <v>46211</v>
      </c>
      <c r="Q732" s="201">
        <f>P732</f>
        <v/>
      </c>
      <c r="R732" s="201">
        <f>Q732-1</f>
        <v/>
      </c>
      <c r="S732" s="201">
        <f>Q732</f>
        <v/>
      </c>
      <c r="T732" s="208" t="n">
        <v>0.2916666666666667</v>
      </c>
      <c r="U732" s="208">
        <f>T732+V732</f>
        <v/>
      </c>
      <c r="V732" s="208" t="n">
        <v>0.02083333333333333</v>
      </c>
      <c r="W732" s="202">
        <f>TEXT(T732,"HH""h""MM'")&amp;"÷"&amp;TEXT(U732,"HH""h""MM'")</f>
        <v/>
      </c>
      <c r="X732" s="202" t="n"/>
      <c r="Y732" s="202" t="n"/>
      <c r="Z732" s="202" t="inlineStr">
        <is>
          <t>01;</t>
        </is>
      </c>
      <c r="AA732" s="200" t="inlineStr">
        <is>
          <t>Kiểm tra điều kiện trước khi thi công Cọc khoan nhồi Trụ T2 - Cọc C6</t>
        </is>
      </c>
      <c r="AB732" s="205" t="inlineStr">
        <is>
          <t>09-XL-307HG/PYCNT/CKN/T2/C6-1</t>
        </is>
      </c>
      <c r="AC732" s="205" t="inlineStr">
        <is>
          <t>09-XL-307HG/BBNT/CKN/T2/C6-1</t>
        </is>
      </c>
      <c r="AD732" s="205" t="n"/>
      <c r="AE732" s="205" t="n"/>
      <c r="AF732" s="205" t="n"/>
      <c r="AG732" s="205" t="n"/>
      <c r="AH732" s="205" t="n"/>
      <c r="AI732" s="207" t="n"/>
      <c r="AJ732" s="214" t="n"/>
      <c r="AK732" s="217" t="n"/>
      <c r="AL732" s="214" t="n"/>
      <c r="AM732" s="214" t="n"/>
      <c r="AN732" s="214" t="n"/>
      <c r="AO732" s="202" t="n"/>
      <c r="AP732" s="207" t="n"/>
      <c r="AQ732" s="207" t="n"/>
      <c r="AR732" s="202" t="inlineStr">
        <is>
          <t>Nhóm 1</t>
        </is>
      </c>
      <c r="AS732" s="202" t="n"/>
      <c r="AT732" s="202" t="inlineStr">
        <is>
          <t>HM20</t>
        </is>
      </c>
      <c r="AU732" s="202" t="inlineStr">
        <is>
          <t>BBKTĐK</t>
        </is>
      </c>
      <c r="AV732" s="202" t="n">
        <v>6</v>
      </c>
      <c r="AW732" s="202" t="n">
        <v>1</v>
      </c>
      <c r="AX732" s="202" t="n"/>
    </row>
    <row r="733" ht="28" customHeight="1" s="672">
      <c r="A733" s="56" t="inlineStr">
        <is>
          <t>BBK860</t>
        </is>
      </c>
      <c r="B733" s="56" t="inlineStr">
        <is>
          <t>PL01</t>
        </is>
      </c>
      <c r="C733" s="56" t="inlineStr">
        <is>
          <t>BBK860.0363467</t>
        </is>
      </c>
      <c r="D733" s="57" t="n"/>
      <c r="E733" s="57" t="n"/>
      <c r="F733" s="57" t="n"/>
      <c r="G733" s="57" t="n"/>
      <c r="H733" s="57" t="n"/>
      <c r="J733" s="198" t="inlineStr">
        <is>
          <t>05</t>
        </is>
      </c>
      <c r="K733" s="198" t="inlineStr">
        <is>
          <t>PL01</t>
        </is>
      </c>
      <c r="L733" s="199" t="inlineStr">
        <is>
          <t>Máy móc, thiết bị, nhân lực, vật tư thi công cọc khoan nhồi</t>
        </is>
      </c>
      <c r="M733" s="199" t="n"/>
      <c r="N733" s="199" t="n"/>
      <c r="O733" s="199" t="inlineStr">
        <is>
          <t>Cầu Km19+529.080</t>
        </is>
      </c>
      <c r="P733" s="201" t="n"/>
      <c r="Q733" s="201" t="n"/>
      <c r="R733" s="201" t="n"/>
      <c r="S733" s="201">
        <f>S732</f>
        <v/>
      </c>
      <c r="T733" s="201" t="n"/>
      <c r="U733" s="201" t="n"/>
      <c r="V733" s="201" t="n"/>
      <c r="W733" s="202" t="n"/>
      <c r="X733" s="202" t="n"/>
      <c r="Y733" s="202" t="n"/>
      <c r="Z733" s="198" t="inlineStr">
        <is>
          <t>01</t>
        </is>
      </c>
      <c r="AA733" s="203" t="n"/>
      <c r="AB733" s="204" t="inlineStr">
        <is>
          <t>09-XL-307HG/PYCNT/CKN/T2/C6-1</t>
        </is>
      </c>
      <c r="AC733" s="204">
        <f>AC732</f>
        <v/>
      </c>
      <c r="AD733" s="204" t="n"/>
      <c r="AE733" s="204" t="n"/>
      <c r="AF733" s="204" t="n"/>
      <c r="AG733" s="204" t="n"/>
      <c r="AH733" s="204" t="inlineStr">
        <is>
          <t>CKN</t>
        </is>
      </c>
      <c r="AI733" s="207" t="n"/>
      <c r="AJ733" s="202" t="n"/>
      <c r="AK733" s="206" t="n"/>
      <c r="AL733" s="202" t="n"/>
      <c r="AM733" s="202" t="n"/>
      <c r="AN733" s="202" t="n"/>
      <c r="AO733" s="202" t="n"/>
      <c r="AP733" s="207" t="n"/>
      <c r="AQ733" s="207" t="n"/>
      <c r="AR733" s="202" t="inlineStr">
        <is>
          <t>Nhóm 1</t>
        </is>
      </c>
      <c r="AS733" s="202" t="n"/>
      <c r="AT733" s="202" t="inlineStr">
        <is>
          <t>HM20</t>
        </is>
      </c>
      <c r="AU733" s="202" t="inlineStr">
        <is>
          <t>PL01</t>
        </is>
      </c>
      <c r="AV733" s="202" t="n">
        <v>6</v>
      </c>
      <c r="AW733" s="202" t="n">
        <v>1</v>
      </c>
      <c r="AX733" s="202" t="n"/>
    </row>
    <row r="734" ht="42" customHeight="1" s="672">
      <c r="A734" s="56" t="inlineStr">
        <is>
          <t>NTCV</t>
        </is>
      </c>
      <c r="B734" s="56" t="inlineStr">
        <is>
          <t>K.9999</t>
        </is>
      </c>
      <c r="C734" s="56" t="inlineStr">
        <is>
          <t>NTCV.0369906</t>
        </is>
      </c>
      <c r="D734" s="57" t="n"/>
      <c r="E734" s="57" t="n"/>
      <c r="F734" s="57" t="n"/>
      <c r="G734" s="57" t="n"/>
      <c r="H734" s="57" t="n"/>
      <c r="J734" s="209" t="inlineStr">
        <is>
          <t>06</t>
        </is>
      </c>
      <c r="K734" s="209" t="inlineStr">
        <is>
          <t>K.9999</t>
        </is>
      </c>
      <c r="L734" s="210" t="inlineStr">
        <is>
          <t>Kiểm tra ống vách, dung dịch bentonite trước khi khoan cọc khoan nhồi</t>
        </is>
      </c>
      <c r="M734" s="210" t="n"/>
      <c r="N734" s="210" t="n"/>
      <c r="O734" s="211" t="inlineStr">
        <is>
          <t>Cầu Km19+529.080</t>
        </is>
      </c>
      <c r="P734" s="212">
        <f>S732</f>
        <v/>
      </c>
      <c r="Q734" s="212">
        <f>P734</f>
        <v/>
      </c>
      <c r="R734" s="212">
        <f>Q734-1</f>
        <v/>
      </c>
      <c r="S734" s="212">
        <f>Q734</f>
        <v/>
      </c>
      <c r="T734" s="213">
        <f>U732</f>
        <v/>
      </c>
      <c r="U734" s="213">
        <f>T734+V734</f>
        <v/>
      </c>
      <c r="V734" s="213" t="n">
        <v>0.02083333333333333</v>
      </c>
      <c r="W734" s="214">
        <f>TEXT(T734,"HH""h""MM'")&amp;"÷"&amp;TEXT(U734,"HH""h""MM'")</f>
        <v/>
      </c>
      <c r="X734" s="214" t="n"/>
      <c r="Y734" s="214" t="n"/>
      <c r="Z734" s="214" t="inlineStr">
        <is>
          <t>02; 02a</t>
        </is>
      </c>
      <c r="AA734" s="215" t="inlineStr">
        <is>
          <t>Kiểm tra ống vách, dung dịch bentonite Cọc khoan nhồi Trụ T2 - Cọc C6 trước khi khoan</t>
        </is>
      </c>
      <c r="AB734" s="204" t="inlineStr">
        <is>
          <t>09-XL-307HG/PYCNT/CKN/T2/C6-1</t>
        </is>
      </c>
      <c r="AC734" s="204" t="inlineStr">
        <is>
          <t>09-XL-307HG/BBNT/CKN/T2/C6-2</t>
        </is>
      </c>
      <c r="AD734" s="204" t="n"/>
      <c r="AE734" s="204" t="n"/>
      <c r="AF734" s="204" t="n"/>
      <c r="AG734" s="204" t="n"/>
      <c r="AH734" s="204" t="n"/>
      <c r="AI734" s="216" t="n"/>
      <c r="AJ734" s="214" t="n"/>
      <c r="AK734" s="217" t="n"/>
      <c r="AL734" s="214" t="n"/>
      <c r="AM734" s="214" t="n"/>
      <c r="AN734" s="214" t="n"/>
      <c r="AO734" s="214" t="n"/>
      <c r="AP734" s="216" t="n"/>
      <c r="AQ734" s="216" t="n"/>
      <c r="AR734" s="214" t="inlineStr">
        <is>
          <t>Nhóm 1</t>
        </is>
      </c>
      <c r="AS734" s="214" t="n"/>
      <c r="AT734" s="214" t="inlineStr">
        <is>
          <t>HM20</t>
        </is>
      </c>
      <c r="AU734" s="214" t="inlineStr">
        <is>
          <t>NTCV</t>
        </is>
      </c>
      <c r="AV734" s="214" t="n">
        <v>104</v>
      </c>
      <c r="AW734" s="214" t="n">
        <v>1</v>
      </c>
      <c r="AX734" s="214" t="n"/>
    </row>
    <row r="735">
      <c r="A735" s="56" t="inlineStr">
        <is>
          <t>BBK170</t>
        </is>
      </c>
      <c r="B735" s="56" t="inlineStr">
        <is>
          <t>PL02</t>
        </is>
      </c>
      <c r="C735" s="56" t="inlineStr">
        <is>
          <t>BBK170.0326844</t>
        </is>
      </c>
      <c r="D735" s="57" t="n"/>
      <c r="E735" s="57" t="n"/>
      <c r="F735" s="57" t="n"/>
      <c r="G735" s="57" t="n"/>
      <c r="H735" s="57" t="n"/>
      <c r="J735" s="198" t="inlineStr">
        <is>
          <t>07</t>
        </is>
      </c>
      <c r="K735" s="198" t="inlineStr">
        <is>
          <t>PL02</t>
        </is>
      </c>
      <c r="L735" s="199" t="inlineStr">
        <is>
          <t>Kiểm tra ống vách thi công trước khi hạ</t>
        </is>
      </c>
      <c r="M735" s="199" t="n"/>
      <c r="N735" s="199" t="n"/>
      <c r="O735" s="200" t="inlineStr">
        <is>
          <t>Cầu Km19+529.080</t>
        </is>
      </c>
      <c r="P735" s="201" t="n"/>
      <c r="Q735" s="201" t="n"/>
      <c r="R735" s="201" t="n"/>
      <c r="S735" s="201">
        <f>S734</f>
        <v/>
      </c>
      <c r="T735" s="201" t="n"/>
      <c r="U735" s="201" t="n"/>
      <c r="V735" s="201" t="n"/>
      <c r="W735" s="202" t="n"/>
      <c r="X735" s="202" t="n"/>
      <c r="Y735" s="202" t="n"/>
      <c r="Z735" s="198" t="inlineStr">
        <is>
          <t>02</t>
        </is>
      </c>
      <c r="AA735" s="203" t="n"/>
      <c r="AB735" s="204" t="inlineStr">
        <is>
          <t>09-XL-307HG/PYCNT/CKN/T2/C6-1</t>
        </is>
      </c>
      <c r="AC735" s="204">
        <f>AC734</f>
        <v/>
      </c>
      <c r="AD735" s="204" t="n"/>
      <c r="AE735" s="204" t="n"/>
      <c r="AF735" s="204" t="n"/>
      <c r="AG735" s="204" t="n"/>
      <c r="AH735" s="204" t="inlineStr">
        <is>
          <t>CKN</t>
        </is>
      </c>
      <c r="AI735" s="207" t="n"/>
      <c r="AJ735" s="202" t="n"/>
      <c r="AK735" s="206" t="n"/>
      <c r="AL735" s="202" t="n"/>
      <c r="AM735" s="202" t="n"/>
      <c r="AN735" s="202" t="n"/>
      <c r="AO735" s="202" t="n"/>
      <c r="AP735" s="207" t="n"/>
      <c r="AQ735" s="207" t="inlineStr">
        <is>
          <t>Ảnh\PL02 CKN.png</t>
        </is>
      </c>
      <c r="AR735" s="202" t="inlineStr">
        <is>
          <t>Nhóm 1</t>
        </is>
      </c>
      <c r="AS735" s="202" t="n"/>
      <c r="AT735" s="202" t="inlineStr">
        <is>
          <t>HM20</t>
        </is>
      </c>
      <c r="AU735" s="202" t="inlineStr">
        <is>
          <t>PL02</t>
        </is>
      </c>
      <c r="AV735" s="202" t="n">
        <v>6</v>
      </c>
      <c r="AW735" s="202" t="n">
        <v>1</v>
      </c>
      <c r="AX735" s="202" t="n"/>
    </row>
    <row r="736">
      <c r="A736" s="56" t="inlineStr">
        <is>
          <t>BBK721</t>
        </is>
      </c>
      <c r="B736" s="56" t="inlineStr">
        <is>
          <t>PL02a</t>
        </is>
      </c>
      <c r="C736" s="56" t="inlineStr">
        <is>
          <t>BBK721.0214759</t>
        </is>
      </c>
      <c r="D736" s="57" t="n"/>
      <c r="E736" s="57" t="n"/>
      <c r="F736" s="57" t="n"/>
      <c r="G736" s="57" t="n"/>
      <c r="H736" s="57" t="n"/>
      <c r="J736" s="198" t="inlineStr">
        <is>
          <t>08</t>
        </is>
      </c>
      <c r="K736" s="198" t="inlineStr">
        <is>
          <t>PL02a</t>
        </is>
      </c>
      <c r="L736" s="199" t="inlineStr">
        <is>
          <t>Kiểm tra ống vách thi công trước khi hạ</t>
        </is>
      </c>
      <c r="M736" s="199" t="n"/>
      <c r="N736" s="199" t="n"/>
      <c r="O736" s="200" t="inlineStr">
        <is>
          <t>Cầu Km19+529.080</t>
        </is>
      </c>
      <c r="P736" s="201" t="n"/>
      <c r="Q736" s="201" t="n"/>
      <c r="R736" s="201" t="n"/>
      <c r="S736" s="201">
        <f>S735</f>
        <v/>
      </c>
      <c r="T736" s="201" t="n"/>
      <c r="U736" s="201" t="n"/>
      <c r="V736" s="201" t="n"/>
      <c r="W736" s="202" t="n"/>
      <c r="X736" s="202" t="n"/>
      <c r="Y736" s="202" t="n"/>
      <c r="Z736" s="198" t="inlineStr">
        <is>
          <t>02a</t>
        </is>
      </c>
      <c r="AA736" s="203" t="n"/>
      <c r="AB736" s="204" t="inlineStr">
        <is>
          <t>09-XL-307HG/PYCNT/CKN/T2/C6-1</t>
        </is>
      </c>
      <c r="AC736" s="204">
        <f>AC735</f>
        <v/>
      </c>
      <c r="AD736" s="204" t="n"/>
      <c r="AE736" s="204" t="n"/>
      <c r="AF736" s="204" t="n"/>
      <c r="AG736" s="204" t="n"/>
      <c r="AH736" s="204" t="n"/>
      <c r="AI736" s="207" t="n"/>
      <c r="AJ736" s="202" t="n"/>
      <c r="AK736" s="206" t="n"/>
      <c r="AL736" s="202" t="n"/>
      <c r="AM736" s="202" t="n"/>
      <c r="AN736" s="202" t="n"/>
      <c r="AO736" s="202" t="n"/>
      <c r="AP736" s="207" t="n"/>
      <c r="AQ736" s="207" t="n"/>
      <c r="AR736" s="202" t="inlineStr">
        <is>
          <t>Nhóm 1</t>
        </is>
      </c>
      <c r="AS736" s="202" t="n"/>
      <c r="AT736" s="202" t="inlineStr">
        <is>
          <t>HM20</t>
        </is>
      </c>
      <c r="AU736" s="202" t="inlineStr">
        <is>
          <t>PL02a</t>
        </is>
      </c>
      <c r="AV736" s="202" t="n">
        <v>6</v>
      </c>
      <c r="AW736" s="202" t="n">
        <v>1</v>
      </c>
      <c r="AX736" s="202" t="n"/>
    </row>
    <row r="737" ht="28" customHeight="1" s="672">
      <c r="A737" s="56" t="inlineStr">
        <is>
          <t>NTCV</t>
        </is>
      </c>
      <c r="B737" s="56" t="inlineStr">
        <is>
          <t>K.9999</t>
        </is>
      </c>
      <c r="C737" s="56" t="inlineStr">
        <is>
          <t>NTCV.0212330</t>
        </is>
      </c>
      <c r="D737" s="57" t="n"/>
      <c r="E737" s="57" t="n"/>
      <c r="F737" s="57" t="n"/>
      <c r="G737" s="57" t="n"/>
      <c r="H737" s="57" t="n"/>
      <c r="J737" s="209" t="inlineStr">
        <is>
          <t>09</t>
        </is>
      </c>
      <c r="K737" s="209" t="inlineStr">
        <is>
          <t>K.9999</t>
        </is>
      </c>
      <c r="L737" s="210" t="inlineStr">
        <is>
          <t>Kiểm tra định vị tim cọc khoan nhồi, hạ ống vách thi công</t>
        </is>
      </c>
      <c r="M737" s="210" t="n"/>
      <c r="N737" s="210" t="n"/>
      <c r="O737" s="211" t="inlineStr">
        <is>
          <t>Cầu Km19+529.080</t>
        </is>
      </c>
      <c r="P737" s="212">
        <f>S734</f>
        <v/>
      </c>
      <c r="Q737" s="212">
        <f>P737</f>
        <v/>
      </c>
      <c r="R737" s="212">
        <f>Q737-1</f>
        <v/>
      </c>
      <c r="S737" s="212">
        <f>Q737</f>
        <v/>
      </c>
      <c r="T737" s="213">
        <f>U734</f>
        <v/>
      </c>
      <c r="U737" s="213">
        <f>T737+V737</f>
        <v/>
      </c>
      <c r="V737" s="213" t="n">
        <v>0.02083333333333333</v>
      </c>
      <c r="W737" s="214">
        <f>TEXT(T737,"HH""h""MM'")&amp;"÷"&amp;TEXT(U737,"HH""h""MM'")</f>
        <v/>
      </c>
      <c r="X737" s="214" t="n"/>
      <c r="Y737" s="214" t="n"/>
      <c r="Z737" s="214" t="inlineStr">
        <is>
          <t>03;</t>
        </is>
      </c>
      <c r="AA737" s="215" t="inlineStr">
        <is>
          <t>Kiểm tra định vị Cọc khoan nhồi Trụ T2 - Cọc C6</t>
        </is>
      </c>
      <c r="AB737" s="204" t="inlineStr">
        <is>
          <t>09-XL-307HG/PYCNT/CKN/T2/C6-1</t>
        </is>
      </c>
      <c r="AC737" s="204" t="inlineStr">
        <is>
          <t>09-XL-307HG/BBNT/CKN/T2/C6-3</t>
        </is>
      </c>
      <c r="AD737" s="204" t="n"/>
      <c r="AE737" s="204" t="n"/>
      <c r="AF737" s="204" t="n"/>
      <c r="AG737" s="204" t="n"/>
      <c r="AH737" s="204" t="n"/>
      <c r="AI737" s="216" t="n"/>
      <c r="AJ737" s="214" t="n"/>
      <c r="AK737" s="217" t="n"/>
      <c r="AL737" s="214" t="n"/>
      <c r="AM737" s="214" t="n"/>
      <c r="AN737" s="214" t="n"/>
      <c r="AO737" s="214" t="n"/>
      <c r="AP737" s="216" t="n"/>
      <c r="AQ737" s="216" t="n"/>
      <c r="AR737" s="214" t="inlineStr">
        <is>
          <t>Nhóm 1</t>
        </is>
      </c>
      <c r="AS737" s="214" t="n"/>
      <c r="AT737" s="214" t="inlineStr">
        <is>
          <t>HM20</t>
        </is>
      </c>
      <c r="AU737" s="214" t="inlineStr">
        <is>
          <t>NTCV</t>
        </is>
      </c>
      <c r="AV737" s="214" t="n">
        <v>106</v>
      </c>
      <c r="AW737" s="214" t="n">
        <v>2</v>
      </c>
      <c r="AX737" s="214" t="n"/>
    </row>
    <row r="738" ht="28" customHeight="1" s="672">
      <c r="A738" s="56" t="inlineStr">
        <is>
          <t>BBK478</t>
        </is>
      </c>
      <c r="B738" s="56" t="inlineStr">
        <is>
          <t>PL03</t>
        </is>
      </c>
      <c r="C738" s="56" t="inlineStr">
        <is>
          <t>BBK478.0423168</t>
        </is>
      </c>
      <c r="D738" s="57" t="n"/>
      <c r="E738" s="57" t="n"/>
      <c r="F738" s="57" t="n"/>
      <c r="G738" s="57" t="n"/>
      <c r="H738" s="57" t="n"/>
      <c r="J738" s="198" t="inlineStr">
        <is>
          <t>10</t>
        </is>
      </c>
      <c r="K738" s="198" t="inlineStr">
        <is>
          <t>PL03</t>
        </is>
      </c>
      <c r="L738" s="199" t="inlineStr">
        <is>
          <t>Kiểm tra định vị tim cọc khoan nhồi, hạ ống vách thi công</t>
        </is>
      </c>
      <c r="M738" s="199" t="n"/>
      <c r="N738" s="199" t="n"/>
      <c r="O738" s="200" t="inlineStr">
        <is>
          <t>Cầu Km19+529.080</t>
        </is>
      </c>
      <c r="P738" s="201" t="n"/>
      <c r="Q738" s="201" t="n"/>
      <c r="R738" s="201" t="n"/>
      <c r="S738" s="201">
        <f>S737</f>
        <v/>
      </c>
      <c r="T738" s="201" t="n"/>
      <c r="U738" s="201" t="n"/>
      <c r="V738" s="201" t="n"/>
      <c r="W738" s="202" t="n"/>
      <c r="X738" s="202" t="n"/>
      <c r="Y738" s="202" t="n"/>
      <c r="Z738" s="198" t="inlineStr">
        <is>
          <t>03</t>
        </is>
      </c>
      <c r="AA738" s="203" t="n"/>
      <c r="AB738" s="204" t="inlineStr">
        <is>
          <t>09-XL-307HG/PYCNT/CKN/T2/C6-1</t>
        </is>
      </c>
      <c r="AC738" s="204">
        <f>AC737</f>
        <v/>
      </c>
      <c r="AD738" s="255" t="n">
        <v>2481789.703</v>
      </c>
      <c r="AE738" s="255" t="n">
        <v>382430.628</v>
      </c>
      <c r="AF738" s="255" t="n">
        <v>167.86</v>
      </c>
      <c r="AG738" s="255" t="n"/>
      <c r="AH738" s="204" t="inlineStr">
        <is>
          <t>&gt;=306;&lt;=324</t>
        </is>
      </c>
      <c r="AI738" s="207" t="n"/>
      <c r="AJ738" s="202" t="n"/>
      <c r="AK738" s="206" t="n"/>
      <c r="AL738" s="202" t="n"/>
      <c r="AM738" s="202" t="n"/>
      <c r="AN738" s="202" t="n"/>
      <c r="AO738" s="202" t="n"/>
      <c r="AP738" s="207" t="n"/>
      <c r="AQ738" s="207" t="n"/>
      <c r="AR738" s="202" t="inlineStr">
        <is>
          <t>Nhóm 1</t>
        </is>
      </c>
      <c r="AS738" s="202" t="n"/>
      <c r="AT738" s="202" t="inlineStr">
        <is>
          <t>HM20</t>
        </is>
      </c>
      <c r="AU738" s="202" t="inlineStr">
        <is>
          <t>PL03</t>
        </is>
      </c>
      <c r="AV738" s="202" t="n">
        <v>6</v>
      </c>
      <c r="AW738" s="202" t="n">
        <v>1</v>
      </c>
      <c r="AX738" s="202" t="n"/>
    </row>
    <row r="739" ht="28" customHeight="1" s="672">
      <c r="A739" s="56" t="inlineStr">
        <is>
          <t>NTCV</t>
        </is>
      </c>
      <c r="B739" s="56" t="inlineStr">
        <is>
          <t>K.9999</t>
        </is>
      </c>
      <c r="C739" s="56" t="inlineStr">
        <is>
          <t>NTCV.0617498</t>
        </is>
      </c>
      <c r="D739" s="57" t="n"/>
      <c r="E739" s="57" t="n"/>
      <c r="F739" s="57" t="n"/>
      <c r="G739" s="57" t="n"/>
      <c r="H739" s="57" t="n"/>
      <c r="J739" s="209" t="inlineStr">
        <is>
          <t>11</t>
        </is>
      </c>
      <c r="K739" s="209" t="inlineStr">
        <is>
          <t>K.9999</t>
        </is>
      </c>
      <c r="L739" s="210" t="inlineStr">
        <is>
          <t>Nghiệm thu lồng thép cọc khoan nhồi trước khi hạ</t>
        </is>
      </c>
      <c r="M739" s="210" t="n"/>
      <c r="N739" s="210" t="n"/>
      <c r="O739" s="211" t="inlineStr">
        <is>
          <t>Cầu Km19+529.080</t>
        </is>
      </c>
      <c r="P739" s="212">
        <f>S737</f>
        <v/>
      </c>
      <c r="Q739" s="212">
        <f>P739</f>
        <v/>
      </c>
      <c r="R739" s="212">
        <f>Q739-1</f>
        <v/>
      </c>
      <c r="S739" s="212">
        <f>Q739</f>
        <v/>
      </c>
      <c r="T739" s="213">
        <f>U737</f>
        <v/>
      </c>
      <c r="U739" s="213">
        <f>T739+V739</f>
        <v/>
      </c>
      <c r="V739" s="213" t="n">
        <v>0.02083333333333333</v>
      </c>
      <c r="W739" s="214">
        <f>TEXT(T739,"HH""h""MM'")&amp;"÷"&amp;TEXT(U739,"HH""h""MM'")</f>
        <v/>
      </c>
      <c r="X739" s="214" t="n"/>
      <c r="Y739" s="214" t="n"/>
      <c r="Z739" s="214" t="inlineStr">
        <is>
          <t>04;</t>
        </is>
      </c>
      <c r="AA739" s="215" t="inlineStr">
        <is>
          <t>Nghiệm thu lồng thép Cọc khoan nhồi Trụ T2 - Cọc C6</t>
        </is>
      </c>
      <c r="AB739" s="204" t="inlineStr">
        <is>
          <t>09-XL-307HG/PYCNT/CKN/T2/C6-1</t>
        </is>
      </c>
      <c r="AC739" s="204" t="inlineStr">
        <is>
          <t>09-XL-307HG/BBNT/CKN/T2/C6-4</t>
        </is>
      </c>
      <c r="AD739" s="204" t="n"/>
      <c r="AE739" s="204" t="n"/>
      <c r="AF739" s="204" t="n"/>
      <c r="AG739" s="204" t="n"/>
      <c r="AH739" s="204" t="n"/>
      <c r="AI739" s="216" t="n"/>
      <c r="AJ739" s="214" t="n"/>
      <c r="AK739" s="217" t="n"/>
      <c r="AL739" s="214" t="n"/>
      <c r="AM739" s="214" t="n"/>
      <c r="AN739" s="214" t="n"/>
      <c r="AO739" s="214" t="n"/>
      <c r="AP739" s="216" t="n"/>
      <c r="AQ739" s="216" t="n"/>
      <c r="AR739" s="214" t="inlineStr">
        <is>
          <t>Nhóm 1</t>
        </is>
      </c>
      <c r="AS739" s="214" t="n"/>
      <c r="AT739" s="214" t="inlineStr">
        <is>
          <t>HM20</t>
        </is>
      </c>
      <c r="AU739" s="214" t="inlineStr">
        <is>
          <t>NTCV</t>
        </is>
      </c>
      <c r="AV739" s="214" t="n">
        <v>108</v>
      </c>
      <c r="AW739" s="214" t="n">
        <v>3</v>
      </c>
      <c r="AX739" s="214" t="n"/>
    </row>
    <row r="740">
      <c r="A740" s="56" t="inlineStr">
        <is>
          <t>BBK096</t>
        </is>
      </c>
      <c r="B740" s="56" t="inlineStr">
        <is>
          <t>PL04</t>
        </is>
      </c>
      <c r="C740" s="56" t="inlineStr">
        <is>
          <t>BBK096.0241480</t>
        </is>
      </c>
      <c r="D740" s="57" t="n"/>
      <c r="E740" s="57" t="n"/>
      <c r="F740" s="57" t="n"/>
      <c r="G740" s="57" t="n"/>
      <c r="H740" s="57" t="n"/>
      <c r="J740" s="198" t="inlineStr">
        <is>
          <t>12</t>
        </is>
      </c>
      <c r="K740" s="198" t="inlineStr">
        <is>
          <t>PL04</t>
        </is>
      </c>
      <c r="L740" s="199" t="inlineStr">
        <is>
          <t>Nghiệm thu lồng thép cọc khoan nhồi trước khi hạ</t>
        </is>
      </c>
      <c r="M740" s="199" t="n"/>
      <c r="N740" s="199" t="n"/>
      <c r="O740" s="200" t="inlineStr">
        <is>
          <t>Cầu Km19+529.080</t>
        </is>
      </c>
      <c r="P740" s="201" t="n"/>
      <c r="Q740" s="201" t="n"/>
      <c r="R740" s="201" t="n"/>
      <c r="S740" s="201">
        <f>S739</f>
        <v/>
      </c>
      <c r="T740" s="201" t="n"/>
      <c r="U740" s="201" t="n"/>
      <c r="V740" s="201" t="n"/>
      <c r="W740" s="202" t="n"/>
      <c r="X740" s="202" t="n"/>
      <c r="Y740" s="202" t="n"/>
      <c r="Z740" s="198" t="inlineStr">
        <is>
          <t>04</t>
        </is>
      </c>
      <c r="AA740" s="203" t="n"/>
      <c r="AB740" s="204" t="inlineStr">
        <is>
          <t>09-XL-307HG/PYCNT/CKN/T2/C6-1</t>
        </is>
      </c>
      <c r="AC740" s="204">
        <f>AC739</f>
        <v/>
      </c>
      <c r="AD740" s="204" t="n"/>
      <c r="AE740" s="204" t="n"/>
      <c r="AF740" s="204" t="n"/>
      <c r="AG740" s="204" t="n"/>
      <c r="AH740" s="204" t="inlineStr">
        <is>
          <t>T2</t>
        </is>
      </c>
      <c r="AI740" s="207" t="n"/>
      <c r="AJ740" s="202" t="n"/>
      <c r="AK740" s="206" t="n"/>
      <c r="AL740" s="202" t="n"/>
      <c r="AM740" s="202" t="n"/>
      <c r="AN740" s="202" t="n"/>
      <c r="AO740" s="202" t="n"/>
      <c r="AP740" s="207" t="n"/>
      <c r="AQ740" s="207" t="n"/>
      <c r="AR740" s="202" t="inlineStr">
        <is>
          <t>Nhóm 1</t>
        </is>
      </c>
      <c r="AS740" s="202" t="n"/>
      <c r="AT740" s="202" t="inlineStr">
        <is>
          <t>HM20</t>
        </is>
      </c>
      <c r="AU740" s="202" t="inlineStr">
        <is>
          <t>PL04</t>
        </is>
      </c>
      <c r="AV740" s="202" t="n">
        <v>6</v>
      </c>
      <c r="AW740" s="202" t="n">
        <v>1</v>
      </c>
      <c r="AX740" s="202" t="n"/>
    </row>
    <row r="741" ht="28" customHeight="1" s="672">
      <c r="A741" s="56" t="inlineStr">
        <is>
          <t>NTCV</t>
        </is>
      </c>
      <c r="B741" s="56" t="inlineStr">
        <is>
          <t>K.9999</t>
        </is>
      </c>
      <c r="C741" s="56" t="inlineStr">
        <is>
          <t>NTCV.0686122</t>
        </is>
      </c>
      <c r="D741" s="57" t="n"/>
      <c r="E741" s="57" t="n"/>
      <c r="F741" s="57" t="n"/>
      <c r="G741" s="57" t="n"/>
      <c r="H741" s="57" t="n"/>
      <c r="J741" s="209" t="inlineStr">
        <is>
          <t>13</t>
        </is>
      </c>
      <c r="K741" s="209" t="inlineStr">
        <is>
          <t>K.9999</t>
        </is>
      </c>
      <c r="L741" s="210" t="inlineStr">
        <is>
          <t xml:space="preserve">Kiểm tra công tác khoan tạo lỗ cọc khoan nhồi </t>
        </is>
      </c>
      <c r="M741" s="210" t="n"/>
      <c r="N741" s="210" t="n"/>
      <c r="O741" s="211" t="inlineStr">
        <is>
          <t>Cầu Km19+529.080</t>
        </is>
      </c>
      <c r="P741" s="212">
        <f>S739</f>
        <v/>
      </c>
      <c r="Q741" s="212">
        <f>P741</f>
        <v/>
      </c>
      <c r="R741" s="212">
        <f>Q741-1</f>
        <v/>
      </c>
      <c r="S741" s="212">
        <f>Q741</f>
        <v/>
      </c>
      <c r="T741" s="213">
        <f>U739</f>
        <v/>
      </c>
      <c r="U741" s="213">
        <f>T741+V741</f>
        <v/>
      </c>
      <c r="V741" s="213" t="n">
        <v>0.3888888888888889</v>
      </c>
      <c r="W741" s="214">
        <f>TEXT(T741,"HH""h""MM'")&amp;"÷"&amp;TEXT(U741,"HH""h""MM'")</f>
        <v/>
      </c>
      <c r="X741" s="214" t="n"/>
      <c r="Y741" s="214" t="n"/>
      <c r="Z741" s="214" t="inlineStr">
        <is>
          <t>05;</t>
        </is>
      </c>
      <c r="AA741" s="215" t="inlineStr">
        <is>
          <t>Kiểm tra công tác khoan tạo lỗ Cọc khoan nhồi Trụ T2 - Cọc C6</t>
        </is>
      </c>
      <c r="AB741" s="204" t="inlineStr">
        <is>
          <t>09-XL-307HG/PYCNT/CKN/T2/C6-1</t>
        </is>
      </c>
      <c r="AC741" s="204" t="inlineStr">
        <is>
          <t>09-XL-307HG/BBNT/CKN/T2/C6-5</t>
        </is>
      </c>
      <c r="AD741" s="204" t="n"/>
      <c r="AE741" s="204" t="n"/>
      <c r="AF741" s="204" t="n"/>
      <c r="AG741" s="204" t="n"/>
      <c r="AH741" s="204" t="n"/>
      <c r="AI741" s="216" t="n"/>
      <c r="AJ741" s="214" t="n"/>
      <c r="AK741" s="217" t="n"/>
      <c r="AL741" s="214" t="n"/>
      <c r="AM741" s="214" t="n"/>
      <c r="AN741" s="214" t="n"/>
      <c r="AO741" s="214" t="n"/>
      <c r="AP741" s="216" t="n"/>
      <c r="AQ741" s="216" t="n"/>
      <c r="AR741" s="214" t="inlineStr">
        <is>
          <t>Nhóm 1</t>
        </is>
      </c>
      <c r="AS741" s="214" t="n"/>
      <c r="AT741" s="214" t="inlineStr">
        <is>
          <t>HM20</t>
        </is>
      </c>
      <c r="AU741" s="214" t="inlineStr">
        <is>
          <t>NTCV</t>
        </is>
      </c>
      <c r="AV741" s="214" t="n">
        <v>110</v>
      </c>
      <c r="AW741" s="214" t="n">
        <v>4</v>
      </c>
      <c r="AX741" s="214" t="n"/>
    </row>
    <row r="742">
      <c r="A742" s="56" t="inlineStr">
        <is>
          <t>BBK638</t>
        </is>
      </c>
      <c r="B742" s="56" t="inlineStr">
        <is>
          <t>PL05</t>
        </is>
      </c>
      <c r="C742" s="56" t="inlineStr">
        <is>
          <t>BBK638.0589929</t>
        </is>
      </c>
      <c r="D742" s="57" t="n"/>
      <c r="E742" s="57" t="n"/>
      <c r="F742" s="57" t="n"/>
      <c r="G742" s="57" t="n"/>
      <c r="H742" s="57" t="n"/>
      <c r="J742" s="198" t="inlineStr">
        <is>
          <t>14</t>
        </is>
      </c>
      <c r="K742" s="198" t="inlineStr">
        <is>
          <t>PL05</t>
        </is>
      </c>
      <c r="L742" s="199" t="inlineStr">
        <is>
          <t>Kiểm tra công tác khoan tạo lỗ cọc khoan nhồi</t>
        </is>
      </c>
      <c r="M742" s="199" t="n"/>
      <c r="N742" s="199" t="n"/>
      <c r="O742" s="200" t="inlineStr">
        <is>
          <t>Cầu Km19+529.080</t>
        </is>
      </c>
      <c r="P742" s="201" t="n"/>
      <c r="Q742" s="201" t="n"/>
      <c r="R742" s="201" t="n"/>
      <c r="S742" s="201">
        <f>S741</f>
        <v/>
      </c>
      <c r="T742" s="208">
        <f>T741</f>
        <v/>
      </c>
      <c r="U742" s="208" t="n">
        <v>0.7638888888888888</v>
      </c>
      <c r="V742" s="208">
        <f>U742-T742</f>
        <v/>
      </c>
      <c r="W742" s="202" t="n"/>
      <c r="X742" s="202" t="n"/>
      <c r="Y742" s="202" t="n"/>
      <c r="Z742" s="198" t="inlineStr">
        <is>
          <t>05</t>
        </is>
      </c>
      <c r="AA742" s="203" t="n"/>
      <c r="AB742" s="204" t="inlineStr">
        <is>
          <t>09-XL-307HG/PYCNT/CKN/T2/C6</t>
        </is>
      </c>
      <c r="AC742" s="204">
        <f>AC741</f>
        <v/>
      </c>
      <c r="AD742" s="204" t="n"/>
      <c r="AE742" s="204" t="n"/>
      <c r="AF742" s="255" t="n">
        <v>167.86</v>
      </c>
      <c r="AG742" s="255" t="n"/>
      <c r="AH742" s="204" t="inlineStr">
        <is>
          <t>T2-C6</t>
        </is>
      </c>
      <c r="AI742" s="207" t="n"/>
      <c r="AJ742" s="202" t="n"/>
      <c r="AK742" s="206" t="n"/>
      <c r="AL742" s="202" t="n"/>
      <c r="AM742" s="202" t="n"/>
      <c r="AN742" s="202" t="n"/>
      <c r="AO742" s="202" t="n"/>
      <c r="AP742" s="207" t="n"/>
      <c r="AQ742" s="207" t="n"/>
      <c r="AR742" s="202" t="inlineStr">
        <is>
          <t>Nhóm 1</t>
        </is>
      </c>
      <c r="AS742" s="202" t="n"/>
      <c r="AT742" s="202" t="inlineStr">
        <is>
          <t>HM20</t>
        </is>
      </c>
      <c r="AU742" s="202" t="inlineStr">
        <is>
          <t>PL05</t>
        </is>
      </c>
      <c r="AV742" s="202" t="n">
        <v>6</v>
      </c>
      <c r="AW742" s="202" t="n">
        <v>1</v>
      </c>
      <c r="AX742" s="202" t="n"/>
    </row>
    <row r="743">
      <c r="A743" s="56" t="inlineStr">
        <is>
          <t>BBK680</t>
        </is>
      </c>
      <c r="B743" s="56" t="inlineStr">
        <is>
          <t>PYC</t>
        </is>
      </c>
      <c r="C743" s="56" t="inlineStr">
        <is>
          <t>BBK680.0602811</t>
        </is>
      </c>
      <c r="D743" s="57" t="n"/>
      <c r="E743" s="57" t="n"/>
      <c r="F743" s="57" t="n"/>
      <c r="G743" s="57" t="n"/>
      <c r="H743" s="57" t="n"/>
      <c r="J743" s="198" t="inlineStr">
        <is>
          <t>15</t>
        </is>
      </c>
      <c r="K743" s="198" t="inlineStr">
        <is>
          <t>PYC</t>
        </is>
      </c>
      <c r="L743" s="199" t="inlineStr">
        <is>
          <t>Phiếu yêu cầu nghiệm thu</t>
        </is>
      </c>
      <c r="M743" s="199" t="n"/>
      <c r="N743" s="199" t="n"/>
      <c r="O743" s="200" t="inlineStr">
        <is>
          <t>Cầu Km19+529.080</t>
        </is>
      </c>
      <c r="P743" s="201" t="n"/>
      <c r="Q743" s="201" t="n"/>
      <c r="R743" s="201">
        <f>R744</f>
        <v/>
      </c>
      <c r="S743" s="201" t="n"/>
      <c r="T743" s="201" t="n"/>
      <c r="U743" s="201" t="n"/>
      <c r="V743" s="201" t="n"/>
      <c r="W743" s="202" t="n"/>
      <c r="X743" s="202" t="n"/>
      <c r="Y743" s="202" t="n"/>
      <c r="Z743" s="202" t="n"/>
      <c r="AA743" s="203" t="n"/>
      <c r="AB743" s="204" t="inlineStr">
        <is>
          <t>09-XL-307HG/PYCNT/CKN/T2/C6</t>
        </is>
      </c>
      <c r="AC743" s="205" t="inlineStr"/>
      <c r="AD743" s="205" t="n"/>
      <c r="AE743" s="205" t="n"/>
      <c r="AF743" s="205" t="n"/>
      <c r="AG743" s="205" t="inlineStr">
        <is>
          <t>NTCV;BBKTĐK</t>
        </is>
      </c>
      <c r="AH743" s="204" t="inlineStr">
        <is>
          <t>&gt;=6;&lt;=10</t>
        </is>
      </c>
      <c r="AI743" s="202" t="n"/>
      <c r="AJ743" s="202" t="n"/>
      <c r="AK743" s="206" t="n"/>
      <c r="AL743" s="202" t="n"/>
      <c r="AM743" s="202" t="n"/>
      <c r="AN743" s="202" t="n"/>
      <c r="AO743" s="202" t="n"/>
      <c r="AP743" s="207" t="n"/>
      <c r="AQ743" s="207" t="n"/>
      <c r="AR743" s="202" t="inlineStr">
        <is>
          <t>Nhóm 1</t>
        </is>
      </c>
      <c r="AS743" s="202" t="n"/>
      <c r="AT743" s="202" t="inlineStr">
        <is>
          <t>HM20</t>
        </is>
      </c>
      <c r="AU743" s="202" t="inlineStr">
        <is>
          <t>PYC</t>
        </is>
      </c>
      <c r="AV743" s="202" t="n">
        <v>206</v>
      </c>
      <c r="AW743" s="202" t="n">
        <v>2</v>
      </c>
      <c r="AX743" s="202" t="n"/>
    </row>
    <row r="744" ht="42" customHeight="1" s="672">
      <c r="A744" s="56" t="inlineStr">
        <is>
          <t>NTCV</t>
        </is>
      </c>
      <c r="B744" s="56" t="inlineStr">
        <is>
          <t>K.9999</t>
        </is>
      </c>
      <c r="C744" s="56" t="inlineStr">
        <is>
          <t>NTCV.0078752</t>
        </is>
      </c>
      <c r="D744" s="57" t="n"/>
      <c r="E744" s="57" t="n"/>
      <c r="F744" s="57" t="n"/>
      <c r="G744" s="57" t="n"/>
      <c r="H744" s="57" t="n"/>
      <c r="J744" s="209" t="inlineStr">
        <is>
          <t>16</t>
        </is>
      </c>
      <c r="K744" s="209" t="inlineStr">
        <is>
          <t>K.9999</t>
        </is>
      </c>
      <c r="L744" s="210" t="inlineStr">
        <is>
          <t>Kiểm tra công tác vệ sinh lỗ khoan trước khi hạ lồng cốt thép cọc khoan nhồi</t>
        </is>
      </c>
      <c r="M744" s="210" t="n"/>
      <c r="N744" s="210" t="n"/>
      <c r="O744" s="211" t="inlineStr">
        <is>
          <t>Cầu Km19+529.080</t>
        </is>
      </c>
      <c r="P744" s="212">
        <f>S741+1</f>
        <v/>
      </c>
      <c r="Q744" s="212">
        <f>P744</f>
        <v/>
      </c>
      <c r="R744" s="212">
        <f>Q744-1</f>
        <v/>
      </c>
      <c r="S744" s="212">
        <f>Q744</f>
        <v/>
      </c>
      <c r="T744" s="213" t="n">
        <v>0.3333333333333333</v>
      </c>
      <c r="U744" s="213">
        <f>T744+V744</f>
        <v/>
      </c>
      <c r="V744" s="213" t="n">
        <v>0.01388888888888889</v>
      </c>
      <c r="W744" s="214">
        <f>TEXT(T744,"HH""h""MM'")&amp;"÷"&amp;TEXT(U744,"HH""h""MM'")</f>
        <v/>
      </c>
      <c r="X744" s="214" t="n"/>
      <c r="Y744" s="214" t="n"/>
      <c r="Z744" s="214" t="inlineStr">
        <is>
          <t>06;</t>
        </is>
      </c>
      <c r="AA744" s="215" t="inlineStr">
        <is>
          <t>Kiểm tra công tác vệ sinh lỗ khoan trước khi hạ lồng cốt thép Cọc khoan nhồi Trụ T2 - Cọc C6</t>
        </is>
      </c>
      <c r="AB744" s="204" t="inlineStr">
        <is>
          <t>09-XL-307HG/PYCNT/CKN/T2/C6-2</t>
        </is>
      </c>
      <c r="AC744" s="204" t="inlineStr">
        <is>
          <t>09-XL-307HG/BBNT/CKN/T2/C6-6</t>
        </is>
      </c>
      <c r="AD744" s="204" t="n"/>
      <c r="AE744" s="204" t="n"/>
      <c r="AF744" s="204" t="n"/>
      <c r="AG744" s="204" t="n"/>
      <c r="AH744" s="204" t="n"/>
      <c r="AI744" s="216" t="n"/>
      <c r="AJ744" s="214" t="n"/>
      <c r="AK744" s="217" t="n"/>
      <c r="AL744" s="214" t="n"/>
      <c r="AM744" s="214" t="n"/>
      <c r="AN744" s="214" t="n"/>
      <c r="AO744" s="214" t="n"/>
      <c r="AP744" s="216" t="n"/>
      <c r="AQ744" s="216" t="n"/>
      <c r="AR744" s="214" t="inlineStr">
        <is>
          <t>Nhóm 1</t>
        </is>
      </c>
      <c r="AS744" s="214" t="n"/>
      <c r="AT744" s="214" t="inlineStr">
        <is>
          <t>HM20</t>
        </is>
      </c>
      <c r="AU744" s="214" t="inlineStr">
        <is>
          <t>NTCV</t>
        </is>
      </c>
      <c r="AV744" s="214" t="n">
        <v>116</v>
      </c>
      <c r="AW744" s="214" t="n">
        <v>5</v>
      </c>
      <c r="AX744" s="214" t="n"/>
    </row>
    <row r="745" ht="28" customHeight="1" s="672">
      <c r="A745" s="56" t="inlineStr">
        <is>
          <t>BBK570</t>
        </is>
      </c>
      <c r="B745" s="56" t="inlineStr">
        <is>
          <t>PL06</t>
        </is>
      </c>
      <c r="C745" s="56" t="inlineStr">
        <is>
          <t>BBK570.0044667</t>
        </is>
      </c>
      <c r="D745" s="57" t="n"/>
      <c r="E745" s="57" t="n"/>
      <c r="F745" s="57" t="n"/>
      <c r="G745" s="57" t="n"/>
      <c r="H745" s="57" t="n"/>
      <c r="J745" s="198" t="inlineStr">
        <is>
          <t>17</t>
        </is>
      </c>
      <c r="K745" s="198" t="inlineStr">
        <is>
          <t>PL06</t>
        </is>
      </c>
      <c r="L745" s="199" t="inlineStr">
        <is>
          <t>Kiểm tra công tác vệ sinh lỗ khoan trước khi hạ lồng cốt thép cọc khoan nhồi</t>
        </is>
      </c>
      <c r="M745" s="199" t="n"/>
      <c r="N745" s="199" t="n"/>
      <c r="O745" s="200" t="inlineStr">
        <is>
          <t>Cầu Km19+529.080</t>
        </is>
      </c>
      <c r="P745" s="201" t="n"/>
      <c r="Q745" s="201" t="n"/>
      <c r="R745" s="201" t="n"/>
      <c r="S745" s="201">
        <f>S744</f>
        <v/>
      </c>
      <c r="T745" s="201" t="n"/>
      <c r="U745" s="201" t="n"/>
      <c r="V745" s="201" t="n"/>
      <c r="W745" s="202" t="n"/>
      <c r="X745" s="265" t="n">
        <v>135.86</v>
      </c>
      <c r="Y745" s="265">
        <f>X745-0.02</f>
        <v/>
      </c>
      <c r="Z745" s="198" t="inlineStr">
        <is>
          <t>06</t>
        </is>
      </c>
      <c r="AA745" s="203" t="n"/>
      <c r="AB745" s="204" t="inlineStr">
        <is>
          <t>09-XL-307HG/PYCNT/CKN/T2/C6-2</t>
        </is>
      </c>
      <c r="AC745" s="204">
        <f>AC744</f>
        <v/>
      </c>
      <c r="AD745" s="204" t="n"/>
      <c r="AE745" s="204" t="n"/>
      <c r="AF745" s="204" t="n"/>
      <c r="AG745" s="204" t="n"/>
      <c r="AH745" s="204" t="n"/>
      <c r="AI745" s="202" t="n"/>
      <c r="AJ745" s="202" t="n"/>
      <c r="AK745" s="206" t="n"/>
      <c r="AL745" s="202" t="n"/>
      <c r="AM745" s="202" t="n"/>
      <c r="AN745" s="202" t="n"/>
      <c r="AO745" s="202" t="n"/>
      <c r="AP745" s="207" t="n"/>
      <c r="AQ745" s="207" t="n"/>
      <c r="AR745" s="202" t="inlineStr">
        <is>
          <t>Nhóm 1</t>
        </is>
      </c>
      <c r="AS745" s="202" t="n"/>
      <c r="AT745" s="202" t="inlineStr">
        <is>
          <t>HM20</t>
        </is>
      </c>
      <c r="AU745" s="202" t="inlineStr">
        <is>
          <t>PL06</t>
        </is>
      </c>
      <c r="AV745" s="202" t="n">
        <v>6</v>
      </c>
      <c r="AW745" s="202" t="n">
        <v>1</v>
      </c>
      <c r="AX745" s="202" t="n"/>
    </row>
    <row r="746" ht="28" customHeight="1" s="672">
      <c r="A746" s="56" t="inlineStr">
        <is>
          <t>NTCV</t>
        </is>
      </c>
      <c r="B746" s="56" t="inlineStr">
        <is>
          <t>K.9999</t>
        </is>
      </c>
      <c r="C746" s="56" t="inlineStr">
        <is>
          <t>NTCV.0153209</t>
        </is>
      </c>
      <c r="D746" s="57" t="n"/>
      <c r="E746" s="57" t="n"/>
      <c r="F746" s="57" t="n"/>
      <c r="G746" s="57" t="n"/>
      <c r="H746" s="57" t="n"/>
      <c r="J746" s="209" t="inlineStr">
        <is>
          <t>18</t>
        </is>
      </c>
      <c r="K746" s="209" t="inlineStr">
        <is>
          <t>K.9999</t>
        </is>
      </c>
      <c r="L746" s="210" t="inlineStr">
        <is>
          <t xml:space="preserve">Nghiệm thu công tác hạ lồng thép </t>
        </is>
      </c>
      <c r="M746" s="210" t="n"/>
      <c r="N746" s="210" t="n"/>
      <c r="O746" s="211" t="inlineStr">
        <is>
          <t>Cầu Km19+529.080</t>
        </is>
      </c>
      <c r="P746" s="212">
        <f>S744</f>
        <v/>
      </c>
      <c r="Q746" s="212">
        <f>P746</f>
        <v/>
      </c>
      <c r="R746" s="212">
        <f>Q746-1</f>
        <v/>
      </c>
      <c r="S746" s="212">
        <f>Q746</f>
        <v/>
      </c>
      <c r="T746" s="213">
        <f>U744</f>
        <v/>
      </c>
      <c r="U746" s="213">
        <f>T746+V746</f>
        <v/>
      </c>
      <c r="V746" s="213" t="n">
        <v>0.03125</v>
      </c>
      <c r="W746" s="214">
        <f>TEXT(T746,"HH""h""MM'")&amp;"÷"&amp;TEXT(U746,"HH""h""MM'")</f>
        <v/>
      </c>
      <c r="X746" s="214" t="n"/>
      <c r="Y746" s="214" t="n"/>
      <c r="Z746" s="214" t="inlineStr">
        <is>
          <t>07;</t>
        </is>
      </c>
      <c r="AA746" s="215" t="inlineStr">
        <is>
          <t>Công tác hạ lồng thép Cọc khoan nhồi Trụ T2 - Cọc C6</t>
        </is>
      </c>
      <c r="AB746" s="204" t="inlineStr">
        <is>
          <t>09-XL-307HG/PYCNT/CKN/T2/C6-2</t>
        </is>
      </c>
      <c r="AC746" s="204" t="inlineStr">
        <is>
          <t>09-XL-307HG/BBNT/CKN/T2/C6-7</t>
        </is>
      </c>
      <c r="AD746" s="204" t="n"/>
      <c r="AE746" s="204" t="n"/>
      <c r="AF746" s="204" t="n"/>
      <c r="AG746" s="204" t="n"/>
      <c r="AH746" s="204" t="n"/>
      <c r="AI746" s="214" t="n"/>
      <c r="AJ746" s="214" t="n"/>
      <c r="AK746" s="217" t="n"/>
      <c r="AL746" s="214" t="n"/>
      <c r="AM746" s="214" t="n"/>
      <c r="AN746" s="214" t="n"/>
      <c r="AO746" s="214" t="n"/>
      <c r="AP746" s="216" t="n"/>
      <c r="AQ746" s="216" t="n"/>
      <c r="AR746" s="214" t="inlineStr">
        <is>
          <t>Nhóm 1</t>
        </is>
      </c>
      <c r="AS746" s="214" t="n"/>
      <c r="AT746" s="214" t="inlineStr">
        <is>
          <t>HM20</t>
        </is>
      </c>
      <c r="AU746" s="214" t="inlineStr">
        <is>
          <t>NTCV</t>
        </is>
      </c>
      <c r="AV746" s="214" t="n">
        <v>117</v>
      </c>
      <c r="AW746" s="214" t="n">
        <v>6</v>
      </c>
      <c r="AX746" s="214" t="n"/>
    </row>
    <row r="747">
      <c r="A747" s="56" t="inlineStr">
        <is>
          <t>BBK396</t>
        </is>
      </c>
      <c r="B747" s="56" t="inlineStr">
        <is>
          <t>PL07</t>
        </is>
      </c>
      <c r="C747" s="56" t="inlineStr">
        <is>
          <t>BBK396.0246225</t>
        </is>
      </c>
      <c r="D747" s="57" t="n"/>
      <c r="E747" s="57" t="n"/>
      <c r="F747" s="57" t="n"/>
      <c r="G747" s="57" t="n"/>
      <c r="H747" s="57" t="n"/>
      <c r="J747" s="198" t="inlineStr">
        <is>
          <t>19</t>
        </is>
      </c>
      <c r="K747" s="198" t="inlineStr">
        <is>
          <t>PL07</t>
        </is>
      </c>
      <c r="L747" s="199" t="inlineStr">
        <is>
          <t>Nghiệm thu công tác hạ lồng thép</t>
        </is>
      </c>
      <c r="M747" s="199" t="n"/>
      <c r="N747" s="199" t="n"/>
      <c r="O747" s="200" t="inlineStr">
        <is>
          <t>Cầu Km19+529.080</t>
        </is>
      </c>
      <c r="P747" s="201" t="n"/>
      <c r="Q747" s="201" t="n"/>
      <c r="R747" s="201" t="n"/>
      <c r="S747" s="201">
        <f>S746</f>
        <v/>
      </c>
      <c r="T747" s="201" t="n"/>
      <c r="U747" s="201" t="n"/>
      <c r="V747" s="201" t="n"/>
      <c r="W747" s="202" t="n"/>
      <c r="X747" s="202" t="n"/>
      <c r="Y747" s="202" t="n"/>
      <c r="Z747" s="198" t="inlineStr">
        <is>
          <t>07</t>
        </is>
      </c>
      <c r="AA747" s="203" t="n"/>
      <c r="AB747" s="204" t="inlineStr">
        <is>
          <t>09-XL-307HG/PYCNT/CKN/T2/C6-2</t>
        </is>
      </c>
      <c r="AC747" s="204">
        <f>AC746</f>
        <v/>
      </c>
      <c r="AD747" s="204" t="n"/>
      <c r="AE747" s="204" t="n"/>
      <c r="AF747" s="204" t="n"/>
      <c r="AG747" s="204" t="n"/>
      <c r="AH747" s="204" t="n"/>
      <c r="AI747" s="202" t="n"/>
      <c r="AJ747" s="202" t="n"/>
      <c r="AK747" s="206" t="n"/>
      <c r="AL747" s="202" t="n"/>
      <c r="AM747" s="202" t="n"/>
      <c r="AN747" s="202" t="n"/>
      <c r="AO747" s="202" t="n"/>
      <c r="AP747" s="207" t="n"/>
      <c r="AQ747" s="207" t="n"/>
      <c r="AR747" s="202" t="inlineStr">
        <is>
          <t>Nhóm 1</t>
        </is>
      </c>
      <c r="AS747" s="202" t="n"/>
      <c r="AT747" s="202" t="inlineStr">
        <is>
          <t>HM20</t>
        </is>
      </c>
      <c r="AU747" s="202" t="inlineStr">
        <is>
          <t>PL07</t>
        </is>
      </c>
      <c r="AV747" s="202" t="n">
        <v>6</v>
      </c>
      <c r="AW747" s="202" t="n">
        <v>1</v>
      </c>
      <c r="AX747" s="202" t="n"/>
    </row>
    <row r="748" ht="42" customHeight="1" s="672">
      <c r="A748" s="56" t="inlineStr">
        <is>
          <t>NTCV</t>
        </is>
      </c>
      <c r="B748" s="56" t="inlineStr">
        <is>
          <t>K.9999</t>
        </is>
      </c>
      <c r="C748" s="56" t="inlineStr">
        <is>
          <t>NTCV.0398755</t>
        </is>
      </c>
      <c r="D748" s="57" t="n"/>
      <c r="E748" s="57" t="n"/>
      <c r="F748" s="57" t="n"/>
      <c r="G748" s="57" t="n"/>
      <c r="H748" s="57" t="n"/>
      <c r="J748" s="209" t="inlineStr">
        <is>
          <t>20</t>
        </is>
      </c>
      <c r="K748" s="209" t="inlineStr">
        <is>
          <t>K.9999</t>
        </is>
      </c>
      <c r="L748" s="210" t="inlineStr">
        <is>
          <t xml:space="preserve">Kiểm tra công tác vệ sinh lỗ khoan cọc khoan nhồi trước khi đổ bê tông </t>
        </is>
      </c>
      <c r="M748" s="210" t="n"/>
      <c r="N748" s="210" t="n"/>
      <c r="O748" s="211" t="inlineStr">
        <is>
          <t>Cầu Km19+529.080</t>
        </is>
      </c>
      <c r="P748" s="212">
        <f>S746</f>
        <v/>
      </c>
      <c r="Q748" s="212">
        <f>P748</f>
        <v/>
      </c>
      <c r="R748" s="212">
        <f>Q748-1</f>
        <v/>
      </c>
      <c r="S748" s="212">
        <f>Q748</f>
        <v/>
      </c>
      <c r="T748" s="213">
        <f>U746</f>
        <v/>
      </c>
      <c r="U748" s="213">
        <f>T748+V748</f>
        <v/>
      </c>
      <c r="V748" s="213" t="n">
        <v>0.02083333333333333</v>
      </c>
      <c r="W748" s="214">
        <f>TEXT(T748,"HH""h""MM'")&amp;"÷"&amp;TEXT(U748,"HH""h""MM'")</f>
        <v/>
      </c>
      <c r="X748" s="214" t="n"/>
      <c r="Y748" s="214" t="n"/>
      <c r="Z748" s="214" t="inlineStr">
        <is>
          <t>08;</t>
        </is>
      </c>
      <c r="AA748" s="215" t="inlineStr">
        <is>
          <t>Kiểm tra công tác vệ sinh lỗ khoan cọc khoan nhồi trước khi đổ bê tông Cọc khoan nhồi Trụ T2 - Cọc C6</t>
        </is>
      </c>
      <c r="AB748" s="204" t="inlineStr">
        <is>
          <t>09-XL-307HG/PYCNT/CKN/T2/C6-2</t>
        </is>
      </c>
      <c r="AC748" s="204" t="inlineStr">
        <is>
          <t>09-XL-307HG/BBNT/CKN/T2/C6-8</t>
        </is>
      </c>
      <c r="AD748" s="204" t="n"/>
      <c r="AE748" s="204" t="n"/>
      <c r="AF748" s="204" t="n"/>
      <c r="AG748" s="204" t="n"/>
      <c r="AH748" s="204" t="n"/>
      <c r="AI748" s="214" t="n"/>
      <c r="AJ748" s="214" t="n"/>
      <c r="AK748" s="217" t="n"/>
      <c r="AL748" s="214" t="n"/>
      <c r="AM748" s="214" t="n"/>
      <c r="AN748" s="214" t="n"/>
      <c r="AO748" s="214" t="n"/>
      <c r="AP748" s="216" t="n"/>
      <c r="AQ748" s="216" t="n"/>
      <c r="AR748" s="214" t="inlineStr">
        <is>
          <t>Nhóm 1</t>
        </is>
      </c>
      <c r="AS748" s="214" t="n"/>
      <c r="AT748" s="214" t="inlineStr">
        <is>
          <t>HM20</t>
        </is>
      </c>
      <c r="AU748" s="214" t="inlineStr">
        <is>
          <t>NTCV</t>
        </is>
      </c>
      <c r="AV748" s="214" t="n">
        <v>120</v>
      </c>
      <c r="AW748" s="214" t="n">
        <v>7</v>
      </c>
      <c r="AX748" s="214" t="n"/>
    </row>
    <row r="749" ht="28" customHeight="1" s="672">
      <c r="A749" s="56" t="inlineStr">
        <is>
          <t>BBK521</t>
        </is>
      </c>
      <c r="B749" s="56" t="inlineStr">
        <is>
          <t>PL08</t>
        </is>
      </c>
      <c r="C749" s="56" t="inlineStr">
        <is>
          <t>BBK521.0583927</t>
        </is>
      </c>
      <c r="D749" s="57" t="n"/>
      <c r="E749" s="57" t="n"/>
      <c r="F749" s="57" t="n"/>
      <c r="G749" s="57" t="n"/>
      <c r="H749" s="57" t="n"/>
      <c r="J749" s="198" t="inlineStr">
        <is>
          <t>21</t>
        </is>
      </c>
      <c r="K749" s="198" t="inlineStr">
        <is>
          <t>PL08</t>
        </is>
      </c>
      <c r="L749" s="199" t="inlineStr">
        <is>
          <t>Kiểm tra công tác vệ sinh lỗ khoan cọc khoan nhồi trước khi đổ bê tông</t>
        </is>
      </c>
      <c r="M749" s="199" t="n"/>
      <c r="N749" s="199" t="n"/>
      <c r="O749" s="200" t="inlineStr">
        <is>
          <t>Cầu Km19+529.080</t>
        </is>
      </c>
      <c r="P749" s="201" t="n"/>
      <c r="Q749" s="201" t="n"/>
      <c r="R749" s="201" t="n"/>
      <c r="S749" s="201">
        <f>S748</f>
        <v/>
      </c>
      <c r="T749" s="201" t="n"/>
      <c r="U749" s="201" t="n"/>
      <c r="V749" s="201" t="n"/>
      <c r="W749" s="202" t="n"/>
      <c r="X749" s="202" t="n"/>
      <c r="Y749" s="202" t="n"/>
      <c r="Z749" s="198" t="inlineStr">
        <is>
          <t>08</t>
        </is>
      </c>
      <c r="AA749" s="203" t="n"/>
      <c r="AB749" s="204" t="inlineStr">
        <is>
          <t>09-XL-307HG/PYCNT/CKN/T2/C6-2</t>
        </is>
      </c>
      <c r="AC749" s="204">
        <f>AC748</f>
        <v/>
      </c>
      <c r="AD749" s="204" t="n"/>
      <c r="AE749" s="204" t="n"/>
      <c r="AF749" s="204" t="n"/>
      <c r="AG749" s="204" t="n"/>
      <c r="AH749" s="204" t="n"/>
      <c r="AI749" s="202" t="n"/>
      <c r="AJ749" s="202" t="n"/>
      <c r="AK749" s="206" t="n"/>
      <c r="AL749" s="202" t="n"/>
      <c r="AM749" s="202" t="n"/>
      <c r="AN749" s="202" t="n"/>
      <c r="AO749" s="202" t="n"/>
      <c r="AP749" s="207" t="n"/>
      <c r="AQ749" s="207" t="n"/>
      <c r="AR749" s="202" t="inlineStr">
        <is>
          <t>Nhóm 1</t>
        </is>
      </c>
      <c r="AS749" s="202" t="n"/>
      <c r="AT749" s="202" t="inlineStr">
        <is>
          <t>HM20</t>
        </is>
      </c>
      <c r="AU749" s="202" t="inlineStr">
        <is>
          <t>PL08</t>
        </is>
      </c>
      <c r="AV749" s="202" t="n">
        <v>6</v>
      </c>
      <c r="AW749" s="202" t="n">
        <v>1</v>
      </c>
      <c r="AX749" s="202" t="n"/>
    </row>
    <row r="750" ht="28" customHeight="1" s="672">
      <c r="A750" s="56" t="inlineStr">
        <is>
          <t>NTCV</t>
        </is>
      </c>
      <c r="B750" s="56" t="inlineStr">
        <is>
          <t>K.9999</t>
        </is>
      </c>
      <c r="C750" s="56" t="inlineStr">
        <is>
          <t>NTCV.0287628</t>
        </is>
      </c>
      <c r="D750" s="57" t="n"/>
      <c r="E750" s="57" t="n"/>
      <c r="F750" s="57" t="n"/>
      <c r="G750" s="57" t="n"/>
      <c r="H750" s="57" t="n"/>
      <c r="J750" s="209" t="inlineStr">
        <is>
          <t>22</t>
        </is>
      </c>
      <c r="K750" s="209" t="inlineStr">
        <is>
          <t>K.9999</t>
        </is>
      </c>
      <c r="L750" s="210" t="inlineStr">
        <is>
          <t xml:space="preserve">Kiểm tra công tác chuẩn bị đổ bê tông cọc khoan nhồi </t>
        </is>
      </c>
      <c r="M750" s="210" t="n"/>
      <c r="N750" s="210" t="n"/>
      <c r="O750" s="211" t="inlineStr">
        <is>
          <t>Cầu Km19+529.080</t>
        </is>
      </c>
      <c r="P750" s="212">
        <f>S748</f>
        <v/>
      </c>
      <c r="Q750" s="212">
        <f>P750</f>
        <v/>
      </c>
      <c r="R750" s="212">
        <f>Q750-1</f>
        <v/>
      </c>
      <c r="S750" s="212">
        <f>Q750</f>
        <v/>
      </c>
      <c r="T750" s="213">
        <f>U748</f>
        <v/>
      </c>
      <c r="U750" s="213">
        <f>T750+V750</f>
        <v/>
      </c>
      <c r="V750" s="213" t="n">
        <v>0.02083333333333333</v>
      </c>
      <c r="W750" s="214">
        <f>TEXT(T750,"HH""h""MM'")&amp;"÷"&amp;TEXT(U750,"HH""h""MM'")</f>
        <v/>
      </c>
      <c r="X750" s="214" t="n"/>
      <c r="Y750" s="214" t="n"/>
      <c r="Z750" s="214" t="inlineStr">
        <is>
          <t>09;</t>
        </is>
      </c>
      <c r="AA750" s="215" t="inlineStr">
        <is>
          <t>Kiểm tra công tác chuẩn bị đổ bê tông Cọc khoan nhồi Trụ T2 - Cọc C6</t>
        </is>
      </c>
      <c r="AB750" s="204" t="inlineStr">
        <is>
          <t>09-XL-307HG/PYCNT/CKN/T2/C6-2</t>
        </is>
      </c>
      <c r="AC750" s="204" t="inlineStr">
        <is>
          <t>09-XL-307HG/BBNT/CKN/T2/C6-9</t>
        </is>
      </c>
      <c r="AD750" s="204" t="n"/>
      <c r="AE750" s="204" t="n"/>
      <c r="AF750" s="204" t="n"/>
      <c r="AG750" s="204" t="n"/>
      <c r="AH750" s="204" t="n"/>
      <c r="AI750" s="214" t="n"/>
      <c r="AJ750" s="214" t="n"/>
      <c r="AK750" s="217" t="n"/>
      <c r="AL750" s="214" t="n"/>
      <c r="AM750" s="214" t="n"/>
      <c r="AN750" s="214" t="n"/>
      <c r="AO750" s="214" t="n"/>
      <c r="AP750" s="216" t="n"/>
      <c r="AQ750" s="216" t="n"/>
      <c r="AR750" s="214" t="inlineStr">
        <is>
          <t>Nhóm 1</t>
        </is>
      </c>
      <c r="AS750" s="214" t="n"/>
      <c r="AT750" s="214" t="inlineStr">
        <is>
          <t>HM20</t>
        </is>
      </c>
      <c r="AU750" s="214" t="inlineStr">
        <is>
          <t>NTCV</t>
        </is>
      </c>
      <c r="AV750" s="214" t="n">
        <v>121</v>
      </c>
      <c r="AW750" s="214" t="n">
        <v>8</v>
      </c>
      <c r="AX750" s="214" t="n"/>
    </row>
    <row r="751">
      <c r="A751" s="56" t="inlineStr">
        <is>
          <t>BBK209</t>
        </is>
      </c>
      <c r="B751" s="56" t="inlineStr">
        <is>
          <t>PL09</t>
        </is>
      </c>
      <c r="C751" s="56" t="inlineStr">
        <is>
          <t>BBK209.0836374</t>
        </is>
      </c>
      <c r="D751" s="57" t="n"/>
      <c r="E751" s="57" t="n"/>
      <c r="F751" s="57" t="n"/>
      <c r="G751" s="57" t="n"/>
      <c r="H751" s="57" t="n"/>
      <c r="J751" s="198" t="inlineStr">
        <is>
          <t>23</t>
        </is>
      </c>
      <c r="K751" s="198" t="inlineStr">
        <is>
          <t>PL09</t>
        </is>
      </c>
      <c r="L751" s="199" t="inlineStr">
        <is>
          <t>Kiểm tra công tác chuẩn bị đổ bê tông cọc khoan nhồi</t>
        </is>
      </c>
      <c r="M751" s="199" t="n"/>
      <c r="N751" s="199" t="n"/>
      <c r="O751" s="200" t="inlineStr">
        <is>
          <t>Cầu Km19+529.080</t>
        </is>
      </c>
      <c r="P751" s="201" t="n"/>
      <c r="Q751" s="201" t="n"/>
      <c r="R751" s="201" t="n"/>
      <c r="S751" s="201">
        <f>S750</f>
        <v/>
      </c>
      <c r="T751" s="201" t="n"/>
      <c r="U751" s="201" t="n"/>
      <c r="V751" s="201" t="n"/>
      <c r="W751" s="202" t="n"/>
      <c r="X751" s="202" t="n"/>
      <c r="Y751" s="202" t="n"/>
      <c r="Z751" s="198" t="inlineStr">
        <is>
          <t>09</t>
        </is>
      </c>
      <c r="AA751" s="203" t="n"/>
      <c r="AB751" s="204" t="inlineStr">
        <is>
          <t>09-XL-307HG/PYCNT/CKN/T2/C6-2</t>
        </is>
      </c>
      <c r="AC751" s="204">
        <f>AC750</f>
        <v/>
      </c>
      <c r="AD751" s="204" t="n"/>
      <c r="AE751" s="204" t="n"/>
      <c r="AF751" s="204" t="n"/>
      <c r="AG751" s="204" t="n"/>
      <c r="AH751" s="204" t="inlineStr">
        <is>
          <t>C30(1)</t>
        </is>
      </c>
      <c r="AI751" s="202" t="n"/>
      <c r="AJ751" s="202" t="n"/>
      <c r="AK751" s="206" t="n"/>
      <c r="AL751" s="202" t="n"/>
      <c r="AM751" s="202" t="n"/>
      <c r="AN751" s="202" t="n"/>
      <c r="AO751" s="202" t="n"/>
      <c r="AP751" s="207" t="n"/>
      <c r="AQ751" s="207" t="n"/>
      <c r="AR751" s="202" t="inlineStr">
        <is>
          <t>Nhóm 1</t>
        </is>
      </c>
      <c r="AS751" s="202" t="n"/>
      <c r="AT751" s="202" t="inlineStr">
        <is>
          <t>HM20</t>
        </is>
      </c>
      <c r="AU751" s="202" t="inlineStr">
        <is>
          <t>PL09</t>
        </is>
      </c>
      <c r="AV751" s="202" t="n">
        <v>6</v>
      </c>
      <c r="AW751" s="202" t="n">
        <v>1</v>
      </c>
      <c r="AX751" s="202" t="n"/>
    </row>
    <row r="752" ht="28" customHeight="1" s="672">
      <c r="A752" s="56" t="inlineStr">
        <is>
          <t>NTCV</t>
        </is>
      </c>
      <c r="B752" s="56" t="inlineStr">
        <is>
          <t>K.9999</t>
        </is>
      </c>
      <c r="C752" s="56" t="inlineStr">
        <is>
          <t>NTCV.0898083</t>
        </is>
      </c>
      <c r="D752" s="57" t="n"/>
      <c r="E752" s="57" t="n"/>
      <c r="F752" s="57" t="n"/>
      <c r="G752" s="57" t="n"/>
      <c r="H752" s="57" t="n"/>
      <c r="J752" s="209" t="inlineStr">
        <is>
          <t>24</t>
        </is>
      </c>
      <c r="K752" s="209" t="inlineStr">
        <is>
          <t>K.9999</t>
        </is>
      </c>
      <c r="L752" s="210" t="inlineStr">
        <is>
          <t>Theo dõi quá trình đổ bê tông cọc khoan nhồi</t>
        </is>
      </c>
      <c r="M752" s="210" t="n"/>
      <c r="N752" s="210" t="n"/>
      <c r="O752" s="211" t="inlineStr">
        <is>
          <t>Cầu Km19+529.080</t>
        </is>
      </c>
      <c r="P752" s="212">
        <f>S750</f>
        <v/>
      </c>
      <c r="Q752" s="212">
        <f>P752</f>
        <v/>
      </c>
      <c r="R752" s="212">
        <f>Q752-1</f>
        <v/>
      </c>
      <c r="S752" s="212">
        <f>Q752</f>
        <v/>
      </c>
      <c r="T752" s="213">
        <f>U750</f>
        <v/>
      </c>
      <c r="U752" s="213">
        <f>T752+V752</f>
        <v/>
      </c>
      <c r="V752" s="213" t="n">
        <v>0.1458333333333333</v>
      </c>
      <c r="W752" s="214">
        <f>TEXT(T752,"HH""h""MM'")&amp;"÷"&amp;TEXT(U752,"HH""h""MM'")</f>
        <v/>
      </c>
      <c r="X752" s="214" t="n"/>
      <c r="Y752" s="214" t="n"/>
      <c r="Z752" s="214" t="inlineStr">
        <is>
          <t>10;</t>
        </is>
      </c>
      <c r="AA752" s="215" t="inlineStr">
        <is>
          <t>Theo dõi quá trình đổ bê tông  Cọc khoan nhồi Trụ T2 - Cọc C6</t>
        </is>
      </c>
      <c r="AB752" s="204" t="inlineStr">
        <is>
          <t>09-XL-307HG/PYCNT/CKN/T2/C6-2</t>
        </is>
      </c>
      <c r="AC752" s="204" t="inlineStr">
        <is>
          <t>09-XL-307HG/BBNT/CKN/T2/C6-10</t>
        </is>
      </c>
      <c r="AD752" s="204" t="n"/>
      <c r="AE752" s="204" t="n"/>
      <c r="AF752" s="204" t="n"/>
      <c r="AG752" s="204" t="n"/>
      <c r="AH752" s="204" t="n"/>
      <c r="AI752" s="214" t="n"/>
      <c r="AJ752" s="214" t="n"/>
      <c r="AK752" s="217" t="n"/>
      <c r="AL752" s="214" t="n"/>
      <c r="AM752" s="214" t="n"/>
      <c r="AN752" s="214" t="n"/>
      <c r="AO752" s="214" t="n"/>
      <c r="AP752" s="216" t="n"/>
      <c r="AQ752" s="216" t="n"/>
      <c r="AR752" s="214" t="inlineStr">
        <is>
          <t>Nhóm 1</t>
        </is>
      </c>
      <c r="AS752" s="214" t="n"/>
      <c r="AT752" s="214" t="inlineStr">
        <is>
          <t>HM20</t>
        </is>
      </c>
      <c r="AU752" s="214" t="inlineStr">
        <is>
          <t>NTCV</t>
        </is>
      </c>
      <c r="AV752" s="214" t="n">
        <v>122</v>
      </c>
      <c r="AW752" s="214" t="n">
        <v>9</v>
      </c>
      <c r="AX752" s="214" t="n"/>
    </row>
    <row r="753" ht="84" customHeight="1" s="672">
      <c r="A753" s="56" t="inlineStr">
        <is>
          <t>LMHT</t>
        </is>
      </c>
      <c r="B753" s="56" t="inlineStr">
        <is>
          <t>LMHT</t>
        </is>
      </c>
      <c r="C753" s="56" t="inlineStr">
        <is>
          <t>LMHT.0526617</t>
        </is>
      </c>
      <c r="D753" s="57" t="inlineStr">
        <is>
          <t>TC.000041|TC.000182|TC.000169.A</t>
        </is>
      </c>
      <c r="E753" s="57" t="n"/>
      <c r="F753" s="57" t="inlineStr">
        <is>
          <t>CP.0001^Cọc khoan nhồi Trụ T2 - Cọc C6^Hình trụ 15x30 (cm)^12^30 Mpa, 18±2^^^TC.000041|TC.000182|TC.000169.A</t>
        </is>
      </c>
      <c r="G753" s="57" t="n"/>
      <c r="H753" s="57" t="inlineStr">
        <is>
          <t>^^A|C|J|O|S|X|Z^Stt|Hạng mục|Cấp bê tông|Kích thước mẫu|Số lượng mẫu|Ghi chú^|||||</t>
        </is>
      </c>
      <c r="J753" s="256" t="inlineStr">
        <is>
          <t>25</t>
        </is>
      </c>
      <c r="K753" s="256" t="inlineStr">
        <is>
          <t>LMHT</t>
        </is>
      </c>
      <c r="L753" s="257" t="inlineStr">
        <is>
          <t>Lấy mẫu bê tông Cọc khoan nhồi, 30(1) Mpa Trụ T2 - Cọc C6</t>
        </is>
      </c>
      <c r="M753" s="257" t="n"/>
      <c r="N753" s="257" t="n"/>
      <c r="O753" s="258" t="inlineStr">
        <is>
          <t>Cầu Km19+529.080</t>
        </is>
      </c>
      <c r="P753" s="259" t="n"/>
      <c r="Q753" s="259" t="n"/>
      <c r="R753" s="259" t="n"/>
      <c r="S753" s="259">
        <f>S752</f>
        <v/>
      </c>
      <c r="T753" s="260">
        <f>T752</f>
        <v/>
      </c>
      <c r="U753" s="260">
        <f>U752</f>
        <v/>
      </c>
      <c r="V753" s="260">
        <f>V752</f>
        <v/>
      </c>
      <c r="W753" s="261">
        <f>TEXT(T753,"HH""h""MM'")&amp;"÷"&amp;TEXT(U753,"HH""h""MM'")</f>
        <v/>
      </c>
      <c r="X753" s="262" t="n"/>
      <c r="Y753" s="262" t="n"/>
      <c r="Z753" s="262" t="n"/>
      <c r="AA753" s="262" t="n"/>
      <c r="AB753" s="263" t="inlineStr">
        <is>
          <t>09-XL-307HG/PYCNT/CKN/T2/C6-2</t>
        </is>
      </c>
      <c r="AC753" s="263" t="inlineStr"/>
      <c r="AD753" s="264" t="n"/>
      <c r="AE753" s="264" t="n"/>
      <c r="AF753" s="264" t="n"/>
      <c r="AG753" s="264" t="n"/>
      <c r="AH753" s="264" t="n"/>
      <c r="AI753" s="257" t="n"/>
      <c r="AJ753" s="262" t="n"/>
      <c r="AK753" s="258" t="n"/>
      <c r="AL753" s="262" t="n"/>
      <c r="AM753" s="262" t="n"/>
      <c r="AN753" s="262" t="n"/>
      <c r="AO753" s="262" t="n"/>
      <c r="AP753" s="263" t="inlineStr">
        <is>
          <t>Bảng lấy mẫu CKN</t>
        </is>
      </c>
      <c r="AQ753" s="263" t="n"/>
      <c r="AR753" s="262" t="inlineStr">
        <is>
          <t>Nhóm 1</t>
        </is>
      </c>
      <c r="AS753" s="262" t="n"/>
      <c r="AT753" s="262" t="inlineStr">
        <is>
          <t>HM20</t>
        </is>
      </c>
      <c r="AU753" s="262" t="inlineStr">
        <is>
          <t>LMHT</t>
        </is>
      </c>
      <c r="AV753" s="262" t="n">
        <v>9</v>
      </c>
      <c r="AW753" s="262" t="n">
        <v>1</v>
      </c>
      <c r="AX753" s="262" t="inlineStr">
        <is>
          <t>Cọc T2-C6: xi măng Lần 3 [BT dòng 9].</t>
        </is>
      </c>
    </row>
    <row r="754">
      <c r="A754" s="56" t="inlineStr">
        <is>
          <t>BBK994</t>
        </is>
      </c>
      <c r="B754" s="56" t="inlineStr">
        <is>
          <t>PL10</t>
        </is>
      </c>
      <c r="C754" s="56" t="inlineStr">
        <is>
          <t>BBK994.0387536</t>
        </is>
      </c>
      <c r="D754" s="57" t="n"/>
      <c r="E754" s="57" t="n"/>
      <c r="F754" s="57" t="n"/>
      <c r="G754" s="57" t="n"/>
      <c r="H754" s="57" t="n"/>
      <c r="J754" s="198" t="inlineStr">
        <is>
          <t>26</t>
        </is>
      </c>
      <c r="K754" s="198" t="inlineStr">
        <is>
          <t>PL10</t>
        </is>
      </c>
      <c r="L754" s="199" t="inlineStr">
        <is>
          <t>Theo dõi quá trình đổ bê tông cọc khoan nhồi</t>
        </is>
      </c>
      <c r="M754" s="199" t="n"/>
      <c r="N754" s="199" t="n"/>
      <c r="O754" s="200" t="inlineStr">
        <is>
          <t>Cầu Km19+529.080</t>
        </is>
      </c>
      <c r="P754" s="201" t="n"/>
      <c r="Q754" s="201" t="n"/>
      <c r="R754" s="201" t="n"/>
      <c r="S754" s="201">
        <f>S752</f>
        <v/>
      </c>
      <c r="T754" s="201" t="n"/>
      <c r="U754" s="201" t="n"/>
      <c r="V754" s="201" t="n"/>
      <c r="W754" s="202" t="n"/>
      <c r="X754" s="202" t="n"/>
      <c r="Y754" s="202" t="n"/>
      <c r="Z754" s="198" t="inlineStr">
        <is>
          <t>10</t>
        </is>
      </c>
      <c r="AA754" s="203" t="n"/>
      <c r="AB754" s="204" t="inlineStr">
        <is>
          <t>09-XL-307HG/PYCNT/CKN/T2/C6-2</t>
        </is>
      </c>
      <c r="AC754" s="204">
        <f>AC752</f>
        <v/>
      </c>
      <c r="AD754" s="204" t="n"/>
      <c r="AE754" s="204" t="n"/>
      <c r="AF754" s="204" t="n"/>
      <c r="AG754" s="204" t="n"/>
      <c r="AH754" s="204" t="inlineStr">
        <is>
          <t>T2-C6</t>
        </is>
      </c>
      <c r="AI754" s="202" t="n"/>
      <c r="AJ754" s="202" t="n"/>
      <c r="AK754" s="206" t="n"/>
      <c r="AL754" s="202" t="n"/>
      <c r="AM754" s="202" t="n"/>
      <c r="AN754" s="202" t="n"/>
      <c r="AO754" s="202" t="n"/>
      <c r="AP754" s="207" t="n"/>
      <c r="AQ754" s="207" t="n"/>
      <c r="AR754" s="202" t="inlineStr">
        <is>
          <t>Nhóm 1</t>
        </is>
      </c>
      <c r="AS754" s="202" t="n"/>
      <c r="AT754" s="202" t="inlineStr">
        <is>
          <t>HM20</t>
        </is>
      </c>
      <c r="AU754" s="202" t="inlineStr">
        <is>
          <t>PL10</t>
        </is>
      </c>
      <c r="AV754" s="202" t="n">
        <v>6</v>
      </c>
      <c r="AW754" s="202" t="n">
        <v>1</v>
      </c>
      <c r="AX754" s="202" t="n"/>
    </row>
    <row r="755" ht="28" customHeight="1" s="672">
      <c r="A755" s="56" t="inlineStr">
        <is>
          <t>NTCV</t>
        </is>
      </c>
      <c r="B755" s="56" t="inlineStr">
        <is>
          <t>K.9999</t>
        </is>
      </c>
      <c r="C755" s="56" t="inlineStr">
        <is>
          <t>NTCV.0002714</t>
        </is>
      </c>
      <c r="D755" s="57" t="n"/>
      <c r="E755" s="57" t="n"/>
      <c r="F755" s="57" t="n"/>
      <c r="G755" s="57" t="n"/>
      <c r="H755" s="57" t="n"/>
      <c r="J755" s="209" t="inlineStr">
        <is>
          <t>27</t>
        </is>
      </c>
      <c r="K755" s="209" t="inlineStr">
        <is>
          <t>K.9999</t>
        </is>
      </c>
      <c r="L755" s="210" t="inlineStr">
        <is>
          <t xml:space="preserve"> Rút ống vách thi công cọc khoan nhồi</t>
        </is>
      </c>
      <c r="M755" s="210" t="n"/>
      <c r="N755" s="210" t="n"/>
      <c r="O755" s="211" t="inlineStr">
        <is>
          <t>Cầu Km19+529.080</t>
        </is>
      </c>
      <c r="P755" s="212">
        <f>S752</f>
        <v/>
      </c>
      <c r="Q755" s="212">
        <f>P755</f>
        <v/>
      </c>
      <c r="R755" s="212">
        <f>Q755-1</f>
        <v/>
      </c>
      <c r="S755" s="212">
        <f>Q755</f>
        <v/>
      </c>
      <c r="T755" s="213">
        <f>U752</f>
        <v/>
      </c>
      <c r="U755" s="213">
        <f>T755+V755</f>
        <v/>
      </c>
      <c r="V755" s="213" t="n">
        <v>0.01041666666666667</v>
      </c>
      <c r="W755" s="214">
        <f>TEXT(T755,"HH""h""MM'")&amp;"÷"&amp;TEXT(U755,"HH""h""MM'")</f>
        <v/>
      </c>
      <c r="X755" s="214" t="n"/>
      <c r="Y755" s="214" t="n"/>
      <c r="Z755" s="214" t="inlineStr">
        <is>
          <t>11;</t>
        </is>
      </c>
      <c r="AA755" s="215" t="inlineStr">
        <is>
          <t>Rút ống vách  Cọc khoan nhồi Trụ T2 - Cọc C6</t>
        </is>
      </c>
      <c r="AB755" s="204" t="inlineStr">
        <is>
          <t>09-XL-307HG/PYCNT/CKN/T2/C6-2</t>
        </is>
      </c>
      <c r="AC755" s="204" t="inlineStr">
        <is>
          <t>09-XL-307HG/BBNT/CKN/T2/C6-11</t>
        </is>
      </c>
      <c r="AD755" s="204" t="n"/>
      <c r="AE755" s="204" t="n"/>
      <c r="AF755" s="204" t="n"/>
      <c r="AG755" s="204" t="n"/>
      <c r="AH755" s="204" t="n"/>
      <c r="AI755" s="214" t="n"/>
      <c r="AJ755" s="214" t="n"/>
      <c r="AK755" s="217" t="n"/>
      <c r="AL755" s="214" t="n"/>
      <c r="AM755" s="214" t="n"/>
      <c r="AN755" s="214" t="n"/>
      <c r="AO755" s="214" t="n"/>
      <c r="AP755" s="216" t="n"/>
      <c r="AQ755" s="216" t="n"/>
      <c r="AR755" s="214" t="inlineStr">
        <is>
          <t>Nhóm 1</t>
        </is>
      </c>
      <c r="AS755" s="214" t="n"/>
      <c r="AT755" s="214" t="inlineStr">
        <is>
          <t>HM20</t>
        </is>
      </c>
      <c r="AU755" s="214" t="inlineStr">
        <is>
          <t>NTCV</t>
        </is>
      </c>
      <c r="AV755" s="214" t="n">
        <v>123</v>
      </c>
      <c r="AW755" s="214" t="n">
        <v>10</v>
      </c>
      <c r="AX755" s="214" t="n"/>
    </row>
    <row r="756">
      <c r="A756" s="56" t="inlineStr">
        <is>
          <t>BBK544</t>
        </is>
      </c>
      <c r="B756" s="56" t="inlineStr">
        <is>
          <t>PL11</t>
        </is>
      </c>
      <c r="C756" s="56" t="inlineStr">
        <is>
          <t>BBK544.0250869</t>
        </is>
      </c>
      <c r="D756" s="57" t="n"/>
      <c r="E756" s="57" t="n"/>
      <c r="F756" s="57" t="n"/>
      <c r="G756" s="57" t="n"/>
      <c r="H756" s="57" t="n"/>
      <c r="J756" s="198" t="inlineStr">
        <is>
          <t>28</t>
        </is>
      </c>
      <c r="K756" s="198" t="inlineStr">
        <is>
          <t>PL11</t>
        </is>
      </c>
      <c r="L756" s="199" t="inlineStr">
        <is>
          <t>Rút ống vách thi công cọc khoan nhồi</t>
        </is>
      </c>
      <c r="M756" s="199" t="n"/>
      <c r="N756" s="199" t="n"/>
      <c r="O756" s="200" t="inlineStr">
        <is>
          <t>Cầu Km19+529.080</t>
        </is>
      </c>
      <c r="P756" s="201" t="n"/>
      <c r="Q756" s="201" t="n"/>
      <c r="R756" s="201" t="n"/>
      <c r="S756" s="201">
        <f>S755</f>
        <v/>
      </c>
      <c r="T756" s="201" t="n"/>
      <c r="U756" s="201" t="n"/>
      <c r="V756" s="201" t="n"/>
      <c r="W756" s="202" t="n"/>
      <c r="X756" s="202" t="n"/>
      <c r="Y756" s="202" t="n"/>
      <c r="Z756" s="198" t="inlineStr">
        <is>
          <t>11</t>
        </is>
      </c>
      <c r="AA756" s="203" t="n"/>
      <c r="AB756" s="204" t="inlineStr">
        <is>
          <t>09-XL-307HG/PYCNT/CKN/T2/C6-2</t>
        </is>
      </c>
      <c r="AC756" s="204">
        <f>AC755</f>
        <v/>
      </c>
      <c r="AD756" s="204" t="n"/>
      <c r="AE756" s="204" t="n"/>
      <c r="AF756" s="204" t="n"/>
      <c r="AG756" s="204" t="n"/>
      <c r="AH756" s="204" t="inlineStr">
        <is>
          <t>&gt;=514;&lt;=545</t>
        </is>
      </c>
      <c r="AI756" s="202" t="n"/>
      <c r="AJ756" s="202" t="n"/>
      <c r="AK756" s="206" t="n"/>
      <c r="AL756" s="202" t="n"/>
      <c r="AM756" s="202" t="n"/>
      <c r="AN756" s="202" t="n"/>
      <c r="AO756" s="202" t="n"/>
      <c r="AP756" s="207" t="n"/>
      <c r="AQ756" s="207" t="n"/>
      <c r="AR756" s="202" t="inlineStr">
        <is>
          <t>Nhóm 1</t>
        </is>
      </c>
      <c r="AS756" s="202" t="n"/>
      <c r="AT756" s="202" t="inlineStr">
        <is>
          <t>HM20</t>
        </is>
      </c>
      <c r="AU756" s="202" t="inlineStr">
        <is>
          <t>PL11</t>
        </is>
      </c>
      <c r="AV756" s="202" t="n">
        <v>6</v>
      </c>
      <c r="AW756" s="202" t="n">
        <v>1</v>
      </c>
      <c r="AX756" s="202" t="n"/>
    </row>
    <row r="757">
      <c r="A757" s="56" t="inlineStr">
        <is>
          <t>BBK680</t>
        </is>
      </c>
      <c r="B757" s="56" t="inlineStr">
        <is>
          <t>PYC</t>
        </is>
      </c>
      <c r="C757" s="56" t="inlineStr">
        <is>
          <t>BBK680.0162838</t>
        </is>
      </c>
      <c r="D757" s="57" t="n"/>
      <c r="E757" s="57" t="n"/>
      <c r="F757" s="57" t="n"/>
      <c r="G757" s="57" t="n"/>
      <c r="H757" s="57" t="n"/>
      <c r="J757" s="198" t="inlineStr">
        <is>
          <t>29</t>
        </is>
      </c>
      <c r="K757" s="198" t="inlineStr">
        <is>
          <t>PYC</t>
        </is>
      </c>
      <c r="L757" s="199" t="inlineStr">
        <is>
          <t>Phiếu yêu cầu nghiệm thu</t>
        </is>
      </c>
      <c r="M757" s="199" t="n"/>
      <c r="N757" s="199" t="n"/>
      <c r="O757" s="200" t="inlineStr">
        <is>
          <t>Cầu Km19+529.080</t>
        </is>
      </c>
      <c r="P757" s="201" t="n"/>
      <c r="Q757" s="201" t="n"/>
      <c r="R757" s="201">
        <f>R758</f>
        <v/>
      </c>
      <c r="S757" s="201" t="n"/>
      <c r="T757" s="201" t="n"/>
      <c r="U757" s="201" t="n"/>
      <c r="V757" s="201" t="n"/>
      <c r="W757" s="202" t="n"/>
      <c r="X757" s="202" t="n"/>
      <c r="Y757" s="202" t="n"/>
      <c r="Z757" s="202" t="n"/>
      <c r="AA757" s="203" t="n"/>
      <c r="AB757" s="204" t="inlineStr">
        <is>
          <t>09-XL-307HG/PYCNT/CKN/T2/C6</t>
        </is>
      </c>
      <c r="AC757" s="205" t="inlineStr"/>
      <c r="AD757" s="205" t="n"/>
      <c r="AE757" s="205" t="n"/>
      <c r="AF757" s="205" t="n"/>
      <c r="AG757" s="205" t="inlineStr">
        <is>
          <t>NTCV;BBKTĐK</t>
        </is>
      </c>
      <c r="AH757" s="204" t="n">
        <v>11</v>
      </c>
      <c r="AI757" s="202" t="n"/>
      <c r="AJ757" s="202" t="n"/>
      <c r="AK757" s="206" t="n"/>
      <c r="AL757" s="202" t="n"/>
      <c r="AM757" s="202" t="n"/>
      <c r="AN757" s="202" t="n"/>
      <c r="AO757" s="202" t="n"/>
      <c r="AP757" s="207" t="n"/>
      <c r="AQ757" s="207" t="n"/>
      <c r="AR757" s="202" t="inlineStr">
        <is>
          <t>Nhóm 1</t>
        </is>
      </c>
      <c r="AS757" s="202" t="n"/>
      <c r="AT757" s="202" t="inlineStr">
        <is>
          <t>HM20</t>
        </is>
      </c>
      <c r="AU757" s="202" t="inlineStr">
        <is>
          <t>PYC</t>
        </is>
      </c>
      <c r="AV757" s="202" t="n">
        <v>207</v>
      </c>
      <c r="AW757" s="202" t="n">
        <v>3</v>
      </c>
      <c r="AX757" s="202" t="n"/>
    </row>
    <row r="758" ht="28" customHeight="1" s="672">
      <c r="A758" s="56" t="inlineStr">
        <is>
          <t>NTCV</t>
        </is>
      </c>
      <c r="B758" s="56" t="inlineStr">
        <is>
          <t>K.9999</t>
        </is>
      </c>
      <c r="C758" s="56" t="inlineStr">
        <is>
          <t>NTCV.0645133</t>
        </is>
      </c>
      <c r="D758" s="57" t="n"/>
      <c r="E758" s="57" t="n"/>
      <c r="F758" s="57" t="n"/>
      <c r="G758" s="57" t="n"/>
      <c r="H758" s="57" t="n"/>
      <c r="J758" s="209" t="inlineStr">
        <is>
          <t>30</t>
        </is>
      </c>
      <c r="K758" s="209" t="inlineStr">
        <is>
          <t>K.9999</t>
        </is>
      </c>
      <c r="L758" s="210" t="inlineStr">
        <is>
          <t>Theo dõi nén mẫu R7 Cọc khoan nhồi Trụ T2 - Cọc C6</t>
        </is>
      </c>
      <c r="M758" s="210" t="n"/>
      <c r="N758" s="210" t="n"/>
      <c r="O758" s="211" t="inlineStr">
        <is>
          <t>Cầu Km19+529.080</t>
        </is>
      </c>
      <c r="P758" s="212">
        <f>S755+7</f>
        <v/>
      </c>
      <c r="Q758" s="212">
        <f>P758</f>
        <v/>
      </c>
      <c r="R758" s="212">
        <f>Q758-1</f>
        <v/>
      </c>
      <c r="S758" s="212">
        <f>Q758</f>
        <v/>
      </c>
      <c r="T758" s="213" t="n">
        <v>0.3541666666666667</v>
      </c>
      <c r="U758" s="213">
        <f>T758+V758</f>
        <v/>
      </c>
      <c r="V758" s="213" t="n">
        <v>0.02083333333333333</v>
      </c>
      <c r="W758" s="214">
        <f>TEXT(T758,"HH""h""MM'")&amp;"÷"&amp;TEXT(U758,"HH""h""MM'")</f>
        <v/>
      </c>
      <c r="X758" s="214" t="n"/>
      <c r="Y758" s="214" t="n"/>
      <c r="Z758" s="214" t="n"/>
      <c r="AA758" s="215" t="inlineStr">
        <is>
          <t>Theo dõi nén mẫu R7 Cọc khoan nhồi Trụ T2 - Cọc C6</t>
        </is>
      </c>
      <c r="AB758" s="204" t="inlineStr">
        <is>
          <t>09-XL-307HG/PYCNT/CKN/T2/C6-3</t>
        </is>
      </c>
      <c r="AC758" s="204" t="inlineStr">
        <is>
          <t>09-XL-307HG/BBNT/CKN/T2/C6-12</t>
        </is>
      </c>
      <c r="AD758" s="204" t="n"/>
      <c r="AE758" s="204" t="n"/>
      <c r="AF758" s="204" t="n"/>
      <c r="AG758" s="204" t="n"/>
      <c r="AH758" s="204" t="n"/>
      <c r="AI758" s="214" t="n"/>
      <c r="AJ758" s="214" t="n"/>
      <c r="AK758" s="217" t="n"/>
      <c r="AL758" s="214" t="n"/>
      <c r="AM758" s="214" t="n"/>
      <c r="AN758" s="214" t="n"/>
      <c r="AO758" s="214" t="n"/>
      <c r="AP758" s="216" t="n"/>
      <c r="AQ758" s="216" t="n"/>
      <c r="AR758" s="214" t="inlineStr">
        <is>
          <t>Nhóm 1</t>
        </is>
      </c>
      <c r="AS758" s="214" t="n"/>
      <c r="AT758" s="214" t="inlineStr">
        <is>
          <t>HM20</t>
        </is>
      </c>
      <c r="AU758" s="214" t="inlineStr">
        <is>
          <t>NTCV</t>
        </is>
      </c>
      <c r="AV758" s="214" t="n">
        <v>197</v>
      </c>
      <c r="AW758" s="214" t="n">
        <v>11</v>
      </c>
      <c r="AX758" s="214" t="n"/>
    </row>
    <row r="759">
      <c r="A759" s="56" t="inlineStr">
        <is>
          <t>BBK680</t>
        </is>
      </c>
      <c r="B759" s="56" t="inlineStr">
        <is>
          <t>PYC</t>
        </is>
      </c>
      <c r="C759" s="56" t="inlineStr">
        <is>
          <t>BBK680.0981146</t>
        </is>
      </c>
      <c r="D759" s="57" t="n"/>
      <c r="E759" s="57" t="n"/>
      <c r="F759" s="57" t="n"/>
      <c r="G759" s="57" t="n"/>
      <c r="H759" s="57" t="n"/>
      <c r="J759" s="198" t="inlineStr">
        <is>
          <t>31</t>
        </is>
      </c>
      <c r="K759" s="198" t="inlineStr">
        <is>
          <t>PYC</t>
        </is>
      </c>
      <c r="L759" s="199" t="inlineStr">
        <is>
          <t>Phiếu yêu cầu nghiệm thu</t>
        </is>
      </c>
      <c r="M759" s="199" t="n"/>
      <c r="N759" s="199" t="n"/>
      <c r="O759" s="200" t="inlineStr">
        <is>
          <t>Cầu Km19+529.080</t>
        </is>
      </c>
      <c r="P759" s="201" t="n"/>
      <c r="Q759" s="201" t="n"/>
      <c r="R759" s="201">
        <f>+S754+28</f>
        <v/>
      </c>
      <c r="S759" s="201" t="n"/>
      <c r="T759" s="201" t="n"/>
      <c r="U759" s="201" t="n"/>
      <c r="V759" s="201" t="n"/>
      <c r="W759" s="202" t="n"/>
      <c r="X759" s="202" t="n"/>
      <c r="Y759" s="202" t="n"/>
      <c r="Z759" s="202" t="n"/>
      <c r="AA759" s="203" t="n"/>
      <c r="AB759" s="204" t="inlineStr">
        <is>
          <t>09-XL-307HG/PYCNT/CKN/T2/C6</t>
        </is>
      </c>
      <c r="AC759" s="205" t="inlineStr"/>
      <c r="AD759" s="205" t="n"/>
      <c r="AE759" s="205" t="n"/>
      <c r="AF759" s="205" t="n"/>
      <c r="AG759" s="205" t="inlineStr">
        <is>
          <t>NTCV;BBKTĐK</t>
        </is>
      </c>
      <c r="AH759" s="204" t="n">
        <v>12</v>
      </c>
      <c r="AI759" s="202" t="n"/>
      <c r="AJ759" s="202" t="n"/>
      <c r="AK759" s="206" t="n"/>
      <c r="AL759" s="202" t="n"/>
      <c r="AM759" s="202" t="n"/>
      <c r="AN759" s="202" t="n"/>
      <c r="AO759" s="202" t="n"/>
      <c r="AP759" s="207" t="n"/>
      <c r="AQ759" s="207" t="n"/>
      <c r="AR759" s="202" t="inlineStr">
        <is>
          <t>Nhóm 1</t>
        </is>
      </c>
      <c r="AS759" s="202" t="n"/>
      <c r="AT759" s="202" t="inlineStr">
        <is>
          <t>HM20</t>
        </is>
      </c>
      <c r="AU759" s="202" t="inlineStr">
        <is>
          <t>PYC</t>
        </is>
      </c>
      <c r="AV759" s="202" t="n">
        <v>208</v>
      </c>
      <c r="AW759" s="202" t="n">
        <v>4</v>
      </c>
      <c r="AX759" s="202" t="n"/>
    </row>
    <row r="760" ht="28" customHeight="1" s="672">
      <c r="A760" s="56" t="inlineStr">
        <is>
          <t>NTCV</t>
        </is>
      </c>
      <c r="B760" s="56" t="inlineStr">
        <is>
          <t>K.9999</t>
        </is>
      </c>
      <c r="C760" s="56" t="inlineStr">
        <is>
          <t>NTCV.0311911</t>
        </is>
      </c>
      <c r="D760" s="57" t="n"/>
      <c r="E760" s="57" t="n"/>
      <c r="F760" s="57" t="n"/>
      <c r="G760" s="57" t="n"/>
      <c r="H760" s="57" t="n"/>
      <c r="J760" s="209" t="inlineStr">
        <is>
          <t>32</t>
        </is>
      </c>
      <c r="K760" s="209" t="inlineStr">
        <is>
          <t>K.9999</t>
        </is>
      </c>
      <c r="L760" s="210" t="inlineStr">
        <is>
          <t>Đập đầu cọc khoan nhồi Trụ T2 - Cọc C6</t>
        </is>
      </c>
      <c r="M760" s="210" t="n"/>
      <c r="N760" s="210" t="n"/>
      <c r="O760" s="211" t="inlineStr">
        <is>
          <t>Cầu Km19+529.080</t>
        </is>
      </c>
      <c r="P760" s="212">
        <f>S758</f>
        <v/>
      </c>
      <c r="Q760" s="212">
        <f>P760</f>
        <v/>
      </c>
      <c r="R760" s="212">
        <f>Q760-1</f>
        <v/>
      </c>
      <c r="S760" s="212">
        <f>Q760</f>
        <v/>
      </c>
      <c r="T760" s="213" t="n">
        <v>0.3541666666666667</v>
      </c>
      <c r="U760" s="213">
        <f>T760+V760</f>
        <v/>
      </c>
      <c r="V760" s="213" t="n">
        <v>0.0625</v>
      </c>
      <c r="W760" s="214">
        <f>TEXT(T760,"HH""h""MM'")&amp;"÷"&amp;TEXT(U760,"HH""h""MM'")</f>
        <v/>
      </c>
      <c r="X760" s="214" t="n"/>
      <c r="Y760" s="214" t="n"/>
      <c r="Z760" s="214" t="n"/>
      <c r="AA760" s="215" t="inlineStr">
        <is>
          <t>Theo dõi nén mẫu R28 Cọc khoan nhồi Trụ T2 - Cọc C6</t>
        </is>
      </c>
      <c r="AB760" s="204" t="inlineStr">
        <is>
          <t>09-XL-307HG/PYCNT/CKN/T2/C6-4</t>
        </is>
      </c>
      <c r="AC760" s="204" t="inlineStr">
        <is>
          <t>09-XL-307HG/BBNT/CKN/T2/C6-13</t>
        </is>
      </c>
      <c r="AD760" s="204" t="n"/>
      <c r="AE760" s="204" t="n"/>
      <c r="AF760" s="204" t="n"/>
      <c r="AG760" s="204" t="n"/>
      <c r="AH760" s="204" t="n"/>
      <c r="AI760" s="214" t="n"/>
      <c r="AJ760" s="214" t="n"/>
      <c r="AK760" s="217" t="n"/>
      <c r="AL760" s="214" t="n"/>
      <c r="AM760" s="214" t="n"/>
      <c r="AN760" s="214" t="n"/>
      <c r="AO760" s="214" t="n"/>
      <c r="AP760" s="216" t="n"/>
      <c r="AQ760" s="216" t="n"/>
      <c r="AR760" s="214" t="inlineStr">
        <is>
          <t>Nhóm 1</t>
        </is>
      </c>
      <c r="AS760" s="214" t="n"/>
      <c r="AT760" s="214" t="inlineStr">
        <is>
          <t>HM20</t>
        </is>
      </c>
      <c r="AU760" s="214" t="inlineStr">
        <is>
          <t>NTCV</t>
        </is>
      </c>
      <c r="AV760" s="214" t="n">
        <v>198</v>
      </c>
      <c r="AW760" s="214" t="n">
        <v>12</v>
      </c>
      <c r="AX760" s="214" t="n"/>
    </row>
    <row r="761">
      <c r="A761" s="56" t="inlineStr">
        <is>
          <t>HM</t>
        </is>
      </c>
      <c r="B761" s="56" t="inlineStr">
        <is>
          <t>HM</t>
        </is>
      </c>
      <c r="C761" s="56" t="inlineStr">
        <is>
          <t>HM.0240698</t>
        </is>
      </c>
      <c r="D761" s="57" t="n"/>
      <c r="E761" s="57" t="n"/>
      <c r="F761" s="57" t="n"/>
      <c r="G761" s="57" t="n"/>
      <c r="H761" s="57" t="n"/>
      <c r="J761" s="246" t="inlineStr">
        <is>
          <t>HM21</t>
        </is>
      </c>
      <c r="K761" s="246" t="inlineStr">
        <is>
          <t>HM</t>
        </is>
      </c>
      <c r="L761" s="247" t="inlineStr">
        <is>
          <t>Trụ T2 - Cọc C7</t>
        </is>
      </c>
      <c r="M761" s="247" t="n"/>
      <c r="N761" s="247" t="n"/>
      <c r="O761" s="248" t="inlineStr">
        <is>
          <t>Cầu Km19+529.080</t>
        </is>
      </c>
      <c r="P761" s="249" t="n"/>
      <c r="Q761" s="249" t="n"/>
      <c r="R761" s="249" t="n"/>
      <c r="S761" s="249" t="n"/>
      <c r="T761" s="249" t="n"/>
      <c r="U761" s="249" t="n"/>
      <c r="V761" s="249" t="n"/>
      <c r="W761" s="250" t="n"/>
      <c r="X761" s="250" t="n"/>
      <c r="Y761" s="250" t="n"/>
      <c r="Z761" s="250" t="n"/>
      <c r="AA761" s="251" t="n"/>
      <c r="AB761" s="252" t="n"/>
      <c r="AC761" s="252" t="inlineStr"/>
      <c r="AD761" s="252" t="n"/>
      <c r="AE761" s="252" t="n"/>
      <c r="AF761" s="252" t="n"/>
      <c r="AG761" s="252" t="n"/>
      <c r="AH761" s="252" t="n"/>
      <c r="AI761" s="250" t="n"/>
      <c r="AJ761" s="250" t="n"/>
      <c r="AK761" s="253" t="n"/>
      <c r="AL761" s="250" t="n"/>
      <c r="AM761" s="250" t="n"/>
      <c r="AN761" s="250" t="n"/>
      <c r="AO761" s="250" t="n"/>
      <c r="AP761" s="254" t="n"/>
      <c r="AQ761" s="254" t="n"/>
      <c r="AR761" s="250" t="n"/>
      <c r="AS761" s="250" t="n"/>
      <c r="AT761" s="250" t="inlineStr">
        <is>
          <t>HM21</t>
        </is>
      </c>
      <c r="AU761" s="250" t="inlineStr">
        <is>
          <t>HM</t>
        </is>
      </c>
      <c r="AV761" s="250" t="n"/>
      <c r="AW761" s="250" t="n"/>
      <c r="AX761" s="250" t="n"/>
    </row>
    <row r="762" ht="28" customFormat="1" customHeight="1" s="70">
      <c r="A762" s="68" t="inlineStr">
        <is>
          <t>BBK_BIA</t>
        </is>
      </c>
      <c r="B762" s="68" t="inlineStr">
        <is>
          <t>TRANGBIA</t>
        </is>
      </c>
      <c r="C762" s="68" t="inlineStr">
        <is>
          <t>BBK_BIA.0878593</t>
        </is>
      </c>
      <c r="D762" s="69" t="n"/>
      <c r="E762" s="69" t="n"/>
      <c r="F762" s="69" t="n"/>
      <c r="G762" s="69" t="n"/>
      <c r="H762" s="69" t="n"/>
      <c r="J762" s="98" t="inlineStr">
        <is>
          <t>01</t>
        </is>
      </c>
      <c r="K762" s="98" t="inlineStr">
        <is>
          <t>TRANGBIA</t>
        </is>
      </c>
      <c r="L762" s="99">
        <f>"Cọc Khoan Nhồi"&amp;" - "&amp;L761</f>
        <v/>
      </c>
      <c r="M762" s="99" t="n"/>
      <c r="N762" s="99" t="n"/>
      <c r="O762" s="100" t="inlineStr">
        <is>
          <t>Cầu Km19+529.080</t>
        </is>
      </c>
      <c r="P762" s="101" t="n"/>
      <c r="Q762" s="101" t="n"/>
      <c r="R762" s="101" t="n"/>
      <c r="S762" s="101" t="n"/>
      <c r="T762" s="101" t="n"/>
      <c r="U762" s="101" t="n"/>
      <c r="V762" s="101" t="n"/>
      <c r="W762" s="102" t="n"/>
      <c r="X762" s="102" t="n"/>
      <c r="Y762" s="102" t="n"/>
      <c r="Z762" s="102" t="n"/>
      <c r="AA762" s="102" t="n"/>
      <c r="AB762" s="102" t="n"/>
      <c r="AC762" s="102" t="inlineStr"/>
      <c r="AD762" s="102" t="n"/>
      <c r="AE762" s="102" t="n"/>
      <c r="AF762" s="102" t="n"/>
      <c r="AG762" s="102" t="n"/>
      <c r="AH762" s="102" t="n"/>
      <c r="AI762" s="102" t="n"/>
      <c r="AJ762" s="102" t="n"/>
      <c r="AK762" s="100" t="n"/>
      <c r="AL762" s="102" t="n"/>
      <c r="AM762" s="102" t="n"/>
      <c r="AN762" s="102" t="n"/>
      <c r="AO762" s="102" t="n"/>
      <c r="AP762" s="103" t="inlineStr">
        <is>
          <t>Kết cấu cọc khoan nhồi mố, trụ</t>
        </is>
      </c>
      <c r="AQ762" s="104" t="n"/>
      <c r="AR762" s="102" t="inlineStr">
        <is>
          <t>Nhóm 1</t>
        </is>
      </c>
      <c r="AS762" s="102" t="n"/>
      <c r="AT762" s="102" t="inlineStr">
        <is>
          <t>HM21</t>
        </is>
      </c>
      <c r="AU762" s="102" t="inlineStr">
        <is>
          <t>TRANGBIA</t>
        </is>
      </c>
      <c r="AV762" s="102" t="n">
        <v>21</v>
      </c>
      <c r="AW762" s="102" t="n">
        <v>1</v>
      </c>
      <c r="AX762" s="102" t="n"/>
    </row>
    <row r="763" customFormat="1" s="70">
      <c r="A763" s="68" t="inlineStr">
        <is>
          <t>BBK_ML</t>
        </is>
      </c>
      <c r="B763" s="68" t="inlineStr">
        <is>
          <t>MUCLUC</t>
        </is>
      </c>
      <c r="C763" s="68" t="inlineStr">
        <is>
          <t>BBK_ML.0129641</t>
        </is>
      </c>
      <c r="D763" s="69" t="n"/>
      <c r="E763" s="69" t="n"/>
      <c r="F763" s="69" t="n"/>
      <c r="G763" s="69" t="n"/>
      <c r="H763" s="69" t="n"/>
      <c r="J763" s="98" t="inlineStr">
        <is>
          <t>02</t>
        </is>
      </c>
      <c r="K763" s="98" t="inlineStr">
        <is>
          <t>MUCLUC</t>
        </is>
      </c>
      <c r="L763" s="99" t="inlineStr">
        <is>
          <t>Danh mục biên bản Kiểm tra/Nghiệm thu</t>
        </is>
      </c>
      <c r="M763" s="99" t="n"/>
      <c r="N763" s="99" t="n"/>
      <c r="O763" s="100" t="inlineStr">
        <is>
          <t>Cầu Km19+529.080</t>
        </is>
      </c>
      <c r="P763" s="101" t="n"/>
      <c r="Q763" s="101" t="n"/>
      <c r="R763" s="101" t="n"/>
      <c r="S763" s="101" t="n"/>
      <c r="T763" s="101" t="n"/>
      <c r="U763" s="101" t="n"/>
      <c r="V763" s="101" t="n"/>
      <c r="W763" s="102" t="n"/>
      <c r="X763" s="102" t="n"/>
      <c r="Y763" s="102" t="n"/>
      <c r="Z763" s="102" t="n"/>
      <c r="AA763" s="102" t="n"/>
      <c r="AB763" s="102" t="n"/>
      <c r="AC763" s="102" t="inlineStr"/>
      <c r="AD763" s="102" t="n"/>
      <c r="AE763" s="102" t="n"/>
      <c r="AF763" s="102" t="n"/>
      <c r="AG763" s="102" t="n"/>
      <c r="AH763" s="102" t="n"/>
      <c r="AI763" s="102" t="n"/>
      <c r="AJ763" s="102" t="n"/>
      <c r="AK763" s="100" t="n"/>
      <c r="AL763" s="102" t="n"/>
      <c r="AM763" s="102" t="n"/>
      <c r="AN763" s="102" t="n"/>
      <c r="AO763" s="102" t="n"/>
      <c r="AP763" s="104" t="n"/>
      <c r="AQ763" s="104" t="n"/>
      <c r="AR763" s="102" t="inlineStr">
        <is>
          <t>Nhóm 1</t>
        </is>
      </c>
      <c r="AS763" s="102" t="n"/>
      <c r="AT763" s="102" t="inlineStr">
        <is>
          <t>HM21</t>
        </is>
      </c>
      <c r="AU763" s="102" t="inlineStr">
        <is>
          <t>MUCLUC</t>
        </is>
      </c>
      <c r="AV763" s="102" t="n">
        <v>21</v>
      </c>
      <c r="AW763" s="102" t="n">
        <v>1</v>
      </c>
      <c r="AX763" s="102" t="n"/>
    </row>
    <row r="764">
      <c r="A764" s="56" t="inlineStr">
        <is>
          <t>BBK680</t>
        </is>
      </c>
      <c r="B764" s="56" t="inlineStr">
        <is>
          <t>PYC</t>
        </is>
      </c>
      <c r="C764" s="56" t="inlineStr">
        <is>
          <t>BBK680.0569796</t>
        </is>
      </c>
      <c r="D764" s="57" t="n"/>
      <c r="E764" s="57" t="n"/>
      <c r="F764" s="57" t="n"/>
      <c r="G764" s="57" t="n"/>
      <c r="H764" s="57" t="n"/>
      <c r="J764" s="198" t="inlineStr">
        <is>
          <t>03</t>
        </is>
      </c>
      <c r="K764" s="198" t="inlineStr">
        <is>
          <t>PYC</t>
        </is>
      </c>
      <c r="L764" s="199" t="inlineStr">
        <is>
          <t>Phiếu yêu cầu nghiệm thu</t>
        </is>
      </c>
      <c r="M764" s="199" t="n"/>
      <c r="N764" s="199" t="n"/>
      <c r="O764" s="200" t="inlineStr">
        <is>
          <t>Cầu Km19+529.080</t>
        </is>
      </c>
      <c r="P764" s="201" t="n"/>
      <c r="Q764" s="201" t="n"/>
      <c r="R764" s="201">
        <f>R765</f>
        <v/>
      </c>
      <c r="S764" s="201" t="n"/>
      <c r="T764" s="201" t="n"/>
      <c r="U764" s="201" t="n"/>
      <c r="V764" s="201" t="n"/>
      <c r="W764" s="202" t="n"/>
      <c r="X764" s="202" t="n"/>
      <c r="Y764" s="202" t="n"/>
      <c r="Z764" s="202" t="n"/>
      <c r="AA764" s="203" t="n"/>
      <c r="AB764" s="204" t="inlineStr">
        <is>
          <t>09-XL-307HG/PYCNT/CKN/T2/C7</t>
        </is>
      </c>
      <c r="AC764" s="205" t="inlineStr"/>
      <c r="AD764" s="205" t="n"/>
      <c r="AE764" s="205" t="n"/>
      <c r="AF764" s="205" t="n"/>
      <c r="AG764" s="205" t="inlineStr">
        <is>
          <t>NTCV;BBKTĐK</t>
        </is>
      </c>
      <c r="AH764" s="204" t="inlineStr">
        <is>
          <t>&gt;=1;&lt;=5</t>
        </is>
      </c>
      <c r="AI764" s="202" t="n"/>
      <c r="AJ764" s="202" t="n"/>
      <c r="AK764" s="206" t="n"/>
      <c r="AL764" s="202" t="n"/>
      <c r="AM764" s="202" t="n"/>
      <c r="AN764" s="202" t="n"/>
      <c r="AO764" s="202" t="n"/>
      <c r="AP764" s="207" t="n"/>
      <c r="AQ764" s="207" t="n"/>
      <c r="AR764" s="202" t="inlineStr">
        <is>
          <t>Nhóm 1</t>
        </is>
      </c>
      <c r="AS764" s="202" t="n"/>
      <c r="AT764" s="202" t="inlineStr">
        <is>
          <t>HM21</t>
        </is>
      </c>
      <c r="AU764" s="202" t="inlineStr">
        <is>
          <t>PYC</t>
        </is>
      </c>
      <c r="AV764" s="202" t="n">
        <v>209</v>
      </c>
      <c r="AW764" s="202" t="n">
        <v>1</v>
      </c>
      <c r="AX764" s="202" t="n"/>
    </row>
    <row r="765" ht="28" customHeight="1" s="672">
      <c r="A765" s="56" t="inlineStr">
        <is>
          <t>BBK884</t>
        </is>
      </c>
      <c r="B765" s="56" t="inlineStr">
        <is>
          <t>BBKTĐK</t>
        </is>
      </c>
      <c r="C765" s="56" t="inlineStr">
        <is>
          <t>BBK884.0606938</t>
        </is>
      </c>
      <c r="D765" s="57" t="n"/>
      <c r="E765" s="57" t="n"/>
      <c r="F765" s="57" t="n"/>
      <c r="G765" s="57" t="n"/>
      <c r="H765" s="57" t="n"/>
      <c r="J765" s="198" t="inlineStr">
        <is>
          <t>04</t>
        </is>
      </c>
      <c r="K765" s="198" t="inlineStr">
        <is>
          <t>BBKTĐK</t>
        </is>
      </c>
      <c r="L765" s="199" t="inlineStr">
        <is>
          <t>Kiểm tra điều kiện trước khi thi công cọc khoan nhồi: Thiết bị, nhân lực, vật tư</t>
        </is>
      </c>
      <c r="M765" s="199" t="n"/>
      <c r="N765" s="199" t="n"/>
      <c r="O765" s="200" t="inlineStr">
        <is>
          <t>Cầu Km19+529.080</t>
        </is>
      </c>
      <c r="P765" s="201" t="n">
        <v>46209</v>
      </c>
      <c r="Q765" s="201">
        <f>P765</f>
        <v/>
      </c>
      <c r="R765" s="201">
        <f>Q765-1</f>
        <v/>
      </c>
      <c r="S765" s="201">
        <f>Q765</f>
        <v/>
      </c>
      <c r="T765" s="208" t="n">
        <v>0.2916666666666667</v>
      </c>
      <c r="U765" s="208">
        <f>T765+V765</f>
        <v/>
      </c>
      <c r="V765" s="208" t="n">
        <v>0.02083333333333333</v>
      </c>
      <c r="W765" s="202">
        <f>TEXT(T765,"HH""h""MM'")&amp;"÷"&amp;TEXT(U765,"HH""h""MM'")</f>
        <v/>
      </c>
      <c r="X765" s="202" t="n"/>
      <c r="Y765" s="202" t="n"/>
      <c r="Z765" s="202" t="inlineStr">
        <is>
          <t>01;</t>
        </is>
      </c>
      <c r="AA765" s="200" t="inlineStr">
        <is>
          <t>Kiểm tra điều kiện trước khi thi công Cọc khoan nhồi Trụ T2 - Cọc C7</t>
        </is>
      </c>
      <c r="AB765" s="205" t="inlineStr">
        <is>
          <t>09-XL-307HG/PYCNT/CKN/T2/C7-1</t>
        </is>
      </c>
      <c r="AC765" s="205" t="inlineStr">
        <is>
          <t>09-XL-307HG/BBNT/CKN/T2/C7-1</t>
        </is>
      </c>
      <c r="AD765" s="205" t="n"/>
      <c r="AE765" s="205" t="n"/>
      <c r="AF765" s="205" t="n"/>
      <c r="AG765" s="205" t="n"/>
      <c r="AH765" s="205" t="n"/>
      <c r="AI765" s="207" t="n"/>
      <c r="AJ765" s="214" t="n"/>
      <c r="AK765" s="217" t="n"/>
      <c r="AL765" s="214" t="n"/>
      <c r="AM765" s="214" t="n"/>
      <c r="AN765" s="214" t="n"/>
      <c r="AO765" s="202" t="n"/>
      <c r="AP765" s="207" t="n"/>
      <c r="AQ765" s="207" t="n"/>
      <c r="AR765" s="202" t="inlineStr">
        <is>
          <t>Nhóm 1</t>
        </is>
      </c>
      <c r="AS765" s="202" t="n"/>
      <c r="AT765" s="202" t="inlineStr">
        <is>
          <t>HM21</t>
        </is>
      </c>
      <c r="AU765" s="202" t="inlineStr">
        <is>
          <t>BBKTĐK</t>
        </is>
      </c>
      <c r="AV765" s="202" t="n">
        <v>4</v>
      </c>
      <c r="AW765" s="202" t="n">
        <v>1</v>
      </c>
      <c r="AX765" s="202" t="n"/>
    </row>
    <row r="766" ht="28" customHeight="1" s="672">
      <c r="A766" s="56" t="inlineStr">
        <is>
          <t>BBK860</t>
        </is>
      </c>
      <c r="B766" s="56" t="inlineStr">
        <is>
          <t>PL01</t>
        </is>
      </c>
      <c r="C766" s="56" t="inlineStr">
        <is>
          <t>BBK860.0610196</t>
        </is>
      </c>
      <c r="D766" s="57" t="n"/>
      <c r="E766" s="57" t="n"/>
      <c r="F766" s="57" t="n"/>
      <c r="G766" s="57" t="n"/>
      <c r="H766" s="57" t="n"/>
      <c r="J766" s="198" t="inlineStr">
        <is>
          <t>05</t>
        </is>
      </c>
      <c r="K766" s="198" t="inlineStr">
        <is>
          <t>PL01</t>
        </is>
      </c>
      <c r="L766" s="199" t="inlineStr">
        <is>
          <t>Máy móc, thiết bị, nhân lực, vật tư thi công cọc khoan nhồi</t>
        </is>
      </c>
      <c r="M766" s="199" t="n"/>
      <c r="N766" s="199" t="n"/>
      <c r="O766" s="199" t="inlineStr">
        <is>
          <t>Cầu Km19+529.080</t>
        </is>
      </c>
      <c r="P766" s="201" t="n"/>
      <c r="Q766" s="201" t="n"/>
      <c r="R766" s="201" t="n"/>
      <c r="S766" s="201">
        <f>S765</f>
        <v/>
      </c>
      <c r="T766" s="201" t="n"/>
      <c r="U766" s="201" t="n"/>
      <c r="V766" s="201" t="n"/>
      <c r="W766" s="202" t="n"/>
      <c r="X766" s="202" t="n"/>
      <c r="Y766" s="202" t="n"/>
      <c r="Z766" s="198" t="inlineStr">
        <is>
          <t>01</t>
        </is>
      </c>
      <c r="AA766" s="203" t="n"/>
      <c r="AB766" s="204" t="inlineStr">
        <is>
          <t>09-XL-307HG/PYCNT/CKN/T2/C7-1</t>
        </is>
      </c>
      <c r="AC766" s="204">
        <f>AC765</f>
        <v/>
      </c>
      <c r="AD766" s="204" t="n"/>
      <c r="AE766" s="204" t="n"/>
      <c r="AF766" s="204" t="n"/>
      <c r="AG766" s="204" t="n"/>
      <c r="AH766" s="204" t="inlineStr">
        <is>
          <t>CKN</t>
        </is>
      </c>
      <c r="AI766" s="207" t="n"/>
      <c r="AJ766" s="202" t="n"/>
      <c r="AK766" s="206" t="n"/>
      <c r="AL766" s="202" t="n"/>
      <c r="AM766" s="202" t="n"/>
      <c r="AN766" s="202" t="n"/>
      <c r="AO766" s="202" t="n"/>
      <c r="AP766" s="207" t="n"/>
      <c r="AQ766" s="207" t="n"/>
      <c r="AR766" s="202" t="inlineStr">
        <is>
          <t>Nhóm 1</t>
        </is>
      </c>
      <c r="AS766" s="202" t="n"/>
      <c r="AT766" s="202" t="inlineStr">
        <is>
          <t>HM21</t>
        </is>
      </c>
      <c r="AU766" s="202" t="inlineStr">
        <is>
          <t>PL01</t>
        </is>
      </c>
      <c r="AV766" s="202" t="n">
        <v>4</v>
      </c>
      <c r="AW766" s="202" t="n">
        <v>1</v>
      </c>
      <c r="AX766" s="202" t="n"/>
    </row>
    <row r="767" ht="42" customHeight="1" s="672">
      <c r="A767" s="56" t="inlineStr">
        <is>
          <t>NTCV</t>
        </is>
      </c>
      <c r="B767" s="56" t="inlineStr">
        <is>
          <t>K.9999</t>
        </is>
      </c>
      <c r="C767" s="56" t="inlineStr">
        <is>
          <t>NTCV.0693866</t>
        </is>
      </c>
      <c r="D767" s="57" t="n"/>
      <c r="E767" s="57" t="n"/>
      <c r="F767" s="57" t="n"/>
      <c r="G767" s="57" t="n"/>
      <c r="H767" s="57" t="n"/>
      <c r="J767" s="209" t="inlineStr">
        <is>
          <t>06</t>
        </is>
      </c>
      <c r="K767" s="209" t="inlineStr">
        <is>
          <t>K.9999</t>
        </is>
      </c>
      <c r="L767" s="210" t="inlineStr">
        <is>
          <t>Kiểm tra ống vách, dung dịch bentonite trước khi khoan cọc khoan nhồi</t>
        </is>
      </c>
      <c r="M767" s="210" t="n"/>
      <c r="N767" s="210" t="n"/>
      <c r="O767" s="211" t="inlineStr">
        <is>
          <t>Cầu Km19+529.080</t>
        </is>
      </c>
      <c r="P767" s="212">
        <f>S765</f>
        <v/>
      </c>
      <c r="Q767" s="212">
        <f>P767</f>
        <v/>
      </c>
      <c r="R767" s="212">
        <f>Q767-1</f>
        <v/>
      </c>
      <c r="S767" s="212">
        <f>Q767</f>
        <v/>
      </c>
      <c r="T767" s="213">
        <f>U765</f>
        <v/>
      </c>
      <c r="U767" s="213">
        <f>T767+V767</f>
        <v/>
      </c>
      <c r="V767" s="213" t="n">
        <v>0.02083333333333333</v>
      </c>
      <c r="W767" s="214">
        <f>TEXT(T767,"HH""h""MM'")&amp;"÷"&amp;TEXT(U767,"HH""h""MM'")</f>
        <v/>
      </c>
      <c r="X767" s="214" t="n"/>
      <c r="Y767" s="214" t="n"/>
      <c r="Z767" s="214" t="inlineStr">
        <is>
          <t>02; 02a</t>
        </is>
      </c>
      <c r="AA767" s="215" t="inlineStr">
        <is>
          <t>Kiểm tra ống vách, dung dịch bentonite Cọc khoan nhồi Trụ T2 - Cọc C7 trước khi khoan</t>
        </is>
      </c>
      <c r="AB767" s="204" t="inlineStr">
        <is>
          <t>09-XL-307HG/PYCNT/CKN/T2/C7-1</t>
        </is>
      </c>
      <c r="AC767" s="204" t="inlineStr">
        <is>
          <t>09-XL-307HG/BBNT/CKN/T2/C7-2</t>
        </is>
      </c>
      <c r="AD767" s="204" t="n"/>
      <c r="AE767" s="204" t="n"/>
      <c r="AF767" s="204" t="n"/>
      <c r="AG767" s="204" t="n"/>
      <c r="AH767" s="204" t="n"/>
      <c r="AI767" s="216" t="n"/>
      <c r="AJ767" s="214" t="n"/>
      <c r="AK767" s="217" t="n"/>
      <c r="AL767" s="214" t="n"/>
      <c r="AM767" s="214" t="n"/>
      <c r="AN767" s="214" t="n"/>
      <c r="AO767" s="214" t="n"/>
      <c r="AP767" s="216" t="n"/>
      <c r="AQ767" s="216" t="n"/>
      <c r="AR767" s="214" t="inlineStr">
        <is>
          <t>Nhóm 1</t>
        </is>
      </c>
      <c r="AS767" s="214" t="n"/>
      <c r="AT767" s="214" t="inlineStr">
        <is>
          <t>HM21</t>
        </is>
      </c>
      <c r="AU767" s="214" t="inlineStr">
        <is>
          <t>NTCV</t>
        </is>
      </c>
      <c r="AV767" s="214" t="n">
        <v>84</v>
      </c>
      <c r="AW767" s="214" t="n">
        <v>1</v>
      </c>
      <c r="AX767" s="214" t="n"/>
    </row>
    <row r="768">
      <c r="A768" s="56" t="inlineStr">
        <is>
          <t>BBK170</t>
        </is>
      </c>
      <c r="B768" s="56" t="inlineStr">
        <is>
          <t>PL02</t>
        </is>
      </c>
      <c r="C768" s="56" t="inlineStr">
        <is>
          <t>BBK170.0850022</t>
        </is>
      </c>
      <c r="D768" s="57" t="n"/>
      <c r="E768" s="57" t="n"/>
      <c r="F768" s="57" t="n"/>
      <c r="G768" s="57" t="n"/>
      <c r="H768" s="57" t="n"/>
      <c r="J768" s="198" t="inlineStr">
        <is>
          <t>07</t>
        </is>
      </c>
      <c r="K768" s="198" t="inlineStr">
        <is>
          <t>PL02</t>
        </is>
      </c>
      <c r="L768" s="199" t="inlineStr">
        <is>
          <t>Kiểm tra ống vách thi công trước khi hạ</t>
        </is>
      </c>
      <c r="M768" s="199" t="n"/>
      <c r="N768" s="199" t="n"/>
      <c r="O768" s="200" t="inlineStr">
        <is>
          <t>Cầu Km19+529.080</t>
        </is>
      </c>
      <c r="P768" s="201" t="n"/>
      <c r="Q768" s="201" t="n"/>
      <c r="R768" s="201" t="n"/>
      <c r="S768" s="201">
        <f>S767</f>
        <v/>
      </c>
      <c r="T768" s="201" t="n"/>
      <c r="U768" s="201" t="n"/>
      <c r="V768" s="201" t="n"/>
      <c r="W768" s="202" t="n"/>
      <c r="X768" s="202" t="n"/>
      <c r="Y768" s="202" t="n"/>
      <c r="Z768" s="198" t="inlineStr">
        <is>
          <t>02</t>
        </is>
      </c>
      <c r="AA768" s="203" t="n"/>
      <c r="AB768" s="204" t="inlineStr">
        <is>
          <t>09-XL-307HG/PYCNT/CKN/T2/C7-1</t>
        </is>
      </c>
      <c r="AC768" s="204">
        <f>AC767</f>
        <v/>
      </c>
      <c r="AD768" s="204" t="n"/>
      <c r="AE768" s="204" t="n"/>
      <c r="AF768" s="204" t="n"/>
      <c r="AG768" s="204" t="n"/>
      <c r="AH768" s="204" t="inlineStr">
        <is>
          <t>CKN</t>
        </is>
      </c>
      <c r="AI768" s="207" t="n"/>
      <c r="AJ768" s="202" t="n"/>
      <c r="AK768" s="206" t="n"/>
      <c r="AL768" s="202" t="n"/>
      <c r="AM768" s="202" t="n"/>
      <c r="AN768" s="202" t="n"/>
      <c r="AO768" s="202" t="n"/>
      <c r="AP768" s="207" t="n"/>
      <c r="AQ768" s="207" t="inlineStr">
        <is>
          <t>Ảnh\PL02 CKN.png</t>
        </is>
      </c>
      <c r="AR768" s="202" t="inlineStr">
        <is>
          <t>Nhóm 1</t>
        </is>
      </c>
      <c r="AS768" s="202" t="n"/>
      <c r="AT768" s="202" t="inlineStr">
        <is>
          <t>HM21</t>
        </is>
      </c>
      <c r="AU768" s="202" t="inlineStr">
        <is>
          <t>PL02</t>
        </is>
      </c>
      <c r="AV768" s="202" t="n">
        <v>4</v>
      </c>
      <c r="AW768" s="202" t="n">
        <v>1</v>
      </c>
      <c r="AX768" s="202" t="n"/>
    </row>
    <row r="769">
      <c r="A769" s="56" t="inlineStr">
        <is>
          <t>BBK721</t>
        </is>
      </c>
      <c r="B769" s="56" t="inlineStr">
        <is>
          <t>PL02a</t>
        </is>
      </c>
      <c r="C769" s="56" t="inlineStr">
        <is>
          <t>BBK721.0097556</t>
        </is>
      </c>
      <c r="D769" s="57" t="n"/>
      <c r="E769" s="57" t="n"/>
      <c r="F769" s="57" t="n"/>
      <c r="G769" s="57" t="n"/>
      <c r="H769" s="57" t="n"/>
      <c r="J769" s="198" t="inlineStr">
        <is>
          <t>08</t>
        </is>
      </c>
      <c r="K769" s="198" t="inlineStr">
        <is>
          <t>PL02a</t>
        </is>
      </c>
      <c r="L769" s="199" t="inlineStr">
        <is>
          <t>Kiểm tra ống vách thi công trước khi hạ</t>
        </is>
      </c>
      <c r="M769" s="199" t="n"/>
      <c r="N769" s="199" t="n"/>
      <c r="O769" s="200" t="inlineStr">
        <is>
          <t>Cầu Km19+529.080</t>
        </is>
      </c>
      <c r="P769" s="201" t="n"/>
      <c r="Q769" s="201" t="n"/>
      <c r="R769" s="201" t="n"/>
      <c r="S769" s="201">
        <f>S768</f>
        <v/>
      </c>
      <c r="T769" s="201" t="n"/>
      <c r="U769" s="201" t="n"/>
      <c r="V769" s="201" t="n"/>
      <c r="W769" s="202" t="n"/>
      <c r="X769" s="202" t="n"/>
      <c r="Y769" s="202" t="n"/>
      <c r="Z769" s="198" t="inlineStr">
        <is>
          <t>02a</t>
        </is>
      </c>
      <c r="AA769" s="203" t="n"/>
      <c r="AB769" s="204" t="inlineStr">
        <is>
          <t>09-XL-307HG/PYCNT/CKN/T2/C7-1</t>
        </is>
      </c>
      <c r="AC769" s="204">
        <f>AC768</f>
        <v/>
      </c>
      <c r="AD769" s="204" t="n"/>
      <c r="AE769" s="204" t="n"/>
      <c r="AF769" s="204" t="n"/>
      <c r="AG769" s="204" t="n"/>
      <c r="AH769" s="204" t="n"/>
      <c r="AI769" s="207" t="n"/>
      <c r="AJ769" s="202" t="n"/>
      <c r="AK769" s="206" t="n"/>
      <c r="AL769" s="202" t="n"/>
      <c r="AM769" s="202" t="n"/>
      <c r="AN769" s="202" t="n"/>
      <c r="AO769" s="202" t="n"/>
      <c r="AP769" s="207" t="n"/>
      <c r="AQ769" s="207" t="n"/>
      <c r="AR769" s="202" t="inlineStr">
        <is>
          <t>Nhóm 1</t>
        </is>
      </c>
      <c r="AS769" s="202" t="n"/>
      <c r="AT769" s="202" t="inlineStr">
        <is>
          <t>HM21</t>
        </is>
      </c>
      <c r="AU769" s="202" t="inlineStr">
        <is>
          <t>PL02a</t>
        </is>
      </c>
      <c r="AV769" s="202" t="n">
        <v>4</v>
      </c>
      <c r="AW769" s="202" t="n">
        <v>1</v>
      </c>
      <c r="AX769" s="202" t="n"/>
    </row>
    <row r="770" ht="28" customHeight="1" s="672">
      <c r="A770" s="56" t="inlineStr">
        <is>
          <t>NTCV</t>
        </is>
      </c>
      <c r="B770" s="56" t="inlineStr">
        <is>
          <t>K.9999</t>
        </is>
      </c>
      <c r="C770" s="56" t="inlineStr">
        <is>
          <t>NTCV.0394446</t>
        </is>
      </c>
      <c r="D770" s="57" t="n"/>
      <c r="E770" s="57" t="n"/>
      <c r="F770" s="57" t="n"/>
      <c r="G770" s="57" t="n"/>
      <c r="H770" s="57" t="n"/>
      <c r="J770" s="209" t="inlineStr">
        <is>
          <t>09</t>
        </is>
      </c>
      <c r="K770" s="209" t="inlineStr">
        <is>
          <t>K.9999</t>
        </is>
      </c>
      <c r="L770" s="210" t="inlineStr">
        <is>
          <t>Kiểm tra định vị tim cọc khoan nhồi, hạ ống vách thi công</t>
        </is>
      </c>
      <c r="M770" s="210" t="n"/>
      <c r="N770" s="210" t="n"/>
      <c r="O770" s="211" t="inlineStr">
        <is>
          <t>Cầu Km19+529.080</t>
        </is>
      </c>
      <c r="P770" s="212">
        <f>S767</f>
        <v/>
      </c>
      <c r="Q770" s="212">
        <f>P770</f>
        <v/>
      </c>
      <c r="R770" s="212">
        <f>Q770-1</f>
        <v/>
      </c>
      <c r="S770" s="212">
        <f>Q770</f>
        <v/>
      </c>
      <c r="T770" s="213">
        <f>U767</f>
        <v/>
      </c>
      <c r="U770" s="213">
        <f>T770+V770</f>
        <v/>
      </c>
      <c r="V770" s="213" t="n">
        <v>0.02083333333333333</v>
      </c>
      <c r="W770" s="214">
        <f>TEXT(T770,"HH""h""MM'")&amp;"÷"&amp;TEXT(U770,"HH""h""MM'")</f>
        <v/>
      </c>
      <c r="X770" s="214" t="n"/>
      <c r="Y770" s="214" t="n"/>
      <c r="Z770" s="214" t="inlineStr">
        <is>
          <t>03;</t>
        </is>
      </c>
      <c r="AA770" s="215" t="inlineStr">
        <is>
          <t>Kiểm tra định vị Cọc khoan nhồi Trụ T2 - Cọc C7</t>
        </is>
      </c>
      <c r="AB770" s="204" t="inlineStr">
        <is>
          <t>09-XL-307HG/PYCNT/CKN/T2/C7-1</t>
        </is>
      </c>
      <c r="AC770" s="204" t="inlineStr">
        <is>
          <t>09-XL-307HG/BBNT/CKN/T2/C7-3</t>
        </is>
      </c>
      <c r="AD770" s="204" t="n"/>
      <c r="AE770" s="204" t="n"/>
      <c r="AF770" s="204" t="n"/>
      <c r="AG770" s="204" t="n"/>
      <c r="AH770" s="204" t="n"/>
      <c r="AI770" s="216" t="n"/>
      <c r="AJ770" s="214" t="n"/>
      <c r="AK770" s="217" t="n"/>
      <c r="AL770" s="214" t="n"/>
      <c r="AM770" s="214" t="n"/>
      <c r="AN770" s="214" t="n"/>
      <c r="AO770" s="214" t="n"/>
      <c r="AP770" s="216" t="n"/>
      <c r="AQ770" s="216" t="n"/>
      <c r="AR770" s="214" t="inlineStr">
        <is>
          <t>Nhóm 1</t>
        </is>
      </c>
      <c r="AS770" s="214" t="n"/>
      <c r="AT770" s="214" t="inlineStr">
        <is>
          <t>HM21</t>
        </is>
      </c>
      <c r="AU770" s="214" t="inlineStr">
        <is>
          <t>NTCV</t>
        </is>
      </c>
      <c r="AV770" s="214" t="n">
        <v>86</v>
      </c>
      <c r="AW770" s="214" t="n">
        <v>2</v>
      </c>
      <c r="AX770" s="214" t="n"/>
    </row>
    <row r="771" ht="28" customHeight="1" s="672">
      <c r="A771" s="56" t="inlineStr">
        <is>
          <t>BBK478</t>
        </is>
      </c>
      <c r="B771" s="56" t="inlineStr">
        <is>
          <t>PL03</t>
        </is>
      </c>
      <c r="C771" s="56" t="inlineStr">
        <is>
          <t>BBK478.0822807</t>
        </is>
      </c>
      <c r="D771" s="57" t="n"/>
      <c r="E771" s="57" t="n"/>
      <c r="F771" s="57" t="n"/>
      <c r="G771" s="57" t="n"/>
      <c r="H771" s="57" t="n"/>
      <c r="J771" s="198" t="inlineStr">
        <is>
          <t>10</t>
        </is>
      </c>
      <c r="K771" s="198" t="inlineStr">
        <is>
          <t>PL03</t>
        </is>
      </c>
      <c r="L771" s="199" t="inlineStr">
        <is>
          <t>Kiểm tra định vị tim cọc khoan nhồi, hạ ống vách thi công</t>
        </is>
      </c>
      <c r="M771" s="199" t="n"/>
      <c r="N771" s="199" t="n"/>
      <c r="O771" s="200" t="inlineStr">
        <is>
          <t>Cầu Km19+529.080</t>
        </is>
      </c>
      <c r="P771" s="201" t="n"/>
      <c r="Q771" s="201" t="n"/>
      <c r="R771" s="201" t="n"/>
      <c r="S771" s="201">
        <f>S770</f>
        <v/>
      </c>
      <c r="T771" s="201" t="n"/>
      <c r="U771" s="201" t="n"/>
      <c r="V771" s="201" t="n"/>
      <c r="W771" s="202" t="n"/>
      <c r="X771" s="202" t="n"/>
      <c r="Y771" s="202" t="n"/>
      <c r="Z771" s="198" t="inlineStr">
        <is>
          <t>03</t>
        </is>
      </c>
      <c r="AA771" s="203" t="n"/>
      <c r="AB771" s="204" t="inlineStr">
        <is>
          <t>09-XL-307HG/PYCNT/CKN/T2/C7-1</t>
        </is>
      </c>
      <c r="AC771" s="204">
        <f>AC770</f>
        <v/>
      </c>
      <c r="AD771" s="255" t="n">
        <v>2481786.637</v>
      </c>
      <c r="AE771" s="255" t="n">
        <v>382434.058</v>
      </c>
      <c r="AF771" s="255" t="n">
        <v>167.86</v>
      </c>
      <c r="AG771" s="255" t="n"/>
      <c r="AH771" s="204" t="inlineStr">
        <is>
          <t>&gt;=325;&lt;=343</t>
        </is>
      </c>
      <c r="AI771" s="207" t="n"/>
      <c r="AJ771" s="202" t="n"/>
      <c r="AK771" s="206" t="n"/>
      <c r="AL771" s="202" t="n"/>
      <c r="AM771" s="202" t="n"/>
      <c r="AN771" s="202" t="n"/>
      <c r="AO771" s="202" t="n"/>
      <c r="AP771" s="207" t="n"/>
      <c r="AQ771" s="207" t="n"/>
      <c r="AR771" s="202" t="inlineStr">
        <is>
          <t>Nhóm 1</t>
        </is>
      </c>
      <c r="AS771" s="202" t="n"/>
      <c r="AT771" s="202" t="inlineStr">
        <is>
          <t>HM21</t>
        </is>
      </c>
      <c r="AU771" s="202" t="inlineStr">
        <is>
          <t>PL03</t>
        </is>
      </c>
      <c r="AV771" s="202" t="n">
        <v>4</v>
      </c>
      <c r="AW771" s="202" t="n">
        <v>1</v>
      </c>
      <c r="AX771" s="202" t="n"/>
    </row>
    <row r="772" ht="28" customHeight="1" s="672">
      <c r="A772" s="56" t="inlineStr">
        <is>
          <t>NTCV</t>
        </is>
      </c>
      <c r="B772" s="56" t="inlineStr">
        <is>
          <t>K.9999</t>
        </is>
      </c>
      <c r="C772" s="56" t="inlineStr">
        <is>
          <t>NTCV.0268132</t>
        </is>
      </c>
      <c r="D772" s="57" t="n"/>
      <c r="E772" s="57" t="n"/>
      <c r="F772" s="57" t="n"/>
      <c r="G772" s="57" t="n"/>
      <c r="H772" s="57" t="n"/>
      <c r="J772" s="209" t="inlineStr">
        <is>
          <t>11</t>
        </is>
      </c>
      <c r="K772" s="209" t="inlineStr">
        <is>
          <t>K.9999</t>
        </is>
      </c>
      <c r="L772" s="210" t="inlineStr">
        <is>
          <t>Nghiệm thu lồng thép cọc khoan nhồi trước khi hạ</t>
        </is>
      </c>
      <c r="M772" s="210" t="n"/>
      <c r="N772" s="210" t="n"/>
      <c r="O772" s="211" t="inlineStr">
        <is>
          <t>Cầu Km19+529.080</t>
        </is>
      </c>
      <c r="P772" s="212">
        <f>S770</f>
        <v/>
      </c>
      <c r="Q772" s="212">
        <f>P772</f>
        <v/>
      </c>
      <c r="R772" s="212">
        <f>Q772-1</f>
        <v/>
      </c>
      <c r="S772" s="212">
        <f>Q772</f>
        <v/>
      </c>
      <c r="T772" s="213">
        <f>U770</f>
        <v/>
      </c>
      <c r="U772" s="213">
        <f>T772+V772</f>
        <v/>
      </c>
      <c r="V772" s="213" t="n">
        <v>0.02083333333333333</v>
      </c>
      <c r="W772" s="214">
        <f>TEXT(T772,"HH""h""MM'")&amp;"÷"&amp;TEXT(U772,"HH""h""MM'")</f>
        <v/>
      </c>
      <c r="X772" s="214" t="n"/>
      <c r="Y772" s="214" t="n"/>
      <c r="Z772" s="214" t="inlineStr">
        <is>
          <t>04;</t>
        </is>
      </c>
      <c r="AA772" s="215" t="inlineStr">
        <is>
          <t>Nghiệm thu lồng thép Cọc khoan nhồi Trụ T2 - Cọc C7</t>
        </is>
      </c>
      <c r="AB772" s="204" t="inlineStr">
        <is>
          <t>09-XL-307HG/PYCNT/CKN/T2/C7-1</t>
        </is>
      </c>
      <c r="AC772" s="204" t="inlineStr">
        <is>
          <t>09-XL-307HG/BBNT/CKN/T2/C7-4</t>
        </is>
      </c>
      <c r="AD772" s="204" t="n"/>
      <c r="AE772" s="204" t="n"/>
      <c r="AF772" s="204" t="n"/>
      <c r="AG772" s="204" t="n"/>
      <c r="AH772" s="204" t="n"/>
      <c r="AI772" s="216" t="n"/>
      <c r="AJ772" s="214" t="n"/>
      <c r="AK772" s="217" t="n"/>
      <c r="AL772" s="214" t="n"/>
      <c r="AM772" s="214" t="n"/>
      <c r="AN772" s="214" t="n"/>
      <c r="AO772" s="214" t="n"/>
      <c r="AP772" s="216" t="n"/>
      <c r="AQ772" s="216" t="n"/>
      <c r="AR772" s="214" t="inlineStr">
        <is>
          <t>Nhóm 1</t>
        </is>
      </c>
      <c r="AS772" s="214" t="n"/>
      <c r="AT772" s="214" t="inlineStr">
        <is>
          <t>HM21</t>
        </is>
      </c>
      <c r="AU772" s="214" t="inlineStr">
        <is>
          <t>NTCV</t>
        </is>
      </c>
      <c r="AV772" s="214" t="n">
        <v>88</v>
      </c>
      <c r="AW772" s="214" t="n">
        <v>3</v>
      </c>
      <c r="AX772" s="214" t="n"/>
    </row>
    <row r="773">
      <c r="A773" s="56" t="inlineStr">
        <is>
          <t>BBK096</t>
        </is>
      </c>
      <c r="B773" s="56" t="inlineStr">
        <is>
          <t>PL04</t>
        </is>
      </c>
      <c r="C773" s="56" t="inlineStr">
        <is>
          <t>BBK096.0678433</t>
        </is>
      </c>
      <c r="D773" s="57" t="n"/>
      <c r="E773" s="57" t="n"/>
      <c r="F773" s="57" t="n"/>
      <c r="G773" s="57" t="n"/>
      <c r="H773" s="57" t="n"/>
      <c r="J773" s="198" t="inlineStr">
        <is>
          <t>12</t>
        </is>
      </c>
      <c r="K773" s="198" t="inlineStr">
        <is>
          <t>PL04</t>
        </is>
      </c>
      <c r="L773" s="199" t="inlineStr">
        <is>
          <t>Nghiệm thu lồng thép cọc khoan nhồi trước khi hạ</t>
        </is>
      </c>
      <c r="M773" s="199" t="n"/>
      <c r="N773" s="199" t="n"/>
      <c r="O773" s="200" t="inlineStr">
        <is>
          <t>Cầu Km19+529.080</t>
        </is>
      </c>
      <c r="P773" s="201" t="n"/>
      <c r="Q773" s="201" t="n"/>
      <c r="R773" s="201" t="n"/>
      <c r="S773" s="201">
        <f>S772</f>
        <v/>
      </c>
      <c r="T773" s="201" t="n"/>
      <c r="U773" s="201" t="n"/>
      <c r="V773" s="201" t="n"/>
      <c r="W773" s="202" t="n"/>
      <c r="X773" s="202" t="n"/>
      <c r="Y773" s="202" t="n"/>
      <c r="Z773" s="198" t="inlineStr">
        <is>
          <t>04</t>
        </is>
      </c>
      <c r="AA773" s="203" t="n"/>
      <c r="AB773" s="204" t="inlineStr">
        <is>
          <t>09-XL-307HG/PYCNT/CKN/T2/C7-1</t>
        </is>
      </c>
      <c r="AC773" s="204">
        <f>AC772</f>
        <v/>
      </c>
      <c r="AD773" s="204" t="n"/>
      <c r="AE773" s="204" t="n"/>
      <c r="AF773" s="204" t="n"/>
      <c r="AG773" s="204" t="n"/>
      <c r="AH773" s="204" t="inlineStr">
        <is>
          <t>T2</t>
        </is>
      </c>
      <c r="AI773" s="207" t="n"/>
      <c r="AJ773" s="202" t="n"/>
      <c r="AK773" s="206" t="n"/>
      <c r="AL773" s="202" t="n"/>
      <c r="AM773" s="202" t="n"/>
      <c r="AN773" s="202" t="n"/>
      <c r="AO773" s="202" t="n"/>
      <c r="AP773" s="207" t="n"/>
      <c r="AQ773" s="207" t="n"/>
      <c r="AR773" s="202" t="inlineStr">
        <is>
          <t>Nhóm 1</t>
        </is>
      </c>
      <c r="AS773" s="202" t="n"/>
      <c r="AT773" s="202" t="inlineStr">
        <is>
          <t>HM21</t>
        </is>
      </c>
      <c r="AU773" s="202" t="inlineStr">
        <is>
          <t>PL04</t>
        </is>
      </c>
      <c r="AV773" s="202" t="n">
        <v>4</v>
      </c>
      <c r="AW773" s="202" t="n">
        <v>1</v>
      </c>
      <c r="AX773" s="202" t="n"/>
    </row>
    <row r="774" ht="28" customHeight="1" s="672">
      <c r="A774" s="56" t="inlineStr">
        <is>
          <t>NTCV</t>
        </is>
      </c>
      <c r="B774" s="56" t="inlineStr">
        <is>
          <t>K.9999</t>
        </is>
      </c>
      <c r="C774" s="56" t="inlineStr">
        <is>
          <t>NTCV.0396198</t>
        </is>
      </c>
      <c r="D774" s="57" t="n"/>
      <c r="E774" s="57" t="n"/>
      <c r="F774" s="57" t="n"/>
      <c r="G774" s="57" t="n"/>
      <c r="H774" s="57" t="n"/>
      <c r="J774" s="209" t="inlineStr">
        <is>
          <t>13</t>
        </is>
      </c>
      <c r="K774" s="209" t="inlineStr">
        <is>
          <t>K.9999</t>
        </is>
      </c>
      <c r="L774" s="210" t="inlineStr">
        <is>
          <t xml:space="preserve">Kiểm tra công tác khoan tạo lỗ cọc khoan nhồi </t>
        </is>
      </c>
      <c r="M774" s="210" t="n"/>
      <c r="N774" s="210" t="n"/>
      <c r="O774" s="211" t="inlineStr">
        <is>
          <t>Cầu Km19+529.080</t>
        </is>
      </c>
      <c r="P774" s="212">
        <f>S772</f>
        <v/>
      </c>
      <c r="Q774" s="212">
        <f>P774</f>
        <v/>
      </c>
      <c r="R774" s="212">
        <f>Q774-1</f>
        <v/>
      </c>
      <c r="S774" s="212">
        <f>Q774</f>
        <v/>
      </c>
      <c r="T774" s="213">
        <f>U772</f>
        <v/>
      </c>
      <c r="U774" s="213">
        <f>T774+V774</f>
        <v/>
      </c>
      <c r="V774" s="213" t="n">
        <v>0.3888888888888889</v>
      </c>
      <c r="W774" s="214">
        <f>TEXT(T774,"HH""h""MM'")&amp;"÷"&amp;TEXT(U774,"HH""h""MM'")</f>
        <v/>
      </c>
      <c r="X774" s="214" t="n"/>
      <c r="Y774" s="214" t="n"/>
      <c r="Z774" s="214" t="inlineStr">
        <is>
          <t>05;</t>
        </is>
      </c>
      <c r="AA774" s="215" t="inlineStr">
        <is>
          <t>Kiểm tra công tác khoan tạo lỗ Cọc khoan nhồi Trụ T2 - Cọc C7</t>
        </is>
      </c>
      <c r="AB774" s="204" t="inlineStr">
        <is>
          <t>09-XL-307HG/PYCNT/CKN/T2/C7-1</t>
        </is>
      </c>
      <c r="AC774" s="204" t="inlineStr">
        <is>
          <t>09-XL-307HG/BBNT/CKN/T2/C7-5</t>
        </is>
      </c>
      <c r="AD774" s="204" t="n"/>
      <c r="AE774" s="204" t="n"/>
      <c r="AF774" s="204" t="n"/>
      <c r="AG774" s="204" t="n"/>
      <c r="AH774" s="204" t="n"/>
      <c r="AI774" s="216" t="n"/>
      <c r="AJ774" s="214" t="n"/>
      <c r="AK774" s="217" t="n"/>
      <c r="AL774" s="214" t="n"/>
      <c r="AM774" s="214" t="n"/>
      <c r="AN774" s="214" t="n"/>
      <c r="AO774" s="214" t="n"/>
      <c r="AP774" s="216" t="n"/>
      <c r="AQ774" s="216" t="n"/>
      <c r="AR774" s="214" t="inlineStr">
        <is>
          <t>Nhóm 1</t>
        </is>
      </c>
      <c r="AS774" s="214" t="n"/>
      <c r="AT774" s="214" t="inlineStr">
        <is>
          <t>HM21</t>
        </is>
      </c>
      <c r="AU774" s="214" t="inlineStr">
        <is>
          <t>NTCV</t>
        </is>
      </c>
      <c r="AV774" s="214" t="n">
        <v>90</v>
      </c>
      <c r="AW774" s="214" t="n">
        <v>4</v>
      </c>
      <c r="AX774" s="214" t="n"/>
    </row>
    <row r="775">
      <c r="A775" s="56" t="inlineStr">
        <is>
          <t>BBK638</t>
        </is>
      </c>
      <c r="B775" s="56" t="inlineStr">
        <is>
          <t>PL05</t>
        </is>
      </c>
      <c r="C775" s="56" t="inlineStr">
        <is>
          <t>BBK638.0834396</t>
        </is>
      </c>
      <c r="D775" s="57" t="n"/>
      <c r="E775" s="57" t="n"/>
      <c r="F775" s="57" t="n"/>
      <c r="G775" s="57" t="n"/>
      <c r="H775" s="57" t="n"/>
      <c r="J775" s="198" t="inlineStr">
        <is>
          <t>14</t>
        </is>
      </c>
      <c r="K775" s="198" t="inlineStr">
        <is>
          <t>PL05</t>
        </is>
      </c>
      <c r="L775" s="199" t="inlineStr">
        <is>
          <t>Kiểm tra công tác khoan tạo lỗ cọc khoan nhồi</t>
        </is>
      </c>
      <c r="M775" s="199" t="n"/>
      <c r="N775" s="199" t="n"/>
      <c r="O775" s="200" t="inlineStr">
        <is>
          <t>Cầu Km19+529.080</t>
        </is>
      </c>
      <c r="P775" s="201" t="n"/>
      <c r="Q775" s="201" t="n"/>
      <c r="R775" s="201" t="n"/>
      <c r="S775" s="201">
        <f>S774</f>
        <v/>
      </c>
      <c r="T775" s="208">
        <f>T774</f>
        <v/>
      </c>
      <c r="U775" s="208" t="n">
        <v>0.7638888888888888</v>
      </c>
      <c r="V775" s="208">
        <f>U775-T775</f>
        <v/>
      </c>
      <c r="W775" s="202" t="n"/>
      <c r="X775" s="202" t="n"/>
      <c r="Y775" s="202" t="n"/>
      <c r="Z775" s="198" t="inlineStr">
        <is>
          <t>05</t>
        </is>
      </c>
      <c r="AA775" s="203" t="n"/>
      <c r="AB775" s="204" t="inlineStr">
        <is>
          <t>09-XL-307HG/PYCNT/CKN/T2/C7</t>
        </is>
      </c>
      <c r="AC775" s="204">
        <f>AC774</f>
        <v/>
      </c>
      <c r="AD775" s="204" t="n"/>
      <c r="AE775" s="204" t="n"/>
      <c r="AF775" s="255" t="n">
        <v>167.86</v>
      </c>
      <c r="AG775" s="255" t="n"/>
      <c r="AH775" s="204" t="inlineStr">
        <is>
          <t>T2-C7</t>
        </is>
      </c>
      <c r="AI775" s="207" t="n"/>
      <c r="AJ775" s="202" t="n"/>
      <c r="AK775" s="206" t="n"/>
      <c r="AL775" s="202" t="n"/>
      <c r="AM775" s="202" t="n"/>
      <c r="AN775" s="202" t="n"/>
      <c r="AO775" s="202" t="n"/>
      <c r="AP775" s="207" t="n"/>
      <c r="AQ775" s="207" t="n"/>
      <c r="AR775" s="202" t="inlineStr">
        <is>
          <t>Nhóm 1</t>
        </is>
      </c>
      <c r="AS775" s="202" t="n"/>
      <c r="AT775" s="202" t="inlineStr">
        <is>
          <t>HM21</t>
        </is>
      </c>
      <c r="AU775" s="202" t="inlineStr">
        <is>
          <t>PL05</t>
        </is>
      </c>
      <c r="AV775" s="202" t="n">
        <v>4</v>
      </c>
      <c r="AW775" s="202" t="n">
        <v>1</v>
      </c>
      <c r="AX775" s="202" t="n"/>
    </row>
    <row r="776">
      <c r="A776" s="56" t="inlineStr">
        <is>
          <t>BBK680</t>
        </is>
      </c>
      <c r="B776" s="56" t="inlineStr">
        <is>
          <t>PYC</t>
        </is>
      </c>
      <c r="C776" s="56" t="inlineStr">
        <is>
          <t>BBK680.0432827</t>
        </is>
      </c>
      <c r="D776" s="57" t="n"/>
      <c r="E776" s="57" t="n"/>
      <c r="F776" s="57" t="n"/>
      <c r="G776" s="57" t="n"/>
      <c r="H776" s="57" t="n"/>
      <c r="J776" s="198" t="inlineStr">
        <is>
          <t>15</t>
        </is>
      </c>
      <c r="K776" s="198" t="inlineStr">
        <is>
          <t>PYC</t>
        </is>
      </c>
      <c r="L776" s="199" t="inlineStr">
        <is>
          <t>Phiếu yêu cầu nghiệm thu</t>
        </is>
      </c>
      <c r="M776" s="199" t="n"/>
      <c r="N776" s="199" t="n"/>
      <c r="O776" s="200" t="inlineStr">
        <is>
          <t>Cầu Km19+529.080</t>
        </is>
      </c>
      <c r="P776" s="201" t="n"/>
      <c r="Q776" s="201" t="n"/>
      <c r="R776" s="201">
        <f>R777</f>
        <v/>
      </c>
      <c r="S776" s="201" t="n"/>
      <c r="T776" s="201" t="n"/>
      <c r="U776" s="201" t="n"/>
      <c r="V776" s="201" t="n"/>
      <c r="W776" s="202" t="n"/>
      <c r="X776" s="202" t="n"/>
      <c r="Y776" s="202" t="n"/>
      <c r="Z776" s="202" t="n"/>
      <c r="AA776" s="203" t="n"/>
      <c r="AB776" s="204" t="inlineStr">
        <is>
          <t>09-XL-307HG/PYCNT/CKN/T2/C7</t>
        </is>
      </c>
      <c r="AC776" s="205" t="inlineStr"/>
      <c r="AD776" s="205" t="n"/>
      <c r="AE776" s="205" t="n"/>
      <c r="AF776" s="205" t="n"/>
      <c r="AG776" s="205" t="inlineStr">
        <is>
          <t>NTCV;BBKTĐK</t>
        </is>
      </c>
      <c r="AH776" s="204" t="inlineStr">
        <is>
          <t>&gt;=6;&lt;=10</t>
        </is>
      </c>
      <c r="AI776" s="202" t="n"/>
      <c r="AJ776" s="202" t="n"/>
      <c r="AK776" s="206" t="n"/>
      <c r="AL776" s="202" t="n"/>
      <c r="AM776" s="202" t="n"/>
      <c r="AN776" s="202" t="n"/>
      <c r="AO776" s="202" t="n"/>
      <c r="AP776" s="207" t="n"/>
      <c r="AQ776" s="207" t="n"/>
      <c r="AR776" s="202" t="inlineStr">
        <is>
          <t>Nhóm 1</t>
        </is>
      </c>
      <c r="AS776" s="202" t="n"/>
      <c r="AT776" s="202" t="inlineStr">
        <is>
          <t>HM21</t>
        </is>
      </c>
      <c r="AU776" s="202" t="inlineStr">
        <is>
          <t>PYC</t>
        </is>
      </c>
      <c r="AV776" s="202" t="n">
        <v>210</v>
      </c>
      <c r="AW776" s="202" t="n">
        <v>2</v>
      </c>
      <c r="AX776" s="202" t="n"/>
    </row>
    <row r="777" ht="42" customHeight="1" s="672">
      <c r="A777" s="56" t="inlineStr">
        <is>
          <t>NTCV</t>
        </is>
      </c>
      <c r="B777" s="56" t="inlineStr">
        <is>
          <t>K.9999</t>
        </is>
      </c>
      <c r="C777" s="56" t="inlineStr">
        <is>
          <t>NTCV.0835960</t>
        </is>
      </c>
      <c r="D777" s="57" t="n"/>
      <c r="E777" s="57" t="n"/>
      <c r="F777" s="57" t="n"/>
      <c r="G777" s="57" t="n"/>
      <c r="H777" s="57" t="n"/>
      <c r="J777" s="209" t="inlineStr">
        <is>
          <t>16</t>
        </is>
      </c>
      <c r="K777" s="209" t="inlineStr">
        <is>
          <t>K.9999</t>
        </is>
      </c>
      <c r="L777" s="210" t="inlineStr">
        <is>
          <t>Kiểm tra công tác vệ sinh lỗ khoan trước khi hạ lồng cốt thép cọc khoan nhồi</t>
        </is>
      </c>
      <c r="M777" s="210" t="n"/>
      <c r="N777" s="210" t="n"/>
      <c r="O777" s="211" t="inlineStr">
        <is>
          <t>Cầu Km19+529.080</t>
        </is>
      </c>
      <c r="P777" s="212">
        <f>S774+1</f>
        <v/>
      </c>
      <c r="Q777" s="212">
        <f>P777</f>
        <v/>
      </c>
      <c r="R777" s="212">
        <f>Q777-1</f>
        <v/>
      </c>
      <c r="S777" s="212">
        <f>Q777</f>
        <v/>
      </c>
      <c r="T777" s="213" t="n">
        <v>0.3333333333333333</v>
      </c>
      <c r="U777" s="213">
        <f>T777+V777</f>
        <v/>
      </c>
      <c r="V777" s="213" t="n">
        <v>0.01736111111111111</v>
      </c>
      <c r="W777" s="214">
        <f>TEXT(T777,"HH""h""MM'")&amp;"÷"&amp;TEXT(U777,"HH""h""MM'")</f>
        <v/>
      </c>
      <c r="X777" s="214" t="n"/>
      <c r="Y777" s="214" t="n"/>
      <c r="Z777" s="214" t="inlineStr">
        <is>
          <t>06;</t>
        </is>
      </c>
      <c r="AA777" s="215" t="inlineStr">
        <is>
          <t>Kiểm tra công tác vệ sinh lỗ khoan trước khi hạ lồng cốt thép Cọc khoan nhồi Trụ T2 - Cọc C7</t>
        </is>
      </c>
      <c r="AB777" s="204" t="inlineStr">
        <is>
          <t>09-XL-307HG/PYCNT/CKN/T2/C7-2</t>
        </is>
      </c>
      <c r="AC777" s="204" t="inlineStr">
        <is>
          <t>09-XL-307HG/BBNT/CKN/T2/C7-6</t>
        </is>
      </c>
      <c r="AD777" s="204" t="n"/>
      <c r="AE777" s="204" t="n"/>
      <c r="AF777" s="204" t="n"/>
      <c r="AG777" s="204" t="n"/>
      <c r="AH777" s="204" t="n"/>
      <c r="AI777" s="216" t="n"/>
      <c r="AJ777" s="214" t="n"/>
      <c r="AK777" s="217" t="n"/>
      <c r="AL777" s="214" t="n"/>
      <c r="AM777" s="214" t="n"/>
      <c r="AN777" s="214" t="n"/>
      <c r="AO777" s="214" t="n"/>
      <c r="AP777" s="216" t="n"/>
      <c r="AQ777" s="216" t="n"/>
      <c r="AR777" s="214" t="inlineStr">
        <is>
          <t>Nhóm 1</t>
        </is>
      </c>
      <c r="AS777" s="214" t="n"/>
      <c r="AT777" s="214" t="inlineStr">
        <is>
          <t>HM21</t>
        </is>
      </c>
      <c r="AU777" s="214" t="inlineStr">
        <is>
          <t>NTCV</t>
        </is>
      </c>
      <c r="AV777" s="214" t="n">
        <v>96</v>
      </c>
      <c r="AW777" s="214" t="n">
        <v>5</v>
      </c>
      <c r="AX777" s="214" t="n"/>
    </row>
    <row r="778" ht="28" customHeight="1" s="672">
      <c r="A778" s="56" t="inlineStr">
        <is>
          <t>BBK570</t>
        </is>
      </c>
      <c r="B778" s="56" t="inlineStr">
        <is>
          <t>PL06</t>
        </is>
      </c>
      <c r="C778" s="56" t="inlineStr">
        <is>
          <t>BBK570.0218785</t>
        </is>
      </c>
      <c r="D778" s="57" t="n"/>
      <c r="E778" s="57" t="n"/>
      <c r="F778" s="57" t="n"/>
      <c r="G778" s="57" t="n"/>
      <c r="H778" s="57" t="n"/>
      <c r="J778" s="198" t="inlineStr">
        <is>
          <t>17</t>
        </is>
      </c>
      <c r="K778" s="198" t="inlineStr">
        <is>
          <t>PL06</t>
        </is>
      </c>
      <c r="L778" s="199" t="inlineStr">
        <is>
          <t>Kiểm tra công tác vệ sinh lỗ khoan trước khi hạ lồng cốt thép cọc khoan nhồi</t>
        </is>
      </c>
      <c r="M778" s="199" t="n"/>
      <c r="N778" s="199" t="n"/>
      <c r="O778" s="200" t="inlineStr">
        <is>
          <t>Cầu Km19+529.080</t>
        </is>
      </c>
      <c r="P778" s="201" t="n"/>
      <c r="Q778" s="201" t="n"/>
      <c r="R778" s="201" t="n"/>
      <c r="S778" s="201">
        <f>S777</f>
        <v/>
      </c>
      <c r="T778" s="201" t="n"/>
      <c r="U778" s="201" t="n"/>
      <c r="V778" s="201" t="n"/>
      <c r="W778" s="202" t="n"/>
      <c r="X778" s="265" t="n">
        <v>135.86</v>
      </c>
      <c r="Y778" s="265">
        <f>X778-0.02</f>
        <v/>
      </c>
      <c r="Z778" s="198" t="inlineStr">
        <is>
          <t>06</t>
        </is>
      </c>
      <c r="AA778" s="203" t="n"/>
      <c r="AB778" s="204" t="inlineStr">
        <is>
          <t>09-XL-307HG/PYCNT/CKN/T2/C7-2</t>
        </is>
      </c>
      <c r="AC778" s="204">
        <f>AC777</f>
        <v/>
      </c>
      <c r="AD778" s="204" t="n"/>
      <c r="AE778" s="204" t="n"/>
      <c r="AF778" s="204" t="n"/>
      <c r="AG778" s="204" t="n"/>
      <c r="AH778" s="204" t="n"/>
      <c r="AI778" s="202" t="n"/>
      <c r="AJ778" s="202" t="n"/>
      <c r="AK778" s="206" t="n"/>
      <c r="AL778" s="202" t="n"/>
      <c r="AM778" s="202" t="n"/>
      <c r="AN778" s="202" t="n"/>
      <c r="AO778" s="202" t="n"/>
      <c r="AP778" s="207" t="n"/>
      <c r="AQ778" s="207" t="n"/>
      <c r="AR778" s="202" t="inlineStr">
        <is>
          <t>Nhóm 1</t>
        </is>
      </c>
      <c r="AS778" s="202" t="n"/>
      <c r="AT778" s="202" t="inlineStr">
        <is>
          <t>HM21</t>
        </is>
      </c>
      <c r="AU778" s="202" t="inlineStr">
        <is>
          <t>PL06</t>
        </is>
      </c>
      <c r="AV778" s="202" t="n">
        <v>4</v>
      </c>
      <c r="AW778" s="202" t="n">
        <v>1</v>
      </c>
      <c r="AX778" s="202" t="n"/>
    </row>
    <row r="779" ht="28" customHeight="1" s="672">
      <c r="A779" s="56" t="inlineStr">
        <is>
          <t>NTCV</t>
        </is>
      </c>
      <c r="B779" s="56" t="inlineStr">
        <is>
          <t>K.9999</t>
        </is>
      </c>
      <c r="C779" s="56" t="inlineStr">
        <is>
          <t>NTCV.0731136</t>
        </is>
      </c>
      <c r="D779" s="57" t="n"/>
      <c r="E779" s="57" t="n"/>
      <c r="F779" s="57" t="n"/>
      <c r="G779" s="57" t="n"/>
      <c r="H779" s="57" t="n"/>
      <c r="J779" s="209" t="inlineStr">
        <is>
          <t>18</t>
        </is>
      </c>
      <c r="K779" s="209" t="inlineStr">
        <is>
          <t>K.9999</t>
        </is>
      </c>
      <c r="L779" s="210" t="inlineStr">
        <is>
          <t xml:space="preserve">Nghiệm thu công tác hạ lồng thép </t>
        </is>
      </c>
      <c r="M779" s="210" t="n"/>
      <c r="N779" s="210" t="n"/>
      <c r="O779" s="211" t="inlineStr">
        <is>
          <t>Cầu Km19+529.080</t>
        </is>
      </c>
      <c r="P779" s="212">
        <f>S777</f>
        <v/>
      </c>
      <c r="Q779" s="212">
        <f>P779</f>
        <v/>
      </c>
      <c r="R779" s="212">
        <f>Q779-1</f>
        <v/>
      </c>
      <c r="S779" s="212">
        <f>Q779</f>
        <v/>
      </c>
      <c r="T779" s="213">
        <f>U777</f>
        <v/>
      </c>
      <c r="U779" s="213">
        <f>T779+V779</f>
        <v/>
      </c>
      <c r="V779" s="213" t="n">
        <v>0.03125</v>
      </c>
      <c r="W779" s="214">
        <f>TEXT(T779,"HH""h""MM'")&amp;"÷"&amp;TEXT(U779,"HH""h""MM'")</f>
        <v/>
      </c>
      <c r="X779" s="214" t="n"/>
      <c r="Y779" s="214" t="n"/>
      <c r="Z779" s="214" t="inlineStr">
        <is>
          <t>07;</t>
        </is>
      </c>
      <c r="AA779" s="215" t="inlineStr">
        <is>
          <t>Công tác hạ lồng thép Cọc khoan nhồi Trụ T2 - Cọc C7</t>
        </is>
      </c>
      <c r="AB779" s="204" t="inlineStr">
        <is>
          <t>09-XL-307HG/PYCNT/CKN/T2/C7-2</t>
        </is>
      </c>
      <c r="AC779" s="204" t="inlineStr">
        <is>
          <t>09-XL-307HG/BBNT/CKN/T2/C7-7</t>
        </is>
      </c>
      <c r="AD779" s="204" t="n"/>
      <c r="AE779" s="204" t="n"/>
      <c r="AF779" s="204" t="n"/>
      <c r="AG779" s="204" t="n"/>
      <c r="AH779" s="204" t="n"/>
      <c r="AI779" s="214" t="n"/>
      <c r="AJ779" s="214" t="n"/>
      <c r="AK779" s="217" t="n"/>
      <c r="AL779" s="214" t="n"/>
      <c r="AM779" s="214" t="n"/>
      <c r="AN779" s="214" t="n"/>
      <c r="AO779" s="214" t="n"/>
      <c r="AP779" s="216" t="n"/>
      <c r="AQ779" s="216" t="n"/>
      <c r="AR779" s="214" t="inlineStr">
        <is>
          <t>Nhóm 1</t>
        </is>
      </c>
      <c r="AS779" s="214" t="n"/>
      <c r="AT779" s="214" t="inlineStr">
        <is>
          <t>HM21</t>
        </is>
      </c>
      <c r="AU779" s="214" t="inlineStr">
        <is>
          <t>NTCV</t>
        </is>
      </c>
      <c r="AV779" s="214" t="n">
        <v>97</v>
      </c>
      <c r="AW779" s="214" t="n">
        <v>6</v>
      </c>
      <c r="AX779" s="214" t="n"/>
    </row>
    <row r="780">
      <c r="A780" s="56" t="inlineStr">
        <is>
          <t>BBK396</t>
        </is>
      </c>
      <c r="B780" s="56" t="inlineStr">
        <is>
          <t>PL07</t>
        </is>
      </c>
      <c r="C780" s="56" t="inlineStr">
        <is>
          <t>BBK396.0899100</t>
        </is>
      </c>
      <c r="D780" s="57" t="n"/>
      <c r="E780" s="57" t="n"/>
      <c r="F780" s="57" t="n"/>
      <c r="G780" s="57" t="n"/>
      <c r="H780" s="57" t="n"/>
      <c r="J780" s="198" t="inlineStr">
        <is>
          <t>19</t>
        </is>
      </c>
      <c r="K780" s="198" t="inlineStr">
        <is>
          <t>PL07</t>
        </is>
      </c>
      <c r="L780" s="199" t="inlineStr">
        <is>
          <t>Nghiệm thu công tác hạ lồng thép</t>
        </is>
      </c>
      <c r="M780" s="199" t="n"/>
      <c r="N780" s="199" t="n"/>
      <c r="O780" s="200" t="inlineStr">
        <is>
          <t>Cầu Km19+529.080</t>
        </is>
      </c>
      <c r="P780" s="201" t="n"/>
      <c r="Q780" s="201" t="n"/>
      <c r="R780" s="201" t="n"/>
      <c r="S780" s="201">
        <f>S779</f>
        <v/>
      </c>
      <c r="T780" s="201" t="n"/>
      <c r="U780" s="201" t="n"/>
      <c r="V780" s="201" t="n"/>
      <c r="W780" s="202" t="n"/>
      <c r="X780" s="202" t="n"/>
      <c r="Y780" s="202" t="n"/>
      <c r="Z780" s="198" t="inlineStr">
        <is>
          <t>07</t>
        </is>
      </c>
      <c r="AA780" s="203" t="n"/>
      <c r="AB780" s="204" t="inlineStr">
        <is>
          <t>09-XL-307HG/PYCNT/CKN/T2/C7-2</t>
        </is>
      </c>
      <c r="AC780" s="204">
        <f>AC779</f>
        <v/>
      </c>
      <c r="AD780" s="204" t="n"/>
      <c r="AE780" s="204" t="n"/>
      <c r="AF780" s="204" t="n"/>
      <c r="AG780" s="204" t="n"/>
      <c r="AH780" s="204" t="n"/>
      <c r="AI780" s="202" t="n"/>
      <c r="AJ780" s="202" t="n"/>
      <c r="AK780" s="206" t="n"/>
      <c r="AL780" s="202" t="n"/>
      <c r="AM780" s="202" t="n"/>
      <c r="AN780" s="202" t="n"/>
      <c r="AO780" s="202" t="n"/>
      <c r="AP780" s="207" t="n"/>
      <c r="AQ780" s="207" t="n"/>
      <c r="AR780" s="202" t="inlineStr">
        <is>
          <t>Nhóm 1</t>
        </is>
      </c>
      <c r="AS780" s="202" t="n"/>
      <c r="AT780" s="202" t="inlineStr">
        <is>
          <t>HM21</t>
        </is>
      </c>
      <c r="AU780" s="202" t="inlineStr">
        <is>
          <t>PL07</t>
        </is>
      </c>
      <c r="AV780" s="202" t="n">
        <v>4</v>
      </c>
      <c r="AW780" s="202" t="n">
        <v>1</v>
      </c>
      <c r="AX780" s="202" t="n"/>
    </row>
    <row r="781" ht="42" customHeight="1" s="672">
      <c r="A781" s="56" t="inlineStr">
        <is>
          <t>NTCV</t>
        </is>
      </c>
      <c r="B781" s="56" t="inlineStr">
        <is>
          <t>K.9999</t>
        </is>
      </c>
      <c r="C781" s="56" t="inlineStr">
        <is>
          <t>NTCV.0217656</t>
        </is>
      </c>
      <c r="D781" s="57" t="n"/>
      <c r="E781" s="57" t="n"/>
      <c r="F781" s="57" t="n"/>
      <c r="G781" s="57" t="n"/>
      <c r="H781" s="57" t="n"/>
      <c r="J781" s="209" t="inlineStr">
        <is>
          <t>20</t>
        </is>
      </c>
      <c r="K781" s="209" t="inlineStr">
        <is>
          <t>K.9999</t>
        </is>
      </c>
      <c r="L781" s="210" t="inlineStr">
        <is>
          <t xml:space="preserve">Kiểm tra công tác vệ sinh lỗ khoan cọc khoan nhồi trước khi đổ bê tông </t>
        </is>
      </c>
      <c r="M781" s="210" t="n"/>
      <c r="N781" s="210" t="n"/>
      <c r="O781" s="211" t="inlineStr">
        <is>
          <t>Cầu Km19+529.080</t>
        </is>
      </c>
      <c r="P781" s="212">
        <f>S779</f>
        <v/>
      </c>
      <c r="Q781" s="212">
        <f>P781</f>
        <v/>
      </c>
      <c r="R781" s="212">
        <f>Q781-1</f>
        <v/>
      </c>
      <c r="S781" s="212">
        <f>Q781</f>
        <v/>
      </c>
      <c r="T781" s="213">
        <f>U779</f>
        <v/>
      </c>
      <c r="U781" s="213">
        <f>T781+V781</f>
        <v/>
      </c>
      <c r="V781" s="213" t="n">
        <v>0.02083333333333333</v>
      </c>
      <c r="W781" s="214">
        <f>TEXT(T781,"HH""h""MM'")&amp;"÷"&amp;TEXT(U781,"HH""h""MM'")</f>
        <v/>
      </c>
      <c r="X781" s="214" t="n"/>
      <c r="Y781" s="214" t="n"/>
      <c r="Z781" s="214" t="inlineStr">
        <is>
          <t>08;</t>
        </is>
      </c>
      <c r="AA781" s="215" t="inlineStr">
        <is>
          <t>Kiểm tra công tác vệ sinh lỗ khoan cọc khoan nhồi trước khi đổ bê tông Cọc khoan nhồi Trụ T2 - Cọc C7</t>
        </is>
      </c>
      <c r="AB781" s="204" t="inlineStr">
        <is>
          <t>09-XL-307HG/PYCNT/CKN/T2/C7-2</t>
        </is>
      </c>
      <c r="AC781" s="204" t="inlineStr">
        <is>
          <t>09-XL-307HG/BBNT/CKN/T2/C7-8</t>
        </is>
      </c>
      <c r="AD781" s="204" t="n"/>
      <c r="AE781" s="204" t="n"/>
      <c r="AF781" s="204" t="n"/>
      <c r="AG781" s="204" t="n"/>
      <c r="AH781" s="204" t="n"/>
      <c r="AI781" s="214" t="n"/>
      <c r="AJ781" s="214" t="n"/>
      <c r="AK781" s="217" t="n"/>
      <c r="AL781" s="214" t="n"/>
      <c r="AM781" s="214" t="n"/>
      <c r="AN781" s="214" t="n"/>
      <c r="AO781" s="214" t="n"/>
      <c r="AP781" s="216" t="n"/>
      <c r="AQ781" s="216" t="n"/>
      <c r="AR781" s="214" t="inlineStr">
        <is>
          <t>Nhóm 1</t>
        </is>
      </c>
      <c r="AS781" s="214" t="n"/>
      <c r="AT781" s="214" t="inlineStr">
        <is>
          <t>HM21</t>
        </is>
      </c>
      <c r="AU781" s="214" t="inlineStr">
        <is>
          <t>NTCV</t>
        </is>
      </c>
      <c r="AV781" s="214" t="n">
        <v>100</v>
      </c>
      <c r="AW781" s="214" t="n">
        <v>7</v>
      </c>
      <c r="AX781" s="214" t="n"/>
    </row>
    <row r="782" ht="28" customHeight="1" s="672">
      <c r="A782" s="56" t="inlineStr">
        <is>
          <t>BBK521</t>
        </is>
      </c>
      <c r="B782" s="56" t="inlineStr">
        <is>
          <t>PL08</t>
        </is>
      </c>
      <c r="C782" s="56" t="inlineStr">
        <is>
          <t>BBK521.0982142</t>
        </is>
      </c>
      <c r="D782" s="57" t="n"/>
      <c r="E782" s="57" t="n"/>
      <c r="F782" s="57" t="n"/>
      <c r="G782" s="57" t="n"/>
      <c r="H782" s="57" t="n"/>
      <c r="J782" s="198" t="inlineStr">
        <is>
          <t>21</t>
        </is>
      </c>
      <c r="K782" s="198" t="inlineStr">
        <is>
          <t>PL08</t>
        </is>
      </c>
      <c r="L782" s="199" t="inlineStr">
        <is>
          <t>Kiểm tra công tác vệ sinh lỗ khoan cọc khoan nhồi trước khi đổ bê tông</t>
        </is>
      </c>
      <c r="M782" s="199" t="n"/>
      <c r="N782" s="199" t="n"/>
      <c r="O782" s="200" t="inlineStr">
        <is>
          <t>Cầu Km19+529.080</t>
        </is>
      </c>
      <c r="P782" s="201" t="n"/>
      <c r="Q782" s="201" t="n"/>
      <c r="R782" s="201" t="n"/>
      <c r="S782" s="201">
        <f>S781</f>
        <v/>
      </c>
      <c r="T782" s="201" t="n"/>
      <c r="U782" s="201" t="n"/>
      <c r="V782" s="201" t="n"/>
      <c r="W782" s="202" t="n"/>
      <c r="X782" s="202" t="n"/>
      <c r="Y782" s="202" t="n"/>
      <c r="Z782" s="198" t="inlineStr">
        <is>
          <t>08</t>
        </is>
      </c>
      <c r="AA782" s="203" t="n"/>
      <c r="AB782" s="204" t="inlineStr">
        <is>
          <t>09-XL-307HG/PYCNT/CKN/T2/C7-2</t>
        </is>
      </c>
      <c r="AC782" s="204">
        <f>AC781</f>
        <v/>
      </c>
      <c r="AD782" s="204" t="n"/>
      <c r="AE782" s="204" t="n"/>
      <c r="AF782" s="204" t="n"/>
      <c r="AG782" s="204" t="n"/>
      <c r="AH782" s="204" t="n"/>
      <c r="AI782" s="202" t="n"/>
      <c r="AJ782" s="202" t="n"/>
      <c r="AK782" s="206" t="n"/>
      <c r="AL782" s="202" t="n"/>
      <c r="AM782" s="202" t="n"/>
      <c r="AN782" s="202" t="n"/>
      <c r="AO782" s="202" t="n"/>
      <c r="AP782" s="207" t="n"/>
      <c r="AQ782" s="207" t="n"/>
      <c r="AR782" s="202" t="inlineStr">
        <is>
          <t>Nhóm 1</t>
        </is>
      </c>
      <c r="AS782" s="202" t="n"/>
      <c r="AT782" s="202" t="inlineStr">
        <is>
          <t>HM21</t>
        </is>
      </c>
      <c r="AU782" s="202" t="inlineStr">
        <is>
          <t>PL08</t>
        </is>
      </c>
      <c r="AV782" s="202" t="n">
        <v>4</v>
      </c>
      <c r="AW782" s="202" t="n">
        <v>1</v>
      </c>
      <c r="AX782" s="202" t="n"/>
    </row>
    <row r="783" ht="28" customHeight="1" s="672">
      <c r="A783" s="56" t="inlineStr">
        <is>
          <t>NTCV</t>
        </is>
      </c>
      <c r="B783" s="56" t="inlineStr">
        <is>
          <t>K.9999</t>
        </is>
      </c>
      <c r="C783" s="56" t="inlineStr">
        <is>
          <t>NTCV.0965725</t>
        </is>
      </c>
      <c r="D783" s="57" t="n"/>
      <c r="E783" s="57" t="n"/>
      <c r="F783" s="57" t="n"/>
      <c r="G783" s="57" t="n"/>
      <c r="H783" s="57" t="n"/>
      <c r="J783" s="209" t="inlineStr">
        <is>
          <t>22</t>
        </is>
      </c>
      <c r="K783" s="209" t="inlineStr">
        <is>
          <t>K.9999</t>
        </is>
      </c>
      <c r="L783" s="210" t="inlineStr">
        <is>
          <t xml:space="preserve">Kiểm tra công tác chuẩn bị đổ bê tông cọc khoan nhồi </t>
        </is>
      </c>
      <c r="M783" s="210" t="n"/>
      <c r="N783" s="210" t="n"/>
      <c r="O783" s="211" t="inlineStr">
        <is>
          <t>Cầu Km19+529.080</t>
        </is>
      </c>
      <c r="P783" s="212">
        <f>S781</f>
        <v/>
      </c>
      <c r="Q783" s="212">
        <f>P783</f>
        <v/>
      </c>
      <c r="R783" s="212">
        <f>Q783-1</f>
        <v/>
      </c>
      <c r="S783" s="212">
        <f>Q783</f>
        <v/>
      </c>
      <c r="T783" s="213">
        <f>U781</f>
        <v/>
      </c>
      <c r="U783" s="213">
        <f>T783+V783</f>
        <v/>
      </c>
      <c r="V783" s="213" t="n">
        <v>0.02083333333333333</v>
      </c>
      <c r="W783" s="214">
        <f>TEXT(T783,"HH""h""MM'")&amp;"÷"&amp;TEXT(U783,"HH""h""MM'")</f>
        <v/>
      </c>
      <c r="X783" s="214" t="n"/>
      <c r="Y783" s="214" t="n"/>
      <c r="Z783" s="214" t="inlineStr">
        <is>
          <t>09;</t>
        </is>
      </c>
      <c r="AA783" s="215" t="inlineStr">
        <is>
          <t>Kiểm tra công tác chuẩn bị đổ bê tông Cọc khoan nhồi Trụ T2 - Cọc C7</t>
        </is>
      </c>
      <c r="AB783" s="204" t="inlineStr">
        <is>
          <t>09-XL-307HG/PYCNT/CKN/T2/C7-2</t>
        </is>
      </c>
      <c r="AC783" s="204" t="inlineStr">
        <is>
          <t>09-XL-307HG/BBNT/CKN/T2/C7-9</t>
        </is>
      </c>
      <c r="AD783" s="204" t="n"/>
      <c r="AE783" s="204" t="n"/>
      <c r="AF783" s="204" t="n"/>
      <c r="AG783" s="204" t="n"/>
      <c r="AH783" s="204" t="n"/>
      <c r="AI783" s="214" t="n"/>
      <c r="AJ783" s="214" t="n"/>
      <c r="AK783" s="217" t="n"/>
      <c r="AL783" s="214" t="n"/>
      <c r="AM783" s="214" t="n"/>
      <c r="AN783" s="214" t="n"/>
      <c r="AO783" s="214" t="n"/>
      <c r="AP783" s="216" t="n"/>
      <c r="AQ783" s="216" t="n"/>
      <c r="AR783" s="214" t="inlineStr">
        <is>
          <t>Nhóm 1</t>
        </is>
      </c>
      <c r="AS783" s="214" t="n"/>
      <c r="AT783" s="214" t="inlineStr">
        <is>
          <t>HM21</t>
        </is>
      </c>
      <c r="AU783" s="214" t="inlineStr">
        <is>
          <t>NTCV</t>
        </is>
      </c>
      <c r="AV783" s="214" t="n">
        <v>101</v>
      </c>
      <c r="AW783" s="214" t="n">
        <v>8</v>
      </c>
      <c r="AX783" s="214" t="n"/>
    </row>
    <row r="784">
      <c r="A784" s="56" t="inlineStr">
        <is>
          <t>BBK209</t>
        </is>
      </c>
      <c r="B784" s="56" t="inlineStr">
        <is>
          <t>PL09</t>
        </is>
      </c>
      <c r="C784" s="56" t="inlineStr">
        <is>
          <t>BBK209.0871359</t>
        </is>
      </c>
      <c r="D784" s="57" t="n"/>
      <c r="E784" s="57" t="n"/>
      <c r="F784" s="57" t="n"/>
      <c r="G784" s="57" t="n"/>
      <c r="H784" s="57" t="n"/>
      <c r="J784" s="198" t="inlineStr">
        <is>
          <t>23</t>
        </is>
      </c>
      <c r="K784" s="198" t="inlineStr">
        <is>
          <t>PL09</t>
        </is>
      </c>
      <c r="L784" s="199" t="inlineStr">
        <is>
          <t>Kiểm tra công tác chuẩn bị đổ bê tông cọc khoan nhồi</t>
        </is>
      </c>
      <c r="M784" s="199" t="n"/>
      <c r="N784" s="199" t="n"/>
      <c r="O784" s="200" t="inlineStr">
        <is>
          <t>Cầu Km19+529.080</t>
        </is>
      </c>
      <c r="P784" s="201" t="n"/>
      <c r="Q784" s="201" t="n"/>
      <c r="R784" s="201" t="n"/>
      <c r="S784" s="201">
        <f>S783</f>
        <v/>
      </c>
      <c r="T784" s="201" t="n"/>
      <c r="U784" s="201" t="n"/>
      <c r="V784" s="201" t="n"/>
      <c r="W784" s="202" t="n"/>
      <c r="X784" s="202" t="n"/>
      <c r="Y784" s="202" t="n"/>
      <c r="Z784" s="198" t="inlineStr">
        <is>
          <t>09</t>
        </is>
      </c>
      <c r="AA784" s="203" t="n"/>
      <c r="AB784" s="204" t="inlineStr">
        <is>
          <t>09-XL-307HG/PYCNT/CKN/T2/C7-2</t>
        </is>
      </c>
      <c r="AC784" s="204">
        <f>AC783</f>
        <v/>
      </c>
      <c r="AD784" s="204" t="n"/>
      <c r="AE784" s="204" t="n"/>
      <c r="AF784" s="204" t="n"/>
      <c r="AG784" s="204" t="n"/>
      <c r="AH784" s="204" t="inlineStr">
        <is>
          <t>C30(1)</t>
        </is>
      </c>
      <c r="AI784" s="202" t="n"/>
      <c r="AJ784" s="202" t="n"/>
      <c r="AK784" s="206" t="n"/>
      <c r="AL784" s="202" t="n"/>
      <c r="AM784" s="202" t="n"/>
      <c r="AN784" s="202" t="n"/>
      <c r="AO784" s="202" t="n"/>
      <c r="AP784" s="207" t="n"/>
      <c r="AQ784" s="207" t="n"/>
      <c r="AR784" s="202" t="inlineStr">
        <is>
          <t>Nhóm 1</t>
        </is>
      </c>
      <c r="AS784" s="202" t="n"/>
      <c r="AT784" s="202" t="inlineStr">
        <is>
          <t>HM21</t>
        </is>
      </c>
      <c r="AU784" s="202" t="inlineStr">
        <is>
          <t>PL09</t>
        </is>
      </c>
      <c r="AV784" s="202" t="n">
        <v>4</v>
      </c>
      <c r="AW784" s="202" t="n">
        <v>1</v>
      </c>
      <c r="AX784" s="202" t="n"/>
    </row>
    <row r="785" ht="28" customHeight="1" s="672">
      <c r="A785" s="56" t="inlineStr">
        <is>
          <t>NTCV</t>
        </is>
      </c>
      <c r="B785" s="56" t="inlineStr">
        <is>
          <t>K.9999</t>
        </is>
      </c>
      <c r="C785" s="56" t="inlineStr">
        <is>
          <t>NTCV.0522804</t>
        </is>
      </c>
      <c r="D785" s="57" t="n"/>
      <c r="E785" s="57" t="n"/>
      <c r="F785" s="57" t="n"/>
      <c r="G785" s="57" t="n"/>
      <c r="H785" s="57" t="n"/>
      <c r="J785" s="209" t="inlineStr">
        <is>
          <t>24</t>
        </is>
      </c>
      <c r="K785" s="209" t="inlineStr">
        <is>
          <t>K.9999</t>
        </is>
      </c>
      <c r="L785" s="210" t="inlineStr">
        <is>
          <t>Theo dõi quá trình đổ bê tông cọc khoan nhồi</t>
        </is>
      </c>
      <c r="M785" s="210" t="n"/>
      <c r="N785" s="210" t="n"/>
      <c r="O785" s="211" t="inlineStr">
        <is>
          <t>Cầu Km19+529.080</t>
        </is>
      </c>
      <c r="P785" s="212">
        <f>S783</f>
        <v/>
      </c>
      <c r="Q785" s="212">
        <f>P785</f>
        <v/>
      </c>
      <c r="R785" s="212">
        <f>Q785-1</f>
        <v/>
      </c>
      <c r="S785" s="212">
        <f>Q785</f>
        <v/>
      </c>
      <c r="T785" s="213">
        <f>U783</f>
        <v/>
      </c>
      <c r="U785" s="213">
        <f>T785+V785</f>
        <v/>
      </c>
      <c r="V785" s="213" t="n">
        <v>0.1458333333333333</v>
      </c>
      <c r="W785" s="214">
        <f>TEXT(T785,"HH""h""MM'")&amp;"÷"&amp;TEXT(U785,"HH""h""MM'")</f>
        <v/>
      </c>
      <c r="X785" s="214" t="n"/>
      <c r="Y785" s="214" t="n"/>
      <c r="Z785" s="214" t="inlineStr">
        <is>
          <t>10;</t>
        </is>
      </c>
      <c r="AA785" s="215" t="inlineStr">
        <is>
          <t>Theo dõi quá trình đổ bê tông  Cọc khoan nhồi Trụ T2 - Cọc C7</t>
        </is>
      </c>
      <c r="AB785" s="204" t="inlineStr">
        <is>
          <t>09-XL-307HG/PYCNT/CKN/T2/C7-2</t>
        </is>
      </c>
      <c r="AC785" s="204" t="inlineStr">
        <is>
          <t>09-XL-307HG/BBNT/CKN/T2/C7-10</t>
        </is>
      </c>
      <c r="AD785" s="204" t="n"/>
      <c r="AE785" s="204" t="n"/>
      <c r="AF785" s="204" t="n"/>
      <c r="AG785" s="204" t="n"/>
      <c r="AH785" s="204" t="n"/>
      <c r="AI785" s="214" t="n"/>
      <c r="AJ785" s="214" t="n"/>
      <c r="AK785" s="217" t="n"/>
      <c r="AL785" s="214" t="n"/>
      <c r="AM785" s="214" t="n"/>
      <c r="AN785" s="214" t="n"/>
      <c r="AO785" s="214" t="n"/>
      <c r="AP785" s="216" t="n"/>
      <c r="AQ785" s="216" t="n"/>
      <c r="AR785" s="214" t="inlineStr">
        <is>
          <t>Nhóm 1</t>
        </is>
      </c>
      <c r="AS785" s="214" t="n"/>
      <c r="AT785" s="214" t="inlineStr">
        <is>
          <t>HM21</t>
        </is>
      </c>
      <c r="AU785" s="214" t="inlineStr">
        <is>
          <t>NTCV</t>
        </is>
      </c>
      <c r="AV785" s="214" t="n">
        <v>102</v>
      </c>
      <c r="AW785" s="214" t="n">
        <v>9</v>
      </c>
      <c r="AX785" s="214" t="n"/>
    </row>
    <row r="786" ht="196" customHeight="1" s="672">
      <c r="A786" s="56" t="inlineStr">
        <is>
          <t>LMHT</t>
        </is>
      </c>
      <c r="B786" s="56" t="inlineStr">
        <is>
          <t>LMHT</t>
        </is>
      </c>
      <c r="C786" s="56" t="inlineStr">
        <is>
          <t>LMHT.0650928</t>
        </is>
      </c>
      <c r="D786" s="57" t="inlineStr">
        <is>
          <t>TC.000041|TC.000182|TC.000169.A</t>
        </is>
      </c>
      <c r="E786" s="57" t="n"/>
      <c r="F786" s="57" t="inlineStr">
        <is>
          <t>CP.0001^Cọc khoan nhồi Trụ T2 - Cọc C7^Hình trụ 15x30 (cm)^12^30 Mpa, 18±2^^^TC.000041|TC.000182|TC.000169.A</t>
        </is>
      </c>
      <c r="G786" s="57" t="n"/>
      <c r="H786" s="57" t="inlineStr">
        <is>
          <t>^^A|C|J|O|S|X|Z^Stt|Hạng mục|Cấp bê tông|Kích thước mẫu|Số lượng mẫu|Ghi chú^|||||</t>
        </is>
      </c>
      <c r="J786" s="256" t="inlineStr">
        <is>
          <t>25</t>
        </is>
      </c>
      <c r="K786" s="256" t="inlineStr">
        <is>
          <t>LMHT</t>
        </is>
      </c>
      <c r="L786" s="257" t="inlineStr">
        <is>
          <t>Lấy mẫu bê tông Cọc khoan nhồi, 30(1) Mpa Trụ T2 - Cọc C7</t>
        </is>
      </c>
      <c r="M786" s="257" t="n"/>
      <c r="N786" s="257" t="n"/>
      <c r="O786" s="258" t="inlineStr">
        <is>
          <t>Cầu Km19+529.080</t>
        </is>
      </c>
      <c r="P786" s="259" t="n"/>
      <c r="Q786" s="259" t="n"/>
      <c r="R786" s="259" t="n"/>
      <c r="S786" s="259">
        <f>S785</f>
        <v/>
      </c>
      <c r="T786" s="260">
        <f>T785</f>
        <v/>
      </c>
      <c r="U786" s="260">
        <f>U785</f>
        <v/>
      </c>
      <c r="V786" s="260">
        <f>V785</f>
        <v/>
      </c>
      <c r="W786" s="261">
        <f>TEXT(T786,"HH""h""MM'")&amp;"÷"&amp;TEXT(U786,"HH""h""MM'")</f>
        <v/>
      </c>
      <c r="X786" s="262" t="n"/>
      <c r="Y786" s="262" t="n"/>
      <c r="Z786" s="262" t="n"/>
      <c r="AA786" s="262" t="n"/>
      <c r="AB786" s="263" t="inlineStr">
        <is>
          <t>09-XL-307HG/PYCNT/CKN/T2/C7-2</t>
        </is>
      </c>
      <c r="AC786" s="263" t="inlineStr"/>
      <c r="AD786" s="264" t="n"/>
      <c r="AE786" s="264" t="n"/>
      <c r="AF786" s="264" t="n"/>
      <c r="AG786" s="264" t="n"/>
      <c r="AH786" s="264" t="n"/>
      <c r="AI786" s="257" t="n"/>
      <c r="AJ786" s="262" t="n"/>
      <c r="AK786" s="258" t="n"/>
      <c r="AL786" s="262" t="n"/>
      <c r="AM786" s="262" t="n"/>
      <c r="AN786" s="262" t="n"/>
      <c r="AO786" s="262" t="n"/>
      <c r="AP786" s="263" t="inlineStr">
        <is>
          <t>Bảng lấy mẫu CKN</t>
        </is>
      </c>
      <c r="AQ786" s="263" t="n"/>
      <c r="AR786" s="262" t="inlineStr">
        <is>
          <t>Nhóm 1</t>
        </is>
      </c>
      <c r="AS786" s="262" t="n"/>
      <c r="AT786" s="262" t="inlineStr">
        <is>
          <t>HM21</t>
        </is>
      </c>
      <c r="AU786" s="262" t="inlineStr">
        <is>
          <t>LMHT</t>
        </is>
      </c>
      <c r="AV786" s="262" t="n">
        <v>7</v>
      </c>
      <c r="AW786" s="262" t="n">
        <v>1</v>
      </c>
      <c r="AX786" s="262" t="inlineStr">
        <is>
          <t>Cọc T2-C7 [BT dòng 7]: chưa đến ngưỡng phát sinh lượt mẫu xi măng/cát/đá; mẫu bê tông cấu kiện vẫn theo F786.</t>
        </is>
      </c>
    </row>
    <row r="787">
      <c r="A787" s="56" t="inlineStr">
        <is>
          <t>BBK994</t>
        </is>
      </c>
      <c r="B787" s="56" t="inlineStr">
        <is>
          <t>PL10</t>
        </is>
      </c>
      <c r="C787" s="56" t="inlineStr">
        <is>
          <t>BBK994.0456681</t>
        </is>
      </c>
      <c r="D787" s="57" t="n"/>
      <c r="E787" s="57" t="n"/>
      <c r="F787" s="57" t="n"/>
      <c r="G787" s="57" t="n"/>
      <c r="H787" s="57" t="n"/>
      <c r="J787" s="198" t="inlineStr">
        <is>
          <t>26</t>
        </is>
      </c>
      <c r="K787" s="198" t="inlineStr">
        <is>
          <t>PL10</t>
        </is>
      </c>
      <c r="L787" s="199" t="inlineStr">
        <is>
          <t>Theo dõi quá trình đổ bê tông cọc khoan nhồi</t>
        </is>
      </c>
      <c r="M787" s="199" t="n"/>
      <c r="N787" s="199" t="n"/>
      <c r="O787" s="200" t="inlineStr">
        <is>
          <t>Cầu Km19+529.080</t>
        </is>
      </c>
      <c r="P787" s="201" t="n"/>
      <c r="Q787" s="201" t="n"/>
      <c r="R787" s="201" t="n"/>
      <c r="S787" s="201">
        <f>S785</f>
        <v/>
      </c>
      <c r="T787" s="201" t="n"/>
      <c r="U787" s="201" t="n"/>
      <c r="V787" s="201" t="n"/>
      <c r="W787" s="202" t="n"/>
      <c r="X787" s="202" t="n"/>
      <c r="Y787" s="202" t="n"/>
      <c r="Z787" s="198" t="inlineStr">
        <is>
          <t>10</t>
        </is>
      </c>
      <c r="AA787" s="203" t="n"/>
      <c r="AB787" s="204" t="inlineStr">
        <is>
          <t>09-XL-307HG/PYCNT/CKN/T2/C7-2</t>
        </is>
      </c>
      <c r="AC787" s="204">
        <f>AC785</f>
        <v/>
      </c>
      <c r="AD787" s="204" t="n"/>
      <c r="AE787" s="204" t="n"/>
      <c r="AF787" s="204" t="n"/>
      <c r="AG787" s="204" t="n"/>
      <c r="AH787" s="204" t="inlineStr">
        <is>
          <t>T2-C7</t>
        </is>
      </c>
      <c r="AI787" s="202" t="n"/>
      <c r="AJ787" s="202" t="n"/>
      <c r="AK787" s="206" t="n"/>
      <c r="AL787" s="202" t="n"/>
      <c r="AM787" s="202" t="n"/>
      <c r="AN787" s="202" t="n"/>
      <c r="AO787" s="202" t="n"/>
      <c r="AP787" s="207" t="n"/>
      <c r="AQ787" s="207" t="n"/>
      <c r="AR787" s="202" t="inlineStr">
        <is>
          <t>Nhóm 1</t>
        </is>
      </c>
      <c r="AS787" s="202" t="n"/>
      <c r="AT787" s="202" t="inlineStr">
        <is>
          <t>HM21</t>
        </is>
      </c>
      <c r="AU787" s="202" t="inlineStr">
        <is>
          <t>PL10</t>
        </is>
      </c>
      <c r="AV787" s="202" t="n">
        <v>4</v>
      </c>
      <c r="AW787" s="202" t="n">
        <v>1</v>
      </c>
      <c r="AX787" s="202" t="n"/>
    </row>
    <row r="788" ht="28" customHeight="1" s="672">
      <c r="A788" s="56" t="inlineStr">
        <is>
          <t>NTCV</t>
        </is>
      </c>
      <c r="B788" s="56" t="inlineStr">
        <is>
          <t>K.9999</t>
        </is>
      </c>
      <c r="C788" s="56" t="inlineStr">
        <is>
          <t>NTCV.0156549</t>
        </is>
      </c>
      <c r="D788" s="57" t="n"/>
      <c r="E788" s="57" t="n"/>
      <c r="F788" s="57" t="n"/>
      <c r="G788" s="57" t="n"/>
      <c r="H788" s="57" t="n"/>
      <c r="J788" s="209" t="inlineStr">
        <is>
          <t>27</t>
        </is>
      </c>
      <c r="K788" s="209" t="inlineStr">
        <is>
          <t>K.9999</t>
        </is>
      </c>
      <c r="L788" s="210" t="inlineStr">
        <is>
          <t xml:space="preserve"> Rút ống vách thi công cọc khoan nhồi</t>
        </is>
      </c>
      <c r="M788" s="210" t="n"/>
      <c r="N788" s="210" t="n"/>
      <c r="O788" s="211" t="inlineStr">
        <is>
          <t>Cầu Km19+529.080</t>
        </is>
      </c>
      <c r="P788" s="212">
        <f>S785</f>
        <v/>
      </c>
      <c r="Q788" s="212">
        <f>P788</f>
        <v/>
      </c>
      <c r="R788" s="212">
        <f>Q788-1</f>
        <v/>
      </c>
      <c r="S788" s="212">
        <f>Q788</f>
        <v/>
      </c>
      <c r="T788" s="213">
        <f>U785</f>
        <v/>
      </c>
      <c r="U788" s="213">
        <f>T788+V788</f>
        <v/>
      </c>
      <c r="V788" s="213" t="n">
        <v>0.01041666666666667</v>
      </c>
      <c r="W788" s="214">
        <f>TEXT(T788,"HH""h""MM'")&amp;"÷"&amp;TEXT(U788,"HH""h""MM'")</f>
        <v/>
      </c>
      <c r="X788" s="214" t="n"/>
      <c r="Y788" s="214" t="n"/>
      <c r="Z788" s="214" t="inlineStr">
        <is>
          <t>11;</t>
        </is>
      </c>
      <c r="AA788" s="215" t="inlineStr">
        <is>
          <t>Rút ống vách  Cọc khoan nhồi Trụ T2 - Cọc C7</t>
        </is>
      </c>
      <c r="AB788" s="204" t="inlineStr">
        <is>
          <t>09-XL-307HG/PYCNT/CKN/T2/C7-2</t>
        </is>
      </c>
      <c r="AC788" s="204" t="inlineStr">
        <is>
          <t>09-XL-307HG/BBNT/CKN/T2/C7-11</t>
        </is>
      </c>
      <c r="AD788" s="204" t="n"/>
      <c r="AE788" s="204" t="n"/>
      <c r="AF788" s="204" t="n"/>
      <c r="AG788" s="204" t="n"/>
      <c r="AH788" s="204" t="n"/>
      <c r="AI788" s="214" t="n"/>
      <c r="AJ788" s="214" t="n"/>
      <c r="AK788" s="217" t="n"/>
      <c r="AL788" s="214" t="n"/>
      <c r="AM788" s="214" t="n"/>
      <c r="AN788" s="214" t="n"/>
      <c r="AO788" s="214" t="n"/>
      <c r="AP788" s="216" t="n"/>
      <c r="AQ788" s="216" t="n"/>
      <c r="AR788" s="214" t="inlineStr">
        <is>
          <t>Nhóm 1</t>
        </is>
      </c>
      <c r="AS788" s="214" t="n"/>
      <c r="AT788" s="214" t="inlineStr">
        <is>
          <t>HM21</t>
        </is>
      </c>
      <c r="AU788" s="214" t="inlineStr">
        <is>
          <t>NTCV</t>
        </is>
      </c>
      <c r="AV788" s="214" t="n">
        <v>103</v>
      </c>
      <c r="AW788" s="214" t="n">
        <v>10</v>
      </c>
      <c r="AX788" s="214" t="n"/>
    </row>
    <row r="789">
      <c r="A789" s="56" t="inlineStr">
        <is>
          <t>BBK544</t>
        </is>
      </c>
      <c r="B789" s="56" t="inlineStr">
        <is>
          <t>PL11</t>
        </is>
      </c>
      <c r="C789" s="56" t="inlineStr">
        <is>
          <t>BBK544.0643064</t>
        </is>
      </c>
      <c r="D789" s="57" t="n"/>
      <c r="E789" s="57" t="n"/>
      <c r="F789" s="57" t="n"/>
      <c r="G789" s="57" t="n"/>
      <c r="H789" s="57" t="n"/>
      <c r="J789" s="198" t="inlineStr">
        <is>
          <t>28</t>
        </is>
      </c>
      <c r="K789" s="198" t="inlineStr">
        <is>
          <t>PL11</t>
        </is>
      </c>
      <c r="L789" s="199" t="inlineStr">
        <is>
          <t>Rút ống vách thi công cọc khoan nhồi</t>
        </is>
      </c>
      <c r="M789" s="199" t="n"/>
      <c r="N789" s="199" t="n"/>
      <c r="O789" s="200" t="inlineStr">
        <is>
          <t>Cầu Km19+529.080</t>
        </is>
      </c>
      <c r="P789" s="201" t="n"/>
      <c r="Q789" s="201" t="n"/>
      <c r="R789" s="201" t="n"/>
      <c r="S789" s="201">
        <f>S788</f>
        <v/>
      </c>
      <c r="T789" s="201" t="n"/>
      <c r="U789" s="201" t="n"/>
      <c r="V789" s="201" t="n"/>
      <c r="W789" s="202" t="n"/>
      <c r="X789" s="202" t="n"/>
      <c r="Y789" s="202" t="n"/>
      <c r="Z789" s="198" t="inlineStr">
        <is>
          <t>11</t>
        </is>
      </c>
      <c r="AA789" s="203" t="n"/>
      <c r="AB789" s="204" t="inlineStr">
        <is>
          <t>09-XL-307HG/PYCNT/CKN/T2/C7-2</t>
        </is>
      </c>
      <c r="AC789" s="204">
        <f>AC788</f>
        <v/>
      </c>
      <c r="AD789" s="204" t="n"/>
      <c r="AE789" s="204" t="n"/>
      <c r="AF789" s="204" t="n"/>
      <c r="AG789" s="204" t="n"/>
      <c r="AH789" s="204" t="inlineStr">
        <is>
          <t>&gt;=546;&lt;=577</t>
        </is>
      </c>
      <c r="AI789" s="202" t="n"/>
      <c r="AJ789" s="202" t="n"/>
      <c r="AK789" s="206" t="n"/>
      <c r="AL789" s="202" t="n"/>
      <c r="AM789" s="202" t="n"/>
      <c r="AN789" s="202" t="n"/>
      <c r="AO789" s="202" t="n"/>
      <c r="AP789" s="207" t="n"/>
      <c r="AQ789" s="207" t="n"/>
      <c r="AR789" s="202" t="inlineStr">
        <is>
          <t>Nhóm 1</t>
        </is>
      </c>
      <c r="AS789" s="202" t="n"/>
      <c r="AT789" s="202" t="inlineStr">
        <is>
          <t>HM21</t>
        </is>
      </c>
      <c r="AU789" s="202" t="inlineStr">
        <is>
          <t>PL11</t>
        </is>
      </c>
      <c r="AV789" s="202" t="n">
        <v>4</v>
      </c>
      <c r="AW789" s="202" t="n">
        <v>1</v>
      </c>
      <c r="AX789" s="202" t="n"/>
    </row>
    <row r="790">
      <c r="A790" s="56" t="inlineStr">
        <is>
          <t>BBK680</t>
        </is>
      </c>
      <c r="B790" s="56" t="inlineStr">
        <is>
          <t>PYC</t>
        </is>
      </c>
      <c r="C790" s="56" t="inlineStr">
        <is>
          <t>BBK680.0612656</t>
        </is>
      </c>
      <c r="D790" s="57" t="n"/>
      <c r="E790" s="57" t="n"/>
      <c r="F790" s="57" t="n"/>
      <c r="G790" s="57" t="n"/>
      <c r="H790" s="57" t="n"/>
      <c r="J790" s="198" t="inlineStr">
        <is>
          <t>29</t>
        </is>
      </c>
      <c r="K790" s="198" t="inlineStr">
        <is>
          <t>PYC</t>
        </is>
      </c>
      <c r="L790" s="199" t="inlineStr">
        <is>
          <t>Phiếu yêu cầu nghiệm thu</t>
        </is>
      </c>
      <c r="M790" s="199" t="n"/>
      <c r="N790" s="199" t="n"/>
      <c r="O790" s="200" t="inlineStr">
        <is>
          <t>Cầu Km19+529.080</t>
        </is>
      </c>
      <c r="P790" s="201" t="n"/>
      <c r="Q790" s="201" t="n"/>
      <c r="R790" s="201">
        <f>R791</f>
        <v/>
      </c>
      <c r="S790" s="201" t="n"/>
      <c r="T790" s="201" t="n"/>
      <c r="U790" s="201" t="n"/>
      <c r="V790" s="201" t="n"/>
      <c r="W790" s="202" t="n"/>
      <c r="X790" s="202" t="n"/>
      <c r="Y790" s="202" t="n"/>
      <c r="Z790" s="202" t="n"/>
      <c r="AA790" s="203" t="n"/>
      <c r="AB790" s="204" t="inlineStr">
        <is>
          <t>09-XL-307HG/PYCNT/CKN/T2/C7</t>
        </is>
      </c>
      <c r="AC790" s="205" t="inlineStr"/>
      <c r="AD790" s="205" t="n"/>
      <c r="AE790" s="205" t="n"/>
      <c r="AF790" s="205" t="n"/>
      <c r="AG790" s="205" t="inlineStr">
        <is>
          <t>NTCV;BBKTĐK</t>
        </is>
      </c>
      <c r="AH790" s="204" t="n">
        <v>11</v>
      </c>
      <c r="AI790" s="202" t="n"/>
      <c r="AJ790" s="202" t="n"/>
      <c r="AK790" s="206" t="n"/>
      <c r="AL790" s="202" t="n"/>
      <c r="AM790" s="202" t="n"/>
      <c r="AN790" s="202" t="n"/>
      <c r="AO790" s="202" t="n"/>
      <c r="AP790" s="207" t="n"/>
      <c r="AQ790" s="207" t="n"/>
      <c r="AR790" s="202" t="inlineStr">
        <is>
          <t>Nhóm 1</t>
        </is>
      </c>
      <c r="AS790" s="202" t="n"/>
      <c r="AT790" s="202" t="inlineStr">
        <is>
          <t>HM21</t>
        </is>
      </c>
      <c r="AU790" s="202" t="inlineStr">
        <is>
          <t>PYC</t>
        </is>
      </c>
      <c r="AV790" s="202" t="n">
        <v>211</v>
      </c>
      <c r="AW790" s="202" t="n">
        <v>3</v>
      </c>
      <c r="AX790" s="202" t="n"/>
    </row>
    <row r="791" ht="28" customHeight="1" s="672">
      <c r="A791" s="56" t="inlineStr">
        <is>
          <t>NTCV</t>
        </is>
      </c>
      <c r="B791" s="56" t="inlineStr">
        <is>
          <t>K.9999</t>
        </is>
      </c>
      <c r="C791" s="56" t="inlineStr">
        <is>
          <t>NTCV.0853966</t>
        </is>
      </c>
      <c r="D791" s="57" t="n"/>
      <c r="E791" s="57" t="n"/>
      <c r="F791" s="57" t="n"/>
      <c r="G791" s="57" t="n"/>
      <c r="H791" s="57" t="n"/>
      <c r="J791" s="209" t="inlineStr">
        <is>
          <t>30</t>
        </is>
      </c>
      <c r="K791" s="209" t="inlineStr">
        <is>
          <t>K.9999</t>
        </is>
      </c>
      <c r="L791" s="210" t="inlineStr">
        <is>
          <t>Theo dõi nén mẫu R7 Cọc khoan nhồi Trụ T2 - Cọc C7</t>
        </is>
      </c>
      <c r="M791" s="210" t="n"/>
      <c r="N791" s="210" t="n"/>
      <c r="O791" s="211" t="inlineStr">
        <is>
          <t>Cầu Km19+529.080</t>
        </is>
      </c>
      <c r="P791" s="212">
        <f>S788+7</f>
        <v/>
      </c>
      <c r="Q791" s="212">
        <f>P791</f>
        <v/>
      </c>
      <c r="R791" s="212">
        <f>Q791-1</f>
        <v/>
      </c>
      <c r="S791" s="212">
        <f>Q791</f>
        <v/>
      </c>
      <c r="T791" s="213" t="n">
        <v>0.3541666666666667</v>
      </c>
      <c r="U791" s="213">
        <f>T791+V791</f>
        <v/>
      </c>
      <c r="V791" s="213" t="n">
        <v>0.02083333333333333</v>
      </c>
      <c r="W791" s="214">
        <f>TEXT(T791,"HH""h""MM'")&amp;"÷"&amp;TEXT(U791,"HH""h""MM'")</f>
        <v/>
      </c>
      <c r="X791" s="214" t="n"/>
      <c r="Y791" s="214" t="n"/>
      <c r="Z791" s="214" t="n"/>
      <c r="AA791" s="215" t="inlineStr">
        <is>
          <t>Theo dõi nén mẫu R7 Cọc khoan nhồi Trụ T2 - Cọc C7</t>
        </is>
      </c>
      <c r="AB791" s="204" t="inlineStr">
        <is>
          <t>09-XL-307HG/PYCNT/CKN/T2/C7-3</t>
        </is>
      </c>
      <c r="AC791" s="204" t="inlineStr">
        <is>
          <t>09-XL-307HG/BBNT/CKN/T2/C7-12</t>
        </is>
      </c>
      <c r="AD791" s="204" t="n"/>
      <c r="AE791" s="204" t="n"/>
      <c r="AF791" s="204" t="n"/>
      <c r="AG791" s="204" t="n"/>
      <c r="AH791" s="204" t="n"/>
      <c r="AI791" s="214" t="n"/>
      <c r="AJ791" s="214" t="n"/>
      <c r="AK791" s="217" t="n"/>
      <c r="AL791" s="214" t="n"/>
      <c r="AM791" s="214" t="n"/>
      <c r="AN791" s="214" t="n"/>
      <c r="AO791" s="214" t="n"/>
      <c r="AP791" s="216" t="n"/>
      <c r="AQ791" s="216" t="n"/>
      <c r="AR791" s="214" t="inlineStr">
        <is>
          <t>Nhóm 1</t>
        </is>
      </c>
      <c r="AS791" s="214" t="n"/>
      <c r="AT791" s="214" t="inlineStr">
        <is>
          <t>HM21</t>
        </is>
      </c>
      <c r="AU791" s="214" t="inlineStr">
        <is>
          <t>NTCV</t>
        </is>
      </c>
      <c r="AV791" s="214" t="n">
        <v>173</v>
      </c>
      <c r="AW791" s="214" t="n">
        <v>11</v>
      </c>
      <c r="AX791" s="214" t="n"/>
    </row>
    <row r="792">
      <c r="A792" s="56" t="inlineStr">
        <is>
          <t>BBK680</t>
        </is>
      </c>
      <c r="B792" s="56" t="inlineStr">
        <is>
          <t>PYC</t>
        </is>
      </c>
      <c r="C792" s="56" t="inlineStr">
        <is>
          <t>BBK680.0367280</t>
        </is>
      </c>
      <c r="D792" s="57" t="n"/>
      <c r="E792" s="57" t="n"/>
      <c r="F792" s="57" t="n"/>
      <c r="G792" s="57" t="n"/>
      <c r="H792" s="57" t="n"/>
      <c r="J792" s="198" t="inlineStr">
        <is>
          <t>31</t>
        </is>
      </c>
      <c r="K792" s="198" t="inlineStr">
        <is>
          <t>PYC</t>
        </is>
      </c>
      <c r="L792" s="199" t="inlineStr">
        <is>
          <t>Phiếu yêu cầu nghiệm thu</t>
        </is>
      </c>
      <c r="M792" s="199" t="n"/>
      <c r="N792" s="199" t="n"/>
      <c r="O792" s="200" t="inlineStr">
        <is>
          <t>Cầu Km19+529.080</t>
        </is>
      </c>
      <c r="P792" s="201" t="n"/>
      <c r="Q792" s="201" t="n"/>
      <c r="R792" s="201">
        <f>+S787+28</f>
        <v/>
      </c>
      <c r="S792" s="201" t="n"/>
      <c r="T792" s="201" t="n"/>
      <c r="U792" s="201" t="n"/>
      <c r="V792" s="201" t="n"/>
      <c r="W792" s="202" t="n"/>
      <c r="X792" s="202" t="n"/>
      <c r="Y792" s="202" t="n"/>
      <c r="Z792" s="202" t="n"/>
      <c r="AA792" s="203" t="n"/>
      <c r="AB792" s="204" t="inlineStr">
        <is>
          <t>09-XL-307HG/PYCNT/CKN/T2/C7</t>
        </is>
      </c>
      <c r="AC792" s="205" t="inlineStr"/>
      <c r="AD792" s="205" t="n"/>
      <c r="AE792" s="205" t="n"/>
      <c r="AF792" s="205" t="n"/>
      <c r="AG792" s="205" t="inlineStr">
        <is>
          <t>NTCV;BBKTĐK</t>
        </is>
      </c>
      <c r="AH792" s="204" t="n">
        <v>12</v>
      </c>
      <c r="AI792" s="202" t="n"/>
      <c r="AJ792" s="202" t="n"/>
      <c r="AK792" s="206" t="n"/>
      <c r="AL792" s="202" t="n"/>
      <c r="AM792" s="202" t="n"/>
      <c r="AN792" s="202" t="n"/>
      <c r="AO792" s="202" t="n"/>
      <c r="AP792" s="207" t="n"/>
      <c r="AQ792" s="207" t="n"/>
      <c r="AR792" s="202" t="inlineStr">
        <is>
          <t>Nhóm 1</t>
        </is>
      </c>
      <c r="AS792" s="202" t="n"/>
      <c r="AT792" s="202" t="inlineStr">
        <is>
          <t>HM21</t>
        </is>
      </c>
      <c r="AU792" s="202" t="inlineStr">
        <is>
          <t>PYC</t>
        </is>
      </c>
      <c r="AV792" s="202" t="n">
        <v>212</v>
      </c>
      <c r="AW792" s="202" t="n">
        <v>4</v>
      </c>
      <c r="AX792" s="202" t="n"/>
    </row>
    <row r="793" ht="28" customHeight="1" s="672">
      <c r="A793" s="56" t="inlineStr">
        <is>
          <t>NTCV</t>
        </is>
      </c>
      <c r="B793" s="56" t="inlineStr">
        <is>
          <t>K.9999</t>
        </is>
      </c>
      <c r="C793" s="56" t="inlineStr">
        <is>
          <t>NTCV.0053108</t>
        </is>
      </c>
      <c r="D793" s="57" t="n"/>
      <c r="E793" s="57" t="n"/>
      <c r="F793" s="57" t="n"/>
      <c r="G793" s="57" t="n"/>
      <c r="H793" s="57" t="n"/>
      <c r="J793" s="209" t="inlineStr">
        <is>
          <t>32</t>
        </is>
      </c>
      <c r="K793" s="209" t="inlineStr">
        <is>
          <t>K.9999</t>
        </is>
      </c>
      <c r="L793" s="210" t="inlineStr">
        <is>
          <t>Đập đầu cọc khoan nhồi Trụ T2 - Cọc C7</t>
        </is>
      </c>
      <c r="M793" s="210" t="n"/>
      <c r="N793" s="210" t="n"/>
      <c r="O793" s="211" t="inlineStr">
        <is>
          <t>Cầu Km19+529.080</t>
        </is>
      </c>
      <c r="P793" s="212">
        <f>S791</f>
        <v/>
      </c>
      <c r="Q793" s="212">
        <f>P793</f>
        <v/>
      </c>
      <c r="R793" s="212">
        <f>Q793-1</f>
        <v/>
      </c>
      <c r="S793" s="212">
        <f>Q793</f>
        <v/>
      </c>
      <c r="T793" s="213" t="n">
        <v>0.3541666666666667</v>
      </c>
      <c r="U793" s="213">
        <f>T793+V793</f>
        <v/>
      </c>
      <c r="V793" s="213" t="n">
        <v>0.0625</v>
      </c>
      <c r="W793" s="214">
        <f>TEXT(T793,"HH""h""MM'")&amp;"÷"&amp;TEXT(U793,"HH""h""MM'")</f>
        <v/>
      </c>
      <c r="X793" s="214" t="n"/>
      <c r="Y793" s="214" t="n"/>
      <c r="Z793" s="214" t="n"/>
      <c r="AA793" s="215" t="inlineStr">
        <is>
          <t>Theo dõi nén mẫu R28 Cọc khoan nhồi Trụ T2 - Cọc C7</t>
        </is>
      </c>
      <c r="AB793" s="204" t="inlineStr">
        <is>
          <t>09-XL-307HG/PYCNT/CKN/T2/C7-4</t>
        </is>
      </c>
      <c r="AC793" s="204" t="inlineStr">
        <is>
          <t>09-XL-307HG/BBNT/CKN/T2/C7-13</t>
        </is>
      </c>
      <c r="AD793" s="204" t="n"/>
      <c r="AE793" s="204" t="n"/>
      <c r="AF793" s="204" t="n"/>
      <c r="AG793" s="204" t="n"/>
      <c r="AH793" s="204" t="n"/>
      <c r="AI793" s="214" t="n"/>
      <c r="AJ793" s="214" t="n"/>
      <c r="AK793" s="217" t="n"/>
      <c r="AL793" s="214" t="n"/>
      <c r="AM793" s="214" t="n"/>
      <c r="AN793" s="214" t="n"/>
      <c r="AO793" s="214" t="n"/>
      <c r="AP793" s="216" t="n"/>
      <c r="AQ793" s="216" t="n"/>
      <c r="AR793" s="214" t="inlineStr">
        <is>
          <t>Nhóm 1</t>
        </is>
      </c>
      <c r="AS793" s="214" t="n"/>
      <c r="AT793" s="214" t="inlineStr">
        <is>
          <t>HM21</t>
        </is>
      </c>
      <c r="AU793" s="214" t="inlineStr">
        <is>
          <t>NTCV</t>
        </is>
      </c>
      <c r="AV793" s="214" t="n">
        <v>174</v>
      </c>
      <c r="AW793" s="214" t="n">
        <v>12</v>
      </c>
      <c r="AX793" s="214" t="n"/>
    </row>
    <row r="794">
      <c r="A794" s="56" t="inlineStr">
        <is>
          <t>HM</t>
        </is>
      </c>
      <c r="B794" s="56" t="inlineStr">
        <is>
          <t>HM</t>
        </is>
      </c>
      <c r="C794" s="56" t="inlineStr">
        <is>
          <t>HM.0505815</t>
        </is>
      </c>
      <c r="D794" s="57" t="n"/>
      <c r="E794" s="57" t="n"/>
      <c r="F794" s="57" t="n"/>
      <c r="G794" s="57" t="n"/>
      <c r="H794" s="57" t="n"/>
      <c r="J794" s="246" t="inlineStr">
        <is>
          <t>HM22</t>
        </is>
      </c>
      <c r="K794" s="246" t="inlineStr">
        <is>
          <t>HM</t>
        </is>
      </c>
      <c r="L794" s="247" t="inlineStr">
        <is>
          <t>Trụ T2 - Cọc C8</t>
        </is>
      </c>
      <c r="M794" s="247" t="n"/>
      <c r="N794" s="247" t="n"/>
      <c r="O794" s="248" t="inlineStr">
        <is>
          <t>Cầu Km19+529.080</t>
        </is>
      </c>
      <c r="P794" s="249" t="n"/>
      <c r="Q794" s="249" t="n"/>
      <c r="R794" s="249" t="n"/>
      <c r="S794" s="249" t="n"/>
      <c r="T794" s="249" t="n"/>
      <c r="U794" s="249" t="n"/>
      <c r="V794" s="249" t="n"/>
      <c r="W794" s="250" t="n"/>
      <c r="X794" s="250" t="n"/>
      <c r="Y794" s="250" t="n"/>
      <c r="Z794" s="250" t="n"/>
      <c r="AA794" s="251" t="n"/>
      <c r="AB794" s="252" t="n"/>
      <c r="AC794" s="252" t="inlineStr"/>
      <c r="AD794" s="252" t="n"/>
      <c r="AE794" s="252" t="n"/>
      <c r="AF794" s="252" t="n"/>
      <c r="AG794" s="252" t="n"/>
      <c r="AH794" s="252" t="n"/>
      <c r="AI794" s="250" t="n"/>
      <c r="AJ794" s="250" t="n"/>
      <c r="AK794" s="253" t="n"/>
      <c r="AL794" s="250" t="n"/>
      <c r="AM794" s="250" t="n"/>
      <c r="AN794" s="250" t="n"/>
      <c r="AO794" s="250" t="n"/>
      <c r="AP794" s="254" t="n"/>
      <c r="AQ794" s="254" t="n"/>
      <c r="AR794" s="250" t="n"/>
      <c r="AS794" s="250" t="n"/>
      <c r="AT794" s="250" t="inlineStr">
        <is>
          <t>HM22</t>
        </is>
      </c>
      <c r="AU794" s="250" t="inlineStr">
        <is>
          <t>HM</t>
        </is>
      </c>
      <c r="AV794" s="250" t="n"/>
      <c r="AW794" s="250" t="n"/>
      <c r="AX794" s="250" t="n"/>
    </row>
    <row r="795" ht="28" customFormat="1" customHeight="1" s="70">
      <c r="A795" s="68" t="inlineStr">
        <is>
          <t>BBK_BIA</t>
        </is>
      </c>
      <c r="B795" s="68" t="inlineStr">
        <is>
          <t>TRANGBIA</t>
        </is>
      </c>
      <c r="C795" s="68" t="inlineStr">
        <is>
          <t>BBK_BIA.0054616</t>
        </is>
      </c>
      <c r="D795" s="69" t="n"/>
      <c r="E795" s="69" t="n"/>
      <c r="F795" s="69" t="n"/>
      <c r="G795" s="69" t="n"/>
      <c r="H795" s="69" t="n"/>
      <c r="J795" s="98" t="inlineStr">
        <is>
          <t>01</t>
        </is>
      </c>
      <c r="K795" s="98" t="inlineStr">
        <is>
          <t>TRANGBIA</t>
        </is>
      </c>
      <c r="L795" s="99">
        <f>"Cọc Khoan Nhồi"&amp;" - "&amp;L794</f>
        <v/>
      </c>
      <c r="M795" s="99" t="n"/>
      <c r="N795" s="99" t="n"/>
      <c r="O795" s="100" t="inlineStr">
        <is>
          <t>Cầu Km19+529.080</t>
        </is>
      </c>
      <c r="P795" s="101" t="n"/>
      <c r="Q795" s="101" t="n"/>
      <c r="R795" s="101" t="n"/>
      <c r="S795" s="101" t="n"/>
      <c r="T795" s="101" t="n"/>
      <c r="U795" s="101" t="n"/>
      <c r="V795" s="101" t="n"/>
      <c r="W795" s="102" t="n"/>
      <c r="X795" s="102" t="n"/>
      <c r="Y795" s="102" t="n"/>
      <c r="Z795" s="102" t="n"/>
      <c r="AA795" s="102" t="n"/>
      <c r="AB795" s="102" t="n"/>
      <c r="AC795" s="102" t="inlineStr"/>
      <c r="AD795" s="102" t="n"/>
      <c r="AE795" s="102" t="n"/>
      <c r="AF795" s="102" t="n"/>
      <c r="AG795" s="102" t="n"/>
      <c r="AH795" s="102" t="n"/>
      <c r="AI795" s="102" t="n"/>
      <c r="AJ795" s="102" t="n"/>
      <c r="AK795" s="100" t="n"/>
      <c r="AL795" s="102" t="n"/>
      <c r="AM795" s="102" t="n"/>
      <c r="AN795" s="102" t="n"/>
      <c r="AO795" s="102" t="n"/>
      <c r="AP795" s="103" t="inlineStr">
        <is>
          <t>Kết cấu cọc khoan nhồi mố, trụ</t>
        </is>
      </c>
      <c r="AQ795" s="104" t="n"/>
      <c r="AR795" s="102" t="inlineStr">
        <is>
          <t>Nhóm 1</t>
        </is>
      </c>
      <c r="AS795" s="102" t="n"/>
      <c r="AT795" s="102" t="inlineStr">
        <is>
          <t>HM22</t>
        </is>
      </c>
      <c r="AU795" s="102" t="inlineStr">
        <is>
          <t>TRANGBIA</t>
        </is>
      </c>
      <c r="AV795" s="102" t="n">
        <v>22</v>
      </c>
      <c r="AW795" s="102" t="n">
        <v>1</v>
      </c>
      <c r="AX795" s="102" t="n"/>
    </row>
    <row r="796" customFormat="1" s="70">
      <c r="A796" s="68" t="inlineStr">
        <is>
          <t>BBK_ML</t>
        </is>
      </c>
      <c r="B796" s="68" t="inlineStr">
        <is>
          <t>MUCLUC</t>
        </is>
      </c>
      <c r="C796" s="68" t="inlineStr">
        <is>
          <t>BBK_ML.0374950</t>
        </is>
      </c>
      <c r="D796" s="69" t="n"/>
      <c r="E796" s="69" t="n"/>
      <c r="F796" s="69" t="n"/>
      <c r="G796" s="69" t="n"/>
      <c r="H796" s="69" t="n"/>
      <c r="J796" s="98" t="inlineStr">
        <is>
          <t>02</t>
        </is>
      </c>
      <c r="K796" s="98" t="inlineStr">
        <is>
          <t>MUCLUC</t>
        </is>
      </c>
      <c r="L796" s="99" t="inlineStr">
        <is>
          <t>Danh mục biên bản Kiểm tra/Nghiệm thu</t>
        </is>
      </c>
      <c r="M796" s="99" t="n"/>
      <c r="N796" s="99" t="n"/>
      <c r="O796" s="100" t="inlineStr">
        <is>
          <t>Cầu Km19+529.080</t>
        </is>
      </c>
      <c r="P796" s="101" t="n"/>
      <c r="Q796" s="101" t="n"/>
      <c r="R796" s="101" t="n"/>
      <c r="S796" s="101" t="n"/>
      <c r="T796" s="101" t="n"/>
      <c r="U796" s="101" t="n"/>
      <c r="V796" s="101" t="n"/>
      <c r="W796" s="102" t="n"/>
      <c r="X796" s="102" t="n"/>
      <c r="Y796" s="102" t="n"/>
      <c r="Z796" s="102" t="n"/>
      <c r="AA796" s="102" t="n"/>
      <c r="AB796" s="102" t="n"/>
      <c r="AC796" s="102" t="inlineStr"/>
      <c r="AD796" s="102" t="n"/>
      <c r="AE796" s="102" t="n"/>
      <c r="AF796" s="102" t="n"/>
      <c r="AG796" s="102" t="n"/>
      <c r="AH796" s="102" t="n"/>
      <c r="AI796" s="102" t="n"/>
      <c r="AJ796" s="102" t="n"/>
      <c r="AK796" s="100" t="n"/>
      <c r="AL796" s="102" t="n"/>
      <c r="AM796" s="102" t="n"/>
      <c r="AN796" s="102" t="n"/>
      <c r="AO796" s="102" t="n"/>
      <c r="AP796" s="104" t="n"/>
      <c r="AQ796" s="104" t="n"/>
      <c r="AR796" s="102" t="inlineStr">
        <is>
          <t>Nhóm 1</t>
        </is>
      </c>
      <c r="AS796" s="102" t="n"/>
      <c r="AT796" s="102" t="inlineStr">
        <is>
          <t>HM22</t>
        </is>
      </c>
      <c r="AU796" s="102" t="inlineStr">
        <is>
          <t>MUCLUC</t>
        </is>
      </c>
      <c r="AV796" s="102" t="n">
        <v>22</v>
      </c>
      <c r="AW796" s="102" t="n">
        <v>1</v>
      </c>
      <c r="AX796" s="102" t="n"/>
    </row>
    <row r="797">
      <c r="A797" s="56" t="inlineStr">
        <is>
          <t>BBK680</t>
        </is>
      </c>
      <c r="B797" s="56" t="inlineStr">
        <is>
          <t>PYC</t>
        </is>
      </c>
      <c r="C797" s="56" t="inlineStr">
        <is>
          <t>BBK680.0451239</t>
        </is>
      </c>
      <c r="D797" s="57" t="n"/>
      <c r="E797" s="57" t="n"/>
      <c r="F797" s="57" t="n"/>
      <c r="G797" s="57" t="n"/>
      <c r="H797" s="57" t="n"/>
      <c r="J797" s="198" t="inlineStr">
        <is>
          <t>03</t>
        </is>
      </c>
      <c r="K797" s="198" t="inlineStr">
        <is>
          <t>PYC</t>
        </is>
      </c>
      <c r="L797" s="199" t="inlineStr">
        <is>
          <t>Phiếu yêu cầu nghiệm thu</t>
        </is>
      </c>
      <c r="M797" s="199" t="n"/>
      <c r="N797" s="199" t="n"/>
      <c r="O797" s="200" t="inlineStr">
        <is>
          <t>Cầu Km19+529.080</t>
        </is>
      </c>
      <c r="P797" s="201" t="n"/>
      <c r="Q797" s="201" t="n"/>
      <c r="R797" s="201">
        <f>R798</f>
        <v/>
      </c>
      <c r="S797" s="201" t="n"/>
      <c r="T797" s="201" t="n"/>
      <c r="U797" s="201" t="n"/>
      <c r="V797" s="201" t="n"/>
      <c r="W797" s="202" t="n"/>
      <c r="X797" s="202" t="n"/>
      <c r="Y797" s="202" t="n"/>
      <c r="Z797" s="202" t="n"/>
      <c r="AA797" s="203" t="n"/>
      <c r="AB797" s="204" t="inlineStr">
        <is>
          <t>09-XL-307HG/PYCNT/CKN/T2/C8</t>
        </is>
      </c>
      <c r="AC797" s="205" t="inlineStr"/>
      <c r="AD797" s="205" t="n"/>
      <c r="AE797" s="205" t="n"/>
      <c r="AF797" s="205" t="n"/>
      <c r="AG797" s="205" t="inlineStr">
        <is>
          <t>NTCV;BBKTĐK</t>
        </is>
      </c>
      <c r="AH797" s="204" t="inlineStr">
        <is>
          <t>&gt;=1;&lt;=5</t>
        </is>
      </c>
      <c r="AI797" s="202" t="n"/>
      <c r="AJ797" s="202" t="n"/>
      <c r="AK797" s="206" t="n"/>
      <c r="AL797" s="202" t="n"/>
      <c r="AM797" s="202" t="n"/>
      <c r="AN797" s="202" t="n"/>
      <c r="AO797" s="202" t="n"/>
      <c r="AP797" s="207" t="n"/>
      <c r="AQ797" s="207" t="n"/>
      <c r="AR797" s="202" t="inlineStr">
        <is>
          <t>Nhóm 1</t>
        </is>
      </c>
      <c r="AS797" s="202" t="n"/>
      <c r="AT797" s="202" t="inlineStr">
        <is>
          <t>HM22</t>
        </is>
      </c>
      <c r="AU797" s="202" t="inlineStr">
        <is>
          <t>PYC</t>
        </is>
      </c>
      <c r="AV797" s="202" t="n">
        <v>213</v>
      </c>
      <c r="AW797" s="202" t="n">
        <v>1</v>
      </c>
      <c r="AX797" s="202" t="n"/>
    </row>
    <row r="798" ht="28" customHeight="1" s="672">
      <c r="A798" s="56" t="inlineStr">
        <is>
          <t>BBK884</t>
        </is>
      </c>
      <c r="B798" s="56" t="inlineStr">
        <is>
          <t>BBKTĐK</t>
        </is>
      </c>
      <c r="C798" s="56" t="inlineStr">
        <is>
          <t>BBK884.0297996</t>
        </is>
      </c>
      <c r="D798" s="57" t="n"/>
      <c r="E798" s="57" t="n"/>
      <c r="F798" s="57" t="n"/>
      <c r="G798" s="57" t="n"/>
      <c r="H798" s="57" t="n"/>
      <c r="J798" s="198" t="inlineStr">
        <is>
          <t>04</t>
        </is>
      </c>
      <c r="K798" s="198" t="inlineStr">
        <is>
          <t>BBKTĐK</t>
        </is>
      </c>
      <c r="L798" s="199" t="inlineStr">
        <is>
          <t>Kiểm tra điều kiện trước khi thi công cọc khoan nhồi: Thiết bị, nhân lực, vật tư</t>
        </is>
      </c>
      <c r="M798" s="199" t="n"/>
      <c r="N798" s="199" t="n"/>
      <c r="O798" s="200" t="inlineStr">
        <is>
          <t>Cầu Km19+529.080</t>
        </is>
      </c>
      <c r="P798" s="201" t="n">
        <v>46207</v>
      </c>
      <c r="Q798" s="201">
        <f>P798</f>
        <v/>
      </c>
      <c r="R798" s="201">
        <f>Q798-1</f>
        <v/>
      </c>
      <c r="S798" s="201">
        <f>Q798</f>
        <v/>
      </c>
      <c r="T798" s="208" t="n">
        <v>0.2916666666666667</v>
      </c>
      <c r="U798" s="208">
        <f>T798+V798</f>
        <v/>
      </c>
      <c r="V798" s="208" t="n">
        <v>0.02083333333333333</v>
      </c>
      <c r="W798" s="202">
        <f>TEXT(T798,"HH""h""MM'")&amp;"÷"&amp;TEXT(U798,"HH""h""MM'")</f>
        <v/>
      </c>
      <c r="X798" s="202" t="n"/>
      <c r="Y798" s="202" t="n"/>
      <c r="Z798" s="202" t="inlineStr">
        <is>
          <t>01;</t>
        </is>
      </c>
      <c r="AA798" s="200" t="inlineStr">
        <is>
          <t>Kiểm tra điều kiện trước khi thi công Cọc khoan nhồi Trụ T2 - Cọc C8</t>
        </is>
      </c>
      <c r="AB798" s="205" t="inlineStr">
        <is>
          <t>09-XL-307HG/PYCNT/CKN/T2/C8-1</t>
        </is>
      </c>
      <c r="AC798" s="205" t="inlineStr">
        <is>
          <t>09-XL-307HG/BBNT/CKN/T2/C8-1</t>
        </is>
      </c>
      <c r="AD798" s="205" t="n"/>
      <c r="AE798" s="205" t="n"/>
      <c r="AF798" s="205" t="n"/>
      <c r="AG798" s="205" t="n"/>
      <c r="AH798" s="205" t="n"/>
      <c r="AI798" s="207" t="n"/>
      <c r="AJ798" s="214" t="n"/>
      <c r="AK798" s="217" t="n"/>
      <c r="AL798" s="214" t="n"/>
      <c r="AM798" s="214" t="n"/>
      <c r="AN798" s="214" t="n"/>
      <c r="AO798" s="202" t="n"/>
      <c r="AP798" s="207" t="n"/>
      <c r="AQ798" s="207" t="n"/>
      <c r="AR798" s="202" t="inlineStr">
        <is>
          <t>Nhóm 1</t>
        </is>
      </c>
      <c r="AS798" s="202" t="n"/>
      <c r="AT798" s="202" t="inlineStr">
        <is>
          <t>HM22</t>
        </is>
      </c>
      <c r="AU798" s="202" t="inlineStr">
        <is>
          <t>BBKTĐK</t>
        </is>
      </c>
      <c r="AV798" s="202" t="n">
        <v>2</v>
      </c>
      <c r="AW798" s="202" t="n">
        <v>1</v>
      </c>
      <c r="AX798" s="202" t="n"/>
    </row>
    <row r="799" ht="28" customHeight="1" s="672">
      <c r="A799" s="56" t="inlineStr">
        <is>
          <t>BBK860</t>
        </is>
      </c>
      <c r="B799" s="56" t="inlineStr">
        <is>
          <t>PL01</t>
        </is>
      </c>
      <c r="C799" s="56" t="inlineStr">
        <is>
          <t>BBK860.0968358</t>
        </is>
      </c>
      <c r="D799" s="57" t="n"/>
      <c r="E799" s="57" t="n"/>
      <c r="F799" s="57" t="n"/>
      <c r="G799" s="57" t="n"/>
      <c r="H799" s="57" t="n"/>
      <c r="J799" s="198" t="inlineStr">
        <is>
          <t>05</t>
        </is>
      </c>
      <c r="K799" s="198" t="inlineStr">
        <is>
          <t>PL01</t>
        </is>
      </c>
      <c r="L799" s="199" t="inlineStr">
        <is>
          <t>Máy móc, thiết bị, nhân lực, vật tư thi công cọc khoan nhồi</t>
        </is>
      </c>
      <c r="M799" s="199" t="n"/>
      <c r="N799" s="199" t="n"/>
      <c r="O799" s="199" t="inlineStr">
        <is>
          <t>Cầu Km19+529.080</t>
        </is>
      </c>
      <c r="P799" s="201" t="n"/>
      <c r="Q799" s="201" t="n"/>
      <c r="R799" s="201" t="n"/>
      <c r="S799" s="201">
        <f>S798</f>
        <v/>
      </c>
      <c r="T799" s="201" t="n"/>
      <c r="U799" s="201" t="n"/>
      <c r="V799" s="201" t="n"/>
      <c r="W799" s="202" t="n"/>
      <c r="X799" s="202" t="n"/>
      <c r="Y799" s="202" t="n"/>
      <c r="Z799" s="198" t="inlineStr">
        <is>
          <t>01</t>
        </is>
      </c>
      <c r="AA799" s="203" t="n"/>
      <c r="AB799" s="204" t="inlineStr">
        <is>
          <t>09-XL-307HG/PYCNT/CKN/T2/C8-1</t>
        </is>
      </c>
      <c r="AC799" s="204">
        <f>AC798</f>
        <v/>
      </c>
      <c r="AD799" s="204" t="n"/>
      <c r="AE799" s="204" t="n"/>
      <c r="AF799" s="204" t="n"/>
      <c r="AG799" s="204" t="n"/>
      <c r="AH799" s="204" t="inlineStr">
        <is>
          <t>CKN</t>
        </is>
      </c>
      <c r="AI799" s="207" t="n"/>
      <c r="AJ799" s="202" t="n"/>
      <c r="AK799" s="206" t="n"/>
      <c r="AL799" s="202" t="n"/>
      <c r="AM799" s="202" t="n"/>
      <c r="AN799" s="202" t="n"/>
      <c r="AO799" s="202" t="n"/>
      <c r="AP799" s="207" t="n"/>
      <c r="AQ799" s="207" t="n"/>
      <c r="AR799" s="202" t="inlineStr">
        <is>
          <t>Nhóm 1</t>
        </is>
      </c>
      <c r="AS799" s="202" t="n"/>
      <c r="AT799" s="202" t="inlineStr">
        <is>
          <t>HM22</t>
        </is>
      </c>
      <c r="AU799" s="202" t="inlineStr">
        <is>
          <t>PL01</t>
        </is>
      </c>
      <c r="AV799" s="202" t="n">
        <v>2</v>
      </c>
      <c r="AW799" s="202" t="n">
        <v>1</v>
      </c>
      <c r="AX799" s="202" t="n"/>
    </row>
    <row r="800" ht="42" customHeight="1" s="672">
      <c r="A800" s="56" t="inlineStr">
        <is>
          <t>NTCV</t>
        </is>
      </c>
      <c r="B800" s="56" t="inlineStr">
        <is>
          <t>K.9999</t>
        </is>
      </c>
      <c r="C800" s="56" t="inlineStr">
        <is>
          <t>NTCV.0012874</t>
        </is>
      </c>
      <c r="D800" s="57" t="n"/>
      <c r="E800" s="57" t="n"/>
      <c r="F800" s="57" t="n"/>
      <c r="G800" s="57" t="n"/>
      <c r="H800" s="57" t="n"/>
      <c r="J800" s="209" t="inlineStr">
        <is>
          <t>06</t>
        </is>
      </c>
      <c r="K800" s="209" t="inlineStr">
        <is>
          <t>K.9999</t>
        </is>
      </c>
      <c r="L800" s="210" t="inlineStr">
        <is>
          <t>Kiểm tra ống vách, dung dịch bentonite trước khi khoan cọc khoan nhồi</t>
        </is>
      </c>
      <c r="M800" s="210" t="n"/>
      <c r="N800" s="210" t="n"/>
      <c r="O800" s="211" t="inlineStr">
        <is>
          <t>Cầu Km19+529.080</t>
        </is>
      </c>
      <c r="P800" s="212">
        <f>S798</f>
        <v/>
      </c>
      <c r="Q800" s="212">
        <f>P800</f>
        <v/>
      </c>
      <c r="R800" s="212">
        <f>Q800-1</f>
        <v/>
      </c>
      <c r="S800" s="212">
        <f>Q800</f>
        <v/>
      </c>
      <c r="T800" s="213">
        <f>U798</f>
        <v/>
      </c>
      <c r="U800" s="213">
        <f>T800+V800</f>
        <v/>
      </c>
      <c r="V800" s="213" t="n">
        <v>0.02083333333333333</v>
      </c>
      <c r="W800" s="214">
        <f>TEXT(T800,"HH""h""MM'")&amp;"÷"&amp;TEXT(U800,"HH""h""MM'")</f>
        <v/>
      </c>
      <c r="X800" s="214" t="n"/>
      <c r="Y800" s="214" t="n"/>
      <c r="Z800" s="214" t="inlineStr">
        <is>
          <t>02; 02a</t>
        </is>
      </c>
      <c r="AA800" s="215" t="inlineStr">
        <is>
          <t>Kiểm tra ống vách, dung dịch bentonite Cọc khoan nhồi Trụ T2 - Cọc C8 trước khi khoan</t>
        </is>
      </c>
      <c r="AB800" s="204" t="inlineStr">
        <is>
          <t>09-XL-307HG/PYCNT/CKN/T2/C8-1</t>
        </is>
      </c>
      <c r="AC800" s="204" t="inlineStr">
        <is>
          <t>09-XL-307HG/BBNT/CKN/T2/C8-2</t>
        </is>
      </c>
      <c r="AD800" s="204" t="n"/>
      <c r="AE800" s="204" t="n"/>
      <c r="AF800" s="204" t="n"/>
      <c r="AG800" s="204" t="n"/>
      <c r="AH800" s="204" t="n"/>
      <c r="AI800" s="216" t="n"/>
      <c r="AJ800" s="214" t="n"/>
      <c r="AK800" s="217" t="n"/>
      <c r="AL800" s="214" t="n"/>
      <c r="AM800" s="214" t="n"/>
      <c r="AN800" s="214" t="n"/>
      <c r="AO800" s="214" t="n"/>
      <c r="AP800" s="216" t="n"/>
      <c r="AQ800" s="216" t="n"/>
      <c r="AR800" s="214" t="inlineStr">
        <is>
          <t>Nhóm 1</t>
        </is>
      </c>
      <c r="AS800" s="214" t="n"/>
      <c r="AT800" s="214" t="inlineStr">
        <is>
          <t>HM22</t>
        </is>
      </c>
      <c r="AU800" s="214" t="inlineStr">
        <is>
          <t>NTCV</t>
        </is>
      </c>
      <c r="AV800" s="214" t="n">
        <v>70</v>
      </c>
      <c r="AW800" s="214" t="n">
        <v>1</v>
      </c>
      <c r="AX800" s="214" t="n"/>
    </row>
    <row r="801">
      <c r="A801" s="56" t="inlineStr">
        <is>
          <t>BBK170</t>
        </is>
      </c>
      <c r="B801" s="56" t="inlineStr">
        <is>
          <t>PL02</t>
        </is>
      </c>
      <c r="C801" s="56" t="inlineStr">
        <is>
          <t>BBK170.0650017</t>
        </is>
      </c>
      <c r="D801" s="57" t="n"/>
      <c r="E801" s="57" t="n"/>
      <c r="F801" s="57" t="n"/>
      <c r="G801" s="57" t="n"/>
      <c r="H801" s="57" t="n"/>
      <c r="J801" s="198" t="inlineStr">
        <is>
          <t>07</t>
        </is>
      </c>
      <c r="K801" s="198" t="inlineStr">
        <is>
          <t>PL02</t>
        </is>
      </c>
      <c r="L801" s="199" t="inlineStr">
        <is>
          <t>Kiểm tra ống vách thi công trước khi hạ</t>
        </is>
      </c>
      <c r="M801" s="199" t="n"/>
      <c r="N801" s="199" t="n"/>
      <c r="O801" s="200" t="inlineStr">
        <is>
          <t>Cầu Km19+529.080</t>
        </is>
      </c>
      <c r="P801" s="201" t="n"/>
      <c r="Q801" s="201" t="n"/>
      <c r="R801" s="201" t="n"/>
      <c r="S801" s="201">
        <f>S800</f>
        <v/>
      </c>
      <c r="T801" s="201" t="n"/>
      <c r="U801" s="201" t="n"/>
      <c r="V801" s="201" t="n"/>
      <c r="W801" s="202" t="n"/>
      <c r="X801" s="202" t="n"/>
      <c r="Y801" s="202" t="n"/>
      <c r="Z801" s="198" t="inlineStr">
        <is>
          <t>02</t>
        </is>
      </c>
      <c r="AA801" s="203" t="n"/>
      <c r="AB801" s="204" t="inlineStr">
        <is>
          <t>09-XL-307HG/PYCNT/CKN/T2/C8-1</t>
        </is>
      </c>
      <c r="AC801" s="204">
        <f>AC800</f>
        <v/>
      </c>
      <c r="AD801" s="204" t="n"/>
      <c r="AE801" s="204" t="n"/>
      <c r="AF801" s="204" t="n"/>
      <c r="AG801" s="204" t="n"/>
      <c r="AH801" s="204" t="inlineStr">
        <is>
          <t>CKN</t>
        </is>
      </c>
      <c r="AI801" s="207" t="n"/>
      <c r="AJ801" s="202" t="n"/>
      <c r="AK801" s="206" t="n"/>
      <c r="AL801" s="202" t="n"/>
      <c r="AM801" s="202" t="n"/>
      <c r="AN801" s="202" t="n"/>
      <c r="AO801" s="202" t="n"/>
      <c r="AP801" s="207" t="n"/>
      <c r="AQ801" s="207" t="inlineStr">
        <is>
          <t>Ảnh\PL02 CKN.png</t>
        </is>
      </c>
      <c r="AR801" s="202" t="inlineStr">
        <is>
          <t>Nhóm 1</t>
        </is>
      </c>
      <c r="AS801" s="202" t="n"/>
      <c r="AT801" s="202" t="inlineStr">
        <is>
          <t>HM22</t>
        </is>
      </c>
      <c r="AU801" s="202" t="inlineStr">
        <is>
          <t>PL02</t>
        </is>
      </c>
      <c r="AV801" s="202" t="n">
        <v>2</v>
      </c>
      <c r="AW801" s="202" t="n">
        <v>1</v>
      </c>
      <c r="AX801" s="202" t="n"/>
    </row>
    <row r="802">
      <c r="A802" s="56" t="inlineStr">
        <is>
          <t>BBK721</t>
        </is>
      </c>
      <c r="B802" s="56" t="inlineStr">
        <is>
          <t>PL02a</t>
        </is>
      </c>
      <c r="C802" s="56" t="inlineStr">
        <is>
          <t>BBK721.0614014</t>
        </is>
      </c>
      <c r="D802" s="57" t="n"/>
      <c r="E802" s="57" t="n"/>
      <c r="F802" s="57" t="n"/>
      <c r="G802" s="57" t="n"/>
      <c r="H802" s="57" t="n"/>
      <c r="J802" s="198" t="inlineStr">
        <is>
          <t>08</t>
        </is>
      </c>
      <c r="K802" s="198" t="inlineStr">
        <is>
          <t>PL02a</t>
        </is>
      </c>
      <c r="L802" s="199" t="inlineStr">
        <is>
          <t>Kiểm tra ống vách thi công trước khi hạ</t>
        </is>
      </c>
      <c r="M802" s="199" t="n"/>
      <c r="N802" s="199" t="n"/>
      <c r="O802" s="200" t="inlineStr">
        <is>
          <t>Cầu Km19+529.080</t>
        </is>
      </c>
      <c r="P802" s="201" t="n"/>
      <c r="Q802" s="201" t="n"/>
      <c r="R802" s="201" t="n"/>
      <c r="S802" s="201">
        <f>S801</f>
        <v/>
      </c>
      <c r="T802" s="201" t="n"/>
      <c r="U802" s="201" t="n"/>
      <c r="V802" s="201" t="n"/>
      <c r="W802" s="202" t="n"/>
      <c r="X802" s="202" t="n"/>
      <c r="Y802" s="202" t="n"/>
      <c r="Z802" s="198" t="inlineStr">
        <is>
          <t>02a</t>
        </is>
      </c>
      <c r="AA802" s="203" t="n"/>
      <c r="AB802" s="204" t="inlineStr">
        <is>
          <t>09-XL-307HG/PYCNT/CKN/T2/C8-1</t>
        </is>
      </c>
      <c r="AC802" s="204">
        <f>AC801</f>
        <v/>
      </c>
      <c r="AD802" s="204" t="n"/>
      <c r="AE802" s="204" t="n"/>
      <c r="AF802" s="204" t="n"/>
      <c r="AG802" s="204" t="n"/>
      <c r="AH802" s="204" t="n"/>
      <c r="AI802" s="207" t="n"/>
      <c r="AJ802" s="202" t="n"/>
      <c r="AK802" s="206" t="n"/>
      <c r="AL802" s="202" t="n"/>
      <c r="AM802" s="202" t="n"/>
      <c r="AN802" s="202" t="n"/>
      <c r="AO802" s="202" t="n"/>
      <c r="AP802" s="207" t="n"/>
      <c r="AQ802" s="207" t="n"/>
      <c r="AR802" s="202" t="inlineStr">
        <is>
          <t>Nhóm 1</t>
        </is>
      </c>
      <c r="AS802" s="202" t="n"/>
      <c r="AT802" s="202" t="inlineStr">
        <is>
          <t>HM22</t>
        </is>
      </c>
      <c r="AU802" s="202" t="inlineStr">
        <is>
          <t>PL02a</t>
        </is>
      </c>
      <c r="AV802" s="202" t="n">
        <v>2</v>
      </c>
      <c r="AW802" s="202" t="n">
        <v>1</v>
      </c>
      <c r="AX802" s="202" t="n"/>
    </row>
    <row r="803" ht="28" customHeight="1" s="672">
      <c r="A803" s="56" t="inlineStr">
        <is>
          <t>NTCV</t>
        </is>
      </c>
      <c r="B803" s="56" t="inlineStr">
        <is>
          <t>K.9999</t>
        </is>
      </c>
      <c r="C803" s="56" t="inlineStr">
        <is>
          <t>NTCV.0533242</t>
        </is>
      </c>
      <c r="D803" s="57" t="n"/>
      <c r="E803" s="57" t="n"/>
      <c r="F803" s="57" t="n"/>
      <c r="G803" s="57" t="n"/>
      <c r="H803" s="57" t="n"/>
      <c r="J803" s="209" t="inlineStr">
        <is>
          <t>09</t>
        </is>
      </c>
      <c r="K803" s="209" t="inlineStr">
        <is>
          <t>K.9999</t>
        </is>
      </c>
      <c r="L803" s="210" t="inlineStr">
        <is>
          <t>Kiểm tra định vị tim cọc khoan nhồi, hạ ống vách thi công</t>
        </is>
      </c>
      <c r="M803" s="210" t="n"/>
      <c r="N803" s="210" t="n"/>
      <c r="O803" s="211" t="inlineStr">
        <is>
          <t>Cầu Km19+529.080</t>
        </is>
      </c>
      <c r="P803" s="212">
        <f>S800</f>
        <v/>
      </c>
      <c r="Q803" s="212">
        <f>P803</f>
        <v/>
      </c>
      <c r="R803" s="212">
        <f>Q803-1</f>
        <v/>
      </c>
      <c r="S803" s="212">
        <f>Q803</f>
        <v/>
      </c>
      <c r="T803" s="213">
        <f>U800</f>
        <v/>
      </c>
      <c r="U803" s="213">
        <f>T803+V803</f>
        <v/>
      </c>
      <c r="V803" s="213" t="n">
        <v>0.02083333333333333</v>
      </c>
      <c r="W803" s="214">
        <f>TEXT(T803,"HH""h""MM'")&amp;"÷"&amp;TEXT(U803,"HH""h""MM'")</f>
        <v/>
      </c>
      <c r="X803" s="214" t="n"/>
      <c r="Y803" s="214" t="n"/>
      <c r="Z803" s="214" t="inlineStr">
        <is>
          <t>03;</t>
        </is>
      </c>
      <c r="AA803" s="215" t="inlineStr">
        <is>
          <t>Kiểm tra định vị Cọc khoan nhồi Trụ T2 - Cọc C8</t>
        </is>
      </c>
      <c r="AB803" s="204" t="inlineStr">
        <is>
          <t>09-XL-307HG/PYCNT/CKN/T2/C8-1</t>
        </is>
      </c>
      <c r="AC803" s="204" t="inlineStr">
        <is>
          <t>09-XL-307HG/BBNT/CKN/T2/C8-3</t>
        </is>
      </c>
      <c r="AD803" s="204" t="n"/>
      <c r="AE803" s="204" t="n"/>
      <c r="AF803" s="204" t="n"/>
      <c r="AG803" s="204" t="n"/>
      <c r="AH803" s="204" t="n"/>
      <c r="AI803" s="216" t="n"/>
      <c r="AJ803" s="214" t="n"/>
      <c r="AK803" s="217" t="n"/>
      <c r="AL803" s="214" t="n"/>
      <c r="AM803" s="214" t="n"/>
      <c r="AN803" s="214" t="n"/>
      <c r="AO803" s="214" t="n"/>
      <c r="AP803" s="216" t="n"/>
      <c r="AQ803" s="216" t="n"/>
      <c r="AR803" s="214" t="inlineStr">
        <is>
          <t>Nhóm 1</t>
        </is>
      </c>
      <c r="AS803" s="214" t="n"/>
      <c r="AT803" s="214" t="inlineStr">
        <is>
          <t>HM22</t>
        </is>
      </c>
      <c r="AU803" s="214" t="inlineStr">
        <is>
          <t>NTCV</t>
        </is>
      </c>
      <c r="AV803" s="214" t="n">
        <v>71</v>
      </c>
      <c r="AW803" s="214" t="n">
        <v>2</v>
      </c>
      <c r="AX803" s="214" t="n"/>
    </row>
    <row r="804" ht="28" customHeight="1" s="672">
      <c r="A804" s="56" t="inlineStr">
        <is>
          <t>BBK478</t>
        </is>
      </c>
      <c r="B804" s="56" t="inlineStr">
        <is>
          <t>PL03</t>
        </is>
      </c>
      <c r="C804" s="56" t="inlineStr">
        <is>
          <t>BBK478.0029402</t>
        </is>
      </c>
      <c r="D804" s="57" t="n"/>
      <c r="E804" s="57" t="n"/>
      <c r="F804" s="57" t="n"/>
      <c r="G804" s="57" t="n"/>
      <c r="H804" s="57" t="n"/>
      <c r="J804" s="198" t="inlineStr">
        <is>
          <t>10</t>
        </is>
      </c>
      <c r="K804" s="198" t="inlineStr">
        <is>
          <t>PL03</t>
        </is>
      </c>
      <c r="L804" s="199" t="inlineStr">
        <is>
          <t>Kiểm tra định vị tim cọc khoan nhồi, hạ ống vách thi công</t>
        </is>
      </c>
      <c r="M804" s="199" t="n"/>
      <c r="N804" s="199" t="n"/>
      <c r="O804" s="200" t="inlineStr">
        <is>
          <t>Cầu Km19+529.080</t>
        </is>
      </c>
      <c r="P804" s="201" t="n"/>
      <c r="Q804" s="201" t="n"/>
      <c r="R804" s="201" t="n"/>
      <c r="S804" s="201">
        <f>S803</f>
        <v/>
      </c>
      <c r="T804" s="201" t="n"/>
      <c r="U804" s="201" t="n"/>
      <c r="V804" s="201" t="n"/>
      <c r="W804" s="202" t="n"/>
      <c r="X804" s="202" t="n"/>
      <c r="Y804" s="202" t="n"/>
      <c r="Z804" s="198" t="inlineStr">
        <is>
          <t>03</t>
        </is>
      </c>
      <c r="AA804" s="203" t="n"/>
      <c r="AB804" s="204" t="inlineStr">
        <is>
          <t>09-XL-307HG/PYCNT/CKN/T2/C8-1</t>
        </is>
      </c>
      <c r="AC804" s="204">
        <f>AC803</f>
        <v/>
      </c>
      <c r="AD804" s="255" t="n">
        <v>2481783.572</v>
      </c>
      <c r="AE804" s="255" t="n">
        <v>382437.487</v>
      </c>
      <c r="AF804" s="255" t="n">
        <v>167.86</v>
      </c>
      <c r="AG804" s="255" t="n"/>
      <c r="AH804" s="204" t="inlineStr">
        <is>
          <t>&gt;=344;&lt;=362</t>
        </is>
      </c>
      <c r="AI804" s="207" t="n"/>
      <c r="AJ804" s="202" t="n"/>
      <c r="AK804" s="206" t="n"/>
      <c r="AL804" s="202" t="n"/>
      <c r="AM804" s="202" t="n"/>
      <c r="AN804" s="202" t="n"/>
      <c r="AO804" s="202" t="n"/>
      <c r="AP804" s="207" t="n"/>
      <c r="AQ804" s="207" t="n"/>
      <c r="AR804" s="202" t="inlineStr">
        <is>
          <t>Nhóm 1</t>
        </is>
      </c>
      <c r="AS804" s="202" t="n"/>
      <c r="AT804" s="202" t="inlineStr">
        <is>
          <t>HM22</t>
        </is>
      </c>
      <c r="AU804" s="202" t="inlineStr">
        <is>
          <t>PL03</t>
        </is>
      </c>
      <c r="AV804" s="202" t="n">
        <v>2</v>
      </c>
      <c r="AW804" s="202" t="n">
        <v>1</v>
      </c>
      <c r="AX804" s="202" t="n"/>
    </row>
    <row r="805" ht="28" customHeight="1" s="672">
      <c r="A805" s="56" t="inlineStr">
        <is>
          <t>NTCV</t>
        </is>
      </c>
      <c r="B805" s="56" t="inlineStr">
        <is>
          <t>K.9999</t>
        </is>
      </c>
      <c r="C805" s="56" t="inlineStr">
        <is>
          <t>NTCV.0716887</t>
        </is>
      </c>
      <c r="D805" s="57" t="n"/>
      <c r="E805" s="57" t="n"/>
      <c r="F805" s="57" t="n"/>
      <c r="G805" s="57" t="n"/>
      <c r="H805" s="57" t="n"/>
      <c r="J805" s="209" t="inlineStr">
        <is>
          <t>11</t>
        </is>
      </c>
      <c r="K805" s="209" t="inlineStr">
        <is>
          <t>K.9999</t>
        </is>
      </c>
      <c r="L805" s="210" t="inlineStr">
        <is>
          <t>Nghiệm thu lồng thép cọc khoan nhồi trước khi hạ</t>
        </is>
      </c>
      <c r="M805" s="210" t="n"/>
      <c r="N805" s="210" t="n"/>
      <c r="O805" s="211" t="inlineStr">
        <is>
          <t>Cầu Km19+529.080</t>
        </is>
      </c>
      <c r="P805" s="212">
        <f>S803</f>
        <v/>
      </c>
      <c r="Q805" s="212">
        <f>P805</f>
        <v/>
      </c>
      <c r="R805" s="212">
        <f>Q805-1</f>
        <v/>
      </c>
      <c r="S805" s="212">
        <f>Q805</f>
        <v/>
      </c>
      <c r="T805" s="213">
        <f>U803</f>
        <v/>
      </c>
      <c r="U805" s="213">
        <f>T805+V805</f>
        <v/>
      </c>
      <c r="V805" s="213" t="n">
        <v>0.02083333333333333</v>
      </c>
      <c r="W805" s="214">
        <f>TEXT(T805,"HH""h""MM'")&amp;"÷"&amp;TEXT(U805,"HH""h""MM'")</f>
        <v/>
      </c>
      <c r="X805" s="214" t="n"/>
      <c r="Y805" s="214" t="n"/>
      <c r="Z805" s="214" t="inlineStr">
        <is>
          <t>04;</t>
        </is>
      </c>
      <c r="AA805" s="215" t="inlineStr">
        <is>
          <t>Nghiệm thu lồng thép Cọc khoan nhồi Trụ T2 - Cọc C8</t>
        </is>
      </c>
      <c r="AB805" s="204" t="inlineStr">
        <is>
          <t>09-XL-307HG/PYCNT/CKN/T2/C8-1</t>
        </is>
      </c>
      <c r="AC805" s="204" t="inlineStr">
        <is>
          <t>09-XL-307HG/BBNT/CKN/T2/C8-4</t>
        </is>
      </c>
      <c r="AD805" s="204" t="n"/>
      <c r="AE805" s="204" t="n"/>
      <c r="AF805" s="204" t="n"/>
      <c r="AG805" s="204" t="n"/>
      <c r="AH805" s="204" t="n"/>
      <c r="AI805" s="216" t="n"/>
      <c r="AJ805" s="214" t="n"/>
      <c r="AK805" s="217" t="n"/>
      <c r="AL805" s="214" t="n"/>
      <c r="AM805" s="214" t="n"/>
      <c r="AN805" s="214" t="n"/>
      <c r="AO805" s="214" t="n"/>
      <c r="AP805" s="216" t="n"/>
      <c r="AQ805" s="216" t="n"/>
      <c r="AR805" s="214" t="inlineStr">
        <is>
          <t>Nhóm 1</t>
        </is>
      </c>
      <c r="AS805" s="214" t="n"/>
      <c r="AT805" s="214" t="inlineStr">
        <is>
          <t>HM22</t>
        </is>
      </c>
      <c r="AU805" s="214" t="inlineStr">
        <is>
          <t>NTCV</t>
        </is>
      </c>
      <c r="AV805" s="214" t="n">
        <v>72</v>
      </c>
      <c r="AW805" s="214" t="n">
        <v>3</v>
      </c>
      <c r="AX805" s="214" t="n"/>
    </row>
    <row r="806">
      <c r="A806" s="56" t="inlineStr">
        <is>
          <t>BBK096</t>
        </is>
      </c>
      <c r="B806" s="56" t="inlineStr">
        <is>
          <t>PL04</t>
        </is>
      </c>
      <c r="C806" s="56" t="inlineStr">
        <is>
          <t>BBK096.0314039</t>
        </is>
      </c>
      <c r="D806" s="57" t="n"/>
      <c r="E806" s="57" t="n"/>
      <c r="F806" s="57" t="n"/>
      <c r="G806" s="57" t="n"/>
      <c r="H806" s="57" t="n"/>
      <c r="J806" s="198" t="inlineStr">
        <is>
          <t>12</t>
        </is>
      </c>
      <c r="K806" s="198" t="inlineStr">
        <is>
          <t>PL04</t>
        </is>
      </c>
      <c r="L806" s="199" t="inlineStr">
        <is>
          <t>Nghiệm thu lồng thép cọc khoan nhồi trước khi hạ</t>
        </is>
      </c>
      <c r="M806" s="199" t="n"/>
      <c r="N806" s="199" t="n"/>
      <c r="O806" s="200" t="inlineStr">
        <is>
          <t>Cầu Km19+529.080</t>
        </is>
      </c>
      <c r="P806" s="201" t="n"/>
      <c r="Q806" s="201" t="n"/>
      <c r="R806" s="201" t="n"/>
      <c r="S806" s="201">
        <f>S805</f>
        <v/>
      </c>
      <c r="T806" s="201" t="n"/>
      <c r="U806" s="201" t="n"/>
      <c r="V806" s="201" t="n"/>
      <c r="W806" s="202" t="n"/>
      <c r="X806" s="202" t="n"/>
      <c r="Y806" s="202" t="n"/>
      <c r="Z806" s="198" t="inlineStr">
        <is>
          <t>04</t>
        </is>
      </c>
      <c r="AA806" s="203" t="n"/>
      <c r="AB806" s="204" t="inlineStr">
        <is>
          <t>09-XL-307HG/PYCNT/CKN/T2/C8-1</t>
        </is>
      </c>
      <c r="AC806" s="204">
        <f>AC805</f>
        <v/>
      </c>
      <c r="AD806" s="204" t="n"/>
      <c r="AE806" s="204" t="n"/>
      <c r="AF806" s="204" t="n"/>
      <c r="AG806" s="204" t="n"/>
      <c r="AH806" s="204" t="inlineStr">
        <is>
          <t>T2</t>
        </is>
      </c>
      <c r="AI806" s="207" t="n"/>
      <c r="AJ806" s="202" t="n"/>
      <c r="AK806" s="206" t="n"/>
      <c r="AL806" s="202" t="n"/>
      <c r="AM806" s="202" t="n"/>
      <c r="AN806" s="202" t="n"/>
      <c r="AO806" s="202" t="n"/>
      <c r="AP806" s="207" t="n"/>
      <c r="AQ806" s="207" t="n"/>
      <c r="AR806" s="202" t="inlineStr">
        <is>
          <t>Nhóm 1</t>
        </is>
      </c>
      <c r="AS806" s="202" t="n"/>
      <c r="AT806" s="202" t="inlineStr">
        <is>
          <t>HM22</t>
        </is>
      </c>
      <c r="AU806" s="202" t="inlineStr">
        <is>
          <t>PL04</t>
        </is>
      </c>
      <c r="AV806" s="202" t="n">
        <v>2</v>
      </c>
      <c r="AW806" s="202" t="n">
        <v>1</v>
      </c>
      <c r="AX806" s="202" t="n"/>
    </row>
    <row r="807" ht="28" customHeight="1" s="672">
      <c r="A807" s="56" t="inlineStr">
        <is>
          <t>NTCV</t>
        </is>
      </c>
      <c r="B807" s="56" t="inlineStr">
        <is>
          <t>K.9999</t>
        </is>
      </c>
      <c r="C807" s="56" t="inlineStr">
        <is>
          <t>NTCV.0981264</t>
        </is>
      </c>
      <c r="D807" s="57" t="n"/>
      <c r="E807" s="57" t="n"/>
      <c r="F807" s="57" t="n"/>
      <c r="G807" s="57" t="n"/>
      <c r="H807" s="57" t="n"/>
      <c r="J807" s="209" t="inlineStr">
        <is>
          <t>13</t>
        </is>
      </c>
      <c r="K807" s="209" t="inlineStr">
        <is>
          <t>K.9999</t>
        </is>
      </c>
      <c r="L807" s="210" t="inlineStr">
        <is>
          <t xml:space="preserve">Kiểm tra công tác khoan tạo lỗ cọc khoan nhồi </t>
        </is>
      </c>
      <c r="M807" s="210" t="n"/>
      <c r="N807" s="210" t="n"/>
      <c r="O807" s="211" t="inlineStr">
        <is>
          <t>Cầu Km19+529.080</t>
        </is>
      </c>
      <c r="P807" s="212">
        <f>S805</f>
        <v/>
      </c>
      <c r="Q807" s="212">
        <f>P807</f>
        <v/>
      </c>
      <c r="R807" s="212">
        <f>Q807-1</f>
        <v/>
      </c>
      <c r="S807" s="212">
        <f>Q807</f>
        <v/>
      </c>
      <c r="T807" s="213">
        <f>U805</f>
        <v/>
      </c>
      <c r="U807" s="213">
        <f>T807+V807</f>
        <v/>
      </c>
      <c r="V807" s="213" t="n">
        <v>0.3888888888888889</v>
      </c>
      <c r="W807" s="214">
        <f>TEXT(T807,"HH""h""MM'")&amp;"÷"&amp;TEXT(U807,"HH""h""MM'")</f>
        <v/>
      </c>
      <c r="X807" s="214" t="n"/>
      <c r="Y807" s="214" t="n"/>
      <c r="Z807" s="214" t="inlineStr">
        <is>
          <t>05;</t>
        </is>
      </c>
      <c r="AA807" s="215" t="inlineStr">
        <is>
          <t>Kiểm tra công tác khoan tạo lỗ Cọc khoan nhồi Trụ T2 - Cọc C8</t>
        </is>
      </c>
      <c r="AB807" s="204" t="inlineStr">
        <is>
          <t>09-XL-307HG/PYCNT/CKN/T2/C8-1</t>
        </is>
      </c>
      <c r="AC807" s="204" t="inlineStr">
        <is>
          <t>09-XL-307HG/BBNT/CKN/T2/C8-5</t>
        </is>
      </c>
      <c r="AD807" s="204" t="n"/>
      <c r="AE807" s="204" t="n"/>
      <c r="AF807" s="204" t="n"/>
      <c r="AG807" s="204" t="n"/>
      <c r="AH807" s="204" t="n"/>
      <c r="AI807" s="216" t="n"/>
      <c r="AJ807" s="214" t="n"/>
      <c r="AK807" s="217" t="n"/>
      <c r="AL807" s="214" t="n"/>
      <c r="AM807" s="214" t="n"/>
      <c r="AN807" s="214" t="n"/>
      <c r="AO807" s="214" t="n"/>
      <c r="AP807" s="216" t="n"/>
      <c r="AQ807" s="216" t="n"/>
      <c r="AR807" s="214" t="inlineStr">
        <is>
          <t>Nhóm 1</t>
        </is>
      </c>
      <c r="AS807" s="214" t="n"/>
      <c r="AT807" s="214" t="inlineStr">
        <is>
          <t>HM22</t>
        </is>
      </c>
      <c r="AU807" s="214" t="inlineStr">
        <is>
          <t>NTCV</t>
        </is>
      </c>
      <c r="AV807" s="214" t="n">
        <v>73</v>
      </c>
      <c r="AW807" s="214" t="n">
        <v>4</v>
      </c>
      <c r="AX807" s="214" t="n"/>
    </row>
    <row r="808">
      <c r="A808" s="56" t="inlineStr">
        <is>
          <t>BBK638</t>
        </is>
      </c>
      <c r="B808" s="56" t="inlineStr">
        <is>
          <t>PL05</t>
        </is>
      </c>
      <c r="C808" s="56" t="inlineStr">
        <is>
          <t>BBK638.0291052</t>
        </is>
      </c>
      <c r="D808" s="57" t="n"/>
      <c r="E808" s="57" t="n"/>
      <c r="F808" s="57" t="n"/>
      <c r="G808" s="57" t="n"/>
      <c r="H808" s="57" t="n"/>
      <c r="J808" s="198" t="inlineStr">
        <is>
          <t>14</t>
        </is>
      </c>
      <c r="K808" s="198" t="inlineStr">
        <is>
          <t>PL05</t>
        </is>
      </c>
      <c r="L808" s="199" t="inlineStr">
        <is>
          <t>Kiểm tra công tác khoan tạo lỗ cọc khoan nhồi</t>
        </is>
      </c>
      <c r="M808" s="199" t="n"/>
      <c r="N808" s="199" t="n"/>
      <c r="O808" s="200" t="inlineStr">
        <is>
          <t>Cầu Km19+529.080</t>
        </is>
      </c>
      <c r="P808" s="201" t="n"/>
      <c r="Q808" s="201" t="n"/>
      <c r="R808" s="201" t="n"/>
      <c r="S808" s="201">
        <f>S807</f>
        <v/>
      </c>
      <c r="T808" s="208">
        <f>T807</f>
        <v/>
      </c>
      <c r="U808" s="208" t="n">
        <v>0.7638888888888888</v>
      </c>
      <c r="V808" s="208">
        <f>U808-T808</f>
        <v/>
      </c>
      <c r="W808" s="202" t="n"/>
      <c r="X808" s="202" t="n"/>
      <c r="Y808" s="202" t="n"/>
      <c r="Z808" s="198" t="inlineStr">
        <is>
          <t>05</t>
        </is>
      </c>
      <c r="AA808" s="203" t="n"/>
      <c r="AB808" s="204" t="inlineStr">
        <is>
          <t>09-XL-307HG/PYCNT/CKN/T2/C8</t>
        </is>
      </c>
      <c r="AC808" s="204">
        <f>AC807</f>
        <v/>
      </c>
      <c r="AD808" s="204" t="n"/>
      <c r="AE808" s="204" t="n"/>
      <c r="AF808" s="255" t="n">
        <v>167.86</v>
      </c>
      <c r="AG808" s="255" t="n"/>
      <c r="AH808" s="204" t="inlineStr">
        <is>
          <t>T2-C8</t>
        </is>
      </c>
      <c r="AI808" s="207" t="n"/>
      <c r="AJ808" s="202" t="n"/>
      <c r="AK808" s="206" t="n"/>
      <c r="AL808" s="202" t="n"/>
      <c r="AM808" s="202" t="n"/>
      <c r="AN808" s="202" t="n"/>
      <c r="AO808" s="202" t="n"/>
      <c r="AP808" s="207" t="n"/>
      <c r="AQ808" s="207" t="n"/>
      <c r="AR808" s="202" t="inlineStr">
        <is>
          <t>Nhóm 1</t>
        </is>
      </c>
      <c r="AS808" s="202" t="n"/>
      <c r="AT808" s="202" t="inlineStr">
        <is>
          <t>HM22</t>
        </is>
      </c>
      <c r="AU808" s="202" t="inlineStr">
        <is>
          <t>PL05</t>
        </is>
      </c>
      <c r="AV808" s="202" t="n">
        <v>2</v>
      </c>
      <c r="AW808" s="202" t="n">
        <v>1</v>
      </c>
      <c r="AX808" s="202" t="n"/>
    </row>
    <row r="809">
      <c r="A809" s="56" t="inlineStr">
        <is>
          <t>BBK680</t>
        </is>
      </c>
      <c r="B809" s="56" t="inlineStr">
        <is>
          <t>PYC</t>
        </is>
      </c>
      <c r="C809" s="56" t="inlineStr">
        <is>
          <t>BBK680.0364801</t>
        </is>
      </c>
      <c r="D809" s="57" t="n"/>
      <c r="E809" s="57" t="n"/>
      <c r="F809" s="57" t="n"/>
      <c r="G809" s="57" t="n"/>
      <c r="H809" s="57" t="n"/>
      <c r="J809" s="198" t="inlineStr">
        <is>
          <t>15</t>
        </is>
      </c>
      <c r="K809" s="198" t="inlineStr">
        <is>
          <t>PYC</t>
        </is>
      </c>
      <c r="L809" s="199" t="inlineStr">
        <is>
          <t>Phiếu yêu cầu nghiệm thu</t>
        </is>
      </c>
      <c r="M809" s="199" t="n"/>
      <c r="N809" s="199" t="n"/>
      <c r="O809" s="200" t="inlineStr">
        <is>
          <t>Cầu Km19+529.080</t>
        </is>
      </c>
      <c r="P809" s="201" t="n"/>
      <c r="Q809" s="201" t="n"/>
      <c r="R809" s="201">
        <f>R810</f>
        <v/>
      </c>
      <c r="S809" s="201" t="n"/>
      <c r="T809" s="201" t="n"/>
      <c r="U809" s="201" t="n"/>
      <c r="V809" s="201" t="n"/>
      <c r="W809" s="202" t="n"/>
      <c r="X809" s="202" t="n"/>
      <c r="Y809" s="202" t="n"/>
      <c r="Z809" s="202" t="n"/>
      <c r="AA809" s="203" t="n"/>
      <c r="AB809" s="204" t="inlineStr">
        <is>
          <t>09-XL-307HG/PYCNT/CKN/T2/C8</t>
        </is>
      </c>
      <c r="AC809" s="205" t="inlineStr"/>
      <c r="AD809" s="205" t="n"/>
      <c r="AE809" s="205" t="n"/>
      <c r="AF809" s="205" t="n"/>
      <c r="AG809" s="205" t="inlineStr">
        <is>
          <t>NTCV;BBKTĐK</t>
        </is>
      </c>
      <c r="AH809" s="204" t="inlineStr">
        <is>
          <t>&gt;=6;&lt;=10</t>
        </is>
      </c>
      <c r="AI809" s="202" t="n"/>
      <c r="AJ809" s="202" t="n"/>
      <c r="AK809" s="206" t="n"/>
      <c r="AL809" s="202" t="n"/>
      <c r="AM809" s="202" t="n"/>
      <c r="AN809" s="202" t="n"/>
      <c r="AO809" s="202" t="n"/>
      <c r="AP809" s="207" t="n"/>
      <c r="AQ809" s="207" t="n"/>
      <c r="AR809" s="202" t="inlineStr">
        <is>
          <t>Nhóm 1</t>
        </is>
      </c>
      <c r="AS809" s="202" t="n"/>
      <c r="AT809" s="202" t="inlineStr">
        <is>
          <t>HM22</t>
        </is>
      </c>
      <c r="AU809" s="202" t="inlineStr">
        <is>
          <t>PYC</t>
        </is>
      </c>
      <c r="AV809" s="202" t="n">
        <v>214</v>
      </c>
      <c r="AW809" s="202" t="n">
        <v>2</v>
      </c>
      <c r="AX809" s="202" t="n"/>
    </row>
    <row r="810" ht="42" customHeight="1" s="672">
      <c r="A810" s="56" t="inlineStr">
        <is>
          <t>NTCV</t>
        </is>
      </c>
      <c r="B810" s="56" t="inlineStr">
        <is>
          <t>K.9999</t>
        </is>
      </c>
      <c r="C810" s="56" t="inlineStr">
        <is>
          <t>NTCV.0321715</t>
        </is>
      </c>
      <c r="D810" s="57" t="n"/>
      <c r="E810" s="57" t="n"/>
      <c r="F810" s="57" t="n"/>
      <c r="G810" s="57" t="n"/>
      <c r="H810" s="57" t="n"/>
      <c r="J810" s="209" t="inlineStr">
        <is>
          <t>16</t>
        </is>
      </c>
      <c r="K810" s="209" t="inlineStr">
        <is>
          <t>K.9999</t>
        </is>
      </c>
      <c r="L810" s="210" t="inlineStr">
        <is>
          <t>Kiểm tra công tác vệ sinh lỗ khoan trước khi hạ lồng cốt thép cọc khoan nhồi</t>
        </is>
      </c>
      <c r="M810" s="210" t="n"/>
      <c r="N810" s="210" t="n"/>
      <c r="O810" s="211" t="inlineStr">
        <is>
          <t>Cầu Km19+529.080</t>
        </is>
      </c>
      <c r="P810" s="212">
        <f>S807+1</f>
        <v/>
      </c>
      <c r="Q810" s="212">
        <f>P810</f>
        <v/>
      </c>
      <c r="R810" s="212">
        <f>Q810-1</f>
        <v/>
      </c>
      <c r="S810" s="212">
        <f>Q810</f>
        <v/>
      </c>
      <c r="T810" s="213" t="n">
        <v>0.3333333333333333</v>
      </c>
      <c r="U810" s="213">
        <f>T810+V810</f>
        <v/>
      </c>
      <c r="V810" s="213" t="n">
        <v>0.01736111111111111</v>
      </c>
      <c r="W810" s="214">
        <f>TEXT(T810,"HH""h""MM'")&amp;"÷"&amp;TEXT(U810,"HH""h""MM'")</f>
        <v/>
      </c>
      <c r="X810" s="214" t="n"/>
      <c r="Y810" s="214" t="n"/>
      <c r="Z810" s="214" t="inlineStr">
        <is>
          <t>06;</t>
        </is>
      </c>
      <c r="AA810" s="215" t="inlineStr">
        <is>
          <t>Kiểm tra công tác vệ sinh lỗ khoan trước khi hạ lồng cốt thép Cọc khoan nhồi Trụ T2 - Cọc C8</t>
        </is>
      </c>
      <c r="AB810" s="204" t="inlineStr">
        <is>
          <t>09-XL-307HG/PYCNT/CKN/T2/C8-2</t>
        </is>
      </c>
      <c r="AC810" s="204" t="inlineStr">
        <is>
          <t>09-XL-307HG/BBNT/CKN/T2/C8-6</t>
        </is>
      </c>
      <c r="AD810" s="204" t="n"/>
      <c r="AE810" s="204" t="n"/>
      <c r="AF810" s="204" t="n"/>
      <c r="AG810" s="204" t="n"/>
      <c r="AH810" s="204" t="n"/>
      <c r="AI810" s="216" t="n"/>
      <c r="AJ810" s="214" t="n"/>
      <c r="AK810" s="217" t="n"/>
      <c r="AL810" s="214" t="n"/>
      <c r="AM810" s="214" t="n"/>
      <c r="AN810" s="214" t="n"/>
      <c r="AO810" s="214" t="n"/>
      <c r="AP810" s="216" t="n"/>
      <c r="AQ810" s="216" t="n"/>
      <c r="AR810" s="214" t="inlineStr">
        <is>
          <t>Nhóm 1</t>
        </is>
      </c>
      <c r="AS810" s="214" t="n"/>
      <c r="AT810" s="214" t="inlineStr">
        <is>
          <t>HM22</t>
        </is>
      </c>
      <c r="AU810" s="214" t="inlineStr">
        <is>
          <t>NTCV</t>
        </is>
      </c>
      <c r="AV810" s="214" t="n">
        <v>76</v>
      </c>
      <c r="AW810" s="214" t="n">
        <v>5</v>
      </c>
      <c r="AX810" s="214" t="n"/>
    </row>
    <row r="811" ht="28" customHeight="1" s="672">
      <c r="A811" s="56" t="inlineStr">
        <is>
          <t>BBK570</t>
        </is>
      </c>
      <c r="B811" s="56" t="inlineStr">
        <is>
          <t>PL06</t>
        </is>
      </c>
      <c r="C811" s="56" t="inlineStr">
        <is>
          <t>BBK570.0353986</t>
        </is>
      </c>
      <c r="D811" s="57" t="n"/>
      <c r="E811" s="57" t="n"/>
      <c r="F811" s="57" t="n"/>
      <c r="G811" s="57" t="n"/>
      <c r="H811" s="57" t="n"/>
      <c r="J811" s="198" t="inlineStr">
        <is>
          <t>17</t>
        </is>
      </c>
      <c r="K811" s="198" t="inlineStr">
        <is>
          <t>PL06</t>
        </is>
      </c>
      <c r="L811" s="199" t="inlineStr">
        <is>
          <t>Kiểm tra công tác vệ sinh lỗ khoan trước khi hạ lồng cốt thép cọc khoan nhồi</t>
        </is>
      </c>
      <c r="M811" s="199" t="n"/>
      <c r="N811" s="199" t="n"/>
      <c r="O811" s="200" t="inlineStr">
        <is>
          <t>Cầu Km19+529.080</t>
        </is>
      </c>
      <c r="P811" s="201" t="n"/>
      <c r="Q811" s="201" t="n"/>
      <c r="R811" s="201" t="n"/>
      <c r="S811" s="201">
        <f>S810</f>
        <v/>
      </c>
      <c r="T811" s="201" t="n"/>
      <c r="U811" s="201" t="n"/>
      <c r="V811" s="201" t="n"/>
      <c r="W811" s="202" t="n"/>
      <c r="X811" s="265" t="n">
        <v>135.86</v>
      </c>
      <c r="Y811" s="265">
        <f>X811-0.02</f>
        <v/>
      </c>
      <c r="Z811" s="198" t="inlineStr">
        <is>
          <t>06</t>
        </is>
      </c>
      <c r="AA811" s="203" t="n"/>
      <c r="AB811" s="204" t="inlineStr">
        <is>
          <t>09-XL-307HG/PYCNT/CKN/T2/C8-2</t>
        </is>
      </c>
      <c r="AC811" s="204">
        <f>AC810</f>
        <v/>
      </c>
      <c r="AD811" s="204" t="n"/>
      <c r="AE811" s="204" t="n"/>
      <c r="AF811" s="204" t="n"/>
      <c r="AG811" s="204" t="n"/>
      <c r="AH811" s="204" t="n"/>
      <c r="AI811" s="202" t="n"/>
      <c r="AJ811" s="202" t="n"/>
      <c r="AK811" s="206" t="n"/>
      <c r="AL811" s="202" t="n"/>
      <c r="AM811" s="202" t="n"/>
      <c r="AN811" s="202" t="n"/>
      <c r="AO811" s="202" t="n"/>
      <c r="AP811" s="207" t="n"/>
      <c r="AQ811" s="207" t="n"/>
      <c r="AR811" s="202" t="inlineStr">
        <is>
          <t>Nhóm 1</t>
        </is>
      </c>
      <c r="AS811" s="202" t="n"/>
      <c r="AT811" s="202" t="inlineStr">
        <is>
          <t>HM22</t>
        </is>
      </c>
      <c r="AU811" s="202" t="inlineStr">
        <is>
          <t>PL06</t>
        </is>
      </c>
      <c r="AV811" s="202" t="n">
        <v>2</v>
      </c>
      <c r="AW811" s="202" t="n">
        <v>1</v>
      </c>
      <c r="AX811" s="202" t="n"/>
    </row>
    <row r="812" ht="28" customHeight="1" s="672">
      <c r="A812" s="56" t="inlineStr">
        <is>
          <t>NTCV</t>
        </is>
      </c>
      <c r="B812" s="56" t="inlineStr">
        <is>
          <t>K.9999</t>
        </is>
      </c>
      <c r="C812" s="56" t="inlineStr">
        <is>
          <t>NTCV.0235627</t>
        </is>
      </c>
      <c r="D812" s="57" t="n"/>
      <c r="E812" s="57" t="n"/>
      <c r="F812" s="57" t="n"/>
      <c r="G812" s="57" t="n"/>
      <c r="H812" s="57" t="n"/>
      <c r="J812" s="209" t="inlineStr">
        <is>
          <t>18</t>
        </is>
      </c>
      <c r="K812" s="209" t="inlineStr">
        <is>
          <t>K.9999</t>
        </is>
      </c>
      <c r="L812" s="210" t="inlineStr">
        <is>
          <t xml:space="preserve">Nghiệm thu công tác hạ lồng thép </t>
        </is>
      </c>
      <c r="M812" s="210" t="n"/>
      <c r="N812" s="210" t="n"/>
      <c r="O812" s="211" t="inlineStr">
        <is>
          <t>Cầu Km19+529.080</t>
        </is>
      </c>
      <c r="P812" s="212">
        <f>S810</f>
        <v/>
      </c>
      <c r="Q812" s="212">
        <f>P812</f>
        <v/>
      </c>
      <c r="R812" s="212">
        <f>Q812-1</f>
        <v/>
      </c>
      <c r="S812" s="212">
        <f>Q812</f>
        <v/>
      </c>
      <c r="T812" s="213">
        <f>U810</f>
        <v/>
      </c>
      <c r="U812" s="213">
        <f>T812+V812</f>
        <v/>
      </c>
      <c r="V812" s="213" t="n">
        <v>0.03125</v>
      </c>
      <c r="W812" s="214">
        <f>TEXT(T812,"HH""h""MM'")&amp;"÷"&amp;TEXT(U812,"HH""h""MM'")</f>
        <v/>
      </c>
      <c r="X812" s="214" t="n"/>
      <c r="Y812" s="214" t="n"/>
      <c r="Z812" s="214" t="inlineStr">
        <is>
          <t>07;</t>
        </is>
      </c>
      <c r="AA812" s="215" t="inlineStr">
        <is>
          <t>Công tác hạ lồng thép Cọc khoan nhồi Trụ T2 - Cọc C8</t>
        </is>
      </c>
      <c r="AB812" s="204" t="inlineStr">
        <is>
          <t>09-XL-307HG/PYCNT/CKN/T2/C8-2</t>
        </is>
      </c>
      <c r="AC812" s="204" t="inlineStr">
        <is>
          <t>09-XL-307HG/BBNT/CKN/T2/C8-7</t>
        </is>
      </c>
      <c r="AD812" s="204" t="n"/>
      <c r="AE812" s="204" t="n"/>
      <c r="AF812" s="204" t="n"/>
      <c r="AG812" s="204" t="n"/>
      <c r="AH812" s="204" t="n"/>
      <c r="AI812" s="214" t="n"/>
      <c r="AJ812" s="214" t="n"/>
      <c r="AK812" s="217" t="n"/>
      <c r="AL812" s="214" t="n"/>
      <c r="AM812" s="214" t="n"/>
      <c r="AN812" s="214" t="n"/>
      <c r="AO812" s="214" t="n"/>
      <c r="AP812" s="216" t="n"/>
      <c r="AQ812" s="216" t="n"/>
      <c r="AR812" s="214" t="inlineStr">
        <is>
          <t>Nhóm 1</t>
        </is>
      </c>
      <c r="AS812" s="214" t="n"/>
      <c r="AT812" s="214" t="inlineStr">
        <is>
          <t>HM22</t>
        </is>
      </c>
      <c r="AU812" s="214" t="inlineStr">
        <is>
          <t>NTCV</t>
        </is>
      </c>
      <c r="AV812" s="214" t="n">
        <v>77</v>
      </c>
      <c r="AW812" s="214" t="n">
        <v>6</v>
      </c>
      <c r="AX812" s="214" t="n"/>
    </row>
    <row r="813">
      <c r="A813" s="56" t="inlineStr">
        <is>
          <t>BBK396</t>
        </is>
      </c>
      <c r="B813" s="56" t="inlineStr">
        <is>
          <t>PL07</t>
        </is>
      </c>
      <c r="C813" s="56" t="inlineStr">
        <is>
          <t>BBK396.0592841</t>
        </is>
      </c>
      <c r="D813" s="57" t="n"/>
      <c r="E813" s="57" t="n"/>
      <c r="F813" s="57" t="n"/>
      <c r="G813" s="57" t="n"/>
      <c r="H813" s="57" t="n"/>
      <c r="J813" s="198" t="inlineStr">
        <is>
          <t>19</t>
        </is>
      </c>
      <c r="K813" s="198" t="inlineStr">
        <is>
          <t>PL07</t>
        </is>
      </c>
      <c r="L813" s="199" t="inlineStr">
        <is>
          <t>Nghiệm thu công tác hạ lồng thép</t>
        </is>
      </c>
      <c r="M813" s="199" t="n"/>
      <c r="N813" s="199" t="n"/>
      <c r="O813" s="200" t="inlineStr">
        <is>
          <t>Cầu Km19+529.080</t>
        </is>
      </c>
      <c r="P813" s="201" t="n"/>
      <c r="Q813" s="201" t="n"/>
      <c r="R813" s="201" t="n"/>
      <c r="S813" s="201">
        <f>S812</f>
        <v/>
      </c>
      <c r="T813" s="201" t="n"/>
      <c r="U813" s="201" t="n"/>
      <c r="V813" s="201" t="n"/>
      <c r="W813" s="202" t="n"/>
      <c r="X813" s="202" t="n"/>
      <c r="Y813" s="202" t="n"/>
      <c r="Z813" s="198" t="inlineStr">
        <is>
          <t>07</t>
        </is>
      </c>
      <c r="AA813" s="203" t="n"/>
      <c r="AB813" s="204" t="inlineStr">
        <is>
          <t>09-XL-307HG/PYCNT/CKN/T2/C8-2</t>
        </is>
      </c>
      <c r="AC813" s="204">
        <f>AC812</f>
        <v/>
      </c>
      <c r="AD813" s="204" t="n"/>
      <c r="AE813" s="204" t="n"/>
      <c r="AF813" s="204" t="n"/>
      <c r="AG813" s="204" t="n"/>
      <c r="AH813" s="204" t="n"/>
      <c r="AI813" s="202" t="n"/>
      <c r="AJ813" s="202" t="n"/>
      <c r="AK813" s="206" t="n"/>
      <c r="AL813" s="202" t="n"/>
      <c r="AM813" s="202" t="n"/>
      <c r="AN813" s="202" t="n"/>
      <c r="AO813" s="202" t="n"/>
      <c r="AP813" s="207" t="n"/>
      <c r="AQ813" s="207" t="n"/>
      <c r="AR813" s="202" t="inlineStr">
        <is>
          <t>Nhóm 1</t>
        </is>
      </c>
      <c r="AS813" s="202" t="n"/>
      <c r="AT813" s="202" t="inlineStr">
        <is>
          <t>HM22</t>
        </is>
      </c>
      <c r="AU813" s="202" t="inlineStr">
        <is>
          <t>PL07</t>
        </is>
      </c>
      <c r="AV813" s="202" t="n">
        <v>2</v>
      </c>
      <c r="AW813" s="202" t="n">
        <v>1</v>
      </c>
      <c r="AX813" s="202" t="n"/>
    </row>
    <row r="814" ht="42" customHeight="1" s="672">
      <c r="A814" s="56" t="inlineStr">
        <is>
          <t>NTCV</t>
        </is>
      </c>
      <c r="B814" s="56" t="inlineStr">
        <is>
          <t>K.9999</t>
        </is>
      </c>
      <c r="C814" s="56" t="inlineStr">
        <is>
          <t>NTCV.0702290</t>
        </is>
      </c>
      <c r="D814" s="57" t="n"/>
      <c r="E814" s="57" t="n"/>
      <c r="F814" s="57" t="n"/>
      <c r="G814" s="57" t="n"/>
      <c r="H814" s="57" t="n"/>
      <c r="J814" s="209" t="inlineStr">
        <is>
          <t>20</t>
        </is>
      </c>
      <c r="K814" s="209" t="inlineStr">
        <is>
          <t>K.9999</t>
        </is>
      </c>
      <c r="L814" s="210" t="inlineStr">
        <is>
          <t xml:space="preserve">Kiểm tra công tác vệ sinh lỗ khoan cọc khoan nhồi trước khi đổ bê tông </t>
        </is>
      </c>
      <c r="M814" s="210" t="n"/>
      <c r="N814" s="210" t="n"/>
      <c r="O814" s="211" t="inlineStr">
        <is>
          <t>Cầu Km19+529.080</t>
        </is>
      </c>
      <c r="P814" s="212">
        <f>S812</f>
        <v/>
      </c>
      <c r="Q814" s="212">
        <f>P814</f>
        <v/>
      </c>
      <c r="R814" s="212">
        <f>Q814-1</f>
        <v/>
      </c>
      <c r="S814" s="212">
        <f>Q814</f>
        <v/>
      </c>
      <c r="T814" s="213">
        <f>U812</f>
        <v/>
      </c>
      <c r="U814" s="213">
        <f>T814+V814</f>
        <v/>
      </c>
      <c r="V814" s="213" t="n">
        <v>0.02083333333333333</v>
      </c>
      <c r="W814" s="214">
        <f>TEXT(T814,"HH""h""MM'")&amp;"÷"&amp;TEXT(U814,"HH""h""MM'")</f>
        <v/>
      </c>
      <c r="X814" s="214" t="n"/>
      <c r="Y814" s="214" t="n"/>
      <c r="Z814" s="214" t="inlineStr">
        <is>
          <t>08;</t>
        </is>
      </c>
      <c r="AA814" s="215" t="inlineStr">
        <is>
          <t>Kiểm tra công tác vệ sinh lỗ khoan cọc khoan nhồi trước khi đổ bê tông Cọc khoan nhồi Trụ T2 - Cọc C8</t>
        </is>
      </c>
      <c r="AB814" s="204" t="inlineStr">
        <is>
          <t>09-XL-307HG/PYCNT/CKN/T2/C8-2</t>
        </is>
      </c>
      <c r="AC814" s="204" t="inlineStr">
        <is>
          <t>09-XL-307HG/BBNT/CKN/T2/C8-8</t>
        </is>
      </c>
      <c r="AD814" s="204" t="n"/>
      <c r="AE814" s="204" t="n"/>
      <c r="AF814" s="204" t="n"/>
      <c r="AG814" s="204" t="n"/>
      <c r="AH814" s="204" t="n"/>
      <c r="AI814" s="214" t="n"/>
      <c r="AJ814" s="214" t="n"/>
      <c r="AK814" s="217" t="n"/>
      <c r="AL814" s="214" t="n"/>
      <c r="AM814" s="214" t="n"/>
      <c r="AN814" s="214" t="n"/>
      <c r="AO814" s="214" t="n"/>
      <c r="AP814" s="216" t="n"/>
      <c r="AQ814" s="216" t="n"/>
      <c r="AR814" s="214" t="inlineStr">
        <is>
          <t>Nhóm 1</t>
        </is>
      </c>
      <c r="AS814" s="214" t="n"/>
      <c r="AT814" s="214" t="inlineStr">
        <is>
          <t>HM22</t>
        </is>
      </c>
      <c r="AU814" s="214" t="inlineStr">
        <is>
          <t>NTCV</t>
        </is>
      </c>
      <c r="AV814" s="214" t="n">
        <v>80</v>
      </c>
      <c r="AW814" s="214" t="n">
        <v>7</v>
      </c>
      <c r="AX814" s="214" t="n"/>
    </row>
    <row r="815" ht="28" customHeight="1" s="672">
      <c r="A815" s="56" t="inlineStr">
        <is>
          <t>BBK521</t>
        </is>
      </c>
      <c r="B815" s="56" t="inlineStr">
        <is>
          <t>PL08</t>
        </is>
      </c>
      <c r="C815" s="56" t="inlineStr">
        <is>
          <t>BBK521.0268171</t>
        </is>
      </c>
      <c r="D815" s="57" t="n"/>
      <c r="E815" s="57" t="n"/>
      <c r="F815" s="57" t="n"/>
      <c r="G815" s="57" t="n"/>
      <c r="H815" s="57" t="n"/>
      <c r="J815" s="198" t="inlineStr">
        <is>
          <t>21</t>
        </is>
      </c>
      <c r="K815" s="198" t="inlineStr">
        <is>
          <t>PL08</t>
        </is>
      </c>
      <c r="L815" s="199" t="inlineStr">
        <is>
          <t>Kiểm tra công tác vệ sinh lỗ khoan cọc khoan nhồi trước khi đổ bê tông</t>
        </is>
      </c>
      <c r="M815" s="199" t="n"/>
      <c r="N815" s="199" t="n"/>
      <c r="O815" s="200" t="inlineStr">
        <is>
          <t>Cầu Km19+529.080</t>
        </is>
      </c>
      <c r="P815" s="201" t="n"/>
      <c r="Q815" s="201" t="n"/>
      <c r="R815" s="201" t="n"/>
      <c r="S815" s="201">
        <f>S814</f>
        <v/>
      </c>
      <c r="T815" s="201" t="n"/>
      <c r="U815" s="201" t="n"/>
      <c r="V815" s="201" t="n"/>
      <c r="W815" s="202" t="n"/>
      <c r="X815" s="202" t="n"/>
      <c r="Y815" s="202" t="n"/>
      <c r="Z815" s="198" t="inlineStr">
        <is>
          <t>08</t>
        </is>
      </c>
      <c r="AA815" s="203" t="n"/>
      <c r="AB815" s="204" t="inlineStr">
        <is>
          <t>09-XL-307HG/PYCNT/CKN/T2/C8-2</t>
        </is>
      </c>
      <c r="AC815" s="204">
        <f>AC814</f>
        <v/>
      </c>
      <c r="AD815" s="204" t="n"/>
      <c r="AE815" s="204" t="n"/>
      <c r="AF815" s="204" t="n"/>
      <c r="AG815" s="204" t="n"/>
      <c r="AH815" s="204" t="n"/>
      <c r="AI815" s="202" t="n"/>
      <c r="AJ815" s="202" t="n"/>
      <c r="AK815" s="206" t="n"/>
      <c r="AL815" s="202" t="n"/>
      <c r="AM815" s="202" t="n"/>
      <c r="AN815" s="202" t="n"/>
      <c r="AO815" s="202" t="n"/>
      <c r="AP815" s="207" t="n"/>
      <c r="AQ815" s="207" t="n"/>
      <c r="AR815" s="202" t="inlineStr">
        <is>
          <t>Nhóm 1</t>
        </is>
      </c>
      <c r="AS815" s="202" t="n"/>
      <c r="AT815" s="202" t="inlineStr">
        <is>
          <t>HM22</t>
        </is>
      </c>
      <c r="AU815" s="202" t="inlineStr">
        <is>
          <t>PL08</t>
        </is>
      </c>
      <c r="AV815" s="202" t="n">
        <v>2</v>
      </c>
      <c r="AW815" s="202" t="n">
        <v>1</v>
      </c>
      <c r="AX815" s="202" t="n"/>
    </row>
    <row r="816" ht="28" customHeight="1" s="672">
      <c r="A816" s="56" t="inlineStr">
        <is>
          <t>NTCV</t>
        </is>
      </c>
      <c r="B816" s="56" t="inlineStr">
        <is>
          <t>K.9999</t>
        </is>
      </c>
      <c r="C816" s="56" t="inlineStr">
        <is>
          <t>NTCV.0575348</t>
        </is>
      </c>
      <c r="D816" s="57" t="n"/>
      <c r="E816" s="57" t="n"/>
      <c r="F816" s="57" t="n"/>
      <c r="G816" s="57" t="n"/>
      <c r="H816" s="57" t="n"/>
      <c r="J816" s="209" t="inlineStr">
        <is>
          <t>22</t>
        </is>
      </c>
      <c r="K816" s="209" t="inlineStr">
        <is>
          <t>K.9999</t>
        </is>
      </c>
      <c r="L816" s="210" t="inlineStr">
        <is>
          <t xml:space="preserve">Kiểm tra công tác chuẩn bị đổ bê tông cọc khoan nhồi </t>
        </is>
      </c>
      <c r="M816" s="210" t="n"/>
      <c r="N816" s="210" t="n"/>
      <c r="O816" s="211" t="inlineStr">
        <is>
          <t>Cầu Km19+529.080</t>
        </is>
      </c>
      <c r="P816" s="212">
        <f>S814</f>
        <v/>
      </c>
      <c r="Q816" s="212">
        <f>P816</f>
        <v/>
      </c>
      <c r="R816" s="212">
        <f>Q816-1</f>
        <v/>
      </c>
      <c r="S816" s="212">
        <f>Q816</f>
        <v/>
      </c>
      <c r="T816" s="213">
        <f>U814</f>
        <v/>
      </c>
      <c r="U816" s="213">
        <f>T816+V816</f>
        <v/>
      </c>
      <c r="V816" s="213" t="n">
        <v>0.02083333333333333</v>
      </c>
      <c r="W816" s="214">
        <f>TEXT(T816,"HH""h""MM'")&amp;"÷"&amp;TEXT(U816,"HH""h""MM'")</f>
        <v/>
      </c>
      <c r="X816" s="214" t="n"/>
      <c r="Y816" s="214" t="n"/>
      <c r="Z816" s="214" t="inlineStr">
        <is>
          <t>09;</t>
        </is>
      </c>
      <c r="AA816" s="215" t="inlineStr">
        <is>
          <t>Kiểm tra công tác chuẩn bị đổ bê tông Cọc khoan nhồi Trụ T2 - Cọc C8</t>
        </is>
      </c>
      <c r="AB816" s="204" t="inlineStr">
        <is>
          <t>09-XL-307HG/PYCNT/CKN/T2/C8-2</t>
        </is>
      </c>
      <c r="AC816" s="204" t="inlineStr">
        <is>
          <t>09-XL-307HG/BBNT/CKN/T2/C8-9</t>
        </is>
      </c>
      <c r="AD816" s="204" t="n"/>
      <c r="AE816" s="204" t="n"/>
      <c r="AF816" s="204" t="n"/>
      <c r="AG816" s="204" t="n"/>
      <c r="AH816" s="204" t="n"/>
      <c r="AI816" s="214" t="n"/>
      <c r="AJ816" s="214" t="n"/>
      <c r="AK816" s="217" t="n"/>
      <c r="AL816" s="214" t="n"/>
      <c r="AM816" s="214" t="n"/>
      <c r="AN816" s="214" t="n"/>
      <c r="AO816" s="214" t="n"/>
      <c r="AP816" s="216" t="n"/>
      <c r="AQ816" s="216" t="n"/>
      <c r="AR816" s="214" t="inlineStr">
        <is>
          <t>Nhóm 1</t>
        </is>
      </c>
      <c r="AS816" s="214" t="n"/>
      <c r="AT816" s="214" t="inlineStr">
        <is>
          <t>HM22</t>
        </is>
      </c>
      <c r="AU816" s="214" t="inlineStr">
        <is>
          <t>NTCV</t>
        </is>
      </c>
      <c r="AV816" s="214" t="n">
        <v>81</v>
      </c>
      <c r="AW816" s="214" t="n">
        <v>8</v>
      </c>
      <c r="AX816" s="214" t="n"/>
    </row>
    <row r="817">
      <c r="A817" s="56" t="inlineStr">
        <is>
          <t>BBK209</t>
        </is>
      </c>
      <c r="B817" s="56" t="inlineStr">
        <is>
          <t>PL09</t>
        </is>
      </c>
      <c r="C817" s="56" t="inlineStr">
        <is>
          <t>BBK209.0576852</t>
        </is>
      </c>
      <c r="D817" s="57" t="n"/>
      <c r="E817" s="57" t="n"/>
      <c r="F817" s="57" t="n"/>
      <c r="G817" s="57" t="n"/>
      <c r="H817" s="57" t="n"/>
      <c r="J817" s="198" t="inlineStr">
        <is>
          <t>23</t>
        </is>
      </c>
      <c r="K817" s="198" t="inlineStr">
        <is>
          <t>PL09</t>
        </is>
      </c>
      <c r="L817" s="199" t="inlineStr">
        <is>
          <t>Kiểm tra công tác chuẩn bị đổ bê tông cọc khoan nhồi</t>
        </is>
      </c>
      <c r="M817" s="199" t="n"/>
      <c r="N817" s="199" t="n"/>
      <c r="O817" s="200" t="inlineStr">
        <is>
          <t>Cầu Km19+529.080</t>
        </is>
      </c>
      <c r="P817" s="201" t="n"/>
      <c r="Q817" s="201" t="n"/>
      <c r="R817" s="201" t="n"/>
      <c r="S817" s="201">
        <f>S816</f>
        <v/>
      </c>
      <c r="T817" s="201" t="n"/>
      <c r="U817" s="201" t="n"/>
      <c r="V817" s="201" t="n"/>
      <c r="W817" s="202" t="n"/>
      <c r="X817" s="202" t="n"/>
      <c r="Y817" s="202" t="n"/>
      <c r="Z817" s="198" t="inlineStr">
        <is>
          <t>09</t>
        </is>
      </c>
      <c r="AA817" s="203" t="n"/>
      <c r="AB817" s="204" t="inlineStr">
        <is>
          <t>09-XL-307HG/PYCNT/CKN/T2/C8-2</t>
        </is>
      </c>
      <c r="AC817" s="204">
        <f>AC816</f>
        <v/>
      </c>
      <c r="AD817" s="204" t="n"/>
      <c r="AE817" s="204" t="n"/>
      <c r="AF817" s="204" t="n"/>
      <c r="AG817" s="204" t="n"/>
      <c r="AH817" s="204" t="inlineStr">
        <is>
          <t>C30(1)</t>
        </is>
      </c>
      <c r="AI817" s="202" t="n"/>
      <c r="AJ817" s="202" t="n"/>
      <c r="AK817" s="206" t="n"/>
      <c r="AL817" s="202" t="n"/>
      <c r="AM817" s="202" t="n"/>
      <c r="AN817" s="202" t="n"/>
      <c r="AO817" s="202" t="n"/>
      <c r="AP817" s="207" t="n"/>
      <c r="AQ817" s="207" t="n"/>
      <c r="AR817" s="202" t="inlineStr">
        <is>
          <t>Nhóm 1</t>
        </is>
      </c>
      <c r="AS817" s="202" t="n"/>
      <c r="AT817" s="202" t="inlineStr">
        <is>
          <t>HM22</t>
        </is>
      </c>
      <c r="AU817" s="202" t="inlineStr">
        <is>
          <t>PL09</t>
        </is>
      </c>
      <c r="AV817" s="202" t="n">
        <v>2</v>
      </c>
      <c r="AW817" s="202" t="n">
        <v>1</v>
      </c>
      <c r="AX817" s="202" t="n"/>
    </row>
    <row r="818" ht="28" customHeight="1" s="672">
      <c r="A818" s="56" t="inlineStr">
        <is>
          <t>NTCV</t>
        </is>
      </c>
      <c r="B818" s="56" t="inlineStr">
        <is>
          <t>K.9999</t>
        </is>
      </c>
      <c r="C818" s="56" t="inlineStr">
        <is>
          <t>NTCV.0990735</t>
        </is>
      </c>
      <c r="D818" s="57" t="n"/>
      <c r="E818" s="57" t="n"/>
      <c r="F818" s="57" t="n"/>
      <c r="G818" s="57" t="n"/>
      <c r="H818" s="57" t="n"/>
      <c r="J818" s="209" t="inlineStr">
        <is>
          <t>24</t>
        </is>
      </c>
      <c r="K818" s="209" t="inlineStr">
        <is>
          <t>K.9999</t>
        </is>
      </c>
      <c r="L818" s="210" t="inlineStr">
        <is>
          <t>Theo dõi quá trình đổ bê tông cọc khoan nhồi</t>
        </is>
      </c>
      <c r="M818" s="210" t="n"/>
      <c r="N818" s="210" t="n"/>
      <c r="O818" s="211" t="inlineStr">
        <is>
          <t>Cầu Km19+529.080</t>
        </is>
      </c>
      <c r="P818" s="212">
        <f>S816</f>
        <v/>
      </c>
      <c r="Q818" s="212">
        <f>P818</f>
        <v/>
      </c>
      <c r="R818" s="212">
        <f>Q818-1</f>
        <v/>
      </c>
      <c r="S818" s="212">
        <f>Q818</f>
        <v/>
      </c>
      <c r="T818" s="213">
        <f>U816</f>
        <v/>
      </c>
      <c r="U818" s="213">
        <f>T818+V818</f>
        <v/>
      </c>
      <c r="V818" s="213" t="n">
        <v>0.1458333333333333</v>
      </c>
      <c r="W818" s="214">
        <f>TEXT(T818,"HH""h""MM'")&amp;"÷"&amp;TEXT(U818,"HH""h""MM'")</f>
        <v/>
      </c>
      <c r="X818" s="214" t="n"/>
      <c r="Y818" s="214" t="n"/>
      <c r="Z818" s="214" t="inlineStr">
        <is>
          <t>10;</t>
        </is>
      </c>
      <c r="AA818" s="215" t="inlineStr">
        <is>
          <t>Theo dõi quá trình đổ bê tông  Cọc khoan nhồi Trụ T2 - Cọc C8</t>
        </is>
      </c>
      <c r="AB818" s="204" t="inlineStr">
        <is>
          <t>09-XL-307HG/PYCNT/CKN/T2/C8-2</t>
        </is>
      </c>
      <c r="AC818" s="204" t="inlineStr">
        <is>
          <t>09-XL-307HG/BBNT/CKN/T2/C8-10</t>
        </is>
      </c>
      <c r="AD818" s="204" t="n"/>
      <c r="AE818" s="204" t="n"/>
      <c r="AF818" s="204" t="n"/>
      <c r="AG818" s="204" t="n"/>
      <c r="AH818" s="204" t="n"/>
      <c r="AI818" s="214" t="n"/>
      <c r="AJ818" s="214" t="n"/>
      <c r="AK818" s="217" t="n"/>
      <c r="AL818" s="214" t="n"/>
      <c r="AM818" s="214" t="n"/>
      <c r="AN818" s="214" t="n"/>
      <c r="AO818" s="214" t="n"/>
      <c r="AP818" s="216" t="n"/>
      <c r="AQ818" s="216" t="n"/>
      <c r="AR818" s="214" t="inlineStr">
        <is>
          <t>Nhóm 1</t>
        </is>
      </c>
      <c r="AS818" s="214" t="n"/>
      <c r="AT818" s="214" t="inlineStr">
        <is>
          <t>HM22</t>
        </is>
      </c>
      <c r="AU818" s="214" t="inlineStr">
        <is>
          <t>NTCV</t>
        </is>
      </c>
      <c r="AV818" s="214" t="n">
        <v>82</v>
      </c>
      <c r="AW818" s="214" t="n">
        <v>9</v>
      </c>
      <c r="AX818" s="214" t="n"/>
    </row>
    <row r="819" ht="196" customHeight="1" s="672">
      <c r="A819" s="56" t="inlineStr">
        <is>
          <t>LMHT</t>
        </is>
      </c>
      <c r="B819" s="56" t="inlineStr">
        <is>
          <t>LMHT</t>
        </is>
      </c>
      <c r="C819" s="56" t="inlineStr">
        <is>
          <t>LMHT.0931399</t>
        </is>
      </c>
      <c r="D819" s="57" t="inlineStr">
        <is>
          <t>TC.000041|TC.000182|TC.000169.A</t>
        </is>
      </c>
      <c r="E819" s="57" t="n"/>
      <c r="F819" s="57" t="inlineStr">
        <is>
          <t>CP.0001^Cọc khoan nhồi Trụ T2 - Cọc C8^Hình trụ 15x30 (cm)^12^30 Mpa, 18±2^^^TC.000041|TC.000182|TC.000169.A</t>
        </is>
      </c>
      <c r="G819" s="57" t="n"/>
      <c r="H819" s="57" t="inlineStr">
        <is>
          <t>^^A|C|J|O|S|X|Z^Stt|Hạng mục|Cấp bê tông|Kích thước mẫu|Số lượng mẫu|Ghi chú^|||||</t>
        </is>
      </c>
      <c r="J819" s="256" t="inlineStr">
        <is>
          <t>25</t>
        </is>
      </c>
      <c r="K819" s="256" t="inlineStr">
        <is>
          <t>LMHT</t>
        </is>
      </c>
      <c r="L819" s="257" t="inlineStr">
        <is>
          <t>Lấy mẫu bê tông Cọc khoan nhồi, 30(1) Mpa Trụ T2 - Cọc C8</t>
        </is>
      </c>
      <c r="M819" s="257" t="n"/>
      <c r="N819" s="257" t="n"/>
      <c r="O819" s="258" t="inlineStr">
        <is>
          <t>Cầu Km19+529.080</t>
        </is>
      </c>
      <c r="P819" s="259" t="n"/>
      <c r="Q819" s="259" t="n"/>
      <c r="R819" s="259" t="n"/>
      <c r="S819" s="259">
        <f>S818</f>
        <v/>
      </c>
      <c r="T819" s="260">
        <f>T818</f>
        <v/>
      </c>
      <c r="U819" s="260">
        <f>U818</f>
        <v/>
      </c>
      <c r="V819" s="260">
        <f>V818</f>
        <v/>
      </c>
      <c r="W819" s="261">
        <f>TEXT(T819,"HH""h""MM'")&amp;"÷"&amp;TEXT(U819,"HH""h""MM'")</f>
        <v/>
      </c>
      <c r="X819" s="262" t="n"/>
      <c r="Y819" s="262" t="n"/>
      <c r="Z819" s="262" t="n"/>
      <c r="AA819" s="262" t="n"/>
      <c r="AB819" s="263" t="inlineStr">
        <is>
          <t>09-XL-307HG/PYCNT/CKN/T2/C8-2</t>
        </is>
      </c>
      <c r="AC819" s="263" t="inlineStr"/>
      <c r="AD819" s="264" t="n"/>
      <c r="AE819" s="264" t="n"/>
      <c r="AF819" s="264" t="n"/>
      <c r="AG819" s="264" t="n"/>
      <c r="AH819" s="264" t="n"/>
      <c r="AI819" s="257" t="n"/>
      <c r="AJ819" s="262" t="n"/>
      <c r="AK819" s="258" t="n"/>
      <c r="AL819" s="262" t="n"/>
      <c r="AM819" s="262" t="n"/>
      <c r="AN819" s="262" t="n"/>
      <c r="AO819" s="262" t="n"/>
      <c r="AP819" s="263" t="inlineStr">
        <is>
          <t>Bảng lấy mẫu CKN</t>
        </is>
      </c>
      <c r="AQ819" s="263" t="n"/>
      <c r="AR819" s="262" t="inlineStr">
        <is>
          <t>Nhóm 1</t>
        </is>
      </c>
      <c r="AS819" s="262" t="n"/>
      <c r="AT819" s="262" t="inlineStr">
        <is>
          <t>HM22</t>
        </is>
      </c>
      <c r="AU819" s="262" t="inlineStr">
        <is>
          <t>LMHT</t>
        </is>
      </c>
      <c r="AV819" s="262" t="n">
        <v>5</v>
      </c>
      <c r="AW819" s="262" t="n">
        <v>1</v>
      </c>
      <c r="AX819" s="262" t="inlineStr">
        <is>
          <t>Cọc T2-C8 [BT dòng 5]: chưa đến ngưỡng phát sinh lượt mẫu xi măng/cát/đá; mẫu bê tông cấu kiện vẫn theo F819.</t>
        </is>
      </c>
    </row>
    <row r="820">
      <c r="A820" s="56" t="inlineStr">
        <is>
          <t>BBK994</t>
        </is>
      </c>
      <c r="B820" s="56" t="inlineStr">
        <is>
          <t>PL10</t>
        </is>
      </c>
      <c r="C820" s="56" t="inlineStr">
        <is>
          <t>BBK994.0249973</t>
        </is>
      </c>
      <c r="D820" s="57" t="n"/>
      <c r="E820" s="57" t="n"/>
      <c r="F820" s="57" t="n"/>
      <c r="G820" s="57" t="n"/>
      <c r="H820" s="57" t="n"/>
      <c r="J820" s="198" t="inlineStr">
        <is>
          <t>26</t>
        </is>
      </c>
      <c r="K820" s="198" t="inlineStr">
        <is>
          <t>PL10</t>
        </is>
      </c>
      <c r="L820" s="199" t="inlineStr">
        <is>
          <t>Theo dõi quá trình đổ bê tông cọc khoan nhồi</t>
        </is>
      </c>
      <c r="M820" s="199" t="n"/>
      <c r="N820" s="199" t="n"/>
      <c r="O820" s="200" t="inlineStr">
        <is>
          <t>Cầu Km19+529.080</t>
        </is>
      </c>
      <c r="P820" s="201" t="n"/>
      <c r="Q820" s="201" t="n"/>
      <c r="R820" s="201" t="n"/>
      <c r="S820" s="201">
        <f>S818</f>
        <v/>
      </c>
      <c r="T820" s="201" t="n"/>
      <c r="U820" s="201" t="n"/>
      <c r="V820" s="201" t="n"/>
      <c r="W820" s="202" t="n"/>
      <c r="X820" s="202" t="n"/>
      <c r="Y820" s="202" t="n"/>
      <c r="Z820" s="198" t="inlineStr">
        <is>
          <t>10</t>
        </is>
      </c>
      <c r="AA820" s="203" t="n"/>
      <c r="AB820" s="204" t="inlineStr">
        <is>
          <t>09-XL-307HG/PYCNT/CKN/T2/C8-2</t>
        </is>
      </c>
      <c r="AC820" s="204">
        <f>AC818</f>
        <v/>
      </c>
      <c r="AD820" s="204" t="n"/>
      <c r="AE820" s="204" t="n"/>
      <c r="AF820" s="204" t="n"/>
      <c r="AG820" s="204" t="n"/>
      <c r="AH820" s="204" t="inlineStr">
        <is>
          <t>T2-C8</t>
        </is>
      </c>
      <c r="AI820" s="202" t="n"/>
      <c r="AJ820" s="202" t="n"/>
      <c r="AK820" s="206" t="n"/>
      <c r="AL820" s="202" t="n"/>
      <c r="AM820" s="202" t="n"/>
      <c r="AN820" s="202" t="n"/>
      <c r="AO820" s="202" t="n"/>
      <c r="AP820" s="207" t="n"/>
      <c r="AQ820" s="207" t="n"/>
      <c r="AR820" s="202" t="inlineStr">
        <is>
          <t>Nhóm 1</t>
        </is>
      </c>
      <c r="AS820" s="202" t="n"/>
      <c r="AT820" s="202" t="inlineStr">
        <is>
          <t>HM22</t>
        </is>
      </c>
      <c r="AU820" s="202" t="inlineStr">
        <is>
          <t>PL10</t>
        </is>
      </c>
      <c r="AV820" s="202" t="n">
        <v>2</v>
      </c>
      <c r="AW820" s="202" t="n">
        <v>1</v>
      </c>
      <c r="AX820" s="202" t="n"/>
    </row>
    <row r="821" ht="28" customHeight="1" s="672">
      <c r="A821" s="56" t="inlineStr">
        <is>
          <t>NTCV</t>
        </is>
      </c>
      <c r="B821" s="56" t="inlineStr">
        <is>
          <t>K.9999</t>
        </is>
      </c>
      <c r="C821" s="56" t="inlineStr">
        <is>
          <t>NTCV.0810058</t>
        </is>
      </c>
      <c r="D821" s="57" t="n"/>
      <c r="E821" s="57" t="n"/>
      <c r="F821" s="57" t="n"/>
      <c r="G821" s="57" t="n"/>
      <c r="H821" s="57" t="n"/>
      <c r="J821" s="209" t="inlineStr">
        <is>
          <t>27</t>
        </is>
      </c>
      <c r="K821" s="209" t="inlineStr">
        <is>
          <t>K.9999</t>
        </is>
      </c>
      <c r="L821" s="210" t="inlineStr">
        <is>
          <t xml:space="preserve"> Rút ống vách thi công cọc khoan nhồi</t>
        </is>
      </c>
      <c r="M821" s="210" t="n"/>
      <c r="N821" s="210" t="n"/>
      <c r="O821" s="211" t="inlineStr">
        <is>
          <t>Cầu Km19+529.080</t>
        </is>
      </c>
      <c r="P821" s="212">
        <f>S818</f>
        <v/>
      </c>
      <c r="Q821" s="212">
        <f>P821</f>
        <v/>
      </c>
      <c r="R821" s="212">
        <f>Q821-1</f>
        <v/>
      </c>
      <c r="S821" s="212">
        <f>Q821</f>
        <v/>
      </c>
      <c r="T821" s="213">
        <f>U818</f>
        <v/>
      </c>
      <c r="U821" s="213">
        <f>T821+V821</f>
        <v/>
      </c>
      <c r="V821" s="213" t="n">
        <v>0.01041666666666667</v>
      </c>
      <c r="W821" s="214">
        <f>TEXT(T821,"HH""h""MM'")&amp;"÷"&amp;TEXT(U821,"HH""h""MM'")</f>
        <v/>
      </c>
      <c r="X821" s="214" t="n"/>
      <c r="Y821" s="214" t="n"/>
      <c r="Z821" s="214" t="inlineStr">
        <is>
          <t>11;</t>
        </is>
      </c>
      <c r="AA821" s="215" t="inlineStr">
        <is>
          <t>Rút ống vách  Cọc khoan nhồi Trụ T2 - Cọc C8</t>
        </is>
      </c>
      <c r="AB821" s="204" t="inlineStr">
        <is>
          <t>09-XL-307HG/PYCNT/CKN/T2/C8-2</t>
        </is>
      </c>
      <c r="AC821" s="204" t="inlineStr">
        <is>
          <t>09-XL-307HG/BBNT/CKN/T2/C8-11</t>
        </is>
      </c>
      <c r="AD821" s="204" t="n"/>
      <c r="AE821" s="204" t="n"/>
      <c r="AF821" s="204" t="n"/>
      <c r="AG821" s="204" t="n"/>
      <c r="AH821" s="204" t="n"/>
      <c r="AI821" s="214" t="n"/>
      <c r="AJ821" s="214" t="n"/>
      <c r="AK821" s="217" t="n"/>
      <c r="AL821" s="214" t="n"/>
      <c r="AM821" s="214" t="n"/>
      <c r="AN821" s="214" t="n"/>
      <c r="AO821" s="214" t="n"/>
      <c r="AP821" s="216" t="n"/>
      <c r="AQ821" s="216" t="n"/>
      <c r="AR821" s="214" t="inlineStr">
        <is>
          <t>Nhóm 1</t>
        </is>
      </c>
      <c r="AS821" s="214" t="n"/>
      <c r="AT821" s="214" t="inlineStr">
        <is>
          <t>HM22</t>
        </is>
      </c>
      <c r="AU821" s="214" t="inlineStr">
        <is>
          <t>NTCV</t>
        </is>
      </c>
      <c r="AV821" s="214" t="n">
        <v>83</v>
      </c>
      <c r="AW821" s="214" t="n">
        <v>10</v>
      </c>
      <c r="AX821" s="214" t="n"/>
    </row>
    <row r="822">
      <c r="A822" s="56" t="inlineStr">
        <is>
          <t>BBK544</t>
        </is>
      </c>
      <c r="B822" s="56" t="inlineStr">
        <is>
          <t>PL11</t>
        </is>
      </c>
      <c r="C822" s="56" t="inlineStr">
        <is>
          <t>BBK544.0769877</t>
        </is>
      </c>
      <c r="D822" s="57" t="n"/>
      <c r="E822" s="57" t="n"/>
      <c r="F822" s="57" t="n"/>
      <c r="G822" s="57" t="n"/>
      <c r="H822" s="57" t="n"/>
      <c r="J822" s="198" t="inlineStr">
        <is>
          <t>28</t>
        </is>
      </c>
      <c r="K822" s="198" t="inlineStr">
        <is>
          <t>PL11</t>
        </is>
      </c>
      <c r="L822" s="199" t="inlineStr">
        <is>
          <t>Rút ống vách thi công cọc khoan nhồi</t>
        </is>
      </c>
      <c r="M822" s="199" t="n"/>
      <c r="N822" s="199" t="n"/>
      <c r="O822" s="200" t="inlineStr">
        <is>
          <t>Cầu Km19+529.080</t>
        </is>
      </c>
      <c r="P822" s="201" t="n"/>
      <c r="Q822" s="201" t="n"/>
      <c r="R822" s="201" t="n"/>
      <c r="S822" s="201">
        <f>S821</f>
        <v/>
      </c>
      <c r="T822" s="201" t="n"/>
      <c r="U822" s="201" t="n"/>
      <c r="V822" s="201" t="n"/>
      <c r="W822" s="202" t="n"/>
      <c r="X822" s="202" t="n"/>
      <c r="Y822" s="202" t="n"/>
      <c r="Z822" s="198" t="inlineStr">
        <is>
          <t>11</t>
        </is>
      </c>
      <c r="AA822" s="203" t="n"/>
      <c r="AB822" s="204" t="inlineStr">
        <is>
          <t>09-XL-307HG/PYCNT/CKN/T2/C8-2</t>
        </is>
      </c>
      <c r="AC822" s="204">
        <f>AC821</f>
        <v/>
      </c>
      <c r="AD822" s="204" t="n"/>
      <c r="AE822" s="204" t="n"/>
      <c r="AF822" s="204" t="n"/>
      <c r="AG822" s="204" t="n"/>
      <c r="AH822" s="204" t="inlineStr">
        <is>
          <t>&gt;=578;&lt;=609</t>
        </is>
      </c>
      <c r="AI822" s="202" t="n"/>
      <c r="AJ822" s="202" t="n"/>
      <c r="AK822" s="206" t="n"/>
      <c r="AL822" s="202" t="n"/>
      <c r="AM822" s="202" t="n"/>
      <c r="AN822" s="202" t="n"/>
      <c r="AO822" s="202" t="n"/>
      <c r="AP822" s="207" t="n"/>
      <c r="AQ822" s="207" t="n"/>
      <c r="AR822" s="202" t="inlineStr">
        <is>
          <t>Nhóm 1</t>
        </is>
      </c>
      <c r="AS822" s="202" t="n"/>
      <c r="AT822" s="202" t="inlineStr">
        <is>
          <t>HM22</t>
        </is>
      </c>
      <c r="AU822" s="202" t="inlineStr">
        <is>
          <t>PL11</t>
        </is>
      </c>
      <c r="AV822" s="202" t="n">
        <v>2</v>
      </c>
      <c r="AW822" s="202" t="n">
        <v>1</v>
      </c>
      <c r="AX822" s="202" t="n"/>
    </row>
    <row r="823" ht="13" customHeight="1" s="672">
      <c r="A823" s="56" t="inlineStr">
        <is>
          <t>BBK680</t>
        </is>
      </c>
      <c r="B823" s="56" t="inlineStr">
        <is>
          <t>PYC</t>
        </is>
      </c>
      <c r="C823" s="56" t="inlineStr">
        <is>
          <t>BBK680.0407694</t>
        </is>
      </c>
      <c r="D823" s="57" t="n"/>
      <c r="E823" s="57" t="n"/>
      <c r="F823" s="57" t="n"/>
      <c r="G823" s="57" t="n"/>
      <c r="H823" s="57" t="n"/>
      <c r="J823" s="198" t="inlineStr">
        <is>
          <t>29</t>
        </is>
      </c>
      <c r="K823" s="198" t="inlineStr">
        <is>
          <t>PYC</t>
        </is>
      </c>
      <c r="L823" s="199" t="inlineStr">
        <is>
          <t>Phiếu yêu cầu nghiệm thu</t>
        </is>
      </c>
      <c r="M823" s="199" t="n"/>
      <c r="N823" s="199" t="n"/>
      <c r="O823" s="200" t="inlineStr">
        <is>
          <t>Cầu Km19+529.080</t>
        </is>
      </c>
      <c r="P823" s="201" t="n"/>
      <c r="Q823" s="201" t="n"/>
      <c r="R823" s="201">
        <f>R824</f>
        <v/>
      </c>
      <c r="S823" s="201" t="n"/>
      <c r="T823" s="201" t="n"/>
      <c r="U823" s="201" t="n"/>
      <c r="V823" s="201" t="n"/>
      <c r="W823" s="202" t="n"/>
      <c r="X823" s="202" t="n"/>
      <c r="Y823" s="202" t="n"/>
      <c r="Z823" s="202" t="n"/>
      <c r="AA823" s="203" t="n"/>
      <c r="AB823" s="204" t="inlineStr">
        <is>
          <t>09-XL-307HG/PYCNT/CKN/T2/C8</t>
        </is>
      </c>
      <c r="AC823" s="205" t="inlineStr"/>
      <c r="AD823" s="205" t="n"/>
      <c r="AE823" s="205" t="n"/>
      <c r="AF823" s="205" t="n"/>
      <c r="AG823" s="205" t="inlineStr">
        <is>
          <t>NTCV;BBKTĐK</t>
        </is>
      </c>
      <c r="AH823" s="204" t="n">
        <v>11</v>
      </c>
      <c r="AI823" s="202" t="n"/>
      <c r="AJ823" s="202" t="n"/>
      <c r="AK823" s="206" t="n"/>
      <c r="AL823" s="202" t="n"/>
      <c r="AM823" s="202" t="n"/>
      <c r="AN823" s="202" t="n"/>
      <c r="AO823" s="202" t="n"/>
      <c r="AP823" s="207" t="n"/>
      <c r="AQ823" s="207" t="n"/>
      <c r="AR823" s="202" t="inlineStr">
        <is>
          <t>Nhóm 1</t>
        </is>
      </c>
      <c r="AS823" s="202" t="n"/>
      <c r="AT823" s="202" t="inlineStr">
        <is>
          <t>HM22</t>
        </is>
      </c>
      <c r="AU823" s="202" t="inlineStr">
        <is>
          <t>PYC</t>
        </is>
      </c>
      <c r="AV823" s="202" t="n">
        <v>215</v>
      </c>
      <c r="AW823" s="202" t="n">
        <v>3</v>
      </c>
      <c r="AX823" s="202" t="n"/>
    </row>
    <row r="824" ht="28" customHeight="1" s="672">
      <c r="A824" s="56" t="inlineStr">
        <is>
          <t>NTCV</t>
        </is>
      </c>
      <c r="B824" s="56" t="inlineStr">
        <is>
          <t>K.9999</t>
        </is>
      </c>
      <c r="C824" s="56" t="inlineStr">
        <is>
          <t>NTCV.0629923</t>
        </is>
      </c>
      <c r="D824" s="57" t="n"/>
      <c r="E824" s="57" t="n"/>
      <c r="F824" s="57" t="n"/>
      <c r="G824" s="57" t="n"/>
      <c r="H824" s="57" t="n"/>
      <c r="J824" s="209" t="inlineStr">
        <is>
          <t>30</t>
        </is>
      </c>
      <c r="K824" s="209" t="inlineStr">
        <is>
          <t>K.9999</t>
        </is>
      </c>
      <c r="L824" s="210" t="inlineStr">
        <is>
          <t>Theo dõi nén mẫu R7 Cọc khoan nhồi Trụ T2 - Cọc C8</t>
        </is>
      </c>
      <c r="M824" s="210" t="n"/>
      <c r="N824" s="210" t="n"/>
      <c r="O824" s="211" t="inlineStr">
        <is>
          <t>Cầu Km19+529.080</t>
        </is>
      </c>
      <c r="P824" s="212">
        <f>S821+7</f>
        <v/>
      </c>
      <c r="Q824" s="212">
        <f>P824</f>
        <v/>
      </c>
      <c r="R824" s="212">
        <f>Q824-1</f>
        <v/>
      </c>
      <c r="S824" s="212">
        <f>Q824</f>
        <v/>
      </c>
      <c r="T824" s="213" t="n">
        <v>0.3541666666666667</v>
      </c>
      <c r="U824" s="213">
        <f>T824+V824</f>
        <v/>
      </c>
      <c r="V824" s="213" t="n">
        <v>0.02083333333333333</v>
      </c>
      <c r="W824" s="214">
        <f>TEXT(T824,"HH""h""MM'")&amp;"÷"&amp;TEXT(U824,"HH""h""MM'")</f>
        <v/>
      </c>
      <c r="X824" s="214" t="n"/>
      <c r="Y824" s="214" t="n"/>
      <c r="Z824" s="214" t="n"/>
      <c r="AA824" s="215" t="inlineStr">
        <is>
          <t>Theo dõi nén mẫu R7 Cọc khoan nhồi Trụ T2 - Cọc C8</t>
        </is>
      </c>
      <c r="AB824" s="204" t="inlineStr">
        <is>
          <t>09-XL-307HG/PYCNT/CKN/T2/C8-3</t>
        </is>
      </c>
      <c r="AC824" s="204" t="inlineStr">
        <is>
          <t>09-XL-307HG/BBNT/CKN/T2/C8-12</t>
        </is>
      </c>
      <c r="AD824" s="204" t="n"/>
      <c r="AE824" s="204" t="n"/>
      <c r="AF824" s="204" t="n"/>
      <c r="AG824" s="204" t="n"/>
      <c r="AH824" s="204" t="n"/>
      <c r="AI824" s="214" t="n"/>
      <c r="AJ824" s="214" t="n"/>
      <c r="AK824" s="217" t="n"/>
      <c r="AL824" s="214" t="n"/>
      <c r="AM824" s="214" t="n"/>
      <c r="AN824" s="214" t="n"/>
      <c r="AO824" s="214" t="n"/>
      <c r="AP824" s="216" t="n"/>
      <c r="AQ824" s="216" t="n"/>
      <c r="AR824" s="214" t="inlineStr">
        <is>
          <t>Nhóm 1</t>
        </is>
      </c>
      <c r="AS824" s="214" t="n"/>
      <c r="AT824" s="214" t="inlineStr">
        <is>
          <t>HM22</t>
        </is>
      </c>
      <c r="AU824" s="214" t="inlineStr">
        <is>
          <t>NTCV</t>
        </is>
      </c>
      <c r="AV824" s="214" t="n">
        <v>149</v>
      </c>
      <c r="AW824" s="214" t="n">
        <v>11</v>
      </c>
      <c r="AX824" s="214" t="n"/>
    </row>
    <row r="825">
      <c r="A825" s="56" t="inlineStr">
        <is>
          <t>BBK680</t>
        </is>
      </c>
      <c r="B825" s="56" t="inlineStr">
        <is>
          <t>PYC</t>
        </is>
      </c>
      <c r="C825" s="56" t="inlineStr">
        <is>
          <t>BBK680.0493692</t>
        </is>
      </c>
      <c r="D825" s="57" t="n"/>
      <c r="E825" s="57" t="n"/>
      <c r="F825" s="57" t="n"/>
      <c r="G825" s="57" t="n"/>
      <c r="H825" s="57" t="n"/>
      <c r="J825" s="198" t="inlineStr">
        <is>
          <t>31</t>
        </is>
      </c>
      <c r="K825" s="198" t="inlineStr">
        <is>
          <t>PYC</t>
        </is>
      </c>
      <c r="L825" s="199" t="inlineStr">
        <is>
          <t>Phiếu yêu cầu nghiệm thu</t>
        </is>
      </c>
      <c r="M825" s="199" t="n"/>
      <c r="N825" s="199" t="n"/>
      <c r="O825" s="200" t="inlineStr">
        <is>
          <t>Cầu Km19+529.080</t>
        </is>
      </c>
      <c r="P825" s="201" t="n"/>
      <c r="Q825" s="201" t="n"/>
      <c r="R825" s="201">
        <f>+S820+28</f>
        <v/>
      </c>
      <c r="S825" s="201" t="n"/>
      <c r="T825" s="201" t="n"/>
      <c r="U825" s="201" t="n"/>
      <c r="V825" s="201" t="n"/>
      <c r="W825" s="202" t="n"/>
      <c r="X825" s="202" t="n"/>
      <c r="Y825" s="202" t="n"/>
      <c r="Z825" s="202" t="n"/>
      <c r="AA825" s="203" t="n"/>
      <c r="AB825" s="204" t="inlineStr">
        <is>
          <t>09-XL-307HG/PYCNT/CKN/T2/C8</t>
        </is>
      </c>
      <c r="AC825" s="205" t="inlineStr"/>
      <c r="AD825" s="205" t="n"/>
      <c r="AE825" s="205" t="n"/>
      <c r="AF825" s="205" t="n"/>
      <c r="AG825" s="205" t="inlineStr">
        <is>
          <t>NTCV;BBKTĐK</t>
        </is>
      </c>
      <c r="AH825" s="204" t="n">
        <v>12</v>
      </c>
      <c r="AI825" s="202" t="n"/>
      <c r="AJ825" s="202" t="n"/>
      <c r="AK825" s="206" t="n"/>
      <c r="AL825" s="202" t="n"/>
      <c r="AM825" s="202" t="n"/>
      <c r="AN825" s="202" t="n"/>
      <c r="AO825" s="202" t="n"/>
      <c r="AP825" s="207" t="n"/>
      <c r="AQ825" s="207" t="n"/>
      <c r="AR825" s="202" t="inlineStr">
        <is>
          <t>Nhóm 1</t>
        </is>
      </c>
      <c r="AS825" s="202" t="n"/>
      <c r="AT825" s="202" t="inlineStr">
        <is>
          <t>HM22</t>
        </is>
      </c>
      <c r="AU825" s="202" t="inlineStr">
        <is>
          <t>PYC</t>
        </is>
      </c>
      <c r="AV825" s="202" t="n">
        <v>216</v>
      </c>
      <c r="AW825" s="202" t="n">
        <v>4</v>
      </c>
      <c r="AX825" s="202" t="n"/>
    </row>
    <row r="826" ht="28" customHeight="1" s="672">
      <c r="A826" s="56" t="inlineStr">
        <is>
          <t>NTCV</t>
        </is>
      </c>
      <c r="B826" s="56" t="inlineStr">
        <is>
          <t>K.9999</t>
        </is>
      </c>
      <c r="C826" s="56" t="inlineStr">
        <is>
          <t>NTCV.0498516</t>
        </is>
      </c>
      <c r="D826" s="57" t="n"/>
      <c r="E826" s="57" t="n"/>
      <c r="F826" s="57" t="n"/>
      <c r="G826" s="57" t="n"/>
      <c r="H826" s="57" t="n"/>
      <c r="J826" s="209" t="inlineStr">
        <is>
          <t>32</t>
        </is>
      </c>
      <c r="K826" s="209" t="inlineStr">
        <is>
          <t>K.9999</t>
        </is>
      </c>
      <c r="L826" s="210" t="inlineStr">
        <is>
          <t>Đập đầu cọc khoan nhồi Trụ T2 - Cọc C8</t>
        </is>
      </c>
      <c r="M826" s="210" t="n"/>
      <c r="N826" s="210" t="n"/>
      <c r="O826" s="211" t="inlineStr">
        <is>
          <t>Cầu Km19+529.080</t>
        </is>
      </c>
      <c r="P826" s="212">
        <f>S824</f>
        <v/>
      </c>
      <c r="Q826" s="212">
        <f>P826</f>
        <v/>
      </c>
      <c r="R826" s="212">
        <f>Q826-1</f>
        <v/>
      </c>
      <c r="S826" s="212">
        <f>Q826</f>
        <v/>
      </c>
      <c r="T826" s="213" t="n">
        <v>0.3541666666666667</v>
      </c>
      <c r="U826" s="213">
        <f>T826+V826</f>
        <v/>
      </c>
      <c r="V826" s="213" t="n">
        <v>0.0625</v>
      </c>
      <c r="W826" s="214">
        <f>TEXT(T826,"HH""h""MM'")&amp;"÷"&amp;TEXT(U826,"HH""h""MM'")</f>
        <v/>
      </c>
      <c r="X826" s="214" t="n"/>
      <c r="Y826" s="214" t="n"/>
      <c r="Z826" s="214" t="n"/>
      <c r="AA826" s="215" t="inlineStr">
        <is>
          <t>Theo dõi nén mẫu R28 Cọc khoan nhồi Trụ T2 - Cọc C8</t>
        </is>
      </c>
      <c r="AB826" s="204" t="inlineStr">
        <is>
          <t>09-XL-307HG/PYCNT/CKN/T2/C8-4</t>
        </is>
      </c>
      <c r="AC826" s="204" t="inlineStr">
        <is>
          <t>09-XL-307HG/BBNT/CKN/T2/C8-13</t>
        </is>
      </c>
      <c r="AD826" s="204" t="n"/>
      <c r="AE826" s="204" t="n"/>
      <c r="AF826" s="204" t="n"/>
      <c r="AG826" s="204" t="n"/>
      <c r="AH826" s="204" t="n"/>
      <c r="AI826" s="214" t="n"/>
      <c r="AJ826" s="214" t="n"/>
      <c r="AK826" s="217" t="n"/>
      <c r="AL826" s="214" t="n"/>
      <c r="AM826" s="214" t="n"/>
      <c r="AN826" s="214" t="n"/>
      <c r="AO826" s="214" t="n"/>
      <c r="AP826" s="216" t="n"/>
      <c r="AQ826" s="216" t="n"/>
      <c r="AR826" s="214" t="inlineStr">
        <is>
          <t>Nhóm 1</t>
        </is>
      </c>
      <c r="AS826" s="214" t="n"/>
      <c r="AT826" s="214" t="inlineStr">
        <is>
          <t>HM22</t>
        </is>
      </c>
      <c r="AU826" s="214" t="inlineStr">
        <is>
          <t>NTCV</t>
        </is>
      </c>
      <c r="AV826" s="214" t="n">
        <v>150</v>
      </c>
      <c r="AW826" s="214" t="n">
        <v>12</v>
      </c>
      <c r="AX826" s="214" t="n"/>
    </row>
    <row r="827">
      <c r="A827" s="56" t="inlineStr">
        <is>
          <t>HM</t>
        </is>
      </c>
      <c r="B827" s="56" t="inlineStr">
        <is>
          <t>HM</t>
        </is>
      </c>
      <c r="C827" s="56" t="inlineStr">
        <is>
          <t>HM.0133155</t>
        </is>
      </c>
      <c r="D827" s="57" t="n"/>
      <c r="E827" s="57" t="n"/>
      <c r="F827" s="57" t="n"/>
      <c r="G827" s="57" t="n"/>
      <c r="H827" s="57" t="n"/>
      <c r="J827" s="246" t="inlineStr">
        <is>
          <t>HM23</t>
        </is>
      </c>
      <c r="K827" s="246" t="inlineStr">
        <is>
          <t>HM</t>
        </is>
      </c>
      <c r="L827" s="247" t="inlineStr">
        <is>
          <t>Mố M2 - Cọc C1</t>
        </is>
      </c>
      <c r="M827" s="247" t="n"/>
      <c r="N827" s="247" t="n"/>
      <c r="O827" s="248" t="inlineStr">
        <is>
          <t>Cầu Km19+529.080</t>
        </is>
      </c>
      <c r="P827" s="249" t="n"/>
      <c r="Q827" s="249" t="n"/>
      <c r="R827" s="249" t="n"/>
      <c r="S827" s="249" t="n"/>
      <c r="T827" s="249" t="n"/>
      <c r="U827" s="249" t="n"/>
      <c r="V827" s="249" t="n"/>
      <c r="W827" s="250" t="n"/>
      <c r="X827" s="250" t="n"/>
      <c r="Y827" s="250" t="n"/>
      <c r="Z827" s="250" t="n"/>
      <c r="AA827" s="251" t="n"/>
      <c r="AB827" s="252" t="n"/>
      <c r="AC827" s="252" t="inlineStr"/>
      <c r="AD827" s="252" t="n"/>
      <c r="AE827" s="252" t="n"/>
      <c r="AF827" s="252" t="n"/>
      <c r="AG827" s="252" t="n"/>
      <c r="AH827" s="252" t="n"/>
      <c r="AI827" s="250" t="n"/>
      <c r="AJ827" s="250" t="n"/>
      <c r="AK827" s="253" t="n"/>
      <c r="AL827" s="250" t="n"/>
      <c r="AM827" s="250" t="n"/>
      <c r="AN827" s="250" t="n"/>
      <c r="AO827" s="250" t="n"/>
      <c r="AP827" s="254" t="n"/>
      <c r="AQ827" s="254" t="n"/>
      <c r="AR827" s="250" t="n"/>
      <c r="AS827" s="250" t="n"/>
      <c r="AT827" s="250" t="inlineStr">
        <is>
          <t>HM23</t>
        </is>
      </c>
      <c r="AU827" s="250" t="inlineStr">
        <is>
          <t>HM</t>
        </is>
      </c>
      <c r="AV827" s="250" t="n"/>
      <c r="AW827" s="250" t="n"/>
      <c r="AX827" s="250" t="n"/>
    </row>
    <row r="828" ht="28" customFormat="1" customHeight="1" s="70">
      <c r="A828" s="68" t="inlineStr">
        <is>
          <t>BBK_BIA</t>
        </is>
      </c>
      <c r="B828" s="68" t="inlineStr">
        <is>
          <t>TRANGBIA</t>
        </is>
      </c>
      <c r="C828" s="68" t="inlineStr">
        <is>
          <t>BBK_BIA.0969412</t>
        </is>
      </c>
      <c r="D828" s="69" t="n"/>
      <c r="E828" s="69" t="n"/>
      <c r="F828" s="69" t="n"/>
      <c r="G828" s="69" t="n"/>
      <c r="H828" s="69" t="n"/>
      <c r="J828" s="98" t="inlineStr">
        <is>
          <t>01</t>
        </is>
      </c>
      <c r="K828" s="98" t="inlineStr">
        <is>
          <t>TRANGBIA</t>
        </is>
      </c>
      <c r="L828" s="99">
        <f>"Cọc Khoan Nhồi"&amp;" - "&amp;L827</f>
        <v/>
      </c>
      <c r="M828" s="99" t="n"/>
      <c r="N828" s="99" t="n"/>
      <c r="O828" s="100" t="inlineStr">
        <is>
          <t>Cầu Km19+529.080</t>
        </is>
      </c>
      <c r="P828" s="101" t="n"/>
      <c r="Q828" s="101" t="n"/>
      <c r="R828" s="101" t="n"/>
      <c r="S828" s="101" t="n"/>
      <c r="T828" s="101" t="n"/>
      <c r="U828" s="101" t="n"/>
      <c r="V828" s="101" t="n"/>
      <c r="W828" s="102" t="n"/>
      <c r="X828" s="102" t="n"/>
      <c r="Y828" s="102" t="n"/>
      <c r="Z828" s="102" t="n"/>
      <c r="AA828" s="102" t="n"/>
      <c r="AB828" s="102" t="n"/>
      <c r="AC828" s="102" t="inlineStr"/>
      <c r="AD828" s="102" t="n"/>
      <c r="AE828" s="102" t="n"/>
      <c r="AF828" s="102" t="n"/>
      <c r="AG828" s="102" t="n"/>
      <c r="AH828" s="102" t="n"/>
      <c r="AI828" s="102" t="n"/>
      <c r="AJ828" s="102" t="n"/>
      <c r="AK828" s="100" t="n"/>
      <c r="AL828" s="102" t="n"/>
      <c r="AM828" s="102" t="n"/>
      <c r="AN828" s="102" t="n"/>
      <c r="AO828" s="102" t="n"/>
      <c r="AP828" s="103" t="inlineStr">
        <is>
          <t>Kết cấu cọc khoan nhồi mố, trụ</t>
        </is>
      </c>
      <c r="AQ828" s="104" t="n"/>
      <c r="AR828" s="102" t="inlineStr">
        <is>
          <t>Nhóm 1</t>
        </is>
      </c>
      <c r="AS828" s="102" t="n"/>
      <c r="AT828" s="102" t="inlineStr">
        <is>
          <t>HM23</t>
        </is>
      </c>
      <c r="AU828" s="102" t="inlineStr">
        <is>
          <t>TRANGBIA</t>
        </is>
      </c>
      <c r="AV828" s="102" t="n">
        <v>23</v>
      </c>
      <c r="AW828" s="102" t="n">
        <v>1</v>
      </c>
      <c r="AX828" s="102" t="n"/>
    </row>
    <row r="829" customFormat="1" s="70">
      <c r="A829" s="68" t="inlineStr">
        <is>
          <t>BBK_ML</t>
        </is>
      </c>
      <c r="B829" s="68" t="inlineStr">
        <is>
          <t>MUCLUC</t>
        </is>
      </c>
      <c r="C829" s="68" t="inlineStr">
        <is>
          <t>BBK_ML.0177620</t>
        </is>
      </c>
      <c r="D829" s="69" t="n"/>
      <c r="E829" s="69" t="n"/>
      <c r="F829" s="69" t="n"/>
      <c r="G829" s="69" t="n"/>
      <c r="H829" s="69" t="n"/>
      <c r="J829" s="98" t="inlineStr">
        <is>
          <t>02</t>
        </is>
      </c>
      <c r="K829" s="98" t="inlineStr">
        <is>
          <t>MUCLUC</t>
        </is>
      </c>
      <c r="L829" s="99" t="inlineStr">
        <is>
          <t>Danh mục biên bản Kiểm tra/Nghiệm thu</t>
        </is>
      </c>
      <c r="M829" s="99" t="n"/>
      <c r="N829" s="99" t="n"/>
      <c r="O829" s="100" t="inlineStr">
        <is>
          <t>Cầu Km19+529.080</t>
        </is>
      </c>
      <c r="P829" s="101" t="n"/>
      <c r="Q829" s="101" t="n"/>
      <c r="R829" s="101" t="n"/>
      <c r="S829" s="101" t="n"/>
      <c r="T829" s="101" t="n"/>
      <c r="U829" s="101" t="n"/>
      <c r="V829" s="101" t="n"/>
      <c r="W829" s="102" t="n"/>
      <c r="X829" s="102" t="n"/>
      <c r="Y829" s="102" t="n"/>
      <c r="Z829" s="102" t="n"/>
      <c r="AA829" s="102" t="n"/>
      <c r="AB829" s="102" t="n"/>
      <c r="AC829" s="102" t="inlineStr"/>
      <c r="AD829" s="102" t="n"/>
      <c r="AE829" s="102" t="n"/>
      <c r="AF829" s="102" t="n"/>
      <c r="AG829" s="102" t="n"/>
      <c r="AH829" s="102" t="n"/>
      <c r="AI829" s="102" t="n"/>
      <c r="AJ829" s="102" t="n"/>
      <c r="AK829" s="100" t="n"/>
      <c r="AL829" s="102" t="n"/>
      <c r="AM829" s="102" t="n"/>
      <c r="AN829" s="102" t="n"/>
      <c r="AO829" s="102" t="n"/>
      <c r="AP829" s="104" t="n"/>
      <c r="AQ829" s="104" t="n"/>
      <c r="AR829" s="102" t="inlineStr">
        <is>
          <t>Nhóm 1</t>
        </is>
      </c>
      <c r="AS829" s="102" t="n"/>
      <c r="AT829" s="102" t="inlineStr">
        <is>
          <t>HM23</t>
        </is>
      </c>
      <c r="AU829" s="102" t="inlineStr">
        <is>
          <t>MUCLUC</t>
        </is>
      </c>
      <c r="AV829" s="102" t="n">
        <v>23</v>
      </c>
      <c r="AW829" s="102" t="n">
        <v>1</v>
      </c>
      <c r="AX829" s="102" t="n"/>
    </row>
    <row r="830">
      <c r="A830" s="56" t="inlineStr">
        <is>
          <t>BBK680</t>
        </is>
      </c>
      <c r="B830" s="56" t="inlineStr">
        <is>
          <t>PYC</t>
        </is>
      </c>
      <c r="C830" s="56" t="inlineStr">
        <is>
          <t>BBK680.0589555</t>
        </is>
      </c>
      <c r="D830" s="57" t="n"/>
      <c r="E830" s="57" t="n"/>
      <c r="F830" s="57" t="n"/>
      <c r="G830" s="57" t="n"/>
      <c r="H830" s="57" t="n"/>
      <c r="J830" s="198" t="inlineStr">
        <is>
          <t>03</t>
        </is>
      </c>
      <c r="K830" s="198" t="inlineStr">
        <is>
          <t>PYC</t>
        </is>
      </c>
      <c r="L830" s="199" t="inlineStr">
        <is>
          <t>Phiếu yêu cầu nghiệm thu</t>
        </is>
      </c>
      <c r="M830" s="199" t="n"/>
      <c r="N830" s="199" t="n"/>
      <c r="O830" s="200" t="inlineStr">
        <is>
          <t>Cầu Km19+529.080</t>
        </is>
      </c>
      <c r="P830" s="201" t="n"/>
      <c r="Q830" s="201" t="n"/>
      <c r="R830" s="201">
        <f>R831</f>
        <v/>
      </c>
      <c r="S830" s="201" t="n"/>
      <c r="T830" s="201" t="n"/>
      <c r="U830" s="201" t="n"/>
      <c r="V830" s="201" t="n"/>
      <c r="W830" s="202" t="n"/>
      <c r="X830" s="202" t="n"/>
      <c r="Y830" s="202" t="n"/>
      <c r="Z830" s="202" t="n"/>
      <c r="AA830" s="203" t="n"/>
      <c r="AB830" s="204" t="inlineStr">
        <is>
          <t>09-XL-307HG/PYCNT/CKN/M2/C1</t>
        </is>
      </c>
      <c r="AC830" s="205" t="inlineStr"/>
      <c r="AD830" s="205" t="n"/>
      <c r="AE830" s="205" t="n"/>
      <c r="AF830" s="205" t="n"/>
      <c r="AG830" s="205" t="inlineStr">
        <is>
          <t>NTCV;BBKTĐK</t>
        </is>
      </c>
      <c r="AH830" s="204" t="inlineStr">
        <is>
          <t>&gt;=1;&lt;=5</t>
        </is>
      </c>
      <c r="AI830" s="202" t="n"/>
      <c r="AJ830" s="202" t="n"/>
      <c r="AK830" s="206" t="n"/>
      <c r="AL830" s="202" t="n"/>
      <c r="AM830" s="202" t="n"/>
      <c r="AN830" s="202" t="n"/>
      <c r="AO830" s="202" t="n"/>
      <c r="AP830" s="207" t="n"/>
      <c r="AQ830" s="207" t="n"/>
      <c r="AR830" s="202" t="inlineStr">
        <is>
          <t>Nhóm 1</t>
        </is>
      </c>
      <c r="AS830" s="202" t="n"/>
      <c r="AT830" s="202" t="inlineStr">
        <is>
          <t>HM23</t>
        </is>
      </c>
      <c r="AU830" s="202" t="inlineStr">
        <is>
          <t>PYC</t>
        </is>
      </c>
      <c r="AV830" s="202" t="n">
        <v>217</v>
      </c>
      <c r="AW830" s="202" t="n">
        <v>1</v>
      </c>
      <c r="AX830" s="202" t="n"/>
    </row>
    <row r="831" ht="28" customHeight="1" s="672">
      <c r="A831" s="56" t="inlineStr">
        <is>
          <t>BBK884</t>
        </is>
      </c>
      <c r="B831" s="56" t="inlineStr">
        <is>
          <t>BBKTĐK</t>
        </is>
      </c>
      <c r="C831" s="56" t="inlineStr">
        <is>
          <t>BBK884.0681571</t>
        </is>
      </c>
      <c r="D831" s="57" t="n"/>
      <c r="E831" s="57" t="n"/>
      <c r="F831" s="57" t="n"/>
      <c r="G831" s="57" t="n"/>
      <c r="H831" s="57" t="n"/>
      <c r="J831" s="198" t="inlineStr">
        <is>
          <t>04</t>
        </is>
      </c>
      <c r="K831" s="198" t="inlineStr">
        <is>
          <t>BBKTĐK</t>
        </is>
      </c>
      <c r="L831" s="199" t="inlineStr">
        <is>
          <t>Kiểm tra điều kiện trước khi thi công cọc khoan nhồi: Thiết bị, nhân lực, vật tư</t>
        </is>
      </c>
      <c r="M831" s="199" t="n"/>
      <c r="N831" s="199" t="n"/>
      <c r="O831" s="200" t="inlineStr">
        <is>
          <t>Cầu Km19+529.080</t>
        </is>
      </c>
      <c r="P831" s="201" t="n">
        <v>46227</v>
      </c>
      <c r="Q831" s="201">
        <f>P831</f>
        <v/>
      </c>
      <c r="R831" s="201">
        <f>Q831-1</f>
        <v/>
      </c>
      <c r="S831" s="201">
        <f>Q831</f>
        <v/>
      </c>
      <c r="T831" s="208" t="n">
        <v>0.2916666666666667</v>
      </c>
      <c r="U831" s="208">
        <f>T831+V831</f>
        <v/>
      </c>
      <c r="V831" s="208" t="n">
        <v>0.02083333333333333</v>
      </c>
      <c r="W831" s="202">
        <f>TEXT(T831,"HH""h""MM'")&amp;"÷"&amp;TEXT(U831,"HH""h""MM'")</f>
        <v/>
      </c>
      <c r="X831" s="202" t="n"/>
      <c r="Y831" s="202" t="n"/>
      <c r="Z831" s="202" t="inlineStr">
        <is>
          <t>01;</t>
        </is>
      </c>
      <c r="AA831" s="200" t="inlineStr">
        <is>
          <t>Kiểm tra điều kiện trước khi thi công Cọc khoan nhồi Mố M2 - Cọc C1</t>
        </is>
      </c>
      <c r="AB831" s="205" t="inlineStr">
        <is>
          <t>09-XL-307HG/PYCNT/CKN/M2/C1-1</t>
        </is>
      </c>
      <c r="AC831" s="205" t="inlineStr">
        <is>
          <t>09-XL-307HG/BBNT/CKN/M2/C1-1</t>
        </is>
      </c>
      <c r="AD831" s="205" t="n"/>
      <c r="AE831" s="205" t="n"/>
      <c r="AF831" s="205" t="n"/>
      <c r="AG831" s="205" t="n"/>
      <c r="AH831" s="205" t="n"/>
      <c r="AI831" s="207" t="n"/>
      <c r="AJ831" s="214" t="n"/>
      <c r="AK831" s="217" t="n"/>
      <c r="AL831" s="214" t="n"/>
      <c r="AM831" s="214" t="n"/>
      <c r="AN831" s="214" t="n"/>
      <c r="AO831" s="202" t="n"/>
      <c r="AP831" s="207" t="n"/>
      <c r="AQ831" s="207" t="n"/>
      <c r="AR831" s="202" t="inlineStr">
        <is>
          <t>Nhóm 1</t>
        </is>
      </c>
      <c r="AS831" s="202" t="n"/>
      <c r="AT831" s="202" t="inlineStr">
        <is>
          <t>HM23</t>
        </is>
      </c>
      <c r="AU831" s="202" t="inlineStr">
        <is>
          <t>BBKTĐK</t>
        </is>
      </c>
      <c r="AV831" s="202" t="n">
        <v>22</v>
      </c>
      <c r="AW831" s="202" t="n">
        <v>1</v>
      </c>
      <c r="AX831" s="202" t="n"/>
    </row>
    <row r="832" ht="28" customHeight="1" s="672">
      <c r="A832" s="56" t="inlineStr">
        <is>
          <t>BBK860</t>
        </is>
      </c>
      <c r="B832" s="56" t="inlineStr">
        <is>
          <t>PL01</t>
        </is>
      </c>
      <c r="C832" s="56" t="inlineStr">
        <is>
          <t>BBK860.0109563</t>
        </is>
      </c>
      <c r="D832" s="57" t="n"/>
      <c r="E832" s="57" t="n"/>
      <c r="F832" s="57" t="n"/>
      <c r="G832" s="57" t="n"/>
      <c r="H832" s="57" t="n"/>
      <c r="J832" s="198" t="inlineStr">
        <is>
          <t>05</t>
        </is>
      </c>
      <c r="K832" s="198" t="inlineStr">
        <is>
          <t>PL01</t>
        </is>
      </c>
      <c r="L832" s="199" t="inlineStr">
        <is>
          <t>Máy móc, thiết bị, nhân lực, vật tư thi công cọc khoan nhồi</t>
        </is>
      </c>
      <c r="M832" s="199" t="n"/>
      <c r="N832" s="199" t="n"/>
      <c r="O832" s="199" t="inlineStr">
        <is>
          <t>Cầu Km19+529.080</t>
        </is>
      </c>
      <c r="P832" s="201" t="n"/>
      <c r="Q832" s="201" t="n"/>
      <c r="R832" s="201" t="n"/>
      <c r="S832" s="201">
        <f>S831</f>
        <v/>
      </c>
      <c r="T832" s="201" t="n"/>
      <c r="U832" s="201" t="n"/>
      <c r="V832" s="201" t="n"/>
      <c r="W832" s="202" t="n"/>
      <c r="X832" s="202" t="n"/>
      <c r="Y832" s="202" t="n"/>
      <c r="Z832" s="198" t="inlineStr">
        <is>
          <t>01</t>
        </is>
      </c>
      <c r="AA832" s="203" t="n"/>
      <c r="AB832" s="204" t="inlineStr">
        <is>
          <t>09-XL-307HG/PYCNT/CKN/M2/C1-1</t>
        </is>
      </c>
      <c r="AC832" s="204">
        <f>AC831</f>
        <v/>
      </c>
      <c r="AD832" s="204" t="n"/>
      <c r="AE832" s="204" t="n"/>
      <c r="AF832" s="204" t="n"/>
      <c r="AG832" s="204" t="n"/>
      <c r="AH832" s="204" t="inlineStr">
        <is>
          <t>CKN</t>
        </is>
      </c>
      <c r="AI832" s="207" t="n"/>
      <c r="AJ832" s="202" t="n"/>
      <c r="AK832" s="206" t="n"/>
      <c r="AL832" s="202" t="n"/>
      <c r="AM832" s="202" t="n"/>
      <c r="AN832" s="202" t="n"/>
      <c r="AO832" s="202" t="n"/>
      <c r="AP832" s="207" t="n"/>
      <c r="AQ832" s="207" t="n"/>
      <c r="AR832" s="202" t="inlineStr">
        <is>
          <t>Nhóm 1</t>
        </is>
      </c>
      <c r="AS832" s="202" t="n"/>
      <c r="AT832" s="202" t="inlineStr">
        <is>
          <t>HM23</t>
        </is>
      </c>
      <c r="AU832" s="202" t="inlineStr">
        <is>
          <t>PL01</t>
        </is>
      </c>
      <c r="AV832" s="202" t="n">
        <v>24</v>
      </c>
      <c r="AW832" s="202" t="n">
        <v>1</v>
      </c>
      <c r="AX832" s="202" t="n"/>
    </row>
    <row r="833" ht="42" customHeight="1" s="672">
      <c r="A833" s="56" t="inlineStr">
        <is>
          <t>NTCV</t>
        </is>
      </c>
      <c r="B833" s="56" t="inlineStr">
        <is>
          <t>K.9999</t>
        </is>
      </c>
      <c r="C833" s="56" t="inlineStr">
        <is>
          <t>NTCV.0650965</t>
        </is>
      </c>
      <c r="D833" s="57" t="n"/>
      <c r="E833" s="57" t="n"/>
      <c r="F833" s="57" t="n"/>
      <c r="G833" s="57" t="n"/>
      <c r="H833" s="57" t="n"/>
      <c r="J833" s="209" t="inlineStr">
        <is>
          <t>06</t>
        </is>
      </c>
      <c r="K833" s="209" t="inlineStr">
        <is>
          <t>K.9999</t>
        </is>
      </c>
      <c r="L833" s="210" t="inlineStr">
        <is>
          <t>Kiểm tra ống vách, dung dịch bentonite trước khi khoan cọc khoan nhồi</t>
        </is>
      </c>
      <c r="M833" s="210" t="n"/>
      <c r="N833" s="210" t="n"/>
      <c r="O833" s="211" t="inlineStr">
        <is>
          <t>Cầu Km19+529.080</t>
        </is>
      </c>
      <c r="P833" s="212">
        <f>S831</f>
        <v/>
      </c>
      <c r="Q833" s="212">
        <f>P833</f>
        <v/>
      </c>
      <c r="R833" s="212">
        <f>Q833-1</f>
        <v/>
      </c>
      <c r="S833" s="212">
        <f>Q833</f>
        <v/>
      </c>
      <c r="T833" s="213">
        <f>U831</f>
        <v/>
      </c>
      <c r="U833" s="213">
        <f>T833+V833</f>
        <v/>
      </c>
      <c r="V833" s="213" t="n">
        <v>0.02083333333333333</v>
      </c>
      <c r="W833" s="214">
        <f>TEXT(T833,"HH""h""MM'")&amp;"÷"&amp;TEXT(U833,"HH""h""MM'")</f>
        <v/>
      </c>
      <c r="X833" s="214" t="n"/>
      <c r="Y833" s="214" t="n"/>
      <c r="Z833" s="214" t="inlineStr">
        <is>
          <t>02; 02a</t>
        </is>
      </c>
      <c r="AA833" s="215" t="inlineStr">
        <is>
          <t>Kiểm tra ống vách, dung dịch bentonite Cọc khoan nhồi Mố M2 - Cọc C1 trước khi khoan</t>
        </is>
      </c>
      <c r="AB833" s="204" t="inlineStr">
        <is>
          <t>09-XL-307HG/PYCNT/CKN/M2/C1-1</t>
        </is>
      </c>
      <c r="AC833" s="204" t="inlineStr">
        <is>
          <t>09-XL-307HG/BBNT/CKN/M2/C1-2</t>
        </is>
      </c>
      <c r="AD833" s="204" t="n"/>
      <c r="AE833" s="204" t="n"/>
      <c r="AF833" s="204" t="n"/>
      <c r="AG833" s="204" t="n"/>
      <c r="AH833" s="204" t="n"/>
      <c r="AI833" s="216" t="n"/>
      <c r="AJ833" s="214" t="n"/>
      <c r="AK833" s="217" t="n"/>
      <c r="AL833" s="214" t="n"/>
      <c r="AM833" s="214" t="n"/>
      <c r="AN833" s="214" t="n"/>
      <c r="AO833" s="214" t="n"/>
      <c r="AP833" s="216" t="n"/>
      <c r="AQ833" s="216" t="n"/>
      <c r="AR833" s="214" t="inlineStr">
        <is>
          <t>Nhóm 1</t>
        </is>
      </c>
      <c r="AS833" s="214" t="n"/>
      <c r="AT833" s="214" t="inlineStr">
        <is>
          <t>HM23</t>
        </is>
      </c>
      <c r="AU833" s="214" t="inlineStr">
        <is>
          <t>NTCV</t>
        </is>
      </c>
      <c r="AV833" s="214" t="n">
        <v>288</v>
      </c>
      <c r="AW833" s="214" t="n">
        <v>1</v>
      </c>
      <c r="AX833" s="214" t="n"/>
    </row>
    <row r="834">
      <c r="A834" s="56" t="inlineStr">
        <is>
          <t>BBK170</t>
        </is>
      </c>
      <c r="B834" s="56" t="inlineStr">
        <is>
          <t>PL02</t>
        </is>
      </c>
      <c r="C834" s="56" t="inlineStr">
        <is>
          <t>BBK170.0738123</t>
        </is>
      </c>
      <c r="D834" s="57" t="n"/>
      <c r="E834" s="57" t="n"/>
      <c r="F834" s="57" t="n"/>
      <c r="G834" s="57" t="n"/>
      <c r="H834" s="57" t="n"/>
      <c r="J834" s="198" t="inlineStr">
        <is>
          <t>07</t>
        </is>
      </c>
      <c r="K834" s="198" t="inlineStr">
        <is>
          <t>PL02</t>
        </is>
      </c>
      <c r="L834" s="199" t="inlineStr">
        <is>
          <t>Kiểm tra ống vách thi công trước khi hạ</t>
        </is>
      </c>
      <c r="M834" s="199" t="n"/>
      <c r="N834" s="199" t="n"/>
      <c r="O834" s="200" t="inlineStr">
        <is>
          <t>Cầu Km19+529.080</t>
        </is>
      </c>
      <c r="P834" s="201" t="n"/>
      <c r="Q834" s="201" t="n"/>
      <c r="R834" s="201" t="n"/>
      <c r="S834" s="201">
        <f>S833</f>
        <v/>
      </c>
      <c r="T834" s="201" t="n"/>
      <c r="U834" s="201" t="n"/>
      <c r="V834" s="201" t="n"/>
      <c r="W834" s="202" t="n"/>
      <c r="X834" s="202" t="n"/>
      <c r="Y834" s="202" t="n"/>
      <c r="Z834" s="198" t="inlineStr">
        <is>
          <t>02</t>
        </is>
      </c>
      <c r="AA834" s="203" t="n"/>
      <c r="AB834" s="204" t="inlineStr">
        <is>
          <t>09-XL-307HG/PYCNT/CKN/M2/C1-1</t>
        </is>
      </c>
      <c r="AC834" s="204">
        <f>AC833</f>
        <v/>
      </c>
      <c r="AD834" s="204" t="n"/>
      <c r="AE834" s="204" t="n"/>
      <c r="AF834" s="204" t="n"/>
      <c r="AG834" s="204" t="n"/>
      <c r="AH834" s="204" t="inlineStr">
        <is>
          <t>CKN</t>
        </is>
      </c>
      <c r="AI834" s="207" t="n"/>
      <c r="AJ834" s="202" t="n"/>
      <c r="AK834" s="206" t="n"/>
      <c r="AL834" s="202" t="n"/>
      <c r="AM834" s="202" t="n"/>
      <c r="AN834" s="202" t="n"/>
      <c r="AO834" s="202" t="n"/>
      <c r="AP834" s="207" t="n"/>
      <c r="AQ834" s="207" t="inlineStr">
        <is>
          <t>Ảnh\PL02 CKN.png</t>
        </is>
      </c>
      <c r="AR834" s="202" t="inlineStr">
        <is>
          <t>Nhóm 1</t>
        </is>
      </c>
      <c r="AS834" s="202" t="n"/>
      <c r="AT834" s="202" t="inlineStr">
        <is>
          <t>HM23</t>
        </is>
      </c>
      <c r="AU834" s="202" t="inlineStr">
        <is>
          <t>PL02</t>
        </is>
      </c>
      <c r="AV834" s="202" t="n">
        <v>22</v>
      </c>
      <c r="AW834" s="202" t="n">
        <v>1</v>
      </c>
      <c r="AX834" s="202" t="n"/>
    </row>
    <row r="835">
      <c r="A835" s="56" t="inlineStr">
        <is>
          <t>BBK721</t>
        </is>
      </c>
      <c r="B835" s="56" t="inlineStr">
        <is>
          <t>PL02a</t>
        </is>
      </c>
      <c r="C835" s="56" t="inlineStr">
        <is>
          <t>BBK721.0780055</t>
        </is>
      </c>
      <c r="D835" s="57" t="n"/>
      <c r="E835" s="57" t="n"/>
      <c r="F835" s="57" t="n"/>
      <c r="G835" s="57" t="n"/>
      <c r="H835" s="57" t="n"/>
      <c r="J835" s="198" t="inlineStr">
        <is>
          <t>08</t>
        </is>
      </c>
      <c r="K835" s="198" t="inlineStr">
        <is>
          <t>PL02a</t>
        </is>
      </c>
      <c r="L835" s="199" t="inlineStr">
        <is>
          <t>Kiểm tra ống vách thi công trước khi hạ</t>
        </is>
      </c>
      <c r="M835" s="199" t="n"/>
      <c r="N835" s="199" t="n"/>
      <c r="O835" s="200" t="inlineStr">
        <is>
          <t>Cầu Km19+529.080</t>
        </is>
      </c>
      <c r="P835" s="201" t="n"/>
      <c r="Q835" s="201" t="n"/>
      <c r="R835" s="201" t="n"/>
      <c r="S835" s="201">
        <f>S834</f>
        <v/>
      </c>
      <c r="T835" s="201" t="n"/>
      <c r="U835" s="201" t="n"/>
      <c r="V835" s="201" t="n"/>
      <c r="W835" s="202" t="n"/>
      <c r="X835" s="202" t="n"/>
      <c r="Y835" s="202" t="n"/>
      <c r="Z835" s="198" t="inlineStr">
        <is>
          <t>02a</t>
        </is>
      </c>
      <c r="AA835" s="203" t="n"/>
      <c r="AB835" s="204" t="inlineStr">
        <is>
          <t>09-XL-307HG/PYCNT/CKN/M2/C1-1</t>
        </is>
      </c>
      <c r="AC835" s="204">
        <f>AC834</f>
        <v/>
      </c>
      <c r="AD835" s="204" t="n"/>
      <c r="AE835" s="204" t="n"/>
      <c r="AF835" s="204" t="n"/>
      <c r="AG835" s="204" t="n"/>
      <c r="AH835" s="204" t="n"/>
      <c r="AI835" s="207" t="n"/>
      <c r="AJ835" s="202" t="n"/>
      <c r="AK835" s="206" t="n"/>
      <c r="AL835" s="202" t="n"/>
      <c r="AM835" s="202" t="n"/>
      <c r="AN835" s="202" t="n"/>
      <c r="AO835" s="202" t="n"/>
      <c r="AP835" s="207" t="n"/>
      <c r="AQ835" s="207" t="n"/>
      <c r="AR835" s="202" t="inlineStr">
        <is>
          <t>Nhóm 1</t>
        </is>
      </c>
      <c r="AS835" s="202" t="n"/>
      <c r="AT835" s="202" t="inlineStr">
        <is>
          <t>HM23</t>
        </is>
      </c>
      <c r="AU835" s="202" t="inlineStr">
        <is>
          <t>PL02a</t>
        </is>
      </c>
      <c r="AV835" s="202" t="n">
        <v>22</v>
      </c>
      <c r="AW835" s="202" t="n">
        <v>1</v>
      </c>
      <c r="AX835" s="202" t="n"/>
    </row>
    <row r="836" ht="28" customHeight="1" s="672">
      <c r="A836" s="56" t="inlineStr">
        <is>
          <t>NTCV</t>
        </is>
      </c>
      <c r="B836" s="56" t="inlineStr">
        <is>
          <t>K.9999</t>
        </is>
      </c>
      <c r="C836" s="56" t="inlineStr">
        <is>
          <t>NTCV.0431542</t>
        </is>
      </c>
      <c r="D836" s="57" t="n"/>
      <c r="E836" s="57" t="n"/>
      <c r="F836" s="57" t="n"/>
      <c r="G836" s="57" t="n"/>
      <c r="H836" s="57" t="n"/>
      <c r="J836" s="209" t="inlineStr">
        <is>
          <t>09</t>
        </is>
      </c>
      <c r="K836" s="209" t="inlineStr">
        <is>
          <t>K.9999</t>
        </is>
      </c>
      <c r="L836" s="210" t="inlineStr">
        <is>
          <t>Kiểm tra định vị tim cọc khoan nhồi, hạ ống vách thi công</t>
        </is>
      </c>
      <c r="M836" s="210" t="n"/>
      <c r="N836" s="210" t="n"/>
      <c r="O836" s="211" t="inlineStr">
        <is>
          <t>Cầu Km19+529.080</t>
        </is>
      </c>
      <c r="P836" s="212">
        <f>S833</f>
        <v/>
      </c>
      <c r="Q836" s="212">
        <f>P836</f>
        <v/>
      </c>
      <c r="R836" s="212">
        <f>Q836-1</f>
        <v/>
      </c>
      <c r="S836" s="212">
        <f>Q836</f>
        <v/>
      </c>
      <c r="T836" s="213">
        <f>U833</f>
        <v/>
      </c>
      <c r="U836" s="213">
        <f>T836+V836</f>
        <v/>
      </c>
      <c r="V836" s="213" t="n">
        <v>0.02083333333333333</v>
      </c>
      <c r="W836" s="214">
        <f>TEXT(T836,"HH""h""MM'")&amp;"÷"&amp;TEXT(U836,"HH""h""MM'")</f>
        <v/>
      </c>
      <c r="X836" s="214" t="n"/>
      <c r="Y836" s="214" t="n"/>
      <c r="Z836" s="214" t="inlineStr">
        <is>
          <t>03;</t>
        </is>
      </c>
      <c r="AA836" s="215" t="inlineStr">
        <is>
          <t>Kiểm tra định vị Cọc khoan nhồi Mố M2 - Cọc C1</t>
        </is>
      </c>
      <c r="AB836" s="204" t="inlineStr">
        <is>
          <t>09-XL-307HG/PYCNT/CKN/M2/C1-1</t>
        </is>
      </c>
      <c r="AC836" s="204" t="inlineStr">
        <is>
          <t>09-XL-307HG/BBNT/CKN/M2/C1-3</t>
        </is>
      </c>
      <c r="AD836" s="204" t="n"/>
      <c r="AE836" s="204" t="n"/>
      <c r="AF836" s="204" t="n"/>
      <c r="AG836" s="204" t="n"/>
      <c r="AH836" s="204" t="n"/>
      <c r="AI836" s="216" t="n"/>
      <c r="AJ836" s="214" t="n"/>
      <c r="AK836" s="217" t="n"/>
      <c r="AL836" s="214" t="n"/>
      <c r="AM836" s="214" t="n"/>
      <c r="AN836" s="214" t="n"/>
      <c r="AO836" s="214" t="n"/>
      <c r="AP836" s="216" t="n"/>
      <c r="AQ836" s="216" t="n"/>
      <c r="AR836" s="214" t="inlineStr">
        <is>
          <t>Nhóm 1</t>
        </is>
      </c>
      <c r="AS836" s="214" t="n"/>
      <c r="AT836" s="214" t="inlineStr">
        <is>
          <t>HM23</t>
        </is>
      </c>
      <c r="AU836" s="214" t="inlineStr">
        <is>
          <t>NTCV</t>
        </is>
      </c>
      <c r="AV836" s="214" t="n">
        <v>289</v>
      </c>
      <c r="AW836" s="214" t="n">
        <v>2</v>
      </c>
      <c r="AX836" s="214" t="n"/>
    </row>
    <row r="837" ht="28" customHeight="1" s="672">
      <c r="A837" s="56" t="inlineStr">
        <is>
          <t>BBK478</t>
        </is>
      </c>
      <c r="B837" s="56" t="inlineStr">
        <is>
          <t>PL03</t>
        </is>
      </c>
      <c r="C837" s="56" t="inlineStr">
        <is>
          <t>BBK478.0082734</t>
        </is>
      </c>
      <c r="D837" s="57" t="n"/>
      <c r="E837" s="57" t="n"/>
      <c r="F837" s="57" t="n"/>
      <c r="G837" s="57" t="n"/>
      <c r="H837" s="57" t="n"/>
      <c r="J837" s="198" t="inlineStr">
        <is>
          <t>10</t>
        </is>
      </c>
      <c r="K837" s="198" t="inlineStr">
        <is>
          <t>PL03</t>
        </is>
      </c>
      <c r="L837" s="199" t="inlineStr">
        <is>
          <t>Kiểm tra định vị tim cọc khoan nhồi, hạ ống vách thi công</t>
        </is>
      </c>
      <c r="M837" s="199" t="n"/>
      <c r="N837" s="199" t="n"/>
      <c r="O837" s="200" t="inlineStr">
        <is>
          <t>Cầu Km19+529.080</t>
        </is>
      </c>
      <c r="P837" s="201" t="n"/>
      <c r="Q837" s="201" t="n"/>
      <c r="R837" s="201" t="n"/>
      <c r="S837" s="201">
        <f>S836</f>
        <v/>
      </c>
      <c r="T837" s="201" t="n"/>
      <c r="U837" s="201" t="n"/>
      <c r="V837" s="201" t="n"/>
      <c r="W837" s="202" t="n"/>
      <c r="X837" s="202" t="n"/>
      <c r="Y837" s="202" t="n"/>
      <c r="Z837" s="198" t="inlineStr">
        <is>
          <t>03</t>
        </is>
      </c>
      <c r="AA837" s="203" t="n"/>
      <c r="AB837" s="204" t="inlineStr">
        <is>
          <t>09-XL-307HG/PYCNT/CKN/M2/C1-1</t>
        </is>
      </c>
      <c r="AC837" s="204">
        <f>AC836</f>
        <v/>
      </c>
      <c r="AD837" s="255" t="n">
        <v>2481818.45</v>
      </c>
      <c r="AE837" s="255" t="n">
        <v>382455.787</v>
      </c>
      <c r="AF837" s="255" t="n">
        <v>188.836</v>
      </c>
      <c r="AG837" s="255" t="n"/>
      <c r="AH837" s="204" t="inlineStr">
        <is>
          <t>&gt;=363;&lt;=381</t>
        </is>
      </c>
      <c r="AI837" s="207" t="n"/>
      <c r="AJ837" s="202" t="n"/>
      <c r="AK837" s="206" t="n"/>
      <c r="AL837" s="202" t="n"/>
      <c r="AM837" s="202" t="n"/>
      <c r="AN837" s="202" t="n"/>
      <c r="AO837" s="202" t="n"/>
      <c r="AP837" s="207" t="n"/>
      <c r="AQ837" s="207" t="n"/>
      <c r="AR837" s="202" t="inlineStr">
        <is>
          <t>Nhóm 1</t>
        </is>
      </c>
      <c r="AS837" s="202" t="n"/>
      <c r="AT837" s="202" t="inlineStr">
        <is>
          <t>HM23</t>
        </is>
      </c>
      <c r="AU837" s="202" t="inlineStr">
        <is>
          <t>PL03</t>
        </is>
      </c>
      <c r="AV837" s="202" t="n">
        <v>22</v>
      </c>
      <c r="AW837" s="202" t="n">
        <v>1</v>
      </c>
      <c r="AX837" s="202" t="n"/>
    </row>
    <row r="838" ht="28" customHeight="1" s="672">
      <c r="A838" s="56" t="inlineStr">
        <is>
          <t>NTCV</t>
        </is>
      </c>
      <c r="B838" s="56" t="inlineStr">
        <is>
          <t>K.9999</t>
        </is>
      </c>
      <c r="C838" s="56" t="inlineStr">
        <is>
          <t>NTCV.0499702</t>
        </is>
      </c>
      <c r="D838" s="57" t="n"/>
      <c r="E838" s="57" t="n"/>
      <c r="F838" s="57" t="n"/>
      <c r="G838" s="57" t="n"/>
      <c r="H838" s="57" t="n"/>
      <c r="J838" s="209" t="inlineStr">
        <is>
          <t>11</t>
        </is>
      </c>
      <c r="K838" s="209" t="inlineStr">
        <is>
          <t>K.9999</t>
        </is>
      </c>
      <c r="L838" s="210" t="inlineStr">
        <is>
          <t>Nghiệm thu lồng thép cọc khoan nhồi trước khi hạ</t>
        </is>
      </c>
      <c r="M838" s="210" t="n"/>
      <c r="N838" s="210" t="n"/>
      <c r="O838" s="211" t="inlineStr">
        <is>
          <t>Cầu Km19+529.080</t>
        </is>
      </c>
      <c r="P838" s="212">
        <f>S836</f>
        <v/>
      </c>
      <c r="Q838" s="212">
        <f>P838</f>
        <v/>
      </c>
      <c r="R838" s="212">
        <f>Q838-1</f>
        <v/>
      </c>
      <c r="S838" s="212">
        <f>Q838</f>
        <v/>
      </c>
      <c r="T838" s="213">
        <f>U836</f>
        <v/>
      </c>
      <c r="U838" s="213">
        <f>T838+V838</f>
        <v/>
      </c>
      <c r="V838" s="213" t="n">
        <v>0.02083333333333333</v>
      </c>
      <c r="W838" s="214">
        <f>TEXT(T838,"HH""h""MM'")&amp;"÷"&amp;TEXT(U838,"HH""h""MM'")</f>
        <v/>
      </c>
      <c r="X838" s="214" t="n"/>
      <c r="Y838" s="214" t="n"/>
      <c r="Z838" s="214" t="inlineStr">
        <is>
          <t>04;</t>
        </is>
      </c>
      <c r="AA838" s="215" t="inlineStr">
        <is>
          <t>Nghiệm thu lồng thép Cọc khoan nhồi Mố M2 - Cọc C1</t>
        </is>
      </c>
      <c r="AB838" s="204" t="inlineStr">
        <is>
          <t>09-XL-307HG/PYCNT/CKN/M2/C1-1</t>
        </is>
      </c>
      <c r="AC838" s="204" t="inlineStr">
        <is>
          <t>09-XL-307HG/BBNT/CKN/M2/C1-4</t>
        </is>
      </c>
      <c r="AD838" s="204" t="n"/>
      <c r="AE838" s="204" t="n"/>
      <c r="AF838" s="204" t="n"/>
      <c r="AG838" s="204" t="n"/>
      <c r="AH838" s="204" t="n"/>
      <c r="AI838" s="216" t="n"/>
      <c r="AJ838" s="214" t="n"/>
      <c r="AK838" s="217" t="n"/>
      <c r="AL838" s="214" t="n"/>
      <c r="AM838" s="214" t="n"/>
      <c r="AN838" s="214" t="n"/>
      <c r="AO838" s="214" t="n"/>
      <c r="AP838" s="216" t="n"/>
      <c r="AQ838" s="216" t="n"/>
      <c r="AR838" s="214" t="inlineStr">
        <is>
          <t>Nhóm 1</t>
        </is>
      </c>
      <c r="AS838" s="214" t="n"/>
      <c r="AT838" s="214" t="inlineStr">
        <is>
          <t>HM23</t>
        </is>
      </c>
      <c r="AU838" s="214" t="inlineStr">
        <is>
          <t>NTCV</t>
        </is>
      </c>
      <c r="AV838" s="214" t="n">
        <v>294</v>
      </c>
      <c r="AW838" s="214" t="n">
        <v>3</v>
      </c>
      <c r="AX838" s="214" t="n"/>
    </row>
    <row r="839">
      <c r="A839" s="56" t="inlineStr">
        <is>
          <t>BBK096</t>
        </is>
      </c>
      <c r="B839" s="56" t="inlineStr">
        <is>
          <t>PL04</t>
        </is>
      </c>
      <c r="C839" s="56" t="inlineStr">
        <is>
          <t>BBK096.0574665</t>
        </is>
      </c>
      <c r="D839" s="57" t="n"/>
      <c r="E839" s="57" t="n"/>
      <c r="F839" s="57" t="n"/>
      <c r="G839" s="57" t="n"/>
      <c r="H839" s="57" t="n"/>
      <c r="J839" s="198" t="inlineStr">
        <is>
          <t>12</t>
        </is>
      </c>
      <c r="K839" s="198" t="inlineStr">
        <is>
          <t>PL04</t>
        </is>
      </c>
      <c r="L839" s="199" t="inlineStr">
        <is>
          <t>Nghiệm thu lồng thép cọc khoan nhồi trước khi hạ</t>
        </is>
      </c>
      <c r="M839" s="199" t="n"/>
      <c r="N839" s="199" t="n"/>
      <c r="O839" s="200" t="inlineStr">
        <is>
          <t>Cầu Km19+529.080</t>
        </is>
      </c>
      <c r="P839" s="201" t="n"/>
      <c r="Q839" s="201" t="n"/>
      <c r="R839" s="201" t="n"/>
      <c r="S839" s="201">
        <f>S838</f>
        <v/>
      </c>
      <c r="T839" s="201" t="n"/>
      <c r="U839" s="201" t="n"/>
      <c r="V839" s="201" t="n"/>
      <c r="W839" s="202" t="n"/>
      <c r="X839" s="202" t="n"/>
      <c r="Y839" s="202" t="n"/>
      <c r="Z839" s="198" t="inlineStr">
        <is>
          <t>04</t>
        </is>
      </c>
      <c r="AA839" s="203" t="n"/>
      <c r="AB839" s="204" t="inlineStr">
        <is>
          <t>09-XL-307HG/PYCNT/CKN/M2/C1-1</t>
        </is>
      </c>
      <c r="AC839" s="204">
        <f>AC838</f>
        <v/>
      </c>
      <c r="AD839" s="204" t="n"/>
      <c r="AE839" s="204" t="n"/>
      <c r="AF839" s="204" t="n"/>
      <c r="AG839" s="204" t="n"/>
      <c r="AH839" s="204" t="inlineStr">
        <is>
          <t>M2</t>
        </is>
      </c>
      <c r="AI839" s="207" t="n"/>
      <c r="AJ839" s="202" t="n"/>
      <c r="AK839" s="206" t="n"/>
      <c r="AL839" s="202" t="n"/>
      <c r="AM839" s="202" t="n"/>
      <c r="AN839" s="202" t="n"/>
      <c r="AO839" s="202" t="n"/>
      <c r="AP839" s="207" t="n"/>
      <c r="AQ839" s="207" t="n"/>
      <c r="AR839" s="202" t="inlineStr">
        <is>
          <t>Nhóm 1</t>
        </is>
      </c>
      <c r="AS839" s="202" t="n"/>
      <c r="AT839" s="202" t="inlineStr">
        <is>
          <t>HM23</t>
        </is>
      </c>
      <c r="AU839" s="202" t="inlineStr">
        <is>
          <t>PL04</t>
        </is>
      </c>
      <c r="AV839" s="202" t="n">
        <v>22</v>
      </c>
      <c r="AW839" s="202" t="n">
        <v>1</v>
      </c>
      <c r="AX839" s="202" t="n"/>
    </row>
    <row r="840" ht="28" customHeight="1" s="672">
      <c r="A840" s="56" t="inlineStr">
        <is>
          <t>NTCV</t>
        </is>
      </c>
      <c r="B840" s="56" t="inlineStr">
        <is>
          <t>K.9999</t>
        </is>
      </c>
      <c r="C840" s="56" t="inlineStr">
        <is>
          <t>NTCV.0059677</t>
        </is>
      </c>
      <c r="D840" s="57" t="n"/>
      <c r="E840" s="57" t="n"/>
      <c r="F840" s="57" t="n"/>
      <c r="G840" s="57" t="n"/>
      <c r="H840" s="57" t="n"/>
      <c r="J840" s="209" t="inlineStr">
        <is>
          <t>13</t>
        </is>
      </c>
      <c r="K840" s="209" t="inlineStr">
        <is>
          <t>K.9999</t>
        </is>
      </c>
      <c r="L840" s="210" t="inlineStr">
        <is>
          <t xml:space="preserve">Kiểm tra công tác khoan tạo lỗ cọc khoan nhồi </t>
        </is>
      </c>
      <c r="M840" s="210" t="n"/>
      <c r="N840" s="210" t="n"/>
      <c r="O840" s="211" t="inlineStr">
        <is>
          <t>Cầu Km19+529.080</t>
        </is>
      </c>
      <c r="P840" s="212">
        <f>S838</f>
        <v/>
      </c>
      <c r="Q840" s="212">
        <f>P840</f>
        <v/>
      </c>
      <c r="R840" s="212">
        <f>Q840-1</f>
        <v/>
      </c>
      <c r="S840" s="212">
        <f>Q840</f>
        <v/>
      </c>
      <c r="T840" s="213">
        <f>U838</f>
        <v/>
      </c>
      <c r="U840" s="213">
        <f>T840+V840</f>
        <v/>
      </c>
      <c r="V840" s="213" t="n">
        <v>0.3402777777777778</v>
      </c>
      <c r="W840" s="214">
        <f>TEXT(T840,"HH""h""MM'")&amp;"÷"&amp;TEXT(U840,"HH""h""MM'")</f>
        <v/>
      </c>
      <c r="X840" s="214" t="n"/>
      <c r="Y840" s="214" t="n"/>
      <c r="Z840" s="214" t="inlineStr">
        <is>
          <t>05;</t>
        </is>
      </c>
      <c r="AA840" s="215" t="inlineStr">
        <is>
          <t>Kiểm tra công tác khoan tạo lỗ Cọc khoan nhồi Mố M2 - Cọc C1</t>
        </is>
      </c>
      <c r="AB840" s="204" t="inlineStr">
        <is>
          <t>09-XL-307HG/PYCNT/CKN/M2/C1-1</t>
        </is>
      </c>
      <c r="AC840" s="204" t="inlineStr">
        <is>
          <t>09-XL-307HG/BBNT/CKN/M2/C1-5</t>
        </is>
      </c>
      <c r="AD840" s="204" t="n"/>
      <c r="AE840" s="204" t="n"/>
      <c r="AF840" s="204" t="n"/>
      <c r="AG840" s="204" t="n"/>
      <c r="AH840" s="204" t="n"/>
      <c r="AI840" s="216" t="n"/>
      <c r="AJ840" s="214" t="n"/>
      <c r="AK840" s="217" t="n"/>
      <c r="AL840" s="214" t="n"/>
      <c r="AM840" s="214" t="n"/>
      <c r="AN840" s="214" t="n"/>
      <c r="AO840" s="214" t="n"/>
      <c r="AP840" s="216" t="n"/>
      <c r="AQ840" s="216" t="n"/>
      <c r="AR840" s="214" t="inlineStr">
        <is>
          <t>Nhóm 1</t>
        </is>
      </c>
      <c r="AS840" s="214" t="n"/>
      <c r="AT840" s="214" t="inlineStr">
        <is>
          <t>HM23</t>
        </is>
      </c>
      <c r="AU840" s="214" t="inlineStr">
        <is>
          <t>NTCV</t>
        </is>
      </c>
      <c r="AV840" s="214" t="n">
        <v>295</v>
      </c>
      <c r="AW840" s="214" t="n">
        <v>4</v>
      </c>
      <c r="AX840" s="214" t="n"/>
    </row>
    <row r="841">
      <c r="A841" s="56" t="inlineStr">
        <is>
          <t>BBK638</t>
        </is>
      </c>
      <c r="B841" s="56" t="inlineStr">
        <is>
          <t>PL05</t>
        </is>
      </c>
      <c r="C841" s="56" t="inlineStr">
        <is>
          <t>BBK638.0412440</t>
        </is>
      </c>
      <c r="D841" s="57" t="n"/>
      <c r="E841" s="57" t="n"/>
      <c r="F841" s="57" t="n"/>
      <c r="G841" s="57" t="n"/>
      <c r="H841" s="57" t="n"/>
      <c r="J841" s="198" t="inlineStr">
        <is>
          <t>14</t>
        </is>
      </c>
      <c r="K841" s="198" t="inlineStr">
        <is>
          <t>PL05</t>
        </is>
      </c>
      <c r="L841" s="199" t="inlineStr">
        <is>
          <t>Kiểm tra công tác khoan tạo lỗ cọc khoan nhồi</t>
        </is>
      </c>
      <c r="M841" s="199" t="n"/>
      <c r="N841" s="199" t="n"/>
      <c r="O841" s="200" t="inlineStr">
        <is>
          <t>Cầu Km19+529.080</t>
        </is>
      </c>
      <c r="P841" s="201" t="n"/>
      <c r="Q841" s="201" t="n"/>
      <c r="R841" s="201" t="n"/>
      <c r="S841" s="201">
        <f>S840</f>
        <v/>
      </c>
      <c r="T841" s="208">
        <f>T840</f>
        <v/>
      </c>
      <c r="U841" s="208" t="n">
        <v>0.7152777777777778</v>
      </c>
      <c r="V841" s="208">
        <f>U841-T841</f>
        <v/>
      </c>
      <c r="W841" s="202" t="n"/>
      <c r="X841" s="202" t="n"/>
      <c r="Y841" s="202" t="n"/>
      <c r="Z841" s="198" t="inlineStr">
        <is>
          <t>05</t>
        </is>
      </c>
      <c r="AA841" s="203" t="n"/>
      <c r="AB841" s="204" t="inlineStr">
        <is>
          <t>09-XL-307HG/PYCNT/CKN/M2/C1</t>
        </is>
      </c>
      <c r="AC841" s="204">
        <f>AC840</f>
        <v/>
      </c>
      <c r="AD841" s="204" t="n"/>
      <c r="AE841" s="204" t="n"/>
      <c r="AF841" s="255" t="n">
        <v>188.836</v>
      </c>
      <c r="AG841" s="255" t="n"/>
      <c r="AH841" s="204" t="inlineStr">
        <is>
          <t>M2-C1</t>
        </is>
      </c>
      <c r="AI841" s="207" t="n"/>
      <c r="AJ841" s="202" t="n"/>
      <c r="AK841" s="206" t="n"/>
      <c r="AL841" s="202" t="n"/>
      <c r="AM841" s="202" t="n"/>
      <c r="AN841" s="202" t="n"/>
      <c r="AO841" s="202" t="n"/>
      <c r="AP841" s="207" t="n"/>
      <c r="AQ841" s="207" t="n"/>
      <c r="AR841" s="202" t="inlineStr">
        <is>
          <t>Nhóm 1</t>
        </is>
      </c>
      <c r="AS841" s="202" t="n"/>
      <c r="AT841" s="202" t="inlineStr">
        <is>
          <t>HM23</t>
        </is>
      </c>
      <c r="AU841" s="202" t="inlineStr">
        <is>
          <t>PL05</t>
        </is>
      </c>
      <c r="AV841" s="202" t="n">
        <v>22</v>
      </c>
      <c r="AW841" s="202" t="n">
        <v>1</v>
      </c>
      <c r="AX841" s="202" t="n"/>
    </row>
    <row r="842">
      <c r="A842" s="56" t="inlineStr">
        <is>
          <t>BBK680</t>
        </is>
      </c>
      <c r="B842" s="56" t="inlineStr">
        <is>
          <t>PYC</t>
        </is>
      </c>
      <c r="C842" s="56" t="inlineStr">
        <is>
          <t>BBK680.0118249</t>
        </is>
      </c>
      <c r="D842" s="57" t="n"/>
      <c r="E842" s="57" t="n"/>
      <c r="F842" s="57" t="n"/>
      <c r="G842" s="57" t="n"/>
      <c r="H842" s="57" t="n"/>
      <c r="J842" s="198" t="inlineStr">
        <is>
          <t>15</t>
        </is>
      </c>
      <c r="K842" s="198" t="inlineStr">
        <is>
          <t>PYC</t>
        </is>
      </c>
      <c r="L842" s="199" t="inlineStr">
        <is>
          <t>Phiếu yêu cầu nghiệm thu</t>
        </is>
      </c>
      <c r="M842" s="199" t="n"/>
      <c r="N842" s="199" t="n"/>
      <c r="O842" s="200" t="inlineStr">
        <is>
          <t>Cầu Km19+529.080</t>
        </is>
      </c>
      <c r="P842" s="201" t="n"/>
      <c r="Q842" s="201" t="n"/>
      <c r="R842" s="201">
        <f>R843</f>
        <v/>
      </c>
      <c r="S842" s="201" t="n"/>
      <c r="T842" s="201" t="n"/>
      <c r="U842" s="201" t="n"/>
      <c r="V842" s="201" t="n"/>
      <c r="W842" s="202" t="n"/>
      <c r="X842" s="202" t="n"/>
      <c r="Y842" s="202" t="n"/>
      <c r="Z842" s="202" t="n"/>
      <c r="AA842" s="203" t="n"/>
      <c r="AB842" s="204" t="inlineStr">
        <is>
          <t>09-XL-307HG/PYCNT/CKN/M2/C1</t>
        </is>
      </c>
      <c r="AC842" s="205" t="inlineStr"/>
      <c r="AD842" s="205" t="n"/>
      <c r="AE842" s="205" t="n"/>
      <c r="AF842" s="205" t="n"/>
      <c r="AG842" s="205" t="inlineStr">
        <is>
          <t>NTCV;BBKTĐK</t>
        </is>
      </c>
      <c r="AH842" s="204" t="inlineStr">
        <is>
          <t>&gt;=6;&lt;=10</t>
        </is>
      </c>
      <c r="AI842" s="202" t="n"/>
      <c r="AJ842" s="202" t="n"/>
      <c r="AK842" s="206" t="n"/>
      <c r="AL842" s="202" t="n"/>
      <c r="AM842" s="202" t="n"/>
      <c r="AN842" s="202" t="n"/>
      <c r="AO842" s="202" t="n"/>
      <c r="AP842" s="207" t="n"/>
      <c r="AQ842" s="207" t="n"/>
      <c r="AR842" s="202" t="inlineStr">
        <is>
          <t>Nhóm 1</t>
        </is>
      </c>
      <c r="AS842" s="202" t="n"/>
      <c r="AT842" s="202" t="inlineStr">
        <is>
          <t>HM23</t>
        </is>
      </c>
      <c r="AU842" s="202" t="inlineStr">
        <is>
          <t>PYC</t>
        </is>
      </c>
      <c r="AV842" s="202" t="n">
        <v>218</v>
      </c>
      <c r="AW842" s="202" t="n">
        <v>2</v>
      </c>
      <c r="AX842" s="202" t="n"/>
    </row>
    <row r="843" ht="42" customHeight="1" s="672">
      <c r="A843" s="56" t="inlineStr">
        <is>
          <t>NTCV</t>
        </is>
      </c>
      <c r="B843" s="56" t="inlineStr">
        <is>
          <t>K.9999</t>
        </is>
      </c>
      <c r="C843" s="56" t="inlineStr">
        <is>
          <t>NTCV.0146026</t>
        </is>
      </c>
      <c r="D843" s="57" t="n"/>
      <c r="E843" s="57" t="n"/>
      <c r="F843" s="57" t="n"/>
      <c r="G843" s="57" t="n"/>
      <c r="H843" s="57" t="n"/>
      <c r="J843" s="209" t="inlineStr">
        <is>
          <t>16</t>
        </is>
      </c>
      <c r="K843" s="209" t="inlineStr">
        <is>
          <t>K.9999</t>
        </is>
      </c>
      <c r="L843" s="210" t="inlineStr">
        <is>
          <t>Kiểm tra công tác vệ sinh lỗ khoan trước khi hạ lồng cốt thép cọc khoan nhồi</t>
        </is>
      </c>
      <c r="M843" s="210" t="n"/>
      <c r="N843" s="210" t="n"/>
      <c r="O843" s="211" t="inlineStr">
        <is>
          <t>Cầu Km19+529.080</t>
        </is>
      </c>
      <c r="P843" s="212">
        <f>S840+1</f>
        <v/>
      </c>
      <c r="Q843" s="212">
        <f>P843</f>
        <v/>
      </c>
      <c r="R843" s="212">
        <f>Q843-1</f>
        <v/>
      </c>
      <c r="S843" s="212">
        <f>Q843</f>
        <v/>
      </c>
      <c r="T843" s="213" t="n">
        <v>0.3333333333333333</v>
      </c>
      <c r="U843" s="213">
        <f>T843+V843</f>
        <v/>
      </c>
      <c r="V843" s="213" t="n">
        <v>0.01041666666666667</v>
      </c>
      <c r="W843" s="214">
        <f>TEXT(T843,"HH""h""MM'")&amp;"÷"&amp;TEXT(U843,"HH""h""MM'")</f>
        <v/>
      </c>
      <c r="X843" s="214" t="n"/>
      <c r="Y843" s="214" t="n"/>
      <c r="Z843" s="214" t="inlineStr">
        <is>
          <t>06;</t>
        </is>
      </c>
      <c r="AA843" s="215" t="inlineStr">
        <is>
          <t>Kiểm tra công tác vệ sinh lỗ khoan trước khi hạ lồng cốt thép Cọc khoan nhồi Mố M2 - Cọc C1</t>
        </is>
      </c>
      <c r="AB843" s="204" t="inlineStr">
        <is>
          <t>09-XL-307HG/PYCNT/CKN/M2/C1-2</t>
        </is>
      </c>
      <c r="AC843" s="204" t="inlineStr">
        <is>
          <t>09-XL-307HG/BBNT/CKN/M2/C1-6</t>
        </is>
      </c>
      <c r="AD843" s="204" t="n"/>
      <c r="AE843" s="204" t="n"/>
      <c r="AF843" s="204" t="n"/>
      <c r="AG843" s="204" t="n"/>
      <c r="AH843" s="204" t="n"/>
      <c r="AI843" s="216" t="n"/>
      <c r="AJ843" s="214" t="n"/>
      <c r="AK843" s="217" t="n"/>
      <c r="AL843" s="214" t="n"/>
      <c r="AM843" s="214" t="n"/>
      <c r="AN843" s="214" t="n"/>
      <c r="AO843" s="214" t="n"/>
      <c r="AP843" s="216" t="n"/>
      <c r="AQ843" s="216" t="n"/>
      <c r="AR843" s="214" t="inlineStr">
        <is>
          <t>Nhóm 1</t>
        </is>
      </c>
      <c r="AS843" s="214" t="n"/>
      <c r="AT843" s="214" t="inlineStr">
        <is>
          <t>HM23</t>
        </is>
      </c>
      <c r="AU843" s="214" t="inlineStr">
        <is>
          <t>NTCV</t>
        </is>
      </c>
      <c r="AV843" s="214" t="n">
        <v>301</v>
      </c>
      <c r="AW843" s="214" t="n">
        <v>5</v>
      </c>
      <c r="AX843" s="214" t="n"/>
    </row>
    <row r="844" ht="28" customHeight="1" s="672">
      <c r="A844" s="56" t="inlineStr">
        <is>
          <t>BBK570</t>
        </is>
      </c>
      <c r="B844" s="56" t="inlineStr">
        <is>
          <t>PL06</t>
        </is>
      </c>
      <c r="C844" s="56" t="inlineStr">
        <is>
          <t>BBK570.0314586</t>
        </is>
      </c>
      <c r="D844" s="57" t="n"/>
      <c r="E844" s="57" t="n"/>
      <c r="F844" s="57" t="n"/>
      <c r="G844" s="57" t="n"/>
      <c r="H844" s="57" t="n"/>
      <c r="J844" s="198" t="inlineStr">
        <is>
          <t>17</t>
        </is>
      </c>
      <c r="K844" s="198" t="inlineStr">
        <is>
          <t>PL06</t>
        </is>
      </c>
      <c r="L844" s="199" t="inlineStr">
        <is>
          <t>Kiểm tra công tác vệ sinh lỗ khoan trước khi hạ lồng cốt thép cọc khoan nhồi</t>
        </is>
      </c>
      <c r="M844" s="199" t="n"/>
      <c r="N844" s="199" t="n"/>
      <c r="O844" s="200" t="inlineStr">
        <is>
          <t>Cầu Km19+529.080</t>
        </is>
      </c>
      <c r="P844" s="201" t="n"/>
      <c r="Q844" s="201" t="n"/>
      <c r="R844" s="201" t="n"/>
      <c r="S844" s="201">
        <f>S843</f>
        <v/>
      </c>
      <c r="T844" s="201" t="n"/>
      <c r="U844" s="201" t="n"/>
      <c r="V844" s="201" t="n"/>
      <c r="W844" s="202" t="n"/>
      <c r="X844" s="265" t="n">
        <v>150.836</v>
      </c>
      <c r="Y844" s="265">
        <f>X844-0.02</f>
        <v/>
      </c>
      <c r="Z844" s="198" t="inlineStr">
        <is>
          <t>06</t>
        </is>
      </c>
      <c r="AA844" s="203" t="n"/>
      <c r="AB844" s="204" t="inlineStr">
        <is>
          <t>09-XL-307HG/PYCNT/CKN/M2/C1-2</t>
        </is>
      </c>
      <c r="AC844" s="204">
        <f>AC843</f>
        <v/>
      </c>
      <c r="AD844" s="204" t="n"/>
      <c r="AE844" s="204" t="n"/>
      <c r="AF844" s="204" t="n"/>
      <c r="AG844" s="204" t="n"/>
      <c r="AH844" s="204" t="n"/>
      <c r="AI844" s="202" t="n"/>
      <c r="AJ844" s="202" t="n"/>
      <c r="AK844" s="206" t="n"/>
      <c r="AL844" s="202" t="n"/>
      <c r="AM844" s="202" t="n"/>
      <c r="AN844" s="202" t="n"/>
      <c r="AO844" s="202" t="n"/>
      <c r="AP844" s="207" t="n"/>
      <c r="AQ844" s="207" t="n"/>
      <c r="AR844" s="202" t="inlineStr">
        <is>
          <t>Nhóm 1</t>
        </is>
      </c>
      <c r="AS844" s="202" t="n"/>
      <c r="AT844" s="202" t="inlineStr">
        <is>
          <t>HM23</t>
        </is>
      </c>
      <c r="AU844" s="202" t="inlineStr">
        <is>
          <t>PL06</t>
        </is>
      </c>
      <c r="AV844" s="202" t="n">
        <v>22</v>
      </c>
      <c r="AW844" s="202" t="n">
        <v>1</v>
      </c>
      <c r="AX844" s="202" t="n"/>
    </row>
    <row r="845" ht="28" customHeight="1" s="672">
      <c r="A845" s="56" t="inlineStr">
        <is>
          <t>NTCV</t>
        </is>
      </c>
      <c r="B845" s="56" t="inlineStr">
        <is>
          <t>K.9999</t>
        </is>
      </c>
      <c r="C845" s="56" t="inlineStr">
        <is>
          <t>NTCV.0990732</t>
        </is>
      </c>
      <c r="D845" s="57" t="n"/>
      <c r="E845" s="57" t="n"/>
      <c r="F845" s="57" t="n"/>
      <c r="G845" s="57" t="n"/>
      <c r="H845" s="57" t="n"/>
      <c r="J845" s="209" t="inlineStr">
        <is>
          <t>18</t>
        </is>
      </c>
      <c r="K845" s="209" t="inlineStr">
        <is>
          <t>K.9999</t>
        </is>
      </c>
      <c r="L845" s="210" t="inlineStr">
        <is>
          <t xml:space="preserve">Nghiệm thu công tác hạ lồng thép </t>
        </is>
      </c>
      <c r="M845" s="210" t="n"/>
      <c r="N845" s="210" t="n"/>
      <c r="O845" s="211" t="inlineStr">
        <is>
          <t>Cầu Km19+529.080</t>
        </is>
      </c>
      <c r="P845" s="212">
        <f>S843</f>
        <v/>
      </c>
      <c r="Q845" s="212">
        <f>P845</f>
        <v/>
      </c>
      <c r="R845" s="212">
        <f>Q845-1</f>
        <v/>
      </c>
      <c r="S845" s="212">
        <f>Q845</f>
        <v/>
      </c>
      <c r="T845" s="213">
        <f>U843</f>
        <v/>
      </c>
      <c r="U845" s="213">
        <f>T845+V845</f>
        <v/>
      </c>
      <c r="V845" s="213" t="n">
        <v>0.03125</v>
      </c>
      <c r="W845" s="214">
        <f>TEXT(T845,"HH""h""MM'")&amp;"÷"&amp;TEXT(U845,"HH""h""MM'")</f>
        <v/>
      </c>
      <c r="X845" s="214" t="n"/>
      <c r="Y845" s="214" t="n"/>
      <c r="Z845" s="214" t="inlineStr">
        <is>
          <t>07;</t>
        </is>
      </c>
      <c r="AA845" s="215" t="inlineStr">
        <is>
          <t>Công tác hạ lồng thép Cọc khoan nhồi Mố M2 - Cọc C1</t>
        </is>
      </c>
      <c r="AB845" s="204" t="inlineStr">
        <is>
          <t>09-XL-307HG/PYCNT/CKN/M2/C1-2</t>
        </is>
      </c>
      <c r="AC845" s="204" t="inlineStr">
        <is>
          <t>09-XL-307HG/BBNT/CKN/M2/C1-7</t>
        </is>
      </c>
      <c r="AD845" s="204" t="n"/>
      <c r="AE845" s="204" t="n"/>
      <c r="AF845" s="204" t="n"/>
      <c r="AG845" s="204" t="n"/>
      <c r="AH845" s="204" t="n"/>
      <c r="AI845" s="214" t="n"/>
      <c r="AJ845" s="214" t="n"/>
      <c r="AK845" s="217" t="n"/>
      <c r="AL845" s="214" t="n"/>
      <c r="AM845" s="214" t="n"/>
      <c r="AN845" s="214" t="n"/>
      <c r="AO845" s="214" t="n"/>
      <c r="AP845" s="216" t="n"/>
      <c r="AQ845" s="216" t="n"/>
      <c r="AR845" s="214" t="inlineStr">
        <is>
          <t>Nhóm 1</t>
        </is>
      </c>
      <c r="AS845" s="214" t="n"/>
      <c r="AT845" s="214" t="inlineStr">
        <is>
          <t>HM23</t>
        </is>
      </c>
      <c r="AU845" s="214" t="inlineStr">
        <is>
          <t>NTCV</t>
        </is>
      </c>
      <c r="AV845" s="214" t="n">
        <v>303</v>
      </c>
      <c r="AW845" s="214" t="n">
        <v>6</v>
      </c>
      <c r="AX845" s="214" t="n"/>
    </row>
    <row r="846">
      <c r="A846" s="56" t="inlineStr">
        <is>
          <t>BBK396</t>
        </is>
      </c>
      <c r="B846" s="56" t="inlineStr">
        <is>
          <t>PL07</t>
        </is>
      </c>
      <c r="C846" s="56" t="inlineStr">
        <is>
          <t>BBK396.0604322</t>
        </is>
      </c>
      <c r="D846" s="57" t="n"/>
      <c r="E846" s="57" t="n"/>
      <c r="F846" s="57" t="n"/>
      <c r="G846" s="57" t="n"/>
      <c r="H846" s="57" t="n"/>
      <c r="J846" s="198" t="inlineStr">
        <is>
          <t>19</t>
        </is>
      </c>
      <c r="K846" s="198" t="inlineStr">
        <is>
          <t>PL07</t>
        </is>
      </c>
      <c r="L846" s="199" t="inlineStr">
        <is>
          <t>Nghiệm thu công tác hạ lồng thép</t>
        </is>
      </c>
      <c r="M846" s="199" t="n"/>
      <c r="N846" s="199" t="n"/>
      <c r="O846" s="200" t="inlineStr">
        <is>
          <t>Cầu Km19+529.080</t>
        </is>
      </c>
      <c r="P846" s="201" t="n"/>
      <c r="Q846" s="201" t="n"/>
      <c r="R846" s="201" t="n"/>
      <c r="S846" s="201">
        <f>S845</f>
        <v/>
      </c>
      <c r="T846" s="201" t="n"/>
      <c r="U846" s="201" t="n"/>
      <c r="V846" s="201" t="n"/>
      <c r="W846" s="202" t="n"/>
      <c r="X846" s="202" t="n"/>
      <c r="Y846" s="202" t="n"/>
      <c r="Z846" s="198" t="inlineStr">
        <is>
          <t>07</t>
        </is>
      </c>
      <c r="AA846" s="203" t="n"/>
      <c r="AB846" s="204" t="inlineStr">
        <is>
          <t>09-XL-307HG/PYCNT/CKN/M2/C1-2</t>
        </is>
      </c>
      <c r="AC846" s="204">
        <f>AC845</f>
        <v/>
      </c>
      <c r="AD846" s="204" t="n"/>
      <c r="AE846" s="204" t="n"/>
      <c r="AF846" s="204" t="n"/>
      <c r="AG846" s="204" t="n"/>
      <c r="AH846" s="204" t="n"/>
      <c r="AI846" s="202" t="n"/>
      <c r="AJ846" s="202" t="n"/>
      <c r="AK846" s="206" t="n"/>
      <c r="AL846" s="202" t="n"/>
      <c r="AM846" s="202" t="n"/>
      <c r="AN846" s="202" t="n"/>
      <c r="AO846" s="202" t="n"/>
      <c r="AP846" s="207" t="n"/>
      <c r="AQ846" s="207" t="n"/>
      <c r="AR846" s="202" t="inlineStr">
        <is>
          <t>Nhóm 1</t>
        </is>
      </c>
      <c r="AS846" s="202" t="n"/>
      <c r="AT846" s="202" t="inlineStr">
        <is>
          <t>HM23</t>
        </is>
      </c>
      <c r="AU846" s="202" t="inlineStr">
        <is>
          <t>PL07</t>
        </is>
      </c>
      <c r="AV846" s="202" t="n">
        <v>22</v>
      </c>
      <c r="AW846" s="202" t="n">
        <v>1</v>
      </c>
      <c r="AX846" s="202" t="n"/>
    </row>
    <row r="847" ht="42" customHeight="1" s="672">
      <c r="A847" s="56" t="inlineStr">
        <is>
          <t>NTCV</t>
        </is>
      </c>
      <c r="B847" s="56" t="inlineStr">
        <is>
          <t>K.9999</t>
        </is>
      </c>
      <c r="C847" s="56" t="inlineStr">
        <is>
          <t>NTCV.0274963</t>
        </is>
      </c>
      <c r="D847" s="57" t="n"/>
      <c r="E847" s="57" t="n"/>
      <c r="F847" s="57" t="n"/>
      <c r="G847" s="57" t="n"/>
      <c r="H847" s="57" t="n"/>
      <c r="J847" s="209" t="inlineStr">
        <is>
          <t>20</t>
        </is>
      </c>
      <c r="K847" s="209" t="inlineStr">
        <is>
          <t>K.9999</t>
        </is>
      </c>
      <c r="L847" s="210" t="inlineStr">
        <is>
          <t xml:space="preserve">Kiểm tra công tác vệ sinh lỗ khoan cọc khoan nhồi trước khi đổ bê tông </t>
        </is>
      </c>
      <c r="M847" s="210" t="n"/>
      <c r="N847" s="210" t="n"/>
      <c r="O847" s="211" t="inlineStr">
        <is>
          <t>Cầu Km19+529.080</t>
        </is>
      </c>
      <c r="P847" s="212">
        <f>S845</f>
        <v/>
      </c>
      <c r="Q847" s="212">
        <f>P847</f>
        <v/>
      </c>
      <c r="R847" s="212">
        <f>Q847-1</f>
        <v/>
      </c>
      <c r="S847" s="212">
        <f>Q847</f>
        <v/>
      </c>
      <c r="T847" s="213">
        <f>U845</f>
        <v/>
      </c>
      <c r="U847" s="213">
        <f>T847+V847</f>
        <v/>
      </c>
      <c r="V847" s="213" t="n">
        <v>0.02083333333333333</v>
      </c>
      <c r="W847" s="214">
        <f>TEXT(T847,"HH""h""MM'")&amp;"÷"&amp;TEXT(U847,"HH""h""MM'")</f>
        <v/>
      </c>
      <c r="X847" s="214" t="n"/>
      <c r="Y847" s="214" t="n"/>
      <c r="Z847" s="214" t="inlineStr">
        <is>
          <t>08;</t>
        </is>
      </c>
      <c r="AA847" s="215" t="inlineStr">
        <is>
          <t>Kiểm tra công tác vệ sinh lỗ khoan cọc khoan nhồi trước khi đổ bê tông Cọc khoan nhồi Mố M2 - Cọc C1</t>
        </is>
      </c>
      <c r="AB847" s="204" t="inlineStr">
        <is>
          <t>09-XL-307HG/PYCNT/CKN/M2/C1-2</t>
        </is>
      </c>
      <c r="AC847" s="204" t="inlineStr">
        <is>
          <t>09-XL-307HG/BBNT/CKN/M2/C1-8</t>
        </is>
      </c>
      <c r="AD847" s="204" t="n"/>
      <c r="AE847" s="204" t="n"/>
      <c r="AF847" s="204" t="n"/>
      <c r="AG847" s="204" t="n"/>
      <c r="AH847" s="204" t="n"/>
      <c r="AI847" s="214" t="n"/>
      <c r="AJ847" s="214" t="n"/>
      <c r="AK847" s="217" t="n"/>
      <c r="AL847" s="214" t="n"/>
      <c r="AM847" s="214" t="n"/>
      <c r="AN847" s="214" t="n"/>
      <c r="AO847" s="214" t="n"/>
      <c r="AP847" s="216" t="n"/>
      <c r="AQ847" s="216" t="n"/>
      <c r="AR847" s="214" t="inlineStr">
        <is>
          <t>Nhóm 1</t>
        </is>
      </c>
      <c r="AS847" s="214" t="n"/>
      <c r="AT847" s="214" t="inlineStr">
        <is>
          <t>HM23</t>
        </is>
      </c>
      <c r="AU847" s="214" t="inlineStr">
        <is>
          <t>NTCV</t>
        </is>
      </c>
      <c r="AV847" s="214" t="n">
        <v>307</v>
      </c>
      <c r="AW847" s="214" t="n">
        <v>7</v>
      </c>
      <c r="AX847" s="214" t="n"/>
    </row>
    <row r="848" ht="28" customHeight="1" s="672">
      <c r="A848" s="56" t="inlineStr">
        <is>
          <t>BBK521</t>
        </is>
      </c>
      <c r="B848" s="56" t="inlineStr">
        <is>
          <t>PL08</t>
        </is>
      </c>
      <c r="C848" s="56" t="inlineStr">
        <is>
          <t>BBK521.0416300</t>
        </is>
      </c>
      <c r="D848" s="57" t="n"/>
      <c r="E848" s="57" t="n"/>
      <c r="F848" s="57" t="n"/>
      <c r="G848" s="57" t="n"/>
      <c r="H848" s="57" t="n"/>
      <c r="J848" s="198" t="inlineStr">
        <is>
          <t>21</t>
        </is>
      </c>
      <c r="K848" s="198" t="inlineStr">
        <is>
          <t>PL08</t>
        </is>
      </c>
      <c r="L848" s="199" t="inlineStr">
        <is>
          <t>Kiểm tra công tác vệ sinh lỗ khoan cọc khoan nhồi trước khi đổ bê tông</t>
        </is>
      </c>
      <c r="M848" s="199" t="n"/>
      <c r="N848" s="199" t="n"/>
      <c r="O848" s="200" t="inlineStr">
        <is>
          <t>Cầu Km19+529.080</t>
        </is>
      </c>
      <c r="P848" s="201" t="n"/>
      <c r="Q848" s="201" t="n"/>
      <c r="R848" s="201" t="n"/>
      <c r="S848" s="201">
        <f>S847</f>
        <v/>
      </c>
      <c r="T848" s="201" t="n"/>
      <c r="U848" s="201" t="n"/>
      <c r="V848" s="201" t="n"/>
      <c r="W848" s="202" t="n"/>
      <c r="X848" s="202" t="n"/>
      <c r="Y848" s="202" t="n"/>
      <c r="Z848" s="198" t="inlineStr">
        <is>
          <t>08</t>
        </is>
      </c>
      <c r="AA848" s="203" t="n"/>
      <c r="AB848" s="204" t="inlineStr">
        <is>
          <t>09-XL-307HG/PYCNT/CKN/M2/C1-2</t>
        </is>
      </c>
      <c r="AC848" s="204">
        <f>AC847</f>
        <v/>
      </c>
      <c r="AD848" s="204" t="n"/>
      <c r="AE848" s="204" t="n"/>
      <c r="AF848" s="204" t="n"/>
      <c r="AG848" s="204" t="n"/>
      <c r="AH848" s="204" t="n"/>
      <c r="AI848" s="202" t="n"/>
      <c r="AJ848" s="202" t="n"/>
      <c r="AK848" s="206" t="n"/>
      <c r="AL848" s="202" t="n"/>
      <c r="AM848" s="202" t="n"/>
      <c r="AN848" s="202" t="n"/>
      <c r="AO848" s="202" t="n"/>
      <c r="AP848" s="207" t="n"/>
      <c r="AQ848" s="207" t="n"/>
      <c r="AR848" s="202" t="inlineStr">
        <is>
          <t>Nhóm 1</t>
        </is>
      </c>
      <c r="AS848" s="202" t="n"/>
      <c r="AT848" s="202" t="inlineStr">
        <is>
          <t>HM23</t>
        </is>
      </c>
      <c r="AU848" s="202" t="inlineStr">
        <is>
          <t>PL08</t>
        </is>
      </c>
      <c r="AV848" s="202" t="n">
        <v>22</v>
      </c>
      <c r="AW848" s="202" t="n">
        <v>1</v>
      </c>
      <c r="AX848" s="202" t="n"/>
    </row>
    <row r="849" ht="28" customHeight="1" s="672">
      <c r="A849" s="56" t="inlineStr">
        <is>
          <t>NTCV</t>
        </is>
      </c>
      <c r="B849" s="56" t="inlineStr">
        <is>
          <t>K.9999</t>
        </is>
      </c>
      <c r="C849" s="56" t="inlineStr">
        <is>
          <t>NTCV.0470012</t>
        </is>
      </c>
      <c r="D849" s="57" t="n"/>
      <c r="E849" s="57" t="n"/>
      <c r="F849" s="57" t="n"/>
      <c r="G849" s="57" t="n"/>
      <c r="H849" s="57" t="n"/>
      <c r="J849" s="209" t="inlineStr">
        <is>
          <t>22</t>
        </is>
      </c>
      <c r="K849" s="209" t="inlineStr">
        <is>
          <t>K.9999</t>
        </is>
      </c>
      <c r="L849" s="210" t="inlineStr">
        <is>
          <t xml:space="preserve">Kiểm tra công tác chuẩn bị đổ bê tông cọc khoan nhồi </t>
        </is>
      </c>
      <c r="M849" s="210" t="n"/>
      <c r="N849" s="210" t="n"/>
      <c r="O849" s="211" t="inlineStr">
        <is>
          <t>Cầu Km19+529.080</t>
        </is>
      </c>
      <c r="P849" s="212">
        <f>S847</f>
        <v/>
      </c>
      <c r="Q849" s="212">
        <f>P849</f>
        <v/>
      </c>
      <c r="R849" s="212">
        <f>Q849-1</f>
        <v/>
      </c>
      <c r="S849" s="212">
        <f>Q849</f>
        <v/>
      </c>
      <c r="T849" s="213">
        <f>U847</f>
        <v/>
      </c>
      <c r="U849" s="213">
        <f>T849+V849</f>
        <v/>
      </c>
      <c r="V849" s="213" t="n">
        <v>0.02083333333333333</v>
      </c>
      <c r="W849" s="214">
        <f>TEXT(T849,"HH""h""MM'")&amp;"÷"&amp;TEXT(U849,"HH""h""MM'")</f>
        <v/>
      </c>
      <c r="X849" s="214" t="n"/>
      <c r="Y849" s="214" t="n"/>
      <c r="Z849" s="214" t="inlineStr">
        <is>
          <t>09;</t>
        </is>
      </c>
      <c r="AA849" s="215" t="inlineStr">
        <is>
          <t>Kiểm tra công tác chuẩn bị đổ bê tông Cọc khoan nhồi Mố M2 - Cọc C1</t>
        </is>
      </c>
      <c r="AB849" s="204" t="inlineStr">
        <is>
          <t>09-XL-307HG/PYCNT/CKN/M2/C1-2</t>
        </is>
      </c>
      <c r="AC849" s="204" t="inlineStr">
        <is>
          <t>09-XL-307HG/BBNT/CKN/M2/C1-9</t>
        </is>
      </c>
      <c r="AD849" s="204" t="n"/>
      <c r="AE849" s="204" t="n"/>
      <c r="AF849" s="204" t="n"/>
      <c r="AG849" s="204" t="n"/>
      <c r="AH849" s="204" t="n"/>
      <c r="AI849" s="214" t="n"/>
      <c r="AJ849" s="214" t="n"/>
      <c r="AK849" s="217" t="n"/>
      <c r="AL849" s="214" t="n"/>
      <c r="AM849" s="214" t="n"/>
      <c r="AN849" s="214" t="n"/>
      <c r="AO849" s="214" t="n"/>
      <c r="AP849" s="216" t="n"/>
      <c r="AQ849" s="216" t="n"/>
      <c r="AR849" s="214" t="inlineStr">
        <is>
          <t>Nhóm 1</t>
        </is>
      </c>
      <c r="AS849" s="214" t="n"/>
      <c r="AT849" s="214" t="inlineStr">
        <is>
          <t>HM23</t>
        </is>
      </c>
      <c r="AU849" s="214" t="inlineStr">
        <is>
          <t>NTCV</t>
        </is>
      </c>
      <c r="AV849" s="214" t="n">
        <v>310</v>
      </c>
      <c r="AW849" s="214" t="n">
        <v>8</v>
      </c>
      <c r="AX849" s="214" t="n"/>
    </row>
    <row r="850">
      <c r="A850" s="56" t="inlineStr">
        <is>
          <t>BBK209</t>
        </is>
      </c>
      <c r="B850" s="56" t="inlineStr">
        <is>
          <t>PL09</t>
        </is>
      </c>
      <c r="C850" s="56" t="inlineStr">
        <is>
          <t>BBK209.0063209</t>
        </is>
      </c>
      <c r="D850" s="57" t="n"/>
      <c r="E850" s="57" t="n"/>
      <c r="F850" s="57" t="n"/>
      <c r="G850" s="57" t="n"/>
      <c r="H850" s="57" t="n"/>
      <c r="J850" s="198" t="inlineStr">
        <is>
          <t>23</t>
        </is>
      </c>
      <c r="K850" s="198" t="inlineStr">
        <is>
          <t>PL09</t>
        </is>
      </c>
      <c r="L850" s="199" t="inlineStr">
        <is>
          <t>Kiểm tra công tác chuẩn bị đổ bê tông cọc khoan nhồi</t>
        </is>
      </c>
      <c r="M850" s="199" t="n"/>
      <c r="N850" s="199" t="n"/>
      <c r="O850" s="200" t="inlineStr">
        <is>
          <t>Cầu Km19+529.080</t>
        </is>
      </c>
      <c r="P850" s="201" t="n"/>
      <c r="Q850" s="201" t="n"/>
      <c r="R850" s="201" t="n"/>
      <c r="S850" s="201">
        <f>S849</f>
        <v/>
      </c>
      <c r="T850" s="201" t="n"/>
      <c r="U850" s="201" t="n"/>
      <c r="V850" s="201" t="n"/>
      <c r="W850" s="202" t="n"/>
      <c r="X850" s="202" t="n"/>
      <c r="Y850" s="202" t="n"/>
      <c r="Z850" s="198" t="inlineStr">
        <is>
          <t>09</t>
        </is>
      </c>
      <c r="AA850" s="203" t="n"/>
      <c r="AB850" s="204" t="inlineStr">
        <is>
          <t>09-XL-307HG/PYCNT/CKN/M2/C1-2</t>
        </is>
      </c>
      <c r="AC850" s="204">
        <f>AC849</f>
        <v/>
      </c>
      <c r="AD850" s="204" t="n"/>
      <c r="AE850" s="204" t="n"/>
      <c r="AF850" s="204" t="n"/>
      <c r="AG850" s="204" t="n"/>
      <c r="AH850" s="204" t="inlineStr">
        <is>
          <t>C30(1)</t>
        </is>
      </c>
      <c r="AI850" s="202" t="n"/>
      <c r="AJ850" s="202" t="n"/>
      <c r="AK850" s="206" t="n"/>
      <c r="AL850" s="202" t="n"/>
      <c r="AM850" s="202" t="n"/>
      <c r="AN850" s="202" t="n"/>
      <c r="AO850" s="202" t="n"/>
      <c r="AP850" s="207" t="n"/>
      <c r="AQ850" s="207" t="n"/>
      <c r="AR850" s="202" t="inlineStr">
        <is>
          <t>Nhóm 1</t>
        </is>
      </c>
      <c r="AS850" s="202" t="n"/>
      <c r="AT850" s="202" t="inlineStr">
        <is>
          <t>HM23</t>
        </is>
      </c>
      <c r="AU850" s="202" t="inlineStr">
        <is>
          <t>PL09</t>
        </is>
      </c>
      <c r="AV850" s="202" t="n">
        <v>22</v>
      </c>
      <c r="AW850" s="202" t="n">
        <v>1</v>
      </c>
      <c r="AX850" s="202" t="n"/>
    </row>
    <row r="851" ht="28" customHeight="1" s="672">
      <c r="A851" s="56" t="inlineStr">
        <is>
          <t>NTCV</t>
        </is>
      </c>
      <c r="B851" s="56" t="inlineStr">
        <is>
          <t>K.9999</t>
        </is>
      </c>
      <c r="C851" s="56" t="inlineStr">
        <is>
          <t>NTCV.0458119</t>
        </is>
      </c>
      <c r="D851" s="57" t="n"/>
      <c r="E851" s="57" t="n"/>
      <c r="F851" s="57" t="n"/>
      <c r="G851" s="57" t="n"/>
      <c r="H851" s="57" t="n"/>
      <c r="J851" s="209" t="inlineStr">
        <is>
          <t>24</t>
        </is>
      </c>
      <c r="K851" s="209" t="inlineStr">
        <is>
          <t>K.9999</t>
        </is>
      </c>
      <c r="L851" s="210" t="inlineStr">
        <is>
          <t>Theo dõi quá trình đổ bê tông cọc khoan nhồi</t>
        </is>
      </c>
      <c r="M851" s="210" t="n"/>
      <c r="N851" s="210" t="n"/>
      <c r="O851" s="211" t="inlineStr">
        <is>
          <t>Cầu Km19+529.080</t>
        </is>
      </c>
      <c r="P851" s="212">
        <f>S849</f>
        <v/>
      </c>
      <c r="Q851" s="212">
        <f>P851</f>
        <v/>
      </c>
      <c r="R851" s="212">
        <f>Q851-1</f>
        <v/>
      </c>
      <c r="S851" s="212">
        <f>Q851</f>
        <v/>
      </c>
      <c r="T851" s="213">
        <f>U849</f>
        <v/>
      </c>
      <c r="U851" s="213">
        <f>T851+V851</f>
        <v/>
      </c>
      <c r="V851" s="213" t="n">
        <v>0.1458333333333333</v>
      </c>
      <c r="W851" s="214">
        <f>TEXT(T851,"HH""h""MM'")&amp;"÷"&amp;TEXT(U851,"HH""h""MM'")</f>
        <v/>
      </c>
      <c r="X851" s="214" t="n"/>
      <c r="Y851" s="214" t="n"/>
      <c r="Z851" s="214" t="inlineStr">
        <is>
          <t>10;</t>
        </is>
      </c>
      <c r="AA851" s="215" t="inlineStr">
        <is>
          <t>Theo dõi quá trình đổ bê tông  Cọc khoan nhồi Mố M2 - Cọc C1</t>
        </is>
      </c>
      <c r="AB851" s="204" t="inlineStr">
        <is>
          <t>09-XL-307HG/PYCNT/CKN/M2/C1-2</t>
        </is>
      </c>
      <c r="AC851" s="204" t="inlineStr">
        <is>
          <t>09-XL-307HG/BBNT/CKN/M2/C1-10</t>
        </is>
      </c>
      <c r="AD851" s="204" t="n"/>
      <c r="AE851" s="204" t="n"/>
      <c r="AF851" s="204" t="n"/>
      <c r="AG851" s="204" t="n"/>
      <c r="AH851" s="204" t="n"/>
      <c r="AI851" s="214" t="n"/>
      <c r="AJ851" s="214" t="n"/>
      <c r="AK851" s="217" t="n"/>
      <c r="AL851" s="214" t="n"/>
      <c r="AM851" s="214" t="n"/>
      <c r="AN851" s="214" t="n"/>
      <c r="AO851" s="214" t="n"/>
      <c r="AP851" s="216" t="n"/>
      <c r="AQ851" s="216" t="n"/>
      <c r="AR851" s="214" t="inlineStr">
        <is>
          <t>Nhóm 1</t>
        </is>
      </c>
      <c r="AS851" s="214" t="n"/>
      <c r="AT851" s="214" t="inlineStr">
        <is>
          <t>HM23</t>
        </is>
      </c>
      <c r="AU851" s="214" t="inlineStr">
        <is>
          <t>NTCV</t>
        </is>
      </c>
      <c r="AV851" s="214" t="n">
        <v>311</v>
      </c>
      <c r="AW851" s="214" t="n">
        <v>9</v>
      </c>
      <c r="AX851" s="214" t="n"/>
    </row>
    <row r="852" ht="98" customHeight="1" s="672">
      <c r="A852" s="56" t="inlineStr">
        <is>
          <t>LMHT</t>
        </is>
      </c>
      <c r="B852" s="56" t="inlineStr">
        <is>
          <t>LMHT</t>
        </is>
      </c>
      <c r="C852" s="56" t="inlineStr">
        <is>
          <t>LMHT.0437391</t>
        </is>
      </c>
      <c r="D852" s="57" t="inlineStr">
        <is>
          <t>TC.000041|TC.000182|TC.000169.A</t>
        </is>
      </c>
      <c r="E852" s="57" t="n"/>
      <c r="F852" s="57" t="inlineStr">
        <is>
          <t>CP.0001^Cọc khoan nhồi Mố M2 - Cọc C1^Hình trụ 15x30 (cm)^12^30 Mpa, 18±2^^^TC.000041|TC.000182|TC.000169.A</t>
        </is>
      </c>
      <c r="G852" s="57" t="n"/>
      <c r="H852" s="57" t="inlineStr">
        <is>
          <t>^^A|C|J|O|S|X|Z^Stt|Hạng mục|Cấp bê tông|Kích thước mẫu|Số lượng mẫu|Ghi chú^|||||</t>
        </is>
      </c>
      <c r="J852" s="256" t="inlineStr">
        <is>
          <t>25</t>
        </is>
      </c>
      <c r="K852" s="256" t="inlineStr">
        <is>
          <t>LMHT</t>
        </is>
      </c>
      <c r="L852" s="257" t="inlineStr">
        <is>
          <t>Lấy mẫu bê tông Cọc khoan nhồi, 30(1) Mpa Mố M2 - Cọc C1</t>
        </is>
      </c>
      <c r="M852" s="257" t="n"/>
      <c r="N852" s="257" t="n"/>
      <c r="O852" s="258" t="inlineStr">
        <is>
          <t>Cầu Km19+529.080</t>
        </is>
      </c>
      <c r="P852" s="259" t="n"/>
      <c r="Q852" s="259" t="n"/>
      <c r="R852" s="259" t="n"/>
      <c r="S852" s="259">
        <f>S851</f>
        <v/>
      </c>
      <c r="T852" s="260">
        <f>T851</f>
        <v/>
      </c>
      <c r="U852" s="260">
        <f>U851</f>
        <v/>
      </c>
      <c r="V852" s="260">
        <f>V851</f>
        <v/>
      </c>
      <c r="W852" s="261">
        <f>TEXT(T852,"HH""h""MM'")&amp;"÷"&amp;TEXT(U852,"HH""h""MM'")</f>
        <v/>
      </c>
      <c r="X852" s="262" t="n"/>
      <c r="Y852" s="262" t="n"/>
      <c r="Z852" s="262" t="n"/>
      <c r="AA852" s="262" t="n"/>
      <c r="AB852" s="263" t="inlineStr">
        <is>
          <t>09-XL-307HG/PYCNT/CKN/M2/C1-2</t>
        </is>
      </c>
      <c r="AC852" s="263" t="inlineStr"/>
      <c r="AD852" s="264" t="n"/>
      <c r="AE852" s="264" t="n"/>
      <c r="AF852" s="264" t="n"/>
      <c r="AG852" s="264" t="n"/>
      <c r="AH852" s="264" t="n"/>
      <c r="AI852" s="257" t="n"/>
      <c r="AJ852" s="262" t="n"/>
      <c r="AK852" s="258" t="n"/>
      <c r="AL852" s="262" t="n"/>
      <c r="AM852" s="262" t="n"/>
      <c r="AN852" s="262" t="n"/>
      <c r="AO852" s="262" t="n"/>
      <c r="AP852" s="263" t="inlineStr">
        <is>
          <t>Bảng lấy mẫu CKN</t>
        </is>
      </c>
      <c r="AQ852" s="263" t="n"/>
      <c r="AR852" s="262" t="inlineStr">
        <is>
          <t>Nhóm 1</t>
        </is>
      </c>
      <c r="AS852" s="262" t="n"/>
      <c r="AT852" s="262" t="inlineStr">
        <is>
          <t>HM23</t>
        </is>
      </c>
      <c r="AU852" s="262" t="inlineStr">
        <is>
          <t>LMHT</t>
        </is>
      </c>
      <c r="AV852" s="262" t="n">
        <v>27</v>
      </c>
      <c r="AW852" s="262" t="n">
        <v>1</v>
      </c>
      <c r="AX852" s="262" t="inlineStr">
        <is>
          <t>Cọc M2-C1 [BT dòng 25]: chưa đến ngưỡng phát sinh lượt mẫu xi măng/cát/đá; mẫu bê tông cấu kiện vẫn theo F852.</t>
        </is>
      </c>
    </row>
    <row r="853">
      <c r="A853" s="56" t="inlineStr">
        <is>
          <t>BBK994</t>
        </is>
      </c>
      <c r="B853" s="56" t="inlineStr">
        <is>
          <t>PL10</t>
        </is>
      </c>
      <c r="C853" s="56" t="inlineStr">
        <is>
          <t>BBK994.0945070</t>
        </is>
      </c>
      <c r="D853" s="57" t="n"/>
      <c r="E853" s="57" t="n"/>
      <c r="F853" s="57" t="n"/>
      <c r="G853" s="57" t="n"/>
      <c r="H853" s="57" t="n"/>
      <c r="J853" s="198" t="inlineStr">
        <is>
          <t>26</t>
        </is>
      </c>
      <c r="K853" s="198" t="inlineStr">
        <is>
          <t>PL10</t>
        </is>
      </c>
      <c r="L853" s="199" t="inlineStr">
        <is>
          <t>Theo dõi quá trình đổ bê tông cọc khoan nhồi</t>
        </is>
      </c>
      <c r="M853" s="199" t="n"/>
      <c r="N853" s="199" t="n"/>
      <c r="O853" s="200" t="inlineStr">
        <is>
          <t>Cầu Km19+529.080</t>
        </is>
      </c>
      <c r="P853" s="201" t="n"/>
      <c r="Q853" s="201" t="n"/>
      <c r="R853" s="201" t="n"/>
      <c r="S853" s="201">
        <f>S851</f>
        <v/>
      </c>
      <c r="T853" s="201" t="n"/>
      <c r="U853" s="201" t="n"/>
      <c r="V853" s="201" t="n"/>
      <c r="W853" s="202" t="n"/>
      <c r="X853" s="202" t="n"/>
      <c r="Y853" s="202" t="n"/>
      <c r="Z853" s="198" t="inlineStr">
        <is>
          <t>10</t>
        </is>
      </c>
      <c r="AA853" s="203" t="n"/>
      <c r="AB853" s="204" t="inlineStr">
        <is>
          <t>09-XL-307HG/PYCNT/CKN/M2/C1-2</t>
        </is>
      </c>
      <c r="AC853" s="204">
        <f>AC851</f>
        <v/>
      </c>
      <c r="AD853" s="204" t="n"/>
      <c r="AE853" s="204" t="n"/>
      <c r="AF853" s="204" t="n"/>
      <c r="AG853" s="204" t="n"/>
      <c r="AH853" s="204" t="inlineStr">
        <is>
          <t>M2-C1</t>
        </is>
      </c>
      <c r="AI853" s="202" t="n"/>
      <c r="AJ853" s="202" t="n"/>
      <c r="AK853" s="206" t="n"/>
      <c r="AL853" s="202" t="n"/>
      <c r="AM853" s="202" t="n"/>
      <c r="AN853" s="202" t="n"/>
      <c r="AO853" s="202" t="n"/>
      <c r="AP853" s="207" t="n"/>
      <c r="AQ853" s="207" t="n"/>
      <c r="AR853" s="202" t="inlineStr">
        <is>
          <t>Nhóm 1</t>
        </is>
      </c>
      <c r="AS853" s="202" t="n"/>
      <c r="AT853" s="202" t="inlineStr">
        <is>
          <t>HM23</t>
        </is>
      </c>
      <c r="AU853" s="202" t="inlineStr">
        <is>
          <t>PL10</t>
        </is>
      </c>
      <c r="AV853" s="202" t="n">
        <v>22</v>
      </c>
      <c r="AW853" s="202" t="n">
        <v>1</v>
      </c>
      <c r="AX853" s="202" t="n"/>
    </row>
    <row r="854" ht="28" customHeight="1" s="672">
      <c r="A854" s="56" t="inlineStr">
        <is>
          <t>NTCV</t>
        </is>
      </c>
      <c r="B854" s="56" t="inlineStr">
        <is>
          <t>K.9999</t>
        </is>
      </c>
      <c r="C854" s="56" t="inlineStr">
        <is>
          <t>NTCV.0273045</t>
        </is>
      </c>
      <c r="D854" s="57" t="n"/>
      <c r="E854" s="57" t="n"/>
      <c r="F854" s="57" t="n"/>
      <c r="G854" s="57" t="n"/>
      <c r="H854" s="57" t="n"/>
      <c r="J854" s="209" t="inlineStr">
        <is>
          <t>27</t>
        </is>
      </c>
      <c r="K854" s="209" t="inlineStr">
        <is>
          <t>K.9999</t>
        </is>
      </c>
      <c r="L854" s="210" t="inlineStr">
        <is>
          <t xml:space="preserve"> Rút ống vách thi công cọc khoan nhồi</t>
        </is>
      </c>
      <c r="M854" s="210" t="n"/>
      <c r="N854" s="210" t="n"/>
      <c r="O854" s="211" t="inlineStr">
        <is>
          <t>Cầu Km19+529.080</t>
        </is>
      </c>
      <c r="P854" s="212">
        <f>S851</f>
        <v/>
      </c>
      <c r="Q854" s="212">
        <f>P854</f>
        <v/>
      </c>
      <c r="R854" s="212">
        <f>Q854-1</f>
        <v/>
      </c>
      <c r="S854" s="212">
        <f>Q854</f>
        <v/>
      </c>
      <c r="T854" s="213">
        <f>U851</f>
        <v/>
      </c>
      <c r="U854" s="213">
        <f>T854+V854</f>
        <v/>
      </c>
      <c r="V854" s="213" t="n">
        <v>0.01041666666666667</v>
      </c>
      <c r="W854" s="214">
        <f>TEXT(T854,"HH""h""MM'")&amp;"÷"&amp;TEXT(U854,"HH""h""MM'")</f>
        <v/>
      </c>
      <c r="X854" s="214" t="n"/>
      <c r="Y854" s="214" t="n"/>
      <c r="Z854" s="214" t="inlineStr">
        <is>
          <t>11;</t>
        </is>
      </c>
      <c r="AA854" s="215" t="inlineStr">
        <is>
          <t>Rút ống vách  Cọc khoan nhồi Mố M2 - Cọc C1</t>
        </is>
      </c>
      <c r="AB854" s="204" t="inlineStr">
        <is>
          <t>09-XL-307HG/PYCNT/CKN/M2/C1-2</t>
        </is>
      </c>
      <c r="AC854" s="204" t="inlineStr">
        <is>
          <t>09-XL-307HG/BBNT/CKN/M2/C1-11</t>
        </is>
      </c>
      <c r="AD854" s="204" t="n"/>
      <c r="AE854" s="204" t="n"/>
      <c r="AF854" s="204" t="n"/>
      <c r="AG854" s="204" t="n"/>
      <c r="AH854" s="204" t="n"/>
      <c r="AI854" s="214" t="n"/>
      <c r="AJ854" s="214" t="n"/>
      <c r="AK854" s="217" t="n"/>
      <c r="AL854" s="214" t="n"/>
      <c r="AM854" s="214" t="n"/>
      <c r="AN854" s="214" t="n"/>
      <c r="AO854" s="214" t="n"/>
      <c r="AP854" s="216" t="n"/>
      <c r="AQ854" s="216" t="n"/>
      <c r="AR854" s="214" t="inlineStr">
        <is>
          <t>Nhóm 1</t>
        </is>
      </c>
      <c r="AS854" s="214" t="n"/>
      <c r="AT854" s="214" t="inlineStr">
        <is>
          <t>HM23</t>
        </is>
      </c>
      <c r="AU854" s="214" t="inlineStr">
        <is>
          <t>NTCV</t>
        </is>
      </c>
      <c r="AV854" s="214" t="n">
        <v>312</v>
      </c>
      <c r="AW854" s="214" t="n">
        <v>10</v>
      </c>
      <c r="AX854" s="214" t="n"/>
    </row>
    <row r="855">
      <c r="A855" s="56" t="inlineStr">
        <is>
          <t>BBK544</t>
        </is>
      </c>
      <c r="B855" s="56" t="inlineStr">
        <is>
          <t>PL11</t>
        </is>
      </c>
      <c r="C855" s="56" t="inlineStr">
        <is>
          <t>BBK544.0173581</t>
        </is>
      </c>
      <c r="D855" s="57" t="n"/>
      <c r="E855" s="57" t="n"/>
      <c r="F855" s="57" t="n"/>
      <c r="G855" s="57" t="n"/>
      <c r="H855" s="57" t="n"/>
      <c r="J855" s="198" t="inlineStr">
        <is>
          <t>28</t>
        </is>
      </c>
      <c r="K855" s="198" t="inlineStr">
        <is>
          <t>PL11</t>
        </is>
      </c>
      <c r="L855" s="199" t="inlineStr">
        <is>
          <t>Rút ống vách thi công cọc khoan nhồi</t>
        </is>
      </c>
      <c r="M855" s="199" t="n"/>
      <c r="N855" s="199" t="n"/>
      <c r="O855" s="200" t="inlineStr">
        <is>
          <t>Cầu Km19+529.080</t>
        </is>
      </c>
      <c r="P855" s="201" t="n"/>
      <c r="Q855" s="201" t="n"/>
      <c r="R855" s="201" t="n"/>
      <c r="S855" s="201">
        <f>S854</f>
        <v/>
      </c>
      <c r="T855" s="201" t="n"/>
      <c r="U855" s="201" t="n"/>
      <c r="V855" s="201" t="n"/>
      <c r="W855" s="202" t="n"/>
      <c r="X855" s="202" t="n"/>
      <c r="Y855" s="202" t="n"/>
      <c r="Z855" s="198" t="inlineStr">
        <is>
          <t>11</t>
        </is>
      </c>
      <c r="AA855" s="203" t="n"/>
      <c r="AB855" s="204" t="inlineStr">
        <is>
          <t>09-XL-307HG/PYCNT/CKN/M2/C1-2</t>
        </is>
      </c>
      <c r="AC855" s="204">
        <f>AC854</f>
        <v/>
      </c>
      <c r="AD855" s="204" t="n"/>
      <c r="AE855" s="204" t="n"/>
      <c r="AF855" s="204" t="n"/>
      <c r="AG855" s="204" t="n"/>
      <c r="AH855" s="204" t="inlineStr">
        <is>
          <t>&gt;=610;&lt;=641</t>
        </is>
      </c>
      <c r="AI855" s="202" t="n"/>
      <c r="AJ855" s="202" t="n"/>
      <c r="AK855" s="206" t="n"/>
      <c r="AL855" s="202" t="n"/>
      <c r="AM855" s="202" t="n"/>
      <c r="AN855" s="202" t="n"/>
      <c r="AO855" s="202" t="n"/>
      <c r="AP855" s="207" t="n"/>
      <c r="AQ855" s="207" t="n"/>
      <c r="AR855" s="202" t="inlineStr">
        <is>
          <t>Nhóm 1</t>
        </is>
      </c>
      <c r="AS855" s="202" t="n"/>
      <c r="AT855" s="202" t="inlineStr">
        <is>
          <t>HM23</t>
        </is>
      </c>
      <c r="AU855" s="202" t="inlineStr">
        <is>
          <t>PL11</t>
        </is>
      </c>
      <c r="AV855" s="202" t="n">
        <v>22</v>
      </c>
      <c r="AW855" s="202" t="n">
        <v>1</v>
      </c>
      <c r="AX855" s="202" t="n"/>
    </row>
    <row r="856" ht="13" customHeight="1" s="672">
      <c r="A856" s="56" t="inlineStr">
        <is>
          <t>BBK680</t>
        </is>
      </c>
      <c r="B856" s="56" t="inlineStr">
        <is>
          <t>PYC</t>
        </is>
      </c>
      <c r="C856" s="56" t="inlineStr">
        <is>
          <t>BBK680.0506093</t>
        </is>
      </c>
      <c r="D856" s="57" t="n"/>
      <c r="E856" s="57" t="n"/>
      <c r="F856" s="57" t="n"/>
      <c r="G856" s="57" t="n"/>
      <c r="H856" s="57" t="n"/>
      <c r="J856" s="198" t="inlineStr">
        <is>
          <t>29</t>
        </is>
      </c>
      <c r="K856" s="198" t="inlineStr">
        <is>
          <t>PYC</t>
        </is>
      </c>
      <c r="L856" s="199" t="inlineStr">
        <is>
          <t>Phiếu yêu cầu nghiệm thu</t>
        </is>
      </c>
      <c r="M856" s="199" t="n"/>
      <c r="N856" s="199" t="n"/>
      <c r="O856" s="200" t="inlineStr">
        <is>
          <t>Cầu Km19+529.080</t>
        </is>
      </c>
      <c r="P856" s="201" t="n"/>
      <c r="Q856" s="201" t="n"/>
      <c r="R856" s="201">
        <f>R857</f>
        <v/>
      </c>
      <c r="S856" s="201" t="n"/>
      <c r="T856" s="201" t="n"/>
      <c r="U856" s="201" t="n"/>
      <c r="V856" s="201" t="n"/>
      <c r="W856" s="202" t="n"/>
      <c r="X856" s="202" t="n"/>
      <c r="Y856" s="202" t="n"/>
      <c r="Z856" s="202" t="n"/>
      <c r="AA856" s="203" t="n"/>
      <c r="AB856" s="204" t="inlineStr">
        <is>
          <t>09-XL-307HG/PYCNT/CKN/M2/C1</t>
        </is>
      </c>
      <c r="AC856" s="205" t="inlineStr"/>
      <c r="AD856" s="205" t="n"/>
      <c r="AE856" s="205" t="n"/>
      <c r="AF856" s="205" t="n"/>
      <c r="AG856" s="205" t="inlineStr">
        <is>
          <t>NTCV;BBKTĐK</t>
        </is>
      </c>
      <c r="AH856" s="204" t="n">
        <v>11</v>
      </c>
      <c r="AI856" s="202" t="n"/>
      <c r="AJ856" s="202" t="n"/>
      <c r="AK856" s="206" t="n"/>
      <c r="AL856" s="202" t="n"/>
      <c r="AM856" s="202" t="n"/>
      <c r="AN856" s="202" t="n"/>
      <c r="AO856" s="202" t="n"/>
      <c r="AP856" s="207" t="n"/>
      <c r="AQ856" s="207" t="n"/>
      <c r="AR856" s="202" t="inlineStr">
        <is>
          <t>Nhóm 1</t>
        </is>
      </c>
      <c r="AS856" s="202" t="n"/>
      <c r="AT856" s="202" t="inlineStr">
        <is>
          <t>HM23</t>
        </is>
      </c>
      <c r="AU856" s="202" t="inlineStr">
        <is>
          <t>PYC</t>
        </is>
      </c>
      <c r="AV856" s="202" t="n">
        <v>219</v>
      </c>
      <c r="AW856" s="202" t="n">
        <v>3</v>
      </c>
      <c r="AX856" s="202" t="n"/>
    </row>
    <row r="857" ht="28" customHeight="1" s="672">
      <c r="A857" s="56" t="inlineStr">
        <is>
          <t>NTCV</t>
        </is>
      </c>
      <c r="B857" s="56" t="inlineStr">
        <is>
          <t>K.9999</t>
        </is>
      </c>
      <c r="C857" s="56" t="inlineStr">
        <is>
          <t>NTCV.0343701</t>
        </is>
      </c>
      <c r="D857" s="57" t="n"/>
      <c r="E857" s="57" t="n"/>
      <c r="F857" s="57" t="n"/>
      <c r="G857" s="57" t="n"/>
      <c r="H857" s="57" t="n"/>
      <c r="J857" s="209" t="inlineStr">
        <is>
          <t>30</t>
        </is>
      </c>
      <c r="K857" s="209" t="inlineStr">
        <is>
          <t>K.9999</t>
        </is>
      </c>
      <c r="L857" s="210" t="inlineStr">
        <is>
          <t>Theo dõi nén mẫu R7 Cọc khoan nhồi Mố M2 - Cọc C1</t>
        </is>
      </c>
      <c r="M857" s="210" t="n"/>
      <c r="N857" s="210" t="n"/>
      <c r="O857" s="211" t="inlineStr">
        <is>
          <t>Cầu Km19+529.080</t>
        </is>
      </c>
      <c r="P857" s="212">
        <f>S854+7</f>
        <v/>
      </c>
      <c r="Q857" s="212">
        <f>P857</f>
        <v/>
      </c>
      <c r="R857" s="212">
        <f>Q857-1</f>
        <v/>
      </c>
      <c r="S857" s="212">
        <f>Q857</f>
        <v/>
      </c>
      <c r="T857" s="213" t="n">
        <v>0.3541666666666667</v>
      </c>
      <c r="U857" s="213">
        <f>T857+V857</f>
        <v/>
      </c>
      <c r="V857" s="213" t="n">
        <v>0.02083333333333333</v>
      </c>
      <c r="W857" s="214">
        <f>TEXT(T857,"HH""h""MM'")&amp;"÷"&amp;TEXT(U857,"HH""h""MM'")</f>
        <v/>
      </c>
      <c r="X857" s="214" t="n"/>
      <c r="Y857" s="214" t="n"/>
      <c r="Z857" s="214" t="n"/>
      <c r="AA857" s="215" t="inlineStr">
        <is>
          <t>Theo dõi nén mẫu R7 Cọc khoan nhồi Mố M2 - Cọc C1</t>
        </is>
      </c>
      <c r="AB857" s="204" t="inlineStr">
        <is>
          <t>09-XL-307HG/PYCNT/CKN/M2/C1-3</t>
        </is>
      </c>
      <c r="AC857" s="204" t="inlineStr">
        <is>
          <t>09-XL-307HG/BBNT/CKN/M2/C1-12</t>
        </is>
      </c>
      <c r="AD857" s="204" t="n"/>
      <c r="AE857" s="204" t="n"/>
      <c r="AF857" s="204" t="n"/>
      <c r="AG857" s="204" t="n"/>
      <c r="AH857" s="204" t="n"/>
      <c r="AI857" s="214" t="n"/>
      <c r="AJ857" s="214" t="n"/>
      <c r="AK857" s="217" t="n"/>
      <c r="AL857" s="214" t="n"/>
      <c r="AM857" s="214" t="n"/>
      <c r="AN857" s="214" t="n"/>
      <c r="AO857" s="214" t="n"/>
      <c r="AP857" s="216" t="n"/>
      <c r="AQ857" s="216" t="n"/>
      <c r="AR857" s="214" t="inlineStr">
        <is>
          <t>Nhóm 1</t>
        </is>
      </c>
      <c r="AS857" s="214" t="n"/>
      <c r="AT857" s="214" t="inlineStr">
        <is>
          <t>HM23</t>
        </is>
      </c>
      <c r="AU857" s="214" t="inlineStr">
        <is>
          <t>NTCV</t>
        </is>
      </c>
      <c r="AV857" s="214" t="n">
        <v>374</v>
      </c>
      <c r="AW857" s="214" t="n">
        <v>11</v>
      </c>
      <c r="AX857" s="214" t="n"/>
    </row>
    <row r="858">
      <c r="A858" s="56" t="inlineStr">
        <is>
          <t>BBK680</t>
        </is>
      </c>
      <c r="B858" s="56" t="inlineStr">
        <is>
          <t>PYC</t>
        </is>
      </c>
      <c r="C858" s="56" t="inlineStr">
        <is>
          <t>BBK680.0512945</t>
        </is>
      </c>
      <c r="D858" s="57" t="n"/>
      <c r="E858" s="57" t="n"/>
      <c r="F858" s="57" t="n"/>
      <c r="G858" s="57" t="n"/>
      <c r="H858" s="57" t="n"/>
      <c r="J858" s="198" t="inlineStr">
        <is>
          <t>31</t>
        </is>
      </c>
      <c r="K858" s="198" t="inlineStr">
        <is>
          <t>PYC</t>
        </is>
      </c>
      <c r="L858" s="199" t="inlineStr">
        <is>
          <t>Phiếu yêu cầu nghiệm thu</t>
        </is>
      </c>
      <c r="M858" s="199" t="n"/>
      <c r="N858" s="199" t="n"/>
      <c r="O858" s="200" t="inlineStr">
        <is>
          <t>Cầu Km19+529.080</t>
        </is>
      </c>
      <c r="P858" s="201" t="n"/>
      <c r="Q858" s="201" t="n"/>
      <c r="R858" s="201">
        <f>+S853+28</f>
        <v/>
      </c>
      <c r="S858" s="201" t="n"/>
      <c r="T858" s="201" t="n"/>
      <c r="U858" s="201" t="n"/>
      <c r="V858" s="201" t="n"/>
      <c r="W858" s="202" t="n"/>
      <c r="X858" s="202" t="n"/>
      <c r="Y858" s="202" t="n"/>
      <c r="Z858" s="202" t="n"/>
      <c r="AA858" s="203" t="n"/>
      <c r="AB858" s="204" t="inlineStr">
        <is>
          <t>09-XL-307HG/PYCNT/CKN/M2/C1</t>
        </is>
      </c>
      <c r="AC858" s="205" t="inlineStr"/>
      <c r="AD858" s="205" t="n"/>
      <c r="AE858" s="205" t="n"/>
      <c r="AF858" s="205" t="n"/>
      <c r="AG858" s="205" t="inlineStr">
        <is>
          <t>NTCV;BBKTĐK</t>
        </is>
      </c>
      <c r="AH858" s="204" t="n">
        <v>12</v>
      </c>
      <c r="AI858" s="202" t="n"/>
      <c r="AJ858" s="202" t="n"/>
      <c r="AK858" s="206" t="n"/>
      <c r="AL858" s="202" t="n"/>
      <c r="AM858" s="202" t="n"/>
      <c r="AN858" s="202" t="n"/>
      <c r="AO858" s="202" t="n"/>
      <c r="AP858" s="207" t="n"/>
      <c r="AQ858" s="207" t="n"/>
      <c r="AR858" s="202" t="inlineStr">
        <is>
          <t>Nhóm 1</t>
        </is>
      </c>
      <c r="AS858" s="202" t="n"/>
      <c r="AT858" s="202" t="inlineStr">
        <is>
          <t>HM23</t>
        </is>
      </c>
      <c r="AU858" s="202" t="inlineStr">
        <is>
          <t>PYC</t>
        </is>
      </c>
      <c r="AV858" s="202" t="n">
        <v>220</v>
      </c>
      <c r="AW858" s="202" t="n">
        <v>4</v>
      </c>
      <c r="AX858" s="202" t="n"/>
    </row>
    <row r="859" ht="28" customHeight="1" s="672">
      <c r="A859" s="56" t="inlineStr">
        <is>
          <t>NTCV</t>
        </is>
      </c>
      <c r="B859" s="56" t="inlineStr">
        <is>
          <t>K.9999</t>
        </is>
      </c>
      <c r="C859" s="56" t="inlineStr">
        <is>
          <t>NTCV.0396508</t>
        </is>
      </c>
      <c r="D859" s="57" t="n"/>
      <c r="E859" s="57" t="n"/>
      <c r="F859" s="57" t="n"/>
      <c r="G859" s="57" t="n"/>
      <c r="H859" s="57" t="n"/>
      <c r="J859" s="209" t="inlineStr">
        <is>
          <t>32</t>
        </is>
      </c>
      <c r="K859" s="209" t="inlineStr">
        <is>
          <t>K.9999</t>
        </is>
      </c>
      <c r="L859" s="210" t="inlineStr">
        <is>
          <t>Đập đầu cọc khoan nhồi Mố M2 - Cọc C1</t>
        </is>
      </c>
      <c r="M859" s="210" t="n"/>
      <c r="N859" s="210" t="n"/>
      <c r="O859" s="211" t="inlineStr">
        <is>
          <t>Cầu Km19+529.080</t>
        </is>
      </c>
      <c r="P859" s="212">
        <f>S857</f>
        <v/>
      </c>
      <c r="Q859" s="212">
        <f>P859</f>
        <v/>
      </c>
      <c r="R859" s="212">
        <f>Q859-1</f>
        <v/>
      </c>
      <c r="S859" s="212">
        <f>Q859</f>
        <v/>
      </c>
      <c r="T859" s="213" t="n">
        <v>0.3541666666666667</v>
      </c>
      <c r="U859" s="213">
        <f>T859+V859</f>
        <v/>
      </c>
      <c r="V859" s="213" t="n">
        <v>0.0625</v>
      </c>
      <c r="W859" s="214">
        <f>TEXT(T859,"HH""h""MM'")&amp;"÷"&amp;TEXT(U859,"HH""h""MM'")</f>
        <v/>
      </c>
      <c r="X859" s="214" t="n"/>
      <c r="Y859" s="214" t="n"/>
      <c r="Z859" s="214" t="n"/>
      <c r="AA859" s="215" t="inlineStr">
        <is>
          <t>Theo dõi nén mẫu R28 Cọc khoan nhồi Mố M2 - Cọc C1</t>
        </is>
      </c>
      <c r="AB859" s="204" t="inlineStr">
        <is>
          <t>09-XL-307HG/PYCNT/CKN/M2/C1-4</t>
        </is>
      </c>
      <c r="AC859" s="204" t="inlineStr">
        <is>
          <t>09-XL-307HG/BBNT/CKN/M2/C1-13</t>
        </is>
      </c>
      <c r="AD859" s="204" t="n"/>
      <c r="AE859" s="204" t="n"/>
      <c r="AF859" s="204" t="n"/>
      <c r="AG859" s="204" t="n"/>
      <c r="AH859" s="204" t="n"/>
      <c r="AI859" s="214" t="n"/>
      <c r="AJ859" s="214" t="n"/>
      <c r="AK859" s="217" t="n"/>
      <c r="AL859" s="214" t="n"/>
      <c r="AM859" s="214" t="n"/>
      <c r="AN859" s="214" t="n"/>
      <c r="AO859" s="214" t="n"/>
      <c r="AP859" s="216" t="n"/>
      <c r="AQ859" s="216" t="n"/>
      <c r="AR859" s="214" t="inlineStr">
        <is>
          <t>Nhóm 1</t>
        </is>
      </c>
      <c r="AS859" s="214" t="n"/>
      <c r="AT859" s="214" t="inlineStr">
        <is>
          <t>HM23</t>
        </is>
      </c>
      <c r="AU859" s="214" t="inlineStr">
        <is>
          <t>NTCV</t>
        </is>
      </c>
      <c r="AV859" s="214" t="n">
        <v>375</v>
      </c>
      <c r="AW859" s="214" t="n">
        <v>12</v>
      </c>
      <c r="AX859" s="214" t="n"/>
    </row>
    <row r="860">
      <c r="A860" s="56" t="inlineStr">
        <is>
          <t>HM</t>
        </is>
      </c>
      <c r="B860" s="56" t="inlineStr">
        <is>
          <t>HM</t>
        </is>
      </c>
      <c r="C860" s="56" t="inlineStr">
        <is>
          <t>HM.0259430</t>
        </is>
      </c>
      <c r="D860" s="57" t="n"/>
      <c r="E860" s="57" t="n"/>
      <c r="F860" s="57" t="n"/>
      <c r="G860" s="57" t="n"/>
      <c r="H860" s="57" t="n"/>
      <c r="J860" s="246" t="inlineStr">
        <is>
          <t>HM24</t>
        </is>
      </c>
      <c r="K860" s="246" t="inlineStr">
        <is>
          <t>HM</t>
        </is>
      </c>
      <c r="L860" s="247" t="inlineStr">
        <is>
          <t>Mố M2 - Cọc C2</t>
        </is>
      </c>
      <c r="M860" s="247" t="n"/>
      <c r="N860" s="247" t="n"/>
      <c r="O860" s="248" t="inlineStr">
        <is>
          <t>Cầu Km19+529.080</t>
        </is>
      </c>
      <c r="P860" s="249" t="n"/>
      <c r="Q860" s="249" t="n"/>
      <c r="R860" s="249" t="n"/>
      <c r="S860" s="249" t="n"/>
      <c r="T860" s="249" t="n"/>
      <c r="U860" s="249" t="n"/>
      <c r="V860" s="249" t="n"/>
      <c r="W860" s="250" t="n"/>
      <c r="X860" s="250" t="n"/>
      <c r="Y860" s="250" t="n"/>
      <c r="Z860" s="250" t="n"/>
      <c r="AA860" s="251" t="n"/>
      <c r="AB860" s="252" t="n"/>
      <c r="AC860" s="252" t="inlineStr"/>
      <c r="AD860" s="252" t="n"/>
      <c r="AE860" s="252" t="n"/>
      <c r="AF860" s="252" t="n"/>
      <c r="AG860" s="252" t="n"/>
      <c r="AH860" s="252" t="n"/>
      <c r="AI860" s="250" t="n"/>
      <c r="AJ860" s="250" t="n"/>
      <c r="AK860" s="253" t="n"/>
      <c r="AL860" s="250" t="n"/>
      <c r="AM860" s="250" t="n"/>
      <c r="AN860" s="250" t="n"/>
      <c r="AO860" s="250" t="n"/>
      <c r="AP860" s="254" t="n"/>
      <c r="AQ860" s="254" t="n"/>
      <c r="AR860" s="250" t="n"/>
      <c r="AS860" s="250" t="n"/>
      <c r="AT860" s="250" t="inlineStr">
        <is>
          <t>HM24</t>
        </is>
      </c>
      <c r="AU860" s="250" t="inlineStr">
        <is>
          <t>HM</t>
        </is>
      </c>
      <c r="AV860" s="250" t="n"/>
      <c r="AW860" s="250" t="n"/>
      <c r="AX860" s="250" t="n"/>
    </row>
    <row r="861" ht="28" customFormat="1" customHeight="1" s="70">
      <c r="A861" s="68" t="inlineStr">
        <is>
          <t>BBK_BIA</t>
        </is>
      </c>
      <c r="B861" s="68" t="inlineStr">
        <is>
          <t>TRANGBIA</t>
        </is>
      </c>
      <c r="C861" s="68" t="inlineStr">
        <is>
          <t>BBK_BIA.0067332</t>
        </is>
      </c>
      <c r="D861" s="69" t="n"/>
      <c r="E861" s="69" t="n"/>
      <c r="F861" s="69" t="n"/>
      <c r="G861" s="69" t="n"/>
      <c r="H861" s="69" t="n"/>
      <c r="J861" s="98" t="inlineStr">
        <is>
          <t>01</t>
        </is>
      </c>
      <c r="K861" s="98" t="inlineStr">
        <is>
          <t>TRANGBIA</t>
        </is>
      </c>
      <c r="L861" s="99">
        <f>"Cọc Khoan Nhồi"&amp;" - "&amp;L860</f>
        <v/>
      </c>
      <c r="M861" s="99" t="n"/>
      <c r="N861" s="99" t="n"/>
      <c r="O861" s="100" t="inlineStr">
        <is>
          <t>Cầu Km19+529.080</t>
        </is>
      </c>
      <c r="P861" s="101" t="n"/>
      <c r="Q861" s="101" t="n"/>
      <c r="R861" s="101" t="n"/>
      <c r="S861" s="101" t="n"/>
      <c r="T861" s="101" t="n"/>
      <c r="U861" s="101" t="n"/>
      <c r="V861" s="101" t="n"/>
      <c r="W861" s="102" t="n"/>
      <c r="X861" s="102" t="n"/>
      <c r="Y861" s="102" t="n"/>
      <c r="Z861" s="102" t="n"/>
      <c r="AA861" s="102" t="n"/>
      <c r="AB861" s="102" t="n"/>
      <c r="AC861" s="102" t="inlineStr"/>
      <c r="AD861" s="102" t="n"/>
      <c r="AE861" s="102" t="n"/>
      <c r="AF861" s="102" t="n"/>
      <c r="AG861" s="102" t="n"/>
      <c r="AH861" s="102" t="n"/>
      <c r="AI861" s="102" t="n"/>
      <c r="AJ861" s="102" t="n"/>
      <c r="AK861" s="100" t="n"/>
      <c r="AL861" s="102" t="n"/>
      <c r="AM861" s="102" t="n"/>
      <c r="AN861" s="102" t="n"/>
      <c r="AO861" s="102" t="n"/>
      <c r="AP861" s="103" t="inlineStr">
        <is>
          <t>Kết cấu cọc khoan nhồi mố, trụ</t>
        </is>
      </c>
      <c r="AQ861" s="104" t="n"/>
      <c r="AR861" s="102" t="inlineStr">
        <is>
          <t>Nhóm 1</t>
        </is>
      </c>
      <c r="AS861" s="102" t="n"/>
      <c r="AT861" s="102" t="inlineStr">
        <is>
          <t>HM24</t>
        </is>
      </c>
      <c r="AU861" s="102" t="inlineStr">
        <is>
          <t>TRANGBIA</t>
        </is>
      </c>
      <c r="AV861" s="102" t="n">
        <v>24</v>
      </c>
      <c r="AW861" s="102" t="n">
        <v>1</v>
      </c>
      <c r="AX861" s="102" t="n"/>
    </row>
    <row r="862" customFormat="1" s="70">
      <c r="A862" s="68" t="inlineStr">
        <is>
          <t>BBK_ML</t>
        </is>
      </c>
      <c r="B862" s="68" t="inlineStr">
        <is>
          <t>MUCLUC</t>
        </is>
      </c>
      <c r="C862" s="68" t="inlineStr">
        <is>
          <t>BBK_ML.0641124</t>
        </is>
      </c>
      <c r="D862" s="69" t="n"/>
      <c r="E862" s="69" t="n"/>
      <c r="F862" s="69" t="n"/>
      <c r="G862" s="69" t="n"/>
      <c r="H862" s="69" t="n"/>
      <c r="J862" s="98" t="inlineStr">
        <is>
          <t>02</t>
        </is>
      </c>
      <c r="K862" s="98" t="inlineStr">
        <is>
          <t>MUCLUC</t>
        </is>
      </c>
      <c r="L862" s="99" t="inlineStr">
        <is>
          <t>Danh mục biên bản Kiểm tra/Nghiệm thu</t>
        </is>
      </c>
      <c r="M862" s="99" t="n"/>
      <c r="N862" s="99" t="n"/>
      <c r="O862" s="100" t="inlineStr">
        <is>
          <t>Cầu Km19+529.080</t>
        </is>
      </c>
      <c r="P862" s="101" t="n"/>
      <c r="Q862" s="101" t="n"/>
      <c r="R862" s="101" t="n"/>
      <c r="S862" s="101" t="n"/>
      <c r="T862" s="101" t="n"/>
      <c r="U862" s="101" t="n"/>
      <c r="V862" s="101" t="n"/>
      <c r="W862" s="102" t="n"/>
      <c r="X862" s="102" t="n"/>
      <c r="Y862" s="102" t="n"/>
      <c r="Z862" s="102" t="n"/>
      <c r="AA862" s="102" t="n"/>
      <c r="AB862" s="102" t="n"/>
      <c r="AC862" s="102" t="inlineStr"/>
      <c r="AD862" s="102" t="n"/>
      <c r="AE862" s="102" t="n"/>
      <c r="AF862" s="102" t="n"/>
      <c r="AG862" s="102" t="n"/>
      <c r="AH862" s="102" t="n"/>
      <c r="AI862" s="102" t="n"/>
      <c r="AJ862" s="102" t="n"/>
      <c r="AK862" s="100" t="n"/>
      <c r="AL862" s="102" t="n"/>
      <c r="AM862" s="102" t="n"/>
      <c r="AN862" s="102" t="n"/>
      <c r="AO862" s="102" t="n"/>
      <c r="AP862" s="104" t="n"/>
      <c r="AQ862" s="104" t="n"/>
      <c r="AR862" s="102" t="inlineStr">
        <is>
          <t>Nhóm 1</t>
        </is>
      </c>
      <c r="AS862" s="102" t="n"/>
      <c r="AT862" s="102" t="inlineStr">
        <is>
          <t>HM24</t>
        </is>
      </c>
      <c r="AU862" s="102" t="inlineStr">
        <is>
          <t>MUCLUC</t>
        </is>
      </c>
      <c r="AV862" s="102" t="n">
        <v>24</v>
      </c>
      <c r="AW862" s="102" t="n">
        <v>1</v>
      </c>
      <c r="AX862" s="102" t="n"/>
    </row>
    <row r="863">
      <c r="A863" s="56" t="inlineStr">
        <is>
          <t>BBK680</t>
        </is>
      </c>
      <c r="B863" s="56" t="inlineStr">
        <is>
          <t>PYC</t>
        </is>
      </c>
      <c r="C863" s="56" t="inlineStr">
        <is>
          <t>BBK680.0364755</t>
        </is>
      </c>
      <c r="D863" s="57" t="n"/>
      <c r="E863" s="57" t="n"/>
      <c r="F863" s="57" t="n"/>
      <c r="G863" s="57" t="n"/>
      <c r="H863" s="57" t="n"/>
      <c r="J863" s="198" t="inlineStr">
        <is>
          <t>03</t>
        </is>
      </c>
      <c r="K863" s="198" t="inlineStr">
        <is>
          <t>PYC</t>
        </is>
      </c>
      <c r="L863" s="199" t="inlineStr">
        <is>
          <t>Phiếu yêu cầu nghiệm thu</t>
        </is>
      </c>
      <c r="M863" s="199" t="n"/>
      <c r="N863" s="199" t="n"/>
      <c r="O863" s="200" t="inlineStr">
        <is>
          <t>Cầu Km19+529.080</t>
        </is>
      </c>
      <c r="P863" s="201" t="n"/>
      <c r="Q863" s="201" t="n"/>
      <c r="R863" s="201">
        <f>R864</f>
        <v/>
      </c>
      <c r="S863" s="201" t="n"/>
      <c r="T863" s="201" t="n"/>
      <c r="U863" s="201" t="n"/>
      <c r="V863" s="201" t="n"/>
      <c r="W863" s="202" t="n"/>
      <c r="X863" s="202" t="n"/>
      <c r="Y863" s="202" t="n"/>
      <c r="Z863" s="202" t="n"/>
      <c r="AA863" s="203" t="n"/>
      <c r="AB863" s="204" t="inlineStr">
        <is>
          <t>09-XL-307HG/PYCNT/CKN/M2/C2</t>
        </is>
      </c>
      <c r="AC863" s="205" t="inlineStr"/>
      <c r="AD863" s="205" t="n"/>
      <c r="AE863" s="205" t="n"/>
      <c r="AF863" s="205" t="n"/>
      <c r="AG863" s="205" t="inlineStr">
        <is>
          <t>NTCV;BBKTĐK</t>
        </is>
      </c>
      <c r="AH863" s="204" t="inlineStr">
        <is>
          <t>&gt;=1;&lt;=5</t>
        </is>
      </c>
      <c r="AI863" s="202" t="n"/>
      <c r="AJ863" s="202" t="n"/>
      <c r="AK863" s="206" t="n"/>
      <c r="AL863" s="202" t="n"/>
      <c r="AM863" s="202" t="n"/>
      <c r="AN863" s="202" t="n"/>
      <c r="AO863" s="202" t="n"/>
      <c r="AP863" s="207" t="n"/>
      <c r="AQ863" s="207" t="n"/>
      <c r="AR863" s="202" t="inlineStr">
        <is>
          <t>Nhóm 1</t>
        </is>
      </c>
      <c r="AS863" s="202" t="n"/>
      <c r="AT863" s="202" t="inlineStr">
        <is>
          <t>HM24</t>
        </is>
      </c>
      <c r="AU863" s="202" t="inlineStr">
        <is>
          <t>PYC</t>
        </is>
      </c>
      <c r="AV863" s="202" t="n">
        <v>221</v>
      </c>
      <c r="AW863" s="202" t="n">
        <v>1</v>
      </c>
      <c r="AX863" s="202" t="n"/>
    </row>
    <row r="864" ht="28" customHeight="1" s="672">
      <c r="A864" s="56" t="inlineStr">
        <is>
          <t>BBK884</t>
        </is>
      </c>
      <c r="B864" s="56" t="inlineStr">
        <is>
          <t>BBKTĐK</t>
        </is>
      </c>
      <c r="C864" s="56" t="inlineStr">
        <is>
          <t>BBK884.0546340</t>
        </is>
      </c>
      <c r="D864" s="57" t="n"/>
      <c r="E864" s="57" t="n"/>
      <c r="F864" s="57" t="n"/>
      <c r="G864" s="57" t="n"/>
      <c r="H864" s="57" t="n"/>
      <c r="J864" s="198" t="inlineStr">
        <is>
          <t>04</t>
        </is>
      </c>
      <c r="K864" s="198" t="inlineStr">
        <is>
          <t>BBKTĐK</t>
        </is>
      </c>
      <c r="L864" s="199" t="inlineStr">
        <is>
          <t>Kiểm tra điều kiện trước khi thi công cọc khoan nhồi: Thiết bị, nhân lực, vật tư</t>
        </is>
      </c>
      <c r="M864" s="199" t="n"/>
      <c r="N864" s="199" t="n"/>
      <c r="O864" s="200" t="inlineStr">
        <is>
          <t>Cầu Km19+529.080</t>
        </is>
      </c>
      <c r="P864" s="201" t="n">
        <v>46228</v>
      </c>
      <c r="Q864" s="201">
        <f>P864</f>
        <v/>
      </c>
      <c r="R864" s="201">
        <f>Q864-1</f>
        <v/>
      </c>
      <c r="S864" s="201">
        <f>Q864</f>
        <v/>
      </c>
      <c r="T864" s="208" t="n">
        <v>0.2916666666666667</v>
      </c>
      <c r="U864" s="208">
        <f>T864+V864</f>
        <v/>
      </c>
      <c r="V864" s="208" t="n">
        <v>0.02083333333333333</v>
      </c>
      <c r="W864" s="202">
        <f>TEXT(T864,"HH""h""MM'")&amp;"÷"&amp;TEXT(U864,"HH""h""MM'")</f>
        <v/>
      </c>
      <c r="X864" s="202" t="n"/>
      <c r="Y864" s="202" t="n"/>
      <c r="Z864" s="202" t="inlineStr">
        <is>
          <t>01;</t>
        </is>
      </c>
      <c r="AA864" s="200" t="inlineStr">
        <is>
          <t>Kiểm tra điều kiện trước khi thi công Cọc khoan nhồi Mố M2 - Cọc C2</t>
        </is>
      </c>
      <c r="AB864" s="205" t="inlineStr">
        <is>
          <t>09-XL-307HG/PYCNT/CKN/M2/C2-1</t>
        </is>
      </c>
      <c r="AC864" s="205" t="inlineStr">
        <is>
          <t>09-XL-307HG/BBNT/CKN/M2/C2-1</t>
        </is>
      </c>
      <c r="AD864" s="205" t="n"/>
      <c r="AE864" s="205" t="n"/>
      <c r="AF864" s="205" t="n"/>
      <c r="AG864" s="205" t="n"/>
      <c r="AH864" s="205" t="n"/>
      <c r="AI864" s="207" t="n"/>
      <c r="AJ864" s="214" t="n"/>
      <c r="AK864" s="217" t="n"/>
      <c r="AL864" s="214" t="n"/>
      <c r="AM864" s="214" t="n"/>
      <c r="AN864" s="214" t="n"/>
      <c r="AO864" s="202" t="n"/>
      <c r="AP864" s="207" t="n"/>
      <c r="AQ864" s="207" t="n"/>
      <c r="AR864" s="202" t="inlineStr">
        <is>
          <t>Nhóm 1</t>
        </is>
      </c>
      <c r="AS864" s="202" t="n"/>
      <c r="AT864" s="202" t="inlineStr">
        <is>
          <t>HM24</t>
        </is>
      </c>
      <c r="AU864" s="202" t="inlineStr">
        <is>
          <t>BBKTĐK</t>
        </is>
      </c>
      <c r="AV864" s="202" t="n">
        <v>24</v>
      </c>
      <c r="AW864" s="202" t="n">
        <v>1</v>
      </c>
      <c r="AX864" s="202" t="n"/>
    </row>
    <row r="865" ht="28" customHeight="1" s="672">
      <c r="A865" s="56" t="inlineStr">
        <is>
          <t>BBK860</t>
        </is>
      </c>
      <c r="B865" s="56" t="inlineStr">
        <is>
          <t>PL01</t>
        </is>
      </c>
      <c r="C865" s="56" t="inlineStr">
        <is>
          <t>BBK860.0881650</t>
        </is>
      </c>
      <c r="D865" s="57" t="n"/>
      <c r="E865" s="57" t="n"/>
      <c r="F865" s="57" t="n"/>
      <c r="G865" s="57" t="n"/>
      <c r="H865" s="57" t="n"/>
      <c r="J865" s="198" t="inlineStr">
        <is>
          <t>05</t>
        </is>
      </c>
      <c r="K865" s="198" t="inlineStr">
        <is>
          <t>PL01</t>
        </is>
      </c>
      <c r="L865" s="199" t="inlineStr">
        <is>
          <t>Máy móc, thiết bị, nhân lực, vật tư thi công cọc khoan nhồi</t>
        </is>
      </c>
      <c r="M865" s="199" t="n"/>
      <c r="N865" s="199" t="n"/>
      <c r="O865" s="199" t="inlineStr">
        <is>
          <t>Cầu Km19+529.080</t>
        </is>
      </c>
      <c r="P865" s="201" t="n"/>
      <c r="Q865" s="201" t="n"/>
      <c r="R865" s="201" t="n"/>
      <c r="S865" s="201">
        <f>S864</f>
        <v/>
      </c>
      <c r="T865" s="201" t="n"/>
      <c r="U865" s="201" t="n"/>
      <c r="V865" s="201" t="n"/>
      <c r="W865" s="202" t="n"/>
      <c r="X865" s="202" t="n"/>
      <c r="Y865" s="202" t="n"/>
      <c r="Z865" s="198" t="inlineStr">
        <is>
          <t>01</t>
        </is>
      </c>
      <c r="AA865" s="203" t="n"/>
      <c r="AB865" s="204" t="inlineStr">
        <is>
          <t>09-XL-307HG/PYCNT/CKN/M2/C2-1</t>
        </is>
      </c>
      <c r="AC865" s="204">
        <f>AC864</f>
        <v/>
      </c>
      <c r="AD865" s="204" t="n"/>
      <c r="AE865" s="204" t="n"/>
      <c r="AF865" s="204" t="n"/>
      <c r="AG865" s="204" t="n"/>
      <c r="AH865" s="204" t="inlineStr">
        <is>
          <t>CKN</t>
        </is>
      </c>
      <c r="AI865" s="207" t="n"/>
      <c r="AJ865" s="202" t="n"/>
      <c r="AK865" s="206" t="n"/>
      <c r="AL865" s="202" t="n"/>
      <c r="AM865" s="202" t="n"/>
      <c r="AN865" s="202" t="n"/>
      <c r="AO865" s="202" t="n"/>
      <c r="AP865" s="207" t="n"/>
      <c r="AQ865" s="207" t="n"/>
      <c r="AR865" s="202" t="inlineStr">
        <is>
          <t>Nhóm 1</t>
        </is>
      </c>
      <c r="AS865" s="202" t="n"/>
      <c r="AT865" s="202" t="inlineStr">
        <is>
          <t>HM24</t>
        </is>
      </c>
      <c r="AU865" s="202" t="inlineStr">
        <is>
          <t>PL01</t>
        </is>
      </c>
      <c r="AV865" s="202" t="n">
        <v>26</v>
      </c>
      <c r="AW865" s="202" t="n">
        <v>1</v>
      </c>
      <c r="AX865" s="202" t="n"/>
    </row>
    <row r="866" ht="42" customHeight="1" s="672">
      <c r="A866" s="56" t="inlineStr">
        <is>
          <t>NTCV</t>
        </is>
      </c>
      <c r="B866" s="56" t="inlineStr">
        <is>
          <t>K.9999</t>
        </is>
      </c>
      <c r="C866" s="56" t="inlineStr">
        <is>
          <t>NTCV.0423023</t>
        </is>
      </c>
      <c r="D866" s="57" t="n"/>
      <c r="E866" s="57" t="n"/>
      <c r="F866" s="57" t="n"/>
      <c r="G866" s="57" t="n"/>
      <c r="H866" s="57" t="n"/>
      <c r="J866" s="209" t="inlineStr">
        <is>
          <t>06</t>
        </is>
      </c>
      <c r="K866" s="209" t="inlineStr">
        <is>
          <t>K.9999</t>
        </is>
      </c>
      <c r="L866" s="210" t="inlineStr">
        <is>
          <t>Kiểm tra ống vách, dung dịch bentonite trước khi khoan cọc khoan nhồi</t>
        </is>
      </c>
      <c r="M866" s="210" t="n"/>
      <c r="N866" s="210" t="n"/>
      <c r="O866" s="211" t="inlineStr">
        <is>
          <t>Cầu Km19+529.080</t>
        </is>
      </c>
      <c r="P866" s="212">
        <f>S864</f>
        <v/>
      </c>
      <c r="Q866" s="212">
        <f>P866</f>
        <v/>
      </c>
      <c r="R866" s="212">
        <f>Q866-1</f>
        <v/>
      </c>
      <c r="S866" s="212">
        <f>Q866</f>
        <v/>
      </c>
      <c r="T866" s="213">
        <f>U864</f>
        <v/>
      </c>
      <c r="U866" s="213">
        <f>T866+V866</f>
        <v/>
      </c>
      <c r="V866" s="213" t="n">
        <v>0.02083333333333333</v>
      </c>
      <c r="W866" s="214">
        <f>TEXT(T866,"HH""h""MM'")&amp;"÷"&amp;TEXT(U866,"HH""h""MM'")</f>
        <v/>
      </c>
      <c r="X866" s="214" t="n"/>
      <c r="Y866" s="214" t="n"/>
      <c r="Z866" s="214" t="inlineStr">
        <is>
          <t>02; 02a</t>
        </is>
      </c>
      <c r="AA866" s="215" t="inlineStr">
        <is>
          <t>Kiểm tra ống vách, dung dịch bentonite Cọc khoan nhồi Mố M2 - Cọc C2 trước khi khoan</t>
        </is>
      </c>
      <c r="AB866" s="204" t="inlineStr">
        <is>
          <t>09-XL-307HG/PYCNT/CKN/M2/C2-1</t>
        </is>
      </c>
      <c r="AC866" s="204" t="inlineStr">
        <is>
          <t>09-XL-307HG/BBNT/CKN/M2/C2-2</t>
        </is>
      </c>
      <c r="AD866" s="204" t="n"/>
      <c r="AE866" s="204" t="n"/>
      <c r="AF866" s="204" t="n"/>
      <c r="AG866" s="204" t="n"/>
      <c r="AH866" s="204" t="n"/>
      <c r="AI866" s="216" t="n"/>
      <c r="AJ866" s="214" t="n"/>
      <c r="AK866" s="217" t="n"/>
      <c r="AL866" s="214" t="n"/>
      <c r="AM866" s="214" t="n"/>
      <c r="AN866" s="214" t="n"/>
      <c r="AO866" s="214" t="n"/>
      <c r="AP866" s="216" t="n"/>
      <c r="AQ866" s="216" t="n"/>
      <c r="AR866" s="214" t="inlineStr">
        <is>
          <t>Nhóm 1</t>
        </is>
      </c>
      <c r="AS866" s="214" t="n"/>
      <c r="AT866" s="214" t="inlineStr">
        <is>
          <t>HM24</t>
        </is>
      </c>
      <c r="AU866" s="214" t="inlineStr">
        <is>
          <t>NTCV</t>
        </is>
      </c>
      <c r="AV866" s="214" t="n">
        <v>300</v>
      </c>
      <c r="AW866" s="214" t="n">
        <v>1</v>
      </c>
      <c r="AX866" s="214" t="n"/>
    </row>
    <row r="867">
      <c r="A867" s="56" t="inlineStr">
        <is>
          <t>BBK170</t>
        </is>
      </c>
      <c r="B867" s="56" t="inlineStr">
        <is>
          <t>PL02</t>
        </is>
      </c>
      <c r="C867" s="56" t="inlineStr">
        <is>
          <t>BBK170.0594495</t>
        </is>
      </c>
      <c r="D867" s="57" t="n"/>
      <c r="E867" s="57" t="n"/>
      <c r="F867" s="57" t="n"/>
      <c r="G867" s="57" t="n"/>
      <c r="H867" s="57" t="n"/>
      <c r="J867" s="198" t="inlineStr">
        <is>
          <t>07</t>
        </is>
      </c>
      <c r="K867" s="198" t="inlineStr">
        <is>
          <t>PL02</t>
        </is>
      </c>
      <c r="L867" s="199" t="inlineStr">
        <is>
          <t>Kiểm tra ống vách thi công trước khi hạ</t>
        </is>
      </c>
      <c r="M867" s="199" t="n"/>
      <c r="N867" s="199" t="n"/>
      <c r="O867" s="200" t="inlineStr">
        <is>
          <t>Cầu Km19+529.080</t>
        </is>
      </c>
      <c r="P867" s="201" t="n"/>
      <c r="Q867" s="201" t="n"/>
      <c r="R867" s="201" t="n"/>
      <c r="S867" s="201">
        <f>S866</f>
        <v/>
      </c>
      <c r="T867" s="201" t="n"/>
      <c r="U867" s="201" t="n"/>
      <c r="V867" s="201" t="n"/>
      <c r="W867" s="202" t="n"/>
      <c r="X867" s="202" t="n"/>
      <c r="Y867" s="202" t="n"/>
      <c r="Z867" s="198" t="inlineStr">
        <is>
          <t>02</t>
        </is>
      </c>
      <c r="AA867" s="203" t="n"/>
      <c r="AB867" s="204" t="inlineStr">
        <is>
          <t>09-XL-307HG/PYCNT/CKN/M2/C2-1</t>
        </is>
      </c>
      <c r="AC867" s="204">
        <f>AC866</f>
        <v/>
      </c>
      <c r="AD867" s="204" t="n"/>
      <c r="AE867" s="204" t="n"/>
      <c r="AF867" s="204" t="n"/>
      <c r="AG867" s="204" t="n"/>
      <c r="AH867" s="204" t="inlineStr">
        <is>
          <t>CKN</t>
        </is>
      </c>
      <c r="AI867" s="207" t="n"/>
      <c r="AJ867" s="202" t="n"/>
      <c r="AK867" s="206" t="n"/>
      <c r="AL867" s="202" t="n"/>
      <c r="AM867" s="202" t="n"/>
      <c r="AN867" s="202" t="n"/>
      <c r="AO867" s="202" t="n"/>
      <c r="AP867" s="207" t="n"/>
      <c r="AQ867" s="207" t="inlineStr">
        <is>
          <t>Ảnh\PL02 CKN.png</t>
        </is>
      </c>
      <c r="AR867" s="202" t="inlineStr">
        <is>
          <t>Nhóm 1</t>
        </is>
      </c>
      <c r="AS867" s="202" t="n"/>
      <c r="AT867" s="202" t="inlineStr">
        <is>
          <t>HM24</t>
        </is>
      </c>
      <c r="AU867" s="202" t="inlineStr">
        <is>
          <t>PL02</t>
        </is>
      </c>
      <c r="AV867" s="202" t="n">
        <v>23</v>
      </c>
      <c r="AW867" s="202" t="n">
        <v>1</v>
      </c>
      <c r="AX867" s="202" t="n"/>
    </row>
    <row r="868">
      <c r="A868" s="56" t="inlineStr">
        <is>
          <t>BBK721</t>
        </is>
      </c>
      <c r="B868" s="56" t="inlineStr">
        <is>
          <t>PL02a</t>
        </is>
      </c>
      <c r="C868" s="56" t="inlineStr">
        <is>
          <t>BBK721.0380801</t>
        </is>
      </c>
      <c r="D868" s="57" t="n"/>
      <c r="E868" s="57" t="n"/>
      <c r="F868" s="57" t="n"/>
      <c r="G868" s="57" t="n"/>
      <c r="H868" s="57" t="n"/>
      <c r="J868" s="198" t="inlineStr">
        <is>
          <t>08</t>
        </is>
      </c>
      <c r="K868" s="198" t="inlineStr">
        <is>
          <t>PL02a</t>
        </is>
      </c>
      <c r="L868" s="199" t="inlineStr">
        <is>
          <t>Kiểm tra ống vách thi công trước khi hạ</t>
        </is>
      </c>
      <c r="M868" s="199" t="n"/>
      <c r="N868" s="199" t="n"/>
      <c r="O868" s="200" t="inlineStr">
        <is>
          <t>Cầu Km19+529.080</t>
        </is>
      </c>
      <c r="P868" s="201" t="n"/>
      <c r="Q868" s="201" t="n"/>
      <c r="R868" s="201" t="n"/>
      <c r="S868" s="201">
        <f>S867</f>
        <v/>
      </c>
      <c r="T868" s="201" t="n"/>
      <c r="U868" s="201" t="n"/>
      <c r="V868" s="201" t="n"/>
      <c r="W868" s="202" t="n"/>
      <c r="X868" s="202" t="n"/>
      <c r="Y868" s="202" t="n"/>
      <c r="Z868" s="198" t="inlineStr">
        <is>
          <t>02a</t>
        </is>
      </c>
      <c r="AA868" s="203" t="n"/>
      <c r="AB868" s="204" t="inlineStr">
        <is>
          <t>09-XL-307HG/PYCNT/CKN/M2/C2-1</t>
        </is>
      </c>
      <c r="AC868" s="204">
        <f>AC867</f>
        <v/>
      </c>
      <c r="AD868" s="204" t="n"/>
      <c r="AE868" s="204" t="n"/>
      <c r="AF868" s="204" t="n"/>
      <c r="AG868" s="204" t="n"/>
      <c r="AH868" s="204" t="n"/>
      <c r="AI868" s="207" t="n"/>
      <c r="AJ868" s="202" t="n"/>
      <c r="AK868" s="206" t="n"/>
      <c r="AL868" s="202" t="n"/>
      <c r="AM868" s="202" t="n"/>
      <c r="AN868" s="202" t="n"/>
      <c r="AO868" s="202" t="n"/>
      <c r="AP868" s="207" t="n"/>
      <c r="AQ868" s="207" t="n"/>
      <c r="AR868" s="202" t="inlineStr">
        <is>
          <t>Nhóm 1</t>
        </is>
      </c>
      <c r="AS868" s="202" t="n"/>
      <c r="AT868" s="202" t="inlineStr">
        <is>
          <t>HM24</t>
        </is>
      </c>
      <c r="AU868" s="202" t="inlineStr">
        <is>
          <t>PL02a</t>
        </is>
      </c>
      <c r="AV868" s="202" t="n">
        <v>23</v>
      </c>
      <c r="AW868" s="202" t="n">
        <v>1</v>
      </c>
      <c r="AX868" s="202" t="n"/>
    </row>
    <row r="869" ht="28" customHeight="1" s="672">
      <c r="A869" s="56" t="inlineStr">
        <is>
          <t>NTCV</t>
        </is>
      </c>
      <c r="B869" s="56" t="inlineStr">
        <is>
          <t>K.9999</t>
        </is>
      </c>
      <c r="C869" s="56" t="inlineStr">
        <is>
          <t>NTCV.0057223</t>
        </is>
      </c>
      <c r="D869" s="57" t="n"/>
      <c r="E869" s="57" t="n"/>
      <c r="F869" s="57" t="n"/>
      <c r="G869" s="57" t="n"/>
      <c r="H869" s="57" t="n"/>
      <c r="J869" s="209" t="inlineStr">
        <is>
          <t>09</t>
        </is>
      </c>
      <c r="K869" s="209" t="inlineStr">
        <is>
          <t>K.9999</t>
        </is>
      </c>
      <c r="L869" s="210" t="inlineStr">
        <is>
          <t>Kiểm tra định vị tim cọc khoan nhồi, hạ ống vách thi công</t>
        </is>
      </c>
      <c r="M869" s="210" t="n"/>
      <c r="N869" s="210" t="n"/>
      <c r="O869" s="211" t="inlineStr">
        <is>
          <t>Cầu Km19+529.080</t>
        </is>
      </c>
      <c r="P869" s="212">
        <f>S866</f>
        <v/>
      </c>
      <c r="Q869" s="212">
        <f>P869</f>
        <v/>
      </c>
      <c r="R869" s="212">
        <f>Q869-1</f>
        <v/>
      </c>
      <c r="S869" s="212">
        <f>Q869</f>
        <v/>
      </c>
      <c r="T869" s="213">
        <f>U866</f>
        <v/>
      </c>
      <c r="U869" s="213">
        <f>T869+V869</f>
        <v/>
      </c>
      <c r="V869" s="213" t="n">
        <v>0.02083333333333333</v>
      </c>
      <c r="W869" s="214">
        <f>TEXT(T869,"HH""h""MM'")&amp;"÷"&amp;TEXT(U869,"HH""h""MM'")</f>
        <v/>
      </c>
      <c r="X869" s="214" t="n"/>
      <c r="Y869" s="214" t="n"/>
      <c r="Z869" s="214" t="inlineStr">
        <is>
          <t>03;</t>
        </is>
      </c>
      <c r="AA869" s="215" t="inlineStr">
        <is>
          <t>Kiểm tra định vị Cọc khoan nhồi Mố M2 - Cọc C2</t>
        </is>
      </c>
      <c r="AB869" s="204" t="inlineStr">
        <is>
          <t>09-XL-307HG/PYCNT/CKN/M2/C2-1</t>
        </is>
      </c>
      <c r="AC869" s="204" t="inlineStr">
        <is>
          <t>09-XL-307HG/BBNT/CKN/M2/C2-3</t>
        </is>
      </c>
      <c r="AD869" s="204" t="n"/>
      <c r="AE869" s="204" t="n"/>
      <c r="AF869" s="204" t="n"/>
      <c r="AG869" s="204" t="n"/>
      <c r="AH869" s="204" t="n"/>
      <c r="AI869" s="216" t="n"/>
      <c r="AJ869" s="214" t="n"/>
      <c r="AK869" s="217" t="n"/>
      <c r="AL869" s="214" t="n"/>
      <c r="AM869" s="214" t="n"/>
      <c r="AN869" s="214" t="n"/>
      <c r="AO869" s="214" t="n"/>
      <c r="AP869" s="216" t="n"/>
      <c r="AQ869" s="216" t="n"/>
      <c r="AR869" s="214" t="inlineStr">
        <is>
          <t>Nhóm 1</t>
        </is>
      </c>
      <c r="AS869" s="214" t="n"/>
      <c r="AT869" s="214" t="inlineStr">
        <is>
          <t>HM24</t>
        </is>
      </c>
      <c r="AU869" s="214" t="inlineStr">
        <is>
          <t>NTCV</t>
        </is>
      </c>
      <c r="AV869" s="214" t="n">
        <v>302</v>
      </c>
      <c r="AW869" s="214" t="n">
        <v>2</v>
      </c>
      <c r="AX869" s="214" t="n"/>
    </row>
    <row r="870" ht="28" customHeight="1" s="672">
      <c r="A870" s="56" t="inlineStr">
        <is>
          <t>BBK478</t>
        </is>
      </c>
      <c r="B870" s="56" t="inlineStr">
        <is>
          <t>PL03</t>
        </is>
      </c>
      <c r="C870" s="56" t="inlineStr">
        <is>
          <t>BBK478.0109438</t>
        </is>
      </c>
      <c r="D870" s="57" t="n"/>
      <c r="E870" s="57" t="n"/>
      <c r="F870" s="57" t="n"/>
      <c r="G870" s="57" t="n"/>
      <c r="H870" s="57" t="n"/>
      <c r="J870" s="198" t="inlineStr">
        <is>
          <t>10</t>
        </is>
      </c>
      <c r="K870" s="198" t="inlineStr">
        <is>
          <t>PL03</t>
        </is>
      </c>
      <c r="L870" s="199" t="inlineStr">
        <is>
          <t>Kiểm tra định vị tim cọc khoan nhồi, hạ ống vách thi công</t>
        </is>
      </c>
      <c r="M870" s="199" t="n"/>
      <c r="N870" s="199" t="n"/>
      <c r="O870" s="200" t="inlineStr">
        <is>
          <t>Cầu Km19+529.080</t>
        </is>
      </c>
      <c r="P870" s="201" t="n"/>
      <c r="Q870" s="201" t="n"/>
      <c r="R870" s="201" t="n"/>
      <c r="S870" s="201">
        <f>S869</f>
        <v/>
      </c>
      <c r="T870" s="201" t="n"/>
      <c r="U870" s="201" t="n"/>
      <c r="V870" s="201" t="n"/>
      <c r="W870" s="202" t="n"/>
      <c r="X870" s="202" t="n"/>
      <c r="Y870" s="202" t="n"/>
      <c r="Z870" s="198" t="inlineStr">
        <is>
          <t>03</t>
        </is>
      </c>
      <c r="AA870" s="203" t="n"/>
      <c r="AB870" s="204" t="inlineStr">
        <is>
          <t>09-XL-307HG/PYCNT/CKN/M2/C2-1</t>
        </is>
      </c>
      <c r="AC870" s="204">
        <f>AC869</f>
        <v/>
      </c>
      <c r="AD870" s="255" t="n">
        <v>2481815.185</v>
      </c>
      <c r="AE870" s="255" t="n">
        <v>382459.44</v>
      </c>
      <c r="AF870" s="255" t="n">
        <v>188.836</v>
      </c>
      <c r="AG870" s="255" t="n"/>
      <c r="AH870" s="204" t="inlineStr">
        <is>
          <t>&gt;=382;&lt;=400</t>
        </is>
      </c>
      <c r="AI870" s="207" t="n"/>
      <c r="AJ870" s="202" t="n"/>
      <c r="AK870" s="206" t="n"/>
      <c r="AL870" s="202" t="n"/>
      <c r="AM870" s="202" t="n"/>
      <c r="AN870" s="202" t="n"/>
      <c r="AO870" s="202" t="n"/>
      <c r="AP870" s="207" t="n"/>
      <c r="AQ870" s="207" t="n"/>
      <c r="AR870" s="202" t="inlineStr">
        <is>
          <t>Nhóm 1</t>
        </is>
      </c>
      <c r="AS870" s="202" t="n"/>
      <c r="AT870" s="202" t="inlineStr">
        <is>
          <t>HM24</t>
        </is>
      </c>
      <c r="AU870" s="202" t="inlineStr">
        <is>
          <t>PL03</t>
        </is>
      </c>
      <c r="AV870" s="202" t="n">
        <v>23</v>
      </c>
      <c r="AW870" s="202" t="n">
        <v>1</v>
      </c>
      <c r="AX870" s="202" t="n"/>
    </row>
    <row r="871" ht="28" customHeight="1" s="672">
      <c r="A871" s="56" t="inlineStr">
        <is>
          <t>NTCV</t>
        </is>
      </c>
      <c r="B871" s="56" t="inlineStr">
        <is>
          <t>K.9999</t>
        </is>
      </c>
      <c r="C871" s="56" t="inlineStr">
        <is>
          <t>NTCV.0145849</t>
        </is>
      </c>
      <c r="D871" s="57" t="n"/>
      <c r="E871" s="57" t="n"/>
      <c r="F871" s="57" t="n"/>
      <c r="G871" s="57" t="n"/>
      <c r="H871" s="57" t="n"/>
      <c r="J871" s="209" t="inlineStr">
        <is>
          <t>11</t>
        </is>
      </c>
      <c r="K871" s="209" t="inlineStr">
        <is>
          <t>K.9999</t>
        </is>
      </c>
      <c r="L871" s="210" t="inlineStr">
        <is>
          <t>Nghiệm thu lồng thép cọc khoan nhồi trước khi hạ</t>
        </is>
      </c>
      <c r="M871" s="210" t="n"/>
      <c r="N871" s="210" t="n"/>
      <c r="O871" s="211" t="inlineStr">
        <is>
          <t>Cầu Km19+529.080</t>
        </is>
      </c>
      <c r="P871" s="212">
        <f>S869</f>
        <v/>
      </c>
      <c r="Q871" s="212">
        <f>P871</f>
        <v/>
      </c>
      <c r="R871" s="212">
        <f>Q871-1</f>
        <v/>
      </c>
      <c r="S871" s="212">
        <f>Q871</f>
        <v/>
      </c>
      <c r="T871" s="213">
        <f>U869</f>
        <v/>
      </c>
      <c r="U871" s="213">
        <f>T871+V871</f>
        <v/>
      </c>
      <c r="V871" s="213" t="n">
        <v>0.02083333333333333</v>
      </c>
      <c r="W871" s="214">
        <f>TEXT(T871,"HH""h""MM'")&amp;"÷"&amp;TEXT(U871,"HH""h""MM'")</f>
        <v/>
      </c>
      <c r="X871" s="214" t="n"/>
      <c r="Y871" s="214" t="n"/>
      <c r="Z871" s="214" t="inlineStr">
        <is>
          <t>04;</t>
        </is>
      </c>
      <c r="AA871" s="215" t="inlineStr">
        <is>
          <t>Nghiệm thu lồng thép Cọc khoan nhồi Mố M2 - Cọc C2</t>
        </is>
      </c>
      <c r="AB871" s="204" t="inlineStr">
        <is>
          <t>09-XL-307HG/PYCNT/CKN/M2/C2-1</t>
        </is>
      </c>
      <c r="AC871" s="204" t="inlineStr">
        <is>
          <t>09-XL-307HG/BBNT/CKN/M2/C2-4</t>
        </is>
      </c>
      <c r="AD871" s="204" t="n"/>
      <c r="AE871" s="204" t="n"/>
      <c r="AF871" s="204" t="n"/>
      <c r="AG871" s="204" t="n"/>
      <c r="AH871" s="204" t="n"/>
      <c r="AI871" s="216" t="n"/>
      <c r="AJ871" s="214" t="n"/>
      <c r="AK871" s="217" t="n"/>
      <c r="AL871" s="214" t="n"/>
      <c r="AM871" s="214" t="n"/>
      <c r="AN871" s="214" t="n"/>
      <c r="AO871" s="214" t="n"/>
      <c r="AP871" s="216" t="n"/>
      <c r="AQ871" s="216" t="n"/>
      <c r="AR871" s="214" t="inlineStr">
        <is>
          <t>Nhóm 1</t>
        </is>
      </c>
      <c r="AS871" s="214" t="n"/>
      <c r="AT871" s="214" t="inlineStr">
        <is>
          <t>HM24</t>
        </is>
      </c>
      <c r="AU871" s="214" t="inlineStr">
        <is>
          <t>NTCV</t>
        </is>
      </c>
      <c r="AV871" s="214" t="n">
        <v>306</v>
      </c>
      <c r="AW871" s="214" t="n">
        <v>3</v>
      </c>
      <c r="AX871" s="214" t="n"/>
    </row>
    <row r="872">
      <c r="A872" s="56" t="inlineStr">
        <is>
          <t>BBK096</t>
        </is>
      </c>
      <c r="B872" s="56" t="inlineStr">
        <is>
          <t>PL04</t>
        </is>
      </c>
      <c r="C872" s="56" t="inlineStr">
        <is>
          <t>BBK096.0144952</t>
        </is>
      </c>
      <c r="D872" s="57" t="n"/>
      <c r="E872" s="57" t="n"/>
      <c r="F872" s="57" t="n"/>
      <c r="G872" s="57" t="n"/>
      <c r="H872" s="57" t="n"/>
      <c r="J872" s="198" t="inlineStr">
        <is>
          <t>12</t>
        </is>
      </c>
      <c r="K872" s="198" t="inlineStr">
        <is>
          <t>PL04</t>
        </is>
      </c>
      <c r="L872" s="199" t="inlineStr">
        <is>
          <t>Nghiệm thu lồng thép cọc khoan nhồi trước khi hạ</t>
        </is>
      </c>
      <c r="M872" s="199" t="n"/>
      <c r="N872" s="199" t="n"/>
      <c r="O872" s="200" t="inlineStr">
        <is>
          <t>Cầu Km19+529.080</t>
        </is>
      </c>
      <c r="P872" s="201" t="n"/>
      <c r="Q872" s="201" t="n"/>
      <c r="R872" s="201" t="n"/>
      <c r="S872" s="201">
        <f>S871</f>
        <v/>
      </c>
      <c r="T872" s="201" t="n"/>
      <c r="U872" s="201" t="n"/>
      <c r="V872" s="201" t="n"/>
      <c r="W872" s="202" t="n"/>
      <c r="X872" s="202" t="n"/>
      <c r="Y872" s="202" t="n"/>
      <c r="Z872" s="198" t="inlineStr">
        <is>
          <t>04</t>
        </is>
      </c>
      <c r="AA872" s="203" t="n"/>
      <c r="AB872" s="204" t="inlineStr">
        <is>
          <t>09-XL-307HG/PYCNT/CKN/M2/C2-1</t>
        </is>
      </c>
      <c r="AC872" s="204">
        <f>AC871</f>
        <v/>
      </c>
      <c r="AD872" s="204" t="n"/>
      <c r="AE872" s="204" t="n"/>
      <c r="AF872" s="204" t="n"/>
      <c r="AG872" s="204" t="n"/>
      <c r="AH872" s="204" t="inlineStr">
        <is>
          <t>M2</t>
        </is>
      </c>
      <c r="AI872" s="207" t="n"/>
      <c r="AJ872" s="202" t="n"/>
      <c r="AK872" s="206" t="n"/>
      <c r="AL872" s="202" t="n"/>
      <c r="AM872" s="202" t="n"/>
      <c r="AN872" s="202" t="n"/>
      <c r="AO872" s="202" t="n"/>
      <c r="AP872" s="207" t="n"/>
      <c r="AQ872" s="207" t="n"/>
      <c r="AR872" s="202" t="inlineStr">
        <is>
          <t>Nhóm 1</t>
        </is>
      </c>
      <c r="AS872" s="202" t="n"/>
      <c r="AT872" s="202" t="inlineStr">
        <is>
          <t>HM24</t>
        </is>
      </c>
      <c r="AU872" s="202" t="inlineStr">
        <is>
          <t>PL04</t>
        </is>
      </c>
      <c r="AV872" s="202" t="n">
        <v>23</v>
      </c>
      <c r="AW872" s="202" t="n">
        <v>1</v>
      </c>
      <c r="AX872" s="202" t="n"/>
    </row>
    <row r="873" ht="28" customHeight="1" s="672">
      <c r="A873" s="56" t="inlineStr">
        <is>
          <t>NTCV</t>
        </is>
      </c>
      <c r="B873" s="56" t="inlineStr">
        <is>
          <t>K.9999</t>
        </is>
      </c>
      <c r="C873" s="56" t="inlineStr">
        <is>
          <t>NTCV.0760129</t>
        </is>
      </c>
      <c r="D873" s="57" t="n"/>
      <c r="E873" s="57" t="n"/>
      <c r="F873" s="57" t="n"/>
      <c r="G873" s="57" t="n"/>
      <c r="H873" s="57" t="n"/>
      <c r="J873" s="209" t="inlineStr">
        <is>
          <t>13</t>
        </is>
      </c>
      <c r="K873" s="209" t="inlineStr">
        <is>
          <t>K.9999</t>
        </is>
      </c>
      <c r="L873" s="210" t="inlineStr">
        <is>
          <t xml:space="preserve">Kiểm tra công tác khoan tạo lỗ cọc khoan nhồi </t>
        </is>
      </c>
      <c r="M873" s="210" t="n"/>
      <c r="N873" s="210" t="n"/>
      <c r="O873" s="211" t="inlineStr">
        <is>
          <t>Cầu Km19+529.080</t>
        </is>
      </c>
      <c r="P873" s="212">
        <f>S871</f>
        <v/>
      </c>
      <c r="Q873" s="212">
        <f>P873</f>
        <v/>
      </c>
      <c r="R873" s="212">
        <f>Q873-1</f>
        <v/>
      </c>
      <c r="S873" s="212">
        <f>Q873</f>
        <v/>
      </c>
      <c r="T873" s="213">
        <f>U871</f>
        <v/>
      </c>
      <c r="U873" s="213">
        <f>T873+V873</f>
        <v/>
      </c>
      <c r="V873" s="213" t="n">
        <v>0.3402777777777778</v>
      </c>
      <c r="W873" s="214">
        <f>TEXT(T873,"HH""h""MM'")&amp;"÷"&amp;TEXT(U873,"HH""h""MM'")</f>
        <v/>
      </c>
      <c r="X873" s="214" t="n"/>
      <c r="Y873" s="214" t="n"/>
      <c r="Z873" s="214" t="inlineStr">
        <is>
          <t>05;</t>
        </is>
      </c>
      <c r="AA873" s="215" t="inlineStr">
        <is>
          <t>Kiểm tra công tác khoan tạo lỗ Cọc khoan nhồi Mố M2 - Cọc C2</t>
        </is>
      </c>
      <c r="AB873" s="204" t="inlineStr">
        <is>
          <t>09-XL-307HG/PYCNT/CKN/M2/C2-1</t>
        </is>
      </c>
      <c r="AC873" s="204" t="inlineStr">
        <is>
          <t>09-XL-307HG/BBNT/CKN/M2/C2-5</t>
        </is>
      </c>
      <c r="AD873" s="204" t="n"/>
      <c r="AE873" s="204" t="n"/>
      <c r="AF873" s="204" t="n"/>
      <c r="AG873" s="204" t="n"/>
      <c r="AH873" s="204" t="n"/>
      <c r="AI873" s="216" t="n"/>
      <c r="AJ873" s="214" t="n"/>
      <c r="AK873" s="217" t="n"/>
      <c r="AL873" s="214" t="n"/>
      <c r="AM873" s="214" t="n"/>
      <c r="AN873" s="214" t="n"/>
      <c r="AO873" s="214" t="n"/>
      <c r="AP873" s="216" t="n"/>
      <c r="AQ873" s="216" t="n"/>
      <c r="AR873" s="214" t="inlineStr">
        <is>
          <t>Nhóm 1</t>
        </is>
      </c>
      <c r="AS873" s="214" t="n"/>
      <c r="AT873" s="214" t="inlineStr">
        <is>
          <t>HM24</t>
        </is>
      </c>
      <c r="AU873" s="214" t="inlineStr">
        <is>
          <t>NTCV</t>
        </is>
      </c>
      <c r="AV873" s="214" t="n">
        <v>308</v>
      </c>
      <c r="AW873" s="214" t="n">
        <v>4</v>
      </c>
      <c r="AX873" s="214" t="n"/>
    </row>
    <row r="874">
      <c r="A874" s="56" t="inlineStr">
        <is>
          <t>BBK638</t>
        </is>
      </c>
      <c r="B874" s="56" t="inlineStr">
        <is>
          <t>PL05</t>
        </is>
      </c>
      <c r="C874" s="56" t="inlineStr">
        <is>
          <t>BBK638.0264636</t>
        </is>
      </c>
      <c r="D874" s="57" t="n"/>
      <c r="E874" s="57" t="n"/>
      <c r="F874" s="57" t="n"/>
      <c r="G874" s="57" t="n"/>
      <c r="H874" s="57" t="n"/>
      <c r="J874" s="198" t="inlineStr">
        <is>
          <t>14</t>
        </is>
      </c>
      <c r="K874" s="198" t="inlineStr">
        <is>
          <t>PL05</t>
        </is>
      </c>
      <c r="L874" s="199" t="inlineStr">
        <is>
          <t>Kiểm tra công tác khoan tạo lỗ cọc khoan nhồi</t>
        </is>
      </c>
      <c r="M874" s="199" t="n"/>
      <c r="N874" s="199" t="n"/>
      <c r="O874" s="200" t="inlineStr">
        <is>
          <t>Cầu Km19+529.080</t>
        </is>
      </c>
      <c r="P874" s="201" t="n"/>
      <c r="Q874" s="201" t="n"/>
      <c r="R874" s="201" t="n"/>
      <c r="S874" s="201">
        <f>S873</f>
        <v/>
      </c>
      <c r="T874" s="208">
        <f>T873</f>
        <v/>
      </c>
      <c r="U874" s="208" t="n">
        <v>0.7152777777777778</v>
      </c>
      <c r="V874" s="208">
        <f>U874-T874</f>
        <v/>
      </c>
      <c r="W874" s="202" t="n"/>
      <c r="X874" s="202" t="n"/>
      <c r="Y874" s="202" t="n"/>
      <c r="Z874" s="198" t="inlineStr">
        <is>
          <t>05</t>
        </is>
      </c>
      <c r="AA874" s="203" t="n"/>
      <c r="AB874" s="204" t="inlineStr">
        <is>
          <t>09-XL-307HG/PYCNT/CKN/M2/C2</t>
        </is>
      </c>
      <c r="AC874" s="204">
        <f>AC873</f>
        <v/>
      </c>
      <c r="AD874" s="204" t="n"/>
      <c r="AE874" s="204" t="n"/>
      <c r="AF874" s="255" t="n">
        <v>188.836</v>
      </c>
      <c r="AG874" s="255" t="n"/>
      <c r="AH874" s="204" t="inlineStr">
        <is>
          <t>M2-C2</t>
        </is>
      </c>
      <c r="AI874" s="207" t="n"/>
      <c r="AJ874" s="202" t="n"/>
      <c r="AK874" s="206" t="n"/>
      <c r="AL874" s="202" t="n"/>
      <c r="AM874" s="202" t="n"/>
      <c r="AN874" s="202" t="n"/>
      <c r="AO874" s="202" t="n"/>
      <c r="AP874" s="207" t="n"/>
      <c r="AQ874" s="207" t="n"/>
      <c r="AR874" s="202" t="inlineStr">
        <is>
          <t>Nhóm 1</t>
        </is>
      </c>
      <c r="AS874" s="202" t="n"/>
      <c r="AT874" s="202" t="inlineStr">
        <is>
          <t>HM24</t>
        </is>
      </c>
      <c r="AU874" s="202" t="inlineStr">
        <is>
          <t>PL05</t>
        </is>
      </c>
      <c r="AV874" s="202" t="n">
        <v>23</v>
      </c>
      <c r="AW874" s="202" t="n">
        <v>1</v>
      </c>
      <c r="AX874" s="202" t="n"/>
    </row>
    <row r="875">
      <c r="A875" s="56" t="inlineStr">
        <is>
          <t>BBK680</t>
        </is>
      </c>
      <c r="B875" s="56" t="inlineStr">
        <is>
          <t>PYC</t>
        </is>
      </c>
      <c r="C875" s="56" t="inlineStr">
        <is>
          <t>BBK680.0138506</t>
        </is>
      </c>
      <c r="D875" s="57" t="n"/>
      <c r="E875" s="57" t="n"/>
      <c r="F875" s="57" t="n"/>
      <c r="G875" s="57" t="n"/>
      <c r="H875" s="57" t="n"/>
      <c r="J875" s="198" t="inlineStr">
        <is>
          <t>15</t>
        </is>
      </c>
      <c r="K875" s="198" t="inlineStr">
        <is>
          <t>PYC</t>
        </is>
      </c>
      <c r="L875" s="199" t="inlineStr">
        <is>
          <t>Phiếu yêu cầu nghiệm thu</t>
        </is>
      </c>
      <c r="M875" s="199" t="n"/>
      <c r="N875" s="199" t="n"/>
      <c r="O875" s="200" t="inlineStr">
        <is>
          <t>Cầu Km19+529.080</t>
        </is>
      </c>
      <c r="P875" s="201" t="n"/>
      <c r="Q875" s="201" t="n"/>
      <c r="R875" s="201">
        <f>R876</f>
        <v/>
      </c>
      <c r="S875" s="201" t="n"/>
      <c r="T875" s="201" t="n"/>
      <c r="U875" s="201" t="n"/>
      <c r="V875" s="201" t="n"/>
      <c r="W875" s="202" t="n"/>
      <c r="X875" s="202" t="n"/>
      <c r="Y875" s="202" t="n"/>
      <c r="Z875" s="202" t="n"/>
      <c r="AA875" s="203" t="n"/>
      <c r="AB875" s="204" t="inlineStr">
        <is>
          <t>09-XL-307HG/PYCNT/CKN/M2/C2</t>
        </is>
      </c>
      <c r="AC875" s="205" t="inlineStr"/>
      <c r="AD875" s="205" t="n"/>
      <c r="AE875" s="205" t="n"/>
      <c r="AF875" s="205" t="n"/>
      <c r="AG875" s="205" t="inlineStr">
        <is>
          <t>NTCV;BBKTĐK</t>
        </is>
      </c>
      <c r="AH875" s="204" t="inlineStr">
        <is>
          <t>&gt;=6;&lt;=10</t>
        </is>
      </c>
      <c r="AI875" s="202" t="n"/>
      <c r="AJ875" s="202" t="n"/>
      <c r="AK875" s="206" t="n"/>
      <c r="AL875" s="202" t="n"/>
      <c r="AM875" s="202" t="n"/>
      <c r="AN875" s="202" t="n"/>
      <c r="AO875" s="202" t="n"/>
      <c r="AP875" s="207" t="n"/>
      <c r="AQ875" s="207" t="n"/>
      <c r="AR875" s="202" t="inlineStr">
        <is>
          <t>Nhóm 1</t>
        </is>
      </c>
      <c r="AS875" s="202" t="n"/>
      <c r="AT875" s="202" t="inlineStr">
        <is>
          <t>HM24</t>
        </is>
      </c>
      <c r="AU875" s="202" t="inlineStr">
        <is>
          <t>PYC</t>
        </is>
      </c>
      <c r="AV875" s="202" t="n">
        <v>222</v>
      </c>
      <c r="AW875" s="202" t="n">
        <v>2</v>
      </c>
      <c r="AX875" s="202" t="n"/>
    </row>
    <row r="876" ht="42" customHeight="1" s="672">
      <c r="A876" s="56" t="inlineStr">
        <is>
          <t>NTCV</t>
        </is>
      </c>
      <c r="B876" s="56" t="inlineStr">
        <is>
          <t>K.9999</t>
        </is>
      </c>
      <c r="C876" s="56" t="inlineStr">
        <is>
          <t>NTCV.0042226</t>
        </is>
      </c>
      <c r="D876" s="57" t="n"/>
      <c r="E876" s="57" t="n"/>
      <c r="F876" s="57" t="n"/>
      <c r="G876" s="57" t="n"/>
      <c r="H876" s="57" t="n"/>
      <c r="J876" s="209" t="inlineStr">
        <is>
          <t>16</t>
        </is>
      </c>
      <c r="K876" s="209" t="inlineStr">
        <is>
          <t>K.9999</t>
        </is>
      </c>
      <c r="L876" s="210" t="inlineStr">
        <is>
          <t>Kiểm tra công tác vệ sinh lỗ khoan trước khi hạ lồng cốt thép cọc khoan nhồi</t>
        </is>
      </c>
      <c r="M876" s="210" t="n"/>
      <c r="N876" s="210" t="n"/>
      <c r="O876" s="211" t="inlineStr">
        <is>
          <t>Cầu Km19+529.080</t>
        </is>
      </c>
      <c r="P876" s="212">
        <f>S873+1</f>
        <v/>
      </c>
      <c r="Q876" s="212">
        <f>P876</f>
        <v/>
      </c>
      <c r="R876" s="212">
        <f>Q876-1</f>
        <v/>
      </c>
      <c r="S876" s="212">
        <f>Q876</f>
        <v/>
      </c>
      <c r="T876" s="213" t="n">
        <v>0.3333333333333333</v>
      </c>
      <c r="U876" s="213">
        <f>T876+V876</f>
        <v/>
      </c>
      <c r="V876" s="213" t="n">
        <v>0.01388888888888889</v>
      </c>
      <c r="W876" s="214">
        <f>TEXT(T876,"HH""h""MM'")&amp;"÷"&amp;TEXT(U876,"HH""h""MM'")</f>
        <v/>
      </c>
      <c r="X876" s="214" t="n"/>
      <c r="Y876" s="214" t="n"/>
      <c r="Z876" s="214" t="inlineStr">
        <is>
          <t>06;</t>
        </is>
      </c>
      <c r="AA876" s="215" t="inlineStr">
        <is>
          <t>Kiểm tra công tác vệ sinh lỗ khoan trước khi hạ lồng cốt thép Cọc khoan nhồi Mố M2 - Cọc C2</t>
        </is>
      </c>
      <c r="AB876" s="204" t="inlineStr">
        <is>
          <t>09-XL-307HG/PYCNT/CKN/M2/C2-2</t>
        </is>
      </c>
      <c r="AC876" s="204" t="inlineStr">
        <is>
          <t>09-XL-307HG/BBNT/CKN/M2/C2-6</t>
        </is>
      </c>
      <c r="AD876" s="204" t="n"/>
      <c r="AE876" s="204" t="n"/>
      <c r="AF876" s="204" t="n"/>
      <c r="AG876" s="204" t="n"/>
      <c r="AH876" s="204" t="n"/>
      <c r="AI876" s="216" t="n"/>
      <c r="AJ876" s="214" t="n"/>
      <c r="AK876" s="217" t="n"/>
      <c r="AL876" s="214" t="n"/>
      <c r="AM876" s="214" t="n"/>
      <c r="AN876" s="214" t="n"/>
      <c r="AO876" s="214" t="n"/>
      <c r="AP876" s="216" t="n"/>
      <c r="AQ876" s="216" t="n"/>
      <c r="AR876" s="214" t="inlineStr">
        <is>
          <t>Nhóm 1</t>
        </is>
      </c>
      <c r="AS876" s="214" t="n"/>
      <c r="AT876" s="214" t="inlineStr">
        <is>
          <t>HM24</t>
        </is>
      </c>
      <c r="AU876" s="214" t="inlineStr">
        <is>
          <t>NTCV</t>
        </is>
      </c>
      <c r="AV876" s="214" t="n">
        <v>315</v>
      </c>
      <c r="AW876" s="214" t="n">
        <v>5</v>
      </c>
      <c r="AX876" s="214" t="n"/>
    </row>
    <row r="877" ht="28" customHeight="1" s="672">
      <c r="A877" s="56" t="inlineStr">
        <is>
          <t>BBK570</t>
        </is>
      </c>
      <c r="B877" s="56" t="inlineStr">
        <is>
          <t>PL06</t>
        </is>
      </c>
      <c r="C877" s="56" t="inlineStr">
        <is>
          <t>BBK570.0692577</t>
        </is>
      </c>
      <c r="D877" s="57" t="n"/>
      <c r="E877" s="57" t="n"/>
      <c r="F877" s="57" t="n"/>
      <c r="G877" s="57" t="n"/>
      <c r="H877" s="57" t="n"/>
      <c r="J877" s="198" t="inlineStr">
        <is>
          <t>17</t>
        </is>
      </c>
      <c r="K877" s="198" t="inlineStr">
        <is>
          <t>PL06</t>
        </is>
      </c>
      <c r="L877" s="199" t="inlineStr">
        <is>
          <t>Kiểm tra công tác vệ sinh lỗ khoan trước khi hạ lồng cốt thép cọc khoan nhồi</t>
        </is>
      </c>
      <c r="M877" s="199" t="n"/>
      <c r="N877" s="199" t="n"/>
      <c r="O877" s="200" t="inlineStr">
        <is>
          <t>Cầu Km19+529.080</t>
        </is>
      </c>
      <c r="P877" s="201" t="n"/>
      <c r="Q877" s="201" t="n"/>
      <c r="R877" s="201" t="n"/>
      <c r="S877" s="201">
        <f>S876</f>
        <v/>
      </c>
      <c r="T877" s="201" t="n"/>
      <c r="U877" s="201" t="n"/>
      <c r="V877" s="201" t="n"/>
      <c r="W877" s="202" t="n"/>
      <c r="X877" s="265" t="n">
        <v>150.836</v>
      </c>
      <c r="Y877" s="265">
        <f>X877-0.02</f>
        <v/>
      </c>
      <c r="Z877" s="198" t="inlineStr">
        <is>
          <t>06</t>
        </is>
      </c>
      <c r="AA877" s="203" t="n"/>
      <c r="AB877" s="204" t="inlineStr">
        <is>
          <t>09-XL-307HG/PYCNT/CKN/M2/C2-2</t>
        </is>
      </c>
      <c r="AC877" s="204">
        <f>AC876</f>
        <v/>
      </c>
      <c r="AD877" s="204" t="n"/>
      <c r="AE877" s="204" t="n"/>
      <c r="AF877" s="204" t="n"/>
      <c r="AG877" s="204" t="n"/>
      <c r="AH877" s="204" t="n"/>
      <c r="AI877" s="202" t="n"/>
      <c r="AJ877" s="202" t="n"/>
      <c r="AK877" s="206" t="n"/>
      <c r="AL877" s="202" t="n"/>
      <c r="AM877" s="202" t="n"/>
      <c r="AN877" s="202" t="n"/>
      <c r="AO877" s="202" t="n"/>
      <c r="AP877" s="207" t="n"/>
      <c r="AQ877" s="207" t="n"/>
      <c r="AR877" s="202" t="inlineStr">
        <is>
          <t>Nhóm 1</t>
        </is>
      </c>
      <c r="AS877" s="202" t="n"/>
      <c r="AT877" s="202" t="inlineStr">
        <is>
          <t>HM24</t>
        </is>
      </c>
      <c r="AU877" s="202" t="inlineStr">
        <is>
          <t>PL06</t>
        </is>
      </c>
      <c r="AV877" s="202" t="n">
        <v>23</v>
      </c>
      <c r="AW877" s="202" t="n">
        <v>1</v>
      </c>
      <c r="AX877" s="202" t="n"/>
    </row>
    <row r="878" ht="28" customHeight="1" s="672">
      <c r="A878" s="56" t="inlineStr">
        <is>
          <t>NTCV</t>
        </is>
      </c>
      <c r="B878" s="56" t="inlineStr">
        <is>
          <t>K.9999</t>
        </is>
      </c>
      <c r="C878" s="56" t="inlineStr">
        <is>
          <t>NTCV.0844490</t>
        </is>
      </c>
      <c r="D878" s="57" t="n"/>
      <c r="E878" s="57" t="n"/>
      <c r="F878" s="57" t="n"/>
      <c r="G878" s="57" t="n"/>
      <c r="H878" s="57" t="n"/>
      <c r="J878" s="209" t="inlineStr">
        <is>
          <t>18</t>
        </is>
      </c>
      <c r="K878" s="209" t="inlineStr">
        <is>
          <t>K.9999</t>
        </is>
      </c>
      <c r="L878" s="210" t="inlineStr">
        <is>
          <t xml:space="preserve">Nghiệm thu công tác hạ lồng thép </t>
        </is>
      </c>
      <c r="M878" s="210" t="n"/>
      <c r="N878" s="210" t="n"/>
      <c r="O878" s="211" t="inlineStr">
        <is>
          <t>Cầu Km19+529.080</t>
        </is>
      </c>
      <c r="P878" s="212">
        <f>S876</f>
        <v/>
      </c>
      <c r="Q878" s="212">
        <f>P878</f>
        <v/>
      </c>
      <c r="R878" s="212">
        <f>Q878-1</f>
        <v/>
      </c>
      <c r="S878" s="212">
        <f>Q878</f>
        <v/>
      </c>
      <c r="T878" s="213">
        <f>U876</f>
        <v/>
      </c>
      <c r="U878" s="213">
        <f>T878+V878</f>
        <v/>
      </c>
      <c r="V878" s="213" t="n">
        <v>0.03125</v>
      </c>
      <c r="W878" s="214">
        <f>TEXT(T878,"HH""h""MM'")&amp;"÷"&amp;TEXT(U878,"HH""h""MM'")</f>
        <v/>
      </c>
      <c r="X878" s="214" t="n"/>
      <c r="Y878" s="214" t="n"/>
      <c r="Z878" s="214" t="inlineStr">
        <is>
          <t>07;</t>
        </is>
      </c>
      <c r="AA878" s="215" t="inlineStr">
        <is>
          <t>Công tác hạ lồng thép Cọc khoan nhồi Mố M2 - Cọc C2</t>
        </is>
      </c>
      <c r="AB878" s="204" t="inlineStr">
        <is>
          <t>09-XL-307HG/PYCNT/CKN/M2/C2-2</t>
        </is>
      </c>
      <c r="AC878" s="204" t="inlineStr">
        <is>
          <t>09-XL-307HG/BBNT/CKN/M2/C2-7</t>
        </is>
      </c>
      <c r="AD878" s="204" t="n"/>
      <c r="AE878" s="204" t="n"/>
      <c r="AF878" s="204" t="n"/>
      <c r="AG878" s="204" t="n"/>
      <c r="AH878" s="204" t="n"/>
      <c r="AI878" s="214" t="n"/>
      <c r="AJ878" s="214" t="n"/>
      <c r="AK878" s="217" t="n"/>
      <c r="AL878" s="214" t="n"/>
      <c r="AM878" s="214" t="n"/>
      <c r="AN878" s="214" t="n"/>
      <c r="AO878" s="214" t="n"/>
      <c r="AP878" s="216" t="n"/>
      <c r="AQ878" s="216" t="n"/>
      <c r="AR878" s="214" t="inlineStr">
        <is>
          <t>Nhóm 1</t>
        </is>
      </c>
      <c r="AS878" s="214" t="n"/>
      <c r="AT878" s="214" t="inlineStr">
        <is>
          <t>HM24</t>
        </is>
      </c>
      <c r="AU878" s="214" t="inlineStr">
        <is>
          <t>NTCV</t>
        </is>
      </c>
      <c r="AV878" s="214" t="n">
        <v>316</v>
      </c>
      <c r="AW878" s="214" t="n">
        <v>6</v>
      </c>
      <c r="AX878" s="214" t="n"/>
    </row>
    <row r="879">
      <c r="A879" s="56" t="inlineStr">
        <is>
          <t>BBK396</t>
        </is>
      </c>
      <c r="B879" s="56" t="inlineStr">
        <is>
          <t>PL07</t>
        </is>
      </c>
      <c r="C879" s="56" t="inlineStr">
        <is>
          <t>BBK396.0517351</t>
        </is>
      </c>
      <c r="D879" s="57" t="n"/>
      <c r="E879" s="57" t="n"/>
      <c r="F879" s="57" t="n"/>
      <c r="G879" s="57" t="n"/>
      <c r="H879" s="57" t="n"/>
      <c r="J879" s="198" t="inlineStr">
        <is>
          <t>19</t>
        </is>
      </c>
      <c r="K879" s="198" t="inlineStr">
        <is>
          <t>PL07</t>
        </is>
      </c>
      <c r="L879" s="199" t="inlineStr">
        <is>
          <t>Nghiệm thu công tác hạ lồng thép</t>
        </is>
      </c>
      <c r="M879" s="199" t="n"/>
      <c r="N879" s="199" t="n"/>
      <c r="O879" s="200" t="inlineStr">
        <is>
          <t>Cầu Km19+529.080</t>
        </is>
      </c>
      <c r="P879" s="201" t="n"/>
      <c r="Q879" s="201" t="n"/>
      <c r="R879" s="201" t="n"/>
      <c r="S879" s="201">
        <f>S878</f>
        <v/>
      </c>
      <c r="T879" s="201" t="n"/>
      <c r="U879" s="201" t="n"/>
      <c r="V879" s="201" t="n"/>
      <c r="W879" s="202" t="n"/>
      <c r="X879" s="202" t="n"/>
      <c r="Y879" s="202" t="n"/>
      <c r="Z879" s="198" t="inlineStr">
        <is>
          <t>07</t>
        </is>
      </c>
      <c r="AA879" s="203" t="n"/>
      <c r="AB879" s="204" t="inlineStr">
        <is>
          <t>09-XL-307HG/PYCNT/CKN/M2/C2-2</t>
        </is>
      </c>
      <c r="AC879" s="204">
        <f>AC878</f>
        <v/>
      </c>
      <c r="AD879" s="204" t="n"/>
      <c r="AE879" s="204" t="n"/>
      <c r="AF879" s="204" t="n"/>
      <c r="AG879" s="204" t="n"/>
      <c r="AH879" s="204" t="n"/>
      <c r="AI879" s="202" t="n"/>
      <c r="AJ879" s="202" t="n"/>
      <c r="AK879" s="206" t="n"/>
      <c r="AL879" s="202" t="n"/>
      <c r="AM879" s="202" t="n"/>
      <c r="AN879" s="202" t="n"/>
      <c r="AO879" s="202" t="n"/>
      <c r="AP879" s="207" t="n"/>
      <c r="AQ879" s="207" t="n"/>
      <c r="AR879" s="202" t="inlineStr">
        <is>
          <t>Nhóm 1</t>
        </is>
      </c>
      <c r="AS879" s="202" t="n"/>
      <c r="AT879" s="202" t="inlineStr">
        <is>
          <t>HM24</t>
        </is>
      </c>
      <c r="AU879" s="202" t="inlineStr">
        <is>
          <t>PL07</t>
        </is>
      </c>
      <c r="AV879" s="202" t="n">
        <v>23</v>
      </c>
      <c r="AW879" s="202" t="n">
        <v>1</v>
      </c>
      <c r="AX879" s="202" t="n"/>
    </row>
    <row r="880" ht="42" customHeight="1" s="672">
      <c r="A880" s="56" t="inlineStr">
        <is>
          <t>NTCV</t>
        </is>
      </c>
      <c r="B880" s="56" t="inlineStr">
        <is>
          <t>K.9999</t>
        </is>
      </c>
      <c r="C880" s="56" t="inlineStr">
        <is>
          <t>NTCV.0800465</t>
        </is>
      </c>
      <c r="D880" s="57" t="n"/>
      <c r="E880" s="57" t="n"/>
      <c r="F880" s="57" t="n"/>
      <c r="G880" s="57" t="n"/>
      <c r="H880" s="57" t="n"/>
      <c r="J880" s="209" t="inlineStr">
        <is>
          <t>20</t>
        </is>
      </c>
      <c r="K880" s="209" t="inlineStr">
        <is>
          <t>K.9999</t>
        </is>
      </c>
      <c r="L880" s="210" t="inlineStr">
        <is>
          <t xml:space="preserve">Kiểm tra công tác vệ sinh lỗ khoan cọc khoan nhồi trước khi đổ bê tông </t>
        </is>
      </c>
      <c r="M880" s="210" t="n"/>
      <c r="N880" s="210" t="n"/>
      <c r="O880" s="211" t="inlineStr">
        <is>
          <t>Cầu Km19+529.080</t>
        </is>
      </c>
      <c r="P880" s="212">
        <f>S878</f>
        <v/>
      </c>
      <c r="Q880" s="212">
        <f>P880</f>
        <v/>
      </c>
      <c r="R880" s="212">
        <f>Q880-1</f>
        <v/>
      </c>
      <c r="S880" s="212">
        <f>Q880</f>
        <v/>
      </c>
      <c r="T880" s="213">
        <f>U878</f>
        <v/>
      </c>
      <c r="U880" s="213">
        <f>T880+V880</f>
        <v/>
      </c>
      <c r="V880" s="213" t="n">
        <v>0.02083333333333333</v>
      </c>
      <c r="W880" s="214">
        <f>TEXT(T880,"HH""h""MM'")&amp;"÷"&amp;TEXT(U880,"HH""h""MM'")</f>
        <v/>
      </c>
      <c r="X880" s="214" t="n"/>
      <c r="Y880" s="214" t="n"/>
      <c r="Z880" s="214" t="inlineStr">
        <is>
          <t>08;</t>
        </is>
      </c>
      <c r="AA880" s="215" t="inlineStr">
        <is>
          <t>Kiểm tra công tác vệ sinh lỗ khoan cọc khoan nhồi trước khi đổ bê tông Cọc khoan nhồi Mố M2 - Cọc C2</t>
        </is>
      </c>
      <c r="AB880" s="204" t="inlineStr">
        <is>
          <t>09-XL-307HG/PYCNT/CKN/M2/C2-2</t>
        </is>
      </c>
      <c r="AC880" s="204" t="inlineStr">
        <is>
          <t>09-XL-307HG/BBNT/CKN/M2/C2-8</t>
        </is>
      </c>
      <c r="AD880" s="204" t="n"/>
      <c r="AE880" s="204" t="n"/>
      <c r="AF880" s="204" t="n"/>
      <c r="AG880" s="204" t="n"/>
      <c r="AH880" s="204" t="n"/>
      <c r="AI880" s="214" t="n"/>
      <c r="AJ880" s="214" t="n"/>
      <c r="AK880" s="217" t="n"/>
      <c r="AL880" s="214" t="n"/>
      <c r="AM880" s="214" t="n"/>
      <c r="AN880" s="214" t="n"/>
      <c r="AO880" s="214" t="n"/>
      <c r="AP880" s="216" t="n"/>
      <c r="AQ880" s="216" t="n"/>
      <c r="AR880" s="214" t="inlineStr">
        <is>
          <t>Nhóm 1</t>
        </is>
      </c>
      <c r="AS880" s="214" t="n"/>
      <c r="AT880" s="214" t="inlineStr">
        <is>
          <t>HM24</t>
        </is>
      </c>
      <c r="AU880" s="214" t="inlineStr">
        <is>
          <t>NTCV</t>
        </is>
      </c>
      <c r="AV880" s="214" t="n">
        <v>323</v>
      </c>
      <c r="AW880" s="214" t="n">
        <v>7</v>
      </c>
      <c r="AX880" s="214" t="n"/>
    </row>
    <row r="881" ht="28" customHeight="1" s="672">
      <c r="A881" s="56" t="inlineStr">
        <is>
          <t>BBK521</t>
        </is>
      </c>
      <c r="B881" s="56" t="inlineStr">
        <is>
          <t>PL08</t>
        </is>
      </c>
      <c r="C881" s="56" t="inlineStr">
        <is>
          <t>BBK521.0983533</t>
        </is>
      </c>
      <c r="D881" s="57" t="n"/>
      <c r="E881" s="57" t="n"/>
      <c r="F881" s="57" t="n"/>
      <c r="G881" s="57" t="n"/>
      <c r="H881" s="57" t="n"/>
      <c r="J881" s="198" t="inlineStr">
        <is>
          <t>21</t>
        </is>
      </c>
      <c r="K881" s="198" t="inlineStr">
        <is>
          <t>PL08</t>
        </is>
      </c>
      <c r="L881" s="199" t="inlineStr">
        <is>
          <t>Kiểm tra công tác vệ sinh lỗ khoan cọc khoan nhồi trước khi đổ bê tông</t>
        </is>
      </c>
      <c r="M881" s="199" t="n"/>
      <c r="N881" s="199" t="n"/>
      <c r="O881" s="200" t="inlineStr">
        <is>
          <t>Cầu Km19+529.080</t>
        </is>
      </c>
      <c r="P881" s="201" t="n"/>
      <c r="Q881" s="201" t="n"/>
      <c r="R881" s="201" t="n"/>
      <c r="S881" s="201">
        <f>S880</f>
        <v/>
      </c>
      <c r="T881" s="201" t="n"/>
      <c r="U881" s="201" t="n"/>
      <c r="V881" s="201" t="n"/>
      <c r="W881" s="202" t="n"/>
      <c r="X881" s="202" t="n"/>
      <c r="Y881" s="202" t="n"/>
      <c r="Z881" s="198" t="inlineStr">
        <is>
          <t>08</t>
        </is>
      </c>
      <c r="AA881" s="203" t="n"/>
      <c r="AB881" s="204" t="inlineStr">
        <is>
          <t>09-XL-307HG/PYCNT/CKN/M2/C2-2</t>
        </is>
      </c>
      <c r="AC881" s="204">
        <f>AC880</f>
        <v/>
      </c>
      <c r="AD881" s="204" t="n"/>
      <c r="AE881" s="204" t="n"/>
      <c r="AF881" s="204" t="n"/>
      <c r="AG881" s="204" t="n"/>
      <c r="AH881" s="204" t="n"/>
      <c r="AI881" s="202" t="n"/>
      <c r="AJ881" s="202" t="n"/>
      <c r="AK881" s="206" t="n"/>
      <c r="AL881" s="202" t="n"/>
      <c r="AM881" s="202" t="n"/>
      <c r="AN881" s="202" t="n"/>
      <c r="AO881" s="202" t="n"/>
      <c r="AP881" s="207" t="n"/>
      <c r="AQ881" s="207" t="n"/>
      <c r="AR881" s="202" t="inlineStr">
        <is>
          <t>Nhóm 1</t>
        </is>
      </c>
      <c r="AS881" s="202" t="n"/>
      <c r="AT881" s="202" t="inlineStr">
        <is>
          <t>HM24</t>
        </is>
      </c>
      <c r="AU881" s="202" t="inlineStr">
        <is>
          <t>PL08</t>
        </is>
      </c>
      <c r="AV881" s="202" t="n">
        <v>23</v>
      </c>
      <c r="AW881" s="202" t="n">
        <v>1</v>
      </c>
      <c r="AX881" s="202" t="n"/>
    </row>
    <row r="882" ht="28" customHeight="1" s="672">
      <c r="A882" s="56" t="inlineStr">
        <is>
          <t>NTCV</t>
        </is>
      </c>
      <c r="B882" s="56" t="inlineStr">
        <is>
          <t>K.9999</t>
        </is>
      </c>
      <c r="C882" s="56" t="inlineStr">
        <is>
          <t>NTCV.0524598</t>
        </is>
      </c>
      <c r="D882" s="57" t="n"/>
      <c r="E882" s="57" t="n"/>
      <c r="F882" s="57" t="n"/>
      <c r="G882" s="57" t="n"/>
      <c r="H882" s="57" t="n"/>
      <c r="J882" s="209" t="inlineStr">
        <is>
          <t>22</t>
        </is>
      </c>
      <c r="K882" s="209" t="inlineStr">
        <is>
          <t>K.9999</t>
        </is>
      </c>
      <c r="L882" s="210" t="inlineStr">
        <is>
          <t xml:space="preserve">Kiểm tra công tác chuẩn bị đổ bê tông cọc khoan nhồi </t>
        </is>
      </c>
      <c r="M882" s="210" t="n"/>
      <c r="N882" s="210" t="n"/>
      <c r="O882" s="211" t="inlineStr">
        <is>
          <t>Cầu Km19+529.080</t>
        </is>
      </c>
      <c r="P882" s="212">
        <f>S880</f>
        <v/>
      </c>
      <c r="Q882" s="212">
        <f>P882</f>
        <v/>
      </c>
      <c r="R882" s="212">
        <f>Q882-1</f>
        <v/>
      </c>
      <c r="S882" s="212">
        <f>Q882</f>
        <v/>
      </c>
      <c r="T882" s="213">
        <f>U880</f>
        <v/>
      </c>
      <c r="U882" s="213">
        <f>T882+V882</f>
        <v/>
      </c>
      <c r="V882" s="213" t="n">
        <v>0.02083333333333333</v>
      </c>
      <c r="W882" s="214">
        <f>TEXT(T882,"HH""h""MM'")&amp;"÷"&amp;TEXT(U882,"HH""h""MM'")</f>
        <v/>
      </c>
      <c r="X882" s="214" t="n"/>
      <c r="Y882" s="214" t="n"/>
      <c r="Z882" s="214" t="inlineStr">
        <is>
          <t>09;</t>
        </is>
      </c>
      <c r="AA882" s="215" t="inlineStr">
        <is>
          <t>Kiểm tra công tác chuẩn bị đổ bê tông Cọc khoan nhồi Mố M2 - Cọc C2</t>
        </is>
      </c>
      <c r="AB882" s="204" t="inlineStr">
        <is>
          <t>09-XL-307HG/PYCNT/CKN/M2/C2-2</t>
        </is>
      </c>
      <c r="AC882" s="204" t="inlineStr">
        <is>
          <t>09-XL-307HG/BBNT/CKN/M2/C2-9</t>
        </is>
      </c>
      <c r="AD882" s="204" t="n"/>
      <c r="AE882" s="204" t="n"/>
      <c r="AF882" s="204" t="n"/>
      <c r="AG882" s="204" t="n"/>
      <c r="AH882" s="204" t="n"/>
      <c r="AI882" s="214" t="n"/>
      <c r="AJ882" s="214" t="n"/>
      <c r="AK882" s="217" t="n"/>
      <c r="AL882" s="214" t="n"/>
      <c r="AM882" s="214" t="n"/>
      <c r="AN882" s="214" t="n"/>
      <c r="AO882" s="214" t="n"/>
      <c r="AP882" s="216" t="n"/>
      <c r="AQ882" s="216" t="n"/>
      <c r="AR882" s="214" t="inlineStr">
        <is>
          <t>Nhóm 1</t>
        </is>
      </c>
      <c r="AS882" s="214" t="n"/>
      <c r="AT882" s="214" t="inlineStr">
        <is>
          <t>HM24</t>
        </is>
      </c>
      <c r="AU882" s="214" t="inlineStr">
        <is>
          <t>NTCV</t>
        </is>
      </c>
      <c r="AV882" s="214" t="n">
        <v>324</v>
      </c>
      <c r="AW882" s="214" t="n">
        <v>8</v>
      </c>
      <c r="AX882" s="214" t="n"/>
    </row>
    <row r="883">
      <c r="A883" s="56" t="inlineStr">
        <is>
          <t>BBK209</t>
        </is>
      </c>
      <c r="B883" s="56" t="inlineStr">
        <is>
          <t>PL09</t>
        </is>
      </c>
      <c r="C883" s="56" t="inlineStr">
        <is>
          <t>BBK209.0068091</t>
        </is>
      </c>
      <c r="D883" s="57" t="n"/>
      <c r="E883" s="57" t="n"/>
      <c r="F883" s="57" t="n"/>
      <c r="G883" s="57" t="n"/>
      <c r="H883" s="57" t="n"/>
      <c r="J883" s="198" t="inlineStr">
        <is>
          <t>23</t>
        </is>
      </c>
      <c r="K883" s="198" t="inlineStr">
        <is>
          <t>PL09</t>
        </is>
      </c>
      <c r="L883" s="199" t="inlineStr">
        <is>
          <t>Kiểm tra công tác chuẩn bị đổ bê tông cọc khoan nhồi</t>
        </is>
      </c>
      <c r="M883" s="199" t="n"/>
      <c r="N883" s="199" t="n"/>
      <c r="O883" s="200" t="inlineStr">
        <is>
          <t>Cầu Km19+529.080</t>
        </is>
      </c>
      <c r="P883" s="201" t="n"/>
      <c r="Q883" s="201" t="n"/>
      <c r="R883" s="201" t="n"/>
      <c r="S883" s="201">
        <f>S882</f>
        <v/>
      </c>
      <c r="T883" s="201" t="n"/>
      <c r="U883" s="201" t="n"/>
      <c r="V883" s="201" t="n"/>
      <c r="W883" s="202" t="n"/>
      <c r="X883" s="202" t="n"/>
      <c r="Y883" s="202" t="n"/>
      <c r="Z883" s="198" t="inlineStr">
        <is>
          <t>09</t>
        </is>
      </c>
      <c r="AA883" s="203" t="n"/>
      <c r="AB883" s="204" t="inlineStr">
        <is>
          <t>09-XL-307HG/PYCNT/CKN/M2/C2-2</t>
        </is>
      </c>
      <c r="AC883" s="204">
        <f>AC882</f>
        <v/>
      </c>
      <c r="AD883" s="204" t="n"/>
      <c r="AE883" s="204" t="n"/>
      <c r="AF883" s="204" t="n"/>
      <c r="AG883" s="204" t="n"/>
      <c r="AH883" s="204" t="inlineStr">
        <is>
          <t>C30(1)</t>
        </is>
      </c>
      <c r="AI883" s="202" t="n"/>
      <c r="AJ883" s="202" t="n"/>
      <c r="AK883" s="206" t="n"/>
      <c r="AL883" s="202" t="n"/>
      <c r="AM883" s="202" t="n"/>
      <c r="AN883" s="202" t="n"/>
      <c r="AO883" s="202" t="n"/>
      <c r="AP883" s="207" t="n"/>
      <c r="AQ883" s="207" t="n"/>
      <c r="AR883" s="202" t="inlineStr">
        <is>
          <t>Nhóm 1</t>
        </is>
      </c>
      <c r="AS883" s="202" t="n"/>
      <c r="AT883" s="202" t="inlineStr">
        <is>
          <t>HM24</t>
        </is>
      </c>
      <c r="AU883" s="202" t="inlineStr">
        <is>
          <t>PL09</t>
        </is>
      </c>
      <c r="AV883" s="202" t="n">
        <v>23</v>
      </c>
      <c r="AW883" s="202" t="n">
        <v>1</v>
      </c>
      <c r="AX883" s="202" t="n"/>
    </row>
    <row r="884" ht="28" customHeight="1" s="672">
      <c r="A884" s="56" t="inlineStr">
        <is>
          <t>NTCV</t>
        </is>
      </c>
      <c r="B884" s="56" t="inlineStr">
        <is>
          <t>K.9999</t>
        </is>
      </c>
      <c r="C884" s="56" t="inlineStr">
        <is>
          <t>NTCV.0625053</t>
        </is>
      </c>
      <c r="D884" s="57" t="n"/>
      <c r="E884" s="57" t="n"/>
      <c r="F884" s="57" t="n"/>
      <c r="G884" s="57" t="n"/>
      <c r="H884" s="57" t="n"/>
      <c r="J884" s="209" t="inlineStr">
        <is>
          <t>24</t>
        </is>
      </c>
      <c r="K884" s="209" t="inlineStr">
        <is>
          <t>K.9999</t>
        </is>
      </c>
      <c r="L884" s="210" t="inlineStr">
        <is>
          <t>Theo dõi quá trình đổ bê tông cọc khoan nhồi</t>
        </is>
      </c>
      <c r="M884" s="210" t="n"/>
      <c r="N884" s="210" t="n"/>
      <c r="O884" s="211" t="inlineStr">
        <is>
          <t>Cầu Km19+529.080</t>
        </is>
      </c>
      <c r="P884" s="212">
        <f>S882</f>
        <v/>
      </c>
      <c r="Q884" s="212">
        <f>P884</f>
        <v/>
      </c>
      <c r="R884" s="212">
        <f>Q884-1</f>
        <v/>
      </c>
      <c r="S884" s="212">
        <f>Q884</f>
        <v/>
      </c>
      <c r="T884" s="213">
        <f>U882</f>
        <v/>
      </c>
      <c r="U884" s="213">
        <f>T884+V884</f>
        <v/>
      </c>
      <c r="V884" s="213" t="n">
        <v>0.1458333333333333</v>
      </c>
      <c r="W884" s="214">
        <f>TEXT(T884,"HH""h""MM'")&amp;"÷"&amp;TEXT(U884,"HH""h""MM'")</f>
        <v/>
      </c>
      <c r="X884" s="214" t="n"/>
      <c r="Y884" s="214" t="n"/>
      <c r="Z884" s="214" t="inlineStr">
        <is>
          <t>10;</t>
        </is>
      </c>
      <c r="AA884" s="215" t="inlineStr">
        <is>
          <t>Theo dõi quá trình đổ bê tông  Cọc khoan nhồi Mố M2 - Cọc C2</t>
        </is>
      </c>
      <c r="AB884" s="204" t="inlineStr">
        <is>
          <t>09-XL-307HG/PYCNT/CKN/M2/C2-2</t>
        </is>
      </c>
      <c r="AC884" s="204" t="inlineStr">
        <is>
          <t>09-XL-307HG/BBNT/CKN/M2/C2-10</t>
        </is>
      </c>
      <c r="AD884" s="204" t="n"/>
      <c r="AE884" s="204" t="n"/>
      <c r="AF884" s="204" t="n"/>
      <c r="AG884" s="204" t="n"/>
      <c r="AH884" s="204" t="n"/>
      <c r="AI884" s="214" t="n"/>
      <c r="AJ884" s="214" t="n"/>
      <c r="AK884" s="217" t="n"/>
      <c r="AL884" s="214" t="n"/>
      <c r="AM884" s="214" t="n"/>
      <c r="AN884" s="214" t="n"/>
      <c r="AO884" s="214" t="n"/>
      <c r="AP884" s="216" t="n"/>
      <c r="AQ884" s="216" t="n"/>
      <c r="AR884" s="214" t="inlineStr">
        <is>
          <t>Nhóm 1</t>
        </is>
      </c>
      <c r="AS884" s="214" t="n"/>
      <c r="AT884" s="214" t="inlineStr">
        <is>
          <t>HM24</t>
        </is>
      </c>
      <c r="AU884" s="214" t="inlineStr">
        <is>
          <t>NTCV</t>
        </is>
      </c>
      <c r="AV884" s="214" t="n">
        <v>325</v>
      </c>
      <c r="AW884" s="214" t="n">
        <v>9</v>
      </c>
      <c r="AX884" s="214" t="n"/>
    </row>
    <row r="885" ht="210" customHeight="1" s="672">
      <c r="A885" s="56" t="inlineStr">
        <is>
          <t>LMHT</t>
        </is>
      </c>
      <c r="B885" s="56" t="inlineStr">
        <is>
          <t>LMHT</t>
        </is>
      </c>
      <c r="C885" s="56" t="inlineStr">
        <is>
          <t>LMHT.0329349</t>
        </is>
      </c>
      <c r="D885" s="57" t="inlineStr">
        <is>
          <t>TC.000041|TC.000182|TC.000169.A</t>
        </is>
      </c>
      <c r="E885" s="57" t="n"/>
      <c r="F885" s="57" t="inlineStr">
        <is>
          <t>CP.0001^Cọc khoan nhồi Mố M2 - Cọc C2^Hình trụ 15x30 (cm)^12^30 Mpa, 18±2^^^TC.000041|TC.000182|TC.000169.A</t>
        </is>
      </c>
      <c r="G885" s="57" t="n"/>
      <c r="H885" s="57" t="inlineStr">
        <is>
          <t>^^A|C|J|O|S|X|Z^Stt|Hạng mục|Cấp bê tông|Kích thước mẫu|Số lượng mẫu|Ghi chú^|||||</t>
        </is>
      </c>
      <c r="J885" s="256" t="inlineStr">
        <is>
          <t>25</t>
        </is>
      </c>
      <c r="K885" s="256" t="inlineStr">
        <is>
          <t>LMHT</t>
        </is>
      </c>
      <c r="L885" s="257" t="inlineStr">
        <is>
          <t>Lấy mẫu bê tông Cọc khoan nhồi, 30(1) Mpa Mố M2 - Cọc C2</t>
        </is>
      </c>
      <c r="M885" s="257" t="n"/>
      <c r="N885" s="257" t="n"/>
      <c r="O885" s="258" t="inlineStr">
        <is>
          <t>Cầu Km19+529.080</t>
        </is>
      </c>
      <c r="P885" s="259" t="n"/>
      <c r="Q885" s="259" t="n"/>
      <c r="R885" s="259" t="n"/>
      <c r="S885" s="259">
        <f>S884</f>
        <v/>
      </c>
      <c r="T885" s="260">
        <f>T884</f>
        <v/>
      </c>
      <c r="U885" s="260">
        <f>U884</f>
        <v/>
      </c>
      <c r="V885" s="260">
        <f>V884</f>
        <v/>
      </c>
      <c r="W885" s="261">
        <f>TEXT(T885,"HH""h""MM'")&amp;"÷"&amp;TEXT(U885,"HH""h""MM'")</f>
        <v/>
      </c>
      <c r="X885" s="262" t="n"/>
      <c r="Y885" s="262" t="n"/>
      <c r="Z885" s="262" t="n"/>
      <c r="AA885" s="262" t="n"/>
      <c r="AB885" s="263" t="inlineStr">
        <is>
          <t>09-XL-307HG/PYCNT/CKN/M2/C2-2</t>
        </is>
      </c>
      <c r="AC885" s="263" t="inlineStr"/>
      <c r="AD885" s="264" t="n"/>
      <c r="AE885" s="264" t="n"/>
      <c r="AF885" s="264" t="n"/>
      <c r="AG885" s="264" t="n"/>
      <c r="AH885" s="264" t="n"/>
      <c r="AI885" s="257" t="n"/>
      <c r="AJ885" s="262" t="n"/>
      <c r="AK885" s="258" t="n"/>
      <c r="AL885" s="262" t="n"/>
      <c r="AM885" s="262" t="n"/>
      <c r="AN885" s="262" t="n"/>
      <c r="AO885" s="262" t="n"/>
      <c r="AP885" s="263" t="inlineStr">
        <is>
          <t>Bảng lấy mẫu CKN</t>
        </is>
      </c>
      <c r="AQ885" s="263" t="n"/>
      <c r="AR885" s="262" t="inlineStr">
        <is>
          <t>Nhóm 1</t>
        </is>
      </c>
      <c r="AS885" s="262" t="n"/>
      <c r="AT885" s="262" t="inlineStr">
        <is>
          <t>HM24</t>
        </is>
      </c>
      <c r="AU885" s="262" t="inlineStr">
        <is>
          <t>LMHT</t>
        </is>
      </c>
      <c r="AV885" s="262" t="n">
        <v>28</v>
      </c>
      <c r="AW885" s="262" t="n">
        <v>1</v>
      </c>
      <c r="AX885" s="262" t="inlineStr">
        <is>
          <t>Cọc M2-C2: xi măng Lần 9 [BT dòng 26].</t>
        </is>
      </c>
    </row>
    <row r="886">
      <c r="A886" s="56" t="inlineStr">
        <is>
          <t>BBK994</t>
        </is>
      </c>
      <c r="B886" s="56" t="inlineStr">
        <is>
          <t>PL10</t>
        </is>
      </c>
      <c r="C886" s="56" t="inlineStr">
        <is>
          <t>BBK994.0278410</t>
        </is>
      </c>
      <c r="D886" s="57" t="n"/>
      <c r="E886" s="57" t="n"/>
      <c r="F886" s="57" t="n"/>
      <c r="G886" s="57" t="n"/>
      <c r="H886" s="57" t="n"/>
      <c r="J886" s="198" t="inlineStr">
        <is>
          <t>26</t>
        </is>
      </c>
      <c r="K886" s="198" t="inlineStr">
        <is>
          <t>PL10</t>
        </is>
      </c>
      <c r="L886" s="199" t="inlineStr">
        <is>
          <t>Theo dõi quá trình đổ bê tông cọc khoan nhồi</t>
        </is>
      </c>
      <c r="M886" s="199" t="n"/>
      <c r="N886" s="199" t="n"/>
      <c r="O886" s="200" t="inlineStr">
        <is>
          <t>Cầu Km19+529.080</t>
        </is>
      </c>
      <c r="P886" s="201" t="n"/>
      <c r="Q886" s="201" t="n"/>
      <c r="R886" s="201" t="n"/>
      <c r="S886" s="201">
        <f>S884</f>
        <v/>
      </c>
      <c r="T886" s="201" t="n"/>
      <c r="U886" s="201" t="n"/>
      <c r="V886" s="201" t="n"/>
      <c r="W886" s="202" t="n"/>
      <c r="X886" s="202" t="n"/>
      <c r="Y886" s="202" t="n"/>
      <c r="Z886" s="198" t="inlineStr">
        <is>
          <t>10</t>
        </is>
      </c>
      <c r="AA886" s="203" t="n"/>
      <c r="AB886" s="204" t="inlineStr">
        <is>
          <t>09-XL-307HG/PYCNT/CKN/M2/C2-2</t>
        </is>
      </c>
      <c r="AC886" s="204">
        <f>AC884</f>
        <v/>
      </c>
      <c r="AD886" s="204" t="n"/>
      <c r="AE886" s="204" t="n"/>
      <c r="AF886" s="204" t="n"/>
      <c r="AG886" s="204" t="n"/>
      <c r="AH886" s="204" t="inlineStr">
        <is>
          <t>M2-C2</t>
        </is>
      </c>
      <c r="AI886" s="202" t="n"/>
      <c r="AJ886" s="202" t="n"/>
      <c r="AK886" s="206" t="n"/>
      <c r="AL886" s="202" t="n"/>
      <c r="AM886" s="202" t="n"/>
      <c r="AN886" s="202" t="n"/>
      <c r="AO886" s="202" t="n"/>
      <c r="AP886" s="207" t="n"/>
      <c r="AQ886" s="207" t="n"/>
      <c r="AR886" s="202" t="inlineStr">
        <is>
          <t>Nhóm 1</t>
        </is>
      </c>
      <c r="AS886" s="202" t="n"/>
      <c r="AT886" s="202" t="inlineStr">
        <is>
          <t>HM24</t>
        </is>
      </c>
      <c r="AU886" s="202" t="inlineStr">
        <is>
          <t>PL10</t>
        </is>
      </c>
      <c r="AV886" s="202" t="n">
        <v>23</v>
      </c>
      <c r="AW886" s="202" t="n">
        <v>1</v>
      </c>
      <c r="AX886" s="202" t="n"/>
    </row>
    <row r="887" ht="28" customHeight="1" s="672">
      <c r="A887" s="56" t="inlineStr">
        <is>
          <t>NTCV</t>
        </is>
      </c>
      <c r="B887" s="56" t="inlineStr">
        <is>
          <t>K.9999</t>
        </is>
      </c>
      <c r="C887" s="56" t="inlineStr">
        <is>
          <t>NTCV.0682875</t>
        </is>
      </c>
      <c r="D887" s="57" t="n"/>
      <c r="E887" s="57" t="n"/>
      <c r="F887" s="57" t="n"/>
      <c r="G887" s="57" t="n"/>
      <c r="H887" s="57" t="n"/>
      <c r="J887" s="209" t="inlineStr">
        <is>
          <t>27</t>
        </is>
      </c>
      <c r="K887" s="209" t="inlineStr">
        <is>
          <t>K.9999</t>
        </is>
      </c>
      <c r="L887" s="210" t="inlineStr">
        <is>
          <t xml:space="preserve"> Rút ống vách thi công cọc khoan nhồi</t>
        </is>
      </c>
      <c r="M887" s="210" t="n"/>
      <c r="N887" s="210" t="n"/>
      <c r="O887" s="211" t="inlineStr">
        <is>
          <t>Cầu Km19+529.080</t>
        </is>
      </c>
      <c r="P887" s="212">
        <f>S884</f>
        <v/>
      </c>
      <c r="Q887" s="212">
        <f>P887</f>
        <v/>
      </c>
      <c r="R887" s="212">
        <f>Q887-1</f>
        <v/>
      </c>
      <c r="S887" s="212">
        <f>Q887</f>
        <v/>
      </c>
      <c r="T887" s="213">
        <f>U884</f>
        <v/>
      </c>
      <c r="U887" s="213">
        <f>T887+V887</f>
        <v/>
      </c>
      <c r="V887" s="213" t="n">
        <v>0.01041666666666667</v>
      </c>
      <c r="W887" s="214">
        <f>TEXT(T887,"HH""h""MM'")&amp;"÷"&amp;TEXT(U887,"HH""h""MM'")</f>
        <v/>
      </c>
      <c r="X887" s="214" t="n"/>
      <c r="Y887" s="214" t="n"/>
      <c r="Z887" s="214" t="inlineStr">
        <is>
          <t>11;</t>
        </is>
      </c>
      <c r="AA887" s="215" t="inlineStr">
        <is>
          <t>Rút ống vách  Cọc khoan nhồi Mố M2 - Cọc C2</t>
        </is>
      </c>
      <c r="AB887" s="204" t="inlineStr">
        <is>
          <t>09-XL-307HG/PYCNT/CKN/M2/C2-2</t>
        </is>
      </c>
      <c r="AC887" s="204" t="inlineStr">
        <is>
          <t>09-XL-307HG/BBNT/CKN/M2/C2-11</t>
        </is>
      </c>
      <c r="AD887" s="204" t="n"/>
      <c r="AE887" s="204" t="n"/>
      <c r="AF887" s="204" t="n"/>
      <c r="AG887" s="204" t="n"/>
      <c r="AH887" s="204" t="n"/>
      <c r="AI887" s="214" t="n"/>
      <c r="AJ887" s="214" t="n"/>
      <c r="AK887" s="217" t="n"/>
      <c r="AL887" s="214" t="n"/>
      <c r="AM887" s="214" t="n"/>
      <c r="AN887" s="214" t="n"/>
      <c r="AO887" s="214" t="n"/>
      <c r="AP887" s="216" t="n"/>
      <c r="AQ887" s="216" t="n"/>
      <c r="AR887" s="214" t="inlineStr">
        <is>
          <t>Nhóm 1</t>
        </is>
      </c>
      <c r="AS887" s="214" t="n"/>
      <c r="AT887" s="214" t="inlineStr">
        <is>
          <t>HM24</t>
        </is>
      </c>
      <c r="AU887" s="214" t="inlineStr">
        <is>
          <t>NTCV</t>
        </is>
      </c>
      <c r="AV887" s="214" t="n">
        <v>326</v>
      </c>
      <c r="AW887" s="214" t="n">
        <v>10</v>
      </c>
      <c r="AX887" s="214" t="n"/>
    </row>
    <row r="888">
      <c r="A888" s="56" t="inlineStr">
        <is>
          <t>BBK544</t>
        </is>
      </c>
      <c r="B888" s="56" t="inlineStr">
        <is>
          <t>PL11</t>
        </is>
      </c>
      <c r="C888" s="56" t="inlineStr">
        <is>
          <t>BBK544.0402037</t>
        </is>
      </c>
      <c r="D888" s="57" t="n"/>
      <c r="E888" s="57" t="n"/>
      <c r="F888" s="57" t="n"/>
      <c r="G888" s="57" t="n"/>
      <c r="H888" s="57" t="n"/>
      <c r="J888" s="198" t="inlineStr">
        <is>
          <t>28</t>
        </is>
      </c>
      <c r="K888" s="198" t="inlineStr">
        <is>
          <t>PL11</t>
        </is>
      </c>
      <c r="L888" s="199" t="inlineStr">
        <is>
          <t>Rút ống vách thi công cọc khoan nhồi</t>
        </is>
      </c>
      <c r="M888" s="199" t="n"/>
      <c r="N888" s="199" t="n"/>
      <c r="O888" s="200" t="inlineStr">
        <is>
          <t>Cầu Km19+529.080</t>
        </is>
      </c>
      <c r="P888" s="201" t="n"/>
      <c r="Q888" s="201" t="n"/>
      <c r="R888" s="201" t="n"/>
      <c r="S888" s="201">
        <f>S887</f>
        <v/>
      </c>
      <c r="T888" s="201" t="n"/>
      <c r="U888" s="201" t="n"/>
      <c r="V888" s="201" t="n"/>
      <c r="W888" s="202" t="n"/>
      <c r="X888" s="202" t="n"/>
      <c r="Y888" s="202" t="n"/>
      <c r="Z888" s="198" t="inlineStr">
        <is>
          <t>11</t>
        </is>
      </c>
      <c r="AA888" s="203" t="n"/>
      <c r="AB888" s="204" t="inlineStr">
        <is>
          <t>09-XL-307HG/PYCNT/CKN/M2/C2-2</t>
        </is>
      </c>
      <c r="AC888" s="204">
        <f>AC887</f>
        <v/>
      </c>
      <c r="AD888" s="204" t="n"/>
      <c r="AE888" s="204" t="n"/>
      <c r="AF888" s="204" t="n"/>
      <c r="AG888" s="204" t="n"/>
      <c r="AH888" s="204" t="inlineStr">
        <is>
          <t>&gt;=642;&lt;=673</t>
        </is>
      </c>
      <c r="AI888" s="202" t="n"/>
      <c r="AJ888" s="202" t="n"/>
      <c r="AK888" s="206" t="n"/>
      <c r="AL888" s="202" t="n"/>
      <c r="AM888" s="202" t="n"/>
      <c r="AN888" s="202" t="n"/>
      <c r="AO888" s="202" t="n"/>
      <c r="AP888" s="207" t="n"/>
      <c r="AQ888" s="207" t="n"/>
      <c r="AR888" s="202" t="inlineStr">
        <is>
          <t>Nhóm 1</t>
        </is>
      </c>
      <c r="AS888" s="202" t="n"/>
      <c r="AT888" s="202" t="inlineStr">
        <is>
          <t>HM24</t>
        </is>
      </c>
      <c r="AU888" s="202" t="inlineStr">
        <is>
          <t>PL11</t>
        </is>
      </c>
      <c r="AV888" s="202" t="n">
        <v>23</v>
      </c>
      <c r="AW888" s="202" t="n">
        <v>1</v>
      </c>
      <c r="AX888" s="202" t="n"/>
    </row>
    <row r="889" ht="13" customHeight="1" s="672">
      <c r="A889" s="56" t="inlineStr">
        <is>
          <t>BBK680</t>
        </is>
      </c>
      <c r="B889" s="56" t="inlineStr">
        <is>
          <t>PYC</t>
        </is>
      </c>
      <c r="C889" s="56" t="inlineStr">
        <is>
          <t>BBK680.0384382</t>
        </is>
      </c>
      <c r="D889" s="57" t="n"/>
      <c r="E889" s="57" t="n"/>
      <c r="F889" s="57" t="n"/>
      <c r="G889" s="57" t="n"/>
      <c r="H889" s="57" t="n"/>
      <c r="J889" s="198" t="inlineStr">
        <is>
          <t>29</t>
        </is>
      </c>
      <c r="K889" s="198" t="inlineStr">
        <is>
          <t>PYC</t>
        </is>
      </c>
      <c r="L889" s="199" t="inlineStr">
        <is>
          <t>Phiếu yêu cầu nghiệm thu</t>
        </is>
      </c>
      <c r="M889" s="199" t="n"/>
      <c r="N889" s="199" t="n"/>
      <c r="O889" s="200" t="inlineStr">
        <is>
          <t>Cầu Km19+529.080</t>
        </is>
      </c>
      <c r="P889" s="201" t="n"/>
      <c r="Q889" s="201" t="n"/>
      <c r="R889" s="201">
        <f>R890</f>
        <v/>
      </c>
      <c r="S889" s="201" t="n"/>
      <c r="T889" s="201" t="n"/>
      <c r="U889" s="201" t="n"/>
      <c r="V889" s="201" t="n"/>
      <c r="W889" s="202" t="n"/>
      <c r="X889" s="202" t="n"/>
      <c r="Y889" s="202" t="n"/>
      <c r="Z889" s="202" t="n"/>
      <c r="AA889" s="203" t="n"/>
      <c r="AB889" s="204" t="inlineStr">
        <is>
          <t>09-XL-307HG/PYCNT/CKN/M2/C2</t>
        </is>
      </c>
      <c r="AC889" s="205" t="inlineStr"/>
      <c r="AD889" s="205" t="n"/>
      <c r="AE889" s="205" t="n"/>
      <c r="AF889" s="205" t="n"/>
      <c r="AG889" s="205" t="inlineStr">
        <is>
          <t>NTCV;BBKTĐK</t>
        </is>
      </c>
      <c r="AH889" s="204" t="n">
        <v>11</v>
      </c>
      <c r="AI889" s="202" t="n"/>
      <c r="AJ889" s="202" t="n"/>
      <c r="AK889" s="206" t="n"/>
      <c r="AL889" s="202" t="n"/>
      <c r="AM889" s="202" t="n"/>
      <c r="AN889" s="202" t="n"/>
      <c r="AO889" s="202" t="n"/>
      <c r="AP889" s="207" t="n"/>
      <c r="AQ889" s="207" t="n"/>
      <c r="AR889" s="202" t="inlineStr">
        <is>
          <t>Nhóm 1</t>
        </is>
      </c>
      <c r="AS889" s="202" t="n"/>
      <c r="AT889" s="202" t="inlineStr">
        <is>
          <t>HM24</t>
        </is>
      </c>
      <c r="AU889" s="202" t="inlineStr">
        <is>
          <t>PYC</t>
        </is>
      </c>
      <c r="AV889" s="202" t="n">
        <v>223</v>
      </c>
      <c r="AW889" s="202" t="n">
        <v>3</v>
      </c>
      <c r="AX889" s="202" t="n"/>
    </row>
    <row r="890" ht="28" customHeight="1" s="672">
      <c r="A890" s="56" t="inlineStr">
        <is>
          <t>NTCV</t>
        </is>
      </c>
      <c r="B890" s="56" t="inlineStr">
        <is>
          <t>K.9999</t>
        </is>
      </c>
      <c r="C890" s="56" t="inlineStr">
        <is>
          <t>NTCV.0205353</t>
        </is>
      </c>
      <c r="D890" s="57" t="n"/>
      <c r="E890" s="57" t="n"/>
      <c r="F890" s="57" t="n"/>
      <c r="G890" s="57" t="n"/>
      <c r="H890" s="57" t="n"/>
      <c r="J890" s="209" t="inlineStr">
        <is>
          <t>30</t>
        </is>
      </c>
      <c r="K890" s="209" t="inlineStr">
        <is>
          <t>K.9999</t>
        </is>
      </c>
      <c r="L890" s="210" t="inlineStr">
        <is>
          <t>Theo dõi nén mẫu R7 Cọc khoan nhồi Mố M2 - Cọc C2</t>
        </is>
      </c>
      <c r="M890" s="210" t="n"/>
      <c r="N890" s="210" t="n"/>
      <c r="O890" s="211" t="inlineStr">
        <is>
          <t>Cầu Km19+529.080</t>
        </is>
      </c>
      <c r="P890" s="212">
        <f>S887+7</f>
        <v/>
      </c>
      <c r="Q890" s="212">
        <f>P890</f>
        <v/>
      </c>
      <c r="R890" s="212">
        <f>Q890-1</f>
        <v/>
      </c>
      <c r="S890" s="212">
        <f>Q890</f>
        <v/>
      </c>
      <c r="T890" s="213" t="n">
        <v>0.3541666666666667</v>
      </c>
      <c r="U890" s="213">
        <f>T890+V890</f>
        <v/>
      </c>
      <c r="V890" s="213" t="n">
        <v>0.02083333333333333</v>
      </c>
      <c r="W890" s="214">
        <f>TEXT(T890,"HH""h""MM'")&amp;"÷"&amp;TEXT(U890,"HH""h""MM'")</f>
        <v/>
      </c>
      <c r="X890" s="214" t="n"/>
      <c r="Y890" s="214" t="n"/>
      <c r="Z890" s="214" t="n"/>
      <c r="AA890" s="215" t="inlineStr">
        <is>
          <t>Theo dõi nén mẫu R7 Cọc khoan nhồi Mố M2 - Cọc C2</t>
        </is>
      </c>
      <c r="AB890" s="204" t="inlineStr">
        <is>
          <t>09-XL-307HG/PYCNT/CKN/M2/C2-3</t>
        </is>
      </c>
      <c r="AC890" s="204" t="inlineStr">
        <is>
          <t>09-XL-307HG/BBNT/CKN/M2/C2-12</t>
        </is>
      </c>
      <c r="AD890" s="204" t="n"/>
      <c r="AE890" s="204" t="n"/>
      <c r="AF890" s="204" t="n"/>
      <c r="AG890" s="204" t="n"/>
      <c r="AH890" s="204" t="n"/>
      <c r="AI890" s="214" t="n"/>
      <c r="AJ890" s="214" t="n"/>
      <c r="AK890" s="217" t="n"/>
      <c r="AL890" s="214" t="n"/>
      <c r="AM890" s="214" t="n"/>
      <c r="AN890" s="214" t="n"/>
      <c r="AO890" s="214" t="n"/>
      <c r="AP890" s="216" t="n"/>
      <c r="AQ890" s="216" t="n"/>
      <c r="AR890" s="214" t="inlineStr">
        <is>
          <t>Nhóm 1</t>
        </is>
      </c>
      <c r="AS890" s="214" t="n"/>
      <c r="AT890" s="214" t="inlineStr">
        <is>
          <t>HM24</t>
        </is>
      </c>
      <c r="AU890" s="214" t="inlineStr">
        <is>
          <t>NTCV</t>
        </is>
      </c>
      <c r="AV890" s="214" t="n">
        <v>377</v>
      </c>
      <c r="AW890" s="214" t="n">
        <v>11</v>
      </c>
      <c r="AX890" s="214" t="n"/>
    </row>
    <row r="891">
      <c r="A891" s="56" t="inlineStr">
        <is>
          <t>BBK680</t>
        </is>
      </c>
      <c r="B891" s="56" t="inlineStr">
        <is>
          <t>PYC</t>
        </is>
      </c>
      <c r="C891" s="56" t="inlineStr">
        <is>
          <t>BBK680.0875926</t>
        </is>
      </c>
      <c r="D891" s="57" t="n"/>
      <c r="E891" s="57" t="n"/>
      <c r="F891" s="57" t="n"/>
      <c r="G891" s="57" t="n"/>
      <c r="H891" s="57" t="n"/>
      <c r="J891" s="198" t="inlineStr">
        <is>
          <t>31</t>
        </is>
      </c>
      <c r="K891" s="198" t="inlineStr">
        <is>
          <t>PYC</t>
        </is>
      </c>
      <c r="L891" s="199" t="inlineStr">
        <is>
          <t>Phiếu yêu cầu nghiệm thu</t>
        </is>
      </c>
      <c r="M891" s="199" t="n"/>
      <c r="N891" s="199" t="n"/>
      <c r="O891" s="200" t="inlineStr">
        <is>
          <t>Cầu Km19+529.080</t>
        </is>
      </c>
      <c r="P891" s="201" t="n"/>
      <c r="Q891" s="201" t="n"/>
      <c r="R891" s="201">
        <f>+S886+28</f>
        <v/>
      </c>
      <c r="S891" s="201" t="n"/>
      <c r="T891" s="201" t="n"/>
      <c r="U891" s="201" t="n"/>
      <c r="V891" s="201" t="n"/>
      <c r="W891" s="202" t="n"/>
      <c r="X891" s="202" t="n"/>
      <c r="Y891" s="202" t="n"/>
      <c r="Z891" s="202" t="n"/>
      <c r="AA891" s="203" t="n"/>
      <c r="AB891" s="204" t="inlineStr">
        <is>
          <t>09-XL-307HG/PYCNT/CKN/M2/C2</t>
        </is>
      </c>
      <c r="AC891" s="205" t="inlineStr"/>
      <c r="AD891" s="205" t="n"/>
      <c r="AE891" s="205" t="n"/>
      <c r="AF891" s="205" t="n"/>
      <c r="AG891" s="205" t="inlineStr">
        <is>
          <t>NTCV;BBKTĐK</t>
        </is>
      </c>
      <c r="AH891" s="204" t="n">
        <v>12</v>
      </c>
      <c r="AI891" s="202" t="n"/>
      <c r="AJ891" s="202" t="n"/>
      <c r="AK891" s="206" t="n"/>
      <c r="AL891" s="202" t="n"/>
      <c r="AM891" s="202" t="n"/>
      <c r="AN891" s="202" t="n"/>
      <c r="AO891" s="202" t="n"/>
      <c r="AP891" s="207" t="n"/>
      <c r="AQ891" s="207" t="n"/>
      <c r="AR891" s="202" t="inlineStr">
        <is>
          <t>Nhóm 1</t>
        </is>
      </c>
      <c r="AS891" s="202" t="n"/>
      <c r="AT891" s="202" t="inlineStr">
        <is>
          <t>HM24</t>
        </is>
      </c>
      <c r="AU891" s="202" t="inlineStr">
        <is>
          <t>PYC</t>
        </is>
      </c>
      <c r="AV891" s="202" t="n">
        <v>224</v>
      </c>
      <c r="AW891" s="202" t="n">
        <v>4</v>
      </c>
      <c r="AX891" s="202" t="n"/>
    </row>
    <row r="892" ht="28" customHeight="1" s="672">
      <c r="A892" s="56" t="inlineStr">
        <is>
          <t>NTCV</t>
        </is>
      </c>
      <c r="B892" s="56" t="inlineStr">
        <is>
          <t>K.9999</t>
        </is>
      </c>
      <c r="C892" s="56" t="inlineStr">
        <is>
          <t>NTCV.0151255</t>
        </is>
      </c>
      <c r="D892" s="57" t="n"/>
      <c r="E892" s="57" t="n"/>
      <c r="F892" s="57" t="n"/>
      <c r="G892" s="57" t="n"/>
      <c r="H892" s="57" t="n"/>
      <c r="J892" s="209" t="inlineStr">
        <is>
          <t>32</t>
        </is>
      </c>
      <c r="K892" s="209" t="inlineStr">
        <is>
          <t>K.9999</t>
        </is>
      </c>
      <c r="L892" s="210" t="inlineStr">
        <is>
          <t>Đập đầu cọc khoan nhồi Mố M2 - Cọc C2</t>
        </is>
      </c>
      <c r="M892" s="210" t="n"/>
      <c r="N892" s="210" t="n"/>
      <c r="O892" s="211" t="inlineStr">
        <is>
          <t>Cầu Km19+529.080</t>
        </is>
      </c>
      <c r="P892" s="212">
        <f>S890</f>
        <v/>
      </c>
      <c r="Q892" s="212">
        <f>P892</f>
        <v/>
      </c>
      <c r="R892" s="212">
        <f>Q892-1</f>
        <v/>
      </c>
      <c r="S892" s="212">
        <f>Q892</f>
        <v/>
      </c>
      <c r="T892" s="213" t="n">
        <v>0.3541666666666667</v>
      </c>
      <c r="U892" s="213">
        <f>T892+V892</f>
        <v/>
      </c>
      <c r="V892" s="213" t="n">
        <v>0.0625</v>
      </c>
      <c r="W892" s="214">
        <f>TEXT(T892,"HH""h""MM'")&amp;"÷"&amp;TEXT(U892,"HH""h""MM'")</f>
        <v/>
      </c>
      <c r="X892" s="214" t="n"/>
      <c r="Y892" s="214" t="n"/>
      <c r="Z892" s="214" t="n"/>
      <c r="AA892" s="215" t="inlineStr">
        <is>
          <t>Theo dõi nén mẫu R28 Cọc khoan nhồi Mố M2 - Cọc C2</t>
        </is>
      </c>
      <c r="AB892" s="204" t="inlineStr">
        <is>
          <t>09-XL-307HG/PYCNT/CKN/M2/C2-4</t>
        </is>
      </c>
      <c r="AC892" s="204" t="inlineStr">
        <is>
          <t>09-XL-307HG/BBNT/CKN/M2/C2-13</t>
        </is>
      </c>
      <c r="AD892" s="204" t="n"/>
      <c r="AE892" s="204" t="n"/>
      <c r="AF892" s="204" t="n"/>
      <c r="AG892" s="204" t="n"/>
      <c r="AH892" s="204" t="n"/>
      <c r="AI892" s="214" t="n"/>
      <c r="AJ892" s="214" t="n"/>
      <c r="AK892" s="217" t="n"/>
      <c r="AL892" s="214" t="n"/>
      <c r="AM892" s="214" t="n"/>
      <c r="AN892" s="214" t="n"/>
      <c r="AO892" s="214" t="n"/>
      <c r="AP892" s="216" t="n"/>
      <c r="AQ892" s="216" t="n"/>
      <c r="AR892" s="214" t="inlineStr">
        <is>
          <t>Nhóm 1</t>
        </is>
      </c>
      <c r="AS892" s="214" t="n"/>
      <c r="AT892" s="214" t="inlineStr">
        <is>
          <t>HM24</t>
        </is>
      </c>
      <c r="AU892" s="214" t="inlineStr">
        <is>
          <t>NTCV</t>
        </is>
      </c>
      <c r="AV892" s="214" t="n">
        <v>378</v>
      </c>
      <c r="AW892" s="214" t="n">
        <v>12</v>
      </c>
      <c r="AX892" s="214" t="n"/>
    </row>
    <row r="893">
      <c r="A893" s="56" t="inlineStr">
        <is>
          <t>HM</t>
        </is>
      </c>
      <c r="B893" s="56" t="inlineStr">
        <is>
          <t>HM</t>
        </is>
      </c>
      <c r="C893" s="56" t="inlineStr">
        <is>
          <t>HM.0401623</t>
        </is>
      </c>
      <c r="D893" s="57" t="n"/>
      <c r="E893" s="57" t="n"/>
      <c r="F893" s="57" t="n"/>
      <c r="G893" s="57" t="n"/>
      <c r="H893" s="57" t="n"/>
      <c r="J893" s="246" t="inlineStr">
        <is>
          <t>HM25</t>
        </is>
      </c>
      <c r="K893" s="246" t="inlineStr">
        <is>
          <t>HM</t>
        </is>
      </c>
      <c r="L893" s="247" t="inlineStr">
        <is>
          <t>Mố M2 - Cọc C3</t>
        </is>
      </c>
      <c r="M893" s="247" t="n"/>
      <c r="N893" s="247" t="n"/>
      <c r="O893" s="248" t="inlineStr">
        <is>
          <t>Cầu Km19+529.080</t>
        </is>
      </c>
      <c r="P893" s="249" t="n"/>
      <c r="Q893" s="249" t="n"/>
      <c r="R893" s="249" t="n"/>
      <c r="S893" s="249" t="n"/>
      <c r="T893" s="249" t="n"/>
      <c r="U893" s="249" t="n"/>
      <c r="V893" s="249" t="n"/>
      <c r="W893" s="250" t="n"/>
      <c r="X893" s="250" t="n"/>
      <c r="Y893" s="250" t="n"/>
      <c r="Z893" s="250" t="n"/>
      <c r="AA893" s="251" t="n"/>
      <c r="AB893" s="252" t="n"/>
      <c r="AC893" s="252" t="inlineStr"/>
      <c r="AD893" s="252" t="n"/>
      <c r="AE893" s="252" t="n"/>
      <c r="AF893" s="252" t="n"/>
      <c r="AG893" s="252" t="n"/>
      <c r="AH893" s="252" t="n"/>
      <c r="AI893" s="250" t="n"/>
      <c r="AJ893" s="250" t="n"/>
      <c r="AK893" s="253" t="n"/>
      <c r="AL893" s="250" t="n"/>
      <c r="AM893" s="250" t="n"/>
      <c r="AN893" s="250" t="n"/>
      <c r="AO893" s="250" t="n"/>
      <c r="AP893" s="254" t="n"/>
      <c r="AQ893" s="254" t="n"/>
      <c r="AR893" s="250" t="n"/>
      <c r="AS893" s="250" t="n"/>
      <c r="AT893" s="250" t="inlineStr">
        <is>
          <t>HM25</t>
        </is>
      </c>
      <c r="AU893" s="250" t="inlineStr">
        <is>
          <t>HM</t>
        </is>
      </c>
      <c r="AV893" s="250" t="n"/>
      <c r="AW893" s="250" t="n"/>
      <c r="AX893" s="250" t="n"/>
    </row>
    <row r="894" ht="28" customFormat="1" customHeight="1" s="70">
      <c r="A894" s="68" t="inlineStr">
        <is>
          <t>BBK_BIA</t>
        </is>
      </c>
      <c r="B894" s="68" t="inlineStr">
        <is>
          <t>TRANGBIA</t>
        </is>
      </c>
      <c r="C894" s="68" t="inlineStr">
        <is>
          <t>BBK_BIA.0608953</t>
        </is>
      </c>
      <c r="D894" s="69" t="n"/>
      <c r="E894" s="69" t="n"/>
      <c r="F894" s="69" t="n"/>
      <c r="G894" s="69" t="n"/>
      <c r="H894" s="69" t="n"/>
      <c r="J894" s="98" t="inlineStr">
        <is>
          <t>01</t>
        </is>
      </c>
      <c r="K894" s="98" t="inlineStr">
        <is>
          <t>TRANGBIA</t>
        </is>
      </c>
      <c r="L894" s="99">
        <f>"Cọc Khoan Nhồi"&amp;" - "&amp;L893</f>
        <v/>
      </c>
      <c r="M894" s="99" t="n"/>
      <c r="N894" s="99" t="n"/>
      <c r="O894" s="100" t="inlineStr">
        <is>
          <t>Cầu Km19+529.080</t>
        </is>
      </c>
      <c r="P894" s="101" t="n"/>
      <c r="Q894" s="101" t="n"/>
      <c r="R894" s="101" t="n"/>
      <c r="S894" s="101" t="n"/>
      <c r="T894" s="101" t="n"/>
      <c r="U894" s="101" t="n"/>
      <c r="V894" s="101" t="n"/>
      <c r="W894" s="102" t="n"/>
      <c r="X894" s="102" t="n"/>
      <c r="Y894" s="102" t="n"/>
      <c r="Z894" s="102" t="n"/>
      <c r="AA894" s="102" t="n"/>
      <c r="AB894" s="102" t="n"/>
      <c r="AC894" s="102" t="inlineStr"/>
      <c r="AD894" s="102" t="n"/>
      <c r="AE894" s="102" t="n"/>
      <c r="AF894" s="102" t="n"/>
      <c r="AG894" s="102" t="n"/>
      <c r="AH894" s="102" t="n"/>
      <c r="AI894" s="102" t="n"/>
      <c r="AJ894" s="102" t="n"/>
      <c r="AK894" s="100" t="n"/>
      <c r="AL894" s="102" t="n"/>
      <c r="AM894" s="102" t="n"/>
      <c r="AN894" s="102" t="n"/>
      <c r="AO894" s="102" t="n"/>
      <c r="AP894" s="103" t="inlineStr">
        <is>
          <t>Kết cấu cọc khoan nhồi mố, trụ</t>
        </is>
      </c>
      <c r="AQ894" s="104" t="n"/>
      <c r="AR894" s="102" t="inlineStr">
        <is>
          <t>Nhóm 1</t>
        </is>
      </c>
      <c r="AS894" s="102" t="n"/>
      <c r="AT894" s="102" t="inlineStr">
        <is>
          <t>HM25</t>
        </is>
      </c>
      <c r="AU894" s="102" t="inlineStr">
        <is>
          <t>TRANGBIA</t>
        </is>
      </c>
      <c r="AV894" s="102" t="n">
        <v>25</v>
      </c>
      <c r="AW894" s="102" t="n">
        <v>1</v>
      </c>
      <c r="AX894" s="102" t="n"/>
    </row>
    <row r="895" customFormat="1" s="70">
      <c r="A895" s="68" t="inlineStr">
        <is>
          <t>BBK_ML</t>
        </is>
      </c>
      <c r="B895" s="68" t="inlineStr">
        <is>
          <t>MUCLUC</t>
        </is>
      </c>
      <c r="C895" s="68" t="inlineStr">
        <is>
          <t>BBK_ML.0549159</t>
        </is>
      </c>
      <c r="D895" s="69" t="n"/>
      <c r="E895" s="69" t="n"/>
      <c r="F895" s="69" t="n"/>
      <c r="G895" s="69" t="n"/>
      <c r="H895" s="69" t="n"/>
      <c r="J895" s="98" t="inlineStr">
        <is>
          <t>02</t>
        </is>
      </c>
      <c r="K895" s="98" t="inlineStr">
        <is>
          <t>MUCLUC</t>
        </is>
      </c>
      <c r="L895" s="99" t="inlineStr">
        <is>
          <t>Danh mục biên bản Kiểm tra/Nghiệm thu</t>
        </is>
      </c>
      <c r="M895" s="99" t="n"/>
      <c r="N895" s="99" t="n"/>
      <c r="O895" s="100" t="inlineStr">
        <is>
          <t>Cầu Km19+529.080</t>
        </is>
      </c>
      <c r="P895" s="101" t="n"/>
      <c r="Q895" s="101" t="n"/>
      <c r="R895" s="101" t="n"/>
      <c r="S895" s="101" t="n"/>
      <c r="T895" s="101" t="n"/>
      <c r="U895" s="101" t="n"/>
      <c r="V895" s="101" t="n"/>
      <c r="W895" s="102" t="n"/>
      <c r="X895" s="102" t="n"/>
      <c r="Y895" s="102" t="n"/>
      <c r="Z895" s="102" t="n"/>
      <c r="AA895" s="102" t="n"/>
      <c r="AB895" s="102" t="n"/>
      <c r="AC895" s="102" t="inlineStr"/>
      <c r="AD895" s="102" t="n"/>
      <c r="AE895" s="102" t="n"/>
      <c r="AF895" s="102" t="n"/>
      <c r="AG895" s="102" t="n"/>
      <c r="AH895" s="102" t="n"/>
      <c r="AI895" s="102" t="n"/>
      <c r="AJ895" s="102" t="n"/>
      <c r="AK895" s="100" t="n"/>
      <c r="AL895" s="102" t="n"/>
      <c r="AM895" s="102" t="n"/>
      <c r="AN895" s="102" t="n"/>
      <c r="AO895" s="102" t="n"/>
      <c r="AP895" s="104" t="n"/>
      <c r="AQ895" s="104" t="n"/>
      <c r="AR895" s="102" t="inlineStr">
        <is>
          <t>Nhóm 1</t>
        </is>
      </c>
      <c r="AS895" s="102" t="n"/>
      <c r="AT895" s="102" t="inlineStr">
        <is>
          <t>HM25</t>
        </is>
      </c>
      <c r="AU895" s="102" t="inlineStr">
        <is>
          <t>MUCLUC</t>
        </is>
      </c>
      <c r="AV895" s="102" t="n">
        <v>25</v>
      </c>
      <c r="AW895" s="102" t="n">
        <v>1</v>
      </c>
      <c r="AX895" s="102" t="n"/>
    </row>
    <row r="896">
      <c r="A896" s="56" t="inlineStr">
        <is>
          <t>BBK680</t>
        </is>
      </c>
      <c r="B896" s="56" t="inlineStr">
        <is>
          <t>PYC</t>
        </is>
      </c>
      <c r="C896" s="56" t="inlineStr">
        <is>
          <t>BBK680.0729455</t>
        </is>
      </c>
      <c r="D896" s="57" t="n"/>
      <c r="E896" s="57" t="n"/>
      <c r="F896" s="57" t="n"/>
      <c r="G896" s="57" t="n"/>
      <c r="H896" s="57" t="n"/>
      <c r="J896" s="198" t="inlineStr">
        <is>
          <t>03</t>
        </is>
      </c>
      <c r="K896" s="198" t="inlineStr">
        <is>
          <t>PYC</t>
        </is>
      </c>
      <c r="L896" s="199" t="inlineStr">
        <is>
          <t>Phiếu yêu cầu nghiệm thu</t>
        </is>
      </c>
      <c r="M896" s="199" t="n"/>
      <c r="N896" s="199" t="n"/>
      <c r="O896" s="200" t="inlineStr">
        <is>
          <t>Cầu Km19+529.080</t>
        </is>
      </c>
      <c r="P896" s="201" t="n"/>
      <c r="Q896" s="201" t="n"/>
      <c r="R896" s="201">
        <f>R897</f>
        <v/>
      </c>
      <c r="S896" s="201" t="n"/>
      <c r="T896" s="201" t="n"/>
      <c r="U896" s="201" t="n"/>
      <c r="V896" s="201" t="n"/>
      <c r="W896" s="202" t="n"/>
      <c r="X896" s="202" t="n"/>
      <c r="Y896" s="202" t="n"/>
      <c r="Z896" s="202" t="n"/>
      <c r="AA896" s="203" t="n"/>
      <c r="AB896" s="204" t="inlineStr">
        <is>
          <t>09-XL-307HG/PYCNT/CKN/M2/C3</t>
        </is>
      </c>
      <c r="AC896" s="205" t="inlineStr"/>
      <c r="AD896" s="205" t="n"/>
      <c r="AE896" s="205" t="n"/>
      <c r="AF896" s="205" t="n"/>
      <c r="AG896" s="205" t="inlineStr">
        <is>
          <t>NTCV;BBKTĐK</t>
        </is>
      </c>
      <c r="AH896" s="204" t="inlineStr">
        <is>
          <t>&gt;=1;&lt;=5</t>
        </is>
      </c>
      <c r="AI896" s="202" t="n"/>
      <c r="AJ896" s="202" t="n"/>
      <c r="AK896" s="206" t="n"/>
      <c r="AL896" s="202" t="n"/>
      <c r="AM896" s="202" t="n"/>
      <c r="AN896" s="202" t="n"/>
      <c r="AO896" s="202" t="n"/>
      <c r="AP896" s="207" t="n"/>
      <c r="AQ896" s="207" t="n"/>
      <c r="AR896" s="202" t="inlineStr">
        <is>
          <t>Nhóm 1</t>
        </is>
      </c>
      <c r="AS896" s="202" t="n"/>
      <c r="AT896" s="202" t="inlineStr">
        <is>
          <t>HM25</t>
        </is>
      </c>
      <c r="AU896" s="202" t="inlineStr">
        <is>
          <t>PYC</t>
        </is>
      </c>
      <c r="AV896" s="202" t="n">
        <v>225</v>
      </c>
      <c r="AW896" s="202" t="n">
        <v>1</v>
      </c>
      <c r="AX896" s="202" t="n"/>
    </row>
    <row r="897" ht="28" customHeight="1" s="672">
      <c r="A897" s="56" t="inlineStr">
        <is>
          <t>BBK884</t>
        </is>
      </c>
      <c r="B897" s="56" t="inlineStr">
        <is>
          <t>BBKTĐK</t>
        </is>
      </c>
      <c r="C897" s="56" t="inlineStr">
        <is>
          <t>BBK884.0123320</t>
        </is>
      </c>
      <c r="D897" s="57" t="n"/>
      <c r="E897" s="57" t="n"/>
      <c r="F897" s="57" t="n"/>
      <c r="G897" s="57" t="n"/>
      <c r="H897" s="57" t="n"/>
      <c r="J897" s="198" t="inlineStr">
        <is>
          <t>04</t>
        </is>
      </c>
      <c r="K897" s="198" t="inlineStr">
        <is>
          <t>BBKTĐK</t>
        </is>
      </c>
      <c r="L897" s="199" t="inlineStr">
        <is>
          <t>Kiểm tra điều kiện trước khi thi công cọc khoan nhồi: Thiết bị, nhân lực, vật tư</t>
        </is>
      </c>
      <c r="M897" s="199" t="n"/>
      <c r="N897" s="199" t="n"/>
      <c r="O897" s="200" t="inlineStr">
        <is>
          <t>Cầu Km19+529.080</t>
        </is>
      </c>
      <c r="P897" s="201" t="n">
        <v>46224</v>
      </c>
      <c r="Q897" s="201">
        <f>P897</f>
        <v/>
      </c>
      <c r="R897" s="201">
        <f>Q897-1</f>
        <v/>
      </c>
      <c r="S897" s="201">
        <f>Q897</f>
        <v/>
      </c>
      <c r="T897" s="208" t="n">
        <v>0.2916666666666667</v>
      </c>
      <c r="U897" s="208">
        <f>T897+V897</f>
        <v/>
      </c>
      <c r="V897" s="208" t="n">
        <v>0.02083333333333333</v>
      </c>
      <c r="W897" s="202">
        <f>TEXT(T897,"HH""h""MM'")&amp;"÷"&amp;TEXT(U897,"HH""h""MM'")</f>
        <v/>
      </c>
      <c r="X897" s="202" t="n"/>
      <c r="Y897" s="202" t="n"/>
      <c r="Z897" s="202" t="inlineStr">
        <is>
          <t>01;</t>
        </is>
      </c>
      <c r="AA897" s="200" t="inlineStr">
        <is>
          <t>Kiểm tra điều kiện trước khi thi công Cọc khoan nhồi Mố M2 - Cọc C3</t>
        </is>
      </c>
      <c r="AB897" s="205" t="inlineStr">
        <is>
          <t>09-XL-307HG/PYCNT/CKN/M2/C3-1</t>
        </is>
      </c>
      <c r="AC897" s="205" t="inlineStr">
        <is>
          <t>09-XL-307HG/BBNT/CKN/M2/C3-1</t>
        </is>
      </c>
      <c r="AD897" s="205" t="n"/>
      <c r="AE897" s="205" t="n"/>
      <c r="AF897" s="205" t="n"/>
      <c r="AG897" s="205" t="n"/>
      <c r="AH897" s="205" t="n"/>
      <c r="AI897" s="207" t="n"/>
      <c r="AJ897" s="214" t="n"/>
      <c r="AK897" s="217" t="n"/>
      <c r="AL897" s="214" t="n"/>
      <c r="AM897" s="214" t="n"/>
      <c r="AN897" s="214" t="n"/>
      <c r="AO897" s="202" t="n"/>
      <c r="AP897" s="207" t="n"/>
      <c r="AQ897" s="207" t="n"/>
      <c r="AR897" s="202" t="inlineStr">
        <is>
          <t>Nhóm 1</t>
        </is>
      </c>
      <c r="AS897" s="202" t="n"/>
      <c r="AT897" s="202" t="inlineStr">
        <is>
          <t>HM25</t>
        </is>
      </c>
      <c r="AU897" s="202" t="inlineStr">
        <is>
          <t>BBKTĐK</t>
        </is>
      </c>
      <c r="AV897" s="202" t="n">
        <v>19</v>
      </c>
      <c r="AW897" s="202" t="n">
        <v>1</v>
      </c>
      <c r="AX897" s="202" t="n"/>
    </row>
    <row r="898" ht="28" customHeight="1" s="672">
      <c r="A898" s="56" t="inlineStr">
        <is>
          <t>BBK860</t>
        </is>
      </c>
      <c r="B898" s="56" t="inlineStr">
        <is>
          <t>PL01</t>
        </is>
      </c>
      <c r="C898" s="56" t="inlineStr">
        <is>
          <t>BBK860.0324965</t>
        </is>
      </c>
      <c r="D898" s="57" t="n"/>
      <c r="E898" s="57" t="n"/>
      <c r="F898" s="57" t="n"/>
      <c r="G898" s="57" t="n"/>
      <c r="H898" s="57" t="n"/>
      <c r="J898" s="198" t="inlineStr">
        <is>
          <t>05</t>
        </is>
      </c>
      <c r="K898" s="198" t="inlineStr">
        <is>
          <t>PL01</t>
        </is>
      </c>
      <c r="L898" s="199" t="inlineStr">
        <is>
          <t>Máy móc, thiết bị, nhân lực, vật tư thi công cọc khoan nhồi</t>
        </is>
      </c>
      <c r="M898" s="199" t="n"/>
      <c r="N898" s="199" t="n"/>
      <c r="O898" s="199" t="inlineStr">
        <is>
          <t>Cầu Km19+529.080</t>
        </is>
      </c>
      <c r="P898" s="201" t="n"/>
      <c r="Q898" s="201" t="n"/>
      <c r="R898" s="201" t="n"/>
      <c r="S898" s="201">
        <f>S897</f>
        <v/>
      </c>
      <c r="T898" s="201" t="n"/>
      <c r="U898" s="201" t="n"/>
      <c r="V898" s="201" t="n"/>
      <c r="W898" s="202" t="n"/>
      <c r="X898" s="202" t="n"/>
      <c r="Y898" s="202" t="n"/>
      <c r="Z898" s="198" t="inlineStr">
        <is>
          <t>01</t>
        </is>
      </c>
      <c r="AA898" s="203" t="n"/>
      <c r="AB898" s="204" t="inlineStr">
        <is>
          <t>09-XL-307HG/PYCNT/CKN/M2/C3-1</t>
        </is>
      </c>
      <c r="AC898" s="204">
        <f>AC897</f>
        <v/>
      </c>
      <c r="AD898" s="204" t="n"/>
      <c r="AE898" s="204" t="n"/>
      <c r="AF898" s="204" t="n"/>
      <c r="AG898" s="204" t="n"/>
      <c r="AH898" s="204" t="inlineStr">
        <is>
          <t>CKN</t>
        </is>
      </c>
      <c r="AI898" s="207" t="n"/>
      <c r="AJ898" s="202" t="n"/>
      <c r="AK898" s="206" t="n"/>
      <c r="AL898" s="202" t="n"/>
      <c r="AM898" s="202" t="n"/>
      <c r="AN898" s="202" t="n"/>
      <c r="AO898" s="202" t="n"/>
      <c r="AP898" s="207" t="n"/>
      <c r="AQ898" s="207" t="n"/>
      <c r="AR898" s="202" t="inlineStr">
        <is>
          <t>Nhóm 1</t>
        </is>
      </c>
      <c r="AS898" s="202" t="n"/>
      <c r="AT898" s="202" t="inlineStr">
        <is>
          <t>HM25</t>
        </is>
      </c>
      <c r="AU898" s="202" t="inlineStr">
        <is>
          <t>PL01</t>
        </is>
      </c>
      <c r="AV898" s="202" t="n">
        <v>19</v>
      </c>
      <c r="AW898" s="202" t="n">
        <v>1</v>
      </c>
      <c r="AX898" s="202" t="n"/>
    </row>
    <row r="899" ht="42" customHeight="1" s="672">
      <c r="A899" s="56" t="inlineStr">
        <is>
          <t>NTCV</t>
        </is>
      </c>
      <c r="B899" s="56" t="inlineStr">
        <is>
          <t>K.9999</t>
        </is>
      </c>
      <c r="C899" s="56" t="inlineStr">
        <is>
          <t>NTCV.0007812</t>
        </is>
      </c>
      <c r="D899" s="57" t="n"/>
      <c r="E899" s="57" t="n"/>
      <c r="F899" s="57" t="n"/>
      <c r="G899" s="57" t="n"/>
      <c r="H899" s="57" t="n"/>
      <c r="J899" s="209" t="inlineStr">
        <is>
          <t>06</t>
        </is>
      </c>
      <c r="K899" s="209" t="inlineStr">
        <is>
          <t>K.9999</t>
        </is>
      </c>
      <c r="L899" s="210" t="inlineStr">
        <is>
          <t>Kiểm tra ống vách, dung dịch bentonite trước khi khoan cọc khoan nhồi</t>
        </is>
      </c>
      <c r="M899" s="210" t="n"/>
      <c r="N899" s="210" t="n"/>
      <c r="O899" s="211" t="inlineStr">
        <is>
          <t>Cầu Km19+529.080</t>
        </is>
      </c>
      <c r="P899" s="212">
        <f>S897</f>
        <v/>
      </c>
      <c r="Q899" s="212">
        <f>P899</f>
        <v/>
      </c>
      <c r="R899" s="212">
        <f>Q899-1</f>
        <v/>
      </c>
      <c r="S899" s="212">
        <f>Q899</f>
        <v/>
      </c>
      <c r="T899" s="213">
        <f>U897</f>
        <v/>
      </c>
      <c r="U899" s="213">
        <f>T899+V899</f>
        <v/>
      </c>
      <c r="V899" s="213" t="n">
        <v>0.02083333333333333</v>
      </c>
      <c r="W899" s="214">
        <f>TEXT(T899,"HH""h""MM'")&amp;"÷"&amp;TEXT(U899,"HH""h""MM'")</f>
        <v/>
      </c>
      <c r="X899" s="214" t="n"/>
      <c r="Y899" s="214" t="n"/>
      <c r="Z899" s="214" t="inlineStr">
        <is>
          <t>02; 02a</t>
        </is>
      </c>
      <c r="AA899" s="215" t="inlineStr">
        <is>
          <t>Kiểm tra ống vách, dung dịch bentonite Cọc khoan nhồi Mố M2 - Cọc C3 trước khi khoan</t>
        </is>
      </c>
      <c r="AB899" s="204" t="inlineStr">
        <is>
          <t>09-XL-307HG/PYCNT/CKN/M2/C3-1</t>
        </is>
      </c>
      <c r="AC899" s="204" t="inlineStr">
        <is>
          <t>09-XL-307HG/BBNT/CKN/M2/C3-2</t>
        </is>
      </c>
      <c r="AD899" s="204" t="n"/>
      <c r="AE899" s="204" t="n"/>
      <c r="AF899" s="204" t="n"/>
      <c r="AG899" s="204" t="n"/>
      <c r="AH899" s="204" t="n"/>
      <c r="AI899" s="216" t="n"/>
      <c r="AJ899" s="214" t="n"/>
      <c r="AK899" s="217" t="n"/>
      <c r="AL899" s="214" t="n"/>
      <c r="AM899" s="214" t="n"/>
      <c r="AN899" s="214" t="n"/>
      <c r="AO899" s="214" t="n"/>
      <c r="AP899" s="216" t="n"/>
      <c r="AQ899" s="216" t="n"/>
      <c r="AR899" s="214" t="inlineStr">
        <is>
          <t>Nhóm 1</t>
        </is>
      </c>
      <c r="AS899" s="214" t="n"/>
      <c r="AT899" s="214" t="inlineStr">
        <is>
          <t>HM25</t>
        </is>
      </c>
      <c r="AU899" s="214" t="inlineStr">
        <is>
          <t>NTCV</t>
        </is>
      </c>
      <c r="AV899" s="214" t="n">
        <v>252</v>
      </c>
      <c r="AW899" s="214" t="n">
        <v>1</v>
      </c>
      <c r="AX899" s="214" t="n"/>
    </row>
    <row r="900">
      <c r="A900" s="56" t="inlineStr">
        <is>
          <t>BBK170</t>
        </is>
      </c>
      <c r="B900" s="56" t="inlineStr">
        <is>
          <t>PL02</t>
        </is>
      </c>
      <c r="C900" s="56" t="inlineStr">
        <is>
          <t>BBK170.0783429</t>
        </is>
      </c>
      <c r="D900" s="57" t="n"/>
      <c r="E900" s="57" t="n"/>
      <c r="F900" s="57" t="n"/>
      <c r="G900" s="57" t="n"/>
      <c r="H900" s="57" t="n"/>
      <c r="J900" s="198" t="inlineStr">
        <is>
          <t>07</t>
        </is>
      </c>
      <c r="K900" s="198" t="inlineStr">
        <is>
          <t>PL02</t>
        </is>
      </c>
      <c r="L900" s="199" t="inlineStr">
        <is>
          <t>Kiểm tra ống vách thi công trước khi hạ</t>
        </is>
      </c>
      <c r="M900" s="199" t="n"/>
      <c r="N900" s="199" t="n"/>
      <c r="O900" s="200" t="inlineStr">
        <is>
          <t>Cầu Km19+529.080</t>
        </is>
      </c>
      <c r="P900" s="201" t="n"/>
      <c r="Q900" s="201" t="n"/>
      <c r="R900" s="201" t="n"/>
      <c r="S900" s="201">
        <f>S899</f>
        <v/>
      </c>
      <c r="T900" s="201" t="n"/>
      <c r="U900" s="201" t="n"/>
      <c r="V900" s="201" t="n"/>
      <c r="W900" s="202" t="n"/>
      <c r="X900" s="202" t="n"/>
      <c r="Y900" s="202" t="n"/>
      <c r="Z900" s="198" t="inlineStr">
        <is>
          <t>02</t>
        </is>
      </c>
      <c r="AA900" s="203" t="n"/>
      <c r="AB900" s="204" t="inlineStr">
        <is>
          <t>09-XL-307HG/PYCNT/CKN/M2/C3-1</t>
        </is>
      </c>
      <c r="AC900" s="204">
        <f>AC899</f>
        <v/>
      </c>
      <c r="AD900" s="204" t="n"/>
      <c r="AE900" s="204" t="n"/>
      <c r="AF900" s="204" t="n"/>
      <c r="AG900" s="204" t="n"/>
      <c r="AH900" s="204" t="inlineStr">
        <is>
          <t>CKN</t>
        </is>
      </c>
      <c r="AI900" s="207" t="n"/>
      <c r="AJ900" s="202" t="n"/>
      <c r="AK900" s="206" t="n"/>
      <c r="AL900" s="202" t="n"/>
      <c r="AM900" s="202" t="n"/>
      <c r="AN900" s="202" t="n"/>
      <c r="AO900" s="202" t="n"/>
      <c r="AP900" s="207" t="n"/>
      <c r="AQ900" s="207" t="inlineStr">
        <is>
          <t>Ảnh\PL02 CKN.png</t>
        </is>
      </c>
      <c r="AR900" s="202" t="inlineStr">
        <is>
          <t>Nhóm 1</t>
        </is>
      </c>
      <c r="AS900" s="202" t="n"/>
      <c r="AT900" s="202" t="inlineStr">
        <is>
          <t>HM25</t>
        </is>
      </c>
      <c r="AU900" s="202" t="inlineStr">
        <is>
          <t>PL02</t>
        </is>
      </c>
      <c r="AV900" s="202" t="n">
        <v>19</v>
      </c>
      <c r="AW900" s="202" t="n">
        <v>1</v>
      </c>
      <c r="AX900" s="202" t="n"/>
    </row>
    <row r="901">
      <c r="A901" s="56" t="inlineStr">
        <is>
          <t>BBK721</t>
        </is>
      </c>
      <c r="B901" s="56" t="inlineStr">
        <is>
          <t>PL02a</t>
        </is>
      </c>
      <c r="C901" s="56" t="inlineStr">
        <is>
          <t>BBK721.0921605</t>
        </is>
      </c>
      <c r="D901" s="57" t="n"/>
      <c r="E901" s="57" t="n"/>
      <c r="F901" s="57" t="n"/>
      <c r="G901" s="57" t="n"/>
      <c r="H901" s="57" t="n"/>
      <c r="J901" s="198" t="inlineStr">
        <is>
          <t>08</t>
        </is>
      </c>
      <c r="K901" s="198" t="inlineStr">
        <is>
          <t>PL02a</t>
        </is>
      </c>
      <c r="L901" s="199" t="inlineStr">
        <is>
          <t>Kiểm tra ống vách thi công trước khi hạ</t>
        </is>
      </c>
      <c r="M901" s="199" t="n"/>
      <c r="N901" s="199" t="n"/>
      <c r="O901" s="200" t="inlineStr">
        <is>
          <t>Cầu Km19+529.080</t>
        </is>
      </c>
      <c r="P901" s="201" t="n"/>
      <c r="Q901" s="201" t="n"/>
      <c r="R901" s="201" t="n"/>
      <c r="S901" s="201">
        <f>S900</f>
        <v/>
      </c>
      <c r="T901" s="201" t="n"/>
      <c r="U901" s="201" t="n"/>
      <c r="V901" s="201" t="n"/>
      <c r="W901" s="202" t="n"/>
      <c r="X901" s="202" t="n"/>
      <c r="Y901" s="202" t="n"/>
      <c r="Z901" s="198" t="inlineStr">
        <is>
          <t>02a</t>
        </is>
      </c>
      <c r="AA901" s="203" t="n"/>
      <c r="AB901" s="204" t="inlineStr">
        <is>
          <t>09-XL-307HG/PYCNT/CKN/M2/C3-1</t>
        </is>
      </c>
      <c r="AC901" s="204">
        <f>AC900</f>
        <v/>
      </c>
      <c r="AD901" s="204" t="n"/>
      <c r="AE901" s="204" t="n"/>
      <c r="AF901" s="204" t="n"/>
      <c r="AG901" s="204" t="n"/>
      <c r="AH901" s="204" t="n"/>
      <c r="AI901" s="207" t="n"/>
      <c r="AJ901" s="202" t="n"/>
      <c r="AK901" s="206" t="n"/>
      <c r="AL901" s="202" t="n"/>
      <c r="AM901" s="202" t="n"/>
      <c r="AN901" s="202" t="n"/>
      <c r="AO901" s="202" t="n"/>
      <c r="AP901" s="207" t="n"/>
      <c r="AQ901" s="207" t="n"/>
      <c r="AR901" s="202" t="inlineStr">
        <is>
          <t>Nhóm 1</t>
        </is>
      </c>
      <c r="AS901" s="202" t="n"/>
      <c r="AT901" s="202" t="inlineStr">
        <is>
          <t>HM25</t>
        </is>
      </c>
      <c r="AU901" s="202" t="inlineStr">
        <is>
          <t>PL02a</t>
        </is>
      </c>
      <c r="AV901" s="202" t="n">
        <v>19</v>
      </c>
      <c r="AW901" s="202" t="n">
        <v>1</v>
      </c>
      <c r="AX901" s="202" t="n"/>
    </row>
    <row r="902" ht="28" customHeight="1" s="672">
      <c r="A902" s="56" t="inlineStr">
        <is>
          <t>NTCV</t>
        </is>
      </c>
      <c r="B902" s="56" t="inlineStr">
        <is>
          <t>K.9999</t>
        </is>
      </c>
      <c r="C902" s="56" t="inlineStr">
        <is>
          <t>NTCV.0299495</t>
        </is>
      </c>
      <c r="D902" s="57" t="n"/>
      <c r="E902" s="57" t="n"/>
      <c r="F902" s="57" t="n"/>
      <c r="G902" s="57" t="n"/>
      <c r="H902" s="57" t="n"/>
      <c r="J902" s="209" t="inlineStr">
        <is>
          <t>09</t>
        </is>
      </c>
      <c r="K902" s="209" t="inlineStr">
        <is>
          <t>K.9999</t>
        </is>
      </c>
      <c r="L902" s="210" t="inlineStr">
        <is>
          <t>Kiểm tra định vị tim cọc khoan nhồi, hạ ống vách thi công</t>
        </is>
      </c>
      <c r="M902" s="210" t="n"/>
      <c r="N902" s="210" t="n"/>
      <c r="O902" s="211" t="inlineStr">
        <is>
          <t>Cầu Km19+529.080</t>
        </is>
      </c>
      <c r="P902" s="212">
        <f>S899</f>
        <v/>
      </c>
      <c r="Q902" s="212">
        <f>P902</f>
        <v/>
      </c>
      <c r="R902" s="212">
        <f>Q902-1</f>
        <v/>
      </c>
      <c r="S902" s="212">
        <f>Q902</f>
        <v/>
      </c>
      <c r="T902" s="213">
        <f>U899</f>
        <v/>
      </c>
      <c r="U902" s="213">
        <f>T902+V902</f>
        <v/>
      </c>
      <c r="V902" s="213" t="n">
        <v>0.02083333333333333</v>
      </c>
      <c r="W902" s="214">
        <f>TEXT(T902,"HH""h""MM'")&amp;"÷"&amp;TEXT(U902,"HH""h""MM'")</f>
        <v/>
      </c>
      <c r="X902" s="214" t="n"/>
      <c r="Y902" s="214" t="n"/>
      <c r="Z902" s="214" t="inlineStr">
        <is>
          <t>03;</t>
        </is>
      </c>
      <c r="AA902" s="215" t="inlineStr">
        <is>
          <t>Kiểm tra định vị Cọc khoan nhồi Mố M2 - Cọc C3</t>
        </is>
      </c>
      <c r="AB902" s="204" t="inlineStr">
        <is>
          <t>09-XL-307HG/PYCNT/CKN/M2/C3-1</t>
        </is>
      </c>
      <c r="AC902" s="204" t="inlineStr">
        <is>
          <t>09-XL-307HG/BBNT/CKN/M2/C3-3</t>
        </is>
      </c>
      <c r="AD902" s="204" t="n"/>
      <c r="AE902" s="204" t="n"/>
      <c r="AF902" s="204" t="n"/>
      <c r="AG902" s="204" t="n"/>
      <c r="AH902" s="204" t="n"/>
      <c r="AI902" s="216" t="n"/>
      <c r="AJ902" s="214" t="n"/>
      <c r="AK902" s="217" t="n"/>
      <c r="AL902" s="214" t="n"/>
      <c r="AM902" s="214" t="n"/>
      <c r="AN902" s="214" t="n"/>
      <c r="AO902" s="214" t="n"/>
      <c r="AP902" s="216" t="n"/>
      <c r="AQ902" s="216" t="n"/>
      <c r="AR902" s="214" t="inlineStr">
        <is>
          <t>Nhóm 1</t>
        </is>
      </c>
      <c r="AS902" s="214" t="n"/>
      <c r="AT902" s="214" t="inlineStr">
        <is>
          <t>HM25</t>
        </is>
      </c>
      <c r="AU902" s="214" t="inlineStr">
        <is>
          <t>NTCV</t>
        </is>
      </c>
      <c r="AV902" s="214" t="n">
        <v>253</v>
      </c>
      <c r="AW902" s="214" t="n">
        <v>2</v>
      </c>
      <c r="AX902" s="214" t="n"/>
    </row>
    <row r="903" ht="28" customHeight="1" s="672">
      <c r="A903" s="56" t="inlineStr">
        <is>
          <t>BBK478</t>
        </is>
      </c>
      <c r="B903" s="56" t="inlineStr">
        <is>
          <t>PL03</t>
        </is>
      </c>
      <c r="C903" s="56" t="inlineStr">
        <is>
          <t>BBK478.0226066</t>
        </is>
      </c>
      <c r="D903" s="57" t="n"/>
      <c r="E903" s="57" t="n"/>
      <c r="F903" s="57" t="n"/>
      <c r="G903" s="57" t="n"/>
      <c r="H903" s="57" t="n"/>
      <c r="J903" s="198" t="inlineStr">
        <is>
          <t>10</t>
        </is>
      </c>
      <c r="K903" s="198" t="inlineStr">
        <is>
          <t>PL03</t>
        </is>
      </c>
      <c r="L903" s="199" t="inlineStr">
        <is>
          <t>Kiểm tra định vị tim cọc khoan nhồi, hạ ống vách thi công</t>
        </is>
      </c>
      <c r="M903" s="199" t="n"/>
      <c r="N903" s="199" t="n"/>
      <c r="O903" s="200" t="inlineStr">
        <is>
          <t>Cầu Km19+529.080</t>
        </is>
      </c>
      <c r="P903" s="201" t="n"/>
      <c r="Q903" s="201" t="n"/>
      <c r="R903" s="201" t="n"/>
      <c r="S903" s="201">
        <f>S902</f>
        <v/>
      </c>
      <c r="T903" s="201" t="n"/>
      <c r="U903" s="201" t="n"/>
      <c r="V903" s="201" t="n"/>
      <c r="W903" s="202" t="n"/>
      <c r="X903" s="202" t="n"/>
      <c r="Y903" s="202" t="n"/>
      <c r="Z903" s="198" t="inlineStr">
        <is>
          <t>03</t>
        </is>
      </c>
      <c r="AA903" s="203" t="n"/>
      <c r="AB903" s="204" t="inlineStr">
        <is>
          <t>09-XL-307HG/PYCNT/CKN/M2/C3-1</t>
        </is>
      </c>
      <c r="AC903" s="204">
        <f>AC902</f>
        <v/>
      </c>
      <c r="AD903" s="255" t="n">
        <v>2481811.919</v>
      </c>
      <c r="AE903" s="255" t="n">
        <v>382463.094</v>
      </c>
      <c r="AF903" s="255" t="n">
        <v>188.836</v>
      </c>
      <c r="AG903" s="255" t="n"/>
      <c r="AH903" s="204" t="inlineStr">
        <is>
          <t>&gt;=401;&lt;=419</t>
        </is>
      </c>
      <c r="AI903" s="207" t="n"/>
      <c r="AJ903" s="202" t="n"/>
      <c r="AK903" s="206" t="n"/>
      <c r="AL903" s="202" t="n"/>
      <c r="AM903" s="202" t="n"/>
      <c r="AN903" s="202" t="n"/>
      <c r="AO903" s="202" t="n"/>
      <c r="AP903" s="207" t="n"/>
      <c r="AQ903" s="207" t="n"/>
      <c r="AR903" s="202" t="inlineStr">
        <is>
          <t>Nhóm 1</t>
        </is>
      </c>
      <c r="AS903" s="202" t="n"/>
      <c r="AT903" s="202" t="inlineStr">
        <is>
          <t>HM25</t>
        </is>
      </c>
      <c r="AU903" s="202" t="inlineStr">
        <is>
          <t>PL03</t>
        </is>
      </c>
      <c r="AV903" s="202" t="n">
        <v>19</v>
      </c>
      <c r="AW903" s="202" t="n">
        <v>1</v>
      </c>
      <c r="AX903" s="202" t="n"/>
    </row>
    <row r="904" ht="28" customHeight="1" s="672">
      <c r="A904" s="56" t="inlineStr">
        <is>
          <t>NTCV</t>
        </is>
      </c>
      <c r="B904" s="56" t="inlineStr">
        <is>
          <t>K.9999</t>
        </is>
      </c>
      <c r="C904" s="56" t="inlineStr">
        <is>
          <t>NTCV.0953128</t>
        </is>
      </c>
      <c r="D904" s="57" t="n"/>
      <c r="E904" s="57" t="n"/>
      <c r="F904" s="57" t="n"/>
      <c r="G904" s="57" t="n"/>
      <c r="H904" s="57" t="n"/>
      <c r="J904" s="209" t="inlineStr">
        <is>
          <t>11</t>
        </is>
      </c>
      <c r="K904" s="209" t="inlineStr">
        <is>
          <t>K.9999</t>
        </is>
      </c>
      <c r="L904" s="210" t="inlineStr">
        <is>
          <t>Nghiệm thu lồng thép cọc khoan nhồi trước khi hạ</t>
        </is>
      </c>
      <c r="M904" s="210" t="n"/>
      <c r="N904" s="210" t="n"/>
      <c r="O904" s="211" t="inlineStr">
        <is>
          <t>Cầu Km19+529.080</t>
        </is>
      </c>
      <c r="P904" s="212">
        <f>S902</f>
        <v/>
      </c>
      <c r="Q904" s="212">
        <f>P904</f>
        <v/>
      </c>
      <c r="R904" s="212">
        <f>Q904-1</f>
        <v/>
      </c>
      <c r="S904" s="212">
        <f>Q904</f>
        <v/>
      </c>
      <c r="T904" s="213">
        <f>U902</f>
        <v/>
      </c>
      <c r="U904" s="213">
        <f>T904+V904</f>
        <v/>
      </c>
      <c r="V904" s="213" t="n">
        <v>0.02083333333333333</v>
      </c>
      <c r="W904" s="214">
        <f>TEXT(T904,"HH""h""MM'")&amp;"÷"&amp;TEXT(U904,"HH""h""MM'")</f>
        <v/>
      </c>
      <c r="X904" s="214" t="n"/>
      <c r="Y904" s="214" t="n"/>
      <c r="Z904" s="214" t="inlineStr">
        <is>
          <t>04;</t>
        </is>
      </c>
      <c r="AA904" s="215" t="inlineStr">
        <is>
          <t>Nghiệm thu lồng thép Cọc khoan nhồi Mố M2 - Cọc C3</t>
        </is>
      </c>
      <c r="AB904" s="204" t="inlineStr">
        <is>
          <t>09-XL-307HG/PYCNT/CKN/M2/C3-1</t>
        </is>
      </c>
      <c r="AC904" s="204" t="inlineStr">
        <is>
          <t>09-XL-307HG/BBNT/CKN/M2/C3-4</t>
        </is>
      </c>
      <c r="AD904" s="204" t="n"/>
      <c r="AE904" s="204" t="n"/>
      <c r="AF904" s="204" t="n"/>
      <c r="AG904" s="204" t="n"/>
      <c r="AH904" s="204" t="n"/>
      <c r="AI904" s="216" t="n"/>
      <c r="AJ904" s="214" t="n"/>
      <c r="AK904" s="217" t="n"/>
      <c r="AL904" s="214" t="n"/>
      <c r="AM904" s="214" t="n"/>
      <c r="AN904" s="214" t="n"/>
      <c r="AO904" s="214" t="n"/>
      <c r="AP904" s="216" t="n"/>
      <c r="AQ904" s="216" t="n"/>
      <c r="AR904" s="214" t="inlineStr">
        <is>
          <t>Nhóm 1</t>
        </is>
      </c>
      <c r="AS904" s="214" t="n"/>
      <c r="AT904" s="214" t="inlineStr">
        <is>
          <t>HM25</t>
        </is>
      </c>
      <c r="AU904" s="214" t="inlineStr">
        <is>
          <t>NTCV</t>
        </is>
      </c>
      <c r="AV904" s="214" t="n">
        <v>258</v>
      </c>
      <c r="AW904" s="214" t="n">
        <v>3</v>
      </c>
      <c r="AX904" s="214" t="n"/>
    </row>
    <row r="905">
      <c r="A905" s="56" t="inlineStr">
        <is>
          <t>BBK096</t>
        </is>
      </c>
      <c r="B905" s="56" t="inlineStr">
        <is>
          <t>PL04</t>
        </is>
      </c>
      <c r="C905" s="56" t="inlineStr">
        <is>
          <t>BBK096.0189117</t>
        </is>
      </c>
      <c r="D905" s="57" t="n"/>
      <c r="E905" s="57" t="n"/>
      <c r="F905" s="57" t="n"/>
      <c r="G905" s="57" t="n"/>
      <c r="H905" s="57" t="n"/>
      <c r="J905" s="198" t="inlineStr">
        <is>
          <t>12</t>
        </is>
      </c>
      <c r="K905" s="198" t="inlineStr">
        <is>
          <t>PL04</t>
        </is>
      </c>
      <c r="L905" s="199" t="inlineStr">
        <is>
          <t>Nghiệm thu lồng thép cọc khoan nhồi trước khi hạ</t>
        </is>
      </c>
      <c r="M905" s="199" t="n"/>
      <c r="N905" s="199" t="n"/>
      <c r="O905" s="200" t="inlineStr">
        <is>
          <t>Cầu Km19+529.080</t>
        </is>
      </c>
      <c r="P905" s="201" t="n"/>
      <c r="Q905" s="201" t="n"/>
      <c r="R905" s="201" t="n"/>
      <c r="S905" s="201">
        <f>S904</f>
        <v/>
      </c>
      <c r="T905" s="201" t="n"/>
      <c r="U905" s="201" t="n"/>
      <c r="V905" s="201" t="n"/>
      <c r="W905" s="202" t="n"/>
      <c r="X905" s="202" t="n"/>
      <c r="Y905" s="202" t="n"/>
      <c r="Z905" s="198" t="inlineStr">
        <is>
          <t>04</t>
        </is>
      </c>
      <c r="AA905" s="203" t="n"/>
      <c r="AB905" s="204" t="inlineStr">
        <is>
          <t>09-XL-307HG/PYCNT/CKN/M2/C3-1</t>
        </is>
      </c>
      <c r="AC905" s="204">
        <f>AC904</f>
        <v/>
      </c>
      <c r="AD905" s="204" t="n"/>
      <c r="AE905" s="204" t="n"/>
      <c r="AF905" s="204" t="n"/>
      <c r="AG905" s="204" t="n"/>
      <c r="AH905" s="204" t="inlineStr">
        <is>
          <t>M2</t>
        </is>
      </c>
      <c r="AI905" s="207" t="n"/>
      <c r="AJ905" s="202" t="n"/>
      <c r="AK905" s="206" t="n"/>
      <c r="AL905" s="202" t="n"/>
      <c r="AM905" s="202" t="n"/>
      <c r="AN905" s="202" t="n"/>
      <c r="AO905" s="202" t="n"/>
      <c r="AP905" s="207" t="n"/>
      <c r="AQ905" s="207" t="n"/>
      <c r="AR905" s="202" t="inlineStr">
        <is>
          <t>Nhóm 1</t>
        </is>
      </c>
      <c r="AS905" s="202" t="n"/>
      <c r="AT905" s="202" t="inlineStr">
        <is>
          <t>HM25</t>
        </is>
      </c>
      <c r="AU905" s="202" t="inlineStr">
        <is>
          <t>PL04</t>
        </is>
      </c>
      <c r="AV905" s="202" t="n">
        <v>19</v>
      </c>
      <c r="AW905" s="202" t="n">
        <v>1</v>
      </c>
      <c r="AX905" s="202" t="n"/>
    </row>
    <row r="906" ht="28" customHeight="1" s="672">
      <c r="A906" s="56" t="inlineStr">
        <is>
          <t>NTCV</t>
        </is>
      </c>
      <c r="B906" s="56" t="inlineStr">
        <is>
          <t>K.9999</t>
        </is>
      </c>
      <c r="C906" s="56" t="inlineStr">
        <is>
          <t>NTCV.0417126</t>
        </is>
      </c>
      <c r="D906" s="57" t="n"/>
      <c r="E906" s="57" t="n"/>
      <c r="F906" s="57" t="n"/>
      <c r="G906" s="57" t="n"/>
      <c r="H906" s="57" t="n"/>
      <c r="J906" s="209" t="inlineStr">
        <is>
          <t>13</t>
        </is>
      </c>
      <c r="K906" s="209" t="inlineStr">
        <is>
          <t>K.9999</t>
        </is>
      </c>
      <c r="L906" s="210" t="inlineStr">
        <is>
          <t xml:space="preserve">Kiểm tra công tác khoan tạo lỗ cọc khoan nhồi </t>
        </is>
      </c>
      <c r="M906" s="210" t="n"/>
      <c r="N906" s="210" t="n"/>
      <c r="O906" s="211" t="inlineStr">
        <is>
          <t>Cầu Km19+529.080</t>
        </is>
      </c>
      <c r="P906" s="212">
        <f>S904</f>
        <v/>
      </c>
      <c r="Q906" s="212">
        <f>P906</f>
        <v/>
      </c>
      <c r="R906" s="212">
        <f>Q906-1</f>
        <v/>
      </c>
      <c r="S906" s="212">
        <f>Q906</f>
        <v/>
      </c>
      <c r="T906" s="213">
        <f>U904</f>
        <v/>
      </c>
      <c r="U906" s="213">
        <f>T906+V906</f>
        <v/>
      </c>
      <c r="V906" s="213" t="n">
        <v>0.3402777777777778</v>
      </c>
      <c r="W906" s="214">
        <f>TEXT(T906,"HH""h""MM'")&amp;"÷"&amp;TEXT(U906,"HH""h""MM'")</f>
        <v/>
      </c>
      <c r="X906" s="214" t="n"/>
      <c r="Y906" s="214" t="n"/>
      <c r="Z906" s="214" t="inlineStr">
        <is>
          <t>05;</t>
        </is>
      </c>
      <c r="AA906" s="215" t="inlineStr">
        <is>
          <t>Kiểm tra công tác khoan tạo lỗ Cọc khoan nhồi Mố M2 - Cọc C3</t>
        </is>
      </c>
      <c r="AB906" s="204" t="inlineStr">
        <is>
          <t>09-XL-307HG/PYCNT/CKN/M2/C3-1</t>
        </is>
      </c>
      <c r="AC906" s="204" t="inlineStr">
        <is>
          <t>09-XL-307HG/BBNT/CKN/M2/C3-5</t>
        </is>
      </c>
      <c r="AD906" s="204" t="n"/>
      <c r="AE906" s="204" t="n"/>
      <c r="AF906" s="204" t="n"/>
      <c r="AG906" s="204" t="n"/>
      <c r="AH906" s="204" t="n"/>
      <c r="AI906" s="216" t="n"/>
      <c r="AJ906" s="214" t="n"/>
      <c r="AK906" s="217" t="n"/>
      <c r="AL906" s="214" t="n"/>
      <c r="AM906" s="214" t="n"/>
      <c r="AN906" s="214" t="n"/>
      <c r="AO906" s="214" t="n"/>
      <c r="AP906" s="216" t="n"/>
      <c r="AQ906" s="216" t="n"/>
      <c r="AR906" s="214" t="inlineStr">
        <is>
          <t>Nhóm 1</t>
        </is>
      </c>
      <c r="AS906" s="214" t="n"/>
      <c r="AT906" s="214" t="inlineStr">
        <is>
          <t>HM25</t>
        </is>
      </c>
      <c r="AU906" s="214" t="inlineStr">
        <is>
          <t>NTCV</t>
        </is>
      </c>
      <c r="AV906" s="214" t="n">
        <v>259</v>
      </c>
      <c r="AW906" s="214" t="n">
        <v>4</v>
      </c>
      <c r="AX906" s="214" t="n"/>
    </row>
    <row r="907">
      <c r="A907" s="56" t="inlineStr">
        <is>
          <t>BBK638</t>
        </is>
      </c>
      <c r="B907" s="56" t="inlineStr">
        <is>
          <t>PL05</t>
        </is>
      </c>
      <c r="C907" s="56" t="inlineStr">
        <is>
          <t>BBK638.0362674</t>
        </is>
      </c>
      <c r="D907" s="57" t="n"/>
      <c r="E907" s="57" t="n"/>
      <c r="F907" s="57" t="n"/>
      <c r="G907" s="57" t="n"/>
      <c r="H907" s="57" t="n"/>
      <c r="J907" s="198" t="inlineStr">
        <is>
          <t>14</t>
        </is>
      </c>
      <c r="K907" s="198" t="inlineStr">
        <is>
          <t>PL05</t>
        </is>
      </c>
      <c r="L907" s="199" t="inlineStr">
        <is>
          <t>Kiểm tra công tác khoan tạo lỗ cọc khoan nhồi</t>
        </is>
      </c>
      <c r="M907" s="199" t="n"/>
      <c r="N907" s="199" t="n"/>
      <c r="O907" s="200" t="inlineStr">
        <is>
          <t>Cầu Km19+529.080</t>
        </is>
      </c>
      <c r="P907" s="201" t="n"/>
      <c r="Q907" s="201" t="n"/>
      <c r="R907" s="201" t="n"/>
      <c r="S907" s="201">
        <f>S906</f>
        <v/>
      </c>
      <c r="T907" s="208">
        <f>T906</f>
        <v/>
      </c>
      <c r="U907" s="208" t="n">
        <v>0.7152777777777778</v>
      </c>
      <c r="V907" s="208">
        <f>U907-T907</f>
        <v/>
      </c>
      <c r="W907" s="202" t="n"/>
      <c r="X907" s="202" t="n"/>
      <c r="Y907" s="202" t="n"/>
      <c r="Z907" s="198" t="inlineStr">
        <is>
          <t>05</t>
        </is>
      </c>
      <c r="AA907" s="203" t="n"/>
      <c r="AB907" s="204" t="inlineStr">
        <is>
          <t>09-XL-307HG/PYCNT/CKN/M2/C3</t>
        </is>
      </c>
      <c r="AC907" s="204">
        <f>AC906</f>
        <v/>
      </c>
      <c r="AD907" s="204" t="n"/>
      <c r="AE907" s="204" t="n"/>
      <c r="AF907" s="255" t="n">
        <v>188.836</v>
      </c>
      <c r="AG907" s="255" t="n"/>
      <c r="AH907" s="204" t="inlineStr">
        <is>
          <t>M2-C3</t>
        </is>
      </c>
      <c r="AI907" s="207" t="n"/>
      <c r="AJ907" s="202" t="n"/>
      <c r="AK907" s="206" t="n"/>
      <c r="AL907" s="202" t="n"/>
      <c r="AM907" s="202" t="n"/>
      <c r="AN907" s="202" t="n"/>
      <c r="AO907" s="202" t="n"/>
      <c r="AP907" s="207" t="n"/>
      <c r="AQ907" s="207" t="n"/>
      <c r="AR907" s="202" t="inlineStr">
        <is>
          <t>Nhóm 1</t>
        </is>
      </c>
      <c r="AS907" s="202" t="n"/>
      <c r="AT907" s="202" t="inlineStr">
        <is>
          <t>HM25</t>
        </is>
      </c>
      <c r="AU907" s="202" t="inlineStr">
        <is>
          <t>PL05</t>
        </is>
      </c>
      <c r="AV907" s="202" t="n">
        <v>19</v>
      </c>
      <c r="AW907" s="202" t="n">
        <v>1</v>
      </c>
      <c r="AX907" s="202" t="n"/>
    </row>
    <row r="908">
      <c r="A908" s="56" t="inlineStr">
        <is>
          <t>BBK680</t>
        </is>
      </c>
      <c r="B908" s="56" t="inlineStr">
        <is>
          <t>PYC</t>
        </is>
      </c>
      <c r="C908" s="56" t="inlineStr">
        <is>
          <t>BBK680.0324798</t>
        </is>
      </c>
      <c r="D908" s="57" t="n"/>
      <c r="E908" s="57" t="n"/>
      <c r="F908" s="57" t="n"/>
      <c r="G908" s="57" t="n"/>
      <c r="H908" s="57" t="n"/>
      <c r="J908" s="198" t="inlineStr">
        <is>
          <t>15</t>
        </is>
      </c>
      <c r="K908" s="198" t="inlineStr">
        <is>
          <t>PYC</t>
        </is>
      </c>
      <c r="L908" s="199" t="inlineStr">
        <is>
          <t>Phiếu yêu cầu nghiệm thu</t>
        </is>
      </c>
      <c r="M908" s="199" t="n"/>
      <c r="N908" s="199" t="n"/>
      <c r="O908" s="200" t="inlineStr">
        <is>
          <t>Cầu Km19+529.080</t>
        </is>
      </c>
      <c r="P908" s="201" t="n"/>
      <c r="Q908" s="201" t="n"/>
      <c r="R908" s="201">
        <f>R909</f>
        <v/>
      </c>
      <c r="S908" s="201" t="n"/>
      <c r="T908" s="201" t="n"/>
      <c r="U908" s="201" t="n"/>
      <c r="V908" s="201" t="n"/>
      <c r="W908" s="202" t="n"/>
      <c r="X908" s="202" t="n"/>
      <c r="Y908" s="202" t="n"/>
      <c r="Z908" s="202" t="n"/>
      <c r="AA908" s="203" t="n"/>
      <c r="AB908" s="204" t="inlineStr">
        <is>
          <t>09-XL-307HG/PYCNT/CKN/M2/C3</t>
        </is>
      </c>
      <c r="AC908" s="205" t="inlineStr"/>
      <c r="AD908" s="205" t="n"/>
      <c r="AE908" s="205" t="n"/>
      <c r="AF908" s="205" t="n"/>
      <c r="AG908" s="205" t="inlineStr">
        <is>
          <t>NTCV;BBKTĐK</t>
        </is>
      </c>
      <c r="AH908" s="204" t="inlineStr">
        <is>
          <t>&gt;=6;&lt;=10</t>
        </is>
      </c>
      <c r="AI908" s="202" t="n"/>
      <c r="AJ908" s="202" t="n"/>
      <c r="AK908" s="206" t="n"/>
      <c r="AL908" s="202" t="n"/>
      <c r="AM908" s="202" t="n"/>
      <c r="AN908" s="202" t="n"/>
      <c r="AO908" s="202" t="n"/>
      <c r="AP908" s="207" t="n"/>
      <c r="AQ908" s="207" t="n"/>
      <c r="AR908" s="202" t="inlineStr">
        <is>
          <t>Nhóm 1</t>
        </is>
      </c>
      <c r="AS908" s="202" t="n"/>
      <c r="AT908" s="202" t="inlineStr">
        <is>
          <t>HM25</t>
        </is>
      </c>
      <c r="AU908" s="202" t="inlineStr">
        <is>
          <t>PYC</t>
        </is>
      </c>
      <c r="AV908" s="202" t="n">
        <v>226</v>
      </c>
      <c r="AW908" s="202" t="n">
        <v>2</v>
      </c>
      <c r="AX908" s="202" t="n"/>
    </row>
    <row r="909" ht="42" customHeight="1" s="672">
      <c r="A909" s="56" t="inlineStr">
        <is>
          <t>NTCV</t>
        </is>
      </c>
      <c r="B909" s="56" t="inlineStr">
        <is>
          <t>K.9999</t>
        </is>
      </c>
      <c r="C909" s="56" t="inlineStr">
        <is>
          <t>NTCV.0979627</t>
        </is>
      </c>
      <c r="D909" s="57" t="n"/>
      <c r="E909" s="57" t="n"/>
      <c r="F909" s="57" t="n"/>
      <c r="G909" s="57" t="n"/>
      <c r="H909" s="57" t="n"/>
      <c r="J909" s="209" t="inlineStr">
        <is>
          <t>16</t>
        </is>
      </c>
      <c r="K909" s="209" t="inlineStr">
        <is>
          <t>K.9999</t>
        </is>
      </c>
      <c r="L909" s="210" t="inlineStr">
        <is>
          <t>Kiểm tra công tác vệ sinh lỗ khoan trước khi hạ lồng cốt thép cọc khoan nhồi</t>
        </is>
      </c>
      <c r="M909" s="210" t="n"/>
      <c r="N909" s="210" t="n"/>
      <c r="O909" s="211" t="inlineStr">
        <is>
          <t>Cầu Km19+529.080</t>
        </is>
      </c>
      <c r="P909" s="212">
        <f>S906+1</f>
        <v/>
      </c>
      <c r="Q909" s="212">
        <f>P909</f>
        <v/>
      </c>
      <c r="R909" s="212">
        <f>Q909-1</f>
        <v/>
      </c>
      <c r="S909" s="212">
        <f>Q909</f>
        <v/>
      </c>
      <c r="T909" s="213" t="n">
        <v>0.3333333333333333</v>
      </c>
      <c r="U909" s="213">
        <f>T909+V909</f>
        <v/>
      </c>
      <c r="V909" s="213" t="n">
        <v>0.01736111111111111</v>
      </c>
      <c r="W909" s="214">
        <f>TEXT(T909,"HH""h""MM'")&amp;"÷"&amp;TEXT(U909,"HH""h""MM'")</f>
        <v/>
      </c>
      <c r="X909" s="214" t="n"/>
      <c r="Y909" s="214" t="n"/>
      <c r="Z909" s="214" t="inlineStr">
        <is>
          <t>06;</t>
        </is>
      </c>
      <c r="AA909" s="215" t="inlineStr">
        <is>
          <t>Kiểm tra công tác vệ sinh lỗ khoan trước khi hạ lồng cốt thép Cọc khoan nhồi Mố M2 - Cọc C3</t>
        </is>
      </c>
      <c r="AB909" s="204" t="inlineStr">
        <is>
          <t>09-XL-307HG/PYCNT/CKN/M2/C3-2</t>
        </is>
      </c>
      <c r="AC909" s="204" t="inlineStr">
        <is>
          <t>09-XL-307HG/BBNT/CKN/M2/C3-6</t>
        </is>
      </c>
      <c r="AD909" s="204" t="n"/>
      <c r="AE909" s="204" t="n"/>
      <c r="AF909" s="204" t="n"/>
      <c r="AG909" s="204" t="n"/>
      <c r="AH909" s="204" t="n"/>
      <c r="AI909" s="216" t="n"/>
      <c r="AJ909" s="214" t="n"/>
      <c r="AK909" s="217" t="n"/>
      <c r="AL909" s="214" t="n"/>
      <c r="AM909" s="214" t="n"/>
      <c r="AN909" s="214" t="n"/>
      <c r="AO909" s="214" t="n"/>
      <c r="AP909" s="216" t="n"/>
      <c r="AQ909" s="216" t="n"/>
      <c r="AR909" s="214" t="inlineStr">
        <is>
          <t>Nhóm 1</t>
        </is>
      </c>
      <c r="AS909" s="214" t="n"/>
      <c r="AT909" s="214" t="inlineStr">
        <is>
          <t>HM25</t>
        </is>
      </c>
      <c r="AU909" s="214" t="inlineStr">
        <is>
          <t>NTCV</t>
        </is>
      </c>
      <c r="AV909" s="214" t="n">
        <v>265</v>
      </c>
      <c r="AW909" s="214" t="n">
        <v>5</v>
      </c>
      <c r="AX909" s="214" t="n"/>
    </row>
    <row r="910" ht="28" customHeight="1" s="672">
      <c r="A910" s="56" t="inlineStr">
        <is>
          <t>BBK570</t>
        </is>
      </c>
      <c r="B910" s="56" t="inlineStr">
        <is>
          <t>PL06</t>
        </is>
      </c>
      <c r="C910" s="56" t="inlineStr">
        <is>
          <t>BBK570.0579042</t>
        </is>
      </c>
      <c r="D910" s="57" t="n"/>
      <c r="E910" s="57" t="n"/>
      <c r="F910" s="57" t="n"/>
      <c r="G910" s="57" t="n"/>
      <c r="H910" s="57" t="n"/>
      <c r="J910" s="198" t="inlineStr">
        <is>
          <t>17</t>
        </is>
      </c>
      <c r="K910" s="198" t="inlineStr">
        <is>
          <t>PL06</t>
        </is>
      </c>
      <c r="L910" s="199" t="inlineStr">
        <is>
          <t>Kiểm tra công tác vệ sinh lỗ khoan trước khi hạ lồng cốt thép cọc khoan nhồi</t>
        </is>
      </c>
      <c r="M910" s="199" t="n"/>
      <c r="N910" s="199" t="n"/>
      <c r="O910" s="200" t="inlineStr">
        <is>
          <t>Cầu Km19+529.080</t>
        </is>
      </c>
      <c r="P910" s="201" t="n"/>
      <c r="Q910" s="201" t="n"/>
      <c r="R910" s="201" t="n"/>
      <c r="S910" s="201">
        <f>S909</f>
        <v/>
      </c>
      <c r="T910" s="201" t="n"/>
      <c r="U910" s="201" t="n"/>
      <c r="V910" s="201" t="n"/>
      <c r="W910" s="202" t="n"/>
      <c r="X910" s="265" t="n">
        <v>150.836</v>
      </c>
      <c r="Y910" s="265">
        <f>X910-0.02</f>
        <v/>
      </c>
      <c r="Z910" s="198" t="inlineStr">
        <is>
          <t>06</t>
        </is>
      </c>
      <c r="AA910" s="203" t="n"/>
      <c r="AB910" s="204" t="inlineStr">
        <is>
          <t>09-XL-307HG/PYCNT/CKN/M2/C3-2</t>
        </is>
      </c>
      <c r="AC910" s="204">
        <f>AC909</f>
        <v/>
      </c>
      <c r="AD910" s="204" t="n"/>
      <c r="AE910" s="204" t="n"/>
      <c r="AF910" s="204" t="n"/>
      <c r="AG910" s="204" t="n"/>
      <c r="AH910" s="204" t="n"/>
      <c r="AI910" s="202" t="n"/>
      <c r="AJ910" s="202" t="n"/>
      <c r="AK910" s="206" t="n"/>
      <c r="AL910" s="202" t="n"/>
      <c r="AM910" s="202" t="n"/>
      <c r="AN910" s="202" t="n"/>
      <c r="AO910" s="202" t="n"/>
      <c r="AP910" s="207" t="n"/>
      <c r="AQ910" s="207" t="n"/>
      <c r="AR910" s="202" t="inlineStr">
        <is>
          <t>Nhóm 1</t>
        </is>
      </c>
      <c r="AS910" s="202" t="n"/>
      <c r="AT910" s="202" t="inlineStr">
        <is>
          <t>HM25</t>
        </is>
      </c>
      <c r="AU910" s="202" t="inlineStr">
        <is>
          <t>PL06</t>
        </is>
      </c>
      <c r="AV910" s="202" t="n">
        <v>19</v>
      </c>
      <c r="AW910" s="202" t="n">
        <v>1</v>
      </c>
      <c r="AX910" s="202" t="n"/>
    </row>
    <row r="911" ht="28" customHeight="1" s="672">
      <c r="A911" s="56" t="inlineStr">
        <is>
          <t>NTCV</t>
        </is>
      </c>
      <c r="B911" s="56" t="inlineStr">
        <is>
          <t>K.9999</t>
        </is>
      </c>
      <c r="C911" s="56" t="inlineStr">
        <is>
          <t>NTCV.0526585</t>
        </is>
      </c>
      <c r="D911" s="57" t="n"/>
      <c r="E911" s="57" t="n"/>
      <c r="F911" s="57" t="n"/>
      <c r="G911" s="57" t="n"/>
      <c r="H911" s="57" t="n"/>
      <c r="J911" s="209" t="inlineStr">
        <is>
          <t>18</t>
        </is>
      </c>
      <c r="K911" s="209" t="inlineStr">
        <is>
          <t>K.9999</t>
        </is>
      </c>
      <c r="L911" s="210" t="inlineStr">
        <is>
          <t xml:space="preserve">Nghiệm thu công tác hạ lồng thép </t>
        </is>
      </c>
      <c r="M911" s="210" t="n"/>
      <c r="N911" s="210" t="n"/>
      <c r="O911" s="211" t="inlineStr">
        <is>
          <t>Cầu Km19+529.080</t>
        </is>
      </c>
      <c r="P911" s="212">
        <f>S909</f>
        <v/>
      </c>
      <c r="Q911" s="212">
        <f>P911</f>
        <v/>
      </c>
      <c r="R911" s="212">
        <f>Q911-1</f>
        <v/>
      </c>
      <c r="S911" s="212">
        <f>Q911</f>
        <v/>
      </c>
      <c r="T911" s="213">
        <f>U909</f>
        <v/>
      </c>
      <c r="U911" s="213">
        <f>T911+V911</f>
        <v/>
      </c>
      <c r="V911" s="213" t="n">
        <v>0.03125</v>
      </c>
      <c r="W911" s="214">
        <f>TEXT(T911,"HH""h""MM'")&amp;"÷"&amp;TEXT(U911,"HH""h""MM'")</f>
        <v/>
      </c>
      <c r="X911" s="214" t="n"/>
      <c r="Y911" s="214" t="n"/>
      <c r="Z911" s="214" t="inlineStr">
        <is>
          <t>07;</t>
        </is>
      </c>
      <c r="AA911" s="215" t="inlineStr">
        <is>
          <t>Công tác hạ lồng thép Cọc khoan nhồi Mố M2 - Cọc C3</t>
        </is>
      </c>
      <c r="AB911" s="204" t="inlineStr">
        <is>
          <t>09-XL-307HG/PYCNT/CKN/M2/C3-2</t>
        </is>
      </c>
      <c r="AC911" s="204" t="inlineStr">
        <is>
          <t>09-XL-307HG/BBNT/CKN/M2/C3-7</t>
        </is>
      </c>
      <c r="AD911" s="204" t="n"/>
      <c r="AE911" s="204" t="n"/>
      <c r="AF911" s="204" t="n"/>
      <c r="AG911" s="204" t="n"/>
      <c r="AH911" s="204" t="n"/>
      <c r="AI911" s="214" t="n"/>
      <c r="AJ911" s="214" t="n"/>
      <c r="AK911" s="217" t="n"/>
      <c r="AL911" s="214" t="n"/>
      <c r="AM911" s="214" t="n"/>
      <c r="AN911" s="214" t="n"/>
      <c r="AO911" s="214" t="n"/>
      <c r="AP911" s="216" t="n"/>
      <c r="AQ911" s="216" t="n"/>
      <c r="AR911" s="214" t="inlineStr">
        <is>
          <t>Nhóm 1</t>
        </is>
      </c>
      <c r="AS911" s="214" t="n"/>
      <c r="AT911" s="214" t="inlineStr">
        <is>
          <t>HM25</t>
        </is>
      </c>
      <c r="AU911" s="214" t="inlineStr">
        <is>
          <t>NTCV</t>
        </is>
      </c>
      <c r="AV911" s="214" t="n">
        <v>267</v>
      </c>
      <c r="AW911" s="214" t="n">
        <v>6</v>
      </c>
      <c r="AX911" s="214" t="n"/>
    </row>
    <row r="912">
      <c r="A912" s="56" t="inlineStr">
        <is>
          <t>BBK396</t>
        </is>
      </c>
      <c r="B912" s="56" t="inlineStr">
        <is>
          <t>PL07</t>
        </is>
      </c>
      <c r="C912" s="56" t="inlineStr">
        <is>
          <t>BBK396.0134092</t>
        </is>
      </c>
      <c r="D912" s="57" t="n"/>
      <c r="E912" s="57" t="n"/>
      <c r="F912" s="57" t="n"/>
      <c r="G912" s="57" t="n"/>
      <c r="H912" s="57" t="n"/>
      <c r="J912" s="198" t="inlineStr">
        <is>
          <t>19</t>
        </is>
      </c>
      <c r="K912" s="198" t="inlineStr">
        <is>
          <t>PL07</t>
        </is>
      </c>
      <c r="L912" s="199" t="inlineStr">
        <is>
          <t>Nghiệm thu công tác hạ lồng thép</t>
        </is>
      </c>
      <c r="M912" s="199" t="n"/>
      <c r="N912" s="199" t="n"/>
      <c r="O912" s="200" t="inlineStr">
        <is>
          <t>Cầu Km19+529.080</t>
        </is>
      </c>
      <c r="P912" s="201" t="n"/>
      <c r="Q912" s="201" t="n"/>
      <c r="R912" s="201" t="n"/>
      <c r="S912" s="201">
        <f>S911</f>
        <v/>
      </c>
      <c r="T912" s="201" t="n"/>
      <c r="U912" s="201" t="n"/>
      <c r="V912" s="201" t="n"/>
      <c r="W912" s="202" t="n"/>
      <c r="X912" s="202" t="n"/>
      <c r="Y912" s="202" t="n"/>
      <c r="Z912" s="198" t="inlineStr">
        <is>
          <t>07</t>
        </is>
      </c>
      <c r="AA912" s="203" t="n"/>
      <c r="AB912" s="204" t="inlineStr">
        <is>
          <t>09-XL-307HG/PYCNT/CKN/M2/C3-2</t>
        </is>
      </c>
      <c r="AC912" s="204">
        <f>AC911</f>
        <v/>
      </c>
      <c r="AD912" s="204" t="n"/>
      <c r="AE912" s="204" t="n"/>
      <c r="AF912" s="204" t="n"/>
      <c r="AG912" s="204" t="n"/>
      <c r="AH912" s="204" t="n"/>
      <c r="AI912" s="202" t="n"/>
      <c r="AJ912" s="202" t="n"/>
      <c r="AK912" s="206" t="n"/>
      <c r="AL912" s="202" t="n"/>
      <c r="AM912" s="202" t="n"/>
      <c r="AN912" s="202" t="n"/>
      <c r="AO912" s="202" t="n"/>
      <c r="AP912" s="207" t="n"/>
      <c r="AQ912" s="207" t="n"/>
      <c r="AR912" s="202" t="inlineStr">
        <is>
          <t>Nhóm 1</t>
        </is>
      </c>
      <c r="AS912" s="202" t="n"/>
      <c r="AT912" s="202" t="inlineStr">
        <is>
          <t>HM25</t>
        </is>
      </c>
      <c r="AU912" s="202" t="inlineStr">
        <is>
          <t>PL07</t>
        </is>
      </c>
      <c r="AV912" s="202" t="n">
        <v>19</v>
      </c>
      <c r="AW912" s="202" t="n">
        <v>1</v>
      </c>
      <c r="AX912" s="202" t="n"/>
    </row>
    <row r="913" ht="42" customHeight="1" s="672">
      <c r="A913" s="56" t="inlineStr">
        <is>
          <t>NTCV</t>
        </is>
      </c>
      <c r="B913" s="56" t="inlineStr">
        <is>
          <t>K.9999</t>
        </is>
      </c>
      <c r="C913" s="56" t="inlineStr">
        <is>
          <t>NTCV.0898666</t>
        </is>
      </c>
      <c r="D913" s="57" t="n"/>
      <c r="E913" s="57" t="n"/>
      <c r="F913" s="57" t="n"/>
      <c r="G913" s="57" t="n"/>
      <c r="H913" s="57" t="n"/>
      <c r="J913" s="209" t="inlineStr">
        <is>
          <t>20</t>
        </is>
      </c>
      <c r="K913" s="209" t="inlineStr">
        <is>
          <t>K.9999</t>
        </is>
      </c>
      <c r="L913" s="210" t="inlineStr">
        <is>
          <t xml:space="preserve">Kiểm tra công tác vệ sinh lỗ khoan cọc khoan nhồi trước khi đổ bê tông </t>
        </is>
      </c>
      <c r="M913" s="210" t="n"/>
      <c r="N913" s="210" t="n"/>
      <c r="O913" s="211" t="inlineStr">
        <is>
          <t>Cầu Km19+529.080</t>
        </is>
      </c>
      <c r="P913" s="212">
        <f>S911</f>
        <v/>
      </c>
      <c r="Q913" s="212">
        <f>P913</f>
        <v/>
      </c>
      <c r="R913" s="212">
        <f>Q913-1</f>
        <v/>
      </c>
      <c r="S913" s="212">
        <f>Q913</f>
        <v/>
      </c>
      <c r="T913" s="213">
        <f>U911</f>
        <v/>
      </c>
      <c r="U913" s="213">
        <f>T913+V913</f>
        <v/>
      </c>
      <c r="V913" s="213" t="n">
        <v>0.02083333333333333</v>
      </c>
      <c r="W913" s="214">
        <f>TEXT(T913,"HH""h""MM'")&amp;"÷"&amp;TEXT(U913,"HH""h""MM'")</f>
        <v/>
      </c>
      <c r="X913" s="214" t="n"/>
      <c r="Y913" s="214" t="n"/>
      <c r="Z913" s="214" t="inlineStr">
        <is>
          <t>08;</t>
        </is>
      </c>
      <c r="AA913" s="215" t="inlineStr">
        <is>
          <t>Kiểm tra công tác vệ sinh lỗ khoan cọc khoan nhồi trước khi đổ bê tông Cọc khoan nhồi Mố M2 - Cọc C3</t>
        </is>
      </c>
      <c r="AB913" s="204" t="inlineStr">
        <is>
          <t>09-XL-307HG/PYCNT/CKN/M2/C3-2</t>
        </is>
      </c>
      <c r="AC913" s="204" t="inlineStr">
        <is>
          <t>09-XL-307HG/BBNT/CKN/M2/C3-8</t>
        </is>
      </c>
      <c r="AD913" s="204" t="n"/>
      <c r="AE913" s="204" t="n"/>
      <c r="AF913" s="204" t="n"/>
      <c r="AG913" s="204" t="n"/>
      <c r="AH913" s="204" t="n"/>
      <c r="AI913" s="214" t="n"/>
      <c r="AJ913" s="214" t="n"/>
      <c r="AK913" s="217" t="n"/>
      <c r="AL913" s="214" t="n"/>
      <c r="AM913" s="214" t="n"/>
      <c r="AN913" s="214" t="n"/>
      <c r="AO913" s="214" t="n"/>
      <c r="AP913" s="216" t="n"/>
      <c r="AQ913" s="216" t="n"/>
      <c r="AR913" s="214" t="inlineStr">
        <is>
          <t>Nhóm 1</t>
        </is>
      </c>
      <c r="AS913" s="214" t="n"/>
      <c r="AT913" s="214" t="inlineStr">
        <is>
          <t>HM25</t>
        </is>
      </c>
      <c r="AU913" s="214" t="inlineStr">
        <is>
          <t>NTCV</t>
        </is>
      </c>
      <c r="AV913" s="214" t="n">
        <v>272</v>
      </c>
      <c r="AW913" s="214" t="n">
        <v>7</v>
      </c>
      <c r="AX913" s="214" t="n"/>
    </row>
    <row r="914" ht="28" customHeight="1" s="672">
      <c r="A914" s="56" t="inlineStr">
        <is>
          <t>BBK521</t>
        </is>
      </c>
      <c r="B914" s="56" t="inlineStr">
        <is>
          <t>PL08</t>
        </is>
      </c>
      <c r="C914" s="56" t="inlineStr">
        <is>
          <t>BBK521.0031154</t>
        </is>
      </c>
      <c r="D914" s="57" t="n"/>
      <c r="E914" s="57" t="n"/>
      <c r="F914" s="57" t="n"/>
      <c r="G914" s="57" t="n"/>
      <c r="H914" s="57" t="n"/>
      <c r="J914" s="198" t="inlineStr">
        <is>
          <t>21</t>
        </is>
      </c>
      <c r="K914" s="198" t="inlineStr">
        <is>
          <t>PL08</t>
        </is>
      </c>
      <c r="L914" s="199" t="inlineStr">
        <is>
          <t>Kiểm tra công tác vệ sinh lỗ khoan cọc khoan nhồi trước khi đổ bê tông</t>
        </is>
      </c>
      <c r="M914" s="199" t="n"/>
      <c r="N914" s="199" t="n"/>
      <c r="O914" s="200" t="inlineStr">
        <is>
          <t>Cầu Km19+529.080</t>
        </is>
      </c>
      <c r="P914" s="201" t="n"/>
      <c r="Q914" s="201" t="n"/>
      <c r="R914" s="201" t="n"/>
      <c r="S914" s="201">
        <f>S913</f>
        <v/>
      </c>
      <c r="T914" s="201" t="n"/>
      <c r="U914" s="201" t="n"/>
      <c r="V914" s="201" t="n"/>
      <c r="W914" s="202" t="n"/>
      <c r="X914" s="202" t="n"/>
      <c r="Y914" s="202" t="n"/>
      <c r="Z914" s="198" t="inlineStr">
        <is>
          <t>08</t>
        </is>
      </c>
      <c r="AA914" s="203" t="n"/>
      <c r="AB914" s="204" t="inlineStr">
        <is>
          <t>09-XL-307HG/PYCNT/CKN/M2/C3-2</t>
        </is>
      </c>
      <c r="AC914" s="204">
        <f>AC913</f>
        <v/>
      </c>
      <c r="AD914" s="204" t="n"/>
      <c r="AE914" s="204" t="n"/>
      <c r="AF914" s="204" t="n"/>
      <c r="AG914" s="204" t="n"/>
      <c r="AH914" s="204" t="n"/>
      <c r="AI914" s="202" t="n"/>
      <c r="AJ914" s="202" t="n"/>
      <c r="AK914" s="206" t="n"/>
      <c r="AL914" s="202" t="n"/>
      <c r="AM914" s="202" t="n"/>
      <c r="AN914" s="202" t="n"/>
      <c r="AO914" s="202" t="n"/>
      <c r="AP914" s="207" t="n"/>
      <c r="AQ914" s="207" t="n"/>
      <c r="AR914" s="202" t="inlineStr">
        <is>
          <t>Nhóm 1</t>
        </is>
      </c>
      <c r="AS914" s="202" t="n"/>
      <c r="AT914" s="202" t="inlineStr">
        <is>
          <t>HM25</t>
        </is>
      </c>
      <c r="AU914" s="202" t="inlineStr">
        <is>
          <t>PL08</t>
        </is>
      </c>
      <c r="AV914" s="202" t="n">
        <v>19</v>
      </c>
      <c r="AW914" s="202" t="n">
        <v>1</v>
      </c>
      <c r="AX914" s="202" t="n"/>
    </row>
    <row r="915" ht="28" customHeight="1" s="672">
      <c r="A915" s="56" t="inlineStr">
        <is>
          <t>NTCV</t>
        </is>
      </c>
      <c r="B915" s="56" t="inlineStr">
        <is>
          <t>K.9999</t>
        </is>
      </c>
      <c r="C915" s="56" t="inlineStr">
        <is>
          <t>NTCV.0792565</t>
        </is>
      </c>
      <c r="D915" s="57" t="n"/>
      <c r="E915" s="57" t="n"/>
      <c r="F915" s="57" t="n"/>
      <c r="G915" s="57" t="n"/>
      <c r="H915" s="57" t="n"/>
      <c r="J915" s="209" t="inlineStr">
        <is>
          <t>22</t>
        </is>
      </c>
      <c r="K915" s="209" t="inlineStr">
        <is>
          <t>K.9999</t>
        </is>
      </c>
      <c r="L915" s="210" t="inlineStr">
        <is>
          <t xml:space="preserve">Kiểm tra công tác chuẩn bị đổ bê tông cọc khoan nhồi </t>
        </is>
      </c>
      <c r="M915" s="210" t="n"/>
      <c r="N915" s="210" t="n"/>
      <c r="O915" s="211" t="inlineStr">
        <is>
          <t>Cầu Km19+529.080</t>
        </is>
      </c>
      <c r="P915" s="212">
        <f>S913</f>
        <v/>
      </c>
      <c r="Q915" s="212">
        <f>P915</f>
        <v/>
      </c>
      <c r="R915" s="212">
        <f>Q915-1</f>
        <v/>
      </c>
      <c r="S915" s="212">
        <f>Q915</f>
        <v/>
      </c>
      <c r="T915" s="213">
        <f>U913</f>
        <v/>
      </c>
      <c r="U915" s="213">
        <f>T915+V915</f>
        <v/>
      </c>
      <c r="V915" s="213" t="n">
        <v>0.02083333333333333</v>
      </c>
      <c r="W915" s="214">
        <f>TEXT(T915,"HH""h""MM'")&amp;"÷"&amp;TEXT(U915,"HH""h""MM'")</f>
        <v/>
      </c>
      <c r="X915" s="214" t="n"/>
      <c r="Y915" s="214" t="n"/>
      <c r="Z915" s="214" t="inlineStr">
        <is>
          <t>09;</t>
        </is>
      </c>
      <c r="AA915" s="215" t="inlineStr">
        <is>
          <t>Kiểm tra công tác chuẩn bị đổ bê tông Cọc khoan nhồi Mố M2 - Cọc C3</t>
        </is>
      </c>
      <c r="AB915" s="204" t="inlineStr">
        <is>
          <t>09-XL-307HG/PYCNT/CKN/M2/C3-2</t>
        </is>
      </c>
      <c r="AC915" s="204" t="inlineStr">
        <is>
          <t>09-XL-307HG/BBNT/CKN/M2/C3-9</t>
        </is>
      </c>
      <c r="AD915" s="204" t="n"/>
      <c r="AE915" s="204" t="n"/>
      <c r="AF915" s="204" t="n"/>
      <c r="AG915" s="204" t="n"/>
      <c r="AH915" s="204" t="n"/>
      <c r="AI915" s="214" t="n"/>
      <c r="AJ915" s="214" t="n"/>
      <c r="AK915" s="217" t="n"/>
      <c r="AL915" s="214" t="n"/>
      <c r="AM915" s="214" t="n"/>
      <c r="AN915" s="214" t="n"/>
      <c r="AO915" s="214" t="n"/>
      <c r="AP915" s="216" t="n"/>
      <c r="AQ915" s="216" t="n"/>
      <c r="AR915" s="214" t="inlineStr">
        <is>
          <t>Nhóm 1</t>
        </is>
      </c>
      <c r="AS915" s="214" t="n"/>
      <c r="AT915" s="214" t="inlineStr">
        <is>
          <t>HM25</t>
        </is>
      </c>
      <c r="AU915" s="214" t="inlineStr">
        <is>
          <t>NTCV</t>
        </is>
      </c>
      <c r="AV915" s="214" t="n">
        <v>273</v>
      </c>
      <c r="AW915" s="214" t="n">
        <v>8</v>
      </c>
      <c r="AX915" s="214" t="n"/>
    </row>
    <row r="916">
      <c r="A916" s="56" t="inlineStr">
        <is>
          <t>BBK209</t>
        </is>
      </c>
      <c r="B916" s="56" t="inlineStr">
        <is>
          <t>PL09</t>
        </is>
      </c>
      <c r="C916" s="56" t="inlineStr">
        <is>
          <t>BBK209.0719209</t>
        </is>
      </c>
      <c r="D916" s="57" t="n"/>
      <c r="E916" s="57" t="n"/>
      <c r="F916" s="57" t="n"/>
      <c r="G916" s="57" t="n"/>
      <c r="H916" s="57" t="n"/>
      <c r="J916" s="198" t="inlineStr">
        <is>
          <t>23</t>
        </is>
      </c>
      <c r="K916" s="198" t="inlineStr">
        <is>
          <t>PL09</t>
        </is>
      </c>
      <c r="L916" s="199" t="inlineStr">
        <is>
          <t>Kiểm tra công tác chuẩn bị đổ bê tông cọc khoan nhồi</t>
        </is>
      </c>
      <c r="M916" s="199" t="n"/>
      <c r="N916" s="199" t="n"/>
      <c r="O916" s="200" t="inlineStr">
        <is>
          <t>Cầu Km19+529.080</t>
        </is>
      </c>
      <c r="P916" s="201" t="n"/>
      <c r="Q916" s="201" t="n"/>
      <c r="R916" s="201" t="n"/>
      <c r="S916" s="201">
        <f>S915</f>
        <v/>
      </c>
      <c r="T916" s="201" t="n"/>
      <c r="U916" s="201" t="n"/>
      <c r="V916" s="201" t="n"/>
      <c r="W916" s="202" t="n"/>
      <c r="X916" s="202" t="n"/>
      <c r="Y916" s="202" t="n"/>
      <c r="Z916" s="198" t="inlineStr">
        <is>
          <t>09</t>
        </is>
      </c>
      <c r="AA916" s="203" t="n"/>
      <c r="AB916" s="204" t="inlineStr">
        <is>
          <t>09-XL-307HG/PYCNT/CKN/M2/C3-2</t>
        </is>
      </c>
      <c r="AC916" s="204">
        <f>AC915</f>
        <v/>
      </c>
      <c r="AD916" s="204" t="n"/>
      <c r="AE916" s="204" t="n"/>
      <c r="AF916" s="204" t="n"/>
      <c r="AG916" s="204" t="n"/>
      <c r="AH916" s="204" t="inlineStr">
        <is>
          <t>C30(1)</t>
        </is>
      </c>
      <c r="AI916" s="202" t="n"/>
      <c r="AJ916" s="202" t="n"/>
      <c r="AK916" s="206" t="n"/>
      <c r="AL916" s="202" t="n"/>
      <c r="AM916" s="202" t="n"/>
      <c r="AN916" s="202" t="n"/>
      <c r="AO916" s="202" t="n"/>
      <c r="AP916" s="207" t="n"/>
      <c r="AQ916" s="207" t="n"/>
      <c r="AR916" s="202" t="inlineStr">
        <is>
          <t>Nhóm 1</t>
        </is>
      </c>
      <c r="AS916" s="202" t="n"/>
      <c r="AT916" s="202" t="inlineStr">
        <is>
          <t>HM25</t>
        </is>
      </c>
      <c r="AU916" s="202" t="inlineStr">
        <is>
          <t>PL09</t>
        </is>
      </c>
      <c r="AV916" s="202" t="n">
        <v>19</v>
      </c>
      <c r="AW916" s="202" t="n">
        <v>1</v>
      </c>
      <c r="AX916" s="202" t="n"/>
    </row>
    <row r="917" ht="28" customHeight="1" s="672">
      <c r="A917" s="56" t="inlineStr">
        <is>
          <t>NTCV</t>
        </is>
      </c>
      <c r="B917" s="56" t="inlineStr">
        <is>
          <t>K.9999</t>
        </is>
      </c>
      <c r="C917" s="56" t="inlineStr">
        <is>
          <t>NTCV.0244146</t>
        </is>
      </c>
      <c r="D917" s="57" t="n"/>
      <c r="E917" s="57" t="n"/>
      <c r="F917" s="57" t="n"/>
      <c r="G917" s="57" t="n"/>
      <c r="H917" s="57" t="n"/>
      <c r="J917" s="209" t="inlineStr">
        <is>
          <t>24</t>
        </is>
      </c>
      <c r="K917" s="209" t="inlineStr">
        <is>
          <t>K.9999</t>
        </is>
      </c>
      <c r="L917" s="210" t="inlineStr">
        <is>
          <t>Theo dõi quá trình đổ bê tông cọc khoan nhồi</t>
        </is>
      </c>
      <c r="M917" s="210" t="n"/>
      <c r="N917" s="210" t="n"/>
      <c r="O917" s="211" t="inlineStr">
        <is>
          <t>Cầu Km19+529.080</t>
        </is>
      </c>
      <c r="P917" s="212">
        <f>S915</f>
        <v/>
      </c>
      <c r="Q917" s="212">
        <f>P917</f>
        <v/>
      </c>
      <c r="R917" s="212">
        <f>Q917-1</f>
        <v/>
      </c>
      <c r="S917" s="212">
        <f>Q917</f>
        <v/>
      </c>
      <c r="T917" s="213">
        <f>U915</f>
        <v/>
      </c>
      <c r="U917" s="213">
        <f>T917+V917</f>
        <v/>
      </c>
      <c r="V917" s="213" t="n">
        <v>0.1458333333333333</v>
      </c>
      <c r="W917" s="214">
        <f>TEXT(T917,"HH""h""MM'")&amp;"÷"&amp;TEXT(U917,"HH""h""MM'")</f>
        <v/>
      </c>
      <c r="X917" s="214" t="n"/>
      <c r="Y917" s="214" t="n"/>
      <c r="Z917" s="214" t="inlineStr">
        <is>
          <t>10;</t>
        </is>
      </c>
      <c r="AA917" s="215" t="inlineStr">
        <is>
          <t>Theo dõi quá trình đổ bê tông  Cọc khoan nhồi Mố M2 - Cọc C3</t>
        </is>
      </c>
      <c r="AB917" s="204" t="inlineStr">
        <is>
          <t>09-XL-307HG/PYCNT/CKN/M2/C3-2</t>
        </is>
      </c>
      <c r="AC917" s="204" t="inlineStr">
        <is>
          <t>09-XL-307HG/BBNT/CKN/M2/C3-10</t>
        </is>
      </c>
      <c r="AD917" s="204" t="n"/>
      <c r="AE917" s="204" t="n"/>
      <c r="AF917" s="204" t="n"/>
      <c r="AG917" s="204" t="n"/>
      <c r="AH917" s="204" t="n"/>
      <c r="AI917" s="214" t="n"/>
      <c r="AJ917" s="214" t="n"/>
      <c r="AK917" s="217" t="n"/>
      <c r="AL917" s="214" t="n"/>
      <c r="AM917" s="214" t="n"/>
      <c r="AN917" s="214" t="n"/>
      <c r="AO917" s="214" t="n"/>
      <c r="AP917" s="216" t="n"/>
      <c r="AQ917" s="216" t="n"/>
      <c r="AR917" s="214" t="inlineStr">
        <is>
          <t>Nhóm 1</t>
        </is>
      </c>
      <c r="AS917" s="214" t="n"/>
      <c r="AT917" s="214" t="inlineStr">
        <is>
          <t>HM25</t>
        </is>
      </c>
      <c r="AU917" s="214" t="inlineStr">
        <is>
          <t>NTCV</t>
        </is>
      </c>
      <c r="AV917" s="214" t="n">
        <v>274</v>
      </c>
      <c r="AW917" s="214" t="n">
        <v>9</v>
      </c>
      <c r="AX917" s="214" t="n"/>
    </row>
    <row r="918" ht="112" customHeight="1" s="672">
      <c r="A918" s="56" t="inlineStr">
        <is>
          <t>LMHT</t>
        </is>
      </c>
      <c r="B918" s="56" t="inlineStr">
        <is>
          <t>LMHT</t>
        </is>
      </c>
      <c r="C918" s="56" t="inlineStr">
        <is>
          <t>LMHT.0942223</t>
        </is>
      </c>
      <c r="D918" s="57" t="inlineStr">
        <is>
          <t>TC.000041|TC.000182|TC.000169.A</t>
        </is>
      </c>
      <c r="E918" s="57" t="n"/>
      <c r="F918" s="57" t="inlineStr">
        <is>
          <t>CP.0001^Cọc khoan nhồi Mố M2 - Cọc C3^Hình trụ 15x30 (cm)^12^30 Mpa, 18±2^^^TC.000041|TC.000182|TC.000169.A</t>
        </is>
      </c>
      <c r="G918" s="57" t="n"/>
      <c r="H918" s="57" t="inlineStr">
        <is>
          <t>^^A|C|J|O|S|X|Z^Stt|Hạng mục|Cấp bê tông|Kích thước mẫu|Số lượng mẫu|Ghi chú^|||||</t>
        </is>
      </c>
      <c r="J918" s="256" t="inlineStr">
        <is>
          <t>25</t>
        </is>
      </c>
      <c r="K918" s="256" t="inlineStr">
        <is>
          <t>LMHT</t>
        </is>
      </c>
      <c r="L918" s="257" t="inlineStr">
        <is>
          <t>Lấy mẫu bê tông Cọc khoan nhồi, 30(1) Mpa Mố M2 - Cọc C3</t>
        </is>
      </c>
      <c r="M918" s="257" t="n"/>
      <c r="N918" s="257" t="n"/>
      <c r="O918" s="258" t="inlineStr">
        <is>
          <t>Cầu Km19+529.080</t>
        </is>
      </c>
      <c r="P918" s="259" t="n"/>
      <c r="Q918" s="259" t="n"/>
      <c r="R918" s="259" t="n"/>
      <c r="S918" s="259">
        <f>S917</f>
        <v/>
      </c>
      <c r="T918" s="260">
        <f>T917</f>
        <v/>
      </c>
      <c r="U918" s="260">
        <f>U917</f>
        <v/>
      </c>
      <c r="V918" s="260">
        <f>V917</f>
        <v/>
      </c>
      <c r="W918" s="261">
        <f>TEXT(T918,"HH""h""MM'")&amp;"÷"&amp;TEXT(U918,"HH""h""MM'")</f>
        <v/>
      </c>
      <c r="X918" s="262" t="n"/>
      <c r="Y918" s="262" t="n"/>
      <c r="Z918" s="262" t="n"/>
      <c r="AA918" s="262" t="n"/>
      <c r="AB918" s="263" t="inlineStr">
        <is>
          <t>09-XL-307HG/PYCNT/CKN/M2/C3-2</t>
        </is>
      </c>
      <c r="AC918" s="263" t="inlineStr"/>
      <c r="AD918" s="264" t="n"/>
      <c r="AE918" s="264" t="n"/>
      <c r="AF918" s="264" t="n"/>
      <c r="AG918" s="264" t="n"/>
      <c r="AH918" s="264" t="n"/>
      <c r="AI918" s="257" t="n"/>
      <c r="AJ918" s="262" t="n"/>
      <c r="AK918" s="258" t="n"/>
      <c r="AL918" s="262" t="n"/>
      <c r="AM918" s="262" t="n"/>
      <c r="AN918" s="262" t="n"/>
      <c r="AO918" s="262" t="n"/>
      <c r="AP918" s="263" t="inlineStr">
        <is>
          <t>Bảng lấy mẫu CKN</t>
        </is>
      </c>
      <c r="AQ918" s="263" t="n"/>
      <c r="AR918" s="262" t="inlineStr">
        <is>
          <t>Nhóm 1</t>
        </is>
      </c>
      <c r="AS918" s="262" t="n"/>
      <c r="AT918" s="262" t="inlineStr">
        <is>
          <t>HM25</t>
        </is>
      </c>
      <c r="AU918" s="262" t="inlineStr">
        <is>
          <t>LMHT</t>
        </is>
      </c>
      <c r="AV918" s="262" t="n">
        <v>22</v>
      </c>
      <c r="AW918" s="262" t="n">
        <v>1</v>
      </c>
      <c r="AX918" s="262" t="inlineStr">
        <is>
          <t>Cọc M2-C3: cát Lần 3 [BT dòng 22].</t>
        </is>
      </c>
    </row>
    <row r="919">
      <c r="A919" s="56" t="inlineStr">
        <is>
          <t>BBK994</t>
        </is>
      </c>
      <c r="B919" s="56" t="inlineStr">
        <is>
          <t>PL10</t>
        </is>
      </c>
      <c r="C919" s="56" t="inlineStr">
        <is>
          <t>BBK994.0466828</t>
        </is>
      </c>
      <c r="D919" s="57" t="n"/>
      <c r="E919" s="57" t="n"/>
      <c r="F919" s="57" t="n"/>
      <c r="G919" s="57" t="n"/>
      <c r="H919" s="57" t="n"/>
      <c r="J919" s="198" t="inlineStr">
        <is>
          <t>26</t>
        </is>
      </c>
      <c r="K919" s="198" t="inlineStr">
        <is>
          <t>PL10</t>
        </is>
      </c>
      <c r="L919" s="199" t="inlineStr">
        <is>
          <t>Theo dõi quá trình đổ bê tông cọc khoan nhồi</t>
        </is>
      </c>
      <c r="M919" s="199" t="n"/>
      <c r="N919" s="199" t="n"/>
      <c r="O919" s="200" t="inlineStr">
        <is>
          <t>Cầu Km19+529.080</t>
        </is>
      </c>
      <c r="P919" s="201" t="n"/>
      <c r="Q919" s="201" t="n"/>
      <c r="R919" s="201" t="n"/>
      <c r="S919" s="201">
        <f>S917</f>
        <v/>
      </c>
      <c r="T919" s="201" t="n"/>
      <c r="U919" s="201" t="n"/>
      <c r="V919" s="201" t="n"/>
      <c r="W919" s="202" t="n"/>
      <c r="X919" s="202" t="n"/>
      <c r="Y919" s="202" t="n"/>
      <c r="Z919" s="198" t="inlineStr">
        <is>
          <t>10</t>
        </is>
      </c>
      <c r="AA919" s="203" t="n"/>
      <c r="AB919" s="204" t="inlineStr">
        <is>
          <t>09-XL-307HG/PYCNT/CKN/M2/C3-2</t>
        </is>
      </c>
      <c r="AC919" s="204">
        <f>AC917</f>
        <v/>
      </c>
      <c r="AD919" s="204" t="n"/>
      <c r="AE919" s="204" t="n"/>
      <c r="AF919" s="204" t="n"/>
      <c r="AG919" s="204" t="n"/>
      <c r="AH919" s="204" t="inlineStr">
        <is>
          <t>M2-C3</t>
        </is>
      </c>
      <c r="AI919" s="202" t="n"/>
      <c r="AJ919" s="202" t="n"/>
      <c r="AK919" s="206" t="n"/>
      <c r="AL919" s="202" t="n"/>
      <c r="AM919" s="202" t="n"/>
      <c r="AN919" s="202" t="n"/>
      <c r="AO919" s="202" t="n"/>
      <c r="AP919" s="207" t="n"/>
      <c r="AQ919" s="207" t="n"/>
      <c r="AR919" s="202" t="inlineStr">
        <is>
          <t>Nhóm 1</t>
        </is>
      </c>
      <c r="AS919" s="202" t="n"/>
      <c r="AT919" s="202" t="inlineStr">
        <is>
          <t>HM25</t>
        </is>
      </c>
      <c r="AU919" s="202" t="inlineStr">
        <is>
          <t>PL10</t>
        </is>
      </c>
      <c r="AV919" s="202" t="n">
        <v>19</v>
      </c>
      <c r="AW919" s="202" t="n">
        <v>1</v>
      </c>
      <c r="AX919" s="202" t="n"/>
    </row>
    <row r="920" ht="28" customHeight="1" s="672">
      <c r="A920" s="56" t="inlineStr">
        <is>
          <t>NTCV</t>
        </is>
      </c>
      <c r="B920" s="56" t="inlineStr">
        <is>
          <t>K.9999</t>
        </is>
      </c>
      <c r="C920" s="56" t="inlineStr">
        <is>
          <t>NTCV.0724007</t>
        </is>
      </c>
      <c r="D920" s="57" t="n"/>
      <c r="E920" s="57" t="n"/>
      <c r="F920" s="57" t="n"/>
      <c r="G920" s="57" t="n"/>
      <c r="H920" s="57" t="n"/>
      <c r="J920" s="209" t="inlineStr">
        <is>
          <t>27</t>
        </is>
      </c>
      <c r="K920" s="209" t="inlineStr">
        <is>
          <t>K.9999</t>
        </is>
      </c>
      <c r="L920" s="210" t="inlineStr">
        <is>
          <t xml:space="preserve"> Rút ống vách thi công cọc khoan nhồi</t>
        </is>
      </c>
      <c r="M920" s="210" t="n"/>
      <c r="N920" s="210" t="n"/>
      <c r="O920" s="211" t="inlineStr">
        <is>
          <t>Cầu Km19+529.080</t>
        </is>
      </c>
      <c r="P920" s="212">
        <f>S917</f>
        <v/>
      </c>
      <c r="Q920" s="212">
        <f>P920</f>
        <v/>
      </c>
      <c r="R920" s="212">
        <f>Q920-1</f>
        <v/>
      </c>
      <c r="S920" s="212">
        <f>Q920</f>
        <v/>
      </c>
      <c r="T920" s="213">
        <f>U917</f>
        <v/>
      </c>
      <c r="U920" s="213">
        <f>T920+V920</f>
        <v/>
      </c>
      <c r="V920" s="213" t="n">
        <v>0.01041666666666667</v>
      </c>
      <c r="W920" s="214">
        <f>TEXT(T920,"HH""h""MM'")&amp;"÷"&amp;TEXT(U920,"HH""h""MM'")</f>
        <v/>
      </c>
      <c r="X920" s="214" t="n"/>
      <c r="Y920" s="214" t="n"/>
      <c r="Z920" s="214" t="inlineStr">
        <is>
          <t>11;</t>
        </is>
      </c>
      <c r="AA920" s="215" t="inlineStr">
        <is>
          <t>Rút ống vách  Cọc khoan nhồi Mố M2 - Cọc C3</t>
        </is>
      </c>
      <c r="AB920" s="204" t="inlineStr">
        <is>
          <t>09-XL-307HG/PYCNT/CKN/M2/C3-2</t>
        </is>
      </c>
      <c r="AC920" s="204" t="inlineStr">
        <is>
          <t>09-XL-307HG/BBNT/CKN/M2/C3-11</t>
        </is>
      </c>
      <c r="AD920" s="204" t="n"/>
      <c r="AE920" s="204" t="n"/>
      <c r="AF920" s="204" t="n"/>
      <c r="AG920" s="204" t="n"/>
      <c r="AH920" s="204" t="n"/>
      <c r="AI920" s="214" t="n"/>
      <c r="AJ920" s="214" t="n"/>
      <c r="AK920" s="217" t="n"/>
      <c r="AL920" s="214" t="n"/>
      <c r="AM920" s="214" t="n"/>
      <c r="AN920" s="214" t="n"/>
      <c r="AO920" s="214" t="n"/>
      <c r="AP920" s="216" t="n"/>
      <c r="AQ920" s="216" t="n"/>
      <c r="AR920" s="214" t="inlineStr">
        <is>
          <t>Nhóm 1</t>
        </is>
      </c>
      <c r="AS920" s="214" t="n"/>
      <c r="AT920" s="214" t="inlineStr">
        <is>
          <t>HM25</t>
        </is>
      </c>
      <c r="AU920" s="214" t="inlineStr">
        <is>
          <t>NTCV</t>
        </is>
      </c>
      <c r="AV920" s="214" t="n">
        <v>275</v>
      </c>
      <c r="AW920" s="214" t="n">
        <v>10</v>
      </c>
      <c r="AX920" s="214" t="n"/>
    </row>
    <row r="921">
      <c r="A921" s="56" t="inlineStr">
        <is>
          <t>BBK544</t>
        </is>
      </c>
      <c r="B921" s="56" t="inlineStr">
        <is>
          <t>PL11</t>
        </is>
      </c>
      <c r="C921" s="56" t="inlineStr">
        <is>
          <t>BBK544.0396988</t>
        </is>
      </c>
      <c r="D921" s="57" t="n"/>
      <c r="E921" s="57" t="n"/>
      <c r="F921" s="57" t="n"/>
      <c r="G921" s="57" t="n"/>
      <c r="H921" s="57" t="n"/>
      <c r="J921" s="198" t="inlineStr">
        <is>
          <t>28</t>
        </is>
      </c>
      <c r="K921" s="198" t="inlineStr">
        <is>
          <t>PL11</t>
        </is>
      </c>
      <c r="L921" s="199" t="inlineStr">
        <is>
          <t>Rút ống vách thi công cọc khoan nhồi</t>
        </is>
      </c>
      <c r="M921" s="199" t="n"/>
      <c r="N921" s="199" t="n"/>
      <c r="O921" s="200" t="inlineStr">
        <is>
          <t>Cầu Km19+529.080</t>
        </is>
      </c>
      <c r="P921" s="201" t="n"/>
      <c r="Q921" s="201" t="n"/>
      <c r="R921" s="201" t="n"/>
      <c r="S921" s="201">
        <f>S920</f>
        <v/>
      </c>
      <c r="T921" s="201" t="n"/>
      <c r="U921" s="201" t="n"/>
      <c r="V921" s="201" t="n"/>
      <c r="W921" s="202" t="n"/>
      <c r="X921" s="202" t="n"/>
      <c r="Y921" s="202" t="n"/>
      <c r="Z921" s="198" t="inlineStr">
        <is>
          <t>11</t>
        </is>
      </c>
      <c r="AA921" s="203" t="n"/>
      <c r="AB921" s="204" t="inlineStr">
        <is>
          <t>09-XL-307HG/PYCNT/CKN/M2/C3-2</t>
        </is>
      </c>
      <c r="AC921" s="204">
        <f>AC920</f>
        <v/>
      </c>
      <c r="AD921" s="204" t="n"/>
      <c r="AE921" s="204" t="n"/>
      <c r="AF921" s="204" t="n"/>
      <c r="AG921" s="204" t="n"/>
      <c r="AH921" s="204" t="inlineStr">
        <is>
          <t>&gt;=674;&lt;=705</t>
        </is>
      </c>
      <c r="AI921" s="202" t="n"/>
      <c r="AJ921" s="202" t="n"/>
      <c r="AK921" s="206" t="n"/>
      <c r="AL921" s="202" t="n"/>
      <c r="AM921" s="202" t="n"/>
      <c r="AN921" s="202" t="n"/>
      <c r="AO921" s="202" t="n"/>
      <c r="AP921" s="207" t="n"/>
      <c r="AQ921" s="207" t="n"/>
      <c r="AR921" s="202" t="inlineStr">
        <is>
          <t>Nhóm 1</t>
        </is>
      </c>
      <c r="AS921" s="202" t="n"/>
      <c r="AT921" s="202" t="inlineStr">
        <is>
          <t>HM25</t>
        </is>
      </c>
      <c r="AU921" s="202" t="inlineStr">
        <is>
          <t>PL11</t>
        </is>
      </c>
      <c r="AV921" s="202" t="n">
        <v>19</v>
      </c>
      <c r="AW921" s="202" t="n">
        <v>1</v>
      </c>
      <c r="AX921" s="202" t="n"/>
    </row>
    <row r="922" ht="13" customHeight="1" s="672">
      <c r="A922" s="56" t="inlineStr">
        <is>
          <t>BBK680</t>
        </is>
      </c>
      <c r="B922" s="56" t="inlineStr">
        <is>
          <t>PYC</t>
        </is>
      </c>
      <c r="C922" s="56" t="inlineStr">
        <is>
          <t>BBK680.0231989</t>
        </is>
      </c>
      <c r="D922" s="57" t="n"/>
      <c r="E922" s="57" t="n"/>
      <c r="F922" s="57" t="n"/>
      <c r="G922" s="57" t="n"/>
      <c r="H922" s="57" t="n"/>
      <c r="J922" s="198" t="inlineStr">
        <is>
          <t>29</t>
        </is>
      </c>
      <c r="K922" s="198" t="inlineStr">
        <is>
          <t>PYC</t>
        </is>
      </c>
      <c r="L922" s="199" t="inlineStr">
        <is>
          <t>Phiếu yêu cầu nghiệm thu</t>
        </is>
      </c>
      <c r="M922" s="199" t="n"/>
      <c r="N922" s="199" t="n"/>
      <c r="O922" s="200" t="inlineStr">
        <is>
          <t>Cầu Km19+529.080</t>
        </is>
      </c>
      <c r="P922" s="201" t="n"/>
      <c r="Q922" s="201" t="n"/>
      <c r="R922" s="201">
        <f>R923</f>
        <v/>
      </c>
      <c r="S922" s="201" t="n"/>
      <c r="T922" s="201" t="n"/>
      <c r="U922" s="201" t="n"/>
      <c r="V922" s="201" t="n"/>
      <c r="W922" s="202" t="n"/>
      <c r="X922" s="202" t="n"/>
      <c r="Y922" s="202" t="n"/>
      <c r="Z922" s="202" t="n"/>
      <c r="AA922" s="203" t="n"/>
      <c r="AB922" s="204" t="inlineStr">
        <is>
          <t>09-XL-307HG/PYCNT/CKN/M2/C3</t>
        </is>
      </c>
      <c r="AC922" s="205" t="inlineStr"/>
      <c r="AD922" s="205" t="n"/>
      <c r="AE922" s="205" t="n"/>
      <c r="AF922" s="205" t="n"/>
      <c r="AG922" s="205" t="inlineStr">
        <is>
          <t>NTCV;BBKTĐK</t>
        </is>
      </c>
      <c r="AH922" s="204" t="n">
        <v>11</v>
      </c>
      <c r="AI922" s="202" t="n"/>
      <c r="AJ922" s="202" t="n"/>
      <c r="AK922" s="206" t="n"/>
      <c r="AL922" s="202" t="n"/>
      <c r="AM922" s="202" t="n"/>
      <c r="AN922" s="202" t="n"/>
      <c r="AO922" s="202" t="n"/>
      <c r="AP922" s="207" t="n"/>
      <c r="AQ922" s="207" t="n"/>
      <c r="AR922" s="202" t="inlineStr">
        <is>
          <t>Nhóm 1</t>
        </is>
      </c>
      <c r="AS922" s="202" t="n"/>
      <c r="AT922" s="202" t="inlineStr">
        <is>
          <t>HM25</t>
        </is>
      </c>
      <c r="AU922" s="202" t="inlineStr">
        <is>
          <t>PYC</t>
        </is>
      </c>
      <c r="AV922" s="202" t="n">
        <v>227</v>
      </c>
      <c r="AW922" s="202" t="n">
        <v>3</v>
      </c>
      <c r="AX922" s="202" t="n"/>
    </row>
    <row r="923" ht="28" customHeight="1" s="672">
      <c r="A923" s="56" t="inlineStr">
        <is>
          <t>NTCV</t>
        </is>
      </c>
      <c r="B923" s="56" t="inlineStr">
        <is>
          <t>K.9999</t>
        </is>
      </c>
      <c r="C923" s="56" t="inlineStr">
        <is>
          <t>NTCV.0602658</t>
        </is>
      </c>
      <c r="D923" s="57" t="n"/>
      <c r="E923" s="57" t="n"/>
      <c r="F923" s="57" t="n"/>
      <c r="G923" s="57" t="n"/>
      <c r="H923" s="57" t="n"/>
      <c r="J923" s="209" t="inlineStr">
        <is>
          <t>30</t>
        </is>
      </c>
      <c r="K923" s="209" t="inlineStr">
        <is>
          <t>K.9999</t>
        </is>
      </c>
      <c r="L923" s="210" t="inlineStr">
        <is>
          <t>Theo dõi nén mẫu R7 Cọc khoan nhồi Mố M2 - Cọc C3</t>
        </is>
      </c>
      <c r="M923" s="210" t="n"/>
      <c r="N923" s="210" t="n"/>
      <c r="O923" s="211" t="inlineStr">
        <is>
          <t>Cầu Km19+529.080</t>
        </is>
      </c>
      <c r="P923" s="212">
        <f>S920+7</f>
        <v/>
      </c>
      <c r="Q923" s="212">
        <f>P923</f>
        <v/>
      </c>
      <c r="R923" s="212">
        <f>Q923-1</f>
        <v/>
      </c>
      <c r="S923" s="212">
        <f>Q923</f>
        <v/>
      </c>
      <c r="T923" s="213" t="n">
        <v>0.3541666666666667</v>
      </c>
      <c r="U923" s="213">
        <f>T923+V923</f>
        <v/>
      </c>
      <c r="V923" s="213" t="n">
        <v>0.02083333333333333</v>
      </c>
      <c r="W923" s="214">
        <f>TEXT(T923,"HH""h""MM'")&amp;"÷"&amp;TEXT(U923,"HH""h""MM'")</f>
        <v/>
      </c>
      <c r="X923" s="214" t="n"/>
      <c r="Y923" s="214" t="n"/>
      <c r="Z923" s="214" t="n"/>
      <c r="AA923" s="215" t="inlineStr">
        <is>
          <t>Theo dõi nén mẫu R7 Cọc khoan nhồi Mố M2 - Cọc C3</t>
        </is>
      </c>
      <c r="AB923" s="204" t="inlineStr">
        <is>
          <t>09-XL-307HG/PYCNT/CKN/M2/C3-3</t>
        </is>
      </c>
      <c r="AC923" s="204" t="inlineStr">
        <is>
          <t>09-XL-307HG/BBNT/CKN/M2/C3-12</t>
        </is>
      </c>
      <c r="AD923" s="204" t="n"/>
      <c r="AE923" s="204" t="n"/>
      <c r="AF923" s="204" t="n"/>
      <c r="AG923" s="204" t="n"/>
      <c r="AH923" s="204" t="n"/>
      <c r="AI923" s="214" t="n"/>
      <c r="AJ923" s="214" t="n"/>
      <c r="AK923" s="217" t="n"/>
      <c r="AL923" s="214" t="n"/>
      <c r="AM923" s="214" t="n"/>
      <c r="AN923" s="214" t="n"/>
      <c r="AO923" s="214" t="n"/>
      <c r="AP923" s="216" t="n"/>
      <c r="AQ923" s="216" t="n"/>
      <c r="AR923" s="214" t="inlineStr">
        <is>
          <t>Nhóm 1</t>
        </is>
      </c>
      <c r="AS923" s="214" t="n"/>
      <c r="AT923" s="214" t="inlineStr">
        <is>
          <t>HM25</t>
        </is>
      </c>
      <c r="AU923" s="214" t="inlineStr">
        <is>
          <t>NTCV</t>
        </is>
      </c>
      <c r="AV923" s="214" t="n">
        <v>356</v>
      </c>
      <c r="AW923" s="214" t="n">
        <v>11</v>
      </c>
      <c r="AX923" s="214" t="n"/>
    </row>
    <row r="924">
      <c r="A924" s="56" t="inlineStr">
        <is>
          <t>BBK680</t>
        </is>
      </c>
      <c r="B924" s="56" t="inlineStr">
        <is>
          <t>PYC</t>
        </is>
      </c>
      <c r="C924" s="56" t="inlineStr">
        <is>
          <t>BBK680.0551136</t>
        </is>
      </c>
      <c r="D924" s="57" t="n"/>
      <c r="E924" s="57" t="n"/>
      <c r="F924" s="57" t="n"/>
      <c r="G924" s="57" t="n"/>
      <c r="H924" s="57" t="n"/>
      <c r="J924" s="198" t="inlineStr">
        <is>
          <t>31</t>
        </is>
      </c>
      <c r="K924" s="198" t="inlineStr">
        <is>
          <t>PYC</t>
        </is>
      </c>
      <c r="L924" s="199" t="inlineStr">
        <is>
          <t>Phiếu yêu cầu nghiệm thu</t>
        </is>
      </c>
      <c r="M924" s="199" t="n"/>
      <c r="N924" s="199" t="n"/>
      <c r="O924" s="200" t="inlineStr">
        <is>
          <t>Cầu Km19+529.080</t>
        </is>
      </c>
      <c r="P924" s="201" t="n"/>
      <c r="Q924" s="201" t="n"/>
      <c r="R924" s="201">
        <f>+S919+28</f>
        <v/>
      </c>
      <c r="S924" s="201" t="n"/>
      <c r="T924" s="201" t="n"/>
      <c r="U924" s="201" t="n"/>
      <c r="V924" s="201" t="n"/>
      <c r="W924" s="202" t="n"/>
      <c r="X924" s="202" t="n"/>
      <c r="Y924" s="202" t="n"/>
      <c r="Z924" s="202" t="n"/>
      <c r="AA924" s="203" t="n"/>
      <c r="AB924" s="204" t="inlineStr">
        <is>
          <t>09-XL-307HG/PYCNT/CKN/M2/C3</t>
        </is>
      </c>
      <c r="AC924" s="205" t="inlineStr"/>
      <c r="AD924" s="205" t="n"/>
      <c r="AE924" s="205" t="n"/>
      <c r="AF924" s="205" t="n"/>
      <c r="AG924" s="205" t="inlineStr">
        <is>
          <t>NTCV;BBKTĐK</t>
        </is>
      </c>
      <c r="AH924" s="204" t="n">
        <v>12</v>
      </c>
      <c r="AI924" s="202" t="n"/>
      <c r="AJ924" s="202" t="n"/>
      <c r="AK924" s="206" t="n"/>
      <c r="AL924" s="202" t="n"/>
      <c r="AM924" s="202" t="n"/>
      <c r="AN924" s="202" t="n"/>
      <c r="AO924" s="202" t="n"/>
      <c r="AP924" s="207" t="n"/>
      <c r="AQ924" s="207" t="n"/>
      <c r="AR924" s="202" t="inlineStr">
        <is>
          <t>Nhóm 1</t>
        </is>
      </c>
      <c r="AS924" s="202" t="n"/>
      <c r="AT924" s="202" t="inlineStr">
        <is>
          <t>HM25</t>
        </is>
      </c>
      <c r="AU924" s="202" t="inlineStr">
        <is>
          <t>PYC</t>
        </is>
      </c>
      <c r="AV924" s="202" t="n">
        <v>228</v>
      </c>
      <c r="AW924" s="202" t="n">
        <v>4</v>
      </c>
      <c r="AX924" s="202" t="n"/>
    </row>
    <row r="925" ht="28" customHeight="1" s="672">
      <c r="A925" s="56" t="inlineStr">
        <is>
          <t>NTCV</t>
        </is>
      </c>
      <c r="B925" s="56" t="inlineStr">
        <is>
          <t>K.9999</t>
        </is>
      </c>
      <c r="C925" s="56" t="inlineStr">
        <is>
          <t>NTCV.0461745</t>
        </is>
      </c>
      <c r="D925" s="57" t="n"/>
      <c r="E925" s="57" t="n"/>
      <c r="F925" s="57" t="n"/>
      <c r="G925" s="57" t="n"/>
      <c r="H925" s="57" t="n"/>
      <c r="J925" s="209" t="inlineStr">
        <is>
          <t>32</t>
        </is>
      </c>
      <c r="K925" s="209" t="inlineStr">
        <is>
          <t>K.9999</t>
        </is>
      </c>
      <c r="L925" s="210" t="inlineStr">
        <is>
          <t>Đập đầu cọc khoan nhồi Mố M2 - Cọc C3</t>
        </is>
      </c>
      <c r="M925" s="210" t="n"/>
      <c r="N925" s="210" t="n"/>
      <c r="O925" s="211" t="inlineStr">
        <is>
          <t>Cầu Km19+529.080</t>
        </is>
      </c>
      <c r="P925" s="212">
        <f>S923</f>
        <v/>
      </c>
      <c r="Q925" s="212">
        <f>P925</f>
        <v/>
      </c>
      <c r="R925" s="212">
        <f>Q925-1</f>
        <v/>
      </c>
      <c r="S925" s="212">
        <f>Q925</f>
        <v/>
      </c>
      <c r="T925" s="213" t="n">
        <v>0.3541666666666667</v>
      </c>
      <c r="U925" s="213">
        <f>T925+V925</f>
        <v/>
      </c>
      <c r="V925" s="213" t="n">
        <v>0.0625</v>
      </c>
      <c r="W925" s="214">
        <f>TEXT(T925,"HH""h""MM'")&amp;"÷"&amp;TEXT(U925,"HH""h""MM'")</f>
        <v/>
      </c>
      <c r="X925" s="214" t="n"/>
      <c r="Y925" s="214" t="n"/>
      <c r="Z925" s="214" t="n"/>
      <c r="AA925" s="215" t="inlineStr">
        <is>
          <t>Theo dõi nén mẫu R28 Cọc khoan nhồi Mố M2 - Cọc C3</t>
        </is>
      </c>
      <c r="AB925" s="204" t="inlineStr">
        <is>
          <t>09-XL-307HG/PYCNT/CKN/M2/C3-4</t>
        </is>
      </c>
      <c r="AC925" s="204" t="inlineStr">
        <is>
          <t>09-XL-307HG/BBNT/CKN/M2/C3-13</t>
        </is>
      </c>
      <c r="AD925" s="204" t="n"/>
      <c r="AE925" s="204" t="n"/>
      <c r="AF925" s="204" t="n"/>
      <c r="AG925" s="204" t="n"/>
      <c r="AH925" s="204" t="n"/>
      <c r="AI925" s="214" t="n"/>
      <c r="AJ925" s="214" t="n"/>
      <c r="AK925" s="217" t="n"/>
      <c r="AL925" s="214" t="n"/>
      <c r="AM925" s="214" t="n"/>
      <c r="AN925" s="214" t="n"/>
      <c r="AO925" s="214" t="n"/>
      <c r="AP925" s="216" t="n"/>
      <c r="AQ925" s="216" t="n"/>
      <c r="AR925" s="214" t="inlineStr">
        <is>
          <t>Nhóm 1</t>
        </is>
      </c>
      <c r="AS925" s="214" t="n"/>
      <c r="AT925" s="214" t="inlineStr">
        <is>
          <t>HM25</t>
        </is>
      </c>
      <c r="AU925" s="214" t="inlineStr">
        <is>
          <t>NTCV</t>
        </is>
      </c>
      <c r="AV925" s="214" t="n">
        <v>357</v>
      </c>
      <c r="AW925" s="214" t="n">
        <v>12</v>
      </c>
      <c r="AX925" s="214" t="n"/>
    </row>
    <row r="926">
      <c r="A926" s="56" t="inlineStr">
        <is>
          <t>HM</t>
        </is>
      </c>
      <c r="B926" s="56" t="inlineStr">
        <is>
          <t>HM</t>
        </is>
      </c>
      <c r="C926" s="56" t="inlineStr">
        <is>
          <t>HM.0649291</t>
        </is>
      </c>
      <c r="D926" s="57" t="n"/>
      <c r="E926" s="57" t="n"/>
      <c r="F926" s="57" t="n"/>
      <c r="G926" s="57" t="n"/>
      <c r="H926" s="57" t="n"/>
      <c r="J926" s="246" t="inlineStr">
        <is>
          <t>HM26</t>
        </is>
      </c>
      <c r="K926" s="246" t="inlineStr">
        <is>
          <t>HM</t>
        </is>
      </c>
      <c r="L926" s="247" t="inlineStr">
        <is>
          <t>Mố M2 - Cọc C4</t>
        </is>
      </c>
      <c r="M926" s="247" t="n"/>
      <c r="N926" s="247" t="n"/>
      <c r="O926" s="248" t="inlineStr">
        <is>
          <t>Cầu Km19+529.080</t>
        </is>
      </c>
      <c r="P926" s="249" t="n"/>
      <c r="Q926" s="249" t="n"/>
      <c r="R926" s="249" t="n"/>
      <c r="S926" s="249" t="n"/>
      <c r="T926" s="249" t="n"/>
      <c r="U926" s="249" t="n"/>
      <c r="V926" s="249" t="n"/>
      <c r="W926" s="250" t="n"/>
      <c r="X926" s="250" t="n"/>
      <c r="Y926" s="250" t="n"/>
      <c r="Z926" s="250" t="n"/>
      <c r="AA926" s="251" t="n"/>
      <c r="AB926" s="252" t="n"/>
      <c r="AC926" s="252" t="inlineStr"/>
      <c r="AD926" s="252" t="n"/>
      <c r="AE926" s="252" t="n"/>
      <c r="AF926" s="252" t="n"/>
      <c r="AG926" s="252" t="n"/>
      <c r="AH926" s="252" t="n"/>
      <c r="AI926" s="250" t="n"/>
      <c r="AJ926" s="250" t="n"/>
      <c r="AK926" s="253" t="n"/>
      <c r="AL926" s="250" t="n"/>
      <c r="AM926" s="250" t="n"/>
      <c r="AN926" s="250" t="n"/>
      <c r="AO926" s="250" t="n"/>
      <c r="AP926" s="254" t="n"/>
      <c r="AQ926" s="254" t="n"/>
      <c r="AR926" s="250" t="n"/>
      <c r="AS926" s="250" t="n"/>
      <c r="AT926" s="250" t="inlineStr">
        <is>
          <t>HM26</t>
        </is>
      </c>
      <c r="AU926" s="250" t="inlineStr">
        <is>
          <t>HM</t>
        </is>
      </c>
      <c r="AV926" s="250" t="n"/>
      <c r="AW926" s="250" t="n"/>
      <c r="AX926" s="250" t="n"/>
    </row>
    <row r="927" ht="28" customFormat="1" customHeight="1" s="70">
      <c r="A927" s="68" t="inlineStr">
        <is>
          <t>BBK_BIA</t>
        </is>
      </c>
      <c r="B927" s="68" t="inlineStr">
        <is>
          <t>TRANGBIA</t>
        </is>
      </c>
      <c r="C927" s="68" t="inlineStr">
        <is>
          <t>BBK_BIA.0766034</t>
        </is>
      </c>
      <c r="D927" s="69" t="n"/>
      <c r="E927" s="69" t="n"/>
      <c r="F927" s="69" t="n"/>
      <c r="G927" s="69" t="n"/>
      <c r="H927" s="69" t="n"/>
      <c r="J927" s="98" t="inlineStr">
        <is>
          <t>01</t>
        </is>
      </c>
      <c r="K927" s="98" t="inlineStr">
        <is>
          <t>TRANGBIA</t>
        </is>
      </c>
      <c r="L927" s="99">
        <f>"Cọc Khoan Nhồi"&amp;" - "&amp;L926</f>
        <v/>
      </c>
      <c r="M927" s="99" t="n"/>
      <c r="N927" s="99" t="n"/>
      <c r="O927" s="100" t="inlineStr">
        <is>
          <t>Cầu Km19+529.080</t>
        </is>
      </c>
      <c r="P927" s="101" t="n"/>
      <c r="Q927" s="101" t="n"/>
      <c r="R927" s="101" t="n"/>
      <c r="S927" s="101" t="n"/>
      <c r="T927" s="101" t="n"/>
      <c r="U927" s="101" t="n"/>
      <c r="V927" s="101" t="n"/>
      <c r="W927" s="102" t="n"/>
      <c r="X927" s="102" t="n"/>
      <c r="Y927" s="102" t="n"/>
      <c r="Z927" s="102" t="n"/>
      <c r="AA927" s="102" t="n"/>
      <c r="AB927" s="102" t="n"/>
      <c r="AC927" s="102" t="inlineStr"/>
      <c r="AD927" s="102" t="n"/>
      <c r="AE927" s="102" t="n"/>
      <c r="AF927" s="102" t="n"/>
      <c r="AG927" s="102" t="n"/>
      <c r="AH927" s="102" t="n"/>
      <c r="AI927" s="102" t="n"/>
      <c r="AJ927" s="102" t="n"/>
      <c r="AK927" s="100" t="n"/>
      <c r="AL927" s="102" t="n"/>
      <c r="AM927" s="102" t="n"/>
      <c r="AN927" s="102" t="n"/>
      <c r="AO927" s="102" t="n"/>
      <c r="AP927" s="103" t="inlineStr">
        <is>
          <t>Kết cấu cọc khoan nhồi mố, trụ</t>
        </is>
      </c>
      <c r="AQ927" s="104" t="n"/>
      <c r="AR927" s="102" t="inlineStr">
        <is>
          <t>Nhóm 1</t>
        </is>
      </c>
      <c r="AS927" s="102" t="n"/>
      <c r="AT927" s="102" t="inlineStr">
        <is>
          <t>HM26</t>
        </is>
      </c>
      <c r="AU927" s="102" t="inlineStr">
        <is>
          <t>TRANGBIA</t>
        </is>
      </c>
      <c r="AV927" s="102" t="n">
        <v>26</v>
      </c>
      <c r="AW927" s="102" t="n">
        <v>1</v>
      </c>
      <c r="AX927" s="102" t="n"/>
    </row>
    <row r="928" customFormat="1" s="70">
      <c r="A928" s="68" t="inlineStr">
        <is>
          <t>BBK_ML</t>
        </is>
      </c>
      <c r="B928" s="68" t="inlineStr">
        <is>
          <t>MUCLUC</t>
        </is>
      </c>
      <c r="C928" s="68" t="inlineStr">
        <is>
          <t>BBK_ML.0065158</t>
        </is>
      </c>
      <c r="D928" s="69" t="n"/>
      <c r="E928" s="69" t="n"/>
      <c r="F928" s="69" t="n"/>
      <c r="G928" s="69" t="n"/>
      <c r="H928" s="69" t="n"/>
      <c r="J928" s="98" t="inlineStr">
        <is>
          <t>02</t>
        </is>
      </c>
      <c r="K928" s="98" t="inlineStr">
        <is>
          <t>MUCLUC</t>
        </is>
      </c>
      <c r="L928" s="99" t="inlineStr">
        <is>
          <t>Danh mục biên bản Kiểm tra/Nghiệm thu</t>
        </is>
      </c>
      <c r="M928" s="99" t="n"/>
      <c r="N928" s="99" t="n"/>
      <c r="O928" s="100" t="inlineStr">
        <is>
          <t>Cầu Km19+529.080</t>
        </is>
      </c>
      <c r="P928" s="101" t="n"/>
      <c r="Q928" s="101" t="n"/>
      <c r="R928" s="101" t="n"/>
      <c r="S928" s="101" t="n"/>
      <c r="T928" s="101" t="n"/>
      <c r="U928" s="101" t="n"/>
      <c r="V928" s="101" t="n"/>
      <c r="W928" s="102" t="n"/>
      <c r="X928" s="102" t="n"/>
      <c r="Y928" s="102" t="n"/>
      <c r="Z928" s="102" t="n"/>
      <c r="AA928" s="102" t="n"/>
      <c r="AB928" s="102" t="n"/>
      <c r="AC928" s="102" t="inlineStr"/>
      <c r="AD928" s="102" t="n"/>
      <c r="AE928" s="102" t="n"/>
      <c r="AF928" s="102" t="n"/>
      <c r="AG928" s="102" t="n"/>
      <c r="AH928" s="102" t="n"/>
      <c r="AI928" s="102" t="n"/>
      <c r="AJ928" s="102" t="n"/>
      <c r="AK928" s="100" t="n"/>
      <c r="AL928" s="102" t="n"/>
      <c r="AM928" s="102" t="n"/>
      <c r="AN928" s="102" t="n"/>
      <c r="AO928" s="102" t="n"/>
      <c r="AP928" s="104" t="n"/>
      <c r="AQ928" s="104" t="n"/>
      <c r="AR928" s="102" t="inlineStr">
        <is>
          <t>Nhóm 1</t>
        </is>
      </c>
      <c r="AS928" s="102" t="n"/>
      <c r="AT928" s="102" t="inlineStr">
        <is>
          <t>HM26</t>
        </is>
      </c>
      <c r="AU928" s="102" t="inlineStr">
        <is>
          <t>MUCLUC</t>
        </is>
      </c>
      <c r="AV928" s="102" t="n">
        <v>26</v>
      </c>
      <c r="AW928" s="102" t="n">
        <v>1</v>
      </c>
      <c r="AX928" s="102" t="n"/>
    </row>
    <row r="929">
      <c r="A929" s="56" t="inlineStr">
        <is>
          <t>BBK680</t>
        </is>
      </c>
      <c r="B929" s="56" t="inlineStr">
        <is>
          <t>PYC</t>
        </is>
      </c>
      <c r="C929" s="56" t="inlineStr">
        <is>
          <t>BBK680.0157227</t>
        </is>
      </c>
      <c r="D929" s="57" t="n"/>
      <c r="E929" s="57" t="n"/>
      <c r="F929" s="57" t="n"/>
      <c r="G929" s="57" t="n"/>
      <c r="H929" s="57" t="n"/>
      <c r="J929" s="198" t="inlineStr">
        <is>
          <t>03</t>
        </is>
      </c>
      <c r="K929" s="198" t="inlineStr">
        <is>
          <t>PYC</t>
        </is>
      </c>
      <c r="L929" s="199" t="inlineStr">
        <is>
          <t>Phiếu yêu cầu nghiệm thu</t>
        </is>
      </c>
      <c r="M929" s="199" t="n"/>
      <c r="N929" s="199" t="n"/>
      <c r="O929" s="200" t="inlineStr">
        <is>
          <t>Cầu Km19+529.080</t>
        </is>
      </c>
      <c r="P929" s="201" t="n"/>
      <c r="Q929" s="201" t="n"/>
      <c r="R929" s="201">
        <f>R930</f>
        <v/>
      </c>
      <c r="S929" s="201" t="n"/>
      <c r="T929" s="201" t="n"/>
      <c r="U929" s="201" t="n"/>
      <c r="V929" s="201" t="n"/>
      <c r="W929" s="202" t="n"/>
      <c r="X929" s="202" t="n"/>
      <c r="Y929" s="202" t="n"/>
      <c r="Z929" s="202" t="n"/>
      <c r="AA929" s="203" t="n"/>
      <c r="AB929" s="204" t="inlineStr">
        <is>
          <t>09-XL-307HG/PYCNT/CKN/M2/C4</t>
        </is>
      </c>
      <c r="AC929" s="205" t="inlineStr"/>
      <c r="AD929" s="205" t="n"/>
      <c r="AE929" s="205" t="n"/>
      <c r="AF929" s="205" t="n"/>
      <c r="AG929" s="205" t="inlineStr">
        <is>
          <t>NTCV;BBKTĐK</t>
        </is>
      </c>
      <c r="AH929" s="204" t="inlineStr">
        <is>
          <t>&gt;=1;&lt;=5</t>
        </is>
      </c>
      <c r="AI929" s="202" t="n"/>
      <c r="AJ929" s="202" t="n"/>
      <c r="AK929" s="206" t="n"/>
      <c r="AL929" s="202" t="n"/>
      <c r="AM929" s="202" t="n"/>
      <c r="AN929" s="202" t="n"/>
      <c r="AO929" s="202" t="n"/>
      <c r="AP929" s="207" t="n"/>
      <c r="AQ929" s="207" t="n"/>
      <c r="AR929" s="202" t="inlineStr">
        <is>
          <t>Nhóm 1</t>
        </is>
      </c>
      <c r="AS929" s="202" t="n"/>
      <c r="AT929" s="202" t="inlineStr">
        <is>
          <t>HM26</t>
        </is>
      </c>
      <c r="AU929" s="202" t="inlineStr">
        <is>
          <t>PYC</t>
        </is>
      </c>
      <c r="AV929" s="202" t="n">
        <v>229</v>
      </c>
      <c r="AW929" s="202" t="n">
        <v>1</v>
      </c>
      <c r="AX929" s="202" t="n"/>
    </row>
    <row r="930" ht="28" customHeight="1" s="672">
      <c r="A930" s="56" t="inlineStr">
        <is>
          <t>BBK884</t>
        </is>
      </c>
      <c r="B930" s="56" t="inlineStr">
        <is>
          <t>BBKTĐK</t>
        </is>
      </c>
      <c r="C930" s="56" t="inlineStr">
        <is>
          <t>BBK884.0100197</t>
        </is>
      </c>
      <c r="D930" s="57" t="n"/>
      <c r="E930" s="57" t="n"/>
      <c r="F930" s="57" t="n"/>
      <c r="G930" s="57" t="n"/>
      <c r="H930" s="57" t="n"/>
      <c r="J930" s="198" t="inlineStr">
        <is>
          <t>04</t>
        </is>
      </c>
      <c r="K930" s="198" t="inlineStr">
        <is>
          <t>BBKTĐK</t>
        </is>
      </c>
      <c r="L930" s="199" t="inlineStr">
        <is>
          <t>Kiểm tra điều kiện trước khi thi công cọc khoan nhồi: Thiết bị, nhân lực, vật tư</t>
        </is>
      </c>
      <c r="M930" s="199" t="n"/>
      <c r="N930" s="199" t="n"/>
      <c r="O930" s="200" t="inlineStr">
        <is>
          <t>Cầu Km19+529.080</t>
        </is>
      </c>
      <c r="P930" s="201" t="n">
        <v>46225</v>
      </c>
      <c r="Q930" s="201">
        <f>P930</f>
        <v/>
      </c>
      <c r="R930" s="201">
        <f>Q930-1</f>
        <v/>
      </c>
      <c r="S930" s="201">
        <f>Q930</f>
        <v/>
      </c>
      <c r="T930" s="208" t="n">
        <v>0.2916666666666667</v>
      </c>
      <c r="U930" s="208">
        <f>T930+V930</f>
        <v/>
      </c>
      <c r="V930" s="208" t="n">
        <v>0.02083333333333333</v>
      </c>
      <c r="W930" s="202">
        <f>TEXT(T930,"HH""h""MM'")&amp;"÷"&amp;TEXT(U930,"HH""h""MM'")</f>
        <v/>
      </c>
      <c r="X930" s="202" t="n"/>
      <c r="Y930" s="202" t="n"/>
      <c r="Z930" s="202" t="inlineStr">
        <is>
          <t>01;</t>
        </is>
      </c>
      <c r="AA930" s="200" t="inlineStr">
        <is>
          <t>Kiểm tra điều kiện trước khi thi công Cọc khoan nhồi Mố M2 - Cọc C4</t>
        </is>
      </c>
      <c r="AB930" s="205" t="inlineStr">
        <is>
          <t>09-XL-307HG/PYCNT/CKN/M2/C4-1</t>
        </is>
      </c>
      <c r="AC930" s="205" t="inlineStr">
        <is>
          <t>09-XL-307HG/BBNT/CKN/M2/C4-1</t>
        </is>
      </c>
      <c r="AD930" s="205" t="n"/>
      <c r="AE930" s="205" t="n"/>
      <c r="AF930" s="205" t="n"/>
      <c r="AG930" s="205" t="n"/>
      <c r="AH930" s="205" t="n"/>
      <c r="AI930" s="207" t="n"/>
      <c r="AJ930" s="214" t="n"/>
      <c r="AK930" s="217" t="n"/>
      <c r="AL930" s="214" t="n"/>
      <c r="AM930" s="214" t="n"/>
      <c r="AN930" s="214" t="n"/>
      <c r="AO930" s="202" t="n"/>
      <c r="AP930" s="207" t="n"/>
      <c r="AQ930" s="207" t="n"/>
      <c r="AR930" s="202" t="inlineStr">
        <is>
          <t>Nhóm 1</t>
        </is>
      </c>
      <c r="AS930" s="202" t="n"/>
      <c r="AT930" s="202" t="inlineStr">
        <is>
          <t>HM26</t>
        </is>
      </c>
      <c r="AU930" s="202" t="inlineStr">
        <is>
          <t>BBKTĐK</t>
        </is>
      </c>
      <c r="AV930" s="202" t="n">
        <v>20</v>
      </c>
      <c r="AW930" s="202" t="n">
        <v>1</v>
      </c>
      <c r="AX930" s="202" t="n"/>
    </row>
    <row r="931" ht="28" customHeight="1" s="672">
      <c r="A931" s="56" t="inlineStr">
        <is>
          <t>BBK860</t>
        </is>
      </c>
      <c r="B931" s="56" t="inlineStr">
        <is>
          <t>PL01</t>
        </is>
      </c>
      <c r="C931" s="56" t="inlineStr">
        <is>
          <t>BBK860.0051255</t>
        </is>
      </c>
      <c r="D931" s="57" t="n"/>
      <c r="E931" s="57" t="n"/>
      <c r="F931" s="57" t="n"/>
      <c r="G931" s="57" t="n"/>
      <c r="H931" s="57" t="n"/>
      <c r="J931" s="198" t="inlineStr">
        <is>
          <t>05</t>
        </is>
      </c>
      <c r="K931" s="198" t="inlineStr">
        <is>
          <t>PL01</t>
        </is>
      </c>
      <c r="L931" s="199" t="inlineStr">
        <is>
          <t>Máy móc, thiết bị, nhân lực, vật tư thi công cọc khoan nhồi</t>
        </is>
      </c>
      <c r="M931" s="199" t="n"/>
      <c r="N931" s="199" t="n"/>
      <c r="O931" s="199" t="inlineStr">
        <is>
          <t>Cầu Km19+529.080</t>
        </is>
      </c>
      <c r="P931" s="201" t="n"/>
      <c r="Q931" s="201" t="n"/>
      <c r="R931" s="201" t="n"/>
      <c r="S931" s="201">
        <f>S930</f>
        <v/>
      </c>
      <c r="T931" s="201" t="n"/>
      <c r="U931" s="201" t="n"/>
      <c r="V931" s="201" t="n"/>
      <c r="W931" s="202" t="n"/>
      <c r="X931" s="202" t="n"/>
      <c r="Y931" s="202" t="n"/>
      <c r="Z931" s="198" t="inlineStr">
        <is>
          <t>01</t>
        </is>
      </c>
      <c r="AA931" s="203" t="n"/>
      <c r="AB931" s="204" t="inlineStr">
        <is>
          <t>09-XL-307HG/PYCNT/CKN/M2/C4-1</t>
        </is>
      </c>
      <c r="AC931" s="204">
        <f>AC930</f>
        <v/>
      </c>
      <c r="AD931" s="204" t="n"/>
      <c r="AE931" s="204" t="n"/>
      <c r="AF931" s="204" t="n"/>
      <c r="AG931" s="204" t="n"/>
      <c r="AH931" s="204" t="inlineStr">
        <is>
          <t>CKN</t>
        </is>
      </c>
      <c r="AI931" s="207" t="n"/>
      <c r="AJ931" s="202" t="n"/>
      <c r="AK931" s="206" t="n"/>
      <c r="AL931" s="202" t="n"/>
      <c r="AM931" s="202" t="n"/>
      <c r="AN931" s="202" t="n"/>
      <c r="AO931" s="202" t="n"/>
      <c r="AP931" s="207" t="n"/>
      <c r="AQ931" s="207" t="n"/>
      <c r="AR931" s="202" t="inlineStr">
        <is>
          <t>Nhóm 1</t>
        </is>
      </c>
      <c r="AS931" s="202" t="n"/>
      <c r="AT931" s="202" t="inlineStr">
        <is>
          <t>HM26</t>
        </is>
      </c>
      <c r="AU931" s="202" t="inlineStr">
        <is>
          <t>PL01</t>
        </is>
      </c>
      <c r="AV931" s="202" t="n">
        <v>20</v>
      </c>
      <c r="AW931" s="202" t="n">
        <v>1</v>
      </c>
      <c r="AX931" s="202" t="n"/>
    </row>
    <row r="932" ht="42" customHeight="1" s="672">
      <c r="A932" s="56" t="inlineStr">
        <is>
          <t>NTCV</t>
        </is>
      </c>
      <c r="B932" s="56" t="inlineStr">
        <is>
          <t>K.9999</t>
        </is>
      </c>
      <c r="C932" s="56" t="inlineStr">
        <is>
          <t>NTCV.0545676</t>
        </is>
      </c>
      <c r="D932" s="57" t="n"/>
      <c r="E932" s="57" t="n"/>
      <c r="F932" s="57" t="n"/>
      <c r="G932" s="57" t="n"/>
      <c r="H932" s="57" t="n"/>
      <c r="J932" s="209" t="inlineStr">
        <is>
          <t>06</t>
        </is>
      </c>
      <c r="K932" s="209" t="inlineStr">
        <is>
          <t>K.9999</t>
        </is>
      </c>
      <c r="L932" s="210" t="inlineStr">
        <is>
          <t>Kiểm tra ống vách, dung dịch bentonite trước khi khoan cọc khoan nhồi</t>
        </is>
      </c>
      <c r="M932" s="210" t="n"/>
      <c r="N932" s="210" t="n"/>
      <c r="O932" s="211" t="inlineStr">
        <is>
          <t>Cầu Km19+529.080</t>
        </is>
      </c>
      <c r="P932" s="212">
        <f>S930</f>
        <v/>
      </c>
      <c r="Q932" s="212">
        <f>P932</f>
        <v/>
      </c>
      <c r="R932" s="212">
        <f>Q932-1</f>
        <v/>
      </c>
      <c r="S932" s="212">
        <f>Q932</f>
        <v/>
      </c>
      <c r="T932" s="213">
        <f>U930</f>
        <v/>
      </c>
      <c r="U932" s="213">
        <f>T932+V932</f>
        <v/>
      </c>
      <c r="V932" s="213" t="n">
        <v>0.02083333333333333</v>
      </c>
      <c r="W932" s="214">
        <f>TEXT(T932,"HH""h""MM'")&amp;"÷"&amp;TEXT(U932,"HH""h""MM'")</f>
        <v/>
      </c>
      <c r="X932" s="214" t="n"/>
      <c r="Y932" s="214" t="n"/>
      <c r="Z932" s="214" t="inlineStr">
        <is>
          <t>02; 02a</t>
        </is>
      </c>
      <c r="AA932" s="215" t="inlineStr">
        <is>
          <t>Kiểm tra ống vách, dung dịch bentonite Cọc khoan nhồi Mố M2 - Cọc C4 trước khi khoan</t>
        </is>
      </c>
      <c r="AB932" s="204" t="inlineStr">
        <is>
          <t>09-XL-307HG/PYCNT/CKN/M2/C4-1</t>
        </is>
      </c>
      <c r="AC932" s="204" t="inlineStr">
        <is>
          <t>09-XL-307HG/BBNT/CKN/M2/C4-2</t>
        </is>
      </c>
      <c r="AD932" s="204" t="n"/>
      <c r="AE932" s="204" t="n"/>
      <c r="AF932" s="204" t="n"/>
      <c r="AG932" s="204" t="n"/>
      <c r="AH932" s="204" t="n"/>
      <c r="AI932" s="216" t="n"/>
      <c r="AJ932" s="214" t="n"/>
      <c r="AK932" s="217" t="n"/>
      <c r="AL932" s="214" t="n"/>
      <c r="AM932" s="214" t="n"/>
      <c r="AN932" s="214" t="n"/>
      <c r="AO932" s="214" t="n"/>
      <c r="AP932" s="216" t="n"/>
      <c r="AQ932" s="216" t="n"/>
      <c r="AR932" s="214" t="inlineStr">
        <is>
          <t>Nhóm 1</t>
        </is>
      </c>
      <c r="AS932" s="214" t="n"/>
      <c r="AT932" s="214" t="inlineStr">
        <is>
          <t>HM26</t>
        </is>
      </c>
      <c r="AU932" s="214" t="inlineStr">
        <is>
          <t>NTCV</t>
        </is>
      </c>
      <c r="AV932" s="214" t="n">
        <v>264</v>
      </c>
      <c r="AW932" s="214" t="n">
        <v>1</v>
      </c>
      <c r="AX932" s="214" t="n"/>
    </row>
    <row r="933">
      <c r="A933" s="56" t="inlineStr">
        <is>
          <t>BBK170</t>
        </is>
      </c>
      <c r="B933" s="56" t="inlineStr">
        <is>
          <t>PL02</t>
        </is>
      </c>
      <c r="C933" s="56" t="inlineStr">
        <is>
          <t>BBK170.0957129</t>
        </is>
      </c>
      <c r="D933" s="57" t="n"/>
      <c r="E933" s="57" t="n"/>
      <c r="F933" s="57" t="n"/>
      <c r="G933" s="57" t="n"/>
      <c r="H933" s="57" t="n"/>
      <c r="J933" s="198" t="inlineStr">
        <is>
          <t>07</t>
        </is>
      </c>
      <c r="K933" s="198" t="inlineStr">
        <is>
          <t>PL02</t>
        </is>
      </c>
      <c r="L933" s="199" t="inlineStr">
        <is>
          <t>Kiểm tra ống vách thi công trước khi hạ</t>
        </is>
      </c>
      <c r="M933" s="199" t="n"/>
      <c r="N933" s="199" t="n"/>
      <c r="O933" s="200" t="inlineStr">
        <is>
          <t>Cầu Km19+529.080</t>
        </is>
      </c>
      <c r="P933" s="201" t="n"/>
      <c r="Q933" s="201" t="n"/>
      <c r="R933" s="201" t="n"/>
      <c r="S933" s="201">
        <f>S932</f>
        <v/>
      </c>
      <c r="T933" s="201" t="n"/>
      <c r="U933" s="201" t="n"/>
      <c r="V933" s="201" t="n"/>
      <c r="W933" s="202" t="n"/>
      <c r="X933" s="202" t="n"/>
      <c r="Y933" s="202" t="n"/>
      <c r="Z933" s="198" t="inlineStr">
        <is>
          <t>02</t>
        </is>
      </c>
      <c r="AA933" s="203" t="n"/>
      <c r="AB933" s="204" t="inlineStr">
        <is>
          <t>09-XL-307HG/PYCNT/CKN/M2/C4-1</t>
        </is>
      </c>
      <c r="AC933" s="204">
        <f>AC932</f>
        <v/>
      </c>
      <c r="AD933" s="204" t="n"/>
      <c r="AE933" s="204" t="n"/>
      <c r="AF933" s="204" t="n"/>
      <c r="AG933" s="204" t="n"/>
      <c r="AH933" s="204" t="inlineStr">
        <is>
          <t>CKN</t>
        </is>
      </c>
      <c r="AI933" s="207" t="n"/>
      <c r="AJ933" s="202" t="n"/>
      <c r="AK933" s="206" t="n"/>
      <c r="AL933" s="202" t="n"/>
      <c r="AM933" s="202" t="n"/>
      <c r="AN933" s="202" t="n"/>
      <c r="AO933" s="202" t="n"/>
      <c r="AP933" s="207" t="n"/>
      <c r="AQ933" s="207" t="inlineStr">
        <is>
          <t>Ảnh\PL02 CKN.png</t>
        </is>
      </c>
      <c r="AR933" s="202" t="inlineStr">
        <is>
          <t>Nhóm 1</t>
        </is>
      </c>
      <c r="AS933" s="202" t="n"/>
      <c r="AT933" s="202" t="inlineStr">
        <is>
          <t>HM26</t>
        </is>
      </c>
      <c r="AU933" s="202" t="inlineStr">
        <is>
          <t>PL02</t>
        </is>
      </c>
      <c r="AV933" s="202" t="n">
        <v>20</v>
      </c>
      <c r="AW933" s="202" t="n">
        <v>1</v>
      </c>
      <c r="AX933" s="202" t="n"/>
    </row>
    <row r="934">
      <c r="A934" s="56" t="inlineStr">
        <is>
          <t>BBK721</t>
        </is>
      </c>
      <c r="B934" s="56" t="inlineStr">
        <is>
          <t>PL02a</t>
        </is>
      </c>
      <c r="C934" s="56" t="inlineStr">
        <is>
          <t>BBK721.0226125</t>
        </is>
      </c>
      <c r="D934" s="57" t="n"/>
      <c r="E934" s="57" t="n"/>
      <c r="F934" s="57" t="n"/>
      <c r="G934" s="57" t="n"/>
      <c r="H934" s="57" t="n"/>
      <c r="J934" s="198" t="inlineStr">
        <is>
          <t>08</t>
        </is>
      </c>
      <c r="K934" s="198" t="inlineStr">
        <is>
          <t>PL02a</t>
        </is>
      </c>
      <c r="L934" s="199" t="inlineStr">
        <is>
          <t>Kiểm tra ống vách thi công trước khi hạ</t>
        </is>
      </c>
      <c r="M934" s="199" t="n"/>
      <c r="N934" s="199" t="n"/>
      <c r="O934" s="200" t="inlineStr">
        <is>
          <t>Cầu Km19+529.080</t>
        </is>
      </c>
      <c r="P934" s="201" t="n"/>
      <c r="Q934" s="201" t="n"/>
      <c r="R934" s="201" t="n"/>
      <c r="S934" s="201">
        <f>S933</f>
        <v/>
      </c>
      <c r="T934" s="201" t="n"/>
      <c r="U934" s="201" t="n"/>
      <c r="V934" s="201" t="n"/>
      <c r="W934" s="202" t="n"/>
      <c r="X934" s="202" t="n"/>
      <c r="Y934" s="202" t="n"/>
      <c r="Z934" s="198" t="inlineStr">
        <is>
          <t>02a</t>
        </is>
      </c>
      <c r="AA934" s="203" t="n"/>
      <c r="AB934" s="204" t="inlineStr">
        <is>
          <t>09-XL-307HG/PYCNT/CKN/M2/C4-1</t>
        </is>
      </c>
      <c r="AC934" s="204">
        <f>AC933</f>
        <v/>
      </c>
      <c r="AD934" s="204" t="n"/>
      <c r="AE934" s="204" t="n"/>
      <c r="AF934" s="204" t="n"/>
      <c r="AG934" s="204" t="n"/>
      <c r="AH934" s="204" t="n"/>
      <c r="AI934" s="207" t="n"/>
      <c r="AJ934" s="202" t="n"/>
      <c r="AK934" s="206" t="n"/>
      <c r="AL934" s="202" t="n"/>
      <c r="AM934" s="202" t="n"/>
      <c r="AN934" s="202" t="n"/>
      <c r="AO934" s="202" t="n"/>
      <c r="AP934" s="207" t="n"/>
      <c r="AQ934" s="207" t="n"/>
      <c r="AR934" s="202" t="inlineStr">
        <is>
          <t>Nhóm 1</t>
        </is>
      </c>
      <c r="AS934" s="202" t="n"/>
      <c r="AT934" s="202" t="inlineStr">
        <is>
          <t>HM26</t>
        </is>
      </c>
      <c r="AU934" s="202" t="inlineStr">
        <is>
          <t>PL02a</t>
        </is>
      </c>
      <c r="AV934" s="202" t="n">
        <v>20</v>
      </c>
      <c r="AW934" s="202" t="n">
        <v>1</v>
      </c>
      <c r="AX934" s="202" t="n"/>
    </row>
    <row r="935" ht="28" customHeight="1" s="672">
      <c r="A935" s="56" t="inlineStr">
        <is>
          <t>NTCV</t>
        </is>
      </c>
      <c r="B935" s="56" t="inlineStr">
        <is>
          <t>K.9999</t>
        </is>
      </c>
      <c r="C935" s="56" t="inlineStr">
        <is>
          <t>NTCV.0346567</t>
        </is>
      </c>
      <c r="D935" s="57" t="n"/>
      <c r="E935" s="57" t="n"/>
      <c r="F935" s="57" t="n"/>
      <c r="G935" s="57" t="n"/>
      <c r="H935" s="57" t="n"/>
      <c r="J935" s="209" t="inlineStr">
        <is>
          <t>09</t>
        </is>
      </c>
      <c r="K935" s="209" t="inlineStr">
        <is>
          <t>K.9999</t>
        </is>
      </c>
      <c r="L935" s="210" t="inlineStr">
        <is>
          <t>Kiểm tra định vị tim cọc khoan nhồi, hạ ống vách thi công</t>
        </is>
      </c>
      <c r="M935" s="210" t="n"/>
      <c r="N935" s="210" t="n"/>
      <c r="O935" s="211" t="inlineStr">
        <is>
          <t>Cầu Km19+529.080</t>
        </is>
      </c>
      <c r="P935" s="212">
        <f>S932</f>
        <v/>
      </c>
      <c r="Q935" s="212">
        <f>P935</f>
        <v/>
      </c>
      <c r="R935" s="212">
        <f>Q935-1</f>
        <v/>
      </c>
      <c r="S935" s="212">
        <f>Q935</f>
        <v/>
      </c>
      <c r="T935" s="213">
        <f>U932</f>
        <v/>
      </c>
      <c r="U935" s="213">
        <f>T935+V935</f>
        <v/>
      </c>
      <c r="V935" s="213" t="n">
        <v>0.02083333333333333</v>
      </c>
      <c r="W935" s="214">
        <f>TEXT(T935,"HH""h""MM'")&amp;"÷"&amp;TEXT(U935,"HH""h""MM'")</f>
        <v/>
      </c>
      <c r="X935" s="214" t="n"/>
      <c r="Y935" s="214" t="n"/>
      <c r="Z935" s="214" t="inlineStr">
        <is>
          <t>03;</t>
        </is>
      </c>
      <c r="AA935" s="215" t="inlineStr">
        <is>
          <t>Kiểm tra định vị Cọc khoan nhồi Mố M2 - Cọc C4</t>
        </is>
      </c>
      <c r="AB935" s="204" t="inlineStr">
        <is>
          <t>09-XL-307HG/PYCNT/CKN/M2/C4-1</t>
        </is>
      </c>
      <c r="AC935" s="204" t="inlineStr">
        <is>
          <t>09-XL-307HG/BBNT/CKN/M2/C4-3</t>
        </is>
      </c>
      <c r="AD935" s="204" t="n"/>
      <c r="AE935" s="204" t="n"/>
      <c r="AF935" s="204" t="n"/>
      <c r="AG935" s="204" t="n"/>
      <c r="AH935" s="204" t="n"/>
      <c r="AI935" s="216" t="n"/>
      <c r="AJ935" s="214" t="n"/>
      <c r="AK935" s="217" t="n"/>
      <c r="AL935" s="214" t="n"/>
      <c r="AM935" s="214" t="n"/>
      <c r="AN935" s="214" t="n"/>
      <c r="AO935" s="214" t="n"/>
      <c r="AP935" s="216" t="n"/>
      <c r="AQ935" s="216" t="n"/>
      <c r="AR935" s="214" t="inlineStr">
        <is>
          <t>Nhóm 1</t>
        </is>
      </c>
      <c r="AS935" s="214" t="n"/>
      <c r="AT935" s="214" t="inlineStr">
        <is>
          <t>HM26</t>
        </is>
      </c>
      <c r="AU935" s="214" t="inlineStr">
        <is>
          <t>NTCV</t>
        </is>
      </c>
      <c r="AV935" s="214" t="n">
        <v>266</v>
      </c>
      <c r="AW935" s="214" t="n">
        <v>2</v>
      </c>
      <c r="AX935" s="214" t="n"/>
    </row>
    <row r="936" ht="28" customHeight="1" s="672">
      <c r="A936" s="56" t="inlineStr">
        <is>
          <t>BBK478</t>
        </is>
      </c>
      <c r="B936" s="56" t="inlineStr">
        <is>
          <t>PL03</t>
        </is>
      </c>
      <c r="C936" s="56" t="inlineStr">
        <is>
          <t>BBK478.0890455</t>
        </is>
      </c>
      <c r="D936" s="57" t="n"/>
      <c r="E936" s="57" t="n"/>
      <c r="F936" s="57" t="n"/>
      <c r="G936" s="57" t="n"/>
      <c r="H936" s="57" t="n"/>
      <c r="J936" s="198" t="inlineStr">
        <is>
          <t>10</t>
        </is>
      </c>
      <c r="K936" s="198" t="inlineStr">
        <is>
          <t>PL03</t>
        </is>
      </c>
      <c r="L936" s="199" t="inlineStr">
        <is>
          <t>Kiểm tra định vị tim cọc khoan nhồi, hạ ống vách thi công</t>
        </is>
      </c>
      <c r="M936" s="199" t="n"/>
      <c r="N936" s="199" t="n"/>
      <c r="O936" s="200" t="inlineStr">
        <is>
          <t>Cầu Km19+529.080</t>
        </is>
      </c>
      <c r="P936" s="201" t="n"/>
      <c r="Q936" s="201" t="n"/>
      <c r="R936" s="201" t="n"/>
      <c r="S936" s="201">
        <f>S935</f>
        <v/>
      </c>
      <c r="T936" s="201" t="n"/>
      <c r="U936" s="201" t="n"/>
      <c r="V936" s="201" t="n"/>
      <c r="W936" s="202" t="n"/>
      <c r="X936" s="202" t="n"/>
      <c r="Y936" s="202" t="n"/>
      <c r="Z936" s="198" t="inlineStr">
        <is>
          <t>03</t>
        </is>
      </c>
      <c r="AA936" s="203" t="n"/>
      <c r="AB936" s="204" t="inlineStr">
        <is>
          <t>09-XL-307HG/PYCNT/CKN/M2/C4-1</t>
        </is>
      </c>
      <c r="AC936" s="204">
        <f>AC935</f>
        <v/>
      </c>
      <c r="AD936" s="255" t="n">
        <v>2481815.766</v>
      </c>
      <c r="AE936" s="255" t="n">
        <v>382453.388</v>
      </c>
      <c r="AF936" s="255" t="n">
        <v>188.836</v>
      </c>
      <c r="AG936" s="255" t="n"/>
      <c r="AH936" s="204" t="inlineStr">
        <is>
          <t>&gt;=420;&lt;=438</t>
        </is>
      </c>
      <c r="AI936" s="207" t="n"/>
      <c r="AJ936" s="202" t="n"/>
      <c r="AK936" s="206" t="n"/>
      <c r="AL936" s="202" t="n"/>
      <c r="AM936" s="202" t="n"/>
      <c r="AN936" s="202" t="n"/>
      <c r="AO936" s="202" t="n"/>
      <c r="AP936" s="207" t="n"/>
      <c r="AQ936" s="207" t="n"/>
      <c r="AR936" s="202" t="inlineStr">
        <is>
          <t>Nhóm 1</t>
        </is>
      </c>
      <c r="AS936" s="202" t="n"/>
      <c r="AT936" s="202" t="inlineStr">
        <is>
          <t>HM26</t>
        </is>
      </c>
      <c r="AU936" s="202" t="inlineStr">
        <is>
          <t>PL03</t>
        </is>
      </c>
      <c r="AV936" s="202" t="n">
        <v>20</v>
      </c>
      <c r="AW936" s="202" t="n">
        <v>1</v>
      </c>
      <c r="AX936" s="202" t="n"/>
    </row>
    <row r="937" ht="28" customHeight="1" s="672">
      <c r="A937" s="56" t="inlineStr">
        <is>
          <t>NTCV</t>
        </is>
      </c>
      <c r="B937" s="56" t="inlineStr">
        <is>
          <t>K.9999</t>
        </is>
      </c>
      <c r="C937" s="56" t="inlineStr">
        <is>
          <t>NTCV.0480653</t>
        </is>
      </c>
      <c r="D937" s="57" t="n"/>
      <c r="E937" s="57" t="n"/>
      <c r="F937" s="57" t="n"/>
      <c r="G937" s="57" t="n"/>
      <c r="H937" s="57" t="n"/>
      <c r="J937" s="209" t="inlineStr">
        <is>
          <t>11</t>
        </is>
      </c>
      <c r="K937" s="209" t="inlineStr">
        <is>
          <t>K.9999</t>
        </is>
      </c>
      <c r="L937" s="210" t="inlineStr">
        <is>
          <t>Nghiệm thu lồng thép cọc khoan nhồi trước khi hạ</t>
        </is>
      </c>
      <c r="M937" s="210" t="n"/>
      <c r="N937" s="210" t="n"/>
      <c r="O937" s="211" t="inlineStr">
        <is>
          <t>Cầu Km19+529.080</t>
        </is>
      </c>
      <c r="P937" s="212">
        <f>S935</f>
        <v/>
      </c>
      <c r="Q937" s="212">
        <f>P937</f>
        <v/>
      </c>
      <c r="R937" s="212">
        <f>Q937-1</f>
        <v/>
      </c>
      <c r="S937" s="212">
        <f>Q937</f>
        <v/>
      </c>
      <c r="T937" s="213">
        <f>U935</f>
        <v/>
      </c>
      <c r="U937" s="213">
        <f>T937+V937</f>
        <v/>
      </c>
      <c r="V937" s="213" t="n">
        <v>0.02083333333333333</v>
      </c>
      <c r="W937" s="214">
        <f>TEXT(T937,"HH""h""MM'")&amp;"÷"&amp;TEXT(U937,"HH""h""MM'")</f>
        <v/>
      </c>
      <c r="X937" s="214" t="n"/>
      <c r="Y937" s="214" t="n"/>
      <c r="Z937" s="214" t="inlineStr">
        <is>
          <t>04;</t>
        </is>
      </c>
      <c r="AA937" s="215" t="inlineStr">
        <is>
          <t>Nghiệm thu lồng thép Cọc khoan nhồi Mố M2 - Cọc C4</t>
        </is>
      </c>
      <c r="AB937" s="204" t="inlineStr">
        <is>
          <t>09-XL-307HG/PYCNT/CKN/M2/C4-1</t>
        </is>
      </c>
      <c r="AC937" s="204" t="inlineStr">
        <is>
          <t>09-XL-307HG/BBNT/CKN/M2/C4-4</t>
        </is>
      </c>
      <c r="AD937" s="204" t="n"/>
      <c r="AE937" s="204" t="n"/>
      <c r="AF937" s="204" t="n"/>
      <c r="AG937" s="204" t="n"/>
      <c r="AH937" s="204" t="n"/>
      <c r="AI937" s="216" t="n"/>
      <c r="AJ937" s="214" t="n"/>
      <c r="AK937" s="217" t="n"/>
      <c r="AL937" s="214" t="n"/>
      <c r="AM937" s="214" t="n"/>
      <c r="AN937" s="214" t="n"/>
      <c r="AO937" s="214" t="n"/>
      <c r="AP937" s="216" t="n"/>
      <c r="AQ937" s="216" t="n"/>
      <c r="AR937" s="214" t="inlineStr">
        <is>
          <t>Nhóm 1</t>
        </is>
      </c>
      <c r="AS937" s="214" t="n"/>
      <c r="AT937" s="214" t="inlineStr">
        <is>
          <t>HM26</t>
        </is>
      </c>
      <c r="AU937" s="214" t="inlineStr">
        <is>
          <t>NTCV</t>
        </is>
      </c>
      <c r="AV937" s="214" t="n">
        <v>270</v>
      </c>
      <c r="AW937" s="214" t="n">
        <v>3</v>
      </c>
      <c r="AX937" s="214" t="n"/>
    </row>
    <row r="938">
      <c r="A938" s="56" t="inlineStr">
        <is>
          <t>BBK096</t>
        </is>
      </c>
      <c r="B938" s="56" t="inlineStr">
        <is>
          <t>PL04</t>
        </is>
      </c>
      <c r="C938" s="56" t="inlineStr">
        <is>
          <t>BBK096.0231971</t>
        </is>
      </c>
      <c r="D938" s="57" t="n"/>
      <c r="E938" s="57" t="n"/>
      <c r="F938" s="57" t="n"/>
      <c r="G938" s="57" t="n"/>
      <c r="H938" s="57" t="n"/>
      <c r="J938" s="198" t="inlineStr">
        <is>
          <t>12</t>
        </is>
      </c>
      <c r="K938" s="198" t="inlineStr">
        <is>
          <t>PL04</t>
        </is>
      </c>
      <c r="L938" s="199" t="inlineStr">
        <is>
          <t>Nghiệm thu lồng thép cọc khoan nhồi trước khi hạ</t>
        </is>
      </c>
      <c r="M938" s="199" t="n"/>
      <c r="N938" s="199" t="n"/>
      <c r="O938" s="200" t="inlineStr">
        <is>
          <t>Cầu Km19+529.080</t>
        </is>
      </c>
      <c r="P938" s="201" t="n"/>
      <c r="Q938" s="201" t="n"/>
      <c r="R938" s="201" t="n"/>
      <c r="S938" s="201">
        <f>S937</f>
        <v/>
      </c>
      <c r="T938" s="201" t="n"/>
      <c r="U938" s="201" t="n"/>
      <c r="V938" s="201" t="n"/>
      <c r="W938" s="202" t="n"/>
      <c r="X938" s="202" t="n"/>
      <c r="Y938" s="202" t="n"/>
      <c r="Z938" s="198" t="inlineStr">
        <is>
          <t>04</t>
        </is>
      </c>
      <c r="AA938" s="203" t="n"/>
      <c r="AB938" s="204" t="inlineStr">
        <is>
          <t>09-XL-307HG/PYCNT/CKN/M2/C4-1</t>
        </is>
      </c>
      <c r="AC938" s="204">
        <f>AC937</f>
        <v/>
      </c>
      <c r="AD938" s="204" t="n"/>
      <c r="AE938" s="204" t="n"/>
      <c r="AF938" s="204" t="n"/>
      <c r="AG938" s="204" t="n"/>
      <c r="AH938" s="204" t="inlineStr">
        <is>
          <t>M2</t>
        </is>
      </c>
      <c r="AI938" s="207" t="n"/>
      <c r="AJ938" s="202" t="n"/>
      <c r="AK938" s="206" t="n"/>
      <c r="AL938" s="202" t="n"/>
      <c r="AM938" s="202" t="n"/>
      <c r="AN938" s="202" t="n"/>
      <c r="AO938" s="202" t="n"/>
      <c r="AP938" s="207" t="n"/>
      <c r="AQ938" s="207" t="n"/>
      <c r="AR938" s="202" t="inlineStr">
        <is>
          <t>Nhóm 1</t>
        </is>
      </c>
      <c r="AS938" s="202" t="n"/>
      <c r="AT938" s="202" t="inlineStr">
        <is>
          <t>HM26</t>
        </is>
      </c>
      <c r="AU938" s="202" t="inlineStr">
        <is>
          <t>PL04</t>
        </is>
      </c>
      <c r="AV938" s="202" t="n">
        <v>20</v>
      </c>
      <c r="AW938" s="202" t="n">
        <v>1</v>
      </c>
      <c r="AX938" s="202" t="n"/>
    </row>
    <row r="939" ht="28" customHeight="1" s="672">
      <c r="A939" s="56" t="inlineStr">
        <is>
          <t>NTCV</t>
        </is>
      </c>
      <c r="B939" s="56" t="inlineStr">
        <is>
          <t>K.9999</t>
        </is>
      </c>
      <c r="C939" s="56" t="inlineStr">
        <is>
          <t>NTCV.0849783</t>
        </is>
      </c>
      <c r="D939" s="57" t="n"/>
      <c r="E939" s="57" t="n"/>
      <c r="F939" s="57" t="n"/>
      <c r="G939" s="57" t="n"/>
      <c r="H939" s="57" t="n"/>
      <c r="J939" s="209" t="inlineStr">
        <is>
          <t>13</t>
        </is>
      </c>
      <c r="K939" s="209" t="inlineStr">
        <is>
          <t>K.9999</t>
        </is>
      </c>
      <c r="L939" s="210" t="inlineStr">
        <is>
          <t xml:space="preserve">Kiểm tra công tác khoan tạo lỗ cọc khoan nhồi </t>
        </is>
      </c>
      <c r="M939" s="210" t="n"/>
      <c r="N939" s="210" t="n"/>
      <c r="O939" s="211" t="inlineStr">
        <is>
          <t>Cầu Km19+529.080</t>
        </is>
      </c>
      <c r="P939" s="212">
        <f>S937</f>
        <v/>
      </c>
      <c r="Q939" s="212">
        <f>P939</f>
        <v/>
      </c>
      <c r="R939" s="212">
        <f>Q939-1</f>
        <v/>
      </c>
      <c r="S939" s="212">
        <f>Q939</f>
        <v/>
      </c>
      <c r="T939" s="213">
        <f>U937</f>
        <v/>
      </c>
      <c r="U939" s="213">
        <f>T939+V939</f>
        <v/>
      </c>
      <c r="V939" s="213" t="n">
        <v>0.3402777777777778</v>
      </c>
      <c r="W939" s="214">
        <f>TEXT(T939,"HH""h""MM'")&amp;"÷"&amp;TEXT(U939,"HH""h""MM'")</f>
        <v/>
      </c>
      <c r="X939" s="214" t="n"/>
      <c r="Y939" s="214" t="n"/>
      <c r="Z939" s="214" t="inlineStr">
        <is>
          <t>05;</t>
        </is>
      </c>
      <c r="AA939" s="215" t="inlineStr">
        <is>
          <t>Kiểm tra công tác khoan tạo lỗ Cọc khoan nhồi Mố M2 - Cọc C4</t>
        </is>
      </c>
      <c r="AB939" s="204" t="inlineStr">
        <is>
          <t>09-XL-307HG/PYCNT/CKN/M2/C4-1</t>
        </is>
      </c>
      <c r="AC939" s="204" t="inlineStr">
        <is>
          <t>09-XL-307HG/BBNT/CKN/M2/C4-5</t>
        </is>
      </c>
      <c r="AD939" s="204" t="n"/>
      <c r="AE939" s="204" t="n"/>
      <c r="AF939" s="204" t="n"/>
      <c r="AG939" s="204" t="n"/>
      <c r="AH939" s="204" t="n"/>
      <c r="AI939" s="216" t="n"/>
      <c r="AJ939" s="214" t="n"/>
      <c r="AK939" s="217" t="n"/>
      <c r="AL939" s="214" t="n"/>
      <c r="AM939" s="214" t="n"/>
      <c r="AN939" s="214" t="n"/>
      <c r="AO939" s="214" t="n"/>
      <c r="AP939" s="216" t="n"/>
      <c r="AQ939" s="216" t="n"/>
      <c r="AR939" s="214" t="inlineStr">
        <is>
          <t>Nhóm 1</t>
        </is>
      </c>
      <c r="AS939" s="214" t="n"/>
      <c r="AT939" s="214" t="inlineStr">
        <is>
          <t>HM26</t>
        </is>
      </c>
      <c r="AU939" s="214" t="inlineStr">
        <is>
          <t>NTCV</t>
        </is>
      </c>
      <c r="AV939" s="214" t="n">
        <v>271</v>
      </c>
      <c r="AW939" s="214" t="n">
        <v>4</v>
      </c>
      <c r="AX939" s="214" t="n"/>
    </row>
    <row r="940">
      <c r="A940" s="56" t="inlineStr">
        <is>
          <t>BBK638</t>
        </is>
      </c>
      <c r="B940" s="56" t="inlineStr">
        <is>
          <t>PL05</t>
        </is>
      </c>
      <c r="C940" s="56" t="inlineStr">
        <is>
          <t>BBK638.0068551</t>
        </is>
      </c>
      <c r="D940" s="57" t="n"/>
      <c r="E940" s="57" t="n"/>
      <c r="F940" s="57" t="n"/>
      <c r="G940" s="57" t="n"/>
      <c r="H940" s="57" t="n"/>
      <c r="J940" s="198" t="inlineStr">
        <is>
          <t>14</t>
        </is>
      </c>
      <c r="K940" s="198" t="inlineStr">
        <is>
          <t>PL05</t>
        </is>
      </c>
      <c r="L940" s="199" t="inlineStr">
        <is>
          <t>Kiểm tra công tác khoan tạo lỗ cọc khoan nhồi</t>
        </is>
      </c>
      <c r="M940" s="199" t="n"/>
      <c r="N940" s="199" t="n"/>
      <c r="O940" s="200" t="inlineStr">
        <is>
          <t>Cầu Km19+529.080</t>
        </is>
      </c>
      <c r="P940" s="201" t="n"/>
      <c r="Q940" s="201" t="n"/>
      <c r="R940" s="201" t="n"/>
      <c r="S940" s="201">
        <f>S939</f>
        <v/>
      </c>
      <c r="T940" s="208">
        <f>T939</f>
        <v/>
      </c>
      <c r="U940" s="208" t="n">
        <v>0.7152777777777778</v>
      </c>
      <c r="V940" s="208">
        <f>U940-T940</f>
        <v/>
      </c>
      <c r="W940" s="202" t="n"/>
      <c r="X940" s="202" t="n"/>
      <c r="Y940" s="202" t="n"/>
      <c r="Z940" s="198" t="inlineStr">
        <is>
          <t>05</t>
        </is>
      </c>
      <c r="AA940" s="203" t="n"/>
      <c r="AB940" s="204" t="inlineStr">
        <is>
          <t>09-XL-307HG/PYCNT/CKN/M2/C4</t>
        </is>
      </c>
      <c r="AC940" s="204">
        <f>AC939</f>
        <v/>
      </c>
      <c r="AD940" s="204" t="n"/>
      <c r="AE940" s="204" t="n"/>
      <c r="AF940" s="255" t="n">
        <v>188.836</v>
      </c>
      <c r="AG940" s="255" t="n"/>
      <c r="AH940" s="204" t="inlineStr">
        <is>
          <t>M2-C4</t>
        </is>
      </c>
      <c r="AI940" s="207" t="n"/>
      <c r="AJ940" s="202" t="n"/>
      <c r="AK940" s="206" t="n"/>
      <c r="AL940" s="202" t="n"/>
      <c r="AM940" s="202" t="n"/>
      <c r="AN940" s="202" t="n"/>
      <c r="AO940" s="202" t="n"/>
      <c r="AP940" s="207" t="n"/>
      <c r="AQ940" s="207" t="n"/>
      <c r="AR940" s="202" t="inlineStr">
        <is>
          <t>Nhóm 1</t>
        </is>
      </c>
      <c r="AS940" s="202" t="n"/>
      <c r="AT940" s="202" t="inlineStr">
        <is>
          <t>HM26</t>
        </is>
      </c>
      <c r="AU940" s="202" t="inlineStr">
        <is>
          <t>PL05</t>
        </is>
      </c>
      <c r="AV940" s="202" t="n">
        <v>20</v>
      </c>
      <c r="AW940" s="202" t="n">
        <v>1</v>
      </c>
      <c r="AX940" s="202" t="n"/>
    </row>
    <row r="941">
      <c r="A941" s="56" t="inlineStr">
        <is>
          <t>BBK680</t>
        </is>
      </c>
      <c r="B941" s="56" t="inlineStr">
        <is>
          <t>PYC</t>
        </is>
      </c>
      <c r="C941" s="56" t="inlineStr">
        <is>
          <t>BBK680.0133132</t>
        </is>
      </c>
      <c r="D941" s="57" t="n"/>
      <c r="E941" s="57" t="n"/>
      <c r="F941" s="57" t="n"/>
      <c r="G941" s="57" t="n"/>
      <c r="H941" s="57" t="n"/>
      <c r="J941" s="198" t="inlineStr">
        <is>
          <t>15</t>
        </is>
      </c>
      <c r="K941" s="198" t="inlineStr">
        <is>
          <t>PYC</t>
        </is>
      </c>
      <c r="L941" s="199" t="inlineStr">
        <is>
          <t>Phiếu yêu cầu nghiệm thu</t>
        </is>
      </c>
      <c r="M941" s="199" t="n"/>
      <c r="N941" s="199" t="n"/>
      <c r="O941" s="200" t="inlineStr">
        <is>
          <t>Cầu Km19+529.080</t>
        </is>
      </c>
      <c r="P941" s="201" t="n"/>
      <c r="Q941" s="201" t="n"/>
      <c r="R941" s="201">
        <f>R942</f>
        <v/>
      </c>
      <c r="S941" s="201" t="n"/>
      <c r="T941" s="201" t="n"/>
      <c r="U941" s="201" t="n"/>
      <c r="V941" s="201" t="n"/>
      <c r="W941" s="202" t="n"/>
      <c r="X941" s="202" t="n"/>
      <c r="Y941" s="202" t="n"/>
      <c r="Z941" s="202" t="n"/>
      <c r="AA941" s="203" t="n"/>
      <c r="AB941" s="204" t="inlineStr">
        <is>
          <t>09-XL-307HG/PYCNT/CKN/M2/C4</t>
        </is>
      </c>
      <c r="AC941" s="205" t="inlineStr"/>
      <c r="AD941" s="205" t="n"/>
      <c r="AE941" s="205" t="n"/>
      <c r="AF941" s="205" t="n"/>
      <c r="AG941" s="205" t="inlineStr">
        <is>
          <t>NTCV;BBKTĐK</t>
        </is>
      </c>
      <c r="AH941" s="204" t="inlineStr">
        <is>
          <t>&gt;=6;&lt;=10</t>
        </is>
      </c>
      <c r="AI941" s="202" t="n"/>
      <c r="AJ941" s="202" t="n"/>
      <c r="AK941" s="206" t="n"/>
      <c r="AL941" s="202" t="n"/>
      <c r="AM941" s="202" t="n"/>
      <c r="AN941" s="202" t="n"/>
      <c r="AO941" s="202" t="n"/>
      <c r="AP941" s="207" t="n"/>
      <c r="AQ941" s="207" t="n"/>
      <c r="AR941" s="202" t="inlineStr">
        <is>
          <t>Nhóm 1</t>
        </is>
      </c>
      <c r="AS941" s="202" t="n"/>
      <c r="AT941" s="202" t="inlineStr">
        <is>
          <t>HM26</t>
        </is>
      </c>
      <c r="AU941" s="202" t="inlineStr">
        <is>
          <t>PYC</t>
        </is>
      </c>
      <c r="AV941" s="202" t="n">
        <v>230</v>
      </c>
      <c r="AW941" s="202" t="n">
        <v>2</v>
      </c>
      <c r="AX941" s="202" t="n"/>
    </row>
    <row r="942" ht="42" customHeight="1" s="672">
      <c r="A942" s="56" t="inlineStr">
        <is>
          <t>NTCV</t>
        </is>
      </c>
      <c r="B942" s="56" t="inlineStr">
        <is>
          <t>K.9999</t>
        </is>
      </c>
      <c r="C942" s="56" t="inlineStr">
        <is>
          <t>NTCV.0964230</t>
        </is>
      </c>
      <c r="D942" s="57" t="n"/>
      <c r="E942" s="57" t="n"/>
      <c r="F942" s="57" t="n"/>
      <c r="G942" s="57" t="n"/>
      <c r="H942" s="57" t="n"/>
      <c r="J942" s="209" t="inlineStr">
        <is>
          <t>16</t>
        </is>
      </c>
      <c r="K942" s="209" t="inlineStr">
        <is>
          <t>K.9999</t>
        </is>
      </c>
      <c r="L942" s="210" t="inlineStr">
        <is>
          <t>Kiểm tra công tác vệ sinh lỗ khoan trước khi hạ lồng cốt thép cọc khoan nhồi</t>
        </is>
      </c>
      <c r="M942" s="210" t="n"/>
      <c r="N942" s="210" t="n"/>
      <c r="O942" s="211" t="inlineStr">
        <is>
          <t>Cầu Km19+529.080</t>
        </is>
      </c>
      <c r="P942" s="212">
        <f>S939+1</f>
        <v/>
      </c>
      <c r="Q942" s="212">
        <f>P942</f>
        <v/>
      </c>
      <c r="R942" s="212">
        <f>Q942-1</f>
        <v/>
      </c>
      <c r="S942" s="212">
        <f>Q942</f>
        <v/>
      </c>
      <c r="T942" s="213" t="n">
        <v>0.3333333333333333</v>
      </c>
      <c r="U942" s="213">
        <f>T942+V942</f>
        <v/>
      </c>
      <c r="V942" s="213" t="n">
        <v>0.01736111111111111</v>
      </c>
      <c r="W942" s="214">
        <f>TEXT(T942,"HH""h""MM'")&amp;"÷"&amp;TEXT(U942,"HH""h""MM'")</f>
        <v/>
      </c>
      <c r="X942" s="214" t="n"/>
      <c r="Y942" s="214" t="n"/>
      <c r="Z942" s="214" t="inlineStr">
        <is>
          <t>06;</t>
        </is>
      </c>
      <c r="AA942" s="215" t="inlineStr">
        <is>
          <t>Kiểm tra công tác vệ sinh lỗ khoan trước khi hạ lồng cốt thép Cọc khoan nhồi Mố M2 - Cọc C4</t>
        </is>
      </c>
      <c r="AB942" s="204" t="inlineStr">
        <is>
          <t>09-XL-307HG/PYCNT/CKN/M2/C4-2</t>
        </is>
      </c>
      <c r="AC942" s="204" t="inlineStr">
        <is>
          <t>09-XL-307HG/BBNT/CKN/M2/C4-6</t>
        </is>
      </c>
      <c r="AD942" s="204" t="n"/>
      <c r="AE942" s="204" t="n"/>
      <c r="AF942" s="204" t="n"/>
      <c r="AG942" s="204" t="n"/>
      <c r="AH942" s="204" t="n"/>
      <c r="AI942" s="216" t="n"/>
      <c r="AJ942" s="214" t="n"/>
      <c r="AK942" s="217" t="n"/>
      <c r="AL942" s="214" t="n"/>
      <c r="AM942" s="214" t="n"/>
      <c r="AN942" s="214" t="n"/>
      <c r="AO942" s="214" t="n"/>
      <c r="AP942" s="216" t="n"/>
      <c r="AQ942" s="216" t="n"/>
      <c r="AR942" s="214" t="inlineStr">
        <is>
          <t>Nhóm 1</t>
        </is>
      </c>
      <c r="AS942" s="214" t="n"/>
      <c r="AT942" s="214" t="inlineStr">
        <is>
          <t>HM26</t>
        </is>
      </c>
      <c r="AU942" s="214" t="inlineStr">
        <is>
          <t>NTCV</t>
        </is>
      </c>
      <c r="AV942" s="214" t="n">
        <v>277</v>
      </c>
      <c r="AW942" s="214" t="n">
        <v>5</v>
      </c>
      <c r="AX942" s="214" t="n"/>
    </row>
    <row r="943" ht="28" customHeight="1" s="672">
      <c r="A943" s="56" t="inlineStr">
        <is>
          <t>BBK570</t>
        </is>
      </c>
      <c r="B943" s="56" t="inlineStr">
        <is>
          <t>PL06</t>
        </is>
      </c>
      <c r="C943" s="56" t="inlineStr">
        <is>
          <t>BBK570.0833914</t>
        </is>
      </c>
      <c r="D943" s="57" t="n"/>
      <c r="E943" s="57" t="n"/>
      <c r="F943" s="57" t="n"/>
      <c r="G943" s="57" t="n"/>
      <c r="H943" s="57" t="n"/>
      <c r="J943" s="198" t="inlineStr">
        <is>
          <t>17</t>
        </is>
      </c>
      <c r="K943" s="198" t="inlineStr">
        <is>
          <t>PL06</t>
        </is>
      </c>
      <c r="L943" s="199" t="inlineStr">
        <is>
          <t>Kiểm tra công tác vệ sinh lỗ khoan trước khi hạ lồng cốt thép cọc khoan nhồi</t>
        </is>
      </c>
      <c r="M943" s="199" t="n"/>
      <c r="N943" s="199" t="n"/>
      <c r="O943" s="200" t="inlineStr">
        <is>
          <t>Cầu Km19+529.080</t>
        </is>
      </c>
      <c r="P943" s="201" t="n"/>
      <c r="Q943" s="201" t="n"/>
      <c r="R943" s="201" t="n"/>
      <c r="S943" s="201">
        <f>S942</f>
        <v/>
      </c>
      <c r="T943" s="201" t="n"/>
      <c r="U943" s="201" t="n"/>
      <c r="V943" s="201" t="n"/>
      <c r="W943" s="202" t="n"/>
      <c r="X943" s="265" t="n">
        <v>150.836</v>
      </c>
      <c r="Y943" s="265">
        <f>X943-0.02</f>
        <v/>
      </c>
      <c r="Z943" s="198" t="inlineStr">
        <is>
          <t>06</t>
        </is>
      </c>
      <c r="AA943" s="203" t="n"/>
      <c r="AB943" s="204" t="inlineStr">
        <is>
          <t>09-XL-307HG/PYCNT/CKN/M2/C4-2</t>
        </is>
      </c>
      <c r="AC943" s="204">
        <f>AC942</f>
        <v/>
      </c>
      <c r="AD943" s="204" t="n"/>
      <c r="AE943" s="204" t="n"/>
      <c r="AF943" s="204" t="n"/>
      <c r="AG943" s="204" t="n"/>
      <c r="AH943" s="204" t="n"/>
      <c r="AI943" s="202" t="n"/>
      <c r="AJ943" s="202" t="n"/>
      <c r="AK943" s="206" t="n"/>
      <c r="AL943" s="202" t="n"/>
      <c r="AM943" s="202" t="n"/>
      <c r="AN943" s="202" t="n"/>
      <c r="AO943" s="202" t="n"/>
      <c r="AP943" s="207" t="n"/>
      <c r="AQ943" s="207" t="n"/>
      <c r="AR943" s="202" t="inlineStr">
        <is>
          <t>Nhóm 1</t>
        </is>
      </c>
      <c r="AS943" s="202" t="n"/>
      <c r="AT943" s="202" t="inlineStr">
        <is>
          <t>HM26</t>
        </is>
      </c>
      <c r="AU943" s="202" t="inlineStr">
        <is>
          <t>PL06</t>
        </is>
      </c>
      <c r="AV943" s="202" t="n">
        <v>20</v>
      </c>
      <c r="AW943" s="202" t="n">
        <v>1</v>
      </c>
      <c r="AX943" s="202" t="n"/>
    </row>
    <row r="944" ht="28" customHeight="1" s="672">
      <c r="A944" s="56" t="inlineStr">
        <is>
          <t>NTCV</t>
        </is>
      </c>
      <c r="B944" s="56" t="inlineStr">
        <is>
          <t>K.9999</t>
        </is>
      </c>
      <c r="C944" s="56" t="inlineStr">
        <is>
          <t>NTCV.0823433</t>
        </is>
      </c>
      <c r="D944" s="57" t="n"/>
      <c r="E944" s="57" t="n"/>
      <c r="F944" s="57" t="n"/>
      <c r="G944" s="57" t="n"/>
      <c r="H944" s="57" t="n"/>
      <c r="J944" s="209" t="inlineStr">
        <is>
          <t>18</t>
        </is>
      </c>
      <c r="K944" s="209" t="inlineStr">
        <is>
          <t>K.9999</t>
        </is>
      </c>
      <c r="L944" s="210" t="inlineStr">
        <is>
          <t xml:space="preserve">Nghiệm thu công tác hạ lồng thép </t>
        </is>
      </c>
      <c r="M944" s="210" t="n"/>
      <c r="N944" s="210" t="n"/>
      <c r="O944" s="211" t="inlineStr">
        <is>
          <t>Cầu Km19+529.080</t>
        </is>
      </c>
      <c r="P944" s="212">
        <f>S942</f>
        <v/>
      </c>
      <c r="Q944" s="212">
        <f>P944</f>
        <v/>
      </c>
      <c r="R944" s="212">
        <f>Q944-1</f>
        <v/>
      </c>
      <c r="S944" s="212">
        <f>Q944</f>
        <v/>
      </c>
      <c r="T944" s="213">
        <f>U942</f>
        <v/>
      </c>
      <c r="U944" s="213">
        <f>T944+V944</f>
        <v/>
      </c>
      <c r="V944" s="213" t="n">
        <v>0.03125</v>
      </c>
      <c r="W944" s="214">
        <f>TEXT(T944,"HH""h""MM'")&amp;"÷"&amp;TEXT(U944,"HH""h""MM'")</f>
        <v/>
      </c>
      <c r="X944" s="214" t="n"/>
      <c r="Y944" s="214" t="n"/>
      <c r="Z944" s="214" t="inlineStr">
        <is>
          <t>07;</t>
        </is>
      </c>
      <c r="AA944" s="215" t="inlineStr">
        <is>
          <t>Công tác hạ lồng thép Cọc khoan nhồi Mố M2 - Cọc C4</t>
        </is>
      </c>
      <c r="AB944" s="204" t="inlineStr">
        <is>
          <t>09-XL-307HG/PYCNT/CKN/M2/C4-2</t>
        </is>
      </c>
      <c r="AC944" s="204" t="inlineStr">
        <is>
          <t>09-XL-307HG/BBNT/CKN/M2/C4-7</t>
        </is>
      </c>
      <c r="AD944" s="204" t="n"/>
      <c r="AE944" s="204" t="n"/>
      <c r="AF944" s="204" t="n"/>
      <c r="AG944" s="204" t="n"/>
      <c r="AH944" s="204" t="n"/>
      <c r="AI944" s="214" t="n"/>
      <c r="AJ944" s="214" t="n"/>
      <c r="AK944" s="217" t="n"/>
      <c r="AL944" s="214" t="n"/>
      <c r="AM944" s="214" t="n"/>
      <c r="AN944" s="214" t="n"/>
      <c r="AO944" s="214" t="n"/>
      <c r="AP944" s="216" t="n"/>
      <c r="AQ944" s="216" t="n"/>
      <c r="AR944" s="214" t="inlineStr">
        <is>
          <t>Nhóm 1</t>
        </is>
      </c>
      <c r="AS944" s="214" t="n"/>
      <c r="AT944" s="214" t="inlineStr">
        <is>
          <t>HM26</t>
        </is>
      </c>
      <c r="AU944" s="214" t="inlineStr">
        <is>
          <t>NTCV</t>
        </is>
      </c>
      <c r="AV944" s="214" t="n">
        <v>279</v>
      </c>
      <c r="AW944" s="214" t="n">
        <v>6</v>
      </c>
      <c r="AX944" s="214" t="n"/>
    </row>
    <row r="945">
      <c r="A945" s="56" t="inlineStr">
        <is>
          <t>BBK396</t>
        </is>
      </c>
      <c r="B945" s="56" t="inlineStr">
        <is>
          <t>PL07</t>
        </is>
      </c>
      <c r="C945" s="56" t="inlineStr">
        <is>
          <t>BBK396.0996660</t>
        </is>
      </c>
      <c r="D945" s="57" t="n"/>
      <c r="E945" s="57" t="n"/>
      <c r="F945" s="57" t="n"/>
      <c r="G945" s="57" t="n"/>
      <c r="H945" s="57" t="n"/>
      <c r="J945" s="198" t="inlineStr">
        <is>
          <t>19</t>
        </is>
      </c>
      <c r="K945" s="198" t="inlineStr">
        <is>
          <t>PL07</t>
        </is>
      </c>
      <c r="L945" s="199" t="inlineStr">
        <is>
          <t>Nghiệm thu công tác hạ lồng thép</t>
        </is>
      </c>
      <c r="M945" s="199" t="n"/>
      <c r="N945" s="199" t="n"/>
      <c r="O945" s="200" t="inlineStr">
        <is>
          <t>Cầu Km19+529.080</t>
        </is>
      </c>
      <c r="P945" s="201" t="n"/>
      <c r="Q945" s="201" t="n"/>
      <c r="R945" s="201" t="n"/>
      <c r="S945" s="201">
        <f>S944</f>
        <v/>
      </c>
      <c r="T945" s="201" t="n"/>
      <c r="U945" s="201" t="n"/>
      <c r="V945" s="201" t="n"/>
      <c r="W945" s="202" t="n"/>
      <c r="X945" s="202" t="n"/>
      <c r="Y945" s="202" t="n"/>
      <c r="Z945" s="198" t="inlineStr">
        <is>
          <t>07</t>
        </is>
      </c>
      <c r="AA945" s="203" t="n"/>
      <c r="AB945" s="204" t="inlineStr">
        <is>
          <t>09-XL-307HG/PYCNT/CKN/M2/C4-2</t>
        </is>
      </c>
      <c r="AC945" s="204">
        <f>AC944</f>
        <v/>
      </c>
      <c r="AD945" s="204" t="n"/>
      <c r="AE945" s="204" t="n"/>
      <c r="AF945" s="204" t="n"/>
      <c r="AG945" s="204" t="n"/>
      <c r="AH945" s="204" t="n"/>
      <c r="AI945" s="202" t="n"/>
      <c r="AJ945" s="202" t="n"/>
      <c r="AK945" s="206" t="n"/>
      <c r="AL945" s="202" t="n"/>
      <c r="AM945" s="202" t="n"/>
      <c r="AN945" s="202" t="n"/>
      <c r="AO945" s="202" t="n"/>
      <c r="AP945" s="207" t="n"/>
      <c r="AQ945" s="207" t="n"/>
      <c r="AR945" s="202" t="inlineStr">
        <is>
          <t>Nhóm 1</t>
        </is>
      </c>
      <c r="AS945" s="202" t="n"/>
      <c r="AT945" s="202" t="inlineStr">
        <is>
          <t>HM26</t>
        </is>
      </c>
      <c r="AU945" s="202" t="inlineStr">
        <is>
          <t>PL07</t>
        </is>
      </c>
      <c r="AV945" s="202" t="n">
        <v>20</v>
      </c>
      <c r="AW945" s="202" t="n">
        <v>1</v>
      </c>
      <c r="AX945" s="202" t="n"/>
    </row>
    <row r="946" ht="42" customHeight="1" s="672">
      <c r="A946" s="56" t="inlineStr">
        <is>
          <t>NTCV</t>
        </is>
      </c>
      <c r="B946" s="56" t="inlineStr">
        <is>
          <t>K.9999</t>
        </is>
      </c>
      <c r="C946" s="56" t="inlineStr">
        <is>
          <t>NTCV.0239126</t>
        </is>
      </c>
      <c r="D946" s="57" t="n"/>
      <c r="E946" s="57" t="n"/>
      <c r="F946" s="57" t="n"/>
      <c r="G946" s="57" t="n"/>
      <c r="H946" s="57" t="n"/>
      <c r="J946" s="209" t="inlineStr">
        <is>
          <t>20</t>
        </is>
      </c>
      <c r="K946" s="209" t="inlineStr">
        <is>
          <t>K.9999</t>
        </is>
      </c>
      <c r="L946" s="210" t="inlineStr">
        <is>
          <t xml:space="preserve">Kiểm tra công tác vệ sinh lỗ khoan cọc khoan nhồi trước khi đổ bê tông </t>
        </is>
      </c>
      <c r="M946" s="210" t="n"/>
      <c r="N946" s="210" t="n"/>
      <c r="O946" s="211" t="inlineStr">
        <is>
          <t>Cầu Km19+529.080</t>
        </is>
      </c>
      <c r="P946" s="212">
        <f>S944</f>
        <v/>
      </c>
      <c r="Q946" s="212">
        <f>P946</f>
        <v/>
      </c>
      <c r="R946" s="212">
        <f>Q946-1</f>
        <v/>
      </c>
      <c r="S946" s="212">
        <f>Q946</f>
        <v/>
      </c>
      <c r="T946" s="213">
        <f>U944</f>
        <v/>
      </c>
      <c r="U946" s="213">
        <f>T946+V946</f>
        <v/>
      </c>
      <c r="V946" s="213" t="n">
        <v>0.02083333333333333</v>
      </c>
      <c r="W946" s="214">
        <f>TEXT(T946,"HH""h""MM'")&amp;"÷"&amp;TEXT(U946,"HH""h""MM'")</f>
        <v/>
      </c>
      <c r="X946" s="214" t="n"/>
      <c r="Y946" s="214" t="n"/>
      <c r="Z946" s="214" t="inlineStr">
        <is>
          <t>08;</t>
        </is>
      </c>
      <c r="AA946" s="215" t="inlineStr">
        <is>
          <t>Kiểm tra công tác vệ sinh lỗ khoan cọc khoan nhồi trước khi đổ bê tông Cọc khoan nhồi Mố M2 - Cọc C4</t>
        </is>
      </c>
      <c r="AB946" s="204" t="inlineStr">
        <is>
          <t>09-XL-307HG/PYCNT/CKN/M2/C4-2</t>
        </is>
      </c>
      <c r="AC946" s="204" t="inlineStr">
        <is>
          <t>09-XL-307HG/BBNT/CKN/M2/C4-8</t>
        </is>
      </c>
      <c r="AD946" s="204" t="n"/>
      <c r="AE946" s="204" t="n"/>
      <c r="AF946" s="204" t="n"/>
      <c r="AG946" s="204" t="n"/>
      <c r="AH946" s="204" t="n"/>
      <c r="AI946" s="214" t="n"/>
      <c r="AJ946" s="214" t="n"/>
      <c r="AK946" s="217" t="n"/>
      <c r="AL946" s="214" t="n"/>
      <c r="AM946" s="214" t="n"/>
      <c r="AN946" s="214" t="n"/>
      <c r="AO946" s="214" t="n"/>
      <c r="AP946" s="216" t="n"/>
      <c r="AQ946" s="216" t="n"/>
      <c r="AR946" s="214" t="inlineStr">
        <is>
          <t>Nhóm 1</t>
        </is>
      </c>
      <c r="AS946" s="214" t="n"/>
      <c r="AT946" s="214" t="inlineStr">
        <is>
          <t>HM26</t>
        </is>
      </c>
      <c r="AU946" s="214" t="inlineStr">
        <is>
          <t>NTCV</t>
        </is>
      </c>
      <c r="AV946" s="214" t="n">
        <v>284</v>
      </c>
      <c r="AW946" s="214" t="n">
        <v>7</v>
      </c>
      <c r="AX946" s="214" t="n"/>
    </row>
    <row r="947" ht="28" customHeight="1" s="672">
      <c r="A947" s="56" t="inlineStr">
        <is>
          <t>BBK521</t>
        </is>
      </c>
      <c r="B947" s="56" t="inlineStr">
        <is>
          <t>PL08</t>
        </is>
      </c>
      <c r="C947" s="56" t="inlineStr">
        <is>
          <t>BBK521.0662791</t>
        </is>
      </c>
      <c r="D947" s="57" t="n"/>
      <c r="E947" s="57" t="n"/>
      <c r="F947" s="57" t="n"/>
      <c r="G947" s="57" t="n"/>
      <c r="H947" s="57" t="n"/>
      <c r="J947" s="198" t="inlineStr">
        <is>
          <t>21</t>
        </is>
      </c>
      <c r="K947" s="198" t="inlineStr">
        <is>
          <t>PL08</t>
        </is>
      </c>
      <c r="L947" s="199" t="inlineStr">
        <is>
          <t>Kiểm tra công tác vệ sinh lỗ khoan cọc khoan nhồi trước khi đổ bê tông</t>
        </is>
      </c>
      <c r="M947" s="199" t="n"/>
      <c r="N947" s="199" t="n"/>
      <c r="O947" s="200" t="inlineStr">
        <is>
          <t>Cầu Km19+529.080</t>
        </is>
      </c>
      <c r="P947" s="201" t="n"/>
      <c r="Q947" s="201" t="n"/>
      <c r="R947" s="201" t="n"/>
      <c r="S947" s="201">
        <f>S946</f>
        <v/>
      </c>
      <c r="T947" s="201" t="n"/>
      <c r="U947" s="201" t="n"/>
      <c r="V947" s="201" t="n"/>
      <c r="W947" s="202" t="n"/>
      <c r="X947" s="202" t="n"/>
      <c r="Y947" s="202" t="n"/>
      <c r="Z947" s="198" t="inlineStr">
        <is>
          <t>08</t>
        </is>
      </c>
      <c r="AA947" s="203" t="n"/>
      <c r="AB947" s="204" t="inlineStr">
        <is>
          <t>09-XL-307HG/PYCNT/CKN/M2/C4-2</t>
        </is>
      </c>
      <c r="AC947" s="204">
        <f>AC946</f>
        <v/>
      </c>
      <c r="AD947" s="204" t="n"/>
      <c r="AE947" s="204" t="n"/>
      <c r="AF947" s="204" t="n"/>
      <c r="AG947" s="204" t="n"/>
      <c r="AH947" s="204" t="n"/>
      <c r="AI947" s="202" t="n"/>
      <c r="AJ947" s="202" t="n"/>
      <c r="AK947" s="206" t="n"/>
      <c r="AL947" s="202" t="n"/>
      <c r="AM947" s="202" t="n"/>
      <c r="AN947" s="202" t="n"/>
      <c r="AO947" s="202" t="n"/>
      <c r="AP947" s="207" t="n"/>
      <c r="AQ947" s="207" t="n"/>
      <c r="AR947" s="202" t="inlineStr">
        <is>
          <t>Nhóm 1</t>
        </is>
      </c>
      <c r="AS947" s="202" t="n"/>
      <c r="AT947" s="202" t="inlineStr">
        <is>
          <t>HM26</t>
        </is>
      </c>
      <c r="AU947" s="202" t="inlineStr">
        <is>
          <t>PL08</t>
        </is>
      </c>
      <c r="AV947" s="202" t="n">
        <v>20</v>
      </c>
      <c r="AW947" s="202" t="n">
        <v>1</v>
      </c>
      <c r="AX947" s="202" t="n"/>
    </row>
    <row r="948" ht="28" customHeight="1" s="672">
      <c r="A948" s="56" t="inlineStr">
        <is>
          <t>NTCV</t>
        </is>
      </c>
      <c r="B948" s="56" t="inlineStr">
        <is>
          <t>K.9999</t>
        </is>
      </c>
      <c r="C948" s="56" t="inlineStr">
        <is>
          <t>NTCV.0626110</t>
        </is>
      </c>
      <c r="D948" s="57" t="n"/>
      <c r="E948" s="57" t="n"/>
      <c r="F948" s="57" t="n"/>
      <c r="G948" s="57" t="n"/>
      <c r="H948" s="57" t="n"/>
      <c r="J948" s="209" t="inlineStr">
        <is>
          <t>22</t>
        </is>
      </c>
      <c r="K948" s="209" t="inlineStr">
        <is>
          <t>K.9999</t>
        </is>
      </c>
      <c r="L948" s="210" t="inlineStr">
        <is>
          <t xml:space="preserve">Kiểm tra công tác chuẩn bị đổ bê tông cọc khoan nhồi </t>
        </is>
      </c>
      <c r="M948" s="210" t="n"/>
      <c r="N948" s="210" t="n"/>
      <c r="O948" s="211" t="inlineStr">
        <is>
          <t>Cầu Km19+529.080</t>
        </is>
      </c>
      <c r="P948" s="212">
        <f>S946</f>
        <v/>
      </c>
      <c r="Q948" s="212">
        <f>P948</f>
        <v/>
      </c>
      <c r="R948" s="212">
        <f>Q948-1</f>
        <v/>
      </c>
      <c r="S948" s="212">
        <f>Q948</f>
        <v/>
      </c>
      <c r="T948" s="213">
        <f>U946</f>
        <v/>
      </c>
      <c r="U948" s="213">
        <f>T948+V948</f>
        <v/>
      </c>
      <c r="V948" s="213" t="n">
        <v>0.02083333333333333</v>
      </c>
      <c r="W948" s="214">
        <f>TEXT(T948,"HH""h""MM'")&amp;"÷"&amp;TEXT(U948,"HH""h""MM'")</f>
        <v/>
      </c>
      <c r="X948" s="214" t="n"/>
      <c r="Y948" s="214" t="n"/>
      <c r="Z948" s="214" t="inlineStr">
        <is>
          <t>09;</t>
        </is>
      </c>
      <c r="AA948" s="215" t="inlineStr">
        <is>
          <t>Kiểm tra công tác chuẩn bị đổ bê tông Cọc khoan nhồi Mố M2 - Cọc C4</t>
        </is>
      </c>
      <c r="AB948" s="204" t="inlineStr">
        <is>
          <t>09-XL-307HG/PYCNT/CKN/M2/C4-2</t>
        </is>
      </c>
      <c r="AC948" s="204" t="inlineStr">
        <is>
          <t>09-XL-307HG/BBNT/CKN/M2/C4-9</t>
        </is>
      </c>
      <c r="AD948" s="204" t="n"/>
      <c r="AE948" s="204" t="n"/>
      <c r="AF948" s="204" t="n"/>
      <c r="AG948" s="204" t="n"/>
      <c r="AH948" s="204" t="n"/>
      <c r="AI948" s="214" t="n"/>
      <c r="AJ948" s="214" t="n"/>
      <c r="AK948" s="217" t="n"/>
      <c r="AL948" s="214" t="n"/>
      <c r="AM948" s="214" t="n"/>
      <c r="AN948" s="214" t="n"/>
      <c r="AO948" s="214" t="n"/>
      <c r="AP948" s="216" t="n"/>
      <c r="AQ948" s="216" t="n"/>
      <c r="AR948" s="214" t="inlineStr">
        <is>
          <t>Nhóm 1</t>
        </is>
      </c>
      <c r="AS948" s="214" t="n"/>
      <c r="AT948" s="214" t="inlineStr">
        <is>
          <t>HM26</t>
        </is>
      </c>
      <c r="AU948" s="214" t="inlineStr">
        <is>
          <t>NTCV</t>
        </is>
      </c>
      <c r="AV948" s="214" t="n">
        <v>285</v>
      </c>
      <c r="AW948" s="214" t="n">
        <v>8</v>
      </c>
      <c r="AX948" s="214" t="n"/>
    </row>
    <row r="949">
      <c r="A949" s="56" t="inlineStr">
        <is>
          <t>BBK209</t>
        </is>
      </c>
      <c r="B949" s="56" t="inlineStr">
        <is>
          <t>PL09</t>
        </is>
      </c>
      <c r="C949" s="56" t="inlineStr">
        <is>
          <t>BBK209.0970711</t>
        </is>
      </c>
      <c r="D949" s="57" t="n"/>
      <c r="E949" s="57" t="n"/>
      <c r="F949" s="57" t="n"/>
      <c r="G949" s="57" t="n"/>
      <c r="H949" s="57" t="n"/>
      <c r="J949" s="198" t="inlineStr">
        <is>
          <t>23</t>
        </is>
      </c>
      <c r="K949" s="198" t="inlineStr">
        <is>
          <t>PL09</t>
        </is>
      </c>
      <c r="L949" s="199" t="inlineStr">
        <is>
          <t>Kiểm tra công tác chuẩn bị đổ bê tông cọc khoan nhồi</t>
        </is>
      </c>
      <c r="M949" s="199" t="n"/>
      <c r="N949" s="199" t="n"/>
      <c r="O949" s="200" t="inlineStr">
        <is>
          <t>Cầu Km19+529.080</t>
        </is>
      </c>
      <c r="P949" s="201" t="n"/>
      <c r="Q949" s="201" t="n"/>
      <c r="R949" s="201" t="n"/>
      <c r="S949" s="201">
        <f>S948</f>
        <v/>
      </c>
      <c r="T949" s="201" t="n"/>
      <c r="U949" s="201" t="n"/>
      <c r="V949" s="201" t="n"/>
      <c r="W949" s="202" t="n"/>
      <c r="X949" s="202" t="n"/>
      <c r="Y949" s="202" t="n"/>
      <c r="Z949" s="198" t="inlineStr">
        <is>
          <t>09</t>
        </is>
      </c>
      <c r="AA949" s="203" t="n"/>
      <c r="AB949" s="204" t="inlineStr">
        <is>
          <t>09-XL-307HG/PYCNT/CKN/M2/C4-2</t>
        </is>
      </c>
      <c r="AC949" s="204">
        <f>AC948</f>
        <v/>
      </c>
      <c r="AD949" s="204" t="n"/>
      <c r="AE949" s="204" t="n"/>
      <c r="AF949" s="204" t="n"/>
      <c r="AG949" s="204" t="n"/>
      <c r="AH949" s="204" t="inlineStr">
        <is>
          <t>C30(1)</t>
        </is>
      </c>
      <c r="AI949" s="202" t="n"/>
      <c r="AJ949" s="202" t="n"/>
      <c r="AK949" s="206" t="n"/>
      <c r="AL949" s="202" t="n"/>
      <c r="AM949" s="202" t="n"/>
      <c r="AN949" s="202" t="n"/>
      <c r="AO949" s="202" t="n"/>
      <c r="AP949" s="207" t="n"/>
      <c r="AQ949" s="207" t="n"/>
      <c r="AR949" s="202" t="inlineStr">
        <is>
          <t>Nhóm 1</t>
        </is>
      </c>
      <c r="AS949" s="202" t="n"/>
      <c r="AT949" s="202" t="inlineStr">
        <is>
          <t>HM26</t>
        </is>
      </c>
      <c r="AU949" s="202" t="inlineStr">
        <is>
          <t>PL09</t>
        </is>
      </c>
      <c r="AV949" s="202" t="n">
        <v>20</v>
      </c>
      <c r="AW949" s="202" t="n">
        <v>1</v>
      </c>
      <c r="AX949" s="202" t="n"/>
    </row>
    <row r="950" ht="28" customHeight="1" s="672">
      <c r="A950" s="56" t="inlineStr">
        <is>
          <t>NTCV</t>
        </is>
      </c>
      <c r="B950" s="56" t="inlineStr">
        <is>
          <t>K.9999</t>
        </is>
      </c>
      <c r="C950" s="56" t="inlineStr">
        <is>
          <t>NTCV.0420733</t>
        </is>
      </c>
      <c r="D950" s="57" t="n"/>
      <c r="E950" s="57" t="n"/>
      <c r="F950" s="57" t="n"/>
      <c r="G950" s="57" t="n"/>
      <c r="H950" s="57" t="n"/>
      <c r="J950" s="209" t="inlineStr">
        <is>
          <t>24</t>
        </is>
      </c>
      <c r="K950" s="209" t="inlineStr">
        <is>
          <t>K.9999</t>
        </is>
      </c>
      <c r="L950" s="210" t="inlineStr">
        <is>
          <t>Theo dõi quá trình đổ bê tông cọc khoan nhồi</t>
        </is>
      </c>
      <c r="M950" s="210" t="n"/>
      <c r="N950" s="210" t="n"/>
      <c r="O950" s="211" t="inlineStr">
        <is>
          <t>Cầu Km19+529.080</t>
        </is>
      </c>
      <c r="P950" s="212">
        <f>S948</f>
        <v/>
      </c>
      <c r="Q950" s="212">
        <f>P950</f>
        <v/>
      </c>
      <c r="R950" s="212">
        <f>Q950-1</f>
        <v/>
      </c>
      <c r="S950" s="212">
        <f>Q950</f>
        <v/>
      </c>
      <c r="T950" s="213">
        <f>U948</f>
        <v/>
      </c>
      <c r="U950" s="213">
        <f>T950+V950</f>
        <v/>
      </c>
      <c r="V950" s="213" t="n">
        <v>0.1458333333333333</v>
      </c>
      <c r="W950" s="214">
        <f>TEXT(T950,"HH""h""MM'")&amp;"÷"&amp;TEXT(U950,"HH""h""MM'")</f>
        <v/>
      </c>
      <c r="X950" s="214" t="n"/>
      <c r="Y950" s="214" t="n"/>
      <c r="Z950" s="214" t="inlineStr">
        <is>
          <t>10;</t>
        </is>
      </c>
      <c r="AA950" s="215" t="inlineStr">
        <is>
          <t>Theo dõi quá trình đổ bê tông  Cọc khoan nhồi Mố M2 - Cọc C4</t>
        </is>
      </c>
      <c r="AB950" s="204" t="inlineStr">
        <is>
          <t>09-XL-307HG/PYCNT/CKN/M2/C4-2</t>
        </is>
      </c>
      <c r="AC950" s="204" t="inlineStr">
        <is>
          <t>09-XL-307HG/BBNT/CKN/M2/C4-10</t>
        </is>
      </c>
      <c r="AD950" s="204" t="n"/>
      <c r="AE950" s="204" t="n"/>
      <c r="AF950" s="204" t="n"/>
      <c r="AG950" s="204" t="n"/>
      <c r="AH950" s="204" t="n"/>
      <c r="AI950" s="214" t="n"/>
      <c r="AJ950" s="214" t="n"/>
      <c r="AK950" s="217" t="n"/>
      <c r="AL950" s="214" t="n"/>
      <c r="AM950" s="214" t="n"/>
      <c r="AN950" s="214" t="n"/>
      <c r="AO950" s="214" t="n"/>
      <c r="AP950" s="216" t="n"/>
      <c r="AQ950" s="216" t="n"/>
      <c r="AR950" s="214" t="inlineStr">
        <is>
          <t>Nhóm 1</t>
        </is>
      </c>
      <c r="AS950" s="214" t="n"/>
      <c r="AT950" s="214" t="inlineStr">
        <is>
          <t>HM26</t>
        </is>
      </c>
      <c r="AU950" s="214" t="inlineStr">
        <is>
          <t>NTCV</t>
        </is>
      </c>
      <c r="AV950" s="214" t="n">
        <v>286</v>
      </c>
      <c r="AW950" s="214" t="n">
        <v>9</v>
      </c>
      <c r="AX950" s="214" t="n"/>
    </row>
    <row r="951" ht="210" customHeight="1" s="672">
      <c r="A951" s="56" t="inlineStr">
        <is>
          <t>LMHT</t>
        </is>
      </c>
      <c r="B951" s="56" t="inlineStr">
        <is>
          <t>LMHT</t>
        </is>
      </c>
      <c r="C951" s="56" t="inlineStr">
        <is>
          <t>LMHT.0056689</t>
        </is>
      </c>
      <c r="D951" s="57" t="inlineStr">
        <is>
          <t>TC.000041|TC.000182|TC.000169.A</t>
        </is>
      </c>
      <c r="E951" s="57" t="n"/>
      <c r="F951" s="57" t="inlineStr">
        <is>
          <t>CP.0001^Cọc khoan nhồi Mố M2 - Cọc C4^Hình trụ 15x30 (cm)^12^30 Mpa, 18±2^^^TC.000041|TC.000182|TC.000169.A</t>
        </is>
      </c>
      <c r="G951" s="57" t="n"/>
      <c r="H951" s="57" t="inlineStr">
        <is>
          <t>^^A|C|J|O|S|X|Z^Stt|Hạng mục|Cấp bê tông|Kích thước mẫu|Số lượng mẫu|Ghi chú^|||||</t>
        </is>
      </c>
      <c r="J951" s="256" t="inlineStr">
        <is>
          <t>25</t>
        </is>
      </c>
      <c r="K951" s="256" t="inlineStr">
        <is>
          <t>LMHT</t>
        </is>
      </c>
      <c r="L951" s="257" t="inlineStr">
        <is>
          <t>Lấy mẫu bê tông Cọc khoan nhồi, 30(1) Mpa Mố M2 - Cọc C4</t>
        </is>
      </c>
      <c r="M951" s="257" t="n"/>
      <c r="N951" s="257" t="n"/>
      <c r="O951" s="258" t="inlineStr">
        <is>
          <t>Cầu Km19+529.080</t>
        </is>
      </c>
      <c r="P951" s="259" t="n"/>
      <c r="Q951" s="259" t="n"/>
      <c r="R951" s="259" t="n"/>
      <c r="S951" s="259">
        <f>S950</f>
        <v/>
      </c>
      <c r="T951" s="260">
        <f>T950</f>
        <v/>
      </c>
      <c r="U951" s="260">
        <f>U950</f>
        <v/>
      </c>
      <c r="V951" s="260">
        <f>V950</f>
        <v/>
      </c>
      <c r="W951" s="261">
        <f>TEXT(T951,"HH""h""MM'")&amp;"÷"&amp;TEXT(U951,"HH""h""MM'")</f>
        <v/>
      </c>
      <c r="X951" s="262" t="n"/>
      <c r="Y951" s="262" t="n"/>
      <c r="Z951" s="262" t="n"/>
      <c r="AA951" s="262" t="n"/>
      <c r="AB951" s="263" t="inlineStr">
        <is>
          <t>09-XL-307HG/PYCNT/CKN/M2/C4-2</t>
        </is>
      </c>
      <c r="AC951" s="263" t="inlineStr"/>
      <c r="AD951" s="264" t="n"/>
      <c r="AE951" s="264" t="n"/>
      <c r="AF951" s="264" t="n"/>
      <c r="AG951" s="264" t="n"/>
      <c r="AH951" s="264" t="n"/>
      <c r="AI951" s="257" t="n"/>
      <c r="AJ951" s="262" t="n"/>
      <c r="AK951" s="258" t="n"/>
      <c r="AL951" s="262" t="n"/>
      <c r="AM951" s="262" t="n"/>
      <c r="AN951" s="262" t="n"/>
      <c r="AO951" s="262" t="n"/>
      <c r="AP951" s="263" t="inlineStr">
        <is>
          <t>Bảng lấy mẫu CKN</t>
        </is>
      </c>
      <c r="AQ951" s="263" t="n"/>
      <c r="AR951" s="262" t="inlineStr">
        <is>
          <t>Nhóm 1</t>
        </is>
      </c>
      <c r="AS951" s="262" t="n"/>
      <c r="AT951" s="262" t="inlineStr">
        <is>
          <t>HM26</t>
        </is>
      </c>
      <c r="AU951" s="262" t="inlineStr">
        <is>
          <t>LMHT</t>
        </is>
      </c>
      <c r="AV951" s="262" t="n">
        <v>24</v>
      </c>
      <c r="AW951" s="262" t="n">
        <v>1</v>
      </c>
      <c r="AX951" s="262" t="inlineStr">
        <is>
          <t>Cọc M2-C4: xi măng Lần 8 [BT dòng 23].</t>
        </is>
      </c>
    </row>
    <row r="952">
      <c r="A952" s="56" t="inlineStr">
        <is>
          <t>BBK994</t>
        </is>
      </c>
      <c r="B952" s="56" t="inlineStr">
        <is>
          <t>PL10</t>
        </is>
      </c>
      <c r="C952" s="56" t="inlineStr">
        <is>
          <t>BBK994.0878253</t>
        </is>
      </c>
      <c r="D952" s="57" t="n"/>
      <c r="E952" s="57" t="n"/>
      <c r="F952" s="57" t="n"/>
      <c r="G952" s="57" t="n"/>
      <c r="H952" s="57" t="n"/>
      <c r="J952" s="198" t="inlineStr">
        <is>
          <t>26</t>
        </is>
      </c>
      <c r="K952" s="198" t="inlineStr">
        <is>
          <t>PL10</t>
        </is>
      </c>
      <c r="L952" s="199" t="inlineStr">
        <is>
          <t>Theo dõi quá trình đổ bê tông cọc khoan nhồi</t>
        </is>
      </c>
      <c r="M952" s="199" t="n"/>
      <c r="N952" s="199" t="n"/>
      <c r="O952" s="200" t="inlineStr">
        <is>
          <t>Cầu Km19+529.080</t>
        </is>
      </c>
      <c r="P952" s="201" t="n"/>
      <c r="Q952" s="201" t="n"/>
      <c r="R952" s="201" t="n"/>
      <c r="S952" s="201">
        <f>S950</f>
        <v/>
      </c>
      <c r="T952" s="201" t="n"/>
      <c r="U952" s="201" t="n"/>
      <c r="V952" s="201" t="n"/>
      <c r="W952" s="202" t="n"/>
      <c r="X952" s="202" t="n"/>
      <c r="Y952" s="202" t="n"/>
      <c r="Z952" s="198" t="inlineStr">
        <is>
          <t>10</t>
        </is>
      </c>
      <c r="AA952" s="203" t="n"/>
      <c r="AB952" s="204" t="inlineStr">
        <is>
          <t>09-XL-307HG/PYCNT/CKN/M2/C4-2</t>
        </is>
      </c>
      <c r="AC952" s="204">
        <f>AC950</f>
        <v/>
      </c>
      <c r="AD952" s="204" t="n"/>
      <c r="AE952" s="204" t="n"/>
      <c r="AF952" s="204" t="n"/>
      <c r="AG952" s="204" t="n"/>
      <c r="AH952" s="204" t="inlineStr">
        <is>
          <t>M2-C4</t>
        </is>
      </c>
      <c r="AI952" s="202" t="n"/>
      <c r="AJ952" s="202" t="n"/>
      <c r="AK952" s="206" t="n"/>
      <c r="AL952" s="202" t="n"/>
      <c r="AM952" s="202" t="n"/>
      <c r="AN952" s="202" t="n"/>
      <c r="AO952" s="202" t="n"/>
      <c r="AP952" s="207" t="n"/>
      <c r="AQ952" s="207" t="n"/>
      <c r="AR952" s="202" t="inlineStr">
        <is>
          <t>Nhóm 1</t>
        </is>
      </c>
      <c r="AS952" s="202" t="n"/>
      <c r="AT952" s="202" t="inlineStr">
        <is>
          <t>HM26</t>
        </is>
      </c>
      <c r="AU952" s="202" t="inlineStr">
        <is>
          <t>PL10</t>
        </is>
      </c>
      <c r="AV952" s="202" t="n">
        <v>20</v>
      </c>
      <c r="AW952" s="202" t="n">
        <v>1</v>
      </c>
      <c r="AX952" s="202" t="n"/>
    </row>
    <row r="953" ht="28" customHeight="1" s="672">
      <c r="A953" s="56" t="inlineStr">
        <is>
          <t>NTCV</t>
        </is>
      </c>
      <c r="B953" s="56" t="inlineStr">
        <is>
          <t>K.9999</t>
        </is>
      </c>
      <c r="C953" s="56" t="inlineStr">
        <is>
          <t>NTCV.0162768</t>
        </is>
      </c>
      <c r="D953" s="57" t="n"/>
      <c r="E953" s="57" t="n"/>
      <c r="F953" s="57" t="n"/>
      <c r="G953" s="57" t="n"/>
      <c r="H953" s="57" t="n"/>
      <c r="J953" s="209" t="inlineStr">
        <is>
          <t>27</t>
        </is>
      </c>
      <c r="K953" s="209" t="inlineStr">
        <is>
          <t>K.9999</t>
        </is>
      </c>
      <c r="L953" s="210" t="inlineStr">
        <is>
          <t xml:space="preserve"> Rút ống vách thi công cọc khoan nhồi</t>
        </is>
      </c>
      <c r="M953" s="210" t="n"/>
      <c r="N953" s="210" t="n"/>
      <c r="O953" s="211" t="inlineStr">
        <is>
          <t>Cầu Km19+529.080</t>
        </is>
      </c>
      <c r="P953" s="212">
        <f>S950</f>
        <v/>
      </c>
      <c r="Q953" s="212">
        <f>P953</f>
        <v/>
      </c>
      <c r="R953" s="212">
        <f>Q953-1</f>
        <v/>
      </c>
      <c r="S953" s="212">
        <f>Q953</f>
        <v/>
      </c>
      <c r="T953" s="213">
        <f>U950</f>
        <v/>
      </c>
      <c r="U953" s="213">
        <f>T953+V953</f>
        <v/>
      </c>
      <c r="V953" s="213" t="n">
        <v>0.01041666666666667</v>
      </c>
      <c r="W953" s="214">
        <f>TEXT(T953,"HH""h""MM'")&amp;"÷"&amp;TEXT(U953,"HH""h""MM'")</f>
        <v/>
      </c>
      <c r="X953" s="214" t="n"/>
      <c r="Y953" s="214" t="n"/>
      <c r="Z953" s="214" t="inlineStr">
        <is>
          <t>11;</t>
        </is>
      </c>
      <c r="AA953" s="215" t="inlineStr">
        <is>
          <t>Rút ống vách  Cọc khoan nhồi Mố M2 - Cọc C4</t>
        </is>
      </c>
      <c r="AB953" s="204" t="inlineStr">
        <is>
          <t>09-XL-307HG/PYCNT/CKN/M2/C4-2</t>
        </is>
      </c>
      <c r="AC953" s="204" t="inlineStr">
        <is>
          <t>09-XL-307HG/BBNT/CKN/M2/C4-11</t>
        </is>
      </c>
      <c r="AD953" s="204" t="n"/>
      <c r="AE953" s="204" t="n"/>
      <c r="AF953" s="204" t="n"/>
      <c r="AG953" s="204" t="n"/>
      <c r="AH953" s="204" t="n"/>
      <c r="AI953" s="214" t="n"/>
      <c r="AJ953" s="214" t="n"/>
      <c r="AK953" s="217" t="n"/>
      <c r="AL953" s="214" t="n"/>
      <c r="AM953" s="214" t="n"/>
      <c r="AN953" s="214" t="n"/>
      <c r="AO953" s="214" t="n"/>
      <c r="AP953" s="216" t="n"/>
      <c r="AQ953" s="216" t="n"/>
      <c r="AR953" s="214" t="inlineStr">
        <is>
          <t>Nhóm 1</t>
        </is>
      </c>
      <c r="AS953" s="214" t="n"/>
      <c r="AT953" s="214" t="inlineStr">
        <is>
          <t>HM26</t>
        </is>
      </c>
      <c r="AU953" s="214" t="inlineStr">
        <is>
          <t>NTCV</t>
        </is>
      </c>
      <c r="AV953" s="214" t="n">
        <v>287</v>
      </c>
      <c r="AW953" s="214" t="n">
        <v>10</v>
      </c>
      <c r="AX953" s="214" t="n"/>
    </row>
    <row r="954">
      <c r="A954" s="56" t="inlineStr">
        <is>
          <t>BBK544</t>
        </is>
      </c>
      <c r="B954" s="56" t="inlineStr">
        <is>
          <t>PL11</t>
        </is>
      </c>
      <c r="C954" s="56" t="inlineStr">
        <is>
          <t>BBK544.0249103</t>
        </is>
      </c>
      <c r="D954" s="57" t="n"/>
      <c r="E954" s="57" t="n"/>
      <c r="F954" s="57" t="n"/>
      <c r="G954" s="57" t="n"/>
      <c r="H954" s="57" t="n"/>
      <c r="J954" s="198" t="inlineStr">
        <is>
          <t>28</t>
        </is>
      </c>
      <c r="K954" s="198" t="inlineStr">
        <is>
          <t>PL11</t>
        </is>
      </c>
      <c r="L954" s="199" t="inlineStr">
        <is>
          <t>Rút ống vách thi công cọc khoan nhồi</t>
        </is>
      </c>
      <c r="M954" s="199" t="n"/>
      <c r="N954" s="199" t="n"/>
      <c r="O954" s="200" t="inlineStr">
        <is>
          <t>Cầu Km19+529.080</t>
        </is>
      </c>
      <c r="P954" s="201" t="n"/>
      <c r="Q954" s="201" t="n"/>
      <c r="R954" s="201" t="n"/>
      <c r="S954" s="201">
        <f>S953</f>
        <v/>
      </c>
      <c r="T954" s="201" t="n"/>
      <c r="U954" s="201" t="n"/>
      <c r="V954" s="201" t="n"/>
      <c r="W954" s="202" t="n"/>
      <c r="X954" s="202" t="n"/>
      <c r="Y954" s="202" t="n"/>
      <c r="Z954" s="198" t="inlineStr">
        <is>
          <t>11</t>
        </is>
      </c>
      <c r="AA954" s="203" t="n"/>
      <c r="AB954" s="204" t="inlineStr">
        <is>
          <t>09-XL-307HG/PYCNT/CKN/M2/C4-2</t>
        </is>
      </c>
      <c r="AC954" s="204">
        <f>AC953</f>
        <v/>
      </c>
      <c r="AD954" s="204" t="n"/>
      <c r="AE954" s="204" t="n"/>
      <c r="AF954" s="204" t="n"/>
      <c r="AG954" s="204" t="n"/>
      <c r="AH954" s="204" t="inlineStr">
        <is>
          <t>&gt;=706;&lt;=737</t>
        </is>
      </c>
      <c r="AI954" s="202" t="n"/>
      <c r="AJ954" s="202" t="n"/>
      <c r="AK954" s="206" t="n"/>
      <c r="AL954" s="202" t="n"/>
      <c r="AM954" s="202" t="n"/>
      <c r="AN954" s="202" t="n"/>
      <c r="AO954" s="202" t="n"/>
      <c r="AP954" s="207" t="n"/>
      <c r="AQ954" s="207" t="n"/>
      <c r="AR954" s="202" t="inlineStr">
        <is>
          <t>Nhóm 1</t>
        </is>
      </c>
      <c r="AS954" s="202" t="n"/>
      <c r="AT954" s="202" t="inlineStr">
        <is>
          <t>HM26</t>
        </is>
      </c>
      <c r="AU954" s="202" t="inlineStr">
        <is>
          <t>PL11</t>
        </is>
      </c>
      <c r="AV954" s="202" t="n">
        <v>20</v>
      </c>
      <c r="AW954" s="202" t="n">
        <v>1</v>
      </c>
      <c r="AX954" s="202" t="n"/>
    </row>
    <row r="955" ht="13" customHeight="1" s="672">
      <c r="A955" s="56" t="inlineStr">
        <is>
          <t>BBK680</t>
        </is>
      </c>
      <c r="B955" s="56" t="inlineStr">
        <is>
          <t>PYC</t>
        </is>
      </c>
      <c r="C955" s="56" t="inlineStr">
        <is>
          <t>BBK680.0607955</t>
        </is>
      </c>
      <c r="D955" s="57" t="n"/>
      <c r="E955" s="57" t="n"/>
      <c r="F955" s="57" t="n"/>
      <c r="G955" s="57" t="n"/>
      <c r="H955" s="57" t="n"/>
      <c r="J955" s="198" t="inlineStr">
        <is>
          <t>29</t>
        </is>
      </c>
      <c r="K955" s="198" t="inlineStr">
        <is>
          <t>PYC</t>
        </is>
      </c>
      <c r="L955" s="199" t="inlineStr">
        <is>
          <t>Phiếu yêu cầu nghiệm thu</t>
        </is>
      </c>
      <c r="M955" s="199" t="n"/>
      <c r="N955" s="199" t="n"/>
      <c r="O955" s="200" t="inlineStr">
        <is>
          <t>Cầu Km19+529.080</t>
        </is>
      </c>
      <c r="P955" s="201" t="n"/>
      <c r="Q955" s="201" t="n"/>
      <c r="R955" s="201">
        <f>R956</f>
        <v/>
      </c>
      <c r="S955" s="201" t="n"/>
      <c r="T955" s="201" t="n"/>
      <c r="U955" s="201" t="n"/>
      <c r="V955" s="201" t="n"/>
      <c r="W955" s="202" t="n"/>
      <c r="X955" s="202" t="n"/>
      <c r="Y955" s="202" t="n"/>
      <c r="Z955" s="202" t="n"/>
      <c r="AA955" s="203" t="n"/>
      <c r="AB955" s="204" t="inlineStr">
        <is>
          <t>09-XL-307HG/PYCNT/CKN/M2/C4</t>
        </is>
      </c>
      <c r="AC955" s="205" t="inlineStr"/>
      <c r="AD955" s="205" t="n"/>
      <c r="AE955" s="205" t="n"/>
      <c r="AF955" s="205" t="n"/>
      <c r="AG955" s="205" t="inlineStr">
        <is>
          <t>NTCV;BBKTĐK</t>
        </is>
      </c>
      <c r="AH955" s="204" t="n">
        <v>11</v>
      </c>
      <c r="AI955" s="202" t="n"/>
      <c r="AJ955" s="202" t="n"/>
      <c r="AK955" s="206" t="n"/>
      <c r="AL955" s="202" t="n"/>
      <c r="AM955" s="202" t="n"/>
      <c r="AN955" s="202" t="n"/>
      <c r="AO955" s="202" t="n"/>
      <c r="AP955" s="207" t="n"/>
      <c r="AQ955" s="207" t="n"/>
      <c r="AR955" s="202" t="inlineStr">
        <is>
          <t>Nhóm 1</t>
        </is>
      </c>
      <c r="AS955" s="202" t="n"/>
      <c r="AT955" s="202" t="inlineStr">
        <is>
          <t>HM26</t>
        </is>
      </c>
      <c r="AU955" s="202" t="inlineStr">
        <is>
          <t>PYC</t>
        </is>
      </c>
      <c r="AV955" s="202" t="n">
        <v>231</v>
      </c>
      <c r="AW955" s="202" t="n">
        <v>3</v>
      </c>
      <c r="AX955" s="202" t="n"/>
    </row>
    <row r="956" ht="28" customHeight="1" s="672">
      <c r="A956" s="56" t="inlineStr">
        <is>
          <t>NTCV</t>
        </is>
      </c>
      <c r="B956" s="56" t="inlineStr">
        <is>
          <t>K.9999</t>
        </is>
      </c>
      <c r="C956" s="56" t="inlineStr">
        <is>
          <t>NTCV.0365324</t>
        </is>
      </c>
      <c r="D956" s="57" t="n"/>
      <c r="E956" s="57" t="n"/>
      <c r="F956" s="57" t="n"/>
      <c r="G956" s="57" t="n"/>
      <c r="H956" s="57" t="n"/>
      <c r="J956" s="209" t="inlineStr">
        <is>
          <t>30</t>
        </is>
      </c>
      <c r="K956" s="209" t="inlineStr">
        <is>
          <t>K.9999</t>
        </is>
      </c>
      <c r="L956" s="210" t="inlineStr">
        <is>
          <t>Theo dõi nén mẫu R7 Cọc khoan nhồi Mố M2 - Cọc C4</t>
        </is>
      </c>
      <c r="M956" s="210" t="n"/>
      <c r="N956" s="210" t="n"/>
      <c r="O956" s="211" t="inlineStr">
        <is>
          <t>Cầu Km19+529.080</t>
        </is>
      </c>
      <c r="P956" s="212">
        <f>S953+7</f>
        <v/>
      </c>
      <c r="Q956" s="212">
        <f>P956</f>
        <v/>
      </c>
      <c r="R956" s="212">
        <f>Q956-1</f>
        <v/>
      </c>
      <c r="S956" s="212">
        <f>Q956</f>
        <v/>
      </c>
      <c r="T956" s="213" t="n">
        <v>0.3541666666666667</v>
      </c>
      <c r="U956" s="213">
        <f>T956+V956</f>
        <v/>
      </c>
      <c r="V956" s="213" t="n">
        <v>0.02083333333333333</v>
      </c>
      <c r="W956" s="214">
        <f>TEXT(T956,"HH""h""MM'")&amp;"÷"&amp;TEXT(U956,"HH""h""MM'")</f>
        <v/>
      </c>
      <c r="X956" s="214" t="n"/>
      <c r="Y956" s="214" t="n"/>
      <c r="Z956" s="214" t="n"/>
      <c r="AA956" s="215" t="inlineStr">
        <is>
          <t>Theo dõi nén mẫu R7 Cọc khoan nhồi Mố M2 - Cọc C4</t>
        </is>
      </c>
      <c r="AB956" s="204" t="inlineStr">
        <is>
          <t>09-XL-307HG/PYCNT/CKN/M2/C4-3</t>
        </is>
      </c>
      <c r="AC956" s="204" t="inlineStr">
        <is>
          <t>09-XL-307HG/BBNT/CKN/M2/C4-12</t>
        </is>
      </c>
      <c r="AD956" s="204" t="n"/>
      <c r="AE956" s="204" t="n"/>
      <c r="AF956" s="204" t="n"/>
      <c r="AG956" s="204" t="n"/>
      <c r="AH956" s="204" t="n"/>
      <c r="AI956" s="214" t="n"/>
      <c r="AJ956" s="214" t="n"/>
      <c r="AK956" s="217" t="n"/>
      <c r="AL956" s="214" t="n"/>
      <c r="AM956" s="214" t="n"/>
      <c r="AN956" s="214" t="n"/>
      <c r="AO956" s="214" t="n"/>
      <c r="AP956" s="216" t="n"/>
      <c r="AQ956" s="216" t="n"/>
      <c r="AR956" s="214" t="inlineStr">
        <is>
          <t>Nhóm 1</t>
        </is>
      </c>
      <c r="AS956" s="214" t="n"/>
      <c r="AT956" s="214" t="inlineStr">
        <is>
          <t>HM26</t>
        </is>
      </c>
      <c r="AU956" s="214" t="inlineStr">
        <is>
          <t>NTCV</t>
        </is>
      </c>
      <c r="AV956" s="214" t="n">
        <v>362</v>
      </c>
      <c r="AW956" s="214" t="n">
        <v>11</v>
      </c>
      <c r="AX956" s="214" t="n"/>
    </row>
    <row r="957">
      <c r="A957" s="56" t="inlineStr">
        <is>
          <t>BBK680</t>
        </is>
      </c>
      <c r="B957" s="56" t="inlineStr">
        <is>
          <t>PYC</t>
        </is>
      </c>
      <c r="C957" s="56" t="inlineStr">
        <is>
          <t>BBK680.0528946</t>
        </is>
      </c>
      <c r="D957" s="57" t="n"/>
      <c r="E957" s="57" t="n"/>
      <c r="F957" s="57" t="n"/>
      <c r="G957" s="57" t="n"/>
      <c r="H957" s="57" t="n"/>
      <c r="J957" s="198" t="inlineStr">
        <is>
          <t>31</t>
        </is>
      </c>
      <c r="K957" s="198" t="inlineStr">
        <is>
          <t>PYC</t>
        </is>
      </c>
      <c r="L957" s="199" t="inlineStr">
        <is>
          <t>Phiếu yêu cầu nghiệm thu</t>
        </is>
      </c>
      <c r="M957" s="199" t="n"/>
      <c r="N957" s="199" t="n"/>
      <c r="O957" s="200" t="inlineStr">
        <is>
          <t>Cầu Km19+529.080</t>
        </is>
      </c>
      <c r="P957" s="201" t="n"/>
      <c r="Q957" s="201" t="n"/>
      <c r="R957" s="201">
        <f>+S952+28</f>
        <v/>
      </c>
      <c r="S957" s="201" t="n"/>
      <c r="T957" s="201" t="n"/>
      <c r="U957" s="201" t="n"/>
      <c r="V957" s="201" t="n"/>
      <c r="W957" s="202" t="n"/>
      <c r="X957" s="202" t="n"/>
      <c r="Y957" s="202" t="n"/>
      <c r="Z957" s="202" t="n"/>
      <c r="AA957" s="203" t="n"/>
      <c r="AB957" s="204" t="inlineStr">
        <is>
          <t>09-XL-307HG/PYCNT/CKN/M2/C4</t>
        </is>
      </c>
      <c r="AC957" s="205" t="inlineStr"/>
      <c r="AD957" s="205" t="n"/>
      <c r="AE957" s="205" t="n"/>
      <c r="AF957" s="205" t="n"/>
      <c r="AG957" s="205" t="inlineStr">
        <is>
          <t>NTCV;BBKTĐK</t>
        </is>
      </c>
      <c r="AH957" s="204" t="n">
        <v>12</v>
      </c>
      <c r="AI957" s="202" t="n"/>
      <c r="AJ957" s="202" t="n"/>
      <c r="AK957" s="206" t="n"/>
      <c r="AL957" s="202" t="n"/>
      <c r="AM957" s="202" t="n"/>
      <c r="AN957" s="202" t="n"/>
      <c r="AO957" s="202" t="n"/>
      <c r="AP957" s="207" t="n"/>
      <c r="AQ957" s="207" t="n"/>
      <c r="AR957" s="202" t="inlineStr">
        <is>
          <t>Nhóm 1</t>
        </is>
      </c>
      <c r="AS957" s="202" t="n"/>
      <c r="AT957" s="202" t="inlineStr">
        <is>
          <t>HM26</t>
        </is>
      </c>
      <c r="AU957" s="202" t="inlineStr">
        <is>
          <t>PYC</t>
        </is>
      </c>
      <c r="AV957" s="202" t="n">
        <v>232</v>
      </c>
      <c r="AW957" s="202" t="n">
        <v>4</v>
      </c>
      <c r="AX957" s="202" t="n"/>
    </row>
    <row r="958" ht="28" customHeight="1" s="672">
      <c r="A958" s="56" t="inlineStr">
        <is>
          <t>NTCV</t>
        </is>
      </c>
      <c r="B958" s="56" t="inlineStr">
        <is>
          <t>K.9999</t>
        </is>
      </c>
      <c r="C958" s="56" t="inlineStr">
        <is>
          <t>NTCV.0918389</t>
        </is>
      </c>
      <c r="D958" s="57" t="n"/>
      <c r="E958" s="57" t="n"/>
      <c r="F958" s="57" t="n"/>
      <c r="G958" s="57" t="n"/>
      <c r="H958" s="57" t="n"/>
      <c r="J958" s="209" t="inlineStr">
        <is>
          <t>32</t>
        </is>
      </c>
      <c r="K958" s="209" t="inlineStr">
        <is>
          <t>K.9999</t>
        </is>
      </c>
      <c r="L958" s="210" t="inlineStr">
        <is>
          <t>Đập đầu cọc khoan nhồi Mố M2 - Cọc C4</t>
        </is>
      </c>
      <c r="M958" s="210" t="n"/>
      <c r="N958" s="210" t="n"/>
      <c r="O958" s="211" t="inlineStr">
        <is>
          <t>Cầu Km19+529.080</t>
        </is>
      </c>
      <c r="P958" s="212">
        <f>S956</f>
        <v/>
      </c>
      <c r="Q958" s="212">
        <f>P958</f>
        <v/>
      </c>
      <c r="R958" s="212">
        <f>Q958-1</f>
        <v/>
      </c>
      <c r="S958" s="212">
        <f>Q958</f>
        <v/>
      </c>
      <c r="T958" s="213" t="n">
        <v>0.3541666666666667</v>
      </c>
      <c r="U958" s="213">
        <f>T958+V958</f>
        <v/>
      </c>
      <c r="V958" s="213" t="n">
        <v>0.0625</v>
      </c>
      <c r="W958" s="214">
        <f>TEXT(T958,"HH""h""MM'")&amp;"÷"&amp;TEXT(U958,"HH""h""MM'")</f>
        <v/>
      </c>
      <c r="X958" s="214" t="n"/>
      <c r="Y958" s="214" t="n"/>
      <c r="Z958" s="214" t="n"/>
      <c r="AA958" s="215" t="inlineStr">
        <is>
          <t>Theo dõi nén mẫu R28 Cọc khoan nhồi Mố M2 - Cọc C4</t>
        </is>
      </c>
      <c r="AB958" s="204" t="inlineStr">
        <is>
          <t>09-XL-307HG/PYCNT/CKN/M2/C4-4</t>
        </is>
      </c>
      <c r="AC958" s="204" t="inlineStr">
        <is>
          <t>09-XL-307HG/BBNT/CKN/M2/C4-13</t>
        </is>
      </c>
      <c r="AD958" s="204" t="n"/>
      <c r="AE958" s="204" t="n"/>
      <c r="AF958" s="204" t="n"/>
      <c r="AG958" s="204" t="n"/>
      <c r="AH958" s="204" t="n"/>
      <c r="AI958" s="214" t="n"/>
      <c r="AJ958" s="214" t="n"/>
      <c r="AK958" s="217" t="n"/>
      <c r="AL958" s="214" t="n"/>
      <c r="AM958" s="214" t="n"/>
      <c r="AN958" s="214" t="n"/>
      <c r="AO958" s="214" t="n"/>
      <c r="AP958" s="216" t="n"/>
      <c r="AQ958" s="216" t="n"/>
      <c r="AR958" s="214" t="inlineStr">
        <is>
          <t>Nhóm 1</t>
        </is>
      </c>
      <c r="AS958" s="214" t="n"/>
      <c r="AT958" s="214" t="inlineStr">
        <is>
          <t>HM26</t>
        </is>
      </c>
      <c r="AU958" s="214" t="inlineStr">
        <is>
          <t>NTCV</t>
        </is>
      </c>
      <c r="AV958" s="214" t="n">
        <v>363</v>
      </c>
      <c r="AW958" s="214" t="n">
        <v>12</v>
      </c>
      <c r="AX958" s="214" t="n"/>
    </row>
    <row r="959">
      <c r="A959" s="56" t="inlineStr">
        <is>
          <t>HM</t>
        </is>
      </c>
      <c r="B959" s="56" t="inlineStr">
        <is>
          <t>HM</t>
        </is>
      </c>
      <c r="C959" s="56" t="inlineStr">
        <is>
          <t>HM.0546630</t>
        </is>
      </c>
      <c r="D959" s="57" t="n"/>
      <c r="E959" s="57" t="n"/>
      <c r="F959" s="57" t="n"/>
      <c r="G959" s="57" t="n"/>
      <c r="H959" s="57" t="n"/>
      <c r="J959" s="246" t="inlineStr">
        <is>
          <t>HM27</t>
        </is>
      </c>
      <c r="K959" s="246" t="inlineStr">
        <is>
          <t>HM</t>
        </is>
      </c>
      <c r="L959" s="247" t="inlineStr">
        <is>
          <t>Mố M2 - Cọc C5</t>
        </is>
      </c>
      <c r="M959" s="247" t="n"/>
      <c r="N959" s="247" t="n"/>
      <c r="O959" s="248" t="inlineStr">
        <is>
          <t>Cầu Km19+529.080</t>
        </is>
      </c>
      <c r="P959" s="249" t="n"/>
      <c r="Q959" s="249" t="n"/>
      <c r="R959" s="249" t="n"/>
      <c r="S959" s="249" t="n"/>
      <c r="T959" s="249" t="n"/>
      <c r="U959" s="249" t="n"/>
      <c r="V959" s="249" t="n"/>
      <c r="W959" s="250" t="n"/>
      <c r="X959" s="250" t="n"/>
      <c r="Y959" s="250" t="n"/>
      <c r="Z959" s="250" t="n"/>
      <c r="AA959" s="251" t="n"/>
      <c r="AB959" s="252" t="n"/>
      <c r="AC959" s="252" t="inlineStr"/>
      <c r="AD959" s="252" t="n"/>
      <c r="AE959" s="252" t="n"/>
      <c r="AF959" s="252" t="n"/>
      <c r="AG959" s="252" t="n"/>
      <c r="AH959" s="252" t="n"/>
      <c r="AI959" s="250" t="n"/>
      <c r="AJ959" s="250" t="n"/>
      <c r="AK959" s="253" t="n"/>
      <c r="AL959" s="250" t="n"/>
      <c r="AM959" s="250" t="n"/>
      <c r="AN959" s="250" t="n"/>
      <c r="AO959" s="250" t="n"/>
      <c r="AP959" s="254" t="n"/>
      <c r="AQ959" s="254" t="n"/>
      <c r="AR959" s="250" t="n"/>
      <c r="AS959" s="250" t="n"/>
      <c r="AT959" s="250" t="inlineStr">
        <is>
          <t>HM27</t>
        </is>
      </c>
      <c r="AU959" s="250" t="inlineStr">
        <is>
          <t>HM</t>
        </is>
      </c>
      <c r="AV959" s="250" t="n"/>
      <c r="AW959" s="250" t="n"/>
      <c r="AX959" s="250" t="n"/>
    </row>
    <row r="960" ht="28" customFormat="1" customHeight="1" s="70">
      <c r="A960" s="68" t="inlineStr">
        <is>
          <t>BBK_BIA</t>
        </is>
      </c>
      <c r="B960" s="68" t="inlineStr">
        <is>
          <t>TRANGBIA</t>
        </is>
      </c>
      <c r="C960" s="68" t="inlineStr">
        <is>
          <t>BBK_BIA.0959699</t>
        </is>
      </c>
      <c r="D960" s="69" t="n"/>
      <c r="E960" s="69" t="n"/>
      <c r="F960" s="69" t="n"/>
      <c r="G960" s="69" t="n"/>
      <c r="H960" s="69" t="n"/>
      <c r="J960" s="98" t="inlineStr">
        <is>
          <t>01</t>
        </is>
      </c>
      <c r="K960" s="98" t="inlineStr">
        <is>
          <t>TRANGBIA</t>
        </is>
      </c>
      <c r="L960" s="99">
        <f>"Cọc Khoan Nhồi"&amp;" - "&amp;L959</f>
        <v/>
      </c>
      <c r="M960" s="99" t="n"/>
      <c r="N960" s="99" t="n"/>
      <c r="O960" s="100" t="inlineStr">
        <is>
          <t>Cầu Km19+529.080</t>
        </is>
      </c>
      <c r="P960" s="101" t="n"/>
      <c r="Q960" s="101" t="n"/>
      <c r="R960" s="101" t="n"/>
      <c r="S960" s="101" t="n"/>
      <c r="T960" s="101" t="n"/>
      <c r="U960" s="101" t="n"/>
      <c r="V960" s="101" t="n"/>
      <c r="W960" s="102" t="n"/>
      <c r="X960" s="102" t="n"/>
      <c r="Y960" s="102" t="n"/>
      <c r="Z960" s="102" t="n"/>
      <c r="AA960" s="102" t="n"/>
      <c r="AB960" s="102" t="n"/>
      <c r="AC960" s="102" t="inlineStr"/>
      <c r="AD960" s="102" t="n"/>
      <c r="AE960" s="102" t="n"/>
      <c r="AF960" s="102" t="n"/>
      <c r="AG960" s="102" t="n"/>
      <c r="AH960" s="102" t="n"/>
      <c r="AI960" s="102" t="n"/>
      <c r="AJ960" s="102" t="n"/>
      <c r="AK960" s="100" t="n"/>
      <c r="AL960" s="102" t="n"/>
      <c r="AM960" s="102" t="n"/>
      <c r="AN960" s="102" t="n"/>
      <c r="AO960" s="102" t="n"/>
      <c r="AP960" s="103" t="inlineStr">
        <is>
          <t>Kết cấu cọc khoan nhồi mố, trụ</t>
        </is>
      </c>
      <c r="AQ960" s="104" t="n"/>
      <c r="AR960" s="102" t="inlineStr">
        <is>
          <t>Nhóm 1</t>
        </is>
      </c>
      <c r="AS960" s="102" t="n"/>
      <c r="AT960" s="102" t="inlineStr">
        <is>
          <t>HM27</t>
        </is>
      </c>
      <c r="AU960" s="102" t="inlineStr">
        <is>
          <t>TRANGBIA</t>
        </is>
      </c>
      <c r="AV960" s="102" t="n">
        <v>27</v>
      </c>
      <c r="AW960" s="102" t="n">
        <v>1</v>
      </c>
      <c r="AX960" s="102" t="n"/>
    </row>
    <row r="961" customFormat="1" s="70">
      <c r="A961" s="68" t="inlineStr">
        <is>
          <t>BBK_ML</t>
        </is>
      </c>
      <c r="B961" s="68" t="inlineStr">
        <is>
          <t>MUCLUC</t>
        </is>
      </c>
      <c r="C961" s="68" t="inlineStr">
        <is>
          <t>BBK_ML.0764620</t>
        </is>
      </c>
      <c r="D961" s="69" t="n"/>
      <c r="E961" s="69" t="n"/>
      <c r="F961" s="69" t="n"/>
      <c r="G961" s="69" t="n"/>
      <c r="H961" s="69" t="n"/>
      <c r="J961" s="98" t="inlineStr">
        <is>
          <t>02</t>
        </is>
      </c>
      <c r="K961" s="98" t="inlineStr">
        <is>
          <t>MUCLUC</t>
        </is>
      </c>
      <c r="L961" s="99" t="inlineStr">
        <is>
          <t>Danh mục biên bản Kiểm tra/Nghiệm thu</t>
        </is>
      </c>
      <c r="M961" s="99" t="n"/>
      <c r="N961" s="99" t="n"/>
      <c r="O961" s="100" t="inlineStr">
        <is>
          <t>Cầu Km19+529.080</t>
        </is>
      </c>
      <c r="P961" s="101" t="n"/>
      <c r="Q961" s="101" t="n"/>
      <c r="R961" s="101" t="n"/>
      <c r="S961" s="101" t="n"/>
      <c r="T961" s="101" t="n"/>
      <c r="U961" s="101" t="n"/>
      <c r="V961" s="101" t="n"/>
      <c r="W961" s="102" t="n"/>
      <c r="X961" s="102" t="n"/>
      <c r="Y961" s="102" t="n"/>
      <c r="Z961" s="102" t="n"/>
      <c r="AA961" s="102" t="n"/>
      <c r="AB961" s="102" t="n"/>
      <c r="AC961" s="102" t="inlineStr"/>
      <c r="AD961" s="102" t="n"/>
      <c r="AE961" s="102" t="n"/>
      <c r="AF961" s="102" t="n"/>
      <c r="AG961" s="102" t="n"/>
      <c r="AH961" s="102" t="n"/>
      <c r="AI961" s="102" t="n"/>
      <c r="AJ961" s="102" t="n"/>
      <c r="AK961" s="100" t="n"/>
      <c r="AL961" s="102" t="n"/>
      <c r="AM961" s="102" t="n"/>
      <c r="AN961" s="102" t="n"/>
      <c r="AO961" s="102" t="n"/>
      <c r="AP961" s="104" t="n"/>
      <c r="AQ961" s="104" t="n"/>
      <c r="AR961" s="102" t="inlineStr">
        <is>
          <t>Nhóm 1</t>
        </is>
      </c>
      <c r="AS961" s="102" t="n"/>
      <c r="AT961" s="102" t="inlineStr">
        <is>
          <t>HM27</t>
        </is>
      </c>
      <c r="AU961" s="102" t="inlineStr">
        <is>
          <t>MUCLUC</t>
        </is>
      </c>
      <c r="AV961" s="102" t="n">
        <v>27</v>
      </c>
      <c r="AW961" s="102" t="n">
        <v>1</v>
      </c>
      <c r="AX961" s="102" t="n"/>
    </row>
    <row r="962">
      <c r="A962" s="56" t="inlineStr">
        <is>
          <t>BBK680</t>
        </is>
      </c>
      <c r="B962" s="56" t="inlineStr">
        <is>
          <t>PYC</t>
        </is>
      </c>
      <c r="C962" s="56" t="inlineStr">
        <is>
          <t>BBK680.0404970</t>
        </is>
      </c>
      <c r="D962" s="57" t="n"/>
      <c r="E962" s="57" t="n"/>
      <c r="F962" s="57" t="n"/>
      <c r="G962" s="57" t="n"/>
      <c r="H962" s="57" t="n"/>
      <c r="J962" s="198" t="inlineStr">
        <is>
          <t>03</t>
        </is>
      </c>
      <c r="K962" s="198" t="inlineStr">
        <is>
          <t>PYC</t>
        </is>
      </c>
      <c r="L962" s="199" t="inlineStr">
        <is>
          <t>Phiếu yêu cầu nghiệm thu</t>
        </is>
      </c>
      <c r="M962" s="199" t="n"/>
      <c r="N962" s="199" t="n"/>
      <c r="O962" s="200" t="inlineStr">
        <is>
          <t>Cầu Km19+529.080</t>
        </is>
      </c>
      <c r="P962" s="201" t="n"/>
      <c r="Q962" s="201" t="n"/>
      <c r="R962" s="201">
        <f>R963</f>
        <v/>
      </c>
      <c r="S962" s="201" t="n"/>
      <c r="T962" s="201" t="n"/>
      <c r="U962" s="201" t="n"/>
      <c r="V962" s="201" t="n"/>
      <c r="W962" s="202" t="n"/>
      <c r="X962" s="202" t="n"/>
      <c r="Y962" s="202" t="n"/>
      <c r="Z962" s="202" t="n"/>
      <c r="AA962" s="203" t="n"/>
      <c r="AB962" s="204" t="inlineStr">
        <is>
          <t>09-XL-307HG/PYCNT/CKN/M2/C5</t>
        </is>
      </c>
      <c r="AC962" s="205" t="inlineStr"/>
      <c r="AD962" s="205" t="n"/>
      <c r="AE962" s="205" t="n"/>
      <c r="AF962" s="205" t="n"/>
      <c r="AG962" s="205" t="inlineStr">
        <is>
          <t>NTCV;BBKTĐK</t>
        </is>
      </c>
      <c r="AH962" s="204" t="inlineStr">
        <is>
          <t>&gt;=1;&lt;=5</t>
        </is>
      </c>
      <c r="AI962" s="202" t="n"/>
      <c r="AJ962" s="202" t="n"/>
      <c r="AK962" s="206" t="n"/>
      <c r="AL962" s="202" t="n"/>
      <c r="AM962" s="202" t="n"/>
      <c r="AN962" s="202" t="n"/>
      <c r="AO962" s="202" t="n"/>
      <c r="AP962" s="207" t="n"/>
      <c r="AQ962" s="207" t="n"/>
      <c r="AR962" s="202" t="inlineStr">
        <is>
          <t>Nhóm 1</t>
        </is>
      </c>
      <c r="AS962" s="202" t="n"/>
      <c r="AT962" s="202" t="inlineStr">
        <is>
          <t>HM27</t>
        </is>
      </c>
      <c r="AU962" s="202" t="inlineStr">
        <is>
          <t>PYC</t>
        </is>
      </c>
      <c r="AV962" s="202" t="n">
        <v>233</v>
      </c>
      <c r="AW962" s="202" t="n">
        <v>1</v>
      </c>
      <c r="AX962" s="202" t="n"/>
    </row>
    <row r="963" ht="28" customHeight="1" s="672">
      <c r="A963" s="56" t="inlineStr">
        <is>
          <t>BBK884</t>
        </is>
      </c>
      <c r="B963" s="56" t="inlineStr">
        <is>
          <t>BBKTĐK</t>
        </is>
      </c>
      <c r="C963" s="56" t="inlineStr">
        <is>
          <t>BBK884.0756076</t>
        </is>
      </c>
      <c r="D963" s="57" t="n"/>
      <c r="E963" s="57" t="n"/>
      <c r="F963" s="57" t="n"/>
      <c r="G963" s="57" t="n"/>
      <c r="H963" s="57" t="n"/>
      <c r="J963" s="198" t="inlineStr">
        <is>
          <t>04</t>
        </is>
      </c>
      <c r="K963" s="198" t="inlineStr">
        <is>
          <t>BBKTĐK</t>
        </is>
      </c>
      <c r="L963" s="199" t="inlineStr">
        <is>
          <t>Kiểm tra điều kiện trước khi thi công cọc khoan nhồi: Thiết bị, nhân lực, vật tư</t>
        </is>
      </c>
      <c r="M963" s="199" t="n"/>
      <c r="N963" s="199" t="n"/>
      <c r="O963" s="200" t="inlineStr">
        <is>
          <t>Cầu Km19+529.080</t>
        </is>
      </c>
      <c r="P963" s="201" t="n">
        <v>46223</v>
      </c>
      <c r="Q963" s="201">
        <f>P963</f>
        <v/>
      </c>
      <c r="R963" s="201">
        <f>Q963-1</f>
        <v/>
      </c>
      <c r="S963" s="201">
        <f>Q963</f>
        <v/>
      </c>
      <c r="T963" s="208" t="n">
        <v>0.2916666666666667</v>
      </c>
      <c r="U963" s="208">
        <f>T963+V963</f>
        <v/>
      </c>
      <c r="V963" s="208" t="n">
        <v>0.02083333333333333</v>
      </c>
      <c r="W963" s="202">
        <f>TEXT(T963,"HH""h""MM'")&amp;"÷"&amp;TEXT(U963,"HH""h""MM'")</f>
        <v/>
      </c>
      <c r="X963" s="202" t="n"/>
      <c r="Y963" s="202" t="n"/>
      <c r="Z963" s="202" t="inlineStr">
        <is>
          <t>01;</t>
        </is>
      </c>
      <c r="AA963" s="200" t="inlineStr">
        <is>
          <t>Kiểm tra điều kiện trước khi thi công Cọc khoan nhồi Mố M2 - Cọc C5</t>
        </is>
      </c>
      <c r="AB963" s="205" t="inlineStr">
        <is>
          <t>09-XL-307HG/PYCNT/CKN/M2/C5-1</t>
        </is>
      </c>
      <c r="AC963" s="205" t="inlineStr">
        <is>
          <t>09-XL-307HG/BBNT/CKN/M2/C5-1</t>
        </is>
      </c>
      <c r="AD963" s="205" t="n"/>
      <c r="AE963" s="205" t="n"/>
      <c r="AF963" s="205" t="n"/>
      <c r="AG963" s="205" t="n"/>
      <c r="AH963" s="205" t="n"/>
      <c r="AI963" s="207" t="n"/>
      <c r="AJ963" s="214" t="n"/>
      <c r="AK963" s="217" t="n"/>
      <c r="AL963" s="214" t="n"/>
      <c r="AM963" s="214" t="n"/>
      <c r="AN963" s="214" t="n"/>
      <c r="AO963" s="202" t="n"/>
      <c r="AP963" s="207" t="n"/>
      <c r="AQ963" s="207" t="n"/>
      <c r="AR963" s="202" t="inlineStr">
        <is>
          <t>Nhóm 1</t>
        </is>
      </c>
      <c r="AS963" s="202" t="n"/>
      <c r="AT963" s="202" t="inlineStr">
        <is>
          <t>HM27</t>
        </is>
      </c>
      <c r="AU963" s="202" t="inlineStr">
        <is>
          <t>BBKTĐK</t>
        </is>
      </c>
      <c r="AV963" s="202" t="n">
        <v>18</v>
      </c>
      <c r="AW963" s="202" t="n">
        <v>1</v>
      </c>
      <c r="AX963" s="202" t="n"/>
    </row>
    <row r="964" ht="28" customHeight="1" s="672">
      <c r="A964" s="56" t="inlineStr">
        <is>
          <t>BBK860</t>
        </is>
      </c>
      <c r="B964" s="56" t="inlineStr">
        <is>
          <t>PL01</t>
        </is>
      </c>
      <c r="C964" s="56" t="inlineStr">
        <is>
          <t>BBK860.0573792</t>
        </is>
      </c>
      <c r="D964" s="57" t="n"/>
      <c r="E964" s="57" t="n"/>
      <c r="F964" s="57" t="n"/>
      <c r="G964" s="57" t="n"/>
      <c r="H964" s="57" t="n"/>
      <c r="J964" s="198" t="inlineStr">
        <is>
          <t>05</t>
        </is>
      </c>
      <c r="K964" s="198" t="inlineStr">
        <is>
          <t>PL01</t>
        </is>
      </c>
      <c r="L964" s="199" t="inlineStr">
        <is>
          <t>Máy móc, thiết bị, nhân lực, vật tư thi công cọc khoan nhồi</t>
        </is>
      </c>
      <c r="M964" s="199" t="n"/>
      <c r="N964" s="199" t="n"/>
      <c r="O964" s="199" t="inlineStr">
        <is>
          <t>Cầu Km19+529.080</t>
        </is>
      </c>
      <c r="P964" s="201" t="n"/>
      <c r="Q964" s="201" t="n"/>
      <c r="R964" s="201" t="n"/>
      <c r="S964" s="201">
        <f>S963</f>
        <v/>
      </c>
      <c r="T964" s="201" t="n"/>
      <c r="U964" s="201" t="n"/>
      <c r="V964" s="201" t="n"/>
      <c r="W964" s="202" t="n"/>
      <c r="X964" s="202" t="n"/>
      <c r="Y964" s="202" t="n"/>
      <c r="Z964" s="198" t="inlineStr">
        <is>
          <t>01</t>
        </is>
      </c>
      <c r="AA964" s="203" t="n"/>
      <c r="AB964" s="204" t="inlineStr">
        <is>
          <t>09-XL-307HG/PYCNT/CKN/M2/C5-1</t>
        </is>
      </c>
      <c r="AC964" s="204">
        <f>AC963</f>
        <v/>
      </c>
      <c r="AD964" s="204" t="n"/>
      <c r="AE964" s="204" t="n"/>
      <c r="AF964" s="204" t="n"/>
      <c r="AG964" s="204" t="n"/>
      <c r="AH964" s="204" t="inlineStr">
        <is>
          <t>CKN</t>
        </is>
      </c>
      <c r="AI964" s="207" t="n"/>
      <c r="AJ964" s="202" t="n"/>
      <c r="AK964" s="206" t="n"/>
      <c r="AL964" s="202" t="n"/>
      <c r="AM964" s="202" t="n"/>
      <c r="AN964" s="202" t="n"/>
      <c r="AO964" s="202" t="n"/>
      <c r="AP964" s="207" t="n"/>
      <c r="AQ964" s="207" t="n"/>
      <c r="AR964" s="202" t="inlineStr">
        <is>
          <t>Nhóm 1</t>
        </is>
      </c>
      <c r="AS964" s="202" t="n"/>
      <c r="AT964" s="202" t="inlineStr">
        <is>
          <t>HM27</t>
        </is>
      </c>
      <c r="AU964" s="202" t="inlineStr">
        <is>
          <t>PL01</t>
        </is>
      </c>
      <c r="AV964" s="202" t="n">
        <v>18</v>
      </c>
      <c r="AW964" s="202" t="n">
        <v>1</v>
      </c>
      <c r="AX964" s="202" t="n"/>
    </row>
    <row r="965" ht="42" customHeight="1" s="672">
      <c r="A965" s="56" t="inlineStr">
        <is>
          <t>NTCV</t>
        </is>
      </c>
      <c r="B965" s="56" t="inlineStr">
        <is>
          <t>K.9999</t>
        </is>
      </c>
      <c r="C965" s="56" t="inlineStr">
        <is>
          <t>NTCV.0445046</t>
        </is>
      </c>
      <c r="D965" s="57" t="n"/>
      <c r="E965" s="57" t="n"/>
      <c r="F965" s="57" t="n"/>
      <c r="G965" s="57" t="n"/>
      <c r="H965" s="57" t="n"/>
      <c r="J965" s="209" t="inlineStr">
        <is>
          <t>06</t>
        </is>
      </c>
      <c r="K965" s="209" t="inlineStr">
        <is>
          <t>K.9999</t>
        </is>
      </c>
      <c r="L965" s="210" t="inlineStr">
        <is>
          <t>Kiểm tra ống vách, dung dịch bentonite trước khi khoan cọc khoan nhồi</t>
        </is>
      </c>
      <c r="M965" s="210" t="n"/>
      <c r="N965" s="210" t="n"/>
      <c r="O965" s="211" t="inlineStr">
        <is>
          <t>Cầu Km19+529.080</t>
        </is>
      </c>
      <c r="P965" s="212">
        <f>S963</f>
        <v/>
      </c>
      <c r="Q965" s="212">
        <f>P965</f>
        <v/>
      </c>
      <c r="R965" s="212">
        <f>Q965-1</f>
        <v/>
      </c>
      <c r="S965" s="212">
        <f>Q965</f>
        <v/>
      </c>
      <c r="T965" s="213">
        <f>U963</f>
        <v/>
      </c>
      <c r="U965" s="213">
        <f>T965+V965</f>
        <v/>
      </c>
      <c r="V965" s="213" t="n">
        <v>0.02083333333333333</v>
      </c>
      <c r="W965" s="214">
        <f>TEXT(T965,"HH""h""MM'")&amp;"÷"&amp;TEXT(U965,"HH""h""MM'")</f>
        <v/>
      </c>
      <c r="X965" s="214" t="n"/>
      <c r="Y965" s="214" t="n"/>
      <c r="Z965" s="214" t="inlineStr">
        <is>
          <t>02; 02a</t>
        </is>
      </c>
      <c r="AA965" s="215" t="inlineStr">
        <is>
          <t>Kiểm tra ống vách, dung dịch bentonite Cọc khoan nhồi Mố M2 - Cọc C5 trước khi khoan</t>
        </is>
      </c>
      <c r="AB965" s="204" t="inlineStr">
        <is>
          <t>09-XL-307HG/PYCNT/CKN/M2/C5-1</t>
        </is>
      </c>
      <c r="AC965" s="204" t="inlineStr">
        <is>
          <t>09-XL-307HG/BBNT/CKN/M2/C5-2</t>
        </is>
      </c>
      <c r="AD965" s="204" t="n"/>
      <c r="AE965" s="204" t="n"/>
      <c r="AF965" s="204" t="n"/>
      <c r="AG965" s="204" t="n"/>
      <c r="AH965" s="204" t="n"/>
      <c r="AI965" s="216" t="n"/>
      <c r="AJ965" s="214" t="n"/>
      <c r="AK965" s="217" t="n"/>
      <c r="AL965" s="214" t="n"/>
      <c r="AM965" s="214" t="n"/>
      <c r="AN965" s="214" t="n"/>
      <c r="AO965" s="214" t="n"/>
      <c r="AP965" s="216" t="n"/>
      <c r="AQ965" s="216" t="n"/>
      <c r="AR965" s="214" t="inlineStr">
        <is>
          <t>Nhóm 1</t>
        </is>
      </c>
      <c r="AS965" s="214" t="n"/>
      <c r="AT965" s="214" t="inlineStr">
        <is>
          <t>HM27</t>
        </is>
      </c>
      <c r="AU965" s="214" t="inlineStr">
        <is>
          <t>NTCV</t>
        </is>
      </c>
      <c r="AV965" s="214" t="n">
        <v>240</v>
      </c>
      <c r="AW965" s="214" t="n">
        <v>1</v>
      </c>
      <c r="AX965" s="214" t="n"/>
    </row>
    <row r="966">
      <c r="A966" s="56" t="inlineStr">
        <is>
          <t>BBK170</t>
        </is>
      </c>
      <c r="B966" s="56" t="inlineStr">
        <is>
          <t>PL02</t>
        </is>
      </c>
      <c r="C966" s="56" t="inlineStr">
        <is>
          <t>BBK170.0045578</t>
        </is>
      </c>
      <c r="D966" s="57" t="n"/>
      <c r="E966" s="57" t="n"/>
      <c r="F966" s="57" t="n"/>
      <c r="G966" s="57" t="n"/>
      <c r="H966" s="57" t="n"/>
      <c r="J966" s="198" t="inlineStr">
        <is>
          <t>07</t>
        </is>
      </c>
      <c r="K966" s="198" t="inlineStr">
        <is>
          <t>PL02</t>
        </is>
      </c>
      <c r="L966" s="199" t="inlineStr">
        <is>
          <t>Kiểm tra ống vách thi công trước khi hạ</t>
        </is>
      </c>
      <c r="M966" s="199" t="n"/>
      <c r="N966" s="199" t="n"/>
      <c r="O966" s="200" t="inlineStr">
        <is>
          <t>Cầu Km19+529.080</t>
        </is>
      </c>
      <c r="P966" s="201" t="n"/>
      <c r="Q966" s="201" t="n"/>
      <c r="R966" s="201" t="n"/>
      <c r="S966" s="201">
        <f>S965</f>
        <v/>
      </c>
      <c r="T966" s="201" t="n"/>
      <c r="U966" s="201" t="n"/>
      <c r="V966" s="201" t="n"/>
      <c r="W966" s="202" t="n"/>
      <c r="X966" s="202" t="n"/>
      <c r="Y966" s="202" t="n"/>
      <c r="Z966" s="198" t="inlineStr">
        <is>
          <t>02</t>
        </is>
      </c>
      <c r="AA966" s="203" t="n"/>
      <c r="AB966" s="204" t="inlineStr">
        <is>
          <t>09-XL-307HG/PYCNT/CKN/M2/C5-1</t>
        </is>
      </c>
      <c r="AC966" s="204">
        <f>AC965</f>
        <v/>
      </c>
      <c r="AD966" s="204" t="n"/>
      <c r="AE966" s="204" t="n"/>
      <c r="AF966" s="204" t="n"/>
      <c r="AG966" s="204" t="n"/>
      <c r="AH966" s="204" t="inlineStr">
        <is>
          <t>CKN</t>
        </is>
      </c>
      <c r="AI966" s="207" t="n"/>
      <c r="AJ966" s="202" t="n"/>
      <c r="AK966" s="206" t="n"/>
      <c r="AL966" s="202" t="n"/>
      <c r="AM966" s="202" t="n"/>
      <c r="AN966" s="202" t="n"/>
      <c r="AO966" s="202" t="n"/>
      <c r="AP966" s="207" t="n"/>
      <c r="AQ966" s="207" t="inlineStr">
        <is>
          <t>Ảnh\PL02 CKN.png</t>
        </is>
      </c>
      <c r="AR966" s="202" t="inlineStr">
        <is>
          <t>Nhóm 1</t>
        </is>
      </c>
      <c r="AS966" s="202" t="n"/>
      <c r="AT966" s="202" t="inlineStr">
        <is>
          <t>HM27</t>
        </is>
      </c>
      <c r="AU966" s="202" t="inlineStr">
        <is>
          <t>PL02</t>
        </is>
      </c>
      <c r="AV966" s="202" t="n">
        <v>18</v>
      </c>
      <c r="AW966" s="202" t="n">
        <v>1</v>
      </c>
      <c r="AX966" s="202" t="n"/>
    </row>
    <row r="967">
      <c r="A967" s="56" t="inlineStr">
        <is>
          <t>BBK721</t>
        </is>
      </c>
      <c r="B967" s="56" t="inlineStr">
        <is>
          <t>PL02a</t>
        </is>
      </c>
      <c r="C967" s="56" t="inlineStr">
        <is>
          <t>BBK721.0038600</t>
        </is>
      </c>
      <c r="D967" s="57" t="n"/>
      <c r="E967" s="57" t="n"/>
      <c r="F967" s="57" t="n"/>
      <c r="G967" s="57" t="n"/>
      <c r="H967" s="57" t="n"/>
      <c r="J967" s="198" t="inlineStr">
        <is>
          <t>08</t>
        </is>
      </c>
      <c r="K967" s="198" t="inlineStr">
        <is>
          <t>PL02a</t>
        </is>
      </c>
      <c r="L967" s="199" t="inlineStr">
        <is>
          <t>Kiểm tra ống vách thi công trước khi hạ</t>
        </is>
      </c>
      <c r="M967" s="199" t="n"/>
      <c r="N967" s="199" t="n"/>
      <c r="O967" s="200" t="inlineStr">
        <is>
          <t>Cầu Km19+529.080</t>
        </is>
      </c>
      <c r="P967" s="201" t="n"/>
      <c r="Q967" s="201" t="n"/>
      <c r="R967" s="201" t="n"/>
      <c r="S967" s="201">
        <f>S966</f>
        <v/>
      </c>
      <c r="T967" s="201" t="n"/>
      <c r="U967" s="201" t="n"/>
      <c r="V967" s="201" t="n"/>
      <c r="W967" s="202" t="n"/>
      <c r="X967" s="202" t="n"/>
      <c r="Y967" s="202" t="n"/>
      <c r="Z967" s="198" t="inlineStr">
        <is>
          <t>02a</t>
        </is>
      </c>
      <c r="AA967" s="203" t="n"/>
      <c r="AB967" s="204" t="inlineStr">
        <is>
          <t>09-XL-307HG/PYCNT/CKN/M2/C5-1</t>
        </is>
      </c>
      <c r="AC967" s="204">
        <f>AC966</f>
        <v/>
      </c>
      <c r="AD967" s="204" t="n"/>
      <c r="AE967" s="204" t="n"/>
      <c r="AF967" s="204" t="n"/>
      <c r="AG967" s="204" t="n"/>
      <c r="AH967" s="204" t="n"/>
      <c r="AI967" s="207" t="n"/>
      <c r="AJ967" s="202" t="n"/>
      <c r="AK967" s="206" t="n"/>
      <c r="AL967" s="202" t="n"/>
      <c r="AM967" s="202" t="n"/>
      <c r="AN967" s="202" t="n"/>
      <c r="AO967" s="202" t="n"/>
      <c r="AP967" s="207" t="n"/>
      <c r="AQ967" s="207" t="n"/>
      <c r="AR967" s="202" t="inlineStr">
        <is>
          <t>Nhóm 1</t>
        </is>
      </c>
      <c r="AS967" s="202" t="n"/>
      <c r="AT967" s="202" t="inlineStr">
        <is>
          <t>HM27</t>
        </is>
      </c>
      <c r="AU967" s="202" t="inlineStr">
        <is>
          <t>PL02a</t>
        </is>
      </c>
      <c r="AV967" s="202" t="n">
        <v>18</v>
      </c>
      <c r="AW967" s="202" t="n">
        <v>1</v>
      </c>
      <c r="AX967" s="202" t="n"/>
    </row>
    <row r="968" ht="28" customHeight="1" s="672">
      <c r="A968" s="56" t="inlineStr">
        <is>
          <t>NTCV</t>
        </is>
      </c>
      <c r="B968" s="56" t="inlineStr">
        <is>
          <t>K.9999</t>
        </is>
      </c>
      <c r="C968" s="56" t="inlineStr">
        <is>
          <t>NTCV.0363182</t>
        </is>
      </c>
      <c r="D968" s="57" t="n"/>
      <c r="E968" s="57" t="n"/>
      <c r="F968" s="57" t="n"/>
      <c r="G968" s="57" t="n"/>
      <c r="H968" s="57" t="n"/>
      <c r="J968" s="209" t="inlineStr">
        <is>
          <t>09</t>
        </is>
      </c>
      <c r="K968" s="209" t="inlineStr">
        <is>
          <t>K.9999</t>
        </is>
      </c>
      <c r="L968" s="210" t="inlineStr">
        <is>
          <t>Kiểm tra định vị tim cọc khoan nhồi, hạ ống vách thi công</t>
        </is>
      </c>
      <c r="M968" s="210" t="n"/>
      <c r="N968" s="210" t="n"/>
      <c r="O968" s="211" t="inlineStr">
        <is>
          <t>Cầu Km19+529.080</t>
        </is>
      </c>
      <c r="P968" s="212">
        <f>S965</f>
        <v/>
      </c>
      <c r="Q968" s="212">
        <f>P968</f>
        <v/>
      </c>
      <c r="R968" s="212">
        <f>Q968-1</f>
        <v/>
      </c>
      <c r="S968" s="212">
        <f>Q968</f>
        <v/>
      </c>
      <c r="T968" s="213">
        <f>U965</f>
        <v/>
      </c>
      <c r="U968" s="213">
        <f>T968+V968</f>
        <v/>
      </c>
      <c r="V968" s="213" t="n">
        <v>0.02083333333333333</v>
      </c>
      <c r="W968" s="214">
        <f>TEXT(T968,"HH""h""MM'")&amp;"÷"&amp;TEXT(U968,"HH""h""MM'")</f>
        <v/>
      </c>
      <c r="X968" s="214" t="n"/>
      <c r="Y968" s="214" t="n"/>
      <c r="Z968" s="214" t="inlineStr">
        <is>
          <t>03;</t>
        </is>
      </c>
      <c r="AA968" s="215" t="inlineStr">
        <is>
          <t>Kiểm tra định vị Cọc khoan nhồi Mố M2 - Cọc C5</t>
        </is>
      </c>
      <c r="AB968" s="204" t="inlineStr">
        <is>
          <t>09-XL-307HG/PYCNT/CKN/M2/C5-1</t>
        </is>
      </c>
      <c r="AC968" s="204" t="inlineStr">
        <is>
          <t>09-XL-307HG/BBNT/CKN/M2/C5-3</t>
        </is>
      </c>
      <c r="AD968" s="204" t="n"/>
      <c r="AE968" s="204" t="n"/>
      <c r="AF968" s="204" t="n"/>
      <c r="AG968" s="204" t="n"/>
      <c r="AH968" s="204" t="n"/>
      <c r="AI968" s="216" t="n"/>
      <c r="AJ968" s="214" t="n"/>
      <c r="AK968" s="217" t="n"/>
      <c r="AL968" s="214" t="n"/>
      <c r="AM968" s="214" t="n"/>
      <c r="AN968" s="214" t="n"/>
      <c r="AO968" s="214" t="n"/>
      <c r="AP968" s="216" t="n"/>
      <c r="AQ968" s="216" t="n"/>
      <c r="AR968" s="214" t="inlineStr">
        <is>
          <t>Nhóm 1</t>
        </is>
      </c>
      <c r="AS968" s="214" t="n"/>
      <c r="AT968" s="214" t="inlineStr">
        <is>
          <t>HM27</t>
        </is>
      </c>
      <c r="AU968" s="214" t="inlineStr">
        <is>
          <t>NTCV</t>
        </is>
      </c>
      <c r="AV968" s="214" t="n">
        <v>241</v>
      </c>
      <c r="AW968" s="214" t="n">
        <v>2</v>
      </c>
      <c r="AX968" s="214" t="n"/>
    </row>
    <row r="969" ht="28" customHeight="1" s="672">
      <c r="A969" s="56" t="inlineStr">
        <is>
          <t>BBK478</t>
        </is>
      </c>
      <c r="B969" s="56" t="inlineStr">
        <is>
          <t>PL03</t>
        </is>
      </c>
      <c r="C969" s="56" t="inlineStr">
        <is>
          <t>BBK478.0415988</t>
        </is>
      </c>
      <c r="D969" s="57" t="n"/>
      <c r="E969" s="57" t="n"/>
      <c r="F969" s="57" t="n"/>
      <c r="G969" s="57" t="n"/>
      <c r="H969" s="57" t="n"/>
      <c r="J969" s="198" t="inlineStr">
        <is>
          <t>10</t>
        </is>
      </c>
      <c r="K969" s="198" t="inlineStr">
        <is>
          <t>PL03</t>
        </is>
      </c>
      <c r="L969" s="199" t="inlineStr">
        <is>
          <t>Kiểm tra định vị tim cọc khoan nhồi, hạ ống vách thi công</t>
        </is>
      </c>
      <c r="M969" s="199" t="n"/>
      <c r="N969" s="199" t="n"/>
      <c r="O969" s="200" t="inlineStr">
        <is>
          <t>Cầu Km19+529.080</t>
        </is>
      </c>
      <c r="P969" s="201" t="n"/>
      <c r="Q969" s="201" t="n"/>
      <c r="R969" s="201" t="n"/>
      <c r="S969" s="201">
        <f>S968</f>
        <v/>
      </c>
      <c r="T969" s="201" t="n"/>
      <c r="U969" s="201" t="n"/>
      <c r="V969" s="201" t="n"/>
      <c r="W969" s="202" t="n"/>
      <c r="X969" s="202" t="n"/>
      <c r="Y969" s="202" t="n"/>
      <c r="Z969" s="198" t="inlineStr">
        <is>
          <t>03</t>
        </is>
      </c>
      <c r="AA969" s="203" t="n"/>
      <c r="AB969" s="204" t="inlineStr">
        <is>
          <t>09-XL-307HG/PYCNT/CKN/M2/C5-1</t>
        </is>
      </c>
      <c r="AC969" s="204">
        <f>AC968</f>
        <v/>
      </c>
      <c r="AD969" s="255" t="n">
        <v>2481813.6</v>
      </c>
      <c r="AE969" s="255" t="n">
        <v>382455.811</v>
      </c>
      <c r="AF969" s="255" t="n">
        <v>188.836</v>
      </c>
      <c r="AG969" s="255" t="n"/>
      <c r="AH969" s="204" t="inlineStr">
        <is>
          <t>&gt;=439;&lt;=457</t>
        </is>
      </c>
      <c r="AI969" s="207" t="n"/>
      <c r="AJ969" s="202" t="n"/>
      <c r="AK969" s="206" t="n"/>
      <c r="AL969" s="202" t="n"/>
      <c r="AM969" s="202" t="n"/>
      <c r="AN969" s="202" t="n"/>
      <c r="AO969" s="202" t="n"/>
      <c r="AP969" s="207" t="n"/>
      <c r="AQ969" s="207" t="n"/>
      <c r="AR969" s="202" t="inlineStr">
        <is>
          <t>Nhóm 1</t>
        </is>
      </c>
      <c r="AS969" s="202" t="n"/>
      <c r="AT969" s="202" t="inlineStr">
        <is>
          <t>HM27</t>
        </is>
      </c>
      <c r="AU969" s="202" t="inlineStr">
        <is>
          <t>PL03</t>
        </is>
      </c>
      <c r="AV969" s="202" t="n">
        <v>18</v>
      </c>
      <c r="AW969" s="202" t="n">
        <v>1</v>
      </c>
      <c r="AX969" s="202" t="n"/>
    </row>
    <row r="970" ht="28" customHeight="1" s="672">
      <c r="A970" s="56" t="inlineStr">
        <is>
          <t>NTCV</t>
        </is>
      </c>
      <c r="B970" s="56" t="inlineStr">
        <is>
          <t>K.9999</t>
        </is>
      </c>
      <c r="C970" s="56" t="inlineStr">
        <is>
          <t>NTCV.0365418</t>
        </is>
      </c>
      <c r="D970" s="57" t="n"/>
      <c r="E970" s="57" t="n"/>
      <c r="F970" s="57" t="n"/>
      <c r="G970" s="57" t="n"/>
      <c r="H970" s="57" t="n"/>
      <c r="J970" s="209" t="inlineStr">
        <is>
          <t>11</t>
        </is>
      </c>
      <c r="K970" s="209" t="inlineStr">
        <is>
          <t>K.9999</t>
        </is>
      </c>
      <c r="L970" s="210" t="inlineStr">
        <is>
          <t>Nghiệm thu lồng thép cọc khoan nhồi trước khi hạ</t>
        </is>
      </c>
      <c r="M970" s="210" t="n"/>
      <c r="N970" s="210" t="n"/>
      <c r="O970" s="211" t="inlineStr">
        <is>
          <t>Cầu Km19+529.080</t>
        </is>
      </c>
      <c r="P970" s="212">
        <f>S968</f>
        <v/>
      </c>
      <c r="Q970" s="212">
        <f>P970</f>
        <v/>
      </c>
      <c r="R970" s="212">
        <f>Q970-1</f>
        <v/>
      </c>
      <c r="S970" s="212">
        <f>Q970</f>
        <v/>
      </c>
      <c r="T970" s="213">
        <f>U968</f>
        <v/>
      </c>
      <c r="U970" s="213">
        <f>T970+V970</f>
        <v/>
      </c>
      <c r="V970" s="213" t="n">
        <v>0.02083333333333333</v>
      </c>
      <c r="W970" s="214">
        <f>TEXT(T970,"HH""h""MM'")&amp;"÷"&amp;TEXT(U970,"HH""h""MM'")</f>
        <v/>
      </c>
      <c r="X970" s="214" t="n"/>
      <c r="Y970" s="214" t="n"/>
      <c r="Z970" s="214" t="inlineStr">
        <is>
          <t>04;</t>
        </is>
      </c>
      <c r="AA970" s="215" t="inlineStr">
        <is>
          <t>Nghiệm thu lồng thép Cọc khoan nhồi Mố M2 - Cọc C5</t>
        </is>
      </c>
      <c r="AB970" s="204" t="inlineStr">
        <is>
          <t>09-XL-307HG/PYCNT/CKN/M2/C5-1</t>
        </is>
      </c>
      <c r="AC970" s="204" t="inlineStr">
        <is>
          <t>09-XL-307HG/BBNT/CKN/M2/C5-4</t>
        </is>
      </c>
      <c r="AD970" s="204" t="n"/>
      <c r="AE970" s="204" t="n"/>
      <c r="AF970" s="204" t="n"/>
      <c r="AG970" s="204" t="n"/>
      <c r="AH970" s="204" t="n"/>
      <c r="AI970" s="216" t="n"/>
      <c r="AJ970" s="214" t="n"/>
      <c r="AK970" s="217" t="n"/>
      <c r="AL970" s="214" t="n"/>
      <c r="AM970" s="214" t="n"/>
      <c r="AN970" s="214" t="n"/>
      <c r="AO970" s="214" t="n"/>
      <c r="AP970" s="216" t="n"/>
      <c r="AQ970" s="216" t="n"/>
      <c r="AR970" s="214" t="inlineStr">
        <is>
          <t>Nhóm 1</t>
        </is>
      </c>
      <c r="AS970" s="214" t="n"/>
      <c r="AT970" s="214" t="inlineStr">
        <is>
          <t>HM27</t>
        </is>
      </c>
      <c r="AU970" s="214" t="inlineStr">
        <is>
          <t>NTCV</t>
        </is>
      </c>
      <c r="AV970" s="214" t="n">
        <v>246</v>
      </c>
      <c r="AW970" s="214" t="n">
        <v>3</v>
      </c>
      <c r="AX970" s="214" t="n"/>
    </row>
    <row r="971">
      <c r="A971" s="56" t="inlineStr">
        <is>
          <t>BBK096</t>
        </is>
      </c>
      <c r="B971" s="56" t="inlineStr">
        <is>
          <t>PL04</t>
        </is>
      </c>
      <c r="C971" s="56" t="inlineStr">
        <is>
          <t>BBK096.0631080</t>
        </is>
      </c>
      <c r="D971" s="57" t="n"/>
      <c r="E971" s="57" t="n"/>
      <c r="F971" s="57" t="n"/>
      <c r="G971" s="57" t="n"/>
      <c r="H971" s="57" t="n"/>
      <c r="J971" s="198" t="inlineStr">
        <is>
          <t>12</t>
        </is>
      </c>
      <c r="K971" s="198" t="inlineStr">
        <is>
          <t>PL04</t>
        </is>
      </c>
      <c r="L971" s="199" t="inlineStr">
        <is>
          <t>Nghiệm thu lồng thép cọc khoan nhồi trước khi hạ</t>
        </is>
      </c>
      <c r="M971" s="199" t="n"/>
      <c r="N971" s="199" t="n"/>
      <c r="O971" s="200" t="inlineStr">
        <is>
          <t>Cầu Km19+529.080</t>
        </is>
      </c>
      <c r="P971" s="201" t="n"/>
      <c r="Q971" s="201" t="n"/>
      <c r="R971" s="201" t="n"/>
      <c r="S971" s="201">
        <f>S970</f>
        <v/>
      </c>
      <c r="T971" s="201" t="n"/>
      <c r="U971" s="201" t="n"/>
      <c r="V971" s="201" t="n"/>
      <c r="W971" s="202" t="n"/>
      <c r="X971" s="202" t="n"/>
      <c r="Y971" s="202" t="n"/>
      <c r="Z971" s="198" t="inlineStr">
        <is>
          <t>04</t>
        </is>
      </c>
      <c r="AA971" s="203" t="n"/>
      <c r="AB971" s="204" t="inlineStr">
        <is>
          <t>09-XL-307HG/PYCNT/CKN/M2/C5-1</t>
        </is>
      </c>
      <c r="AC971" s="204">
        <f>AC970</f>
        <v/>
      </c>
      <c r="AD971" s="204" t="n"/>
      <c r="AE971" s="204" t="n"/>
      <c r="AF971" s="204" t="n"/>
      <c r="AG971" s="204" t="n"/>
      <c r="AH971" s="204" t="inlineStr">
        <is>
          <t>M2</t>
        </is>
      </c>
      <c r="AI971" s="207" t="n"/>
      <c r="AJ971" s="202" t="n"/>
      <c r="AK971" s="206" t="n"/>
      <c r="AL971" s="202" t="n"/>
      <c r="AM971" s="202" t="n"/>
      <c r="AN971" s="202" t="n"/>
      <c r="AO971" s="202" t="n"/>
      <c r="AP971" s="207" t="n"/>
      <c r="AQ971" s="207" t="n"/>
      <c r="AR971" s="202" t="inlineStr">
        <is>
          <t>Nhóm 1</t>
        </is>
      </c>
      <c r="AS971" s="202" t="n"/>
      <c r="AT971" s="202" t="inlineStr">
        <is>
          <t>HM27</t>
        </is>
      </c>
      <c r="AU971" s="202" t="inlineStr">
        <is>
          <t>PL04</t>
        </is>
      </c>
      <c r="AV971" s="202" t="n">
        <v>18</v>
      </c>
      <c r="AW971" s="202" t="n">
        <v>1</v>
      </c>
      <c r="AX971" s="202" t="n"/>
    </row>
    <row r="972" ht="28" customHeight="1" s="672">
      <c r="A972" s="56" t="inlineStr">
        <is>
          <t>NTCV</t>
        </is>
      </c>
      <c r="B972" s="56" t="inlineStr">
        <is>
          <t>K.9999</t>
        </is>
      </c>
      <c r="C972" s="56" t="inlineStr">
        <is>
          <t>NTCV.0179736</t>
        </is>
      </c>
      <c r="D972" s="57" t="n"/>
      <c r="E972" s="57" t="n"/>
      <c r="F972" s="57" t="n"/>
      <c r="G972" s="57" t="n"/>
      <c r="H972" s="57" t="n"/>
      <c r="J972" s="209" t="inlineStr">
        <is>
          <t>13</t>
        </is>
      </c>
      <c r="K972" s="209" t="inlineStr">
        <is>
          <t>K.9999</t>
        </is>
      </c>
      <c r="L972" s="210" t="inlineStr">
        <is>
          <t xml:space="preserve">Kiểm tra công tác khoan tạo lỗ cọc khoan nhồi </t>
        </is>
      </c>
      <c r="M972" s="210" t="n"/>
      <c r="N972" s="210" t="n"/>
      <c r="O972" s="211" t="inlineStr">
        <is>
          <t>Cầu Km19+529.080</t>
        </is>
      </c>
      <c r="P972" s="212">
        <f>S970</f>
        <v/>
      </c>
      <c r="Q972" s="212">
        <f>P972</f>
        <v/>
      </c>
      <c r="R972" s="212">
        <f>Q972-1</f>
        <v/>
      </c>
      <c r="S972" s="212">
        <f>Q972</f>
        <v/>
      </c>
      <c r="T972" s="213">
        <f>U970</f>
        <v/>
      </c>
      <c r="U972" s="213">
        <f>T972+V972</f>
        <v/>
      </c>
      <c r="V972" s="213" t="n">
        <v>0.3402777777777778</v>
      </c>
      <c r="W972" s="214">
        <f>TEXT(T972,"HH""h""MM'")&amp;"÷"&amp;TEXT(U972,"HH""h""MM'")</f>
        <v/>
      </c>
      <c r="X972" s="214" t="n"/>
      <c r="Y972" s="214" t="n"/>
      <c r="Z972" s="214" t="inlineStr">
        <is>
          <t>05;</t>
        </is>
      </c>
      <c r="AA972" s="215" t="inlineStr">
        <is>
          <t>Kiểm tra công tác khoan tạo lỗ Cọc khoan nhồi Mố M2 - Cọc C5</t>
        </is>
      </c>
      <c r="AB972" s="204" t="inlineStr">
        <is>
          <t>09-XL-307HG/PYCNT/CKN/M2/C5-1</t>
        </is>
      </c>
      <c r="AC972" s="204" t="inlineStr">
        <is>
          <t>09-XL-307HG/BBNT/CKN/M2/C5-5</t>
        </is>
      </c>
      <c r="AD972" s="204" t="n"/>
      <c r="AE972" s="204" t="n"/>
      <c r="AF972" s="204" t="n"/>
      <c r="AG972" s="204" t="n"/>
      <c r="AH972" s="204" t="n"/>
      <c r="AI972" s="216" t="n"/>
      <c r="AJ972" s="214" t="n"/>
      <c r="AK972" s="217" t="n"/>
      <c r="AL972" s="214" t="n"/>
      <c r="AM972" s="214" t="n"/>
      <c r="AN972" s="214" t="n"/>
      <c r="AO972" s="214" t="n"/>
      <c r="AP972" s="216" t="n"/>
      <c r="AQ972" s="216" t="n"/>
      <c r="AR972" s="214" t="inlineStr">
        <is>
          <t>Nhóm 1</t>
        </is>
      </c>
      <c r="AS972" s="214" t="n"/>
      <c r="AT972" s="214" t="inlineStr">
        <is>
          <t>HM27</t>
        </is>
      </c>
      <c r="AU972" s="214" t="inlineStr">
        <is>
          <t>NTCV</t>
        </is>
      </c>
      <c r="AV972" s="214" t="n">
        <v>247</v>
      </c>
      <c r="AW972" s="214" t="n">
        <v>4</v>
      </c>
      <c r="AX972" s="214" t="n"/>
    </row>
    <row r="973">
      <c r="A973" s="56" t="inlineStr">
        <is>
          <t>BBK638</t>
        </is>
      </c>
      <c r="B973" s="56" t="inlineStr">
        <is>
          <t>PL05</t>
        </is>
      </c>
      <c r="C973" s="56" t="inlineStr">
        <is>
          <t>BBK638.0434343</t>
        </is>
      </c>
      <c r="D973" s="57" t="n"/>
      <c r="E973" s="57" t="n"/>
      <c r="F973" s="57" t="n"/>
      <c r="G973" s="57" t="n"/>
      <c r="H973" s="57" t="n"/>
      <c r="J973" s="198" t="inlineStr">
        <is>
          <t>14</t>
        </is>
      </c>
      <c r="K973" s="198" t="inlineStr">
        <is>
          <t>PL05</t>
        </is>
      </c>
      <c r="L973" s="199" t="inlineStr">
        <is>
          <t>Kiểm tra công tác khoan tạo lỗ cọc khoan nhồi</t>
        </is>
      </c>
      <c r="M973" s="199" t="n"/>
      <c r="N973" s="199" t="n"/>
      <c r="O973" s="200" t="inlineStr">
        <is>
          <t>Cầu Km19+529.080</t>
        </is>
      </c>
      <c r="P973" s="201" t="n"/>
      <c r="Q973" s="201" t="n"/>
      <c r="R973" s="201" t="n"/>
      <c r="S973" s="201">
        <f>S972</f>
        <v/>
      </c>
      <c r="T973" s="208">
        <f>T972</f>
        <v/>
      </c>
      <c r="U973" s="208" t="n">
        <v>0.7152777777777778</v>
      </c>
      <c r="V973" s="208">
        <f>U973-T973</f>
        <v/>
      </c>
      <c r="W973" s="202" t="n"/>
      <c r="X973" s="202" t="n"/>
      <c r="Y973" s="202" t="n"/>
      <c r="Z973" s="198" t="inlineStr">
        <is>
          <t>05</t>
        </is>
      </c>
      <c r="AA973" s="203" t="n"/>
      <c r="AB973" s="204" t="inlineStr">
        <is>
          <t>09-XL-307HG/PYCNT/CKN/M2/C5</t>
        </is>
      </c>
      <c r="AC973" s="204">
        <f>AC972</f>
        <v/>
      </c>
      <c r="AD973" s="204" t="n"/>
      <c r="AE973" s="204" t="n"/>
      <c r="AF973" s="255" t="n">
        <v>188.836</v>
      </c>
      <c r="AG973" s="255" t="n"/>
      <c r="AH973" s="204" t="inlineStr">
        <is>
          <t>M2-C5</t>
        </is>
      </c>
      <c r="AI973" s="207" t="n"/>
      <c r="AJ973" s="202" t="n"/>
      <c r="AK973" s="206" t="n"/>
      <c r="AL973" s="202" t="n"/>
      <c r="AM973" s="202" t="n"/>
      <c r="AN973" s="202" t="n"/>
      <c r="AO973" s="202" t="n"/>
      <c r="AP973" s="207" t="n"/>
      <c r="AQ973" s="207" t="n"/>
      <c r="AR973" s="202" t="inlineStr">
        <is>
          <t>Nhóm 1</t>
        </is>
      </c>
      <c r="AS973" s="202" t="n"/>
      <c r="AT973" s="202" t="inlineStr">
        <is>
          <t>HM27</t>
        </is>
      </c>
      <c r="AU973" s="202" t="inlineStr">
        <is>
          <t>PL05</t>
        </is>
      </c>
      <c r="AV973" s="202" t="n">
        <v>18</v>
      </c>
      <c r="AW973" s="202" t="n">
        <v>1</v>
      </c>
      <c r="AX973" s="202" t="n"/>
    </row>
    <row r="974">
      <c r="A974" s="56" t="inlineStr">
        <is>
          <t>BBK680</t>
        </is>
      </c>
      <c r="B974" s="56" t="inlineStr">
        <is>
          <t>PYC</t>
        </is>
      </c>
      <c r="C974" s="56" t="inlineStr">
        <is>
          <t>BBK680.0970589</t>
        </is>
      </c>
      <c r="D974" s="57" t="n"/>
      <c r="E974" s="57" t="n"/>
      <c r="F974" s="57" t="n"/>
      <c r="G974" s="57" t="n"/>
      <c r="H974" s="57" t="n"/>
      <c r="J974" s="198" t="inlineStr">
        <is>
          <t>15</t>
        </is>
      </c>
      <c r="K974" s="198" t="inlineStr">
        <is>
          <t>PYC</t>
        </is>
      </c>
      <c r="L974" s="199" t="inlineStr">
        <is>
          <t>Phiếu yêu cầu nghiệm thu</t>
        </is>
      </c>
      <c r="M974" s="199" t="n"/>
      <c r="N974" s="199" t="n"/>
      <c r="O974" s="200" t="inlineStr">
        <is>
          <t>Cầu Km19+529.080</t>
        </is>
      </c>
      <c r="P974" s="201" t="n"/>
      <c r="Q974" s="201" t="n"/>
      <c r="R974" s="201">
        <f>R975</f>
        <v/>
      </c>
      <c r="S974" s="201" t="n"/>
      <c r="T974" s="201" t="n"/>
      <c r="U974" s="201" t="n"/>
      <c r="V974" s="201" t="n"/>
      <c r="W974" s="202" t="n"/>
      <c r="X974" s="202" t="n"/>
      <c r="Y974" s="202" t="n"/>
      <c r="Z974" s="202" t="n"/>
      <c r="AA974" s="203" t="n"/>
      <c r="AB974" s="204" t="inlineStr">
        <is>
          <t>09-XL-307HG/PYCNT/CKN/M2/C5</t>
        </is>
      </c>
      <c r="AC974" s="205" t="inlineStr"/>
      <c r="AD974" s="205" t="n"/>
      <c r="AE974" s="205" t="n"/>
      <c r="AF974" s="205" t="n"/>
      <c r="AG974" s="205" t="inlineStr">
        <is>
          <t>NTCV;BBKTĐK</t>
        </is>
      </c>
      <c r="AH974" s="204" t="inlineStr">
        <is>
          <t>&gt;=6;&lt;=10</t>
        </is>
      </c>
      <c r="AI974" s="202" t="n"/>
      <c r="AJ974" s="202" t="n"/>
      <c r="AK974" s="206" t="n"/>
      <c r="AL974" s="202" t="n"/>
      <c r="AM974" s="202" t="n"/>
      <c r="AN974" s="202" t="n"/>
      <c r="AO974" s="202" t="n"/>
      <c r="AP974" s="207" t="n"/>
      <c r="AQ974" s="207" t="n"/>
      <c r="AR974" s="202" t="inlineStr">
        <is>
          <t>Nhóm 1</t>
        </is>
      </c>
      <c r="AS974" s="202" t="n"/>
      <c r="AT974" s="202" t="inlineStr">
        <is>
          <t>HM27</t>
        </is>
      </c>
      <c r="AU974" s="202" t="inlineStr">
        <is>
          <t>PYC</t>
        </is>
      </c>
      <c r="AV974" s="202" t="n">
        <v>234</v>
      </c>
      <c r="AW974" s="202" t="n">
        <v>2</v>
      </c>
      <c r="AX974" s="202" t="n"/>
    </row>
    <row r="975" ht="42" customHeight="1" s="672">
      <c r="A975" s="56" t="inlineStr">
        <is>
          <t>NTCV</t>
        </is>
      </c>
      <c r="B975" s="56" t="inlineStr">
        <is>
          <t>K.9999</t>
        </is>
      </c>
      <c r="C975" s="56" t="inlineStr">
        <is>
          <t>NTCV.0274737</t>
        </is>
      </c>
      <c r="D975" s="57" t="n"/>
      <c r="E975" s="57" t="n"/>
      <c r="F975" s="57" t="n"/>
      <c r="G975" s="57" t="n"/>
      <c r="H975" s="57" t="n"/>
      <c r="J975" s="209" t="inlineStr">
        <is>
          <t>16</t>
        </is>
      </c>
      <c r="K975" s="209" t="inlineStr">
        <is>
          <t>K.9999</t>
        </is>
      </c>
      <c r="L975" s="210" t="inlineStr">
        <is>
          <t>Kiểm tra công tác vệ sinh lỗ khoan trước khi hạ lồng cốt thép cọc khoan nhồi</t>
        </is>
      </c>
      <c r="M975" s="210" t="n"/>
      <c r="N975" s="210" t="n"/>
      <c r="O975" s="211" t="inlineStr">
        <is>
          <t>Cầu Km19+529.080</t>
        </is>
      </c>
      <c r="P975" s="212">
        <f>S972+1</f>
        <v/>
      </c>
      <c r="Q975" s="212">
        <f>P975</f>
        <v/>
      </c>
      <c r="R975" s="212">
        <f>Q975-1</f>
        <v/>
      </c>
      <c r="S975" s="212">
        <f>Q975</f>
        <v/>
      </c>
      <c r="T975" s="213" t="n">
        <v>0.3333333333333333</v>
      </c>
      <c r="U975" s="213">
        <f>T975+V975</f>
        <v/>
      </c>
      <c r="V975" s="213" t="n">
        <v>0.01736111111111111</v>
      </c>
      <c r="W975" s="214">
        <f>TEXT(T975,"HH""h""MM'")&amp;"÷"&amp;TEXT(U975,"HH""h""MM'")</f>
        <v/>
      </c>
      <c r="X975" s="214" t="n"/>
      <c r="Y975" s="214" t="n"/>
      <c r="Z975" s="214" t="inlineStr">
        <is>
          <t>06;</t>
        </is>
      </c>
      <c r="AA975" s="215" t="inlineStr">
        <is>
          <t>Kiểm tra công tác vệ sinh lỗ khoan trước khi hạ lồng cốt thép Cọc khoan nhồi Mố M2 - Cọc C5</t>
        </is>
      </c>
      <c r="AB975" s="204" t="inlineStr">
        <is>
          <t>09-XL-307HG/PYCNT/CKN/M2/C5-2</t>
        </is>
      </c>
      <c r="AC975" s="204" t="inlineStr">
        <is>
          <t>09-XL-307HG/BBNT/CKN/M2/C5-6</t>
        </is>
      </c>
      <c r="AD975" s="204" t="n"/>
      <c r="AE975" s="204" t="n"/>
      <c r="AF975" s="204" t="n"/>
      <c r="AG975" s="204" t="n"/>
      <c r="AH975" s="204" t="n"/>
      <c r="AI975" s="216" t="n"/>
      <c r="AJ975" s="214" t="n"/>
      <c r="AK975" s="217" t="n"/>
      <c r="AL975" s="214" t="n"/>
      <c r="AM975" s="214" t="n"/>
      <c r="AN975" s="214" t="n"/>
      <c r="AO975" s="214" t="n"/>
      <c r="AP975" s="216" t="n"/>
      <c r="AQ975" s="216" t="n"/>
      <c r="AR975" s="214" t="inlineStr">
        <is>
          <t>Nhóm 1</t>
        </is>
      </c>
      <c r="AS975" s="214" t="n"/>
      <c r="AT975" s="214" t="inlineStr">
        <is>
          <t>HM27</t>
        </is>
      </c>
      <c r="AU975" s="214" t="inlineStr">
        <is>
          <t>NTCV</t>
        </is>
      </c>
      <c r="AV975" s="214" t="n">
        <v>254</v>
      </c>
      <c r="AW975" s="214" t="n">
        <v>5</v>
      </c>
      <c r="AX975" s="214" t="n"/>
    </row>
    <row r="976" ht="28" customHeight="1" s="672">
      <c r="A976" s="56" t="inlineStr">
        <is>
          <t>BBK570</t>
        </is>
      </c>
      <c r="B976" s="56" t="inlineStr">
        <is>
          <t>PL06</t>
        </is>
      </c>
      <c r="C976" s="56" t="inlineStr">
        <is>
          <t>BBK570.0058765</t>
        </is>
      </c>
      <c r="D976" s="57" t="n"/>
      <c r="E976" s="57" t="n"/>
      <c r="F976" s="57" t="n"/>
      <c r="G976" s="57" t="n"/>
      <c r="H976" s="57" t="n"/>
      <c r="J976" s="198" t="inlineStr">
        <is>
          <t>17</t>
        </is>
      </c>
      <c r="K976" s="198" t="inlineStr">
        <is>
          <t>PL06</t>
        </is>
      </c>
      <c r="L976" s="199" t="inlineStr">
        <is>
          <t>Kiểm tra công tác vệ sinh lỗ khoan trước khi hạ lồng cốt thép cọc khoan nhồi</t>
        </is>
      </c>
      <c r="M976" s="199" t="n"/>
      <c r="N976" s="199" t="n"/>
      <c r="O976" s="200" t="inlineStr">
        <is>
          <t>Cầu Km19+529.080</t>
        </is>
      </c>
      <c r="P976" s="201" t="n"/>
      <c r="Q976" s="201" t="n"/>
      <c r="R976" s="201" t="n"/>
      <c r="S976" s="201">
        <f>S975</f>
        <v/>
      </c>
      <c r="T976" s="201" t="n"/>
      <c r="U976" s="201" t="n"/>
      <c r="V976" s="201" t="n"/>
      <c r="W976" s="202" t="n"/>
      <c r="X976" s="265" t="n">
        <v>150.836</v>
      </c>
      <c r="Y976" s="265">
        <f>X976-0.02</f>
        <v/>
      </c>
      <c r="Z976" s="198" t="inlineStr">
        <is>
          <t>06</t>
        </is>
      </c>
      <c r="AA976" s="203" t="n"/>
      <c r="AB976" s="204" t="inlineStr">
        <is>
          <t>09-XL-307HG/PYCNT/CKN/M2/C5-2</t>
        </is>
      </c>
      <c r="AC976" s="204">
        <f>AC975</f>
        <v/>
      </c>
      <c r="AD976" s="204" t="n"/>
      <c r="AE976" s="204" t="n"/>
      <c r="AF976" s="204" t="n"/>
      <c r="AG976" s="204" t="n"/>
      <c r="AH976" s="204" t="n"/>
      <c r="AI976" s="202" t="n"/>
      <c r="AJ976" s="202" t="n"/>
      <c r="AK976" s="206" t="n"/>
      <c r="AL976" s="202" t="n"/>
      <c r="AM976" s="202" t="n"/>
      <c r="AN976" s="202" t="n"/>
      <c r="AO976" s="202" t="n"/>
      <c r="AP976" s="207" t="n"/>
      <c r="AQ976" s="207" t="n"/>
      <c r="AR976" s="202" t="inlineStr">
        <is>
          <t>Nhóm 1</t>
        </is>
      </c>
      <c r="AS976" s="202" t="n"/>
      <c r="AT976" s="202" t="inlineStr">
        <is>
          <t>HM27</t>
        </is>
      </c>
      <c r="AU976" s="202" t="inlineStr">
        <is>
          <t>PL06</t>
        </is>
      </c>
      <c r="AV976" s="202" t="n">
        <v>18</v>
      </c>
      <c r="AW976" s="202" t="n">
        <v>1</v>
      </c>
      <c r="AX976" s="202" t="n"/>
    </row>
    <row r="977" ht="28" customHeight="1" s="672">
      <c r="A977" s="56" t="inlineStr">
        <is>
          <t>NTCV</t>
        </is>
      </c>
      <c r="B977" s="56" t="inlineStr">
        <is>
          <t>K.9999</t>
        </is>
      </c>
      <c r="C977" s="56" t="inlineStr">
        <is>
          <t>NTCV.0804763</t>
        </is>
      </c>
      <c r="D977" s="57" t="n"/>
      <c r="E977" s="57" t="n"/>
      <c r="F977" s="57" t="n"/>
      <c r="G977" s="57" t="n"/>
      <c r="H977" s="57" t="n"/>
      <c r="J977" s="209" t="inlineStr">
        <is>
          <t>18</t>
        </is>
      </c>
      <c r="K977" s="209" t="inlineStr">
        <is>
          <t>K.9999</t>
        </is>
      </c>
      <c r="L977" s="210" t="inlineStr">
        <is>
          <t xml:space="preserve">Nghiệm thu công tác hạ lồng thép </t>
        </is>
      </c>
      <c r="M977" s="210" t="n"/>
      <c r="N977" s="210" t="n"/>
      <c r="O977" s="211" t="inlineStr">
        <is>
          <t>Cầu Km19+529.080</t>
        </is>
      </c>
      <c r="P977" s="212">
        <f>S975</f>
        <v/>
      </c>
      <c r="Q977" s="212">
        <f>P977</f>
        <v/>
      </c>
      <c r="R977" s="212">
        <f>Q977-1</f>
        <v/>
      </c>
      <c r="S977" s="212">
        <f>Q977</f>
        <v/>
      </c>
      <c r="T977" s="213">
        <f>U975</f>
        <v/>
      </c>
      <c r="U977" s="213">
        <f>T977+V977</f>
        <v/>
      </c>
      <c r="V977" s="213" t="n">
        <v>0.03125</v>
      </c>
      <c r="W977" s="214">
        <f>TEXT(T977,"HH""h""MM'")&amp;"÷"&amp;TEXT(U977,"HH""h""MM'")</f>
        <v/>
      </c>
      <c r="X977" s="214" t="n"/>
      <c r="Y977" s="214" t="n"/>
      <c r="Z977" s="214" t="inlineStr">
        <is>
          <t>07;</t>
        </is>
      </c>
      <c r="AA977" s="215" t="inlineStr">
        <is>
          <t>Công tác hạ lồng thép Cọc khoan nhồi Mố M2 - Cọc C5</t>
        </is>
      </c>
      <c r="AB977" s="204" t="inlineStr">
        <is>
          <t>09-XL-307HG/PYCNT/CKN/M2/C5-2</t>
        </is>
      </c>
      <c r="AC977" s="204" t="inlineStr">
        <is>
          <t>09-XL-307HG/BBNT/CKN/M2/C5-7</t>
        </is>
      </c>
      <c r="AD977" s="204" t="n"/>
      <c r="AE977" s="204" t="n"/>
      <c r="AF977" s="204" t="n"/>
      <c r="AG977" s="204" t="n"/>
      <c r="AH977" s="204" t="n"/>
      <c r="AI977" s="214" t="n"/>
      <c r="AJ977" s="214" t="n"/>
      <c r="AK977" s="217" t="n"/>
      <c r="AL977" s="214" t="n"/>
      <c r="AM977" s="214" t="n"/>
      <c r="AN977" s="214" t="n"/>
      <c r="AO977" s="214" t="n"/>
      <c r="AP977" s="216" t="n"/>
      <c r="AQ977" s="216" t="n"/>
      <c r="AR977" s="214" t="inlineStr">
        <is>
          <t>Nhóm 1</t>
        </is>
      </c>
      <c r="AS977" s="214" t="n"/>
      <c r="AT977" s="214" t="inlineStr">
        <is>
          <t>HM27</t>
        </is>
      </c>
      <c r="AU977" s="214" t="inlineStr">
        <is>
          <t>NTCV</t>
        </is>
      </c>
      <c r="AV977" s="214" t="n">
        <v>255</v>
      </c>
      <c r="AW977" s="214" t="n">
        <v>6</v>
      </c>
      <c r="AX977" s="214" t="n"/>
    </row>
    <row r="978">
      <c r="A978" s="56" t="inlineStr">
        <is>
          <t>BBK396</t>
        </is>
      </c>
      <c r="B978" s="56" t="inlineStr">
        <is>
          <t>PL07</t>
        </is>
      </c>
      <c r="C978" s="56" t="inlineStr">
        <is>
          <t>BBK396.0710018</t>
        </is>
      </c>
      <c r="D978" s="57" t="n"/>
      <c r="E978" s="57" t="n"/>
      <c r="F978" s="57" t="n"/>
      <c r="G978" s="57" t="n"/>
      <c r="H978" s="57" t="n"/>
      <c r="J978" s="198" t="inlineStr">
        <is>
          <t>19</t>
        </is>
      </c>
      <c r="K978" s="198" t="inlineStr">
        <is>
          <t>PL07</t>
        </is>
      </c>
      <c r="L978" s="199" t="inlineStr">
        <is>
          <t>Nghiệm thu công tác hạ lồng thép</t>
        </is>
      </c>
      <c r="M978" s="199" t="n"/>
      <c r="N978" s="199" t="n"/>
      <c r="O978" s="200" t="inlineStr">
        <is>
          <t>Cầu Km19+529.080</t>
        </is>
      </c>
      <c r="P978" s="201" t="n"/>
      <c r="Q978" s="201" t="n"/>
      <c r="R978" s="201" t="n"/>
      <c r="S978" s="201">
        <f>S977</f>
        <v/>
      </c>
      <c r="T978" s="201" t="n"/>
      <c r="U978" s="201" t="n"/>
      <c r="V978" s="201" t="n"/>
      <c r="W978" s="202" t="n"/>
      <c r="X978" s="202" t="n"/>
      <c r="Y978" s="202" t="n"/>
      <c r="Z978" s="198" t="inlineStr">
        <is>
          <t>07</t>
        </is>
      </c>
      <c r="AA978" s="203" t="n"/>
      <c r="AB978" s="204" t="inlineStr">
        <is>
          <t>09-XL-307HG/PYCNT/CKN/M2/C5-2</t>
        </is>
      </c>
      <c r="AC978" s="204">
        <f>AC977</f>
        <v/>
      </c>
      <c r="AD978" s="204" t="n"/>
      <c r="AE978" s="204" t="n"/>
      <c r="AF978" s="204" t="n"/>
      <c r="AG978" s="204" t="n"/>
      <c r="AH978" s="204" t="n"/>
      <c r="AI978" s="202" t="n"/>
      <c r="AJ978" s="202" t="n"/>
      <c r="AK978" s="206" t="n"/>
      <c r="AL978" s="202" t="n"/>
      <c r="AM978" s="202" t="n"/>
      <c r="AN978" s="202" t="n"/>
      <c r="AO978" s="202" t="n"/>
      <c r="AP978" s="207" t="n"/>
      <c r="AQ978" s="207" t="n"/>
      <c r="AR978" s="202" t="inlineStr">
        <is>
          <t>Nhóm 1</t>
        </is>
      </c>
      <c r="AS978" s="202" t="n"/>
      <c r="AT978" s="202" t="inlineStr">
        <is>
          <t>HM27</t>
        </is>
      </c>
      <c r="AU978" s="202" t="inlineStr">
        <is>
          <t>PL07</t>
        </is>
      </c>
      <c r="AV978" s="202" t="n">
        <v>18</v>
      </c>
      <c r="AW978" s="202" t="n">
        <v>1</v>
      </c>
      <c r="AX978" s="202" t="n"/>
    </row>
    <row r="979" ht="42" customHeight="1" s="672">
      <c r="A979" s="56" t="inlineStr">
        <is>
          <t>NTCV</t>
        </is>
      </c>
      <c r="B979" s="56" t="inlineStr">
        <is>
          <t>K.9999</t>
        </is>
      </c>
      <c r="C979" s="56" t="inlineStr">
        <is>
          <t>NTCV.0252004</t>
        </is>
      </c>
      <c r="D979" s="57" t="n"/>
      <c r="E979" s="57" t="n"/>
      <c r="F979" s="57" t="n"/>
      <c r="G979" s="57" t="n"/>
      <c r="H979" s="57" t="n"/>
      <c r="J979" s="209" t="inlineStr">
        <is>
          <t>20</t>
        </is>
      </c>
      <c r="K979" s="209" t="inlineStr">
        <is>
          <t>K.9999</t>
        </is>
      </c>
      <c r="L979" s="210" t="inlineStr">
        <is>
          <t xml:space="preserve">Kiểm tra công tác vệ sinh lỗ khoan cọc khoan nhồi trước khi đổ bê tông </t>
        </is>
      </c>
      <c r="M979" s="210" t="n"/>
      <c r="N979" s="210" t="n"/>
      <c r="O979" s="211" t="inlineStr">
        <is>
          <t>Cầu Km19+529.080</t>
        </is>
      </c>
      <c r="P979" s="212">
        <f>S977</f>
        <v/>
      </c>
      <c r="Q979" s="212">
        <f>P979</f>
        <v/>
      </c>
      <c r="R979" s="212">
        <f>Q979-1</f>
        <v/>
      </c>
      <c r="S979" s="212">
        <f>Q979</f>
        <v/>
      </c>
      <c r="T979" s="213">
        <f>U977</f>
        <v/>
      </c>
      <c r="U979" s="213">
        <f>T979+V979</f>
        <v/>
      </c>
      <c r="V979" s="213" t="n">
        <v>0.02083333333333333</v>
      </c>
      <c r="W979" s="214">
        <f>TEXT(T979,"HH""h""MM'")&amp;"÷"&amp;TEXT(U979,"HH""h""MM'")</f>
        <v/>
      </c>
      <c r="X979" s="214" t="n"/>
      <c r="Y979" s="214" t="n"/>
      <c r="Z979" s="214" t="inlineStr">
        <is>
          <t>08;</t>
        </is>
      </c>
      <c r="AA979" s="215" t="inlineStr">
        <is>
          <t>Kiểm tra công tác vệ sinh lỗ khoan cọc khoan nhồi trước khi đổ bê tông Cọc khoan nhồi Mố M2 - Cọc C5</t>
        </is>
      </c>
      <c r="AB979" s="204" t="inlineStr">
        <is>
          <t>09-XL-307HG/PYCNT/CKN/M2/C5-2</t>
        </is>
      </c>
      <c r="AC979" s="204" t="inlineStr">
        <is>
          <t>09-XL-307HG/BBNT/CKN/M2/C5-8</t>
        </is>
      </c>
      <c r="AD979" s="204" t="n"/>
      <c r="AE979" s="204" t="n"/>
      <c r="AF979" s="204" t="n"/>
      <c r="AG979" s="204" t="n"/>
      <c r="AH979" s="204" t="n"/>
      <c r="AI979" s="214" t="n"/>
      <c r="AJ979" s="214" t="n"/>
      <c r="AK979" s="217" t="n"/>
      <c r="AL979" s="214" t="n"/>
      <c r="AM979" s="214" t="n"/>
      <c r="AN979" s="214" t="n"/>
      <c r="AO979" s="214" t="n"/>
      <c r="AP979" s="216" t="n"/>
      <c r="AQ979" s="216" t="n"/>
      <c r="AR979" s="214" t="inlineStr">
        <is>
          <t>Nhóm 1</t>
        </is>
      </c>
      <c r="AS979" s="214" t="n"/>
      <c r="AT979" s="214" t="inlineStr">
        <is>
          <t>HM27</t>
        </is>
      </c>
      <c r="AU979" s="214" t="inlineStr">
        <is>
          <t>NTCV</t>
        </is>
      </c>
      <c r="AV979" s="214" t="n">
        <v>260</v>
      </c>
      <c r="AW979" s="214" t="n">
        <v>7</v>
      </c>
      <c r="AX979" s="214" t="n"/>
    </row>
    <row r="980" ht="28" customHeight="1" s="672">
      <c r="A980" s="56" t="inlineStr">
        <is>
          <t>BBK521</t>
        </is>
      </c>
      <c r="B980" s="56" t="inlineStr">
        <is>
          <t>PL08</t>
        </is>
      </c>
      <c r="C980" s="56" t="inlineStr">
        <is>
          <t>BBK521.0790293</t>
        </is>
      </c>
      <c r="D980" s="57" t="n"/>
      <c r="E980" s="57" t="n"/>
      <c r="F980" s="57" t="n"/>
      <c r="G980" s="57" t="n"/>
      <c r="H980" s="57" t="n"/>
      <c r="J980" s="198" t="inlineStr">
        <is>
          <t>21</t>
        </is>
      </c>
      <c r="K980" s="198" t="inlineStr">
        <is>
          <t>PL08</t>
        </is>
      </c>
      <c r="L980" s="199" t="inlineStr">
        <is>
          <t>Kiểm tra công tác vệ sinh lỗ khoan cọc khoan nhồi trước khi đổ bê tông</t>
        </is>
      </c>
      <c r="M980" s="199" t="n"/>
      <c r="N980" s="199" t="n"/>
      <c r="O980" s="200" t="inlineStr">
        <is>
          <t>Cầu Km19+529.080</t>
        </is>
      </c>
      <c r="P980" s="201" t="n"/>
      <c r="Q980" s="201" t="n"/>
      <c r="R980" s="201" t="n"/>
      <c r="S980" s="201">
        <f>S979</f>
        <v/>
      </c>
      <c r="T980" s="201" t="n"/>
      <c r="U980" s="201" t="n"/>
      <c r="V980" s="201" t="n"/>
      <c r="W980" s="202" t="n"/>
      <c r="X980" s="202" t="n"/>
      <c r="Y980" s="202" t="n"/>
      <c r="Z980" s="198" t="inlineStr">
        <is>
          <t>08</t>
        </is>
      </c>
      <c r="AA980" s="203" t="n"/>
      <c r="AB980" s="204" t="inlineStr">
        <is>
          <t>09-XL-307HG/PYCNT/CKN/M2/C5-2</t>
        </is>
      </c>
      <c r="AC980" s="204">
        <f>AC979</f>
        <v/>
      </c>
      <c r="AD980" s="204" t="n"/>
      <c r="AE980" s="204" t="n"/>
      <c r="AF980" s="204" t="n"/>
      <c r="AG980" s="204" t="n"/>
      <c r="AH980" s="204" t="n"/>
      <c r="AI980" s="202" t="n"/>
      <c r="AJ980" s="202" t="n"/>
      <c r="AK980" s="206" t="n"/>
      <c r="AL980" s="202" t="n"/>
      <c r="AM980" s="202" t="n"/>
      <c r="AN980" s="202" t="n"/>
      <c r="AO980" s="202" t="n"/>
      <c r="AP980" s="207" t="n"/>
      <c r="AQ980" s="207" t="n"/>
      <c r="AR980" s="202" t="inlineStr">
        <is>
          <t>Nhóm 1</t>
        </is>
      </c>
      <c r="AS980" s="202" t="n"/>
      <c r="AT980" s="202" t="inlineStr">
        <is>
          <t>HM27</t>
        </is>
      </c>
      <c r="AU980" s="202" t="inlineStr">
        <is>
          <t>PL08</t>
        </is>
      </c>
      <c r="AV980" s="202" t="n">
        <v>18</v>
      </c>
      <c r="AW980" s="202" t="n">
        <v>1</v>
      </c>
      <c r="AX980" s="202" t="n"/>
    </row>
    <row r="981" ht="28" customHeight="1" s="672">
      <c r="A981" s="56" t="inlineStr">
        <is>
          <t>NTCV</t>
        </is>
      </c>
      <c r="B981" s="56" t="inlineStr">
        <is>
          <t>K.9999</t>
        </is>
      </c>
      <c r="C981" s="56" t="inlineStr">
        <is>
          <t>NTCV.0870190</t>
        </is>
      </c>
      <c r="D981" s="57" t="n"/>
      <c r="E981" s="57" t="n"/>
      <c r="F981" s="57" t="n"/>
      <c r="G981" s="57" t="n"/>
      <c r="H981" s="57" t="n"/>
      <c r="J981" s="209" t="inlineStr">
        <is>
          <t>22</t>
        </is>
      </c>
      <c r="K981" s="209" t="inlineStr">
        <is>
          <t>K.9999</t>
        </is>
      </c>
      <c r="L981" s="210" t="inlineStr">
        <is>
          <t xml:space="preserve">Kiểm tra công tác chuẩn bị đổ bê tông cọc khoan nhồi </t>
        </is>
      </c>
      <c r="M981" s="210" t="n"/>
      <c r="N981" s="210" t="n"/>
      <c r="O981" s="211" t="inlineStr">
        <is>
          <t>Cầu Km19+529.080</t>
        </is>
      </c>
      <c r="P981" s="212">
        <f>S979</f>
        <v/>
      </c>
      <c r="Q981" s="212">
        <f>P981</f>
        <v/>
      </c>
      <c r="R981" s="212">
        <f>Q981-1</f>
        <v/>
      </c>
      <c r="S981" s="212">
        <f>Q981</f>
        <v/>
      </c>
      <c r="T981" s="213">
        <f>U979</f>
        <v/>
      </c>
      <c r="U981" s="213">
        <f>T981+V981</f>
        <v/>
      </c>
      <c r="V981" s="213" t="n">
        <v>0.02083333333333333</v>
      </c>
      <c r="W981" s="214">
        <f>TEXT(T981,"HH""h""MM'")&amp;"÷"&amp;TEXT(U981,"HH""h""MM'")</f>
        <v/>
      </c>
      <c r="X981" s="214" t="n"/>
      <c r="Y981" s="214" t="n"/>
      <c r="Z981" s="214" t="inlineStr">
        <is>
          <t>09;</t>
        </is>
      </c>
      <c r="AA981" s="215" t="inlineStr">
        <is>
          <t>Kiểm tra công tác chuẩn bị đổ bê tông Cọc khoan nhồi Mố M2 - Cọc C5</t>
        </is>
      </c>
      <c r="AB981" s="204" t="inlineStr">
        <is>
          <t>09-XL-307HG/PYCNT/CKN/M2/C5-2</t>
        </is>
      </c>
      <c r="AC981" s="204" t="inlineStr">
        <is>
          <t>09-XL-307HG/BBNT/CKN/M2/C5-9</t>
        </is>
      </c>
      <c r="AD981" s="204" t="n"/>
      <c r="AE981" s="204" t="n"/>
      <c r="AF981" s="204" t="n"/>
      <c r="AG981" s="204" t="n"/>
      <c r="AH981" s="204" t="n"/>
      <c r="AI981" s="214" t="n"/>
      <c r="AJ981" s="214" t="n"/>
      <c r="AK981" s="217" t="n"/>
      <c r="AL981" s="214" t="n"/>
      <c r="AM981" s="214" t="n"/>
      <c r="AN981" s="214" t="n"/>
      <c r="AO981" s="214" t="n"/>
      <c r="AP981" s="216" t="n"/>
      <c r="AQ981" s="216" t="n"/>
      <c r="AR981" s="214" t="inlineStr">
        <is>
          <t>Nhóm 1</t>
        </is>
      </c>
      <c r="AS981" s="214" t="n"/>
      <c r="AT981" s="214" t="inlineStr">
        <is>
          <t>HM27</t>
        </is>
      </c>
      <c r="AU981" s="214" t="inlineStr">
        <is>
          <t>NTCV</t>
        </is>
      </c>
      <c r="AV981" s="214" t="n">
        <v>261</v>
      </c>
      <c r="AW981" s="214" t="n">
        <v>8</v>
      </c>
      <c r="AX981" s="214" t="n"/>
    </row>
    <row r="982">
      <c r="A982" s="56" t="inlineStr">
        <is>
          <t>BBK209</t>
        </is>
      </c>
      <c r="B982" s="56" t="inlineStr">
        <is>
          <t>PL09</t>
        </is>
      </c>
      <c r="C982" s="56" t="inlineStr">
        <is>
          <t>BBK209.0983708</t>
        </is>
      </c>
      <c r="D982" s="57" t="n"/>
      <c r="E982" s="57" t="n"/>
      <c r="F982" s="57" t="n"/>
      <c r="G982" s="57" t="n"/>
      <c r="H982" s="57" t="n"/>
      <c r="J982" s="198" t="inlineStr">
        <is>
          <t>23</t>
        </is>
      </c>
      <c r="K982" s="198" t="inlineStr">
        <is>
          <t>PL09</t>
        </is>
      </c>
      <c r="L982" s="199" t="inlineStr">
        <is>
          <t>Kiểm tra công tác chuẩn bị đổ bê tông cọc khoan nhồi</t>
        </is>
      </c>
      <c r="M982" s="199" t="n"/>
      <c r="N982" s="199" t="n"/>
      <c r="O982" s="200" t="inlineStr">
        <is>
          <t>Cầu Km19+529.080</t>
        </is>
      </c>
      <c r="P982" s="201" t="n"/>
      <c r="Q982" s="201" t="n"/>
      <c r="R982" s="201" t="n"/>
      <c r="S982" s="201">
        <f>S981</f>
        <v/>
      </c>
      <c r="T982" s="201" t="n"/>
      <c r="U982" s="201" t="n"/>
      <c r="V982" s="201" t="n"/>
      <c r="W982" s="202" t="n"/>
      <c r="X982" s="202" t="n"/>
      <c r="Y982" s="202" t="n"/>
      <c r="Z982" s="198" t="inlineStr">
        <is>
          <t>09</t>
        </is>
      </c>
      <c r="AA982" s="203" t="n"/>
      <c r="AB982" s="204" t="inlineStr">
        <is>
          <t>09-XL-307HG/PYCNT/CKN/M2/C5-2</t>
        </is>
      </c>
      <c r="AC982" s="204">
        <f>AC981</f>
        <v/>
      </c>
      <c r="AD982" s="204" t="n"/>
      <c r="AE982" s="204" t="n"/>
      <c r="AF982" s="204" t="n"/>
      <c r="AG982" s="204" t="n"/>
      <c r="AH982" s="204" t="inlineStr">
        <is>
          <t>C30(1)</t>
        </is>
      </c>
      <c r="AI982" s="202" t="n"/>
      <c r="AJ982" s="202" t="n"/>
      <c r="AK982" s="206" t="n"/>
      <c r="AL982" s="202" t="n"/>
      <c r="AM982" s="202" t="n"/>
      <c r="AN982" s="202" t="n"/>
      <c r="AO982" s="202" t="n"/>
      <c r="AP982" s="207" t="n"/>
      <c r="AQ982" s="207" t="n"/>
      <c r="AR982" s="202" t="inlineStr">
        <is>
          <t>Nhóm 1</t>
        </is>
      </c>
      <c r="AS982" s="202" t="n"/>
      <c r="AT982" s="202" t="inlineStr">
        <is>
          <t>HM27</t>
        </is>
      </c>
      <c r="AU982" s="202" t="inlineStr">
        <is>
          <t>PL09</t>
        </is>
      </c>
      <c r="AV982" s="202" t="n">
        <v>18</v>
      </c>
      <c r="AW982" s="202" t="n">
        <v>1</v>
      </c>
      <c r="AX982" s="202" t="n"/>
    </row>
    <row r="983" ht="28" customHeight="1" s="672">
      <c r="A983" s="56" t="inlineStr">
        <is>
          <t>NTCV</t>
        </is>
      </c>
      <c r="B983" s="56" t="inlineStr">
        <is>
          <t>K.9999</t>
        </is>
      </c>
      <c r="C983" s="56" t="inlineStr">
        <is>
          <t>NTCV.0271023</t>
        </is>
      </c>
      <c r="D983" s="57" t="n"/>
      <c r="E983" s="57" t="n"/>
      <c r="F983" s="57" t="n"/>
      <c r="G983" s="57" t="n"/>
      <c r="H983" s="57" t="n"/>
      <c r="J983" s="209" t="inlineStr">
        <is>
          <t>24</t>
        </is>
      </c>
      <c r="K983" s="209" t="inlineStr">
        <is>
          <t>K.9999</t>
        </is>
      </c>
      <c r="L983" s="210" t="inlineStr">
        <is>
          <t>Theo dõi quá trình đổ bê tông cọc khoan nhồi</t>
        </is>
      </c>
      <c r="M983" s="210" t="n"/>
      <c r="N983" s="210" t="n"/>
      <c r="O983" s="211" t="inlineStr">
        <is>
          <t>Cầu Km19+529.080</t>
        </is>
      </c>
      <c r="P983" s="212">
        <f>S981</f>
        <v/>
      </c>
      <c r="Q983" s="212">
        <f>P983</f>
        <v/>
      </c>
      <c r="R983" s="212">
        <f>Q983-1</f>
        <v/>
      </c>
      <c r="S983" s="212">
        <f>Q983</f>
        <v/>
      </c>
      <c r="T983" s="213">
        <f>U981</f>
        <v/>
      </c>
      <c r="U983" s="213">
        <f>T983+V983</f>
        <v/>
      </c>
      <c r="V983" s="213" t="n">
        <v>0.1458333333333333</v>
      </c>
      <c r="W983" s="214">
        <f>TEXT(T983,"HH""h""MM'")&amp;"÷"&amp;TEXT(U983,"HH""h""MM'")</f>
        <v/>
      </c>
      <c r="X983" s="214" t="n"/>
      <c r="Y983" s="214" t="n"/>
      <c r="Z983" s="214" t="inlineStr">
        <is>
          <t>10;</t>
        </is>
      </c>
      <c r="AA983" s="215" t="inlineStr">
        <is>
          <t>Theo dõi quá trình đổ bê tông  Cọc khoan nhồi Mố M2 - Cọc C5</t>
        </is>
      </c>
      <c r="AB983" s="204" t="inlineStr">
        <is>
          <t>09-XL-307HG/PYCNT/CKN/M2/C5-2</t>
        </is>
      </c>
      <c r="AC983" s="204" t="inlineStr">
        <is>
          <t>09-XL-307HG/BBNT/CKN/M2/C5-10</t>
        </is>
      </c>
      <c r="AD983" s="204" t="n"/>
      <c r="AE983" s="204" t="n"/>
      <c r="AF983" s="204" t="n"/>
      <c r="AG983" s="204" t="n"/>
      <c r="AH983" s="204" t="n"/>
      <c r="AI983" s="214" t="n"/>
      <c r="AJ983" s="214" t="n"/>
      <c r="AK983" s="217" t="n"/>
      <c r="AL983" s="214" t="n"/>
      <c r="AM983" s="214" t="n"/>
      <c r="AN983" s="214" t="n"/>
      <c r="AO983" s="214" t="n"/>
      <c r="AP983" s="216" t="n"/>
      <c r="AQ983" s="216" t="n"/>
      <c r="AR983" s="214" t="inlineStr">
        <is>
          <t>Nhóm 1</t>
        </is>
      </c>
      <c r="AS983" s="214" t="n"/>
      <c r="AT983" s="214" t="inlineStr">
        <is>
          <t>HM27</t>
        </is>
      </c>
      <c r="AU983" s="214" t="inlineStr">
        <is>
          <t>NTCV</t>
        </is>
      </c>
      <c r="AV983" s="214" t="n">
        <v>262</v>
      </c>
      <c r="AW983" s="214" t="n">
        <v>9</v>
      </c>
      <c r="AX983" s="214" t="n"/>
    </row>
    <row r="984" ht="210" customHeight="1" s="672">
      <c r="A984" s="56" t="inlineStr">
        <is>
          <t>LMHT</t>
        </is>
      </c>
      <c r="B984" s="56" t="inlineStr">
        <is>
          <t>LMHT</t>
        </is>
      </c>
      <c r="C984" s="56" t="inlineStr">
        <is>
          <t>LMHT.0462971</t>
        </is>
      </c>
      <c r="D984" s="57" t="inlineStr">
        <is>
          <t>TC.000041|TC.000182|TC.000169.A</t>
        </is>
      </c>
      <c r="E984" s="57" t="n"/>
      <c r="F984" s="57" t="inlineStr">
        <is>
          <t>CP.0001^Cọc khoan nhồi Mố M2 - Cọc C5^Hình trụ 15x30 (cm)^12^30 Mpa, 18±2^^^TC.000041|TC.000182|TC.000169.A</t>
        </is>
      </c>
      <c r="G984" s="57" t="n"/>
      <c r="H984" s="57" t="inlineStr">
        <is>
          <t>^^A|C|J|O|S|X|Z^Stt|Hạng mục|Cấp bê tông|Kích thước mẫu|Số lượng mẫu|Ghi chú^|||||</t>
        </is>
      </c>
      <c r="J984" s="256" t="inlineStr">
        <is>
          <t>25</t>
        </is>
      </c>
      <c r="K984" s="256" t="inlineStr">
        <is>
          <t>LMHT</t>
        </is>
      </c>
      <c r="L984" s="257" t="inlineStr">
        <is>
          <t>Lấy mẫu bê tông Cọc khoan nhồi, 30(1) Mpa Mố M2 - Cọc C5</t>
        </is>
      </c>
      <c r="M984" s="257" t="n"/>
      <c r="N984" s="257" t="n"/>
      <c r="O984" s="258" t="inlineStr">
        <is>
          <t>Cầu Km19+529.080</t>
        </is>
      </c>
      <c r="P984" s="259" t="n"/>
      <c r="Q984" s="259" t="n"/>
      <c r="R984" s="259" t="n"/>
      <c r="S984" s="259">
        <f>S983</f>
        <v/>
      </c>
      <c r="T984" s="260">
        <f>T983</f>
        <v/>
      </c>
      <c r="U984" s="260">
        <f>U983</f>
        <v/>
      </c>
      <c r="V984" s="260">
        <f>V983</f>
        <v/>
      </c>
      <c r="W984" s="261">
        <f>TEXT(T984,"HH""h""MM'")&amp;"÷"&amp;TEXT(U984,"HH""h""MM'")</f>
        <v/>
      </c>
      <c r="X984" s="262" t="n"/>
      <c r="Y984" s="262" t="n"/>
      <c r="Z984" s="262" t="n"/>
      <c r="AA984" s="262" t="n"/>
      <c r="AB984" s="263" t="inlineStr">
        <is>
          <t>09-XL-307HG/PYCNT/CKN/M2/C5-2</t>
        </is>
      </c>
      <c r="AC984" s="263" t="inlineStr"/>
      <c r="AD984" s="264" t="n"/>
      <c r="AE984" s="264" t="n"/>
      <c r="AF984" s="264" t="n"/>
      <c r="AG984" s="264" t="n"/>
      <c r="AH984" s="264" t="n"/>
      <c r="AI984" s="257" t="n"/>
      <c r="AJ984" s="262" t="n"/>
      <c r="AK984" s="258" t="n"/>
      <c r="AL984" s="262" t="n"/>
      <c r="AM984" s="262" t="n"/>
      <c r="AN984" s="262" t="n"/>
      <c r="AO984" s="262" t="n"/>
      <c r="AP984" s="263" t="inlineStr">
        <is>
          <t>Bảng lấy mẫu CKN</t>
        </is>
      </c>
      <c r="AQ984" s="263" t="n"/>
      <c r="AR984" s="262" t="inlineStr">
        <is>
          <t>Nhóm 1</t>
        </is>
      </c>
      <c r="AS984" s="262" t="n"/>
      <c r="AT984" s="262" t="inlineStr">
        <is>
          <t>HM27</t>
        </is>
      </c>
      <c r="AU984" s="262" t="inlineStr">
        <is>
          <t>LMHT</t>
        </is>
      </c>
      <c r="AV984" s="262" t="n">
        <v>21</v>
      </c>
      <c r="AW984" s="262" t="n">
        <v>1</v>
      </c>
      <c r="AX984" s="262" t="inlineStr">
        <is>
          <t>Cọc M2-C5 [BT dòng 21]: chưa đến ngưỡng phát sinh lượt mẫu xi măng/cát/đá; mẫu bê tông cấu kiện vẫn theo F984.</t>
        </is>
      </c>
    </row>
    <row r="985">
      <c r="A985" s="56" t="inlineStr">
        <is>
          <t>BBK994</t>
        </is>
      </c>
      <c r="B985" s="56" t="inlineStr">
        <is>
          <t>PL10</t>
        </is>
      </c>
      <c r="C985" s="56" t="inlineStr">
        <is>
          <t>BBK994.0912946</t>
        </is>
      </c>
      <c r="D985" s="57" t="n"/>
      <c r="E985" s="57" t="n"/>
      <c r="F985" s="57" t="n"/>
      <c r="G985" s="57" t="n"/>
      <c r="H985" s="57" t="n"/>
      <c r="J985" s="198" t="inlineStr">
        <is>
          <t>26</t>
        </is>
      </c>
      <c r="K985" s="198" t="inlineStr">
        <is>
          <t>PL10</t>
        </is>
      </c>
      <c r="L985" s="199" t="inlineStr">
        <is>
          <t>Theo dõi quá trình đổ bê tông cọc khoan nhồi</t>
        </is>
      </c>
      <c r="M985" s="199" t="n"/>
      <c r="N985" s="199" t="n"/>
      <c r="O985" s="200" t="inlineStr">
        <is>
          <t>Cầu Km19+529.080</t>
        </is>
      </c>
      <c r="P985" s="201" t="n"/>
      <c r="Q985" s="201" t="n"/>
      <c r="R985" s="201" t="n"/>
      <c r="S985" s="201">
        <f>S983</f>
        <v/>
      </c>
      <c r="T985" s="201" t="n"/>
      <c r="U985" s="201" t="n"/>
      <c r="V985" s="201" t="n"/>
      <c r="W985" s="202" t="n"/>
      <c r="X985" s="202" t="n"/>
      <c r="Y985" s="202" t="n"/>
      <c r="Z985" s="198" t="inlineStr">
        <is>
          <t>10</t>
        </is>
      </c>
      <c r="AA985" s="203" t="n"/>
      <c r="AB985" s="204" t="inlineStr">
        <is>
          <t>09-XL-307HG/PYCNT/CKN/M2/C5-2</t>
        </is>
      </c>
      <c r="AC985" s="204">
        <f>AC983</f>
        <v/>
      </c>
      <c r="AD985" s="204" t="n"/>
      <c r="AE985" s="204" t="n"/>
      <c r="AF985" s="204" t="n"/>
      <c r="AG985" s="204" t="n"/>
      <c r="AH985" s="204" t="inlineStr">
        <is>
          <t>M2-C5</t>
        </is>
      </c>
      <c r="AI985" s="202" t="n"/>
      <c r="AJ985" s="202" t="n"/>
      <c r="AK985" s="206" t="n"/>
      <c r="AL985" s="202" t="n"/>
      <c r="AM985" s="202" t="n"/>
      <c r="AN985" s="202" t="n"/>
      <c r="AO985" s="202" t="n"/>
      <c r="AP985" s="207" t="n"/>
      <c r="AQ985" s="207" t="n"/>
      <c r="AR985" s="202" t="inlineStr">
        <is>
          <t>Nhóm 1</t>
        </is>
      </c>
      <c r="AS985" s="202" t="n"/>
      <c r="AT985" s="202" t="inlineStr">
        <is>
          <t>HM27</t>
        </is>
      </c>
      <c r="AU985" s="202" t="inlineStr">
        <is>
          <t>PL10</t>
        </is>
      </c>
      <c r="AV985" s="202" t="n">
        <v>18</v>
      </c>
      <c r="AW985" s="202" t="n">
        <v>1</v>
      </c>
      <c r="AX985" s="202" t="n"/>
    </row>
    <row r="986" ht="28" customHeight="1" s="672">
      <c r="A986" s="56" t="inlineStr">
        <is>
          <t>NTCV</t>
        </is>
      </c>
      <c r="B986" s="56" t="inlineStr">
        <is>
          <t>K.9999</t>
        </is>
      </c>
      <c r="C986" s="56" t="inlineStr">
        <is>
          <t>NTCV.0923066</t>
        </is>
      </c>
      <c r="D986" s="57" t="n"/>
      <c r="E986" s="57" t="n"/>
      <c r="F986" s="57" t="n"/>
      <c r="G986" s="57" t="n"/>
      <c r="H986" s="57" t="n"/>
      <c r="J986" s="209" t="inlineStr">
        <is>
          <t>27</t>
        </is>
      </c>
      <c r="K986" s="209" t="inlineStr">
        <is>
          <t>K.9999</t>
        </is>
      </c>
      <c r="L986" s="210" t="inlineStr">
        <is>
          <t xml:space="preserve"> Rút ống vách thi công cọc khoan nhồi</t>
        </is>
      </c>
      <c r="M986" s="210" t="n"/>
      <c r="N986" s="210" t="n"/>
      <c r="O986" s="211" t="inlineStr">
        <is>
          <t>Cầu Km19+529.080</t>
        </is>
      </c>
      <c r="P986" s="212">
        <f>S983</f>
        <v/>
      </c>
      <c r="Q986" s="212">
        <f>P986</f>
        <v/>
      </c>
      <c r="R986" s="212">
        <f>Q986-1</f>
        <v/>
      </c>
      <c r="S986" s="212">
        <f>Q986</f>
        <v/>
      </c>
      <c r="T986" s="213">
        <f>U983</f>
        <v/>
      </c>
      <c r="U986" s="213">
        <f>T986+V986</f>
        <v/>
      </c>
      <c r="V986" s="213" t="n">
        <v>0.01041666666666667</v>
      </c>
      <c r="W986" s="214">
        <f>TEXT(T986,"HH""h""MM'")&amp;"÷"&amp;TEXT(U986,"HH""h""MM'")</f>
        <v/>
      </c>
      <c r="X986" s="214" t="n"/>
      <c r="Y986" s="214" t="n"/>
      <c r="Z986" s="214" t="inlineStr">
        <is>
          <t>11;</t>
        </is>
      </c>
      <c r="AA986" s="215" t="inlineStr">
        <is>
          <t>Rút ống vách  Cọc khoan nhồi Mố M2 - Cọc C5</t>
        </is>
      </c>
      <c r="AB986" s="204" t="inlineStr">
        <is>
          <t>09-XL-307HG/PYCNT/CKN/M2/C5-2</t>
        </is>
      </c>
      <c r="AC986" s="204" t="inlineStr">
        <is>
          <t>09-XL-307HG/BBNT/CKN/M2/C5-11</t>
        </is>
      </c>
      <c r="AD986" s="204" t="n"/>
      <c r="AE986" s="204" t="n"/>
      <c r="AF986" s="204" t="n"/>
      <c r="AG986" s="204" t="n"/>
      <c r="AH986" s="204" t="n"/>
      <c r="AI986" s="214" t="n"/>
      <c r="AJ986" s="214" t="n"/>
      <c r="AK986" s="217" t="n"/>
      <c r="AL986" s="214" t="n"/>
      <c r="AM986" s="214" t="n"/>
      <c r="AN986" s="214" t="n"/>
      <c r="AO986" s="214" t="n"/>
      <c r="AP986" s="216" t="n"/>
      <c r="AQ986" s="216" t="n"/>
      <c r="AR986" s="214" t="inlineStr">
        <is>
          <t>Nhóm 1</t>
        </is>
      </c>
      <c r="AS986" s="214" t="n"/>
      <c r="AT986" s="214" t="inlineStr">
        <is>
          <t>HM27</t>
        </is>
      </c>
      <c r="AU986" s="214" t="inlineStr">
        <is>
          <t>NTCV</t>
        </is>
      </c>
      <c r="AV986" s="214" t="n">
        <v>263</v>
      </c>
      <c r="AW986" s="214" t="n">
        <v>10</v>
      </c>
      <c r="AX986" s="214" t="n"/>
    </row>
    <row r="987">
      <c r="A987" s="56" t="inlineStr">
        <is>
          <t>BBK544</t>
        </is>
      </c>
      <c r="B987" s="56" t="inlineStr">
        <is>
          <t>PL11</t>
        </is>
      </c>
      <c r="C987" s="56" t="inlineStr">
        <is>
          <t>BBK544.0500069</t>
        </is>
      </c>
      <c r="D987" s="57" t="n"/>
      <c r="E987" s="57" t="n"/>
      <c r="F987" s="57" t="n"/>
      <c r="G987" s="57" t="n"/>
      <c r="H987" s="57" t="n"/>
      <c r="J987" s="198" t="inlineStr">
        <is>
          <t>28</t>
        </is>
      </c>
      <c r="K987" s="198" t="inlineStr">
        <is>
          <t>PL11</t>
        </is>
      </c>
      <c r="L987" s="199" t="inlineStr">
        <is>
          <t>Rút ống vách thi công cọc khoan nhồi</t>
        </is>
      </c>
      <c r="M987" s="199" t="n"/>
      <c r="N987" s="199" t="n"/>
      <c r="O987" s="200" t="inlineStr">
        <is>
          <t>Cầu Km19+529.080</t>
        </is>
      </c>
      <c r="P987" s="201" t="n"/>
      <c r="Q987" s="201" t="n"/>
      <c r="R987" s="201" t="n"/>
      <c r="S987" s="201">
        <f>S986</f>
        <v/>
      </c>
      <c r="T987" s="201" t="n"/>
      <c r="U987" s="201" t="n"/>
      <c r="V987" s="201" t="n"/>
      <c r="W987" s="202" t="n"/>
      <c r="X987" s="202" t="n"/>
      <c r="Y987" s="202" t="n"/>
      <c r="Z987" s="198" t="inlineStr">
        <is>
          <t>11</t>
        </is>
      </c>
      <c r="AA987" s="203" t="n"/>
      <c r="AB987" s="204" t="inlineStr">
        <is>
          <t>09-XL-307HG/PYCNT/CKN/M2/C5-2</t>
        </is>
      </c>
      <c r="AC987" s="204">
        <f>AC986</f>
        <v/>
      </c>
      <c r="AD987" s="204" t="n"/>
      <c r="AE987" s="204" t="n"/>
      <c r="AF987" s="204" t="n"/>
      <c r="AG987" s="204" t="n"/>
      <c r="AH987" s="204" t="inlineStr">
        <is>
          <t>&gt;=738;&lt;=769</t>
        </is>
      </c>
      <c r="AI987" s="202" t="n"/>
      <c r="AJ987" s="202" t="n"/>
      <c r="AK987" s="206" t="n"/>
      <c r="AL987" s="202" t="n"/>
      <c r="AM987" s="202" t="n"/>
      <c r="AN987" s="202" t="n"/>
      <c r="AO987" s="202" t="n"/>
      <c r="AP987" s="207" t="n"/>
      <c r="AQ987" s="207" t="n"/>
      <c r="AR987" s="202" t="inlineStr">
        <is>
          <t>Nhóm 1</t>
        </is>
      </c>
      <c r="AS987" s="202" t="n"/>
      <c r="AT987" s="202" t="inlineStr">
        <is>
          <t>HM27</t>
        </is>
      </c>
      <c r="AU987" s="202" t="inlineStr">
        <is>
          <t>PL11</t>
        </is>
      </c>
      <c r="AV987" s="202" t="n">
        <v>18</v>
      </c>
      <c r="AW987" s="202" t="n">
        <v>1</v>
      </c>
      <c r="AX987" s="202" t="n"/>
    </row>
    <row r="988" ht="13" customHeight="1" s="672">
      <c r="A988" s="56" t="inlineStr">
        <is>
          <t>BBK680</t>
        </is>
      </c>
      <c r="B988" s="56" t="inlineStr">
        <is>
          <t>PYC</t>
        </is>
      </c>
      <c r="C988" s="56" t="inlineStr">
        <is>
          <t>BBK680.0884478</t>
        </is>
      </c>
      <c r="D988" s="57" t="n"/>
      <c r="E988" s="57" t="n"/>
      <c r="F988" s="57" t="n"/>
      <c r="G988" s="57" t="n"/>
      <c r="H988" s="57" t="n"/>
      <c r="J988" s="198" t="inlineStr">
        <is>
          <t>29</t>
        </is>
      </c>
      <c r="K988" s="198" t="inlineStr">
        <is>
          <t>PYC</t>
        </is>
      </c>
      <c r="L988" s="199" t="inlineStr">
        <is>
          <t>Phiếu yêu cầu nghiệm thu</t>
        </is>
      </c>
      <c r="M988" s="199" t="n"/>
      <c r="N988" s="199" t="n"/>
      <c r="O988" s="200" t="inlineStr">
        <is>
          <t>Cầu Km19+529.080</t>
        </is>
      </c>
      <c r="P988" s="201" t="n"/>
      <c r="Q988" s="201" t="n"/>
      <c r="R988" s="201">
        <f>+S983+28</f>
        <v/>
      </c>
      <c r="S988" s="201" t="n"/>
      <c r="T988" s="201" t="n"/>
      <c r="U988" s="201" t="n"/>
      <c r="V988" s="201" t="n"/>
      <c r="W988" s="202" t="n"/>
      <c r="X988" s="202" t="n"/>
      <c r="Y988" s="202" t="n"/>
      <c r="Z988" s="202" t="n"/>
      <c r="AA988" s="203" t="n"/>
      <c r="AB988" s="204" t="inlineStr">
        <is>
          <t>09-XL-307HG/PYCNT/CKN/M2/C5</t>
        </is>
      </c>
      <c r="AC988" s="205" t="inlineStr"/>
      <c r="AD988" s="205" t="n"/>
      <c r="AE988" s="205" t="n"/>
      <c r="AF988" s="205" t="n"/>
      <c r="AG988" s="205" t="inlineStr">
        <is>
          <t>NTCV;BBKTĐK</t>
        </is>
      </c>
      <c r="AH988" s="204" t="n">
        <v>11</v>
      </c>
      <c r="AI988" s="202" t="n"/>
      <c r="AJ988" s="202" t="n"/>
      <c r="AK988" s="206" t="n"/>
      <c r="AL988" s="202" t="n"/>
      <c r="AM988" s="202" t="n"/>
      <c r="AN988" s="202" t="n"/>
      <c r="AO988" s="202" t="n"/>
      <c r="AP988" s="207" t="n"/>
      <c r="AQ988" s="207" t="n"/>
      <c r="AR988" s="202" t="inlineStr">
        <is>
          <t>Nhóm 1</t>
        </is>
      </c>
      <c r="AS988" s="202" t="n"/>
      <c r="AT988" s="202" t="inlineStr">
        <is>
          <t>HM27</t>
        </is>
      </c>
      <c r="AU988" s="202" t="inlineStr">
        <is>
          <t>PYC</t>
        </is>
      </c>
      <c r="AV988" s="202" t="n">
        <v>235</v>
      </c>
      <c r="AW988" s="202" t="n">
        <v>3</v>
      </c>
      <c r="AX988" s="202" t="n"/>
    </row>
    <row r="989" ht="28" customHeight="1" s="672">
      <c r="A989" s="56" t="inlineStr">
        <is>
          <t>NTCV</t>
        </is>
      </c>
      <c r="B989" s="56" t="inlineStr">
        <is>
          <t>K.9999</t>
        </is>
      </c>
      <c r="C989" s="56" t="inlineStr">
        <is>
          <t>NTCV.0572497</t>
        </is>
      </c>
      <c r="D989" s="57" t="n"/>
      <c r="E989" s="57" t="n"/>
      <c r="F989" s="57" t="n"/>
      <c r="G989" s="57" t="n"/>
      <c r="H989" s="57" t="n"/>
      <c r="J989" s="209" t="inlineStr">
        <is>
          <t>30</t>
        </is>
      </c>
      <c r="K989" s="209" t="inlineStr">
        <is>
          <t>K.9999</t>
        </is>
      </c>
      <c r="L989" s="210" t="inlineStr">
        <is>
          <t>Theo dõi nén mẫu R7 Cọc khoan nhồi Mố M2 - Cọc C5</t>
        </is>
      </c>
      <c r="M989" s="210" t="n"/>
      <c r="N989" s="210" t="n"/>
      <c r="O989" s="211" t="inlineStr">
        <is>
          <t>Cầu Km19+529.080</t>
        </is>
      </c>
      <c r="P989" s="212">
        <f>S986+7</f>
        <v/>
      </c>
      <c r="Q989" s="212">
        <f>P989</f>
        <v/>
      </c>
      <c r="R989" s="212">
        <f>Q989-1</f>
        <v/>
      </c>
      <c r="S989" s="212">
        <f>Q989</f>
        <v/>
      </c>
      <c r="T989" s="213" t="n">
        <v>0.3541666666666667</v>
      </c>
      <c r="U989" s="213">
        <f>T989+V989</f>
        <v/>
      </c>
      <c r="V989" s="213" t="n">
        <v>0.02083333333333333</v>
      </c>
      <c r="W989" s="214">
        <f>TEXT(T989,"HH""h""MM'")&amp;"÷"&amp;TEXT(U989,"HH""h""MM'")</f>
        <v/>
      </c>
      <c r="X989" s="214" t="n"/>
      <c r="Y989" s="214" t="n"/>
      <c r="Z989" s="214" t="n"/>
      <c r="AA989" s="215" t="inlineStr">
        <is>
          <t>Theo dõi nén mẫu R7 Cọc khoan nhồi Mố M2 - Cọc C5</t>
        </is>
      </c>
      <c r="AB989" s="204" t="inlineStr">
        <is>
          <t>09-XL-307HG/PYCNT/CKN/M2/C5-3</t>
        </is>
      </c>
      <c r="AC989" s="204" t="inlineStr">
        <is>
          <t>09-XL-307HG/BBNT/CKN/M2/C5-12</t>
        </is>
      </c>
      <c r="AD989" s="204" t="n"/>
      <c r="AE989" s="204" t="n"/>
      <c r="AF989" s="204" t="n"/>
      <c r="AG989" s="204" t="n"/>
      <c r="AH989" s="204" t="n"/>
      <c r="AI989" s="214" t="n"/>
      <c r="AJ989" s="214" t="n"/>
      <c r="AK989" s="217" t="n"/>
      <c r="AL989" s="214" t="n"/>
      <c r="AM989" s="214" t="n"/>
      <c r="AN989" s="214" t="n"/>
      <c r="AO989" s="214" t="n"/>
      <c r="AP989" s="216" t="n"/>
      <c r="AQ989" s="216" t="n"/>
      <c r="AR989" s="214" t="inlineStr">
        <is>
          <t>Nhóm 1</t>
        </is>
      </c>
      <c r="AS989" s="214" t="n"/>
      <c r="AT989" s="214" t="inlineStr">
        <is>
          <t>HM27</t>
        </is>
      </c>
      <c r="AU989" s="214" t="inlineStr">
        <is>
          <t>NTCV</t>
        </is>
      </c>
      <c r="AV989" s="214" t="n">
        <v>346</v>
      </c>
      <c r="AW989" s="214" t="n">
        <v>11</v>
      </c>
      <c r="AX989" s="214" t="n"/>
    </row>
    <row r="990">
      <c r="A990" s="56" t="inlineStr">
        <is>
          <t>BBK680</t>
        </is>
      </c>
      <c r="B990" s="56" t="inlineStr">
        <is>
          <t>PYC</t>
        </is>
      </c>
      <c r="C990" s="56" t="inlineStr">
        <is>
          <t>BBK680.0422196</t>
        </is>
      </c>
      <c r="D990" s="57" t="n"/>
      <c r="E990" s="57" t="n"/>
      <c r="F990" s="57" t="n"/>
      <c r="G990" s="57" t="n"/>
      <c r="H990" s="57" t="n"/>
      <c r="J990" s="198" t="inlineStr">
        <is>
          <t>31</t>
        </is>
      </c>
      <c r="K990" s="198" t="inlineStr">
        <is>
          <t>PYC</t>
        </is>
      </c>
      <c r="L990" s="199" t="inlineStr">
        <is>
          <t>Phiếu yêu cầu nghiệm thu</t>
        </is>
      </c>
      <c r="M990" s="199" t="n"/>
      <c r="N990" s="199" t="n"/>
      <c r="O990" s="200" t="inlineStr">
        <is>
          <t>Cầu Km19+529.080</t>
        </is>
      </c>
      <c r="P990" s="201" t="n"/>
      <c r="Q990" s="201" t="n"/>
      <c r="R990" s="201">
        <f>R991</f>
        <v/>
      </c>
      <c r="S990" s="201" t="n"/>
      <c r="T990" s="201" t="n"/>
      <c r="U990" s="201" t="n"/>
      <c r="V990" s="201" t="n"/>
      <c r="W990" s="202" t="n"/>
      <c r="X990" s="202" t="n"/>
      <c r="Y990" s="202" t="n"/>
      <c r="Z990" s="202" t="n"/>
      <c r="AA990" s="203" t="n"/>
      <c r="AB990" s="204" t="inlineStr">
        <is>
          <t>09-XL-307HG/PYCNT/CKN/M2/C5</t>
        </is>
      </c>
      <c r="AC990" s="205" t="inlineStr"/>
      <c r="AD990" s="205" t="n"/>
      <c r="AE990" s="205" t="n"/>
      <c r="AF990" s="205" t="n"/>
      <c r="AG990" s="205" t="inlineStr">
        <is>
          <t>NTCV;BBKTĐK</t>
        </is>
      </c>
      <c r="AH990" s="204" t="n">
        <v>12</v>
      </c>
      <c r="AI990" s="202" t="n"/>
      <c r="AJ990" s="202" t="n"/>
      <c r="AK990" s="206" t="n"/>
      <c r="AL990" s="202" t="n"/>
      <c r="AM990" s="202" t="n"/>
      <c r="AN990" s="202" t="n"/>
      <c r="AO990" s="202" t="n"/>
      <c r="AP990" s="207" t="n"/>
      <c r="AQ990" s="207" t="n"/>
      <c r="AR990" s="202" t="inlineStr">
        <is>
          <t>Nhóm 1</t>
        </is>
      </c>
      <c r="AS990" s="202" t="n"/>
      <c r="AT990" s="202" t="inlineStr">
        <is>
          <t>HM27</t>
        </is>
      </c>
      <c r="AU990" s="202" t="inlineStr">
        <is>
          <t>PYC</t>
        </is>
      </c>
      <c r="AV990" s="202" t="n">
        <v>236</v>
      </c>
      <c r="AW990" s="202" t="n">
        <v>4</v>
      </c>
      <c r="AX990" s="202" t="n"/>
    </row>
    <row r="991" ht="28" customHeight="1" s="672">
      <c r="A991" s="56" t="inlineStr">
        <is>
          <t>NTCV</t>
        </is>
      </c>
      <c r="B991" s="56" t="inlineStr">
        <is>
          <t>K.9999</t>
        </is>
      </c>
      <c r="C991" s="56" t="inlineStr">
        <is>
          <t>NTCV.0819328</t>
        </is>
      </c>
      <c r="D991" s="57" t="n"/>
      <c r="E991" s="57" t="n"/>
      <c r="F991" s="57" t="n"/>
      <c r="G991" s="57" t="n"/>
      <c r="H991" s="57" t="n"/>
      <c r="J991" s="209" t="inlineStr">
        <is>
          <t>32</t>
        </is>
      </c>
      <c r="K991" s="209" t="inlineStr">
        <is>
          <t>K.9999</t>
        </is>
      </c>
      <c r="L991" s="210" t="inlineStr">
        <is>
          <t>Đập đầu cọc khoan nhồi Mố M2 - Cọc C5</t>
        </is>
      </c>
      <c r="M991" s="210" t="n"/>
      <c r="N991" s="210" t="n"/>
      <c r="O991" s="211" t="inlineStr">
        <is>
          <t>Cầu Km19+529.080</t>
        </is>
      </c>
      <c r="P991" s="212">
        <f>S989</f>
        <v/>
      </c>
      <c r="Q991" s="212">
        <f>P991</f>
        <v/>
      </c>
      <c r="R991" s="212">
        <f>Q991-1</f>
        <v/>
      </c>
      <c r="S991" s="212">
        <f>Q991</f>
        <v/>
      </c>
      <c r="T991" s="213" t="n">
        <v>0.3541666666666667</v>
      </c>
      <c r="U991" s="213">
        <f>T991+V991</f>
        <v/>
      </c>
      <c r="V991" s="213" t="n">
        <v>0.0625</v>
      </c>
      <c r="W991" s="214">
        <f>TEXT(T991,"HH""h""MM'")&amp;"÷"&amp;TEXT(U991,"HH""h""MM'")</f>
        <v/>
      </c>
      <c r="X991" s="214" t="n"/>
      <c r="Y991" s="214" t="n"/>
      <c r="Z991" s="214" t="n"/>
      <c r="AA991" s="215" t="inlineStr">
        <is>
          <t>Theo dõi nén mẫu R28 Cọc khoan nhồi Mố M2 - Cọc C5</t>
        </is>
      </c>
      <c r="AB991" s="204" t="inlineStr">
        <is>
          <t>09-XL-307HG/PYCNT/CKN/M2/C5-4</t>
        </is>
      </c>
      <c r="AC991" s="204" t="inlineStr">
        <is>
          <t>09-XL-307HG/BBNT/CKN/M2/C5-13</t>
        </is>
      </c>
      <c r="AD991" s="204" t="n"/>
      <c r="AE991" s="204" t="n"/>
      <c r="AF991" s="204" t="n"/>
      <c r="AG991" s="204" t="n"/>
      <c r="AH991" s="204" t="n"/>
      <c r="AI991" s="214" t="n"/>
      <c r="AJ991" s="214" t="n"/>
      <c r="AK991" s="217" t="n"/>
      <c r="AL991" s="214" t="n"/>
      <c r="AM991" s="214" t="n"/>
      <c r="AN991" s="214" t="n"/>
      <c r="AO991" s="214" t="n"/>
      <c r="AP991" s="216" t="n"/>
      <c r="AQ991" s="216" t="n"/>
      <c r="AR991" s="214" t="inlineStr">
        <is>
          <t>Nhóm 1</t>
        </is>
      </c>
      <c r="AS991" s="214" t="n"/>
      <c r="AT991" s="214" t="inlineStr">
        <is>
          <t>HM27</t>
        </is>
      </c>
      <c r="AU991" s="214" t="inlineStr">
        <is>
          <t>NTCV</t>
        </is>
      </c>
      <c r="AV991" s="214" t="n">
        <v>347</v>
      </c>
      <c r="AW991" s="214" t="n">
        <v>12</v>
      </c>
      <c r="AX991" s="214" t="n"/>
    </row>
    <row r="992">
      <c r="A992" s="56" t="inlineStr">
        <is>
          <t>HM</t>
        </is>
      </c>
      <c r="B992" s="56" t="inlineStr">
        <is>
          <t>HM</t>
        </is>
      </c>
      <c r="C992" s="56" t="inlineStr">
        <is>
          <t>HM.0726750</t>
        </is>
      </c>
      <c r="D992" s="57" t="n"/>
      <c r="E992" s="57" t="n"/>
      <c r="F992" s="57" t="n"/>
      <c r="G992" s="57" t="n"/>
      <c r="H992" s="57" t="n"/>
      <c r="J992" s="246" t="inlineStr">
        <is>
          <t>HM28</t>
        </is>
      </c>
      <c r="K992" s="246" t="inlineStr">
        <is>
          <t>HM</t>
        </is>
      </c>
      <c r="L992" s="247" t="inlineStr">
        <is>
          <t>Mố M2 - Cọc C6</t>
        </is>
      </c>
      <c r="M992" s="247" t="n"/>
      <c r="N992" s="247" t="n"/>
      <c r="O992" s="248" t="inlineStr">
        <is>
          <t>Cầu Km19+529.080</t>
        </is>
      </c>
      <c r="P992" s="249" t="n"/>
      <c r="Q992" s="249" t="n"/>
      <c r="R992" s="249" t="n"/>
      <c r="S992" s="249" t="n"/>
      <c r="T992" s="249" t="n"/>
      <c r="U992" s="249" t="n"/>
      <c r="V992" s="249" t="n"/>
      <c r="W992" s="250" t="n"/>
      <c r="X992" s="250" t="n"/>
      <c r="Y992" s="250" t="n"/>
      <c r="Z992" s="250" t="n"/>
      <c r="AA992" s="251" t="n"/>
      <c r="AB992" s="252" t="n"/>
      <c r="AC992" s="252" t="inlineStr"/>
      <c r="AD992" s="252" t="n"/>
      <c r="AE992" s="252" t="n"/>
      <c r="AF992" s="252" t="n"/>
      <c r="AG992" s="252" t="n"/>
      <c r="AH992" s="252" t="n"/>
      <c r="AI992" s="250" t="n"/>
      <c r="AJ992" s="250" t="n"/>
      <c r="AK992" s="253" t="n"/>
      <c r="AL992" s="250" t="n"/>
      <c r="AM992" s="250" t="n"/>
      <c r="AN992" s="250" t="n"/>
      <c r="AO992" s="250" t="n"/>
      <c r="AP992" s="254" t="n"/>
      <c r="AQ992" s="254" t="n"/>
      <c r="AR992" s="250" t="n"/>
      <c r="AS992" s="250" t="n"/>
      <c r="AT992" s="250" t="inlineStr">
        <is>
          <t>HM28</t>
        </is>
      </c>
      <c r="AU992" s="250" t="inlineStr">
        <is>
          <t>HM</t>
        </is>
      </c>
      <c r="AV992" s="250" t="n"/>
      <c r="AW992" s="250" t="n"/>
      <c r="AX992" s="250" t="n"/>
    </row>
    <row r="993" ht="28" customFormat="1" customHeight="1" s="70">
      <c r="A993" s="68" t="inlineStr">
        <is>
          <t>BBK_BIA</t>
        </is>
      </c>
      <c r="B993" s="68" t="inlineStr">
        <is>
          <t>TRANGBIA</t>
        </is>
      </c>
      <c r="C993" s="68" t="inlineStr">
        <is>
          <t>BBK_BIA.0895535</t>
        </is>
      </c>
      <c r="D993" s="69" t="n"/>
      <c r="E993" s="69" t="n"/>
      <c r="F993" s="69" t="n"/>
      <c r="G993" s="69" t="n"/>
      <c r="H993" s="69" t="n"/>
      <c r="J993" s="98" t="inlineStr">
        <is>
          <t>01</t>
        </is>
      </c>
      <c r="K993" s="98" t="inlineStr">
        <is>
          <t>TRANGBIA</t>
        </is>
      </c>
      <c r="L993" s="99">
        <f>"Cọc Khoan Nhồi"&amp;" - "&amp;L992</f>
        <v/>
      </c>
      <c r="M993" s="99" t="n"/>
      <c r="N993" s="99" t="n"/>
      <c r="O993" s="100" t="inlineStr">
        <is>
          <t>Cầu Km19+529.080</t>
        </is>
      </c>
      <c r="P993" s="101" t="n"/>
      <c r="Q993" s="101" t="n"/>
      <c r="R993" s="101" t="n"/>
      <c r="S993" s="101" t="n"/>
      <c r="T993" s="101" t="n"/>
      <c r="U993" s="101" t="n"/>
      <c r="V993" s="101" t="n"/>
      <c r="W993" s="102" t="n"/>
      <c r="X993" s="102" t="n"/>
      <c r="Y993" s="102" t="n"/>
      <c r="Z993" s="102" t="n"/>
      <c r="AA993" s="102" t="n"/>
      <c r="AB993" s="102" t="n"/>
      <c r="AC993" s="102" t="inlineStr"/>
      <c r="AD993" s="102" t="n"/>
      <c r="AE993" s="102" t="n"/>
      <c r="AF993" s="102" t="n"/>
      <c r="AG993" s="102" t="n"/>
      <c r="AH993" s="102" t="n"/>
      <c r="AI993" s="102" t="n"/>
      <c r="AJ993" s="102" t="n"/>
      <c r="AK993" s="100" t="n"/>
      <c r="AL993" s="102" t="n"/>
      <c r="AM993" s="102" t="n"/>
      <c r="AN993" s="102" t="n"/>
      <c r="AO993" s="102" t="n"/>
      <c r="AP993" s="103" t="inlineStr">
        <is>
          <t>Kết cấu cọc khoan nhồi mố, trụ</t>
        </is>
      </c>
      <c r="AQ993" s="104" t="n"/>
      <c r="AR993" s="102" t="inlineStr">
        <is>
          <t>Nhóm 1</t>
        </is>
      </c>
      <c r="AS993" s="102" t="n"/>
      <c r="AT993" s="102" t="inlineStr">
        <is>
          <t>HM28</t>
        </is>
      </c>
      <c r="AU993" s="102" t="inlineStr">
        <is>
          <t>TRANGBIA</t>
        </is>
      </c>
      <c r="AV993" s="102" t="n">
        <v>28</v>
      </c>
      <c r="AW993" s="102" t="n">
        <v>1</v>
      </c>
      <c r="AX993" s="102" t="n"/>
    </row>
    <row r="994" customFormat="1" s="70">
      <c r="A994" s="68" t="inlineStr">
        <is>
          <t>BBK_ML</t>
        </is>
      </c>
      <c r="B994" s="68" t="inlineStr">
        <is>
          <t>MUCLUC</t>
        </is>
      </c>
      <c r="C994" s="68" t="inlineStr">
        <is>
          <t>BBK_ML.0153524</t>
        </is>
      </c>
      <c r="D994" s="69" t="n"/>
      <c r="E994" s="69" t="n"/>
      <c r="F994" s="69" t="n"/>
      <c r="G994" s="69" t="n"/>
      <c r="H994" s="69" t="n"/>
      <c r="J994" s="98" t="inlineStr">
        <is>
          <t>02</t>
        </is>
      </c>
      <c r="K994" s="98" t="inlineStr">
        <is>
          <t>MUCLUC</t>
        </is>
      </c>
      <c r="L994" s="99" t="inlineStr">
        <is>
          <t>Danh mục biên bản Kiểm tra/Nghiệm thu</t>
        </is>
      </c>
      <c r="M994" s="99" t="n"/>
      <c r="N994" s="99" t="n"/>
      <c r="O994" s="100" t="inlineStr">
        <is>
          <t>Cầu Km19+529.080</t>
        </is>
      </c>
      <c r="P994" s="101" t="n"/>
      <c r="Q994" s="101" t="n"/>
      <c r="R994" s="101" t="n"/>
      <c r="S994" s="101" t="n"/>
      <c r="T994" s="101" t="n"/>
      <c r="U994" s="101" t="n"/>
      <c r="V994" s="101" t="n"/>
      <c r="W994" s="102" t="n"/>
      <c r="X994" s="102" t="n"/>
      <c r="Y994" s="102" t="n"/>
      <c r="Z994" s="102" t="n"/>
      <c r="AA994" s="102" t="n"/>
      <c r="AB994" s="102" t="n"/>
      <c r="AC994" s="102" t="inlineStr"/>
      <c r="AD994" s="102" t="n"/>
      <c r="AE994" s="102" t="n"/>
      <c r="AF994" s="102" t="n"/>
      <c r="AG994" s="102" t="n"/>
      <c r="AH994" s="102" t="n"/>
      <c r="AI994" s="102" t="n"/>
      <c r="AJ994" s="102" t="n"/>
      <c r="AK994" s="100" t="n"/>
      <c r="AL994" s="102" t="n"/>
      <c r="AM994" s="102" t="n"/>
      <c r="AN994" s="102" t="n"/>
      <c r="AO994" s="102" t="n"/>
      <c r="AP994" s="104" t="n"/>
      <c r="AQ994" s="104" t="n"/>
      <c r="AR994" s="102" t="inlineStr">
        <is>
          <t>Nhóm 1</t>
        </is>
      </c>
      <c r="AS994" s="102" t="n"/>
      <c r="AT994" s="102" t="inlineStr">
        <is>
          <t>HM28</t>
        </is>
      </c>
      <c r="AU994" s="102" t="inlineStr">
        <is>
          <t>MUCLUC</t>
        </is>
      </c>
      <c r="AV994" s="102" t="n">
        <v>28</v>
      </c>
      <c r="AW994" s="102" t="n">
        <v>1</v>
      </c>
      <c r="AX994" s="102" t="n"/>
    </row>
    <row r="995">
      <c r="A995" s="56" t="inlineStr">
        <is>
          <t>BBK680</t>
        </is>
      </c>
      <c r="B995" s="56" t="inlineStr">
        <is>
          <t>PYC</t>
        </is>
      </c>
      <c r="C995" s="56" t="inlineStr">
        <is>
          <t>BBK680.0774027</t>
        </is>
      </c>
      <c r="D995" s="57" t="n"/>
      <c r="E995" s="57" t="n"/>
      <c r="F995" s="57" t="n"/>
      <c r="G995" s="57" t="n"/>
      <c r="H995" s="57" t="n"/>
      <c r="J995" s="198" t="inlineStr">
        <is>
          <t>03</t>
        </is>
      </c>
      <c r="K995" s="198" t="inlineStr">
        <is>
          <t>PYC</t>
        </is>
      </c>
      <c r="L995" s="199" t="inlineStr">
        <is>
          <t>Phiếu yêu cầu nghiệm thu</t>
        </is>
      </c>
      <c r="M995" s="199" t="n"/>
      <c r="N995" s="199" t="n"/>
      <c r="O995" s="200" t="inlineStr">
        <is>
          <t>Cầu Km19+529.080</t>
        </is>
      </c>
      <c r="P995" s="201" t="n"/>
      <c r="Q995" s="201" t="n"/>
      <c r="R995" s="201">
        <f>R996</f>
        <v/>
      </c>
      <c r="S995" s="201" t="n"/>
      <c r="T995" s="201" t="n"/>
      <c r="U995" s="201" t="n"/>
      <c r="V995" s="201" t="n"/>
      <c r="W995" s="202" t="n"/>
      <c r="X995" s="202" t="n"/>
      <c r="Y995" s="202" t="n"/>
      <c r="Z995" s="202" t="n"/>
      <c r="AA995" s="203" t="n"/>
      <c r="AB995" s="204" t="inlineStr">
        <is>
          <t>09-XL-307HG/PYCNT/CKN/M2/C6</t>
        </is>
      </c>
      <c r="AC995" s="205" t="inlineStr"/>
      <c r="AD995" s="205" t="n"/>
      <c r="AE995" s="205" t="n"/>
      <c r="AF995" s="205" t="n"/>
      <c r="AG995" s="205" t="inlineStr">
        <is>
          <t>NTCV;BBKTĐK</t>
        </is>
      </c>
      <c r="AH995" s="204" t="inlineStr">
        <is>
          <t>&gt;=1;&lt;=5</t>
        </is>
      </c>
      <c r="AI995" s="202" t="n"/>
      <c r="AJ995" s="202" t="n"/>
      <c r="AK995" s="206" t="n"/>
      <c r="AL995" s="202" t="n"/>
      <c r="AM995" s="202" t="n"/>
      <c r="AN995" s="202" t="n"/>
      <c r="AO995" s="202" t="n"/>
      <c r="AP995" s="207" t="n"/>
      <c r="AQ995" s="207" t="n"/>
      <c r="AR995" s="202" t="inlineStr">
        <is>
          <t>Nhóm 1</t>
        </is>
      </c>
      <c r="AS995" s="202" t="n"/>
      <c r="AT995" s="202" t="inlineStr">
        <is>
          <t>HM28</t>
        </is>
      </c>
      <c r="AU995" s="202" t="inlineStr">
        <is>
          <t>PYC</t>
        </is>
      </c>
      <c r="AV995" s="202" t="n">
        <v>237</v>
      </c>
      <c r="AW995" s="202" t="n">
        <v>1</v>
      </c>
      <c r="AX995" s="202" t="n"/>
    </row>
    <row r="996" ht="28" customHeight="1" s="672">
      <c r="A996" s="56" t="inlineStr">
        <is>
          <t>BBK884</t>
        </is>
      </c>
      <c r="B996" s="56" t="inlineStr">
        <is>
          <t>BBKTĐK</t>
        </is>
      </c>
      <c r="C996" s="56" t="inlineStr">
        <is>
          <t>BBK884.0666606</t>
        </is>
      </c>
      <c r="D996" s="57" t="n"/>
      <c r="E996" s="57" t="n"/>
      <c r="F996" s="57" t="n"/>
      <c r="G996" s="57" t="n"/>
      <c r="H996" s="57" t="n"/>
      <c r="J996" s="198" t="inlineStr">
        <is>
          <t>04</t>
        </is>
      </c>
      <c r="K996" s="198" t="inlineStr">
        <is>
          <t>BBKTĐK</t>
        </is>
      </c>
      <c r="L996" s="199" t="inlineStr">
        <is>
          <t>Kiểm tra điều kiện trước khi thi công cọc khoan nhồi: Thiết bị, nhân lực, vật tư</t>
        </is>
      </c>
      <c r="M996" s="199" t="n"/>
      <c r="N996" s="199" t="n"/>
      <c r="O996" s="200" t="inlineStr">
        <is>
          <t>Cầu Km19+529.080</t>
        </is>
      </c>
      <c r="P996" s="201" t="n">
        <v>46226</v>
      </c>
      <c r="Q996" s="201">
        <f>P996</f>
        <v/>
      </c>
      <c r="R996" s="201">
        <f>Q996-1</f>
        <v/>
      </c>
      <c r="S996" s="201">
        <f>Q996</f>
        <v/>
      </c>
      <c r="T996" s="208" t="n">
        <v>0.2916666666666667</v>
      </c>
      <c r="U996" s="208">
        <f>T996+V996</f>
        <v/>
      </c>
      <c r="V996" s="208" t="n">
        <v>0.02083333333333333</v>
      </c>
      <c r="W996" s="202">
        <f>TEXT(T996,"HH""h""MM'")&amp;"÷"&amp;TEXT(U996,"HH""h""MM'")</f>
        <v/>
      </c>
      <c r="X996" s="202" t="n"/>
      <c r="Y996" s="202" t="n"/>
      <c r="Z996" s="202" t="inlineStr">
        <is>
          <t>01;</t>
        </is>
      </c>
      <c r="AA996" s="200" t="inlineStr">
        <is>
          <t>Kiểm tra điều kiện trước khi thi công Cọc khoan nhồi Mố M2 - Cọc C6</t>
        </is>
      </c>
      <c r="AB996" s="205" t="inlineStr">
        <is>
          <t>09-XL-307HG/PYCNT/CKN/M2/C6-1</t>
        </is>
      </c>
      <c r="AC996" s="205" t="inlineStr">
        <is>
          <t>09-XL-307HG/BBNT/CKN/M2/C6-1</t>
        </is>
      </c>
      <c r="AD996" s="205" t="n"/>
      <c r="AE996" s="205" t="n"/>
      <c r="AF996" s="205" t="n"/>
      <c r="AG996" s="205" t="n"/>
      <c r="AH996" s="205" t="n"/>
      <c r="AI996" s="207" t="n"/>
      <c r="AJ996" s="214" t="n"/>
      <c r="AK996" s="217" t="n"/>
      <c r="AL996" s="214" t="n"/>
      <c r="AM996" s="214" t="n"/>
      <c r="AN996" s="214" t="n"/>
      <c r="AO996" s="202" t="n"/>
      <c r="AP996" s="207" t="n"/>
      <c r="AQ996" s="207" t="n"/>
      <c r="AR996" s="202" t="inlineStr">
        <is>
          <t>Nhóm 1</t>
        </is>
      </c>
      <c r="AS996" s="202" t="n"/>
      <c r="AT996" s="202" t="inlineStr">
        <is>
          <t>HM28</t>
        </is>
      </c>
      <c r="AU996" s="202" t="inlineStr">
        <is>
          <t>BBKTĐK</t>
        </is>
      </c>
      <c r="AV996" s="202" t="n">
        <v>21</v>
      </c>
      <c r="AW996" s="202" t="n">
        <v>1</v>
      </c>
      <c r="AX996" s="202" t="n"/>
    </row>
    <row r="997" ht="28" customHeight="1" s="672">
      <c r="A997" s="56" t="inlineStr">
        <is>
          <t>BBK860</t>
        </is>
      </c>
      <c r="B997" s="56" t="inlineStr">
        <is>
          <t>PL01</t>
        </is>
      </c>
      <c r="C997" s="56" t="inlineStr">
        <is>
          <t>BBK860.0914102</t>
        </is>
      </c>
      <c r="D997" s="57" t="n"/>
      <c r="E997" s="57" t="n"/>
      <c r="F997" s="57" t="n"/>
      <c r="G997" s="57" t="n"/>
      <c r="H997" s="57" t="n"/>
      <c r="J997" s="198" t="inlineStr">
        <is>
          <t>05</t>
        </is>
      </c>
      <c r="K997" s="198" t="inlineStr">
        <is>
          <t>PL01</t>
        </is>
      </c>
      <c r="L997" s="199" t="inlineStr">
        <is>
          <t>Máy móc, thiết bị, nhân lực, vật tư thi công cọc khoan nhồi</t>
        </is>
      </c>
      <c r="M997" s="199" t="n"/>
      <c r="N997" s="199" t="n"/>
      <c r="O997" s="199" t="inlineStr">
        <is>
          <t>Cầu Km19+529.080</t>
        </is>
      </c>
      <c r="P997" s="201" t="n"/>
      <c r="Q997" s="201" t="n"/>
      <c r="R997" s="201" t="n"/>
      <c r="S997" s="201">
        <f>S996</f>
        <v/>
      </c>
      <c r="T997" s="201" t="n"/>
      <c r="U997" s="201" t="n"/>
      <c r="V997" s="201" t="n"/>
      <c r="W997" s="202" t="n"/>
      <c r="X997" s="202" t="n"/>
      <c r="Y997" s="202" t="n"/>
      <c r="Z997" s="198" t="inlineStr">
        <is>
          <t>01</t>
        </is>
      </c>
      <c r="AA997" s="203" t="n"/>
      <c r="AB997" s="204" t="inlineStr">
        <is>
          <t>09-XL-307HG/PYCNT/CKN/M2/C6-1</t>
        </is>
      </c>
      <c r="AC997" s="204">
        <f>AC996</f>
        <v/>
      </c>
      <c r="AD997" s="204" t="n"/>
      <c r="AE997" s="204" t="n"/>
      <c r="AF997" s="204" t="n"/>
      <c r="AG997" s="204" t="n"/>
      <c r="AH997" s="204" t="inlineStr">
        <is>
          <t>CKN</t>
        </is>
      </c>
      <c r="AI997" s="207" t="n"/>
      <c r="AJ997" s="202" t="n"/>
      <c r="AK997" s="206" t="n"/>
      <c r="AL997" s="202" t="n"/>
      <c r="AM997" s="202" t="n"/>
      <c r="AN997" s="202" t="n"/>
      <c r="AO997" s="202" t="n"/>
      <c r="AP997" s="207" t="n"/>
      <c r="AQ997" s="207" t="n"/>
      <c r="AR997" s="202" t="inlineStr">
        <is>
          <t>Nhóm 1</t>
        </is>
      </c>
      <c r="AS997" s="202" t="n"/>
      <c r="AT997" s="202" t="inlineStr">
        <is>
          <t>HM28</t>
        </is>
      </c>
      <c r="AU997" s="202" t="inlineStr">
        <is>
          <t>PL01</t>
        </is>
      </c>
      <c r="AV997" s="202" t="n">
        <v>22</v>
      </c>
      <c r="AW997" s="202" t="n">
        <v>1</v>
      </c>
      <c r="AX997" s="202" t="n"/>
    </row>
    <row r="998" ht="42" customHeight="1" s="672">
      <c r="A998" s="56" t="inlineStr">
        <is>
          <t>NTCV</t>
        </is>
      </c>
      <c r="B998" s="56" t="inlineStr">
        <is>
          <t>K.9999</t>
        </is>
      </c>
      <c r="C998" s="56" t="inlineStr">
        <is>
          <t>NTCV.0833417</t>
        </is>
      </c>
      <c r="D998" s="57" t="n"/>
      <c r="E998" s="57" t="n"/>
      <c r="F998" s="57" t="n"/>
      <c r="G998" s="57" t="n"/>
      <c r="H998" s="57" t="n"/>
      <c r="J998" s="209" t="inlineStr">
        <is>
          <t>06</t>
        </is>
      </c>
      <c r="K998" s="209" t="inlineStr">
        <is>
          <t>K.9999</t>
        </is>
      </c>
      <c r="L998" s="210" t="inlineStr">
        <is>
          <t>Kiểm tra ống vách, dung dịch bentonite trước khi khoan cọc khoan nhồi</t>
        </is>
      </c>
      <c r="M998" s="210" t="n"/>
      <c r="N998" s="210" t="n"/>
      <c r="O998" s="211" t="inlineStr">
        <is>
          <t>Cầu Km19+529.080</t>
        </is>
      </c>
      <c r="P998" s="212">
        <f>S996</f>
        <v/>
      </c>
      <c r="Q998" s="212">
        <f>P998</f>
        <v/>
      </c>
      <c r="R998" s="212">
        <f>Q998-1</f>
        <v/>
      </c>
      <c r="S998" s="212">
        <f>Q998</f>
        <v/>
      </c>
      <c r="T998" s="213">
        <f>U996</f>
        <v/>
      </c>
      <c r="U998" s="213">
        <f>T998+V998</f>
        <v/>
      </c>
      <c r="V998" s="213" t="n">
        <v>0.02083333333333333</v>
      </c>
      <c r="W998" s="214">
        <f>TEXT(T998,"HH""h""MM'")&amp;"÷"&amp;TEXT(U998,"HH""h""MM'")</f>
        <v/>
      </c>
      <c r="X998" s="214" t="n"/>
      <c r="Y998" s="214" t="n"/>
      <c r="Z998" s="214" t="inlineStr">
        <is>
          <t>02; 02a</t>
        </is>
      </c>
      <c r="AA998" s="215" t="inlineStr">
        <is>
          <t>Kiểm tra ống vách, dung dịch bentonite Cọc khoan nhồi Mố M2 - Cọc C6 trước khi khoan</t>
        </is>
      </c>
      <c r="AB998" s="204" t="inlineStr">
        <is>
          <t>09-XL-307HG/PYCNT/CKN/M2/C6-1</t>
        </is>
      </c>
      <c r="AC998" s="204" t="inlineStr">
        <is>
          <t>09-XL-307HG/BBNT/CKN/M2/C6-2</t>
        </is>
      </c>
      <c r="AD998" s="204" t="n"/>
      <c r="AE998" s="204" t="n"/>
      <c r="AF998" s="204" t="n"/>
      <c r="AG998" s="204" t="n"/>
      <c r="AH998" s="204" t="n"/>
      <c r="AI998" s="216" t="n"/>
      <c r="AJ998" s="214" t="n"/>
      <c r="AK998" s="217" t="n"/>
      <c r="AL998" s="214" t="n"/>
      <c r="AM998" s="214" t="n"/>
      <c r="AN998" s="214" t="n"/>
      <c r="AO998" s="214" t="n"/>
      <c r="AP998" s="216" t="n"/>
      <c r="AQ998" s="216" t="n"/>
      <c r="AR998" s="214" t="inlineStr">
        <is>
          <t>Nhóm 1</t>
        </is>
      </c>
      <c r="AS998" s="214" t="n"/>
      <c r="AT998" s="214" t="inlineStr">
        <is>
          <t>HM28</t>
        </is>
      </c>
      <c r="AU998" s="214" t="inlineStr">
        <is>
          <t>NTCV</t>
        </is>
      </c>
      <c r="AV998" s="214" t="n">
        <v>276</v>
      </c>
      <c r="AW998" s="214" t="n">
        <v>1</v>
      </c>
      <c r="AX998" s="214" t="n"/>
    </row>
    <row r="999">
      <c r="A999" s="56" t="inlineStr">
        <is>
          <t>BBK170</t>
        </is>
      </c>
      <c r="B999" s="56" t="inlineStr">
        <is>
          <t>PL02</t>
        </is>
      </c>
      <c r="C999" s="56" t="inlineStr">
        <is>
          <t>BBK170.0777559</t>
        </is>
      </c>
      <c r="D999" s="57" t="n"/>
      <c r="E999" s="57" t="n"/>
      <c r="F999" s="57" t="n"/>
      <c r="G999" s="57" t="n"/>
      <c r="H999" s="57" t="n"/>
      <c r="J999" s="198" t="inlineStr">
        <is>
          <t>07</t>
        </is>
      </c>
      <c r="K999" s="198" t="inlineStr">
        <is>
          <t>PL02</t>
        </is>
      </c>
      <c r="L999" s="199" t="inlineStr">
        <is>
          <t>Kiểm tra ống vách thi công trước khi hạ</t>
        </is>
      </c>
      <c r="M999" s="199" t="n"/>
      <c r="N999" s="199" t="n"/>
      <c r="O999" s="200" t="inlineStr">
        <is>
          <t>Cầu Km19+529.080</t>
        </is>
      </c>
      <c r="P999" s="201" t="n"/>
      <c r="Q999" s="201" t="n"/>
      <c r="R999" s="201" t="n"/>
      <c r="S999" s="201">
        <f>S998</f>
        <v/>
      </c>
      <c r="T999" s="201" t="n"/>
      <c r="U999" s="201" t="n"/>
      <c r="V999" s="201" t="n"/>
      <c r="W999" s="202" t="n"/>
      <c r="X999" s="202" t="n"/>
      <c r="Y999" s="202" t="n"/>
      <c r="Z999" s="198" t="inlineStr">
        <is>
          <t>02</t>
        </is>
      </c>
      <c r="AA999" s="203" t="n"/>
      <c r="AB999" s="204" t="inlineStr">
        <is>
          <t>09-XL-307HG/PYCNT/CKN/M2/C6-1</t>
        </is>
      </c>
      <c r="AC999" s="204">
        <f>AC998</f>
        <v/>
      </c>
      <c r="AD999" s="204" t="n"/>
      <c r="AE999" s="204" t="n"/>
      <c r="AF999" s="204" t="n"/>
      <c r="AG999" s="204" t="n"/>
      <c r="AH999" s="204" t="inlineStr">
        <is>
          <t>CKN</t>
        </is>
      </c>
      <c r="AI999" s="207" t="n"/>
      <c r="AJ999" s="202" t="n"/>
      <c r="AK999" s="206" t="n"/>
      <c r="AL999" s="202" t="n"/>
      <c r="AM999" s="202" t="n"/>
      <c r="AN999" s="202" t="n"/>
      <c r="AO999" s="202" t="n"/>
      <c r="AP999" s="207" t="n"/>
      <c r="AQ999" s="207" t="inlineStr">
        <is>
          <t>Ảnh\PL02 CKN.png</t>
        </is>
      </c>
      <c r="AR999" s="202" t="inlineStr">
        <is>
          <t>Nhóm 1</t>
        </is>
      </c>
      <c r="AS999" s="202" t="n"/>
      <c r="AT999" s="202" t="inlineStr">
        <is>
          <t>HM28</t>
        </is>
      </c>
      <c r="AU999" s="202" t="inlineStr">
        <is>
          <t>PL02</t>
        </is>
      </c>
      <c r="AV999" s="202" t="n">
        <v>21</v>
      </c>
      <c r="AW999" s="202" t="n">
        <v>1</v>
      </c>
      <c r="AX999" s="202" t="n"/>
    </row>
    <row r="1000">
      <c r="A1000" s="56" t="inlineStr">
        <is>
          <t>BBK721</t>
        </is>
      </c>
      <c r="B1000" s="56" t="inlineStr">
        <is>
          <t>PL02a</t>
        </is>
      </c>
      <c r="C1000" s="56" t="inlineStr">
        <is>
          <t>BBK721.0776372</t>
        </is>
      </c>
      <c r="D1000" s="57" t="n"/>
      <c r="E1000" s="57" t="n"/>
      <c r="F1000" s="57" t="n"/>
      <c r="G1000" s="57" t="n"/>
      <c r="H1000" s="57" t="n"/>
      <c r="J1000" s="198" t="inlineStr">
        <is>
          <t>08</t>
        </is>
      </c>
      <c r="K1000" s="198" t="inlineStr">
        <is>
          <t>PL02a</t>
        </is>
      </c>
      <c r="L1000" s="199" t="inlineStr">
        <is>
          <t>Kiểm tra ống vách thi công trước khi hạ</t>
        </is>
      </c>
      <c r="M1000" s="199" t="n"/>
      <c r="N1000" s="199" t="n"/>
      <c r="O1000" s="200" t="inlineStr">
        <is>
          <t>Cầu Km19+529.080</t>
        </is>
      </c>
      <c r="P1000" s="201" t="n"/>
      <c r="Q1000" s="201" t="n"/>
      <c r="R1000" s="201" t="n"/>
      <c r="S1000" s="201">
        <f>S999</f>
        <v/>
      </c>
      <c r="T1000" s="201" t="n"/>
      <c r="U1000" s="201" t="n"/>
      <c r="V1000" s="201" t="n"/>
      <c r="W1000" s="202" t="n"/>
      <c r="X1000" s="202" t="n"/>
      <c r="Y1000" s="202" t="n"/>
      <c r="Z1000" s="198" t="inlineStr">
        <is>
          <t>02a</t>
        </is>
      </c>
      <c r="AA1000" s="203" t="n"/>
      <c r="AB1000" s="204" t="inlineStr">
        <is>
          <t>09-XL-307HG/PYCNT/CKN/M2/C6-1</t>
        </is>
      </c>
      <c r="AC1000" s="204">
        <f>AC999</f>
        <v/>
      </c>
      <c r="AD1000" s="204" t="n"/>
      <c r="AE1000" s="204" t="n"/>
      <c r="AF1000" s="204" t="n"/>
      <c r="AG1000" s="204" t="n"/>
      <c r="AH1000" s="204" t="n"/>
      <c r="AI1000" s="207" t="n"/>
      <c r="AJ1000" s="202" t="n"/>
      <c r="AK1000" s="206" t="n"/>
      <c r="AL1000" s="202" t="n"/>
      <c r="AM1000" s="202" t="n"/>
      <c r="AN1000" s="202" t="n"/>
      <c r="AO1000" s="202" t="n"/>
      <c r="AP1000" s="207" t="n"/>
      <c r="AQ1000" s="207" t="n"/>
      <c r="AR1000" s="202" t="inlineStr">
        <is>
          <t>Nhóm 1</t>
        </is>
      </c>
      <c r="AS1000" s="202" t="n"/>
      <c r="AT1000" s="202" t="inlineStr">
        <is>
          <t>HM28</t>
        </is>
      </c>
      <c r="AU1000" s="202" t="inlineStr">
        <is>
          <t>PL02a</t>
        </is>
      </c>
      <c r="AV1000" s="202" t="n">
        <v>21</v>
      </c>
      <c r="AW1000" s="202" t="n">
        <v>1</v>
      </c>
      <c r="AX1000" s="202" t="n"/>
    </row>
    <row r="1001" ht="28" customHeight="1" s="672">
      <c r="A1001" s="56" t="inlineStr">
        <is>
          <t>NTCV</t>
        </is>
      </c>
      <c r="B1001" s="56" t="inlineStr">
        <is>
          <t>K.9999</t>
        </is>
      </c>
      <c r="C1001" s="56" t="inlineStr">
        <is>
          <t>NTCV.0473719</t>
        </is>
      </c>
      <c r="D1001" s="57" t="n"/>
      <c r="E1001" s="57" t="n"/>
      <c r="F1001" s="57" t="n"/>
      <c r="G1001" s="57" t="n"/>
      <c r="H1001" s="57" t="n"/>
      <c r="J1001" s="209" t="inlineStr">
        <is>
          <t>09</t>
        </is>
      </c>
      <c r="K1001" s="209" t="inlineStr">
        <is>
          <t>K.9999</t>
        </is>
      </c>
      <c r="L1001" s="210" t="inlineStr">
        <is>
          <t>Kiểm tra định vị tim cọc khoan nhồi, hạ ống vách thi công</t>
        </is>
      </c>
      <c r="M1001" s="210" t="n"/>
      <c r="N1001" s="210" t="n"/>
      <c r="O1001" s="211" t="inlineStr">
        <is>
          <t>Cầu Km19+529.080</t>
        </is>
      </c>
      <c r="P1001" s="212">
        <f>S998</f>
        <v/>
      </c>
      <c r="Q1001" s="212">
        <f>P1001</f>
        <v/>
      </c>
      <c r="R1001" s="212">
        <f>Q1001-1</f>
        <v/>
      </c>
      <c r="S1001" s="212">
        <f>Q1001</f>
        <v/>
      </c>
      <c r="T1001" s="213">
        <f>U998</f>
        <v/>
      </c>
      <c r="U1001" s="213">
        <f>T1001+V1001</f>
        <v/>
      </c>
      <c r="V1001" s="213" t="n">
        <v>0.02083333333333333</v>
      </c>
      <c r="W1001" s="214">
        <f>TEXT(T1001,"HH""h""MM'")&amp;"÷"&amp;TEXT(U1001,"HH""h""MM'")</f>
        <v/>
      </c>
      <c r="X1001" s="214" t="n"/>
      <c r="Y1001" s="214" t="n"/>
      <c r="Z1001" s="214" t="inlineStr">
        <is>
          <t>03;</t>
        </is>
      </c>
      <c r="AA1001" s="215" t="inlineStr">
        <is>
          <t>Kiểm tra định vị Cọc khoan nhồi Mố M2 - Cọc C6</t>
        </is>
      </c>
      <c r="AB1001" s="204" t="inlineStr">
        <is>
          <t>09-XL-307HG/PYCNT/CKN/M2/C6-1</t>
        </is>
      </c>
      <c r="AC1001" s="204" t="inlineStr">
        <is>
          <t>09-XL-307HG/BBNT/CKN/M2/C6-3</t>
        </is>
      </c>
      <c r="AD1001" s="204" t="n"/>
      <c r="AE1001" s="204" t="n"/>
      <c r="AF1001" s="204" t="n"/>
      <c r="AG1001" s="204" t="n"/>
      <c r="AH1001" s="204" t="n"/>
      <c r="AI1001" s="216" t="n"/>
      <c r="AJ1001" s="214" t="n"/>
      <c r="AK1001" s="217" t="n"/>
      <c r="AL1001" s="214" t="n"/>
      <c r="AM1001" s="214" t="n"/>
      <c r="AN1001" s="214" t="n"/>
      <c r="AO1001" s="214" t="n"/>
      <c r="AP1001" s="216" t="n"/>
      <c r="AQ1001" s="216" t="n"/>
      <c r="AR1001" s="214" t="inlineStr">
        <is>
          <t>Nhóm 1</t>
        </is>
      </c>
      <c r="AS1001" s="214" t="n"/>
      <c r="AT1001" s="214" t="inlineStr">
        <is>
          <t>HM28</t>
        </is>
      </c>
      <c r="AU1001" s="214" t="inlineStr">
        <is>
          <t>NTCV</t>
        </is>
      </c>
      <c r="AV1001" s="214" t="n">
        <v>278</v>
      </c>
      <c r="AW1001" s="214" t="n">
        <v>2</v>
      </c>
      <c r="AX1001" s="214" t="n"/>
    </row>
    <row r="1002" ht="28" customHeight="1" s="672">
      <c r="A1002" s="56" t="inlineStr">
        <is>
          <t>BBK478</t>
        </is>
      </c>
      <c r="B1002" s="56" t="inlineStr">
        <is>
          <t>PL03</t>
        </is>
      </c>
      <c r="C1002" s="56" t="inlineStr">
        <is>
          <t>BBK478.0737818</t>
        </is>
      </c>
      <c r="D1002" s="57" t="n"/>
      <c r="E1002" s="57" t="n"/>
      <c r="F1002" s="57" t="n"/>
      <c r="G1002" s="57" t="n"/>
      <c r="H1002" s="57" t="n"/>
      <c r="J1002" s="198" t="inlineStr">
        <is>
          <t>10</t>
        </is>
      </c>
      <c r="K1002" s="198" t="inlineStr">
        <is>
          <t>PL03</t>
        </is>
      </c>
      <c r="L1002" s="199" t="inlineStr">
        <is>
          <t>Kiểm tra định vị tim cọc khoan nhồi, hạ ống vách thi công</t>
        </is>
      </c>
      <c r="M1002" s="199" t="n"/>
      <c r="N1002" s="199" t="n"/>
      <c r="O1002" s="200" t="inlineStr">
        <is>
          <t>Cầu Km19+529.080</t>
        </is>
      </c>
      <c r="P1002" s="201" t="n"/>
      <c r="Q1002" s="201" t="n"/>
      <c r="R1002" s="201" t="n"/>
      <c r="S1002" s="201">
        <f>S1001</f>
        <v/>
      </c>
      <c r="T1002" s="201" t="n"/>
      <c r="U1002" s="201" t="n"/>
      <c r="V1002" s="201" t="n"/>
      <c r="W1002" s="202" t="n"/>
      <c r="X1002" s="202" t="n"/>
      <c r="Y1002" s="202" t="n"/>
      <c r="Z1002" s="198" t="inlineStr">
        <is>
          <t>03</t>
        </is>
      </c>
      <c r="AA1002" s="203" t="n"/>
      <c r="AB1002" s="204" t="inlineStr">
        <is>
          <t>09-XL-307HG/PYCNT/CKN/M2/C6-1</t>
        </is>
      </c>
      <c r="AC1002" s="204">
        <f>AC1001</f>
        <v/>
      </c>
      <c r="AD1002" s="255" t="n">
        <v>2481811.401</v>
      </c>
      <c r="AE1002" s="255" t="n">
        <v>382458.271</v>
      </c>
      <c r="AF1002" s="255" t="n">
        <v>188.836</v>
      </c>
      <c r="AG1002" s="255" t="n"/>
      <c r="AH1002" s="204" t="inlineStr">
        <is>
          <t>&gt;=458;&lt;=476</t>
        </is>
      </c>
      <c r="AI1002" s="207" t="n"/>
      <c r="AJ1002" s="202" t="n"/>
      <c r="AK1002" s="206" t="n"/>
      <c r="AL1002" s="202" t="n"/>
      <c r="AM1002" s="202" t="n"/>
      <c r="AN1002" s="202" t="n"/>
      <c r="AO1002" s="202" t="n"/>
      <c r="AP1002" s="207" t="n"/>
      <c r="AQ1002" s="207" t="n"/>
      <c r="AR1002" s="202" t="inlineStr">
        <is>
          <t>Nhóm 1</t>
        </is>
      </c>
      <c r="AS1002" s="202" t="n"/>
      <c r="AT1002" s="202" t="inlineStr">
        <is>
          <t>HM28</t>
        </is>
      </c>
      <c r="AU1002" s="202" t="inlineStr">
        <is>
          <t>PL03</t>
        </is>
      </c>
      <c r="AV1002" s="202" t="n">
        <v>21</v>
      </c>
      <c r="AW1002" s="202" t="n">
        <v>1</v>
      </c>
      <c r="AX1002" s="202" t="n"/>
    </row>
    <row r="1003" ht="28" customHeight="1" s="672">
      <c r="A1003" s="56" t="inlineStr">
        <is>
          <t>NTCV</t>
        </is>
      </c>
      <c r="B1003" s="56" t="inlineStr">
        <is>
          <t>K.9999</t>
        </is>
      </c>
      <c r="C1003" s="56" t="inlineStr">
        <is>
          <t>NTCV.0564603</t>
        </is>
      </c>
      <c r="D1003" s="57" t="n"/>
      <c r="E1003" s="57" t="n"/>
      <c r="F1003" s="57" t="n"/>
      <c r="G1003" s="57" t="n"/>
      <c r="H1003" s="57" t="n"/>
      <c r="J1003" s="209" t="inlineStr">
        <is>
          <t>11</t>
        </is>
      </c>
      <c r="K1003" s="209" t="inlineStr">
        <is>
          <t>K.9999</t>
        </is>
      </c>
      <c r="L1003" s="210" t="inlineStr">
        <is>
          <t>Nghiệm thu lồng thép cọc khoan nhồi trước khi hạ</t>
        </is>
      </c>
      <c r="M1003" s="210" t="n"/>
      <c r="N1003" s="210" t="n"/>
      <c r="O1003" s="211" t="inlineStr">
        <is>
          <t>Cầu Km19+529.080</t>
        </is>
      </c>
      <c r="P1003" s="212">
        <f>S1001</f>
        <v/>
      </c>
      <c r="Q1003" s="212">
        <f>P1003</f>
        <v/>
      </c>
      <c r="R1003" s="212">
        <f>Q1003-1</f>
        <v/>
      </c>
      <c r="S1003" s="212">
        <f>Q1003</f>
        <v/>
      </c>
      <c r="T1003" s="213">
        <f>U1001</f>
        <v/>
      </c>
      <c r="U1003" s="213">
        <f>T1003+V1003</f>
        <v/>
      </c>
      <c r="V1003" s="213" t="n">
        <v>0.02083333333333333</v>
      </c>
      <c r="W1003" s="214">
        <f>TEXT(T1003,"HH""h""MM'")&amp;"÷"&amp;TEXT(U1003,"HH""h""MM'")</f>
        <v/>
      </c>
      <c r="X1003" s="214" t="n"/>
      <c r="Y1003" s="214" t="n"/>
      <c r="Z1003" s="214" t="inlineStr">
        <is>
          <t>04;</t>
        </is>
      </c>
      <c r="AA1003" s="215" t="inlineStr">
        <is>
          <t>Nghiệm thu lồng thép Cọc khoan nhồi Mố M2 - Cọc C6</t>
        </is>
      </c>
      <c r="AB1003" s="204" t="inlineStr">
        <is>
          <t>09-XL-307HG/PYCNT/CKN/M2/C6-1</t>
        </is>
      </c>
      <c r="AC1003" s="204" t="inlineStr">
        <is>
          <t>09-XL-307HG/BBNT/CKN/M2/C6-4</t>
        </is>
      </c>
      <c r="AD1003" s="204" t="n"/>
      <c r="AE1003" s="204" t="n"/>
      <c r="AF1003" s="204" t="n"/>
      <c r="AG1003" s="204" t="n"/>
      <c r="AH1003" s="204" t="n"/>
      <c r="AI1003" s="216" t="n"/>
      <c r="AJ1003" s="214" t="n"/>
      <c r="AK1003" s="217" t="n"/>
      <c r="AL1003" s="214" t="n"/>
      <c r="AM1003" s="214" t="n"/>
      <c r="AN1003" s="214" t="n"/>
      <c r="AO1003" s="214" t="n"/>
      <c r="AP1003" s="216" t="n"/>
      <c r="AQ1003" s="216" t="n"/>
      <c r="AR1003" s="214" t="inlineStr">
        <is>
          <t>Nhóm 1</t>
        </is>
      </c>
      <c r="AS1003" s="214" t="n"/>
      <c r="AT1003" s="214" t="inlineStr">
        <is>
          <t>HM28</t>
        </is>
      </c>
      <c r="AU1003" s="214" t="inlineStr">
        <is>
          <t>NTCV</t>
        </is>
      </c>
      <c r="AV1003" s="214" t="n">
        <v>282</v>
      </c>
      <c r="AW1003" s="214" t="n">
        <v>3</v>
      </c>
      <c r="AX1003" s="214" t="n"/>
    </row>
    <row r="1004">
      <c r="A1004" s="56" t="inlineStr">
        <is>
          <t>BBK096</t>
        </is>
      </c>
      <c r="B1004" s="56" t="inlineStr">
        <is>
          <t>PL04</t>
        </is>
      </c>
      <c r="C1004" s="56" t="inlineStr">
        <is>
          <t>BBK096.0164508</t>
        </is>
      </c>
      <c r="D1004" s="57" t="n"/>
      <c r="E1004" s="57" t="n"/>
      <c r="F1004" s="57" t="n"/>
      <c r="G1004" s="57" t="n"/>
      <c r="H1004" s="57" t="n"/>
      <c r="J1004" s="198" t="inlineStr">
        <is>
          <t>12</t>
        </is>
      </c>
      <c r="K1004" s="198" t="inlineStr">
        <is>
          <t>PL04</t>
        </is>
      </c>
      <c r="L1004" s="199" t="inlineStr">
        <is>
          <t>Nghiệm thu lồng thép cọc khoan nhồi trước khi hạ</t>
        </is>
      </c>
      <c r="M1004" s="199" t="n"/>
      <c r="N1004" s="199" t="n"/>
      <c r="O1004" s="200" t="inlineStr">
        <is>
          <t>Cầu Km19+529.080</t>
        </is>
      </c>
      <c r="P1004" s="201" t="n"/>
      <c r="Q1004" s="201" t="n"/>
      <c r="R1004" s="201" t="n"/>
      <c r="S1004" s="201">
        <f>S1003</f>
        <v/>
      </c>
      <c r="T1004" s="201" t="n"/>
      <c r="U1004" s="201" t="n"/>
      <c r="V1004" s="201" t="n"/>
      <c r="W1004" s="202" t="n"/>
      <c r="X1004" s="202" t="n"/>
      <c r="Y1004" s="202" t="n"/>
      <c r="Z1004" s="198" t="inlineStr">
        <is>
          <t>04</t>
        </is>
      </c>
      <c r="AA1004" s="203" t="n"/>
      <c r="AB1004" s="204" t="inlineStr">
        <is>
          <t>09-XL-307HG/PYCNT/CKN/M2/C6-1</t>
        </is>
      </c>
      <c r="AC1004" s="204">
        <f>AC1003</f>
        <v/>
      </c>
      <c r="AD1004" s="204" t="n"/>
      <c r="AE1004" s="204" t="n"/>
      <c r="AF1004" s="204" t="n"/>
      <c r="AG1004" s="204" t="n"/>
      <c r="AH1004" s="204" t="inlineStr">
        <is>
          <t>M2</t>
        </is>
      </c>
      <c r="AI1004" s="207" t="n"/>
      <c r="AJ1004" s="202" t="n"/>
      <c r="AK1004" s="206" t="n"/>
      <c r="AL1004" s="202" t="n"/>
      <c r="AM1004" s="202" t="n"/>
      <c r="AN1004" s="202" t="n"/>
      <c r="AO1004" s="202" t="n"/>
      <c r="AP1004" s="207" t="n"/>
      <c r="AQ1004" s="207" t="n"/>
      <c r="AR1004" s="202" t="inlineStr">
        <is>
          <t>Nhóm 1</t>
        </is>
      </c>
      <c r="AS1004" s="202" t="n"/>
      <c r="AT1004" s="202" t="inlineStr">
        <is>
          <t>HM28</t>
        </is>
      </c>
      <c r="AU1004" s="202" t="inlineStr">
        <is>
          <t>PL04</t>
        </is>
      </c>
      <c r="AV1004" s="202" t="n">
        <v>21</v>
      </c>
      <c r="AW1004" s="202" t="n">
        <v>1</v>
      </c>
      <c r="AX1004" s="202" t="n"/>
    </row>
    <row r="1005" ht="28" customHeight="1" s="672">
      <c r="A1005" s="56" t="inlineStr">
        <is>
          <t>NTCV</t>
        </is>
      </c>
      <c r="B1005" s="56" t="inlineStr">
        <is>
          <t>K.9999</t>
        </is>
      </c>
      <c r="C1005" s="56" t="inlineStr">
        <is>
          <t>NTCV.0311508</t>
        </is>
      </c>
      <c r="D1005" s="57" t="n"/>
      <c r="E1005" s="57" t="n"/>
      <c r="F1005" s="57" t="n"/>
      <c r="G1005" s="57" t="n"/>
      <c r="H1005" s="57" t="n"/>
      <c r="J1005" s="209" t="inlineStr">
        <is>
          <t>13</t>
        </is>
      </c>
      <c r="K1005" s="209" t="inlineStr">
        <is>
          <t>K.9999</t>
        </is>
      </c>
      <c r="L1005" s="210" t="inlineStr">
        <is>
          <t xml:space="preserve">Kiểm tra công tác khoan tạo lỗ cọc khoan nhồi </t>
        </is>
      </c>
      <c r="M1005" s="210" t="n"/>
      <c r="N1005" s="210" t="n"/>
      <c r="O1005" s="211" t="inlineStr">
        <is>
          <t>Cầu Km19+529.080</t>
        </is>
      </c>
      <c r="P1005" s="212">
        <f>S1003</f>
        <v/>
      </c>
      <c r="Q1005" s="212">
        <f>P1005</f>
        <v/>
      </c>
      <c r="R1005" s="212">
        <f>Q1005-1</f>
        <v/>
      </c>
      <c r="S1005" s="212">
        <f>Q1005</f>
        <v/>
      </c>
      <c r="T1005" s="213">
        <f>U1003</f>
        <v/>
      </c>
      <c r="U1005" s="213">
        <f>T1005+V1005</f>
        <v/>
      </c>
      <c r="V1005" s="213" t="n">
        <v>0.3402777777777778</v>
      </c>
      <c r="W1005" s="214">
        <f>TEXT(T1005,"HH""h""MM'")&amp;"÷"&amp;TEXT(U1005,"HH""h""MM'")</f>
        <v/>
      </c>
      <c r="X1005" s="214" t="n"/>
      <c r="Y1005" s="214" t="n"/>
      <c r="Z1005" s="214" t="inlineStr">
        <is>
          <t>05;</t>
        </is>
      </c>
      <c r="AA1005" s="215" t="inlineStr">
        <is>
          <t>Kiểm tra công tác khoan tạo lỗ Cọc khoan nhồi Mố M2 - Cọc C6</t>
        </is>
      </c>
      <c r="AB1005" s="204" t="inlineStr">
        <is>
          <t>09-XL-307HG/PYCNT/CKN/M2/C6-1</t>
        </is>
      </c>
      <c r="AC1005" s="204" t="inlineStr">
        <is>
          <t>09-XL-307HG/BBNT/CKN/M2/C6-5</t>
        </is>
      </c>
      <c r="AD1005" s="204" t="n"/>
      <c r="AE1005" s="204" t="n"/>
      <c r="AF1005" s="204" t="n"/>
      <c r="AG1005" s="204" t="n"/>
      <c r="AH1005" s="204" t="n"/>
      <c r="AI1005" s="216" t="n"/>
      <c r="AJ1005" s="214" t="n"/>
      <c r="AK1005" s="217" t="n"/>
      <c r="AL1005" s="214" t="n"/>
      <c r="AM1005" s="214" t="n"/>
      <c r="AN1005" s="214" t="n"/>
      <c r="AO1005" s="214" t="n"/>
      <c r="AP1005" s="216" t="n"/>
      <c r="AQ1005" s="216" t="n"/>
      <c r="AR1005" s="214" t="inlineStr">
        <is>
          <t>Nhóm 1</t>
        </is>
      </c>
      <c r="AS1005" s="214" t="n"/>
      <c r="AT1005" s="214" t="inlineStr">
        <is>
          <t>HM28</t>
        </is>
      </c>
      <c r="AU1005" s="214" t="inlineStr">
        <is>
          <t>NTCV</t>
        </is>
      </c>
      <c r="AV1005" s="214" t="n">
        <v>283</v>
      </c>
      <c r="AW1005" s="214" t="n">
        <v>4</v>
      </c>
      <c r="AX1005" s="214" t="n"/>
    </row>
    <row r="1006">
      <c r="A1006" s="56" t="inlineStr">
        <is>
          <t>BBK638</t>
        </is>
      </c>
      <c r="B1006" s="56" t="inlineStr">
        <is>
          <t>PL05</t>
        </is>
      </c>
      <c r="C1006" s="56" t="inlineStr">
        <is>
          <t>BBK638.0467859</t>
        </is>
      </c>
      <c r="D1006" s="57" t="n"/>
      <c r="E1006" s="57" t="n"/>
      <c r="F1006" s="57" t="n"/>
      <c r="G1006" s="57" t="n"/>
      <c r="H1006" s="57" t="n"/>
      <c r="J1006" s="198" t="inlineStr">
        <is>
          <t>14</t>
        </is>
      </c>
      <c r="K1006" s="198" t="inlineStr">
        <is>
          <t>PL05</t>
        </is>
      </c>
      <c r="L1006" s="199" t="inlineStr">
        <is>
          <t>Kiểm tra công tác khoan tạo lỗ cọc khoan nhồi</t>
        </is>
      </c>
      <c r="M1006" s="199" t="n"/>
      <c r="N1006" s="199" t="n"/>
      <c r="O1006" s="200" t="inlineStr">
        <is>
          <t>Cầu Km19+529.080</t>
        </is>
      </c>
      <c r="P1006" s="201" t="n"/>
      <c r="Q1006" s="201" t="n"/>
      <c r="R1006" s="201" t="n"/>
      <c r="S1006" s="201">
        <f>S1005</f>
        <v/>
      </c>
      <c r="T1006" s="208">
        <f>T1005</f>
        <v/>
      </c>
      <c r="U1006" s="208" t="n">
        <v>0.7152777777777778</v>
      </c>
      <c r="V1006" s="208">
        <f>U1006-T1006</f>
        <v/>
      </c>
      <c r="W1006" s="202" t="n"/>
      <c r="X1006" s="202" t="n"/>
      <c r="Y1006" s="202" t="n"/>
      <c r="Z1006" s="198" t="inlineStr">
        <is>
          <t>05</t>
        </is>
      </c>
      <c r="AA1006" s="203" t="n"/>
      <c r="AB1006" s="204" t="inlineStr">
        <is>
          <t>09-XL-307HG/PYCNT/CKN/M2/C6</t>
        </is>
      </c>
      <c r="AC1006" s="204">
        <f>AC1005</f>
        <v/>
      </c>
      <c r="AD1006" s="204" t="n"/>
      <c r="AE1006" s="204" t="n"/>
      <c r="AF1006" s="255" t="n">
        <v>188.836</v>
      </c>
      <c r="AG1006" s="255" t="n"/>
      <c r="AH1006" s="204" t="inlineStr">
        <is>
          <t>M2-C6</t>
        </is>
      </c>
      <c r="AI1006" s="207" t="n"/>
      <c r="AJ1006" s="202" t="n"/>
      <c r="AK1006" s="206" t="n"/>
      <c r="AL1006" s="202" t="n"/>
      <c r="AM1006" s="202" t="n"/>
      <c r="AN1006" s="202" t="n"/>
      <c r="AO1006" s="202" t="n"/>
      <c r="AP1006" s="207" t="n"/>
      <c r="AQ1006" s="207" t="n"/>
      <c r="AR1006" s="202" t="inlineStr">
        <is>
          <t>Nhóm 1</t>
        </is>
      </c>
      <c r="AS1006" s="202" t="n"/>
      <c r="AT1006" s="202" t="inlineStr">
        <is>
          <t>HM28</t>
        </is>
      </c>
      <c r="AU1006" s="202" t="inlineStr">
        <is>
          <t>PL05</t>
        </is>
      </c>
      <c r="AV1006" s="202" t="n">
        <v>21</v>
      </c>
      <c r="AW1006" s="202" t="n">
        <v>1</v>
      </c>
      <c r="AX1006" s="202" t="n"/>
    </row>
    <row r="1007">
      <c r="A1007" s="56" t="inlineStr">
        <is>
          <t>BBK680</t>
        </is>
      </c>
      <c r="B1007" s="56" t="inlineStr">
        <is>
          <t>PYC</t>
        </is>
      </c>
      <c r="C1007" s="56" t="inlineStr">
        <is>
          <t>BBK680.0894253</t>
        </is>
      </c>
      <c r="D1007" s="57" t="n"/>
      <c r="E1007" s="57" t="n"/>
      <c r="F1007" s="57" t="n"/>
      <c r="G1007" s="57" t="n"/>
      <c r="H1007" s="57" t="n"/>
      <c r="J1007" s="198" t="inlineStr">
        <is>
          <t>15</t>
        </is>
      </c>
      <c r="K1007" s="198" t="inlineStr">
        <is>
          <t>PYC</t>
        </is>
      </c>
      <c r="L1007" s="199" t="inlineStr">
        <is>
          <t>Phiếu yêu cầu nghiệm thu</t>
        </is>
      </c>
      <c r="M1007" s="199" t="n"/>
      <c r="N1007" s="199" t="n"/>
      <c r="O1007" s="200" t="inlineStr">
        <is>
          <t>Cầu Km19+529.080</t>
        </is>
      </c>
      <c r="P1007" s="201" t="n"/>
      <c r="Q1007" s="201" t="n"/>
      <c r="R1007" s="201">
        <f>R1008</f>
        <v/>
      </c>
      <c r="S1007" s="201" t="n"/>
      <c r="T1007" s="201" t="n"/>
      <c r="U1007" s="201" t="n"/>
      <c r="V1007" s="201" t="n"/>
      <c r="W1007" s="202" t="n"/>
      <c r="X1007" s="202" t="n"/>
      <c r="Y1007" s="202" t="n"/>
      <c r="Z1007" s="202" t="n"/>
      <c r="AA1007" s="203" t="n"/>
      <c r="AB1007" s="204" t="inlineStr">
        <is>
          <t>09-XL-307HG/PYCNT/CKN/M2/C6</t>
        </is>
      </c>
      <c r="AC1007" s="205" t="inlineStr"/>
      <c r="AD1007" s="205" t="n"/>
      <c r="AE1007" s="205" t="n"/>
      <c r="AF1007" s="205" t="n"/>
      <c r="AG1007" s="205" t="inlineStr">
        <is>
          <t>NTCV;BBKTĐK</t>
        </is>
      </c>
      <c r="AH1007" s="204" t="inlineStr">
        <is>
          <t>&gt;=6;&lt;=10</t>
        </is>
      </c>
      <c r="AI1007" s="202" t="n"/>
      <c r="AJ1007" s="202" t="n"/>
      <c r="AK1007" s="206" t="n"/>
      <c r="AL1007" s="202" t="n"/>
      <c r="AM1007" s="202" t="n"/>
      <c r="AN1007" s="202" t="n"/>
      <c r="AO1007" s="202" t="n"/>
      <c r="AP1007" s="207" t="n"/>
      <c r="AQ1007" s="207" t="n"/>
      <c r="AR1007" s="202" t="inlineStr">
        <is>
          <t>Nhóm 1</t>
        </is>
      </c>
      <c r="AS1007" s="202" t="n"/>
      <c r="AT1007" s="202" t="inlineStr">
        <is>
          <t>HM28</t>
        </is>
      </c>
      <c r="AU1007" s="202" t="inlineStr">
        <is>
          <t>PYC</t>
        </is>
      </c>
      <c r="AV1007" s="202" t="n">
        <v>238</v>
      </c>
      <c r="AW1007" s="202" t="n">
        <v>2</v>
      </c>
      <c r="AX1007" s="202" t="n"/>
    </row>
    <row r="1008" ht="42" customHeight="1" s="672">
      <c r="A1008" s="56" t="inlineStr">
        <is>
          <t>NTCV</t>
        </is>
      </c>
      <c r="B1008" s="56" t="inlineStr">
        <is>
          <t>K.9999</t>
        </is>
      </c>
      <c r="C1008" s="56" t="inlineStr">
        <is>
          <t>NTCV.0866232</t>
        </is>
      </c>
      <c r="D1008" s="57" t="n"/>
      <c r="E1008" s="57" t="n"/>
      <c r="F1008" s="57" t="n"/>
      <c r="G1008" s="57" t="n"/>
      <c r="H1008" s="57" t="n"/>
      <c r="J1008" s="209" t="inlineStr">
        <is>
          <t>16</t>
        </is>
      </c>
      <c r="K1008" s="209" t="inlineStr">
        <is>
          <t>K.9999</t>
        </is>
      </c>
      <c r="L1008" s="210" t="inlineStr">
        <is>
          <t>Kiểm tra công tác vệ sinh lỗ khoan trước khi hạ lồng cốt thép cọc khoan nhồi</t>
        </is>
      </c>
      <c r="M1008" s="210" t="n"/>
      <c r="N1008" s="210" t="n"/>
      <c r="O1008" s="211" t="inlineStr">
        <is>
          <t>Cầu Km19+529.080</t>
        </is>
      </c>
      <c r="P1008" s="212">
        <f>S1005+1</f>
        <v/>
      </c>
      <c r="Q1008" s="212">
        <f>P1008</f>
        <v/>
      </c>
      <c r="R1008" s="212">
        <f>Q1008-1</f>
        <v/>
      </c>
      <c r="S1008" s="212">
        <f>Q1008</f>
        <v/>
      </c>
      <c r="T1008" s="213" t="n">
        <v>0.3333333333333333</v>
      </c>
      <c r="U1008" s="213">
        <f>T1008+V1008</f>
        <v/>
      </c>
      <c r="V1008" s="213" t="n">
        <v>0.01736111111111111</v>
      </c>
      <c r="W1008" s="214">
        <f>TEXT(T1008,"HH""h""MM'")&amp;"÷"&amp;TEXT(U1008,"HH""h""MM'")</f>
        <v/>
      </c>
      <c r="X1008" s="214" t="n"/>
      <c r="Y1008" s="214" t="n"/>
      <c r="Z1008" s="214" t="inlineStr">
        <is>
          <t>06;</t>
        </is>
      </c>
      <c r="AA1008" s="215" t="inlineStr">
        <is>
          <t>Kiểm tra công tác vệ sinh lỗ khoan trước khi hạ lồng cốt thép Cọc khoan nhồi Mố M2 - Cọc C6</t>
        </is>
      </c>
      <c r="AB1008" s="204" t="inlineStr">
        <is>
          <t>09-XL-307HG/PYCNT/CKN/M2/C6-2</t>
        </is>
      </c>
      <c r="AC1008" s="204" t="inlineStr">
        <is>
          <t>09-XL-307HG/BBNT/CKN/M2/C6-6</t>
        </is>
      </c>
      <c r="AD1008" s="204" t="n"/>
      <c r="AE1008" s="204" t="n"/>
      <c r="AF1008" s="204" t="n"/>
      <c r="AG1008" s="204" t="n"/>
      <c r="AH1008" s="204" t="n"/>
      <c r="AI1008" s="216" t="n"/>
      <c r="AJ1008" s="214" t="n"/>
      <c r="AK1008" s="217" t="n"/>
      <c r="AL1008" s="214" t="n"/>
      <c r="AM1008" s="214" t="n"/>
      <c r="AN1008" s="214" t="n"/>
      <c r="AO1008" s="214" t="n"/>
      <c r="AP1008" s="216" t="n"/>
      <c r="AQ1008" s="216" t="n"/>
      <c r="AR1008" s="214" t="inlineStr">
        <is>
          <t>Nhóm 1</t>
        </is>
      </c>
      <c r="AS1008" s="214" t="n"/>
      <c r="AT1008" s="214" t="inlineStr">
        <is>
          <t>HM28</t>
        </is>
      </c>
      <c r="AU1008" s="214" t="inlineStr">
        <is>
          <t>NTCV</t>
        </is>
      </c>
      <c r="AV1008" s="214" t="n">
        <v>290</v>
      </c>
      <c r="AW1008" s="214" t="n">
        <v>5</v>
      </c>
      <c r="AX1008" s="214" t="n"/>
    </row>
    <row r="1009" ht="28" customHeight="1" s="672">
      <c r="A1009" s="56" t="inlineStr">
        <is>
          <t>BBK570</t>
        </is>
      </c>
      <c r="B1009" s="56" t="inlineStr">
        <is>
          <t>PL06</t>
        </is>
      </c>
      <c r="C1009" s="56" t="inlineStr">
        <is>
          <t>BBK570.0384317</t>
        </is>
      </c>
      <c r="D1009" s="57" t="n"/>
      <c r="E1009" s="57" t="n"/>
      <c r="F1009" s="57" t="n"/>
      <c r="G1009" s="57" t="n"/>
      <c r="H1009" s="57" t="n"/>
      <c r="J1009" s="198" t="inlineStr">
        <is>
          <t>17</t>
        </is>
      </c>
      <c r="K1009" s="198" t="inlineStr">
        <is>
          <t>PL06</t>
        </is>
      </c>
      <c r="L1009" s="199" t="inlineStr">
        <is>
          <t>Kiểm tra công tác vệ sinh lỗ khoan trước khi hạ lồng cốt thép cọc khoan nhồi</t>
        </is>
      </c>
      <c r="M1009" s="199" t="n"/>
      <c r="N1009" s="199" t="n"/>
      <c r="O1009" s="200" t="inlineStr">
        <is>
          <t>Cầu Km19+529.080</t>
        </is>
      </c>
      <c r="P1009" s="201" t="n"/>
      <c r="Q1009" s="201" t="n"/>
      <c r="R1009" s="201" t="n"/>
      <c r="S1009" s="201">
        <f>S1008</f>
        <v/>
      </c>
      <c r="T1009" s="201" t="n"/>
      <c r="U1009" s="201" t="n"/>
      <c r="V1009" s="201" t="n"/>
      <c r="W1009" s="202" t="n"/>
      <c r="X1009" s="265" t="n">
        <v>150.836</v>
      </c>
      <c r="Y1009" s="265">
        <f>X1009-0.02</f>
        <v/>
      </c>
      <c r="Z1009" s="198" t="inlineStr">
        <is>
          <t>06</t>
        </is>
      </c>
      <c r="AA1009" s="203" t="n"/>
      <c r="AB1009" s="204" t="inlineStr">
        <is>
          <t>09-XL-307HG/PYCNT/CKN/M2/C6-2</t>
        </is>
      </c>
      <c r="AC1009" s="204">
        <f>AC1008</f>
        <v/>
      </c>
      <c r="AD1009" s="204" t="n"/>
      <c r="AE1009" s="204" t="n"/>
      <c r="AF1009" s="204" t="n"/>
      <c r="AG1009" s="204" t="n"/>
      <c r="AH1009" s="204" t="n"/>
      <c r="AI1009" s="202" t="n"/>
      <c r="AJ1009" s="202" t="n"/>
      <c r="AK1009" s="206" t="n"/>
      <c r="AL1009" s="202" t="n"/>
      <c r="AM1009" s="202" t="n"/>
      <c r="AN1009" s="202" t="n"/>
      <c r="AO1009" s="202" t="n"/>
      <c r="AP1009" s="207" t="n"/>
      <c r="AQ1009" s="207" t="n"/>
      <c r="AR1009" s="202" t="inlineStr">
        <is>
          <t>Nhóm 1</t>
        </is>
      </c>
      <c r="AS1009" s="202" t="n"/>
      <c r="AT1009" s="202" t="inlineStr">
        <is>
          <t>HM28</t>
        </is>
      </c>
      <c r="AU1009" s="202" t="inlineStr">
        <is>
          <t>PL06</t>
        </is>
      </c>
      <c r="AV1009" s="202" t="n">
        <v>21</v>
      </c>
      <c r="AW1009" s="202" t="n">
        <v>1</v>
      </c>
      <c r="AX1009" s="202" t="n"/>
    </row>
    <row r="1010" ht="28" customHeight="1" s="672">
      <c r="A1010" s="56" t="inlineStr">
        <is>
          <t>NTCV</t>
        </is>
      </c>
      <c r="B1010" s="56" t="inlineStr">
        <is>
          <t>K.9999</t>
        </is>
      </c>
      <c r="C1010" s="56" t="inlineStr">
        <is>
          <t>NTCV.0965498</t>
        </is>
      </c>
      <c r="D1010" s="57" t="n"/>
      <c r="E1010" s="57" t="n"/>
      <c r="F1010" s="57" t="n"/>
      <c r="G1010" s="57" t="n"/>
      <c r="H1010" s="57" t="n"/>
      <c r="J1010" s="209" t="inlineStr">
        <is>
          <t>18</t>
        </is>
      </c>
      <c r="K1010" s="209" t="inlineStr">
        <is>
          <t>K.9999</t>
        </is>
      </c>
      <c r="L1010" s="210" t="inlineStr">
        <is>
          <t xml:space="preserve">Nghiệm thu công tác hạ lồng thép </t>
        </is>
      </c>
      <c r="M1010" s="210" t="n"/>
      <c r="N1010" s="210" t="n"/>
      <c r="O1010" s="211" t="inlineStr">
        <is>
          <t>Cầu Km19+529.080</t>
        </is>
      </c>
      <c r="P1010" s="212">
        <f>S1008</f>
        <v/>
      </c>
      <c r="Q1010" s="212">
        <f>P1010</f>
        <v/>
      </c>
      <c r="R1010" s="212">
        <f>Q1010-1</f>
        <v/>
      </c>
      <c r="S1010" s="212">
        <f>Q1010</f>
        <v/>
      </c>
      <c r="T1010" s="213">
        <f>U1008</f>
        <v/>
      </c>
      <c r="U1010" s="213">
        <f>T1010+V1010</f>
        <v/>
      </c>
      <c r="V1010" s="213" t="n">
        <v>0.03125</v>
      </c>
      <c r="W1010" s="214">
        <f>TEXT(T1010,"HH""h""MM'")&amp;"÷"&amp;TEXT(U1010,"HH""h""MM'")</f>
        <v/>
      </c>
      <c r="X1010" s="214" t="n"/>
      <c r="Y1010" s="214" t="n"/>
      <c r="Z1010" s="214" t="inlineStr">
        <is>
          <t>07;</t>
        </is>
      </c>
      <c r="AA1010" s="215" t="inlineStr">
        <is>
          <t>Công tác hạ lồng thép Cọc khoan nhồi Mố M2 - Cọc C6</t>
        </is>
      </c>
      <c r="AB1010" s="204" t="inlineStr">
        <is>
          <t>09-XL-307HG/PYCNT/CKN/M2/C6-2</t>
        </is>
      </c>
      <c r="AC1010" s="204" t="inlineStr">
        <is>
          <t>09-XL-307HG/BBNT/CKN/M2/C6-7</t>
        </is>
      </c>
      <c r="AD1010" s="204" t="n"/>
      <c r="AE1010" s="204" t="n"/>
      <c r="AF1010" s="204" t="n"/>
      <c r="AG1010" s="204" t="n"/>
      <c r="AH1010" s="204" t="n"/>
      <c r="AI1010" s="214" t="n"/>
      <c r="AJ1010" s="214" t="n"/>
      <c r="AK1010" s="217" t="n"/>
      <c r="AL1010" s="214" t="n"/>
      <c r="AM1010" s="214" t="n"/>
      <c r="AN1010" s="214" t="n"/>
      <c r="AO1010" s="214" t="n"/>
      <c r="AP1010" s="216" t="n"/>
      <c r="AQ1010" s="216" t="n"/>
      <c r="AR1010" s="214" t="inlineStr">
        <is>
          <t>Nhóm 1</t>
        </is>
      </c>
      <c r="AS1010" s="214" t="n"/>
      <c r="AT1010" s="214" t="inlineStr">
        <is>
          <t>HM28</t>
        </is>
      </c>
      <c r="AU1010" s="214" t="inlineStr">
        <is>
          <t>NTCV</t>
        </is>
      </c>
      <c r="AV1010" s="214" t="n">
        <v>291</v>
      </c>
      <c r="AW1010" s="214" t="n">
        <v>6</v>
      </c>
      <c r="AX1010" s="214" t="n"/>
    </row>
    <row r="1011">
      <c r="A1011" s="56" t="inlineStr">
        <is>
          <t>BBK396</t>
        </is>
      </c>
      <c r="B1011" s="56" t="inlineStr">
        <is>
          <t>PL07</t>
        </is>
      </c>
      <c r="C1011" s="56" t="inlineStr">
        <is>
          <t>BBK396.0503143</t>
        </is>
      </c>
      <c r="D1011" s="57" t="n"/>
      <c r="E1011" s="57" t="n"/>
      <c r="F1011" s="57" t="n"/>
      <c r="G1011" s="57" t="n"/>
      <c r="H1011" s="57" t="n"/>
      <c r="J1011" s="198" t="inlineStr">
        <is>
          <t>19</t>
        </is>
      </c>
      <c r="K1011" s="198" t="inlineStr">
        <is>
          <t>PL07</t>
        </is>
      </c>
      <c r="L1011" s="199" t="inlineStr">
        <is>
          <t>Nghiệm thu công tác hạ lồng thép</t>
        </is>
      </c>
      <c r="M1011" s="199" t="n"/>
      <c r="N1011" s="199" t="n"/>
      <c r="O1011" s="200" t="inlineStr">
        <is>
          <t>Cầu Km19+529.080</t>
        </is>
      </c>
      <c r="P1011" s="201" t="n"/>
      <c r="Q1011" s="201" t="n"/>
      <c r="R1011" s="201" t="n"/>
      <c r="S1011" s="201">
        <f>S1010</f>
        <v/>
      </c>
      <c r="T1011" s="201" t="n"/>
      <c r="U1011" s="201" t="n"/>
      <c r="V1011" s="201" t="n"/>
      <c r="W1011" s="202" t="n"/>
      <c r="X1011" s="202" t="n"/>
      <c r="Y1011" s="202" t="n"/>
      <c r="Z1011" s="198" t="inlineStr">
        <is>
          <t>07</t>
        </is>
      </c>
      <c r="AA1011" s="203" t="n"/>
      <c r="AB1011" s="204" t="inlineStr">
        <is>
          <t>09-XL-307HG/PYCNT/CKN/M2/C6-2</t>
        </is>
      </c>
      <c r="AC1011" s="204">
        <f>AC1010</f>
        <v/>
      </c>
      <c r="AD1011" s="204" t="n"/>
      <c r="AE1011" s="204" t="n"/>
      <c r="AF1011" s="204" t="n"/>
      <c r="AG1011" s="204" t="n"/>
      <c r="AH1011" s="204" t="n"/>
      <c r="AI1011" s="202" t="n"/>
      <c r="AJ1011" s="202" t="n"/>
      <c r="AK1011" s="206" t="n"/>
      <c r="AL1011" s="202" t="n"/>
      <c r="AM1011" s="202" t="n"/>
      <c r="AN1011" s="202" t="n"/>
      <c r="AO1011" s="202" t="n"/>
      <c r="AP1011" s="207" t="n"/>
      <c r="AQ1011" s="207" t="n"/>
      <c r="AR1011" s="202" t="inlineStr">
        <is>
          <t>Nhóm 1</t>
        </is>
      </c>
      <c r="AS1011" s="202" t="n"/>
      <c r="AT1011" s="202" t="inlineStr">
        <is>
          <t>HM28</t>
        </is>
      </c>
      <c r="AU1011" s="202" t="inlineStr">
        <is>
          <t>PL07</t>
        </is>
      </c>
      <c r="AV1011" s="202" t="n">
        <v>21</v>
      </c>
      <c r="AW1011" s="202" t="n">
        <v>1</v>
      </c>
      <c r="AX1011" s="202" t="n"/>
    </row>
    <row r="1012" ht="42" customHeight="1" s="672">
      <c r="A1012" s="56" t="inlineStr">
        <is>
          <t>NTCV</t>
        </is>
      </c>
      <c r="B1012" s="56" t="inlineStr">
        <is>
          <t>K.9999</t>
        </is>
      </c>
      <c r="C1012" s="56" t="inlineStr">
        <is>
          <t>NTCV.0984142</t>
        </is>
      </c>
      <c r="D1012" s="57" t="n"/>
      <c r="E1012" s="57" t="n"/>
      <c r="F1012" s="57" t="n"/>
      <c r="G1012" s="57" t="n"/>
      <c r="H1012" s="57" t="n"/>
      <c r="J1012" s="209" t="inlineStr">
        <is>
          <t>20</t>
        </is>
      </c>
      <c r="K1012" s="209" t="inlineStr">
        <is>
          <t>K.9999</t>
        </is>
      </c>
      <c r="L1012" s="210" t="inlineStr">
        <is>
          <t xml:space="preserve">Kiểm tra công tác vệ sinh lỗ khoan cọc khoan nhồi trước khi đổ bê tông </t>
        </is>
      </c>
      <c r="M1012" s="210" t="n"/>
      <c r="N1012" s="210" t="n"/>
      <c r="O1012" s="211" t="inlineStr">
        <is>
          <t>Cầu Km19+529.080</t>
        </is>
      </c>
      <c r="P1012" s="212">
        <f>S1010</f>
        <v/>
      </c>
      <c r="Q1012" s="212">
        <f>P1012</f>
        <v/>
      </c>
      <c r="R1012" s="212">
        <f>Q1012-1</f>
        <v/>
      </c>
      <c r="S1012" s="212">
        <f>Q1012</f>
        <v/>
      </c>
      <c r="T1012" s="213">
        <f>U1010</f>
        <v/>
      </c>
      <c r="U1012" s="213">
        <f>T1012+V1012</f>
        <v/>
      </c>
      <c r="V1012" s="213" t="n">
        <v>0.02083333333333333</v>
      </c>
      <c r="W1012" s="214">
        <f>TEXT(T1012,"HH""h""MM'")&amp;"÷"&amp;TEXT(U1012,"HH""h""MM'")</f>
        <v/>
      </c>
      <c r="X1012" s="214" t="n"/>
      <c r="Y1012" s="214" t="n"/>
      <c r="Z1012" s="214" t="inlineStr">
        <is>
          <t>08;</t>
        </is>
      </c>
      <c r="AA1012" s="215" t="inlineStr">
        <is>
          <t>Kiểm tra công tác vệ sinh lỗ khoan cọc khoan nhồi trước khi đổ bê tông Cọc khoan nhồi Mố M2 - Cọc C6</t>
        </is>
      </c>
      <c r="AB1012" s="204" t="inlineStr">
        <is>
          <t>09-XL-307HG/PYCNT/CKN/M2/C6-2</t>
        </is>
      </c>
      <c r="AC1012" s="204" t="inlineStr">
        <is>
          <t>09-XL-307HG/BBNT/CKN/M2/C6-8</t>
        </is>
      </c>
      <c r="AD1012" s="204" t="n"/>
      <c r="AE1012" s="204" t="n"/>
      <c r="AF1012" s="204" t="n"/>
      <c r="AG1012" s="204" t="n"/>
      <c r="AH1012" s="204" t="n"/>
      <c r="AI1012" s="214" t="n"/>
      <c r="AJ1012" s="214" t="n"/>
      <c r="AK1012" s="217" t="n"/>
      <c r="AL1012" s="214" t="n"/>
      <c r="AM1012" s="214" t="n"/>
      <c r="AN1012" s="214" t="n"/>
      <c r="AO1012" s="214" t="n"/>
      <c r="AP1012" s="216" t="n"/>
      <c r="AQ1012" s="216" t="n"/>
      <c r="AR1012" s="214" t="inlineStr">
        <is>
          <t>Nhóm 1</t>
        </is>
      </c>
      <c r="AS1012" s="214" t="n"/>
      <c r="AT1012" s="214" t="inlineStr">
        <is>
          <t>HM28</t>
        </is>
      </c>
      <c r="AU1012" s="214" t="inlineStr">
        <is>
          <t>NTCV</t>
        </is>
      </c>
      <c r="AV1012" s="214" t="n">
        <v>296</v>
      </c>
      <c r="AW1012" s="214" t="n">
        <v>7</v>
      </c>
      <c r="AX1012" s="214" t="n"/>
    </row>
    <row r="1013" ht="28" customHeight="1" s="672">
      <c r="A1013" s="56" t="inlineStr">
        <is>
          <t>BBK521</t>
        </is>
      </c>
      <c r="B1013" s="56" t="inlineStr">
        <is>
          <t>PL08</t>
        </is>
      </c>
      <c r="C1013" s="56" t="inlineStr">
        <is>
          <t>BBK521.0446845</t>
        </is>
      </c>
      <c r="D1013" s="57" t="n"/>
      <c r="E1013" s="57" t="n"/>
      <c r="F1013" s="57" t="n"/>
      <c r="G1013" s="57" t="n"/>
      <c r="H1013" s="57" t="n"/>
      <c r="J1013" s="198" t="inlineStr">
        <is>
          <t>21</t>
        </is>
      </c>
      <c r="K1013" s="198" t="inlineStr">
        <is>
          <t>PL08</t>
        </is>
      </c>
      <c r="L1013" s="199" t="inlineStr">
        <is>
          <t>Kiểm tra công tác vệ sinh lỗ khoan cọc khoan nhồi trước khi đổ bê tông</t>
        </is>
      </c>
      <c r="M1013" s="199" t="n"/>
      <c r="N1013" s="199" t="n"/>
      <c r="O1013" s="200" t="inlineStr">
        <is>
          <t>Cầu Km19+529.080</t>
        </is>
      </c>
      <c r="P1013" s="201" t="n"/>
      <c r="Q1013" s="201" t="n"/>
      <c r="R1013" s="201" t="n"/>
      <c r="S1013" s="201">
        <f>S1012</f>
        <v/>
      </c>
      <c r="T1013" s="201" t="n"/>
      <c r="U1013" s="201" t="n"/>
      <c r="V1013" s="201" t="n"/>
      <c r="W1013" s="202" t="n"/>
      <c r="X1013" s="202" t="n"/>
      <c r="Y1013" s="202" t="n"/>
      <c r="Z1013" s="198" t="inlineStr">
        <is>
          <t>08</t>
        </is>
      </c>
      <c r="AA1013" s="203" t="n"/>
      <c r="AB1013" s="204" t="inlineStr">
        <is>
          <t>09-XL-307HG/PYCNT/CKN/M2/C6-2</t>
        </is>
      </c>
      <c r="AC1013" s="204">
        <f>AC1012</f>
        <v/>
      </c>
      <c r="AD1013" s="204" t="n"/>
      <c r="AE1013" s="204" t="n"/>
      <c r="AF1013" s="204" t="n"/>
      <c r="AG1013" s="204" t="n"/>
      <c r="AH1013" s="204" t="n"/>
      <c r="AI1013" s="202" t="n"/>
      <c r="AJ1013" s="202" t="n"/>
      <c r="AK1013" s="206" t="n"/>
      <c r="AL1013" s="202" t="n"/>
      <c r="AM1013" s="202" t="n"/>
      <c r="AN1013" s="202" t="n"/>
      <c r="AO1013" s="202" t="n"/>
      <c r="AP1013" s="207" t="n"/>
      <c r="AQ1013" s="207" t="n"/>
      <c r="AR1013" s="202" t="inlineStr">
        <is>
          <t>Nhóm 1</t>
        </is>
      </c>
      <c r="AS1013" s="202" t="n"/>
      <c r="AT1013" s="202" t="inlineStr">
        <is>
          <t>HM28</t>
        </is>
      </c>
      <c r="AU1013" s="202" t="inlineStr">
        <is>
          <t>PL08</t>
        </is>
      </c>
      <c r="AV1013" s="202" t="n">
        <v>21</v>
      </c>
      <c r="AW1013" s="202" t="n">
        <v>1</v>
      </c>
      <c r="AX1013" s="202" t="n"/>
    </row>
    <row r="1014" ht="28" customHeight="1" s="672">
      <c r="A1014" s="56" t="inlineStr">
        <is>
          <t>NTCV</t>
        </is>
      </c>
      <c r="B1014" s="56" t="inlineStr">
        <is>
          <t>K.9999</t>
        </is>
      </c>
      <c r="C1014" s="56" t="inlineStr">
        <is>
          <t>NTCV.0779135</t>
        </is>
      </c>
      <c r="D1014" s="57" t="n"/>
      <c r="E1014" s="57" t="n"/>
      <c r="F1014" s="57" t="n"/>
      <c r="G1014" s="57" t="n"/>
      <c r="H1014" s="57" t="n"/>
      <c r="J1014" s="209" t="inlineStr">
        <is>
          <t>22</t>
        </is>
      </c>
      <c r="K1014" s="209" t="inlineStr">
        <is>
          <t>K.9999</t>
        </is>
      </c>
      <c r="L1014" s="210" t="inlineStr">
        <is>
          <t xml:space="preserve">Kiểm tra công tác chuẩn bị đổ bê tông cọc khoan nhồi </t>
        </is>
      </c>
      <c r="M1014" s="210" t="n"/>
      <c r="N1014" s="210" t="n"/>
      <c r="O1014" s="211" t="inlineStr">
        <is>
          <t>Cầu Km19+529.080</t>
        </is>
      </c>
      <c r="P1014" s="212">
        <f>S1012</f>
        <v/>
      </c>
      <c r="Q1014" s="212">
        <f>P1014</f>
        <v/>
      </c>
      <c r="R1014" s="212">
        <f>Q1014-1</f>
        <v/>
      </c>
      <c r="S1014" s="212">
        <f>Q1014</f>
        <v/>
      </c>
      <c r="T1014" s="213">
        <f>U1012</f>
        <v/>
      </c>
      <c r="U1014" s="213">
        <f>T1014+V1014</f>
        <v/>
      </c>
      <c r="V1014" s="213" t="n">
        <v>0.02083333333333333</v>
      </c>
      <c r="W1014" s="214">
        <f>TEXT(T1014,"HH""h""MM'")&amp;"÷"&amp;TEXT(U1014,"HH""h""MM'")</f>
        <v/>
      </c>
      <c r="X1014" s="214" t="n"/>
      <c r="Y1014" s="214" t="n"/>
      <c r="Z1014" s="214" t="inlineStr">
        <is>
          <t>09;</t>
        </is>
      </c>
      <c r="AA1014" s="215" t="inlineStr">
        <is>
          <t>Kiểm tra công tác chuẩn bị đổ bê tông Cọc khoan nhồi Mố M2 - Cọc C6</t>
        </is>
      </c>
      <c r="AB1014" s="204" t="inlineStr">
        <is>
          <t>09-XL-307HG/PYCNT/CKN/M2/C6-2</t>
        </is>
      </c>
      <c r="AC1014" s="204" t="inlineStr">
        <is>
          <t>09-XL-307HG/BBNT/CKN/M2/C6-9</t>
        </is>
      </c>
      <c r="AD1014" s="204" t="n"/>
      <c r="AE1014" s="204" t="n"/>
      <c r="AF1014" s="204" t="n"/>
      <c r="AG1014" s="204" t="n"/>
      <c r="AH1014" s="204" t="n"/>
      <c r="AI1014" s="214" t="n"/>
      <c r="AJ1014" s="214" t="n"/>
      <c r="AK1014" s="217" t="n"/>
      <c r="AL1014" s="214" t="n"/>
      <c r="AM1014" s="214" t="n"/>
      <c r="AN1014" s="214" t="n"/>
      <c r="AO1014" s="214" t="n"/>
      <c r="AP1014" s="216" t="n"/>
      <c r="AQ1014" s="216" t="n"/>
      <c r="AR1014" s="214" t="inlineStr">
        <is>
          <t>Nhóm 1</t>
        </is>
      </c>
      <c r="AS1014" s="214" t="n"/>
      <c r="AT1014" s="214" t="inlineStr">
        <is>
          <t>HM28</t>
        </is>
      </c>
      <c r="AU1014" s="214" t="inlineStr">
        <is>
          <t>NTCV</t>
        </is>
      </c>
      <c r="AV1014" s="214" t="n">
        <v>297</v>
      </c>
      <c r="AW1014" s="214" t="n">
        <v>8</v>
      </c>
      <c r="AX1014" s="214" t="n"/>
    </row>
    <row r="1015">
      <c r="A1015" s="56" t="inlineStr">
        <is>
          <t>BBK209</t>
        </is>
      </c>
      <c r="B1015" s="56" t="inlineStr">
        <is>
          <t>PL09</t>
        </is>
      </c>
      <c r="C1015" s="56" t="inlineStr">
        <is>
          <t>BBK209.0308570</t>
        </is>
      </c>
      <c r="D1015" s="57" t="n"/>
      <c r="E1015" s="57" t="n"/>
      <c r="F1015" s="57" t="n"/>
      <c r="G1015" s="57" t="n"/>
      <c r="H1015" s="57" t="n"/>
      <c r="J1015" s="198" t="inlineStr">
        <is>
          <t>23</t>
        </is>
      </c>
      <c r="K1015" s="198" t="inlineStr">
        <is>
          <t>PL09</t>
        </is>
      </c>
      <c r="L1015" s="199" t="inlineStr">
        <is>
          <t>Kiểm tra công tác chuẩn bị đổ bê tông cọc khoan nhồi</t>
        </is>
      </c>
      <c r="M1015" s="199" t="n"/>
      <c r="N1015" s="199" t="n"/>
      <c r="O1015" s="200" t="inlineStr">
        <is>
          <t>Cầu Km19+529.080</t>
        </is>
      </c>
      <c r="P1015" s="201" t="n"/>
      <c r="Q1015" s="201" t="n"/>
      <c r="R1015" s="201" t="n"/>
      <c r="S1015" s="201">
        <f>S1014</f>
        <v/>
      </c>
      <c r="T1015" s="201" t="n"/>
      <c r="U1015" s="201" t="n"/>
      <c r="V1015" s="201" t="n"/>
      <c r="W1015" s="202" t="n"/>
      <c r="X1015" s="202" t="n"/>
      <c r="Y1015" s="202" t="n"/>
      <c r="Z1015" s="198" t="inlineStr">
        <is>
          <t>09</t>
        </is>
      </c>
      <c r="AA1015" s="203" t="n"/>
      <c r="AB1015" s="204" t="inlineStr">
        <is>
          <t>09-XL-307HG/PYCNT/CKN/M2/C6-2</t>
        </is>
      </c>
      <c r="AC1015" s="204">
        <f>AC1014</f>
        <v/>
      </c>
      <c r="AD1015" s="204" t="n"/>
      <c r="AE1015" s="204" t="n"/>
      <c r="AF1015" s="204" t="n"/>
      <c r="AG1015" s="204" t="n"/>
      <c r="AH1015" s="204" t="inlineStr">
        <is>
          <t>C30(1)</t>
        </is>
      </c>
      <c r="AI1015" s="202" t="n"/>
      <c r="AJ1015" s="202" t="n"/>
      <c r="AK1015" s="206" t="n"/>
      <c r="AL1015" s="202" t="n"/>
      <c r="AM1015" s="202" t="n"/>
      <c r="AN1015" s="202" t="n"/>
      <c r="AO1015" s="202" t="n"/>
      <c r="AP1015" s="207" t="n"/>
      <c r="AQ1015" s="207" t="n"/>
      <c r="AR1015" s="202" t="inlineStr">
        <is>
          <t>Nhóm 1</t>
        </is>
      </c>
      <c r="AS1015" s="202" t="n"/>
      <c r="AT1015" s="202" t="inlineStr">
        <is>
          <t>HM28</t>
        </is>
      </c>
      <c r="AU1015" s="202" t="inlineStr">
        <is>
          <t>PL09</t>
        </is>
      </c>
      <c r="AV1015" s="202" t="n">
        <v>21</v>
      </c>
      <c r="AW1015" s="202" t="n">
        <v>1</v>
      </c>
      <c r="AX1015" s="202" t="n"/>
    </row>
    <row r="1016" ht="28" customHeight="1" s="672">
      <c r="A1016" s="56" t="inlineStr">
        <is>
          <t>NTCV</t>
        </is>
      </c>
      <c r="B1016" s="56" t="inlineStr">
        <is>
          <t>K.9999</t>
        </is>
      </c>
      <c r="C1016" s="56" t="inlineStr">
        <is>
          <t>NTCV.0078848</t>
        </is>
      </c>
      <c r="D1016" s="57" t="n"/>
      <c r="E1016" s="57" t="n"/>
      <c r="F1016" s="57" t="n"/>
      <c r="G1016" s="57" t="n"/>
      <c r="H1016" s="57" t="n"/>
      <c r="J1016" s="209" t="inlineStr">
        <is>
          <t>24</t>
        </is>
      </c>
      <c r="K1016" s="209" t="inlineStr">
        <is>
          <t>K.9999</t>
        </is>
      </c>
      <c r="L1016" s="210" t="inlineStr">
        <is>
          <t>Theo dõi quá trình đổ bê tông cọc khoan nhồi</t>
        </is>
      </c>
      <c r="M1016" s="210" t="n"/>
      <c r="N1016" s="210" t="n"/>
      <c r="O1016" s="211" t="inlineStr">
        <is>
          <t>Cầu Km19+529.080</t>
        </is>
      </c>
      <c r="P1016" s="212">
        <f>S1014</f>
        <v/>
      </c>
      <c r="Q1016" s="212">
        <f>P1016</f>
        <v/>
      </c>
      <c r="R1016" s="212">
        <f>Q1016-1</f>
        <v/>
      </c>
      <c r="S1016" s="212">
        <f>Q1016</f>
        <v/>
      </c>
      <c r="T1016" s="213">
        <f>U1014</f>
        <v/>
      </c>
      <c r="U1016" s="213">
        <f>T1016+V1016</f>
        <v/>
      </c>
      <c r="V1016" s="213" t="n">
        <v>0.1458333333333333</v>
      </c>
      <c r="W1016" s="214">
        <f>TEXT(T1016,"HH""h""MM'")&amp;"÷"&amp;TEXT(U1016,"HH""h""MM'")</f>
        <v/>
      </c>
      <c r="X1016" s="214" t="n"/>
      <c r="Y1016" s="214" t="n"/>
      <c r="Z1016" s="214" t="inlineStr">
        <is>
          <t>10;</t>
        </is>
      </c>
      <c r="AA1016" s="215" t="inlineStr">
        <is>
          <t>Theo dõi quá trình đổ bê tông  Cọc khoan nhồi Mố M2 - Cọc C6</t>
        </is>
      </c>
      <c r="AB1016" s="204" t="inlineStr">
        <is>
          <t>09-XL-307HG/PYCNT/CKN/M2/C6-2</t>
        </is>
      </c>
      <c r="AC1016" s="204" t="inlineStr">
        <is>
          <t>09-XL-307HG/BBNT/CKN/M2/C6-10</t>
        </is>
      </c>
      <c r="AD1016" s="204" t="n"/>
      <c r="AE1016" s="204" t="n"/>
      <c r="AF1016" s="204" t="n"/>
      <c r="AG1016" s="204" t="n"/>
      <c r="AH1016" s="204" t="n"/>
      <c r="AI1016" s="214" t="n"/>
      <c r="AJ1016" s="214" t="n"/>
      <c r="AK1016" s="217" t="n"/>
      <c r="AL1016" s="214" t="n"/>
      <c r="AM1016" s="214" t="n"/>
      <c r="AN1016" s="214" t="n"/>
      <c r="AO1016" s="214" t="n"/>
      <c r="AP1016" s="216" t="n"/>
      <c r="AQ1016" s="216" t="n"/>
      <c r="AR1016" s="214" t="inlineStr">
        <is>
          <t>Nhóm 1</t>
        </is>
      </c>
      <c r="AS1016" s="214" t="n"/>
      <c r="AT1016" s="214" t="inlineStr">
        <is>
          <t>HM28</t>
        </is>
      </c>
      <c r="AU1016" s="214" t="inlineStr">
        <is>
          <t>NTCV</t>
        </is>
      </c>
      <c r="AV1016" s="214" t="n">
        <v>298</v>
      </c>
      <c r="AW1016" s="214" t="n">
        <v>9</v>
      </c>
      <c r="AX1016" s="214" t="n"/>
    </row>
    <row r="1017" ht="210" customHeight="1" s="672">
      <c r="A1017" s="56" t="inlineStr">
        <is>
          <t>LMHT</t>
        </is>
      </c>
      <c r="B1017" s="56" t="inlineStr">
        <is>
          <t>LMHT</t>
        </is>
      </c>
      <c r="C1017" s="56" t="inlineStr">
        <is>
          <t>LMHT.0879768</t>
        </is>
      </c>
      <c r="D1017" s="57" t="inlineStr">
        <is>
          <t>TC.000041|TC.000182|TC.000169.A</t>
        </is>
      </c>
      <c r="E1017" s="57" t="n"/>
      <c r="F1017" s="57" t="inlineStr">
        <is>
          <t>CP.0001^Cọc khoan nhồi Mố M2 - Cọc C6^Hình trụ 15x30 (cm)^12^30 Mpa, 18±2^^^TC.000041|TC.000182|TC.000169.A</t>
        </is>
      </c>
      <c r="G1017" s="57" t="n"/>
      <c r="H1017" s="57" t="inlineStr">
        <is>
          <t>^^A|C|J|O|S|X|Z^Stt|Hạng mục|Cấp bê tông|Kích thước mẫu|Số lượng mẫu|Ghi chú^|||||</t>
        </is>
      </c>
      <c r="J1017" s="256" t="inlineStr">
        <is>
          <t>25</t>
        </is>
      </c>
      <c r="K1017" s="256" t="inlineStr">
        <is>
          <t>LMHT</t>
        </is>
      </c>
      <c r="L1017" s="257" t="inlineStr">
        <is>
          <t>Lấy mẫu bê tông Cọc khoan nhồi, 30(1) Mpa Mố M2 - Cọc C6</t>
        </is>
      </c>
      <c r="M1017" s="257" t="n"/>
      <c r="N1017" s="257" t="n"/>
      <c r="O1017" s="258" t="inlineStr">
        <is>
          <t>Cầu Km19+529.080</t>
        </is>
      </c>
      <c r="P1017" s="259" t="n"/>
      <c r="Q1017" s="259" t="n"/>
      <c r="R1017" s="259" t="n"/>
      <c r="S1017" s="259">
        <f>S1016</f>
        <v/>
      </c>
      <c r="T1017" s="260">
        <f>T1016</f>
        <v/>
      </c>
      <c r="U1017" s="260">
        <f>U1016</f>
        <v/>
      </c>
      <c r="V1017" s="260">
        <f>V1016</f>
        <v/>
      </c>
      <c r="W1017" s="261">
        <f>TEXT(T1017,"HH""h""MM'")&amp;"÷"&amp;TEXT(U1017,"HH""h""MM'")</f>
        <v/>
      </c>
      <c r="X1017" s="262" t="n"/>
      <c r="Y1017" s="262" t="n"/>
      <c r="Z1017" s="262" t="n"/>
      <c r="AA1017" s="262" t="n"/>
      <c r="AB1017" s="263" t="inlineStr">
        <is>
          <t>09-XL-307HG/PYCNT/CKN/M2/C6-2</t>
        </is>
      </c>
      <c r="AC1017" s="263" t="inlineStr"/>
      <c r="AD1017" s="264" t="n"/>
      <c r="AE1017" s="264" t="n"/>
      <c r="AF1017" s="264" t="n"/>
      <c r="AG1017" s="264" t="n"/>
      <c r="AH1017" s="264" t="n"/>
      <c r="AI1017" s="257" t="n"/>
      <c r="AJ1017" s="262" t="n"/>
      <c r="AK1017" s="258" t="n"/>
      <c r="AL1017" s="262" t="n"/>
      <c r="AM1017" s="262" t="n"/>
      <c r="AN1017" s="262" t="n"/>
      <c r="AO1017" s="262" t="n"/>
      <c r="AP1017" s="263" t="inlineStr">
        <is>
          <t>Bảng lấy mẫu CKN</t>
        </is>
      </c>
      <c r="AQ1017" s="263" t="n"/>
      <c r="AR1017" s="262" t="inlineStr">
        <is>
          <t>Nhóm 1</t>
        </is>
      </c>
      <c r="AS1017" s="262" t="n"/>
      <c r="AT1017" s="262" t="inlineStr">
        <is>
          <t>HM28</t>
        </is>
      </c>
      <c r="AU1017" s="262" t="inlineStr">
        <is>
          <t>LMHT</t>
        </is>
      </c>
      <c r="AV1017" s="262" t="n">
        <v>26</v>
      </c>
      <c r="AW1017" s="262" t="n">
        <v>1</v>
      </c>
      <c r="AX1017" s="262" t="inlineStr">
        <is>
          <t>Cọc M2-C6 [BT dòng 24]: chưa đến ngưỡng phát sinh lượt mẫu xi măng/cát/đá; mẫu bê tông cấu kiện vẫn theo F1017.</t>
        </is>
      </c>
    </row>
    <row r="1018">
      <c r="A1018" s="56" t="inlineStr">
        <is>
          <t>BBK994</t>
        </is>
      </c>
      <c r="B1018" s="56" t="inlineStr">
        <is>
          <t>PL10</t>
        </is>
      </c>
      <c r="C1018" s="56" t="inlineStr">
        <is>
          <t>BBK994.0579241</t>
        </is>
      </c>
      <c r="D1018" s="57" t="n"/>
      <c r="E1018" s="57" t="n"/>
      <c r="F1018" s="57" t="n"/>
      <c r="G1018" s="57" t="n"/>
      <c r="H1018" s="57" t="n"/>
      <c r="J1018" s="198" t="inlineStr">
        <is>
          <t>26</t>
        </is>
      </c>
      <c r="K1018" s="198" t="inlineStr">
        <is>
          <t>PL10</t>
        </is>
      </c>
      <c r="L1018" s="199" t="inlineStr">
        <is>
          <t>Theo dõi quá trình đổ bê tông cọc khoan nhồi</t>
        </is>
      </c>
      <c r="M1018" s="199" t="n"/>
      <c r="N1018" s="199" t="n"/>
      <c r="O1018" s="200" t="inlineStr">
        <is>
          <t>Cầu Km19+529.080</t>
        </is>
      </c>
      <c r="P1018" s="201" t="n"/>
      <c r="Q1018" s="201" t="n"/>
      <c r="R1018" s="201" t="n"/>
      <c r="S1018" s="201">
        <f>S1016</f>
        <v/>
      </c>
      <c r="T1018" s="201" t="n"/>
      <c r="U1018" s="201" t="n"/>
      <c r="V1018" s="201" t="n"/>
      <c r="W1018" s="202" t="n"/>
      <c r="X1018" s="202" t="n"/>
      <c r="Y1018" s="202" t="n"/>
      <c r="Z1018" s="198" t="inlineStr">
        <is>
          <t>10</t>
        </is>
      </c>
      <c r="AA1018" s="203" t="n"/>
      <c r="AB1018" s="204" t="inlineStr">
        <is>
          <t>09-XL-307HG/PYCNT/CKN/M2/C6-2</t>
        </is>
      </c>
      <c r="AC1018" s="204">
        <f>AC1016</f>
        <v/>
      </c>
      <c r="AD1018" s="204" t="n"/>
      <c r="AE1018" s="204" t="n"/>
      <c r="AF1018" s="204" t="n"/>
      <c r="AG1018" s="204" t="n"/>
      <c r="AH1018" s="204" t="inlineStr">
        <is>
          <t>M2-C6</t>
        </is>
      </c>
      <c r="AI1018" s="202" t="n"/>
      <c r="AJ1018" s="202" t="n"/>
      <c r="AK1018" s="206" t="n"/>
      <c r="AL1018" s="202" t="n"/>
      <c r="AM1018" s="202" t="n"/>
      <c r="AN1018" s="202" t="n"/>
      <c r="AO1018" s="202" t="n"/>
      <c r="AP1018" s="207" t="n"/>
      <c r="AQ1018" s="207" t="n"/>
      <c r="AR1018" s="202" t="inlineStr">
        <is>
          <t>Nhóm 1</t>
        </is>
      </c>
      <c r="AS1018" s="202" t="n"/>
      <c r="AT1018" s="202" t="inlineStr">
        <is>
          <t>HM28</t>
        </is>
      </c>
      <c r="AU1018" s="202" t="inlineStr">
        <is>
          <t>PL10</t>
        </is>
      </c>
      <c r="AV1018" s="202" t="n">
        <v>21</v>
      </c>
      <c r="AW1018" s="202" t="n">
        <v>1</v>
      </c>
      <c r="AX1018" s="202" t="n"/>
    </row>
    <row r="1019" ht="28" customHeight="1" s="672">
      <c r="A1019" s="56" t="inlineStr">
        <is>
          <t>NTCV</t>
        </is>
      </c>
      <c r="B1019" s="56" t="inlineStr">
        <is>
          <t>K.9999</t>
        </is>
      </c>
      <c r="C1019" s="56" t="inlineStr">
        <is>
          <t>NTCV.0861620</t>
        </is>
      </c>
      <c r="D1019" s="57" t="n"/>
      <c r="E1019" s="57" t="n"/>
      <c r="F1019" s="57" t="n"/>
      <c r="G1019" s="57" t="n"/>
      <c r="H1019" s="57" t="n"/>
      <c r="J1019" s="209" t="inlineStr">
        <is>
          <t>27</t>
        </is>
      </c>
      <c r="K1019" s="209" t="inlineStr">
        <is>
          <t>K.9999</t>
        </is>
      </c>
      <c r="L1019" s="210" t="inlineStr">
        <is>
          <t xml:space="preserve"> Rút ống vách thi công cọc khoan nhồi</t>
        </is>
      </c>
      <c r="M1019" s="210" t="n"/>
      <c r="N1019" s="210" t="n"/>
      <c r="O1019" s="211" t="inlineStr">
        <is>
          <t>Cầu Km19+529.080</t>
        </is>
      </c>
      <c r="P1019" s="212">
        <f>S1016</f>
        <v/>
      </c>
      <c r="Q1019" s="212">
        <f>P1019</f>
        <v/>
      </c>
      <c r="R1019" s="212">
        <f>Q1019-1</f>
        <v/>
      </c>
      <c r="S1019" s="212">
        <f>Q1019</f>
        <v/>
      </c>
      <c r="T1019" s="213">
        <f>U1016</f>
        <v/>
      </c>
      <c r="U1019" s="213">
        <f>T1019+V1019</f>
        <v/>
      </c>
      <c r="V1019" s="213" t="n">
        <v>0.01041666666666667</v>
      </c>
      <c r="W1019" s="214">
        <f>TEXT(T1019,"HH""h""MM'")&amp;"÷"&amp;TEXT(U1019,"HH""h""MM'")</f>
        <v/>
      </c>
      <c r="X1019" s="214" t="n"/>
      <c r="Y1019" s="214" t="n"/>
      <c r="Z1019" s="214" t="inlineStr">
        <is>
          <t>11;</t>
        </is>
      </c>
      <c r="AA1019" s="215" t="inlineStr">
        <is>
          <t>Rút ống vách  Cọc khoan nhồi Mố M2 - Cọc C6</t>
        </is>
      </c>
      <c r="AB1019" s="204" t="inlineStr">
        <is>
          <t>09-XL-307HG/PYCNT/CKN/M2/C6-2</t>
        </is>
      </c>
      <c r="AC1019" s="204" t="inlineStr">
        <is>
          <t>09-XL-307HG/BBNT/CKN/M2/C6-11</t>
        </is>
      </c>
      <c r="AD1019" s="204" t="n"/>
      <c r="AE1019" s="204" t="n"/>
      <c r="AF1019" s="204" t="n"/>
      <c r="AG1019" s="204" t="n"/>
      <c r="AH1019" s="204" t="n"/>
      <c r="AI1019" s="214" t="n"/>
      <c r="AJ1019" s="214" t="n"/>
      <c r="AK1019" s="217" t="n"/>
      <c r="AL1019" s="214" t="n"/>
      <c r="AM1019" s="214" t="n"/>
      <c r="AN1019" s="214" t="n"/>
      <c r="AO1019" s="214" t="n"/>
      <c r="AP1019" s="216" t="n"/>
      <c r="AQ1019" s="216" t="n"/>
      <c r="AR1019" s="214" t="inlineStr">
        <is>
          <t>Nhóm 1</t>
        </is>
      </c>
      <c r="AS1019" s="214" t="n"/>
      <c r="AT1019" s="214" t="inlineStr">
        <is>
          <t>HM28</t>
        </is>
      </c>
      <c r="AU1019" s="214" t="inlineStr">
        <is>
          <t>NTCV</t>
        </is>
      </c>
      <c r="AV1019" s="214" t="n">
        <v>299</v>
      </c>
      <c r="AW1019" s="214" t="n">
        <v>10</v>
      </c>
      <c r="AX1019" s="214" t="n"/>
    </row>
    <row r="1020">
      <c r="A1020" s="56" t="inlineStr">
        <is>
          <t>BBK544</t>
        </is>
      </c>
      <c r="B1020" s="56" t="inlineStr">
        <is>
          <t>PL11</t>
        </is>
      </c>
      <c r="C1020" s="56" t="inlineStr">
        <is>
          <t>BBK544.0809590</t>
        </is>
      </c>
      <c r="D1020" s="57" t="n"/>
      <c r="E1020" s="57" t="n"/>
      <c r="F1020" s="57" t="n"/>
      <c r="G1020" s="57" t="n"/>
      <c r="H1020" s="57" t="n"/>
      <c r="J1020" s="198" t="inlineStr">
        <is>
          <t>28</t>
        </is>
      </c>
      <c r="K1020" s="198" t="inlineStr">
        <is>
          <t>PL11</t>
        </is>
      </c>
      <c r="L1020" s="199" t="inlineStr">
        <is>
          <t>Rút ống vách thi công cọc khoan nhồi</t>
        </is>
      </c>
      <c r="M1020" s="199" t="n"/>
      <c r="N1020" s="199" t="n"/>
      <c r="O1020" s="200" t="inlineStr">
        <is>
          <t>Cầu Km19+529.080</t>
        </is>
      </c>
      <c r="P1020" s="201" t="n"/>
      <c r="Q1020" s="201" t="n"/>
      <c r="R1020" s="201" t="n"/>
      <c r="S1020" s="201">
        <f>S1019</f>
        <v/>
      </c>
      <c r="T1020" s="201" t="n"/>
      <c r="U1020" s="201" t="n"/>
      <c r="V1020" s="201" t="n"/>
      <c r="W1020" s="202" t="n"/>
      <c r="X1020" s="202" t="n"/>
      <c r="Y1020" s="202" t="n"/>
      <c r="Z1020" s="198" t="inlineStr">
        <is>
          <t>11</t>
        </is>
      </c>
      <c r="AA1020" s="203" t="n"/>
      <c r="AB1020" s="204" t="inlineStr">
        <is>
          <t>09-XL-307HG/PYCNT/CKN/M2/C6-2</t>
        </is>
      </c>
      <c r="AC1020" s="204">
        <f>AC1019</f>
        <v/>
      </c>
      <c r="AD1020" s="204" t="n"/>
      <c r="AE1020" s="204" t="n"/>
      <c r="AF1020" s="204" t="n"/>
      <c r="AG1020" s="204" t="n"/>
      <c r="AH1020" s="204" t="inlineStr">
        <is>
          <t>&gt;=770;&lt;=801</t>
        </is>
      </c>
      <c r="AI1020" s="202" t="n"/>
      <c r="AJ1020" s="202" t="n"/>
      <c r="AK1020" s="206" t="n"/>
      <c r="AL1020" s="202" t="n"/>
      <c r="AM1020" s="202" t="n"/>
      <c r="AN1020" s="202" t="n"/>
      <c r="AO1020" s="202" t="n"/>
      <c r="AP1020" s="207" t="n"/>
      <c r="AQ1020" s="207" t="n"/>
      <c r="AR1020" s="202" t="inlineStr">
        <is>
          <t>Nhóm 1</t>
        </is>
      </c>
      <c r="AS1020" s="202" t="n"/>
      <c r="AT1020" s="202" t="inlineStr">
        <is>
          <t>HM28</t>
        </is>
      </c>
      <c r="AU1020" s="202" t="inlineStr">
        <is>
          <t>PL11</t>
        </is>
      </c>
      <c r="AV1020" s="202" t="n">
        <v>21</v>
      </c>
      <c r="AW1020" s="202" t="n">
        <v>1</v>
      </c>
      <c r="AX1020" s="202" t="n"/>
    </row>
    <row r="1021" ht="13" customHeight="1" s="672">
      <c r="A1021" s="56" t="inlineStr">
        <is>
          <t>BBK680</t>
        </is>
      </c>
      <c r="B1021" s="56" t="inlineStr">
        <is>
          <t>PYC</t>
        </is>
      </c>
      <c r="C1021" s="56" t="inlineStr">
        <is>
          <t>BBK680.0767865</t>
        </is>
      </c>
      <c r="D1021" s="57" t="n"/>
      <c r="E1021" s="57" t="n"/>
      <c r="F1021" s="57" t="n"/>
      <c r="G1021" s="57" t="n"/>
      <c r="H1021" s="57" t="n"/>
      <c r="J1021" s="198" t="inlineStr">
        <is>
          <t>29</t>
        </is>
      </c>
      <c r="K1021" s="198" t="inlineStr">
        <is>
          <t>PYC</t>
        </is>
      </c>
      <c r="L1021" s="199" t="inlineStr">
        <is>
          <t>Phiếu yêu cầu nghiệm thu</t>
        </is>
      </c>
      <c r="M1021" s="199" t="n"/>
      <c r="N1021" s="199" t="n"/>
      <c r="O1021" s="200" t="inlineStr">
        <is>
          <t>Cầu Km19+529.080</t>
        </is>
      </c>
      <c r="P1021" s="201" t="n"/>
      <c r="Q1021" s="201" t="n"/>
      <c r="R1021" s="201">
        <f>R1022</f>
        <v/>
      </c>
      <c r="S1021" s="201" t="n"/>
      <c r="T1021" s="201" t="n"/>
      <c r="U1021" s="201" t="n"/>
      <c r="V1021" s="201" t="n"/>
      <c r="W1021" s="202" t="n"/>
      <c r="X1021" s="202" t="n"/>
      <c r="Y1021" s="202" t="n"/>
      <c r="Z1021" s="202" t="n"/>
      <c r="AA1021" s="203" t="n"/>
      <c r="AB1021" s="204" t="inlineStr">
        <is>
          <t>09-XL-307HG/PYCNT/CKN/M2/C6</t>
        </is>
      </c>
      <c r="AC1021" s="205" t="inlineStr"/>
      <c r="AD1021" s="205" t="n"/>
      <c r="AE1021" s="205" t="n"/>
      <c r="AF1021" s="205" t="n"/>
      <c r="AG1021" s="205" t="inlineStr">
        <is>
          <t>NTCV;BBKTĐK</t>
        </is>
      </c>
      <c r="AH1021" s="204" t="n">
        <v>11</v>
      </c>
      <c r="AI1021" s="202" t="n"/>
      <c r="AJ1021" s="202" t="n"/>
      <c r="AK1021" s="206" t="n"/>
      <c r="AL1021" s="202" t="n"/>
      <c r="AM1021" s="202" t="n"/>
      <c r="AN1021" s="202" t="n"/>
      <c r="AO1021" s="202" t="n"/>
      <c r="AP1021" s="207" t="n"/>
      <c r="AQ1021" s="207" t="n"/>
      <c r="AR1021" s="202" t="inlineStr">
        <is>
          <t>Nhóm 1</t>
        </is>
      </c>
      <c r="AS1021" s="202" t="n"/>
      <c r="AT1021" s="202" t="inlineStr">
        <is>
          <t>HM28</t>
        </is>
      </c>
      <c r="AU1021" s="202" t="inlineStr">
        <is>
          <t>PYC</t>
        </is>
      </c>
      <c r="AV1021" s="202" t="n">
        <v>239</v>
      </c>
      <c r="AW1021" s="202" t="n">
        <v>3</v>
      </c>
      <c r="AX1021" s="202" t="n"/>
    </row>
    <row r="1022" ht="28" customHeight="1" s="672">
      <c r="A1022" s="56" t="inlineStr">
        <is>
          <t>NTCV</t>
        </is>
      </c>
      <c r="B1022" s="56" t="inlineStr">
        <is>
          <t>K.9999</t>
        </is>
      </c>
      <c r="C1022" s="56" t="inlineStr">
        <is>
          <t>NTCV.0923984</t>
        </is>
      </c>
      <c r="D1022" s="57" t="n"/>
      <c r="E1022" s="57" t="n"/>
      <c r="F1022" s="57" t="n"/>
      <c r="G1022" s="57" t="n"/>
      <c r="H1022" s="57" t="n"/>
      <c r="J1022" s="209" t="inlineStr">
        <is>
          <t>30</t>
        </is>
      </c>
      <c r="K1022" s="209" t="inlineStr">
        <is>
          <t>K.9999</t>
        </is>
      </c>
      <c r="L1022" s="210" t="inlineStr">
        <is>
          <t>Theo dõi nén mẫu R7 Cọc khoan nhồi Cọc Mố M2 - Cọc C6</t>
        </is>
      </c>
      <c r="M1022" s="210" t="n"/>
      <c r="N1022" s="210" t="n"/>
      <c r="O1022" s="211" t="inlineStr">
        <is>
          <t>Cầu Km19+529.080</t>
        </is>
      </c>
      <c r="P1022" s="212">
        <f>S1019+7</f>
        <v/>
      </c>
      <c r="Q1022" s="212">
        <f>P1022</f>
        <v/>
      </c>
      <c r="R1022" s="212">
        <f>Q1022-1</f>
        <v/>
      </c>
      <c r="S1022" s="212">
        <f>Q1022</f>
        <v/>
      </c>
      <c r="T1022" s="213" t="n">
        <v>0.3541666666666667</v>
      </c>
      <c r="U1022" s="213">
        <f>T1022+V1022</f>
        <v/>
      </c>
      <c r="V1022" s="213" t="n">
        <v>0.02083333333333333</v>
      </c>
      <c r="W1022" s="214">
        <f>TEXT(T1022,"HH""h""MM'")&amp;"÷"&amp;TEXT(U1022,"HH""h""MM'")</f>
        <v/>
      </c>
      <c r="X1022" s="214" t="n"/>
      <c r="Y1022" s="214" t="n"/>
      <c r="Z1022" s="214" t="n"/>
      <c r="AA1022" s="215" t="inlineStr">
        <is>
          <t>Theo dõi nén mẫu R7 Cọc khoan nhồi Mố M2 - Cọc C6</t>
        </is>
      </c>
      <c r="AB1022" s="204" t="inlineStr">
        <is>
          <t>09-XL-307HG/PYCNT/CKN/M2/C6-3</t>
        </is>
      </c>
      <c r="AC1022" s="204" t="inlineStr">
        <is>
          <t>09-XL-307HG/BBNT/CKN/M2/C6-12</t>
        </is>
      </c>
      <c r="AD1022" s="204" t="n"/>
      <c r="AE1022" s="204" t="n"/>
      <c r="AF1022" s="204" t="n"/>
      <c r="AG1022" s="204" t="n"/>
      <c r="AH1022" s="204" t="n"/>
      <c r="AI1022" s="214" t="n"/>
      <c r="AJ1022" s="214" t="n"/>
      <c r="AK1022" s="217" t="n"/>
      <c r="AL1022" s="214" t="n"/>
      <c r="AM1022" s="214" t="n"/>
      <c r="AN1022" s="214" t="n"/>
      <c r="AO1022" s="214" t="n"/>
      <c r="AP1022" s="216" t="n"/>
      <c r="AQ1022" s="216" t="n"/>
      <c r="AR1022" s="214" t="inlineStr">
        <is>
          <t>Nhóm 1</t>
        </is>
      </c>
      <c r="AS1022" s="214" t="n"/>
      <c r="AT1022" s="214" t="inlineStr">
        <is>
          <t>HM28</t>
        </is>
      </c>
      <c r="AU1022" s="214" t="inlineStr">
        <is>
          <t>NTCV</t>
        </is>
      </c>
      <c r="AV1022" s="214" t="n">
        <v>368</v>
      </c>
      <c r="AW1022" s="214" t="n">
        <v>11</v>
      </c>
      <c r="AX1022" s="214" t="n"/>
    </row>
    <row r="1023">
      <c r="A1023" s="56" t="inlineStr">
        <is>
          <t>BBK680</t>
        </is>
      </c>
      <c r="B1023" s="56" t="inlineStr">
        <is>
          <t>PYC</t>
        </is>
      </c>
      <c r="C1023" s="56" t="inlineStr">
        <is>
          <t>BBK680.0050294</t>
        </is>
      </c>
      <c r="D1023" s="57" t="n"/>
      <c r="E1023" s="57" t="n"/>
      <c r="F1023" s="57" t="n"/>
      <c r="G1023" s="57" t="n"/>
      <c r="H1023" s="57" t="n"/>
      <c r="J1023" s="198" t="inlineStr">
        <is>
          <t>31</t>
        </is>
      </c>
      <c r="K1023" s="198" t="inlineStr">
        <is>
          <t>PYC</t>
        </is>
      </c>
      <c r="L1023" s="199" t="inlineStr">
        <is>
          <t>Phiếu yêu cầu nghiệm thu</t>
        </is>
      </c>
      <c r="M1023" s="199" t="n"/>
      <c r="N1023" s="199" t="n"/>
      <c r="O1023" s="200" t="inlineStr">
        <is>
          <t>Cầu Km19+529.080</t>
        </is>
      </c>
      <c r="P1023" s="201" t="n"/>
      <c r="Q1023" s="201" t="n"/>
      <c r="R1023" s="201">
        <f>+S1018+28</f>
        <v/>
      </c>
      <c r="S1023" s="201" t="n"/>
      <c r="T1023" s="201" t="n"/>
      <c r="U1023" s="201" t="n"/>
      <c r="V1023" s="201" t="n"/>
      <c r="W1023" s="202" t="n"/>
      <c r="X1023" s="202" t="n"/>
      <c r="Y1023" s="202" t="n"/>
      <c r="Z1023" s="202" t="n"/>
      <c r="AA1023" s="203" t="n"/>
      <c r="AB1023" s="204" t="inlineStr">
        <is>
          <t>09-XL-307HG/PYCNT/CKN/M2/C6</t>
        </is>
      </c>
      <c r="AC1023" s="205" t="inlineStr"/>
      <c r="AD1023" s="205" t="n"/>
      <c r="AE1023" s="205" t="n"/>
      <c r="AF1023" s="205" t="n"/>
      <c r="AG1023" s="205" t="inlineStr">
        <is>
          <t>NTCV;BBKTĐK</t>
        </is>
      </c>
      <c r="AH1023" s="204" t="n">
        <v>12</v>
      </c>
      <c r="AI1023" s="202" t="n"/>
      <c r="AJ1023" s="202" t="n"/>
      <c r="AK1023" s="206" t="n"/>
      <c r="AL1023" s="202" t="n"/>
      <c r="AM1023" s="202" t="n"/>
      <c r="AN1023" s="202" t="n"/>
      <c r="AO1023" s="202" t="n"/>
      <c r="AP1023" s="207" t="n"/>
      <c r="AQ1023" s="207" t="n"/>
      <c r="AR1023" s="202" t="inlineStr">
        <is>
          <t>Nhóm 1</t>
        </is>
      </c>
      <c r="AS1023" s="202" t="n"/>
      <c r="AT1023" s="202" t="inlineStr">
        <is>
          <t>HM28</t>
        </is>
      </c>
      <c r="AU1023" s="202" t="inlineStr">
        <is>
          <t>PYC</t>
        </is>
      </c>
      <c r="AV1023" s="202" t="n">
        <v>240</v>
      </c>
      <c r="AW1023" s="202" t="n">
        <v>4</v>
      </c>
      <c r="AX1023" s="202" t="n"/>
    </row>
    <row r="1024" ht="28" customHeight="1" s="672">
      <c r="A1024" s="56" t="inlineStr">
        <is>
          <t>NTCV</t>
        </is>
      </c>
      <c r="B1024" s="56" t="inlineStr">
        <is>
          <t>K.9999</t>
        </is>
      </c>
      <c r="C1024" s="56" t="inlineStr">
        <is>
          <t>NTCV.0824866</t>
        </is>
      </c>
      <c r="D1024" s="57" t="n"/>
      <c r="E1024" s="57" t="n"/>
      <c r="F1024" s="57" t="n"/>
      <c r="G1024" s="57" t="n"/>
      <c r="H1024" s="57" t="n"/>
      <c r="J1024" s="209" t="inlineStr">
        <is>
          <t>32</t>
        </is>
      </c>
      <c r="K1024" s="209" t="inlineStr">
        <is>
          <t>K.9999</t>
        </is>
      </c>
      <c r="L1024" s="210" t="inlineStr">
        <is>
          <t>Đập đầu cọc khoan nhồi Mố M2 - Cọc C6</t>
        </is>
      </c>
      <c r="M1024" s="210" t="n"/>
      <c r="N1024" s="210" t="n"/>
      <c r="O1024" s="211" t="inlineStr">
        <is>
          <t>Cầu Km19+529.080</t>
        </is>
      </c>
      <c r="P1024" s="212">
        <f>S1022</f>
        <v/>
      </c>
      <c r="Q1024" s="212">
        <f>P1024</f>
        <v/>
      </c>
      <c r="R1024" s="212">
        <f>Q1024-1</f>
        <v/>
      </c>
      <c r="S1024" s="212">
        <f>Q1024</f>
        <v/>
      </c>
      <c r="T1024" s="213" t="n">
        <v>0.3541666666666667</v>
      </c>
      <c r="U1024" s="213">
        <f>T1024+V1024</f>
        <v/>
      </c>
      <c r="V1024" s="213" t="n">
        <v>0.0625</v>
      </c>
      <c r="W1024" s="214">
        <f>TEXT(T1024,"HH""h""MM'")&amp;"÷"&amp;TEXT(U1024,"HH""h""MM'")</f>
        <v/>
      </c>
      <c r="X1024" s="214" t="n"/>
      <c r="Y1024" s="214" t="n"/>
      <c r="Z1024" s="214" t="n"/>
      <c r="AA1024" s="215" t="inlineStr">
        <is>
          <t>Theo dõi nén mẫu R28 Cọc khoan nhồi Mố M2 - Cọc C6</t>
        </is>
      </c>
      <c r="AB1024" s="204" t="inlineStr">
        <is>
          <t>09-XL-307HG/PYCNT/CKN/M2/C6-4</t>
        </is>
      </c>
      <c r="AC1024" s="204" t="inlineStr">
        <is>
          <t>09-XL-307HG/BBNT/CKN/M2/C6-13</t>
        </is>
      </c>
      <c r="AD1024" s="204" t="n"/>
      <c r="AE1024" s="204" t="n"/>
      <c r="AF1024" s="204" t="n"/>
      <c r="AG1024" s="204" t="n"/>
      <c r="AH1024" s="204" t="n"/>
      <c r="AI1024" s="214" t="n"/>
      <c r="AJ1024" s="214" t="n"/>
      <c r="AK1024" s="217" t="n"/>
      <c r="AL1024" s="214" t="n"/>
      <c r="AM1024" s="214" t="n"/>
      <c r="AN1024" s="214" t="n"/>
      <c r="AO1024" s="214" t="n"/>
      <c r="AP1024" s="216" t="n"/>
      <c r="AQ1024" s="216" t="n"/>
      <c r="AR1024" s="214" t="inlineStr">
        <is>
          <t>Nhóm 1</t>
        </is>
      </c>
      <c r="AS1024" s="214" t="n"/>
      <c r="AT1024" s="214" t="inlineStr">
        <is>
          <t>HM28</t>
        </is>
      </c>
      <c r="AU1024" s="214" t="inlineStr">
        <is>
          <t>NTCV</t>
        </is>
      </c>
      <c r="AV1024" s="214" t="n">
        <v>369</v>
      </c>
      <c r="AW1024" s="214" t="n">
        <v>12</v>
      </c>
      <c r="AX1024" s="214" t="n"/>
    </row>
    <row r="1025">
      <c r="A1025" s="56" t="inlineStr">
        <is>
          <t>HM</t>
        </is>
      </c>
      <c r="B1025" s="56" t="inlineStr">
        <is>
          <t>HM</t>
        </is>
      </c>
      <c r="C1025" s="56" t="inlineStr">
        <is>
          <t>HM.0228140</t>
        </is>
      </c>
      <c r="D1025" s="57" t="n"/>
      <c r="E1025" s="57" t="n"/>
      <c r="F1025" s="57" t="n"/>
      <c r="G1025" s="57" t="n"/>
      <c r="H1025" s="57" t="n"/>
      <c r="J1025" s="246" t="inlineStr">
        <is>
          <t>HM29</t>
        </is>
      </c>
      <c r="K1025" s="246" t="inlineStr">
        <is>
          <t>HM</t>
        </is>
      </c>
      <c r="L1025" s="247" t="inlineStr">
        <is>
          <t>Mố M2 - Cọc C7</t>
        </is>
      </c>
      <c r="M1025" s="247" t="n"/>
      <c r="N1025" s="247" t="n"/>
      <c r="O1025" s="248" t="inlineStr">
        <is>
          <t>Cầu Km19+529.080</t>
        </is>
      </c>
      <c r="P1025" s="249" t="n"/>
      <c r="Q1025" s="249" t="n"/>
      <c r="R1025" s="249" t="n"/>
      <c r="S1025" s="249" t="n"/>
      <c r="T1025" s="249" t="n"/>
      <c r="U1025" s="249" t="n"/>
      <c r="V1025" s="249" t="n"/>
      <c r="W1025" s="250" t="n"/>
      <c r="X1025" s="250" t="n"/>
      <c r="Y1025" s="250" t="n"/>
      <c r="Z1025" s="250" t="n"/>
      <c r="AA1025" s="251" t="n"/>
      <c r="AB1025" s="252" t="n"/>
      <c r="AC1025" s="252" t="inlineStr"/>
      <c r="AD1025" s="252" t="n"/>
      <c r="AE1025" s="252" t="n"/>
      <c r="AF1025" s="252" t="n"/>
      <c r="AG1025" s="252" t="n"/>
      <c r="AH1025" s="252" t="n"/>
      <c r="AI1025" s="250" t="n"/>
      <c r="AJ1025" s="250" t="n"/>
      <c r="AK1025" s="253" t="n"/>
      <c r="AL1025" s="250" t="n"/>
      <c r="AM1025" s="250" t="n"/>
      <c r="AN1025" s="250" t="n"/>
      <c r="AO1025" s="250" t="n"/>
      <c r="AP1025" s="254" t="n"/>
      <c r="AQ1025" s="254" t="n"/>
      <c r="AR1025" s="250" t="n"/>
      <c r="AS1025" s="250" t="n"/>
      <c r="AT1025" s="250" t="inlineStr">
        <is>
          <t>HM29</t>
        </is>
      </c>
      <c r="AU1025" s="250" t="inlineStr">
        <is>
          <t>HM</t>
        </is>
      </c>
      <c r="AV1025" s="250" t="n"/>
      <c r="AW1025" s="250" t="n"/>
      <c r="AX1025" s="250" t="n"/>
    </row>
    <row r="1026" ht="28" customFormat="1" customHeight="1" s="70">
      <c r="A1026" s="68" t="inlineStr">
        <is>
          <t>BBK_BIA</t>
        </is>
      </c>
      <c r="B1026" s="68" t="inlineStr">
        <is>
          <t>TRANGBIA</t>
        </is>
      </c>
      <c r="C1026" s="68" t="inlineStr">
        <is>
          <t>BBK_BIA.0274848</t>
        </is>
      </c>
      <c r="D1026" s="69" t="n"/>
      <c r="E1026" s="69" t="n"/>
      <c r="F1026" s="69" t="n"/>
      <c r="G1026" s="69" t="n"/>
      <c r="H1026" s="69" t="n"/>
      <c r="J1026" s="98" t="inlineStr">
        <is>
          <t>01</t>
        </is>
      </c>
      <c r="K1026" s="98" t="inlineStr">
        <is>
          <t>TRANGBIA</t>
        </is>
      </c>
      <c r="L1026" s="99">
        <f>"Cọc Khoan Nhồi"&amp;" - "&amp;L1025</f>
        <v/>
      </c>
      <c r="M1026" s="99" t="n"/>
      <c r="N1026" s="99" t="n"/>
      <c r="O1026" s="100" t="inlineStr">
        <is>
          <t>Cầu Km19+529.080</t>
        </is>
      </c>
      <c r="P1026" s="101" t="n"/>
      <c r="Q1026" s="101" t="n"/>
      <c r="R1026" s="101" t="n"/>
      <c r="S1026" s="101" t="n"/>
      <c r="T1026" s="101" t="n"/>
      <c r="U1026" s="101" t="n"/>
      <c r="V1026" s="101" t="n"/>
      <c r="W1026" s="102" t="n"/>
      <c r="X1026" s="102" t="n"/>
      <c r="Y1026" s="102" t="n"/>
      <c r="Z1026" s="102" t="n"/>
      <c r="AA1026" s="102" t="n"/>
      <c r="AB1026" s="102" t="n"/>
      <c r="AC1026" s="102" t="inlineStr"/>
      <c r="AD1026" s="102" t="n"/>
      <c r="AE1026" s="102" t="n"/>
      <c r="AF1026" s="102" t="n"/>
      <c r="AG1026" s="102" t="n"/>
      <c r="AH1026" s="102" t="n"/>
      <c r="AI1026" s="102" t="n"/>
      <c r="AJ1026" s="102" t="n"/>
      <c r="AK1026" s="100" t="n"/>
      <c r="AL1026" s="102" t="n"/>
      <c r="AM1026" s="102" t="n"/>
      <c r="AN1026" s="102" t="n"/>
      <c r="AO1026" s="102" t="n"/>
      <c r="AP1026" s="103" t="inlineStr">
        <is>
          <t>Kết cấu cọc khoan nhồi mố, trụ</t>
        </is>
      </c>
      <c r="AQ1026" s="104" t="n"/>
      <c r="AR1026" s="102" t="inlineStr">
        <is>
          <t>Nhóm 1</t>
        </is>
      </c>
      <c r="AS1026" s="102" t="n"/>
      <c r="AT1026" s="102" t="inlineStr">
        <is>
          <t>HM29</t>
        </is>
      </c>
      <c r="AU1026" s="102" t="inlineStr">
        <is>
          <t>TRANGBIA</t>
        </is>
      </c>
      <c r="AV1026" s="102" t="n">
        <v>29</v>
      </c>
      <c r="AW1026" s="102" t="n">
        <v>1</v>
      </c>
      <c r="AX1026" s="102" t="n"/>
    </row>
    <row r="1027" customFormat="1" s="70">
      <c r="A1027" s="68" t="inlineStr">
        <is>
          <t>BBK_ML</t>
        </is>
      </c>
      <c r="B1027" s="68" t="inlineStr">
        <is>
          <t>MUCLUC</t>
        </is>
      </c>
      <c r="C1027" s="68" t="inlineStr">
        <is>
          <t>BBK_ML.0052632</t>
        </is>
      </c>
      <c r="D1027" s="69" t="n"/>
      <c r="E1027" s="69" t="n"/>
      <c r="F1027" s="69" t="n"/>
      <c r="G1027" s="69" t="n"/>
      <c r="H1027" s="69" t="n"/>
      <c r="J1027" s="98" t="inlineStr">
        <is>
          <t>02</t>
        </is>
      </c>
      <c r="K1027" s="98" t="inlineStr">
        <is>
          <t>MUCLUC</t>
        </is>
      </c>
      <c r="L1027" s="99" t="inlineStr">
        <is>
          <t>Danh mục biên bản Kiểm tra/Nghiệm thu</t>
        </is>
      </c>
      <c r="M1027" s="99" t="n"/>
      <c r="N1027" s="99" t="n"/>
      <c r="O1027" s="100" t="inlineStr">
        <is>
          <t>Cầu Km19+529.080</t>
        </is>
      </c>
      <c r="P1027" s="101" t="n"/>
      <c r="Q1027" s="101" t="n"/>
      <c r="R1027" s="101" t="n"/>
      <c r="S1027" s="101" t="n"/>
      <c r="T1027" s="101" t="n"/>
      <c r="U1027" s="101" t="n"/>
      <c r="V1027" s="101" t="n"/>
      <c r="W1027" s="102" t="n"/>
      <c r="X1027" s="102" t="n"/>
      <c r="Y1027" s="102" t="n"/>
      <c r="Z1027" s="102" t="n"/>
      <c r="AA1027" s="102" t="n"/>
      <c r="AB1027" s="102" t="n"/>
      <c r="AC1027" s="102" t="inlineStr"/>
      <c r="AD1027" s="102" t="n"/>
      <c r="AE1027" s="102" t="n"/>
      <c r="AF1027" s="102" t="n"/>
      <c r="AG1027" s="102" t="n"/>
      <c r="AH1027" s="102" t="n"/>
      <c r="AI1027" s="102" t="n"/>
      <c r="AJ1027" s="102" t="n"/>
      <c r="AK1027" s="100" t="n"/>
      <c r="AL1027" s="102" t="n"/>
      <c r="AM1027" s="102" t="n"/>
      <c r="AN1027" s="102" t="n"/>
      <c r="AO1027" s="102" t="n"/>
      <c r="AP1027" s="104" t="n"/>
      <c r="AQ1027" s="104" t="n"/>
      <c r="AR1027" s="102" t="inlineStr">
        <is>
          <t>Nhóm 1</t>
        </is>
      </c>
      <c r="AS1027" s="102" t="n"/>
      <c r="AT1027" s="102" t="inlineStr">
        <is>
          <t>HM29</t>
        </is>
      </c>
      <c r="AU1027" s="102" t="inlineStr">
        <is>
          <t>MUCLUC</t>
        </is>
      </c>
      <c r="AV1027" s="102" t="n">
        <v>29</v>
      </c>
      <c r="AW1027" s="102" t="n">
        <v>1</v>
      </c>
      <c r="AX1027" s="102" t="n"/>
    </row>
    <row r="1028">
      <c r="A1028" s="56" t="inlineStr">
        <is>
          <t>BBK680</t>
        </is>
      </c>
      <c r="B1028" s="56" t="inlineStr">
        <is>
          <t>PYC</t>
        </is>
      </c>
      <c r="C1028" s="56" t="inlineStr">
        <is>
          <t>BBK680.0903058</t>
        </is>
      </c>
      <c r="D1028" s="57" t="n"/>
      <c r="E1028" s="57" t="n"/>
      <c r="F1028" s="57" t="n"/>
      <c r="G1028" s="57" t="n"/>
      <c r="H1028" s="57" t="n"/>
      <c r="J1028" s="198" t="inlineStr">
        <is>
          <t>03</t>
        </is>
      </c>
      <c r="K1028" s="198" t="inlineStr">
        <is>
          <t>PYC</t>
        </is>
      </c>
      <c r="L1028" s="199" t="inlineStr">
        <is>
          <t>Phiếu yêu cầu nghiệm thu</t>
        </is>
      </c>
      <c r="M1028" s="199" t="n"/>
      <c r="N1028" s="199" t="n"/>
      <c r="O1028" s="200" t="inlineStr">
        <is>
          <t>Cầu Km19+529.080</t>
        </is>
      </c>
      <c r="P1028" s="201" t="n"/>
      <c r="Q1028" s="201" t="n"/>
      <c r="R1028" s="201">
        <f>R1029</f>
        <v/>
      </c>
      <c r="S1028" s="201" t="n"/>
      <c r="T1028" s="201" t="n"/>
      <c r="U1028" s="201" t="n"/>
      <c r="V1028" s="201" t="n"/>
      <c r="W1028" s="202" t="n"/>
      <c r="X1028" s="202" t="n"/>
      <c r="Y1028" s="202" t="n"/>
      <c r="Z1028" s="202" t="n"/>
      <c r="AA1028" s="203" t="n"/>
      <c r="AB1028" s="204" t="inlineStr">
        <is>
          <t>09-XL-307HG/PYCNT/CKN/M2/C7</t>
        </is>
      </c>
      <c r="AC1028" s="205" t="inlineStr"/>
      <c r="AD1028" s="205" t="n"/>
      <c r="AE1028" s="205" t="n"/>
      <c r="AF1028" s="205" t="n"/>
      <c r="AG1028" s="205" t="inlineStr">
        <is>
          <t>NTCV;BBKTĐK</t>
        </is>
      </c>
      <c r="AH1028" s="204" t="inlineStr">
        <is>
          <t>&gt;=1;&lt;=5</t>
        </is>
      </c>
      <c r="AI1028" s="202" t="n"/>
      <c r="AJ1028" s="202" t="n"/>
      <c r="AK1028" s="206" t="n"/>
      <c r="AL1028" s="202" t="n"/>
      <c r="AM1028" s="202" t="n"/>
      <c r="AN1028" s="202" t="n"/>
      <c r="AO1028" s="202" t="n"/>
      <c r="AP1028" s="207" t="n"/>
      <c r="AQ1028" s="207" t="n"/>
      <c r="AR1028" s="202" t="inlineStr">
        <is>
          <t>Nhóm 1</t>
        </is>
      </c>
      <c r="AS1028" s="202" t="n"/>
      <c r="AT1028" s="202" t="inlineStr">
        <is>
          <t>HM29</t>
        </is>
      </c>
      <c r="AU1028" s="202" t="inlineStr">
        <is>
          <t>PYC</t>
        </is>
      </c>
      <c r="AV1028" s="202" t="n">
        <v>241</v>
      </c>
      <c r="AW1028" s="202" t="n">
        <v>1</v>
      </c>
      <c r="AX1028" s="202" t="n"/>
    </row>
    <row r="1029" ht="28" customHeight="1" s="672">
      <c r="A1029" s="56" t="inlineStr">
        <is>
          <t>BBK884</t>
        </is>
      </c>
      <c r="B1029" s="56" t="inlineStr">
        <is>
          <t>BBKTĐK</t>
        </is>
      </c>
      <c r="C1029" s="56" t="inlineStr">
        <is>
          <t>BBK884.0987949</t>
        </is>
      </c>
      <c r="D1029" s="57" t="n"/>
      <c r="E1029" s="57" t="n"/>
      <c r="F1029" s="57" t="n"/>
      <c r="G1029" s="57" t="n"/>
      <c r="H1029" s="57" t="n"/>
      <c r="J1029" s="198" t="inlineStr">
        <is>
          <t>04</t>
        </is>
      </c>
      <c r="K1029" s="198" t="inlineStr">
        <is>
          <t>BBKTĐK</t>
        </is>
      </c>
      <c r="L1029" s="199" t="inlineStr">
        <is>
          <t>Kiểm tra điều kiện trước khi thi công cọc khoan nhồi: Thiết bị, nhân lực, vật tư</t>
        </is>
      </c>
      <c r="M1029" s="199" t="n"/>
      <c r="N1029" s="199" t="n"/>
      <c r="O1029" s="200" t="inlineStr">
        <is>
          <t>Cầu Km19+529.080</t>
        </is>
      </c>
      <c r="P1029" s="201" t="n">
        <v>46222</v>
      </c>
      <c r="Q1029" s="201">
        <f>P1029</f>
        <v/>
      </c>
      <c r="R1029" s="201">
        <f>Q1029-1</f>
        <v/>
      </c>
      <c r="S1029" s="201">
        <f>Q1029</f>
        <v/>
      </c>
      <c r="T1029" s="208" t="n">
        <v>0.2916666666666667</v>
      </c>
      <c r="U1029" s="208">
        <f>T1029+V1029</f>
        <v/>
      </c>
      <c r="V1029" s="208" t="n">
        <v>0.02083333333333333</v>
      </c>
      <c r="W1029" s="202">
        <f>TEXT(T1029,"HH""h""MM'")&amp;"÷"&amp;TEXT(U1029,"HH""h""MM'")</f>
        <v/>
      </c>
      <c r="X1029" s="202" t="n"/>
      <c r="Y1029" s="202" t="n"/>
      <c r="Z1029" s="202" t="inlineStr">
        <is>
          <t>01;</t>
        </is>
      </c>
      <c r="AA1029" s="200" t="inlineStr">
        <is>
          <t>Kiểm tra điều kiện trước khi thi công Cọc khoan nhồi Mố M2 - Cọc C7</t>
        </is>
      </c>
      <c r="AB1029" s="205" t="inlineStr">
        <is>
          <t>09-XL-307HG/PYCNT/CKN/M2/C7-1</t>
        </is>
      </c>
      <c r="AC1029" s="205" t="inlineStr">
        <is>
          <t>09-XL-307HG/BBNT/CKN/M2/C7-1</t>
        </is>
      </c>
      <c r="AD1029" s="205" t="n"/>
      <c r="AE1029" s="205" t="n"/>
      <c r="AF1029" s="205" t="n"/>
      <c r="AG1029" s="205" t="n"/>
      <c r="AH1029" s="205" t="n"/>
      <c r="AI1029" s="207" t="n"/>
      <c r="AJ1029" s="214" t="n"/>
      <c r="AK1029" s="217" t="n"/>
      <c r="AL1029" s="214" t="n"/>
      <c r="AM1029" s="214" t="n"/>
      <c r="AN1029" s="214" t="n"/>
      <c r="AO1029" s="202" t="n"/>
      <c r="AP1029" s="207" t="n"/>
      <c r="AQ1029" s="207" t="n"/>
      <c r="AR1029" s="202" t="inlineStr">
        <is>
          <t>Nhóm 1</t>
        </is>
      </c>
      <c r="AS1029" s="202" t="n"/>
      <c r="AT1029" s="202" t="inlineStr">
        <is>
          <t>HM29</t>
        </is>
      </c>
      <c r="AU1029" s="202" t="inlineStr">
        <is>
          <t>BBKTĐK</t>
        </is>
      </c>
      <c r="AV1029" s="202" t="n">
        <v>17</v>
      </c>
      <c r="AW1029" s="202" t="n">
        <v>1</v>
      </c>
      <c r="AX1029" s="202" t="n"/>
    </row>
    <row r="1030" ht="28" customHeight="1" s="672">
      <c r="A1030" s="56" t="inlineStr">
        <is>
          <t>BBK860</t>
        </is>
      </c>
      <c r="B1030" s="56" t="inlineStr">
        <is>
          <t>PL01</t>
        </is>
      </c>
      <c r="C1030" s="56" t="inlineStr">
        <is>
          <t>BBK860.0262268</t>
        </is>
      </c>
      <c r="D1030" s="57" t="n"/>
      <c r="E1030" s="57" t="n"/>
      <c r="F1030" s="57" t="n"/>
      <c r="G1030" s="57" t="n"/>
      <c r="H1030" s="57" t="n"/>
      <c r="J1030" s="198" t="inlineStr">
        <is>
          <t>05</t>
        </is>
      </c>
      <c r="K1030" s="198" t="inlineStr">
        <is>
          <t>PL01</t>
        </is>
      </c>
      <c r="L1030" s="199" t="inlineStr">
        <is>
          <t>Máy móc, thiết bị, nhân lực, vật tư thi công cọc khoan nhồi</t>
        </is>
      </c>
      <c r="M1030" s="199" t="n"/>
      <c r="N1030" s="199" t="n"/>
      <c r="O1030" s="199" t="inlineStr">
        <is>
          <t>Cầu Km19+529.080</t>
        </is>
      </c>
      <c r="P1030" s="201" t="n"/>
      <c r="Q1030" s="201" t="n"/>
      <c r="R1030" s="201" t="n"/>
      <c r="S1030" s="201">
        <f>S1029</f>
        <v/>
      </c>
      <c r="T1030" s="201" t="n"/>
      <c r="U1030" s="201" t="n"/>
      <c r="V1030" s="201" t="n"/>
      <c r="W1030" s="202" t="n"/>
      <c r="X1030" s="202" t="n"/>
      <c r="Y1030" s="202" t="n"/>
      <c r="Z1030" s="198" t="inlineStr">
        <is>
          <t>01</t>
        </is>
      </c>
      <c r="AA1030" s="203" t="n"/>
      <c r="AB1030" s="204" t="inlineStr">
        <is>
          <t>09-XL-307HG/PYCNT/CKN/M2/C7-1</t>
        </is>
      </c>
      <c r="AC1030" s="204">
        <f>AC1029</f>
        <v/>
      </c>
      <c r="AD1030" s="204" t="n"/>
      <c r="AE1030" s="204" t="n"/>
      <c r="AF1030" s="204" t="n"/>
      <c r="AG1030" s="204" t="n"/>
      <c r="AH1030" s="204" t="inlineStr">
        <is>
          <t>CKN</t>
        </is>
      </c>
      <c r="AI1030" s="207" t="n"/>
      <c r="AJ1030" s="202" t="n"/>
      <c r="AK1030" s="206" t="n"/>
      <c r="AL1030" s="202" t="n"/>
      <c r="AM1030" s="202" t="n"/>
      <c r="AN1030" s="202" t="n"/>
      <c r="AO1030" s="202" t="n"/>
      <c r="AP1030" s="207" t="n"/>
      <c r="AQ1030" s="207" t="n"/>
      <c r="AR1030" s="202" t="inlineStr">
        <is>
          <t>Nhóm 1</t>
        </is>
      </c>
      <c r="AS1030" s="202" t="n"/>
      <c r="AT1030" s="202" t="inlineStr">
        <is>
          <t>HM29</t>
        </is>
      </c>
      <c r="AU1030" s="202" t="inlineStr">
        <is>
          <t>PL01</t>
        </is>
      </c>
      <c r="AV1030" s="202" t="n">
        <v>17</v>
      </c>
      <c r="AW1030" s="202" t="n">
        <v>1</v>
      </c>
      <c r="AX1030" s="202" t="n"/>
    </row>
    <row r="1031" ht="42" customHeight="1" s="672">
      <c r="A1031" s="56" t="inlineStr">
        <is>
          <t>NTCV</t>
        </is>
      </c>
      <c r="B1031" s="56" t="inlineStr">
        <is>
          <t>K.9999</t>
        </is>
      </c>
      <c r="C1031" s="56" t="inlineStr">
        <is>
          <t>NTCV.0539837</t>
        </is>
      </c>
      <c r="D1031" s="57" t="n"/>
      <c r="E1031" s="57" t="n"/>
      <c r="F1031" s="57" t="n"/>
      <c r="G1031" s="57" t="n"/>
      <c r="H1031" s="57" t="n"/>
      <c r="J1031" s="209" t="inlineStr">
        <is>
          <t>06</t>
        </is>
      </c>
      <c r="K1031" s="209" t="inlineStr">
        <is>
          <t>K.9999</t>
        </is>
      </c>
      <c r="L1031" s="210" t="inlineStr">
        <is>
          <t>Kiểm tra ống vách, dung dịch bentonite trước khi khoan cọc khoan nhồi</t>
        </is>
      </c>
      <c r="M1031" s="210" t="n"/>
      <c r="N1031" s="210" t="n"/>
      <c r="O1031" s="211" t="inlineStr">
        <is>
          <t>Cầu Km19+529.080</t>
        </is>
      </c>
      <c r="P1031" s="212">
        <f>S1029</f>
        <v/>
      </c>
      <c r="Q1031" s="212">
        <f>P1031</f>
        <v/>
      </c>
      <c r="R1031" s="212">
        <f>Q1031-1</f>
        <v/>
      </c>
      <c r="S1031" s="212">
        <f>Q1031</f>
        <v/>
      </c>
      <c r="T1031" s="213">
        <f>U1029</f>
        <v/>
      </c>
      <c r="U1031" s="213">
        <f>T1031+V1031</f>
        <v/>
      </c>
      <c r="V1031" s="213" t="n">
        <v>0.02083333333333333</v>
      </c>
      <c r="W1031" s="214">
        <f>TEXT(T1031,"HH""h""MM'")&amp;"÷"&amp;TEXT(U1031,"HH""h""MM'")</f>
        <v/>
      </c>
      <c r="X1031" s="214" t="n"/>
      <c r="Y1031" s="214" t="n"/>
      <c r="Z1031" s="214" t="inlineStr">
        <is>
          <t>02; 02a</t>
        </is>
      </c>
      <c r="AA1031" s="215" t="inlineStr">
        <is>
          <t>Kiểm tra ống vách, dung dịch bentonite Cọc khoan nhồi Mố M2 - Cọc C7 trước khi khoan</t>
        </is>
      </c>
      <c r="AB1031" s="204" t="inlineStr">
        <is>
          <t>09-XL-307HG/PYCNT/CKN/M2/C7-1</t>
        </is>
      </c>
      <c r="AC1031" s="204" t="inlineStr">
        <is>
          <t>09-XL-307HG/BBNT/CKN/M2/C7-2</t>
        </is>
      </c>
      <c r="AD1031" s="204" t="n"/>
      <c r="AE1031" s="204" t="n"/>
      <c r="AF1031" s="204" t="n"/>
      <c r="AG1031" s="204" t="n"/>
      <c r="AH1031" s="204" t="n"/>
      <c r="AI1031" s="216" t="n"/>
      <c r="AJ1031" s="214" t="n"/>
      <c r="AK1031" s="217" t="n"/>
      <c r="AL1031" s="214" t="n"/>
      <c r="AM1031" s="214" t="n"/>
      <c r="AN1031" s="214" t="n"/>
      <c r="AO1031" s="214" t="n"/>
      <c r="AP1031" s="216" t="n"/>
      <c r="AQ1031" s="216" t="n"/>
      <c r="AR1031" s="214" t="inlineStr">
        <is>
          <t>Nhóm 1</t>
        </is>
      </c>
      <c r="AS1031" s="214" t="n"/>
      <c r="AT1031" s="214" t="inlineStr">
        <is>
          <t>HM29</t>
        </is>
      </c>
      <c r="AU1031" s="214" t="inlineStr">
        <is>
          <t>NTCV</t>
        </is>
      </c>
      <c r="AV1031" s="214" t="n">
        <v>228</v>
      </c>
      <c r="AW1031" s="214" t="n">
        <v>1</v>
      </c>
      <c r="AX1031" s="214" t="n"/>
    </row>
    <row r="1032">
      <c r="A1032" s="56" t="inlineStr">
        <is>
          <t>BBK170</t>
        </is>
      </c>
      <c r="B1032" s="56" t="inlineStr">
        <is>
          <t>PL02</t>
        </is>
      </c>
      <c r="C1032" s="56" t="inlineStr">
        <is>
          <t>BBK170.0343055</t>
        </is>
      </c>
      <c r="D1032" s="57" t="n"/>
      <c r="E1032" s="57" t="n"/>
      <c r="F1032" s="57" t="n"/>
      <c r="G1032" s="57" t="n"/>
      <c r="H1032" s="57" t="n"/>
      <c r="J1032" s="198" t="inlineStr">
        <is>
          <t>07</t>
        </is>
      </c>
      <c r="K1032" s="198" t="inlineStr">
        <is>
          <t>PL02</t>
        </is>
      </c>
      <c r="L1032" s="199" t="inlineStr">
        <is>
          <t>Kiểm tra ống vách thi công trước khi hạ</t>
        </is>
      </c>
      <c r="M1032" s="199" t="n"/>
      <c r="N1032" s="199" t="n"/>
      <c r="O1032" s="200" t="inlineStr">
        <is>
          <t>Cầu Km19+529.080</t>
        </is>
      </c>
      <c r="P1032" s="201" t="n"/>
      <c r="Q1032" s="201" t="n"/>
      <c r="R1032" s="201" t="n"/>
      <c r="S1032" s="201">
        <f>S1031</f>
        <v/>
      </c>
      <c r="T1032" s="201" t="n"/>
      <c r="U1032" s="201" t="n"/>
      <c r="V1032" s="201" t="n"/>
      <c r="W1032" s="202" t="n"/>
      <c r="X1032" s="202" t="n"/>
      <c r="Y1032" s="202" t="n"/>
      <c r="Z1032" s="198" t="inlineStr">
        <is>
          <t>02</t>
        </is>
      </c>
      <c r="AA1032" s="203" t="n"/>
      <c r="AB1032" s="204" t="inlineStr">
        <is>
          <t>09-XL-307HG/PYCNT/CKN/M2/C7-1</t>
        </is>
      </c>
      <c r="AC1032" s="204">
        <f>AC1031</f>
        <v/>
      </c>
      <c r="AD1032" s="204" t="n"/>
      <c r="AE1032" s="204" t="n"/>
      <c r="AF1032" s="204" t="n"/>
      <c r="AG1032" s="204" t="n"/>
      <c r="AH1032" s="204" t="inlineStr">
        <is>
          <t>CKN</t>
        </is>
      </c>
      <c r="AI1032" s="207" t="n"/>
      <c r="AJ1032" s="202" t="n"/>
      <c r="AK1032" s="206" t="n"/>
      <c r="AL1032" s="202" t="n"/>
      <c r="AM1032" s="202" t="n"/>
      <c r="AN1032" s="202" t="n"/>
      <c r="AO1032" s="202" t="n"/>
      <c r="AP1032" s="207" t="n"/>
      <c r="AQ1032" s="207" t="inlineStr">
        <is>
          <t>Ảnh\PL02 CKN.png</t>
        </is>
      </c>
      <c r="AR1032" s="202" t="inlineStr">
        <is>
          <t>Nhóm 1</t>
        </is>
      </c>
      <c r="AS1032" s="202" t="n"/>
      <c r="AT1032" s="202" t="inlineStr">
        <is>
          <t>HM29</t>
        </is>
      </c>
      <c r="AU1032" s="202" t="inlineStr">
        <is>
          <t>PL02</t>
        </is>
      </c>
      <c r="AV1032" s="202" t="n">
        <v>17</v>
      </c>
      <c r="AW1032" s="202" t="n">
        <v>1</v>
      </c>
      <c r="AX1032" s="202" t="n"/>
    </row>
    <row r="1033">
      <c r="A1033" s="56" t="inlineStr">
        <is>
          <t>BBK721</t>
        </is>
      </c>
      <c r="B1033" s="56" t="inlineStr">
        <is>
          <t>PL02a</t>
        </is>
      </c>
      <c r="C1033" s="56" t="inlineStr">
        <is>
          <t>BBK721.0213124</t>
        </is>
      </c>
      <c r="D1033" s="57" t="n"/>
      <c r="E1033" s="57" t="n"/>
      <c r="F1033" s="57" t="n"/>
      <c r="G1033" s="57" t="n"/>
      <c r="H1033" s="57" t="n"/>
      <c r="J1033" s="198" t="inlineStr">
        <is>
          <t>08</t>
        </is>
      </c>
      <c r="K1033" s="198" t="inlineStr">
        <is>
          <t>PL02a</t>
        </is>
      </c>
      <c r="L1033" s="199" t="inlineStr">
        <is>
          <t>Kiểm tra ống vách thi công trước khi hạ</t>
        </is>
      </c>
      <c r="M1033" s="199" t="n"/>
      <c r="N1033" s="199" t="n"/>
      <c r="O1033" s="200" t="inlineStr">
        <is>
          <t>Cầu Km19+529.080</t>
        </is>
      </c>
      <c r="P1033" s="201" t="n"/>
      <c r="Q1033" s="201" t="n"/>
      <c r="R1033" s="201" t="n"/>
      <c r="S1033" s="201">
        <f>S1032</f>
        <v/>
      </c>
      <c r="T1033" s="201" t="n"/>
      <c r="U1033" s="201" t="n"/>
      <c r="V1033" s="201" t="n"/>
      <c r="W1033" s="202" t="n"/>
      <c r="X1033" s="202" t="n"/>
      <c r="Y1033" s="202" t="n"/>
      <c r="Z1033" s="198" t="inlineStr">
        <is>
          <t>02a</t>
        </is>
      </c>
      <c r="AA1033" s="203" t="n"/>
      <c r="AB1033" s="204" t="inlineStr">
        <is>
          <t>09-XL-307HG/PYCNT/CKN/M2/C7-1</t>
        </is>
      </c>
      <c r="AC1033" s="204">
        <f>AC1032</f>
        <v/>
      </c>
      <c r="AD1033" s="204" t="n"/>
      <c r="AE1033" s="204" t="n"/>
      <c r="AF1033" s="204" t="n"/>
      <c r="AG1033" s="204" t="n"/>
      <c r="AH1033" s="204" t="n"/>
      <c r="AI1033" s="207" t="n"/>
      <c r="AJ1033" s="202" t="n"/>
      <c r="AK1033" s="206" t="n"/>
      <c r="AL1033" s="202" t="n"/>
      <c r="AM1033" s="202" t="n"/>
      <c r="AN1033" s="202" t="n"/>
      <c r="AO1033" s="202" t="n"/>
      <c r="AP1033" s="207" t="n"/>
      <c r="AQ1033" s="207" t="n"/>
      <c r="AR1033" s="202" t="inlineStr">
        <is>
          <t>Nhóm 1</t>
        </is>
      </c>
      <c r="AS1033" s="202" t="n"/>
      <c r="AT1033" s="202" t="inlineStr">
        <is>
          <t>HM29</t>
        </is>
      </c>
      <c r="AU1033" s="202" t="inlineStr">
        <is>
          <t>PL02a</t>
        </is>
      </c>
      <c r="AV1033" s="202" t="n">
        <v>17</v>
      </c>
      <c r="AW1033" s="202" t="n">
        <v>1</v>
      </c>
      <c r="AX1033" s="202" t="n"/>
    </row>
    <row r="1034" ht="28" customHeight="1" s="672">
      <c r="A1034" s="56" t="inlineStr">
        <is>
          <t>NTCV</t>
        </is>
      </c>
      <c r="B1034" s="56" t="inlineStr">
        <is>
          <t>K.9999</t>
        </is>
      </c>
      <c r="C1034" s="56" t="inlineStr">
        <is>
          <t>NTCV.0201244</t>
        </is>
      </c>
      <c r="D1034" s="57" t="n"/>
      <c r="E1034" s="57" t="n"/>
      <c r="F1034" s="57" t="n"/>
      <c r="G1034" s="57" t="n"/>
      <c r="H1034" s="57" t="n"/>
      <c r="J1034" s="209" t="inlineStr">
        <is>
          <t>09</t>
        </is>
      </c>
      <c r="K1034" s="209" t="inlineStr">
        <is>
          <t>K.9999</t>
        </is>
      </c>
      <c r="L1034" s="210" t="inlineStr">
        <is>
          <t>Kiểm tra định vị tim cọc khoan nhồi, hạ ống vách thi công</t>
        </is>
      </c>
      <c r="M1034" s="210" t="n"/>
      <c r="N1034" s="210" t="n"/>
      <c r="O1034" s="211" t="inlineStr">
        <is>
          <t>Cầu Km19+529.080</t>
        </is>
      </c>
      <c r="P1034" s="212">
        <f>S1031</f>
        <v/>
      </c>
      <c r="Q1034" s="212">
        <f>P1034</f>
        <v/>
      </c>
      <c r="R1034" s="212">
        <f>Q1034-1</f>
        <v/>
      </c>
      <c r="S1034" s="212">
        <f>Q1034</f>
        <v/>
      </c>
      <c r="T1034" s="213">
        <f>U1031</f>
        <v/>
      </c>
      <c r="U1034" s="213">
        <f>T1034+V1034</f>
        <v/>
      </c>
      <c r="V1034" s="213" t="n">
        <v>0.02083333333333333</v>
      </c>
      <c r="W1034" s="214">
        <f>TEXT(T1034,"HH""h""MM'")&amp;"÷"&amp;TEXT(U1034,"HH""h""MM'")</f>
        <v/>
      </c>
      <c r="X1034" s="214" t="n"/>
      <c r="Y1034" s="214" t="n"/>
      <c r="Z1034" s="214" t="inlineStr">
        <is>
          <t>03;</t>
        </is>
      </c>
      <c r="AA1034" s="215" t="inlineStr">
        <is>
          <t>Kiểm tra định vị Cọc khoan nhồi Mố M2 - Cọc C7</t>
        </is>
      </c>
      <c r="AB1034" s="204" t="inlineStr">
        <is>
          <t>09-XL-307HG/PYCNT/CKN/M2/C7-1</t>
        </is>
      </c>
      <c r="AC1034" s="204" t="inlineStr">
        <is>
          <t>09-XL-307HG/BBNT/CKN/M2/C7-3</t>
        </is>
      </c>
      <c r="AD1034" s="204" t="n"/>
      <c r="AE1034" s="204" t="n"/>
      <c r="AF1034" s="204" t="n"/>
      <c r="AG1034" s="204" t="n"/>
      <c r="AH1034" s="204" t="n"/>
      <c r="AI1034" s="216" t="n"/>
      <c r="AJ1034" s="214" t="n"/>
      <c r="AK1034" s="217" t="n"/>
      <c r="AL1034" s="214" t="n"/>
      <c r="AM1034" s="214" t="n"/>
      <c r="AN1034" s="214" t="n"/>
      <c r="AO1034" s="214" t="n"/>
      <c r="AP1034" s="216" t="n"/>
      <c r="AQ1034" s="216" t="n"/>
      <c r="AR1034" s="214" t="inlineStr">
        <is>
          <t>Nhóm 1</t>
        </is>
      </c>
      <c r="AS1034" s="214" t="n"/>
      <c r="AT1034" s="214" t="inlineStr">
        <is>
          <t>HM29</t>
        </is>
      </c>
      <c r="AU1034" s="214" t="inlineStr">
        <is>
          <t>NTCV</t>
        </is>
      </c>
      <c r="AV1034" s="214" t="n">
        <v>229</v>
      </c>
      <c r="AW1034" s="214" t="n">
        <v>2</v>
      </c>
      <c r="AX1034" s="214" t="n"/>
    </row>
    <row r="1035" ht="28" customHeight="1" s="672">
      <c r="A1035" s="56" t="inlineStr">
        <is>
          <t>BBK478</t>
        </is>
      </c>
      <c r="B1035" s="56" t="inlineStr">
        <is>
          <t>PL03</t>
        </is>
      </c>
      <c r="C1035" s="56" t="inlineStr">
        <is>
          <t>BBK478.0129401</t>
        </is>
      </c>
      <c r="D1035" s="57" t="n"/>
      <c r="E1035" s="57" t="n"/>
      <c r="F1035" s="57" t="n"/>
      <c r="G1035" s="57" t="n"/>
      <c r="H1035" s="57" t="n"/>
      <c r="J1035" s="198" t="inlineStr">
        <is>
          <t>10</t>
        </is>
      </c>
      <c r="K1035" s="198" t="inlineStr">
        <is>
          <t>PL03</t>
        </is>
      </c>
      <c r="L1035" s="199" t="inlineStr">
        <is>
          <t>Kiểm tra định vị tim cọc khoan nhồi, hạ ống vách thi công</t>
        </is>
      </c>
      <c r="M1035" s="199" t="n"/>
      <c r="N1035" s="199" t="n"/>
      <c r="O1035" s="200" t="inlineStr">
        <is>
          <t>Cầu Km19+529.080</t>
        </is>
      </c>
      <c r="P1035" s="201" t="n"/>
      <c r="Q1035" s="201" t="n"/>
      <c r="R1035" s="201" t="n"/>
      <c r="S1035" s="201">
        <f>S1034</f>
        <v/>
      </c>
      <c r="T1035" s="201" t="n"/>
      <c r="U1035" s="201" t="n"/>
      <c r="V1035" s="201" t="n"/>
      <c r="W1035" s="202" t="n"/>
      <c r="X1035" s="202" t="n"/>
      <c r="Y1035" s="202" t="n"/>
      <c r="Z1035" s="198" t="inlineStr">
        <is>
          <t>03</t>
        </is>
      </c>
      <c r="AA1035" s="203" t="n"/>
      <c r="AB1035" s="204" t="inlineStr">
        <is>
          <t>09-XL-307HG/PYCNT/CKN/M2/C7-1</t>
        </is>
      </c>
      <c r="AC1035" s="204">
        <f>AC1034</f>
        <v/>
      </c>
      <c r="AD1035" s="255" t="n">
        <v>2481809.235</v>
      </c>
      <c r="AE1035" s="255" t="n">
        <v>382460.695</v>
      </c>
      <c r="AF1035" s="255" t="n">
        <v>188.836</v>
      </c>
      <c r="AG1035" s="255" t="n"/>
      <c r="AH1035" s="204" t="inlineStr">
        <is>
          <t>&gt;=477;&lt;=495</t>
        </is>
      </c>
      <c r="AI1035" s="207" t="n"/>
      <c r="AJ1035" s="202" t="n"/>
      <c r="AK1035" s="206" t="n"/>
      <c r="AL1035" s="202" t="n"/>
      <c r="AM1035" s="202" t="n"/>
      <c r="AN1035" s="202" t="n"/>
      <c r="AO1035" s="202" t="n"/>
      <c r="AP1035" s="207" t="n"/>
      <c r="AQ1035" s="207" t="n"/>
      <c r="AR1035" s="202" t="inlineStr">
        <is>
          <t>Nhóm 1</t>
        </is>
      </c>
      <c r="AS1035" s="202" t="n"/>
      <c r="AT1035" s="202" t="inlineStr">
        <is>
          <t>HM29</t>
        </is>
      </c>
      <c r="AU1035" s="202" t="inlineStr">
        <is>
          <t>PL03</t>
        </is>
      </c>
      <c r="AV1035" s="202" t="n">
        <v>17</v>
      </c>
      <c r="AW1035" s="202" t="n">
        <v>1</v>
      </c>
      <c r="AX1035" s="202" t="n"/>
    </row>
    <row r="1036" ht="28" customHeight="1" s="672">
      <c r="A1036" s="56" t="inlineStr">
        <is>
          <t>NTCV</t>
        </is>
      </c>
      <c r="B1036" s="56" t="inlineStr">
        <is>
          <t>K.9999</t>
        </is>
      </c>
      <c r="C1036" s="56" t="inlineStr">
        <is>
          <t>NTCV.0604879</t>
        </is>
      </c>
      <c r="D1036" s="57" t="n"/>
      <c r="E1036" s="57" t="n"/>
      <c r="F1036" s="57" t="n"/>
      <c r="G1036" s="57" t="n"/>
      <c r="H1036" s="57" t="n"/>
      <c r="J1036" s="209" t="inlineStr">
        <is>
          <t>11</t>
        </is>
      </c>
      <c r="K1036" s="209" t="inlineStr">
        <is>
          <t>K.9999</t>
        </is>
      </c>
      <c r="L1036" s="210" t="inlineStr">
        <is>
          <t>Nghiệm thu lồng thép cọc khoan nhồi trước khi hạ</t>
        </is>
      </c>
      <c r="M1036" s="210" t="n"/>
      <c r="N1036" s="210" t="n"/>
      <c r="O1036" s="211" t="inlineStr">
        <is>
          <t>Cầu Km19+529.080</t>
        </is>
      </c>
      <c r="P1036" s="212">
        <f>S1034</f>
        <v/>
      </c>
      <c r="Q1036" s="212">
        <f>P1036</f>
        <v/>
      </c>
      <c r="R1036" s="212">
        <f>Q1036-1</f>
        <v/>
      </c>
      <c r="S1036" s="212">
        <f>Q1036</f>
        <v/>
      </c>
      <c r="T1036" s="213">
        <f>U1034</f>
        <v/>
      </c>
      <c r="U1036" s="213">
        <f>T1036+V1036</f>
        <v/>
      </c>
      <c r="V1036" s="213" t="n">
        <v>0.02083333333333333</v>
      </c>
      <c r="W1036" s="214">
        <f>TEXT(T1036,"HH""h""MM'")&amp;"÷"&amp;TEXT(U1036,"HH""h""MM'")</f>
        <v/>
      </c>
      <c r="X1036" s="214" t="n"/>
      <c r="Y1036" s="214" t="n"/>
      <c r="Z1036" s="214" t="inlineStr">
        <is>
          <t>04;</t>
        </is>
      </c>
      <c r="AA1036" s="215" t="inlineStr">
        <is>
          <t>Nghiệm thu lồng thép Cọc khoan nhồi Mố M2 - Cọc C7</t>
        </is>
      </c>
      <c r="AB1036" s="204" t="inlineStr">
        <is>
          <t>09-XL-307HG/PYCNT/CKN/M2/C7-1</t>
        </is>
      </c>
      <c r="AC1036" s="204" t="inlineStr">
        <is>
          <t>09-XL-307HG/BBNT/CKN/M2/C7-4</t>
        </is>
      </c>
      <c r="AD1036" s="204" t="n"/>
      <c r="AE1036" s="204" t="n"/>
      <c r="AF1036" s="204" t="n"/>
      <c r="AG1036" s="204" t="n"/>
      <c r="AH1036" s="204" t="n"/>
      <c r="AI1036" s="216" t="n"/>
      <c r="AJ1036" s="214" t="n"/>
      <c r="AK1036" s="217" t="n"/>
      <c r="AL1036" s="214" t="n"/>
      <c r="AM1036" s="214" t="n"/>
      <c r="AN1036" s="214" t="n"/>
      <c r="AO1036" s="214" t="n"/>
      <c r="AP1036" s="216" t="n"/>
      <c r="AQ1036" s="216" t="n"/>
      <c r="AR1036" s="214" t="inlineStr">
        <is>
          <t>Nhóm 1</t>
        </is>
      </c>
      <c r="AS1036" s="214" t="n"/>
      <c r="AT1036" s="214" t="inlineStr">
        <is>
          <t>HM29</t>
        </is>
      </c>
      <c r="AU1036" s="214" t="inlineStr">
        <is>
          <t>NTCV</t>
        </is>
      </c>
      <c r="AV1036" s="214" t="n">
        <v>233</v>
      </c>
      <c r="AW1036" s="214" t="n">
        <v>3</v>
      </c>
      <c r="AX1036" s="214" t="n"/>
    </row>
    <row r="1037">
      <c r="A1037" s="56" t="inlineStr">
        <is>
          <t>BBK096</t>
        </is>
      </c>
      <c r="B1037" s="56" t="inlineStr">
        <is>
          <t>PL04</t>
        </is>
      </c>
      <c r="C1037" s="56" t="inlineStr">
        <is>
          <t>BBK096.0586100</t>
        </is>
      </c>
      <c r="D1037" s="57" t="n"/>
      <c r="E1037" s="57" t="n"/>
      <c r="F1037" s="57" t="n"/>
      <c r="G1037" s="57" t="n"/>
      <c r="H1037" s="57" t="n"/>
      <c r="J1037" s="198" t="inlineStr">
        <is>
          <t>12</t>
        </is>
      </c>
      <c r="K1037" s="198" t="inlineStr">
        <is>
          <t>PL04</t>
        </is>
      </c>
      <c r="L1037" s="199" t="inlineStr">
        <is>
          <t>Nghiệm thu lồng thép cọc khoan nhồi trước khi hạ</t>
        </is>
      </c>
      <c r="M1037" s="199" t="n"/>
      <c r="N1037" s="199" t="n"/>
      <c r="O1037" s="200" t="inlineStr">
        <is>
          <t>Cầu Km19+529.080</t>
        </is>
      </c>
      <c r="P1037" s="201" t="n"/>
      <c r="Q1037" s="201" t="n"/>
      <c r="R1037" s="201" t="n"/>
      <c r="S1037" s="201">
        <f>S1036</f>
        <v/>
      </c>
      <c r="T1037" s="201" t="n"/>
      <c r="U1037" s="201" t="n"/>
      <c r="V1037" s="201" t="n"/>
      <c r="W1037" s="202" t="n"/>
      <c r="X1037" s="202" t="n"/>
      <c r="Y1037" s="202" t="n"/>
      <c r="Z1037" s="198" t="inlineStr">
        <is>
          <t>04</t>
        </is>
      </c>
      <c r="AA1037" s="203" t="n"/>
      <c r="AB1037" s="204" t="inlineStr">
        <is>
          <t>09-XL-307HG/PYCNT/CKN/M2/C7-1</t>
        </is>
      </c>
      <c r="AC1037" s="204">
        <f>AC1036</f>
        <v/>
      </c>
      <c r="AD1037" s="204" t="n"/>
      <c r="AE1037" s="204" t="n"/>
      <c r="AF1037" s="204" t="n"/>
      <c r="AG1037" s="204" t="n"/>
      <c r="AH1037" s="204" t="inlineStr">
        <is>
          <t>M2</t>
        </is>
      </c>
      <c r="AI1037" s="207" t="n"/>
      <c r="AJ1037" s="202" t="n"/>
      <c r="AK1037" s="206" t="n"/>
      <c r="AL1037" s="202" t="n"/>
      <c r="AM1037" s="202" t="n"/>
      <c r="AN1037" s="202" t="n"/>
      <c r="AO1037" s="202" t="n"/>
      <c r="AP1037" s="207" t="n"/>
      <c r="AQ1037" s="207" t="n"/>
      <c r="AR1037" s="202" t="inlineStr">
        <is>
          <t>Nhóm 1</t>
        </is>
      </c>
      <c r="AS1037" s="202" t="n"/>
      <c r="AT1037" s="202" t="inlineStr">
        <is>
          <t>HM29</t>
        </is>
      </c>
      <c r="AU1037" s="202" t="inlineStr">
        <is>
          <t>PL04</t>
        </is>
      </c>
      <c r="AV1037" s="202" t="n">
        <v>17</v>
      </c>
      <c r="AW1037" s="202" t="n">
        <v>1</v>
      </c>
      <c r="AX1037" s="202" t="n"/>
    </row>
    <row r="1038" ht="28" customHeight="1" s="672">
      <c r="A1038" s="56" t="inlineStr">
        <is>
          <t>NTCV</t>
        </is>
      </c>
      <c r="B1038" s="56" t="inlineStr">
        <is>
          <t>K.9999</t>
        </is>
      </c>
      <c r="C1038" s="56" t="inlineStr">
        <is>
          <t>NTCV.0856976</t>
        </is>
      </c>
      <c r="D1038" s="57" t="n"/>
      <c r="E1038" s="57" t="n"/>
      <c r="F1038" s="57" t="n"/>
      <c r="G1038" s="57" t="n"/>
      <c r="H1038" s="57" t="n"/>
      <c r="J1038" s="209" t="inlineStr">
        <is>
          <t>13</t>
        </is>
      </c>
      <c r="K1038" s="209" t="inlineStr">
        <is>
          <t>K.9999</t>
        </is>
      </c>
      <c r="L1038" s="210" t="inlineStr">
        <is>
          <t xml:space="preserve">Kiểm tra công tác khoan tạo lỗ cọc khoan nhồi </t>
        </is>
      </c>
      <c r="M1038" s="210" t="n"/>
      <c r="N1038" s="210" t="n"/>
      <c r="O1038" s="211" t="inlineStr">
        <is>
          <t>Cầu Km19+529.080</t>
        </is>
      </c>
      <c r="P1038" s="212">
        <f>S1036</f>
        <v/>
      </c>
      <c r="Q1038" s="212">
        <f>P1038</f>
        <v/>
      </c>
      <c r="R1038" s="212">
        <f>Q1038-1</f>
        <v/>
      </c>
      <c r="S1038" s="212">
        <f>Q1038</f>
        <v/>
      </c>
      <c r="T1038" s="213">
        <f>U1036</f>
        <v/>
      </c>
      <c r="U1038" s="213">
        <f>T1038+V1038</f>
        <v/>
      </c>
      <c r="V1038" s="213" t="n">
        <v>0.3402777777777778</v>
      </c>
      <c r="W1038" s="214">
        <f>TEXT(T1038,"HH""h""MM'")&amp;"÷"&amp;TEXT(U1038,"HH""h""MM'")</f>
        <v/>
      </c>
      <c r="X1038" s="214" t="n"/>
      <c r="Y1038" s="214" t="n"/>
      <c r="Z1038" s="214" t="inlineStr">
        <is>
          <t>05;</t>
        </is>
      </c>
      <c r="AA1038" s="215" t="inlineStr">
        <is>
          <t>Kiểm tra công tác khoan tạo lỗ Cọc khoan nhồi Mố M2 - Cọc C7</t>
        </is>
      </c>
      <c r="AB1038" s="204" t="inlineStr">
        <is>
          <t>09-XL-307HG/PYCNT/CKN/M2/C7-1</t>
        </is>
      </c>
      <c r="AC1038" s="204" t="inlineStr">
        <is>
          <t>09-XL-307HG/BBNT/CKN/M2/C7-5</t>
        </is>
      </c>
      <c r="AD1038" s="204" t="n"/>
      <c r="AE1038" s="204" t="n"/>
      <c r="AF1038" s="204" t="n"/>
      <c r="AG1038" s="204" t="n"/>
      <c r="AH1038" s="204" t="n"/>
      <c r="AI1038" s="216" t="n"/>
      <c r="AJ1038" s="214" t="n"/>
      <c r="AK1038" s="217" t="n"/>
      <c r="AL1038" s="214" t="n"/>
      <c r="AM1038" s="214" t="n"/>
      <c r="AN1038" s="214" t="n"/>
      <c r="AO1038" s="214" t="n"/>
      <c r="AP1038" s="216" t="n"/>
      <c r="AQ1038" s="216" t="n"/>
      <c r="AR1038" s="214" t="inlineStr">
        <is>
          <t>Nhóm 1</t>
        </is>
      </c>
      <c r="AS1038" s="214" t="n"/>
      <c r="AT1038" s="214" t="inlineStr">
        <is>
          <t>HM29</t>
        </is>
      </c>
      <c r="AU1038" s="214" t="inlineStr">
        <is>
          <t>NTCV</t>
        </is>
      </c>
      <c r="AV1038" s="214" t="n">
        <v>234</v>
      </c>
      <c r="AW1038" s="214" t="n">
        <v>4</v>
      </c>
      <c r="AX1038" s="214" t="n"/>
    </row>
    <row r="1039">
      <c r="A1039" s="56" t="inlineStr">
        <is>
          <t>BBK638</t>
        </is>
      </c>
      <c r="B1039" s="56" t="inlineStr">
        <is>
          <t>PL05</t>
        </is>
      </c>
      <c r="C1039" s="56" t="inlineStr">
        <is>
          <t>BBK638.0088232</t>
        </is>
      </c>
      <c r="D1039" s="57" t="n"/>
      <c r="E1039" s="57" t="n"/>
      <c r="F1039" s="57" t="n"/>
      <c r="G1039" s="57" t="n"/>
      <c r="H1039" s="57" t="n"/>
      <c r="J1039" s="198" t="inlineStr">
        <is>
          <t>14</t>
        </is>
      </c>
      <c r="K1039" s="198" t="inlineStr">
        <is>
          <t>PL05</t>
        </is>
      </c>
      <c r="L1039" s="199" t="inlineStr">
        <is>
          <t>Kiểm tra công tác khoan tạo lỗ cọc khoan nhồi</t>
        </is>
      </c>
      <c r="M1039" s="199" t="n"/>
      <c r="N1039" s="199" t="n"/>
      <c r="O1039" s="200" t="inlineStr">
        <is>
          <t>Cầu Km19+529.080</t>
        </is>
      </c>
      <c r="P1039" s="201" t="n"/>
      <c r="Q1039" s="201" t="n"/>
      <c r="R1039" s="201" t="n"/>
      <c r="S1039" s="201">
        <f>S1038</f>
        <v/>
      </c>
      <c r="T1039" s="208">
        <f>T1038</f>
        <v/>
      </c>
      <c r="U1039" s="208" t="n">
        <v>0.7152777777777778</v>
      </c>
      <c r="V1039" s="208">
        <f>U1039-T1039</f>
        <v/>
      </c>
      <c r="W1039" s="202" t="n"/>
      <c r="X1039" s="202" t="n"/>
      <c r="Y1039" s="202" t="n"/>
      <c r="Z1039" s="198" t="inlineStr">
        <is>
          <t>05</t>
        </is>
      </c>
      <c r="AA1039" s="203" t="n"/>
      <c r="AB1039" s="204" t="inlineStr">
        <is>
          <t>09-XL-307HG/PYCNT/CKN/M2/C7</t>
        </is>
      </c>
      <c r="AC1039" s="204">
        <f>AC1038</f>
        <v/>
      </c>
      <c r="AD1039" s="204" t="n"/>
      <c r="AE1039" s="204" t="n"/>
      <c r="AF1039" s="255" t="n">
        <v>188.836</v>
      </c>
      <c r="AG1039" s="255" t="n"/>
      <c r="AH1039" s="204" t="inlineStr">
        <is>
          <t>M2-C7</t>
        </is>
      </c>
      <c r="AI1039" s="207" t="n"/>
      <c r="AJ1039" s="202" t="n"/>
      <c r="AK1039" s="206" t="n"/>
      <c r="AL1039" s="202" t="n"/>
      <c r="AM1039" s="202" t="n"/>
      <c r="AN1039" s="202" t="n"/>
      <c r="AO1039" s="202" t="n"/>
      <c r="AP1039" s="207" t="n"/>
      <c r="AQ1039" s="207" t="n"/>
      <c r="AR1039" s="202" t="inlineStr">
        <is>
          <t>Nhóm 1</t>
        </is>
      </c>
      <c r="AS1039" s="202" t="n"/>
      <c r="AT1039" s="202" t="inlineStr">
        <is>
          <t>HM29</t>
        </is>
      </c>
      <c r="AU1039" s="202" t="inlineStr">
        <is>
          <t>PL05</t>
        </is>
      </c>
      <c r="AV1039" s="202" t="n">
        <v>17</v>
      </c>
      <c r="AW1039" s="202" t="n">
        <v>1</v>
      </c>
      <c r="AX1039" s="202" t="n"/>
    </row>
    <row r="1040">
      <c r="A1040" s="56" t="inlineStr">
        <is>
          <t>BBK680</t>
        </is>
      </c>
      <c r="B1040" s="56" t="inlineStr">
        <is>
          <t>PYC</t>
        </is>
      </c>
      <c r="C1040" s="56" t="inlineStr">
        <is>
          <t>BBK680.0200309</t>
        </is>
      </c>
      <c r="D1040" s="57" t="n"/>
      <c r="E1040" s="57" t="n"/>
      <c r="F1040" s="57" t="n"/>
      <c r="G1040" s="57" t="n"/>
      <c r="H1040" s="57" t="n"/>
      <c r="J1040" s="198" t="inlineStr">
        <is>
          <t>15</t>
        </is>
      </c>
      <c r="K1040" s="198" t="inlineStr">
        <is>
          <t>PYC</t>
        </is>
      </c>
      <c r="L1040" s="199" t="inlineStr">
        <is>
          <t>Phiếu yêu cầu nghiệm thu</t>
        </is>
      </c>
      <c r="M1040" s="199" t="n"/>
      <c r="N1040" s="199" t="n"/>
      <c r="O1040" s="200" t="inlineStr">
        <is>
          <t>Cầu Km19+529.080</t>
        </is>
      </c>
      <c r="P1040" s="201" t="n"/>
      <c r="Q1040" s="201" t="n"/>
      <c r="R1040" s="201">
        <f>R1041</f>
        <v/>
      </c>
      <c r="S1040" s="201" t="n"/>
      <c r="T1040" s="201" t="n"/>
      <c r="U1040" s="201" t="n"/>
      <c r="V1040" s="201" t="n"/>
      <c r="W1040" s="202" t="n"/>
      <c r="X1040" s="202" t="n"/>
      <c r="Y1040" s="202" t="n"/>
      <c r="Z1040" s="202" t="n"/>
      <c r="AA1040" s="203" t="n"/>
      <c r="AB1040" s="204" t="inlineStr">
        <is>
          <t>09-XL-307HG/PYCNT/CKN/M2/C7</t>
        </is>
      </c>
      <c r="AC1040" s="205" t="inlineStr"/>
      <c r="AD1040" s="205" t="n"/>
      <c r="AE1040" s="205" t="n"/>
      <c r="AF1040" s="205" t="n"/>
      <c r="AG1040" s="205" t="inlineStr">
        <is>
          <t>NTCV;BBKTĐK</t>
        </is>
      </c>
      <c r="AH1040" s="204" t="inlineStr">
        <is>
          <t>&gt;=6;&lt;=10</t>
        </is>
      </c>
      <c r="AI1040" s="202" t="n"/>
      <c r="AJ1040" s="202" t="n"/>
      <c r="AK1040" s="206" t="n"/>
      <c r="AL1040" s="202" t="n"/>
      <c r="AM1040" s="202" t="n"/>
      <c r="AN1040" s="202" t="n"/>
      <c r="AO1040" s="202" t="n"/>
      <c r="AP1040" s="207" t="n"/>
      <c r="AQ1040" s="207" t="n"/>
      <c r="AR1040" s="202" t="inlineStr">
        <is>
          <t>Nhóm 1</t>
        </is>
      </c>
      <c r="AS1040" s="202" t="n"/>
      <c r="AT1040" s="202" t="inlineStr">
        <is>
          <t>HM29</t>
        </is>
      </c>
      <c r="AU1040" s="202" t="inlineStr">
        <is>
          <t>PYC</t>
        </is>
      </c>
      <c r="AV1040" s="202" t="n">
        <v>242</v>
      </c>
      <c r="AW1040" s="202" t="n">
        <v>2</v>
      </c>
      <c r="AX1040" s="202" t="n"/>
    </row>
    <row r="1041" ht="42" customHeight="1" s="672">
      <c r="A1041" s="56" t="inlineStr">
        <is>
          <t>NTCV</t>
        </is>
      </c>
      <c r="B1041" s="56" t="inlineStr">
        <is>
          <t>K.9999</t>
        </is>
      </c>
      <c r="C1041" s="56" t="inlineStr">
        <is>
          <t>NTCV.0634036</t>
        </is>
      </c>
      <c r="D1041" s="57" t="n"/>
      <c r="E1041" s="57" t="n"/>
      <c r="F1041" s="57" t="n"/>
      <c r="G1041" s="57" t="n"/>
      <c r="H1041" s="57" t="n"/>
      <c r="J1041" s="209" t="inlineStr">
        <is>
          <t>16</t>
        </is>
      </c>
      <c r="K1041" s="209" t="inlineStr">
        <is>
          <t>K.9999</t>
        </is>
      </c>
      <c r="L1041" s="210" t="inlineStr">
        <is>
          <t>Kiểm tra công tác vệ sinh lỗ khoan trước khi hạ lồng cốt thép cọc khoan nhồi</t>
        </is>
      </c>
      <c r="M1041" s="210" t="n"/>
      <c r="N1041" s="210" t="n"/>
      <c r="O1041" s="211" t="inlineStr">
        <is>
          <t>Cầu Km19+529.080</t>
        </is>
      </c>
      <c r="P1041" s="212">
        <f>S1038+1</f>
        <v/>
      </c>
      <c r="Q1041" s="212">
        <f>P1041</f>
        <v/>
      </c>
      <c r="R1041" s="212">
        <f>Q1041-1</f>
        <v/>
      </c>
      <c r="S1041" s="212">
        <f>Q1041</f>
        <v/>
      </c>
      <c r="T1041" s="213" t="n">
        <v>0.3333333333333333</v>
      </c>
      <c r="U1041" s="213">
        <f>T1041+V1041</f>
        <v/>
      </c>
      <c r="V1041" s="213" t="n">
        <v>0.01041666666666667</v>
      </c>
      <c r="W1041" s="214">
        <f>TEXT(T1041,"HH""h""MM'")&amp;"÷"&amp;TEXT(U1041,"HH""h""MM'")</f>
        <v/>
      </c>
      <c r="X1041" s="214" t="n"/>
      <c r="Y1041" s="214" t="n"/>
      <c r="Z1041" s="214" t="inlineStr">
        <is>
          <t>06;</t>
        </is>
      </c>
      <c r="AA1041" s="215" t="inlineStr">
        <is>
          <t>Kiểm tra công tác vệ sinh lỗ khoan trước khi hạ lồng cốt thép Cọc khoan nhồi Mố M2 - Cọc C7</t>
        </is>
      </c>
      <c r="AB1041" s="204" t="inlineStr">
        <is>
          <t>09-XL-307HG/PYCNT/CKN/M2/C7-2</t>
        </is>
      </c>
      <c r="AC1041" s="204" t="inlineStr">
        <is>
          <t>09-XL-307HG/BBNT/CKN/M2/C7-6</t>
        </is>
      </c>
      <c r="AD1041" s="204" t="n"/>
      <c r="AE1041" s="204" t="n"/>
      <c r="AF1041" s="204" t="n"/>
      <c r="AG1041" s="204" t="n"/>
      <c r="AH1041" s="204" t="n"/>
      <c r="AI1041" s="216" t="n"/>
      <c r="AJ1041" s="214" t="n"/>
      <c r="AK1041" s="217" t="n"/>
      <c r="AL1041" s="214" t="n"/>
      <c r="AM1041" s="214" t="n"/>
      <c r="AN1041" s="214" t="n"/>
      <c r="AO1041" s="214" t="n"/>
      <c r="AP1041" s="216" t="n"/>
      <c r="AQ1041" s="216" t="n"/>
      <c r="AR1041" s="214" t="inlineStr">
        <is>
          <t>Nhóm 1</t>
        </is>
      </c>
      <c r="AS1041" s="214" t="n"/>
      <c r="AT1041" s="214" t="inlineStr">
        <is>
          <t>HM29</t>
        </is>
      </c>
      <c r="AU1041" s="214" t="inlineStr">
        <is>
          <t>NTCV</t>
        </is>
      </c>
      <c r="AV1041" s="214" t="n">
        <v>242</v>
      </c>
      <c r="AW1041" s="214" t="n">
        <v>5</v>
      </c>
      <c r="AX1041" s="214" t="n"/>
    </row>
    <row r="1042" ht="28" customHeight="1" s="672">
      <c r="A1042" s="56" t="inlineStr">
        <is>
          <t>BBK570</t>
        </is>
      </c>
      <c r="B1042" s="56" t="inlineStr">
        <is>
          <t>PL06</t>
        </is>
      </c>
      <c r="C1042" s="56" t="inlineStr">
        <is>
          <t>BBK570.0460480</t>
        </is>
      </c>
      <c r="D1042" s="57" t="n"/>
      <c r="E1042" s="57" t="n"/>
      <c r="F1042" s="57" t="n"/>
      <c r="G1042" s="57" t="n"/>
      <c r="H1042" s="57" t="n"/>
      <c r="J1042" s="198" t="inlineStr">
        <is>
          <t>17</t>
        </is>
      </c>
      <c r="K1042" s="198" t="inlineStr">
        <is>
          <t>PL06</t>
        </is>
      </c>
      <c r="L1042" s="199" t="inlineStr">
        <is>
          <t>Kiểm tra công tác vệ sinh lỗ khoan trước khi hạ lồng cốt thép cọc khoan nhồi</t>
        </is>
      </c>
      <c r="M1042" s="199" t="n"/>
      <c r="N1042" s="199" t="n"/>
      <c r="O1042" s="200" t="inlineStr">
        <is>
          <t>Cầu Km19+529.080</t>
        </is>
      </c>
      <c r="P1042" s="201" t="n"/>
      <c r="Q1042" s="201" t="n"/>
      <c r="R1042" s="201" t="n"/>
      <c r="S1042" s="201">
        <f>S1041</f>
        <v/>
      </c>
      <c r="T1042" s="201" t="n"/>
      <c r="U1042" s="201" t="n"/>
      <c r="V1042" s="201" t="n"/>
      <c r="W1042" s="202" t="n"/>
      <c r="X1042" s="265" t="n">
        <v>150.836</v>
      </c>
      <c r="Y1042" s="265">
        <f>X1042-0.02</f>
        <v/>
      </c>
      <c r="Z1042" s="198" t="inlineStr">
        <is>
          <t>06</t>
        </is>
      </c>
      <c r="AA1042" s="203" t="n"/>
      <c r="AB1042" s="204" t="inlineStr">
        <is>
          <t>09-XL-307HG/PYCNT/CKN/M2/C7-2</t>
        </is>
      </c>
      <c r="AC1042" s="204">
        <f>AC1041</f>
        <v/>
      </c>
      <c r="AD1042" s="204" t="n"/>
      <c r="AE1042" s="204" t="n"/>
      <c r="AF1042" s="204" t="n"/>
      <c r="AG1042" s="204" t="n"/>
      <c r="AH1042" s="204" t="n"/>
      <c r="AI1042" s="202" t="n"/>
      <c r="AJ1042" s="202" t="n"/>
      <c r="AK1042" s="206" t="n"/>
      <c r="AL1042" s="202" t="n"/>
      <c r="AM1042" s="202" t="n"/>
      <c r="AN1042" s="202" t="n"/>
      <c r="AO1042" s="202" t="n"/>
      <c r="AP1042" s="207" t="n"/>
      <c r="AQ1042" s="207" t="n"/>
      <c r="AR1042" s="202" t="inlineStr">
        <is>
          <t>Nhóm 1</t>
        </is>
      </c>
      <c r="AS1042" s="202" t="n"/>
      <c r="AT1042" s="202" t="inlineStr">
        <is>
          <t>HM29</t>
        </is>
      </c>
      <c r="AU1042" s="202" t="inlineStr">
        <is>
          <t>PL06</t>
        </is>
      </c>
      <c r="AV1042" s="202" t="n">
        <v>17</v>
      </c>
      <c r="AW1042" s="202" t="n">
        <v>1</v>
      </c>
      <c r="AX1042" s="202" t="n"/>
    </row>
    <row r="1043" ht="28" customHeight="1" s="672">
      <c r="A1043" s="56" t="inlineStr">
        <is>
          <t>NTCV</t>
        </is>
      </c>
      <c r="B1043" s="56" t="inlineStr">
        <is>
          <t>K.9999</t>
        </is>
      </c>
      <c r="C1043" s="56" t="inlineStr">
        <is>
          <t>NTCV.0285776</t>
        </is>
      </c>
      <c r="D1043" s="57" t="n"/>
      <c r="E1043" s="57" t="n"/>
      <c r="F1043" s="57" t="n"/>
      <c r="G1043" s="57" t="n"/>
      <c r="H1043" s="57" t="n"/>
      <c r="J1043" s="209" t="inlineStr">
        <is>
          <t>18</t>
        </is>
      </c>
      <c r="K1043" s="209" t="inlineStr">
        <is>
          <t>K.9999</t>
        </is>
      </c>
      <c r="L1043" s="210" t="inlineStr">
        <is>
          <t xml:space="preserve">Nghiệm thu công tác hạ lồng thép </t>
        </is>
      </c>
      <c r="M1043" s="210" t="n"/>
      <c r="N1043" s="210" t="n"/>
      <c r="O1043" s="211" t="inlineStr">
        <is>
          <t>Cầu Km19+529.080</t>
        </is>
      </c>
      <c r="P1043" s="212">
        <f>S1041</f>
        <v/>
      </c>
      <c r="Q1043" s="212">
        <f>P1043</f>
        <v/>
      </c>
      <c r="R1043" s="212">
        <f>Q1043-1</f>
        <v/>
      </c>
      <c r="S1043" s="212">
        <f>Q1043</f>
        <v/>
      </c>
      <c r="T1043" s="213">
        <f>U1041</f>
        <v/>
      </c>
      <c r="U1043" s="213">
        <f>T1043+V1043</f>
        <v/>
      </c>
      <c r="V1043" s="213" t="n">
        <v>0.03125</v>
      </c>
      <c r="W1043" s="214">
        <f>TEXT(T1043,"HH""h""MM'")&amp;"÷"&amp;TEXT(U1043,"HH""h""MM'")</f>
        <v/>
      </c>
      <c r="X1043" s="214" t="n"/>
      <c r="Y1043" s="214" t="n"/>
      <c r="Z1043" s="214" t="inlineStr">
        <is>
          <t>07;</t>
        </is>
      </c>
      <c r="AA1043" s="215" t="inlineStr">
        <is>
          <t>Công tác hạ lồng thép Cọc khoan nhồi Mố M2 - Cọc C7</t>
        </is>
      </c>
      <c r="AB1043" s="204" t="inlineStr">
        <is>
          <t>09-XL-307HG/PYCNT/CKN/M2/C7-2</t>
        </is>
      </c>
      <c r="AC1043" s="204" t="inlineStr">
        <is>
          <t>09-XL-307HG/BBNT/CKN/M2/C7-7</t>
        </is>
      </c>
      <c r="AD1043" s="204" t="n"/>
      <c r="AE1043" s="204" t="n"/>
      <c r="AF1043" s="204" t="n"/>
      <c r="AG1043" s="204" t="n"/>
      <c r="AH1043" s="204" t="n"/>
      <c r="AI1043" s="214" t="n"/>
      <c r="AJ1043" s="214" t="n"/>
      <c r="AK1043" s="217" t="n"/>
      <c r="AL1043" s="214" t="n"/>
      <c r="AM1043" s="214" t="n"/>
      <c r="AN1043" s="214" t="n"/>
      <c r="AO1043" s="214" t="n"/>
      <c r="AP1043" s="216" t="n"/>
      <c r="AQ1043" s="216" t="n"/>
      <c r="AR1043" s="214" t="inlineStr">
        <is>
          <t>Nhóm 1</t>
        </is>
      </c>
      <c r="AS1043" s="214" t="n"/>
      <c r="AT1043" s="214" t="inlineStr">
        <is>
          <t>HM29</t>
        </is>
      </c>
      <c r="AU1043" s="214" t="inlineStr">
        <is>
          <t>NTCV</t>
        </is>
      </c>
      <c r="AV1043" s="214" t="n">
        <v>243</v>
      </c>
      <c r="AW1043" s="214" t="n">
        <v>6</v>
      </c>
      <c r="AX1043" s="214" t="n"/>
    </row>
    <row r="1044">
      <c r="A1044" s="56" t="inlineStr">
        <is>
          <t>BBK396</t>
        </is>
      </c>
      <c r="B1044" s="56" t="inlineStr">
        <is>
          <t>PL07</t>
        </is>
      </c>
      <c r="C1044" s="56" t="inlineStr">
        <is>
          <t>BBK396.0833509</t>
        </is>
      </c>
      <c r="D1044" s="57" t="n"/>
      <c r="E1044" s="57" t="n"/>
      <c r="F1044" s="57" t="n"/>
      <c r="G1044" s="57" t="n"/>
      <c r="H1044" s="57" t="n"/>
      <c r="J1044" s="198" t="inlineStr">
        <is>
          <t>19</t>
        </is>
      </c>
      <c r="K1044" s="198" t="inlineStr">
        <is>
          <t>PL07</t>
        </is>
      </c>
      <c r="L1044" s="199" t="inlineStr">
        <is>
          <t>Nghiệm thu công tác hạ lồng thép</t>
        </is>
      </c>
      <c r="M1044" s="199" t="n"/>
      <c r="N1044" s="199" t="n"/>
      <c r="O1044" s="200" t="inlineStr">
        <is>
          <t>Cầu Km19+529.080</t>
        </is>
      </c>
      <c r="P1044" s="201" t="n"/>
      <c r="Q1044" s="201" t="n"/>
      <c r="R1044" s="201" t="n"/>
      <c r="S1044" s="201">
        <f>S1043</f>
        <v/>
      </c>
      <c r="T1044" s="201" t="n"/>
      <c r="U1044" s="201" t="n"/>
      <c r="V1044" s="201" t="n"/>
      <c r="W1044" s="202" t="n"/>
      <c r="X1044" s="202" t="n"/>
      <c r="Y1044" s="202" t="n"/>
      <c r="Z1044" s="198" t="inlineStr">
        <is>
          <t>07</t>
        </is>
      </c>
      <c r="AA1044" s="203" t="n"/>
      <c r="AB1044" s="204" t="inlineStr">
        <is>
          <t>09-XL-307HG/PYCNT/CKN/M2/C7-2</t>
        </is>
      </c>
      <c r="AC1044" s="204">
        <f>AC1043</f>
        <v/>
      </c>
      <c r="AD1044" s="204" t="n"/>
      <c r="AE1044" s="204" t="n"/>
      <c r="AF1044" s="204" t="n"/>
      <c r="AG1044" s="204" t="n"/>
      <c r="AH1044" s="204" t="n"/>
      <c r="AI1044" s="202" t="n"/>
      <c r="AJ1044" s="202" t="n"/>
      <c r="AK1044" s="206" t="n"/>
      <c r="AL1044" s="202" t="n"/>
      <c r="AM1044" s="202" t="n"/>
      <c r="AN1044" s="202" t="n"/>
      <c r="AO1044" s="202" t="n"/>
      <c r="AP1044" s="207" t="n"/>
      <c r="AQ1044" s="207" t="n"/>
      <c r="AR1044" s="202" t="inlineStr">
        <is>
          <t>Nhóm 1</t>
        </is>
      </c>
      <c r="AS1044" s="202" t="n"/>
      <c r="AT1044" s="202" t="inlineStr">
        <is>
          <t>HM29</t>
        </is>
      </c>
      <c r="AU1044" s="202" t="inlineStr">
        <is>
          <t>PL07</t>
        </is>
      </c>
      <c r="AV1044" s="202" t="n">
        <v>17</v>
      </c>
      <c r="AW1044" s="202" t="n">
        <v>1</v>
      </c>
      <c r="AX1044" s="202" t="n"/>
    </row>
    <row r="1045" ht="42" customHeight="1" s="672">
      <c r="A1045" s="56" t="inlineStr">
        <is>
          <t>NTCV</t>
        </is>
      </c>
      <c r="B1045" s="56" t="inlineStr">
        <is>
          <t>K.9999</t>
        </is>
      </c>
      <c r="C1045" s="56" t="inlineStr">
        <is>
          <t>NTCV.0306946</t>
        </is>
      </c>
      <c r="D1045" s="57" t="n"/>
      <c r="E1045" s="57" t="n"/>
      <c r="F1045" s="57" t="n"/>
      <c r="G1045" s="57" t="n"/>
      <c r="H1045" s="57" t="n"/>
      <c r="J1045" s="209" t="inlineStr">
        <is>
          <t>20</t>
        </is>
      </c>
      <c r="K1045" s="209" t="inlineStr">
        <is>
          <t>K.9999</t>
        </is>
      </c>
      <c r="L1045" s="210" t="inlineStr">
        <is>
          <t xml:space="preserve">Kiểm tra công tác vệ sinh lỗ khoan cọc khoan nhồi trước khi đổ bê tông </t>
        </is>
      </c>
      <c r="M1045" s="210" t="n"/>
      <c r="N1045" s="210" t="n"/>
      <c r="O1045" s="211" t="inlineStr">
        <is>
          <t>Cầu Km19+529.080</t>
        </is>
      </c>
      <c r="P1045" s="212">
        <f>S1043</f>
        <v/>
      </c>
      <c r="Q1045" s="212">
        <f>P1045</f>
        <v/>
      </c>
      <c r="R1045" s="212">
        <f>Q1045-1</f>
        <v/>
      </c>
      <c r="S1045" s="212">
        <f>Q1045</f>
        <v/>
      </c>
      <c r="T1045" s="213">
        <f>U1043</f>
        <v/>
      </c>
      <c r="U1045" s="213">
        <f>T1045+V1045</f>
        <v/>
      </c>
      <c r="V1045" s="213" t="n">
        <v>0.02083333333333333</v>
      </c>
      <c r="W1045" s="214">
        <f>TEXT(T1045,"HH""h""MM'")&amp;"÷"&amp;TEXT(U1045,"HH""h""MM'")</f>
        <v/>
      </c>
      <c r="X1045" s="214" t="n"/>
      <c r="Y1045" s="214" t="n"/>
      <c r="Z1045" s="214" t="inlineStr">
        <is>
          <t>08;</t>
        </is>
      </c>
      <c r="AA1045" s="215" t="inlineStr">
        <is>
          <t>Kiểm tra công tác vệ sinh lỗ khoan cọc khoan nhồi trước khi đổ bê tông Cọc khoan nhồi Mố M2 - Cọc C7</t>
        </is>
      </c>
      <c r="AB1045" s="204" t="inlineStr">
        <is>
          <t>09-XL-307HG/PYCNT/CKN/M2/C7-2</t>
        </is>
      </c>
      <c r="AC1045" s="204" t="inlineStr">
        <is>
          <t>09-XL-307HG/BBNT/CKN/M2/C7-8</t>
        </is>
      </c>
      <c r="AD1045" s="204" t="n"/>
      <c r="AE1045" s="204" t="n"/>
      <c r="AF1045" s="204" t="n"/>
      <c r="AG1045" s="204" t="n"/>
      <c r="AH1045" s="204" t="n"/>
      <c r="AI1045" s="214" t="n"/>
      <c r="AJ1045" s="214" t="n"/>
      <c r="AK1045" s="217" t="n"/>
      <c r="AL1045" s="214" t="n"/>
      <c r="AM1045" s="214" t="n"/>
      <c r="AN1045" s="214" t="n"/>
      <c r="AO1045" s="214" t="n"/>
      <c r="AP1045" s="216" t="n"/>
      <c r="AQ1045" s="216" t="n"/>
      <c r="AR1045" s="214" t="inlineStr">
        <is>
          <t>Nhóm 1</t>
        </is>
      </c>
      <c r="AS1045" s="214" t="n"/>
      <c r="AT1045" s="214" t="inlineStr">
        <is>
          <t>HM29</t>
        </is>
      </c>
      <c r="AU1045" s="214" t="inlineStr">
        <is>
          <t>NTCV</t>
        </is>
      </c>
      <c r="AV1045" s="214" t="n">
        <v>248</v>
      </c>
      <c r="AW1045" s="214" t="n">
        <v>7</v>
      </c>
      <c r="AX1045" s="214" t="n"/>
    </row>
    <row r="1046" ht="28" customHeight="1" s="672">
      <c r="A1046" s="56" t="inlineStr">
        <is>
          <t>BBK521</t>
        </is>
      </c>
      <c r="B1046" s="56" t="inlineStr">
        <is>
          <t>PL08</t>
        </is>
      </c>
      <c r="C1046" s="56" t="inlineStr">
        <is>
          <t>BBK521.0974221</t>
        </is>
      </c>
      <c r="D1046" s="57" t="n"/>
      <c r="E1046" s="57" t="n"/>
      <c r="F1046" s="57" t="n"/>
      <c r="G1046" s="57" t="n"/>
      <c r="H1046" s="57" t="n"/>
      <c r="J1046" s="198" t="inlineStr">
        <is>
          <t>21</t>
        </is>
      </c>
      <c r="K1046" s="198" t="inlineStr">
        <is>
          <t>PL08</t>
        </is>
      </c>
      <c r="L1046" s="199" t="inlineStr">
        <is>
          <t>Kiểm tra công tác vệ sinh lỗ khoan cọc khoan nhồi trước khi đổ bê tông</t>
        </is>
      </c>
      <c r="M1046" s="199" t="n"/>
      <c r="N1046" s="199" t="n"/>
      <c r="O1046" s="200" t="inlineStr">
        <is>
          <t>Cầu Km19+529.080</t>
        </is>
      </c>
      <c r="P1046" s="201" t="n"/>
      <c r="Q1046" s="201" t="n"/>
      <c r="R1046" s="201" t="n"/>
      <c r="S1046" s="201">
        <f>S1045</f>
        <v/>
      </c>
      <c r="T1046" s="201" t="n"/>
      <c r="U1046" s="201" t="n"/>
      <c r="V1046" s="201" t="n"/>
      <c r="W1046" s="202" t="n"/>
      <c r="X1046" s="202" t="n"/>
      <c r="Y1046" s="202" t="n"/>
      <c r="Z1046" s="198" t="inlineStr">
        <is>
          <t>08</t>
        </is>
      </c>
      <c r="AA1046" s="203" t="n"/>
      <c r="AB1046" s="204" t="inlineStr">
        <is>
          <t>09-XL-307HG/PYCNT/CKN/M2/C7-2</t>
        </is>
      </c>
      <c r="AC1046" s="204">
        <f>AC1045</f>
        <v/>
      </c>
      <c r="AD1046" s="204" t="n"/>
      <c r="AE1046" s="204" t="n"/>
      <c r="AF1046" s="204" t="n"/>
      <c r="AG1046" s="204" t="n"/>
      <c r="AH1046" s="204" t="n"/>
      <c r="AI1046" s="202" t="n"/>
      <c r="AJ1046" s="202" t="n"/>
      <c r="AK1046" s="206" t="n"/>
      <c r="AL1046" s="202" t="n"/>
      <c r="AM1046" s="202" t="n"/>
      <c r="AN1046" s="202" t="n"/>
      <c r="AO1046" s="202" t="n"/>
      <c r="AP1046" s="207" t="n"/>
      <c r="AQ1046" s="207" t="n"/>
      <c r="AR1046" s="202" t="inlineStr">
        <is>
          <t>Nhóm 1</t>
        </is>
      </c>
      <c r="AS1046" s="202" t="n"/>
      <c r="AT1046" s="202" t="inlineStr">
        <is>
          <t>HM29</t>
        </is>
      </c>
      <c r="AU1046" s="202" t="inlineStr">
        <is>
          <t>PL08</t>
        </is>
      </c>
      <c r="AV1046" s="202" t="n">
        <v>17</v>
      </c>
      <c r="AW1046" s="202" t="n">
        <v>1</v>
      </c>
      <c r="AX1046" s="202" t="n"/>
    </row>
    <row r="1047" ht="28" customHeight="1" s="672">
      <c r="A1047" s="56" t="inlineStr">
        <is>
          <t>NTCV</t>
        </is>
      </c>
      <c r="B1047" s="56" t="inlineStr">
        <is>
          <t>K.9999</t>
        </is>
      </c>
      <c r="C1047" s="56" t="inlineStr">
        <is>
          <t>NTCV.0397141</t>
        </is>
      </c>
      <c r="D1047" s="57" t="n"/>
      <c r="E1047" s="57" t="n"/>
      <c r="F1047" s="57" t="n"/>
      <c r="G1047" s="57" t="n"/>
      <c r="H1047" s="57" t="n"/>
      <c r="J1047" s="209" t="inlineStr">
        <is>
          <t>22</t>
        </is>
      </c>
      <c r="K1047" s="209" t="inlineStr">
        <is>
          <t>K.9999</t>
        </is>
      </c>
      <c r="L1047" s="210" t="inlineStr">
        <is>
          <t xml:space="preserve">Kiểm tra công tác chuẩn bị đổ bê tông cọc khoan nhồi </t>
        </is>
      </c>
      <c r="M1047" s="210" t="n"/>
      <c r="N1047" s="210" t="n"/>
      <c r="O1047" s="211" t="inlineStr">
        <is>
          <t>Cầu Km19+529.080</t>
        </is>
      </c>
      <c r="P1047" s="212">
        <f>S1045</f>
        <v/>
      </c>
      <c r="Q1047" s="212">
        <f>P1047</f>
        <v/>
      </c>
      <c r="R1047" s="212">
        <f>Q1047-1</f>
        <v/>
      </c>
      <c r="S1047" s="212">
        <f>Q1047</f>
        <v/>
      </c>
      <c r="T1047" s="213">
        <f>U1045</f>
        <v/>
      </c>
      <c r="U1047" s="213">
        <f>T1047+V1047</f>
        <v/>
      </c>
      <c r="V1047" s="213" t="n">
        <v>0.02083333333333333</v>
      </c>
      <c r="W1047" s="214">
        <f>TEXT(T1047,"HH""h""MM'")&amp;"÷"&amp;TEXT(U1047,"HH""h""MM'")</f>
        <v/>
      </c>
      <c r="X1047" s="214" t="n"/>
      <c r="Y1047" s="214" t="n"/>
      <c r="Z1047" s="214" t="inlineStr">
        <is>
          <t>09;</t>
        </is>
      </c>
      <c r="AA1047" s="215" t="inlineStr">
        <is>
          <t>Kiểm tra công tác chuẩn bị đổ bê tông Cọc khoan nhồi Mố M2 - Cọc C7</t>
        </is>
      </c>
      <c r="AB1047" s="204" t="inlineStr">
        <is>
          <t>09-XL-307HG/PYCNT/CKN/M2/C7-2</t>
        </is>
      </c>
      <c r="AC1047" s="204" t="inlineStr">
        <is>
          <t>09-XL-307HG/BBNT/CKN/M2/C7-9</t>
        </is>
      </c>
      <c r="AD1047" s="204" t="n"/>
      <c r="AE1047" s="204" t="n"/>
      <c r="AF1047" s="204" t="n"/>
      <c r="AG1047" s="204" t="n"/>
      <c r="AH1047" s="204" t="n"/>
      <c r="AI1047" s="214" t="n"/>
      <c r="AJ1047" s="214" t="n"/>
      <c r="AK1047" s="217" t="n"/>
      <c r="AL1047" s="214" t="n"/>
      <c r="AM1047" s="214" t="n"/>
      <c r="AN1047" s="214" t="n"/>
      <c r="AO1047" s="214" t="n"/>
      <c r="AP1047" s="216" t="n"/>
      <c r="AQ1047" s="216" t="n"/>
      <c r="AR1047" s="214" t="inlineStr">
        <is>
          <t>Nhóm 1</t>
        </is>
      </c>
      <c r="AS1047" s="214" t="n"/>
      <c r="AT1047" s="214" t="inlineStr">
        <is>
          <t>HM29</t>
        </is>
      </c>
      <c r="AU1047" s="214" t="inlineStr">
        <is>
          <t>NTCV</t>
        </is>
      </c>
      <c r="AV1047" s="214" t="n">
        <v>249</v>
      </c>
      <c r="AW1047" s="214" t="n">
        <v>8</v>
      </c>
      <c r="AX1047" s="214" t="n"/>
    </row>
    <row r="1048">
      <c r="A1048" s="56" t="inlineStr">
        <is>
          <t>BBK209</t>
        </is>
      </c>
      <c r="B1048" s="56" t="inlineStr">
        <is>
          <t>PL09</t>
        </is>
      </c>
      <c r="C1048" s="56" t="inlineStr">
        <is>
          <t>BBK209.0791649</t>
        </is>
      </c>
      <c r="D1048" s="57" t="n"/>
      <c r="E1048" s="57" t="n"/>
      <c r="F1048" s="57" t="n"/>
      <c r="G1048" s="57" t="n"/>
      <c r="H1048" s="57" t="n"/>
      <c r="J1048" s="198" t="inlineStr">
        <is>
          <t>23</t>
        </is>
      </c>
      <c r="K1048" s="198" t="inlineStr">
        <is>
          <t>PL09</t>
        </is>
      </c>
      <c r="L1048" s="199" t="inlineStr">
        <is>
          <t>Kiểm tra công tác chuẩn bị đổ bê tông cọc khoan nhồi</t>
        </is>
      </c>
      <c r="M1048" s="199" t="n"/>
      <c r="N1048" s="199" t="n"/>
      <c r="O1048" s="200" t="inlineStr">
        <is>
          <t>Cầu Km19+529.080</t>
        </is>
      </c>
      <c r="P1048" s="201" t="n"/>
      <c r="Q1048" s="201" t="n"/>
      <c r="R1048" s="201" t="n"/>
      <c r="S1048" s="201">
        <f>S1047</f>
        <v/>
      </c>
      <c r="T1048" s="201" t="n"/>
      <c r="U1048" s="201" t="n"/>
      <c r="V1048" s="201" t="n"/>
      <c r="W1048" s="202" t="n"/>
      <c r="X1048" s="202" t="n"/>
      <c r="Y1048" s="202" t="n"/>
      <c r="Z1048" s="198" t="inlineStr">
        <is>
          <t>09</t>
        </is>
      </c>
      <c r="AA1048" s="203" t="n"/>
      <c r="AB1048" s="204" t="inlineStr">
        <is>
          <t>09-XL-307HG/PYCNT/CKN/M2/C7-2</t>
        </is>
      </c>
      <c r="AC1048" s="204">
        <f>AC1047</f>
        <v/>
      </c>
      <c r="AD1048" s="204" t="n"/>
      <c r="AE1048" s="204" t="n"/>
      <c r="AF1048" s="204" t="n"/>
      <c r="AG1048" s="204" t="n"/>
      <c r="AH1048" s="204" t="inlineStr">
        <is>
          <t>C30(1)</t>
        </is>
      </c>
      <c r="AI1048" s="202" t="n"/>
      <c r="AJ1048" s="202" t="n"/>
      <c r="AK1048" s="206" t="n"/>
      <c r="AL1048" s="202" t="n"/>
      <c r="AM1048" s="202" t="n"/>
      <c r="AN1048" s="202" t="n"/>
      <c r="AO1048" s="202" t="n"/>
      <c r="AP1048" s="207" t="n"/>
      <c r="AQ1048" s="207" t="n"/>
      <c r="AR1048" s="202" t="inlineStr">
        <is>
          <t>Nhóm 1</t>
        </is>
      </c>
      <c r="AS1048" s="202" t="n"/>
      <c r="AT1048" s="202" t="inlineStr">
        <is>
          <t>HM29</t>
        </is>
      </c>
      <c r="AU1048" s="202" t="inlineStr">
        <is>
          <t>PL09</t>
        </is>
      </c>
      <c r="AV1048" s="202" t="n">
        <v>17</v>
      </c>
      <c r="AW1048" s="202" t="n">
        <v>1</v>
      </c>
      <c r="AX1048" s="202" t="n"/>
    </row>
    <row r="1049" ht="28" customHeight="1" s="672">
      <c r="A1049" s="56" t="inlineStr">
        <is>
          <t>NTCV</t>
        </is>
      </c>
      <c r="B1049" s="56" t="inlineStr">
        <is>
          <t>K.9999</t>
        </is>
      </c>
      <c r="C1049" s="56" t="inlineStr">
        <is>
          <t>NTCV.0805818</t>
        </is>
      </c>
      <c r="D1049" s="57" t="n"/>
      <c r="E1049" s="57" t="n"/>
      <c r="F1049" s="57" t="n"/>
      <c r="G1049" s="57" t="n"/>
      <c r="H1049" s="57" t="n"/>
      <c r="J1049" s="209" t="inlineStr">
        <is>
          <t>24</t>
        </is>
      </c>
      <c r="K1049" s="209" t="inlineStr">
        <is>
          <t>K.9999</t>
        </is>
      </c>
      <c r="L1049" s="210" t="inlineStr">
        <is>
          <t>Theo dõi quá trình đổ bê tông cọc khoan nhồi</t>
        </is>
      </c>
      <c r="M1049" s="210" t="n"/>
      <c r="N1049" s="210" t="n"/>
      <c r="O1049" s="211" t="inlineStr">
        <is>
          <t>Cầu Km19+529.080</t>
        </is>
      </c>
      <c r="P1049" s="212">
        <f>S1047</f>
        <v/>
      </c>
      <c r="Q1049" s="212">
        <f>P1049</f>
        <v/>
      </c>
      <c r="R1049" s="212">
        <f>Q1049-1</f>
        <v/>
      </c>
      <c r="S1049" s="212">
        <f>Q1049</f>
        <v/>
      </c>
      <c r="T1049" s="213">
        <f>U1047</f>
        <v/>
      </c>
      <c r="U1049" s="213">
        <f>T1049+V1049</f>
        <v/>
      </c>
      <c r="V1049" s="213" t="n">
        <v>0.1458333333333333</v>
      </c>
      <c r="W1049" s="214">
        <f>TEXT(T1049,"HH""h""MM'")&amp;"÷"&amp;TEXT(U1049,"HH""h""MM'")</f>
        <v/>
      </c>
      <c r="X1049" s="214" t="n"/>
      <c r="Y1049" s="214" t="n"/>
      <c r="Z1049" s="214" t="inlineStr">
        <is>
          <t>10;</t>
        </is>
      </c>
      <c r="AA1049" s="215" t="inlineStr">
        <is>
          <t>Theo dõi quá trình đổ bê tông  Cọc khoan nhồi Mố M2 - Cọc C7</t>
        </is>
      </c>
      <c r="AB1049" s="204" t="inlineStr">
        <is>
          <t>09-XL-307HG/PYCNT/CKN/M2/C7-2</t>
        </is>
      </c>
      <c r="AC1049" s="204" t="inlineStr">
        <is>
          <t>09-XL-307HG/BBNT/CKN/M2/C7-10</t>
        </is>
      </c>
      <c r="AD1049" s="204" t="n"/>
      <c r="AE1049" s="204" t="n"/>
      <c r="AF1049" s="204" t="n"/>
      <c r="AG1049" s="204" t="n"/>
      <c r="AH1049" s="204" t="n"/>
      <c r="AI1049" s="214" t="n"/>
      <c r="AJ1049" s="214" t="n"/>
      <c r="AK1049" s="217" t="n"/>
      <c r="AL1049" s="214" t="n"/>
      <c r="AM1049" s="214" t="n"/>
      <c r="AN1049" s="214" t="n"/>
      <c r="AO1049" s="214" t="n"/>
      <c r="AP1049" s="216" t="n"/>
      <c r="AQ1049" s="216" t="n"/>
      <c r="AR1049" s="214" t="inlineStr">
        <is>
          <t>Nhóm 1</t>
        </is>
      </c>
      <c r="AS1049" s="214" t="n"/>
      <c r="AT1049" s="214" t="inlineStr">
        <is>
          <t>HM29</t>
        </is>
      </c>
      <c r="AU1049" s="214" t="inlineStr">
        <is>
          <t>NTCV</t>
        </is>
      </c>
      <c r="AV1049" s="214" t="n">
        <v>250</v>
      </c>
      <c r="AW1049" s="214" t="n">
        <v>9</v>
      </c>
      <c r="AX1049" s="214" t="n"/>
    </row>
    <row r="1050" ht="98" customHeight="1" s="672">
      <c r="A1050" s="56" t="inlineStr">
        <is>
          <t>LMHT</t>
        </is>
      </c>
      <c r="B1050" s="56" t="inlineStr">
        <is>
          <t>LMHT</t>
        </is>
      </c>
      <c r="C1050" s="56" t="inlineStr">
        <is>
          <t>LMHT.0607732</t>
        </is>
      </c>
      <c r="D1050" s="57" t="inlineStr">
        <is>
          <t>TC.000041|TC.000182|TC.000169.A</t>
        </is>
      </c>
      <c r="E1050" s="57" t="n"/>
      <c r="F1050" s="57" t="inlineStr">
        <is>
          <t>CP.0001^Cọc khoan nhồi Mố M2 - Cọc C7^Hình trụ 15x30 (cm)^12^30 Mpa, 18±2^^^TC.000041|TC.000182|TC.000169.A</t>
        </is>
      </c>
      <c r="G1050" s="57" t="n"/>
      <c r="H1050" s="57" t="inlineStr">
        <is>
          <t>^^A|C|J|O|S|X|Z^Stt|Hạng mục|Cấp bê tông|Kích thước mẫu|Số lượng mẫu|Ghi chú^|||||</t>
        </is>
      </c>
      <c r="J1050" s="256" t="inlineStr">
        <is>
          <t>25</t>
        </is>
      </c>
      <c r="K1050" s="256" t="inlineStr">
        <is>
          <t>LMHT</t>
        </is>
      </c>
      <c r="L1050" s="257" t="inlineStr">
        <is>
          <t>Lấy mẫu bê tông Cọc khoan nhồi, 30(1) Mpa Mố M2 - Cọc C7</t>
        </is>
      </c>
      <c r="M1050" s="257" t="n"/>
      <c r="N1050" s="257" t="n"/>
      <c r="O1050" s="258" t="inlineStr">
        <is>
          <t>Cầu Km19+529.080</t>
        </is>
      </c>
      <c r="P1050" s="259" t="n"/>
      <c r="Q1050" s="259" t="n"/>
      <c r="R1050" s="259" t="n"/>
      <c r="S1050" s="259">
        <f>S1049</f>
        <v/>
      </c>
      <c r="T1050" s="260">
        <f>T1049</f>
        <v/>
      </c>
      <c r="U1050" s="260">
        <f>U1049</f>
        <v/>
      </c>
      <c r="V1050" s="260">
        <f>V1049</f>
        <v/>
      </c>
      <c r="W1050" s="261">
        <f>TEXT(T1050,"HH""h""MM'")&amp;"÷"&amp;TEXT(U1050,"HH""h""MM'")</f>
        <v/>
      </c>
      <c r="X1050" s="262" t="n"/>
      <c r="Y1050" s="262" t="n"/>
      <c r="Z1050" s="262" t="n"/>
      <c r="AA1050" s="262" t="n"/>
      <c r="AB1050" s="263" t="inlineStr">
        <is>
          <t>09-XL-307HG/PYCNT/CKN/M2/C7-2</t>
        </is>
      </c>
      <c r="AC1050" s="263" t="inlineStr"/>
      <c r="AD1050" s="264" t="n"/>
      <c r="AE1050" s="264" t="n"/>
      <c r="AF1050" s="264" t="n"/>
      <c r="AG1050" s="264" t="n"/>
      <c r="AH1050" s="264" t="n"/>
      <c r="AI1050" s="257" t="n"/>
      <c r="AJ1050" s="262" t="n"/>
      <c r="AK1050" s="258" t="n"/>
      <c r="AL1050" s="262" t="n"/>
      <c r="AM1050" s="262" t="n"/>
      <c r="AN1050" s="262" t="n"/>
      <c r="AO1050" s="262" t="n"/>
      <c r="AP1050" s="263" t="inlineStr">
        <is>
          <t>Bảng lấy mẫu CKN</t>
        </is>
      </c>
      <c r="AQ1050" s="263" t="n"/>
      <c r="AR1050" s="262" t="inlineStr">
        <is>
          <t>Nhóm 1</t>
        </is>
      </c>
      <c r="AS1050" s="262" t="n"/>
      <c r="AT1050" s="262" t="inlineStr">
        <is>
          <t>HM29</t>
        </is>
      </c>
      <c r="AU1050" s="262" t="inlineStr">
        <is>
          <t>LMHT</t>
        </is>
      </c>
      <c r="AV1050" s="262" t="n">
        <v>20</v>
      </c>
      <c r="AW1050" s="262" t="n">
        <v>1</v>
      </c>
      <c r="AX1050" s="262" t="inlineStr">
        <is>
          <t>Cọc M2-C7: xi măng Lần 7 [BT dòng 20].</t>
        </is>
      </c>
    </row>
    <row r="1051">
      <c r="A1051" s="56" t="inlineStr">
        <is>
          <t>BBK994</t>
        </is>
      </c>
      <c r="B1051" s="56" t="inlineStr">
        <is>
          <t>PL10</t>
        </is>
      </c>
      <c r="C1051" s="56" t="inlineStr">
        <is>
          <t>BBK994.0356228</t>
        </is>
      </c>
      <c r="D1051" s="57" t="n"/>
      <c r="E1051" s="57" t="n"/>
      <c r="F1051" s="57" t="n"/>
      <c r="G1051" s="57" t="n"/>
      <c r="H1051" s="57" t="n"/>
      <c r="J1051" s="198" t="inlineStr">
        <is>
          <t>26</t>
        </is>
      </c>
      <c r="K1051" s="198" t="inlineStr">
        <is>
          <t>PL10</t>
        </is>
      </c>
      <c r="L1051" s="199" t="inlineStr">
        <is>
          <t>Theo dõi quá trình đổ bê tông cọc khoan nhồi</t>
        </is>
      </c>
      <c r="M1051" s="199" t="n"/>
      <c r="N1051" s="199" t="n"/>
      <c r="O1051" s="200" t="inlineStr">
        <is>
          <t>Cầu Km19+529.080</t>
        </is>
      </c>
      <c r="P1051" s="201" t="n"/>
      <c r="Q1051" s="201" t="n"/>
      <c r="R1051" s="201" t="n"/>
      <c r="S1051" s="201">
        <f>S1049</f>
        <v/>
      </c>
      <c r="T1051" s="201" t="n"/>
      <c r="U1051" s="201" t="n"/>
      <c r="V1051" s="201" t="n"/>
      <c r="W1051" s="202" t="n"/>
      <c r="X1051" s="202" t="n"/>
      <c r="Y1051" s="202" t="n"/>
      <c r="Z1051" s="198" t="inlineStr">
        <is>
          <t>10</t>
        </is>
      </c>
      <c r="AA1051" s="203" t="n"/>
      <c r="AB1051" s="204" t="inlineStr">
        <is>
          <t>09-XL-307HG/PYCNT/CKN/M2/C7-2</t>
        </is>
      </c>
      <c r="AC1051" s="204">
        <f>AC1049</f>
        <v/>
      </c>
      <c r="AD1051" s="204" t="n"/>
      <c r="AE1051" s="204" t="n"/>
      <c r="AF1051" s="204" t="n"/>
      <c r="AG1051" s="204" t="n"/>
      <c r="AH1051" s="204" t="inlineStr">
        <is>
          <t>M2-C7</t>
        </is>
      </c>
      <c r="AI1051" s="202" t="n"/>
      <c r="AJ1051" s="202" t="n"/>
      <c r="AK1051" s="206" t="n"/>
      <c r="AL1051" s="202" t="n"/>
      <c r="AM1051" s="202" t="n"/>
      <c r="AN1051" s="202" t="n"/>
      <c r="AO1051" s="202" t="n"/>
      <c r="AP1051" s="207" t="n"/>
      <c r="AQ1051" s="207" t="n"/>
      <c r="AR1051" s="202" t="inlineStr">
        <is>
          <t>Nhóm 1</t>
        </is>
      </c>
      <c r="AS1051" s="202" t="n"/>
      <c r="AT1051" s="202" t="inlineStr">
        <is>
          <t>HM29</t>
        </is>
      </c>
      <c r="AU1051" s="202" t="inlineStr">
        <is>
          <t>PL10</t>
        </is>
      </c>
      <c r="AV1051" s="202" t="n">
        <v>17</v>
      </c>
      <c r="AW1051" s="202" t="n">
        <v>1</v>
      </c>
      <c r="AX1051" s="202" t="n"/>
    </row>
    <row r="1052" ht="28" customHeight="1" s="672">
      <c r="A1052" s="56" t="inlineStr">
        <is>
          <t>NTCV</t>
        </is>
      </c>
      <c r="B1052" s="56" t="inlineStr">
        <is>
          <t>K.9999</t>
        </is>
      </c>
      <c r="C1052" s="56" t="inlineStr">
        <is>
          <t>NTCV.0585532</t>
        </is>
      </c>
      <c r="D1052" s="57" t="n"/>
      <c r="E1052" s="57" t="n"/>
      <c r="F1052" s="57" t="n"/>
      <c r="G1052" s="57" t="n"/>
      <c r="H1052" s="57" t="n"/>
      <c r="J1052" s="209" t="inlineStr">
        <is>
          <t>27</t>
        </is>
      </c>
      <c r="K1052" s="209" t="inlineStr">
        <is>
          <t>K.9999</t>
        </is>
      </c>
      <c r="L1052" s="210" t="inlineStr">
        <is>
          <t xml:space="preserve"> Rút ống vách thi công cọc khoan nhồi</t>
        </is>
      </c>
      <c r="M1052" s="210" t="n"/>
      <c r="N1052" s="210" t="n"/>
      <c r="O1052" s="211" t="inlineStr">
        <is>
          <t>Cầu Km19+529.080</t>
        </is>
      </c>
      <c r="P1052" s="212">
        <f>S1049</f>
        <v/>
      </c>
      <c r="Q1052" s="212">
        <f>P1052</f>
        <v/>
      </c>
      <c r="R1052" s="212">
        <f>Q1052-1</f>
        <v/>
      </c>
      <c r="S1052" s="212">
        <f>Q1052</f>
        <v/>
      </c>
      <c r="T1052" s="213">
        <f>U1049</f>
        <v/>
      </c>
      <c r="U1052" s="213">
        <f>T1052+V1052</f>
        <v/>
      </c>
      <c r="V1052" s="213" t="n">
        <v>0.01041666666666667</v>
      </c>
      <c r="W1052" s="214">
        <f>TEXT(T1052,"HH""h""MM'")&amp;"÷"&amp;TEXT(U1052,"HH""h""MM'")</f>
        <v/>
      </c>
      <c r="X1052" s="214" t="n"/>
      <c r="Y1052" s="214" t="n"/>
      <c r="Z1052" s="214" t="inlineStr">
        <is>
          <t>11;</t>
        </is>
      </c>
      <c r="AA1052" s="215" t="inlineStr">
        <is>
          <t>Rút ống vách  Cọc khoan nhồi Mố M2 - Cọc C7</t>
        </is>
      </c>
      <c r="AB1052" s="204" t="inlineStr">
        <is>
          <t>09-XL-307HG/PYCNT/CKN/M2/C7-2</t>
        </is>
      </c>
      <c r="AC1052" s="204" t="inlineStr">
        <is>
          <t>09-XL-307HG/BBNT/CKN/M2/C7-11</t>
        </is>
      </c>
      <c r="AD1052" s="204" t="n"/>
      <c r="AE1052" s="204" t="n"/>
      <c r="AF1052" s="204" t="n"/>
      <c r="AG1052" s="204" t="n"/>
      <c r="AH1052" s="204" t="n"/>
      <c r="AI1052" s="214" t="n"/>
      <c r="AJ1052" s="214" t="n"/>
      <c r="AK1052" s="217" t="n"/>
      <c r="AL1052" s="214" t="n"/>
      <c r="AM1052" s="214" t="n"/>
      <c r="AN1052" s="214" t="n"/>
      <c r="AO1052" s="214" t="n"/>
      <c r="AP1052" s="216" t="n"/>
      <c r="AQ1052" s="216" t="n"/>
      <c r="AR1052" s="214" t="inlineStr">
        <is>
          <t>Nhóm 1</t>
        </is>
      </c>
      <c r="AS1052" s="214" t="n"/>
      <c r="AT1052" s="214" t="inlineStr">
        <is>
          <t>HM29</t>
        </is>
      </c>
      <c r="AU1052" s="214" t="inlineStr">
        <is>
          <t>NTCV</t>
        </is>
      </c>
      <c r="AV1052" s="214" t="n">
        <v>251</v>
      </c>
      <c r="AW1052" s="214" t="n">
        <v>10</v>
      </c>
      <c r="AX1052" s="214" t="n"/>
    </row>
    <row r="1053">
      <c r="A1053" s="56" t="inlineStr">
        <is>
          <t>BBK544</t>
        </is>
      </c>
      <c r="B1053" s="56" t="inlineStr">
        <is>
          <t>PL11</t>
        </is>
      </c>
      <c r="C1053" s="56" t="inlineStr">
        <is>
          <t>BBK544.0660743</t>
        </is>
      </c>
      <c r="D1053" s="57" t="n"/>
      <c r="E1053" s="57" t="n"/>
      <c r="F1053" s="57" t="n"/>
      <c r="G1053" s="57" t="n"/>
      <c r="H1053" s="57" t="n"/>
      <c r="J1053" s="198" t="inlineStr">
        <is>
          <t>28</t>
        </is>
      </c>
      <c r="K1053" s="198" t="inlineStr">
        <is>
          <t>PL11</t>
        </is>
      </c>
      <c r="L1053" s="199" t="inlineStr">
        <is>
          <t>Rút ống vách thi công cọc khoan nhồi</t>
        </is>
      </c>
      <c r="M1053" s="199" t="n"/>
      <c r="N1053" s="199" t="n"/>
      <c r="O1053" s="200" t="inlineStr">
        <is>
          <t>Cầu Km19+529.080</t>
        </is>
      </c>
      <c r="P1053" s="201" t="n"/>
      <c r="Q1053" s="201" t="n"/>
      <c r="R1053" s="201" t="n"/>
      <c r="S1053" s="201">
        <f>S1052</f>
        <v/>
      </c>
      <c r="T1053" s="201" t="n"/>
      <c r="U1053" s="201" t="n"/>
      <c r="V1053" s="201" t="n"/>
      <c r="W1053" s="202" t="n"/>
      <c r="X1053" s="202" t="n"/>
      <c r="Y1053" s="202" t="n"/>
      <c r="Z1053" s="198" t="inlineStr">
        <is>
          <t>11</t>
        </is>
      </c>
      <c r="AA1053" s="203" t="n"/>
      <c r="AB1053" s="204" t="inlineStr">
        <is>
          <t>09-XL-307HG/PYCNT/CKN/M2/C7-2</t>
        </is>
      </c>
      <c r="AC1053" s="204">
        <f>AC1052</f>
        <v/>
      </c>
      <c r="AD1053" s="204" t="n"/>
      <c r="AE1053" s="204" t="n"/>
      <c r="AF1053" s="204" t="n"/>
      <c r="AG1053" s="204" t="n"/>
      <c r="AH1053" s="204" t="inlineStr">
        <is>
          <t>&gt;=802;&lt;=833</t>
        </is>
      </c>
      <c r="AI1053" s="202" t="n"/>
      <c r="AJ1053" s="202" t="n"/>
      <c r="AK1053" s="206" t="n"/>
      <c r="AL1053" s="202" t="n"/>
      <c r="AM1053" s="202" t="n"/>
      <c r="AN1053" s="202" t="n"/>
      <c r="AO1053" s="202" t="n"/>
      <c r="AP1053" s="207" t="n"/>
      <c r="AQ1053" s="207" t="n"/>
      <c r="AR1053" s="202" t="inlineStr">
        <is>
          <t>Nhóm 1</t>
        </is>
      </c>
      <c r="AS1053" s="202" t="n"/>
      <c r="AT1053" s="202" t="inlineStr">
        <is>
          <t>HM29</t>
        </is>
      </c>
      <c r="AU1053" s="202" t="inlineStr">
        <is>
          <t>PL11</t>
        </is>
      </c>
      <c r="AV1053" s="202" t="n">
        <v>17</v>
      </c>
      <c r="AW1053" s="202" t="n">
        <v>1</v>
      </c>
      <c r="AX1053" s="202" t="n"/>
    </row>
    <row r="1054" ht="13" customHeight="1" s="672">
      <c r="A1054" s="56" t="inlineStr">
        <is>
          <t>BBK680</t>
        </is>
      </c>
      <c r="B1054" s="56" t="inlineStr">
        <is>
          <t>PYC</t>
        </is>
      </c>
      <c r="C1054" s="56" t="inlineStr">
        <is>
          <t>BBK680.0583241</t>
        </is>
      </c>
      <c r="D1054" s="57" t="n"/>
      <c r="E1054" s="57" t="n"/>
      <c r="F1054" s="57" t="n"/>
      <c r="G1054" s="57" t="n"/>
      <c r="H1054" s="57" t="n"/>
      <c r="J1054" s="198" t="inlineStr">
        <is>
          <t>29</t>
        </is>
      </c>
      <c r="K1054" s="198" t="inlineStr">
        <is>
          <t>PYC</t>
        </is>
      </c>
      <c r="L1054" s="199" t="inlineStr">
        <is>
          <t>Phiếu yêu cầu nghiệm thu</t>
        </is>
      </c>
      <c r="M1054" s="199" t="n"/>
      <c r="N1054" s="199" t="n"/>
      <c r="O1054" s="200" t="inlineStr">
        <is>
          <t>Cầu Km19+529.080</t>
        </is>
      </c>
      <c r="P1054" s="201" t="n"/>
      <c r="Q1054" s="201" t="n"/>
      <c r="R1054" s="201">
        <f>R1055</f>
        <v/>
      </c>
      <c r="S1054" s="201" t="n"/>
      <c r="T1054" s="201" t="n"/>
      <c r="U1054" s="201" t="n"/>
      <c r="V1054" s="201" t="n"/>
      <c r="W1054" s="202" t="n"/>
      <c r="X1054" s="202" t="n"/>
      <c r="Y1054" s="202" t="n"/>
      <c r="Z1054" s="202" t="n"/>
      <c r="AA1054" s="203" t="n"/>
      <c r="AB1054" s="204" t="inlineStr">
        <is>
          <t>09-XL-307HG/PYCNT/CKN/M2/C7</t>
        </is>
      </c>
      <c r="AC1054" s="205" t="inlineStr"/>
      <c r="AD1054" s="205" t="n"/>
      <c r="AE1054" s="205" t="n"/>
      <c r="AF1054" s="205" t="n"/>
      <c r="AG1054" s="205" t="inlineStr">
        <is>
          <t>NTCV;BBKTĐK</t>
        </is>
      </c>
      <c r="AH1054" s="204" t="n">
        <v>11</v>
      </c>
      <c r="AI1054" s="202" t="n"/>
      <c r="AJ1054" s="202" t="n"/>
      <c r="AK1054" s="206" t="n"/>
      <c r="AL1054" s="202" t="n"/>
      <c r="AM1054" s="202" t="n"/>
      <c r="AN1054" s="202" t="n"/>
      <c r="AO1054" s="202" t="n"/>
      <c r="AP1054" s="207" t="n"/>
      <c r="AQ1054" s="207" t="n"/>
      <c r="AR1054" s="202" t="inlineStr">
        <is>
          <t>Nhóm 1</t>
        </is>
      </c>
      <c r="AS1054" s="202" t="n"/>
      <c r="AT1054" s="202" t="inlineStr">
        <is>
          <t>HM29</t>
        </is>
      </c>
      <c r="AU1054" s="202" t="inlineStr">
        <is>
          <t>PYC</t>
        </is>
      </c>
      <c r="AV1054" s="202" t="n">
        <v>243</v>
      </c>
      <c r="AW1054" s="202" t="n">
        <v>3</v>
      </c>
      <c r="AX1054" s="202" t="n"/>
    </row>
    <row r="1055" ht="28" customHeight="1" s="672">
      <c r="A1055" s="56" t="inlineStr">
        <is>
          <t>NTCV</t>
        </is>
      </c>
      <c r="B1055" s="56" t="inlineStr">
        <is>
          <t>K.9999</t>
        </is>
      </c>
      <c r="C1055" s="56" t="inlineStr">
        <is>
          <t>NTCV.0058849</t>
        </is>
      </c>
      <c r="D1055" s="57" t="n"/>
      <c r="E1055" s="57" t="n"/>
      <c r="F1055" s="57" t="n"/>
      <c r="G1055" s="57" t="n"/>
      <c r="H1055" s="57" t="n"/>
      <c r="J1055" s="209" t="inlineStr">
        <is>
          <t>30</t>
        </is>
      </c>
      <c r="K1055" s="209" t="inlineStr">
        <is>
          <t>K.9999</t>
        </is>
      </c>
      <c r="L1055" s="210" t="inlineStr">
        <is>
          <t>Theo dõi nén mẫu R7 Cọc khoan nhồi Mố M2 - Cọc C7</t>
        </is>
      </c>
      <c r="M1055" s="210" t="n"/>
      <c r="N1055" s="210" t="n"/>
      <c r="O1055" s="211" t="inlineStr">
        <is>
          <t>Cầu Km19+529.080</t>
        </is>
      </c>
      <c r="P1055" s="212">
        <f>S1052+7</f>
        <v/>
      </c>
      <c r="Q1055" s="212">
        <f>P1055</f>
        <v/>
      </c>
      <c r="R1055" s="212">
        <f>Q1055-1</f>
        <v/>
      </c>
      <c r="S1055" s="212">
        <f>Q1055</f>
        <v/>
      </c>
      <c r="T1055" s="213" t="n">
        <v>0.3541666666666667</v>
      </c>
      <c r="U1055" s="213">
        <f>T1055+V1055</f>
        <v/>
      </c>
      <c r="V1055" s="213" t="n">
        <v>0.02083333333333333</v>
      </c>
      <c r="W1055" s="214">
        <f>TEXT(T1055,"HH""h""MM'")&amp;"÷"&amp;TEXT(U1055,"HH""h""MM'")</f>
        <v/>
      </c>
      <c r="X1055" s="214" t="n"/>
      <c r="Y1055" s="214" t="n"/>
      <c r="Z1055" s="214" t="n"/>
      <c r="AA1055" s="215" t="inlineStr">
        <is>
          <t>Theo dõi nén mẫu R7 Cọc khoan nhồi Mố M2 - Cọc C7</t>
        </is>
      </c>
      <c r="AB1055" s="204" t="inlineStr">
        <is>
          <t>09-XL-307HG/PYCNT/CKN/M2/C7-3</t>
        </is>
      </c>
      <c r="AC1055" s="204" t="inlineStr">
        <is>
          <t>09-XL-307HG/BBNT/CKN/M2/C7-12</t>
        </is>
      </c>
      <c r="AD1055" s="204" t="n"/>
      <c r="AE1055" s="204" t="n"/>
      <c r="AF1055" s="204" t="n"/>
      <c r="AG1055" s="204" t="n"/>
      <c r="AH1055" s="204" t="n"/>
      <c r="AI1055" s="214" t="n"/>
      <c r="AJ1055" s="214" t="n"/>
      <c r="AK1055" s="217" t="n"/>
      <c r="AL1055" s="214" t="n"/>
      <c r="AM1055" s="214" t="n"/>
      <c r="AN1055" s="214" t="n"/>
      <c r="AO1055" s="214" t="n"/>
      <c r="AP1055" s="216" t="n"/>
      <c r="AQ1055" s="216" t="n"/>
      <c r="AR1055" s="214" t="inlineStr">
        <is>
          <t>Nhóm 1</t>
        </is>
      </c>
      <c r="AS1055" s="214" t="n"/>
      <c r="AT1055" s="214" t="inlineStr">
        <is>
          <t>HM29</t>
        </is>
      </c>
      <c r="AU1055" s="214" t="inlineStr">
        <is>
          <t>NTCV</t>
        </is>
      </c>
      <c r="AV1055" s="214" t="n">
        <v>331</v>
      </c>
      <c r="AW1055" s="214" t="n">
        <v>11</v>
      </c>
      <c r="AX1055" s="214" t="n"/>
    </row>
    <row r="1056">
      <c r="A1056" s="56" t="inlineStr">
        <is>
          <t>BBK680</t>
        </is>
      </c>
      <c r="B1056" s="56" t="inlineStr">
        <is>
          <t>PYC</t>
        </is>
      </c>
      <c r="C1056" s="56" t="inlineStr">
        <is>
          <t>BBK680.0840218</t>
        </is>
      </c>
      <c r="D1056" s="57" t="n"/>
      <c r="E1056" s="57" t="n"/>
      <c r="F1056" s="57" t="n"/>
      <c r="G1056" s="57" t="n"/>
      <c r="H1056" s="57" t="n"/>
      <c r="J1056" s="198" t="inlineStr">
        <is>
          <t>31</t>
        </is>
      </c>
      <c r="K1056" s="198" t="inlineStr">
        <is>
          <t>PYC</t>
        </is>
      </c>
      <c r="L1056" s="199" t="inlineStr">
        <is>
          <t>Phiếu yêu cầu nghiệm thu</t>
        </is>
      </c>
      <c r="M1056" s="199" t="n"/>
      <c r="N1056" s="199" t="n"/>
      <c r="O1056" s="200" t="inlineStr">
        <is>
          <t>Cầu Km19+529.080</t>
        </is>
      </c>
      <c r="P1056" s="201" t="n"/>
      <c r="Q1056" s="201" t="n"/>
      <c r="R1056" s="201">
        <f>+S1051+28</f>
        <v/>
      </c>
      <c r="S1056" s="201" t="n"/>
      <c r="T1056" s="201" t="n"/>
      <c r="U1056" s="201" t="n"/>
      <c r="V1056" s="201" t="n"/>
      <c r="W1056" s="202" t="n"/>
      <c r="X1056" s="202" t="n"/>
      <c r="Y1056" s="202" t="n"/>
      <c r="Z1056" s="202" t="n"/>
      <c r="AA1056" s="203" t="n"/>
      <c r="AB1056" s="204" t="inlineStr">
        <is>
          <t>09-XL-307HG/PYCNT/CKN/M2/C7</t>
        </is>
      </c>
      <c r="AC1056" s="205" t="inlineStr"/>
      <c r="AD1056" s="205" t="n"/>
      <c r="AE1056" s="205" t="n"/>
      <c r="AF1056" s="205" t="n"/>
      <c r="AG1056" s="205" t="inlineStr">
        <is>
          <t>NTCV;BBKTĐK</t>
        </is>
      </c>
      <c r="AH1056" s="204" t="n">
        <v>12</v>
      </c>
      <c r="AI1056" s="202" t="n"/>
      <c r="AJ1056" s="202" t="n"/>
      <c r="AK1056" s="206" t="n"/>
      <c r="AL1056" s="202" t="n"/>
      <c r="AM1056" s="202" t="n"/>
      <c r="AN1056" s="202" t="n"/>
      <c r="AO1056" s="202" t="n"/>
      <c r="AP1056" s="207" t="n"/>
      <c r="AQ1056" s="207" t="n"/>
      <c r="AR1056" s="202" t="inlineStr">
        <is>
          <t>Nhóm 1</t>
        </is>
      </c>
      <c r="AS1056" s="202" t="n"/>
      <c r="AT1056" s="202" t="inlineStr">
        <is>
          <t>HM29</t>
        </is>
      </c>
      <c r="AU1056" s="202" t="inlineStr">
        <is>
          <t>PYC</t>
        </is>
      </c>
      <c r="AV1056" s="202" t="n">
        <v>244</v>
      </c>
      <c r="AW1056" s="202" t="n">
        <v>4</v>
      </c>
      <c r="AX1056" s="202" t="n"/>
    </row>
    <row r="1057" ht="28" customHeight="1" s="672">
      <c r="A1057" s="56" t="inlineStr">
        <is>
          <t>NTCV</t>
        </is>
      </c>
      <c r="B1057" s="56" t="inlineStr">
        <is>
          <t>K.9999</t>
        </is>
      </c>
      <c r="C1057" s="56" t="inlineStr">
        <is>
          <t>NTCV.0059037</t>
        </is>
      </c>
      <c r="D1057" s="57" t="n"/>
      <c r="E1057" s="57" t="n"/>
      <c r="F1057" s="57" t="n"/>
      <c r="G1057" s="57" t="n"/>
      <c r="H1057" s="57" t="n"/>
      <c r="J1057" s="209" t="inlineStr">
        <is>
          <t>32</t>
        </is>
      </c>
      <c r="K1057" s="209" t="inlineStr">
        <is>
          <t>K.9999</t>
        </is>
      </c>
      <c r="L1057" s="210" t="inlineStr">
        <is>
          <t>Đập đầu cọc khoan nhồi Mố M2 - Cọc C7</t>
        </is>
      </c>
      <c r="M1057" s="210" t="n"/>
      <c r="N1057" s="210" t="n"/>
      <c r="O1057" s="211" t="inlineStr">
        <is>
          <t>Cầu Km19+529.080</t>
        </is>
      </c>
      <c r="P1057" s="212">
        <f>S1055</f>
        <v/>
      </c>
      <c r="Q1057" s="212">
        <f>P1057</f>
        <v/>
      </c>
      <c r="R1057" s="212">
        <f>Q1057-1</f>
        <v/>
      </c>
      <c r="S1057" s="212">
        <f>Q1057</f>
        <v/>
      </c>
      <c r="T1057" s="213" t="n">
        <v>0.3541666666666667</v>
      </c>
      <c r="U1057" s="213">
        <f>T1057+V1057</f>
        <v/>
      </c>
      <c r="V1057" s="213" t="n">
        <v>0.0625</v>
      </c>
      <c r="W1057" s="214">
        <f>TEXT(T1057,"HH""h""MM'")&amp;"÷"&amp;TEXT(U1057,"HH""h""MM'")</f>
        <v/>
      </c>
      <c r="X1057" s="214" t="n"/>
      <c r="Y1057" s="214" t="n"/>
      <c r="Z1057" s="214" t="n"/>
      <c r="AA1057" s="215" t="inlineStr">
        <is>
          <t>Theo dõi nén mẫu R28 Cọc khoan nhồi Mố M2 - Cọc C7</t>
        </is>
      </c>
      <c r="AB1057" s="204" t="inlineStr">
        <is>
          <t>09-XL-307HG/PYCNT/CKN/M2/C7-4</t>
        </is>
      </c>
      <c r="AC1057" s="204" t="inlineStr">
        <is>
          <t>09-XL-307HG/BBNT/CKN/M2/C7-13</t>
        </is>
      </c>
      <c r="AD1057" s="204" t="n"/>
      <c r="AE1057" s="204" t="n"/>
      <c r="AF1057" s="204" t="n"/>
      <c r="AG1057" s="204" t="n"/>
      <c r="AH1057" s="204" t="n"/>
      <c r="AI1057" s="214" t="n"/>
      <c r="AJ1057" s="214" t="n"/>
      <c r="AK1057" s="217" t="n"/>
      <c r="AL1057" s="214" t="n"/>
      <c r="AM1057" s="214" t="n"/>
      <c r="AN1057" s="214" t="n"/>
      <c r="AO1057" s="214" t="n"/>
      <c r="AP1057" s="216" t="n"/>
      <c r="AQ1057" s="216" t="n"/>
      <c r="AR1057" s="214" t="inlineStr">
        <is>
          <t>Nhóm 1</t>
        </is>
      </c>
      <c r="AS1057" s="214" t="n"/>
      <c r="AT1057" s="214" t="inlineStr">
        <is>
          <t>HM29</t>
        </is>
      </c>
      <c r="AU1057" s="214" t="inlineStr">
        <is>
          <t>NTCV</t>
        </is>
      </c>
      <c r="AV1057" s="214" t="n">
        <v>332</v>
      </c>
      <c r="AW1057" s="214" t="n">
        <v>12</v>
      </c>
      <c r="AX1057" s="214" t="n"/>
    </row>
    <row r="1058">
      <c r="A1058" s="56" t="inlineStr">
        <is>
          <t>HM</t>
        </is>
      </c>
      <c r="B1058" s="56" t="inlineStr">
        <is>
          <t>HM</t>
        </is>
      </c>
      <c r="C1058" s="56" t="inlineStr">
        <is>
          <t>HM.0151300</t>
        </is>
      </c>
      <c r="D1058" s="57" t="n"/>
      <c r="E1058" s="57" t="n"/>
      <c r="F1058" s="57" t="n"/>
      <c r="G1058" s="57" t="n"/>
      <c r="H1058" s="57" t="n"/>
      <c r="J1058" s="246" t="inlineStr">
        <is>
          <t>HM30</t>
        </is>
      </c>
      <c r="K1058" s="246" t="inlineStr">
        <is>
          <t>HM</t>
        </is>
      </c>
      <c r="L1058" s="247" t="inlineStr">
        <is>
          <t>Trụ T1 - Cọc C5 (Cọc PDA)</t>
        </is>
      </c>
      <c r="M1058" s="247" t="n"/>
      <c r="N1058" s="247" t="n"/>
      <c r="O1058" s="248" t="inlineStr">
        <is>
          <t>Cầu Km19+529.080</t>
        </is>
      </c>
      <c r="P1058" s="249" t="n"/>
      <c r="Q1058" s="249" t="n"/>
      <c r="R1058" s="249" t="n"/>
      <c r="S1058" s="249" t="n"/>
      <c r="T1058" s="294" t="n"/>
      <c r="U1058" s="294" t="n"/>
      <c r="V1058" s="294" t="n"/>
      <c r="W1058" s="250" t="n"/>
      <c r="X1058" s="250" t="n"/>
      <c r="Y1058" s="250" t="n"/>
      <c r="Z1058" s="250" t="n"/>
      <c r="AA1058" s="251" t="n"/>
      <c r="AB1058" s="252" t="n"/>
      <c r="AC1058" s="252" t="inlineStr"/>
      <c r="AD1058" s="252" t="n"/>
      <c r="AE1058" s="252" t="n"/>
      <c r="AF1058" s="252" t="n"/>
      <c r="AG1058" s="252" t="n"/>
      <c r="AH1058" s="252" t="n"/>
      <c r="AI1058" s="250" t="n"/>
      <c r="AJ1058" s="250" t="n"/>
      <c r="AK1058" s="253" t="n"/>
      <c r="AL1058" s="250" t="n"/>
      <c r="AM1058" s="250" t="n"/>
      <c r="AN1058" s="250" t="n"/>
      <c r="AO1058" s="250" t="n"/>
      <c r="AP1058" s="254" t="n"/>
      <c r="AQ1058" s="254" t="n"/>
      <c r="AR1058" s="250" t="n"/>
      <c r="AS1058" s="250" t="n"/>
      <c r="AT1058" s="250" t="inlineStr">
        <is>
          <t>HM30</t>
        </is>
      </c>
      <c r="AU1058" s="250" t="inlineStr">
        <is>
          <t>HM</t>
        </is>
      </c>
      <c r="AV1058" s="250" t="n"/>
      <c r="AW1058" s="250" t="n"/>
      <c r="AX1058" s="250" t="n"/>
    </row>
    <row r="1059" ht="28" customFormat="1" customHeight="1" s="70">
      <c r="A1059" s="68" t="inlineStr">
        <is>
          <t>BBK_BIA</t>
        </is>
      </c>
      <c r="B1059" s="68" t="inlineStr">
        <is>
          <t>TRANGBIA</t>
        </is>
      </c>
      <c r="C1059" s="68" t="inlineStr">
        <is>
          <t>BBK_BIA.0315855</t>
        </is>
      </c>
      <c r="D1059" s="69" t="n"/>
      <c r="E1059" s="69" t="n"/>
      <c r="F1059" s="69" t="n"/>
      <c r="G1059" s="69" t="n"/>
      <c r="H1059" s="69" t="n"/>
      <c r="J1059" s="98" t="inlineStr">
        <is>
          <t>01</t>
        </is>
      </c>
      <c r="K1059" s="98" t="inlineStr">
        <is>
          <t>TRANGBIA</t>
        </is>
      </c>
      <c r="L1059" s="99">
        <f>"Cọc Khoan Nhồi"&amp;" - "&amp;L1058</f>
        <v/>
      </c>
      <c r="M1059" s="99" t="n"/>
      <c r="N1059" s="99" t="n"/>
      <c r="O1059" s="100" t="inlineStr">
        <is>
          <t>Cầu Km19+529.080</t>
        </is>
      </c>
      <c r="P1059" s="101" t="n"/>
      <c r="Q1059" s="101" t="n"/>
      <c r="R1059" s="101" t="n"/>
      <c r="S1059" s="101" t="n"/>
      <c r="T1059" s="101" t="n"/>
      <c r="U1059" s="101" t="n"/>
      <c r="V1059" s="101" t="n"/>
      <c r="W1059" s="102" t="n"/>
      <c r="X1059" s="102" t="n"/>
      <c r="Y1059" s="102" t="n"/>
      <c r="Z1059" s="102" t="n"/>
      <c r="AA1059" s="102" t="n"/>
      <c r="AB1059" s="102" t="n"/>
      <c r="AC1059" s="102" t="inlineStr"/>
      <c r="AD1059" s="102" t="n"/>
      <c r="AE1059" s="102" t="n"/>
      <c r="AF1059" s="102" t="n"/>
      <c r="AG1059" s="102" t="n"/>
      <c r="AH1059" s="102" t="n"/>
      <c r="AI1059" s="102" t="n"/>
      <c r="AJ1059" s="102" t="n"/>
      <c r="AK1059" s="100" t="n"/>
      <c r="AL1059" s="102" t="n"/>
      <c r="AM1059" s="102" t="n"/>
      <c r="AN1059" s="102" t="n"/>
      <c r="AO1059" s="102" t="n"/>
      <c r="AP1059" s="103" t="inlineStr">
        <is>
          <t>Kết cấu cọc khoan nhồi mố, trụ</t>
        </is>
      </c>
      <c r="AQ1059" s="104" t="n"/>
      <c r="AR1059" s="102" t="inlineStr">
        <is>
          <t>Nhóm 1</t>
        </is>
      </c>
      <c r="AS1059" s="102" t="n"/>
      <c r="AT1059" s="102" t="inlineStr">
        <is>
          <t>HM30</t>
        </is>
      </c>
      <c r="AU1059" s="102" t="inlineStr">
        <is>
          <t>TRANGBIA</t>
        </is>
      </c>
      <c r="AV1059" s="102" t="n">
        <v>30</v>
      </c>
      <c r="AW1059" s="102" t="n">
        <v>1</v>
      </c>
      <c r="AX1059" s="102" t="n"/>
    </row>
    <row r="1060" customFormat="1" s="70">
      <c r="A1060" s="68" t="inlineStr">
        <is>
          <t>BBK_ML</t>
        </is>
      </c>
      <c r="B1060" s="68" t="inlineStr">
        <is>
          <t>MUCLUC</t>
        </is>
      </c>
      <c r="C1060" s="68" t="inlineStr">
        <is>
          <t>BBK_ML.0435653</t>
        </is>
      </c>
      <c r="D1060" s="69" t="n"/>
      <c r="E1060" s="69" t="n"/>
      <c r="F1060" s="69" t="n"/>
      <c r="G1060" s="69" t="n"/>
      <c r="H1060" s="69" t="n"/>
      <c r="J1060" s="98" t="inlineStr">
        <is>
          <t>02</t>
        </is>
      </c>
      <c r="K1060" s="98" t="inlineStr">
        <is>
          <t>MUCLUC</t>
        </is>
      </c>
      <c r="L1060" s="99" t="inlineStr">
        <is>
          <t>Danh mục biên bản Kiểm tra/Nghiệm thu</t>
        </is>
      </c>
      <c r="M1060" s="99" t="n"/>
      <c r="N1060" s="99" t="n"/>
      <c r="O1060" s="100" t="inlineStr">
        <is>
          <t>Cầu Km19+529.080</t>
        </is>
      </c>
      <c r="P1060" s="101" t="n"/>
      <c r="Q1060" s="101" t="n"/>
      <c r="R1060" s="101" t="n"/>
      <c r="S1060" s="101" t="n"/>
      <c r="T1060" s="101" t="n"/>
      <c r="U1060" s="101" t="n"/>
      <c r="V1060" s="101" t="n"/>
      <c r="W1060" s="102" t="n"/>
      <c r="X1060" s="102" t="n"/>
      <c r="Y1060" s="102" t="n"/>
      <c r="Z1060" s="102" t="n"/>
      <c r="AA1060" s="102" t="n"/>
      <c r="AB1060" s="102" t="n"/>
      <c r="AC1060" s="102" t="inlineStr"/>
      <c r="AD1060" s="102" t="n"/>
      <c r="AE1060" s="102" t="n"/>
      <c r="AF1060" s="102" t="n"/>
      <c r="AG1060" s="102" t="n"/>
      <c r="AH1060" s="102" t="n"/>
      <c r="AI1060" s="102" t="n"/>
      <c r="AJ1060" s="102" t="n"/>
      <c r="AK1060" s="100" t="n"/>
      <c r="AL1060" s="102" t="n"/>
      <c r="AM1060" s="102" t="n"/>
      <c r="AN1060" s="102" t="n"/>
      <c r="AO1060" s="102" t="n"/>
      <c r="AP1060" s="104" t="n"/>
      <c r="AQ1060" s="104" t="n"/>
      <c r="AR1060" s="102" t="inlineStr">
        <is>
          <t>Nhóm 1</t>
        </is>
      </c>
      <c r="AS1060" s="102" t="n"/>
      <c r="AT1060" s="102" t="inlineStr">
        <is>
          <t>HM30</t>
        </is>
      </c>
      <c r="AU1060" s="102" t="inlineStr">
        <is>
          <t>MUCLUC</t>
        </is>
      </c>
      <c r="AV1060" s="102" t="n">
        <v>30</v>
      </c>
      <c r="AW1060" s="102" t="n">
        <v>1</v>
      </c>
      <c r="AX1060" s="102" t="n"/>
    </row>
    <row r="1061" ht="28" customHeight="1" s="672">
      <c r="A1061" s="56" t="inlineStr">
        <is>
          <t>BBK680</t>
        </is>
      </c>
      <c r="B1061" s="56" t="inlineStr">
        <is>
          <t>PYC</t>
        </is>
      </c>
      <c r="C1061" s="56" t="inlineStr">
        <is>
          <t>BBK680.0423368</t>
        </is>
      </c>
      <c r="D1061" s="57" t="n"/>
      <c r="E1061" s="57" t="n"/>
      <c r="F1061" s="57" t="n"/>
      <c r="G1061" s="57" t="n"/>
      <c r="H1061" s="57" t="n"/>
      <c r="J1061" s="198" t="inlineStr">
        <is>
          <t>03</t>
        </is>
      </c>
      <c r="K1061" s="198" t="inlineStr">
        <is>
          <t>PYC</t>
        </is>
      </c>
      <c r="L1061" s="199">
        <f>L1062</f>
        <v/>
      </c>
      <c r="M1061" s="199" t="n"/>
      <c r="N1061" s="199" t="n"/>
      <c r="O1061" s="200" t="inlineStr">
        <is>
          <t>Cầu Km19+529.080</t>
        </is>
      </c>
      <c r="P1061" s="201" t="n"/>
      <c r="Q1061" s="201" t="n"/>
      <c r="R1061" s="201">
        <f>R1062</f>
        <v/>
      </c>
      <c r="S1061" s="201" t="n"/>
      <c r="T1061" s="208" t="n"/>
      <c r="U1061" s="208" t="n"/>
      <c r="V1061" s="208" t="n"/>
      <c r="W1061" s="202" t="n"/>
      <c r="X1061" s="202" t="n"/>
      <c r="Y1061" s="202" t="n"/>
      <c r="Z1061" s="202" t="n"/>
      <c r="AA1061" s="203" t="n"/>
      <c r="AB1061" s="204" t="inlineStr">
        <is>
          <t>09-XL-307HG/PYCNT/CKN/PDA</t>
        </is>
      </c>
      <c r="AC1061" s="205" t="inlineStr"/>
      <c r="AD1061" s="205" t="n"/>
      <c r="AE1061" s="205" t="n"/>
      <c r="AF1061" s="205" t="n"/>
      <c r="AG1061" s="242" t="inlineStr">
        <is>
          <t>SIEUAM</t>
        </is>
      </c>
      <c r="AH1061" s="205" t="n">
        <v>1</v>
      </c>
      <c r="AI1061" s="202" t="n"/>
      <c r="AJ1061" s="202" t="n"/>
      <c r="AK1061" s="206" t="n"/>
      <c r="AL1061" s="202" t="n"/>
      <c r="AM1061" s="202" t="n"/>
      <c r="AN1061" s="202" t="n"/>
      <c r="AO1061" s="202" t="n"/>
      <c r="AP1061" s="207" t="n"/>
      <c r="AQ1061" s="207" t="n"/>
      <c r="AR1061" s="202" t="inlineStr">
        <is>
          <t>Nhóm 1</t>
        </is>
      </c>
      <c r="AS1061" s="202" t="n"/>
      <c r="AT1061" s="202" t="inlineStr">
        <is>
          <t>HM30</t>
        </is>
      </c>
      <c r="AU1061" s="202" t="inlineStr">
        <is>
          <t>PYC</t>
        </is>
      </c>
      <c r="AV1061" s="202" t="n">
        <v>245</v>
      </c>
      <c r="AW1061" s="202" t="n">
        <v>1</v>
      </c>
      <c r="AX1061" s="202" t="n"/>
    </row>
    <row r="1062" ht="70" customHeight="1" s="672">
      <c r="A1062" s="56" t="inlineStr">
        <is>
          <t>BBK074</t>
        </is>
      </c>
      <c r="B1062" s="56" t="inlineStr">
        <is>
          <t>SIEUAM</t>
        </is>
      </c>
      <c r="C1062" s="56" t="inlineStr">
        <is>
          <t>BBK074.0856401</t>
        </is>
      </c>
      <c r="D1062" s="57" t="n"/>
      <c r="E1062" s="57" t="n"/>
      <c r="F1062" s="57" t="n"/>
      <c r="G1062" s="57" t="n"/>
      <c r="H1062" s="57" t="n"/>
      <c r="J1062" s="198" t="inlineStr">
        <is>
          <t>04</t>
        </is>
      </c>
      <c r="K1062" s="198" t="inlineStr">
        <is>
          <t>SIEUAM</t>
        </is>
      </c>
      <c r="L1062" s="199" t="inlineStr">
        <is>
          <t xml:space="preserve">Kiểm tra chất lượng cọc khoan nhồi bằng phương pháp siêu âm </t>
        </is>
      </c>
      <c r="M1062" s="199" t="n"/>
      <c r="N1062" s="199" t="n"/>
      <c r="O1062" s="200" t="inlineStr">
        <is>
          <t>Cầu Km19+529.080</t>
        </is>
      </c>
      <c r="P1062" s="201">
        <f>S456+21</f>
        <v/>
      </c>
      <c r="Q1062" s="201">
        <f>P1062</f>
        <v/>
      </c>
      <c r="R1062" s="201">
        <f>Q1062-1</f>
        <v/>
      </c>
      <c r="S1062" s="201">
        <f>Q1062</f>
        <v/>
      </c>
      <c r="T1062" s="208" t="n">
        <v>0.3541666666666667</v>
      </c>
      <c r="U1062" s="208">
        <f>T1062+V1062</f>
        <v/>
      </c>
      <c r="V1062" s="208" t="n">
        <v>0.0625</v>
      </c>
      <c r="W1062" s="202">
        <f>TEXT(T1062,"HH""h""MM'")&amp;"÷"&amp;TEXT(U1062,"HH""h""MM'")</f>
        <v/>
      </c>
      <c r="X1062" s="202" t="n"/>
      <c r="Y1062" s="202" t="n"/>
      <c r="Z1062" s="202" t="n"/>
      <c r="AA1062" s="203" t="inlineStr">
        <is>
          <t>Kiểm tra máy móc, thiết bị, nhân lực phục vụ kiểm tra siêu âm Cọc 5 trụ T1 (cọc PDA);
Giám sát, theo dõi quá trình thực hiện công việc siêu âm Cọc 5 trụ T1 (cọc PDA).</t>
        </is>
      </c>
      <c r="AB1062" s="205" t="inlineStr">
        <is>
          <t>09-XL-307HG/PYCNT/CKN/PDA-1</t>
        </is>
      </c>
      <c r="AC1062" s="205" t="inlineStr">
        <is>
          <t>09-XL-307HG/BBNT/CKN/PDA-1</t>
        </is>
      </c>
      <c r="AD1062" s="205" t="n"/>
      <c r="AE1062" s="205" t="n"/>
      <c r="AF1062" s="205" t="n"/>
      <c r="AG1062" s="205" t="n"/>
      <c r="AH1062" s="205" t="inlineStr">
        <is>
          <t>Sonic PDA</t>
        </is>
      </c>
      <c r="AI1062" s="202" t="n"/>
      <c r="AJ1062" s="202" t="n"/>
      <c r="AK1062" s="206" t="n"/>
      <c r="AL1062" s="202" t="n"/>
      <c r="AM1062" s="202" t="n"/>
      <c r="AN1062" s="202" t="n"/>
      <c r="AO1062" s="202" t="n"/>
      <c r="AP1062" s="207" t="n"/>
      <c r="AQ1062" s="207" t="n"/>
      <c r="AR1062" s="202" t="inlineStr">
        <is>
          <t>Nhóm 1</t>
        </is>
      </c>
      <c r="AS1062" s="202" t="n"/>
      <c r="AT1062" s="202" t="inlineStr">
        <is>
          <t>HM30</t>
        </is>
      </c>
      <c r="AU1062" s="202" t="inlineStr">
        <is>
          <t>SIEUAM</t>
        </is>
      </c>
      <c r="AV1062" s="202" t="n">
        <v>1</v>
      </c>
      <c r="AW1062" s="202" t="n">
        <v>1</v>
      </c>
      <c r="AX1062" s="202" t="n"/>
    </row>
    <row r="1063">
      <c r="A1063" s="56" t="inlineStr">
        <is>
          <t>BBK680</t>
        </is>
      </c>
      <c r="B1063" s="56" t="inlineStr">
        <is>
          <t>PYC</t>
        </is>
      </c>
      <c r="C1063" s="56" t="inlineStr">
        <is>
          <t>BBK680.0056265</t>
        </is>
      </c>
      <c r="D1063" s="57" t="n"/>
      <c r="E1063" s="57" t="n"/>
      <c r="F1063" s="57" t="n"/>
      <c r="G1063" s="57" t="n"/>
      <c r="H1063" s="57" t="n"/>
      <c r="J1063" s="198" t="inlineStr">
        <is>
          <t>05</t>
        </is>
      </c>
      <c r="K1063" s="198" t="inlineStr">
        <is>
          <t>PYC</t>
        </is>
      </c>
      <c r="L1063" s="199">
        <f>L1064</f>
        <v/>
      </c>
      <c r="M1063" s="199" t="n"/>
      <c r="N1063" s="199" t="n"/>
      <c r="O1063" s="200" t="inlineStr">
        <is>
          <t>Cầu Km19+529.080</t>
        </is>
      </c>
      <c r="P1063" s="201" t="n"/>
      <c r="Q1063" s="201" t="n"/>
      <c r="R1063" s="201">
        <f>R1064</f>
        <v/>
      </c>
      <c r="S1063" s="201" t="n"/>
      <c r="T1063" s="208" t="n"/>
      <c r="U1063" s="208" t="n"/>
      <c r="V1063" s="208" t="n"/>
      <c r="W1063" s="202" t="n"/>
      <c r="X1063" s="202" t="n"/>
      <c r="Y1063" s="202" t="n"/>
      <c r="Z1063" s="202" t="n"/>
      <c r="AA1063" s="203" t="n"/>
      <c r="AB1063" s="204" t="inlineStr">
        <is>
          <t>09-XL-307HG/PYCNT/CKN/PDA</t>
        </is>
      </c>
      <c r="AC1063" s="205" t="inlineStr"/>
      <c r="AD1063" s="205" t="n"/>
      <c r="AE1063" s="205" t="n"/>
      <c r="AF1063" s="205" t="n"/>
      <c r="AG1063" s="242" t="inlineStr">
        <is>
          <t>SIEUAM</t>
        </is>
      </c>
      <c r="AH1063" s="205" t="n">
        <v>2</v>
      </c>
      <c r="AI1063" s="202" t="n"/>
      <c r="AJ1063" s="202" t="n"/>
      <c r="AK1063" s="206" t="n"/>
      <c r="AL1063" s="202" t="n"/>
      <c r="AM1063" s="202" t="n"/>
      <c r="AN1063" s="202" t="n"/>
      <c r="AO1063" s="202" t="n"/>
      <c r="AP1063" s="207" t="n"/>
      <c r="AQ1063" s="207" t="n"/>
      <c r="AR1063" s="202" t="inlineStr">
        <is>
          <t>Nhóm 1</t>
        </is>
      </c>
      <c r="AS1063" s="202" t="n"/>
      <c r="AT1063" s="202" t="inlineStr">
        <is>
          <t>HM30</t>
        </is>
      </c>
      <c r="AU1063" s="202" t="inlineStr">
        <is>
          <t>PYC</t>
        </is>
      </c>
      <c r="AV1063" s="202" t="n">
        <v>246</v>
      </c>
      <c r="AW1063" s="202" t="n">
        <v>2</v>
      </c>
      <c r="AX1063" s="202" t="n"/>
    </row>
    <row r="1064" ht="28" customHeight="1" s="672">
      <c r="A1064" s="56" t="inlineStr">
        <is>
          <t>BBK074</t>
        </is>
      </c>
      <c r="B1064" s="56" t="inlineStr">
        <is>
          <t>SIEUAM</t>
        </is>
      </c>
      <c r="C1064" s="56" t="inlineStr">
        <is>
          <t>BBK074.0897287</t>
        </is>
      </c>
      <c r="D1064" s="57" t="n"/>
      <c r="E1064" s="57" t="n"/>
      <c r="F1064" s="57" t="n"/>
      <c r="G1064" s="57" t="n"/>
      <c r="H1064" s="57" t="n"/>
      <c r="J1064" s="198" t="inlineStr">
        <is>
          <t>06</t>
        </is>
      </c>
      <c r="K1064" s="198" t="inlineStr">
        <is>
          <t>SIEUAM</t>
        </is>
      </c>
      <c r="L1064" s="199" t="inlineStr">
        <is>
          <t>Kiểm tra thử tải động (PDA)</t>
        </is>
      </c>
      <c r="M1064" s="199" t="n"/>
      <c r="N1064" s="199" t="n"/>
      <c r="O1064" s="200" t="inlineStr">
        <is>
          <t>Cầu Km19+529.080</t>
        </is>
      </c>
      <c r="P1064" s="201">
        <f>P1062+1</f>
        <v/>
      </c>
      <c r="Q1064" s="201">
        <f>P1064</f>
        <v/>
      </c>
      <c r="R1064" s="201">
        <f>Q1064-1</f>
        <v/>
      </c>
      <c r="S1064" s="201">
        <f>Q1064</f>
        <v/>
      </c>
      <c r="T1064" s="208">
        <f>U1062+TIME(,45,)</f>
        <v/>
      </c>
      <c r="U1064" s="208">
        <f>T1064+V1064</f>
        <v/>
      </c>
      <c r="V1064" s="208" t="n">
        <v>0.08333333333333333</v>
      </c>
      <c r="W1064" s="202">
        <f>TEXT(T1064,"HH""h""MM'")&amp;"÷"&amp;TEXT(U1064,"HH""h""MM'")</f>
        <v/>
      </c>
      <c r="X1064" s="202" t="n"/>
      <c r="Y1064" s="202" t="n"/>
      <c r="Z1064" s="202" t="n"/>
      <c r="AA1064" s="203" t="inlineStr">
        <is>
          <t>Kiểm tra thử tải động Cọc 5 trụ T1 (cọc PDA).</t>
        </is>
      </c>
      <c r="AB1064" s="205" t="inlineStr">
        <is>
          <t>09-XL-307HG/PYCNT/CKN/PDA-2</t>
        </is>
      </c>
      <c r="AC1064" s="205" t="inlineStr">
        <is>
          <t>09-XL-307HG/BBNT/CKN/PDA-2</t>
        </is>
      </c>
      <c r="AD1064" s="205" t="n"/>
      <c r="AE1064" s="205" t="n"/>
      <c r="AF1064" s="205" t="n"/>
      <c r="AG1064" s="205" t="n"/>
      <c r="AH1064" s="205" t="inlineStr">
        <is>
          <t>Thutai PDA</t>
        </is>
      </c>
      <c r="AI1064" s="202" t="n"/>
      <c r="AJ1064" s="202" t="n"/>
      <c r="AK1064" s="206" t="n"/>
      <c r="AL1064" s="202" t="n"/>
      <c r="AM1064" s="202" t="n"/>
      <c r="AN1064" s="202" t="n"/>
      <c r="AO1064" s="202" t="n"/>
      <c r="AP1064" s="207" t="n"/>
      <c r="AQ1064" s="207" t="n"/>
      <c r="AR1064" s="202" t="inlineStr">
        <is>
          <t>Nhóm 1</t>
        </is>
      </c>
      <c r="AS1064" s="202" t="n"/>
      <c r="AT1064" s="202" t="inlineStr">
        <is>
          <t>HM30</t>
        </is>
      </c>
      <c r="AU1064" s="202" t="inlineStr">
        <is>
          <t>SIEUAM</t>
        </is>
      </c>
      <c r="AV1064" s="202" t="n">
        <v>2</v>
      </c>
      <c r="AW1064" s="202" t="n">
        <v>2</v>
      </c>
      <c r="AX1064" s="202" t="n"/>
    </row>
    <row r="1065">
      <c r="A1065" s="56" t="inlineStr">
        <is>
          <t>BBK680</t>
        </is>
      </c>
      <c r="B1065" s="56" t="inlineStr">
        <is>
          <t>PYC</t>
        </is>
      </c>
      <c r="C1065" s="56" t="inlineStr">
        <is>
          <t>BBK680.0239882</t>
        </is>
      </c>
      <c r="D1065" s="57" t="n"/>
      <c r="E1065" s="57" t="n"/>
      <c r="F1065" s="57" t="n"/>
      <c r="G1065" s="57" t="n"/>
      <c r="H1065" s="57" t="n"/>
      <c r="J1065" s="198" t="inlineStr">
        <is>
          <t>07</t>
        </is>
      </c>
      <c r="K1065" s="198" t="inlineStr">
        <is>
          <t>PYC</t>
        </is>
      </c>
      <c r="L1065" s="199">
        <f>L1066</f>
        <v/>
      </c>
      <c r="M1065" s="199" t="n"/>
      <c r="N1065" s="199" t="n"/>
      <c r="O1065" s="200" t="inlineStr">
        <is>
          <t>Cầu Km19+529.080</t>
        </is>
      </c>
      <c r="P1065" s="201" t="n"/>
      <c r="Q1065" s="201" t="n"/>
      <c r="R1065" s="201">
        <f>R1066</f>
        <v/>
      </c>
      <c r="S1065" s="201" t="n"/>
      <c r="T1065" s="208" t="n"/>
      <c r="U1065" s="208" t="n"/>
      <c r="V1065" s="208" t="n"/>
      <c r="W1065" s="202" t="n"/>
      <c r="X1065" s="202" t="n"/>
      <c r="Y1065" s="202" t="n"/>
      <c r="Z1065" s="202" t="n"/>
      <c r="AA1065" s="203" t="n"/>
      <c r="AB1065" s="204" t="inlineStr">
        <is>
          <t>09-XL-307HG/PYCNT/CKN/PDA</t>
        </is>
      </c>
      <c r="AC1065" s="205" t="inlineStr"/>
      <c r="AD1065" s="205" t="n"/>
      <c r="AE1065" s="205" t="n"/>
      <c r="AF1065" s="205" t="n"/>
      <c r="AG1065" s="242" t="inlineStr">
        <is>
          <t>SIEUAM</t>
        </is>
      </c>
      <c r="AH1065" s="205" t="n">
        <v>3</v>
      </c>
      <c r="AI1065" s="202" t="n"/>
      <c r="AJ1065" s="202" t="n"/>
      <c r="AK1065" s="206" t="n"/>
      <c r="AL1065" s="202" t="n"/>
      <c r="AM1065" s="202" t="n"/>
      <c r="AN1065" s="202" t="n"/>
      <c r="AO1065" s="202" t="n"/>
      <c r="AP1065" s="207" t="n"/>
      <c r="AQ1065" s="207" t="n"/>
      <c r="AR1065" s="202" t="inlineStr">
        <is>
          <t>Nhóm 1</t>
        </is>
      </c>
      <c r="AS1065" s="202" t="n"/>
      <c r="AT1065" s="202" t="inlineStr">
        <is>
          <t>HM30</t>
        </is>
      </c>
      <c r="AU1065" s="202" t="inlineStr">
        <is>
          <t>PYC</t>
        </is>
      </c>
      <c r="AV1065" s="202" t="n">
        <v>247</v>
      </c>
      <c r="AW1065" s="202" t="n">
        <v>3</v>
      </c>
      <c r="AX1065" s="202" t="n"/>
    </row>
    <row r="1066" ht="56" customHeight="1" s="672">
      <c r="A1066" s="56" t="inlineStr">
        <is>
          <t>BBK074</t>
        </is>
      </c>
      <c r="B1066" s="56" t="inlineStr">
        <is>
          <t>SIEUAM</t>
        </is>
      </c>
      <c r="C1066" s="56" t="inlineStr">
        <is>
          <t>BBK074.0052610</t>
        </is>
      </c>
      <c r="D1066" s="57" t="n"/>
      <c r="E1066" s="57" t="n"/>
      <c r="F1066" s="57" t="n"/>
      <c r="G1066" s="57" t="n"/>
      <c r="H1066" s="57" t="n"/>
      <c r="J1066" s="198" t="inlineStr">
        <is>
          <t>08</t>
        </is>
      </c>
      <c r="K1066" s="198" t="inlineStr">
        <is>
          <t>SIEUAM</t>
        </is>
      </c>
      <c r="L1066" s="199" t="inlineStr">
        <is>
          <t xml:space="preserve">Khoan kiểm tra mùn đầu cọc và lấy lõi để kiểm tra </t>
        </is>
      </c>
      <c r="M1066" s="199" t="n"/>
      <c r="N1066" s="199" t="n"/>
      <c r="O1066" s="200" t="inlineStr">
        <is>
          <t>Cầu Km19+529.080</t>
        </is>
      </c>
      <c r="P1066" s="201">
        <f>P1064</f>
        <v/>
      </c>
      <c r="Q1066" s="201">
        <f>P1066</f>
        <v/>
      </c>
      <c r="R1066" s="201">
        <f>Q1066-1</f>
        <v/>
      </c>
      <c r="S1066" s="201">
        <f>Q1066</f>
        <v/>
      </c>
      <c r="T1066" s="208">
        <f>U1064+TIME(,45,)</f>
        <v/>
      </c>
      <c r="U1066" s="208">
        <f>T1066+V1066</f>
        <v/>
      </c>
      <c r="V1066" s="208" t="n">
        <v>0.04166666666666666</v>
      </c>
      <c r="W1066" s="202">
        <f>TEXT(T1066,"HH""h""MM'")&amp;"÷"&amp;TEXT(U1066,"HH""h""MM'")</f>
        <v/>
      </c>
      <c r="X1066" s="202" t="n"/>
      <c r="Y1066" s="202" t="n"/>
      <c r="Z1066" s="202" t="n"/>
      <c r="AA1066" s="203" t="inlineStr">
        <is>
          <t>Kiểm tra máy móc, thiết bị, nhân lực phục vụ khoan mùn và giám sát kiểm tra quá trình khoan mùn mũi cọc khoan nhồi Cọc 5 trụ T1 (cọc PDA).</t>
        </is>
      </c>
      <c r="AB1066" s="205" t="inlineStr">
        <is>
          <t>09-XL-307HG/PYCNT/CKN/PDA-3</t>
        </is>
      </c>
      <c r="AC1066" s="205" t="inlineStr">
        <is>
          <t>09-XL-307HG/BBNT/CKN/PDA-3</t>
        </is>
      </c>
      <c r="AD1066" s="205" t="n"/>
      <c r="AE1066" s="205" t="n"/>
      <c r="AF1066" s="205" t="n"/>
      <c r="AG1066" s="205" t="n"/>
      <c r="AH1066" s="205" t="inlineStr">
        <is>
          <t>Khoanmun PDA</t>
        </is>
      </c>
      <c r="AI1066" s="202" t="n"/>
      <c r="AJ1066" s="202" t="n"/>
      <c r="AK1066" s="206" t="n"/>
      <c r="AL1066" s="202" t="n"/>
      <c r="AM1066" s="202" t="n"/>
      <c r="AN1066" s="202" t="n"/>
      <c r="AO1066" s="202" t="n"/>
      <c r="AP1066" s="207" t="n"/>
      <c r="AQ1066" s="207" t="n"/>
      <c r="AR1066" s="202" t="inlineStr">
        <is>
          <t>Nhóm 1</t>
        </is>
      </c>
      <c r="AS1066" s="202" t="n"/>
      <c r="AT1066" s="202" t="inlineStr">
        <is>
          <t>HM30</t>
        </is>
      </c>
      <c r="AU1066" s="202" t="inlineStr">
        <is>
          <t>SIEUAM</t>
        </is>
      </c>
      <c r="AV1066" s="202" t="n">
        <v>3</v>
      </c>
      <c r="AW1066" s="202" t="n">
        <v>3</v>
      </c>
      <c r="AX1066" s="202" t="n"/>
    </row>
    <row r="1067">
      <c r="A1067" s="56" t="inlineStr">
        <is>
          <t>HM</t>
        </is>
      </c>
      <c r="B1067" s="56" t="inlineStr">
        <is>
          <t>HM</t>
        </is>
      </c>
      <c r="C1067" s="56" t="inlineStr">
        <is>
          <t>HM.0780381</t>
        </is>
      </c>
      <c r="D1067" s="57" t="n"/>
      <c r="E1067" s="57" t="n"/>
      <c r="F1067" s="57" t="n"/>
      <c r="G1067" s="57" t="n"/>
      <c r="H1067" s="57" t="n"/>
      <c r="J1067" s="246" t="inlineStr">
        <is>
          <t>HM31</t>
        </is>
      </c>
      <c r="K1067" s="246" t="inlineStr">
        <is>
          <t>HM</t>
        </is>
      </c>
      <c r="L1067" s="247" t="inlineStr">
        <is>
          <t>Cọc Khoan Nhồi Trụ T1</t>
        </is>
      </c>
      <c r="M1067" s="247" t="n"/>
      <c r="N1067" s="247" t="n"/>
      <c r="O1067" s="248" t="inlineStr">
        <is>
          <t>Cầu Km19+529.080</t>
        </is>
      </c>
      <c r="P1067" s="249" t="n"/>
      <c r="Q1067" s="249" t="n"/>
      <c r="R1067" s="249" t="n"/>
      <c r="S1067" s="249" t="n"/>
      <c r="T1067" s="294" t="n"/>
      <c r="U1067" s="294" t="n"/>
      <c r="V1067" s="294" t="n"/>
      <c r="W1067" s="250" t="n"/>
      <c r="X1067" s="250" t="n"/>
      <c r="Y1067" s="250" t="n"/>
      <c r="Z1067" s="250" t="n"/>
      <c r="AA1067" s="251" t="n"/>
      <c r="AB1067" s="252" t="n"/>
      <c r="AC1067" s="252" t="inlineStr"/>
      <c r="AD1067" s="252" t="n"/>
      <c r="AE1067" s="252" t="n"/>
      <c r="AF1067" s="252" t="n"/>
      <c r="AG1067" s="252" t="n"/>
      <c r="AH1067" s="252" t="n"/>
      <c r="AI1067" s="250" t="n"/>
      <c r="AJ1067" s="250" t="n"/>
      <c r="AK1067" s="253" t="n"/>
      <c r="AL1067" s="250" t="n"/>
      <c r="AM1067" s="250" t="n"/>
      <c r="AN1067" s="250" t="n"/>
      <c r="AO1067" s="250" t="n"/>
      <c r="AP1067" s="254" t="n"/>
      <c r="AQ1067" s="254" t="n"/>
      <c r="AR1067" s="250" t="n"/>
      <c r="AS1067" s="250" t="n"/>
      <c r="AT1067" s="250" t="inlineStr">
        <is>
          <t>HM31</t>
        </is>
      </c>
      <c r="AU1067" s="250" t="inlineStr">
        <is>
          <t>HM</t>
        </is>
      </c>
      <c r="AV1067" s="250" t="n"/>
      <c r="AW1067" s="250" t="n"/>
      <c r="AX1067" s="250" t="n"/>
    </row>
    <row r="1068" ht="28" customFormat="1" customHeight="1" s="70">
      <c r="A1068" s="68" t="inlineStr">
        <is>
          <t>BBK_BIA</t>
        </is>
      </c>
      <c r="B1068" s="68" t="inlineStr">
        <is>
          <t>TRANGBIA</t>
        </is>
      </c>
      <c r="C1068" s="68" t="inlineStr">
        <is>
          <t>BBK_BIA.0036704</t>
        </is>
      </c>
      <c r="D1068" s="69" t="n"/>
      <c r="E1068" s="69" t="n"/>
      <c r="F1068" s="69" t="n"/>
      <c r="G1068" s="69" t="n"/>
      <c r="H1068" s="69" t="n"/>
      <c r="J1068" s="98" t="inlineStr">
        <is>
          <t>01</t>
        </is>
      </c>
      <c r="K1068" s="98" t="inlineStr">
        <is>
          <t>TRANGBIA</t>
        </is>
      </c>
      <c r="L1068" s="99">
        <f>"Cọc Khoan Nhồi"&amp;" - "&amp;L1067</f>
        <v/>
      </c>
      <c r="M1068" s="99" t="n"/>
      <c r="N1068" s="99" t="n"/>
      <c r="O1068" s="100" t="inlineStr">
        <is>
          <t>Cầu Km19+529.080</t>
        </is>
      </c>
      <c r="P1068" s="101" t="n"/>
      <c r="Q1068" s="101" t="n"/>
      <c r="R1068" s="101" t="n"/>
      <c r="S1068" s="101" t="n"/>
      <c r="T1068" s="101" t="n"/>
      <c r="U1068" s="101" t="n"/>
      <c r="V1068" s="101" t="n"/>
      <c r="W1068" s="102" t="n"/>
      <c r="X1068" s="102" t="n"/>
      <c r="Y1068" s="102" t="n"/>
      <c r="Z1068" s="102" t="n"/>
      <c r="AA1068" s="102" t="n"/>
      <c r="AB1068" s="102" t="n"/>
      <c r="AC1068" s="102" t="inlineStr"/>
      <c r="AD1068" s="102" t="n"/>
      <c r="AE1068" s="102" t="n"/>
      <c r="AF1068" s="102" t="n"/>
      <c r="AG1068" s="102" t="n"/>
      <c r="AH1068" s="102" t="n"/>
      <c r="AI1068" s="102" t="n"/>
      <c r="AJ1068" s="102" t="n"/>
      <c r="AK1068" s="100" t="n"/>
      <c r="AL1068" s="102" t="n"/>
      <c r="AM1068" s="102" t="n"/>
      <c r="AN1068" s="102" t="n"/>
      <c r="AO1068" s="102" t="n"/>
      <c r="AP1068" s="103" t="inlineStr">
        <is>
          <t>Kết cấu cọc khoan nhồi mố, trụ</t>
        </is>
      </c>
      <c r="AQ1068" s="104" t="n"/>
      <c r="AR1068" s="102" t="inlineStr">
        <is>
          <t>Nhóm 1</t>
        </is>
      </c>
      <c r="AS1068" s="102" t="n"/>
      <c r="AT1068" s="102" t="inlineStr">
        <is>
          <t>HM31</t>
        </is>
      </c>
      <c r="AU1068" s="102" t="inlineStr">
        <is>
          <t>TRANGBIA</t>
        </is>
      </c>
      <c r="AV1068" s="102" t="n">
        <v>31</v>
      </c>
      <c r="AW1068" s="102" t="n">
        <v>1</v>
      </c>
      <c r="AX1068" s="102" t="n"/>
    </row>
    <row r="1069" customFormat="1" s="70">
      <c r="A1069" s="68" t="inlineStr">
        <is>
          <t>BBK_ML</t>
        </is>
      </c>
      <c r="B1069" s="68" t="inlineStr">
        <is>
          <t>MUCLUC</t>
        </is>
      </c>
      <c r="C1069" s="68" t="inlineStr">
        <is>
          <t>BBK_ML.0136326</t>
        </is>
      </c>
      <c r="D1069" s="69" t="n"/>
      <c r="E1069" s="69" t="n"/>
      <c r="F1069" s="69" t="n"/>
      <c r="G1069" s="69" t="n"/>
      <c r="H1069" s="69" t="n"/>
      <c r="J1069" s="98" t="inlineStr">
        <is>
          <t>02</t>
        </is>
      </c>
      <c r="K1069" s="98" t="inlineStr">
        <is>
          <t>MUCLUC</t>
        </is>
      </c>
      <c r="L1069" s="99" t="inlineStr">
        <is>
          <t>Danh mục biên bản Kiểm tra/Nghiệm thu</t>
        </is>
      </c>
      <c r="M1069" s="99" t="n"/>
      <c r="N1069" s="99" t="n"/>
      <c r="O1069" s="100" t="inlineStr">
        <is>
          <t>Cầu Km19+529.080</t>
        </is>
      </c>
      <c r="P1069" s="101" t="n"/>
      <c r="Q1069" s="101" t="n"/>
      <c r="R1069" s="101" t="n"/>
      <c r="S1069" s="101" t="n"/>
      <c r="T1069" s="101" t="n"/>
      <c r="U1069" s="101" t="n"/>
      <c r="V1069" s="101" t="n"/>
      <c r="W1069" s="102" t="n"/>
      <c r="X1069" s="102" t="n"/>
      <c r="Y1069" s="102" t="n"/>
      <c r="Z1069" s="102" t="n"/>
      <c r="AA1069" s="102" t="n"/>
      <c r="AB1069" s="102" t="n"/>
      <c r="AC1069" s="102" t="inlineStr"/>
      <c r="AD1069" s="102" t="n"/>
      <c r="AE1069" s="102" t="n"/>
      <c r="AF1069" s="102" t="n"/>
      <c r="AG1069" s="102" t="n"/>
      <c r="AH1069" s="102" t="n"/>
      <c r="AI1069" s="102" t="n"/>
      <c r="AJ1069" s="102" t="n"/>
      <c r="AK1069" s="100" t="n"/>
      <c r="AL1069" s="102" t="n"/>
      <c r="AM1069" s="102" t="n"/>
      <c r="AN1069" s="102" t="n"/>
      <c r="AO1069" s="102" t="n"/>
      <c r="AP1069" s="104" t="n"/>
      <c r="AQ1069" s="104" t="n"/>
      <c r="AR1069" s="102" t="inlineStr">
        <is>
          <t>Nhóm 1</t>
        </is>
      </c>
      <c r="AS1069" s="102" t="n"/>
      <c r="AT1069" s="102" t="inlineStr">
        <is>
          <t>HM31</t>
        </is>
      </c>
      <c r="AU1069" s="102" t="inlineStr">
        <is>
          <t>MUCLUC</t>
        </is>
      </c>
      <c r="AV1069" s="102" t="n">
        <v>31</v>
      </c>
      <c r="AW1069" s="102" t="n">
        <v>1</v>
      </c>
      <c r="AX1069" s="102" t="n"/>
    </row>
    <row r="1070" ht="28" customHeight="1" s="672">
      <c r="A1070" s="56" t="inlineStr">
        <is>
          <t>BBK680</t>
        </is>
      </c>
      <c r="B1070" s="56" t="inlineStr">
        <is>
          <t>PYC</t>
        </is>
      </c>
      <c r="C1070" s="56" t="inlineStr">
        <is>
          <t>BBK680.0669188</t>
        </is>
      </c>
      <c r="D1070" s="57" t="n"/>
      <c r="E1070" s="57" t="n"/>
      <c r="F1070" s="57" t="n"/>
      <c r="G1070" s="57" t="n"/>
      <c r="H1070" s="57" t="n"/>
      <c r="J1070" s="198" t="inlineStr">
        <is>
          <t>03</t>
        </is>
      </c>
      <c r="K1070" s="198" t="inlineStr">
        <is>
          <t>PYC</t>
        </is>
      </c>
      <c r="L1070" s="199">
        <f>L1071</f>
        <v/>
      </c>
      <c r="M1070" s="199" t="n"/>
      <c r="N1070" s="199" t="n"/>
      <c r="O1070" s="200" t="inlineStr">
        <is>
          <t>Cầu Km19+529.080</t>
        </is>
      </c>
      <c r="P1070" s="201" t="n"/>
      <c r="Q1070" s="201" t="n"/>
      <c r="R1070" s="201">
        <f>R1071</f>
        <v/>
      </c>
      <c r="S1070" s="201">
        <f>R1070+1</f>
        <v/>
      </c>
      <c r="T1070" s="208" t="n"/>
      <c r="U1070" s="208" t="n"/>
      <c r="V1070" s="208" t="n"/>
      <c r="W1070" s="202" t="n"/>
      <c r="X1070" s="202" t="n"/>
      <c r="Y1070" s="202" t="n"/>
      <c r="Z1070" s="202" t="n"/>
      <c r="AA1070" s="203" t="n"/>
      <c r="AB1070" s="205" t="inlineStr">
        <is>
          <t>307HG/PYCNT/CKN/T1</t>
        </is>
      </c>
      <c r="AC1070" s="205" t="inlineStr"/>
      <c r="AD1070" s="205" t="n"/>
      <c r="AE1070" s="205" t="n"/>
      <c r="AF1070" s="205" t="n"/>
      <c r="AG1070" s="242" t="inlineStr">
        <is>
          <t>SIEUAM</t>
        </is>
      </c>
      <c r="AH1070" s="205" t="n">
        <v>1</v>
      </c>
      <c r="AI1070" s="202" t="n"/>
      <c r="AJ1070" s="202" t="n"/>
      <c r="AK1070" s="206" t="n"/>
      <c r="AL1070" s="202" t="n"/>
      <c r="AM1070" s="202" t="n"/>
      <c r="AN1070" s="202" t="n"/>
      <c r="AO1070" s="202" t="n"/>
      <c r="AP1070" s="207" t="n"/>
      <c r="AQ1070" s="207" t="n"/>
      <c r="AR1070" s="202" t="inlineStr">
        <is>
          <t>Nhóm 1</t>
        </is>
      </c>
      <c r="AS1070" s="202" t="n"/>
      <c r="AT1070" s="202" t="inlineStr">
        <is>
          <t>HM31</t>
        </is>
      </c>
      <c r="AU1070" s="202" t="inlineStr">
        <is>
          <t>PYC</t>
        </is>
      </c>
      <c r="AV1070" s="202" t="n">
        <v>23</v>
      </c>
      <c r="AW1070" s="202" t="n">
        <v>1</v>
      </c>
      <c r="AX1070" s="202" t="n"/>
    </row>
    <row r="1071" ht="70" customHeight="1" s="672">
      <c r="A1071" s="56" t="inlineStr">
        <is>
          <t>BBK074</t>
        </is>
      </c>
      <c r="B1071" s="56" t="inlineStr">
        <is>
          <t>SIEUAM</t>
        </is>
      </c>
      <c r="C1071" s="56" t="inlineStr">
        <is>
          <t>BBK074.0262924</t>
        </is>
      </c>
      <c r="D1071" s="57" t="n"/>
      <c r="E1071" s="57" t="n"/>
      <c r="F1071" s="57" t="n"/>
      <c r="G1071" s="57" t="n"/>
      <c r="H1071" s="57" t="n"/>
      <c r="J1071" s="198" t="inlineStr">
        <is>
          <t>04</t>
        </is>
      </c>
      <c r="K1071" s="198" t="inlineStr">
        <is>
          <t>SIEUAM</t>
        </is>
      </c>
      <c r="L1071" s="199" t="inlineStr">
        <is>
          <t xml:space="preserve">Kiểm tra chất lượng cọc khoan nhồi bằng phương pháp siêu âm </t>
        </is>
      </c>
      <c r="M1071" s="199" t="n"/>
      <c r="N1071" s="199" t="n"/>
      <c r="O1071" s="200" t="inlineStr">
        <is>
          <t>Cầu Km19+529.080</t>
        </is>
      </c>
      <c r="P1071" s="201" t="n">
        <v>46224</v>
      </c>
      <c r="Q1071" s="201">
        <f>P1071</f>
        <v/>
      </c>
      <c r="R1071" s="201">
        <f>Q1071-1</f>
        <v/>
      </c>
      <c r="S1071" s="201">
        <f>Q1071</f>
        <v/>
      </c>
      <c r="T1071" s="208" t="n">
        <v>0.3541666666666667</v>
      </c>
      <c r="U1071" s="208">
        <f>T1071+V1071</f>
        <v/>
      </c>
      <c r="V1071" s="208" t="n">
        <v>0.0625</v>
      </c>
      <c r="W1071" s="202">
        <f>TEXT(T1071,"HH""h""MM'")&amp;"÷"&amp;TEXT(U1071,"HH""h""MM'")</f>
        <v/>
      </c>
      <c r="X1071" s="202" t="n"/>
      <c r="Y1071" s="202" t="n"/>
      <c r="Z1071" s="202" t="n"/>
      <c r="AA1071" s="203" t="inlineStr">
        <is>
          <t>Kiểm tra máy móc, thiết bị, nhân lực phục vụ kiểm tra siêu âm Cọc khoan nhồi trụ T1;
Giám sát, theo dõi quá trình thực hiện công việc siêu âm Cọc khoan nhồi trụ T1.</t>
        </is>
      </c>
      <c r="AB1071" s="205" t="n"/>
      <c r="AC1071" s="205" t="inlineStr">
        <is>
          <t>09-XL-307HG/BBNT/CKN/T1-1</t>
        </is>
      </c>
      <c r="AD1071" s="205" t="n"/>
      <c r="AE1071" s="205" t="n"/>
      <c r="AF1071" s="205" t="n"/>
      <c r="AG1071" s="205" t="n"/>
      <c r="AH1071" s="205" t="inlineStr">
        <is>
          <t>Sonic T1</t>
        </is>
      </c>
      <c r="AI1071" s="202" t="n"/>
      <c r="AJ1071" s="202" t="n"/>
      <c r="AK1071" s="206" t="n"/>
      <c r="AL1071" s="202" t="n"/>
      <c r="AM1071" s="202" t="n"/>
      <c r="AN1071" s="202" t="n"/>
      <c r="AO1071" s="202" t="n"/>
      <c r="AP1071" s="207" t="n"/>
      <c r="AQ1071" s="207" t="n"/>
      <c r="AR1071" s="202" t="inlineStr">
        <is>
          <t>Nhóm 1</t>
        </is>
      </c>
      <c r="AS1071" s="202" t="n"/>
      <c r="AT1071" s="202" t="inlineStr">
        <is>
          <t>HM31</t>
        </is>
      </c>
      <c r="AU1071" s="202" t="inlineStr">
        <is>
          <t>SIEUAM</t>
        </is>
      </c>
      <c r="AV1071" s="202" t="n">
        <v>4</v>
      </c>
      <c r="AW1071" s="202" t="n">
        <v>1</v>
      </c>
      <c r="AX1071" s="202" t="n"/>
    </row>
    <row r="1072">
      <c r="A1072" s="56" t="inlineStr">
        <is>
          <t>BBK680</t>
        </is>
      </c>
      <c r="B1072" s="56" t="inlineStr">
        <is>
          <t>PYC</t>
        </is>
      </c>
      <c r="C1072" s="56" t="inlineStr">
        <is>
          <t>BBK680.0842249</t>
        </is>
      </c>
      <c r="D1072" s="57" t="n"/>
      <c r="E1072" s="57" t="n"/>
      <c r="F1072" s="57" t="n"/>
      <c r="G1072" s="57" t="n"/>
      <c r="H1072" s="57" t="n"/>
      <c r="J1072" s="198" t="inlineStr">
        <is>
          <t>05</t>
        </is>
      </c>
      <c r="K1072" s="198" t="inlineStr">
        <is>
          <t>PYC</t>
        </is>
      </c>
      <c r="L1072" s="199">
        <f>L1073</f>
        <v/>
      </c>
      <c r="M1072" s="199" t="n"/>
      <c r="N1072" s="199" t="n"/>
      <c r="O1072" s="200" t="inlineStr">
        <is>
          <t>Cầu Km19+529.080</t>
        </is>
      </c>
      <c r="P1072" s="201" t="n"/>
      <c r="Q1072" s="201" t="n"/>
      <c r="R1072" s="201">
        <f>R1073</f>
        <v/>
      </c>
      <c r="S1072" s="201">
        <f>+R1072+1</f>
        <v/>
      </c>
      <c r="T1072" s="208" t="n"/>
      <c r="U1072" s="208" t="n"/>
      <c r="V1072" s="208" t="n"/>
      <c r="W1072" s="202" t="n"/>
      <c r="X1072" s="202" t="n"/>
      <c r="Y1072" s="202" t="n"/>
      <c r="Z1072" s="202" t="n"/>
      <c r="AA1072" s="203" t="n"/>
      <c r="AB1072" s="205" t="inlineStr">
        <is>
          <t>307HG/PYCNT/CKN/T1</t>
        </is>
      </c>
      <c r="AC1072" s="205" t="inlineStr"/>
      <c r="AD1072" s="205" t="n"/>
      <c r="AE1072" s="205" t="n"/>
      <c r="AF1072" s="205" t="n"/>
      <c r="AG1072" s="242" t="inlineStr">
        <is>
          <t>SIEUAM</t>
        </is>
      </c>
      <c r="AH1072" s="205" t="n">
        <v>2</v>
      </c>
      <c r="AI1072" s="202" t="n"/>
      <c r="AJ1072" s="202" t="n"/>
      <c r="AK1072" s="206" t="n"/>
      <c r="AL1072" s="202" t="n"/>
      <c r="AM1072" s="202" t="n"/>
      <c r="AN1072" s="202" t="n"/>
      <c r="AO1072" s="202" t="n"/>
      <c r="AP1072" s="207" t="n"/>
      <c r="AQ1072" s="207" t="n"/>
      <c r="AR1072" s="202" t="inlineStr">
        <is>
          <t>Nhóm 1</t>
        </is>
      </c>
      <c r="AS1072" s="202" t="n"/>
      <c r="AT1072" s="202" t="inlineStr">
        <is>
          <t>HM31</t>
        </is>
      </c>
      <c r="AU1072" s="202" t="inlineStr">
        <is>
          <t>PYC</t>
        </is>
      </c>
      <c r="AV1072" s="202" t="n">
        <v>24</v>
      </c>
      <c r="AW1072" s="202" t="n">
        <v>2</v>
      </c>
      <c r="AX1072" s="202" t="n"/>
    </row>
    <row r="1073" ht="56" customHeight="1" s="672">
      <c r="A1073" s="56" t="inlineStr">
        <is>
          <t>BBK074</t>
        </is>
      </c>
      <c r="B1073" s="56" t="inlineStr">
        <is>
          <t>SIEUAM</t>
        </is>
      </c>
      <c r="C1073" s="56" t="inlineStr">
        <is>
          <t>BBK074.0210172</t>
        </is>
      </c>
      <c r="D1073" s="57" t="n"/>
      <c r="E1073" s="57" t="n"/>
      <c r="F1073" s="57" t="n"/>
      <c r="G1073" s="57" t="n"/>
      <c r="H1073" s="57" t="n"/>
      <c r="J1073" s="198" t="inlineStr">
        <is>
          <t>06</t>
        </is>
      </c>
      <c r="K1073" s="198" t="inlineStr">
        <is>
          <t>SIEUAM</t>
        </is>
      </c>
      <c r="L1073" s="199" t="inlineStr">
        <is>
          <t xml:space="preserve">Khoan kiểm tra mùn đầu cọc và lấy lõi để kiểm tra </t>
        </is>
      </c>
      <c r="M1073" s="199" t="n"/>
      <c r="N1073" s="199" t="n"/>
      <c r="O1073" s="200" t="inlineStr">
        <is>
          <t>Cầu Km19+529.080</t>
        </is>
      </c>
      <c r="P1073" s="201">
        <f>P1071+1</f>
        <v/>
      </c>
      <c r="Q1073" s="201">
        <f>P1073</f>
        <v/>
      </c>
      <c r="R1073" s="201">
        <f>Q1073-1</f>
        <v/>
      </c>
      <c r="S1073" s="201">
        <f>Q1073</f>
        <v/>
      </c>
      <c r="T1073" s="208">
        <f>U1071+TIME(,45,)</f>
        <v/>
      </c>
      <c r="U1073" s="208">
        <f>T1073+V1073</f>
        <v/>
      </c>
      <c r="V1073" s="208" t="n">
        <v>0.08333333333333333</v>
      </c>
      <c r="W1073" s="202">
        <f>TEXT(T1073,"HH""h""MM'")&amp;"÷"&amp;TEXT(U1073,"HH""h""MM'")</f>
        <v/>
      </c>
      <c r="X1073" s="202" t="n"/>
      <c r="Y1073" s="202" t="n"/>
      <c r="Z1073" s="202" t="n"/>
      <c r="AA1073" s="203" t="inlineStr">
        <is>
          <t>Kiểm tra máy móc, thiết bị, nhân lực phục vụ khoan mùn và giám sát kiểm tra quá trình khoan mùn mũi Cọc khoan nhồi trụ T1.</t>
        </is>
      </c>
      <c r="AB1073" s="205" t="n"/>
      <c r="AC1073" s="205" t="inlineStr">
        <is>
          <t>09-XL-307HG/BBNT/CKN/T1-2</t>
        </is>
      </c>
      <c r="AD1073" s="205" t="n"/>
      <c r="AE1073" s="205" t="n"/>
      <c r="AF1073" s="205" t="n"/>
      <c r="AG1073" s="205" t="n"/>
      <c r="AH1073" s="205" t="inlineStr">
        <is>
          <t>Khoanmun T1</t>
        </is>
      </c>
      <c r="AI1073" s="202" t="n"/>
      <c r="AJ1073" s="202" t="n"/>
      <c r="AK1073" s="206" t="n"/>
      <c r="AL1073" s="202" t="n"/>
      <c r="AM1073" s="202" t="n"/>
      <c r="AN1073" s="202" t="n"/>
      <c r="AO1073" s="202" t="n"/>
      <c r="AP1073" s="207" t="n"/>
      <c r="AQ1073" s="207" t="n"/>
      <c r="AR1073" s="202" t="inlineStr">
        <is>
          <t>Nhóm 1</t>
        </is>
      </c>
      <c r="AS1073" s="202" t="n"/>
      <c r="AT1073" s="202" t="inlineStr">
        <is>
          <t>HM31</t>
        </is>
      </c>
      <c r="AU1073" s="202" t="inlineStr">
        <is>
          <t>SIEUAM</t>
        </is>
      </c>
      <c r="AV1073" s="202" t="n">
        <v>6</v>
      </c>
      <c r="AW1073" s="202" t="n">
        <v>2</v>
      </c>
      <c r="AX1073" s="202" t="n"/>
    </row>
    <row r="1074" ht="28" customHeight="1" s="672">
      <c r="A1074" s="56" t="inlineStr">
        <is>
          <t>BBK680</t>
        </is>
      </c>
      <c r="B1074" s="56" t="inlineStr">
        <is>
          <t>PYC</t>
        </is>
      </c>
      <c r="C1074" s="56" t="inlineStr">
        <is>
          <t>BBK680.0226214</t>
        </is>
      </c>
      <c r="D1074" s="57" t="n"/>
      <c r="E1074" s="57" t="n"/>
      <c r="F1074" s="57" t="n"/>
      <c r="G1074" s="57" t="n"/>
      <c r="H1074" s="57" t="n"/>
      <c r="J1074" s="198" t="inlineStr">
        <is>
          <t>07</t>
        </is>
      </c>
      <c r="K1074" s="198" t="inlineStr">
        <is>
          <t>PYC</t>
        </is>
      </c>
      <c r="L1074" s="199">
        <f>L1075</f>
        <v/>
      </c>
      <c r="M1074" s="199" t="n"/>
      <c r="N1074" s="199" t="n"/>
      <c r="O1074" s="200" t="n"/>
      <c r="P1074" s="201" t="n"/>
      <c r="Q1074" s="201" t="n"/>
      <c r="R1074" s="201">
        <f>R1075</f>
        <v/>
      </c>
      <c r="S1074" s="201">
        <f>+R1074+1</f>
        <v/>
      </c>
      <c r="T1074" s="208" t="n"/>
      <c r="U1074" s="208" t="n"/>
      <c r="V1074" s="208" t="n"/>
      <c r="W1074" s="202" t="n"/>
      <c r="X1074" s="202" t="n"/>
      <c r="Y1074" s="202" t="n"/>
      <c r="Z1074" s="202" t="n"/>
      <c r="AA1074" s="203" t="n"/>
      <c r="AB1074" s="205" t="inlineStr">
        <is>
          <t>307HG/PYCNT/CKN/T1</t>
        </is>
      </c>
      <c r="AC1074" s="205" t="inlineStr"/>
      <c r="AD1074" s="203" t="n"/>
      <c r="AE1074" s="203" t="n"/>
      <c r="AF1074" s="203" t="n"/>
      <c r="AG1074" s="242" t="inlineStr">
        <is>
          <t>SIEUAM</t>
        </is>
      </c>
      <c r="AH1074" s="203" t="n">
        <v>3</v>
      </c>
      <c r="AI1074" s="207" t="n"/>
      <c r="AJ1074" s="202" t="n"/>
      <c r="AK1074" s="206" t="n"/>
      <c r="AL1074" s="202" t="n"/>
      <c r="AM1074" s="202" t="n"/>
      <c r="AN1074" s="202" t="n"/>
      <c r="AO1074" s="202" t="n"/>
      <c r="AP1074" s="207" t="n"/>
      <c r="AQ1074" s="207" t="n"/>
      <c r="AR1074" s="202" t="inlineStr">
        <is>
          <t>Nhóm 1</t>
        </is>
      </c>
      <c r="AS1074" s="202" t="n"/>
      <c r="AT1074" s="202" t="inlineStr">
        <is>
          <t>HM31</t>
        </is>
      </c>
      <c r="AU1074" s="202" t="inlineStr">
        <is>
          <t>PYC</t>
        </is>
      </c>
      <c r="AV1074" s="202" t="n">
        <v>25</v>
      </c>
      <c r="AW1074" s="202" t="n">
        <v>3</v>
      </c>
      <c r="AX1074" s="202" t="n"/>
    </row>
    <row r="1075" ht="84" customHeight="1" s="672">
      <c r="A1075" s="56" t="inlineStr">
        <is>
          <t>BBK074</t>
        </is>
      </c>
      <c r="B1075" s="56" t="inlineStr">
        <is>
          <t>SIEUAM</t>
        </is>
      </c>
      <c r="C1075" s="56" t="inlineStr">
        <is>
          <t>BBK074.0506153</t>
        </is>
      </c>
      <c r="D1075" s="57" t="n"/>
      <c r="E1075" s="57" t="n"/>
      <c r="F1075" s="57" t="n"/>
      <c r="G1075" s="57" t="n"/>
      <c r="H1075" s="57" t="n"/>
      <c r="J1075" s="198" t="inlineStr">
        <is>
          <t>08</t>
        </is>
      </c>
      <c r="K1075" s="198" t="inlineStr">
        <is>
          <t>SIEUAM</t>
        </is>
      </c>
      <c r="L1075" s="199" t="inlineStr">
        <is>
          <t>Kiểm tra máy móc, thiết bị chuẩn bị bơm vữa lấp ống siêu âm</t>
        </is>
      </c>
      <c r="M1075" s="199" t="n"/>
      <c r="N1075" s="199" t="n"/>
      <c r="O1075" s="200" t="inlineStr">
        <is>
          <t>Cầu Km19+529.080</t>
        </is>
      </c>
      <c r="P1075" s="201">
        <f>P1073</f>
        <v/>
      </c>
      <c r="Q1075" s="201">
        <f>P1075</f>
        <v/>
      </c>
      <c r="R1075" s="201">
        <f>Q1075-1</f>
        <v/>
      </c>
      <c r="S1075" s="201">
        <f>Q1075</f>
        <v/>
      </c>
      <c r="T1075" s="208">
        <f>U1073+TIME(,45,)</f>
        <v/>
      </c>
      <c r="U1075" s="208">
        <f>T1075+V1075</f>
        <v/>
      </c>
      <c r="V1075" s="208" t="n">
        <v>0.04166666666666666</v>
      </c>
      <c r="W1075" s="202">
        <f>TEXT(T1075,"HH""h""MM'")&amp;"÷"&amp;TEXT(U1075,"HH""h""MM'")</f>
        <v/>
      </c>
      <c r="X1075" s="202" t="n"/>
      <c r="Y1075" s="202" t="n"/>
      <c r="Z1075" s="202" t="n"/>
      <c r="AA1075" s="203" t="inlineStr">
        <is>
          <t>Kiểm tra vật liệu, máy móc, thiết bị, nhân lực phục vụ bơm vữa lấp lòng ống siêu âm cọc khoan nhồi Trụ T1;
Giám sát, theo dỏi quá trình thực hiện công việc  bơm vữa lấp lòng ống siêu âm cọc khoan nhồi Trụ T1.</t>
        </is>
      </c>
      <c r="AB1075" s="205" t="n"/>
      <c r="AC1075" s="205" t="inlineStr">
        <is>
          <t>09-XL-307HG/BBNT/CKN/T1-3</t>
        </is>
      </c>
      <c r="AD1075" s="203" t="n"/>
      <c r="AE1075" s="203" t="n"/>
      <c r="AF1075" s="203" t="n"/>
      <c r="AG1075" s="203" t="n"/>
      <c r="AH1075" s="205" t="inlineStr">
        <is>
          <t>CBBV</t>
        </is>
      </c>
      <c r="AI1075" s="207" t="n"/>
      <c r="AJ1075" s="202" t="n"/>
      <c r="AK1075" s="206" t="n"/>
      <c r="AL1075" s="202" t="n"/>
      <c r="AM1075" s="202" t="n"/>
      <c r="AN1075" s="202" t="n"/>
      <c r="AO1075" s="202" t="n"/>
      <c r="AP1075" s="207" t="n"/>
      <c r="AQ1075" s="207" t="n"/>
      <c r="AR1075" s="202" t="inlineStr">
        <is>
          <t>Nhóm 1</t>
        </is>
      </c>
      <c r="AS1075" s="202" t="n"/>
      <c r="AT1075" s="202" t="inlineStr">
        <is>
          <t>HM31</t>
        </is>
      </c>
      <c r="AU1075" s="202" t="inlineStr">
        <is>
          <t>SIEUAM</t>
        </is>
      </c>
      <c r="AV1075" s="202" t="n">
        <v>7</v>
      </c>
      <c r="AW1075" s="202" t="n">
        <v>3</v>
      </c>
      <c r="AX1075" s="202" t="n"/>
    </row>
    <row r="1076">
      <c r="A1076" s="56" t="inlineStr">
        <is>
          <t>BBK860</t>
        </is>
      </c>
      <c r="B1076" s="56" t="inlineStr">
        <is>
          <t>PL01</t>
        </is>
      </c>
      <c r="C1076" s="56" t="inlineStr">
        <is>
          <t>BBK860.0619644</t>
        </is>
      </c>
      <c r="D1076" s="57" t="n"/>
      <c r="E1076" s="57" t="n"/>
      <c r="F1076" s="57" t="n"/>
      <c r="G1076" s="57" t="n"/>
      <c r="H1076" s="57" t="n"/>
      <c r="J1076" s="198" t="inlineStr">
        <is>
          <t>09</t>
        </is>
      </c>
      <c r="K1076" s="198" t="inlineStr">
        <is>
          <t>PL01</t>
        </is>
      </c>
      <c r="L1076" s="199" t="inlineStr">
        <is>
          <t>Phụ lục số 01</t>
        </is>
      </c>
      <c r="M1076" s="199" t="n"/>
      <c r="N1076" s="199" t="n"/>
      <c r="O1076" s="200" t="inlineStr">
        <is>
          <t>Cầu Km19+529.080</t>
        </is>
      </c>
      <c r="P1076" s="201" t="n"/>
      <c r="Q1076" s="201" t="n"/>
      <c r="R1076" s="201" t="n"/>
      <c r="S1076" s="201">
        <f>S1075</f>
        <v/>
      </c>
      <c r="T1076" s="201" t="n"/>
      <c r="U1076" s="201" t="n"/>
      <c r="V1076" s="201" t="n"/>
      <c r="W1076" s="202" t="n"/>
      <c r="X1076" s="202" t="n"/>
      <c r="Y1076" s="202" t="n"/>
      <c r="Z1076" s="198" t="inlineStr">
        <is>
          <t>01</t>
        </is>
      </c>
      <c r="AA1076" s="203" t="n"/>
      <c r="AB1076" s="203" t="n"/>
      <c r="AC1076" s="204">
        <f>AC1075</f>
        <v/>
      </c>
      <c r="AD1076" s="203" t="n"/>
      <c r="AE1076" s="203" t="n"/>
      <c r="AF1076" s="203" t="n"/>
      <c r="AG1076" s="295" t="n"/>
      <c r="AH1076" s="205" t="inlineStr">
        <is>
          <t>CBBV</t>
        </is>
      </c>
      <c r="AI1076" s="207" t="n"/>
      <c r="AJ1076" s="202" t="n"/>
      <c r="AK1076" s="206" t="n"/>
      <c r="AL1076" s="202" t="n"/>
      <c r="AM1076" s="202" t="n"/>
      <c r="AN1076" s="202" t="n"/>
      <c r="AO1076" s="202" t="n"/>
      <c r="AP1076" s="207" t="n"/>
      <c r="AQ1076" s="207" t="n"/>
      <c r="AR1076" s="202" t="inlineStr">
        <is>
          <t>Nhóm 1</t>
        </is>
      </c>
      <c r="AS1076" s="202" t="n"/>
      <c r="AT1076" s="202" t="inlineStr">
        <is>
          <t>HM31</t>
        </is>
      </c>
      <c r="AU1076" s="202" t="inlineStr">
        <is>
          <t>PL01</t>
        </is>
      </c>
      <c r="AV1076" s="202" t="n">
        <v>21</v>
      </c>
      <c r="AW1076" s="202" t="n">
        <v>1</v>
      </c>
      <c r="AX1076" s="202" t="n"/>
    </row>
    <row r="1077">
      <c r="A1077" s="56" t="inlineStr">
        <is>
          <t>BBK074</t>
        </is>
      </c>
      <c r="B1077" s="56" t="inlineStr">
        <is>
          <t>SIEUAM</t>
        </is>
      </c>
      <c r="C1077" s="56" t="inlineStr">
        <is>
          <t>BBK074.0606745</t>
        </is>
      </c>
      <c r="D1077" s="57" t="n"/>
      <c r="E1077" s="57" t="n"/>
      <c r="F1077" s="57" t="n"/>
      <c r="G1077" s="57" t="n"/>
      <c r="H1077" s="57" t="n"/>
      <c r="J1077" s="266" t="inlineStr">
        <is>
          <t>10</t>
        </is>
      </c>
      <c r="K1077" s="266" t="inlineStr">
        <is>
          <t>SIEUAM</t>
        </is>
      </c>
      <c r="L1077" s="267" t="inlineStr">
        <is>
          <t>Bơm vữa lấp lòng ống siêu âm cọc khoan nhồi</t>
        </is>
      </c>
      <c r="M1077" s="267" t="n"/>
      <c r="N1077" s="267" t="n"/>
      <c r="O1077" s="268" t="inlineStr">
        <is>
          <t>Cầu Km19+529.080</t>
        </is>
      </c>
      <c r="P1077" s="269">
        <f>P1075</f>
        <v/>
      </c>
      <c r="Q1077" s="269">
        <f>P1077</f>
        <v/>
      </c>
      <c r="R1077" s="269">
        <f>Q1077-1</f>
        <v/>
      </c>
      <c r="S1077" s="269">
        <f>Q1077</f>
        <v/>
      </c>
      <c r="T1077" s="296">
        <f>U1075+TIME(,10,)</f>
        <v/>
      </c>
      <c r="U1077" s="296">
        <f>T1077+V1077</f>
        <v/>
      </c>
      <c r="V1077" s="296" t="n">
        <v>0.1458333333333333</v>
      </c>
      <c r="W1077" s="270">
        <f>TEXT(T1077,"HH""h""MM'")&amp;"÷"&amp;TEXT(U1077,"HH""h""MM'")</f>
        <v/>
      </c>
      <c r="X1077" s="270" t="n"/>
      <c r="Y1077" s="270" t="n"/>
      <c r="Z1077" s="270" t="n"/>
      <c r="AA1077" s="271" t="n"/>
      <c r="AB1077" s="271" t="n"/>
      <c r="AC1077" s="225" t="inlineStr">
        <is>
          <t>09-XL-307HG/BBNT/CKN/T1-4</t>
        </is>
      </c>
      <c r="AD1077" s="271" t="n"/>
      <c r="AE1077" s="271" t="n"/>
      <c r="AF1077" s="271" t="n"/>
      <c r="AG1077" s="271" t="n"/>
      <c r="AH1077" s="297" t="inlineStr">
        <is>
          <t>Bomvua T1</t>
        </is>
      </c>
      <c r="AI1077" s="273" t="n"/>
      <c r="AJ1077" s="270" t="n"/>
      <c r="AK1077" s="272" t="n"/>
      <c r="AL1077" s="270" t="n"/>
      <c r="AM1077" s="270" t="n"/>
      <c r="AN1077" s="270" t="n"/>
      <c r="AO1077" s="270" t="n"/>
      <c r="AP1077" s="273" t="n"/>
      <c r="AQ1077" s="273" t="n"/>
      <c r="AR1077" s="270" t="inlineStr">
        <is>
          <t>Nhóm 1</t>
        </is>
      </c>
      <c r="AS1077" s="270" t="n"/>
      <c r="AT1077" s="270" t="inlineStr">
        <is>
          <t>HM31</t>
        </is>
      </c>
      <c r="AU1077" s="270" t="inlineStr">
        <is>
          <t>SIEUAM</t>
        </is>
      </c>
      <c r="AV1077" s="270" t="n">
        <v>8</v>
      </c>
      <c r="AW1077" s="270" t="n">
        <v>4</v>
      </c>
      <c r="AX1077" s="270" t="n"/>
    </row>
    <row r="1078" ht="25" customHeight="1" s="672">
      <c r="A1078" s="56" t="inlineStr">
        <is>
          <t>LMHT</t>
        </is>
      </c>
      <c r="B1078" s="56" t="inlineStr">
        <is>
          <t>LMHT</t>
        </is>
      </c>
      <c r="C1078" s="56" t="inlineStr">
        <is>
          <t>LMHT.0100214</t>
        </is>
      </c>
      <c r="D1078" s="57" t="inlineStr">
        <is>
          <t>TC.000041|TC.000182|TC.000169.A</t>
        </is>
      </c>
      <c r="E1078" s="57" t="n"/>
      <c r="F1078" s="298" t="inlineStr">
        <is>
          <t>CP.0001^Vữa bơm lấp ống siêu âm cọc khoan nhồi trụ T1^(40x40x160)mm_x000D_
^12^V30 (Mpa)^^^TC.000041|TC.000182|TC.000169.A</t>
        </is>
      </c>
      <c r="G1078" s="57" t="n"/>
      <c r="H1078" s="57" t="n"/>
      <c r="J1078" s="175" t="inlineStr">
        <is>
          <t>11</t>
        </is>
      </c>
      <c r="K1078" s="175" t="inlineStr">
        <is>
          <t>LMHT</t>
        </is>
      </c>
      <c r="L1078" s="176" t="inlineStr">
        <is>
          <t>Vữa bơm lấp ống siêu âm cọc khoan nhồi trụ T1</t>
        </is>
      </c>
      <c r="M1078" s="176" t="n"/>
      <c r="N1078" s="176" t="n"/>
      <c r="O1078" s="177">
        <f>O1077</f>
        <v/>
      </c>
      <c r="P1078" s="299" t="n"/>
      <c r="Q1078" s="299" t="n"/>
      <c r="R1078" s="299" t="n"/>
      <c r="S1078" s="299">
        <f>S1077</f>
        <v/>
      </c>
      <c r="T1078" s="300">
        <f>T1077</f>
        <v/>
      </c>
      <c r="U1078" s="300">
        <f>U1077</f>
        <v/>
      </c>
      <c r="V1078" s="300">
        <f>V1077</f>
        <v/>
      </c>
      <c r="W1078" s="301">
        <f>TEXT(T1078,"HH""h""MM'")&amp;"÷"&amp;TEXT(U1078,"HH""h""MM'")</f>
        <v/>
      </c>
      <c r="X1078" s="301" t="n"/>
      <c r="Y1078" s="301" t="n"/>
      <c r="Z1078" s="301" t="n"/>
      <c r="AA1078" s="180" t="n"/>
      <c r="AB1078" s="180" t="n"/>
      <c r="AC1078" s="180" t="inlineStr"/>
      <c r="AD1078" s="180" t="n"/>
      <c r="AE1078" s="180" t="n"/>
      <c r="AF1078" s="180" t="n"/>
      <c r="AG1078" s="180" t="n"/>
      <c r="AH1078" s="302" t="n"/>
      <c r="AI1078" s="181" t="n"/>
      <c r="AJ1078" s="301" t="n"/>
      <c r="AK1078" s="303" t="n"/>
      <c r="AL1078" s="301" t="n"/>
      <c r="AM1078" s="301" t="n"/>
      <c r="AN1078" s="301" t="n"/>
      <c r="AO1078" s="301" t="n"/>
      <c r="AP1078" s="181" t="n"/>
      <c r="AQ1078" s="181" t="n"/>
      <c r="AR1078" s="301" t="inlineStr">
        <is>
          <t>Nhóm 1</t>
        </is>
      </c>
      <c r="AS1078" s="301" t="n"/>
      <c r="AT1078" s="301" t="inlineStr">
        <is>
          <t>HM31</t>
        </is>
      </c>
      <c r="AU1078" s="301" t="inlineStr">
        <is>
          <t>LMHT</t>
        </is>
      </c>
      <c r="AV1078" s="301" t="n">
        <v>23</v>
      </c>
      <c r="AW1078" s="301" t="n">
        <v>1</v>
      </c>
      <c r="AX1078" s="301" t="n"/>
    </row>
    <row r="1079" ht="42" customHeight="1" s="672">
      <c r="A1079" s="56" t="inlineStr">
        <is>
          <t>BBK680</t>
        </is>
      </c>
      <c r="B1079" s="56" t="inlineStr">
        <is>
          <t>PYC</t>
        </is>
      </c>
      <c r="C1079" s="56" t="inlineStr">
        <is>
          <t>BBK680.0942988</t>
        </is>
      </c>
      <c r="D1079" s="57" t="n"/>
      <c r="E1079" s="57" t="n"/>
      <c r="F1079" s="57" t="n"/>
      <c r="G1079" s="57" t="n"/>
      <c r="H1079" s="57" t="n"/>
      <c r="J1079" s="237" t="inlineStr">
        <is>
          <t>12</t>
        </is>
      </c>
      <c r="K1079" s="237" t="inlineStr">
        <is>
          <t>PYC</t>
        </is>
      </c>
      <c r="L1079" s="238">
        <f>L1078</f>
        <v/>
      </c>
      <c r="M1079" s="238" t="n"/>
      <c r="N1079" s="238" t="n"/>
      <c r="O1079" s="239" t="inlineStr">
        <is>
          <t>Phòng thí nghiệm hiện trường LAS - XD 726</t>
        </is>
      </c>
      <c r="P1079" s="240" t="n"/>
      <c r="Q1079" s="240" t="n"/>
      <c r="R1079" s="240">
        <f>S1079-1</f>
        <v/>
      </c>
      <c r="S1079" s="240">
        <f>S1078+7</f>
        <v/>
      </c>
      <c r="T1079" s="304" t="n">
        <v>0.3541666666666667</v>
      </c>
      <c r="U1079" s="304">
        <f>T1079+V1079</f>
        <v/>
      </c>
      <c r="V1079" s="304" t="n">
        <v>0.0625</v>
      </c>
      <c r="W1079" s="241">
        <f>TEXT(T1079,"HH""h""MM'")&amp;"÷"&amp;TEXT(U1079,"HH""h""MM'")</f>
        <v/>
      </c>
      <c r="X1079" s="241" t="n"/>
      <c r="Y1079" s="241" t="n"/>
      <c r="Z1079" s="241" t="n"/>
      <c r="AA1079" s="242" t="inlineStr">
        <is>
          <t>Giám sát công tác nén mẫu R7 vữa xi măng lấp lòng ống siêu âm Cọc khoan nhồi Trụ T1.</t>
        </is>
      </c>
      <c r="AB1079" s="305" t="inlineStr">
        <is>
          <t>307HG/PYCNT/CKN/T1</t>
        </is>
      </c>
      <c r="AC1079" s="242" t="inlineStr"/>
      <c r="AD1079" s="242" t="n"/>
      <c r="AE1079" s="242" t="n"/>
      <c r="AF1079" s="242" t="n"/>
      <c r="AG1079" s="242" t="inlineStr">
        <is>
          <t>PYC</t>
        </is>
      </c>
      <c r="AH1079" s="242" t="n">
        <v>4</v>
      </c>
      <c r="AI1079" s="245" t="n"/>
      <c r="AJ1079" s="241" t="n"/>
      <c r="AK1079" s="244" t="n"/>
      <c r="AL1079" s="241" t="n"/>
      <c r="AM1079" s="241" t="n"/>
      <c r="AN1079" s="241" t="n"/>
      <c r="AO1079" s="241" t="n"/>
      <c r="AP1079" s="245" t="n"/>
      <c r="AQ1079" s="245" t="n"/>
      <c r="AR1079" s="241" t="inlineStr">
        <is>
          <t>Nhóm 1</t>
        </is>
      </c>
      <c r="AS1079" s="241" t="n"/>
      <c r="AT1079" s="241" t="inlineStr">
        <is>
          <t>HM31</t>
        </is>
      </c>
      <c r="AU1079" s="241" t="inlineStr">
        <is>
          <t>PYC</t>
        </is>
      </c>
      <c r="AV1079" s="241" t="n">
        <v>33</v>
      </c>
      <c r="AW1079" s="241" t="n">
        <v>4</v>
      </c>
      <c r="AX1079" s="241" t="n"/>
    </row>
    <row r="1080" ht="42" customHeight="1" s="672">
      <c r="A1080" s="56" t="inlineStr">
        <is>
          <t>BBK680</t>
        </is>
      </c>
      <c r="B1080" s="56" t="inlineStr">
        <is>
          <t>PYC</t>
        </is>
      </c>
      <c r="C1080" s="56" t="inlineStr">
        <is>
          <t>BBK680.0382624</t>
        </is>
      </c>
      <c r="D1080" s="57" t="n"/>
      <c r="E1080" s="57" t="n"/>
      <c r="F1080" s="57" t="n"/>
      <c r="G1080" s="57" t="n"/>
      <c r="H1080" s="57" t="n"/>
      <c r="J1080" s="198" t="inlineStr">
        <is>
          <t>13</t>
        </is>
      </c>
      <c r="K1080" s="198" t="inlineStr">
        <is>
          <t>PYC</t>
        </is>
      </c>
      <c r="L1080" s="199">
        <f>L1079</f>
        <v/>
      </c>
      <c r="M1080" s="199" t="n"/>
      <c r="N1080" s="199" t="n"/>
      <c r="O1080" s="200">
        <f>O1079</f>
        <v/>
      </c>
      <c r="P1080" s="201" t="n"/>
      <c r="Q1080" s="201" t="n"/>
      <c r="R1080" s="201">
        <f>S1080-1</f>
        <v/>
      </c>
      <c r="S1080" s="201">
        <f>S1078+28</f>
        <v/>
      </c>
      <c r="T1080" s="208" t="n">
        <v>0.3958333333333333</v>
      </c>
      <c r="U1080" s="208">
        <f>T1080+V1080</f>
        <v/>
      </c>
      <c r="V1080" s="208" t="n">
        <v>0.0625</v>
      </c>
      <c r="W1080" s="202">
        <f>TEXT(T1080,"HH""h""MM'")&amp;"÷"&amp;TEXT(U1080,"HH""h""MM'")</f>
        <v/>
      </c>
      <c r="X1080" s="202" t="n"/>
      <c r="Y1080" s="202" t="n"/>
      <c r="Z1080" s="202" t="n"/>
      <c r="AA1080" s="203" t="inlineStr">
        <is>
          <t>Giám sát công tác nén mẫu R28 vữa xi măng lấp lòng ống siêu âm Cọc khoan nhồi Trụ T1.</t>
        </is>
      </c>
      <c r="AB1080" s="205" t="inlineStr">
        <is>
          <t>307HG/PYCNT/CKN/T1</t>
        </is>
      </c>
      <c r="AC1080" s="203" t="inlineStr"/>
      <c r="AD1080" s="203" t="n"/>
      <c r="AE1080" s="203" t="n"/>
      <c r="AF1080" s="203" t="n"/>
      <c r="AG1080" s="242" t="inlineStr">
        <is>
          <t>PYC</t>
        </is>
      </c>
      <c r="AH1080" s="203" t="n">
        <v>5</v>
      </c>
      <c r="AI1080" s="207" t="n"/>
      <c r="AJ1080" s="202" t="n"/>
      <c r="AK1080" s="206" t="n"/>
      <c r="AL1080" s="202" t="n"/>
      <c r="AM1080" s="202" t="n"/>
      <c r="AN1080" s="202" t="n"/>
      <c r="AO1080" s="202" t="n"/>
      <c r="AP1080" s="207" t="n"/>
      <c r="AQ1080" s="207" t="n"/>
      <c r="AR1080" s="202" t="inlineStr">
        <is>
          <t>Nhóm 1</t>
        </is>
      </c>
      <c r="AS1080" s="202" t="n"/>
      <c r="AT1080" s="202" t="inlineStr">
        <is>
          <t>HM31</t>
        </is>
      </c>
      <c r="AU1080" s="202" t="inlineStr">
        <is>
          <t>PYC</t>
        </is>
      </c>
      <c r="AV1080" s="202" t="n">
        <v>81</v>
      </c>
      <c r="AW1080" s="202" t="n">
        <v>5</v>
      </c>
      <c r="AX1080" s="202" t="n"/>
    </row>
    <row r="1081" ht="28" customHeight="1" s="672">
      <c r="A1081" s="56" t="inlineStr">
        <is>
          <t>NTGD</t>
        </is>
      </c>
      <c r="B1081" s="56" t="inlineStr">
        <is>
          <t>NTGD</t>
        </is>
      </c>
      <c r="C1081" s="56" t="inlineStr">
        <is>
          <t>NTGD.0347347</t>
        </is>
      </c>
      <c r="D1081" s="57" t="n"/>
      <c r="E1081" s="57" t="n"/>
      <c r="F1081" s="57" t="n"/>
      <c r="G1081" s="57" t="n"/>
      <c r="H1081" s="57" t="n"/>
      <c r="J1081" s="306" t="inlineStr">
        <is>
          <t>14</t>
        </is>
      </c>
      <c r="K1081" s="306" t="inlineStr">
        <is>
          <t>NTGD</t>
        </is>
      </c>
      <c r="L1081" s="307" t="inlineStr">
        <is>
          <t>Cọc khoan nhồi Trụ T1</t>
        </is>
      </c>
      <c r="M1081" s="307" t="n"/>
      <c r="N1081" s="307" t="n"/>
      <c r="O1081" s="308" t="inlineStr">
        <is>
          <t>Cầu Km19+529.080</t>
        </is>
      </c>
      <c r="P1081" s="309" t="n"/>
      <c r="Q1081" s="309" t="n"/>
      <c r="R1081" s="309">
        <f>S1079</f>
        <v/>
      </c>
      <c r="S1081" s="309">
        <f>R1081+1</f>
        <v/>
      </c>
      <c r="T1081" s="310" t="n">
        <v>0.3541666666666667</v>
      </c>
      <c r="U1081" s="310">
        <f>T1081+V1081</f>
        <v/>
      </c>
      <c r="V1081" s="310" t="n">
        <v>0.04166666666666666</v>
      </c>
      <c r="W1081" s="311">
        <f>TEXT(T1081,"HH""h""MM'")&amp;"÷"&amp;TEXT(U1081,"HH""h""MM'")</f>
        <v/>
      </c>
      <c r="X1081" s="311" t="n"/>
      <c r="Y1081" s="311" t="n"/>
      <c r="Z1081" s="311" t="n"/>
      <c r="AA1081" s="312" t="inlineStr">
        <is>
          <t>Nghiệm thu chuyển giai đoạn Cọc khoan nhồi Trụ T1 sang Bệ Trụ T1</t>
        </is>
      </c>
      <c r="AB1081" s="313" t="inlineStr">
        <is>
          <t>09-XL-307HG/PYCNT/CKN-CGĐ/T1</t>
        </is>
      </c>
      <c r="AC1081" s="313" t="inlineStr">
        <is>
          <t>09-XL-307HG/NTGĐ/CKN/T1</t>
        </is>
      </c>
      <c r="AD1081" s="313" t="n"/>
      <c r="AE1081" s="313" t="n"/>
      <c r="AF1081" s="313" t="n"/>
      <c r="AG1081" s="313" t="n"/>
      <c r="AH1081" s="313" t="n"/>
      <c r="AI1081" s="311" t="n"/>
      <c r="AJ1081" s="311" t="n"/>
      <c r="AK1081" s="314" t="n"/>
      <c r="AL1081" s="311" t="n"/>
      <c r="AM1081" s="311" t="n"/>
      <c r="AN1081" s="311" t="n"/>
      <c r="AO1081" s="311" t="n"/>
      <c r="AP1081" s="315" t="n"/>
      <c r="AQ1081" s="315" t="n"/>
      <c r="AR1081" s="311" t="inlineStr">
        <is>
          <t>Nhóm 1</t>
        </is>
      </c>
      <c r="AS1081" s="311" t="n"/>
      <c r="AT1081" s="311" t="inlineStr">
        <is>
          <t>HM31</t>
        </is>
      </c>
      <c r="AU1081" s="311" t="inlineStr">
        <is>
          <t>NTGD</t>
        </is>
      </c>
      <c r="AV1081" s="311" t="n">
        <v>1</v>
      </c>
      <c r="AW1081" s="311" t="n">
        <v>1</v>
      </c>
      <c r="AX1081" s="311" t="n"/>
    </row>
    <row r="1082">
      <c r="A1082" s="56" t="inlineStr">
        <is>
          <t>BBK697</t>
        </is>
      </c>
      <c r="B1082" s="56" t="inlineStr">
        <is>
          <t>PLKL</t>
        </is>
      </c>
      <c r="C1082" s="56" t="inlineStr">
        <is>
          <t>BBK697.0039786</t>
        </is>
      </c>
      <c r="D1082" s="57" t="n"/>
      <c r="E1082" s="57" t="n"/>
      <c r="F1082" s="57" t="n"/>
      <c r="G1082" s="57" t="n"/>
      <c r="H1082" s="57" t="n"/>
      <c r="J1082" s="316" t="inlineStr">
        <is>
          <t>15</t>
        </is>
      </c>
      <c r="K1082" s="316" t="inlineStr">
        <is>
          <t>PLKL</t>
        </is>
      </c>
      <c r="L1082" s="317" t="inlineStr">
        <is>
          <t>Phụ lục khối lượng</t>
        </is>
      </c>
      <c r="M1082" s="317" t="n"/>
      <c r="N1082" s="317" t="inlineStr">
        <is>
          <t>Cầu Km19+529.080</t>
        </is>
      </c>
      <c r="O1082" s="318" t="inlineStr">
        <is>
          <t>Cọc khoan nhồi Trụ T1</t>
        </is>
      </c>
      <c r="P1082" s="319" t="n"/>
      <c r="Q1082" s="319" t="n"/>
      <c r="R1082" s="319" t="n"/>
      <c r="S1082" s="319">
        <f>S1081</f>
        <v/>
      </c>
      <c r="T1082" s="320" t="n"/>
      <c r="U1082" s="320" t="n"/>
      <c r="V1082" s="320" t="n"/>
      <c r="W1082" s="321" t="n"/>
      <c r="X1082" s="321" t="n"/>
      <c r="Y1082" s="321" t="n"/>
      <c r="Z1082" s="321" t="n"/>
      <c r="AA1082" s="322" t="n"/>
      <c r="AB1082" s="323" t="n"/>
      <c r="AC1082" s="323" t="inlineStr">
        <is>
          <t>09-XL-307HG/NTGĐ/CKN/T1</t>
        </is>
      </c>
      <c r="AD1082" s="323" t="n"/>
      <c r="AE1082" s="323" t="n"/>
      <c r="AF1082" s="323" t="n"/>
      <c r="AG1082" s="323" t="n"/>
      <c r="AH1082" s="323" t="inlineStr">
        <is>
          <t>T1</t>
        </is>
      </c>
      <c r="AI1082" s="321" t="n"/>
      <c r="AJ1082" s="321" t="n"/>
      <c r="AK1082" s="324" t="n"/>
      <c r="AL1082" s="321" t="n"/>
      <c r="AM1082" s="321" t="n"/>
      <c r="AN1082" s="321" t="n"/>
      <c r="AO1082" s="321" t="n"/>
      <c r="AP1082" s="325" t="n"/>
      <c r="AQ1082" s="325" t="n"/>
      <c r="AR1082" s="321" t="inlineStr">
        <is>
          <t>Nhóm 1</t>
        </is>
      </c>
      <c r="AS1082" s="321" t="n"/>
      <c r="AT1082" s="321" t="inlineStr">
        <is>
          <t>HM31</t>
        </is>
      </c>
      <c r="AU1082" s="321" t="inlineStr">
        <is>
          <t>PLKL</t>
        </is>
      </c>
      <c r="AV1082" s="321" t="n">
        <v>1</v>
      </c>
      <c r="AW1082" s="321" t="n">
        <v>1</v>
      </c>
      <c r="AX1082" s="321" t="n"/>
    </row>
    <row r="1083">
      <c r="A1083" s="56" t="inlineStr">
        <is>
          <t>BBK157</t>
        </is>
      </c>
      <c r="B1083" s="56" t="inlineStr">
        <is>
          <t>DG</t>
        </is>
      </c>
      <c r="C1083" s="56" t="inlineStr">
        <is>
          <t>BBK157.0890142</t>
        </is>
      </c>
      <c r="D1083" s="57" t="n"/>
      <c r="E1083" s="57" t="n"/>
      <c r="F1083" s="57" t="n"/>
      <c r="G1083" s="57" t="n"/>
      <c r="H1083" s="57" t="n"/>
      <c r="J1083" s="316" t="inlineStr">
        <is>
          <t>16</t>
        </is>
      </c>
      <c r="K1083" s="316" t="inlineStr">
        <is>
          <t>DG</t>
        </is>
      </c>
      <c r="L1083" s="317" t="inlineStr">
        <is>
          <t>Bảng diễn giải KL</t>
        </is>
      </c>
      <c r="M1083" s="317" t="n"/>
      <c r="N1083" s="317" t="inlineStr">
        <is>
          <t>Cầu Km19+529.080</t>
        </is>
      </c>
      <c r="O1083" s="318" t="inlineStr">
        <is>
          <t>Cọc khoan nhồi Trụ T1</t>
        </is>
      </c>
      <c r="P1083" s="319" t="n"/>
      <c r="Q1083" s="319" t="n"/>
      <c r="R1083" s="319" t="n"/>
      <c r="S1083" s="319">
        <f>+S1082</f>
        <v/>
      </c>
      <c r="T1083" s="320" t="n"/>
      <c r="U1083" s="320" t="n"/>
      <c r="V1083" s="320" t="n"/>
      <c r="W1083" s="321" t="n"/>
      <c r="X1083" s="321" t="n"/>
      <c r="Y1083" s="321" t="n"/>
      <c r="Z1083" s="321" t="n"/>
      <c r="AA1083" s="322" t="n"/>
      <c r="AB1083" s="323" t="n"/>
      <c r="AC1083" s="326">
        <f>AC1082</f>
        <v/>
      </c>
      <c r="AD1083" s="323" t="n"/>
      <c r="AE1083" s="323" t="n"/>
      <c r="AF1083" s="323" t="n"/>
      <c r="AG1083" s="323" t="n"/>
      <c r="AH1083" s="323" t="inlineStr">
        <is>
          <t>CKN-T1</t>
        </is>
      </c>
      <c r="AI1083" s="321" t="n"/>
      <c r="AJ1083" s="321" t="n"/>
      <c r="AK1083" s="324" t="n"/>
      <c r="AL1083" s="321" t="n"/>
      <c r="AM1083" s="321" t="n"/>
      <c r="AN1083" s="321" t="n">
        <v>1</v>
      </c>
      <c r="AO1083" s="321" t="n"/>
      <c r="AP1083" s="325" t="n"/>
      <c r="AQ1083" s="325" t="n"/>
      <c r="AR1083" s="321" t="inlineStr">
        <is>
          <t>Nhóm 1</t>
        </is>
      </c>
      <c r="AS1083" s="321" t="n"/>
      <c r="AT1083" s="321" t="inlineStr">
        <is>
          <t>HM31</t>
        </is>
      </c>
      <c r="AU1083" s="321" t="inlineStr">
        <is>
          <t>DG</t>
        </is>
      </c>
      <c r="AV1083" s="321" t="n">
        <v>1</v>
      </c>
      <c r="AW1083" s="321" t="n">
        <v>1</v>
      </c>
      <c r="AX1083" s="321" t="n"/>
    </row>
    <row r="1084">
      <c r="A1084" s="56" t="inlineStr">
        <is>
          <t>HM</t>
        </is>
      </c>
      <c r="B1084" s="56" t="inlineStr">
        <is>
          <t>HM</t>
        </is>
      </c>
      <c r="C1084" s="56" t="inlineStr">
        <is>
          <t>HM.0493553</t>
        </is>
      </c>
      <c r="D1084" s="57" t="n"/>
      <c r="E1084" s="57" t="n"/>
      <c r="F1084" s="57" t="n"/>
      <c r="G1084" s="57" t="n"/>
      <c r="H1084" s="57" t="n"/>
      <c r="J1084" s="246" t="inlineStr">
        <is>
          <t>HM32</t>
        </is>
      </c>
      <c r="K1084" s="246" t="inlineStr">
        <is>
          <t>HM</t>
        </is>
      </c>
      <c r="L1084" s="247" t="inlineStr">
        <is>
          <t>Cọc Khoan Nhồi Trụ T2</t>
        </is>
      </c>
      <c r="M1084" s="247" t="n"/>
      <c r="N1084" s="247" t="n"/>
      <c r="O1084" s="248" t="inlineStr">
        <is>
          <t>Cầu Km19+529.080</t>
        </is>
      </c>
      <c r="P1084" s="249" t="n"/>
      <c r="Q1084" s="249" t="n"/>
      <c r="R1084" s="249" t="n"/>
      <c r="S1084" s="249" t="n"/>
      <c r="T1084" s="294" t="n"/>
      <c r="U1084" s="294" t="n"/>
      <c r="V1084" s="294" t="n"/>
      <c r="W1084" s="250" t="n"/>
      <c r="X1084" s="250" t="n"/>
      <c r="Y1084" s="250" t="n"/>
      <c r="Z1084" s="250" t="n"/>
      <c r="AA1084" s="251" t="n"/>
      <c r="AB1084" s="252" t="n"/>
      <c r="AC1084" s="252" t="inlineStr"/>
      <c r="AD1084" s="252" t="n"/>
      <c r="AE1084" s="252" t="n"/>
      <c r="AF1084" s="252" t="n"/>
      <c r="AG1084" s="252" t="n"/>
      <c r="AH1084" s="252" t="n"/>
      <c r="AI1084" s="250" t="n"/>
      <c r="AJ1084" s="250" t="n"/>
      <c r="AK1084" s="253" t="n"/>
      <c r="AL1084" s="250" t="n"/>
      <c r="AM1084" s="250" t="n"/>
      <c r="AN1084" s="250" t="n"/>
      <c r="AO1084" s="250" t="n"/>
      <c r="AP1084" s="254" t="n"/>
      <c r="AQ1084" s="254" t="n"/>
      <c r="AR1084" s="250" t="n"/>
      <c r="AS1084" s="250" t="n"/>
      <c r="AT1084" s="250" t="inlineStr">
        <is>
          <t>HM32</t>
        </is>
      </c>
      <c r="AU1084" s="250" t="inlineStr">
        <is>
          <t>HM</t>
        </is>
      </c>
      <c r="AV1084" s="250" t="n"/>
      <c r="AW1084" s="250" t="n"/>
      <c r="AX1084" s="250" t="n"/>
    </row>
    <row r="1085" ht="28" customFormat="1" customHeight="1" s="70">
      <c r="A1085" s="68" t="inlineStr">
        <is>
          <t>BBK_BIA</t>
        </is>
      </c>
      <c r="B1085" s="68" t="inlineStr">
        <is>
          <t>TRANGBIA</t>
        </is>
      </c>
      <c r="C1085" s="68" t="inlineStr">
        <is>
          <t>BBK_BIA.0407380</t>
        </is>
      </c>
      <c r="D1085" s="69" t="n"/>
      <c r="E1085" s="69" t="n"/>
      <c r="F1085" s="69" t="n"/>
      <c r="G1085" s="69" t="n"/>
      <c r="H1085" s="69" t="n"/>
      <c r="J1085" s="327" t="inlineStr">
        <is>
          <t>01</t>
        </is>
      </c>
      <c r="K1085" s="327" t="inlineStr">
        <is>
          <t>TRANGBIA</t>
        </is>
      </c>
      <c r="L1085" s="328">
        <f>"Cọc Khoan Nhồi"&amp;" - "&amp;L1084</f>
        <v/>
      </c>
      <c r="M1085" s="328" t="n"/>
      <c r="N1085" s="328" t="n"/>
      <c r="O1085" s="329" t="inlineStr">
        <is>
          <t>Cầu Km19+529.080</t>
        </is>
      </c>
      <c r="P1085" s="330" t="n"/>
      <c r="Q1085" s="330" t="n"/>
      <c r="R1085" s="330" t="n"/>
      <c r="S1085" s="330" t="n"/>
      <c r="T1085" s="330" t="n"/>
      <c r="U1085" s="330" t="n"/>
      <c r="V1085" s="330" t="n"/>
      <c r="W1085" s="331" t="n"/>
      <c r="X1085" s="331" t="n"/>
      <c r="Y1085" s="331" t="n"/>
      <c r="Z1085" s="331" t="n"/>
      <c r="AA1085" s="331" t="n"/>
      <c r="AB1085" s="331" t="n"/>
      <c r="AC1085" s="331" t="inlineStr"/>
      <c r="AD1085" s="331" t="n"/>
      <c r="AE1085" s="331" t="n"/>
      <c r="AF1085" s="331" t="n"/>
      <c r="AG1085" s="331" t="n"/>
      <c r="AH1085" s="331" t="n"/>
      <c r="AI1085" s="331" t="n"/>
      <c r="AJ1085" s="331" t="n"/>
      <c r="AK1085" s="329" t="n"/>
      <c r="AL1085" s="331" t="n"/>
      <c r="AM1085" s="331" t="n"/>
      <c r="AN1085" s="331" t="n"/>
      <c r="AO1085" s="331" t="n"/>
      <c r="AP1085" s="332" t="inlineStr">
        <is>
          <t>Kết cấu cọc khoan nhồi mố, trụ</t>
        </is>
      </c>
      <c r="AQ1085" s="333" t="n"/>
      <c r="AR1085" s="331" t="inlineStr">
        <is>
          <t>Nhóm 1</t>
        </is>
      </c>
      <c r="AS1085" s="331" t="n"/>
      <c r="AT1085" s="331" t="inlineStr">
        <is>
          <t>HM32</t>
        </is>
      </c>
      <c r="AU1085" s="331" t="inlineStr">
        <is>
          <t>TRANGBIA</t>
        </is>
      </c>
      <c r="AV1085" s="331" t="n">
        <v>32</v>
      </c>
      <c r="AW1085" s="331" t="n">
        <v>1</v>
      </c>
      <c r="AX1085" s="331" t="n"/>
    </row>
    <row r="1086" customFormat="1" s="70">
      <c r="A1086" s="68" t="inlineStr">
        <is>
          <t>BBK_ML</t>
        </is>
      </c>
      <c r="B1086" s="68" t="inlineStr">
        <is>
          <t>MUCLUC</t>
        </is>
      </c>
      <c r="C1086" s="68" t="inlineStr">
        <is>
          <t>BBK_ML.0931220</t>
        </is>
      </c>
      <c r="D1086" s="69" t="n"/>
      <c r="E1086" s="69" t="n"/>
      <c r="F1086" s="69" t="n"/>
      <c r="G1086" s="69" t="n"/>
      <c r="H1086" s="69" t="n"/>
      <c r="J1086" s="334" t="inlineStr">
        <is>
          <t>02</t>
        </is>
      </c>
      <c r="K1086" s="334" t="inlineStr">
        <is>
          <t>MUCLUC</t>
        </is>
      </c>
      <c r="L1086" s="335" t="inlineStr">
        <is>
          <t>Danh mục biên bản Kiểm tra/Nghiệm thu</t>
        </is>
      </c>
      <c r="M1086" s="335" t="n"/>
      <c r="N1086" s="335" t="n"/>
      <c r="O1086" s="336" t="inlineStr">
        <is>
          <t>Cầu Km19+529.080</t>
        </is>
      </c>
      <c r="P1086" s="337" t="n"/>
      <c r="Q1086" s="337" t="n"/>
      <c r="R1086" s="337" t="n"/>
      <c r="S1086" s="337" t="n"/>
      <c r="T1086" s="337" t="n"/>
      <c r="U1086" s="337" t="n"/>
      <c r="V1086" s="337" t="n"/>
      <c r="W1086" s="338" t="n"/>
      <c r="X1086" s="338" t="n"/>
      <c r="Y1086" s="338" t="n"/>
      <c r="Z1086" s="338" t="n"/>
      <c r="AA1086" s="338" t="n"/>
      <c r="AB1086" s="338" t="n"/>
      <c r="AC1086" s="338" t="inlineStr"/>
      <c r="AD1086" s="338" t="n"/>
      <c r="AE1086" s="338" t="n"/>
      <c r="AF1086" s="338" t="n"/>
      <c r="AG1086" s="338" t="n"/>
      <c r="AH1086" s="338" t="n"/>
      <c r="AI1086" s="338" t="n"/>
      <c r="AJ1086" s="338" t="n"/>
      <c r="AK1086" s="336" t="n"/>
      <c r="AL1086" s="338" t="n"/>
      <c r="AM1086" s="338" t="n"/>
      <c r="AN1086" s="338" t="n"/>
      <c r="AO1086" s="338" t="n"/>
      <c r="AP1086" s="339" t="n"/>
      <c r="AQ1086" s="339" t="n"/>
      <c r="AR1086" s="338" t="inlineStr">
        <is>
          <t>Nhóm 1</t>
        </is>
      </c>
      <c r="AS1086" s="338" t="n"/>
      <c r="AT1086" s="338" t="inlineStr">
        <is>
          <t>HM32</t>
        </is>
      </c>
      <c r="AU1086" s="338" t="inlineStr">
        <is>
          <t>MUCLUC</t>
        </is>
      </c>
      <c r="AV1086" s="338" t="n">
        <v>32</v>
      </c>
      <c r="AW1086" s="338" t="n">
        <v>1</v>
      </c>
      <c r="AX1086" s="338" t="n"/>
    </row>
    <row r="1087" ht="28" customHeight="1" s="672">
      <c r="A1087" s="56" t="inlineStr">
        <is>
          <t>BBK680</t>
        </is>
      </c>
      <c r="B1087" s="56" t="inlineStr">
        <is>
          <t>PYC</t>
        </is>
      </c>
      <c r="C1087" s="56" t="inlineStr">
        <is>
          <t>BBK680.0251241</t>
        </is>
      </c>
      <c r="D1087" s="57" t="n"/>
      <c r="E1087" s="57" t="n"/>
      <c r="F1087" s="57" t="n"/>
      <c r="G1087" s="57" t="n"/>
      <c r="H1087" s="57" t="n"/>
      <c r="J1087" s="237" t="inlineStr">
        <is>
          <t>03</t>
        </is>
      </c>
      <c r="K1087" s="237" t="inlineStr">
        <is>
          <t>PYC</t>
        </is>
      </c>
      <c r="L1087" s="238">
        <f>L1088</f>
        <v/>
      </c>
      <c r="M1087" s="238" t="n"/>
      <c r="N1087" s="238" t="n"/>
      <c r="O1087" s="239" t="inlineStr">
        <is>
          <t>Cầu Km19+529.080</t>
        </is>
      </c>
      <c r="P1087" s="240" t="n"/>
      <c r="Q1087" s="240" t="n"/>
      <c r="R1087" s="240">
        <f>R1088</f>
        <v/>
      </c>
      <c r="S1087" s="240">
        <f>+R1087+1</f>
        <v/>
      </c>
      <c r="T1087" s="304" t="n"/>
      <c r="U1087" s="304" t="n"/>
      <c r="V1087" s="304" t="n"/>
      <c r="W1087" s="241" t="n"/>
      <c r="X1087" s="241" t="n"/>
      <c r="Y1087" s="241" t="n"/>
      <c r="Z1087" s="241" t="n"/>
      <c r="AA1087" s="242" t="n"/>
      <c r="AB1087" s="305" t="inlineStr">
        <is>
          <t>307HG/PYCNT/CKN/T2</t>
        </is>
      </c>
      <c r="AC1087" s="305" t="inlineStr"/>
      <c r="AD1087" s="305" t="n"/>
      <c r="AE1087" s="305" t="n"/>
      <c r="AF1087" s="305" t="n"/>
      <c r="AG1087" s="242" t="inlineStr">
        <is>
          <t>SIEUAM</t>
        </is>
      </c>
      <c r="AH1087" s="305" t="n">
        <v>1</v>
      </c>
      <c r="AI1087" s="241" t="n"/>
      <c r="AJ1087" s="241" t="n"/>
      <c r="AK1087" s="244" t="n"/>
      <c r="AL1087" s="241" t="n"/>
      <c r="AM1087" s="241" t="n"/>
      <c r="AN1087" s="241" t="n"/>
      <c r="AO1087" s="241" t="n"/>
      <c r="AP1087" s="245" t="n"/>
      <c r="AQ1087" s="245" t="n"/>
      <c r="AR1087" s="241" t="inlineStr">
        <is>
          <t>Nhóm 1</t>
        </is>
      </c>
      <c r="AS1087" s="241" t="n"/>
      <c r="AT1087" s="241" t="inlineStr">
        <is>
          <t>HM32</t>
        </is>
      </c>
      <c r="AU1087" s="241" t="inlineStr">
        <is>
          <t>PYC</t>
        </is>
      </c>
      <c r="AV1087" s="241" t="n">
        <v>26</v>
      </c>
      <c r="AW1087" s="241" t="n">
        <v>1</v>
      </c>
      <c r="AX1087" s="241" t="n"/>
    </row>
    <row r="1088" ht="70" customHeight="1" s="672">
      <c r="A1088" s="56" t="inlineStr">
        <is>
          <t>BBK074</t>
        </is>
      </c>
      <c r="B1088" s="56" t="inlineStr">
        <is>
          <t>SIEUAM</t>
        </is>
      </c>
      <c r="C1088" s="56" t="inlineStr">
        <is>
          <t>BBK074.0554057</t>
        </is>
      </c>
      <c r="D1088" s="57" t="n"/>
      <c r="E1088" s="57" t="n"/>
      <c r="F1088" s="57" t="n"/>
      <c r="G1088" s="57" t="n"/>
      <c r="H1088" s="57" t="n"/>
      <c r="J1088" s="198" t="inlineStr">
        <is>
          <t>04</t>
        </is>
      </c>
      <c r="K1088" s="198" t="inlineStr">
        <is>
          <t>SIEUAM</t>
        </is>
      </c>
      <c r="L1088" s="199" t="inlineStr">
        <is>
          <t xml:space="preserve">Kiểm tra chất lượng cọc khoan nhồi bằng phương pháp siêu âm </t>
        </is>
      </c>
      <c r="M1088" s="199" t="n"/>
      <c r="N1088" s="199" t="n"/>
      <c r="O1088" s="200" t="inlineStr">
        <is>
          <t>Cầu Km19+529.080</t>
        </is>
      </c>
      <c r="P1088" s="201" t="n">
        <v>46225</v>
      </c>
      <c r="Q1088" s="201">
        <f>P1088</f>
        <v/>
      </c>
      <c r="R1088" s="201">
        <f>Q1088-1</f>
        <v/>
      </c>
      <c r="S1088" s="201">
        <f>Q1088</f>
        <v/>
      </c>
      <c r="T1088" s="208" t="n">
        <v>0.3541666666666667</v>
      </c>
      <c r="U1088" s="208">
        <f>T1088+V1088</f>
        <v/>
      </c>
      <c r="V1088" s="208" t="n">
        <v>0.0625</v>
      </c>
      <c r="W1088" s="202">
        <f>TEXT(T1088,"HH""h""MM'")&amp;"÷"&amp;TEXT(U1088,"HH""h""MM'")</f>
        <v/>
      </c>
      <c r="X1088" s="202" t="n"/>
      <c r="Y1088" s="202" t="n"/>
      <c r="Z1088" s="202" t="n"/>
      <c r="AA1088" s="203" t="inlineStr">
        <is>
          <t>Kiểm tra máy móc, thiết bị, nhân lực phục vụ kiểm tra siêu âm Cọc khoan nhồi trụ T2;
Giám sát, theo dõi quá trình thực hiện công việc siêu âm Cọc khoan nhồi trụ T2.</t>
        </is>
      </c>
      <c r="AB1088" s="205" t="n"/>
      <c r="AC1088" s="205" t="inlineStr">
        <is>
          <t>09-XL-307HG/BBNT/CKN/T2-1</t>
        </is>
      </c>
      <c r="AD1088" s="205" t="n"/>
      <c r="AE1088" s="205" t="n"/>
      <c r="AF1088" s="205" t="n"/>
      <c r="AG1088" s="205" t="n"/>
      <c r="AH1088" s="205" t="inlineStr">
        <is>
          <t>Sonic T2</t>
        </is>
      </c>
      <c r="AI1088" s="202" t="n"/>
      <c r="AJ1088" s="202" t="n"/>
      <c r="AK1088" s="206" t="n"/>
      <c r="AL1088" s="202" t="n"/>
      <c r="AM1088" s="202" t="n"/>
      <c r="AN1088" s="202" t="n"/>
      <c r="AO1088" s="202" t="n"/>
      <c r="AP1088" s="207" t="n"/>
      <c r="AQ1088" s="207" t="n"/>
      <c r="AR1088" s="202" t="inlineStr">
        <is>
          <t>Nhóm 1</t>
        </is>
      </c>
      <c r="AS1088" s="202" t="n"/>
      <c r="AT1088" s="202" t="inlineStr">
        <is>
          <t>HM32</t>
        </is>
      </c>
      <c r="AU1088" s="202" t="inlineStr">
        <is>
          <t>SIEUAM</t>
        </is>
      </c>
      <c r="AV1088" s="202" t="n">
        <v>5</v>
      </c>
      <c r="AW1088" s="202" t="n">
        <v>1</v>
      </c>
      <c r="AX1088" s="202" t="n"/>
    </row>
    <row r="1089">
      <c r="A1089" s="56" t="inlineStr">
        <is>
          <t>BBK680</t>
        </is>
      </c>
      <c r="B1089" s="56" t="inlineStr">
        <is>
          <t>PYC</t>
        </is>
      </c>
      <c r="C1089" s="56" t="inlineStr">
        <is>
          <t>BBK680.0044474</t>
        </is>
      </c>
      <c r="D1089" s="57" t="n"/>
      <c r="E1089" s="57" t="n"/>
      <c r="F1089" s="57" t="n"/>
      <c r="G1089" s="57" t="n"/>
      <c r="H1089" s="57" t="n"/>
      <c r="J1089" s="198" t="inlineStr">
        <is>
          <t>05</t>
        </is>
      </c>
      <c r="K1089" s="198" t="inlineStr">
        <is>
          <t>PYC</t>
        </is>
      </c>
      <c r="L1089" s="199">
        <f>L1090</f>
        <v/>
      </c>
      <c r="M1089" s="199" t="n"/>
      <c r="N1089" s="199" t="n"/>
      <c r="O1089" s="200" t="inlineStr">
        <is>
          <t>Cầu Km19+529.080</t>
        </is>
      </c>
      <c r="P1089" s="201" t="n"/>
      <c r="Q1089" s="201" t="n"/>
      <c r="R1089" s="201">
        <f>R1090</f>
        <v/>
      </c>
      <c r="S1089" s="201">
        <f>+R1089+1</f>
        <v/>
      </c>
      <c r="T1089" s="208" t="n"/>
      <c r="U1089" s="208" t="n"/>
      <c r="V1089" s="208" t="n"/>
      <c r="W1089" s="202" t="n"/>
      <c r="X1089" s="202" t="n"/>
      <c r="Y1089" s="202" t="n"/>
      <c r="Z1089" s="202" t="n"/>
      <c r="AA1089" s="203" t="n"/>
      <c r="AB1089" s="205" t="inlineStr">
        <is>
          <t>307HG/PYCNT/CKN/T2</t>
        </is>
      </c>
      <c r="AC1089" s="205" t="inlineStr"/>
      <c r="AD1089" s="205" t="n"/>
      <c r="AE1089" s="205" t="n"/>
      <c r="AF1089" s="205" t="n"/>
      <c r="AG1089" s="242" t="inlineStr">
        <is>
          <t>SIEUAM</t>
        </is>
      </c>
      <c r="AH1089" s="205" t="n">
        <v>2</v>
      </c>
      <c r="AI1089" s="202" t="n"/>
      <c r="AJ1089" s="202" t="n"/>
      <c r="AK1089" s="206" t="n"/>
      <c r="AL1089" s="202" t="n"/>
      <c r="AM1089" s="202" t="n"/>
      <c r="AN1089" s="202" t="n"/>
      <c r="AO1089" s="202" t="n"/>
      <c r="AP1089" s="207" t="n"/>
      <c r="AQ1089" s="207" t="n"/>
      <c r="AR1089" s="202" t="inlineStr">
        <is>
          <t>Nhóm 1</t>
        </is>
      </c>
      <c r="AS1089" s="202" t="n"/>
      <c r="AT1089" s="202" t="inlineStr">
        <is>
          <t>HM32</t>
        </is>
      </c>
      <c r="AU1089" s="202" t="inlineStr">
        <is>
          <t>PYC</t>
        </is>
      </c>
      <c r="AV1089" s="202" t="n">
        <v>27</v>
      </c>
      <c r="AW1089" s="202" t="n">
        <v>2</v>
      </c>
      <c r="AX1089" s="202" t="n"/>
    </row>
    <row r="1090" ht="56" customHeight="1" s="672">
      <c r="A1090" s="56" t="inlineStr">
        <is>
          <t>BBK074</t>
        </is>
      </c>
      <c r="B1090" s="56" t="inlineStr">
        <is>
          <t>SIEUAM</t>
        </is>
      </c>
      <c r="C1090" s="56" t="inlineStr">
        <is>
          <t>BBK074.0814128</t>
        </is>
      </c>
      <c r="D1090" s="57" t="n"/>
      <c r="E1090" s="57" t="n"/>
      <c r="F1090" s="57" t="n"/>
      <c r="G1090" s="57" t="n"/>
      <c r="H1090" s="57" t="n"/>
      <c r="J1090" s="198" t="inlineStr">
        <is>
          <t>06</t>
        </is>
      </c>
      <c r="K1090" s="198" t="inlineStr">
        <is>
          <t>SIEUAM</t>
        </is>
      </c>
      <c r="L1090" s="199" t="inlineStr">
        <is>
          <t xml:space="preserve">Khoan kiểm tra mùn đầu cọc và lấy lõi để kiểm tra </t>
        </is>
      </c>
      <c r="M1090" s="199" t="n"/>
      <c r="N1090" s="199" t="n"/>
      <c r="O1090" s="200" t="inlineStr">
        <is>
          <t>Cầu Km19+529.080</t>
        </is>
      </c>
      <c r="P1090" s="201">
        <f>P1088+1</f>
        <v/>
      </c>
      <c r="Q1090" s="201">
        <f>P1090</f>
        <v/>
      </c>
      <c r="R1090" s="201">
        <f>Q1090-1</f>
        <v/>
      </c>
      <c r="S1090" s="201">
        <f>Q1090</f>
        <v/>
      </c>
      <c r="T1090" s="208">
        <f>U1088+TIME(,45,)</f>
        <v/>
      </c>
      <c r="U1090" s="208">
        <f>T1090+V1090</f>
        <v/>
      </c>
      <c r="V1090" s="208" t="n">
        <v>0.08333333333333333</v>
      </c>
      <c r="W1090" s="202">
        <f>TEXT(T1090,"HH""h""MM'")&amp;"÷"&amp;TEXT(U1090,"HH""h""MM'")</f>
        <v/>
      </c>
      <c r="X1090" s="202" t="n"/>
      <c r="Y1090" s="202" t="n"/>
      <c r="Z1090" s="202" t="n"/>
      <c r="AA1090" s="203" t="inlineStr">
        <is>
          <t>Kiểm tra máy móc, thiết bị, nhân lực phục vụ khoan mùn và giám sát kiểm tra quá trình khoan mùn mũi Cọc khoan nhồi trụ T2.</t>
        </is>
      </c>
      <c r="AB1090" s="205" t="n"/>
      <c r="AC1090" s="205" t="inlineStr">
        <is>
          <t>09-XL-307HG/BBNT/CKN/T2-2</t>
        </is>
      </c>
      <c r="AD1090" s="205" t="n"/>
      <c r="AE1090" s="205" t="n"/>
      <c r="AF1090" s="205" t="n"/>
      <c r="AG1090" s="205" t="n"/>
      <c r="AH1090" s="205" t="inlineStr">
        <is>
          <t>Khoanmun T2</t>
        </is>
      </c>
      <c r="AI1090" s="202" t="n"/>
      <c r="AJ1090" s="202" t="n"/>
      <c r="AK1090" s="206" t="n"/>
      <c r="AL1090" s="202" t="n"/>
      <c r="AM1090" s="202" t="n"/>
      <c r="AN1090" s="202" t="n"/>
      <c r="AO1090" s="202" t="n"/>
      <c r="AP1090" s="207" t="n"/>
      <c r="AQ1090" s="207" t="n"/>
      <c r="AR1090" s="202" t="inlineStr">
        <is>
          <t>Nhóm 1</t>
        </is>
      </c>
      <c r="AS1090" s="202" t="n"/>
      <c r="AT1090" s="202" t="inlineStr">
        <is>
          <t>HM32</t>
        </is>
      </c>
      <c r="AU1090" s="202" t="inlineStr">
        <is>
          <t>SIEUAM</t>
        </is>
      </c>
      <c r="AV1090" s="202" t="n">
        <v>9</v>
      </c>
      <c r="AW1090" s="202" t="n">
        <v>2</v>
      </c>
      <c r="AX1090" s="202" t="n"/>
    </row>
    <row r="1091" ht="28" customHeight="1" s="672">
      <c r="A1091" s="56" t="inlineStr">
        <is>
          <t>BBK680</t>
        </is>
      </c>
      <c r="B1091" s="56" t="inlineStr">
        <is>
          <t>PYC</t>
        </is>
      </c>
      <c r="C1091" s="56" t="inlineStr">
        <is>
          <t>BBK680.0469948</t>
        </is>
      </c>
      <c r="D1091" s="57" t="n"/>
      <c r="E1091" s="57" t="n"/>
      <c r="F1091" s="57" t="n"/>
      <c r="G1091" s="57" t="n"/>
      <c r="H1091" s="57" t="n"/>
      <c r="J1091" s="198" t="inlineStr">
        <is>
          <t>07</t>
        </is>
      </c>
      <c r="K1091" s="198" t="inlineStr">
        <is>
          <t>PYC</t>
        </is>
      </c>
      <c r="L1091" s="199">
        <f>L1092</f>
        <v/>
      </c>
      <c r="M1091" s="199" t="n"/>
      <c r="N1091" s="199" t="n"/>
      <c r="O1091" s="200" t="n"/>
      <c r="P1091" s="201" t="n"/>
      <c r="Q1091" s="201" t="n"/>
      <c r="R1091" s="201">
        <f>R1092</f>
        <v/>
      </c>
      <c r="S1091" s="201">
        <f>+R1091+1</f>
        <v/>
      </c>
      <c r="T1091" s="208" t="n"/>
      <c r="U1091" s="208" t="n"/>
      <c r="V1091" s="208" t="n"/>
      <c r="W1091" s="202" t="n"/>
      <c r="X1091" s="202" t="n"/>
      <c r="Y1091" s="202" t="n"/>
      <c r="Z1091" s="202" t="n"/>
      <c r="AA1091" s="203" t="n"/>
      <c r="AB1091" s="205" t="inlineStr">
        <is>
          <t>307HG/PYCNT/CKN/T2</t>
        </is>
      </c>
      <c r="AC1091" s="205" t="inlineStr"/>
      <c r="AD1091" s="203" t="n"/>
      <c r="AE1091" s="203" t="n"/>
      <c r="AF1091" s="203" t="n"/>
      <c r="AG1091" s="242" t="inlineStr">
        <is>
          <t>SIEUAM</t>
        </is>
      </c>
      <c r="AH1091" s="203" t="n">
        <v>3</v>
      </c>
      <c r="AI1091" s="207" t="n"/>
      <c r="AJ1091" s="202" t="n"/>
      <c r="AK1091" s="206" t="n"/>
      <c r="AL1091" s="202" t="n"/>
      <c r="AM1091" s="202" t="n"/>
      <c r="AN1091" s="202" t="n"/>
      <c r="AO1091" s="202" t="n"/>
      <c r="AP1091" s="207" t="n"/>
      <c r="AQ1091" s="207" t="n"/>
      <c r="AR1091" s="202" t="inlineStr">
        <is>
          <t>Nhóm 1</t>
        </is>
      </c>
      <c r="AS1091" s="202" t="n"/>
      <c r="AT1091" s="202" t="inlineStr">
        <is>
          <t>HM32</t>
        </is>
      </c>
      <c r="AU1091" s="202" t="inlineStr">
        <is>
          <t>PYC</t>
        </is>
      </c>
      <c r="AV1091" s="202" t="n">
        <v>28</v>
      </c>
      <c r="AW1091" s="202" t="n">
        <v>3</v>
      </c>
      <c r="AX1091" s="202" t="n"/>
    </row>
    <row r="1092" ht="84" customHeight="1" s="672">
      <c r="A1092" s="56" t="inlineStr">
        <is>
          <t>BBK074</t>
        </is>
      </c>
      <c r="B1092" s="56" t="inlineStr">
        <is>
          <t>SIEUAM</t>
        </is>
      </c>
      <c r="C1092" s="56" t="inlineStr">
        <is>
          <t>BBK074.0545640</t>
        </is>
      </c>
      <c r="D1092" s="57" t="n"/>
      <c r="E1092" s="57" t="n"/>
      <c r="F1092" s="57" t="n"/>
      <c r="G1092" s="57" t="n"/>
      <c r="H1092" s="57" t="n"/>
      <c r="J1092" s="198" t="inlineStr">
        <is>
          <t>08</t>
        </is>
      </c>
      <c r="K1092" s="198" t="inlineStr">
        <is>
          <t>SIEUAM</t>
        </is>
      </c>
      <c r="L1092" s="199" t="inlineStr">
        <is>
          <t>Kiểm tra máy móc, thiết bị chuẩn bị bơm vữa lấp ống siêu âm</t>
        </is>
      </c>
      <c r="M1092" s="199" t="n"/>
      <c r="N1092" s="199" t="n"/>
      <c r="O1092" s="200" t="inlineStr">
        <is>
          <t>Cầu Km19+529.080</t>
        </is>
      </c>
      <c r="P1092" s="201">
        <f>P1090</f>
        <v/>
      </c>
      <c r="Q1092" s="201">
        <f>P1092</f>
        <v/>
      </c>
      <c r="R1092" s="201">
        <f>Q1092-1</f>
        <v/>
      </c>
      <c r="S1092" s="201">
        <f>Q1092</f>
        <v/>
      </c>
      <c r="T1092" s="208">
        <f>U1090+TIME(,45,)</f>
        <v/>
      </c>
      <c r="U1092" s="208">
        <f>T1092+V1092</f>
        <v/>
      </c>
      <c r="V1092" s="208" t="n">
        <v>0.04166666666666666</v>
      </c>
      <c r="W1092" s="202">
        <f>TEXT(T1092,"HH""h""MM'")&amp;"÷"&amp;TEXT(U1092,"HH""h""MM'")</f>
        <v/>
      </c>
      <c r="X1092" s="202" t="n"/>
      <c r="Y1092" s="202" t="n"/>
      <c r="Z1092" s="202" t="n"/>
      <c r="AA1092" s="203" t="inlineStr">
        <is>
          <t>Kiểm tra vật liệu, máy móc, thiết bị, nhân lực phục vụ bơm vữa lấp lòng ống siêu âm cọc khoan nhồi Trụ T2;
Giám sát, theo dỏi quá trình thực hiện công việc  bơm vữa lấp lòng ống siêu âm cọc khoan nhồi Trụ T2.</t>
        </is>
      </c>
      <c r="AB1092" s="205" t="n"/>
      <c r="AC1092" s="205" t="inlineStr">
        <is>
          <t>09-XL-307HG/BBNT/CKN/T2-3</t>
        </is>
      </c>
      <c r="AD1092" s="203" t="n"/>
      <c r="AE1092" s="203" t="n"/>
      <c r="AF1092" s="203" t="n"/>
      <c r="AG1092" s="203" t="n"/>
      <c r="AH1092" s="205" t="inlineStr">
        <is>
          <t>CBBV</t>
        </is>
      </c>
      <c r="AI1092" s="207" t="n"/>
      <c r="AJ1092" s="202" t="n"/>
      <c r="AK1092" s="206" t="n"/>
      <c r="AL1092" s="202" t="n"/>
      <c r="AM1092" s="202" t="n"/>
      <c r="AN1092" s="202" t="n"/>
      <c r="AO1092" s="202" t="n"/>
      <c r="AP1092" s="207" t="n"/>
      <c r="AQ1092" s="207" t="n"/>
      <c r="AR1092" s="202" t="inlineStr">
        <is>
          <t>Nhóm 1</t>
        </is>
      </c>
      <c r="AS1092" s="202" t="n"/>
      <c r="AT1092" s="202" t="inlineStr">
        <is>
          <t>HM32</t>
        </is>
      </c>
      <c r="AU1092" s="202" t="inlineStr">
        <is>
          <t>SIEUAM</t>
        </is>
      </c>
      <c r="AV1092" s="202" t="n">
        <v>10</v>
      </c>
      <c r="AW1092" s="202" t="n">
        <v>3</v>
      </c>
      <c r="AX1092" s="202" t="n"/>
    </row>
    <row r="1093">
      <c r="A1093" s="56" t="inlineStr">
        <is>
          <t>BBK860</t>
        </is>
      </c>
      <c r="B1093" s="56" t="inlineStr">
        <is>
          <t>PL01</t>
        </is>
      </c>
      <c r="C1093" s="56" t="inlineStr">
        <is>
          <t>BBK860.0376609</t>
        </is>
      </c>
      <c r="D1093" s="57" t="n"/>
      <c r="E1093" s="57" t="n"/>
      <c r="F1093" s="57" t="n"/>
      <c r="G1093" s="57" t="n"/>
      <c r="H1093" s="57" t="n"/>
      <c r="J1093" s="198" t="inlineStr">
        <is>
          <t>09</t>
        </is>
      </c>
      <c r="K1093" s="198" t="inlineStr">
        <is>
          <t>PL01</t>
        </is>
      </c>
      <c r="L1093" s="199" t="inlineStr">
        <is>
          <t>Phụ lục số 01</t>
        </is>
      </c>
      <c r="M1093" s="199" t="n"/>
      <c r="N1093" s="199" t="n"/>
      <c r="O1093" s="200" t="inlineStr">
        <is>
          <t>Cầu Km19+529.080</t>
        </is>
      </c>
      <c r="P1093" s="201" t="n"/>
      <c r="Q1093" s="201" t="n"/>
      <c r="R1093" s="201" t="n"/>
      <c r="S1093" s="201">
        <f>S1092</f>
        <v/>
      </c>
      <c r="T1093" s="201" t="n"/>
      <c r="U1093" s="201" t="n"/>
      <c r="V1093" s="201" t="n"/>
      <c r="W1093" s="202" t="n"/>
      <c r="X1093" s="202" t="n"/>
      <c r="Y1093" s="202" t="n"/>
      <c r="Z1093" s="198" t="inlineStr">
        <is>
          <t>01</t>
        </is>
      </c>
      <c r="AA1093" s="203" t="n"/>
      <c r="AB1093" s="203" t="n"/>
      <c r="AC1093" s="204">
        <f>AC1092</f>
        <v/>
      </c>
      <c r="AD1093" s="203" t="n"/>
      <c r="AE1093" s="203" t="n"/>
      <c r="AF1093" s="203" t="n"/>
      <c r="AG1093" s="295" t="n"/>
      <c r="AH1093" s="205" t="inlineStr">
        <is>
          <t>CBBV</t>
        </is>
      </c>
      <c r="AI1093" s="207" t="n"/>
      <c r="AJ1093" s="202" t="n"/>
      <c r="AK1093" s="206" t="n"/>
      <c r="AL1093" s="202" t="n"/>
      <c r="AM1093" s="202" t="n"/>
      <c r="AN1093" s="202" t="n"/>
      <c r="AO1093" s="202" t="n"/>
      <c r="AP1093" s="207" t="n"/>
      <c r="AQ1093" s="207" t="n"/>
      <c r="AR1093" s="202" t="inlineStr">
        <is>
          <t>Nhóm 1</t>
        </is>
      </c>
      <c r="AS1093" s="202" t="n"/>
      <c r="AT1093" s="202" t="inlineStr">
        <is>
          <t>HM32</t>
        </is>
      </c>
      <c r="AU1093" s="202" t="inlineStr">
        <is>
          <t>PL01</t>
        </is>
      </c>
      <c r="AV1093" s="202" t="n">
        <v>23</v>
      </c>
      <c r="AW1093" s="202" t="n">
        <v>1</v>
      </c>
      <c r="AX1093" s="202" t="n"/>
    </row>
    <row r="1094">
      <c r="A1094" s="56" t="inlineStr">
        <is>
          <t>BBK074</t>
        </is>
      </c>
      <c r="B1094" s="56" t="inlineStr">
        <is>
          <t>SIEUAM</t>
        </is>
      </c>
      <c r="C1094" s="56" t="inlineStr">
        <is>
          <t>BBK074.0147068</t>
        </is>
      </c>
      <c r="D1094" s="57" t="n"/>
      <c r="E1094" s="57" t="n"/>
      <c r="F1094" s="57" t="n"/>
      <c r="G1094" s="57" t="n"/>
      <c r="H1094" s="57" t="n"/>
      <c r="J1094" s="266" t="inlineStr">
        <is>
          <t>10</t>
        </is>
      </c>
      <c r="K1094" s="266" t="inlineStr">
        <is>
          <t>SIEUAM</t>
        </is>
      </c>
      <c r="L1094" s="267" t="inlineStr">
        <is>
          <t>Bơm vữa lấp lòng ống siêu âm cọc khoan nhồi</t>
        </is>
      </c>
      <c r="M1094" s="267" t="n"/>
      <c r="N1094" s="267" t="n"/>
      <c r="O1094" s="268" t="inlineStr">
        <is>
          <t>Cầu Km19+529.080</t>
        </is>
      </c>
      <c r="P1094" s="269">
        <f>P1092</f>
        <v/>
      </c>
      <c r="Q1094" s="269">
        <f>P1094</f>
        <v/>
      </c>
      <c r="R1094" s="269">
        <f>Q1094-1</f>
        <v/>
      </c>
      <c r="S1094" s="269">
        <f>Q1094</f>
        <v/>
      </c>
      <c r="T1094" s="296">
        <f>U1092+TIME(,10,)</f>
        <v/>
      </c>
      <c r="U1094" s="296">
        <f>T1094+V1094</f>
        <v/>
      </c>
      <c r="V1094" s="296" t="n">
        <v>0.1458333333333333</v>
      </c>
      <c r="W1094" s="270">
        <f>TEXT(T1094,"HH""h""MM'")&amp;"÷"&amp;TEXT(U1094,"HH""h""MM'")</f>
        <v/>
      </c>
      <c r="X1094" s="270" t="n"/>
      <c r="Y1094" s="270" t="n"/>
      <c r="Z1094" s="270" t="n"/>
      <c r="AA1094" s="271" t="n"/>
      <c r="AB1094" s="271" t="n"/>
      <c r="AC1094" s="271" t="inlineStr">
        <is>
          <t>09-XL-307HG/BBNT/CKN/T2-4</t>
        </is>
      </c>
      <c r="AD1094" s="271" t="n"/>
      <c r="AE1094" s="271" t="n"/>
      <c r="AF1094" s="271" t="n"/>
      <c r="AG1094" s="271" t="n"/>
      <c r="AH1094" s="297" t="inlineStr">
        <is>
          <t>Bomvua T2</t>
        </is>
      </c>
      <c r="AI1094" s="273" t="n"/>
      <c r="AJ1094" s="270" t="n"/>
      <c r="AK1094" s="272" t="n"/>
      <c r="AL1094" s="270" t="n"/>
      <c r="AM1094" s="270" t="n"/>
      <c r="AN1094" s="270" t="n"/>
      <c r="AO1094" s="270" t="n"/>
      <c r="AP1094" s="273" t="n"/>
      <c r="AQ1094" s="273" t="n"/>
      <c r="AR1094" s="270" t="inlineStr">
        <is>
          <t>Nhóm 1</t>
        </is>
      </c>
      <c r="AS1094" s="270" t="n"/>
      <c r="AT1094" s="270" t="inlineStr">
        <is>
          <t>HM32</t>
        </is>
      </c>
      <c r="AU1094" s="270" t="inlineStr">
        <is>
          <t>SIEUAM</t>
        </is>
      </c>
      <c r="AV1094" s="270" t="n">
        <v>11</v>
      </c>
      <c r="AW1094" s="270" t="n">
        <v>4</v>
      </c>
      <c r="AX1094" s="270" t="n"/>
    </row>
    <row r="1095">
      <c r="A1095" s="56" t="inlineStr">
        <is>
          <t>LMHT</t>
        </is>
      </c>
      <c r="B1095" s="56" t="inlineStr">
        <is>
          <t>LMHT</t>
        </is>
      </c>
      <c r="C1095" s="56" t="inlineStr">
        <is>
          <t>LMHT.0733093</t>
        </is>
      </c>
      <c r="D1095" s="57" t="inlineStr">
        <is>
          <t>TC.000041|TC.000182|TC.000169.A</t>
        </is>
      </c>
      <c r="E1095" s="57" t="n"/>
      <c r="F1095" s="57" t="inlineStr">
        <is>
          <t>CP.0001^Vữa bơm lấp ống siêu âm cọc khoan nhồi trụ T2^(40x40x160)mm^12^V30 (Mpa)^^^TC.000041|TC.000182|TC.000169.A</t>
        </is>
      </c>
      <c r="G1095" s="57" t="n"/>
      <c r="H1095" s="57" t="n"/>
      <c r="J1095" s="228" t="inlineStr">
        <is>
          <t>11</t>
        </is>
      </c>
      <c r="K1095" s="228" t="inlineStr">
        <is>
          <t>LMHT</t>
        </is>
      </c>
      <c r="L1095" s="229" t="inlineStr">
        <is>
          <t>Vữa bơm lấp ống siêu âm cọc khoan nhồi trụ T2</t>
        </is>
      </c>
      <c r="M1095" s="229" t="n"/>
      <c r="N1095" s="229" t="n"/>
      <c r="O1095" s="230">
        <f>O1094</f>
        <v/>
      </c>
      <c r="P1095" s="340" t="n"/>
      <c r="Q1095" s="340" t="n"/>
      <c r="R1095" s="340" t="n"/>
      <c r="S1095" s="340">
        <f>S1094</f>
        <v/>
      </c>
      <c r="T1095" s="341">
        <f>T1094</f>
        <v/>
      </c>
      <c r="U1095" s="341">
        <f>U1094</f>
        <v/>
      </c>
      <c r="V1095" s="341">
        <f>V1094</f>
        <v/>
      </c>
      <c r="W1095" s="233">
        <f>TEXT(T1095,"HH""h""MM'")&amp;"÷"&amp;TEXT(U1095,"HH""h""MM'")</f>
        <v/>
      </c>
      <c r="X1095" s="233" t="n"/>
      <c r="Y1095" s="233" t="n"/>
      <c r="Z1095" s="233" t="n"/>
      <c r="AA1095" s="234" t="n"/>
      <c r="AB1095" s="234" t="n"/>
      <c r="AC1095" s="236" t="n"/>
      <c r="AD1095" s="234" t="n"/>
      <c r="AE1095" s="234" t="n"/>
      <c r="AF1095" s="234" t="n"/>
      <c r="AG1095" s="234" t="n"/>
      <c r="AH1095" s="236" t="n"/>
      <c r="AI1095" s="235" t="n"/>
      <c r="AJ1095" s="233" t="n"/>
      <c r="AK1095" s="342" t="n"/>
      <c r="AL1095" s="233" t="n"/>
      <c r="AM1095" s="233" t="n"/>
      <c r="AN1095" s="233" t="n"/>
      <c r="AO1095" s="233" t="n"/>
      <c r="AP1095" s="235" t="n"/>
      <c r="AQ1095" s="235" t="n"/>
      <c r="AR1095" s="233" t="inlineStr">
        <is>
          <t>Nhóm 1</t>
        </is>
      </c>
      <c r="AS1095" s="233" t="n"/>
      <c r="AT1095" s="233" t="inlineStr">
        <is>
          <t>HM32</t>
        </is>
      </c>
      <c r="AU1095" s="233" t="inlineStr">
        <is>
          <t>LMHT</t>
        </is>
      </c>
      <c r="AV1095" s="233" t="n">
        <v>25</v>
      </c>
      <c r="AW1095" s="233" t="n">
        <v>1</v>
      </c>
      <c r="AX1095" s="233" t="n"/>
    </row>
    <row r="1096" ht="42" customHeight="1" s="672">
      <c r="A1096" s="56" t="inlineStr">
        <is>
          <t>BBK680</t>
        </is>
      </c>
      <c r="B1096" s="56" t="inlineStr">
        <is>
          <t>PYC</t>
        </is>
      </c>
      <c r="C1096" s="56" t="inlineStr">
        <is>
          <t>BBK680.0220317</t>
        </is>
      </c>
      <c r="D1096" s="57" t="n"/>
      <c r="E1096" s="57" t="n"/>
      <c r="F1096" s="57" t="n"/>
      <c r="G1096" s="57" t="n"/>
      <c r="H1096" s="57" t="n"/>
      <c r="J1096" s="343" t="inlineStr">
        <is>
          <t>12</t>
        </is>
      </c>
      <c r="K1096" s="343" t="inlineStr">
        <is>
          <t>PYC</t>
        </is>
      </c>
      <c r="L1096" s="344">
        <f>L1095</f>
        <v/>
      </c>
      <c r="M1096" s="344" t="n"/>
      <c r="N1096" s="344" t="n"/>
      <c r="O1096" s="345" t="inlineStr">
        <is>
          <t>Phòng thí nghiệm hiện trường LAS - XD 726</t>
        </is>
      </c>
      <c r="P1096" s="346" t="n"/>
      <c r="Q1096" s="346" t="n"/>
      <c r="R1096" s="346">
        <f>S1096-1</f>
        <v/>
      </c>
      <c r="S1096" s="346">
        <f>S1095+7</f>
        <v/>
      </c>
      <c r="T1096" s="347" t="n">
        <v>0.3541666666666667</v>
      </c>
      <c r="U1096" s="347">
        <f>T1096+V1096</f>
        <v/>
      </c>
      <c r="V1096" s="347" t="n">
        <v>0.0625</v>
      </c>
      <c r="W1096" s="348">
        <f>TEXT(T1096,"HH""h""MM'")&amp;"÷"&amp;TEXT(U1096,"HH""h""MM'")</f>
        <v/>
      </c>
      <c r="X1096" s="348" t="n"/>
      <c r="Y1096" s="348" t="n"/>
      <c r="Z1096" s="348" t="n"/>
      <c r="AA1096" s="349" t="inlineStr">
        <is>
          <t>Giám sát công tác nén mẫu R7 vữa xi măng lấp lòng ống siêu âm Cọc khoan nhồi Trụ T2.</t>
        </is>
      </c>
      <c r="AB1096" s="350" t="inlineStr">
        <is>
          <t>307HG/PYCNT/CKN/T2</t>
        </is>
      </c>
      <c r="AC1096" s="351" t="n"/>
      <c r="AD1096" s="349" t="n"/>
      <c r="AE1096" s="349" t="n"/>
      <c r="AF1096" s="349" t="n"/>
      <c r="AG1096" s="349" t="inlineStr">
        <is>
          <t>PYC</t>
        </is>
      </c>
      <c r="AH1096" s="349" t="n">
        <v>4</v>
      </c>
      <c r="AI1096" s="352" t="n"/>
      <c r="AJ1096" s="348" t="n"/>
      <c r="AK1096" s="353" t="n"/>
      <c r="AL1096" s="348" t="n"/>
      <c r="AM1096" s="348" t="n"/>
      <c r="AN1096" s="348" t="n"/>
      <c r="AO1096" s="348" t="n"/>
      <c r="AP1096" s="352" t="n"/>
      <c r="AQ1096" s="352" t="n"/>
      <c r="AR1096" s="348" t="inlineStr">
        <is>
          <t>Nhóm 1</t>
        </is>
      </c>
      <c r="AS1096" s="348" t="n"/>
      <c r="AT1096" s="348" t="inlineStr">
        <is>
          <t>HM32</t>
        </is>
      </c>
      <c r="AU1096" s="348" t="inlineStr">
        <is>
          <t>PYC</t>
        </is>
      </c>
      <c r="AV1096" s="348" t="n">
        <v>35</v>
      </c>
      <c r="AW1096" s="348" t="n">
        <v>4</v>
      </c>
      <c r="AX1096" s="348" t="n"/>
    </row>
    <row r="1097" ht="42" customHeight="1" s="672">
      <c r="A1097" s="56" t="inlineStr">
        <is>
          <t>BBK680</t>
        </is>
      </c>
      <c r="B1097" s="56" t="inlineStr">
        <is>
          <t>PYC</t>
        </is>
      </c>
      <c r="C1097" s="56" t="inlineStr">
        <is>
          <t>BBK680.0210244</t>
        </is>
      </c>
      <c r="D1097" s="57" t="n"/>
      <c r="E1097" s="57" t="n"/>
      <c r="F1097" s="57" t="n"/>
      <c r="G1097" s="57" t="n"/>
      <c r="H1097" s="57" t="n"/>
      <c r="J1097" s="354" t="inlineStr">
        <is>
          <t>13</t>
        </is>
      </c>
      <c r="K1097" s="354" t="inlineStr">
        <is>
          <t>PYC</t>
        </is>
      </c>
      <c r="L1097" s="355">
        <f>L1096</f>
        <v/>
      </c>
      <c r="M1097" s="355" t="n"/>
      <c r="N1097" s="355" t="n"/>
      <c r="O1097" s="356">
        <f>O1096</f>
        <v/>
      </c>
      <c r="P1097" s="357" t="n"/>
      <c r="Q1097" s="357" t="n"/>
      <c r="R1097" s="357">
        <f>S1097-1</f>
        <v/>
      </c>
      <c r="S1097" s="357">
        <f>S1095+28</f>
        <v/>
      </c>
      <c r="T1097" s="358" t="n">
        <v>0.3958333333333333</v>
      </c>
      <c r="U1097" s="358">
        <f>T1097+V1097</f>
        <v/>
      </c>
      <c r="V1097" s="358" t="n">
        <v>0.0625</v>
      </c>
      <c r="W1097" s="359">
        <f>TEXT(T1097,"HH""h""MM'")&amp;"÷"&amp;TEXT(U1097,"HH""h""MM'")</f>
        <v/>
      </c>
      <c r="X1097" s="359" t="n"/>
      <c r="Y1097" s="359" t="n"/>
      <c r="Z1097" s="359" t="n"/>
      <c r="AA1097" s="360" t="inlineStr">
        <is>
          <t>Giám sát công tác nén mẫu R28 vữa xi măng lấp lòng ống siêu âm Cọc khoan nhồi Trụ T2.</t>
        </is>
      </c>
      <c r="AB1097" s="361" t="inlineStr">
        <is>
          <t>307HG/PYCNT/CKN/T2</t>
        </is>
      </c>
      <c r="AC1097" s="360" t="inlineStr"/>
      <c r="AD1097" s="360" t="n"/>
      <c r="AE1097" s="360" t="n"/>
      <c r="AF1097" s="360" t="n"/>
      <c r="AG1097" s="360" t="inlineStr">
        <is>
          <t>PYC</t>
        </is>
      </c>
      <c r="AH1097" s="360" t="n">
        <v>5</v>
      </c>
      <c r="AI1097" s="362" t="n"/>
      <c r="AJ1097" s="359" t="n"/>
      <c r="AK1097" s="363" t="n"/>
      <c r="AL1097" s="359" t="n"/>
      <c r="AM1097" s="359" t="n"/>
      <c r="AN1097" s="359" t="n"/>
      <c r="AO1097" s="359" t="n"/>
      <c r="AP1097" s="362" t="n"/>
      <c r="AQ1097" s="362" t="n"/>
      <c r="AR1097" s="359" t="inlineStr">
        <is>
          <t>Nhóm 1</t>
        </is>
      </c>
      <c r="AS1097" s="359" t="n"/>
      <c r="AT1097" s="359" t="inlineStr">
        <is>
          <t>HM32</t>
        </is>
      </c>
      <c r="AU1097" s="359" t="inlineStr">
        <is>
          <t>PYC</t>
        </is>
      </c>
      <c r="AV1097" s="359" t="n">
        <v>83</v>
      </c>
      <c r="AW1097" s="359" t="n">
        <v>5</v>
      </c>
      <c r="AX1097" s="359" t="n"/>
    </row>
    <row r="1098" ht="28" customHeight="1" s="672">
      <c r="A1098" s="56" t="inlineStr">
        <is>
          <t>NTGD</t>
        </is>
      </c>
      <c r="B1098" s="56" t="inlineStr">
        <is>
          <t>NTGD</t>
        </is>
      </c>
      <c r="C1098" s="56" t="inlineStr">
        <is>
          <t>NTGD.0323166</t>
        </is>
      </c>
      <c r="D1098" s="57" t="n"/>
      <c r="E1098" s="57" t="n"/>
      <c r="F1098" s="57" t="n"/>
      <c r="G1098" s="57" t="n"/>
      <c r="H1098" s="57" t="n"/>
      <c r="J1098" s="364" t="inlineStr">
        <is>
          <t>14</t>
        </is>
      </c>
      <c r="K1098" s="364" t="inlineStr">
        <is>
          <t>NTGD</t>
        </is>
      </c>
      <c r="L1098" s="365" t="inlineStr">
        <is>
          <t>Cọc khoan nhồi Trụ T2</t>
        </is>
      </c>
      <c r="M1098" s="365" t="n"/>
      <c r="N1098" s="365" t="n"/>
      <c r="O1098" s="366" t="inlineStr">
        <is>
          <t>Cầu Km19+529.080</t>
        </is>
      </c>
      <c r="P1098" s="367" t="n"/>
      <c r="Q1098" s="367" t="n"/>
      <c r="R1098" s="367">
        <f>S1096</f>
        <v/>
      </c>
      <c r="S1098" s="367">
        <f>R1098+1</f>
        <v/>
      </c>
      <c r="T1098" s="368" t="n">
        <v>0.3541666666666667</v>
      </c>
      <c r="U1098" s="368">
        <f>T1098+V1098</f>
        <v/>
      </c>
      <c r="V1098" s="368" t="n">
        <v>0.04166666666666666</v>
      </c>
      <c r="W1098" s="369">
        <f>TEXT(T1098,"HH""h""MM'")&amp;"÷"&amp;TEXT(U1098,"HH""h""MM'")</f>
        <v/>
      </c>
      <c r="X1098" s="369" t="n"/>
      <c r="Y1098" s="369" t="n"/>
      <c r="Z1098" s="369" t="n"/>
      <c r="AA1098" s="370" t="inlineStr">
        <is>
          <t>Nghiệm thu chuyển giai đoạn Cọc khoan nhồi Trụ T2 sang Bệ Trụ T2</t>
        </is>
      </c>
      <c r="AB1098" s="371" t="inlineStr">
        <is>
          <t>09-XL-307HG/PYCNT/CKN-CGĐ/T2</t>
        </is>
      </c>
      <c r="AC1098" s="371" t="inlineStr">
        <is>
          <t>09-XL-307HG/NTGĐ/CKN/T2</t>
        </is>
      </c>
      <c r="AD1098" s="371" t="n"/>
      <c r="AE1098" s="371" t="n"/>
      <c r="AF1098" s="371" t="n"/>
      <c r="AG1098" s="371" t="n"/>
      <c r="AH1098" s="371" t="n"/>
      <c r="AI1098" s="369" t="n"/>
      <c r="AJ1098" s="369" t="n"/>
      <c r="AK1098" s="372" t="n"/>
      <c r="AL1098" s="369" t="n"/>
      <c r="AM1098" s="369" t="n"/>
      <c r="AN1098" s="369" t="n"/>
      <c r="AO1098" s="369" t="n"/>
      <c r="AP1098" s="373" t="n"/>
      <c r="AQ1098" s="373" t="n"/>
      <c r="AR1098" s="369" t="inlineStr">
        <is>
          <t>Nhóm 1</t>
        </is>
      </c>
      <c r="AS1098" s="369" t="n"/>
      <c r="AT1098" s="369" t="inlineStr">
        <is>
          <t>HM32</t>
        </is>
      </c>
      <c r="AU1098" s="369" t="inlineStr">
        <is>
          <t>NTGD</t>
        </is>
      </c>
      <c r="AV1098" s="369" t="n">
        <v>2</v>
      </c>
      <c r="AW1098" s="369" t="n">
        <v>1</v>
      </c>
      <c r="AX1098" s="369" t="n"/>
    </row>
    <row r="1099">
      <c r="A1099" s="56" t="inlineStr">
        <is>
          <t>BBK697</t>
        </is>
      </c>
      <c r="B1099" s="56" t="inlineStr">
        <is>
          <t>PLKL</t>
        </is>
      </c>
      <c r="C1099" s="56" t="inlineStr">
        <is>
          <t>BBK697.0423793</t>
        </is>
      </c>
      <c r="D1099" s="57" t="n"/>
      <c r="E1099" s="57" t="n"/>
      <c r="F1099" s="57" t="n"/>
      <c r="G1099" s="57" t="n"/>
      <c r="H1099" s="57" t="n"/>
      <c r="J1099" s="374" t="inlineStr">
        <is>
          <t>15</t>
        </is>
      </c>
      <c r="K1099" s="374" t="inlineStr">
        <is>
          <t>PLKL</t>
        </is>
      </c>
      <c r="L1099" s="375" t="inlineStr">
        <is>
          <t>Phụ lục khối lượng</t>
        </is>
      </c>
      <c r="M1099" s="375" t="n"/>
      <c r="N1099" s="317" t="inlineStr">
        <is>
          <t>Cầu Km19+529.080</t>
        </is>
      </c>
      <c r="O1099" s="318" t="inlineStr">
        <is>
          <t>Cọc khoan nhồi Trụ T2</t>
        </is>
      </c>
      <c r="P1099" s="376" t="n"/>
      <c r="Q1099" s="376" t="n"/>
      <c r="R1099" s="376" t="n"/>
      <c r="S1099" s="376">
        <f>S1098</f>
        <v/>
      </c>
      <c r="T1099" s="377" t="n"/>
      <c r="U1099" s="377" t="n"/>
      <c r="V1099" s="377" t="n"/>
      <c r="W1099" s="378" t="n"/>
      <c r="X1099" s="378" t="n"/>
      <c r="Y1099" s="378" t="n"/>
      <c r="Z1099" s="378" t="n"/>
      <c r="AA1099" s="379" t="n"/>
      <c r="AB1099" s="326" t="n"/>
      <c r="AC1099" s="326">
        <f>AC1098</f>
        <v/>
      </c>
      <c r="AD1099" s="326" t="n"/>
      <c r="AE1099" s="326" t="n"/>
      <c r="AF1099" s="326" t="n"/>
      <c r="AG1099" s="326" t="n"/>
      <c r="AH1099" s="326" t="inlineStr">
        <is>
          <t>T2</t>
        </is>
      </c>
      <c r="AI1099" s="378" t="n"/>
      <c r="AJ1099" s="378" t="n"/>
      <c r="AK1099" s="380" t="n"/>
      <c r="AL1099" s="378" t="n"/>
      <c r="AM1099" s="378" t="n"/>
      <c r="AN1099" s="378" t="n"/>
      <c r="AO1099" s="378" t="n"/>
      <c r="AP1099" s="381" t="n"/>
      <c r="AQ1099" s="381" t="n"/>
      <c r="AR1099" s="378" t="inlineStr">
        <is>
          <t>Nhóm 1</t>
        </is>
      </c>
      <c r="AS1099" s="378" t="n"/>
      <c r="AT1099" s="378" t="inlineStr">
        <is>
          <t>HM32</t>
        </is>
      </c>
      <c r="AU1099" s="378" t="inlineStr">
        <is>
          <t>PLKL</t>
        </is>
      </c>
      <c r="AV1099" s="378" t="n">
        <v>2</v>
      </c>
      <c r="AW1099" s="378" t="n">
        <v>1</v>
      </c>
      <c r="AX1099" s="378" t="n"/>
    </row>
    <row r="1100">
      <c r="A1100" s="56" t="inlineStr">
        <is>
          <t>BBK157</t>
        </is>
      </c>
      <c r="B1100" s="56" t="inlineStr">
        <is>
          <t>DG</t>
        </is>
      </c>
      <c r="C1100" s="56" t="inlineStr">
        <is>
          <t>BBK157.0741235</t>
        </is>
      </c>
      <c r="D1100" s="57" t="n"/>
      <c r="E1100" s="57" t="n"/>
      <c r="F1100" s="57" t="n"/>
      <c r="G1100" s="57" t="n"/>
      <c r="H1100" s="57" t="n"/>
      <c r="J1100" s="316" t="inlineStr">
        <is>
          <t>16</t>
        </is>
      </c>
      <c r="K1100" s="316" t="inlineStr">
        <is>
          <t>DG</t>
        </is>
      </c>
      <c r="L1100" s="317" t="inlineStr">
        <is>
          <t>Bảng diễn giải KL</t>
        </is>
      </c>
      <c r="M1100" s="317" t="n"/>
      <c r="N1100" s="317" t="inlineStr">
        <is>
          <t>Cầu Km19+529.080</t>
        </is>
      </c>
      <c r="O1100" s="318" t="inlineStr">
        <is>
          <t>Cọc khoan nhồi Trụ T2</t>
        </is>
      </c>
      <c r="P1100" s="319" t="n"/>
      <c r="Q1100" s="319" t="n"/>
      <c r="R1100" s="319" t="n"/>
      <c r="S1100" s="319">
        <f>+S1099</f>
        <v/>
      </c>
      <c r="T1100" s="320" t="n"/>
      <c r="U1100" s="320" t="n"/>
      <c r="V1100" s="320" t="n"/>
      <c r="W1100" s="321" t="n"/>
      <c r="X1100" s="321" t="n"/>
      <c r="Y1100" s="321" t="n"/>
      <c r="Z1100" s="321" t="n"/>
      <c r="AA1100" s="322" t="n"/>
      <c r="AB1100" s="323" t="n"/>
      <c r="AC1100" s="326">
        <f>AC1099</f>
        <v/>
      </c>
      <c r="AD1100" s="323" t="n"/>
      <c r="AE1100" s="323" t="n"/>
      <c r="AF1100" s="323" t="n"/>
      <c r="AG1100" s="323" t="n"/>
      <c r="AH1100" s="323" t="inlineStr">
        <is>
          <t>CKN-T2</t>
        </is>
      </c>
      <c r="AI1100" s="321" t="n"/>
      <c r="AJ1100" s="321" t="n"/>
      <c r="AK1100" s="324" t="n"/>
      <c r="AL1100" s="321" t="n"/>
      <c r="AM1100" s="321" t="n"/>
      <c r="AN1100" s="321" t="n">
        <v>1</v>
      </c>
      <c r="AO1100" s="321" t="n"/>
      <c r="AP1100" s="325" t="n"/>
      <c r="AQ1100" s="325" t="n"/>
      <c r="AR1100" s="321" t="inlineStr">
        <is>
          <t>Nhóm 1</t>
        </is>
      </c>
      <c r="AS1100" s="321" t="n"/>
      <c r="AT1100" s="321" t="inlineStr">
        <is>
          <t>HM32</t>
        </is>
      </c>
      <c r="AU1100" s="321" t="inlineStr">
        <is>
          <t>DG</t>
        </is>
      </c>
      <c r="AV1100" s="321" t="n">
        <v>2</v>
      </c>
      <c r="AW1100" s="321" t="n">
        <v>1</v>
      </c>
      <c r="AX1100" s="321" t="n"/>
    </row>
    <row r="1101">
      <c r="A1101" s="56" t="inlineStr">
        <is>
          <t>HM</t>
        </is>
      </c>
      <c r="B1101" s="56" t="inlineStr">
        <is>
          <t>HM</t>
        </is>
      </c>
      <c r="C1101" s="56" t="inlineStr">
        <is>
          <t>HM.0118437</t>
        </is>
      </c>
      <c r="D1101" s="57" t="n"/>
      <c r="E1101" s="57" t="n"/>
      <c r="F1101" s="57" t="n"/>
      <c r="G1101" s="57" t="n"/>
      <c r="H1101" s="57" t="n"/>
      <c r="J1101" s="246" t="inlineStr">
        <is>
          <t>HM33</t>
        </is>
      </c>
      <c r="K1101" s="246" t="inlineStr">
        <is>
          <t>HM</t>
        </is>
      </c>
      <c r="L1101" s="247" t="inlineStr">
        <is>
          <t>Cọc Khoan Nhồi Mố M2</t>
        </is>
      </c>
      <c r="M1101" s="247" t="n"/>
      <c r="N1101" s="247" t="n"/>
      <c r="O1101" s="248" t="inlineStr">
        <is>
          <t>Cầu Km19+529.080</t>
        </is>
      </c>
      <c r="P1101" s="249" t="n"/>
      <c r="Q1101" s="249" t="n"/>
      <c r="R1101" s="249" t="n"/>
      <c r="S1101" s="249" t="n"/>
      <c r="T1101" s="294" t="n"/>
      <c r="U1101" s="294" t="n"/>
      <c r="V1101" s="294" t="n"/>
      <c r="W1101" s="250" t="n"/>
      <c r="X1101" s="250" t="n"/>
      <c r="Y1101" s="250" t="n"/>
      <c r="Z1101" s="250" t="n"/>
      <c r="AA1101" s="251" t="n"/>
      <c r="AB1101" s="252" t="n"/>
      <c r="AC1101" s="252" t="inlineStr"/>
      <c r="AD1101" s="252" t="n"/>
      <c r="AE1101" s="252" t="n"/>
      <c r="AF1101" s="252" t="n"/>
      <c r="AG1101" s="252" t="n"/>
      <c r="AH1101" s="252" t="n"/>
      <c r="AI1101" s="250" t="n"/>
      <c r="AJ1101" s="250" t="n"/>
      <c r="AK1101" s="253" t="n"/>
      <c r="AL1101" s="250" t="n"/>
      <c r="AM1101" s="250" t="n"/>
      <c r="AN1101" s="250" t="n"/>
      <c r="AO1101" s="250" t="n"/>
      <c r="AP1101" s="254" t="n"/>
      <c r="AQ1101" s="254" t="n"/>
      <c r="AR1101" s="250" t="n"/>
      <c r="AS1101" s="250" t="n"/>
      <c r="AT1101" s="250" t="inlineStr">
        <is>
          <t>HM33</t>
        </is>
      </c>
      <c r="AU1101" s="250" t="inlineStr">
        <is>
          <t>HM</t>
        </is>
      </c>
      <c r="AV1101" s="250" t="n"/>
      <c r="AW1101" s="250" t="n"/>
      <c r="AX1101" s="250" t="n"/>
    </row>
    <row r="1102" ht="28" customFormat="1" customHeight="1" s="70">
      <c r="A1102" s="68" t="inlineStr">
        <is>
          <t>BBK_BIA</t>
        </is>
      </c>
      <c r="B1102" s="68" t="inlineStr">
        <is>
          <t>TRANGBIA</t>
        </is>
      </c>
      <c r="C1102" s="68" t="inlineStr">
        <is>
          <t>BBK_BIA.0435745</t>
        </is>
      </c>
      <c r="D1102" s="69" t="n"/>
      <c r="E1102" s="69" t="n"/>
      <c r="F1102" s="69" t="n"/>
      <c r="G1102" s="69" t="n"/>
      <c r="H1102" s="69" t="n"/>
      <c r="J1102" s="327" t="inlineStr">
        <is>
          <t>01</t>
        </is>
      </c>
      <c r="K1102" s="327" t="inlineStr">
        <is>
          <t>TRANGBIA</t>
        </is>
      </c>
      <c r="L1102" s="328">
        <f>"Cọc Khoan Nhồi"&amp;" - "&amp;L1101</f>
        <v/>
      </c>
      <c r="M1102" s="328" t="n"/>
      <c r="N1102" s="328" t="n"/>
      <c r="O1102" s="329" t="inlineStr">
        <is>
          <t>Cầu Km19+529.080</t>
        </is>
      </c>
      <c r="P1102" s="330" t="n"/>
      <c r="Q1102" s="330" t="n"/>
      <c r="R1102" s="330" t="n"/>
      <c r="S1102" s="330" t="n"/>
      <c r="T1102" s="330" t="n"/>
      <c r="U1102" s="330" t="n"/>
      <c r="V1102" s="330" t="n"/>
      <c r="W1102" s="331" t="n"/>
      <c r="X1102" s="331" t="n"/>
      <c r="Y1102" s="331" t="n"/>
      <c r="Z1102" s="331" t="n"/>
      <c r="AA1102" s="331" t="n"/>
      <c r="AB1102" s="331" t="n"/>
      <c r="AC1102" s="331" t="inlineStr"/>
      <c r="AD1102" s="331" t="n"/>
      <c r="AE1102" s="331" t="n"/>
      <c r="AF1102" s="331" t="n"/>
      <c r="AG1102" s="331" t="n"/>
      <c r="AH1102" s="331" t="n"/>
      <c r="AI1102" s="331" t="n"/>
      <c r="AJ1102" s="331" t="n"/>
      <c r="AK1102" s="329" t="n"/>
      <c r="AL1102" s="331" t="n"/>
      <c r="AM1102" s="331" t="n"/>
      <c r="AN1102" s="331" t="n"/>
      <c r="AO1102" s="331" t="n"/>
      <c r="AP1102" s="332" t="inlineStr">
        <is>
          <t>Kết cấu cọc khoan nhồi mố, trụ</t>
        </is>
      </c>
      <c r="AQ1102" s="333" t="n"/>
      <c r="AR1102" s="331" t="inlineStr">
        <is>
          <t>Nhóm 1</t>
        </is>
      </c>
      <c r="AS1102" s="331" t="n"/>
      <c r="AT1102" s="331" t="inlineStr">
        <is>
          <t>HM33</t>
        </is>
      </c>
      <c r="AU1102" s="331" t="inlineStr">
        <is>
          <t>TRANGBIA</t>
        </is>
      </c>
      <c r="AV1102" s="331" t="n">
        <v>33</v>
      </c>
      <c r="AW1102" s="331" t="n">
        <v>1</v>
      </c>
      <c r="AX1102" s="331" t="n"/>
    </row>
    <row r="1103" customFormat="1" s="70">
      <c r="A1103" s="68" t="inlineStr">
        <is>
          <t>BBK_ML</t>
        </is>
      </c>
      <c r="B1103" s="68" t="inlineStr">
        <is>
          <t>MUCLUC</t>
        </is>
      </c>
      <c r="C1103" s="68" t="inlineStr">
        <is>
          <t>BBK_ML.0824579</t>
        </is>
      </c>
      <c r="D1103" s="69" t="n"/>
      <c r="E1103" s="69" t="n"/>
      <c r="F1103" s="69" t="n"/>
      <c r="G1103" s="69" t="n"/>
      <c r="H1103" s="69" t="n"/>
      <c r="J1103" s="334" t="inlineStr">
        <is>
          <t>02</t>
        </is>
      </c>
      <c r="K1103" s="334" t="inlineStr">
        <is>
          <t>MUCLUC</t>
        </is>
      </c>
      <c r="L1103" s="335" t="inlineStr">
        <is>
          <t>Danh mục biên bản Kiểm tra/Nghiệm thu</t>
        </is>
      </c>
      <c r="M1103" s="335" t="n"/>
      <c r="N1103" s="335" t="n"/>
      <c r="O1103" s="336" t="inlineStr">
        <is>
          <t>Cầu Km19+529.080</t>
        </is>
      </c>
      <c r="P1103" s="337" t="n"/>
      <c r="Q1103" s="337" t="n"/>
      <c r="R1103" s="337" t="n"/>
      <c r="S1103" s="337" t="n"/>
      <c r="T1103" s="337" t="n"/>
      <c r="U1103" s="337" t="n"/>
      <c r="V1103" s="337" t="n"/>
      <c r="W1103" s="338" t="n"/>
      <c r="X1103" s="338" t="n"/>
      <c r="Y1103" s="338" t="n"/>
      <c r="Z1103" s="338" t="n"/>
      <c r="AA1103" s="338" t="n"/>
      <c r="AB1103" s="338" t="n"/>
      <c r="AC1103" s="338" t="inlineStr"/>
      <c r="AD1103" s="338" t="n"/>
      <c r="AE1103" s="338" t="n"/>
      <c r="AF1103" s="338" t="n"/>
      <c r="AG1103" s="338" t="n"/>
      <c r="AH1103" s="338" t="n"/>
      <c r="AI1103" s="338" t="n"/>
      <c r="AJ1103" s="338" t="n"/>
      <c r="AK1103" s="336" t="n"/>
      <c r="AL1103" s="338" t="n"/>
      <c r="AM1103" s="338" t="n"/>
      <c r="AN1103" s="338" t="n"/>
      <c r="AO1103" s="338" t="n"/>
      <c r="AP1103" s="339" t="n"/>
      <c r="AQ1103" s="339" t="n"/>
      <c r="AR1103" s="338" t="inlineStr">
        <is>
          <t>Nhóm 1</t>
        </is>
      </c>
      <c r="AS1103" s="338" t="n"/>
      <c r="AT1103" s="338" t="inlineStr">
        <is>
          <t>HM33</t>
        </is>
      </c>
      <c r="AU1103" s="338" t="inlineStr">
        <is>
          <t>MUCLUC</t>
        </is>
      </c>
      <c r="AV1103" s="338" t="n">
        <v>33</v>
      </c>
      <c r="AW1103" s="338" t="n">
        <v>1</v>
      </c>
      <c r="AX1103" s="338" t="n"/>
    </row>
    <row r="1104" ht="28" customHeight="1" s="672">
      <c r="A1104" s="56" t="inlineStr">
        <is>
          <t>BBK680</t>
        </is>
      </c>
      <c r="B1104" s="56" t="inlineStr">
        <is>
          <t>PYC</t>
        </is>
      </c>
      <c r="C1104" s="56" t="inlineStr">
        <is>
          <t>BBK680.0573299</t>
        </is>
      </c>
      <c r="D1104" s="57" t="n"/>
      <c r="E1104" s="57" t="n"/>
      <c r="F1104" s="57" t="n"/>
      <c r="G1104" s="57" t="n"/>
      <c r="H1104" s="57" t="n"/>
      <c r="J1104" s="237" t="inlineStr">
        <is>
          <t>03</t>
        </is>
      </c>
      <c r="K1104" s="237" t="inlineStr">
        <is>
          <t>PYC</t>
        </is>
      </c>
      <c r="L1104" s="238">
        <f>L1105</f>
        <v/>
      </c>
      <c r="M1104" s="238" t="n"/>
      <c r="N1104" s="238" t="n"/>
      <c r="O1104" s="239" t="inlineStr">
        <is>
          <t>Cầu Km19+529.080</t>
        </is>
      </c>
      <c r="P1104" s="240" t="n"/>
      <c r="Q1104" s="240" t="n"/>
      <c r="R1104" s="240">
        <f>R1105</f>
        <v/>
      </c>
      <c r="S1104" s="240">
        <f>+R1104+1</f>
        <v/>
      </c>
      <c r="T1104" s="304" t="n"/>
      <c r="U1104" s="304" t="n"/>
      <c r="V1104" s="304" t="n"/>
      <c r="W1104" s="241" t="n"/>
      <c r="X1104" s="241" t="n"/>
      <c r="Y1104" s="241" t="n"/>
      <c r="Z1104" s="241" t="n"/>
      <c r="AA1104" s="242" t="n"/>
      <c r="AB1104" s="305" t="inlineStr">
        <is>
          <t>307HG/PYCNT/CKN/T2</t>
        </is>
      </c>
      <c r="AC1104" s="305" t="inlineStr"/>
      <c r="AD1104" s="305" t="n"/>
      <c r="AE1104" s="305" t="n"/>
      <c r="AF1104" s="305" t="n"/>
      <c r="AG1104" s="242" t="inlineStr">
        <is>
          <t>SIEUAM</t>
        </is>
      </c>
      <c r="AH1104" s="305" t="n">
        <v>1</v>
      </c>
      <c r="AI1104" s="241" t="n"/>
      <c r="AJ1104" s="241" t="n"/>
      <c r="AK1104" s="244" t="n"/>
      <c r="AL1104" s="241" t="n"/>
      <c r="AM1104" s="241" t="n"/>
      <c r="AN1104" s="241" t="n"/>
      <c r="AO1104" s="241" t="n"/>
      <c r="AP1104" s="245" t="n"/>
      <c r="AQ1104" s="245" t="n"/>
      <c r="AR1104" s="241" t="inlineStr">
        <is>
          <t>Nhóm 1</t>
        </is>
      </c>
      <c r="AS1104" s="241" t="n"/>
      <c r="AT1104" s="241" t="inlineStr">
        <is>
          <t>HM33</t>
        </is>
      </c>
      <c r="AU1104" s="241" t="inlineStr">
        <is>
          <t>PYC</t>
        </is>
      </c>
      <c r="AV1104" s="241" t="n">
        <v>36</v>
      </c>
      <c r="AW1104" s="241" t="n">
        <v>1</v>
      </c>
      <c r="AX1104" s="241" t="n"/>
    </row>
    <row r="1105" ht="70" customHeight="1" s="672">
      <c r="A1105" s="56" t="inlineStr">
        <is>
          <t>BBK074</t>
        </is>
      </c>
      <c r="B1105" s="56" t="inlineStr">
        <is>
          <t>SIEUAM</t>
        </is>
      </c>
      <c r="C1105" s="56" t="inlineStr">
        <is>
          <t>BBK074.0768974</t>
        </is>
      </c>
      <c r="D1105" s="57" t="n"/>
      <c r="E1105" s="57" t="n"/>
      <c r="F1105" s="57" t="n"/>
      <c r="G1105" s="57" t="n"/>
      <c r="H1105" s="57" t="n"/>
      <c r="J1105" s="198" t="inlineStr">
        <is>
          <t>04</t>
        </is>
      </c>
      <c r="K1105" s="198" t="inlineStr">
        <is>
          <t>SIEUAM</t>
        </is>
      </c>
      <c r="L1105" s="199" t="inlineStr">
        <is>
          <t xml:space="preserve">Kiểm tra chất lượng cọc khoan nhồi bằng phương pháp siêu âm </t>
        </is>
      </c>
      <c r="M1105" s="199" t="n"/>
      <c r="N1105" s="199" t="n"/>
      <c r="O1105" s="200" t="inlineStr">
        <is>
          <t>Cầu Km19+529.080</t>
        </is>
      </c>
      <c r="P1105" s="201">
        <f>P1022</f>
        <v/>
      </c>
      <c r="Q1105" s="201">
        <f>P1105</f>
        <v/>
      </c>
      <c r="R1105" s="201">
        <f>Q1105-1</f>
        <v/>
      </c>
      <c r="S1105" s="201">
        <f>Q1105</f>
        <v/>
      </c>
      <c r="T1105" s="208" t="n">
        <v>0.3541666666666667</v>
      </c>
      <c r="U1105" s="208">
        <f>T1105+V1105</f>
        <v/>
      </c>
      <c r="V1105" s="208" t="n">
        <v>0.0625</v>
      </c>
      <c r="W1105" s="202">
        <f>TEXT(T1105,"HH""h""MM'")&amp;"÷"&amp;TEXT(U1105,"HH""h""MM'")</f>
        <v/>
      </c>
      <c r="X1105" s="202" t="n"/>
      <c r="Y1105" s="202" t="n"/>
      <c r="Z1105" s="202" t="n"/>
      <c r="AA1105" s="203" t="inlineStr">
        <is>
          <t>Kiểm tra máy móc, thiết bị, nhân lực phục vụ kiểm tra siêu âm Cọc khoan nhồi mố M2;
Giám sát, theo dõi quá trình thực hiện công việc siêu âm Cọc khoan nhồi mố M2.</t>
        </is>
      </c>
      <c r="AB1105" s="205" t="n"/>
      <c r="AC1105" s="205" t="inlineStr">
        <is>
          <t>09-XL-307HG/BBNT/CKN/M2-1</t>
        </is>
      </c>
      <c r="AD1105" s="205" t="n"/>
      <c r="AE1105" s="205" t="n"/>
      <c r="AF1105" s="205" t="n"/>
      <c r="AG1105" s="205" t="n"/>
      <c r="AH1105" s="205" t="inlineStr">
        <is>
          <t>Sonic T2</t>
        </is>
      </c>
      <c r="AI1105" s="202" t="n"/>
      <c r="AJ1105" s="202" t="n"/>
      <c r="AK1105" s="206" t="n"/>
      <c r="AL1105" s="202" t="n"/>
      <c r="AM1105" s="202" t="n"/>
      <c r="AN1105" s="202" t="n"/>
      <c r="AO1105" s="202" t="n"/>
      <c r="AP1105" s="207" t="n"/>
      <c r="AQ1105" s="207" t="n"/>
      <c r="AR1105" s="202" t="inlineStr">
        <is>
          <t>Nhóm 1</t>
        </is>
      </c>
      <c r="AS1105" s="202" t="n"/>
      <c r="AT1105" s="202" t="inlineStr">
        <is>
          <t>HM33</t>
        </is>
      </c>
      <c r="AU1105" s="202" t="inlineStr">
        <is>
          <t>SIEUAM</t>
        </is>
      </c>
      <c r="AV1105" s="202" t="n">
        <v>12</v>
      </c>
      <c r="AW1105" s="202" t="n">
        <v>1</v>
      </c>
      <c r="AX1105" s="202" t="n"/>
    </row>
    <row r="1106">
      <c r="A1106" s="56" t="inlineStr">
        <is>
          <t>BBK680</t>
        </is>
      </c>
      <c r="B1106" s="56" t="inlineStr">
        <is>
          <t>PYC</t>
        </is>
      </c>
      <c r="C1106" s="56" t="inlineStr">
        <is>
          <t>BBK680.0293949</t>
        </is>
      </c>
      <c r="D1106" s="57" t="n"/>
      <c r="E1106" s="57" t="n"/>
      <c r="F1106" s="57" t="n"/>
      <c r="G1106" s="57" t="n"/>
      <c r="H1106" s="57" t="n"/>
      <c r="J1106" s="198" t="inlineStr">
        <is>
          <t>05</t>
        </is>
      </c>
      <c r="K1106" s="198" t="inlineStr">
        <is>
          <t>PYC</t>
        </is>
      </c>
      <c r="L1106" s="199">
        <f>L1107</f>
        <v/>
      </c>
      <c r="M1106" s="199" t="n"/>
      <c r="N1106" s="199" t="n"/>
      <c r="O1106" s="200" t="inlineStr">
        <is>
          <t>Cầu Km19+529.080</t>
        </is>
      </c>
      <c r="P1106" s="201" t="n"/>
      <c r="Q1106" s="201" t="n"/>
      <c r="R1106" s="201">
        <f>R1107</f>
        <v/>
      </c>
      <c r="S1106" s="201">
        <f>+R1106+1</f>
        <v/>
      </c>
      <c r="T1106" s="208" t="n"/>
      <c r="U1106" s="208" t="n"/>
      <c r="V1106" s="208" t="n"/>
      <c r="W1106" s="202" t="n"/>
      <c r="X1106" s="202" t="n"/>
      <c r="Y1106" s="202" t="n"/>
      <c r="Z1106" s="202" t="n"/>
      <c r="AA1106" s="203" t="n"/>
      <c r="AB1106" s="305" t="inlineStr">
        <is>
          <t>307HG/PYCNT/CKN/M2</t>
        </is>
      </c>
      <c r="AC1106" s="205" t="inlineStr"/>
      <c r="AD1106" s="205" t="n"/>
      <c r="AE1106" s="205" t="n"/>
      <c r="AF1106" s="205" t="n"/>
      <c r="AG1106" s="242" t="inlineStr">
        <is>
          <t>SIEUAM</t>
        </is>
      </c>
      <c r="AH1106" s="205" t="n">
        <v>2</v>
      </c>
      <c r="AI1106" s="202" t="n"/>
      <c r="AJ1106" s="202" t="n"/>
      <c r="AK1106" s="206" t="n"/>
      <c r="AL1106" s="202" t="n"/>
      <c r="AM1106" s="202" t="n"/>
      <c r="AN1106" s="202" t="n"/>
      <c r="AO1106" s="202" t="n"/>
      <c r="AP1106" s="207" t="n"/>
      <c r="AQ1106" s="207" t="n"/>
      <c r="AR1106" s="202" t="inlineStr">
        <is>
          <t>Nhóm 1</t>
        </is>
      </c>
      <c r="AS1106" s="202" t="n"/>
      <c r="AT1106" s="202" t="inlineStr">
        <is>
          <t>HM33</t>
        </is>
      </c>
      <c r="AU1106" s="202" t="inlineStr">
        <is>
          <t>PYC</t>
        </is>
      </c>
      <c r="AV1106" s="202" t="n">
        <v>38</v>
      </c>
      <c r="AW1106" s="202" t="n">
        <v>2</v>
      </c>
      <c r="AX1106" s="202" t="n"/>
    </row>
    <row r="1107" ht="56" customHeight="1" s="672">
      <c r="A1107" s="56" t="inlineStr">
        <is>
          <t>BBK074</t>
        </is>
      </c>
      <c r="B1107" s="56" t="inlineStr">
        <is>
          <t>SIEUAM</t>
        </is>
      </c>
      <c r="C1107" s="56" t="inlineStr">
        <is>
          <t>BBK074.0070524</t>
        </is>
      </c>
      <c r="D1107" s="57" t="n"/>
      <c r="E1107" s="57" t="n"/>
      <c r="F1107" s="57" t="n"/>
      <c r="G1107" s="57" t="n"/>
      <c r="H1107" s="57" t="n"/>
      <c r="J1107" s="198" t="inlineStr">
        <is>
          <t>06</t>
        </is>
      </c>
      <c r="K1107" s="198" t="inlineStr">
        <is>
          <t>SIEUAM</t>
        </is>
      </c>
      <c r="L1107" s="199" t="inlineStr">
        <is>
          <t xml:space="preserve">Khoan kiểm tra mùn đầu cọc và lấy lõi để kiểm tra </t>
        </is>
      </c>
      <c r="M1107" s="199" t="n"/>
      <c r="N1107" s="199" t="n"/>
      <c r="O1107" s="200" t="inlineStr">
        <is>
          <t>Cầu Km19+529.080</t>
        </is>
      </c>
      <c r="P1107" s="201">
        <f>P1105+1</f>
        <v/>
      </c>
      <c r="Q1107" s="201">
        <f>P1107</f>
        <v/>
      </c>
      <c r="R1107" s="201">
        <f>Q1107-1</f>
        <v/>
      </c>
      <c r="S1107" s="201">
        <f>Q1107</f>
        <v/>
      </c>
      <c r="T1107" s="208">
        <f>U1105+TIME(,45,)</f>
        <v/>
      </c>
      <c r="U1107" s="208">
        <f>T1107+V1107</f>
        <v/>
      </c>
      <c r="V1107" s="208" t="n">
        <v>0.08333333333333333</v>
      </c>
      <c r="W1107" s="202">
        <f>TEXT(T1107,"HH""h""MM'")&amp;"÷"&amp;TEXT(U1107,"HH""h""MM'")</f>
        <v/>
      </c>
      <c r="X1107" s="202" t="n"/>
      <c r="Y1107" s="202" t="n"/>
      <c r="Z1107" s="202" t="n"/>
      <c r="AA1107" s="203" t="inlineStr">
        <is>
          <t>Kiểm tra máy móc, thiết bị, nhân lực phục vụ khoan mùn và giám sát kiểm tra quá trình khoan mùn mũi Cọc khoan nhồi Mố M2.</t>
        </is>
      </c>
      <c r="AB1107" s="205" t="n"/>
      <c r="AC1107" s="205" t="inlineStr">
        <is>
          <t>09-XL-307HG/BBNT/CKN/M2-2</t>
        </is>
      </c>
      <c r="AD1107" s="205" t="n"/>
      <c r="AE1107" s="205" t="n"/>
      <c r="AF1107" s="205" t="n"/>
      <c r="AG1107" s="205" t="n"/>
      <c r="AH1107" s="205" t="inlineStr">
        <is>
          <t>Khoanmun T2</t>
        </is>
      </c>
      <c r="AI1107" s="202" t="n"/>
      <c r="AJ1107" s="202" t="n"/>
      <c r="AK1107" s="206" t="n"/>
      <c r="AL1107" s="202" t="n"/>
      <c r="AM1107" s="202" t="n"/>
      <c r="AN1107" s="202" t="n"/>
      <c r="AO1107" s="202" t="n"/>
      <c r="AP1107" s="207" t="n"/>
      <c r="AQ1107" s="207" t="n"/>
      <c r="AR1107" s="202" t="inlineStr">
        <is>
          <t>Nhóm 1</t>
        </is>
      </c>
      <c r="AS1107" s="202" t="n"/>
      <c r="AT1107" s="202" t="inlineStr">
        <is>
          <t>HM33</t>
        </is>
      </c>
      <c r="AU1107" s="202" t="inlineStr">
        <is>
          <t>SIEUAM</t>
        </is>
      </c>
      <c r="AV1107" s="202" t="n">
        <v>13</v>
      </c>
      <c r="AW1107" s="202" t="n">
        <v>2</v>
      </c>
      <c r="AX1107" s="202" t="n"/>
    </row>
    <row r="1108" ht="28" customHeight="1" s="672">
      <c r="A1108" s="56" t="inlineStr">
        <is>
          <t>BBK680</t>
        </is>
      </c>
      <c r="B1108" s="56" t="inlineStr">
        <is>
          <t>PYC</t>
        </is>
      </c>
      <c r="C1108" s="56" t="inlineStr">
        <is>
          <t>BBK680.0623796</t>
        </is>
      </c>
      <c r="D1108" s="57" t="n"/>
      <c r="E1108" s="57" t="n"/>
      <c r="F1108" s="57" t="n"/>
      <c r="G1108" s="57" t="n"/>
      <c r="H1108" s="57" t="n"/>
      <c r="J1108" s="198" t="inlineStr">
        <is>
          <t>07</t>
        </is>
      </c>
      <c r="K1108" s="198" t="inlineStr">
        <is>
          <t>PYC</t>
        </is>
      </c>
      <c r="L1108" s="199">
        <f>L1109</f>
        <v/>
      </c>
      <c r="M1108" s="199" t="n"/>
      <c r="N1108" s="199" t="n"/>
      <c r="O1108" s="200" t="n"/>
      <c r="P1108" s="201" t="n"/>
      <c r="Q1108" s="201" t="n"/>
      <c r="R1108" s="201">
        <f>R1109</f>
        <v/>
      </c>
      <c r="S1108" s="201">
        <f>+R1108+1</f>
        <v/>
      </c>
      <c r="T1108" s="208" t="n"/>
      <c r="U1108" s="208" t="n"/>
      <c r="V1108" s="208" t="n"/>
      <c r="W1108" s="208" t="n"/>
      <c r="X1108" s="202" t="n"/>
      <c r="Y1108" s="202" t="n"/>
      <c r="Z1108" s="202" t="n"/>
      <c r="AA1108" s="203" t="n"/>
      <c r="AB1108" s="305" t="inlineStr">
        <is>
          <t>307HG/PYCNT/CKN/M2</t>
        </is>
      </c>
      <c r="AC1108" s="205" t="inlineStr"/>
      <c r="AD1108" s="203" t="n"/>
      <c r="AE1108" s="203" t="n"/>
      <c r="AF1108" s="203" t="n"/>
      <c r="AG1108" s="242" t="inlineStr">
        <is>
          <t>SIEUAM</t>
        </is>
      </c>
      <c r="AH1108" s="203" t="n">
        <v>3</v>
      </c>
      <c r="AI1108" s="207" t="n"/>
      <c r="AJ1108" s="202" t="n"/>
      <c r="AK1108" s="206" t="n"/>
      <c r="AL1108" s="202" t="n"/>
      <c r="AM1108" s="202" t="n"/>
      <c r="AN1108" s="202" t="n"/>
      <c r="AO1108" s="202" t="n"/>
      <c r="AP1108" s="207" t="n"/>
      <c r="AQ1108" s="207" t="n"/>
      <c r="AR1108" s="202" t="inlineStr">
        <is>
          <t>Nhóm 1</t>
        </is>
      </c>
      <c r="AS1108" s="202" t="n"/>
      <c r="AT1108" s="202" t="inlineStr">
        <is>
          <t>HM33</t>
        </is>
      </c>
      <c r="AU1108" s="202" t="inlineStr">
        <is>
          <t>PYC</t>
        </is>
      </c>
      <c r="AV1108" s="202" t="n">
        <v>39</v>
      </c>
      <c r="AW1108" s="202" t="n">
        <v>3</v>
      </c>
      <c r="AX1108" s="202" t="n"/>
    </row>
    <row r="1109" ht="84" customHeight="1" s="672">
      <c r="A1109" s="56" t="inlineStr">
        <is>
          <t>BBK074</t>
        </is>
      </c>
      <c r="B1109" s="56" t="inlineStr">
        <is>
          <t>SIEUAM</t>
        </is>
      </c>
      <c r="C1109" s="56" t="inlineStr">
        <is>
          <t>BBK074.0502492</t>
        </is>
      </c>
      <c r="D1109" s="57" t="n"/>
      <c r="E1109" s="57" t="n"/>
      <c r="F1109" s="57" t="n"/>
      <c r="G1109" s="57" t="n"/>
      <c r="H1109" s="57" t="n"/>
      <c r="J1109" s="198" t="inlineStr">
        <is>
          <t>08</t>
        </is>
      </c>
      <c r="K1109" s="198" t="inlineStr">
        <is>
          <t>SIEUAM</t>
        </is>
      </c>
      <c r="L1109" s="199" t="inlineStr">
        <is>
          <t>Kiểm tra máy móc, thiết bị chuẩn bị bơm vữa lấp ống siêu âm</t>
        </is>
      </c>
      <c r="M1109" s="199" t="n"/>
      <c r="N1109" s="199" t="n"/>
      <c r="O1109" s="200" t="inlineStr">
        <is>
          <t>Cầu Km19+529.080</t>
        </is>
      </c>
      <c r="P1109" s="201">
        <f>P1107</f>
        <v/>
      </c>
      <c r="Q1109" s="201">
        <f>P1109</f>
        <v/>
      </c>
      <c r="R1109" s="201">
        <f>Q1109-1</f>
        <v/>
      </c>
      <c r="S1109" s="201">
        <f>Q1109</f>
        <v/>
      </c>
      <c r="T1109" s="208">
        <f>U1107+TIME(,45,)</f>
        <v/>
      </c>
      <c r="U1109" s="208">
        <f>T1109+V1109</f>
        <v/>
      </c>
      <c r="V1109" s="208" t="n">
        <v>0.04166666666666666</v>
      </c>
      <c r="W1109" s="202">
        <f>TEXT(T1109,"HH""h""MM'")&amp;"÷"&amp;TEXT(U1109,"HH""h""MM'")</f>
        <v/>
      </c>
      <c r="X1109" s="202" t="n"/>
      <c r="Y1109" s="202" t="n"/>
      <c r="Z1109" s="202" t="n"/>
      <c r="AA1109" s="203" t="inlineStr">
        <is>
          <t>Kiểm tra vật liệu, máy móc, thiết bị, nhân lực phục vụ bơm vữa lấp lòng ống siêu âm cọc khoan nhồi Mố M2;
Giám sát, theo dỏi quá trình thực hiện công việc  bơm vữa lấp lòng ống siêu âm cọc khoan nhồi Mố M2.</t>
        </is>
      </c>
      <c r="AB1109" s="205" t="n"/>
      <c r="AC1109" s="205" t="inlineStr">
        <is>
          <t>09-XL-307HG/BBNT/CKN/M2-3</t>
        </is>
      </c>
      <c r="AD1109" s="203" t="n"/>
      <c r="AE1109" s="203" t="n"/>
      <c r="AF1109" s="203" t="n"/>
      <c r="AG1109" s="203" t="n"/>
      <c r="AH1109" s="205" t="inlineStr">
        <is>
          <t>CBBV</t>
        </is>
      </c>
      <c r="AI1109" s="207" t="n"/>
      <c r="AJ1109" s="202" t="n"/>
      <c r="AK1109" s="206" t="n"/>
      <c r="AL1109" s="202" t="n"/>
      <c r="AM1109" s="202" t="n"/>
      <c r="AN1109" s="202" t="n"/>
      <c r="AO1109" s="202" t="n"/>
      <c r="AP1109" s="207" t="n"/>
      <c r="AQ1109" s="207" t="n"/>
      <c r="AR1109" s="202" t="inlineStr">
        <is>
          <t>Nhóm 1</t>
        </is>
      </c>
      <c r="AS1109" s="202" t="n"/>
      <c r="AT1109" s="202" t="inlineStr">
        <is>
          <t>HM33</t>
        </is>
      </c>
      <c r="AU1109" s="202" t="inlineStr">
        <is>
          <t>SIEUAM</t>
        </is>
      </c>
      <c r="AV1109" s="202" t="n">
        <v>14</v>
      </c>
      <c r="AW1109" s="202" t="n">
        <v>3</v>
      </c>
      <c r="AX1109" s="202" t="n"/>
    </row>
    <row r="1110">
      <c r="A1110" s="56" t="inlineStr">
        <is>
          <t>BBK860</t>
        </is>
      </c>
      <c r="B1110" s="56" t="inlineStr">
        <is>
          <t>PL01</t>
        </is>
      </c>
      <c r="C1110" s="56" t="inlineStr">
        <is>
          <t>BBK860.0688366</t>
        </is>
      </c>
      <c r="D1110" s="57" t="n"/>
      <c r="E1110" s="57" t="n"/>
      <c r="F1110" s="57" t="n"/>
      <c r="G1110" s="57" t="n"/>
      <c r="H1110" s="57" t="n"/>
      <c r="J1110" s="198" t="inlineStr">
        <is>
          <t>09</t>
        </is>
      </c>
      <c r="K1110" s="198" t="inlineStr">
        <is>
          <t>PL01</t>
        </is>
      </c>
      <c r="L1110" s="199" t="inlineStr">
        <is>
          <t>Phụ lục số 01</t>
        </is>
      </c>
      <c r="M1110" s="199" t="n"/>
      <c r="N1110" s="199" t="n"/>
      <c r="O1110" s="200" t="inlineStr">
        <is>
          <t>Cầu Km19+529.080</t>
        </is>
      </c>
      <c r="P1110" s="201" t="n"/>
      <c r="Q1110" s="201" t="n"/>
      <c r="R1110" s="201" t="n"/>
      <c r="S1110" s="201">
        <f>S1109</f>
        <v/>
      </c>
      <c r="T1110" s="201" t="n"/>
      <c r="U1110" s="201" t="n"/>
      <c r="V1110" s="201" t="n"/>
      <c r="W1110" s="202" t="n"/>
      <c r="X1110" s="202" t="n"/>
      <c r="Y1110" s="202" t="n"/>
      <c r="Z1110" s="198" t="inlineStr">
        <is>
          <t>01</t>
        </is>
      </c>
      <c r="AA1110" s="203" t="n"/>
      <c r="AB1110" s="203" t="n"/>
      <c r="AC1110" s="204">
        <f>AC1109</f>
        <v/>
      </c>
      <c r="AD1110" s="203" t="n"/>
      <c r="AE1110" s="203" t="n"/>
      <c r="AF1110" s="203" t="n"/>
      <c r="AG1110" s="295" t="n"/>
      <c r="AH1110" s="205" t="inlineStr">
        <is>
          <t>CBBV</t>
        </is>
      </c>
      <c r="AI1110" s="207" t="n"/>
      <c r="AJ1110" s="202" t="n"/>
      <c r="AK1110" s="206" t="n"/>
      <c r="AL1110" s="202" t="n"/>
      <c r="AM1110" s="202" t="n"/>
      <c r="AN1110" s="202" t="n"/>
      <c r="AO1110" s="202" t="n"/>
      <c r="AP1110" s="207" t="n"/>
      <c r="AQ1110" s="207" t="n"/>
      <c r="AR1110" s="202" t="inlineStr">
        <is>
          <t>Nhóm 1</t>
        </is>
      </c>
      <c r="AS1110" s="202" t="n"/>
      <c r="AT1110" s="202" t="inlineStr">
        <is>
          <t>HM33</t>
        </is>
      </c>
      <c r="AU1110" s="202" t="inlineStr">
        <is>
          <t>PL01</t>
        </is>
      </c>
      <c r="AV1110" s="202" t="n">
        <v>31</v>
      </c>
      <c r="AW1110" s="202" t="n">
        <v>1</v>
      </c>
      <c r="AX1110" s="202" t="n"/>
    </row>
    <row r="1111">
      <c r="A1111" s="56" t="inlineStr">
        <is>
          <t>BBK074</t>
        </is>
      </c>
      <c r="B1111" s="56" t="inlineStr">
        <is>
          <t>SIEUAM</t>
        </is>
      </c>
      <c r="C1111" s="56" t="inlineStr">
        <is>
          <t>BBK074.0352360</t>
        </is>
      </c>
      <c r="D1111" s="57" t="n"/>
      <c r="E1111" s="57" t="n"/>
      <c r="F1111" s="57" t="n"/>
      <c r="G1111" s="57" t="n"/>
      <c r="H1111" s="57" t="n"/>
      <c r="J1111" s="266" t="inlineStr">
        <is>
          <t>10</t>
        </is>
      </c>
      <c r="K1111" s="266" t="inlineStr">
        <is>
          <t>SIEUAM</t>
        </is>
      </c>
      <c r="L1111" s="267" t="inlineStr">
        <is>
          <t>Bơm vữa lấp lòng ống siêu âm cọc khoan nhồi</t>
        </is>
      </c>
      <c r="M1111" s="267" t="n"/>
      <c r="N1111" s="267" t="n"/>
      <c r="O1111" s="268" t="inlineStr">
        <is>
          <t>Cầu Km19+529.080</t>
        </is>
      </c>
      <c r="P1111" s="269">
        <f>P1109</f>
        <v/>
      </c>
      <c r="Q1111" s="269">
        <f>P1111</f>
        <v/>
      </c>
      <c r="R1111" s="269">
        <f>Q1111-1</f>
        <v/>
      </c>
      <c r="S1111" s="269">
        <f>Q1111</f>
        <v/>
      </c>
      <c r="T1111" s="296">
        <f>U1109+TIME(,10,)</f>
        <v/>
      </c>
      <c r="U1111" s="296">
        <f>T1111+V1111</f>
        <v/>
      </c>
      <c r="V1111" s="296" t="n">
        <v>0.1458333333333333</v>
      </c>
      <c r="W1111" s="270">
        <f>TEXT(T1111,"HH""h""MM'")&amp;"÷"&amp;TEXT(U1111,"HH""h""MM'")</f>
        <v/>
      </c>
      <c r="X1111" s="270" t="n"/>
      <c r="Y1111" s="270" t="n"/>
      <c r="Z1111" s="270" t="n"/>
      <c r="AA1111" s="271" t="n"/>
      <c r="AB1111" s="271" t="n"/>
      <c r="AC1111" s="271" t="inlineStr">
        <is>
          <t>09-XL-307HG/BBNT/CKN/M2-4</t>
        </is>
      </c>
      <c r="AD1111" s="271" t="n"/>
      <c r="AE1111" s="271" t="n"/>
      <c r="AF1111" s="271" t="n"/>
      <c r="AG1111" s="271" t="n"/>
      <c r="AH1111" s="297" t="inlineStr">
        <is>
          <t>Bomvua T2</t>
        </is>
      </c>
      <c r="AI1111" s="273" t="n"/>
      <c r="AJ1111" s="270" t="n"/>
      <c r="AK1111" s="272" t="n"/>
      <c r="AL1111" s="270" t="n"/>
      <c r="AM1111" s="270" t="n"/>
      <c r="AN1111" s="270" t="n"/>
      <c r="AO1111" s="270" t="n"/>
      <c r="AP1111" s="273" t="n"/>
      <c r="AQ1111" s="273" t="n"/>
      <c r="AR1111" s="270" t="inlineStr">
        <is>
          <t>Nhóm 1</t>
        </is>
      </c>
      <c r="AS1111" s="270" t="n"/>
      <c r="AT1111" s="270" t="inlineStr">
        <is>
          <t>HM33</t>
        </is>
      </c>
      <c r="AU1111" s="270" t="inlineStr">
        <is>
          <t>SIEUAM</t>
        </is>
      </c>
      <c r="AV1111" s="270" t="n">
        <v>15</v>
      </c>
      <c r="AW1111" s="270" t="n">
        <v>4</v>
      </c>
      <c r="AX1111" s="270" t="n"/>
    </row>
    <row r="1112">
      <c r="A1112" s="56" t="inlineStr">
        <is>
          <t>LMHT</t>
        </is>
      </c>
      <c r="B1112" s="56" t="inlineStr">
        <is>
          <t>LMHT</t>
        </is>
      </c>
      <c r="C1112" s="56" t="inlineStr">
        <is>
          <t>LMHT.0633022</t>
        </is>
      </c>
      <c r="D1112" s="57" t="inlineStr">
        <is>
          <t>TC.000041|TC.000182|TC.000169.A</t>
        </is>
      </c>
      <c r="E1112" s="57" t="n"/>
      <c r="F1112" s="57" t="inlineStr">
        <is>
          <t>CP.0001^Vữa bơm lấp ống siêu âm cọc khoan nhồi mố M2^(40x40x160)mm^12^V30 (Mpa)^^^TC.000041|TC.000182|TC.000169.A</t>
        </is>
      </c>
      <c r="G1112" s="57" t="n"/>
      <c r="H1112" s="57" t="n"/>
      <c r="J1112" s="175" t="inlineStr">
        <is>
          <t>11</t>
        </is>
      </c>
      <c r="K1112" s="175" t="inlineStr">
        <is>
          <t>LMHT</t>
        </is>
      </c>
      <c r="L1112" s="176" t="inlineStr">
        <is>
          <t>Vữa bơm lấp ống siêu âm cọc khoan nhồi mố M2</t>
        </is>
      </c>
      <c r="M1112" s="176" t="n"/>
      <c r="N1112" s="176" t="n"/>
      <c r="O1112" s="177">
        <f>O1111</f>
        <v/>
      </c>
      <c r="P1112" s="299" t="n"/>
      <c r="Q1112" s="299" t="n"/>
      <c r="R1112" s="299" t="n"/>
      <c r="S1112" s="299">
        <f>S1111</f>
        <v/>
      </c>
      <c r="T1112" s="300">
        <f>T1111</f>
        <v/>
      </c>
      <c r="U1112" s="300">
        <f>U1111</f>
        <v/>
      </c>
      <c r="V1112" s="300">
        <f>V1111</f>
        <v/>
      </c>
      <c r="W1112" s="301">
        <f>TEXT(T1112,"HH""h""MM'")&amp;"÷"&amp;TEXT(U1112,"HH""h""MM'")</f>
        <v/>
      </c>
      <c r="X1112" s="301" t="n"/>
      <c r="Y1112" s="301" t="n"/>
      <c r="Z1112" s="301" t="n"/>
      <c r="AA1112" s="180" t="n"/>
      <c r="AB1112" s="180" t="n"/>
      <c r="AC1112" s="302" t="n"/>
      <c r="AD1112" s="180" t="n"/>
      <c r="AE1112" s="180" t="n"/>
      <c r="AF1112" s="180" t="n"/>
      <c r="AG1112" s="180" t="n"/>
      <c r="AH1112" s="302" t="n"/>
      <c r="AI1112" s="181" t="n"/>
      <c r="AJ1112" s="301" t="n"/>
      <c r="AK1112" s="303" t="n"/>
      <c r="AL1112" s="301" t="n"/>
      <c r="AM1112" s="301" t="n"/>
      <c r="AN1112" s="301" t="n"/>
      <c r="AO1112" s="301" t="n"/>
      <c r="AP1112" s="181" t="n"/>
      <c r="AQ1112" s="181" t="n"/>
      <c r="AR1112" s="301" t="inlineStr">
        <is>
          <t>Nhóm 1</t>
        </is>
      </c>
      <c r="AS1112" s="301" t="n"/>
      <c r="AT1112" s="301" t="inlineStr">
        <is>
          <t>HM33</t>
        </is>
      </c>
      <c r="AU1112" s="301" t="inlineStr">
        <is>
          <t>LMHT</t>
        </is>
      </c>
      <c r="AV1112" s="301" t="n">
        <v>36</v>
      </c>
      <c r="AW1112" s="301" t="n">
        <v>1</v>
      </c>
      <c r="AX1112" s="301" t="n"/>
    </row>
    <row r="1113" ht="42" customHeight="1" s="672">
      <c r="A1113" s="56" t="inlineStr">
        <is>
          <t>BBK680</t>
        </is>
      </c>
      <c r="B1113" s="56" t="inlineStr">
        <is>
          <t>PYC</t>
        </is>
      </c>
      <c r="C1113" s="56" t="inlineStr">
        <is>
          <t>BBK680.0160604</t>
        </is>
      </c>
      <c r="D1113" s="57" t="n"/>
      <c r="E1113" s="57" t="n"/>
      <c r="F1113" s="57" t="n"/>
      <c r="G1113" s="57" t="n"/>
      <c r="H1113" s="57" t="n"/>
      <c r="J1113" s="343" t="inlineStr">
        <is>
          <t>12</t>
        </is>
      </c>
      <c r="K1113" s="343" t="inlineStr">
        <is>
          <t>PYC</t>
        </is>
      </c>
      <c r="L1113" s="344">
        <f>L1112</f>
        <v/>
      </c>
      <c r="M1113" s="344" t="n"/>
      <c r="N1113" s="344" t="n"/>
      <c r="O1113" s="345" t="inlineStr">
        <is>
          <t>Phòng thí nghiệm hiện trường LAS - XD 726</t>
        </is>
      </c>
      <c r="P1113" s="346" t="n"/>
      <c r="Q1113" s="346" t="n"/>
      <c r="R1113" s="346">
        <f>S1113-1</f>
        <v/>
      </c>
      <c r="S1113" s="346">
        <f>S1112+7</f>
        <v/>
      </c>
      <c r="T1113" s="347" t="n">
        <v>0.3541666666666667</v>
      </c>
      <c r="U1113" s="347">
        <f>T1113+V1113</f>
        <v/>
      </c>
      <c r="V1113" s="347" t="n">
        <v>0.0625</v>
      </c>
      <c r="W1113" s="348">
        <f>TEXT(T1113,"HH""h""MM'")&amp;"÷"&amp;TEXT(U1113,"HH""h""MM'")</f>
        <v/>
      </c>
      <c r="X1113" s="348" t="n"/>
      <c r="Y1113" s="348" t="n"/>
      <c r="Z1113" s="348" t="n"/>
      <c r="AA1113" s="349" t="inlineStr">
        <is>
          <t>Giám sát công tác nén mẫu R7 vữa xi măng lấp lòng ống siêu âm Cọc khoan nhồi Mố M2.</t>
        </is>
      </c>
      <c r="AB1113" s="305" t="inlineStr">
        <is>
          <t>307HG/PYCNT/CKN/M2</t>
        </is>
      </c>
      <c r="AC1113" s="243" t="n"/>
      <c r="AD1113" s="349" t="n"/>
      <c r="AE1113" s="349" t="n"/>
      <c r="AF1113" s="349" t="n"/>
      <c r="AG1113" s="349" t="inlineStr">
        <is>
          <t>PYC</t>
        </is>
      </c>
      <c r="AH1113" s="349" t="n">
        <v>4</v>
      </c>
      <c r="AI1113" s="352" t="n"/>
      <c r="AJ1113" s="348" t="n"/>
      <c r="AK1113" s="353" t="n"/>
      <c r="AL1113" s="348" t="n"/>
      <c r="AM1113" s="348" t="n"/>
      <c r="AN1113" s="348" t="n"/>
      <c r="AO1113" s="348" t="n"/>
      <c r="AP1113" s="352" t="n"/>
      <c r="AQ1113" s="352" t="n"/>
      <c r="AR1113" s="348" t="inlineStr">
        <is>
          <t>Nhóm 1</t>
        </is>
      </c>
      <c r="AS1113" s="348" t="n"/>
      <c r="AT1113" s="348" t="inlineStr">
        <is>
          <t>HM33</t>
        </is>
      </c>
      <c r="AU1113" s="348" t="inlineStr">
        <is>
          <t>PYC</t>
        </is>
      </c>
      <c r="AV1113" s="348" t="n">
        <v>54</v>
      </c>
      <c r="AW1113" s="348" t="n">
        <v>4</v>
      </c>
      <c r="AX1113" s="348" t="n"/>
    </row>
    <row r="1114" ht="42" customHeight="1" s="672">
      <c r="A1114" s="56" t="inlineStr">
        <is>
          <t>BBK680</t>
        </is>
      </c>
      <c r="B1114" s="56" t="inlineStr">
        <is>
          <t>PYC</t>
        </is>
      </c>
      <c r="C1114" s="56" t="inlineStr">
        <is>
          <t>BBK680.0906655</t>
        </is>
      </c>
      <c r="D1114" s="57" t="n"/>
      <c r="E1114" s="57" t="n"/>
      <c r="F1114" s="57" t="n"/>
      <c r="G1114" s="57" t="n"/>
      <c r="H1114" s="57" t="n"/>
      <c r="J1114" s="237" t="inlineStr">
        <is>
          <t>13</t>
        </is>
      </c>
      <c r="K1114" s="237" t="inlineStr">
        <is>
          <t>PYC</t>
        </is>
      </c>
      <c r="L1114" s="238">
        <f>L1113</f>
        <v/>
      </c>
      <c r="M1114" s="238" t="n"/>
      <c r="N1114" s="238" t="n"/>
      <c r="O1114" s="239">
        <f>O1113</f>
        <v/>
      </c>
      <c r="P1114" s="240" t="n"/>
      <c r="Q1114" s="240" t="n"/>
      <c r="R1114" s="240">
        <f>S1114-1</f>
        <v/>
      </c>
      <c r="S1114" s="240">
        <f>S1112+28</f>
        <v/>
      </c>
      <c r="T1114" s="304" t="n">
        <v>0.3958333333333333</v>
      </c>
      <c r="U1114" s="304">
        <f>T1114+V1114</f>
        <v/>
      </c>
      <c r="V1114" s="304" t="n">
        <v>0.0625</v>
      </c>
      <c r="W1114" s="241">
        <f>TEXT(T1114,"HH""h""MM'")&amp;"÷"&amp;TEXT(U1114,"HH""h""MM'")</f>
        <v/>
      </c>
      <c r="X1114" s="241" t="n"/>
      <c r="Y1114" s="241" t="n"/>
      <c r="Z1114" s="241" t="n"/>
      <c r="AA1114" s="242" t="inlineStr">
        <is>
          <t>Giám sát công tác nén mẫu R28 vữa xi măng lấp lòng ống siêu âm Cọc khoan nhồi Mố M2.</t>
        </is>
      </c>
      <c r="AB1114" s="305" t="inlineStr">
        <is>
          <t>307HG/PYCNT/CKN/M2</t>
        </is>
      </c>
      <c r="AC1114" s="242" t="inlineStr"/>
      <c r="AD1114" s="242" t="n"/>
      <c r="AE1114" s="242" t="n"/>
      <c r="AF1114" s="242" t="n"/>
      <c r="AG1114" s="242" t="inlineStr">
        <is>
          <t>PYC</t>
        </is>
      </c>
      <c r="AH1114" s="242" t="n">
        <v>5</v>
      </c>
      <c r="AI1114" s="245" t="n"/>
      <c r="AJ1114" s="241" t="n"/>
      <c r="AK1114" s="244" t="n"/>
      <c r="AL1114" s="241" t="n"/>
      <c r="AM1114" s="241" t="n"/>
      <c r="AN1114" s="241" t="n"/>
      <c r="AO1114" s="241" t="n"/>
      <c r="AP1114" s="245" t="n"/>
      <c r="AQ1114" s="245" t="n"/>
      <c r="AR1114" s="241" t="inlineStr">
        <is>
          <t>Nhóm 1</t>
        </is>
      </c>
      <c r="AS1114" s="241" t="n"/>
      <c r="AT1114" s="241" t="inlineStr">
        <is>
          <t>HM33</t>
        </is>
      </c>
      <c r="AU1114" s="241" t="inlineStr">
        <is>
          <t>PYC</t>
        </is>
      </c>
      <c r="AV1114" s="241" t="n">
        <v>105</v>
      </c>
      <c r="AW1114" s="241" t="n">
        <v>5</v>
      </c>
      <c r="AX1114" s="241" t="n"/>
    </row>
    <row r="1115" ht="28" customHeight="1" s="672">
      <c r="A1115" s="56" t="inlineStr">
        <is>
          <t>NTGD</t>
        </is>
      </c>
      <c r="B1115" s="56" t="inlineStr">
        <is>
          <t>NTGD</t>
        </is>
      </c>
      <c r="C1115" s="56" t="inlineStr">
        <is>
          <t>NTGD.0369614</t>
        </is>
      </c>
      <c r="D1115" s="57" t="n"/>
      <c r="E1115" s="57" t="n"/>
      <c r="F1115" s="57" t="n"/>
      <c r="G1115" s="57" t="n"/>
      <c r="H1115" s="57" t="n"/>
      <c r="J1115" s="306" t="inlineStr">
        <is>
          <t>14</t>
        </is>
      </c>
      <c r="K1115" s="306" t="inlineStr">
        <is>
          <t>NTGD</t>
        </is>
      </c>
      <c r="L1115" s="307" t="inlineStr">
        <is>
          <t>Cọc khoan nhồi Mố M2</t>
        </is>
      </c>
      <c r="M1115" s="307" t="n"/>
      <c r="N1115" s="307" t="n"/>
      <c r="O1115" s="308" t="inlineStr">
        <is>
          <t>Cầu Km19+529.080</t>
        </is>
      </c>
      <c r="P1115" s="309" t="n"/>
      <c r="Q1115" s="309" t="n"/>
      <c r="R1115" s="309">
        <f>S1114</f>
        <v/>
      </c>
      <c r="S1115" s="309">
        <f>R1115+1</f>
        <v/>
      </c>
      <c r="T1115" s="310" t="n">
        <v>0.3541666666666667</v>
      </c>
      <c r="U1115" s="310">
        <f>T1115+V1115</f>
        <v/>
      </c>
      <c r="V1115" s="310" t="n">
        <v>0.04166666666666666</v>
      </c>
      <c r="W1115" s="311">
        <f>TEXT(T1115,"HH""h""MM'")&amp;"÷"&amp;TEXT(U1115,"HH""h""MM'")</f>
        <v/>
      </c>
      <c r="X1115" s="311" t="n"/>
      <c r="Y1115" s="311" t="n"/>
      <c r="Z1115" s="311" t="n"/>
      <c r="AA1115" s="312" t="inlineStr">
        <is>
          <t>Nghiệm thu chuyển giai đoạn Cọc khoan nhồi Mố M2 sang Bệ Mố M2</t>
        </is>
      </c>
      <c r="AB1115" s="313" t="inlineStr">
        <is>
          <t>09-XL-307HG/PYCNT/CKN-CGĐ/M2</t>
        </is>
      </c>
      <c r="AC1115" s="313" t="inlineStr">
        <is>
          <t>09-XL-307HG/NTGĐ/CKN/M2</t>
        </is>
      </c>
      <c r="AD1115" s="313" t="n"/>
      <c r="AE1115" s="313" t="n"/>
      <c r="AF1115" s="313" t="n"/>
      <c r="AG1115" s="313" t="n"/>
      <c r="AH1115" s="313" t="n"/>
      <c r="AI1115" s="311" t="n"/>
      <c r="AJ1115" s="311" t="n"/>
      <c r="AK1115" s="314" t="n"/>
      <c r="AL1115" s="311" t="n"/>
      <c r="AM1115" s="311" t="n"/>
      <c r="AN1115" s="311" t="n"/>
      <c r="AO1115" s="311" t="n"/>
      <c r="AP1115" s="315" t="n"/>
      <c r="AQ1115" s="315" t="n"/>
      <c r="AR1115" s="311" t="inlineStr">
        <is>
          <t>Nhóm 1</t>
        </is>
      </c>
      <c r="AS1115" s="311" t="n"/>
      <c r="AT1115" s="311" t="inlineStr">
        <is>
          <t>HM33</t>
        </is>
      </c>
      <c r="AU1115" s="311" t="inlineStr">
        <is>
          <t>NTGD</t>
        </is>
      </c>
      <c r="AV1115" s="311" t="n">
        <v>5</v>
      </c>
      <c r="AW1115" s="311" t="n">
        <v>1</v>
      </c>
      <c r="AX1115" s="311" t="n"/>
    </row>
    <row r="1116">
      <c r="A1116" s="56" t="inlineStr">
        <is>
          <t>BBK697</t>
        </is>
      </c>
      <c r="B1116" s="56" t="inlineStr">
        <is>
          <t>PLKL</t>
        </is>
      </c>
      <c r="C1116" s="56" t="inlineStr">
        <is>
          <t>BBK697.0814906</t>
        </is>
      </c>
      <c r="D1116" s="57" t="n"/>
      <c r="E1116" s="57" t="n"/>
      <c r="F1116" s="57" t="n"/>
      <c r="G1116" s="57" t="n"/>
      <c r="H1116" s="57" t="n"/>
      <c r="J1116" s="316" t="inlineStr">
        <is>
          <t>15</t>
        </is>
      </c>
      <c r="K1116" s="316" t="inlineStr">
        <is>
          <t>PLKL</t>
        </is>
      </c>
      <c r="L1116" s="317" t="inlineStr">
        <is>
          <t>Phụ lục khối lượng</t>
        </is>
      </c>
      <c r="M1116" s="317" t="n"/>
      <c r="N1116" s="317" t="inlineStr">
        <is>
          <t>Cầu Km19+529.080</t>
        </is>
      </c>
      <c r="O1116" s="318" t="inlineStr">
        <is>
          <t>Cọc khoan nhồi Mố M2</t>
        </is>
      </c>
      <c r="P1116" s="319" t="n"/>
      <c r="Q1116" s="319" t="n"/>
      <c r="R1116" s="319" t="n"/>
      <c r="S1116" s="319">
        <f>S1115</f>
        <v/>
      </c>
      <c r="T1116" s="320" t="n"/>
      <c r="U1116" s="320" t="n"/>
      <c r="V1116" s="320" t="n"/>
      <c r="W1116" s="321" t="n"/>
      <c r="X1116" s="321" t="n"/>
      <c r="Y1116" s="321" t="n"/>
      <c r="Z1116" s="321" t="n"/>
      <c r="AA1116" s="322" t="n"/>
      <c r="AB1116" s="323" t="n"/>
      <c r="AC1116" s="323" t="inlineStr">
        <is>
          <t>09-XL-307HG/NTGĐ/CKN/M2</t>
        </is>
      </c>
      <c r="AD1116" s="323" t="n"/>
      <c r="AE1116" s="323" t="n"/>
      <c r="AF1116" s="323" t="n"/>
      <c r="AG1116" s="323" t="n"/>
      <c r="AH1116" s="323" t="inlineStr">
        <is>
          <t>M2</t>
        </is>
      </c>
      <c r="AI1116" s="321" t="n"/>
      <c r="AJ1116" s="321" t="n"/>
      <c r="AK1116" s="324" t="n"/>
      <c r="AL1116" s="321" t="n"/>
      <c r="AM1116" s="321" t="n"/>
      <c r="AN1116" s="321" t="n"/>
      <c r="AO1116" s="321" t="n"/>
      <c r="AP1116" s="325" t="n"/>
      <c r="AQ1116" s="325" t="n"/>
      <c r="AR1116" s="321" t="inlineStr">
        <is>
          <t>Nhóm 1</t>
        </is>
      </c>
      <c r="AS1116" s="321" t="n"/>
      <c r="AT1116" s="321" t="inlineStr">
        <is>
          <t>HM33</t>
        </is>
      </c>
      <c r="AU1116" s="321" t="inlineStr">
        <is>
          <t>PLKL</t>
        </is>
      </c>
      <c r="AV1116" s="321" t="n">
        <v>5</v>
      </c>
      <c r="AW1116" s="321" t="n">
        <v>1</v>
      </c>
      <c r="AX1116" s="321" t="n"/>
    </row>
    <row r="1117">
      <c r="A1117" s="56" t="inlineStr">
        <is>
          <t>BBK157</t>
        </is>
      </c>
      <c r="B1117" s="56" t="inlineStr">
        <is>
          <t>DG</t>
        </is>
      </c>
      <c r="C1117" s="56" t="inlineStr">
        <is>
          <t>BBK157.0164027</t>
        </is>
      </c>
      <c r="D1117" s="57" t="n"/>
      <c r="E1117" s="57" t="n"/>
      <c r="F1117" s="57" t="n"/>
      <c r="G1117" s="57" t="n"/>
      <c r="H1117" s="57" t="n"/>
      <c r="J1117" s="316" t="inlineStr">
        <is>
          <t>16</t>
        </is>
      </c>
      <c r="K1117" s="316" t="inlineStr">
        <is>
          <t>DG</t>
        </is>
      </c>
      <c r="L1117" s="317" t="inlineStr">
        <is>
          <t>Bảng diễn giải KL</t>
        </is>
      </c>
      <c r="M1117" s="317" t="n"/>
      <c r="N1117" s="317" t="inlineStr">
        <is>
          <t>Cầu Km19+529.080</t>
        </is>
      </c>
      <c r="O1117" s="318" t="inlineStr">
        <is>
          <t>Cọc khoan nhồi Mố M2</t>
        </is>
      </c>
      <c r="P1117" s="319" t="n"/>
      <c r="Q1117" s="319" t="n"/>
      <c r="R1117" s="319" t="n"/>
      <c r="S1117" s="319">
        <f>+S1116</f>
        <v/>
      </c>
      <c r="T1117" s="320" t="n"/>
      <c r="U1117" s="320" t="n"/>
      <c r="V1117" s="320" t="n"/>
      <c r="W1117" s="321" t="n"/>
      <c r="X1117" s="321" t="n"/>
      <c r="Y1117" s="321" t="n"/>
      <c r="Z1117" s="321" t="n"/>
      <c r="AA1117" s="322" t="n"/>
      <c r="AB1117" s="323" t="n"/>
      <c r="AC1117" s="326">
        <f>AC1116</f>
        <v/>
      </c>
      <c r="AD1117" s="323" t="n"/>
      <c r="AE1117" s="323" t="n"/>
      <c r="AF1117" s="323" t="n"/>
      <c r="AG1117" s="323" t="n"/>
      <c r="AH1117" s="323" t="inlineStr">
        <is>
          <t>CKN-M2</t>
        </is>
      </c>
      <c r="AI1117" s="321" t="n"/>
      <c r="AJ1117" s="321" t="n"/>
      <c r="AK1117" s="324" t="n"/>
      <c r="AL1117" s="321" t="n"/>
      <c r="AM1117" s="321" t="n"/>
      <c r="AN1117" s="321" t="n">
        <v>2</v>
      </c>
      <c r="AO1117" s="321" t="n"/>
      <c r="AP1117" s="325" t="n"/>
      <c r="AQ1117" s="325" t="n"/>
      <c r="AR1117" s="321" t="inlineStr">
        <is>
          <t>Nhóm 1</t>
        </is>
      </c>
      <c r="AS1117" s="321" t="n"/>
      <c r="AT1117" s="321" t="inlineStr">
        <is>
          <t>HM33</t>
        </is>
      </c>
      <c r="AU1117" s="321" t="inlineStr">
        <is>
          <t>DG</t>
        </is>
      </c>
      <c r="AV1117" s="321" t="n">
        <v>5</v>
      </c>
      <c r="AW1117" s="321" t="n">
        <v>1</v>
      </c>
      <c r="AX1117" s="321" t="n"/>
    </row>
    <row r="1118">
      <c r="A1118" s="56" t="inlineStr">
        <is>
          <t>HM</t>
        </is>
      </c>
      <c r="B1118" s="56" t="inlineStr">
        <is>
          <t>HM</t>
        </is>
      </c>
      <c r="C1118" s="56" t="inlineStr">
        <is>
          <t>HM.0499169</t>
        </is>
      </c>
      <c r="D1118" s="57" t="n"/>
      <c r="E1118" s="57" t="n"/>
      <c r="F1118" s="57" t="n"/>
      <c r="G1118" s="57" t="n"/>
      <c r="H1118" s="57" t="n"/>
      <c r="J1118" s="246" t="inlineStr">
        <is>
          <t>HM34</t>
        </is>
      </c>
      <c r="K1118" s="246" t="inlineStr">
        <is>
          <t>HM</t>
        </is>
      </c>
      <c r="L1118" s="247" t="inlineStr">
        <is>
          <t>Cọc Khoan Nhồi Mố M1</t>
        </is>
      </c>
      <c r="M1118" s="247" t="n"/>
      <c r="N1118" s="247" t="n"/>
      <c r="O1118" s="248" t="inlineStr">
        <is>
          <t>Cầu Km19+529.080</t>
        </is>
      </c>
      <c r="P1118" s="249" t="n"/>
      <c r="Q1118" s="249" t="n"/>
      <c r="R1118" s="249" t="n"/>
      <c r="S1118" s="249" t="n"/>
      <c r="T1118" s="294" t="n"/>
      <c r="U1118" s="294" t="n"/>
      <c r="V1118" s="294" t="n"/>
      <c r="W1118" s="250" t="n"/>
      <c r="X1118" s="250" t="n"/>
      <c r="Y1118" s="250" t="n"/>
      <c r="Z1118" s="250" t="n"/>
      <c r="AA1118" s="251" t="n"/>
      <c r="AB1118" s="252" t="n"/>
      <c r="AC1118" s="252" t="inlineStr"/>
      <c r="AD1118" s="252" t="n"/>
      <c r="AE1118" s="252" t="n"/>
      <c r="AF1118" s="252" t="n"/>
      <c r="AG1118" s="252" t="n"/>
      <c r="AH1118" s="252" t="n"/>
      <c r="AI1118" s="250" t="n"/>
      <c r="AJ1118" s="250" t="n"/>
      <c r="AK1118" s="253" t="n"/>
      <c r="AL1118" s="250" t="n"/>
      <c r="AM1118" s="250" t="n"/>
      <c r="AN1118" s="250" t="n"/>
      <c r="AO1118" s="250" t="n"/>
      <c r="AP1118" s="254" t="n"/>
      <c r="AQ1118" s="254" t="n"/>
      <c r="AR1118" s="250" t="n"/>
      <c r="AS1118" s="250" t="n"/>
      <c r="AT1118" s="250" t="inlineStr">
        <is>
          <t>HM34</t>
        </is>
      </c>
      <c r="AU1118" s="250" t="inlineStr">
        <is>
          <t>HM</t>
        </is>
      </c>
      <c r="AV1118" s="250" t="n"/>
      <c r="AW1118" s="250" t="n"/>
      <c r="AX1118" s="250" t="n"/>
    </row>
    <row r="1119" ht="28" customFormat="1" customHeight="1" s="70">
      <c r="A1119" s="68" t="inlineStr">
        <is>
          <t>BBK_BIA</t>
        </is>
      </c>
      <c r="B1119" s="68" t="inlineStr">
        <is>
          <t>TRANGBIA</t>
        </is>
      </c>
      <c r="C1119" s="68" t="inlineStr">
        <is>
          <t>BBK_BIA.0033721</t>
        </is>
      </c>
      <c r="D1119" s="69" t="n"/>
      <c r="E1119" s="69" t="n"/>
      <c r="F1119" s="69" t="n"/>
      <c r="G1119" s="69" t="n"/>
      <c r="H1119" s="69" t="n"/>
      <c r="J1119" s="327" t="inlineStr">
        <is>
          <t>01</t>
        </is>
      </c>
      <c r="K1119" s="327" t="inlineStr">
        <is>
          <t>TRANGBIA</t>
        </is>
      </c>
      <c r="L1119" s="328">
        <f>"Cọc Khoan Nhồi"&amp;" - "&amp;L1118</f>
        <v/>
      </c>
      <c r="M1119" s="328" t="n"/>
      <c r="N1119" s="328" t="n"/>
      <c r="O1119" s="329" t="inlineStr">
        <is>
          <t>Cầu Km19+529.080</t>
        </is>
      </c>
      <c r="P1119" s="330" t="n"/>
      <c r="Q1119" s="330" t="n"/>
      <c r="R1119" s="330" t="n"/>
      <c r="S1119" s="330" t="n"/>
      <c r="T1119" s="330" t="n"/>
      <c r="U1119" s="330" t="n"/>
      <c r="V1119" s="330" t="n"/>
      <c r="W1119" s="331" t="n"/>
      <c r="X1119" s="331" t="n"/>
      <c r="Y1119" s="331" t="n"/>
      <c r="Z1119" s="331" t="n"/>
      <c r="AA1119" s="331" t="n"/>
      <c r="AB1119" s="331" t="n"/>
      <c r="AC1119" s="331" t="inlineStr"/>
      <c r="AD1119" s="331" t="n"/>
      <c r="AE1119" s="331" t="n"/>
      <c r="AF1119" s="331" t="n"/>
      <c r="AG1119" s="331" t="n"/>
      <c r="AH1119" s="331" t="n"/>
      <c r="AI1119" s="331" t="n"/>
      <c r="AJ1119" s="331" t="n"/>
      <c r="AK1119" s="329" t="n"/>
      <c r="AL1119" s="331" t="n"/>
      <c r="AM1119" s="331" t="n"/>
      <c r="AN1119" s="331" t="n"/>
      <c r="AO1119" s="331" t="n"/>
      <c r="AP1119" s="332" t="inlineStr">
        <is>
          <t>Kết cấu cọc khoan nhồi mố, trụ</t>
        </is>
      </c>
      <c r="AQ1119" s="333" t="n"/>
      <c r="AR1119" s="331" t="inlineStr">
        <is>
          <t>Nhóm 1</t>
        </is>
      </c>
      <c r="AS1119" s="331" t="n"/>
      <c r="AT1119" s="331" t="inlineStr">
        <is>
          <t>HM34</t>
        </is>
      </c>
      <c r="AU1119" s="331" t="inlineStr">
        <is>
          <t>TRANGBIA</t>
        </is>
      </c>
      <c r="AV1119" s="331" t="n">
        <v>34</v>
      </c>
      <c r="AW1119" s="331" t="n">
        <v>1</v>
      </c>
      <c r="AX1119" s="331" t="n"/>
    </row>
    <row r="1120" customFormat="1" s="70">
      <c r="A1120" s="68" t="inlineStr">
        <is>
          <t>BBK_ML</t>
        </is>
      </c>
      <c r="B1120" s="68" t="inlineStr">
        <is>
          <t>MUCLUC</t>
        </is>
      </c>
      <c r="C1120" s="68" t="inlineStr">
        <is>
          <t>BBK_ML.0747632</t>
        </is>
      </c>
      <c r="D1120" s="69" t="n"/>
      <c r="E1120" s="69" t="n"/>
      <c r="F1120" s="69" t="n"/>
      <c r="G1120" s="69" t="n"/>
      <c r="H1120" s="69" t="n"/>
      <c r="J1120" s="334" t="inlineStr">
        <is>
          <t>02</t>
        </is>
      </c>
      <c r="K1120" s="334" t="inlineStr">
        <is>
          <t>MUCLUC</t>
        </is>
      </c>
      <c r="L1120" s="335" t="inlineStr">
        <is>
          <t>Danh mục biên bản Kiểm tra/Nghiệm thu</t>
        </is>
      </c>
      <c r="M1120" s="335" t="n"/>
      <c r="N1120" s="335" t="n"/>
      <c r="O1120" s="336" t="inlineStr">
        <is>
          <t>Cầu Km19+529.080</t>
        </is>
      </c>
      <c r="P1120" s="337" t="n"/>
      <c r="Q1120" s="337" t="n"/>
      <c r="R1120" s="337" t="n"/>
      <c r="S1120" s="337" t="n"/>
      <c r="T1120" s="337" t="n"/>
      <c r="U1120" s="337" t="n"/>
      <c r="V1120" s="337" t="n"/>
      <c r="W1120" s="338" t="n"/>
      <c r="X1120" s="338" t="n"/>
      <c r="Y1120" s="338" t="n"/>
      <c r="Z1120" s="338" t="n"/>
      <c r="AA1120" s="338" t="n"/>
      <c r="AB1120" s="338" t="n"/>
      <c r="AC1120" s="338" t="inlineStr"/>
      <c r="AD1120" s="338" t="n"/>
      <c r="AE1120" s="338" t="n"/>
      <c r="AF1120" s="338" t="n"/>
      <c r="AG1120" s="338" t="n"/>
      <c r="AH1120" s="338" t="n"/>
      <c r="AI1120" s="338" t="n"/>
      <c r="AJ1120" s="338" t="n"/>
      <c r="AK1120" s="336" t="n"/>
      <c r="AL1120" s="338" t="n"/>
      <c r="AM1120" s="338" t="n"/>
      <c r="AN1120" s="338" t="n"/>
      <c r="AO1120" s="338" t="n"/>
      <c r="AP1120" s="339" t="n"/>
      <c r="AQ1120" s="339" t="n"/>
      <c r="AR1120" s="338" t="inlineStr">
        <is>
          <t>Nhóm 1</t>
        </is>
      </c>
      <c r="AS1120" s="338" t="n"/>
      <c r="AT1120" s="338" t="inlineStr">
        <is>
          <t>HM34</t>
        </is>
      </c>
      <c r="AU1120" s="338" t="inlineStr">
        <is>
          <t>MUCLUC</t>
        </is>
      </c>
      <c r="AV1120" s="338" t="n">
        <v>34</v>
      </c>
      <c r="AW1120" s="338" t="n">
        <v>1</v>
      </c>
      <c r="AX1120" s="338" t="n"/>
    </row>
    <row r="1121" ht="28" customHeight="1" s="672">
      <c r="A1121" s="56" t="inlineStr">
        <is>
          <t>BBK680</t>
        </is>
      </c>
      <c r="B1121" s="56" t="inlineStr">
        <is>
          <t>PYC</t>
        </is>
      </c>
      <c r="C1121" s="56" t="inlineStr">
        <is>
          <t>BBK680.0840702</t>
        </is>
      </c>
      <c r="D1121" s="57" t="n"/>
      <c r="E1121" s="57" t="n"/>
      <c r="F1121" s="57" t="n"/>
      <c r="G1121" s="57" t="n"/>
      <c r="H1121" s="57" t="n"/>
      <c r="J1121" s="237" t="inlineStr">
        <is>
          <t>03</t>
        </is>
      </c>
      <c r="K1121" s="237" t="inlineStr">
        <is>
          <t>PYC</t>
        </is>
      </c>
      <c r="L1121" s="238">
        <f>L1122</f>
        <v/>
      </c>
      <c r="M1121" s="238" t="n"/>
      <c r="N1121" s="238" t="n"/>
      <c r="O1121" s="239" t="inlineStr">
        <is>
          <t>Cầu Km19+529.080</t>
        </is>
      </c>
      <c r="P1121" s="240" t="n"/>
      <c r="Q1121" s="240" t="n"/>
      <c r="R1121" s="240">
        <f>R1122</f>
        <v/>
      </c>
      <c r="S1121" s="240">
        <f>+R1121+1</f>
        <v/>
      </c>
      <c r="T1121" s="304" t="n"/>
      <c r="U1121" s="304" t="n"/>
      <c r="V1121" s="304" t="n"/>
      <c r="W1121" s="241" t="n"/>
      <c r="X1121" s="241" t="n"/>
      <c r="Y1121" s="241" t="n"/>
      <c r="Z1121" s="241" t="n"/>
      <c r="AA1121" s="242" t="n"/>
      <c r="AB1121" s="305" t="inlineStr">
        <is>
          <t>307HG/PYCNT/CKN/M1</t>
        </is>
      </c>
      <c r="AC1121" s="305" t="inlineStr"/>
      <c r="AD1121" s="305" t="n"/>
      <c r="AE1121" s="305" t="n"/>
      <c r="AF1121" s="305" t="n"/>
      <c r="AG1121" s="242" t="inlineStr">
        <is>
          <t>SIEUAM</t>
        </is>
      </c>
      <c r="AH1121" s="305" t="n">
        <v>1</v>
      </c>
      <c r="AI1121" s="241" t="n"/>
      <c r="AJ1121" s="241" t="n"/>
      <c r="AK1121" s="244" t="n"/>
      <c r="AL1121" s="241" t="n"/>
      <c r="AM1121" s="241" t="n"/>
      <c r="AN1121" s="241" t="n"/>
      <c r="AO1121" s="241" t="n"/>
      <c r="AP1121" s="245" t="n"/>
      <c r="AQ1121" s="245" t="n"/>
      <c r="AR1121" s="241" t="inlineStr">
        <is>
          <t>Nhóm 1</t>
        </is>
      </c>
      <c r="AS1121" s="241" t="n"/>
      <c r="AT1121" s="241" t="inlineStr">
        <is>
          <t>HM34</t>
        </is>
      </c>
      <c r="AU1121" s="241" t="inlineStr">
        <is>
          <t>PYC</t>
        </is>
      </c>
      <c r="AV1121" s="241" t="n">
        <v>45</v>
      </c>
      <c r="AW1121" s="241" t="n">
        <v>1</v>
      </c>
      <c r="AX1121" s="241" t="n"/>
    </row>
    <row r="1122" ht="70" customHeight="1" s="672">
      <c r="A1122" s="56" t="inlineStr">
        <is>
          <t>BBK074</t>
        </is>
      </c>
      <c r="B1122" s="56" t="inlineStr">
        <is>
          <t>SIEUAM</t>
        </is>
      </c>
      <c r="C1122" s="56" t="inlineStr">
        <is>
          <t>BBK074.0294584</t>
        </is>
      </c>
      <c r="D1122" s="57" t="n"/>
      <c r="E1122" s="57" t="n"/>
      <c r="F1122" s="57" t="n"/>
      <c r="G1122" s="57" t="n"/>
      <c r="H1122" s="57" t="n"/>
      <c r="J1122" s="198" t="inlineStr">
        <is>
          <t>04</t>
        </is>
      </c>
      <c r="K1122" s="198" t="inlineStr">
        <is>
          <t>SIEUAM</t>
        </is>
      </c>
      <c r="L1122" s="199" t="inlineStr">
        <is>
          <t xml:space="preserve">Kiểm tra chất lượng cọc khoan nhồi bằng phương pháp siêu âm </t>
        </is>
      </c>
      <c r="M1122" s="199" t="n"/>
      <c r="N1122" s="199" t="n"/>
      <c r="O1122" s="200" t="inlineStr">
        <is>
          <t>Cầu Km19+529.080</t>
        </is>
      </c>
      <c r="P1122" s="201">
        <f>P262</f>
        <v/>
      </c>
      <c r="Q1122" s="201">
        <f>P1122</f>
        <v/>
      </c>
      <c r="R1122" s="201">
        <f>Q1122-1</f>
        <v/>
      </c>
      <c r="S1122" s="201">
        <f>Q1122</f>
        <v/>
      </c>
      <c r="T1122" s="208" t="n">
        <v>0.3541666666666667</v>
      </c>
      <c r="U1122" s="208">
        <f>T1122+V1122</f>
        <v/>
      </c>
      <c r="V1122" s="208" t="n">
        <v>0.0625</v>
      </c>
      <c r="W1122" s="202">
        <f>TEXT(T1122,"HH""h""MM'")&amp;"÷"&amp;TEXT(U1122,"HH""h""MM'")</f>
        <v/>
      </c>
      <c r="X1122" s="202" t="n"/>
      <c r="Y1122" s="202" t="n"/>
      <c r="Z1122" s="202" t="n"/>
      <c r="AA1122" s="203" t="inlineStr">
        <is>
          <t>Kiểm tra máy móc, thiết bị, nhân lực phục vụ kiểm tra siêu âm Cọc khoan nhồi mố M1;
Giám sát, theo dõi quá trình thực hiện công việc siêu âm Cọc khoan nhồi mố M1.</t>
        </is>
      </c>
      <c r="AB1122" s="205" t="n"/>
      <c r="AC1122" s="205" t="inlineStr">
        <is>
          <t>09-XL-307HG/BBNT/CKN/M1-1</t>
        </is>
      </c>
      <c r="AD1122" s="205" t="n"/>
      <c r="AE1122" s="205" t="n"/>
      <c r="AF1122" s="205" t="n"/>
      <c r="AG1122" s="205" t="n"/>
      <c r="AH1122" s="205" t="inlineStr">
        <is>
          <t>Sonic T2</t>
        </is>
      </c>
      <c r="AI1122" s="202" t="n"/>
      <c r="AJ1122" s="202" t="n"/>
      <c r="AK1122" s="206" t="n"/>
      <c r="AL1122" s="202" t="n"/>
      <c r="AM1122" s="202" t="n"/>
      <c r="AN1122" s="202" t="n"/>
      <c r="AO1122" s="202" t="n"/>
      <c r="AP1122" s="207" t="n"/>
      <c r="AQ1122" s="207" t="n"/>
      <c r="AR1122" s="202" t="inlineStr">
        <is>
          <t>Nhóm 1</t>
        </is>
      </c>
      <c r="AS1122" s="202" t="n"/>
      <c r="AT1122" s="202" t="inlineStr">
        <is>
          <t>HM34</t>
        </is>
      </c>
      <c r="AU1122" s="202" t="inlineStr">
        <is>
          <t>SIEUAM</t>
        </is>
      </c>
      <c r="AV1122" s="202" t="n">
        <v>16</v>
      </c>
      <c r="AW1122" s="202" t="n">
        <v>1</v>
      </c>
      <c r="AX1122" s="202" t="n"/>
    </row>
    <row r="1123">
      <c r="A1123" s="56" t="inlineStr">
        <is>
          <t>BBK680</t>
        </is>
      </c>
      <c r="B1123" s="56" t="inlineStr">
        <is>
          <t>PYC</t>
        </is>
      </c>
      <c r="C1123" s="56" t="inlineStr">
        <is>
          <t>BBK680.0421160</t>
        </is>
      </c>
      <c r="D1123" s="57" t="n"/>
      <c r="E1123" s="57" t="n"/>
      <c r="F1123" s="57" t="n"/>
      <c r="G1123" s="57" t="n"/>
      <c r="H1123" s="57" t="n"/>
      <c r="J1123" s="198" t="inlineStr">
        <is>
          <t>05</t>
        </is>
      </c>
      <c r="K1123" s="198" t="inlineStr">
        <is>
          <t>PYC</t>
        </is>
      </c>
      <c r="L1123" s="199">
        <f>L1124</f>
        <v/>
      </c>
      <c r="M1123" s="199" t="n"/>
      <c r="N1123" s="199" t="n"/>
      <c r="O1123" s="200" t="inlineStr">
        <is>
          <t>Cầu Km19+529.080</t>
        </is>
      </c>
      <c r="P1123" s="201" t="n"/>
      <c r="Q1123" s="201" t="n"/>
      <c r="R1123" s="201">
        <f>R1124</f>
        <v/>
      </c>
      <c r="S1123" s="201">
        <f>+R1123+1</f>
        <v/>
      </c>
      <c r="T1123" s="208" t="n"/>
      <c r="U1123" s="208" t="n"/>
      <c r="V1123" s="208" t="n"/>
      <c r="W1123" s="202" t="n"/>
      <c r="X1123" s="202" t="n"/>
      <c r="Y1123" s="202" t="n"/>
      <c r="Z1123" s="202" t="n"/>
      <c r="AA1123" s="203" t="n"/>
      <c r="AB1123" s="305" t="inlineStr">
        <is>
          <t>307HG/PYCNT/CKN/M1</t>
        </is>
      </c>
      <c r="AC1123" s="205" t="inlineStr"/>
      <c r="AD1123" s="205" t="n"/>
      <c r="AE1123" s="205" t="n"/>
      <c r="AF1123" s="205" t="n"/>
      <c r="AG1123" s="242" t="inlineStr">
        <is>
          <t>SIEUAM</t>
        </is>
      </c>
      <c r="AH1123" s="205" t="n">
        <v>2</v>
      </c>
      <c r="AI1123" s="202" t="n"/>
      <c r="AJ1123" s="202" t="n"/>
      <c r="AK1123" s="206" t="n"/>
      <c r="AL1123" s="202" t="n"/>
      <c r="AM1123" s="202" t="n"/>
      <c r="AN1123" s="202" t="n"/>
      <c r="AO1123" s="202" t="n"/>
      <c r="AP1123" s="207" t="n"/>
      <c r="AQ1123" s="207" t="n"/>
      <c r="AR1123" s="202" t="inlineStr">
        <is>
          <t>Nhóm 1</t>
        </is>
      </c>
      <c r="AS1123" s="202" t="n"/>
      <c r="AT1123" s="202" t="inlineStr">
        <is>
          <t>HM34</t>
        </is>
      </c>
      <c r="AU1123" s="202" t="inlineStr">
        <is>
          <t>PYC</t>
        </is>
      </c>
      <c r="AV1123" s="202" t="n">
        <v>47</v>
      </c>
      <c r="AW1123" s="202" t="n">
        <v>2</v>
      </c>
      <c r="AX1123" s="202" t="n"/>
    </row>
    <row r="1124" ht="56" customHeight="1" s="672">
      <c r="A1124" s="56" t="inlineStr">
        <is>
          <t>BBK074</t>
        </is>
      </c>
      <c r="B1124" s="56" t="inlineStr">
        <is>
          <t>SIEUAM</t>
        </is>
      </c>
      <c r="C1124" s="56" t="inlineStr">
        <is>
          <t>BBK074.0514270</t>
        </is>
      </c>
      <c r="D1124" s="57" t="n"/>
      <c r="E1124" s="57" t="n"/>
      <c r="F1124" s="57" t="n"/>
      <c r="G1124" s="57" t="n"/>
      <c r="H1124" s="57" t="n"/>
      <c r="J1124" s="198" t="inlineStr">
        <is>
          <t>06</t>
        </is>
      </c>
      <c r="K1124" s="198" t="inlineStr">
        <is>
          <t>SIEUAM</t>
        </is>
      </c>
      <c r="L1124" s="199" t="inlineStr">
        <is>
          <t xml:space="preserve">Khoan kiểm tra mùn đầu cọc và lấy lõi để kiểm tra </t>
        </is>
      </c>
      <c r="M1124" s="199" t="n"/>
      <c r="N1124" s="199" t="n"/>
      <c r="O1124" s="200" t="inlineStr">
        <is>
          <t>Cầu Km19+529.080</t>
        </is>
      </c>
      <c r="P1124" s="201">
        <f>P1122+1</f>
        <v/>
      </c>
      <c r="Q1124" s="201">
        <f>P1124</f>
        <v/>
      </c>
      <c r="R1124" s="201">
        <f>Q1124-1</f>
        <v/>
      </c>
      <c r="S1124" s="201">
        <f>Q1124</f>
        <v/>
      </c>
      <c r="T1124" s="208">
        <f>U1122+TIME(,45,)</f>
        <v/>
      </c>
      <c r="U1124" s="208">
        <f>T1124+V1124</f>
        <v/>
      </c>
      <c r="V1124" s="208" t="n">
        <v>0.08333333333333333</v>
      </c>
      <c r="W1124" s="202">
        <f>TEXT(T1124,"HH""h""MM'")&amp;"÷"&amp;TEXT(U1124,"HH""h""MM'")</f>
        <v/>
      </c>
      <c r="X1124" s="202" t="n"/>
      <c r="Y1124" s="202" t="n"/>
      <c r="Z1124" s="202" t="n"/>
      <c r="AA1124" s="203" t="inlineStr">
        <is>
          <t>Kiểm tra máy móc, thiết bị, nhân lực phục vụ khoan mùn và giám sát kiểm tra quá trình khoan mùn mũi Cọc khoan nhồi Mố M1.</t>
        </is>
      </c>
      <c r="AB1124" s="205" t="n"/>
      <c r="AC1124" s="205" t="inlineStr">
        <is>
          <t>09-XL-307HG/BBNT/CKN/M1-2</t>
        </is>
      </c>
      <c r="AD1124" s="205" t="n"/>
      <c r="AE1124" s="205" t="n"/>
      <c r="AF1124" s="205" t="n"/>
      <c r="AG1124" s="205" t="n"/>
      <c r="AH1124" s="205" t="inlineStr">
        <is>
          <t>Khoanmun T2</t>
        </is>
      </c>
      <c r="AI1124" s="202" t="n"/>
      <c r="AJ1124" s="202" t="n"/>
      <c r="AK1124" s="206" t="n"/>
      <c r="AL1124" s="202" t="n"/>
      <c r="AM1124" s="202" t="n"/>
      <c r="AN1124" s="202" t="n"/>
      <c r="AO1124" s="202" t="n"/>
      <c r="AP1124" s="207" t="n"/>
      <c r="AQ1124" s="207" t="n"/>
      <c r="AR1124" s="202" t="inlineStr">
        <is>
          <t>Nhóm 1</t>
        </is>
      </c>
      <c r="AS1124" s="202" t="n"/>
      <c r="AT1124" s="202" t="inlineStr">
        <is>
          <t>HM34</t>
        </is>
      </c>
      <c r="AU1124" s="202" t="inlineStr">
        <is>
          <t>SIEUAM</t>
        </is>
      </c>
      <c r="AV1124" s="202" t="n">
        <v>17</v>
      </c>
      <c r="AW1124" s="202" t="n">
        <v>2</v>
      </c>
      <c r="AX1124" s="202" t="n"/>
    </row>
    <row r="1125" ht="28" customHeight="1" s="672">
      <c r="A1125" s="56" t="inlineStr">
        <is>
          <t>BBK680</t>
        </is>
      </c>
      <c r="B1125" s="56" t="inlineStr">
        <is>
          <t>PYC</t>
        </is>
      </c>
      <c r="C1125" s="56" t="inlineStr">
        <is>
          <t>BBK680.0003923</t>
        </is>
      </c>
      <c r="D1125" s="57" t="n"/>
      <c r="E1125" s="57" t="n"/>
      <c r="F1125" s="57" t="n"/>
      <c r="G1125" s="57" t="n"/>
      <c r="H1125" s="57" t="n"/>
      <c r="J1125" s="198" t="inlineStr">
        <is>
          <t>07</t>
        </is>
      </c>
      <c r="K1125" s="198" t="inlineStr">
        <is>
          <t>PYC</t>
        </is>
      </c>
      <c r="L1125" s="199">
        <f>L1126</f>
        <v/>
      </c>
      <c r="M1125" s="199" t="n"/>
      <c r="N1125" s="199" t="n"/>
      <c r="O1125" s="200" t="n"/>
      <c r="P1125" s="201" t="n"/>
      <c r="Q1125" s="201" t="n"/>
      <c r="R1125" s="201">
        <f>R1126</f>
        <v/>
      </c>
      <c r="S1125" s="201">
        <f>+R1125+1</f>
        <v/>
      </c>
      <c r="T1125" s="208" t="n"/>
      <c r="U1125" s="208" t="n"/>
      <c r="V1125" s="208" t="n"/>
      <c r="W1125" s="202" t="n"/>
      <c r="X1125" s="202" t="n"/>
      <c r="Y1125" s="202" t="n"/>
      <c r="Z1125" s="202" t="n"/>
      <c r="AA1125" s="203" t="n"/>
      <c r="AB1125" s="305" t="inlineStr">
        <is>
          <t>307HG/PYCNT/CKN/M1</t>
        </is>
      </c>
      <c r="AC1125" s="205" t="inlineStr"/>
      <c r="AD1125" s="203" t="n"/>
      <c r="AE1125" s="203" t="n"/>
      <c r="AF1125" s="203" t="n"/>
      <c r="AG1125" s="242" t="inlineStr">
        <is>
          <t>SIEUAM</t>
        </is>
      </c>
      <c r="AH1125" s="203" t="n">
        <v>3</v>
      </c>
      <c r="AI1125" s="207" t="n"/>
      <c r="AJ1125" s="202" t="n"/>
      <c r="AK1125" s="206" t="n"/>
      <c r="AL1125" s="202" t="n"/>
      <c r="AM1125" s="202" t="n"/>
      <c r="AN1125" s="202" t="n"/>
      <c r="AO1125" s="202" t="n"/>
      <c r="AP1125" s="207" t="n"/>
      <c r="AQ1125" s="207" t="n"/>
      <c r="AR1125" s="202" t="inlineStr">
        <is>
          <t>Nhóm 1</t>
        </is>
      </c>
      <c r="AS1125" s="202" t="n"/>
      <c r="AT1125" s="202" t="inlineStr">
        <is>
          <t>HM34</t>
        </is>
      </c>
      <c r="AU1125" s="202" t="inlineStr">
        <is>
          <t>PYC</t>
        </is>
      </c>
      <c r="AV1125" s="202" t="n">
        <v>48</v>
      </c>
      <c r="AW1125" s="202" t="n">
        <v>3</v>
      </c>
      <c r="AX1125" s="202" t="n"/>
    </row>
    <row r="1126" ht="84" customHeight="1" s="672">
      <c r="A1126" s="56" t="inlineStr">
        <is>
          <t>BBK074</t>
        </is>
      </c>
      <c r="B1126" s="56" t="inlineStr">
        <is>
          <t>SIEUAM</t>
        </is>
      </c>
      <c r="C1126" s="56" t="inlineStr">
        <is>
          <t>BBK074.0665517</t>
        </is>
      </c>
      <c r="D1126" s="57" t="n"/>
      <c r="E1126" s="57" t="n"/>
      <c r="F1126" s="57" t="n"/>
      <c r="G1126" s="57" t="n"/>
      <c r="H1126" s="57" t="n"/>
      <c r="J1126" s="198" t="inlineStr">
        <is>
          <t>08</t>
        </is>
      </c>
      <c r="K1126" s="198" t="inlineStr">
        <is>
          <t>SIEUAM</t>
        </is>
      </c>
      <c r="L1126" s="199" t="inlineStr">
        <is>
          <t>Kiểm tra máy móc, thiết bị chuẩn bị bơm vữa lấp ống siêu âm</t>
        </is>
      </c>
      <c r="M1126" s="199" t="n"/>
      <c r="N1126" s="199" t="n"/>
      <c r="O1126" s="200" t="inlineStr">
        <is>
          <t>Cầu Km19+529.080</t>
        </is>
      </c>
      <c r="P1126" s="201">
        <f>P1124</f>
        <v/>
      </c>
      <c r="Q1126" s="201">
        <f>P1126</f>
        <v/>
      </c>
      <c r="R1126" s="201">
        <f>Q1126-1</f>
        <v/>
      </c>
      <c r="S1126" s="201">
        <f>Q1126</f>
        <v/>
      </c>
      <c r="T1126" s="208">
        <f>U1124+TIME(,45,)</f>
        <v/>
      </c>
      <c r="U1126" s="208">
        <f>T1126+V1126</f>
        <v/>
      </c>
      <c r="V1126" s="208" t="n">
        <v>0.04166666666666666</v>
      </c>
      <c r="W1126" s="202">
        <f>TEXT(T1126,"HH""h""MM'")&amp;"÷"&amp;TEXT(U1126,"HH""h""MM'")</f>
        <v/>
      </c>
      <c r="X1126" s="202" t="n"/>
      <c r="Y1126" s="202" t="n"/>
      <c r="Z1126" s="202" t="n"/>
      <c r="AA1126" s="203" t="inlineStr">
        <is>
          <t>Kiểm tra vật liệu, máy móc, thiết bị, nhân lực phục vụ bơm vữa lấp lòng ống siêu âm cọc khoan nhồi Mố M1;
Giám sát, theo dỏi quá trình thực hiện công việc  bơm vữa lấp lòng ống siêu âm cọc khoan nhồi Mố M1.</t>
        </is>
      </c>
      <c r="AB1126" s="205" t="n"/>
      <c r="AC1126" s="205" t="inlineStr">
        <is>
          <t>09-XL-307HG/BBNT/CKN/M1-3</t>
        </is>
      </c>
      <c r="AD1126" s="203" t="n"/>
      <c r="AE1126" s="203" t="n"/>
      <c r="AF1126" s="203" t="n"/>
      <c r="AG1126" s="203" t="n"/>
      <c r="AH1126" s="205" t="inlineStr">
        <is>
          <t>CBBV</t>
        </is>
      </c>
      <c r="AI1126" s="207" t="n"/>
      <c r="AJ1126" s="202" t="n"/>
      <c r="AK1126" s="206" t="n"/>
      <c r="AL1126" s="202" t="n"/>
      <c r="AM1126" s="202" t="n"/>
      <c r="AN1126" s="202" t="n"/>
      <c r="AO1126" s="202" t="n"/>
      <c r="AP1126" s="207" t="n"/>
      <c r="AQ1126" s="207" t="n"/>
      <c r="AR1126" s="202" t="inlineStr">
        <is>
          <t>Nhóm 1</t>
        </is>
      </c>
      <c r="AS1126" s="202" t="n"/>
      <c r="AT1126" s="202" t="inlineStr">
        <is>
          <t>HM34</t>
        </is>
      </c>
      <c r="AU1126" s="202" t="inlineStr">
        <is>
          <t>SIEUAM</t>
        </is>
      </c>
      <c r="AV1126" s="202" t="n">
        <v>18</v>
      </c>
      <c r="AW1126" s="202" t="n">
        <v>3</v>
      </c>
      <c r="AX1126" s="202" t="n"/>
    </row>
    <row r="1127">
      <c r="A1127" s="56" t="inlineStr">
        <is>
          <t>BBK860</t>
        </is>
      </c>
      <c r="B1127" s="56" t="inlineStr">
        <is>
          <t>PL01</t>
        </is>
      </c>
      <c r="C1127" s="56" t="inlineStr">
        <is>
          <t>BBK860.0976572</t>
        </is>
      </c>
      <c r="D1127" s="57" t="n"/>
      <c r="E1127" s="57" t="n"/>
      <c r="F1127" s="57" t="n"/>
      <c r="G1127" s="57" t="n"/>
      <c r="H1127" s="57" t="n"/>
      <c r="J1127" s="198" t="inlineStr">
        <is>
          <t>09</t>
        </is>
      </c>
      <c r="K1127" s="198" t="inlineStr">
        <is>
          <t>PL01</t>
        </is>
      </c>
      <c r="L1127" s="199" t="inlineStr">
        <is>
          <t>Phụ lục số 01</t>
        </is>
      </c>
      <c r="M1127" s="199" t="n"/>
      <c r="N1127" s="199" t="n"/>
      <c r="O1127" s="200" t="inlineStr">
        <is>
          <t>Cầu Km19+529.080</t>
        </is>
      </c>
      <c r="P1127" s="201" t="n"/>
      <c r="Q1127" s="201" t="n"/>
      <c r="R1127" s="201" t="n"/>
      <c r="S1127" s="201">
        <f>S1126</f>
        <v/>
      </c>
      <c r="T1127" s="201" t="n"/>
      <c r="U1127" s="201" t="n"/>
      <c r="V1127" s="201" t="n"/>
      <c r="W1127" s="202" t="n"/>
      <c r="X1127" s="202" t="n"/>
      <c r="Y1127" s="202" t="n"/>
      <c r="Z1127" s="198" t="inlineStr">
        <is>
          <t>01</t>
        </is>
      </c>
      <c r="AA1127" s="203" t="n"/>
      <c r="AB1127" s="203" t="n"/>
      <c r="AC1127" s="204">
        <f>AC1126</f>
        <v/>
      </c>
      <c r="AD1127" s="203" t="n"/>
      <c r="AE1127" s="203" t="n"/>
      <c r="AF1127" s="203" t="n"/>
      <c r="AG1127" s="295" t="n"/>
      <c r="AH1127" s="205" t="inlineStr">
        <is>
          <t>CBBV</t>
        </is>
      </c>
      <c r="AI1127" s="207" t="n"/>
      <c r="AJ1127" s="202" t="n"/>
      <c r="AK1127" s="206" t="n"/>
      <c r="AL1127" s="202" t="n"/>
      <c r="AM1127" s="202" t="n"/>
      <c r="AN1127" s="202" t="n"/>
      <c r="AO1127" s="202" t="n"/>
      <c r="AP1127" s="207" t="n"/>
      <c r="AQ1127" s="207" t="n"/>
      <c r="AR1127" s="202" t="inlineStr">
        <is>
          <t>Nhóm 1</t>
        </is>
      </c>
      <c r="AS1127" s="202" t="n"/>
      <c r="AT1127" s="202" t="inlineStr">
        <is>
          <t>HM34</t>
        </is>
      </c>
      <c r="AU1127" s="202" t="inlineStr">
        <is>
          <t>PL01</t>
        </is>
      </c>
      <c r="AV1127" s="202" t="n">
        <v>33</v>
      </c>
      <c r="AW1127" s="202" t="n">
        <v>1</v>
      </c>
      <c r="AX1127" s="202" t="n"/>
    </row>
    <row r="1128">
      <c r="A1128" s="56" t="inlineStr">
        <is>
          <t>BBK074</t>
        </is>
      </c>
      <c r="B1128" s="56" t="inlineStr">
        <is>
          <t>SIEUAM</t>
        </is>
      </c>
      <c r="C1128" s="56" t="inlineStr">
        <is>
          <t>BBK074.0093396</t>
        </is>
      </c>
      <c r="D1128" s="57" t="n"/>
      <c r="E1128" s="57" t="n"/>
      <c r="F1128" s="57" t="n"/>
      <c r="G1128" s="57" t="n"/>
      <c r="H1128" s="57" t="n"/>
      <c r="J1128" s="266" t="inlineStr">
        <is>
          <t>10</t>
        </is>
      </c>
      <c r="K1128" s="266" t="inlineStr">
        <is>
          <t>SIEUAM</t>
        </is>
      </c>
      <c r="L1128" s="267" t="inlineStr">
        <is>
          <t>Bơm vữa lấp lòng ống siêu âm cọc khoan nhồi</t>
        </is>
      </c>
      <c r="M1128" s="267" t="n"/>
      <c r="N1128" s="267" t="n"/>
      <c r="O1128" s="268" t="inlineStr">
        <is>
          <t>Cầu Km19+529.080</t>
        </is>
      </c>
      <c r="P1128" s="269">
        <f>P1126</f>
        <v/>
      </c>
      <c r="Q1128" s="269">
        <f>P1128</f>
        <v/>
      </c>
      <c r="R1128" s="269">
        <f>Q1128-1</f>
        <v/>
      </c>
      <c r="S1128" s="269">
        <f>Q1128</f>
        <v/>
      </c>
      <c r="T1128" s="296">
        <f>U1126+TIME(,10,)</f>
        <v/>
      </c>
      <c r="U1128" s="296">
        <f>T1128+V1128</f>
        <v/>
      </c>
      <c r="V1128" s="296" t="n">
        <v>0.1458333333333333</v>
      </c>
      <c r="W1128" s="270">
        <f>TEXT(T1128,"HH""h""MM'")&amp;"÷"&amp;TEXT(U1128,"HH""h""MM'")</f>
        <v/>
      </c>
      <c r="X1128" s="270" t="n"/>
      <c r="Y1128" s="270" t="n"/>
      <c r="Z1128" s="270" t="n"/>
      <c r="AA1128" s="271" t="n"/>
      <c r="AB1128" s="271" t="n"/>
      <c r="AC1128" s="271" t="inlineStr">
        <is>
          <t>09-XL-307HG/BBNT/CKN/M1-4</t>
        </is>
      </c>
      <c r="AD1128" s="271" t="n"/>
      <c r="AE1128" s="271" t="n"/>
      <c r="AF1128" s="271" t="n"/>
      <c r="AG1128" s="271" t="n"/>
      <c r="AH1128" s="297" t="inlineStr">
        <is>
          <t>Bomvua T2</t>
        </is>
      </c>
      <c r="AI1128" s="273" t="n"/>
      <c r="AJ1128" s="270" t="n"/>
      <c r="AK1128" s="272" t="n"/>
      <c r="AL1128" s="270" t="n"/>
      <c r="AM1128" s="270" t="n"/>
      <c r="AN1128" s="270" t="n"/>
      <c r="AO1128" s="270" t="n"/>
      <c r="AP1128" s="273" t="n"/>
      <c r="AQ1128" s="273" t="n"/>
      <c r="AR1128" s="270" t="inlineStr">
        <is>
          <t>Nhóm 1</t>
        </is>
      </c>
      <c r="AS1128" s="270" t="n"/>
      <c r="AT1128" s="270" t="inlineStr">
        <is>
          <t>HM34</t>
        </is>
      </c>
      <c r="AU1128" s="270" t="inlineStr">
        <is>
          <t>SIEUAM</t>
        </is>
      </c>
      <c r="AV1128" s="270" t="n">
        <v>19</v>
      </c>
      <c r="AW1128" s="270" t="n">
        <v>4</v>
      </c>
      <c r="AX1128" s="270" t="n"/>
    </row>
    <row r="1129">
      <c r="A1129" s="56" t="inlineStr">
        <is>
          <t>LMHT</t>
        </is>
      </c>
      <c r="B1129" s="56" t="inlineStr">
        <is>
          <t>LMHT</t>
        </is>
      </c>
      <c r="C1129" s="56" t="inlineStr">
        <is>
          <t>LMHT.0780459</t>
        </is>
      </c>
      <c r="D1129" s="57" t="inlineStr">
        <is>
          <t>TC.000041|TC.000182|TC.000169.A</t>
        </is>
      </c>
      <c r="E1129" s="57" t="n"/>
      <c r="F1129" s="57" t="inlineStr">
        <is>
          <t>CP.0001^Vữa bơm lấp ống siêu âm cọc khoan nhồi mố M1^(40x40x160)mm^12^V30 (Mpa)^^^TC.000041|TC.000182|TC.000169.A</t>
        </is>
      </c>
      <c r="G1129" s="57" t="n"/>
      <c r="H1129" s="57" t="n"/>
      <c r="J1129" s="175" t="inlineStr">
        <is>
          <t>11</t>
        </is>
      </c>
      <c r="K1129" s="175" t="inlineStr">
        <is>
          <t>LMHT</t>
        </is>
      </c>
      <c r="L1129" s="176" t="inlineStr">
        <is>
          <t>Vữa bơm lấp ống siêu âm cọc khoan nhồi mố M1</t>
        </is>
      </c>
      <c r="M1129" s="176" t="n"/>
      <c r="N1129" s="176" t="n"/>
      <c r="O1129" s="177">
        <f>O1128</f>
        <v/>
      </c>
      <c r="P1129" s="299" t="n"/>
      <c r="Q1129" s="299" t="n"/>
      <c r="R1129" s="299" t="n"/>
      <c r="S1129" s="299">
        <f>S1128</f>
        <v/>
      </c>
      <c r="T1129" s="300">
        <f>T1128</f>
        <v/>
      </c>
      <c r="U1129" s="300">
        <f>U1128</f>
        <v/>
      </c>
      <c r="V1129" s="300">
        <f>V1128</f>
        <v/>
      </c>
      <c r="W1129" s="301">
        <f>TEXT(T1129,"HH""h""MM'")&amp;"÷"&amp;TEXT(U1129,"HH""h""MM'")</f>
        <v/>
      </c>
      <c r="X1129" s="301" t="n"/>
      <c r="Y1129" s="301" t="n"/>
      <c r="Z1129" s="301" t="n"/>
      <c r="AA1129" s="180" t="n"/>
      <c r="AB1129" s="180" t="n"/>
      <c r="AC1129" s="302" t="n"/>
      <c r="AD1129" s="180" t="n"/>
      <c r="AE1129" s="180" t="n"/>
      <c r="AF1129" s="180" t="n"/>
      <c r="AG1129" s="180" t="n"/>
      <c r="AH1129" s="302" t="n"/>
      <c r="AI1129" s="181" t="n"/>
      <c r="AJ1129" s="301" t="n"/>
      <c r="AK1129" s="303" t="n"/>
      <c r="AL1129" s="301" t="n"/>
      <c r="AM1129" s="301" t="n"/>
      <c r="AN1129" s="301" t="n"/>
      <c r="AO1129" s="301" t="n"/>
      <c r="AP1129" s="181" t="n"/>
      <c r="AQ1129" s="181" t="n"/>
      <c r="AR1129" s="301" t="inlineStr">
        <is>
          <t>Nhóm 1</t>
        </is>
      </c>
      <c r="AS1129" s="301" t="n"/>
      <c r="AT1129" s="301" t="inlineStr">
        <is>
          <t>HM34</t>
        </is>
      </c>
      <c r="AU1129" s="301" t="inlineStr">
        <is>
          <t>LMHT</t>
        </is>
      </c>
      <c r="AV1129" s="301" t="n">
        <v>38</v>
      </c>
      <c r="AW1129" s="301" t="n">
        <v>1</v>
      </c>
      <c r="AX1129" s="301" t="n"/>
    </row>
    <row r="1130" ht="42" customHeight="1" s="672">
      <c r="A1130" s="56" t="inlineStr">
        <is>
          <t>BBK680</t>
        </is>
      </c>
      <c r="B1130" s="56" t="inlineStr">
        <is>
          <t>PYC</t>
        </is>
      </c>
      <c r="C1130" s="56" t="inlineStr">
        <is>
          <t>BBK680.0044161</t>
        </is>
      </c>
      <c r="D1130" s="57" t="n"/>
      <c r="E1130" s="57" t="n"/>
      <c r="F1130" s="57" t="n"/>
      <c r="G1130" s="57" t="n"/>
      <c r="H1130" s="57" t="n"/>
      <c r="J1130" s="139" t="inlineStr">
        <is>
          <t>12</t>
        </is>
      </c>
      <c r="K1130" s="139" t="inlineStr">
        <is>
          <t>PYC</t>
        </is>
      </c>
      <c r="L1130" s="140">
        <f>L1129</f>
        <v/>
      </c>
      <c r="M1130" s="140" t="n"/>
      <c r="N1130" s="140" t="n"/>
      <c r="O1130" s="141" t="inlineStr">
        <is>
          <t>Phòng thí nghiệm hiện trường LAS - XD 726</t>
        </is>
      </c>
      <c r="P1130" s="382" t="n"/>
      <c r="Q1130" s="382" t="n"/>
      <c r="R1130" s="382">
        <f>S1130-1</f>
        <v/>
      </c>
      <c r="S1130" s="382">
        <f>S1129+7</f>
        <v/>
      </c>
      <c r="T1130" s="383" t="n">
        <v>0.3541666666666667</v>
      </c>
      <c r="U1130" s="383">
        <f>T1130+V1130</f>
        <v/>
      </c>
      <c r="V1130" s="383" t="n">
        <v>0.0625</v>
      </c>
      <c r="W1130" s="384">
        <f>TEXT(T1130,"HH""h""MM'")&amp;"÷"&amp;TEXT(U1130,"HH""h""MM'")</f>
        <v/>
      </c>
      <c r="X1130" s="384" t="n"/>
      <c r="Y1130" s="384" t="n"/>
      <c r="Z1130" s="384" t="n"/>
      <c r="AA1130" s="144" t="inlineStr">
        <is>
          <t>Giám sát công tác nén mẫu R7 vữa xi măng lấp lòng ống siêu âm Cọc khoan nhồi Mố M1.</t>
        </is>
      </c>
      <c r="AB1130" s="385" t="inlineStr">
        <is>
          <t>307HG/PYCNT/CKN/M1</t>
        </is>
      </c>
      <c r="AC1130" s="385" t="n"/>
      <c r="AD1130" s="144" t="n"/>
      <c r="AE1130" s="144" t="n"/>
      <c r="AF1130" s="144" t="n"/>
      <c r="AG1130" s="144" t="inlineStr">
        <is>
          <t>PYC</t>
        </is>
      </c>
      <c r="AH1130" s="144" t="n">
        <v>4</v>
      </c>
      <c r="AI1130" s="146" t="n"/>
      <c r="AJ1130" s="384" t="n"/>
      <c r="AK1130" s="386" t="n"/>
      <c r="AL1130" s="384" t="n"/>
      <c r="AM1130" s="384" t="n"/>
      <c r="AN1130" s="384" t="n"/>
      <c r="AO1130" s="384" t="n"/>
      <c r="AP1130" s="146" t="n"/>
      <c r="AQ1130" s="146" t="n"/>
      <c r="AR1130" s="384" t="inlineStr">
        <is>
          <t>Nhóm 1</t>
        </is>
      </c>
      <c r="AS1130" s="384" t="n"/>
      <c r="AT1130" s="384" t="inlineStr">
        <is>
          <t>HM34</t>
        </is>
      </c>
      <c r="AU1130" s="384" t="inlineStr">
        <is>
          <t>PYC</t>
        </is>
      </c>
      <c r="AV1130" s="384" t="n">
        <v>65</v>
      </c>
      <c r="AW1130" s="384" t="n">
        <v>4</v>
      </c>
      <c r="AX1130" s="384" t="n"/>
    </row>
    <row r="1131" ht="42" customHeight="1" s="672">
      <c r="A1131" s="56" t="inlineStr">
        <is>
          <t>BBK680</t>
        </is>
      </c>
      <c r="B1131" s="56" t="inlineStr">
        <is>
          <t>PYC</t>
        </is>
      </c>
      <c r="C1131" s="56" t="inlineStr">
        <is>
          <t>BBK680.0965886</t>
        </is>
      </c>
      <c r="D1131" s="57" t="n"/>
      <c r="E1131" s="57" t="n"/>
      <c r="F1131" s="57" t="n"/>
      <c r="G1131" s="57" t="n"/>
      <c r="H1131" s="57" t="n"/>
      <c r="J1131" s="139" t="inlineStr">
        <is>
          <t>13</t>
        </is>
      </c>
      <c r="K1131" s="139" t="inlineStr">
        <is>
          <t>PYC</t>
        </is>
      </c>
      <c r="L1131" s="140">
        <f>L1130</f>
        <v/>
      </c>
      <c r="M1131" s="140" t="n"/>
      <c r="N1131" s="140" t="n"/>
      <c r="O1131" s="141">
        <f>O1130</f>
        <v/>
      </c>
      <c r="P1131" s="382" t="n"/>
      <c r="Q1131" s="382" t="n"/>
      <c r="R1131" s="382">
        <f>S1131-1</f>
        <v/>
      </c>
      <c r="S1131" s="382">
        <f>S1129+28</f>
        <v/>
      </c>
      <c r="T1131" s="383" t="n">
        <v>0.3958333333333333</v>
      </c>
      <c r="U1131" s="383">
        <f>T1131+V1131</f>
        <v/>
      </c>
      <c r="V1131" s="383" t="n">
        <v>0.0625</v>
      </c>
      <c r="W1131" s="384">
        <f>TEXT(T1131,"HH""h""MM'")&amp;"÷"&amp;TEXT(U1131,"HH""h""MM'")</f>
        <v/>
      </c>
      <c r="X1131" s="384" t="n"/>
      <c r="Y1131" s="384" t="n"/>
      <c r="Z1131" s="384" t="n"/>
      <c r="AA1131" s="144" t="inlineStr">
        <is>
          <t>Giám sát công tác nén mẫu R28 vữa xi măng lấp lòng ống siêu âm Cọc khoan nhồi Mố M1.</t>
        </is>
      </c>
      <c r="AB1131" s="385" t="inlineStr">
        <is>
          <t>307HG/PYCNT/CKN/M1</t>
        </is>
      </c>
      <c r="AC1131" s="144" t="inlineStr"/>
      <c r="AD1131" s="144" t="n"/>
      <c r="AE1131" s="144" t="n"/>
      <c r="AF1131" s="144" t="n"/>
      <c r="AG1131" s="144" t="inlineStr">
        <is>
          <t>PYC</t>
        </is>
      </c>
      <c r="AH1131" s="144" t="n">
        <v>5</v>
      </c>
      <c r="AI1131" s="146" t="n"/>
      <c r="AJ1131" s="384" t="n"/>
      <c r="AK1131" s="386" t="n"/>
      <c r="AL1131" s="384" t="n"/>
      <c r="AM1131" s="384" t="n"/>
      <c r="AN1131" s="384" t="n"/>
      <c r="AO1131" s="384" t="n"/>
      <c r="AP1131" s="146" t="n"/>
      <c r="AQ1131" s="146" t="n"/>
      <c r="AR1131" s="384" t="inlineStr">
        <is>
          <t>Nhóm 1</t>
        </is>
      </c>
      <c r="AS1131" s="384" t="n"/>
      <c r="AT1131" s="384" t="inlineStr">
        <is>
          <t>HM34</t>
        </is>
      </c>
      <c r="AU1131" s="384" t="inlineStr">
        <is>
          <t>PYC</t>
        </is>
      </c>
      <c r="AV1131" s="384" t="n">
        <v>114</v>
      </c>
      <c r="AW1131" s="384" t="n">
        <v>5</v>
      </c>
      <c r="AX1131" s="384" t="n"/>
    </row>
    <row r="1132" ht="28" customHeight="1" s="672">
      <c r="A1132" s="56" t="inlineStr">
        <is>
          <t>NTGD</t>
        </is>
      </c>
      <c r="B1132" s="56" t="inlineStr">
        <is>
          <t>NTGD</t>
        </is>
      </c>
      <c r="C1132" s="56" t="inlineStr">
        <is>
          <t>NTGD.0999721</t>
        </is>
      </c>
      <c r="D1132" s="57" t="n"/>
      <c r="E1132" s="57" t="n"/>
      <c r="F1132" s="57" t="n"/>
      <c r="G1132" s="57" t="n"/>
      <c r="H1132" s="57" t="n"/>
      <c r="J1132" s="364" t="inlineStr">
        <is>
          <t>14</t>
        </is>
      </c>
      <c r="K1132" s="364" t="inlineStr">
        <is>
          <t>NTGD</t>
        </is>
      </c>
      <c r="L1132" s="365" t="inlineStr">
        <is>
          <t>Cọc khoan nhồi Mố M1</t>
        </is>
      </c>
      <c r="M1132" s="365" t="n"/>
      <c r="N1132" s="365" t="n"/>
      <c r="O1132" s="366" t="inlineStr">
        <is>
          <t>Cầu Km19+529.080</t>
        </is>
      </c>
      <c r="P1132" s="367" t="n"/>
      <c r="Q1132" s="367" t="n"/>
      <c r="R1132" s="367">
        <f>S1130</f>
        <v/>
      </c>
      <c r="S1132" s="367">
        <f>R1132+1</f>
        <v/>
      </c>
      <c r="T1132" s="368" t="n">
        <v>0.3541666666666667</v>
      </c>
      <c r="U1132" s="368">
        <f>T1132+V1132</f>
        <v/>
      </c>
      <c r="V1132" s="368" t="n">
        <v>0.04166666666666666</v>
      </c>
      <c r="W1132" s="369">
        <f>TEXT(T1132,"HH""h""MM'")&amp;"÷"&amp;TEXT(U1132,"HH""h""MM'")</f>
        <v/>
      </c>
      <c r="X1132" s="369" t="n"/>
      <c r="Y1132" s="369" t="n"/>
      <c r="Z1132" s="369" t="n"/>
      <c r="AA1132" s="370" t="inlineStr">
        <is>
          <t>Nghiệm thu chuyển giai đoạn Cọc khoan nhồi Mố M1 sang Bệ Mố M1</t>
        </is>
      </c>
      <c r="AB1132" s="371" t="inlineStr">
        <is>
          <t>09-XL-307HG/PYCNT/CKN-CGĐ/M1</t>
        </is>
      </c>
      <c r="AC1132" s="371" t="inlineStr">
        <is>
          <t>09-XL-307HG/NTGĐ/CKN/M1</t>
        </is>
      </c>
      <c r="AD1132" s="371" t="n"/>
      <c r="AE1132" s="371" t="n"/>
      <c r="AF1132" s="371" t="n"/>
      <c r="AG1132" s="371" t="n"/>
      <c r="AH1132" s="371" t="n"/>
      <c r="AI1132" s="369" t="n"/>
      <c r="AJ1132" s="369" t="n"/>
      <c r="AK1132" s="372" t="n"/>
      <c r="AL1132" s="369" t="n"/>
      <c r="AM1132" s="369" t="n"/>
      <c r="AN1132" s="369" t="n"/>
      <c r="AO1132" s="369" t="n"/>
      <c r="AP1132" s="373" t="n"/>
      <c r="AQ1132" s="373" t="n"/>
      <c r="AR1132" s="369" t="inlineStr">
        <is>
          <t>Nhóm 1</t>
        </is>
      </c>
      <c r="AS1132" s="369" t="n"/>
      <c r="AT1132" s="369" t="inlineStr">
        <is>
          <t>HM34</t>
        </is>
      </c>
      <c r="AU1132" s="369" t="inlineStr">
        <is>
          <t>NTGD</t>
        </is>
      </c>
      <c r="AV1132" s="369" t="n">
        <v>3</v>
      </c>
      <c r="AW1132" s="369" t="n">
        <v>1</v>
      </c>
      <c r="AX1132" s="369" t="n"/>
    </row>
    <row r="1133">
      <c r="A1133" s="56" t="inlineStr">
        <is>
          <t>BBK697</t>
        </is>
      </c>
      <c r="B1133" s="56" t="inlineStr">
        <is>
          <t>PLKL</t>
        </is>
      </c>
      <c r="C1133" s="56" t="inlineStr">
        <is>
          <t>BBK697.0688683</t>
        </is>
      </c>
      <c r="D1133" s="57" t="n"/>
      <c r="E1133" s="57" t="n"/>
      <c r="F1133" s="57" t="n"/>
      <c r="G1133" s="57" t="n"/>
      <c r="H1133" s="57" t="n"/>
      <c r="J1133" s="316" t="inlineStr">
        <is>
          <t>15</t>
        </is>
      </c>
      <c r="K1133" s="316" t="inlineStr">
        <is>
          <t>PLKL</t>
        </is>
      </c>
      <c r="L1133" s="317" t="inlineStr">
        <is>
          <t>Phụ lục khối lượng</t>
        </is>
      </c>
      <c r="M1133" s="317" t="n"/>
      <c r="N1133" s="317" t="inlineStr">
        <is>
          <t>Cầu Km19+529.080</t>
        </is>
      </c>
      <c r="O1133" s="318" t="inlineStr">
        <is>
          <t>Cọc khoan nhồi Mố M1</t>
        </is>
      </c>
      <c r="P1133" s="319" t="n"/>
      <c r="Q1133" s="319" t="n"/>
      <c r="R1133" s="319" t="n"/>
      <c r="S1133" s="319">
        <f>S1132</f>
        <v/>
      </c>
      <c r="T1133" s="320" t="n"/>
      <c r="U1133" s="320" t="n"/>
      <c r="V1133" s="320" t="n"/>
      <c r="W1133" s="321" t="n"/>
      <c r="X1133" s="321" t="n"/>
      <c r="Y1133" s="321" t="n"/>
      <c r="Z1133" s="321" t="n"/>
      <c r="AA1133" s="322" t="n"/>
      <c r="AB1133" s="323" t="n"/>
      <c r="AC1133" s="323" t="inlineStr">
        <is>
          <t>09-XL-307HG/NTGĐ/CKN/M1</t>
        </is>
      </c>
      <c r="AD1133" s="323" t="n"/>
      <c r="AE1133" s="323" t="n"/>
      <c r="AF1133" s="323" t="n"/>
      <c r="AG1133" s="323" t="n"/>
      <c r="AH1133" s="323" t="inlineStr">
        <is>
          <t>M1</t>
        </is>
      </c>
      <c r="AI1133" s="321" t="n"/>
      <c r="AJ1133" s="321" t="n"/>
      <c r="AK1133" s="324" t="n"/>
      <c r="AL1133" s="321" t="n"/>
      <c r="AM1133" s="321" t="n"/>
      <c r="AN1133" s="321" t="n"/>
      <c r="AO1133" s="321" t="n"/>
      <c r="AP1133" s="325" t="n"/>
      <c r="AQ1133" s="325" t="n"/>
      <c r="AR1133" s="321" t="inlineStr">
        <is>
          <t>Nhóm 1</t>
        </is>
      </c>
      <c r="AS1133" s="321" t="n"/>
      <c r="AT1133" s="321" t="inlineStr">
        <is>
          <t>HM34</t>
        </is>
      </c>
      <c r="AU1133" s="321" t="inlineStr">
        <is>
          <t>PLKL</t>
        </is>
      </c>
      <c r="AV1133" s="321" t="n">
        <v>3</v>
      </c>
      <c r="AW1133" s="321" t="n">
        <v>1</v>
      </c>
      <c r="AX1133" s="321" t="n"/>
    </row>
    <row r="1134">
      <c r="A1134" s="56" t="inlineStr">
        <is>
          <t>BBK157</t>
        </is>
      </c>
      <c r="B1134" s="56" t="inlineStr">
        <is>
          <t>DG</t>
        </is>
      </c>
      <c r="C1134" s="56" t="inlineStr">
        <is>
          <t>BBK157.0687899</t>
        </is>
      </c>
      <c r="D1134" s="57" t="n"/>
      <c r="E1134" s="57" t="n"/>
      <c r="F1134" s="57" t="n"/>
      <c r="G1134" s="57" t="n"/>
      <c r="H1134" s="57" t="n"/>
      <c r="J1134" s="316" t="inlineStr">
        <is>
          <t>16</t>
        </is>
      </c>
      <c r="K1134" s="316" t="inlineStr">
        <is>
          <t>DG</t>
        </is>
      </c>
      <c r="L1134" s="317" t="inlineStr">
        <is>
          <t>Bảng diễn giải KL</t>
        </is>
      </c>
      <c r="M1134" s="317" t="n"/>
      <c r="N1134" s="317" t="inlineStr">
        <is>
          <t>Cầu Km19+529.080</t>
        </is>
      </c>
      <c r="O1134" s="318" t="inlineStr">
        <is>
          <t>Cọc khoan nhồi Mố M1</t>
        </is>
      </c>
      <c r="P1134" s="319" t="n"/>
      <c r="Q1134" s="319" t="n"/>
      <c r="R1134" s="319" t="n"/>
      <c r="S1134" s="319">
        <f>+S1133</f>
        <v/>
      </c>
      <c r="T1134" s="320" t="n"/>
      <c r="U1134" s="320" t="n"/>
      <c r="V1134" s="320" t="n"/>
      <c r="W1134" s="321" t="n"/>
      <c r="X1134" s="321" t="n"/>
      <c r="Y1134" s="321" t="n"/>
      <c r="Z1134" s="321" t="n"/>
      <c r="AA1134" s="322" t="n"/>
      <c r="AB1134" s="323" t="n"/>
      <c r="AC1134" s="326">
        <f>AC1133</f>
        <v/>
      </c>
      <c r="AD1134" s="323" t="n"/>
      <c r="AE1134" s="323" t="n"/>
      <c r="AF1134" s="323" t="n"/>
      <c r="AG1134" s="323" t="n"/>
      <c r="AH1134" s="323" t="inlineStr">
        <is>
          <t>CKN-M1</t>
        </is>
      </c>
      <c r="AI1134" s="321" t="n"/>
      <c r="AJ1134" s="321" t="n"/>
      <c r="AK1134" s="324" t="n"/>
      <c r="AL1134" s="321" t="n"/>
      <c r="AM1134" s="321" t="n"/>
      <c r="AN1134" s="321" t="n">
        <v>2</v>
      </c>
      <c r="AO1134" s="321" t="n"/>
      <c r="AP1134" s="325" t="n"/>
      <c r="AQ1134" s="325" t="n"/>
      <c r="AR1134" s="321" t="inlineStr">
        <is>
          <t>Nhóm 1</t>
        </is>
      </c>
      <c r="AS1134" s="321" t="n"/>
      <c r="AT1134" s="321" t="inlineStr">
        <is>
          <t>HM34</t>
        </is>
      </c>
      <c r="AU1134" s="321" t="inlineStr">
        <is>
          <t>DG</t>
        </is>
      </c>
      <c r="AV1134" s="321" t="n">
        <v>3</v>
      </c>
      <c r="AW1134" s="321" t="n">
        <v>1</v>
      </c>
      <c r="AX1134" s="321" t="n"/>
    </row>
    <row r="1135">
      <c r="A1135" s="56" t="inlineStr">
        <is>
          <t>HM</t>
        </is>
      </c>
      <c r="B1135" s="56" t="inlineStr">
        <is>
          <t>HM</t>
        </is>
      </c>
      <c r="C1135" s="56" t="inlineStr">
        <is>
          <t>HM.0179447</t>
        </is>
      </c>
      <c r="D1135" s="57" t="n"/>
      <c r="E1135" s="57" t="n"/>
      <c r="F1135" s="57" t="n"/>
      <c r="G1135" s="57" t="n"/>
      <c r="H1135" s="57" t="n"/>
      <c r="J1135" s="387" t="inlineStr">
        <is>
          <t>HM35</t>
        </is>
      </c>
      <c r="K1135" s="387" t="inlineStr">
        <is>
          <t>HM</t>
        </is>
      </c>
      <c r="L1135" s="388" t="inlineStr">
        <is>
          <t>Bệ mố M2</t>
        </is>
      </c>
      <c r="M1135" s="388" t="n"/>
      <c r="N1135" s="388" t="n"/>
      <c r="O1135" s="389" t="n"/>
      <c r="P1135" s="390" t="n"/>
      <c r="Q1135" s="390" t="n"/>
      <c r="R1135" s="390" t="n"/>
      <c r="S1135" s="390" t="n"/>
      <c r="T1135" s="390" t="n"/>
      <c r="U1135" s="390" t="n"/>
      <c r="V1135" s="390" t="n"/>
      <c r="W1135" s="391" t="n"/>
      <c r="X1135" s="391" t="n"/>
      <c r="Y1135" s="391" t="n"/>
      <c r="Z1135" s="391" t="n"/>
      <c r="AA1135" s="392" t="n"/>
      <c r="AB1135" s="392" t="n"/>
      <c r="AC1135" s="392" t="n"/>
      <c r="AD1135" s="392" t="n"/>
      <c r="AE1135" s="392" t="n"/>
      <c r="AF1135" s="392" t="n"/>
      <c r="AG1135" s="392" t="n"/>
      <c r="AH1135" s="392" t="n"/>
      <c r="AI1135" s="391" t="n"/>
      <c r="AJ1135" s="391" t="n"/>
      <c r="AK1135" s="393" t="n"/>
      <c r="AL1135" s="391" t="n"/>
      <c r="AM1135" s="391" t="n"/>
      <c r="AN1135" s="391" t="n"/>
      <c r="AO1135" s="391" t="n"/>
      <c r="AP1135" s="394" t="n"/>
      <c r="AQ1135" s="394" t="n"/>
      <c r="AR1135" s="391" t="n"/>
      <c r="AS1135" s="391" t="n"/>
      <c r="AT1135" s="391" t="inlineStr">
        <is>
          <t>HM35</t>
        </is>
      </c>
      <c r="AU1135" s="391" t="inlineStr">
        <is>
          <t>HM</t>
        </is>
      </c>
      <c r="AV1135" s="391" t="n"/>
      <c r="AW1135" s="391" t="n"/>
      <c r="AX1135" s="391" t="n"/>
    </row>
    <row r="1136" ht="28" customFormat="1" customHeight="1" s="70">
      <c r="A1136" s="68" t="inlineStr">
        <is>
          <t>BBK_BIA</t>
        </is>
      </c>
      <c r="B1136" s="68" t="inlineStr">
        <is>
          <t>TRANGBIA</t>
        </is>
      </c>
      <c r="C1136" s="68" t="inlineStr">
        <is>
          <t>BBK_BIA.0174711</t>
        </is>
      </c>
      <c r="D1136" s="69" t="n"/>
      <c r="E1136" s="69" t="n"/>
      <c r="F1136" s="69" t="n"/>
      <c r="G1136" s="69" t="n"/>
      <c r="H1136" s="69" t="n"/>
      <c r="J1136" s="327" t="inlineStr">
        <is>
          <t>01</t>
        </is>
      </c>
      <c r="K1136" s="327" t="inlineStr">
        <is>
          <t>TRANGBIA</t>
        </is>
      </c>
      <c r="L1136" s="328">
        <f>L1135</f>
        <v/>
      </c>
      <c r="M1136" s="328" t="n"/>
      <c r="N1136" s="328" t="n"/>
      <c r="O1136" s="329" t="inlineStr">
        <is>
          <t>Cầu Km19+529.080</t>
        </is>
      </c>
      <c r="P1136" s="330" t="n"/>
      <c r="Q1136" s="330" t="n"/>
      <c r="R1136" s="330" t="n"/>
      <c r="S1136" s="330" t="n"/>
      <c r="T1136" s="330" t="n"/>
      <c r="U1136" s="330" t="n"/>
      <c r="V1136" s="330" t="n"/>
      <c r="W1136" s="331" t="n"/>
      <c r="X1136" s="331" t="n"/>
      <c r="Y1136" s="331" t="n"/>
      <c r="Z1136" s="331" t="n"/>
      <c r="AA1136" s="331" t="n"/>
      <c r="AB1136" s="331" t="n"/>
      <c r="AC1136" s="331" t="inlineStr"/>
      <c r="AD1136" s="331" t="n"/>
      <c r="AE1136" s="331" t="n"/>
      <c r="AF1136" s="331" t="n"/>
      <c r="AG1136" s="331" t="n"/>
      <c r="AH1136" s="331" t="n"/>
      <c r="AI1136" s="331" t="n"/>
      <c r="AJ1136" s="331" t="n"/>
      <c r="AK1136" s="329" t="n"/>
      <c r="AL1136" s="331" t="n"/>
      <c r="AM1136" s="331" t="n"/>
      <c r="AN1136" s="331" t="n"/>
      <c r="AO1136" s="331" t="n"/>
      <c r="AP1136" s="332">
        <f>L1136</f>
        <v/>
      </c>
      <c r="AQ1136" s="333" t="n"/>
      <c r="AR1136" s="331" t="inlineStr">
        <is>
          <t>Nhóm 1</t>
        </is>
      </c>
      <c r="AS1136" s="331" t="n"/>
      <c r="AT1136" s="331" t="inlineStr">
        <is>
          <t>HM35</t>
        </is>
      </c>
      <c r="AU1136" s="331" t="inlineStr">
        <is>
          <t>TRANGBIA</t>
        </is>
      </c>
      <c r="AV1136" s="331" t="n">
        <v>35</v>
      </c>
      <c r="AW1136" s="331" t="n">
        <v>1</v>
      </c>
      <c r="AX1136" s="331" t="n"/>
    </row>
    <row r="1137" customFormat="1" s="70">
      <c r="A1137" s="68" t="inlineStr">
        <is>
          <t>BBK_ML</t>
        </is>
      </c>
      <c r="B1137" s="68" t="inlineStr">
        <is>
          <t>MUCLUC</t>
        </is>
      </c>
      <c r="C1137" s="68" t="inlineStr">
        <is>
          <t>BBK_ML.0966691</t>
        </is>
      </c>
      <c r="D1137" s="69" t="n"/>
      <c r="E1137" s="69" t="n"/>
      <c r="F1137" s="69" t="n"/>
      <c r="G1137" s="69" t="n"/>
      <c r="H1137" s="69" t="n"/>
      <c r="J1137" s="395" t="inlineStr">
        <is>
          <t>02</t>
        </is>
      </c>
      <c r="K1137" s="395" t="inlineStr">
        <is>
          <t>MUCLUC</t>
        </is>
      </c>
      <c r="L1137" s="396" t="inlineStr">
        <is>
          <t>Danh mục biên bản Kiểm tra/Nghiệm thu</t>
        </is>
      </c>
      <c r="M1137" s="396" t="n"/>
      <c r="N1137" s="396" t="n"/>
      <c r="O1137" s="397" t="inlineStr">
        <is>
          <t>Cầu Km19+529.080</t>
        </is>
      </c>
      <c r="P1137" s="398" t="n"/>
      <c r="Q1137" s="398" t="n"/>
      <c r="R1137" s="398" t="n"/>
      <c r="S1137" s="398" t="n"/>
      <c r="T1137" s="398" t="n"/>
      <c r="U1137" s="398" t="n"/>
      <c r="V1137" s="398" t="n"/>
      <c r="W1137" s="399" t="n"/>
      <c r="X1137" s="399" t="n"/>
      <c r="Y1137" s="399" t="n"/>
      <c r="Z1137" s="399" t="n"/>
      <c r="AA1137" s="399" t="n"/>
      <c r="AB1137" s="399" t="n"/>
      <c r="AC1137" s="399" t="inlineStr"/>
      <c r="AD1137" s="399" t="n"/>
      <c r="AE1137" s="399" t="n"/>
      <c r="AF1137" s="399" t="n"/>
      <c r="AG1137" s="399" t="n"/>
      <c r="AH1137" s="399" t="n"/>
      <c r="AI1137" s="399" t="n"/>
      <c r="AJ1137" s="399" t="n"/>
      <c r="AK1137" s="397" t="n"/>
      <c r="AL1137" s="399" t="n"/>
      <c r="AM1137" s="399" t="n"/>
      <c r="AN1137" s="399" t="n"/>
      <c r="AO1137" s="399" t="n"/>
      <c r="AP1137" s="400" t="n"/>
      <c r="AQ1137" s="400" t="n"/>
      <c r="AR1137" s="399" t="inlineStr">
        <is>
          <t>Nhóm 1</t>
        </is>
      </c>
      <c r="AS1137" s="399" t="n"/>
      <c r="AT1137" s="399" t="inlineStr">
        <is>
          <t>HM35</t>
        </is>
      </c>
      <c r="AU1137" s="399" t="inlineStr">
        <is>
          <t>MUCLUC</t>
        </is>
      </c>
      <c r="AV1137" s="399" t="n">
        <v>35</v>
      </c>
      <c r="AW1137" s="399" t="n">
        <v>1</v>
      </c>
      <c r="AX1137" s="399" t="n"/>
    </row>
    <row r="1138">
      <c r="A1138" s="56" t="inlineStr">
        <is>
          <t>BBK680</t>
        </is>
      </c>
      <c r="B1138" s="56" t="inlineStr">
        <is>
          <t>PYC</t>
        </is>
      </c>
      <c r="C1138" s="56" t="inlineStr">
        <is>
          <t>BBK680.0694937</t>
        </is>
      </c>
      <c r="D1138" s="57" t="n"/>
      <c r="E1138" s="57" t="n"/>
      <c r="F1138" s="57" t="n"/>
      <c r="G1138" s="57" t="n"/>
      <c r="H1138" s="57" t="n"/>
      <c r="J1138" s="108" t="inlineStr">
        <is>
          <t>03</t>
        </is>
      </c>
      <c r="K1138" s="108" t="inlineStr">
        <is>
          <t>PYC</t>
        </is>
      </c>
      <c r="L1138" s="109" t="inlineStr">
        <is>
          <t>phiếu yêu cầu</t>
        </is>
      </c>
      <c r="M1138" s="109" t="n"/>
      <c r="N1138" s="109" t="n"/>
      <c r="O1138" s="110" t="inlineStr">
        <is>
          <t>Cầu Km19+529.080</t>
        </is>
      </c>
      <c r="P1138" s="401" t="n"/>
      <c r="Q1138" s="401" t="n"/>
      <c r="R1138" s="401">
        <f>R1139</f>
        <v/>
      </c>
      <c r="S1138" s="401">
        <f>+R1138+1</f>
        <v/>
      </c>
      <c r="T1138" s="402">
        <f>T1139</f>
        <v/>
      </c>
      <c r="U1138" s="402">
        <f>U1139</f>
        <v/>
      </c>
      <c r="V1138" s="402">
        <f>V1139</f>
        <v/>
      </c>
      <c r="W1138" s="402">
        <f>W1139</f>
        <v/>
      </c>
      <c r="X1138" s="403" t="n"/>
      <c r="Y1138" s="403" t="n"/>
      <c r="Z1138" s="403" t="n"/>
      <c r="AA1138" s="113" t="n"/>
      <c r="AB1138" s="113" t="inlineStr">
        <is>
          <t>307HG/YCNT/BM/M2</t>
        </is>
      </c>
      <c r="AC1138" s="113" t="n"/>
      <c r="AD1138" s="113" t="n"/>
      <c r="AE1138" s="113" t="n"/>
      <c r="AF1138" s="113" t="n"/>
      <c r="AG1138" s="113" t="inlineStr">
        <is>
          <t>BBKTĐK;NTCV</t>
        </is>
      </c>
      <c r="AH1138" s="113" t="n">
        <v>1</v>
      </c>
      <c r="AI1138" s="403" t="n"/>
      <c r="AJ1138" s="403" t="n"/>
      <c r="AK1138" s="404" t="n"/>
      <c r="AL1138" s="403" t="n"/>
      <c r="AM1138" s="403" t="n"/>
      <c r="AN1138" s="403" t="n"/>
      <c r="AO1138" s="403" t="n"/>
      <c r="AP1138" s="115" t="n"/>
      <c r="AQ1138" s="115" t="n"/>
      <c r="AR1138" s="403" t="inlineStr">
        <is>
          <t>Nhóm 1</t>
        </is>
      </c>
      <c r="AS1138" s="403" t="n"/>
      <c r="AT1138" s="403" t="inlineStr">
        <is>
          <t>HM35</t>
        </is>
      </c>
      <c r="AU1138" s="403" t="inlineStr">
        <is>
          <t>PYC</t>
        </is>
      </c>
      <c r="AV1138" s="403" t="n">
        <v>43</v>
      </c>
      <c r="AW1138" s="403" t="n">
        <v>1</v>
      </c>
      <c r="AX1138" s="403" t="n"/>
    </row>
    <row r="1139" ht="28" customHeight="1" s="672">
      <c r="A1139" s="56" t="inlineStr">
        <is>
          <t>BBK884</t>
        </is>
      </c>
      <c r="B1139" s="56" t="inlineStr">
        <is>
          <t>BBKTĐK</t>
        </is>
      </c>
      <c r="C1139" s="56" t="inlineStr">
        <is>
          <t>BBK884.0885139</t>
        </is>
      </c>
      <c r="D1139" s="57" t="n"/>
      <c r="E1139" s="57" t="n"/>
      <c r="F1139" s="57" t="n"/>
      <c r="G1139" s="57" t="n"/>
      <c r="H1139" s="57" t="n"/>
      <c r="J1139" s="139" t="inlineStr">
        <is>
          <t>04</t>
        </is>
      </c>
      <c r="K1139" s="139" t="inlineStr">
        <is>
          <t>BBKTĐK</t>
        </is>
      </c>
      <c r="L1139" s="140" t="inlineStr">
        <is>
          <t xml:space="preserve"> Kiểm tra điều kiện trước khi thi công bệ mố: Thiết bị, nhân lực, vật tư</t>
        </is>
      </c>
      <c r="M1139" s="140" t="n"/>
      <c r="N1139" s="140" t="n"/>
      <c r="O1139" s="141" t="inlineStr">
        <is>
          <t>Cầu Km19+529.080</t>
        </is>
      </c>
      <c r="P1139" s="382">
        <f>S1112+2</f>
        <v/>
      </c>
      <c r="Q1139" s="382">
        <f>P1139</f>
        <v/>
      </c>
      <c r="R1139" s="382">
        <f>Q1139-1</f>
        <v/>
      </c>
      <c r="S1139" s="382">
        <f>Q1139</f>
        <v/>
      </c>
      <c r="T1139" s="383" t="n">
        <v>0.3541666666666667</v>
      </c>
      <c r="U1139" s="383">
        <f>T1139+V1139</f>
        <v/>
      </c>
      <c r="V1139" s="383" t="n">
        <v>0.0625</v>
      </c>
      <c r="W1139" s="384">
        <f>TEXT(T1139,"HH""h""MM'")&amp;"÷"&amp;TEXT(U1139,"HH""h""MM'")</f>
        <v/>
      </c>
      <c r="X1139" s="384" t="n"/>
      <c r="Y1139" s="384" t="n"/>
      <c r="Z1139" s="384" t="inlineStr">
        <is>
          <t>01;</t>
        </is>
      </c>
      <c r="AA1139" s="144" t="inlineStr">
        <is>
          <t>Kiểm tra điều kiện trước khi thi công Bệ mố M2</t>
        </is>
      </c>
      <c r="AB1139" s="144" t="inlineStr">
        <is>
          <t>307HG/YCNT/BM/M2-1</t>
        </is>
      </c>
      <c r="AC1139" s="144" t="inlineStr">
        <is>
          <t>307HG/BBNT/BM/M2-1</t>
        </is>
      </c>
      <c r="AD1139" s="144" t="n"/>
      <c r="AE1139" s="144" t="n"/>
      <c r="AF1139" s="144" t="n"/>
      <c r="AG1139" s="144" t="n"/>
      <c r="AH1139" s="144" t="n"/>
      <c r="AI1139" s="384" t="n"/>
      <c r="AJ1139" s="384" t="n"/>
      <c r="AK1139" s="386" t="n"/>
      <c r="AL1139" s="384" t="n"/>
      <c r="AM1139" s="384" t="n"/>
      <c r="AN1139" s="384" t="n"/>
      <c r="AO1139" s="384" t="n"/>
      <c r="AP1139" s="146" t="n"/>
      <c r="AQ1139" s="146" t="n"/>
      <c r="AR1139" s="384" t="inlineStr">
        <is>
          <t>Nhóm 1</t>
        </is>
      </c>
      <c r="AS1139" s="384" t="n"/>
      <c r="AT1139" s="384" t="inlineStr">
        <is>
          <t>HM35</t>
        </is>
      </c>
      <c r="AU1139" s="384" t="inlineStr">
        <is>
          <t>BBKTĐK</t>
        </is>
      </c>
      <c r="AV1139" s="384" t="n">
        <v>29</v>
      </c>
      <c r="AW1139" s="384" t="n">
        <v>1</v>
      </c>
      <c r="AX1139" s="384" t="n"/>
    </row>
    <row r="1140">
      <c r="A1140" s="56" t="inlineStr">
        <is>
          <t>BBK860</t>
        </is>
      </c>
      <c r="B1140" s="56" t="inlineStr">
        <is>
          <t>PL01</t>
        </is>
      </c>
      <c r="C1140" s="56" t="inlineStr">
        <is>
          <t>BBK860.0127216</t>
        </is>
      </c>
      <c r="D1140" s="57" t="n"/>
      <c r="E1140" s="57" t="n"/>
      <c r="F1140" s="57" t="n"/>
      <c r="G1140" s="57" t="n"/>
      <c r="H1140" s="57" t="n"/>
      <c r="J1140" s="168" t="inlineStr">
        <is>
          <t>05</t>
        </is>
      </c>
      <c r="K1140" s="168" t="inlineStr">
        <is>
          <t>PL01</t>
        </is>
      </c>
      <c r="L1140" s="169" t="inlineStr">
        <is>
          <t>Phụ lục số 01</t>
        </is>
      </c>
      <c r="M1140" s="169" t="n"/>
      <c r="N1140" s="169" t="n"/>
      <c r="O1140" s="170" t="inlineStr">
        <is>
          <t>Cầu Km19+529.080</t>
        </is>
      </c>
      <c r="P1140" s="405" t="n"/>
      <c r="Q1140" s="405" t="n"/>
      <c r="R1140" s="405" t="n"/>
      <c r="S1140" s="405">
        <f>S1139</f>
        <v/>
      </c>
      <c r="T1140" s="405" t="n"/>
      <c r="U1140" s="405" t="n"/>
      <c r="V1140" s="405" t="n"/>
      <c r="W1140" s="406" t="n"/>
      <c r="X1140" s="406" t="n"/>
      <c r="Y1140" s="406" t="n"/>
      <c r="Z1140" s="168" t="inlineStr">
        <is>
          <t>01</t>
        </is>
      </c>
      <c r="AA1140" s="173" t="n"/>
      <c r="AB1140" s="173" t="n"/>
      <c r="AC1140" s="173" t="inlineStr">
        <is>
          <t>307HG/BBNT/BM/M2-1</t>
        </is>
      </c>
      <c r="AD1140" s="173" t="n"/>
      <c r="AE1140" s="173" t="n"/>
      <c r="AF1140" s="173" t="n"/>
      <c r="AG1140" s="407" t="n"/>
      <c r="AH1140" s="173" t="inlineStr">
        <is>
          <t>MT</t>
        </is>
      </c>
      <c r="AI1140" s="406" t="n"/>
      <c r="AJ1140" s="406" t="n"/>
      <c r="AK1140" s="408" t="n"/>
      <c r="AL1140" s="406" t="n"/>
      <c r="AM1140" s="406" t="n"/>
      <c r="AN1140" s="406" t="n"/>
      <c r="AO1140" s="406" t="n"/>
      <c r="AP1140" s="174" t="n"/>
      <c r="AQ1140" s="174" t="n"/>
      <c r="AR1140" s="406" t="inlineStr">
        <is>
          <t>Nhóm 1</t>
        </is>
      </c>
      <c r="AS1140" s="406" t="n"/>
      <c r="AT1140" s="406" t="inlineStr">
        <is>
          <t>HM35</t>
        </is>
      </c>
      <c r="AU1140" s="406" t="inlineStr">
        <is>
          <t>PL01</t>
        </is>
      </c>
      <c r="AV1140" s="406" t="n">
        <v>32</v>
      </c>
      <c r="AW1140" s="406" t="n">
        <v>1</v>
      </c>
      <c r="AX1140" s="406" t="n"/>
    </row>
    <row r="1141" ht="28" customHeight="1" s="672">
      <c r="A1141" s="56" t="inlineStr">
        <is>
          <t>NTCV</t>
        </is>
      </c>
      <c r="B1141" s="56" t="inlineStr">
        <is>
          <t>K.9999</t>
        </is>
      </c>
      <c r="C1141" s="56" t="inlineStr">
        <is>
          <t>NTCV.0150435</t>
        </is>
      </c>
      <c r="D1141" s="57" t="n"/>
      <c r="E1141" s="57" t="n"/>
      <c r="F1141" s="57" t="n"/>
      <c r="G1141" s="57" t="n"/>
      <c r="H1141" s="57" t="n"/>
      <c r="J1141" s="161" t="inlineStr">
        <is>
          <t>06</t>
        </is>
      </c>
      <c r="K1141" s="161" t="inlineStr">
        <is>
          <t>K.9999</t>
        </is>
      </c>
      <c r="L1141" s="162" t="inlineStr">
        <is>
          <t>Định vị hố móng và đào đất hố móng đến cao độ thiết kế</t>
        </is>
      </c>
      <c r="M1141" s="162" t="n"/>
      <c r="N1141" s="162" t="n"/>
      <c r="O1141" s="163" t="inlineStr">
        <is>
          <t>Cầu Km19+529.080</t>
        </is>
      </c>
      <c r="P1141" s="409">
        <f>S1139+1</f>
        <v/>
      </c>
      <c r="Q1141" s="409">
        <f>P1141</f>
        <v/>
      </c>
      <c r="R1141" s="409">
        <f>Q1141-2</f>
        <v/>
      </c>
      <c r="S1141" s="409">
        <f>Q1141</f>
        <v/>
      </c>
      <c r="T1141" s="410" t="n">
        <v>0.375</v>
      </c>
      <c r="U1141" s="410">
        <f>+T1141+V1141</f>
        <v/>
      </c>
      <c r="V1141" s="410" t="n">
        <v>0.02083333333333333</v>
      </c>
      <c r="W1141" s="411">
        <f>TEXT(T1141,"HH""h""MM'")&amp;"÷"&amp;TEXT(U1141,"HH""h""MM'")</f>
        <v/>
      </c>
      <c r="X1141" s="411" t="n"/>
      <c r="Y1141" s="411" t="n"/>
      <c r="Z1141" s="411" t="inlineStr">
        <is>
          <t>02;</t>
        </is>
      </c>
      <c r="AA1141" s="166" t="inlineStr">
        <is>
          <t>Kiểm tra định vị hố móng, đào đất hố móng đến cao độ thiết kế Bệ mố M2</t>
        </is>
      </c>
      <c r="AB1141" s="166" t="inlineStr">
        <is>
          <t>307HG/YCNT/BM/M2-1</t>
        </is>
      </c>
      <c r="AC1141" s="166" t="inlineStr">
        <is>
          <t>307HG/BBNT/BM/M2-2</t>
        </is>
      </c>
      <c r="AD1141" s="166" t="n"/>
      <c r="AE1141" s="166" t="n"/>
      <c r="AF1141" s="166" t="n"/>
      <c r="AG1141" s="166" t="n"/>
      <c r="AH1141" s="166" t="n"/>
      <c r="AI1141" s="411" t="n"/>
      <c r="AJ1141" s="411" t="n"/>
      <c r="AK1141" s="412" t="n"/>
      <c r="AL1141" s="411" t="n"/>
      <c r="AM1141" s="411" t="n"/>
      <c r="AN1141" s="411" t="n"/>
      <c r="AO1141" s="411" t="n"/>
      <c r="AP1141" s="167" t="n"/>
      <c r="AQ1141" s="167" t="n"/>
      <c r="AR1141" s="411" t="inlineStr">
        <is>
          <t>Nhóm 1</t>
        </is>
      </c>
      <c r="AS1141" s="411" t="n"/>
      <c r="AT1141" s="411" t="inlineStr">
        <is>
          <t>HM35</t>
        </is>
      </c>
      <c r="AU1141" s="411" t="inlineStr">
        <is>
          <t>NTCV</t>
        </is>
      </c>
      <c r="AV1141" s="411" t="n">
        <v>384</v>
      </c>
      <c r="AW1141" s="411" t="n">
        <v>1</v>
      </c>
      <c r="AX1141" s="411" t="n"/>
    </row>
    <row r="1142">
      <c r="A1142" s="56" t="inlineStr">
        <is>
          <t>BBK170</t>
        </is>
      </c>
      <c r="B1142" s="56" t="inlineStr">
        <is>
          <t>PL02</t>
        </is>
      </c>
      <c r="C1142" s="56" t="inlineStr">
        <is>
          <t>BBK170.0269927</t>
        </is>
      </c>
      <c r="D1142" s="57" t="n"/>
      <c r="E1142" s="57" t="n"/>
      <c r="F1142" s="57" t="n"/>
      <c r="G1142" s="57" t="n"/>
      <c r="H1142" s="57" t="n"/>
      <c r="J1142" s="139" t="inlineStr">
        <is>
          <t>07</t>
        </is>
      </c>
      <c r="K1142" s="139" t="inlineStr">
        <is>
          <t>PL02</t>
        </is>
      </c>
      <c r="L1142" s="140" t="inlineStr">
        <is>
          <t>Phụ lục số 02</t>
        </is>
      </c>
      <c r="M1142" s="140" t="n"/>
      <c r="N1142" s="140" t="n"/>
      <c r="O1142" s="141" t="inlineStr">
        <is>
          <t>Cầu Km19+529.080</t>
        </is>
      </c>
      <c r="P1142" s="382" t="n"/>
      <c r="Q1142" s="382" t="n"/>
      <c r="R1142" s="382" t="n"/>
      <c r="S1142" s="382">
        <f>S1141</f>
        <v/>
      </c>
      <c r="T1142" s="382" t="n"/>
      <c r="U1142" s="382" t="n"/>
      <c r="V1142" s="382" t="n"/>
      <c r="W1142" s="384" t="n"/>
      <c r="X1142" s="384" t="n"/>
      <c r="Y1142" s="384" t="n"/>
      <c r="Z1142" s="139" t="inlineStr">
        <is>
          <t>02</t>
        </is>
      </c>
      <c r="AA1142" s="144" t="n"/>
      <c r="AB1142" s="144" t="n"/>
      <c r="AC1142" s="144" t="inlineStr">
        <is>
          <t>307HG/BBNT/BM/M2-2</t>
        </is>
      </c>
      <c r="AD1142" s="144" t="n"/>
      <c r="AE1142" s="144" t="n"/>
      <c r="AF1142" s="144" t="n"/>
      <c r="AG1142" s="145" t="n"/>
      <c r="AH1142" s="144" t="inlineStr">
        <is>
          <t>M2</t>
        </is>
      </c>
      <c r="AI1142" s="384" t="n"/>
      <c r="AJ1142" s="384" t="n"/>
      <c r="AK1142" s="386" t="n"/>
      <c r="AL1142" s="384" t="n"/>
      <c r="AM1142" s="384" t="n"/>
      <c r="AN1142" s="384" t="n"/>
      <c r="AO1142" s="384" t="n"/>
      <c r="AP1142" s="146" t="n"/>
      <c r="AQ1142" s="146" t="inlineStr">
        <is>
          <t>Ảnh\bệ mố M2.png</t>
        </is>
      </c>
      <c r="AR1142" s="384" t="inlineStr">
        <is>
          <t>Nhóm 1</t>
        </is>
      </c>
      <c r="AS1142" s="384" t="n"/>
      <c r="AT1142" s="384" t="inlineStr">
        <is>
          <t>HM35</t>
        </is>
      </c>
      <c r="AU1142" s="384" t="inlineStr">
        <is>
          <t>PL02</t>
        </is>
      </c>
      <c r="AV1142" s="384" t="n">
        <v>29</v>
      </c>
      <c r="AW1142" s="384" t="n">
        <v>1</v>
      </c>
      <c r="AX1142" s="384" t="n"/>
    </row>
    <row r="1143">
      <c r="A1143" s="56" t="inlineStr">
        <is>
          <t>BBK680</t>
        </is>
      </c>
      <c r="B1143" s="56" t="inlineStr">
        <is>
          <t>PYC</t>
        </is>
      </c>
      <c r="C1143" s="56" t="inlineStr">
        <is>
          <t>BBK680.0031508</t>
        </is>
      </c>
      <c r="D1143" s="57" t="n"/>
      <c r="E1143" s="57" t="n"/>
      <c r="F1143" s="57" t="n"/>
      <c r="G1143" s="57" t="n"/>
      <c r="H1143" s="57" t="n"/>
      <c r="J1143" s="168" t="inlineStr">
        <is>
          <t>08</t>
        </is>
      </c>
      <c r="K1143" s="168" t="inlineStr">
        <is>
          <t>PYC</t>
        </is>
      </c>
      <c r="L1143" s="169" t="inlineStr">
        <is>
          <t>phiếu yêu cầu</t>
        </is>
      </c>
      <c r="M1143" s="169" t="n"/>
      <c r="N1143" s="169" t="n"/>
      <c r="O1143" s="170" t="inlineStr">
        <is>
          <t>Cầu Km19+529.080</t>
        </is>
      </c>
      <c r="P1143" s="405" t="n"/>
      <c r="Q1143" s="405" t="n"/>
      <c r="R1143" s="401">
        <f>R1144</f>
        <v/>
      </c>
      <c r="S1143" s="405">
        <f>+R1143+1</f>
        <v/>
      </c>
      <c r="T1143" s="402">
        <f>T1144</f>
        <v/>
      </c>
      <c r="U1143" s="402">
        <f>U1144</f>
        <v/>
      </c>
      <c r="V1143" s="402">
        <f>V1144</f>
        <v/>
      </c>
      <c r="W1143" s="402">
        <f>W1144</f>
        <v/>
      </c>
      <c r="X1143" s="406" t="n"/>
      <c r="Y1143" s="406" t="n"/>
      <c r="Z1143" s="406" t="n"/>
      <c r="AA1143" s="173" t="n"/>
      <c r="AB1143" s="173" t="inlineStr">
        <is>
          <t>307HG/YCNT/BM/M2</t>
        </is>
      </c>
      <c r="AC1143" s="173" t="n"/>
      <c r="AD1143" s="173" t="n"/>
      <c r="AE1143" s="173" t="n"/>
      <c r="AF1143" s="173" t="n"/>
      <c r="AG1143" s="129" t="inlineStr">
        <is>
          <t>NTCV</t>
        </is>
      </c>
      <c r="AH1143" s="173" t="inlineStr">
        <is>
          <t>2;3</t>
        </is>
      </c>
      <c r="AI1143" s="406" t="n"/>
      <c r="AJ1143" s="406" t="n"/>
      <c r="AK1143" s="408" t="n"/>
      <c r="AL1143" s="406" t="n"/>
      <c r="AM1143" s="406" t="n"/>
      <c r="AN1143" s="406" t="n"/>
      <c r="AO1143" s="406" t="n"/>
      <c r="AP1143" s="174" t="n"/>
      <c r="AQ1143" s="174" t="n"/>
      <c r="AR1143" s="406" t="inlineStr">
        <is>
          <t>Nhóm 1</t>
        </is>
      </c>
      <c r="AS1143" s="406" t="n"/>
      <c r="AT1143" s="406" t="inlineStr">
        <is>
          <t>HM35</t>
        </is>
      </c>
      <c r="AU1143" s="406" t="inlineStr">
        <is>
          <t>PYC</t>
        </is>
      </c>
      <c r="AV1143" s="406" t="n">
        <v>46</v>
      </c>
      <c r="AW1143" s="406" t="n">
        <v>2</v>
      </c>
      <c r="AX1143" s="406" t="n"/>
    </row>
    <row r="1144" ht="28" customHeight="1" s="672">
      <c r="A1144" s="413" t="inlineStr">
        <is>
          <t>NTCV</t>
        </is>
      </c>
      <c r="B1144" s="413" t="inlineStr">
        <is>
          <t>K.9999</t>
        </is>
      </c>
      <c r="C1144" s="413" t="inlineStr">
        <is>
          <t>NTCV.0324095</t>
        </is>
      </c>
      <c r="D1144" s="414" t="n"/>
      <c r="E1144" s="414" t="n"/>
      <c r="F1144" s="414" t="n"/>
      <c r="G1144" s="414" t="n"/>
      <c r="H1144" s="414" t="n"/>
      <c r="J1144" s="147" t="inlineStr">
        <is>
          <t>09</t>
        </is>
      </c>
      <c r="K1144" s="147" t="inlineStr">
        <is>
          <t>K.9999</t>
        </is>
      </c>
      <c r="L1144" s="148" t="inlineStr">
        <is>
          <t>Công tác chuẩn bị đổ bê tông lót bệ</t>
        </is>
      </c>
      <c r="M1144" s="148" t="n"/>
      <c r="N1144" s="148" t="n"/>
      <c r="O1144" s="149" t="inlineStr">
        <is>
          <t>Cầu Km19+529.080</t>
        </is>
      </c>
      <c r="P1144" s="415">
        <f>+S1141+1</f>
        <v/>
      </c>
      <c r="Q1144" s="415">
        <f>+P1144</f>
        <v/>
      </c>
      <c r="R1144" s="415">
        <f>+Q1144-1</f>
        <v/>
      </c>
      <c r="S1144" s="415">
        <f>+Q1144</f>
        <v/>
      </c>
      <c r="T1144" s="416" t="n">
        <v>0.375</v>
      </c>
      <c r="U1144" s="416">
        <f>+T1144+V1144</f>
        <v/>
      </c>
      <c r="V1144" s="416" t="n">
        <v>0.04166666666666666</v>
      </c>
      <c r="W1144" s="411">
        <f>TEXT(T1144,"HH""h""MM'")&amp;"÷"&amp;TEXT(U1144,"HH""h""MM'")</f>
        <v/>
      </c>
      <c r="X1144" s="417" t="n"/>
      <c r="Y1144" s="417" t="n"/>
      <c r="Z1144" s="417" t="inlineStr">
        <is>
          <t>05;</t>
        </is>
      </c>
      <c r="AA1144" s="150" t="inlineStr">
        <is>
          <t>Kiểm tra công tác chuẩn bị đổ bê tông lót Bệ mố M2</t>
        </is>
      </c>
      <c r="AB1144" s="150" t="inlineStr">
        <is>
          <t>307HG/YCNT/BM/M2-2</t>
        </is>
      </c>
      <c r="AC1144" s="150" t="inlineStr">
        <is>
          <t>307HG/BBNT/BM/M2-3</t>
        </is>
      </c>
      <c r="AD1144" s="150" t="n"/>
      <c r="AE1144" s="150" t="n"/>
      <c r="AF1144" s="150" t="n"/>
      <c r="AG1144" s="150" t="n"/>
      <c r="AH1144" s="150" t="n"/>
      <c r="AI1144" s="417" t="n"/>
      <c r="AJ1144" s="417" t="n"/>
      <c r="AK1144" s="418" t="n"/>
      <c r="AL1144" s="417" t="n"/>
      <c r="AM1144" s="417" t="n"/>
      <c r="AN1144" s="417" t="n"/>
      <c r="AO1144" s="417" t="n"/>
      <c r="AP1144" s="151" t="n"/>
      <c r="AQ1144" s="151" t="n"/>
      <c r="AR1144" s="417" t="inlineStr">
        <is>
          <t>Nhóm 1</t>
        </is>
      </c>
      <c r="AS1144" s="417" t="n"/>
      <c r="AT1144" s="417" t="inlineStr">
        <is>
          <t>HM35</t>
        </is>
      </c>
      <c r="AU1144" s="417" t="inlineStr">
        <is>
          <t>NTCV</t>
        </is>
      </c>
      <c r="AV1144" s="417" t="n">
        <v>387</v>
      </c>
      <c r="AW1144" s="417" t="n">
        <v>2</v>
      </c>
      <c r="AX1144" s="417" t="n"/>
    </row>
    <row r="1145">
      <c r="A1145" s="413" t="inlineStr">
        <is>
          <t>BBK229</t>
        </is>
      </c>
      <c r="B1145" s="413" t="inlineStr">
        <is>
          <t>PL05.1</t>
        </is>
      </c>
      <c r="C1145" s="413" t="inlineStr">
        <is>
          <t>BBK229.0901840</t>
        </is>
      </c>
      <c r="D1145" s="414" t="n"/>
      <c r="E1145" s="414" t="n"/>
      <c r="F1145" s="414" t="n"/>
      <c r="G1145" s="414" t="n"/>
      <c r="H1145" s="414" t="n"/>
      <c r="J1145" s="108" t="inlineStr">
        <is>
          <t>10</t>
        </is>
      </c>
      <c r="K1145" s="108" t="inlineStr">
        <is>
          <t>PL05.1</t>
        </is>
      </c>
      <c r="L1145" s="109">
        <f>L1144</f>
        <v/>
      </c>
      <c r="M1145" s="109" t="n"/>
      <c r="N1145" s="109" t="n"/>
      <c r="O1145" s="110" t="inlineStr">
        <is>
          <t>Cầu Km19+529.080</t>
        </is>
      </c>
      <c r="P1145" s="401" t="n"/>
      <c r="Q1145" s="401" t="n"/>
      <c r="R1145" s="401" t="n"/>
      <c r="S1145" s="401">
        <f>S1144</f>
        <v/>
      </c>
      <c r="T1145" s="401" t="n"/>
      <c r="U1145" s="401" t="n"/>
      <c r="V1145" s="401" t="n"/>
      <c r="W1145" s="403" t="n"/>
      <c r="X1145" s="403" t="n"/>
      <c r="Y1145" s="403" t="n"/>
      <c r="Z1145" s="108" t="inlineStr">
        <is>
          <t>05</t>
        </is>
      </c>
      <c r="AA1145" s="113" t="n"/>
      <c r="AB1145" s="113" t="n"/>
      <c r="AC1145" s="113" t="inlineStr">
        <is>
          <t>307HG/BBNT/BM/M2-3</t>
        </is>
      </c>
      <c r="AD1145" s="113" t="n"/>
      <c r="AE1145" s="113" t="n"/>
      <c r="AF1145" s="113" t="n"/>
      <c r="AG1145" s="113" t="n"/>
      <c r="AH1145" s="113" t="inlineStr">
        <is>
          <t>C10</t>
        </is>
      </c>
      <c r="AI1145" s="403" t="n"/>
      <c r="AJ1145" s="403" t="n"/>
      <c r="AK1145" s="404" t="n"/>
      <c r="AL1145" s="403" t="n"/>
      <c r="AM1145" s="403" t="n"/>
      <c r="AN1145" s="403" t="n"/>
      <c r="AO1145" s="403" t="n"/>
      <c r="AP1145" s="115" t="n"/>
      <c r="AQ1145" s="115" t="n"/>
      <c r="AR1145" s="403" t="inlineStr">
        <is>
          <t>Nhóm 1</t>
        </is>
      </c>
      <c r="AS1145" s="403" t="n"/>
      <c r="AT1145" s="403" t="inlineStr">
        <is>
          <t>HM35</t>
        </is>
      </c>
      <c r="AU1145" s="403" t="inlineStr">
        <is>
          <t>PL05.1</t>
        </is>
      </c>
      <c r="AV1145" s="403" t="n">
        <v>3</v>
      </c>
      <c r="AW1145" s="403" t="n">
        <v>1</v>
      </c>
      <c r="AX1145" s="403" t="n"/>
    </row>
    <row r="1146">
      <c r="A1146" s="413" t="inlineStr">
        <is>
          <t>NTCV</t>
        </is>
      </c>
      <c r="B1146" s="413" t="inlineStr">
        <is>
          <t>K.9999</t>
        </is>
      </c>
      <c r="C1146" s="413" t="inlineStr">
        <is>
          <t>NTCV.0239588</t>
        </is>
      </c>
      <c r="D1146" s="414" t="n"/>
      <c r="E1146" s="414" t="n"/>
      <c r="F1146" s="414" t="n"/>
      <c r="G1146" s="414" t="n"/>
      <c r="H1146" s="414" t="n"/>
      <c r="J1146" s="131" t="inlineStr">
        <is>
          <t>11</t>
        </is>
      </c>
      <c r="K1146" s="131" t="inlineStr">
        <is>
          <t>K.9999</t>
        </is>
      </c>
      <c r="L1146" s="132" t="inlineStr">
        <is>
          <t>Công tác đổ bê tông lót</t>
        </is>
      </c>
      <c r="M1146" s="132" t="n"/>
      <c r="N1146" s="132" t="n"/>
      <c r="O1146" s="133" t="inlineStr">
        <is>
          <t>Cầu Km19+529.080</t>
        </is>
      </c>
      <c r="P1146" s="419">
        <f>S1144</f>
        <v/>
      </c>
      <c r="Q1146" s="419">
        <f>P1146+1</f>
        <v/>
      </c>
      <c r="R1146" s="415">
        <f>+Q1146-2</f>
        <v/>
      </c>
      <c r="S1146" s="415">
        <f>+Q1146</f>
        <v/>
      </c>
      <c r="T1146" s="420">
        <f>T1147</f>
        <v/>
      </c>
      <c r="U1146" s="420">
        <f>+T1146+V1146</f>
        <v/>
      </c>
      <c r="V1146" s="420" t="n">
        <v>0.03125</v>
      </c>
      <c r="W1146" s="411">
        <f>TEXT(T1146,"HH""h""MM'")&amp;"÷"&amp;TEXT(U1146,"HH""h""MM'")</f>
        <v/>
      </c>
      <c r="X1146" s="421" t="n"/>
      <c r="Y1146" s="421" t="n"/>
      <c r="Z1146" s="421" t="inlineStr">
        <is>
          <t>06;</t>
        </is>
      </c>
      <c r="AA1146" s="136" t="inlineStr">
        <is>
          <t>Theo dõi đổ bê tông lót Bệ mố M2</t>
        </is>
      </c>
      <c r="AB1146" s="150" t="inlineStr">
        <is>
          <t>307HG/YCNT/BM/M2-2</t>
        </is>
      </c>
      <c r="AC1146" s="136" t="inlineStr">
        <is>
          <t>307HG/BBNT/BM/M2-4</t>
        </is>
      </c>
      <c r="AD1146" s="136" t="n"/>
      <c r="AE1146" s="136" t="n"/>
      <c r="AF1146" s="136" t="n"/>
      <c r="AG1146" s="136" t="n"/>
      <c r="AH1146" s="136" t="n"/>
      <c r="AI1146" s="421" t="n"/>
      <c r="AJ1146" s="421" t="n"/>
      <c r="AK1146" s="422" t="n"/>
      <c r="AL1146" s="421" t="n"/>
      <c r="AM1146" s="421" t="n"/>
      <c r="AN1146" s="421" t="n"/>
      <c r="AO1146" s="421" t="n"/>
      <c r="AP1146" s="138" t="n"/>
      <c r="AQ1146" s="138" t="n"/>
      <c r="AR1146" s="421" t="inlineStr">
        <is>
          <t>Nhóm 1</t>
        </is>
      </c>
      <c r="AS1146" s="421" t="n"/>
      <c r="AT1146" s="421" t="inlineStr">
        <is>
          <t>HM35</t>
        </is>
      </c>
      <c r="AU1146" s="421" t="inlineStr">
        <is>
          <t>NTCV</t>
        </is>
      </c>
      <c r="AV1146" s="421" t="n">
        <v>389</v>
      </c>
      <c r="AW1146" s="421" t="n">
        <v>3</v>
      </c>
      <c r="AX1146" s="421" t="n"/>
    </row>
    <row r="1147">
      <c r="A1147" s="413" t="inlineStr">
        <is>
          <t>BBK832</t>
        </is>
      </c>
      <c r="B1147" s="413" t="inlineStr">
        <is>
          <t>PL06.1</t>
        </is>
      </c>
      <c r="C1147" s="413" t="inlineStr">
        <is>
          <t>BBK832.0700891</t>
        </is>
      </c>
      <c r="D1147" s="414" t="n"/>
      <c r="E1147" s="414" t="n"/>
      <c r="F1147" s="414" t="n"/>
      <c r="G1147" s="414" t="n"/>
      <c r="H1147" s="414" t="n"/>
      <c r="J1147" s="124" t="inlineStr">
        <is>
          <t>12</t>
        </is>
      </c>
      <c r="K1147" s="124" t="inlineStr">
        <is>
          <t>PL06.1</t>
        </is>
      </c>
      <c r="L1147" s="125" t="inlineStr">
        <is>
          <t>Phụ lục số 06</t>
        </is>
      </c>
      <c r="M1147" s="125" t="n"/>
      <c r="N1147" s="125" t="n"/>
      <c r="O1147" s="126" t="inlineStr">
        <is>
          <t>Cầu Km19+529.080</t>
        </is>
      </c>
      <c r="P1147" s="423" t="n"/>
      <c r="Q1147" s="423" t="n"/>
      <c r="R1147" s="423" t="n"/>
      <c r="S1147" s="423" t="n"/>
      <c r="T1147" s="424" t="n">
        <v>0.3958333333333333</v>
      </c>
      <c r="U1147" s="424">
        <f>T1147+V1147</f>
        <v/>
      </c>
      <c r="V1147" s="424" t="n">
        <v>0.01041666666666667</v>
      </c>
      <c r="W1147" s="425" t="n"/>
      <c r="X1147" s="425" t="n"/>
      <c r="Y1147" s="425" t="n"/>
      <c r="Z1147" s="124" t="inlineStr">
        <is>
          <t>06</t>
        </is>
      </c>
      <c r="AA1147" s="129" t="n"/>
      <c r="AB1147" s="129" t="n"/>
      <c r="AC1147" s="129" t="inlineStr">
        <is>
          <t>307HG/BBNT/BM/M2-4</t>
        </is>
      </c>
      <c r="AD1147" s="129" t="n"/>
      <c r="AE1147" s="129" t="n"/>
      <c r="AF1147" s="129" t="n"/>
      <c r="AG1147" s="129" t="n"/>
      <c r="AH1147" s="426" t="inlineStr">
        <is>
          <t>C10-BM-M2</t>
        </is>
      </c>
      <c r="AI1147" s="425" t="n"/>
      <c r="AJ1147" s="425" t="n"/>
      <c r="AK1147" s="427" t="n"/>
      <c r="AL1147" s="425" t="n"/>
      <c r="AM1147" s="425" t="n"/>
      <c r="AN1147" s="425" t="n"/>
      <c r="AO1147" s="425" t="n"/>
      <c r="AP1147" s="130" t="n"/>
      <c r="AQ1147" s="130" t="n"/>
      <c r="AR1147" s="425" t="inlineStr">
        <is>
          <t>Nhóm 1</t>
        </is>
      </c>
      <c r="AS1147" s="425" t="n"/>
      <c r="AT1147" s="425" t="inlineStr">
        <is>
          <t>HM35</t>
        </is>
      </c>
      <c r="AU1147" s="425" t="inlineStr">
        <is>
          <t>PL06.1</t>
        </is>
      </c>
      <c r="AV1147" s="425" t="n">
        <v>19</v>
      </c>
      <c r="AW1147" s="425" t="n">
        <v>2</v>
      </c>
      <c r="AX1147" s="425" t="n"/>
    </row>
    <row r="1148">
      <c r="A1148" s="413" t="inlineStr">
        <is>
          <t>LMHT</t>
        </is>
      </c>
      <c r="B1148" s="413" t="inlineStr">
        <is>
          <t>LMHT</t>
        </is>
      </c>
      <c r="C1148" s="413" t="inlineStr">
        <is>
          <t>LMHT.0830838</t>
        </is>
      </c>
      <c r="D1148" s="414" t="inlineStr">
        <is>
          <t>TC.000041|TC.000182|TC.000169.A</t>
        </is>
      </c>
      <c r="E1148" s="414" t="n"/>
      <c r="F1148" s="414" t="inlineStr">
        <is>
          <t>CP.0001^Bê tông lót bệ mố M2^Hình trụ 15x30 (cm)^3^C10 (10Mpa)^^^TC.000041|TC.000182|TC.000169.A</t>
        </is>
      </c>
      <c r="G1148" s="414" t="n"/>
      <c r="H1148" s="414" t="n"/>
      <c r="J1148" s="175" t="inlineStr">
        <is>
          <t>13</t>
        </is>
      </c>
      <c r="K1148" s="175" t="inlineStr">
        <is>
          <t>LMHT</t>
        </is>
      </c>
      <c r="L1148" s="176" t="inlineStr">
        <is>
          <t>Bê tông lót bệ mố M2</t>
        </is>
      </c>
      <c r="M1148" s="176" t="n"/>
      <c r="N1148" s="176" t="n"/>
      <c r="O1148" s="177" t="inlineStr">
        <is>
          <t>Cầu Km19+529.080</t>
        </is>
      </c>
      <c r="P1148" s="299" t="n"/>
      <c r="Q1148" s="299" t="n"/>
      <c r="R1148" s="299" t="n"/>
      <c r="S1148" s="299">
        <f>S1146</f>
        <v/>
      </c>
      <c r="T1148" s="300">
        <f>T1147</f>
        <v/>
      </c>
      <c r="U1148" s="300">
        <f>U1147</f>
        <v/>
      </c>
      <c r="V1148" s="300">
        <f>V1147</f>
        <v/>
      </c>
      <c r="W1148" s="301" t="n"/>
      <c r="X1148" s="301" t="n"/>
      <c r="Y1148" s="301" t="n"/>
      <c r="Z1148" s="301" t="n"/>
      <c r="AA1148" s="180" t="n"/>
      <c r="AB1148" s="180" t="n"/>
      <c r="AC1148" s="180" t="n"/>
      <c r="AD1148" s="180" t="n"/>
      <c r="AE1148" s="180" t="n"/>
      <c r="AF1148" s="180" t="n"/>
      <c r="AG1148" s="180" t="n"/>
      <c r="AH1148" s="180" t="n"/>
      <c r="AI1148" s="301" t="n"/>
      <c r="AJ1148" s="301" t="n"/>
      <c r="AK1148" s="303" t="n"/>
      <c r="AL1148" s="301" t="n"/>
      <c r="AM1148" s="301" t="n"/>
      <c r="AN1148" s="301" t="n"/>
      <c r="AO1148" s="301" t="n"/>
      <c r="AP1148" s="181" t="n"/>
      <c r="AQ1148" s="181" t="n"/>
      <c r="AR1148" s="301" t="inlineStr">
        <is>
          <t>Nhóm 1</t>
        </is>
      </c>
      <c r="AS1148" s="301" t="n"/>
      <c r="AT1148" s="301" t="inlineStr">
        <is>
          <t>HM35</t>
        </is>
      </c>
      <c r="AU1148" s="301" t="inlineStr">
        <is>
          <t>LMHT</t>
        </is>
      </c>
      <c r="AV1148" s="301" t="n">
        <v>37</v>
      </c>
      <c r="AW1148" s="301" t="n">
        <v>1</v>
      </c>
      <c r="AX1148" s="301" t="n"/>
    </row>
    <row r="1149" ht="28" customHeight="1" s="672">
      <c r="A1149" s="413" t="inlineStr">
        <is>
          <t>BBK680</t>
        </is>
      </c>
      <c r="B1149" s="413" t="inlineStr">
        <is>
          <t>PYC</t>
        </is>
      </c>
      <c r="C1149" s="413" t="inlineStr">
        <is>
          <t>BBK680.0086934</t>
        </is>
      </c>
      <c r="D1149" s="414" t="n"/>
      <c r="E1149" s="414" t="n"/>
      <c r="F1149" s="414" t="n"/>
      <c r="G1149" s="414" t="n"/>
      <c r="H1149" s="414" t="n"/>
      <c r="J1149" s="168" t="inlineStr">
        <is>
          <t>14</t>
        </is>
      </c>
      <c r="K1149" s="168" t="inlineStr">
        <is>
          <t>PYC</t>
        </is>
      </c>
      <c r="L1149" s="169" t="inlineStr">
        <is>
          <t>phiếu yêu cầu</t>
        </is>
      </c>
      <c r="M1149" s="169" t="n"/>
      <c r="N1149" s="169" t="n"/>
      <c r="O1149" s="170" t="inlineStr">
        <is>
          <t>Cầu Km19+529.080</t>
        </is>
      </c>
      <c r="P1149" s="405" t="n"/>
      <c r="Q1149" s="405" t="n"/>
      <c r="R1149" s="405">
        <f>S1149-1</f>
        <v/>
      </c>
      <c r="S1149" s="405">
        <f>S1148+7</f>
        <v/>
      </c>
      <c r="T1149" s="428" t="n">
        <v>0.3333333333333333</v>
      </c>
      <c r="U1149" s="428">
        <f>+T1149+V1149</f>
        <v/>
      </c>
      <c r="V1149" s="428" t="n">
        <v>0.02083333333333333</v>
      </c>
      <c r="W1149" s="406" t="n"/>
      <c r="X1149" s="406" t="n"/>
      <c r="Y1149" s="406" t="n"/>
      <c r="Z1149" s="406" t="n"/>
      <c r="AA1149" s="173" t="inlineStr">
        <is>
          <t>Theo dõi nén mẫu R7 bê tông lót Bệ mố M2</t>
        </is>
      </c>
      <c r="AB1149" s="173" t="inlineStr">
        <is>
          <t>307HG/YCNT/BM/M2-R7</t>
        </is>
      </c>
      <c r="AC1149" s="173" t="inlineStr">
        <is>
          <t>307HG/BBNT/BM/M2-4</t>
        </is>
      </c>
      <c r="AD1149" s="173" t="n"/>
      <c r="AE1149" s="173" t="n"/>
      <c r="AF1149" s="173" t="n"/>
      <c r="AG1149" s="173" t="inlineStr">
        <is>
          <t>PYC</t>
        </is>
      </c>
      <c r="AH1149" s="173" t="n">
        <v>5</v>
      </c>
      <c r="AI1149" s="406" t="n"/>
      <c r="AJ1149" s="406" t="n"/>
      <c r="AK1149" s="408" t="n"/>
      <c r="AL1149" s="406" t="n"/>
      <c r="AM1149" s="406" t="n"/>
      <c r="AN1149" s="406" t="n"/>
      <c r="AO1149" s="406" t="n"/>
      <c r="AP1149" s="174" t="n"/>
      <c r="AQ1149" s="174" t="n"/>
      <c r="AR1149" s="406" t="inlineStr">
        <is>
          <t>Nhóm 1</t>
        </is>
      </c>
      <c r="AS1149" s="406" t="n"/>
      <c r="AT1149" s="406" t="inlineStr">
        <is>
          <t>HM35</t>
        </is>
      </c>
      <c r="AU1149" s="406" t="inlineStr">
        <is>
          <t>PYC</t>
        </is>
      </c>
      <c r="AV1149" s="406" t="n">
        <v>63</v>
      </c>
      <c r="AW1149" s="406" t="n">
        <v>5</v>
      </c>
      <c r="AX1149" s="406" t="n"/>
    </row>
    <row r="1150" ht="28" customHeight="1" s="672">
      <c r="A1150" s="413" t="inlineStr">
        <is>
          <t>BBK680</t>
        </is>
      </c>
      <c r="B1150" s="413" t="inlineStr">
        <is>
          <t>PYC</t>
        </is>
      </c>
      <c r="C1150" s="413" t="inlineStr">
        <is>
          <t>BBK680.0818339</t>
        </is>
      </c>
      <c r="D1150" s="414" t="n"/>
      <c r="E1150" s="414" t="n"/>
      <c r="F1150" s="414" t="n"/>
      <c r="G1150" s="414" t="n"/>
      <c r="H1150" s="414" t="n"/>
      <c r="J1150" s="124" t="inlineStr">
        <is>
          <t>15</t>
        </is>
      </c>
      <c r="K1150" s="124" t="inlineStr">
        <is>
          <t>PYC</t>
        </is>
      </c>
      <c r="L1150" s="125" t="inlineStr">
        <is>
          <t>phiếu yêu cầu</t>
        </is>
      </c>
      <c r="M1150" s="125" t="n"/>
      <c r="N1150" s="125" t="n"/>
      <c r="O1150" s="126" t="inlineStr">
        <is>
          <t>Cầu Km19+529.080</t>
        </is>
      </c>
      <c r="P1150" s="423" t="n"/>
      <c r="Q1150" s="423" t="n"/>
      <c r="R1150" s="423">
        <f>S1150-1</f>
        <v/>
      </c>
      <c r="S1150" s="423">
        <f>S1148+28</f>
        <v/>
      </c>
      <c r="T1150" s="424" t="n">
        <v>0.3541666666666667</v>
      </c>
      <c r="U1150" s="424">
        <f>+T1150+V1150</f>
        <v/>
      </c>
      <c r="V1150" s="424" t="n">
        <v>0.02083333333333333</v>
      </c>
      <c r="W1150" s="425" t="n"/>
      <c r="X1150" s="425" t="n"/>
      <c r="Y1150" s="425" t="n"/>
      <c r="Z1150" s="425" t="n"/>
      <c r="AA1150" s="129" t="inlineStr">
        <is>
          <t>Theo dõi nén mẫu R28 bê tông lót Bệ mố M2</t>
        </is>
      </c>
      <c r="AB1150" s="129" t="inlineStr">
        <is>
          <t>307HG/YCNT/BM/M2-R28</t>
        </is>
      </c>
      <c r="AC1150" s="129" t="inlineStr">
        <is>
          <t>307HG/BBNT/BM/M2-4</t>
        </is>
      </c>
      <c r="AD1150" s="129" t="n"/>
      <c r="AE1150" s="129" t="n"/>
      <c r="AF1150" s="129" t="n"/>
      <c r="AG1150" s="129" t="inlineStr">
        <is>
          <t>PYC</t>
        </is>
      </c>
      <c r="AH1150" s="129" t="n">
        <v>8</v>
      </c>
      <c r="AI1150" s="425" t="n"/>
      <c r="AJ1150" s="425" t="n"/>
      <c r="AK1150" s="427" t="n"/>
      <c r="AL1150" s="425" t="n"/>
      <c r="AM1150" s="425" t="n"/>
      <c r="AN1150" s="425" t="n"/>
      <c r="AO1150" s="425" t="n"/>
      <c r="AP1150" s="130" t="n"/>
      <c r="AQ1150" s="130" t="n"/>
      <c r="AR1150" s="425" t="inlineStr">
        <is>
          <t>Nhóm 1</t>
        </is>
      </c>
      <c r="AS1150" s="425" t="n"/>
      <c r="AT1150" s="425" t="inlineStr">
        <is>
          <t>HM35</t>
        </is>
      </c>
      <c r="AU1150" s="425" t="inlineStr">
        <is>
          <t>PYC</t>
        </is>
      </c>
      <c r="AV1150" s="425" t="n">
        <v>111</v>
      </c>
      <c r="AW1150" s="425" t="n">
        <v>8</v>
      </c>
      <c r="AX1150" s="425" t="n"/>
    </row>
    <row r="1151">
      <c r="A1151" s="413" t="inlineStr">
        <is>
          <t>BBK680</t>
        </is>
      </c>
      <c r="B1151" s="413" t="inlineStr">
        <is>
          <t>PYC</t>
        </is>
      </c>
      <c r="C1151" s="413" t="inlineStr">
        <is>
          <t>BBK680.0812539</t>
        </is>
      </c>
      <c r="D1151" s="414" t="n"/>
      <c r="E1151" s="414" t="n"/>
      <c r="F1151" s="414" t="n"/>
      <c r="G1151" s="414" t="n"/>
      <c r="H1151" s="414" t="n"/>
      <c r="J1151" s="124" t="inlineStr">
        <is>
          <t>16</t>
        </is>
      </c>
      <c r="K1151" s="124" t="inlineStr">
        <is>
          <t>PYC</t>
        </is>
      </c>
      <c r="L1151" s="125" t="inlineStr">
        <is>
          <t>phiếu yêu cầu</t>
        </is>
      </c>
      <c r="M1151" s="125" t="n"/>
      <c r="N1151" s="125" t="n"/>
      <c r="O1151" s="126" t="inlineStr">
        <is>
          <t>Cầu Km19+529.080</t>
        </is>
      </c>
      <c r="P1151" s="423" t="n"/>
      <c r="Q1151" s="423" t="n"/>
      <c r="R1151" s="401">
        <f>R1152</f>
        <v/>
      </c>
      <c r="S1151" s="423">
        <f>+R1151+1</f>
        <v/>
      </c>
      <c r="T1151" s="423" t="n"/>
      <c r="U1151" s="423" t="n"/>
      <c r="V1151" s="423" t="n"/>
      <c r="W1151" s="425" t="n"/>
      <c r="X1151" s="425" t="n"/>
      <c r="Y1151" s="425" t="n"/>
      <c r="Z1151" s="425" t="n"/>
      <c r="AA1151" s="429" t="n"/>
      <c r="AB1151" s="173" t="inlineStr">
        <is>
          <t>307HG/YCNT/BM/M2</t>
        </is>
      </c>
      <c r="AC1151" s="430" t="n"/>
      <c r="AD1151" s="430" t="n"/>
      <c r="AE1151" s="430" t="n"/>
      <c r="AF1151" s="430" t="n"/>
      <c r="AG1151" s="129" t="inlineStr">
        <is>
          <t>NTCV</t>
        </is>
      </c>
      <c r="AH1151" s="430" t="inlineStr">
        <is>
          <t>4;5;6;7</t>
        </is>
      </c>
      <c r="AI1151" s="431" t="n"/>
      <c r="AJ1151" s="431" t="n"/>
      <c r="AK1151" s="432" t="n"/>
      <c r="AL1151" s="433" t="n"/>
      <c r="AM1151" s="425" t="n"/>
      <c r="AN1151" s="425" t="n"/>
      <c r="AO1151" s="425" t="n"/>
      <c r="AP1151" s="130" t="n"/>
      <c r="AQ1151" s="130" t="n"/>
      <c r="AR1151" s="425" t="inlineStr">
        <is>
          <t>Nhóm 1</t>
        </is>
      </c>
      <c r="AS1151" s="425" t="n"/>
      <c r="AT1151" s="425" t="inlineStr">
        <is>
          <t>HM35</t>
        </is>
      </c>
      <c r="AU1151" s="425" t="inlineStr">
        <is>
          <t>PYC</t>
        </is>
      </c>
      <c r="AV1151" s="425" t="n">
        <v>57</v>
      </c>
      <c r="AW1151" s="425" t="n">
        <v>3</v>
      </c>
      <c r="AX1151" s="425" t="n"/>
    </row>
    <row r="1152">
      <c r="A1152" s="413" t="inlineStr">
        <is>
          <t>NTCV</t>
        </is>
      </c>
      <c r="B1152" s="413" t="inlineStr">
        <is>
          <t>K.9999</t>
        </is>
      </c>
      <c r="C1152" s="413" t="inlineStr">
        <is>
          <t>NTCV.0202193</t>
        </is>
      </c>
      <c r="D1152" s="414" t="n"/>
      <c r="E1152" s="414" t="n"/>
      <c r="F1152" s="414" t="n"/>
      <c r="G1152" s="414" t="n"/>
      <c r="H1152" s="414" t="n"/>
      <c r="J1152" s="147" t="inlineStr">
        <is>
          <t>17</t>
        </is>
      </c>
      <c r="K1152" s="147" t="inlineStr">
        <is>
          <t>K.9999</t>
        </is>
      </c>
      <c r="L1152" s="148" t="inlineStr">
        <is>
          <t>Kiểm tra ván khuôn bệ mố</t>
        </is>
      </c>
      <c r="M1152" s="148" t="n"/>
      <c r="N1152" s="148" t="n"/>
      <c r="O1152" s="149" t="inlineStr">
        <is>
          <t>Cầu Km19+529.080</t>
        </is>
      </c>
      <c r="P1152" s="415">
        <f>S1148</f>
        <v/>
      </c>
      <c r="Q1152" s="415">
        <f>+P1152+3</f>
        <v/>
      </c>
      <c r="R1152" s="415">
        <f>Q1152-1</f>
        <v/>
      </c>
      <c r="S1152" s="415">
        <f>Q1152</f>
        <v/>
      </c>
      <c r="T1152" s="416" t="n">
        <v>0.3541666666666667</v>
      </c>
      <c r="U1152" s="416">
        <f>+T1152+V1152</f>
        <v/>
      </c>
      <c r="V1152" s="416" t="n">
        <v>0.01388888888888889</v>
      </c>
      <c r="W1152" s="411">
        <f>TEXT(T1152,"HH""h""MM'")&amp;"÷"&amp;TEXT(U1152,"HH""h""MM'")</f>
        <v/>
      </c>
      <c r="X1152" s="417" t="n"/>
      <c r="Y1152" s="417" t="n"/>
      <c r="Z1152" s="417" t="inlineStr">
        <is>
          <t>07;</t>
        </is>
      </c>
      <c r="AA1152" s="150" t="inlineStr">
        <is>
          <t>Kiểm tra ván khuôn Bệ mố M2</t>
        </is>
      </c>
      <c r="AB1152" s="150" t="inlineStr">
        <is>
          <t>307HG/YCNT/BM/M2-3</t>
        </is>
      </c>
      <c r="AC1152" s="150" t="inlineStr">
        <is>
          <t>307HG/BBNT/BM/M2-5</t>
        </is>
      </c>
      <c r="AD1152" s="150" t="n"/>
      <c r="AE1152" s="150" t="n"/>
      <c r="AF1152" s="150" t="n"/>
      <c r="AG1152" s="150" t="n"/>
      <c r="AH1152" s="150" t="n"/>
      <c r="AI1152" s="417" t="n"/>
      <c r="AJ1152" s="417" t="n"/>
      <c r="AK1152" s="418" t="n"/>
      <c r="AL1152" s="417" t="n"/>
      <c r="AM1152" s="417" t="n"/>
      <c r="AN1152" s="417" t="n"/>
      <c r="AO1152" s="417" t="n"/>
      <c r="AP1152" s="151" t="n"/>
      <c r="AQ1152" s="151" t="n"/>
      <c r="AR1152" s="417" t="inlineStr">
        <is>
          <t>Nhóm 1</t>
        </is>
      </c>
      <c r="AS1152" s="417" t="n"/>
      <c r="AT1152" s="417" t="inlineStr">
        <is>
          <t>HM35</t>
        </is>
      </c>
      <c r="AU1152" s="417" t="inlineStr">
        <is>
          <t>NTCV</t>
        </is>
      </c>
      <c r="AV1152" s="417" t="n">
        <v>392</v>
      </c>
      <c r="AW1152" s="417" t="n">
        <v>4</v>
      </c>
      <c r="AX1152" s="417" t="n"/>
    </row>
    <row r="1153">
      <c r="A1153" s="413" t="inlineStr">
        <is>
          <t>BBK804</t>
        </is>
      </c>
      <c r="B1153" s="413" t="inlineStr">
        <is>
          <t>PL07.1</t>
        </is>
      </c>
      <c r="C1153" s="413" t="inlineStr">
        <is>
          <t>BBK804.0103972</t>
        </is>
      </c>
      <c r="D1153" s="414" t="n"/>
      <c r="E1153" s="414" t="n"/>
      <c r="F1153" s="414" t="n"/>
      <c r="G1153" s="414" t="n"/>
      <c r="H1153" s="414" t="n"/>
      <c r="J1153" s="108" t="inlineStr">
        <is>
          <t>18</t>
        </is>
      </c>
      <c r="K1153" s="108" t="inlineStr">
        <is>
          <t>PL07.1</t>
        </is>
      </c>
      <c r="L1153" s="109" t="inlineStr">
        <is>
          <t>Phụ lục số 07</t>
        </is>
      </c>
      <c r="M1153" s="109" t="n"/>
      <c r="N1153" s="109" t="n"/>
      <c r="O1153" s="110" t="inlineStr">
        <is>
          <t>Cầu Km19+529.080</t>
        </is>
      </c>
      <c r="P1153" s="401" t="n"/>
      <c r="Q1153" s="401" t="n"/>
      <c r="R1153" s="401" t="n"/>
      <c r="S1153" s="401">
        <f>S1152</f>
        <v/>
      </c>
      <c r="T1153" s="401" t="n"/>
      <c r="U1153" s="401" t="n"/>
      <c r="V1153" s="401" t="n"/>
      <c r="W1153" s="403" t="n"/>
      <c r="X1153" s="403" t="n"/>
      <c r="Y1153" s="403" t="n"/>
      <c r="Z1153" s="108" t="inlineStr">
        <is>
          <t>07</t>
        </is>
      </c>
      <c r="AA1153" s="113" t="n"/>
      <c r="AB1153" s="113" t="n"/>
      <c r="AC1153" s="113" t="inlineStr">
        <is>
          <t>307HG/BBNT/BM/M2-5</t>
        </is>
      </c>
      <c r="AD1153" s="113" t="n"/>
      <c r="AE1153" s="113" t="n"/>
      <c r="AF1153" s="113" t="n"/>
      <c r="AG1153" s="113" t="n"/>
      <c r="AH1153" s="114" t="inlineStr">
        <is>
          <t>BM-M2</t>
        </is>
      </c>
      <c r="AI1153" s="403" t="n"/>
      <c r="AJ1153" s="403" t="n"/>
      <c r="AK1153" s="404" t="n"/>
      <c r="AL1153" s="403" t="n"/>
      <c r="AM1153" s="403" t="n"/>
      <c r="AN1153" s="403" t="n"/>
      <c r="AO1153" s="403" t="n"/>
      <c r="AP1153" s="115" t="n"/>
      <c r="AQ1153" s="115" t="inlineStr">
        <is>
          <t>Ảnh\tháo vk BM M2.png</t>
        </is>
      </c>
      <c r="AR1153" s="403" t="inlineStr">
        <is>
          <t>Nhóm 1</t>
        </is>
      </c>
      <c r="AS1153" s="403" t="n"/>
      <c r="AT1153" s="403" t="inlineStr">
        <is>
          <t>HM35</t>
        </is>
      </c>
      <c r="AU1153" s="403" t="inlineStr">
        <is>
          <t>PL07.1</t>
        </is>
      </c>
      <c r="AV1153" s="403" t="n">
        <v>3</v>
      </c>
      <c r="AW1153" s="403" t="n">
        <v>1</v>
      </c>
      <c r="AX1153" s="403" t="n"/>
    </row>
    <row r="1154">
      <c r="A1154" s="413" t="inlineStr">
        <is>
          <t>NTCV</t>
        </is>
      </c>
      <c r="B1154" s="413" t="inlineStr">
        <is>
          <t>K.9999</t>
        </is>
      </c>
      <c r="C1154" s="413" t="inlineStr">
        <is>
          <t>NTCV.0623916</t>
        </is>
      </c>
      <c r="D1154" s="414" t="n"/>
      <c r="E1154" s="414" t="n"/>
      <c r="F1154" s="414" t="n"/>
      <c r="G1154" s="414" t="n"/>
      <c r="H1154" s="414" t="n"/>
      <c r="J1154" s="131" t="inlineStr">
        <is>
          <t>19</t>
        </is>
      </c>
      <c r="K1154" s="131" t="inlineStr">
        <is>
          <t>K.9999</t>
        </is>
      </c>
      <c r="L1154" s="132" t="inlineStr">
        <is>
          <t>Cốt thép bệ mố</t>
        </is>
      </c>
      <c r="M1154" s="132" t="n"/>
      <c r="N1154" s="132" t="n"/>
      <c r="O1154" s="133" t="inlineStr">
        <is>
          <t>Cầu Km19+529.080</t>
        </is>
      </c>
      <c r="P1154" s="419">
        <f>S1152</f>
        <v/>
      </c>
      <c r="Q1154" s="419">
        <f>P1154</f>
        <v/>
      </c>
      <c r="R1154" s="415">
        <f>Q1154-1</f>
        <v/>
      </c>
      <c r="S1154" s="415">
        <f>Q1154</f>
        <v/>
      </c>
      <c r="T1154" s="420">
        <f>U1152+TIME(,15,)</f>
        <v/>
      </c>
      <c r="U1154" s="420">
        <f>+T1154+V1154</f>
        <v/>
      </c>
      <c r="V1154" s="420" t="n">
        <v>0.01736111111111111</v>
      </c>
      <c r="W1154" s="411">
        <f>TEXT(T1154,"HH""h""MM'")&amp;"÷"&amp;TEXT(U1154,"HH""h""MM'")</f>
        <v/>
      </c>
      <c r="X1154" s="421" t="n"/>
      <c r="Y1154" s="421" t="n"/>
      <c r="Z1154" s="421" t="inlineStr">
        <is>
          <t>08;</t>
        </is>
      </c>
      <c r="AA1154" s="136" t="inlineStr">
        <is>
          <t>Kiểm tra cốt thép Bệ mố M2</t>
        </is>
      </c>
      <c r="AB1154" s="150" t="inlineStr">
        <is>
          <t>307HG/YCNT/BM/M2-3</t>
        </is>
      </c>
      <c r="AC1154" s="136" t="inlineStr">
        <is>
          <t>307HG/BBNT/BM/M2-6</t>
        </is>
      </c>
      <c r="AD1154" s="136" t="n"/>
      <c r="AE1154" s="136" t="n"/>
      <c r="AF1154" s="136" t="n"/>
      <c r="AG1154" s="136" t="n"/>
      <c r="AH1154" s="136" t="n"/>
      <c r="AI1154" s="421" t="n"/>
      <c r="AJ1154" s="421" t="n"/>
      <c r="AK1154" s="422" t="n"/>
      <c r="AL1154" s="421" t="n"/>
      <c r="AM1154" s="421" t="n"/>
      <c r="AN1154" s="421" t="n"/>
      <c r="AO1154" s="421" t="n"/>
      <c r="AP1154" s="138" t="n"/>
      <c r="AQ1154" s="138" t="n"/>
      <c r="AR1154" s="421" t="inlineStr">
        <is>
          <t>Nhóm 1</t>
        </is>
      </c>
      <c r="AS1154" s="421" t="n"/>
      <c r="AT1154" s="421" t="inlineStr">
        <is>
          <t>HM35</t>
        </is>
      </c>
      <c r="AU1154" s="421" t="inlineStr">
        <is>
          <t>NTCV</t>
        </is>
      </c>
      <c r="AV1154" s="421" t="n">
        <v>397</v>
      </c>
      <c r="AW1154" s="421" t="n">
        <v>5</v>
      </c>
      <c r="AX1154" s="421" t="n"/>
    </row>
    <row r="1155">
      <c r="A1155" s="413" t="inlineStr">
        <is>
          <t>BBK469</t>
        </is>
      </c>
      <c r="B1155" s="413" t="inlineStr">
        <is>
          <t>PL08.1</t>
        </is>
      </c>
      <c r="C1155" s="413" t="inlineStr">
        <is>
          <t>BBK469.0075741</t>
        </is>
      </c>
      <c r="D1155" s="414" t="n"/>
      <c r="E1155" s="414" t="n"/>
      <c r="F1155" s="414" t="n"/>
      <c r="G1155" s="414" t="n"/>
      <c r="H1155" s="414" t="n"/>
      <c r="J1155" s="108" t="inlineStr">
        <is>
          <t>20</t>
        </is>
      </c>
      <c r="K1155" s="108" t="inlineStr">
        <is>
          <t>PL08.1</t>
        </is>
      </c>
      <c r="L1155" s="109" t="inlineStr">
        <is>
          <t>Phụ lục số 08</t>
        </is>
      </c>
      <c r="M1155" s="109" t="n"/>
      <c r="N1155" s="109" t="n"/>
      <c r="O1155" s="110" t="inlineStr">
        <is>
          <t>Cầu Km19+529.080</t>
        </is>
      </c>
      <c r="P1155" s="401" t="n"/>
      <c r="Q1155" s="401" t="n"/>
      <c r="R1155" s="401" t="n"/>
      <c r="S1155" s="401">
        <f>S1154</f>
        <v/>
      </c>
      <c r="T1155" s="401" t="n"/>
      <c r="U1155" s="401" t="n"/>
      <c r="V1155" s="401" t="n"/>
      <c r="W1155" s="403" t="n"/>
      <c r="X1155" s="403" t="n"/>
      <c r="Y1155" s="403" t="n"/>
      <c r="Z1155" s="108" t="inlineStr">
        <is>
          <t>08</t>
        </is>
      </c>
      <c r="AA1155" s="113" t="n"/>
      <c r="AB1155" s="113" t="n"/>
      <c r="AC1155" s="113" t="inlineStr">
        <is>
          <t>307HG/BBNT/BM/M2-6</t>
        </is>
      </c>
      <c r="AD1155" s="113" t="n"/>
      <c r="AE1155" s="113" t="n"/>
      <c r="AF1155" s="113" t="n"/>
      <c r="AG1155" s="113" t="n"/>
      <c r="AH1155" s="114" t="inlineStr">
        <is>
          <t>BM-M2</t>
        </is>
      </c>
      <c r="AI1155" s="403" t="n"/>
      <c r="AJ1155" s="403" t="n"/>
      <c r="AK1155" s="404" t="n"/>
      <c r="AL1155" s="403" t="n"/>
      <c r="AM1155" s="403" t="n"/>
      <c r="AN1155" s="403" t="n"/>
      <c r="AO1155" s="403" t="n"/>
      <c r="AP1155" s="115" t="n"/>
      <c r="AQ1155" s="115" t="n"/>
      <c r="AR1155" s="403" t="inlineStr">
        <is>
          <t>Nhóm 1</t>
        </is>
      </c>
      <c r="AS1155" s="403" t="n"/>
      <c r="AT1155" s="403" t="inlineStr">
        <is>
          <t>HM35</t>
        </is>
      </c>
      <c r="AU1155" s="403" t="inlineStr">
        <is>
          <t>PL08.1</t>
        </is>
      </c>
      <c r="AV1155" s="403" t="n">
        <v>3</v>
      </c>
      <c r="AW1155" s="403" t="n">
        <v>1</v>
      </c>
      <c r="AX1155" s="403" t="n"/>
    </row>
    <row r="1156">
      <c r="A1156" s="413" t="inlineStr">
        <is>
          <t>NTCV</t>
        </is>
      </c>
      <c r="B1156" s="413" t="inlineStr">
        <is>
          <t>K.9999</t>
        </is>
      </c>
      <c r="C1156" s="413" t="inlineStr">
        <is>
          <t>NTCV.0622792</t>
        </is>
      </c>
      <c r="D1156" s="414" t="n"/>
      <c r="E1156" s="414" t="n"/>
      <c r="F1156" s="414" t="n"/>
      <c r="G1156" s="414" t="n"/>
      <c r="H1156" s="414" t="n"/>
      <c r="J1156" s="131" t="inlineStr">
        <is>
          <t>21</t>
        </is>
      </c>
      <c r="K1156" s="131" t="inlineStr">
        <is>
          <t>K.9999</t>
        </is>
      </c>
      <c r="L1156" s="132" t="inlineStr">
        <is>
          <t>Công tác chuẩn bị đổ bê tông bệ mố</t>
        </is>
      </c>
      <c r="M1156" s="132" t="n"/>
      <c r="N1156" s="132" t="n"/>
      <c r="O1156" s="133" t="inlineStr">
        <is>
          <t>Cầu Km19+529.080</t>
        </is>
      </c>
      <c r="P1156" s="419">
        <f>S1154</f>
        <v/>
      </c>
      <c r="Q1156" s="419">
        <f>P1156</f>
        <v/>
      </c>
      <c r="R1156" s="415">
        <f>Q1156-1</f>
        <v/>
      </c>
      <c r="S1156" s="415">
        <f>Q1156</f>
        <v/>
      </c>
      <c r="T1156" s="420">
        <f>U1154+TIME(,15,)</f>
        <v/>
      </c>
      <c r="U1156" s="420">
        <f>+T1156+V1156</f>
        <v/>
      </c>
      <c r="V1156" s="420" t="n">
        <v>0.01041666666666667</v>
      </c>
      <c r="W1156" s="411">
        <f>TEXT(T1156,"HH""h""MM'")&amp;"÷"&amp;TEXT(U1156,"HH""h""MM'")</f>
        <v/>
      </c>
      <c r="X1156" s="421" t="n"/>
      <c r="Y1156" s="421" t="n"/>
      <c r="Z1156" s="421" t="inlineStr">
        <is>
          <t>09;</t>
        </is>
      </c>
      <c r="AA1156" s="136" t="inlineStr">
        <is>
          <t>Công tác chuẩn bị đổ bê tông Bệ mố M2</t>
        </is>
      </c>
      <c r="AB1156" s="150" t="inlineStr">
        <is>
          <t>307HG/YCNT/BM/M2-3</t>
        </is>
      </c>
      <c r="AC1156" s="136" t="inlineStr">
        <is>
          <t>307HG/BBNT/BM/M2-7</t>
        </is>
      </c>
      <c r="AD1156" s="136" t="n"/>
      <c r="AE1156" s="136" t="n"/>
      <c r="AF1156" s="136" t="n"/>
      <c r="AG1156" s="136" t="n"/>
      <c r="AH1156" s="136" t="n"/>
      <c r="AI1156" s="421" t="n"/>
      <c r="AJ1156" s="421" t="n"/>
      <c r="AK1156" s="422" t="n"/>
      <c r="AL1156" s="421" t="n"/>
      <c r="AM1156" s="421" t="n"/>
      <c r="AN1156" s="421" t="n"/>
      <c r="AO1156" s="421" t="n"/>
      <c r="AP1156" s="138" t="n"/>
      <c r="AQ1156" s="138" t="n"/>
      <c r="AR1156" s="421" t="inlineStr">
        <is>
          <t>Nhóm 1</t>
        </is>
      </c>
      <c r="AS1156" s="421" t="n"/>
      <c r="AT1156" s="421" t="inlineStr">
        <is>
          <t>HM35</t>
        </is>
      </c>
      <c r="AU1156" s="421" t="inlineStr">
        <is>
          <t>NTCV</t>
        </is>
      </c>
      <c r="AV1156" s="421" t="n">
        <v>398</v>
      </c>
      <c r="AW1156" s="421" t="n">
        <v>6</v>
      </c>
      <c r="AX1156" s="421" t="n"/>
    </row>
    <row r="1157">
      <c r="A1157" s="413" t="inlineStr">
        <is>
          <t>BBK209</t>
        </is>
      </c>
      <c r="B1157" s="413" t="inlineStr">
        <is>
          <t>PL09</t>
        </is>
      </c>
      <c r="C1157" s="413" t="inlineStr">
        <is>
          <t>BBK209.0461559</t>
        </is>
      </c>
      <c r="D1157" s="414" t="n"/>
      <c r="E1157" s="414" t="n"/>
      <c r="F1157" s="414" t="n"/>
      <c r="G1157" s="414" t="n"/>
      <c r="H1157" s="414" t="n"/>
      <c r="J1157" s="108" t="inlineStr">
        <is>
          <t>22</t>
        </is>
      </c>
      <c r="K1157" s="108" t="inlineStr">
        <is>
          <t>PL09</t>
        </is>
      </c>
      <c r="L1157" s="109" t="inlineStr">
        <is>
          <t>Phụ lục số 09</t>
        </is>
      </c>
      <c r="M1157" s="109" t="n"/>
      <c r="N1157" s="109" t="n"/>
      <c r="O1157" s="110" t="inlineStr">
        <is>
          <t>Cầu Km19+529.080</t>
        </is>
      </c>
      <c r="P1157" s="401" t="n"/>
      <c r="Q1157" s="401" t="n"/>
      <c r="R1157" s="401" t="n"/>
      <c r="S1157" s="401">
        <f>S1156</f>
        <v/>
      </c>
      <c r="T1157" s="401" t="n"/>
      <c r="U1157" s="401" t="n"/>
      <c r="V1157" s="401" t="n"/>
      <c r="W1157" s="403" t="n"/>
      <c r="X1157" s="403" t="n"/>
      <c r="Y1157" s="403" t="n"/>
      <c r="Z1157" s="108" t="inlineStr">
        <is>
          <t>09</t>
        </is>
      </c>
      <c r="AA1157" s="113" t="n"/>
      <c r="AB1157" s="113" t="n"/>
      <c r="AC1157" s="113" t="inlineStr">
        <is>
          <t>307HG/BBNT/BM/M2-7</t>
        </is>
      </c>
      <c r="AD1157" s="113" t="n"/>
      <c r="AE1157" s="113" t="n"/>
      <c r="AF1157" s="113" t="n"/>
      <c r="AG1157" s="113" t="n"/>
      <c r="AH1157" s="113" t="inlineStr">
        <is>
          <t>C30</t>
        </is>
      </c>
      <c r="AI1157" s="403" t="n"/>
      <c r="AJ1157" s="403" t="n"/>
      <c r="AK1157" s="404" t="n"/>
      <c r="AL1157" s="403" t="n"/>
      <c r="AM1157" s="403" t="n"/>
      <c r="AN1157" s="403" t="n"/>
      <c r="AO1157" s="403" t="n"/>
      <c r="AP1157" s="115" t="n"/>
      <c r="AQ1157" s="115" t="n"/>
      <c r="AR1157" s="403" t="inlineStr">
        <is>
          <t>Nhóm 1</t>
        </is>
      </c>
      <c r="AS1157" s="403" t="n"/>
      <c r="AT1157" s="403" t="inlineStr">
        <is>
          <t>HM35</t>
        </is>
      </c>
      <c r="AU1157" s="403" t="inlineStr">
        <is>
          <t>PL09</t>
        </is>
      </c>
      <c r="AV1157" s="403" t="n">
        <v>29</v>
      </c>
      <c r="AW1157" s="403" t="n">
        <v>1</v>
      </c>
      <c r="AX1157" s="403" t="n"/>
    </row>
    <row r="1158" ht="28" customHeight="1" s="672">
      <c r="A1158" s="413" t="inlineStr">
        <is>
          <t>NTCV</t>
        </is>
      </c>
      <c r="B1158" s="413" t="inlineStr">
        <is>
          <t>K.9999</t>
        </is>
      </c>
      <c r="C1158" s="413" t="inlineStr">
        <is>
          <t>NTCV.0943000</t>
        </is>
      </c>
      <c r="D1158" s="414" t="n"/>
      <c r="E1158" s="414" t="n"/>
      <c r="F1158" s="414" t="n"/>
      <c r="G1158" s="414" t="n"/>
      <c r="H1158" s="414" t="n"/>
      <c r="J1158" s="161" t="inlineStr">
        <is>
          <t>23</t>
        </is>
      </c>
      <c r="K1158" s="161" t="inlineStr">
        <is>
          <t>K.9999</t>
        </is>
      </c>
      <c r="L1158" s="162" t="inlineStr">
        <is>
          <t>Công tác đổ bê tông và lấy mẫu bê tông bệ mố</t>
        </is>
      </c>
      <c r="M1158" s="162" t="n"/>
      <c r="N1158" s="162" t="n"/>
      <c r="O1158" s="163" t="inlineStr">
        <is>
          <t>Cầu Km19+529.080</t>
        </is>
      </c>
      <c r="P1158" s="419">
        <f>S1156</f>
        <v/>
      </c>
      <c r="Q1158" s="419">
        <f>P1158</f>
        <v/>
      </c>
      <c r="R1158" s="415">
        <f>Q1158-1</f>
        <v/>
      </c>
      <c r="S1158" s="415">
        <f>Q1158</f>
        <v/>
      </c>
      <c r="T1158" s="420">
        <f>U1156+TIME(,15,)</f>
        <v/>
      </c>
      <c r="U1158" s="420">
        <f>+T1158+V1158</f>
        <v/>
      </c>
      <c r="V1158" s="420" t="n">
        <v>0.01041666666666667</v>
      </c>
      <c r="W1158" s="411">
        <f>TEXT(T1158,"HH""h""MM'")&amp;"÷"&amp;TEXT(U1158,"HH""h""MM'")</f>
        <v/>
      </c>
      <c r="X1158" s="411" t="n"/>
      <c r="Y1158" s="411" t="n"/>
      <c r="Z1158" s="411" t="inlineStr">
        <is>
          <t>10;</t>
        </is>
      </c>
      <c r="AA1158" s="166" t="inlineStr">
        <is>
          <t>Công tác đổ bê tông và lấy mẫu bê tông Bệ mố M2</t>
        </is>
      </c>
      <c r="AB1158" s="150" t="inlineStr">
        <is>
          <t>307HG/YCNT/BM/M2-3</t>
        </is>
      </c>
      <c r="AC1158" s="136" t="inlineStr">
        <is>
          <t>307HG/BBNT/BM/M2-8</t>
        </is>
      </c>
      <c r="AD1158" s="166" t="n"/>
      <c r="AE1158" s="166" t="n"/>
      <c r="AF1158" s="166" t="n"/>
      <c r="AG1158" s="166" t="n"/>
      <c r="AH1158" s="166" t="n"/>
      <c r="AI1158" s="411" t="n"/>
      <c r="AJ1158" s="411" t="n"/>
      <c r="AK1158" s="412" t="n"/>
      <c r="AL1158" s="411" t="n"/>
      <c r="AM1158" s="411" t="n"/>
      <c r="AN1158" s="411" t="n"/>
      <c r="AO1158" s="411" t="n"/>
      <c r="AP1158" s="167" t="n"/>
      <c r="AQ1158" s="167" t="n"/>
      <c r="AR1158" s="411" t="inlineStr">
        <is>
          <t>Nhóm 1</t>
        </is>
      </c>
      <c r="AS1158" s="411" t="n"/>
      <c r="AT1158" s="411" t="inlineStr">
        <is>
          <t>HM35</t>
        </is>
      </c>
      <c r="AU1158" s="411" t="inlineStr">
        <is>
          <t>NTCV</t>
        </is>
      </c>
      <c r="AV1158" s="411" t="n">
        <v>399</v>
      </c>
      <c r="AW1158" s="411" t="n">
        <v>7</v>
      </c>
      <c r="AX1158" s="411" t="n"/>
    </row>
    <row r="1159">
      <c r="A1159" s="413" t="inlineStr">
        <is>
          <t>BBK832</t>
        </is>
      </c>
      <c r="B1159" s="413" t="inlineStr">
        <is>
          <t>PL06.1</t>
        </is>
      </c>
      <c r="C1159" s="413" t="inlineStr">
        <is>
          <t>BBK832.0192951</t>
        </is>
      </c>
      <c r="D1159" s="414" t="n"/>
      <c r="E1159" s="414" t="n"/>
      <c r="F1159" s="414" t="n"/>
      <c r="G1159" s="414" t="n"/>
      <c r="H1159" s="414" t="n"/>
      <c r="J1159" s="108" t="inlineStr">
        <is>
          <t>24</t>
        </is>
      </c>
      <c r="K1159" s="108" t="inlineStr">
        <is>
          <t>PL06.1</t>
        </is>
      </c>
      <c r="L1159" s="109">
        <f>L1158</f>
        <v/>
      </c>
      <c r="M1159" s="109" t="n"/>
      <c r="N1159" s="109" t="n"/>
      <c r="O1159" s="110" t="inlineStr">
        <is>
          <t>Cầu Km19+529.080</t>
        </is>
      </c>
      <c r="P1159" s="401" t="n"/>
      <c r="Q1159" s="401" t="n"/>
      <c r="R1159" s="401" t="n"/>
      <c r="S1159" s="401">
        <f>S1158</f>
        <v/>
      </c>
      <c r="T1159" s="402">
        <f>U1158+TIME(,15,)</f>
        <v/>
      </c>
      <c r="U1159" s="402">
        <f>+T1159+V1159</f>
        <v/>
      </c>
      <c r="V1159" s="402" t="n">
        <v>0.08333333333333333</v>
      </c>
      <c r="W1159" s="403" t="n"/>
      <c r="X1159" s="403" t="n"/>
      <c r="Y1159" s="403" t="n"/>
      <c r="Z1159" s="108" t="inlineStr">
        <is>
          <t>10</t>
        </is>
      </c>
      <c r="AA1159" s="113" t="n"/>
      <c r="AB1159" s="113" t="n"/>
      <c r="AC1159" s="113" t="inlineStr">
        <is>
          <t>307HG/BBNT/BM/M2-8</t>
        </is>
      </c>
      <c r="AD1159" s="113" t="n"/>
      <c r="AE1159" s="113" t="n"/>
      <c r="AF1159" s="113" t="n"/>
      <c r="AG1159" s="113" t="n"/>
      <c r="AH1159" s="113" t="inlineStr">
        <is>
          <t>C30-BM-M2</t>
        </is>
      </c>
      <c r="AI1159" s="403" t="n"/>
      <c r="AJ1159" s="403" t="n"/>
      <c r="AK1159" s="404" t="n"/>
      <c r="AL1159" s="403" t="n"/>
      <c r="AM1159" s="403" t="n"/>
      <c r="AN1159" s="403" t="n"/>
      <c r="AO1159" s="403" t="n"/>
      <c r="AP1159" s="115" t="n"/>
      <c r="AQ1159" s="115" t="n"/>
      <c r="AR1159" s="403" t="inlineStr">
        <is>
          <t>Nhóm 1</t>
        </is>
      </c>
      <c r="AS1159" s="403" t="n"/>
      <c r="AT1159" s="403" t="inlineStr">
        <is>
          <t>HM35</t>
        </is>
      </c>
      <c r="AU1159" s="403" t="inlineStr">
        <is>
          <t>PL06.1</t>
        </is>
      </c>
      <c r="AV1159" s="403" t="n">
        <v>3</v>
      </c>
      <c r="AW1159" s="403" t="n">
        <v>1</v>
      </c>
      <c r="AX1159" s="403" t="n"/>
    </row>
    <row r="1160">
      <c r="A1160" s="413" t="inlineStr">
        <is>
          <t>LMHT</t>
        </is>
      </c>
      <c r="B1160" s="413" t="inlineStr">
        <is>
          <t>LMHT</t>
        </is>
      </c>
      <c r="C1160" s="413" t="inlineStr">
        <is>
          <t>LMHT.0297774</t>
        </is>
      </c>
      <c r="D1160" s="414" t="inlineStr">
        <is>
          <t>TC.000041|TC.000182|TC.000169.A</t>
        </is>
      </c>
      <c r="E1160" s="414" t="n"/>
      <c r="F1160" s="414" t="inlineStr">
        <is>
          <t>CP.0001^Bê tông Bệ mố M2^Hình trụ 15x30 (cm)^15^C30 (30Mpa)^^^TC.000041|TC.000182|TC.000169.A</t>
        </is>
      </c>
      <c r="G1160" s="414" t="n"/>
      <c r="H1160" s="414" t="n"/>
      <c r="J1160" s="175" t="inlineStr">
        <is>
          <t>25</t>
        </is>
      </c>
      <c r="K1160" s="175" t="inlineStr">
        <is>
          <t>LMHT</t>
        </is>
      </c>
      <c r="L1160" s="176" t="inlineStr">
        <is>
          <t>Bê tông Bệ mố M2</t>
        </is>
      </c>
      <c r="M1160" s="176" t="n"/>
      <c r="N1160" s="176" t="n"/>
      <c r="O1160" s="177" t="inlineStr">
        <is>
          <t>Cầu Km19+529.080</t>
        </is>
      </c>
      <c r="P1160" s="299" t="n"/>
      <c r="Q1160" s="299" t="n"/>
      <c r="R1160" s="299" t="n"/>
      <c r="S1160" s="299">
        <f>S1159</f>
        <v/>
      </c>
      <c r="T1160" s="300">
        <f>T1159</f>
        <v/>
      </c>
      <c r="U1160" s="300">
        <f>U1159</f>
        <v/>
      </c>
      <c r="V1160" s="300">
        <f>V1159</f>
        <v/>
      </c>
      <c r="W1160" s="301" t="n"/>
      <c r="X1160" s="301" t="n"/>
      <c r="Y1160" s="301" t="n"/>
      <c r="Z1160" s="301" t="n"/>
      <c r="AA1160" s="180" t="n"/>
      <c r="AB1160" s="180" t="n"/>
      <c r="AC1160" s="180" t="n"/>
      <c r="AD1160" s="180" t="n"/>
      <c r="AE1160" s="180" t="n"/>
      <c r="AF1160" s="180" t="n"/>
      <c r="AG1160" s="180" t="n"/>
      <c r="AH1160" s="180" t="n"/>
      <c r="AI1160" s="301" t="n"/>
      <c r="AJ1160" s="301" t="n"/>
      <c r="AK1160" s="303" t="n"/>
      <c r="AL1160" s="301" t="n"/>
      <c r="AM1160" s="301" t="n"/>
      <c r="AN1160" s="301" t="n"/>
      <c r="AO1160" s="301" t="n"/>
      <c r="AP1160" s="181" t="n"/>
      <c r="AQ1160" s="181" t="n"/>
      <c r="AR1160" s="301" t="inlineStr">
        <is>
          <t>Nhóm 1</t>
        </is>
      </c>
      <c r="AS1160" s="301" t="n"/>
      <c r="AT1160" s="301" t="inlineStr">
        <is>
          <t>HM35</t>
        </is>
      </c>
      <c r="AU1160" s="301" t="inlineStr">
        <is>
          <t>LMHT</t>
        </is>
      </c>
      <c r="AV1160" s="301" t="n">
        <v>39</v>
      </c>
      <c r="AW1160" s="301" t="n">
        <v>2</v>
      </c>
      <c r="AX1160" s="301" t="inlineStr">
        <is>
          <t>Bệ mố M2: xi măng Lần 14; xi măng Lần 15; cát Lần 5; đá Lần 4 [BT dòng 40].</t>
        </is>
      </c>
    </row>
    <row r="1161">
      <c r="A1161" s="413" t="inlineStr">
        <is>
          <t>BBK680</t>
        </is>
      </c>
      <c r="B1161" s="413" t="inlineStr">
        <is>
          <t>PYC</t>
        </is>
      </c>
      <c r="C1161" s="413" t="inlineStr">
        <is>
          <t>BBK680.0606778</t>
        </is>
      </c>
      <c r="D1161" s="414" t="n"/>
      <c r="E1161" s="414" t="n"/>
      <c r="F1161" s="414" t="n"/>
      <c r="G1161" s="414" t="n"/>
      <c r="H1161" s="414" t="n"/>
      <c r="J1161" s="108" t="inlineStr">
        <is>
          <t>26</t>
        </is>
      </c>
      <c r="K1161" s="108" t="inlineStr">
        <is>
          <t>PYC</t>
        </is>
      </c>
      <c r="L1161" s="109" t="inlineStr">
        <is>
          <t>phiếu yêu cầu</t>
        </is>
      </c>
      <c r="M1161" s="109" t="n"/>
      <c r="N1161" s="109" t="n"/>
      <c r="O1161" s="110" t="inlineStr">
        <is>
          <t>Cầu Km19+529.080</t>
        </is>
      </c>
      <c r="P1161" s="401" t="n"/>
      <c r="Q1161" s="401" t="n"/>
      <c r="R1161" s="401">
        <f>S1161-1</f>
        <v/>
      </c>
      <c r="S1161" s="401">
        <f>S1160+7</f>
        <v/>
      </c>
      <c r="T1161" s="402" t="n">
        <v>0.3333333333333333</v>
      </c>
      <c r="U1161" s="402">
        <f>+T1161+V1161</f>
        <v/>
      </c>
      <c r="V1161" s="402" t="n">
        <v>0.04166666666666666</v>
      </c>
      <c r="W1161" s="403" t="n"/>
      <c r="X1161" s="403" t="n"/>
      <c r="Y1161" s="403" t="n"/>
      <c r="Z1161" s="403" t="n"/>
      <c r="AA1161" s="434" t="inlineStr">
        <is>
          <t>Theo dõi nén mẫu R7 bê tông Bệ mố M2</t>
        </is>
      </c>
      <c r="AB1161" s="173" t="inlineStr">
        <is>
          <t>307HG/YCNT/BM/M2-R7</t>
        </is>
      </c>
      <c r="AC1161" s="173" t="inlineStr">
        <is>
          <t>307HG/BBNT/BM/M2-4</t>
        </is>
      </c>
      <c r="AD1161" s="435" t="n"/>
      <c r="AE1161" s="435" t="n"/>
      <c r="AF1161" s="435" t="n"/>
      <c r="AG1161" s="173" t="inlineStr">
        <is>
          <t>PYC</t>
        </is>
      </c>
      <c r="AH1161" s="435" t="n">
        <v>6</v>
      </c>
      <c r="AI1161" s="436" t="n"/>
      <c r="AJ1161" s="436" t="n"/>
      <c r="AK1161" s="437" t="n"/>
      <c r="AL1161" s="438" t="n"/>
      <c r="AM1161" s="403" t="n"/>
      <c r="AN1161" s="403" t="n"/>
      <c r="AO1161" s="403" t="n"/>
      <c r="AP1161" s="115" t="n"/>
      <c r="AQ1161" s="115" t="n"/>
      <c r="AR1161" s="403" t="inlineStr">
        <is>
          <t>Nhóm 1</t>
        </is>
      </c>
      <c r="AS1161" s="403" t="n"/>
      <c r="AT1161" s="403" t="inlineStr">
        <is>
          <t>HM35</t>
        </is>
      </c>
      <c r="AU1161" s="403" t="inlineStr">
        <is>
          <t>PYC</t>
        </is>
      </c>
      <c r="AV1161" s="403" t="n">
        <v>71</v>
      </c>
      <c r="AW1161" s="403" t="n">
        <v>6</v>
      </c>
      <c r="AX1161" s="403" t="n"/>
    </row>
    <row r="1162">
      <c r="A1162" s="413" t="inlineStr">
        <is>
          <t>BBK680</t>
        </is>
      </c>
      <c r="B1162" s="413" t="inlineStr">
        <is>
          <t>PYC</t>
        </is>
      </c>
      <c r="C1162" s="413" t="inlineStr">
        <is>
          <t>BBK680.0246845</t>
        </is>
      </c>
      <c r="D1162" s="414" t="n"/>
      <c r="E1162" s="414" t="n"/>
      <c r="F1162" s="414" t="n"/>
      <c r="G1162" s="414" t="n"/>
      <c r="H1162" s="414" t="n"/>
      <c r="J1162" s="439" t="inlineStr">
        <is>
          <t>27</t>
        </is>
      </c>
      <c r="K1162" s="439" t="inlineStr">
        <is>
          <t>PYC</t>
        </is>
      </c>
      <c r="L1162" s="440" t="inlineStr">
        <is>
          <t>phiếu yêu cầu</t>
        </is>
      </c>
      <c r="M1162" s="440" t="n"/>
      <c r="N1162" s="440" t="n"/>
      <c r="O1162" s="441" t="inlineStr">
        <is>
          <t>Cầu Km19+529.080</t>
        </is>
      </c>
      <c r="P1162" s="442" t="n"/>
      <c r="Q1162" s="442" t="n"/>
      <c r="R1162" s="401">
        <f>S1162-1</f>
        <v/>
      </c>
      <c r="S1162" s="442">
        <f>S1160+28</f>
        <v/>
      </c>
      <c r="T1162" s="443" t="n">
        <v>0.3958333333333333</v>
      </c>
      <c r="U1162" s="443">
        <f>+T1162+V1162</f>
        <v/>
      </c>
      <c r="V1162" s="443" t="n">
        <v>0.04166666666666666</v>
      </c>
      <c r="W1162" s="444" t="n"/>
      <c r="X1162" s="444" t="n"/>
      <c r="Y1162" s="444" t="n"/>
      <c r="Z1162" s="444" t="n"/>
      <c r="AA1162" s="445" t="inlineStr">
        <is>
          <t>Theo dõi nén mẫu R28 bê tông Bệ mố M2</t>
        </is>
      </c>
      <c r="AB1162" s="129" t="inlineStr">
        <is>
          <t>307HG/YCNT/BM/M2-R28</t>
        </is>
      </c>
      <c r="AC1162" s="129" t="inlineStr">
        <is>
          <t>307HG/BBNT/BM/M2-4</t>
        </is>
      </c>
      <c r="AD1162" s="446" t="n"/>
      <c r="AE1162" s="446" t="n"/>
      <c r="AF1162" s="446" t="n"/>
      <c r="AG1162" s="129" t="inlineStr">
        <is>
          <t>PYC</t>
        </is>
      </c>
      <c r="AH1162" s="446" t="n">
        <v>9</v>
      </c>
      <c r="AI1162" s="447" t="n"/>
      <c r="AJ1162" s="447" t="n"/>
      <c r="AK1162" s="448" t="n"/>
      <c r="AL1162" s="449" t="n"/>
      <c r="AM1162" s="444" t="n"/>
      <c r="AN1162" s="444" t="n"/>
      <c r="AO1162" s="444" t="n"/>
      <c r="AP1162" s="450" t="n"/>
      <c r="AQ1162" s="450" t="n"/>
      <c r="AR1162" s="444" t="inlineStr">
        <is>
          <t>Nhóm 1</t>
        </is>
      </c>
      <c r="AS1162" s="444" t="n"/>
      <c r="AT1162" s="444" t="inlineStr">
        <is>
          <t>HM35</t>
        </is>
      </c>
      <c r="AU1162" s="444" t="inlineStr">
        <is>
          <t>PYC</t>
        </is>
      </c>
      <c r="AV1162" s="444" t="n">
        <v>118</v>
      </c>
      <c r="AW1162" s="444" t="n">
        <v>9</v>
      </c>
      <c r="AX1162" s="444" t="n"/>
    </row>
    <row r="1163">
      <c r="A1163" s="413" t="inlineStr">
        <is>
          <t>BBK680</t>
        </is>
      </c>
      <c r="B1163" s="413" t="inlineStr">
        <is>
          <t>PYC</t>
        </is>
      </c>
      <c r="C1163" s="413" t="inlineStr">
        <is>
          <t>BBK680.0312911</t>
        </is>
      </c>
      <c r="D1163" s="414" t="n"/>
      <c r="E1163" s="414" t="n"/>
      <c r="F1163" s="414" t="n"/>
      <c r="G1163" s="414" t="n"/>
      <c r="H1163" s="414" t="n"/>
      <c r="J1163" s="374" t="inlineStr">
        <is>
          <t>28</t>
        </is>
      </c>
      <c r="K1163" s="374" t="inlineStr">
        <is>
          <t>PYC</t>
        </is>
      </c>
      <c r="L1163" s="375" t="inlineStr">
        <is>
          <t>phiếu yêu cầu</t>
        </is>
      </c>
      <c r="M1163" s="375" t="n"/>
      <c r="N1163" s="375" t="n"/>
      <c r="O1163" s="451" t="inlineStr">
        <is>
          <t>Cầu Km19+529.080</t>
        </is>
      </c>
      <c r="P1163" s="376" t="n"/>
      <c r="Q1163" s="376" t="n"/>
      <c r="R1163" s="401">
        <f>R1164</f>
        <v/>
      </c>
      <c r="S1163" s="376">
        <f>R1163+1</f>
        <v/>
      </c>
      <c r="T1163" s="376" t="n"/>
      <c r="U1163" s="376" t="n"/>
      <c r="V1163" s="376" t="n"/>
      <c r="W1163" s="378" t="n"/>
      <c r="X1163" s="378" t="n"/>
      <c r="Y1163" s="378" t="n"/>
      <c r="Z1163" s="378" t="n"/>
      <c r="AA1163" s="379" t="n"/>
      <c r="AB1163" s="173" t="inlineStr">
        <is>
          <t>307HG/YCNT/BM/M2</t>
        </is>
      </c>
      <c r="AC1163" s="379" t="n"/>
      <c r="AD1163" s="379" t="n"/>
      <c r="AE1163" s="379" t="n"/>
      <c r="AF1163" s="379" t="n"/>
      <c r="AG1163" s="129" t="inlineStr">
        <is>
          <t>NTCV</t>
        </is>
      </c>
      <c r="AH1163" s="379" t="n">
        <v>8</v>
      </c>
      <c r="AI1163" s="378" t="n"/>
      <c r="AJ1163" s="378" t="n"/>
      <c r="AK1163" s="380" t="n"/>
      <c r="AL1163" s="378" t="n"/>
      <c r="AM1163" s="378" t="n"/>
      <c r="AN1163" s="378" t="n"/>
      <c r="AO1163" s="378" t="n"/>
      <c r="AP1163" s="381" t="n"/>
      <c r="AQ1163" s="381" t="n"/>
      <c r="AR1163" s="378" t="inlineStr">
        <is>
          <t>Nhóm 1</t>
        </is>
      </c>
      <c r="AS1163" s="378" t="n"/>
      <c r="AT1163" s="378" t="inlineStr">
        <is>
          <t>HM35</t>
        </is>
      </c>
      <c r="AU1163" s="378" t="inlineStr">
        <is>
          <t>PYC</t>
        </is>
      </c>
      <c r="AV1163" s="378" t="n">
        <v>62</v>
      </c>
      <c r="AW1163" s="378" t="n">
        <v>4</v>
      </c>
      <c r="AX1163" s="378" t="n"/>
    </row>
    <row r="1164">
      <c r="A1164" s="413" t="inlineStr">
        <is>
          <t>NTCV</t>
        </is>
      </c>
      <c r="B1164" s="413" t="inlineStr">
        <is>
          <t>K.9999</t>
        </is>
      </c>
      <c r="C1164" s="413" t="inlineStr">
        <is>
          <t>NTCV.0093412</t>
        </is>
      </c>
      <c r="D1164" s="414" t="n"/>
      <c r="E1164" s="414" t="n"/>
      <c r="F1164" s="414" t="n"/>
      <c r="G1164" s="414" t="n"/>
      <c r="H1164" s="414" t="n"/>
      <c r="J1164" s="147" t="inlineStr">
        <is>
          <t>29</t>
        </is>
      </c>
      <c r="K1164" s="147" t="inlineStr">
        <is>
          <t>K.9999</t>
        </is>
      </c>
      <c r="L1164" s="148" t="inlineStr">
        <is>
          <t>Tháo ván khuôn bệ mố</t>
        </is>
      </c>
      <c r="M1164" s="148" t="n"/>
      <c r="N1164" s="148" t="n"/>
      <c r="O1164" s="149" t="inlineStr">
        <is>
          <t>Cầu Km19+529.080</t>
        </is>
      </c>
      <c r="P1164" s="415">
        <f>S1160</f>
        <v/>
      </c>
      <c r="Q1164" s="415">
        <f>P1164+2</f>
        <v/>
      </c>
      <c r="R1164" s="415">
        <f>Q1164-1</f>
        <v/>
      </c>
      <c r="S1164" s="415">
        <f>Q1164</f>
        <v/>
      </c>
      <c r="T1164" s="416" t="n">
        <v>0.3541666666666667</v>
      </c>
      <c r="U1164" s="416">
        <f>+T1164+V1164</f>
        <v/>
      </c>
      <c r="V1164" s="416" t="n">
        <v>0.04166666666666666</v>
      </c>
      <c r="W1164" s="411">
        <f>TEXT(T1164,"HH""h""MM'")&amp;"÷"&amp;TEXT(U1164,"HH""h""MM'")</f>
        <v/>
      </c>
      <c r="X1164" s="417" t="n"/>
      <c r="Y1164" s="417" t="n"/>
      <c r="Z1164" s="417" t="inlineStr">
        <is>
          <t>11;</t>
        </is>
      </c>
      <c r="AA1164" s="452" t="inlineStr">
        <is>
          <t>Tháo ván khuôn Bệ mố M2</t>
        </is>
      </c>
      <c r="AB1164" s="150" t="inlineStr">
        <is>
          <t>307HG/YCNT/BM/M2-4</t>
        </is>
      </c>
      <c r="AC1164" s="136" t="inlineStr">
        <is>
          <t>307HG/BBNT/BM/M2-9</t>
        </is>
      </c>
      <c r="AD1164" s="453" t="n"/>
      <c r="AE1164" s="453" t="n"/>
      <c r="AF1164" s="453" t="n"/>
      <c r="AG1164" s="453" t="n"/>
      <c r="AH1164" s="453" t="n"/>
      <c r="AI1164" s="454" t="n"/>
      <c r="AJ1164" s="454" t="n"/>
      <c r="AK1164" s="455" t="n"/>
      <c r="AL1164" s="456" t="n"/>
      <c r="AM1164" s="417" t="n"/>
      <c r="AN1164" s="417" t="n"/>
      <c r="AO1164" s="417" t="n"/>
      <c r="AP1164" s="151" t="n"/>
      <c r="AQ1164" s="151" t="n"/>
      <c r="AR1164" s="417" t="inlineStr">
        <is>
          <t>Nhóm 1</t>
        </is>
      </c>
      <c r="AS1164" s="417" t="n"/>
      <c r="AT1164" s="417" t="inlineStr">
        <is>
          <t>HM35</t>
        </is>
      </c>
      <c r="AU1164" s="417" t="inlineStr">
        <is>
          <t>NTCV</t>
        </is>
      </c>
      <c r="AV1164" s="417" t="n">
        <v>407</v>
      </c>
      <c r="AW1164" s="417" t="n">
        <v>8</v>
      </c>
      <c r="AX1164" s="417" t="n"/>
    </row>
    <row r="1165">
      <c r="A1165" s="413" t="inlineStr">
        <is>
          <t>BBK288</t>
        </is>
      </c>
      <c r="B1165" s="413" t="inlineStr">
        <is>
          <t>PL11.1</t>
        </is>
      </c>
      <c r="C1165" s="413" t="inlineStr">
        <is>
          <t>BBK288.0003313</t>
        </is>
      </c>
      <c r="D1165" s="414" t="n"/>
      <c r="E1165" s="414" t="n"/>
      <c r="F1165" s="414" t="n"/>
      <c r="G1165" s="414" t="n"/>
      <c r="H1165" s="414" t="n"/>
      <c r="J1165" s="108" t="inlineStr">
        <is>
          <t>30</t>
        </is>
      </c>
      <c r="K1165" s="108" t="inlineStr">
        <is>
          <t>PL11.1</t>
        </is>
      </c>
      <c r="L1165" s="109" t="inlineStr">
        <is>
          <t>Phụ lục số 11</t>
        </is>
      </c>
      <c r="M1165" s="109" t="n"/>
      <c r="N1165" s="109" t="n"/>
      <c r="O1165" s="110" t="inlineStr">
        <is>
          <t>Cầu Km19+529.080</t>
        </is>
      </c>
      <c r="P1165" s="401" t="n"/>
      <c r="Q1165" s="401" t="n"/>
      <c r="R1165" s="401" t="n"/>
      <c r="S1165" s="401">
        <f>S1164</f>
        <v/>
      </c>
      <c r="T1165" s="401" t="n"/>
      <c r="U1165" s="401" t="n"/>
      <c r="V1165" s="401" t="n"/>
      <c r="W1165" s="403" t="n"/>
      <c r="X1165" s="403" t="n"/>
      <c r="Y1165" s="403" t="n"/>
      <c r="Z1165" s="108" t="inlineStr">
        <is>
          <t>11</t>
        </is>
      </c>
      <c r="AA1165" s="113" t="n"/>
      <c r="AB1165" s="113" t="n"/>
      <c r="AC1165" s="113" t="inlineStr">
        <is>
          <t>307HG/BBNT/BM/M2-9</t>
        </is>
      </c>
      <c r="AD1165" s="113" t="n"/>
      <c r="AE1165" s="113" t="n"/>
      <c r="AF1165" s="113" t="n"/>
      <c r="AG1165" s="113" t="n"/>
      <c r="AH1165" s="114" t="inlineStr">
        <is>
          <t>BM-M2</t>
        </is>
      </c>
      <c r="AI1165" s="403" t="n"/>
      <c r="AJ1165" s="403" t="n"/>
      <c r="AK1165" s="404" t="n"/>
      <c r="AL1165" s="403" t="n"/>
      <c r="AM1165" s="403" t="n"/>
      <c r="AN1165" s="403" t="n"/>
      <c r="AO1165" s="403" t="n"/>
      <c r="AP1165" s="115" t="n"/>
      <c r="AQ1165" s="115" t="inlineStr">
        <is>
          <t>Ảnh\tháo vk BM M2.png</t>
        </is>
      </c>
      <c r="AR1165" s="403" t="inlineStr">
        <is>
          <t>Nhóm 1</t>
        </is>
      </c>
      <c r="AS1165" s="403" t="n"/>
      <c r="AT1165" s="403" t="inlineStr">
        <is>
          <t>HM35</t>
        </is>
      </c>
      <c r="AU1165" s="403" t="inlineStr">
        <is>
          <t>PL11.1</t>
        </is>
      </c>
      <c r="AV1165" s="403" t="n">
        <v>6</v>
      </c>
      <c r="AW1165" s="403" t="n">
        <v>1</v>
      </c>
      <c r="AX1165" s="403" t="n"/>
    </row>
    <row r="1166">
      <c r="A1166" s="413" t="inlineStr">
        <is>
          <t>BBK680</t>
        </is>
      </c>
      <c r="B1166" s="413" t="inlineStr">
        <is>
          <t>PYC</t>
        </is>
      </c>
      <c r="C1166" s="413" t="inlineStr">
        <is>
          <t>BBK680.0956898</t>
        </is>
      </c>
      <c r="D1166" s="414" t="n"/>
      <c r="E1166" s="414" t="n"/>
      <c r="F1166" s="414" t="n"/>
      <c r="G1166" s="414" t="n"/>
      <c r="H1166" s="414" t="n"/>
      <c r="J1166" s="168" t="inlineStr">
        <is>
          <t>31</t>
        </is>
      </c>
      <c r="K1166" s="168" t="inlineStr">
        <is>
          <t>PYC</t>
        </is>
      </c>
      <c r="L1166" s="169" t="inlineStr">
        <is>
          <t>phiếu yêu cầu</t>
        </is>
      </c>
      <c r="M1166" s="169" t="n"/>
      <c r="N1166" s="169" t="n"/>
      <c r="O1166" s="170" t="inlineStr">
        <is>
          <t>Cầu Km19+529.080</t>
        </is>
      </c>
      <c r="P1166" s="405" t="n"/>
      <c r="Q1166" s="405" t="n"/>
      <c r="R1166" s="401">
        <f>R1167</f>
        <v/>
      </c>
      <c r="S1166" s="405">
        <f>R1166+1</f>
        <v/>
      </c>
      <c r="T1166" s="405" t="n"/>
      <c r="U1166" s="405" t="n"/>
      <c r="V1166" s="405" t="n"/>
      <c r="W1166" s="406" t="n"/>
      <c r="X1166" s="406" t="n"/>
      <c r="Y1166" s="406" t="n"/>
      <c r="Z1166" s="406" t="n"/>
      <c r="AA1166" s="173" t="n"/>
      <c r="AB1166" s="173" t="inlineStr">
        <is>
          <t>307HG/YCNT/BM/M2</t>
        </is>
      </c>
      <c r="AC1166" s="173" t="n"/>
      <c r="AD1166" s="173" t="n"/>
      <c r="AE1166" s="173" t="n"/>
      <c r="AF1166" s="173" t="n"/>
      <c r="AG1166" s="129" t="inlineStr">
        <is>
          <t>NTCV</t>
        </is>
      </c>
      <c r="AH1166" s="173" t="n">
        <v>9</v>
      </c>
      <c r="AI1166" s="406" t="n"/>
      <c r="AJ1166" s="406" t="n"/>
      <c r="AK1166" s="408" t="n"/>
      <c r="AL1166" s="406" t="n"/>
      <c r="AM1166" s="406" t="n"/>
      <c r="AN1166" s="406" t="n"/>
      <c r="AO1166" s="406" t="n"/>
      <c r="AP1166" s="174" t="n"/>
      <c r="AQ1166" s="174" t="n"/>
      <c r="AR1166" s="406" t="inlineStr">
        <is>
          <t>Nhóm 1</t>
        </is>
      </c>
      <c r="AS1166" s="406" t="n"/>
      <c r="AT1166" s="406" t="inlineStr">
        <is>
          <t>HM35</t>
        </is>
      </c>
      <c r="AU1166" s="406" t="inlineStr">
        <is>
          <t>PYC</t>
        </is>
      </c>
      <c r="AV1166" s="406" t="n">
        <v>72</v>
      </c>
      <c r="AW1166" s="406" t="n">
        <v>7</v>
      </c>
      <c r="AX1166" s="406" t="n"/>
    </row>
    <row r="1167">
      <c r="A1167" s="413" t="inlineStr">
        <is>
          <t>NTCV</t>
        </is>
      </c>
      <c r="B1167" s="413" t="inlineStr">
        <is>
          <t>K.9999</t>
        </is>
      </c>
      <c r="C1167" s="413" t="inlineStr">
        <is>
          <t>NTCV.0733778</t>
        </is>
      </c>
      <c r="D1167" s="414" t="n"/>
      <c r="E1167" s="414" t="n"/>
      <c r="F1167" s="414" t="n"/>
      <c r="G1167" s="414" t="n"/>
      <c r="H1167" s="414" t="n"/>
      <c r="J1167" s="161" t="inlineStr">
        <is>
          <t>32</t>
        </is>
      </c>
      <c r="K1167" s="161" t="inlineStr">
        <is>
          <t>K.9999</t>
        </is>
      </c>
      <c r="L1167" s="162" t="inlineStr">
        <is>
          <t>Đắp hoàn trả hố móng</t>
        </is>
      </c>
      <c r="M1167" s="162" t="n"/>
      <c r="N1167" s="162" t="n"/>
      <c r="O1167" s="163" t="inlineStr">
        <is>
          <t>Cầu Km19+529.080</t>
        </is>
      </c>
      <c r="P1167" s="409">
        <f>S1164</f>
        <v/>
      </c>
      <c r="Q1167" s="409">
        <f>P1167+5</f>
        <v/>
      </c>
      <c r="R1167" s="415">
        <f>Q1167-1</f>
        <v/>
      </c>
      <c r="S1167" s="415">
        <f>Q1167</f>
        <v/>
      </c>
      <c r="T1167" s="416" t="n">
        <v>0.3541666666666667</v>
      </c>
      <c r="U1167" s="416">
        <f>+T1167+V1167</f>
        <v/>
      </c>
      <c r="V1167" s="416" t="n">
        <v>0.04166666666666666</v>
      </c>
      <c r="W1167" s="411">
        <f>TEXT(T1167,"HH""h""MM'")&amp;"÷"&amp;TEXT(U1167,"HH""h""MM'")</f>
        <v/>
      </c>
      <c r="X1167" s="411" t="n"/>
      <c r="Y1167" s="411" t="n"/>
      <c r="Z1167" s="411" t="inlineStr">
        <is>
          <t>12;</t>
        </is>
      </c>
      <c r="AA1167" s="166" t="inlineStr">
        <is>
          <t>Đắp hoàn trả hố móng Bệ mố M2</t>
        </is>
      </c>
      <c r="AB1167" s="150" t="inlineStr">
        <is>
          <t>307HG/YCNT/BM/M2-7</t>
        </is>
      </c>
      <c r="AC1167" s="166" t="inlineStr">
        <is>
          <t>307HG/BBNT/BM/M2-10</t>
        </is>
      </c>
      <c r="AD1167" s="166" t="n"/>
      <c r="AE1167" s="166" t="n"/>
      <c r="AF1167" s="166" t="n"/>
      <c r="AG1167" s="166" t="n"/>
      <c r="AH1167" s="166" t="n"/>
      <c r="AI1167" s="411" t="n"/>
      <c r="AJ1167" s="411" t="n"/>
      <c r="AK1167" s="412" t="n"/>
      <c r="AL1167" s="411" t="n"/>
      <c r="AM1167" s="411" t="n"/>
      <c r="AN1167" s="411" t="n"/>
      <c r="AO1167" s="411" t="n"/>
      <c r="AP1167" s="167" t="n"/>
      <c r="AQ1167" s="167" t="n"/>
      <c r="AR1167" s="411" t="inlineStr">
        <is>
          <t>Nhóm 1</t>
        </is>
      </c>
      <c r="AS1167" s="411" t="n"/>
      <c r="AT1167" s="411" t="inlineStr">
        <is>
          <t>HM35</t>
        </is>
      </c>
      <c r="AU1167" s="411" t="inlineStr">
        <is>
          <t>NTCV</t>
        </is>
      </c>
      <c r="AV1167" s="411" t="n">
        <v>414</v>
      </c>
      <c r="AW1167" s="411" t="n">
        <v>9</v>
      </c>
      <c r="AX1167" s="411" t="n"/>
    </row>
    <row r="1168">
      <c r="A1168" s="413" t="inlineStr">
        <is>
          <t>BBK366</t>
        </is>
      </c>
      <c r="B1168" s="413" t="inlineStr">
        <is>
          <t>PL12</t>
        </is>
      </c>
      <c r="C1168" s="413" t="inlineStr">
        <is>
          <t>BBK366.0427734</t>
        </is>
      </c>
      <c r="D1168" s="414" t="n"/>
      <c r="E1168" s="414" t="n"/>
      <c r="F1168" s="414" t="n"/>
      <c r="G1168" s="414" t="n"/>
      <c r="H1168" s="414" t="n"/>
      <c r="J1168" s="139" t="inlineStr">
        <is>
          <t>33</t>
        </is>
      </c>
      <c r="K1168" s="139" t="inlineStr">
        <is>
          <t>PL12</t>
        </is>
      </c>
      <c r="L1168" s="140" t="inlineStr">
        <is>
          <t>Phụ lục 12</t>
        </is>
      </c>
      <c r="M1168" s="140" t="n"/>
      <c r="N1168" s="140" t="n"/>
      <c r="O1168" s="141" t="inlineStr">
        <is>
          <t>Cầu Km19+529.080</t>
        </is>
      </c>
      <c r="P1168" s="382" t="n"/>
      <c r="Q1168" s="382" t="n"/>
      <c r="R1168" s="382" t="n"/>
      <c r="S1168" s="382">
        <f>S1167</f>
        <v/>
      </c>
      <c r="T1168" s="382" t="n"/>
      <c r="U1168" s="382" t="n"/>
      <c r="V1168" s="382" t="n"/>
      <c r="W1168" s="384" t="n"/>
      <c r="X1168" s="384" t="n"/>
      <c r="Y1168" s="384" t="n"/>
      <c r="Z1168" s="139" t="inlineStr">
        <is>
          <t>12</t>
        </is>
      </c>
      <c r="AA1168" s="144" t="n"/>
      <c r="AB1168" s="144" t="n"/>
      <c r="AC1168" s="144" t="inlineStr">
        <is>
          <t>307HG/BBNT/BM/M2-10</t>
        </is>
      </c>
      <c r="AD1168" s="144" t="n"/>
      <c r="AE1168" s="144" t="n"/>
      <c r="AF1168" s="144" t="n"/>
      <c r="AG1168" s="144" t="n"/>
      <c r="AH1168" s="145" t="inlineStr">
        <is>
          <t>BM-M2</t>
        </is>
      </c>
      <c r="AI1168" s="384" t="n"/>
      <c r="AJ1168" s="384" t="n"/>
      <c r="AK1168" s="386" t="n"/>
      <c r="AL1168" s="384" t="n"/>
      <c r="AM1168" s="384" t="n"/>
      <c r="AN1168" s="384" t="n"/>
      <c r="AO1168" s="384" t="n"/>
      <c r="AP1168" s="146" t="n"/>
      <c r="AQ1168" s="146" t="inlineStr">
        <is>
          <t>Ảnh\đắp bệ mố M2.png</t>
        </is>
      </c>
      <c r="AR1168" s="384" t="inlineStr">
        <is>
          <t>Nhóm 1</t>
        </is>
      </c>
      <c r="AS1168" s="384" t="n"/>
      <c r="AT1168" s="384" t="inlineStr">
        <is>
          <t>HM35</t>
        </is>
      </c>
      <c r="AU1168" s="384" t="inlineStr">
        <is>
          <t>PL12</t>
        </is>
      </c>
      <c r="AV1168" s="384" t="n">
        <v>3</v>
      </c>
      <c r="AW1168" s="384" t="n">
        <v>1</v>
      </c>
      <c r="AX1168" s="384" t="n"/>
    </row>
    <row r="1169" ht="28" customHeight="1" s="672">
      <c r="A1169" s="56" t="inlineStr">
        <is>
          <t>NTGD</t>
        </is>
      </c>
      <c r="B1169" s="56" t="inlineStr">
        <is>
          <t>NTGD</t>
        </is>
      </c>
      <c r="C1169" s="56" t="inlineStr">
        <is>
          <t>NTGD.0459575</t>
        </is>
      </c>
      <c r="D1169" s="57" t="n"/>
      <c r="E1169" s="57" t="n"/>
      <c r="F1169" s="57" t="n"/>
      <c r="G1169" s="57" t="n"/>
      <c r="H1169" s="57" t="n"/>
      <c r="J1169" s="306" t="inlineStr">
        <is>
          <t>34</t>
        </is>
      </c>
      <c r="K1169" s="306" t="inlineStr">
        <is>
          <t>NTGD</t>
        </is>
      </c>
      <c r="L1169" s="307" t="inlineStr">
        <is>
          <t>Bệ mố M2</t>
        </is>
      </c>
      <c r="M1169" s="307" t="n"/>
      <c r="N1169" s="307" t="n"/>
      <c r="O1169" s="308" t="inlineStr">
        <is>
          <t>Cầu Km19+529.080</t>
        </is>
      </c>
      <c r="P1169" s="309" t="n"/>
      <c r="Q1169" s="309" t="n"/>
      <c r="R1169" s="309">
        <f>S1168</f>
        <v/>
      </c>
      <c r="S1169" s="309">
        <f>R1169+1</f>
        <v/>
      </c>
      <c r="T1169" s="310" t="n">
        <v>0.3541666666666667</v>
      </c>
      <c r="U1169" s="310">
        <f>T1169+V1169</f>
        <v/>
      </c>
      <c r="V1169" s="310" t="n">
        <v>0.04166666666666666</v>
      </c>
      <c r="W1169" s="311">
        <f>TEXT(T1169,"HH""h""MM'")&amp;"÷"&amp;TEXT(U1169,"HH""h""MM'")</f>
        <v/>
      </c>
      <c r="X1169" s="311" t="n"/>
      <c r="Y1169" s="311" t="n"/>
      <c r="Z1169" s="311" t="n"/>
      <c r="AA1169" s="312" t="inlineStr">
        <is>
          <t>Nghiệm thu chuyển giai đoạn Bệ Mố M2 sang phần thân mố M2</t>
        </is>
      </c>
      <c r="AB1169" s="313" t="inlineStr">
        <is>
          <t>09-XL-307HG/PYCNT/BM-CGĐ/M2</t>
        </is>
      </c>
      <c r="AC1169" s="313" t="inlineStr">
        <is>
          <t>09-XL-307HG/NTGĐ/BM/M2</t>
        </is>
      </c>
      <c r="AD1169" s="313" t="n"/>
      <c r="AE1169" s="313" t="n"/>
      <c r="AF1169" s="313" t="n"/>
      <c r="AG1169" s="313" t="n"/>
      <c r="AH1169" s="313" t="n"/>
      <c r="AI1169" s="311" t="n"/>
      <c r="AJ1169" s="311" t="n"/>
      <c r="AK1169" s="314" t="n"/>
      <c r="AL1169" s="311" t="n"/>
      <c r="AM1169" s="311" t="n"/>
      <c r="AN1169" s="311" t="n"/>
      <c r="AO1169" s="311" t="n"/>
      <c r="AP1169" s="315" t="n"/>
      <c r="AQ1169" s="315" t="n"/>
      <c r="AR1169" s="311" t="inlineStr">
        <is>
          <t>Nhóm 1</t>
        </is>
      </c>
      <c r="AS1169" s="311" t="n"/>
      <c r="AT1169" s="311" t="inlineStr">
        <is>
          <t>HM35</t>
        </is>
      </c>
      <c r="AU1169" s="311" t="inlineStr">
        <is>
          <t>NTGD</t>
        </is>
      </c>
      <c r="AV1169" s="311" t="n">
        <v>4</v>
      </c>
      <c r="AW1169" s="311" t="n">
        <v>1</v>
      </c>
      <c r="AX1169" s="311" t="n"/>
    </row>
    <row r="1170">
      <c r="A1170" s="56" t="inlineStr">
        <is>
          <t>BBK697</t>
        </is>
      </c>
      <c r="B1170" s="56" t="inlineStr">
        <is>
          <t>PLKL</t>
        </is>
      </c>
      <c r="C1170" s="56" t="inlineStr">
        <is>
          <t>BBK697.0460427</t>
        </is>
      </c>
      <c r="D1170" s="57" t="n"/>
      <c r="E1170" s="57" t="n"/>
      <c r="F1170" s="57" t="n"/>
      <c r="G1170" s="57" t="n"/>
      <c r="H1170" s="57" t="n"/>
      <c r="J1170" s="316" t="inlineStr">
        <is>
          <t>35</t>
        </is>
      </c>
      <c r="K1170" s="316" t="inlineStr">
        <is>
          <t>PLKL</t>
        </is>
      </c>
      <c r="L1170" s="317" t="inlineStr">
        <is>
          <t>Phụ lục khối lượng</t>
        </is>
      </c>
      <c r="M1170" s="317" t="n"/>
      <c r="N1170" s="317" t="inlineStr">
        <is>
          <t>Cầu Km19+529.080</t>
        </is>
      </c>
      <c r="O1170" s="318" t="inlineStr">
        <is>
          <t>Bệ mố M2</t>
        </is>
      </c>
      <c r="P1170" s="319" t="n"/>
      <c r="Q1170" s="319" t="n"/>
      <c r="R1170" s="319" t="n"/>
      <c r="S1170" s="319">
        <f>S1169</f>
        <v/>
      </c>
      <c r="T1170" s="320" t="n"/>
      <c r="U1170" s="320" t="n"/>
      <c r="V1170" s="320" t="n"/>
      <c r="W1170" s="321" t="n"/>
      <c r="X1170" s="321" t="n"/>
      <c r="Y1170" s="321" t="n"/>
      <c r="Z1170" s="321" t="n"/>
      <c r="AA1170" s="322" t="n"/>
      <c r="AB1170" s="323" t="n"/>
      <c r="AC1170" s="323" t="inlineStr">
        <is>
          <t>09-XL-307HG/NTGĐ/BM/M2</t>
        </is>
      </c>
      <c r="AD1170" s="323" t="n"/>
      <c r="AE1170" s="323" t="n"/>
      <c r="AF1170" s="323" t="n"/>
      <c r="AG1170" s="323" t="n"/>
      <c r="AH1170" s="323" t="inlineStr">
        <is>
          <t>BM-M2</t>
        </is>
      </c>
      <c r="AI1170" s="321" t="n"/>
      <c r="AJ1170" s="321" t="n"/>
      <c r="AK1170" s="324" t="n"/>
      <c r="AL1170" s="321" t="n"/>
      <c r="AM1170" s="321" t="n"/>
      <c r="AN1170" s="321" t="n"/>
      <c r="AO1170" s="321" t="n"/>
      <c r="AP1170" s="325" t="n"/>
      <c r="AQ1170" s="325" t="n"/>
      <c r="AR1170" s="321" t="inlineStr">
        <is>
          <t>Nhóm 1</t>
        </is>
      </c>
      <c r="AS1170" s="321" t="n"/>
      <c r="AT1170" s="321" t="inlineStr">
        <is>
          <t>HM35</t>
        </is>
      </c>
      <c r="AU1170" s="321" t="inlineStr">
        <is>
          <t>PLKL</t>
        </is>
      </c>
      <c r="AV1170" s="321" t="n">
        <v>4</v>
      </c>
      <c r="AW1170" s="321" t="n">
        <v>1</v>
      </c>
      <c r="AX1170" s="321" t="n"/>
    </row>
    <row r="1171">
      <c r="A1171" s="56" t="inlineStr">
        <is>
          <t>BBK157</t>
        </is>
      </c>
      <c r="B1171" s="56" t="inlineStr">
        <is>
          <t>DG</t>
        </is>
      </c>
      <c r="C1171" s="56" t="inlineStr">
        <is>
          <t>BBK157.0856248</t>
        </is>
      </c>
      <c r="D1171" s="57" t="n"/>
      <c r="E1171" s="57" t="n"/>
      <c r="F1171" s="57" t="n"/>
      <c r="G1171" s="57" t="n"/>
      <c r="H1171" s="57" t="n"/>
      <c r="J1171" s="316" t="inlineStr">
        <is>
          <t>36</t>
        </is>
      </c>
      <c r="K1171" s="316" t="inlineStr">
        <is>
          <t>DG</t>
        </is>
      </c>
      <c r="L1171" s="317" t="inlineStr">
        <is>
          <t>Bảng diễn giải KL</t>
        </is>
      </c>
      <c r="M1171" s="317" t="n"/>
      <c r="N1171" s="317" t="inlineStr">
        <is>
          <t>Cầu Km19+529.080</t>
        </is>
      </c>
      <c r="O1171" s="318">
        <f>+O1170</f>
        <v/>
      </c>
      <c r="P1171" s="319" t="n"/>
      <c r="Q1171" s="319" t="n"/>
      <c r="R1171" s="319" t="n"/>
      <c r="S1171" s="319">
        <f>+S1170</f>
        <v/>
      </c>
      <c r="T1171" s="320" t="n"/>
      <c r="U1171" s="320" t="n"/>
      <c r="V1171" s="320" t="n"/>
      <c r="W1171" s="321" t="n"/>
      <c r="X1171" s="321" t="n"/>
      <c r="Y1171" s="321" t="n"/>
      <c r="Z1171" s="321" t="n"/>
      <c r="AA1171" s="322" t="n"/>
      <c r="AB1171" s="323" t="n"/>
      <c r="AC1171" s="326">
        <f>AC1170</f>
        <v/>
      </c>
      <c r="AD1171" s="323" t="n"/>
      <c r="AE1171" s="323" t="n"/>
      <c r="AF1171" s="323" t="n"/>
      <c r="AG1171" s="323" t="n"/>
      <c r="AH1171" s="323" t="inlineStr">
        <is>
          <t>BM-M2</t>
        </is>
      </c>
      <c r="AI1171" s="321" t="n"/>
      <c r="AJ1171" s="321" t="n"/>
      <c r="AK1171" s="324" t="n"/>
      <c r="AL1171" s="321" t="n"/>
      <c r="AM1171" s="321" t="n"/>
      <c r="AN1171" s="321" t="n">
        <v>2</v>
      </c>
      <c r="AO1171" s="321" t="n"/>
      <c r="AP1171" s="325" t="n"/>
      <c r="AQ1171" s="325" t="n"/>
      <c r="AR1171" s="321" t="inlineStr">
        <is>
          <t>Nhóm 1</t>
        </is>
      </c>
      <c r="AS1171" s="321" t="n"/>
      <c r="AT1171" s="321" t="inlineStr">
        <is>
          <t>HM35</t>
        </is>
      </c>
      <c r="AU1171" s="321" t="inlineStr">
        <is>
          <t>DG</t>
        </is>
      </c>
      <c r="AV1171" s="321" t="n">
        <v>4</v>
      </c>
      <c r="AW1171" s="321" t="n">
        <v>1</v>
      </c>
      <c r="AX1171" s="321" t="n"/>
    </row>
    <row r="1172">
      <c r="A1172" s="56" t="inlineStr">
        <is>
          <t>HM</t>
        </is>
      </c>
      <c r="B1172" s="56" t="inlineStr">
        <is>
          <t>HM</t>
        </is>
      </c>
      <c r="C1172" s="56" t="inlineStr">
        <is>
          <t>HM.0411154</t>
        </is>
      </c>
      <c r="D1172" s="57" t="n"/>
      <c r="E1172" s="57" t="n"/>
      <c r="F1172" s="57" t="n"/>
      <c r="G1172" s="57" t="n"/>
      <c r="H1172" s="57" t="n"/>
      <c r="J1172" s="387" t="inlineStr">
        <is>
          <t>HM36</t>
        </is>
      </c>
      <c r="K1172" s="387" t="inlineStr">
        <is>
          <t>HM</t>
        </is>
      </c>
      <c r="L1172" s="388" t="inlineStr">
        <is>
          <t>Bệ trụ T1</t>
        </is>
      </c>
      <c r="M1172" s="388" t="n"/>
      <c r="N1172" s="388" t="n"/>
      <c r="O1172" s="389" t="n"/>
      <c r="P1172" s="390" t="n"/>
      <c r="Q1172" s="390" t="n"/>
      <c r="R1172" s="390" t="n"/>
      <c r="S1172" s="390" t="n"/>
      <c r="T1172" s="390" t="n"/>
      <c r="U1172" s="390" t="n"/>
      <c r="V1172" s="390" t="n"/>
      <c r="W1172" s="391" t="n"/>
      <c r="X1172" s="391" t="n"/>
      <c r="Y1172" s="391" t="n"/>
      <c r="Z1172" s="391" t="n"/>
      <c r="AA1172" s="392" t="n"/>
      <c r="AB1172" s="392" t="n"/>
      <c r="AC1172" s="392" t="n"/>
      <c r="AD1172" s="392" t="n"/>
      <c r="AE1172" s="392" t="n"/>
      <c r="AF1172" s="392" t="n"/>
      <c r="AG1172" s="392" t="n"/>
      <c r="AH1172" s="392" t="n"/>
      <c r="AI1172" s="391" t="n"/>
      <c r="AJ1172" s="391" t="n"/>
      <c r="AK1172" s="393" t="n"/>
      <c r="AL1172" s="391" t="n"/>
      <c r="AM1172" s="391" t="n"/>
      <c r="AN1172" s="391" t="n"/>
      <c r="AO1172" s="391" t="n"/>
      <c r="AP1172" s="394" t="n"/>
      <c r="AQ1172" s="394" t="n"/>
      <c r="AR1172" s="391" t="n"/>
      <c r="AS1172" s="391" t="n"/>
      <c r="AT1172" s="391" t="inlineStr">
        <is>
          <t>HM36</t>
        </is>
      </c>
      <c r="AU1172" s="391" t="inlineStr">
        <is>
          <t>HM</t>
        </is>
      </c>
      <c r="AV1172" s="391" t="n"/>
      <c r="AW1172" s="391" t="n"/>
      <c r="AX1172" s="391" t="n"/>
    </row>
    <row r="1173" ht="28" customFormat="1" customHeight="1" s="70">
      <c r="A1173" s="68" t="inlineStr">
        <is>
          <t>BBK_BIA</t>
        </is>
      </c>
      <c r="B1173" s="68" t="inlineStr">
        <is>
          <t>TRANGBIA</t>
        </is>
      </c>
      <c r="C1173" s="68" t="inlineStr">
        <is>
          <t>BBK_BIA.0706826</t>
        </is>
      </c>
      <c r="D1173" s="69" t="n"/>
      <c r="E1173" s="69" t="n"/>
      <c r="F1173" s="69" t="n"/>
      <c r="G1173" s="69" t="n"/>
      <c r="H1173" s="69" t="n"/>
      <c r="J1173" s="327" t="inlineStr">
        <is>
          <t>01</t>
        </is>
      </c>
      <c r="K1173" s="327" t="inlineStr">
        <is>
          <t>TRANGBIA</t>
        </is>
      </c>
      <c r="L1173" s="328">
        <f>L1172</f>
        <v/>
      </c>
      <c r="M1173" s="328" t="n"/>
      <c r="N1173" s="328" t="n"/>
      <c r="O1173" s="329" t="inlineStr">
        <is>
          <t>Cầu Km19+529.080</t>
        </is>
      </c>
      <c r="P1173" s="330" t="n"/>
      <c r="Q1173" s="330" t="n"/>
      <c r="R1173" s="330" t="n"/>
      <c r="S1173" s="330" t="n"/>
      <c r="T1173" s="330" t="n"/>
      <c r="U1173" s="330" t="n"/>
      <c r="V1173" s="330" t="n"/>
      <c r="W1173" s="331" t="n"/>
      <c r="X1173" s="331" t="n"/>
      <c r="Y1173" s="331" t="n"/>
      <c r="Z1173" s="331" t="n"/>
      <c r="AA1173" s="331" t="n"/>
      <c r="AB1173" s="331" t="n"/>
      <c r="AC1173" s="331" t="inlineStr"/>
      <c r="AD1173" s="331" t="n"/>
      <c r="AE1173" s="331" t="n"/>
      <c r="AF1173" s="331" t="n"/>
      <c r="AG1173" s="331" t="n"/>
      <c r="AH1173" s="331" t="n"/>
      <c r="AI1173" s="331" t="n"/>
      <c r="AJ1173" s="331" t="n"/>
      <c r="AK1173" s="329" t="n"/>
      <c r="AL1173" s="331" t="n"/>
      <c r="AM1173" s="331" t="n"/>
      <c r="AN1173" s="331" t="n"/>
      <c r="AO1173" s="331" t="n"/>
      <c r="AP1173" s="332">
        <f>L1173</f>
        <v/>
      </c>
      <c r="AQ1173" s="333" t="n"/>
      <c r="AR1173" s="331" t="inlineStr">
        <is>
          <t>Nhóm 1</t>
        </is>
      </c>
      <c r="AS1173" s="331" t="n"/>
      <c r="AT1173" s="331" t="inlineStr">
        <is>
          <t>HM36</t>
        </is>
      </c>
      <c r="AU1173" s="331" t="inlineStr">
        <is>
          <t>TRANGBIA</t>
        </is>
      </c>
      <c r="AV1173" s="331" t="n">
        <v>36</v>
      </c>
      <c r="AW1173" s="331" t="n">
        <v>1</v>
      </c>
      <c r="AX1173" s="331" t="n"/>
    </row>
    <row r="1174" customFormat="1" s="70">
      <c r="A1174" s="68" t="inlineStr">
        <is>
          <t>BBK_ML</t>
        </is>
      </c>
      <c r="B1174" s="68" t="inlineStr">
        <is>
          <t>MUCLUC</t>
        </is>
      </c>
      <c r="C1174" s="68" t="inlineStr">
        <is>
          <t>BBK_ML.0376145</t>
        </is>
      </c>
      <c r="D1174" s="69" t="n"/>
      <c r="E1174" s="69" t="n"/>
      <c r="F1174" s="69" t="n"/>
      <c r="G1174" s="69" t="n"/>
      <c r="H1174" s="69" t="n"/>
      <c r="J1174" s="395" t="inlineStr">
        <is>
          <t>02</t>
        </is>
      </c>
      <c r="K1174" s="395" t="inlineStr">
        <is>
          <t>MUCLUC</t>
        </is>
      </c>
      <c r="L1174" s="396" t="inlineStr">
        <is>
          <t>Danh mục biên bản Kiểm tra/Nghiệm thu</t>
        </is>
      </c>
      <c r="M1174" s="396" t="n"/>
      <c r="N1174" s="396" t="n"/>
      <c r="O1174" s="397" t="inlineStr">
        <is>
          <t>Cầu Km19+529.080</t>
        </is>
      </c>
      <c r="P1174" s="398" t="n"/>
      <c r="Q1174" s="398" t="n"/>
      <c r="R1174" s="398" t="n"/>
      <c r="S1174" s="398" t="n"/>
      <c r="T1174" s="398" t="n"/>
      <c r="U1174" s="398" t="n"/>
      <c r="V1174" s="398" t="n"/>
      <c r="W1174" s="399" t="n"/>
      <c r="X1174" s="399" t="n"/>
      <c r="Y1174" s="399" t="n"/>
      <c r="Z1174" s="399" t="n"/>
      <c r="AA1174" s="399" t="n"/>
      <c r="AB1174" s="399" t="n"/>
      <c r="AC1174" s="399" t="inlineStr"/>
      <c r="AD1174" s="399" t="n"/>
      <c r="AE1174" s="399" t="n"/>
      <c r="AF1174" s="399" t="n"/>
      <c r="AG1174" s="399" t="n"/>
      <c r="AH1174" s="399" t="n"/>
      <c r="AI1174" s="399" t="n"/>
      <c r="AJ1174" s="399" t="n"/>
      <c r="AK1174" s="397" t="n"/>
      <c r="AL1174" s="399" t="n"/>
      <c r="AM1174" s="399" t="n"/>
      <c r="AN1174" s="399" t="n"/>
      <c r="AO1174" s="399" t="n"/>
      <c r="AP1174" s="400" t="n"/>
      <c r="AQ1174" s="400" t="n"/>
      <c r="AR1174" s="399" t="inlineStr">
        <is>
          <t>Nhóm 1</t>
        </is>
      </c>
      <c r="AS1174" s="399" t="n"/>
      <c r="AT1174" s="399" t="inlineStr">
        <is>
          <t>HM36</t>
        </is>
      </c>
      <c r="AU1174" s="399" t="inlineStr">
        <is>
          <t>MUCLUC</t>
        </is>
      </c>
      <c r="AV1174" s="399" t="n">
        <v>36</v>
      </c>
      <c r="AW1174" s="399" t="n">
        <v>1</v>
      </c>
      <c r="AX1174" s="399" t="n"/>
    </row>
    <row r="1175">
      <c r="A1175" s="56" t="inlineStr">
        <is>
          <t>BBK680</t>
        </is>
      </c>
      <c r="B1175" s="56" t="inlineStr">
        <is>
          <t>PYC</t>
        </is>
      </c>
      <c r="C1175" s="56" t="inlineStr">
        <is>
          <t>BBK680.0386681</t>
        </is>
      </c>
      <c r="D1175" s="57" t="n"/>
      <c r="E1175" s="57" t="n"/>
      <c r="F1175" s="57" t="n"/>
      <c r="G1175" s="57" t="n"/>
      <c r="H1175" s="57" t="n"/>
      <c r="J1175" s="108" t="inlineStr">
        <is>
          <t>03</t>
        </is>
      </c>
      <c r="K1175" s="108" t="inlineStr">
        <is>
          <t>PYC</t>
        </is>
      </c>
      <c r="L1175" s="109" t="inlineStr">
        <is>
          <t>phiếu yêu cầu</t>
        </is>
      </c>
      <c r="M1175" s="109" t="n"/>
      <c r="N1175" s="109" t="n"/>
      <c r="O1175" s="110" t="inlineStr">
        <is>
          <t>Cầu Km19+529.080</t>
        </is>
      </c>
      <c r="P1175" s="401" t="n"/>
      <c r="Q1175" s="401" t="n"/>
      <c r="R1175" s="401">
        <f>R1176</f>
        <v/>
      </c>
      <c r="S1175" s="401">
        <f>+R1175+1</f>
        <v/>
      </c>
      <c r="T1175" s="402">
        <f>T1176</f>
        <v/>
      </c>
      <c r="U1175" s="402">
        <f>U1176</f>
        <v/>
      </c>
      <c r="V1175" s="402">
        <f>V1176</f>
        <v/>
      </c>
      <c r="W1175" s="402">
        <f>W1176</f>
        <v/>
      </c>
      <c r="X1175" s="403" t="n"/>
      <c r="Y1175" s="403" t="n"/>
      <c r="Z1175" s="403" t="n"/>
      <c r="AA1175" s="113" t="n"/>
      <c r="AB1175" s="113" t="inlineStr">
        <is>
          <t>307HG/YCNT/BM/T1</t>
        </is>
      </c>
      <c r="AC1175" s="113" t="n"/>
      <c r="AD1175" s="113" t="n"/>
      <c r="AE1175" s="113" t="n"/>
      <c r="AF1175" s="113" t="n"/>
      <c r="AG1175" s="113" t="inlineStr">
        <is>
          <t>BBKTĐK;NTCV</t>
        </is>
      </c>
      <c r="AH1175" s="113" t="n">
        <v>1</v>
      </c>
      <c r="AI1175" s="403" t="n"/>
      <c r="AJ1175" s="403" t="n"/>
      <c r="AK1175" s="404" t="n"/>
      <c r="AL1175" s="403" t="n"/>
      <c r="AM1175" s="403" t="n"/>
      <c r="AN1175" s="403" t="n"/>
      <c r="AO1175" s="403" t="n"/>
      <c r="AP1175" s="115" t="n"/>
      <c r="AQ1175" s="115" t="n"/>
      <c r="AR1175" s="403" t="inlineStr">
        <is>
          <t>Nhóm 1</t>
        </is>
      </c>
      <c r="AS1175" s="403" t="n"/>
      <c r="AT1175" s="403" t="inlineStr">
        <is>
          <t>HM36</t>
        </is>
      </c>
      <c r="AU1175" s="403" t="inlineStr">
        <is>
          <t>PYC</t>
        </is>
      </c>
      <c r="AV1175" s="403" t="n">
        <v>29</v>
      </c>
      <c r="AW1175" s="403" t="n">
        <v>1</v>
      </c>
      <c r="AX1175" s="403" t="n"/>
    </row>
    <row r="1176" ht="28" customHeight="1" s="672">
      <c r="A1176" s="56" t="inlineStr">
        <is>
          <t>BBK884</t>
        </is>
      </c>
      <c r="B1176" s="56" t="inlineStr">
        <is>
          <t>BBKTĐK</t>
        </is>
      </c>
      <c r="C1176" s="56" t="inlineStr">
        <is>
          <t>BBK884.0237091</t>
        </is>
      </c>
      <c r="D1176" s="57" t="n"/>
      <c r="E1176" s="57" t="n"/>
      <c r="F1176" s="57" t="n"/>
      <c r="G1176" s="57" t="n"/>
      <c r="H1176" s="57" t="n"/>
      <c r="J1176" s="139" t="inlineStr">
        <is>
          <t>04</t>
        </is>
      </c>
      <c r="K1176" s="139" t="inlineStr">
        <is>
          <t>BBKTĐK</t>
        </is>
      </c>
      <c r="L1176" s="140" t="inlineStr">
        <is>
          <t xml:space="preserve"> Kiểm tra điều kiện trước khi thi công bệ mố: Thiết bị, nhân lực, vật tư</t>
        </is>
      </c>
      <c r="M1176" s="140" t="n"/>
      <c r="N1176" s="140" t="n"/>
      <c r="O1176" s="141" t="inlineStr">
        <is>
          <t>Cầu Km19+529.080</t>
        </is>
      </c>
      <c r="P1176" s="382">
        <f>S1078+2</f>
        <v/>
      </c>
      <c r="Q1176" s="382">
        <f>P1176</f>
        <v/>
      </c>
      <c r="R1176" s="382">
        <f>Q1176-1</f>
        <v/>
      </c>
      <c r="S1176" s="382">
        <f>Q1176</f>
        <v/>
      </c>
      <c r="T1176" s="383" t="n">
        <v>0.3541666666666667</v>
      </c>
      <c r="U1176" s="383">
        <f>T1176+V1176</f>
        <v/>
      </c>
      <c r="V1176" s="383" t="n">
        <v>0.0625</v>
      </c>
      <c r="W1176" s="384">
        <f>TEXT(T1176,"HH""h""MM'")&amp;"÷"&amp;TEXT(U1176,"HH""h""MM'")</f>
        <v/>
      </c>
      <c r="X1176" s="384" t="n"/>
      <c r="Y1176" s="384" t="n"/>
      <c r="Z1176" s="384" t="inlineStr">
        <is>
          <t>01;</t>
        </is>
      </c>
      <c r="AA1176" s="144" t="inlineStr">
        <is>
          <t>Kiểm tra điều kiện trước khi thi công Bệ trụ T1</t>
        </is>
      </c>
      <c r="AB1176" s="144" t="inlineStr">
        <is>
          <t>307HG/YCNT/BM/T1-1</t>
        </is>
      </c>
      <c r="AC1176" s="144" t="inlineStr">
        <is>
          <t>307HG/BBNT/BM/T1-1</t>
        </is>
      </c>
      <c r="AD1176" s="144" t="n"/>
      <c r="AE1176" s="144" t="n"/>
      <c r="AF1176" s="144" t="n"/>
      <c r="AG1176" s="144" t="n"/>
      <c r="AH1176" s="144" t="n"/>
      <c r="AI1176" s="384" t="n"/>
      <c r="AJ1176" s="384" t="n"/>
      <c r="AK1176" s="386" t="n"/>
      <c r="AL1176" s="384" t="n"/>
      <c r="AM1176" s="384" t="n"/>
      <c r="AN1176" s="384" t="n"/>
      <c r="AO1176" s="384" t="n"/>
      <c r="AP1176" s="146" t="n"/>
      <c r="AQ1176" s="146" t="n"/>
      <c r="AR1176" s="384" t="inlineStr">
        <is>
          <t>Nhóm 1</t>
        </is>
      </c>
      <c r="AS1176" s="384" t="n"/>
      <c r="AT1176" s="384" t="inlineStr">
        <is>
          <t>HM36</t>
        </is>
      </c>
      <c r="AU1176" s="384" t="inlineStr">
        <is>
          <t>BBKTĐK</t>
        </is>
      </c>
      <c r="AV1176" s="384" t="n">
        <v>23</v>
      </c>
      <c r="AW1176" s="384" t="n">
        <v>1</v>
      </c>
      <c r="AX1176" s="384" t="n"/>
    </row>
    <row r="1177">
      <c r="A1177" s="56" t="inlineStr">
        <is>
          <t>BBK860</t>
        </is>
      </c>
      <c r="B1177" s="56" t="inlineStr">
        <is>
          <t>PL01</t>
        </is>
      </c>
      <c r="C1177" s="56" t="inlineStr">
        <is>
          <t>BBK860.0227304</t>
        </is>
      </c>
      <c r="D1177" s="57" t="n"/>
      <c r="E1177" s="57" t="n"/>
      <c r="F1177" s="57" t="n"/>
      <c r="G1177" s="57" t="n"/>
      <c r="H1177" s="57" t="n"/>
      <c r="J1177" s="168" t="inlineStr">
        <is>
          <t>05</t>
        </is>
      </c>
      <c r="K1177" s="168" t="inlineStr">
        <is>
          <t>PL01</t>
        </is>
      </c>
      <c r="L1177" s="169" t="inlineStr">
        <is>
          <t>Phụ lục số 01</t>
        </is>
      </c>
      <c r="M1177" s="169" t="n"/>
      <c r="N1177" s="169" t="n"/>
      <c r="O1177" s="170" t="inlineStr">
        <is>
          <t>Cầu Km19+529.080</t>
        </is>
      </c>
      <c r="P1177" s="405" t="n"/>
      <c r="Q1177" s="405" t="n"/>
      <c r="R1177" s="405" t="n"/>
      <c r="S1177" s="405">
        <f>S1176</f>
        <v/>
      </c>
      <c r="T1177" s="405" t="n"/>
      <c r="U1177" s="405" t="n"/>
      <c r="V1177" s="405" t="n"/>
      <c r="W1177" s="406" t="n"/>
      <c r="X1177" s="406" t="n"/>
      <c r="Y1177" s="406" t="n"/>
      <c r="Z1177" s="168" t="inlineStr">
        <is>
          <t>01</t>
        </is>
      </c>
      <c r="AA1177" s="173" t="n"/>
      <c r="AB1177" s="173" t="n"/>
      <c r="AC1177" s="173" t="inlineStr">
        <is>
          <t>307HG/BBNT/BM/T1-1</t>
        </is>
      </c>
      <c r="AD1177" s="173" t="n"/>
      <c r="AE1177" s="173" t="n"/>
      <c r="AF1177" s="173" t="n"/>
      <c r="AG1177" s="173" t="n"/>
      <c r="AH1177" s="173" t="inlineStr">
        <is>
          <t>MT</t>
        </is>
      </c>
      <c r="AI1177" s="406" t="n"/>
      <c r="AJ1177" s="406" t="n"/>
      <c r="AK1177" s="408" t="n"/>
      <c r="AL1177" s="406" t="n"/>
      <c r="AM1177" s="406" t="n"/>
      <c r="AN1177" s="406" t="n"/>
      <c r="AO1177" s="406" t="n"/>
      <c r="AP1177" s="174" t="n"/>
      <c r="AQ1177" s="174" t="n"/>
      <c r="AR1177" s="406" t="inlineStr">
        <is>
          <t>Nhóm 1</t>
        </is>
      </c>
      <c r="AS1177" s="406" t="n"/>
      <c r="AT1177" s="406" t="inlineStr">
        <is>
          <t>HM36</t>
        </is>
      </c>
      <c r="AU1177" s="406" t="inlineStr">
        <is>
          <t>PL01</t>
        </is>
      </c>
      <c r="AV1177" s="406" t="n">
        <v>25</v>
      </c>
      <c r="AW1177" s="406" t="n">
        <v>1</v>
      </c>
      <c r="AX1177" s="406" t="n"/>
    </row>
    <row r="1178" ht="28" customHeight="1" s="672">
      <c r="A1178" s="56" t="inlineStr">
        <is>
          <t>NTCV</t>
        </is>
      </c>
      <c r="B1178" s="56" t="inlineStr">
        <is>
          <t>K.9999</t>
        </is>
      </c>
      <c r="C1178" s="56" t="inlineStr">
        <is>
          <t>NTCV.0069836</t>
        </is>
      </c>
      <c r="D1178" s="57" t="n"/>
      <c r="E1178" s="57" t="n"/>
      <c r="F1178" s="57" t="n"/>
      <c r="G1178" s="57" t="n"/>
      <c r="H1178" s="57" t="n"/>
      <c r="J1178" s="161" t="inlineStr">
        <is>
          <t>06</t>
        </is>
      </c>
      <c r="K1178" s="161" t="inlineStr">
        <is>
          <t>K.9999</t>
        </is>
      </c>
      <c r="L1178" s="162" t="inlineStr">
        <is>
          <t>Định vị hố móng và đào đất hố móng đến cao độ thiết kế</t>
        </is>
      </c>
      <c r="M1178" s="162" t="n"/>
      <c r="N1178" s="162" t="n"/>
      <c r="O1178" s="163" t="inlineStr">
        <is>
          <t>Cầu Km19+529.080</t>
        </is>
      </c>
      <c r="P1178" s="409">
        <f>S1176+1</f>
        <v/>
      </c>
      <c r="Q1178" s="409">
        <f>P1178</f>
        <v/>
      </c>
      <c r="R1178" s="409">
        <f>Q1178-2</f>
        <v/>
      </c>
      <c r="S1178" s="409">
        <f>Q1178</f>
        <v/>
      </c>
      <c r="T1178" s="410" t="n">
        <v>0.375</v>
      </c>
      <c r="U1178" s="410">
        <f>+T1178+V1178</f>
        <v/>
      </c>
      <c r="V1178" s="410" t="n">
        <v>0.02083333333333333</v>
      </c>
      <c r="W1178" s="411">
        <f>TEXT(T1178,"HH""h""MM'")&amp;"÷"&amp;TEXT(U1178,"HH""h""MM'")</f>
        <v/>
      </c>
      <c r="X1178" s="411" t="n"/>
      <c r="Y1178" s="411" t="n"/>
      <c r="Z1178" s="411" t="inlineStr">
        <is>
          <t>02;</t>
        </is>
      </c>
      <c r="AA1178" s="166" t="inlineStr">
        <is>
          <t>Kiểm tra định vị hố móng, đào đất hố móng đến cao độ thiết kế Bệ trụ T1</t>
        </is>
      </c>
      <c r="AB1178" s="166" t="inlineStr">
        <is>
          <t>307HG/YCNT/BM/T1-1</t>
        </is>
      </c>
      <c r="AC1178" s="166" t="inlineStr">
        <is>
          <t>307HG/BBNT/BM/T1-2</t>
        </is>
      </c>
      <c r="AD1178" s="166" t="n"/>
      <c r="AE1178" s="166" t="n"/>
      <c r="AF1178" s="166" t="n"/>
      <c r="AG1178" s="166" t="n"/>
      <c r="AH1178" s="166" t="n"/>
      <c r="AI1178" s="411" t="n"/>
      <c r="AJ1178" s="411" t="n"/>
      <c r="AK1178" s="412" t="n"/>
      <c r="AL1178" s="411" t="n"/>
      <c r="AM1178" s="411" t="n"/>
      <c r="AN1178" s="411" t="n"/>
      <c r="AO1178" s="411" t="n"/>
      <c r="AP1178" s="167" t="n"/>
      <c r="AQ1178" s="167" t="n"/>
      <c r="AR1178" s="411" t="inlineStr">
        <is>
          <t>Nhóm 1</t>
        </is>
      </c>
      <c r="AS1178" s="411" t="n"/>
      <c r="AT1178" s="411" t="inlineStr">
        <is>
          <t>HM36</t>
        </is>
      </c>
      <c r="AU1178" s="411" t="inlineStr">
        <is>
          <t>NTCV</t>
        </is>
      </c>
      <c r="AV1178" s="411" t="n">
        <v>309</v>
      </c>
      <c r="AW1178" s="411" t="n">
        <v>1</v>
      </c>
      <c r="AX1178" s="411" t="n"/>
    </row>
    <row r="1179">
      <c r="A1179" s="56" t="inlineStr">
        <is>
          <t>BBK170</t>
        </is>
      </c>
      <c r="B1179" s="56" t="inlineStr">
        <is>
          <t>PL02</t>
        </is>
      </c>
      <c r="C1179" s="56" t="inlineStr">
        <is>
          <t>BBK170.0790226</t>
        </is>
      </c>
      <c r="D1179" s="57" t="n"/>
      <c r="E1179" s="57" t="n"/>
      <c r="F1179" s="57" t="n"/>
      <c r="G1179" s="57" t="n"/>
      <c r="H1179" s="57" t="n"/>
      <c r="J1179" s="139" t="inlineStr">
        <is>
          <t>07</t>
        </is>
      </c>
      <c r="K1179" s="139" t="inlineStr">
        <is>
          <t>PL02</t>
        </is>
      </c>
      <c r="L1179" s="140" t="inlineStr">
        <is>
          <t>Phụ lục số 02</t>
        </is>
      </c>
      <c r="M1179" s="140" t="n"/>
      <c r="N1179" s="140" t="n"/>
      <c r="O1179" s="141" t="inlineStr">
        <is>
          <t>Cầu Km19+529.080</t>
        </is>
      </c>
      <c r="P1179" s="382" t="n"/>
      <c r="Q1179" s="382" t="n"/>
      <c r="R1179" s="382" t="n"/>
      <c r="S1179" s="382">
        <f>S1178</f>
        <v/>
      </c>
      <c r="T1179" s="382" t="n"/>
      <c r="U1179" s="382" t="n"/>
      <c r="V1179" s="382" t="n"/>
      <c r="W1179" s="384" t="n"/>
      <c r="X1179" s="384" t="n"/>
      <c r="Y1179" s="384" t="n"/>
      <c r="Z1179" s="139" t="inlineStr">
        <is>
          <t>02</t>
        </is>
      </c>
      <c r="AA1179" s="144" t="n"/>
      <c r="AB1179" s="144" t="n"/>
      <c r="AC1179" s="144" t="inlineStr">
        <is>
          <t>307HG/BBNT/BM/T1-2</t>
        </is>
      </c>
      <c r="AD1179" s="144" t="n"/>
      <c r="AE1179" s="144" t="n"/>
      <c r="AF1179" s="144" t="n"/>
      <c r="AG1179" s="144" t="n"/>
      <c r="AH1179" s="144" t="inlineStr">
        <is>
          <t>T1</t>
        </is>
      </c>
      <c r="AI1179" s="384" t="n"/>
      <c r="AJ1179" s="384" t="n"/>
      <c r="AK1179" s="386" t="n"/>
      <c r="AL1179" s="384" t="n"/>
      <c r="AM1179" s="384" t="n"/>
      <c r="AN1179" s="384" t="n"/>
      <c r="AO1179" s="384" t="n"/>
      <c r="AP1179" s="146" t="n"/>
      <c r="AQ1179" s="146" t="inlineStr">
        <is>
          <t>Ảnh\Trụ T1,T2.png</t>
        </is>
      </c>
      <c r="AR1179" s="384" t="inlineStr">
        <is>
          <t>Nhóm 1</t>
        </is>
      </c>
      <c r="AS1179" s="384" t="n"/>
      <c r="AT1179" s="384" t="inlineStr">
        <is>
          <t>HM36</t>
        </is>
      </c>
      <c r="AU1179" s="384" t="inlineStr">
        <is>
          <t>PL02</t>
        </is>
      </c>
      <c r="AV1179" s="384" t="n">
        <v>24</v>
      </c>
      <c r="AW1179" s="384" t="n">
        <v>1</v>
      </c>
      <c r="AX1179" s="384" t="n"/>
    </row>
    <row r="1180">
      <c r="A1180" s="56" t="inlineStr">
        <is>
          <t>BBK680</t>
        </is>
      </c>
      <c r="B1180" s="56" t="inlineStr">
        <is>
          <t>PYC</t>
        </is>
      </c>
      <c r="C1180" s="56" t="inlineStr">
        <is>
          <t>BBK680.0822600</t>
        </is>
      </c>
      <c r="D1180" s="57" t="n"/>
      <c r="E1180" s="57" t="n"/>
      <c r="F1180" s="57" t="n"/>
      <c r="G1180" s="57" t="n"/>
      <c r="H1180" s="57" t="n"/>
      <c r="J1180" s="168" t="inlineStr">
        <is>
          <t>08</t>
        </is>
      </c>
      <c r="K1180" s="168" t="inlineStr">
        <is>
          <t>PYC</t>
        </is>
      </c>
      <c r="L1180" s="169" t="inlineStr">
        <is>
          <t>phiếu yêu cầu</t>
        </is>
      </c>
      <c r="M1180" s="169" t="n"/>
      <c r="N1180" s="169" t="n"/>
      <c r="O1180" s="170" t="inlineStr">
        <is>
          <t>Cầu Km19+529.080</t>
        </is>
      </c>
      <c r="P1180" s="405" t="n"/>
      <c r="Q1180" s="405" t="n"/>
      <c r="R1180" s="401">
        <f>R1181</f>
        <v/>
      </c>
      <c r="S1180" s="405">
        <f>+R1180+1</f>
        <v/>
      </c>
      <c r="T1180" s="402">
        <f>T1181</f>
        <v/>
      </c>
      <c r="U1180" s="402">
        <f>U1181</f>
        <v/>
      </c>
      <c r="V1180" s="402">
        <f>V1181</f>
        <v/>
      </c>
      <c r="W1180" s="402">
        <f>W1181</f>
        <v/>
      </c>
      <c r="X1180" s="406" t="n"/>
      <c r="Y1180" s="406" t="n"/>
      <c r="Z1180" s="168" t="inlineStr">
        <is>
          <t>02</t>
        </is>
      </c>
      <c r="AA1180" s="173" t="n"/>
      <c r="AB1180" s="173" t="inlineStr">
        <is>
          <t>307HG/YCNT/BM/T1</t>
        </is>
      </c>
      <c r="AC1180" s="173" t="n"/>
      <c r="AD1180" s="173" t="n"/>
      <c r="AE1180" s="173" t="n"/>
      <c r="AF1180" s="173" t="n"/>
      <c r="AG1180" s="129" t="inlineStr">
        <is>
          <t>NTCV</t>
        </is>
      </c>
      <c r="AH1180" s="173" t="inlineStr">
        <is>
          <t>2;3</t>
        </is>
      </c>
      <c r="AI1180" s="406" t="n"/>
      <c r="AJ1180" s="406" t="n"/>
      <c r="AK1180" s="408" t="n"/>
      <c r="AL1180" s="406" t="n"/>
      <c r="AM1180" s="406" t="n"/>
      <c r="AN1180" s="406" t="n"/>
      <c r="AO1180" s="406" t="n"/>
      <c r="AP1180" s="174" t="n"/>
      <c r="AQ1180" s="174" t="n"/>
      <c r="AR1180" s="406" t="inlineStr">
        <is>
          <t>Nhóm 1</t>
        </is>
      </c>
      <c r="AS1180" s="406" t="n"/>
      <c r="AT1180" s="406" t="inlineStr">
        <is>
          <t>HM36</t>
        </is>
      </c>
      <c r="AU1180" s="406" t="inlineStr">
        <is>
          <t>PYC</t>
        </is>
      </c>
      <c r="AV1180" s="406" t="n">
        <v>31</v>
      </c>
      <c r="AW1180" s="406" t="n">
        <v>2</v>
      </c>
      <c r="AX1180" s="406" t="n"/>
    </row>
    <row r="1181" ht="28" customHeight="1" s="672">
      <c r="A1181" s="413" t="inlineStr">
        <is>
          <t>NTCV</t>
        </is>
      </c>
      <c r="B1181" s="413" t="inlineStr">
        <is>
          <t>K.9999</t>
        </is>
      </c>
      <c r="C1181" s="413" t="inlineStr">
        <is>
          <t>NTCV.0332351</t>
        </is>
      </c>
      <c r="D1181" s="414" t="n"/>
      <c r="E1181" s="414" t="n"/>
      <c r="F1181" s="414" t="n"/>
      <c r="G1181" s="414" t="n"/>
      <c r="H1181" s="414" t="n"/>
      <c r="J1181" s="147" t="inlineStr">
        <is>
          <t>09</t>
        </is>
      </c>
      <c r="K1181" s="147" t="inlineStr">
        <is>
          <t>K.9999</t>
        </is>
      </c>
      <c r="L1181" s="148" t="inlineStr">
        <is>
          <t>Công tác chuẩn bị đổ bê tông lót bệ</t>
        </is>
      </c>
      <c r="M1181" s="148" t="n"/>
      <c r="N1181" s="148" t="n"/>
      <c r="O1181" s="149" t="inlineStr">
        <is>
          <t>Cầu Km19+529.080</t>
        </is>
      </c>
      <c r="P1181" s="415">
        <f>+S1178+1</f>
        <v/>
      </c>
      <c r="Q1181" s="415">
        <f>+P1181</f>
        <v/>
      </c>
      <c r="R1181" s="415">
        <f>+Q1181-1</f>
        <v/>
      </c>
      <c r="S1181" s="415">
        <f>+Q1181</f>
        <v/>
      </c>
      <c r="T1181" s="416" t="n">
        <v>0.375</v>
      </c>
      <c r="U1181" s="416">
        <f>+T1181+V1181</f>
        <v/>
      </c>
      <c r="V1181" s="416" t="n">
        <v>0.04166666666666666</v>
      </c>
      <c r="W1181" s="411">
        <f>TEXT(T1181,"HH""h""MM'")&amp;"÷"&amp;TEXT(U1181,"HH""h""MM'")</f>
        <v/>
      </c>
      <c r="X1181" s="417" t="n"/>
      <c r="Y1181" s="417" t="n"/>
      <c r="Z1181" s="417" t="inlineStr">
        <is>
          <t>05;</t>
        </is>
      </c>
      <c r="AA1181" s="150" t="inlineStr">
        <is>
          <t>Kiểm tra công tác chuẩn bị đổ bê tông lót Bệ trụ T1</t>
        </is>
      </c>
      <c r="AB1181" s="150" t="inlineStr">
        <is>
          <t>307HG/YCNT/BM/T1-2</t>
        </is>
      </c>
      <c r="AC1181" s="150" t="inlineStr">
        <is>
          <t>307HG/BBNT/BM/T1-3</t>
        </is>
      </c>
      <c r="AD1181" s="150" t="n"/>
      <c r="AE1181" s="150" t="n"/>
      <c r="AF1181" s="150" t="n"/>
      <c r="AG1181" s="150" t="n"/>
      <c r="AH1181" s="150" t="n"/>
      <c r="AI1181" s="417" t="n"/>
      <c r="AJ1181" s="417" t="n"/>
      <c r="AK1181" s="418" t="n"/>
      <c r="AL1181" s="417" t="n"/>
      <c r="AM1181" s="417" t="n"/>
      <c r="AN1181" s="417" t="n"/>
      <c r="AO1181" s="417" t="n"/>
      <c r="AP1181" s="151" t="n"/>
      <c r="AQ1181" s="151" t="n"/>
      <c r="AR1181" s="417" t="inlineStr">
        <is>
          <t>Nhóm 1</t>
        </is>
      </c>
      <c r="AS1181" s="417" t="n"/>
      <c r="AT1181" s="417" t="inlineStr">
        <is>
          <t>HM36</t>
        </is>
      </c>
      <c r="AU1181" s="417" t="inlineStr">
        <is>
          <t>NTCV</t>
        </is>
      </c>
      <c r="AV1181" s="417" t="n">
        <v>321</v>
      </c>
      <c r="AW1181" s="417" t="n">
        <v>2</v>
      </c>
      <c r="AX1181" s="417" t="n"/>
    </row>
    <row r="1182">
      <c r="A1182" s="413" t="inlineStr">
        <is>
          <t>BBK229</t>
        </is>
      </c>
      <c r="B1182" s="413" t="inlineStr">
        <is>
          <t>PL05.1</t>
        </is>
      </c>
      <c r="C1182" s="413" t="inlineStr">
        <is>
          <t>BBK229.0419980</t>
        </is>
      </c>
      <c r="D1182" s="414" t="n"/>
      <c r="E1182" s="414" t="n"/>
      <c r="F1182" s="414" t="n"/>
      <c r="G1182" s="414" t="n"/>
      <c r="H1182" s="414" t="n"/>
      <c r="J1182" s="108" t="inlineStr">
        <is>
          <t>10</t>
        </is>
      </c>
      <c r="K1182" s="108" t="inlineStr">
        <is>
          <t>PL05.1</t>
        </is>
      </c>
      <c r="L1182" s="109">
        <f>L1181</f>
        <v/>
      </c>
      <c r="M1182" s="109" t="n"/>
      <c r="N1182" s="109" t="n"/>
      <c r="O1182" s="110" t="inlineStr">
        <is>
          <t>Cầu Km19+529.080</t>
        </is>
      </c>
      <c r="P1182" s="401" t="n"/>
      <c r="Q1182" s="401" t="n"/>
      <c r="R1182" s="401" t="n"/>
      <c r="S1182" s="401">
        <f>S1181</f>
        <v/>
      </c>
      <c r="T1182" s="401" t="n"/>
      <c r="U1182" s="401" t="n"/>
      <c r="V1182" s="401" t="n"/>
      <c r="W1182" s="403" t="n"/>
      <c r="X1182" s="403" t="n"/>
      <c r="Y1182" s="403" t="n"/>
      <c r="Z1182" s="108" t="inlineStr">
        <is>
          <t>05</t>
        </is>
      </c>
      <c r="AA1182" s="113" t="n"/>
      <c r="AB1182" s="113" t="n"/>
      <c r="AC1182" s="113" t="inlineStr">
        <is>
          <t>307HG/BBNT/BM/T1-3</t>
        </is>
      </c>
      <c r="AD1182" s="113" t="n"/>
      <c r="AE1182" s="113" t="n"/>
      <c r="AF1182" s="113" t="n"/>
      <c r="AG1182" s="113" t="n"/>
      <c r="AH1182" s="113" t="inlineStr">
        <is>
          <t>C10</t>
        </is>
      </c>
      <c r="AI1182" s="403" t="n"/>
      <c r="AJ1182" s="403" t="n"/>
      <c r="AK1182" s="404" t="n"/>
      <c r="AL1182" s="403" t="n"/>
      <c r="AM1182" s="403" t="n"/>
      <c r="AN1182" s="403" t="n"/>
      <c r="AO1182" s="403" t="n"/>
      <c r="AP1182" s="115" t="n"/>
      <c r="AQ1182" s="115" t="n"/>
      <c r="AR1182" s="403" t="inlineStr">
        <is>
          <t>Nhóm 1</t>
        </is>
      </c>
      <c r="AS1182" s="403" t="n"/>
      <c r="AT1182" s="403" t="inlineStr">
        <is>
          <t>HM36</t>
        </is>
      </c>
      <c r="AU1182" s="403" t="inlineStr">
        <is>
          <t>PL05.1</t>
        </is>
      </c>
      <c r="AV1182" s="403" t="n">
        <v>1</v>
      </c>
      <c r="AW1182" s="403" t="n">
        <v>1</v>
      </c>
      <c r="AX1182" s="403" t="n"/>
    </row>
    <row r="1183">
      <c r="A1183" s="413" t="inlineStr">
        <is>
          <t>NTCV</t>
        </is>
      </c>
      <c r="B1183" s="413" t="inlineStr">
        <is>
          <t>K.9999</t>
        </is>
      </c>
      <c r="C1183" s="413" t="inlineStr">
        <is>
          <t>NTCV.0993945</t>
        </is>
      </c>
      <c r="D1183" s="414" t="n"/>
      <c r="E1183" s="414" t="n"/>
      <c r="F1183" s="414" t="n"/>
      <c r="G1183" s="414" t="n"/>
      <c r="H1183" s="414" t="n"/>
      <c r="J1183" s="131" t="inlineStr">
        <is>
          <t>11</t>
        </is>
      </c>
      <c r="K1183" s="131" t="inlineStr">
        <is>
          <t>K.9999</t>
        </is>
      </c>
      <c r="L1183" s="132" t="inlineStr">
        <is>
          <t>Công tác đổ bê tông lót</t>
        </is>
      </c>
      <c r="M1183" s="132" t="n"/>
      <c r="N1183" s="132" t="n"/>
      <c r="O1183" s="133" t="inlineStr">
        <is>
          <t>Cầu Km19+529.080</t>
        </is>
      </c>
      <c r="P1183" s="419">
        <f>S1181</f>
        <v/>
      </c>
      <c r="Q1183" s="419">
        <f>P1183+1</f>
        <v/>
      </c>
      <c r="R1183" s="415">
        <f>+Q1183-2</f>
        <v/>
      </c>
      <c r="S1183" s="415">
        <f>+Q1183</f>
        <v/>
      </c>
      <c r="T1183" s="420">
        <f>T1184</f>
        <v/>
      </c>
      <c r="U1183" s="420">
        <f>+T1183+V1183</f>
        <v/>
      </c>
      <c r="V1183" s="420" t="n">
        <v>0.03125</v>
      </c>
      <c r="W1183" s="411">
        <f>TEXT(T1183,"HH""h""MM'")&amp;"÷"&amp;TEXT(U1183,"HH""h""MM'")</f>
        <v/>
      </c>
      <c r="X1183" s="421" t="n"/>
      <c r="Y1183" s="421" t="n"/>
      <c r="Z1183" s="421" t="inlineStr">
        <is>
          <t>06;</t>
        </is>
      </c>
      <c r="AA1183" s="136" t="inlineStr">
        <is>
          <t>Theo dõi đổ bê tông lót Bệ trụ T1</t>
        </is>
      </c>
      <c r="AB1183" s="150" t="inlineStr">
        <is>
          <t>307HG/YCNT/BM/T1-2</t>
        </is>
      </c>
      <c r="AC1183" s="136" t="inlineStr">
        <is>
          <t>307HG/BBNT/BM/T1-4</t>
        </is>
      </c>
      <c r="AD1183" s="136" t="n"/>
      <c r="AE1183" s="136" t="n"/>
      <c r="AF1183" s="136" t="n"/>
      <c r="AG1183" s="136" t="n"/>
      <c r="AH1183" s="136" t="n"/>
      <c r="AI1183" s="421" t="n"/>
      <c r="AJ1183" s="421" t="n"/>
      <c r="AK1183" s="422" t="n"/>
      <c r="AL1183" s="421" t="n"/>
      <c r="AM1183" s="421" t="n"/>
      <c r="AN1183" s="421" t="n"/>
      <c r="AO1183" s="421" t="n"/>
      <c r="AP1183" s="138" t="n"/>
      <c r="AQ1183" s="138" t="n"/>
      <c r="AR1183" s="421" t="inlineStr">
        <is>
          <t>Nhóm 1</t>
        </is>
      </c>
      <c r="AS1183" s="421" t="n"/>
      <c r="AT1183" s="421" t="inlineStr">
        <is>
          <t>HM36</t>
        </is>
      </c>
      <c r="AU1183" s="421" t="inlineStr">
        <is>
          <t>NTCV</t>
        </is>
      </c>
      <c r="AV1183" s="421" t="n">
        <v>336</v>
      </c>
      <c r="AW1183" s="421" t="n">
        <v>3</v>
      </c>
      <c r="AX1183" s="421" t="n"/>
    </row>
    <row r="1184">
      <c r="A1184" s="413" t="inlineStr">
        <is>
          <t>BBK832</t>
        </is>
      </c>
      <c r="B1184" s="413" t="inlineStr">
        <is>
          <t>PL06.1</t>
        </is>
      </c>
      <c r="C1184" s="413" t="inlineStr">
        <is>
          <t>BBK832.0698990</t>
        </is>
      </c>
      <c r="D1184" s="414" t="n"/>
      <c r="E1184" s="414" t="n"/>
      <c r="F1184" s="414" t="n"/>
      <c r="G1184" s="414" t="n"/>
      <c r="H1184" s="414" t="n"/>
      <c r="J1184" s="124" t="inlineStr">
        <is>
          <t>12</t>
        </is>
      </c>
      <c r="K1184" s="124" t="inlineStr">
        <is>
          <t>PL06.1</t>
        </is>
      </c>
      <c r="L1184" s="125" t="inlineStr">
        <is>
          <t>Phụ lục số 06</t>
        </is>
      </c>
      <c r="M1184" s="125" t="n"/>
      <c r="N1184" s="125" t="n"/>
      <c r="O1184" s="126" t="inlineStr">
        <is>
          <t>Cầu Km19+529.080</t>
        </is>
      </c>
      <c r="P1184" s="423" t="n"/>
      <c r="Q1184" s="423" t="n"/>
      <c r="R1184" s="423" t="n"/>
      <c r="S1184" s="423" t="n"/>
      <c r="T1184" s="424" t="n">
        <v>0.3958333333333333</v>
      </c>
      <c r="U1184" s="424">
        <f>T1184+V1184</f>
        <v/>
      </c>
      <c r="V1184" s="424" t="n">
        <v>0.01041666666666667</v>
      </c>
      <c r="W1184" s="425" t="n"/>
      <c r="X1184" s="425" t="n"/>
      <c r="Y1184" s="425" t="n"/>
      <c r="Z1184" s="124" t="inlineStr">
        <is>
          <t>06</t>
        </is>
      </c>
      <c r="AA1184" s="129" t="n"/>
      <c r="AB1184" s="129" t="n"/>
      <c r="AC1184" s="129" t="inlineStr">
        <is>
          <t>307HG/BBNT/BM/T1-4</t>
        </is>
      </c>
      <c r="AD1184" s="129" t="n"/>
      <c r="AE1184" s="129" t="n"/>
      <c r="AF1184" s="129" t="n"/>
      <c r="AG1184" s="129" t="n"/>
      <c r="AH1184" s="426" t="inlineStr">
        <is>
          <t>C10-BM-T1</t>
        </is>
      </c>
      <c r="AI1184" s="425" t="n"/>
      <c r="AJ1184" s="425" t="n"/>
      <c r="AK1184" s="427" t="n"/>
      <c r="AL1184" s="425" t="n"/>
      <c r="AM1184" s="425" t="n"/>
      <c r="AN1184" s="425" t="n"/>
      <c r="AO1184" s="425" t="n"/>
      <c r="AP1184" s="130" t="n"/>
      <c r="AQ1184" s="130" t="n"/>
      <c r="AR1184" s="425" t="inlineStr">
        <is>
          <t>Nhóm 1</t>
        </is>
      </c>
      <c r="AS1184" s="425" t="n"/>
      <c r="AT1184" s="425" t="inlineStr">
        <is>
          <t>HM36</t>
        </is>
      </c>
      <c r="AU1184" s="425" t="inlineStr">
        <is>
          <t>PL06.1</t>
        </is>
      </c>
      <c r="AV1184" s="425" t="n">
        <v>20</v>
      </c>
      <c r="AW1184" s="425" t="n">
        <v>2</v>
      </c>
      <c r="AX1184" s="425" t="n"/>
    </row>
    <row r="1185">
      <c r="A1185" s="413" t="inlineStr">
        <is>
          <t>LMHT</t>
        </is>
      </c>
      <c r="B1185" s="413" t="inlineStr">
        <is>
          <t>LMHT</t>
        </is>
      </c>
      <c r="C1185" s="413" t="inlineStr">
        <is>
          <t>LMHT.0490532</t>
        </is>
      </c>
      <c r="D1185" s="414" t="inlineStr">
        <is>
          <t>TC.000041|TC.000182|TC.000169.A</t>
        </is>
      </c>
      <c r="E1185" s="414" t="n"/>
      <c r="F1185" s="414" t="inlineStr">
        <is>
          <t>CP.0001^Bê tông lót Bệ trụ T1^Hình trụ 15x30 (cm)^3^C10 (10Mpa)^^^TC.000041|TC.000182|TC.000169.A</t>
        </is>
      </c>
      <c r="G1185" s="414" t="n"/>
      <c r="H1185" s="414" t="n"/>
      <c r="J1185" s="175" t="inlineStr">
        <is>
          <t>13</t>
        </is>
      </c>
      <c r="K1185" s="175" t="inlineStr">
        <is>
          <t>LMHT</t>
        </is>
      </c>
      <c r="L1185" s="176" t="inlineStr">
        <is>
          <t>Bê tông lót Bệ trụ T1</t>
        </is>
      </c>
      <c r="M1185" s="176" t="n"/>
      <c r="N1185" s="176" t="n"/>
      <c r="O1185" s="177" t="inlineStr">
        <is>
          <t>Cầu Km19+529.080</t>
        </is>
      </c>
      <c r="P1185" s="299" t="n"/>
      <c r="Q1185" s="299" t="n"/>
      <c r="R1185" s="299" t="n"/>
      <c r="S1185" s="299">
        <f>S1183</f>
        <v/>
      </c>
      <c r="T1185" s="300">
        <f>T1184</f>
        <v/>
      </c>
      <c r="U1185" s="300">
        <f>U1184</f>
        <v/>
      </c>
      <c r="V1185" s="300">
        <f>V1184</f>
        <v/>
      </c>
      <c r="W1185" s="301" t="n"/>
      <c r="X1185" s="301" t="n"/>
      <c r="Y1185" s="301" t="n"/>
      <c r="Z1185" s="301" t="n"/>
      <c r="AA1185" s="180" t="n"/>
      <c r="AB1185" s="180" t="n"/>
      <c r="AC1185" s="180" t="n"/>
      <c r="AD1185" s="180" t="n"/>
      <c r="AE1185" s="180" t="n"/>
      <c r="AF1185" s="180" t="n"/>
      <c r="AG1185" s="180" t="n"/>
      <c r="AH1185" s="180" t="n"/>
      <c r="AI1185" s="301" t="n"/>
      <c r="AJ1185" s="301" t="n"/>
      <c r="AK1185" s="303" t="n"/>
      <c r="AL1185" s="301" t="n"/>
      <c r="AM1185" s="301" t="n"/>
      <c r="AN1185" s="301" t="n"/>
      <c r="AO1185" s="301" t="n"/>
      <c r="AP1185" s="181" t="n"/>
      <c r="AQ1185" s="181" t="n"/>
      <c r="AR1185" s="301" t="inlineStr">
        <is>
          <t>Nhóm 1</t>
        </is>
      </c>
      <c r="AS1185" s="301" t="n"/>
      <c r="AT1185" s="301" t="inlineStr">
        <is>
          <t>HM36</t>
        </is>
      </c>
      <c r="AU1185" s="301" t="inlineStr">
        <is>
          <t>LMHT</t>
        </is>
      </c>
      <c r="AV1185" s="301" t="n">
        <v>29</v>
      </c>
      <c r="AW1185" s="301" t="n">
        <v>1</v>
      </c>
      <c r="AX1185" s="301" t="n"/>
    </row>
    <row r="1186" ht="28" customHeight="1" s="672">
      <c r="A1186" s="413" t="inlineStr">
        <is>
          <t>BBK680</t>
        </is>
      </c>
      <c r="B1186" s="413" t="inlineStr">
        <is>
          <t>PYC</t>
        </is>
      </c>
      <c r="C1186" s="413" t="inlineStr">
        <is>
          <t>BBK680.0833375</t>
        </is>
      </c>
      <c r="D1186" s="414" t="n"/>
      <c r="E1186" s="414" t="n"/>
      <c r="F1186" s="414" t="n"/>
      <c r="G1186" s="414" t="n"/>
      <c r="H1186" s="414" t="n"/>
      <c r="J1186" s="168" t="inlineStr">
        <is>
          <t>14</t>
        </is>
      </c>
      <c r="K1186" s="168" t="inlineStr">
        <is>
          <t>PYC</t>
        </is>
      </c>
      <c r="L1186" s="169" t="inlineStr">
        <is>
          <t>phiếu yêu cầu</t>
        </is>
      </c>
      <c r="M1186" s="169" t="n"/>
      <c r="N1186" s="169" t="n"/>
      <c r="O1186" s="170" t="inlineStr">
        <is>
          <t>Cầu Km19+529.080</t>
        </is>
      </c>
      <c r="P1186" s="405" t="n"/>
      <c r="Q1186" s="405" t="n"/>
      <c r="R1186" s="405">
        <f>S1186-1</f>
        <v/>
      </c>
      <c r="S1186" s="405">
        <f>S1185+7</f>
        <v/>
      </c>
      <c r="T1186" s="428" t="n">
        <v>0.3333333333333333</v>
      </c>
      <c r="U1186" s="428">
        <f>+T1186+V1186</f>
        <v/>
      </c>
      <c r="V1186" s="428" t="n">
        <v>0.02083333333333333</v>
      </c>
      <c r="W1186" s="406" t="n"/>
      <c r="X1186" s="406" t="n"/>
      <c r="Y1186" s="406" t="n"/>
      <c r="Z1186" s="406" t="n"/>
      <c r="AA1186" s="173" t="inlineStr">
        <is>
          <t>Theo dõi nén mẫu R7 bê tông lót Bệ trụ T1</t>
        </is>
      </c>
      <c r="AB1186" s="173" t="inlineStr">
        <is>
          <t>307HG/YCNT/BM/T1-R7</t>
        </is>
      </c>
      <c r="AC1186" s="173" t="inlineStr">
        <is>
          <t>307HG/BBNT/BM/T1-4</t>
        </is>
      </c>
      <c r="AD1186" s="173" t="n"/>
      <c r="AE1186" s="173" t="n"/>
      <c r="AF1186" s="173" t="n"/>
      <c r="AG1186" s="173" t="inlineStr">
        <is>
          <t>PYC</t>
        </is>
      </c>
      <c r="AH1186" s="173" t="n">
        <v>5</v>
      </c>
      <c r="AI1186" s="406" t="n"/>
      <c r="AJ1186" s="406" t="n"/>
      <c r="AK1186" s="408" t="n"/>
      <c r="AL1186" s="406" t="n"/>
      <c r="AM1186" s="406" t="n"/>
      <c r="AN1186" s="406" t="n"/>
      <c r="AO1186" s="406" t="n"/>
      <c r="AP1186" s="174" t="n"/>
      <c r="AQ1186" s="174" t="n"/>
      <c r="AR1186" s="406" t="inlineStr">
        <is>
          <t>Nhóm 1</t>
        </is>
      </c>
      <c r="AS1186" s="406" t="n"/>
      <c r="AT1186" s="406" t="inlineStr">
        <is>
          <t>HM36</t>
        </is>
      </c>
      <c r="AU1186" s="406" t="inlineStr">
        <is>
          <t>PYC</t>
        </is>
      </c>
      <c r="AV1186" s="406" t="n">
        <v>42</v>
      </c>
      <c r="AW1186" s="406" t="n">
        <v>5</v>
      </c>
      <c r="AX1186" s="406" t="n"/>
    </row>
    <row r="1187" ht="28" customHeight="1" s="672">
      <c r="A1187" s="413" t="inlineStr">
        <is>
          <t>BBK680</t>
        </is>
      </c>
      <c r="B1187" s="413" t="inlineStr">
        <is>
          <t>PYC</t>
        </is>
      </c>
      <c r="C1187" s="413" t="inlineStr">
        <is>
          <t>BBK680.0339941</t>
        </is>
      </c>
      <c r="D1187" s="414" t="n"/>
      <c r="E1187" s="414" t="n"/>
      <c r="F1187" s="414" t="n"/>
      <c r="G1187" s="414" t="n"/>
      <c r="H1187" s="414" t="n"/>
      <c r="J1187" s="124" t="inlineStr">
        <is>
          <t>15</t>
        </is>
      </c>
      <c r="K1187" s="124" t="inlineStr">
        <is>
          <t>PYC</t>
        </is>
      </c>
      <c r="L1187" s="125" t="inlineStr">
        <is>
          <t>phiếu yêu cầu</t>
        </is>
      </c>
      <c r="M1187" s="125" t="n"/>
      <c r="N1187" s="125" t="n"/>
      <c r="O1187" s="126" t="inlineStr">
        <is>
          <t>Cầu Km19+529.080</t>
        </is>
      </c>
      <c r="P1187" s="423" t="n"/>
      <c r="Q1187" s="423" t="n"/>
      <c r="R1187" s="423">
        <f>S1187-1</f>
        <v/>
      </c>
      <c r="S1187" s="423">
        <f>S1185+28</f>
        <v/>
      </c>
      <c r="T1187" s="424" t="n">
        <v>0.3541666666666667</v>
      </c>
      <c r="U1187" s="424">
        <f>+T1187+V1187</f>
        <v/>
      </c>
      <c r="V1187" s="424" t="n">
        <v>0.02083333333333333</v>
      </c>
      <c r="W1187" s="425" t="n"/>
      <c r="X1187" s="425" t="n"/>
      <c r="Y1187" s="425" t="n"/>
      <c r="Z1187" s="425" t="n"/>
      <c r="AA1187" s="129" t="inlineStr">
        <is>
          <t>Theo dõi nén mẫu R28 bê tông lót Bệ trụ T1</t>
        </is>
      </c>
      <c r="AB1187" s="129" t="inlineStr">
        <is>
          <t>307HG/YCNT/BM/T1-R28</t>
        </is>
      </c>
      <c r="AC1187" s="129" t="inlineStr">
        <is>
          <t>307HG/BBNT/BM/T1-4</t>
        </is>
      </c>
      <c r="AD1187" s="129" t="n"/>
      <c r="AE1187" s="129" t="n"/>
      <c r="AF1187" s="129" t="n"/>
      <c r="AG1187" s="129" t="inlineStr">
        <is>
          <t>PYC</t>
        </is>
      </c>
      <c r="AH1187" s="129" t="n">
        <v>8</v>
      </c>
      <c r="AI1187" s="425" t="n"/>
      <c r="AJ1187" s="425" t="n"/>
      <c r="AK1187" s="427" t="n"/>
      <c r="AL1187" s="425" t="n"/>
      <c r="AM1187" s="425" t="n"/>
      <c r="AN1187" s="425" t="n"/>
      <c r="AO1187" s="425" t="n"/>
      <c r="AP1187" s="130" t="n"/>
      <c r="AQ1187" s="130" t="n"/>
      <c r="AR1187" s="425" t="inlineStr">
        <is>
          <t>Nhóm 1</t>
        </is>
      </c>
      <c r="AS1187" s="425" t="n"/>
      <c r="AT1187" s="425" t="inlineStr">
        <is>
          <t>HM36</t>
        </is>
      </c>
      <c r="AU1187" s="425" t="inlineStr">
        <is>
          <t>PYC</t>
        </is>
      </c>
      <c r="AV1187" s="425" t="n">
        <v>90</v>
      </c>
      <c r="AW1187" s="425" t="n">
        <v>8</v>
      </c>
      <c r="AX1187" s="425" t="n"/>
    </row>
    <row r="1188">
      <c r="A1188" s="413" t="inlineStr">
        <is>
          <t>BBK680</t>
        </is>
      </c>
      <c r="B1188" s="413" t="inlineStr">
        <is>
          <t>PYC</t>
        </is>
      </c>
      <c r="C1188" s="413" t="inlineStr">
        <is>
          <t>BBK680.0152457</t>
        </is>
      </c>
      <c r="D1188" s="414" t="n"/>
      <c r="E1188" s="414" t="n"/>
      <c r="F1188" s="414" t="n"/>
      <c r="G1188" s="414" t="n"/>
      <c r="H1188" s="414" t="n"/>
      <c r="J1188" s="124" t="inlineStr">
        <is>
          <t>16</t>
        </is>
      </c>
      <c r="K1188" s="124" t="inlineStr">
        <is>
          <t>PYC</t>
        </is>
      </c>
      <c r="L1188" s="125" t="inlineStr">
        <is>
          <t>phiếu yêu cầu</t>
        </is>
      </c>
      <c r="M1188" s="125" t="n"/>
      <c r="N1188" s="125" t="n"/>
      <c r="O1188" s="126" t="inlineStr">
        <is>
          <t>Cầu Km19+529.080</t>
        </is>
      </c>
      <c r="P1188" s="423" t="n"/>
      <c r="Q1188" s="423" t="n"/>
      <c r="R1188" s="401">
        <f>R1189</f>
        <v/>
      </c>
      <c r="S1188" s="423">
        <f>+R1188+1</f>
        <v/>
      </c>
      <c r="T1188" s="423" t="n"/>
      <c r="U1188" s="423" t="n"/>
      <c r="V1188" s="423" t="n"/>
      <c r="W1188" s="425" t="n"/>
      <c r="X1188" s="425" t="n"/>
      <c r="Y1188" s="425" t="n"/>
      <c r="Z1188" s="425" t="n"/>
      <c r="AA1188" s="429" t="n"/>
      <c r="AB1188" s="173" t="inlineStr">
        <is>
          <t>307HG/YCNT/BM/T1</t>
        </is>
      </c>
      <c r="AC1188" s="430" t="n"/>
      <c r="AD1188" s="430" t="n"/>
      <c r="AE1188" s="430" t="n"/>
      <c r="AF1188" s="430" t="n"/>
      <c r="AG1188" s="129" t="inlineStr">
        <is>
          <t>NTCV</t>
        </is>
      </c>
      <c r="AH1188" s="430" t="inlineStr">
        <is>
          <t>4;5;6;7</t>
        </is>
      </c>
      <c r="AI1188" s="431" t="n"/>
      <c r="AJ1188" s="431" t="n"/>
      <c r="AK1188" s="432" t="n"/>
      <c r="AL1188" s="433" t="n"/>
      <c r="AM1188" s="425" t="n"/>
      <c r="AN1188" s="425" t="n"/>
      <c r="AO1188" s="425" t="n"/>
      <c r="AP1188" s="130" t="n"/>
      <c r="AQ1188" s="130" t="n"/>
      <c r="AR1188" s="425" t="inlineStr">
        <is>
          <t>Nhóm 1</t>
        </is>
      </c>
      <c r="AS1188" s="425" t="n"/>
      <c r="AT1188" s="425" t="inlineStr">
        <is>
          <t>HM36</t>
        </is>
      </c>
      <c r="AU1188" s="425" t="inlineStr">
        <is>
          <t>PYC</t>
        </is>
      </c>
      <c r="AV1188" s="425" t="n">
        <v>34</v>
      </c>
      <c r="AW1188" s="425" t="n">
        <v>3</v>
      </c>
      <c r="AX1188" s="425" t="n"/>
    </row>
    <row r="1189">
      <c r="A1189" s="413" t="inlineStr">
        <is>
          <t>NTCV</t>
        </is>
      </c>
      <c r="B1189" s="413" t="inlineStr">
        <is>
          <t>K.9999</t>
        </is>
      </c>
      <c r="C1189" s="413" t="inlineStr">
        <is>
          <t>NTCV.0905767</t>
        </is>
      </c>
      <c r="D1189" s="414" t="n"/>
      <c r="E1189" s="414" t="n"/>
      <c r="F1189" s="414" t="n"/>
      <c r="G1189" s="414" t="n"/>
      <c r="H1189" s="414" t="n"/>
      <c r="J1189" s="147" t="inlineStr">
        <is>
          <t>17</t>
        </is>
      </c>
      <c r="K1189" s="147" t="inlineStr">
        <is>
          <t>K.9999</t>
        </is>
      </c>
      <c r="L1189" s="148" t="inlineStr">
        <is>
          <t>Kiểm tra ván khuôn bệ mố</t>
        </is>
      </c>
      <c r="M1189" s="148" t="n"/>
      <c r="N1189" s="148" t="n"/>
      <c r="O1189" s="149" t="inlineStr">
        <is>
          <t>Cầu Km19+529.080</t>
        </is>
      </c>
      <c r="P1189" s="415">
        <f>S1185</f>
        <v/>
      </c>
      <c r="Q1189" s="415">
        <f>+P1189+3</f>
        <v/>
      </c>
      <c r="R1189" s="415">
        <f>Q1189-1</f>
        <v/>
      </c>
      <c r="S1189" s="415">
        <f>Q1189</f>
        <v/>
      </c>
      <c r="T1189" s="416" t="n">
        <v>0.3541666666666667</v>
      </c>
      <c r="U1189" s="416">
        <f>+T1189+V1189</f>
        <v/>
      </c>
      <c r="V1189" s="416" t="n">
        <v>0.01388888888888889</v>
      </c>
      <c r="W1189" s="411">
        <f>TEXT(T1189,"HH""h""MM'")&amp;"÷"&amp;TEXT(U1189,"HH""h""MM'")</f>
        <v/>
      </c>
      <c r="X1189" s="417" t="n"/>
      <c r="Y1189" s="417" t="n"/>
      <c r="Z1189" s="417" t="inlineStr">
        <is>
          <t>07;</t>
        </is>
      </c>
      <c r="AA1189" s="150" t="inlineStr">
        <is>
          <t>Kiểm tra ván khuôn Bệ trụ T1</t>
        </is>
      </c>
      <c r="AB1189" s="150" t="inlineStr">
        <is>
          <t>307HG/YCNT/BM/T1-3</t>
        </is>
      </c>
      <c r="AC1189" s="150" t="inlineStr">
        <is>
          <t>307HG/BBNT/BM/T1-5</t>
        </is>
      </c>
      <c r="AD1189" s="150" t="n"/>
      <c r="AE1189" s="150" t="n"/>
      <c r="AF1189" s="150" t="n"/>
      <c r="AG1189" s="150" t="n"/>
      <c r="AH1189" s="150" t="n"/>
      <c r="AI1189" s="417" t="n"/>
      <c r="AJ1189" s="417" t="n"/>
      <c r="AK1189" s="418" t="n"/>
      <c r="AL1189" s="417" t="n"/>
      <c r="AM1189" s="417" t="n"/>
      <c r="AN1189" s="417" t="n"/>
      <c r="AO1189" s="417" t="n"/>
      <c r="AP1189" s="151" t="n"/>
      <c r="AQ1189" s="151" t="n"/>
      <c r="AR1189" s="417" t="inlineStr">
        <is>
          <t>Nhóm 1</t>
        </is>
      </c>
      <c r="AS1189" s="417" t="n"/>
      <c r="AT1189" s="417" t="inlineStr">
        <is>
          <t>HM36</t>
        </is>
      </c>
      <c r="AU1189" s="417" t="inlineStr">
        <is>
          <t>NTCV</t>
        </is>
      </c>
      <c r="AV1189" s="417" t="n">
        <v>364</v>
      </c>
      <c r="AW1189" s="417" t="n">
        <v>4</v>
      </c>
      <c r="AX1189" s="417" t="n"/>
    </row>
    <row r="1190">
      <c r="A1190" s="413" t="inlineStr">
        <is>
          <t>BBK804</t>
        </is>
      </c>
      <c r="B1190" s="413" t="inlineStr">
        <is>
          <t>PL07.1</t>
        </is>
      </c>
      <c r="C1190" s="413" t="inlineStr">
        <is>
          <t>BBK804.0510766</t>
        </is>
      </c>
      <c r="D1190" s="414" t="n"/>
      <c r="E1190" s="414" t="n"/>
      <c r="F1190" s="414" t="n"/>
      <c r="G1190" s="414" t="n"/>
      <c r="H1190" s="414" t="n"/>
      <c r="J1190" s="108" t="inlineStr">
        <is>
          <t>18</t>
        </is>
      </c>
      <c r="K1190" s="108" t="inlineStr">
        <is>
          <t>PL07.1</t>
        </is>
      </c>
      <c r="L1190" s="109" t="inlineStr">
        <is>
          <t>Phụ lục số 07</t>
        </is>
      </c>
      <c r="M1190" s="109" t="n"/>
      <c r="N1190" s="109" t="n"/>
      <c r="O1190" s="110" t="inlineStr">
        <is>
          <t>Cầu Km19+529.080</t>
        </is>
      </c>
      <c r="P1190" s="401" t="n"/>
      <c r="Q1190" s="401" t="n"/>
      <c r="R1190" s="401" t="n"/>
      <c r="S1190" s="401">
        <f>S1189</f>
        <v/>
      </c>
      <c r="T1190" s="401" t="n"/>
      <c r="U1190" s="401" t="n"/>
      <c r="V1190" s="401" t="n"/>
      <c r="W1190" s="403" t="n"/>
      <c r="X1190" s="403" t="n"/>
      <c r="Y1190" s="403" t="n"/>
      <c r="Z1190" s="108" t="inlineStr">
        <is>
          <t>07</t>
        </is>
      </c>
      <c r="AA1190" s="113" t="n"/>
      <c r="AB1190" s="113" t="n"/>
      <c r="AC1190" s="113" t="inlineStr">
        <is>
          <t>307HG/BBNT/BM/T1-5</t>
        </is>
      </c>
      <c r="AD1190" s="113" t="n"/>
      <c r="AE1190" s="113" t="n"/>
      <c r="AF1190" s="113" t="n"/>
      <c r="AG1190" s="113" t="n"/>
      <c r="AH1190" s="114" t="inlineStr">
        <is>
          <t>BM-T1</t>
        </is>
      </c>
      <c r="AI1190" s="403" t="n"/>
      <c r="AJ1190" s="403" t="n"/>
      <c r="AK1190" s="404" t="n"/>
      <c r="AL1190" s="403" t="n"/>
      <c r="AM1190" s="403" t="n"/>
      <c r="AN1190" s="403" t="n"/>
      <c r="AO1190" s="403" t="n"/>
      <c r="AP1190" s="115" t="n"/>
      <c r="AQ1190" s="115" t="inlineStr">
        <is>
          <t>Ảnh\tháo vk Trụ T1,T2.png</t>
        </is>
      </c>
      <c r="AR1190" s="403" t="inlineStr">
        <is>
          <t>Nhóm 1</t>
        </is>
      </c>
      <c r="AS1190" s="403" t="n"/>
      <c r="AT1190" s="403" t="inlineStr">
        <is>
          <t>HM36</t>
        </is>
      </c>
      <c r="AU1190" s="403" t="inlineStr">
        <is>
          <t>PL07.1</t>
        </is>
      </c>
      <c r="AV1190" s="403" t="n">
        <v>1</v>
      </c>
      <c r="AW1190" s="403" t="n">
        <v>1</v>
      </c>
      <c r="AX1190" s="403" t="n"/>
    </row>
    <row r="1191">
      <c r="A1191" s="413" t="inlineStr">
        <is>
          <t>NTCV</t>
        </is>
      </c>
      <c r="B1191" s="413" t="inlineStr">
        <is>
          <t>K.9999</t>
        </is>
      </c>
      <c r="C1191" s="413" t="inlineStr">
        <is>
          <t>NTCV.0788480</t>
        </is>
      </c>
      <c r="D1191" s="414" t="n"/>
      <c r="E1191" s="414" t="n"/>
      <c r="F1191" s="414" t="n"/>
      <c r="G1191" s="414" t="n"/>
      <c r="H1191" s="414" t="n"/>
      <c r="J1191" s="131" t="inlineStr">
        <is>
          <t>19</t>
        </is>
      </c>
      <c r="K1191" s="131" t="inlineStr">
        <is>
          <t>K.9999</t>
        </is>
      </c>
      <c r="L1191" s="132" t="inlineStr">
        <is>
          <t>Cốt thép bệ mố</t>
        </is>
      </c>
      <c r="M1191" s="132" t="n"/>
      <c r="N1191" s="132" t="n"/>
      <c r="O1191" s="133" t="inlineStr">
        <is>
          <t>Cầu Km19+529.080</t>
        </is>
      </c>
      <c r="P1191" s="419">
        <f>S1189</f>
        <v/>
      </c>
      <c r="Q1191" s="419">
        <f>P1191</f>
        <v/>
      </c>
      <c r="R1191" s="415">
        <f>Q1191-1</f>
        <v/>
      </c>
      <c r="S1191" s="415">
        <f>Q1191</f>
        <v/>
      </c>
      <c r="T1191" s="420">
        <f>U1189+TIME(,15,)</f>
        <v/>
      </c>
      <c r="U1191" s="420">
        <f>+T1191+V1191</f>
        <v/>
      </c>
      <c r="V1191" s="420" t="n">
        <v>0.01736111111111111</v>
      </c>
      <c r="W1191" s="411">
        <f>TEXT(T1191,"HH""h""MM'")&amp;"÷"&amp;TEXT(U1191,"HH""h""MM'")</f>
        <v/>
      </c>
      <c r="X1191" s="421" t="n"/>
      <c r="Y1191" s="421" t="n"/>
      <c r="Z1191" s="421" t="inlineStr">
        <is>
          <t>08;</t>
        </is>
      </c>
      <c r="AA1191" s="136" t="inlineStr">
        <is>
          <t>Kiểm tra cốt thép Bệ trụ T1</t>
        </is>
      </c>
      <c r="AB1191" s="150" t="inlineStr">
        <is>
          <t>307HG/YCNT/BM/T1-3</t>
        </is>
      </c>
      <c r="AC1191" s="136" t="inlineStr">
        <is>
          <t>307HG/BBNT/BM/T1-6</t>
        </is>
      </c>
      <c r="AD1191" s="136" t="n"/>
      <c r="AE1191" s="136" t="n"/>
      <c r="AF1191" s="136" t="n"/>
      <c r="AG1191" s="136" t="n"/>
      <c r="AH1191" s="136" t="n"/>
      <c r="AI1191" s="421" t="n"/>
      <c r="AJ1191" s="421" t="n"/>
      <c r="AK1191" s="422" t="n"/>
      <c r="AL1191" s="421" t="n"/>
      <c r="AM1191" s="421" t="n"/>
      <c r="AN1191" s="421" t="n"/>
      <c r="AO1191" s="421" t="n"/>
      <c r="AP1191" s="138" t="n"/>
      <c r="AQ1191" s="138" t="n"/>
      <c r="AR1191" s="421" t="inlineStr">
        <is>
          <t>Nhóm 1</t>
        </is>
      </c>
      <c r="AS1191" s="421" t="n"/>
      <c r="AT1191" s="421" t="inlineStr">
        <is>
          <t>HM36</t>
        </is>
      </c>
      <c r="AU1191" s="421" t="inlineStr">
        <is>
          <t>NTCV</t>
        </is>
      </c>
      <c r="AV1191" s="421" t="n">
        <v>365</v>
      </c>
      <c r="AW1191" s="421" t="n">
        <v>5</v>
      </c>
      <c r="AX1191" s="421" t="n"/>
    </row>
    <row r="1192">
      <c r="A1192" s="413" t="inlineStr">
        <is>
          <t>BBK469</t>
        </is>
      </c>
      <c r="B1192" s="413" t="inlineStr">
        <is>
          <t>PL08.1</t>
        </is>
      </c>
      <c r="C1192" s="413" t="inlineStr">
        <is>
          <t>BBK469.0614701</t>
        </is>
      </c>
      <c r="D1192" s="414" t="n"/>
      <c r="E1192" s="414" t="n"/>
      <c r="F1192" s="414" t="n"/>
      <c r="G1192" s="414" t="n"/>
      <c r="H1192" s="414" t="n"/>
      <c r="J1192" s="108" t="inlineStr">
        <is>
          <t>20</t>
        </is>
      </c>
      <c r="K1192" s="108" t="inlineStr">
        <is>
          <t>PL08.1</t>
        </is>
      </c>
      <c r="L1192" s="109" t="inlineStr">
        <is>
          <t>Phụ lục số 08</t>
        </is>
      </c>
      <c r="M1192" s="109" t="n"/>
      <c r="N1192" s="109" t="n"/>
      <c r="O1192" s="110" t="inlineStr">
        <is>
          <t>Cầu Km19+529.080</t>
        </is>
      </c>
      <c r="P1192" s="401" t="n"/>
      <c r="Q1192" s="401" t="n"/>
      <c r="R1192" s="401" t="n"/>
      <c r="S1192" s="401">
        <f>S1191</f>
        <v/>
      </c>
      <c r="T1192" s="401" t="n"/>
      <c r="U1192" s="401" t="n"/>
      <c r="V1192" s="401" t="n"/>
      <c r="W1192" s="403" t="n"/>
      <c r="X1192" s="403" t="n"/>
      <c r="Y1192" s="403" t="n"/>
      <c r="Z1192" s="108" t="inlineStr">
        <is>
          <t>08</t>
        </is>
      </c>
      <c r="AA1192" s="113" t="n"/>
      <c r="AB1192" s="113" t="n"/>
      <c r="AC1192" s="113" t="inlineStr">
        <is>
          <t>307HG/BBNT/BM/T1-6</t>
        </is>
      </c>
      <c r="AD1192" s="113" t="n"/>
      <c r="AE1192" s="113" t="n"/>
      <c r="AF1192" s="113" t="n"/>
      <c r="AG1192" s="113" t="n"/>
      <c r="AH1192" s="114" t="inlineStr">
        <is>
          <t>BM-T1</t>
        </is>
      </c>
      <c r="AI1192" s="403" t="n"/>
      <c r="AJ1192" s="403" t="n"/>
      <c r="AK1192" s="404" t="n"/>
      <c r="AL1192" s="403" t="n"/>
      <c r="AM1192" s="403" t="n"/>
      <c r="AN1192" s="403" t="n"/>
      <c r="AO1192" s="403" t="n"/>
      <c r="AP1192" s="115" t="n"/>
      <c r="AQ1192" s="115" t="n"/>
      <c r="AR1192" s="403" t="inlineStr">
        <is>
          <t>Nhóm 1</t>
        </is>
      </c>
      <c r="AS1192" s="403" t="n"/>
      <c r="AT1192" s="403" t="inlineStr">
        <is>
          <t>HM36</t>
        </is>
      </c>
      <c r="AU1192" s="403" t="inlineStr">
        <is>
          <t>PL08.1</t>
        </is>
      </c>
      <c r="AV1192" s="403" t="n">
        <v>1</v>
      </c>
      <c r="AW1192" s="403" t="n">
        <v>1</v>
      </c>
      <c r="AX1192" s="403" t="n"/>
    </row>
    <row r="1193">
      <c r="A1193" s="413" t="inlineStr">
        <is>
          <t>NTCV</t>
        </is>
      </c>
      <c r="B1193" s="413" t="inlineStr">
        <is>
          <t>K.9999</t>
        </is>
      </c>
      <c r="C1193" s="413" t="inlineStr">
        <is>
          <t>NTCV.0345450</t>
        </is>
      </c>
      <c r="D1193" s="414" t="n"/>
      <c r="E1193" s="414" t="n"/>
      <c r="F1193" s="414" t="n"/>
      <c r="G1193" s="414" t="n"/>
      <c r="H1193" s="414" t="n"/>
      <c r="J1193" s="131" t="inlineStr">
        <is>
          <t>21</t>
        </is>
      </c>
      <c r="K1193" s="131" t="inlineStr">
        <is>
          <t>K.9999</t>
        </is>
      </c>
      <c r="L1193" s="132" t="inlineStr">
        <is>
          <t>Công tác chuẩn bị đổ bê tông bệ mố</t>
        </is>
      </c>
      <c r="M1193" s="132" t="n"/>
      <c r="N1193" s="132" t="n"/>
      <c r="O1193" s="133" t="inlineStr">
        <is>
          <t>Cầu Km19+529.080</t>
        </is>
      </c>
      <c r="P1193" s="419">
        <f>S1191</f>
        <v/>
      </c>
      <c r="Q1193" s="419">
        <f>P1193</f>
        <v/>
      </c>
      <c r="R1193" s="415">
        <f>Q1193-1</f>
        <v/>
      </c>
      <c r="S1193" s="415">
        <f>Q1193</f>
        <v/>
      </c>
      <c r="T1193" s="420">
        <f>U1191+TIME(,15,)</f>
        <v/>
      </c>
      <c r="U1193" s="420">
        <f>+T1193+V1193</f>
        <v/>
      </c>
      <c r="V1193" s="420" t="n">
        <v>0.01041666666666667</v>
      </c>
      <c r="W1193" s="411">
        <f>TEXT(T1193,"HH""h""MM'")&amp;"÷"&amp;TEXT(U1193,"HH""h""MM'")</f>
        <v/>
      </c>
      <c r="X1193" s="421" t="n"/>
      <c r="Y1193" s="421" t="n"/>
      <c r="Z1193" s="421" t="inlineStr">
        <is>
          <t>09;</t>
        </is>
      </c>
      <c r="AA1193" s="136" t="inlineStr">
        <is>
          <t>Công tác chuẩn bị đổ bê tông Bệ trụ T1</t>
        </is>
      </c>
      <c r="AB1193" s="150" t="inlineStr">
        <is>
          <t>307HG/YCNT/BM/T1-3</t>
        </is>
      </c>
      <c r="AC1193" s="136" t="inlineStr">
        <is>
          <t>307HG/BBNT/BM/T1-7</t>
        </is>
      </c>
      <c r="AD1193" s="136" t="n"/>
      <c r="AE1193" s="136" t="n"/>
      <c r="AF1193" s="136" t="n"/>
      <c r="AG1193" s="136" t="n"/>
      <c r="AH1193" s="136" t="n"/>
      <c r="AI1193" s="421" t="n"/>
      <c r="AJ1193" s="421" t="n"/>
      <c r="AK1193" s="422" t="n"/>
      <c r="AL1193" s="421" t="n"/>
      <c r="AM1193" s="421" t="n"/>
      <c r="AN1193" s="421" t="n"/>
      <c r="AO1193" s="421" t="n"/>
      <c r="AP1193" s="138" t="n"/>
      <c r="AQ1193" s="138" t="n"/>
      <c r="AR1193" s="421" t="inlineStr">
        <is>
          <t>Nhóm 1</t>
        </is>
      </c>
      <c r="AS1193" s="421" t="n"/>
      <c r="AT1193" s="421" t="inlineStr">
        <is>
          <t>HM36</t>
        </is>
      </c>
      <c r="AU1193" s="421" t="inlineStr">
        <is>
          <t>NTCV</t>
        </is>
      </c>
      <c r="AV1193" s="421" t="n">
        <v>366</v>
      </c>
      <c r="AW1193" s="421" t="n">
        <v>6</v>
      </c>
      <c r="AX1193" s="421" t="n"/>
    </row>
    <row r="1194">
      <c r="A1194" s="413" t="inlineStr">
        <is>
          <t>BBK209</t>
        </is>
      </c>
      <c r="B1194" s="413" t="inlineStr">
        <is>
          <t>PL09</t>
        </is>
      </c>
      <c r="C1194" s="413" t="inlineStr">
        <is>
          <t>BBK209.0962469</t>
        </is>
      </c>
      <c r="D1194" s="414" t="n"/>
      <c r="E1194" s="414" t="n"/>
      <c r="F1194" s="414" t="n"/>
      <c r="G1194" s="414" t="n"/>
      <c r="H1194" s="414" t="n"/>
      <c r="J1194" s="108" t="inlineStr">
        <is>
          <t>22</t>
        </is>
      </c>
      <c r="K1194" s="108" t="inlineStr">
        <is>
          <t>PL09</t>
        </is>
      </c>
      <c r="L1194" s="109" t="inlineStr">
        <is>
          <t>Phụ lục số 09</t>
        </is>
      </c>
      <c r="M1194" s="109" t="n"/>
      <c r="N1194" s="109" t="n"/>
      <c r="O1194" s="110" t="inlineStr">
        <is>
          <t>Cầu Km19+529.080</t>
        </is>
      </c>
      <c r="P1194" s="401" t="n"/>
      <c r="Q1194" s="401" t="n"/>
      <c r="R1194" s="401" t="n"/>
      <c r="S1194" s="401">
        <f>S1193</f>
        <v/>
      </c>
      <c r="T1194" s="401" t="n"/>
      <c r="U1194" s="401" t="n"/>
      <c r="V1194" s="401" t="n"/>
      <c r="W1194" s="403" t="n"/>
      <c r="X1194" s="403" t="n"/>
      <c r="Y1194" s="403" t="n"/>
      <c r="Z1194" s="108" t="inlineStr">
        <is>
          <t>09</t>
        </is>
      </c>
      <c r="AA1194" s="113" t="n"/>
      <c r="AB1194" s="113" t="n"/>
      <c r="AC1194" s="113" t="inlineStr">
        <is>
          <t>307HG/BBNT/BM/T1-7</t>
        </is>
      </c>
      <c r="AD1194" s="113" t="n"/>
      <c r="AE1194" s="113" t="n"/>
      <c r="AF1194" s="113" t="n"/>
      <c r="AG1194" s="113" t="n"/>
      <c r="AH1194" s="113" t="inlineStr">
        <is>
          <t>C30</t>
        </is>
      </c>
      <c r="AI1194" s="403" t="n"/>
      <c r="AJ1194" s="403" t="n"/>
      <c r="AK1194" s="404" t="n"/>
      <c r="AL1194" s="403" t="n"/>
      <c r="AM1194" s="403" t="n"/>
      <c r="AN1194" s="403" t="n"/>
      <c r="AO1194" s="403" t="n"/>
      <c r="AP1194" s="115" t="n"/>
      <c r="AQ1194" s="115" t="n"/>
      <c r="AR1194" s="403" t="inlineStr">
        <is>
          <t>Nhóm 1</t>
        </is>
      </c>
      <c r="AS1194" s="403" t="n"/>
      <c r="AT1194" s="403" t="inlineStr">
        <is>
          <t>HM36</t>
        </is>
      </c>
      <c r="AU1194" s="403" t="inlineStr">
        <is>
          <t>PL09</t>
        </is>
      </c>
      <c r="AV1194" s="403" t="n">
        <v>27</v>
      </c>
      <c r="AW1194" s="403" t="n">
        <v>1</v>
      </c>
      <c r="AX1194" s="403" t="n"/>
    </row>
    <row r="1195" ht="28" customHeight="1" s="672">
      <c r="A1195" s="413" t="inlineStr">
        <is>
          <t>NTCV</t>
        </is>
      </c>
      <c r="B1195" s="413" t="inlineStr">
        <is>
          <t>K.9999</t>
        </is>
      </c>
      <c r="C1195" s="413" t="inlineStr">
        <is>
          <t>NTCV.0371118</t>
        </is>
      </c>
      <c r="D1195" s="414" t="n"/>
      <c r="E1195" s="414" t="n"/>
      <c r="F1195" s="414" t="n"/>
      <c r="G1195" s="414" t="n"/>
      <c r="H1195" s="414" t="n"/>
      <c r="J1195" s="161" t="inlineStr">
        <is>
          <t>23</t>
        </is>
      </c>
      <c r="K1195" s="161" t="inlineStr">
        <is>
          <t>K.9999</t>
        </is>
      </c>
      <c r="L1195" s="162" t="inlineStr">
        <is>
          <t>Công tác đổ bê tông và lấy mẫu bê tông bệ mố</t>
        </is>
      </c>
      <c r="M1195" s="162" t="n"/>
      <c r="N1195" s="162" t="n"/>
      <c r="O1195" s="163" t="inlineStr">
        <is>
          <t>Cầu Km19+529.080</t>
        </is>
      </c>
      <c r="P1195" s="419">
        <f>S1193</f>
        <v/>
      </c>
      <c r="Q1195" s="419">
        <f>P1195</f>
        <v/>
      </c>
      <c r="R1195" s="415">
        <f>Q1195-1</f>
        <v/>
      </c>
      <c r="S1195" s="415">
        <f>Q1195</f>
        <v/>
      </c>
      <c r="T1195" s="420">
        <f>U1193+TIME(,15,)</f>
        <v/>
      </c>
      <c r="U1195" s="420">
        <f>+T1195+V1195</f>
        <v/>
      </c>
      <c r="V1195" s="420" t="n">
        <v>0.01041666666666667</v>
      </c>
      <c r="W1195" s="411">
        <f>TEXT(T1195,"HH""h""MM'")&amp;"÷"&amp;TEXT(U1195,"HH""h""MM'")</f>
        <v/>
      </c>
      <c r="X1195" s="411" t="n"/>
      <c r="Y1195" s="411" t="n"/>
      <c r="Z1195" s="411" t="inlineStr">
        <is>
          <t>10;</t>
        </is>
      </c>
      <c r="AA1195" s="166" t="inlineStr">
        <is>
          <t>Công tác đổ bê tông và lấy mẫu bê tông Bệ trụ T1</t>
        </is>
      </c>
      <c r="AB1195" s="150" t="inlineStr">
        <is>
          <t>307HG/YCNT/BM/T1-3</t>
        </is>
      </c>
      <c r="AC1195" s="136" t="inlineStr">
        <is>
          <t>307HG/BBNT/BM/T1-8</t>
        </is>
      </c>
      <c r="AD1195" s="166" t="n"/>
      <c r="AE1195" s="166" t="n"/>
      <c r="AF1195" s="166" t="n"/>
      <c r="AG1195" s="166" t="n"/>
      <c r="AH1195" s="166" t="n"/>
      <c r="AI1195" s="411" t="n"/>
      <c r="AJ1195" s="411" t="n"/>
      <c r="AK1195" s="412" t="n"/>
      <c r="AL1195" s="411" t="n"/>
      <c r="AM1195" s="411" t="n"/>
      <c r="AN1195" s="411" t="n"/>
      <c r="AO1195" s="411" t="n"/>
      <c r="AP1195" s="167" t="n"/>
      <c r="AQ1195" s="167" t="n"/>
      <c r="AR1195" s="411" t="inlineStr">
        <is>
          <t>Nhóm 1</t>
        </is>
      </c>
      <c r="AS1195" s="411" t="n"/>
      <c r="AT1195" s="411" t="inlineStr">
        <is>
          <t>HM36</t>
        </is>
      </c>
      <c r="AU1195" s="411" t="inlineStr">
        <is>
          <t>NTCV</t>
        </is>
      </c>
      <c r="AV1195" s="411" t="n">
        <v>367</v>
      </c>
      <c r="AW1195" s="411" t="n">
        <v>7</v>
      </c>
      <c r="AX1195" s="411" t="n"/>
    </row>
    <row r="1196">
      <c r="A1196" s="413" t="inlineStr">
        <is>
          <t>BBK832</t>
        </is>
      </c>
      <c r="B1196" s="413" t="inlineStr">
        <is>
          <t>PL06.1</t>
        </is>
      </c>
      <c r="C1196" s="413" t="inlineStr">
        <is>
          <t>BBK832.0303558</t>
        </is>
      </c>
      <c r="D1196" s="414" t="n"/>
      <c r="E1196" s="414" t="n"/>
      <c r="F1196" s="414" t="n"/>
      <c r="G1196" s="414" t="n"/>
      <c r="H1196" s="414" t="n"/>
      <c r="J1196" s="108" t="inlineStr">
        <is>
          <t>24</t>
        </is>
      </c>
      <c r="K1196" s="108" t="inlineStr">
        <is>
          <t>PL06.1</t>
        </is>
      </c>
      <c r="L1196" s="109">
        <f>L1195</f>
        <v/>
      </c>
      <c r="M1196" s="109" t="n"/>
      <c r="N1196" s="109" t="n"/>
      <c r="O1196" s="110" t="inlineStr">
        <is>
          <t>Cầu Km19+529.080</t>
        </is>
      </c>
      <c r="P1196" s="401" t="n"/>
      <c r="Q1196" s="401" t="n"/>
      <c r="R1196" s="401" t="n"/>
      <c r="S1196" s="401">
        <f>S1195</f>
        <v/>
      </c>
      <c r="T1196" s="402">
        <f>U1195+TIME(,15,)</f>
        <v/>
      </c>
      <c r="U1196" s="402">
        <f>+T1196+V1196</f>
        <v/>
      </c>
      <c r="V1196" s="402" t="n">
        <v>0.2083333333333333</v>
      </c>
      <c r="W1196" s="403" t="n"/>
      <c r="X1196" s="403" t="n"/>
      <c r="Y1196" s="403" t="n"/>
      <c r="Z1196" s="108" t="inlineStr">
        <is>
          <t>10</t>
        </is>
      </c>
      <c r="AA1196" s="113" t="n"/>
      <c r="AB1196" s="113" t="n"/>
      <c r="AC1196" s="113" t="inlineStr">
        <is>
          <t>307HG/BBNT/BM/T1-8</t>
        </is>
      </c>
      <c r="AD1196" s="113" t="n"/>
      <c r="AE1196" s="113" t="n"/>
      <c r="AF1196" s="113" t="n"/>
      <c r="AG1196" s="113" t="n"/>
      <c r="AH1196" s="113" t="inlineStr">
        <is>
          <t>C30-BM-T1</t>
        </is>
      </c>
      <c r="AI1196" s="403" t="n"/>
      <c r="AJ1196" s="403" t="n"/>
      <c r="AK1196" s="404" t="n"/>
      <c r="AL1196" s="403" t="n"/>
      <c r="AM1196" s="403" t="n"/>
      <c r="AN1196" s="403" t="n"/>
      <c r="AO1196" s="403" t="n"/>
      <c r="AP1196" s="115" t="n"/>
      <c r="AQ1196" s="115" t="n"/>
      <c r="AR1196" s="403" t="inlineStr">
        <is>
          <t>Nhóm 1</t>
        </is>
      </c>
      <c r="AS1196" s="403" t="n"/>
      <c r="AT1196" s="403" t="inlineStr">
        <is>
          <t>HM36</t>
        </is>
      </c>
      <c r="AU1196" s="403" t="inlineStr">
        <is>
          <t>PL06.1</t>
        </is>
      </c>
      <c r="AV1196" s="403" t="n">
        <v>1</v>
      </c>
      <c r="AW1196" s="403" t="n">
        <v>1</v>
      </c>
      <c r="AX1196" s="403" t="n"/>
    </row>
    <row r="1197">
      <c r="A1197" s="413" t="inlineStr">
        <is>
          <t>LMHT</t>
        </is>
      </c>
      <c r="B1197" s="413" t="inlineStr">
        <is>
          <t>LMHT</t>
        </is>
      </c>
      <c r="C1197" s="413" t="inlineStr">
        <is>
          <t>LMHT.0218578</t>
        </is>
      </c>
      <c r="D1197" s="414" t="inlineStr">
        <is>
          <t>TC.000041|TC.000182|TC.000169.A</t>
        </is>
      </c>
      <c r="E1197" s="414" t="n"/>
      <c r="F1197" s="414" t="inlineStr">
        <is>
          <t>CP.0001^Bê tông Bệ trụ T1^Hình trụ 15x30 (cm)^15^C30 (30Mpa)^^^TC.000041|TC.000182|TC.000169.A</t>
        </is>
      </c>
      <c r="G1197" s="414" t="n"/>
      <c r="H1197" s="414" t="n"/>
      <c r="J1197" s="175" t="inlineStr">
        <is>
          <t>25</t>
        </is>
      </c>
      <c r="K1197" s="175" t="inlineStr">
        <is>
          <t>LMHT</t>
        </is>
      </c>
      <c r="L1197" s="176" t="inlineStr">
        <is>
          <t>Bê tông Bệ trụ T1</t>
        </is>
      </c>
      <c r="M1197" s="176" t="n"/>
      <c r="N1197" s="176" t="n"/>
      <c r="O1197" s="177" t="inlineStr">
        <is>
          <t>Cầu Km19+529.080</t>
        </is>
      </c>
      <c r="P1197" s="299" t="n"/>
      <c r="Q1197" s="299" t="n"/>
      <c r="R1197" s="299" t="n"/>
      <c r="S1197" s="299">
        <f>S1196</f>
        <v/>
      </c>
      <c r="T1197" s="300">
        <f>T1196</f>
        <v/>
      </c>
      <c r="U1197" s="300">
        <f>U1196</f>
        <v/>
      </c>
      <c r="V1197" s="300">
        <f>V1196</f>
        <v/>
      </c>
      <c r="W1197" s="301" t="n"/>
      <c r="X1197" s="301" t="n"/>
      <c r="Y1197" s="301" t="n"/>
      <c r="Z1197" s="301" t="n"/>
      <c r="AA1197" s="180" t="n"/>
      <c r="AB1197" s="180" t="n"/>
      <c r="AC1197" s="180" t="n"/>
      <c r="AD1197" s="180" t="n"/>
      <c r="AE1197" s="180" t="n"/>
      <c r="AF1197" s="180" t="n"/>
      <c r="AG1197" s="180" t="n"/>
      <c r="AH1197" s="180" t="n"/>
      <c r="AI1197" s="301" t="n"/>
      <c r="AJ1197" s="301" t="n"/>
      <c r="AK1197" s="303" t="n"/>
      <c r="AL1197" s="301" t="n"/>
      <c r="AM1197" s="301" t="n"/>
      <c r="AN1197" s="301" t="n"/>
      <c r="AO1197" s="301" t="n"/>
      <c r="AP1197" s="181" t="n"/>
      <c r="AQ1197" s="181" t="n"/>
      <c r="AR1197" s="301" t="inlineStr">
        <is>
          <t>Nhóm 1</t>
        </is>
      </c>
      <c r="AS1197" s="301" t="n"/>
      <c r="AT1197" s="301" t="inlineStr">
        <is>
          <t>HM36</t>
        </is>
      </c>
      <c r="AU1197" s="301" t="inlineStr">
        <is>
          <t>LMHT</t>
        </is>
      </c>
      <c r="AV1197" s="301" t="n">
        <v>34</v>
      </c>
      <c r="AW1197" s="301" t="n">
        <v>2</v>
      </c>
      <c r="AX1197" s="301" t="inlineStr">
        <is>
          <t>Bệ trụ T1 — Đợt 1: xi măng Lần 11, cát Lần 4 [BT 34]; Đợt 2: xi măng Lần 12 [BT 35]. Danh mục chỉ có một dòng LMHT cho cả hai đợt.</t>
        </is>
      </c>
    </row>
    <row r="1198">
      <c r="A1198" s="413" t="inlineStr">
        <is>
          <t>BBK680</t>
        </is>
      </c>
      <c r="B1198" s="413" t="inlineStr">
        <is>
          <t>PYC</t>
        </is>
      </c>
      <c r="C1198" s="413" t="inlineStr">
        <is>
          <t>BBK680.0773993</t>
        </is>
      </c>
      <c r="D1198" s="414" t="n"/>
      <c r="E1198" s="414" t="n"/>
      <c r="F1198" s="414" t="n"/>
      <c r="G1198" s="414" t="n"/>
      <c r="H1198" s="414" t="n"/>
      <c r="J1198" s="108" t="inlineStr">
        <is>
          <t>26</t>
        </is>
      </c>
      <c r="K1198" s="108" t="inlineStr">
        <is>
          <t>PYC</t>
        </is>
      </c>
      <c r="L1198" s="109" t="inlineStr">
        <is>
          <t>phiếu yêu cầu</t>
        </is>
      </c>
      <c r="M1198" s="109" t="n"/>
      <c r="N1198" s="109" t="n"/>
      <c r="O1198" s="110" t="inlineStr">
        <is>
          <t>Cầu Km19+529.080</t>
        </is>
      </c>
      <c r="P1198" s="401" t="n"/>
      <c r="Q1198" s="401" t="n"/>
      <c r="R1198" s="401">
        <f>S1198-1</f>
        <v/>
      </c>
      <c r="S1198" s="401">
        <f>S1197+7</f>
        <v/>
      </c>
      <c r="T1198" s="402" t="n">
        <v>0.3333333333333333</v>
      </c>
      <c r="U1198" s="402">
        <f>+T1198+V1198</f>
        <v/>
      </c>
      <c r="V1198" s="402" t="n">
        <v>0.04166666666666666</v>
      </c>
      <c r="W1198" s="403" t="n"/>
      <c r="X1198" s="403" t="n"/>
      <c r="Y1198" s="403" t="n"/>
      <c r="Z1198" s="403" t="n"/>
      <c r="AA1198" s="434" t="inlineStr">
        <is>
          <t>Theo dõi nén mẫu R7 bê tông Bệ trụ T1</t>
        </is>
      </c>
      <c r="AB1198" s="173" t="inlineStr">
        <is>
          <t>307HG/YCNT/BM/T1-R7</t>
        </is>
      </c>
      <c r="AC1198" s="173" t="inlineStr">
        <is>
          <t>307HG/BBNT/BM/T1-4</t>
        </is>
      </c>
      <c r="AD1198" s="435" t="n"/>
      <c r="AE1198" s="435" t="n"/>
      <c r="AF1198" s="435" t="n"/>
      <c r="AG1198" s="173" t="inlineStr">
        <is>
          <t>PYC</t>
        </is>
      </c>
      <c r="AH1198" s="435" t="n">
        <v>6</v>
      </c>
      <c r="AI1198" s="436" t="n"/>
      <c r="AJ1198" s="436" t="n"/>
      <c r="AK1198" s="437" t="n"/>
      <c r="AL1198" s="438" t="n"/>
      <c r="AM1198" s="403" t="n"/>
      <c r="AN1198" s="403" t="n"/>
      <c r="AO1198" s="403" t="n"/>
      <c r="AP1198" s="115" t="n"/>
      <c r="AQ1198" s="115" t="n"/>
      <c r="AR1198" s="403" t="inlineStr">
        <is>
          <t>Nhóm 1</t>
        </is>
      </c>
      <c r="AS1198" s="403" t="n"/>
      <c r="AT1198" s="403" t="inlineStr">
        <is>
          <t>HM36</t>
        </is>
      </c>
      <c r="AU1198" s="403" t="inlineStr">
        <is>
          <t>PYC</t>
        </is>
      </c>
      <c r="AV1198" s="403" t="n">
        <v>49</v>
      </c>
      <c r="AW1198" s="403" t="n">
        <v>6</v>
      </c>
      <c r="AX1198" s="403" t="n"/>
    </row>
    <row r="1199">
      <c r="A1199" s="413" t="inlineStr">
        <is>
          <t>BBK680</t>
        </is>
      </c>
      <c r="B1199" s="413" t="inlineStr">
        <is>
          <t>PYC</t>
        </is>
      </c>
      <c r="C1199" s="413" t="inlineStr">
        <is>
          <t>BBK680.0893822</t>
        </is>
      </c>
      <c r="D1199" s="414" t="n"/>
      <c r="E1199" s="414" t="n"/>
      <c r="F1199" s="414" t="n"/>
      <c r="G1199" s="414" t="n"/>
      <c r="H1199" s="414" t="n"/>
      <c r="J1199" s="439" t="inlineStr">
        <is>
          <t>27</t>
        </is>
      </c>
      <c r="K1199" s="439" t="inlineStr">
        <is>
          <t>PYC</t>
        </is>
      </c>
      <c r="L1199" s="440" t="inlineStr">
        <is>
          <t>phiếu yêu cầu</t>
        </is>
      </c>
      <c r="M1199" s="440" t="n"/>
      <c r="N1199" s="440" t="n"/>
      <c r="O1199" s="441" t="inlineStr">
        <is>
          <t>Cầu Km19+529.080</t>
        </is>
      </c>
      <c r="P1199" s="442" t="n"/>
      <c r="Q1199" s="442" t="n"/>
      <c r="R1199" s="401">
        <f>S1199-1</f>
        <v/>
      </c>
      <c r="S1199" s="442">
        <f>S1197+28</f>
        <v/>
      </c>
      <c r="T1199" s="443" t="n">
        <v>0.3958333333333333</v>
      </c>
      <c r="U1199" s="443">
        <f>+T1199+V1199</f>
        <v/>
      </c>
      <c r="V1199" s="443" t="n">
        <v>0.04166666666666666</v>
      </c>
      <c r="W1199" s="444" t="n"/>
      <c r="X1199" s="444" t="n"/>
      <c r="Y1199" s="444" t="n"/>
      <c r="Z1199" s="444" t="n"/>
      <c r="AA1199" s="445" t="inlineStr">
        <is>
          <t>Theo dõi nén mẫu R28 bê tông Bệ trụ T1</t>
        </is>
      </c>
      <c r="AB1199" s="129" t="inlineStr">
        <is>
          <t>307HG/YCNT/BM/T1-R28</t>
        </is>
      </c>
      <c r="AC1199" s="129" t="inlineStr">
        <is>
          <t>307HG/BBNT/BM/T1-4</t>
        </is>
      </c>
      <c r="AD1199" s="446" t="n"/>
      <c r="AE1199" s="446" t="n"/>
      <c r="AF1199" s="446" t="n"/>
      <c r="AG1199" s="129" t="inlineStr">
        <is>
          <t>PYC</t>
        </is>
      </c>
      <c r="AH1199" s="446" t="n">
        <v>9</v>
      </c>
      <c r="AI1199" s="447" t="n"/>
      <c r="AJ1199" s="447" t="n"/>
      <c r="AK1199" s="448" t="n"/>
      <c r="AL1199" s="449" t="n"/>
      <c r="AM1199" s="444" t="n"/>
      <c r="AN1199" s="444" t="n"/>
      <c r="AO1199" s="444" t="n"/>
      <c r="AP1199" s="450" t="n"/>
      <c r="AQ1199" s="450" t="n"/>
      <c r="AR1199" s="444" t="inlineStr">
        <is>
          <t>Nhóm 1</t>
        </is>
      </c>
      <c r="AS1199" s="444" t="n"/>
      <c r="AT1199" s="444" t="inlineStr">
        <is>
          <t>HM36</t>
        </is>
      </c>
      <c r="AU1199" s="444" t="inlineStr">
        <is>
          <t>PYC</t>
        </is>
      </c>
      <c r="AV1199" s="444" t="n">
        <v>98</v>
      </c>
      <c r="AW1199" s="444" t="n">
        <v>9</v>
      </c>
      <c r="AX1199" s="444" t="n"/>
    </row>
    <row r="1200">
      <c r="A1200" s="413" t="inlineStr">
        <is>
          <t>BBK680</t>
        </is>
      </c>
      <c r="B1200" s="413" t="inlineStr">
        <is>
          <t>PYC</t>
        </is>
      </c>
      <c r="C1200" s="413" t="inlineStr">
        <is>
          <t>BBK680.0113618</t>
        </is>
      </c>
      <c r="D1200" s="414" t="n"/>
      <c r="E1200" s="414" t="n"/>
      <c r="F1200" s="414" t="n"/>
      <c r="G1200" s="414" t="n"/>
      <c r="H1200" s="414" t="n"/>
      <c r="J1200" s="374" t="inlineStr">
        <is>
          <t>28</t>
        </is>
      </c>
      <c r="K1200" s="374" t="inlineStr">
        <is>
          <t>PYC</t>
        </is>
      </c>
      <c r="L1200" s="375" t="inlineStr">
        <is>
          <t>phiếu yêu cầu</t>
        </is>
      </c>
      <c r="M1200" s="375" t="n"/>
      <c r="N1200" s="375" t="n"/>
      <c r="O1200" s="451" t="inlineStr">
        <is>
          <t>Cầu Km19+529.080</t>
        </is>
      </c>
      <c r="P1200" s="376" t="n"/>
      <c r="Q1200" s="376" t="n"/>
      <c r="R1200" s="401">
        <f>R1201</f>
        <v/>
      </c>
      <c r="S1200" s="376">
        <f>R1200+1</f>
        <v/>
      </c>
      <c r="T1200" s="376" t="n"/>
      <c r="U1200" s="376" t="n"/>
      <c r="V1200" s="376" t="n"/>
      <c r="W1200" s="378" t="n"/>
      <c r="X1200" s="378" t="n"/>
      <c r="Y1200" s="378" t="n"/>
      <c r="Z1200" s="378" t="n"/>
      <c r="AA1200" s="379" t="n"/>
      <c r="AB1200" s="173" t="inlineStr">
        <is>
          <t>307HG/YCNT/BM/T1</t>
        </is>
      </c>
      <c r="AC1200" s="379" t="n"/>
      <c r="AD1200" s="379" t="n"/>
      <c r="AE1200" s="379" t="n"/>
      <c r="AF1200" s="379" t="n"/>
      <c r="AG1200" s="129" t="inlineStr">
        <is>
          <t>NTCV</t>
        </is>
      </c>
      <c r="AH1200" s="379" t="n">
        <v>8</v>
      </c>
      <c r="AI1200" s="378" t="n"/>
      <c r="AJ1200" s="378" t="n"/>
      <c r="AK1200" s="380" t="n"/>
      <c r="AL1200" s="378" t="n"/>
      <c r="AM1200" s="378" t="n"/>
      <c r="AN1200" s="378" t="n"/>
      <c r="AO1200" s="378" t="n"/>
      <c r="AP1200" s="381" t="n"/>
      <c r="AQ1200" s="381" t="n"/>
      <c r="AR1200" s="378" t="inlineStr">
        <is>
          <t>Nhóm 1</t>
        </is>
      </c>
      <c r="AS1200" s="378" t="n"/>
      <c r="AT1200" s="378" t="inlineStr">
        <is>
          <t>HM36</t>
        </is>
      </c>
      <c r="AU1200" s="378" t="inlineStr">
        <is>
          <t>PYC</t>
        </is>
      </c>
      <c r="AV1200" s="378" t="n">
        <v>40</v>
      </c>
      <c r="AW1200" s="378" t="n">
        <v>4</v>
      </c>
      <c r="AX1200" s="378" t="n"/>
    </row>
    <row r="1201">
      <c r="A1201" s="413" t="inlineStr">
        <is>
          <t>NTCV</t>
        </is>
      </c>
      <c r="B1201" s="413" t="inlineStr">
        <is>
          <t>K.9999</t>
        </is>
      </c>
      <c r="C1201" s="413" t="inlineStr">
        <is>
          <t>NTCV.0903875</t>
        </is>
      </c>
      <c r="D1201" s="414" t="n"/>
      <c r="E1201" s="414" t="n"/>
      <c r="F1201" s="414" t="n"/>
      <c r="G1201" s="414" t="n"/>
      <c r="H1201" s="414" t="n"/>
      <c r="J1201" s="147" t="inlineStr">
        <is>
          <t>29</t>
        </is>
      </c>
      <c r="K1201" s="147" t="inlineStr">
        <is>
          <t>K.9999</t>
        </is>
      </c>
      <c r="L1201" s="148" t="inlineStr">
        <is>
          <t>Tháo ván khuôn bệ mố</t>
        </is>
      </c>
      <c r="M1201" s="148" t="n"/>
      <c r="N1201" s="148" t="n"/>
      <c r="O1201" s="149" t="inlineStr">
        <is>
          <t>Cầu Km19+529.080</t>
        </is>
      </c>
      <c r="P1201" s="415">
        <f>S1197</f>
        <v/>
      </c>
      <c r="Q1201" s="415">
        <f>P1201+2</f>
        <v/>
      </c>
      <c r="R1201" s="415">
        <f>Q1201-1</f>
        <v/>
      </c>
      <c r="S1201" s="415">
        <f>Q1201</f>
        <v/>
      </c>
      <c r="T1201" s="416" t="n">
        <v>0.3541666666666667</v>
      </c>
      <c r="U1201" s="416">
        <f>+T1201+V1201</f>
        <v/>
      </c>
      <c r="V1201" s="416" t="n">
        <v>0.04166666666666666</v>
      </c>
      <c r="W1201" s="411">
        <f>TEXT(T1201,"HH""h""MM'")&amp;"÷"&amp;TEXT(U1201,"HH""h""MM'")</f>
        <v/>
      </c>
      <c r="X1201" s="417" t="n"/>
      <c r="Y1201" s="417" t="n"/>
      <c r="Z1201" s="417" t="inlineStr">
        <is>
          <t>11;</t>
        </is>
      </c>
      <c r="AA1201" s="452" t="inlineStr">
        <is>
          <t>Tháo ván khuôn Bệ trụ T1</t>
        </is>
      </c>
      <c r="AB1201" s="150" t="inlineStr">
        <is>
          <t>307HG/YCNT/BM/T1-4</t>
        </is>
      </c>
      <c r="AC1201" s="136" t="inlineStr">
        <is>
          <t>307HG/BBNT/BM/T1-9</t>
        </is>
      </c>
      <c r="AD1201" s="453" t="n"/>
      <c r="AE1201" s="453" t="n"/>
      <c r="AF1201" s="453" t="n"/>
      <c r="AG1201" s="453" t="n"/>
      <c r="AH1201" s="453" t="n"/>
      <c r="AI1201" s="454" t="n"/>
      <c r="AJ1201" s="454" t="n"/>
      <c r="AK1201" s="455" t="n"/>
      <c r="AL1201" s="456" t="n"/>
      <c r="AM1201" s="417" t="n"/>
      <c r="AN1201" s="417" t="n"/>
      <c r="AO1201" s="417" t="n"/>
      <c r="AP1201" s="151" t="n"/>
      <c r="AQ1201" s="151" t="n"/>
      <c r="AR1201" s="417" t="inlineStr">
        <is>
          <t>Nhóm 1</t>
        </is>
      </c>
      <c r="AS1201" s="417" t="n"/>
      <c r="AT1201" s="417" t="inlineStr">
        <is>
          <t>HM36</t>
        </is>
      </c>
      <c r="AU1201" s="417" t="inlineStr">
        <is>
          <t>NTCV</t>
        </is>
      </c>
      <c r="AV1201" s="417" t="n">
        <v>376</v>
      </c>
      <c r="AW1201" s="417" t="n">
        <v>8</v>
      </c>
      <c r="AX1201" s="417" t="n"/>
    </row>
    <row r="1202">
      <c r="A1202" s="413" t="inlineStr">
        <is>
          <t>BBK288</t>
        </is>
      </c>
      <c r="B1202" s="413" t="inlineStr">
        <is>
          <t>PL11.1</t>
        </is>
      </c>
      <c r="C1202" s="413" t="inlineStr">
        <is>
          <t>BBK288.0621668</t>
        </is>
      </c>
      <c r="D1202" s="414" t="n"/>
      <c r="E1202" s="414" t="n"/>
      <c r="F1202" s="414" t="n"/>
      <c r="G1202" s="414" t="n"/>
      <c r="H1202" s="414" t="n"/>
      <c r="J1202" s="108" t="inlineStr">
        <is>
          <t>30</t>
        </is>
      </c>
      <c r="K1202" s="108" t="inlineStr">
        <is>
          <t>PL11.1</t>
        </is>
      </c>
      <c r="L1202" s="109" t="inlineStr">
        <is>
          <t>Phụ lục số 11</t>
        </is>
      </c>
      <c r="M1202" s="109" t="n"/>
      <c r="N1202" s="109" t="n"/>
      <c r="O1202" s="110" t="inlineStr">
        <is>
          <t>Cầu Km19+529.080</t>
        </is>
      </c>
      <c r="P1202" s="401" t="n"/>
      <c r="Q1202" s="401" t="n"/>
      <c r="R1202" s="401" t="n"/>
      <c r="S1202" s="401">
        <f>S1201</f>
        <v/>
      </c>
      <c r="T1202" s="401" t="n"/>
      <c r="U1202" s="401" t="n"/>
      <c r="V1202" s="401" t="n"/>
      <c r="W1202" s="403" t="n"/>
      <c r="X1202" s="403" t="n"/>
      <c r="Y1202" s="403" t="n"/>
      <c r="Z1202" s="108" t="inlineStr">
        <is>
          <t>11</t>
        </is>
      </c>
      <c r="AA1202" s="113" t="n"/>
      <c r="AB1202" s="113" t="n"/>
      <c r="AC1202" s="113" t="inlineStr">
        <is>
          <t>307HG/BBNT/BM/T1-9</t>
        </is>
      </c>
      <c r="AD1202" s="113" t="n"/>
      <c r="AE1202" s="113" t="n"/>
      <c r="AF1202" s="113" t="n"/>
      <c r="AG1202" s="113" t="n"/>
      <c r="AH1202" s="114" t="inlineStr">
        <is>
          <t>BM-T1</t>
        </is>
      </c>
      <c r="AI1202" s="403" t="n"/>
      <c r="AJ1202" s="403" t="n"/>
      <c r="AK1202" s="404" t="n"/>
      <c r="AL1202" s="403" t="n"/>
      <c r="AM1202" s="403" t="n"/>
      <c r="AN1202" s="403" t="n"/>
      <c r="AO1202" s="403" t="n"/>
      <c r="AP1202" s="115" t="n"/>
      <c r="AQ1202" s="115" t="inlineStr">
        <is>
          <t>Ảnh\tháo vk Trụ T1,T2.png</t>
        </is>
      </c>
      <c r="AR1202" s="403" t="inlineStr">
        <is>
          <t>Nhóm 1</t>
        </is>
      </c>
      <c r="AS1202" s="403" t="n"/>
      <c r="AT1202" s="403" t="inlineStr">
        <is>
          <t>HM36</t>
        </is>
      </c>
      <c r="AU1202" s="403" t="inlineStr">
        <is>
          <t>PL11.1</t>
        </is>
      </c>
      <c r="AV1202" s="403" t="n">
        <v>1</v>
      </c>
      <c r="AW1202" s="403" t="n">
        <v>1</v>
      </c>
      <c r="AX1202" s="403" t="n"/>
    </row>
    <row r="1203">
      <c r="A1203" s="413" t="inlineStr">
        <is>
          <t>BBK680</t>
        </is>
      </c>
      <c r="B1203" s="413" t="inlineStr">
        <is>
          <t>PYC</t>
        </is>
      </c>
      <c r="C1203" s="413" t="inlineStr">
        <is>
          <t>BBK680.0890102</t>
        </is>
      </c>
      <c r="D1203" s="414" t="n"/>
      <c r="E1203" s="414" t="n"/>
      <c r="F1203" s="414" t="n"/>
      <c r="G1203" s="414" t="n"/>
      <c r="H1203" s="414" t="n"/>
      <c r="J1203" s="168" t="inlineStr">
        <is>
          <t>31</t>
        </is>
      </c>
      <c r="K1203" s="168" t="inlineStr">
        <is>
          <t>PYC</t>
        </is>
      </c>
      <c r="L1203" s="169" t="inlineStr">
        <is>
          <t>phiếu yêu cầu</t>
        </is>
      </c>
      <c r="M1203" s="169" t="n"/>
      <c r="N1203" s="169" t="n"/>
      <c r="O1203" s="170" t="inlineStr">
        <is>
          <t>Cầu Km19+529.080</t>
        </is>
      </c>
      <c r="P1203" s="405" t="n"/>
      <c r="Q1203" s="405" t="n"/>
      <c r="R1203" s="401">
        <f>R1204</f>
        <v/>
      </c>
      <c r="S1203" s="405">
        <f>R1203+1</f>
        <v/>
      </c>
      <c r="T1203" s="405" t="n"/>
      <c r="U1203" s="405" t="n"/>
      <c r="V1203" s="405" t="n"/>
      <c r="W1203" s="406" t="n"/>
      <c r="X1203" s="406" t="n"/>
      <c r="Y1203" s="406" t="n"/>
      <c r="Z1203" s="406" t="n"/>
      <c r="AA1203" s="173" t="n"/>
      <c r="AB1203" s="173" t="inlineStr">
        <is>
          <t>307HG/YCNT/BM/T1</t>
        </is>
      </c>
      <c r="AC1203" s="173" t="n"/>
      <c r="AD1203" s="173" t="n"/>
      <c r="AE1203" s="173" t="n"/>
      <c r="AF1203" s="173" t="n"/>
      <c r="AG1203" s="129" t="inlineStr">
        <is>
          <t>NTCV</t>
        </is>
      </c>
      <c r="AH1203" s="173" t="n">
        <v>9</v>
      </c>
      <c r="AI1203" s="406" t="n"/>
      <c r="AJ1203" s="406" t="n"/>
      <c r="AK1203" s="408" t="n"/>
      <c r="AL1203" s="406" t="n"/>
      <c r="AM1203" s="406" t="n"/>
      <c r="AN1203" s="406" t="n"/>
      <c r="AO1203" s="406" t="n"/>
      <c r="AP1203" s="174" t="n"/>
      <c r="AQ1203" s="174" t="n"/>
      <c r="AR1203" s="406" t="inlineStr">
        <is>
          <t>Nhóm 1</t>
        </is>
      </c>
      <c r="AS1203" s="406" t="n"/>
      <c r="AT1203" s="406" t="inlineStr">
        <is>
          <t>HM36</t>
        </is>
      </c>
      <c r="AU1203" s="406" t="inlineStr">
        <is>
          <t>PYC</t>
        </is>
      </c>
      <c r="AV1203" s="406" t="n">
        <v>50</v>
      </c>
      <c r="AW1203" s="406" t="n">
        <v>7</v>
      </c>
      <c r="AX1203" s="406" t="n"/>
    </row>
    <row r="1204">
      <c r="A1204" s="413" t="inlineStr">
        <is>
          <t>NTCV</t>
        </is>
      </c>
      <c r="B1204" s="413" t="inlineStr">
        <is>
          <t>K.9999</t>
        </is>
      </c>
      <c r="C1204" s="413" t="inlineStr">
        <is>
          <t>NTCV.0756859</t>
        </is>
      </c>
      <c r="D1204" s="414" t="n"/>
      <c r="E1204" s="414" t="n"/>
      <c r="F1204" s="414" t="n"/>
      <c r="G1204" s="414" t="n"/>
      <c r="H1204" s="414" t="n"/>
      <c r="J1204" s="161" t="inlineStr">
        <is>
          <t>32</t>
        </is>
      </c>
      <c r="K1204" s="161" t="inlineStr">
        <is>
          <t>K.9999</t>
        </is>
      </c>
      <c r="L1204" s="162" t="inlineStr">
        <is>
          <t>Đắp hoàn trả hố móng</t>
        </is>
      </c>
      <c r="M1204" s="162" t="n"/>
      <c r="N1204" s="162" t="n"/>
      <c r="O1204" s="163" t="inlineStr">
        <is>
          <t>Cầu Km19+529.080</t>
        </is>
      </c>
      <c r="P1204" s="409">
        <f>S1201</f>
        <v/>
      </c>
      <c r="Q1204" s="409">
        <f>P1204+5</f>
        <v/>
      </c>
      <c r="R1204" s="415">
        <f>Q1204-1</f>
        <v/>
      </c>
      <c r="S1204" s="415">
        <f>Q1204</f>
        <v/>
      </c>
      <c r="T1204" s="416" t="n">
        <v>0.3541666666666667</v>
      </c>
      <c r="U1204" s="416">
        <f>+T1204+V1204</f>
        <v/>
      </c>
      <c r="V1204" s="416" t="n">
        <v>0.04166666666666666</v>
      </c>
      <c r="W1204" s="411">
        <f>TEXT(T1204,"HH""h""MM'")&amp;"÷"&amp;TEXT(U1204,"HH""h""MM'")</f>
        <v/>
      </c>
      <c r="X1204" s="411" t="n"/>
      <c r="Y1204" s="411" t="n"/>
      <c r="Z1204" s="411" t="inlineStr">
        <is>
          <t>12;</t>
        </is>
      </c>
      <c r="AA1204" s="166" t="inlineStr">
        <is>
          <t>Đắp hoàn trả hố móng Bệ trụ T1</t>
        </is>
      </c>
      <c r="AB1204" s="150" t="inlineStr">
        <is>
          <t>307HG/YCNT/BM/T1-7</t>
        </is>
      </c>
      <c r="AC1204" s="166" t="inlineStr">
        <is>
          <t>307HG/BBNT/BM/T1-10</t>
        </is>
      </c>
      <c r="AD1204" s="166" t="n"/>
      <c r="AE1204" s="166" t="n"/>
      <c r="AF1204" s="166" t="n"/>
      <c r="AG1204" s="166" t="n"/>
      <c r="AH1204" s="166" t="n"/>
      <c r="AI1204" s="411" t="n"/>
      <c r="AJ1204" s="411" t="n"/>
      <c r="AK1204" s="412" t="n"/>
      <c r="AL1204" s="411" t="n"/>
      <c r="AM1204" s="411" t="n"/>
      <c r="AN1204" s="411" t="n"/>
      <c r="AO1204" s="411" t="n"/>
      <c r="AP1204" s="167" t="n"/>
      <c r="AQ1204" s="167" t="n"/>
      <c r="AR1204" s="411" t="inlineStr">
        <is>
          <t>Nhóm 1</t>
        </is>
      </c>
      <c r="AS1204" s="411" t="n"/>
      <c r="AT1204" s="411" t="inlineStr">
        <is>
          <t>HM36</t>
        </is>
      </c>
      <c r="AU1204" s="411" t="inlineStr">
        <is>
          <t>NTCV</t>
        </is>
      </c>
      <c r="AV1204" s="411" t="n">
        <v>388</v>
      </c>
      <c r="AW1204" s="411" t="n">
        <v>9</v>
      </c>
      <c r="AX1204" s="411" t="n"/>
    </row>
    <row r="1205">
      <c r="A1205" s="413" t="inlineStr">
        <is>
          <t>BBK366</t>
        </is>
      </c>
      <c r="B1205" s="413" t="inlineStr">
        <is>
          <t>PL12</t>
        </is>
      </c>
      <c r="C1205" s="413" t="inlineStr">
        <is>
          <t>BBK366.0327914</t>
        </is>
      </c>
      <c r="D1205" s="414" t="n"/>
      <c r="E1205" s="414" t="n"/>
      <c r="F1205" s="414" t="n"/>
      <c r="G1205" s="414" t="n"/>
      <c r="H1205" s="414" t="n"/>
      <c r="J1205" s="139" t="inlineStr">
        <is>
          <t>33</t>
        </is>
      </c>
      <c r="K1205" s="139" t="inlineStr">
        <is>
          <t>PL12</t>
        </is>
      </c>
      <c r="L1205" s="140" t="inlineStr">
        <is>
          <t>Phụ lục 12</t>
        </is>
      </c>
      <c r="M1205" s="140" t="n"/>
      <c r="N1205" s="140" t="n"/>
      <c r="O1205" s="141" t="inlineStr">
        <is>
          <t>Cầu Km19+529.080</t>
        </is>
      </c>
      <c r="P1205" s="382" t="n"/>
      <c r="Q1205" s="382" t="n"/>
      <c r="R1205" s="382" t="n"/>
      <c r="S1205" s="382">
        <f>S1204</f>
        <v/>
      </c>
      <c r="T1205" s="382" t="n"/>
      <c r="U1205" s="382" t="n"/>
      <c r="V1205" s="382" t="n"/>
      <c r="W1205" s="384" t="n"/>
      <c r="X1205" s="384" t="n"/>
      <c r="Y1205" s="384" t="n"/>
      <c r="Z1205" s="139" t="inlineStr">
        <is>
          <t>12</t>
        </is>
      </c>
      <c r="AA1205" s="144" t="n"/>
      <c r="AB1205" s="144" t="n"/>
      <c r="AC1205" s="144" t="inlineStr">
        <is>
          <t>307HG/BBNT/BM/T1-10</t>
        </is>
      </c>
      <c r="AD1205" s="144" t="n"/>
      <c r="AE1205" s="144" t="n"/>
      <c r="AF1205" s="144" t="n"/>
      <c r="AG1205" s="144" t="n"/>
      <c r="AH1205" s="145" t="inlineStr">
        <is>
          <t>BM-T1</t>
        </is>
      </c>
      <c r="AI1205" s="384" t="n"/>
      <c r="AJ1205" s="384" t="n"/>
      <c r="AK1205" s="386" t="n"/>
      <c r="AL1205" s="384" t="n"/>
      <c r="AM1205" s="384" t="n"/>
      <c r="AN1205" s="384" t="n"/>
      <c r="AO1205" s="384" t="n"/>
      <c r="AP1205" s="146" t="n"/>
      <c r="AQ1205" s="146" t="inlineStr">
        <is>
          <t>Ảnh\đắp bệ trụ T1.png</t>
        </is>
      </c>
      <c r="AR1205" s="384" t="inlineStr">
        <is>
          <t>Nhóm 1</t>
        </is>
      </c>
      <c r="AS1205" s="384" t="n"/>
      <c r="AT1205" s="384" t="inlineStr">
        <is>
          <t>HM36</t>
        </is>
      </c>
      <c r="AU1205" s="384" t="inlineStr">
        <is>
          <t>PL12</t>
        </is>
      </c>
      <c r="AV1205" s="384" t="n">
        <v>1</v>
      </c>
      <c r="AW1205" s="384" t="n">
        <v>1</v>
      </c>
      <c r="AX1205" s="384" t="n"/>
    </row>
    <row r="1206">
      <c r="A1206" s="56" t="inlineStr">
        <is>
          <t>HM</t>
        </is>
      </c>
      <c r="B1206" s="56" t="inlineStr">
        <is>
          <t>HM</t>
        </is>
      </c>
      <c r="C1206" s="56" t="inlineStr">
        <is>
          <t>HM.0538271</t>
        </is>
      </c>
      <c r="D1206" s="57" t="n"/>
      <c r="E1206" s="57" t="n"/>
      <c r="F1206" s="57" t="n"/>
      <c r="G1206" s="57" t="n"/>
      <c r="H1206" s="57" t="n"/>
      <c r="J1206" s="387" t="inlineStr">
        <is>
          <t>HM37</t>
        </is>
      </c>
      <c r="K1206" s="387" t="inlineStr">
        <is>
          <t>HM</t>
        </is>
      </c>
      <c r="L1206" s="388" t="inlineStr">
        <is>
          <t>Bệ trụ T2</t>
        </is>
      </c>
      <c r="M1206" s="388" t="n"/>
      <c r="N1206" s="388" t="n"/>
      <c r="O1206" s="389" t="n"/>
      <c r="P1206" s="390" t="n"/>
      <c r="Q1206" s="390" t="n"/>
      <c r="R1206" s="390" t="n"/>
      <c r="S1206" s="390" t="n"/>
      <c r="T1206" s="390" t="n"/>
      <c r="U1206" s="390" t="n"/>
      <c r="V1206" s="390" t="n"/>
      <c r="W1206" s="391" t="n"/>
      <c r="X1206" s="391" t="n"/>
      <c r="Y1206" s="391" t="n"/>
      <c r="Z1206" s="391" t="n"/>
      <c r="AA1206" s="392" t="n"/>
      <c r="AB1206" s="392" t="n"/>
      <c r="AC1206" s="392" t="n"/>
      <c r="AD1206" s="392" t="n"/>
      <c r="AE1206" s="392" t="n"/>
      <c r="AF1206" s="392" t="n"/>
      <c r="AG1206" s="392" t="n"/>
      <c r="AH1206" s="392" t="n"/>
      <c r="AI1206" s="391" t="n"/>
      <c r="AJ1206" s="391" t="n"/>
      <c r="AK1206" s="393" t="n"/>
      <c r="AL1206" s="391" t="n"/>
      <c r="AM1206" s="391" t="n"/>
      <c r="AN1206" s="391" t="n"/>
      <c r="AO1206" s="391" t="n"/>
      <c r="AP1206" s="394" t="n"/>
      <c r="AQ1206" s="394" t="n"/>
      <c r="AR1206" s="391" t="n"/>
      <c r="AS1206" s="391" t="n"/>
      <c r="AT1206" s="391" t="inlineStr">
        <is>
          <t>HM37</t>
        </is>
      </c>
      <c r="AU1206" s="391" t="inlineStr">
        <is>
          <t>HM</t>
        </is>
      </c>
      <c r="AV1206" s="391" t="n"/>
      <c r="AW1206" s="391" t="n"/>
      <c r="AX1206" s="391" t="n"/>
    </row>
    <row r="1207" ht="28" customFormat="1" customHeight="1" s="70">
      <c r="A1207" s="68" t="inlineStr">
        <is>
          <t>BBK_BIA</t>
        </is>
      </c>
      <c r="B1207" s="68" t="inlineStr">
        <is>
          <t>TRANGBIA</t>
        </is>
      </c>
      <c r="C1207" s="68" t="inlineStr">
        <is>
          <t>BBK_BIA.0824130</t>
        </is>
      </c>
      <c r="D1207" s="69" t="n"/>
      <c r="E1207" s="69" t="n"/>
      <c r="F1207" s="69" t="n"/>
      <c r="G1207" s="69" t="n"/>
      <c r="H1207" s="69" t="n"/>
      <c r="J1207" s="327" t="inlineStr">
        <is>
          <t>01</t>
        </is>
      </c>
      <c r="K1207" s="327" t="inlineStr">
        <is>
          <t>TRANGBIA</t>
        </is>
      </c>
      <c r="L1207" s="328">
        <f>L1206</f>
        <v/>
      </c>
      <c r="M1207" s="328" t="n"/>
      <c r="N1207" s="328" t="n"/>
      <c r="O1207" s="329" t="inlineStr">
        <is>
          <t>Cầu Km19+529.080</t>
        </is>
      </c>
      <c r="P1207" s="330" t="n"/>
      <c r="Q1207" s="330" t="n"/>
      <c r="R1207" s="330" t="n"/>
      <c r="S1207" s="330" t="n"/>
      <c r="T1207" s="330" t="n"/>
      <c r="U1207" s="330" t="n"/>
      <c r="V1207" s="330" t="n"/>
      <c r="W1207" s="331" t="n"/>
      <c r="X1207" s="331" t="n"/>
      <c r="Y1207" s="331" t="n"/>
      <c r="Z1207" s="331" t="n"/>
      <c r="AA1207" s="331" t="n"/>
      <c r="AB1207" s="331" t="n"/>
      <c r="AC1207" s="331" t="inlineStr"/>
      <c r="AD1207" s="331" t="n"/>
      <c r="AE1207" s="331" t="n"/>
      <c r="AF1207" s="331" t="n"/>
      <c r="AG1207" s="331" t="n"/>
      <c r="AH1207" s="331" t="n"/>
      <c r="AI1207" s="331" t="n"/>
      <c r="AJ1207" s="331" t="n"/>
      <c r="AK1207" s="329" t="n"/>
      <c r="AL1207" s="331" t="n"/>
      <c r="AM1207" s="331" t="n"/>
      <c r="AN1207" s="331" t="n"/>
      <c r="AO1207" s="331" t="n"/>
      <c r="AP1207" s="332">
        <f>L1207</f>
        <v/>
      </c>
      <c r="AQ1207" s="333" t="n"/>
      <c r="AR1207" s="331" t="inlineStr">
        <is>
          <t>Nhóm 1</t>
        </is>
      </c>
      <c r="AS1207" s="331" t="n"/>
      <c r="AT1207" s="331" t="inlineStr">
        <is>
          <t>HM37</t>
        </is>
      </c>
      <c r="AU1207" s="331" t="inlineStr">
        <is>
          <t>TRANGBIA</t>
        </is>
      </c>
      <c r="AV1207" s="331" t="n">
        <v>37</v>
      </c>
      <c r="AW1207" s="331" t="n">
        <v>1</v>
      </c>
      <c r="AX1207" s="331" t="n"/>
    </row>
    <row r="1208" customFormat="1" s="70">
      <c r="A1208" s="68" t="inlineStr">
        <is>
          <t>BBK_ML</t>
        </is>
      </c>
      <c r="B1208" s="68" t="inlineStr">
        <is>
          <t>MUCLUC</t>
        </is>
      </c>
      <c r="C1208" s="68" t="inlineStr">
        <is>
          <t>BBK_ML.0153261</t>
        </is>
      </c>
      <c r="D1208" s="69" t="n"/>
      <c r="E1208" s="69" t="n"/>
      <c r="F1208" s="69" t="n"/>
      <c r="G1208" s="69" t="n"/>
      <c r="H1208" s="69" t="n"/>
      <c r="J1208" s="395" t="inlineStr">
        <is>
          <t>02</t>
        </is>
      </c>
      <c r="K1208" s="395" t="inlineStr">
        <is>
          <t>MUCLUC</t>
        </is>
      </c>
      <c r="L1208" s="396" t="inlineStr">
        <is>
          <t>Danh mục biên bản Kiểm tra/Nghiệm thu</t>
        </is>
      </c>
      <c r="M1208" s="396" t="n"/>
      <c r="N1208" s="396" t="n"/>
      <c r="O1208" s="397" t="inlineStr">
        <is>
          <t>Cầu Km19+529.080</t>
        </is>
      </c>
      <c r="P1208" s="398" t="n"/>
      <c r="Q1208" s="398" t="n"/>
      <c r="R1208" s="398" t="n"/>
      <c r="S1208" s="398" t="n"/>
      <c r="T1208" s="398" t="n"/>
      <c r="U1208" s="398" t="n"/>
      <c r="V1208" s="398" t="n"/>
      <c r="W1208" s="399" t="n"/>
      <c r="X1208" s="399" t="n"/>
      <c r="Y1208" s="399" t="n"/>
      <c r="Z1208" s="399" t="n"/>
      <c r="AA1208" s="399" t="n"/>
      <c r="AB1208" s="399" t="n"/>
      <c r="AC1208" s="399" t="inlineStr"/>
      <c r="AD1208" s="399" t="n"/>
      <c r="AE1208" s="399" t="n"/>
      <c r="AF1208" s="399" t="n"/>
      <c r="AG1208" s="399" t="n"/>
      <c r="AH1208" s="399" t="n"/>
      <c r="AI1208" s="399" t="n"/>
      <c r="AJ1208" s="399" t="n"/>
      <c r="AK1208" s="397" t="n"/>
      <c r="AL1208" s="399" t="n"/>
      <c r="AM1208" s="399" t="n"/>
      <c r="AN1208" s="399" t="n"/>
      <c r="AO1208" s="399" t="n"/>
      <c r="AP1208" s="400" t="n"/>
      <c r="AQ1208" s="400" t="n"/>
      <c r="AR1208" s="399" t="inlineStr">
        <is>
          <t>Nhóm 1</t>
        </is>
      </c>
      <c r="AS1208" s="399" t="n"/>
      <c r="AT1208" s="399" t="inlineStr">
        <is>
          <t>HM37</t>
        </is>
      </c>
      <c r="AU1208" s="399" t="inlineStr">
        <is>
          <t>MUCLUC</t>
        </is>
      </c>
      <c r="AV1208" s="399" t="n">
        <v>37</v>
      </c>
      <c r="AW1208" s="399" t="n">
        <v>1</v>
      </c>
      <c r="AX1208" s="399" t="n"/>
    </row>
    <row r="1209">
      <c r="A1209" s="56" t="inlineStr">
        <is>
          <t>BBK680</t>
        </is>
      </c>
      <c r="B1209" s="56" t="inlineStr">
        <is>
          <t>PYC</t>
        </is>
      </c>
      <c r="C1209" s="56" t="inlineStr">
        <is>
          <t>BBK680.0793247</t>
        </is>
      </c>
      <c r="D1209" s="57" t="n"/>
      <c r="E1209" s="57" t="n"/>
      <c r="F1209" s="57" t="n"/>
      <c r="G1209" s="57" t="n"/>
      <c r="H1209" s="57" t="n"/>
      <c r="J1209" s="108" t="inlineStr">
        <is>
          <t>03</t>
        </is>
      </c>
      <c r="K1209" s="108" t="inlineStr">
        <is>
          <t>PYC</t>
        </is>
      </c>
      <c r="L1209" s="109" t="inlineStr">
        <is>
          <t>phiếu yêu cầu</t>
        </is>
      </c>
      <c r="M1209" s="109" t="n"/>
      <c r="N1209" s="109" t="n"/>
      <c r="O1209" s="110" t="inlineStr">
        <is>
          <t>Cầu Km19+529.080</t>
        </is>
      </c>
      <c r="P1209" s="401" t="n"/>
      <c r="Q1209" s="401" t="n"/>
      <c r="R1209" s="401">
        <f>R1210</f>
        <v/>
      </c>
      <c r="S1209" s="401">
        <f>+R1209+1</f>
        <v/>
      </c>
      <c r="T1209" s="402">
        <f>T1210</f>
        <v/>
      </c>
      <c r="U1209" s="402">
        <f>U1210</f>
        <v/>
      </c>
      <c r="V1209" s="402">
        <f>V2735</f>
        <v/>
      </c>
      <c r="W1209" s="402">
        <f>W1210</f>
        <v/>
      </c>
      <c r="X1209" s="403" t="n"/>
      <c r="Y1209" s="403" t="n"/>
      <c r="Z1209" s="403" t="n"/>
      <c r="AA1209" s="113" t="n"/>
      <c r="AB1209" s="113" t="inlineStr">
        <is>
          <t>307HG/YCNT/BM/T2</t>
        </is>
      </c>
      <c r="AC1209" s="113" t="n"/>
      <c r="AD1209" s="113" t="n"/>
      <c r="AE1209" s="113" t="n"/>
      <c r="AF1209" s="113" t="n"/>
      <c r="AG1209" s="113" t="inlineStr">
        <is>
          <t>BBKTĐK;NTCV</t>
        </is>
      </c>
      <c r="AH1209" s="113" t="n">
        <v>1</v>
      </c>
      <c r="AI1209" s="403" t="n"/>
      <c r="AJ1209" s="403" t="n"/>
      <c r="AK1209" s="404" t="n"/>
      <c r="AL1209" s="403" t="n"/>
      <c r="AM1209" s="403" t="n"/>
      <c r="AN1209" s="403" t="n"/>
      <c r="AO1209" s="403" t="n"/>
      <c r="AP1209" s="115" t="n"/>
      <c r="AQ1209" s="115" t="n"/>
      <c r="AR1209" s="403" t="inlineStr">
        <is>
          <t>Nhóm 1</t>
        </is>
      </c>
      <c r="AS1209" s="403" t="n"/>
      <c r="AT1209" s="403" t="inlineStr">
        <is>
          <t>HM37</t>
        </is>
      </c>
      <c r="AU1209" s="403" t="inlineStr">
        <is>
          <t>PYC</t>
        </is>
      </c>
      <c r="AV1209" s="403" t="n">
        <v>30</v>
      </c>
      <c r="AW1209" s="403" t="n">
        <v>1</v>
      </c>
      <c r="AX1209" s="403" t="n"/>
    </row>
    <row r="1210" ht="28" customHeight="1" s="672">
      <c r="A1210" s="56" t="inlineStr">
        <is>
          <t>BBK884</t>
        </is>
      </c>
      <c r="B1210" s="56" t="inlineStr">
        <is>
          <t>BBKTĐK</t>
        </is>
      </c>
      <c r="C1210" s="56" t="inlineStr">
        <is>
          <t>BBK884.0428649</t>
        </is>
      </c>
      <c r="D1210" s="57" t="n"/>
      <c r="E1210" s="57" t="n"/>
      <c r="F1210" s="57" t="n"/>
      <c r="G1210" s="57" t="n"/>
      <c r="H1210" s="57" t="n"/>
      <c r="J1210" s="139" t="inlineStr">
        <is>
          <t>04</t>
        </is>
      </c>
      <c r="K1210" s="139" t="inlineStr">
        <is>
          <t>BBKTĐK</t>
        </is>
      </c>
      <c r="L1210" s="140" t="inlineStr">
        <is>
          <t xml:space="preserve"> Kiểm tra điều kiện trước khi thi công bệ mố: Thiết bị, nhân lực, vật tư</t>
        </is>
      </c>
      <c r="M1210" s="140" t="n"/>
      <c r="N1210" s="140" t="n"/>
      <c r="O1210" s="141" t="inlineStr">
        <is>
          <t>Cầu Km19+529.080</t>
        </is>
      </c>
      <c r="P1210" s="382">
        <f>S1095+2</f>
        <v/>
      </c>
      <c r="Q1210" s="382">
        <f>P1210</f>
        <v/>
      </c>
      <c r="R1210" s="382">
        <f>Q1210-1</f>
        <v/>
      </c>
      <c r="S1210" s="382">
        <f>Q1210</f>
        <v/>
      </c>
      <c r="T1210" s="383" t="n">
        <v>0.3541666666666667</v>
      </c>
      <c r="U1210" s="383">
        <f>T1210+V2735</f>
        <v/>
      </c>
      <c r="V1210" s="383" t="n">
        <v>0.0625</v>
      </c>
      <c r="W1210" s="384">
        <f>TEXT(T1210,"HH""h""MM'")&amp;"÷"&amp;TEXT(U1210,"HH""h""MM'")</f>
        <v/>
      </c>
      <c r="X1210" s="384" t="n"/>
      <c r="Y1210" s="384" t="n"/>
      <c r="Z1210" s="384" t="inlineStr">
        <is>
          <t>01;</t>
        </is>
      </c>
      <c r="AA1210" s="144" t="inlineStr">
        <is>
          <t>Kiểm tra điều kiện trước khi thi công Bệ trụ T2</t>
        </is>
      </c>
      <c r="AB1210" s="144" t="inlineStr">
        <is>
          <t>307HG/YCNT/BM/T2-1</t>
        </is>
      </c>
      <c r="AC1210" s="144" t="inlineStr">
        <is>
          <t>307HG/BBNT/BM/T2-1</t>
        </is>
      </c>
      <c r="AD1210" s="144" t="n"/>
      <c r="AE1210" s="144" t="n"/>
      <c r="AF1210" s="144" t="n"/>
      <c r="AG1210" s="144" t="n"/>
      <c r="AH1210" s="144" t="n"/>
      <c r="AI1210" s="384" t="n"/>
      <c r="AJ1210" s="384" t="n"/>
      <c r="AK1210" s="386" t="n"/>
      <c r="AL1210" s="384" t="n"/>
      <c r="AM1210" s="384" t="n"/>
      <c r="AN1210" s="384" t="n"/>
      <c r="AO1210" s="384" t="n"/>
      <c r="AP1210" s="146" t="n"/>
      <c r="AQ1210" s="146" t="n"/>
      <c r="AR1210" s="384" t="inlineStr">
        <is>
          <t>Nhóm 1</t>
        </is>
      </c>
      <c r="AS1210" s="384" t="n"/>
      <c r="AT1210" s="384" t="inlineStr">
        <is>
          <t>HM37</t>
        </is>
      </c>
      <c r="AU1210" s="384" t="inlineStr">
        <is>
          <t>BBKTĐK</t>
        </is>
      </c>
      <c r="AV1210" s="384" t="n">
        <v>25</v>
      </c>
      <c r="AW1210" s="384" t="n">
        <v>1</v>
      </c>
      <c r="AX1210" s="384" t="n"/>
    </row>
    <row r="1211">
      <c r="A1211" s="56" t="inlineStr">
        <is>
          <t>BBK860</t>
        </is>
      </c>
      <c r="B1211" s="56" t="inlineStr">
        <is>
          <t>PL01</t>
        </is>
      </c>
      <c r="C1211" s="56" t="inlineStr">
        <is>
          <t>BBK860.0543867</t>
        </is>
      </c>
      <c r="D1211" s="57" t="n"/>
      <c r="E1211" s="57" t="n"/>
      <c r="F1211" s="57" t="n"/>
      <c r="G1211" s="57" t="n"/>
      <c r="H1211" s="57" t="n"/>
      <c r="J1211" s="168" t="inlineStr">
        <is>
          <t>05</t>
        </is>
      </c>
      <c r="K1211" s="168" t="inlineStr">
        <is>
          <t>PL01</t>
        </is>
      </c>
      <c r="L1211" s="169" t="inlineStr">
        <is>
          <t>Phụ lục số 01</t>
        </is>
      </c>
      <c r="M1211" s="169" t="n"/>
      <c r="N1211" s="169" t="n"/>
      <c r="O1211" s="170" t="inlineStr">
        <is>
          <t>Cầu Km19+529.080</t>
        </is>
      </c>
      <c r="P1211" s="405" t="n"/>
      <c r="Q1211" s="405" t="n"/>
      <c r="R1211" s="405" t="n"/>
      <c r="S1211" s="405">
        <f>S1210</f>
        <v/>
      </c>
      <c r="T1211" s="405" t="n"/>
      <c r="U1211" s="405" t="n"/>
      <c r="V1211" s="405" t="n"/>
      <c r="W1211" s="406" t="n"/>
      <c r="X1211" s="406" t="n"/>
      <c r="Y1211" s="406" t="n"/>
      <c r="Z1211" s="168" t="inlineStr">
        <is>
          <t>01</t>
        </is>
      </c>
      <c r="AA1211" s="173" t="n"/>
      <c r="AB1211" s="173" t="n"/>
      <c r="AC1211" s="173" t="inlineStr">
        <is>
          <t>307HG/BBNT/BM/T2-1</t>
        </is>
      </c>
      <c r="AD1211" s="173" t="n"/>
      <c r="AE1211" s="173" t="n"/>
      <c r="AF1211" s="173" t="n"/>
      <c r="AG1211" s="173" t="n"/>
      <c r="AH1211" s="173" t="inlineStr">
        <is>
          <t>MT</t>
        </is>
      </c>
      <c r="AI1211" s="406" t="n"/>
      <c r="AJ1211" s="406" t="n"/>
      <c r="AK1211" s="408" t="n"/>
      <c r="AL1211" s="406" t="n"/>
      <c r="AM1211" s="406" t="n"/>
      <c r="AN1211" s="406" t="n"/>
      <c r="AO1211" s="406" t="n"/>
      <c r="AP1211" s="174" t="n"/>
      <c r="AQ1211" s="174" t="n"/>
      <c r="AR1211" s="406" t="inlineStr">
        <is>
          <t>Nhóm 1</t>
        </is>
      </c>
      <c r="AS1211" s="406" t="n"/>
      <c r="AT1211" s="406" t="inlineStr">
        <is>
          <t>HM37</t>
        </is>
      </c>
      <c r="AU1211" s="406" t="inlineStr">
        <is>
          <t>PL01</t>
        </is>
      </c>
      <c r="AV1211" s="406" t="n">
        <v>27</v>
      </c>
      <c r="AW1211" s="406" t="n">
        <v>1</v>
      </c>
      <c r="AX1211" s="406" t="n"/>
    </row>
    <row r="1212" ht="28" customHeight="1" s="672">
      <c r="A1212" s="56" t="inlineStr">
        <is>
          <t>NTCV</t>
        </is>
      </c>
      <c r="B1212" s="56" t="inlineStr">
        <is>
          <t>K.9999</t>
        </is>
      </c>
      <c r="C1212" s="56" t="inlineStr">
        <is>
          <t>NTCV.0071442</t>
        </is>
      </c>
      <c r="D1212" s="57" t="n"/>
      <c r="E1212" s="57" t="n"/>
      <c r="F1212" s="57" t="n"/>
      <c r="G1212" s="57" t="n"/>
      <c r="H1212" s="57" t="n"/>
      <c r="J1212" s="161" t="inlineStr">
        <is>
          <t>06</t>
        </is>
      </c>
      <c r="K1212" s="161" t="inlineStr">
        <is>
          <t>K.9999</t>
        </is>
      </c>
      <c r="L1212" s="162" t="inlineStr">
        <is>
          <t>Định vị hố móng và đào đất hố móng đến cao độ thiết kế</t>
        </is>
      </c>
      <c r="M1212" s="162" t="n"/>
      <c r="N1212" s="162" t="n"/>
      <c r="O1212" s="163" t="inlineStr">
        <is>
          <t>Cầu Km19+529.080</t>
        </is>
      </c>
      <c r="P1212" s="409">
        <f>S1210+1</f>
        <v/>
      </c>
      <c r="Q1212" s="409">
        <f>P1212</f>
        <v/>
      </c>
      <c r="R1212" s="409">
        <f>Q1212-2</f>
        <v/>
      </c>
      <c r="S1212" s="409">
        <f>Q1212</f>
        <v/>
      </c>
      <c r="T1212" s="410" t="n">
        <v>0.375</v>
      </c>
      <c r="U1212" s="410">
        <f>+T1212+V2737</f>
        <v/>
      </c>
      <c r="V1212" s="410" t="n">
        <v>0.02083333333333333</v>
      </c>
      <c r="W1212" s="411">
        <f>TEXT(T1212,"HH""h""MM'")&amp;"÷"&amp;TEXT(U1212,"HH""h""MM'")</f>
        <v/>
      </c>
      <c r="X1212" s="411" t="n"/>
      <c r="Y1212" s="411" t="n"/>
      <c r="Z1212" s="411" t="inlineStr">
        <is>
          <t>02;</t>
        </is>
      </c>
      <c r="AA1212" s="166" t="inlineStr">
        <is>
          <t>Kiểm tra định vị hố móng, đào đất hố móng đến cao độ thiết kế Bệ trụ T2</t>
        </is>
      </c>
      <c r="AB1212" s="166" t="inlineStr">
        <is>
          <t>307HG/YCNT/BM/T2-1</t>
        </is>
      </c>
      <c r="AC1212" s="166" t="inlineStr">
        <is>
          <t>307HG/BBNT/BM/T2-2</t>
        </is>
      </c>
      <c r="AD1212" s="166" t="n"/>
      <c r="AE1212" s="166" t="n"/>
      <c r="AF1212" s="166" t="n"/>
      <c r="AG1212" s="166" t="n"/>
      <c r="AH1212" s="166" t="n"/>
      <c r="AI1212" s="411" t="n"/>
      <c r="AJ1212" s="411" t="n"/>
      <c r="AK1212" s="412" t="n"/>
      <c r="AL1212" s="411" t="n"/>
      <c r="AM1212" s="411" t="n"/>
      <c r="AN1212" s="411" t="n"/>
      <c r="AO1212" s="411" t="n"/>
      <c r="AP1212" s="167" t="n"/>
      <c r="AQ1212" s="167" t="n"/>
      <c r="AR1212" s="411" t="inlineStr">
        <is>
          <t>Nhóm 1</t>
        </is>
      </c>
      <c r="AS1212" s="411" t="n"/>
      <c r="AT1212" s="411" t="inlineStr">
        <is>
          <t>HM37</t>
        </is>
      </c>
      <c r="AU1212" s="411" t="inlineStr">
        <is>
          <t>NTCV</t>
        </is>
      </c>
      <c r="AV1212" s="411" t="n">
        <v>322</v>
      </c>
      <c r="AW1212" s="411" t="n">
        <v>1</v>
      </c>
      <c r="AX1212" s="411" t="n"/>
    </row>
    <row r="1213">
      <c r="A1213" s="56" t="inlineStr">
        <is>
          <t>BBK170</t>
        </is>
      </c>
      <c r="B1213" s="56" t="inlineStr">
        <is>
          <t>PL02</t>
        </is>
      </c>
      <c r="C1213" s="56" t="inlineStr">
        <is>
          <t>BBK170.0056527</t>
        </is>
      </c>
      <c r="D1213" s="57" t="n"/>
      <c r="E1213" s="57" t="n"/>
      <c r="F1213" s="57" t="n"/>
      <c r="G1213" s="57" t="n"/>
      <c r="H1213" s="57" t="n"/>
      <c r="J1213" s="139" t="inlineStr">
        <is>
          <t>07</t>
        </is>
      </c>
      <c r="K1213" s="139" t="inlineStr">
        <is>
          <t>PL02</t>
        </is>
      </c>
      <c r="L1213" s="140" t="inlineStr">
        <is>
          <t>Phụ lục số 02</t>
        </is>
      </c>
      <c r="M1213" s="140" t="n"/>
      <c r="N1213" s="140" t="n"/>
      <c r="O1213" s="141" t="inlineStr">
        <is>
          <t>Cầu Km19+529.080</t>
        </is>
      </c>
      <c r="P1213" s="382" t="n"/>
      <c r="Q1213" s="382" t="n"/>
      <c r="R1213" s="382" t="n"/>
      <c r="S1213" s="382">
        <f>S1212</f>
        <v/>
      </c>
      <c r="T1213" s="382" t="n"/>
      <c r="U1213" s="382" t="n"/>
      <c r="V1213" s="382" t="n"/>
      <c r="W1213" s="384" t="n"/>
      <c r="X1213" s="384" t="n"/>
      <c r="Y1213" s="384" t="n"/>
      <c r="Z1213" s="139" t="inlineStr">
        <is>
          <t>02</t>
        </is>
      </c>
      <c r="AA1213" s="144" t="n"/>
      <c r="AB1213" s="144" t="n"/>
      <c r="AC1213" s="144" t="inlineStr">
        <is>
          <t>307HG/BBNT/BM/T2-2</t>
        </is>
      </c>
      <c r="AD1213" s="144" t="n"/>
      <c r="AE1213" s="144" t="n"/>
      <c r="AF1213" s="144" t="n"/>
      <c r="AG1213" s="144" t="n"/>
      <c r="AH1213" s="144" t="inlineStr">
        <is>
          <t>T2</t>
        </is>
      </c>
      <c r="AI1213" s="384" t="n"/>
      <c r="AJ1213" s="384" t="n"/>
      <c r="AK1213" s="386" t="n"/>
      <c r="AL1213" s="384" t="n"/>
      <c r="AM1213" s="384" t="n"/>
      <c r="AN1213" s="384" t="n"/>
      <c r="AO1213" s="384" t="n"/>
      <c r="AP1213" s="146" t="n"/>
      <c r="AQ1213" s="146" t="inlineStr">
        <is>
          <t>Ảnh\Trụ T1,T2.png</t>
        </is>
      </c>
      <c r="AR1213" s="384" t="inlineStr">
        <is>
          <t>Nhóm 1</t>
        </is>
      </c>
      <c r="AS1213" s="384" t="n"/>
      <c r="AT1213" s="384" t="inlineStr">
        <is>
          <t>HM37</t>
        </is>
      </c>
      <c r="AU1213" s="384" t="inlineStr">
        <is>
          <t>PL02</t>
        </is>
      </c>
      <c r="AV1213" s="384" t="n">
        <v>26</v>
      </c>
      <c r="AW1213" s="384" t="n">
        <v>1</v>
      </c>
      <c r="AX1213" s="384" t="n"/>
    </row>
    <row r="1214">
      <c r="A1214" s="56" t="inlineStr">
        <is>
          <t>BBK680</t>
        </is>
      </c>
      <c r="B1214" s="56" t="inlineStr">
        <is>
          <t>PYC</t>
        </is>
      </c>
      <c r="C1214" s="56" t="inlineStr">
        <is>
          <t>BBK680.0835341</t>
        </is>
      </c>
      <c r="D1214" s="57" t="n"/>
      <c r="E1214" s="57" t="n"/>
      <c r="F1214" s="57" t="n"/>
      <c r="G1214" s="57" t="n"/>
      <c r="H1214" s="57" t="n"/>
      <c r="J1214" s="168" t="inlineStr">
        <is>
          <t>08</t>
        </is>
      </c>
      <c r="K1214" s="168" t="inlineStr">
        <is>
          <t>PYC</t>
        </is>
      </c>
      <c r="L1214" s="169" t="inlineStr">
        <is>
          <t>phiếu yêu cầu</t>
        </is>
      </c>
      <c r="M1214" s="169" t="n"/>
      <c r="N1214" s="169" t="n"/>
      <c r="O1214" s="170" t="inlineStr">
        <is>
          <t>Cầu Km19+529.080</t>
        </is>
      </c>
      <c r="P1214" s="405" t="n"/>
      <c r="Q1214" s="405" t="n"/>
      <c r="R1214" s="401">
        <f>R1215</f>
        <v/>
      </c>
      <c r="S1214" s="405">
        <f>+R1214+1</f>
        <v/>
      </c>
      <c r="T1214" s="402">
        <f>T1215</f>
        <v/>
      </c>
      <c r="U1214" s="402">
        <f>U1215</f>
        <v/>
      </c>
      <c r="V1214" s="402">
        <f>V2740</f>
        <v/>
      </c>
      <c r="W1214" s="402">
        <f>W1215</f>
        <v/>
      </c>
      <c r="X1214" s="406" t="n"/>
      <c r="Y1214" s="406" t="n"/>
      <c r="Z1214" s="406" t="n"/>
      <c r="AA1214" s="173" t="n"/>
      <c r="AB1214" s="173" t="inlineStr">
        <is>
          <t>307HG/YCNT/BM/T2</t>
        </is>
      </c>
      <c r="AC1214" s="173" t="n"/>
      <c r="AD1214" s="173" t="n"/>
      <c r="AE1214" s="173" t="n"/>
      <c r="AF1214" s="173" t="n"/>
      <c r="AG1214" s="129" t="inlineStr">
        <is>
          <t>NTCV</t>
        </is>
      </c>
      <c r="AH1214" s="173" t="inlineStr">
        <is>
          <t>2;3</t>
        </is>
      </c>
      <c r="AI1214" s="406" t="n"/>
      <c r="AJ1214" s="406" t="n"/>
      <c r="AK1214" s="408" t="n"/>
      <c r="AL1214" s="406" t="n"/>
      <c r="AM1214" s="406" t="n"/>
      <c r="AN1214" s="406" t="n"/>
      <c r="AO1214" s="406" t="n"/>
      <c r="AP1214" s="174" t="n"/>
      <c r="AQ1214" s="174" t="n"/>
      <c r="AR1214" s="406" t="inlineStr">
        <is>
          <t>Nhóm 1</t>
        </is>
      </c>
      <c r="AS1214" s="406" t="n"/>
      <c r="AT1214" s="406" t="inlineStr">
        <is>
          <t>HM37</t>
        </is>
      </c>
      <c r="AU1214" s="406" t="inlineStr">
        <is>
          <t>PYC</t>
        </is>
      </c>
      <c r="AV1214" s="406" t="n">
        <v>32</v>
      </c>
      <c r="AW1214" s="406" t="n">
        <v>2</v>
      </c>
      <c r="AX1214" s="406" t="n"/>
    </row>
    <row r="1215" ht="28" customHeight="1" s="672">
      <c r="A1215" s="413" t="inlineStr">
        <is>
          <t>NTCV</t>
        </is>
      </c>
      <c r="B1215" s="413" t="inlineStr">
        <is>
          <t>K.9999</t>
        </is>
      </c>
      <c r="C1215" s="413" t="inlineStr">
        <is>
          <t>NTCV.0984189</t>
        </is>
      </c>
      <c r="D1215" s="414" t="n"/>
      <c r="E1215" s="414" t="n"/>
      <c r="F1215" s="414" t="n"/>
      <c r="G1215" s="414" t="n"/>
      <c r="H1215" s="414" t="n"/>
      <c r="J1215" s="147" t="inlineStr">
        <is>
          <t>09</t>
        </is>
      </c>
      <c r="K1215" s="147" t="inlineStr">
        <is>
          <t>K.9999</t>
        </is>
      </c>
      <c r="L1215" s="148" t="inlineStr">
        <is>
          <t>Công tác chuẩn bị đổ bê tông lót bệ</t>
        </is>
      </c>
      <c r="M1215" s="148" t="n"/>
      <c r="N1215" s="148" t="n"/>
      <c r="O1215" s="149" t="inlineStr">
        <is>
          <t>Cầu Km19+529.080</t>
        </is>
      </c>
      <c r="P1215" s="415">
        <f>+S1212+1</f>
        <v/>
      </c>
      <c r="Q1215" s="415">
        <f>+P1215</f>
        <v/>
      </c>
      <c r="R1215" s="415">
        <f>+Q1215-1</f>
        <v/>
      </c>
      <c r="S1215" s="415">
        <f>+Q1215</f>
        <v/>
      </c>
      <c r="T1215" s="416" t="n">
        <v>0.375</v>
      </c>
      <c r="U1215" s="416">
        <f>+T1215+V2740</f>
        <v/>
      </c>
      <c r="V1215" s="416" t="n">
        <v>0.04166666666666666</v>
      </c>
      <c r="W1215" s="411">
        <f>TEXT(T1215,"HH""h""MM'")&amp;"÷"&amp;TEXT(U1215,"HH""h""MM'")</f>
        <v/>
      </c>
      <c r="X1215" s="417" t="n"/>
      <c r="Y1215" s="417" t="n"/>
      <c r="Z1215" s="417" t="inlineStr">
        <is>
          <t>05;</t>
        </is>
      </c>
      <c r="AA1215" s="150" t="inlineStr">
        <is>
          <t>Kiểm tra công tác chuẩn bị đổ bê tông lót Bệ trụ T2</t>
        </is>
      </c>
      <c r="AB1215" s="150" t="inlineStr">
        <is>
          <t>307HG/YCNT/BM/T2-2</t>
        </is>
      </c>
      <c r="AC1215" s="150" t="inlineStr">
        <is>
          <t>307HG/BBNT/BM/T2-3</t>
        </is>
      </c>
      <c r="AD1215" s="150" t="n"/>
      <c r="AE1215" s="150" t="n"/>
      <c r="AF1215" s="150" t="n"/>
      <c r="AG1215" s="150" t="n"/>
      <c r="AH1215" s="150" t="n"/>
      <c r="AI1215" s="417" t="n"/>
      <c r="AJ1215" s="417" t="n"/>
      <c r="AK1215" s="418" t="n"/>
      <c r="AL1215" s="417" t="n"/>
      <c r="AM1215" s="417" t="n"/>
      <c r="AN1215" s="417" t="n"/>
      <c r="AO1215" s="417" t="n"/>
      <c r="AP1215" s="151" t="n"/>
      <c r="AQ1215" s="151" t="n"/>
      <c r="AR1215" s="417" t="inlineStr">
        <is>
          <t>Nhóm 1</t>
        </is>
      </c>
      <c r="AS1215" s="417" t="n"/>
      <c r="AT1215" s="417" t="inlineStr">
        <is>
          <t>HM37</t>
        </is>
      </c>
      <c r="AU1215" s="417" t="inlineStr">
        <is>
          <t>NTCV</t>
        </is>
      </c>
      <c r="AV1215" s="417" t="n">
        <v>335</v>
      </c>
      <c r="AW1215" s="417" t="n">
        <v>2</v>
      </c>
      <c r="AX1215" s="417" t="n"/>
    </row>
    <row r="1216">
      <c r="A1216" s="413" t="inlineStr">
        <is>
          <t>BBK229</t>
        </is>
      </c>
      <c r="B1216" s="413" t="inlineStr">
        <is>
          <t>PL05.1</t>
        </is>
      </c>
      <c r="C1216" s="413" t="inlineStr">
        <is>
          <t>BBK229.0019274</t>
        </is>
      </c>
      <c r="D1216" s="414" t="n"/>
      <c r="E1216" s="414" t="n"/>
      <c r="F1216" s="414" t="n"/>
      <c r="G1216" s="414" t="n"/>
      <c r="H1216" s="414" t="n"/>
      <c r="J1216" s="108" t="inlineStr">
        <is>
          <t>10</t>
        </is>
      </c>
      <c r="K1216" s="108" t="inlineStr">
        <is>
          <t>PL05.1</t>
        </is>
      </c>
      <c r="L1216" s="109">
        <f>L1215</f>
        <v/>
      </c>
      <c r="M1216" s="109" t="n"/>
      <c r="N1216" s="109" t="n"/>
      <c r="O1216" s="110" t="inlineStr">
        <is>
          <t>Cầu Km19+529.080</t>
        </is>
      </c>
      <c r="P1216" s="401" t="n"/>
      <c r="Q1216" s="401" t="n"/>
      <c r="R1216" s="401" t="n"/>
      <c r="S1216" s="401">
        <f>S1215</f>
        <v/>
      </c>
      <c r="T1216" s="401" t="n"/>
      <c r="U1216" s="401" t="n"/>
      <c r="V1216" s="401" t="n"/>
      <c r="W1216" s="403" t="n"/>
      <c r="X1216" s="403" t="n"/>
      <c r="Y1216" s="403" t="n"/>
      <c r="Z1216" s="108" t="inlineStr">
        <is>
          <t>05</t>
        </is>
      </c>
      <c r="AA1216" s="113" t="n"/>
      <c r="AB1216" s="113" t="n"/>
      <c r="AC1216" s="113" t="inlineStr">
        <is>
          <t>307HG/BBNT/BM/T2-3</t>
        </is>
      </c>
      <c r="AD1216" s="113" t="n"/>
      <c r="AE1216" s="113" t="n"/>
      <c r="AF1216" s="113" t="n"/>
      <c r="AG1216" s="113" t="n"/>
      <c r="AH1216" s="113" t="inlineStr">
        <is>
          <t>C10</t>
        </is>
      </c>
      <c r="AI1216" s="403" t="n"/>
      <c r="AJ1216" s="403" t="n"/>
      <c r="AK1216" s="404" t="n"/>
      <c r="AL1216" s="403" t="n"/>
      <c r="AM1216" s="403" t="n"/>
      <c r="AN1216" s="403" t="n"/>
      <c r="AO1216" s="403" t="n"/>
      <c r="AP1216" s="115" t="n"/>
      <c r="AQ1216" s="115" t="n"/>
      <c r="AR1216" s="403" t="inlineStr">
        <is>
          <t>Nhóm 1</t>
        </is>
      </c>
      <c r="AS1216" s="403" t="n"/>
      <c r="AT1216" s="403" t="inlineStr">
        <is>
          <t>HM37</t>
        </is>
      </c>
      <c r="AU1216" s="403" t="inlineStr">
        <is>
          <t>PL05.1</t>
        </is>
      </c>
      <c r="AV1216" s="403" t="n">
        <v>2</v>
      </c>
      <c r="AW1216" s="403" t="n">
        <v>1</v>
      </c>
      <c r="AX1216" s="403" t="n"/>
    </row>
    <row r="1217">
      <c r="A1217" s="413" t="inlineStr">
        <is>
          <t>NTCV</t>
        </is>
      </c>
      <c r="B1217" s="413" t="inlineStr">
        <is>
          <t>K.9999</t>
        </is>
      </c>
      <c r="C1217" s="413" t="inlineStr">
        <is>
          <t>NTCV.0656634</t>
        </is>
      </c>
      <c r="D1217" s="414" t="n"/>
      <c r="E1217" s="414" t="n"/>
      <c r="F1217" s="414" t="n"/>
      <c r="G1217" s="414" t="n"/>
      <c r="H1217" s="414" t="n"/>
      <c r="J1217" s="131" t="inlineStr">
        <is>
          <t>11</t>
        </is>
      </c>
      <c r="K1217" s="131" t="inlineStr">
        <is>
          <t>K.9999</t>
        </is>
      </c>
      <c r="L1217" s="132" t="inlineStr">
        <is>
          <t>Công tác đổ bê tông lót</t>
        </is>
      </c>
      <c r="M1217" s="132" t="n"/>
      <c r="N1217" s="132" t="n"/>
      <c r="O1217" s="133" t="inlineStr">
        <is>
          <t>Cầu Km19+529.080</t>
        </is>
      </c>
      <c r="P1217" s="419">
        <f>S1215</f>
        <v/>
      </c>
      <c r="Q1217" s="419">
        <f>P1217+1</f>
        <v/>
      </c>
      <c r="R1217" s="415">
        <f>+Q1217-2</f>
        <v/>
      </c>
      <c r="S1217" s="415">
        <f>+Q1217</f>
        <v/>
      </c>
      <c r="T1217" s="420">
        <f>T1218</f>
        <v/>
      </c>
      <c r="U1217" s="420">
        <f>+T1217+V1217</f>
        <v/>
      </c>
      <c r="V1217" s="420" t="n">
        <v>0.03125</v>
      </c>
      <c r="W1217" s="411">
        <f>TEXT(T1217,"HH""h""MM'")&amp;"÷"&amp;TEXT(U1217,"HH""h""MM'")</f>
        <v/>
      </c>
      <c r="X1217" s="421" t="n"/>
      <c r="Y1217" s="421" t="n"/>
      <c r="Z1217" s="421" t="inlineStr">
        <is>
          <t>06;</t>
        </is>
      </c>
      <c r="AA1217" s="136" t="inlineStr">
        <is>
          <t>Theo dõi đổ bê tông lót Bệ trụ T2</t>
        </is>
      </c>
      <c r="AB1217" s="150" t="inlineStr">
        <is>
          <t>307HG/YCNT/BM/T2-2</t>
        </is>
      </c>
      <c r="AC1217" s="136" t="inlineStr">
        <is>
          <t>307HG/BBNT/BM/T2-4</t>
        </is>
      </c>
      <c r="AD1217" s="136" t="n"/>
      <c r="AE1217" s="136" t="n"/>
      <c r="AF1217" s="136" t="n"/>
      <c r="AG1217" s="136" t="n"/>
      <c r="AH1217" s="136" t="n"/>
      <c r="AI1217" s="421" t="n"/>
      <c r="AJ1217" s="421" t="n"/>
      <c r="AK1217" s="422" t="n"/>
      <c r="AL1217" s="421" t="n"/>
      <c r="AM1217" s="421" t="n"/>
      <c r="AN1217" s="421" t="n"/>
      <c r="AO1217" s="421" t="n"/>
      <c r="AP1217" s="138" t="n"/>
      <c r="AQ1217" s="138" t="n"/>
      <c r="AR1217" s="421" t="inlineStr">
        <is>
          <t>Nhóm 1</t>
        </is>
      </c>
      <c r="AS1217" s="421" t="n"/>
      <c r="AT1217" s="421" t="inlineStr">
        <is>
          <t>HM37</t>
        </is>
      </c>
      <c r="AU1217" s="421" t="inlineStr">
        <is>
          <t>NTCV</t>
        </is>
      </c>
      <c r="AV1217" s="421" t="n">
        <v>351</v>
      </c>
      <c r="AW1217" s="421" t="n">
        <v>3</v>
      </c>
      <c r="AX1217" s="421" t="n"/>
    </row>
    <row r="1218">
      <c r="A1218" s="413" t="inlineStr">
        <is>
          <t>BBK832</t>
        </is>
      </c>
      <c r="B1218" s="413" t="inlineStr">
        <is>
          <t>PL06.1</t>
        </is>
      </c>
      <c r="C1218" s="413" t="inlineStr">
        <is>
          <t>BBK832.0954211</t>
        </is>
      </c>
      <c r="D1218" s="414" t="n"/>
      <c r="E1218" s="414" t="n"/>
      <c r="F1218" s="414" t="n"/>
      <c r="G1218" s="414" t="n"/>
      <c r="H1218" s="414" t="n"/>
      <c r="J1218" s="124" t="inlineStr">
        <is>
          <t>12</t>
        </is>
      </c>
      <c r="K1218" s="124" t="inlineStr">
        <is>
          <t>PL06.1</t>
        </is>
      </c>
      <c r="L1218" s="125" t="inlineStr">
        <is>
          <t>Phụ lục số 06</t>
        </is>
      </c>
      <c r="M1218" s="125" t="n"/>
      <c r="N1218" s="125" t="n"/>
      <c r="O1218" s="126" t="inlineStr">
        <is>
          <t>Cầu Km19+529.080</t>
        </is>
      </c>
      <c r="P1218" s="423" t="n"/>
      <c r="Q1218" s="423" t="n"/>
      <c r="R1218" s="423" t="n"/>
      <c r="S1218" s="423" t="n"/>
      <c r="T1218" s="424" t="n">
        <v>0.3958333333333333</v>
      </c>
      <c r="U1218" s="424">
        <f>T1218+V2743</f>
        <v/>
      </c>
      <c r="V1218" s="424" t="n">
        <v>0.02083333333333333</v>
      </c>
      <c r="W1218" s="425" t="n"/>
      <c r="X1218" s="425" t="n"/>
      <c r="Y1218" s="425" t="n"/>
      <c r="Z1218" s="124" t="inlineStr">
        <is>
          <t>06</t>
        </is>
      </c>
      <c r="AA1218" s="129" t="n"/>
      <c r="AB1218" s="129" t="n"/>
      <c r="AC1218" s="129" t="inlineStr">
        <is>
          <t>307HG/BBNT/BM/T2-4</t>
        </is>
      </c>
      <c r="AD1218" s="129" t="n"/>
      <c r="AE1218" s="129" t="n"/>
      <c r="AF1218" s="129" t="n"/>
      <c r="AG1218" s="129" t="n"/>
      <c r="AH1218" s="426" t="inlineStr">
        <is>
          <t>C10-BM-T2</t>
        </is>
      </c>
      <c r="AI1218" s="425" t="n"/>
      <c r="AJ1218" s="425" t="n"/>
      <c r="AK1218" s="427" t="n"/>
      <c r="AL1218" s="425" t="n"/>
      <c r="AM1218" s="425" t="n"/>
      <c r="AN1218" s="425" t="n"/>
      <c r="AO1218" s="425" t="n"/>
      <c r="AP1218" s="130" t="n"/>
      <c r="AQ1218" s="130" t="n"/>
      <c r="AR1218" s="425" t="inlineStr">
        <is>
          <t>Nhóm 1</t>
        </is>
      </c>
      <c r="AS1218" s="425" t="n"/>
      <c r="AT1218" s="425" t="inlineStr">
        <is>
          <t>HM37</t>
        </is>
      </c>
      <c r="AU1218" s="425" t="inlineStr">
        <is>
          <t>PL06.1</t>
        </is>
      </c>
      <c r="AV1218" s="425" t="n">
        <v>21</v>
      </c>
      <c r="AW1218" s="425" t="n">
        <v>2</v>
      </c>
      <c r="AX1218" s="425" t="n"/>
    </row>
    <row r="1219">
      <c r="A1219" s="413" t="inlineStr">
        <is>
          <t>LMHT</t>
        </is>
      </c>
      <c r="B1219" s="413" t="inlineStr">
        <is>
          <t>LMHT</t>
        </is>
      </c>
      <c r="C1219" s="413" t="inlineStr">
        <is>
          <t>LMHT.0120011</t>
        </is>
      </c>
      <c r="D1219" s="414" t="inlineStr">
        <is>
          <t>TC.000041|TC.000182|TC.000169.A</t>
        </is>
      </c>
      <c r="E1219" s="414" t="n"/>
      <c r="F1219" s="414" t="inlineStr">
        <is>
          <t>CP.0001^Bê tông lót Bệ trụ T2^Hình trụ 15x30 (cm)^3^C10 (10Mpa)^^^TC.000041|TC.000182|TC.000169.A</t>
        </is>
      </c>
      <c r="G1219" s="414" t="n"/>
      <c r="H1219" s="414" t="n"/>
      <c r="J1219" s="175" t="inlineStr">
        <is>
          <t>13</t>
        </is>
      </c>
      <c r="K1219" s="175" t="inlineStr">
        <is>
          <t>LMHT</t>
        </is>
      </c>
      <c r="L1219" s="176" t="inlineStr">
        <is>
          <t>Bê tông lót Bệ trụ T2</t>
        </is>
      </c>
      <c r="M1219" s="176" t="n"/>
      <c r="N1219" s="176" t="n"/>
      <c r="O1219" s="177" t="inlineStr">
        <is>
          <t>Cầu Km19+529.080</t>
        </is>
      </c>
      <c r="P1219" s="299" t="n"/>
      <c r="Q1219" s="299" t="n"/>
      <c r="R1219" s="299" t="n"/>
      <c r="S1219" s="299">
        <f>S1217</f>
        <v/>
      </c>
      <c r="T1219" s="300">
        <f>T1218</f>
        <v/>
      </c>
      <c r="U1219" s="300">
        <f>U1218</f>
        <v/>
      </c>
      <c r="V1219" s="300">
        <f>V1218</f>
        <v/>
      </c>
      <c r="W1219" s="301" t="n"/>
      <c r="X1219" s="301" t="n"/>
      <c r="Y1219" s="301" t="n"/>
      <c r="Z1219" s="301" t="n"/>
      <c r="AA1219" s="180" t="n"/>
      <c r="AB1219" s="180" t="n"/>
      <c r="AC1219" s="180" t="n"/>
      <c r="AD1219" s="180" t="n"/>
      <c r="AE1219" s="180" t="n"/>
      <c r="AF1219" s="180" t="n"/>
      <c r="AG1219" s="180" t="n"/>
      <c r="AH1219" s="180" t="n"/>
      <c r="AI1219" s="301" t="n"/>
      <c r="AJ1219" s="301" t="n"/>
      <c r="AK1219" s="303" t="n"/>
      <c r="AL1219" s="301" t="n"/>
      <c r="AM1219" s="301" t="n"/>
      <c r="AN1219" s="301" t="n"/>
      <c r="AO1219" s="301" t="n"/>
      <c r="AP1219" s="181" t="n"/>
      <c r="AQ1219" s="181" t="n"/>
      <c r="AR1219" s="301" t="inlineStr">
        <is>
          <t>Nhóm 1</t>
        </is>
      </c>
      <c r="AS1219" s="301" t="n"/>
      <c r="AT1219" s="301" t="inlineStr">
        <is>
          <t>HM37</t>
        </is>
      </c>
      <c r="AU1219" s="301" t="inlineStr">
        <is>
          <t>LMHT</t>
        </is>
      </c>
      <c r="AV1219" s="301" t="n">
        <v>31</v>
      </c>
      <c r="AW1219" s="301" t="n">
        <v>1</v>
      </c>
      <c r="AX1219" s="301" t="n"/>
    </row>
    <row r="1220" ht="28" customHeight="1" s="672">
      <c r="A1220" s="413" t="inlineStr">
        <is>
          <t>BBK680</t>
        </is>
      </c>
      <c r="B1220" s="413" t="inlineStr">
        <is>
          <t>PYC</t>
        </is>
      </c>
      <c r="C1220" s="413" t="inlineStr">
        <is>
          <t>BBK680.0384515</t>
        </is>
      </c>
      <c r="D1220" s="414" t="n"/>
      <c r="E1220" s="414" t="n"/>
      <c r="F1220" s="414" t="n"/>
      <c r="G1220" s="414" t="n"/>
      <c r="H1220" s="414" t="n"/>
      <c r="J1220" s="168" t="inlineStr">
        <is>
          <t>14</t>
        </is>
      </c>
      <c r="K1220" s="168" t="inlineStr">
        <is>
          <t>PYC</t>
        </is>
      </c>
      <c r="L1220" s="169" t="inlineStr">
        <is>
          <t>phiếu yêu cầu</t>
        </is>
      </c>
      <c r="M1220" s="169" t="n"/>
      <c r="N1220" s="169" t="n"/>
      <c r="O1220" s="170" t="inlineStr">
        <is>
          <t>Cầu Km19+529.080</t>
        </is>
      </c>
      <c r="P1220" s="405" t="n"/>
      <c r="Q1220" s="405" t="n"/>
      <c r="R1220" s="405">
        <f>S1220-1</f>
        <v/>
      </c>
      <c r="S1220" s="405">
        <f>S1219+7</f>
        <v/>
      </c>
      <c r="T1220" s="428" t="n">
        <v>0.3333333333333333</v>
      </c>
      <c r="U1220" s="428">
        <f>+T1220+V2745</f>
        <v/>
      </c>
      <c r="V1220" s="428" t="n">
        <v>0.02083333333333333</v>
      </c>
      <c r="W1220" s="406" t="n"/>
      <c r="X1220" s="406" t="n"/>
      <c r="Y1220" s="406" t="n"/>
      <c r="Z1220" s="406" t="n"/>
      <c r="AA1220" s="173" t="inlineStr">
        <is>
          <t>Theo dõi nén mẫu R7 bê tông lót Bệ trụ T2</t>
        </is>
      </c>
      <c r="AB1220" s="173" t="inlineStr">
        <is>
          <t>307HG/YCNT/BM/T2-R7</t>
        </is>
      </c>
      <c r="AC1220" s="173" t="inlineStr">
        <is>
          <t>307HG/BBNT/BM/T2-4</t>
        </is>
      </c>
      <c r="AD1220" s="173" t="n"/>
      <c r="AE1220" s="173" t="n"/>
      <c r="AF1220" s="173" t="n"/>
      <c r="AG1220" s="173" t="inlineStr">
        <is>
          <t>PYC</t>
        </is>
      </c>
      <c r="AH1220" s="173" t="n">
        <v>5</v>
      </c>
      <c r="AI1220" s="406" t="n"/>
      <c r="AJ1220" s="406" t="n"/>
      <c r="AK1220" s="408" t="n"/>
      <c r="AL1220" s="406" t="n"/>
      <c r="AM1220" s="406" t="n"/>
      <c r="AN1220" s="406" t="n"/>
      <c r="AO1220" s="406" t="n"/>
      <c r="AP1220" s="174" t="n"/>
      <c r="AQ1220" s="174" t="n"/>
      <c r="AR1220" s="406" t="inlineStr">
        <is>
          <t>Nhóm 1</t>
        </is>
      </c>
      <c r="AS1220" s="406" t="n"/>
      <c r="AT1220" s="406" t="inlineStr">
        <is>
          <t>HM37</t>
        </is>
      </c>
      <c r="AU1220" s="406" t="inlineStr">
        <is>
          <t>PYC</t>
        </is>
      </c>
      <c r="AV1220" s="406" t="n">
        <v>44</v>
      </c>
      <c r="AW1220" s="406" t="n">
        <v>5</v>
      </c>
      <c r="AX1220" s="406" t="n"/>
    </row>
    <row r="1221" ht="28" customHeight="1" s="672">
      <c r="A1221" s="413" t="inlineStr">
        <is>
          <t>BBK680</t>
        </is>
      </c>
      <c r="B1221" s="413" t="inlineStr">
        <is>
          <t>PYC</t>
        </is>
      </c>
      <c r="C1221" s="413" t="inlineStr">
        <is>
          <t>BBK680.0492797</t>
        </is>
      </c>
      <c r="D1221" s="414" t="n"/>
      <c r="E1221" s="414" t="n"/>
      <c r="F1221" s="414" t="n"/>
      <c r="G1221" s="414" t="n"/>
      <c r="H1221" s="414" t="n"/>
      <c r="J1221" s="124" t="inlineStr">
        <is>
          <t>15</t>
        </is>
      </c>
      <c r="K1221" s="124" t="inlineStr">
        <is>
          <t>PYC</t>
        </is>
      </c>
      <c r="L1221" s="125" t="inlineStr">
        <is>
          <t>phiếu yêu cầu</t>
        </is>
      </c>
      <c r="M1221" s="125" t="n"/>
      <c r="N1221" s="125" t="n"/>
      <c r="O1221" s="126" t="inlineStr">
        <is>
          <t>Cầu Km19+529.080</t>
        </is>
      </c>
      <c r="P1221" s="423" t="n"/>
      <c r="Q1221" s="423" t="n"/>
      <c r="R1221" s="423">
        <f>S1221-1</f>
        <v/>
      </c>
      <c r="S1221" s="423">
        <f>S1219+28</f>
        <v/>
      </c>
      <c r="T1221" s="424" t="n">
        <v>0.3541666666666667</v>
      </c>
      <c r="U1221" s="424">
        <f>+T1221+V2746</f>
        <v/>
      </c>
      <c r="V1221" s="424" t="n">
        <v>0.02083333333333333</v>
      </c>
      <c r="W1221" s="425" t="n"/>
      <c r="X1221" s="425" t="n"/>
      <c r="Y1221" s="425" t="n"/>
      <c r="Z1221" s="425" t="n"/>
      <c r="AA1221" s="129" t="inlineStr">
        <is>
          <t>Theo dõi nén mẫu R28 bê tông lót Bệ trụ T2</t>
        </is>
      </c>
      <c r="AB1221" s="129" t="inlineStr">
        <is>
          <t>307HG/YCNT/BM/T2-R28</t>
        </is>
      </c>
      <c r="AC1221" s="129" t="inlineStr">
        <is>
          <t>307HG/BBNT/BM/T2-4</t>
        </is>
      </c>
      <c r="AD1221" s="129" t="n"/>
      <c r="AE1221" s="129" t="n"/>
      <c r="AF1221" s="129" t="n"/>
      <c r="AG1221" s="129" t="inlineStr">
        <is>
          <t>PYC</t>
        </is>
      </c>
      <c r="AH1221" s="129" t="n">
        <v>8</v>
      </c>
      <c r="AI1221" s="425" t="n"/>
      <c r="AJ1221" s="425" t="n"/>
      <c r="AK1221" s="427" t="n"/>
      <c r="AL1221" s="425" t="n"/>
      <c r="AM1221" s="425" t="n"/>
      <c r="AN1221" s="425" t="n"/>
      <c r="AO1221" s="425" t="n"/>
      <c r="AP1221" s="130" t="n"/>
      <c r="AQ1221" s="130" t="n"/>
      <c r="AR1221" s="425" t="inlineStr">
        <is>
          <t>Nhóm 1</t>
        </is>
      </c>
      <c r="AS1221" s="425" t="n"/>
      <c r="AT1221" s="425" t="inlineStr">
        <is>
          <t>HM37</t>
        </is>
      </c>
      <c r="AU1221" s="425" t="inlineStr">
        <is>
          <t>PYC</t>
        </is>
      </c>
      <c r="AV1221" s="425" t="n">
        <v>94</v>
      </c>
      <c r="AW1221" s="425" t="n">
        <v>8</v>
      </c>
      <c r="AX1221" s="425" t="n"/>
    </row>
    <row r="1222">
      <c r="A1222" s="413" t="inlineStr">
        <is>
          <t>BBK680</t>
        </is>
      </c>
      <c r="B1222" s="413" t="inlineStr">
        <is>
          <t>PYC</t>
        </is>
      </c>
      <c r="C1222" s="413" t="inlineStr">
        <is>
          <t>BBK680.0900066</t>
        </is>
      </c>
      <c r="D1222" s="414" t="n"/>
      <c r="E1222" s="414" t="n"/>
      <c r="F1222" s="414" t="n"/>
      <c r="G1222" s="414" t="n"/>
      <c r="H1222" s="414" t="n"/>
      <c r="J1222" s="124" t="inlineStr">
        <is>
          <t>16</t>
        </is>
      </c>
      <c r="K1222" s="124" t="inlineStr">
        <is>
          <t>PYC</t>
        </is>
      </c>
      <c r="L1222" s="125" t="inlineStr">
        <is>
          <t>phiếu yêu cầu</t>
        </is>
      </c>
      <c r="M1222" s="125" t="n"/>
      <c r="N1222" s="125" t="n"/>
      <c r="O1222" s="126" t="inlineStr">
        <is>
          <t>Cầu Km19+529.080</t>
        </is>
      </c>
      <c r="P1222" s="423" t="n"/>
      <c r="Q1222" s="423" t="n"/>
      <c r="R1222" s="401">
        <f>R1223</f>
        <v/>
      </c>
      <c r="S1222" s="423">
        <f>+R1222+1</f>
        <v/>
      </c>
      <c r="T1222" s="423" t="n"/>
      <c r="U1222" s="423" t="n"/>
      <c r="V1222" s="423" t="n"/>
      <c r="W1222" s="425" t="n"/>
      <c r="X1222" s="425" t="n"/>
      <c r="Y1222" s="425" t="n"/>
      <c r="Z1222" s="425" t="n"/>
      <c r="AA1222" s="429" t="n"/>
      <c r="AB1222" s="173" t="inlineStr">
        <is>
          <t>307HG/YCNT/BM/T2</t>
        </is>
      </c>
      <c r="AC1222" s="430" t="n"/>
      <c r="AD1222" s="430" t="n"/>
      <c r="AE1222" s="430" t="n"/>
      <c r="AF1222" s="430" t="n"/>
      <c r="AG1222" s="129" t="inlineStr">
        <is>
          <t>NTCV</t>
        </is>
      </c>
      <c r="AH1222" s="430" t="inlineStr">
        <is>
          <t>4;5;6;7</t>
        </is>
      </c>
      <c r="AI1222" s="431" t="n"/>
      <c r="AJ1222" s="431" t="n"/>
      <c r="AK1222" s="432" t="n"/>
      <c r="AL1222" s="433" t="n"/>
      <c r="AM1222" s="425" t="n"/>
      <c r="AN1222" s="425" t="n"/>
      <c r="AO1222" s="425" t="n"/>
      <c r="AP1222" s="130" t="n"/>
      <c r="AQ1222" s="130" t="n"/>
      <c r="AR1222" s="425" t="inlineStr">
        <is>
          <t>Nhóm 1</t>
        </is>
      </c>
      <c r="AS1222" s="425" t="n"/>
      <c r="AT1222" s="425" t="inlineStr">
        <is>
          <t>HM37</t>
        </is>
      </c>
      <c r="AU1222" s="425" t="inlineStr">
        <is>
          <t>PYC</t>
        </is>
      </c>
      <c r="AV1222" s="425" t="n">
        <v>37</v>
      </c>
      <c r="AW1222" s="425" t="n">
        <v>3</v>
      </c>
      <c r="AX1222" s="425" t="n"/>
    </row>
    <row r="1223">
      <c r="A1223" s="413" t="inlineStr">
        <is>
          <t>NTCV</t>
        </is>
      </c>
      <c r="B1223" s="413" t="inlineStr">
        <is>
          <t>K.9999</t>
        </is>
      </c>
      <c r="C1223" s="413" t="inlineStr">
        <is>
          <t>NTCV.0169410</t>
        </is>
      </c>
      <c r="D1223" s="414" t="n"/>
      <c r="E1223" s="414" t="n"/>
      <c r="F1223" s="414" t="n"/>
      <c r="G1223" s="414" t="n"/>
      <c r="H1223" s="414" t="n"/>
      <c r="J1223" s="147" t="inlineStr">
        <is>
          <t>17</t>
        </is>
      </c>
      <c r="K1223" s="147" t="inlineStr">
        <is>
          <t>K.9999</t>
        </is>
      </c>
      <c r="L1223" s="148" t="inlineStr">
        <is>
          <t>Kiểm tra ván khuôn bệ mố</t>
        </is>
      </c>
      <c r="M1223" s="148" t="n"/>
      <c r="N1223" s="148" t="n"/>
      <c r="O1223" s="149" t="inlineStr">
        <is>
          <t>Cầu Km19+529.080</t>
        </is>
      </c>
      <c r="P1223" s="415">
        <f>S1219</f>
        <v/>
      </c>
      <c r="Q1223" s="415">
        <f>+P1223+3</f>
        <v/>
      </c>
      <c r="R1223" s="415">
        <f>Q1223-1</f>
        <v/>
      </c>
      <c r="S1223" s="415">
        <f>Q1223</f>
        <v/>
      </c>
      <c r="T1223" s="416" t="n">
        <v>0.3541666666666667</v>
      </c>
      <c r="U1223" s="416">
        <f>+T1223+V2748</f>
        <v/>
      </c>
      <c r="V1223" s="416" t="n">
        <v>0.01388888888888889</v>
      </c>
      <c r="W1223" s="411">
        <f>TEXT(T1223,"HH""h""MM'")&amp;"÷"&amp;TEXT(U1223,"HH""h""MM'")</f>
        <v/>
      </c>
      <c r="X1223" s="417" t="n"/>
      <c r="Y1223" s="417" t="n"/>
      <c r="Z1223" s="417" t="inlineStr">
        <is>
          <t>07;</t>
        </is>
      </c>
      <c r="AA1223" s="150" t="inlineStr">
        <is>
          <t>Kiểm tra ván khuôn Bệ trụ T2</t>
        </is>
      </c>
      <c r="AB1223" s="150" t="inlineStr">
        <is>
          <t>307HG/YCNT/BM/T2-3</t>
        </is>
      </c>
      <c r="AC1223" s="150" t="inlineStr">
        <is>
          <t>307HG/BBNT/BM/T2-5</t>
        </is>
      </c>
      <c r="AD1223" s="150" t="n"/>
      <c r="AE1223" s="150" t="n"/>
      <c r="AF1223" s="150" t="n"/>
      <c r="AG1223" s="150" t="n"/>
      <c r="AH1223" s="150" t="n"/>
      <c r="AI1223" s="417" t="n"/>
      <c r="AJ1223" s="417" t="n"/>
      <c r="AK1223" s="418" t="n"/>
      <c r="AL1223" s="417" t="n"/>
      <c r="AM1223" s="417" t="n"/>
      <c r="AN1223" s="417" t="n"/>
      <c r="AO1223" s="417" t="n"/>
      <c r="AP1223" s="151" t="n"/>
      <c r="AQ1223" s="151" t="n"/>
      <c r="AR1223" s="417" t="inlineStr">
        <is>
          <t>Nhóm 1</t>
        </is>
      </c>
      <c r="AS1223" s="417" t="n"/>
      <c r="AT1223" s="417" t="inlineStr">
        <is>
          <t>HM37</t>
        </is>
      </c>
      <c r="AU1223" s="417" t="inlineStr">
        <is>
          <t>NTCV</t>
        </is>
      </c>
      <c r="AV1223" s="417" t="n">
        <v>370</v>
      </c>
      <c r="AW1223" s="417" t="n">
        <v>4</v>
      </c>
      <c r="AX1223" s="417" t="n"/>
    </row>
    <row r="1224">
      <c r="A1224" s="413" t="inlineStr">
        <is>
          <t>BBK804</t>
        </is>
      </c>
      <c r="B1224" s="413" t="inlineStr">
        <is>
          <t>PL07.1</t>
        </is>
      </c>
      <c r="C1224" s="413" t="inlineStr">
        <is>
          <t>BBK804.0825427</t>
        </is>
      </c>
      <c r="D1224" s="414" t="n"/>
      <c r="E1224" s="414" t="n"/>
      <c r="F1224" s="414" t="n"/>
      <c r="G1224" s="414" t="n"/>
      <c r="H1224" s="414" t="n"/>
      <c r="J1224" s="108" t="inlineStr">
        <is>
          <t>18</t>
        </is>
      </c>
      <c r="K1224" s="108" t="inlineStr">
        <is>
          <t>PL07.1</t>
        </is>
      </c>
      <c r="L1224" s="109" t="inlineStr">
        <is>
          <t>Phụ lục số 07</t>
        </is>
      </c>
      <c r="M1224" s="109" t="n"/>
      <c r="N1224" s="109" t="n"/>
      <c r="O1224" s="110" t="inlineStr">
        <is>
          <t>Cầu Km19+529.080</t>
        </is>
      </c>
      <c r="P1224" s="401" t="n"/>
      <c r="Q1224" s="401" t="n"/>
      <c r="R1224" s="401" t="n"/>
      <c r="S1224" s="401">
        <f>S1223</f>
        <v/>
      </c>
      <c r="T1224" s="401" t="n"/>
      <c r="U1224" s="401" t="n"/>
      <c r="V1224" s="401" t="n"/>
      <c r="W1224" s="403" t="n"/>
      <c r="X1224" s="403" t="n"/>
      <c r="Y1224" s="403" t="n"/>
      <c r="Z1224" s="108" t="inlineStr">
        <is>
          <t>07</t>
        </is>
      </c>
      <c r="AA1224" s="113" t="n"/>
      <c r="AB1224" s="113" t="n"/>
      <c r="AC1224" s="113" t="inlineStr">
        <is>
          <t>307HG/BBNT/BM/T2-5</t>
        </is>
      </c>
      <c r="AD1224" s="113" t="n"/>
      <c r="AE1224" s="113" t="n"/>
      <c r="AF1224" s="113" t="n"/>
      <c r="AG1224" s="113" t="n"/>
      <c r="AH1224" s="114" t="inlineStr">
        <is>
          <t>BM-T2</t>
        </is>
      </c>
      <c r="AI1224" s="403" t="n"/>
      <c r="AJ1224" s="403" t="n"/>
      <c r="AK1224" s="404" t="n"/>
      <c r="AL1224" s="403" t="n"/>
      <c r="AM1224" s="403" t="n"/>
      <c r="AN1224" s="403" t="n"/>
      <c r="AO1224" s="403" t="n"/>
      <c r="AP1224" s="115" t="n"/>
      <c r="AQ1224" s="115" t="inlineStr">
        <is>
          <t>Ảnh\tháo vk Trụ T1,T2.png</t>
        </is>
      </c>
      <c r="AR1224" s="403" t="inlineStr">
        <is>
          <t>Nhóm 1</t>
        </is>
      </c>
      <c r="AS1224" s="403" t="n"/>
      <c r="AT1224" s="403" t="inlineStr">
        <is>
          <t>HM37</t>
        </is>
      </c>
      <c r="AU1224" s="403" t="inlineStr">
        <is>
          <t>PL07.1</t>
        </is>
      </c>
      <c r="AV1224" s="403" t="n">
        <v>2</v>
      </c>
      <c r="AW1224" s="403" t="n">
        <v>1</v>
      </c>
      <c r="AX1224" s="403" t="n"/>
    </row>
    <row r="1225">
      <c r="A1225" s="413" t="inlineStr">
        <is>
          <t>NTCV</t>
        </is>
      </c>
      <c r="B1225" s="413" t="inlineStr">
        <is>
          <t>K.9999</t>
        </is>
      </c>
      <c r="C1225" s="413" t="inlineStr">
        <is>
          <t>NTCV.0652726</t>
        </is>
      </c>
      <c r="D1225" s="414" t="n"/>
      <c r="E1225" s="414" t="n"/>
      <c r="F1225" s="414" t="n"/>
      <c r="G1225" s="414" t="n"/>
      <c r="H1225" s="414" t="n"/>
      <c r="J1225" s="131" t="inlineStr">
        <is>
          <t>19</t>
        </is>
      </c>
      <c r="K1225" s="131" t="inlineStr">
        <is>
          <t>K.9999</t>
        </is>
      </c>
      <c r="L1225" s="132" t="inlineStr">
        <is>
          <t>Cốt thép bệ mố</t>
        </is>
      </c>
      <c r="M1225" s="132" t="n"/>
      <c r="N1225" s="132" t="n"/>
      <c r="O1225" s="133" t="inlineStr">
        <is>
          <t>Cầu Km19+529.080</t>
        </is>
      </c>
      <c r="P1225" s="419">
        <f>S1223</f>
        <v/>
      </c>
      <c r="Q1225" s="419">
        <f>P1225</f>
        <v/>
      </c>
      <c r="R1225" s="415">
        <f>Q1225-1</f>
        <v/>
      </c>
      <c r="S1225" s="415">
        <f>Q1225</f>
        <v/>
      </c>
      <c r="T1225" s="420">
        <f>U1223+TIME(,15,)</f>
        <v/>
      </c>
      <c r="U1225" s="420">
        <f>+T1225+V2750</f>
        <v/>
      </c>
      <c r="V1225" s="420" t="n">
        <v>0.01736111111111111</v>
      </c>
      <c r="W1225" s="411">
        <f>TEXT(T1225,"HH""h""MM'")&amp;"÷"&amp;TEXT(U1225,"HH""h""MM'")</f>
        <v/>
      </c>
      <c r="X1225" s="421" t="n"/>
      <c r="Y1225" s="421" t="n"/>
      <c r="Z1225" s="421" t="inlineStr">
        <is>
          <t>08;</t>
        </is>
      </c>
      <c r="AA1225" s="136" t="inlineStr">
        <is>
          <t>Kiểm tra cốt thép Bệ trụ T2</t>
        </is>
      </c>
      <c r="AB1225" s="150" t="inlineStr">
        <is>
          <t>307HG/YCNT/BM/T2-3</t>
        </is>
      </c>
      <c r="AC1225" s="136" t="inlineStr">
        <is>
          <t>307HG/BBNT/BM/T2-6</t>
        </is>
      </c>
      <c r="AD1225" s="136" t="n"/>
      <c r="AE1225" s="136" t="n"/>
      <c r="AF1225" s="136" t="n"/>
      <c r="AG1225" s="136" t="n"/>
      <c r="AH1225" s="136" t="n"/>
      <c r="AI1225" s="421" t="n"/>
      <c r="AJ1225" s="421" t="n"/>
      <c r="AK1225" s="422" t="n"/>
      <c r="AL1225" s="421" t="n"/>
      <c r="AM1225" s="421" t="n"/>
      <c r="AN1225" s="421" t="n"/>
      <c r="AO1225" s="421" t="n"/>
      <c r="AP1225" s="138" t="n"/>
      <c r="AQ1225" s="138" t="n"/>
      <c r="AR1225" s="421" t="inlineStr">
        <is>
          <t>Nhóm 1</t>
        </is>
      </c>
      <c r="AS1225" s="421" t="n"/>
      <c r="AT1225" s="421" t="inlineStr">
        <is>
          <t>HM37</t>
        </is>
      </c>
      <c r="AU1225" s="421" t="inlineStr">
        <is>
          <t>NTCV</t>
        </is>
      </c>
      <c r="AV1225" s="421" t="n">
        <v>371</v>
      </c>
      <c r="AW1225" s="421" t="n">
        <v>5</v>
      </c>
      <c r="AX1225" s="421" t="n"/>
    </row>
    <row r="1226">
      <c r="A1226" s="413" t="inlineStr">
        <is>
          <t>BBK469</t>
        </is>
      </c>
      <c r="B1226" s="413" t="inlineStr">
        <is>
          <t>PL08.1</t>
        </is>
      </c>
      <c r="C1226" s="413" t="inlineStr">
        <is>
          <t>BBK469.0222282</t>
        </is>
      </c>
      <c r="D1226" s="414" t="n"/>
      <c r="E1226" s="414" t="n"/>
      <c r="F1226" s="414" t="n"/>
      <c r="G1226" s="414" t="n"/>
      <c r="H1226" s="414" t="n"/>
      <c r="J1226" s="108" t="inlineStr">
        <is>
          <t>20</t>
        </is>
      </c>
      <c r="K1226" s="108" t="inlineStr">
        <is>
          <t>PL08.1</t>
        </is>
      </c>
      <c r="L1226" s="109" t="inlineStr">
        <is>
          <t>Phụ lục số 08</t>
        </is>
      </c>
      <c r="M1226" s="109" t="n"/>
      <c r="N1226" s="109" t="n"/>
      <c r="O1226" s="110" t="inlineStr">
        <is>
          <t>Cầu Km19+529.080</t>
        </is>
      </c>
      <c r="P1226" s="401" t="n"/>
      <c r="Q1226" s="401" t="n"/>
      <c r="R1226" s="401" t="n"/>
      <c r="S1226" s="401">
        <f>S1225</f>
        <v/>
      </c>
      <c r="T1226" s="401" t="n"/>
      <c r="U1226" s="401" t="n"/>
      <c r="V1226" s="401" t="n"/>
      <c r="W1226" s="403" t="n"/>
      <c r="X1226" s="403" t="n"/>
      <c r="Y1226" s="403" t="n"/>
      <c r="Z1226" s="108" t="inlineStr">
        <is>
          <t>08</t>
        </is>
      </c>
      <c r="AA1226" s="113" t="n"/>
      <c r="AB1226" s="113" t="n"/>
      <c r="AC1226" s="113" t="inlineStr">
        <is>
          <t>307HG/BBNT/BM/T2-6</t>
        </is>
      </c>
      <c r="AD1226" s="113" t="n"/>
      <c r="AE1226" s="113" t="n"/>
      <c r="AF1226" s="113" t="n"/>
      <c r="AG1226" s="113" t="n"/>
      <c r="AH1226" s="114" t="inlineStr">
        <is>
          <t>BM-T2</t>
        </is>
      </c>
      <c r="AI1226" s="403" t="n"/>
      <c r="AJ1226" s="403" t="n"/>
      <c r="AK1226" s="404" t="n"/>
      <c r="AL1226" s="403" t="n"/>
      <c r="AM1226" s="403" t="n"/>
      <c r="AN1226" s="403" t="n"/>
      <c r="AO1226" s="403" t="n"/>
      <c r="AP1226" s="115" t="n"/>
      <c r="AQ1226" s="115" t="n"/>
      <c r="AR1226" s="403" t="inlineStr">
        <is>
          <t>Nhóm 1</t>
        </is>
      </c>
      <c r="AS1226" s="403" t="n"/>
      <c r="AT1226" s="403" t="inlineStr">
        <is>
          <t>HM37</t>
        </is>
      </c>
      <c r="AU1226" s="403" t="inlineStr">
        <is>
          <t>PL08.1</t>
        </is>
      </c>
      <c r="AV1226" s="403" t="n">
        <v>2</v>
      </c>
      <c r="AW1226" s="403" t="n">
        <v>1</v>
      </c>
      <c r="AX1226" s="403" t="n"/>
    </row>
    <row r="1227">
      <c r="A1227" s="413" t="inlineStr">
        <is>
          <t>NTCV</t>
        </is>
      </c>
      <c r="B1227" s="413" t="inlineStr">
        <is>
          <t>K.9999</t>
        </is>
      </c>
      <c r="C1227" s="413" t="inlineStr">
        <is>
          <t>NTCV.0046756</t>
        </is>
      </c>
      <c r="D1227" s="414" t="n"/>
      <c r="E1227" s="414" t="n"/>
      <c r="F1227" s="414" t="n"/>
      <c r="G1227" s="414" t="n"/>
      <c r="H1227" s="414" t="n"/>
      <c r="J1227" s="131" t="inlineStr">
        <is>
          <t>21</t>
        </is>
      </c>
      <c r="K1227" s="131" t="inlineStr">
        <is>
          <t>K.9999</t>
        </is>
      </c>
      <c r="L1227" s="132" t="inlineStr">
        <is>
          <t>Công tác chuẩn bị đổ bê tông bệ mố</t>
        </is>
      </c>
      <c r="M1227" s="132" t="n"/>
      <c r="N1227" s="132" t="n"/>
      <c r="O1227" s="133" t="inlineStr">
        <is>
          <t>Cầu Km19+529.080</t>
        </is>
      </c>
      <c r="P1227" s="419">
        <f>S1225</f>
        <v/>
      </c>
      <c r="Q1227" s="419">
        <f>P1227</f>
        <v/>
      </c>
      <c r="R1227" s="415">
        <f>Q1227-1</f>
        <v/>
      </c>
      <c r="S1227" s="415">
        <f>Q1227</f>
        <v/>
      </c>
      <c r="T1227" s="420">
        <f>U1225+TIME(,15,)</f>
        <v/>
      </c>
      <c r="U1227" s="420">
        <f>+T1227+V2752</f>
        <v/>
      </c>
      <c r="V1227" s="420" t="n">
        <v>0.01041666666666667</v>
      </c>
      <c r="W1227" s="411">
        <f>TEXT(T1227,"HH""h""MM'")&amp;"÷"&amp;TEXT(U1227,"HH""h""MM'")</f>
        <v/>
      </c>
      <c r="X1227" s="421" t="n"/>
      <c r="Y1227" s="421" t="n"/>
      <c r="Z1227" s="421" t="inlineStr">
        <is>
          <t>09;</t>
        </is>
      </c>
      <c r="AA1227" s="136" t="inlineStr">
        <is>
          <t>Công tác chuẩn bị đổ bê tông Bệ trụ T2</t>
        </is>
      </c>
      <c r="AB1227" s="150" t="inlineStr">
        <is>
          <t>307HG/YCNT/BM/T2-3</t>
        </is>
      </c>
      <c r="AC1227" s="136" t="inlineStr">
        <is>
          <t>307HG/BBNT/BM/T2-7</t>
        </is>
      </c>
      <c r="AD1227" s="136" t="n"/>
      <c r="AE1227" s="136" t="n"/>
      <c r="AF1227" s="136" t="n"/>
      <c r="AG1227" s="136" t="n"/>
      <c r="AH1227" s="136" t="n"/>
      <c r="AI1227" s="421" t="n"/>
      <c r="AJ1227" s="421" t="n"/>
      <c r="AK1227" s="422" t="n"/>
      <c r="AL1227" s="421" t="n"/>
      <c r="AM1227" s="421" t="n"/>
      <c r="AN1227" s="421" t="n"/>
      <c r="AO1227" s="421" t="n"/>
      <c r="AP1227" s="138" t="n"/>
      <c r="AQ1227" s="138" t="n"/>
      <c r="AR1227" s="421" t="inlineStr">
        <is>
          <t>Nhóm 1</t>
        </is>
      </c>
      <c r="AS1227" s="421" t="n"/>
      <c r="AT1227" s="421" t="inlineStr">
        <is>
          <t>HM37</t>
        </is>
      </c>
      <c r="AU1227" s="421" t="inlineStr">
        <is>
          <t>NTCV</t>
        </is>
      </c>
      <c r="AV1227" s="421" t="n">
        <v>372</v>
      </c>
      <c r="AW1227" s="421" t="n">
        <v>6</v>
      </c>
      <c r="AX1227" s="421" t="n"/>
    </row>
    <row r="1228">
      <c r="A1228" s="413" t="inlineStr">
        <is>
          <t>BBK209</t>
        </is>
      </c>
      <c r="B1228" s="413" t="inlineStr">
        <is>
          <t>PL09</t>
        </is>
      </c>
      <c r="C1228" s="413" t="inlineStr">
        <is>
          <t>BBK209.0911409</t>
        </is>
      </c>
      <c r="D1228" s="414" t="n"/>
      <c r="E1228" s="414" t="n"/>
      <c r="F1228" s="414" t="n"/>
      <c r="G1228" s="414" t="n"/>
      <c r="H1228" s="414" t="n"/>
      <c r="J1228" s="108" t="inlineStr">
        <is>
          <t>22</t>
        </is>
      </c>
      <c r="K1228" s="108" t="inlineStr">
        <is>
          <t>PL09</t>
        </is>
      </c>
      <c r="L1228" s="109" t="inlineStr">
        <is>
          <t>Phụ lục số 09</t>
        </is>
      </c>
      <c r="M1228" s="109" t="n"/>
      <c r="N1228" s="109" t="n"/>
      <c r="O1228" s="110" t="inlineStr">
        <is>
          <t>Cầu Km19+529.080</t>
        </is>
      </c>
      <c r="P1228" s="401" t="n"/>
      <c r="Q1228" s="401" t="n"/>
      <c r="R1228" s="401" t="n"/>
      <c r="S1228" s="401">
        <f>S1227</f>
        <v/>
      </c>
      <c r="T1228" s="401" t="n"/>
      <c r="U1228" s="401" t="n"/>
      <c r="V1228" s="401" t="n"/>
      <c r="W1228" s="403" t="n"/>
      <c r="X1228" s="403" t="n"/>
      <c r="Y1228" s="403" t="n"/>
      <c r="Z1228" s="108" t="inlineStr">
        <is>
          <t>09</t>
        </is>
      </c>
      <c r="AA1228" s="113" t="n"/>
      <c r="AB1228" s="113" t="n"/>
      <c r="AC1228" s="113" t="inlineStr">
        <is>
          <t>307HG/BBNT/BM/T2-7</t>
        </is>
      </c>
      <c r="AD1228" s="113" t="n"/>
      <c r="AE1228" s="113" t="n"/>
      <c r="AF1228" s="113" t="n"/>
      <c r="AG1228" s="113" t="n"/>
      <c r="AH1228" s="113" t="inlineStr">
        <is>
          <t>C30</t>
        </is>
      </c>
      <c r="AI1228" s="403" t="n"/>
      <c r="AJ1228" s="403" t="n"/>
      <c r="AK1228" s="404" t="n"/>
      <c r="AL1228" s="403" t="n"/>
      <c r="AM1228" s="403" t="n"/>
      <c r="AN1228" s="403" t="n"/>
      <c r="AO1228" s="403" t="n"/>
      <c r="AP1228" s="115" t="n"/>
      <c r="AQ1228" s="115" t="n"/>
      <c r="AR1228" s="403" t="inlineStr">
        <is>
          <t>Nhóm 1</t>
        </is>
      </c>
      <c r="AS1228" s="403" t="n"/>
      <c r="AT1228" s="403" t="inlineStr">
        <is>
          <t>HM37</t>
        </is>
      </c>
      <c r="AU1228" s="403" t="inlineStr">
        <is>
          <t>PL09</t>
        </is>
      </c>
      <c r="AV1228" s="403" t="n">
        <v>28</v>
      </c>
      <c r="AW1228" s="403" t="n">
        <v>1</v>
      </c>
      <c r="AX1228" s="403" t="n"/>
    </row>
    <row r="1229" ht="28" customHeight="1" s="672">
      <c r="A1229" s="413" t="inlineStr">
        <is>
          <t>NTCV</t>
        </is>
      </c>
      <c r="B1229" s="413" t="inlineStr">
        <is>
          <t>K.9999</t>
        </is>
      </c>
      <c r="C1229" s="413" t="inlineStr">
        <is>
          <t>NTCV.0490728</t>
        </is>
      </c>
      <c r="D1229" s="414" t="n"/>
      <c r="E1229" s="414" t="n"/>
      <c r="F1229" s="414" t="n"/>
      <c r="G1229" s="414" t="n"/>
      <c r="H1229" s="414" t="n"/>
      <c r="J1229" s="161" t="inlineStr">
        <is>
          <t>23</t>
        </is>
      </c>
      <c r="K1229" s="161" t="inlineStr">
        <is>
          <t>K.9999</t>
        </is>
      </c>
      <c r="L1229" s="162" t="inlineStr">
        <is>
          <t>Công tác đổ bê tông và lấy mẫu bê tông bệ mố</t>
        </is>
      </c>
      <c r="M1229" s="162" t="n"/>
      <c r="N1229" s="162" t="n"/>
      <c r="O1229" s="163" t="inlineStr">
        <is>
          <t>Cầu Km19+529.080</t>
        </is>
      </c>
      <c r="P1229" s="419">
        <f>S1227</f>
        <v/>
      </c>
      <c r="Q1229" s="419">
        <f>P1229</f>
        <v/>
      </c>
      <c r="R1229" s="415">
        <f>Q1229-1</f>
        <v/>
      </c>
      <c r="S1229" s="415">
        <f>Q1229</f>
        <v/>
      </c>
      <c r="T1229" s="420">
        <f>U1227+TIME(,15,)</f>
        <v/>
      </c>
      <c r="U1229" s="420">
        <f>+T1229+V2754</f>
        <v/>
      </c>
      <c r="V1229" s="420" t="n">
        <v>0.01041666666666667</v>
      </c>
      <c r="W1229" s="411">
        <f>TEXT(T1229,"HH""h""MM'")&amp;"÷"&amp;TEXT(U1229,"HH""h""MM'")</f>
        <v/>
      </c>
      <c r="X1229" s="411" t="n"/>
      <c r="Y1229" s="411" t="n"/>
      <c r="Z1229" s="411" t="inlineStr">
        <is>
          <t>10;</t>
        </is>
      </c>
      <c r="AA1229" s="166" t="inlineStr">
        <is>
          <t>Công tác đổ bê tông và lấy mẫu bê tông Bệ trụ T2</t>
        </is>
      </c>
      <c r="AB1229" s="150" t="inlineStr">
        <is>
          <t>307HG/YCNT/BM/T2-3</t>
        </is>
      </c>
      <c r="AC1229" s="136" t="inlineStr">
        <is>
          <t>307HG/BBNT/BM/T2-8</t>
        </is>
      </c>
      <c r="AD1229" s="166" t="n"/>
      <c r="AE1229" s="166" t="n"/>
      <c r="AF1229" s="166" t="n"/>
      <c r="AG1229" s="166" t="n"/>
      <c r="AH1229" s="166" t="n"/>
      <c r="AI1229" s="411" t="n"/>
      <c r="AJ1229" s="411" t="n"/>
      <c r="AK1229" s="412" t="n"/>
      <c r="AL1229" s="411" t="n"/>
      <c r="AM1229" s="411" t="n"/>
      <c r="AN1229" s="411" t="n"/>
      <c r="AO1229" s="411" t="n"/>
      <c r="AP1229" s="167" t="n"/>
      <c r="AQ1229" s="167" t="n"/>
      <c r="AR1229" s="411" t="inlineStr">
        <is>
          <t>Nhóm 1</t>
        </is>
      </c>
      <c r="AS1229" s="411" t="n"/>
      <c r="AT1229" s="411" t="inlineStr">
        <is>
          <t>HM37</t>
        </is>
      </c>
      <c r="AU1229" s="411" t="inlineStr">
        <is>
          <t>NTCV</t>
        </is>
      </c>
      <c r="AV1229" s="411" t="n">
        <v>373</v>
      </c>
      <c r="AW1229" s="411" t="n">
        <v>7</v>
      </c>
      <c r="AX1229" s="411" t="n"/>
    </row>
    <row r="1230">
      <c r="A1230" s="413" t="inlineStr">
        <is>
          <t>BBK832</t>
        </is>
      </c>
      <c r="B1230" s="413" t="inlineStr">
        <is>
          <t>PL06.1</t>
        </is>
      </c>
      <c r="C1230" s="413" t="inlineStr">
        <is>
          <t>BBK832.0670433</t>
        </is>
      </c>
      <c r="D1230" s="414" t="n"/>
      <c r="E1230" s="414" t="n"/>
      <c r="F1230" s="414" t="n"/>
      <c r="G1230" s="414" t="n"/>
      <c r="H1230" s="414" t="n"/>
      <c r="J1230" s="108" t="inlineStr">
        <is>
          <t>24</t>
        </is>
      </c>
      <c r="K1230" s="108" t="inlineStr">
        <is>
          <t>PL06.1</t>
        </is>
      </c>
      <c r="L1230" s="109">
        <f>L1229</f>
        <v/>
      </c>
      <c r="M1230" s="109" t="n"/>
      <c r="N1230" s="109" t="n"/>
      <c r="O1230" s="110" t="inlineStr">
        <is>
          <t>Cầu Km19+529.080</t>
        </is>
      </c>
      <c r="P1230" s="401" t="n"/>
      <c r="Q1230" s="401" t="n"/>
      <c r="R1230" s="401" t="n"/>
      <c r="S1230" s="401">
        <f>S1229</f>
        <v/>
      </c>
      <c r="T1230" s="402">
        <f>U1229+TIME(,15,)</f>
        <v/>
      </c>
      <c r="U1230" s="402">
        <f>+T1230+V2755</f>
        <v/>
      </c>
      <c r="V1230" s="402" t="n">
        <v>0.2083333333333333</v>
      </c>
      <c r="W1230" s="403" t="n"/>
      <c r="X1230" s="403" t="n"/>
      <c r="Y1230" s="403" t="n"/>
      <c r="Z1230" s="108" t="inlineStr">
        <is>
          <t>10</t>
        </is>
      </c>
      <c r="AA1230" s="113" t="n"/>
      <c r="AB1230" s="113" t="n"/>
      <c r="AC1230" s="113" t="inlineStr">
        <is>
          <t>307HG/BBNT/BM/T2-8</t>
        </is>
      </c>
      <c r="AD1230" s="113" t="n"/>
      <c r="AE1230" s="113" t="n"/>
      <c r="AF1230" s="113" t="n"/>
      <c r="AG1230" s="113" t="n"/>
      <c r="AH1230" s="113" t="inlineStr">
        <is>
          <t>C30-BM-T2</t>
        </is>
      </c>
      <c r="AI1230" s="403" t="n"/>
      <c r="AJ1230" s="403" t="n"/>
      <c r="AK1230" s="404" t="n"/>
      <c r="AL1230" s="403" t="n"/>
      <c r="AM1230" s="403" t="n"/>
      <c r="AN1230" s="403" t="n"/>
      <c r="AO1230" s="403" t="n"/>
      <c r="AP1230" s="115" t="n"/>
      <c r="AQ1230" s="115" t="n"/>
      <c r="AR1230" s="403" t="inlineStr">
        <is>
          <t>Nhóm 1</t>
        </is>
      </c>
      <c r="AS1230" s="403" t="n"/>
      <c r="AT1230" s="403" t="inlineStr">
        <is>
          <t>HM37</t>
        </is>
      </c>
      <c r="AU1230" s="403" t="inlineStr">
        <is>
          <t>PL06.1</t>
        </is>
      </c>
      <c r="AV1230" s="403" t="n">
        <v>2</v>
      </c>
      <c r="AW1230" s="403" t="n">
        <v>1</v>
      </c>
      <c r="AX1230" s="403" t="n"/>
    </row>
    <row r="1231">
      <c r="A1231" s="413" t="inlineStr">
        <is>
          <t>LMHT</t>
        </is>
      </c>
      <c r="B1231" s="413" t="inlineStr">
        <is>
          <t>LMHT</t>
        </is>
      </c>
      <c r="C1231" s="413" t="inlineStr">
        <is>
          <t>LMHT.0065828</t>
        </is>
      </c>
      <c r="D1231" s="414" t="inlineStr">
        <is>
          <t>TC.000041|TC.000182|TC.000169.A</t>
        </is>
      </c>
      <c r="E1231" s="414" t="n"/>
      <c r="F1231" s="414" t="inlineStr">
        <is>
          <t>CP.0001^Bê tông Bệ trụ T2^Hình trụ 15x30 (cm)^15^C30 (30Mpa)^^^TC.000041|TC.000182|TC.000169.A</t>
        </is>
      </c>
      <c r="G1231" s="414" t="n"/>
      <c r="H1231" s="414" t="n"/>
      <c r="J1231" s="175" t="inlineStr">
        <is>
          <t>25</t>
        </is>
      </c>
      <c r="K1231" s="175" t="inlineStr">
        <is>
          <t>LMHT</t>
        </is>
      </c>
      <c r="L1231" s="176" t="inlineStr">
        <is>
          <t>Bê tông Bệ trụ T2</t>
        </is>
      </c>
      <c r="M1231" s="176" t="n"/>
      <c r="N1231" s="176" t="n"/>
      <c r="O1231" s="177" t="inlineStr">
        <is>
          <t>Cầu Km19+529.080</t>
        </is>
      </c>
      <c r="P1231" s="299" t="n"/>
      <c r="Q1231" s="299" t="n"/>
      <c r="R1231" s="299" t="n"/>
      <c r="S1231" s="299">
        <f>S1230</f>
        <v/>
      </c>
      <c r="T1231" s="300">
        <f>T1230</f>
        <v/>
      </c>
      <c r="U1231" s="300">
        <f>U1230</f>
        <v/>
      </c>
      <c r="V1231" s="300">
        <f>V2755</f>
        <v/>
      </c>
      <c r="W1231" s="301" t="n"/>
      <c r="X1231" s="301" t="n"/>
      <c r="Y1231" s="301" t="n"/>
      <c r="Z1231" s="301" t="n"/>
      <c r="AA1231" s="180" t="n"/>
      <c r="AB1231" s="180" t="n"/>
      <c r="AC1231" s="180" t="n"/>
      <c r="AD1231" s="180" t="n"/>
      <c r="AE1231" s="180" t="n"/>
      <c r="AF1231" s="180" t="n"/>
      <c r="AG1231" s="180" t="n"/>
      <c r="AH1231" s="180" t="n"/>
      <c r="AI1231" s="301" t="n"/>
      <c r="AJ1231" s="301" t="n"/>
      <c r="AK1231" s="303" t="n"/>
      <c r="AL1231" s="301" t="n"/>
      <c r="AM1231" s="301" t="n"/>
      <c r="AN1231" s="301" t="n"/>
      <c r="AO1231" s="301" t="n"/>
      <c r="AP1231" s="181" t="n"/>
      <c r="AQ1231" s="181" t="n"/>
      <c r="AR1231" s="301" t="inlineStr">
        <is>
          <t>Nhóm 1</t>
        </is>
      </c>
      <c r="AS1231" s="301" t="n"/>
      <c r="AT1231" s="301" t="inlineStr">
        <is>
          <t>HM37</t>
        </is>
      </c>
      <c r="AU1231" s="301" t="inlineStr">
        <is>
          <t>LMHT</t>
        </is>
      </c>
      <c r="AV1231" s="301" t="n">
        <v>35</v>
      </c>
      <c r="AW1231" s="301" t="n">
        <v>2</v>
      </c>
      <c r="AX1231" s="301" t="inlineStr">
        <is>
          <t>Bệ trụ T2 — Đợt 1: xi măng Lần 13 [BT 37]; Đợt 2: xi măng Lần 14 [BT 38]. Danh mục chỉ có một dòng LMHT cho cả hai đợt.</t>
        </is>
      </c>
    </row>
    <row r="1232">
      <c r="A1232" s="413" t="inlineStr">
        <is>
          <t>BBK680</t>
        </is>
      </c>
      <c r="B1232" s="413" t="inlineStr">
        <is>
          <t>PYC</t>
        </is>
      </c>
      <c r="C1232" s="413" t="inlineStr">
        <is>
          <t>BBK680.0013614</t>
        </is>
      </c>
      <c r="D1232" s="414" t="n"/>
      <c r="E1232" s="414" t="n"/>
      <c r="F1232" s="414" t="n"/>
      <c r="G1232" s="414" t="n"/>
      <c r="H1232" s="414" t="n"/>
      <c r="J1232" s="108" t="inlineStr">
        <is>
          <t>26</t>
        </is>
      </c>
      <c r="K1232" s="108" t="inlineStr">
        <is>
          <t>PYC</t>
        </is>
      </c>
      <c r="L1232" s="109" t="inlineStr">
        <is>
          <t>phiếu yêu cầu</t>
        </is>
      </c>
      <c r="M1232" s="109" t="n"/>
      <c r="N1232" s="109" t="n"/>
      <c r="O1232" s="110" t="inlineStr">
        <is>
          <t>Cầu Km19+529.080</t>
        </is>
      </c>
      <c r="P1232" s="401" t="n"/>
      <c r="Q1232" s="401" t="n"/>
      <c r="R1232" s="401">
        <f>S1232-1</f>
        <v/>
      </c>
      <c r="S1232" s="401">
        <f>S1231+7</f>
        <v/>
      </c>
      <c r="T1232" s="402" t="n">
        <v>0.3333333333333333</v>
      </c>
      <c r="U1232" s="402">
        <f>+T1232+V2757</f>
        <v/>
      </c>
      <c r="V1232" s="402" t="n">
        <v>0.04166666666666666</v>
      </c>
      <c r="W1232" s="403" t="n"/>
      <c r="X1232" s="403" t="n"/>
      <c r="Y1232" s="403" t="n"/>
      <c r="Z1232" s="403" t="n"/>
      <c r="AA1232" s="434" t="inlineStr">
        <is>
          <t>Theo dõi nén mẫu R7 bê tông Bệ trụ T2</t>
        </is>
      </c>
      <c r="AB1232" s="173" t="inlineStr">
        <is>
          <t>307HG/YCNT/BM/T2-R7</t>
        </is>
      </c>
      <c r="AC1232" s="173" t="inlineStr">
        <is>
          <t>307HG/BBNT/BM/T2-4</t>
        </is>
      </c>
      <c r="AD1232" s="435" t="n"/>
      <c r="AE1232" s="435" t="n"/>
      <c r="AF1232" s="435" t="n"/>
      <c r="AG1232" s="173" t="inlineStr">
        <is>
          <t>PYC</t>
        </is>
      </c>
      <c r="AH1232" s="435" t="n">
        <v>6</v>
      </c>
      <c r="AI1232" s="436" t="n"/>
      <c r="AJ1232" s="436" t="n"/>
      <c r="AK1232" s="437" t="n"/>
      <c r="AL1232" s="438" t="n"/>
      <c r="AM1232" s="403" t="n"/>
      <c r="AN1232" s="403" t="n"/>
      <c r="AO1232" s="403" t="n"/>
      <c r="AP1232" s="115" t="n"/>
      <c r="AQ1232" s="115" t="n"/>
      <c r="AR1232" s="403" t="inlineStr">
        <is>
          <t>Nhóm 1</t>
        </is>
      </c>
      <c r="AS1232" s="403" t="n"/>
      <c r="AT1232" s="403" t="inlineStr">
        <is>
          <t>HM37</t>
        </is>
      </c>
      <c r="AU1232" s="403" t="inlineStr">
        <is>
          <t>PYC</t>
        </is>
      </c>
      <c r="AV1232" s="403" t="n">
        <v>51</v>
      </c>
      <c r="AW1232" s="403" t="n">
        <v>6</v>
      </c>
      <c r="AX1232" s="403" t="n"/>
    </row>
    <row r="1233">
      <c r="A1233" s="413" t="inlineStr">
        <is>
          <t>BBK680</t>
        </is>
      </c>
      <c r="B1233" s="413" t="inlineStr">
        <is>
          <t>PYC</t>
        </is>
      </c>
      <c r="C1233" s="413" t="inlineStr">
        <is>
          <t>BBK680.0955840</t>
        </is>
      </c>
      <c r="D1233" s="414" t="n"/>
      <c r="E1233" s="414" t="n"/>
      <c r="F1233" s="414" t="n"/>
      <c r="G1233" s="414" t="n"/>
      <c r="H1233" s="414" t="n"/>
      <c r="J1233" s="439" t="inlineStr">
        <is>
          <t>27</t>
        </is>
      </c>
      <c r="K1233" s="439" t="inlineStr">
        <is>
          <t>PYC</t>
        </is>
      </c>
      <c r="L1233" s="440" t="inlineStr">
        <is>
          <t>phiếu yêu cầu</t>
        </is>
      </c>
      <c r="M1233" s="440" t="n"/>
      <c r="N1233" s="440" t="n"/>
      <c r="O1233" s="441" t="inlineStr">
        <is>
          <t>Cầu Km19+529.080</t>
        </is>
      </c>
      <c r="P1233" s="442" t="n"/>
      <c r="Q1233" s="442" t="n"/>
      <c r="R1233" s="401">
        <f>S1233-1</f>
        <v/>
      </c>
      <c r="S1233" s="442">
        <f>S1231+28</f>
        <v/>
      </c>
      <c r="T1233" s="443" t="n">
        <v>0.3958333333333333</v>
      </c>
      <c r="U1233" s="443">
        <f>+T1233+V2758</f>
        <v/>
      </c>
      <c r="V1233" s="443" t="n">
        <v>0.04166666666666666</v>
      </c>
      <c r="W1233" s="444" t="n"/>
      <c r="X1233" s="444" t="n"/>
      <c r="Y1233" s="444" t="n"/>
      <c r="Z1233" s="444" t="n"/>
      <c r="AA1233" s="445" t="inlineStr">
        <is>
          <t>Theo dõi nén mẫu R28 bê tông Bệ trụ T2</t>
        </is>
      </c>
      <c r="AB1233" s="129" t="inlineStr">
        <is>
          <t>307HG/YCNT/BM/T2-R28</t>
        </is>
      </c>
      <c r="AC1233" s="129" t="inlineStr">
        <is>
          <t>307HG/BBNT/BM/T2-4</t>
        </is>
      </c>
      <c r="AD1233" s="446" t="n"/>
      <c r="AE1233" s="446" t="n"/>
      <c r="AF1233" s="446" t="n"/>
      <c r="AG1233" s="129" t="inlineStr">
        <is>
          <t>PYC</t>
        </is>
      </c>
      <c r="AH1233" s="446" t="n">
        <v>9</v>
      </c>
      <c r="AI1233" s="447" t="n"/>
      <c r="AJ1233" s="447" t="n"/>
      <c r="AK1233" s="448" t="n"/>
      <c r="AL1233" s="449" t="n"/>
      <c r="AM1233" s="444" t="n"/>
      <c r="AN1233" s="444" t="n"/>
      <c r="AO1233" s="444" t="n"/>
      <c r="AP1233" s="450" t="n"/>
      <c r="AQ1233" s="450" t="n"/>
      <c r="AR1233" s="444" t="inlineStr">
        <is>
          <t>Nhóm 1</t>
        </is>
      </c>
      <c r="AS1233" s="444" t="n"/>
      <c r="AT1233" s="444" t="inlineStr">
        <is>
          <t>HM37</t>
        </is>
      </c>
      <c r="AU1233" s="444" t="inlineStr">
        <is>
          <t>PYC</t>
        </is>
      </c>
      <c r="AV1233" s="444" t="n">
        <v>101</v>
      </c>
      <c r="AW1233" s="444" t="n">
        <v>9</v>
      </c>
      <c r="AX1233" s="444" t="n"/>
    </row>
    <row r="1234">
      <c r="A1234" s="413" t="inlineStr">
        <is>
          <t>BBK680</t>
        </is>
      </c>
      <c r="B1234" s="413" t="inlineStr">
        <is>
          <t>PYC</t>
        </is>
      </c>
      <c r="C1234" s="413" t="inlineStr">
        <is>
          <t>BBK680.0209912</t>
        </is>
      </c>
      <c r="D1234" s="414" t="n"/>
      <c r="E1234" s="414" t="n"/>
      <c r="F1234" s="414" t="n"/>
      <c r="G1234" s="414" t="n"/>
      <c r="H1234" s="414" t="n"/>
      <c r="J1234" s="374" t="inlineStr">
        <is>
          <t>28</t>
        </is>
      </c>
      <c r="K1234" s="374" t="inlineStr">
        <is>
          <t>PYC</t>
        </is>
      </c>
      <c r="L1234" s="375" t="inlineStr">
        <is>
          <t>phiếu yêu cầu</t>
        </is>
      </c>
      <c r="M1234" s="375" t="n"/>
      <c r="N1234" s="375" t="n"/>
      <c r="O1234" s="451" t="inlineStr">
        <is>
          <t>Cầu Km19+529.080</t>
        </is>
      </c>
      <c r="P1234" s="376" t="n"/>
      <c r="Q1234" s="376" t="n"/>
      <c r="R1234" s="401">
        <f>R1235</f>
        <v/>
      </c>
      <c r="S1234" s="376">
        <f>R1234+1</f>
        <v/>
      </c>
      <c r="T1234" s="376" t="n"/>
      <c r="U1234" s="376" t="n"/>
      <c r="V1234" s="376" t="n"/>
      <c r="W1234" s="378" t="n"/>
      <c r="X1234" s="378" t="n"/>
      <c r="Y1234" s="378" t="n"/>
      <c r="Z1234" s="378" t="n"/>
      <c r="AA1234" s="379" t="n"/>
      <c r="AB1234" s="173" t="inlineStr">
        <is>
          <t>307HG/YCNT/BM/T2</t>
        </is>
      </c>
      <c r="AC1234" s="379" t="n"/>
      <c r="AD1234" s="379" t="n"/>
      <c r="AE1234" s="379" t="n"/>
      <c r="AF1234" s="379" t="n"/>
      <c r="AG1234" s="129" t="inlineStr">
        <is>
          <t>NTCV</t>
        </is>
      </c>
      <c r="AH1234" s="379" t="n">
        <v>8</v>
      </c>
      <c r="AI1234" s="378" t="n"/>
      <c r="AJ1234" s="378" t="n"/>
      <c r="AK1234" s="380" t="n"/>
      <c r="AL1234" s="378" t="n"/>
      <c r="AM1234" s="378" t="n"/>
      <c r="AN1234" s="378" t="n"/>
      <c r="AO1234" s="378" t="n"/>
      <c r="AP1234" s="381" t="n"/>
      <c r="AQ1234" s="381" t="n"/>
      <c r="AR1234" s="378" t="inlineStr">
        <is>
          <t>Nhóm 1</t>
        </is>
      </c>
      <c r="AS1234" s="378" t="n"/>
      <c r="AT1234" s="378" t="inlineStr">
        <is>
          <t>HM37</t>
        </is>
      </c>
      <c r="AU1234" s="378" t="inlineStr">
        <is>
          <t>PYC</t>
        </is>
      </c>
      <c r="AV1234" s="378" t="n">
        <v>41</v>
      </c>
      <c r="AW1234" s="378" t="n">
        <v>4</v>
      </c>
      <c r="AX1234" s="378" t="n"/>
    </row>
    <row r="1235">
      <c r="A1235" s="413" t="inlineStr">
        <is>
          <t>NTCV</t>
        </is>
      </c>
      <c r="B1235" s="413" t="inlineStr">
        <is>
          <t>K.9999</t>
        </is>
      </c>
      <c r="C1235" s="413" t="inlineStr">
        <is>
          <t>NTCV.0892949</t>
        </is>
      </c>
      <c r="D1235" s="414" t="n"/>
      <c r="E1235" s="414" t="n"/>
      <c r="F1235" s="414" t="n"/>
      <c r="G1235" s="414" t="n"/>
      <c r="H1235" s="414" t="n"/>
      <c r="J1235" s="147" t="inlineStr">
        <is>
          <t>29</t>
        </is>
      </c>
      <c r="K1235" s="147" t="inlineStr">
        <is>
          <t>K.9999</t>
        </is>
      </c>
      <c r="L1235" s="148" t="inlineStr">
        <is>
          <t>Tháo ván khuôn bệ mố</t>
        </is>
      </c>
      <c r="M1235" s="148" t="n"/>
      <c r="N1235" s="148" t="n"/>
      <c r="O1235" s="149" t="inlineStr">
        <is>
          <t>Cầu Km19+529.080</t>
        </is>
      </c>
      <c r="P1235" s="415">
        <f>S1231</f>
        <v/>
      </c>
      <c r="Q1235" s="415">
        <f>P1235+2</f>
        <v/>
      </c>
      <c r="R1235" s="415">
        <f>Q1235-1</f>
        <v/>
      </c>
      <c r="S1235" s="415">
        <f>Q1235</f>
        <v/>
      </c>
      <c r="T1235" s="416" t="n">
        <v>0.3541666666666667</v>
      </c>
      <c r="U1235" s="416">
        <f>+T1235+V2760</f>
        <v/>
      </c>
      <c r="V1235" s="416" t="n">
        <v>0.04166666666666666</v>
      </c>
      <c r="W1235" s="411">
        <f>TEXT(T1235,"HH""h""MM'")&amp;"÷"&amp;TEXT(U1235,"HH""h""MM'")</f>
        <v/>
      </c>
      <c r="X1235" s="417" t="n"/>
      <c r="Y1235" s="417" t="n"/>
      <c r="Z1235" s="417" t="inlineStr">
        <is>
          <t>11;</t>
        </is>
      </c>
      <c r="AA1235" s="452" t="inlineStr">
        <is>
          <t>Tháo ván khuôn Bệ trụ T2</t>
        </is>
      </c>
      <c r="AB1235" s="150" t="inlineStr">
        <is>
          <t>307HG/YCNT/BM/T2-4</t>
        </is>
      </c>
      <c r="AC1235" s="136" t="inlineStr">
        <is>
          <t>307HG/BBNT/BM/T2-9</t>
        </is>
      </c>
      <c r="AD1235" s="453" t="n"/>
      <c r="AE1235" s="453" t="n"/>
      <c r="AF1235" s="453" t="n"/>
      <c r="AG1235" s="453" t="n"/>
      <c r="AH1235" s="453" t="n"/>
      <c r="AI1235" s="454" t="n"/>
      <c r="AJ1235" s="454" t="n"/>
      <c r="AK1235" s="455" t="n"/>
      <c r="AL1235" s="456" t="n"/>
      <c r="AM1235" s="417" t="n"/>
      <c r="AN1235" s="417" t="n"/>
      <c r="AO1235" s="417" t="n"/>
      <c r="AP1235" s="151" t="n"/>
      <c r="AQ1235" s="151" t="n"/>
      <c r="AR1235" s="417" t="inlineStr">
        <is>
          <t>Nhóm 1</t>
        </is>
      </c>
      <c r="AS1235" s="417" t="n"/>
      <c r="AT1235" s="417" t="inlineStr">
        <is>
          <t>HM37</t>
        </is>
      </c>
      <c r="AU1235" s="417" t="inlineStr">
        <is>
          <t>NTCV</t>
        </is>
      </c>
      <c r="AV1235" s="417" t="n">
        <v>379</v>
      </c>
      <c r="AW1235" s="417" t="n">
        <v>8</v>
      </c>
      <c r="AX1235" s="417" t="n"/>
    </row>
    <row r="1236">
      <c r="A1236" s="413" t="inlineStr">
        <is>
          <t>BBK288</t>
        </is>
      </c>
      <c r="B1236" s="413" t="inlineStr">
        <is>
          <t>PL11.1</t>
        </is>
      </c>
      <c r="C1236" s="413" t="inlineStr">
        <is>
          <t>BBK288.0445581</t>
        </is>
      </c>
      <c r="D1236" s="414" t="n"/>
      <c r="E1236" s="414" t="n"/>
      <c r="F1236" s="414" t="n"/>
      <c r="G1236" s="414" t="n"/>
      <c r="H1236" s="414" t="n"/>
      <c r="J1236" s="108" t="inlineStr">
        <is>
          <t>30</t>
        </is>
      </c>
      <c r="K1236" s="108" t="inlineStr">
        <is>
          <t>PL11.1</t>
        </is>
      </c>
      <c r="L1236" s="109" t="inlineStr">
        <is>
          <t>Phụ lục số 11</t>
        </is>
      </c>
      <c r="M1236" s="109" t="n"/>
      <c r="N1236" s="109" t="n"/>
      <c r="O1236" s="110" t="inlineStr">
        <is>
          <t>Cầu Km19+529.080</t>
        </is>
      </c>
      <c r="P1236" s="401" t="n"/>
      <c r="Q1236" s="401" t="n"/>
      <c r="R1236" s="401" t="n"/>
      <c r="S1236" s="401">
        <f>S1235</f>
        <v/>
      </c>
      <c r="T1236" s="401" t="n"/>
      <c r="U1236" s="401" t="n"/>
      <c r="V1236" s="401" t="n"/>
      <c r="W1236" s="403" t="n"/>
      <c r="X1236" s="403" t="n"/>
      <c r="Y1236" s="403" t="n"/>
      <c r="Z1236" s="108" t="inlineStr">
        <is>
          <t>11</t>
        </is>
      </c>
      <c r="AA1236" s="113" t="n"/>
      <c r="AB1236" s="113" t="n"/>
      <c r="AC1236" s="113" t="inlineStr">
        <is>
          <t>307HG/BBNT/BM/T2-9</t>
        </is>
      </c>
      <c r="AD1236" s="113" t="n"/>
      <c r="AE1236" s="113" t="n"/>
      <c r="AF1236" s="113" t="n"/>
      <c r="AG1236" s="113" t="n"/>
      <c r="AH1236" s="114" t="inlineStr">
        <is>
          <t>BM-T2</t>
        </is>
      </c>
      <c r="AI1236" s="403" t="n"/>
      <c r="AJ1236" s="403" t="n"/>
      <c r="AK1236" s="404" t="n"/>
      <c r="AL1236" s="403" t="n"/>
      <c r="AM1236" s="403" t="n"/>
      <c r="AN1236" s="403" t="n"/>
      <c r="AO1236" s="403" t="n"/>
      <c r="AP1236" s="115" t="n"/>
      <c r="AQ1236" s="115" t="inlineStr">
        <is>
          <t>Ảnh\Trụ T1,T2.png</t>
        </is>
      </c>
      <c r="AR1236" s="403" t="inlineStr">
        <is>
          <t>Nhóm 1</t>
        </is>
      </c>
      <c r="AS1236" s="403" t="n"/>
      <c r="AT1236" s="403" t="inlineStr">
        <is>
          <t>HM37</t>
        </is>
      </c>
      <c r="AU1236" s="403" t="inlineStr">
        <is>
          <t>PL11.1</t>
        </is>
      </c>
      <c r="AV1236" s="403" t="n">
        <v>2</v>
      </c>
      <c r="AW1236" s="403" t="n">
        <v>1</v>
      </c>
      <c r="AX1236" s="403" t="n"/>
    </row>
    <row r="1237">
      <c r="A1237" s="413" t="inlineStr">
        <is>
          <t>BBK680</t>
        </is>
      </c>
      <c r="B1237" s="413" t="inlineStr">
        <is>
          <t>PYC</t>
        </is>
      </c>
      <c r="C1237" s="413" t="inlineStr">
        <is>
          <t>BBK680.0169949</t>
        </is>
      </c>
      <c r="D1237" s="414" t="n"/>
      <c r="E1237" s="414" t="n"/>
      <c r="F1237" s="414" t="n"/>
      <c r="G1237" s="414" t="n"/>
      <c r="H1237" s="414" t="n"/>
      <c r="J1237" s="168" t="inlineStr">
        <is>
          <t>31</t>
        </is>
      </c>
      <c r="K1237" s="168" t="inlineStr">
        <is>
          <t>PYC</t>
        </is>
      </c>
      <c r="L1237" s="169" t="inlineStr">
        <is>
          <t>phiếu yêu cầu</t>
        </is>
      </c>
      <c r="M1237" s="169" t="n"/>
      <c r="N1237" s="169" t="n"/>
      <c r="O1237" s="170" t="inlineStr">
        <is>
          <t>Cầu Km19+529.080</t>
        </is>
      </c>
      <c r="P1237" s="405" t="n"/>
      <c r="Q1237" s="405" t="n"/>
      <c r="R1237" s="401">
        <f>R1238</f>
        <v/>
      </c>
      <c r="S1237" s="405">
        <f>R1237+1</f>
        <v/>
      </c>
      <c r="T1237" s="405" t="n"/>
      <c r="U1237" s="405" t="n"/>
      <c r="V1237" s="405" t="n"/>
      <c r="W1237" s="406" t="n"/>
      <c r="X1237" s="406" t="n"/>
      <c r="Y1237" s="406" t="n"/>
      <c r="Z1237" s="406" t="n"/>
      <c r="AA1237" s="173" t="n"/>
      <c r="AB1237" s="173" t="inlineStr">
        <is>
          <t>307HG/YCNT/BM/T2</t>
        </is>
      </c>
      <c r="AC1237" s="173" t="n"/>
      <c r="AD1237" s="173" t="n"/>
      <c r="AE1237" s="173" t="n"/>
      <c r="AF1237" s="173" t="n"/>
      <c r="AG1237" s="129" t="inlineStr">
        <is>
          <t>NTCV</t>
        </is>
      </c>
      <c r="AH1237" s="173" t="n">
        <v>9</v>
      </c>
      <c r="AI1237" s="406" t="n"/>
      <c r="AJ1237" s="406" t="n"/>
      <c r="AK1237" s="408" t="n"/>
      <c r="AL1237" s="406" t="n"/>
      <c r="AM1237" s="406" t="n"/>
      <c r="AN1237" s="406" t="n"/>
      <c r="AO1237" s="406" t="n"/>
      <c r="AP1237" s="174" t="n"/>
      <c r="AQ1237" s="174" t="n"/>
      <c r="AR1237" s="406" t="inlineStr">
        <is>
          <t>Nhóm 1</t>
        </is>
      </c>
      <c r="AS1237" s="406" t="n"/>
      <c r="AT1237" s="406" t="inlineStr">
        <is>
          <t>HM37</t>
        </is>
      </c>
      <c r="AU1237" s="406" t="inlineStr">
        <is>
          <t>PYC</t>
        </is>
      </c>
      <c r="AV1237" s="406" t="n">
        <v>52</v>
      </c>
      <c r="AW1237" s="406" t="n">
        <v>7</v>
      </c>
      <c r="AX1237" s="406" t="n"/>
    </row>
    <row r="1238">
      <c r="A1238" s="413" t="inlineStr">
        <is>
          <t>NTCV</t>
        </is>
      </c>
      <c r="B1238" s="413" t="inlineStr">
        <is>
          <t>K.9999</t>
        </is>
      </c>
      <c r="C1238" s="413" t="inlineStr">
        <is>
          <t>NTCV.0287556</t>
        </is>
      </c>
      <c r="D1238" s="414" t="n"/>
      <c r="E1238" s="414" t="n"/>
      <c r="F1238" s="414" t="n"/>
      <c r="G1238" s="414" t="n"/>
      <c r="H1238" s="414" t="n"/>
      <c r="J1238" s="161" t="inlineStr">
        <is>
          <t>32</t>
        </is>
      </c>
      <c r="K1238" s="161" t="inlineStr">
        <is>
          <t>K.9999</t>
        </is>
      </c>
      <c r="L1238" s="162" t="inlineStr">
        <is>
          <t>Đắp hoàn trả hố móng</t>
        </is>
      </c>
      <c r="M1238" s="162" t="n"/>
      <c r="N1238" s="162" t="n"/>
      <c r="O1238" s="163" t="inlineStr">
        <is>
          <t>Cầu Km19+529.080</t>
        </is>
      </c>
      <c r="P1238" s="409">
        <f>S1235</f>
        <v/>
      </c>
      <c r="Q1238" s="409">
        <f>P1238+5</f>
        <v/>
      </c>
      <c r="R1238" s="415">
        <f>Q1238-1</f>
        <v/>
      </c>
      <c r="S1238" s="415">
        <f>Q1238</f>
        <v/>
      </c>
      <c r="T1238" s="416" t="n">
        <v>0.3541666666666667</v>
      </c>
      <c r="U1238" s="416">
        <f>+T1238+V2763</f>
        <v/>
      </c>
      <c r="V1238" s="416" t="n">
        <v>0.04166666666666666</v>
      </c>
      <c r="W1238" s="411">
        <f>TEXT(T1238,"HH""h""MM'")&amp;"÷"&amp;TEXT(U1238,"HH""h""MM'")</f>
        <v/>
      </c>
      <c r="X1238" s="411" t="n"/>
      <c r="Y1238" s="411" t="n"/>
      <c r="Z1238" s="411" t="inlineStr">
        <is>
          <t>12;</t>
        </is>
      </c>
      <c r="AA1238" s="166" t="inlineStr">
        <is>
          <t>Đắp hoàn trả hố móng Bệ trụ T2</t>
        </is>
      </c>
      <c r="AB1238" s="150" t="inlineStr">
        <is>
          <t>307HG/YCNT/BM/T2-7</t>
        </is>
      </c>
      <c r="AC1238" s="166" t="inlineStr">
        <is>
          <t>307HG/BBNT/BM/T2-10</t>
        </is>
      </c>
      <c r="AD1238" s="166" t="n"/>
      <c r="AE1238" s="166" t="n"/>
      <c r="AF1238" s="166" t="n"/>
      <c r="AG1238" s="166" t="n"/>
      <c r="AH1238" s="166" t="n"/>
      <c r="AI1238" s="411" t="n"/>
      <c r="AJ1238" s="411" t="n"/>
      <c r="AK1238" s="412" t="n"/>
      <c r="AL1238" s="411" t="n"/>
      <c r="AM1238" s="411" t="n"/>
      <c r="AN1238" s="411" t="n"/>
      <c r="AO1238" s="411" t="n"/>
      <c r="AP1238" s="167" t="n"/>
      <c r="AQ1238" s="167" t="n"/>
      <c r="AR1238" s="411" t="inlineStr">
        <is>
          <t>Nhóm 1</t>
        </is>
      </c>
      <c r="AS1238" s="411" t="n"/>
      <c r="AT1238" s="411" t="inlineStr">
        <is>
          <t>HM37</t>
        </is>
      </c>
      <c r="AU1238" s="411" t="inlineStr">
        <is>
          <t>NTCV</t>
        </is>
      </c>
      <c r="AV1238" s="411" t="n">
        <v>390</v>
      </c>
      <c r="AW1238" s="411" t="n">
        <v>9</v>
      </c>
      <c r="AX1238" s="411" t="n"/>
    </row>
    <row r="1239">
      <c r="A1239" s="413" t="inlineStr">
        <is>
          <t>BBK366</t>
        </is>
      </c>
      <c r="B1239" s="413" t="inlineStr">
        <is>
          <t>PL12</t>
        </is>
      </c>
      <c r="C1239" s="413" t="inlineStr">
        <is>
          <t>BBK366.0750104</t>
        </is>
      </c>
      <c r="D1239" s="414" t="n"/>
      <c r="E1239" s="414" t="n"/>
      <c r="F1239" s="414" t="n"/>
      <c r="G1239" s="414" t="n"/>
      <c r="H1239" s="414" t="n"/>
      <c r="J1239" s="139" t="inlineStr">
        <is>
          <t>33</t>
        </is>
      </c>
      <c r="K1239" s="139" t="inlineStr">
        <is>
          <t>PL12</t>
        </is>
      </c>
      <c r="L1239" s="140" t="inlineStr">
        <is>
          <t>Phụ lục 12</t>
        </is>
      </c>
      <c r="M1239" s="140" t="n"/>
      <c r="N1239" s="140" t="n"/>
      <c r="O1239" s="141" t="inlineStr">
        <is>
          <t>Cầu Km19+529.080</t>
        </is>
      </c>
      <c r="P1239" s="382" t="n"/>
      <c r="Q1239" s="382" t="n"/>
      <c r="R1239" s="382" t="n"/>
      <c r="S1239" s="382">
        <f>S1238</f>
        <v/>
      </c>
      <c r="T1239" s="382" t="n"/>
      <c r="U1239" s="382" t="n"/>
      <c r="V1239" s="382" t="n"/>
      <c r="W1239" s="384" t="n"/>
      <c r="X1239" s="384" t="n"/>
      <c r="Y1239" s="384" t="n"/>
      <c r="Z1239" s="139" t="inlineStr">
        <is>
          <t>12</t>
        </is>
      </c>
      <c r="AA1239" s="144" t="n"/>
      <c r="AB1239" s="144" t="n"/>
      <c r="AC1239" s="144" t="inlineStr">
        <is>
          <t>307HG/BBNT/BM/T2-10</t>
        </is>
      </c>
      <c r="AD1239" s="144" t="n"/>
      <c r="AE1239" s="144" t="n"/>
      <c r="AF1239" s="144" t="n"/>
      <c r="AG1239" s="144" t="n"/>
      <c r="AH1239" s="145" t="inlineStr">
        <is>
          <t>BM-T2</t>
        </is>
      </c>
      <c r="AI1239" s="384" t="n"/>
      <c r="AJ1239" s="384" t="n"/>
      <c r="AK1239" s="386" t="n"/>
      <c r="AL1239" s="384" t="n"/>
      <c r="AM1239" s="384" t="n"/>
      <c r="AN1239" s="384" t="n"/>
      <c r="AO1239" s="384" t="n"/>
      <c r="AP1239" s="146" t="n"/>
      <c r="AQ1239" s="146" t="inlineStr">
        <is>
          <t>Ảnh\đắp bệ trụ T2.png</t>
        </is>
      </c>
      <c r="AR1239" s="384" t="inlineStr">
        <is>
          <t>Nhóm 1</t>
        </is>
      </c>
      <c r="AS1239" s="384" t="n"/>
      <c r="AT1239" s="384" t="inlineStr">
        <is>
          <t>HM37</t>
        </is>
      </c>
      <c r="AU1239" s="384" t="inlineStr">
        <is>
          <t>PL12</t>
        </is>
      </c>
      <c r="AV1239" s="384" t="n">
        <v>2</v>
      </c>
      <c r="AW1239" s="384" t="n">
        <v>1</v>
      </c>
      <c r="AX1239" s="384" t="n"/>
    </row>
    <row r="1240">
      <c r="A1240" s="56" t="inlineStr">
        <is>
          <t>HM</t>
        </is>
      </c>
      <c r="B1240" s="56" t="inlineStr">
        <is>
          <t>HM</t>
        </is>
      </c>
      <c r="C1240" s="56" t="inlineStr">
        <is>
          <t>HM.0853855</t>
        </is>
      </c>
      <c r="D1240" s="57" t="n"/>
      <c r="E1240" s="57" t="n"/>
      <c r="F1240" s="57" t="n"/>
      <c r="G1240" s="57" t="n"/>
      <c r="H1240" s="57" t="n"/>
      <c r="J1240" s="387" t="inlineStr">
        <is>
          <t>HM38</t>
        </is>
      </c>
      <c r="K1240" s="387" t="inlineStr">
        <is>
          <t>HM</t>
        </is>
      </c>
      <c r="L1240" s="388" t="inlineStr">
        <is>
          <t>Thân mố M1 đợt 1</t>
        </is>
      </c>
      <c r="M1240" s="388" t="n"/>
      <c r="N1240" s="388" t="n"/>
      <c r="O1240" s="389" t="n"/>
      <c r="P1240" s="390" t="n"/>
      <c r="Q1240" s="390" t="n"/>
      <c r="R1240" s="390" t="n"/>
      <c r="S1240" s="390" t="n"/>
      <c r="T1240" s="390" t="n"/>
      <c r="U1240" s="390" t="n"/>
      <c r="V1240" s="390" t="n"/>
      <c r="W1240" s="391" t="n"/>
      <c r="X1240" s="391" t="n"/>
      <c r="Y1240" s="391" t="n"/>
      <c r="Z1240" s="391" t="n"/>
      <c r="AA1240" s="392" t="n"/>
      <c r="AB1240" s="392" t="n"/>
      <c r="AC1240" s="392" t="n"/>
      <c r="AD1240" s="392" t="n"/>
      <c r="AE1240" s="392" t="n"/>
      <c r="AF1240" s="392" t="n"/>
      <c r="AG1240" s="392" t="n"/>
      <c r="AH1240" s="392" t="n"/>
      <c r="AI1240" s="391" t="n"/>
      <c r="AJ1240" s="391" t="n"/>
      <c r="AK1240" s="393" t="n"/>
      <c r="AL1240" s="391" t="n"/>
      <c r="AM1240" s="391" t="n"/>
      <c r="AN1240" s="391" t="n"/>
      <c r="AO1240" s="391" t="n"/>
      <c r="AP1240" s="394" t="n"/>
      <c r="AQ1240" s="394" t="n"/>
      <c r="AR1240" s="391" t="n"/>
      <c r="AS1240" s="391" t="n"/>
      <c r="AT1240" s="391" t="inlineStr">
        <is>
          <t>HM38</t>
        </is>
      </c>
      <c r="AU1240" s="391" t="inlineStr">
        <is>
          <t>HM</t>
        </is>
      </c>
      <c r="AV1240" s="391" t="n"/>
      <c r="AW1240" s="391" t="n"/>
      <c r="AX1240" s="391" t="n"/>
    </row>
    <row r="1241" ht="28" customFormat="1" customHeight="1" s="70">
      <c r="A1241" s="68" t="inlineStr">
        <is>
          <t>BBK_BIA</t>
        </is>
      </c>
      <c r="B1241" s="68" t="inlineStr">
        <is>
          <t>TRANGBIA</t>
        </is>
      </c>
      <c r="C1241" s="68" t="inlineStr">
        <is>
          <t>BBK_BIA.0255918</t>
        </is>
      </c>
      <c r="D1241" s="69" t="n"/>
      <c r="E1241" s="69" t="n"/>
      <c r="F1241" s="69" t="n"/>
      <c r="G1241" s="69" t="n"/>
      <c r="H1241" s="69" t="n"/>
      <c r="J1241" s="327" t="inlineStr">
        <is>
          <t>01</t>
        </is>
      </c>
      <c r="K1241" s="327" t="inlineStr">
        <is>
          <t>TRANGBIA</t>
        </is>
      </c>
      <c r="L1241" s="328">
        <f>L1240</f>
        <v/>
      </c>
      <c r="M1241" s="328" t="n"/>
      <c r="N1241" s="328" t="n"/>
      <c r="O1241" s="329" t="inlineStr">
        <is>
          <t>Cầu Km19+529.080</t>
        </is>
      </c>
      <c r="P1241" s="330" t="n"/>
      <c r="Q1241" s="330" t="n"/>
      <c r="R1241" s="330" t="n"/>
      <c r="S1241" s="330" t="n"/>
      <c r="T1241" s="330" t="n"/>
      <c r="U1241" s="330" t="n"/>
      <c r="V1241" s="330" t="n"/>
      <c r="W1241" s="331" t="n"/>
      <c r="X1241" s="331" t="n"/>
      <c r="Y1241" s="331" t="n"/>
      <c r="Z1241" s="331" t="n"/>
      <c r="AA1241" s="331" t="n"/>
      <c r="AB1241" s="331" t="n"/>
      <c r="AC1241" s="331" t="inlineStr"/>
      <c r="AD1241" s="331" t="n"/>
      <c r="AE1241" s="331" t="n"/>
      <c r="AF1241" s="331" t="n"/>
      <c r="AG1241" s="331" t="n"/>
      <c r="AH1241" s="331" t="n"/>
      <c r="AI1241" s="331" t="n"/>
      <c r="AJ1241" s="331" t="n"/>
      <c r="AK1241" s="329" t="n"/>
      <c r="AL1241" s="331" t="n"/>
      <c r="AM1241" s="331" t="n"/>
      <c r="AN1241" s="331" t="n"/>
      <c r="AO1241" s="331" t="n"/>
      <c r="AP1241" s="332">
        <f>L1241</f>
        <v/>
      </c>
      <c r="AQ1241" s="333" t="n"/>
      <c r="AR1241" s="331" t="inlineStr">
        <is>
          <t>Nhóm 1</t>
        </is>
      </c>
      <c r="AS1241" s="331" t="n"/>
      <c r="AT1241" s="331" t="inlineStr">
        <is>
          <t>HM38</t>
        </is>
      </c>
      <c r="AU1241" s="331" t="inlineStr">
        <is>
          <t>TRANGBIA</t>
        </is>
      </c>
      <c r="AV1241" s="331" t="n">
        <v>38</v>
      </c>
      <c r="AW1241" s="331" t="n">
        <v>1</v>
      </c>
      <c r="AX1241" s="331" t="n"/>
    </row>
    <row r="1242" customFormat="1" s="70">
      <c r="A1242" s="68" t="inlineStr">
        <is>
          <t>BBK_ML</t>
        </is>
      </c>
      <c r="B1242" s="68" t="inlineStr">
        <is>
          <t>MUCLUC</t>
        </is>
      </c>
      <c r="C1242" s="68" t="inlineStr">
        <is>
          <t>BBK_ML.0347275</t>
        </is>
      </c>
      <c r="D1242" s="69" t="n"/>
      <c r="E1242" s="69" t="n"/>
      <c r="F1242" s="69" t="n"/>
      <c r="G1242" s="69" t="n"/>
      <c r="H1242" s="69" t="n"/>
      <c r="J1242" s="395" t="inlineStr">
        <is>
          <t>02</t>
        </is>
      </c>
      <c r="K1242" s="395" t="inlineStr">
        <is>
          <t>MUCLUC</t>
        </is>
      </c>
      <c r="L1242" s="396" t="inlineStr">
        <is>
          <t>Danh mục biên bản Kiểm tra/Nghiệm thu</t>
        </is>
      </c>
      <c r="M1242" s="396" t="n"/>
      <c r="N1242" s="396" t="n"/>
      <c r="O1242" s="397" t="inlineStr">
        <is>
          <t>Cầu Km19+529.080</t>
        </is>
      </c>
      <c r="P1242" s="398" t="n"/>
      <c r="Q1242" s="398" t="n"/>
      <c r="R1242" s="398" t="n"/>
      <c r="S1242" s="398" t="n"/>
      <c r="T1242" s="398" t="n"/>
      <c r="U1242" s="398" t="n"/>
      <c r="V1242" s="398" t="n"/>
      <c r="W1242" s="399" t="n"/>
      <c r="X1242" s="399" t="n"/>
      <c r="Y1242" s="399" t="n"/>
      <c r="Z1242" s="399" t="n"/>
      <c r="AA1242" s="399" t="n"/>
      <c r="AB1242" s="399" t="n"/>
      <c r="AC1242" s="399" t="inlineStr"/>
      <c r="AD1242" s="399" t="n"/>
      <c r="AE1242" s="399" t="n"/>
      <c r="AF1242" s="399" t="n"/>
      <c r="AG1242" s="399" t="n"/>
      <c r="AH1242" s="399" t="n"/>
      <c r="AI1242" s="399" t="n"/>
      <c r="AJ1242" s="399" t="n"/>
      <c r="AK1242" s="397" t="n"/>
      <c r="AL1242" s="399" t="n"/>
      <c r="AM1242" s="399" t="n"/>
      <c r="AN1242" s="399" t="n"/>
      <c r="AO1242" s="399" t="n"/>
      <c r="AP1242" s="400" t="n"/>
      <c r="AQ1242" s="400" t="n"/>
      <c r="AR1242" s="399" t="inlineStr">
        <is>
          <t>Nhóm 1</t>
        </is>
      </c>
      <c r="AS1242" s="399" t="n"/>
      <c r="AT1242" s="399" t="inlineStr">
        <is>
          <t>HM38</t>
        </is>
      </c>
      <c r="AU1242" s="399" t="inlineStr">
        <is>
          <t>MUCLUC</t>
        </is>
      </c>
      <c r="AV1242" s="399" t="n">
        <v>38</v>
      </c>
      <c r="AW1242" s="399" t="n">
        <v>1</v>
      </c>
      <c r="AX1242" s="399" t="n"/>
    </row>
    <row r="1243">
      <c r="A1243" s="56" t="inlineStr">
        <is>
          <t>BBK680</t>
        </is>
      </c>
      <c r="B1243" s="56" t="inlineStr">
        <is>
          <t>PYC</t>
        </is>
      </c>
      <c r="C1243" s="56" t="inlineStr">
        <is>
          <t>BBK680.0868065</t>
        </is>
      </c>
      <c r="D1243" s="57" t="n"/>
      <c r="E1243" s="57" t="n"/>
      <c r="F1243" s="57" t="n"/>
      <c r="G1243" s="57" t="n"/>
      <c r="H1243" s="57" t="n"/>
      <c r="J1243" s="108" t="inlineStr">
        <is>
          <t>03</t>
        </is>
      </c>
      <c r="K1243" s="108" t="inlineStr">
        <is>
          <t>PYC</t>
        </is>
      </c>
      <c r="L1243" s="109" t="inlineStr">
        <is>
          <t>phiếu yêu cầu</t>
        </is>
      </c>
      <c r="M1243" s="109" t="n"/>
      <c r="N1243" s="109" t="n"/>
      <c r="O1243" s="110" t="inlineStr">
        <is>
          <t>Cầu Km19+529.080</t>
        </is>
      </c>
      <c r="P1243" s="401" t="n"/>
      <c r="Q1243" s="401" t="n"/>
      <c r="R1243" s="401">
        <f>R1244</f>
        <v/>
      </c>
      <c r="S1243" s="401">
        <f>+R1243+1</f>
        <v/>
      </c>
      <c r="T1243" s="402">
        <f>T1244</f>
        <v/>
      </c>
      <c r="U1243" s="402">
        <f>U1244</f>
        <v/>
      </c>
      <c r="V1243" s="402">
        <f>V1244</f>
        <v/>
      </c>
      <c r="W1243" s="402">
        <f>W1244</f>
        <v/>
      </c>
      <c r="X1243" s="403" t="n"/>
      <c r="Y1243" s="403" t="n"/>
      <c r="Z1243" s="403" t="n"/>
      <c r="AA1243" s="113" t="n"/>
      <c r="AB1243" s="113" t="inlineStr">
        <is>
          <t>307HG/YCNT/TM/M1/Đ1</t>
        </is>
      </c>
      <c r="AC1243" s="113" t="n"/>
      <c r="AD1243" s="113" t="n"/>
      <c r="AE1243" s="113" t="n"/>
      <c r="AF1243" s="113" t="n"/>
      <c r="AG1243" s="113" t="inlineStr">
        <is>
          <t>BBKTĐK</t>
        </is>
      </c>
      <c r="AH1243" s="113" t="n">
        <v>1</v>
      </c>
      <c r="AI1243" s="403" t="n"/>
      <c r="AJ1243" s="403" t="n"/>
      <c r="AK1243" s="404" t="n"/>
      <c r="AL1243" s="403" t="n"/>
      <c r="AM1243" s="403" t="n"/>
      <c r="AN1243" s="403" t="n"/>
      <c r="AO1243" s="403" t="n"/>
      <c r="AP1243" s="115" t="n"/>
      <c r="AQ1243" s="115" t="n"/>
      <c r="AR1243" s="403" t="inlineStr">
        <is>
          <t>Nhóm 1</t>
        </is>
      </c>
      <c r="AS1243" s="403" t="n"/>
      <c r="AT1243" s="403" t="inlineStr">
        <is>
          <t>HM38</t>
        </is>
      </c>
      <c r="AU1243" s="403" t="inlineStr">
        <is>
          <t>PYC</t>
        </is>
      </c>
      <c r="AV1243" s="403" t="n">
        <v>55</v>
      </c>
      <c r="AW1243" s="403" t="n">
        <v>1</v>
      </c>
      <c r="AX1243" s="403" t="n"/>
    </row>
    <row r="1244" ht="28" customHeight="1" s="672">
      <c r="A1244" s="56" t="inlineStr">
        <is>
          <t>BBK884</t>
        </is>
      </c>
      <c r="B1244" s="56" t="inlineStr">
        <is>
          <t>BBKTĐK</t>
        </is>
      </c>
      <c r="C1244" s="56" t="inlineStr">
        <is>
          <t>BBK884.0858614</t>
        </is>
      </c>
      <c r="D1244" s="57" t="n"/>
      <c r="E1244" s="57" t="n"/>
      <c r="F1244" s="57" t="n"/>
      <c r="G1244" s="57" t="n"/>
      <c r="H1244" s="57" t="n"/>
      <c r="J1244" s="139" t="inlineStr">
        <is>
          <t>04</t>
        </is>
      </c>
      <c r="K1244" s="139" t="inlineStr">
        <is>
          <t>BBKTĐK</t>
        </is>
      </c>
      <c r="L1244" s="140" t="inlineStr">
        <is>
          <t>Kiểm tra điều kiện trước khi thi công thân mố M1 (đợt 1)</t>
        </is>
      </c>
      <c r="M1244" s="140" t="n"/>
      <c r="N1244" s="140" t="n"/>
      <c r="O1244" s="141" t="inlineStr">
        <is>
          <t>Cầu Km19+529.080</t>
        </is>
      </c>
      <c r="P1244" s="382">
        <f>S1129+2</f>
        <v/>
      </c>
      <c r="Q1244" s="382">
        <f>P1244</f>
        <v/>
      </c>
      <c r="R1244" s="382">
        <f>Q1244-1</f>
        <v/>
      </c>
      <c r="S1244" s="382">
        <f>Q1244</f>
        <v/>
      </c>
      <c r="T1244" s="383" t="n">
        <v>0.3541666666666667</v>
      </c>
      <c r="U1244" s="383">
        <f>T1244+V1244</f>
        <v/>
      </c>
      <c r="V1244" s="383" t="n">
        <v>0.0625</v>
      </c>
      <c r="W1244" s="384">
        <f>TEXT(T1244,"HH""h""MM'")&amp;"÷"&amp;TEXT(U1244,"HH""h""MM'")</f>
        <v/>
      </c>
      <c r="X1244" s="384" t="n"/>
      <c r="Y1244" s="384" t="n"/>
      <c r="Z1244" s="384" t="inlineStr">
        <is>
          <t>01;</t>
        </is>
      </c>
      <c r="AA1244" s="144" t="inlineStr">
        <is>
          <t>Kiểm tra điều kiện trước khi thi công thân mố M1 (đợt 1)</t>
        </is>
      </c>
      <c r="AB1244" s="144" t="inlineStr">
        <is>
          <t>307HG/YCNT/TM/M1/Đ1-1</t>
        </is>
      </c>
      <c r="AC1244" s="144" t="inlineStr">
        <is>
          <t>307HG/BBNT/TM/M1/Đ1-1</t>
        </is>
      </c>
      <c r="AD1244" s="144" t="n"/>
      <c r="AE1244" s="144" t="n"/>
      <c r="AF1244" s="144" t="n"/>
      <c r="AG1244" s="144" t="n"/>
      <c r="AH1244" s="144" t="n"/>
      <c r="AI1244" s="384" t="n"/>
      <c r="AJ1244" s="384" t="n"/>
      <c r="AK1244" s="386" t="n"/>
      <c r="AL1244" s="384" t="n"/>
      <c r="AM1244" s="384" t="n"/>
      <c r="AN1244" s="384" t="n"/>
      <c r="AO1244" s="384" t="n"/>
      <c r="AP1244" s="146" t="n"/>
      <c r="AQ1244" s="146" t="n"/>
      <c r="AR1244" s="384" t="inlineStr">
        <is>
          <t>Nhóm 1</t>
        </is>
      </c>
      <c r="AS1244" s="384" t="n"/>
      <c r="AT1244" s="384" t="inlineStr">
        <is>
          <t>HM38</t>
        </is>
      </c>
      <c r="AU1244" s="384" t="inlineStr">
        <is>
          <t>BBKTĐK</t>
        </is>
      </c>
      <c r="AV1244" s="384" t="n">
        <v>31</v>
      </c>
      <c r="AW1244" s="384" t="n">
        <v>1</v>
      </c>
      <c r="AX1244" s="384" t="n"/>
    </row>
    <row r="1245">
      <c r="A1245" s="56" t="inlineStr">
        <is>
          <t>BBK860</t>
        </is>
      </c>
      <c r="B1245" s="56" t="inlineStr">
        <is>
          <t>PL01</t>
        </is>
      </c>
      <c r="C1245" s="56" t="inlineStr">
        <is>
          <t>BBK860.0415713</t>
        </is>
      </c>
      <c r="D1245" s="57" t="n"/>
      <c r="E1245" s="57" t="n"/>
      <c r="F1245" s="57" t="n"/>
      <c r="G1245" s="57" t="n"/>
      <c r="H1245" s="57" t="n"/>
      <c r="J1245" s="168" t="inlineStr">
        <is>
          <t>05</t>
        </is>
      </c>
      <c r="K1245" s="168" t="inlineStr">
        <is>
          <t>PL01</t>
        </is>
      </c>
      <c r="L1245" s="169" t="inlineStr">
        <is>
          <t>Phụ lục số 01</t>
        </is>
      </c>
      <c r="M1245" s="169" t="n"/>
      <c r="N1245" s="169" t="n"/>
      <c r="O1245" s="170" t="inlineStr">
        <is>
          <t>Cầu Km19+529.080</t>
        </is>
      </c>
      <c r="P1245" s="405" t="n"/>
      <c r="Q1245" s="405" t="n"/>
      <c r="R1245" s="405" t="n"/>
      <c r="S1245" s="405">
        <f>S1244</f>
        <v/>
      </c>
      <c r="T1245" s="405" t="n"/>
      <c r="U1245" s="405" t="n"/>
      <c r="V1245" s="405" t="n"/>
      <c r="W1245" s="406" t="n"/>
      <c r="X1245" s="406" t="n"/>
      <c r="Y1245" s="406" t="n"/>
      <c r="Z1245" s="168" t="inlineStr">
        <is>
          <t>01</t>
        </is>
      </c>
      <c r="AA1245" s="173" t="n"/>
      <c r="AB1245" s="173" t="n"/>
      <c r="AC1245" s="173">
        <f>+AC1244</f>
        <v/>
      </c>
      <c r="AD1245" s="173" t="n"/>
      <c r="AE1245" s="173" t="n"/>
      <c r="AF1245" s="173" t="n"/>
      <c r="AG1245" s="173" t="n"/>
      <c r="AH1245" s="407" t="inlineStr">
        <is>
          <t>TM-M1</t>
        </is>
      </c>
      <c r="AI1245" s="406" t="n"/>
      <c r="AJ1245" s="406" t="n"/>
      <c r="AK1245" s="408" t="n"/>
      <c r="AL1245" s="406" t="n"/>
      <c r="AM1245" s="406" t="n"/>
      <c r="AN1245" s="406" t="n"/>
      <c r="AO1245" s="406" t="n"/>
      <c r="AP1245" s="174" t="n"/>
      <c r="AQ1245" s="174" t="n"/>
      <c r="AR1245" s="406" t="inlineStr">
        <is>
          <t>Nhóm 1</t>
        </is>
      </c>
      <c r="AS1245" s="406" t="n"/>
      <c r="AT1245" s="406" t="inlineStr">
        <is>
          <t>HM38</t>
        </is>
      </c>
      <c r="AU1245" s="406" t="inlineStr">
        <is>
          <t>PL01</t>
        </is>
      </c>
      <c r="AV1245" s="406" t="n">
        <v>35</v>
      </c>
      <c r="AW1245" s="406" t="n">
        <v>1</v>
      </c>
      <c r="AX1245" s="406" t="n"/>
    </row>
    <row r="1246">
      <c r="A1246" s="56" t="inlineStr">
        <is>
          <t>BBK680</t>
        </is>
      </c>
      <c r="B1246" s="56" t="inlineStr">
        <is>
          <t>PYC</t>
        </is>
      </c>
      <c r="C1246" s="56" t="inlineStr">
        <is>
          <t>BBK680.0595674</t>
        </is>
      </c>
      <c r="D1246" s="57" t="n"/>
      <c r="E1246" s="57" t="n"/>
      <c r="F1246" s="57" t="n"/>
      <c r="G1246" s="57" t="n"/>
      <c r="H1246" s="57" t="n"/>
      <c r="J1246" s="168" t="inlineStr">
        <is>
          <t>06</t>
        </is>
      </c>
      <c r="K1246" s="168" t="inlineStr">
        <is>
          <t>PYC</t>
        </is>
      </c>
      <c r="L1246" s="169" t="inlineStr">
        <is>
          <t>phiếu yêu cầu</t>
        </is>
      </c>
      <c r="M1246" s="169" t="n"/>
      <c r="N1246" s="169" t="n"/>
      <c r="O1246" s="170" t="inlineStr">
        <is>
          <t>Cầu Km19+529.080</t>
        </is>
      </c>
      <c r="P1246" s="405" t="n"/>
      <c r="Q1246" s="405" t="n"/>
      <c r="R1246" s="423">
        <f>R1247</f>
        <v/>
      </c>
      <c r="S1246" s="405">
        <f>+R1246+1</f>
        <v/>
      </c>
      <c r="T1246" s="424">
        <f>T1247</f>
        <v/>
      </c>
      <c r="U1246" s="424">
        <f>U1247</f>
        <v/>
      </c>
      <c r="V1246" s="424">
        <f>V2772</f>
        <v/>
      </c>
      <c r="W1246" s="424">
        <f>W1247</f>
        <v/>
      </c>
      <c r="X1246" s="406" t="n"/>
      <c r="Y1246" s="406" t="n"/>
      <c r="Z1246" s="406" t="n"/>
      <c r="AA1246" s="173" t="n"/>
      <c r="AB1246" s="173" t="inlineStr">
        <is>
          <t>307HG/YCNT/TM/M1/Đ1</t>
        </is>
      </c>
      <c r="AC1246" s="173" t="n"/>
      <c r="AD1246" s="173" t="n"/>
      <c r="AE1246" s="173" t="n"/>
      <c r="AF1246" s="173" t="n"/>
      <c r="AG1246" s="129" t="inlineStr">
        <is>
          <t>NTCV</t>
        </is>
      </c>
      <c r="AH1246" s="173" t="inlineStr">
        <is>
          <t>1;4</t>
        </is>
      </c>
      <c r="AI1246" s="406" t="n"/>
      <c r="AJ1246" s="406" t="n"/>
      <c r="AK1246" s="408" t="n"/>
      <c r="AL1246" s="406" t="n"/>
      <c r="AM1246" s="406" t="n"/>
      <c r="AN1246" s="406" t="n"/>
      <c r="AO1246" s="406" t="n"/>
      <c r="AP1246" s="174" t="n"/>
      <c r="AQ1246" s="174" t="n"/>
      <c r="AR1246" s="406" t="inlineStr">
        <is>
          <t>Nhóm 1</t>
        </is>
      </c>
      <c r="AS1246" s="406" t="n"/>
      <c r="AT1246" s="406" t="inlineStr">
        <is>
          <t>HM38</t>
        </is>
      </c>
      <c r="AU1246" s="406" t="inlineStr">
        <is>
          <t>PYC</t>
        </is>
      </c>
      <c r="AV1246" s="406" t="n">
        <v>58</v>
      </c>
      <c r="AW1246" s="406" t="n">
        <v>2</v>
      </c>
      <c r="AX1246" s="406" t="n"/>
    </row>
    <row r="1247" ht="28" customHeight="1" s="672">
      <c r="A1247" s="413" t="inlineStr">
        <is>
          <t>NTCV</t>
        </is>
      </c>
      <c r="B1247" s="413" t="inlineStr">
        <is>
          <t>K.9999</t>
        </is>
      </c>
      <c r="C1247" s="413" t="inlineStr">
        <is>
          <t>NTCV.0189521</t>
        </is>
      </c>
      <c r="D1247" s="414" t="n"/>
      <c r="E1247" s="414" t="n"/>
      <c r="F1247" s="414" t="n"/>
      <c r="G1247" s="414" t="n"/>
      <c r="H1247" s="414" t="n"/>
      <c r="J1247" s="161" t="inlineStr">
        <is>
          <t>07</t>
        </is>
      </c>
      <c r="K1247" s="161" t="inlineStr">
        <is>
          <t>K.9999</t>
        </is>
      </c>
      <c r="L1247" s="162" t="inlineStr">
        <is>
          <t>Công tác chuẩn bị đổ bê tông lót thân mố</t>
        </is>
      </c>
      <c r="M1247" s="162" t="n"/>
      <c r="N1247" s="162" t="n"/>
      <c r="O1247" s="163" t="inlineStr">
        <is>
          <t>Cầu Km19+529.080</t>
        </is>
      </c>
      <c r="P1247" s="409">
        <f>+S1244+1</f>
        <v/>
      </c>
      <c r="Q1247" s="409">
        <f>+P1247</f>
        <v/>
      </c>
      <c r="R1247" s="409">
        <f>+Q1247-1</f>
        <v/>
      </c>
      <c r="S1247" s="409">
        <f>+Q1247</f>
        <v/>
      </c>
      <c r="T1247" s="410" t="n">
        <v>0.375</v>
      </c>
      <c r="U1247" s="410">
        <f>+T1247+V2772</f>
        <v/>
      </c>
      <c r="V1247" s="410" t="n">
        <v>0.04166666666666666</v>
      </c>
      <c r="W1247" s="411">
        <f>TEXT(T1247,"HH""h""MM'")&amp;"÷"&amp;TEXT(U1247,"HH""h""MM'")</f>
        <v/>
      </c>
      <c r="X1247" s="411" t="n"/>
      <c r="Y1247" s="411" t="n"/>
      <c r="Z1247" s="411" t="inlineStr">
        <is>
          <t>05;</t>
        </is>
      </c>
      <c r="AA1247" s="166" t="inlineStr">
        <is>
          <t>Kiểm tra công tác chuẩn bị đổ bê tông lót Thân mố M1</t>
        </is>
      </c>
      <c r="AB1247" s="166" t="inlineStr">
        <is>
          <t>307HG/YCNT/TM/M1/Đ1-2</t>
        </is>
      </c>
      <c r="AC1247" s="166" t="inlineStr">
        <is>
          <t>307HG/BBNT/TM/M1/Đ1-2</t>
        </is>
      </c>
      <c r="AD1247" s="166" t="n"/>
      <c r="AE1247" s="166" t="n"/>
      <c r="AF1247" s="166" t="n"/>
      <c r="AG1247" s="166" t="n"/>
      <c r="AH1247" s="166" t="n"/>
      <c r="AI1247" s="411" t="n"/>
      <c r="AJ1247" s="411" t="n"/>
      <c r="AK1247" s="412" t="n"/>
      <c r="AL1247" s="411" t="n"/>
      <c r="AM1247" s="411" t="n"/>
      <c r="AN1247" s="411" t="n"/>
      <c r="AO1247" s="411" t="n"/>
      <c r="AP1247" s="167" t="n"/>
      <c r="AQ1247" s="167" t="n"/>
      <c r="AR1247" s="411" t="inlineStr">
        <is>
          <t>Nhóm 1</t>
        </is>
      </c>
      <c r="AS1247" s="411" t="n"/>
      <c r="AT1247" s="411" t="inlineStr">
        <is>
          <t>HM38</t>
        </is>
      </c>
      <c r="AU1247" s="411" t="inlineStr">
        <is>
          <t>NTCV</t>
        </is>
      </c>
      <c r="AV1247" s="411" t="n">
        <v>393</v>
      </c>
      <c r="AW1247" s="411" t="n">
        <v>1</v>
      </c>
      <c r="AX1247" s="411" t="n"/>
    </row>
    <row r="1248">
      <c r="A1248" s="413" t="inlineStr">
        <is>
          <t>BBK229</t>
        </is>
      </c>
      <c r="B1248" s="413" t="inlineStr">
        <is>
          <t>PL05.1</t>
        </is>
      </c>
      <c r="C1248" s="413" t="inlineStr">
        <is>
          <t>BBK229.0944295</t>
        </is>
      </c>
      <c r="D1248" s="414" t="n"/>
      <c r="E1248" s="414" t="n"/>
      <c r="F1248" s="414" t="n"/>
      <c r="G1248" s="414" t="n"/>
      <c r="H1248" s="414" t="n"/>
      <c r="J1248" s="139" t="inlineStr">
        <is>
          <t>08</t>
        </is>
      </c>
      <c r="K1248" s="139" t="inlineStr">
        <is>
          <t>PL05.1</t>
        </is>
      </c>
      <c r="L1248" s="140">
        <f>L1247</f>
        <v/>
      </c>
      <c r="M1248" s="140" t="n"/>
      <c r="N1248" s="140" t="n"/>
      <c r="O1248" s="141" t="inlineStr">
        <is>
          <t>Cầu Km19+529.080</t>
        </is>
      </c>
      <c r="P1248" s="382" t="n"/>
      <c r="Q1248" s="382" t="n"/>
      <c r="R1248" s="382" t="n"/>
      <c r="S1248" s="382">
        <f>S1247</f>
        <v/>
      </c>
      <c r="T1248" s="382" t="n"/>
      <c r="U1248" s="382" t="n"/>
      <c r="V1248" s="382" t="n"/>
      <c r="W1248" s="384" t="n"/>
      <c r="X1248" s="384" t="n"/>
      <c r="Y1248" s="384" t="n"/>
      <c r="Z1248" s="139" t="inlineStr">
        <is>
          <t>05</t>
        </is>
      </c>
      <c r="AA1248" s="144" t="n"/>
      <c r="AB1248" s="144" t="n"/>
      <c r="AC1248" s="144">
        <f>+AC1247</f>
        <v/>
      </c>
      <c r="AD1248" s="144" t="n"/>
      <c r="AE1248" s="144" t="n"/>
      <c r="AF1248" s="144" t="n"/>
      <c r="AG1248" s="144" t="n"/>
      <c r="AH1248" s="144" t="inlineStr">
        <is>
          <t>C10</t>
        </is>
      </c>
      <c r="AI1248" s="384" t="n"/>
      <c r="AJ1248" s="384" t="n"/>
      <c r="AK1248" s="386" t="n"/>
      <c r="AL1248" s="384" t="n"/>
      <c r="AM1248" s="384" t="n"/>
      <c r="AN1248" s="384" t="n"/>
      <c r="AO1248" s="384" t="n"/>
      <c r="AP1248" s="146" t="n"/>
      <c r="AQ1248" s="146" t="n"/>
      <c r="AR1248" s="384" t="inlineStr">
        <is>
          <t>Nhóm 1</t>
        </is>
      </c>
      <c r="AS1248" s="384" t="n"/>
      <c r="AT1248" s="384" t="inlineStr">
        <is>
          <t>HM38</t>
        </is>
      </c>
      <c r="AU1248" s="384" t="inlineStr">
        <is>
          <t>PL05.1</t>
        </is>
      </c>
      <c r="AV1248" s="384" t="n">
        <v>4</v>
      </c>
      <c r="AW1248" s="384" t="n">
        <v>1</v>
      </c>
      <c r="AX1248" s="384" t="n"/>
    </row>
    <row r="1249">
      <c r="A1249" s="413" t="inlineStr">
        <is>
          <t>NTCV</t>
        </is>
      </c>
      <c r="B1249" s="413" t="inlineStr">
        <is>
          <t>K.9999</t>
        </is>
      </c>
      <c r="C1249" s="413" t="inlineStr">
        <is>
          <t>NTCV.0258526</t>
        </is>
      </c>
      <c r="D1249" s="414" t="n"/>
      <c r="E1249" s="414" t="n"/>
      <c r="F1249" s="414" t="n"/>
      <c r="G1249" s="414" t="n"/>
      <c r="H1249" s="414" t="n"/>
      <c r="J1249" s="131" t="inlineStr">
        <is>
          <t>09</t>
        </is>
      </c>
      <c r="K1249" s="131" t="inlineStr">
        <is>
          <t>K.9999</t>
        </is>
      </c>
      <c r="L1249" s="132" t="inlineStr">
        <is>
          <t>Công tác đổ bê tông lót</t>
        </is>
      </c>
      <c r="M1249" s="132" t="n"/>
      <c r="N1249" s="132" t="n"/>
      <c r="O1249" s="133" t="inlineStr">
        <is>
          <t>Cầu Km19+529.080</t>
        </is>
      </c>
      <c r="P1249" s="419">
        <f>S1247</f>
        <v/>
      </c>
      <c r="Q1249" s="419">
        <f>P1249+1</f>
        <v/>
      </c>
      <c r="R1249" s="415">
        <f>+Q1249-2</f>
        <v/>
      </c>
      <c r="S1249" s="415">
        <f>+Q1249</f>
        <v/>
      </c>
      <c r="T1249" s="420">
        <f>T1250</f>
        <v/>
      </c>
      <c r="U1249" s="420">
        <f>+T1249+V1249</f>
        <v/>
      </c>
      <c r="V1249" s="420" t="n">
        <v>0.03125</v>
      </c>
      <c r="W1249" s="411">
        <f>TEXT(T1249,"HH""h""MM'")&amp;"÷"&amp;TEXT(U1249,"HH""h""MM'")</f>
        <v/>
      </c>
      <c r="X1249" s="421" t="n"/>
      <c r="Y1249" s="421" t="n"/>
      <c r="Z1249" s="421" t="inlineStr">
        <is>
          <t>06;</t>
        </is>
      </c>
      <c r="AA1249" s="136" t="inlineStr">
        <is>
          <t>Theo dõi đổ bê tông lót Thân mố M1</t>
        </is>
      </c>
      <c r="AB1249" s="150" t="inlineStr">
        <is>
          <t>307HG/YCNT/BM/T2-2</t>
        </is>
      </c>
      <c r="AC1249" s="166" t="inlineStr">
        <is>
          <t>307HG/BBNT/TM/M1/Đ1-3</t>
        </is>
      </c>
      <c r="AD1249" s="136" t="n"/>
      <c r="AE1249" s="136" t="n"/>
      <c r="AF1249" s="136" t="n"/>
      <c r="AG1249" s="136" t="n"/>
      <c r="AH1249" s="136" t="n"/>
      <c r="AI1249" s="421" t="n"/>
      <c r="AJ1249" s="421" t="n"/>
      <c r="AK1249" s="422" t="n"/>
      <c r="AL1249" s="421" t="n"/>
      <c r="AM1249" s="421" t="n"/>
      <c r="AN1249" s="421" t="n"/>
      <c r="AO1249" s="421" t="n"/>
      <c r="AP1249" s="138" t="n"/>
      <c r="AQ1249" s="138" t="n"/>
      <c r="AR1249" s="421" t="inlineStr">
        <is>
          <t>Nhóm 1</t>
        </is>
      </c>
      <c r="AS1249" s="421" t="n"/>
      <c r="AT1249" s="421" t="inlineStr">
        <is>
          <t>HM38</t>
        </is>
      </c>
      <c r="AU1249" s="421" t="inlineStr">
        <is>
          <t>NTCV</t>
        </is>
      </c>
      <c r="AV1249" s="421" t="n">
        <v>404</v>
      </c>
      <c r="AW1249" s="421" t="n">
        <v>4</v>
      </c>
      <c r="AX1249" s="421" t="n"/>
    </row>
    <row r="1250">
      <c r="A1250" s="413" t="inlineStr">
        <is>
          <t>BBK832</t>
        </is>
      </c>
      <c r="B1250" s="413" t="inlineStr">
        <is>
          <t>PL06.1</t>
        </is>
      </c>
      <c r="C1250" s="413" t="inlineStr">
        <is>
          <t>BBK832.0017675</t>
        </is>
      </c>
      <c r="D1250" s="414" t="n"/>
      <c r="E1250" s="414" t="n"/>
      <c r="F1250" s="414" t="n"/>
      <c r="G1250" s="414" t="n"/>
      <c r="H1250" s="414" t="n"/>
      <c r="J1250" s="124" t="inlineStr">
        <is>
          <t>10</t>
        </is>
      </c>
      <c r="K1250" s="124" t="inlineStr">
        <is>
          <t>PL06.1</t>
        </is>
      </c>
      <c r="L1250" s="125">
        <f>+L1249</f>
        <v/>
      </c>
      <c r="M1250" s="125" t="n"/>
      <c r="N1250" s="125" t="n"/>
      <c r="O1250" s="126" t="inlineStr">
        <is>
          <t>Cầu Km19+529.080</t>
        </is>
      </c>
      <c r="P1250" s="423" t="n"/>
      <c r="Q1250" s="423" t="n"/>
      <c r="R1250" s="423" t="n"/>
      <c r="S1250" s="423">
        <f>+S1249</f>
        <v/>
      </c>
      <c r="T1250" s="424" t="n">
        <v>0.3958333333333333</v>
      </c>
      <c r="U1250" s="424">
        <f>T1250+V2775</f>
        <v/>
      </c>
      <c r="V1250" s="424" t="n">
        <v>0.02083333333333333</v>
      </c>
      <c r="W1250" s="425" t="n"/>
      <c r="X1250" s="425" t="n"/>
      <c r="Y1250" s="425" t="n"/>
      <c r="Z1250" s="124" t="inlineStr">
        <is>
          <t>06</t>
        </is>
      </c>
      <c r="AA1250" s="129" t="n"/>
      <c r="AB1250" s="129" t="n"/>
      <c r="AC1250" s="129">
        <f>+AC1249</f>
        <v/>
      </c>
      <c r="AD1250" s="129" t="n"/>
      <c r="AE1250" s="129" t="n"/>
      <c r="AF1250" s="129" t="n"/>
      <c r="AG1250" s="129" t="n"/>
      <c r="AH1250" s="426" t="inlineStr">
        <is>
          <t>C10-TM-M1</t>
        </is>
      </c>
      <c r="AI1250" s="425" t="n"/>
      <c r="AJ1250" s="425" t="n"/>
      <c r="AK1250" s="427" t="n"/>
      <c r="AL1250" s="425" t="n"/>
      <c r="AM1250" s="425" t="n"/>
      <c r="AN1250" s="425" t="n"/>
      <c r="AO1250" s="425" t="n"/>
      <c r="AP1250" s="130" t="n"/>
      <c r="AQ1250" s="130" t="n"/>
      <c r="AR1250" s="425" t="inlineStr">
        <is>
          <t>Nhóm 1</t>
        </is>
      </c>
      <c r="AS1250" s="425" t="n"/>
      <c r="AT1250" s="425" t="inlineStr">
        <is>
          <t>HM38</t>
        </is>
      </c>
      <c r="AU1250" s="425" t="inlineStr">
        <is>
          <t>PL06.1</t>
        </is>
      </c>
      <c r="AV1250" s="425" t="n">
        <v>4</v>
      </c>
      <c r="AW1250" s="425" t="n">
        <v>1</v>
      </c>
      <c r="AX1250" s="425" t="n"/>
    </row>
    <row r="1251">
      <c r="A1251" s="413" t="inlineStr">
        <is>
          <t>LMHT</t>
        </is>
      </c>
      <c r="B1251" s="413" t="inlineStr">
        <is>
          <t>LMHT</t>
        </is>
      </c>
      <c r="C1251" s="413" t="inlineStr">
        <is>
          <t>LMHT.0322199</t>
        </is>
      </c>
      <c r="D1251" s="414" t="inlineStr">
        <is>
          <t>TC.000041|TC.000182|TC.000169.A</t>
        </is>
      </c>
      <c r="E1251" s="414" t="n"/>
      <c r="F1251" s="414" t="inlineStr">
        <is>
          <t>CP.0001^Bê tông lót Thân mố M1^Hình trụ 15x30 (cm)^3^C10 (10Mpa)^^^TC.000041|TC.000182|TC.000169.A</t>
        </is>
      </c>
      <c r="G1251" s="414" t="n"/>
      <c r="H1251" s="414" t="n"/>
      <c r="J1251" s="175" t="inlineStr">
        <is>
          <t>11</t>
        </is>
      </c>
      <c r="K1251" s="175" t="inlineStr">
        <is>
          <t>LMHT</t>
        </is>
      </c>
      <c r="L1251" s="176" t="inlineStr">
        <is>
          <t>Bê tông lót Thân mố M1</t>
        </is>
      </c>
      <c r="M1251" s="176" t="n"/>
      <c r="N1251" s="176" t="n"/>
      <c r="O1251" s="177" t="inlineStr">
        <is>
          <t>Cầu Km19+529.080</t>
        </is>
      </c>
      <c r="P1251" s="299" t="n"/>
      <c r="Q1251" s="299" t="n"/>
      <c r="R1251" s="299" t="n"/>
      <c r="S1251" s="299">
        <f>S1249</f>
        <v/>
      </c>
      <c r="T1251" s="300">
        <f>T1250</f>
        <v/>
      </c>
      <c r="U1251" s="300">
        <f>U1250</f>
        <v/>
      </c>
      <c r="V1251" s="300">
        <f>V1250</f>
        <v/>
      </c>
      <c r="W1251" s="301" t="n"/>
      <c r="X1251" s="301" t="n"/>
      <c r="Y1251" s="301" t="n"/>
      <c r="Z1251" s="301" t="n"/>
      <c r="AA1251" s="180" t="n"/>
      <c r="AB1251" s="180" t="n"/>
      <c r="AC1251" s="180" t="n"/>
      <c r="AD1251" s="180" t="n"/>
      <c r="AE1251" s="180" t="n"/>
      <c r="AF1251" s="180" t="n"/>
      <c r="AG1251" s="180" t="n"/>
      <c r="AH1251" s="180" t="n"/>
      <c r="AI1251" s="301" t="n"/>
      <c r="AJ1251" s="301" t="n"/>
      <c r="AK1251" s="303" t="n"/>
      <c r="AL1251" s="301" t="n"/>
      <c r="AM1251" s="301" t="n"/>
      <c r="AN1251" s="301" t="n"/>
      <c r="AO1251" s="301" t="n"/>
      <c r="AP1251" s="181" t="n"/>
      <c r="AQ1251" s="181" t="n"/>
      <c r="AR1251" s="301" t="inlineStr">
        <is>
          <t>Nhóm 1</t>
        </is>
      </c>
      <c r="AS1251" s="301" t="n"/>
      <c r="AT1251" s="301" t="inlineStr">
        <is>
          <t>HM38</t>
        </is>
      </c>
      <c r="AU1251" s="301" t="inlineStr">
        <is>
          <t>LMHT</t>
        </is>
      </c>
      <c r="AV1251" s="301" t="n">
        <v>40</v>
      </c>
      <c r="AW1251" s="301" t="n">
        <v>1</v>
      </c>
      <c r="AX1251" s="301" t="n"/>
    </row>
    <row r="1252" ht="28" customHeight="1" s="672">
      <c r="A1252" s="56" t="inlineStr">
        <is>
          <t>NTCV</t>
        </is>
      </c>
      <c r="B1252" s="56" t="inlineStr">
        <is>
          <t>K.9999</t>
        </is>
      </c>
      <c r="C1252" s="56" t="inlineStr">
        <is>
          <t>NTCV.0600215</t>
        </is>
      </c>
      <c r="D1252" s="57" t="n"/>
      <c r="E1252" s="57" t="n"/>
      <c r="F1252" s="57" t="n"/>
      <c r="G1252" s="57" t="n"/>
      <c r="H1252" s="57" t="n"/>
      <c r="J1252" s="147" t="inlineStr">
        <is>
          <t>12</t>
        </is>
      </c>
      <c r="K1252" s="147" t="inlineStr">
        <is>
          <t>K.9999</t>
        </is>
      </c>
      <c r="L1252" s="148" t="inlineStr">
        <is>
          <t>Lắp dựng ván khuôn, thanh xuyên táo thân mố M1 (đợt 1)</t>
        </is>
      </c>
      <c r="M1252" s="148" t="n"/>
      <c r="N1252" s="148" t="n"/>
      <c r="O1252" s="149" t="inlineStr">
        <is>
          <t>Cầu Km19+529.080</t>
        </is>
      </c>
      <c r="P1252" s="415">
        <f>S1244+1</f>
        <v/>
      </c>
      <c r="Q1252" s="415">
        <f>P1252</f>
        <v/>
      </c>
      <c r="R1252" s="415">
        <f>Q1252-2</f>
        <v/>
      </c>
      <c r="S1252" s="415">
        <f>Q1252</f>
        <v/>
      </c>
      <c r="T1252" s="416" t="n">
        <v>0.375</v>
      </c>
      <c r="U1252" s="416">
        <f>+T1252+V1252</f>
        <v/>
      </c>
      <c r="V1252" s="416" t="n">
        <v>0.02083333333333333</v>
      </c>
      <c r="W1252" s="417">
        <f>TEXT(T1252,"HH""h""MM'")&amp;"÷"&amp;TEXT(U1252,"HH""h""MM'")</f>
        <v/>
      </c>
      <c r="X1252" s="417" t="n"/>
      <c r="Y1252" s="417" t="n"/>
      <c r="Z1252" s="417" t="inlineStr">
        <is>
          <t>02;</t>
        </is>
      </c>
      <c r="AA1252" s="150" t="inlineStr">
        <is>
          <t>Lắp dựng ván khuôn, thanh xuyên táo thân mố M1 (đợt 1)</t>
        </is>
      </c>
      <c r="AB1252" s="150" t="inlineStr">
        <is>
          <t>307HG/YCNT/TM/M1/Đ1-1</t>
        </is>
      </c>
      <c r="AC1252" s="166" t="inlineStr">
        <is>
          <t>307HG/BBNT/TM/M1/Đ1-4</t>
        </is>
      </c>
      <c r="AD1252" s="150" t="n"/>
      <c r="AE1252" s="150" t="n"/>
      <c r="AF1252" s="150" t="n"/>
      <c r="AG1252" s="150" t="n"/>
      <c r="AH1252" s="150" t="n"/>
      <c r="AI1252" s="417" t="n"/>
      <c r="AJ1252" s="417" t="n"/>
      <c r="AK1252" s="418" t="n"/>
      <c r="AL1252" s="417" t="n"/>
      <c r="AM1252" s="417" t="n"/>
      <c r="AN1252" s="417" t="n"/>
      <c r="AO1252" s="417" t="n"/>
      <c r="AP1252" s="151" t="n"/>
      <c r="AQ1252" s="151" t="n"/>
      <c r="AR1252" s="417" t="inlineStr">
        <is>
          <t>Nhóm 1</t>
        </is>
      </c>
      <c r="AS1252" s="417" t="n"/>
      <c r="AT1252" s="417" t="inlineStr">
        <is>
          <t>HM38</t>
        </is>
      </c>
      <c r="AU1252" s="417" t="inlineStr">
        <is>
          <t>NTCV</t>
        </is>
      </c>
      <c r="AV1252" s="417" t="n">
        <v>394</v>
      </c>
      <c r="AW1252" s="417" t="n">
        <v>2</v>
      </c>
      <c r="AX1252" s="417" t="n"/>
    </row>
    <row r="1253">
      <c r="A1253" s="56" t="inlineStr">
        <is>
          <t>BBK288</t>
        </is>
      </c>
      <c r="B1253" s="56" t="inlineStr">
        <is>
          <t>PL11.1</t>
        </is>
      </c>
      <c r="C1253" s="56" t="inlineStr">
        <is>
          <t>BBK288.0378900</t>
        </is>
      </c>
      <c r="D1253" s="57" t="n"/>
      <c r="E1253" s="57" t="n"/>
      <c r="F1253" s="57" t="n"/>
      <c r="G1253" s="57" t="n"/>
      <c r="H1253" s="57" t="n"/>
      <c r="J1253" s="108" t="inlineStr">
        <is>
          <t>13</t>
        </is>
      </c>
      <c r="K1253" s="108" t="inlineStr">
        <is>
          <t>PL11.1</t>
        </is>
      </c>
      <c r="L1253" s="109" t="inlineStr">
        <is>
          <t>Phụ lục số 11</t>
        </is>
      </c>
      <c r="M1253" s="109" t="n"/>
      <c r="N1253" s="109" t="n"/>
      <c r="O1253" s="110" t="inlineStr">
        <is>
          <t>Cầu Km19+529.080</t>
        </is>
      </c>
      <c r="P1253" s="401" t="n"/>
      <c r="Q1253" s="401" t="n"/>
      <c r="R1253" s="401" t="n"/>
      <c r="S1253" s="401">
        <f>S1252</f>
        <v/>
      </c>
      <c r="T1253" s="401" t="n"/>
      <c r="U1253" s="401" t="n"/>
      <c r="V1253" s="401" t="n"/>
      <c r="W1253" s="403" t="n"/>
      <c r="X1253" s="403" t="n"/>
      <c r="Y1253" s="403" t="n"/>
      <c r="Z1253" s="108" t="inlineStr">
        <is>
          <t>02</t>
        </is>
      </c>
      <c r="AA1253" s="113" t="n"/>
      <c r="AB1253" s="113" t="n"/>
      <c r="AC1253" s="113">
        <f>+AC1252</f>
        <v/>
      </c>
      <c r="AD1253" s="113" t="n"/>
      <c r="AE1253" s="113" t="n"/>
      <c r="AF1253" s="113" t="n"/>
      <c r="AG1253" s="113" t="n"/>
      <c r="AH1253" s="114" t="inlineStr">
        <is>
          <t>TM-M1-Đ1</t>
        </is>
      </c>
      <c r="AI1253" s="403" t="n"/>
      <c r="AJ1253" s="403" t="n"/>
      <c r="AK1253" s="404" t="n"/>
      <c r="AL1253" s="403" t="n"/>
      <c r="AM1253" s="403" t="n"/>
      <c r="AN1253" s="403" t="n"/>
      <c r="AO1253" s="403" t="n"/>
      <c r="AP1253" s="115" t="n"/>
      <c r="AQ1253" s="115" t="inlineStr">
        <is>
          <t>Ảnh\Thân mố M1.png</t>
        </is>
      </c>
      <c r="AR1253" s="403" t="inlineStr">
        <is>
          <t>Nhóm 1</t>
        </is>
      </c>
      <c r="AS1253" s="403" t="n"/>
      <c r="AT1253" s="403" t="inlineStr">
        <is>
          <t>HM38</t>
        </is>
      </c>
      <c r="AU1253" s="403" t="inlineStr">
        <is>
          <t>PL11.1</t>
        </is>
      </c>
      <c r="AV1253" s="403" t="n">
        <v>4</v>
      </c>
      <c r="AW1253" s="403" t="n">
        <v>1</v>
      </c>
      <c r="AX1253" s="403" t="n"/>
    </row>
    <row r="1254">
      <c r="A1254" s="56" t="inlineStr">
        <is>
          <t>BBK680</t>
        </is>
      </c>
      <c r="B1254" s="56" t="inlineStr">
        <is>
          <t>PYC</t>
        </is>
      </c>
      <c r="C1254" s="56" t="inlineStr">
        <is>
          <t>BBK680.0642148</t>
        </is>
      </c>
      <c r="D1254" s="57" t="n"/>
      <c r="E1254" s="57" t="n"/>
      <c r="F1254" s="57" t="n"/>
      <c r="G1254" s="57" t="n"/>
      <c r="H1254" s="57" t="n"/>
      <c r="J1254" s="168" t="inlineStr">
        <is>
          <t>14</t>
        </is>
      </c>
      <c r="K1254" s="168" t="inlineStr">
        <is>
          <t>PYC</t>
        </is>
      </c>
      <c r="L1254" s="169" t="inlineStr">
        <is>
          <t>phiếu yêu cầu</t>
        </is>
      </c>
      <c r="M1254" s="169" t="n"/>
      <c r="N1254" s="169" t="n"/>
      <c r="O1254" s="170" t="inlineStr">
        <is>
          <t>Cầu Km19+529.080</t>
        </is>
      </c>
      <c r="P1254" s="405" t="n"/>
      <c r="Q1254" s="405" t="n"/>
      <c r="R1254" s="401">
        <f>R1255</f>
        <v/>
      </c>
      <c r="S1254" s="405">
        <f>+R1254+1</f>
        <v/>
      </c>
      <c r="T1254" s="402">
        <f>T1255</f>
        <v/>
      </c>
      <c r="U1254" s="402">
        <f>U1255</f>
        <v/>
      </c>
      <c r="V1254" s="402">
        <f>V1255</f>
        <v/>
      </c>
      <c r="W1254" s="402">
        <f>W1255</f>
        <v/>
      </c>
      <c r="X1254" s="406" t="n"/>
      <c r="Y1254" s="406" t="n"/>
      <c r="Z1254" s="168" t="inlineStr">
        <is>
          <t>02</t>
        </is>
      </c>
      <c r="AA1254" s="173" t="n"/>
      <c r="AB1254" s="173" t="inlineStr">
        <is>
          <t>307HG/YCNT/TM/M1/Đ1</t>
        </is>
      </c>
      <c r="AC1254" s="173" t="n"/>
      <c r="AD1254" s="173" t="n"/>
      <c r="AE1254" s="173" t="n"/>
      <c r="AF1254" s="173" t="n"/>
      <c r="AG1254" s="129" t="inlineStr">
        <is>
          <t>NTCV</t>
        </is>
      </c>
      <c r="AH1254" s="173" t="inlineStr">
        <is>
          <t>3;5;6</t>
        </is>
      </c>
      <c r="AI1254" s="406" t="n"/>
      <c r="AJ1254" s="406" t="n"/>
      <c r="AK1254" s="408" t="n"/>
      <c r="AL1254" s="406" t="n"/>
      <c r="AM1254" s="406" t="n"/>
      <c r="AN1254" s="406" t="n"/>
      <c r="AO1254" s="406" t="n"/>
      <c r="AP1254" s="174" t="n"/>
      <c r="AQ1254" s="174" t="n"/>
      <c r="AR1254" s="406" t="inlineStr">
        <is>
          <t>Nhóm 1</t>
        </is>
      </c>
      <c r="AS1254" s="406" t="n"/>
      <c r="AT1254" s="406" t="inlineStr">
        <is>
          <t>HM38</t>
        </is>
      </c>
      <c r="AU1254" s="406" t="inlineStr">
        <is>
          <t>PYC</t>
        </is>
      </c>
      <c r="AV1254" s="406" t="n">
        <v>60</v>
      </c>
      <c r="AW1254" s="406" t="n">
        <v>3</v>
      </c>
      <c r="AX1254" s="406" t="n"/>
    </row>
    <row r="1255">
      <c r="A1255" s="413" t="inlineStr">
        <is>
          <t>NTCV</t>
        </is>
      </c>
      <c r="B1255" s="413" t="inlineStr">
        <is>
          <t>K.9999</t>
        </is>
      </c>
      <c r="C1255" s="413" t="inlineStr">
        <is>
          <t>NTCV.0741991</t>
        </is>
      </c>
      <c r="D1255" s="414" t="n"/>
      <c r="E1255" s="414" t="n"/>
      <c r="F1255" s="414" t="n"/>
      <c r="G1255" s="414" t="n"/>
      <c r="H1255" s="414" t="n"/>
      <c r="J1255" s="147" t="inlineStr">
        <is>
          <t>15</t>
        </is>
      </c>
      <c r="K1255" s="147" t="inlineStr">
        <is>
          <t>K.9999</t>
        </is>
      </c>
      <c r="L1255" s="148" t="inlineStr">
        <is>
          <t>Kiểm tra cốt thép thân mố M1 (đợt 1)</t>
        </is>
      </c>
      <c r="M1255" s="148" t="n"/>
      <c r="N1255" s="148" t="n"/>
      <c r="O1255" s="149" t="inlineStr">
        <is>
          <t>Cầu Km19+529.080</t>
        </is>
      </c>
      <c r="P1255" s="415">
        <f>+S1252+1</f>
        <v/>
      </c>
      <c r="Q1255" s="415">
        <f>+P1255</f>
        <v/>
      </c>
      <c r="R1255" s="415">
        <f>+Q1255-1</f>
        <v/>
      </c>
      <c r="S1255" s="415">
        <f>+Q1255</f>
        <v/>
      </c>
      <c r="T1255" s="416" t="n">
        <v>0.375</v>
      </c>
      <c r="U1255" s="416">
        <f>+T1255+V1255</f>
        <v/>
      </c>
      <c r="V1255" s="416" t="n">
        <v>0.04166666666666666</v>
      </c>
      <c r="W1255" s="411">
        <f>TEXT(T1255,"HH""h""MM'")&amp;"÷"&amp;TEXT(U1255,"HH""h""MM'")</f>
        <v/>
      </c>
      <c r="X1255" s="417" t="n"/>
      <c r="Y1255" s="417" t="n"/>
      <c r="Z1255" s="417" t="inlineStr">
        <is>
          <t>03;</t>
        </is>
      </c>
      <c r="AA1255" s="150" t="inlineStr">
        <is>
          <t>Kiểm tra cốt thép thân mố M1 (đợt 1)</t>
        </is>
      </c>
      <c r="AB1255" s="150" t="inlineStr">
        <is>
          <t>307HG/YCNT/TM/M1/Đ1-3</t>
        </is>
      </c>
      <c r="AC1255" s="150" t="inlineStr">
        <is>
          <t>307HG/BBNT/TM/M1/Đ1-5</t>
        </is>
      </c>
      <c r="AD1255" s="150" t="n"/>
      <c r="AE1255" s="150" t="n"/>
      <c r="AF1255" s="150" t="n"/>
      <c r="AG1255" s="150" t="n"/>
      <c r="AH1255" s="150" t="n"/>
      <c r="AI1255" s="417" t="n"/>
      <c r="AJ1255" s="417" t="n"/>
      <c r="AK1255" s="418" t="n"/>
      <c r="AL1255" s="417" t="n"/>
      <c r="AM1255" s="417" t="n"/>
      <c r="AN1255" s="417" t="n"/>
      <c r="AO1255" s="417" t="n"/>
      <c r="AP1255" s="151" t="n"/>
      <c r="AQ1255" s="151" t="n"/>
      <c r="AR1255" s="417" t="inlineStr">
        <is>
          <t>Nhóm 1</t>
        </is>
      </c>
      <c r="AS1255" s="417" t="n"/>
      <c r="AT1255" s="417" t="inlineStr">
        <is>
          <t>HM38</t>
        </is>
      </c>
      <c r="AU1255" s="417" t="inlineStr">
        <is>
          <t>NTCV</t>
        </is>
      </c>
      <c r="AV1255" s="417" t="n">
        <v>401</v>
      </c>
      <c r="AW1255" s="417" t="n">
        <v>3</v>
      </c>
      <c r="AX1255" s="417" t="n"/>
    </row>
    <row r="1256">
      <c r="A1256" s="413" t="inlineStr">
        <is>
          <t>BBK469</t>
        </is>
      </c>
      <c r="B1256" s="413" t="inlineStr">
        <is>
          <t>PL08.1</t>
        </is>
      </c>
      <c r="C1256" s="413" t="inlineStr">
        <is>
          <t>BBK469.0711202</t>
        </is>
      </c>
      <c r="D1256" s="414" t="n"/>
      <c r="E1256" s="414" t="n"/>
      <c r="F1256" s="414" t="n"/>
      <c r="G1256" s="414" t="n"/>
      <c r="H1256" s="414" t="n"/>
      <c r="J1256" s="108" t="inlineStr">
        <is>
          <t>16</t>
        </is>
      </c>
      <c r="K1256" s="108" t="inlineStr">
        <is>
          <t>PL08.1</t>
        </is>
      </c>
      <c r="L1256" s="109">
        <f>L1255</f>
        <v/>
      </c>
      <c r="M1256" s="109" t="n"/>
      <c r="N1256" s="109" t="n"/>
      <c r="O1256" s="110" t="inlineStr">
        <is>
          <t>Cầu Km19+529.080</t>
        </is>
      </c>
      <c r="P1256" s="401" t="n"/>
      <c r="Q1256" s="401" t="n"/>
      <c r="R1256" s="401" t="n"/>
      <c r="S1256" s="401">
        <f>S1255</f>
        <v/>
      </c>
      <c r="T1256" s="401" t="n"/>
      <c r="U1256" s="401" t="n"/>
      <c r="V1256" s="401" t="n"/>
      <c r="W1256" s="403" t="n"/>
      <c r="X1256" s="403" t="n"/>
      <c r="Y1256" s="403" t="n"/>
      <c r="Z1256" s="108" t="inlineStr">
        <is>
          <t>03</t>
        </is>
      </c>
      <c r="AA1256" s="113" t="n"/>
      <c r="AB1256" s="113" t="n"/>
      <c r="AC1256" s="113">
        <f>+AC1255</f>
        <v/>
      </c>
      <c r="AD1256" s="113" t="n"/>
      <c r="AE1256" s="113" t="n"/>
      <c r="AF1256" s="113" t="n"/>
      <c r="AG1256" s="113" t="n"/>
      <c r="AH1256" s="113" t="inlineStr">
        <is>
          <t>TM-M1-Đ1</t>
        </is>
      </c>
      <c r="AI1256" s="403" t="n"/>
      <c r="AJ1256" s="403" t="n"/>
      <c r="AK1256" s="404" t="n"/>
      <c r="AL1256" s="403" t="n"/>
      <c r="AM1256" s="403" t="n"/>
      <c r="AN1256" s="403" t="n"/>
      <c r="AO1256" s="403" t="n"/>
      <c r="AP1256" s="115" t="n"/>
      <c r="AQ1256" s="115" t="n"/>
      <c r="AR1256" s="403" t="inlineStr">
        <is>
          <t>Nhóm 1</t>
        </is>
      </c>
      <c r="AS1256" s="403" t="n"/>
      <c r="AT1256" s="403" t="inlineStr">
        <is>
          <t>HM38</t>
        </is>
      </c>
      <c r="AU1256" s="403" t="inlineStr">
        <is>
          <t>PL08.1</t>
        </is>
      </c>
      <c r="AV1256" s="403" t="n">
        <v>5</v>
      </c>
      <c r="AW1256" s="403" t="n">
        <v>1</v>
      </c>
      <c r="AX1256" s="403" t="n"/>
    </row>
    <row r="1257" ht="28" customHeight="1" s="672">
      <c r="A1257" s="413" t="inlineStr">
        <is>
          <t>NTCV</t>
        </is>
      </c>
      <c r="B1257" s="413" t="inlineStr">
        <is>
          <t>K.9999</t>
        </is>
      </c>
      <c r="C1257" s="413" t="inlineStr">
        <is>
          <t>NTCV.0184855</t>
        </is>
      </c>
      <c r="D1257" s="414" t="n"/>
      <c r="E1257" s="414" t="n"/>
      <c r="F1257" s="414" t="n"/>
      <c r="G1257" s="414" t="n"/>
      <c r="H1257" s="414" t="n"/>
      <c r="J1257" s="131" t="inlineStr">
        <is>
          <t>17</t>
        </is>
      </c>
      <c r="K1257" s="131" t="inlineStr">
        <is>
          <t>K.9999</t>
        </is>
      </c>
      <c r="L1257" s="132" t="inlineStr">
        <is>
          <t>Công tác chuẩn bị đổ bê tông thân mố M1 (đợt 1)</t>
        </is>
      </c>
      <c r="M1257" s="132" t="n"/>
      <c r="N1257" s="132" t="n"/>
      <c r="O1257" s="133" t="inlineStr">
        <is>
          <t>Cầu Km19+529.080</t>
        </is>
      </c>
      <c r="P1257" s="419">
        <f>S1255</f>
        <v/>
      </c>
      <c r="Q1257" s="419">
        <f>P1257+1</f>
        <v/>
      </c>
      <c r="R1257" s="415">
        <f>+Q1257-2</f>
        <v/>
      </c>
      <c r="S1257" s="415">
        <f>+Q1257</f>
        <v/>
      </c>
      <c r="T1257" s="420" t="n">
        <v>0.3333333333333333</v>
      </c>
      <c r="U1257" s="420">
        <f>+T1257+V1257</f>
        <v/>
      </c>
      <c r="V1257" s="420" t="n">
        <v>0.02083333333333333</v>
      </c>
      <c r="W1257" s="417">
        <f>TEXT(T1257,"HH""h""MM'")&amp;"÷"&amp;TEXT(U1257,"HH""h""MM'")</f>
        <v/>
      </c>
      <c r="X1257" s="421" t="n"/>
      <c r="Y1257" s="421" t="n"/>
      <c r="Z1257" s="421" t="inlineStr">
        <is>
          <t>04;</t>
        </is>
      </c>
      <c r="AA1257" s="136" t="inlineStr">
        <is>
          <t>Công tác chuẩn bị đổ bê tông thân mố M1 (đợt 1)</t>
        </is>
      </c>
      <c r="AB1257" s="150" t="inlineStr">
        <is>
          <t>307HG/YCNT/TM/M1/Đ1-3</t>
        </is>
      </c>
      <c r="AC1257" s="136" t="inlineStr">
        <is>
          <t>307HG/BBNT/TM/M1/Đ1-6</t>
        </is>
      </c>
      <c r="AD1257" s="136" t="n"/>
      <c r="AE1257" s="136" t="n"/>
      <c r="AF1257" s="136" t="n"/>
      <c r="AG1257" s="136" t="n"/>
      <c r="AH1257" s="136" t="n"/>
      <c r="AI1257" s="421" t="n"/>
      <c r="AJ1257" s="421" t="n"/>
      <c r="AK1257" s="422" t="n"/>
      <c r="AL1257" s="421" t="n"/>
      <c r="AM1257" s="421" t="n"/>
      <c r="AN1257" s="421" t="n"/>
      <c r="AO1257" s="421" t="n"/>
      <c r="AP1257" s="138" t="n"/>
      <c r="AQ1257" s="138" t="n"/>
      <c r="AR1257" s="421" t="inlineStr">
        <is>
          <t>Nhóm 1</t>
        </is>
      </c>
      <c r="AS1257" s="421" t="n"/>
      <c r="AT1257" s="421" t="inlineStr">
        <is>
          <t>HM38</t>
        </is>
      </c>
      <c r="AU1257" s="421" t="inlineStr">
        <is>
          <t>NTCV</t>
        </is>
      </c>
      <c r="AV1257" s="421" t="n">
        <v>405</v>
      </c>
      <c r="AW1257" s="421" t="n">
        <v>5</v>
      </c>
      <c r="AX1257" s="421" t="n"/>
    </row>
    <row r="1258">
      <c r="A1258" s="413" t="inlineStr">
        <is>
          <t>BBK209</t>
        </is>
      </c>
      <c r="B1258" s="413" t="inlineStr">
        <is>
          <t>PL09</t>
        </is>
      </c>
      <c r="C1258" s="413" t="inlineStr">
        <is>
          <t>BBK209.0057535</t>
        </is>
      </c>
      <c r="D1258" s="414" t="n"/>
      <c r="E1258" s="414" t="n"/>
      <c r="F1258" s="414" t="n"/>
      <c r="G1258" s="414" t="n"/>
      <c r="H1258" s="414" t="n"/>
      <c r="J1258" s="124" t="inlineStr">
        <is>
          <t>18</t>
        </is>
      </c>
      <c r="K1258" s="124" t="inlineStr">
        <is>
          <t>PL09</t>
        </is>
      </c>
      <c r="L1258" s="125">
        <f>+L1257</f>
        <v/>
      </c>
      <c r="M1258" s="125" t="n"/>
      <c r="N1258" s="125" t="n"/>
      <c r="O1258" s="126" t="inlineStr">
        <is>
          <t>Cầu Km19+529.080</t>
        </is>
      </c>
      <c r="P1258" s="423" t="n"/>
      <c r="Q1258" s="423" t="n"/>
      <c r="R1258" s="423">
        <f>+R1259</f>
        <v/>
      </c>
      <c r="S1258" s="423">
        <f>+S1257</f>
        <v/>
      </c>
      <c r="T1258" s="424" t="n"/>
      <c r="U1258" s="424" t="n"/>
      <c r="V1258" s="424" t="n"/>
      <c r="W1258" s="425" t="n"/>
      <c r="X1258" s="425" t="n"/>
      <c r="Y1258" s="425" t="n"/>
      <c r="Z1258" s="124" t="inlineStr">
        <is>
          <t>04</t>
        </is>
      </c>
      <c r="AA1258" s="129" t="n"/>
      <c r="AB1258" s="129" t="n"/>
      <c r="AC1258" s="129">
        <f>+AC1257</f>
        <v/>
      </c>
      <c r="AD1258" s="129" t="n"/>
      <c r="AE1258" s="129" t="n"/>
      <c r="AF1258" s="129" t="n"/>
      <c r="AG1258" s="129" t="n"/>
      <c r="AH1258" s="129" t="inlineStr">
        <is>
          <t>C30</t>
        </is>
      </c>
      <c r="AI1258" s="425" t="n"/>
      <c r="AJ1258" s="425" t="n"/>
      <c r="AK1258" s="427" t="n"/>
      <c r="AL1258" s="425" t="n"/>
      <c r="AM1258" s="425" t="n"/>
      <c r="AN1258" s="425" t="n"/>
      <c r="AO1258" s="425" t="n"/>
      <c r="AP1258" s="130" t="n"/>
      <c r="AQ1258" s="130" t="n"/>
      <c r="AR1258" s="425" t="inlineStr">
        <is>
          <t>Nhóm 1</t>
        </is>
      </c>
      <c r="AS1258" s="425" t="n"/>
      <c r="AT1258" s="425" t="inlineStr">
        <is>
          <t>HM38</t>
        </is>
      </c>
      <c r="AU1258" s="425" t="inlineStr">
        <is>
          <t>PL09</t>
        </is>
      </c>
      <c r="AV1258" s="425" t="n">
        <v>31</v>
      </c>
      <c r="AW1258" s="425" t="n">
        <v>1</v>
      </c>
      <c r="AX1258" s="425" t="n"/>
    </row>
    <row r="1259" ht="28" customHeight="1" s="672">
      <c r="A1259" s="413" t="inlineStr">
        <is>
          <t>NTCV</t>
        </is>
      </c>
      <c r="B1259" s="413" t="inlineStr">
        <is>
          <t>K.9999</t>
        </is>
      </c>
      <c r="C1259" s="413" t="inlineStr">
        <is>
          <t>NTCV.0246076</t>
        </is>
      </c>
      <c r="D1259" s="414" t="n"/>
      <c r="E1259" s="414" t="n"/>
      <c r="F1259" s="414" t="n"/>
      <c r="G1259" s="414" t="n"/>
      <c r="H1259" s="414" t="n"/>
      <c r="J1259" s="161" t="inlineStr">
        <is>
          <t>19</t>
        </is>
      </c>
      <c r="K1259" s="161" t="inlineStr">
        <is>
          <t>K.9999</t>
        </is>
      </c>
      <c r="L1259" s="162" t="inlineStr">
        <is>
          <t>Công tác đổ, lấy mẫu bê tông thân mố M1 (đợt 1)</t>
        </is>
      </c>
      <c r="M1259" s="162" t="n"/>
      <c r="N1259" s="162" t="n"/>
      <c r="O1259" s="163" t="inlineStr">
        <is>
          <t>Cầu Km19+529.080</t>
        </is>
      </c>
      <c r="P1259" s="409">
        <f>+S1257</f>
        <v/>
      </c>
      <c r="Q1259" s="409">
        <f>+P1259</f>
        <v/>
      </c>
      <c r="R1259" s="409">
        <f>+Q1259-1</f>
        <v/>
      </c>
      <c r="S1259" s="409">
        <f>+Q1259</f>
        <v/>
      </c>
      <c r="T1259" s="410" t="n">
        <v>0.375</v>
      </c>
      <c r="U1259" s="410">
        <f>+T1259+V1259</f>
        <v/>
      </c>
      <c r="V1259" s="410" t="n">
        <v>0.08333333333333333</v>
      </c>
      <c r="W1259" s="417">
        <f>TEXT(T1259,"HH""h""MM'")&amp;"÷"&amp;TEXT(U1259,"HH""h""MM'")</f>
        <v/>
      </c>
      <c r="X1259" s="411" t="n"/>
      <c r="Y1259" s="411" t="n"/>
      <c r="Z1259" s="161" t="inlineStr">
        <is>
          <t>05;</t>
        </is>
      </c>
      <c r="AA1259" s="166" t="inlineStr">
        <is>
          <t>Công tác đổ bê tông, lấy mẫu bê tông thân mố M1 (đợt 1)</t>
        </is>
      </c>
      <c r="AB1259" s="166" t="n"/>
      <c r="AC1259" s="166" t="inlineStr">
        <is>
          <t>307HG/BBNT/TM/M1/Đ1-7</t>
        </is>
      </c>
      <c r="AD1259" s="166" t="n"/>
      <c r="AE1259" s="166" t="n"/>
      <c r="AF1259" s="166" t="n"/>
      <c r="AG1259" s="166" t="n"/>
      <c r="AH1259" s="166" t="n"/>
      <c r="AI1259" s="411" t="n"/>
      <c r="AJ1259" s="411" t="n"/>
      <c r="AK1259" s="412" t="n"/>
      <c r="AL1259" s="411" t="n"/>
      <c r="AM1259" s="411" t="n"/>
      <c r="AN1259" s="411" t="n"/>
      <c r="AO1259" s="411" t="n"/>
      <c r="AP1259" s="167" t="n"/>
      <c r="AQ1259" s="167" t="n"/>
      <c r="AR1259" s="411" t="inlineStr">
        <is>
          <t>Nhóm 1</t>
        </is>
      </c>
      <c r="AS1259" s="411" t="n"/>
      <c r="AT1259" s="411" t="inlineStr">
        <is>
          <t>HM38</t>
        </is>
      </c>
      <c r="AU1259" s="411" t="inlineStr">
        <is>
          <t>NTCV</t>
        </is>
      </c>
      <c r="AV1259" s="411" t="n">
        <v>408</v>
      </c>
      <c r="AW1259" s="411" t="n">
        <v>6</v>
      </c>
      <c r="AX1259" s="411" t="n"/>
    </row>
    <row r="1260">
      <c r="A1260" s="413" t="inlineStr">
        <is>
          <t>BBK832</t>
        </is>
      </c>
      <c r="B1260" s="413" t="inlineStr">
        <is>
          <t>PL06.1</t>
        </is>
      </c>
      <c r="C1260" s="413" t="inlineStr">
        <is>
          <t>BBK832.0198215</t>
        </is>
      </c>
      <c r="D1260" s="414" t="n"/>
      <c r="E1260" s="414" t="n"/>
      <c r="F1260" s="414" t="n"/>
      <c r="G1260" s="414" t="n"/>
      <c r="H1260" s="414" t="n"/>
      <c r="J1260" s="168" t="inlineStr">
        <is>
          <t>20</t>
        </is>
      </c>
      <c r="K1260" s="168" t="inlineStr">
        <is>
          <t>PL06.1</t>
        </is>
      </c>
      <c r="L1260" s="169">
        <f>+L1259</f>
        <v/>
      </c>
      <c r="M1260" s="169" t="n"/>
      <c r="N1260" s="169" t="n"/>
      <c r="O1260" s="170" t="inlineStr">
        <is>
          <t>Cầu Km19+529.080</t>
        </is>
      </c>
      <c r="P1260" s="405" t="n"/>
      <c r="Q1260" s="405" t="n"/>
      <c r="R1260" s="405" t="n"/>
      <c r="S1260" s="405">
        <f>+S1259</f>
        <v/>
      </c>
      <c r="T1260" s="428">
        <f>+T1259</f>
        <v/>
      </c>
      <c r="U1260" s="428">
        <f>T1260+V1260</f>
        <v/>
      </c>
      <c r="V1260" s="428" t="n">
        <v>0.08333333333333333</v>
      </c>
      <c r="W1260" s="406" t="n"/>
      <c r="X1260" s="406" t="n"/>
      <c r="Y1260" s="406" t="n"/>
      <c r="Z1260" s="168" t="inlineStr">
        <is>
          <t>05</t>
        </is>
      </c>
      <c r="AA1260" s="173" t="n"/>
      <c r="AB1260" s="173" t="n"/>
      <c r="AC1260" s="173">
        <f>+AC1259</f>
        <v/>
      </c>
      <c r="AD1260" s="173" t="n"/>
      <c r="AE1260" s="173" t="n"/>
      <c r="AF1260" s="173" t="n"/>
      <c r="AG1260" s="173" t="n"/>
      <c r="AH1260" s="407" t="inlineStr">
        <is>
          <t>C30-TM-M1-Đ1</t>
        </is>
      </c>
      <c r="AI1260" s="406" t="n"/>
      <c r="AJ1260" s="406" t="n"/>
      <c r="AK1260" s="408" t="n"/>
      <c r="AL1260" s="406" t="n"/>
      <c r="AM1260" s="406" t="n"/>
      <c r="AN1260" s="406" t="n"/>
      <c r="AO1260" s="406" t="n"/>
      <c r="AP1260" s="174" t="n"/>
      <c r="AQ1260" s="174" t="n"/>
      <c r="AR1260" s="406" t="inlineStr">
        <is>
          <t>Nhóm 1</t>
        </is>
      </c>
      <c r="AS1260" s="406" t="n"/>
      <c r="AT1260" s="406" t="inlineStr">
        <is>
          <t>HM38</t>
        </is>
      </c>
      <c r="AU1260" s="406" t="inlineStr">
        <is>
          <t>PL06.1</t>
        </is>
      </c>
      <c r="AV1260" s="406" t="n">
        <v>6</v>
      </c>
      <c r="AW1260" s="406" t="n">
        <v>2</v>
      </c>
      <c r="AX1260" s="406" t="n"/>
    </row>
    <row r="1261">
      <c r="A1261" s="413" t="inlineStr">
        <is>
          <t>LMHT</t>
        </is>
      </c>
      <c r="B1261" s="413" t="inlineStr">
        <is>
          <t>LMHT</t>
        </is>
      </c>
      <c r="C1261" s="413" t="inlineStr">
        <is>
          <t>LMHT.0976013</t>
        </is>
      </c>
      <c r="D1261" s="414" t="inlineStr">
        <is>
          <t>TC.000041|TC.000182|TC.000169.A</t>
        </is>
      </c>
      <c r="E1261" s="414" t="n"/>
      <c r="F1261" s="414" t="inlineStr">
        <is>
          <t>CP.0001^Bê tông thân mố M1 (đợt 1)^Hình trụ 15x30 (cm)^18^C30 (30Mpa)^^^TC.000041|TC.000182|TC.000169.A</t>
        </is>
      </c>
      <c r="G1261" s="414" t="n"/>
      <c r="H1261" s="414" t="n"/>
      <c r="J1261" s="175" t="inlineStr">
        <is>
          <t>21</t>
        </is>
      </c>
      <c r="K1261" s="175" t="inlineStr">
        <is>
          <t>LMHT</t>
        </is>
      </c>
      <c r="L1261" s="176" t="inlineStr">
        <is>
          <t>Bê tông thân mố M1 (đợt 1)</t>
        </is>
      </c>
      <c r="M1261" s="176" t="n"/>
      <c r="N1261" s="176" t="n"/>
      <c r="O1261" s="177" t="inlineStr">
        <is>
          <t>Cầu Km19+529.080</t>
        </is>
      </c>
      <c r="P1261" s="299" t="n"/>
      <c r="Q1261" s="299" t="n"/>
      <c r="R1261" s="299" t="n"/>
      <c r="S1261" s="299">
        <f>S1257</f>
        <v/>
      </c>
      <c r="T1261" s="300">
        <f>T1260</f>
        <v/>
      </c>
      <c r="U1261" s="300">
        <f>U1260</f>
        <v/>
      </c>
      <c r="V1261" s="300">
        <f>V1260</f>
        <v/>
      </c>
      <c r="W1261" s="301" t="n"/>
      <c r="X1261" s="301" t="n"/>
      <c r="Y1261" s="301" t="n"/>
      <c r="Z1261" s="301" t="n"/>
      <c r="AA1261" s="180" t="n"/>
      <c r="AB1261" s="180" t="n"/>
      <c r="AC1261" s="180" t="n"/>
      <c r="AD1261" s="180" t="n"/>
      <c r="AE1261" s="180" t="n"/>
      <c r="AF1261" s="180" t="n"/>
      <c r="AG1261" s="180" t="n"/>
      <c r="AH1261" s="180" t="n"/>
      <c r="AI1261" s="301" t="n"/>
      <c r="AJ1261" s="301" t="n"/>
      <c r="AK1261" s="303" t="n"/>
      <c r="AL1261" s="301" t="n"/>
      <c r="AM1261" s="301" t="n"/>
      <c r="AN1261" s="301" t="n"/>
      <c r="AO1261" s="301" t="n"/>
      <c r="AP1261" s="181" t="n"/>
      <c r="AQ1261" s="181" t="n"/>
      <c r="AR1261" s="301" t="inlineStr">
        <is>
          <t>Nhóm 1</t>
        </is>
      </c>
      <c r="AS1261" s="301" t="n"/>
      <c r="AT1261" s="301" t="inlineStr">
        <is>
          <t>HM38</t>
        </is>
      </c>
      <c r="AU1261" s="301" t="inlineStr">
        <is>
          <t>LMHT</t>
        </is>
      </c>
      <c r="AV1261" s="301" t="n">
        <v>42</v>
      </c>
      <c r="AW1261" s="301" t="n">
        <v>2</v>
      </c>
      <c r="AX1261" s="301" t="inlineStr">
        <is>
          <t>Thân mố M1 đợt 1 [BT dòng 50]: chưa đến ngưỡng phát sinh lượt mẫu xi măng/cát/đá; mẫu bê tông cấu kiện vẫn theo F1261.</t>
        </is>
      </c>
    </row>
    <row r="1262">
      <c r="A1262" s="413" t="inlineStr">
        <is>
          <t>BBK680</t>
        </is>
      </c>
      <c r="B1262" s="413" t="inlineStr">
        <is>
          <t>PYC</t>
        </is>
      </c>
      <c r="C1262" s="413" t="inlineStr">
        <is>
          <t>BBK680.0177469</t>
        </is>
      </c>
      <c r="D1262" s="414" t="n"/>
      <c r="E1262" s="414" t="n"/>
      <c r="F1262" s="414" t="n"/>
      <c r="G1262" s="414" t="n"/>
      <c r="H1262" s="414" t="n"/>
      <c r="J1262" s="168" t="inlineStr">
        <is>
          <t>22</t>
        </is>
      </c>
      <c r="K1262" s="168" t="inlineStr">
        <is>
          <t>PYC</t>
        </is>
      </c>
      <c r="L1262" s="169" t="inlineStr">
        <is>
          <t>phiếu yêu cầu</t>
        </is>
      </c>
      <c r="M1262" s="169" t="n"/>
      <c r="N1262" s="169" t="n"/>
      <c r="O1262" s="170" t="inlineStr">
        <is>
          <t>Cầu Km19+529.080</t>
        </is>
      </c>
      <c r="P1262" s="405" t="n"/>
      <c r="Q1262" s="405" t="n"/>
      <c r="R1262" s="401">
        <f>+R1263</f>
        <v/>
      </c>
      <c r="S1262" s="405">
        <f>R1262+1</f>
        <v/>
      </c>
      <c r="T1262" s="405" t="n"/>
      <c r="U1262" s="405" t="n"/>
      <c r="V1262" s="405" t="n"/>
      <c r="W1262" s="406" t="n"/>
      <c r="X1262" s="406" t="n"/>
      <c r="Y1262" s="406" t="n"/>
      <c r="Z1262" s="406" t="n"/>
      <c r="AA1262" s="173" t="n"/>
      <c r="AB1262" s="173" t="inlineStr">
        <is>
          <t>307HG/YCNT/TM/M1/Đ1</t>
        </is>
      </c>
      <c r="AC1262" s="173" t="n"/>
      <c r="AD1262" s="173" t="n"/>
      <c r="AE1262" s="173" t="n"/>
      <c r="AF1262" s="173" t="n"/>
      <c r="AG1262" s="129" t="inlineStr">
        <is>
          <t>NTCV</t>
        </is>
      </c>
      <c r="AH1262" s="173" t="n">
        <v>7</v>
      </c>
      <c r="AI1262" s="406" t="n"/>
      <c r="AJ1262" s="406" t="n"/>
      <c r="AK1262" s="408" t="n"/>
      <c r="AL1262" s="406" t="n"/>
      <c r="AM1262" s="406" t="n"/>
      <c r="AN1262" s="406" t="n"/>
      <c r="AO1262" s="406" t="n"/>
      <c r="AP1262" s="174" t="n"/>
      <c r="AQ1262" s="174" t="n"/>
      <c r="AR1262" s="406" t="inlineStr">
        <is>
          <t>Nhóm 1</t>
        </is>
      </c>
      <c r="AS1262" s="406" t="n"/>
      <c r="AT1262" s="406" t="inlineStr">
        <is>
          <t>HM38</t>
        </is>
      </c>
      <c r="AU1262" s="406" t="inlineStr">
        <is>
          <t>PYC</t>
        </is>
      </c>
      <c r="AV1262" s="406" t="n">
        <v>66</v>
      </c>
      <c r="AW1262" s="406" t="n">
        <v>4</v>
      </c>
      <c r="AX1262" s="406" t="n"/>
    </row>
    <row r="1263">
      <c r="A1263" s="413" t="inlineStr">
        <is>
          <t>NTCV</t>
        </is>
      </c>
      <c r="B1263" s="413" t="inlineStr">
        <is>
          <t>K.9999</t>
        </is>
      </c>
      <c r="C1263" s="413" t="inlineStr">
        <is>
          <t>NTCV.0656048</t>
        </is>
      </c>
      <c r="D1263" s="414" t="n"/>
      <c r="E1263" s="414" t="n"/>
      <c r="F1263" s="414" t="n"/>
      <c r="G1263" s="414" t="n"/>
      <c r="H1263" s="414" t="n"/>
      <c r="J1263" s="147" t="inlineStr">
        <is>
          <t>23</t>
        </is>
      </c>
      <c r="K1263" s="147" t="inlineStr">
        <is>
          <t>K.9999</t>
        </is>
      </c>
      <c r="L1263" s="148" t="inlineStr">
        <is>
          <t>Tháo ván khuôn thân mố M1 (đợt 1)</t>
        </is>
      </c>
      <c r="M1263" s="148" t="n"/>
      <c r="N1263" s="148" t="n"/>
      <c r="O1263" s="149" t="inlineStr">
        <is>
          <t>Cầu Km19+529.080</t>
        </is>
      </c>
      <c r="P1263" s="415">
        <f>S1261</f>
        <v/>
      </c>
      <c r="Q1263" s="415">
        <f>+P1263+3</f>
        <v/>
      </c>
      <c r="R1263" s="415">
        <f>Q1263-1</f>
        <v/>
      </c>
      <c r="S1263" s="415">
        <f>Q1263</f>
        <v/>
      </c>
      <c r="T1263" s="416" t="n">
        <v>0.3541666666666667</v>
      </c>
      <c r="U1263" s="416">
        <f>+T1263+V1263</f>
        <v/>
      </c>
      <c r="V1263" s="416" t="n">
        <v>0.01388888888888889</v>
      </c>
      <c r="W1263" s="411">
        <f>TEXT(T1263,"HH""h""MM'")&amp;"÷"&amp;TEXT(U1263,"HH""h""MM'")</f>
        <v/>
      </c>
      <c r="X1263" s="417" t="n"/>
      <c r="Y1263" s="417" t="n"/>
      <c r="Z1263" s="417" t="inlineStr">
        <is>
          <t>06;</t>
        </is>
      </c>
      <c r="AA1263" s="150" t="inlineStr">
        <is>
          <t>Kiểm tra ván khuôn Bệ mố M1</t>
        </is>
      </c>
      <c r="AB1263" s="150" t="inlineStr">
        <is>
          <t>307HG/YCNT/TM/M1/Đ1-4</t>
        </is>
      </c>
      <c r="AC1263" s="150" t="inlineStr">
        <is>
          <t>307HG/BBNT/TM/M1/Đ1-8</t>
        </is>
      </c>
      <c r="AD1263" s="150" t="n"/>
      <c r="AE1263" s="150" t="n"/>
      <c r="AF1263" s="150" t="n"/>
      <c r="AG1263" s="150" t="n"/>
      <c r="AH1263" s="150" t="n"/>
      <c r="AI1263" s="417" t="n"/>
      <c r="AJ1263" s="417" t="n"/>
      <c r="AK1263" s="418" t="n"/>
      <c r="AL1263" s="417" t="n"/>
      <c r="AM1263" s="417" t="n"/>
      <c r="AN1263" s="417" t="n"/>
      <c r="AO1263" s="417" t="n"/>
      <c r="AP1263" s="151" t="n"/>
      <c r="AQ1263" s="151" t="n"/>
      <c r="AR1263" s="417" t="inlineStr">
        <is>
          <t>Nhóm 1</t>
        </is>
      </c>
      <c r="AS1263" s="417" t="n"/>
      <c r="AT1263" s="417" t="inlineStr">
        <is>
          <t>HM38</t>
        </is>
      </c>
      <c r="AU1263" s="417" t="inlineStr">
        <is>
          <t>NTCV</t>
        </is>
      </c>
      <c r="AV1263" s="417" t="n">
        <v>411</v>
      </c>
      <c r="AW1263" s="417" t="n">
        <v>7</v>
      </c>
      <c r="AX1263" s="417" t="n"/>
    </row>
    <row r="1264">
      <c r="A1264" s="413" t="inlineStr">
        <is>
          <t>BBK587</t>
        </is>
      </c>
      <c r="B1264" s="413" t="inlineStr">
        <is>
          <t>PL07.02</t>
        </is>
      </c>
      <c r="C1264" s="413" t="inlineStr">
        <is>
          <t>BBK587.0908971</t>
        </is>
      </c>
      <c r="D1264" s="414" t="n"/>
      <c r="E1264" s="414" t="n"/>
      <c r="F1264" s="414" t="n"/>
      <c r="G1264" s="414" t="n"/>
      <c r="H1264" s="414" t="n"/>
      <c r="J1264" s="108" t="inlineStr">
        <is>
          <t>24</t>
        </is>
      </c>
      <c r="K1264" s="108" t="inlineStr">
        <is>
          <t>PL07.02</t>
        </is>
      </c>
      <c r="L1264" s="109">
        <f>+L1263</f>
        <v/>
      </c>
      <c r="M1264" s="109" t="n"/>
      <c r="N1264" s="109" t="n"/>
      <c r="O1264" s="110" t="inlineStr">
        <is>
          <t>Cầu Km19+529.080</t>
        </is>
      </c>
      <c r="P1264" s="401" t="n"/>
      <c r="Q1264" s="401" t="n"/>
      <c r="R1264" s="401" t="n"/>
      <c r="S1264" s="401">
        <f>S1263</f>
        <v/>
      </c>
      <c r="T1264" s="401" t="n"/>
      <c r="U1264" s="401" t="n"/>
      <c r="V1264" s="401" t="n"/>
      <c r="W1264" s="403" t="n"/>
      <c r="X1264" s="403" t="n"/>
      <c r="Y1264" s="403" t="n"/>
      <c r="Z1264" s="108" t="inlineStr">
        <is>
          <t>06</t>
        </is>
      </c>
      <c r="AA1264" s="113" t="n"/>
      <c r="AB1264" s="113" t="n"/>
      <c r="AC1264" s="113">
        <f>+AC1263</f>
        <v/>
      </c>
      <c r="AD1264" s="113" t="n"/>
      <c r="AE1264" s="113" t="n"/>
      <c r="AF1264" s="113" t="n"/>
      <c r="AG1264" s="113" t="n"/>
      <c r="AH1264" s="114" t="inlineStr">
        <is>
          <t>TM-M1-Đ1</t>
        </is>
      </c>
      <c r="AI1264" s="403" t="n"/>
      <c r="AJ1264" s="403" t="n"/>
      <c r="AK1264" s="404" t="n"/>
      <c r="AL1264" s="403" t="n"/>
      <c r="AM1264" s="403" t="n"/>
      <c r="AN1264" s="403" t="n"/>
      <c r="AO1264" s="403" t="n"/>
      <c r="AP1264" s="115" t="n"/>
      <c r="AQ1264" s="115" t="inlineStr">
        <is>
          <t>Ảnh\Thân mố M1.png</t>
        </is>
      </c>
      <c r="AR1264" s="403" t="inlineStr">
        <is>
          <t>Nhóm 1</t>
        </is>
      </c>
      <c r="AS1264" s="403" t="n"/>
      <c r="AT1264" s="403" t="inlineStr">
        <is>
          <t>HM38</t>
        </is>
      </c>
      <c r="AU1264" s="403" t="inlineStr">
        <is>
          <t>PL07.02</t>
        </is>
      </c>
      <c r="AV1264" s="403" t="n">
        <v>2</v>
      </c>
      <c r="AW1264" s="403" t="n">
        <v>1</v>
      </c>
      <c r="AX1264" s="403" t="n"/>
    </row>
    <row r="1265" ht="28" customHeight="1" s="672">
      <c r="A1265" s="413" t="inlineStr">
        <is>
          <t>BBK680</t>
        </is>
      </c>
      <c r="B1265" s="413" t="inlineStr">
        <is>
          <t>PYC</t>
        </is>
      </c>
      <c r="C1265" s="413" t="inlineStr">
        <is>
          <t>BBK680.0271722</t>
        </is>
      </c>
      <c r="D1265" s="414" t="n"/>
      <c r="E1265" s="414" t="n"/>
      <c r="F1265" s="414" t="n"/>
      <c r="G1265" s="414" t="n"/>
      <c r="H1265" s="414" t="n"/>
      <c r="J1265" s="168" t="inlineStr">
        <is>
          <t>25</t>
        </is>
      </c>
      <c r="K1265" s="168" t="inlineStr">
        <is>
          <t>PYC</t>
        </is>
      </c>
      <c r="L1265" s="169" t="inlineStr">
        <is>
          <t>phiếu yêu cầu</t>
        </is>
      </c>
      <c r="M1265" s="169" t="n"/>
      <c r="N1265" s="169" t="n"/>
      <c r="O1265" s="170" t="inlineStr">
        <is>
          <t>Cầu Km19+529.080</t>
        </is>
      </c>
      <c r="P1265" s="405" t="n"/>
      <c r="Q1265" s="405" t="n"/>
      <c r="R1265" s="405">
        <f>S1265-1</f>
        <v/>
      </c>
      <c r="S1265" s="405">
        <f>S1261+7</f>
        <v/>
      </c>
      <c r="T1265" s="428" t="n">
        <v>0.3333333333333333</v>
      </c>
      <c r="U1265" s="428">
        <f>+T1265+V1265</f>
        <v/>
      </c>
      <c r="V1265" s="428" t="n">
        <v>0.02083333333333333</v>
      </c>
      <c r="W1265" s="406" t="n"/>
      <c r="X1265" s="406" t="n"/>
      <c r="Y1265" s="406" t="n"/>
      <c r="Z1265" s="406" t="n"/>
      <c r="AA1265" s="173" t="inlineStr">
        <is>
          <t>Theo dõi nén mẫu R7 bê tông thân mố M1 (đợt 1)</t>
        </is>
      </c>
      <c r="AB1265" s="173" t="inlineStr">
        <is>
          <t>307HG/YCNT/TM/M1/Đ1-R7</t>
        </is>
      </c>
      <c r="AC1265" s="173" t="n"/>
      <c r="AD1265" s="173" t="n"/>
      <c r="AE1265" s="173" t="n"/>
      <c r="AF1265" s="173" t="n"/>
      <c r="AG1265" s="173" t="inlineStr">
        <is>
          <t>PYC</t>
        </is>
      </c>
      <c r="AH1265" s="173" t="n">
        <v>5</v>
      </c>
      <c r="AI1265" s="406" t="n"/>
      <c r="AJ1265" s="406" t="n"/>
      <c r="AK1265" s="408" t="n"/>
      <c r="AL1265" s="406" t="n"/>
      <c r="AM1265" s="406" t="n"/>
      <c r="AN1265" s="406" t="n"/>
      <c r="AO1265" s="406" t="n"/>
      <c r="AP1265" s="174" t="n"/>
      <c r="AQ1265" s="174" t="n"/>
      <c r="AR1265" s="406" t="inlineStr">
        <is>
          <t>Nhóm 1</t>
        </is>
      </c>
      <c r="AS1265" s="406" t="n"/>
      <c r="AT1265" s="406" t="inlineStr">
        <is>
          <t>HM38</t>
        </is>
      </c>
      <c r="AU1265" s="406" t="inlineStr">
        <is>
          <t>PYC</t>
        </is>
      </c>
      <c r="AV1265" s="406" t="n">
        <v>78</v>
      </c>
      <c r="AW1265" s="406" t="n">
        <v>5</v>
      </c>
      <c r="AX1265" s="406" t="n"/>
    </row>
    <row r="1266" ht="28" customHeight="1" s="672">
      <c r="A1266" s="413" t="inlineStr">
        <is>
          <t>BBK680</t>
        </is>
      </c>
      <c r="B1266" s="413" t="inlineStr">
        <is>
          <t>PYC</t>
        </is>
      </c>
      <c r="C1266" s="413" t="inlineStr">
        <is>
          <t>BBK680.0256407</t>
        </is>
      </c>
      <c r="D1266" s="414" t="n"/>
      <c r="E1266" s="414" t="n"/>
      <c r="F1266" s="414" t="n"/>
      <c r="G1266" s="414" t="n"/>
      <c r="H1266" s="414" t="n"/>
      <c r="J1266" s="124" t="inlineStr">
        <is>
          <t>26</t>
        </is>
      </c>
      <c r="K1266" s="124" t="inlineStr">
        <is>
          <t>PYC</t>
        </is>
      </c>
      <c r="L1266" s="125" t="inlineStr">
        <is>
          <t>phiếu yêu cầu</t>
        </is>
      </c>
      <c r="M1266" s="125" t="n"/>
      <c r="N1266" s="125" t="n"/>
      <c r="O1266" s="126" t="inlineStr">
        <is>
          <t>Cầu Km19+529.080</t>
        </is>
      </c>
      <c r="P1266" s="423" t="n"/>
      <c r="Q1266" s="423" t="n"/>
      <c r="R1266" s="423">
        <f>S1266-1</f>
        <v/>
      </c>
      <c r="S1266" s="423">
        <f>S1261+28</f>
        <v/>
      </c>
      <c r="T1266" s="424" t="n">
        <v>0.3541666666666667</v>
      </c>
      <c r="U1266" s="424">
        <f>+T1266+V1266</f>
        <v/>
      </c>
      <c r="V1266" s="424" t="n">
        <v>0.02083333333333333</v>
      </c>
      <c r="W1266" s="425" t="n"/>
      <c r="X1266" s="425" t="n"/>
      <c r="Y1266" s="425" t="n"/>
      <c r="Z1266" s="425" t="n"/>
      <c r="AA1266" s="129" t="inlineStr">
        <is>
          <t>Theo dõi nén mẫu R28 bê tông thân mố M1 (đợt 1)</t>
        </is>
      </c>
      <c r="AB1266" s="129" t="inlineStr">
        <is>
          <t>307HG/YCNT/TM/M1/Đ1-R28</t>
        </is>
      </c>
      <c r="AC1266" s="129" t="n"/>
      <c r="AD1266" s="129" t="n"/>
      <c r="AE1266" s="129" t="n"/>
      <c r="AF1266" s="129" t="n"/>
      <c r="AG1266" s="129" t="inlineStr">
        <is>
          <t>PYC</t>
        </is>
      </c>
      <c r="AH1266" s="129" t="n">
        <v>6</v>
      </c>
      <c r="AI1266" s="425" t="n"/>
      <c r="AJ1266" s="425" t="n"/>
      <c r="AK1266" s="427" t="n"/>
      <c r="AL1266" s="425" t="n"/>
      <c r="AM1266" s="425" t="n"/>
      <c r="AN1266" s="425" t="n"/>
      <c r="AO1266" s="425" t="n"/>
      <c r="AP1266" s="130" t="n"/>
      <c r="AQ1266" s="130" t="n"/>
      <c r="AR1266" s="425" t="inlineStr">
        <is>
          <t>Nhóm 1</t>
        </is>
      </c>
      <c r="AS1266" s="425" t="n"/>
      <c r="AT1266" s="425" t="inlineStr">
        <is>
          <t>HM38</t>
        </is>
      </c>
      <c r="AU1266" s="425" t="inlineStr">
        <is>
          <t>PYC</t>
        </is>
      </c>
      <c r="AV1266" s="425" t="n">
        <v>123</v>
      </c>
      <c r="AW1266" s="425" t="n">
        <v>6</v>
      </c>
      <c r="AX1266" s="425" t="n"/>
    </row>
    <row r="1267" ht="28" customHeight="1" s="672">
      <c r="A1267" s="56" t="inlineStr">
        <is>
          <t>NTGD</t>
        </is>
      </c>
      <c r="B1267" s="56" t="inlineStr">
        <is>
          <t>NTGD</t>
        </is>
      </c>
      <c r="C1267" s="56" t="inlineStr">
        <is>
          <t>NTGD.0771041</t>
        </is>
      </c>
      <c r="D1267" s="57" t="n"/>
      <c r="E1267" s="57" t="n"/>
      <c r="F1267" s="57" t="n"/>
      <c r="G1267" s="57" t="n"/>
      <c r="H1267" s="57" t="n"/>
      <c r="J1267" s="306" t="inlineStr">
        <is>
          <t>27</t>
        </is>
      </c>
      <c r="K1267" s="306" t="inlineStr">
        <is>
          <t>NTGD</t>
        </is>
      </c>
      <c r="L1267" s="307" t="inlineStr">
        <is>
          <t>Thân mố M1 đợt 1</t>
        </is>
      </c>
      <c r="M1267" s="307" t="n"/>
      <c r="N1267" s="307" t="n"/>
      <c r="O1267" s="308" t="inlineStr">
        <is>
          <t>Cầu Km19+529.080</t>
        </is>
      </c>
      <c r="P1267" s="309" t="n"/>
      <c r="Q1267" s="309" t="n"/>
      <c r="R1267" s="309">
        <f>S1266</f>
        <v/>
      </c>
      <c r="S1267" s="309">
        <f>R1267+1</f>
        <v/>
      </c>
      <c r="T1267" s="310" t="n">
        <v>0.3541666666666667</v>
      </c>
      <c r="U1267" s="310">
        <f>T1267+V1267</f>
        <v/>
      </c>
      <c r="V1267" s="310" t="n">
        <v>0.04166666666666666</v>
      </c>
      <c r="W1267" s="311">
        <f>TEXT(T1267,"HH""h""MM'")&amp;"÷"&amp;TEXT(U1267,"HH""h""MM'")</f>
        <v/>
      </c>
      <c r="X1267" s="311" t="n"/>
      <c r="Y1267" s="311" t="n"/>
      <c r="Z1267" s="311" t="n"/>
      <c r="AA1267" s="312" t="inlineStr">
        <is>
          <t>Nghiệm thu chuyển giai đoạn Bệ Mố M2 sang phần thân mố M2</t>
        </is>
      </c>
      <c r="AB1267" s="313" t="inlineStr">
        <is>
          <t>09-XL-307HG/PYCNT/BM-CGĐ/M2</t>
        </is>
      </c>
      <c r="AC1267" s="313" t="inlineStr">
        <is>
          <t>09-XL-307HG/NTGĐ/BM/M2</t>
        </is>
      </c>
      <c r="AD1267" s="313" t="n"/>
      <c r="AE1267" s="313" t="n"/>
      <c r="AF1267" s="313" t="n"/>
      <c r="AG1267" s="313" t="n"/>
      <c r="AH1267" s="313" t="n"/>
      <c r="AI1267" s="311" t="n"/>
      <c r="AJ1267" s="311" t="n"/>
      <c r="AK1267" s="314" t="n"/>
      <c r="AL1267" s="311" t="n"/>
      <c r="AM1267" s="311" t="n"/>
      <c r="AN1267" s="311" t="n"/>
      <c r="AO1267" s="311" t="n"/>
      <c r="AP1267" s="315" t="n"/>
      <c r="AQ1267" s="315" t="n"/>
      <c r="AR1267" s="311" t="inlineStr">
        <is>
          <t>Nhóm 1</t>
        </is>
      </c>
      <c r="AS1267" s="311" t="n"/>
      <c r="AT1267" s="311" t="inlineStr">
        <is>
          <t>HM38</t>
        </is>
      </c>
      <c r="AU1267" s="311" t="inlineStr">
        <is>
          <t>NTGD</t>
        </is>
      </c>
      <c r="AV1267" s="311" t="n">
        <v>6</v>
      </c>
      <c r="AW1267" s="311" t="n">
        <v>1</v>
      </c>
      <c r="AX1267" s="311" t="n"/>
    </row>
    <row r="1268">
      <c r="A1268" s="56" t="inlineStr">
        <is>
          <t>BBK697</t>
        </is>
      </c>
      <c r="B1268" s="56" t="inlineStr">
        <is>
          <t>PLKL</t>
        </is>
      </c>
      <c r="C1268" s="56" t="inlineStr">
        <is>
          <t>BBK697.0758571</t>
        </is>
      </c>
      <c r="D1268" s="57" t="n"/>
      <c r="E1268" s="57" t="n"/>
      <c r="F1268" s="57" t="n"/>
      <c r="G1268" s="57" t="n"/>
      <c r="H1268" s="57" t="n"/>
      <c r="J1268" s="316" t="inlineStr">
        <is>
          <t>28</t>
        </is>
      </c>
      <c r="K1268" s="316" t="inlineStr">
        <is>
          <t>PLKL</t>
        </is>
      </c>
      <c r="L1268" s="317" t="inlineStr">
        <is>
          <t>Phụ lục khối lượng</t>
        </is>
      </c>
      <c r="M1268" s="317" t="n"/>
      <c r="N1268" s="317" t="inlineStr">
        <is>
          <t>Cầu Km19+529.080</t>
        </is>
      </c>
      <c r="O1268" s="318" t="inlineStr">
        <is>
          <t>Bệ mố M2</t>
        </is>
      </c>
      <c r="P1268" s="319" t="n"/>
      <c r="Q1268" s="319" t="n"/>
      <c r="R1268" s="319" t="n"/>
      <c r="S1268" s="319">
        <f>S1267</f>
        <v/>
      </c>
      <c r="T1268" s="320" t="n"/>
      <c r="U1268" s="320" t="n"/>
      <c r="V1268" s="320" t="n"/>
      <c r="W1268" s="321" t="n"/>
      <c r="X1268" s="321" t="n"/>
      <c r="Y1268" s="321" t="n"/>
      <c r="Z1268" s="321" t="n"/>
      <c r="AA1268" s="322" t="n"/>
      <c r="AB1268" s="323" t="n"/>
      <c r="AC1268" s="323" t="inlineStr">
        <is>
          <t>09-XL-307HG/NTGĐ/BM/M2</t>
        </is>
      </c>
      <c r="AD1268" s="323" t="n"/>
      <c r="AE1268" s="323" t="n"/>
      <c r="AF1268" s="323" t="n"/>
      <c r="AG1268" s="323" t="n"/>
      <c r="AH1268" s="323" t="inlineStr">
        <is>
          <t>BM-M2</t>
        </is>
      </c>
      <c r="AI1268" s="321" t="n"/>
      <c r="AJ1268" s="321" t="n"/>
      <c r="AK1268" s="324" t="n"/>
      <c r="AL1268" s="321" t="n"/>
      <c r="AM1268" s="321" t="n"/>
      <c r="AN1268" s="321" t="n"/>
      <c r="AO1268" s="321" t="n"/>
      <c r="AP1268" s="325" t="n"/>
      <c r="AQ1268" s="325" t="n"/>
      <c r="AR1268" s="321" t="inlineStr">
        <is>
          <t>Nhóm 1</t>
        </is>
      </c>
      <c r="AS1268" s="321" t="n"/>
      <c r="AT1268" s="321" t="inlineStr">
        <is>
          <t>HM38</t>
        </is>
      </c>
      <c r="AU1268" s="321" t="inlineStr">
        <is>
          <t>PLKL</t>
        </is>
      </c>
      <c r="AV1268" s="321" t="n">
        <v>6</v>
      </c>
      <c r="AW1268" s="321" t="n">
        <v>1</v>
      </c>
      <c r="AX1268" s="321" t="n"/>
    </row>
    <row r="1269">
      <c r="A1269" s="56" t="inlineStr">
        <is>
          <t>BBK157</t>
        </is>
      </c>
      <c r="B1269" s="56" t="inlineStr">
        <is>
          <t>DG</t>
        </is>
      </c>
      <c r="C1269" s="56" t="inlineStr">
        <is>
          <t>BBK157.0389182</t>
        </is>
      </c>
      <c r="D1269" s="57" t="n"/>
      <c r="E1269" s="57" t="n"/>
      <c r="F1269" s="57" t="n"/>
      <c r="G1269" s="57" t="n"/>
      <c r="H1269" s="57" t="n"/>
      <c r="J1269" s="316" t="inlineStr">
        <is>
          <t>29</t>
        </is>
      </c>
      <c r="K1269" s="316" t="inlineStr">
        <is>
          <t>DG</t>
        </is>
      </c>
      <c r="L1269" s="317" t="inlineStr">
        <is>
          <t>Bảng diễn giải KL</t>
        </is>
      </c>
      <c r="M1269" s="317" t="n"/>
      <c r="N1269" s="317" t="inlineStr">
        <is>
          <t>Cầu Km19+529.080</t>
        </is>
      </c>
      <c r="O1269" s="318">
        <f>+O1268</f>
        <v/>
      </c>
      <c r="P1269" s="319" t="n"/>
      <c r="Q1269" s="319" t="n"/>
      <c r="R1269" s="319" t="n"/>
      <c r="S1269" s="319">
        <f>+S1268</f>
        <v/>
      </c>
      <c r="T1269" s="320" t="n"/>
      <c r="U1269" s="320" t="n"/>
      <c r="V1269" s="320" t="n"/>
      <c r="W1269" s="321" t="n"/>
      <c r="X1269" s="321" t="n"/>
      <c r="Y1269" s="321" t="n"/>
      <c r="Z1269" s="321" t="n"/>
      <c r="AA1269" s="322" t="n"/>
      <c r="AB1269" s="323" t="n"/>
      <c r="AC1269" s="326">
        <f>AC1268</f>
        <v/>
      </c>
      <c r="AD1269" s="323" t="n"/>
      <c r="AE1269" s="323" t="n"/>
      <c r="AF1269" s="323" t="n"/>
      <c r="AG1269" s="323" t="n"/>
      <c r="AH1269" s="323" t="inlineStr">
        <is>
          <t>BM-M2</t>
        </is>
      </c>
      <c r="AI1269" s="321" t="n"/>
      <c r="AJ1269" s="321" t="n"/>
      <c r="AK1269" s="324" t="n"/>
      <c r="AL1269" s="321" t="n"/>
      <c r="AM1269" s="321" t="n"/>
      <c r="AN1269" s="321" t="n">
        <v>2</v>
      </c>
      <c r="AO1269" s="321" t="n"/>
      <c r="AP1269" s="325" t="n"/>
      <c r="AQ1269" s="325" t="n"/>
      <c r="AR1269" s="321" t="inlineStr">
        <is>
          <t>Nhóm 1</t>
        </is>
      </c>
      <c r="AS1269" s="321" t="n"/>
      <c r="AT1269" s="321" t="inlineStr">
        <is>
          <t>HM38</t>
        </is>
      </c>
      <c r="AU1269" s="321" t="inlineStr">
        <is>
          <t>DG</t>
        </is>
      </c>
      <c r="AV1269" s="321" t="n">
        <v>6</v>
      </c>
      <c r="AW1269" s="321" t="n">
        <v>1</v>
      </c>
      <c r="AX1269" s="321" t="n"/>
    </row>
    <row r="1270">
      <c r="A1270" s="56" t="inlineStr">
        <is>
          <t>HM</t>
        </is>
      </c>
      <c r="B1270" s="56" t="inlineStr">
        <is>
          <t>HM</t>
        </is>
      </c>
      <c r="C1270" s="56" t="inlineStr">
        <is>
          <t>HM.0155249</t>
        </is>
      </c>
      <c r="D1270" s="57" t="n"/>
      <c r="E1270" s="57" t="n"/>
      <c r="F1270" s="57" t="n"/>
      <c r="G1270" s="57" t="n"/>
      <c r="H1270" s="57" t="n"/>
      <c r="J1270" s="387" t="inlineStr">
        <is>
          <t>HM39</t>
        </is>
      </c>
      <c r="K1270" s="387" t="inlineStr">
        <is>
          <t>HM</t>
        </is>
      </c>
      <c r="L1270" s="388" t="inlineStr">
        <is>
          <t>Thân mố M1 đợt 2</t>
        </is>
      </c>
      <c r="M1270" s="388" t="n"/>
      <c r="N1270" s="388" t="n"/>
      <c r="O1270" s="389" t="n"/>
      <c r="P1270" s="390" t="n"/>
      <c r="Q1270" s="390" t="n"/>
      <c r="R1270" s="390" t="n"/>
      <c r="S1270" s="390" t="n"/>
      <c r="T1270" s="390" t="n"/>
      <c r="U1270" s="390" t="n"/>
      <c r="V1270" s="390" t="n"/>
      <c r="W1270" s="391" t="n"/>
      <c r="X1270" s="391" t="n"/>
      <c r="Y1270" s="391" t="n"/>
      <c r="Z1270" s="391" t="n"/>
      <c r="AA1270" s="392" t="n"/>
      <c r="AB1270" s="392" t="n"/>
      <c r="AC1270" s="392" t="n"/>
      <c r="AD1270" s="392" t="n"/>
      <c r="AE1270" s="392" t="n"/>
      <c r="AF1270" s="392" t="n"/>
      <c r="AG1270" s="392" t="n"/>
      <c r="AH1270" s="392" t="n"/>
      <c r="AI1270" s="391" t="n"/>
      <c r="AJ1270" s="391" t="n"/>
      <c r="AK1270" s="393" t="n"/>
      <c r="AL1270" s="391" t="n"/>
      <c r="AM1270" s="391" t="n"/>
      <c r="AN1270" s="391" t="n"/>
      <c r="AO1270" s="391" t="n"/>
      <c r="AP1270" s="394" t="n"/>
      <c r="AQ1270" s="394" t="n"/>
      <c r="AR1270" s="391" t="n"/>
      <c r="AS1270" s="391" t="n"/>
      <c r="AT1270" s="391" t="inlineStr">
        <is>
          <t>HM39</t>
        </is>
      </c>
      <c r="AU1270" s="391" t="inlineStr">
        <is>
          <t>HM</t>
        </is>
      </c>
      <c r="AV1270" s="391" t="n"/>
      <c r="AW1270" s="391" t="n"/>
      <c r="AX1270" s="391" t="n"/>
    </row>
    <row r="1271" ht="28" customFormat="1" customHeight="1" s="70">
      <c r="A1271" s="68" t="inlineStr">
        <is>
          <t>BBK_BIA</t>
        </is>
      </c>
      <c r="B1271" s="68" t="inlineStr">
        <is>
          <t>TRANGBIA</t>
        </is>
      </c>
      <c r="C1271" s="68" t="inlineStr">
        <is>
          <t>BBK_BIA.0570853</t>
        </is>
      </c>
      <c r="D1271" s="69" t="n"/>
      <c r="E1271" s="69" t="n"/>
      <c r="F1271" s="69" t="n"/>
      <c r="G1271" s="69" t="n"/>
      <c r="H1271" s="69" t="n"/>
      <c r="J1271" s="327" t="inlineStr">
        <is>
          <t>01</t>
        </is>
      </c>
      <c r="K1271" s="327" t="inlineStr">
        <is>
          <t>TRANGBIA</t>
        </is>
      </c>
      <c r="L1271" s="328">
        <f>L1270</f>
        <v/>
      </c>
      <c r="M1271" s="328" t="n"/>
      <c r="N1271" s="328" t="n"/>
      <c r="O1271" s="329" t="inlineStr">
        <is>
          <t>Cầu Km19+529.080</t>
        </is>
      </c>
      <c r="P1271" s="330" t="n"/>
      <c r="Q1271" s="330" t="n"/>
      <c r="R1271" s="330" t="n"/>
      <c r="S1271" s="330" t="n"/>
      <c r="T1271" s="330" t="n"/>
      <c r="U1271" s="330" t="n"/>
      <c r="V1271" s="330" t="n"/>
      <c r="W1271" s="331" t="n"/>
      <c r="X1271" s="331" t="n"/>
      <c r="Y1271" s="331" t="n"/>
      <c r="Z1271" s="331" t="n"/>
      <c r="AA1271" s="331" t="n"/>
      <c r="AB1271" s="331" t="n"/>
      <c r="AC1271" s="331" t="inlineStr"/>
      <c r="AD1271" s="331" t="n"/>
      <c r="AE1271" s="331" t="n"/>
      <c r="AF1271" s="331" t="n"/>
      <c r="AG1271" s="331" t="n"/>
      <c r="AH1271" s="331" t="n"/>
      <c r="AI1271" s="331" t="n"/>
      <c r="AJ1271" s="331" t="n"/>
      <c r="AK1271" s="329" t="n"/>
      <c r="AL1271" s="331" t="n"/>
      <c r="AM1271" s="331" t="n"/>
      <c r="AN1271" s="331" t="n"/>
      <c r="AO1271" s="331" t="n"/>
      <c r="AP1271" s="332">
        <f>L1271</f>
        <v/>
      </c>
      <c r="AQ1271" s="333" t="n"/>
      <c r="AR1271" s="331" t="inlineStr">
        <is>
          <t>Nhóm 1</t>
        </is>
      </c>
      <c r="AS1271" s="331" t="n"/>
      <c r="AT1271" s="331" t="inlineStr">
        <is>
          <t>HM39</t>
        </is>
      </c>
      <c r="AU1271" s="331" t="inlineStr">
        <is>
          <t>TRANGBIA</t>
        </is>
      </c>
      <c r="AV1271" s="331" t="n">
        <v>39</v>
      </c>
      <c r="AW1271" s="331" t="n">
        <v>1</v>
      </c>
      <c r="AX1271" s="331" t="n"/>
    </row>
    <row r="1272" customFormat="1" s="70">
      <c r="A1272" s="68" t="inlineStr">
        <is>
          <t>BBK_ML</t>
        </is>
      </c>
      <c r="B1272" s="68" t="inlineStr">
        <is>
          <t>MUCLUC</t>
        </is>
      </c>
      <c r="C1272" s="68" t="inlineStr">
        <is>
          <t>BBK_ML.0120123</t>
        </is>
      </c>
      <c r="D1272" s="69" t="n"/>
      <c r="E1272" s="69" t="n"/>
      <c r="F1272" s="69" t="n"/>
      <c r="G1272" s="69" t="n"/>
      <c r="H1272" s="69" t="n"/>
      <c r="J1272" s="395" t="inlineStr">
        <is>
          <t>02</t>
        </is>
      </c>
      <c r="K1272" s="395" t="inlineStr">
        <is>
          <t>MUCLUC</t>
        </is>
      </c>
      <c r="L1272" s="396" t="inlineStr">
        <is>
          <t>Danh mục biên bản Kiểm tra/Nghiệm thu</t>
        </is>
      </c>
      <c r="M1272" s="396" t="n"/>
      <c r="N1272" s="396" t="n"/>
      <c r="O1272" s="397" t="inlineStr">
        <is>
          <t>Cầu Km19+529.080</t>
        </is>
      </c>
      <c r="P1272" s="398" t="n"/>
      <c r="Q1272" s="398" t="n"/>
      <c r="R1272" s="398" t="n"/>
      <c r="S1272" s="398" t="n"/>
      <c r="T1272" s="398" t="n"/>
      <c r="U1272" s="398" t="n"/>
      <c r="V1272" s="398" t="n"/>
      <c r="W1272" s="399" t="n"/>
      <c r="X1272" s="399" t="n"/>
      <c r="Y1272" s="399" t="n"/>
      <c r="Z1272" s="399" t="n"/>
      <c r="AA1272" s="399" t="n"/>
      <c r="AB1272" s="399" t="n"/>
      <c r="AC1272" s="399" t="inlineStr"/>
      <c r="AD1272" s="399" t="n"/>
      <c r="AE1272" s="399" t="n"/>
      <c r="AF1272" s="399" t="n"/>
      <c r="AG1272" s="399" t="n"/>
      <c r="AH1272" s="399" t="n"/>
      <c r="AI1272" s="399" t="n"/>
      <c r="AJ1272" s="399" t="n"/>
      <c r="AK1272" s="397" t="n"/>
      <c r="AL1272" s="399" t="n"/>
      <c r="AM1272" s="399" t="n"/>
      <c r="AN1272" s="399" t="n"/>
      <c r="AO1272" s="399" t="n"/>
      <c r="AP1272" s="400" t="n"/>
      <c r="AQ1272" s="400" t="n"/>
      <c r="AR1272" s="399" t="inlineStr">
        <is>
          <t>Nhóm 1</t>
        </is>
      </c>
      <c r="AS1272" s="399" t="n"/>
      <c r="AT1272" s="399" t="inlineStr">
        <is>
          <t>HM39</t>
        </is>
      </c>
      <c r="AU1272" s="399" t="inlineStr">
        <is>
          <t>MUCLUC</t>
        </is>
      </c>
      <c r="AV1272" s="399" t="n">
        <v>39</v>
      </c>
      <c r="AW1272" s="399" t="n">
        <v>1</v>
      </c>
      <c r="AX1272" s="399" t="n"/>
    </row>
    <row r="1273">
      <c r="A1273" s="56" t="inlineStr">
        <is>
          <t>BBK680</t>
        </is>
      </c>
      <c r="B1273" s="56" t="inlineStr">
        <is>
          <t>PYC</t>
        </is>
      </c>
      <c r="C1273" s="56" t="inlineStr">
        <is>
          <t>BBK680.0271568</t>
        </is>
      </c>
      <c r="D1273" s="57" t="n"/>
      <c r="E1273" s="57" t="n"/>
      <c r="F1273" s="57" t="n"/>
      <c r="G1273" s="57" t="n"/>
      <c r="H1273" s="57" t="n"/>
      <c r="J1273" s="108" t="inlineStr">
        <is>
          <t>03</t>
        </is>
      </c>
      <c r="K1273" s="108" t="inlineStr">
        <is>
          <t>PYC</t>
        </is>
      </c>
      <c r="L1273" s="109" t="inlineStr">
        <is>
          <t>phiếu yêu cầu</t>
        </is>
      </c>
      <c r="M1273" s="109" t="n"/>
      <c r="N1273" s="109" t="n"/>
      <c r="O1273" s="110" t="inlineStr">
        <is>
          <t>Cầu Km19+529.080</t>
        </is>
      </c>
      <c r="P1273" s="401" t="n"/>
      <c r="Q1273" s="401" t="n"/>
      <c r="R1273" s="401">
        <f>R1274</f>
        <v/>
      </c>
      <c r="S1273" s="401">
        <f>+R1273+1</f>
        <v/>
      </c>
      <c r="T1273" s="402">
        <f>T1274</f>
        <v/>
      </c>
      <c r="U1273" s="402">
        <f>U1274</f>
        <v/>
      </c>
      <c r="V1273" s="402">
        <f>V1274</f>
        <v/>
      </c>
      <c r="W1273" s="402">
        <f>W1274</f>
        <v/>
      </c>
      <c r="X1273" s="403" t="n"/>
      <c r="Y1273" s="403" t="n"/>
      <c r="Z1273" s="403" t="n"/>
      <c r="AA1273" s="113" t="n"/>
      <c r="AB1273" s="113" t="inlineStr">
        <is>
          <t>307HG/YCNT/TM/M1/Đ2</t>
        </is>
      </c>
      <c r="AC1273" s="113" t="n"/>
      <c r="AD1273" s="113" t="n"/>
      <c r="AE1273" s="113" t="n"/>
      <c r="AF1273" s="113" t="n"/>
      <c r="AG1273" s="113" t="inlineStr">
        <is>
          <t>BBKTĐK;NTCV</t>
        </is>
      </c>
      <c r="AH1273" s="113" t="n">
        <v>1</v>
      </c>
      <c r="AI1273" s="403" t="n"/>
      <c r="AJ1273" s="403" t="n"/>
      <c r="AK1273" s="404" t="n"/>
      <c r="AL1273" s="403" t="n"/>
      <c r="AM1273" s="403" t="n"/>
      <c r="AN1273" s="403" t="n"/>
      <c r="AO1273" s="403" t="n"/>
      <c r="AP1273" s="115" t="n"/>
      <c r="AQ1273" s="115" t="n"/>
      <c r="AR1273" s="403" t="inlineStr">
        <is>
          <t>Nhóm 1</t>
        </is>
      </c>
      <c r="AS1273" s="403" t="n"/>
      <c r="AT1273" s="403" t="inlineStr">
        <is>
          <t>HM39</t>
        </is>
      </c>
      <c r="AU1273" s="403" t="inlineStr">
        <is>
          <t>PYC</t>
        </is>
      </c>
      <c r="AV1273" s="403" t="n">
        <v>69</v>
      </c>
      <c r="AW1273" s="403" t="n">
        <v>1</v>
      </c>
      <c r="AX1273" s="403" t="n"/>
    </row>
    <row r="1274" ht="28" customHeight="1" s="672">
      <c r="A1274" s="56" t="inlineStr">
        <is>
          <t>BBK884</t>
        </is>
      </c>
      <c r="B1274" s="56" t="inlineStr">
        <is>
          <t>BBKTĐK</t>
        </is>
      </c>
      <c r="C1274" s="56" t="inlineStr">
        <is>
          <t>BBK884.0856967</t>
        </is>
      </c>
      <c r="D1274" s="57" t="n"/>
      <c r="E1274" s="57" t="n"/>
      <c r="F1274" s="57" t="n"/>
      <c r="G1274" s="57" t="n"/>
      <c r="H1274" s="57" t="n"/>
      <c r="J1274" s="139" t="inlineStr">
        <is>
          <t>04</t>
        </is>
      </c>
      <c r="K1274" s="139" t="inlineStr">
        <is>
          <t>BBKTĐK</t>
        </is>
      </c>
      <c r="L1274" s="140" t="inlineStr">
        <is>
          <t>Kiểm tra điều kiện trước khi thi công thân mố M1 (đợt 2)</t>
        </is>
      </c>
      <c r="M1274" s="140" t="n"/>
      <c r="N1274" s="140" t="n"/>
      <c r="O1274" s="141" t="inlineStr">
        <is>
          <t>Cầu Km19+529.080</t>
        </is>
      </c>
      <c r="P1274" s="382">
        <f>+S1264+1</f>
        <v/>
      </c>
      <c r="Q1274" s="382">
        <f>P1274</f>
        <v/>
      </c>
      <c r="R1274" s="382">
        <f>Q1274-1</f>
        <v/>
      </c>
      <c r="S1274" s="382">
        <f>Q1274</f>
        <v/>
      </c>
      <c r="T1274" s="383" t="n">
        <v>0.3541666666666667</v>
      </c>
      <c r="U1274" s="383">
        <f>T1274+V1274</f>
        <v/>
      </c>
      <c r="V1274" s="383" t="n">
        <v>0.0625</v>
      </c>
      <c r="W1274" s="384">
        <f>TEXT(T1274,"HH""h""MM'")&amp;"÷"&amp;TEXT(U1274,"HH""h""MM'")</f>
        <v/>
      </c>
      <c r="X1274" s="384" t="n"/>
      <c r="Y1274" s="384" t="n"/>
      <c r="Z1274" s="384" t="inlineStr">
        <is>
          <t>01;</t>
        </is>
      </c>
      <c r="AA1274" s="144" t="inlineStr">
        <is>
          <t>Kiểm tra điều kiện trước khi thi công thân mố M1 (đợt 2)</t>
        </is>
      </c>
      <c r="AB1274" s="144" t="inlineStr">
        <is>
          <t>307HG/YCNT/TM/M1/Đ2-1</t>
        </is>
      </c>
      <c r="AC1274" s="144" t="inlineStr">
        <is>
          <t>307HG/BBNT/TM/M1/Đ2-1</t>
        </is>
      </c>
      <c r="AD1274" s="144" t="n"/>
      <c r="AE1274" s="144" t="n"/>
      <c r="AF1274" s="144" t="n"/>
      <c r="AG1274" s="144" t="n"/>
      <c r="AH1274" s="144" t="n"/>
      <c r="AI1274" s="384" t="n"/>
      <c r="AJ1274" s="384" t="n"/>
      <c r="AK1274" s="386" t="n"/>
      <c r="AL1274" s="384" t="n"/>
      <c r="AM1274" s="384" t="n"/>
      <c r="AN1274" s="384" t="n"/>
      <c r="AO1274" s="384" t="n"/>
      <c r="AP1274" s="146" t="n"/>
      <c r="AQ1274" s="146" t="n"/>
      <c r="AR1274" s="384" t="inlineStr">
        <is>
          <t>Nhóm 1</t>
        </is>
      </c>
      <c r="AS1274" s="384" t="n"/>
      <c r="AT1274" s="384" t="inlineStr">
        <is>
          <t>HM39</t>
        </is>
      </c>
      <c r="AU1274" s="384" t="inlineStr">
        <is>
          <t>BBKTĐK</t>
        </is>
      </c>
      <c r="AV1274" s="384" t="n">
        <v>34</v>
      </c>
      <c r="AW1274" s="384" t="n">
        <v>1</v>
      </c>
      <c r="AX1274" s="384" t="n"/>
    </row>
    <row r="1275">
      <c r="A1275" s="56" t="inlineStr">
        <is>
          <t>BBK860</t>
        </is>
      </c>
      <c r="B1275" s="56" t="inlineStr">
        <is>
          <t>PL01</t>
        </is>
      </c>
      <c r="C1275" s="56" t="inlineStr">
        <is>
          <t>BBK860.0669069</t>
        </is>
      </c>
      <c r="D1275" s="57" t="n"/>
      <c r="E1275" s="57" t="n"/>
      <c r="F1275" s="57" t="n"/>
      <c r="G1275" s="57" t="n"/>
      <c r="H1275" s="57" t="n"/>
      <c r="J1275" s="168" t="inlineStr">
        <is>
          <t>05</t>
        </is>
      </c>
      <c r="K1275" s="168" t="inlineStr">
        <is>
          <t>PL01</t>
        </is>
      </c>
      <c r="L1275" s="169" t="inlineStr">
        <is>
          <t>Phụ lục số 01</t>
        </is>
      </c>
      <c r="M1275" s="169" t="n"/>
      <c r="N1275" s="169" t="n"/>
      <c r="O1275" s="170" t="inlineStr">
        <is>
          <t>Cầu Km19+529.080</t>
        </is>
      </c>
      <c r="P1275" s="405" t="n"/>
      <c r="Q1275" s="405" t="n"/>
      <c r="R1275" s="405" t="n"/>
      <c r="S1275" s="405">
        <f>S1274</f>
        <v/>
      </c>
      <c r="T1275" s="405" t="n"/>
      <c r="U1275" s="405" t="n"/>
      <c r="V1275" s="405" t="n"/>
      <c r="W1275" s="406" t="n"/>
      <c r="X1275" s="406" t="n"/>
      <c r="Y1275" s="406" t="n"/>
      <c r="Z1275" s="168" t="inlineStr">
        <is>
          <t>01</t>
        </is>
      </c>
      <c r="AA1275" s="173" t="n"/>
      <c r="AB1275" s="173" t="n"/>
      <c r="AC1275" s="173" t="inlineStr">
        <is>
          <t>307HG/BBNT/TM/M1/Đ2-1</t>
        </is>
      </c>
      <c r="AD1275" s="173" t="n"/>
      <c r="AE1275" s="173" t="n"/>
      <c r="AF1275" s="173" t="n"/>
      <c r="AG1275" s="173" t="n"/>
      <c r="AH1275" s="407" t="inlineStr">
        <is>
          <t>TM-M1</t>
        </is>
      </c>
      <c r="AI1275" s="406" t="n"/>
      <c r="AJ1275" s="406" t="n"/>
      <c r="AK1275" s="408" t="n"/>
      <c r="AL1275" s="406" t="n"/>
      <c r="AM1275" s="406" t="n"/>
      <c r="AN1275" s="406" t="n"/>
      <c r="AO1275" s="406" t="n"/>
      <c r="AP1275" s="174" t="n"/>
      <c r="AQ1275" s="174" t="n"/>
      <c r="AR1275" s="406" t="inlineStr">
        <is>
          <t>Nhóm 1</t>
        </is>
      </c>
      <c r="AS1275" s="406" t="n"/>
      <c r="AT1275" s="406" t="inlineStr">
        <is>
          <t>HM39</t>
        </is>
      </c>
      <c r="AU1275" s="406" t="inlineStr">
        <is>
          <t>PL01</t>
        </is>
      </c>
      <c r="AV1275" s="406" t="n">
        <v>38</v>
      </c>
      <c r="AW1275" s="406" t="n">
        <v>1</v>
      </c>
      <c r="AX1275" s="406" t="n"/>
    </row>
    <row r="1276" ht="28" customHeight="1" s="672">
      <c r="A1276" s="56" t="inlineStr">
        <is>
          <t>NTCV</t>
        </is>
      </c>
      <c r="B1276" s="56" t="inlineStr">
        <is>
          <t>K.9999</t>
        </is>
      </c>
      <c r="C1276" s="56" t="inlineStr">
        <is>
          <t>NTCV.0465367</t>
        </is>
      </c>
      <c r="D1276" s="57" t="n"/>
      <c r="E1276" s="57" t="n"/>
      <c r="F1276" s="57" t="n"/>
      <c r="G1276" s="57" t="n"/>
      <c r="H1276" s="57" t="n"/>
      <c r="J1276" s="147" t="inlineStr">
        <is>
          <t>06</t>
        </is>
      </c>
      <c r="K1276" s="147" t="inlineStr">
        <is>
          <t>K.9999</t>
        </is>
      </c>
      <c r="L1276" s="148" t="inlineStr">
        <is>
          <t>Lắp dựng ván khuôn, thanh xuyên táo thân mố M1 (đợt 2)</t>
        </is>
      </c>
      <c r="M1276" s="148" t="n"/>
      <c r="N1276" s="148" t="n"/>
      <c r="O1276" s="149" t="inlineStr">
        <is>
          <t>Cầu Km19+529.080</t>
        </is>
      </c>
      <c r="P1276" s="415">
        <f>S1274+1</f>
        <v/>
      </c>
      <c r="Q1276" s="415">
        <f>P1276</f>
        <v/>
      </c>
      <c r="R1276" s="415">
        <f>Q1276-2</f>
        <v/>
      </c>
      <c r="S1276" s="415">
        <f>Q1276</f>
        <v/>
      </c>
      <c r="T1276" s="416" t="n">
        <v>0.375</v>
      </c>
      <c r="U1276" s="416">
        <f>+T1276+V1276</f>
        <v/>
      </c>
      <c r="V1276" s="416" t="n">
        <v>0.02083333333333333</v>
      </c>
      <c r="W1276" s="417">
        <f>TEXT(T1276,"HH""h""MM'")&amp;"÷"&amp;TEXT(U1276,"HH""h""MM'")</f>
        <v/>
      </c>
      <c r="X1276" s="417" t="n"/>
      <c r="Y1276" s="417" t="n"/>
      <c r="Z1276" s="417" t="inlineStr">
        <is>
          <t>02;</t>
        </is>
      </c>
      <c r="AA1276" s="150" t="inlineStr">
        <is>
          <t>Lắp dựng ván khuôn, thanh xuyên táo thân mố M1 (đợt 2)</t>
        </is>
      </c>
      <c r="AB1276" s="150" t="inlineStr">
        <is>
          <t>307HG/YCNT/TM/M1/Đ2-1</t>
        </is>
      </c>
      <c r="AC1276" s="150" t="inlineStr">
        <is>
          <t>307HG/BBNT/TM/M1/Đ2-2</t>
        </is>
      </c>
      <c r="AD1276" s="150" t="n"/>
      <c r="AE1276" s="150" t="n"/>
      <c r="AF1276" s="150" t="n"/>
      <c r="AG1276" s="150" t="n"/>
      <c r="AH1276" s="150" t="n"/>
      <c r="AI1276" s="417" t="n"/>
      <c r="AJ1276" s="417" t="n"/>
      <c r="AK1276" s="418" t="n"/>
      <c r="AL1276" s="417" t="n"/>
      <c r="AM1276" s="417" t="n"/>
      <c r="AN1276" s="417" t="n"/>
      <c r="AO1276" s="417" t="n"/>
      <c r="AP1276" s="151" t="n"/>
      <c r="AQ1276" s="151" t="n"/>
      <c r="AR1276" s="417" t="inlineStr">
        <is>
          <t>Nhóm 1</t>
        </is>
      </c>
      <c r="AS1276" s="417" t="n"/>
      <c r="AT1276" s="417" t="inlineStr">
        <is>
          <t>HM39</t>
        </is>
      </c>
      <c r="AU1276" s="417" t="inlineStr">
        <is>
          <t>NTCV</t>
        </is>
      </c>
      <c r="AV1276" s="417" t="n">
        <v>415</v>
      </c>
      <c r="AW1276" s="417" t="n">
        <v>1</v>
      </c>
      <c r="AX1276" s="417" t="n"/>
    </row>
    <row r="1277">
      <c r="A1277" s="56" t="inlineStr">
        <is>
          <t>BBK288</t>
        </is>
      </c>
      <c r="B1277" s="56" t="inlineStr">
        <is>
          <t>PL11.1</t>
        </is>
      </c>
      <c r="C1277" s="56" t="inlineStr">
        <is>
          <t>BBK288.0566159</t>
        </is>
      </c>
      <c r="D1277" s="57" t="n"/>
      <c r="E1277" s="57" t="n"/>
      <c r="F1277" s="57" t="n"/>
      <c r="G1277" s="57" t="n"/>
      <c r="H1277" s="57" t="n"/>
      <c r="J1277" s="108" t="inlineStr">
        <is>
          <t>07</t>
        </is>
      </c>
      <c r="K1277" s="108" t="inlineStr">
        <is>
          <t>PL11.1</t>
        </is>
      </c>
      <c r="L1277" s="109" t="inlineStr">
        <is>
          <t>Phụ lục số 11</t>
        </is>
      </c>
      <c r="M1277" s="109" t="n"/>
      <c r="N1277" s="109" t="n"/>
      <c r="O1277" s="110" t="inlineStr">
        <is>
          <t>Cầu Km19+529.080</t>
        </is>
      </c>
      <c r="P1277" s="401" t="n"/>
      <c r="Q1277" s="401" t="n"/>
      <c r="R1277" s="401" t="n"/>
      <c r="S1277" s="401">
        <f>S1276</f>
        <v/>
      </c>
      <c r="T1277" s="401" t="n"/>
      <c r="U1277" s="401" t="n"/>
      <c r="V1277" s="401" t="n"/>
      <c r="W1277" s="403" t="n"/>
      <c r="X1277" s="403" t="n"/>
      <c r="Y1277" s="403" t="n"/>
      <c r="Z1277" s="108" t="inlineStr">
        <is>
          <t>02</t>
        </is>
      </c>
      <c r="AA1277" s="113" t="n"/>
      <c r="AB1277" s="113" t="n"/>
      <c r="AC1277" s="113" t="inlineStr">
        <is>
          <t>307HG/BBNT/TM/M1/Đ2-2</t>
        </is>
      </c>
      <c r="AD1277" s="113" t="n"/>
      <c r="AE1277" s="113" t="n"/>
      <c r="AF1277" s="113" t="n"/>
      <c r="AG1277" s="114" t="n"/>
      <c r="AH1277" s="114" t="inlineStr">
        <is>
          <t>TM-M1-Đ2</t>
        </is>
      </c>
      <c r="AI1277" s="403" t="n"/>
      <c r="AJ1277" s="403" t="n"/>
      <c r="AK1277" s="404" t="n"/>
      <c r="AL1277" s="403" t="n"/>
      <c r="AM1277" s="403" t="n"/>
      <c r="AN1277" s="403" t="n"/>
      <c r="AO1277" s="403" t="n"/>
      <c r="AP1277" s="115" t="n"/>
      <c r="AQ1277" s="115" t="inlineStr">
        <is>
          <t>Ảnh\Thân mố M1.png</t>
        </is>
      </c>
      <c r="AR1277" s="403" t="inlineStr">
        <is>
          <t>Nhóm 1</t>
        </is>
      </c>
      <c r="AS1277" s="403" t="n"/>
      <c r="AT1277" s="403" t="inlineStr">
        <is>
          <t>HM39</t>
        </is>
      </c>
      <c r="AU1277" s="403" t="inlineStr">
        <is>
          <t>PL11.1</t>
        </is>
      </c>
      <c r="AV1277" s="403" t="n">
        <v>8</v>
      </c>
      <c r="AW1277" s="403" t="n">
        <v>1</v>
      </c>
      <c r="AX1277" s="403" t="n"/>
    </row>
    <row r="1278">
      <c r="A1278" s="56" t="inlineStr">
        <is>
          <t>BBK680</t>
        </is>
      </c>
      <c r="B1278" s="56" t="inlineStr">
        <is>
          <t>PYC</t>
        </is>
      </c>
      <c r="C1278" s="56" t="inlineStr">
        <is>
          <t>BBK680.0232226</t>
        </is>
      </c>
      <c r="D1278" s="57" t="n"/>
      <c r="E1278" s="57" t="n"/>
      <c r="F1278" s="57" t="n"/>
      <c r="G1278" s="57" t="n"/>
      <c r="H1278" s="57" t="n"/>
      <c r="J1278" s="168" t="inlineStr">
        <is>
          <t>08</t>
        </is>
      </c>
      <c r="K1278" s="168" t="inlineStr">
        <is>
          <t>PYC</t>
        </is>
      </c>
      <c r="L1278" s="169" t="inlineStr">
        <is>
          <t>phiếu yêu cầu</t>
        </is>
      </c>
      <c r="M1278" s="169" t="n"/>
      <c r="N1278" s="169" t="n"/>
      <c r="O1278" s="170" t="inlineStr">
        <is>
          <t>Cầu Km19+529.080</t>
        </is>
      </c>
      <c r="P1278" s="405" t="n"/>
      <c r="Q1278" s="405" t="n"/>
      <c r="R1278" s="401">
        <f>R1279</f>
        <v/>
      </c>
      <c r="S1278" s="405">
        <f>+R1278+1</f>
        <v/>
      </c>
      <c r="T1278" s="402">
        <f>T1279</f>
        <v/>
      </c>
      <c r="U1278" s="402">
        <f>U1279</f>
        <v/>
      </c>
      <c r="V1278" s="402">
        <f>V1279</f>
        <v/>
      </c>
      <c r="W1278" s="402">
        <f>W1279</f>
        <v/>
      </c>
      <c r="X1278" s="406" t="n"/>
      <c r="Y1278" s="406" t="n"/>
      <c r="Z1278" s="168" t="inlineStr">
        <is>
          <t>02</t>
        </is>
      </c>
      <c r="AA1278" s="173" t="n"/>
      <c r="AB1278" s="173" t="inlineStr">
        <is>
          <t>307HG/YCNT/TM/M1/Đ2</t>
        </is>
      </c>
      <c r="AC1278" s="173" t="n"/>
      <c r="AD1278" s="173" t="n"/>
      <c r="AE1278" s="173" t="n"/>
      <c r="AF1278" s="173" t="n"/>
      <c r="AG1278" s="129" t="inlineStr">
        <is>
          <t>NTCV</t>
        </is>
      </c>
      <c r="AH1278" s="173" t="inlineStr">
        <is>
          <t>&gt;=2;&lt;=4</t>
        </is>
      </c>
      <c r="AI1278" s="406" t="n"/>
      <c r="AJ1278" s="406" t="n"/>
      <c r="AK1278" s="408" t="n"/>
      <c r="AL1278" s="406" t="n"/>
      <c r="AM1278" s="406" t="n"/>
      <c r="AN1278" s="406" t="n"/>
      <c r="AO1278" s="406" t="n"/>
      <c r="AP1278" s="174" t="n"/>
      <c r="AQ1278" s="174" t="n"/>
      <c r="AR1278" s="406" t="inlineStr">
        <is>
          <t>Nhóm 1</t>
        </is>
      </c>
      <c r="AS1278" s="406" t="n"/>
      <c r="AT1278" s="406" t="inlineStr">
        <is>
          <t>HM39</t>
        </is>
      </c>
      <c r="AU1278" s="406" t="inlineStr">
        <is>
          <t>PYC</t>
        </is>
      </c>
      <c r="AV1278" s="406" t="n">
        <v>76</v>
      </c>
      <c r="AW1278" s="406" t="n">
        <v>2</v>
      </c>
      <c r="AX1278" s="406" t="n"/>
    </row>
    <row r="1279">
      <c r="A1279" s="413" t="inlineStr">
        <is>
          <t>NTCV</t>
        </is>
      </c>
      <c r="B1279" s="413" t="inlineStr">
        <is>
          <t>K.9999</t>
        </is>
      </c>
      <c r="C1279" s="413" t="inlineStr">
        <is>
          <t>NTCV.0016191</t>
        </is>
      </c>
      <c r="D1279" s="414" t="n"/>
      <c r="E1279" s="414" t="n"/>
      <c r="F1279" s="414" t="n"/>
      <c r="G1279" s="414" t="n"/>
      <c r="H1279" s="414" t="n"/>
      <c r="J1279" s="147" t="inlineStr">
        <is>
          <t>09</t>
        </is>
      </c>
      <c r="K1279" s="147" t="inlineStr">
        <is>
          <t>K.9999</t>
        </is>
      </c>
      <c r="L1279" s="148" t="inlineStr">
        <is>
          <t>Kiểm tra cốt thép thân mố M1 (đợt 2)</t>
        </is>
      </c>
      <c r="M1279" s="148" t="n"/>
      <c r="N1279" s="148" t="n"/>
      <c r="O1279" s="149" t="inlineStr">
        <is>
          <t>Cầu Km19+529.080</t>
        </is>
      </c>
      <c r="P1279" s="415">
        <f>+S1276+1</f>
        <v/>
      </c>
      <c r="Q1279" s="415">
        <f>+P1279</f>
        <v/>
      </c>
      <c r="R1279" s="415">
        <f>+Q1279-1</f>
        <v/>
      </c>
      <c r="S1279" s="415">
        <f>+Q1279</f>
        <v/>
      </c>
      <c r="T1279" s="416" t="n">
        <v>0.375</v>
      </c>
      <c r="U1279" s="416">
        <f>+T1279+V1279</f>
        <v/>
      </c>
      <c r="V1279" s="416" t="n">
        <v>0.04166666666666666</v>
      </c>
      <c r="W1279" s="411">
        <f>TEXT(T1279,"HH""h""MM'")&amp;"÷"&amp;TEXT(U1279,"HH""h""MM'")</f>
        <v/>
      </c>
      <c r="X1279" s="417" t="n"/>
      <c r="Y1279" s="417" t="n"/>
      <c r="Z1279" s="417" t="inlineStr">
        <is>
          <t>03;</t>
        </is>
      </c>
      <c r="AA1279" s="150" t="inlineStr">
        <is>
          <t>Kiểm tra cốt thép thân mố M1 (đợt 2)</t>
        </is>
      </c>
      <c r="AB1279" s="150" t="inlineStr">
        <is>
          <t>307HG/YCNT/TM/M1/Đ2-2</t>
        </is>
      </c>
      <c r="AC1279" s="150" t="inlineStr">
        <is>
          <t>307HG/BBNT/TM/M1/Đ2-3</t>
        </is>
      </c>
      <c r="AD1279" s="150" t="n"/>
      <c r="AE1279" s="150" t="n"/>
      <c r="AF1279" s="150" t="n"/>
      <c r="AG1279" s="150" t="n"/>
      <c r="AH1279" s="150" t="n"/>
      <c r="AI1279" s="417" t="n"/>
      <c r="AJ1279" s="417" t="n"/>
      <c r="AK1279" s="418" t="n"/>
      <c r="AL1279" s="417" t="n"/>
      <c r="AM1279" s="417" t="n"/>
      <c r="AN1279" s="417" t="n"/>
      <c r="AO1279" s="417" t="n"/>
      <c r="AP1279" s="151" t="n"/>
      <c r="AQ1279" s="151" t="n"/>
      <c r="AR1279" s="417" t="inlineStr">
        <is>
          <t>Nhóm 1</t>
        </is>
      </c>
      <c r="AS1279" s="417" t="n"/>
      <c r="AT1279" s="417" t="inlineStr">
        <is>
          <t>HM39</t>
        </is>
      </c>
      <c r="AU1279" s="417" t="inlineStr">
        <is>
          <t>NTCV</t>
        </is>
      </c>
      <c r="AV1279" s="417" t="n">
        <v>419</v>
      </c>
      <c r="AW1279" s="417" t="n">
        <v>2</v>
      </c>
      <c r="AX1279" s="417" t="n"/>
    </row>
    <row r="1280">
      <c r="A1280" s="413" t="inlineStr">
        <is>
          <t>BBK469</t>
        </is>
      </c>
      <c r="B1280" s="413" t="inlineStr">
        <is>
          <t>PL08.1</t>
        </is>
      </c>
      <c r="C1280" s="413" t="inlineStr">
        <is>
          <t>BBK469.0255301</t>
        </is>
      </c>
      <c r="D1280" s="414" t="n"/>
      <c r="E1280" s="414" t="n"/>
      <c r="F1280" s="414" t="n"/>
      <c r="G1280" s="414" t="n"/>
      <c r="H1280" s="414" t="n"/>
      <c r="J1280" s="108" t="inlineStr">
        <is>
          <t>10</t>
        </is>
      </c>
      <c r="K1280" s="108" t="inlineStr">
        <is>
          <t>PL08.1</t>
        </is>
      </c>
      <c r="L1280" s="109">
        <f>L1279</f>
        <v/>
      </c>
      <c r="M1280" s="109" t="n"/>
      <c r="N1280" s="109" t="n"/>
      <c r="O1280" s="110" t="inlineStr">
        <is>
          <t>Cầu Km19+529.080</t>
        </is>
      </c>
      <c r="P1280" s="401" t="n"/>
      <c r="Q1280" s="401" t="n"/>
      <c r="R1280" s="401" t="n"/>
      <c r="S1280" s="401">
        <f>S1279</f>
        <v/>
      </c>
      <c r="T1280" s="401" t="n"/>
      <c r="U1280" s="401" t="n"/>
      <c r="V1280" s="401" t="n"/>
      <c r="W1280" s="403" t="n"/>
      <c r="X1280" s="403" t="n"/>
      <c r="Y1280" s="403" t="n"/>
      <c r="Z1280" s="108" t="inlineStr">
        <is>
          <t>03</t>
        </is>
      </c>
      <c r="AA1280" s="113" t="n"/>
      <c r="AB1280" s="113" t="n"/>
      <c r="AC1280" s="113" t="inlineStr">
        <is>
          <t>307HG/BBNT/TM/M1/Đ2-3</t>
        </is>
      </c>
      <c r="AD1280" s="113" t="n"/>
      <c r="AE1280" s="113" t="n"/>
      <c r="AF1280" s="113" t="n"/>
      <c r="AG1280" s="113" t="n"/>
      <c r="AH1280" s="113" t="inlineStr">
        <is>
          <t>TM-M1-Đ2</t>
        </is>
      </c>
      <c r="AI1280" s="403" t="n"/>
      <c r="AJ1280" s="403" t="n"/>
      <c r="AK1280" s="404" t="n"/>
      <c r="AL1280" s="403" t="n"/>
      <c r="AM1280" s="403" t="n"/>
      <c r="AN1280" s="403" t="n"/>
      <c r="AO1280" s="403" t="n"/>
      <c r="AP1280" s="115" t="n"/>
      <c r="AQ1280" s="115" t="n"/>
      <c r="AR1280" s="403" t="inlineStr">
        <is>
          <t>Nhóm 1</t>
        </is>
      </c>
      <c r="AS1280" s="403" t="n"/>
      <c r="AT1280" s="403" t="inlineStr">
        <is>
          <t>HM39</t>
        </is>
      </c>
      <c r="AU1280" s="403" t="inlineStr">
        <is>
          <t>PL08.1</t>
        </is>
      </c>
      <c r="AV1280" s="403" t="n">
        <v>8</v>
      </c>
      <c r="AW1280" s="403" t="n">
        <v>1</v>
      </c>
      <c r="AX1280" s="403" t="n"/>
    </row>
    <row r="1281" ht="28" customHeight="1" s="672">
      <c r="A1281" s="413" t="inlineStr">
        <is>
          <t>NTCV</t>
        </is>
      </c>
      <c r="B1281" s="413" t="inlineStr">
        <is>
          <t>K.9999</t>
        </is>
      </c>
      <c r="C1281" s="413" t="inlineStr">
        <is>
          <t>NTCV.0952460</t>
        </is>
      </c>
      <c r="D1281" s="414" t="n"/>
      <c r="E1281" s="414" t="n"/>
      <c r="F1281" s="414" t="n"/>
      <c r="G1281" s="414" t="n"/>
      <c r="H1281" s="414" t="n"/>
      <c r="J1281" s="131" t="inlineStr">
        <is>
          <t>11</t>
        </is>
      </c>
      <c r="K1281" s="131" t="inlineStr">
        <is>
          <t>K.9999</t>
        </is>
      </c>
      <c r="L1281" s="132" t="inlineStr">
        <is>
          <t>Công tác chuẩn bị đổ bê tông thân mố M1 (đợt 2)</t>
        </is>
      </c>
      <c r="M1281" s="132" t="n"/>
      <c r="N1281" s="132" t="n"/>
      <c r="O1281" s="133" t="inlineStr">
        <is>
          <t>Cầu Km19+529.080</t>
        </is>
      </c>
      <c r="P1281" s="419">
        <f>S1279</f>
        <v/>
      </c>
      <c r="Q1281" s="419">
        <f>P1281+1</f>
        <v/>
      </c>
      <c r="R1281" s="415">
        <f>+Q1281-2</f>
        <v/>
      </c>
      <c r="S1281" s="415">
        <f>+Q1281</f>
        <v/>
      </c>
      <c r="T1281" s="420" t="n">
        <v>0.3333333333333333</v>
      </c>
      <c r="U1281" s="420">
        <f>+T1281+V1281</f>
        <v/>
      </c>
      <c r="V1281" s="420" t="n">
        <v>0.02083333333333333</v>
      </c>
      <c r="W1281" s="417">
        <f>TEXT(T1281,"HH""h""MM'")&amp;"÷"&amp;TEXT(U1281,"HH""h""MM'")</f>
        <v/>
      </c>
      <c r="X1281" s="421" t="n"/>
      <c r="Y1281" s="421" t="n"/>
      <c r="Z1281" s="421" t="inlineStr">
        <is>
          <t>04;</t>
        </is>
      </c>
      <c r="AA1281" s="136" t="inlineStr">
        <is>
          <t>Công tác chuẩn bị đổ bê tông thân mố M1 (đợt 2)</t>
        </is>
      </c>
      <c r="AB1281" s="150" t="inlineStr">
        <is>
          <t>307HG/YCNT/TM/M1/Đ2-2</t>
        </is>
      </c>
      <c r="AC1281" s="136" t="inlineStr">
        <is>
          <t>307HG/BBNT/TM/M1/Đ2-4</t>
        </is>
      </c>
      <c r="AD1281" s="136" t="n"/>
      <c r="AE1281" s="136" t="n"/>
      <c r="AF1281" s="136" t="n"/>
      <c r="AG1281" s="136" t="n"/>
      <c r="AH1281" s="136" t="n"/>
      <c r="AI1281" s="421" t="n"/>
      <c r="AJ1281" s="421" t="n"/>
      <c r="AK1281" s="422" t="n"/>
      <c r="AL1281" s="421" t="n"/>
      <c r="AM1281" s="421" t="n"/>
      <c r="AN1281" s="421" t="n"/>
      <c r="AO1281" s="421" t="n"/>
      <c r="AP1281" s="138" t="n"/>
      <c r="AQ1281" s="138" t="n"/>
      <c r="AR1281" s="421" t="inlineStr">
        <is>
          <t>Nhóm 1</t>
        </is>
      </c>
      <c r="AS1281" s="421" t="n"/>
      <c r="AT1281" s="421" t="inlineStr">
        <is>
          <t>HM39</t>
        </is>
      </c>
      <c r="AU1281" s="421" t="inlineStr">
        <is>
          <t>NTCV</t>
        </is>
      </c>
      <c r="AV1281" s="421" t="n">
        <v>422</v>
      </c>
      <c r="AW1281" s="421" t="n">
        <v>3</v>
      </c>
      <c r="AX1281" s="421" t="n"/>
    </row>
    <row r="1282">
      <c r="A1282" s="413" t="inlineStr">
        <is>
          <t>BBK209</t>
        </is>
      </c>
      <c r="B1282" s="413" t="inlineStr">
        <is>
          <t>PL09</t>
        </is>
      </c>
      <c r="C1282" s="413" t="inlineStr">
        <is>
          <t>BBK209.0055015</t>
        </is>
      </c>
      <c r="D1282" s="414" t="n"/>
      <c r="E1282" s="414" t="n"/>
      <c r="F1282" s="414" t="n"/>
      <c r="G1282" s="414" t="n"/>
      <c r="H1282" s="414" t="n"/>
      <c r="J1282" s="124" t="inlineStr">
        <is>
          <t>12</t>
        </is>
      </c>
      <c r="K1282" s="124" t="inlineStr">
        <is>
          <t>PL09</t>
        </is>
      </c>
      <c r="L1282" s="125">
        <f>+L1281</f>
        <v/>
      </c>
      <c r="M1282" s="125" t="n"/>
      <c r="N1282" s="125" t="n"/>
      <c r="O1282" s="126" t="inlineStr">
        <is>
          <t>Cầu Km19+529.080</t>
        </is>
      </c>
      <c r="P1282" s="423" t="n"/>
      <c r="Q1282" s="423" t="n"/>
      <c r="R1282" s="423">
        <f>+R1283</f>
        <v/>
      </c>
      <c r="S1282" s="423">
        <f>+S1281</f>
        <v/>
      </c>
      <c r="T1282" s="424" t="n"/>
      <c r="U1282" s="424" t="n"/>
      <c r="V1282" s="424" t="n"/>
      <c r="W1282" s="425" t="n"/>
      <c r="X1282" s="425" t="n"/>
      <c r="Y1282" s="425" t="n"/>
      <c r="Z1282" s="124" t="inlineStr">
        <is>
          <t>04</t>
        </is>
      </c>
      <c r="AA1282" s="129" t="n"/>
      <c r="AB1282" s="129" t="n"/>
      <c r="AC1282" s="129">
        <f>+AC1281</f>
        <v/>
      </c>
      <c r="AD1282" s="129" t="n"/>
      <c r="AE1282" s="129" t="n"/>
      <c r="AF1282" s="129" t="n"/>
      <c r="AG1282" s="129" t="n"/>
      <c r="AH1282" s="129" t="inlineStr">
        <is>
          <t>C30</t>
        </is>
      </c>
      <c r="AI1282" s="425" t="n"/>
      <c r="AJ1282" s="425" t="n"/>
      <c r="AK1282" s="427" t="n"/>
      <c r="AL1282" s="425" t="n"/>
      <c r="AM1282" s="425" t="n"/>
      <c r="AN1282" s="425" t="n"/>
      <c r="AO1282" s="425" t="n"/>
      <c r="AP1282" s="130" t="n"/>
      <c r="AQ1282" s="130" t="n"/>
      <c r="AR1282" s="425" t="inlineStr">
        <is>
          <t>Nhóm 1</t>
        </is>
      </c>
      <c r="AS1282" s="425" t="n"/>
      <c r="AT1282" s="425" t="inlineStr">
        <is>
          <t>HM39</t>
        </is>
      </c>
      <c r="AU1282" s="425" t="inlineStr">
        <is>
          <t>PL09</t>
        </is>
      </c>
      <c r="AV1282" s="425" t="n">
        <v>34</v>
      </c>
      <c r="AW1282" s="425" t="n">
        <v>1</v>
      </c>
      <c r="AX1282" s="425" t="n"/>
    </row>
    <row r="1283" ht="28" customHeight="1" s="672">
      <c r="A1283" s="413" t="inlineStr">
        <is>
          <t>NTCV</t>
        </is>
      </c>
      <c r="B1283" s="413" t="inlineStr">
        <is>
          <t>K.9999</t>
        </is>
      </c>
      <c r="C1283" s="413" t="inlineStr">
        <is>
          <t>NTCV.0852757</t>
        </is>
      </c>
      <c r="D1283" s="414" t="n"/>
      <c r="E1283" s="414" t="n"/>
      <c r="F1283" s="414" t="n"/>
      <c r="G1283" s="414" t="n"/>
      <c r="H1283" s="414" t="n"/>
      <c r="J1283" s="161" t="inlineStr">
        <is>
          <t>13</t>
        </is>
      </c>
      <c r="K1283" s="161" t="inlineStr">
        <is>
          <t>K.9999</t>
        </is>
      </c>
      <c r="L1283" s="162" t="inlineStr">
        <is>
          <t>Công tác đổ, lấy mẫu bê tông thân mố M1 (đợt 2)</t>
        </is>
      </c>
      <c r="M1283" s="162" t="n"/>
      <c r="N1283" s="162" t="n"/>
      <c r="O1283" s="163" t="inlineStr">
        <is>
          <t>Cầu Km19+529.080</t>
        </is>
      </c>
      <c r="P1283" s="409">
        <f>+S1281</f>
        <v/>
      </c>
      <c r="Q1283" s="409">
        <f>+P1283</f>
        <v/>
      </c>
      <c r="R1283" s="409">
        <f>+Q1283-1</f>
        <v/>
      </c>
      <c r="S1283" s="409">
        <f>+Q1283</f>
        <v/>
      </c>
      <c r="T1283" s="410" t="n">
        <v>0.375</v>
      </c>
      <c r="U1283" s="410">
        <f>+T1283+V1283</f>
        <v/>
      </c>
      <c r="V1283" s="410" t="n">
        <v>0.08333333333333333</v>
      </c>
      <c r="W1283" s="411">
        <f>TEXT(T1283,"HH""h""MM'")&amp;"÷"&amp;TEXT(U1283,"HH""h""MM'")</f>
        <v/>
      </c>
      <c r="X1283" s="411" t="n"/>
      <c r="Y1283" s="411" t="n"/>
      <c r="Z1283" s="161" t="inlineStr">
        <is>
          <t>05;</t>
        </is>
      </c>
      <c r="AA1283" s="166" t="inlineStr">
        <is>
          <t>Công tác đổ bê tông, lấy mẫu bê tông thân mố M1 (đợt 2)</t>
        </is>
      </c>
      <c r="AB1283" s="166" t="n"/>
      <c r="AC1283" s="166" t="inlineStr">
        <is>
          <t>307HG/BBNT/TM/M1/Đ2-5</t>
        </is>
      </c>
      <c r="AD1283" s="166" t="n"/>
      <c r="AE1283" s="166" t="n"/>
      <c r="AF1283" s="166" t="n"/>
      <c r="AG1283" s="166" t="n"/>
      <c r="AH1283" s="166" t="n"/>
      <c r="AI1283" s="411" t="n"/>
      <c r="AJ1283" s="411" t="n"/>
      <c r="AK1283" s="412" t="n"/>
      <c r="AL1283" s="411" t="n"/>
      <c r="AM1283" s="411" t="n"/>
      <c r="AN1283" s="411" t="n"/>
      <c r="AO1283" s="411" t="n"/>
      <c r="AP1283" s="167" t="n"/>
      <c r="AQ1283" s="167" t="n"/>
      <c r="AR1283" s="411" t="inlineStr">
        <is>
          <t>Nhóm 1</t>
        </is>
      </c>
      <c r="AS1283" s="411" t="n"/>
      <c r="AT1283" s="411" t="inlineStr">
        <is>
          <t>HM39</t>
        </is>
      </c>
      <c r="AU1283" s="411" t="inlineStr">
        <is>
          <t>NTCV</t>
        </is>
      </c>
      <c r="AV1283" s="411" t="n">
        <v>424</v>
      </c>
      <c r="AW1283" s="411" t="n">
        <v>4</v>
      </c>
      <c r="AX1283" s="411" t="n"/>
    </row>
    <row r="1284">
      <c r="A1284" s="413" t="inlineStr">
        <is>
          <t>BBK832</t>
        </is>
      </c>
      <c r="B1284" s="413" t="inlineStr">
        <is>
          <t>PL06.1</t>
        </is>
      </c>
      <c r="C1284" s="413" t="inlineStr">
        <is>
          <t>BBK832.0080808</t>
        </is>
      </c>
      <c r="D1284" s="414" t="n"/>
      <c r="E1284" s="414" t="n"/>
      <c r="F1284" s="414" t="n"/>
      <c r="G1284" s="414" t="n"/>
      <c r="H1284" s="414" t="n"/>
      <c r="J1284" s="168" t="inlineStr">
        <is>
          <t>14</t>
        </is>
      </c>
      <c r="K1284" s="168" t="inlineStr">
        <is>
          <t>PL06.1</t>
        </is>
      </c>
      <c r="L1284" s="169">
        <f>+L1283</f>
        <v/>
      </c>
      <c r="M1284" s="169" t="n"/>
      <c r="N1284" s="169" t="n"/>
      <c r="O1284" s="170" t="inlineStr">
        <is>
          <t>Cầu Km19+529.080</t>
        </is>
      </c>
      <c r="P1284" s="405" t="n"/>
      <c r="Q1284" s="405" t="n"/>
      <c r="R1284" s="405" t="n"/>
      <c r="S1284" s="405">
        <f>+S1283</f>
        <v/>
      </c>
      <c r="T1284" s="428">
        <f>+T1283</f>
        <v/>
      </c>
      <c r="U1284" s="428">
        <f>T1284+V1284</f>
        <v/>
      </c>
      <c r="V1284" s="428" t="n">
        <v>0.08333333333333333</v>
      </c>
      <c r="W1284" s="406" t="n"/>
      <c r="X1284" s="406" t="n"/>
      <c r="Y1284" s="406" t="n"/>
      <c r="Z1284" s="168" t="inlineStr">
        <is>
          <t>05</t>
        </is>
      </c>
      <c r="AA1284" s="173" t="n"/>
      <c r="AB1284" s="173" t="n"/>
      <c r="AC1284" s="173">
        <f>+AC1283</f>
        <v/>
      </c>
      <c r="AD1284" s="173" t="n"/>
      <c r="AE1284" s="173" t="n"/>
      <c r="AF1284" s="173" t="n"/>
      <c r="AG1284" s="173" t="n"/>
      <c r="AH1284" s="407" t="inlineStr">
        <is>
          <t>C30-TM-M1-Đ2</t>
        </is>
      </c>
      <c r="AI1284" s="406" t="n"/>
      <c r="AJ1284" s="406" t="n"/>
      <c r="AK1284" s="408" t="n"/>
      <c r="AL1284" s="406" t="n"/>
      <c r="AM1284" s="406" t="n"/>
      <c r="AN1284" s="406" t="n"/>
      <c r="AO1284" s="406" t="n"/>
      <c r="AP1284" s="174" t="n"/>
      <c r="AQ1284" s="174" t="n"/>
      <c r="AR1284" s="406" t="inlineStr">
        <is>
          <t>Nhóm 1</t>
        </is>
      </c>
      <c r="AS1284" s="406" t="n"/>
      <c r="AT1284" s="406" t="inlineStr">
        <is>
          <t>HM39</t>
        </is>
      </c>
      <c r="AU1284" s="406" t="inlineStr">
        <is>
          <t>PL06.1</t>
        </is>
      </c>
      <c r="AV1284" s="406" t="n">
        <v>9</v>
      </c>
      <c r="AW1284" s="406" t="n">
        <v>1</v>
      </c>
      <c r="AX1284" s="406" t="n"/>
    </row>
    <row r="1285">
      <c r="A1285" s="413" t="inlineStr">
        <is>
          <t>LMHT</t>
        </is>
      </c>
      <c r="B1285" s="413" t="inlineStr">
        <is>
          <t>LMHT</t>
        </is>
      </c>
      <c r="C1285" s="413" t="inlineStr">
        <is>
          <t>LMHT.0720325</t>
        </is>
      </c>
      <c r="D1285" s="414" t="inlineStr">
        <is>
          <t>TC.000041|TC.000182|TC.000169.A</t>
        </is>
      </c>
      <c r="E1285" s="414" t="n"/>
      <c r="F1285" s="414" t="inlineStr">
        <is>
          <t>CP.0001^Bê tông thân mố M1 (đợt 2)^Hình trụ 15x30 (cm)^18^C30 (30Mpa)^^^TC.000041|TC.000182|TC.000169.A</t>
        </is>
      </c>
      <c r="G1285" s="414" t="n"/>
      <c r="H1285" s="414" t="n"/>
      <c r="J1285" s="175" t="inlineStr">
        <is>
          <t>15</t>
        </is>
      </c>
      <c r="K1285" s="175" t="inlineStr">
        <is>
          <t>LMHT</t>
        </is>
      </c>
      <c r="L1285" s="176" t="inlineStr">
        <is>
          <t>Bê tông thân mố M1 (đợt 2)</t>
        </is>
      </c>
      <c r="M1285" s="176" t="n"/>
      <c r="N1285" s="176" t="n"/>
      <c r="O1285" s="177" t="inlineStr">
        <is>
          <t>Cầu Km19+529.080</t>
        </is>
      </c>
      <c r="P1285" s="299" t="n"/>
      <c r="Q1285" s="299" t="n"/>
      <c r="R1285" s="299" t="n"/>
      <c r="S1285" s="299">
        <f>S1281</f>
        <v/>
      </c>
      <c r="T1285" s="300">
        <f>T1284</f>
        <v/>
      </c>
      <c r="U1285" s="300">
        <f>U1284</f>
        <v/>
      </c>
      <c r="V1285" s="300">
        <f>V1284</f>
        <v/>
      </c>
      <c r="W1285" s="301" t="n"/>
      <c r="X1285" s="301" t="n"/>
      <c r="Y1285" s="301" t="n"/>
      <c r="Z1285" s="301" t="n"/>
      <c r="AA1285" s="180" t="n"/>
      <c r="AB1285" s="180" t="n"/>
      <c r="AC1285" s="180" t="n"/>
      <c r="AD1285" s="180" t="n"/>
      <c r="AE1285" s="180" t="n"/>
      <c r="AF1285" s="180" t="n"/>
      <c r="AG1285" s="180" t="n"/>
      <c r="AH1285" s="180" t="n"/>
      <c r="AI1285" s="301" t="n"/>
      <c r="AJ1285" s="301" t="n"/>
      <c r="AK1285" s="303" t="n"/>
      <c r="AL1285" s="301" t="n"/>
      <c r="AM1285" s="301" t="n"/>
      <c r="AN1285" s="301" t="n"/>
      <c r="AO1285" s="301" t="n"/>
      <c r="AP1285" s="181" t="n"/>
      <c r="AQ1285" s="181" t="n"/>
      <c r="AR1285" s="301" t="inlineStr">
        <is>
          <t>Nhóm 1</t>
        </is>
      </c>
      <c r="AS1285" s="301" t="n"/>
      <c r="AT1285" s="301" t="inlineStr">
        <is>
          <t>HM39</t>
        </is>
      </c>
      <c r="AU1285" s="301" t="inlineStr">
        <is>
          <t>LMHT</t>
        </is>
      </c>
      <c r="AV1285" s="301" t="n">
        <v>45</v>
      </c>
      <c r="AW1285" s="301" t="n">
        <v>1</v>
      </c>
      <c r="AX1285" s="301" t="inlineStr">
        <is>
          <t>Thân mố M1 đợt 2 [BT dòng 51]: chưa đến ngưỡng phát sinh lượt mẫu xi măng/cát/đá; mẫu bê tông cấu kiện vẫn theo F1285.</t>
        </is>
      </c>
    </row>
    <row r="1286">
      <c r="A1286" s="413" t="inlineStr">
        <is>
          <t>BBK680</t>
        </is>
      </c>
      <c r="B1286" s="413" t="inlineStr">
        <is>
          <t>PYC</t>
        </is>
      </c>
      <c r="C1286" s="413" t="inlineStr">
        <is>
          <t>BBK680.0268264</t>
        </is>
      </c>
      <c r="D1286" s="414" t="n"/>
      <c r="E1286" s="414" t="n"/>
      <c r="F1286" s="414" t="n"/>
      <c r="G1286" s="414" t="n"/>
      <c r="H1286" s="414" t="n"/>
      <c r="J1286" s="168" t="inlineStr">
        <is>
          <t>16</t>
        </is>
      </c>
      <c r="K1286" s="168" t="inlineStr">
        <is>
          <t>PYC</t>
        </is>
      </c>
      <c r="L1286" s="169" t="inlineStr">
        <is>
          <t>phiếu yêu cầu</t>
        </is>
      </c>
      <c r="M1286" s="169" t="n"/>
      <c r="N1286" s="169" t="n"/>
      <c r="O1286" s="170" t="inlineStr">
        <is>
          <t>Cầu Km19+529.080</t>
        </is>
      </c>
      <c r="P1286" s="405" t="n"/>
      <c r="Q1286" s="405" t="n"/>
      <c r="R1286" s="401">
        <f>+R1287</f>
        <v/>
      </c>
      <c r="S1286" s="405">
        <f>R1286+1</f>
        <v/>
      </c>
      <c r="T1286" s="405" t="n"/>
      <c r="U1286" s="405" t="n"/>
      <c r="V1286" s="405" t="n"/>
      <c r="W1286" s="406" t="n"/>
      <c r="X1286" s="406" t="n"/>
      <c r="Y1286" s="406" t="n"/>
      <c r="Z1286" s="406" t="n"/>
      <c r="AA1286" s="173" t="n"/>
      <c r="AB1286" s="173" t="inlineStr">
        <is>
          <t>307HG/YCNT/TM/M1/Đ2</t>
        </is>
      </c>
      <c r="AC1286" s="173" t="n"/>
      <c r="AD1286" s="173" t="n"/>
      <c r="AE1286" s="173" t="n"/>
      <c r="AF1286" s="173" t="n"/>
      <c r="AG1286" s="129" t="inlineStr">
        <is>
          <t>NTCV</t>
        </is>
      </c>
      <c r="AH1286" s="173" t="n">
        <v>5</v>
      </c>
      <c r="AI1286" s="406" t="n"/>
      <c r="AJ1286" s="406" t="n"/>
      <c r="AK1286" s="408" t="n"/>
      <c r="AL1286" s="406" t="n"/>
      <c r="AM1286" s="406" t="n"/>
      <c r="AN1286" s="406" t="n"/>
      <c r="AO1286" s="406" t="n"/>
      <c r="AP1286" s="174" t="n"/>
      <c r="AQ1286" s="174" t="n"/>
      <c r="AR1286" s="406" t="inlineStr">
        <is>
          <t>Nhóm 1</t>
        </is>
      </c>
      <c r="AS1286" s="406" t="n"/>
      <c r="AT1286" s="406" t="inlineStr">
        <is>
          <t>HM39</t>
        </is>
      </c>
      <c r="AU1286" s="406" t="inlineStr">
        <is>
          <t>PYC</t>
        </is>
      </c>
      <c r="AV1286" s="406" t="n">
        <v>84</v>
      </c>
      <c r="AW1286" s="406" t="n">
        <v>3</v>
      </c>
      <c r="AX1286" s="406" t="n"/>
    </row>
    <row r="1287">
      <c r="A1287" s="413" t="inlineStr">
        <is>
          <t>NTCV</t>
        </is>
      </c>
      <c r="B1287" s="413" t="inlineStr">
        <is>
          <t>K.9999</t>
        </is>
      </c>
      <c r="C1287" s="413" t="inlineStr">
        <is>
          <t>NTCV.0912471</t>
        </is>
      </c>
      <c r="D1287" s="414" t="n"/>
      <c r="E1287" s="414" t="n"/>
      <c r="F1287" s="414" t="n"/>
      <c r="G1287" s="414" t="n"/>
      <c r="H1287" s="414" t="n"/>
      <c r="J1287" s="147" t="inlineStr">
        <is>
          <t>17</t>
        </is>
      </c>
      <c r="K1287" s="147" t="inlineStr">
        <is>
          <t>K.9999</t>
        </is>
      </c>
      <c r="L1287" s="148" t="inlineStr">
        <is>
          <t>Tháo ván khuôn thân mố M1 (đợt 2)</t>
        </is>
      </c>
      <c r="M1287" s="148" t="n"/>
      <c r="N1287" s="148" t="n"/>
      <c r="O1287" s="149" t="inlineStr">
        <is>
          <t>Cầu Km19+529.080</t>
        </is>
      </c>
      <c r="P1287" s="415">
        <f>S1285</f>
        <v/>
      </c>
      <c r="Q1287" s="415">
        <f>+P1287+3</f>
        <v/>
      </c>
      <c r="R1287" s="415">
        <f>Q1287-1</f>
        <v/>
      </c>
      <c r="S1287" s="415">
        <f>Q1287</f>
        <v/>
      </c>
      <c r="T1287" s="416" t="n">
        <v>0.3541666666666667</v>
      </c>
      <c r="U1287" s="416">
        <f>+T1287+V1287</f>
        <v/>
      </c>
      <c r="V1287" s="416" t="n">
        <v>0.01388888888888889</v>
      </c>
      <c r="W1287" s="411">
        <f>TEXT(T1287,"HH""h""MM'")&amp;"÷"&amp;TEXT(U1287,"HH""h""MM'")</f>
        <v/>
      </c>
      <c r="X1287" s="417" t="n"/>
      <c r="Y1287" s="417" t="n"/>
      <c r="Z1287" s="417" t="inlineStr">
        <is>
          <t>06;</t>
        </is>
      </c>
      <c r="AA1287" s="150" t="inlineStr">
        <is>
          <t>Kiểm tra ván khuôn Bệ mố M1</t>
        </is>
      </c>
      <c r="AB1287" s="150" t="inlineStr">
        <is>
          <t>307HG/YCNT/TM/M1/Đ2-3</t>
        </is>
      </c>
      <c r="AC1287" s="150" t="inlineStr">
        <is>
          <t>307HG/BBNT/TM/M1/Đ2-5</t>
        </is>
      </c>
      <c r="AD1287" s="150" t="n"/>
      <c r="AE1287" s="150" t="n"/>
      <c r="AF1287" s="150" t="n"/>
      <c r="AG1287" s="150" t="n"/>
      <c r="AH1287" s="150" t="n"/>
      <c r="AI1287" s="417" t="n"/>
      <c r="AJ1287" s="417" t="n"/>
      <c r="AK1287" s="418" t="n"/>
      <c r="AL1287" s="417" t="n"/>
      <c r="AM1287" s="417" t="n"/>
      <c r="AN1287" s="417" t="n"/>
      <c r="AO1287" s="417" t="n"/>
      <c r="AP1287" s="151" t="n"/>
      <c r="AQ1287" s="151" t="n"/>
      <c r="AR1287" s="417" t="inlineStr">
        <is>
          <t>Nhóm 1</t>
        </is>
      </c>
      <c r="AS1287" s="417" t="n"/>
      <c r="AT1287" s="417" t="inlineStr">
        <is>
          <t>HM39</t>
        </is>
      </c>
      <c r="AU1287" s="417" t="inlineStr">
        <is>
          <t>NTCV</t>
        </is>
      </c>
      <c r="AV1287" s="417" t="n">
        <v>431</v>
      </c>
      <c r="AW1287" s="417" t="n">
        <v>5</v>
      </c>
      <c r="AX1287" s="417" t="n"/>
    </row>
    <row r="1288">
      <c r="A1288" s="413" t="inlineStr">
        <is>
          <t>BBK587</t>
        </is>
      </c>
      <c r="B1288" s="413" t="inlineStr">
        <is>
          <t>PL07.02</t>
        </is>
      </c>
      <c r="C1288" s="413" t="inlineStr">
        <is>
          <t>BBK587.0053275</t>
        </is>
      </c>
      <c r="D1288" s="414" t="n"/>
      <c r="E1288" s="414" t="n"/>
      <c r="F1288" s="414" t="n"/>
      <c r="G1288" s="414" t="n"/>
      <c r="H1288" s="414" t="n"/>
      <c r="J1288" s="108" t="inlineStr">
        <is>
          <t>18</t>
        </is>
      </c>
      <c r="K1288" s="108" t="inlineStr">
        <is>
          <t>PL07.02</t>
        </is>
      </c>
      <c r="L1288" s="109">
        <f>+L1287</f>
        <v/>
      </c>
      <c r="M1288" s="109" t="n"/>
      <c r="N1288" s="109" t="n"/>
      <c r="O1288" s="110" t="inlineStr">
        <is>
          <t>Cầu Km19+529.080</t>
        </is>
      </c>
      <c r="P1288" s="401" t="n"/>
      <c r="Q1288" s="401" t="n"/>
      <c r="R1288" s="401" t="n"/>
      <c r="S1288" s="401">
        <f>S1287</f>
        <v/>
      </c>
      <c r="T1288" s="401" t="n"/>
      <c r="U1288" s="401" t="n"/>
      <c r="V1288" s="401" t="n"/>
      <c r="W1288" s="403" t="n"/>
      <c r="X1288" s="403" t="n"/>
      <c r="Y1288" s="403" t="n"/>
      <c r="Z1288" s="108" t="inlineStr">
        <is>
          <t>06</t>
        </is>
      </c>
      <c r="AA1288" s="113" t="n"/>
      <c r="AB1288" s="113" t="n"/>
      <c r="AC1288" s="113" t="inlineStr">
        <is>
          <t>307HG/BBNT/TM/M1/Đ2-5</t>
        </is>
      </c>
      <c r="AD1288" s="113" t="n"/>
      <c r="AE1288" s="113" t="n"/>
      <c r="AF1288" s="113" t="n"/>
      <c r="AG1288" s="113" t="n"/>
      <c r="AH1288" s="114" t="inlineStr">
        <is>
          <t>TM-M1-Đ2</t>
        </is>
      </c>
      <c r="AI1288" s="403" t="n"/>
      <c r="AJ1288" s="403" t="n"/>
      <c r="AK1288" s="404" t="n"/>
      <c r="AL1288" s="403" t="n"/>
      <c r="AM1288" s="403" t="n"/>
      <c r="AN1288" s="403" t="n"/>
      <c r="AO1288" s="403" t="n"/>
      <c r="AP1288" s="115" t="n"/>
      <c r="AQ1288" s="115" t="inlineStr">
        <is>
          <t>Ảnh\Thân mố M1.png</t>
        </is>
      </c>
      <c r="AR1288" s="403" t="inlineStr">
        <is>
          <t>Nhóm 1</t>
        </is>
      </c>
      <c r="AS1288" s="403" t="n"/>
      <c r="AT1288" s="403" t="inlineStr">
        <is>
          <t>HM39</t>
        </is>
      </c>
      <c r="AU1288" s="403" t="inlineStr">
        <is>
          <t>PL07.02</t>
        </is>
      </c>
      <c r="AV1288" s="403" t="n">
        <v>5</v>
      </c>
      <c r="AW1288" s="403" t="n">
        <v>1</v>
      </c>
      <c r="AX1288" s="403" t="n"/>
    </row>
    <row r="1289" ht="28" customHeight="1" s="672">
      <c r="A1289" s="413" t="inlineStr">
        <is>
          <t>BBK680</t>
        </is>
      </c>
      <c r="B1289" s="413" t="inlineStr">
        <is>
          <t>PYC</t>
        </is>
      </c>
      <c r="C1289" s="413" t="inlineStr">
        <is>
          <t>BBK680.0598088</t>
        </is>
      </c>
      <c r="D1289" s="414" t="n"/>
      <c r="E1289" s="414" t="n"/>
      <c r="F1289" s="414" t="n"/>
      <c r="G1289" s="414" t="n"/>
      <c r="H1289" s="414" t="n"/>
      <c r="J1289" s="168" t="inlineStr">
        <is>
          <t>19</t>
        </is>
      </c>
      <c r="K1289" s="168" t="inlineStr">
        <is>
          <t>PYC</t>
        </is>
      </c>
      <c r="L1289" s="169" t="inlineStr">
        <is>
          <t>phiếu yêu cầu</t>
        </is>
      </c>
      <c r="M1289" s="169" t="n"/>
      <c r="N1289" s="169" t="n"/>
      <c r="O1289" s="170" t="inlineStr">
        <is>
          <t>Cầu Km19+529.080</t>
        </is>
      </c>
      <c r="P1289" s="405" t="n"/>
      <c r="Q1289" s="405" t="n"/>
      <c r="R1289" s="405">
        <f>S1289-1</f>
        <v/>
      </c>
      <c r="S1289" s="405">
        <f>S1285+7</f>
        <v/>
      </c>
      <c r="T1289" s="428" t="n">
        <v>0.3333333333333333</v>
      </c>
      <c r="U1289" s="428">
        <f>+T1289+V1289</f>
        <v/>
      </c>
      <c r="V1289" s="428" t="n">
        <v>0.02083333333333333</v>
      </c>
      <c r="W1289" s="406" t="n"/>
      <c r="X1289" s="406" t="n"/>
      <c r="Y1289" s="406" t="n"/>
      <c r="Z1289" s="406" t="n"/>
      <c r="AA1289" s="173" t="inlineStr">
        <is>
          <t>Theo dõi nén mẫu R7 bê tông thân mố M1 (đợt 2)</t>
        </is>
      </c>
      <c r="AB1289" s="173" t="inlineStr">
        <is>
          <t>307HG/YCNT/TM/M1/Đ2-R7</t>
        </is>
      </c>
      <c r="AC1289" s="173" t="n"/>
      <c r="AD1289" s="173" t="n"/>
      <c r="AE1289" s="173" t="n"/>
      <c r="AF1289" s="173" t="n"/>
      <c r="AG1289" s="173" t="inlineStr">
        <is>
          <t>PYC</t>
        </is>
      </c>
      <c r="AH1289" s="173" t="n">
        <v>4</v>
      </c>
      <c r="AI1289" s="406" t="n"/>
      <c r="AJ1289" s="406" t="n"/>
      <c r="AK1289" s="408" t="n"/>
      <c r="AL1289" s="406" t="n"/>
      <c r="AM1289" s="406" t="n"/>
      <c r="AN1289" s="406" t="n"/>
      <c r="AO1289" s="406" t="n"/>
      <c r="AP1289" s="174" t="n"/>
      <c r="AQ1289" s="174" t="n"/>
      <c r="AR1289" s="406" t="inlineStr">
        <is>
          <t>Nhóm 1</t>
        </is>
      </c>
      <c r="AS1289" s="406" t="n"/>
      <c r="AT1289" s="406" t="inlineStr">
        <is>
          <t>HM39</t>
        </is>
      </c>
      <c r="AU1289" s="406" t="inlineStr">
        <is>
          <t>PYC</t>
        </is>
      </c>
      <c r="AV1289" s="406" t="n">
        <v>95</v>
      </c>
      <c r="AW1289" s="406" t="n">
        <v>4</v>
      </c>
      <c r="AX1289" s="406" t="n"/>
    </row>
    <row r="1290" ht="28" customHeight="1" s="672">
      <c r="A1290" s="413" t="inlineStr">
        <is>
          <t>BBK680</t>
        </is>
      </c>
      <c r="B1290" s="413" t="inlineStr">
        <is>
          <t>PYC</t>
        </is>
      </c>
      <c r="C1290" s="413" t="inlineStr">
        <is>
          <t>BBK680.0499477</t>
        </is>
      </c>
      <c r="D1290" s="414" t="n"/>
      <c r="E1290" s="414" t="n"/>
      <c r="F1290" s="414" t="n"/>
      <c r="G1290" s="414" t="n"/>
      <c r="H1290" s="414" t="n"/>
      <c r="J1290" s="108" t="inlineStr">
        <is>
          <t>20</t>
        </is>
      </c>
      <c r="K1290" s="108" t="inlineStr">
        <is>
          <t>PYC</t>
        </is>
      </c>
      <c r="L1290" s="109" t="inlineStr">
        <is>
          <t>phiếu yêu cầu</t>
        </is>
      </c>
      <c r="M1290" s="109" t="n"/>
      <c r="N1290" s="109" t="n"/>
      <c r="O1290" s="110" t="inlineStr">
        <is>
          <t>Cầu Km19+529.080</t>
        </is>
      </c>
      <c r="P1290" s="401" t="n"/>
      <c r="Q1290" s="401" t="n"/>
      <c r="R1290" s="401">
        <f>S1290-1</f>
        <v/>
      </c>
      <c r="S1290" s="401">
        <f>S1285+28</f>
        <v/>
      </c>
      <c r="T1290" s="402" t="n">
        <v>0.3541666666666667</v>
      </c>
      <c r="U1290" s="402">
        <f>+T1290+V1290</f>
        <v/>
      </c>
      <c r="V1290" s="402" t="n">
        <v>0.02083333333333333</v>
      </c>
      <c r="W1290" s="403" t="n"/>
      <c r="X1290" s="403" t="n"/>
      <c r="Y1290" s="403" t="n"/>
      <c r="Z1290" s="403" t="n"/>
      <c r="AA1290" s="113" t="inlineStr">
        <is>
          <t>Theo dõi nén mẫu R28 bê tông thân mố M1 (đợt 2)</t>
        </is>
      </c>
      <c r="AB1290" s="113" t="inlineStr">
        <is>
          <t>307HG/YCNT/TM/M1/Đ2-R28</t>
        </is>
      </c>
      <c r="AC1290" s="113" t="n"/>
      <c r="AD1290" s="113" t="n"/>
      <c r="AE1290" s="113" t="n"/>
      <c r="AF1290" s="113" t="n"/>
      <c r="AG1290" s="113" t="inlineStr">
        <is>
          <t>PYC</t>
        </is>
      </c>
      <c r="AH1290" s="113" t="n">
        <v>5</v>
      </c>
      <c r="AI1290" s="403" t="n"/>
      <c r="AJ1290" s="403" t="n"/>
      <c r="AK1290" s="404" t="n"/>
      <c r="AL1290" s="403" t="n"/>
      <c r="AM1290" s="403" t="n"/>
      <c r="AN1290" s="403" t="n"/>
      <c r="AO1290" s="403" t="n"/>
      <c r="AP1290" s="115" t="n"/>
      <c r="AQ1290" s="115" t="n"/>
      <c r="AR1290" s="403" t="inlineStr">
        <is>
          <t>Nhóm 1</t>
        </is>
      </c>
      <c r="AS1290" s="403" t="n"/>
      <c r="AT1290" s="403" t="inlineStr">
        <is>
          <t>HM39</t>
        </is>
      </c>
      <c r="AU1290" s="403" t="inlineStr">
        <is>
          <t>PYC</t>
        </is>
      </c>
      <c r="AV1290" s="403" t="n">
        <v>130</v>
      </c>
      <c r="AW1290" s="403" t="n">
        <v>5</v>
      </c>
      <c r="AX1290" s="403" t="n"/>
    </row>
    <row r="1291">
      <c r="A1291" s="56" t="inlineStr">
        <is>
          <t>HM</t>
        </is>
      </c>
      <c r="B1291" s="56" t="inlineStr">
        <is>
          <t>HM</t>
        </is>
      </c>
      <c r="C1291" s="56" t="inlineStr">
        <is>
          <t>HM.0875327</t>
        </is>
      </c>
      <c r="D1291" s="57" t="n"/>
      <c r="E1291" s="57" t="n"/>
      <c r="F1291" s="57" t="n"/>
      <c r="G1291" s="57" t="n"/>
      <c r="H1291" s="57" t="n"/>
      <c r="J1291" s="387" t="inlineStr">
        <is>
          <t>HM40</t>
        </is>
      </c>
      <c r="K1291" s="387" t="inlineStr">
        <is>
          <t>HM</t>
        </is>
      </c>
      <c r="L1291" s="388" t="inlineStr">
        <is>
          <t>Thân mố M2 đợt 1</t>
        </is>
      </c>
      <c r="M1291" s="388" t="n"/>
      <c r="N1291" s="388" t="n"/>
      <c r="O1291" s="389" t="n"/>
      <c r="P1291" s="390" t="n"/>
      <c r="Q1291" s="390" t="n"/>
      <c r="R1291" s="390" t="n"/>
      <c r="S1291" s="390" t="n"/>
      <c r="T1291" s="390" t="n"/>
      <c r="U1291" s="390" t="n"/>
      <c r="V1291" s="390" t="n"/>
      <c r="W1291" s="391" t="n"/>
      <c r="X1291" s="391" t="n"/>
      <c r="Y1291" s="391" t="n"/>
      <c r="Z1291" s="391" t="n"/>
      <c r="AA1291" s="392" t="n"/>
      <c r="AB1291" s="392" t="n"/>
      <c r="AC1291" s="392" t="n"/>
      <c r="AD1291" s="392" t="n"/>
      <c r="AE1291" s="392" t="n"/>
      <c r="AF1291" s="392" t="n"/>
      <c r="AG1291" s="392" t="n"/>
      <c r="AH1291" s="392" t="n"/>
      <c r="AI1291" s="391" t="n"/>
      <c r="AJ1291" s="391" t="n"/>
      <c r="AK1291" s="393" t="n"/>
      <c r="AL1291" s="391" t="n"/>
      <c r="AM1291" s="391" t="n"/>
      <c r="AN1291" s="391" t="n"/>
      <c r="AO1291" s="391" t="n"/>
      <c r="AP1291" s="394" t="n"/>
      <c r="AQ1291" s="394" t="n"/>
      <c r="AR1291" s="391" t="n"/>
      <c r="AS1291" s="391" t="n"/>
      <c r="AT1291" s="391" t="inlineStr">
        <is>
          <t>HM40</t>
        </is>
      </c>
      <c r="AU1291" s="391" t="inlineStr">
        <is>
          <t>HM</t>
        </is>
      </c>
      <c r="AV1291" s="391" t="n"/>
      <c r="AW1291" s="391" t="n"/>
      <c r="AX1291" s="391" t="n"/>
    </row>
    <row r="1292" ht="28" customFormat="1" customHeight="1" s="70">
      <c r="A1292" s="68" t="inlineStr">
        <is>
          <t>BBK_BIA</t>
        </is>
      </c>
      <c r="B1292" s="68" t="inlineStr">
        <is>
          <t>TRANGBIA</t>
        </is>
      </c>
      <c r="C1292" s="68" t="inlineStr">
        <is>
          <t>BBK_BIA.0445226</t>
        </is>
      </c>
      <c r="D1292" s="69" t="n"/>
      <c r="E1292" s="69" t="n"/>
      <c r="F1292" s="69" t="n"/>
      <c r="G1292" s="69" t="n"/>
      <c r="H1292" s="69" t="n"/>
      <c r="J1292" s="327" t="inlineStr">
        <is>
          <t>01</t>
        </is>
      </c>
      <c r="K1292" s="327" t="inlineStr">
        <is>
          <t>TRANGBIA</t>
        </is>
      </c>
      <c r="L1292" s="328">
        <f>L1291</f>
        <v/>
      </c>
      <c r="M1292" s="328" t="n"/>
      <c r="N1292" s="328" t="n"/>
      <c r="O1292" s="329" t="inlineStr">
        <is>
          <t>Cầu KM19+529.080</t>
        </is>
      </c>
      <c r="P1292" s="330" t="n"/>
      <c r="Q1292" s="330" t="n"/>
      <c r="R1292" s="330" t="n"/>
      <c r="S1292" s="330" t="n"/>
      <c r="T1292" s="330" t="n"/>
      <c r="U1292" s="330" t="n"/>
      <c r="V1292" s="330" t="n"/>
      <c r="W1292" s="331" t="n"/>
      <c r="X1292" s="331" t="n"/>
      <c r="Y1292" s="331" t="n"/>
      <c r="Z1292" s="331" t="n"/>
      <c r="AA1292" s="331" t="n"/>
      <c r="AB1292" s="331" t="n"/>
      <c r="AC1292" s="331" t="inlineStr"/>
      <c r="AD1292" s="331" t="n"/>
      <c r="AE1292" s="331" t="n"/>
      <c r="AF1292" s="331" t="n"/>
      <c r="AG1292" s="331" t="n"/>
      <c r="AH1292" s="331" t="n"/>
      <c r="AI1292" s="331" t="n"/>
      <c r="AJ1292" s="331" t="n"/>
      <c r="AK1292" s="329" t="n"/>
      <c r="AL1292" s="331" t="n"/>
      <c r="AM1292" s="331" t="n"/>
      <c r="AN1292" s="331" t="n"/>
      <c r="AO1292" s="331" t="n"/>
      <c r="AP1292" s="332">
        <f>L1292</f>
        <v/>
      </c>
      <c r="AQ1292" s="333" t="n"/>
      <c r="AR1292" s="331" t="inlineStr">
        <is>
          <t>Nhóm 1</t>
        </is>
      </c>
      <c r="AS1292" s="331" t="n"/>
      <c r="AT1292" s="331" t="inlineStr">
        <is>
          <t>HM40</t>
        </is>
      </c>
      <c r="AU1292" s="331" t="inlineStr">
        <is>
          <t>TRANGBIA</t>
        </is>
      </c>
      <c r="AV1292" s="331" t="n">
        <v>40</v>
      </c>
      <c r="AW1292" s="331" t="n">
        <v>1</v>
      </c>
      <c r="AX1292" s="331" t="n"/>
    </row>
    <row r="1293" customFormat="1" s="70">
      <c r="A1293" s="68" t="inlineStr">
        <is>
          <t>BBK_ML</t>
        </is>
      </c>
      <c r="B1293" s="68" t="inlineStr">
        <is>
          <t>MUCLUC</t>
        </is>
      </c>
      <c r="C1293" s="68" t="inlineStr">
        <is>
          <t>BBK_ML.0830683</t>
        </is>
      </c>
      <c r="D1293" s="69" t="n"/>
      <c r="E1293" s="69" t="n"/>
      <c r="F1293" s="69" t="n"/>
      <c r="G1293" s="69" t="n"/>
      <c r="H1293" s="69" t="n"/>
      <c r="J1293" s="395" t="inlineStr">
        <is>
          <t>02</t>
        </is>
      </c>
      <c r="K1293" s="395" t="inlineStr">
        <is>
          <t>MUCLUC</t>
        </is>
      </c>
      <c r="L1293" s="396" t="inlineStr">
        <is>
          <t>Danh mục biên bản Kiểm tra/Nghiệm thu</t>
        </is>
      </c>
      <c r="M1293" s="396" t="n"/>
      <c r="N1293" s="396" t="n"/>
      <c r="O1293" s="397" t="inlineStr">
        <is>
          <t>Cầu KM19+529.080</t>
        </is>
      </c>
      <c r="P1293" s="398" t="n"/>
      <c r="Q1293" s="398" t="n"/>
      <c r="R1293" s="398" t="n"/>
      <c r="S1293" s="398" t="n"/>
      <c r="T1293" s="398" t="n"/>
      <c r="U1293" s="398" t="n"/>
      <c r="V1293" s="398" t="n"/>
      <c r="W1293" s="399" t="n"/>
      <c r="X1293" s="399" t="n"/>
      <c r="Y1293" s="399" t="n"/>
      <c r="Z1293" s="399" t="n"/>
      <c r="AA1293" s="399" t="n"/>
      <c r="AB1293" s="399" t="n"/>
      <c r="AC1293" s="399" t="inlineStr"/>
      <c r="AD1293" s="399" t="n"/>
      <c r="AE1293" s="399" t="n"/>
      <c r="AF1293" s="399" t="n"/>
      <c r="AG1293" s="399" t="n"/>
      <c r="AH1293" s="399" t="n"/>
      <c r="AI1293" s="399" t="n"/>
      <c r="AJ1293" s="399" t="n"/>
      <c r="AK1293" s="397" t="n"/>
      <c r="AL1293" s="399" t="n"/>
      <c r="AM1293" s="399" t="n"/>
      <c r="AN1293" s="399" t="n"/>
      <c r="AO1293" s="399" t="n"/>
      <c r="AP1293" s="400" t="n"/>
      <c r="AQ1293" s="400" t="n"/>
      <c r="AR1293" s="399" t="inlineStr">
        <is>
          <t>Nhóm 1</t>
        </is>
      </c>
      <c r="AS1293" s="399" t="n"/>
      <c r="AT1293" s="399" t="inlineStr">
        <is>
          <t>HM40</t>
        </is>
      </c>
      <c r="AU1293" s="399" t="inlineStr">
        <is>
          <t>MUCLUC</t>
        </is>
      </c>
      <c r="AV1293" s="399" t="n">
        <v>40</v>
      </c>
      <c r="AW1293" s="399" t="n">
        <v>1</v>
      </c>
      <c r="AX1293" s="399" t="n"/>
    </row>
    <row r="1294">
      <c r="A1294" s="56" t="inlineStr">
        <is>
          <t>BBK680</t>
        </is>
      </c>
      <c r="B1294" s="56" t="inlineStr">
        <is>
          <t>PYC</t>
        </is>
      </c>
      <c r="C1294" s="56" t="inlineStr">
        <is>
          <t>BBK680.0826351</t>
        </is>
      </c>
      <c r="D1294" s="57" t="n"/>
      <c r="E1294" s="57" t="n"/>
      <c r="F1294" s="57" t="n"/>
      <c r="G1294" s="57" t="n"/>
      <c r="H1294" s="57" t="n"/>
      <c r="J1294" s="108" t="inlineStr">
        <is>
          <t>03</t>
        </is>
      </c>
      <c r="K1294" s="108" t="inlineStr">
        <is>
          <t>PYC</t>
        </is>
      </c>
      <c r="L1294" s="109" t="inlineStr">
        <is>
          <t>phiếu yêu cầu</t>
        </is>
      </c>
      <c r="M1294" s="109" t="n"/>
      <c r="N1294" s="109" t="n"/>
      <c r="O1294" s="110" t="inlineStr">
        <is>
          <t>Cầu KM19+529.080</t>
        </is>
      </c>
      <c r="P1294" s="401" t="n"/>
      <c r="Q1294" s="401" t="n"/>
      <c r="R1294" s="401">
        <f>R1295</f>
        <v/>
      </c>
      <c r="S1294" s="401">
        <f>+R1294+1</f>
        <v/>
      </c>
      <c r="T1294" s="402">
        <f>T1295</f>
        <v/>
      </c>
      <c r="U1294" s="402">
        <f>U1295</f>
        <v/>
      </c>
      <c r="V1294" s="402">
        <f>V1295</f>
        <v/>
      </c>
      <c r="W1294" s="402">
        <f>W1295</f>
        <v/>
      </c>
      <c r="X1294" s="403" t="n"/>
      <c r="Y1294" s="403" t="n"/>
      <c r="Z1294" s="403" t="n"/>
      <c r="AA1294" s="113" t="n"/>
      <c r="AB1294" s="113" t="inlineStr">
        <is>
          <t>307HG/YCNT/TM/M2/Đ1</t>
        </is>
      </c>
      <c r="AC1294" s="113" t="n"/>
      <c r="AD1294" s="113" t="n"/>
      <c r="AE1294" s="113" t="n"/>
      <c r="AF1294" s="113" t="n"/>
      <c r="AG1294" s="113" t="inlineStr">
        <is>
          <t>BBKTĐK;NTCV</t>
        </is>
      </c>
      <c r="AH1294" s="113" t="n">
        <v>1</v>
      </c>
      <c r="AI1294" s="403" t="n"/>
      <c r="AJ1294" s="403" t="n"/>
      <c r="AK1294" s="404" t="n"/>
      <c r="AL1294" s="403" t="n"/>
      <c r="AM1294" s="403" t="n"/>
      <c r="AN1294" s="403" t="n"/>
      <c r="AO1294" s="403" t="n"/>
      <c r="AP1294" s="115" t="n"/>
      <c r="AQ1294" s="115" t="n"/>
      <c r="AR1294" s="403" t="inlineStr">
        <is>
          <t>Nhóm 1</t>
        </is>
      </c>
      <c r="AS1294" s="403" t="n"/>
      <c r="AT1294" s="403" t="inlineStr">
        <is>
          <t>HM40</t>
        </is>
      </c>
      <c r="AU1294" s="403" t="inlineStr">
        <is>
          <t>PYC</t>
        </is>
      </c>
      <c r="AV1294" s="403" t="n">
        <v>75</v>
      </c>
      <c r="AW1294" s="403" t="n">
        <v>1</v>
      </c>
      <c r="AX1294" s="403" t="n"/>
    </row>
    <row r="1295" ht="28" customHeight="1" s="672">
      <c r="A1295" s="56" t="inlineStr">
        <is>
          <t>BBK884</t>
        </is>
      </c>
      <c r="B1295" s="56" t="inlineStr">
        <is>
          <t>BBKTĐK</t>
        </is>
      </c>
      <c r="C1295" s="56" t="inlineStr">
        <is>
          <t>BBK884.0070730</t>
        </is>
      </c>
      <c r="D1295" s="57" t="n"/>
      <c r="E1295" s="57" t="n"/>
      <c r="F1295" s="57" t="n"/>
      <c r="G1295" s="57" t="n"/>
      <c r="H1295" s="57" t="n"/>
      <c r="J1295" s="139" t="inlineStr">
        <is>
          <t>04</t>
        </is>
      </c>
      <c r="K1295" s="139" t="inlineStr">
        <is>
          <t>BBKTĐK</t>
        </is>
      </c>
      <c r="L1295" s="140" t="inlineStr">
        <is>
          <t>Kiểm tra điều kiện trước khi thi công thân mố M2 (đợt 1)</t>
        </is>
      </c>
      <c r="M1295" s="140" t="n"/>
      <c r="N1295" s="140" t="n"/>
      <c r="O1295" s="141" t="inlineStr">
        <is>
          <t>Cầu KM19+529.080</t>
        </is>
      </c>
      <c r="P1295" s="382">
        <f>+S1168+1</f>
        <v/>
      </c>
      <c r="Q1295" s="382">
        <f>P1295</f>
        <v/>
      </c>
      <c r="R1295" s="382">
        <f>Q1295-1</f>
        <v/>
      </c>
      <c r="S1295" s="382">
        <f>Q1295</f>
        <v/>
      </c>
      <c r="T1295" s="383" t="n">
        <v>0.3541666666666667</v>
      </c>
      <c r="U1295" s="383">
        <f>T1295+V1295</f>
        <v/>
      </c>
      <c r="V1295" s="383" t="n">
        <v>0.0625</v>
      </c>
      <c r="W1295" s="384">
        <f>TEXT(T1295,"HH""h""MM'")&amp;"÷"&amp;TEXT(U1295,"HH""h""MM'")</f>
        <v/>
      </c>
      <c r="X1295" s="384" t="n"/>
      <c r="Y1295" s="384" t="n"/>
      <c r="Z1295" s="384" t="inlineStr">
        <is>
          <t>01;</t>
        </is>
      </c>
      <c r="AA1295" s="144" t="inlineStr">
        <is>
          <t>Kiểm tra điều kiện trước khi thi công thân mố M2 (đợt 1)</t>
        </is>
      </c>
      <c r="AB1295" s="144" t="inlineStr">
        <is>
          <t>307HG/YCNT/TM/M2/Đ1-1</t>
        </is>
      </c>
      <c r="AC1295" s="144" t="inlineStr">
        <is>
          <t>307HG/BBNT/TM/M2/Đ1-1</t>
        </is>
      </c>
      <c r="AD1295" s="144" t="n"/>
      <c r="AE1295" s="144" t="n"/>
      <c r="AF1295" s="144" t="n"/>
      <c r="AG1295" s="144" t="n"/>
      <c r="AH1295" s="144" t="n"/>
      <c r="AI1295" s="384" t="n"/>
      <c r="AJ1295" s="384" t="n"/>
      <c r="AK1295" s="386" t="n"/>
      <c r="AL1295" s="384" t="n"/>
      <c r="AM1295" s="384" t="n"/>
      <c r="AN1295" s="384" t="n"/>
      <c r="AO1295" s="384" t="n"/>
      <c r="AP1295" s="146" t="n"/>
      <c r="AQ1295" s="146" t="n"/>
      <c r="AR1295" s="384" t="inlineStr">
        <is>
          <t>Nhóm 1</t>
        </is>
      </c>
      <c r="AS1295" s="384" t="n"/>
      <c r="AT1295" s="384" t="inlineStr">
        <is>
          <t>HM40</t>
        </is>
      </c>
      <c r="AU1295" s="384" t="inlineStr">
        <is>
          <t>BBKTĐK</t>
        </is>
      </c>
      <c r="AV1295" s="384" t="n">
        <v>36</v>
      </c>
      <c r="AW1295" s="384" t="n">
        <v>1</v>
      </c>
      <c r="AX1295" s="384" t="n"/>
    </row>
    <row r="1296">
      <c r="A1296" s="56" t="inlineStr">
        <is>
          <t>BBK860</t>
        </is>
      </c>
      <c r="B1296" s="56" t="inlineStr">
        <is>
          <t>PL01</t>
        </is>
      </c>
      <c r="C1296" s="56" t="inlineStr">
        <is>
          <t>BBK860.0580940</t>
        </is>
      </c>
      <c r="D1296" s="57" t="n"/>
      <c r="E1296" s="57" t="n"/>
      <c r="F1296" s="57" t="n"/>
      <c r="G1296" s="57" t="n"/>
      <c r="H1296" s="57" t="n"/>
      <c r="J1296" s="168" t="inlineStr">
        <is>
          <t>05</t>
        </is>
      </c>
      <c r="K1296" s="168" t="inlineStr">
        <is>
          <t>PL01</t>
        </is>
      </c>
      <c r="L1296" s="169" t="inlineStr">
        <is>
          <t>Phụ lục số 01</t>
        </is>
      </c>
      <c r="M1296" s="169" t="n"/>
      <c r="N1296" s="169" t="n"/>
      <c r="O1296" s="170" t="inlineStr">
        <is>
          <t>Cầu KM19+529.080</t>
        </is>
      </c>
      <c r="P1296" s="405" t="n"/>
      <c r="Q1296" s="405" t="n"/>
      <c r="R1296" s="405" t="n"/>
      <c r="S1296" s="405">
        <f>S1295</f>
        <v/>
      </c>
      <c r="T1296" s="405" t="n"/>
      <c r="U1296" s="405" t="n"/>
      <c r="V1296" s="405" t="n"/>
      <c r="W1296" s="406" t="n"/>
      <c r="X1296" s="406" t="n"/>
      <c r="Y1296" s="406" t="n"/>
      <c r="Z1296" s="168" t="inlineStr">
        <is>
          <t>01</t>
        </is>
      </c>
      <c r="AA1296" s="173" t="n"/>
      <c r="AB1296" s="173" t="n"/>
      <c r="AC1296" s="173" t="inlineStr">
        <is>
          <t>307HG/BBNT/TM/M2/Đ1-1</t>
        </is>
      </c>
      <c r="AD1296" s="173" t="n"/>
      <c r="AE1296" s="173" t="n"/>
      <c r="AF1296" s="173" t="n"/>
      <c r="AG1296" s="173" t="n"/>
      <c r="AH1296" s="407" t="inlineStr">
        <is>
          <t>TM-M2</t>
        </is>
      </c>
      <c r="AI1296" s="406" t="n"/>
      <c r="AJ1296" s="406" t="n"/>
      <c r="AK1296" s="408" t="n"/>
      <c r="AL1296" s="406" t="n"/>
      <c r="AM1296" s="406" t="n"/>
      <c r="AN1296" s="406" t="n"/>
      <c r="AO1296" s="406" t="n"/>
      <c r="AP1296" s="174" t="n"/>
      <c r="AQ1296" s="174" t="n"/>
      <c r="AR1296" s="406" t="inlineStr">
        <is>
          <t>Nhóm 1</t>
        </is>
      </c>
      <c r="AS1296" s="406" t="n"/>
      <c r="AT1296" s="406" t="inlineStr">
        <is>
          <t>HM40</t>
        </is>
      </c>
      <c r="AU1296" s="406" t="inlineStr">
        <is>
          <t>PL01</t>
        </is>
      </c>
      <c r="AV1296" s="406" t="n">
        <v>40</v>
      </c>
      <c r="AW1296" s="406" t="n">
        <v>1</v>
      </c>
      <c r="AX1296" s="406" t="n"/>
    </row>
    <row r="1297" ht="28" customHeight="1" s="672">
      <c r="A1297" s="56" t="inlineStr">
        <is>
          <t>NTCV</t>
        </is>
      </c>
      <c r="B1297" s="56" t="inlineStr">
        <is>
          <t>K.9999</t>
        </is>
      </c>
      <c r="C1297" s="56" t="inlineStr">
        <is>
          <t>NTCV.0507770</t>
        </is>
      </c>
      <c r="D1297" s="57" t="n"/>
      <c r="E1297" s="57" t="n"/>
      <c r="F1297" s="57" t="n"/>
      <c r="G1297" s="57" t="n"/>
      <c r="H1297" s="57" t="n"/>
      <c r="J1297" s="147" t="inlineStr">
        <is>
          <t>06</t>
        </is>
      </c>
      <c r="K1297" s="147" t="inlineStr">
        <is>
          <t>K.9999</t>
        </is>
      </c>
      <c r="L1297" s="148" t="inlineStr">
        <is>
          <t>Lắp dựng ván khuôn, thanh xuyên táo thân mố M2 (đợt 1)</t>
        </is>
      </c>
      <c r="M1297" s="148" t="n"/>
      <c r="N1297" s="148" t="n"/>
      <c r="O1297" s="149" t="inlineStr">
        <is>
          <t>Cầu KM19+529.080</t>
        </is>
      </c>
      <c r="P1297" s="415">
        <f>S1295+1</f>
        <v/>
      </c>
      <c r="Q1297" s="415">
        <f>P1297</f>
        <v/>
      </c>
      <c r="R1297" s="415">
        <f>Q1297-2</f>
        <v/>
      </c>
      <c r="S1297" s="415">
        <f>Q1297</f>
        <v/>
      </c>
      <c r="T1297" s="416" t="n">
        <v>0.375</v>
      </c>
      <c r="U1297" s="416">
        <f>+T1297+V1297</f>
        <v/>
      </c>
      <c r="V1297" s="416" t="n">
        <v>0.02083333333333333</v>
      </c>
      <c r="W1297" s="417">
        <f>TEXT(T1297,"HH""h""MM'")&amp;"÷"&amp;TEXT(U1297,"HH""h""MM'")</f>
        <v/>
      </c>
      <c r="X1297" s="417" t="n"/>
      <c r="Y1297" s="417" t="n"/>
      <c r="Z1297" s="417" t="inlineStr">
        <is>
          <t>02;</t>
        </is>
      </c>
      <c r="AA1297" s="150" t="inlineStr">
        <is>
          <t>Lắp dựng ván khuôn, thanh xuyên táo thân mố M2 (đợt 1)</t>
        </is>
      </c>
      <c r="AB1297" s="150" t="inlineStr">
        <is>
          <t>307HG/YCNT/TM/M2/Đ1-1</t>
        </is>
      </c>
      <c r="AC1297" s="150" t="inlineStr">
        <is>
          <t>307HG/BBNT/TM/M2/Đ1-2</t>
        </is>
      </c>
      <c r="AD1297" s="150" t="n"/>
      <c r="AE1297" s="150" t="n"/>
      <c r="AF1297" s="150" t="n"/>
      <c r="AG1297" s="150" t="n"/>
      <c r="AH1297" s="150" t="n"/>
      <c r="AI1297" s="417" t="n"/>
      <c r="AJ1297" s="417" t="n"/>
      <c r="AK1297" s="418" t="n"/>
      <c r="AL1297" s="417" t="n"/>
      <c r="AM1297" s="417" t="n"/>
      <c r="AN1297" s="417" t="n"/>
      <c r="AO1297" s="417" t="n"/>
      <c r="AP1297" s="151" t="n"/>
      <c r="AQ1297" s="151" t="n"/>
      <c r="AR1297" s="417" t="inlineStr">
        <is>
          <t>Nhóm 1</t>
        </is>
      </c>
      <c r="AS1297" s="417" t="n"/>
      <c r="AT1297" s="417" t="inlineStr">
        <is>
          <t>HM40</t>
        </is>
      </c>
      <c r="AU1297" s="417" t="inlineStr">
        <is>
          <t>NTCV</t>
        </is>
      </c>
      <c r="AV1297" s="417" t="n">
        <v>425</v>
      </c>
      <c r="AW1297" s="417" t="n">
        <v>1</v>
      </c>
      <c r="AX1297" s="417" t="n"/>
    </row>
    <row r="1298">
      <c r="A1298" s="56" t="inlineStr">
        <is>
          <t>BBK288</t>
        </is>
      </c>
      <c r="B1298" s="56" t="inlineStr">
        <is>
          <t>PL11.1</t>
        </is>
      </c>
      <c r="C1298" s="56" t="inlineStr">
        <is>
          <t>BBK288.0792404</t>
        </is>
      </c>
      <c r="D1298" s="57" t="n"/>
      <c r="E1298" s="57" t="n"/>
      <c r="F1298" s="57" t="n"/>
      <c r="G1298" s="57" t="n"/>
      <c r="H1298" s="57" t="n"/>
      <c r="J1298" s="108" t="inlineStr">
        <is>
          <t>07</t>
        </is>
      </c>
      <c r="K1298" s="108" t="inlineStr">
        <is>
          <t>PL11.1</t>
        </is>
      </c>
      <c r="L1298" s="109" t="inlineStr">
        <is>
          <t>Phụ lục số 11</t>
        </is>
      </c>
      <c r="M1298" s="109" t="n"/>
      <c r="N1298" s="109" t="n"/>
      <c r="O1298" s="110" t="inlineStr">
        <is>
          <t>Cầu KM19+529.080</t>
        </is>
      </c>
      <c r="P1298" s="401" t="n"/>
      <c r="Q1298" s="401" t="n"/>
      <c r="R1298" s="401" t="n"/>
      <c r="S1298" s="401">
        <f>S1297</f>
        <v/>
      </c>
      <c r="T1298" s="401" t="n"/>
      <c r="U1298" s="401" t="n"/>
      <c r="V1298" s="401" t="n"/>
      <c r="W1298" s="403" t="n"/>
      <c r="X1298" s="403" t="n"/>
      <c r="Y1298" s="403" t="n"/>
      <c r="Z1298" s="108" t="inlineStr">
        <is>
          <t>02</t>
        </is>
      </c>
      <c r="AA1298" s="113" t="n"/>
      <c r="AB1298" s="113" t="n"/>
      <c r="AC1298" s="113" t="inlineStr">
        <is>
          <t>307HG/BBNT/TM/M2/Đ1-2</t>
        </is>
      </c>
      <c r="AD1298" s="113" t="n"/>
      <c r="AE1298" s="113" t="n"/>
      <c r="AF1298" s="113" t="n"/>
      <c r="AG1298" s="113" t="n"/>
      <c r="AH1298" s="114" t="inlineStr">
        <is>
          <t>TM-M2-Đ1</t>
        </is>
      </c>
      <c r="AI1298" s="403" t="n"/>
      <c r="AJ1298" s="403" t="n"/>
      <c r="AK1298" s="404" t="n"/>
      <c r="AL1298" s="403" t="n"/>
      <c r="AM1298" s="403" t="n"/>
      <c r="AN1298" s="403" t="n"/>
      <c r="AO1298" s="403" t="n"/>
      <c r="AP1298" s="115" t="n"/>
      <c r="AQ1298" s="115" t="inlineStr">
        <is>
          <t>Ảnh\thân mố M2.png</t>
        </is>
      </c>
      <c r="AR1298" s="403" t="inlineStr">
        <is>
          <t>Nhóm 1</t>
        </is>
      </c>
      <c r="AS1298" s="403" t="n"/>
      <c r="AT1298" s="403" t="inlineStr">
        <is>
          <t>HM40</t>
        </is>
      </c>
      <c r="AU1298" s="403" t="inlineStr">
        <is>
          <t>PL11.1</t>
        </is>
      </c>
      <c r="AV1298" s="403" t="n">
        <v>10</v>
      </c>
      <c r="AW1298" s="403" t="n">
        <v>1</v>
      </c>
      <c r="AX1298" s="403" t="n"/>
    </row>
    <row r="1299">
      <c r="A1299" s="56" t="inlineStr">
        <is>
          <t>BBK680</t>
        </is>
      </c>
      <c r="B1299" s="56" t="inlineStr">
        <is>
          <t>PYC</t>
        </is>
      </c>
      <c r="C1299" s="56" t="inlineStr">
        <is>
          <t>BBK680.0430627</t>
        </is>
      </c>
      <c r="D1299" s="57" t="n"/>
      <c r="E1299" s="57" t="n"/>
      <c r="F1299" s="57" t="n"/>
      <c r="G1299" s="57" t="n"/>
      <c r="H1299" s="57" t="n"/>
      <c r="J1299" s="168" t="inlineStr">
        <is>
          <t>08</t>
        </is>
      </c>
      <c r="K1299" s="168" t="inlineStr">
        <is>
          <t>PYC</t>
        </is>
      </c>
      <c r="L1299" s="169" t="inlineStr">
        <is>
          <t>phiếu yêu cầu</t>
        </is>
      </c>
      <c r="M1299" s="169" t="n"/>
      <c r="N1299" s="169" t="n"/>
      <c r="O1299" s="170" t="inlineStr">
        <is>
          <t>Cầu KM19+529.080</t>
        </is>
      </c>
      <c r="P1299" s="405" t="n"/>
      <c r="Q1299" s="405" t="n"/>
      <c r="R1299" s="401">
        <f>R1300</f>
        <v/>
      </c>
      <c r="S1299" s="405">
        <f>+R1299+1</f>
        <v/>
      </c>
      <c r="T1299" s="402">
        <f>T1300</f>
        <v/>
      </c>
      <c r="U1299" s="402">
        <f>U1300</f>
        <v/>
      </c>
      <c r="V1299" s="402">
        <f>V1300</f>
        <v/>
      </c>
      <c r="W1299" s="402">
        <f>W1300</f>
        <v/>
      </c>
      <c r="X1299" s="406" t="n"/>
      <c r="Y1299" s="406" t="n"/>
      <c r="Z1299" s="168" t="inlineStr">
        <is>
          <t>02</t>
        </is>
      </c>
      <c r="AA1299" s="173" t="n"/>
      <c r="AB1299" s="173" t="inlineStr">
        <is>
          <t>307HG/YCNT/TM/M2/Đ1</t>
        </is>
      </c>
      <c r="AC1299" s="173" t="n"/>
      <c r="AD1299" s="173" t="n"/>
      <c r="AE1299" s="173" t="n"/>
      <c r="AF1299" s="173" t="n"/>
      <c r="AG1299" s="129" t="inlineStr">
        <is>
          <t>NTCV</t>
        </is>
      </c>
      <c r="AH1299" s="173" t="inlineStr">
        <is>
          <t>&gt;=2;&lt;=4</t>
        </is>
      </c>
      <c r="AI1299" s="406" t="n"/>
      <c r="AJ1299" s="406" t="n"/>
      <c r="AK1299" s="408" t="n"/>
      <c r="AL1299" s="406" t="n"/>
      <c r="AM1299" s="406" t="n"/>
      <c r="AN1299" s="406" t="n"/>
      <c r="AO1299" s="406" t="n"/>
      <c r="AP1299" s="174" t="n"/>
      <c r="AQ1299" s="174" t="n"/>
      <c r="AR1299" s="406" t="inlineStr">
        <is>
          <t>Nhóm 1</t>
        </is>
      </c>
      <c r="AS1299" s="406" t="n"/>
      <c r="AT1299" s="406" t="inlineStr">
        <is>
          <t>HM40</t>
        </is>
      </c>
      <c r="AU1299" s="406" t="inlineStr">
        <is>
          <t>PYC</t>
        </is>
      </c>
      <c r="AV1299" s="406" t="n">
        <v>80</v>
      </c>
      <c r="AW1299" s="406" t="n">
        <v>2</v>
      </c>
      <c r="AX1299" s="406" t="n"/>
    </row>
    <row r="1300">
      <c r="A1300" s="413" t="inlineStr">
        <is>
          <t>NTCV</t>
        </is>
      </c>
      <c r="B1300" s="413" t="inlineStr">
        <is>
          <t>K.9999</t>
        </is>
      </c>
      <c r="C1300" s="413" t="inlineStr">
        <is>
          <t>NTCV.0977079</t>
        </is>
      </c>
      <c r="D1300" s="414" t="n"/>
      <c r="E1300" s="414" t="n"/>
      <c r="F1300" s="414" t="n"/>
      <c r="G1300" s="414" t="n"/>
      <c r="H1300" s="414" t="n"/>
      <c r="J1300" s="147" t="inlineStr">
        <is>
          <t>09</t>
        </is>
      </c>
      <c r="K1300" s="147" t="inlineStr">
        <is>
          <t>K.9999</t>
        </is>
      </c>
      <c r="L1300" s="148" t="inlineStr">
        <is>
          <t>Kiểm tra cốt thép thân mố M2 (đợt 1)</t>
        </is>
      </c>
      <c r="M1300" s="148" t="n"/>
      <c r="N1300" s="148" t="n"/>
      <c r="O1300" s="149" t="inlineStr">
        <is>
          <t>Cầu KM19+529.080</t>
        </is>
      </c>
      <c r="P1300" s="415">
        <f>+S1297+1</f>
        <v/>
      </c>
      <c r="Q1300" s="415">
        <f>+P1300</f>
        <v/>
      </c>
      <c r="R1300" s="415">
        <f>+Q1300-1</f>
        <v/>
      </c>
      <c r="S1300" s="415">
        <f>+Q1300</f>
        <v/>
      </c>
      <c r="T1300" s="416" t="n">
        <v>0.375</v>
      </c>
      <c r="U1300" s="416">
        <f>+T1300+V1300</f>
        <v/>
      </c>
      <c r="V1300" s="416" t="n">
        <v>0.04166666666666666</v>
      </c>
      <c r="W1300" s="411">
        <f>TEXT(T1300,"HH""h""MM'")&amp;"÷"&amp;TEXT(U1300,"HH""h""MM'")</f>
        <v/>
      </c>
      <c r="X1300" s="417" t="n"/>
      <c r="Y1300" s="417" t="n"/>
      <c r="Z1300" s="417" t="inlineStr">
        <is>
          <t>03;</t>
        </is>
      </c>
      <c r="AA1300" s="150" t="inlineStr">
        <is>
          <t>Kiểm tra cốt thép thân mố M2 (đợt 1)</t>
        </is>
      </c>
      <c r="AB1300" s="150" t="inlineStr">
        <is>
          <t>307HG/YCNT/TM/M2/Đ1-2</t>
        </is>
      </c>
      <c r="AC1300" s="150" t="inlineStr">
        <is>
          <t>307HG/BBNT/TM/M2/Đ1-3</t>
        </is>
      </c>
      <c r="AD1300" s="150" t="n"/>
      <c r="AE1300" s="150" t="n"/>
      <c r="AF1300" s="150" t="n"/>
      <c r="AG1300" s="150" t="n"/>
      <c r="AH1300" s="150" t="n"/>
      <c r="AI1300" s="417" t="n"/>
      <c r="AJ1300" s="417" t="n"/>
      <c r="AK1300" s="418" t="n"/>
      <c r="AL1300" s="417" t="n"/>
      <c r="AM1300" s="417" t="n"/>
      <c r="AN1300" s="417" t="n"/>
      <c r="AO1300" s="417" t="n"/>
      <c r="AP1300" s="151" t="n"/>
      <c r="AQ1300" s="151" t="n"/>
      <c r="AR1300" s="417" t="inlineStr">
        <is>
          <t>Nhóm 1</t>
        </is>
      </c>
      <c r="AS1300" s="417" t="n"/>
      <c r="AT1300" s="417" t="inlineStr">
        <is>
          <t>HM40</t>
        </is>
      </c>
      <c r="AU1300" s="417" t="inlineStr">
        <is>
          <t>NTCV</t>
        </is>
      </c>
      <c r="AV1300" s="417" t="n">
        <v>427</v>
      </c>
      <c r="AW1300" s="417" t="n">
        <v>2</v>
      </c>
      <c r="AX1300" s="417" t="n"/>
    </row>
    <row r="1301">
      <c r="A1301" s="413" t="inlineStr">
        <is>
          <t>BBK469</t>
        </is>
      </c>
      <c r="B1301" s="413" t="inlineStr">
        <is>
          <t>PL08.1</t>
        </is>
      </c>
      <c r="C1301" s="413" t="inlineStr">
        <is>
          <t>BBK469.0141861</t>
        </is>
      </c>
      <c r="D1301" s="414" t="n"/>
      <c r="E1301" s="414" t="n"/>
      <c r="F1301" s="414" t="n"/>
      <c r="G1301" s="414" t="n"/>
      <c r="H1301" s="414" t="n"/>
      <c r="J1301" s="108" t="inlineStr">
        <is>
          <t>10</t>
        </is>
      </c>
      <c r="K1301" s="108" t="inlineStr">
        <is>
          <t>PL08.1</t>
        </is>
      </c>
      <c r="L1301" s="109">
        <f>L1300</f>
        <v/>
      </c>
      <c r="M1301" s="109" t="n"/>
      <c r="N1301" s="109" t="n"/>
      <c r="O1301" s="110" t="inlineStr">
        <is>
          <t>Cầu KM19+529.080</t>
        </is>
      </c>
      <c r="P1301" s="401" t="n"/>
      <c r="Q1301" s="401" t="n"/>
      <c r="R1301" s="401" t="n"/>
      <c r="S1301" s="401">
        <f>S1300</f>
        <v/>
      </c>
      <c r="T1301" s="401" t="n"/>
      <c r="U1301" s="401" t="n"/>
      <c r="V1301" s="401" t="n"/>
      <c r="W1301" s="403" t="n"/>
      <c r="X1301" s="403" t="n"/>
      <c r="Y1301" s="403" t="n"/>
      <c r="Z1301" s="108" t="inlineStr">
        <is>
          <t>03</t>
        </is>
      </c>
      <c r="AA1301" s="113" t="n"/>
      <c r="AB1301" s="113" t="n"/>
      <c r="AC1301" s="113" t="inlineStr">
        <is>
          <t>307HG/BBNT/TM/M2/Đ1-3</t>
        </is>
      </c>
      <c r="AD1301" s="113" t="n"/>
      <c r="AE1301" s="113" t="n"/>
      <c r="AF1301" s="113" t="n"/>
      <c r="AG1301" s="113" t="n"/>
      <c r="AH1301" s="113" t="inlineStr">
        <is>
          <t>TM-M2-Đ1</t>
        </is>
      </c>
      <c r="AI1301" s="403" t="n"/>
      <c r="AJ1301" s="403" t="n"/>
      <c r="AK1301" s="404" t="n"/>
      <c r="AL1301" s="403" t="n"/>
      <c r="AM1301" s="403" t="n"/>
      <c r="AN1301" s="403" t="n"/>
      <c r="AO1301" s="403" t="n"/>
      <c r="AP1301" s="115" t="n"/>
      <c r="AQ1301" s="115" t="n"/>
      <c r="AR1301" s="403" t="inlineStr">
        <is>
          <t>Nhóm 1</t>
        </is>
      </c>
      <c r="AS1301" s="403" t="n"/>
      <c r="AT1301" s="403" t="inlineStr">
        <is>
          <t>HM40</t>
        </is>
      </c>
      <c r="AU1301" s="403" t="inlineStr">
        <is>
          <t>PL08.1</t>
        </is>
      </c>
      <c r="AV1301" s="403" t="n">
        <v>10</v>
      </c>
      <c r="AW1301" s="403" t="n">
        <v>1</v>
      </c>
      <c r="AX1301" s="403" t="n"/>
    </row>
    <row r="1302" ht="28" customHeight="1" s="672">
      <c r="A1302" s="413" t="inlineStr">
        <is>
          <t>NTCV</t>
        </is>
      </c>
      <c r="B1302" s="413" t="inlineStr">
        <is>
          <t>K.9999</t>
        </is>
      </c>
      <c r="C1302" s="413" t="inlineStr">
        <is>
          <t>NTCV.0672600</t>
        </is>
      </c>
      <c r="D1302" s="414" t="n"/>
      <c r="E1302" s="414" t="n"/>
      <c r="F1302" s="414" t="n"/>
      <c r="G1302" s="414" t="n"/>
      <c r="H1302" s="414" t="n"/>
      <c r="J1302" s="131" t="inlineStr">
        <is>
          <t>11</t>
        </is>
      </c>
      <c r="K1302" s="131" t="inlineStr">
        <is>
          <t>K.9999</t>
        </is>
      </c>
      <c r="L1302" s="132" t="inlineStr">
        <is>
          <t>Công tác chuẩn bị đổ bê tông thân mố M2 (đợt 1)</t>
        </is>
      </c>
      <c r="M1302" s="132" t="n"/>
      <c r="N1302" s="132" t="n"/>
      <c r="O1302" s="133" t="inlineStr">
        <is>
          <t>Cầu KM19+529.080</t>
        </is>
      </c>
      <c r="P1302" s="419">
        <f>S1300</f>
        <v/>
      </c>
      <c r="Q1302" s="419">
        <f>P1302+1</f>
        <v/>
      </c>
      <c r="R1302" s="415">
        <f>+Q1302-2</f>
        <v/>
      </c>
      <c r="S1302" s="415">
        <f>+Q1302</f>
        <v/>
      </c>
      <c r="T1302" s="420" t="n">
        <v>0.3333333333333333</v>
      </c>
      <c r="U1302" s="420">
        <f>+T1302+V1302</f>
        <v/>
      </c>
      <c r="V1302" s="420" t="n">
        <v>0.02083333333333333</v>
      </c>
      <c r="W1302" s="417">
        <f>TEXT(T1302,"HH""h""MM'")&amp;"÷"&amp;TEXT(U1302,"HH""h""MM'")</f>
        <v/>
      </c>
      <c r="X1302" s="421" t="n"/>
      <c r="Y1302" s="421" t="n"/>
      <c r="Z1302" s="421" t="inlineStr">
        <is>
          <t>04;</t>
        </is>
      </c>
      <c r="AA1302" s="136" t="inlineStr">
        <is>
          <t>Công tác chuẩn bị đổ bê tông thân mố M2 (đợt 1)</t>
        </is>
      </c>
      <c r="AB1302" s="150" t="inlineStr">
        <is>
          <t>307HG/YCNT/TM/M2/Đ1-2</t>
        </is>
      </c>
      <c r="AC1302" s="136" t="inlineStr">
        <is>
          <t>307HG/BBNT/TM/M2/Đ1-4</t>
        </is>
      </c>
      <c r="AD1302" s="136" t="n"/>
      <c r="AE1302" s="136" t="n"/>
      <c r="AF1302" s="136" t="n"/>
      <c r="AG1302" s="136" t="n"/>
      <c r="AH1302" s="136" t="n"/>
      <c r="AI1302" s="421" t="n"/>
      <c r="AJ1302" s="421" t="n"/>
      <c r="AK1302" s="422" t="n"/>
      <c r="AL1302" s="421" t="n"/>
      <c r="AM1302" s="421" t="n"/>
      <c r="AN1302" s="421" t="n"/>
      <c r="AO1302" s="421" t="n"/>
      <c r="AP1302" s="138" t="n"/>
      <c r="AQ1302" s="138" t="n"/>
      <c r="AR1302" s="421" t="inlineStr">
        <is>
          <t>Nhóm 1</t>
        </is>
      </c>
      <c r="AS1302" s="421" t="n"/>
      <c r="AT1302" s="421" t="inlineStr">
        <is>
          <t>HM40</t>
        </is>
      </c>
      <c r="AU1302" s="421" t="inlineStr">
        <is>
          <t>NTCV</t>
        </is>
      </c>
      <c r="AV1302" s="421" t="n">
        <v>428</v>
      </c>
      <c r="AW1302" s="421" t="n">
        <v>3</v>
      </c>
      <c r="AX1302" s="421" t="n"/>
    </row>
    <row r="1303">
      <c r="A1303" s="413" t="inlineStr">
        <is>
          <t>BBK209</t>
        </is>
      </c>
      <c r="B1303" s="413" t="inlineStr">
        <is>
          <t>PL09</t>
        </is>
      </c>
      <c r="C1303" s="413" t="inlineStr">
        <is>
          <t>BBK209.0692628</t>
        </is>
      </c>
      <c r="D1303" s="414" t="n"/>
      <c r="E1303" s="414" t="n"/>
      <c r="F1303" s="414" t="n"/>
      <c r="G1303" s="414" t="n"/>
      <c r="H1303" s="414" t="n"/>
      <c r="J1303" s="124" t="inlineStr">
        <is>
          <t>12</t>
        </is>
      </c>
      <c r="K1303" s="124" t="inlineStr">
        <is>
          <t>PL09</t>
        </is>
      </c>
      <c r="L1303" s="125">
        <f>+L1302</f>
        <v/>
      </c>
      <c r="M1303" s="125" t="n"/>
      <c r="N1303" s="125" t="n"/>
      <c r="O1303" s="126" t="inlineStr">
        <is>
          <t>Cầu KM19+529.080</t>
        </is>
      </c>
      <c r="P1303" s="423" t="n"/>
      <c r="Q1303" s="423" t="n"/>
      <c r="R1303" s="423">
        <f>+R1304</f>
        <v/>
      </c>
      <c r="S1303" s="423">
        <f>+S1302</f>
        <v/>
      </c>
      <c r="T1303" s="424" t="n"/>
      <c r="U1303" s="424" t="n"/>
      <c r="V1303" s="424" t="n"/>
      <c r="W1303" s="425" t="n"/>
      <c r="X1303" s="425" t="n"/>
      <c r="Y1303" s="425" t="n"/>
      <c r="Z1303" s="124" t="inlineStr">
        <is>
          <t>04</t>
        </is>
      </c>
      <c r="AA1303" s="129" t="n"/>
      <c r="AB1303" s="129" t="n"/>
      <c r="AC1303" s="129">
        <f>+AC1302</f>
        <v/>
      </c>
      <c r="AD1303" s="129" t="n"/>
      <c r="AE1303" s="129" t="n"/>
      <c r="AF1303" s="129" t="n"/>
      <c r="AG1303" s="129" t="n"/>
      <c r="AH1303" s="129" t="inlineStr">
        <is>
          <t>C30</t>
        </is>
      </c>
      <c r="AI1303" s="425" t="n"/>
      <c r="AJ1303" s="425" t="n"/>
      <c r="AK1303" s="427" t="n"/>
      <c r="AL1303" s="425" t="n"/>
      <c r="AM1303" s="425" t="n"/>
      <c r="AN1303" s="425" t="n"/>
      <c r="AO1303" s="425" t="n"/>
      <c r="AP1303" s="130" t="n"/>
      <c r="AQ1303" s="130" t="n"/>
      <c r="AR1303" s="425" t="inlineStr">
        <is>
          <t>Nhóm 1</t>
        </is>
      </c>
      <c r="AS1303" s="425" t="n"/>
      <c r="AT1303" s="425" t="inlineStr">
        <is>
          <t>HM40</t>
        </is>
      </c>
      <c r="AU1303" s="425" t="inlineStr">
        <is>
          <t>PL09</t>
        </is>
      </c>
      <c r="AV1303" s="425" t="n">
        <v>36</v>
      </c>
      <c r="AW1303" s="425" t="n">
        <v>1</v>
      </c>
      <c r="AX1303" s="425" t="n"/>
    </row>
    <row r="1304" ht="28" customHeight="1" s="672">
      <c r="A1304" s="413" t="inlineStr">
        <is>
          <t>NTCV</t>
        </is>
      </c>
      <c r="B1304" s="413" t="inlineStr">
        <is>
          <t>K.9999</t>
        </is>
      </c>
      <c r="C1304" s="413" t="inlineStr">
        <is>
          <t>NTCV.0733315</t>
        </is>
      </c>
      <c r="D1304" s="414" t="n"/>
      <c r="E1304" s="414" t="n"/>
      <c r="F1304" s="414" t="n"/>
      <c r="G1304" s="414" t="n"/>
      <c r="H1304" s="414" t="n"/>
      <c r="J1304" s="161" t="inlineStr">
        <is>
          <t>13</t>
        </is>
      </c>
      <c r="K1304" s="161" t="inlineStr">
        <is>
          <t>K.9999</t>
        </is>
      </c>
      <c r="L1304" s="162" t="inlineStr">
        <is>
          <t>Công tác đổ, lấy mẫu bê tông thân mố M2 (đợt 1)</t>
        </is>
      </c>
      <c r="M1304" s="162" t="n"/>
      <c r="N1304" s="162" t="n"/>
      <c r="O1304" s="163" t="inlineStr">
        <is>
          <t>Cầu KM19+529.080</t>
        </is>
      </c>
      <c r="P1304" s="409">
        <f>+S1302</f>
        <v/>
      </c>
      <c r="Q1304" s="409">
        <f>+P1304</f>
        <v/>
      </c>
      <c r="R1304" s="409">
        <f>+Q1304-1</f>
        <v/>
      </c>
      <c r="S1304" s="409">
        <f>+Q1304</f>
        <v/>
      </c>
      <c r="T1304" s="410" t="n">
        <v>0.375</v>
      </c>
      <c r="U1304" s="410">
        <f>+T1304+V1304</f>
        <v/>
      </c>
      <c r="V1304" s="410" t="n">
        <v>0.125</v>
      </c>
      <c r="W1304" s="417">
        <f>TEXT(T1304,"HH""h""MM'")&amp;"÷"&amp;TEXT(U1304,"HH""h""MM'")</f>
        <v/>
      </c>
      <c r="X1304" s="411" t="n"/>
      <c r="Y1304" s="411" t="n"/>
      <c r="Z1304" s="161" t="inlineStr">
        <is>
          <t>05;</t>
        </is>
      </c>
      <c r="AA1304" s="166" t="inlineStr">
        <is>
          <t>Công tác đổ bê tông, lấy mẫu bê tông thân mố M2 (đợt 1)</t>
        </is>
      </c>
      <c r="AB1304" s="166" t="n"/>
      <c r="AC1304" s="166" t="inlineStr">
        <is>
          <t>307HG/BBNT/TM/M2/Đ1-5</t>
        </is>
      </c>
      <c r="AD1304" s="166" t="n"/>
      <c r="AE1304" s="166" t="n"/>
      <c r="AF1304" s="166" t="n"/>
      <c r="AG1304" s="166" t="n"/>
      <c r="AH1304" s="166" t="n"/>
      <c r="AI1304" s="411" t="n"/>
      <c r="AJ1304" s="411" t="n"/>
      <c r="AK1304" s="412" t="n"/>
      <c r="AL1304" s="411" t="n"/>
      <c r="AM1304" s="411" t="n"/>
      <c r="AN1304" s="411" t="n"/>
      <c r="AO1304" s="411" t="n"/>
      <c r="AP1304" s="167" t="n"/>
      <c r="AQ1304" s="167" t="n"/>
      <c r="AR1304" s="411" t="inlineStr">
        <is>
          <t>Nhóm 1</t>
        </is>
      </c>
      <c r="AS1304" s="411" t="n"/>
      <c r="AT1304" s="411" t="inlineStr">
        <is>
          <t>HM40</t>
        </is>
      </c>
      <c r="AU1304" s="411" t="inlineStr">
        <is>
          <t>NTCV</t>
        </is>
      </c>
      <c r="AV1304" s="411" t="n">
        <v>430</v>
      </c>
      <c r="AW1304" s="411" t="n">
        <v>4</v>
      </c>
      <c r="AX1304" s="411" t="n"/>
    </row>
    <row r="1305">
      <c r="A1305" s="413" t="inlineStr">
        <is>
          <t>BBK832</t>
        </is>
      </c>
      <c r="B1305" s="413" t="inlineStr">
        <is>
          <t>PL06.1</t>
        </is>
      </c>
      <c r="C1305" s="413" t="inlineStr">
        <is>
          <t>BBK832.0496446</t>
        </is>
      </c>
      <c r="D1305" s="414" t="n"/>
      <c r="E1305" s="414" t="n"/>
      <c r="F1305" s="414" t="n"/>
      <c r="G1305" s="414" t="n"/>
      <c r="H1305" s="414" t="n"/>
      <c r="J1305" s="168" t="inlineStr">
        <is>
          <t>14</t>
        </is>
      </c>
      <c r="K1305" s="168" t="inlineStr">
        <is>
          <t>PL06.1</t>
        </is>
      </c>
      <c r="L1305" s="169">
        <f>+L1304</f>
        <v/>
      </c>
      <c r="M1305" s="169" t="n"/>
      <c r="N1305" s="169" t="n"/>
      <c r="O1305" s="170" t="inlineStr">
        <is>
          <t>Cầu KM19+529.080</t>
        </is>
      </c>
      <c r="P1305" s="405" t="n"/>
      <c r="Q1305" s="405" t="n"/>
      <c r="R1305" s="405" t="n"/>
      <c r="S1305" s="405">
        <f>+S1304</f>
        <v/>
      </c>
      <c r="T1305" s="428">
        <f>+T1304</f>
        <v/>
      </c>
      <c r="U1305" s="428">
        <f>T1305+V1305</f>
        <v/>
      </c>
      <c r="V1305" s="428">
        <f>+V1304</f>
        <v/>
      </c>
      <c r="W1305" s="406" t="n"/>
      <c r="X1305" s="406" t="n"/>
      <c r="Y1305" s="406" t="n"/>
      <c r="Z1305" s="168" t="inlineStr">
        <is>
          <t>05</t>
        </is>
      </c>
      <c r="AA1305" s="173" t="n"/>
      <c r="AB1305" s="173" t="n"/>
      <c r="AC1305" s="173">
        <f>+AC1304</f>
        <v/>
      </c>
      <c r="AD1305" s="173" t="n"/>
      <c r="AE1305" s="173" t="n"/>
      <c r="AF1305" s="173" t="n"/>
      <c r="AG1305" s="173" t="n"/>
      <c r="AH1305" s="407" t="inlineStr">
        <is>
          <t>C30-TM-M2-Đ1</t>
        </is>
      </c>
      <c r="AI1305" s="406" t="n"/>
      <c r="AJ1305" s="406" t="n"/>
      <c r="AK1305" s="408" t="n"/>
      <c r="AL1305" s="406" t="n"/>
      <c r="AM1305" s="406" t="n"/>
      <c r="AN1305" s="406" t="n"/>
      <c r="AO1305" s="406" t="n"/>
      <c r="AP1305" s="174" t="n"/>
      <c r="AQ1305" s="174" t="n"/>
      <c r="AR1305" s="406" t="inlineStr">
        <is>
          <t>Nhóm 1</t>
        </is>
      </c>
      <c r="AS1305" s="406" t="n"/>
      <c r="AT1305" s="406" t="inlineStr">
        <is>
          <t>HM40</t>
        </is>
      </c>
      <c r="AU1305" s="406" t="inlineStr">
        <is>
          <t>PL06.1</t>
        </is>
      </c>
      <c r="AV1305" s="406" t="n">
        <v>11</v>
      </c>
      <c r="AW1305" s="406" t="n">
        <v>1</v>
      </c>
      <c r="AX1305" s="406" t="n"/>
    </row>
    <row r="1306">
      <c r="A1306" s="413" t="inlineStr">
        <is>
          <t>LMHT</t>
        </is>
      </c>
      <c r="B1306" s="413" t="inlineStr">
        <is>
          <t>LMHT</t>
        </is>
      </c>
      <c r="C1306" s="413" t="inlineStr">
        <is>
          <t>LMHT.0988972</t>
        </is>
      </c>
      <c r="D1306" s="414" t="inlineStr">
        <is>
          <t>TC.000041|TC.000182|TC.000169.A</t>
        </is>
      </c>
      <c r="E1306" s="414" t="n"/>
      <c r="F1306" s="414" t="inlineStr">
        <is>
          <t>CP.0001^Bê tông thân mố M2 (đợt 1)^Hình trụ 15x30 (cm)^18^C30 (30Mpa)^^^TC.000041|TC.000182|TC.000169.A</t>
        </is>
      </c>
      <c r="G1306" s="414" t="n"/>
      <c r="H1306" s="414" t="n"/>
      <c r="J1306" s="175" t="inlineStr">
        <is>
          <t>15</t>
        </is>
      </c>
      <c r="K1306" s="175" t="inlineStr">
        <is>
          <t>LMHT</t>
        </is>
      </c>
      <c r="L1306" s="176" t="inlineStr">
        <is>
          <t>Bê tông thân mố M2 (đợt 1)</t>
        </is>
      </c>
      <c r="M1306" s="176" t="n"/>
      <c r="N1306" s="176" t="n"/>
      <c r="O1306" s="177" t="inlineStr">
        <is>
          <t>Cầu KM19+529.080</t>
        </is>
      </c>
      <c r="P1306" s="299" t="n"/>
      <c r="Q1306" s="299" t="n"/>
      <c r="R1306" s="299" t="n"/>
      <c r="S1306" s="299">
        <f>S1302</f>
        <v/>
      </c>
      <c r="T1306" s="300">
        <f>T1305</f>
        <v/>
      </c>
      <c r="U1306" s="300">
        <f>U1305</f>
        <v/>
      </c>
      <c r="V1306" s="300">
        <f>V1305</f>
        <v/>
      </c>
      <c r="W1306" s="301" t="n"/>
      <c r="X1306" s="301" t="n"/>
      <c r="Y1306" s="301" t="n"/>
      <c r="Z1306" s="301" t="n"/>
      <c r="AA1306" s="180" t="n"/>
      <c r="AB1306" s="180" t="n"/>
      <c r="AC1306" s="180" t="n"/>
      <c r="AD1306" s="180" t="n"/>
      <c r="AE1306" s="180" t="n"/>
      <c r="AF1306" s="180" t="n"/>
      <c r="AG1306" s="180" t="n"/>
      <c r="AH1306" s="180" t="n"/>
      <c r="AI1306" s="301" t="n"/>
      <c r="AJ1306" s="301" t="n"/>
      <c r="AK1306" s="303" t="n"/>
      <c r="AL1306" s="301" t="n"/>
      <c r="AM1306" s="301" t="n"/>
      <c r="AN1306" s="301" t="n"/>
      <c r="AO1306" s="301" t="n"/>
      <c r="AP1306" s="181" t="n"/>
      <c r="AQ1306" s="181" t="n"/>
      <c r="AR1306" s="301" t="inlineStr">
        <is>
          <t>Nhóm 1</t>
        </is>
      </c>
      <c r="AS1306" s="301" t="n"/>
      <c r="AT1306" s="301" t="inlineStr">
        <is>
          <t>HM40</t>
        </is>
      </c>
      <c r="AU1306" s="301" t="inlineStr">
        <is>
          <t>LMHT</t>
        </is>
      </c>
      <c r="AV1306" s="301" t="n">
        <v>47</v>
      </c>
      <c r="AW1306" s="301" t="n">
        <v>1</v>
      </c>
      <c r="AX1306" s="301" t="n"/>
    </row>
    <row r="1307">
      <c r="A1307" s="413" t="inlineStr">
        <is>
          <t>BBK680</t>
        </is>
      </c>
      <c r="B1307" s="413" t="inlineStr">
        <is>
          <t>PYC</t>
        </is>
      </c>
      <c r="C1307" s="413" t="inlineStr">
        <is>
          <t>BBK680.0853130</t>
        </is>
      </c>
      <c r="D1307" s="414" t="n"/>
      <c r="E1307" s="414" t="n"/>
      <c r="F1307" s="414" t="n"/>
      <c r="G1307" s="414" t="n"/>
      <c r="H1307" s="414" t="n"/>
      <c r="J1307" s="168" t="inlineStr">
        <is>
          <t>16</t>
        </is>
      </c>
      <c r="K1307" s="168" t="inlineStr">
        <is>
          <t>PYC</t>
        </is>
      </c>
      <c r="L1307" s="169" t="inlineStr">
        <is>
          <t>phiếu yêu cầu</t>
        </is>
      </c>
      <c r="M1307" s="169" t="n"/>
      <c r="N1307" s="169" t="n"/>
      <c r="O1307" s="170" t="inlineStr">
        <is>
          <t>Cầu KM19+529.080</t>
        </is>
      </c>
      <c r="P1307" s="405" t="n"/>
      <c r="Q1307" s="405" t="n"/>
      <c r="R1307" s="401">
        <f>+R1308</f>
        <v/>
      </c>
      <c r="S1307" s="405">
        <f>R1307+1</f>
        <v/>
      </c>
      <c r="T1307" s="405" t="n"/>
      <c r="U1307" s="405" t="n"/>
      <c r="V1307" s="405" t="n"/>
      <c r="W1307" s="406" t="n"/>
      <c r="X1307" s="406" t="n"/>
      <c r="Y1307" s="406" t="n"/>
      <c r="Z1307" s="406" t="n"/>
      <c r="AA1307" s="173" t="n"/>
      <c r="AB1307" s="173" t="inlineStr">
        <is>
          <t>307HG/YCNT/TM/M2/Đ1</t>
        </is>
      </c>
      <c r="AC1307" s="173" t="n"/>
      <c r="AD1307" s="173" t="n"/>
      <c r="AE1307" s="173" t="n"/>
      <c r="AF1307" s="173" t="n"/>
      <c r="AG1307" s="129" t="inlineStr">
        <is>
          <t>NTCV</t>
        </is>
      </c>
      <c r="AH1307" s="173" t="n">
        <v>5</v>
      </c>
      <c r="AI1307" s="406" t="n"/>
      <c r="AJ1307" s="406" t="n"/>
      <c r="AK1307" s="408" t="n"/>
      <c r="AL1307" s="406" t="n"/>
      <c r="AM1307" s="406" t="n"/>
      <c r="AN1307" s="406" t="n"/>
      <c r="AO1307" s="406" t="n"/>
      <c r="AP1307" s="174" t="n"/>
      <c r="AQ1307" s="174" t="n"/>
      <c r="AR1307" s="406" t="inlineStr">
        <is>
          <t>Nhóm 1</t>
        </is>
      </c>
      <c r="AS1307" s="406" t="n"/>
      <c r="AT1307" s="406" t="inlineStr">
        <is>
          <t>HM40</t>
        </is>
      </c>
      <c r="AU1307" s="406" t="inlineStr">
        <is>
          <t>PYC</t>
        </is>
      </c>
      <c r="AV1307" s="406" t="n">
        <v>88</v>
      </c>
      <c r="AW1307" s="406" t="n">
        <v>3</v>
      </c>
      <c r="AX1307" s="406" t="n"/>
    </row>
    <row r="1308">
      <c r="A1308" s="413" t="inlineStr">
        <is>
          <t>NTCV</t>
        </is>
      </c>
      <c r="B1308" s="413" t="inlineStr">
        <is>
          <t>K.9999</t>
        </is>
      </c>
      <c r="C1308" s="413" t="inlineStr">
        <is>
          <t>NTCV.0172949</t>
        </is>
      </c>
      <c r="D1308" s="414" t="n"/>
      <c r="E1308" s="414" t="n"/>
      <c r="F1308" s="414" t="n"/>
      <c r="G1308" s="414" t="n"/>
      <c r="H1308" s="414" t="n"/>
      <c r="J1308" s="147" t="inlineStr">
        <is>
          <t>17</t>
        </is>
      </c>
      <c r="K1308" s="147" t="inlineStr">
        <is>
          <t>K.9999</t>
        </is>
      </c>
      <c r="L1308" s="148" t="inlineStr">
        <is>
          <t>Tháo ván khuôn thân mố M2 (đợt 1)</t>
        </is>
      </c>
      <c r="M1308" s="148" t="n"/>
      <c r="N1308" s="148" t="n"/>
      <c r="O1308" s="149" t="inlineStr">
        <is>
          <t>Cầu KM19+529.080</t>
        </is>
      </c>
      <c r="P1308" s="415">
        <f>S1306</f>
        <v/>
      </c>
      <c r="Q1308" s="415">
        <f>+P1308+3</f>
        <v/>
      </c>
      <c r="R1308" s="415">
        <f>Q1308-1</f>
        <v/>
      </c>
      <c r="S1308" s="415">
        <f>Q1308</f>
        <v/>
      </c>
      <c r="T1308" s="416" t="n">
        <v>0.3541666666666667</v>
      </c>
      <c r="U1308" s="416">
        <f>+T1308+V1308</f>
        <v/>
      </c>
      <c r="V1308" s="416" t="n">
        <v>0.01388888888888889</v>
      </c>
      <c r="W1308" s="411">
        <f>TEXT(T1308,"HH""h""MM'")&amp;"÷"&amp;TEXT(U1308,"HH""h""MM'")</f>
        <v/>
      </c>
      <c r="X1308" s="417" t="n"/>
      <c r="Y1308" s="417" t="n"/>
      <c r="Z1308" s="417" t="inlineStr">
        <is>
          <t>06;</t>
        </is>
      </c>
      <c r="AA1308" s="150" t="inlineStr">
        <is>
          <t>Kiểm tra ván khuôn Bệ mố M2</t>
        </is>
      </c>
      <c r="AB1308" s="150" t="inlineStr">
        <is>
          <t>307HG/YCNT/TM/M2/Đ1-3</t>
        </is>
      </c>
      <c r="AC1308" s="150" t="inlineStr">
        <is>
          <t>307HG/BBNT/TM/M2/Đ1-5</t>
        </is>
      </c>
      <c r="AD1308" s="150" t="n"/>
      <c r="AE1308" s="150" t="n"/>
      <c r="AF1308" s="150" t="n"/>
      <c r="AG1308" s="150" t="n"/>
      <c r="AH1308" s="150" t="n"/>
      <c r="AI1308" s="417" t="n"/>
      <c r="AJ1308" s="417" t="n"/>
      <c r="AK1308" s="418" t="n"/>
      <c r="AL1308" s="417" t="n"/>
      <c r="AM1308" s="417" t="n"/>
      <c r="AN1308" s="417" t="n"/>
      <c r="AO1308" s="417" t="n"/>
      <c r="AP1308" s="151" t="n"/>
      <c r="AQ1308" s="151" t="n"/>
      <c r="AR1308" s="417" t="inlineStr">
        <is>
          <t>Nhóm 1</t>
        </is>
      </c>
      <c r="AS1308" s="417" t="n"/>
      <c r="AT1308" s="417" t="inlineStr">
        <is>
          <t>HM40</t>
        </is>
      </c>
      <c r="AU1308" s="417" t="inlineStr">
        <is>
          <t>NTCV</t>
        </is>
      </c>
      <c r="AV1308" s="417" t="n">
        <v>434</v>
      </c>
      <c r="AW1308" s="417" t="n">
        <v>5</v>
      </c>
      <c r="AX1308" s="417" t="n"/>
    </row>
    <row r="1309">
      <c r="A1309" s="413" t="inlineStr">
        <is>
          <t>BBK587</t>
        </is>
      </c>
      <c r="B1309" s="413" t="inlineStr">
        <is>
          <t>PL07.02</t>
        </is>
      </c>
      <c r="C1309" s="413" t="inlineStr">
        <is>
          <t>BBK587.0664115</t>
        </is>
      </c>
      <c r="D1309" s="414" t="n"/>
      <c r="E1309" s="414" t="n"/>
      <c r="F1309" s="414" t="n"/>
      <c r="G1309" s="414" t="n"/>
      <c r="H1309" s="414" t="n"/>
      <c r="J1309" s="108" t="inlineStr">
        <is>
          <t>18</t>
        </is>
      </c>
      <c r="K1309" s="108" t="inlineStr">
        <is>
          <t>PL07.02</t>
        </is>
      </c>
      <c r="L1309" s="109">
        <f>+L1308</f>
        <v/>
      </c>
      <c r="M1309" s="109" t="n"/>
      <c r="N1309" s="109" t="n"/>
      <c r="O1309" s="110" t="inlineStr">
        <is>
          <t>Cầu KM19+529.080</t>
        </is>
      </c>
      <c r="P1309" s="401" t="n"/>
      <c r="Q1309" s="401" t="n"/>
      <c r="R1309" s="401" t="n"/>
      <c r="S1309" s="401">
        <f>S1308</f>
        <v/>
      </c>
      <c r="T1309" s="401" t="n"/>
      <c r="U1309" s="401" t="n"/>
      <c r="V1309" s="401" t="n"/>
      <c r="W1309" s="403" t="n"/>
      <c r="X1309" s="403" t="n"/>
      <c r="Y1309" s="403" t="n"/>
      <c r="Z1309" s="108" t="inlineStr">
        <is>
          <t>06</t>
        </is>
      </c>
      <c r="AA1309" s="113" t="n"/>
      <c r="AB1309" s="113" t="n"/>
      <c r="AC1309" s="113" t="inlineStr">
        <is>
          <t>307HG/BBNT/TM/M2/Đ1-5</t>
        </is>
      </c>
      <c r="AD1309" s="113" t="n"/>
      <c r="AE1309" s="113" t="n"/>
      <c r="AF1309" s="113" t="n"/>
      <c r="AG1309" s="113" t="n"/>
      <c r="AH1309" s="114" t="inlineStr">
        <is>
          <t>TM-M2-Đ1</t>
        </is>
      </c>
      <c r="AI1309" s="403" t="n"/>
      <c r="AJ1309" s="403" t="n"/>
      <c r="AK1309" s="404" t="n"/>
      <c r="AL1309" s="403" t="n"/>
      <c r="AM1309" s="403" t="n"/>
      <c r="AN1309" s="403" t="n"/>
      <c r="AO1309" s="403" t="n"/>
      <c r="AP1309" s="115" t="n"/>
      <c r="AQ1309" s="115" t="inlineStr">
        <is>
          <t>Ảnh\thân mố M2.png</t>
        </is>
      </c>
      <c r="AR1309" s="403" t="inlineStr">
        <is>
          <t>Nhóm 1</t>
        </is>
      </c>
      <c r="AS1309" s="403" t="n"/>
      <c r="AT1309" s="403" t="inlineStr">
        <is>
          <t>HM40</t>
        </is>
      </c>
      <c r="AU1309" s="403" t="inlineStr">
        <is>
          <t>PL07.02</t>
        </is>
      </c>
      <c r="AV1309" s="403" t="n">
        <v>7</v>
      </c>
      <c r="AW1309" s="403" t="n">
        <v>1</v>
      </c>
      <c r="AX1309" s="403" t="n"/>
    </row>
    <row r="1310" ht="28" customHeight="1" s="672">
      <c r="A1310" s="413" t="inlineStr">
        <is>
          <t>BBK680</t>
        </is>
      </c>
      <c r="B1310" s="413" t="inlineStr">
        <is>
          <t>PYC</t>
        </is>
      </c>
      <c r="C1310" s="413" t="inlineStr">
        <is>
          <t>BBK680.0276250</t>
        </is>
      </c>
      <c r="D1310" s="414" t="n"/>
      <c r="E1310" s="414" t="n"/>
      <c r="F1310" s="414" t="n"/>
      <c r="G1310" s="414" t="n"/>
      <c r="H1310" s="414" t="n"/>
      <c r="J1310" s="168" t="inlineStr">
        <is>
          <t>19</t>
        </is>
      </c>
      <c r="K1310" s="168" t="inlineStr">
        <is>
          <t>PYC</t>
        </is>
      </c>
      <c r="L1310" s="169" t="inlineStr">
        <is>
          <t>phiếu yêu cầu</t>
        </is>
      </c>
      <c r="M1310" s="169" t="n"/>
      <c r="N1310" s="169" t="n"/>
      <c r="O1310" s="170" t="inlineStr">
        <is>
          <t>Cầu KM19+529.080</t>
        </is>
      </c>
      <c r="P1310" s="405" t="n"/>
      <c r="Q1310" s="405" t="n"/>
      <c r="R1310" s="405">
        <f>S1310-1</f>
        <v/>
      </c>
      <c r="S1310" s="405">
        <f>S1306+7</f>
        <v/>
      </c>
      <c r="T1310" s="428" t="n">
        <v>0.3333333333333333</v>
      </c>
      <c r="U1310" s="428">
        <f>+T1310+V1310</f>
        <v/>
      </c>
      <c r="V1310" s="428" t="n">
        <v>0.02083333333333333</v>
      </c>
      <c r="W1310" s="406" t="n"/>
      <c r="X1310" s="406" t="n"/>
      <c r="Y1310" s="406" t="n"/>
      <c r="Z1310" s="406" t="n"/>
      <c r="AA1310" s="173" t="inlineStr">
        <is>
          <t>Theo dõi nén mẫu R7 bê tông thân mố M2 (đợt 1)</t>
        </is>
      </c>
      <c r="AB1310" s="173" t="inlineStr">
        <is>
          <t>307HG/YCNT/TM/M2/Đ1-R7</t>
        </is>
      </c>
      <c r="AC1310" s="173" t="n"/>
      <c r="AD1310" s="173" t="n"/>
      <c r="AE1310" s="173" t="n"/>
      <c r="AF1310" s="173" t="n"/>
      <c r="AG1310" s="173" t="inlineStr">
        <is>
          <t>PYC</t>
        </is>
      </c>
      <c r="AH1310" s="173" t="n">
        <v>4</v>
      </c>
      <c r="AI1310" s="406" t="n"/>
      <c r="AJ1310" s="406" t="n"/>
      <c r="AK1310" s="408" t="n"/>
      <c r="AL1310" s="406" t="n"/>
      <c r="AM1310" s="406" t="n"/>
      <c r="AN1310" s="406" t="n"/>
      <c r="AO1310" s="406" t="n"/>
      <c r="AP1310" s="174" t="n"/>
      <c r="AQ1310" s="174" t="n"/>
      <c r="AR1310" s="406" t="inlineStr">
        <is>
          <t>Nhóm 1</t>
        </is>
      </c>
      <c r="AS1310" s="406" t="n"/>
      <c r="AT1310" s="406" t="inlineStr">
        <is>
          <t>HM40</t>
        </is>
      </c>
      <c r="AU1310" s="406" t="inlineStr">
        <is>
          <t>PYC</t>
        </is>
      </c>
      <c r="AV1310" s="406" t="n">
        <v>99</v>
      </c>
      <c r="AW1310" s="406" t="n">
        <v>4</v>
      </c>
      <c r="AX1310" s="406" t="n"/>
    </row>
    <row r="1311" ht="28" customHeight="1" s="672">
      <c r="A1311" s="413" t="inlineStr">
        <is>
          <t>BBK680</t>
        </is>
      </c>
      <c r="B1311" s="413" t="inlineStr">
        <is>
          <t>PYC</t>
        </is>
      </c>
      <c r="C1311" s="413" t="inlineStr">
        <is>
          <t>BBK680.0870448</t>
        </is>
      </c>
      <c r="D1311" s="414" t="n"/>
      <c r="E1311" s="414" t="n"/>
      <c r="F1311" s="414" t="n"/>
      <c r="G1311" s="414" t="n"/>
      <c r="H1311" s="414" t="n"/>
      <c r="J1311" s="124" t="inlineStr">
        <is>
          <t>20</t>
        </is>
      </c>
      <c r="K1311" s="124" t="inlineStr">
        <is>
          <t>PYC</t>
        </is>
      </c>
      <c r="L1311" s="125" t="inlineStr">
        <is>
          <t>phiếu yêu cầu</t>
        </is>
      </c>
      <c r="M1311" s="125" t="n"/>
      <c r="N1311" s="125" t="n"/>
      <c r="O1311" s="126" t="inlineStr">
        <is>
          <t>Cầu KM19+529.080</t>
        </is>
      </c>
      <c r="P1311" s="423" t="n"/>
      <c r="Q1311" s="423" t="n"/>
      <c r="R1311" s="423">
        <f>S1311-1</f>
        <v/>
      </c>
      <c r="S1311" s="423">
        <f>S1306+28</f>
        <v/>
      </c>
      <c r="T1311" s="424" t="n">
        <v>0.3541666666666667</v>
      </c>
      <c r="U1311" s="424">
        <f>+T1311+V1311</f>
        <v/>
      </c>
      <c r="V1311" s="424" t="n">
        <v>0.02083333333333333</v>
      </c>
      <c r="W1311" s="425" t="n"/>
      <c r="X1311" s="425" t="n"/>
      <c r="Y1311" s="425" t="n"/>
      <c r="Z1311" s="425" t="n"/>
      <c r="AA1311" s="129" t="inlineStr">
        <is>
          <t>Theo dõi nén mẫu R28 bê tông thân mố M2 (đợt 1)</t>
        </is>
      </c>
      <c r="AB1311" s="129" t="inlineStr">
        <is>
          <t>307HG/YCNT/TM/M2/Đ1-R28</t>
        </is>
      </c>
      <c r="AC1311" s="129" t="n"/>
      <c r="AD1311" s="129" t="n"/>
      <c r="AE1311" s="129" t="n"/>
      <c r="AF1311" s="129" t="n"/>
      <c r="AG1311" s="129" t="inlineStr">
        <is>
          <t>PYC</t>
        </is>
      </c>
      <c r="AH1311" s="129" t="n">
        <v>5</v>
      </c>
      <c r="AI1311" s="425" t="n"/>
      <c r="AJ1311" s="425" t="n"/>
      <c r="AK1311" s="427" t="n"/>
      <c r="AL1311" s="425" t="n"/>
      <c r="AM1311" s="425" t="n"/>
      <c r="AN1311" s="425" t="n"/>
      <c r="AO1311" s="425" t="n"/>
      <c r="AP1311" s="130" t="n"/>
      <c r="AQ1311" s="130" t="n"/>
      <c r="AR1311" s="425" t="inlineStr">
        <is>
          <t>Nhóm 1</t>
        </is>
      </c>
      <c r="AS1311" s="425" t="n"/>
      <c r="AT1311" s="425" t="inlineStr">
        <is>
          <t>HM40</t>
        </is>
      </c>
      <c r="AU1311" s="425" t="inlineStr">
        <is>
          <t>PYC</t>
        </is>
      </c>
      <c r="AV1311" s="425" t="n">
        <v>133</v>
      </c>
      <c r="AW1311" s="425" t="n">
        <v>5</v>
      </c>
      <c r="AX1311" s="425" t="n"/>
    </row>
    <row r="1312">
      <c r="A1312" s="56" t="inlineStr">
        <is>
          <t>HM</t>
        </is>
      </c>
      <c r="B1312" s="56" t="inlineStr">
        <is>
          <t>HM</t>
        </is>
      </c>
      <c r="C1312" s="56" t="inlineStr">
        <is>
          <t>HM.0733544</t>
        </is>
      </c>
      <c r="D1312" s="57" t="n"/>
      <c r="E1312" s="57" t="n"/>
      <c r="F1312" s="57" t="n"/>
      <c r="G1312" s="57" t="n"/>
      <c r="H1312" s="57" t="n"/>
      <c r="J1312" s="387" t="inlineStr">
        <is>
          <t>HM41</t>
        </is>
      </c>
      <c r="K1312" s="387" t="inlineStr">
        <is>
          <t>HM</t>
        </is>
      </c>
      <c r="L1312" s="388" t="inlineStr">
        <is>
          <t>Thân mố M2 đợt 2</t>
        </is>
      </c>
      <c r="M1312" s="388" t="n"/>
      <c r="N1312" s="388" t="n"/>
      <c r="O1312" s="389" t="n"/>
      <c r="P1312" s="390" t="n"/>
      <c r="Q1312" s="390" t="n"/>
      <c r="R1312" s="390" t="n"/>
      <c r="S1312" s="390" t="n"/>
      <c r="T1312" s="390" t="n"/>
      <c r="U1312" s="390" t="n"/>
      <c r="V1312" s="390" t="n"/>
      <c r="W1312" s="391" t="n"/>
      <c r="X1312" s="391" t="n"/>
      <c r="Y1312" s="391" t="n"/>
      <c r="Z1312" s="391" t="n"/>
      <c r="AA1312" s="392" t="n"/>
      <c r="AB1312" s="392" t="n"/>
      <c r="AC1312" s="392" t="n"/>
      <c r="AD1312" s="392" t="n"/>
      <c r="AE1312" s="392" t="n"/>
      <c r="AF1312" s="392" t="n"/>
      <c r="AG1312" s="392" t="n"/>
      <c r="AH1312" s="392" t="n"/>
      <c r="AI1312" s="391" t="n"/>
      <c r="AJ1312" s="391" t="n"/>
      <c r="AK1312" s="393" t="n"/>
      <c r="AL1312" s="391" t="n"/>
      <c r="AM1312" s="391" t="n"/>
      <c r="AN1312" s="391" t="n"/>
      <c r="AO1312" s="391" t="n"/>
      <c r="AP1312" s="394" t="n"/>
      <c r="AQ1312" s="394" t="n"/>
      <c r="AR1312" s="391" t="n"/>
      <c r="AS1312" s="391" t="n"/>
      <c r="AT1312" s="391" t="inlineStr">
        <is>
          <t>HM41</t>
        </is>
      </c>
      <c r="AU1312" s="391" t="inlineStr">
        <is>
          <t>HM</t>
        </is>
      </c>
      <c r="AV1312" s="391" t="n"/>
      <c r="AW1312" s="391" t="n"/>
      <c r="AX1312" s="391" t="n"/>
    </row>
    <row r="1313" ht="28" customFormat="1" customHeight="1" s="70">
      <c r="A1313" s="68" t="inlineStr">
        <is>
          <t>BBK_BIA</t>
        </is>
      </c>
      <c r="B1313" s="68" t="inlineStr">
        <is>
          <t>TRANGBIA</t>
        </is>
      </c>
      <c r="C1313" s="68" t="inlineStr">
        <is>
          <t>BBK_BIA.0394684</t>
        </is>
      </c>
      <c r="D1313" s="69" t="n"/>
      <c r="E1313" s="69" t="n"/>
      <c r="F1313" s="69" t="n"/>
      <c r="G1313" s="69" t="n"/>
      <c r="H1313" s="69" t="n"/>
      <c r="J1313" s="327" t="inlineStr">
        <is>
          <t>01</t>
        </is>
      </c>
      <c r="K1313" s="327" t="inlineStr">
        <is>
          <t>TRANGBIA</t>
        </is>
      </c>
      <c r="L1313" s="328">
        <f>L1312</f>
        <v/>
      </c>
      <c r="M1313" s="328" t="n"/>
      <c r="N1313" s="328" t="n"/>
      <c r="O1313" s="329" t="inlineStr">
        <is>
          <t>Cầu KM19+529.080</t>
        </is>
      </c>
      <c r="P1313" s="330" t="n"/>
      <c r="Q1313" s="330" t="n"/>
      <c r="R1313" s="330" t="n"/>
      <c r="S1313" s="330" t="n"/>
      <c r="T1313" s="330" t="n"/>
      <c r="U1313" s="330" t="n"/>
      <c r="V1313" s="330" t="n"/>
      <c r="W1313" s="331" t="n"/>
      <c r="X1313" s="331" t="n"/>
      <c r="Y1313" s="331" t="n"/>
      <c r="Z1313" s="331" t="n"/>
      <c r="AA1313" s="331" t="n"/>
      <c r="AB1313" s="331" t="n"/>
      <c r="AC1313" s="331" t="inlineStr"/>
      <c r="AD1313" s="331" t="n"/>
      <c r="AE1313" s="331" t="n"/>
      <c r="AF1313" s="331" t="n"/>
      <c r="AG1313" s="331" t="n"/>
      <c r="AH1313" s="331" t="n"/>
      <c r="AI1313" s="331" t="n"/>
      <c r="AJ1313" s="331" t="n"/>
      <c r="AK1313" s="329" t="n"/>
      <c r="AL1313" s="331" t="n"/>
      <c r="AM1313" s="331" t="n"/>
      <c r="AN1313" s="331" t="n"/>
      <c r="AO1313" s="331" t="n"/>
      <c r="AP1313" s="332">
        <f>L1313</f>
        <v/>
      </c>
      <c r="AQ1313" s="333" t="n"/>
      <c r="AR1313" s="331" t="inlineStr">
        <is>
          <t>Nhóm 1</t>
        </is>
      </c>
      <c r="AS1313" s="331" t="n"/>
      <c r="AT1313" s="331" t="inlineStr">
        <is>
          <t>HM41</t>
        </is>
      </c>
      <c r="AU1313" s="331" t="inlineStr">
        <is>
          <t>TRANGBIA</t>
        </is>
      </c>
      <c r="AV1313" s="331" t="n">
        <v>41</v>
      </c>
      <c r="AW1313" s="331" t="n">
        <v>1</v>
      </c>
      <c r="AX1313" s="331" t="n"/>
    </row>
    <row r="1314" customFormat="1" s="70">
      <c r="A1314" s="68" t="inlineStr">
        <is>
          <t>BBK_ML</t>
        </is>
      </c>
      <c r="B1314" s="68" t="inlineStr">
        <is>
          <t>MUCLUC</t>
        </is>
      </c>
      <c r="C1314" s="68" t="inlineStr">
        <is>
          <t>BBK_ML.0097482</t>
        </is>
      </c>
      <c r="D1314" s="69" t="n"/>
      <c r="E1314" s="69" t="n"/>
      <c r="F1314" s="69" t="n"/>
      <c r="G1314" s="69" t="n"/>
      <c r="H1314" s="69" t="n"/>
      <c r="J1314" s="395" t="inlineStr">
        <is>
          <t>02</t>
        </is>
      </c>
      <c r="K1314" s="395" t="inlineStr">
        <is>
          <t>MUCLUC</t>
        </is>
      </c>
      <c r="L1314" s="396" t="inlineStr">
        <is>
          <t>Danh mục biên bản Kiểm tra/Nghiệm thu</t>
        </is>
      </c>
      <c r="M1314" s="396" t="n"/>
      <c r="N1314" s="396" t="n"/>
      <c r="O1314" s="397" t="inlineStr">
        <is>
          <t>Cầu KM19+529.080</t>
        </is>
      </c>
      <c r="P1314" s="398" t="n"/>
      <c r="Q1314" s="398" t="n"/>
      <c r="R1314" s="398" t="n"/>
      <c r="S1314" s="398" t="n"/>
      <c r="T1314" s="398" t="n"/>
      <c r="U1314" s="398" t="n"/>
      <c r="V1314" s="398" t="n"/>
      <c r="W1314" s="399" t="n"/>
      <c r="X1314" s="399" t="n"/>
      <c r="Y1314" s="399" t="n"/>
      <c r="Z1314" s="399" t="n"/>
      <c r="AA1314" s="399" t="n"/>
      <c r="AB1314" s="399" t="n"/>
      <c r="AC1314" s="399" t="inlineStr"/>
      <c r="AD1314" s="399" t="n"/>
      <c r="AE1314" s="399" t="n"/>
      <c r="AF1314" s="399" t="n"/>
      <c r="AG1314" s="399" t="n"/>
      <c r="AH1314" s="399" t="n"/>
      <c r="AI1314" s="399" t="n"/>
      <c r="AJ1314" s="399" t="n"/>
      <c r="AK1314" s="397" t="n"/>
      <c r="AL1314" s="399" t="n"/>
      <c r="AM1314" s="399" t="n"/>
      <c r="AN1314" s="399" t="n"/>
      <c r="AO1314" s="399" t="n"/>
      <c r="AP1314" s="400" t="n"/>
      <c r="AQ1314" s="400" t="n"/>
      <c r="AR1314" s="399" t="inlineStr">
        <is>
          <t>Nhóm 1</t>
        </is>
      </c>
      <c r="AS1314" s="399" t="n"/>
      <c r="AT1314" s="399" t="inlineStr">
        <is>
          <t>HM41</t>
        </is>
      </c>
      <c r="AU1314" s="399" t="inlineStr">
        <is>
          <t>MUCLUC</t>
        </is>
      </c>
      <c r="AV1314" s="399" t="n">
        <v>41</v>
      </c>
      <c r="AW1314" s="399" t="n">
        <v>1</v>
      </c>
      <c r="AX1314" s="399" t="n"/>
    </row>
    <row r="1315">
      <c r="A1315" s="56" t="inlineStr">
        <is>
          <t>BBK680</t>
        </is>
      </c>
      <c r="B1315" s="56" t="inlineStr">
        <is>
          <t>PYC</t>
        </is>
      </c>
      <c r="C1315" s="56" t="inlineStr">
        <is>
          <t>BBK680.0617934</t>
        </is>
      </c>
      <c r="D1315" s="57" t="n"/>
      <c r="E1315" s="57" t="n"/>
      <c r="F1315" s="57" t="n"/>
      <c r="G1315" s="57" t="n"/>
      <c r="H1315" s="57" t="n"/>
      <c r="J1315" s="108" t="inlineStr">
        <is>
          <t>03</t>
        </is>
      </c>
      <c r="K1315" s="108" t="inlineStr">
        <is>
          <t>PYC</t>
        </is>
      </c>
      <c r="L1315" s="109" t="inlineStr">
        <is>
          <t>phiếu yêu cầu</t>
        </is>
      </c>
      <c r="M1315" s="109" t="n"/>
      <c r="N1315" s="109" t="n"/>
      <c r="O1315" s="110" t="inlineStr">
        <is>
          <t>Cầu KM19+529.080</t>
        </is>
      </c>
      <c r="P1315" s="401" t="n"/>
      <c r="Q1315" s="401" t="n"/>
      <c r="R1315" s="401">
        <f>R1316</f>
        <v/>
      </c>
      <c r="S1315" s="401">
        <f>+R1315+1</f>
        <v/>
      </c>
      <c r="T1315" s="402">
        <f>T1316</f>
        <v/>
      </c>
      <c r="U1315" s="402">
        <f>U1316</f>
        <v/>
      </c>
      <c r="V1315" s="402">
        <f>V1316</f>
        <v/>
      </c>
      <c r="W1315" s="402">
        <f>W1316</f>
        <v/>
      </c>
      <c r="X1315" s="403" t="n"/>
      <c r="Y1315" s="403" t="n"/>
      <c r="Z1315" s="403" t="n"/>
      <c r="AA1315" s="113" t="n"/>
      <c r="AB1315" s="113" t="inlineStr">
        <is>
          <t>307HG/YCNT/TM/M2/Đ2</t>
        </is>
      </c>
      <c r="AC1315" s="113" t="n"/>
      <c r="AD1315" s="113" t="n"/>
      <c r="AE1315" s="113" t="n"/>
      <c r="AF1315" s="113" t="n"/>
      <c r="AG1315" s="113" t="inlineStr">
        <is>
          <t>BBKTĐK;NTCV</t>
        </is>
      </c>
      <c r="AH1315" s="113" t="n">
        <v>1</v>
      </c>
      <c r="AI1315" s="403" t="n"/>
      <c r="AJ1315" s="403" t="n"/>
      <c r="AK1315" s="404" t="n"/>
      <c r="AL1315" s="403" t="n"/>
      <c r="AM1315" s="403" t="n"/>
      <c r="AN1315" s="403" t="n"/>
      <c r="AO1315" s="403" t="n"/>
      <c r="AP1315" s="115" t="n"/>
      <c r="AQ1315" s="115" t="n"/>
      <c r="AR1315" s="403" t="inlineStr">
        <is>
          <t>Nhóm 1</t>
        </is>
      </c>
      <c r="AS1315" s="403" t="n"/>
      <c r="AT1315" s="403" t="inlineStr">
        <is>
          <t>HM41</t>
        </is>
      </c>
      <c r="AU1315" s="403" t="inlineStr">
        <is>
          <t>PYC</t>
        </is>
      </c>
      <c r="AV1315" s="403" t="n">
        <v>92</v>
      </c>
      <c r="AW1315" s="403" t="n">
        <v>1</v>
      </c>
      <c r="AX1315" s="403" t="n"/>
    </row>
    <row r="1316" ht="28" customHeight="1" s="672">
      <c r="A1316" s="56" t="inlineStr">
        <is>
          <t>BBK884</t>
        </is>
      </c>
      <c r="B1316" s="56" t="inlineStr">
        <is>
          <t>BBKTĐK</t>
        </is>
      </c>
      <c r="C1316" s="56" t="inlineStr">
        <is>
          <t>BBK884.0107543</t>
        </is>
      </c>
      <c r="D1316" s="57" t="n"/>
      <c r="E1316" s="57" t="n"/>
      <c r="F1316" s="57" t="n"/>
      <c r="G1316" s="57" t="n"/>
      <c r="H1316" s="57" t="n"/>
      <c r="J1316" s="139" t="inlineStr">
        <is>
          <t>04</t>
        </is>
      </c>
      <c r="K1316" s="139" t="inlineStr">
        <is>
          <t>BBKTĐK</t>
        </is>
      </c>
      <c r="L1316" s="140" t="inlineStr">
        <is>
          <t>Kiểm tra điều kiện trước khi thi công thân mố M2 (đợt 2)</t>
        </is>
      </c>
      <c r="M1316" s="140" t="n"/>
      <c r="N1316" s="140" t="n"/>
      <c r="O1316" s="141" t="inlineStr">
        <is>
          <t>Cầu KM19+529.080</t>
        </is>
      </c>
      <c r="P1316" s="382">
        <f>+S1309+1</f>
        <v/>
      </c>
      <c r="Q1316" s="382">
        <f>P1316</f>
        <v/>
      </c>
      <c r="R1316" s="382">
        <f>Q1316-1</f>
        <v/>
      </c>
      <c r="S1316" s="382">
        <f>Q1316</f>
        <v/>
      </c>
      <c r="T1316" s="383" t="n">
        <v>0.3541666666666667</v>
      </c>
      <c r="U1316" s="383">
        <f>T1316+V1316</f>
        <v/>
      </c>
      <c r="V1316" s="383" t="n">
        <v>0.0625</v>
      </c>
      <c r="W1316" s="384">
        <f>TEXT(T1316,"HH""h""MM'")&amp;"÷"&amp;TEXT(U1316,"HH""h""MM'")</f>
        <v/>
      </c>
      <c r="X1316" s="384" t="n"/>
      <c r="Y1316" s="384" t="n"/>
      <c r="Z1316" s="384" t="inlineStr">
        <is>
          <t>01;</t>
        </is>
      </c>
      <c r="AA1316" s="144" t="inlineStr">
        <is>
          <t>Kiểm tra điều kiện trước khi thi công thân mố M2 (đợt 2)</t>
        </is>
      </c>
      <c r="AB1316" s="144" t="inlineStr">
        <is>
          <t>307HG/YCNT/TM/M2/Đ2-1</t>
        </is>
      </c>
      <c r="AC1316" s="144" t="inlineStr">
        <is>
          <t>307HG/BBNT/TM/M2/Đ2-1</t>
        </is>
      </c>
      <c r="AD1316" s="144" t="n"/>
      <c r="AE1316" s="144" t="n"/>
      <c r="AF1316" s="144" t="n"/>
      <c r="AG1316" s="144" t="n"/>
      <c r="AH1316" s="144" t="n"/>
      <c r="AI1316" s="384" t="n"/>
      <c r="AJ1316" s="384" t="n"/>
      <c r="AK1316" s="386" t="n"/>
      <c r="AL1316" s="384" t="n"/>
      <c r="AM1316" s="384" t="n"/>
      <c r="AN1316" s="384" t="n"/>
      <c r="AO1316" s="384" t="n"/>
      <c r="AP1316" s="146" t="n"/>
      <c r="AQ1316" s="146" t="n"/>
      <c r="AR1316" s="384" t="inlineStr">
        <is>
          <t>Nhóm 1</t>
        </is>
      </c>
      <c r="AS1316" s="384" t="n"/>
      <c r="AT1316" s="384" t="inlineStr">
        <is>
          <t>HM41</t>
        </is>
      </c>
      <c r="AU1316" s="384" t="inlineStr">
        <is>
          <t>BBKTĐK</t>
        </is>
      </c>
      <c r="AV1316" s="384" t="n">
        <v>39</v>
      </c>
      <c r="AW1316" s="384" t="n">
        <v>1</v>
      </c>
      <c r="AX1316" s="384" t="n"/>
    </row>
    <row r="1317">
      <c r="A1317" s="56" t="inlineStr">
        <is>
          <t>BBK860</t>
        </is>
      </c>
      <c r="B1317" s="56" t="inlineStr">
        <is>
          <t>PL01</t>
        </is>
      </c>
      <c r="C1317" s="56" t="inlineStr">
        <is>
          <t>BBK860.0673322</t>
        </is>
      </c>
      <c r="D1317" s="57" t="n"/>
      <c r="E1317" s="57" t="n"/>
      <c r="F1317" s="57" t="n"/>
      <c r="G1317" s="57" t="n"/>
      <c r="H1317" s="57" t="n"/>
      <c r="J1317" s="168" t="inlineStr">
        <is>
          <t>05</t>
        </is>
      </c>
      <c r="K1317" s="168" t="inlineStr">
        <is>
          <t>PL01</t>
        </is>
      </c>
      <c r="L1317" s="169" t="inlineStr">
        <is>
          <t>Phụ lục số 01</t>
        </is>
      </c>
      <c r="M1317" s="169" t="n"/>
      <c r="N1317" s="169" t="n"/>
      <c r="O1317" s="170" t="inlineStr">
        <is>
          <t>Cầu KM19+529.080</t>
        </is>
      </c>
      <c r="P1317" s="405" t="n"/>
      <c r="Q1317" s="405" t="n"/>
      <c r="R1317" s="405" t="n"/>
      <c r="S1317" s="405">
        <f>S1316</f>
        <v/>
      </c>
      <c r="T1317" s="405" t="n"/>
      <c r="U1317" s="405" t="n"/>
      <c r="V1317" s="405" t="n"/>
      <c r="W1317" s="406" t="n"/>
      <c r="X1317" s="406" t="n"/>
      <c r="Y1317" s="406" t="n"/>
      <c r="Z1317" s="168" t="inlineStr">
        <is>
          <t>01</t>
        </is>
      </c>
      <c r="AA1317" s="173" t="n"/>
      <c r="AB1317" s="173" t="n"/>
      <c r="AC1317" s="173" t="inlineStr">
        <is>
          <t>307HG/BBNT/TM/M2/Đ2-1</t>
        </is>
      </c>
      <c r="AD1317" s="173" t="n"/>
      <c r="AE1317" s="173" t="n"/>
      <c r="AF1317" s="173" t="n"/>
      <c r="AG1317" s="173" t="n"/>
      <c r="AH1317" s="407" t="inlineStr">
        <is>
          <t>TM-M2</t>
        </is>
      </c>
      <c r="AI1317" s="406" t="n"/>
      <c r="AJ1317" s="406" t="n"/>
      <c r="AK1317" s="408" t="n"/>
      <c r="AL1317" s="406" t="n"/>
      <c r="AM1317" s="406" t="n"/>
      <c r="AN1317" s="406" t="n"/>
      <c r="AO1317" s="406" t="n"/>
      <c r="AP1317" s="174" t="n"/>
      <c r="AQ1317" s="174" t="n"/>
      <c r="AR1317" s="406" t="inlineStr">
        <is>
          <t>Nhóm 1</t>
        </is>
      </c>
      <c r="AS1317" s="406" t="n"/>
      <c r="AT1317" s="406" t="inlineStr">
        <is>
          <t>HM41</t>
        </is>
      </c>
      <c r="AU1317" s="406" t="inlineStr">
        <is>
          <t>PL01</t>
        </is>
      </c>
      <c r="AV1317" s="406" t="n">
        <v>43</v>
      </c>
      <c r="AW1317" s="406" t="n">
        <v>1</v>
      </c>
      <c r="AX1317" s="406" t="n"/>
    </row>
    <row r="1318" ht="28" customHeight="1" s="672">
      <c r="A1318" s="56" t="inlineStr">
        <is>
          <t>NTCV</t>
        </is>
      </c>
      <c r="B1318" s="56" t="inlineStr">
        <is>
          <t>K.9999</t>
        </is>
      </c>
      <c r="C1318" s="56" t="inlineStr">
        <is>
          <t>NTCV.0309663</t>
        </is>
      </c>
      <c r="D1318" s="57" t="n"/>
      <c r="E1318" s="57" t="n"/>
      <c r="F1318" s="57" t="n"/>
      <c r="G1318" s="57" t="n"/>
      <c r="H1318" s="57" t="n"/>
      <c r="J1318" s="147" t="inlineStr">
        <is>
          <t>06</t>
        </is>
      </c>
      <c r="K1318" s="147" t="inlineStr">
        <is>
          <t>K.9999</t>
        </is>
      </c>
      <c r="L1318" s="148" t="inlineStr">
        <is>
          <t>Lắp dựng ván khuôn, thanh xuyên táo thân mố M2 (đợt 2)</t>
        </is>
      </c>
      <c r="M1318" s="148" t="n"/>
      <c r="N1318" s="148" t="n"/>
      <c r="O1318" s="149" t="inlineStr">
        <is>
          <t>Cầu KM19+529.080</t>
        </is>
      </c>
      <c r="P1318" s="415">
        <f>S1316+1</f>
        <v/>
      </c>
      <c r="Q1318" s="415">
        <f>P1318</f>
        <v/>
      </c>
      <c r="R1318" s="415">
        <f>Q1318-2</f>
        <v/>
      </c>
      <c r="S1318" s="415">
        <f>Q1318</f>
        <v/>
      </c>
      <c r="T1318" s="416" t="n">
        <v>0.375</v>
      </c>
      <c r="U1318" s="416">
        <f>+T1318+V1318</f>
        <v/>
      </c>
      <c r="V1318" s="416" t="n">
        <v>0.02083333333333333</v>
      </c>
      <c r="W1318" s="417">
        <f>TEXT(T1318,"HH""h""MM'")&amp;"÷"&amp;TEXT(U1318,"HH""h""MM'")</f>
        <v/>
      </c>
      <c r="X1318" s="417" t="n"/>
      <c r="Y1318" s="417" t="n"/>
      <c r="Z1318" s="417" t="inlineStr">
        <is>
          <t>02;</t>
        </is>
      </c>
      <c r="AA1318" s="150" t="inlineStr">
        <is>
          <t>Lắp dựng ván khuôn, thanh xuyên táo thân mố M2 (đợt 2)</t>
        </is>
      </c>
      <c r="AB1318" s="150" t="inlineStr">
        <is>
          <t>307HG/YCNT/TM/M2/Đ2-1</t>
        </is>
      </c>
      <c r="AC1318" s="150" t="inlineStr">
        <is>
          <t>307HG/BBNT/TM/M2/Đ2-2</t>
        </is>
      </c>
      <c r="AD1318" s="150" t="n"/>
      <c r="AE1318" s="150" t="n"/>
      <c r="AF1318" s="150" t="n"/>
      <c r="AG1318" s="150" t="n"/>
      <c r="AH1318" s="150" t="n"/>
      <c r="AI1318" s="417" t="n"/>
      <c r="AJ1318" s="417" t="n"/>
      <c r="AK1318" s="418" t="n"/>
      <c r="AL1318" s="417" t="n"/>
      <c r="AM1318" s="417" t="n"/>
      <c r="AN1318" s="417" t="n"/>
      <c r="AO1318" s="417" t="n"/>
      <c r="AP1318" s="151" t="n"/>
      <c r="AQ1318" s="151" t="n"/>
      <c r="AR1318" s="417" t="inlineStr">
        <is>
          <t>Nhóm 1</t>
        </is>
      </c>
      <c r="AS1318" s="417" t="n"/>
      <c r="AT1318" s="417" t="inlineStr">
        <is>
          <t>HM41</t>
        </is>
      </c>
      <c r="AU1318" s="417" t="inlineStr">
        <is>
          <t>NTCV</t>
        </is>
      </c>
      <c r="AV1318" s="417" t="n">
        <v>441</v>
      </c>
      <c r="AW1318" s="417" t="n">
        <v>1</v>
      </c>
      <c r="AX1318" s="417" t="n"/>
    </row>
    <row r="1319">
      <c r="A1319" s="56" t="inlineStr">
        <is>
          <t>BBK288</t>
        </is>
      </c>
      <c r="B1319" s="56" t="inlineStr">
        <is>
          <t>PL11.1</t>
        </is>
      </c>
      <c r="C1319" s="56" t="inlineStr">
        <is>
          <t>BBK288.0087103</t>
        </is>
      </c>
      <c r="D1319" s="57" t="n"/>
      <c r="E1319" s="57" t="n"/>
      <c r="F1319" s="57" t="n"/>
      <c r="G1319" s="57" t="n"/>
      <c r="H1319" s="57" t="n"/>
      <c r="J1319" s="108" t="inlineStr">
        <is>
          <t>07</t>
        </is>
      </c>
      <c r="K1319" s="108" t="inlineStr">
        <is>
          <t>PL11.1</t>
        </is>
      </c>
      <c r="L1319" s="109" t="inlineStr">
        <is>
          <t>Phụ lục số 11</t>
        </is>
      </c>
      <c r="M1319" s="109" t="n"/>
      <c r="N1319" s="109" t="n"/>
      <c r="O1319" s="110" t="inlineStr">
        <is>
          <t>Cầu KM19+529.080</t>
        </is>
      </c>
      <c r="P1319" s="401" t="n"/>
      <c r="Q1319" s="401" t="n"/>
      <c r="R1319" s="401" t="n"/>
      <c r="S1319" s="401">
        <f>S1318</f>
        <v/>
      </c>
      <c r="T1319" s="401" t="n"/>
      <c r="U1319" s="401" t="n"/>
      <c r="V1319" s="401" t="n"/>
      <c r="W1319" s="403" t="n"/>
      <c r="X1319" s="403" t="n"/>
      <c r="Y1319" s="403" t="n"/>
      <c r="Z1319" s="108" t="inlineStr">
        <is>
          <t>02</t>
        </is>
      </c>
      <c r="AA1319" s="113" t="n"/>
      <c r="AB1319" s="113" t="n"/>
      <c r="AC1319" s="113" t="inlineStr">
        <is>
          <t>307HG/BBNT/TM/M2/Đ2-2</t>
        </is>
      </c>
      <c r="AD1319" s="113" t="n"/>
      <c r="AE1319" s="113" t="n"/>
      <c r="AF1319" s="113" t="n"/>
      <c r="AG1319" s="114" t="n"/>
      <c r="AH1319" s="114" t="inlineStr">
        <is>
          <t>TM-M2-Đ2</t>
        </is>
      </c>
      <c r="AI1319" s="403" t="n"/>
      <c r="AJ1319" s="403" t="n"/>
      <c r="AK1319" s="404" t="n"/>
      <c r="AL1319" s="403" t="n"/>
      <c r="AM1319" s="403" t="n"/>
      <c r="AN1319" s="403" t="n"/>
      <c r="AO1319" s="403" t="n"/>
      <c r="AP1319" s="115" t="n"/>
      <c r="AQ1319" s="115" t="inlineStr">
        <is>
          <t>Ảnh\thân mố M2.png</t>
        </is>
      </c>
      <c r="AR1319" s="403" t="inlineStr">
        <is>
          <t>Nhóm 1</t>
        </is>
      </c>
      <c r="AS1319" s="403" t="n"/>
      <c r="AT1319" s="403" t="inlineStr">
        <is>
          <t>HM41</t>
        </is>
      </c>
      <c r="AU1319" s="403" t="inlineStr">
        <is>
          <t>PL11.1</t>
        </is>
      </c>
      <c r="AV1319" s="403" t="n">
        <v>13</v>
      </c>
      <c r="AW1319" s="403" t="n">
        <v>1</v>
      </c>
      <c r="AX1319" s="403" t="n"/>
    </row>
    <row r="1320">
      <c r="A1320" s="56" t="inlineStr">
        <is>
          <t>BBK680</t>
        </is>
      </c>
      <c r="B1320" s="56" t="inlineStr">
        <is>
          <t>PYC</t>
        </is>
      </c>
      <c r="C1320" s="56" t="inlineStr">
        <is>
          <t>BBK680.0632897</t>
        </is>
      </c>
      <c r="D1320" s="57" t="n"/>
      <c r="E1320" s="57" t="n"/>
      <c r="F1320" s="57" t="n"/>
      <c r="G1320" s="57" t="n"/>
      <c r="H1320" s="57" t="n"/>
      <c r="J1320" s="168" t="inlineStr">
        <is>
          <t>08</t>
        </is>
      </c>
      <c r="K1320" s="168" t="inlineStr">
        <is>
          <t>PYC</t>
        </is>
      </c>
      <c r="L1320" s="169" t="inlineStr">
        <is>
          <t>phiếu yêu cầu</t>
        </is>
      </c>
      <c r="M1320" s="169" t="n"/>
      <c r="N1320" s="169" t="n"/>
      <c r="O1320" s="170" t="inlineStr">
        <is>
          <t>Cầu KM19+529.080</t>
        </is>
      </c>
      <c r="P1320" s="405" t="n"/>
      <c r="Q1320" s="405" t="n"/>
      <c r="R1320" s="401">
        <f>R1321</f>
        <v/>
      </c>
      <c r="S1320" s="405">
        <f>+R1320+1</f>
        <v/>
      </c>
      <c r="T1320" s="402">
        <f>T1321</f>
        <v/>
      </c>
      <c r="U1320" s="402">
        <f>U1321</f>
        <v/>
      </c>
      <c r="V1320" s="402">
        <f>V1321</f>
        <v/>
      </c>
      <c r="W1320" s="402">
        <f>W1321</f>
        <v/>
      </c>
      <c r="X1320" s="406" t="n"/>
      <c r="Y1320" s="406" t="n"/>
      <c r="Z1320" s="168" t="inlineStr">
        <is>
          <t>02</t>
        </is>
      </c>
      <c r="AA1320" s="173" t="n"/>
      <c r="AB1320" s="173" t="inlineStr">
        <is>
          <t>307HG/YCNT/TM/M2/Đ2</t>
        </is>
      </c>
      <c r="AC1320" s="173" t="n"/>
      <c r="AD1320" s="173" t="n"/>
      <c r="AE1320" s="173" t="n"/>
      <c r="AF1320" s="173" t="n"/>
      <c r="AG1320" s="129" t="inlineStr">
        <is>
          <t>NTCV</t>
        </is>
      </c>
      <c r="AH1320" s="173" t="inlineStr">
        <is>
          <t>&gt;=2;&lt;=4</t>
        </is>
      </c>
      <c r="AI1320" s="406" t="n"/>
      <c r="AJ1320" s="406" t="n"/>
      <c r="AK1320" s="408" t="n"/>
      <c r="AL1320" s="406" t="n"/>
      <c r="AM1320" s="406" t="n"/>
      <c r="AN1320" s="406" t="n"/>
      <c r="AO1320" s="406" t="n"/>
      <c r="AP1320" s="174" t="n"/>
      <c r="AQ1320" s="174" t="n"/>
      <c r="AR1320" s="406" t="inlineStr">
        <is>
          <t>Nhóm 1</t>
        </is>
      </c>
      <c r="AS1320" s="406" t="n"/>
      <c r="AT1320" s="406" t="inlineStr">
        <is>
          <t>HM41</t>
        </is>
      </c>
      <c r="AU1320" s="406" t="inlineStr">
        <is>
          <t>PYC</t>
        </is>
      </c>
      <c r="AV1320" s="406" t="n">
        <v>97</v>
      </c>
      <c r="AW1320" s="406" t="n">
        <v>2</v>
      </c>
      <c r="AX1320" s="406" t="n"/>
    </row>
    <row r="1321">
      <c r="A1321" s="413" t="inlineStr">
        <is>
          <t>NTCV</t>
        </is>
      </c>
      <c r="B1321" s="413" t="inlineStr">
        <is>
          <t>K.9999</t>
        </is>
      </c>
      <c r="C1321" s="413" t="inlineStr">
        <is>
          <t>NTCV.0548674</t>
        </is>
      </c>
      <c r="D1321" s="414" t="n"/>
      <c r="E1321" s="414" t="n"/>
      <c r="F1321" s="414" t="n"/>
      <c r="G1321" s="414" t="n"/>
      <c r="H1321" s="414" t="n"/>
      <c r="J1321" s="147" t="inlineStr">
        <is>
          <t>09</t>
        </is>
      </c>
      <c r="K1321" s="147" t="inlineStr">
        <is>
          <t>K.9999</t>
        </is>
      </c>
      <c r="L1321" s="148" t="inlineStr">
        <is>
          <t>Kiểm tra cốt thép thân mố M2 (đợt 2)</t>
        </is>
      </c>
      <c r="M1321" s="148" t="n"/>
      <c r="N1321" s="148" t="n"/>
      <c r="O1321" s="149" t="inlineStr">
        <is>
          <t>Cầu KM19+529.080</t>
        </is>
      </c>
      <c r="P1321" s="415">
        <f>+S1318+1</f>
        <v/>
      </c>
      <c r="Q1321" s="415">
        <f>+P1321</f>
        <v/>
      </c>
      <c r="R1321" s="415">
        <f>+Q1321-1</f>
        <v/>
      </c>
      <c r="S1321" s="415">
        <f>+Q1321</f>
        <v/>
      </c>
      <c r="T1321" s="416" t="n">
        <v>0.375</v>
      </c>
      <c r="U1321" s="416">
        <f>+T1321+V1321</f>
        <v/>
      </c>
      <c r="V1321" s="416" t="n">
        <v>0.04166666666666666</v>
      </c>
      <c r="W1321" s="411">
        <f>TEXT(T1321,"HH""h""MM'")&amp;"÷"&amp;TEXT(U1321,"HH""h""MM'")</f>
        <v/>
      </c>
      <c r="X1321" s="417" t="n"/>
      <c r="Y1321" s="417" t="n"/>
      <c r="Z1321" s="417" t="inlineStr">
        <is>
          <t>03;</t>
        </is>
      </c>
      <c r="AA1321" s="150" t="inlineStr">
        <is>
          <t>Kiểm tra cốt thép thân mố M2 (đợt 2)</t>
        </is>
      </c>
      <c r="AB1321" s="150" t="inlineStr">
        <is>
          <t>307HG/YCNT/TM/M2/Đ2-2</t>
        </is>
      </c>
      <c r="AC1321" s="150" t="inlineStr">
        <is>
          <t>307HG/BBNT/TM/M2/Đ2-3</t>
        </is>
      </c>
      <c r="AD1321" s="150" t="n"/>
      <c r="AE1321" s="150" t="n"/>
      <c r="AF1321" s="150" t="n"/>
      <c r="AG1321" s="150" t="n"/>
      <c r="AH1321" s="150" t="n"/>
      <c r="AI1321" s="417" t="n"/>
      <c r="AJ1321" s="417" t="n"/>
      <c r="AK1321" s="418" t="n"/>
      <c r="AL1321" s="417" t="n"/>
      <c r="AM1321" s="417" t="n"/>
      <c r="AN1321" s="417" t="n"/>
      <c r="AO1321" s="417" t="n"/>
      <c r="AP1321" s="151" t="n"/>
      <c r="AQ1321" s="151" t="n"/>
      <c r="AR1321" s="417" t="inlineStr">
        <is>
          <t>Nhóm 1</t>
        </is>
      </c>
      <c r="AS1321" s="417" t="n"/>
      <c r="AT1321" s="417" t="inlineStr">
        <is>
          <t>HM41</t>
        </is>
      </c>
      <c r="AU1321" s="417" t="inlineStr">
        <is>
          <t>NTCV</t>
        </is>
      </c>
      <c r="AV1321" s="417" t="n">
        <v>443</v>
      </c>
      <c r="AW1321" s="417" t="n">
        <v>2</v>
      </c>
      <c r="AX1321" s="417" t="n"/>
    </row>
    <row r="1322">
      <c r="A1322" s="413" t="inlineStr">
        <is>
          <t>BBK469</t>
        </is>
      </c>
      <c r="B1322" s="413" t="inlineStr">
        <is>
          <t>PL08.1</t>
        </is>
      </c>
      <c r="C1322" s="413" t="inlineStr">
        <is>
          <t>BBK469.0579359</t>
        </is>
      </c>
      <c r="D1322" s="414" t="n"/>
      <c r="E1322" s="414" t="n"/>
      <c r="F1322" s="414" t="n"/>
      <c r="G1322" s="414" t="n"/>
      <c r="H1322" s="414" t="n"/>
      <c r="J1322" s="108" t="inlineStr">
        <is>
          <t>10</t>
        </is>
      </c>
      <c r="K1322" s="108" t="inlineStr">
        <is>
          <t>PL08.1</t>
        </is>
      </c>
      <c r="L1322" s="109">
        <f>L1321</f>
        <v/>
      </c>
      <c r="M1322" s="109" t="n"/>
      <c r="N1322" s="109" t="n"/>
      <c r="O1322" s="110" t="inlineStr">
        <is>
          <t>Cầu KM19+529.080</t>
        </is>
      </c>
      <c r="P1322" s="401" t="n"/>
      <c r="Q1322" s="401" t="n"/>
      <c r="R1322" s="401" t="n"/>
      <c r="S1322" s="401">
        <f>S1321</f>
        <v/>
      </c>
      <c r="T1322" s="401" t="n"/>
      <c r="U1322" s="401" t="n"/>
      <c r="V1322" s="401" t="n"/>
      <c r="W1322" s="403" t="n"/>
      <c r="X1322" s="403" t="n"/>
      <c r="Y1322" s="403" t="n"/>
      <c r="Z1322" s="108" t="inlineStr">
        <is>
          <t>03</t>
        </is>
      </c>
      <c r="AA1322" s="113" t="n"/>
      <c r="AB1322" s="113" t="n"/>
      <c r="AC1322" s="113" t="inlineStr">
        <is>
          <t>307HG/BBNT/TM/M2/Đ2-3</t>
        </is>
      </c>
      <c r="AD1322" s="113" t="n"/>
      <c r="AE1322" s="113" t="n"/>
      <c r="AF1322" s="113" t="n"/>
      <c r="AG1322" s="113" t="n"/>
      <c r="AH1322" s="113" t="inlineStr">
        <is>
          <t>TM-M2-Đ2</t>
        </is>
      </c>
      <c r="AI1322" s="403" t="n"/>
      <c r="AJ1322" s="403" t="n"/>
      <c r="AK1322" s="404" t="n"/>
      <c r="AL1322" s="403" t="n"/>
      <c r="AM1322" s="403" t="n"/>
      <c r="AN1322" s="403" t="n"/>
      <c r="AO1322" s="403" t="n"/>
      <c r="AP1322" s="115" t="n"/>
      <c r="AQ1322" s="115" t="n"/>
      <c r="AR1322" s="403" t="inlineStr">
        <is>
          <t>Nhóm 1</t>
        </is>
      </c>
      <c r="AS1322" s="403" t="n"/>
      <c r="AT1322" s="403" t="inlineStr">
        <is>
          <t>HM41</t>
        </is>
      </c>
      <c r="AU1322" s="403" t="inlineStr">
        <is>
          <t>PL08.1</t>
        </is>
      </c>
      <c r="AV1322" s="403" t="n">
        <v>13</v>
      </c>
      <c r="AW1322" s="403" t="n">
        <v>1</v>
      </c>
      <c r="AX1322" s="403" t="n"/>
    </row>
    <row r="1323" ht="28" customHeight="1" s="672">
      <c r="A1323" s="413" t="inlineStr">
        <is>
          <t>NTCV</t>
        </is>
      </c>
      <c r="B1323" s="413" t="inlineStr">
        <is>
          <t>K.9999</t>
        </is>
      </c>
      <c r="C1323" s="413" t="inlineStr">
        <is>
          <t>NTCV.0840760</t>
        </is>
      </c>
      <c r="D1323" s="414" t="n"/>
      <c r="E1323" s="414" t="n"/>
      <c r="F1323" s="414" t="n"/>
      <c r="G1323" s="414" t="n"/>
      <c r="H1323" s="414" t="n"/>
      <c r="J1323" s="131" t="inlineStr">
        <is>
          <t>11</t>
        </is>
      </c>
      <c r="K1323" s="131" t="inlineStr">
        <is>
          <t>K.9999</t>
        </is>
      </c>
      <c r="L1323" s="132" t="inlineStr">
        <is>
          <t>Công tác chuẩn bị đổ bê tông thân mố M2 (đợt 2)</t>
        </is>
      </c>
      <c r="M1323" s="132" t="n"/>
      <c r="N1323" s="132" t="n"/>
      <c r="O1323" s="133" t="inlineStr">
        <is>
          <t>Cầu KM19+529.080</t>
        </is>
      </c>
      <c r="P1323" s="419">
        <f>S1321</f>
        <v/>
      </c>
      <c r="Q1323" s="419">
        <f>P1323+1</f>
        <v/>
      </c>
      <c r="R1323" s="415">
        <f>+Q1323-2</f>
        <v/>
      </c>
      <c r="S1323" s="415">
        <f>+Q1323</f>
        <v/>
      </c>
      <c r="T1323" s="420" t="n">
        <v>0.3333333333333333</v>
      </c>
      <c r="U1323" s="420">
        <f>+T1323+V1323</f>
        <v/>
      </c>
      <c r="V1323" s="420" t="n">
        <v>0.02083333333333333</v>
      </c>
      <c r="W1323" s="417">
        <f>TEXT(T1323,"HH""h""MM'")&amp;"÷"&amp;TEXT(U1323,"HH""h""MM'")</f>
        <v/>
      </c>
      <c r="X1323" s="421" t="n"/>
      <c r="Y1323" s="421" t="n"/>
      <c r="Z1323" s="421" t="inlineStr">
        <is>
          <t>04;</t>
        </is>
      </c>
      <c r="AA1323" s="136" t="inlineStr">
        <is>
          <t>Công tác chuẩn bị đổ bê tông thân mố M2 (đợt 2)</t>
        </is>
      </c>
      <c r="AB1323" s="150" t="inlineStr">
        <is>
          <t>307HG/YCNT/TM/M2/Đ2-2</t>
        </is>
      </c>
      <c r="AC1323" s="136" t="inlineStr">
        <is>
          <t>307HG/BBNT/TM/M2/Đ2-4</t>
        </is>
      </c>
      <c r="AD1323" s="136" t="n"/>
      <c r="AE1323" s="136" t="n"/>
      <c r="AF1323" s="136" t="n"/>
      <c r="AG1323" s="136" t="n"/>
      <c r="AH1323" s="136" t="n"/>
      <c r="AI1323" s="421" t="n"/>
      <c r="AJ1323" s="421" t="n"/>
      <c r="AK1323" s="422" t="n"/>
      <c r="AL1323" s="421" t="n"/>
      <c r="AM1323" s="421" t="n"/>
      <c r="AN1323" s="421" t="n"/>
      <c r="AO1323" s="421" t="n"/>
      <c r="AP1323" s="138" t="n"/>
      <c r="AQ1323" s="138" t="n"/>
      <c r="AR1323" s="421" t="inlineStr">
        <is>
          <t>Nhóm 1</t>
        </is>
      </c>
      <c r="AS1323" s="421" t="n"/>
      <c r="AT1323" s="421" t="inlineStr">
        <is>
          <t>HM41</t>
        </is>
      </c>
      <c r="AU1323" s="421" t="inlineStr">
        <is>
          <t>NTCV</t>
        </is>
      </c>
      <c r="AV1323" s="421" t="n">
        <v>444</v>
      </c>
      <c r="AW1323" s="421" t="n">
        <v>3</v>
      </c>
      <c r="AX1323" s="421" t="n"/>
    </row>
    <row r="1324">
      <c r="A1324" s="413" t="inlineStr">
        <is>
          <t>BBK209</t>
        </is>
      </c>
      <c r="B1324" s="413" t="inlineStr">
        <is>
          <t>PL09</t>
        </is>
      </c>
      <c r="C1324" s="413" t="inlineStr">
        <is>
          <t>BBK209.0933692</t>
        </is>
      </c>
      <c r="D1324" s="414" t="n"/>
      <c r="E1324" s="414" t="n"/>
      <c r="F1324" s="414" t="n"/>
      <c r="G1324" s="414" t="n"/>
      <c r="H1324" s="414" t="n"/>
      <c r="J1324" s="124" t="inlineStr">
        <is>
          <t>12</t>
        </is>
      </c>
      <c r="K1324" s="124" t="inlineStr">
        <is>
          <t>PL09</t>
        </is>
      </c>
      <c r="L1324" s="125">
        <f>+L1323</f>
        <v/>
      </c>
      <c r="M1324" s="125" t="n"/>
      <c r="N1324" s="125" t="n"/>
      <c r="O1324" s="126" t="inlineStr">
        <is>
          <t>Cầu KM19+529.080</t>
        </is>
      </c>
      <c r="P1324" s="423" t="n"/>
      <c r="Q1324" s="423" t="n"/>
      <c r="R1324" s="423">
        <f>+R1325</f>
        <v/>
      </c>
      <c r="S1324" s="423">
        <f>+S1323</f>
        <v/>
      </c>
      <c r="T1324" s="424" t="n"/>
      <c r="U1324" s="424" t="n"/>
      <c r="V1324" s="424" t="n"/>
      <c r="W1324" s="425" t="n"/>
      <c r="X1324" s="425" t="n"/>
      <c r="Y1324" s="425" t="n"/>
      <c r="Z1324" s="124" t="inlineStr">
        <is>
          <t>04</t>
        </is>
      </c>
      <c r="AA1324" s="129" t="n"/>
      <c r="AB1324" s="129" t="n"/>
      <c r="AC1324" s="129">
        <f>+AC1323</f>
        <v/>
      </c>
      <c r="AD1324" s="129" t="n"/>
      <c r="AE1324" s="129" t="n"/>
      <c r="AF1324" s="129" t="n"/>
      <c r="AG1324" s="129" t="n"/>
      <c r="AH1324" s="129" t="inlineStr">
        <is>
          <t>C30</t>
        </is>
      </c>
      <c r="AI1324" s="425" t="n"/>
      <c r="AJ1324" s="425" t="n"/>
      <c r="AK1324" s="427" t="n"/>
      <c r="AL1324" s="425" t="n"/>
      <c r="AM1324" s="425" t="n"/>
      <c r="AN1324" s="425" t="n"/>
      <c r="AO1324" s="425" t="n"/>
      <c r="AP1324" s="130" t="n"/>
      <c r="AQ1324" s="130" t="n"/>
      <c r="AR1324" s="425" t="inlineStr">
        <is>
          <t>Nhóm 1</t>
        </is>
      </c>
      <c r="AS1324" s="425" t="n"/>
      <c r="AT1324" s="425" t="inlineStr">
        <is>
          <t>HM41</t>
        </is>
      </c>
      <c r="AU1324" s="425" t="inlineStr">
        <is>
          <t>PL09</t>
        </is>
      </c>
      <c r="AV1324" s="425" t="n">
        <v>39</v>
      </c>
      <c r="AW1324" s="425" t="n">
        <v>1</v>
      </c>
      <c r="AX1324" s="425" t="n"/>
    </row>
    <row r="1325" ht="28" customHeight="1" s="672">
      <c r="A1325" s="413" t="inlineStr">
        <is>
          <t>NTCV</t>
        </is>
      </c>
      <c r="B1325" s="413" t="inlineStr">
        <is>
          <t>K.9999</t>
        </is>
      </c>
      <c r="C1325" s="413" t="inlineStr">
        <is>
          <t>NTCV.0210987</t>
        </is>
      </c>
      <c r="D1325" s="414" t="n"/>
      <c r="E1325" s="414" t="n"/>
      <c r="F1325" s="414" t="n"/>
      <c r="G1325" s="414" t="n"/>
      <c r="H1325" s="414" t="n"/>
      <c r="J1325" s="161" t="inlineStr">
        <is>
          <t>13</t>
        </is>
      </c>
      <c r="K1325" s="161" t="inlineStr">
        <is>
          <t>K.9999</t>
        </is>
      </c>
      <c r="L1325" s="162" t="inlineStr">
        <is>
          <t>Công tác đổ, lấy mẫu bê tông thân mố M2 (đợt 2)</t>
        </is>
      </c>
      <c r="M1325" s="162" t="n"/>
      <c r="N1325" s="162" t="n"/>
      <c r="O1325" s="163" t="inlineStr">
        <is>
          <t>Cầu KM19+529.080</t>
        </is>
      </c>
      <c r="P1325" s="409">
        <f>+S1323</f>
        <v/>
      </c>
      <c r="Q1325" s="409">
        <f>+P1325</f>
        <v/>
      </c>
      <c r="R1325" s="409">
        <f>+Q1325-1</f>
        <v/>
      </c>
      <c r="S1325" s="409">
        <f>+Q1325</f>
        <v/>
      </c>
      <c r="T1325" s="410" t="n">
        <v>0.375</v>
      </c>
      <c r="U1325" s="410">
        <f>+T1325+V1325</f>
        <v/>
      </c>
      <c r="V1325" s="410" t="n">
        <v>0.08333333333333333</v>
      </c>
      <c r="W1325" s="411">
        <f>TEXT(T1325,"HH""h""MM'")&amp;"÷"&amp;TEXT(U1325,"HH""h""MM'")</f>
        <v/>
      </c>
      <c r="X1325" s="411" t="n"/>
      <c r="Y1325" s="411" t="n"/>
      <c r="Z1325" s="161" t="inlineStr">
        <is>
          <t>05;</t>
        </is>
      </c>
      <c r="AA1325" s="166" t="inlineStr">
        <is>
          <t>Công tác đổ bê tông, lấy mẫu bê tông thân mố M2 (đợt 2)</t>
        </is>
      </c>
      <c r="AB1325" s="166" t="n"/>
      <c r="AC1325" s="166" t="inlineStr">
        <is>
          <t>307HG/BBNT/TM/M2/Đ2-5</t>
        </is>
      </c>
      <c r="AD1325" s="166" t="n"/>
      <c r="AE1325" s="166" t="n"/>
      <c r="AF1325" s="166" t="n"/>
      <c r="AG1325" s="166" t="n"/>
      <c r="AH1325" s="166" t="n"/>
      <c r="AI1325" s="411" t="n"/>
      <c r="AJ1325" s="411" t="n"/>
      <c r="AK1325" s="412" t="n"/>
      <c r="AL1325" s="411" t="n"/>
      <c r="AM1325" s="411" t="n"/>
      <c r="AN1325" s="411" t="n"/>
      <c r="AO1325" s="411" t="n"/>
      <c r="AP1325" s="167" t="n"/>
      <c r="AQ1325" s="167" t="n"/>
      <c r="AR1325" s="411" t="inlineStr">
        <is>
          <t>Nhóm 1</t>
        </is>
      </c>
      <c r="AS1325" s="411" t="n"/>
      <c r="AT1325" s="411" t="inlineStr">
        <is>
          <t>HM41</t>
        </is>
      </c>
      <c r="AU1325" s="411" t="inlineStr">
        <is>
          <t>NTCV</t>
        </is>
      </c>
      <c r="AV1325" s="411" t="n">
        <v>446</v>
      </c>
      <c r="AW1325" s="411" t="n">
        <v>4</v>
      </c>
      <c r="AX1325" s="411" t="n"/>
    </row>
    <row r="1326">
      <c r="A1326" s="413" t="inlineStr">
        <is>
          <t>BBK832</t>
        </is>
      </c>
      <c r="B1326" s="413" t="inlineStr">
        <is>
          <t>PL06.1</t>
        </is>
      </c>
      <c r="C1326" s="413" t="inlineStr">
        <is>
          <t>BBK832.0148329</t>
        </is>
      </c>
      <c r="D1326" s="414" t="n"/>
      <c r="E1326" s="414" t="n"/>
      <c r="F1326" s="414" t="n"/>
      <c r="G1326" s="414" t="n"/>
      <c r="H1326" s="414" t="n"/>
      <c r="J1326" s="168" t="inlineStr">
        <is>
          <t>14</t>
        </is>
      </c>
      <c r="K1326" s="168" t="inlineStr">
        <is>
          <t>PL06.1</t>
        </is>
      </c>
      <c r="L1326" s="169">
        <f>+L1325</f>
        <v/>
      </c>
      <c r="M1326" s="169" t="n"/>
      <c r="N1326" s="169" t="n"/>
      <c r="O1326" s="170" t="inlineStr">
        <is>
          <t>Cầu KM19+529.080</t>
        </is>
      </c>
      <c r="P1326" s="405" t="n"/>
      <c r="Q1326" s="405" t="n"/>
      <c r="R1326" s="405" t="n"/>
      <c r="S1326" s="405">
        <f>+S1325</f>
        <v/>
      </c>
      <c r="T1326" s="428">
        <f>+T1325</f>
        <v/>
      </c>
      <c r="U1326" s="428">
        <f>T1326+V1326</f>
        <v/>
      </c>
      <c r="V1326" s="428">
        <f>+V1325</f>
        <v/>
      </c>
      <c r="W1326" s="406" t="n"/>
      <c r="X1326" s="406" t="n"/>
      <c r="Y1326" s="406" t="n"/>
      <c r="Z1326" s="168" t="inlineStr">
        <is>
          <t>05</t>
        </is>
      </c>
      <c r="AA1326" s="173" t="n"/>
      <c r="AB1326" s="173" t="n"/>
      <c r="AC1326" s="173">
        <f>+AC1325</f>
        <v/>
      </c>
      <c r="AD1326" s="173" t="n"/>
      <c r="AE1326" s="173" t="n"/>
      <c r="AF1326" s="173" t="n"/>
      <c r="AG1326" s="173" t="n"/>
      <c r="AH1326" s="407" t="inlineStr">
        <is>
          <t>C30-TM-M2-Đ2</t>
        </is>
      </c>
      <c r="AI1326" s="406" t="n"/>
      <c r="AJ1326" s="406" t="n"/>
      <c r="AK1326" s="408" t="n"/>
      <c r="AL1326" s="406" t="n"/>
      <c r="AM1326" s="406" t="n"/>
      <c r="AN1326" s="406" t="n"/>
      <c r="AO1326" s="406" t="n"/>
      <c r="AP1326" s="174" t="n"/>
      <c r="AQ1326" s="174" t="n"/>
      <c r="AR1326" s="406" t="inlineStr">
        <is>
          <t>Nhóm 1</t>
        </is>
      </c>
      <c r="AS1326" s="406" t="n"/>
      <c r="AT1326" s="406" t="inlineStr">
        <is>
          <t>HM41</t>
        </is>
      </c>
      <c r="AU1326" s="406" t="inlineStr">
        <is>
          <t>PL06.1</t>
        </is>
      </c>
      <c r="AV1326" s="406" t="n">
        <v>14</v>
      </c>
      <c r="AW1326" s="406" t="n">
        <v>1</v>
      </c>
      <c r="AX1326" s="406" t="n"/>
    </row>
    <row r="1327">
      <c r="A1327" s="413" t="inlineStr">
        <is>
          <t>LMHT</t>
        </is>
      </c>
      <c r="B1327" s="413" t="inlineStr">
        <is>
          <t>LMHT</t>
        </is>
      </c>
      <c r="C1327" s="413" t="inlineStr">
        <is>
          <t>LMHT.0716126</t>
        </is>
      </c>
      <c r="D1327" s="414" t="inlineStr">
        <is>
          <t>TC.000041|TC.000182|TC.000169.A</t>
        </is>
      </c>
      <c r="E1327" s="414" t="n"/>
      <c r="F1327" s="414" t="inlineStr">
        <is>
          <t>CP.0001^Bê tông thân mố M2 (đợt 2)^Hình trụ 15x30 (cm)^18^C30 (30Mpa)^^^TC.000041|TC.000182|TC.000169.A</t>
        </is>
      </c>
      <c r="G1327" s="414" t="n"/>
      <c r="H1327" s="414" t="n"/>
      <c r="J1327" s="175" t="inlineStr">
        <is>
          <t>15</t>
        </is>
      </c>
      <c r="K1327" s="175" t="inlineStr">
        <is>
          <t>LMHT</t>
        </is>
      </c>
      <c r="L1327" s="176" t="inlineStr">
        <is>
          <t>Bê tông thân mố M2 (đợt 2)</t>
        </is>
      </c>
      <c r="M1327" s="176" t="n"/>
      <c r="N1327" s="176" t="n"/>
      <c r="O1327" s="177" t="inlineStr">
        <is>
          <t>Cầu KM19+529.080</t>
        </is>
      </c>
      <c r="P1327" s="299" t="n"/>
      <c r="Q1327" s="299" t="n"/>
      <c r="R1327" s="299" t="n"/>
      <c r="S1327" s="299">
        <f>S1323</f>
        <v/>
      </c>
      <c r="T1327" s="300">
        <f>T1326</f>
        <v/>
      </c>
      <c r="U1327" s="300">
        <f>U1326</f>
        <v/>
      </c>
      <c r="V1327" s="300">
        <f>V1326</f>
        <v/>
      </c>
      <c r="W1327" s="301" t="n"/>
      <c r="X1327" s="301" t="n"/>
      <c r="Y1327" s="301" t="n"/>
      <c r="Z1327" s="301" t="n"/>
      <c r="AA1327" s="180" t="n"/>
      <c r="AB1327" s="180" t="n"/>
      <c r="AC1327" s="180" t="n"/>
      <c r="AD1327" s="180" t="n"/>
      <c r="AE1327" s="180" t="n"/>
      <c r="AF1327" s="180" t="n"/>
      <c r="AG1327" s="180" t="n"/>
      <c r="AH1327" s="180" t="n"/>
      <c r="AI1327" s="301" t="n"/>
      <c r="AJ1327" s="301" t="n"/>
      <c r="AK1327" s="303" t="n"/>
      <c r="AL1327" s="301" t="n"/>
      <c r="AM1327" s="301" t="n"/>
      <c r="AN1327" s="301" t="n"/>
      <c r="AO1327" s="301" t="n"/>
      <c r="AP1327" s="181" t="n"/>
      <c r="AQ1327" s="181" t="n"/>
      <c r="AR1327" s="301" t="inlineStr">
        <is>
          <t>Nhóm 1</t>
        </is>
      </c>
      <c r="AS1327" s="301" t="n"/>
      <c r="AT1327" s="301" t="inlineStr">
        <is>
          <t>HM41</t>
        </is>
      </c>
      <c r="AU1327" s="301" t="inlineStr">
        <is>
          <t>LMHT</t>
        </is>
      </c>
      <c r="AV1327" s="301" t="n">
        <v>50</v>
      </c>
      <c r="AW1327" s="301" t="n">
        <v>1</v>
      </c>
      <c r="AX1327" s="301" t="n"/>
    </row>
    <row r="1328">
      <c r="A1328" s="413" t="inlineStr">
        <is>
          <t>BBK680</t>
        </is>
      </c>
      <c r="B1328" s="413" t="inlineStr">
        <is>
          <t>PYC</t>
        </is>
      </c>
      <c r="C1328" s="413" t="inlineStr">
        <is>
          <t>BBK680.0810770</t>
        </is>
      </c>
      <c r="D1328" s="414" t="n"/>
      <c r="E1328" s="414" t="n"/>
      <c r="F1328" s="414" t="n"/>
      <c r="G1328" s="414" t="n"/>
      <c r="H1328" s="414" t="n"/>
      <c r="J1328" s="168" t="inlineStr">
        <is>
          <t>16</t>
        </is>
      </c>
      <c r="K1328" s="168" t="inlineStr">
        <is>
          <t>PYC</t>
        </is>
      </c>
      <c r="L1328" s="169" t="inlineStr">
        <is>
          <t>phiếu yêu cầu</t>
        </is>
      </c>
      <c r="M1328" s="169" t="n"/>
      <c r="N1328" s="169" t="n"/>
      <c r="O1328" s="170" t="inlineStr">
        <is>
          <t>Cầu KM19+529.080</t>
        </is>
      </c>
      <c r="P1328" s="405" t="n"/>
      <c r="Q1328" s="405" t="n"/>
      <c r="R1328" s="401">
        <f>+R1329</f>
        <v/>
      </c>
      <c r="S1328" s="405">
        <f>R1328+1</f>
        <v/>
      </c>
      <c r="T1328" s="405" t="n"/>
      <c r="U1328" s="405" t="n"/>
      <c r="V1328" s="405" t="n"/>
      <c r="W1328" s="406" t="n"/>
      <c r="X1328" s="406" t="n"/>
      <c r="Y1328" s="406" t="n"/>
      <c r="Z1328" s="406" t="n"/>
      <c r="AA1328" s="173" t="n"/>
      <c r="AB1328" s="173" t="inlineStr">
        <is>
          <t>307HG/YCNT/TM/M2/Đ2</t>
        </is>
      </c>
      <c r="AC1328" s="173" t="n"/>
      <c r="AD1328" s="173" t="n"/>
      <c r="AE1328" s="173" t="n"/>
      <c r="AF1328" s="173" t="n"/>
      <c r="AG1328" s="129" t="inlineStr">
        <is>
          <t>NTCV</t>
        </is>
      </c>
      <c r="AH1328" s="173" t="n">
        <v>5</v>
      </c>
      <c r="AI1328" s="406" t="n"/>
      <c r="AJ1328" s="406" t="n"/>
      <c r="AK1328" s="408" t="n"/>
      <c r="AL1328" s="406" t="n"/>
      <c r="AM1328" s="406" t="n"/>
      <c r="AN1328" s="406" t="n"/>
      <c r="AO1328" s="406" t="n"/>
      <c r="AP1328" s="174" t="n"/>
      <c r="AQ1328" s="174" t="n"/>
      <c r="AR1328" s="406" t="inlineStr">
        <is>
          <t>Nhóm 1</t>
        </is>
      </c>
      <c r="AS1328" s="406" t="n"/>
      <c r="AT1328" s="406" t="inlineStr">
        <is>
          <t>HM41</t>
        </is>
      </c>
      <c r="AU1328" s="406" t="inlineStr">
        <is>
          <t>PYC</t>
        </is>
      </c>
      <c r="AV1328" s="406" t="n">
        <v>106</v>
      </c>
      <c r="AW1328" s="406" t="n">
        <v>3</v>
      </c>
      <c r="AX1328" s="406" t="n"/>
    </row>
    <row r="1329">
      <c r="A1329" s="413" t="inlineStr">
        <is>
          <t>NTCV</t>
        </is>
      </c>
      <c r="B1329" s="413" t="inlineStr">
        <is>
          <t>K.9999</t>
        </is>
      </c>
      <c r="C1329" s="413" t="inlineStr">
        <is>
          <t>NTCV.0320234</t>
        </is>
      </c>
      <c r="D1329" s="414" t="n"/>
      <c r="E1329" s="414" t="n"/>
      <c r="F1329" s="414" t="n"/>
      <c r="G1329" s="414" t="n"/>
      <c r="H1329" s="414" t="n"/>
      <c r="J1329" s="147" t="inlineStr">
        <is>
          <t>17</t>
        </is>
      </c>
      <c r="K1329" s="147" t="inlineStr">
        <is>
          <t>K.9999</t>
        </is>
      </c>
      <c r="L1329" s="148" t="inlineStr">
        <is>
          <t>Tháo ván khuôn thân mố M2 (đợt 2)</t>
        </is>
      </c>
      <c r="M1329" s="148" t="n"/>
      <c r="N1329" s="148" t="n"/>
      <c r="O1329" s="149" t="inlineStr">
        <is>
          <t>Cầu KM19+529.080</t>
        </is>
      </c>
      <c r="P1329" s="415">
        <f>S1327</f>
        <v/>
      </c>
      <c r="Q1329" s="415">
        <f>+P1329+3</f>
        <v/>
      </c>
      <c r="R1329" s="415">
        <f>Q1329-1</f>
        <v/>
      </c>
      <c r="S1329" s="415">
        <f>Q1329</f>
        <v/>
      </c>
      <c r="T1329" s="416" t="n">
        <v>0.3541666666666667</v>
      </c>
      <c r="U1329" s="416">
        <f>+T1329+V1329</f>
        <v/>
      </c>
      <c r="V1329" s="416" t="n">
        <v>0.01388888888888889</v>
      </c>
      <c r="W1329" s="411">
        <f>TEXT(T1329,"HH""h""MM'")&amp;"÷"&amp;TEXT(U1329,"HH""h""MM'")</f>
        <v/>
      </c>
      <c r="X1329" s="417" t="n"/>
      <c r="Y1329" s="417" t="n"/>
      <c r="Z1329" s="417" t="inlineStr">
        <is>
          <t>06;</t>
        </is>
      </c>
      <c r="AA1329" s="150" t="inlineStr">
        <is>
          <t>Kiểm tra ván khuôn Bệ mố M2</t>
        </is>
      </c>
      <c r="AB1329" s="150" t="inlineStr">
        <is>
          <t>307HG/YCNT/TM/M2/Đ2-3</t>
        </is>
      </c>
      <c r="AC1329" s="150" t="inlineStr">
        <is>
          <t>307HG/BBNT/TM/M2/Đ2-5</t>
        </is>
      </c>
      <c r="AD1329" s="150" t="n"/>
      <c r="AE1329" s="150" t="n"/>
      <c r="AF1329" s="150" t="n"/>
      <c r="AG1329" s="150" t="n"/>
      <c r="AH1329" s="150" t="n"/>
      <c r="AI1329" s="417" t="n"/>
      <c r="AJ1329" s="417" t="n"/>
      <c r="AK1329" s="418" t="n"/>
      <c r="AL1329" s="417" t="n"/>
      <c r="AM1329" s="417" t="n"/>
      <c r="AN1329" s="417" t="n"/>
      <c r="AO1329" s="417" t="n"/>
      <c r="AP1329" s="151" t="n"/>
      <c r="AQ1329" s="151" t="n"/>
      <c r="AR1329" s="417" t="inlineStr">
        <is>
          <t>Nhóm 1</t>
        </is>
      </c>
      <c r="AS1329" s="417" t="n"/>
      <c r="AT1329" s="417" t="inlineStr">
        <is>
          <t>HM41</t>
        </is>
      </c>
      <c r="AU1329" s="417" t="inlineStr">
        <is>
          <t>NTCV</t>
        </is>
      </c>
      <c r="AV1329" s="417" t="n">
        <v>449</v>
      </c>
      <c r="AW1329" s="417" t="n">
        <v>5</v>
      </c>
      <c r="AX1329" s="417" t="n"/>
    </row>
    <row r="1330">
      <c r="A1330" s="413" t="inlineStr">
        <is>
          <t>BBK587</t>
        </is>
      </c>
      <c r="B1330" s="413" t="inlineStr">
        <is>
          <t>PL07.02</t>
        </is>
      </c>
      <c r="C1330" s="413" t="inlineStr">
        <is>
          <t>BBK587.0849154</t>
        </is>
      </c>
      <c r="D1330" s="414" t="n"/>
      <c r="E1330" s="414" t="n"/>
      <c r="F1330" s="414" t="n"/>
      <c r="G1330" s="414" t="n"/>
      <c r="H1330" s="414" t="n"/>
      <c r="J1330" s="108" t="inlineStr">
        <is>
          <t>18</t>
        </is>
      </c>
      <c r="K1330" s="108" t="inlineStr">
        <is>
          <t>PL07.02</t>
        </is>
      </c>
      <c r="L1330" s="109">
        <f>+L1329</f>
        <v/>
      </c>
      <c r="M1330" s="109" t="n"/>
      <c r="N1330" s="109" t="n"/>
      <c r="O1330" s="110" t="inlineStr">
        <is>
          <t>Cầu KM19+529.080</t>
        </is>
      </c>
      <c r="P1330" s="401" t="n"/>
      <c r="Q1330" s="401" t="n"/>
      <c r="R1330" s="401" t="n"/>
      <c r="S1330" s="401">
        <f>S1329</f>
        <v/>
      </c>
      <c r="T1330" s="401" t="n"/>
      <c r="U1330" s="401" t="n"/>
      <c r="V1330" s="401" t="n"/>
      <c r="W1330" s="403" t="n"/>
      <c r="X1330" s="403" t="n"/>
      <c r="Y1330" s="403" t="n"/>
      <c r="Z1330" s="108" t="inlineStr">
        <is>
          <t>06</t>
        </is>
      </c>
      <c r="AA1330" s="113" t="n"/>
      <c r="AB1330" s="113" t="n"/>
      <c r="AC1330" s="113" t="inlineStr">
        <is>
          <t>307HG/BBNT/TM/M2/Đ2-5</t>
        </is>
      </c>
      <c r="AD1330" s="113" t="n"/>
      <c r="AE1330" s="113" t="n"/>
      <c r="AF1330" s="113" t="n"/>
      <c r="AG1330" s="113" t="n"/>
      <c r="AH1330" s="114" t="inlineStr">
        <is>
          <t>TM-M2-Đ2</t>
        </is>
      </c>
      <c r="AI1330" s="403" t="n"/>
      <c r="AJ1330" s="403" t="n"/>
      <c r="AK1330" s="404" t="n"/>
      <c r="AL1330" s="403" t="n"/>
      <c r="AM1330" s="403" t="n"/>
      <c r="AN1330" s="403" t="n"/>
      <c r="AO1330" s="403" t="n"/>
      <c r="AP1330" s="115" t="n"/>
      <c r="AQ1330" s="115" t="inlineStr">
        <is>
          <t>Ảnh\thân mố M2.png</t>
        </is>
      </c>
      <c r="AR1330" s="403" t="inlineStr">
        <is>
          <t>Nhóm 1</t>
        </is>
      </c>
      <c r="AS1330" s="403" t="n"/>
      <c r="AT1330" s="403" t="inlineStr">
        <is>
          <t>HM41</t>
        </is>
      </c>
      <c r="AU1330" s="403" t="inlineStr">
        <is>
          <t>PL07.02</t>
        </is>
      </c>
      <c r="AV1330" s="403" t="n">
        <v>10</v>
      </c>
      <c r="AW1330" s="403" t="n">
        <v>1</v>
      </c>
      <c r="AX1330" s="403" t="n"/>
    </row>
    <row r="1331" ht="28" customHeight="1" s="672">
      <c r="A1331" s="413" t="inlineStr">
        <is>
          <t>BBK680</t>
        </is>
      </c>
      <c r="B1331" s="413" t="inlineStr">
        <is>
          <t>PYC</t>
        </is>
      </c>
      <c r="C1331" s="413" t="inlineStr">
        <is>
          <t>BBK680.0777957</t>
        </is>
      </c>
      <c r="D1331" s="414" t="n"/>
      <c r="E1331" s="414" t="n"/>
      <c r="F1331" s="414" t="n"/>
      <c r="G1331" s="414" t="n"/>
      <c r="H1331" s="414" t="n"/>
      <c r="J1331" s="168" t="inlineStr">
        <is>
          <t>19</t>
        </is>
      </c>
      <c r="K1331" s="168" t="inlineStr">
        <is>
          <t>PYC</t>
        </is>
      </c>
      <c r="L1331" s="169" t="inlineStr">
        <is>
          <t>phiếu yêu cầu</t>
        </is>
      </c>
      <c r="M1331" s="169" t="n"/>
      <c r="N1331" s="169" t="n"/>
      <c r="O1331" s="170" t="inlineStr">
        <is>
          <t>Cầu KM19+529.080</t>
        </is>
      </c>
      <c r="P1331" s="405" t="n"/>
      <c r="Q1331" s="405" t="n"/>
      <c r="R1331" s="405">
        <f>S1331-1</f>
        <v/>
      </c>
      <c r="S1331" s="405">
        <f>S1327+7</f>
        <v/>
      </c>
      <c r="T1331" s="428" t="n">
        <v>0.3333333333333333</v>
      </c>
      <c r="U1331" s="428">
        <f>+T1331+V1331</f>
        <v/>
      </c>
      <c r="V1331" s="428" t="n">
        <v>0.02083333333333333</v>
      </c>
      <c r="W1331" s="406" t="n"/>
      <c r="X1331" s="406" t="n"/>
      <c r="Y1331" s="406" t="n"/>
      <c r="Z1331" s="406" t="n"/>
      <c r="AA1331" s="173" t="inlineStr">
        <is>
          <t>Theo dõi nén mẫu R7 bê tông thân mố M2 (đợt 2)</t>
        </is>
      </c>
      <c r="AB1331" s="173" t="inlineStr">
        <is>
          <t>307HG/YCNT/TM/M2/Đ2-R7</t>
        </is>
      </c>
      <c r="AC1331" s="173" t="n"/>
      <c r="AD1331" s="173" t="n"/>
      <c r="AE1331" s="173" t="n"/>
      <c r="AF1331" s="173" t="n"/>
      <c r="AG1331" s="173" t="inlineStr">
        <is>
          <t>PYC</t>
        </is>
      </c>
      <c r="AH1331" s="173" t="n">
        <v>4</v>
      </c>
      <c r="AI1331" s="406" t="n"/>
      <c r="AJ1331" s="406" t="n"/>
      <c r="AK1331" s="408" t="n"/>
      <c r="AL1331" s="406" t="n"/>
      <c r="AM1331" s="406" t="n"/>
      <c r="AN1331" s="406" t="n"/>
      <c r="AO1331" s="406" t="n"/>
      <c r="AP1331" s="174" t="n"/>
      <c r="AQ1331" s="174" t="n"/>
      <c r="AR1331" s="406" t="inlineStr">
        <is>
          <t>Nhóm 1</t>
        </is>
      </c>
      <c r="AS1331" s="406" t="n"/>
      <c r="AT1331" s="406" t="inlineStr">
        <is>
          <t>HM41</t>
        </is>
      </c>
      <c r="AU1331" s="406" t="inlineStr">
        <is>
          <t>PYC</t>
        </is>
      </c>
      <c r="AV1331" s="406" t="n">
        <v>112</v>
      </c>
      <c r="AW1331" s="406" t="n">
        <v>4</v>
      </c>
      <c r="AX1331" s="406" t="n"/>
    </row>
    <row r="1332" ht="28" customHeight="1" s="672">
      <c r="A1332" s="413" t="inlineStr">
        <is>
          <t>BBK680</t>
        </is>
      </c>
      <c r="B1332" s="413" t="inlineStr">
        <is>
          <t>PYC</t>
        </is>
      </c>
      <c r="C1332" s="413" t="inlineStr">
        <is>
          <t>BBK680.0382355</t>
        </is>
      </c>
      <c r="D1332" s="414" t="n"/>
      <c r="E1332" s="414" t="n"/>
      <c r="F1332" s="414" t="n"/>
      <c r="G1332" s="414" t="n"/>
      <c r="H1332" s="414" t="n"/>
      <c r="J1332" s="108" t="inlineStr">
        <is>
          <t>20</t>
        </is>
      </c>
      <c r="K1332" s="108" t="inlineStr">
        <is>
          <t>PYC</t>
        </is>
      </c>
      <c r="L1332" s="109" t="inlineStr">
        <is>
          <t>phiếu yêu cầu</t>
        </is>
      </c>
      <c r="M1332" s="109" t="n"/>
      <c r="N1332" s="109" t="n"/>
      <c r="O1332" s="110" t="inlineStr">
        <is>
          <t>Cầu KM19+529.080</t>
        </is>
      </c>
      <c r="P1332" s="401" t="n"/>
      <c r="Q1332" s="401" t="n"/>
      <c r="R1332" s="401">
        <f>S1332-1</f>
        <v/>
      </c>
      <c r="S1332" s="401">
        <f>S1327+28</f>
        <v/>
      </c>
      <c r="T1332" s="402" t="n">
        <v>0.3541666666666667</v>
      </c>
      <c r="U1332" s="402">
        <f>+T1332+V1332</f>
        <v/>
      </c>
      <c r="V1332" s="402" t="n">
        <v>0.02083333333333333</v>
      </c>
      <c r="W1332" s="403" t="n"/>
      <c r="X1332" s="403" t="n"/>
      <c r="Y1332" s="403" t="n"/>
      <c r="Z1332" s="403" t="n"/>
      <c r="AA1332" s="113" t="inlineStr">
        <is>
          <t>Theo dõi nén mẫu R28 bê tông thân mố M2 (đợt 2)</t>
        </is>
      </c>
      <c r="AB1332" s="113" t="inlineStr">
        <is>
          <t>307HG/YCNT/TM/M2/Đ2-R28</t>
        </is>
      </c>
      <c r="AC1332" s="113" t="n"/>
      <c r="AD1332" s="113" t="n"/>
      <c r="AE1332" s="113" t="n"/>
      <c r="AF1332" s="113" t="n"/>
      <c r="AG1332" s="113" t="inlineStr">
        <is>
          <t>PYC</t>
        </is>
      </c>
      <c r="AH1332" s="113" t="n">
        <v>5</v>
      </c>
      <c r="AI1332" s="403" t="n"/>
      <c r="AJ1332" s="403" t="n"/>
      <c r="AK1332" s="404" t="n"/>
      <c r="AL1332" s="403" t="n"/>
      <c r="AM1332" s="403" t="n"/>
      <c r="AN1332" s="403" t="n"/>
      <c r="AO1332" s="403" t="n"/>
      <c r="AP1332" s="115" t="n"/>
      <c r="AQ1332" s="115" t="n"/>
      <c r="AR1332" s="403" t="inlineStr">
        <is>
          <t>Nhóm 1</t>
        </is>
      </c>
      <c r="AS1332" s="403" t="n"/>
      <c r="AT1332" s="403" t="inlineStr">
        <is>
          <t>HM41</t>
        </is>
      </c>
      <c r="AU1332" s="403" t="inlineStr">
        <is>
          <t>PYC</t>
        </is>
      </c>
      <c r="AV1332" s="403" t="n">
        <v>136</v>
      </c>
      <c r="AW1332" s="403" t="n">
        <v>5</v>
      </c>
      <c r="AX1332" s="403" t="n"/>
    </row>
    <row r="1333" ht="14" customHeight="1" s="672">
      <c r="A1333" s="56" t="inlineStr">
        <is>
          <t>HM</t>
        </is>
      </c>
      <c r="B1333" s="56" t="inlineStr">
        <is>
          <t>HM</t>
        </is>
      </c>
      <c r="C1333" s="56" t="inlineStr">
        <is>
          <t>HM.0584239</t>
        </is>
      </c>
      <c r="D1333" s="57" t="n"/>
      <c r="E1333" s="57" t="n"/>
      <c r="F1333" s="57" t="n"/>
      <c r="G1333" s="57" t="n"/>
      <c r="H1333" s="57" t="n"/>
      <c r="J1333" s="387" t="inlineStr">
        <is>
          <t>HM42</t>
        </is>
      </c>
      <c r="K1333" s="387" t="inlineStr">
        <is>
          <t>HM</t>
        </is>
      </c>
      <c r="L1333" s="388" t="inlineStr">
        <is>
          <t>Thân trụ T1 đoạn 3</t>
        </is>
      </c>
      <c r="M1333" s="388" t="n"/>
      <c r="N1333" s="388" t="n"/>
      <c r="O1333" s="389" t="n"/>
      <c r="P1333" s="390" t="n"/>
      <c r="Q1333" s="390" t="n"/>
      <c r="R1333" s="390" t="n"/>
      <c r="S1333" s="390" t="n"/>
      <c r="T1333" s="390" t="n"/>
      <c r="U1333" s="390" t="n"/>
      <c r="V1333" s="390" t="n"/>
      <c r="W1333" s="391" t="n"/>
      <c r="X1333" s="391" t="n"/>
      <c r="Y1333" s="391" t="n"/>
      <c r="Z1333" s="391" t="n"/>
      <c r="AA1333" s="392" t="n"/>
      <c r="AB1333" s="392" t="n"/>
      <c r="AC1333" s="392" t="n"/>
      <c r="AD1333" s="392" t="n"/>
      <c r="AE1333" s="392" t="n"/>
      <c r="AF1333" s="392" t="n"/>
      <c r="AG1333" s="392" t="n"/>
      <c r="AH1333" s="392" t="n"/>
      <c r="AI1333" s="391" t="n"/>
      <c r="AJ1333" s="391" t="n"/>
      <c r="AK1333" s="393" t="n"/>
      <c r="AL1333" s="391" t="n"/>
      <c r="AM1333" s="391" t="n"/>
      <c r="AN1333" s="391" t="n"/>
      <c r="AO1333" s="391" t="n"/>
      <c r="AP1333" s="394" t="n"/>
      <c r="AQ1333" s="394" t="n"/>
      <c r="AR1333" s="391" t="n"/>
      <c r="AS1333" s="391" t="n"/>
      <c r="AT1333" s="391" t="inlineStr">
        <is>
          <t>HM42</t>
        </is>
      </c>
      <c r="AU1333" s="391" t="inlineStr">
        <is>
          <t>HM</t>
        </is>
      </c>
      <c r="AV1333" s="391" t="n"/>
      <c r="AW1333" s="391" t="n"/>
      <c r="AX1333" s="391" t="n"/>
    </row>
    <row r="1334" ht="28" customHeight="1" s="672">
      <c r="A1334" s="68" t="inlineStr">
        <is>
          <t>BBK_BIA</t>
        </is>
      </c>
      <c r="B1334" s="68" t="inlineStr">
        <is>
          <t>TRANGBIA</t>
        </is>
      </c>
      <c r="C1334" s="68" t="inlineStr">
        <is>
          <t>BBK_BIA.0370860</t>
        </is>
      </c>
      <c r="D1334" s="69" t="n"/>
      <c r="E1334" s="69" t="n"/>
      <c r="F1334" s="69" t="n"/>
      <c r="G1334" s="69" t="n"/>
      <c r="H1334" s="69" t="n"/>
      <c r="I1334" s="70" t="n"/>
      <c r="J1334" s="327" t="inlineStr">
        <is>
          <t>01</t>
        </is>
      </c>
      <c r="K1334" s="327" t="inlineStr">
        <is>
          <t>TRANGBIA</t>
        </is>
      </c>
      <c r="L1334" s="328" t="inlineStr">
        <is>
          <t>Thân trụ T1 đoạn 3</t>
        </is>
      </c>
      <c r="M1334" s="328" t="n"/>
      <c r="N1334" s="328" t="n"/>
      <c r="O1334" s="329" t="inlineStr">
        <is>
          <t>Cầu KM19+529.080</t>
        </is>
      </c>
      <c r="P1334" s="330" t="n"/>
      <c r="Q1334" s="330" t="n"/>
      <c r="R1334" s="330" t="n"/>
      <c r="S1334" s="330" t="n"/>
      <c r="T1334" s="330" t="n"/>
      <c r="U1334" s="330" t="n"/>
      <c r="V1334" s="330" t="n"/>
      <c r="W1334" s="331" t="n"/>
      <c r="X1334" s="331" t="n"/>
      <c r="Y1334" s="331" t="n"/>
      <c r="Z1334" s="331" t="n"/>
      <c r="AA1334" s="331" t="n"/>
      <c r="AB1334" s="331" t="n"/>
      <c r="AC1334" s="331" t="n"/>
      <c r="AD1334" s="331" t="n"/>
      <c r="AE1334" s="331" t="n"/>
      <c r="AF1334" s="331" t="n"/>
      <c r="AG1334" s="331" t="n"/>
      <c r="AH1334" s="331" t="n"/>
      <c r="AI1334" s="331" t="n"/>
      <c r="AJ1334" s="331" t="n"/>
      <c r="AK1334" s="329" t="n"/>
      <c r="AL1334" s="331" t="n"/>
      <c r="AM1334" s="331" t="n"/>
      <c r="AN1334" s="331" t="n"/>
      <c r="AO1334" s="331" t="n"/>
      <c r="AP1334" s="332" t="inlineStr">
        <is>
          <t>Thân trụ T1 đoạn 3</t>
        </is>
      </c>
      <c r="AQ1334" s="333" t="n"/>
      <c r="AR1334" s="331" t="inlineStr">
        <is>
          <t>Nhóm 1</t>
        </is>
      </c>
      <c r="AS1334" s="331" t="n"/>
      <c r="AT1334" s="331" t="inlineStr">
        <is>
          <t>HM42</t>
        </is>
      </c>
      <c r="AU1334" s="331" t="inlineStr">
        <is>
          <t>TRANGBIA</t>
        </is>
      </c>
      <c r="AV1334" s="331" t="n">
        <v>42</v>
      </c>
      <c r="AW1334" s="331" t="n">
        <v>1</v>
      </c>
      <c r="AX1334" s="331" t="n"/>
    </row>
    <row r="1335" ht="14" customHeight="1" s="672">
      <c r="A1335" s="68" t="inlineStr">
        <is>
          <t>BBK_ML</t>
        </is>
      </c>
      <c r="B1335" s="68" t="inlineStr">
        <is>
          <t>MUCLUC</t>
        </is>
      </c>
      <c r="C1335" s="68" t="inlineStr">
        <is>
          <t>BBK_ML.0521678</t>
        </is>
      </c>
      <c r="D1335" s="69" t="n"/>
      <c r="E1335" s="69" t="n"/>
      <c r="F1335" s="69" t="n"/>
      <c r="G1335" s="69" t="n"/>
      <c r="H1335" s="69" t="n"/>
      <c r="I1335" s="70" t="n"/>
      <c r="J1335" s="395" t="inlineStr">
        <is>
          <t>02</t>
        </is>
      </c>
      <c r="K1335" s="395" t="inlineStr">
        <is>
          <t>MUCLUC</t>
        </is>
      </c>
      <c r="L1335" s="396" t="inlineStr">
        <is>
          <t>Danh mục biên bản Kiểm tra/Nghiệm thu</t>
        </is>
      </c>
      <c r="M1335" s="396" t="n"/>
      <c r="N1335" s="396" t="n"/>
      <c r="O1335" s="397" t="inlineStr">
        <is>
          <t>Cầu KM19+529.080</t>
        </is>
      </c>
      <c r="P1335" s="398" t="n"/>
      <c r="Q1335" s="398" t="n"/>
      <c r="R1335" s="398" t="n"/>
      <c r="S1335" s="398" t="n"/>
      <c r="T1335" s="398" t="n"/>
      <c r="U1335" s="398" t="n"/>
      <c r="V1335" s="398" t="n"/>
      <c r="W1335" s="399" t="n"/>
      <c r="X1335" s="399" t="n"/>
      <c r="Y1335" s="399" t="n"/>
      <c r="Z1335" s="399" t="n"/>
      <c r="AA1335" s="399" t="n"/>
      <c r="AB1335" s="399" t="n"/>
      <c r="AC1335" s="399" t="n"/>
      <c r="AD1335" s="399" t="n"/>
      <c r="AE1335" s="399" t="n"/>
      <c r="AF1335" s="399" t="n"/>
      <c r="AG1335" s="399" t="n"/>
      <c r="AH1335" s="399" t="n"/>
      <c r="AI1335" s="399" t="n"/>
      <c r="AJ1335" s="399" t="n"/>
      <c r="AK1335" s="397" t="n"/>
      <c r="AL1335" s="399" t="n"/>
      <c r="AM1335" s="399" t="n"/>
      <c r="AN1335" s="399" t="n"/>
      <c r="AO1335" s="399" t="n"/>
      <c r="AP1335" s="400" t="n"/>
      <c r="AQ1335" s="400" t="n"/>
      <c r="AR1335" s="399" t="inlineStr">
        <is>
          <t>Nhóm 1</t>
        </is>
      </c>
      <c r="AS1335" s="399" t="n"/>
      <c r="AT1335" s="399" t="inlineStr">
        <is>
          <t>HM42</t>
        </is>
      </c>
      <c r="AU1335" s="399" t="inlineStr">
        <is>
          <t>MUCLUC</t>
        </is>
      </c>
      <c r="AV1335" s="399" t="n">
        <v>42</v>
      </c>
      <c r="AW1335" s="399" t="n">
        <v>1</v>
      </c>
      <c r="AX1335" s="399" t="n"/>
    </row>
    <row r="1336" ht="14" customHeight="1" s="672">
      <c r="A1336" s="56" t="inlineStr">
        <is>
          <t>BBK680</t>
        </is>
      </c>
      <c r="B1336" s="56" t="inlineStr">
        <is>
          <t>PYC</t>
        </is>
      </c>
      <c r="C1336" s="56" t="inlineStr">
        <is>
          <t>BBK680.0474680</t>
        </is>
      </c>
      <c r="D1336" s="57" t="n"/>
      <c r="E1336" s="57" t="n"/>
      <c r="F1336" s="57" t="n"/>
      <c r="G1336" s="57" t="n"/>
      <c r="H1336" s="57" t="n"/>
      <c r="J1336" s="108" t="inlineStr">
        <is>
          <t>03</t>
        </is>
      </c>
      <c r="K1336" s="108" t="inlineStr">
        <is>
          <t>PYC</t>
        </is>
      </c>
      <c r="L1336" s="109" t="inlineStr">
        <is>
          <t>phiếu yêu cầu</t>
        </is>
      </c>
      <c r="M1336" s="109" t="n"/>
      <c r="N1336" s="109" t="n"/>
      <c r="O1336" s="110" t="inlineStr">
        <is>
          <t>Cầu KM19+529.080</t>
        </is>
      </c>
      <c r="P1336" s="401" t="n"/>
      <c r="Q1336" s="401" t="n"/>
      <c r="R1336" s="401">
        <f>R1337</f>
        <v/>
      </c>
      <c r="S1336" s="401">
        <f>+R1336+1</f>
        <v/>
      </c>
      <c r="T1336" s="402" t="n">
        <v>0.3541666666666667</v>
      </c>
      <c r="U1336" s="402" t="n">
        <v>0.4166666666666667</v>
      </c>
      <c r="V1336" s="402" t="n">
        <v>0.0625</v>
      </c>
      <c r="W1336" s="402" t="inlineStr">
        <is>
          <t>08h30'÷10h00'</t>
        </is>
      </c>
      <c r="X1336" s="403" t="n"/>
      <c r="Y1336" s="403" t="n"/>
      <c r="Z1336" s="403" t="n"/>
      <c r="AA1336" s="113" t="n"/>
      <c r="AB1336" s="113" t="inlineStr">
        <is>
          <t>307HG/YCNT/TT/T1-Đ3</t>
        </is>
      </c>
      <c r="AC1336" s="113" t="n"/>
      <c r="AD1336" s="113" t="n"/>
      <c r="AE1336" s="113" t="n"/>
      <c r="AF1336" s="113" t="n"/>
      <c r="AG1336" s="113" t="inlineStr">
        <is>
          <t>BBKTĐK;NTCV</t>
        </is>
      </c>
      <c r="AH1336" s="113" t="n">
        <v>1</v>
      </c>
      <c r="AI1336" s="403" t="n"/>
      <c r="AJ1336" s="403" t="n"/>
      <c r="AK1336" s="404" t="n"/>
      <c r="AL1336" s="403" t="n"/>
      <c r="AM1336" s="403" t="n"/>
      <c r="AN1336" s="403" t="n"/>
      <c r="AO1336" s="403" t="n"/>
      <c r="AP1336" s="115" t="n"/>
      <c r="AQ1336" s="115" t="n"/>
      <c r="AR1336" s="403" t="inlineStr">
        <is>
          <t>Nhóm 1</t>
        </is>
      </c>
      <c r="AS1336" s="403" t="n"/>
      <c r="AT1336" s="403" t="inlineStr">
        <is>
          <t>HM42</t>
        </is>
      </c>
      <c r="AU1336" s="403" t="inlineStr">
        <is>
          <t>PYC</t>
        </is>
      </c>
      <c r="AV1336" s="403" t="n">
        <v>53</v>
      </c>
      <c r="AW1336" s="403" t="n">
        <v>1</v>
      </c>
      <c r="AX1336" s="403" t="n"/>
    </row>
    <row r="1337" ht="28" customHeight="1" s="672">
      <c r="A1337" s="56" t="inlineStr">
        <is>
          <t>BBK884</t>
        </is>
      </c>
      <c r="B1337" s="56" t="inlineStr">
        <is>
          <t>BBKTĐK</t>
        </is>
      </c>
      <c r="C1337" s="56" t="inlineStr">
        <is>
          <t>BBK884.0586803</t>
        </is>
      </c>
      <c r="D1337" s="57" t="n"/>
      <c r="E1337" s="57" t="n"/>
      <c r="F1337" s="57" t="n"/>
      <c r="G1337" s="57" t="n"/>
      <c r="H1337" s="57" t="n"/>
      <c r="J1337" s="139" t="inlineStr">
        <is>
          <t>04</t>
        </is>
      </c>
      <c r="K1337" s="139" t="inlineStr">
        <is>
          <t>BBKTĐK</t>
        </is>
      </c>
      <c r="L1337" s="140" t="inlineStr">
        <is>
          <t>Kiểm tra điều kiện trước khi thi công thân trụ T1 đoạn 3</t>
        </is>
      </c>
      <c r="M1337" s="140" t="n"/>
      <c r="N1337" s="140" t="n"/>
      <c r="O1337" s="141" t="inlineStr">
        <is>
          <t>Cầu KM19+529.080</t>
        </is>
      </c>
      <c r="P1337" s="382">
        <f>+S1205+1</f>
        <v/>
      </c>
      <c r="Q1337" s="382">
        <f>P1337</f>
        <v/>
      </c>
      <c r="R1337" s="382">
        <f>Q1337-1</f>
        <v/>
      </c>
      <c r="S1337" s="382">
        <f>Q1337</f>
        <v/>
      </c>
      <c r="T1337" s="383" t="n">
        <v>0.3541666666666667</v>
      </c>
      <c r="U1337" s="383" t="n">
        <v>0.4166666666666667</v>
      </c>
      <c r="V1337" s="383" t="n">
        <v>0.0625</v>
      </c>
      <c r="W1337" s="384" t="inlineStr">
        <is>
          <t>08h30'÷10h00'</t>
        </is>
      </c>
      <c r="X1337" s="384" t="n"/>
      <c r="Y1337" s="384" t="n"/>
      <c r="Z1337" s="384" t="inlineStr">
        <is>
          <t>01;</t>
        </is>
      </c>
      <c r="AA1337" s="144" t="inlineStr">
        <is>
          <t>Kiểm tra điều kiện trước khi thi công thân trụ T1 đoạn 3</t>
        </is>
      </c>
      <c r="AB1337" s="144" t="inlineStr">
        <is>
          <t>307HG/YCNT/TT/T1-Đ3-1</t>
        </is>
      </c>
      <c r="AC1337" s="144" t="inlineStr">
        <is>
          <t>307HG/BBNT/TT/T1-Đ3-1</t>
        </is>
      </c>
      <c r="AD1337" s="144" t="n"/>
      <c r="AE1337" s="144" t="n"/>
      <c r="AF1337" s="144" t="n"/>
      <c r="AG1337" s="144" t="n"/>
      <c r="AH1337" s="144" t="n"/>
      <c r="AI1337" s="384" t="n"/>
      <c r="AJ1337" s="384" t="n"/>
      <c r="AK1337" s="386" t="n"/>
      <c r="AL1337" s="384" t="n"/>
      <c r="AM1337" s="384" t="n"/>
      <c r="AN1337" s="384" t="n"/>
      <c r="AO1337" s="384" t="n"/>
      <c r="AP1337" s="146" t="n"/>
      <c r="AQ1337" s="146" t="n"/>
      <c r="AR1337" s="384" t="inlineStr">
        <is>
          <t>Nhóm 1</t>
        </is>
      </c>
      <c r="AS1337" s="384" t="n"/>
      <c r="AT1337" s="384" t="inlineStr">
        <is>
          <t>HM42</t>
        </is>
      </c>
      <c r="AU1337" s="384" t="inlineStr">
        <is>
          <t>BBKTĐK</t>
        </is>
      </c>
      <c r="AV1337" s="384" t="n">
        <v>30</v>
      </c>
      <c r="AW1337" s="384" t="n">
        <v>1</v>
      </c>
      <c r="AX1337" s="384" t="n"/>
    </row>
    <row r="1338" ht="14" customHeight="1" s="672">
      <c r="A1338" s="56" t="inlineStr">
        <is>
          <t>BBK860</t>
        </is>
      </c>
      <c r="B1338" s="56" t="inlineStr">
        <is>
          <t>PL01</t>
        </is>
      </c>
      <c r="C1338" s="56" t="inlineStr">
        <is>
          <t>BBK860.0774543</t>
        </is>
      </c>
      <c r="D1338" s="57" t="n"/>
      <c r="E1338" s="57" t="n"/>
      <c r="F1338" s="57" t="n"/>
      <c r="G1338" s="57" t="n"/>
      <c r="H1338" s="57" t="n"/>
      <c r="J1338" s="168" t="inlineStr">
        <is>
          <t>05</t>
        </is>
      </c>
      <c r="K1338" s="168" t="inlineStr">
        <is>
          <t>PL01</t>
        </is>
      </c>
      <c r="L1338" s="169" t="inlineStr">
        <is>
          <t>Phụ lục số 01</t>
        </is>
      </c>
      <c r="M1338" s="169" t="n"/>
      <c r="N1338" s="169" t="n"/>
      <c r="O1338" s="170" t="inlineStr">
        <is>
          <t>Cầu KM19+529.080</t>
        </is>
      </c>
      <c r="P1338" s="405" t="n"/>
      <c r="Q1338" s="405" t="n"/>
      <c r="R1338" s="405" t="n"/>
      <c r="S1338" s="405">
        <f>S1337</f>
        <v/>
      </c>
      <c r="T1338" s="405" t="n"/>
      <c r="U1338" s="405" t="n"/>
      <c r="V1338" s="405" t="n"/>
      <c r="W1338" s="406" t="n"/>
      <c r="X1338" s="406" t="n"/>
      <c r="Y1338" s="406" t="n"/>
      <c r="Z1338" s="168" t="n">
        <v>1</v>
      </c>
      <c r="AA1338" s="173" t="n"/>
      <c r="AB1338" s="173" t="n"/>
      <c r="AC1338" s="173" t="inlineStr">
        <is>
          <t>307HG/BBNT/TT/T1-Đ3-1</t>
        </is>
      </c>
      <c r="AD1338" s="173" t="n"/>
      <c r="AE1338" s="173" t="n"/>
      <c r="AF1338" s="173" t="n"/>
      <c r="AG1338" s="173" t="n"/>
      <c r="AH1338" s="407" t="inlineStr">
        <is>
          <t>TT-T1-Đ3</t>
        </is>
      </c>
      <c r="AI1338" s="406" t="n"/>
      <c r="AJ1338" s="406" t="n"/>
      <c r="AK1338" s="408" t="n"/>
      <c r="AL1338" s="406" t="n"/>
      <c r="AM1338" s="406" t="n"/>
      <c r="AN1338" s="406" t="n"/>
      <c r="AO1338" s="406" t="n"/>
      <c r="AP1338" s="174" t="n"/>
      <c r="AQ1338" s="174" t="n"/>
      <c r="AR1338" s="406" t="inlineStr">
        <is>
          <t>Nhóm 1</t>
        </is>
      </c>
      <c r="AS1338" s="406" t="n"/>
      <c r="AT1338" s="406" t="inlineStr">
        <is>
          <t>HM42</t>
        </is>
      </c>
      <c r="AU1338" s="406" t="inlineStr">
        <is>
          <t>PL01</t>
        </is>
      </c>
      <c r="AV1338" s="406" t="n">
        <v>34</v>
      </c>
      <c r="AW1338" s="406" t="n">
        <v>1</v>
      </c>
      <c r="AX1338" s="406" t="n"/>
    </row>
    <row r="1339" ht="28" customHeight="1" s="672">
      <c r="A1339" s="56" t="inlineStr">
        <is>
          <t>NTCV</t>
        </is>
      </c>
      <c r="B1339" s="56" t="inlineStr">
        <is>
          <t>K.9999</t>
        </is>
      </c>
      <c r="C1339" s="56" t="inlineStr">
        <is>
          <t>NTCV.0326498</t>
        </is>
      </c>
      <c r="D1339" s="57" t="n"/>
      <c r="E1339" s="57" t="n"/>
      <c r="F1339" s="57" t="n"/>
      <c r="G1339" s="57" t="n"/>
      <c r="H1339" s="57" t="n"/>
      <c r="J1339" s="147" t="inlineStr">
        <is>
          <t>06</t>
        </is>
      </c>
      <c r="K1339" s="147" t="inlineStr">
        <is>
          <t>K.9999</t>
        </is>
      </c>
      <c r="L1339" s="148" t="inlineStr">
        <is>
          <t>Lắp dựng ván khuôn, thanh xuyên táo thân trụ T1 đoạn 3</t>
        </is>
      </c>
      <c r="M1339" s="148" t="n"/>
      <c r="N1339" s="148" t="n"/>
      <c r="O1339" s="149" t="inlineStr">
        <is>
          <t>Cầu KM19+529.080</t>
        </is>
      </c>
      <c r="P1339" s="415">
        <f>S1337+1</f>
        <v/>
      </c>
      <c r="Q1339" s="415">
        <f>P1339</f>
        <v/>
      </c>
      <c r="R1339" s="415">
        <f>Q1339-2</f>
        <v/>
      </c>
      <c r="S1339" s="415">
        <f>Q1339</f>
        <v/>
      </c>
      <c r="T1339" s="416" t="n">
        <v>0.375</v>
      </c>
      <c r="U1339" s="416" t="n">
        <v>0.3958333333333333</v>
      </c>
      <c r="V1339" s="416" t="n">
        <v>0.02083333333333333</v>
      </c>
      <c r="W1339" s="417" t="inlineStr">
        <is>
          <t>09h00'÷09h30'</t>
        </is>
      </c>
      <c r="X1339" s="417" t="n"/>
      <c r="Y1339" s="417" t="n"/>
      <c r="Z1339" s="417" t="inlineStr">
        <is>
          <t>02;</t>
        </is>
      </c>
      <c r="AA1339" s="150" t="inlineStr">
        <is>
          <t>Lắp dựng ván khuôn, thanh xuyên táo thân trụ T1 đoạn 3</t>
        </is>
      </c>
      <c r="AB1339" s="150" t="inlineStr">
        <is>
          <t>307HG/YCNT/TT/T1-Đ3-1</t>
        </is>
      </c>
      <c r="AC1339" s="150" t="inlineStr">
        <is>
          <t>307HG/BBNT/TT/T1-Đ3-2</t>
        </is>
      </c>
      <c r="AD1339" s="150" t="n"/>
      <c r="AE1339" s="150" t="n"/>
      <c r="AF1339" s="150" t="n"/>
      <c r="AG1339" s="150" t="n"/>
      <c r="AH1339" s="150" t="n"/>
      <c r="AI1339" s="417" t="n"/>
      <c r="AJ1339" s="417" t="n"/>
      <c r="AK1339" s="418" t="n"/>
      <c r="AL1339" s="417" t="n"/>
      <c r="AM1339" s="417" t="n"/>
      <c r="AN1339" s="417" t="n"/>
      <c r="AO1339" s="417" t="n"/>
      <c r="AP1339" s="151" t="n"/>
      <c r="AQ1339" s="151" t="n"/>
      <c r="AR1339" s="417" t="inlineStr">
        <is>
          <t>Nhóm 1</t>
        </is>
      </c>
      <c r="AS1339" s="417" t="n"/>
      <c r="AT1339" s="417" t="inlineStr">
        <is>
          <t>HM42</t>
        </is>
      </c>
      <c r="AU1339" s="417" t="inlineStr">
        <is>
          <t>NTCV</t>
        </is>
      </c>
      <c r="AV1339" s="417" t="n">
        <v>391</v>
      </c>
      <c r="AW1339" s="417" t="n">
        <v>1</v>
      </c>
      <c r="AX1339" s="417" t="n"/>
    </row>
    <row r="1340" ht="28" customHeight="1" s="672">
      <c r="A1340" s="56" t="inlineStr">
        <is>
          <t>BBK288</t>
        </is>
      </c>
      <c r="B1340" s="56" t="inlineStr">
        <is>
          <t>PL11.1</t>
        </is>
      </c>
      <c r="C1340" s="56" t="inlineStr">
        <is>
          <t>BBK288.0262612</t>
        </is>
      </c>
      <c r="D1340" s="57" t="n"/>
      <c r="E1340" s="57" t="n"/>
      <c r="F1340" s="57" t="n"/>
      <c r="G1340" s="57" t="n"/>
      <c r="H1340" s="57" t="n"/>
      <c r="J1340" s="108" t="inlineStr">
        <is>
          <t>07</t>
        </is>
      </c>
      <c r="K1340" s="108" t="inlineStr">
        <is>
          <t>PL11.1</t>
        </is>
      </c>
      <c r="L1340" s="109" t="inlineStr">
        <is>
          <t>Lắp dựng ván khuôn, thanh xuyên táo thân trụ T1 đoạn 3</t>
        </is>
      </c>
      <c r="M1340" s="109" t="n"/>
      <c r="N1340" s="109" t="n"/>
      <c r="O1340" s="110" t="inlineStr">
        <is>
          <t>Cầu KM19+529.080</t>
        </is>
      </c>
      <c r="P1340" s="401" t="n"/>
      <c r="Q1340" s="401" t="n"/>
      <c r="R1340" s="401" t="n"/>
      <c r="S1340" s="401">
        <f>S1339</f>
        <v/>
      </c>
      <c r="T1340" s="401" t="n"/>
      <c r="U1340" s="401" t="n"/>
      <c r="V1340" s="401" t="n"/>
      <c r="W1340" s="403" t="n"/>
      <c r="X1340" s="403" t="n"/>
      <c r="Y1340" s="403" t="n"/>
      <c r="Z1340" s="108" t="n">
        <v>2</v>
      </c>
      <c r="AA1340" s="113" t="n"/>
      <c r="AB1340" s="113" t="n"/>
      <c r="AC1340" s="113" t="inlineStr">
        <is>
          <t>307HG/BBNT/TT/T1-Đ3-2</t>
        </is>
      </c>
      <c r="AD1340" s="113" t="n"/>
      <c r="AE1340" s="113" t="n"/>
      <c r="AF1340" s="113" t="n"/>
      <c r="AG1340" s="113" t="n"/>
      <c r="AH1340" s="114" t="inlineStr">
        <is>
          <t>TT-T1-Đ3</t>
        </is>
      </c>
      <c r="AI1340" s="403" t="n"/>
      <c r="AJ1340" s="403" t="n"/>
      <c r="AK1340" s="404" t="n"/>
      <c r="AL1340" s="403" t="n"/>
      <c r="AM1340" s="403" t="n"/>
      <c r="AN1340" s="403" t="n"/>
      <c r="AO1340" s="403" t="n"/>
      <c r="AP1340" s="115" t="n"/>
      <c r="AQ1340" s="115" t="inlineStr">
        <is>
          <t>Ảnh\TT DD1 T1,T2.png</t>
        </is>
      </c>
      <c r="AR1340" s="403" t="inlineStr">
        <is>
          <t>Nhóm 1</t>
        </is>
      </c>
      <c r="AS1340" s="403" t="n"/>
      <c r="AT1340" s="403" t="inlineStr">
        <is>
          <t>HM42</t>
        </is>
      </c>
      <c r="AU1340" s="403" t="inlineStr">
        <is>
          <t>PL11.1</t>
        </is>
      </c>
      <c r="AV1340" s="403" t="n">
        <v>3</v>
      </c>
      <c r="AW1340" s="403" t="n">
        <v>1</v>
      </c>
      <c r="AX1340" s="403" t="n"/>
    </row>
    <row r="1341" ht="14" customHeight="1" s="672">
      <c r="A1341" s="56" t="inlineStr">
        <is>
          <t>BBK680</t>
        </is>
      </c>
      <c r="B1341" s="56" t="inlineStr">
        <is>
          <t>PYC</t>
        </is>
      </c>
      <c r="C1341" s="56" t="inlineStr">
        <is>
          <t>BBK680.0865830</t>
        </is>
      </c>
      <c r="D1341" s="57" t="n"/>
      <c r="E1341" s="57" t="n"/>
      <c r="F1341" s="57" t="n"/>
      <c r="G1341" s="57" t="n"/>
      <c r="H1341" s="57" t="n"/>
      <c r="J1341" s="168" t="inlineStr">
        <is>
          <t>08</t>
        </is>
      </c>
      <c r="K1341" s="168" t="inlineStr">
        <is>
          <t>PYC</t>
        </is>
      </c>
      <c r="L1341" s="169" t="inlineStr">
        <is>
          <t>phiếu yêu cầu</t>
        </is>
      </c>
      <c r="M1341" s="169" t="n"/>
      <c r="N1341" s="169" t="n"/>
      <c r="O1341" s="170" t="inlineStr">
        <is>
          <t>Cầu KM19+529.080</t>
        </is>
      </c>
      <c r="P1341" s="405" t="n"/>
      <c r="Q1341" s="405" t="n"/>
      <c r="R1341" s="401">
        <f>R1342</f>
        <v/>
      </c>
      <c r="S1341" s="405">
        <f>+R1341+1</f>
        <v/>
      </c>
      <c r="T1341" s="402" t="n">
        <v>0.375</v>
      </c>
      <c r="U1341" s="402" t="n">
        <v>0.4166666666666667</v>
      </c>
      <c r="V1341" s="402" t="n">
        <v>0.04166666666666666</v>
      </c>
      <c r="W1341" s="402" t="inlineStr">
        <is>
          <t>09h00'÷10h00'</t>
        </is>
      </c>
      <c r="X1341" s="406" t="n"/>
      <c r="Y1341" s="406" t="n"/>
      <c r="Z1341" s="168" t="n">
        <v>2</v>
      </c>
      <c r="AA1341" s="173" t="n"/>
      <c r="AB1341" s="173" t="inlineStr">
        <is>
          <t>307HG/YCNT/TT/T1-Đ3</t>
        </is>
      </c>
      <c r="AC1341" s="173" t="n"/>
      <c r="AD1341" s="173" t="n"/>
      <c r="AE1341" s="173" t="n"/>
      <c r="AF1341" s="173" t="n"/>
      <c r="AG1341" s="129" t="inlineStr">
        <is>
          <t>NTCV</t>
        </is>
      </c>
      <c r="AH1341" s="173" t="inlineStr">
        <is>
          <t>&gt;=2;&lt;=4</t>
        </is>
      </c>
      <c r="AI1341" s="406" t="n"/>
      <c r="AJ1341" s="406" t="n"/>
      <c r="AK1341" s="408" t="n"/>
      <c r="AL1341" s="406" t="n"/>
      <c r="AM1341" s="406" t="n"/>
      <c r="AN1341" s="406" t="n"/>
      <c r="AO1341" s="406" t="n"/>
      <c r="AP1341" s="174" t="n"/>
      <c r="AQ1341" s="174" t="n"/>
      <c r="AR1341" s="406" t="inlineStr">
        <is>
          <t>Nhóm 1</t>
        </is>
      </c>
      <c r="AS1341" s="406" t="n"/>
      <c r="AT1341" s="406" t="inlineStr">
        <is>
          <t>HM42</t>
        </is>
      </c>
      <c r="AU1341" s="406" t="inlineStr">
        <is>
          <t>PYC</t>
        </is>
      </c>
      <c r="AV1341" s="406" t="n">
        <v>59</v>
      </c>
      <c r="AW1341" s="406" t="n">
        <v>2</v>
      </c>
      <c r="AX1341" s="406" t="n"/>
    </row>
    <row r="1342" ht="28" customHeight="1" s="672">
      <c r="A1342" s="413" t="inlineStr">
        <is>
          <t>NTCV</t>
        </is>
      </c>
      <c r="B1342" s="413" t="inlineStr">
        <is>
          <t>K.9999</t>
        </is>
      </c>
      <c r="C1342" s="413" t="inlineStr">
        <is>
          <t>NTCV.0258994</t>
        </is>
      </c>
      <c r="D1342" s="414" t="n"/>
      <c r="E1342" s="414" t="n"/>
      <c r="F1342" s="414" t="n"/>
      <c r="G1342" s="414" t="n"/>
      <c r="H1342" s="414" t="n"/>
      <c r="J1342" s="147" t="inlineStr">
        <is>
          <t>09</t>
        </is>
      </c>
      <c r="K1342" s="147" t="inlineStr">
        <is>
          <t>K.9999</t>
        </is>
      </c>
      <c r="L1342" s="148" t="inlineStr">
        <is>
          <t>Kiểm tra cốt thép thân trụ T1 đoạn 3</t>
        </is>
      </c>
      <c r="M1342" s="148" t="n"/>
      <c r="N1342" s="148" t="n"/>
      <c r="O1342" s="149" t="inlineStr">
        <is>
          <t>Cầu KM19+529.080</t>
        </is>
      </c>
      <c r="P1342" s="415">
        <f>+S1339+1</f>
        <v/>
      </c>
      <c r="Q1342" s="415">
        <f>+P1342</f>
        <v/>
      </c>
      <c r="R1342" s="415">
        <f>+Q1342-1</f>
        <v/>
      </c>
      <c r="S1342" s="415">
        <f>+Q1342</f>
        <v/>
      </c>
      <c r="T1342" s="416" t="n">
        <v>0.375</v>
      </c>
      <c r="U1342" s="416" t="n">
        <v>0.4166666666666667</v>
      </c>
      <c r="V1342" s="416" t="n">
        <v>0.04166666666666666</v>
      </c>
      <c r="W1342" s="411" t="inlineStr">
        <is>
          <t>09h00'÷10h00'</t>
        </is>
      </c>
      <c r="X1342" s="417" t="n"/>
      <c r="Y1342" s="417" t="n"/>
      <c r="Z1342" s="417" t="inlineStr">
        <is>
          <t>03;</t>
        </is>
      </c>
      <c r="AA1342" s="150" t="inlineStr">
        <is>
          <t>Kiểm tra cốt thép thân trụ T1 đoạn 3</t>
        </is>
      </c>
      <c r="AB1342" s="150" t="inlineStr">
        <is>
          <t>307HG/YCNT/TT/T1-Đ3-2</t>
        </is>
      </c>
      <c r="AC1342" s="150" t="inlineStr">
        <is>
          <t>307HG/BBNT/TT/T1-Đ3-3</t>
        </is>
      </c>
      <c r="AD1342" s="150" t="n"/>
      <c r="AE1342" s="150" t="n"/>
      <c r="AF1342" s="150" t="n"/>
      <c r="AG1342" s="150" t="n"/>
      <c r="AH1342" s="150" t="n"/>
      <c r="AI1342" s="417" t="n"/>
      <c r="AJ1342" s="417" t="n"/>
      <c r="AK1342" s="418" t="n"/>
      <c r="AL1342" s="417" t="n"/>
      <c r="AM1342" s="417" t="n"/>
      <c r="AN1342" s="417" t="n"/>
      <c r="AO1342" s="417" t="n"/>
      <c r="AP1342" s="151" t="n"/>
      <c r="AQ1342" s="151" t="n"/>
      <c r="AR1342" s="417" t="inlineStr">
        <is>
          <t>Nhóm 1</t>
        </is>
      </c>
      <c r="AS1342" s="417" t="n"/>
      <c r="AT1342" s="417" t="inlineStr">
        <is>
          <t>HM42</t>
        </is>
      </c>
      <c r="AU1342" s="417" t="inlineStr">
        <is>
          <t>NTCV</t>
        </is>
      </c>
      <c r="AV1342" s="417" t="n">
        <v>395</v>
      </c>
      <c r="AW1342" s="417" t="n">
        <v>2</v>
      </c>
      <c r="AX1342" s="417" t="n"/>
    </row>
    <row r="1343" ht="14" customHeight="1" s="672">
      <c r="A1343" s="413" t="inlineStr">
        <is>
          <t>BBK469</t>
        </is>
      </c>
      <c r="B1343" s="413" t="inlineStr">
        <is>
          <t>PL08.1</t>
        </is>
      </c>
      <c r="C1343" s="413" t="inlineStr">
        <is>
          <t>BBK469.0158544</t>
        </is>
      </c>
      <c r="D1343" s="414" t="n"/>
      <c r="E1343" s="414" t="n"/>
      <c r="F1343" s="414" t="n"/>
      <c r="G1343" s="414" t="n"/>
      <c r="H1343" s="414" t="n"/>
      <c r="J1343" s="108" t="inlineStr">
        <is>
          <t>10</t>
        </is>
      </c>
      <c r="K1343" s="108" t="inlineStr">
        <is>
          <t>PL08.1</t>
        </is>
      </c>
      <c r="L1343" s="109" t="inlineStr">
        <is>
          <t>Kiểm tra cốt thép thân trụ T1 đoạn 3</t>
        </is>
      </c>
      <c r="M1343" s="109" t="n"/>
      <c r="N1343" s="109" t="n"/>
      <c r="O1343" s="110" t="inlineStr">
        <is>
          <t>Cầu KM19+529.080</t>
        </is>
      </c>
      <c r="P1343" s="401" t="n"/>
      <c r="Q1343" s="401" t="n"/>
      <c r="R1343" s="401" t="n"/>
      <c r="S1343" s="401">
        <f>S1342</f>
        <v/>
      </c>
      <c r="T1343" s="401" t="n"/>
      <c r="U1343" s="401" t="n"/>
      <c r="V1343" s="401" t="n"/>
      <c r="W1343" s="403" t="n"/>
      <c r="X1343" s="403" t="n"/>
      <c r="Y1343" s="403" t="n"/>
      <c r="Z1343" s="108" t="n">
        <v>3</v>
      </c>
      <c r="AA1343" s="113" t="n"/>
      <c r="AB1343" s="113" t="n"/>
      <c r="AC1343" s="113" t="inlineStr">
        <is>
          <t>307HG/BBNT/TT/T1-Đ3-3</t>
        </is>
      </c>
      <c r="AD1343" s="113" t="n"/>
      <c r="AE1343" s="113" t="n"/>
      <c r="AF1343" s="113" t="n"/>
      <c r="AG1343" s="113" t="n"/>
      <c r="AH1343" s="113" t="inlineStr">
        <is>
          <t>TT-T1-Đ3</t>
        </is>
      </c>
      <c r="AI1343" s="403" t="n"/>
      <c r="AJ1343" s="403" t="n"/>
      <c r="AK1343" s="404" t="n"/>
      <c r="AL1343" s="403" t="n"/>
      <c r="AM1343" s="403" t="n"/>
      <c r="AN1343" s="403" t="n"/>
      <c r="AO1343" s="403" t="n"/>
      <c r="AP1343" s="115" t="n"/>
      <c r="AQ1343" s="115" t="n"/>
      <c r="AR1343" s="403" t="inlineStr">
        <is>
          <t>Nhóm 1</t>
        </is>
      </c>
      <c r="AS1343" s="403" t="n"/>
      <c r="AT1343" s="403" t="inlineStr">
        <is>
          <t>HM42</t>
        </is>
      </c>
      <c r="AU1343" s="403" t="inlineStr">
        <is>
          <t>PL08.1</t>
        </is>
      </c>
      <c r="AV1343" s="403" t="n">
        <v>4</v>
      </c>
      <c r="AW1343" s="403" t="n">
        <v>1</v>
      </c>
      <c r="AX1343" s="403" t="n"/>
    </row>
    <row r="1344" ht="28" customHeight="1" s="672">
      <c r="A1344" s="413" t="inlineStr">
        <is>
          <t>NTCV</t>
        </is>
      </c>
      <c r="B1344" s="413" t="inlineStr">
        <is>
          <t>K.9999</t>
        </is>
      </c>
      <c r="C1344" s="413" t="inlineStr">
        <is>
          <t>NTCV.0160273</t>
        </is>
      </c>
      <c r="D1344" s="414" t="n"/>
      <c r="E1344" s="414" t="n"/>
      <c r="F1344" s="414" t="n"/>
      <c r="G1344" s="414" t="n"/>
      <c r="H1344" s="414" t="n"/>
      <c r="J1344" s="131" t="inlineStr">
        <is>
          <t>11</t>
        </is>
      </c>
      <c r="K1344" s="131" t="inlineStr">
        <is>
          <t>K.9999</t>
        </is>
      </c>
      <c r="L1344" s="132" t="inlineStr">
        <is>
          <t>Công tác chuẩn bị đổ bê tông thân trụ T1 đoạn 3</t>
        </is>
      </c>
      <c r="M1344" s="132" t="n"/>
      <c r="N1344" s="132" t="n"/>
      <c r="O1344" s="133" t="inlineStr">
        <is>
          <t>Cầu KM19+529.080</t>
        </is>
      </c>
      <c r="P1344" s="419">
        <f>S1342</f>
        <v/>
      </c>
      <c r="Q1344" s="419">
        <f>P1344+1</f>
        <v/>
      </c>
      <c r="R1344" s="415">
        <f>+Q1344-2</f>
        <v/>
      </c>
      <c r="S1344" s="415">
        <f>+Q1344</f>
        <v/>
      </c>
      <c r="T1344" s="420" t="n">
        <v>0.3333333333333333</v>
      </c>
      <c r="U1344" s="420" t="n">
        <v>0.3541666666666667</v>
      </c>
      <c r="V1344" s="420" t="n">
        <v>0.02083333333333333</v>
      </c>
      <c r="W1344" s="417" t="inlineStr">
        <is>
          <t>08h00'÷08h30'</t>
        </is>
      </c>
      <c r="X1344" s="421" t="n"/>
      <c r="Y1344" s="421" t="n"/>
      <c r="Z1344" s="421" t="inlineStr">
        <is>
          <t>04;</t>
        </is>
      </c>
      <c r="AA1344" s="136" t="inlineStr">
        <is>
          <t>Công tác chuẩn bị đổ bê tông thân trụ T1 đoạn 3</t>
        </is>
      </c>
      <c r="AB1344" s="150" t="inlineStr">
        <is>
          <t>307HG/YCNT/TT/T1-Đ3-2</t>
        </is>
      </c>
      <c r="AC1344" s="136" t="inlineStr">
        <is>
          <t>307HG/BBNT/TT/T1-Đ3-4</t>
        </is>
      </c>
      <c r="AD1344" s="136" t="n"/>
      <c r="AE1344" s="136" t="n"/>
      <c r="AF1344" s="136" t="n"/>
      <c r="AG1344" s="136" t="n"/>
      <c r="AH1344" s="136" t="n"/>
      <c r="AI1344" s="421" t="n"/>
      <c r="AJ1344" s="421" t="n"/>
      <c r="AK1344" s="422" t="n"/>
      <c r="AL1344" s="421" t="n"/>
      <c r="AM1344" s="421" t="n"/>
      <c r="AN1344" s="421" t="n"/>
      <c r="AO1344" s="421" t="n"/>
      <c r="AP1344" s="138" t="n"/>
      <c r="AQ1344" s="138" t="n"/>
      <c r="AR1344" s="421" t="inlineStr">
        <is>
          <t>Nhóm 1</t>
        </is>
      </c>
      <c r="AS1344" s="421" t="n"/>
      <c r="AT1344" s="421" t="inlineStr">
        <is>
          <t>HM42</t>
        </is>
      </c>
      <c r="AU1344" s="421" t="inlineStr">
        <is>
          <t>NTCV</t>
        </is>
      </c>
      <c r="AV1344" s="421" t="n">
        <v>400</v>
      </c>
      <c r="AW1344" s="421" t="n">
        <v>3</v>
      </c>
      <c r="AX1344" s="421" t="n"/>
    </row>
    <row r="1345" ht="14" customHeight="1" s="672">
      <c r="A1345" s="413" t="inlineStr">
        <is>
          <t>BBK209</t>
        </is>
      </c>
      <c r="B1345" s="413" t="inlineStr">
        <is>
          <t>PL09</t>
        </is>
      </c>
      <c r="C1345" s="413" t="inlineStr">
        <is>
          <t>BBK209.0241450</t>
        </is>
      </c>
      <c r="D1345" s="414" t="n"/>
      <c r="E1345" s="414" t="n"/>
      <c r="F1345" s="414" t="n"/>
      <c r="G1345" s="414" t="n"/>
      <c r="H1345" s="414" t="n"/>
      <c r="J1345" s="124" t="inlineStr">
        <is>
          <t>12</t>
        </is>
      </c>
      <c r="K1345" s="124" t="inlineStr">
        <is>
          <t>PL09</t>
        </is>
      </c>
      <c r="L1345" s="125" t="inlineStr">
        <is>
          <t>Công tác chuẩn bị đổ bê tông thân trụ T1 đoạn 3</t>
        </is>
      </c>
      <c r="M1345" s="125" t="n"/>
      <c r="N1345" s="125" t="n"/>
      <c r="O1345" s="126" t="inlineStr">
        <is>
          <t>Cầu KM19+529.080</t>
        </is>
      </c>
      <c r="P1345" s="423" t="n"/>
      <c r="Q1345" s="423" t="n"/>
      <c r="R1345" s="423">
        <f>+R1346</f>
        <v/>
      </c>
      <c r="S1345" s="423">
        <f>+S1344</f>
        <v/>
      </c>
      <c r="T1345" s="424" t="n"/>
      <c r="U1345" s="424" t="n"/>
      <c r="V1345" s="424" t="n"/>
      <c r="W1345" s="425" t="n"/>
      <c r="X1345" s="425" t="n"/>
      <c r="Y1345" s="425" t="n"/>
      <c r="Z1345" s="124" t="n">
        <v>4</v>
      </c>
      <c r="AA1345" s="129" t="n"/>
      <c r="AB1345" s="129" t="n"/>
      <c r="AC1345" s="129" t="inlineStr">
        <is>
          <t>307HG/BBNT/TT/T1-Đ3-4</t>
        </is>
      </c>
      <c r="AD1345" s="129" t="n"/>
      <c r="AE1345" s="129" t="n"/>
      <c r="AF1345" s="129" t="n"/>
      <c r="AG1345" s="129" t="n"/>
      <c r="AH1345" s="129" t="inlineStr">
        <is>
          <t>C30</t>
        </is>
      </c>
      <c r="AI1345" s="425" t="n"/>
      <c r="AJ1345" s="425" t="n"/>
      <c r="AK1345" s="427" t="n"/>
      <c r="AL1345" s="425" t="n"/>
      <c r="AM1345" s="425" t="n"/>
      <c r="AN1345" s="425" t="n"/>
      <c r="AO1345" s="425" t="n"/>
      <c r="AP1345" s="130" t="n"/>
      <c r="AQ1345" s="130" t="n"/>
      <c r="AR1345" s="425" t="inlineStr">
        <is>
          <t>Nhóm 1</t>
        </is>
      </c>
      <c r="AS1345" s="425" t="n"/>
      <c r="AT1345" s="425" t="inlineStr">
        <is>
          <t>HM42</t>
        </is>
      </c>
      <c r="AU1345" s="425" t="inlineStr">
        <is>
          <t>PL09</t>
        </is>
      </c>
      <c r="AV1345" s="425" t="n">
        <v>30</v>
      </c>
      <c r="AW1345" s="425" t="n">
        <v>1</v>
      </c>
      <c r="AX1345" s="425" t="n"/>
    </row>
    <row r="1346" ht="28" customHeight="1" s="672">
      <c r="A1346" s="413" t="inlineStr">
        <is>
          <t>NTCV</t>
        </is>
      </c>
      <c r="B1346" s="413" t="inlineStr">
        <is>
          <t>K.9999</t>
        </is>
      </c>
      <c r="C1346" s="413" t="inlineStr">
        <is>
          <t>NTCV.0176326</t>
        </is>
      </c>
      <c r="D1346" s="414" t="n"/>
      <c r="E1346" s="414" t="n"/>
      <c r="F1346" s="414" t="n"/>
      <c r="G1346" s="414" t="n"/>
      <c r="H1346" s="414" t="n"/>
      <c r="J1346" s="161" t="inlineStr">
        <is>
          <t>13</t>
        </is>
      </c>
      <c r="K1346" s="161" t="inlineStr">
        <is>
          <t>K.9999</t>
        </is>
      </c>
      <c r="L1346" s="162" t="inlineStr">
        <is>
          <t>Công tác đổ, lấy mẫu bê tông thân trụ T1 đoạn 3</t>
        </is>
      </c>
      <c r="M1346" s="162" t="n"/>
      <c r="N1346" s="162" t="n"/>
      <c r="O1346" s="163" t="inlineStr">
        <is>
          <t>Cầu KM19+529.080</t>
        </is>
      </c>
      <c r="P1346" s="409">
        <f>+S1344</f>
        <v/>
      </c>
      <c r="Q1346" s="409">
        <f>+P1346</f>
        <v/>
      </c>
      <c r="R1346" s="409">
        <f>+Q1346-1</f>
        <v/>
      </c>
      <c r="S1346" s="409">
        <f>+Q1346</f>
        <v/>
      </c>
      <c r="T1346" s="410" t="n">
        <v>0.375</v>
      </c>
      <c r="U1346" s="410" t="n">
        <v>0.5</v>
      </c>
      <c r="V1346" s="410" t="n">
        <v>0.125</v>
      </c>
      <c r="W1346" s="417" t="inlineStr">
        <is>
          <t>09h00'÷12h00'</t>
        </is>
      </c>
      <c r="X1346" s="411" t="n"/>
      <c r="Y1346" s="411" t="n"/>
      <c r="Z1346" s="161" t="inlineStr">
        <is>
          <t>05;</t>
        </is>
      </c>
      <c r="AA1346" s="166" t="inlineStr">
        <is>
          <t>Công tác đổ bê tông, lấy mẫu bê tông thân trụ T1 đoạn 3</t>
        </is>
      </c>
      <c r="AB1346" s="166" t="n"/>
      <c r="AC1346" s="166" t="inlineStr">
        <is>
          <t>307HG/BBNT/TT/T1-Đ3-5</t>
        </is>
      </c>
      <c r="AD1346" s="166" t="n"/>
      <c r="AE1346" s="166" t="n"/>
      <c r="AF1346" s="166" t="n"/>
      <c r="AG1346" s="166" t="n"/>
      <c r="AH1346" s="166" t="n"/>
      <c r="AI1346" s="411" t="n"/>
      <c r="AJ1346" s="411" t="n"/>
      <c r="AK1346" s="412" t="n"/>
      <c r="AL1346" s="411" t="n"/>
      <c r="AM1346" s="411" t="n"/>
      <c r="AN1346" s="411" t="n"/>
      <c r="AO1346" s="411" t="n"/>
      <c r="AP1346" s="167" t="n"/>
      <c r="AQ1346" s="167" t="n"/>
      <c r="AR1346" s="411" t="inlineStr">
        <is>
          <t>Nhóm 1</t>
        </is>
      </c>
      <c r="AS1346" s="411" t="n"/>
      <c r="AT1346" s="411" t="inlineStr">
        <is>
          <t>HM42</t>
        </is>
      </c>
      <c r="AU1346" s="411" t="inlineStr">
        <is>
          <t>NTCV</t>
        </is>
      </c>
      <c r="AV1346" s="411" t="n">
        <v>402</v>
      </c>
      <c r="AW1346" s="411" t="n">
        <v>4</v>
      </c>
      <c r="AX1346" s="411" t="n"/>
    </row>
    <row r="1347" ht="28" customHeight="1" s="672">
      <c r="A1347" s="413" t="inlineStr">
        <is>
          <t>BBK832</t>
        </is>
      </c>
      <c r="B1347" s="413" t="inlineStr">
        <is>
          <t>PL06.1</t>
        </is>
      </c>
      <c r="C1347" s="413" t="inlineStr">
        <is>
          <t>BBK832.0523980</t>
        </is>
      </c>
      <c r="D1347" s="414" t="n"/>
      <c r="E1347" s="414" t="n"/>
      <c r="F1347" s="414" t="n"/>
      <c r="G1347" s="414" t="n"/>
      <c r="H1347" s="414" t="n"/>
      <c r="J1347" s="168" t="inlineStr">
        <is>
          <t>14</t>
        </is>
      </c>
      <c r="K1347" s="168" t="inlineStr">
        <is>
          <t>PL06.1</t>
        </is>
      </c>
      <c r="L1347" s="169" t="inlineStr">
        <is>
          <t>Công tác đổ, lấy mẫu bê tông thân trụ T1 đoạn 3</t>
        </is>
      </c>
      <c r="M1347" s="169" t="n"/>
      <c r="N1347" s="169" t="n"/>
      <c r="O1347" s="170" t="inlineStr">
        <is>
          <t>Cầu KM19+529.080</t>
        </is>
      </c>
      <c r="P1347" s="405" t="n"/>
      <c r="Q1347" s="405" t="n"/>
      <c r="R1347" s="405" t="n"/>
      <c r="S1347" s="405">
        <f>+S1346</f>
        <v/>
      </c>
      <c r="T1347" s="428" t="n">
        <v>0.375</v>
      </c>
      <c r="U1347" s="428" t="n">
        <v>0.5</v>
      </c>
      <c r="V1347" s="428" t="n">
        <v>0.125</v>
      </c>
      <c r="W1347" s="406" t="n"/>
      <c r="X1347" s="406" t="n"/>
      <c r="Y1347" s="406" t="n"/>
      <c r="Z1347" s="168" t="n">
        <v>5</v>
      </c>
      <c r="AA1347" s="173" t="n"/>
      <c r="AB1347" s="173" t="n"/>
      <c r="AC1347" s="173" t="inlineStr">
        <is>
          <t>307HG/BBNT/TT/T1-Đ3-5</t>
        </is>
      </c>
      <c r="AD1347" s="173" t="n"/>
      <c r="AE1347" s="173" t="n"/>
      <c r="AF1347" s="173" t="n"/>
      <c r="AG1347" s="173" t="n"/>
      <c r="AH1347" s="407" t="inlineStr">
        <is>
          <t>C30-TT-T1-Đ3</t>
        </is>
      </c>
      <c r="AI1347" s="406" t="n"/>
      <c r="AJ1347" s="406" t="n"/>
      <c r="AK1347" s="408" t="n"/>
      <c r="AL1347" s="406" t="n"/>
      <c r="AM1347" s="406" t="n"/>
      <c r="AN1347" s="406" t="n"/>
      <c r="AO1347" s="406" t="n"/>
      <c r="AP1347" s="174" t="n"/>
      <c r="AQ1347" s="174" t="n"/>
      <c r="AR1347" s="406" t="inlineStr">
        <is>
          <t>Nhóm 1</t>
        </is>
      </c>
      <c r="AS1347" s="406" t="n"/>
      <c r="AT1347" s="406" t="inlineStr">
        <is>
          <t>HM42</t>
        </is>
      </c>
      <c r="AU1347" s="406" t="inlineStr">
        <is>
          <t>PL06.1</t>
        </is>
      </c>
      <c r="AV1347" s="406" t="n">
        <v>5</v>
      </c>
      <c r="AW1347" s="406" t="n">
        <v>1</v>
      </c>
      <c r="AX1347" s="406" t="n"/>
    </row>
    <row r="1348" ht="14" customHeight="1" s="672">
      <c r="A1348" s="413" t="inlineStr">
        <is>
          <t>LMHT</t>
        </is>
      </c>
      <c r="B1348" s="413" t="inlineStr">
        <is>
          <t>LMHT</t>
        </is>
      </c>
      <c r="C1348" s="413" t="inlineStr">
        <is>
          <t>LMHT.0961671</t>
        </is>
      </c>
      <c r="D1348" s="414" t="inlineStr">
        <is>
          <t>TC.000041|TC.000182|TC.000169.A</t>
        </is>
      </c>
      <c r="E1348" s="414" t="n"/>
      <c r="F1348" s="414" t="inlineStr">
        <is>
          <t>CP.0001^Bê tông thân trụ T1 đoạn 3^Hình trụ 15x30 (cm)^18^C30 (30Mpa)^^^TC.000041|TC.000182|TC.000169.A</t>
        </is>
      </c>
      <c r="G1348" s="414" t="n"/>
      <c r="H1348" s="414" t="n"/>
      <c r="J1348" s="175" t="inlineStr">
        <is>
          <t>15</t>
        </is>
      </c>
      <c r="K1348" s="175" t="inlineStr">
        <is>
          <t>LMHT</t>
        </is>
      </c>
      <c r="L1348" s="176" t="inlineStr">
        <is>
          <t>Bê tông thân trụ T1 đoạn 3</t>
        </is>
      </c>
      <c r="M1348" s="176" t="n"/>
      <c r="N1348" s="176" t="n"/>
      <c r="O1348" s="177" t="inlineStr">
        <is>
          <t>Cầu KM19+529.080</t>
        </is>
      </c>
      <c r="P1348" s="299" t="n"/>
      <c r="Q1348" s="299" t="n"/>
      <c r="R1348" s="299" t="n"/>
      <c r="S1348" s="299">
        <f>S1344</f>
        <v/>
      </c>
      <c r="T1348" s="300" t="n">
        <v>0.375</v>
      </c>
      <c r="U1348" s="300" t="n">
        <v>0.5</v>
      </c>
      <c r="V1348" s="300" t="n">
        <v>0.125</v>
      </c>
      <c r="W1348" s="301" t="n"/>
      <c r="X1348" s="301" t="n"/>
      <c r="Y1348" s="301" t="n"/>
      <c r="Z1348" s="301" t="n"/>
      <c r="AA1348" s="180" t="n"/>
      <c r="AB1348" s="180" t="n"/>
      <c r="AC1348" s="180" t="n"/>
      <c r="AD1348" s="180" t="n"/>
      <c r="AE1348" s="180" t="n"/>
      <c r="AF1348" s="180" t="n"/>
      <c r="AG1348" s="180" t="n"/>
      <c r="AH1348" s="180" t="n"/>
      <c r="AI1348" s="301" t="n"/>
      <c r="AJ1348" s="301" t="n"/>
      <c r="AK1348" s="303" t="n"/>
      <c r="AL1348" s="301" t="n"/>
      <c r="AM1348" s="301" t="n"/>
      <c r="AN1348" s="301" t="n"/>
      <c r="AO1348" s="301" t="n"/>
      <c r="AP1348" s="181" t="n"/>
      <c r="AQ1348" s="181" t="n"/>
      <c r="AR1348" s="301" t="inlineStr">
        <is>
          <t>Nhóm 1</t>
        </is>
      </c>
      <c r="AS1348" s="301" t="n"/>
      <c r="AT1348" s="301" t="inlineStr">
        <is>
          <t>HM42</t>
        </is>
      </c>
      <c r="AU1348" s="301" t="inlineStr">
        <is>
          <t>LMHT</t>
        </is>
      </c>
      <c r="AV1348" s="301" t="n">
        <v>41</v>
      </c>
      <c r="AW1348" s="301" t="n">
        <v>1</v>
      </c>
      <c r="AX1348" s="301" t="n"/>
    </row>
    <row r="1349" ht="14" customHeight="1" s="672">
      <c r="A1349" s="413" t="inlineStr">
        <is>
          <t>BBK680</t>
        </is>
      </c>
      <c r="B1349" s="413" t="inlineStr">
        <is>
          <t>PYC</t>
        </is>
      </c>
      <c r="C1349" s="413" t="inlineStr">
        <is>
          <t>BBK680.0394142</t>
        </is>
      </c>
      <c r="D1349" s="414" t="n"/>
      <c r="E1349" s="414" t="n"/>
      <c r="F1349" s="414" t="n"/>
      <c r="G1349" s="414" t="n"/>
      <c r="H1349" s="414" t="n"/>
      <c r="J1349" s="168" t="inlineStr">
        <is>
          <t>16</t>
        </is>
      </c>
      <c r="K1349" s="168" t="inlineStr">
        <is>
          <t>PYC</t>
        </is>
      </c>
      <c r="L1349" s="169" t="inlineStr">
        <is>
          <t>phiếu yêu cầu</t>
        </is>
      </c>
      <c r="M1349" s="169" t="n"/>
      <c r="N1349" s="169" t="n"/>
      <c r="O1349" s="170" t="inlineStr">
        <is>
          <t>Cầu KM19+529.080</t>
        </is>
      </c>
      <c r="P1349" s="405" t="n"/>
      <c r="Q1349" s="405" t="n"/>
      <c r="R1349" s="401">
        <f>+R1350</f>
        <v/>
      </c>
      <c r="S1349" s="405">
        <f>R1349+1</f>
        <v/>
      </c>
      <c r="T1349" s="405" t="n"/>
      <c r="U1349" s="405" t="n"/>
      <c r="V1349" s="405" t="n"/>
      <c r="W1349" s="406" t="n"/>
      <c r="X1349" s="406" t="n"/>
      <c r="Y1349" s="406" t="n"/>
      <c r="Z1349" s="406" t="n"/>
      <c r="AA1349" s="173" t="n"/>
      <c r="AB1349" s="173" t="inlineStr">
        <is>
          <t>307HG/YCNT/TT/T1-Đ3</t>
        </is>
      </c>
      <c r="AC1349" s="173" t="n"/>
      <c r="AD1349" s="173" t="n"/>
      <c r="AE1349" s="173" t="n"/>
      <c r="AF1349" s="173" t="n"/>
      <c r="AG1349" s="129" t="inlineStr">
        <is>
          <t>NTCV</t>
        </is>
      </c>
      <c r="AH1349" s="173" t="n">
        <v>5</v>
      </c>
      <c r="AI1349" s="406" t="n"/>
      <c r="AJ1349" s="406" t="n"/>
      <c r="AK1349" s="408" t="n"/>
      <c r="AL1349" s="406" t="n"/>
      <c r="AM1349" s="406" t="n"/>
      <c r="AN1349" s="406" t="n"/>
      <c r="AO1349" s="406" t="n"/>
      <c r="AP1349" s="174" t="n"/>
      <c r="AQ1349" s="174" t="n"/>
      <c r="AR1349" s="406" t="inlineStr">
        <is>
          <t>Nhóm 1</t>
        </is>
      </c>
      <c r="AS1349" s="406" t="n"/>
      <c r="AT1349" s="406" t="inlineStr">
        <is>
          <t>HM42</t>
        </is>
      </c>
      <c r="AU1349" s="406" t="inlineStr">
        <is>
          <t>PYC</t>
        </is>
      </c>
      <c r="AV1349" s="406" t="n">
        <v>64</v>
      </c>
      <c r="AW1349" s="406" t="n">
        <v>3</v>
      </c>
      <c r="AX1349" s="406" t="n"/>
    </row>
    <row r="1350" ht="14" customHeight="1" s="672">
      <c r="A1350" s="413" t="inlineStr">
        <is>
          <t>NTCV</t>
        </is>
      </c>
      <c r="B1350" s="413" t="inlineStr">
        <is>
          <t>K.9999</t>
        </is>
      </c>
      <c r="C1350" s="413" t="inlineStr">
        <is>
          <t>NTCV.0297595</t>
        </is>
      </c>
      <c r="D1350" s="414" t="n"/>
      <c r="E1350" s="414" t="n"/>
      <c r="F1350" s="414" t="n"/>
      <c r="G1350" s="414" t="n"/>
      <c r="H1350" s="414" t="n"/>
      <c r="J1350" s="147" t="inlineStr">
        <is>
          <t>17</t>
        </is>
      </c>
      <c r="K1350" s="147" t="inlineStr">
        <is>
          <t>K.9999</t>
        </is>
      </c>
      <c r="L1350" s="148" t="inlineStr">
        <is>
          <t>Tháo ván khuôn thân trụ T1 đoạn 3</t>
        </is>
      </c>
      <c r="M1350" s="148" t="n"/>
      <c r="N1350" s="148" t="n"/>
      <c r="O1350" s="149" t="inlineStr">
        <is>
          <t>Cầu KM19+529.080</t>
        </is>
      </c>
      <c r="P1350" s="415">
        <f>S1348</f>
        <v/>
      </c>
      <c r="Q1350" s="415">
        <f>+P1350+3</f>
        <v/>
      </c>
      <c r="R1350" s="415">
        <f>Q1350-1</f>
        <v/>
      </c>
      <c r="S1350" s="415">
        <f>Q1350</f>
        <v/>
      </c>
      <c r="T1350" s="416" t="n">
        <v>0.3541666666666667</v>
      </c>
      <c r="U1350" s="416" t="n">
        <v>0.3680555555555556</v>
      </c>
      <c r="V1350" s="416" t="n">
        <v>0.01388888888888889</v>
      </c>
      <c r="W1350" s="411" t="inlineStr">
        <is>
          <t>08h30'÷08h50'</t>
        </is>
      </c>
      <c r="X1350" s="417" t="n"/>
      <c r="Y1350" s="417" t="n"/>
      <c r="Z1350" s="417" t="inlineStr">
        <is>
          <t>06;</t>
        </is>
      </c>
      <c r="AA1350" s="150" t="inlineStr">
        <is>
          <t>Kiểm tra ván khuôn Bệ trụ T1 đoạn 3</t>
        </is>
      </c>
      <c r="AB1350" s="150" t="inlineStr">
        <is>
          <t>307HG/YCNT/TT/T1-Đ3-3</t>
        </is>
      </c>
      <c r="AC1350" s="150" t="inlineStr">
        <is>
          <t>307HG/BBNT/TT/T1-Đ3-5</t>
        </is>
      </c>
      <c r="AD1350" s="150" t="n"/>
      <c r="AE1350" s="150" t="n"/>
      <c r="AF1350" s="150" t="n"/>
      <c r="AG1350" s="150" t="n"/>
      <c r="AH1350" s="150" t="n"/>
      <c r="AI1350" s="417" t="n"/>
      <c r="AJ1350" s="417" t="n"/>
      <c r="AK1350" s="418" t="n"/>
      <c r="AL1350" s="417" t="n"/>
      <c r="AM1350" s="417" t="n"/>
      <c r="AN1350" s="417" t="n"/>
      <c r="AO1350" s="417" t="n"/>
      <c r="AP1350" s="151" t="n"/>
      <c r="AQ1350" s="151" t="n"/>
      <c r="AR1350" s="417" t="inlineStr">
        <is>
          <t>Nhóm 1</t>
        </is>
      </c>
      <c r="AS1350" s="417" t="n"/>
      <c r="AT1350" s="417" t="inlineStr">
        <is>
          <t>HM42</t>
        </is>
      </c>
      <c r="AU1350" s="417" t="inlineStr">
        <is>
          <t>NTCV</t>
        </is>
      </c>
      <c r="AV1350" s="417" t="n">
        <v>410</v>
      </c>
      <c r="AW1350" s="417" t="n">
        <v>5</v>
      </c>
      <c r="AX1350" s="417" t="n"/>
    </row>
    <row r="1351" ht="14" customHeight="1" s="672">
      <c r="A1351" s="413" t="inlineStr">
        <is>
          <t>BBK587</t>
        </is>
      </c>
      <c r="B1351" s="413" t="inlineStr">
        <is>
          <t>PL07.02</t>
        </is>
      </c>
      <c r="C1351" s="413" t="inlineStr">
        <is>
          <t>BBK587.0672134</t>
        </is>
      </c>
      <c r="D1351" s="414" t="n"/>
      <c r="E1351" s="414" t="n"/>
      <c r="F1351" s="414" t="n"/>
      <c r="G1351" s="414" t="n"/>
      <c r="H1351" s="414" t="n"/>
      <c r="J1351" s="108" t="inlineStr">
        <is>
          <t>18</t>
        </is>
      </c>
      <c r="K1351" s="108" t="inlineStr">
        <is>
          <t>PL07.02</t>
        </is>
      </c>
      <c r="L1351" s="109" t="inlineStr">
        <is>
          <t>Tháo ván khuôn thân trụ T1 đoạn 3</t>
        </is>
      </c>
      <c r="M1351" s="109" t="n"/>
      <c r="N1351" s="109" t="n"/>
      <c r="O1351" s="110" t="inlineStr">
        <is>
          <t>Cầu KM19+529.080</t>
        </is>
      </c>
      <c r="P1351" s="401" t="n"/>
      <c r="Q1351" s="401" t="n"/>
      <c r="R1351" s="401" t="n"/>
      <c r="S1351" s="401">
        <f>S1350</f>
        <v/>
      </c>
      <c r="T1351" s="401" t="n"/>
      <c r="U1351" s="401" t="n"/>
      <c r="V1351" s="401" t="n"/>
      <c r="W1351" s="403" t="n"/>
      <c r="X1351" s="403" t="n"/>
      <c r="Y1351" s="403" t="n"/>
      <c r="Z1351" s="108" t="n">
        <v>6</v>
      </c>
      <c r="AA1351" s="113" t="n"/>
      <c r="AB1351" s="113" t="n"/>
      <c r="AC1351" s="113" t="inlineStr">
        <is>
          <t>307HG/BBNT/TT/T1-Đ3-5</t>
        </is>
      </c>
      <c r="AD1351" s="113" t="n"/>
      <c r="AE1351" s="113" t="n"/>
      <c r="AF1351" s="113" t="n"/>
      <c r="AG1351" s="113" t="n"/>
      <c r="AH1351" s="114" t="inlineStr">
        <is>
          <t>TT-T1-Đ3</t>
        </is>
      </c>
      <c r="AI1351" s="403" t="n"/>
      <c r="AJ1351" s="403" t="n"/>
      <c r="AK1351" s="404" t="n"/>
      <c r="AL1351" s="403" t="n"/>
      <c r="AM1351" s="403" t="n"/>
      <c r="AN1351" s="403" t="n"/>
      <c r="AO1351" s="403" t="n"/>
      <c r="AP1351" s="115" t="n"/>
      <c r="AQ1351" s="115" t="inlineStr">
        <is>
          <t>Ảnh\TT DD1 T1,T2.png</t>
        </is>
      </c>
      <c r="AR1351" s="403" t="inlineStr">
        <is>
          <t>Nhóm 1</t>
        </is>
      </c>
      <c r="AS1351" s="403" t="n"/>
      <c r="AT1351" s="403" t="inlineStr">
        <is>
          <t>HM42</t>
        </is>
      </c>
      <c r="AU1351" s="403" t="inlineStr">
        <is>
          <t>PL07.02</t>
        </is>
      </c>
      <c r="AV1351" s="403" t="n">
        <v>1</v>
      </c>
      <c r="AW1351" s="403" t="n">
        <v>1</v>
      </c>
      <c r="AX1351" s="403" t="n"/>
    </row>
    <row r="1352" ht="28" customHeight="1" s="672">
      <c r="A1352" s="413" t="inlineStr">
        <is>
          <t>BBK680</t>
        </is>
      </c>
      <c r="B1352" s="413" t="inlineStr">
        <is>
          <t>PYC</t>
        </is>
      </c>
      <c r="C1352" s="413" t="inlineStr">
        <is>
          <t>BBK680.0231319</t>
        </is>
      </c>
      <c r="D1352" s="414" t="n"/>
      <c r="E1352" s="414" t="n"/>
      <c r="F1352" s="414" t="n"/>
      <c r="G1352" s="414" t="n"/>
      <c r="H1352" s="414" t="n"/>
      <c r="J1352" s="168" t="inlineStr">
        <is>
          <t>19</t>
        </is>
      </c>
      <c r="K1352" s="168" t="inlineStr">
        <is>
          <t>PYC</t>
        </is>
      </c>
      <c r="L1352" s="169" t="inlineStr">
        <is>
          <t>phiếu yêu cầu</t>
        </is>
      </c>
      <c r="M1352" s="169" t="n"/>
      <c r="N1352" s="169" t="n"/>
      <c r="O1352" s="170" t="inlineStr">
        <is>
          <t>Cầu KM19+529.080</t>
        </is>
      </c>
      <c r="P1352" s="405" t="n"/>
      <c r="Q1352" s="405" t="n"/>
      <c r="R1352" s="405">
        <f>S1352-1</f>
        <v/>
      </c>
      <c r="S1352" s="405">
        <f>S1348+7</f>
        <v/>
      </c>
      <c r="T1352" s="428" t="n">
        <v>0.3333333333333333</v>
      </c>
      <c r="U1352" s="428" t="n">
        <v>0.3541666666666667</v>
      </c>
      <c r="V1352" s="428" t="n">
        <v>0.02083333333333333</v>
      </c>
      <c r="W1352" s="406" t="n"/>
      <c r="X1352" s="406" t="n"/>
      <c r="Y1352" s="406" t="n"/>
      <c r="Z1352" s="406" t="n"/>
      <c r="AA1352" s="173" t="inlineStr">
        <is>
          <t>Theo dõi nén mẫu R7 bê tông thân trụ T1 đoạn 3</t>
        </is>
      </c>
      <c r="AB1352" s="173" t="inlineStr">
        <is>
          <t>307HG/YCNT/TT/T1-Đ3-R7</t>
        </is>
      </c>
      <c r="AC1352" s="173" t="n"/>
      <c r="AD1352" s="173" t="n"/>
      <c r="AE1352" s="173" t="n"/>
      <c r="AF1352" s="173" t="n"/>
      <c r="AG1352" s="173" t="inlineStr">
        <is>
          <t>PYC</t>
        </is>
      </c>
      <c r="AH1352" s="173" t="n">
        <v>4</v>
      </c>
      <c r="AI1352" s="406" t="n"/>
      <c r="AJ1352" s="406" t="n"/>
      <c r="AK1352" s="408" t="n"/>
      <c r="AL1352" s="406" t="n"/>
      <c r="AM1352" s="406" t="n"/>
      <c r="AN1352" s="406" t="n"/>
      <c r="AO1352" s="406" t="n"/>
      <c r="AP1352" s="174" t="n"/>
      <c r="AQ1352" s="174" t="n"/>
      <c r="AR1352" s="406" t="inlineStr">
        <is>
          <t>Nhóm 1</t>
        </is>
      </c>
      <c r="AS1352" s="406" t="n"/>
      <c r="AT1352" s="406" t="inlineStr">
        <is>
          <t>HM42</t>
        </is>
      </c>
      <c r="AU1352" s="406" t="inlineStr">
        <is>
          <t>PYC</t>
        </is>
      </c>
      <c r="AV1352" s="406" t="n">
        <v>74</v>
      </c>
      <c r="AW1352" s="406" t="n">
        <v>4</v>
      </c>
      <c r="AX1352" s="406" t="n"/>
    </row>
    <row r="1353" ht="28" customHeight="1" s="672">
      <c r="A1353" s="413" t="inlineStr">
        <is>
          <t>BBK680</t>
        </is>
      </c>
      <c r="B1353" s="413" t="inlineStr">
        <is>
          <t>PYC</t>
        </is>
      </c>
      <c r="C1353" s="413" t="inlineStr">
        <is>
          <t>BBK680.0692864</t>
        </is>
      </c>
      <c r="D1353" s="414" t="n"/>
      <c r="E1353" s="414" t="n"/>
      <c r="F1353" s="414" t="n"/>
      <c r="G1353" s="414" t="n"/>
      <c r="H1353" s="414" t="n"/>
      <c r="J1353" s="124" t="inlineStr">
        <is>
          <t>20</t>
        </is>
      </c>
      <c r="K1353" s="124" t="inlineStr">
        <is>
          <t>PYC</t>
        </is>
      </c>
      <c r="L1353" s="125" t="inlineStr">
        <is>
          <t>phiếu yêu cầu</t>
        </is>
      </c>
      <c r="M1353" s="125" t="n"/>
      <c r="N1353" s="125" t="n"/>
      <c r="O1353" s="126" t="inlineStr">
        <is>
          <t>Cầu KM19+529.080</t>
        </is>
      </c>
      <c r="P1353" s="423" t="n"/>
      <c r="Q1353" s="423" t="n"/>
      <c r="R1353" s="423">
        <f>S1353-1</f>
        <v/>
      </c>
      <c r="S1353" s="423">
        <f>S1348+28</f>
        <v/>
      </c>
      <c r="T1353" s="424" t="n">
        <v>0.3541666666666667</v>
      </c>
      <c r="U1353" s="424" t="n">
        <v>0.375</v>
      </c>
      <c r="V1353" s="424" t="n">
        <v>0.02083333333333333</v>
      </c>
      <c r="W1353" s="425" t="n"/>
      <c r="X1353" s="425" t="n"/>
      <c r="Y1353" s="425" t="n"/>
      <c r="Z1353" s="425" t="n"/>
      <c r="AA1353" s="129" t="inlineStr">
        <is>
          <t>Theo dõi nén mẫu R28 bê tông thân trụ T1 đoạn 3</t>
        </is>
      </c>
      <c r="AB1353" s="129" t="inlineStr">
        <is>
          <t>307HG/YCNT/TT/T1-Đ3-R28</t>
        </is>
      </c>
      <c r="AC1353" s="129" t="n"/>
      <c r="AD1353" s="129" t="n"/>
      <c r="AE1353" s="129" t="n"/>
      <c r="AF1353" s="129" t="n"/>
      <c r="AG1353" s="129" t="inlineStr">
        <is>
          <t>PYC</t>
        </is>
      </c>
      <c r="AH1353" s="129" t="n">
        <v>5</v>
      </c>
      <c r="AI1353" s="425" t="n"/>
      <c r="AJ1353" s="425" t="n"/>
      <c r="AK1353" s="427" t="n"/>
      <c r="AL1353" s="425" t="n"/>
      <c r="AM1353" s="425" t="n"/>
      <c r="AN1353" s="425" t="n"/>
      <c r="AO1353" s="425" t="n"/>
      <c r="AP1353" s="130" t="n"/>
      <c r="AQ1353" s="130" t="n"/>
      <c r="AR1353" s="425" t="inlineStr">
        <is>
          <t>Nhóm 1</t>
        </is>
      </c>
      <c r="AS1353" s="425" t="n"/>
      <c r="AT1353" s="425" t="inlineStr">
        <is>
          <t>HM42</t>
        </is>
      </c>
      <c r="AU1353" s="425" t="inlineStr">
        <is>
          <t>PYC</t>
        </is>
      </c>
      <c r="AV1353" s="425" t="n">
        <v>120</v>
      </c>
      <c r="AW1353" s="425" t="n">
        <v>5</v>
      </c>
      <c r="AX1353" s="425" t="n"/>
    </row>
    <row r="1354">
      <c r="A1354" s="56" t="inlineStr">
        <is>
          <t>HM</t>
        </is>
      </c>
      <c r="B1354" s="56" t="inlineStr">
        <is>
          <t>HM</t>
        </is>
      </c>
      <c r="C1354" s="56" t="inlineStr">
        <is>
          <t>HM.0328430</t>
        </is>
      </c>
      <c r="D1354" s="57" t="n"/>
      <c r="E1354" s="57" t="n"/>
      <c r="F1354" s="57" t="n"/>
      <c r="G1354" s="57" t="n"/>
      <c r="H1354" s="57" t="n"/>
      <c r="J1354" s="387" t="inlineStr">
        <is>
          <t>HM43</t>
        </is>
      </c>
      <c r="K1354" s="387" t="inlineStr">
        <is>
          <t>HM</t>
        </is>
      </c>
      <c r="L1354" s="388" t="inlineStr">
        <is>
          <t>Thân trụ T1 đoạn 2 (đợt 1)</t>
        </is>
      </c>
      <c r="M1354" s="388" t="n"/>
      <c r="N1354" s="388" t="n"/>
      <c r="O1354" s="389" t="n"/>
      <c r="P1354" s="390" t="n"/>
      <c r="Q1354" s="390" t="n"/>
      <c r="R1354" s="390" t="n"/>
      <c r="S1354" s="390" t="n"/>
      <c r="T1354" s="390" t="n"/>
      <c r="U1354" s="390" t="n"/>
      <c r="V1354" s="390" t="n"/>
      <c r="W1354" s="391" t="n"/>
      <c r="X1354" s="391" t="n"/>
      <c r="Y1354" s="391" t="n"/>
      <c r="Z1354" s="391" t="n"/>
      <c r="AA1354" s="392" t="n"/>
      <c r="AB1354" s="392" t="n"/>
      <c r="AC1354" s="392" t="n"/>
      <c r="AD1354" s="392" t="n"/>
      <c r="AE1354" s="392" t="n"/>
      <c r="AF1354" s="392" t="n"/>
      <c r="AG1354" s="392" t="n"/>
      <c r="AH1354" s="392" t="n"/>
      <c r="AI1354" s="391" t="n"/>
      <c r="AJ1354" s="391" t="n"/>
      <c r="AK1354" s="393" t="n"/>
      <c r="AL1354" s="391" t="n"/>
      <c r="AM1354" s="391" t="n"/>
      <c r="AN1354" s="391" t="n"/>
      <c r="AO1354" s="391" t="n"/>
      <c r="AP1354" s="394" t="n"/>
      <c r="AQ1354" s="394" t="n"/>
      <c r="AR1354" s="391" t="n"/>
      <c r="AS1354" s="391" t="n"/>
      <c r="AT1354" s="391" t="inlineStr">
        <is>
          <t>HM43</t>
        </is>
      </c>
      <c r="AU1354" s="391" t="inlineStr">
        <is>
          <t>HM</t>
        </is>
      </c>
      <c r="AV1354" s="391" t="n"/>
      <c r="AW1354" s="391" t="n"/>
      <c r="AX1354" s="391" t="n"/>
    </row>
    <row r="1355" ht="28" customHeight="1" s="672">
      <c r="A1355" s="68" t="inlineStr">
        <is>
          <t>BBK_BIA</t>
        </is>
      </c>
      <c r="B1355" s="68" t="inlineStr">
        <is>
          <t>TRANGBIA</t>
        </is>
      </c>
      <c r="C1355" s="68" t="inlineStr">
        <is>
          <t>BBK_BIA.0048625</t>
        </is>
      </c>
      <c r="D1355" s="69" t="n"/>
      <c r="E1355" s="69" t="n"/>
      <c r="F1355" s="69" t="n"/>
      <c r="G1355" s="69" t="n"/>
      <c r="H1355" s="69" t="n"/>
      <c r="I1355" s="70" t="n"/>
      <c r="J1355" s="327" t="inlineStr">
        <is>
          <t>01</t>
        </is>
      </c>
      <c r="K1355" s="327" t="inlineStr">
        <is>
          <t>TRANGBIA</t>
        </is>
      </c>
      <c r="L1355" s="328">
        <f>L1354</f>
        <v/>
      </c>
      <c r="M1355" s="328" t="n"/>
      <c r="N1355" s="328" t="n"/>
      <c r="O1355" s="329" t="inlineStr">
        <is>
          <t>Cầu KM19+529.080</t>
        </is>
      </c>
      <c r="P1355" s="330" t="n"/>
      <c r="Q1355" s="330" t="n"/>
      <c r="R1355" s="330" t="n"/>
      <c r="S1355" s="330" t="n"/>
      <c r="T1355" s="330" t="n"/>
      <c r="U1355" s="330" t="n"/>
      <c r="V1355" s="330" t="n"/>
      <c r="W1355" s="331" t="n"/>
      <c r="X1355" s="331" t="n"/>
      <c r="Y1355" s="331" t="n"/>
      <c r="Z1355" s="331" t="n"/>
      <c r="AA1355" s="331" t="n"/>
      <c r="AB1355" s="331" t="n"/>
      <c r="AC1355" s="331" t="n"/>
      <c r="AD1355" s="331" t="n"/>
      <c r="AE1355" s="331" t="n"/>
      <c r="AF1355" s="331" t="n"/>
      <c r="AG1355" s="331" t="n"/>
      <c r="AH1355" s="331" t="n"/>
      <c r="AI1355" s="331" t="n"/>
      <c r="AJ1355" s="331" t="n"/>
      <c r="AK1355" s="329" t="n"/>
      <c r="AL1355" s="331" t="n"/>
      <c r="AM1355" s="331" t="n"/>
      <c r="AN1355" s="331" t="n"/>
      <c r="AO1355" s="331" t="n"/>
      <c r="AP1355" s="332">
        <f>L1355</f>
        <v/>
      </c>
      <c r="AQ1355" s="333" t="n"/>
      <c r="AR1355" s="331" t="inlineStr">
        <is>
          <t>Nhóm 1</t>
        </is>
      </c>
      <c r="AS1355" s="331" t="n"/>
      <c r="AT1355" s="331" t="inlineStr">
        <is>
          <t>HM43</t>
        </is>
      </c>
      <c r="AU1355" s="331" t="inlineStr">
        <is>
          <t>TRANGBIA</t>
        </is>
      </c>
      <c r="AV1355" s="331" t="n">
        <v>43</v>
      </c>
      <c r="AW1355" s="331" t="n">
        <v>1</v>
      </c>
      <c r="AX1355" s="331" t="n"/>
    </row>
    <row r="1356">
      <c r="A1356" s="68" t="inlineStr">
        <is>
          <t>BBK_ML</t>
        </is>
      </c>
      <c r="B1356" s="68" t="inlineStr">
        <is>
          <t>MUCLUC</t>
        </is>
      </c>
      <c r="C1356" s="68" t="inlineStr">
        <is>
          <t>BBK_ML.0944864</t>
        </is>
      </c>
      <c r="D1356" s="69" t="n"/>
      <c r="E1356" s="69" t="n"/>
      <c r="F1356" s="69" t="n"/>
      <c r="G1356" s="69" t="n"/>
      <c r="H1356" s="69" t="n"/>
      <c r="I1356" s="70" t="n"/>
      <c r="J1356" s="395" t="inlineStr">
        <is>
          <t>02</t>
        </is>
      </c>
      <c r="K1356" s="395" t="inlineStr">
        <is>
          <t>MUCLUC</t>
        </is>
      </c>
      <c r="L1356" s="396" t="inlineStr">
        <is>
          <t>Danh mục biên bản Kiểm tra/Nghiệm thu</t>
        </is>
      </c>
      <c r="M1356" s="396" t="n"/>
      <c r="N1356" s="396" t="n"/>
      <c r="O1356" s="397" t="inlineStr">
        <is>
          <t>Cầu KM19+529.080</t>
        </is>
      </c>
      <c r="P1356" s="398" t="n"/>
      <c r="Q1356" s="398" t="n"/>
      <c r="R1356" s="398" t="n"/>
      <c r="S1356" s="398" t="n"/>
      <c r="T1356" s="398" t="n"/>
      <c r="U1356" s="398" t="n"/>
      <c r="V1356" s="398" t="n"/>
      <c r="W1356" s="399" t="n"/>
      <c r="X1356" s="399" t="n"/>
      <c r="Y1356" s="399" t="n"/>
      <c r="Z1356" s="399" t="n"/>
      <c r="AA1356" s="399" t="n"/>
      <c r="AB1356" s="399" t="n"/>
      <c r="AC1356" s="399" t="n"/>
      <c r="AD1356" s="399" t="n"/>
      <c r="AE1356" s="399" t="n"/>
      <c r="AF1356" s="399" t="n"/>
      <c r="AG1356" s="399" t="n"/>
      <c r="AH1356" s="399" t="n"/>
      <c r="AI1356" s="399" t="n"/>
      <c r="AJ1356" s="399" t="n"/>
      <c r="AK1356" s="397" t="n"/>
      <c r="AL1356" s="399" t="n"/>
      <c r="AM1356" s="399" t="n"/>
      <c r="AN1356" s="399" t="n"/>
      <c r="AO1356" s="399" t="n"/>
      <c r="AP1356" s="400" t="n"/>
      <c r="AQ1356" s="400" t="n"/>
      <c r="AR1356" s="399" t="inlineStr">
        <is>
          <t>Nhóm 1</t>
        </is>
      </c>
      <c r="AS1356" s="399" t="n"/>
      <c r="AT1356" s="399" t="inlineStr">
        <is>
          <t>HM43</t>
        </is>
      </c>
      <c r="AU1356" s="399" t="inlineStr">
        <is>
          <t>MUCLUC</t>
        </is>
      </c>
      <c r="AV1356" s="399" t="n">
        <v>43</v>
      </c>
      <c r="AW1356" s="399" t="n">
        <v>1</v>
      </c>
      <c r="AX1356" s="399" t="n"/>
    </row>
    <row r="1357">
      <c r="A1357" s="56" t="inlineStr">
        <is>
          <t>BBK680</t>
        </is>
      </c>
      <c r="B1357" s="56" t="inlineStr">
        <is>
          <t>PYC</t>
        </is>
      </c>
      <c r="C1357" s="56" t="inlineStr">
        <is>
          <t>BBK680.0273176</t>
        </is>
      </c>
      <c r="D1357" s="57" t="n"/>
      <c r="E1357" s="57" t="n"/>
      <c r="F1357" s="57" t="n"/>
      <c r="G1357" s="57" t="n"/>
      <c r="H1357" s="57" t="n"/>
      <c r="J1357" s="108" t="inlineStr">
        <is>
          <t>03</t>
        </is>
      </c>
      <c r="K1357" s="108" t="inlineStr">
        <is>
          <t>PYC</t>
        </is>
      </c>
      <c r="L1357" s="109" t="inlineStr">
        <is>
          <t>phiếu yêu cầu</t>
        </is>
      </c>
      <c r="M1357" s="109" t="n"/>
      <c r="N1357" s="109" t="n"/>
      <c r="O1357" s="110" t="inlineStr">
        <is>
          <t>Cầu KM19+529.080</t>
        </is>
      </c>
      <c r="P1357" s="401" t="n"/>
      <c r="Q1357" s="401" t="n"/>
      <c r="R1357" s="401">
        <f>R1358</f>
        <v/>
      </c>
      <c r="S1357" s="401">
        <f>+R1357+1</f>
        <v/>
      </c>
      <c r="T1357" s="402">
        <f>T1358</f>
        <v/>
      </c>
      <c r="U1357" s="402">
        <f>U1358</f>
        <v/>
      </c>
      <c r="V1357" s="402">
        <f>V1358</f>
        <v/>
      </c>
      <c r="W1357" s="402">
        <f>W1358</f>
        <v/>
      </c>
      <c r="X1357" s="403" t="n"/>
      <c r="Y1357" s="403" t="n"/>
      <c r="Z1357" s="403" t="n"/>
      <c r="AA1357" s="113" t="n"/>
      <c r="AB1357" s="113" t="inlineStr">
        <is>
          <t>307HG/YCNT/TT/T1-Đ2/Đ1</t>
        </is>
      </c>
      <c r="AC1357" s="113" t="n"/>
      <c r="AD1357" s="113" t="n"/>
      <c r="AE1357" s="113" t="n"/>
      <c r="AF1357" s="113" t="n"/>
      <c r="AG1357" s="113" t="inlineStr">
        <is>
          <t>BBKTĐK;NTCV</t>
        </is>
      </c>
      <c r="AH1357" s="113" t="n">
        <v>1</v>
      </c>
      <c r="AI1357" s="403" t="n"/>
      <c r="AJ1357" s="403" t="n"/>
      <c r="AK1357" s="404" t="n"/>
      <c r="AL1357" s="403" t="n"/>
      <c r="AM1357" s="403" t="n"/>
      <c r="AN1357" s="403" t="n"/>
      <c r="AO1357" s="403" t="n"/>
      <c r="AP1357" s="115" t="n"/>
      <c r="AQ1357" s="115" t="n"/>
      <c r="AR1357" s="403" t="inlineStr">
        <is>
          <t>Nhóm 1</t>
        </is>
      </c>
      <c r="AS1357" s="403" t="n"/>
      <c r="AT1357" s="403" t="inlineStr">
        <is>
          <t>HM43</t>
        </is>
      </c>
      <c r="AU1357" s="403" t="inlineStr">
        <is>
          <t>PYC</t>
        </is>
      </c>
      <c r="AV1357" s="403" t="n">
        <v>68</v>
      </c>
      <c r="AW1357" s="403" t="n">
        <v>1</v>
      </c>
      <c r="AX1357" s="403" t="n"/>
    </row>
    <row r="1358" ht="28" customHeight="1" s="672">
      <c r="A1358" s="56" t="inlineStr">
        <is>
          <t>BBK884</t>
        </is>
      </c>
      <c r="B1358" s="56" t="inlineStr">
        <is>
          <t>BBKTĐK</t>
        </is>
      </c>
      <c r="C1358" s="56" t="inlineStr">
        <is>
          <t>BBK884.0674652</t>
        </is>
      </c>
      <c r="D1358" s="57" t="n"/>
      <c r="E1358" s="57" t="n"/>
      <c r="F1358" s="57" t="n"/>
      <c r="G1358" s="57" t="n"/>
      <c r="H1358" s="57" t="n"/>
      <c r="J1358" s="139" t="inlineStr">
        <is>
          <t>04</t>
        </is>
      </c>
      <c r="K1358" s="139" t="inlineStr">
        <is>
          <t>BBKTĐK</t>
        </is>
      </c>
      <c r="L1358" s="140" t="inlineStr">
        <is>
          <t>Kiểm tra điều kiện trước khi thi công thân trụ T1 đoạn 2 (đợt 1)</t>
        </is>
      </c>
      <c r="M1358" s="140" t="n"/>
      <c r="N1358" s="140" t="n"/>
      <c r="O1358" s="141" t="inlineStr">
        <is>
          <t>Cầu KM19+529.080</t>
        </is>
      </c>
      <c r="P1358" s="382">
        <f>+S1351+1</f>
        <v/>
      </c>
      <c r="Q1358" s="382">
        <f>P1358</f>
        <v/>
      </c>
      <c r="R1358" s="382">
        <f>Q1358-1</f>
        <v/>
      </c>
      <c r="S1358" s="382">
        <f>Q1358</f>
        <v/>
      </c>
      <c r="T1358" s="383" t="n">
        <v>0.3541666666666667</v>
      </c>
      <c r="U1358" s="383">
        <f>T1358+V1358</f>
        <v/>
      </c>
      <c r="V1358" s="383" t="n">
        <v>0.0625</v>
      </c>
      <c r="W1358" s="384">
        <f>TEXT(T1358,"HH""h""MM'")&amp;"÷"&amp;TEXT(U1358,"HH""h""MM'")</f>
        <v/>
      </c>
      <c r="X1358" s="384" t="n"/>
      <c r="Y1358" s="384" t="n"/>
      <c r="Z1358" s="384" t="inlineStr">
        <is>
          <t>01;</t>
        </is>
      </c>
      <c r="AA1358" s="144" t="inlineStr">
        <is>
          <t>Kiểm tra điều kiện trước khi thi công thân trụ T1 đoạn 2 (đợt 1)</t>
        </is>
      </c>
      <c r="AB1358" s="144" t="inlineStr">
        <is>
          <t>307HG/YCNT/TT/T1-Đ2/Đ1-1</t>
        </is>
      </c>
      <c r="AC1358" s="144" t="inlineStr">
        <is>
          <t>307HG/BBNT/TT/T1-Đ2/Đ1-1</t>
        </is>
      </c>
      <c r="AD1358" s="144" t="n"/>
      <c r="AE1358" s="144" t="n"/>
      <c r="AF1358" s="144" t="n"/>
      <c r="AG1358" s="144" t="n"/>
      <c r="AH1358" s="144" t="n"/>
      <c r="AI1358" s="384" t="n"/>
      <c r="AJ1358" s="384" t="n"/>
      <c r="AK1358" s="386" t="n"/>
      <c r="AL1358" s="384" t="n"/>
      <c r="AM1358" s="384" t="n"/>
      <c r="AN1358" s="384" t="n"/>
      <c r="AO1358" s="384" t="n"/>
      <c r="AP1358" s="146" t="n"/>
      <c r="AQ1358" s="146" t="n"/>
      <c r="AR1358" s="384" t="inlineStr">
        <is>
          <t>Nhóm 1</t>
        </is>
      </c>
      <c r="AS1358" s="384" t="n"/>
      <c r="AT1358" s="384" t="inlineStr">
        <is>
          <t>HM43</t>
        </is>
      </c>
      <c r="AU1358" s="384" t="inlineStr">
        <is>
          <t>BBKTĐK</t>
        </is>
      </c>
      <c r="AV1358" s="384" t="n">
        <v>33</v>
      </c>
      <c r="AW1358" s="384" t="n">
        <v>1</v>
      </c>
      <c r="AX1358" s="384" t="n"/>
    </row>
    <row r="1359">
      <c r="A1359" s="56" t="inlineStr">
        <is>
          <t>BBK860</t>
        </is>
      </c>
      <c r="B1359" s="56" t="inlineStr">
        <is>
          <t>PL01</t>
        </is>
      </c>
      <c r="C1359" s="56" t="inlineStr">
        <is>
          <t>BBK860.0998484</t>
        </is>
      </c>
      <c r="D1359" s="57" t="n"/>
      <c r="E1359" s="57" t="n"/>
      <c r="F1359" s="57" t="n"/>
      <c r="G1359" s="57" t="n"/>
      <c r="H1359" s="57" t="n"/>
      <c r="J1359" s="168" t="inlineStr">
        <is>
          <t>05</t>
        </is>
      </c>
      <c r="K1359" s="168" t="inlineStr">
        <is>
          <t>PL01</t>
        </is>
      </c>
      <c r="L1359" s="169" t="inlineStr">
        <is>
          <t>Phụ lục số 01</t>
        </is>
      </c>
      <c r="M1359" s="169" t="n"/>
      <c r="N1359" s="169" t="n"/>
      <c r="O1359" s="170" t="inlineStr">
        <is>
          <t>Cầu KM19+529.080</t>
        </is>
      </c>
      <c r="P1359" s="405" t="n"/>
      <c r="Q1359" s="405" t="n"/>
      <c r="R1359" s="405" t="n"/>
      <c r="S1359" s="405">
        <f>S1358</f>
        <v/>
      </c>
      <c r="T1359" s="405" t="n"/>
      <c r="U1359" s="405" t="n"/>
      <c r="V1359" s="405" t="n"/>
      <c r="W1359" s="406" t="n"/>
      <c r="X1359" s="406" t="n"/>
      <c r="Y1359" s="406" t="n"/>
      <c r="Z1359" s="168" t="n">
        <v>1</v>
      </c>
      <c r="AA1359" s="173" t="n"/>
      <c r="AB1359" s="173" t="n"/>
      <c r="AC1359" s="173" t="inlineStr">
        <is>
          <t>307HG/BBNT/TT/T1-Đ2/Đ1-1</t>
        </is>
      </c>
      <c r="AD1359" s="173" t="n"/>
      <c r="AE1359" s="173" t="n"/>
      <c r="AF1359" s="173" t="n"/>
      <c r="AG1359" s="173" t="n"/>
      <c r="AH1359" s="407" t="inlineStr">
        <is>
          <t>TT-T1-Đ2</t>
        </is>
      </c>
      <c r="AI1359" s="406" t="n"/>
      <c r="AJ1359" s="406" t="n"/>
      <c r="AK1359" s="408" t="n"/>
      <c r="AL1359" s="406" t="n"/>
      <c r="AM1359" s="406" t="n"/>
      <c r="AN1359" s="406" t="n"/>
      <c r="AO1359" s="406" t="n"/>
      <c r="AP1359" s="174" t="n"/>
      <c r="AQ1359" s="174" t="n"/>
      <c r="AR1359" s="406" t="inlineStr">
        <is>
          <t>Nhóm 1</t>
        </is>
      </c>
      <c r="AS1359" s="406" t="n"/>
      <c r="AT1359" s="406" t="inlineStr">
        <is>
          <t>HM43</t>
        </is>
      </c>
      <c r="AU1359" s="406" t="inlineStr">
        <is>
          <t>PL01</t>
        </is>
      </c>
      <c r="AV1359" s="406" t="n">
        <v>37</v>
      </c>
      <c r="AW1359" s="406" t="n">
        <v>1</v>
      </c>
      <c r="AX1359" s="406" t="n"/>
    </row>
    <row r="1360" ht="28" customHeight="1" s="672">
      <c r="A1360" s="56" t="inlineStr">
        <is>
          <t>NTCV</t>
        </is>
      </c>
      <c r="B1360" s="56" t="inlineStr">
        <is>
          <t>K.9999</t>
        </is>
      </c>
      <c r="C1360" s="56" t="inlineStr">
        <is>
          <t>NTCV.0379711</t>
        </is>
      </c>
      <c r="D1360" s="57" t="n"/>
      <c r="E1360" s="57" t="n"/>
      <c r="F1360" s="57" t="n"/>
      <c r="G1360" s="57" t="n"/>
      <c r="H1360" s="57" t="n"/>
      <c r="J1360" s="147" t="inlineStr">
        <is>
          <t>06</t>
        </is>
      </c>
      <c r="K1360" s="147" t="inlineStr">
        <is>
          <t>K.9999</t>
        </is>
      </c>
      <c r="L1360" s="148" t="inlineStr">
        <is>
          <t>Lắp dựng ván khuôn, thanh xuyên táo thân trụ T1 đoạn 2 (đợt 1)</t>
        </is>
      </c>
      <c r="M1360" s="148" t="n"/>
      <c r="N1360" s="148" t="n"/>
      <c r="O1360" s="149" t="inlineStr">
        <is>
          <t>Cầu KM19+529.080</t>
        </is>
      </c>
      <c r="P1360" s="415">
        <f>S1358+1</f>
        <v/>
      </c>
      <c r="Q1360" s="415">
        <f>P1360</f>
        <v/>
      </c>
      <c r="R1360" s="415">
        <f>Q1360-2</f>
        <v/>
      </c>
      <c r="S1360" s="415">
        <f>Q1360</f>
        <v/>
      </c>
      <c r="T1360" s="416" t="n">
        <v>0.375</v>
      </c>
      <c r="U1360" s="416">
        <f>+T1360+V1360</f>
        <v/>
      </c>
      <c r="V1360" s="416" t="n">
        <v>0.02083333333333333</v>
      </c>
      <c r="W1360" s="417">
        <f>TEXT(T1360,"HH""h""MM'")&amp;"÷"&amp;TEXT(U1360,"HH""h""MM'")</f>
        <v/>
      </c>
      <c r="X1360" s="417" t="n"/>
      <c r="Y1360" s="417" t="n"/>
      <c r="Z1360" s="417" t="inlineStr">
        <is>
          <t>02;</t>
        </is>
      </c>
      <c r="AA1360" s="150" t="inlineStr">
        <is>
          <t>Lắp dựng ván khuôn, thanh xuyên táo thân trụ T1 đoạn 2 (đợt 1)</t>
        </is>
      </c>
      <c r="AB1360" s="150" t="inlineStr">
        <is>
          <t>307HG/YCNT/TT/T1-Đ2/Đ1-1</t>
        </is>
      </c>
      <c r="AC1360" s="150" t="inlineStr">
        <is>
          <t>307HG/BBNT/TT/T1-Đ2/Đ1-2</t>
        </is>
      </c>
      <c r="AD1360" s="150" t="n"/>
      <c r="AE1360" s="150" t="n"/>
      <c r="AF1360" s="150" t="n"/>
      <c r="AG1360" s="150" t="n"/>
      <c r="AH1360" s="150" t="n"/>
      <c r="AI1360" s="417" t="n"/>
      <c r="AJ1360" s="417" t="n"/>
      <c r="AK1360" s="418" t="n"/>
      <c r="AL1360" s="417" t="n"/>
      <c r="AM1360" s="417" t="n"/>
      <c r="AN1360" s="417" t="n"/>
      <c r="AO1360" s="417" t="n"/>
      <c r="AP1360" s="151" t="n"/>
      <c r="AQ1360" s="151" t="n"/>
      <c r="AR1360" s="417" t="inlineStr">
        <is>
          <t>Nhóm 1</t>
        </is>
      </c>
      <c r="AS1360" s="417" t="n"/>
      <c r="AT1360" s="417" t="inlineStr">
        <is>
          <t>HM43</t>
        </is>
      </c>
      <c r="AU1360" s="417" t="inlineStr">
        <is>
          <t>NTCV</t>
        </is>
      </c>
      <c r="AV1360" s="417" t="n">
        <v>413</v>
      </c>
      <c r="AW1360" s="417" t="n">
        <v>1</v>
      </c>
      <c r="AX1360" s="417" t="n"/>
    </row>
    <row r="1361">
      <c r="A1361" s="56" t="inlineStr">
        <is>
          <t>BBK288</t>
        </is>
      </c>
      <c r="B1361" s="56" t="inlineStr">
        <is>
          <t>PL11.1</t>
        </is>
      </c>
      <c r="C1361" s="56" t="inlineStr">
        <is>
          <t>BBK288.0365363</t>
        </is>
      </c>
      <c r="D1361" s="57" t="n"/>
      <c r="E1361" s="57" t="n"/>
      <c r="F1361" s="57" t="n"/>
      <c r="G1361" s="57" t="n"/>
      <c r="H1361" s="57" t="n"/>
      <c r="J1361" s="108" t="inlineStr">
        <is>
          <t>07</t>
        </is>
      </c>
      <c r="K1361" s="108" t="inlineStr">
        <is>
          <t>PL11.1</t>
        </is>
      </c>
      <c r="L1361" s="109" t="inlineStr">
        <is>
          <t>Phụ lục số 11</t>
        </is>
      </c>
      <c r="M1361" s="109" t="n"/>
      <c r="N1361" s="109" t="n"/>
      <c r="O1361" s="110" t="inlineStr">
        <is>
          <t>Cầu KM19+529.080</t>
        </is>
      </c>
      <c r="P1361" s="401" t="n"/>
      <c r="Q1361" s="401" t="n"/>
      <c r="R1361" s="401" t="n"/>
      <c r="S1361" s="401">
        <f>S1360</f>
        <v/>
      </c>
      <c r="T1361" s="401" t="n"/>
      <c r="U1361" s="401" t="n"/>
      <c r="V1361" s="401" t="n"/>
      <c r="W1361" s="403" t="n"/>
      <c r="X1361" s="403" t="n"/>
      <c r="Y1361" s="403" t="n"/>
      <c r="Z1361" s="108" t="n">
        <v>2</v>
      </c>
      <c r="AA1361" s="113" t="n"/>
      <c r="AB1361" s="113" t="n"/>
      <c r="AC1361" s="113" t="inlineStr">
        <is>
          <t>307HG/BBNT/TT/T1-Đ2/Đ1-2</t>
        </is>
      </c>
      <c r="AD1361" s="113" t="n"/>
      <c r="AE1361" s="113" t="n"/>
      <c r="AF1361" s="113" t="n"/>
      <c r="AG1361" s="113" t="n"/>
      <c r="AH1361" s="114" t="inlineStr">
        <is>
          <t>TT-T1-Đ2-Đ1</t>
        </is>
      </c>
      <c r="AI1361" s="403" t="n"/>
      <c r="AJ1361" s="403" t="n"/>
      <c r="AK1361" s="404" t="n"/>
      <c r="AL1361" s="403" t="n"/>
      <c r="AM1361" s="403" t="n"/>
      <c r="AN1361" s="403" t="n"/>
      <c r="AO1361" s="403" t="n"/>
      <c r="AP1361" s="115" t="n"/>
      <c r="AQ1361" s="115" t="inlineStr">
        <is>
          <t>Ảnh\TT DD1 T1,T2.png</t>
        </is>
      </c>
      <c r="AR1361" s="403" t="inlineStr">
        <is>
          <t>Nhóm 1</t>
        </is>
      </c>
      <c r="AS1361" s="403" t="n"/>
      <c r="AT1361" s="403" t="inlineStr">
        <is>
          <t>HM43</t>
        </is>
      </c>
      <c r="AU1361" s="403" t="inlineStr">
        <is>
          <t>PL11.1</t>
        </is>
      </c>
      <c r="AV1361" s="403" t="n">
        <v>7</v>
      </c>
      <c r="AW1361" s="403" t="n">
        <v>1</v>
      </c>
      <c r="AX1361" s="403" t="n"/>
    </row>
    <row r="1362">
      <c r="A1362" s="56" t="inlineStr">
        <is>
          <t>BBK680</t>
        </is>
      </c>
      <c r="B1362" s="56" t="inlineStr">
        <is>
          <t>PYC</t>
        </is>
      </c>
      <c r="C1362" s="56" t="inlineStr">
        <is>
          <t>BBK680.0457905</t>
        </is>
      </c>
      <c r="D1362" s="57" t="n"/>
      <c r="E1362" s="57" t="n"/>
      <c r="F1362" s="57" t="n"/>
      <c r="G1362" s="57" t="n"/>
      <c r="H1362" s="57" t="n"/>
      <c r="J1362" s="168" t="inlineStr">
        <is>
          <t>08</t>
        </is>
      </c>
      <c r="K1362" s="168" t="inlineStr">
        <is>
          <t>PYC</t>
        </is>
      </c>
      <c r="L1362" s="169" t="inlineStr">
        <is>
          <t>phiếu yêu cầu</t>
        </is>
      </c>
      <c r="M1362" s="169" t="n"/>
      <c r="N1362" s="169" t="n"/>
      <c r="O1362" s="170" t="inlineStr">
        <is>
          <t>Cầu KM19+529.080</t>
        </is>
      </c>
      <c r="P1362" s="405" t="n"/>
      <c r="Q1362" s="405" t="n"/>
      <c r="R1362" s="401">
        <f>R1363</f>
        <v/>
      </c>
      <c r="S1362" s="405">
        <f>+R1362+1</f>
        <v/>
      </c>
      <c r="T1362" s="402">
        <f>T1363</f>
        <v/>
      </c>
      <c r="U1362" s="402">
        <f>U1363</f>
        <v/>
      </c>
      <c r="V1362" s="402">
        <f>V1363</f>
        <v/>
      </c>
      <c r="W1362" s="402">
        <f>W1363</f>
        <v/>
      </c>
      <c r="X1362" s="406" t="n"/>
      <c r="Y1362" s="406" t="n"/>
      <c r="Z1362" s="168" t="n">
        <v>2</v>
      </c>
      <c r="AA1362" s="173" t="n"/>
      <c r="AB1362" s="173" t="inlineStr">
        <is>
          <t>307HG/YCNT/TT/T1-Đ2/Đ1</t>
        </is>
      </c>
      <c r="AC1362" s="173" t="n"/>
      <c r="AD1362" s="173" t="n"/>
      <c r="AE1362" s="173" t="n"/>
      <c r="AF1362" s="173" t="n"/>
      <c r="AG1362" s="129" t="inlineStr">
        <is>
          <t>NTCV</t>
        </is>
      </c>
      <c r="AH1362" s="173" t="inlineStr">
        <is>
          <t>&gt;=2;&lt;=4</t>
        </is>
      </c>
      <c r="AI1362" s="406" t="n"/>
      <c r="AJ1362" s="406" t="n"/>
      <c r="AK1362" s="408" t="n"/>
      <c r="AL1362" s="406" t="n"/>
      <c r="AM1362" s="406" t="n"/>
      <c r="AN1362" s="406" t="n"/>
      <c r="AO1362" s="406" t="n"/>
      <c r="AP1362" s="174" t="n"/>
      <c r="AQ1362" s="174" t="n"/>
      <c r="AR1362" s="406" t="inlineStr">
        <is>
          <t>Nhóm 1</t>
        </is>
      </c>
      <c r="AS1362" s="406" t="n"/>
      <c r="AT1362" s="406" t="inlineStr">
        <is>
          <t>HM43</t>
        </is>
      </c>
      <c r="AU1362" s="406" t="inlineStr">
        <is>
          <t>PYC</t>
        </is>
      </c>
      <c r="AV1362" s="406" t="n">
        <v>73</v>
      </c>
      <c r="AW1362" s="406" t="n">
        <v>2</v>
      </c>
      <c r="AX1362" s="406" t="n"/>
    </row>
    <row r="1363" ht="28" customHeight="1" s="672">
      <c r="A1363" s="413" t="inlineStr">
        <is>
          <t>NTCV</t>
        </is>
      </c>
      <c r="B1363" s="413" t="inlineStr">
        <is>
          <t>K.9999</t>
        </is>
      </c>
      <c r="C1363" s="413" t="inlineStr">
        <is>
          <t>NTCV.0719282</t>
        </is>
      </c>
      <c r="D1363" s="414" t="n"/>
      <c r="E1363" s="414" t="n"/>
      <c r="F1363" s="414" t="n"/>
      <c r="G1363" s="414" t="n"/>
      <c r="H1363" s="414" t="n"/>
      <c r="J1363" s="147" t="inlineStr">
        <is>
          <t>09</t>
        </is>
      </c>
      <c r="K1363" s="147" t="inlineStr">
        <is>
          <t>K.9999</t>
        </is>
      </c>
      <c r="L1363" s="148" t="inlineStr">
        <is>
          <t>Kiểm tra cốt thép thân trụ T1 đoạn 2 (đợt 1)</t>
        </is>
      </c>
      <c r="M1363" s="148" t="n"/>
      <c r="N1363" s="148" t="n"/>
      <c r="O1363" s="149" t="inlineStr">
        <is>
          <t>Cầu KM19+529.080</t>
        </is>
      </c>
      <c r="P1363" s="415">
        <f>+S1360+1</f>
        <v/>
      </c>
      <c r="Q1363" s="415">
        <f>+P1363</f>
        <v/>
      </c>
      <c r="R1363" s="415">
        <f>+Q1363-1</f>
        <v/>
      </c>
      <c r="S1363" s="415">
        <f>+Q1363</f>
        <v/>
      </c>
      <c r="T1363" s="416" t="n">
        <v>0.375</v>
      </c>
      <c r="U1363" s="416">
        <f>+T1363+V1363</f>
        <v/>
      </c>
      <c r="V1363" s="416" t="n">
        <v>0.04166666666666666</v>
      </c>
      <c r="W1363" s="411">
        <f>TEXT(T1363,"HH""h""MM'")&amp;"÷"&amp;TEXT(U1363,"HH""h""MM'")</f>
        <v/>
      </c>
      <c r="X1363" s="417" t="n"/>
      <c r="Y1363" s="417" t="n"/>
      <c r="Z1363" s="417" t="inlineStr">
        <is>
          <t>03;</t>
        </is>
      </c>
      <c r="AA1363" s="150" t="inlineStr">
        <is>
          <t>Kiểm tra cốt thép thân trụ T1 đoạn 2 (đợt 1)</t>
        </is>
      </c>
      <c r="AB1363" s="150" t="inlineStr">
        <is>
          <t>307HG/YCNT/TT/T1-Đ2/Đ1-2</t>
        </is>
      </c>
      <c r="AC1363" s="150" t="inlineStr">
        <is>
          <t>307HG/BBNT/TT/T1-Đ2/Đ1-3</t>
        </is>
      </c>
      <c r="AD1363" s="150" t="n"/>
      <c r="AE1363" s="150" t="n"/>
      <c r="AF1363" s="150" t="n"/>
      <c r="AG1363" s="150" t="n"/>
      <c r="AH1363" s="150" t="n"/>
      <c r="AI1363" s="417" t="n"/>
      <c r="AJ1363" s="417" t="n"/>
      <c r="AK1363" s="418" t="n"/>
      <c r="AL1363" s="417" t="n"/>
      <c r="AM1363" s="417" t="n"/>
      <c r="AN1363" s="417" t="n"/>
      <c r="AO1363" s="417" t="n"/>
      <c r="AP1363" s="151" t="n"/>
      <c r="AQ1363" s="151" t="n"/>
      <c r="AR1363" s="417" t="inlineStr">
        <is>
          <t>Nhóm 1</t>
        </is>
      </c>
      <c r="AS1363" s="417" t="n"/>
      <c r="AT1363" s="417" t="inlineStr">
        <is>
          <t>HM43</t>
        </is>
      </c>
      <c r="AU1363" s="417" t="inlineStr">
        <is>
          <t>NTCV</t>
        </is>
      </c>
      <c r="AV1363" s="417" t="n">
        <v>416</v>
      </c>
      <c r="AW1363" s="417" t="n">
        <v>2</v>
      </c>
      <c r="AX1363" s="417" t="n"/>
    </row>
    <row r="1364">
      <c r="A1364" s="413" t="inlineStr">
        <is>
          <t>BBK469</t>
        </is>
      </c>
      <c r="B1364" s="413" t="inlineStr">
        <is>
          <t>PL08.1</t>
        </is>
      </c>
      <c r="C1364" s="413" t="inlineStr">
        <is>
          <t>BBK469.0255648</t>
        </is>
      </c>
      <c r="D1364" s="414" t="n"/>
      <c r="E1364" s="414" t="n"/>
      <c r="F1364" s="414" t="n"/>
      <c r="G1364" s="414" t="n"/>
      <c r="H1364" s="414" t="n"/>
      <c r="J1364" s="108" t="inlineStr">
        <is>
          <t>10</t>
        </is>
      </c>
      <c r="K1364" s="108" t="inlineStr">
        <is>
          <t>PL08.1</t>
        </is>
      </c>
      <c r="L1364" s="109">
        <f>L1363</f>
        <v/>
      </c>
      <c r="M1364" s="109" t="n"/>
      <c r="N1364" s="109" t="n"/>
      <c r="O1364" s="110" t="inlineStr">
        <is>
          <t>Cầu KM19+529.080</t>
        </is>
      </c>
      <c r="P1364" s="401" t="n"/>
      <c r="Q1364" s="401" t="n"/>
      <c r="R1364" s="401" t="n"/>
      <c r="S1364" s="401">
        <f>S1363</f>
        <v/>
      </c>
      <c r="T1364" s="401" t="n"/>
      <c r="U1364" s="401" t="n"/>
      <c r="V1364" s="401" t="n"/>
      <c r="W1364" s="403" t="n"/>
      <c r="X1364" s="403" t="n"/>
      <c r="Y1364" s="403" t="n"/>
      <c r="Z1364" s="108" t="n">
        <v>3</v>
      </c>
      <c r="AA1364" s="113" t="n"/>
      <c r="AB1364" s="113" t="n"/>
      <c r="AC1364" s="113" t="inlineStr">
        <is>
          <t>307HG/BBNT/TT/T1-Đ2/Đ1-3</t>
        </is>
      </c>
      <c r="AD1364" s="113" t="n"/>
      <c r="AE1364" s="113" t="n"/>
      <c r="AF1364" s="113" t="n"/>
      <c r="AG1364" s="113" t="n"/>
      <c r="AH1364" s="113" t="inlineStr">
        <is>
          <t>TT-T1-Đ2-Đ1</t>
        </is>
      </c>
      <c r="AI1364" s="403" t="n"/>
      <c r="AJ1364" s="403" t="n"/>
      <c r="AK1364" s="404" t="n"/>
      <c r="AL1364" s="403" t="n"/>
      <c r="AM1364" s="403" t="n"/>
      <c r="AN1364" s="403" t="n"/>
      <c r="AO1364" s="403" t="n"/>
      <c r="AP1364" s="115" t="n"/>
      <c r="AQ1364" s="115" t="n"/>
      <c r="AR1364" s="403" t="inlineStr">
        <is>
          <t>Nhóm 1</t>
        </is>
      </c>
      <c r="AS1364" s="403" t="n"/>
      <c r="AT1364" s="403" t="inlineStr">
        <is>
          <t>HM43</t>
        </is>
      </c>
      <c r="AU1364" s="403" t="inlineStr">
        <is>
          <t>PL08.1</t>
        </is>
      </c>
      <c r="AV1364" s="403" t="n">
        <v>7</v>
      </c>
      <c r="AW1364" s="403" t="n">
        <v>1</v>
      </c>
      <c r="AX1364" s="403" t="n"/>
    </row>
    <row r="1365" ht="28" customHeight="1" s="672">
      <c r="A1365" s="413" t="inlineStr">
        <is>
          <t>NTCV</t>
        </is>
      </c>
      <c r="B1365" s="413" t="inlineStr">
        <is>
          <t>K.9999</t>
        </is>
      </c>
      <c r="C1365" s="413" t="inlineStr">
        <is>
          <t>NTCV.0872563</t>
        </is>
      </c>
      <c r="D1365" s="414" t="n"/>
      <c r="E1365" s="414" t="n"/>
      <c r="F1365" s="414" t="n"/>
      <c r="G1365" s="414" t="n"/>
      <c r="H1365" s="414" t="n"/>
      <c r="J1365" s="131" t="inlineStr">
        <is>
          <t>11</t>
        </is>
      </c>
      <c r="K1365" s="131" t="inlineStr">
        <is>
          <t>K.9999</t>
        </is>
      </c>
      <c r="L1365" s="132" t="inlineStr">
        <is>
          <t>Công tác chuẩn bị đổ bê tông thân trụ T1 đoạn 2 (đợt 1)</t>
        </is>
      </c>
      <c r="M1365" s="132" t="n"/>
      <c r="N1365" s="132" t="n"/>
      <c r="O1365" s="133" t="inlineStr">
        <is>
          <t>Cầu KM19+529.080</t>
        </is>
      </c>
      <c r="P1365" s="419">
        <f>S1363</f>
        <v/>
      </c>
      <c r="Q1365" s="419">
        <f>P1365+1</f>
        <v/>
      </c>
      <c r="R1365" s="415">
        <f>+Q1365-2</f>
        <v/>
      </c>
      <c r="S1365" s="415">
        <f>+Q1365</f>
        <v/>
      </c>
      <c r="T1365" s="420" t="n">
        <v>0.3333333333333333</v>
      </c>
      <c r="U1365" s="420">
        <f>+T1365+V1365</f>
        <v/>
      </c>
      <c r="V1365" s="420" t="n">
        <v>0.02083333333333333</v>
      </c>
      <c r="W1365" s="417">
        <f>TEXT(T1365,"HH""h""MM'")&amp;"÷"&amp;TEXT(U1365,"HH""h""MM'")</f>
        <v/>
      </c>
      <c r="X1365" s="421" t="n"/>
      <c r="Y1365" s="421" t="n"/>
      <c r="Z1365" s="421" t="inlineStr">
        <is>
          <t>04;</t>
        </is>
      </c>
      <c r="AA1365" s="136" t="inlineStr">
        <is>
          <t>Công tác chuẩn bị đổ bê tông thân trụ T1 đoạn 2 (đợt 1)</t>
        </is>
      </c>
      <c r="AB1365" s="150" t="inlineStr">
        <is>
          <t>307HG/YCNT/TT/T1-Đ2/Đ1-2</t>
        </is>
      </c>
      <c r="AC1365" s="136" t="inlineStr">
        <is>
          <t>307HG/BBNT/TT/T1-Đ2/Đ1-4</t>
        </is>
      </c>
      <c r="AD1365" s="136" t="n"/>
      <c r="AE1365" s="136" t="n"/>
      <c r="AF1365" s="136" t="n"/>
      <c r="AG1365" s="136" t="n"/>
      <c r="AH1365" s="136" t="n"/>
      <c r="AI1365" s="421" t="n"/>
      <c r="AJ1365" s="421" t="n"/>
      <c r="AK1365" s="422" t="n"/>
      <c r="AL1365" s="421" t="n"/>
      <c r="AM1365" s="421" t="n"/>
      <c r="AN1365" s="421" t="n"/>
      <c r="AO1365" s="421" t="n"/>
      <c r="AP1365" s="138" t="n"/>
      <c r="AQ1365" s="138" t="n"/>
      <c r="AR1365" s="421" t="inlineStr">
        <is>
          <t>Nhóm 1</t>
        </is>
      </c>
      <c r="AS1365" s="421" t="n"/>
      <c r="AT1365" s="421" t="inlineStr">
        <is>
          <t>HM43</t>
        </is>
      </c>
      <c r="AU1365" s="421" t="inlineStr">
        <is>
          <t>NTCV</t>
        </is>
      </c>
      <c r="AV1365" s="421" t="n">
        <v>418</v>
      </c>
      <c r="AW1365" s="421" t="n">
        <v>3</v>
      </c>
      <c r="AX1365" s="421" t="n"/>
    </row>
    <row r="1366">
      <c r="A1366" s="413" t="inlineStr">
        <is>
          <t>BBK209</t>
        </is>
      </c>
      <c r="B1366" s="413" t="inlineStr">
        <is>
          <t>PL09</t>
        </is>
      </c>
      <c r="C1366" s="413" t="inlineStr">
        <is>
          <t>BBK209.0781277</t>
        </is>
      </c>
      <c r="D1366" s="414" t="n"/>
      <c r="E1366" s="414" t="n"/>
      <c r="F1366" s="414" t="n"/>
      <c r="G1366" s="414" t="n"/>
      <c r="H1366" s="414" t="n"/>
      <c r="J1366" s="124" t="inlineStr">
        <is>
          <t>12</t>
        </is>
      </c>
      <c r="K1366" s="124" t="inlineStr">
        <is>
          <t>PL09</t>
        </is>
      </c>
      <c r="L1366" s="125">
        <f>+L1365</f>
        <v/>
      </c>
      <c r="M1366" s="125" t="n"/>
      <c r="N1366" s="125" t="n"/>
      <c r="O1366" s="126" t="inlineStr">
        <is>
          <t>Cầu KM19+529.080</t>
        </is>
      </c>
      <c r="P1366" s="423" t="n"/>
      <c r="Q1366" s="423" t="n"/>
      <c r="R1366" s="423">
        <f>+R1367</f>
        <v/>
      </c>
      <c r="S1366" s="423">
        <f>+S1365</f>
        <v/>
      </c>
      <c r="T1366" s="424" t="n"/>
      <c r="U1366" s="424" t="n"/>
      <c r="V1366" s="424" t="n"/>
      <c r="W1366" s="425" t="n"/>
      <c r="X1366" s="425" t="n"/>
      <c r="Y1366" s="425" t="n"/>
      <c r="Z1366" s="124" t="n">
        <v>4</v>
      </c>
      <c r="AA1366" s="129" t="n"/>
      <c r="AB1366" s="129" t="n"/>
      <c r="AC1366" s="129">
        <f>+AC1365</f>
        <v/>
      </c>
      <c r="AD1366" s="129" t="n"/>
      <c r="AE1366" s="129" t="n"/>
      <c r="AF1366" s="129" t="n"/>
      <c r="AG1366" s="129" t="n"/>
      <c r="AH1366" s="129" t="inlineStr">
        <is>
          <t>C30</t>
        </is>
      </c>
      <c r="AI1366" s="425" t="n"/>
      <c r="AJ1366" s="425" t="n"/>
      <c r="AK1366" s="427" t="n"/>
      <c r="AL1366" s="425" t="n"/>
      <c r="AM1366" s="425" t="n"/>
      <c r="AN1366" s="425" t="n"/>
      <c r="AO1366" s="425" t="n"/>
      <c r="AP1366" s="130" t="n"/>
      <c r="AQ1366" s="130" t="n"/>
      <c r="AR1366" s="425" t="inlineStr">
        <is>
          <t>Nhóm 1</t>
        </is>
      </c>
      <c r="AS1366" s="425" t="n"/>
      <c r="AT1366" s="425" t="inlineStr">
        <is>
          <t>HM43</t>
        </is>
      </c>
      <c r="AU1366" s="425" t="inlineStr">
        <is>
          <t>PL09</t>
        </is>
      </c>
      <c r="AV1366" s="425" t="n">
        <v>33</v>
      </c>
      <c r="AW1366" s="425" t="n">
        <v>1</v>
      </c>
      <c r="AX1366" s="425" t="n"/>
    </row>
    <row r="1367" ht="28" customHeight="1" s="672">
      <c r="A1367" s="413" t="inlineStr">
        <is>
          <t>NTCV</t>
        </is>
      </c>
      <c r="B1367" s="413" t="inlineStr">
        <is>
          <t>K.9999</t>
        </is>
      </c>
      <c r="C1367" s="413" t="inlineStr">
        <is>
          <t>NTCV.0464253</t>
        </is>
      </c>
      <c r="D1367" s="414" t="n"/>
      <c r="E1367" s="414" t="n"/>
      <c r="F1367" s="414" t="n"/>
      <c r="G1367" s="414" t="n"/>
      <c r="H1367" s="414" t="n"/>
      <c r="J1367" s="161" t="inlineStr">
        <is>
          <t>13</t>
        </is>
      </c>
      <c r="K1367" s="161" t="inlineStr">
        <is>
          <t>K.9999</t>
        </is>
      </c>
      <c r="L1367" s="162" t="inlineStr">
        <is>
          <t>Công tác đổ, lấy mẫu bê tông thân trụ T1 đoạn 2 (đợt 1)</t>
        </is>
      </c>
      <c r="M1367" s="162" t="n"/>
      <c r="N1367" s="162" t="n"/>
      <c r="O1367" s="163" t="inlineStr">
        <is>
          <t>Cầu KM19+529.080</t>
        </is>
      </c>
      <c r="P1367" s="409">
        <f>+S1365</f>
        <v/>
      </c>
      <c r="Q1367" s="409">
        <f>+P1367</f>
        <v/>
      </c>
      <c r="R1367" s="409">
        <f>+Q1367-1</f>
        <v/>
      </c>
      <c r="S1367" s="409">
        <f>+Q1367</f>
        <v/>
      </c>
      <c r="T1367" s="410" t="n">
        <v>0.375</v>
      </c>
      <c r="U1367" s="410">
        <f>+T1367+V1367</f>
        <v/>
      </c>
      <c r="V1367" s="410" t="n">
        <v>0.125</v>
      </c>
      <c r="W1367" s="417">
        <f>TEXT(T1367,"HH""h""MM'")&amp;"÷"&amp;TEXT(U1367,"HH""h""MM'")</f>
        <v/>
      </c>
      <c r="X1367" s="411" t="n"/>
      <c r="Y1367" s="411" t="n"/>
      <c r="Z1367" s="161" t="inlineStr">
        <is>
          <t>05;</t>
        </is>
      </c>
      <c r="AA1367" s="166" t="inlineStr">
        <is>
          <t>Công tác đổ bê tông, lấy mẫu bê tông thân trụ T1 đoạn 2 (đợt 1)</t>
        </is>
      </c>
      <c r="AB1367" s="166" t="n"/>
      <c r="AC1367" s="166" t="inlineStr">
        <is>
          <t>307HG/BBNT/TT/T1-Đ2/Đ1-5</t>
        </is>
      </c>
      <c r="AD1367" s="166" t="n"/>
      <c r="AE1367" s="166" t="n"/>
      <c r="AF1367" s="166" t="n"/>
      <c r="AG1367" s="166" t="n"/>
      <c r="AH1367" s="166" t="n"/>
      <c r="AI1367" s="411" t="n"/>
      <c r="AJ1367" s="411" t="n"/>
      <c r="AK1367" s="412" t="n"/>
      <c r="AL1367" s="411" t="n"/>
      <c r="AM1367" s="411" t="n"/>
      <c r="AN1367" s="411" t="n"/>
      <c r="AO1367" s="411" t="n"/>
      <c r="AP1367" s="167" t="n"/>
      <c r="AQ1367" s="167" t="n"/>
      <c r="AR1367" s="411" t="inlineStr">
        <is>
          <t>Nhóm 1</t>
        </is>
      </c>
      <c r="AS1367" s="411" t="n"/>
      <c r="AT1367" s="411" t="inlineStr">
        <is>
          <t>HM43</t>
        </is>
      </c>
      <c r="AU1367" s="411" t="inlineStr">
        <is>
          <t>NTCV</t>
        </is>
      </c>
      <c r="AV1367" s="411" t="n">
        <v>420</v>
      </c>
      <c r="AW1367" s="411" t="n">
        <v>4</v>
      </c>
      <c r="AX1367" s="411" t="n"/>
    </row>
    <row r="1368" ht="28" customHeight="1" s="672">
      <c r="A1368" s="413" t="inlineStr">
        <is>
          <t>BBK832</t>
        </is>
      </c>
      <c r="B1368" s="413" t="inlineStr">
        <is>
          <t>PL06.1</t>
        </is>
      </c>
      <c r="C1368" s="413" t="inlineStr">
        <is>
          <t>BBK832.0125469</t>
        </is>
      </c>
      <c r="D1368" s="414" t="n"/>
      <c r="E1368" s="414" t="n"/>
      <c r="F1368" s="414" t="n"/>
      <c r="G1368" s="414" t="n"/>
      <c r="H1368" s="414" t="n"/>
      <c r="J1368" s="168" t="inlineStr">
        <is>
          <t>14</t>
        </is>
      </c>
      <c r="K1368" s="168" t="inlineStr">
        <is>
          <t>PL06.1</t>
        </is>
      </c>
      <c r="L1368" s="169">
        <f>+L1367</f>
        <v/>
      </c>
      <c r="M1368" s="169" t="n"/>
      <c r="N1368" s="169" t="n"/>
      <c r="O1368" s="170" t="inlineStr">
        <is>
          <t>Cầu KM19+529.080</t>
        </is>
      </c>
      <c r="P1368" s="405" t="n"/>
      <c r="Q1368" s="405" t="n"/>
      <c r="R1368" s="405" t="n"/>
      <c r="S1368" s="405">
        <f>+S1367</f>
        <v/>
      </c>
      <c r="T1368" s="428">
        <f>+T1367</f>
        <v/>
      </c>
      <c r="U1368" s="428">
        <f>T1368+V1368</f>
        <v/>
      </c>
      <c r="V1368" s="428">
        <f>+V1367</f>
        <v/>
      </c>
      <c r="W1368" s="406" t="n"/>
      <c r="X1368" s="406" t="n"/>
      <c r="Y1368" s="406" t="n"/>
      <c r="Z1368" s="168" t="n">
        <v>5</v>
      </c>
      <c r="AA1368" s="173" t="n"/>
      <c r="AB1368" s="173" t="n"/>
      <c r="AC1368" s="173">
        <f>+AC1367</f>
        <v/>
      </c>
      <c r="AD1368" s="173" t="n"/>
      <c r="AE1368" s="173" t="n"/>
      <c r="AF1368" s="173" t="n"/>
      <c r="AG1368" s="173" t="n"/>
      <c r="AH1368" s="407" t="inlineStr">
        <is>
          <t>C30-TT-T1-Đ2-Đ1</t>
        </is>
      </c>
      <c r="AI1368" s="406" t="n"/>
      <c r="AJ1368" s="406" t="n"/>
      <c r="AK1368" s="408" t="n"/>
      <c r="AL1368" s="406" t="n"/>
      <c r="AM1368" s="406" t="n"/>
      <c r="AN1368" s="406" t="n"/>
      <c r="AO1368" s="406" t="n"/>
      <c r="AP1368" s="174" t="n"/>
      <c r="AQ1368" s="174" t="n"/>
      <c r="AR1368" s="406" t="inlineStr">
        <is>
          <t>Nhóm 1</t>
        </is>
      </c>
      <c r="AS1368" s="406" t="n"/>
      <c r="AT1368" s="406" t="inlineStr">
        <is>
          <t>HM43</t>
        </is>
      </c>
      <c r="AU1368" s="406" t="inlineStr">
        <is>
          <t>PL06.1</t>
        </is>
      </c>
      <c r="AV1368" s="406" t="n">
        <v>8</v>
      </c>
      <c r="AW1368" s="406" t="n">
        <v>1</v>
      </c>
      <c r="AX1368" s="406" t="n"/>
    </row>
    <row r="1369">
      <c r="A1369" s="413" t="inlineStr">
        <is>
          <t>LMHT</t>
        </is>
      </c>
      <c r="B1369" s="413" t="inlineStr">
        <is>
          <t>LMHT</t>
        </is>
      </c>
      <c r="C1369" s="413" t="inlineStr">
        <is>
          <t>LMHT.0198889</t>
        </is>
      </c>
      <c r="D1369" s="414" t="inlineStr">
        <is>
          <t>TC.000041|TC.000182|TC.000169.A</t>
        </is>
      </c>
      <c r="E1369" s="414" t="n"/>
      <c r="F1369" s="414" t="inlineStr">
        <is>
          <t>CP.0001^Bê tông thân trụ T1 đoạn 2 (đợt 1)^Hình trụ 15x30 (cm)^18^C30 (30Mpa)^^^TC.000041|TC.000182|TC.000169.A</t>
        </is>
      </c>
      <c r="G1369" s="414" t="n"/>
      <c r="H1369" s="414" t="n"/>
      <c r="J1369" s="175" t="inlineStr">
        <is>
          <t>15</t>
        </is>
      </c>
      <c r="K1369" s="175" t="inlineStr">
        <is>
          <t>LMHT</t>
        </is>
      </c>
      <c r="L1369" s="176" t="inlineStr">
        <is>
          <t>Bê tông thân trụ T1 đoạn 2 (đợt 1)</t>
        </is>
      </c>
      <c r="M1369" s="176" t="n"/>
      <c r="N1369" s="176" t="n"/>
      <c r="O1369" s="177" t="inlineStr">
        <is>
          <t>Cầu KM19+529.080</t>
        </is>
      </c>
      <c r="P1369" s="299" t="n"/>
      <c r="Q1369" s="299" t="n"/>
      <c r="R1369" s="299" t="n"/>
      <c r="S1369" s="299">
        <f>S1365</f>
        <v/>
      </c>
      <c r="T1369" s="300">
        <f>T1368</f>
        <v/>
      </c>
      <c r="U1369" s="300">
        <f>U1368</f>
        <v/>
      </c>
      <c r="V1369" s="300">
        <f>V1368</f>
        <v/>
      </c>
      <c r="W1369" s="301" t="n"/>
      <c r="X1369" s="301" t="n"/>
      <c r="Y1369" s="301" t="n"/>
      <c r="Z1369" s="301" t="n"/>
      <c r="AA1369" s="180" t="n"/>
      <c r="AB1369" s="180" t="n"/>
      <c r="AC1369" s="180" t="n"/>
      <c r="AD1369" s="180" t="n"/>
      <c r="AE1369" s="180" t="n"/>
      <c r="AF1369" s="180" t="n"/>
      <c r="AG1369" s="180" t="n"/>
      <c r="AH1369" s="180" t="n"/>
      <c r="AI1369" s="301" t="n"/>
      <c r="AJ1369" s="301" t="n"/>
      <c r="AK1369" s="303" t="n"/>
      <c r="AL1369" s="301" t="n"/>
      <c r="AM1369" s="301" t="n"/>
      <c r="AN1369" s="301" t="n"/>
      <c r="AO1369" s="301" t="n"/>
      <c r="AP1369" s="181" t="n"/>
      <c r="AQ1369" s="181" t="n"/>
      <c r="AR1369" s="301" t="inlineStr">
        <is>
          <t>Nhóm 1</t>
        </is>
      </c>
      <c r="AS1369" s="301" t="n"/>
      <c r="AT1369" s="301" t="inlineStr">
        <is>
          <t>HM43</t>
        </is>
      </c>
      <c r="AU1369" s="301" t="inlineStr">
        <is>
          <t>LMHT</t>
        </is>
      </c>
      <c r="AV1369" s="301" t="n">
        <v>44</v>
      </c>
      <c r="AW1369" s="301" t="n">
        <v>1</v>
      </c>
      <c r="AX1369" s="301" t="n"/>
    </row>
    <row r="1370">
      <c r="A1370" s="413" t="inlineStr">
        <is>
          <t>BBK680</t>
        </is>
      </c>
      <c r="B1370" s="413" t="inlineStr">
        <is>
          <t>PYC</t>
        </is>
      </c>
      <c r="C1370" s="413" t="inlineStr">
        <is>
          <t>BBK680.0244927</t>
        </is>
      </c>
      <c r="D1370" s="414" t="n"/>
      <c r="E1370" s="414" t="n"/>
      <c r="F1370" s="414" t="n"/>
      <c r="G1370" s="414" t="n"/>
      <c r="H1370" s="414" t="n"/>
      <c r="J1370" s="168" t="inlineStr">
        <is>
          <t>16</t>
        </is>
      </c>
      <c r="K1370" s="168" t="inlineStr">
        <is>
          <t>PYC</t>
        </is>
      </c>
      <c r="L1370" s="169" t="inlineStr">
        <is>
          <t>phiếu yêu cầu</t>
        </is>
      </c>
      <c r="M1370" s="169" t="n"/>
      <c r="N1370" s="169" t="n"/>
      <c r="O1370" s="170" t="inlineStr">
        <is>
          <t>Cầu KM19+529.080</t>
        </is>
      </c>
      <c r="P1370" s="405" t="n"/>
      <c r="Q1370" s="405" t="n"/>
      <c r="R1370" s="401">
        <f>+R1371</f>
        <v/>
      </c>
      <c r="S1370" s="405">
        <f>R1370+1</f>
        <v/>
      </c>
      <c r="T1370" s="405" t="n"/>
      <c r="U1370" s="405" t="n"/>
      <c r="V1370" s="405" t="n"/>
      <c r="W1370" s="406" t="n"/>
      <c r="X1370" s="406" t="n"/>
      <c r="Y1370" s="406" t="n"/>
      <c r="Z1370" s="406" t="n"/>
      <c r="AA1370" s="173" t="n"/>
      <c r="AB1370" s="173" t="inlineStr">
        <is>
          <t>307HG/YCNT/TT/T1-Đ2/Đ1</t>
        </is>
      </c>
      <c r="AC1370" s="173" t="n"/>
      <c r="AD1370" s="173" t="n"/>
      <c r="AE1370" s="173" t="n"/>
      <c r="AF1370" s="173" t="n"/>
      <c r="AG1370" s="129" t="inlineStr">
        <is>
          <t>NTCV</t>
        </is>
      </c>
      <c r="AH1370" s="173" t="n">
        <v>5</v>
      </c>
      <c r="AI1370" s="406" t="n"/>
      <c r="AJ1370" s="406" t="n"/>
      <c r="AK1370" s="408" t="n"/>
      <c r="AL1370" s="406" t="n"/>
      <c r="AM1370" s="406" t="n"/>
      <c r="AN1370" s="406" t="n"/>
      <c r="AO1370" s="406" t="n"/>
      <c r="AP1370" s="174" t="n"/>
      <c r="AQ1370" s="174" t="n"/>
      <c r="AR1370" s="406" t="inlineStr">
        <is>
          <t>Nhóm 1</t>
        </is>
      </c>
      <c r="AS1370" s="406" t="n"/>
      <c r="AT1370" s="406" t="inlineStr">
        <is>
          <t>HM43</t>
        </is>
      </c>
      <c r="AU1370" s="406" t="inlineStr">
        <is>
          <t>PYC</t>
        </is>
      </c>
      <c r="AV1370" s="406" t="n">
        <v>82</v>
      </c>
      <c r="AW1370" s="406" t="n">
        <v>3</v>
      </c>
      <c r="AX1370" s="406" t="n"/>
    </row>
    <row r="1371">
      <c r="A1371" s="413" t="inlineStr">
        <is>
          <t>NTCV</t>
        </is>
      </c>
      <c r="B1371" s="413" t="inlineStr">
        <is>
          <t>K.9999</t>
        </is>
      </c>
      <c r="C1371" s="413" t="inlineStr">
        <is>
          <t>NTCV.0995422</t>
        </is>
      </c>
      <c r="D1371" s="414" t="n"/>
      <c r="E1371" s="414" t="n"/>
      <c r="F1371" s="414" t="n"/>
      <c r="G1371" s="414" t="n"/>
      <c r="H1371" s="414" t="n"/>
      <c r="J1371" s="147" t="inlineStr">
        <is>
          <t>17</t>
        </is>
      </c>
      <c r="K1371" s="147" t="inlineStr">
        <is>
          <t>K.9999</t>
        </is>
      </c>
      <c r="L1371" s="148" t="inlineStr">
        <is>
          <t>Tháo ván khuôn thân trụ T1 đoạn 2 (đợt 1)</t>
        </is>
      </c>
      <c r="M1371" s="148" t="n"/>
      <c r="N1371" s="148" t="n"/>
      <c r="O1371" s="149" t="inlineStr">
        <is>
          <t>Cầu KM19+529.080</t>
        </is>
      </c>
      <c r="P1371" s="415">
        <f>S1369</f>
        <v/>
      </c>
      <c r="Q1371" s="415">
        <f>+P1371+3</f>
        <v/>
      </c>
      <c r="R1371" s="415">
        <f>Q1371-1</f>
        <v/>
      </c>
      <c r="S1371" s="415">
        <f>Q1371</f>
        <v/>
      </c>
      <c r="T1371" s="416" t="n">
        <v>0.3541666666666667</v>
      </c>
      <c r="U1371" s="416">
        <f>+T1371+V1371</f>
        <v/>
      </c>
      <c r="V1371" s="416" t="n">
        <v>0.01388888888888889</v>
      </c>
      <c r="W1371" s="411">
        <f>TEXT(T1371,"HH""h""MM'")&amp;"÷"&amp;TEXT(U1371,"HH""h""MM'")</f>
        <v/>
      </c>
      <c r="X1371" s="417" t="n"/>
      <c r="Y1371" s="417" t="n"/>
      <c r="Z1371" s="417" t="inlineStr">
        <is>
          <t>06;</t>
        </is>
      </c>
      <c r="AA1371" s="150" t="inlineStr">
        <is>
          <t>Kiểm tra ván khuôn Bệ trụ T1 đoạn 2</t>
        </is>
      </c>
      <c r="AB1371" s="150" t="inlineStr">
        <is>
          <t>307HG/YCNT/TT/T1-Đ2/Đ1-3</t>
        </is>
      </c>
      <c r="AC1371" s="150" t="inlineStr">
        <is>
          <t>307HG/BBNT/TT/T1-Đ2/Đ1-5</t>
        </is>
      </c>
      <c r="AD1371" s="150" t="n"/>
      <c r="AE1371" s="150" t="n"/>
      <c r="AF1371" s="150" t="n"/>
      <c r="AG1371" s="150" t="n"/>
      <c r="AH1371" s="150" t="n"/>
      <c r="AI1371" s="417" t="n"/>
      <c r="AJ1371" s="417" t="n"/>
      <c r="AK1371" s="418" t="n"/>
      <c r="AL1371" s="417" t="n"/>
      <c r="AM1371" s="417" t="n"/>
      <c r="AN1371" s="417" t="n"/>
      <c r="AO1371" s="417" t="n"/>
      <c r="AP1371" s="151" t="n"/>
      <c r="AQ1371" s="151" t="n"/>
      <c r="AR1371" s="417" t="inlineStr">
        <is>
          <t>Nhóm 1</t>
        </is>
      </c>
      <c r="AS1371" s="417" t="n"/>
      <c r="AT1371" s="417" t="inlineStr">
        <is>
          <t>HM43</t>
        </is>
      </c>
      <c r="AU1371" s="417" t="inlineStr">
        <is>
          <t>NTCV</t>
        </is>
      </c>
      <c r="AV1371" s="417" t="n">
        <v>429</v>
      </c>
      <c r="AW1371" s="417" t="n">
        <v>5</v>
      </c>
      <c r="AX1371" s="417" t="n"/>
    </row>
    <row r="1372">
      <c r="A1372" s="413" t="inlineStr">
        <is>
          <t>BBK587</t>
        </is>
      </c>
      <c r="B1372" s="413" t="inlineStr">
        <is>
          <t>PL07.02</t>
        </is>
      </c>
      <c r="C1372" s="413" t="inlineStr">
        <is>
          <t>BBK587.0015604</t>
        </is>
      </c>
      <c r="D1372" s="414" t="n"/>
      <c r="E1372" s="414" t="n"/>
      <c r="F1372" s="414" t="n"/>
      <c r="G1372" s="414" t="n"/>
      <c r="H1372" s="414" t="n"/>
      <c r="J1372" s="108" t="inlineStr">
        <is>
          <t>18</t>
        </is>
      </c>
      <c r="K1372" s="108" t="inlineStr">
        <is>
          <t>PL07.02</t>
        </is>
      </c>
      <c r="L1372" s="109">
        <f>+L1371</f>
        <v/>
      </c>
      <c r="M1372" s="109" t="n"/>
      <c r="N1372" s="109" t="n"/>
      <c r="O1372" s="110" t="inlineStr">
        <is>
          <t>Cầu KM19+529.080</t>
        </is>
      </c>
      <c r="P1372" s="401" t="n"/>
      <c r="Q1372" s="401" t="n"/>
      <c r="R1372" s="401" t="n"/>
      <c r="S1372" s="401">
        <f>S1371</f>
        <v/>
      </c>
      <c r="T1372" s="401" t="n"/>
      <c r="U1372" s="401" t="n"/>
      <c r="V1372" s="401" t="n"/>
      <c r="W1372" s="403" t="n"/>
      <c r="X1372" s="403" t="n"/>
      <c r="Y1372" s="403" t="n"/>
      <c r="Z1372" s="108" t="n">
        <v>6</v>
      </c>
      <c r="AA1372" s="113" t="n"/>
      <c r="AB1372" s="113" t="n"/>
      <c r="AC1372" s="113" t="inlineStr">
        <is>
          <t>307HG/BBNT/TT/T1-Đ2/Đ1-5</t>
        </is>
      </c>
      <c r="AD1372" s="113" t="n"/>
      <c r="AE1372" s="113" t="n"/>
      <c r="AF1372" s="113" t="n"/>
      <c r="AG1372" s="113" t="n"/>
      <c r="AH1372" s="114" t="inlineStr">
        <is>
          <t>TT-T1-Đ2-Đ1</t>
        </is>
      </c>
      <c r="AI1372" s="403" t="n"/>
      <c r="AJ1372" s="403" t="n"/>
      <c r="AK1372" s="404" t="n"/>
      <c r="AL1372" s="403" t="n"/>
      <c r="AM1372" s="403" t="n"/>
      <c r="AN1372" s="403" t="n"/>
      <c r="AO1372" s="403" t="n"/>
      <c r="AP1372" s="115" t="n"/>
      <c r="AQ1372" s="115" t="inlineStr">
        <is>
          <t>Ảnh\TT DD1 T1,T2.png</t>
        </is>
      </c>
      <c r="AR1372" s="403" t="inlineStr">
        <is>
          <t>Nhóm 1</t>
        </is>
      </c>
      <c r="AS1372" s="403" t="n"/>
      <c r="AT1372" s="403" t="inlineStr">
        <is>
          <t>HM43</t>
        </is>
      </c>
      <c r="AU1372" s="403" t="inlineStr">
        <is>
          <t>PL07.02</t>
        </is>
      </c>
      <c r="AV1372" s="403" t="n">
        <v>4</v>
      </c>
      <c r="AW1372" s="403" t="n">
        <v>1</v>
      </c>
      <c r="AX1372" s="403" t="n"/>
    </row>
    <row r="1373" ht="28" customHeight="1" s="672">
      <c r="A1373" s="413" t="inlineStr">
        <is>
          <t>BBK680</t>
        </is>
      </c>
      <c r="B1373" s="413" t="inlineStr">
        <is>
          <t>PYC</t>
        </is>
      </c>
      <c r="C1373" s="413" t="inlineStr">
        <is>
          <t>BBK680.0327556</t>
        </is>
      </c>
      <c r="D1373" s="414" t="n"/>
      <c r="E1373" s="414" t="n"/>
      <c r="F1373" s="414" t="n"/>
      <c r="G1373" s="414" t="n"/>
      <c r="H1373" s="414" t="n"/>
      <c r="J1373" s="168" t="inlineStr">
        <is>
          <t>19</t>
        </is>
      </c>
      <c r="K1373" s="168" t="inlineStr">
        <is>
          <t>PYC</t>
        </is>
      </c>
      <c r="L1373" s="169" t="inlineStr">
        <is>
          <t>phiếu yêu cầu</t>
        </is>
      </c>
      <c r="M1373" s="169" t="n"/>
      <c r="N1373" s="169" t="n"/>
      <c r="O1373" s="170" t="inlineStr">
        <is>
          <t>Cầu KM19+529.080</t>
        </is>
      </c>
      <c r="P1373" s="405" t="n"/>
      <c r="Q1373" s="405" t="n"/>
      <c r="R1373" s="405">
        <f>S1373-1</f>
        <v/>
      </c>
      <c r="S1373" s="405">
        <f>S1369+7</f>
        <v/>
      </c>
      <c r="T1373" s="428" t="n">
        <v>0.3333333333333333</v>
      </c>
      <c r="U1373" s="428">
        <f>+T1373+V1373</f>
        <v/>
      </c>
      <c r="V1373" s="428" t="n">
        <v>0.02083333333333333</v>
      </c>
      <c r="W1373" s="406" t="n"/>
      <c r="X1373" s="406" t="n"/>
      <c r="Y1373" s="406" t="n"/>
      <c r="Z1373" s="406" t="n"/>
      <c r="AA1373" s="173" t="inlineStr">
        <is>
          <t>Theo dõi nén mẫu R7 bê tông thân trụ T1 đoạn 2 (đợt 1)</t>
        </is>
      </c>
      <c r="AB1373" s="173" t="inlineStr">
        <is>
          <t>307HG/YCNT/TT/T1-Đ2/Đ1-R7</t>
        </is>
      </c>
      <c r="AC1373" s="173" t="n"/>
      <c r="AD1373" s="173" t="n"/>
      <c r="AE1373" s="173" t="n"/>
      <c r="AF1373" s="173" t="n"/>
      <c r="AG1373" s="173" t="inlineStr">
        <is>
          <t>PYC</t>
        </is>
      </c>
      <c r="AH1373" s="173" t="n">
        <v>4</v>
      </c>
      <c r="AI1373" s="406" t="n"/>
      <c r="AJ1373" s="406" t="n"/>
      <c r="AK1373" s="408" t="n"/>
      <c r="AL1373" s="406" t="n"/>
      <c r="AM1373" s="406" t="n"/>
      <c r="AN1373" s="406" t="n"/>
      <c r="AO1373" s="406" t="n"/>
      <c r="AP1373" s="174" t="n"/>
      <c r="AQ1373" s="174" t="n"/>
      <c r="AR1373" s="406" t="inlineStr">
        <is>
          <t>Nhóm 1</t>
        </is>
      </c>
      <c r="AS1373" s="406" t="n"/>
      <c r="AT1373" s="406" t="inlineStr">
        <is>
          <t>HM43</t>
        </is>
      </c>
      <c r="AU1373" s="406" t="inlineStr">
        <is>
          <t>PYC</t>
        </is>
      </c>
      <c r="AV1373" s="406" t="n">
        <v>91</v>
      </c>
      <c r="AW1373" s="406" t="n">
        <v>4</v>
      </c>
      <c r="AX1373" s="406" t="n"/>
    </row>
    <row r="1374" ht="28" customHeight="1" s="672">
      <c r="A1374" s="413" t="inlineStr">
        <is>
          <t>BBK680</t>
        </is>
      </c>
      <c r="B1374" s="413" t="inlineStr">
        <is>
          <t>PYC</t>
        </is>
      </c>
      <c r="C1374" s="413" t="inlineStr">
        <is>
          <t>BBK680.0711709</t>
        </is>
      </c>
      <c r="D1374" s="414" t="n"/>
      <c r="E1374" s="414" t="n"/>
      <c r="F1374" s="414" t="n"/>
      <c r="G1374" s="414" t="n"/>
      <c r="H1374" s="414" t="n"/>
      <c r="J1374" s="124" t="inlineStr">
        <is>
          <t>20</t>
        </is>
      </c>
      <c r="K1374" s="124" t="inlineStr">
        <is>
          <t>PYC</t>
        </is>
      </c>
      <c r="L1374" s="125" t="inlineStr">
        <is>
          <t>phiếu yêu cầu</t>
        </is>
      </c>
      <c r="M1374" s="125" t="n"/>
      <c r="N1374" s="125" t="n"/>
      <c r="O1374" s="126" t="inlineStr">
        <is>
          <t>Cầu KM19+529.080</t>
        </is>
      </c>
      <c r="P1374" s="423" t="n"/>
      <c r="Q1374" s="423" t="n"/>
      <c r="R1374" s="423">
        <f>S1374-1</f>
        <v/>
      </c>
      <c r="S1374" s="423">
        <f>S1369+28</f>
        <v/>
      </c>
      <c r="T1374" s="424" t="n">
        <v>0.3541666666666667</v>
      </c>
      <c r="U1374" s="424">
        <f>+T1374+V1374</f>
        <v/>
      </c>
      <c r="V1374" s="424" t="n">
        <v>0.02083333333333333</v>
      </c>
      <c r="W1374" s="425" t="n"/>
      <c r="X1374" s="425" t="n"/>
      <c r="Y1374" s="425" t="n"/>
      <c r="Z1374" s="425" t="n"/>
      <c r="AA1374" s="129" t="inlineStr">
        <is>
          <t>Theo dõi nén mẫu R28 bê tông thân trụ T1 đoạn 2 (đợt 1)</t>
        </is>
      </c>
      <c r="AB1374" s="129" t="inlineStr">
        <is>
          <t>307HG/YCNT/TT/T1-Đ2/Đ1-R28</t>
        </is>
      </c>
      <c r="AC1374" s="129" t="n"/>
      <c r="AD1374" s="129" t="n"/>
      <c r="AE1374" s="129" t="n"/>
      <c r="AF1374" s="129" t="n"/>
      <c r="AG1374" s="129" t="inlineStr">
        <is>
          <t>PYC</t>
        </is>
      </c>
      <c r="AH1374" s="129" t="n">
        <v>5</v>
      </c>
      <c r="AI1374" s="425" t="n"/>
      <c r="AJ1374" s="425" t="n"/>
      <c r="AK1374" s="427" t="n"/>
      <c r="AL1374" s="425" t="n"/>
      <c r="AM1374" s="425" t="n"/>
      <c r="AN1374" s="425" t="n"/>
      <c r="AO1374" s="425" t="n"/>
      <c r="AP1374" s="130" t="n"/>
      <c r="AQ1374" s="130" t="n"/>
      <c r="AR1374" s="425" t="inlineStr">
        <is>
          <t>Nhóm 1</t>
        </is>
      </c>
      <c r="AS1374" s="425" t="n"/>
      <c r="AT1374" s="425" t="inlineStr">
        <is>
          <t>HM43</t>
        </is>
      </c>
      <c r="AU1374" s="425" t="inlineStr">
        <is>
          <t>PYC</t>
        </is>
      </c>
      <c r="AV1374" s="425" t="n">
        <v>128</v>
      </c>
      <c r="AW1374" s="425" t="n">
        <v>5</v>
      </c>
      <c r="AX1374" s="425" t="n"/>
    </row>
    <row r="1375">
      <c r="A1375" s="56" t="inlineStr">
        <is>
          <t>HM</t>
        </is>
      </c>
      <c r="B1375" s="56" t="inlineStr">
        <is>
          <t>HM</t>
        </is>
      </c>
      <c r="C1375" s="56" t="inlineStr">
        <is>
          <t>HM.0286727</t>
        </is>
      </c>
      <c r="D1375" s="57" t="n"/>
      <c r="E1375" s="57" t="n"/>
      <c r="F1375" s="57" t="n"/>
      <c r="G1375" s="57" t="n"/>
      <c r="H1375" s="57" t="n"/>
      <c r="J1375" s="387" t="inlineStr">
        <is>
          <t>HM44</t>
        </is>
      </c>
      <c r="K1375" s="387" t="inlineStr">
        <is>
          <t>HM</t>
        </is>
      </c>
      <c r="L1375" s="388" t="inlineStr">
        <is>
          <t>Thân trụ T1 đoạn 2 (đợt 2)</t>
        </is>
      </c>
      <c r="M1375" s="388" t="n"/>
      <c r="N1375" s="388" t="n"/>
      <c r="O1375" s="389" t="n"/>
      <c r="P1375" s="390" t="n"/>
      <c r="Q1375" s="390" t="n"/>
      <c r="R1375" s="390" t="n"/>
      <c r="S1375" s="390" t="n"/>
      <c r="T1375" s="390" t="n"/>
      <c r="U1375" s="390" t="n"/>
      <c r="V1375" s="390" t="n"/>
      <c r="W1375" s="391" t="n"/>
      <c r="X1375" s="391" t="n"/>
      <c r="Y1375" s="391" t="n"/>
      <c r="Z1375" s="391" t="n"/>
      <c r="AA1375" s="392" t="n"/>
      <c r="AB1375" s="392" t="n"/>
      <c r="AC1375" s="392" t="n"/>
      <c r="AD1375" s="392" t="n"/>
      <c r="AE1375" s="392" t="n"/>
      <c r="AF1375" s="392" t="n"/>
      <c r="AG1375" s="392" t="n"/>
      <c r="AH1375" s="392" t="n"/>
      <c r="AI1375" s="391" t="n"/>
      <c r="AJ1375" s="391" t="n"/>
      <c r="AK1375" s="393" t="n"/>
      <c r="AL1375" s="391" t="n"/>
      <c r="AM1375" s="391" t="n"/>
      <c r="AN1375" s="391" t="n"/>
      <c r="AO1375" s="391" t="n"/>
      <c r="AP1375" s="394" t="n"/>
      <c r="AQ1375" s="394" t="n"/>
      <c r="AR1375" s="391" t="n"/>
      <c r="AS1375" s="391" t="n"/>
      <c r="AT1375" s="391" t="inlineStr">
        <is>
          <t>HM44</t>
        </is>
      </c>
      <c r="AU1375" s="391" t="inlineStr">
        <is>
          <t>HM</t>
        </is>
      </c>
      <c r="AV1375" s="391" t="n"/>
      <c r="AW1375" s="391" t="n"/>
      <c r="AX1375" s="391" t="n"/>
    </row>
    <row r="1376" ht="28" customHeight="1" s="672">
      <c r="A1376" s="68" t="inlineStr">
        <is>
          <t>BBK_BIA</t>
        </is>
      </c>
      <c r="B1376" s="68" t="inlineStr">
        <is>
          <t>TRANGBIA</t>
        </is>
      </c>
      <c r="C1376" s="68" t="inlineStr">
        <is>
          <t>BBK_BIA.0316739</t>
        </is>
      </c>
      <c r="D1376" s="69" t="n"/>
      <c r="E1376" s="69" t="n"/>
      <c r="F1376" s="69" t="n"/>
      <c r="G1376" s="69" t="n"/>
      <c r="H1376" s="69" t="n"/>
      <c r="I1376" s="70" t="n"/>
      <c r="J1376" s="327" t="inlineStr">
        <is>
          <t>01</t>
        </is>
      </c>
      <c r="K1376" s="327" t="inlineStr">
        <is>
          <t>TRANGBIA</t>
        </is>
      </c>
      <c r="L1376" s="328">
        <f>L1375</f>
        <v/>
      </c>
      <c r="M1376" s="328" t="n"/>
      <c r="N1376" s="328" t="n"/>
      <c r="O1376" s="329" t="inlineStr">
        <is>
          <t>Cầu KM19+529.080</t>
        </is>
      </c>
      <c r="P1376" s="330" t="n"/>
      <c r="Q1376" s="330" t="n"/>
      <c r="R1376" s="330" t="n"/>
      <c r="S1376" s="330" t="n"/>
      <c r="T1376" s="330" t="n"/>
      <c r="U1376" s="330" t="n"/>
      <c r="V1376" s="330" t="n"/>
      <c r="W1376" s="331" t="n"/>
      <c r="X1376" s="331" t="n"/>
      <c r="Y1376" s="331" t="n"/>
      <c r="Z1376" s="331" t="n"/>
      <c r="AA1376" s="331" t="n"/>
      <c r="AB1376" s="331" t="n"/>
      <c r="AC1376" s="331" t="n"/>
      <c r="AD1376" s="331" t="n"/>
      <c r="AE1376" s="331" t="n"/>
      <c r="AF1376" s="331" t="n"/>
      <c r="AG1376" s="331" t="n"/>
      <c r="AH1376" s="331" t="n"/>
      <c r="AI1376" s="331" t="n"/>
      <c r="AJ1376" s="331" t="n"/>
      <c r="AK1376" s="329" t="n"/>
      <c r="AL1376" s="331" t="n"/>
      <c r="AM1376" s="331" t="n"/>
      <c r="AN1376" s="331" t="n"/>
      <c r="AO1376" s="331" t="n"/>
      <c r="AP1376" s="332">
        <f>L1376</f>
        <v/>
      </c>
      <c r="AQ1376" s="333" t="n"/>
      <c r="AR1376" s="331" t="inlineStr">
        <is>
          <t>Nhóm 1</t>
        </is>
      </c>
      <c r="AS1376" s="331" t="n"/>
      <c r="AT1376" s="331" t="inlineStr">
        <is>
          <t>HM44</t>
        </is>
      </c>
      <c r="AU1376" s="331" t="inlineStr">
        <is>
          <t>TRANGBIA</t>
        </is>
      </c>
      <c r="AV1376" s="331" t="n">
        <v>44</v>
      </c>
      <c r="AW1376" s="331" t="n">
        <v>1</v>
      </c>
      <c r="AX1376" s="331" t="n"/>
    </row>
    <row r="1377">
      <c r="A1377" s="68" t="inlineStr">
        <is>
          <t>BBK_ML</t>
        </is>
      </c>
      <c r="B1377" s="68" t="inlineStr">
        <is>
          <t>MUCLUC</t>
        </is>
      </c>
      <c r="C1377" s="68" t="inlineStr">
        <is>
          <t>BBK_ML.0149006</t>
        </is>
      </c>
      <c r="D1377" s="69" t="n"/>
      <c r="E1377" s="69" t="n"/>
      <c r="F1377" s="69" t="n"/>
      <c r="G1377" s="69" t="n"/>
      <c r="H1377" s="69" t="n"/>
      <c r="I1377" s="70" t="n"/>
      <c r="J1377" s="395" t="inlineStr">
        <is>
          <t>02</t>
        </is>
      </c>
      <c r="K1377" s="395" t="inlineStr">
        <is>
          <t>MUCLUC</t>
        </is>
      </c>
      <c r="L1377" s="396" t="inlineStr">
        <is>
          <t>Danh mục biên bản Kiểm tra/Nghiệm thu</t>
        </is>
      </c>
      <c r="M1377" s="396" t="n"/>
      <c r="N1377" s="396" t="n"/>
      <c r="O1377" s="397" t="inlineStr">
        <is>
          <t>Cầu KM19+529.080</t>
        </is>
      </c>
      <c r="P1377" s="398" t="n"/>
      <c r="Q1377" s="398" t="n"/>
      <c r="R1377" s="398" t="n"/>
      <c r="S1377" s="398" t="n"/>
      <c r="T1377" s="398" t="n"/>
      <c r="U1377" s="398" t="n"/>
      <c r="V1377" s="398" t="n"/>
      <c r="W1377" s="399" t="n"/>
      <c r="X1377" s="399" t="n"/>
      <c r="Y1377" s="399" t="n"/>
      <c r="Z1377" s="399" t="n"/>
      <c r="AA1377" s="399" t="n"/>
      <c r="AB1377" s="399" t="n"/>
      <c r="AC1377" s="399" t="n"/>
      <c r="AD1377" s="399" t="n"/>
      <c r="AE1377" s="399" t="n"/>
      <c r="AF1377" s="399" t="n"/>
      <c r="AG1377" s="399" t="n"/>
      <c r="AH1377" s="399" t="n"/>
      <c r="AI1377" s="399" t="n"/>
      <c r="AJ1377" s="399" t="n"/>
      <c r="AK1377" s="397" t="n"/>
      <c r="AL1377" s="399" t="n"/>
      <c r="AM1377" s="399" t="n"/>
      <c r="AN1377" s="399" t="n"/>
      <c r="AO1377" s="399" t="n"/>
      <c r="AP1377" s="400" t="n"/>
      <c r="AQ1377" s="400" t="n"/>
      <c r="AR1377" s="399" t="inlineStr">
        <is>
          <t>Nhóm 1</t>
        </is>
      </c>
      <c r="AS1377" s="399" t="n"/>
      <c r="AT1377" s="399" t="inlineStr">
        <is>
          <t>HM44</t>
        </is>
      </c>
      <c r="AU1377" s="399" t="inlineStr">
        <is>
          <t>MUCLUC</t>
        </is>
      </c>
      <c r="AV1377" s="399" t="n">
        <v>44</v>
      </c>
      <c r="AW1377" s="399" t="n">
        <v>1</v>
      </c>
      <c r="AX1377" s="399" t="n"/>
    </row>
    <row r="1378">
      <c r="A1378" s="56" t="inlineStr">
        <is>
          <t>BBK680</t>
        </is>
      </c>
      <c r="B1378" s="56" t="inlineStr">
        <is>
          <t>PYC</t>
        </is>
      </c>
      <c r="C1378" s="56" t="inlineStr">
        <is>
          <t>BBK680.0322797</t>
        </is>
      </c>
      <c r="D1378" s="57" t="n"/>
      <c r="E1378" s="57" t="n"/>
      <c r="F1378" s="57" t="n"/>
      <c r="G1378" s="57" t="n"/>
      <c r="H1378" s="57" t="n"/>
      <c r="J1378" s="108" t="inlineStr">
        <is>
          <t>03</t>
        </is>
      </c>
      <c r="K1378" s="108" t="inlineStr">
        <is>
          <t>PYC</t>
        </is>
      </c>
      <c r="L1378" s="109" t="inlineStr">
        <is>
          <t>phiếu yêu cầu</t>
        </is>
      </c>
      <c r="M1378" s="109" t="n"/>
      <c r="N1378" s="109" t="n"/>
      <c r="O1378" s="110" t="inlineStr">
        <is>
          <t>Cầu KM19+529.080</t>
        </is>
      </c>
      <c r="P1378" s="401" t="n"/>
      <c r="Q1378" s="401" t="n"/>
      <c r="R1378" s="401">
        <f>R1379</f>
        <v/>
      </c>
      <c r="S1378" s="401">
        <f>+R1378+1</f>
        <v/>
      </c>
      <c r="T1378" s="402">
        <f>T1379</f>
        <v/>
      </c>
      <c r="U1378" s="402">
        <f>U1379</f>
        <v/>
      </c>
      <c r="V1378" s="402">
        <f>V1379</f>
        <v/>
      </c>
      <c r="W1378" s="402">
        <f>W1379</f>
        <v/>
      </c>
      <c r="X1378" s="403" t="n"/>
      <c r="Y1378" s="403" t="n"/>
      <c r="Z1378" s="403" t="n"/>
      <c r="AA1378" s="113" t="n"/>
      <c r="AB1378" s="113" t="inlineStr">
        <is>
          <t>307HG/YCNT/TT/T1-Đ2/Đ2</t>
        </is>
      </c>
      <c r="AC1378" s="113" t="n"/>
      <c r="AD1378" s="113" t="n"/>
      <c r="AE1378" s="113" t="n"/>
      <c r="AF1378" s="113" t="n"/>
      <c r="AG1378" s="113" t="inlineStr">
        <is>
          <t>BBKTĐK;NTCV</t>
        </is>
      </c>
      <c r="AH1378" s="113" t="n">
        <v>1</v>
      </c>
      <c r="AI1378" s="403" t="n"/>
      <c r="AJ1378" s="403" t="n"/>
      <c r="AK1378" s="404" t="n"/>
      <c r="AL1378" s="403" t="n"/>
      <c r="AM1378" s="403" t="n"/>
      <c r="AN1378" s="403" t="n"/>
      <c r="AO1378" s="403" t="n"/>
      <c r="AP1378" s="115" t="n"/>
      <c r="AQ1378" s="115" t="n"/>
      <c r="AR1378" s="403" t="inlineStr">
        <is>
          <t>Nhóm 1</t>
        </is>
      </c>
      <c r="AS1378" s="403" t="n"/>
      <c r="AT1378" s="403" t="inlineStr">
        <is>
          <t>HM44</t>
        </is>
      </c>
      <c r="AU1378" s="403" t="inlineStr">
        <is>
          <t>PYC</t>
        </is>
      </c>
      <c r="AV1378" s="403" t="n">
        <v>86</v>
      </c>
      <c r="AW1378" s="403" t="n">
        <v>1</v>
      </c>
      <c r="AX1378" s="403" t="n"/>
    </row>
    <row r="1379" ht="28" customHeight="1" s="672">
      <c r="A1379" s="56" t="inlineStr">
        <is>
          <t>BBK884</t>
        </is>
      </c>
      <c r="B1379" s="56" t="inlineStr">
        <is>
          <t>BBKTĐK</t>
        </is>
      </c>
      <c r="C1379" s="56" t="inlineStr">
        <is>
          <t>BBK884.0477145</t>
        </is>
      </c>
      <c r="D1379" s="57" t="n"/>
      <c r="E1379" s="57" t="n"/>
      <c r="F1379" s="57" t="n"/>
      <c r="G1379" s="57" t="n"/>
      <c r="H1379" s="57" t="n"/>
      <c r="J1379" s="139" t="inlineStr">
        <is>
          <t>04</t>
        </is>
      </c>
      <c r="K1379" s="139" t="inlineStr">
        <is>
          <t>BBKTĐK</t>
        </is>
      </c>
      <c r="L1379" s="140" t="inlineStr">
        <is>
          <t>Kiểm tra điều kiện trước khi thi công thân trụ T1 đoạn 2 (đợt 2)</t>
        </is>
      </c>
      <c r="M1379" s="140" t="n"/>
      <c r="N1379" s="140" t="n"/>
      <c r="O1379" s="141" t="inlineStr">
        <is>
          <t>Cầu KM19+529.080</t>
        </is>
      </c>
      <c r="P1379" s="382">
        <f>+S1372+1</f>
        <v/>
      </c>
      <c r="Q1379" s="382">
        <f>P1379</f>
        <v/>
      </c>
      <c r="R1379" s="382">
        <f>Q1379-1</f>
        <v/>
      </c>
      <c r="S1379" s="382">
        <f>Q1379</f>
        <v/>
      </c>
      <c r="T1379" s="383" t="n">
        <v>0.3541666666666667</v>
      </c>
      <c r="U1379" s="383">
        <f>T1379+V1379</f>
        <v/>
      </c>
      <c r="V1379" s="383" t="n">
        <v>0.0625</v>
      </c>
      <c r="W1379" s="384">
        <f>TEXT(T1379,"HH""h""MM'")&amp;"÷"&amp;TEXT(U1379,"HH""h""MM'")</f>
        <v/>
      </c>
      <c r="X1379" s="384" t="n"/>
      <c r="Y1379" s="384" t="n"/>
      <c r="Z1379" s="384" t="inlineStr">
        <is>
          <t>01;</t>
        </is>
      </c>
      <c r="AA1379" s="144" t="inlineStr">
        <is>
          <t>Kiểm tra điều kiện trước khi thi công thân trụ T1 đoạn 2 (đợt 2)</t>
        </is>
      </c>
      <c r="AB1379" s="144" t="inlineStr">
        <is>
          <t>307HG/YCNT/TT/T1-Đ2/Đ2-1</t>
        </is>
      </c>
      <c r="AC1379" s="144" t="inlineStr">
        <is>
          <t>307HG/BBNT/TT/T1-Đ2/Đ2-1</t>
        </is>
      </c>
      <c r="AD1379" s="144" t="n"/>
      <c r="AE1379" s="144" t="n"/>
      <c r="AF1379" s="144" t="n"/>
      <c r="AG1379" s="144" t="n"/>
      <c r="AH1379" s="144" t="n"/>
      <c r="AI1379" s="384" t="n"/>
      <c r="AJ1379" s="384" t="n"/>
      <c r="AK1379" s="386" t="n"/>
      <c r="AL1379" s="384" t="n"/>
      <c r="AM1379" s="384" t="n"/>
      <c r="AN1379" s="384" t="n"/>
      <c r="AO1379" s="384" t="n"/>
      <c r="AP1379" s="146" t="n"/>
      <c r="AQ1379" s="146" t="n"/>
      <c r="AR1379" s="384" t="inlineStr">
        <is>
          <t>Nhóm 1</t>
        </is>
      </c>
      <c r="AS1379" s="384" t="n"/>
      <c r="AT1379" s="384" t="inlineStr">
        <is>
          <t>HM44</t>
        </is>
      </c>
      <c r="AU1379" s="384" t="inlineStr">
        <is>
          <t>BBKTĐK</t>
        </is>
      </c>
      <c r="AV1379" s="384" t="n">
        <v>37</v>
      </c>
      <c r="AW1379" s="384" t="n">
        <v>1</v>
      </c>
      <c r="AX1379" s="384" t="n"/>
    </row>
    <row r="1380">
      <c r="A1380" s="56" t="inlineStr">
        <is>
          <t>BBK860</t>
        </is>
      </c>
      <c r="B1380" s="56" t="inlineStr">
        <is>
          <t>PL01</t>
        </is>
      </c>
      <c r="C1380" s="56" t="inlineStr">
        <is>
          <t>BBK860.0924441</t>
        </is>
      </c>
      <c r="D1380" s="57" t="n"/>
      <c r="E1380" s="57" t="n"/>
      <c r="F1380" s="57" t="n"/>
      <c r="G1380" s="57" t="n"/>
      <c r="H1380" s="57" t="n"/>
      <c r="J1380" s="168" t="inlineStr">
        <is>
          <t>05</t>
        </is>
      </c>
      <c r="K1380" s="168" t="inlineStr">
        <is>
          <t>PL01</t>
        </is>
      </c>
      <c r="L1380" s="169" t="inlineStr">
        <is>
          <t>Phụ lục số 01</t>
        </is>
      </c>
      <c r="M1380" s="169" t="n"/>
      <c r="N1380" s="169" t="n"/>
      <c r="O1380" s="170" t="inlineStr">
        <is>
          <t>Cầu KM19+529.080</t>
        </is>
      </c>
      <c r="P1380" s="405" t="n"/>
      <c r="Q1380" s="405" t="n"/>
      <c r="R1380" s="405" t="n"/>
      <c r="S1380" s="405">
        <f>S1379</f>
        <v/>
      </c>
      <c r="T1380" s="405" t="n"/>
      <c r="U1380" s="405" t="n"/>
      <c r="V1380" s="405" t="n"/>
      <c r="W1380" s="406" t="n"/>
      <c r="X1380" s="406" t="n"/>
      <c r="Y1380" s="406" t="n"/>
      <c r="Z1380" s="168" t="n">
        <v>1</v>
      </c>
      <c r="AA1380" s="173" t="n"/>
      <c r="AB1380" s="173" t="n"/>
      <c r="AC1380" s="173" t="inlineStr">
        <is>
          <t>307HG/BBNT/TT/T1-Đ2/Đ2-1</t>
        </is>
      </c>
      <c r="AD1380" s="173" t="n"/>
      <c r="AE1380" s="173" t="n"/>
      <c r="AF1380" s="173" t="n"/>
      <c r="AG1380" s="173" t="n"/>
      <c r="AH1380" s="407" t="inlineStr">
        <is>
          <t>TT-T1-Đ2</t>
        </is>
      </c>
      <c r="AI1380" s="406" t="n"/>
      <c r="AJ1380" s="406" t="n"/>
      <c r="AK1380" s="408" t="n"/>
      <c r="AL1380" s="406" t="n"/>
      <c r="AM1380" s="406" t="n"/>
      <c r="AN1380" s="406" t="n"/>
      <c r="AO1380" s="406" t="n"/>
      <c r="AP1380" s="174" t="n"/>
      <c r="AQ1380" s="174" t="n"/>
      <c r="AR1380" s="406" t="inlineStr">
        <is>
          <t>Nhóm 1</t>
        </is>
      </c>
      <c r="AS1380" s="406" t="n"/>
      <c r="AT1380" s="406" t="inlineStr">
        <is>
          <t>HM44</t>
        </is>
      </c>
      <c r="AU1380" s="406" t="inlineStr">
        <is>
          <t>PL01</t>
        </is>
      </c>
      <c r="AV1380" s="406" t="n">
        <v>41</v>
      </c>
      <c r="AW1380" s="406" t="n">
        <v>1</v>
      </c>
      <c r="AX1380" s="406" t="n"/>
    </row>
    <row r="1381" ht="28" customHeight="1" s="672">
      <c r="A1381" s="56" t="inlineStr">
        <is>
          <t>NTCV</t>
        </is>
      </c>
      <c r="B1381" s="56" t="inlineStr">
        <is>
          <t>K.9999</t>
        </is>
      </c>
      <c r="C1381" s="56" t="inlineStr">
        <is>
          <t>NTCV.0039033</t>
        </is>
      </c>
      <c r="D1381" s="57" t="n"/>
      <c r="E1381" s="57" t="n"/>
      <c r="F1381" s="57" t="n"/>
      <c r="G1381" s="57" t="n"/>
      <c r="H1381" s="57" t="n"/>
      <c r="J1381" s="147" t="inlineStr">
        <is>
          <t>06</t>
        </is>
      </c>
      <c r="K1381" s="147" t="inlineStr">
        <is>
          <t>K.9999</t>
        </is>
      </c>
      <c r="L1381" s="148" t="inlineStr">
        <is>
          <t>Lắp dựng ván khuôn, thanh xuyên táo thân trụ T1 đoạn 2 (đợt 2)</t>
        </is>
      </c>
      <c r="M1381" s="148" t="n"/>
      <c r="N1381" s="148" t="n"/>
      <c r="O1381" s="149" t="inlineStr">
        <is>
          <t>Cầu KM19+529.080</t>
        </is>
      </c>
      <c r="P1381" s="415">
        <f>S1379+1</f>
        <v/>
      </c>
      <c r="Q1381" s="415">
        <f>P1381</f>
        <v/>
      </c>
      <c r="R1381" s="415">
        <f>Q1381-2</f>
        <v/>
      </c>
      <c r="S1381" s="415">
        <f>Q1381</f>
        <v/>
      </c>
      <c r="T1381" s="416" t="n">
        <v>0.375</v>
      </c>
      <c r="U1381" s="416">
        <f>+T1381+V1381</f>
        <v/>
      </c>
      <c r="V1381" s="416" t="n">
        <v>0.02083333333333333</v>
      </c>
      <c r="W1381" s="417">
        <f>TEXT(T1381,"HH""h""MM'")&amp;"÷"&amp;TEXT(U1381,"HH""h""MM'")</f>
        <v/>
      </c>
      <c r="X1381" s="417" t="n"/>
      <c r="Y1381" s="417" t="n"/>
      <c r="Z1381" s="417" t="inlineStr">
        <is>
          <t>02;</t>
        </is>
      </c>
      <c r="AA1381" s="150" t="inlineStr">
        <is>
          <t>Lắp dựng ván khuôn, thanh xuyên táo thân trụ T1 đoạn 2 (đợt 2)</t>
        </is>
      </c>
      <c r="AB1381" s="150" t="inlineStr">
        <is>
          <t>307HG/YCNT/TT/T1-Đ2/Đ2-1</t>
        </is>
      </c>
      <c r="AC1381" s="150" t="inlineStr">
        <is>
          <t>307HG/BBNT/TT/T1-Đ2/Đ2-2</t>
        </is>
      </c>
      <c r="AD1381" s="150" t="n"/>
      <c r="AE1381" s="150" t="n"/>
      <c r="AF1381" s="150" t="n"/>
      <c r="AG1381" s="150" t="n"/>
      <c r="AH1381" s="150" t="n"/>
      <c r="AI1381" s="417" t="n"/>
      <c r="AJ1381" s="417" t="n"/>
      <c r="AK1381" s="418" t="n"/>
      <c r="AL1381" s="417" t="n"/>
      <c r="AM1381" s="417" t="n"/>
      <c r="AN1381" s="417" t="n"/>
      <c r="AO1381" s="417" t="n"/>
      <c r="AP1381" s="151" t="n"/>
      <c r="AQ1381" s="151" t="n"/>
      <c r="AR1381" s="417" t="inlineStr">
        <is>
          <t>Nhóm 1</t>
        </is>
      </c>
      <c r="AS1381" s="417" t="n"/>
      <c r="AT1381" s="417" t="inlineStr">
        <is>
          <t>HM44</t>
        </is>
      </c>
      <c r="AU1381" s="417" t="inlineStr">
        <is>
          <t>NTCV</t>
        </is>
      </c>
      <c r="AV1381" s="417" t="n">
        <v>433</v>
      </c>
      <c r="AW1381" s="417" t="n">
        <v>1</v>
      </c>
      <c r="AX1381" s="417" t="n"/>
    </row>
    <row r="1382">
      <c r="A1382" s="56" t="inlineStr">
        <is>
          <t>BBK288</t>
        </is>
      </c>
      <c r="B1382" s="56" t="inlineStr">
        <is>
          <t>PL11.1</t>
        </is>
      </c>
      <c r="C1382" s="56" t="inlineStr">
        <is>
          <t>BBK288.0763311</t>
        </is>
      </c>
      <c r="D1382" s="57" t="n"/>
      <c r="E1382" s="57" t="n"/>
      <c r="F1382" s="57" t="n"/>
      <c r="G1382" s="57" t="n"/>
      <c r="H1382" s="57" t="n"/>
      <c r="J1382" s="108" t="inlineStr">
        <is>
          <t>07</t>
        </is>
      </c>
      <c r="K1382" s="108" t="inlineStr">
        <is>
          <t>PL11.1</t>
        </is>
      </c>
      <c r="L1382" s="109" t="inlineStr">
        <is>
          <t>Phụ lục số 11</t>
        </is>
      </c>
      <c r="M1382" s="109" t="n"/>
      <c r="N1382" s="109" t="n"/>
      <c r="O1382" s="110" t="inlineStr">
        <is>
          <t>Cầu KM19+529.080</t>
        </is>
      </c>
      <c r="P1382" s="401" t="n"/>
      <c r="Q1382" s="401" t="n"/>
      <c r="R1382" s="401" t="n"/>
      <c r="S1382" s="401">
        <f>S1381</f>
        <v/>
      </c>
      <c r="T1382" s="401" t="n"/>
      <c r="U1382" s="401" t="n"/>
      <c r="V1382" s="401" t="n"/>
      <c r="W1382" s="403" t="n"/>
      <c r="X1382" s="403" t="n"/>
      <c r="Y1382" s="403" t="n"/>
      <c r="Z1382" s="108" t="n">
        <v>2</v>
      </c>
      <c r="AA1382" s="113" t="n"/>
      <c r="AB1382" s="113" t="n"/>
      <c r="AC1382" s="113" t="inlineStr">
        <is>
          <t>307HG/BBNT/TT/T1-Đ2/Đ2-2</t>
        </is>
      </c>
      <c r="AD1382" s="113" t="n"/>
      <c r="AE1382" s="113" t="n"/>
      <c r="AF1382" s="113" t="n"/>
      <c r="AG1382" s="114" t="n"/>
      <c r="AH1382" s="114" t="inlineStr">
        <is>
          <t>TT-T1-Đ2-Đ2</t>
        </is>
      </c>
      <c r="AI1382" s="403" t="n"/>
      <c r="AJ1382" s="403" t="n"/>
      <c r="AK1382" s="404" t="n"/>
      <c r="AL1382" s="403" t="n"/>
      <c r="AM1382" s="403" t="n"/>
      <c r="AN1382" s="403" t="n"/>
      <c r="AO1382" s="403" t="n"/>
      <c r="AP1382" s="115" t="n"/>
      <c r="AQ1382" s="115" t="inlineStr">
        <is>
          <t>Ảnh\TT DD1 T1,T2.png</t>
        </is>
      </c>
      <c r="AR1382" s="403" t="inlineStr">
        <is>
          <t>Nhóm 1</t>
        </is>
      </c>
      <c r="AS1382" s="403" t="n"/>
      <c r="AT1382" s="403" t="inlineStr">
        <is>
          <t>HM44</t>
        </is>
      </c>
      <c r="AU1382" s="403" t="inlineStr">
        <is>
          <t>PL11.1</t>
        </is>
      </c>
      <c r="AV1382" s="403" t="n">
        <v>11</v>
      </c>
      <c r="AW1382" s="403" t="n">
        <v>1</v>
      </c>
      <c r="AX1382" s="403" t="n"/>
    </row>
    <row r="1383">
      <c r="A1383" s="56" t="inlineStr">
        <is>
          <t>BBK680</t>
        </is>
      </c>
      <c r="B1383" s="56" t="inlineStr">
        <is>
          <t>PYC</t>
        </is>
      </c>
      <c r="C1383" s="56" t="inlineStr">
        <is>
          <t>BBK680.0073816</t>
        </is>
      </c>
      <c r="D1383" s="57" t="n"/>
      <c r="E1383" s="57" t="n"/>
      <c r="F1383" s="57" t="n"/>
      <c r="G1383" s="57" t="n"/>
      <c r="H1383" s="57" t="n"/>
      <c r="J1383" s="168" t="inlineStr">
        <is>
          <t>08</t>
        </is>
      </c>
      <c r="K1383" s="168" t="inlineStr">
        <is>
          <t>PYC</t>
        </is>
      </c>
      <c r="L1383" s="169" t="inlineStr">
        <is>
          <t>phiếu yêu cầu</t>
        </is>
      </c>
      <c r="M1383" s="169" t="n"/>
      <c r="N1383" s="169" t="n"/>
      <c r="O1383" s="170" t="inlineStr">
        <is>
          <t>Cầu KM19+529.080</t>
        </is>
      </c>
      <c r="P1383" s="405" t="n"/>
      <c r="Q1383" s="405" t="n"/>
      <c r="R1383" s="401">
        <f>R1384</f>
        <v/>
      </c>
      <c r="S1383" s="405">
        <f>+R1383+1</f>
        <v/>
      </c>
      <c r="T1383" s="402">
        <f>T1384</f>
        <v/>
      </c>
      <c r="U1383" s="402">
        <f>U1384</f>
        <v/>
      </c>
      <c r="V1383" s="402">
        <f>V1384</f>
        <v/>
      </c>
      <c r="W1383" s="402">
        <f>W1384</f>
        <v/>
      </c>
      <c r="X1383" s="406" t="n"/>
      <c r="Y1383" s="406" t="n"/>
      <c r="Z1383" s="168" t="n">
        <v>2</v>
      </c>
      <c r="AA1383" s="173" t="n"/>
      <c r="AB1383" s="173" t="inlineStr">
        <is>
          <t>307HG/YCNT/TT/T1-Đ2/Đ2</t>
        </is>
      </c>
      <c r="AC1383" s="173" t="n"/>
      <c r="AD1383" s="173" t="n"/>
      <c r="AE1383" s="173" t="n"/>
      <c r="AF1383" s="173" t="n"/>
      <c r="AG1383" s="129" t="inlineStr">
        <is>
          <t>NTCV</t>
        </is>
      </c>
      <c r="AH1383" s="173" t="inlineStr">
        <is>
          <t>&gt;=2;&lt;=4</t>
        </is>
      </c>
      <c r="AI1383" s="406" t="n"/>
      <c r="AJ1383" s="406" t="n"/>
      <c r="AK1383" s="408" t="n"/>
      <c r="AL1383" s="406" t="n"/>
      <c r="AM1383" s="406" t="n"/>
      <c r="AN1383" s="406" t="n"/>
      <c r="AO1383" s="406" t="n"/>
      <c r="AP1383" s="174" t="n"/>
      <c r="AQ1383" s="174" t="n"/>
      <c r="AR1383" s="406" t="inlineStr">
        <is>
          <t>Nhóm 1</t>
        </is>
      </c>
      <c r="AS1383" s="406" t="n"/>
      <c r="AT1383" s="406" t="inlineStr">
        <is>
          <t>HM44</t>
        </is>
      </c>
      <c r="AU1383" s="406" t="inlineStr">
        <is>
          <t>PYC</t>
        </is>
      </c>
      <c r="AV1383" s="406" t="n">
        <v>89</v>
      </c>
      <c r="AW1383" s="406" t="n">
        <v>2</v>
      </c>
      <c r="AX1383" s="406" t="n"/>
    </row>
    <row r="1384" ht="28" customHeight="1" s="672">
      <c r="A1384" s="413" t="inlineStr">
        <is>
          <t>NTCV</t>
        </is>
      </c>
      <c r="B1384" s="413" t="inlineStr">
        <is>
          <t>K.9999</t>
        </is>
      </c>
      <c r="C1384" s="413" t="inlineStr">
        <is>
          <t>NTCV.0629788</t>
        </is>
      </c>
      <c r="D1384" s="414" t="n"/>
      <c r="E1384" s="414" t="n"/>
      <c r="F1384" s="414" t="n"/>
      <c r="G1384" s="414" t="n"/>
      <c r="H1384" s="414" t="n"/>
      <c r="J1384" s="147" t="inlineStr">
        <is>
          <t>09</t>
        </is>
      </c>
      <c r="K1384" s="147" t="inlineStr">
        <is>
          <t>K.9999</t>
        </is>
      </c>
      <c r="L1384" s="148" t="inlineStr">
        <is>
          <t>Kiểm tra cốt thép thân trụ T1 đoạn 2 (đợt 2)</t>
        </is>
      </c>
      <c r="M1384" s="148" t="n"/>
      <c r="N1384" s="148" t="n"/>
      <c r="O1384" s="149" t="inlineStr">
        <is>
          <t>Cầu KM19+529.080</t>
        </is>
      </c>
      <c r="P1384" s="415">
        <f>+S1381+1</f>
        <v/>
      </c>
      <c r="Q1384" s="415">
        <f>+P1384</f>
        <v/>
      </c>
      <c r="R1384" s="415">
        <f>+Q1384-1</f>
        <v/>
      </c>
      <c r="S1384" s="415">
        <f>+Q1384</f>
        <v/>
      </c>
      <c r="T1384" s="416" t="n">
        <v>0.375</v>
      </c>
      <c r="U1384" s="416">
        <f>+T1384+V1384</f>
        <v/>
      </c>
      <c r="V1384" s="416" t="n">
        <v>0.04166666666666666</v>
      </c>
      <c r="W1384" s="411">
        <f>TEXT(T1384,"HH""h""MM'")&amp;"÷"&amp;TEXT(U1384,"HH""h""MM'")</f>
        <v/>
      </c>
      <c r="X1384" s="417" t="n"/>
      <c r="Y1384" s="417" t="n"/>
      <c r="Z1384" s="417" t="inlineStr">
        <is>
          <t>03;</t>
        </is>
      </c>
      <c r="AA1384" s="150" t="inlineStr">
        <is>
          <t>Kiểm tra cốt thép thân trụ T1 đoạn 2 (đợt 2)</t>
        </is>
      </c>
      <c r="AB1384" s="150" t="inlineStr">
        <is>
          <t>307HG/YCNT/TT/T1-Đ2/Đ2-2</t>
        </is>
      </c>
      <c r="AC1384" s="150" t="inlineStr">
        <is>
          <t>307HG/BBNT/TT/T1-Đ2/Đ2-3</t>
        </is>
      </c>
      <c r="AD1384" s="150" t="n"/>
      <c r="AE1384" s="150" t="n"/>
      <c r="AF1384" s="150" t="n"/>
      <c r="AG1384" s="150" t="n"/>
      <c r="AH1384" s="150" t="n"/>
      <c r="AI1384" s="417" t="n"/>
      <c r="AJ1384" s="417" t="n"/>
      <c r="AK1384" s="418" t="n"/>
      <c r="AL1384" s="417" t="n"/>
      <c r="AM1384" s="417" t="n"/>
      <c r="AN1384" s="417" t="n"/>
      <c r="AO1384" s="417" t="n"/>
      <c r="AP1384" s="151" t="n"/>
      <c r="AQ1384" s="151" t="n"/>
      <c r="AR1384" s="417" t="inlineStr">
        <is>
          <t>Nhóm 1</t>
        </is>
      </c>
      <c r="AS1384" s="417" t="n"/>
      <c r="AT1384" s="417" t="inlineStr">
        <is>
          <t>HM44</t>
        </is>
      </c>
      <c r="AU1384" s="417" t="inlineStr">
        <is>
          <t>NTCV</t>
        </is>
      </c>
      <c r="AV1384" s="417" t="n">
        <v>435</v>
      </c>
      <c r="AW1384" s="417" t="n">
        <v>2</v>
      </c>
      <c r="AX1384" s="417" t="n"/>
    </row>
    <row r="1385">
      <c r="A1385" s="413" t="inlineStr">
        <is>
          <t>BBK469</t>
        </is>
      </c>
      <c r="B1385" s="413" t="inlineStr">
        <is>
          <t>PL08.1</t>
        </is>
      </c>
      <c r="C1385" s="413" t="inlineStr">
        <is>
          <t>BBK469.0686908</t>
        </is>
      </c>
      <c r="D1385" s="414" t="n"/>
      <c r="E1385" s="414" t="n"/>
      <c r="F1385" s="414" t="n"/>
      <c r="G1385" s="414" t="n"/>
      <c r="H1385" s="414" t="n"/>
      <c r="J1385" s="108" t="inlineStr">
        <is>
          <t>10</t>
        </is>
      </c>
      <c r="K1385" s="108" t="inlineStr">
        <is>
          <t>PL08.1</t>
        </is>
      </c>
      <c r="L1385" s="109">
        <f>L1384</f>
        <v/>
      </c>
      <c r="M1385" s="109" t="n"/>
      <c r="N1385" s="109" t="n"/>
      <c r="O1385" s="110" t="inlineStr">
        <is>
          <t>Cầu KM19+529.080</t>
        </is>
      </c>
      <c r="P1385" s="401" t="n"/>
      <c r="Q1385" s="401" t="n"/>
      <c r="R1385" s="401" t="n"/>
      <c r="S1385" s="401">
        <f>S1384</f>
        <v/>
      </c>
      <c r="T1385" s="401" t="n"/>
      <c r="U1385" s="401" t="n"/>
      <c r="V1385" s="401" t="n"/>
      <c r="W1385" s="403" t="n"/>
      <c r="X1385" s="403" t="n"/>
      <c r="Y1385" s="403" t="n"/>
      <c r="Z1385" s="108" t="n">
        <v>3</v>
      </c>
      <c r="AA1385" s="113" t="n"/>
      <c r="AB1385" s="113" t="n"/>
      <c r="AC1385" s="113" t="inlineStr">
        <is>
          <t>307HG/BBNT/TT/T1-Đ2/Đ2-3</t>
        </is>
      </c>
      <c r="AD1385" s="113" t="n"/>
      <c r="AE1385" s="113" t="n"/>
      <c r="AF1385" s="113" t="n"/>
      <c r="AG1385" s="113" t="n"/>
      <c r="AH1385" s="113" t="inlineStr">
        <is>
          <t>TT-T1-Đ2-Đ2</t>
        </is>
      </c>
      <c r="AI1385" s="403" t="n"/>
      <c r="AJ1385" s="403" t="n"/>
      <c r="AK1385" s="404" t="n"/>
      <c r="AL1385" s="403" t="n"/>
      <c r="AM1385" s="403" t="n"/>
      <c r="AN1385" s="403" t="n"/>
      <c r="AO1385" s="403" t="n"/>
      <c r="AP1385" s="115" t="n"/>
      <c r="AQ1385" s="115" t="n"/>
      <c r="AR1385" s="403" t="inlineStr">
        <is>
          <t>Nhóm 1</t>
        </is>
      </c>
      <c r="AS1385" s="403" t="n"/>
      <c r="AT1385" s="403" t="inlineStr">
        <is>
          <t>HM44</t>
        </is>
      </c>
      <c r="AU1385" s="403" t="inlineStr">
        <is>
          <t>PL08.1</t>
        </is>
      </c>
      <c r="AV1385" s="403" t="n">
        <v>11</v>
      </c>
      <c r="AW1385" s="403" t="n">
        <v>1</v>
      </c>
      <c r="AX1385" s="403" t="n"/>
    </row>
    <row r="1386" ht="28" customHeight="1" s="672">
      <c r="A1386" s="413" t="inlineStr">
        <is>
          <t>NTCV</t>
        </is>
      </c>
      <c r="B1386" s="413" t="inlineStr">
        <is>
          <t>K.9999</t>
        </is>
      </c>
      <c r="C1386" s="413" t="inlineStr">
        <is>
          <t>NTCV.0777940</t>
        </is>
      </c>
      <c r="D1386" s="414" t="n"/>
      <c r="E1386" s="414" t="n"/>
      <c r="F1386" s="414" t="n"/>
      <c r="G1386" s="414" t="n"/>
      <c r="H1386" s="414" t="n"/>
      <c r="J1386" s="131" t="inlineStr">
        <is>
          <t>11</t>
        </is>
      </c>
      <c r="K1386" s="131" t="inlineStr">
        <is>
          <t>K.9999</t>
        </is>
      </c>
      <c r="L1386" s="132" t="inlineStr">
        <is>
          <t>Công tác chuẩn bị đổ bê tông thân trụ T1 đoạn 2 (đợt 2)</t>
        </is>
      </c>
      <c r="M1386" s="132" t="n"/>
      <c r="N1386" s="132" t="n"/>
      <c r="O1386" s="133" t="inlineStr">
        <is>
          <t>Cầu KM19+529.080</t>
        </is>
      </c>
      <c r="P1386" s="419">
        <f>S1384</f>
        <v/>
      </c>
      <c r="Q1386" s="419">
        <f>P1386+1</f>
        <v/>
      </c>
      <c r="R1386" s="415">
        <f>+Q1386-2</f>
        <v/>
      </c>
      <c r="S1386" s="415">
        <f>+Q1386</f>
        <v/>
      </c>
      <c r="T1386" s="420" t="n">
        <v>0.3333333333333333</v>
      </c>
      <c r="U1386" s="420">
        <f>+T1386+V1386</f>
        <v/>
      </c>
      <c r="V1386" s="420" t="n">
        <v>0.02083333333333333</v>
      </c>
      <c r="W1386" s="417">
        <f>TEXT(T1386,"HH""h""MM'")&amp;"÷"&amp;TEXT(U1386,"HH""h""MM'")</f>
        <v/>
      </c>
      <c r="X1386" s="421" t="n"/>
      <c r="Y1386" s="421" t="n"/>
      <c r="Z1386" s="421" t="inlineStr">
        <is>
          <t>04;</t>
        </is>
      </c>
      <c r="AA1386" s="136" t="inlineStr">
        <is>
          <t>Công tác chuẩn bị đổ bê tông thân trụ T1 đoạn 2 (đợt 2)</t>
        </is>
      </c>
      <c r="AB1386" s="150" t="inlineStr">
        <is>
          <t>307HG/YCNT/TT/T1-Đ2/Đ2-2</t>
        </is>
      </c>
      <c r="AC1386" s="136" t="inlineStr">
        <is>
          <t>307HG/BBNT/TT/T1-Đ2/Đ2-4</t>
        </is>
      </c>
      <c r="AD1386" s="136" t="n"/>
      <c r="AE1386" s="136" t="n"/>
      <c r="AF1386" s="136" t="n"/>
      <c r="AG1386" s="136" t="n"/>
      <c r="AH1386" s="136" t="n"/>
      <c r="AI1386" s="421" t="n"/>
      <c r="AJ1386" s="421" t="n"/>
      <c r="AK1386" s="422" t="n"/>
      <c r="AL1386" s="421" t="n"/>
      <c r="AM1386" s="421" t="n"/>
      <c r="AN1386" s="421" t="n"/>
      <c r="AO1386" s="421" t="n"/>
      <c r="AP1386" s="138" t="n"/>
      <c r="AQ1386" s="138" t="n"/>
      <c r="AR1386" s="421" t="inlineStr">
        <is>
          <t>Nhóm 1</t>
        </is>
      </c>
      <c r="AS1386" s="421" t="n"/>
      <c r="AT1386" s="421" t="inlineStr">
        <is>
          <t>HM44</t>
        </is>
      </c>
      <c r="AU1386" s="421" t="inlineStr">
        <is>
          <t>NTCV</t>
        </is>
      </c>
      <c r="AV1386" s="421" t="n">
        <v>437</v>
      </c>
      <c r="AW1386" s="421" t="n">
        <v>3</v>
      </c>
      <c r="AX1386" s="421" t="n"/>
    </row>
    <row r="1387">
      <c r="A1387" s="413" t="inlineStr">
        <is>
          <t>BBK209</t>
        </is>
      </c>
      <c r="B1387" s="413" t="inlineStr">
        <is>
          <t>PL09</t>
        </is>
      </c>
      <c r="C1387" s="413" t="inlineStr">
        <is>
          <t>BBK209.0405171</t>
        </is>
      </c>
      <c r="D1387" s="414" t="n"/>
      <c r="E1387" s="414" t="n"/>
      <c r="F1387" s="414" t="n"/>
      <c r="G1387" s="414" t="n"/>
      <c r="H1387" s="414" t="n"/>
      <c r="J1387" s="124" t="inlineStr">
        <is>
          <t>12</t>
        </is>
      </c>
      <c r="K1387" s="124" t="inlineStr">
        <is>
          <t>PL09</t>
        </is>
      </c>
      <c r="L1387" s="125">
        <f>+L1386</f>
        <v/>
      </c>
      <c r="M1387" s="125" t="n"/>
      <c r="N1387" s="125" t="n"/>
      <c r="O1387" s="126" t="inlineStr">
        <is>
          <t>Cầu KM19+529.080</t>
        </is>
      </c>
      <c r="P1387" s="423" t="n"/>
      <c r="Q1387" s="423" t="n"/>
      <c r="R1387" s="423">
        <f>+R1388</f>
        <v/>
      </c>
      <c r="S1387" s="423">
        <f>+S1386</f>
        <v/>
      </c>
      <c r="T1387" s="424" t="n"/>
      <c r="U1387" s="424" t="n"/>
      <c r="V1387" s="424" t="n"/>
      <c r="W1387" s="425" t="n"/>
      <c r="X1387" s="425" t="n"/>
      <c r="Y1387" s="425" t="n"/>
      <c r="Z1387" s="124" t="n">
        <v>4</v>
      </c>
      <c r="AA1387" s="129" t="n"/>
      <c r="AB1387" s="129" t="n"/>
      <c r="AC1387" s="129">
        <f>+AC1386</f>
        <v/>
      </c>
      <c r="AD1387" s="129" t="n"/>
      <c r="AE1387" s="129" t="n"/>
      <c r="AF1387" s="129" t="n"/>
      <c r="AG1387" s="129" t="n"/>
      <c r="AH1387" s="129" t="inlineStr">
        <is>
          <t>C30</t>
        </is>
      </c>
      <c r="AI1387" s="425" t="n"/>
      <c r="AJ1387" s="425" t="n"/>
      <c r="AK1387" s="427" t="n"/>
      <c r="AL1387" s="425" t="n"/>
      <c r="AM1387" s="425" t="n"/>
      <c r="AN1387" s="425" t="n"/>
      <c r="AO1387" s="425" t="n"/>
      <c r="AP1387" s="130" t="n"/>
      <c r="AQ1387" s="130" t="n"/>
      <c r="AR1387" s="425" t="inlineStr">
        <is>
          <t>Nhóm 1</t>
        </is>
      </c>
      <c r="AS1387" s="425" t="n"/>
      <c r="AT1387" s="425" t="inlineStr">
        <is>
          <t>HM44</t>
        </is>
      </c>
      <c r="AU1387" s="425" t="inlineStr">
        <is>
          <t>PL09</t>
        </is>
      </c>
      <c r="AV1387" s="425" t="n">
        <v>37</v>
      </c>
      <c r="AW1387" s="425" t="n">
        <v>1</v>
      </c>
      <c r="AX1387" s="425" t="n"/>
    </row>
    <row r="1388" ht="28" customHeight="1" s="672">
      <c r="A1388" s="413" t="inlineStr">
        <is>
          <t>NTCV</t>
        </is>
      </c>
      <c r="B1388" s="413" t="inlineStr">
        <is>
          <t>K.9999</t>
        </is>
      </c>
      <c r="C1388" s="413" t="inlineStr">
        <is>
          <t>NTCV.0759990</t>
        </is>
      </c>
      <c r="D1388" s="414" t="n"/>
      <c r="E1388" s="414" t="n"/>
      <c r="F1388" s="414" t="n"/>
      <c r="G1388" s="414" t="n"/>
      <c r="H1388" s="414" t="n"/>
      <c r="J1388" s="161" t="inlineStr">
        <is>
          <t>13</t>
        </is>
      </c>
      <c r="K1388" s="161" t="inlineStr">
        <is>
          <t>K.9999</t>
        </is>
      </c>
      <c r="L1388" s="162" t="inlineStr">
        <is>
          <t>Công tác đổ, lấy mẫu bê tông thân trụ T1 đoạn 2 (đợt 2)</t>
        </is>
      </c>
      <c r="M1388" s="162" t="n"/>
      <c r="N1388" s="162" t="n"/>
      <c r="O1388" s="163" t="inlineStr">
        <is>
          <t>Cầu KM19+529.080</t>
        </is>
      </c>
      <c r="P1388" s="409">
        <f>+S1386</f>
        <v/>
      </c>
      <c r="Q1388" s="409">
        <f>+P1388</f>
        <v/>
      </c>
      <c r="R1388" s="409">
        <f>+Q1388-1</f>
        <v/>
      </c>
      <c r="S1388" s="409">
        <f>+Q1388</f>
        <v/>
      </c>
      <c r="T1388" s="410" t="n">
        <v>0.375</v>
      </c>
      <c r="U1388" s="410">
        <f>+T1388+V1388</f>
        <v/>
      </c>
      <c r="V1388" s="410" t="n">
        <v>0.08333333333333333</v>
      </c>
      <c r="W1388" s="411">
        <f>TEXT(T1388,"HH""h""MM'")&amp;"÷"&amp;TEXT(U1388,"HH""h""MM'")</f>
        <v/>
      </c>
      <c r="X1388" s="411" t="n"/>
      <c r="Y1388" s="411" t="n"/>
      <c r="Z1388" s="161" t="inlineStr">
        <is>
          <t>05;</t>
        </is>
      </c>
      <c r="AA1388" s="166" t="inlineStr">
        <is>
          <t>Công tác đổ bê tông, lấy mẫu bê tông thân trụ T1 đoạn 2 (đợt 2)</t>
        </is>
      </c>
      <c r="AB1388" s="166" t="n"/>
      <c r="AC1388" s="166" t="inlineStr">
        <is>
          <t>307HG/BBNT/TT/T1-Đ2/Đ2-5</t>
        </is>
      </c>
      <c r="AD1388" s="166" t="n"/>
      <c r="AE1388" s="166" t="n"/>
      <c r="AF1388" s="166" t="n"/>
      <c r="AG1388" s="166" t="n"/>
      <c r="AH1388" s="166" t="n"/>
      <c r="AI1388" s="411" t="n"/>
      <c r="AJ1388" s="411" t="n"/>
      <c r="AK1388" s="412" t="n"/>
      <c r="AL1388" s="411" t="n"/>
      <c r="AM1388" s="411" t="n"/>
      <c r="AN1388" s="411" t="n"/>
      <c r="AO1388" s="411" t="n"/>
      <c r="AP1388" s="167" t="n"/>
      <c r="AQ1388" s="167" t="n"/>
      <c r="AR1388" s="411" t="inlineStr">
        <is>
          <t>Nhóm 1</t>
        </is>
      </c>
      <c r="AS1388" s="411" t="n"/>
      <c r="AT1388" s="411" t="inlineStr">
        <is>
          <t>HM44</t>
        </is>
      </c>
      <c r="AU1388" s="411" t="inlineStr">
        <is>
          <t>NTCV</t>
        </is>
      </c>
      <c r="AV1388" s="411" t="n">
        <v>438</v>
      </c>
      <c r="AW1388" s="411" t="n">
        <v>4</v>
      </c>
      <c r="AX1388" s="411" t="n"/>
    </row>
    <row r="1389" ht="28" customHeight="1" s="672">
      <c r="A1389" s="413" t="inlineStr">
        <is>
          <t>BBK832</t>
        </is>
      </c>
      <c r="B1389" s="413" t="inlineStr">
        <is>
          <t>PL06.1</t>
        </is>
      </c>
      <c r="C1389" s="413" t="inlineStr">
        <is>
          <t>BBK832.0173500</t>
        </is>
      </c>
      <c r="D1389" s="414" t="n"/>
      <c r="E1389" s="414" t="n"/>
      <c r="F1389" s="414" t="n"/>
      <c r="G1389" s="414" t="n"/>
      <c r="H1389" s="414" t="n"/>
      <c r="J1389" s="168" t="inlineStr">
        <is>
          <t>14</t>
        </is>
      </c>
      <c r="K1389" s="168" t="inlineStr">
        <is>
          <t>PL06.1</t>
        </is>
      </c>
      <c r="L1389" s="169">
        <f>+L1388</f>
        <v/>
      </c>
      <c r="M1389" s="169" t="n"/>
      <c r="N1389" s="169" t="n"/>
      <c r="O1389" s="170" t="inlineStr">
        <is>
          <t>Cầu KM19+529.080</t>
        </is>
      </c>
      <c r="P1389" s="405" t="n"/>
      <c r="Q1389" s="405" t="n"/>
      <c r="R1389" s="405" t="n"/>
      <c r="S1389" s="405">
        <f>+S1388</f>
        <v/>
      </c>
      <c r="T1389" s="428">
        <f>+T1388</f>
        <v/>
      </c>
      <c r="U1389" s="428">
        <f>T1389+V1389</f>
        <v/>
      </c>
      <c r="V1389" s="428">
        <f>+V1388</f>
        <v/>
      </c>
      <c r="W1389" s="406" t="n"/>
      <c r="X1389" s="406" t="n"/>
      <c r="Y1389" s="406" t="n"/>
      <c r="Z1389" s="168" t="n">
        <v>5</v>
      </c>
      <c r="AA1389" s="173" t="n"/>
      <c r="AB1389" s="173" t="n"/>
      <c r="AC1389" s="173">
        <f>+AC1388</f>
        <v/>
      </c>
      <c r="AD1389" s="173" t="n"/>
      <c r="AE1389" s="173" t="n"/>
      <c r="AF1389" s="173" t="n"/>
      <c r="AG1389" s="173" t="n"/>
      <c r="AH1389" s="407" t="inlineStr">
        <is>
          <t>C30-TT-T1-Đ2-Đ2</t>
        </is>
      </c>
      <c r="AI1389" s="406" t="n"/>
      <c r="AJ1389" s="406" t="n"/>
      <c r="AK1389" s="408" t="n"/>
      <c r="AL1389" s="406" t="n"/>
      <c r="AM1389" s="406" t="n"/>
      <c r="AN1389" s="406" t="n"/>
      <c r="AO1389" s="406" t="n"/>
      <c r="AP1389" s="174" t="n"/>
      <c r="AQ1389" s="174" t="n"/>
      <c r="AR1389" s="406" t="inlineStr">
        <is>
          <t>Nhóm 1</t>
        </is>
      </c>
      <c r="AS1389" s="406" t="n"/>
      <c r="AT1389" s="406" t="inlineStr">
        <is>
          <t>HM44</t>
        </is>
      </c>
      <c r="AU1389" s="406" t="inlineStr">
        <is>
          <t>PL06.1</t>
        </is>
      </c>
      <c r="AV1389" s="406" t="n">
        <v>12</v>
      </c>
      <c r="AW1389" s="406" t="n">
        <v>1</v>
      </c>
      <c r="AX1389" s="406" t="n"/>
    </row>
    <row r="1390">
      <c r="A1390" s="413" t="inlineStr">
        <is>
          <t>LMHT</t>
        </is>
      </c>
      <c r="B1390" s="413" t="inlineStr">
        <is>
          <t>LMHT</t>
        </is>
      </c>
      <c r="C1390" s="413" t="inlineStr">
        <is>
          <t>LMHT.0936571</t>
        </is>
      </c>
      <c r="D1390" s="414" t="inlineStr">
        <is>
          <t>TC.000041|TC.000182|TC.000169.A</t>
        </is>
      </c>
      <c r="E1390" s="414" t="n"/>
      <c r="F1390" s="414" t="inlineStr">
        <is>
          <t>CP.0001^Bê tông thân trụ T1 đoạn 2 (đợt 2)^Hình trụ 15x30 (cm)^18^C30 (30Mpa)^^^TC.000041|TC.000182|TC.000169.A</t>
        </is>
      </c>
      <c r="G1390" s="414" t="n"/>
      <c r="H1390" s="414" t="n"/>
      <c r="J1390" s="175" t="inlineStr">
        <is>
          <t>15</t>
        </is>
      </c>
      <c r="K1390" s="175" t="inlineStr">
        <is>
          <t>LMHT</t>
        </is>
      </c>
      <c r="L1390" s="176" t="inlineStr">
        <is>
          <t>Bê tông thân trụ T1 đoạn 2 (đợt 2)</t>
        </is>
      </c>
      <c r="M1390" s="176" t="n"/>
      <c r="N1390" s="176" t="n"/>
      <c r="O1390" s="177" t="inlineStr">
        <is>
          <t>Cầu KM19+529.080</t>
        </is>
      </c>
      <c r="P1390" s="299" t="n"/>
      <c r="Q1390" s="299" t="n"/>
      <c r="R1390" s="299" t="n"/>
      <c r="S1390" s="299">
        <f>S1386</f>
        <v/>
      </c>
      <c r="T1390" s="300">
        <f>T1389</f>
        <v/>
      </c>
      <c r="U1390" s="300">
        <f>U1389</f>
        <v/>
      </c>
      <c r="V1390" s="300">
        <f>V1389</f>
        <v/>
      </c>
      <c r="W1390" s="301" t="n"/>
      <c r="X1390" s="301" t="n"/>
      <c r="Y1390" s="301" t="n"/>
      <c r="Z1390" s="301" t="n"/>
      <c r="AA1390" s="180" t="n"/>
      <c r="AB1390" s="180" t="n"/>
      <c r="AC1390" s="180" t="n"/>
      <c r="AD1390" s="180" t="n"/>
      <c r="AE1390" s="180" t="n"/>
      <c r="AF1390" s="180" t="n"/>
      <c r="AG1390" s="180" t="n"/>
      <c r="AH1390" s="180" t="n"/>
      <c r="AI1390" s="301" t="n"/>
      <c r="AJ1390" s="301" t="n"/>
      <c r="AK1390" s="303" t="n"/>
      <c r="AL1390" s="301" t="n"/>
      <c r="AM1390" s="301" t="n"/>
      <c r="AN1390" s="301" t="n"/>
      <c r="AO1390" s="301" t="n"/>
      <c r="AP1390" s="181" t="n"/>
      <c r="AQ1390" s="181" t="n"/>
      <c r="AR1390" s="301" t="inlineStr">
        <is>
          <t>Nhóm 1</t>
        </is>
      </c>
      <c r="AS1390" s="301" t="n"/>
      <c r="AT1390" s="301" t="inlineStr">
        <is>
          <t>HM44</t>
        </is>
      </c>
      <c r="AU1390" s="301" t="inlineStr">
        <is>
          <t>LMHT</t>
        </is>
      </c>
      <c r="AV1390" s="301" t="n">
        <v>48</v>
      </c>
      <c r="AW1390" s="301" t="n">
        <v>1</v>
      </c>
      <c r="AX1390" s="301" t="n"/>
    </row>
    <row r="1391">
      <c r="A1391" s="413" t="inlineStr">
        <is>
          <t>BBK680</t>
        </is>
      </c>
      <c r="B1391" s="413" t="inlineStr">
        <is>
          <t>PYC</t>
        </is>
      </c>
      <c r="C1391" s="413" t="inlineStr">
        <is>
          <t>BBK680.0324055</t>
        </is>
      </c>
      <c r="D1391" s="414" t="n"/>
      <c r="E1391" s="414" t="n"/>
      <c r="F1391" s="414" t="n"/>
      <c r="G1391" s="414" t="n"/>
      <c r="H1391" s="414" t="n"/>
      <c r="J1391" s="168" t="inlineStr">
        <is>
          <t>16</t>
        </is>
      </c>
      <c r="K1391" s="168" t="inlineStr">
        <is>
          <t>PYC</t>
        </is>
      </c>
      <c r="L1391" s="169" t="inlineStr">
        <is>
          <t>phiếu yêu cầu</t>
        </is>
      </c>
      <c r="M1391" s="169" t="n"/>
      <c r="N1391" s="169" t="n"/>
      <c r="O1391" s="170" t="inlineStr">
        <is>
          <t>Cầu KM19+529.080</t>
        </is>
      </c>
      <c r="P1391" s="405" t="n"/>
      <c r="Q1391" s="405" t="n"/>
      <c r="R1391" s="401">
        <f>+R1392</f>
        <v/>
      </c>
      <c r="S1391" s="405">
        <f>R1391+1</f>
        <v/>
      </c>
      <c r="T1391" s="405" t="n"/>
      <c r="U1391" s="405" t="n"/>
      <c r="V1391" s="405" t="n"/>
      <c r="W1391" s="406" t="n"/>
      <c r="X1391" s="406" t="n"/>
      <c r="Y1391" s="406" t="n"/>
      <c r="Z1391" s="406" t="n"/>
      <c r="AA1391" s="173" t="n"/>
      <c r="AB1391" s="173" t="inlineStr">
        <is>
          <t>307HG/YCNT/TT/T1-Đ2/Đ2</t>
        </is>
      </c>
      <c r="AC1391" s="173" t="n"/>
      <c r="AD1391" s="173" t="n"/>
      <c r="AE1391" s="173" t="n"/>
      <c r="AF1391" s="173" t="n"/>
      <c r="AG1391" s="129" t="inlineStr">
        <is>
          <t>NTCV</t>
        </is>
      </c>
      <c r="AH1391" s="173" t="n">
        <v>5</v>
      </c>
      <c r="AI1391" s="406" t="n"/>
      <c r="AJ1391" s="406" t="n"/>
      <c r="AK1391" s="408" t="n"/>
      <c r="AL1391" s="406" t="n"/>
      <c r="AM1391" s="406" t="n"/>
      <c r="AN1391" s="406" t="n"/>
      <c r="AO1391" s="406" t="n"/>
      <c r="AP1391" s="174" t="n"/>
      <c r="AQ1391" s="174" t="n"/>
      <c r="AR1391" s="406" t="inlineStr">
        <is>
          <t>Nhóm 1</t>
        </is>
      </c>
      <c r="AS1391" s="406" t="n"/>
      <c r="AT1391" s="406" t="inlineStr">
        <is>
          <t>HM44</t>
        </is>
      </c>
      <c r="AU1391" s="406" t="inlineStr">
        <is>
          <t>PYC</t>
        </is>
      </c>
      <c r="AV1391" s="406" t="n">
        <v>100</v>
      </c>
      <c r="AW1391" s="406" t="n">
        <v>3</v>
      </c>
      <c r="AX1391" s="406" t="n"/>
    </row>
    <row r="1392">
      <c r="A1392" s="413" t="inlineStr">
        <is>
          <t>NTCV</t>
        </is>
      </c>
      <c r="B1392" s="413" t="inlineStr">
        <is>
          <t>K.9999</t>
        </is>
      </c>
      <c r="C1392" s="413" t="inlineStr">
        <is>
          <t>NTCV.0069013</t>
        </is>
      </c>
      <c r="D1392" s="414" t="n"/>
      <c r="E1392" s="414" t="n"/>
      <c r="F1392" s="414" t="n"/>
      <c r="G1392" s="414" t="n"/>
      <c r="H1392" s="414" t="n"/>
      <c r="J1392" s="147" t="inlineStr">
        <is>
          <t>17</t>
        </is>
      </c>
      <c r="K1392" s="147" t="inlineStr">
        <is>
          <t>K.9999</t>
        </is>
      </c>
      <c r="L1392" s="148" t="inlineStr">
        <is>
          <t>Tháo ván khuôn thân trụ T1 đoạn 2 (đợt 2)</t>
        </is>
      </c>
      <c r="M1392" s="148" t="n"/>
      <c r="N1392" s="148" t="n"/>
      <c r="O1392" s="149" t="inlineStr">
        <is>
          <t>Cầu KM19+529.080</t>
        </is>
      </c>
      <c r="P1392" s="415">
        <f>S1390</f>
        <v/>
      </c>
      <c r="Q1392" s="415">
        <f>+P1392+3</f>
        <v/>
      </c>
      <c r="R1392" s="415">
        <f>Q1392-1</f>
        <v/>
      </c>
      <c r="S1392" s="415">
        <f>Q1392</f>
        <v/>
      </c>
      <c r="T1392" s="416" t="n">
        <v>0.3541666666666667</v>
      </c>
      <c r="U1392" s="416">
        <f>+T1392+V1392</f>
        <v/>
      </c>
      <c r="V1392" s="416" t="n">
        <v>0.01388888888888889</v>
      </c>
      <c r="W1392" s="411">
        <f>TEXT(T1392,"HH""h""MM'")&amp;"÷"&amp;TEXT(U1392,"HH""h""MM'")</f>
        <v/>
      </c>
      <c r="X1392" s="417" t="n"/>
      <c r="Y1392" s="417" t="n"/>
      <c r="Z1392" s="417" t="inlineStr">
        <is>
          <t>06;</t>
        </is>
      </c>
      <c r="AA1392" s="150" t="inlineStr">
        <is>
          <t>Kiểm tra ván khuôn Bệ trụ T1 đoạn 2</t>
        </is>
      </c>
      <c r="AB1392" s="150" t="inlineStr">
        <is>
          <t>307HG/YCNT/TT/T1-Đ2/Đ2-3</t>
        </is>
      </c>
      <c r="AC1392" s="150" t="inlineStr">
        <is>
          <t>307HG/BBNT/TT/T1-Đ2/Đ2-5</t>
        </is>
      </c>
      <c r="AD1392" s="150" t="n"/>
      <c r="AE1392" s="150" t="n"/>
      <c r="AF1392" s="150" t="n"/>
      <c r="AG1392" s="150" t="n"/>
      <c r="AH1392" s="150" t="n"/>
      <c r="AI1392" s="417" t="n"/>
      <c r="AJ1392" s="417" t="n"/>
      <c r="AK1392" s="418" t="n"/>
      <c r="AL1392" s="417" t="n"/>
      <c r="AM1392" s="417" t="n"/>
      <c r="AN1392" s="417" t="n"/>
      <c r="AO1392" s="417" t="n"/>
      <c r="AP1392" s="151" t="n"/>
      <c r="AQ1392" s="151" t="n"/>
      <c r="AR1392" s="417" t="inlineStr">
        <is>
          <t>Nhóm 1</t>
        </is>
      </c>
      <c r="AS1392" s="417" t="n"/>
      <c r="AT1392" s="417" t="inlineStr">
        <is>
          <t>HM44</t>
        </is>
      </c>
      <c r="AU1392" s="417" t="inlineStr">
        <is>
          <t>NTCV</t>
        </is>
      </c>
      <c r="AV1392" s="417" t="n">
        <v>445</v>
      </c>
      <c r="AW1392" s="417" t="n">
        <v>5</v>
      </c>
      <c r="AX1392" s="417" t="n"/>
    </row>
    <row r="1393">
      <c r="A1393" s="413" t="inlineStr">
        <is>
          <t>BBK587</t>
        </is>
      </c>
      <c r="B1393" s="413" t="inlineStr">
        <is>
          <t>PL07.02</t>
        </is>
      </c>
      <c r="C1393" s="413" t="inlineStr">
        <is>
          <t>BBK587.0299409</t>
        </is>
      </c>
      <c r="D1393" s="414" t="n"/>
      <c r="E1393" s="414" t="n"/>
      <c r="F1393" s="414" t="n"/>
      <c r="G1393" s="414" t="n"/>
      <c r="H1393" s="414" t="n"/>
      <c r="J1393" s="108" t="inlineStr">
        <is>
          <t>18</t>
        </is>
      </c>
      <c r="K1393" s="108" t="inlineStr">
        <is>
          <t>PL07.02</t>
        </is>
      </c>
      <c r="L1393" s="109">
        <f>+L1392</f>
        <v/>
      </c>
      <c r="M1393" s="109" t="n"/>
      <c r="N1393" s="109" t="n"/>
      <c r="O1393" s="110" t="inlineStr">
        <is>
          <t>Cầu KM19+529.080</t>
        </is>
      </c>
      <c r="P1393" s="401" t="n"/>
      <c r="Q1393" s="401" t="n"/>
      <c r="R1393" s="401" t="n"/>
      <c r="S1393" s="401">
        <f>S1392</f>
        <v/>
      </c>
      <c r="T1393" s="401" t="n"/>
      <c r="U1393" s="401" t="n"/>
      <c r="V1393" s="401" t="n"/>
      <c r="W1393" s="403" t="n"/>
      <c r="X1393" s="403" t="n"/>
      <c r="Y1393" s="403" t="n"/>
      <c r="Z1393" s="108" t="n">
        <v>6</v>
      </c>
      <c r="AA1393" s="113" t="n"/>
      <c r="AB1393" s="113" t="n"/>
      <c r="AC1393" s="113" t="inlineStr">
        <is>
          <t>307HG/BBNT/TT/T1-Đ2/Đ2-5</t>
        </is>
      </c>
      <c r="AD1393" s="113" t="n"/>
      <c r="AE1393" s="113" t="n"/>
      <c r="AF1393" s="113" t="n"/>
      <c r="AG1393" s="113" t="n"/>
      <c r="AH1393" s="114" t="inlineStr">
        <is>
          <t>TT-T1-Đ2-Đ2</t>
        </is>
      </c>
      <c r="AI1393" s="403" t="n"/>
      <c r="AJ1393" s="403" t="n"/>
      <c r="AK1393" s="404" t="n"/>
      <c r="AL1393" s="403" t="n"/>
      <c r="AM1393" s="403" t="n"/>
      <c r="AN1393" s="403" t="n"/>
      <c r="AO1393" s="403" t="n"/>
      <c r="AP1393" s="115" t="n"/>
      <c r="AQ1393" s="115" t="inlineStr">
        <is>
          <t>Ảnh\TT DD1 T1,T2.png</t>
        </is>
      </c>
      <c r="AR1393" s="403" t="inlineStr">
        <is>
          <t>Nhóm 1</t>
        </is>
      </c>
      <c r="AS1393" s="403" t="n"/>
      <c r="AT1393" s="403" t="inlineStr">
        <is>
          <t>HM44</t>
        </is>
      </c>
      <c r="AU1393" s="403" t="inlineStr">
        <is>
          <t>PL07.02</t>
        </is>
      </c>
      <c r="AV1393" s="403" t="n">
        <v>8</v>
      </c>
      <c r="AW1393" s="403" t="n">
        <v>1</v>
      </c>
      <c r="AX1393" s="403" t="n"/>
    </row>
    <row r="1394" ht="28" customHeight="1" s="672">
      <c r="A1394" s="413" t="inlineStr">
        <is>
          <t>BBK680</t>
        </is>
      </c>
      <c r="B1394" s="413" t="inlineStr">
        <is>
          <t>PYC</t>
        </is>
      </c>
      <c r="C1394" s="413" t="inlineStr">
        <is>
          <t>BBK680.0649908</t>
        </is>
      </c>
      <c r="D1394" s="414" t="n"/>
      <c r="E1394" s="414" t="n"/>
      <c r="F1394" s="414" t="n"/>
      <c r="G1394" s="414" t="n"/>
      <c r="H1394" s="414" t="n"/>
      <c r="J1394" s="168" t="inlineStr">
        <is>
          <t>19</t>
        </is>
      </c>
      <c r="K1394" s="168" t="inlineStr">
        <is>
          <t>PYC</t>
        </is>
      </c>
      <c r="L1394" s="169" t="inlineStr">
        <is>
          <t>phiếu yêu cầu</t>
        </is>
      </c>
      <c r="M1394" s="169" t="n"/>
      <c r="N1394" s="169" t="n"/>
      <c r="O1394" s="170" t="inlineStr">
        <is>
          <t>Cầu KM19+529.080</t>
        </is>
      </c>
      <c r="P1394" s="405" t="n"/>
      <c r="Q1394" s="405" t="n"/>
      <c r="R1394" s="405">
        <f>S1394-1</f>
        <v/>
      </c>
      <c r="S1394" s="405">
        <f>S1390+7</f>
        <v/>
      </c>
      <c r="T1394" s="428" t="n">
        <v>0.3333333333333333</v>
      </c>
      <c r="U1394" s="428">
        <f>+T1394+V1394</f>
        <v/>
      </c>
      <c r="V1394" s="428" t="n">
        <v>0.02083333333333333</v>
      </c>
      <c r="W1394" s="406" t="n"/>
      <c r="X1394" s="406" t="n"/>
      <c r="Y1394" s="406" t="n"/>
      <c r="Z1394" s="406" t="n"/>
      <c r="AA1394" s="173" t="inlineStr">
        <is>
          <t>Theo dõi nén mẫu R7 bê tông thân trụ T1 đoạn 2 (đợt 2)</t>
        </is>
      </c>
      <c r="AB1394" s="173" t="inlineStr">
        <is>
          <t>307HG/YCNT/TT/T1-Đ2/Đ2-R7</t>
        </is>
      </c>
      <c r="AC1394" s="173" t="n"/>
      <c r="AD1394" s="173" t="n"/>
      <c r="AE1394" s="173" t="n"/>
      <c r="AF1394" s="173" t="n"/>
      <c r="AG1394" s="173" t="inlineStr">
        <is>
          <t>PYC</t>
        </is>
      </c>
      <c r="AH1394" s="173" t="n">
        <v>4</v>
      </c>
      <c r="AI1394" s="406" t="n"/>
      <c r="AJ1394" s="406" t="n"/>
      <c r="AK1394" s="408" t="n"/>
      <c r="AL1394" s="406" t="n"/>
      <c r="AM1394" s="406" t="n"/>
      <c r="AN1394" s="406" t="n"/>
      <c r="AO1394" s="406" t="n"/>
      <c r="AP1394" s="174" t="n"/>
      <c r="AQ1394" s="174" t="n"/>
      <c r="AR1394" s="406" t="inlineStr">
        <is>
          <t>Nhóm 1</t>
        </is>
      </c>
      <c r="AS1394" s="406" t="n"/>
      <c r="AT1394" s="406" t="inlineStr">
        <is>
          <t>HM44</t>
        </is>
      </c>
      <c r="AU1394" s="406" t="inlineStr">
        <is>
          <t>PYC</t>
        </is>
      </c>
      <c r="AV1394" s="406" t="n">
        <v>108</v>
      </c>
      <c r="AW1394" s="406" t="n">
        <v>4</v>
      </c>
      <c r="AX1394" s="406" t="n"/>
    </row>
    <row r="1395" ht="28" customHeight="1" s="672">
      <c r="A1395" s="413" t="inlineStr">
        <is>
          <t>BBK680</t>
        </is>
      </c>
      <c r="B1395" s="413" t="inlineStr">
        <is>
          <t>PYC</t>
        </is>
      </c>
      <c r="C1395" s="413" t="inlineStr">
        <is>
          <t>BBK680.0160850</t>
        </is>
      </c>
      <c r="D1395" s="414" t="n"/>
      <c r="E1395" s="414" t="n"/>
      <c r="F1395" s="414" t="n"/>
      <c r="G1395" s="414" t="n"/>
      <c r="H1395" s="414" t="n"/>
      <c r="J1395" s="108" t="inlineStr">
        <is>
          <t>20</t>
        </is>
      </c>
      <c r="K1395" s="108" t="inlineStr">
        <is>
          <t>PYC</t>
        </is>
      </c>
      <c r="L1395" s="109" t="inlineStr">
        <is>
          <t>phiếu yêu cầu</t>
        </is>
      </c>
      <c r="M1395" s="109" t="n"/>
      <c r="N1395" s="109" t="n"/>
      <c r="O1395" s="110" t="inlineStr">
        <is>
          <t>Cầu KM19+529.080</t>
        </is>
      </c>
      <c r="P1395" s="401" t="n"/>
      <c r="Q1395" s="401" t="n"/>
      <c r="R1395" s="401">
        <f>S1395-1</f>
        <v/>
      </c>
      <c r="S1395" s="401">
        <f>S1390+28</f>
        <v/>
      </c>
      <c r="T1395" s="402" t="n">
        <v>0.3541666666666667</v>
      </c>
      <c r="U1395" s="402">
        <f>+T1395+V1395</f>
        <v/>
      </c>
      <c r="V1395" s="402" t="n">
        <v>0.02083333333333333</v>
      </c>
      <c r="W1395" s="403" t="n"/>
      <c r="X1395" s="403" t="n"/>
      <c r="Y1395" s="403" t="n"/>
      <c r="Z1395" s="403" t="n"/>
      <c r="AA1395" s="113" t="inlineStr">
        <is>
          <t>Theo dõi nén mẫu R28 bê tông thân trụ T1 đoạn 2 (đợt 2)</t>
        </is>
      </c>
      <c r="AB1395" s="113" t="inlineStr">
        <is>
          <t>307HG/YCNT/TT/T1-Đ2/Đ2-R28</t>
        </is>
      </c>
      <c r="AC1395" s="113" t="n"/>
      <c r="AD1395" s="113" t="n"/>
      <c r="AE1395" s="113" t="n"/>
      <c r="AF1395" s="113" t="n"/>
      <c r="AG1395" s="113" t="inlineStr">
        <is>
          <t>PYC</t>
        </is>
      </c>
      <c r="AH1395" s="113" t="n">
        <v>5</v>
      </c>
      <c r="AI1395" s="403" t="n"/>
      <c r="AJ1395" s="403" t="n"/>
      <c r="AK1395" s="404" t="n"/>
      <c r="AL1395" s="403" t="n"/>
      <c r="AM1395" s="403" t="n"/>
      <c r="AN1395" s="403" t="n"/>
      <c r="AO1395" s="403" t="n"/>
      <c r="AP1395" s="115" t="n"/>
      <c r="AQ1395" s="115" t="n"/>
      <c r="AR1395" s="403" t="inlineStr">
        <is>
          <t>Nhóm 1</t>
        </is>
      </c>
      <c r="AS1395" s="403" t="n"/>
      <c r="AT1395" s="403" t="inlineStr">
        <is>
          <t>HM44</t>
        </is>
      </c>
      <c r="AU1395" s="403" t="inlineStr">
        <is>
          <t>PYC</t>
        </is>
      </c>
      <c r="AV1395" s="403" t="n">
        <v>134</v>
      </c>
      <c r="AW1395" s="403" t="n">
        <v>5</v>
      </c>
      <c r="AX1395" s="403" t="n"/>
    </row>
    <row r="1396">
      <c r="A1396" s="56" t="inlineStr">
        <is>
          <t>HM</t>
        </is>
      </c>
      <c r="B1396" s="56" t="inlineStr">
        <is>
          <t>HM</t>
        </is>
      </c>
      <c r="C1396" s="56" t="inlineStr">
        <is>
          <t>HM.0878208</t>
        </is>
      </c>
      <c r="D1396" s="57" t="n"/>
      <c r="E1396" s="57" t="n"/>
      <c r="F1396" s="57" t="n"/>
      <c r="G1396" s="57" t="n"/>
      <c r="H1396" s="57" t="n"/>
      <c r="J1396" s="387" t="inlineStr">
        <is>
          <t>HM45</t>
        </is>
      </c>
      <c r="K1396" s="387" t="inlineStr">
        <is>
          <t>HM</t>
        </is>
      </c>
      <c r="L1396" s="388" t="inlineStr">
        <is>
          <t>Thân trụ T1 đoạn 1 (đợt 1)</t>
        </is>
      </c>
      <c r="M1396" s="388" t="n"/>
      <c r="N1396" s="388" t="n"/>
      <c r="O1396" s="389" t="n"/>
      <c r="P1396" s="390" t="n"/>
      <c r="Q1396" s="390" t="n"/>
      <c r="R1396" s="390" t="n"/>
      <c r="S1396" s="390" t="n"/>
      <c r="T1396" s="390" t="n"/>
      <c r="U1396" s="390" t="n"/>
      <c r="V1396" s="390" t="n"/>
      <c r="W1396" s="391" t="n"/>
      <c r="X1396" s="391" t="n"/>
      <c r="Y1396" s="391" t="n"/>
      <c r="Z1396" s="391" t="n"/>
      <c r="AA1396" s="392" t="n"/>
      <c r="AB1396" s="392" t="n"/>
      <c r="AC1396" s="392" t="n"/>
      <c r="AD1396" s="392" t="n"/>
      <c r="AE1396" s="392" t="n"/>
      <c r="AF1396" s="392" t="n"/>
      <c r="AG1396" s="392" t="n"/>
      <c r="AH1396" s="392" t="n"/>
      <c r="AI1396" s="391" t="n"/>
      <c r="AJ1396" s="391" t="n"/>
      <c r="AK1396" s="393" t="n"/>
      <c r="AL1396" s="391" t="n"/>
      <c r="AM1396" s="391" t="n"/>
      <c r="AN1396" s="391" t="n"/>
      <c r="AO1396" s="391" t="n"/>
      <c r="AP1396" s="394" t="n"/>
      <c r="AQ1396" s="394" t="n"/>
      <c r="AR1396" s="391" t="n"/>
      <c r="AS1396" s="391" t="n"/>
      <c r="AT1396" s="391" t="inlineStr">
        <is>
          <t>HM45</t>
        </is>
      </c>
      <c r="AU1396" s="391" t="inlineStr">
        <is>
          <t>HM</t>
        </is>
      </c>
      <c r="AV1396" s="391" t="n"/>
      <c r="AW1396" s="391" t="n"/>
      <c r="AX1396" s="391" t="n"/>
    </row>
    <row r="1397" ht="28" customHeight="1" s="672">
      <c r="A1397" s="68" t="inlineStr">
        <is>
          <t>BBK_BIA</t>
        </is>
      </c>
      <c r="B1397" s="68" t="inlineStr">
        <is>
          <t>TRANGBIA</t>
        </is>
      </c>
      <c r="C1397" s="68" t="inlineStr">
        <is>
          <t>BBK_BIA.0163085</t>
        </is>
      </c>
      <c r="D1397" s="69" t="n"/>
      <c r="E1397" s="69" t="n"/>
      <c r="F1397" s="69" t="n"/>
      <c r="G1397" s="69" t="n"/>
      <c r="H1397" s="69" t="n"/>
      <c r="I1397" s="70" t="n"/>
      <c r="J1397" s="327" t="inlineStr">
        <is>
          <t>01</t>
        </is>
      </c>
      <c r="K1397" s="327" t="inlineStr">
        <is>
          <t>TRANGBIA</t>
        </is>
      </c>
      <c r="L1397" s="328">
        <f>L1396</f>
        <v/>
      </c>
      <c r="M1397" s="328" t="n"/>
      <c r="N1397" s="328" t="n"/>
      <c r="O1397" s="329" t="inlineStr">
        <is>
          <t>Cầu KM19+529.080</t>
        </is>
      </c>
      <c r="P1397" s="330" t="n"/>
      <c r="Q1397" s="330" t="n"/>
      <c r="R1397" s="330" t="n"/>
      <c r="S1397" s="330" t="n"/>
      <c r="T1397" s="330" t="n"/>
      <c r="U1397" s="330" t="n"/>
      <c r="V1397" s="330" t="n"/>
      <c r="W1397" s="331" t="n"/>
      <c r="X1397" s="331" t="n"/>
      <c r="Y1397" s="331" t="n"/>
      <c r="Z1397" s="331" t="n"/>
      <c r="AA1397" s="331" t="n"/>
      <c r="AB1397" s="331" t="n"/>
      <c r="AC1397" s="331" t="n"/>
      <c r="AD1397" s="331" t="n"/>
      <c r="AE1397" s="331" t="n"/>
      <c r="AF1397" s="331" t="n"/>
      <c r="AG1397" s="331" t="n"/>
      <c r="AH1397" s="331" t="n"/>
      <c r="AI1397" s="331" t="n"/>
      <c r="AJ1397" s="331" t="n"/>
      <c r="AK1397" s="329" t="n"/>
      <c r="AL1397" s="331" t="n"/>
      <c r="AM1397" s="331" t="n"/>
      <c r="AN1397" s="331" t="n"/>
      <c r="AO1397" s="331" t="n"/>
      <c r="AP1397" s="332">
        <f>L1397</f>
        <v/>
      </c>
      <c r="AQ1397" s="333" t="n"/>
      <c r="AR1397" s="331" t="inlineStr">
        <is>
          <t>Nhóm 1</t>
        </is>
      </c>
      <c r="AS1397" s="331" t="n"/>
      <c r="AT1397" s="331" t="inlineStr">
        <is>
          <t>HM45</t>
        </is>
      </c>
      <c r="AU1397" s="331" t="inlineStr">
        <is>
          <t>TRANGBIA</t>
        </is>
      </c>
      <c r="AV1397" s="331" t="n">
        <v>45</v>
      </c>
      <c r="AW1397" s="331" t="n">
        <v>1</v>
      </c>
      <c r="AX1397" s="331" t="n"/>
    </row>
    <row r="1398">
      <c r="A1398" s="68" t="inlineStr">
        <is>
          <t>BBK_ML</t>
        </is>
      </c>
      <c r="B1398" s="68" t="inlineStr">
        <is>
          <t>MUCLUC</t>
        </is>
      </c>
      <c r="C1398" s="68" t="inlineStr">
        <is>
          <t>BBK_ML.0435103</t>
        </is>
      </c>
      <c r="D1398" s="69" t="n"/>
      <c r="E1398" s="69" t="n"/>
      <c r="F1398" s="69" t="n"/>
      <c r="G1398" s="69" t="n"/>
      <c r="H1398" s="69" t="n"/>
      <c r="I1398" s="70" t="n"/>
      <c r="J1398" s="395" t="inlineStr">
        <is>
          <t>02</t>
        </is>
      </c>
      <c r="K1398" s="395" t="inlineStr">
        <is>
          <t>MUCLUC</t>
        </is>
      </c>
      <c r="L1398" s="396" t="inlineStr">
        <is>
          <t>Danh mục biên bản Kiểm tra/Nghiệm thu</t>
        </is>
      </c>
      <c r="M1398" s="396" t="n"/>
      <c r="N1398" s="396" t="n"/>
      <c r="O1398" s="397" t="inlineStr">
        <is>
          <t>Cầu KM19+529.080</t>
        </is>
      </c>
      <c r="P1398" s="398" t="n"/>
      <c r="Q1398" s="398" t="n"/>
      <c r="R1398" s="398" t="n"/>
      <c r="S1398" s="398" t="n"/>
      <c r="T1398" s="398" t="n"/>
      <c r="U1398" s="398" t="n"/>
      <c r="V1398" s="398" t="n"/>
      <c r="W1398" s="399" t="n"/>
      <c r="X1398" s="399" t="n"/>
      <c r="Y1398" s="399" t="n"/>
      <c r="Z1398" s="399" t="n"/>
      <c r="AA1398" s="399" t="n"/>
      <c r="AB1398" s="399" t="n"/>
      <c r="AC1398" s="399" t="n"/>
      <c r="AD1398" s="399" t="n"/>
      <c r="AE1398" s="399" t="n"/>
      <c r="AF1398" s="399" t="n"/>
      <c r="AG1398" s="399" t="n"/>
      <c r="AH1398" s="399" t="n"/>
      <c r="AI1398" s="399" t="n"/>
      <c r="AJ1398" s="399" t="n"/>
      <c r="AK1398" s="397" t="n"/>
      <c r="AL1398" s="399" t="n"/>
      <c r="AM1398" s="399" t="n"/>
      <c r="AN1398" s="399" t="n"/>
      <c r="AO1398" s="399" t="n"/>
      <c r="AP1398" s="400" t="n"/>
      <c r="AQ1398" s="400" t="n"/>
      <c r="AR1398" s="399" t="inlineStr">
        <is>
          <t>Nhóm 1</t>
        </is>
      </c>
      <c r="AS1398" s="399" t="n"/>
      <c r="AT1398" s="399" t="inlineStr">
        <is>
          <t>HM45</t>
        </is>
      </c>
      <c r="AU1398" s="399" t="inlineStr">
        <is>
          <t>MUCLUC</t>
        </is>
      </c>
      <c r="AV1398" s="399" t="n">
        <v>45</v>
      </c>
      <c r="AW1398" s="399" t="n">
        <v>1</v>
      </c>
      <c r="AX1398" s="399" t="n"/>
    </row>
    <row r="1399">
      <c r="A1399" s="56" t="inlineStr">
        <is>
          <t>BBK680</t>
        </is>
      </c>
      <c r="B1399" s="56" t="inlineStr">
        <is>
          <t>PYC</t>
        </is>
      </c>
      <c r="C1399" s="56" t="inlineStr">
        <is>
          <t>BBK680.0926604</t>
        </is>
      </c>
      <c r="D1399" s="57" t="n"/>
      <c r="E1399" s="57" t="n"/>
      <c r="F1399" s="57" t="n"/>
      <c r="G1399" s="57" t="n"/>
      <c r="H1399" s="57" t="n"/>
      <c r="J1399" s="108" t="inlineStr">
        <is>
          <t>03</t>
        </is>
      </c>
      <c r="K1399" s="108" t="inlineStr">
        <is>
          <t>PYC</t>
        </is>
      </c>
      <c r="L1399" s="109" t="inlineStr">
        <is>
          <t>phiếu yêu cầu</t>
        </is>
      </c>
      <c r="M1399" s="109" t="n"/>
      <c r="N1399" s="109" t="n"/>
      <c r="O1399" s="110" t="inlineStr">
        <is>
          <t>Cầu KM19+529.080</t>
        </is>
      </c>
      <c r="P1399" s="401" t="n"/>
      <c r="Q1399" s="401" t="n"/>
      <c r="R1399" s="401">
        <f>R1400</f>
        <v/>
      </c>
      <c r="S1399" s="401">
        <f>+R1399+1</f>
        <v/>
      </c>
      <c r="T1399" s="402">
        <f>T1400</f>
        <v/>
      </c>
      <c r="U1399" s="402">
        <f>U1400</f>
        <v/>
      </c>
      <c r="V1399" s="402">
        <f>V1400</f>
        <v/>
      </c>
      <c r="W1399" s="402">
        <f>W1400</f>
        <v/>
      </c>
      <c r="X1399" s="403" t="n"/>
      <c r="Y1399" s="403" t="n"/>
      <c r="Z1399" s="403" t="n"/>
      <c r="AA1399" s="113" t="n"/>
      <c r="AB1399" s="113" t="inlineStr">
        <is>
          <t>307HG/YCNT/TT/T1-Đ1/Đ1</t>
        </is>
      </c>
      <c r="AC1399" s="113" t="n"/>
      <c r="AD1399" s="113" t="n"/>
      <c r="AE1399" s="113" t="n"/>
      <c r="AF1399" s="113" t="n"/>
      <c r="AG1399" s="113" t="inlineStr">
        <is>
          <t>BBKTĐK;NTCV</t>
        </is>
      </c>
      <c r="AH1399" s="113" t="n">
        <v>1</v>
      </c>
      <c r="AI1399" s="403" t="n"/>
      <c r="AJ1399" s="403" t="n"/>
      <c r="AK1399" s="404" t="n"/>
      <c r="AL1399" s="403" t="n"/>
      <c r="AM1399" s="403" t="n"/>
      <c r="AN1399" s="403" t="n"/>
      <c r="AO1399" s="403" t="n"/>
      <c r="AP1399" s="115" t="n"/>
      <c r="AQ1399" s="115" t="n"/>
      <c r="AR1399" s="403" t="inlineStr">
        <is>
          <t>Nhóm 1</t>
        </is>
      </c>
      <c r="AS1399" s="403" t="n"/>
      <c r="AT1399" s="403" t="inlineStr">
        <is>
          <t>HM45</t>
        </is>
      </c>
      <c r="AU1399" s="403" t="inlineStr">
        <is>
          <t>PYC</t>
        </is>
      </c>
      <c r="AV1399" s="403" t="n">
        <v>103</v>
      </c>
      <c r="AW1399" s="403" t="n">
        <v>1</v>
      </c>
      <c r="AX1399" s="403" t="n"/>
    </row>
    <row r="1400" ht="28" customHeight="1" s="672">
      <c r="A1400" s="56" t="inlineStr">
        <is>
          <t>BBK884</t>
        </is>
      </c>
      <c r="B1400" s="56" t="inlineStr">
        <is>
          <t>BBKTĐK</t>
        </is>
      </c>
      <c r="C1400" s="56" t="inlineStr">
        <is>
          <t>BBK884.0466932</t>
        </is>
      </c>
      <c r="D1400" s="57" t="n"/>
      <c r="E1400" s="57" t="n"/>
      <c r="F1400" s="57" t="n"/>
      <c r="G1400" s="57" t="n"/>
      <c r="H1400" s="57" t="n"/>
      <c r="J1400" s="139" t="inlineStr">
        <is>
          <t>04</t>
        </is>
      </c>
      <c r="K1400" s="139" t="inlineStr">
        <is>
          <t>BBKTĐK</t>
        </is>
      </c>
      <c r="L1400" s="140" t="inlineStr">
        <is>
          <t>Kiểm tra điều kiện trước khi thi công thân trụ T1 đoạn 1 (đợt 1)</t>
        </is>
      </c>
      <c r="M1400" s="140" t="n"/>
      <c r="N1400" s="140" t="n"/>
      <c r="O1400" s="141" t="inlineStr">
        <is>
          <t>Cầu KM19+529.080</t>
        </is>
      </c>
      <c r="P1400" s="382">
        <f>+S1393+1</f>
        <v/>
      </c>
      <c r="Q1400" s="382">
        <f>P1400</f>
        <v/>
      </c>
      <c r="R1400" s="382">
        <f>Q1400-1</f>
        <v/>
      </c>
      <c r="S1400" s="382">
        <f>Q1400</f>
        <v/>
      </c>
      <c r="T1400" s="383" t="n">
        <v>0.3541666666666667</v>
      </c>
      <c r="U1400" s="383">
        <f>T1400+V1400</f>
        <v/>
      </c>
      <c r="V1400" s="383" t="n">
        <v>0.0625</v>
      </c>
      <c r="W1400" s="384">
        <f>TEXT(T1400,"HH""h""MM'")&amp;"÷"&amp;TEXT(U1400,"HH""h""MM'")</f>
        <v/>
      </c>
      <c r="X1400" s="384" t="n"/>
      <c r="Y1400" s="384" t="n"/>
      <c r="Z1400" s="384" t="inlineStr">
        <is>
          <t>01;</t>
        </is>
      </c>
      <c r="AA1400" s="144" t="inlineStr">
        <is>
          <t>Kiểm tra điều kiện trước khi thi công thân trụ T1 đoạn 1 (đợt 1)</t>
        </is>
      </c>
      <c r="AB1400" s="144" t="inlineStr">
        <is>
          <t>307HG/YCNT/TT/T1-Đ1/Đ1-1</t>
        </is>
      </c>
      <c r="AC1400" s="144" t="inlineStr">
        <is>
          <t>307HG/BBNT/TT/T1-Đ1/Đ1-1</t>
        </is>
      </c>
      <c r="AD1400" s="144" t="n"/>
      <c r="AE1400" s="144" t="n"/>
      <c r="AF1400" s="144" t="n"/>
      <c r="AG1400" s="144" t="n"/>
      <c r="AH1400" s="144" t="n"/>
      <c r="AI1400" s="384" t="n"/>
      <c r="AJ1400" s="384" t="n"/>
      <c r="AK1400" s="386" t="n"/>
      <c r="AL1400" s="384" t="n"/>
      <c r="AM1400" s="384" t="n"/>
      <c r="AN1400" s="384" t="n"/>
      <c r="AO1400" s="384" t="n"/>
      <c r="AP1400" s="146" t="n"/>
      <c r="AQ1400" s="146" t="n"/>
      <c r="AR1400" s="384" t="inlineStr">
        <is>
          <t>Nhóm 1</t>
        </is>
      </c>
      <c r="AS1400" s="384" t="n"/>
      <c r="AT1400" s="384" t="inlineStr">
        <is>
          <t>HM45</t>
        </is>
      </c>
      <c r="AU1400" s="384" t="inlineStr">
        <is>
          <t>BBKTĐK</t>
        </is>
      </c>
      <c r="AV1400" s="384" t="n">
        <v>40</v>
      </c>
      <c r="AW1400" s="384" t="n">
        <v>1</v>
      </c>
      <c r="AX1400" s="384" t="n"/>
    </row>
    <row r="1401">
      <c r="A1401" s="56" t="inlineStr">
        <is>
          <t>BBK860</t>
        </is>
      </c>
      <c r="B1401" s="56" t="inlineStr">
        <is>
          <t>PL01</t>
        </is>
      </c>
      <c r="C1401" s="56" t="inlineStr">
        <is>
          <t>BBK860.0988952</t>
        </is>
      </c>
      <c r="D1401" s="57" t="n"/>
      <c r="E1401" s="57" t="n"/>
      <c r="F1401" s="57" t="n"/>
      <c r="G1401" s="57" t="n"/>
      <c r="H1401" s="57" t="n"/>
      <c r="J1401" s="168" t="inlineStr">
        <is>
          <t>05</t>
        </is>
      </c>
      <c r="K1401" s="168" t="inlineStr">
        <is>
          <t>PL01</t>
        </is>
      </c>
      <c r="L1401" s="169" t="inlineStr">
        <is>
          <t>Phụ lục số 01</t>
        </is>
      </c>
      <c r="M1401" s="169" t="n"/>
      <c r="N1401" s="169" t="n"/>
      <c r="O1401" s="170" t="inlineStr">
        <is>
          <t>Cầu KM19+529.080</t>
        </is>
      </c>
      <c r="P1401" s="405" t="n"/>
      <c r="Q1401" s="405" t="n"/>
      <c r="R1401" s="405" t="n"/>
      <c r="S1401" s="405">
        <f>S1400</f>
        <v/>
      </c>
      <c r="T1401" s="405" t="n"/>
      <c r="U1401" s="405" t="n"/>
      <c r="V1401" s="405" t="n"/>
      <c r="W1401" s="406" t="n"/>
      <c r="X1401" s="406" t="n"/>
      <c r="Y1401" s="406" t="n"/>
      <c r="Z1401" s="168" t="n">
        <v>1</v>
      </c>
      <c r="AA1401" s="173" t="n"/>
      <c r="AB1401" s="173" t="n"/>
      <c r="AC1401" s="173" t="inlineStr">
        <is>
          <t>307HG/BBNT/TT/T1-Đ1/Đ1-1</t>
        </is>
      </c>
      <c r="AD1401" s="173" t="n"/>
      <c r="AE1401" s="173" t="n"/>
      <c r="AF1401" s="173" t="n"/>
      <c r="AG1401" s="173" t="n"/>
      <c r="AH1401" s="407" t="inlineStr">
        <is>
          <t>TT-T1-Đ1</t>
        </is>
      </c>
      <c r="AI1401" s="406" t="n"/>
      <c r="AJ1401" s="406" t="n"/>
      <c r="AK1401" s="408" t="n"/>
      <c r="AL1401" s="406" t="n"/>
      <c r="AM1401" s="406" t="n"/>
      <c r="AN1401" s="406" t="n"/>
      <c r="AO1401" s="406" t="n"/>
      <c r="AP1401" s="174" t="n"/>
      <c r="AQ1401" s="174" t="n"/>
      <c r="AR1401" s="406" t="inlineStr">
        <is>
          <t>Nhóm 1</t>
        </is>
      </c>
      <c r="AS1401" s="406" t="n"/>
      <c r="AT1401" s="406" t="inlineStr">
        <is>
          <t>HM45</t>
        </is>
      </c>
      <c r="AU1401" s="406" t="inlineStr">
        <is>
          <t>PL01</t>
        </is>
      </c>
      <c r="AV1401" s="406" t="n">
        <v>44</v>
      </c>
      <c r="AW1401" s="406" t="n">
        <v>1</v>
      </c>
      <c r="AX1401" s="406" t="n"/>
    </row>
    <row r="1402" ht="28" customHeight="1" s="672">
      <c r="A1402" s="56" t="inlineStr">
        <is>
          <t>NTCV</t>
        </is>
      </c>
      <c r="B1402" s="56" t="inlineStr">
        <is>
          <t>K.9999</t>
        </is>
      </c>
      <c r="C1402" s="56" t="inlineStr">
        <is>
          <t>NTCV.0431376</t>
        </is>
      </c>
      <c r="D1402" s="57" t="n"/>
      <c r="E1402" s="57" t="n"/>
      <c r="F1402" s="57" t="n"/>
      <c r="G1402" s="57" t="n"/>
      <c r="H1402" s="57" t="n"/>
      <c r="J1402" s="147" t="inlineStr">
        <is>
          <t>06</t>
        </is>
      </c>
      <c r="K1402" s="147" t="inlineStr">
        <is>
          <t>K.9999</t>
        </is>
      </c>
      <c r="L1402" s="148" t="inlineStr">
        <is>
          <t>Lắp dựng ván khuôn, thanh xuyên táo thân trụ T1 đoạn 1 (đợt 1)</t>
        </is>
      </c>
      <c r="M1402" s="148" t="n"/>
      <c r="N1402" s="148" t="n"/>
      <c r="O1402" s="149" t="inlineStr">
        <is>
          <t>Cầu KM19+529.080</t>
        </is>
      </c>
      <c r="P1402" s="415">
        <f>S1400+1</f>
        <v/>
      </c>
      <c r="Q1402" s="415">
        <f>P1402</f>
        <v/>
      </c>
      <c r="R1402" s="415">
        <f>Q1402-2</f>
        <v/>
      </c>
      <c r="S1402" s="415">
        <f>Q1402</f>
        <v/>
      </c>
      <c r="T1402" s="416" t="n">
        <v>0.375</v>
      </c>
      <c r="U1402" s="416">
        <f>+T1402+V1402</f>
        <v/>
      </c>
      <c r="V1402" s="416" t="n">
        <v>0.02083333333333333</v>
      </c>
      <c r="W1402" s="417">
        <f>TEXT(T1402,"HH""h""MM'")&amp;"÷"&amp;TEXT(U1402,"HH""h""MM'")</f>
        <v/>
      </c>
      <c r="X1402" s="417" t="n"/>
      <c r="Y1402" s="417" t="n"/>
      <c r="Z1402" s="417" t="inlineStr">
        <is>
          <t>02;</t>
        </is>
      </c>
      <c r="AA1402" s="150" t="inlineStr">
        <is>
          <t>Lắp dựng ván khuôn, thanh xuyên táo thân trụ T1 đoạn 1 (đợt 1)</t>
        </is>
      </c>
      <c r="AB1402" s="150" t="inlineStr">
        <is>
          <t>307HG/YCNT/TT/T1-Đ1/Đ1-1</t>
        </is>
      </c>
      <c r="AC1402" s="150" t="inlineStr">
        <is>
          <t>307HG/BBNT/TT/T1-Đ1/Đ1-2</t>
        </is>
      </c>
      <c r="AD1402" s="150" t="n"/>
      <c r="AE1402" s="150" t="n"/>
      <c r="AF1402" s="150" t="n"/>
      <c r="AG1402" s="150" t="n"/>
      <c r="AH1402" s="150" t="n"/>
      <c r="AI1402" s="417" t="n"/>
      <c r="AJ1402" s="417" t="n"/>
      <c r="AK1402" s="418" t="n"/>
      <c r="AL1402" s="417" t="n"/>
      <c r="AM1402" s="417" t="n"/>
      <c r="AN1402" s="417" t="n"/>
      <c r="AO1402" s="417" t="n"/>
      <c r="AP1402" s="151" t="n"/>
      <c r="AQ1402" s="151" t="n"/>
      <c r="AR1402" s="417" t="inlineStr">
        <is>
          <t>Nhóm 1</t>
        </is>
      </c>
      <c r="AS1402" s="417" t="n"/>
      <c r="AT1402" s="417" t="inlineStr">
        <is>
          <t>HM45</t>
        </is>
      </c>
      <c r="AU1402" s="417" t="inlineStr">
        <is>
          <t>NTCV</t>
        </is>
      </c>
      <c r="AV1402" s="417" t="n">
        <v>448</v>
      </c>
      <c r="AW1402" s="417" t="n">
        <v>1</v>
      </c>
      <c r="AX1402" s="417" t="n"/>
    </row>
    <row r="1403" ht="28" customHeight="1" s="672">
      <c r="A1403" s="56" t="inlineStr">
        <is>
          <t>BBK288</t>
        </is>
      </c>
      <c r="B1403" s="56" t="inlineStr">
        <is>
          <t>PL11.1</t>
        </is>
      </c>
      <c r="C1403" s="56" t="inlineStr">
        <is>
          <t>BBK288.0766153</t>
        </is>
      </c>
      <c r="D1403" s="57" t="n"/>
      <c r="E1403" s="57" t="n"/>
      <c r="F1403" s="57" t="n"/>
      <c r="G1403" s="57" t="n"/>
      <c r="H1403" s="57" t="n"/>
      <c r="J1403" s="108" t="inlineStr">
        <is>
          <t>07</t>
        </is>
      </c>
      <c r="K1403" s="108" t="inlineStr">
        <is>
          <t>PL11.1</t>
        </is>
      </c>
      <c r="L1403" s="109">
        <f>+L1402</f>
        <v/>
      </c>
      <c r="M1403" s="109" t="n"/>
      <c r="N1403" s="109" t="n"/>
      <c r="O1403" s="110" t="inlineStr">
        <is>
          <t>Cầu KM19+529.080</t>
        </is>
      </c>
      <c r="P1403" s="401" t="n"/>
      <c r="Q1403" s="401" t="n"/>
      <c r="R1403" s="401" t="n"/>
      <c r="S1403" s="401">
        <f>S1402</f>
        <v/>
      </c>
      <c r="T1403" s="401" t="n"/>
      <c r="U1403" s="401" t="n"/>
      <c r="V1403" s="401" t="n"/>
      <c r="W1403" s="403" t="n"/>
      <c r="X1403" s="403" t="n"/>
      <c r="Y1403" s="403" t="n"/>
      <c r="Z1403" s="108" t="n">
        <v>2</v>
      </c>
      <c r="AA1403" s="113" t="n"/>
      <c r="AB1403" s="113" t="n"/>
      <c r="AC1403" s="113" t="inlineStr">
        <is>
          <t>307HG/BBNT/TT/T1-Đ1/Đ1-2</t>
        </is>
      </c>
      <c r="AD1403" s="113" t="n"/>
      <c r="AE1403" s="113" t="n"/>
      <c r="AF1403" s="113" t="n"/>
      <c r="AG1403" s="113" t="n"/>
      <c r="AH1403" s="114" t="inlineStr">
        <is>
          <t>TT-T1-Đ1-Đ1</t>
        </is>
      </c>
      <c r="AI1403" s="403" t="n"/>
      <c r="AJ1403" s="403" t="n"/>
      <c r="AK1403" s="404" t="n"/>
      <c r="AL1403" s="403" t="n"/>
      <c r="AM1403" s="403" t="n"/>
      <c r="AN1403" s="403" t="n"/>
      <c r="AO1403" s="403" t="n"/>
      <c r="AP1403" s="115" t="n"/>
      <c r="AQ1403" s="115" t="inlineStr">
        <is>
          <t>Ảnh\TT DD1 T1,T2.png</t>
        </is>
      </c>
      <c r="AR1403" s="403" t="inlineStr">
        <is>
          <t>Nhóm 1</t>
        </is>
      </c>
      <c r="AS1403" s="403" t="n"/>
      <c r="AT1403" s="403" t="inlineStr">
        <is>
          <t>HM45</t>
        </is>
      </c>
      <c r="AU1403" s="403" t="inlineStr">
        <is>
          <t>PL11.1</t>
        </is>
      </c>
      <c r="AV1403" s="403" t="n">
        <v>14</v>
      </c>
      <c r="AW1403" s="403" t="n">
        <v>1</v>
      </c>
      <c r="AX1403" s="403" t="n"/>
    </row>
    <row r="1404">
      <c r="A1404" s="56" t="inlineStr">
        <is>
          <t>BBK680</t>
        </is>
      </c>
      <c r="B1404" s="56" t="inlineStr">
        <is>
          <t>PYC</t>
        </is>
      </c>
      <c r="C1404" s="56" t="inlineStr">
        <is>
          <t>BBK680.0713177</t>
        </is>
      </c>
      <c r="D1404" s="57" t="n"/>
      <c r="E1404" s="57" t="n"/>
      <c r="F1404" s="57" t="n"/>
      <c r="G1404" s="57" t="n"/>
      <c r="H1404" s="57" t="n"/>
      <c r="J1404" s="168" t="inlineStr">
        <is>
          <t>08</t>
        </is>
      </c>
      <c r="K1404" s="168" t="inlineStr">
        <is>
          <t>PYC</t>
        </is>
      </c>
      <c r="L1404" s="169" t="inlineStr">
        <is>
          <t>phiếu yêu cầu</t>
        </is>
      </c>
      <c r="M1404" s="169" t="n"/>
      <c r="N1404" s="169" t="n"/>
      <c r="O1404" s="170" t="inlineStr">
        <is>
          <t>Cầu KM19+529.080</t>
        </is>
      </c>
      <c r="P1404" s="405" t="n"/>
      <c r="Q1404" s="405" t="n"/>
      <c r="R1404" s="401">
        <f>R1405</f>
        <v/>
      </c>
      <c r="S1404" s="405">
        <f>+R1404+1</f>
        <v/>
      </c>
      <c r="T1404" s="402">
        <f>T1405</f>
        <v/>
      </c>
      <c r="U1404" s="402">
        <f>U1405</f>
        <v/>
      </c>
      <c r="V1404" s="402">
        <f>V1405</f>
        <v/>
      </c>
      <c r="W1404" s="402">
        <f>W1405</f>
        <v/>
      </c>
      <c r="X1404" s="406" t="n"/>
      <c r="Y1404" s="406" t="n"/>
      <c r="Z1404" s="168" t="n">
        <v>2</v>
      </c>
      <c r="AA1404" s="173" t="n"/>
      <c r="AB1404" s="173" t="inlineStr">
        <is>
          <t>307HG/YCNT/TT/T1-Đ1/Đ1</t>
        </is>
      </c>
      <c r="AC1404" s="173" t="n"/>
      <c r="AD1404" s="173" t="n"/>
      <c r="AE1404" s="173" t="n"/>
      <c r="AF1404" s="173" t="n"/>
      <c r="AG1404" s="129" t="inlineStr">
        <is>
          <t>NTCV</t>
        </is>
      </c>
      <c r="AH1404" s="173" t="inlineStr">
        <is>
          <t>&gt;=2;&lt;=4</t>
        </is>
      </c>
      <c r="AI1404" s="406" t="n"/>
      <c r="AJ1404" s="406" t="n"/>
      <c r="AK1404" s="408" t="n"/>
      <c r="AL1404" s="406" t="n"/>
      <c r="AM1404" s="406" t="n"/>
      <c r="AN1404" s="406" t="n"/>
      <c r="AO1404" s="406" t="n"/>
      <c r="AP1404" s="174" t="n"/>
      <c r="AQ1404" s="174" t="n"/>
      <c r="AR1404" s="406" t="inlineStr">
        <is>
          <t>Nhóm 1</t>
        </is>
      </c>
      <c r="AS1404" s="406" t="n"/>
      <c r="AT1404" s="406" t="inlineStr">
        <is>
          <t>HM45</t>
        </is>
      </c>
      <c r="AU1404" s="406" t="inlineStr">
        <is>
          <t>PYC</t>
        </is>
      </c>
      <c r="AV1404" s="406" t="n">
        <v>107</v>
      </c>
      <c r="AW1404" s="406" t="n">
        <v>2</v>
      </c>
      <c r="AX1404" s="406" t="n"/>
    </row>
    <row r="1405" ht="28" customHeight="1" s="672">
      <c r="A1405" s="413" t="inlineStr">
        <is>
          <t>NTCV</t>
        </is>
      </c>
      <c r="B1405" s="413" t="inlineStr">
        <is>
          <t>K.9999</t>
        </is>
      </c>
      <c r="C1405" s="413" t="inlineStr">
        <is>
          <t>NTCV.0205541</t>
        </is>
      </c>
      <c r="D1405" s="414" t="n"/>
      <c r="E1405" s="414" t="n"/>
      <c r="F1405" s="414" t="n"/>
      <c r="G1405" s="414" t="n"/>
      <c r="H1405" s="414" t="n"/>
      <c r="J1405" s="147" t="inlineStr">
        <is>
          <t>09</t>
        </is>
      </c>
      <c r="K1405" s="147" t="inlineStr">
        <is>
          <t>K.9999</t>
        </is>
      </c>
      <c r="L1405" s="148" t="inlineStr">
        <is>
          <t>Kiểm tra cốt thép thân trụ T1 đoạn 1 (đợt 1)</t>
        </is>
      </c>
      <c r="M1405" s="148" t="n"/>
      <c r="N1405" s="148" t="n"/>
      <c r="O1405" s="149" t="inlineStr">
        <is>
          <t>Cầu KM19+529.080</t>
        </is>
      </c>
      <c r="P1405" s="415">
        <f>+S1402+1</f>
        <v/>
      </c>
      <c r="Q1405" s="415">
        <f>+P1405</f>
        <v/>
      </c>
      <c r="R1405" s="415">
        <f>+Q1405-1</f>
        <v/>
      </c>
      <c r="S1405" s="415">
        <f>+Q1405</f>
        <v/>
      </c>
      <c r="T1405" s="416" t="n">
        <v>0.375</v>
      </c>
      <c r="U1405" s="416">
        <f>+T1405+V1405</f>
        <v/>
      </c>
      <c r="V1405" s="416" t="n">
        <v>0.04166666666666666</v>
      </c>
      <c r="W1405" s="411">
        <f>TEXT(T1405,"HH""h""MM'")&amp;"÷"&amp;TEXT(U1405,"HH""h""MM'")</f>
        <v/>
      </c>
      <c r="X1405" s="417" t="n"/>
      <c r="Y1405" s="417" t="n"/>
      <c r="Z1405" s="417" t="inlineStr">
        <is>
          <t>03;</t>
        </is>
      </c>
      <c r="AA1405" s="150" t="inlineStr">
        <is>
          <t>Kiểm tra cốt thép thân trụ T1 đoạn 1 (đợt 1)</t>
        </is>
      </c>
      <c r="AB1405" s="150" t="inlineStr">
        <is>
          <t>307HG/YCNT/TT/T1-Đ1/Đ1-2</t>
        </is>
      </c>
      <c r="AC1405" s="150" t="inlineStr">
        <is>
          <t>307HG/BBNT/TT/T1-Đ1/Đ1-3</t>
        </is>
      </c>
      <c r="AD1405" s="150" t="n"/>
      <c r="AE1405" s="150" t="n"/>
      <c r="AF1405" s="150" t="n"/>
      <c r="AG1405" s="150" t="n"/>
      <c r="AH1405" s="150" t="n"/>
      <c r="AI1405" s="417" t="n"/>
      <c r="AJ1405" s="417" t="n"/>
      <c r="AK1405" s="418" t="n"/>
      <c r="AL1405" s="417" t="n"/>
      <c r="AM1405" s="417" t="n"/>
      <c r="AN1405" s="417" t="n"/>
      <c r="AO1405" s="417" t="n"/>
      <c r="AP1405" s="151" t="n"/>
      <c r="AQ1405" s="151" t="n"/>
      <c r="AR1405" s="417" t="inlineStr">
        <is>
          <t>Nhóm 1</t>
        </is>
      </c>
      <c r="AS1405" s="417" t="n"/>
      <c r="AT1405" s="417" t="inlineStr">
        <is>
          <t>HM45</t>
        </is>
      </c>
      <c r="AU1405" s="417" t="inlineStr">
        <is>
          <t>NTCV</t>
        </is>
      </c>
      <c r="AV1405" s="417" t="n">
        <v>450</v>
      </c>
      <c r="AW1405" s="417" t="n">
        <v>2</v>
      </c>
      <c r="AX1405" s="417" t="n"/>
    </row>
    <row r="1406">
      <c r="A1406" s="413" t="inlineStr">
        <is>
          <t>BBK469</t>
        </is>
      </c>
      <c r="B1406" s="413" t="inlineStr">
        <is>
          <t>PL08.1</t>
        </is>
      </c>
      <c r="C1406" s="413" t="inlineStr">
        <is>
          <t>BBK469.0165645</t>
        </is>
      </c>
      <c r="D1406" s="414" t="n"/>
      <c r="E1406" s="414" t="n"/>
      <c r="F1406" s="414" t="n"/>
      <c r="G1406" s="414" t="n"/>
      <c r="H1406" s="414" t="n"/>
      <c r="J1406" s="108" t="inlineStr">
        <is>
          <t>10</t>
        </is>
      </c>
      <c r="K1406" s="108" t="inlineStr">
        <is>
          <t>PL08.1</t>
        </is>
      </c>
      <c r="L1406" s="109">
        <f>L1405</f>
        <v/>
      </c>
      <c r="M1406" s="109" t="n"/>
      <c r="N1406" s="109" t="n"/>
      <c r="O1406" s="110" t="inlineStr">
        <is>
          <t>Cầu KM19+529.080</t>
        </is>
      </c>
      <c r="P1406" s="401" t="n"/>
      <c r="Q1406" s="401" t="n"/>
      <c r="R1406" s="401" t="n"/>
      <c r="S1406" s="401">
        <f>S1405</f>
        <v/>
      </c>
      <c r="T1406" s="401" t="n"/>
      <c r="U1406" s="401" t="n"/>
      <c r="V1406" s="401" t="n"/>
      <c r="W1406" s="403" t="n"/>
      <c r="X1406" s="403" t="n"/>
      <c r="Y1406" s="403" t="n"/>
      <c r="Z1406" s="108" t="n">
        <v>3</v>
      </c>
      <c r="AA1406" s="113" t="n"/>
      <c r="AB1406" s="113" t="n"/>
      <c r="AC1406" s="113" t="inlineStr">
        <is>
          <t>307HG/BBNT/TT/T1-Đ1/Đ1-3</t>
        </is>
      </c>
      <c r="AD1406" s="113" t="n"/>
      <c r="AE1406" s="113" t="n"/>
      <c r="AF1406" s="113" t="n"/>
      <c r="AG1406" s="113" t="n"/>
      <c r="AH1406" s="113" t="inlineStr">
        <is>
          <t>TT-T1-Đ1-Đ1</t>
        </is>
      </c>
      <c r="AI1406" s="403" t="n"/>
      <c r="AJ1406" s="403" t="n"/>
      <c r="AK1406" s="404" t="n"/>
      <c r="AL1406" s="403" t="n"/>
      <c r="AM1406" s="403" t="n"/>
      <c r="AN1406" s="403" t="n"/>
      <c r="AO1406" s="403" t="n"/>
      <c r="AP1406" s="115" t="n"/>
      <c r="AQ1406" s="115" t="n"/>
      <c r="AR1406" s="403" t="inlineStr">
        <is>
          <t>Nhóm 1</t>
        </is>
      </c>
      <c r="AS1406" s="403" t="n"/>
      <c r="AT1406" s="403" t="inlineStr">
        <is>
          <t>HM45</t>
        </is>
      </c>
      <c r="AU1406" s="403" t="inlineStr">
        <is>
          <t>PL08.1</t>
        </is>
      </c>
      <c r="AV1406" s="403" t="n">
        <v>14</v>
      </c>
      <c r="AW1406" s="403" t="n">
        <v>1</v>
      </c>
      <c r="AX1406" s="403" t="n"/>
    </row>
    <row r="1407" ht="28" customHeight="1" s="672">
      <c r="A1407" s="413" t="inlineStr">
        <is>
          <t>NTCV</t>
        </is>
      </c>
      <c r="B1407" s="413" t="inlineStr">
        <is>
          <t>K.9999</t>
        </is>
      </c>
      <c r="C1407" s="413" t="inlineStr">
        <is>
          <t>NTCV.0661248</t>
        </is>
      </c>
      <c r="D1407" s="414" t="n"/>
      <c r="E1407" s="414" t="n"/>
      <c r="F1407" s="414" t="n"/>
      <c r="G1407" s="414" t="n"/>
      <c r="H1407" s="414" t="n"/>
      <c r="J1407" s="131" t="inlineStr">
        <is>
          <t>11</t>
        </is>
      </c>
      <c r="K1407" s="131" t="inlineStr">
        <is>
          <t>K.9999</t>
        </is>
      </c>
      <c r="L1407" s="132" t="inlineStr">
        <is>
          <t>Công tác chuẩn bị đổ bê tông thân trụ T1 đoạn 1 (đợt 1)</t>
        </is>
      </c>
      <c r="M1407" s="132" t="n"/>
      <c r="N1407" s="132" t="n"/>
      <c r="O1407" s="133" t="inlineStr">
        <is>
          <t>Cầu KM19+529.080</t>
        </is>
      </c>
      <c r="P1407" s="419">
        <f>S1405</f>
        <v/>
      </c>
      <c r="Q1407" s="419">
        <f>P1407+1</f>
        <v/>
      </c>
      <c r="R1407" s="415">
        <f>+Q1407-2</f>
        <v/>
      </c>
      <c r="S1407" s="415">
        <f>+Q1407</f>
        <v/>
      </c>
      <c r="T1407" s="420" t="n">
        <v>0.3333333333333333</v>
      </c>
      <c r="U1407" s="420">
        <f>+T1407+V1407</f>
        <v/>
      </c>
      <c r="V1407" s="420" t="n">
        <v>0.02083333333333333</v>
      </c>
      <c r="W1407" s="417">
        <f>TEXT(T1407,"HH""h""MM'")&amp;"÷"&amp;TEXT(U1407,"HH""h""MM'")</f>
        <v/>
      </c>
      <c r="X1407" s="421" t="n"/>
      <c r="Y1407" s="421" t="n"/>
      <c r="Z1407" s="421" t="inlineStr">
        <is>
          <t>04;</t>
        </is>
      </c>
      <c r="AA1407" s="136" t="inlineStr">
        <is>
          <t>Công tác chuẩn bị đổ bê tông thân trụ T1 đoạn 1 (đợt 1)</t>
        </is>
      </c>
      <c r="AB1407" s="150" t="inlineStr">
        <is>
          <t>307HG/YCNT/TT/T1-Đ1/Đ1-2</t>
        </is>
      </c>
      <c r="AC1407" s="136" t="inlineStr">
        <is>
          <t>307HG/BBNT/TT/T1-Đ1/Đ1-4</t>
        </is>
      </c>
      <c r="AD1407" s="136" t="n"/>
      <c r="AE1407" s="136" t="n"/>
      <c r="AF1407" s="136" t="n"/>
      <c r="AG1407" s="136" t="n"/>
      <c r="AH1407" s="136" t="n"/>
      <c r="AI1407" s="421" t="n"/>
      <c r="AJ1407" s="421" t="n"/>
      <c r="AK1407" s="422" t="n"/>
      <c r="AL1407" s="421" t="n"/>
      <c r="AM1407" s="421" t="n"/>
      <c r="AN1407" s="421" t="n"/>
      <c r="AO1407" s="421" t="n"/>
      <c r="AP1407" s="138" t="n"/>
      <c r="AQ1407" s="138" t="n"/>
      <c r="AR1407" s="421" t="inlineStr">
        <is>
          <t>Nhóm 1</t>
        </is>
      </c>
      <c r="AS1407" s="421" t="n"/>
      <c r="AT1407" s="421" t="inlineStr">
        <is>
          <t>HM45</t>
        </is>
      </c>
      <c r="AU1407" s="421" t="inlineStr">
        <is>
          <t>NTCV</t>
        </is>
      </c>
      <c r="AV1407" s="421" t="n">
        <v>452</v>
      </c>
      <c r="AW1407" s="421" t="n">
        <v>3</v>
      </c>
      <c r="AX1407" s="421" t="n"/>
    </row>
    <row r="1408">
      <c r="A1408" s="413" t="inlineStr">
        <is>
          <t>BBK209</t>
        </is>
      </c>
      <c r="B1408" s="413" t="inlineStr">
        <is>
          <t>PL09</t>
        </is>
      </c>
      <c r="C1408" s="413" t="inlineStr">
        <is>
          <t>BBK209.0984191</t>
        </is>
      </c>
      <c r="D1408" s="414" t="n"/>
      <c r="E1408" s="414" t="n"/>
      <c r="F1408" s="414" t="n"/>
      <c r="G1408" s="414" t="n"/>
      <c r="H1408" s="414" t="n"/>
      <c r="J1408" s="124" t="inlineStr">
        <is>
          <t>12</t>
        </is>
      </c>
      <c r="K1408" s="124" t="inlineStr">
        <is>
          <t>PL09</t>
        </is>
      </c>
      <c r="L1408" s="125">
        <f>+L1407</f>
        <v/>
      </c>
      <c r="M1408" s="125" t="n"/>
      <c r="N1408" s="125" t="n"/>
      <c r="O1408" s="126" t="inlineStr">
        <is>
          <t>Cầu KM19+529.080</t>
        </is>
      </c>
      <c r="P1408" s="423" t="n"/>
      <c r="Q1408" s="423" t="n"/>
      <c r="R1408" s="423">
        <f>+R1409</f>
        <v/>
      </c>
      <c r="S1408" s="423">
        <f>+S1407</f>
        <v/>
      </c>
      <c r="T1408" s="424" t="n"/>
      <c r="U1408" s="424" t="n"/>
      <c r="V1408" s="424" t="n"/>
      <c r="W1408" s="425" t="n"/>
      <c r="X1408" s="425" t="n"/>
      <c r="Y1408" s="425" t="n"/>
      <c r="Z1408" s="124" t="n">
        <v>4</v>
      </c>
      <c r="AA1408" s="129" t="n"/>
      <c r="AB1408" s="129" t="n"/>
      <c r="AC1408" s="129">
        <f>+AC1407</f>
        <v/>
      </c>
      <c r="AD1408" s="129" t="n"/>
      <c r="AE1408" s="129" t="n"/>
      <c r="AF1408" s="129" t="n"/>
      <c r="AG1408" s="129" t="n"/>
      <c r="AH1408" s="129" t="inlineStr">
        <is>
          <t>C30</t>
        </is>
      </c>
      <c r="AI1408" s="425" t="n"/>
      <c r="AJ1408" s="425" t="n"/>
      <c r="AK1408" s="427" t="n"/>
      <c r="AL1408" s="425" t="n"/>
      <c r="AM1408" s="425" t="n"/>
      <c r="AN1408" s="425" t="n"/>
      <c r="AO1408" s="425" t="n"/>
      <c r="AP1408" s="130" t="n"/>
      <c r="AQ1408" s="130" t="n"/>
      <c r="AR1408" s="425" t="inlineStr">
        <is>
          <t>Nhóm 1</t>
        </is>
      </c>
      <c r="AS1408" s="425" t="n"/>
      <c r="AT1408" s="425" t="inlineStr">
        <is>
          <t>HM45</t>
        </is>
      </c>
      <c r="AU1408" s="425" t="inlineStr">
        <is>
          <t>PL09</t>
        </is>
      </c>
      <c r="AV1408" s="425" t="n">
        <v>40</v>
      </c>
      <c r="AW1408" s="425" t="n">
        <v>1</v>
      </c>
      <c r="AX1408" s="425" t="n"/>
    </row>
    <row r="1409" ht="28" customHeight="1" s="672">
      <c r="A1409" s="413" t="inlineStr">
        <is>
          <t>NTCV</t>
        </is>
      </c>
      <c r="B1409" s="413" t="inlineStr">
        <is>
          <t>K.9999</t>
        </is>
      </c>
      <c r="C1409" s="413" t="inlineStr">
        <is>
          <t>NTCV.0773604</t>
        </is>
      </c>
      <c r="D1409" s="414" t="n"/>
      <c r="E1409" s="414" t="n"/>
      <c r="F1409" s="414" t="n"/>
      <c r="G1409" s="414" t="n"/>
      <c r="H1409" s="414" t="n"/>
      <c r="J1409" s="161" t="inlineStr">
        <is>
          <t>13</t>
        </is>
      </c>
      <c r="K1409" s="161" t="inlineStr">
        <is>
          <t>K.9999</t>
        </is>
      </c>
      <c r="L1409" s="162" t="inlineStr">
        <is>
          <t>Công tác đổ, lấy mẫu bê tông thân trụ T1 đoạn 1 (đợt 1)</t>
        </is>
      </c>
      <c r="M1409" s="162" t="n"/>
      <c r="N1409" s="162" t="n"/>
      <c r="O1409" s="163" t="inlineStr">
        <is>
          <t>Cầu KM19+529.080</t>
        </is>
      </c>
      <c r="P1409" s="409">
        <f>+S1407</f>
        <v/>
      </c>
      <c r="Q1409" s="409">
        <f>+P1409</f>
        <v/>
      </c>
      <c r="R1409" s="409">
        <f>+Q1409-1</f>
        <v/>
      </c>
      <c r="S1409" s="409">
        <f>+Q1409</f>
        <v/>
      </c>
      <c r="T1409" s="410" t="n">
        <v>0.375</v>
      </c>
      <c r="U1409" s="410">
        <f>+T1409+V1409</f>
        <v/>
      </c>
      <c r="V1409" s="410" t="n">
        <v>0.125</v>
      </c>
      <c r="W1409" s="417">
        <f>TEXT(T1409,"HH""h""MM'")&amp;"÷"&amp;TEXT(U1409,"HH""h""MM'")</f>
        <v/>
      </c>
      <c r="X1409" s="411" t="n"/>
      <c r="Y1409" s="411" t="n"/>
      <c r="Z1409" s="161" t="inlineStr">
        <is>
          <t>05;</t>
        </is>
      </c>
      <c r="AA1409" s="166" t="inlineStr">
        <is>
          <t>Công tác đổ bê tông, lấy mẫu bê tông thân trụ T1 đoạn 1 (đợt 1)</t>
        </is>
      </c>
      <c r="AB1409" s="166" t="n"/>
      <c r="AC1409" s="166" t="inlineStr">
        <is>
          <t>307HG/BBNT/TT/T1-Đ1/Đ1-5</t>
        </is>
      </c>
      <c r="AD1409" s="166" t="n"/>
      <c r="AE1409" s="166" t="n"/>
      <c r="AF1409" s="166" t="n"/>
      <c r="AG1409" s="166" t="n"/>
      <c r="AH1409" s="166" t="n"/>
      <c r="AI1409" s="411" t="n"/>
      <c r="AJ1409" s="411" t="n"/>
      <c r="AK1409" s="412" t="n"/>
      <c r="AL1409" s="411" t="n"/>
      <c r="AM1409" s="411" t="n"/>
      <c r="AN1409" s="411" t="n"/>
      <c r="AO1409" s="411" t="n"/>
      <c r="AP1409" s="167" t="n"/>
      <c r="AQ1409" s="167" t="n"/>
      <c r="AR1409" s="411" t="inlineStr">
        <is>
          <t>Nhóm 1</t>
        </is>
      </c>
      <c r="AS1409" s="411" t="n"/>
      <c r="AT1409" s="411" t="inlineStr">
        <is>
          <t>HM45</t>
        </is>
      </c>
      <c r="AU1409" s="411" t="inlineStr">
        <is>
          <t>NTCV</t>
        </is>
      </c>
      <c r="AV1409" s="411" t="n">
        <v>453</v>
      </c>
      <c r="AW1409" s="411" t="n">
        <v>4</v>
      </c>
      <c r="AX1409" s="411" t="n"/>
    </row>
    <row r="1410" ht="28" customHeight="1" s="672">
      <c r="A1410" s="413" t="inlineStr">
        <is>
          <t>BBK832</t>
        </is>
      </c>
      <c r="B1410" s="413" t="inlineStr">
        <is>
          <t>PL06.1</t>
        </is>
      </c>
      <c r="C1410" s="413" t="inlineStr">
        <is>
          <t>BBK832.0568145</t>
        </is>
      </c>
      <c r="D1410" s="414" t="n"/>
      <c r="E1410" s="414" t="n"/>
      <c r="F1410" s="414" t="n"/>
      <c r="G1410" s="414" t="n"/>
      <c r="H1410" s="414" t="n"/>
      <c r="J1410" s="168" t="inlineStr">
        <is>
          <t>14</t>
        </is>
      </c>
      <c r="K1410" s="168" t="inlineStr">
        <is>
          <t>PL06.1</t>
        </is>
      </c>
      <c r="L1410" s="169">
        <f>+L1409</f>
        <v/>
      </c>
      <c r="M1410" s="169" t="n"/>
      <c r="N1410" s="169" t="n"/>
      <c r="O1410" s="170" t="inlineStr">
        <is>
          <t>Cầu KM19+529.080</t>
        </is>
      </c>
      <c r="P1410" s="405" t="n"/>
      <c r="Q1410" s="405" t="n"/>
      <c r="R1410" s="405" t="n"/>
      <c r="S1410" s="405">
        <f>+S1409</f>
        <v/>
      </c>
      <c r="T1410" s="428">
        <f>+T1409</f>
        <v/>
      </c>
      <c r="U1410" s="428">
        <f>T1410+V1410</f>
        <v/>
      </c>
      <c r="V1410" s="428">
        <f>+V1409</f>
        <v/>
      </c>
      <c r="W1410" s="406" t="n"/>
      <c r="X1410" s="406" t="n"/>
      <c r="Y1410" s="406" t="n"/>
      <c r="Z1410" s="168" t="n">
        <v>5</v>
      </c>
      <c r="AA1410" s="173" t="n"/>
      <c r="AB1410" s="173" t="n"/>
      <c r="AC1410" s="173">
        <f>+AC1409</f>
        <v/>
      </c>
      <c r="AD1410" s="173" t="n"/>
      <c r="AE1410" s="173" t="n"/>
      <c r="AF1410" s="173" t="n"/>
      <c r="AG1410" s="173" t="n"/>
      <c r="AH1410" s="407" t="inlineStr">
        <is>
          <t>C30-TT-T1-Đ1-Đ1</t>
        </is>
      </c>
      <c r="AI1410" s="406" t="n"/>
      <c r="AJ1410" s="406" t="n"/>
      <c r="AK1410" s="408" t="n"/>
      <c r="AL1410" s="406" t="n"/>
      <c r="AM1410" s="406" t="n"/>
      <c r="AN1410" s="406" t="n"/>
      <c r="AO1410" s="406" t="n"/>
      <c r="AP1410" s="174" t="n"/>
      <c r="AQ1410" s="174" t="n"/>
      <c r="AR1410" s="406" t="inlineStr">
        <is>
          <t>Nhóm 1</t>
        </is>
      </c>
      <c r="AS1410" s="406" t="n"/>
      <c r="AT1410" s="406" t="inlineStr">
        <is>
          <t>HM45</t>
        </is>
      </c>
      <c r="AU1410" s="406" t="inlineStr">
        <is>
          <t>PL06.1</t>
        </is>
      </c>
      <c r="AV1410" s="406" t="n">
        <v>15</v>
      </c>
      <c r="AW1410" s="406" t="n">
        <v>1</v>
      </c>
      <c r="AX1410" s="406" t="n"/>
    </row>
    <row r="1411">
      <c r="A1411" s="413" t="inlineStr">
        <is>
          <t>LMHT</t>
        </is>
      </c>
      <c r="B1411" s="413" t="inlineStr">
        <is>
          <t>LMHT</t>
        </is>
      </c>
      <c r="C1411" s="413" t="inlineStr">
        <is>
          <t>LMHT.0383679</t>
        </is>
      </c>
      <c r="D1411" s="414" t="inlineStr">
        <is>
          <t>TC.000041|TC.000182|TC.000169.A</t>
        </is>
      </c>
      <c r="E1411" s="414" t="n"/>
      <c r="F1411" s="414" t="inlineStr">
        <is>
          <t>CP.0001^Bê tông thân trụ T1 đoạn 1 (đợt 1)^Hình trụ 15x30 (cm)^18^C30 (30Mpa)^^^TC.000041|TC.000182|TC.000169.A</t>
        </is>
      </c>
      <c r="G1411" s="414" t="n"/>
      <c r="H1411" s="414" t="n"/>
      <c r="J1411" s="175" t="inlineStr">
        <is>
          <t>15</t>
        </is>
      </c>
      <c r="K1411" s="175" t="inlineStr">
        <is>
          <t>LMHT</t>
        </is>
      </c>
      <c r="L1411" s="176" t="inlineStr">
        <is>
          <t>Bê tông thân trụ T1 đoạn 1 (đợt 1)</t>
        </is>
      </c>
      <c r="M1411" s="176" t="n"/>
      <c r="N1411" s="176" t="n"/>
      <c r="O1411" s="177" t="inlineStr">
        <is>
          <t>Cầu KM19+529.080</t>
        </is>
      </c>
      <c r="P1411" s="299" t="n"/>
      <c r="Q1411" s="299" t="n"/>
      <c r="R1411" s="299" t="n"/>
      <c r="S1411" s="299">
        <f>S1407</f>
        <v/>
      </c>
      <c r="T1411" s="300">
        <f>T1410</f>
        <v/>
      </c>
      <c r="U1411" s="300">
        <f>U1410</f>
        <v/>
      </c>
      <c r="V1411" s="300">
        <f>V1410</f>
        <v/>
      </c>
      <c r="W1411" s="301" t="n"/>
      <c r="X1411" s="301" t="n"/>
      <c r="Y1411" s="301" t="n"/>
      <c r="Z1411" s="301" t="n"/>
      <c r="AA1411" s="180" t="n"/>
      <c r="AB1411" s="180" t="n"/>
      <c r="AC1411" s="180" t="n"/>
      <c r="AD1411" s="180" t="n"/>
      <c r="AE1411" s="180" t="n"/>
      <c r="AF1411" s="180" t="n"/>
      <c r="AG1411" s="180" t="n"/>
      <c r="AH1411" s="180" t="n"/>
      <c r="AI1411" s="301" t="n"/>
      <c r="AJ1411" s="301" t="n"/>
      <c r="AK1411" s="303" t="n"/>
      <c r="AL1411" s="301" t="n"/>
      <c r="AM1411" s="301" t="n"/>
      <c r="AN1411" s="301" t="n"/>
      <c r="AO1411" s="301" t="n"/>
      <c r="AP1411" s="181" t="n"/>
      <c r="AQ1411" s="181" t="n"/>
      <c r="AR1411" s="301" t="inlineStr">
        <is>
          <t>Nhóm 1</t>
        </is>
      </c>
      <c r="AS1411" s="301" t="n"/>
      <c r="AT1411" s="301" t="inlineStr">
        <is>
          <t>HM45</t>
        </is>
      </c>
      <c r="AU1411" s="301" t="inlineStr">
        <is>
          <t>LMHT</t>
        </is>
      </c>
      <c r="AV1411" s="301" t="n">
        <v>51</v>
      </c>
      <c r="AW1411" s="301" t="n">
        <v>1</v>
      </c>
      <c r="AX1411" s="301" t="n"/>
    </row>
    <row r="1412">
      <c r="A1412" s="413" t="inlineStr">
        <is>
          <t>BBK680</t>
        </is>
      </c>
      <c r="B1412" s="413" t="inlineStr">
        <is>
          <t>PYC</t>
        </is>
      </c>
      <c r="C1412" s="413" t="inlineStr">
        <is>
          <t>BBK680.0277104</t>
        </is>
      </c>
      <c r="D1412" s="414" t="n"/>
      <c r="E1412" s="414" t="n"/>
      <c r="F1412" s="414" t="n"/>
      <c r="G1412" s="414" t="n"/>
      <c r="H1412" s="414" t="n"/>
      <c r="J1412" s="168" t="inlineStr">
        <is>
          <t>16</t>
        </is>
      </c>
      <c r="K1412" s="168" t="inlineStr">
        <is>
          <t>PYC</t>
        </is>
      </c>
      <c r="L1412" s="169" t="inlineStr">
        <is>
          <t>phiếu yêu cầu</t>
        </is>
      </c>
      <c r="M1412" s="169" t="n"/>
      <c r="N1412" s="169" t="n"/>
      <c r="O1412" s="170" t="inlineStr">
        <is>
          <t>Cầu KM19+529.080</t>
        </is>
      </c>
      <c r="P1412" s="405" t="n"/>
      <c r="Q1412" s="405" t="n"/>
      <c r="R1412" s="401">
        <f>+R1413</f>
        <v/>
      </c>
      <c r="S1412" s="405">
        <f>R1412+1</f>
        <v/>
      </c>
      <c r="T1412" s="405" t="n"/>
      <c r="U1412" s="405" t="n"/>
      <c r="V1412" s="405" t="n"/>
      <c r="W1412" s="406" t="n"/>
      <c r="X1412" s="406" t="n"/>
      <c r="Y1412" s="406" t="n"/>
      <c r="Z1412" s="406" t="n"/>
      <c r="AA1412" s="173" t="n"/>
      <c r="AB1412" s="173" t="inlineStr">
        <is>
          <t>307HG/YCNT/TT/T1-Đ1/Đ1</t>
        </is>
      </c>
      <c r="AC1412" s="173" t="n"/>
      <c r="AD1412" s="173" t="n"/>
      <c r="AE1412" s="173" t="n"/>
      <c r="AF1412" s="173" t="n"/>
      <c r="AG1412" s="129" t="inlineStr">
        <is>
          <t>NTCV</t>
        </is>
      </c>
      <c r="AH1412" s="173" t="n">
        <v>5</v>
      </c>
      <c r="AI1412" s="406" t="n"/>
      <c r="AJ1412" s="406" t="n"/>
      <c r="AK1412" s="408" t="n"/>
      <c r="AL1412" s="406" t="n"/>
      <c r="AM1412" s="406" t="n"/>
      <c r="AN1412" s="406" t="n"/>
      <c r="AO1412" s="406" t="n"/>
      <c r="AP1412" s="174" t="n"/>
      <c r="AQ1412" s="174" t="n"/>
      <c r="AR1412" s="406" t="inlineStr">
        <is>
          <t>Nhóm 1</t>
        </is>
      </c>
      <c r="AS1412" s="406" t="n"/>
      <c r="AT1412" s="406" t="inlineStr">
        <is>
          <t>HM45</t>
        </is>
      </c>
      <c r="AU1412" s="406" t="inlineStr">
        <is>
          <t>PYC</t>
        </is>
      </c>
      <c r="AV1412" s="406" t="n">
        <v>113</v>
      </c>
      <c r="AW1412" s="406" t="n">
        <v>3</v>
      </c>
      <c r="AX1412" s="406" t="n"/>
    </row>
    <row r="1413">
      <c r="A1413" s="413" t="inlineStr">
        <is>
          <t>NTCV</t>
        </is>
      </c>
      <c r="B1413" s="413" t="inlineStr">
        <is>
          <t>K.9999</t>
        </is>
      </c>
      <c r="C1413" s="413" t="inlineStr">
        <is>
          <t>NTCV.0764247</t>
        </is>
      </c>
      <c r="D1413" s="414" t="n"/>
      <c r="E1413" s="414" t="n"/>
      <c r="F1413" s="414" t="n"/>
      <c r="G1413" s="414" t="n"/>
      <c r="H1413" s="414" t="n"/>
      <c r="J1413" s="147" t="inlineStr">
        <is>
          <t>17</t>
        </is>
      </c>
      <c r="K1413" s="147" t="inlineStr">
        <is>
          <t>K.9999</t>
        </is>
      </c>
      <c r="L1413" s="148" t="inlineStr">
        <is>
          <t>Tháo ván khuôn thân trụ T1 đoạn 1 (đợt 1)</t>
        </is>
      </c>
      <c r="M1413" s="148" t="n"/>
      <c r="N1413" s="148" t="n"/>
      <c r="O1413" s="149" t="inlineStr">
        <is>
          <t>Cầu KM19+529.080</t>
        </is>
      </c>
      <c r="P1413" s="415">
        <f>S1411</f>
        <v/>
      </c>
      <c r="Q1413" s="415">
        <f>+P1413+3</f>
        <v/>
      </c>
      <c r="R1413" s="415">
        <f>Q1413-1</f>
        <v/>
      </c>
      <c r="S1413" s="415">
        <f>Q1413</f>
        <v/>
      </c>
      <c r="T1413" s="416" t="n">
        <v>0.3541666666666667</v>
      </c>
      <c r="U1413" s="416">
        <f>+T1413+V1413</f>
        <v/>
      </c>
      <c r="V1413" s="416" t="n">
        <v>0.01388888888888889</v>
      </c>
      <c r="W1413" s="411">
        <f>TEXT(T1413,"HH""h""MM'")&amp;"÷"&amp;TEXT(U1413,"HH""h""MM'")</f>
        <v/>
      </c>
      <c r="X1413" s="417" t="n"/>
      <c r="Y1413" s="417" t="n"/>
      <c r="Z1413" s="417" t="inlineStr">
        <is>
          <t>06;</t>
        </is>
      </c>
      <c r="AA1413" s="150" t="inlineStr">
        <is>
          <t>Kiểm tra ván khuôn Bệ trụ T1 đoạn 1</t>
        </is>
      </c>
      <c r="AB1413" s="150" t="inlineStr">
        <is>
          <t>307HG/YCNT/TT/T1-Đ1/Đ1-3</t>
        </is>
      </c>
      <c r="AC1413" s="150" t="inlineStr">
        <is>
          <t>307HG/BBNT/TT/T1-Đ1/Đ1-5</t>
        </is>
      </c>
      <c r="AD1413" s="150" t="n"/>
      <c r="AE1413" s="150" t="n"/>
      <c r="AF1413" s="150" t="n"/>
      <c r="AG1413" s="150" t="n"/>
      <c r="AH1413" s="150" t="n"/>
      <c r="AI1413" s="417" t="n"/>
      <c r="AJ1413" s="417" t="n"/>
      <c r="AK1413" s="418" t="n"/>
      <c r="AL1413" s="417" t="n"/>
      <c r="AM1413" s="417" t="n"/>
      <c r="AN1413" s="417" t="n"/>
      <c r="AO1413" s="417" t="n"/>
      <c r="AP1413" s="151" t="n"/>
      <c r="AQ1413" s="151" t="n"/>
      <c r="AR1413" s="417" t="inlineStr">
        <is>
          <t>Nhóm 1</t>
        </is>
      </c>
      <c r="AS1413" s="417" t="n"/>
      <c r="AT1413" s="417" t="inlineStr">
        <is>
          <t>HM45</t>
        </is>
      </c>
      <c r="AU1413" s="417" t="inlineStr">
        <is>
          <t>NTCV</t>
        </is>
      </c>
      <c r="AV1413" s="417" t="n">
        <v>457</v>
      </c>
      <c r="AW1413" s="417" t="n">
        <v>5</v>
      </c>
      <c r="AX1413" s="417" t="n"/>
    </row>
    <row r="1414">
      <c r="A1414" s="413" t="inlineStr">
        <is>
          <t>BBK587</t>
        </is>
      </c>
      <c r="B1414" s="413" t="inlineStr">
        <is>
          <t>PL07.02</t>
        </is>
      </c>
      <c r="C1414" s="413" t="inlineStr">
        <is>
          <t>BBK587.0238059</t>
        </is>
      </c>
      <c r="D1414" s="414" t="n"/>
      <c r="E1414" s="414" t="n"/>
      <c r="F1414" s="414" t="n"/>
      <c r="G1414" s="414" t="n"/>
      <c r="H1414" s="414" t="n"/>
      <c r="J1414" s="108" t="inlineStr">
        <is>
          <t>18</t>
        </is>
      </c>
      <c r="K1414" s="108" t="inlineStr">
        <is>
          <t>PL07.02</t>
        </is>
      </c>
      <c r="L1414" s="109">
        <f>+L1413</f>
        <v/>
      </c>
      <c r="M1414" s="109" t="n"/>
      <c r="N1414" s="109" t="n"/>
      <c r="O1414" s="110" t="inlineStr">
        <is>
          <t>Cầu KM19+529.080</t>
        </is>
      </c>
      <c r="P1414" s="401" t="n"/>
      <c r="Q1414" s="401" t="n"/>
      <c r="R1414" s="401" t="n"/>
      <c r="S1414" s="401">
        <f>S1413</f>
        <v/>
      </c>
      <c r="T1414" s="401" t="n"/>
      <c r="U1414" s="401" t="n"/>
      <c r="V1414" s="401" t="n"/>
      <c r="W1414" s="403" t="n"/>
      <c r="X1414" s="403" t="n"/>
      <c r="Y1414" s="403" t="n"/>
      <c r="Z1414" s="108" t="n">
        <v>6</v>
      </c>
      <c r="AA1414" s="113" t="n"/>
      <c r="AB1414" s="113" t="n"/>
      <c r="AC1414" s="113" t="inlineStr">
        <is>
          <t>307HG/BBNT/TT/T1-Đ1/Đ1-5</t>
        </is>
      </c>
      <c r="AD1414" s="113" t="n"/>
      <c r="AE1414" s="113" t="n"/>
      <c r="AF1414" s="113" t="n"/>
      <c r="AG1414" s="113" t="n"/>
      <c r="AH1414" s="114" t="inlineStr">
        <is>
          <t>TT-T1-Đ1-Đ1</t>
        </is>
      </c>
      <c r="AI1414" s="403" t="n"/>
      <c r="AJ1414" s="403" t="n"/>
      <c r="AK1414" s="404" t="n"/>
      <c r="AL1414" s="403" t="n"/>
      <c r="AM1414" s="403" t="n"/>
      <c r="AN1414" s="403" t="n"/>
      <c r="AO1414" s="403" t="n"/>
      <c r="AP1414" s="115" t="n"/>
      <c r="AQ1414" s="115" t="inlineStr">
        <is>
          <t>Ảnh\TT DD1 T1,T2.png</t>
        </is>
      </c>
      <c r="AR1414" s="403" t="inlineStr">
        <is>
          <t>Nhóm 1</t>
        </is>
      </c>
      <c r="AS1414" s="403" t="n"/>
      <c r="AT1414" s="403" t="inlineStr">
        <is>
          <t>HM45</t>
        </is>
      </c>
      <c r="AU1414" s="403" t="inlineStr">
        <is>
          <t>PL07.02</t>
        </is>
      </c>
      <c r="AV1414" s="403" t="n">
        <v>11</v>
      </c>
      <c r="AW1414" s="403" t="n">
        <v>1</v>
      </c>
      <c r="AX1414" s="403" t="n"/>
    </row>
    <row r="1415" ht="28" customHeight="1" s="672">
      <c r="A1415" s="413" t="inlineStr">
        <is>
          <t>BBK680</t>
        </is>
      </c>
      <c r="B1415" s="413" t="inlineStr">
        <is>
          <t>PYC</t>
        </is>
      </c>
      <c r="C1415" s="413" t="inlineStr">
        <is>
          <t>BBK680.0698398</t>
        </is>
      </c>
      <c r="D1415" s="414" t="n"/>
      <c r="E1415" s="414" t="n"/>
      <c r="F1415" s="414" t="n"/>
      <c r="G1415" s="414" t="n"/>
      <c r="H1415" s="414" t="n"/>
      <c r="J1415" s="168" t="inlineStr">
        <is>
          <t>19</t>
        </is>
      </c>
      <c r="K1415" s="168" t="inlineStr">
        <is>
          <t>PYC</t>
        </is>
      </c>
      <c r="L1415" s="169" t="inlineStr">
        <is>
          <t>phiếu yêu cầu</t>
        </is>
      </c>
      <c r="M1415" s="169" t="n"/>
      <c r="N1415" s="169" t="n"/>
      <c r="O1415" s="170" t="inlineStr">
        <is>
          <t>Cầu KM19+529.080</t>
        </is>
      </c>
      <c r="P1415" s="405" t="n"/>
      <c r="Q1415" s="405" t="n"/>
      <c r="R1415" s="405">
        <f>S1415-1</f>
        <v/>
      </c>
      <c r="S1415" s="405">
        <f>S1411+7</f>
        <v/>
      </c>
      <c r="T1415" s="428" t="n">
        <v>0.3333333333333333</v>
      </c>
      <c r="U1415" s="428">
        <f>+T1415+V1415</f>
        <v/>
      </c>
      <c r="V1415" s="428" t="n">
        <v>0.02083333333333333</v>
      </c>
      <c r="W1415" s="406" t="n"/>
      <c r="X1415" s="406" t="n"/>
      <c r="Y1415" s="406" t="n"/>
      <c r="Z1415" s="406" t="n"/>
      <c r="AA1415" s="173" t="inlineStr">
        <is>
          <t>Theo dõi nén mẫu R7 bê tông thân trụ T1 đoạn 1 (đợt 1)</t>
        </is>
      </c>
      <c r="AB1415" s="173" t="inlineStr">
        <is>
          <t>307HG/YCNT/TT/T1-Đ1/Đ1-R7</t>
        </is>
      </c>
      <c r="AC1415" s="173" t="n"/>
      <c r="AD1415" s="173" t="n"/>
      <c r="AE1415" s="173" t="n"/>
      <c r="AF1415" s="173" t="n"/>
      <c r="AG1415" s="173" t="inlineStr">
        <is>
          <t>PYC</t>
        </is>
      </c>
      <c r="AH1415" s="173" t="n">
        <v>4</v>
      </c>
      <c r="AI1415" s="406" t="n"/>
      <c r="AJ1415" s="406" t="n"/>
      <c r="AK1415" s="408" t="n"/>
      <c r="AL1415" s="406" t="n"/>
      <c r="AM1415" s="406" t="n"/>
      <c r="AN1415" s="406" t="n"/>
      <c r="AO1415" s="406" t="n"/>
      <c r="AP1415" s="174" t="n"/>
      <c r="AQ1415" s="174" t="n"/>
      <c r="AR1415" s="406" t="inlineStr">
        <is>
          <t>Nhóm 1</t>
        </is>
      </c>
      <c r="AS1415" s="406" t="n"/>
      <c r="AT1415" s="406" t="inlineStr">
        <is>
          <t>HM45</t>
        </is>
      </c>
      <c r="AU1415" s="406" t="inlineStr">
        <is>
          <t>PYC</t>
        </is>
      </c>
      <c r="AV1415" s="406" t="n">
        <v>121</v>
      </c>
      <c r="AW1415" s="406" t="n">
        <v>4</v>
      </c>
      <c r="AX1415" s="406" t="n"/>
    </row>
    <row r="1416" ht="28" customHeight="1" s="672">
      <c r="A1416" s="413" t="inlineStr">
        <is>
          <t>BBK680</t>
        </is>
      </c>
      <c r="B1416" s="413" t="inlineStr">
        <is>
          <t>PYC</t>
        </is>
      </c>
      <c r="C1416" s="413" t="inlineStr">
        <is>
          <t>BBK680.0609557</t>
        </is>
      </c>
      <c r="D1416" s="414" t="n"/>
      <c r="E1416" s="414" t="n"/>
      <c r="F1416" s="414" t="n"/>
      <c r="G1416" s="414" t="n"/>
      <c r="H1416" s="414" t="n"/>
      <c r="J1416" s="124" t="inlineStr">
        <is>
          <t>20</t>
        </is>
      </c>
      <c r="K1416" s="124" t="inlineStr">
        <is>
          <t>PYC</t>
        </is>
      </c>
      <c r="L1416" s="125" t="inlineStr">
        <is>
          <t>phiếu yêu cầu</t>
        </is>
      </c>
      <c r="M1416" s="125" t="n"/>
      <c r="N1416" s="125" t="n"/>
      <c r="O1416" s="126" t="inlineStr">
        <is>
          <t>Cầu KM19+529.080</t>
        </is>
      </c>
      <c r="P1416" s="423" t="n"/>
      <c r="Q1416" s="423" t="n"/>
      <c r="R1416" s="423">
        <f>S1416-1</f>
        <v/>
      </c>
      <c r="S1416" s="423">
        <f>S1411+28</f>
        <v/>
      </c>
      <c r="T1416" s="424" t="n">
        <v>0.3541666666666667</v>
      </c>
      <c r="U1416" s="424">
        <f>+T1416+V1416</f>
        <v/>
      </c>
      <c r="V1416" s="424" t="n">
        <v>0.02083333333333333</v>
      </c>
      <c r="W1416" s="425" t="n"/>
      <c r="X1416" s="425" t="n"/>
      <c r="Y1416" s="425" t="n"/>
      <c r="Z1416" s="425" t="n"/>
      <c r="AA1416" s="129" t="inlineStr">
        <is>
          <t>Theo dõi nén mẫu R28 bê tông thân trụ T1 đoạn 1 (đợt 1)</t>
        </is>
      </c>
      <c r="AB1416" s="129" t="inlineStr">
        <is>
          <t>307HG/YCNT/TT/T1-Đ1/Đ1-R28</t>
        </is>
      </c>
      <c r="AC1416" s="129" t="n"/>
      <c r="AD1416" s="129" t="n"/>
      <c r="AE1416" s="129" t="n"/>
      <c r="AF1416" s="129" t="n"/>
      <c r="AG1416" s="129" t="inlineStr">
        <is>
          <t>PYC</t>
        </is>
      </c>
      <c r="AH1416" s="129" t="n">
        <v>5</v>
      </c>
      <c r="AI1416" s="425" t="n"/>
      <c r="AJ1416" s="425" t="n"/>
      <c r="AK1416" s="427" t="n"/>
      <c r="AL1416" s="425" t="n"/>
      <c r="AM1416" s="425" t="n"/>
      <c r="AN1416" s="425" t="n"/>
      <c r="AO1416" s="425" t="n"/>
      <c r="AP1416" s="130" t="n"/>
      <c r="AQ1416" s="130" t="n"/>
      <c r="AR1416" s="425" t="inlineStr">
        <is>
          <t>Nhóm 1</t>
        </is>
      </c>
      <c r="AS1416" s="425" t="n"/>
      <c r="AT1416" s="425" t="inlineStr">
        <is>
          <t>HM45</t>
        </is>
      </c>
      <c r="AU1416" s="425" t="inlineStr">
        <is>
          <t>PYC</t>
        </is>
      </c>
      <c r="AV1416" s="425" t="n">
        <v>137</v>
      </c>
      <c r="AW1416" s="425" t="n">
        <v>5</v>
      </c>
      <c r="AX1416" s="425" t="n"/>
    </row>
    <row r="1417">
      <c r="A1417" s="56" t="inlineStr">
        <is>
          <t>HM</t>
        </is>
      </c>
      <c r="B1417" s="56" t="inlineStr">
        <is>
          <t>HM</t>
        </is>
      </c>
      <c r="C1417" s="56" t="inlineStr">
        <is>
          <t>HM.0187054</t>
        </is>
      </c>
      <c r="D1417" s="57" t="n"/>
      <c r="E1417" s="57" t="n"/>
      <c r="F1417" s="57" t="n"/>
      <c r="G1417" s="57" t="n"/>
      <c r="H1417" s="57" t="n"/>
      <c r="J1417" s="387" t="inlineStr">
        <is>
          <t>HM46</t>
        </is>
      </c>
      <c r="K1417" s="387" t="inlineStr">
        <is>
          <t>HM</t>
        </is>
      </c>
      <c r="L1417" s="388" t="inlineStr">
        <is>
          <t>Thân trụ T1 đoạn 1 (đợt 2)</t>
        </is>
      </c>
      <c r="M1417" s="388" t="n"/>
      <c r="N1417" s="388" t="n"/>
      <c r="O1417" s="389" t="n"/>
      <c r="P1417" s="390" t="n"/>
      <c r="Q1417" s="390" t="n"/>
      <c r="R1417" s="390" t="n"/>
      <c r="S1417" s="390" t="n"/>
      <c r="T1417" s="390" t="n"/>
      <c r="U1417" s="390" t="n"/>
      <c r="V1417" s="390" t="n"/>
      <c r="W1417" s="391" t="n"/>
      <c r="X1417" s="391" t="n"/>
      <c r="Y1417" s="391" t="n"/>
      <c r="Z1417" s="391" t="n"/>
      <c r="AA1417" s="392" t="n"/>
      <c r="AB1417" s="392" t="n"/>
      <c r="AC1417" s="392" t="n"/>
      <c r="AD1417" s="392" t="n"/>
      <c r="AE1417" s="392" t="n"/>
      <c r="AF1417" s="392" t="n"/>
      <c r="AG1417" s="392" t="n"/>
      <c r="AH1417" s="392" t="n"/>
      <c r="AI1417" s="391" t="n"/>
      <c r="AJ1417" s="391" t="n"/>
      <c r="AK1417" s="393" t="n"/>
      <c r="AL1417" s="391" t="n"/>
      <c r="AM1417" s="391" t="n"/>
      <c r="AN1417" s="391" t="n"/>
      <c r="AO1417" s="391" t="n"/>
      <c r="AP1417" s="394" t="n"/>
      <c r="AQ1417" s="394" t="n"/>
      <c r="AR1417" s="391" t="n"/>
      <c r="AS1417" s="391" t="n"/>
      <c r="AT1417" s="391" t="inlineStr">
        <is>
          <t>HM46</t>
        </is>
      </c>
      <c r="AU1417" s="391" t="inlineStr">
        <is>
          <t>HM</t>
        </is>
      </c>
      <c r="AV1417" s="391" t="n"/>
      <c r="AW1417" s="391" t="n"/>
      <c r="AX1417" s="391" t="n"/>
    </row>
    <row r="1418" ht="28" customHeight="1" s="672">
      <c r="A1418" s="68" t="inlineStr">
        <is>
          <t>BBK_BIA</t>
        </is>
      </c>
      <c r="B1418" s="68" t="inlineStr">
        <is>
          <t>TRANGBIA</t>
        </is>
      </c>
      <c r="C1418" s="68" t="inlineStr">
        <is>
          <t>BBK_BIA.0959141</t>
        </is>
      </c>
      <c r="D1418" s="69" t="n"/>
      <c r="E1418" s="69" t="n"/>
      <c r="F1418" s="69" t="n"/>
      <c r="G1418" s="69" t="n"/>
      <c r="H1418" s="69" t="n"/>
      <c r="I1418" s="70" t="n"/>
      <c r="J1418" s="327" t="inlineStr">
        <is>
          <t>01</t>
        </is>
      </c>
      <c r="K1418" s="327" t="inlineStr">
        <is>
          <t>TRANGBIA</t>
        </is>
      </c>
      <c r="L1418" s="328">
        <f>L1417</f>
        <v/>
      </c>
      <c r="M1418" s="328" t="n"/>
      <c r="N1418" s="328" t="n"/>
      <c r="O1418" s="329" t="inlineStr">
        <is>
          <t>Cầu KM19+529.080</t>
        </is>
      </c>
      <c r="P1418" s="330" t="n"/>
      <c r="Q1418" s="330" t="n"/>
      <c r="R1418" s="330" t="n"/>
      <c r="S1418" s="330" t="n"/>
      <c r="T1418" s="330" t="n"/>
      <c r="U1418" s="330" t="n"/>
      <c r="V1418" s="330" t="n"/>
      <c r="W1418" s="331" t="n"/>
      <c r="X1418" s="331" t="n"/>
      <c r="Y1418" s="331" t="n"/>
      <c r="Z1418" s="331" t="n"/>
      <c r="AA1418" s="331" t="n"/>
      <c r="AB1418" s="331" t="n"/>
      <c r="AC1418" s="331" t="n"/>
      <c r="AD1418" s="331" t="n"/>
      <c r="AE1418" s="331" t="n"/>
      <c r="AF1418" s="331" t="n"/>
      <c r="AG1418" s="331" t="n"/>
      <c r="AH1418" s="331" t="n"/>
      <c r="AI1418" s="331" t="n"/>
      <c r="AJ1418" s="331" t="n"/>
      <c r="AK1418" s="329" t="n"/>
      <c r="AL1418" s="331" t="n"/>
      <c r="AM1418" s="331" t="n"/>
      <c r="AN1418" s="331" t="n"/>
      <c r="AO1418" s="331" t="n"/>
      <c r="AP1418" s="332">
        <f>L1418</f>
        <v/>
      </c>
      <c r="AQ1418" s="333" t="n"/>
      <c r="AR1418" s="331" t="inlineStr">
        <is>
          <t>Nhóm 1</t>
        </is>
      </c>
      <c r="AS1418" s="331" t="n"/>
      <c r="AT1418" s="331" t="inlineStr">
        <is>
          <t>HM46</t>
        </is>
      </c>
      <c r="AU1418" s="331" t="inlineStr">
        <is>
          <t>TRANGBIA</t>
        </is>
      </c>
      <c r="AV1418" s="331" t="n">
        <v>46</v>
      </c>
      <c r="AW1418" s="331" t="n">
        <v>1</v>
      </c>
      <c r="AX1418" s="331" t="n"/>
    </row>
    <row r="1419">
      <c r="A1419" s="68" t="inlineStr">
        <is>
          <t>BBK_ML</t>
        </is>
      </c>
      <c r="B1419" s="68" t="inlineStr">
        <is>
          <t>MUCLUC</t>
        </is>
      </c>
      <c r="C1419" s="68" t="inlineStr">
        <is>
          <t>BBK_ML.0816649</t>
        </is>
      </c>
      <c r="D1419" s="69" t="n"/>
      <c r="E1419" s="69" t="n"/>
      <c r="F1419" s="69" t="n"/>
      <c r="G1419" s="69" t="n"/>
      <c r="H1419" s="69" t="n"/>
      <c r="I1419" s="70" t="n"/>
      <c r="J1419" s="395" t="inlineStr">
        <is>
          <t>02</t>
        </is>
      </c>
      <c r="K1419" s="395" t="inlineStr">
        <is>
          <t>MUCLUC</t>
        </is>
      </c>
      <c r="L1419" s="396" t="inlineStr">
        <is>
          <t>Danh mục biên bản Kiểm tra/Nghiệm thu</t>
        </is>
      </c>
      <c r="M1419" s="396" t="n"/>
      <c r="N1419" s="396" t="n"/>
      <c r="O1419" s="397" t="inlineStr">
        <is>
          <t>Cầu KM19+529.080</t>
        </is>
      </c>
      <c r="P1419" s="398" t="n"/>
      <c r="Q1419" s="398" t="n"/>
      <c r="R1419" s="398" t="n"/>
      <c r="S1419" s="398" t="n"/>
      <c r="T1419" s="398" t="n"/>
      <c r="U1419" s="398" t="n"/>
      <c r="V1419" s="398" t="n"/>
      <c r="W1419" s="399" t="n"/>
      <c r="X1419" s="399" t="n"/>
      <c r="Y1419" s="399" t="n"/>
      <c r="Z1419" s="399" t="n"/>
      <c r="AA1419" s="399" t="n"/>
      <c r="AB1419" s="399" t="n"/>
      <c r="AC1419" s="399" t="n"/>
      <c r="AD1419" s="399" t="n"/>
      <c r="AE1419" s="399" t="n"/>
      <c r="AF1419" s="399" t="n"/>
      <c r="AG1419" s="399" t="n"/>
      <c r="AH1419" s="399" t="n"/>
      <c r="AI1419" s="399" t="n"/>
      <c r="AJ1419" s="399" t="n"/>
      <c r="AK1419" s="397" t="n"/>
      <c r="AL1419" s="399" t="n"/>
      <c r="AM1419" s="399" t="n"/>
      <c r="AN1419" s="399" t="n"/>
      <c r="AO1419" s="399" t="n"/>
      <c r="AP1419" s="400" t="n"/>
      <c r="AQ1419" s="400" t="n"/>
      <c r="AR1419" s="399" t="inlineStr">
        <is>
          <t>Nhóm 1</t>
        </is>
      </c>
      <c r="AS1419" s="399" t="n"/>
      <c r="AT1419" s="399" t="inlineStr">
        <is>
          <t>HM46</t>
        </is>
      </c>
      <c r="AU1419" s="399" t="inlineStr">
        <is>
          <t>MUCLUC</t>
        </is>
      </c>
      <c r="AV1419" s="399" t="n">
        <v>46</v>
      </c>
      <c r="AW1419" s="399" t="n">
        <v>1</v>
      </c>
      <c r="AX1419" s="399" t="n"/>
    </row>
    <row r="1420">
      <c r="A1420" s="56" t="inlineStr">
        <is>
          <t>BBK680</t>
        </is>
      </c>
      <c r="B1420" s="56" t="inlineStr">
        <is>
          <t>PYC</t>
        </is>
      </c>
      <c r="C1420" s="56" t="inlineStr">
        <is>
          <t>BBK680.0660322</t>
        </is>
      </c>
      <c r="D1420" s="57" t="n"/>
      <c r="E1420" s="57" t="n"/>
      <c r="F1420" s="57" t="n"/>
      <c r="G1420" s="57" t="n"/>
      <c r="H1420" s="57" t="n"/>
      <c r="J1420" s="108" t="inlineStr">
        <is>
          <t>03</t>
        </is>
      </c>
      <c r="K1420" s="108" t="inlineStr">
        <is>
          <t>PYC</t>
        </is>
      </c>
      <c r="L1420" s="109" t="inlineStr">
        <is>
          <t>phiếu yêu cầu</t>
        </is>
      </c>
      <c r="M1420" s="109" t="n"/>
      <c r="N1420" s="109" t="n"/>
      <c r="O1420" s="110" t="inlineStr">
        <is>
          <t>Cầu KM19+529.080</t>
        </is>
      </c>
      <c r="P1420" s="401" t="n"/>
      <c r="Q1420" s="401" t="n"/>
      <c r="R1420" s="401">
        <f>R1421</f>
        <v/>
      </c>
      <c r="S1420" s="401">
        <f>+R1420+1</f>
        <v/>
      </c>
      <c r="T1420" s="402">
        <f>T1421</f>
        <v/>
      </c>
      <c r="U1420" s="402">
        <f>U1421</f>
        <v/>
      </c>
      <c r="V1420" s="402">
        <f>V1421</f>
        <v/>
      </c>
      <c r="W1420" s="402">
        <f>W1421</f>
        <v/>
      </c>
      <c r="X1420" s="403" t="n"/>
      <c r="Y1420" s="403" t="n"/>
      <c r="Z1420" s="403" t="n"/>
      <c r="AA1420" s="113" t="n"/>
      <c r="AB1420" s="113" t="inlineStr">
        <is>
          <t>307HG/YCNT/TT/T1-Đ1/Đ2</t>
        </is>
      </c>
      <c r="AC1420" s="113" t="n"/>
      <c r="AD1420" s="113" t="n"/>
      <c r="AE1420" s="113" t="n"/>
      <c r="AF1420" s="113" t="n"/>
      <c r="AG1420" s="113" t="inlineStr">
        <is>
          <t>BBKTĐK;NTCV</t>
        </is>
      </c>
      <c r="AH1420" s="113" t="n">
        <v>1</v>
      </c>
      <c r="AI1420" s="403" t="n"/>
      <c r="AJ1420" s="403" t="n"/>
      <c r="AK1420" s="404" t="n"/>
      <c r="AL1420" s="403" t="n"/>
      <c r="AM1420" s="403" t="n"/>
      <c r="AN1420" s="403" t="n"/>
      <c r="AO1420" s="403" t="n"/>
      <c r="AP1420" s="115" t="n"/>
      <c r="AQ1420" s="115" t="n"/>
      <c r="AR1420" s="403" t="inlineStr">
        <is>
          <t>Nhóm 1</t>
        </is>
      </c>
      <c r="AS1420" s="403" t="n"/>
      <c r="AT1420" s="403" t="inlineStr">
        <is>
          <t>HM46</t>
        </is>
      </c>
      <c r="AU1420" s="403" t="inlineStr">
        <is>
          <t>PYC</t>
        </is>
      </c>
      <c r="AV1420" s="403" t="n">
        <v>116</v>
      </c>
      <c r="AW1420" s="403" t="n">
        <v>1</v>
      </c>
      <c r="AX1420" s="403" t="n"/>
    </row>
    <row r="1421" ht="28" customHeight="1" s="672">
      <c r="A1421" s="56" t="inlineStr">
        <is>
          <t>BBK884</t>
        </is>
      </c>
      <c r="B1421" s="56" t="inlineStr">
        <is>
          <t>BBKTĐK</t>
        </is>
      </c>
      <c r="C1421" s="56" t="inlineStr">
        <is>
          <t>BBK884.0068209</t>
        </is>
      </c>
      <c r="D1421" s="57" t="n"/>
      <c r="E1421" s="57" t="n"/>
      <c r="F1421" s="57" t="n"/>
      <c r="G1421" s="57" t="n"/>
      <c r="H1421" s="57" t="n"/>
      <c r="J1421" s="139" t="inlineStr">
        <is>
          <t>04</t>
        </is>
      </c>
      <c r="K1421" s="139" t="inlineStr">
        <is>
          <t>BBKTĐK</t>
        </is>
      </c>
      <c r="L1421" s="140" t="inlineStr">
        <is>
          <t>Kiểm tra điều kiện trước khi thi công thân trụ T1 đoạn 1 (đợt 2)</t>
        </is>
      </c>
      <c r="M1421" s="140" t="n"/>
      <c r="N1421" s="140" t="n"/>
      <c r="O1421" s="141" t="inlineStr">
        <is>
          <t>Cầu KM19+529.080</t>
        </is>
      </c>
      <c r="P1421" s="382">
        <f>+S1414+1</f>
        <v/>
      </c>
      <c r="Q1421" s="382">
        <f>P1421</f>
        <v/>
      </c>
      <c r="R1421" s="382">
        <f>Q1421-1</f>
        <v/>
      </c>
      <c r="S1421" s="382">
        <f>Q1421</f>
        <v/>
      </c>
      <c r="T1421" s="383" t="n">
        <v>0.3541666666666667</v>
      </c>
      <c r="U1421" s="383">
        <f>T1421+V1421</f>
        <v/>
      </c>
      <c r="V1421" s="383" t="n">
        <v>0.0625</v>
      </c>
      <c r="W1421" s="384">
        <f>TEXT(T1421,"HH""h""MM'")&amp;"÷"&amp;TEXT(U1421,"HH""h""MM'")</f>
        <v/>
      </c>
      <c r="X1421" s="384" t="n"/>
      <c r="Y1421" s="384" t="n"/>
      <c r="Z1421" s="384" t="inlineStr">
        <is>
          <t>01;</t>
        </is>
      </c>
      <c r="AA1421" s="144" t="inlineStr">
        <is>
          <t>Kiểm tra điều kiện trước khi thi công thân trụ T1 đoạn 1 (đợt 2)</t>
        </is>
      </c>
      <c r="AB1421" s="144" t="inlineStr">
        <is>
          <t>307HG/YCNT/TT/T1-Đ1/Đ2-1</t>
        </is>
      </c>
      <c r="AC1421" s="144" t="inlineStr">
        <is>
          <t>307HG/BBNT/TT/T1-Đ1/Đ2-1</t>
        </is>
      </c>
      <c r="AD1421" s="144" t="n"/>
      <c r="AE1421" s="144" t="n"/>
      <c r="AF1421" s="144" t="n"/>
      <c r="AG1421" s="144" t="n"/>
      <c r="AH1421" s="144" t="n"/>
      <c r="AI1421" s="384" t="n"/>
      <c r="AJ1421" s="384" t="n"/>
      <c r="AK1421" s="386" t="n"/>
      <c r="AL1421" s="384" t="n"/>
      <c r="AM1421" s="384" t="n"/>
      <c r="AN1421" s="384" t="n"/>
      <c r="AO1421" s="384" t="n"/>
      <c r="AP1421" s="146" t="n"/>
      <c r="AQ1421" s="146" t="n"/>
      <c r="AR1421" s="384" t="inlineStr">
        <is>
          <t>Nhóm 1</t>
        </is>
      </c>
      <c r="AS1421" s="384" t="n"/>
      <c r="AT1421" s="384" t="inlineStr">
        <is>
          <t>HM46</t>
        </is>
      </c>
      <c r="AU1421" s="384" t="inlineStr">
        <is>
          <t>BBKTĐK</t>
        </is>
      </c>
      <c r="AV1421" s="384" t="n">
        <v>42</v>
      </c>
      <c r="AW1421" s="384" t="n">
        <v>1</v>
      </c>
      <c r="AX1421" s="384" t="n"/>
    </row>
    <row r="1422">
      <c r="A1422" s="56" t="inlineStr">
        <is>
          <t>BBK860</t>
        </is>
      </c>
      <c r="B1422" s="56" t="inlineStr">
        <is>
          <t>PL01</t>
        </is>
      </c>
      <c r="C1422" s="56" t="inlineStr">
        <is>
          <t>BBK860.0465336</t>
        </is>
      </c>
      <c r="D1422" s="57" t="n"/>
      <c r="E1422" s="57" t="n"/>
      <c r="F1422" s="57" t="n"/>
      <c r="G1422" s="57" t="n"/>
      <c r="H1422" s="57" t="n"/>
      <c r="J1422" s="168" t="inlineStr">
        <is>
          <t>05</t>
        </is>
      </c>
      <c r="K1422" s="168" t="inlineStr">
        <is>
          <t>PL01</t>
        </is>
      </c>
      <c r="L1422" s="169" t="inlineStr">
        <is>
          <t>Phụ lục số 01</t>
        </is>
      </c>
      <c r="M1422" s="169" t="n"/>
      <c r="N1422" s="169" t="n"/>
      <c r="O1422" s="170" t="inlineStr">
        <is>
          <t>Cầu KM19+529.080</t>
        </is>
      </c>
      <c r="P1422" s="405" t="n"/>
      <c r="Q1422" s="405" t="n"/>
      <c r="R1422" s="405" t="n"/>
      <c r="S1422" s="405">
        <f>S1421</f>
        <v/>
      </c>
      <c r="T1422" s="405" t="n"/>
      <c r="U1422" s="405" t="n"/>
      <c r="V1422" s="405" t="n"/>
      <c r="W1422" s="406" t="n"/>
      <c r="X1422" s="406" t="n"/>
      <c r="Y1422" s="406" t="n"/>
      <c r="Z1422" s="168" t="n">
        <v>1</v>
      </c>
      <c r="AA1422" s="173" t="n"/>
      <c r="AB1422" s="173" t="n"/>
      <c r="AC1422" s="173" t="inlineStr">
        <is>
          <t>307HG/BBNT/TT/T1-Đ1/Đ2-1</t>
        </is>
      </c>
      <c r="AD1422" s="173" t="n"/>
      <c r="AE1422" s="173" t="n"/>
      <c r="AF1422" s="173" t="n"/>
      <c r="AG1422" s="173" t="n"/>
      <c r="AH1422" s="407" t="inlineStr">
        <is>
          <t>TT-T1-Đ1</t>
        </is>
      </c>
      <c r="AI1422" s="406" t="n"/>
      <c r="AJ1422" s="406" t="n"/>
      <c r="AK1422" s="408" t="n"/>
      <c r="AL1422" s="406" t="n"/>
      <c r="AM1422" s="406" t="n"/>
      <c r="AN1422" s="406" t="n"/>
      <c r="AO1422" s="406" t="n"/>
      <c r="AP1422" s="174" t="n"/>
      <c r="AQ1422" s="174" t="n"/>
      <c r="AR1422" s="406" t="inlineStr">
        <is>
          <t>Nhóm 1</t>
        </is>
      </c>
      <c r="AS1422" s="406" t="n"/>
      <c r="AT1422" s="406" t="inlineStr">
        <is>
          <t>HM46</t>
        </is>
      </c>
      <c r="AU1422" s="406" t="inlineStr">
        <is>
          <t>PL01</t>
        </is>
      </c>
      <c r="AV1422" s="406" t="n">
        <v>46</v>
      </c>
      <c r="AW1422" s="406" t="n">
        <v>1</v>
      </c>
      <c r="AX1422" s="406" t="n"/>
    </row>
    <row r="1423" ht="28" customHeight="1" s="672">
      <c r="A1423" s="56" t="inlineStr">
        <is>
          <t>NTCV</t>
        </is>
      </c>
      <c r="B1423" s="56" t="inlineStr">
        <is>
          <t>K.9999</t>
        </is>
      </c>
      <c r="C1423" s="56" t="inlineStr">
        <is>
          <t>NTCV.0099089</t>
        </is>
      </c>
      <c r="D1423" s="57" t="n"/>
      <c r="E1423" s="57" t="n"/>
      <c r="F1423" s="57" t="n"/>
      <c r="G1423" s="57" t="n"/>
      <c r="H1423" s="57" t="n"/>
      <c r="J1423" s="147" t="inlineStr">
        <is>
          <t>06</t>
        </is>
      </c>
      <c r="K1423" s="147" t="inlineStr">
        <is>
          <t>K.9999</t>
        </is>
      </c>
      <c r="L1423" s="148" t="inlineStr">
        <is>
          <t>Lắp dựng ván khuôn, thanh xuyên táo thân trụ T1 đoạn 1 (đợt 2)</t>
        </is>
      </c>
      <c r="M1423" s="148" t="n"/>
      <c r="N1423" s="148" t="n"/>
      <c r="O1423" s="149" t="inlineStr">
        <is>
          <t>Cầu KM19+529.080</t>
        </is>
      </c>
      <c r="P1423" s="415">
        <f>S1421+1</f>
        <v/>
      </c>
      <c r="Q1423" s="415">
        <f>P1423</f>
        <v/>
      </c>
      <c r="R1423" s="415">
        <f>Q1423-2</f>
        <v/>
      </c>
      <c r="S1423" s="415">
        <f>Q1423</f>
        <v/>
      </c>
      <c r="T1423" s="416" t="n">
        <v>0.375</v>
      </c>
      <c r="U1423" s="416">
        <f>+T1423+V1423</f>
        <v/>
      </c>
      <c r="V1423" s="416" t="n">
        <v>0.02083333333333333</v>
      </c>
      <c r="W1423" s="417">
        <f>TEXT(T1423,"HH""h""MM'")&amp;"÷"&amp;TEXT(U1423,"HH""h""MM'")</f>
        <v/>
      </c>
      <c r="X1423" s="417" t="n"/>
      <c r="Y1423" s="417" t="n"/>
      <c r="Z1423" s="417" t="inlineStr">
        <is>
          <t>02;</t>
        </is>
      </c>
      <c r="AA1423" s="150" t="inlineStr">
        <is>
          <t>Lắp dựng ván khuôn, thanh xuyên táo thân trụ T1 đoạn 1 (đợt 2)</t>
        </is>
      </c>
      <c r="AB1423" s="150" t="inlineStr">
        <is>
          <t>307HG/YCNT/TT/T1-Đ1/Đ2-1</t>
        </is>
      </c>
      <c r="AC1423" s="150" t="inlineStr">
        <is>
          <t>307HG/BBNT/TT/T1-Đ1/Đ2-2</t>
        </is>
      </c>
      <c r="AD1423" s="150" t="n"/>
      <c r="AE1423" s="150" t="n"/>
      <c r="AF1423" s="150" t="n"/>
      <c r="AG1423" s="150" t="n"/>
      <c r="AH1423" s="150" t="n"/>
      <c r="AI1423" s="417" t="n"/>
      <c r="AJ1423" s="417" t="n"/>
      <c r="AK1423" s="418" t="n"/>
      <c r="AL1423" s="417" t="n"/>
      <c r="AM1423" s="417" t="n"/>
      <c r="AN1423" s="417" t="n"/>
      <c r="AO1423" s="417" t="n"/>
      <c r="AP1423" s="151" t="n"/>
      <c r="AQ1423" s="151" t="n"/>
      <c r="AR1423" s="417" t="inlineStr">
        <is>
          <t>Nhóm 1</t>
        </is>
      </c>
      <c r="AS1423" s="417" t="n"/>
      <c r="AT1423" s="417" t="inlineStr">
        <is>
          <t>HM46</t>
        </is>
      </c>
      <c r="AU1423" s="417" t="inlineStr">
        <is>
          <t>NTCV</t>
        </is>
      </c>
      <c r="AV1423" s="417" t="n">
        <v>459</v>
      </c>
      <c r="AW1423" s="417" t="n">
        <v>1</v>
      </c>
      <c r="AX1423" s="417" t="n"/>
    </row>
    <row r="1424">
      <c r="A1424" s="56" t="inlineStr">
        <is>
          <t>BBK288</t>
        </is>
      </c>
      <c r="B1424" s="56" t="inlineStr">
        <is>
          <t>PL11.1</t>
        </is>
      </c>
      <c r="C1424" s="56" t="inlineStr">
        <is>
          <t>BBK288.0659927</t>
        </is>
      </c>
      <c r="D1424" s="57" t="n"/>
      <c r="E1424" s="57" t="n"/>
      <c r="F1424" s="57" t="n"/>
      <c r="G1424" s="57" t="n"/>
      <c r="H1424" s="57" t="n"/>
      <c r="J1424" s="108" t="inlineStr">
        <is>
          <t>07</t>
        </is>
      </c>
      <c r="K1424" s="108" t="inlineStr">
        <is>
          <t>PL11.1</t>
        </is>
      </c>
      <c r="L1424" s="109" t="inlineStr">
        <is>
          <t>Phụ lục số 11</t>
        </is>
      </c>
      <c r="M1424" s="109" t="n"/>
      <c r="N1424" s="109" t="n"/>
      <c r="O1424" s="110" t="inlineStr">
        <is>
          <t>Cầu KM19+529.080</t>
        </is>
      </c>
      <c r="P1424" s="401" t="n"/>
      <c r="Q1424" s="401" t="n"/>
      <c r="R1424" s="401" t="n"/>
      <c r="S1424" s="401">
        <f>S1423</f>
        <v/>
      </c>
      <c r="T1424" s="401" t="n"/>
      <c r="U1424" s="401" t="n"/>
      <c r="V1424" s="401" t="n"/>
      <c r="W1424" s="403" t="n"/>
      <c r="X1424" s="403" t="n"/>
      <c r="Y1424" s="403" t="n"/>
      <c r="Z1424" s="108" t="n">
        <v>2</v>
      </c>
      <c r="AA1424" s="113" t="n"/>
      <c r="AB1424" s="113" t="n"/>
      <c r="AC1424" s="113" t="inlineStr">
        <is>
          <t>307HG/BBNT/TT/T1-Đ1/Đ2-2</t>
        </is>
      </c>
      <c r="AD1424" s="113" t="n"/>
      <c r="AE1424" s="113" t="n"/>
      <c r="AF1424" s="113" t="n"/>
      <c r="AG1424" s="114" t="n"/>
      <c r="AH1424" s="114" t="inlineStr">
        <is>
          <t>TT-T1-Đ1-Đ2</t>
        </is>
      </c>
      <c r="AI1424" s="403" t="n"/>
      <c r="AJ1424" s="403" t="n"/>
      <c r="AK1424" s="404" t="n"/>
      <c r="AL1424" s="403" t="n"/>
      <c r="AM1424" s="403" t="n"/>
      <c r="AN1424" s="403" t="n"/>
      <c r="AO1424" s="403" t="n"/>
      <c r="AP1424" s="115" t="n"/>
      <c r="AQ1424" s="115" t="inlineStr">
        <is>
          <t>Ảnh\TT DD1 T1,T2.png</t>
        </is>
      </c>
      <c r="AR1424" s="403" t="inlineStr">
        <is>
          <t>Nhóm 1</t>
        </is>
      </c>
      <c r="AS1424" s="403" t="n"/>
      <c r="AT1424" s="403" t="inlineStr">
        <is>
          <t>HM46</t>
        </is>
      </c>
      <c r="AU1424" s="403" t="inlineStr">
        <is>
          <t>PL11.1</t>
        </is>
      </c>
      <c r="AV1424" s="403" t="n">
        <v>16</v>
      </c>
      <c r="AW1424" s="403" t="n">
        <v>1</v>
      </c>
      <c r="AX1424" s="403" t="n"/>
    </row>
    <row r="1425">
      <c r="A1425" s="56" t="inlineStr">
        <is>
          <t>BBK680</t>
        </is>
      </c>
      <c r="B1425" s="56" t="inlineStr">
        <is>
          <t>PYC</t>
        </is>
      </c>
      <c r="C1425" s="56" t="inlineStr">
        <is>
          <t>BBK680.0778621</t>
        </is>
      </c>
      <c r="D1425" s="57" t="n"/>
      <c r="E1425" s="57" t="n"/>
      <c r="F1425" s="57" t="n"/>
      <c r="G1425" s="57" t="n"/>
      <c r="H1425" s="57" t="n"/>
      <c r="J1425" s="168" t="inlineStr">
        <is>
          <t>08</t>
        </is>
      </c>
      <c r="K1425" s="168" t="inlineStr">
        <is>
          <t>PYC</t>
        </is>
      </c>
      <c r="L1425" s="169" t="inlineStr">
        <is>
          <t>phiếu yêu cầu</t>
        </is>
      </c>
      <c r="M1425" s="169" t="n"/>
      <c r="N1425" s="169" t="n"/>
      <c r="O1425" s="170" t="inlineStr">
        <is>
          <t>Cầu KM19+529.080</t>
        </is>
      </c>
      <c r="P1425" s="405" t="n"/>
      <c r="Q1425" s="405" t="n"/>
      <c r="R1425" s="401">
        <f>R1426</f>
        <v/>
      </c>
      <c r="S1425" s="405">
        <f>+R1425+1</f>
        <v/>
      </c>
      <c r="T1425" s="402">
        <f>T1426</f>
        <v/>
      </c>
      <c r="U1425" s="402">
        <f>U1426</f>
        <v/>
      </c>
      <c r="V1425" s="402">
        <f>V1426</f>
        <v/>
      </c>
      <c r="W1425" s="402">
        <f>W1426</f>
        <v/>
      </c>
      <c r="X1425" s="406" t="n"/>
      <c r="Y1425" s="406" t="n"/>
      <c r="Z1425" s="168" t="n">
        <v>2</v>
      </c>
      <c r="AA1425" s="173" t="n"/>
      <c r="AB1425" s="173" t="inlineStr">
        <is>
          <t>307HG/YCNT/TT/T1-Đ1/Đ2</t>
        </is>
      </c>
      <c r="AC1425" s="173" t="n"/>
      <c r="AD1425" s="173" t="n"/>
      <c r="AE1425" s="173" t="n"/>
      <c r="AF1425" s="173" t="n"/>
      <c r="AG1425" s="129" t="inlineStr">
        <is>
          <t>NTCV</t>
        </is>
      </c>
      <c r="AH1425" s="173" t="inlineStr">
        <is>
          <t>&gt;=2;&lt;=4</t>
        </is>
      </c>
      <c r="AI1425" s="406" t="n"/>
      <c r="AJ1425" s="406" t="n"/>
      <c r="AK1425" s="408" t="n"/>
      <c r="AL1425" s="406" t="n"/>
      <c r="AM1425" s="406" t="n"/>
      <c r="AN1425" s="406" t="n"/>
      <c r="AO1425" s="406" t="n"/>
      <c r="AP1425" s="174" t="n"/>
      <c r="AQ1425" s="174" t="n"/>
      <c r="AR1425" s="406" t="inlineStr">
        <is>
          <t>Nhóm 1</t>
        </is>
      </c>
      <c r="AS1425" s="406" t="n"/>
      <c r="AT1425" s="406" t="inlineStr">
        <is>
          <t>HM46</t>
        </is>
      </c>
      <c r="AU1425" s="406" t="inlineStr">
        <is>
          <t>PYC</t>
        </is>
      </c>
      <c r="AV1425" s="406" t="n">
        <v>119</v>
      </c>
      <c r="AW1425" s="406" t="n">
        <v>2</v>
      </c>
      <c r="AX1425" s="406" t="n"/>
    </row>
    <row r="1426" ht="28" customHeight="1" s="672">
      <c r="A1426" s="413" t="inlineStr">
        <is>
          <t>NTCV</t>
        </is>
      </c>
      <c r="B1426" s="413" t="inlineStr">
        <is>
          <t>K.9999</t>
        </is>
      </c>
      <c r="C1426" s="413" t="inlineStr">
        <is>
          <t>NTCV.0456413</t>
        </is>
      </c>
      <c r="D1426" s="414" t="n"/>
      <c r="E1426" s="414" t="n"/>
      <c r="F1426" s="414" t="n"/>
      <c r="G1426" s="414" t="n"/>
      <c r="H1426" s="414" t="n"/>
      <c r="J1426" s="147" t="inlineStr">
        <is>
          <t>09</t>
        </is>
      </c>
      <c r="K1426" s="147" t="inlineStr">
        <is>
          <t>K.9999</t>
        </is>
      </c>
      <c r="L1426" s="148" t="inlineStr">
        <is>
          <t>Kiểm tra cốt thép thân trụ T1 đoạn 1 (đợt 2)</t>
        </is>
      </c>
      <c r="M1426" s="148" t="n"/>
      <c r="N1426" s="148" t="n"/>
      <c r="O1426" s="149" t="inlineStr">
        <is>
          <t>Cầu KM19+529.080</t>
        </is>
      </c>
      <c r="P1426" s="415">
        <f>+S1423+1</f>
        <v/>
      </c>
      <c r="Q1426" s="415">
        <f>+P1426</f>
        <v/>
      </c>
      <c r="R1426" s="415">
        <f>+Q1426-1</f>
        <v/>
      </c>
      <c r="S1426" s="415">
        <f>+Q1426</f>
        <v/>
      </c>
      <c r="T1426" s="416" t="n">
        <v>0.375</v>
      </c>
      <c r="U1426" s="416">
        <f>+T1426+V1426</f>
        <v/>
      </c>
      <c r="V1426" s="416" t="n">
        <v>0.04166666666666666</v>
      </c>
      <c r="W1426" s="411">
        <f>TEXT(T1426,"HH""h""MM'")&amp;"÷"&amp;TEXT(U1426,"HH""h""MM'")</f>
        <v/>
      </c>
      <c r="X1426" s="417" t="n"/>
      <c r="Y1426" s="417" t="n"/>
      <c r="Z1426" s="417" t="inlineStr">
        <is>
          <t>03;</t>
        </is>
      </c>
      <c r="AA1426" s="150" t="inlineStr">
        <is>
          <t>Kiểm tra cốt thép thân trụ T1 đoạn 1 (đợt 2)</t>
        </is>
      </c>
      <c r="AB1426" s="150" t="inlineStr">
        <is>
          <t>307HG/YCNT/TT/T1-Đ1/Đ2-2</t>
        </is>
      </c>
      <c r="AC1426" s="150" t="inlineStr">
        <is>
          <t>307HG/BBNT/TT/T1-Đ1/Đ2-3</t>
        </is>
      </c>
      <c r="AD1426" s="150" t="n"/>
      <c r="AE1426" s="150" t="n"/>
      <c r="AF1426" s="150" t="n"/>
      <c r="AG1426" s="150" t="n"/>
      <c r="AH1426" s="150" t="n"/>
      <c r="AI1426" s="417" t="n"/>
      <c r="AJ1426" s="417" t="n"/>
      <c r="AK1426" s="418" t="n"/>
      <c r="AL1426" s="417" t="n"/>
      <c r="AM1426" s="417" t="n"/>
      <c r="AN1426" s="417" t="n"/>
      <c r="AO1426" s="417" t="n"/>
      <c r="AP1426" s="151" t="n"/>
      <c r="AQ1426" s="151" t="n"/>
      <c r="AR1426" s="417" t="inlineStr">
        <is>
          <t>Nhóm 1</t>
        </is>
      </c>
      <c r="AS1426" s="417" t="n"/>
      <c r="AT1426" s="417" t="inlineStr">
        <is>
          <t>HM46</t>
        </is>
      </c>
      <c r="AU1426" s="417" t="inlineStr">
        <is>
          <t>NTCV</t>
        </is>
      </c>
      <c r="AV1426" s="417" t="n">
        <v>460</v>
      </c>
      <c r="AW1426" s="417" t="n">
        <v>2</v>
      </c>
      <c r="AX1426" s="417" t="n"/>
    </row>
    <row r="1427">
      <c r="A1427" s="413" t="inlineStr">
        <is>
          <t>BBK469</t>
        </is>
      </c>
      <c r="B1427" s="413" t="inlineStr">
        <is>
          <t>PL08.1</t>
        </is>
      </c>
      <c r="C1427" s="413" t="inlineStr">
        <is>
          <t>BBK469.0008912</t>
        </is>
      </c>
      <c r="D1427" s="414" t="n"/>
      <c r="E1427" s="414" t="n"/>
      <c r="F1427" s="414" t="n"/>
      <c r="G1427" s="414" t="n"/>
      <c r="H1427" s="414" t="n"/>
      <c r="J1427" s="108" t="inlineStr">
        <is>
          <t>10</t>
        </is>
      </c>
      <c r="K1427" s="108" t="inlineStr">
        <is>
          <t>PL08.1</t>
        </is>
      </c>
      <c r="L1427" s="109">
        <f>L1426</f>
        <v/>
      </c>
      <c r="M1427" s="109" t="n"/>
      <c r="N1427" s="109" t="n"/>
      <c r="O1427" s="110" t="inlineStr">
        <is>
          <t>Cầu KM19+529.080</t>
        </is>
      </c>
      <c r="P1427" s="401" t="n"/>
      <c r="Q1427" s="401" t="n"/>
      <c r="R1427" s="401" t="n"/>
      <c r="S1427" s="401">
        <f>S1426</f>
        <v/>
      </c>
      <c r="T1427" s="401" t="n"/>
      <c r="U1427" s="401" t="n"/>
      <c r="V1427" s="401" t="n"/>
      <c r="W1427" s="403" t="n"/>
      <c r="X1427" s="403" t="n"/>
      <c r="Y1427" s="403" t="n"/>
      <c r="Z1427" s="108" t="n">
        <v>3</v>
      </c>
      <c r="AA1427" s="113" t="n"/>
      <c r="AB1427" s="113" t="n"/>
      <c r="AC1427" s="113" t="inlineStr">
        <is>
          <t>307HG/BBNT/TT/T1-Đ1/Đ2-3</t>
        </is>
      </c>
      <c r="AD1427" s="113" t="n"/>
      <c r="AE1427" s="113" t="n"/>
      <c r="AF1427" s="113" t="n"/>
      <c r="AG1427" s="113" t="n"/>
      <c r="AH1427" s="113" t="inlineStr">
        <is>
          <t>TT-T1-Đ1-Đ2</t>
        </is>
      </c>
      <c r="AI1427" s="403" t="n"/>
      <c r="AJ1427" s="403" t="n"/>
      <c r="AK1427" s="404" t="n"/>
      <c r="AL1427" s="403" t="n"/>
      <c r="AM1427" s="403" t="n"/>
      <c r="AN1427" s="403" t="n"/>
      <c r="AO1427" s="403" t="n"/>
      <c r="AP1427" s="115" t="n"/>
      <c r="AQ1427" s="115" t="n"/>
      <c r="AR1427" s="403" t="inlineStr">
        <is>
          <t>Nhóm 1</t>
        </is>
      </c>
      <c r="AS1427" s="403" t="n"/>
      <c r="AT1427" s="403" t="inlineStr">
        <is>
          <t>HM46</t>
        </is>
      </c>
      <c r="AU1427" s="403" t="inlineStr">
        <is>
          <t>PL08.1</t>
        </is>
      </c>
      <c r="AV1427" s="403" t="n">
        <v>16</v>
      </c>
      <c r="AW1427" s="403" t="n">
        <v>1</v>
      </c>
      <c r="AX1427" s="403" t="n"/>
    </row>
    <row r="1428" ht="28" customHeight="1" s="672">
      <c r="A1428" s="413" t="inlineStr">
        <is>
          <t>NTCV</t>
        </is>
      </c>
      <c r="B1428" s="413" t="inlineStr">
        <is>
          <t>K.9999</t>
        </is>
      </c>
      <c r="C1428" s="413" t="inlineStr">
        <is>
          <t>NTCV.0531286</t>
        </is>
      </c>
      <c r="D1428" s="414" t="n"/>
      <c r="E1428" s="414" t="n"/>
      <c r="F1428" s="414" t="n"/>
      <c r="G1428" s="414" t="n"/>
      <c r="H1428" s="414" t="n"/>
      <c r="J1428" s="131" t="inlineStr">
        <is>
          <t>11</t>
        </is>
      </c>
      <c r="K1428" s="131" t="inlineStr">
        <is>
          <t>K.9999</t>
        </is>
      </c>
      <c r="L1428" s="132" t="inlineStr">
        <is>
          <t>Công tác chuẩn bị đổ bê tông thân trụ T1 đoạn 1 (đợt 2)</t>
        </is>
      </c>
      <c r="M1428" s="132" t="n"/>
      <c r="N1428" s="132" t="n"/>
      <c r="O1428" s="133" t="inlineStr">
        <is>
          <t>Cầu KM19+529.080</t>
        </is>
      </c>
      <c r="P1428" s="419">
        <f>S1426</f>
        <v/>
      </c>
      <c r="Q1428" s="419">
        <f>P1428+1</f>
        <v/>
      </c>
      <c r="R1428" s="415">
        <f>+Q1428-2</f>
        <v/>
      </c>
      <c r="S1428" s="415">
        <f>+Q1428</f>
        <v/>
      </c>
      <c r="T1428" s="420" t="n">
        <v>0.3333333333333333</v>
      </c>
      <c r="U1428" s="420">
        <f>+T1428+V1428</f>
        <v/>
      </c>
      <c r="V1428" s="420" t="n">
        <v>0.02083333333333333</v>
      </c>
      <c r="W1428" s="417">
        <f>TEXT(T1428,"HH""h""MM'")&amp;"÷"&amp;TEXT(U1428,"HH""h""MM'")</f>
        <v/>
      </c>
      <c r="X1428" s="421" t="n"/>
      <c r="Y1428" s="421" t="n"/>
      <c r="Z1428" s="421" t="inlineStr">
        <is>
          <t>04;</t>
        </is>
      </c>
      <c r="AA1428" s="136" t="inlineStr">
        <is>
          <t>Công tác chuẩn bị đổ bê tông thân trụ T1 đoạn 1 (đợt 2)</t>
        </is>
      </c>
      <c r="AB1428" s="150" t="inlineStr">
        <is>
          <t>307HG/YCNT/TT/T1-Đ1/Đ2-2</t>
        </is>
      </c>
      <c r="AC1428" s="136" t="inlineStr">
        <is>
          <t>307HG/BBNT/TT/T1-Đ1/Đ2-4</t>
        </is>
      </c>
      <c r="AD1428" s="136" t="n"/>
      <c r="AE1428" s="136" t="n"/>
      <c r="AF1428" s="136" t="n"/>
      <c r="AG1428" s="136" t="n"/>
      <c r="AH1428" s="136" t="n"/>
      <c r="AI1428" s="421" t="n"/>
      <c r="AJ1428" s="421" t="n"/>
      <c r="AK1428" s="422" t="n"/>
      <c r="AL1428" s="421" t="n"/>
      <c r="AM1428" s="421" t="n"/>
      <c r="AN1428" s="421" t="n"/>
      <c r="AO1428" s="421" t="n"/>
      <c r="AP1428" s="138" t="n"/>
      <c r="AQ1428" s="138" t="n"/>
      <c r="AR1428" s="421" t="inlineStr">
        <is>
          <t>Nhóm 1</t>
        </is>
      </c>
      <c r="AS1428" s="421" t="n"/>
      <c r="AT1428" s="421" t="inlineStr">
        <is>
          <t>HM46</t>
        </is>
      </c>
      <c r="AU1428" s="421" t="inlineStr">
        <is>
          <t>NTCV</t>
        </is>
      </c>
      <c r="AV1428" s="421" t="n">
        <v>462</v>
      </c>
      <c r="AW1428" s="421" t="n">
        <v>3</v>
      </c>
      <c r="AX1428" s="421" t="n"/>
    </row>
    <row r="1429">
      <c r="A1429" s="413" t="inlineStr">
        <is>
          <t>BBK209</t>
        </is>
      </c>
      <c r="B1429" s="413" t="inlineStr">
        <is>
          <t>PL09</t>
        </is>
      </c>
      <c r="C1429" s="413" t="inlineStr">
        <is>
          <t>BBK209.0612053</t>
        </is>
      </c>
      <c r="D1429" s="414" t="n"/>
      <c r="E1429" s="414" t="n"/>
      <c r="F1429" s="414" t="n"/>
      <c r="G1429" s="414" t="n"/>
      <c r="H1429" s="414" t="n"/>
      <c r="J1429" s="124" t="inlineStr">
        <is>
          <t>12</t>
        </is>
      </c>
      <c r="K1429" s="124" t="inlineStr">
        <is>
          <t>PL09</t>
        </is>
      </c>
      <c r="L1429" s="125">
        <f>+L1428</f>
        <v/>
      </c>
      <c r="M1429" s="125" t="n"/>
      <c r="N1429" s="125" t="n"/>
      <c r="O1429" s="126" t="inlineStr">
        <is>
          <t>Cầu KM19+529.080</t>
        </is>
      </c>
      <c r="P1429" s="423" t="n"/>
      <c r="Q1429" s="423" t="n"/>
      <c r="R1429" s="423">
        <f>+R1430</f>
        <v/>
      </c>
      <c r="S1429" s="423">
        <f>+S1428</f>
        <v/>
      </c>
      <c r="T1429" s="424" t="n"/>
      <c r="U1429" s="424" t="n"/>
      <c r="V1429" s="424" t="n"/>
      <c r="W1429" s="425" t="n"/>
      <c r="X1429" s="425" t="n"/>
      <c r="Y1429" s="425" t="n"/>
      <c r="Z1429" s="124" t="n">
        <v>4</v>
      </c>
      <c r="AA1429" s="129" t="n"/>
      <c r="AB1429" s="129" t="n"/>
      <c r="AC1429" s="129">
        <f>+AC1428</f>
        <v/>
      </c>
      <c r="AD1429" s="129" t="n"/>
      <c r="AE1429" s="129" t="n"/>
      <c r="AF1429" s="129" t="n"/>
      <c r="AG1429" s="129" t="n"/>
      <c r="AH1429" s="129" t="inlineStr">
        <is>
          <t>C30</t>
        </is>
      </c>
      <c r="AI1429" s="425" t="n"/>
      <c r="AJ1429" s="425" t="n"/>
      <c r="AK1429" s="427" t="n"/>
      <c r="AL1429" s="425" t="n"/>
      <c r="AM1429" s="425" t="n"/>
      <c r="AN1429" s="425" t="n"/>
      <c r="AO1429" s="425" t="n"/>
      <c r="AP1429" s="130" t="n"/>
      <c r="AQ1429" s="130" t="n"/>
      <c r="AR1429" s="425" t="inlineStr">
        <is>
          <t>Nhóm 1</t>
        </is>
      </c>
      <c r="AS1429" s="425" t="n"/>
      <c r="AT1429" s="425" t="inlineStr">
        <is>
          <t>HM46</t>
        </is>
      </c>
      <c r="AU1429" s="425" t="inlineStr">
        <is>
          <t>PL09</t>
        </is>
      </c>
      <c r="AV1429" s="425" t="n">
        <v>42</v>
      </c>
      <c r="AW1429" s="425" t="n">
        <v>1</v>
      </c>
      <c r="AX1429" s="425" t="n"/>
    </row>
    <row r="1430" ht="28" customHeight="1" s="672">
      <c r="A1430" s="413" t="inlineStr">
        <is>
          <t>NTCV</t>
        </is>
      </c>
      <c r="B1430" s="413" t="inlineStr">
        <is>
          <t>K.9999</t>
        </is>
      </c>
      <c r="C1430" s="413" t="inlineStr">
        <is>
          <t>NTCV.0863587</t>
        </is>
      </c>
      <c r="D1430" s="414" t="n"/>
      <c r="E1430" s="414" t="n"/>
      <c r="F1430" s="414" t="n"/>
      <c r="G1430" s="414" t="n"/>
      <c r="H1430" s="414" t="n"/>
      <c r="J1430" s="161" t="inlineStr">
        <is>
          <t>13</t>
        </is>
      </c>
      <c r="K1430" s="161" t="inlineStr">
        <is>
          <t>K.9999</t>
        </is>
      </c>
      <c r="L1430" s="162" t="inlineStr">
        <is>
          <t>Công tác đổ, lấy mẫu bê tông thân trụ T1 đoạn 1 (đợt 2)</t>
        </is>
      </c>
      <c r="M1430" s="162" t="n"/>
      <c r="N1430" s="162" t="n"/>
      <c r="O1430" s="163" t="inlineStr">
        <is>
          <t>Cầu KM19+529.080</t>
        </is>
      </c>
      <c r="P1430" s="409">
        <f>+S1428</f>
        <v/>
      </c>
      <c r="Q1430" s="409">
        <f>+P1430</f>
        <v/>
      </c>
      <c r="R1430" s="409">
        <f>+Q1430-1</f>
        <v/>
      </c>
      <c r="S1430" s="409">
        <f>+Q1430</f>
        <v/>
      </c>
      <c r="T1430" s="410" t="n">
        <v>0.375</v>
      </c>
      <c r="U1430" s="410">
        <f>+T1430+V1430</f>
        <v/>
      </c>
      <c r="V1430" s="410" t="n">
        <v>0.08333333333333333</v>
      </c>
      <c r="W1430" s="411">
        <f>TEXT(T1430,"HH""h""MM'")&amp;"÷"&amp;TEXT(U1430,"HH""h""MM'")</f>
        <v/>
      </c>
      <c r="X1430" s="411" t="n"/>
      <c r="Y1430" s="411" t="n"/>
      <c r="Z1430" s="161" t="inlineStr">
        <is>
          <t>05;</t>
        </is>
      </c>
      <c r="AA1430" s="166" t="inlineStr">
        <is>
          <t>Công tác đổ bê tông, lấy mẫu bê tông thân trụ T1 đoạn 1 (đợt 2)</t>
        </is>
      </c>
      <c r="AB1430" s="166" t="n"/>
      <c r="AC1430" s="166" t="inlineStr">
        <is>
          <t>307HG/BBNT/TT/T1-Đ1/Đ2-5</t>
        </is>
      </c>
      <c r="AD1430" s="166" t="n"/>
      <c r="AE1430" s="166" t="n"/>
      <c r="AF1430" s="166" t="n"/>
      <c r="AG1430" s="166" t="n"/>
      <c r="AH1430" s="166" t="n"/>
      <c r="AI1430" s="411" t="n"/>
      <c r="AJ1430" s="411" t="n"/>
      <c r="AK1430" s="412" t="n"/>
      <c r="AL1430" s="411" t="n"/>
      <c r="AM1430" s="411" t="n"/>
      <c r="AN1430" s="411" t="n"/>
      <c r="AO1430" s="411" t="n"/>
      <c r="AP1430" s="167" t="n"/>
      <c r="AQ1430" s="167" t="n"/>
      <c r="AR1430" s="411" t="inlineStr">
        <is>
          <t>Nhóm 1</t>
        </is>
      </c>
      <c r="AS1430" s="411" t="n"/>
      <c r="AT1430" s="411" t="inlineStr">
        <is>
          <t>HM46</t>
        </is>
      </c>
      <c r="AU1430" s="411" t="inlineStr">
        <is>
          <t>NTCV</t>
        </is>
      </c>
      <c r="AV1430" s="411" t="n">
        <v>463</v>
      </c>
      <c r="AW1430" s="411" t="n">
        <v>4</v>
      </c>
      <c r="AX1430" s="411" t="n"/>
    </row>
    <row r="1431" ht="28" customHeight="1" s="672">
      <c r="A1431" s="413" t="inlineStr">
        <is>
          <t>BBK832</t>
        </is>
      </c>
      <c r="B1431" s="413" t="inlineStr">
        <is>
          <t>PL06.1</t>
        </is>
      </c>
      <c r="C1431" s="413" t="inlineStr">
        <is>
          <t>BBK832.0314980</t>
        </is>
      </c>
      <c r="D1431" s="414" t="n"/>
      <c r="E1431" s="414" t="n"/>
      <c r="F1431" s="414" t="n"/>
      <c r="G1431" s="414" t="n"/>
      <c r="H1431" s="414" t="n"/>
      <c r="J1431" s="168" t="inlineStr">
        <is>
          <t>14</t>
        </is>
      </c>
      <c r="K1431" s="168" t="inlineStr">
        <is>
          <t>PL06.1</t>
        </is>
      </c>
      <c r="L1431" s="169">
        <f>+L1430</f>
        <v/>
      </c>
      <c r="M1431" s="169" t="n"/>
      <c r="N1431" s="169" t="n"/>
      <c r="O1431" s="170" t="inlineStr">
        <is>
          <t>Cầu KM19+529.080</t>
        </is>
      </c>
      <c r="P1431" s="405" t="n"/>
      <c r="Q1431" s="405" t="n"/>
      <c r="R1431" s="405" t="n"/>
      <c r="S1431" s="405">
        <f>+S1430</f>
        <v/>
      </c>
      <c r="T1431" s="428">
        <f>+T1430</f>
        <v/>
      </c>
      <c r="U1431" s="428">
        <f>T1431+V1431</f>
        <v/>
      </c>
      <c r="V1431" s="428">
        <f>+V1430</f>
        <v/>
      </c>
      <c r="W1431" s="406" t="n"/>
      <c r="X1431" s="406" t="n"/>
      <c r="Y1431" s="406" t="n"/>
      <c r="Z1431" s="168" t="n">
        <v>5</v>
      </c>
      <c r="AA1431" s="173" t="n"/>
      <c r="AB1431" s="173" t="n"/>
      <c r="AC1431" s="173">
        <f>+AC1430</f>
        <v/>
      </c>
      <c r="AD1431" s="173" t="n"/>
      <c r="AE1431" s="173" t="n"/>
      <c r="AF1431" s="173" t="n"/>
      <c r="AG1431" s="173" t="n"/>
      <c r="AH1431" s="407" t="inlineStr">
        <is>
          <t>C30-TT-T1-Đ1-Đ2</t>
        </is>
      </c>
      <c r="AI1431" s="406" t="n"/>
      <c r="AJ1431" s="406" t="n"/>
      <c r="AK1431" s="408" t="n"/>
      <c r="AL1431" s="406" t="n"/>
      <c r="AM1431" s="406" t="n"/>
      <c r="AN1431" s="406" t="n"/>
      <c r="AO1431" s="406" t="n"/>
      <c r="AP1431" s="174" t="n"/>
      <c r="AQ1431" s="174" t="n"/>
      <c r="AR1431" s="406" t="inlineStr">
        <is>
          <t>Nhóm 1</t>
        </is>
      </c>
      <c r="AS1431" s="406" t="n"/>
      <c r="AT1431" s="406" t="inlineStr">
        <is>
          <t>HM46</t>
        </is>
      </c>
      <c r="AU1431" s="406" t="inlineStr">
        <is>
          <t>PL06.1</t>
        </is>
      </c>
      <c r="AV1431" s="406" t="n">
        <v>17</v>
      </c>
      <c r="AW1431" s="406" t="n">
        <v>1</v>
      </c>
      <c r="AX1431" s="406" t="n"/>
    </row>
    <row r="1432">
      <c r="A1432" s="413" t="inlineStr">
        <is>
          <t>LMHT</t>
        </is>
      </c>
      <c r="B1432" s="413" t="inlineStr">
        <is>
          <t>LMHT</t>
        </is>
      </c>
      <c r="C1432" s="413" t="inlineStr">
        <is>
          <t>LMHT.0280319</t>
        </is>
      </c>
      <c r="D1432" s="414" t="inlineStr">
        <is>
          <t>TC.000041|TC.000182|TC.000169.A</t>
        </is>
      </c>
      <c r="E1432" s="414" t="n"/>
      <c r="F1432" s="414" t="inlineStr">
        <is>
          <t>CP.0001^Bê tông thân trụ T1 đoạn 1 (đợt 2)^Hình trụ 15x30 (cm)^18^C30 (30Mpa)^^^TC.000041|TC.000182|TC.000169.A</t>
        </is>
      </c>
      <c r="G1432" s="414" t="n"/>
      <c r="H1432" s="414" t="n"/>
      <c r="J1432" s="175" t="inlineStr">
        <is>
          <t>15</t>
        </is>
      </c>
      <c r="K1432" s="175" t="inlineStr">
        <is>
          <t>LMHT</t>
        </is>
      </c>
      <c r="L1432" s="176" t="inlineStr">
        <is>
          <t>Bê tông thân trụ T1 đoạn 1 (đợt 2)</t>
        </is>
      </c>
      <c r="M1432" s="176" t="n"/>
      <c r="N1432" s="176" t="n"/>
      <c r="O1432" s="177" t="inlineStr">
        <is>
          <t>Cầu KM19+529.080</t>
        </is>
      </c>
      <c r="P1432" s="299" t="n"/>
      <c r="Q1432" s="299" t="n"/>
      <c r="R1432" s="299" t="n"/>
      <c r="S1432" s="299">
        <f>S1428</f>
        <v/>
      </c>
      <c r="T1432" s="300">
        <f>T1431</f>
        <v/>
      </c>
      <c r="U1432" s="300">
        <f>U1431</f>
        <v/>
      </c>
      <c r="V1432" s="300">
        <f>V1431</f>
        <v/>
      </c>
      <c r="W1432" s="301" t="n"/>
      <c r="X1432" s="301" t="n"/>
      <c r="Y1432" s="301" t="n"/>
      <c r="Z1432" s="301" t="n"/>
      <c r="AA1432" s="180" t="n"/>
      <c r="AB1432" s="180" t="n"/>
      <c r="AC1432" s="180" t="n"/>
      <c r="AD1432" s="180" t="n"/>
      <c r="AE1432" s="180" t="n"/>
      <c r="AF1432" s="180" t="n"/>
      <c r="AG1432" s="180" t="n"/>
      <c r="AH1432" s="180" t="n"/>
      <c r="AI1432" s="301" t="n"/>
      <c r="AJ1432" s="301" t="n"/>
      <c r="AK1432" s="303" t="n"/>
      <c r="AL1432" s="301" t="n"/>
      <c r="AM1432" s="301" t="n"/>
      <c r="AN1432" s="301" t="n"/>
      <c r="AO1432" s="301" t="n"/>
      <c r="AP1432" s="181" t="n"/>
      <c r="AQ1432" s="181" t="n"/>
      <c r="AR1432" s="301" t="inlineStr">
        <is>
          <t>Nhóm 1</t>
        </is>
      </c>
      <c r="AS1432" s="301" t="n"/>
      <c r="AT1432" s="301" t="inlineStr">
        <is>
          <t>HM46</t>
        </is>
      </c>
      <c r="AU1432" s="301" t="inlineStr">
        <is>
          <t>LMHT</t>
        </is>
      </c>
      <c r="AV1432" s="301" t="n">
        <v>53</v>
      </c>
      <c r="AW1432" s="301" t="n">
        <v>1</v>
      </c>
      <c r="AX1432" s="301" t="n"/>
    </row>
    <row r="1433">
      <c r="A1433" s="413" t="inlineStr">
        <is>
          <t>BBK680</t>
        </is>
      </c>
      <c r="B1433" s="413" t="inlineStr">
        <is>
          <t>PYC</t>
        </is>
      </c>
      <c r="C1433" s="413" t="inlineStr">
        <is>
          <t>BBK680.0613245</t>
        </is>
      </c>
      <c r="D1433" s="414" t="n"/>
      <c r="E1433" s="414" t="n"/>
      <c r="F1433" s="414" t="n"/>
      <c r="G1433" s="414" t="n"/>
      <c r="H1433" s="414" t="n"/>
      <c r="J1433" s="168" t="inlineStr">
        <is>
          <t>16</t>
        </is>
      </c>
      <c r="K1433" s="168" t="inlineStr">
        <is>
          <t>PYC</t>
        </is>
      </c>
      <c r="L1433" s="169" t="inlineStr">
        <is>
          <t>phiếu yêu cầu</t>
        </is>
      </c>
      <c r="M1433" s="169" t="n"/>
      <c r="N1433" s="169" t="n"/>
      <c r="O1433" s="170" t="inlineStr">
        <is>
          <t>Cầu KM19+529.080</t>
        </is>
      </c>
      <c r="P1433" s="405" t="n"/>
      <c r="Q1433" s="405" t="n"/>
      <c r="R1433" s="401">
        <f>+R1434</f>
        <v/>
      </c>
      <c r="S1433" s="405">
        <f>R1433+1</f>
        <v/>
      </c>
      <c r="T1433" s="405" t="n"/>
      <c r="U1433" s="405" t="n"/>
      <c r="V1433" s="405" t="n"/>
      <c r="W1433" s="406" t="n"/>
      <c r="X1433" s="406" t="n"/>
      <c r="Y1433" s="406" t="n"/>
      <c r="Z1433" s="406" t="n"/>
      <c r="AA1433" s="173" t="n"/>
      <c r="AB1433" s="173" t="inlineStr">
        <is>
          <t>307HG/YCNT/TT/T1-Đ1/Đ2</t>
        </is>
      </c>
      <c r="AC1433" s="173" t="n"/>
      <c r="AD1433" s="173" t="n"/>
      <c r="AE1433" s="173" t="n"/>
      <c r="AF1433" s="173" t="n"/>
      <c r="AG1433" s="129" t="inlineStr">
        <is>
          <t>NTCV</t>
        </is>
      </c>
      <c r="AH1433" s="173" t="n">
        <v>5</v>
      </c>
      <c r="AI1433" s="406" t="n"/>
      <c r="AJ1433" s="406" t="n"/>
      <c r="AK1433" s="408" t="n"/>
      <c r="AL1433" s="406" t="n"/>
      <c r="AM1433" s="406" t="n"/>
      <c r="AN1433" s="406" t="n"/>
      <c r="AO1433" s="406" t="n"/>
      <c r="AP1433" s="174" t="n"/>
      <c r="AQ1433" s="174" t="n"/>
      <c r="AR1433" s="406" t="inlineStr">
        <is>
          <t>Nhóm 1</t>
        </is>
      </c>
      <c r="AS1433" s="406" t="n"/>
      <c r="AT1433" s="406" t="inlineStr">
        <is>
          <t>HM46</t>
        </is>
      </c>
      <c r="AU1433" s="406" t="inlineStr">
        <is>
          <t>PYC</t>
        </is>
      </c>
      <c r="AV1433" s="406" t="n">
        <v>126</v>
      </c>
      <c r="AW1433" s="406" t="n">
        <v>3</v>
      </c>
      <c r="AX1433" s="406" t="n"/>
    </row>
    <row r="1434">
      <c r="A1434" s="413" t="inlineStr">
        <is>
          <t>NTCV</t>
        </is>
      </c>
      <c r="B1434" s="413" t="inlineStr">
        <is>
          <t>K.9999</t>
        </is>
      </c>
      <c r="C1434" s="413" t="inlineStr">
        <is>
          <t>NTCV.0365140</t>
        </is>
      </c>
      <c r="D1434" s="414" t="n"/>
      <c r="E1434" s="414" t="n"/>
      <c r="F1434" s="414" t="n"/>
      <c r="G1434" s="414" t="n"/>
      <c r="H1434" s="414" t="n"/>
      <c r="J1434" s="147" t="inlineStr">
        <is>
          <t>17</t>
        </is>
      </c>
      <c r="K1434" s="147" t="inlineStr">
        <is>
          <t>K.9999</t>
        </is>
      </c>
      <c r="L1434" s="148" t="inlineStr">
        <is>
          <t>Tháo ván khuôn thân trụ T1 đoạn 1 (đợt 2)</t>
        </is>
      </c>
      <c r="M1434" s="148" t="n"/>
      <c r="N1434" s="148" t="n"/>
      <c r="O1434" s="149" t="inlineStr">
        <is>
          <t>Cầu KM19+529.080</t>
        </is>
      </c>
      <c r="P1434" s="415">
        <f>S1432</f>
        <v/>
      </c>
      <c r="Q1434" s="415">
        <f>+P1434+3</f>
        <v/>
      </c>
      <c r="R1434" s="415">
        <f>Q1434-1</f>
        <v/>
      </c>
      <c r="S1434" s="415">
        <f>Q1434</f>
        <v/>
      </c>
      <c r="T1434" s="416" t="n">
        <v>0.3541666666666667</v>
      </c>
      <c r="U1434" s="416">
        <f>+T1434+V1434</f>
        <v/>
      </c>
      <c r="V1434" s="416" t="n">
        <v>0.01388888888888889</v>
      </c>
      <c r="W1434" s="411">
        <f>TEXT(T1434,"HH""h""MM'")&amp;"÷"&amp;TEXT(U1434,"HH""h""MM'")</f>
        <v/>
      </c>
      <c r="X1434" s="417" t="n"/>
      <c r="Y1434" s="417" t="n"/>
      <c r="Z1434" s="417" t="inlineStr">
        <is>
          <t>06;</t>
        </is>
      </c>
      <c r="AA1434" s="150" t="inlineStr">
        <is>
          <t>Kiểm tra ván khuôn Bệ trụ T1 đoạn 1</t>
        </is>
      </c>
      <c r="AB1434" s="150" t="inlineStr">
        <is>
          <t>307HG/YCNT/TT/T1-Đ1/Đ2-3</t>
        </is>
      </c>
      <c r="AC1434" s="150" t="inlineStr">
        <is>
          <t>307HG/BBNT/TT/T1-Đ1/Đ2-5</t>
        </is>
      </c>
      <c r="AD1434" s="150" t="n"/>
      <c r="AE1434" s="150" t="n"/>
      <c r="AF1434" s="150" t="n"/>
      <c r="AG1434" s="150" t="n"/>
      <c r="AH1434" s="150" t="n"/>
      <c r="AI1434" s="417" t="n"/>
      <c r="AJ1434" s="417" t="n"/>
      <c r="AK1434" s="418" t="n"/>
      <c r="AL1434" s="417" t="n"/>
      <c r="AM1434" s="417" t="n"/>
      <c r="AN1434" s="417" t="n"/>
      <c r="AO1434" s="417" t="n"/>
      <c r="AP1434" s="151" t="n"/>
      <c r="AQ1434" s="151" t="n"/>
      <c r="AR1434" s="417" t="inlineStr">
        <is>
          <t>Nhóm 1</t>
        </is>
      </c>
      <c r="AS1434" s="417" t="n"/>
      <c r="AT1434" s="417" t="inlineStr">
        <is>
          <t>HM46</t>
        </is>
      </c>
      <c r="AU1434" s="417" t="inlineStr">
        <is>
          <t>NTCV</t>
        </is>
      </c>
      <c r="AV1434" s="417" t="n">
        <v>467</v>
      </c>
      <c r="AW1434" s="417" t="n">
        <v>5</v>
      </c>
      <c r="AX1434" s="417" t="n"/>
    </row>
    <row r="1435">
      <c r="A1435" s="413" t="inlineStr">
        <is>
          <t>BBK587</t>
        </is>
      </c>
      <c r="B1435" s="413" t="inlineStr">
        <is>
          <t>PL07.02</t>
        </is>
      </c>
      <c r="C1435" s="413" t="inlineStr">
        <is>
          <t>BBK587.0544941</t>
        </is>
      </c>
      <c r="D1435" s="414" t="n"/>
      <c r="E1435" s="414" t="n"/>
      <c r="F1435" s="414" t="n"/>
      <c r="G1435" s="414" t="n"/>
      <c r="H1435" s="414" t="n"/>
      <c r="J1435" s="108" t="inlineStr">
        <is>
          <t>18</t>
        </is>
      </c>
      <c r="K1435" s="108" t="inlineStr">
        <is>
          <t>PL07.02</t>
        </is>
      </c>
      <c r="L1435" s="109">
        <f>+L1434</f>
        <v/>
      </c>
      <c r="M1435" s="109" t="n"/>
      <c r="N1435" s="109" t="n"/>
      <c r="O1435" s="110" t="inlineStr">
        <is>
          <t>Cầu KM19+529.080</t>
        </is>
      </c>
      <c r="P1435" s="401" t="n"/>
      <c r="Q1435" s="401" t="n"/>
      <c r="R1435" s="401" t="n"/>
      <c r="S1435" s="401">
        <f>S1434</f>
        <v/>
      </c>
      <c r="T1435" s="401" t="n"/>
      <c r="U1435" s="401" t="n"/>
      <c r="V1435" s="401" t="n"/>
      <c r="W1435" s="403" t="n"/>
      <c r="X1435" s="403" t="n"/>
      <c r="Y1435" s="403" t="n"/>
      <c r="Z1435" s="108" t="n">
        <v>6</v>
      </c>
      <c r="AA1435" s="113" t="n"/>
      <c r="AB1435" s="113" t="n"/>
      <c r="AC1435" s="113" t="inlineStr">
        <is>
          <t>307HG/BBNT/TT/T1-Đ1/Đ2-5</t>
        </is>
      </c>
      <c r="AD1435" s="113" t="n"/>
      <c r="AE1435" s="113" t="n"/>
      <c r="AF1435" s="113" t="n"/>
      <c r="AG1435" s="113" t="n"/>
      <c r="AH1435" s="114" t="inlineStr">
        <is>
          <t>TT-T1-Đ1-Đ2</t>
        </is>
      </c>
      <c r="AI1435" s="403" t="n"/>
      <c r="AJ1435" s="403" t="n"/>
      <c r="AK1435" s="404" t="n"/>
      <c r="AL1435" s="403" t="n"/>
      <c r="AM1435" s="403" t="n"/>
      <c r="AN1435" s="403" t="n"/>
      <c r="AO1435" s="403" t="n"/>
      <c r="AP1435" s="115" t="n"/>
      <c r="AQ1435" s="115" t="inlineStr">
        <is>
          <t>Ảnh\TT DD1 T1,T2.png</t>
        </is>
      </c>
      <c r="AR1435" s="403" t="inlineStr">
        <is>
          <t>Nhóm 1</t>
        </is>
      </c>
      <c r="AS1435" s="403" t="n"/>
      <c r="AT1435" s="403" t="inlineStr">
        <is>
          <t>HM46</t>
        </is>
      </c>
      <c r="AU1435" s="403" t="inlineStr">
        <is>
          <t>PL07.02</t>
        </is>
      </c>
      <c r="AV1435" s="403" t="n">
        <v>13</v>
      </c>
      <c r="AW1435" s="403" t="n">
        <v>1</v>
      </c>
      <c r="AX1435" s="403" t="n"/>
    </row>
    <row r="1436" ht="28" customHeight="1" s="672">
      <c r="A1436" s="413" t="inlineStr">
        <is>
          <t>BBK680</t>
        </is>
      </c>
      <c r="B1436" s="413" t="inlineStr">
        <is>
          <t>PYC</t>
        </is>
      </c>
      <c r="C1436" s="413" t="inlineStr">
        <is>
          <t>BBK680.0636580</t>
        </is>
      </c>
      <c r="D1436" s="414" t="n"/>
      <c r="E1436" s="414" t="n"/>
      <c r="F1436" s="414" t="n"/>
      <c r="G1436" s="414" t="n"/>
      <c r="H1436" s="414" t="n"/>
      <c r="J1436" s="168" t="inlineStr">
        <is>
          <t>19</t>
        </is>
      </c>
      <c r="K1436" s="168" t="inlineStr">
        <is>
          <t>PYC</t>
        </is>
      </c>
      <c r="L1436" s="169" t="inlineStr">
        <is>
          <t>phiếu yêu cầu</t>
        </is>
      </c>
      <c r="M1436" s="169" t="n"/>
      <c r="N1436" s="169" t="n"/>
      <c r="O1436" s="170" t="inlineStr">
        <is>
          <t>Cầu KM19+529.080</t>
        </is>
      </c>
      <c r="P1436" s="405" t="n"/>
      <c r="Q1436" s="405" t="n"/>
      <c r="R1436" s="405">
        <f>S1436-1</f>
        <v/>
      </c>
      <c r="S1436" s="405">
        <f>S1432+7</f>
        <v/>
      </c>
      <c r="T1436" s="428" t="n">
        <v>0.3333333333333333</v>
      </c>
      <c r="U1436" s="428">
        <f>+T1436+V1436</f>
        <v/>
      </c>
      <c r="V1436" s="428" t="n">
        <v>0.02083333333333333</v>
      </c>
      <c r="W1436" s="406" t="n"/>
      <c r="X1436" s="406" t="n"/>
      <c r="Y1436" s="406" t="n"/>
      <c r="Z1436" s="406" t="n"/>
      <c r="AA1436" s="173" t="inlineStr">
        <is>
          <t>Theo dõi nén mẫu R7 bê tông thân trụ T1 đoạn 1 (đợt 2)</t>
        </is>
      </c>
      <c r="AB1436" s="173" t="inlineStr">
        <is>
          <t>307HG/YCNT/TT/T1-Đ1/Đ2-R7</t>
        </is>
      </c>
      <c r="AC1436" s="173" t="n"/>
      <c r="AD1436" s="173" t="n"/>
      <c r="AE1436" s="173" t="n"/>
      <c r="AF1436" s="173" t="n"/>
      <c r="AG1436" s="173" t="inlineStr">
        <is>
          <t>PYC</t>
        </is>
      </c>
      <c r="AH1436" s="173" t="n">
        <v>4</v>
      </c>
      <c r="AI1436" s="406" t="n"/>
      <c r="AJ1436" s="406" t="n"/>
      <c r="AK1436" s="408" t="n"/>
      <c r="AL1436" s="406" t="n"/>
      <c r="AM1436" s="406" t="n"/>
      <c r="AN1436" s="406" t="n"/>
      <c r="AO1436" s="406" t="n"/>
      <c r="AP1436" s="174" t="n"/>
      <c r="AQ1436" s="174" t="n"/>
      <c r="AR1436" s="406" t="inlineStr">
        <is>
          <t>Nhóm 1</t>
        </is>
      </c>
      <c r="AS1436" s="406" t="n"/>
      <c r="AT1436" s="406" t="inlineStr">
        <is>
          <t>HM46</t>
        </is>
      </c>
      <c r="AU1436" s="406" t="inlineStr">
        <is>
          <t>PYC</t>
        </is>
      </c>
      <c r="AV1436" s="406" t="n">
        <v>129</v>
      </c>
      <c r="AW1436" s="406" t="n">
        <v>4</v>
      </c>
      <c r="AX1436" s="406" t="n"/>
    </row>
    <row r="1437" ht="28" customHeight="1" s="672">
      <c r="A1437" s="413" t="inlineStr">
        <is>
          <t>BBK680</t>
        </is>
      </c>
      <c r="B1437" s="413" t="inlineStr">
        <is>
          <t>PYC</t>
        </is>
      </c>
      <c r="C1437" s="413" t="inlineStr">
        <is>
          <t>BBK680.0656035</t>
        </is>
      </c>
      <c r="D1437" s="414" t="n"/>
      <c r="E1437" s="414" t="n"/>
      <c r="F1437" s="414" t="n"/>
      <c r="G1437" s="414" t="n"/>
      <c r="H1437" s="414" t="n"/>
      <c r="J1437" s="108" t="inlineStr">
        <is>
          <t>20</t>
        </is>
      </c>
      <c r="K1437" s="108" t="inlineStr">
        <is>
          <t>PYC</t>
        </is>
      </c>
      <c r="L1437" s="109" t="inlineStr">
        <is>
          <t>phiếu yêu cầu</t>
        </is>
      </c>
      <c r="M1437" s="109" t="n"/>
      <c r="N1437" s="109" t="n"/>
      <c r="O1437" s="110" t="inlineStr">
        <is>
          <t>Cầu KM19+529.080</t>
        </is>
      </c>
      <c r="P1437" s="401" t="n"/>
      <c r="Q1437" s="401" t="n"/>
      <c r="R1437" s="401">
        <f>S1437-1</f>
        <v/>
      </c>
      <c r="S1437" s="401">
        <f>S1432+28</f>
        <v/>
      </c>
      <c r="T1437" s="402" t="n">
        <v>0.3541666666666667</v>
      </c>
      <c r="U1437" s="402">
        <f>+T1437+V1437</f>
        <v/>
      </c>
      <c r="V1437" s="402" t="n">
        <v>0.02083333333333333</v>
      </c>
      <c r="W1437" s="403" t="n"/>
      <c r="X1437" s="403" t="n"/>
      <c r="Y1437" s="403" t="n"/>
      <c r="Z1437" s="403" t="n"/>
      <c r="AA1437" s="113" t="inlineStr">
        <is>
          <t>Theo dõi nén mẫu R28 bê tông thân trụ T1 đoạn 1 (đợt 2)</t>
        </is>
      </c>
      <c r="AB1437" s="113" t="inlineStr">
        <is>
          <t>307HG/YCNT/TT/T1-Đ1/Đ2-R28</t>
        </is>
      </c>
      <c r="AC1437" s="113" t="n"/>
      <c r="AD1437" s="113" t="n"/>
      <c r="AE1437" s="113" t="n"/>
      <c r="AF1437" s="113" t="n"/>
      <c r="AG1437" s="113" t="inlineStr">
        <is>
          <t>PYC</t>
        </is>
      </c>
      <c r="AH1437" s="113" t="n">
        <v>5</v>
      </c>
      <c r="AI1437" s="403" t="n"/>
      <c r="AJ1437" s="403" t="n"/>
      <c r="AK1437" s="404" t="n"/>
      <c r="AL1437" s="403" t="n"/>
      <c r="AM1437" s="403" t="n"/>
      <c r="AN1437" s="403" t="n"/>
      <c r="AO1437" s="403" t="n"/>
      <c r="AP1437" s="115" t="n"/>
      <c r="AQ1437" s="115" t="n"/>
      <c r="AR1437" s="403" t="inlineStr">
        <is>
          <t>Nhóm 1</t>
        </is>
      </c>
      <c r="AS1437" s="403" t="n"/>
      <c r="AT1437" s="403" t="inlineStr">
        <is>
          <t>HM46</t>
        </is>
      </c>
      <c r="AU1437" s="403" t="inlineStr">
        <is>
          <t>PYC</t>
        </is>
      </c>
      <c r="AV1437" s="403" t="n">
        <v>139</v>
      </c>
      <c r="AW1437" s="403" t="n">
        <v>5</v>
      </c>
      <c r="AX1437" s="403" t="n"/>
    </row>
    <row r="1438">
      <c r="A1438" s="56" t="inlineStr">
        <is>
          <t>HM</t>
        </is>
      </c>
      <c r="B1438" s="56" t="inlineStr">
        <is>
          <t>HM</t>
        </is>
      </c>
      <c r="C1438" s="56" t="inlineStr">
        <is>
          <t>HM.0152051</t>
        </is>
      </c>
      <c r="D1438" s="57" t="n"/>
      <c r="E1438" s="57" t="n"/>
      <c r="F1438" s="57" t="n"/>
      <c r="G1438" s="57" t="n"/>
      <c r="H1438" s="57" t="n"/>
      <c r="J1438" s="387" t="inlineStr">
        <is>
          <t>HM47</t>
        </is>
      </c>
      <c r="K1438" s="387" t="inlineStr">
        <is>
          <t>HM</t>
        </is>
      </c>
      <c r="L1438" s="388" t="inlineStr">
        <is>
          <t>Thân trụ T2 đoạn 3</t>
        </is>
      </c>
      <c r="M1438" s="388" t="n"/>
      <c r="N1438" s="388" t="n"/>
      <c r="O1438" s="389" t="n"/>
      <c r="P1438" s="390" t="n"/>
      <c r="Q1438" s="390" t="n"/>
      <c r="R1438" s="390" t="n"/>
      <c r="S1438" s="390" t="n"/>
      <c r="T1438" s="390" t="n"/>
      <c r="U1438" s="390" t="n"/>
      <c r="V1438" s="390" t="n"/>
      <c r="W1438" s="391" t="n"/>
      <c r="X1438" s="391" t="n"/>
      <c r="Y1438" s="391" t="n"/>
      <c r="Z1438" s="391" t="n"/>
      <c r="AA1438" s="392" t="n"/>
      <c r="AB1438" s="392" t="n"/>
      <c r="AC1438" s="392" t="n"/>
      <c r="AD1438" s="392" t="n"/>
      <c r="AE1438" s="392" t="n"/>
      <c r="AF1438" s="392" t="n"/>
      <c r="AG1438" s="392" t="n"/>
      <c r="AH1438" s="392" t="n"/>
      <c r="AI1438" s="391" t="n"/>
      <c r="AJ1438" s="391" t="n"/>
      <c r="AK1438" s="393" t="n"/>
      <c r="AL1438" s="391" t="n"/>
      <c r="AM1438" s="391" t="n"/>
      <c r="AN1438" s="391" t="n"/>
      <c r="AO1438" s="391" t="n"/>
      <c r="AP1438" s="394" t="n"/>
      <c r="AQ1438" s="394" t="n"/>
      <c r="AR1438" s="391" t="n"/>
      <c r="AS1438" s="391" t="n"/>
      <c r="AT1438" s="391" t="inlineStr">
        <is>
          <t>HM47</t>
        </is>
      </c>
      <c r="AU1438" s="391" t="inlineStr">
        <is>
          <t>HM</t>
        </is>
      </c>
      <c r="AV1438" s="391" t="n"/>
      <c r="AW1438" s="391" t="n"/>
      <c r="AX1438" s="391" t="n"/>
    </row>
    <row r="1439" ht="28" customHeight="1" s="672">
      <c r="A1439" s="68" t="inlineStr">
        <is>
          <t>BBK_BIA</t>
        </is>
      </c>
      <c r="B1439" s="68" t="inlineStr">
        <is>
          <t>TRANGBIA</t>
        </is>
      </c>
      <c r="C1439" s="68" t="inlineStr">
        <is>
          <t>BBK_BIA.0688358</t>
        </is>
      </c>
      <c r="D1439" s="69" t="n"/>
      <c r="E1439" s="69" t="n"/>
      <c r="F1439" s="69" t="n"/>
      <c r="G1439" s="69" t="n"/>
      <c r="H1439" s="69" t="n"/>
      <c r="I1439" s="70" t="n"/>
      <c r="J1439" s="327" t="inlineStr">
        <is>
          <t>01</t>
        </is>
      </c>
      <c r="K1439" s="327" t="inlineStr">
        <is>
          <t>TRANGBIA</t>
        </is>
      </c>
      <c r="L1439" s="328">
        <f>L1438</f>
        <v/>
      </c>
      <c r="M1439" s="328" t="n"/>
      <c r="N1439" s="328" t="n"/>
      <c r="O1439" s="329" t="inlineStr">
        <is>
          <t>Cầu KM19+529.080</t>
        </is>
      </c>
      <c r="P1439" s="330" t="n"/>
      <c r="Q1439" s="330" t="n"/>
      <c r="R1439" s="330" t="n"/>
      <c r="S1439" s="330" t="n"/>
      <c r="T1439" s="330" t="n"/>
      <c r="U1439" s="330" t="n"/>
      <c r="V1439" s="330" t="n"/>
      <c r="W1439" s="331" t="n"/>
      <c r="X1439" s="331" t="n"/>
      <c r="Y1439" s="331" t="n"/>
      <c r="Z1439" s="331" t="n"/>
      <c r="AA1439" s="331" t="n"/>
      <c r="AB1439" s="331" t="n"/>
      <c r="AC1439" s="331" t="n"/>
      <c r="AD1439" s="331" t="n"/>
      <c r="AE1439" s="331" t="n"/>
      <c r="AF1439" s="331" t="n"/>
      <c r="AG1439" s="331" t="n"/>
      <c r="AH1439" s="331" t="n"/>
      <c r="AI1439" s="331" t="n"/>
      <c r="AJ1439" s="331" t="n"/>
      <c r="AK1439" s="329" t="n"/>
      <c r="AL1439" s="331" t="n"/>
      <c r="AM1439" s="331" t="n"/>
      <c r="AN1439" s="331" t="n"/>
      <c r="AO1439" s="331" t="n"/>
      <c r="AP1439" s="332">
        <f>L1439</f>
        <v/>
      </c>
      <c r="AQ1439" s="333" t="n"/>
      <c r="AR1439" s="331" t="inlineStr">
        <is>
          <t>Nhóm 1</t>
        </is>
      </c>
      <c r="AS1439" s="331" t="n"/>
      <c r="AT1439" s="331" t="inlineStr">
        <is>
          <t>HM47</t>
        </is>
      </c>
      <c r="AU1439" s="331" t="inlineStr">
        <is>
          <t>TRANGBIA</t>
        </is>
      </c>
      <c r="AV1439" s="331" t="n">
        <v>47</v>
      </c>
      <c r="AW1439" s="331" t="n">
        <v>1</v>
      </c>
      <c r="AX1439" s="331" t="n"/>
    </row>
    <row r="1440">
      <c r="A1440" s="68" t="inlineStr">
        <is>
          <t>BBK_ML</t>
        </is>
      </c>
      <c r="B1440" s="68" t="inlineStr">
        <is>
          <t>MUCLUC</t>
        </is>
      </c>
      <c r="C1440" s="68" t="inlineStr">
        <is>
          <t>BBK_ML.0943879</t>
        </is>
      </c>
      <c r="D1440" s="69" t="n"/>
      <c r="E1440" s="69" t="n"/>
      <c r="F1440" s="69" t="n"/>
      <c r="G1440" s="69" t="n"/>
      <c r="H1440" s="69" t="n"/>
      <c r="I1440" s="70" t="n"/>
      <c r="J1440" s="395" t="inlineStr">
        <is>
          <t>02</t>
        </is>
      </c>
      <c r="K1440" s="395" t="inlineStr">
        <is>
          <t>MUCLUC</t>
        </is>
      </c>
      <c r="L1440" s="396" t="inlineStr">
        <is>
          <t>Danh mục biên bản Kiểm tra/Nghiệm thu</t>
        </is>
      </c>
      <c r="M1440" s="396" t="n"/>
      <c r="N1440" s="396" t="n"/>
      <c r="O1440" s="397" t="inlineStr">
        <is>
          <t>Cầu KM19+529.080</t>
        </is>
      </c>
      <c r="P1440" s="398" t="n"/>
      <c r="Q1440" s="398" t="n"/>
      <c r="R1440" s="398" t="n"/>
      <c r="S1440" s="398" t="n"/>
      <c r="T1440" s="398" t="n"/>
      <c r="U1440" s="398" t="n"/>
      <c r="V1440" s="398" t="n"/>
      <c r="W1440" s="399" t="n"/>
      <c r="X1440" s="399" t="n"/>
      <c r="Y1440" s="399" t="n"/>
      <c r="Z1440" s="399" t="n"/>
      <c r="AA1440" s="399" t="n"/>
      <c r="AB1440" s="399" t="n"/>
      <c r="AC1440" s="399" t="n"/>
      <c r="AD1440" s="399" t="n"/>
      <c r="AE1440" s="399" t="n"/>
      <c r="AF1440" s="399" t="n"/>
      <c r="AG1440" s="399" t="n"/>
      <c r="AH1440" s="399" t="n"/>
      <c r="AI1440" s="399" t="n"/>
      <c r="AJ1440" s="399" t="n"/>
      <c r="AK1440" s="397" t="n"/>
      <c r="AL1440" s="399" t="n"/>
      <c r="AM1440" s="399" t="n"/>
      <c r="AN1440" s="399" t="n"/>
      <c r="AO1440" s="399" t="n"/>
      <c r="AP1440" s="400" t="n"/>
      <c r="AQ1440" s="400" t="n"/>
      <c r="AR1440" s="399" t="inlineStr">
        <is>
          <t>Nhóm 1</t>
        </is>
      </c>
      <c r="AS1440" s="399" t="n"/>
      <c r="AT1440" s="399" t="inlineStr">
        <is>
          <t>HM47</t>
        </is>
      </c>
      <c r="AU1440" s="399" t="inlineStr">
        <is>
          <t>MUCLUC</t>
        </is>
      </c>
      <c r="AV1440" s="399" t="n">
        <v>47</v>
      </c>
      <c r="AW1440" s="399" t="n">
        <v>1</v>
      </c>
      <c r="AX1440" s="399" t="n"/>
    </row>
    <row r="1441">
      <c r="A1441" s="56" t="inlineStr">
        <is>
          <t>BBK680</t>
        </is>
      </c>
      <c r="B1441" s="56" t="inlineStr">
        <is>
          <t>PYC</t>
        </is>
      </c>
      <c r="C1441" s="56" t="inlineStr">
        <is>
          <t>BBK680.0771492</t>
        </is>
      </c>
      <c r="D1441" s="57" t="n"/>
      <c r="E1441" s="57" t="n"/>
      <c r="F1441" s="57" t="n"/>
      <c r="G1441" s="57" t="n"/>
      <c r="H1441" s="57" t="n"/>
      <c r="J1441" s="108" t="inlineStr">
        <is>
          <t>03</t>
        </is>
      </c>
      <c r="K1441" s="108" t="inlineStr">
        <is>
          <t>PYC</t>
        </is>
      </c>
      <c r="L1441" s="109" t="inlineStr">
        <is>
          <t>phiếu yêu cầu</t>
        </is>
      </c>
      <c r="M1441" s="109" t="n"/>
      <c r="N1441" s="109" t="n"/>
      <c r="O1441" s="110" t="inlineStr">
        <is>
          <t>Cầu KM19+529.080</t>
        </is>
      </c>
      <c r="P1441" s="401" t="n"/>
      <c r="Q1441" s="401" t="n"/>
      <c r="R1441" s="401">
        <f>R1442</f>
        <v/>
      </c>
      <c r="S1441" s="401">
        <f>+R1441+1</f>
        <v/>
      </c>
      <c r="T1441" s="402">
        <f>T1442</f>
        <v/>
      </c>
      <c r="U1441" s="402">
        <f>U1442</f>
        <v/>
      </c>
      <c r="V1441" s="402">
        <f>V1442</f>
        <v/>
      </c>
      <c r="W1441" s="402">
        <f>W1442</f>
        <v/>
      </c>
      <c r="X1441" s="403" t="n"/>
      <c r="Y1441" s="403" t="n"/>
      <c r="Z1441" s="403" t="n"/>
      <c r="AA1441" s="113" t="n"/>
      <c r="AB1441" s="113" t="inlineStr">
        <is>
          <t>307HG/YCNT/TT/T2-Đ3</t>
        </is>
      </c>
      <c r="AC1441" s="113" t="n"/>
      <c r="AD1441" s="113" t="n"/>
      <c r="AE1441" s="113" t="n"/>
      <c r="AF1441" s="113" t="n"/>
      <c r="AG1441" s="113" t="inlineStr">
        <is>
          <t>BBKTĐK;NTCV</t>
        </is>
      </c>
      <c r="AH1441" s="113" t="n">
        <v>1</v>
      </c>
      <c r="AI1441" s="403" t="n"/>
      <c r="AJ1441" s="403" t="n"/>
      <c r="AK1441" s="404" t="n"/>
      <c r="AL1441" s="403" t="n"/>
      <c r="AM1441" s="403" t="n"/>
      <c r="AN1441" s="403" t="n"/>
      <c r="AO1441" s="403" t="n"/>
      <c r="AP1441" s="115" t="n"/>
      <c r="AQ1441" s="115" t="n"/>
      <c r="AR1441" s="403" t="inlineStr">
        <is>
          <t>Nhóm 1</t>
        </is>
      </c>
      <c r="AS1441" s="403" t="n"/>
      <c r="AT1441" s="403" t="inlineStr">
        <is>
          <t>HM47</t>
        </is>
      </c>
      <c r="AU1441" s="403" t="inlineStr">
        <is>
          <t>PYC</t>
        </is>
      </c>
      <c r="AV1441" s="403" t="n">
        <v>56</v>
      </c>
      <c r="AW1441" s="403" t="n">
        <v>1</v>
      </c>
      <c r="AX1441" s="403" t="n"/>
    </row>
    <row r="1442" ht="28" customHeight="1" s="672">
      <c r="A1442" s="56" t="inlineStr">
        <is>
          <t>BBK884</t>
        </is>
      </c>
      <c r="B1442" s="56" t="inlineStr">
        <is>
          <t>BBKTĐK</t>
        </is>
      </c>
      <c r="C1442" s="56" t="inlineStr">
        <is>
          <t>BBK884.0943620</t>
        </is>
      </c>
      <c r="D1442" s="57" t="n"/>
      <c r="E1442" s="57" t="n"/>
      <c r="F1442" s="57" t="n"/>
      <c r="G1442" s="57" t="n"/>
      <c r="H1442" s="57" t="n"/>
      <c r="J1442" s="139" t="inlineStr">
        <is>
          <t>04</t>
        </is>
      </c>
      <c r="K1442" s="139" t="inlineStr">
        <is>
          <t>BBKTĐK</t>
        </is>
      </c>
      <c r="L1442" s="140" t="inlineStr">
        <is>
          <t>Kiểm tra điều kiện trước khi thi công thân trụ T2 đoạn 3</t>
        </is>
      </c>
      <c r="M1442" s="140" t="n"/>
      <c r="N1442" s="140" t="n"/>
      <c r="O1442" s="141" t="inlineStr">
        <is>
          <t>Cầu KM19+529.080</t>
        </is>
      </c>
      <c r="P1442" s="382">
        <f>+S1239+1</f>
        <v/>
      </c>
      <c r="Q1442" s="382">
        <f>P1442</f>
        <v/>
      </c>
      <c r="R1442" s="382">
        <f>Q1442-1</f>
        <v/>
      </c>
      <c r="S1442" s="382">
        <f>Q1442</f>
        <v/>
      </c>
      <c r="T1442" s="383" t="n">
        <v>0.3541666666666667</v>
      </c>
      <c r="U1442" s="383">
        <f>T1442+V1442</f>
        <v/>
      </c>
      <c r="V1442" s="383" t="n">
        <v>0.0625</v>
      </c>
      <c r="W1442" s="384">
        <f>TEXT(T1442,"HH""h""MM'")&amp;"÷"&amp;TEXT(U1442,"HH""h""MM'")</f>
        <v/>
      </c>
      <c r="X1442" s="384" t="n"/>
      <c r="Y1442" s="384" t="n"/>
      <c r="Z1442" s="384" t="inlineStr">
        <is>
          <t>01;</t>
        </is>
      </c>
      <c r="AA1442" s="144" t="inlineStr">
        <is>
          <t>Kiểm tra điều kiện trước khi thi công thân trụ T2 đoạn 3</t>
        </is>
      </c>
      <c r="AB1442" s="144" t="inlineStr">
        <is>
          <t>307HG/YCNT/TT/T2-Đ3-1</t>
        </is>
      </c>
      <c r="AC1442" s="144" t="inlineStr">
        <is>
          <t>307HG/BBNT/TT/T2-Đ3-1</t>
        </is>
      </c>
      <c r="AD1442" s="144" t="n"/>
      <c r="AE1442" s="144" t="n"/>
      <c r="AF1442" s="144" t="n"/>
      <c r="AG1442" s="144" t="n"/>
      <c r="AH1442" s="144" t="n"/>
      <c r="AI1442" s="384" t="n"/>
      <c r="AJ1442" s="384" t="n"/>
      <c r="AK1442" s="386" t="n"/>
      <c r="AL1442" s="384" t="n"/>
      <c r="AM1442" s="384" t="n"/>
      <c r="AN1442" s="384" t="n"/>
      <c r="AO1442" s="384" t="n"/>
      <c r="AP1442" s="146" t="n"/>
      <c r="AQ1442" s="146" t="n"/>
      <c r="AR1442" s="384" t="inlineStr">
        <is>
          <t>Nhóm 1</t>
        </is>
      </c>
      <c r="AS1442" s="384" t="n"/>
      <c r="AT1442" s="384" t="inlineStr">
        <is>
          <t>HM47</t>
        </is>
      </c>
      <c r="AU1442" s="384" t="inlineStr">
        <is>
          <t>BBKTĐK</t>
        </is>
      </c>
      <c r="AV1442" s="384" t="n">
        <v>32</v>
      </c>
      <c r="AW1442" s="384" t="n">
        <v>1</v>
      </c>
      <c r="AX1442" s="384" t="n"/>
    </row>
    <row r="1443">
      <c r="A1443" s="56" t="inlineStr">
        <is>
          <t>BBK860</t>
        </is>
      </c>
      <c r="B1443" s="56" t="inlineStr">
        <is>
          <t>PL01</t>
        </is>
      </c>
      <c r="C1443" s="56" t="inlineStr">
        <is>
          <t>BBK860.0149832</t>
        </is>
      </c>
      <c r="D1443" s="57" t="n"/>
      <c r="E1443" s="57" t="n"/>
      <c r="F1443" s="57" t="n"/>
      <c r="G1443" s="57" t="n"/>
      <c r="H1443" s="57" t="n"/>
      <c r="J1443" s="168" t="inlineStr">
        <is>
          <t>05</t>
        </is>
      </c>
      <c r="K1443" s="168" t="inlineStr">
        <is>
          <t>PL01</t>
        </is>
      </c>
      <c r="L1443" s="169" t="inlineStr">
        <is>
          <t>Phụ lục số 01</t>
        </is>
      </c>
      <c r="M1443" s="169" t="n"/>
      <c r="N1443" s="169" t="n"/>
      <c r="O1443" s="170" t="inlineStr">
        <is>
          <t>Cầu KM19+529.080</t>
        </is>
      </c>
      <c r="P1443" s="405" t="n"/>
      <c r="Q1443" s="405" t="n"/>
      <c r="R1443" s="405" t="n"/>
      <c r="S1443" s="405">
        <f>S1442</f>
        <v/>
      </c>
      <c r="T1443" s="405" t="n"/>
      <c r="U1443" s="405" t="n"/>
      <c r="V1443" s="405" t="n"/>
      <c r="W1443" s="406" t="n"/>
      <c r="X1443" s="406" t="n"/>
      <c r="Y1443" s="406" t="n"/>
      <c r="Z1443" s="168" t="n">
        <v>1</v>
      </c>
      <c r="AA1443" s="173" t="n"/>
      <c r="AB1443" s="173" t="n"/>
      <c r="AC1443" s="173" t="inlineStr">
        <is>
          <t>307HG/BBNT/TT/T2-Đ3-1</t>
        </is>
      </c>
      <c r="AD1443" s="173" t="n"/>
      <c r="AE1443" s="173" t="n"/>
      <c r="AF1443" s="173" t="n"/>
      <c r="AG1443" s="173" t="n"/>
      <c r="AH1443" s="407" t="inlineStr">
        <is>
          <t>TT-T2-Đ3</t>
        </is>
      </c>
      <c r="AI1443" s="406" t="n"/>
      <c r="AJ1443" s="406" t="n"/>
      <c r="AK1443" s="408" t="n"/>
      <c r="AL1443" s="406" t="n"/>
      <c r="AM1443" s="406" t="n"/>
      <c r="AN1443" s="406" t="n"/>
      <c r="AO1443" s="406" t="n"/>
      <c r="AP1443" s="174" t="n"/>
      <c r="AQ1443" s="174" t="n"/>
      <c r="AR1443" s="406" t="inlineStr">
        <is>
          <t>Nhóm 1</t>
        </is>
      </c>
      <c r="AS1443" s="406" t="n"/>
      <c r="AT1443" s="406" t="inlineStr">
        <is>
          <t>HM47</t>
        </is>
      </c>
      <c r="AU1443" s="406" t="inlineStr">
        <is>
          <t>PL01</t>
        </is>
      </c>
      <c r="AV1443" s="406" t="n">
        <v>36</v>
      </c>
      <c r="AW1443" s="406" t="n">
        <v>1</v>
      </c>
      <c r="AX1443" s="406" t="n"/>
    </row>
    <row r="1444" ht="28" customHeight="1" s="672">
      <c r="A1444" s="56" t="inlineStr">
        <is>
          <t>NTCV</t>
        </is>
      </c>
      <c r="B1444" s="56" t="inlineStr">
        <is>
          <t>K.9999</t>
        </is>
      </c>
      <c r="C1444" s="56" t="inlineStr">
        <is>
          <t>NTCV.0300910</t>
        </is>
      </c>
      <c r="D1444" s="57" t="n"/>
      <c r="E1444" s="57" t="n"/>
      <c r="F1444" s="57" t="n"/>
      <c r="G1444" s="57" t="n"/>
      <c r="H1444" s="57" t="n"/>
      <c r="J1444" s="147" t="inlineStr">
        <is>
          <t>06</t>
        </is>
      </c>
      <c r="K1444" s="147" t="inlineStr">
        <is>
          <t>K.9999</t>
        </is>
      </c>
      <c r="L1444" s="148" t="inlineStr">
        <is>
          <t>Lắp dựng ván khuôn, thanh xuyên táo thân trụ T2 đoạn 3</t>
        </is>
      </c>
      <c r="M1444" s="148" t="n"/>
      <c r="N1444" s="148" t="n"/>
      <c r="O1444" s="149" t="inlineStr">
        <is>
          <t>Cầu KM19+529.080</t>
        </is>
      </c>
      <c r="P1444" s="415">
        <f>S1442+1</f>
        <v/>
      </c>
      <c r="Q1444" s="415">
        <f>P1444</f>
        <v/>
      </c>
      <c r="R1444" s="415">
        <f>Q1444-2</f>
        <v/>
      </c>
      <c r="S1444" s="415">
        <f>Q1444</f>
        <v/>
      </c>
      <c r="T1444" s="416" t="n">
        <v>0.375</v>
      </c>
      <c r="U1444" s="416">
        <f>+T1444+V1444</f>
        <v/>
      </c>
      <c r="V1444" s="416" t="n">
        <v>0.02083333333333333</v>
      </c>
      <c r="W1444" s="417">
        <f>TEXT(T1444,"HH""h""MM'")&amp;"÷"&amp;TEXT(U1444,"HH""h""MM'")</f>
        <v/>
      </c>
      <c r="X1444" s="417" t="n"/>
      <c r="Y1444" s="417" t="n"/>
      <c r="Z1444" s="417" t="inlineStr">
        <is>
          <t>02;</t>
        </is>
      </c>
      <c r="AA1444" s="150" t="inlineStr">
        <is>
          <t>Lắp dựng ván khuôn, thanh xuyên táo thân trụ T2 đoạn 3</t>
        </is>
      </c>
      <c r="AB1444" s="150" t="inlineStr">
        <is>
          <t>307HG/YCNT/TT/T2-Đ3-1</t>
        </is>
      </c>
      <c r="AC1444" s="150" t="inlineStr">
        <is>
          <t>307HG/BBNT/TT/T2-Đ3-2</t>
        </is>
      </c>
      <c r="AD1444" s="150" t="n"/>
      <c r="AE1444" s="150" t="n"/>
      <c r="AF1444" s="150" t="n"/>
      <c r="AG1444" s="150" t="n"/>
      <c r="AH1444" s="150" t="n"/>
      <c r="AI1444" s="417" t="n"/>
      <c r="AJ1444" s="417" t="n"/>
      <c r="AK1444" s="418" t="n"/>
      <c r="AL1444" s="417" t="n"/>
      <c r="AM1444" s="417" t="n"/>
      <c r="AN1444" s="417" t="n"/>
      <c r="AO1444" s="417" t="n"/>
      <c r="AP1444" s="151" t="n"/>
      <c r="AQ1444" s="151" t="n"/>
      <c r="AR1444" s="417" t="inlineStr">
        <is>
          <t>Nhóm 1</t>
        </is>
      </c>
      <c r="AS1444" s="417" t="n"/>
      <c r="AT1444" s="417" t="inlineStr">
        <is>
          <t>HM47</t>
        </is>
      </c>
      <c r="AU1444" s="417" t="inlineStr">
        <is>
          <t>NTCV</t>
        </is>
      </c>
      <c r="AV1444" s="417" t="n">
        <v>396</v>
      </c>
      <c r="AW1444" s="417" t="n">
        <v>1</v>
      </c>
      <c r="AX1444" s="417" t="n"/>
    </row>
    <row r="1445">
      <c r="A1445" s="56" t="inlineStr">
        <is>
          <t>BBK288</t>
        </is>
      </c>
      <c r="B1445" s="56" t="inlineStr">
        <is>
          <t>PL11.1</t>
        </is>
      </c>
      <c r="C1445" s="56" t="inlineStr">
        <is>
          <t>BBK288.0726034</t>
        </is>
      </c>
      <c r="D1445" s="57" t="n"/>
      <c r="E1445" s="57" t="n"/>
      <c r="F1445" s="57" t="n"/>
      <c r="G1445" s="57" t="n"/>
      <c r="H1445" s="57" t="n"/>
      <c r="J1445" s="108" t="inlineStr">
        <is>
          <t>07</t>
        </is>
      </c>
      <c r="K1445" s="108" t="inlineStr">
        <is>
          <t>PL11.1</t>
        </is>
      </c>
      <c r="L1445" s="109" t="inlineStr">
        <is>
          <t>Phụ lục số 11</t>
        </is>
      </c>
      <c r="M1445" s="109" t="n"/>
      <c r="N1445" s="109" t="n"/>
      <c r="O1445" s="110" t="inlineStr">
        <is>
          <t>Cầu KM19+529.080</t>
        </is>
      </c>
      <c r="P1445" s="401" t="n"/>
      <c r="Q1445" s="401" t="n"/>
      <c r="R1445" s="401" t="n"/>
      <c r="S1445" s="401">
        <f>S1444</f>
        <v/>
      </c>
      <c r="T1445" s="401" t="n"/>
      <c r="U1445" s="401" t="n"/>
      <c r="V1445" s="401" t="n"/>
      <c r="W1445" s="403" t="n"/>
      <c r="X1445" s="403" t="n"/>
      <c r="Y1445" s="403" t="n"/>
      <c r="Z1445" s="108" t="n">
        <v>2</v>
      </c>
      <c r="AA1445" s="113" t="n"/>
      <c r="AB1445" s="113" t="n"/>
      <c r="AC1445" s="113" t="inlineStr">
        <is>
          <t>307HG/BBNT/TT/T2-Đ3-2</t>
        </is>
      </c>
      <c r="AD1445" s="113" t="n"/>
      <c r="AE1445" s="113" t="n"/>
      <c r="AF1445" s="113" t="n"/>
      <c r="AG1445" s="114" t="n"/>
      <c r="AH1445" s="114" t="inlineStr">
        <is>
          <t>TT-T2-Đ3</t>
        </is>
      </c>
      <c r="AI1445" s="403" t="n"/>
      <c r="AJ1445" s="403" t="n"/>
      <c r="AK1445" s="404" t="n"/>
      <c r="AL1445" s="403" t="n"/>
      <c r="AM1445" s="403" t="n"/>
      <c r="AN1445" s="403" t="n"/>
      <c r="AO1445" s="403" t="n"/>
      <c r="AP1445" s="115" t="n"/>
      <c r="AQ1445" s="115" t="inlineStr">
        <is>
          <t>Ảnh\TT DD1 T1,T2.png</t>
        </is>
      </c>
      <c r="AR1445" s="403" t="inlineStr">
        <is>
          <t>Nhóm 1</t>
        </is>
      </c>
      <c r="AS1445" s="403" t="n"/>
      <c r="AT1445" s="403" t="inlineStr">
        <is>
          <t>HM47</t>
        </is>
      </c>
      <c r="AU1445" s="403" t="inlineStr">
        <is>
          <t>PL11.1</t>
        </is>
      </c>
      <c r="AV1445" s="403" t="n">
        <v>5</v>
      </c>
      <c r="AW1445" s="403" t="n">
        <v>1</v>
      </c>
      <c r="AX1445" s="403" t="n"/>
    </row>
    <row r="1446">
      <c r="A1446" s="56" t="inlineStr">
        <is>
          <t>BBK680</t>
        </is>
      </c>
      <c r="B1446" s="56" t="inlineStr">
        <is>
          <t>PYC</t>
        </is>
      </c>
      <c r="C1446" s="56" t="inlineStr">
        <is>
          <t>BBK680.0253091</t>
        </is>
      </c>
      <c r="D1446" s="57" t="n"/>
      <c r="E1446" s="57" t="n"/>
      <c r="F1446" s="57" t="n"/>
      <c r="G1446" s="57" t="n"/>
      <c r="H1446" s="57" t="n"/>
      <c r="J1446" s="168" t="inlineStr">
        <is>
          <t>08</t>
        </is>
      </c>
      <c r="K1446" s="168" t="inlineStr">
        <is>
          <t>PYC</t>
        </is>
      </c>
      <c r="L1446" s="169" t="inlineStr">
        <is>
          <t>phiếu yêu cầu</t>
        </is>
      </c>
      <c r="M1446" s="169" t="n"/>
      <c r="N1446" s="169" t="n"/>
      <c r="O1446" s="170" t="inlineStr">
        <is>
          <t>Cầu KM19+529.080</t>
        </is>
      </c>
      <c r="P1446" s="405" t="n"/>
      <c r="Q1446" s="405" t="n"/>
      <c r="R1446" s="401">
        <f>R1447</f>
        <v/>
      </c>
      <c r="S1446" s="405">
        <f>+R1446+1</f>
        <v/>
      </c>
      <c r="T1446" s="402">
        <f>T1447</f>
        <v/>
      </c>
      <c r="U1446" s="402">
        <f>U1447</f>
        <v/>
      </c>
      <c r="V1446" s="402">
        <f>V1447</f>
        <v/>
      </c>
      <c r="W1446" s="402">
        <f>W1447</f>
        <v/>
      </c>
      <c r="X1446" s="406" t="n"/>
      <c r="Y1446" s="406" t="n"/>
      <c r="Z1446" s="168" t="n">
        <v>2</v>
      </c>
      <c r="AA1446" s="173" t="n"/>
      <c r="AB1446" s="173" t="inlineStr">
        <is>
          <t>307HG/YCNT/TT/T2-Đ3</t>
        </is>
      </c>
      <c r="AC1446" s="173" t="n"/>
      <c r="AD1446" s="173" t="n"/>
      <c r="AE1446" s="173" t="n"/>
      <c r="AF1446" s="173" t="n"/>
      <c r="AG1446" s="129" t="inlineStr">
        <is>
          <t>NTCV</t>
        </is>
      </c>
      <c r="AH1446" s="173" t="inlineStr">
        <is>
          <t>&gt;=2;&lt;=4</t>
        </is>
      </c>
      <c r="AI1446" s="406" t="n"/>
      <c r="AJ1446" s="406" t="n"/>
      <c r="AK1446" s="408" t="n"/>
      <c r="AL1446" s="406" t="n"/>
      <c r="AM1446" s="406" t="n"/>
      <c r="AN1446" s="406" t="n"/>
      <c r="AO1446" s="406" t="n"/>
      <c r="AP1446" s="174" t="n"/>
      <c r="AQ1446" s="174" t="n"/>
      <c r="AR1446" s="406" t="inlineStr">
        <is>
          <t>Nhóm 1</t>
        </is>
      </c>
      <c r="AS1446" s="406" t="n"/>
      <c r="AT1446" s="406" t="inlineStr">
        <is>
          <t>HM47</t>
        </is>
      </c>
      <c r="AU1446" s="406" t="inlineStr">
        <is>
          <t>PYC</t>
        </is>
      </c>
      <c r="AV1446" s="406" t="n">
        <v>61</v>
      </c>
      <c r="AW1446" s="406" t="n">
        <v>2</v>
      </c>
      <c r="AX1446" s="406" t="n"/>
    </row>
    <row r="1447">
      <c r="A1447" s="413" t="inlineStr">
        <is>
          <t>NTCV</t>
        </is>
      </c>
      <c r="B1447" s="413" t="inlineStr">
        <is>
          <t>K.9999</t>
        </is>
      </c>
      <c r="C1447" s="413" t="inlineStr">
        <is>
          <t>NTCV.0952131</t>
        </is>
      </c>
      <c r="D1447" s="414" t="n"/>
      <c r="E1447" s="414" t="n"/>
      <c r="F1447" s="414" t="n"/>
      <c r="G1447" s="414" t="n"/>
      <c r="H1447" s="414" t="n"/>
      <c r="J1447" s="147" t="inlineStr">
        <is>
          <t>09</t>
        </is>
      </c>
      <c r="K1447" s="147" t="inlineStr">
        <is>
          <t>K.9999</t>
        </is>
      </c>
      <c r="L1447" s="148" t="inlineStr">
        <is>
          <t>Kiểm tra cốt thép thân trụ T2 đoạn 3</t>
        </is>
      </c>
      <c r="M1447" s="148" t="n"/>
      <c r="N1447" s="148" t="n"/>
      <c r="O1447" s="149" t="inlineStr">
        <is>
          <t>Cầu KM19+529.080</t>
        </is>
      </c>
      <c r="P1447" s="415">
        <f>+S1444+1</f>
        <v/>
      </c>
      <c r="Q1447" s="415">
        <f>+P1447</f>
        <v/>
      </c>
      <c r="R1447" s="415">
        <f>+Q1447-1</f>
        <v/>
      </c>
      <c r="S1447" s="415">
        <f>+Q1447</f>
        <v/>
      </c>
      <c r="T1447" s="416" t="n">
        <v>0.375</v>
      </c>
      <c r="U1447" s="416">
        <f>+T1447+V1447</f>
        <v/>
      </c>
      <c r="V1447" s="416" t="n">
        <v>0.04166666666666666</v>
      </c>
      <c r="W1447" s="411">
        <f>TEXT(T1447,"HH""h""MM'")&amp;"÷"&amp;TEXT(U1447,"HH""h""MM'")</f>
        <v/>
      </c>
      <c r="X1447" s="417" t="n"/>
      <c r="Y1447" s="417" t="n"/>
      <c r="Z1447" s="417" t="inlineStr">
        <is>
          <t>03;</t>
        </is>
      </c>
      <c r="AA1447" s="150" t="inlineStr">
        <is>
          <t>Kiểm tra cốt thép thân trụ T2 đoạn 3</t>
        </is>
      </c>
      <c r="AB1447" s="150" t="inlineStr">
        <is>
          <t>307HG/YCNT/TT/T2-Đ3-2</t>
        </is>
      </c>
      <c r="AC1447" s="150" t="inlineStr">
        <is>
          <t>307HG/BBNT/TT/T2-Đ3-3</t>
        </is>
      </c>
      <c r="AD1447" s="150" t="n"/>
      <c r="AE1447" s="150" t="n"/>
      <c r="AF1447" s="150" t="n"/>
      <c r="AG1447" s="150" t="n"/>
      <c r="AH1447" s="150" t="n"/>
      <c r="AI1447" s="417" t="n"/>
      <c r="AJ1447" s="417" t="n"/>
      <c r="AK1447" s="418" t="n"/>
      <c r="AL1447" s="417" t="n"/>
      <c r="AM1447" s="417" t="n"/>
      <c r="AN1447" s="417" t="n"/>
      <c r="AO1447" s="417" t="n"/>
      <c r="AP1447" s="151" t="n"/>
      <c r="AQ1447" s="151" t="n"/>
      <c r="AR1447" s="417" t="inlineStr">
        <is>
          <t>Nhóm 1</t>
        </is>
      </c>
      <c r="AS1447" s="417" t="n"/>
      <c r="AT1447" s="417" t="inlineStr">
        <is>
          <t>HM47</t>
        </is>
      </c>
      <c r="AU1447" s="417" t="inlineStr">
        <is>
          <t>NTCV</t>
        </is>
      </c>
      <c r="AV1447" s="417" t="n">
        <v>403</v>
      </c>
      <c r="AW1447" s="417" t="n">
        <v>2</v>
      </c>
      <c r="AX1447" s="417" t="n"/>
    </row>
    <row r="1448">
      <c r="A1448" s="413" t="inlineStr">
        <is>
          <t>BBK469</t>
        </is>
      </c>
      <c r="B1448" s="413" t="inlineStr">
        <is>
          <t>PL08.1</t>
        </is>
      </c>
      <c r="C1448" s="413" t="inlineStr">
        <is>
          <t>BBK469.0951875</t>
        </is>
      </c>
      <c r="D1448" s="414" t="n"/>
      <c r="E1448" s="414" t="n"/>
      <c r="F1448" s="414" t="n"/>
      <c r="G1448" s="414" t="n"/>
      <c r="H1448" s="414" t="n"/>
      <c r="J1448" s="108" t="inlineStr">
        <is>
          <t>10</t>
        </is>
      </c>
      <c r="K1448" s="108" t="inlineStr">
        <is>
          <t>PL08.1</t>
        </is>
      </c>
      <c r="L1448" s="109">
        <f>L1447</f>
        <v/>
      </c>
      <c r="M1448" s="109" t="n"/>
      <c r="N1448" s="109" t="n"/>
      <c r="O1448" s="110" t="inlineStr">
        <is>
          <t>Cầu KM19+529.080</t>
        </is>
      </c>
      <c r="P1448" s="401" t="n"/>
      <c r="Q1448" s="401" t="n"/>
      <c r="R1448" s="401" t="n"/>
      <c r="S1448" s="401">
        <f>S1447</f>
        <v/>
      </c>
      <c r="T1448" s="401" t="n"/>
      <c r="U1448" s="401" t="n"/>
      <c r="V1448" s="401" t="n"/>
      <c r="W1448" s="403" t="n"/>
      <c r="X1448" s="403" t="n"/>
      <c r="Y1448" s="403" t="n"/>
      <c r="Z1448" s="108" t="n">
        <v>3</v>
      </c>
      <c r="AA1448" s="113" t="n"/>
      <c r="AB1448" s="113" t="n"/>
      <c r="AC1448" s="113" t="inlineStr">
        <is>
          <t>307HG/BBNT/TT/T2-Đ3-3</t>
        </is>
      </c>
      <c r="AD1448" s="113" t="n"/>
      <c r="AE1448" s="113" t="n"/>
      <c r="AF1448" s="113" t="n"/>
      <c r="AG1448" s="113" t="n"/>
      <c r="AH1448" s="113" t="inlineStr">
        <is>
          <t>TT-T2-Đ3</t>
        </is>
      </c>
      <c r="AI1448" s="403" t="n"/>
      <c r="AJ1448" s="403" t="n"/>
      <c r="AK1448" s="404" t="n"/>
      <c r="AL1448" s="403" t="n"/>
      <c r="AM1448" s="403" t="n"/>
      <c r="AN1448" s="403" t="n"/>
      <c r="AO1448" s="403" t="n"/>
      <c r="AP1448" s="115" t="n"/>
      <c r="AQ1448" s="115" t="n"/>
      <c r="AR1448" s="403" t="inlineStr">
        <is>
          <t>Nhóm 1</t>
        </is>
      </c>
      <c r="AS1448" s="403" t="n"/>
      <c r="AT1448" s="403" t="inlineStr">
        <is>
          <t>HM47</t>
        </is>
      </c>
      <c r="AU1448" s="403" t="inlineStr">
        <is>
          <t>PL08.1</t>
        </is>
      </c>
      <c r="AV1448" s="403" t="n">
        <v>6</v>
      </c>
      <c r="AW1448" s="403" t="n">
        <v>1</v>
      </c>
      <c r="AX1448" s="403" t="n"/>
    </row>
    <row r="1449" ht="28" customHeight="1" s="672">
      <c r="A1449" s="413" t="inlineStr">
        <is>
          <t>NTCV</t>
        </is>
      </c>
      <c r="B1449" s="413" t="inlineStr">
        <is>
          <t>K.9999</t>
        </is>
      </c>
      <c r="C1449" s="413" t="inlineStr">
        <is>
          <t>NTCV.0849555</t>
        </is>
      </c>
      <c r="D1449" s="414" t="n"/>
      <c r="E1449" s="414" t="n"/>
      <c r="F1449" s="414" t="n"/>
      <c r="G1449" s="414" t="n"/>
      <c r="H1449" s="414" t="n"/>
      <c r="J1449" s="131" t="inlineStr">
        <is>
          <t>11</t>
        </is>
      </c>
      <c r="K1449" s="131" t="inlineStr">
        <is>
          <t>K.9999</t>
        </is>
      </c>
      <c r="L1449" s="132" t="inlineStr">
        <is>
          <t>Công tác chuẩn bị đổ bê tông thân trụ T2 đoạn 3</t>
        </is>
      </c>
      <c r="M1449" s="132" t="n"/>
      <c r="N1449" s="132" t="n"/>
      <c r="O1449" s="133" t="inlineStr">
        <is>
          <t>Cầu KM19+529.080</t>
        </is>
      </c>
      <c r="P1449" s="419">
        <f>S1447</f>
        <v/>
      </c>
      <c r="Q1449" s="419">
        <f>P1449+1</f>
        <v/>
      </c>
      <c r="R1449" s="415">
        <f>+Q1449-2</f>
        <v/>
      </c>
      <c r="S1449" s="415">
        <f>+Q1449</f>
        <v/>
      </c>
      <c r="T1449" s="420" t="n">
        <v>0.3333333333333333</v>
      </c>
      <c r="U1449" s="420">
        <f>+T1449+V1449</f>
        <v/>
      </c>
      <c r="V1449" s="420" t="n">
        <v>0.02083333333333333</v>
      </c>
      <c r="W1449" s="417">
        <f>TEXT(T1449,"HH""h""MM'")&amp;"÷"&amp;TEXT(U1449,"HH""h""MM'")</f>
        <v/>
      </c>
      <c r="X1449" s="421" t="n"/>
      <c r="Y1449" s="421" t="n"/>
      <c r="Z1449" s="421" t="inlineStr">
        <is>
          <t>04;</t>
        </is>
      </c>
      <c r="AA1449" s="136" t="inlineStr">
        <is>
          <t>Công tác chuẩn bị đổ bê tông thân trụ T2 đoạn 3</t>
        </is>
      </c>
      <c r="AB1449" s="150" t="inlineStr">
        <is>
          <t>307HG/YCNT/TT/T2-Đ3-2</t>
        </is>
      </c>
      <c r="AC1449" s="136" t="inlineStr">
        <is>
          <t>307HG/BBNT/TT/T2-Đ3-4</t>
        </is>
      </c>
      <c r="AD1449" s="136" t="n"/>
      <c r="AE1449" s="136" t="n"/>
      <c r="AF1449" s="136" t="n"/>
      <c r="AG1449" s="136" t="n"/>
      <c r="AH1449" s="136" t="n"/>
      <c r="AI1449" s="421" t="n"/>
      <c r="AJ1449" s="421" t="n"/>
      <c r="AK1449" s="422" t="n"/>
      <c r="AL1449" s="421" t="n"/>
      <c r="AM1449" s="421" t="n"/>
      <c r="AN1449" s="421" t="n"/>
      <c r="AO1449" s="421" t="n"/>
      <c r="AP1449" s="138" t="n"/>
      <c r="AQ1449" s="138" t="n"/>
      <c r="AR1449" s="421" t="inlineStr">
        <is>
          <t>Nhóm 1</t>
        </is>
      </c>
      <c r="AS1449" s="421" t="n"/>
      <c r="AT1449" s="421" t="inlineStr">
        <is>
          <t>HM47</t>
        </is>
      </c>
      <c r="AU1449" s="421" t="inlineStr">
        <is>
          <t>NTCV</t>
        </is>
      </c>
      <c r="AV1449" s="421" t="n">
        <v>406</v>
      </c>
      <c r="AW1449" s="421" t="n">
        <v>3</v>
      </c>
      <c r="AX1449" s="421" t="n"/>
    </row>
    <row r="1450">
      <c r="A1450" s="413" t="inlineStr">
        <is>
          <t>BBK209</t>
        </is>
      </c>
      <c r="B1450" s="413" t="inlineStr">
        <is>
          <t>PL09</t>
        </is>
      </c>
      <c r="C1450" s="413" t="inlineStr">
        <is>
          <t>BBK209.0903280</t>
        </is>
      </c>
      <c r="D1450" s="414" t="n"/>
      <c r="E1450" s="414" t="n"/>
      <c r="F1450" s="414" t="n"/>
      <c r="G1450" s="414" t="n"/>
      <c r="H1450" s="414" t="n"/>
      <c r="J1450" s="124" t="inlineStr">
        <is>
          <t>12</t>
        </is>
      </c>
      <c r="K1450" s="124" t="inlineStr">
        <is>
          <t>PL09</t>
        </is>
      </c>
      <c r="L1450" s="125">
        <f>+L1449</f>
        <v/>
      </c>
      <c r="M1450" s="125" t="n"/>
      <c r="N1450" s="125" t="n"/>
      <c r="O1450" s="126" t="inlineStr">
        <is>
          <t>Cầu KM19+529.080</t>
        </is>
      </c>
      <c r="P1450" s="423" t="n"/>
      <c r="Q1450" s="423" t="n"/>
      <c r="R1450" s="423">
        <f>+R1451</f>
        <v/>
      </c>
      <c r="S1450" s="423">
        <f>+S1449</f>
        <v/>
      </c>
      <c r="T1450" s="424" t="n"/>
      <c r="U1450" s="424" t="n"/>
      <c r="V1450" s="424" t="n"/>
      <c r="W1450" s="425" t="n"/>
      <c r="X1450" s="425" t="n"/>
      <c r="Y1450" s="425" t="n"/>
      <c r="Z1450" s="124" t="n">
        <v>4</v>
      </c>
      <c r="AA1450" s="129" t="n"/>
      <c r="AB1450" s="129" t="n"/>
      <c r="AC1450" s="129">
        <f>+AC1449</f>
        <v/>
      </c>
      <c r="AD1450" s="129" t="n"/>
      <c r="AE1450" s="129" t="n"/>
      <c r="AF1450" s="129" t="n"/>
      <c r="AG1450" s="129" t="n"/>
      <c r="AH1450" s="129" t="inlineStr">
        <is>
          <t>C30</t>
        </is>
      </c>
      <c r="AI1450" s="425" t="n"/>
      <c r="AJ1450" s="425" t="n"/>
      <c r="AK1450" s="427" t="n"/>
      <c r="AL1450" s="425" t="n"/>
      <c r="AM1450" s="425" t="n"/>
      <c r="AN1450" s="425" t="n"/>
      <c r="AO1450" s="425" t="n"/>
      <c r="AP1450" s="130" t="n"/>
      <c r="AQ1450" s="130" t="n"/>
      <c r="AR1450" s="425" t="inlineStr">
        <is>
          <t>Nhóm 1</t>
        </is>
      </c>
      <c r="AS1450" s="425" t="n"/>
      <c r="AT1450" s="425" t="inlineStr">
        <is>
          <t>HM47</t>
        </is>
      </c>
      <c r="AU1450" s="425" t="inlineStr">
        <is>
          <t>PL09</t>
        </is>
      </c>
      <c r="AV1450" s="425" t="n">
        <v>32</v>
      </c>
      <c r="AW1450" s="425" t="n">
        <v>1</v>
      </c>
      <c r="AX1450" s="425" t="n"/>
    </row>
    <row r="1451" ht="28" customHeight="1" s="672">
      <c r="A1451" s="413" t="inlineStr">
        <is>
          <t>NTCV</t>
        </is>
      </c>
      <c r="B1451" s="413" t="inlineStr">
        <is>
          <t>K.9999</t>
        </is>
      </c>
      <c r="C1451" s="413" t="inlineStr">
        <is>
          <t>NTCV.0189309</t>
        </is>
      </c>
      <c r="D1451" s="414" t="n"/>
      <c r="E1451" s="414" t="n"/>
      <c r="F1451" s="414" t="n"/>
      <c r="G1451" s="414" t="n"/>
      <c r="H1451" s="414" t="n"/>
      <c r="J1451" s="161" t="inlineStr">
        <is>
          <t>13</t>
        </is>
      </c>
      <c r="K1451" s="161" t="inlineStr">
        <is>
          <t>K.9999</t>
        </is>
      </c>
      <c r="L1451" s="162" t="inlineStr">
        <is>
          <t>Công tác đổ, lấy mẫu bê tông thân trụ T2 đoạn 3</t>
        </is>
      </c>
      <c r="M1451" s="162" t="n"/>
      <c r="N1451" s="162" t="n"/>
      <c r="O1451" s="163" t="inlineStr">
        <is>
          <t>Cầu KM19+529.080</t>
        </is>
      </c>
      <c r="P1451" s="409">
        <f>+S1449</f>
        <v/>
      </c>
      <c r="Q1451" s="409">
        <f>+P1451</f>
        <v/>
      </c>
      <c r="R1451" s="409">
        <f>+Q1451-1</f>
        <v/>
      </c>
      <c r="S1451" s="409">
        <f>+Q1451</f>
        <v/>
      </c>
      <c r="T1451" s="410" t="n">
        <v>0.375</v>
      </c>
      <c r="U1451" s="410">
        <f>+T1451+V1451</f>
        <v/>
      </c>
      <c r="V1451" s="410" t="n">
        <v>0.08333333333333333</v>
      </c>
      <c r="W1451" s="411">
        <f>TEXT(T1451,"HH""h""MM'")&amp;"÷"&amp;TEXT(U1451,"HH""h""MM'")</f>
        <v/>
      </c>
      <c r="X1451" s="411" t="n"/>
      <c r="Y1451" s="411" t="n"/>
      <c r="Z1451" s="161" t="inlineStr">
        <is>
          <t>05;</t>
        </is>
      </c>
      <c r="AA1451" s="166" t="inlineStr">
        <is>
          <t>Công tác đổ bê tông, lấy mẫu bê tông thân trụ T2 đoạn 3</t>
        </is>
      </c>
      <c r="AB1451" s="166" t="n"/>
      <c r="AC1451" s="166" t="inlineStr">
        <is>
          <t>307HG/BBNT/TT/T2-Đ3-5</t>
        </is>
      </c>
      <c r="AD1451" s="166" t="n"/>
      <c r="AE1451" s="166" t="n"/>
      <c r="AF1451" s="166" t="n"/>
      <c r="AG1451" s="166" t="n"/>
      <c r="AH1451" s="166" t="n"/>
      <c r="AI1451" s="411" t="n"/>
      <c r="AJ1451" s="411" t="n"/>
      <c r="AK1451" s="412" t="n"/>
      <c r="AL1451" s="411" t="n"/>
      <c r="AM1451" s="411" t="n"/>
      <c r="AN1451" s="411" t="n"/>
      <c r="AO1451" s="411" t="n"/>
      <c r="AP1451" s="167" t="n"/>
      <c r="AQ1451" s="167" t="n"/>
      <c r="AR1451" s="411" t="inlineStr">
        <is>
          <t>Nhóm 1</t>
        </is>
      </c>
      <c r="AS1451" s="411" t="n"/>
      <c r="AT1451" s="411" t="inlineStr">
        <is>
          <t>HM47</t>
        </is>
      </c>
      <c r="AU1451" s="411" t="inlineStr">
        <is>
          <t>NTCV</t>
        </is>
      </c>
      <c r="AV1451" s="411" t="n">
        <v>409</v>
      </c>
      <c r="AW1451" s="411" t="n">
        <v>4</v>
      </c>
      <c r="AX1451" s="411" t="n"/>
    </row>
    <row r="1452">
      <c r="A1452" s="413" t="inlineStr">
        <is>
          <t>BBK832</t>
        </is>
      </c>
      <c r="B1452" s="413" t="inlineStr">
        <is>
          <t>PL06.1</t>
        </is>
      </c>
      <c r="C1452" s="413" t="inlineStr">
        <is>
          <t>BBK832.0927108</t>
        </is>
      </c>
      <c r="D1452" s="414" t="n"/>
      <c r="E1452" s="414" t="n"/>
      <c r="F1452" s="414" t="n"/>
      <c r="G1452" s="414" t="n"/>
      <c r="H1452" s="414" t="n"/>
      <c r="J1452" s="168" t="inlineStr">
        <is>
          <t>14</t>
        </is>
      </c>
      <c r="K1452" s="168" t="inlineStr">
        <is>
          <t>PL06.1</t>
        </is>
      </c>
      <c r="L1452" s="169">
        <f>+L1451</f>
        <v/>
      </c>
      <c r="M1452" s="169" t="n"/>
      <c r="N1452" s="169" t="n"/>
      <c r="O1452" s="170" t="inlineStr">
        <is>
          <t>Cầu KM19+529.080</t>
        </is>
      </c>
      <c r="P1452" s="405" t="n"/>
      <c r="Q1452" s="405" t="n"/>
      <c r="R1452" s="405" t="n"/>
      <c r="S1452" s="405">
        <f>+S1451</f>
        <v/>
      </c>
      <c r="T1452" s="428">
        <f>+T1451</f>
        <v/>
      </c>
      <c r="U1452" s="428">
        <f>T1452+V1452</f>
        <v/>
      </c>
      <c r="V1452" s="428">
        <f>+V1451</f>
        <v/>
      </c>
      <c r="W1452" s="406" t="n"/>
      <c r="X1452" s="406" t="n"/>
      <c r="Y1452" s="406" t="n"/>
      <c r="Z1452" s="168" t="n">
        <v>5</v>
      </c>
      <c r="AA1452" s="173" t="n"/>
      <c r="AB1452" s="173" t="n"/>
      <c r="AC1452" s="173">
        <f>+AC1451</f>
        <v/>
      </c>
      <c r="AD1452" s="173" t="n"/>
      <c r="AE1452" s="173" t="n"/>
      <c r="AF1452" s="173" t="n"/>
      <c r="AG1452" s="173" t="n"/>
      <c r="AH1452" s="407" t="inlineStr">
        <is>
          <t>C30-TT-T2-Đ3</t>
        </is>
      </c>
      <c r="AI1452" s="406" t="n"/>
      <c r="AJ1452" s="406" t="n"/>
      <c r="AK1452" s="408" t="n"/>
      <c r="AL1452" s="406" t="n"/>
      <c r="AM1452" s="406" t="n"/>
      <c r="AN1452" s="406" t="n"/>
      <c r="AO1452" s="406" t="n"/>
      <c r="AP1452" s="174" t="n"/>
      <c r="AQ1452" s="174" t="n"/>
      <c r="AR1452" s="406" t="inlineStr">
        <is>
          <t>Nhóm 1</t>
        </is>
      </c>
      <c r="AS1452" s="406" t="n"/>
      <c r="AT1452" s="406" t="inlineStr">
        <is>
          <t>HM47</t>
        </is>
      </c>
      <c r="AU1452" s="406" t="inlineStr">
        <is>
          <t>PL06.1</t>
        </is>
      </c>
      <c r="AV1452" s="406" t="n">
        <v>7</v>
      </c>
      <c r="AW1452" s="406" t="n">
        <v>1</v>
      </c>
      <c r="AX1452" s="406" t="n"/>
    </row>
    <row r="1453">
      <c r="A1453" s="413" t="inlineStr">
        <is>
          <t>LMHT</t>
        </is>
      </c>
      <c r="B1453" s="413" t="inlineStr">
        <is>
          <t>LMHT</t>
        </is>
      </c>
      <c r="C1453" s="413" t="inlineStr">
        <is>
          <t>LMHT.0113552</t>
        </is>
      </c>
      <c r="D1453" s="414" t="inlineStr">
        <is>
          <t>TC.000041|TC.000182|TC.000169.A</t>
        </is>
      </c>
      <c r="E1453" s="414" t="n"/>
      <c r="F1453" s="414" t="inlineStr">
        <is>
          <t>CP.0001^Bê tông thân trụ T2 đoạn 3^Hình trụ 15x30 (cm)^18^C30 (30Mpa)^^^TC.000041|TC.000182|TC.000169.A</t>
        </is>
      </c>
      <c r="G1453" s="414" t="n"/>
      <c r="H1453" s="414" t="n"/>
      <c r="J1453" s="175" t="inlineStr">
        <is>
          <t>15</t>
        </is>
      </c>
      <c r="K1453" s="175" t="inlineStr">
        <is>
          <t>LMHT</t>
        </is>
      </c>
      <c r="L1453" s="176" t="inlineStr">
        <is>
          <t>Bê tông thân trụ T2 đoạn 3</t>
        </is>
      </c>
      <c r="M1453" s="176" t="n"/>
      <c r="N1453" s="176" t="n"/>
      <c r="O1453" s="177" t="inlineStr">
        <is>
          <t>Cầu KM19+529.080</t>
        </is>
      </c>
      <c r="P1453" s="299" t="n"/>
      <c r="Q1453" s="299" t="n"/>
      <c r="R1453" s="299" t="n"/>
      <c r="S1453" s="299">
        <f>S1449</f>
        <v/>
      </c>
      <c r="T1453" s="300">
        <f>T1452</f>
        <v/>
      </c>
      <c r="U1453" s="300">
        <f>U1452</f>
        <v/>
      </c>
      <c r="V1453" s="300">
        <f>V1452</f>
        <v/>
      </c>
      <c r="W1453" s="301" t="n"/>
      <c r="X1453" s="301" t="n"/>
      <c r="Y1453" s="301" t="n"/>
      <c r="Z1453" s="301" t="n"/>
      <c r="AA1453" s="180" t="n"/>
      <c r="AB1453" s="180" t="n"/>
      <c r="AC1453" s="180" t="n"/>
      <c r="AD1453" s="180" t="n"/>
      <c r="AE1453" s="180" t="n"/>
      <c r="AF1453" s="180" t="n"/>
      <c r="AG1453" s="180" t="n"/>
      <c r="AH1453" s="180" t="n"/>
      <c r="AI1453" s="301" t="n"/>
      <c r="AJ1453" s="301" t="n"/>
      <c r="AK1453" s="303" t="n"/>
      <c r="AL1453" s="301" t="n"/>
      <c r="AM1453" s="301" t="n"/>
      <c r="AN1453" s="301" t="n"/>
      <c r="AO1453" s="301" t="n"/>
      <c r="AP1453" s="181" t="n"/>
      <c r="AQ1453" s="181" t="n"/>
      <c r="AR1453" s="301" t="inlineStr">
        <is>
          <t>Nhóm 1</t>
        </is>
      </c>
      <c r="AS1453" s="301" t="n"/>
      <c r="AT1453" s="301" t="inlineStr">
        <is>
          <t>HM47</t>
        </is>
      </c>
      <c r="AU1453" s="301" t="inlineStr">
        <is>
          <t>LMHT</t>
        </is>
      </c>
      <c r="AV1453" s="301" t="n">
        <v>43</v>
      </c>
      <c r="AW1453" s="301" t="n">
        <v>1</v>
      </c>
      <c r="AX1453" s="301" t="n"/>
    </row>
    <row r="1454">
      <c r="A1454" s="413" t="inlineStr">
        <is>
          <t>BBK680</t>
        </is>
      </c>
      <c r="B1454" s="413" t="inlineStr">
        <is>
          <t>PYC</t>
        </is>
      </c>
      <c r="C1454" s="413" t="inlineStr">
        <is>
          <t>BBK680.0792196</t>
        </is>
      </c>
      <c r="D1454" s="414" t="n"/>
      <c r="E1454" s="414" t="n"/>
      <c r="F1454" s="414" t="n"/>
      <c r="G1454" s="414" t="n"/>
      <c r="H1454" s="414" t="n"/>
      <c r="J1454" s="168" t="inlineStr">
        <is>
          <t>16</t>
        </is>
      </c>
      <c r="K1454" s="168" t="inlineStr">
        <is>
          <t>PYC</t>
        </is>
      </c>
      <c r="L1454" s="169" t="inlineStr">
        <is>
          <t>phiếu yêu cầu</t>
        </is>
      </c>
      <c r="M1454" s="169" t="n"/>
      <c r="N1454" s="169" t="n"/>
      <c r="O1454" s="170" t="inlineStr">
        <is>
          <t>Cầu KM19+529.080</t>
        </is>
      </c>
      <c r="P1454" s="405" t="n"/>
      <c r="Q1454" s="405" t="n"/>
      <c r="R1454" s="401">
        <f>+R1455</f>
        <v/>
      </c>
      <c r="S1454" s="405">
        <f>R1454+1</f>
        <v/>
      </c>
      <c r="T1454" s="405" t="n"/>
      <c r="U1454" s="405" t="n"/>
      <c r="V1454" s="405" t="n"/>
      <c r="W1454" s="406" t="n"/>
      <c r="X1454" s="406" t="n"/>
      <c r="Y1454" s="406" t="n"/>
      <c r="Z1454" s="406" t="n"/>
      <c r="AA1454" s="173" t="n"/>
      <c r="AB1454" s="173" t="inlineStr">
        <is>
          <t>307HG/YCNT/TT/T2-Đ3</t>
        </is>
      </c>
      <c r="AC1454" s="173" t="n"/>
      <c r="AD1454" s="173" t="n"/>
      <c r="AE1454" s="173" t="n"/>
      <c r="AF1454" s="173" t="n"/>
      <c r="AG1454" s="129" t="inlineStr">
        <is>
          <t>NTCV</t>
        </is>
      </c>
      <c r="AH1454" s="173" t="n">
        <v>5</v>
      </c>
      <c r="AI1454" s="406" t="n"/>
      <c r="AJ1454" s="406" t="n"/>
      <c r="AK1454" s="408" t="n"/>
      <c r="AL1454" s="406" t="n"/>
      <c r="AM1454" s="406" t="n"/>
      <c r="AN1454" s="406" t="n"/>
      <c r="AO1454" s="406" t="n"/>
      <c r="AP1454" s="174" t="n"/>
      <c r="AQ1454" s="174" t="n"/>
      <c r="AR1454" s="406" t="inlineStr">
        <is>
          <t>Nhóm 1</t>
        </is>
      </c>
      <c r="AS1454" s="406" t="n"/>
      <c r="AT1454" s="406" t="inlineStr">
        <is>
          <t>HM47</t>
        </is>
      </c>
      <c r="AU1454" s="406" t="inlineStr">
        <is>
          <t>PYC</t>
        </is>
      </c>
      <c r="AV1454" s="406" t="n">
        <v>67</v>
      </c>
      <c r="AW1454" s="406" t="n">
        <v>3</v>
      </c>
      <c r="AX1454" s="406" t="n"/>
    </row>
    <row r="1455">
      <c r="A1455" s="413" t="inlineStr">
        <is>
          <t>NTCV</t>
        </is>
      </c>
      <c r="B1455" s="413" t="inlineStr">
        <is>
          <t>K.9999</t>
        </is>
      </c>
      <c r="C1455" s="413" t="inlineStr">
        <is>
          <t>NTCV.0729836</t>
        </is>
      </c>
      <c r="D1455" s="414" t="n"/>
      <c r="E1455" s="414" t="n"/>
      <c r="F1455" s="414" t="n"/>
      <c r="G1455" s="414" t="n"/>
      <c r="H1455" s="414" t="n"/>
      <c r="J1455" s="147" t="inlineStr">
        <is>
          <t>17</t>
        </is>
      </c>
      <c r="K1455" s="147" t="inlineStr">
        <is>
          <t>K.9999</t>
        </is>
      </c>
      <c r="L1455" s="148" t="inlineStr">
        <is>
          <t>Tháo ván khuôn thân trụ T2 đoạn 3</t>
        </is>
      </c>
      <c r="M1455" s="148" t="n"/>
      <c r="N1455" s="148" t="n"/>
      <c r="O1455" s="149" t="inlineStr">
        <is>
          <t>Cầu KM19+529.080</t>
        </is>
      </c>
      <c r="P1455" s="415">
        <f>S1453</f>
        <v/>
      </c>
      <c r="Q1455" s="415">
        <f>+P1455+3</f>
        <v/>
      </c>
      <c r="R1455" s="415">
        <f>Q1455-1</f>
        <v/>
      </c>
      <c r="S1455" s="415">
        <f>Q1455</f>
        <v/>
      </c>
      <c r="T1455" s="416" t="n">
        <v>0.3541666666666667</v>
      </c>
      <c r="U1455" s="416">
        <f>+T1455+V1455</f>
        <v/>
      </c>
      <c r="V1455" s="416" t="n">
        <v>0.01388888888888889</v>
      </c>
      <c r="W1455" s="411">
        <f>TEXT(T1455,"HH""h""MM'")&amp;"÷"&amp;TEXT(U1455,"HH""h""MM'")</f>
        <v/>
      </c>
      <c r="X1455" s="417" t="n"/>
      <c r="Y1455" s="417" t="n"/>
      <c r="Z1455" s="417" t="inlineStr">
        <is>
          <t>06;</t>
        </is>
      </c>
      <c r="AA1455" s="150" t="inlineStr">
        <is>
          <t>Kiểm tra ván khuôn Bệ trụ T2 đoạn 3</t>
        </is>
      </c>
      <c r="AB1455" s="150" t="inlineStr">
        <is>
          <t>307HG/YCNT/TT/T2-Đ3-3</t>
        </is>
      </c>
      <c r="AC1455" s="150" t="inlineStr">
        <is>
          <t>307HG/BBNT/TT/T2-Đ3-5</t>
        </is>
      </c>
      <c r="AD1455" s="150" t="n"/>
      <c r="AE1455" s="150" t="n"/>
      <c r="AF1455" s="150" t="n"/>
      <c r="AG1455" s="150" t="n"/>
      <c r="AH1455" s="150" t="n"/>
      <c r="AI1455" s="417" t="n"/>
      <c r="AJ1455" s="417" t="n"/>
      <c r="AK1455" s="418" t="n"/>
      <c r="AL1455" s="417" t="n"/>
      <c r="AM1455" s="417" t="n"/>
      <c r="AN1455" s="417" t="n"/>
      <c r="AO1455" s="417" t="n"/>
      <c r="AP1455" s="151" t="n"/>
      <c r="AQ1455" s="151" t="n"/>
      <c r="AR1455" s="417" t="inlineStr">
        <is>
          <t>Nhóm 1</t>
        </is>
      </c>
      <c r="AS1455" s="417" t="n"/>
      <c r="AT1455" s="417" t="inlineStr">
        <is>
          <t>HM47</t>
        </is>
      </c>
      <c r="AU1455" s="417" t="inlineStr">
        <is>
          <t>NTCV</t>
        </is>
      </c>
      <c r="AV1455" s="417" t="n">
        <v>412</v>
      </c>
      <c r="AW1455" s="417" t="n">
        <v>5</v>
      </c>
      <c r="AX1455" s="417" t="n"/>
    </row>
    <row r="1456">
      <c r="A1456" s="413" t="inlineStr">
        <is>
          <t>BBK587</t>
        </is>
      </c>
      <c r="B1456" s="413" t="inlineStr">
        <is>
          <t>PL07.02</t>
        </is>
      </c>
      <c r="C1456" s="413" t="inlineStr">
        <is>
          <t>BBK587.0933702</t>
        </is>
      </c>
      <c r="D1456" s="414" t="n"/>
      <c r="E1456" s="414" t="n"/>
      <c r="F1456" s="414" t="n"/>
      <c r="G1456" s="414" t="n"/>
      <c r="H1456" s="414" t="n"/>
      <c r="J1456" s="108" t="inlineStr">
        <is>
          <t>18</t>
        </is>
      </c>
      <c r="K1456" s="108" t="inlineStr">
        <is>
          <t>PL07.02</t>
        </is>
      </c>
      <c r="L1456" s="109">
        <f>+L1455</f>
        <v/>
      </c>
      <c r="M1456" s="109" t="n"/>
      <c r="N1456" s="109" t="n"/>
      <c r="O1456" s="110" t="inlineStr">
        <is>
          <t>Cầu KM19+529.080</t>
        </is>
      </c>
      <c r="P1456" s="401" t="n"/>
      <c r="Q1456" s="401" t="n"/>
      <c r="R1456" s="401" t="n"/>
      <c r="S1456" s="401">
        <f>S1455</f>
        <v/>
      </c>
      <c r="T1456" s="401" t="n"/>
      <c r="U1456" s="401" t="n"/>
      <c r="V1456" s="401" t="n"/>
      <c r="W1456" s="403" t="n"/>
      <c r="X1456" s="403" t="n"/>
      <c r="Y1456" s="403" t="n"/>
      <c r="Z1456" s="108" t="n">
        <v>6</v>
      </c>
      <c r="AA1456" s="113" t="n"/>
      <c r="AB1456" s="113" t="n"/>
      <c r="AC1456" s="113" t="inlineStr">
        <is>
          <t>307HG/BBNT/TT/T2-Đ3-5</t>
        </is>
      </c>
      <c r="AD1456" s="113" t="n"/>
      <c r="AE1456" s="113" t="n"/>
      <c r="AF1456" s="113" t="n"/>
      <c r="AG1456" s="113" t="n"/>
      <c r="AH1456" s="114" t="inlineStr">
        <is>
          <t>TT-T2-Đ3</t>
        </is>
      </c>
      <c r="AI1456" s="403" t="n"/>
      <c r="AJ1456" s="403" t="n"/>
      <c r="AK1456" s="404" t="n"/>
      <c r="AL1456" s="403" t="n"/>
      <c r="AM1456" s="403" t="n"/>
      <c r="AN1456" s="403" t="n"/>
      <c r="AO1456" s="403" t="n"/>
      <c r="AP1456" s="115" t="n"/>
      <c r="AQ1456" s="115" t="inlineStr">
        <is>
          <t>Ảnh\TT DD1 T1,T2.png</t>
        </is>
      </c>
      <c r="AR1456" s="403" t="inlineStr">
        <is>
          <t>Nhóm 1</t>
        </is>
      </c>
      <c r="AS1456" s="403" t="n"/>
      <c r="AT1456" s="403" t="inlineStr">
        <is>
          <t>HM47</t>
        </is>
      </c>
      <c r="AU1456" s="403" t="inlineStr">
        <is>
          <t>PL07.02</t>
        </is>
      </c>
      <c r="AV1456" s="403" t="n">
        <v>3</v>
      </c>
      <c r="AW1456" s="403" t="n">
        <v>1</v>
      </c>
      <c r="AX1456" s="403" t="n"/>
    </row>
    <row r="1457" ht="28" customHeight="1" s="672">
      <c r="A1457" s="413" t="inlineStr">
        <is>
          <t>BBK680</t>
        </is>
      </c>
      <c r="B1457" s="413" t="inlineStr">
        <is>
          <t>PYC</t>
        </is>
      </c>
      <c r="C1457" s="413" t="inlineStr">
        <is>
          <t>BBK680.0459249</t>
        </is>
      </c>
      <c r="D1457" s="414" t="n"/>
      <c r="E1457" s="414" t="n"/>
      <c r="F1457" s="414" t="n"/>
      <c r="G1457" s="414" t="n"/>
      <c r="H1457" s="414" t="n"/>
      <c r="J1457" s="168" t="inlineStr">
        <is>
          <t>19</t>
        </is>
      </c>
      <c r="K1457" s="168" t="inlineStr">
        <is>
          <t>PYC</t>
        </is>
      </c>
      <c r="L1457" s="169" t="inlineStr">
        <is>
          <t>phiếu yêu cầu</t>
        </is>
      </c>
      <c r="M1457" s="169" t="n"/>
      <c r="N1457" s="169" t="n"/>
      <c r="O1457" s="170" t="inlineStr">
        <is>
          <t>Cầu KM19+529.080</t>
        </is>
      </c>
      <c r="P1457" s="405" t="n"/>
      <c r="Q1457" s="405" t="n"/>
      <c r="R1457" s="405">
        <f>S1457-1</f>
        <v/>
      </c>
      <c r="S1457" s="405">
        <f>S1453+7</f>
        <v/>
      </c>
      <c r="T1457" s="428" t="n">
        <v>0.3333333333333333</v>
      </c>
      <c r="U1457" s="428">
        <f>+T1457+V1457</f>
        <v/>
      </c>
      <c r="V1457" s="428" t="n">
        <v>0.02083333333333333</v>
      </c>
      <c r="W1457" s="406" t="n"/>
      <c r="X1457" s="406" t="n"/>
      <c r="Y1457" s="406" t="n"/>
      <c r="Z1457" s="406" t="n"/>
      <c r="AA1457" s="173" t="inlineStr">
        <is>
          <t>Theo dõi nén mẫu R7 bê tông thân trụ T2 đoạn 3</t>
        </is>
      </c>
      <c r="AB1457" s="173" t="inlineStr">
        <is>
          <t>307HG/YCNT/TT/T2-Đ3-R7</t>
        </is>
      </c>
      <c r="AC1457" s="173" t="n"/>
      <c r="AD1457" s="173" t="n"/>
      <c r="AE1457" s="173" t="n"/>
      <c r="AF1457" s="173" t="n"/>
      <c r="AG1457" s="173" t="inlineStr">
        <is>
          <t>PYC</t>
        </is>
      </c>
      <c r="AH1457" s="173" t="n">
        <v>4</v>
      </c>
      <c r="AI1457" s="406" t="n"/>
      <c r="AJ1457" s="406" t="n"/>
      <c r="AK1457" s="408" t="n"/>
      <c r="AL1457" s="406" t="n"/>
      <c r="AM1457" s="406" t="n"/>
      <c r="AN1457" s="406" t="n"/>
      <c r="AO1457" s="406" t="n"/>
      <c r="AP1457" s="174" t="n"/>
      <c r="AQ1457" s="174" t="n"/>
      <c r="AR1457" s="406" t="inlineStr">
        <is>
          <t>Nhóm 1</t>
        </is>
      </c>
      <c r="AS1457" s="406" t="n"/>
      <c r="AT1457" s="406" t="inlineStr">
        <is>
          <t>HM47</t>
        </is>
      </c>
      <c r="AU1457" s="406" t="inlineStr">
        <is>
          <t>PYC</t>
        </is>
      </c>
      <c r="AV1457" s="406" t="n">
        <v>79</v>
      </c>
      <c r="AW1457" s="406" t="n">
        <v>4</v>
      </c>
      <c r="AX1457" s="406" t="n"/>
    </row>
    <row r="1458" ht="28" customHeight="1" s="672">
      <c r="A1458" s="413" t="inlineStr">
        <is>
          <t>BBK680</t>
        </is>
      </c>
      <c r="B1458" s="413" t="inlineStr">
        <is>
          <t>PYC</t>
        </is>
      </c>
      <c r="C1458" s="413" t="inlineStr">
        <is>
          <t>BBK680.0908671</t>
        </is>
      </c>
      <c r="D1458" s="414" t="n"/>
      <c r="E1458" s="414" t="n"/>
      <c r="F1458" s="414" t="n"/>
      <c r="G1458" s="414" t="n"/>
      <c r="H1458" s="414" t="n"/>
      <c r="J1458" s="108" t="inlineStr">
        <is>
          <t>20</t>
        </is>
      </c>
      <c r="K1458" s="108" t="inlineStr">
        <is>
          <t>PYC</t>
        </is>
      </c>
      <c r="L1458" s="109" t="inlineStr">
        <is>
          <t>phiếu yêu cầu</t>
        </is>
      </c>
      <c r="M1458" s="109" t="n"/>
      <c r="N1458" s="109" t="n"/>
      <c r="O1458" s="110" t="inlineStr">
        <is>
          <t>Cầu KM19+529.080</t>
        </is>
      </c>
      <c r="P1458" s="401" t="n"/>
      <c r="Q1458" s="401" t="n"/>
      <c r="R1458" s="401">
        <f>S1458-1</f>
        <v/>
      </c>
      <c r="S1458" s="401">
        <f>S1453+28</f>
        <v/>
      </c>
      <c r="T1458" s="402" t="n">
        <v>0.3541666666666667</v>
      </c>
      <c r="U1458" s="402">
        <f>+T1458+V1458</f>
        <v/>
      </c>
      <c r="V1458" s="402" t="n">
        <v>0.02083333333333333</v>
      </c>
      <c r="W1458" s="403" t="n"/>
      <c r="X1458" s="403" t="n"/>
      <c r="Y1458" s="403" t="n"/>
      <c r="Z1458" s="403" t="n"/>
      <c r="AA1458" s="113" t="inlineStr">
        <is>
          <t>Theo dõi nén mẫu R28 bê tông thân trụ T2 đoạn 3</t>
        </is>
      </c>
      <c r="AB1458" s="113" t="inlineStr">
        <is>
          <t>307HG/YCNT/TT/T2-Đ3-R28</t>
        </is>
      </c>
      <c r="AC1458" s="113" t="n"/>
      <c r="AD1458" s="113" t="n"/>
      <c r="AE1458" s="113" t="n"/>
      <c r="AF1458" s="113" t="n"/>
      <c r="AG1458" s="113" t="inlineStr">
        <is>
          <t>PYC</t>
        </is>
      </c>
      <c r="AH1458" s="113" t="n">
        <v>5</v>
      </c>
      <c r="AI1458" s="403" t="n"/>
      <c r="AJ1458" s="403" t="n"/>
      <c r="AK1458" s="404" t="n"/>
      <c r="AL1458" s="403" t="n"/>
      <c r="AM1458" s="403" t="n"/>
      <c r="AN1458" s="403" t="n"/>
      <c r="AO1458" s="403" t="n"/>
      <c r="AP1458" s="115" t="n"/>
      <c r="AQ1458" s="115" t="n"/>
      <c r="AR1458" s="403" t="inlineStr">
        <is>
          <t>Nhóm 1</t>
        </is>
      </c>
      <c r="AS1458" s="403" t="n"/>
      <c r="AT1458" s="403" t="inlineStr">
        <is>
          <t>HM47</t>
        </is>
      </c>
      <c r="AU1458" s="403" t="inlineStr">
        <is>
          <t>PYC</t>
        </is>
      </c>
      <c r="AV1458" s="403" t="n">
        <v>124</v>
      </c>
      <c r="AW1458" s="403" t="n">
        <v>5</v>
      </c>
      <c r="AX1458" s="403" t="n"/>
    </row>
    <row r="1459">
      <c r="A1459" s="56" t="inlineStr">
        <is>
          <t>HM</t>
        </is>
      </c>
      <c r="B1459" s="56" t="inlineStr">
        <is>
          <t>HM</t>
        </is>
      </c>
      <c r="C1459" s="56" t="inlineStr">
        <is>
          <t>HM.0169719</t>
        </is>
      </c>
      <c r="D1459" s="57" t="n"/>
      <c r="E1459" s="57" t="n"/>
      <c r="F1459" s="57" t="n"/>
      <c r="G1459" s="57" t="n"/>
      <c r="H1459" s="57" t="n"/>
      <c r="J1459" s="387" t="inlineStr">
        <is>
          <t>HM48</t>
        </is>
      </c>
      <c r="K1459" s="387" t="inlineStr">
        <is>
          <t>HM</t>
        </is>
      </c>
      <c r="L1459" s="388" t="inlineStr">
        <is>
          <t>Thân trụ T2 đoạn 2 (đợt 1)</t>
        </is>
      </c>
      <c r="M1459" s="388" t="n"/>
      <c r="N1459" s="388" t="n"/>
      <c r="O1459" s="389" t="n"/>
      <c r="P1459" s="390" t="n"/>
      <c r="Q1459" s="390" t="n"/>
      <c r="R1459" s="390" t="n"/>
      <c r="S1459" s="390" t="n"/>
      <c r="T1459" s="390" t="n"/>
      <c r="U1459" s="390" t="n"/>
      <c r="V1459" s="390" t="n"/>
      <c r="W1459" s="391" t="n"/>
      <c r="X1459" s="391" t="n"/>
      <c r="Y1459" s="391" t="n"/>
      <c r="Z1459" s="391" t="n"/>
      <c r="AA1459" s="392" t="n"/>
      <c r="AB1459" s="392" t="n"/>
      <c r="AC1459" s="392" t="n"/>
      <c r="AD1459" s="392" t="n"/>
      <c r="AE1459" s="392" t="n"/>
      <c r="AF1459" s="392" t="n"/>
      <c r="AG1459" s="392" t="n"/>
      <c r="AH1459" s="392" t="n"/>
      <c r="AI1459" s="391" t="n"/>
      <c r="AJ1459" s="391" t="n"/>
      <c r="AK1459" s="393" t="n"/>
      <c r="AL1459" s="391" t="n"/>
      <c r="AM1459" s="391" t="n"/>
      <c r="AN1459" s="391" t="n"/>
      <c r="AO1459" s="391" t="n"/>
      <c r="AP1459" s="394" t="n"/>
      <c r="AQ1459" s="394" t="n"/>
      <c r="AR1459" s="391" t="n"/>
      <c r="AS1459" s="391" t="n"/>
      <c r="AT1459" s="391" t="inlineStr">
        <is>
          <t>HM48</t>
        </is>
      </c>
      <c r="AU1459" s="391" t="inlineStr">
        <is>
          <t>HM</t>
        </is>
      </c>
      <c r="AV1459" s="391" t="n"/>
      <c r="AW1459" s="391" t="n"/>
      <c r="AX1459" s="391" t="n"/>
    </row>
    <row r="1460" ht="28" customHeight="1" s="672">
      <c r="A1460" s="68" t="inlineStr">
        <is>
          <t>BBK_BIA</t>
        </is>
      </c>
      <c r="B1460" s="68" t="inlineStr">
        <is>
          <t>TRANGBIA</t>
        </is>
      </c>
      <c r="C1460" s="68" t="inlineStr">
        <is>
          <t>BBK_BIA.0496132</t>
        </is>
      </c>
      <c r="D1460" s="69" t="n"/>
      <c r="E1460" s="69" t="n"/>
      <c r="F1460" s="69" t="n"/>
      <c r="G1460" s="69" t="n"/>
      <c r="H1460" s="69" t="n"/>
      <c r="I1460" s="70" t="n"/>
      <c r="J1460" s="327" t="inlineStr">
        <is>
          <t>01</t>
        </is>
      </c>
      <c r="K1460" s="327" t="inlineStr">
        <is>
          <t>TRANGBIA</t>
        </is>
      </c>
      <c r="L1460" s="328">
        <f>L1459</f>
        <v/>
      </c>
      <c r="M1460" s="328" t="n"/>
      <c r="N1460" s="328" t="n"/>
      <c r="O1460" s="329" t="inlineStr">
        <is>
          <t>Cầu KM19+529.080</t>
        </is>
      </c>
      <c r="P1460" s="330" t="n"/>
      <c r="Q1460" s="330" t="n"/>
      <c r="R1460" s="330" t="n"/>
      <c r="S1460" s="330" t="n"/>
      <c r="T1460" s="330" t="n"/>
      <c r="U1460" s="330" t="n"/>
      <c r="V1460" s="330" t="n"/>
      <c r="W1460" s="331" t="n"/>
      <c r="X1460" s="331" t="n"/>
      <c r="Y1460" s="331" t="n"/>
      <c r="Z1460" s="331" t="n"/>
      <c r="AA1460" s="331" t="n"/>
      <c r="AB1460" s="331" t="n"/>
      <c r="AC1460" s="331" t="n"/>
      <c r="AD1460" s="331" t="n"/>
      <c r="AE1460" s="331" t="n"/>
      <c r="AF1460" s="331" t="n"/>
      <c r="AG1460" s="331" t="n"/>
      <c r="AH1460" s="331" t="n"/>
      <c r="AI1460" s="331" t="n"/>
      <c r="AJ1460" s="331" t="n"/>
      <c r="AK1460" s="329" t="n"/>
      <c r="AL1460" s="331" t="n"/>
      <c r="AM1460" s="331" t="n"/>
      <c r="AN1460" s="331" t="n"/>
      <c r="AO1460" s="331" t="n"/>
      <c r="AP1460" s="332">
        <f>L1460</f>
        <v/>
      </c>
      <c r="AQ1460" s="333" t="n"/>
      <c r="AR1460" s="331" t="inlineStr">
        <is>
          <t>Nhóm 1</t>
        </is>
      </c>
      <c r="AS1460" s="331" t="n"/>
      <c r="AT1460" s="331" t="inlineStr">
        <is>
          <t>HM48</t>
        </is>
      </c>
      <c r="AU1460" s="331" t="inlineStr">
        <is>
          <t>TRANGBIA</t>
        </is>
      </c>
      <c r="AV1460" s="331" t="n">
        <v>48</v>
      </c>
      <c r="AW1460" s="331" t="n">
        <v>1</v>
      </c>
      <c r="AX1460" s="331" t="n"/>
    </row>
    <row r="1461">
      <c r="A1461" s="68" t="inlineStr">
        <is>
          <t>BBK_ML</t>
        </is>
      </c>
      <c r="B1461" s="68" t="inlineStr">
        <is>
          <t>MUCLUC</t>
        </is>
      </c>
      <c r="C1461" s="68" t="inlineStr">
        <is>
          <t>BBK_ML.0375720</t>
        </is>
      </c>
      <c r="D1461" s="69" t="n"/>
      <c r="E1461" s="69" t="n"/>
      <c r="F1461" s="69" t="n"/>
      <c r="G1461" s="69" t="n"/>
      <c r="H1461" s="69" t="n"/>
      <c r="I1461" s="70" t="n"/>
      <c r="J1461" s="395" t="inlineStr">
        <is>
          <t>02</t>
        </is>
      </c>
      <c r="K1461" s="395" t="inlineStr">
        <is>
          <t>MUCLUC</t>
        </is>
      </c>
      <c r="L1461" s="396" t="inlineStr">
        <is>
          <t>Danh mục biên bản Kiểm tra/Nghiệm thu</t>
        </is>
      </c>
      <c r="M1461" s="396" t="n"/>
      <c r="N1461" s="396" t="n"/>
      <c r="O1461" s="397" t="inlineStr">
        <is>
          <t>Cầu KM19+529.080</t>
        </is>
      </c>
      <c r="P1461" s="398" t="n"/>
      <c r="Q1461" s="398" t="n"/>
      <c r="R1461" s="398" t="n"/>
      <c r="S1461" s="398" t="n"/>
      <c r="T1461" s="398" t="n"/>
      <c r="U1461" s="398" t="n"/>
      <c r="V1461" s="398" t="n"/>
      <c r="W1461" s="399" t="n"/>
      <c r="X1461" s="399" t="n"/>
      <c r="Y1461" s="399" t="n"/>
      <c r="Z1461" s="399" t="n"/>
      <c r="AA1461" s="399" t="n"/>
      <c r="AB1461" s="399" t="n"/>
      <c r="AC1461" s="399" t="n"/>
      <c r="AD1461" s="399" t="n"/>
      <c r="AE1461" s="399" t="n"/>
      <c r="AF1461" s="399" t="n"/>
      <c r="AG1461" s="399" t="n"/>
      <c r="AH1461" s="399" t="n"/>
      <c r="AI1461" s="399" t="n"/>
      <c r="AJ1461" s="399" t="n"/>
      <c r="AK1461" s="397" t="n"/>
      <c r="AL1461" s="399" t="n"/>
      <c r="AM1461" s="399" t="n"/>
      <c r="AN1461" s="399" t="n"/>
      <c r="AO1461" s="399" t="n"/>
      <c r="AP1461" s="400" t="n"/>
      <c r="AQ1461" s="400" t="n"/>
      <c r="AR1461" s="399" t="inlineStr">
        <is>
          <t>Nhóm 1</t>
        </is>
      </c>
      <c r="AS1461" s="399" t="n"/>
      <c r="AT1461" s="399" t="inlineStr">
        <is>
          <t>HM48</t>
        </is>
      </c>
      <c r="AU1461" s="399" t="inlineStr">
        <is>
          <t>MUCLUC</t>
        </is>
      </c>
      <c r="AV1461" s="399" t="n">
        <v>48</v>
      </c>
      <c r="AW1461" s="399" t="n">
        <v>1</v>
      </c>
      <c r="AX1461" s="399" t="n"/>
    </row>
    <row r="1462">
      <c r="A1462" s="56" t="inlineStr">
        <is>
          <t>BBK680</t>
        </is>
      </c>
      <c r="B1462" s="56" t="inlineStr">
        <is>
          <t>PYC</t>
        </is>
      </c>
      <c r="C1462" s="56" t="inlineStr">
        <is>
          <t>BBK680.0597979</t>
        </is>
      </c>
      <c r="D1462" s="57" t="n"/>
      <c r="E1462" s="57" t="n"/>
      <c r="F1462" s="57" t="n"/>
      <c r="G1462" s="57" t="n"/>
      <c r="H1462" s="57" t="n"/>
      <c r="J1462" s="108" t="inlineStr">
        <is>
          <t>03</t>
        </is>
      </c>
      <c r="K1462" s="108" t="inlineStr">
        <is>
          <t>PYC</t>
        </is>
      </c>
      <c r="L1462" s="109" t="inlineStr">
        <is>
          <t>phiếu yêu cầu</t>
        </is>
      </c>
      <c r="M1462" s="109" t="n"/>
      <c r="N1462" s="109" t="n"/>
      <c r="O1462" s="110" t="inlineStr">
        <is>
          <t>Cầu KM19+529.080</t>
        </is>
      </c>
      <c r="P1462" s="401" t="n"/>
      <c r="Q1462" s="401" t="n"/>
      <c r="R1462" s="401">
        <f>R1463</f>
        <v/>
      </c>
      <c r="S1462" s="401">
        <f>+R1462+1</f>
        <v/>
      </c>
      <c r="T1462" s="402">
        <f>T1463</f>
        <v/>
      </c>
      <c r="U1462" s="402">
        <f>U1463</f>
        <v/>
      </c>
      <c r="V1462" s="402">
        <f>V1463</f>
        <v/>
      </c>
      <c r="W1462" s="402">
        <f>W1463</f>
        <v/>
      </c>
      <c r="X1462" s="403" t="n"/>
      <c r="Y1462" s="403" t="n"/>
      <c r="Z1462" s="403" t="n"/>
      <c r="AA1462" s="113" t="n"/>
      <c r="AB1462" s="113" t="inlineStr">
        <is>
          <t>307HG/YCNT/TT/T2-Đ2/Đ1</t>
        </is>
      </c>
      <c r="AC1462" s="113" t="n"/>
      <c r="AD1462" s="113" t="n"/>
      <c r="AE1462" s="113" t="n"/>
      <c r="AF1462" s="113" t="n"/>
      <c r="AG1462" s="113" t="inlineStr">
        <is>
          <t>BBKTĐK;NTCV</t>
        </is>
      </c>
      <c r="AH1462" s="113" t="n">
        <v>1</v>
      </c>
      <c r="AI1462" s="403" t="n"/>
      <c r="AJ1462" s="403" t="n"/>
      <c r="AK1462" s="404" t="n"/>
      <c r="AL1462" s="403" t="n"/>
      <c r="AM1462" s="403" t="n"/>
      <c r="AN1462" s="403" t="n"/>
      <c r="AO1462" s="403" t="n"/>
      <c r="AP1462" s="115" t="n"/>
      <c r="AQ1462" s="115" t="n"/>
      <c r="AR1462" s="403" t="inlineStr">
        <is>
          <t>Nhóm 1</t>
        </is>
      </c>
      <c r="AS1462" s="403" t="n"/>
      <c r="AT1462" s="403" t="inlineStr">
        <is>
          <t>HM48</t>
        </is>
      </c>
      <c r="AU1462" s="403" t="inlineStr">
        <is>
          <t>PYC</t>
        </is>
      </c>
      <c r="AV1462" s="403" t="n">
        <v>70</v>
      </c>
      <c r="AW1462" s="403" t="n">
        <v>1</v>
      </c>
      <c r="AX1462" s="403" t="n"/>
    </row>
    <row r="1463" ht="28" customHeight="1" s="672">
      <c r="A1463" s="56" t="inlineStr">
        <is>
          <t>BBK884</t>
        </is>
      </c>
      <c r="B1463" s="56" t="inlineStr">
        <is>
          <t>BBKTĐK</t>
        </is>
      </c>
      <c r="C1463" s="56" t="inlineStr">
        <is>
          <t>BBK884.0035632</t>
        </is>
      </c>
      <c r="D1463" s="57" t="n"/>
      <c r="E1463" s="57" t="n"/>
      <c r="F1463" s="57" t="n"/>
      <c r="G1463" s="57" t="n"/>
      <c r="H1463" s="57" t="n"/>
      <c r="J1463" s="139" t="inlineStr">
        <is>
          <t>04</t>
        </is>
      </c>
      <c r="K1463" s="139" t="inlineStr">
        <is>
          <t>BBKTĐK</t>
        </is>
      </c>
      <c r="L1463" s="140" t="inlineStr">
        <is>
          <t>Kiểm tra điều kiện trước khi thi công thân trụ T2 đoạn 2 (đợt 1)</t>
        </is>
      </c>
      <c r="M1463" s="140" t="n"/>
      <c r="N1463" s="140" t="n"/>
      <c r="O1463" s="141" t="inlineStr">
        <is>
          <t>Cầu KM19+529.080</t>
        </is>
      </c>
      <c r="P1463" s="382">
        <f>+S1456+1</f>
        <v/>
      </c>
      <c r="Q1463" s="382">
        <f>P1463</f>
        <v/>
      </c>
      <c r="R1463" s="382">
        <f>Q1463-1</f>
        <v/>
      </c>
      <c r="S1463" s="382">
        <f>Q1463</f>
        <v/>
      </c>
      <c r="T1463" s="383" t="n">
        <v>0.3541666666666667</v>
      </c>
      <c r="U1463" s="383">
        <f>T1463+V1463</f>
        <v/>
      </c>
      <c r="V1463" s="383" t="n">
        <v>0.0625</v>
      </c>
      <c r="W1463" s="384">
        <f>TEXT(T1463,"HH""h""MM'")&amp;"÷"&amp;TEXT(U1463,"HH""h""MM'")</f>
        <v/>
      </c>
      <c r="X1463" s="384" t="n"/>
      <c r="Y1463" s="384" t="n"/>
      <c r="Z1463" s="384" t="inlineStr">
        <is>
          <t>01;</t>
        </is>
      </c>
      <c r="AA1463" s="144" t="inlineStr">
        <is>
          <t>Kiểm tra điều kiện trước khi thi công thân trụ T2 đoạn 2 (đợt 1)</t>
        </is>
      </c>
      <c r="AB1463" s="144" t="inlineStr">
        <is>
          <t>307HG/YCNT/TT/T2-Đ2/Đ1-1</t>
        </is>
      </c>
      <c r="AC1463" s="144" t="inlineStr">
        <is>
          <t>307HG/BBNT/TT/T2-Đ2/Đ1-1</t>
        </is>
      </c>
      <c r="AD1463" s="144" t="n"/>
      <c r="AE1463" s="144" t="n"/>
      <c r="AF1463" s="144" t="n"/>
      <c r="AG1463" s="144" t="n"/>
      <c r="AH1463" s="144" t="n"/>
      <c r="AI1463" s="384" t="n"/>
      <c r="AJ1463" s="384" t="n"/>
      <c r="AK1463" s="386" t="n"/>
      <c r="AL1463" s="384" t="n"/>
      <c r="AM1463" s="384" t="n"/>
      <c r="AN1463" s="384" t="n"/>
      <c r="AO1463" s="384" t="n"/>
      <c r="AP1463" s="146" t="n"/>
      <c r="AQ1463" s="146" t="n"/>
      <c r="AR1463" s="384" t="inlineStr">
        <is>
          <t>Nhóm 1</t>
        </is>
      </c>
      <c r="AS1463" s="384" t="n"/>
      <c r="AT1463" s="384" t="inlineStr">
        <is>
          <t>HM48</t>
        </is>
      </c>
      <c r="AU1463" s="384" t="inlineStr">
        <is>
          <t>BBKTĐK</t>
        </is>
      </c>
      <c r="AV1463" s="384" t="n">
        <v>35</v>
      </c>
      <c r="AW1463" s="384" t="n">
        <v>1</v>
      </c>
      <c r="AX1463" s="384" t="n"/>
    </row>
    <row r="1464">
      <c r="A1464" s="56" t="inlineStr">
        <is>
          <t>BBK860</t>
        </is>
      </c>
      <c r="B1464" s="56" t="inlineStr">
        <is>
          <t>PL01</t>
        </is>
      </c>
      <c r="C1464" s="56" t="inlineStr">
        <is>
          <t>BBK860.0346880</t>
        </is>
      </c>
      <c r="D1464" s="57" t="n"/>
      <c r="E1464" s="57" t="n"/>
      <c r="F1464" s="57" t="n"/>
      <c r="G1464" s="57" t="n"/>
      <c r="H1464" s="57" t="n"/>
      <c r="J1464" s="168" t="inlineStr">
        <is>
          <t>05</t>
        </is>
      </c>
      <c r="K1464" s="168" t="inlineStr">
        <is>
          <t>PL01</t>
        </is>
      </c>
      <c r="L1464" s="169" t="inlineStr">
        <is>
          <t>Phụ lục số 01</t>
        </is>
      </c>
      <c r="M1464" s="169" t="n"/>
      <c r="N1464" s="169" t="n"/>
      <c r="O1464" s="170" t="inlineStr">
        <is>
          <t>Cầu KM19+529.080</t>
        </is>
      </c>
      <c r="P1464" s="405" t="n"/>
      <c r="Q1464" s="405" t="n"/>
      <c r="R1464" s="405" t="n"/>
      <c r="S1464" s="405">
        <f>S1463</f>
        <v/>
      </c>
      <c r="T1464" s="405" t="n"/>
      <c r="U1464" s="405" t="n"/>
      <c r="V1464" s="405" t="n"/>
      <c r="W1464" s="406" t="n"/>
      <c r="X1464" s="406" t="n"/>
      <c r="Y1464" s="406" t="n"/>
      <c r="Z1464" s="168" t="n">
        <v>1</v>
      </c>
      <c r="AA1464" s="173" t="n"/>
      <c r="AB1464" s="173" t="n"/>
      <c r="AC1464" s="173" t="inlineStr">
        <is>
          <t>307HG/BBNT/TT/T2-Đ2/Đ1-1</t>
        </is>
      </c>
      <c r="AD1464" s="173" t="n"/>
      <c r="AE1464" s="173" t="n"/>
      <c r="AF1464" s="173" t="n"/>
      <c r="AG1464" s="173" t="n"/>
      <c r="AH1464" s="407" t="inlineStr">
        <is>
          <t>TT-T2-Đ2</t>
        </is>
      </c>
      <c r="AI1464" s="406" t="n"/>
      <c r="AJ1464" s="406" t="n"/>
      <c r="AK1464" s="408" t="n"/>
      <c r="AL1464" s="406" t="n"/>
      <c r="AM1464" s="406" t="n"/>
      <c r="AN1464" s="406" t="n"/>
      <c r="AO1464" s="406" t="n"/>
      <c r="AP1464" s="174" t="n"/>
      <c r="AQ1464" s="174" t="n"/>
      <c r="AR1464" s="406" t="inlineStr">
        <is>
          <t>Nhóm 1</t>
        </is>
      </c>
      <c r="AS1464" s="406" t="n"/>
      <c r="AT1464" s="406" t="inlineStr">
        <is>
          <t>HM48</t>
        </is>
      </c>
      <c r="AU1464" s="406" t="inlineStr">
        <is>
          <t>PL01</t>
        </is>
      </c>
      <c r="AV1464" s="406" t="n">
        <v>39</v>
      </c>
      <c r="AW1464" s="406" t="n">
        <v>1</v>
      </c>
      <c r="AX1464" s="406" t="n"/>
    </row>
    <row r="1465" ht="28" customHeight="1" s="672">
      <c r="A1465" s="56" t="inlineStr">
        <is>
          <t>NTCV</t>
        </is>
      </c>
      <c r="B1465" s="56" t="inlineStr">
        <is>
          <t>K.9999</t>
        </is>
      </c>
      <c r="C1465" s="56" t="inlineStr">
        <is>
          <t>NTCV.0728016</t>
        </is>
      </c>
      <c r="D1465" s="57" t="n"/>
      <c r="E1465" s="57" t="n"/>
      <c r="F1465" s="57" t="n"/>
      <c r="G1465" s="57" t="n"/>
      <c r="H1465" s="57" t="n"/>
      <c r="J1465" s="147" t="inlineStr">
        <is>
          <t>06</t>
        </is>
      </c>
      <c r="K1465" s="147" t="inlineStr">
        <is>
          <t>K.9999</t>
        </is>
      </c>
      <c r="L1465" s="148" t="inlineStr">
        <is>
          <t>Lắp dựng ván khuôn, thanh xuyên táo thân trụ T2 đoạn 2 (đợt 1)</t>
        </is>
      </c>
      <c r="M1465" s="148" t="n"/>
      <c r="N1465" s="148" t="n"/>
      <c r="O1465" s="149" t="inlineStr">
        <is>
          <t>Cầu KM19+529.080</t>
        </is>
      </c>
      <c r="P1465" s="415">
        <f>S1463+1</f>
        <v/>
      </c>
      <c r="Q1465" s="415">
        <f>P1465</f>
        <v/>
      </c>
      <c r="R1465" s="415">
        <f>Q1465-2</f>
        <v/>
      </c>
      <c r="S1465" s="415">
        <f>Q1465</f>
        <v/>
      </c>
      <c r="T1465" s="416" t="n">
        <v>0.375</v>
      </c>
      <c r="U1465" s="416">
        <f>+T1465+V1465</f>
        <v/>
      </c>
      <c r="V1465" s="416" t="n">
        <v>0.02083333333333333</v>
      </c>
      <c r="W1465" s="417">
        <f>TEXT(T1465,"HH""h""MM'")&amp;"÷"&amp;TEXT(U1465,"HH""h""MM'")</f>
        <v/>
      </c>
      <c r="X1465" s="417" t="n"/>
      <c r="Y1465" s="417" t="n"/>
      <c r="Z1465" s="417" t="inlineStr">
        <is>
          <t>02;</t>
        </is>
      </c>
      <c r="AA1465" s="150" t="inlineStr">
        <is>
          <t>Lắp dựng ván khuôn, thanh xuyên táo thân trụ T2 đoạn 2 (đợt 1)</t>
        </is>
      </c>
      <c r="AB1465" s="150" t="inlineStr">
        <is>
          <t>307HG/YCNT/TT/T2-Đ2/Đ1-1</t>
        </is>
      </c>
      <c r="AC1465" s="150" t="inlineStr">
        <is>
          <t>307HG/BBNT/TT/T2-Đ2/Đ1-2</t>
        </is>
      </c>
      <c r="AD1465" s="150" t="n"/>
      <c r="AE1465" s="150" t="n"/>
      <c r="AF1465" s="150" t="n"/>
      <c r="AG1465" s="150" t="n"/>
      <c r="AH1465" s="150" t="n"/>
      <c r="AI1465" s="417" t="n"/>
      <c r="AJ1465" s="417" t="n"/>
      <c r="AK1465" s="418" t="n"/>
      <c r="AL1465" s="417" t="n"/>
      <c r="AM1465" s="417" t="n"/>
      <c r="AN1465" s="417" t="n"/>
      <c r="AO1465" s="417" t="n"/>
      <c r="AP1465" s="151" t="n"/>
      <c r="AQ1465" s="151" t="n"/>
      <c r="AR1465" s="417" t="inlineStr">
        <is>
          <t>Nhóm 1</t>
        </is>
      </c>
      <c r="AS1465" s="417" t="n"/>
      <c r="AT1465" s="417" t="inlineStr">
        <is>
          <t>HM48</t>
        </is>
      </c>
      <c r="AU1465" s="417" t="inlineStr">
        <is>
          <t>NTCV</t>
        </is>
      </c>
      <c r="AV1465" s="417" t="n">
        <v>417</v>
      </c>
      <c r="AW1465" s="417" t="n">
        <v>1</v>
      </c>
      <c r="AX1465" s="417" t="n"/>
    </row>
    <row r="1466">
      <c r="A1466" s="56" t="inlineStr">
        <is>
          <t>BBK288</t>
        </is>
      </c>
      <c r="B1466" s="56" t="inlineStr">
        <is>
          <t>PL11.1</t>
        </is>
      </c>
      <c r="C1466" s="56" t="inlineStr">
        <is>
          <t>BBK288.0077468</t>
        </is>
      </c>
      <c r="D1466" s="57" t="n"/>
      <c r="E1466" s="57" t="n"/>
      <c r="F1466" s="57" t="n"/>
      <c r="G1466" s="57" t="n"/>
      <c r="H1466" s="57" t="n"/>
      <c r="J1466" s="108" t="inlineStr">
        <is>
          <t>07</t>
        </is>
      </c>
      <c r="K1466" s="108" t="inlineStr">
        <is>
          <t>PL11.1</t>
        </is>
      </c>
      <c r="L1466" s="109" t="inlineStr">
        <is>
          <t>Phụ lục số 11</t>
        </is>
      </c>
      <c r="M1466" s="109" t="n"/>
      <c r="N1466" s="109" t="n"/>
      <c r="O1466" s="110" t="inlineStr">
        <is>
          <t>Cầu KM19+529.080</t>
        </is>
      </c>
      <c r="P1466" s="401" t="n"/>
      <c r="Q1466" s="401" t="n"/>
      <c r="R1466" s="401" t="n"/>
      <c r="S1466" s="401">
        <f>S1465</f>
        <v/>
      </c>
      <c r="T1466" s="401" t="n"/>
      <c r="U1466" s="401" t="n"/>
      <c r="V1466" s="401" t="n"/>
      <c r="W1466" s="403" t="n"/>
      <c r="X1466" s="403" t="n"/>
      <c r="Y1466" s="403" t="n"/>
      <c r="Z1466" s="108" t="n">
        <v>2</v>
      </c>
      <c r="AA1466" s="113" t="n"/>
      <c r="AB1466" s="113" t="n"/>
      <c r="AC1466" s="113" t="inlineStr">
        <is>
          <t>307HG/BBNT/TT/T2-Đ2/Đ1-2</t>
        </is>
      </c>
      <c r="AD1466" s="113" t="n"/>
      <c r="AE1466" s="113" t="n"/>
      <c r="AF1466" s="113" t="n"/>
      <c r="AG1466" s="113" t="n"/>
      <c r="AH1466" s="114" t="inlineStr">
        <is>
          <t>TT-T2-Đ2-Đ1</t>
        </is>
      </c>
      <c r="AI1466" s="403" t="n"/>
      <c r="AJ1466" s="403" t="n"/>
      <c r="AK1466" s="404" t="n"/>
      <c r="AL1466" s="403" t="n"/>
      <c r="AM1466" s="403" t="n"/>
      <c r="AN1466" s="403" t="n"/>
      <c r="AO1466" s="403" t="n"/>
      <c r="AP1466" s="115" t="n"/>
      <c r="AQ1466" s="115" t="inlineStr">
        <is>
          <t>Ảnh\TT DD1 T1,T2.png</t>
        </is>
      </c>
      <c r="AR1466" s="403" t="inlineStr">
        <is>
          <t>Nhóm 1</t>
        </is>
      </c>
      <c r="AS1466" s="403" t="n"/>
      <c r="AT1466" s="403" t="inlineStr">
        <is>
          <t>HM48</t>
        </is>
      </c>
      <c r="AU1466" s="403" t="inlineStr">
        <is>
          <t>PL11.1</t>
        </is>
      </c>
      <c r="AV1466" s="403" t="n">
        <v>9</v>
      </c>
      <c r="AW1466" s="403" t="n">
        <v>1</v>
      </c>
      <c r="AX1466" s="403" t="n"/>
    </row>
    <row r="1467">
      <c r="A1467" s="56" t="inlineStr">
        <is>
          <t>BBK680</t>
        </is>
      </c>
      <c r="B1467" s="56" t="inlineStr">
        <is>
          <t>PYC</t>
        </is>
      </c>
      <c r="C1467" s="56" t="inlineStr">
        <is>
          <t>BBK680.0238035</t>
        </is>
      </c>
      <c r="D1467" s="57" t="n"/>
      <c r="E1467" s="57" t="n"/>
      <c r="F1467" s="57" t="n"/>
      <c r="G1467" s="57" t="n"/>
      <c r="H1467" s="57" t="n"/>
      <c r="J1467" s="168" t="inlineStr">
        <is>
          <t>08</t>
        </is>
      </c>
      <c r="K1467" s="168" t="inlineStr">
        <is>
          <t>PYC</t>
        </is>
      </c>
      <c r="L1467" s="169" t="inlineStr">
        <is>
          <t>phiếu yêu cầu</t>
        </is>
      </c>
      <c r="M1467" s="169" t="n"/>
      <c r="N1467" s="169" t="n"/>
      <c r="O1467" s="170" t="inlineStr">
        <is>
          <t>Cầu KM19+529.080</t>
        </is>
      </c>
      <c r="P1467" s="405" t="n"/>
      <c r="Q1467" s="405" t="n"/>
      <c r="R1467" s="401">
        <f>R1468</f>
        <v/>
      </c>
      <c r="S1467" s="405">
        <f>+R1467+1</f>
        <v/>
      </c>
      <c r="T1467" s="402">
        <f>T1468</f>
        <v/>
      </c>
      <c r="U1467" s="402">
        <f>U1468</f>
        <v/>
      </c>
      <c r="V1467" s="402">
        <f>V1468</f>
        <v/>
      </c>
      <c r="W1467" s="402">
        <f>W1468</f>
        <v/>
      </c>
      <c r="X1467" s="406" t="n"/>
      <c r="Y1467" s="406" t="n"/>
      <c r="Z1467" s="168" t="n">
        <v>2</v>
      </c>
      <c r="AA1467" s="173" t="n"/>
      <c r="AB1467" s="173" t="inlineStr">
        <is>
          <t>307HG/YCNT/TT/T2-Đ2/Đ1</t>
        </is>
      </c>
      <c r="AC1467" s="173" t="n"/>
      <c r="AD1467" s="173" t="n"/>
      <c r="AE1467" s="173" t="n"/>
      <c r="AF1467" s="173" t="n"/>
      <c r="AG1467" s="129" t="inlineStr">
        <is>
          <t>NTCV</t>
        </is>
      </c>
      <c r="AH1467" s="173" t="inlineStr">
        <is>
          <t>&gt;=2;&lt;=4</t>
        </is>
      </c>
      <c r="AI1467" s="406" t="n"/>
      <c r="AJ1467" s="406" t="n"/>
      <c r="AK1467" s="408" t="n"/>
      <c r="AL1467" s="406" t="n"/>
      <c r="AM1467" s="406" t="n"/>
      <c r="AN1467" s="406" t="n"/>
      <c r="AO1467" s="406" t="n"/>
      <c r="AP1467" s="174" t="n"/>
      <c r="AQ1467" s="174" t="n"/>
      <c r="AR1467" s="406" t="inlineStr">
        <is>
          <t>Nhóm 1</t>
        </is>
      </c>
      <c r="AS1467" s="406" t="n"/>
      <c r="AT1467" s="406" t="inlineStr">
        <is>
          <t>HM48</t>
        </is>
      </c>
      <c r="AU1467" s="406" t="inlineStr">
        <is>
          <t>PYC</t>
        </is>
      </c>
      <c r="AV1467" s="406" t="n">
        <v>77</v>
      </c>
      <c r="AW1467" s="406" t="n">
        <v>2</v>
      </c>
      <c r="AX1467" s="406" t="n"/>
    </row>
    <row r="1468" ht="28" customHeight="1" s="672">
      <c r="A1468" s="413" t="inlineStr">
        <is>
          <t>NTCV</t>
        </is>
      </c>
      <c r="B1468" s="413" t="inlineStr">
        <is>
          <t>K.9999</t>
        </is>
      </c>
      <c r="C1468" s="413" t="inlineStr">
        <is>
          <t>NTCV.0067063</t>
        </is>
      </c>
      <c r="D1468" s="414" t="n"/>
      <c r="E1468" s="414" t="n"/>
      <c r="F1468" s="414" t="n"/>
      <c r="G1468" s="414" t="n"/>
      <c r="H1468" s="414" t="n"/>
      <c r="J1468" s="147" t="inlineStr">
        <is>
          <t>09</t>
        </is>
      </c>
      <c r="K1468" s="147" t="inlineStr">
        <is>
          <t>K.9999</t>
        </is>
      </c>
      <c r="L1468" s="148" t="inlineStr">
        <is>
          <t>Kiểm tra cốt thép thân trụ T2 đoạn 2 (đợt 1)</t>
        </is>
      </c>
      <c r="M1468" s="148" t="n"/>
      <c r="N1468" s="148" t="n"/>
      <c r="O1468" s="149" t="inlineStr">
        <is>
          <t>Cầu KM19+529.080</t>
        </is>
      </c>
      <c r="P1468" s="415">
        <f>+S1465+1</f>
        <v/>
      </c>
      <c r="Q1468" s="415">
        <f>+P1468</f>
        <v/>
      </c>
      <c r="R1468" s="415">
        <f>+Q1468-1</f>
        <v/>
      </c>
      <c r="S1468" s="415">
        <f>+Q1468</f>
        <v/>
      </c>
      <c r="T1468" s="416" t="n">
        <v>0.375</v>
      </c>
      <c r="U1468" s="416">
        <f>+T1468+V1468</f>
        <v/>
      </c>
      <c r="V1468" s="416" t="n">
        <v>0.04166666666666666</v>
      </c>
      <c r="W1468" s="411">
        <f>TEXT(T1468,"HH""h""MM'")&amp;"÷"&amp;TEXT(U1468,"HH""h""MM'")</f>
        <v/>
      </c>
      <c r="X1468" s="417" t="n"/>
      <c r="Y1468" s="417" t="n"/>
      <c r="Z1468" s="417" t="inlineStr">
        <is>
          <t>03;</t>
        </is>
      </c>
      <c r="AA1468" s="150" t="inlineStr">
        <is>
          <t>Kiểm tra cốt thép thân trụ T2 đoạn 2 (đợt 1)</t>
        </is>
      </c>
      <c r="AB1468" s="150" t="inlineStr">
        <is>
          <t>307HG/YCNT/TT/T2-Đ2/Đ1-2</t>
        </is>
      </c>
      <c r="AC1468" s="150" t="inlineStr">
        <is>
          <t>307HG/BBNT/TT/T2-Đ2/Đ1-3</t>
        </is>
      </c>
      <c r="AD1468" s="150" t="n"/>
      <c r="AE1468" s="150" t="n"/>
      <c r="AF1468" s="150" t="n"/>
      <c r="AG1468" s="150" t="n"/>
      <c r="AH1468" s="150" t="n"/>
      <c r="AI1468" s="417" t="n"/>
      <c r="AJ1468" s="417" t="n"/>
      <c r="AK1468" s="418" t="n"/>
      <c r="AL1468" s="417" t="n"/>
      <c r="AM1468" s="417" t="n"/>
      <c r="AN1468" s="417" t="n"/>
      <c r="AO1468" s="417" t="n"/>
      <c r="AP1468" s="151" t="n"/>
      <c r="AQ1468" s="151" t="n"/>
      <c r="AR1468" s="417" t="inlineStr">
        <is>
          <t>Nhóm 1</t>
        </is>
      </c>
      <c r="AS1468" s="417" t="n"/>
      <c r="AT1468" s="417" t="inlineStr">
        <is>
          <t>HM48</t>
        </is>
      </c>
      <c r="AU1468" s="417" t="inlineStr">
        <is>
          <t>NTCV</t>
        </is>
      </c>
      <c r="AV1468" s="417" t="n">
        <v>421</v>
      </c>
      <c r="AW1468" s="417" t="n">
        <v>2</v>
      </c>
      <c r="AX1468" s="417" t="n"/>
    </row>
    <row r="1469">
      <c r="A1469" s="413" t="inlineStr">
        <is>
          <t>BBK469</t>
        </is>
      </c>
      <c r="B1469" s="413" t="inlineStr">
        <is>
          <t>PL08.1</t>
        </is>
      </c>
      <c r="C1469" s="413" t="inlineStr">
        <is>
          <t>BBK469.0835290</t>
        </is>
      </c>
      <c r="D1469" s="414" t="n"/>
      <c r="E1469" s="414" t="n"/>
      <c r="F1469" s="414" t="n"/>
      <c r="G1469" s="414" t="n"/>
      <c r="H1469" s="414" t="n"/>
      <c r="J1469" s="108" t="inlineStr">
        <is>
          <t>10</t>
        </is>
      </c>
      <c r="K1469" s="108" t="inlineStr">
        <is>
          <t>PL08.1</t>
        </is>
      </c>
      <c r="L1469" s="109">
        <f>L1468</f>
        <v/>
      </c>
      <c r="M1469" s="109" t="n"/>
      <c r="N1469" s="109" t="n"/>
      <c r="O1469" s="110" t="inlineStr">
        <is>
          <t>Cầu KM19+529.080</t>
        </is>
      </c>
      <c r="P1469" s="401" t="n"/>
      <c r="Q1469" s="401" t="n"/>
      <c r="R1469" s="401" t="n"/>
      <c r="S1469" s="401">
        <f>S1468</f>
        <v/>
      </c>
      <c r="T1469" s="401" t="n"/>
      <c r="U1469" s="401" t="n"/>
      <c r="V1469" s="401" t="n"/>
      <c r="W1469" s="403" t="n"/>
      <c r="X1469" s="403" t="n"/>
      <c r="Y1469" s="403" t="n"/>
      <c r="Z1469" s="108" t="n">
        <v>3</v>
      </c>
      <c r="AA1469" s="113" t="n"/>
      <c r="AB1469" s="113" t="n"/>
      <c r="AC1469" s="113" t="inlineStr">
        <is>
          <t>307HG/BBNT/TT/T2-Đ2/Đ1-3</t>
        </is>
      </c>
      <c r="AD1469" s="113" t="n"/>
      <c r="AE1469" s="113" t="n"/>
      <c r="AF1469" s="113" t="n"/>
      <c r="AG1469" s="113" t="n"/>
      <c r="AH1469" s="113" t="inlineStr">
        <is>
          <t>TT-T2-Đ2-Đ1</t>
        </is>
      </c>
      <c r="AI1469" s="403" t="n"/>
      <c r="AJ1469" s="403" t="n"/>
      <c r="AK1469" s="404" t="n"/>
      <c r="AL1469" s="403" t="n"/>
      <c r="AM1469" s="403" t="n"/>
      <c r="AN1469" s="403" t="n"/>
      <c r="AO1469" s="403" t="n"/>
      <c r="AP1469" s="115" t="n"/>
      <c r="AQ1469" s="115" t="n"/>
      <c r="AR1469" s="403" t="inlineStr">
        <is>
          <t>Nhóm 1</t>
        </is>
      </c>
      <c r="AS1469" s="403" t="n"/>
      <c r="AT1469" s="403" t="inlineStr">
        <is>
          <t>HM48</t>
        </is>
      </c>
      <c r="AU1469" s="403" t="inlineStr">
        <is>
          <t>PL08.1</t>
        </is>
      </c>
      <c r="AV1469" s="403" t="n">
        <v>9</v>
      </c>
      <c r="AW1469" s="403" t="n">
        <v>1</v>
      </c>
      <c r="AX1469" s="403" t="n"/>
    </row>
    <row r="1470" ht="28" customHeight="1" s="672">
      <c r="A1470" s="413" t="inlineStr">
        <is>
          <t>NTCV</t>
        </is>
      </c>
      <c r="B1470" s="413" t="inlineStr">
        <is>
          <t>K.9999</t>
        </is>
      </c>
      <c r="C1470" s="413" t="inlineStr">
        <is>
          <t>NTCV.0202178</t>
        </is>
      </c>
      <c r="D1470" s="414" t="n"/>
      <c r="E1470" s="414" t="n"/>
      <c r="F1470" s="414" t="n"/>
      <c r="G1470" s="414" t="n"/>
      <c r="H1470" s="414" t="n"/>
      <c r="J1470" s="131" t="inlineStr">
        <is>
          <t>11</t>
        </is>
      </c>
      <c r="K1470" s="131" t="inlineStr">
        <is>
          <t>K.9999</t>
        </is>
      </c>
      <c r="L1470" s="132" t="inlineStr">
        <is>
          <t>Công tác chuẩn bị đổ bê tông thân trụ T2 đoạn 2 (đợt 1)</t>
        </is>
      </c>
      <c r="M1470" s="132" t="n"/>
      <c r="N1470" s="132" t="n"/>
      <c r="O1470" s="133" t="inlineStr">
        <is>
          <t>Cầu KM19+529.080</t>
        </is>
      </c>
      <c r="P1470" s="419">
        <f>S1468</f>
        <v/>
      </c>
      <c r="Q1470" s="419">
        <f>P1470+1</f>
        <v/>
      </c>
      <c r="R1470" s="415">
        <f>+Q1470-2</f>
        <v/>
      </c>
      <c r="S1470" s="415">
        <f>+Q1470</f>
        <v/>
      </c>
      <c r="T1470" s="420" t="n">
        <v>0.3333333333333333</v>
      </c>
      <c r="U1470" s="420">
        <f>+T1470+V1470</f>
        <v/>
      </c>
      <c r="V1470" s="420" t="n">
        <v>0.02083333333333333</v>
      </c>
      <c r="W1470" s="417">
        <f>TEXT(T1470,"HH""h""MM'")&amp;"÷"&amp;TEXT(U1470,"HH""h""MM'")</f>
        <v/>
      </c>
      <c r="X1470" s="421" t="n"/>
      <c r="Y1470" s="421" t="n"/>
      <c r="Z1470" s="421" t="inlineStr">
        <is>
          <t>04;</t>
        </is>
      </c>
      <c r="AA1470" s="136" t="inlineStr">
        <is>
          <t>Công tác chuẩn bị đổ bê tông thân trụ T2 đoạn 2 (đợt 1)</t>
        </is>
      </c>
      <c r="AB1470" s="150" t="inlineStr">
        <is>
          <t>307HG/YCNT/TT/T2-Đ2/Đ1-2</t>
        </is>
      </c>
      <c r="AC1470" s="136" t="inlineStr">
        <is>
          <t>307HG/BBNT/TT/T2-Đ2/Đ1-4</t>
        </is>
      </c>
      <c r="AD1470" s="136" t="n"/>
      <c r="AE1470" s="136" t="n"/>
      <c r="AF1470" s="136" t="n"/>
      <c r="AG1470" s="136" t="n"/>
      <c r="AH1470" s="136" t="n"/>
      <c r="AI1470" s="421" t="n"/>
      <c r="AJ1470" s="421" t="n"/>
      <c r="AK1470" s="422" t="n"/>
      <c r="AL1470" s="421" t="n"/>
      <c r="AM1470" s="421" t="n"/>
      <c r="AN1470" s="421" t="n"/>
      <c r="AO1470" s="421" t="n"/>
      <c r="AP1470" s="138" t="n"/>
      <c r="AQ1470" s="138" t="n"/>
      <c r="AR1470" s="421" t="inlineStr">
        <is>
          <t>Nhóm 1</t>
        </is>
      </c>
      <c r="AS1470" s="421" t="n"/>
      <c r="AT1470" s="421" t="inlineStr">
        <is>
          <t>HM48</t>
        </is>
      </c>
      <c r="AU1470" s="421" t="inlineStr">
        <is>
          <t>NTCV</t>
        </is>
      </c>
      <c r="AV1470" s="421" t="n">
        <v>423</v>
      </c>
      <c r="AW1470" s="421" t="n">
        <v>3</v>
      </c>
      <c r="AX1470" s="421" t="n"/>
    </row>
    <row r="1471">
      <c r="A1471" s="413" t="inlineStr">
        <is>
          <t>BBK209</t>
        </is>
      </c>
      <c r="B1471" s="413" t="inlineStr">
        <is>
          <t>PL09</t>
        </is>
      </c>
      <c r="C1471" s="413" t="inlineStr">
        <is>
          <t>BBK209.0774305</t>
        </is>
      </c>
      <c r="D1471" s="414" t="n"/>
      <c r="E1471" s="414" t="n"/>
      <c r="F1471" s="414" t="n"/>
      <c r="G1471" s="414" t="n"/>
      <c r="H1471" s="414" t="n"/>
      <c r="J1471" s="124" t="inlineStr">
        <is>
          <t>12</t>
        </is>
      </c>
      <c r="K1471" s="124" t="inlineStr">
        <is>
          <t>PL09</t>
        </is>
      </c>
      <c r="L1471" s="125">
        <f>+L1470</f>
        <v/>
      </c>
      <c r="M1471" s="125" t="n"/>
      <c r="N1471" s="125" t="n"/>
      <c r="O1471" s="126" t="inlineStr">
        <is>
          <t>Cầu KM19+529.080</t>
        </is>
      </c>
      <c r="P1471" s="423" t="n"/>
      <c r="Q1471" s="423" t="n"/>
      <c r="R1471" s="423">
        <f>+R1472</f>
        <v/>
      </c>
      <c r="S1471" s="423">
        <f>+S1470</f>
        <v/>
      </c>
      <c r="T1471" s="424" t="n"/>
      <c r="U1471" s="424" t="n"/>
      <c r="V1471" s="424" t="n"/>
      <c r="W1471" s="425" t="n"/>
      <c r="X1471" s="425" t="n"/>
      <c r="Y1471" s="425" t="n"/>
      <c r="Z1471" s="124" t="n">
        <v>4</v>
      </c>
      <c r="AA1471" s="129" t="n"/>
      <c r="AB1471" s="129" t="n"/>
      <c r="AC1471" s="129">
        <f>+AC1470</f>
        <v/>
      </c>
      <c r="AD1471" s="129" t="n"/>
      <c r="AE1471" s="129" t="n"/>
      <c r="AF1471" s="129" t="n"/>
      <c r="AG1471" s="129" t="n"/>
      <c r="AH1471" s="129" t="inlineStr">
        <is>
          <t>C30</t>
        </is>
      </c>
      <c r="AI1471" s="425" t="n"/>
      <c r="AJ1471" s="425" t="n"/>
      <c r="AK1471" s="427" t="n"/>
      <c r="AL1471" s="425" t="n"/>
      <c r="AM1471" s="425" t="n"/>
      <c r="AN1471" s="425" t="n"/>
      <c r="AO1471" s="425" t="n"/>
      <c r="AP1471" s="130" t="n"/>
      <c r="AQ1471" s="130" t="n"/>
      <c r="AR1471" s="425" t="inlineStr">
        <is>
          <t>Nhóm 1</t>
        </is>
      </c>
      <c r="AS1471" s="425" t="n"/>
      <c r="AT1471" s="425" t="inlineStr">
        <is>
          <t>HM48</t>
        </is>
      </c>
      <c r="AU1471" s="425" t="inlineStr">
        <is>
          <t>PL09</t>
        </is>
      </c>
      <c r="AV1471" s="425" t="n">
        <v>35</v>
      </c>
      <c r="AW1471" s="425" t="n">
        <v>1</v>
      </c>
      <c r="AX1471" s="425" t="n"/>
    </row>
    <row r="1472" ht="28" customHeight="1" s="672">
      <c r="A1472" s="413" t="inlineStr">
        <is>
          <t>NTCV</t>
        </is>
      </c>
      <c r="B1472" s="413" t="inlineStr">
        <is>
          <t>K.9999</t>
        </is>
      </c>
      <c r="C1472" s="413" t="inlineStr">
        <is>
          <t>NTCV.0977053</t>
        </is>
      </c>
      <c r="D1472" s="414" t="n"/>
      <c r="E1472" s="414" t="n"/>
      <c r="F1472" s="414" t="n"/>
      <c r="G1472" s="414" t="n"/>
      <c r="H1472" s="414" t="n"/>
      <c r="J1472" s="161" t="inlineStr">
        <is>
          <t>13</t>
        </is>
      </c>
      <c r="K1472" s="161" t="inlineStr">
        <is>
          <t>K.9999</t>
        </is>
      </c>
      <c r="L1472" s="162" t="inlineStr">
        <is>
          <t>Công tác đổ, lấy mẫu bê tông thân trụ T2 đoạn 2 (đợt 1)</t>
        </is>
      </c>
      <c r="M1472" s="162" t="n"/>
      <c r="N1472" s="162" t="n"/>
      <c r="O1472" s="163" t="inlineStr">
        <is>
          <t>Cầu KM19+529.080</t>
        </is>
      </c>
      <c r="P1472" s="409">
        <f>+S1470</f>
        <v/>
      </c>
      <c r="Q1472" s="409">
        <f>+P1472</f>
        <v/>
      </c>
      <c r="R1472" s="409">
        <f>+Q1472-1</f>
        <v/>
      </c>
      <c r="S1472" s="409">
        <f>+Q1472</f>
        <v/>
      </c>
      <c r="T1472" s="410" t="n">
        <v>0.375</v>
      </c>
      <c r="U1472" s="410">
        <f>+T1472+V1472</f>
        <v/>
      </c>
      <c r="V1472" s="410" t="n">
        <v>0.125</v>
      </c>
      <c r="W1472" s="417">
        <f>TEXT(T1472,"HH""h""MM'")&amp;"÷"&amp;TEXT(U1472,"HH""h""MM'")</f>
        <v/>
      </c>
      <c r="X1472" s="411" t="n"/>
      <c r="Y1472" s="411" t="n"/>
      <c r="Z1472" s="161" t="inlineStr">
        <is>
          <t>05;</t>
        </is>
      </c>
      <c r="AA1472" s="166" t="inlineStr">
        <is>
          <t>Công tác đổ bê tông, lấy mẫu bê tông thân trụ T2 đoạn 2 (đợt 1)</t>
        </is>
      </c>
      <c r="AB1472" s="166" t="n"/>
      <c r="AC1472" s="166" t="inlineStr">
        <is>
          <t>307HG/BBNT/TT/T2-Đ2/Đ1-5</t>
        </is>
      </c>
      <c r="AD1472" s="166" t="n"/>
      <c r="AE1472" s="166" t="n"/>
      <c r="AF1472" s="166" t="n"/>
      <c r="AG1472" s="166" t="n"/>
      <c r="AH1472" s="166" t="n"/>
      <c r="AI1472" s="411" t="n"/>
      <c r="AJ1472" s="411" t="n"/>
      <c r="AK1472" s="412" t="n"/>
      <c r="AL1472" s="411" t="n"/>
      <c r="AM1472" s="411" t="n"/>
      <c r="AN1472" s="411" t="n"/>
      <c r="AO1472" s="411" t="n"/>
      <c r="AP1472" s="167" t="n"/>
      <c r="AQ1472" s="167" t="n"/>
      <c r="AR1472" s="411" t="inlineStr">
        <is>
          <t>Nhóm 1</t>
        </is>
      </c>
      <c r="AS1472" s="411" t="n"/>
      <c r="AT1472" s="411" t="inlineStr">
        <is>
          <t>HM48</t>
        </is>
      </c>
      <c r="AU1472" s="411" t="inlineStr">
        <is>
          <t>NTCV</t>
        </is>
      </c>
      <c r="AV1472" s="411" t="n">
        <v>426</v>
      </c>
      <c r="AW1472" s="411" t="n">
        <v>4</v>
      </c>
      <c r="AX1472" s="411" t="n"/>
    </row>
    <row r="1473" ht="28" customHeight="1" s="672">
      <c r="A1473" s="413" t="inlineStr">
        <is>
          <t>BBK832</t>
        </is>
      </c>
      <c r="B1473" s="413" t="inlineStr">
        <is>
          <t>PL06.1</t>
        </is>
      </c>
      <c r="C1473" s="413" t="inlineStr">
        <is>
          <t>BBK832.0798922</t>
        </is>
      </c>
      <c r="D1473" s="414" t="n"/>
      <c r="E1473" s="414" t="n"/>
      <c r="F1473" s="414" t="n"/>
      <c r="G1473" s="414" t="n"/>
      <c r="H1473" s="414" t="n"/>
      <c r="J1473" s="168" t="inlineStr">
        <is>
          <t>14</t>
        </is>
      </c>
      <c r="K1473" s="168" t="inlineStr">
        <is>
          <t>PL06.1</t>
        </is>
      </c>
      <c r="L1473" s="169">
        <f>+L1472</f>
        <v/>
      </c>
      <c r="M1473" s="169" t="n"/>
      <c r="N1473" s="169" t="n"/>
      <c r="O1473" s="170" t="inlineStr">
        <is>
          <t>Cầu KM19+529.080</t>
        </is>
      </c>
      <c r="P1473" s="405" t="n"/>
      <c r="Q1473" s="405" t="n"/>
      <c r="R1473" s="405" t="n"/>
      <c r="S1473" s="405">
        <f>+S1472</f>
        <v/>
      </c>
      <c r="T1473" s="428">
        <f>+T1472</f>
        <v/>
      </c>
      <c r="U1473" s="428">
        <f>T1473+V1473</f>
        <v/>
      </c>
      <c r="V1473" s="428">
        <f>+V1472</f>
        <v/>
      </c>
      <c r="W1473" s="406" t="n"/>
      <c r="X1473" s="406" t="n"/>
      <c r="Y1473" s="406" t="n"/>
      <c r="Z1473" s="168" t="n">
        <v>5</v>
      </c>
      <c r="AA1473" s="173" t="n"/>
      <c r="AB1473" s="173" t="n"/>
      <c r="AC1473" s="173">
        <f>+AC1472</f>
        <v/>
      </c>
      <c r="AD1473" s="173" t="n"/>
      <c r="AE1473" s="173" t="n"/>
      <c r="AF1473" s="173" t="n"/>
      <c r="AG1473" s="173" t="n"/>
      <c r="AH1473" s="407" t="inlineStr">
        <is>
          <t>C30-TT-T2-Đ2-Đ1</t>
        </is>
      </c>
      <c r="AI1473" s="406" t="n"/>
      <c r="AJ1473" s="406" t="n"/>
      <c r="AK1473" s="408" t="n"/>
      <c r="AL1473" s="406" t="n"/>
      <c r="AM1473" s="406" t="n"/>
      <c r="AN1473" s="406" t="n"/>
      <c r="AO1473" s="406" t="n"/>
      <c r="AP1473" s="174" t="n"/>
      <c r="AQ1473" s="174" t="n"/>
      <c r="AR1473" s="406" t="inlineStr">
        <is>
          <t>Nhóm 1</t>
        </is>
      </c>
      <c r="AS1473" s="406" t="n"/>
      <c r="AT1473" s="406" t="inlineStr">
        <is>
          <t>HM48</t>
        </is>
      </c>
      <c r="AU1473" s="406" t="inlineStr">
        <is>
          <t>PL06.1</t>
        </is>
      </c>
      <c r="AV1473" s="406" t="n">
        <v>10</v>
      </c>
      <c r="AW1473" s="406" t="n">
        <v>1</v>
      </c>
      <c r="AX1473" s="406" t="n"/>
    </row>
    <row r="1474">
      <c r="A1474" s="413" t="inlineStr">
        <is>
          <t>LMHT</t>
        </is>
      </c>
      <c r="B1474" s="413" t="inlineStr">
        <is>
          <t>LMHT</t>
        </is>
      </c>
      <c r="C1474" s="413" t="inlineStr">
        <is>
          <t>LMHT.0480472</t>
        </is>
      </c>
      <c r="D1474" s="414" t="inlineStr">
        <is>
          <t>TC.000041|TC.000182|TC.000169.A</t>
        </is>
      </c>
      <c r="E1474" s="414" t="n"/>
      <c r="F1474" s="414" t="inlineStr">
        <is>
          <t>CP.0001^Bê tông thân trụ T2 đoạn 2 (đợt 1)^Hình trụ 15x30 (cm)^18^C30 (30Mpa)^^^TC.000041|TC.000182|TC.000169.A</t>
        </is>
      </c>
      <c r="G1474" s="414" t="n"/>
      <c r="H1474" s="414" t="n"/>
      <c r="J1474" s="175" t="inlineStr">
        <is>
          <t>15</t>
        </is>
      </c>
      <c r="K1474" s="175" t="inlineStr">
        <is>
          <t>LMHT</t>
        </is>
      </c>
      <c r="L1474" s="176" t="inlineStr">
        <is>
          <t>Bê tông thân trụ T2 đoạn 2 (đợt 1)</t>
        </is>
      </c>
      <c r="M1474" s="176" t="n"/>
      <c r="N1474" s="176" t="n"/>
      <c r="O1474" s="177" t="inlineStr">
        <is>
          <t>Cầu KM19+529.080</t>
        </is>
      </c>
      <c r="P1474" s="299" t="n"/>
      <c r="Q1474" s="299" t="n"/>
      <c r="R1474" s="299" t="n"/>
      <c r="S1474" s="299">
        <f>S1470</f>
        <v/>
      </c>
      <c r="T1474" s="300">
        <f>T1473</f>
        <v/>
      </c>
      <c r="U1474" s="300">
        <f>U1473</f>
        <v/>
      </c>
      <c r="V1474" s="300">
        <f>V1473</f>
        <v/>
      </c>
      <c r="W1474" s="301" t="n"/>
      <c r="X1474" s="301" t="n"/>
      <c r="Y1474" s="301" t="n"/>
      <c r="Z1474" s="301" t="n"/>
      <c r="AA1474" s="180" t="n"/>
      <c r="AB1474" s="180" t="n"/>
      <c r="AC1474" s="180" t="n"/>
      <c r="AD1474" s="180" t="n"/>
      <c r="AE1474" s="180" t="n"/>
      <c r="AF1474" s="180" t="n"/>
      <c r="AG1474" s="180" t="n"/>
      <c r="AH1474" s="180" t="n"/>
      <c r="AI1474" s="301" t="n"/>
      <c r="AJ1474" s="301" t="n"/>
      <c r="AK1474" s="303" t="n"/>
      <c r="AL1474" s="301" t="n"/>
      <c r="AM1474" s="301" t="n"/>
      <c r="AN1474" s="301" t="n"/>
      <c r="AO1474" s="301" t="n"/>
      <c r="AP1474" s="181" t="n"/>
      <c r="AQ1474" s="181" t="n"/>
      <c r="AR1474" s="301" t="inlineStr">
        <is>
          <t>Nhóm 1</t>
        </is>
      </c>
      <c r="AS1474" s="301" t="n"/>
      <c r="AT1474" s="301" t="inlineStr">
        <is>
          <t>HM48</t>
        </is>
      </c>
      <c r="AU1474" s="301" t="inlineStr">
        <is>
          <t>LMHT</t>
        </is>
      </c>
      <c r="AV1474" s="301" t="n">
        <v>46</v>
      </c>
      <c r="AW1474" s="301" t="n">
        <v>1</v>
      </c>
      <c r="AX1474" s="301" t="n"/>
    </row>
    <row r="1475">
      <c r="A1475" s="413" t="inlineStr">
        <is>
          <t>BBK680</t>
        </is>
      </c>
      <c r="B1475" s="413" t="inlineStr">
        <is>
          <t>PYC</t>
        </is>
      </c>
      <c r="C1475" s="413" t="inlineStr">
        <is>
          <t>BBK680.0681855</t>
        </is>
      </c>
      <c r="D1475" s="414" t="n"/>
      <c r="E1475" s="414" t="n"/>
      <c r="F1475" s="414" t="n"/>
      <c r="G1475" s="414" t="n"/>
      <c r="H1475" s="414" t="n"/>
      <c r="J1475" s="168" t="inlineStr">
        <is>
          <t>16</t>
        </is>
      </c>
      <c r="K1475" s="168" t="inlineStr">
        <is>
          <t>PYC</t>
        </is>
      </c>
      <c r="L1475" s="169" t="inlineStr">
        <is>
          <t>phiếu yêu cầu</t>
        </is>
      </c>
      <c r="M1475" s="169" t="n"/>
      <c r="N1475" s="169" t="n"/>
      <c r="O1475" s="170" t="inlineStr">
        <is>
          <t>Cầu KM19+529.080</t>
        </is>
      </c>
      <c r="P1475" s="405" t="n"/>
      <c r="Q1475" s="405" t="n"/>
      <c r="R1475" s="401">
        <f>+R1476</f>
        <v/>
      </c>
      <c r="S1475" s="405">
        <f>R1475+1</f>
        <v/>
      </c>
      <c r="T1475" s="405" t="n"/>
      <c r="U1475" s="405" t="n"/>
      <c r="V1475" s="405" t="n"/>
      <c r="W1475" s="406" t="n"/>
      <c r="X1475" s="406" t="n"/>
      <c r="Y1475" s="406" t="n"/>
      <c r="Z1475" s="406" t="n"/>
      <c r="AA1475" s="173" t="n"/>
      <c r="AB1475" s="173" t="inlineStr">
        <is>
          <t>307HG/YCNT/TT/T2-Đ2/Đ1</t>
        </is>
      </c>
      <c r="AC1475" s="173" t="n"/>
      <c r="AD1475" s="173" t="n"/>
      <c r="AE1475" s="173" t="n"/>
      <c r="AF1475" s="173" t="n"/>
      <c r="AG1475" s="129" t="inlineStr">
        <is>
          <t>NTCV</t>
        </is>
      </c>
      <c r="AH1475" s="173" t="n">
        <v>5</v>
      </c>
      <c r="AI1475" s="406" t="n"/>
      <c r="AJ1475" s="406" t="n"/>
      <c r="AK1475" s="408" t="n"/>
      <c r="AL1475" s="406" t="n"/>
      <c r="AM1475" s="406" t="n"/>
      <c r="AN1475" s="406" t="n"/>
      <c r="AO1475" s="406" t="n"/>
      <c r="AP1475" s="174" t="n"/>
      <c r="AQ1475" s="174" t="n"/>
      <c r="AR1475" s="406" t="inlineStr">
        <is>
          <t>Nhóm 1</t>
        </is>
      </c>
      <c r="AS1475" s="406" t="n"/>
      <c r="AT1475" s="406" t="inlineStr">
        <is>
          <t>HM48</t>
        </is>
      </c>
      <c r="AU1475" s="406" t="inlineStr">
        <is>
          <t>PYC</t>
        </is>
      </c>
      <c r="AV1475" s="406" t="n">
        <v>85</v>
      </c>
      <c r="AW1475" s="406" t="n">
        <v>3</v>
      </c>
      <c r="AX1475" s="406" t="n"/>
    </row>
    <row r="1476">
      <c r="A1476" s="413" t="inlineStr">
        <is>
          <t>NTCV</t>
        </is>
      </c>
      <c r="B1476" s="413" t="inlineStr">
        <is>
          <t>K.9999</t>
        </is>
      </c>
      <c r="C1476" s="413" t="inlineStr">
        <is>
          <t>NTCV.0277108</t>
        </is>
      </c>
      <c r="D1476" s="414" t="n"/>
      <c r="E1476" s="414" t="n"/>
      <c r="F1476" s="414" t="n"/>
      <c r="G1476" s="414" t="n"/>
      <c r="H1476" s="414" t="n"/>
      <c r="J1476" s="147" t="inlineStr">
        <is>
          <t>17</t>
        </is>
      </c>
      <c r="K1476" s="147" t="inlineStr">
        <is>
          <t>K.9999</t>
        </is>
      </c>
      <c r="L1476" s="148" t="inlineStr">
        <is>
          <t>Tháo ván khuôn thân trụ T2 đoạn 2 (đợt 1)</t>
        </is>
      </c>
      <c r="M1476" s="148" t="n"/>
      <c r="N1476" s="148" t="n"/>
      <c r="O1476" s="149" t="inlineStr">
        <is>
          <t>Cầu KM19+529.080</t>
        </is>
      </c>
      <c r="P1476" s="415">
        <f>S1474</f>
        <v/>
      </c>
      <c r="Q1476" s="415">
        <f>+P1476+3</f>
        <v/>
      </c>
      <c r="R1476" s="415">
        <f>Q1476-1</f>
        <v/>
      </c>
      <c r="S1476" s="415">
        <f>Q1476</f>
        <v/>
      </c>
      <c r="T1476" s="416" t="n">
        <v>0.3541666666666667</v>
      </c>
      <c r="U1476" s="416">
        <f>+T1476+V1476</f>
        <v/>
      </c>
      <c r="V1476" s="416" t="n">
        <v>0.01388888888888889</v>
      </c>
      <c r="W1476" s="411">
        <f>TEXT(T1476,"HH""h""MM'")&amp;"÷"&amp;TEXT(U1476,"HH""h""MM'")</f>
        <v/>
      </c>
      <c r="X1476" s="417" t="n"/>
      <c r="Y1476" s="417" t="n"/>
      <c r="Z1476" s="417" t="inlineStr">
        <is>
          <t>06;</t>
        </is>
      </c>
      <c r="AA1476" s="150" t="inlineStr">
        <is>
          <t>Kiểm tra ván khuôn Bệ trụ T2 đoạn 2</t>
        </is>
      </c>
      <c r="AB1476" s="150" t="inlineStr">
        <is>
          <t>307HG/YCNT/TT/T2-Đ2/Đ1-3</t>
        </is>
      </c>
      <c r="AC1476" s="150" t="inlineStr">
        <is>
          <t>307HG/BBNT/TT/T2-Đ2/Đ1-5</t>
        </is>
      </c>
      <c r="AD1476" s="150" t="n"/>
      <c r="AE1476" s="150" t="n"/>
      <c r="AF1476" s="150" t="n"/>
      <c r="AG1476" s="150" t="n"/>
      <c r="AH1476" s="150" t="n"/>
      <c r="AI1476" s="417" t="n"/>
      <c r="AJ1476" s="417" t="n"/>
      <c r="AK1476" s="418" t="n"/>
      <c r="AL1476" s="417" t="n"/>
      <c r="AM1476" s="417" t="n"/>
      <c r="AN1476" s="417" t="n"/>
      <c r="AO1476" s="417" t="n"/>
      <c r="AP1476" s="151" t="n"/>
      <c r="AQ1476" s="151" t="n"/>
      <c r="AR1476" s="417" t="inlineStr">
        <is>
          <t>Nhóm 1</t>
        </is>
      </c>
      <c r="AS1476" s="417" t="n"/>
      <c r="AT1476" s="417" t="inlineStr">
        <is>
          <t>HM48</t>
        </is>
      </c>
      <c r="AU1476" s="417" t="inlineStr">
        <is>
          <t>NTCV</t>
        </is>
      </c>
      <c r="AV1476" s="417" t="n">
        <v>432</v>
      </c>
      <c r="AW1476" s="417" t="n">
        <v>5</v>
      </c>
      <c r="AX1476" s="417" t="n"/>
    </row>
    <row r="1477">
      <c r="A1477" s="413" t="inlineStr">
        <is>
          <t>BBK587</t>
        </is>
      </c>
      <c r="B1477" s="413" t="inlineStr">
        <is>
          <t>PL07.02</t>
        </is>
      </c>
      <c r="C1477" s="413" t="inlineStr">
        <is>
          <t>BBK587.0080642</t>
        </is>
      </c>
      <c r="D1477" s="414" t="n"/>
      <c r="E1477" s="414" t="n"/>
      <c r="F1477" s="414" t="n"/>
      <c r="G1477" s="414" t="n"/>
      <c r="H1477" s="414" t="n"/>
      <c r="J1477" s="108" t="inlineStr">
        <is>
          <t>18</t>
        </is>
      </c>
      <c r="K1477" s="108" t="inlineStr">
        <is>
          <t>PL07.02</t>
        </is>
      </c>
      <c r="L1477" s="109">
        <f>+L1476</f>
        <v/>
      </c>
      <c r="M1477" s="109" t="n"/>
      <c r="N1477" s="109" t="n"/>
      <c r="O1477" s="110" t="inlineStr">
        <is>
          <t>Cầu KM19+529.080</t>
        </is>
      </c>
      <c r="P1477" s="401" t="n"/>
      <c r="Q1477" s="401" t="n"/>
      <c r="R1477" s="401" t="n"/>
      <c r="S1477" s="401">
        <f>S1476</f>
        <v/>
      </c>
      <c r="T1477" s="401" t="n"/>
      <c r="U1477" s="401" t="n"/>
      <c r="V1477" s="401" t="n"/>
      <c r="W1477" s="403" t="n"/>
      <c r="X1477" s="403" t="n"/>
      <c r="Y1477" s="403" t="n"/>
      <c r="Z1477" s="108" t="n">
        <v>6</v>
      </c>
      <c r="AA1477" s="113" t="n"/>
      <c r="AB1477" s="113" t="n"/>
      <c r="AC1477" s="113" t="inlineStr">
        <is>
          <t>307HG/BBNT/TT/T2-Đ2/Đ1-5</t>
        </is>
      </c>
      <c r="AD1477" s="113" t="n"/>
      <c r="AE1477" s="113" t="n"/>
      <c r="AF1477" s="113" t="n"/>
      <c r="AG1477" s="113" t="n"/>
      <c r="AH1477" s="114" t="inlineStr">
        <is>
          <t>TT-T2-Đ2-Đ1</t>
        </is>
      </c>
      <c r="AI1477" s="403" t="n"/>
      <c r="AJ1477" s="403" t="n"/>
      <c r="AK1477" s="404" t="n"/>
      <c r="AL1477" s="403" t="n"/>
      <c r="AM1477" s="403" t="n"/>
      <c r="AN1477" s="403" t="n"/>
      <c r="AO1477" s="403" t="n"/>
      <c r="AP1477" s="115" t="n"/>
      <c r="AQ1477" s="115" t="inlineStr">
        <is>
          <t>Ảnh\TT DD1 T1,T2.png</t>
        </is>
      </c>
      <c r="AR1477" s="403" t="inlineStr">
        <is>
          <t>Nhóm 1</t>
        </is>
      </c>
      <c r="AS1477" s="403" t="n"/>
      <c r="AT1477" s="403" t="inlineStr">
        <is>
          <t>HM48</t>
        </is>
      </c>
      <c r="AU1477" s="403" t="inlineStr">
        <is>
          <t>PL07.02</t>
        </is>
      </c>
      <c r="AV1477" s="403" t="n">
        <v>6</v>
      </c>
      <c r="AW1477" s="403" t="n">
        <v>1</v>
      </c>
      <c r="AX1477" s="403" t="n"/>
    </row>
    <row r="1478" ht="28" customHeight="1" s="672">
      <c r="A1478" s="413" t="inlineStr">
        <is>
          <t>BBK680</t>
        </is>
      </c>
      <c r="B1478" s="413" t="inlineStr">
        <is>
          <t>PYC</t>
        </is>
      </c>
      <c r="C1478" s="413" t="inlineStr">
        <is>
          <t>BBK680.0339656</t>
        </is>
      </c>
      <c r="D1478" s="414" t="n"/>
      <c r="E1478" s="414" t="n"/>
      <c r="F1478" s="414" t="n"/>
      <c r="G1478" s="414" t="n"/>
      <c r="H1478" s="414" t="n"/>
      <c r="J1478" s="168" t="inlineStr">
        <is>
          <t>19</t>
        </is>
      </c>
      <c r="K1478" s="168" t="inlineStr">
        <is>
          <t>PYC</t>
        </is>
      </c>
      <c r="L1478" s="169" t="inlineStr">
        <is>
          <t>phiếu yêu cầu</t>
        </is>
      </c>
      <c r="M1478" s="169" t="n"/>
      <c r="N1478" s="169" t="n"/>
      <c r="O1478" s="170" t="inlineStr">
        <is>
          <t>Cầu KM19+529.080</t>
        </is>
      </c>
      <c r="P1478" s="405" t="n"/>
      <c r="Q1478" s="405" t="n"/>
      <c r="R1478" s="405">
        <f>S1478-1</f>
        <v/>
      </c>
      <c r="S1478" s="405">
        <f>S1474+7</f>
        <v/>
      </c>
      <c r="T1478" s="428" t="n">
        <v>0.3333333333333333</v>
      </c>
      <c r="U1478" s="428">
        <f>+T1478+V1478</f>
        <v/>
      </c>
      <c r="V1478" s="428" t="n">
        <v>0.02083333333333333</v>
      </c>
      <c r="W1478" s="406" t="n"/>
      <c r="X1478" s="406" t="n"/>
      <c r="Y1478" s="406" t="n"/>
      <c r="Z1478" s="406" t="n"/>
      <c r="AA1478" s="173" t="inlineStr">
        <is>
          <t>Theo dõi nén mẫu R7 bê tông thân trụ T2 đoạn 2 (đợt 1)</t>
        </is>
      </c>
      <c r="AB1478" s="173" t="inlineStr">
        <is>
          <t>307HG/YCNT/TT/T2-Đ2/Đ1-R7</t>
        </is>
      </c>
      <c r="AC1478" s="173" t="n"/>
      <c r="AD1478" s="173" t="n"/>
      <c r="AE1478" s="173" t="n"/>
      <c r="AF1478" s="173" t="n"/>
      <c r="AG1478" s="173" t="inlineStr">
        <is>
          <t>PYC</t>
        </is>
      </c>
      <c r="AH1478" s="173" t="n">
        <v>4</v>
      </c>
      <c r="AI1478" s="406" t="n"/>
      <c r="AJ1478" s="406" t="n"/>
      <c r="AK1478" s="408" t="n"/>
      <c r="AL1478" s="406" t="n"/>
      <c r="AM1478" s="406" t="n"/>
      <c r="AN1478" s="406" t="n"/>
      <c r="AO1478" s="406" t="n"/>
      <c r="AP1478" s="174" t="n"/>
      <c r="AQ1478" s="174" t="n"/>
      <c r="AR1478" s="406" t="inlineStr">
        <is>
          <t>Nhóm 1</t>
        </is>
      </c>
      <c r="AS1478" s="406" t="n"/>
      <c r="AT1478" s="406" t="inlineStr">
        <is>
          <t>HM48</t>
        </is>
      </c>
      <c r="AU1478" s="406" t="inlineStr">
        <is>
          <t>PYC</t>
        </is>
      </c>
      <c r="AV1478" s="406" t="n">
        <v>96</v>
      </c>
      <c r="AW1478" s="406" t="n">
        <v>4</v>
      </c>
      <c r="AX1478" s="406" t="n"/>
    </row>
    <row r="1479" ht="28" customHeight="1" s="672">
      <c r="A1479" s="413" t="inlineStr">
        <is>
          <t>BBK680</t>
        </is>
      </c>
      <c r="B1479" s="413" t="inlineStr">
        <is>
          <t>PYC</t>
        </is>
      </c>
      <c r="C1479" s="413" t="inlineStr">
        <is>
          <t>BBK680.0241264</t>
        </is>
      </c>
      <c r="D1479" s="414" t="n"/>
      <c r="E1479" s="414" t="n"/>
      <c r="F1479" s="414" t="n"/>
      <c r="G1479" s="414" t="n"/>
      <c r="H1479" s="414" t="n"/>
      <c r="J1479" s="124" t="inlineStr">
        <is>
          <t>20</t>
        </is>
      </c>
      <c r="K1479" s="124" t="inlineStr">
        <is>
          <t>PYC</t>
        </is>
      </c>
      <c r="L1479" s="125" t="inlineStr">
        <is>
          <t>phiếu yêu cầu</t>
        </is>
      </c>
      <c r="M1479" s="125" t="n"/>
      <c r="N1479" s="125" t="n"/>
      <c r="O1479" s="126" t="inlineStr">
        <is>
          <t>Cầu KM19+529.080</t>
        </is>
      </c>
      <c r="P1479" s="423" t="n"/>
      <c r="Q1479" s="423" t="n"/>
      <c r="R1479" s="423">
        <f>S1479-1</f>
        <v/>
      </c>
      <c r="S1479" s="423">
        <f>S1474+28</f>
        <v/>
      </c>
      <c r="T1479" s="424" t="n">
        <v>0.3541666666666667</v>
      </c>
      <c r="U1479" s="424">
        <f>+T1479+V1479</f>
        <v/>
      </c>
      <c r="V1479" s="424" t="n">
        <v>0.02083333333333333</v>
      </c>
      <c r="W1479" s="425" t="n"/>
      <c r="X1479" s="425" t="n"/>
      <c r="Y1479" s="425" t="n"/>
      <c r="Z1479" s="425" t="n"/>
      <c r="AA1479" s="129" t="inlineStr">
        <is>
          <t>Theo dõi nén mẫu R28 bê tông thân trụ T2 đoạn 2 (đợt 1)</t>
        </is>
      </c>
      <c r="AB1479" s="129" t="inlineStr">
        <is>
          <t>307HG/YCNT/TT/T2-Đ2/Đ1-R28</t>
        </is>
      </c>
      <c r="AC1479" s="129" t="n"/>
      <c r="AD1479" s="129" t="n"/>
      <c r="AE1479" s="129" t="n"/>
      <c r="AF1479" s="129" t="n"/>
      <c r="AG1479" s="129" t="inlineStr">
        <is>
          <t>PYC</t>
        </is>
      </c>
      <c r="AH1479" s="129" t="n">
        <v>5</v>
      </c>
      <c r="AI1479" s="425" t="n"/>
      <c r="AJ1479" s="425" t="n"/>
      <c r="AK1479" s="427" t="n"/>
      <c r="AL1479" s="425" t="n"/>
      <c r="AM1479" s="425" t="n"/>
      <c r="AN1479" s="425" t="n"/>
      <c r="AO1479" s="425" t="n"/>
      <c r="AP1479" s="130" t="n"/>
      <c r="AQ1479" s="130" t="n"/>
      <c r="AR1479" s="425" t="inlineStr">
        <is>
          <t>Nhóm 1</t>
        </is>
      </c>
      <c r="AS1479" s="425" t="n"/>
      <c r="AT1479" s="425" t="inlineStr">
        <is>
          <t>HM48</t>
        </is>
      </c>
      <c r="AU1479" s="425" t="inlineStr">
        <is>
          <t>PYC</t>
        </is>
      </c>
      <c r="AV1479" s="425" t="n">
        <v>131</v>
      </c>
      <c r="AW1479" s="425" t="n">
        <v>5</v>
      </c>
      <c r="AX1479" s="425" t="n"/>
    </row>
    <row r="1480">
      <c r="A1480" s="56" t="inlineStr">
        <is>
          <t>HM</t>
        </is>
      </c>
      <c r="B1480" s="56" t="inlineStr">
        <is>
          <t>HM</t>
        </is>
      </c>
      <c r="C1480" s="56" t="inlineStr">
        <is>
          <t>HM.0437991</t>
        </is>
      </c>
      <c r="D1480" s="57" t="n"/>
      <c r="E1480" s="57" t="n"/>
      <c r="F1480" s="57" t="n"/>
      <c r="G1480" s="57" t="n"/>
      <c r="H1480" s="57" t="n"/>
      <c r="J1480" s="387" t="inlineStr">
        <is>
          <t>HM49</t>
        </is>
      </c>
      <c r="K1480" s="387" t="inlineStr">
        <is>
          <t>HM</t>
        </is>
      </c>
      <c r="L1480" s="388" t="inlineStr">
        <is>
          <t>Thân trụ T2 đoạn 2 (đợt 2)</t>
        </is>
      </c>
      <c r="M1480" s="388" t="n"/>
      <c r="N1480" s="388" t="n"/>
      <c r="O1480" s="389" t="n"/>
      <c r="P1480" s="390" t="n"/>
      <c r="Q1480" s="390" t="n"/>
      <c r="R1480" s="390" t="n"/>
      <c r="S1480" s="390" t="n"/>
      <c r="T1480" s="390" t="n"/>
      <c r="U1480" s="390" t="n"/>
      <c r="V1480" s="390" t="n"/>
      <c r="W1480" s="391" t="n"/>
      <c r="X1480" s="391" t="n"/>
      <c r="Y1480" s="391" t="n"/>
      <c r="Z1480" s="391" t="n"/>
      <c r="AA1480" s="392" t="n"/>
      <c r="AB1480" s="392" t="n"/>
      <c r="AC1480" s="392" t="n"/>
      <c r="AD1480" s="392" t="n"/>
      <c r="AE1480" s="392" t="n"/>
      <c r="AF1480" s="392" t="n"/>
      <c r="AG1480" s="392" t="n"/>
      <c r="AH1480" s="392" t="n"/>
      <c r="AI1480" s="391" t="n"/>
      <c r="AJ1480" s="391" t="n"/>
      <c r="AK1480" s="393" t="n"/>
      <c r="AL1480" s="391" t="n"/>
      <c r="AM1480" s="391" t="n"/>
      <c r="AN1480" s="391" t="n"/>
      <c r="AO1480" s="391" t="n"/>
      <c r="AP1480" s="394" t="n"/>
      <c r="AQ1480" s="394" t="n"/>
      <c r="AR1480" s="391" t="n"/>
      <c r="AS1480" s="391" t="n"/>
      <c r="AT1480" s="391" t="inlineStr">
        <is>
          <t>HM49</t>
        </is>
      </c>
      <c r="AU1480" s="391" t="inlineStr">
        <is>
          <t>HM</t>
        </is>
      </c>
      <c r="AV1480" s="391" t="n"/>
      <c r="AW1480" s="391" t="n"/>
      <c r="AX1480" s="391" t="n"/>
    </row>
    <row r="1481" ht="28" customHeight="1" s="672">
      <c r="A1481" s="68" t="inlineStr">
        <is>
          <t>BBK_BIA</t>
        </is>
      </c>
      <c r="B1481" s="68" t="inlineStr">
        <is>
          <t>TRANGBIA</t>
        </is>
      </c>
      <c r="C1481" s="68" t="inlineStr">
        <is>
          <t>BBK_BIA.0330659</t>
        </is>
      </c>
      <c r="D1481" s="69" t="n"/>
      <c r="E1481" s="69" t="n"/>
      <c r="F1481" s="69" t="n"/>
      <c r="G1481" s="69" t="n"/>
      <c r="H1481" s="69" t="n"/>
      <c r="I1481" s="70" t="n"/>
      <c r="J1481" s="327" t="inlineStr">
        <is>
          <t>01</t>
        </is>
      </c>
      <c r="K1481" s="327" t="inlineStr">
        <is>
          <t>TRANGBIA</t>
        </is>
      </c>
      <c r="L1481" s="328">
        <f>L1480</f>
        <v/>
      </c>
      <c r="M1481" s="328" t="n"/>
      <c r="N1481" s="328" t="n"/>
      <c r="O1481" s="329" t="inlineStr">
        <is>
          <t>Cầu KM19+529.080</t>
        </is>
      </c>
      <c r="P1481" s="330" t="n"/>
      <c r="Q1481" s="330" t="n"/>
      <c r="R1481" s="330" t="n"/>
      <c r="S1481" s="330" t="n"/>
      <c r="T1481" s="330" t="n"/>
      <c r="U1481" s="330" t="n"/>
      <c r="V1481" s="330" t="n"/>
      <c r="W1481" s="331" t="n"/>
      <c r="X1481" s="331" t="n"/>
      <c r="Y1481" s="331" t="n"/>
      <c r="Z1481" s="331" t="n"/>
      <c r="AA1481" s="331" t="n"/>
      <c r="AB1481" s="331" t="n"/>
      <c r="AC1481" s="331" t="n"/>
      <c r="AD1481" s="331" t="n"/>
      <c r="AE1481" s="331" t="n"/>
      <c r="AF1481" s="331" t="n"/>
      <c r="AG1481" s="331" t="n"/>
      <c r="AH1481" s="331" t="n"/>
      <c r="AI1481" s="331" t="n"/>
      <c r="AJ1481" s="331" t="n"/>
      <c r="AK1481" s="329" t="n"/>
      <c r="AL1481" s="331" t="n"/>
      <c r="AM1481" s="331" t="n"/>
      <c r="AN1481" s="331" t="n"/>
      <c r="AO1481" s="331" t="n"/>
      <c r="AP1481" s="332">
        <f>L1481</f>
        <v/>
      </c>
      <c r="AQ1481" s="333" t="n"/>
      <c r="AR1481" s="331" t="inlineStr">
        <is>
          <t>Nhóm 1</t>
        </is>
      </c>
      <c r="AS1481" s="331" t="n"/>
      <c r="AT1481" s="331" t="inlineStr">
        <is>
          <t>HM49</t>
        </is>
      </c>
      <c r="AU1481" s="331" t="inlineStr">
        <is>
          <t>TRANGBIA</t>
        </is>
      </c>
      <c r="AV1481" s="331" t="n">
        <v>49</v>
      </c>
      <c r="AW1481" s="331" t="n">
        <v>1</v>
      </c>
      <c r="AX1481" s="331" t="n"/>
    </row>
    <row r="1482">
      <c r="A1482" s="68" t="inlineStr">
        <is>
          <t>BBK_ML</t>
        </is>
      </c>
      <c r="B1482" s="68" t="inlineStr">
        <is>
          <t>MUCLUC</t>
        </is>
      </c>
      <c r="C1482" s="68" t="inlineStr">
        <is>
          <t>BBK_ML.0641609</t>
        </is>
      </c>
      <c r="D1482" s="69" t="n"/>
      <c r="E1482" s="69" t="n"/>
      <c r="F1482" s="69" t="n"/>
      <c r="G1482" s="69" t="n"/>
      <c r="H1482" s="69" t="n"/>
      <c r="I1482" s="70" t="n"/>
      <c r="J1482" s="395" t="inlineStr">
        <is>
          <t>02</t>
        </is>
      </c>
      <c r="K1482" s="395" t="inlineStr">
        <is>
          <t>MUCLUC</t>
        </is>
      </c>
      <c r="L1482" s="396" t="inlineStr">
        <is>
          <t>Danh mục biên bản Kiểm tra/Nghiệm thu</t>
        </is>
      </c>
      <c r="M1482" s="396" t="n"/>
      <c r="N1482" s="396" t="n"/>
      <c r="O1482" s="397" t="inlineStr">
        <is>
          <t>Cầu KM19+529.080</t>
        </is>
      </c>
      <c r="P1482" s="398" t="n"/>
      <c r="Q1482" s="398" t="n"/>
      <c r="R1482" s="398" t="n"/>
      <c r="S1482" s="398" t="n"/>
      <c r="T1482" s="398" t="n"/>
      <c r="U1482" s="398" t="n"/>
      <c r="V1482" s="398" t="n"/>
      <c r="W1482" s="399" t="n"/>
      <c r="X1482" s="399" t="n"/>
      <c r="Y1482" s="399" t="n"/>
      <c r="Z1482" s="399" t="n"/>
      <c r="AA1482" s="399" t="n"/>
      <c r="AB1482" s="399" t="n"/>
      <c r="AC1482" s="399" t="n"/>
      <c r="AD1482" s="399" t="n"/>
      <c r="AE1482" s="399" t="n"/>
      <c r="AF1482" s="399" t="n"/>
      <c r="AG1482" s="399" t="n"/>
      <c r="AH1482" s="399" t="n"/>
      <c r="AI1482" s="399" t="n"/>
      <c r="AJ1482" s="399" t="n"/>
      <c r="AK1482" s="397" t="n"/>
      <c r="AL1482" s="399" t="n"/>
      <c r="AM1482" s="399" t="n"/>
      <c r="AN1482" s="399" t="n"/>
      <c r="AO1482" s="399" t="n"/>
      <c r="AP1482" s="400" t="n"/>
      <c r="AQ1482" s="400" t="n"/>
      <c r="AR1482" s="399" t="inlineStr">
        <is>
          <t>Nhóm 1</t>
        </is>
      </c>
      <c r="AS1482" s="399" t="n"/>
      <c r="AT1482" s="399" t="inlineStr">
        <is>
          <t>HM49</t>
        </is>
      </c>
      <c r="AU1482" s="399" t="inlineStr">
        <is>
          <t>MUCLUC</t>
        </is>
      </c>
      <c r="AV1482" s="399" t="n">
        <v>49</v>
      </c>
      <c r="AW1482" s="399" t="n">
        <v>1</v>
      </c>
      <c r="AX1482" s="399" t="n"/>
    </row>
    <row r="1483">
      <c r="A1483" s="56" t="inlineStr">
        <is>
          <t>BBK680</t>
        </is>
      </c>
      <c r="B1483" s="56" t="inlineStr">
        <is>
          <t>PYC</t>
        </is>
      </c>
      <c r="C1483" s="56" t="inlineStr">
        <is>
          <t>BBK680.0429400</t>
        </is>
      </c>
      <c r="D1483" s="57" t="n"/>
      <c r="E1483" s="57" t="n"/>
      <c r="F1483" s="57" t="n"/>
      <c r="G1483" s="57" t="n"/>
      <c r="H1483" s="57" t="n"/>
      <c r="J1483" s="108" t="inlineStr">
        <is>
          <t>03</t>
        </is>
      </c>
      <c r="K1483" s="108" t="inlineStr">
        <is>
          <t>PYC</t>
        </is>
      </c>
      <c r="L1483" s="109" t="inlineStr">
        <is>
          <t>phiếu yêu cầu</t>
        </is>
      </c>
      <c r="M1483" s="109" t="n"/>
      <c r="N1483" s="109" t="n"/>
      <c r="O1483" s="110" t="inlineStr">
        <is>
          <t>Cầu KM19+529.080</t>
        </is>
      </c>
      <c r="P1483" s="401" t="n"/>
      <c r="Q1483" s="401" t="n"/>
      <c r="R1483" s="401">
        <f>R1484</f>
        <v/>
      </c>
      <c r="S1483" s="401">
        <f>+R1483+1</f>
        <v/>
      </c>
      <c r="T1483" s="402">
        <f>T1484</f>
        <v/>
      </c>
      <c r="U1483" s="402">
        <f>U1484</f>
        <v/>
      </c>
      <c r="V1483" s="402">
        <f>V1484</f>
        <v/>
      </c>
      <c r="W1483" s="402">
        <f>W1484</f>
        <v/>
      </c>
      <c r="X1483" s="403" t="n"/>
      <c r="Y1483" s="403" t="n"/>
      <c r="Z1483" s="403" t="n"/>
      <c r="AA1483" s="113" t="n"/>
      <c r="AB1483" s="113" t="inlineStr">
        <is>
          <t>307HG/YCNT/TT/T2-Đ2/Đ2</t>
        </is>
      </c>
      <c r="AC1483" s="113" t="n"/>
      <c r="AD1483" s="113" t="n"/>
      <c r="AE1483" s="113" t="n"/>
      <c r="AF1483" s="113" t="n"/>
      <c r="AG1483" s="113" t="inlineStr">
        <is>
          <t>BBKTĐK;NTCV</t>
        </is>
      </c>
      <c r="AH1483" s="113" t="n">
        <v>1</v>
      </c>
      <c r="AI1483" s="403" t="n"/>
      <c r="AJ1483" s="403" t="n"/>
      <c r="AK1483" s="404" t="n"/>
      <c r="AL1483" s="403" t="n"/>
      <c r="AM1483" s="403" t="n"/>
      <c r="AN1483" s="403" t="n"/>
      <c r="AO1483" s="403" t="n"/>
      <c r="AP1483" s="115" t="n"/>
      <c r="AQ1483" s="115" t="n"/>
      <c r="AR1483" s="403" t="inlineStr">
        <is>
          <t>Nhóm 1</t>
        </is>
      </c>
      <c r="AS1483" s="403" t="n"/>
      <c r="AT1483" s="403" t="inlineStr">
        <is>
          <t>HM49</t>
        </is>
      </c>
      <c r="AU1483" s="403" t="inlineStr">
        <is>
          <t>PYC</t>
        </is>
      </c>
      <c r="AV1483" s="403" t="n">
        <v>87</v>
      </c>
      <c r="AW1483" s="403" t="n">
        <v>1</v>
      </c>
      <c r="AX1483" s="403" t="n"/>
    </row>
    <row r="1484" ht="28" customHeight="1" s="672">
      <c r="A1484" s="56" t="inlineStr">
        <is>
          <t>BBK884</t>
        </is>
      </c>
      <c r="B1484" s="56" t="inlineStr">
        <is>
          <t>BBKTĐK</t>
        </is>
      </c>
      <c r="C1484" s="56" t="inlineStr">
        <is>
          <t>BBK884.0841600</t>
        </is>
      </c>
      <c r="D1484" s="57" t="n"/>
      <c r="E1484" s="57" t="n"/>
      <c r="F1484" s="57" t="n"/>
      <c r="G1484" s="57" t="n"/>
      <c r="H1484" s="57" t="n"/>
      <c r="J1484" s="139" t="inlineStr">
        <is>
          <t>04</t>
        </is>
      </c>
      <c r="K1484" s="139" t="inlineStr">
        <is>
          <t>BBKTĐK</t>
        </is>
      </c>
      <c r="L1484" s="140" t="inlineStr">
        <is>
          <t>Kiểm tra điều kiện trước khi thi công thân trụ T2 đoạn 2 (đợt 2)</t>
        </is>
      </c>
      <c r="M1484" s="140" t="n"/>
      <c r="N1484" s="140" t="n"/>
      <c r="O1484" s="141" t="inlineStr">
        <is>
          <t>Cầu KM19+529.080</t>
        </is>
      </c>
      <c r="P1484" s="382">
        <f>+S1477+1</f>
        <v/>
      </c>
      <c r="Q1484" s="382">
        <f>P1484</f>
        <v/>
      </c>
      <c r="R1484" s="382">
        <f>Q1484-1</f>
        <v/>
      </c>
      <c r="S1484" s="382">
        <f>Q1484</f>
        <v/>
      </c>
      <c r="T1484" s="383" t="n">
        <v>0.3541666666666667</v>
      </c>
      <c r="U1484" s="383">
        <f>T1484+V1484</f>
        <v/>
      </c>
      <c r="V1484" s="383" t="n">
        <v>0.0625</v>
      </c>
      <c r="W1484" s="384">
        <f>TEXT(T1484,"HH""h""MM'")&amp;"÷"&amp;TEXT(U1484,"HH""h""MM'")</f>
        <v/>
      </c>
      <c r="X1484" s="384" t="n"/>
      <c r="Y1484" s="384" t="n"/>
      <c r="Z1484" s="384" t="inlineStr">
        <is>
          <t>01;</t>
        </is>
      </c>
      <c r="AA1484" s="144" t="inlineStr">
        <is>
          <t>Kiểm tra điều kiện trước khi thi công thân trụ T2 đoạn 2 (đợt 2)</t>
        </is>
      </c>
      <c r="AB1484" s="144" t="inlineStr">
        <is>
          <t>307HG/YCNT/TT/T2-Đ2/Đ2-1</t>
        </is>
      </c>
      <c r="AC1484" s="144" t="inlineStr">
        <is>
          <t>307HG/BBNT/TT/T2-Đ2/Đ2-1</t>
        </is>
      </c>
      <c r="AD1484" s="144" t="n"/>
      <c r="AE1484" s="144" t="n"/>
      <c r="AF1484" s="144" t="n"/>
      <c r="AG1484" s="144" t="n"/>
      <c r="AH1484" s="144" t="n"/>
      <c r="AI1484" s="384" t="n"/>
      <c r="AJ1484" s="384" t="n"/>
      <c r="AK1484" s="386" t="n"/>
      <c r="AL1484" s="384" t="n"/>
      <c r="AM1484" s="384" t="n"/>
      <c r="AN1484" s="384" t="n"/>
      <c r="AO1484" s="384" t="n"/>
      <c r="AP1484" s="146" t="n"/>
      <c r="AQ1484" s="146" t="n"/>
      <c r="AR1484" s="384" t="inlineStr">
        <is>
          <t>Nhóm 1</t>
        </is>
      </c>
      <c r="AS1484" s="384" t="n"/>
      <c r="AT1484" s="384" t="inlineStr">
        <is>
          <t>HM49</t>
        </is>
      </c>
      <c r="AU1484" s="384" t="inlineStr">
        <is>
          <t>BBKTĐK</t>
        </is>
      </c>
      <c r="AV1484" s="384" t="n">
        <v>38</v>
      </c>
      <c r="AW1484" s="384" t="n">
        <v>1</v>
      </c>
      <c r="AX1484" s="384" t="n"/>
    </row>
    <row r="1485">
      <c r="A1485" s="56" t="inlineStr">
        <is>
          <t>BBK860</t>
        </is>
      </c>
      <c r="B1485" s="56" t="inlineStr">
        <is>
          <t>PL01</t>
        </is>
      </c>
      <c r="C1485" s="56" t="inlineStr">
        <is>
          <t>BBK860.0465780</t>
        </is>
      </c>
      <c r="D1485" s="57" t="n"/>
      <c r="E1485" s="57" t="n"/>
      <c r="F1485" s="57" t="n"/>
      <c r="G1485" s="57" t="n"/>
      <c r="H1485" s="57" t="n"/>
      <c r="J1485" s="168" t="inlineStr">
        <is>
          <t>05</t>
        </is>
      </c>
      <c r="K1485" s="168" t="inlineStr">
        <is>
          <t>PL01</t>
        </is>
      </c>
      <c r="L1485" s="169" t="inlineStr">
        <is>
          <t>Phụ lục số 01</t>
        </is>
      </c>
      <c r="M1485" s="169" t="n"/>
      <c r="N1485" s="169" t="n"/>
      <c r="O1485" s="170" t="inlineStr">
        <is>
          <t>Cầu KM19+529.080</t>
        </is>
      </c>
      <c r="P1485" s="405" t="n"/>
      <c r="Q1485" s="405" t="n"/>
      <c r="R1485" s="405" t="n"/>
      <c r="S1485" s="405">
        <f>S1484</f>
        <v/>
      </c>
      <c r="T1485" s="405" t="n"/>
      <c r="U1485" s="405" t="n"/>
      <c r="V1485" s="405" t="n"/>
      <c r="W1485" s="406" t="n"/>
      <c r="X1485" s="406" t="n"/>
      <c r="Y1485" s="406" t="n"/>
      <c r="Z1485" s="168" t="n">
        <v>1</v>
      </c>
      <c r="AA1485" s="173" t="n"/>
      <c r="AB1485" s="173" t="n"/>
      <c r="AC1485" s="173" t="inlineStr">
        <is>
          <t>307HG/BBNT/TT/T2-Đ2/Đ2-1</t>
        </is>
      </c>
      <c r="AD1485" s="173" t="n"/>
      <c r="AE1485" s="173" t="n"/>
      <c r="AF1485" s="173" t="n"/>
      <c r="AG1485" s="173" t="n"/>
      <c r="AH1485" s="407" t="inlineStr">
        <is>
          <t>TT-T2-Đ2</t>
        </is>
      </c>
      <c r="AI1485" s="406" t="n"/>
      <c r="AJ1485" s="406" t="n"/>
      <c r="AK1485" s="408" t="n"/>
      <c r="AL1485" s="406" t="n"/>
      <c r="AM1485" s="406" t="n"/>
      <c r="AN1485" s="406" t="n"/>
      <c r="AO1485" s="406" t="n"/>
      <c r="AP1485" s="174" t="n"/>
      <c r="AQ1485" s="174" t="n"/>
      <c r="AR1485" s="406" t="inlineStr">
        <is>
          <t>Nhóm 1</t>
        </is>
      </c>
      <c r="AS1485" s="406" t="n"/>
      <c r="AT1485" s="406" t="inlineStr">
        <is>
          <t>HM49</t>
        </is>
      </c>
      <c r="AU1485" s="406" t="inlineStr">
        <is>
          <t>PL01</t>
        </is>
      </c>
      <c r="AV1485" s="406" t="n">
        <v>42</v>
      </c>
      <c r="AW1485" s="406" t="n">
        <v>1</v>
      </c>
      <c r="AX1485" s="406" t="n"/>
    </row>
    <row r="1486" ht="28" customHeight="1" s="672">
      <c r="A1486" s="56" t="inlineStr">
        <is>
          <t>NTCV</t>
        </is>
      </c>
      <c r="B1486" s="56" t="inlineStr">
        <is>
          <t>K.9999</t>
        </is>
      </c>
      <c r="C1486" s="56" t="inlineStr">
        <is>
          <t>NTCV.0448402</t>
        </is>
      </c>
      <c r="D1486" s="57" t="n"/>
      <c r="E1486" s="57" t="n"/>
      <c r="F1486" s="57" t="n"/>
      <c r="G1486" s="57" t="n"/>
      <c r="H1486" s="57" t="n"/>
      <c r="J1486" s="147" t="inlineStr">
        <is>
          <t>06</t>
        </is>
      </c>
      <c r="K1486" s="147" t="inlineStr">
        <is>
          <t>K.9999</t>
        </is>
      </c>
      <c r="L1486" s="148" t="inlineStr">
        <is>
          <t>Lắp dựng ván khuôn, thanh xuyên táo thân trụ T2 đoạn 2 (đợt 2)</t>
        </is>
      </c>
      <c r="M1486" s="148" t="n"/>
      <c r="N1486" s="148" t="n"/>
      <c r="O1486" s="149" t="inlineStr">
        <is>
          <t>Cầu KM19+529.080</t>
        </is>
      </c>
      <c r="P1486" s="415">
        <f>S1484+1</f>
        <v/>
      </c>
      <c r="Q1486" s="415">
        <f>P1486</f>
        <v/>
      </c>
      <c r="R1486" s="415">
        <f>Q1486-2</f>
        <v/>
      </c>
      <c r="S1486" s="415">
        <f>Q1486</f>
        <v/>
      </c>
      <c r="T1486" s="416" t="n">
        <v>0.375</v>
      </c>
      <c r="U1486" s="416">
        <f>+T1486+V1486</f>
        <v/>
      </c>
      <c r="V1486" s="416" t="n">
        <v>0.02083333333333333</v>
      </c>
      <c r="W1486" s="417">
        <f>TEXT(T1486,"HH""h""MM'")&amp;"÷"&amp;TEXT(U1486,"HH""h""MM'")</f>
        <v/>
      </c>
      <c r="X1486" s="417" t="n"/>
      <c r="Y1486" s="417" t="n"/>
      <c r="Z1486" s="417" t="inlineStr">
        <is>
          <t>02;</t>
        </is>
      </c>
      <c r="AA1486" s="150" t="inlineStr">
        <is>
          <t>Lắp dựng ván khuôn, thanh xuyên táo thân trụ T2 đoạn 2 (đợt 2)</t>
        </is>
      </c>
      <c r="AB1486" s="150" t="inlineStr">
        <is>
          <t>307HG/YCNT/TT/T2-Đ2/Đ2-1</t>
        </is>
      </c>
      <c r="AC1486" s="150" t="inlineStr">
        <is>
          <t>307HG/BBNT/TT/T2-Đ2/Đ2-2</t>
        </is>
      </c>
      <c r="AD1486" s="150" t="n"/>
      <c r="AE1486" s="150" t="n"/>
      <c r="AF1486" s="150" t="n"/>
      <c r="AG1486" s="150" t="n"/>
      <c r="AH1486" s="150" t="n"/>
      <c r="AI1486" s="417" t="n"/>
      <c r="AJ1486" s="417" t="n"/>
      <c r="AK1486" s="418" t="n"/>
      <c r="AL1486" s="417" t="n"/>
      <c r="AM1486" s="417" t="n"/>
      <c r="AN1486" s="417" t="n"/>
      <c r="AO1486" s="417" t="n"/>
      <c r="AP1486" s="151" t="n"/>
      <c r="AQ1486" s="151" t="n"/>
      <c r="AR1486" s="417" t="inlineStr">
        <is>
          <t>Nhóm 1</t>
        </is>
      </c>
      <c r="AS1486" s="417" t="n"/>
      <c r="AT1486" s="417" t="inlineStr">
        <is>
          <t>HM49</t>
        </is>
      </c>
      <c r="AU1486" s="417" t="inlineStr">
        <is>
          <t>NTCV</t>
        </is>
      </c>
      <c r="AV1486" s="417" t="n">
        <v>436</v>
      </c>
      <c r="AW1486" s="417" t="n">
        <v>1</v>
      </c>
      <c r="AX1486" s="417" t="n"/>
    </row>
    <row r="1487">
      <c r="A1487" s="56" t="inlineStr">
        <is>
          <t>BBK288</t>
        </is>
      </c>
      <c r="B1487" s="56" t="inlineStr">
        <is>
          <t>PL11.1</t>
        </is>
      </c>
      <c r="C1487" s="56" t="inlineStr">
        <is>
          <t>BBK288.0622545</t>
        </is>
      </c>
      <c r="D1487" s="57" t="n"/>
      <c r="E1487" s="57" t="n"/>
      <c r="F1487" s="57" t="n"/>
      <c r="G1487" s="57" t="n"/>
      <c r="H1487" s="57" t="n"/>
      <c r="J1487" s="108" t="inlineStr">
        <is>
          <t>07</t>
        </is>
      </c>
      <c r="K1487" s="108" t="inlineStr">
        <is>
          <t>PL11.1</t>
        </is>
      </c>
      <c r="L1487" s="109" t="inlineStr">
        <is>
          <t>Phụ lục số 11</t>
        </is>
      </c>
      <c r="M1487" s="109" t="n"/>
      <c r="N1487" s="109" t="n"/>
      <c r="O1487" s="110" t="inlineStr">
        <is>
          <t>Cầu KM19+529.080</t>
        </is>
      </c>
      <c r="P1487" s="401" t="n"/>
      <c r="Q1487" s="401" t="n"/>
      <c r="R1487" s="401" t="n"/>
      <c r="S1487" s="401">
        <f>S1486</f>
        <v/>
      </c>
      <c r="T1487" s="401" t="n"/>
      <c r="U1487" s="401" t="n"/>
      <c r="V1487" s="401" t="n"/>
      <c r="W1487" s="403" t="n"/>
      <c r="X1487" s="403" t="n"/>
      <c r="Y1487" s="403" t="n"/>
      <c r="Z1487" s="108" t="n">
        <v>2</v>
      </c>
      <c r="AA1487" s="113" t="n"/>
      <c r="AB1487" s="113" t="n"/>
      <c r="AC1487" s="113" t="inlineStr">
        <is>
          <t>307HG/BBNT/TT/T2-Đ2/Đ2-2</t>
        </is>
      </c>
      <c r="AD1487" s="113" t="n"/>
      <c r="AE1487" s="113" t="n"/>
      <c r="AF1487" s="113" t="n"/>
      <c r="AG1487" s="114" t="n"/>
      <c r="AH1487" s="114" t="inlineStr">
        <is>
          <t>TT-T2-Đ2-Đ2</t>
        </is>
      </c>
      <c r="AI1487" s="403" t="n"/>
      <c r="AJ1487" s="403" t="n"/>
      <c r="AK1487" s="404" t="n"/>
      <c r="AL1487" s="403" t="n"/>
      <c r="AM1487" s="403" t="n"/>
      <c r="AN1487" s="403" t="n"/>
      <c r="AO1487" s="403" t="n"/>
      <c r="AP1487" s="115" t="n"/>
      <c r="AQ1487" s="115" t="inlineStr">
        <is>
          <t>Ảnh\TT DD1 T1,T2.png</t>
        </is>
      </c>
      <c r="AR1487" s="403" t="inlineStr">
        <is>
          <t>Nhóm 1</t>
        </is>
      </c>
      <c r="AS1487" s="403" t="n"/>
      <c r="AT1487" s="403" t="inlineStr">
        <is>
          <t>HM49</t>
        </is>
      </c>
      <c r="AU1487" s="403" t="inlineStr">
        <is>
          <t>PL11.1</t>
        </is>
      </c>
      <c r="AV1487" s="403" t="n">
        <v>12</v>
      </c>
      <c r="AW1487" s="403" t="n">
        <v>1</v>
      </c>
      <c r="AX1487" s="403" t="n"/>
    </row>
    <row r="1488">
      <c r="A1488" s="56" t="inlineStr">
        <is>
          <t>BBK680</t>
        </is>
      </c>
      <c r="B1488" s="56" t="inlineStr">
        <is>
          <t>PYC</t>
        </is>
      </c>
      <c r="C1488" s="56" t="inlineStr">
        <is>
          <t>BBK680.0671589</t>
        </is>
      </c>
      <c r="D1488" s="57" t="n"/>
      <c r="E1488" s="57" t="n"/>
      <c r="F1488" s="57" t="n"/>
      <c r="G1488" s="57" t="n"/>
      <c r="H1488" s="57" t="n"/>
      <c r="J1488" s="168" t="inlineStr">
        <is>
          <t>08</t>
        </is>
      </c>
      <c r="K1488" s="168" t="inlineStr">
        <is>
          <t>PYC</t>
        </is>
      </c>
      <c r="L1488" s="169" t="inlineStr">
        <is>
          <t>phiếu yêu cầu</t>
        </is>
      </c>
      <c r="M1488" s="169" t="n"/>
      <c r="N1488" s="169" t="n"/>
      <c r="O1488" s="170" t="inlineStr">
        <is>
          <t>Cầu KM19+529.080</t>
        </is>
      </c>
      <c r="P1488" s="405" t="n"/>
      <c r="Q1488" s="405" t="n"/>
      <c r="R1488" s="401">
        <f>R1489</f>
        <v/>
      </c>
      <c r="S1488" s="405">
        <f>+R1488+1</f>
        <v/>
      </c>
      <c r="T1488" s="402">
        <f>T1489</f>
        <v/>
      </c>
      <c r="U1488" s="402">
        <f>U1489</f>
        <v/>
      </c>
      <c r="V1488" s="402">
        <f>V1489</f>
        <v/>
      </c>
      <c r="W1488" s="402">
        <f>W1489</f>
        <v/>
      </c>
      <c r="X1488" s="406" t="n"/>
      <c r="Y1488" s="406" t="n"/>
      <c r="Z1488" s="168" t="n">
        <v>2</v>
      </c>
      <c r="AA1488" s="173" t="n"/>
      <c r="AB1488" s="173" t="inlineStr">
        <is>
          <t>307HG/YCNT/TT/T2-Đ2/Đ2</t>
        </is>
      </c>
      <c r="AC1488" s="173" t="n"/>
      <c r="AD1488" s="173" t="n"/>
      <c r="AE1488" s="173" t="n"/>
      <c r="AF1488" s="173" t="n"/>
      <c r="AG1488" s="129" t="inlineStr">
        <is>
          <t>NTCV</t>
        </is>
      </c>
      <c r="AH1488" s="173" t="inlineStr">
        <is>
          <t>&gt;=2;&lt;=4</t>
        </is>
      </c>
      <c r="AI1488" s="406" t="n"/>
      <c r="AJ1488" s="406" t="n"/>
      <c r="AK1488" s="408" t="n"/>
      <c r="AL1488" s="406" t="n"/>
      <c r="AM1488" s="406" t="n"/>
      <c r="AN1488" s="406" t="n"/>
      <c r="AO1488" s="406" t="n"/>
      <c r="AP1488" s="174" t="n"/>
      <c r="AQ1488" s="174" t="n"/>
      <c r="AR1488" s="406" t="inlineStr">
        <is>
          <t>Nhóm 1</t>
        </is>
      </c>
      <c r="AS1488" s="406" t="n"/>
      <c r="AT1488" s="406" t="inlineStr">
        <is>
          <t>HM49</t>
        </is>
      </c>
      <c r="AU1488" s="406" t="inlineStr">
        <is>
          <t>PYC</t>
        </is>
      </c>
      <c r="AV1488" s="406" t="n">
        <v>93</v>
      </c>
      <c r="AW1488" s="406" t="n">
        <v>2</v>
      </c>
      <c r="AX1488" s="406" t="n"/>
    </row>
    <row r="1489" ht="28" customHeight="1" s="672">
      <c r="A1489" s="413" t="inlineStr">
        <is>
          <t>NTCV</t>
        </is>
      </c>
      <c r="B1489" s="413" t="inlineStr">
        <is>
          <t>K.9999</t>
        </is>
      </c>
      <c r="C1489" s="413" t="inlineStr">
        <is>
          <t>NTCV.0997543</t>
        </is>
      </c>
      <c r="D1489" s="414" t="n"/>
      <c r="E1489" s="414" t="n"/>
      <c r="F1489" s="414" t="n"/>
      <c r="G1489" s="414" t="n"/>
      <c r="H1489" s="414" t="n"/>
      <c r="J1489" s="147" t="inlineStr">
        <is>
          <t>09</t>
        </is>
      </c>
      <c r="K1489" s="147" t="inlineStr">
        <is>
          <t>K.9999</t>
        </is>
      </c>
      <c r="L1489" s="148" t="inlineStr">
        <is>
          <t>Kiểm tra cốt thép thân trụ T2 đoạn 2 (đợt 2)</t>
        </is>
      </c>
      <c r="M1489" s="148" t="n"/>
      <c r="N1489" s="148" t="n"/>
      <c r="O1489" s="149" t="inlineStr">
        <is>
          <t>Cầu KM19+529.080</t>
        </is>
      </c>
      <c r="P1489" s="415">
        <f>+S1486+1</f>
        <v/>
      </c>
      <c r="Q1489" s="415">
        <f>+P1489</f>
        <v/>
      </c>
      <c r="R1489" s="415">
        <f>+Q1489-1</f>
        <v/>
      </c>
      <c r="S1489" s="415">
        <f>+Q1489</f>
        <v/>
      </c>
      <c r="T1489" s="416" t="n">
        <v>0.375</v>
      </c>
      <c r="U1489" s="416">
        <f>+T1489+V1489</f>
        <v/>
      </c>
      <c r="V1489" s="416" t="n">
        <v>0.04166666666666666</v>
      </c>
      <c r="W1489" s="411">
        <f>TEXT(T1489,"HH""h""MM'")&amp;"÷"&amp;TEXT(U1489,"HH""h""MM'")</f>
        <v/>
      </c>
      <c r="X1489" s="417" t="n"/>
      <c r="Y1489" s="417" t="n"/>
      <c r="Z1489" s="417" t="inlineStr">
        <is>
          <t>03;</t>
        </is>
      </c>
      <c r="AA1489" s="150" t="inlineStr">
        <is>
          <t>Kiểm tra cốt thép thân trụ T2 đoạn 2 (đợt 2)</t>
        </is>
      </c>
      <c r="AB1489" s="150" t="inlineStr">
        <is>
          <t>307HG/YCNT/TT/T2-Đ2/Đ2-2</t>
        </is>
      </c>
      <c r="AC1489" s="150" t="inlineStr">
        <is>
          <t>307HG/BBNT/TT/T2-Đ2/Đ2-3</t>
        </is>
      </c>
      <c r="AD1489" s="150" t="n"/>
      <c r="AE1489" s="150" t="n"/>
      <c r="AF1489" s="150" t="n"/>
      <c r="AG1489" s="150" t="n"/>
      <c r="AH1489" s="150" t="n"/>
      <c r="AI1489" s="417" t="n"/>
      <c r="AJ1489" s="417" t="n"/>
      <c r="AK1489" s="418" t="n"/>
      <c r="AL1489" s="417" t="n"/>
      <c r="AM1489" s="417" t="n"/>
      <c r="AN1489" s="417" t="n"/>
      <c r="AO1489" s="417" t="n"/>
      <c r="AP1489" s="151" t="n"/>
      <c r="AQ1489" s="151" t="n"/>
      <c r="AR1489" s="417" t="inlineStr">
        <is>
          <t>Nhóm 1</t>
        </is>
      </c>
      <c r="AS1489" s="417" t="n"/>
      <c r="AT1489" s="417" t="inlineStr">
        <is>
          <t>HM49</t>
        </is>
      </c>
      <c r="AU1489" s="417" t="inlineStr">
        <is>
          <t>NTCV</t>
        </is>
      </c>
      <c r="AV1489" s="417" t="n">
        <v>439</v>
      </c>
      <c r="AW1489" s="417" t="n">
        <v>2</v>
      </c>
      <c r="AX1489" s="417" t="n"/>
    </row>
    <row r="1490">
      <c r="A1490" s="413" t="inlineStr">
        <is>
          <t>BBK469</t>
        </is>
      </c>
      <c r="B1490" s="413" t="inlineStr">
        <is>
          <t>PL08.1</t>
        </is>
      </c>
      <c r="C1490" s="413" t="inlineStr">
        <is>
          <t>BBK469.0037930</t>
        </is>
      </c>
      <c r="D1490" s="414" t="n"/>
      <c r="E1490" s="414" t="n"/>
      <c r="F1490" s="414" t="n"/>
      <c r="G1490" s="414" t="n"/>
      <c r="H1490" s="414" t="n"/>
      <c r="J1490" s="108" t="inlineStr">
        <is>
          <t>10</t>
        </is>
      </c>
      <c r="K1490" s="108" t="inlineStr">
        <is>
          <t>PL08.1</t>
        </is>
      </c>
      <c r="L1490" s="109">
        <f>L1489</f>
        <v/>
      </c>
      <c r="M1490" s="109" t="n"/>
      <c r="N1490" s="109" t="n"/>
      <c r="O1490" s="110" t="inlineStr">
        <is>
          <t>Cầu KM19+529.080</t>
        </is>
      </c>
      <c r="P1490" s="401" t="n"/>
      <c r="Q1490" s="401" t="n"/>
      <c r="R1490" s="401" t="n"/>
      <c r="S1490" s="401">
        <f>S1489</f>
        <v/>
      </c>
      <c r="T1490" s="401" t="n"/>
      <c r="U1490" s="401" t="n"/>
      <c r="V1490" s="401" t="n"/>
      <c r="W1490" s="403" t="n"/>
      <c r="X1490" s="403" t="n"/>
      <c r="Y1490" s="403" t="n"/>
      <c r="Z1490" s="108" t="n">
        <v>3</v>
      </c>
      <c r="AA1490" s="113" t="n"/>
      <c r="AB1490" s="113" t="n"/>
      <c r="AC1490" s="113" t="inlineStr">
        <is>
          <t>307HG/BBNT/TT/T2-Đ2/Đ2-3</t>
        </is>
      </c>
      <c r="AD1490" s="113" t="n"/>
      <c r="AE1490" s="113" t="n"/>
      <c r="AF1490" s="113" t="n"/>
      <c r="AG1490" s="113" t="n"/>
      <c r="AH1490" s="113" t="inlineStr">
        <is>
          <t>TT-T2-Đ2-Đ2</t>
        </is>
      </c>
      <c r="AI1490" s="403" t="n"/>
      <c r="AJ1490" s="403" t="n"/>
      <c r="AK1490" s="404" t="n"/>
      <c r="AL1490" s="403" t="n"/>
      <c r="AM1490" s="403" t="n"/>
      <c r="AN1490" s="403" t="n"/>
      <c r="AO1490" s="403" t="n"/>
      <c r="AP1490" s="115" t="n"/>
      <c r="AQ1490" s="115" t="n"/>
      <c r="AR1490" s="403" t="inlineStr">
        <is>
          <t>Nhóm 1</t>
        </is>
      </c>
      <c r="AS1490" s="403" t="n"/>
      <c r="AT1490" s="403" t="inlineStr">
        <is>
          <t>HM49</t>
        </is>
      </c>
      <c r="AU1490" s="403" t="inlineStr">
        <is>
          <t>PL08.1</t>
        </is>
      </c>
      <c r="AV1490" s="403" t="n">
        <v>12</v>
      </c>
      <c r="AW1490" s="403" t="n">
        <v>1</v>
      </c>
      <c r="AX1490" s="403" t="n"/>
    </row>
    <row r="1491" ht="28" customHeight="1" s="672">
      <c r="A1491" s="413" t="inlineStr">
        <is>
          <t>NTCV</t>
        </is>
      </c>
      <c r="B1491" s="413" t="inlineStr">
        <is>
          <t>K.9999</t>
        </is>
      </c>
      <c r="C1491" s="413" t="inlineStr">
        <is>
          <t>NTCV.0549520</t>
        </is>
      </c>
      <c r="D1491" s="414" t="n"/>
      <c r="E1491" s="414" t="n"/>
      <c r="F1491" s="414" t="n"/>
      <c r="G1491" s="414" t="n"/>
      <c r="H1491" s="414" t="n"/>
      <c r="J1491" s="131" t="inlineStr">
        <is>
          <t>11</t>
        </is>
      </c>
      <c r="K1491" s="131" t="inlineStr">
        <is>
          <t>K.9999</t>
        </is>
      </c>
      <c r="L1491" s="132" t="inlineStr">
        <is>
          <t>Công tác chuẩn bị đổ bê tông thân trụ T2 đoạn 2 (đợt 2)</t>
        </is>
      </c>
      <c r="M1491" s="132" t="n"/>
      <c r="N1491" s="132" t="n"/>
      <c r="O1491" s="133" t="inlineStr">
        <is>
          <t>Cầu KM19+529.080</t>
        </is>
      </c>
      <c r="P1491" s="419">
        <f>S1489</f>
        <v/>
      </c>
      <c r="Q1491" s="419">
        <f>P1491+1</f>
        <v/>
      </c>
      <c r="R1491" s="415">
        <f>+Q1491-2</f>
        <v/>
      </c>
      <c r="S1491" s="415">
        <f>+Q1491</f>
        <v/>
      </c>
      <c r="T1491" s="420" t="n">
        <v>0.3333333333333333</v>
      </c>
      <c r="U1491" s="420">
        <f>+T1491+V1491</f>
        <v/>
      </c>
      <c r="V1491" s="420" t="n">
        <v>0.02083333333333333</v>
      </c>
      <c r="W1491" s="417">
        <f>TEXT(T1491,"HH""h""MM'")&amp;"÷"&amp;TEXT(U1491,"HH""h""MM'")</f>
        <v/>
      </c>
      <c r="X1491" s="421" t="n"/>
      <c r="Y1491" s="421" t="n"/>
      <c r="Z1491" s="421" t="inlineStr">
        <is>
          <t>04;</t>
        </is>
      </c>
      <c r="AA1491" s="136" t="inlineStr">
        <is>
          <t>Công tác chuẩn bị đổ bê tông thân trụ T2 đoạn 2 (đợt 2)</t>
        </is>
      </c>
      <c r="AB1491" s="150" t="inlineStr">
        <is>
          <t>307HG/YCNT/TT/T2-Đ2/Đ2-2</t>
        </is>
      </c>
      <c r="AC1491" s="136" t="inlineStr">
        <is>
          <t>307HG/BBNT/TT/T2-Đ2/Đ2-4</t>
        </is>
      </c>
      <c r="AD1491" s="136" t="n"/>
      <c r="AE1491" s="136" t="n"/>
      <c r="AF1491" s="136" t="n"/>
      <c r="AG1491" s="136" t="n"/>
      <c r="AH1491" s="136" t="n"/>
      <c r="AI1491" s="421" t="n"/>
      <c r="AJ1491" s="421" t="n"/>
      <c r="AK1491" s="422" t="n"/>
      <c r="AL1491" s="421" t="n"/>
      <c r="AM1491" s="421" t="n"/>
      <c r="AN1491" s="421" t="n"/>
      <c r="AO1491" s="421" t="n"/>
      <c r="AP1491" s="138" t="n"/>
      <c r="AQ1491" s="138" t="n"/>
      <c r="AR1491" s="421" t="inlineStr">
        <is>
          <t>Nhóm 1</t>
        </is>
      </c>
      <c r="AS1491" s="421" t="n"/>
      <c r="AT1491" s="421" t="inlineStr">
        <is>
          <t>HM49</t>
        </is>
      </c>
      <c r="AU1491" s="421" t="inlineStr">
        <is>
          <t>NTCV</t>
        </is>
      </c>
      <c r="AV1491" s="421" t="n">
        <v>440</v>
      </c>
      <c r="AW1491" s="421" t="n">
        <v>3</v>
      </c>
      <c r="AX1491" s="421" t="n"/>
    </row>
    <row r="1492">
      <c r="A1492" s="413" t="inlineStr">
        <is>
          <t>BBK209</t>
        </is>
      </c>
      <c r="B1492" s="413" t="inlineStr">
        <is>
          <t>PL09</t>
        </is>
      </c>
      <c r="C1492" s="413" t="inlineStr">
        <is>
          <t>BBK209.0053995</t>
        </is>
      </c>
      <c r="D1492" s="414" t="n"/>
      <c r="E1492" s="414" t="n"/>
      <c r="F1492" s="414" t="n"/>
      <c r="G1492" s="414" t="n"/>
      <c r="H1492" s="414" t="n"/>
      <c r="J1492" s="124" t="inlineStr">
        <is>
          <t>12</t>
        </is>
      </c>
      <c r="K1492" s="124" t="inlineStr">
        <is>
          <t>PL09</t>
        </is>
      </c>
      <c r="L1492" s="125">
        <f>+L1491</f>
        <v/>
      </c>
      <c r="M1492" s="125" t="n"/>
      <c r="N1492" s="125" t="n"/>
      <c r="O1492" s="126" t="inlineStr">
        <is>
          <t>Cầu KM19+529.080</t>
        </is>
      </c>
      <c r="P1492" s="423" t="n"/>
      <c r="Q1492" s="423" t="n"/>
      <c r="R1492" s="423">
        <f>+R1493</f>
        <v/>
      </c>
      <c r="S1492" s="423">
        <f>+S1491</f>
        <v/>
      </c>
      <c r="T1492" s="424" t="n"/>
      <c r="U1492" s="424" t="n"/>
      <c r="V1492" s="424" t="n"/>
      <c r="W1492" s="425" t="n"/>
      <c r="X1492" s="425" t="n"/>
      <c r="Y1492" s="425" t="n"/>
      <c r="Z1492" s="124" t="n">
        <v>4</v>
      </c>
      <c r="AA1492" s="129" t="n"/>
      <c r="AB1492" s="129" t="n"/>
      <c r="AC1492" s="129">
        <f>+AC1491</f>
        <v/>
      </c>
      <c r="AD1492" s="129" t="n"/>
      <c r="AE1492" s="129" t="n"/>
      <c r="AF1492" s="129" t="n"/>
      <c r="AG1492" s="129" t="n"/>
      <c r="AH1492" s="129" t="inlineStr">
        <is>
          <t>C30</t>
        </is>
      </c>
      <c r="AI1492" s="425" t="n"/>
      <c r="AJ1492" s="425" t="n"/>
      <c r="AK1492" s="427" t="n"/>
      <c r="AL1492" s="425" t="n"/>
      <c r="AM1492" s="425" t="n"/>
      <c r="AN1492" s="425" t="n"/>
      <c r="AO1492" s="425" t="n"/>
      <c r="AP1492" s="130" t="n"/>
      <c r="AQ1492" s="130" t="n"/>
      <c r="AR1492" s="425" t="inlineStr">
        <is>
          <t>Nhóm 1</t>
        </is>
      </c>
      <c r="AS1492" s="425" t="n"/>
      <c r="AT1492" s="425" t="inlineStr">
        <is>
          <t>HM49</t>
        </is>
      </c>
      <c r="AU1492" s="425" t="inlineStr">
        <is>
          <t>PL09</t>
        </is>
      </c>
      <c r="AV1492" s="425" t="n">
        <v>38</v>
      </c>
      <c r="AW1492" s="425" t="n">
        <v>1</v>
      </c>
      <c r="AX1492" s="425" t="n"/>
    </row>
    <row r="1493" ht="28" customHeight="1" s="672">
      <c r="A1493" s="413" t="inlineStr">
        <is>
          <t>NTCV</t>
        </is>
      </c>
      <c r="B1493" s="413" t="inlineStr">
        <is>
          <t>K.9999</t>
        </is>
      </c>
      <c r="C1493" s="413" t="inlineStr">
        <is>
          <t>NTCV.0610333</t>
        </is>
      </c>
      <c r="D1493" s="414" t="n"/>
      <c r="E1493" s="414" t="n"/>
      <c r="F1493" s="414" t="n"/>
      <c r="G1493" s="414" t="n"/>
      <c r="H1493" s="414" t="n"/>
      <c r="J1493" s="161" t="inlineStr">
        <is>
          <t>13</t>
        </is>
      </c>
      <c r="K1493" s="161" t="inlineStr">
        <is>
          <t>K.9999</t>
        </is>
      </c>
      <c r="L1493" s="162" t="inlineStr">
        <is>
          <t>Công tác đổ, lấy mẫu bê tông thân trụ T2 đoạn 2 (đợt 2)</t>
        </is>
      </c>
      <c r="M1493" s="162" t="n"/>
      <c r="N1493" s="162" t="n"/>
      <c r="O1493" s="163" t="inlineStr">
        <is>
          <t>Cầu KM19+529.080</t>
        </is>
      </c>
      <c r="P1493" s="409">
        <f>+S1491</f>
        <v/>
      </c>
      <c r="Q1493" s="409">
        <f>+P1493</f>
        <v/>
      </c>
      <c r="R1493" s="409">
        <f>+Q1493-1</f>
        <v/>
      </c>
      <c r="S1493" s="409">
        <f>+Q1493</f>
        <v/>
      </c>
      <c r="T1493" s="410" t="n">
        <v>0.375</v>
      </c>
      <c r="U1493" s="410">
        <f>+T1493+V1493</f>
        <v/>
      </c>
      <c r="V1493" s="410" t="n">
        <v>0.08333333333333333</v>
      </c>
      <c r="W1493" s="411">
        <f>TEXT(T1493,"HH""h""MM'")&amp;"÷"&amp;TEXT(U1493,"HH""h""MM'")</f>
        <v/>
      </c>
      <c r="X1493" s="411" t="n"/>
      <c r="Y1493" s="411" t="n"/>
      <c r="Z1493" s="161" t="inlineStr">
        <is>
          <t>05;</t>
        </is>
      </c>
      <c r="AA1493" s="166" t="inlineStr">
        <is>
          <t>Công tác đổ bê tông, lấy mẫu bê tông thân trụ T2 đoạn 2 (đợt 2)</t>
        </is>
      </c>
      <c r="AB1493" s="166" t="n"/>
      <c r="AC1493" s="166" t="inlineStr">
        <is>
          <t>307HG/BBNT/TT/T2-Đ2/Đ2-5</t>
        </is>
      </c>
      <c r="AD1493" s="166" t="n"/>
      <c r="AE1493" s="166" t="n"/>
      <c r="AF1493" s="166" t="n"/>
      <c r="AG1493" s="166" t="n"/>
      <c r="AH1493" s="166" t="n"/>
      <c r="AI1493" s="411" t="n"/>
      <c r="AJ1493" s="411" t="n"/>
      <c r="AK1493" s="412" t="n"/>
      <c r="AL1493" s="411" t="n"/>
      <c r="AM1493" s="411" t="n"/>
      <c r="AN1493" s="411" t="n"/>
      <c r="AO1493" s="411" t="n"/>
      <c r="AP1493" s="167" t="n"/>
      <c r="AQ1493" s="167" t="n"/>
      <c r="AR1493" s="411" t="inlineStr">
        <is>
          <t>Nhóm 1</t>
        </is>
      </c>
      <c r="AS1493" s="411" t="n"/>
      <c r="AT1493" s="411" t="inlineStr">
        <is>
          <t>HM49</t>
        </is>
      </c>
      <c r="AU1493" s="411" t="inlineStr">
        <is>
          <t>NTCV</t>
        </is>
      </c>
      <c r="AV1493" s="411" t="n">
        <v>442</v>
      </c>
      <c r="AW1493" s="411" t="n">
        <v>4</v>
      </c>
      <c r="AX1493" s="411" t="n"/>
    </row>
    <row r="1494" ht="28" customHeight="1" s="672">
      <c r="A1494" s="413" t="inlineStr">
        <is>
          <t>BBK832</t>
        </is>
      </c>
      <c r="B1494" s="413" t="inlineStr">
        <is>
          <t>PL06.1</t>
        </is>
      </c>
      <c r="C1494" s="413" t="inlineStr">
        <is>
          <t>BBK832.0169529</t>
        </is>
      </c>
      <c r="D1494" s="414" t="n"/>
      <c r="E1494" s="414" t="n"/>
      <c r="F1494" s="414" t="n"/>
      <c r="G1494" s="414" t="n"/>
      <c r="H1494" s="414" t="n"/>
      <c r="J1494" s="168" t="inlineStr">
        <is>
          <t>14</t>
        </is>
      </c>
      <c r="K1494" s="168" t="inlineStr">
        <is>
          <t>PL06.1</t>
        </is>
      </c>
      <c r="L1494" s="169">
        <f>+L1493</f>
        <v/>
      </c>
      <c r="M1494" s="169" t="n"/>
      <c r="N1494" s="169" t="n"/>
      <c r="O1494" s="170" t="inlineStr">
        <is>
          <t>Cầu KM19+529.080</t>
        </is>
      </c>
      <c r="P1494" s="405" t="n"/>
      <c r="Q1494" s="405" t="n"/>
      <c r="R1494" s="405" t="n"/>
      <c r="S1494" s="405">
        <f>+S1493</f>
        <v/>
      </c>
      <c r="T1494" s="428">
        <f>+T1493</f>
        <v/>
      </c>
      <c r="U1494" s="428">
        <f>T1494+V1494</f>
        <v/>
      </c>
      <c r="V1494" s="428">
        <f>+V1493</f>
        <v/>
      </c>
      <c r="W1494" s="406" t="n"/>
      <c r="X1494" s="406" t="n"/>
      <c r="Y1494" s="406" t="n"/>
      <c r="Z1494" s="168" t="n">
        <v>5</v>
      </c>
      <c r="AA1494" s="173" t="n"/>
      <c r="AB1494" s="173" t="n"/>
      <c r="AC1494" s="173">
        <f>+AC1493</f>
        <v/>
      </c>
      <c r="AD1494" s="173" t="n"/>
      <c r="AE1494" s="173" t="n"/>
      <c r="AF1494" s="173" t="n"/>
      <c r="AG1494" s="173" t="n"/>
      <c r="AH1494" s="407" t="inlineStr">
        <is>
          <t>C30-TT-T2-Đ2-Đ2</t>
        </is>
      </c>
      <c r="AI1494" s="406" t="n"/>
      <c r="AJ1494" s="406" t="n"/>
      <c r="AK1494" s="408" t="n"/>
      <c r="AL1494" s="406" t="n"/>
      <c r="AM1494" s="406" t="n"/>
      <c r="AN1494" s="406" t="n"/>
      <c r="AO1494" s="406" t="n"/>
      <c r="AP1494" s="174" t="n"/>
      <c r="AQ1494" s="174" t="n"/>
      <c r="AR1494" s="406" t="inlineStr">
        <is>
          <t>Nhóm 1</t>
        </is>
      </c>
      <c r="AS1494" s="406" t="n"/>
      <c r="AT1494" s="406" t="inlineStr">
        <is>
          <t>HM49</t>
        </is>
      </c>
      <c r="AU1494" s="406" t="inlineStr">
        <is>
          <t>PL06.1</t>
        </is>
      </c>
      <c r="AV1494" s="406" t="n">
        <v>13</v>
      </c>
      <c r="AW1494" s="406" t="n">
        <v>1</v>
      </c>
      <c r="AX1494" s="406" t="n"/>
    </row>
    <row r="1495">
      <c r="A1495" s="413" t="inlineStr">
        <is>
          <t>LMHT</t>
        </is>
      </c>
      <c r="B1495" s="413" t="inlineStr">
        <is>
          <t>LMHT</t>
        </is>
      </c>
      <c r="C1495" s="413" t="inlineStr">
        <is>
          <t>LMHT.0494809</t>
        </is>
      </c>
      <c r="D1495" s="414" t="inlineStr">
        <is>
          <t>TC.000041|TC.000182|TC.000169.A</t>
        </is>
      </c>
      <c r="E1495" s="414" t="n"/>
      <c r="F1495" s="414" t="inlineStr">
        <is>
          <t>CP.0001^Bê tông thân trụ T2 đoạn 2 (đợt 2)^Hình trụ 15x30 (cm)^18^C30 (30Mpa)^^^TC.000041|TC.000182|TC.000169.A</t>
        </is>
      </c>
      <c r="G1495" s="414" t="n"/>
      <c r="H1495" s="414" t="n"/>
      <c r="J1495" s="175" t="inlineStr">
        <is>
          <t>15</t>
        </is>
      </c>
      <c r="K1495" s="175" t="inlineStr">
        <is>
          <t>LMHT</t>
        </is>
      </c>
      <c r="L1495" s="176" t="inlineStr">
        <is>
          <t>Bê tông thân trụ T2 đoạn 2 (đợt 2)</t>
        </is>
      </c>
      <c r="M1495" s="176" t="n"/>
      <c r="N1495" s="176" t="n"/>
      <c r="O1495" s="177" t="inlineStr">
        <is>
          <t>Cầu KM19+529.080</t>
        </is>
      </c>
      <c r="P1495" s="299" t="n"/>
      <c r="Q1495" s="299" t="n"/>
      <c r="R1495" s="299" t="n"/>
      <c r="S1495" s="299">
        <f>S1491</f>
        <v/>
      </c>
      <c r="T1495" s="300">
        <f>T1494</f>
        <v/>
      </c>
      <c r="U1495" s="300">
        <f>U1494</f>
        <v/>
      </c>
      <c r="V1495" s="300">
        <f>V1494</f>
        <v/>
      </c>
      <c r="W1495" s="301" t="n"/>
      <c r="X1495" s="301" t="n"/>
      <c r="Y1495" s="301" t="n"/>
      <c r="Z1495" s="301" t="n"/>
      <c r="AA1495" s="180" t="n"/>
      <c r="AB1495" s="180" t="n"/>
      <c r="AC1495" s="180" t="n"/>
      <c r="AD1495" s="180" t="n"/>
      <c r="AE1495" s="180" t="n"/>
      <c r="AF1495" s="180" t="n"/>
      <c r="AG1495" s="180" t="n"/>
      <c r="AH1495" s="180" t="n"/>
      <c r="AI1495" s="301" t="n"/>
      <c r="AJ1495" s="301" t="n"/>
      <c r="AK1495" s="303" t="n"/>
      <c r="AL1495" s="301" t="n"/>
      <c r="AM1495" s="301" t="n"/>
      <c r="AN1495" s="301" t="n"/>
      <c r="AO1495" s="301" t="n"/>
      <c r="AP1495" s="181" t="n"/>
      <c r="AQ1495" s="181" t="n"/>
      <c r="AR1495" s="301" t="inlineStr">
        <is>
          <t>Nhóm 1</t>
        </is>
      </c>
      <c r="AS1495" s="301" t="n"/>
      <c r="AT1495" s="301" t="inlineStr">
        <is>
          <t>HM49</t>
        </is>
      </c>
      <c r="AU1495" s="301" t="inlineStr">
        <is>
          <t>LMHT</t>
        </is>
      </c>
      <c r="AV1495" s="301" t="n">
        <v>49</v>
      </c>
      <c r="AW1495" s="301" t="n">
        <v>1</v>
      </c>
      <c r="AX1495" s="301" t="n"/>
    </row>
    <row r="1496">
      <c r="A1496" s="413" t="inlineStr">
        <is>
          <t>BBK680</t>
        </is>
      </c>
      <c r="B1496" s="413" t="inlineStr">
        <is>
          <t>PYC</t>
        </is>
      </c>
      <c r="C1496" s="413" t="inlineStr">
        <is>
          <t>BBK680.0447865</t>
        </is>
      </c>
      <c r="D1496" s="414" t="n"/>
      <c r="E1496" s="414" t="n"/>
      <c r="F1496" s="414" t="n"/>
      <c r="G1496" s="414" t="n"/>
      <c r="H1496" s="414" t="n"/>
      <c r="J1496" s="168" t="inlineStr">
        <is>
          <t>16</t>
        </is>
      </c>
      <c r="K1496" s="168" t="inlineStr">
        <is>
          <t>PYC</t>
        </is>
      </c>
      <c r="L1496" s="169" t="inlineStr">
        <is>
          <t>phiếu yêu cầu</t>
        </is>
      </c>
      <c r="M1496" s="169" t="n"/>
      <c r="N1496" s="169" t="n"/>
      <c r="O1496" s="170" t="inlineStr">
        <is>
          <t>Cầu KM19+529.080</t>
        </is>
      </c>
      <c r="P1496" s="405" t="n"/>
      <c r="Q1496" s="405" t="n"/>
      <c r="R1496" s="401">
        <f>+R1497</f>
        <v/>
      </c>
      <c r="S1496" s="405">
        <f>R1496+1</f>
        <v/>
      </c>
      <c r="T1496" s="405" t="n"/>
      <c r="U1496" s="405" t="n"/>
      <c r="V1496" s="405" t="n"/>
      <c r="W1496" s="406" t="n"/>
      <c r="X1496" s="406" t="n"/>
      <c r="Y1496" s="406" t="n"/>
      <c r="Z1496" s="406" t="n"/>
      <c r="AA1496" s="173" t="n"/>
      <c r="AB1496" s="173" t="inlineStr">
        <is>
          <t>307HG/YCNT/TT/T2-Đ2/Đ2</t>
        </is>
      </c>
      <c r="AC1496" s="173" t="n"/>
      <c r="AD1496" s="173" t="n"/>
      <c r="AE1496" s="173" t="n"/>
      <c r="AF1496" s="173" t="n"/>
      <c r="AG1496" s="129" t="inlineStr">
        <is>
          <t>NTCV</t>
        </is>
      </c>
      <c r="AH1496" s="173" t="n">
        <v>5</v>
      </c>
      <c r="AI1496" s="406" t="n"/>
      <c r="AJ1496" s="406" t="n"/>
      <c r="AK1496" s="408" t="n"/>
      <c r="AL1496" s="406" t="n"/>
      <c r="AM1496" s="406" t="n"/>
      <c r="AN1496" s="406" t="n"/>
      <c r="AO1496" s="406" t="n"/>
      <c r="AP1496" s="174" t="n"/>
      <c r="AQ1496" s="174" t="n"/>
      <c r="AR1496" s="406" t="inlineStr">
        <is>
          <t>Nhóm 1</t>
        </is>
      </c>
      <c r="AS1496" s="406" t="n"/>
      <c r="AT1496" s="406" t="inlineStr">
        <is>
          <t>HM49</t>
        </is>
      </c>
      <c r="AU1496" s="406" t="inlineStr">
        <is>
          <t>PYC</t>
        </is>
      </c>
      <c r="AV1496" s="406" t="n">
        <v>102</v>
      </c>
      <c r="AW1496" s="406" t="n">
        <v>3</v>
      </c>
      <c r="AX1496" s="406" t="n"/>
    </row>
    <row r="1497">
      <c r="A1497" s="413" t="inlineStr">
        <is>
          <t>NTCV</t>
        </is>
      </c>
      <c r="B1497" s="413" t="inlineStr">
        <is>
          <t>K.9999</t>
        </is>
      </c>
      <c r="C1497" s="413" t="inlineStr">
        <is>
          <t>NTCV.0989515</t>
        </is>
      </c>
      <c r="D1497" s="414" t="n"/>
      <c r="E1497" s="414" t="n"/>
      <c r="F1497" s="414" t="n"/>
      <c r="G1497" s="414" t="n"/>
      <c r="H1497" s="414" t="n"/>
      <c r="J1497" s="147" t="inlineStr">
        <is>
          <t>17</t>
        </is>
      </c>
      <c r="K1497" s="147" t="inlineStr">
        <is>
          <t>K.9999</t>
        </is>
      </c>
      <c r="L1497" s="148" t="inlineStr">
        <is>
          <t>Tháo ván khuôn thân trụ T2 đoạn 2 (đợt 2)</t>
        </is>
      </c>
      <c r="M1497" s="148" t="n"/>
      <c r="N1497" s="148" t="n"/>
      <c r="O1497" s="149" t="inlineStr">
        <is>
          <t>Cầu KM19+529.080</t>
        </is>
      </c>
      <c r="P1497" s="415">
        <f>S1495</f>
        <v/>
      </c>
      <c r="Q1497" s="415">
        <f>+P1497+3</f>
        <v/>
      </c>
      <c r="R1497" s="415">
        <f>Q1497-1</f>
        <v/>
      </c>
      <c r="S1497" s="415">
        <f>Q1497</f>
        <v/>
      </c>
      <c r="T1497" s="416" t="n">
        <v>0.3541666666666667</v>
      </c>
      <c r="U1497" s="416">
        <f>+T1497+V1497</f>
        <v/>
      </c>
      <c r="V1497" s="416" t="n">
        <v>0.01388888888888889</v>
      </c>
      <c r="W1497" s="411">
        <f>TEXT(T1497,"HH""h""MM'")&amp;"÷"&amp;TEXT(U1497,"HH""h""MM'")</f>
        <v/>
      </c>
      <c r="X1497" s="417" t="n"/>
      <c r="Y1497" s="417" t="n"/>
      <c r="Z1497" s="417" t="inlineStr">
        <is>
          <t>06;</t>
        </is>
      </c>
      <c r="AA1497" s="150" t="inlineStr">
        <is>
          <t>Kiểm tra ván khuôn Bệ trụ T2 đoạn 2</t>
        </is>
      </c>
      <c r="AB1497" s="150" t="inlineStr">
        <is>
          <t>307HG/YCNT/TT/T2-Đ2/Đ2-3</t>
        </is>
      </c>
      <c r="AC1497" s="150" t="inlineStr">
        <is>
          <t>307HG/BBNT/TT/T2-Đ2/Đ2-5</t>
        </is>
      </c>
      <c r="AD1497" s="150" t="n"/>
      <c r="AE1497" s="150" t="n"/>
      <c r="AF1497" s="150" t="n"/>
      <c r="AG1497" s="150" t="n"/>
      <c r="AH1497" s="150" t="n"/>
      <c r="AI1497" s="417" t="n"/>
      <c r="AJ1497" s="417" t="n"/>
      <c r="AK1497" s="418" t="n"/>
      <c r="AL1497" s="417" t="n"/>
      <c r="AM1497" s="417" t="n"/>
      <c r="AN1497" s="417" t="n"/>
      <c r="AO1497" s="417" t="n"/>
      <c r="AP1497" s="151" t="n"/>
      <c r="AQ1497" s="151" t="n"/>
      <c r="AR1497" s="417" t="inlineStr">
        <is>
          <t>Nhóm 1</t>
        </is>
      </c>
      <c r="AS1497" s="417" t="n"/>
      <c r="AT1497" s="417" t="inlineStr">
        <is>
          <t>HM49</t>
        </is>
      </c>
      <c r="AU1497" s="417" t="inlineStr">
        <is>
          <t>NTCV</t>
        </is>
      </c>
      <c r="AV1497" s="417" t="n">
        <v>447</v>
      </c>
      <c r="AW1497" s="417" t="n">
        <v>5</v>
      </c>
      <c r="AX1497" s="417" t="n"/>
    </row>
    <row r="1498">
      <c r="A1498" s="413" t="inlineStr">
        <is>
          <t>BBK587</t>
        </is>
      </c>
      <c r="B1498" s="413" t="inlineStr">
        <is>
          <t>PL07.02</t>
        </is>
      </c>
      <c r="C1498" s="413" t="inlineStr">
        <is>
          <t>BBK587.0599610</t>
        </is>
      </c>
      <c r="D1498" s="414" t="n"/>
      <c r="E1498" s="414" t="n"/>
      <c r="F1498" s="414" t="n"/>
      <c r="G1498" s="414" t="n"/>
      <c r="H1498" s="414" t="n"/>
      <c r="J1498" s="108" t="inlineStr">
        <is>
          <t>18</t>
        </is>
      </c>
      <c r="K1498" s="108" t="inlineStr">
        <is>
          <t>PL07.02</t>
        </is>
      </c>
      <c r="L1498" s="109">
        <f>+L1497</f>
        <v/>
      </c>
      <c r="M1498" s="109" t="n"/>
      <c r="N1498" s="109" t="n"/>
      <c r="O1498" s="110" t="inlineStr">
        <is>
          <t>Cầu KM19+529.080</t>
        </is>
      </c>
      <c r="P1498" s="401" t="n"/>
      <c r="Q1498" s="401" t="n"/>
      <c r="R1498" s="401" t="n"/>
      <c r="S1498" s="401">
        <f>S1497</f>
        <v/>
      </c>
      <c r="T1498" s="401" t="n"/>
      <c r="U1498" s="401" t="n"/>
      <c r="V1498" s="401" t="n"/>
      <c r="W1498" s="403" t="n"/>
      <c r="X1498" s="403" t="n"/>
      <c r="Y1498" s="403" t="n"/>
      <c r="Z1498" s="108" t="n">
        <v>6</v>
      </c>
      <c r="AA1498" s="113" t="n"/>
      <c r="AB1498" s="113" t="n"/>
      <c r="AC1498" s="113" t="inlineStr">
        <is>
          <t>307HG/BBNT/TT/T2-Đ2/Đ2-5</t>
        </is>
      </c>
      <c r="AD1498" s="113" t="n"/>
      <c r="AE1498" s="113" t="n"/>
      <c r="AF1498" s="113" t="n"/>
      <c r="AG1498" s="113" t="n"/>
      <c r="AH1498" s="114" t="inlineStr">
        <is>
          <t>TT-T2-Đ2-Đ2</t>
        </is>
      </c>
      <c r="AI1498" s="403" t="n"/>
      <c r="AJ1498" s="403" t="n"/>
      <c r="AK1498" s="404" t="n"/>
      <c r="AL1498" s="403" t="n"/>
      <c r="AM1498" s="403" t="n"/>
      <c r="AN1498" s="403" t="n"/>
      <c r="AO1498" s="403" t="n"/>
      <c r="AP1498" s="115" t="n"/>
      <c r="AQ1498" s="115" t="inlineStr">
        <is>
          <t>Ảnh\TT DD1 T1,T2.png</t>
        </is>
      </c>
      <c r="AR1498" s="403" t="inlineStr">
        <is>
          <t>Nhóm 1</t>
        </is>
      </c>
      <c r="AS1498" s="403" t="n"/>
      <c r="AT1498" s="403" t="inlineStr">
        <is>
          <t>HM49</t>
        </is>
      </c>
      <c r="AU1498" s="403" t="inlineStr">
        <is>
          <t>PL07.02</t>
        </is>
      </c>
      <c r="AV1498" s="403" t="n">
        <v>9</v>
      </c>
      <c r="AW1498" s="403" t="n">
        <v>1</v>
      </c>
      <c r="AX1498" s="403" t="n"/>
    </row>
    <row r="1499" ht="28" customHeight="1" s="672">
      <c r="A1499" s="413" t="inlineStr">
        <is>
          <t>BBK680</t>
        </is>
      </c>
      <c r="B1499" s="413" t="inlineStr">
        <is>
          <t>PYC</t>
        </is>
      </c>
      <c r="C1499" s="413" t="inlineStr">
        <is>
          <t>BBK680.0751686</t>
        </is>
      </c>
      <c r="D1499" s="414" t="n"/>
      <c r="E1499" s="414" t="n"/>
      <c r="F1499" s="414" t="n"/>
      <c r="G1499" s="414" t="n"/>
      <c r="H1499" s="414" t="n"/>
      <c r="J1499" s="168" t="inlineStr">
        <is>
          <t>19</t>
        </is>
      </c>
      <c r="K1499" s="168" t="inlineStr">
        <is>
          <t>PYC</t>
        </is>
      </c>
      <c r="L1499" s="169" t="inlineStr">
        <is>
          <t>phiếu yêu cầu</t>
        </is>
      </c>
      <c r="M1499" s="169" t="n"/>
      <c r="N1499" s="169" t="n"/>
      <c r="O1499" s="170" t="inlineStr">
        <is>
          <t>Cầu KM19+529.080</t>
        </is>
      </c>
      <c r="P1499" s="405" t="n"/>
      <c r="Q1499" s="405" t="n"/>
      <c r="R1499" s="405">
        <f>S1499-1</f>
        <v/>
      </c>
      <c r="S1499" s="405">
        <f>S1495+7</f>
        <v/>
      </c>
      <c r="T1499" s="428" t="n">
        <v>0.3333333333333333</v>
      </c>
      <c r="U1499" s="428">
        <f>+T1499+V1499</f>
        <v/>
      </c>
      <c r="V1499" s="428" t="n">
        <v>0.02083333333333333</v>
      </c>
      <c r="W1499" s="406" t="n"/>
      <c r="X1499" s="406" t="n"/>
      <c r="Y1499" s="406" t="n"/>
      <c r="Z1499" s="406" t="n"/>
      <c r="AA1499" s="173" t="inlineStr">
        <is>
          <t>Theo dõi nén mẫu R7 bê tông thân trụ T2 đoạn 2 (đợt 2)</t>
        </is>
      </c>
      <c r="AB1499" s="173" t="inlineStr">
        <is>
          <t>307HG/YCNT/TT/T2-Đ2/Đ2-R7</t>
        </is>
      </c>
      <c r="AC1499" s="173" t="n"/>
      <c r="AD1499" s="173" t="n"/>
      <c r="AE1499" s="173" t="n"/>
      <c r="AF1499" s="173" t="n"/>
      <c r="AG1499" s="173" t="inlineStr">
        <is>
          <t>PYC</t>
        </is>
      </c>
      <c r="AH1499" s="173" t="n">
        <v>4</v>
      </c>
      <c r="AI1499" s="406" t="n"/>
      <c r="AJ1499" s="406" t="n"/>
      <c r="AK1499" s="408" t="n"/>
      <c r="AL1499" s="406" t="n"/>
      <c r="AM1499" s="406" t="n"/>
      <c r="AN1499" s="406" t="n"/>
      <c r="AO1499" s="406" t="n"/>
      <c r="AP1499" s="174" t="n"/>
      <c r="AQ1499" s="174" t="n"/>
      <c r="AR1499" s="406" t="inlineStr">
        <is>
          <t>Nhóm 1</t>
        </is>
      </c>
      <c r="AS1499" s="406" t="n"/>
      <c r="AT1499" s="406" t="inlineStr">
        <is>
          <t>HM49</t>
        </is>
      </c>
      <c r="AU1499" s="406" t="inlineStr">
        <is>
          <t>PYC</t>
        </is>
      </c>
      <c r="AV1499" s="406" t="n">
        <v>110</v>
      </c>
      <c r="AW1499" s="406" t="n">
        <v>4</v>
      </c>
      <c r="AX1499" s="406" t="n"/>
    </row>
    <row r="1500" ht="28" customHeight="1" s="672">
      <c r="A1500" s="413" t="inlineStr">
        <is>
          <t>BBK680</t>
        </is>
      </c>
      <c r="B1500" s="413" t="inlineStr">
        <is>
          <t>PYC</t>
        </is>
      </c>
      <c r="C1500" s="413" t="inlineStr">
        <is>
          <t>BBK680.0285876</t>
        </is>
      </c>
      <c r="D1500" s="414" t="n"/>
      <c r="E1500" s="414" t="n"/>
      <c r="F1500" s="414" t="n"/>
      <c r="G1500" s="414" t="n"/>
      <c r="H1500" s="414" t="n"/>
      <c r="J1500" s="108" t="inlineStr">
        <is>
          <t>20</t>
        </is>
      </c>
      <c r="K1500" s="108" t="inlineStr">
        <is>
          <t>PYC</t>
        </is>
      </c>
      <c r="L1500" s="109" t="inlineStr">
        <is>
          <t>phiếu yêu cầu</t>
        </is>
      </c>
      <c r="M1500" s="109" t="n"/>
      <c r="N1500" s="109" t="n"/>
      <c r="O1500" s="110" t="inlineStr">
        <is>
          <t>Cầu KM19+529.080</t>
        </is>
      </c>
      <c r="P1500" s="401" t="n"/>
      <c r="Q1500" s="401" t="n"/>
      <c r="R1500" s="401">
        <f>S1500-1</f>
        <v/>
      </c>
      <c r="S1500" s="401">
        <f>S1495+28</f>
        <v/>
      </c>
      <c r="T1500" s="402" t="n">
        <v>0.3541666666666667</v>
      </c>
      <c r="U1500" s="402">
        <f>+T1500+V1500</f>
        <v/>
      </c>
      <c r="V1500" s="402" t="n">
        <v>0.02083333333333333</v>
      </c>
      <c r="W1500" s="403" t="n"/>
      <c r="X1500" s="403" t="n"/>
      <c r="Y1500" s="403" t="n"/>
      <c r="Z1500" s="403" t="n"/>
      <c r="AA1500" s="113" t="inlineStr">
        <is>
          <t>Theo dõi nén mẫu R28 bê tông thân trụ T2 đoạn 2 (đợt 2)</t>
        </is>
      </c>
      <c r="AB1500" s="113" t="inlineStr">
        <is>
          <t>307HG/YCNT/TT/T2-Đ2/Đ2-R28</t>
        </is>
      </c>
      <c r="AC1500" s="113" t="n"/>
      <c r="AD1500" s="113" t="n"/>
      <c r="AE1500" s="113" t="n"/>
      <c r="AF1500" s="113" t="n"/>
      <c r="AG1500" s="113" t="inlineStr">
        <is>
          <t>PYC</t>
        </is>
      </c>
      <c r="AH1500" s="113" t="n">
        <v>5</v>
      </c>
      <c r="AI1500" s="403" t="n"/>
      <c r="AJ1500" s="403" t="n"/>
      <c r="AK1500" s="404" t="n"/>
      <c r="AL1500" s="403" t="n"/>
      <c r="AM1500" s="403" t="n"/>
      <c r="AN1500" s="403" t="n"/>
      <c r="AO1500" s="403" t="n"/>
      <c r="AP1500" s="115" t="n"/>
      <c r="AQ1500" s="115" t="n"/>
      <c r="AR1500" s="403" t="inlineStr">
        <is>
          <t>Nhóm 1</t>
        </is>
      </c>
      <c r="AS1500" s="403" t="n"/>
      <c r="AT1500" s="403" t="inlineStr">
        <is>
          <t>HM49</t>
        </is>
      </c>
      <c r="AU1500" s="403" t="inlineStr">
        <is>
          <t>PYC</t>
        </is>
      </c>
      <c r="AV1500" s="403" t="n">
        <v>135</v>
      </c>
      <c r="AW1500" s="403" t="n">
        <v>5</v>
      </c>
      <c r="AX1500" s="403" t="n"/>
    </row>
    <row r="1501">
      <c r="A1501" s="56" t="inlineStr">
        <is>
          <t>HM</t>
        </is>
      </c>
      <c r="B1501" s="56" t="inlineStr">
        <is>
          <t>HM</t>
        </is>
      </c>
      <c r="C1501" s="56" t="inlineStr">
        <is>
          <t>HM.0899554</t>
        </is>
      </c>
      <c r="D1501" s="57" t="n"/>
      <c r="E1501" s="57" t="n"/>
      <c r="F1501" s="57" t="n"/>
      <c r="G1501" s="57" t="n"/>
      <c r="H1501" s="57" t="n"/>
      <c r="J1501" s="387" t="inlineStr">
        <is>
          <t>HM50</t>
        </is>
      </c>
      <c r="K1501" s="387" t="inlineStr">
        <is>
          <t>HM</t>
        </is>
      </c>
      <c r="L1501" s="388" t="inlineStr">
        <is>
          <t>Thân trụ T2 đoạn 1 (đợt 1)</t>
        </is>
      </c>
      <c r="M1501" s="388" t="n"/>
      <c r="N1501" s="388" t="n"/>
      <c r="O1501" s="389" t="n"/>
      <c r="P1501" s="390" t="n"/>
      <c r="Q1501" s="390" t="n"/>
      <c r="R1501" s="390" t="n"/>
      <c r="S1501" s="390" t="n"/>
      <c r="T1501" s="390" t="n"/>
      <c r="U1501" s="390" t="n"/>
      <c r="V1501" s="390" t="n"/>
      <c r="W1501" s="391" t="n"/>
      <c r="X1501" s="391" t="n"/>
      <c r="Y1501" s="391" t="n"/>
      <c r="Z1501" s="391" t="n"/>
      <c r="AA1501" s="392" t="n"/>
      <c r="AB1501" s="392" t="n"/>
      <c r="AC1501" s="392" t="n"/>
      <c r="AD1501" s="392" t="n"/>
      <c r="AE1501" s="392" t="n"/>
      <c r="AF1501" s="392" t="n"/>
      <c r="AG1501" s="392" t="n"/>
      <c r="AH1501" s="392" t="n"/>
      <c r="AI1501" s="391" t="n"/>
      <c r="AJ1501" s="391" t="n"/>
      <c r="AK1501" s="393" t="n"/>
      <c r="AL1501" s="391" t="n"/>
      <c r="AM1501" s="391" t="n"/>
      <c r="AN1501" s="391" t="n"/>
      <c r="AO1501" s="391" t="n"/>
      <c r="AP1501" s="394" t="n"/>
      <c r="AQ1501" s="394" t="n"/>
      <c r="AR1501" s="391" t="n"/>
      <c r="AS1501" s="391" t="n"/>
      <c r="AT1501" s="391" t="inlineStr">
        <is>
          <t>HM50</t>
        </is>
      </c>
      <c r="AU1501" s="391" t="inlineStr">
        <is>
          <t>HM</t>
        </is>
      </c>
      <c r="AV1501" s="391" t="n"/>
      <c r="AW1501" s="391" t="n"/>
      <c r="AX1501" s="391" t="n"/>
    </row>
    <row r="1502" ht="28" customHeight="1" s="672">
      <c r="A1502" s="68" t="inlineStr">
        <is>
          <t>BBK_BIA</t>
        </is>
      </c>
      <c r="B1502" s="68" t="inlineStr">
        <is>
          <t>TRANGBIA</t>
        </is>
      </c>
      <c r="C1502" s="68" t="inlineStr">
        <is>
          <t>BBK_BIA.0847276</t>
        </is>
      </c>
      <c r="D1502" s="69" t="n"/>
      <c r="E1502" s="69" t="n"/>
      <c r="F1502" s="69" t="n"/>
      <c r="G1502" s="69" t="n"/>
      <c r="H1502" s="69" t="n"/>
      <c r="I1502" s="70" t="n"/>
      <c r="J1502" s="327" t="inlineStr">
        <is>
          <t>01</t>
        </is>
      </c>
      <c r="K1502" s="327" t="inlineStr">
        <is>
          <t>TRANGBIA</t>
        </is>
      </c>
      <c r="L1502" s="328">
        <f>L1501</f>
        <v/>
      </c>
      <c r="M1502" s="328" t="n"/>
      <c r="N1502" s="328" t="n"/>
      <c r="O1502" s="329" t="inlineStr">
        <is>
          <t>Cầu KM19+529.080</t>
        </is>
      </c>
      <c r="P1502" s="330" t="n"/>
      <c r="Q1502" s="330" t="n"/>
      <c r="R1502" s="330" t="n"/>
      <c r="S1502" s="330" t="n"/>
      <c r="T1502" s="330" t="n"/>
      <c r="U1502" s="330" t="n"/>
      <c r="V1502" s="330" t="n"/>
      <c r="W1502" s="331" t="n"/>
      <c r="X1502" s="331" t="n"/>
      <c r="Y1502" s="331" t="n"/>
      <c r="Z1502" s="331" t="n"/>
      <c r="AA1502" s="331" t="n"/>
      <c r="AB1502" s="331" t="n"/>
      <c r="AC1502" s="331" t="n"/>
      <c r="AD1502" s="331" t="n"/>
      <c r="AE1502" s="331" t="n"/>
      <c r="AF1502" s="331" t="n"/>
      <c r="AG1502" s="331" t="n"/>
      <c r="AH1502" s="331" t="n"/>
      <c r="AI1502" s="331" t="n"/>
      <c r="AJ1502" s="331" t="n"/>
      <c r="AK1502" s="329" t="n"/>
      <c r="AL1502" s="331" t="n"/>
      <c r="AM1502" s="331" t="n"/>
      <c r="AN1502" s="331" t="n"/>
      <c r="AO1502" s="331" t="n"/>
      <c r="AP1502" s="332">
        <f>L1502</f>
        <v/>
      </c>
      <c r="AQ1502" s="333" t="n"/>
      <c r="AR1502" s="331" t="inlineStr">
        <is>
          <t>Nhóm 1</t>
        </is>
      </c>
      <c r="AS1502" s="331" t="n"/>
      <c r="AT1502" s="331" t="inlineStr">
        <is>
          <t>HM50</t>
        </is>
      </c>
      <c r="AU1502" s="331" t="inlineStr">
        <is>
          <t>TRANGBIA</t>
        </is>
      </c>
      <c r="AV1502" s="331" t="n">
        <v>50</v>
      </c>
      <c r="AW1502" s="331" t="n">
        <v>1</v>
      </c>
      <c r="AX1502" s="331" t="n"/>
    </row>
    <row r="1503">
      <c r="A1503" s="68" t="inlineStr">
        <is>
          <t>BBK_ML</t>
        </is>
      </c>
      <c r="B1503" s="68" t="inlineStr">
        <is>
          <t>MUCLUC</t>
        </is>
      </c>
      <c r="C1503" s="68" t="inlineStr">
        <is>
          <t>BBK_ML.0325339</t>
        </is>
      </c>
      <c r="D1503" s="69" t="n"/>
      <c r="E1503" s="69" t="n"/>
      <c r="F1503" s="69" t="n"/>
      <c r="G1503" s="69" t="n"/>
      <c r="H1503" s="69" t="n"/>
      <c r="I1503" s="70" t="n"/>
      <c r="J1503" s="395" t="inlineStr">
        <is>
          <t>02</t>
        </is>
      </c>
      <c r="K1503" s="395" t="inlineStr">
        <is>
          <t>MUCLUC</t>
        </is>
      </c>
      <c r="L1503" s="396" t="inlineStr">
        <is>
          <t>Danh mục biên bản Kiểm tra/Nghiệm thu</t>
        </is>
      </c>
      <c r="M1503" s="396" t="n"/>
      <c r="N1503" s="396" t="n"/>
      <c r="O1503" s="397" t="inlineStr">
        <is>
          <t>Cầu KM19+529.080</t>
        </is>
      </c>
      <c r="P1503" s="398" t="n"/>
      <c r="Q1503" s="398" t="n"/>
      <c r="R1503" s="398" t="n"/>
      <c r="S1503" s="398" t="n"/>
      <c r="T1503" s="398" t="n"/>
      <c r="U1503" s="398" t="n"/>
      <c r="V1503" s="398" t="n"/>
      <c r="W1503" s="399" t="n"/>
      <c r="X1503" s="399" t="n"/>
      <c r="Y1503" s="399" t="n"/>
      <c r="Z1503" s="399" t="n"/>
      <c r="AA1503" s="399" t="n"/>
      <c r="AB1503" s="399" t="n"/>
      <c r="AC1503" s="399" t="n"/>
      <c r="AD1503" s="399" t="n"/>
      <c r="AE1503" s="399" t="n"/>
      <c r="AF1503" s="399" t="n"/>
      <c r="AG1503" s="399" t="n"/>
      <c r="AH1503" s="399" t="n"/>
      <c r="AI1503" s="399" t="n"/>
      <c r="AJ1503" s="399" t="n"/>
      <c r="AK1503" s="397" t="n"/>
      <c r="AL1503" s="399" t="n"/>
      <c r="AM1503" s="399" t="n"/>
      <c r="AN1503" s="399" t="n"/>
      <c r="AO1503" s="399" t="n"/>
      <c r="AP1503" s="400" t="n"/>
      <c r="AQ1503" s="400" t="n"/>
      <c r="AR1503" s="399" t="inlineStr">
        <is>
          <t>Nhóm 1</t>
        </is>
      </c>
      <c r="AS1503" s="399" t="n"/>
      <c r="AT1503" s="399" t="inlineStr">
        <is>
          <t>HM50</t>
        </is>
      </c>
      <c r="AU1503" s="399" t="inlineStr">
        <is>
          <t>MUCLUC</t>
        </is>
      </c>
      <c r="AV1503" s="399" t="n">
        <v>50</v>
      </c>
      <c r="AW1503" s="399" t="n">
        <v>1</v>
      </c>
      <c r="AX1503" s="399" t="n"/>
    </row>
    <row r="1504">
      <c r="A1504" s="56" t="inlineStr">
        <is>
          <t>BBK680</t>
        </is>
      </c>
      <c r="B1504" s="56" t="inlineStr">
        <is>
          <t>PYC</t>
        </is>
      </c>
      <c r="C1504" s="56" t="inlineStr">
        <is>
          <t>BBK680.0864964</t>
        </is>
      </c>
      <c r="D1504" s="57" t="n"/>
      <c r="E1504" s="57" t="n"/>
      <c r="F1504" s="57" t="n"/>
      <c r="G1504" s="57" t="n"/>
      <c r="H1504" s="57" t="n"/>
      <c r="J1504" s="108" t="inlineStr">
        <is>
          <t>03</t>
        </is>
      </c>
      <c r="K1504" s="108" t="inlineStr">
        <is>
          <t>PYC</t>
        </is>
      </c>
      <c r="L1504" s="109" t="inlineStr">
        <is>
          <t>phiếu yêu cầu</t>
        </is>
      </c>
      <c r="M1504" s="109" t="n"/>
      <c r="N1504" s="109" t="n"/>
      <c r="O1504" s="110" t="inlineStr">
        <is>
          <t>Cầu KM19+529.080</t>
        </is>
      </c>
      <c r="P1504" s="401" t="n"/>
      <c r="Q1504" s="401" t="n"/>
      <c r="R1504" s="401">
        <f>R1505</f>
        <v/>
      </c>
      <c r="S1504" s="401">
        <f>+R1504+1</f>
        <v/>
      </c>
      <c r="T1504" s="402">
        <f>T1505</f>
        <v/>
      </c>
      <c r="U1504" s="402">
        <f>U1505</f>
        <v/>
      </c>
      <c r="V1504" s="402">
        <f>V1505</f>
        <v/>
      </c>
      <c r="W1504" s="402">
        <f>W1505</f>
        <v/>
      </c>
      <c r="X1504" s="403" t="n"/>
      <c r="Y1504" s="403" t="n"/>
      <c r="Z1504" s="403" t="n"/>
      <c r="AA1504" s="113" t="n"/>
      <c r="AB1504" s="113" t="inlineStr">
        <is>
          <t>307HG/YCNT/TT/T2-Đ1/Đ1</t>
        </is>
      </c>
      <c r="AC1504" s="113" t="n"/>
      <c r="AD1504" s="113" t="n"/>
      <c r="AE1504" s="113" t="n"/>
      <c r="AF1504" s="113" t="n"/>
      <c r="AG1504" s="113" t="inlineStr">
        <is>
          <t>BBKTĐK;NTCV</t>
        </is>
      </c>
      <c r="AH1504" s="113" t="n">
        <v>1</v>
      </c>
      <c r="AI1504" s="403" t="n"/>
      <c r="AJ1504" s="403" t="n"/>
      <c r="AK1504" s="404" t="n"/>
      <c r="AL1504" s="403" t="n"/>
      <c r="AM1504" s="403" t="n"/>
      <c r="AN1504" s="403" t="n"/>
      <c r="AO1504" s="403" t="n"/>
      <c r="AP1504" s="115" t="n"/>
      <c r="AQ1504" s="115" t="n"/>
      <c r="AR1504" s="403" t="inlineStr">
        <is>
          <t>Nhóm 1</t>
        </is>
      </c>
      <c r="AS1504" s="403" t="n"/>
      <c r="AT1504" s="403" t="inlineStr">
        <is>
          <t>HM50</t>
        </is>
      </c>
      <c r="AU1504" s="403" t="inlineStr">
        <is>
          <t>PYC</t>
        </is>
      </c>
      <c r="AV1504" s="403" t="n">
        <v>104</v>
      </c>
      <c r="AW1504" s="403" t="n">
        <v>1</v>
      </c>
      <c r="AX1504" s="403" t="n"/>
    </row>
    <row r="1505" ht="28" customHeight="1" s="672">
      <c r="A1505" s="56" t="inlineStr">
        <is>
          <t>BBK884</t>
        </is>
      </c>
      <c r="B1505" s="56" t="inlineStr">
        <is>
          <t>BBKTĐK</t>
        </is>
      </c>
      <c r="C1505" s="56" t="inlineStr">
        <is>
          <t>BBK884.0512142</t>
        </is>
      </c>
      <c r="D1505" s="57" t="n"/>
      <c r="E1505" s="57" t="n"/>
      <c r="F1505" s="57" t="n"/>
      <c r="G1505" s="57" t="n"/>
      <c r="H1505" s="57" t="n"/>
      <c r="J1505" s="139" t="inlineStr">
        <is>
          <t>04</t>
        </is>
      </c>
      <c r="K1505" s="139" t="inlineStr">
        <is>
          <t>BBKTĐK</t>
        </is>
      </c>
      <c r="L1505" s="140" t="inlineStr">
        <is>
          <t>Kiểm tra điều kiện trước khi thi công thân trụ T2 đoạn 1 (đợt 1)</t>
        </is>
      </c>
      <c r="M1505" s="140" t="n"/>
      <c r="N1505" s="140" t="n"/>
      <c r="O1505" s="141" t="inlineStr">
        <is>
          <t>Cầu KM19+529.080</t>
        </is>
      </c>
      <c r="P1505" s="382">
        <f>+S1498+1</f>
        <v/>
      </c>
      <c r="Q1505" s="382">
        <f>P1505</f>
        <v/>
      </c>
      <c r="R1505" s="382">
        <f>Q1505-1</f>
        <v/>
      </c>
      <c r="S1505" s="382">
        <f>Q1505</f>
        <v/>
      </c>
      <c r="T1505" s="383" t="n">
        <v>0.3541666666666667</v>
      </c>
      <c r="U1505" s="383">
        <f>T1505+V1505</f>
        <v/>
      </c>
      <c r="V1505" s="383" t="n">
        <v>0.0625</v>
      </c>
      <c r="W1505" s="384">
        <f>TEXT(T1505,"HH""h""MM'")&amp;"÷"&amp;TEXT(U1505,"HH""h""MM'")</f>
        <v/>
      </c>
      <c r="X1505" s="384" t="n"/>
      <c r="Y1505" s="384" t="n"/>
      <c r="Z1505" s="384" t="inlineStr">
        <is>
          <t>01;</t>
        </is>
      </c>
      <c r="AA1505" s="144" t="inlineStr">
        <is>
          <t>Kiểm tra điều kiện trước khi thi công thân trụ T2 đoạn 1 (đợt 1)</t>
        </is>
      </c>
      <c r="AB1505" s="144" t="inlineStr">
        <is>
          <t>307HG/YCNT/TT/T2-Đ1/Đ1-1</t>
        </is>
      </c>
      <c r="AC1505" s="144" t="inlineStr">
        <is>
          <t>307HG/BBNT/TT/T2-Đ1/Đ1-1</t>
        </is>
      </c>
      <c r="AD1505" s="144" t="n"/>
      <c r="AE1505" s="144" t="n"/>
      <c r="AF1505" s="144" t="n"/>
      <c r="AG1505" s="144" t="n"/>
      <c r="AH1505" s="144" t="n"/>
      <c r="AI1505" s="384" t="n"/>
      <c r="AJ1505" s="384" t="n"/>
      <c r="AK1505" s="386" t="n"/>
      <c r="AL1505" s="384" t="n"/>
      <c r="AM1505" s="384" t="n"/>
      <c r="AN1505" s="384" t="n"/>
      <c r="AO1505" s="384" t="n"/>
      <c r="AP1505" s="146" t="n"/>
      <c r="AQ1505" s="146" t="n"/>
      <c r="AR1505" s="384" t="inlineStr">
        <is>
          <t>Nhóm 1</t>
        </is>
      </c>
      <c r="AS1505" s="384" t="n"/>
      <c r="AT1505" s="384" t="inlineStr">
        <is>
          <t>HM50</t>
        </is>
      </c>
      <c r="AU1505" s="384" t="inlineStr">
        <is>
          <t>BBKTĐK</t>
        </is>
      </c>
      <c r="AV1505" s="384" t="n">
        <v>41</v>
      </c>
      <c r="AW1505" s="384" t="n">
        <v>1</v>
      </c>
      <c r="AX1505" s="384" t="n"/>
    </row>
    <row r="1506">
      <c r="A1506" s="56" t="inlineStr">
        <is>
          <t>BBK860</t>
        </is>
      </c>
      <c r="B1506" s="56" t="inlineStr">
        <is>
          <t>PL01</t>
        </is>
      </c>
      <c r="C1506" s="56" t="inlineStr">
        <is>
          <t>BBK860.0209951</t>
        </is>
      </c>
      <c r="D1506" s="57" t="n"/>
      <c r="E1506" s="57" t="n"/>
      <c r="F1506" s="57" t="n"/>
      <c r="G1506" s="57" t="n"/>
      <c r="H1506" s="57" t="n"/>
      <c r="J1506" s="168" t="inlineStr">
        <is>
          <t>05</t>
        </is>
      </c>
      <c r="K1506" s="168" t="inlineStr">
        <is>
          <t>PL01</t>
        </is>
      </c>
      <c r="L1506" s="169" t="inlineStr">
        <is>
          <t>Phụ lục số 01</t>
        </is>
      </c>
      <c r="M1506" s="169" t="n"/>
      <c r="N1506" s="169" t="n"/>
      <c r="O1506" s="170" t="inlineStr">
        <is>
          <t>Cầu KM19+529.080</t>
        </is>
      </c>
      <c r="P1506" s="405" t="n"/>
      <c r="Q1506" s="405" t="n"/>
      <c r="R1506" s="405" t="n"/>
      <c r="S1506" s="405">
        <f>S1505</f>
        <v/>
      </c>
      <c r="T1506" s="405" t="n"/>
      <c r="U1506" s="405" t="n"/>
      <c r="V1506" s="405" t="n"/>
      <c r="W1506" s="406" t="n"/>
      <c r="X1506" s="406" t="n"/>
      <c r="Y1506" s="406" t="n"/>
      <c r="Z1506" s="168" t="n">
        <v>1</v>
      </c>
      <c r="AA1506" s="173" t="n"/>
      <c r="AB1506" s="173" t="n"/>
      <c r="AC1506" s="173" t="inlineStr">
        <is>
          <t>307HG/BBNT/TT/T2-Đ1/Đ1-1</t>
        </is>
      </c>
      <c r="AD1506" s="173" t="n"/>
      <c r="AE1506" s="173" t="n"/>
      <c r="AF1506" s="173" t="n"/>
      <c r="AG1506" s="173" t="n"/>
      <c r="AH1506" s="407" t="inlineStr">
        <is>
          <t>TT-T2-Đ1</t>
        </is>
      </c>
      <c r="AI1506" s="406" t="n"/>
      <c r="AJ1506" s="406" t="n"/>
      <c r="AK1506" s="408" t="n"/>
      <c r="AL1506" s="406" t="n"/>
      <c r="AM1506" s="406" t="n"/>
      <c r="AN1506" s="406" t="n"/>
      <c r="AO1506" s="406" t="n"/>
      <c r="AP1506" s="174" t="n"/>
      <c r="AQ1506" s="174" t="n"/>
      <c r="AR1506" s="406" t="inlineStr">
        <is>
          <t>Nhóm 1</t>
        </is>
      </c>
      <c r="AS1506" s="406" t="n"/>
      <c r="AT1506" s="406" t="inlineStr">
        <is>
          <t>HM50</t>
        </is>
      </c>
      <c r="AU1506" s="406" t="inlineStr">
        <is>
          <t>PL01</t>
        </is>
      </c>
      <c r="AV1506" s="406" t="n">
        <v>45</v>
      </c>
      <c r="AW1506" s="406" t="n">
        <v>1</v>
      </c>
      <c r="AX1506" s="406" t="n"/>
    </row>
    <row r="1507" ht="28" customHeight="1" s="672">
      <c r="A1507" s="56" t="inlineStr">
        <is>
          <t>NTCV</t>
        </is>
      </c>
      <c r="B1507" s="56" t="inlineStr">
        <is>
          <t>K.9999</t>
        </is>
      </c>
      <c r="C1507" s="56" t="inlineStr">
        <is>
          <t>NTCV.0885996</t>
        </is>
      </c>
      <c r="D1507" s="57" t="n"/>
      <c r="E1507" s="57" t="n"/>
      <c r="F1507" s="57" t="n"/>
      <c r="G1507" s="57" t="n"/>
      <c r="H1507" s="57" t="n"/>
      <c r="J1507" s="147" t="inlineStr">
        <is>
          <t>06</t>
        </is>
      </c>
      <c r="K1507" s="147" t="inlineStr">
        <is>
          <t>K.9999</t>
        </is>
      </c>
      <c r="L1507" s="148" t="inlineStr">
        <is>
          <t>Lắp dựng ván khuôn, thanh xuyên táo thân trụ T2 đoạn 1 (đợt 1)</t>
        </is>
      </c>
      <c r="M1507" s="148" t="n"/>
      <c r="N1507" s="148" t="n"/>
      <c r="O1507" s="149" t="inlineStr">
        <is>
          <t>Cầu KM19+529.080</t>
        </is>
      </c>
      <c r="P1507" s="415">
        <f>S1505+1</f>
        <v/>
      </c>
      <c r="Q1507" s="415">
        <f>P1507</f>
        <v/>
      </c>
      <c r="R1507" s="415">
        <f>Q1507-2</f>
        <v/>
      </c>
      <c r="S1507" s="415">
        <f>Q1507</f>
        <v/>
      </c>
      <c r="T1507" s="416" t="n">
        <v>0.375</v>
      </c>
      <c r="U1507" s="416">
        <f>+T1507+V1507</f>
        <v/>
      </c>
      <c r="V1507" s="416" t="n">
        <v>0.02083333333333333</v>
      </c>
      <c r="W1507" s="417">
        <f>TEXT(T1507,"HH""h""MM'")&amp;"÷"&amp;TEXT(U1507,"HH""h""MM'")</f>
        <v/>
      </c>
      <c r="X1507" s="417" t="n"/>
      <c r="Y1507" s="417" t="n"/>
      <c r="Z1507" s="417" t="inlineStr">
        <is>
          <t>02;</t>
        </is>
      </c>
      <c r="AA1507" s="150" t="inlineStr">
        <is>
          <t>Lắp dựng ván khuôn, thanh xuyên táo thân trụ T2 đoạn 1 (đợt 1)</t>
        </is>
      </c>
      <c r="AB1507" s="150" t="inlineStr">
        <is>
          <t>307HG/YCNT/TT/T2-Đ1/Đ1-1</t>
        </is>
      </c>
      <c r="AC1507" s="150" t="inlineStr">
        <is>
          <t>307HG/BBNT/TT/T2-Đ1/Đ1-2</t>
        </is>
      </c>
      <c r="AD1507" s="150" t="n"/>
      <c r="AE1507" s="150" t="n"/>
      <c r="AF1507" s="150" t="n"/>
      <c r="AG1507" s="150" t="n"/>
      <c r="AH1507" s="150" t="n"/>
      <c r="AI1507" s="417" t="n"/>
      <c r="AJ1507" s="417" t="n"/>
      <c r="AK1507" s="418" t="n"/>
      <c r="AL1507" s="417" t="n"/>
      <c r="AM1507" s="417" t="n"/>
      <c r="AN1507" s="417" t="n"/>
      <c r="AO1507" s="417" t="n"/>
      <c r="AP1507" s="151" t="n"/>
      <c r="AQ1507" s="151" t="n"/>
      <c r="AR1507" s="417" t="inlineStr">
        <is>
          <t>Nhóm 1</t>
        </is>
      </c>
      <c r="AS1507" s="417" t="n"/>
      <c r="AT1507" s="417" t="inlineStr">
        <is>
          <t>HM50</t>
        </is>
      </c>
      <c r="AU1507" s="417" t="inlineStr">
        <is>
          <t>NTCV</t>
        </is>
      </c>
      <c r="AV1507" s="417" t="n">
        <v>451</v>
      </c>
      <c r="AW1507" s="417" t="n">
        <v>1</v>
      </c>
      <c r="AX1507" s="417" t="n"/>
    </row>
    <row r="1508">
      <c r="A1508" s="56" t="inlineStr">
        <is>
          <t>BBK288</t>
        </is>
      </c>
      <c r="B1508" s="56" t="inlineStr">
        <is>
          <t>PL11.1</t>
        </is>
      </c>
      <c r="C1508" s="56" t="inlineStr">
        <is>
          <t>BBK288.0486949</t>
        </is>
      </c>
      <c r="D1508" s="57" t="n"/>
      <c r="E1508" s="57" t="n"/>
      <c r="F1508" s="57" t="n"/>
      <c r="G1508" s="57" t="n"/>
      <c r="H1508" s="57" t="n"/>
      <c r="J1508" s="108" t="inlineStr">
        <is>
          <t>07</t>
        </is>
      </c>
      <c r="K1508" s="108" t="inlineStr">
        <is>
          <t>PL11.1</t>
        </is>
      </c>
      <c r="L1508" s="109" t="inlineStr">
        <is>
          <t>Phụ lục số 11</t>
        </is>
      </c>
      <c r="M1508" s="109" t="n"/>
      <c r="N1508" s="109" t="n"/>
      <c r="O1508" s="110" t="inlineStr">
        <is>
          <t>Cầu KM19+529.080</t>
        </is>
      </c>
      <c r="P1508" s="401" t="n"/>
      <c r="Q1508" s="401" t="n"/>
      <c r="R1508" s="401" t="n"/>
      <c r="S1508" s="401">
        <f>S1507</f>
        <v/>
      </c>
      <c r="T1508" s="401" t="n"/>
      <c r="U1508" s="401" t="n"/>
      <c r="V1508" s="401" t="n"/>
      <c r="W1508" s="403" t="n"/>
      <c r="X1508" s="403" t="n"/>
      <c r="Y1508" s="403" t="n"/>
      <c r="Z1508" s="108" t="n">
        <v>2</v>
      </c>
      <c r="AA1508" s="113" t="n"/>
      <c r="AB1508" s="113" t="n"/>
      <c r="AC1508" s="113" t="inlineStr">
        <is>
          <t>307HG/BBNT/TT/T2-Đ1/Đ1-2</t>
        </is>
      </c>
      <c r="AD1508" s="113" t="n"/>
      <c r="AE1508" s="113" t="n"/>
      <c r="AF1508" s="113" t="n"/>
      <c r="AG1508" s="113" t="n"/>
      <c r="AH1508" s="114" t="inlineStr">
        <is>
          <t>TT-T2-Đ1-Đ1</t>
        </is>
      </c>
      <c r="AI1508" s="403" t="n"/>
      <c r="AJ1508" s="403" t="n"/>
      <c r="AK1508" s="404" t="n"/>
      <c r="AL1508" s="403" t="n"/>
      <c r="AM1508" s="403" t="n"/>
      <c r="AN1508" s="403" t="n"/>
      <c r="AO1508" s="403" t="n"/>
      <c r="AP1508" s="115" t="n"/>
      <c r="AQ1508" s="115" t="inlineStr">
        <is>
          <t>Ảnh\TT DD1 T1,T2.png</t>
        </is>
      </c>
      <c r="AR1508" s="403" t="inlineStr">
        <is>
          <t>Nhóm 1</t>
        </is>
      </c>
      <c r="AS1508" s="403" t="n"/>
      <c r="AT1508" s="403" t="inlineStr">
        <is>
          <t>HM50</t>
        </is>
      </c>
      <c r="AU1508" s="403" t="inlineStr">
        <is>
          <t>PL11.1</t>
        </is>
      </c>
      <c r="AV1508" s="403" t="n">
        <v>15</v>
      </c>
      <c r="AW1508" s="403" t="n">
        <v>1</v>
      </c>
      <c r="AX1508" s="403" t="n"/>
    </row>
    <row r="1509">
      <c r="A1509" s="56" t="inlineStr">
        <is>
          <t>BBK680</t>
        </is>
      </c>
      <c r="B1509" s="56" t="inlineStr">
        <is>
          <t>PYC</t>
        </is>
      </c>
      <c r="C1509" s="56" t="inlineStr">
        <is>
          <t>BBK680.0984323</t>
        </is>
      </c>
      <c r="D1509" s="57" t="n"/>
      <c r="E1509" s="57" t="n"/>
      <c r="F1509" s="57" t="n"/>
      <c r="G1509" s="57" t="n"/>
      <c r="H1509" s="57" t="n"/>
      <c r="J1509" s="168" t="inlineStr">
        <is>
          <t>08</t>
        </is>
      </c>
      <c r="K1509" s="168" t="inlineStr">
        <is>
          <t>PYC</t>
        </is>
      </c>
      <c r="L1509" s="169" t="inlineStr">
        <is>
          <t>phiếu yêu cầu</t>
        </is>
      </c>
      <c r="M1509" s="169" t="n"/>
      <c r="N1509" s="169" t="n"/>
      <c r="O1509" s="170" t="inlineStr">
        <is>
          <t>Cầu KM19+529.080</t>
        </is>
      </c>
      <c r="P1509" s="405" t="n"/>
      <c r="Q1509" s="405" t="n"/>
      <c r="R1509" s="401">
        <f>R1510</f>
        <v/>
      </c>
      <c r="S1509" s="405">
        <f>+R1509+1</f>
        <v/>
      </c>
      <c r="T1509" s="402">
        <f>T1510</f>
        <v/>
      </c>
      <c r="U1509" s="402">
        <f>U1510</f>
        <v/>
      </c>
      <c r="V1509" s="402">
        <f>V1510</f>
        <v/>
      </c>
      <c r="W1509" s="402">
        <f>W1510</f>
        <v/>
      </c>
      <c r="X1509" s="406" t="n"/>
      <c r="Y1509" s="406" t="n"/>
      <c r="Z1509" s="168" t="n">
        <v>2</v>
      </c>
      <c r="AA1509" s="173" t="n"/>
      <c r="AB1509" s="173" t="inlineStr">
        <is>
          <t>307HG/YCNT/TT/T2-Đ1/Đ1</t>
        </is>
      </c>
      <c r="AC1509" s="173" t="n"/>
      <c r="AD1509" s="173" t="n"/>
      <c r="AE1509" s="173" t="n"/>
      <c r="AF1509" s="173" t="n"/>
      <c r="AG1509" s="129" t="inlineStr">
        <is>
          <t>NTCV</t>
        </is>
      </c>
      <c r="AH1509" s="173" t="inlineStr">
        <is>
          <t>&gt;=2;&lt;=4</t>
        </is>
      </c>
      <c r="AI1509" s="406" t="n"/>
      <c r="AJ1509" s="406" t="n"/>
      <c r="AK1509" s="408" t="n"/>
      <c r="AL1509" s="406" t="n"/>
      <c r="AM1509" s="406" t="n"/>
      <c r="AN1509" s="406" t="n"/>
      <c r="AO1509" s="406" t="n"/>
      <c r="AP1509" s="174" t="n"/>
      <c r="AQ1509" s="174" t="n"/>
      <c r="AR1509" s="406" t="inlineStr">
        <is>
          <t>Nhóm 1</t>
        </is>
      </c>
      <c r="AS1509" s="406" t="n"/>
      <c r="AT1509" s="406" t="inlineStr">
        <is>
          <t>HM50</t>
        </is>
      </c>
      <c r="AU1509" s="406" t="inlineStr">
        <is>
          <t>PYC</t>
        </is>
      </c>
      <c r="AV1509" s="406" t="n">
        <v>109</v>
      </c>
      <c r="AW1509" s="406" t="n">
        <v>2</v>
      </c>
      <c r="AX1509" s="406" t="n"/>
    </row>
    <row r="1510" ht="28" customHeight="1" s="672">
      <c r="A1510" s="413" t="inlineStr">
        <is>
          <t>NTCV</t>
        </is>
      </c>
      <c r="B1510" s="413" t="inlineStr">
        <is>
          <t>K.9999</t>
        </is>
      </c>
      <c r="C1510" s="413" t="inlineStr">
        <is>
          <t>NTCV.0029005</t>
        </is>
      </c>
      <c r="D1510" s="414" t="n"/>
      <c r="E1510" s="414" t="n"/>
      <c r="F1510" s="414" t="n"/>
      <c r="G1510" s="414" t="n"/>
      <c r="H1510" s="414" t="n"/>
      <c r="J1510" s="147" t="inlineStr">
        <is>
          <t>09</t>
        </is>
      </c>
      <c r="K1510" s="147" t="inlineStr">
        <is>
          <t>K.9999</t>
        </is>
      </c>
      <c r="L1510" s="148" t="inlineStr">
        <is>
          <t>Kiểm tra cốt thép thân trụ T2 đoạn 1 (đợt 1)</t>
        </is>
      </c>
      <c r="M1510" s="148" t="n"/>
      <c r="N1510" s="148" t="n"/>
      <c r="O1510" s="149" t="inlineStr">
        <is>
          <t>Cầu KM19+529.080</t>
        </is>
      </c>
      <c r="P1510" s="415">
        <f>+S1507+1</f>
        <v/>
      </c>
      <c r="Q1510" s="415">
        <f>+P1510</f>
        <v/>
      </c>
      <c r="R1510" s="415">
        <f>+Q1510-1</f>
        <v/>
      </c>
      <c r="S1510" s="415">
        <f>+Q1510</f>
        <v/>
      </c>
      <c r="T1510" s="416" t="n">
        <v>0.375</v>
      </c>
      <c r="U1510" s="416">
        <f>+T1510+V1510</f>
        <v/>
      </c>
      <c r="V1510" s="416" t="n">
        <v>0.04166666666666666</v>
      </c>
      <c r="W1510" s="411">
        <f>TEXT(T1510,"HH""h""MM'")&amp;"÷"&amp;TEXT(U1510,"HH""h""MM'")</f>
        <v/>
      </c>
      <c r="X1510" s="417" t="n"/>
      <c r="Y1510" s="417" t="n"/>
      <c r="Z1510" s="417" t="inlineStr">
        <is>
          <t>03;</t>
        </is>
      </c>
      <c r="AA1510" s="150" t="inlineStr">
        <is>
          <t>Kiểm tra cốt thép thân trụ T2 đoạn 1 (đợt 1)</t>
        </is>
      </c>
      <c r="AB1510" s="150" t="inlineStr">
        <is>
          <t>307HG/YCNT/TT/T2-Đ1/Đ1-2</t>
        </is>
      </c>
      <c r="AC1510" s="150" t="inlineStr">
        <is>
          <t>307HG/BBNT/TT/T2-Đ1/Đ1-3</t>
        </is>
      </c>
      <c r="AD1510" s="150" t="n"/>
      <c r="AE1510" s="150" t="n"/>
      <c r="AF1510" s="150" t="n"/>
      <c r="AG1510" s="150" t="n"/>
      <c r="AH1510" s="150" t="n"/>
      <c r="AI1510" s="417" t="n"/>
      <c r="AJ1510" s="417" t="n"/>
      <c r="AK1510" s="418" t="n"/>
      <c r="AL1510" s="417" t="n"/>
      <c r="AM1510" s="417" t="n"/>
      <c r="AN1510" s="417" t="n"/>
      <c r="AO1510" s="417" t="n"/>
      <c r="AP1510" s="151" t="n"/>
      <c r="AQ1510" s="151" t="n"/>
      <c r="AR1510" s="417" t="inlineStr">
        <is>
          <t>Nhóm 1</t>
        </is>
      </c>
      <c r="AS1510" s="417" t="n"/>
      <c r="AT1510" s="417" t="inlineStr">
        <is>
          <t>HM50</t>
        </is>
      </c>
      <c r="AU1510" s="417" t="inlineStr">
        <is>
          <t>NTCV</t>
        </is>
      </c>
      <c r="AV1510" s="417" t="n">
        <v>454</v>
      </c>
      <c r="AW1510" s="417" t="n">
        <v>2</v>
      </c>
      <c r="AX1510" s="417" t="n"/>
    </row>
    <row r="1511">
      <c r="A1511" s="413" t="inlineStr">
        <is>
          <t>BBK469</t>
        </is>
      </c>
      <c r="B1511" s="413" t="inlineStr">
        <is>
          <t>PL08.1</t>
        </is>
      </c>
      <c r="C1511" s="413" t="inlineStr">
        <is>
          <t>BBK469.0972047</t>
        </is>
      </c>
      <c r="D1511" s="414" t="n"/>
      <c r="E1511" s="414" t="n"/>
      <c r="F1511" s="414" t="n"/>
      <c r="G1511" s="414" t="n"/>
      <c r="H1511" s="414" t="n"/>
      <c r="J1511" s="108" t="inlineStr">
        <is>
          <t>10</t>
        </is>
      </c>
      <c r="K1511" s="108" t="inlineStr">
        <is>
          <t>PL08.1</t>
        </is>
      </c>
      <c r="L1511" s="109">
        <f>L1510</f>
        <v/>
      </c>
      <c r="M1511" s="109" t="n"/>
      <c r="N1511" s="109" t="n"/>
      <c r="O1511" s="110" t="inlineStr">
        <is>
          <t>Cầu KM19+529.080</t>
        </is>
      </c>
      <c r="P1511" s="401" t="n"/>
      <c r="Q1511" s="401" t="n"/>
      <c r="R1511" s="401" t="n"/>
      <c r="S1511" s="401">
        <f>S1510</f>
        <v/>
      </c>
      <c r="T1511" s="401" t="n"/>
      <c r="U1511" s="401" t="n"/>
      <c r="V1511" s="401" t="n"/>
      <c r="W1511" s="403" t="n"/>
      <c r="X1511" s="403" t="n"/>
      <c r="Y1511" s="403" t="n"/>
      <c r="Z1511" s="108" t="n">
        <v>3</v>
      </c>
      <c r="AA1511" s="113" t="n"/>
      <c r="AB1511" s="113" t="n"/>
      <c r="AC1511" s="113" t="inlineStr">
        <is>
          <t>307HG/BBNT/TT/T2-Đ1/Đ1-3</t>
        </is>
      </c>
      <c r="AD1511" s="113" t="n"/>
      <c r="AE1511" s="113" t="n"/>
      <c r="AF1511" s="113" t="n"/>
      <c r="AG1511" s="113" t="n"/>
      <c r="AH1511" s="113" t="inlineStr">
        <is>
          <t>TT-T2-Đ1-Đ1</t>
        </is>
      </c>
      <c r="AI1511" s="403" t="n"/>
      <c r="AJ1511" s="403" t="n"/>
      <c r="AK1511" s="404" t="n"/>
      <c r="AL1511" s="403" t="n"/>
      <c r="AM1511" s="403" t="n"/>
      <c r="AN1511" s="403" t="n"/>
      <c r="AO1511" s="403" t="n"/>
      <c r="AP1511" s="115" t="n"/>
      <c r="AQ1511" s="115" t="n"/>
      <c r="AR1511" s="403" t="inlineStr">
        <is>
          <t>Nhóm 1</t>
        </is>
      </c>
      <c r="AS1511" s="403" t="n"/>
      <c r="AT1511" s="403" t="inlineStr">
        <is>
          <t>HM50</t>
        </is>
      </c>
      <c r="AU1511" s="403" t="inlineStr">
        <is>
          <t>PL08.1</t>
        </is>
      </c>
      <c r="AV1511" s="403" t="n">
        <v>15</v>
      </c>
      <c r="AW1511" s="403" t="n">
        <v>1</v>
      </c>
      <c r="AX1511" s="403" t="n"/>
    </row>
    <row r="1512" ht="28" customHeight="1" s="672">
      <c r="A1512" s="413" t="inlineStr">
        <is>
          <t>NTCV</t>
        </is>
      </c>
      <c r="B1512" s="413" t="inlineStr">
        <is>
          <t>K.9999</t>
        </is>
      </c>
      <c r="C1512" s="413" t="inlineStr">
        <is>
          <t>NTCV.0849156</t>
        </is>
      </c>
      <c r="D1512" s="414" t="n"/>
      <c r="E1512" s="414" t="n"/>
      <c r="F1512" s="414" t="n"/>
      <c r="G1512" s="414" t="n"/>
      <c r="H1512" s="414" t="n"/>
      <c r="J1512" s="131" t="inlineStr">
        <is>
          <t>11</t>
        </is>
      </c>
      <c r="K1512" s="131" t="inlineStr">
        <is>
          <t>K.9999</t>
        </is>
      </c>
      <c r="L1512" s="132" t="inlineStr">
        <is>
          <t>Công tác chuẩn bị đổ bê tông thân trụ T2 đoạn 1 (đợt 1)</t>
        </is>
      </c>
      <c r="M1512" s="132" t="n"/>
      <c r="N1512" s="132" t="n"/>
      <c r="O1512" s="133" t="inlineStr">
        <is>
          <t>Cầu KM19+529.080</t>
        </is>
      </c>
      <c r="P1512" s="419">
        <f>S1510</f>
        <v/>
      </c>
      <c r="Q1512" s="419">
        <f>P1512+1</f>
        <v/>
      </c>
      <c r="R1512" s="415">
        <f>+Q1512-2</f>
        <v/>
      </c>
      <c r="S1512" s="415">
        <f>+Q1512</f>
        <v/>
      </c>
      <c r="T1512" s="420" t="n">
        <v>0.3333333333333333</v>
      </c>
      <c r="U1512" s="420">
        <f>+T1512+V1512</f>
        <v/>
      </c>
      <c r="V1512" s="420" t="n">
        <v>0.02083333333333333</v>
      </c>
      <c r="W1512" s="417">
        <f>TEXT(T1512,"HH""h""MM'")&amp;"÷"&amp;TEXT(U1512,"HH""h""MM'")</f>
        <v/>
      </c>
      <c r="X1512" s="421" t="n"/>
      <c r="Y1512" s="421" t="n"/>
      <c r="Z1512" s="421" t="inlineStr">
        <is>
          <t>04;</t>
        </is>
      </c>
      <c r="AA1512" s="136" t="inlineStr">
        <is>
          <t>Công tác chuẩn bị đổ bê tông thân trụ T2 đoạn 1 (đợt 1)</t>
        </is>
      </c>
      <c r="AB1512" s="150" t="inlineStr">
        <is>
          <t>307HG/YCNT/TT/T2-Đ1/Đ1-2</t>
        </is>
      </c>
      <c r="AC1512" s="136" t="inlineStr">
        <is>
          <t>307HG/BBNT/TT/T2-Đ1/Đ1-4</t>
        </is>
      </c>
      <c r="AD1512" s="136" t="n"/>
      <c r="AE1512" s="136" t="n"/>
      <c r="AF1512" s="136" t="n"/>
      <c r="AG1512" s="136" t="n"/>
      <c r="AH1512" s="136" t="n"/>
      <c r="AI1512" s="421" t="n"/>
      <c r="AJ1512" s="421" t="n"/>
      <c r="AK1512" s="422" t="n"/>
      <c r="AL1512" s="421" t="n"/>
      <c r="AM1512" s="421" t="n"/>
      <c r="AN1512" s="421" t="n"/>
      <c r="AO1512" s="421" t="n"/>
      <c r="AP1512" s="138" t="n"/>
      <c r="AQ1512" s="138" t="n"/>
      <c r="AR1512" s="421" t="inlineStr">
        <is>
          <t>Nhóm 1</t>
        </is>
      </c>
      <c r="AS1512" s="421" t="n"/>
      <c r="AT1512" s="421" t="inlineStr">
        <is>
          <t>HM50</t>
        </is>
      </c>
      <c r="AU1512" s="421" t="inlineStr">
        <is>
          <t>NTCV</t>
        </is>
      </c>
      <c r="AV1512" s="421" t="n">
        <v>455</v>
      </c>
      <c r="AW1512" s="421" t="n">
        <v>3</v>
      </c>
      <c r="AX1512" s="421" t="n"/>
    </row>
    <row r="1513">
      <c r="A1513" s="413" t="inlineStr">
        <is>
          <t>BBK209</t>
        </is>
      </c>
      <c r="B1513" s="413" t="inlineStr">
        <is>
          <t>PL09</t>
        </is>
      </c>
      <c r="C1513" s="413" t="inlineStr">
        <is>
          <t>BBK209.0286616</t>
        </is>
      </c>
      <c r="D1513" s="414" t="n"/>
      <c r="E1513" s="414" t="n"/>
      <c r="F1513" s="414" t="n"/>
      <c r="G1513" s="414" t="n"/>
      <c r="H1513" s="414" t="n"/>
      <c r="J1513" s="124" t="inlineStr">
        <is>
          <t>12</t>
        </is>
      </c>
      <c r="K1513" s="124" t="inlineStr">
        <is>
          <t>PL09</t>
        </is>
      </c>
      <c r="L1513" s="125">
        <f>+L1512</f>
        <v/>
      </c>
      <c r="M1513" s="125" t="n"/>
      <c r="N1513" s="125" t="n"/>
      <c r="O1513" s="126" t="inlineStr">
        <is>
          <t>Cầu KM19+529.080</t>
        </is>
      </c>
      <c r="P1513" s="423" t="n"/>
      <c r="Q1513" s="423" t="n"/>
      <c r="R1513" s="423">
        <f>+R1514</f>
        <v/>
      </c>
      <c r="S1513" s="423">
        <f>+S1512</f>
        <v/>
      </c>
      <c r="T1513" s="424" t="n"/>
      <c r="U1513" s="424" t="n"/>
      <c r="V1513" s="424" t="n"/>
      <c r="W1513" s="425" t="n"/>
      <c r="X1513" s="425" t="n"/>
      <c r="Y1513" s="425" t="n"/>
      <c r="Z1513" s="124" t="n">
        <v>4</v>
      </c>
      <c r="AA1513" s="129" t="n"/>
      <c r="AB1513" s="129" t="n"/>
      <c r="AC1513" s="129">
        <f>+AC1512</f>
        <v/>
      </c>
      <c r="AD1513" s="129" t="n"/>
      <c r="AE1513" s="129" t="n"/>
      <c r="AF1513" s="129" t="n"/>
      <c r="AG1513" s="129" t="n"/>
      <c r="AH1513" s="129" t="inlineStr">
        <is>
          <t>C30</t>
        </is>
      </c>
      <c r="AI1513" s="425" t="n"/>
      <c r="AJ1513" s="425" t="n"/>
      <c r="AK1513" s="427" t="n"/>
      <c r="AL1513" s="425" t="n"/>
      <c r="AM1513" s="425" t="n"/>
      <c r="AN1513" s="425" t="n"/>
      <c r="AO1513" s="425" t="n"/>
      <c r="AP1513" s="130" t="n"/>
      <c r="AQ1513" s="130" t="n"/>
      <c r="AR1513" s="425" t="inlineStr">
        <is>
          <t>Nhóm 1</t>
        </is>
      </c>
      <c r="AS1513" s="425" t="n"/>
      <c r="AT1513" s="425" t="inlineStr">
        <is>
          <t>HM50</t>
        </is>
      </c>
      <c r="AU1513" s="425" t="inlineStr">
        <is>
          <t>PL09</t>
        </is>
      </c>
      <c r="AV1513" s="425" t="n">
        <v>41</v>
      </c>
      <c r="AW1513" s="425" t="n">
        <v>1</v>
      </c>
      <c r="AX1513" s="425" t="n"/>
    </row>
    <row r="1514" ht="28" customHeight="1" s="672">
      <c r="A1514" s="413" t="inlineStr">
        <is>
          <t>NTCV</t>
        </is>
      </c>
      <c r="B1514" s="413" t="inlineStr">
        <is>
          <t>K.9999</t>
        </is>
      </c>
      <c r="C1514" s="413" t="inlineStr">
        <is>
          <t>NTCV.0205377</t>
        </is>
      </c>
      <c r="D1514" s="414" t="n"/>
      <c r="E1514" s="414" t="n"/>
      <c r="F1514" s="414" t="n"/>
      <c r="G1514" s="414" t="n"/>
      <c r="H1514" s="414" t="n"/>
      <c r="J1514" s="161" t="inlineStr">
        <is>
          <t>13</t>
        </is>
      </c>
      <c r="K1514" s="161" t="inlineStr">
        <is>
          <t>K.9999</t>
        </is>
      </c>
      <c r="L1514" s="162" t="inlineStr">
        <is>
          <t>Công tác đổ, lấy mẫu bê tông thân trụ T2 đoạn 1 (đợt 1)</t>
        </is>
      </c>
      <c r="M1514" s="162" t="n"/>
      <c r="N1514" s="162" t="n"/>
      <c r="O1514" s="163" t="inlineStr">
        <is>
          <t>Cầu KM19+529.080</t>
        </is>
      </c>
      <c r="P1514" s="409">
        <f>+S1512</f>
        <v/>
      </c>
      <c r="Q1514" s="409">
        <f>+P1514</f>
        <v/>
      </c>
      <c r="R1514" s="409">
        <f>+Q1514-1</f>
        <v/>
      </c>
      <c r="S1514" s="409">
        <f>+Q1514</f>
        <v/>
      </c>
      <c r="T1514" s="410" t="n">
        <v>0.375</v>
      </c>
      <c r="U1514" s="410">
        <f>+T1514+V1514</f>
        <v/>
      </c>
      <c r="V1514" s="410" t="n">
        <v>0.125</v>
      </c>
      <c r="W1514" s="417">
        <f>TEXT(T1514,"HH""h""MM'")&amp;"÷"&amp;TEXT(U1514,"HH""h""MM'")</f>
        <v/>
      </c>
      <c r="X1514" s="411" t="n"/>
      <c r="Y1514" s="411" t="n"/>
      <c r="Z1514" s="161" t="inlineStr">
        <is>
          <t>05;</t>
        </is>
      </c>
      <c r="AA1514" s="166" t="inlineStr">
        <is>
          <t>Công tác đổ bê tông, lấy mẫu bê tông thân trụ T2 đoạn 1 (đợt 1)</t>
        </is>
      </c>
      <c r="AB1514" s="166" t="n"/>
      <c r="AC1514" s="166" t="inlineStr">
        <is>
          <t>307HG/BBNT/TT/T2-Đ1/Đ1-5</t>
        </is>
      </c>
      <c r="AD1514" s="166" t="n"/>
      <c r="AE1514" s="166" t="n"/>
      <c r="AF1514" s="166" t="n"/>
      <c r="AG1514" s="166" t="n"/>
      <c r="AH1514" s="166" t="n"/>
      <c r="AI1514" s="411" t="n"/>
      <c r="AJ1514" s="411" t="n"/>
      <c r="AK1514" s="412" t="n"/>
      <c r="AL1514" s="411" t="n"/>
      <c r="AM1514" s="411" t="n"/>
      <c r="AN1514" s="411" t="n"/>
      <c r="AO1514" s="411" t="n"/>
      <c r="AP1514" s="167" t="n"/>
      <c r="AQ1514" s="167" t="n"/>
      <c r="AR1514" s="411" t="inlineStr">
        <is>
          <t>Nhóm 1</t>
        </is>
      </c>
      <c r="AS1514" s="411" t="n"/>
      <c r="AT1514" s="411" t="inlineStr">
        <is>
          <t>HM50</t>
        </is>
      </c>
      <c r="AU1514" s="411" t="inlineStr">
        <is>
          <t>NTCV</t>
        </is>
      </c>
      <c r="AV1514" s="411" t="n">
        <v>456</v>
      </c>
      <c r="AW1514" s="411" t="n">
        <v>4</v>
      </c>
      <c r="AX1514" s="411" t="n"/>
    </row>
    <row r="1515" ht="28" customHeight="1" s="672">
      <c r="A1515" s="413" t="inlineStr">
        <is>
          <t>BBK832</t>
        </is>
      </c>
      <c r="B1515" s="413" t="inlineStr">
        <is>
          <t>PL06.1</t>
        </is>
      </c>
      <c r="C1515" s="413" t="inlineStr">
        <is>
          <t>BBK832.0443173</t>
        </is>
      </c>
      <c r="D1515" s="414" t="n"/>
      <c r="E1515" s="414" t="n"/>
      <c r="F1515" s="414" t="n"/>
      <c r="G1515" s="414" t="n"/>
      <c r="H1515" s="414" t="n"/>
      <c r="J1515" s="168" t="inlineStr">
        <is>
          <t>14</t>
        </is>
      </c>
      <c r="K1515" s="168" t="inlineStr">
        <is>
          <t>PL06.1</t>
        </is>
      </c>
      <c r="L1515" s="169">
        <f>+L1514</f>
        <v/>
      </c>
      <c r="M1515" s="169" t="n"/>
      <c r="N1515" s="169" t="n"/>
      <c r="O1515" s="170" t="inlineStr">
        <is>
          <t>Cầu KM19+529.080</t>
        </is>
      </c>
      <c r="P1515" s="405" t="n"/>
      <c r="Q1515" s="405" t="n"/>
      <c r="R1515" s="405" t="n"/>
      <c r="S1515" s="405">
        <f>+S1514</f>
        <v/>
      </c>
      <c r="T1515" s="428">
        <f>+T1514</f>
        <v/>
      </c>
      <c r="U1515" s="428">
        <f>T1515+V1515</f>
        <v/>
      </c>
      <c r="V1515" s="428">
        <f>+V1514</f>
        <v/>
      </c>
      <c r="W1515" s="406" t="n"/>
      <c r="X1515" s="406" t="n"/>
      <c r="Y1515" s="406" t="n"/>
      <c r="Z1515" s="168" t="n">
        <v>5</v>
      </c>
      <c r="AA1515" s="173" t="n"/>
      <c r="AB1515" s="173" t="n"/>
      <c r="AC1515" s="173">
        <f>+AC1514</f>
        <v/>
      </c>
      <c r="AD1515" s="173" t="n"/>
      <c r="AE1515" s="173" t="n"/>
      <c r="AF1515" s="173" t="n"/>
      <c r="AG1515" s="173" t="n"/>
      <c r="AH1515" s="407" t="inlineStr">
        <is>
          <t>C30-TT-T2-Đ1-Đ1</t>
        </is>
      </c>
      <c r="AI1515" s="406" t="n"/>
      <c r="AJ1515" s="406" t="n"/>
      <c r="AK1515" s="408" t="n"/>
      <c r="AL1515" s="406" t="n"/>
      <c r="AM1515" s="406" t="n"/>
      <c r="AN1515" s="406" t="n"/>
      <c r="AO1515" s="406" t="n"/>
      <c r="AP1515" s="174" t="n"/>
      <c r="AQ1515" s="174" t="n"/>
      <c r="AR1515" s="406" t="inlineStr">
        <is>
          <t>Nhóm 1</t>
        </is>
      </c>
      <c r="AS1515" s="406" t="n"/>
      <c r="AT1515" s="406" t="inlineStr">
        <is>
          <t>HM50</t>
        </is>
      </c>
      <c r="AU1515" s="406" t="inlineStr">
        <is>
          <t>PL06.1</t>
        </is>
      </c>
      <c r="AV1515" s="406" t="n">
        <v>16</v>
      </c>
      <c r="AW1515" s="406" t="n">
        <v>1</v>
      </c>
      <c r="AX1515" s="406" t="n"/>
    </row>
    <row r="1516">
      <c r="A1516" s="413" t="inlineStr">
        <is>
          <t>LMHT</t>
        </is>
      </c>
      <c r="B1516" s="413" t="inlineStr">
        <is>
          <t>LMHT</t>
        </is>
      </c>
      <c r="C1516" s="413" t="inlineStr">
        <is>
          <t>LMHT.0685047</t>
        </is>
      </c>
      <c r="D1516" s="414" t="inlineStr">
        <is>
          <t>TC.000041|TC.000182|TC.000169.A</t>
        </is>
      </c>
      <c r="E1516" s="414" t="n"/>
      <c r="F1516" s="414" t="inlineStr">
        <is>
          <t>CP.0001^Bê tông thân trụ T2 đoạn 1 (đợt 1)^Hình trụ 15x30 (cm)^18^C30 (30Mpa)^^^TC.000041|TC.000182|TC.000169.A</t>
        </is>
      </c>
      <c r="G1516" s="414" t="n"/>
      <c r="H1516" s="414" t="n"/>
      <c r="J1516" s="175" t="inlineStr">
        <is>
          <t>15</t>
        </is>
      </c>
      <c r="K1516" s="175" t="inlineStr">
        <is>
          <t>LMHT</t>
        </is>
      </c>
      <c r="L1516" s="176" t="inlineStr">
        <is>
          <t>Bê tông thân trụ T2 đoạn 1 (đợt 1)</t>
        </is>
      </c>
      <c r="M1516" s="176" t="n"/>
      <c r="N1516" s="176" t="n"/>
      <c r="O1516" s="177" t="inlineStr">
        <is>
          <t>Cầu KM19+529.080</t>
        </is>
      </c>
      <c r="P1516" s="299" t="n"/>
      <c r="Q1516" s="299" t="n"/>
      <c r="R1516" s="299" t="n"/>
      <c r="S1516" s="299">
        <f>S1512</f>
        <v/>
      </c>
      <c r="T1516" s="300">
        <f>T1515</f>
        <v/>
      </c>
      <c r="U1516" s="300">
        <f>U1515</f>
        <v/>
      </c>
      <c r="V1516" s="300">
        <f>V1515</f>
        <v/>
      </c>
      <c r="W1516" s="301" t="n"/>
      <c r="X1516" s="301" t="n"/>
      <c r="Y1516" s="301" t="n"/>
      <c r="Z1516" s="301" t="n"/>
      <c r="AA1516" s="180" t="n"/>
      <c r="AB1516" s="180" t="n"/>
      <c r="AC1516" s="180" t="n"/>
      <c r="AD1516" s="180" t="n"/>
      <c r="AE1516" s="180" t="n"/>
      <c r="AF1516" s="180" t="n"/>
      <c r="AG1516" s="180" t="n"/>
      <c r="AH1516" s="180" t="n"/>
      <c r="AI1516" s="301" t="n"/>
      <c r="AJ1516" s="301" t="n"/>
      <c r="AK1516" s="303" t="n"/>
      <c r="AL1516" s="301" t="n"/>
      <c r="AM1516" s="301" t="n"/>
      <c r="AN1516" s="301" t="n"/>
      <c r="AO1516" s="301" t="n"/>
      <c r="AP1516" s="181" t="n"/>
      <c r="AQ1516" s="181" t="n"/>
      <c r="AR1516" s="301" t="inlineStr">
        <is>
          <t>Nhóm 1</t>
        </is>
      </c>
      <c r="AS1516" s="301" t="n"/>
      <c r="AT1516" s="301" t="inlineStr">
        <is>
          <t>HM50</t>
        </is>
      </c>
      <c r="AU1516" s="301" t="inlineStr">
        <is>
          <t>LMHT</t>
        </is>
      </c>
      <c r="AV1516" s="301" t="n">
        <v>52</v>
      </c>
      <c r="AW1516" s="301" t="n">
        <v>1</v>
      </c>
      <c r="AX1516" s="301" t="n"/>
    </row>
    <row r="1517">
      <c r="A1517" s="413" t="inlineStr">
        <is>
          <t>BBK680</t>
        </is>
      </c>
      <c r="B1517" s="413" t="inlineStr">
        <is>
          <t>PYC</t>
        </is>
      </c>
      <c r="C1517" s="413" t="inlineStr">
        <is>
          <t>BBK680.0281143</t>
        </is>
      </c>
      <c r="D1517" s="414" t="n"/>
      <c r="E1517" s="414" t="n"/>
      <c r="F1517" s="414" t="n"/>
      <c r="G1517" s="414" t="n"/>
      <c r="H1517" s="414" t="n"/>
      <c r="J1517" s="168" t="inlineStr">
        <is>
          <t>16</t>
        </is>
      </c>
      <c r="K1517" s="168" t="inlineStr">
        <is>
          <t>PYC</t>
        </is>
      </c>
      <c r="L1517" s="169" t="inlineStr">
        <is>
          <t>phiếu yêu cầu</t>
        </is>
      </c>
      <c r="M1517" s="169" t="n"/>
      <c r="N1517" s="169" t="n"/>
      <c r="O1517" s="170" t="inlineStr">
        <is>
          <t>Cầu KM19+529.080</t>
        </is>
      </c>
      <c r="P1517" s="405" t="n"/>
      <c r="Q1517" s="405" t="n"/>
      <c r="R1517" s="401">
        <f>+R1518</f>
        <v/>
      </c>
      <c r="S1517" s="405">
        <f>R1517+1</f>
        <v/>
      </c>
      <c r="T1517" s="405" t="n"/>
      <c r="U1517" s="405" t="n"/>
      <c r="V1517" s="405" t="n"/>
      <c r="W1517" s="406" t="n"/>
      <c r="X1517" s="406" t="n"/>
      <c r="Y1517" s="406" t="n"/>
      <c r="Z1517" s="406" t="n"/>
      <c r="AA1517" s="173" t="n"/>
      <c r="AB1517" s="173" t="inlineStr">
        <is>
          <t>307HG/YCNT/TT/T2-Đ1/Đ1</t>
        </is>
      </c>
      <c r="AC1517" s="173" t="n"/>
      <c r="AD1517" s="173" t="n"/>
      <c r="AE1517" s="173" t="n"/>
      <c r="AF1517" s="173" t="n"/>
      <c r="AG1517" s="129" t="inlineStr">
        <is>
          <t>NTCV</t>
        </is>
      </c>
      <c r="AH1517" s="173" t="n">
        <v>5</v>
      </c>
      <c r="AI1517" s="406" t="n"/>
      <c r="AJ1517" s="406" t="n"/>
      <c r="AK1517" s="408" t="n"/>
      <c r="AL1517" s="406" t="n"/>
      <c r="AM1517" s="406" t="n"/>
      <c r="AN1517" s="406" t="n"/>
      <c r="AO1517" s="406" t="n"/>
      <c r="AP1517" s="174" t="n"/>
      <c r="AQ1517" s="174" t="n"/>
      <c r="AR1517" s="406" t="inlineStr">
        <is>
          <t>Nhóm 1</t>
        </is>
      </c>
      <c r="AS1517" s="406" t="n"/>
      <c r="AT1517" s="406" t="inlineStr">
        <is>
          <t>HM50</t>
        </is>
      </c>
      <c r="AU1517" s="406" t="inlineStr">
        <is>
          <t>PYC</t>
        </is>
      </c>
      <c r="AV1517" s="406" t="n">
        <v>115</v>
      </c>
      <c r="AW1517" s="406" t="n">
        <v>3</v>
      </c>
      <c r="AX1517" s="406" t="n"/>
    </row>
    <row r="1518">
      <c r="A1518" s="413" t="inlineStr">
        <is>
          <t>NTCV</t>
        </is>
      </c>
      <c r="B1518" s="413" t="inlineStr">
        <is>
          <t>K.9999</t>
        </is>
      </c>
      <c r="C1518" s="413" t="inlineStr">
        <is>
          <t>NTCV.0965204</t>
        </is>
      </c>
      <c r="D1518" s="414" t="n"/>
      <c r="E1518" s="414" t="n"/>
      <c r="F1518" s="414" t="n"/>
      <c r="G1518" s="414" t="n"/>
      <c r="H1518" s="414" t="n"/>
      <c r="J1518" s="147" t="inlineStr">
        <is>
          <t>17</t>
        </is>
      </c>
      <c r="K1518" s="147" t="inlineStr">
        <is>
          <t>K.9999</t>
        </is>
      </c>
      <c r="L1518" s="148" t="inlineStr">
        <is>
          <t>Tháo ván khuôn thân trụ T2 đoạn 1 (đợt 1)</t>
        </is>
      </c>
      <c r="M1518" s="148" t="n"/>
      <c r="N1518" s="148" t="n"/>
      <c r="O1518" s="149" t="inlineStr">
        <is>
          <t>Cầu KM19+529.080</t>
        </is>
      </c>
      <c r="P1518" s="415">
        <f>S1516</f>
        <v/>
      </c>
      <c r="Q1518" s="415">
        <f>+P1518+3</f>
        <v/>
      </c>
      <c r="R1518" s="415">
        <f>Q1518-1</f>
        <v/>
      </c>
      <c r="S1518" s="415">
        <f>Q1518</f>
        <v/>
      </c>
      <c r="T1518" s="416" t="n">
        <v>0.3541666666666667</v>
      </c>
      <c r="U1518" s="416">
        <f>+T1518+V1518</f>
        <v/>
      </c>
      <c r="V1518" s="416" t="n">
        <v>0.01388888888888889</v>
      </c>
      <c r="W1518" s="411">
        <f>TEXT(T1518,"HH""h""MM'")&amp;"÷"&amp;TEXT(U1518,"HH""h""MM'")</f>
        <v/>
      </c>
      <c r="X1518" s="417" t="n"/>
      <c r="Y1518" s="417" t="n"/>
      <c r="Z1518" s="417" t="inlineStr">
        <is>
          <t>06;</t>
        </is>
      </c>
      <c r="AA1518" s="150" t="inlineStr">
        <is>
          <t>Kiểm tra ván khuôn Bệ trụ T2 đoạn 1</t>
        </is>
      </c>
      <c r="AB1518" s="150" t="inlineStr">
        <is>
          <t>307HG/YCNT/TT/T2-Đ1/Đ1-3</t>
        </is>
      </c>
      <c r="AC1518" s="150" t="inlineStr">
        <is>
          <t>307HG/BBNT/TT/T2-Đ1/Đ1-5</t>
        </is>
      </c>
      <c r="AD1518" s="150" t="n"/>
      <c r="AE1518" s="150" t="n"/>
      <c r="AF1518" s="150" t="n"/>
      <c r="AG1518" s="150" t="n"/>
      <c r="AH1518" s="150" t="n"/>
      <c r="AI1518" s="417" t="n"/>
      <c r="AJ1518" s="417" t="n"/>
      <c r="AK1518" s="418" t="n"/>
      <c r="AL1518" s="417" t="n"/>
      <c r="AM1518" s="417" t="n"/>
      <c r="AN1518" s="417" t="n"/>
      <c r="AO1518" s="417" t="n"/>
      <c r="AP1518" s="151" t="n"/>
      <c r="AQ1518" s="151" t="n"/>
      <c r="AR1518" s="417" t="inlineStr">
        <is>
          <t>Nhóm 1</t>
        </is>
      </c>
      <c r="AS1518" s="417" t="n"/>
      <c r="AT1518" s="417" t="inlineStr">
        <is>
          <t>HM50</t>
        </is>
      </c>
      <c r="AU1518" s="417" t="inlineStr">
        <is>
          <t>NTCV</t>
        </is>
      </c>
      <c r="AV1518" s="417" t="n">
        <v>458</v>
      </c>
      <c r="AW1518" s="417" t="n">
        <v>5</v>
      </c>
      <c r="AX1518" s="417" t="n"/>
    </row>
    <row r="1519">
      <c r="A1519" s="413" t="inlineStr">
        <is>
          <t>BBK587</t>
        </is>
      </c>
      <c r="B1519" s="413" t="inlineStr">
        <is>
          <t>PL07.02</t>
        </is>
      </c>
      <c r="C1519" s="413" t="inlineStr">
        <is>
          <t>BBK587.0183468</t>
        </is>
      </c>
      <c r="D1519" s="414" t="n"/>
      <c r="E1519" s="414" t="n"/>
      <c r="F1519" s="414" t="n"/>
      <c r="G1519" s="414" t="n"/>
      <c r="H1519" s="414" t="n"/>
      <c r="J1519" s="108" t="inlineStr">
        <is>
          <t>18</t>
        </is>
      </c>
      <c r="K1519" s="108" t="inlineStr">
        <is>
          <t>PL07.02</t>
        </is>
      </c>
      <c r="L1519" s="109">
        <f>+L1518</f>
        <v/>
      </c>
      <c r="M1519" s="109" t="n"/>
      <c r="N1519" s="109" t="n"/>
      <c r="O1519" s="110" t="inlineStr">
        <is>
          <t>Cầu KM19+529.080</t>
        </is>
      </c>
      <c r="P1519" s="401" t="n"/>
      <c r="Q1519" s="401" t="n"/>
      <c r="R1519" s="401" t="n"/>
      <c r="S1519" s="401">
        <f>S1518</f>
        <v/>
      </c>
      <c r="T1519" s="401" t="n"/>
      <c r="U1519" s="401" t="n"/>
      <c r="V1519" s="401" t="n"/>
      <c r="W1519" s="403" t="n"/>
      <c r="X1519" s="403" t="n"/>
      <c r="Y1519" s="403" t="n"/>
      <c r="Z1519" s="108" t="n">
        <v>6</v>
      </c>
      <c r="AA1519" s="113" t="n"/>
      <c r="AB1519" s="113" t="n"/>
      <c r="AC1519" s="113" t="inlineStr">
        <is>
          <t>307HG/BBNT/TT/T2-Đ1/Đ1-5</t>
        </is>
      </c>
      <c r="AD1519" s="113" t="n"/>
      <c r="AE1519" s="113" t="n"/>
      <c r="AF1519" s="113" t="n"/>
      <c r="AG1519" s="113" t="n"/>
      <c r="AH1519" s="114" t="inlineStr">
        <is>
          <t>TT-T2-Đ1-Đ1</t>
        </is>
      </c>
      <c r="AI1519" s="403" t="n"/>
      <c r="AJ1519" s="403" t="n"/>
      <c r="AK1519" s="404" t="n"/>
      <c r="AL1519" s="403" t="n"/>
      <c r="AM1519" s="403" t="n"/>
      <c r="AN1519" s="403" t="n"/>
      <c r="AO1519" s="403" t="n"/>
      <c r="AP1519" s="115" t="n"/>
      <c r="AQ1519" s="115" t="inlineStr">
        <is>
          <t>Ảnh\TT DD1 T1,T2.png</t>
        </is>
      </c>
      <c r="AR1519" s="403" t="inlineStr">
        <is>
          <t>Nhóm 1</t>
        </is>
      </c>
      <c r="AS1519" s="403" t="n"/>
      <c r="AT1519" s="403" t="inlineStr">
        <is>
          <t>HM50</t>
        </is>
      </c>
      <c r="AU1519" s="403" t="inlineStr">
        <is>
          <t>PL07.02</t>
        </is>
      </c>
      <c r="AV1519" s="403" t="n">
        <v>12</v>
      </c>
      <c r="AW1519" s="403" t="n">
        <v>1</v>
      </c>
      <c r="AX1519" s="403" t="n"/>
    </row>
    <row r="1520" ht="28" customHeight="1" s="672">
      <c r="A1520" s="413" t="inlineStr">
        <is>
          <t>BBK680</t>
        </is>
      </c>
      <c r="B1520" s="413" t="inlineStr">
        <is>
          <t>PYC</t>
        </is>
      </c>
      <c r="C1520" s="413" t="inlineStr">
        <is>
          <t>BBK680.0654836</t>
        </is>
      </c>
      <c r="D1520" s="414" t="n"/>
      <c r="E1520" s="414" t="n"/>
      <c r="F1520" s="414" t="n"/>
      <c r="G1520" s="414" t="n"/>
      <c r="H1520" s="414" t="n"/>
      <c r="J1520" s="168" t="inlineStr">
        <is>
          <t>19</t>
        </is>
      </c>
      <c r="K1520" s="168" t="inlineStr">
        <is>
          <t>PYC</t>
        </is>
      </c>
      <c r="L1520" s="169" t="inlineStr">
        <is>
          <t>phiếu yêu cầu</t>
        </is>
      </c>
      <c r="M1520" s="169" t="n"/>
      <c r="N1520" s="169" t="n"/>
      <c r="O1520" s="170" t="inlineStr">
        <is>
          <t>Cầu KM19+529.080</t>
        </is>
      </c>
      <c r="P1520" s="405" t="n"/>
      <c r="Q1520" s="405" t="n"/>
      <c r="R1520" s="405">
        <f>S1520-1</f>
        <v/>
      </c>
      <c r="S1520" s="405">
        <f>S1516+7</f>
        <v/>
      </c>
      <c r="T1520" s="428" t="n">
        <v>0.3333333333333333</v>
      </c>
      <c r="U1520" s="428">
        <f>+T1520+V1520</f>
        <v/>
      </c>
      <c r="V1520" s="428" t="n">
        <v>0.02083333333333333</v>
      </c>
      <c r="W1520" s="406" t="n"/>
      <c r="X1520" s="406" t="n"/>
      <c r="Y1520" s="406" t="n"/>
      <c r="Z1520" s="406" t="n"/>
      <c r="AA1520" s="173" t="inlineStr">
        <is>
          <t>Theo dõi nén mẫu R7 bê tông thân trụ T2 đoạn 1 (đợt 1)</t>
        </is>
      </c>
      <c r="AB1520" s="173" t="inlineStr">
        <is>
          <t>307HG/YCNT/TT/T2-Đ1/Đ1-R7</t>
        </is>
      </c>
      <c r="AC1520" s="173" t="n"/>
      <c r="AD1520" s="173" t="n"/>
      <c r="AE1520" s="173" t="n"/>
      <c r="AF1520" s="173" t="n"/>
      <c r="AG1520" s="173" t="inlineStr">
        <is>
          <t>PYC</t>
        </is>
      </c>
      <c r="AH1520" s="173" t="n">
        <v>4</v>
      </c>
      <c r="AI1520" s="406" t="n"/>
      <c r="AJ1520" s="406" t="n"/>
      <c r="AK1520" s="408" t="n"/>
      <c r="AL1520" s="406" t="n"/>
      <c r="AM1520" s="406" t="n"/>
      <c r="AN1520" s="406" t="n"/>
      <c r="AO1520" s="406" t="n"/>
      <c r="AP1520" s="174" t="n"/>
      <c r="AQ1520" s="174" t="n"/>
      <c r="AR1520" s="406" t="inlineStr">
        <is>
          <t>Nhóm 1</t>
        </is>
      </c>
      <c r="AS1520" s="406" t="n"/>
      <c r="AT1520" s="406" t="inlineStr">
        <is>
          <t>HM50</t>
        </is>
      </c>
      <c r="AU1520" s="406" t="inlineStr">
        <is>
          <t>PYC</t>
        </is>
      </c>
      <c r="AV1520" s="406" t="n">
        <v>125</v>
      </c>
      <c r="AW1520" s="406" t="n">
        <v>4</v>
      </c>
      <c r="AX1520" s="406" t="n"/>
    </row>
    <row r="1521" ht="28" customHeight="1" s="672">
      <c r="A1521" s="413" t="inlineStr">
        <is>
          <t>BBK680</t>
        </is>
      </c>
      <c r="B1521" s="413" t="inlineStr">
        <is>
          <t>PYC</t>
        </is>
      </c>
      <c r="C1521" s="413" t="inlineStr">
        <is>
          <t>BBK680.0049753</t>
        </is>
      </c>
      <c r="D1521" s="414" t="n"/>
      <c r="E1521" s="414" t="n"/>
      <c r="F1521" s="414" t="n"/>
      <c r="G1521" s="414" t="n"/>
      <c r="H1521" s="414" t="n"/>
      <c r="J1521" s="124" t="inlineStr">
        <is>
          <t>20</t>
        </is>
      </c>
      <c r="K1521" s="124" t="inlineStr">
        <is>
          <t>PYC</t>
        </is>
      </c>
      <c r="L1521" s="125" t="inlineStr">
        <is>
          <t>phiếu yêu cầu</t>
        </is>
      </c>
      <c r="M1521" s="125" t="n"/>
      <c r="N1521" s="125" t="n"/>
      <c r="O1521" s="126" t="inlineStr">
        <is>
          <t>Cầu KM19+529.080</t>
        </is>
      </c>
      <c r="P1521" s="423" t="n"/>
      <c r="Q1521" s="423" t="n"/>
      <c r="R1521" s="423">
        <f>S1521-1</f>
        <v/>
      </c>
      <c r="S1521" s="423">
        <f>S1516+28</f>
        <v/>
      </c>
      <c r="T1521" s="424" t="n">
        <v>0.3541666666666667</v>
      </c>
      <c r="U1521" s="424">
        <f>+T1521+V1521</f>
        <v/>
      </c>
      <c r="V1521" s="424" t="n">
        <v>0.02083333333333333</v>
      </c>
      <c r="W1521" s="425" t="n"/>
      <c r="X1521" s="425" t="n"/>
      <c r="Y1521" s="425" t="n"/>
      <c r="Z1521" s="425" t="n"/>
      <c r="AA1521" s="129" t="inlineStr">
        <is>
          <t>Theo dõi nén mẫu R28 bê tông thân trụ T2 đoạn 1 (đợt 1)</t>
        </is>
      </c>
      <c r="AB1521" s="129" t="inlineStr">
        <is>
          <t>307HG/YCNT/TT/T2-Đ1/Đ1-R28</t>
        </is>
      </c>
      <c r="AC1521" s="129" t="n"/>
      <c r="AD1521" s="129" t="n"/>
      <c r="AE1521" s="129" t="n"/>
      <c r="AF1521" s="129" t="n"/>
      <c r="AG1521" s="129" t="inlineStr">
        <is>
          <t>PYC</t>
        </is>
      </c>
      <c r="AH1521" s="129" t="n">
        <v>5</v>
      </c>
      <c r="AI1521" s="425" t="n"/>
      <c r="AJ1521" s="425" t="n"/>
      <c r="AK1521" s="427" t="n"/>
      <c r="AL1521" s="425" t="n"/>
      <c r="AM1521" s="425" t="n"/>
      <c r="AN1521" s="425" t="n"/>
      <c r="AO1521" s="425" t="n"/>
      <c r="AP1521" s="130" t="n"/>
      <c r="AQ1521" s="130" t="n"/>
      <c r="AR1521" s="425" t="inlineStr">
        <is>
          <t>Nhóm 1</t>
        </is>
      </c>
      <c r="AS1521" s="425" t="n"/>
      <c r="AT1521" s="425" t="inlineStr">
        <is>
          <t>HM50</t>
        </is>
      </c>
      <c r="AU1521" s="425" t="inlineStr">
        <is>
          <t>PYC</t>
        </is>
      </c>
      <c r="AV1521" s="425" t="n">
        <v>138</v>
      </c>
      <c r="AW1521" s="425" t="n">
        <v>5</v>
      </c>
      <c r="AX1521" s="425" t="n"/>
    </row>
    <row r="1522">
      <c r="A1522" s="56" t="inlineStr">
        <is>
          <t>HM</t>
        </is>
      </c>
      <c r="B1522" s="56" t="inlineStr">
        <is>
          <t>HM</t>
        </is>
      </c>
      <c r="C1522" s="56" t="inlineStr">
        <is>
          <t>HM.0875441</t>
        </is>
      </c>
      <c r="D1522" s="57" t="n"/>
      <c r="E1522" s="57" t="n"/>
      <c r="F1522" s="57" t="n"/>
      <c r="G1522" s="57" t="n"/>
      <c r="H1522" s="57" t="n"/>
      <c r="J1522" s="387" t="inlineStr">
        <is>
          <t>HM51</t>
        </is>
      </c>
      <c r="K1522" s="387" t="inlineStr">
        <is>
          <t>HM</t>
        </is>
      </c>
      <c r="L1522" s="388" t="inlineStr">
        <is>
          <t>Thân trụ T2 đoạn 1 (đợt 2)</t>
        </is>
      </c>
      <c r="M1522" s="388" t="n"/>
      <c r="N1522" s="388" t="n"/>
      <c r="O1522" s="389" t="n"/>
      <c r="P1522" s="390" t="n"/>
      <c r="Q1522" s="390" t="n"/>
      <c r="R1522" s="390" t="n"/>
      <c r="S1522" s="390" t="n"/>
      <c r="T1522" s="390" t="n"/>
      <c r="U1522" s="390" t="n"/>
      <c r="V1522" s="390" t="n"/>
      <c r="W1522" s="391" t="n"/>
      <c r="X1522" s="391" t="n"/>
      <c r="Y1522" s="391" t="n"/>
      <c r="Z1522" s="391" t="n"/>
      <c r="AA1522" s="392" t="n"/>
      <c r="AB1522" s="392" t="n"/>
      <c r="AC1522" s="392" t="n"/>
      <c r="AD1522" s="392" t="n"/>
      <c r="AE1522" s="392" t="n"/>
      <c r="AF1522" s="392" t="n"/>
      <c r="AG1522" s="392" t="n"/>
      <c r="AH1522" s="392" t="n"/>
      <c r="AI1522" s="391" t="n"/>
      <c r="AJ1522" s="391" t="n"/>
      <c r="AK1522" s="393" t="n"/>
      <c r="AL1522" s="391" t="n"/>
      <c r="AM1522" s="391" t="n"/>
      <c r="AN1522" s="391" t="n"/>
      <c r="AO1522" s="391" t="n"/>
      <c r="AP1522" s="394" t="n"/>
      <c r="AQ1522" s="394" t="n"/>
      <c r="AR1522" s="391" t="n"/>
      <c r="AS1522" s="391" t="n"/>
      <c r="AT1522" s="391" t="inlineStr">
        <is>
          <t>HM51</t>
        </is>
      </c>
      <c r="AU1522" s="391" t="inlineStr">
        <is>
          <t>HM</t>
        </is>
      </c>
      <c r="AV1522" s="391" t="n"/>
      <c r="AW1522" s="391" t="n"/>
      <c r="AX1522" s="391" t="n"/>
    </row>
    <row r="1523" ht="28" customHeight="1" s="672">
      <c r="A1523" s="68" t="inlineStr">
        <is>
          <t>BBK_BIA</t>
        </is>
      </c>
      <c r="B1523" s="68" t="inlineStr">
        <is>
          <t>TRANGBIA</t>
        </is>
      </c>
      <c r="C1523" s="68" t="inlineStr">
        <is>
          <t>BBK_BIA.0054565</t>
        </is>
      </c>
      <c r="D1523" s="69" t="n"/>
      <c r="E1523" s="69" t="n"/>
      <c r="F1523" s="69" t="n"/>
      <c r="G1523" s="69" t="n"/>
      <c r="H1523" s="69" t="n"/>
      <c r="I1523" s="70" t="n"/>
      <c r="J1523" s="327" t="inlineStr">
        <is>
          <t>01</t>
        </is>
      </c>
      <c r="K1523" s="327" t="inlineStr">
        <is>
          <t>TRANGBIA</t>
        </is>
      </c>
      <c r="L1523" s="328">
        <f>L1522</f>
        <v/>
      </c>
      <c r="M1523" s="328" t="n"/>
      <c r="N1523" s="328" t="n"/>
      <c r="O1523" s="329" t="inlineStr">
        <is>
          <t>Cầu KM19+529.080</t>
        </is>
      </c>
      <c r="P1523" s="330" t="n"/>
      <c r="Q1523" s="330" t="n"/>
      <c r="R1523" s="330" t="n"/>
      <c r="S1523" s="330" t="n"/>
      <c r="T1523" s="330" t="n"/>
      <c r="U1523" s="330" t="n"/>
      <c r="V1523" s="330" t="n"/>
      <c r="W1523" s="331" t="n"/>
      <c r="X1523" s="331" t="n"/>
      <c r="Y1523" s="331" t="n"/>
      <c r="Z1523" s="331" t="n"/>
      <c r="AA1523" s="331" t="n"/>
      <c r="AB1523" s="331" t="n"/>
      <c r="AC1523" s="331" t="n"/>
      <c r="AD1523" s="331" t="n"/>
      <c r="AE1523" s="331" t="n"/>
      <c r="AF1523" s="331" t="n"/>
      <c r="AG1523" s="331" t="n"/>
      <c r="AH1523" s="331" t="n"/>
      <c r="AI1523" s="331" t="n"/>
      <c r="AJ1523" s="331" t="n"/>
      <c r="AK1523" s="329" t="n"/>
      <c r="AL1523" s="331" t="n"/>
      <c r="AM1523" s="331" t="n"/>
      <c r="AN1523" s="331" t="n"/>
      <c r="AO1523" s="331" t="n"/>
      <c r="AP1523" s="332">
        <f>L1523</f>
        <v/>
      </c>
      <c r="AQ1523" s="333" t="n"/>
      <c r="AR1523" s="331" t="inlineStr">
        <is>
          <t>Nhóm 1</t>
        </is>
      </c>
      <c r="AS1523" s="331" t="n"/>
      <c r="AT1523" s="331" t="inlineStr">
        <is>
          <t>HM51</t>
        </is>
      </c>
      <c r="AU1523" s="331" t="inlineStr">
        <is>
          <t>TRANGBIA</t>
        </is>
      </c>
      <c r="AV1523" s="331" t="n">
        <v>51</v>
      </c>
      <c r="AW1523" s="331" t="n">
        <v>1</v>
      </c>
      <c r="AX1523" s="331" t="n"/>
    </row>
    <row r="1524">
      <c r="A1524" s="68" t="inlineStr">
        <is>
          <t>BBK_ML</t>
        </is>
      </c>
      <c r="B1524" s="68" t="inlineStr">
        <is>
          <t>MUCLUC</t>
        </is>
      </c>
      <c r="C1524" s="68" t="inlineStr">
        <is>
          <t>BBK_ML.0486126</t>
        </is>
      </c>
      <c r="D1524" s="69" t="n"/>
      <c r="E1524" s="69" t="n"/>
      <c r="F1524" s="69" t="n"/>
      <c r="G1524" s="69" t="n"/>
      <c r="H1524" s="69" t="n"/>
      <c r="I1524" s="70" t="n"/>
      <c r="J1524" s="395" t="inlineStr">
        <is>
          <t>02</t>
        </is>
      </c>
      <c r="K1524" s="395" t="inlineStr">
        <is>
          <t>MUCLUC</t>
        </is>
      </c>
      <c r="L1524" s="396" t="inlineStr">
        <is>
          <t>Danh mục biên bản Kiểm tra/Nghiệm thu</t>
        </is>
      </c>
      <c r="M1524" s="396" t="n"/>
      <c r="N1524" s="396" t="n"/>
      <c r="O1524" s="397" t="inlineStr">
        <is>
          <t>Cầu KM19+529.080</t>
        </is>
      </c>
      <c r="P1524" s="398" t="n"/>
      <c r="Q1524" s="398" t="n"/>
      <c r="R1524" s="398" t="n"/>
      <c r="S1524" s="398" t="n"/>
      <c r="T1524" s="398" t="n"/>
      <c r="U1524" s="398" t="n"/>
      <c r="V1524" s="398" t="n"/>
      <c r="W1524" s="399" t="n"/>
      <c r="X1524" s="399" t="n"/>
      <c r="Y1524" s="399" t="n"/>
      <c r="Z1524" s="399" t="n"/>
      <c r="AA1524" s="399" t="n"/>
      <c r="AB1524" s="399" t="n"/>
      <c r="AC1524" s="399" t="n"/>
      <c r="AD1524" s="399" t="n"/>
      <c r="AE1524" s="399" t="n"/>
      <c r="AF1524" s="399" t="n"/>
      <c r="AG1524" s="399" t="n"/>
      <c r="AH1524" s="399" t="n"/>
      <c r="AI1524" s="399" t="n"/>
      <c r="AJ1524" s="399" t="n"/>
      <c r="AK1524" s="397" t="n"/>
      <c r="AL1524" s="399" t="n"/>
      <c r="AM1524" s="399" t="n"/>
      <c r="AN1524" s="399" t="n"/>
      <c r="AO1524" s="399" t="n"/>
      <c r="AP1524" s="400" t="n"/>
      <c r="AQ1524" s="400" t="n"/>
      <c r="AR1524" s="399" t="inlineStr">
        <is>
          <t>Nhóm 1</t>
        </is>
      </c>
      <c r="AS1524" s="399" t="n"/>
      <c r="AT1524" s="399" t="inlineStr">
        <is>
          <t>HM51</t>
        </is>
      </c>
      <c r="AU1524" s="399" t="inlineStr">
        <is>
          <t>MUCLUC</t>
        </is>
      </c>
      <c r="AV1524" s="399" t="n">
        <v>51</v>
      </c>
      <c r="AW1524" s="399" t="n">
        <v>1</v>
      </c>
      <c r="AX1524" s="399" t="n"/>
    </row>
    <row r="1525">
      <c r="A1525" s="56" t="inlineStr">
        <is>
          <t>BBK680</t>
        </is>
      </c>
      <c r="B1525" s="56" t="inlineStr">
        <is>
          <t>PYC</t>
        </is>
      </c>
      <c r="C1525" s="56" t="inlineStr">
        <is>
          <t>BBK680.0472144</t>
        </is>
      </c>
      <c r="D1525" s="57" t="n"/>
      <c r="E1525" s="57" t="n"/>
      <c r="F1525" s="57" t="n"/>
      <c r="G1525" s="57" t="n"/>
      <c r="H1525" s="57" t="n"/>
      <c r="J1525" s="108" t="inlineStr">
        <is>
          <t>03</t>
        </is>
      </c>
      <c r="K1525" s="108" t="inlineStr">
        <is>
          <t>PYC</t>
        </is>
      </c>
      <c r="L1525" s="109" t="inlineStr">
        <is>
          <t>phiếu yêu cầu</t>
        </is>
      </c>
      <c r="M1525" s="109" t="n"/>
      <c r="N1525" s="109" t="n"/>
      <c r="O1525" s="110" t="inlineStr">
        <is>
          <t>Cầu KM19+529.080</t>
        </is>
      </c>
      <c r="P1525" s="401" t="n"/>
      <c r="Q1525" s="401" t="n"/>
      <c r="R1525" s="401">
        <f>R1526</f>
        <v/>
      </c>
      <c r="S1525" s="401">
        <f>+R1525+1</f>
        <v/>
      </c>
      <c r="T1525" s="402">
        <f>T1526</f>
        <v/>
      </c>
      <c r="U1525" s="402">
        <f>U1526</f>
        <v/>
      </c>
      <c r="V1525" s="402">
        <f>V1526</f>
        <v/>
      </c>
      <c r="W1525" s="402">
        <f>W1526</f>
        <v/>
      </c>
      <c r="X1525" s="403" t="n"/>
      <c r="Y1525" s="403" t="n"/>
      <c r="Z1525" s="403" t="n"/>
      <c r="AA1525" s="113" t="n"/>
      <c r="AB1525" s="113" t="inlineStr">
        <is>
          <t>307HG/YCNT/TT/T2-Đ1/Đ2</t>
        </is>
      </c>
      <c r="AC1525" s="113" t="n"/>
      <c r="AD1525" s="113" t="n"/>
      <c r="AE1525" s="113" t="n"/>
      <c r="AF1525" s="113" t="n"/>
      <c r="AG1525" s="113" t="inlineStr">
        <is>
          <t>BBKTĐK;NTCV</t>
        </is>
      </c>
      <c r="AH1525" s="113" t="n">
        <v>1</v>
      </c>
      <c r="AI1525" s="403" t="n"/>
      <c r="AJ1525" s="403" t="n"/>
      <c r="AK1525" s="404" t="n"/>
      <c r="AL1525" s="403" t="n"/>
      <c r="AM1525" s="403" t="n"/>
      <c r="AN1525" s="403" t="n"/>
      <c r="AO1525" s="403" t="n"/>
      <c r="AP1525" s="115" t="n"/>
      <c r="AQ1525" s="115" t="n"/>
      <c r="AR1525" s="403" t="inlineStr">
        <is>
          <t>Nhóm 1</t>
        </is>
      </c>
      <c r="AS1525" s="403" t="n"/>
      <c r="AT1525" s="403" t="inlineStr">
        <is>
          <t>HM51</t>
        </is>
      </c>
      <c r="AU1525" s="403" t="inlineStr">
        <is>
          <t>PYC</t>
        </is>
      </c>
      <c r="AV1525" s="403" t="n">
        <v>117</v>
      </c>
      <c r="AW1525" s="403" t="n">
        <v>1</v>
      </c>
      <c r="AX1525" s="403" t="n"/>
    </row>
    <row r="1526" ht="28" customHeight="1" s="672">
      <c r="A1526" s="56" t="inlineStr">
        <is>
          <t>BBK884</t>
        </is>
      </c>
      <c r="B1526" s="56" t="inlineStr">
        <is>
          <t>BBKTĐK</t>
        </is>
      </c>
      <c r="C1526" s="56" t="inlineStr">
        <is>
          <t>BBK884.0109488</t>
        </is>
      </c>
      <c r="D1526" s="57" t="n"/>
      <c r="E1526" s="57" t="n"/>
      <c r="F1526" s="57" t="n"/>
      <c r="G1526" s="57" t="n"/>
      <c r="H1526" s="57" t="n"/>
      <c r="J1526" s="139" t="inlineStr">
        <is>
          <t>04</t>
        </is>
      </c>
      <c r="K1526" s="139" t="inlineStr">
        <is>
          <t>BBKTĐK</t>
        </is>
      </c>
      <c r="L1526" s="140" t="inlineStr">
        <is>
          <t>Kiểm tra điều kiện trước khi thi công thân trụ T2 đoạn 1 (đợt 2)</t>
        </is>
      </c>
      <c r="M1526" s="140" t="n"/>
      <c r="N1526" s="140" t="n"/>
      <c r="O1526" s="141" t="inlineStr">
        <is>
          <t>Cầu KM19+529.080</t>
        </is>
      </c>
      <c r="P1526" s="382">
        <f>+S1519+1</f>
        <v/>
      </c>
      <c r="Q1526" s="382">
        <f>P1526</f>
        <v/>
      </c>
      <c r="R1526" s="382">
        <f>Q1526-1</f>
        <v/>
      </c>
      <c r="S1526" s="382">
        <f>Q1526</f>
        <v/>
      </c>
      <c r="T1526" s="383" t="n">
        <v>0.3541666666666667</v>
      </c>
      <c r="U1526" s="383">
        <f>T1526+V1526</f>
        <v/>
      </c>
      <c r="V1526" s="383" t="n">
        <v>0.0625</v>
      </c>
      <c r="W1526" s="384">
        <f>TEXT(T1526,"HH""h""MM'")&amp;"÷"&amp;TEXT(U1526,"HH""h""MM'")</f>
        <v/>
      </c>
      <c r="X1526" s="384" t="n"/>
      <c r="Y1526" s="384" t="n"/>
      <c r="Z1526" s="384" t="inlineStr">
        <is>
          <t>01;</t>
        </is>
      </c>
      <c r="AA1526" s="144" t="inlineStr">
        <is>
          <t>Kiểm tra điều kiện trước khi thi công thân trụ T2 đoạn 1 (đợt 2)</t>
        </is>
      </c>
      <c r="AB1526" s="144" t="inlineStr">
        <is>
          <t>307HG/YCNT/TT/T2-Đ1/Đ2-1</t>
        </is>
      </c>
      <c r="AC1526" s="144" t="inlineStr">
        <is>
          <t>307HG/BBNT/TT/T2-Đ1/Đ2-1</t>
        </is>
      </c>
      <c r="AD1526" s="144" t="n"/>
      <c r="AE1526" s="144" t="n"/>
      <c r="AF1526" s="144" t="n"/>
      <c r="AG1526" s="144" t="n"/>
      <c r="AH1526" s="144" t="n"/>
      <c r="AI1526" s="384" t="n"/>
      <c r="AJ1526" s="384" t="n"/>
      <c r="AK1526" s="386" t="n"/>
      <c r="AL1526" s="384" t="n"/>
      <c r="AM1526" s="384" t="n"/>
      <c r="AN1526" s="384" t="n"/>
      <c r="AO1526" s="384" t="n"/>
      <c r="AP1526" s="146" t="n"/>
      <c r="AQ1526" s="146" t="n"/>
      <c r="AR1526" s="384" t="inlineStr">
        <is>
          <t>Nhóm 1</t>
        </is>
      </c>
      <c r="AS1526" s="384" t="n"/>
      <c r="AT1526" s="384" t="inlineStr">
        <is>
          <t>HM51</t>
        </is>
      </c>
      <c r="AU1526" s="384" t="inlineStr">
        <is>
          <t>BBKTĐK</t>
        </is>
      </c>
      <c r="AV1526" s="384" t="n">
        <v>43</v>
      </c>
      <c r="AW1526" s="384" t="n">
        <v>1</v>
      </c>
      <c r="AX1526" s="384" t="n"/>
    </row>
    <row r="1527">
      <c r="A1527" s="56" t="inlineStr">
        <is>
          <t>BBK860</t>
        </is>
      </c>
      <c r="B1527" s="56" t="inlineStr">
        <is>
          <t>PL01</t>
        </is>
      </c>
      <c r="C1527" s="56" t="inlineStr">
        <is>
          <t>BBK860.0098761</t>
        </is>
      </c>
      <c r="D1527" s="57" t="n"/>
      <c r="E1527" s="57" t="n"/>
      <c r="F1527" s="57" t="n"/>
      <c r="G1527" s="57" t="n"/>
      <c r="H1527" s="57" t="n"/>
      <c r="J1527" s="168" t="inlineStr">
        <is>
          <t>05</t>
        </is>
      </c>
      <c r="K1527" s="168" t="inlineStr">
        <is>
          <t>PL01</t>
        </is>
      </c>
      <c r="L1527" s="169" t="inlineStr">
        <is>
          <t>Phụ lục số 01</t>
        </is>
      </c>
      <c r="M1527" s="169" t="n"/>
      <c r="N1527" s="169" t="n"/>
      <c r="O1527" s="170" t="inlineStr">
        <is>
          <t>Cầu KM19+529.080</t>
        </is>
      </c>
      <c r="P1527" s="405" t="n"/>
      <c r="Q1527" s="405" t="n"/>
      <c r="R1527" s="405" t="n"/>
      <c r="S1527" s="405">
        <f>S1526</f>
        <v/>
      </c>
      <c r="T1527" s="405" t="n"/>
      <c r="U1527" s="405" t="n"/>
      <c r="V1527" s="405" t="n"/>
      <c r="W1527" s="406" t="n"/>
      <c r="X1527" s="406" t="n"/>
      <c r="Y1527" s="406" t="n"/>
      <c r="Z1527" s="168" t="n">
        <v>1</v>
      </c>
      <c r="AA1527" s="173" t="n"/>
      <c r="AB1527" s="173" t="n"/>
      <c r="AC1527" s="173" t="inlineStr">
        <is>
          <t>307HG/BBNT/TT/T2-Đ1/Đ2-1</t>
        </is>
      </c>
      <c r="AD1527" s="173" t="n"/>
      <c r="AE1527" s="173" t="n"/>
      <c r="AF1527" s="173" t="n"/>
      <c r="AG1527" s="173" t="n"/>
      <c r="AH1527" s="407" t="inlineStr">
        <is>
          <t>TT-T2-Đ1</t>
        </is>
      </c>
      <c r="AI1527" s="406" t="n"/>
      <c r="AJ1527" s="406" t="n"/>
      <c r="AK1527" s="408" t="n"/>
      <c r="AL1527" s="406" t="n"/>
      <c r="AM1527" s="406" t="n"/>
      <c r="AN1527" s="406" t="n"/>
      <c r="AO1527" s="406" t="n"/>
      <c r="AP1527" s="174" t="n"/>
      <c r="AQ1527" s="174" t="n"/>
      <c r="AR1527" s="406" t="inlineStr">
        <is>
          <t>Nhóm 1</t>
        </is>
      </c>
      <c r="AS1527" s="406" t="n"/>
      <c r="AT1527" s="406" t="inlineStr">
        <is>
          <t>HM51</t>
        </is>
      </c>
      <c r="AU1527" s="406" t="inlineStr">
        <is>
          <t>PL01</t>
        </is>
      </c>
      <c r="AV1527" s="406" t="n">
        <v>47</v>
      </c>
      <c r="AW1527" s="406" t="n">
        <v>1</v>
      </c>
      <c r="AX1527" s="406" t="n"/>
    </row>
    <row r="1528" ht="28" customHeight="1" s="672">
      <c r="A1528" s="56" t="inlineStr">
        <is>
          <t>NTCV</t>
        </is>
      </c>
      <c r="B1528" s="56" t="inlineStr">
        <is>
          <t>K.9999</t>
        </is>
      </c>
      <c r="C1528" s="56" t="inlineStr">
        <is>
          <t>NTCV.0364523</t>
        </is>
      </c>
      <c r="D1528" s="57" t="n"/>
      <c r="E1528" s="57" t="n"/>
      <c r="F1528" s="57" t="n"/>
      <c r="G1528" s="57" t="n"/>
      <c r="H1528" s="57" t="n"/>
      <c r="J1528" s="147" t="inlineStr">
        <is>
          <t>06</t>
        </is>
      </c>
      <c r="K1528" s="147" t="inlineStr">
        <is>
          <t>K.9999</t>
        </is>
      </c>
      <c r="L1528" s="148" t="inlineStr">
        <is>
          <t>Lắp dựng ván khuôn, thanh xuyên táo thân trụ T2 đoạn 1 (đợt 2)</t>
        </is>
      </c>
      <c r="M1528" s="148" t="n"/>
      <c r="N1528" s="148" t="n"/>
      <c r="O1528" s="149" t="inlineStr">
        <is>
          <t>Cầu KM19+529.080</t>
        </is>
      </c>
      <c r="P1528" s="415">
        <f>S1526+1</f>
        <v/>
      </c>
      <c r="Q1528" s="415">
        <f>P1528</f>
        <v/>
      </c>
      <c r="R1528" s="415">
        <f>Q1528-2</f>
        <v/>
      </c>
      <c r="S1528" s="415">
        <f>Q1528</f>
        <v/>
      </c>
      <c r="T1528" s="416" t="n">
        <v>0.375</v>
      </c>
      <c r="U1528" s="416">
        <f>+T1528+V1528</f>
        <v/>
      </c>
      <c r="V1528" s="416" t="n">
        <v>0.02083333333333333</v>
      </c>
      <c r="W1528" s="417">
        <f>TEXT(T1528,"HH""h""MM'")&amp;"÷"&amp;TEXT(U1528,"HH""h""MM'")</f>
        <v/>
      </c>
      <c r="X1528" s="417" t="n"/>
      <c r="Y1528" s="417" t="n"/>
      <c r="Z1528" s="417" t="inlineStr">
        <is>
          <t>02;</t>
        </is>
      </c>
      <c r="AA1528" s="150" t="inlineStr">
        <is>
          <t>Lắp dựng ván khuôn, thanh xuyên táo thân trụ T2 đoạn 1 (đợt 2)</t>
        </is>
      </c>
      <c r="AB1528" s="150" t="inlineStr">
        <is>
          <t>307HG/YCNT/TT/T2-Đ1/Đ2-1</t>
        </is>
      </c>
      <c r="AC1528" s="150" t="inlineStr">
        <is>
          <t>307HG/BBNT/TT/T2-Đ1/Đ2-2</t>
        </is>
      </c>
      <c r="AD1528" s="150" t="n"/>
      <c r="AE1528" s="150" t="n"/>
      <c r="AF1528" s="150" t="n"/>
      <c r="AG1528" s="150" t="n"/>
      <c r="AH1528" s="150" t="n"/>
      <c r="AI1528" s="417" t="n"/>
      <c r="AJ1528" s="417" t="n"/>
      <c r="AK1528" s="418" t="n"/>
      <c r="AL1528" s="417" t="n"/>
      <c r="AM1528" s="417" t="n"/>
      <c r="AN1528" s="417" t="n"/>
      <c r="AO1528" s="417" t="n"/>
      <c r="AP1528" s="151" t="n"/>
      <c r="AQ1528" s="151" t="n"/>
      <c r="AR1528" s="417" t="inlineStr">
        <is>
          <t>Nhóm 1</t>
        </is>
      </c>
      <c r="AS1528" s="417" t="n"/>
      <c r="AT1528" s="417" t="inlineStr">
        <is>
          <t>HM51</t>
        </is>
      </c>
      <c r="AU1528" s="417" t="inlineStr">
        <is>
          <t>NTCV</t>
        </is>
      </c>
      <c r="AV1528" s="417" t="n">
        <v>461</v>
      </c>
      <c r="AW1528" s="417" t="n">
        <v>1</v>
      </c>
      <c r="AX1528" s="417" t="n"/>
    </row>
    <row r="1529">
      <c r="A1529" s="56" t="inlineStr">
        <is>
          <t>BBK288</t>
        </is>
      </c>
      <c r="B1529" s="56" t="inlineStr">
        <is>
          <t>PL11.1</t>
        </is>
      </c>
      <c r="C1529" s="56" t="inlineStr">
        <is>
          <t>BBK288.0053993</t>
        </is>
      </c>
      <c r="D1529" s="57" t="n"/>
      <c r="E1529" s="57" t="n"/>
      <c r="F1529" s="57" t="n"/>
      <c r="G1529" s="57" t="n"/>
      <c r="H1529" s="57" t="n"/>
      <c r="J1529" s="108" t="inlineStr">
        <is>
          <t>07</t>
        </is>
      </c>
      <c r="K1529" s="108" t="inlineStr">
        <is>
          <t>PL11.1</t>
        </is>
      </c>
      <c r="L1529" s="109" t="inlineStr">
        <is>
          <t>Phụ lục số 11</t>
        </is>
      </c>
      <c r="M1529" s="109" t="n"/>
      <c r="N1529" s="109" t="n"/>
      <c r="O1529" s="110" t="inlineStr">
        <is>
          <t>Cầu KM19+529.080</t>
        </is>
      </c>
      <c r="P1529" s="401" t="n"/>
      <c r="Q1529" s="401" t="n"/>
      <c r="R1529" s="401" t="n"/>
      <c r="S1529" s="401">
        <f>S1528</f>
        <v/>
      </c>
      <c r="T1529" s="401" t="n"/>
      <c r="U1529" s="401" t="n"/>
      <c r="V1529" s="401" t="n"/>
      <c r="W1529" s="403" t="n"/>
      <c r="X1529" s="403" t="n"/>
      <c r="Y1529" s="403" t="n"/>
      <c r="Z1529" s="108" t="n">
        <v>2</v>
      </c>
      <c r="AA1529" s="113" t="n"/>
      <c r="AB1529" s="113" t="n"/>
      <c r="AC1529" s="113" t="inlineStr">
        <is>
          <t>307HG/BBNT/TT/T2-Đ1/Đ2-2</t>
        </is>
      </c>
      <c r="AD1529" s="113" t="n"/>
      <c r="AE1529" s="113" t="n"/>
      <c r="AF1529" s="113" t="n"/>
      <c r="AG1529" s="114" t="n"/>
      <c r="AH1529" s="114" t="inlineStr">
        <is>
          <t>TT-T2-Đ1-Đ2</t>
        </is>
      </c>
      <c r="AI1529" s="403" t="n"/>
      <c r="AJ1529" s="403" t="n"/>
      <c r="AK1529" s="404" t="n"/>
      <c r="AL1529" s="403" t="n"/>
      <c r="AM1529" s="403" t="n"/>
      <c r="AN1529" s="403" t="n"/>
      <c r="AO1529" s="403" t="n"/>
      <c r="AP1529" s="115" t="n"/>
      <c r="AQ1529" s="115" t="inlineStr">
        <is>
          <t>Ảnh\TT DD1 T1,T2.png</t>
        </is>
      </c>
      <c r="AR1529" s="403" t="inlineStr">
        <is>
          <t>Nhóm 1</t>
        </is>
      </c>
      <c r="AS1529" s="403" t="n"/>
      <c r="AT1529" s="403" t="inlineStr">
        <is>
          <t>HM51</t>
        </is>
      </c>
      <c r="AU1529" s="403" t="inlineStr">
        <is>
          <t>PL11.1</t>
        </is>
      </c>
      <c r="AV1529" s="403" t="n">
        <v>17</v>
      </c>
      <c r="AW1529" s="403" t="n">
        <v>1</v>
      </c>
      <c r="AX1529" s="403" t="n"/>
    </row>
    <row r="1530">
      <c r="A1530" s="56" t="inlineStr">
        <is>
          <t>BBK680</t>
        </is>
      </c>
      <c r="B1530" s="56" t="inlineStr">
        <is>
          <t>PYC</t>
        </is>
      </c>
      <c r="C1530" s="56" t="inlineStr">
        <is>
          <t>BBK680.0962817</t>
        </is>
      </c>
      <c r="D1530" s="57" t="n"/>
      <c r="E1530" s="57" t="n"/>
      <c r="F1530" s="57" t="n"/>
      <c r="G1530" s="57" t="n"/>
      <c r="H1530" s="57" t="n"/>
      <c r="J1530" s="168" t="inlineStr">
        <is>
          <t>08</t>
        </is>
      </c>
      <c r="K1530" s="168" t="inlineStr">
        <is>
          <t>PYC</t>
        </is>
      </c>
      <c r="L1530" s="169" t="inlineStr">
        <is>
          <t>phiếu yêu cầu</t>
        </is>
      </c>
      <c r="M1530" s="169" t="n"/>
      <c r="N1530" s="169" t="n"/>
      <c r="O1530" s="170" t="inlineStr">
        <is>
          <t>Cầu KM19+529.080</t>
        </is>
      </c>
      <c r="P1530" s="405" t="n"/>
      <c r="Q1530" s="405" t="n"/>
      <c r="R1530" s="401">
        <f>R1531</f>
        <v/>
      </c>
      <c r="S1530" s="405">
        <f>+R1530+1</f>
        <v/>
      </c>
      <c r="T1530" s="402">
        <f>T1531</f>
        <v/>
      </c>
      <c r="U1530" s="402">
        <f>U1531</f>
        <v/>
      </c>
      <c r="V1530" s="402">
        <f>V1531</f>
        <v/>
      </c>
      <c r="W1530" s="402">
        <f>W1531</f>
        <v/>
      </c>
      <c r="X1530" s="406" t="n"/>
      <c r="Y1530" s="406" t="n"/>
      <c r="Z1530" s="168" t="n">
        <v>2</v>
      </c>
      <c r="AA1530" s="173" t="n"/>
      <c r="AB1530" s="173" t="inlineStr">
        <is>
          <t>307HG/YCNT/TT/T2-Đ1/Đ2</t>
        </is>
      </c>
      <c r="AC1530" s="173" t="n"/>
      <c r="AD1530" s="173" t="n"/>
      <c r="AE1530" s="173" t="n"/>
      <c r="AF1530" s="173" t="n"/>
      <c r="AG1530" s="129" t="inlineStr">
        <is>
          <t>NTCV</t>
        </is>
      </c>
      <c r="AH1530" s="173" t="inlineStr">
        <is>
          <t>&gt;=2;&lt;=4</t>
        </is>
      </c>
      <c r="AI1530" s="406" t="n"/>
      <c r="AJ1530" s="406" t="n"/>
      <c r="AK1530" s="408" t="n"/>
      <c r="AL1530" s="406" t="n"/>
      <c r="AM1530" s="406" t="n"/>
      <c r="AN1530" s="406" t="n"/>
      <c r="AO1530" s="406" t="n"/>
      <c r="AP1530" s="174" t="n"/>
      <c r="AQ1530" s="174" t="n"/>
      <c r="AR1530" s="406" t="inlineStr">
        <is>
          <t>Nhóm 1</t>
        </is>
      </c>
      <c r="AS1530" s="406" t="n"/>
      <c r="AT1530" s="406" t="inlineStr">
        <is>
          <t>HM51</t>
        </is>
      </c>
      <c r="AU1530" s="406" t="inlineStr">
        <is>
          <t>PYC</t>
        </is>
      </c>
      <c r="AV1530" s="406" t="n">
        <v>122</v>
      </c>
      <c r="AW1530" s="406" t="n">
        <v>2</v>
      </c>
      <c r="AX1530" s="406" t="n"/>
    </row>
    <row r="1531" ht="28" customHeight="1" s="672">
      <c r="A1531" s="413" t="inlineStr">
        <is>
          <t>NTCV</t>
        </is>
      </c>
      <c r="B1531" s="413" t="inlineStr">
        <is>
          <t>K.9999</t>
        </is>
      </c>
      <c r="C1531" s="413" t="inlineStr">
        <is>
          <t>NTCV.0992144</t>
        </is>
      </c>
      <c r="D1531" s="414" t="n"/>
      <c r="E1531" s="414" t="n"/>
      <c r="F1531" s="414" t="n"/>
      <c r="G1531" s="414" t="n"/>
      <c r="H1531" s="414" t="n"/>
      <c r="J1531" s="147" t="inlineStr">
        <is>
          <t>09</t>
        </is>
      </c>
      <c r="K1531" s="147" t="inlineStr">
        <is>
          <t>K.9999</t>
        </is>
      </c>
      <c r="L1531" s="148" t="inlineStr">
        <is>
          <t>Kiểm tra cốt thép thân trụ T2 đoạn 1 (đợt 2)</t>
        </is>
      </c>
      <c r="M1531" s="148" t="n"/>
      <c r="N1531" s="148" t="n"/>
      <c r="O1531" s="149" t="inlineStr">
        <is>
          <t>Cầu KM19+529.080</t>
        </is>
      </c>
      <c r="P1531" s="415">
        <f>+S1528+1</f>
        <v/>
      </c>
      <c r="Q1531" s="415">
        <f>+P1531</f>
        <v/>
      </c>
      <c r="R1531" s="415">
        <f>+Q1531-1</f>
        <v/>
      </c>
      <c r="S1531" s="415">
        <f>+Q1531</f>
        <v/>
      </c>
      <c r="T1531" s="416" t="n">
        <v>0.375</v>
      </c>
      <c r="U1531" s="416">
        <f>+T1531+V1531</f>
        <v/>
      </c>
      <c r="V1531" s="416" t="n">
        <v>0.04166666666666666</v>
      </c>
      <c r="W1531" s="411">
        <f>TEXT(T1531,"HH""h""MM'")&amp;"÷"&amp;TEXT(U1531,"HH""h""MM'")</f>
        <v/>
      </c>
      <c r="X1531" s="417" t="n"/>
      <c r="Y1531" s="417" t="n"/>
      <c r="Z1531" s="417" t="inlineStr">
        <is>
          <t>03;</t>
        </is>
      </c>
      <c r="AA1531" s="150" t="inlineStr">
        <is>
          <t>Kiểm tra cốt thép thân trụ T2 đoạn 1 (đợt 2)</t>
        </is>
      </c>
      <c r="AB1531" s="150" t="inlineStr">
        <is>
          <t>307HG/YCNT/TT/T2-Đ1/Đ2-2</t>
        </is>
      </c>
      <c r="AC1531" s="150" t="inlineStr">
        <is>
          <t>307HG/BBNT/TT/T2-Đ1/Đ2-3</t>
        </is>
      </c>
      <c r="AD1531" s="150" t="n"/>
      <c r="AE1531" s="150" t="n"/>
      <c r="AF1531" s="150" t="n"/>
      <c r="AG1531" s="150" t="n"/>
      <c r="AH1531" s="150" t="n"/>
      <c r="AI1531" s="417" t="n"/>
      <c r="AJ1531" s="417" t="n"/>
      <c r="AK1531" s="418" t="n"/>
      <c r="AL1531" s="417" t="n"/>
      <c r="AM1531" s="417" t="n"/>
      <c r="AN1531" s="417" t="n"/>
      <c r="AO1531" s="417" t="n"/>
      <c r="AP1531" s="151" t="n"/>
      <c r="AQ1531" s="151" t="n"/>
      <c r="AR1531" s="417" t="inlineStr">
        <is>
          <t>Nhóm 1</t>
        </is>
      </c>
      <c r="AS1531" s="417" t="n"/>
      <c r="AT1531" s="417" t="inlineStr">
        <is>
          <t>HM51</t>
        </is>
      </c>
      <c r="AU1531" s="417" t="inlineStr">
        <is>
          <t>NTCV</t>
        </is>
      </c>
      <c r="AV1531" s="417" t="n">
        <v>464</v>
      </c>
      <c r="AW1531" s="417" t="n">
        <v>2</v>
      </c>
      <c r="AX1531" s="417" t="n"/>
    </row>
    <row r="1532">
      <c r="A1532" s="413" t="inlineStr">
        <is>
          <t>BBK469</t>
        </is>
      </c>
      <c r="B1532" s="413" t="inlineStr">
        <is>
          <t>PL08.1</t>
        </is>
      </c>
      <c r="C1532" s="413" t="inlineStr">
        <is>
          <t>BBK469.0574269</t>
        </is>
      </c>
      <c r="D1532" s="414" t="n"/>
      <c r="E1532" s="414" t="n"/>
      <c r="F1532" s="414" t="n"/>
      <c r="G1532" s="414" t="n"/>
      <c r="H1532" s="414" t="n"/>
      <c r="J1532" s="108" t="inlineStr">
        <is>
          <t>10</t>
        </is>
      </c>
      <c r="K1532" s="108" t="inlineStr">
        <is>
          <t>PL08.1</t>
        </is>
      </c>
      <c r="L1532" s="109">
        <f>L1531</f>
        <v/>
      </c>
      <c r="M1532" s="109" t="n"/>
      <c r="N1532" s="109" t="n"/>
      <c r="O1532" s="110" t="inlineStr">
        <is>
          <t>Cầu KM19+529.080</t>
        </is>
      </c>
      <c r="P1532" s="401" t="n"/>
      <c r="Q1532" s="401" t="n"/>
      <c r="R1532" s="401" t="n"/>
      <c r="S1532" s="401">
        <f>S1531</f>
        <v/>
      </c>
      <c r="T1532" s="401" t="n"/>
      <c r="U1532" s="401" t="n"/>
      <c r="V1532" s="401" t="n"/>
      <c r="W1532" s="403" t="n"/>
      <c r="X1532" s="403" t="n"/>
      <c r="Y1532" s="403" t="n"/>
      <c r="Z1532" s="108" t="n">
        <v>3</v>
      </c>
      <c r="AA1532" s="113" t="n"/>
      <c r="AB1532" s="113" t="n"/>
      <c r="AC1532" s="113" t="inlineStr">
        <is>
          <t>307HG/BBNT/TT/T2-Đ1/Đ2-3</t>
        </is>
      </c>
      <c r="AD1532" s="113" t="n"/>
      <c r="AE1532" s="113" t="n"/>
      <c r="AF1532" s="113" t="n"/>
      <c r="AG1532" s="113" t="n"/>
      <c r="AH1532" s="113" t="inlineStr">
        <is>
          <t>TT-T2-Đ1-Đ2</t>
        </is>
      </c>
      <c r="AI1532" s="403" t="n"/>
      <c r="AJ1532" s="403" t="n"/>
      <c r="AK1532" s="404" t="n"/>
      <c r="AL1532" s="403" t="n"/>
      <c r="AM1532" s="403" t="n"/>
      <c r="AN1532" s="403" t="n"/>
      <c r="AO1532" s="403" t="n"/>
      <c r="AP1532" s="115" t="n"/>
      <c r="AQ1532" s="115" t="n"/>
      <c r="AR1532" s="403" t="inlineStr">
        <is>
          <t>Nhóm 1</t>
        </is>
      </c>
      <c r="AS1532" s="403" t="n"/>
      <c r="AT1532" s="403" t="inlineStr">
        <is>
          <t>HM51</t>
        </is>
      </c>
      <c r="AU1532" s="403" t="inlineStr">
        <is>
          <t>PL08.1</t>
        </is>
      </c>
      <c r="AV1532" s="403" t="n">
        <v>17</v>
      </c>
      <c r="AW1532" s="403" t="n">
        <v>1</v>
      </c>
      <c r="AX1532" s="403" t="n"/>
    </row>
    <row r="1533" ht="28" customHeight="1" s="672">
      <c r="A1533" s="413" t="inlineStr">
        <is>
          <t>NTCV</t>
        </is>
      </c>
      <c r="B1533" s="413" t="inlineStr">
        <is>
          <t>K.9999</t>
        </is>
      </c>
      <c r="C1533" s="413" t="inlineStr">
        <is>
          <t>NTCV.0005078</t>
        </is>
      </c>
      <c r="D1533" s="414" t="n"/>
      <c r="E1533" s="414" t="n"/>
      <c r="F1533" s="414" t="n"/>
      <c r="G1533" s="414" t="n"/>
      <c r="H1533" s="414" t="n"/>
      <c r="J1533" s="131" t="inlineStr">
        <is>
          <t>11</t>
        </is>
      </c>
      <c r="K1533" s="131" t="inlineStr">
        <is>
          <t>K.9999</t>
        </is>
      </c>
      <c r="L1533" s="132" t="inlineStr">
        <is>
          <t>Công tác chuẩn bị đổ bê tông thân trụ T2 đoạn 1 (đợt 2)</t>
        </is>
      </c>
      <c r="M1533" s="132" t="n"/>
      <c r="N1533" s="132" t="n"/>
      <c r="O1533" s="133" t="inlineStr">
        <is>
          <t>Cầu KM19+529.080</t>
        </is>
      </c>
      <c r="P1533" s="419">
        <f>S1531</f>
        <v/>
      </c>
      <c r="Q1533" s="419">
        <f>P1533+1</f>
        <v/>
      </c>
      <c r="R1533" s="415">
        <f>+Q1533-2</f>
        <v/>
      </c>
      <c r="S1533" s="415">
        <f>+Q1533</f>
        <v/>
      </c>
      <c r="T1533" s="420" t="n">
        <v>0.3333333333333333</v>
      </c>
      <c r="U1533" s="420">
        <f>+T1533+V1533</f>
        <v/>
      </c>
      <c r="V1533" s="420" t="n">
        <v>0.02083333333333333</v>
      </c>
      <c r="W1533" s="417">
        <f>TEXT(T1533,"HH""h""MM'")&amp;"÷"&amp;TEXT(U1533,"HH""h""MM'")</f>
        <v/>
      </c>
      <c r="X1533" s="421" t="n"/>
      <c r="Y1533" s="421" t="n"/>
      <c r="Z1533" s="421" t="inlineStr">
        <is>
          <t>04;</t>
        </is>
      </c>
      <c r="AA1533" s="136" t="inlineStr">
        <is>
          <t>Công tác chuẩn bị đổ bê tông thân trụ T2 đoạn 1 (đợt 2)</t>
        </is>
      </c>
      <c r="AB1533" s="150" t="inlineStr">
        <is>
          <t>307HG/YCNT/TT/T2-Đ1/Đ2-2</t>
        </is>
      </c>
      <c r="AC1533" s="136" t="inlineStr">
        <is>
          <t>307HG/BBNT/TT/T2-Đ1/Đ2-4</t>
        </is>
      </c>
      <c r="AD1533" s="136" t="n"/>
      <c r="AE1533" s="136" t="n"/>
      <c r="AF1533" s="136" t="n"/>
      <c r="AG1533" s="136" t="n"/>
      <c r="AH1533" s="136" t="n"/>
      <c r="AI1533" s="421" t="n"/>
      <c r="AJ1533" s="421" t="n"/>
      <c r="AK1533" s="422" t="n"/>
      <c r="AL1533" s="421" t="n"/>
      <c r="AM1533" s="421" t="n"/>
      <c r="AN1533" s="421" t="n"/>
      <c r="AO1533" s="421" t="n"/>
      <c r="AP1533" s="138" t="n"/>
      <c r="AQ1533" s="138" t="n"/>
      <c r="AR1533" s="421" t="inlineStr">
        <is>
          <t>Nhóm 1</t>
        </is>
      </c>
      <c r="AS1533" s="421" t="n"/>
      <c r="AT1533" s="421" t="inlineStr">
        <is>
          <t>HM51</t>
        </is>
      </c>
      <c r="AU1533" s="421" t="inlineStr">
        <is>
          <t>NTCV</t>
        </is>
      </c>
      <c r="AV1533" s="421" t="n">
        <v>465</v>
      </c>
      <c r="AW1533" s="421" t="n">
        <v>3</v>
      </c>
      <c r="AX1533" s="421" t="n"/>
    </row>
    <row r="1534">
      <c r="A1534" s="413" t="inlineStr">
        <is>
          <t>BBK209</t>
        </is>
      </c>
      <c r="B1534" s="413" t="inlineStr">
        <is>
          <t>PL09</t>
        </is>
      </c>
      <c r="C1534" s="413" t="inlineStr">
        <is>
          <t>BBK209.0618594</t>
        </is>
      </c>
      <c r="D1534" s="414" t="n"/>
      <c r="E1534" s="414" t="n"/>
      <c r="F1534" s="414" t="n"/>
      <c r="G1534" s="414" t="n"/>
      <c r="H1534" s="414" t="n"/>
      <c r="J1534" s="124" t="inlineStr">
        <is>
          <t>12</t>
        </is>
      </c>
      <c r="K1534" s="124" t="inlineStr">
        <is>
          <t>PL09</t>
        </is>
      </c>
      <c r="L1534" s="125">
        <f>+L1533</f>
        <v/>
      </c>
      <c r="M1534" s="125" t="n"/>
      <c r="N1534" s="125" t="n"/>
      <c r="O1534" s="126" t="inlineStr">
        <is>
          <t>Cầu KM19+529.080</t>
        </is>
      </c>
      <c r="P1534" s="423" t="n"/>
      <c r="Q1534" s="423" t="n"/>
      <c r="R1534" s="423">
        <f>+R1535</f>
        <v/>
      </c>
      <c r="S1534" s="423">
        <f>+S1533</f>
        <v/>
      </c>
      <c r="T1534" s="424" t="n"/>
      <c r="U1534" s="424" t="n"/>
      <c r="V1534" s="424" t="n"/>
      <c r="W1534" s="425" t="n"/>
      <c r="X1534" s="425" t="n"/>
      <c r="Y1534" s="425" t="n"/>
      <c r="Z1534" s="124" t="n">
        <v>4</v>
      </c>
      <c r="AA1534" s="129" t="n"/>
      <c r="AB1534" s="129" t="n"/>
      <c r="AC1534" s="129">
        <f>+AC1533</f>
        <v/>
      </c>
      <c r="AD1534" s="129" t="n"/>
      <c r="AE1534" s="129" t="n"/>
      <c r="AF1534" s="129" t="n"/>
      <c r="AG1534" s="129" t="n"/>
      <c r="AH1534" s="129" t="inlineStr">
        <is>
          <t>C30</t>
        </is>
      </c>
      <c r="AI1534" s="425" t="n"/>
      <c r="AJ1534" s="425" t="n"/>
      <c r="AK1534" s="427" t="n"/>
      <c r="AL1534" s="425" t="n"/>
      <c r="AM1534" s="425" t="n"/>
      <c r="AN1534" s="425" t="n"/>
      <c r="AO1534" s="425" t="n"/>
      <c r="AP1534" s="130" t="n"/>
      <c r="AQ1534" s="130" t="n"/>
      <c r="AR1534" s="425" t="inlineStr">
        <is>
          <t>Nhóm 1</t>
        </is>
      </c>
      <c r="AS1534" s="425" t="n"/>
      <c r="AT1534" s="425" t="inlineStr">
        <is>
          <t>HM51</t>
        </is>
      </c>
      <c r="AU1534" s="425" t="inlineStr">
        <is>
          <t>PL09</t>
        </is>
      </c>
      <c r="AV1534" s="425" t="n">
        <v>43</v>
      </c>
      <c r="AW1534" s="425" t="n">
        <v>1</v>
      </c>
      <c r="AX1534" s="425" t="n"/>
    </row>
    <row r="1535" ht="28" customHeight="1" s="672">
      <c r="A1535" s="413" t="inlineStr">
        <is>
          <t>NTCV</t>
        </is>
      </c>
      <c r="B1535" s="413" t="inlineStr">
        <is>
          <t>K.9999</t>
        </is>
      </c>
      <c r="C1535" s="413" t="inlineStr">
        <is>
          <t>NTCV.0747712</t>
        </is>
      </c>
      <c r="D1535" s="414" t="n"/>
      <c r="E1535" s="414" t="n"/>
      <c r="F1535" s="414" t="n"/>
      <c r="G1535" s="414" t="n"/>
      <c r="H1535" s="414" t="n"/>
      <c r="J1535" s="161" t="inlineStr">
        <is>
          <t>13</t>
        </is>
      </c>
      <c r="K1535" s="161" t="inlineStr">
        <is>
          <t>K.9999</t>
        </is>
      </c>
      <c r="L1535" s="162" t="inlineStr">
        <is>
          <t>Công tác đổ, lấy mẫu bê tông thân trụ T2 đoạn 1 (đợt 2)</t>
        </is>
      </c>
      <c r="M1535" s="162" t="n"/>
      <c r="N1535" s="162" t="n"/>
      <c r="O1535" s="163" t="inlineStr">
        <is>
          <t>Cầu KM19+529.080</t>
        </is>
      </c>
      <c r="P1535" s="409">
        <f>+S1533</f>
        <v/>
      </c>
      <c r="Q1535" s="409">
        <f>+P1535</f>
        <v/>
      </c>
      <c r="R1535" s="409">
        <f>+Q1535-1</f>
        <v/>
      </c>
      <c r="S1535" s="409">
        <f>+Q1535</f>
        <v/>
      </c>
      <c r="T1535" s="410" t="n">
        <v>0.375</v>
      </c>
      <c r="U1535" s="410">
        <f>+T1535+V1535</f>
        <v/>
      </c>
      <c r="V1535" s="410" t="n">
        <v>0.08333333333333333</v>
      </c>
      <c r="W1535" s="411">
        <f>TEXT(T1535,"HH""h""MM'")&amp;"÷"&amp;TEXT(U1535,"HH""h""MM'")</f>
        <v/>
      </c>
      <c r="X1535" s="411" t="n"/>
      <c r="Y1535" s="411" t="n"/>
      <c r="Z1535" s="161" t="inlineStr">
        <is>
          <t>05;</t>
        </is>
      </c>
      <c r="AA1535" s="166" t="inlineStr">
        <is>
          <t>Công tác đổ bê tông, lấy mẫu bê tông thân trụ T2 đoạn 1 (đợt 2)</t>
        </is>
      </c>
      <c r="AB1535" s="166" t="n"/>
      <c r="AC1535" s="166" t="inlineStr">
        <is>
          <t>307HG/BBNT/TT/T2-Đ1/Đ2-5</t>
        </is>
      </c>
      <c r="AD1535" s="166" t="n"/>
      <c r="AE1535" s="166" t="n"/>
      <c r="AF1535" s="166" t="n"/>
      <c r="AG1535" s="166" t="n"/>
      <c r="AH1535" s="166" t="n"/>
      <c r="AI1535" s="411" t="n"/>
      <c r="AJ1535" s="411" t="n"/>
      <c r="AK1535" s="412" t="n"/>
      <c r="AL1535" s="411" t="n"/>
      <c r="AM1535" s="411" t="n"/>
      <c r="AN1535" s="411" t="n"/>
      <c r="AO1535" s="411" t="n"/>
      <c r="AP1535" s="167" t="n"/>
      <c r="AQ1535" s="167" t="n"/>
      <c r="AR1535" s="411" t="inlineStr">
        <is>
          <t>Nhóm 1</t>
        </is>
      </c>
      <c r="AS1535" s="411" t="n"/>
      <c r="AT1535" s="411" t="inlineStr">
        <is>
          <t>HM51</t>
        </is>
      </c>
      <c r="AU1535" s="411" t="inlineStr">
        <is>
          <t>NTCV</t>
        </is>
      </c>
      <c r="AV1535" s="411" t="n">
        <v>466</v>
      </c>
      <c r="AW1535" s="411" t="n">
        <v>4</v>
      </c>
      <c r="AX1535" s="411" t="n"/>
    </row>
    <row r="1536" ht="28" customHeight="1" s="672">
      <c r="A1536" s="413" t="inlineStr">
        <is>
          <t>BBK832</t>
        </is>
      </c>
      <c r="B1536" s="413" t="inlineStr">
        <is>
          <t>PL06.1</t>
        </is>
      </c>
      <c r="C1536" s="413" t="inlineStr">
        <is>
          <t>BBK832.0388861</t>
        </is>
      </c>
      <c r="D1536" s="414" t="n"/>
      <c r="E1536" s="414" t="n"/>
      <c r="F1536" s="414" t="n"/>
      <c r="G1536" s="414" t="n"/>
      <c r="H1536" s="414" t="n"/>
      <c r="J1536" s="168" t="inlineStr">
        <is>
          <t>14</t>
        </is>
      </c>
      <c r="K1536" s="168" t="inlineStr">
        <is>
          <t>PL06.1</t>
        </is>
      </c>
      <c r="L1536" s="169">
        <f>+L1535</f>
        <v/>
      </c>
      <c r="M1536" s="169" t="n"/>
      <c r="N1536" s="169" t="n"/>
      <c r="O1536" s="170" t="inlineStr">
        <is>
          <t>Cầu KM19+529.080</t>
        </is>
      </c>
      <c r="P1536" s="405" t="n"/>
      <c r="Q1536" s="405" t="n"/>
      <c r="R1536" s="405" t="n"/>
      <c r="S1536" s="405">
        <f>+S1535</f>
        <v/>
      </c>
      <c r="T1536" s="428">
        <f>+T1535</f>
        <v/>
      </c>
      <c r="U1536" s="428">
        <f>T1536+V1536</f>
        <v/>
      </c>
      <c r="V1536" s="428">
        <f>+V1535</f>
        <v/>
      </c>
      <c r="W1536" s="406" t="n"/>
      <c r="X1536" s="406" t="n"/>
      <c r="Y1536" s="406" t="n"/>
      <c r="Z1536" s="168" t="n">
        <v>5</v>
      </c>
      <c r="AA1536" s="173" t="n"/>
      <c r="AB1536" s="173" t="n"/>
      <c r="AC1536" s="173">
        <f>+AC1535</f>
        <v/>
      </c>
      <c r="AD1536" s="173" t="n"/>
      <c r="AE1536" s="173" t="n"/>
      <c r="AF1536" s="173" t="n"/>
      <c r="AG1536" s="173" t="n"/>
      <c r="AH1536" s="407" t="inlineStr">
        <is>
          <t>C30-TT-T2-Đ1-Đ2</t>
        </is>
      </c>
      <c r="AI1536" s="406" t="n"/>
      <c r="AJ1536" s="406" t="n"/>
      <c r="AK1536" s="408" t="n"/>
      <c r="AL1536" s="406" t="n"/>
      <c r="AM1536" s="406" t="n"/>
      <c r="AN1536" s="406" t="n"/>
      <c r="AO1536" s="406" t="n"/>
      <c r="AP1536" s="174" t="n"/>
      <c r="AQ1536" s="174" t="n"/>
      <c r="AR1536" s="406" t="inlineStr">
        <is>
          <t>Nhóm 1</t>
        </is>
      </c>
      <c r="AS1536" s="406" t="n"/>
      <c r="AT1536" s="406" t="inlineStr">
        <is>
          <t>HM51</t>
        </is>
      </c>
      <c r="AU1536" s="406" t="inlineStr">
        <is>
          <t>PL06.1</t>
        </is>
      </c>
      <c r="AV1536" s="406" t="n">
        <v>18</v>
      </c>
      <c r="AW1536" s="406" t="n">
        <v>1</v>
      </c>
      <c r="AX1536" s="406" t="n"/>
    </row>
    <row r="1537">
      <c r="A1537" s="413" t="inlineStr">
        <is>
          <t>LMHT</t>
        </is>
      </c>
      <c r="B1537" s="413" t="inlineStr">
        <is>
          <t>LMHT</t>
        </is>
      </c>
      <c r="C1537" s="413" t="inlineStr">
        <is>
          <t>LMHT.0567404</t>
        </is>
      </c>
      <c r="D1537" s="414" t="inlineStr">
        <is>
          <t>TC.000041|TC.000182|TC.000169.A</t>
        </is>
      </c>
      <c r="E1537" s="414" t="n"/>
      <c r="F1537" s="414" t="inlineStr">
        <is>
          <t>CP.0001^Bê tông thân trụ T2 đoạn 1 (đợt 2)^Hình trụ 15x30 (cm)^18^C30 (30Mpa)^^^TC.000041|TC.000182|TC.000169.A</t>
        </is>
      </c>
      <c r="G1537" s="414" t="n"/>
      <c r="H1537" s="414" t="n"/>
      <c r="J1537" s="175" t="inlineStr">
        <is>
          <t>15</t>
        </is>
      </c>
      <c r="K1537" s="175" t="inlineStr">
        <is>
          <t>LMHT</t>
        </is>
      </c>
      <c r="L1537" s="176" t="inlineStr">
        <is>
          <t>Bê tông thân trụ T2 đoạn 1 (đợt 2)</t>
        </is>
      </c>
      <c r="M1537" s="176" t="n"/>
      <c r="N1537" s="176" t="n"/>
      <c r="O1537" s="177" t="inlineStr">
        <is>
          <t>Cầu KM19+529.080</t>
        </is>
      </c>
      <c r="P1537" s="299" t="n"/>
      <c r="Q1537" s="299" t="n"/>
      <c r="R1537" s="299" t="n"/>
      <c r="S1537" s="299">
        <f>S1533</f>
        <v/>
      </c>
      <c r="T1537" s="300">
        <f>T1536</f>
        <v/>
      </c>
      <c r="U1537" s="300">
        <f>U1536</f>
        <v/>
      </c>
      <c r="V1537" s="300">
        <f>V1536</f>
        <v/>
      </c>
      <c r="W1537" s="301" t="n"/>
      <c r="X1537" s="301" t="n"/>
      <c r="Y1537" s="301" t="n"/>
      <c r="Z1537" s="301" t="n"/>
      <c r="AA1537" s="180" t="n"/>
      <c r="AB1537" s="180" t="n"/>
      <c r="AC1537" s="180" t="n"/>
      <c r="AD1537" s="180" t="n"/>
      <c r="AE1537" s="180" t="n"/>
      <c r="AF1537" s="180" t="n"/>
      <c r="AG1537" s="180" t="n"/>
      <c r="AH1537" s="180" t="n"/>
      <c r="AI1537" s="301" t="n"/>
      <c r="AJ1537" s="301" t="n"/>
      <c r="AK1537" s="303" t="n"/>
      <c r="AL1537" s="301" t="n"/>
      <c r="AM1537" s="301" t="n"/>
      <c r="AN1537" s="301" t="n"/>
      <c r="AO1537" s="301" t="n"/>
      <c r="AP1537" s="181" t="n"/>
      <c r="AQ1537" s="181" t="n"/>
      <c r="AR1537" s="301" t="inlineStr">
        <is>
          <t>Nhóm 1</t>
        </is>
      </c>
      <c r="AS1537" s="301" t="n"/>
      <c r="AT1537" s="301" t="inlineStr">
        <is>
          <t>HM51</t>
        </is>
      </c>
      <c r="AU1537" s="301" t="inlineStr">
        <is>
          <t>LMHT</t>
        </is>
      </c>
      <c r="AV1537" s="301" t="n">
        <v>54</v>
      </c>
      <c r="AW1537" s="301" t="n">
        <v>1</v>
      </c>
      <c r="AX1537" s="301" t="n"/>
    </row>
    <row r="1538">
      <c r="A1538" s="413" t="inlineStr">
        <is>
          <t>BBK680</t>
        </is>
      </c>
      <c r="B1538" s="413" t="inlineStr">
        <is>
          <t>PYC</t>
        </is>
      </c>
      <c r="C1538" s="413" t="inlineStr">
        <is>
          <t>BBK680.0163306</t>
        </is>
      </c>
      <c r="D1538" s="414" t="n"/>
      <c r="E1538" s="414" t="n"/>
      <c r="F1538" s="414" t="n"/>
      <c r="G1538" s="414" t="n"/>
      <c r="H1538" s="414" t="n"/>
      <c r="J1538" s="168" t="inlineStr">
        <is>
          <t>16</t>
        </is>
      </c>
      <c r="K1538" s="168" t="inlineStr">
        <is>
          <t>PYC</t>
        </is>
      </c>
      <c r="L1538" s="169" t="inlineStr">
        <is>
          <t>phiếu yêu cầu</t>
        </is>
      </c>
      <c r="M1538" s="169" t="n"/>
      <c r="N1538" s="169" t="n"/>
      <c r="O1538" s="170" t="inlineStr">
        <is>
          <t>Cầu KM19+529.080</t>
        </is>
      </c>
      <c r="P1538" s="405" t="n"/>
      <c r="Q1538" s="405" t="n"/>
      <c r="R1538" s="401">
        <f>+R1539</f>
        <v/>
      </c>
      <c r="S1538" s="405">
        <f>R1538+1</f>
        <v/>
      </c>
      <c r="T1538" s="405" t="n"/>
      <c r="U1538" s="405" t="n"/>
      <c r="V1538" s="405" t="n"/>
      <c r="W1538" s="406" t="n"/>
      <c r="X1538" s="406" t="n"/>
      <c r="Y1538" s="406" t="n"/>
      <c r="Z1538" s="406" t="n"/>
      <c r="AA1538" s="173" t="n"/>
      <c r="AB1538" s="173" t="inlineStr">
        <is>
          <t>307HG/YCNT/TT/T2-Đ1/Đ2</t>
        </is>
      </c>
      <c r="AC1538" s="173" t="n"/>
      <c r="AD1538" s="173" t="n"/>
      <c r="AE1538" s="173" t="n"/>
      <c r="AF1538" s="173" t="n"/>
      <c r="AG1538" s="129" t="inlineStr">
        <is>
          <t>NTCV</t>
        </is>
      </c>
      <c r="AH1538" s="173" t="n">
        <v>5</v>
      </c>
      <c r="AI1538" s="406" t="n"/>
      <c r="AJ1538" s="406" t="n"/>
      <c r="AK1538" s="408" t="n"/>
      <c r="AL1538" s="406" t="n"/>
      <c r="AM1538" s="406" t="n"/>
      <c r="AN1538" s="406" t="n"/>
      <c r="AO1538" s="406" t="n"/>
      <c r="AP1538" s="174" t="n"/>
      <c r="AQ1538" s="174" t="n"/>
      <c r="AR1538" s="406" t="inlineStr">
        <is>
          <t>Nhóm 1</t>
        </is>
      </c>
      <c r="AS1538" s="406" t="n"/>
      <c r="AT1538" s="406" t="inlineStr">
        <is>
          <t>HM51</t>
        </is>
      </c>
      <c r="AU1538" s="406" t="inlineStr">
        <is>
          <t>PYC</t>
        </is>
      </c>
      <c r="AV1538" s="406" t="n">
        <v>127</v>
      </c>
      <c r="AW1538" s="406" t="n">
        <v>3</v>
      </c>
      <c r="AX1538" s="406" t="n"/>
    </row>
    <row r="1539">
      <c r="A1539" s="413" t="inlineStr">
        <is>
          <t>NTCV</t>
        </is>
      </c>
      <c r="B1539" s="413" t="inlineStr">
        <is>
          <t>K.9999</t>
        </is>
      </c>
      <c r="C1539" s="413" t="inlineStr">
        <is>
          <t>NTCV.0668507</t>
        </is>
      </c>
      <c r="D1539" s="414" t="n"/>
      <c r="E1539" s="414" t="n"/>
      <c r="F1539" s="414" t="n"/>
      <c r="G1539" s="414" t="n"/>
      <c r="H1539" s="414" t="n"/>
      <c r="J1539" s="147" t="inlineStr">
        <is>
          <t>17</t>
        </is>
      </c>
      <c r="K1539" s="147" t="inlineStr">
        <is>
          <t>K.9999</t>
        </is>
      </c>
      <c r="L1539" s="148" t="inlineStr">
        <is>
          <t>Tháo ván khuôn thân trụ T2 đoạn 1 (đợt 2)</t>
        </is>
      </c>
      <c r="M1539" s="148" t="n"/>
      <c r="N1539" s="148" t="n"/>
      <c r="O1539" s="149" t="inlineStr">
        <is>
          <t>Cầu KM19+529.080</t>
        </is>
      </c>
      <c r="P1539" s="415">
        <f>S1537</f>
        <v/>
      </c>
      <c r="Q1539" s="415">
        <f>+P1539+3</f>
        <v/>
      </c>
      <c r="R1539" s="415">
        <f>Q1539-1</f>
        <v/>
      </c>
      <c r="S1539" s="415">
        <f>Q1539</f>
        <v/>
      </c>
      <c r="T1539" s="416" t="n">
        <v>0.3541666666666667</v>
      </c>
      <c r="U1539" s="416">
        <f>+T1539+V1539</f>
        <v/>
      </c>
      <c r="V1539" s="416" t="n">
        <v>0.01388888888888889</v>
      </c>
      <c r="W1539" s="411">
        <f>TEXT(T1539,"HH""h""MM'")&amp;"÷"&amp;TEXT(U1539,"HH""h""MM'")</f>
        <v/>
      </c>
      <c r="X1539" s="417" t="n"/>
      <c r="Y1539" s="417" t="n"/>
      <c r="Z1539" s="417" t="inlineStr">
        <is>
          <t>06;</t>
        </is>
      </c>
      <c r="AA1539" s="150" t="inlineStr">
        <is>
          <t>Kiểm tra ván khuôn Bệ trụ T2 đoạn 1</t>
        </is>
      </c>
      <c r="AB1539" s="150" t="inlineStr">
        <is>
          <t>307HG/YCNT/TT/T2-Đ1/Đ2-3</t>
        </is>
      </c>
      <c r="AC1539" s="150" t="inlineStr">
        <is>
          <t>307HG/BBNT/TT/T2-Đ1/Đ2-5</t>
        </is>
      </c>
      <c r="AD1539" s="150" t="n"/>
      <c r="AE1539" s="150" t="n"/>
      <c r="AF1539" s="150" t="n"/>
      <c r="AG1539" s="150" t="n"/>
      <c r="AH1539" s="150" t="n"/>
      <c r="AI1539" s="417" t="n"/>
      <c r="AJ1539" s="417" t="n"/>
      <c r="AK1539" s="418" t="n"/>
      <c r="AL1539" s="417" t="n"/>
      <c r="AM1539" s="417" t="n"/>
      <c r="AN1539" s="417" t="n"/>
      <c r="AO1539" s="417" t="n"/>
      <c r="AP1539" s="151" t="n"/>
      <c r="AQ1539" s="151" t="n"/>
      <c r="AR1539" s="417" t="inlineStr">
        <is>
          <t>Nhóm 1</t>
        </is>
      </c>
      <c r="AS1539" s="417" t="n"/>
      <c r="AT1539" s="417" t="inlineStr">
        <is>
          <t>HM51</t>
        </is>
      </c>
      <c r="AU1539" s="417" t="inlineStr">
        <is>
          <t>NTCV</t>
        </is>
      </c>
      <c r="AV1539" s="417" t="n">
        <v>468</v>
      </c>
      <c r="AW1539" s="417" t="n">
        <v>5</v>
      </c>
      <c r="AX1539" s="417" t="n"/>
    </row>
    <row r="1540">
      <c r="A1540" s="413" t="inlineStr">
        <is>
          <t>BBK587</t>
        </is>
      </c>
      <c r="B1540" s="413" t="inlineStr">
        <is>
          <t>PL07.02</t>
        </is>
      </c>
      <c r="C1540" s="413" t="inlineStr">
        <is>
          <t>BBK587.0211682</t>
        </is>
      </c>
      <c r="D1540" s="414" t="n"/>
      <c r="E1540" s="414" t="n"/>
      <c r="F1540" s="414" t="n"/>
      <c r="G1540" s="414" t="n"/>
      <c r="H1540" s="414" t="n"/>
      <c r="J1540" s="108" t="inlineStr">
        <is>
          <t>18</t>
        </is>
      </c>
      <c r="K1540" s="108" t="inlineStr">
        <is>
          <t>PL07.02</t>
        </is>
      </c>
      <c r="L1540" s="109">
        <f>+L1539</f>
        <v/>
      </c>
      <c r="M1540" s="109" t="n"/>
      <c r="N1540" s="109" t="n"/>
      <c r="O1540" s="110" t="inlineStr">
        <is>
          <t>Cầu KM19+529.080</t>
        </is>
      </c>
      <c r="P1540" s="401" t="n"/>
      <c r="Q1540" s="401" t="n"/>
      <c r="R1540" s="401" t="n"/>
      <c r="S1540" s="401">
        <f>S1539</f>
        <v/>
      </c>
      <c r="T1540" s="401" t="n"/>
      <c r="U1540" s="401" t="n"/>
      <c r="V1540" s="401" t="n"/>
      <c r="W1540" s="403" t="n"/>
      <c r="X1540" s="403" t="n"/>
      <c r="Y1540" s="403" t="n"/>
      <c r="Z1540" s="108" t="n">
        <v>6</v>
      </c>
      <c r="AA1540" s="113" t="n"/>
      <c r="AB1540" s="113" t="n"/>
      <c r="AC1540" s="113" t="inlineStr">
        <is>
          <t>307HG/BBNT/TT/T2-Đ1/Đ2-5</t>
        </is>
      </c>
      <c r="AD1540" s="113" t="n"/>
      <c r="AE1540" s="113" t="n"/>
      <c r="AF1540" s="113" t="n"/>
      <c r="AG1540" s="113" t="n"/>
      <c r="AH1540" s="114" t="inlineStr">
        <is>
          <t>TT-T2-Đ1-Đ2</t>
        </is>
      </c>
      <c r="AI1540" s="403" t="n"/>
      <c r="AJ1540" s="403" t="n"/>
      <c r="AK1540" s="404" t="n"/>
      <c r="AL1540" s="403" t="n"/>
      <c r="AM1540" s="403" t="n"/>
      <c r="AN1540" s="403" t="n"/>
      <c r="AO1540" s="403" t="n"/>
      <c r="AP1540" s="115" t="n"/>
      <c r="AQ1540" s="115" t="inlineStr">
        <is>
          <t>Ảnh\TT DD1 T1,T2.png</t>
        </is>
      </c>
      <c r="AR1540" s="403" t="inlineStr">
        <is>
          <t>Nhóm 1</t>
        </is>
      </c>
      <c r="AS1540" s="403" t="n"/>
      <c r="AT1540" s="403" t="inlineStr">
        <is>
          <t>HM51</t>
        </is>
      </c>
      <c r="AU1540" s="403" t="inlineStr">
        <is>
          <t>PL07.02</t>
        </is>
      </c>
      <c r="AV1540" s="403" t="n">
        <v>14</v>
      </c>
      <c r="AW1540" s="403" t="n">
        <v>1</v>
      </c>
      <c r="AX1540" s="403" t="n"/>
    </row>
    <row r="1541" ht="28" customHeight="1" s="672">
      <c r="A1541" s="413" t="inlineStr">
        <is>
          <t>BBK680</t>
        </is>
      </c>
      <c r="B1541" s="413" t="inlineStr">
        <is>
          <t>PYC</t>
        </is>
      </c>
      <c r="C1541" s="413" t="inlineStr">
        <is>
          <t>BBK680.0593326</t>
        </is>
      </c>
      <c r="D1541" s="414" t="n"/>
      <c r="E1541" s="414" t="n"/>
      <c r="F1541" s="414" t="n"/>
      <c r="G1541" s="414" t="n"/>
      <c r="H1541" s="414" t="n"/>
      <c r="J1541" s="168" t="inlineStr">
        <is>
          <t>19</t>
        </is>
      </c>
      <c r="K1541" s="168" t="inlineStr">
        <is>
          <t>PYC</t>
        </is>
      </c>
      <c r="L1541" s="169" t="inlineStr">
        <is>
          <t>phiếu yêu cầu</t>
        </is>
      </c>
      <c r="M1541" s="169" t="n"/>
      <c r="N1541" s="169" t="n"/>
      <c r="O1541" s="170" t="inlineStr">
        <is>
          <t>Cầu KM19+529.080</t>
        </is>
      </c>
      <c r="P1541" s="405" t="n"/>
      <c r="Q1541" s="405" t="n"/>
      <c r="R1541" s="405">
        <f>S1541-1</f>
        <v/>
      </c>
      <c r="S1541" s="405">
        <f>S1537+7</f>
        <v/>
      </c>
      <c r="T1541" s="428" t="n">
        <v>0.3333333333333333</v>
      </c>
      <c r="U1541" s="428">
        <f>+T1541+V1541</f>
        <v/>
      </c>
      <c r="V1541" s="428" t="n">
        <v>0.02083333333333333</v>
      </c>
      <c r="W1541" s="406" t="n"/>
      <c r="X1541" s="406" t="n"/>
      <c r="Y1541" s="406" t="n"/>
      <c r="Z1541" s="406" t="n"/>
      <c r="AA1541" s="173" t="inlineStr">
        <is>
          <t>Theo dõi nén mẫu R7 bê tông thân trụ T2 đoạn 1 (đợt 2)</t>
        </is>
      </c>
      <c r="AB1541" s="173" t="inlineStr">
        <is>
          <t>307HG/YCNT/TT/T2-Đ1/Đ2-R7</t>
        </is>
      </c>
      <c r="AC1541" s="173" t="n"/>
      <c r="AD1541" s="173" t="n"/>
      <c r="AE1541" s="173" t="n"/>
      <c r="AF1541" s="173" t="n"/>
      <c r="AG1541" s="173" t="inlineStr">
        <is>
          <t>PYC</t>
        </is>
      </c>
      <c r="AH1541" s="173" t="n">
        <v>4</v>
      </c>
      <c r="AI1541" s="406" t="n"/>
      <c r="AJ1541" s="406" t="n"/>
      <c r="AK1541" s="408" t="n"/>
      <c r="AL1541" s="406" t="n"/>
      <c r="AM1541" s="406" t="n"/>
      <c r="AN1541" s="406" t="n"/>
      <c r="AO1541" s="406" t="n"/>
      <c r="AP1541" s="174" t="n"/>
      <c r="AQ1541" s="174" t="n"/>
      <c r="AR1541" s="406" t="inlineStr">
        <is>
          <t>Nhóm 1</t>
        </is>
      </c>
      <c r="AS1541" s="406" t="n"/>
      <c r="AT1541" s="406" t="inlineStr">
        <is>
          <t>HM51</t>
        </is>
      </c>
      <c r="AU1541" s="406" t="inlineStr">
        <is>
          <t>PYC</t>
        </is>
      </c>
      <c r="AV1541" s="406" t="n">
        <v>132</v>
      </c>
      <c r="AW1541" s="406" t="n">
        <v>4</v>
      </c>
      <c r="AX1541" s="406" t="n"/>
    </row>
    <row r="1542" ht="28" customHeight="1" s="672">
      <c r="A1542" s="413" t="inlineStr">
        <is>
          <t>BBK680</t>
        </is>
      </c>
      <c r="B1542" s="413" t="inlineStr">
        <is>
          <t>PYC</t>
        </is>
      </c>
      <c r="C1542" s="413" t="inlineStr">
        <is>
          <t>BBK680.0852386</t>
        </is>
      </c>
      <c r="D1542" s="414" t="n"/>
      <c r="E1542" s="414" t="n"/>
      <c r="F1542" s="414" t="n"/>
      <c r="G1542" s="414" t="n"/>
      <c r="H1542" s="414" t="n"/>
      <c r="J1542" s="108" t="inlineStr">
        <is>
          <t>20</t>
        </is>
      </c>
      <c r="K1542" s="108" t="inlineStr">
        <is>
          <t>PYC</t>
        </is>
      </c>
      <c r="L1542" s="109" t="inlineStr">
        <is>
          <t>phiếu yêu cầu</t>
        </is>
      </c>
      <c r="M1542" s="109" t="n"/>
      <c r="N1542" s="109" t="n"/>
      <c r="O1542" s="110" t="inlineStr">
        <is>
          <t>Cầu KM19+529.080</t>
        </is>
      </c>
      <c r="P1542" s="401" t="n"/>
      <c r="Q1542" s="401" t="n"/>
      <c r="R1542" s="401">
        <f>S1542-1</f>
        <v/>
      </c>
      <c r="S1542" s="401">
        <f>S1537+28</f>
        <v/>
      </c>
      <c r="T1542" s="402" t="n">
        <v>0.3541666666666667</v>
      </c>
      <c r="U1542" s="402">
        <f>+T1542+V1542</f>
        <v/>
      </c>
      <c r="V1542" s="402" t="n">
        <v>0.02083333333333333</v>
      </c>
      <c r="W1542" s="403" t="n"/>
      <c r="X1542" s="403" t="n"/>
      <c r="Y1542" s="403" t="n"/>
      <c r="Z1542" s="403" t="n"/>
      <c r="AA1542" s="113" t="inlineStr">
        <is>
          <t>Theo dõi nén mẫu R28 bê tông thân trụ T2 đoạn 1 (đợt 2)</t>
        </is>
      </c>
      <c r="AB1542" s="113" t="inlineStr">
        <is>
          <t>307HG/YCNT/TT/T2-Đ1/Đ2-R28</t>
        </is>
      </c>
      <c r="AC1542" s="113" t="n"/>
      <c r="AD1542" s="113" t="n"/>
      <c r="AE1542" s="113" t="n"/>
      <c r="AF1542" s="113" t="n"/>
      <c r="AG1542" s="113" t="inlineStr">
        <is>
          <t>PYC</t>
        </is>
      </c>
      <c r="AH1542" s="113" t="n">
        <v>5</v>
      </c>
      <c r="AI1542" s="403" t="n"/>
      <c r="AJ1542" s="403" t="n"/>
      <c r="AK1542" s="404" t="n"/>
      <c r="AL1542" s="403" t="n"/>
      <c r="AM1542" s="403" t="n"/>
      <c r="AN1542" s="403" t="n"/>
      <c r="AO1542" s="403" t="n"/>
      <c r="AP1542" s="115" t="n"/>
      <c r="AQ1542" s="115" t="n"/>
      <c r="AR1542" s="403" t="inlineStr">
        <is>
          <t>Nhóm 1</t>
        </is>
      </c>
      <c r="AS1542" s="403" t="n"/>
      <c r="AT1542" s="403" t="inlineStr">
        <is>
          <t>HM51</t>
        </is>
      </c>
      <c r="AU1542" s="403" t="inlineStr">
        <is>
          <t>PYC</t>
        </is>
      </c>
      <c r="AV1542" s="403" t="n">
        <v>140</v>
      </c>
      <c r="AW1542" s="403" t="n">
        <v>5</v>
      </c>
      <c r="AX1542" s="403" t="n"/>
    </row>
    <row r="1543">
      <c r="A1543" s="413" t="n"/>
      <c r="B1543" s="413" t="n"/>
      <c r="C1543" s="413" t="n"/>
      <c r="D1543" s="414" t="n"/>
      <c r="E1543" s="414" t="n"/>
      <c r="F1543" s="414" t="n"/>
      <c r="G1543" s="414" t="n"/>
      <c r="H1543" s="414" t="n"/>
      <c r="J1543" s="457" t="n"/>
      <c r="K1543" s="457" t="n"/>
      <c r="L1543" s="458" t="n"/>
      <c r="M1543" s="458" t="n"/>
      <c r="N1543" s="458" t="n"/>
      <c r="O1543" s="459" t="n"/>
      <c r="P1543" s="460" t="n"/>
      <c r="Q1543" s="460" t="n"/>
      <c r="R1543" s="460" t="n"/>
      <c r="S1543" s="460" t="n"/>
      <c r="T1543" s="460" t="n"/>
      <c r="U1543" s="460" t="n"/>
      <c r="V1543" s="460" t="n"/>
      <c r="W1543" s="461" t="n"/>
      <c r="X1543" s="461" t="n"/>
      <c r="Y1543" s="461" t="n"/>
      <c r="Z1543" s="461" t="n"/>
      <c r="AA1543" s="462" t="n"/>
      <c r="AB1543" s="462" t="n"/>
      <c r="AC1543" s="462" t="n"/>
      <c r="AD1543" s="462" t="n"/>
      <c r="AE1543" s="462" t="n"/>
      <c r="AF1543" s="462" t="n"/>
      <c r="AG1543" s="462" t="n"/>
      <c r="AH1543" s="462" t="n"/>
      <c r="AI1543" s="461" t="n"/>
      <c r="AJ1543" s="461" t="n"/>
      <c r="AK1543" s="463" t="n"/>
      <c r="AL1543" s="461" t="n"/>
      <c r="AM1543" s="461" t="n"/>
      <c r="AN1543" s="461" t="n"/>
      <c r="AO1543" s="461" t="n"/>
      <c r="AP1543" s="464" t="n"/>
      <c r="AQ1543" s="464" t="n"/>
      <c r="AR1543" s="461" t="n"/>
      <c r="AS1543" s="461" t="n"/>
      <c r="AT1543" s="461" t="n"/>
      <c r="AU1543" s="461" t="n"/>
      <c r="AV1543" s="461" t="n"/>
      <c r="AW1543" s="461" t="n"/>
      <c r="AX1543" s="461" t="n"/>
    </row>
    <row r="1544">
      <c r="A1544" s="413" t="n"/>
      <c r="B1544" s="413" t="n"/>
      <c r="C1544" s="413" t="n"/>
      <c r="D1544" s="414" t="n"/>
      <c r="E1544" s="414" t="n"/>
      <c r="F1544" s="414" t="n"/>
      <c r="G1544" s="414" t="n"/>
      <c r="H1544" s="414" t="n"/>
      <c r="J1544" s="457" t="n"/>
      <c r="K1544" s="457" t="n"/>
      <c r="L1544" s="458" t="n"/>
      <c r="M1544" s="458" t="n"/>
      <c r="N1544" s="458" t="n"/>
      <c r="O1544" s="459" t="n"/>
      <c r="P1544" s="460" t="n"/>
      <c r="Q1544" s="460" t="n"/>
      <c r="R1544" s="460" t="n"/>
      <c r="S1544" s="460" t="n"/>
      <c r="T1544" s="460" t="n"/>
      <c r="U1544" s="460" t="n"/>
      <c r="V1544" s="460" t="n"/>
      <c r="W1544" s="461" t="n"/>
      <c r="X1544" s="461" t="n"/>
      <c r="Y1544" s="461" t="n"/>
      <c r="Z1544" s="461" t="n"/>
      <c r="AA1544" s="462" t="n"/>
      <c r="AB1544" s="462" t="n"/>
      <c r="AC1544" s="462" t="n"/>
      <c r="AD1544" s="462" t="n"/>
      <c r="AE1544" s="462" t="n"/>
      <c r="AF1544" s="462" t="n"/>
      <c r="AG1544" s="462" t="n"/>
      <c r="AH1544" s="462" t="n"/>
      <c r="AI1544" s="461" t="n"/>
      <c r="AJ1544" s="461" t="n"/>
      <c r="AK1544" s="463" t="n"/>
      <c r="AL1544" s="461" t="n"/>
      <c r="AM1544" s="461" t="n"/>
      <c r="AN1544" s="461" t="n"/>
      <c r="AO1544" s="461" t="n"/>
      <c r="AP1544" s="464" t="n"/>
      <c r="AQ1544" s="464" t="n"/>
      <c r="AR1544" s="461" t="n"/>
      <c r="AS1544" s="461" t="n"/>
      <c r="AT1544" s="461" t="n"/>
      <c r="AU1544" s="461" t="n"/>
      <c r="AV1544" s="461" t="n"/>
      <c r="AW1544" s="461" t="n"/>
      <c r="AX1544" s="461" t="n"/>
    </row>
    <row r="1545">
      <c r="A1545" s="413" t="n"/>
      <c r="B1545" s="413" t="n"/>
      <c r="C1545" s="413" t="n"/>
      <c r="D1545" s="414" t="n"/>
      <c r="E1545" s="414" t="n"/>
      <c r="F1545" s="414" t="n"/>
      <c r="G1545" s="414" t="n"/>
      <c r="H1545" s="414" t="n"/>
      <c r="J1545" s="457" t="n"/>
      <c r="K1545" s="457" t="n"/>
      <c r="L1545" s="458" t="n"/>
      <c r="M1545" s="458" t="n"/>
      <c r="N1545" s="458" t="n"/>
      <c r="O1545" s="459" t="n"/>
      <c r="P1545" s="460" t="n"/>
      <c r="Q1545" s="460" t="n"/>
      <c r="R1545" s="460" t="n"/>
      <c r="S1545" s="460" t="n"/>
      <c r="T1545" s="460" t="n"/>
      <c r="U1545" s="460" t="n"/>
      <c r="V1545" s="460" t="n"/>
      <c r="W1545" s="461" t="n"/>
      <c r="X1545" s="461" t="n"/>
      <c r="Y1545" s="461" t="n"/>
      <c r="Z1545" s="461" t="n"/>
      <c r="AA1545" s="462" t="n"/>
      <c r="AB1545" s="462" t="n"/>
      <c r="AC1545" s="462" t="n"/>
      <c r="AD1545" s="462" t="n"/>
      <c r="AE1545" s="462" t="n"/>
      <c r="AF1545" s="462" t="n"/>
      <c r="AG1545" s="462" t="n"/>
      <c r="AH1545" s="462" t="n"/>
      <c r="AI1545" s="461" t="n"/>
      <c r="AJ1545" s="461" t="n"/>
      <c r="AK1545" s="463" t="n"/>
      <c r="AL1545" s="461" t="n"/>
      <c r="AM1545" s="461" t="n"/>
      <c r="AN1545" s="461" t="n"/>
      <c r="AO1545" s="461" t="n"/>
      <c r="AP1545" s="464" t="n"/>
      <c r="AQ1545" s="464" t="n"/>
      <c r="AR1545" s="461" t="n"/>
      <c r="AS1545" s="461" t="n"/>
      <c r="AT1545" s="461" t="n"/>
      <c r="AU1545" s="461" t="n"/>
      <c r="AV1545" s="461" t="n"/>
      <c r="AW1545" s="461" t="n"/>
      <c r="AX1545" s="461" t="n"/>
    </row>
    <row r="1546">
      <c r="A1546" s="413" t="n"/>
      <c r="B1546" s="413" t="n"/>
      <c r="C1546" s="413" t="n"/>
      <c r="D1546" s="414" t="n"/>
      <c r="E1546" s="414" t="n"/>
      <c r="F1546" s="414" t="n"/>
      <c r="G1546" s="414" t="n"/>
      <c r="H1546" s="414" t="n"/>
      <c r="J1546" s="457" t="n"/>
      <c r="K1546" s="457" t="n"/>
      <c r="L1546" s="458" t="n"/>
      <c r="M1546" s="458" t="n"/>
      <c r="N1546" s="458" t="n"/>
      <c r="O1546" s="459" t="n"/>
      <c r="P1546" s="460" t="n"/>
      <c r="Q1546" s="460" t="n"/>
      <c r="R1546" s="460" t="n"/>
      <c r="S1546" s="460" t="n"/>
      <c r="T1546" s="460" t="n"/>
      <c r="U1546" s="460" t="n"/>
      <c r="V1546" s="460" t="n"/>
      <c r="W1546" s="461" t="n"/>
      <c r="X1546" s="461" t="n"/>
      <c r="Y1546" s="461" t="n"/>
      <c r="Z1546" s="461" t="n"/>
      <c r="AA1546" s="462" t="n"/>
      <c r="AB1546" s="462" t="n"/>
      <c r="AC1546" s="462" t="n"/>
      <c r="AD1546" s="462" t="n"/>
      <c r="AE1546" s="462" t="n"/>
      <c r="AF1546" s="462" t="n"/>
      <c r="AG1546" s="462" t="n"/>
      <c r="AH1546" s="462" t="n"/>
      <c r="AI1546" s="461" t="n"/>
      <c r="AJ1546" s="461" t="n"/>
      <c r="AK1546" s="463" t="n"/>
      <c r="AL1546" s="461" t="n"/>
      <c r="AM1546" s="461" t="n"/>
      <c r="AN1546" s="461" t="n"/>
      <c r="AO1546" s="461" t="n"/>
      <c r="AP1546" s="464" t="n"/>
      <c r="AQ1546" s="464" t="n"/>
      <c r="AR1546" s="461" t="n"/>
      <c r="AS1546" s="461" t="n"/>
      <c r="AT1546" s="461" t="n"/>
      <c r="AU1546" s="461" t="n"/>
      <c r="AV1546" s="461" t="n"/>
      <c r="AW1546" s="461" t="n"/>
      <c r="AX1546" s="461" t="n"/>
    </row>
    <row r="1547">
      <c r="A1547" s="413" t="n"/>
      <c r="B1547" s="413" t="n"/>
      <c r="C1547" s="413" t="n"/>
      <c r="D1547" s="414" t="n"/>
      <c r="E1547" s="414" t="n"/>
      <c r="F1547" s="414" t="n"/>
      <c r="G1547" s="414" t="n"/>
      <c r="H1547" s="414" t="n"/>
      <c r="J1547" s="457" t="n"/>
      <c r="K1547" s="457" t="n"/>
      <c r="L1547" s="458" t="n"/>
      <c r="M1547" s="458" t="n"/>
      <c r="N1547" s="458" t="n"/>
      <c r="O1547" s="459" t="n"/>
      <c r="P1547" s="460" t="n"/>
      <c r="Q1547" s="460" t="n"/>
      <c r="R1547" s="460" t="n"/>
      <c r="S1547" s="460" t="n"/>
      <c r="T1547" s="460" t="n"/>
      <c r="U1547" s="460" t="n"/>
      <c r="V1547" s="460" t="n"/>
      <c r="W1547" s="461" t="n"/>
      <c r="X1547" s="461" t="n"/>
      <c r="Y1547" s="461" t="n"/>
      <c r="Z1547" s="461" t="n"/>
      <c r="AA1547" s="462" t="n"/>
      <c r="AB1547" s="462" t="n"/>
      <c r="AC1547" s="462" t="n"/>
      <c r="AD1547" s="462" t="n"/>
      <c r="AE1547" s="462" t="n"/>
      <c r="AF1547" s="462" t="n"/>
      <c r="AG1547" s="462" t="n"/>
      <c r="AH1547" s="462" t="n"/>
      <c r="AI1547" s="461" t="n"/>
      <c r="AJ1547" s="461" t="n"/>
      <c r="AK1547" s="463" t="n"/>
      <c r="AL1547" s="461" t="n"/>
      <c r="AM1547" s="461" t="n"/>
      <c r="AN1547" s="461" t="n"/>
      <c r="AO1547" s="461" t="n"/>
      <c r="AP1547" s="464" t="n"/>
      <c r="AQ1547" s="464" t="n"/>
      <c r="AR1547" s="461" t="n"/>
      <c r="AS1547" s="461" t="n"/>
      <c r="AT1547" s="461" t="n"/>
      <c r="AU1547" s="461" t="n"/>
      <c r="AV1547" s="461" t="n"/>
      <c r="AW1547" s="461" t="n"/>
      <c r="AX1547" s="461" t="n"/>
    </row>
    <row r="1548">
      <c r="A1548" s="413" t="n"/>
      <c r="B1548" s="413" t="n"/>
      <c r="C1548" s="413" t="n"/>
      <c r="D1548" s="414" t="n"/>
      <c r="E1548" s="414" t="n"/>
      <c r="F1548" s="414" t="n"/>
      <c r="G1548" s="414" t="n"/>
      <c r="H1548" s="414" t="n"/>
      <c r="J1548" s="457" t="n"/>
      <c r="K1548" s="457" t="n"/>
      <c r="L1548" s="458" t="n"/>
      <c r="M1548" s="458" t="n"/>
      <c r="N1548" s="458" t="n"/>
      <c r="O1548" s="459" t="n"/>
      <c r="P1548" s="460" t="n"/>
      <c r="Q1548" s="460" t="n"/>
      <c r="R1548" s="460" t="n"/>
      <c r="S1548" s="460" t="n"/>
      <c r="T1548" s="460" t="n"/>
      <c r="U1548" s="460" t="n"/>
      <c r="V1548" s="460" t="n"/>
      <c r="W1548" s="461" t="n"/>
      <c r="X1548" s="461" t="n"/>
      <c r="Y1548" s="461" t="n"/>
      <c r="Z1548" s="461" t="n"/>
      <c r="AA1548" s="462" t="n"/>
      <c r="AB1548" s="462" t="n"/>
      <c r="AC1548" s="462" t="n"/>
      <c r="AD1548" s="462" t="n"/>
      <c r="AE1548" s="462" t="n"/>
      <c r="AF1548" s="462" t="n"/>
      <c r="AG1548" s="462" t="n"/>
      <c r="AH1548" s="462" t="n"/>
      <c r="AI1548" s="461" t="n"/>
      <c r="AJ1548" s="461" t="n"/>
      <c r="AK1548" s="463" t="n"/>
      <c r="AL1548" s="461" t="n"/>
      <c r="AM1548" s="461" t="n"/>
      <c r="AN1548" s="461" t="n"/>
      <c r="AO1548" s="461" t="n"/>
      <c r="AP1548" s="464" t="n"/>
      <c r="AQ1548" s="464" t="n"/>
      <c r="AR1548" s="461" t="n"/>
      <c r="AS1548" s="461" t="n"/>
      <c r="AT1548" s="461" t="n"/>
      <c r="AU1548" s="461" t="n"/>
      <c r="AV1548" s="461" t="n"/>
      <c r="AW1548" s="461" t="n"/>
      <c r="AX1548" s="461" t="n"/>
    </row>
    <row r="1549">
      <c r="A1549" s="413" t="n"/>
      <c r="B1549" s="413" t="n"/>
      <c r="C1549" s="413" t="n"/>
      <c r="D1549" s="414" t="n"/>
      <c r="E1549" s="414" t="n"/>
      <c r="F1549" s="414" t="n"/>
      <c r="G1549" s="414" t="n"/>
      <c r="H1549" s="414" t="n"/>
      <c r="J1549" s="457" t="n"/>
      <c r="K1549" s="457" t="n"/>
      <c r="L1549" s="458" t="n"/>
      <c r="M1549" s="458" t="n"/>
      <c r="N1549" s="458" t="n"/>
      <c r="O1549" s="459" t="n"/>
      <c r="P1549" s="460" t="n"/>
      <c r="Q1549" s="460" t="n"/>
      <c r="R1549" s="460" t="n"/>
      <c r="S1549" s="460" t="n"/>
      <c r="T1549" s="460" t="n"/>
      <c r="U1549" s="460" t="n"/>
      <c r="V1549" s="460" t="n"/>
      <c r="W1549" s="461" t="n"/>
      <c r="X1549" s="461" t="n"/>
      <c r="Y1549" s="461" t="n"/>
      <c r="Z1549" s="461" t="n"/>
      <c r="AA1549" s="462" t="n"/>
      <c r="AB1549" s="462" t="n"/>
      <c r="AC1549" s="462" t="n"/>
      <c r="AD1549" s="462" t="n"/>
      <c r="AE1549" s="462" t="n"/>
      <c r="AF1549" s="462" t="n"/>
      <c r="AG1549" s="462" t="n"/>
      <c r="AH1549" s="462" t="n"/>
      <c r="AI1549" s="461" t="n"/>
      <c r="AJ1549" s="461" t="n"/>
      <c r="AK1549" s="463" t="n"/>
      <c r="AL1549" s="461" t="n"/>
      <c r="AM1549" s="461" t="n"/>
      <c r="AN1549" s="461" t="n"/>
      <c r="AO1549" s="461" t="n"/>
      <c r="AP1549" s="464" t="n"/>
      <c r="AQ1549" s="464" t="n"/>
      <c r="AR1549" s="461" t="n"/>
      <c r="AS1549" s="461" t="n"/>
      <c r="AT1549" s="461" t="n"/>
      <c r="AU1549" s="461" t="n"/>
      <c r="AV1549" s="461" t="n"/>
      <c r="AW1549" s="461" t="n"/>
      <c r="AX1549" s="461" t="n"/>
    </row>
    <row r="1550">
      <c r="A1550" s="413" t="n"/>
      <c r="B1550" s="413" t="n"/>
      <c r="C1550" s="413" t="n"/>
      <c r="D1550" s="414" t="n"/>
      <c r="E1550" s="414" t="n"/>
      <c r="F1550" s="414" t="n"/>
      <c r="G1550" s="414" t="n"/>
      <c r="H1550" s="414" t="n"/>
      <c r="J1550" s="457" t="n"/>
      <c r="K1550" s="457" t="n"/>
      <c r="L1550" s="458" t="n"/>
      <c r="M1550" s="458" t="n"/>
      <c r="N1550" s="458" t="n"/>
      <c r="O1550" s="459" t="n"/>
      <c r="P1550" s="460" t="n"/>
      <c r="Q1550" s="460" t="n"/>
      <c r="R1550" s="460" t="n"/>
      <c r="S1550" s="460" t="n"/>
      <c r="T1550" s="460" t="n"/>
      <c r="U1550" s="460" t="n"/>
      <c r="V1550" s="460" t="n"/>
      <c r="W1550" s="461" t="n"/>
      <c r="X1550" s="461" t="n"/>
      <c r="Y1550" s="461" t="n"/>
      <c r="Z1550" s="461" t="n"/>
      <c r="AA1550" s="462" t="n"/>
      <c r="AB1550" s="462" t="n"/>
      <c r="AC1550" s="462" t="n"/>
      <c r="AD1550" s="462" t="n"/>
      <c r="AE1550" s="462" t="n"/>
      <c r="AF1550" s="462" t="n"/>
      <c r="AG1550" s="462" t="n"/>
      <c r="AH1550" s="462" t="n"/>
      <c r="AI1550" s="461" t="n"/>
      <c r="AJ1550" s="461" t="n"/>
      <c r="AK1550" s="463" t="n"/>
      <c r="AL1550" s="461" t="n"/>
      <c r="AM1550" s="461" t="n"/>
      <c r="AN1550" s="461" t="n"/>
      <c r="AO1550" s="461" t="n"/>
      <c r="AP1550" s="464" t="n"/>
      <c r="AQ1550" s="464" t="n"/>
      <c r="AR1550" s="461" t="n"/>
      <c r="AS1550" s="461" t="n"/>
      <c r="AT1550" s="461" t="n"/>
      <c r="AU1550" s="461" t="n"/>
      <c r="AV1550" s="461" t="n"/>
      <c r="AW1550" s="461" t="n"/>
      <c r="AX1550" s="461" t="n"/>
    </row>
    <row r="1551">
      <c r="A1551" s="413" t="n"/>
      <c r="B1551" s="413" t="n"/>
      <c r="C1551" s="413" t="n"/>
      <c r="D1551" s="414" t="n"/>
      <c r="E1551" s="414" t="n"/>
      <c r="F1551" s="414" t="n"/>
      <c r="G1551" s="414" t="n"/>
      <c r="H1551" s="414" t="n"/>
      <c r="J1551" s="457" t="n"/>
      <c r="K1551" s="457" t="n"/>
      <c r="L1551" s="458" t="n"/>
      <c r="M1551" s="458" t="n"/>
      <c r="N1551" s="458" t="n"/>
      <c r="O1551" s="459" t="n"/>
      <c r="P1551" s="460" t="n"/>
      <c r="Q1551" s="460" t="n"/>
      <c r="R1551" s="460" t="n"/>
      <c r="S1551" s="460" t="n"/>
      <c r="T1551" s="460" t="n"/>
      <c r="U1551" s="460" t="n"/>
      <c r="V1551" s="460" t="n"/>
      <c r="W1551" s="461" t="n"/>
      <c r="X1551" s="461" t="n"/>
      <c r="Y1551" s="461" t="n"/>
      <c r="Z1551" s="461" t="n"/>
      <c r="AA1551" s="462" t="n"/>
      <c r="AB1551" s="462" t="n"/>
      <c r="AC1551" s="462" t="n"/>
      <c r="AD1551" s="462" t="n"/>
      <c r="AE1551" s="462" t="n"/>
      <c r="AF1551" s="462" t="n"/>
      <c r="AG1551" s="462" t="n"/>
      <c r="AH1551" s="462" t="n"/>
      <c r="AI1551" s="461" t="n"/>
      <c r="AJ1551" s="461" t="n"/>
      <c r="AK1551" s="463" t="n"/>
      <c r="AL1551" s="461" t="n"/>
      <c r="AM1551" s="461" t="n"/>
      <c r="AN1551" s="461" t="n"/>
      <c r="AO1551" s="461" t="n"/>
      <c r="AP1551" s="464" t="n"/>
      <c r="AQ1551" s="464" t="n"/>
      <c r="AR1551" s="461" t="n"/>
      <c r="AS1551" s="461" t="n"/>
      <c r="AT1551" s="461" t="n"/>
      <c r="AU1551" s="461" t="n"/>
      <c r="AV1551" s="461" t="n"/>
      <c r="AW1551" s="461" t="n"/>
      <c r="AX1551" s="461" t="n"/>
    </row>
    <row r="1552">
      <c r="A1552" s="413" t="n"/>
      <c r="B1552" s="413" t="n"/>
      <c r="C1552" s="413" t="n"/>
      <c r="D1552" s="414" t="n"/>
      <c r="E1552" s="414" t="n"/>
      <c r="F1552" s="414" t="n"/>
      <c r="G1552" s="414" t="n"/>
      <c r="H1552" s="414" t="n"/>
      <c r="J1552" s="457" t="n"/>
      <c r="K1552" s="457" t="n"/>
      <c r="L1552" s="458" t="n"/>
      <c r="M1552" s="458" t="n"/>
      <c r="N1552" s="458" t="n"/>
      <c r="O1552" s="459" t="n"/>
      <c r="P1552" s="460" t="n"/>
      <c r="Q1552" s="460" t="n"/>
      <c r="R1552" s="460" t="n"/>
      <c r="S1552" s="460" t="n"/>
      <c r="T1552" s="460" t="n"/>
      <c r="U1552" s="460" t="n"/>
      <c r="V1552" s="460" t="n"/>
      <c r="W1552" s="461" t="n"/>
      <c r="X1552" s="461" t="n"/>
      <c r="Y1552" s="461" t="n"/>
      <c r="Z1552" s="461" t="n"/>
      <c r="AA1552" s="462" t="n"/>
      <c r="AB1552" s="462" t="n"/>
      <c r="AC1552" s="462" t="n"/>
      <c r="AD1552" s="462" t="n"/>
      <c r="AE1552" s="462" t="n"/>
      <c r="AF1552" s="462" t="n"/>
      <c r="AG1552" s="462" t="n"/>
      <c r="AH1552" s="462" t="n"/>
      <c r="AI1552" s="461" t="n"/>
      <c r="AJ1552" s="461" t="n"/>
      <c r="AK1552" s="463" t="n"/>
      <c r="AL1552" s="461" t="n"/>
      <c r="AM1552" s="461" t="n"/>
      <c r="AN1552" s="461" t="n"/>
      <c r="AO1552" s="461" t="n"/>
      <c r="AP1552" s="464" t="n"/>
      <c r="AQ1552" s="464" t="n"/>
      <c r="AR1552" s="461" t="n"/>
      <c r="AS1552" s="461" t="n"/>
      <c r="AT1552" s="461" t="n"/>
      <c r="AU1552" s="461" t="n"/>
      <c r="AV1552" s="461" t="n"/>
      <c r="AW1552" s="461" t="n"/>
      <c r="AX1552" s="461" t="n"/>
    </row>
    <row r="1553">
      <c r="A1553" s="413" t="n"/>
      <c r="B1553" s="413" t="n"/>
      <c r="C1553" s="413" t="n"/>
      <c r="D1553" s="414" t="n"/>
      <c r="E1553" s="414" t="n"/>
      <c r="F1553" s="414" t="n"/>
      <c r="G1553" s="414" t="n"/>
      <c r="H1553" s="414" t="n"/>
      <c r="J1553" s="457" t="n"/>
      <c r="K1553" s="457" t="n"/>
      <c r="L1553" s="458" t="n"/>
      <c r="M1553" s="458" t="n"/>
      <c r="N1553" s="458" t="n"/>
      <c r="O1553" s="459" t="n"/>
      <c r="P1553" s="460" t="n"/>
      <c r="Q1553" s="460" t="n"/>
      <c r="R1553" s="460" t="n"/>
      <c r="S1553" s="460" t="n"/>
      <c r="T1553" s="460" t="n"/>
      <c r="U1553" s="460" t="n"/>
      <c r="V1553" s="460" t="n"/>
      <c r="W1553" s="461" t="n"/>
      <c r="X1553" s="461" t="n"/>
      <c r="Y1553" s="461" t="n"/>
      <c r="Z1553" s="461" t="n"/>
      <c r="AA1553" s="462" t="n"/>
      <c r="AB1553" s="462" t="n"/>
      <c r="AC1553" s="462" t="n"/>
      <c r="AD1553" s="462" t="n"/>
      <c r="AE1553" s="462" t="n"/>
      <c r="AF1553" s="462" t="n"/>
      <c r="AG1553" s="462" t="n"/>
      <c r="AH1553" s="462" t="n"/>
      <c r="AI1553" s="461" t="n"/>
      <c r="AJ1553" s="461" t="n"/>
      <c r="AK1553" s="463" t="n"/>
      <c r="AL1553" s="461" t="n"/>
      <c r="AM1553" s="461" t="n"/>
      <c r="AN1553" s="461" t="n"/>
      <c r="AO1553" s="461" t="n"/>
      <c r="AP1553" s="464" t="n"/>
      <c r="AQ1553" s="464" t="n"/>
      <c r="AR1553" s="461" t="n"/>
      <c r="AS1553" s="461" t="n"/>
      <c r="AT1553" s="461" t="n"/>
      <c r="AU1553" s="461" t="n"/>
      <c r="AV1553" s="461" t="n"/>
      <c r="AW1553" s="461" t="n"/>
      <c r="AX1553" s="461" t="n"/>
    </row>
    <row r="1554">
      <c r="A1554" s="413" t="n"/>
      <c r="B1554" s="413" t="n"/>
      <c r="C1554" s="413" t="n"/>
      <c r="D1554" s="414" t="n"/>
      <c r="E1554" s="414" t="n"/>
      <c r="F1554" s="414" t="n"/>
      <c r="G1554" s="414" t="n"/>
      <c r="H1554" s="414" t="n"/>
      <c r="J1554" s="457" t="n"/>
      <c r="K1554" s="457" t="n"/>
      <c r="L1554" s="458" t="n"/>
      <c r="M1554" s="458" t="n"/>
      <c r="N1554" s="458" t="n"/>
      <c r="O1554" s="459" t="n"/>
      <c r="P1554" s="460" t="n"/>
      <c r="Q1554" s="460" t="n"/>
      <c r="R1554" s="460" t="n"/>
      <c r="S1554" s="460" t="n"/>
      <c r="T1554" s="460" t="n"/>
      <c r="U1554" s="460" t="n"/>
      <c r="V1554" s="460" t="n"/>
      <c r="W1554" s="461" t="n"/>
      <c r="X1554" s="461" t="n"/>
      <c r="Y1554" s="461" t="n"/>
      <c r="Z1554" s="461" t="n"/>
      <c r="AA1554" s="462" t="n"/>
      <c r="AB1554" s="462" t="n"/>
      <c r="AC1554" s="462" t="n"/>
      <c r="AD1554" s="462" t="n"/>
      <c r="AE1554" s="462" t="n"/>
      <c r="AF1554" s="462" t="n"/>
      <c r="AG1554" s="462" t="n"/>
      <c r="AH1554" s="462" t="n"/>
      <c r="AI1554" s="461" t="n"/>
      <c r="AJ1554" s="461" t="n"/>
      <c r="AK1554" s="463" t="n"/>
      <c r="AL1554" s="461" t="n"/>
      <c r="AM1554" s="461" t="n"/>
      <c r="AN1554" s="461" t="n"/>
      <c r="AO1554" s="461" t="n"/>
      <c r="AP1554" s="464" t="n"/>
      <c r="AQ1554" s="464" t="n"/>
      <c r="AR1554" s="461" t="n"/>
      <c r="AS1554" s="461" t="n"/>
      <c r="AT1554" s="461" t="n"/>
      <c r="AU1554" s="461" t="n"/>
      <c r="AV1554" s="461" t="n"/>
      <c r="AW1554" s="461" t="n"/>
      <c r="AX1554" s="461" t="n"/>
    </row>
    <row r="1555">
      <c r="A1555" s="413" t="n"/>
      <c r="B1555" s="413" t="n"/>
      <c r="C1555" s="413" t="n"/>
      <c r="D1555" s="414" t="n"/>
      <c r="E1555" s="414" t="n"/>
      <c r="F1555" s="414" t="n"/>
      <c r="G1555" s="414" t="n"/>
      <c r="H1555" s="414" t="n"/>
      <c r="J1555" s="457" t="n"/>
      <c r="K1555" s="457" t="n"/>
      <c r="L1555" s="458" t="n"/>
      <c r="M1555" s="458" t="n"/>
      <c r="N1555" s="458" t="n"/>
      <c r="O1555" s="459" t="n"/>
      <c r="P1555" s="460" t="n"/>
      <c r="Q1555" s="460" t="n"/>
      <c r="R1555" s="460" t="n"/>
      <c r="S1555" s="460" t="n"/>
      <c r="T1555" s="460" t="n"/>
      <c r="U1555" s="460" t="n"/>
      <c r="V1555" s="460" t="n"/>
      <c r="W1555" s="461" t="n"/>
      <c r="X1555" s="461" t="n"/>
      <c r="Y1555" s="461" t="n"/>
      <c r="Z1555" s="461" t="n"/>
      <c r="AA1555" s="462" t="n"/>
      <c r="AB1555" s="462" t="n"/>
      <c r="AC1555" s="462" t="n"/>
      <c r="AD1555" s="462" t="n"/>
      <c r="AE1555" s="462" t="n"/>
      <c r="AF1555" s="462" t="n"/>
      <c r="AG1555" s="462" t="n"/>
      <c r="AH1555" s="462" t="n"/>
      <c r="AI1555" s="461" t="n"/>
      <c r="AJ1555" s="461" t="n"/>
      <c r="AK1555" s="463" t="n"/>
      <c r="AL1555" s="461" t="n"/>
      <c r="AM1555" s="461" t="n"/>
      <c r="AN1555" s="461" t="n"/>
      <c r="AO1555" s="461" t="n"/>
      <c r="AP1555" s="464" t="n"/>
      <c r="AQ1555" s="464" t="n"/>
      <c r="AR1555" s="461" t="n"/>
      <c r="AS1555" s="461" t="n"/>
      <c r="AT1555" s="461" t="n"/>
      <c r="AU1555" s="461" t="n"/>
      <c r="AV1555" s="461" t="n"/>
      <c r="AW1555" s="461" t="n"/>
      <c r="AX1555" s="461" t="n"/>
    </row>
    <row r="1556">
      <c r="A1556" s="413" t="n"/>
      <c r="B1556" s="413" t="n"/>
      <c r="C1556" s="413" t="n"/>
      <c r="D1556" s="414" t="n"/>
      <c r="E1556" s="414" t="n"/>
      <c r="F1556" s="414" t="n"/>
      <c r="G1556" s="414" t="n"/>
      <c r="H1556" s="414" t="n"/>
      <c r="J1556" s="457" t="n"/>
      <c r="K1556" s="457" t="n"/>
      <c r="L1556" s="458" t="n"/>
      <c r="M1556" s="458" t="n"/>
      <c r="N1556" s="458" t="n"/>
      <c r="O1556" s="459" t="n"/>
      <c r="P1556" s="460" t="n"/>
      <c r="Q1556" s="460" t="n"/>
      <c r="R1556" s="460" t="n"/>
      <c r="S1556" s="460" t="n"/>
      <c r="T1556" s="460" t="n"/>
      <c r="U1556" s="460" t="n"/>
      <c r="V1556" s="460" t="n"/>
      <c r="W1556" s="461" t="n"/>
      <c r="X1556" s="461" t="n"/>
      <c r="Y1556" s="461" t="n"/>
      <c r="Z1556" s="461" t="n"/>
      <c r="AA1556" s="462" t="n"/>
      <c r="AB1556" s="462" t="n"/>
      <c r="AC1556" s="462" t="n"/>
      <c r="AD1556" s="462" t="n"/>
      <c r="AE1556" s="462" t="n"/>
      <c r="AF1556" s="462" t="n"/>
      <c r="AG1556" s="462" t="n"/>
      <c r="AH1556" s="462" t="n"/>
      <c r="AI1556" s="461" t="n"/>
      <c r="AJ1556" s="461" t="n"/>
      <c r="AK1556" s="463" t="n"/>
      <c r="AL1556" s="461" t="n"/>
      <c r="AM1556" s="461" t="n"/>
      <c r="AN1556" s="461" t="n"/>
      <c r="AO1556" s="461" t="n"/>
      <c r="AP1556" s="464" t="n"/>
      <c r="AQ1556" s="464" t="n"/>
      <c r="AR1556" s="461" t="n"/>
      <c r="AS1556" s="461" t="n"/>
      <c r="AT1556" s="461" t="n"/>
      <c r="AU1556" s="461" t="n"/>
      <c r="AV1556" s="461" t="n"/>
      <c r="AW1556" s="461" t="n"/>
      <c r="AX1556" s="461" t="n"/>
    </row>
    <row r="1557">
      <c r="A1557" s="413" t="n"/>
      <c r="B1557" s="413" t="n"/>
      <c r="C1557" s="413" t="n"/>
      <c r="D1557" s="414" t="n"/>
      <c r="E1557" s="414" t="n"/>
      <c r="F1557" s="414" t="n"/>
      <c r="G1557" s="414" t="n"/>
      <c r="H1557" s="414" t="n"/>
      <c r="J1557" s="457" t="n"/>
      <c r="K1557" s="457" t="n"/>
      <c r="L1557" s="458" t="n"/>
      <c r="M1557" s="458" t="n"/>
      <c r="N1557" s="458" t="n"/>
      <c r="O1557" s="459" t="n"/>
      <c r="P1557" s="460" t="n"/>
      <c r="Q1557" s="460" t="n"/>
      <c r="R1557" s="460" t="n"/>
      <c r="S1557" s="460" t="n"/>
      <c r="T1557" s="460" t="n"/>
      <c r="U1557" s="460" t="n"/>
      <c r="V1557" s="460" t="n"/>
      <c r="W1557" s="461" t="n"/>
      <c r="X1557" s="461" t="n"/>
      <c r="Y1557" s="461" t="n"/>
      <c r="Z1557" s="461" t="n"/>
      <c r="AA1557" s="462" t="n"/>
      <c r="AB1557" s="462" t="n"/>
      <c r="AC1557" s="462" t="n"/>
      <c r="AD1557" s="462" t="n"/>
      <c r="AE1557" s="462" t="n"/>
      <c r="AF1557" s="462" t="n"/>
      <c r="AG1557" s="462" t="n"/>
      <c r="AH1557" s="462" t="n"/>
      <c r="AI1557" s="461" t="n"/>
      <c r="AJ1557" s="461" t="n"/>
      <c r="AK1557" s="463" t="n"/>
      <c r="AL1557" s="461" t="n"/>
      <c r="AM1557" s="461" t="n"/>
      <c r="AN1557" s="461" t="n"/>
      <c r="AO1557" s="461" t="n"/>
      <c r="AP1557" s="464" t="n"/>
      <c r="AQ1557" s="464" t="n"/>
      <c r="AR1557" s="461" t="n"/>
      <c r="AS1557" s="461" t="n"/>
      <c r="AT1557" s="461" t="n"/>
      <c r="AU1557" s="461" t="n"/>
      <c r="AV1557" s="461" t="n"/>
      <c r="AW1557" s="461" t="n"/>
      <c r="AX1557" s="461" t="n"/>
    </row>
    <row r="1558">
      <c r="A1558" s="413" t="n"/>
      <c r="B1558" s="413" t="n"/>
      <c r="C1558" s="413" t="n"/>
      <c r="D1558" s="414" t="n"/>
      <c r="E1558" s="414" t="n"/>
      <c r="F1558" s="414" t="n"/>
      <c r="G1558" s="414" t="n"/>
      <c r="H1558" s="414" t="n"/>
      <c r="J1558" s="457" t="n"/>
      <c r="K1558" s="457" t="n"/>
      <c r="L1558" s="458" t="n"/>
      <c r="M1558" s="458" t="n"/>
      <c r="N1558" s="458" t="n"/>
      <c r="O1558" s="459" t="n"/>
      <c r="P1558" s="460" t="n"/>
      <c r="Q1558" s="460" t="n"/>
      <c r="R1558" s="460" t="n"/>
      <c r="S1558" s="460" t="n"/>
      <c r="T1558" s="460" t="n"/>
      <c r="U1558" s="460" t="n"/>
      <c r="V1558" s="460" t="n"/>
      <c r="W1558" s="461" t="n"/>
      <c r="X1558" s="461" t="n"/>
      <c r="Y1558" s="461" t="n"/>
      <c r="Z1558" s="461" t="n"/>
      <c r="AA1558" s="462" t="n"/>
      <c r="AB1558" s="462" t="n"/>
      <c r="AC1558" s="462" t="n"/>
      <c r="AD1558" s="462" t="n"/>
      <c r="AE1558" s="462" t="n"/>
      <c r="AF1558" s="462" t="n"/>
      <c r="AG1558" s="462" t="n"/>
      <c r="AH1558" s="462" t="n"/>
      <c r="AI1558" s="461" t="n"/>
      <c r="AJ1558" s="461" t="n"/>
      <c r="AK1558" s="463" t="n"/>
      <c r="AL1558" s="461" t="n"/>
      <c r="AM1558" s="461" t="n"/>
      <c r="AN1558" s="461" t="n"/>
      <c r="AO1558" s="461" t="n"/>
      <c r="AP1558" s="464" t="n"/>
      <c r="AQ1558" s="464" t="n"/>
      <c r="AR1558" s="461" t="n"/>
      <c r="AS1558" s="461" t="n"/>
      <c r="AT1558" s="461" t="n"/>
      <c r="AU1558" s="461" t="n"/>
      <c r="AV1558" s="461" t="n"/>
      <c r="AW1558" s="461" t="n"/>
      <c r="AX1558" s="461" t="n"/>
    </row>
    <row r="1559">
      <c r="A1559" s="413" t="n"/>
      <c r="B1559" s="413" t="n"/>
      <c r="C1559" s="413" t="n"/>
      <c r="D1559" s="414" t="n"/>
      <c r="E1559" s="414" t="n"/>
      <c r="F1559" s="414" t="n"/>
      <c r="G1559" s="414" t="n"/>
      <c r="H1559" s="414" t="n"/>
      <c r="J1559" s="457" t="n"/>
      <c r="K1559" s="457" t="n"/>
      <c r="L1559" s="458" t="n"/>
      <c r="M1559" s="458" t="n"/>
      <c r="N1559" s="458" t="n"/>
      <c r="O1559" s="459" t="n"/>
      <c r="P1559" s="460" t="n"/>
      <c r="Q1559" s="460" t="n"/>
      <c r="R1559" s="460" t="n"/>
      <c r="S1559" s="460" t="n"/>
      <c r="T1559" s="460" t="n"/>
      <c r="U1559" s="460" t="n"/>
      <c r="V1559" s="460" t="n"/>
      <c r="W1559" s="461" t="n"/>
      <c r="X1559" s="461" t="n"/>
      <c r="Y1559" s="461" t="n"/>
      <c r="Z1559" s="461" t="n"/>
      <c r="AA1559" s="462" t="n"/>
      <c r="AB1559" s="462" t="n"/>
      <c r="AC1559" s="462" t="n"/>
      <c r="AD1559" s="462" t="n"/>
      <c r="AE1559" s="462" t="n"/>
      <c r="AF1559" s="462" t="n"/>
      <c r="AG1559" s="462" t="n"/>
      <c r="AH1559" s="462" t="n"/>
      <c r="AI1559" s="461" t="n"/>
      <c r="AJ1559" s="461" t="n"/>
      <c r="AK1559" s="463" t="n"/>
      <c r="AL1559" s="461" t="n"/>
      <c r="AM1559" s="461" t="n"/>
      <c r="AN1559" s="461" t="n"/>
      <c r="AO1559" s="461" t="n"/>
      <c r="AP1559" s="464" t="n"/>
      <c r="AQ1559" s="464" t="n"/>
      <c r="AR1559" s="461" t="n"/>
      <c r="AS1559" s="461" t="n"/>
      <c r="AT1559" s="461" t="n"/>
      <c r="AU1559" s="461" t="n"/>
      <c r="AV1559" s="461" t="n"/>
      <c r="AW1559" s="461" t="n"/>
      <c r="AX1559" s="461" t="n"/>
    </row>
    <row r="1560">
      <c r="A1560" s="413" t="n"/>
      <c r="B1560" s="413" t="n"/>
      <c r="C1560" s="413" t="n"/>
      <c r="D1560" s="414" t="n"/>
      <c r="E1560" s="414" t="n"/>
      <c r="F1560" s="414" t="n"/>
      <c r="G1560" s="414" t="n"/>
      <c r="H1560" s="414" t="n"/>
      <c r="J1560" s="457" t="n"/>
      <c r="K1560" s="457" t="n"/>
      <c r="L1560" s="458" t="n"/>
      <c r="M1560" s="458" t="n"/>
      <c r="N1560" s="458" t="n"/>
      <c r="O1560" s="459" t="n"/>
      <c r="P1560" s="460" t="n"/>
      <c r="Q1560" s="460" t="n"/>
      <c r="R1560" s="460" t="n"/>
      <c r="S1560" s="460" t="n"/>
      <c r="T1560" s="460" t="n"/>
      <c r="U1560" s="460" t="n"/>
      <c r="V1560" s="460" t="n"/>
      <c r="W1560" s="461" t="n"/>
      <c r="X1560" s="461" t="n"/>
      <c r="Y1560" s="461" t="n"/>
      <c r="Z1560" s="461" t="n"/>
      <c r="AA1560" s="462" t="n"/>
      <c r="AB1560" s="462" t="n"/>
      <c r="AC1560" s="462" t="n"/>
      <c r="AD1560" s="462" t="n"/>
      <c r="AE1560" s="462" t="n"/>
      <c r="AF1560" s="462" t="n"/>
      <c r="AG1560" s="462" t="n"/>
      <c r="AH1560" s="462" t="n"/>
      <c r="AI1560" s="461" t="n"/>
      <c r="AJ1560" s="461" t="n"/>
      <c r="AK1560" s="463" t="n"/>
      <c r="AL1560" s="461" t="n"/>
      <c r="AM1560" s="461" t="n"/>
      <c r="AN1560" s="461" t="n"/>
      <c r="AO1560" s="461" t="n"/>
      <c r="AP1560" s="464" t="n"/>
      <c r="AQ1560" s="464" t="n"/>
      <c r="AR1560" s="461" t="n"/>
      <c r="AS1560" s="461" t="n"/>
      <c r="AT1560" s="461" t="n"/>
      <c r="AU1560" s="461" t="n"/>
      <c r="AV1560" s="461" t="n"/>
      <c r="AW1560" s="461" t="n"/>
      <c r="AX1560" s="461" t="n"/>
    </row>
    <row r="1561">
      <c r="A1561" s="413" t="n"/>
      <c r="B1561" s="413" t="n"/>
      <c r="C1561" s="413" t="n"/>
      <c r="D1561" s="414" t="n"/>
      <c r="E1561" s="414" t="n"/>
      <c r="F1561" s="414" t="n"/>
      <c r="G1561" s="414" t="n"/>
      <c r="H1561" s="414" t="n"/>
      <c r="J1561" s="457" t="n"/>
      <c r="K1561" s="457" t="n"/>
      <c r="L1561" s="458" t="n"/>
      <c r="M1561" s="458" t="n"/>
      <c r="N1561" s="458" t="n"/>
      <c r="O1561" s="459" t="n"/>
      <c r="P1561" s="460" t="n"/>
      <c r="Q1561" s="460" t="n"/>
      <c r="R1561" s="460" t="n"/>
      <c r="S1561" s="460" t="n"/>
      <c r="T1561" s="460" t="n"/>
      <c r="U1561" s="460" t="n"/>
      <c r="V1561" s="460" t="n"/>
      <c r="W1561" s="461" t="n"/>
      <c r="X1561" s="461" t="n"/>
      <c r="Y1561" s="461" t="n"/>
      <c r="Z1561" s="461" t="n"/>
      <c r="AA1561" s="462" t="n"/>
      <c r="AB1561" s="462" t="n"/>
      <c r="AC1561" s="462" t="n"/>
      <c r="AD1561" s="462" t="n"/>
      <c r="AE1561" s="462" t="n"/>
      <c r="AF1561" s="462" t="n"/>
      <c r="AG1561" s="462" t="n"/>
      <c r="AH1561" s="462" t="n"/>
      <c r="AI1561" s="461" t="n"/>
      <c r="AJ1561" s="461" t="n"/>
      <c r="AK1561" s="463" t="n"/>
      <c r="AL1561" s="461" t="n"/>
      <c r="AM1561" s="461" t="n"/>
      <c r="AN1561" s="461" t="n"/>
      <c r="AO1561" s="461" t="n"/>
      <c r="AP1561" s="464" t="n"/>
      <c r="AQ1561" s="464" t="n"/>
      <c r="AR1561" s="461" t="n"/>
      <c r="AS1561" s="461" t="n"/>
      <c r="AT1561" s="461" t="n"/>
      <c r="AU1561" s="461" t="n"/>
      <c r="AV1561" s="461" t="n"/>
      <c r="AW1561" s="461" t="n"/>
      <c r="AX1561" s="461" t="n"/>
    </row>
    <row r="1562">
      <c r="A1562" s="413" t="n"/>
      <c r="B1562" s="413" t="n"/>
      <c r="C1562" s="413" t="n"/>
      <c r="D1562" s="414" t="n"/>
      <c r="E1562" s="414" t="n"/>
      <c r="F1562" s="414" t="n"/>
      <c r="G1562" s="414" t="n"/>
      <c r="H1562" s="414" t="n"/>
      <c r="J1562" s="457" t="n"/>
      <c r="K1562" s="457" t="n"/>
      <c r="L1562" s="458" t="n"/>
      <c r="M1562" s="458" t="n"/>
      <c r="N1562" s="458" t="n"/>
      <c r="O1562" s="459" t="n"/>
      <c r="P1562" s="460" t="n"/>
      <c r="Q1562" s="460" t="n"/>
      <c r="R1562" s="460" t="n"/>
      <c r="S1562" s="460" t="n"/>
      <c r="T1562" s="460" t="n"/>
      <c r="U1562" s="460" t="n"/>
      <c r="V1562" s="460" t="n"/>
      <c r="W1562" s="461" t="n"/>
      <c r="X1562" s="461" t="n"/>
      <c r="Y1562" s="461" t="n"/>
      <c r="Z1562" s="461" t="n"/>
      <c r="AA1562" s="462" t="n"/>
      <c r="AB1562" s="462" t="n"/>
      <c r="AC1562" s="462" t="n"/>
      <c r="AD1562" s="462" t="n"/>
      <c r="AE1562" s="462" t="n"/>
      <c r="AF1562" s="462" t="n"/>
      <c r="AG1562" s="462" t="n"/>
      <c r="AH1562" s="462" t="n"/>
      <c r="AI1562" s="461" t="n"/>
      <c r="AJ1562" s="461" t="n"/>
      <c r="AK1562" s="463" t="n"/>
      <c r="AL1562" s="461" t="n"/>
      <c r="AM1562" s="461" t="n"/>
      <c r="AN1562" s="461" t="n"/>
      <c r="AO1562" s="461" t="n"/>
      <c r="AP1562" s="464" t="n"/>
      <c r="AQ1562" s="464" t="n"/>
      <c r="AR1562" s="461" t="n"/>
      <c r="AS1562" s="461" t="n"/>
      <c r="AT1562" s="461" t="n"/>
      <c r="AU1562" s="461" t="n"/>
      <c r="AV1562" s="461" t="n"/>
      <c r="AW1562" s="461" t="n"/>
      <c r="AX1562" s="461" t="n"/>
    </row>
    <row r="1563">
      <c r="A1563" s="413" t="n"/>
      <c r="B1563" s="413" t="n"/>
      <c r="C1563" s="413" t="n"/>
      <c r="D1563" s="414" t="n"/>
      <c r="E1563" s="414" t="n"/>
      <c r="F1563" s="414" t="n"/>
      <c r="G1563" s="414" t="n"/>
      <c r="H1563" s="414" t="n"/>
      <c r="J1563" s="457" t="n"/>
      <c r="K1563" s="457" t="n"/>
      <c r="L1563" s="458" t="n"/>
      <c r="M1563" s="458" t="n"/>
      <c r="N1563" s="458" t="n"/>
      <c r="O1563" s="459" t="n"/>
      <c r="P1563" s="460" t="n"/>
      <c r="Q1563" s="460" t="n"/>
      <c r="R1563" s="460" t="n"/>
      <c r="S1563" s="460" t="n"/>
      <c r="T1563" s="460" t="n"/>
      <c r="U1563" s="460" t="n"/>
      <c r="V1563" s="460" t="n"/>
      <c r="W1563" s="461" t="n"/>
      <c r="X1563" s="461" t="n"/>
      <c r="Y1563" s="461" t="n"/>
      <c r="Z1563" s="461" t="n"/>
      <c r="AA1563" s="462" t="n"/>
      <c r="AB1563" s="462" t="n"/>
      <c r="AC1563" s="462" t="n"/>
      <c r="AD1563" s="462" t="n"/>
      <c r="AE1563" s="462" t="n"/>
      <c r="AF1563" s="462" t="n"/>
      <c r="AG1563" s="462" t="n"/>
      <c r="AH1563" s="462" t="n"/>
      <c r="AI1563" s="461" t="n"/>
      <c r="AJ1563" s="461" t="n"/>
      <c r="AK1563" s="463" t="n"/>
      <c r="AL1563" s="461" t="n"/>
      <c r="AM1563" s="461" t="n"/>
      <c r="AN1563" s="461" t="n"/>
      <c r="AO1563" s="461" t="n"/>
      <c r="AP1563" s="464" t="n"/>
      <c r="AQ1563" s="464" t="n"/>
      <c r="AR1563" s="461" t="n"/>
      <c r="AS1563" s="461" t="n"/>
      <c r="AT1563" s="461" t="n"/>
      <c r="AU1563" s="461" t="n"/>
      <c r="AV1563" s="461" t="n"/>
      <c r="AW1563" s="461" t="n"/>
      <c r="AX1563" s="461" t="n"/>
    </row>
    <row r="1564">
      <c r="A1564" s="413" t="n"/>
      <c r="B1564" s="413" t="n"/>
      <c r="C1564" s="413" t="n"/>
      <c r="D1564" s="414" t="n"/>
      <c r="E1564" s="414" t="n"/>
      <c r="F1564" s="414" t="n"/>
      <c r="G1564" s="414" t="n"/>
      <c r="H1564" s="414" t="n"/>
      <c r="J1564" s="457" t="n"/>
      <c r="K1564" s="457" t="n"/>
      <c r="L1564" s="458" t="n"/>
      <c r="M1564" s="458" t="n"/>
      <c r="N1564" s="458" t="n"/>
      <c r="O1564" s="459" t="n"/>
      <c r="P1564" s="460" t="n"/>
      <c r="Q1564" s="460" t="n"/>
      <c r="R1564" s="460" t="n"/>
      <c r="S1564" s="460" t="n"/>
      <c r="T1564" s="460" t="n"/>
      <c r="U1564" s="460" t="n"/>
      <c r="V1564" s="460" t="n"/>
      <c r="W1564" s="461" t="n"/>
      <c r="X1564" s="461" t="n"/>
      <c r="Y1564" s="461" t="n"/>
      <c r="Z1564" s="461" t="n"/>
      <c r="AA1564" s="462" t="n"/>
      <c r="AB1564" s="462" t="n"/>
      <c r="AC1564" s="462" t="n"/>
      <c r="AD1564" s="462" t="n"/>
      <c r="AE1564" s="462" t="n"/>
      <c r="AF1564" s="462" t="n"/>
      <c r="AG1564" s="462" t="n"/>
      <c r="AH1564" s="462" t="n"/>
      <c r="AI1564" s="461" t="n"/>
      <c r="AJ1564" s="461" t="n"/>
      <c r="AK1564" s="463" t="n"/>
      <c r="AL1564" s="461" t="n"/>
      <c r="AM1564" s="461" t="n"/>
      <c r="AN1564" s="461" t="n"/>
      <c r="AO1564" s="461" t="n"/>
      <c r="AP1564" s="464" t="n"/>
      <c r="AQ1564" s="464" t="n"/>
      <c r="AR1564" s="461" t="n"/>
      <c r="AS1564" s="461" t="n"/>
      <c r="AT1564" s="461" t="n"/>
      <c r="AU1564" s="461" t="n"/>
      <c r="AV1564" s="461" t="n"/>
      <c r="AW1564" s="461" t="n"/>
      <c r="AX1564" s="461" t="n"/>
    </row>
    <row r="1565">
      <c r="A1565" s="413" t="n"/>
      <c r="B1565" s="413" t="n"/>
      <c r="C1565" s="413" t="n"/>
      <c r="D1565" s="414" t="n"/>
      <c r="E1565" s="414" t="n"/>
      <c r="F1565" s="414" t="n"/>
      <c r="G1565" s="414" t="n"/>
      <c r="H1565" s="414" t="n"/>
      <c r="J1565" s="457" t="n"/>
      <c r="K1565" s="457" t="n"/>
      <c r="L1565" s="458" t="n"/>
      <c r="M1565" s="458" t="n"/>
      <c r="N1565" s="458" t="n"/>
      <c r="O1565" s="459" t="n"/>
      <c r="P1565" s="460" t="n"/>
      <c r="Q1565" s="460" t="n"/>
      <c r="R1565" s="460" t="n"/>
      <c r="S1565" s="460" t="n"/>
      <c r="T1565" s="460" t="n"/>
      <c r="U1565" s="460" t="n"/>
      <c r="V1565" s="460" t="n"/>
      <c r="W1565" s="461" t="n"/>
      <c r="X1565" s="461" t="n"/>
      <c r="Y1565" s="461" t="n"/>
      <c r="Z1565" s="461" t="n"/>
      <c r="AA1565" s="462" t="n"/>
      <c r="AB1565" s="462" t="n"/>
      <c r="AC1565" s="462" t="n"/>
      <c r="AD1565" s="462" t="n"/>
      <c r="AE1565" s="462" t="n"/>
      <c r="AF1565" s="462" t="n"/>
      <c r="AG1565" s="462" t="n"/>
      <c r="AH1565" s="462" t="n"/>
      <c r="AI1565" s="461" t="n"/>
      <c r="AJ1565" s="461" t="n"/>
      <c r="AK1565" s="463" t="n"/>
      <c r="AL1565" s="461" t="n"/>
      <c r="AM1565" s="461" t="n"/>
      <c r="AN1565" s="461" t="n"/>
      <c r="AO1565" s="461" t="n"/>
      <c r="AP1565" s="464" t="n"/>
      <c r="AQ1565" s="464" t="n"/>
      <c r="AR1565" s="461" t="n"/>
      <c r="AS1565" s="461" t="n"/>
      <c r="AT1565" s="461" t="n"/>
      <c r="AU1565" s="461" t="n"/>
      <c r="AV1565" s="461" t="n"/>
      <c r="AW1565" s="461" t="n"/>
      <c r="AX1565" s="461" t="n"/>
    </row>
    <row r="1566">
      <c r="A1566" s="413" t="n"/>
      <c r="B1566" s="413" t="n"/>
      <c r="C1566" s="413" t="n"/>
      <c r="D1566" s="414" t="n"/>
      <c r="E1566" s="414" t="n"/>
      <c r="F1566" s="414" t="n"/>
      <c r="G1566" s="414" t="n"/>
      <c r="H1566" s="414" t="n"/>
      <c r="J1566" s="457" t="n"/>
      <c r="K1566" s="457" t="n"/>
      <c r="L1566" s="458" t="n"/>
      <c r="M1566" s="458" t="n"/>
      <c r="N1566" s="458" t="n"/>
      <c r="O1566" s="459" t="n"/>
      <c r="P1566" s="460" t="n"/>
      <c r="Q1566" s="460" t="n"/>
      <c r="R1566" s="460" t="n"/>
      <c r="S1566" s="460" t="n"/>
      <c r="T1566" s="460" t="n"/>
      <c r="U1566" s="460" t="n"/>
      <c r="V1566" s="460" t="n"/>
      <c r="W1566" s="461" t="n"/>
      <c r="X1566" s="461" t="n"/>
      <c r="Y1566" s="461" t="n"/>
      <c r="Z1566" s="461" t="n"/>
      <c r="AA1566" s="462" t="n"/>
      <c r="AB1566" s="462" t="n"/>
      <c r="AC1566" s="462" t="n"/>
      <c r="AD1566" s="462" t="n"/>
      <c r="AE1566" s="462" t="n"/>
      <c r="AF1566" s="462" t="n"/>
      <c r="AG1566" s="462" t="n"/>
      <c r="AH1566" s="462" t="n"/>
      <c r="AI1566" s="461" t="n"/>
      <c r="AJ1566" s="461" t="n"/>
      <c r="AK1566" s="463" t="n"/>
      <c r="AL1566" s="461" t="n"/>
      <c r="AM1566" s="461" t="n"/>
      <c r="AN1566" s="461" t="n"/>
      <c r="AO1566" s="461" t="n"/>
      <c r="AP1566" s="464" t="n"/>
      <c r="AQ1566" s="464" t="n"/>
      <c r="AR1566" s="461" t="n"/>
      <c r="AS1566" s="461" t="n"/>
      <c r="AT1566" s="461" t="n"/>
      <c r="AU1566" s="461" t="n"/>
      <c r="AV1566" s="461" t="n"/>
      <c r="AW1566" s="461" t="n"/>
      <c r="AX1566" s="461" t="n"/>
    </row>
    <row r="1567">
      <c r="A1567" s="413" t="n"/>
      <c r="B1567" s="413" t="n"/>
      <c r="C1567" s="413" t="n"/>
      <c r="D1567" s="414" t="n"/>
      <c r="E1567" s="414" t="n"/>
      <c r="F1567" s="414" t="n"/>
      <c r="G1567" s="414" t="n"/>
      <c r="H1567" s="414" t="n"/>
      <c r="J1567" s="457" t="n"/>
      <c r="K1567" s="457" t="n"/>
      <c r="L1567" s="458" t="n"/>
      <c r="M1567" s="458" t="n"/>
      <c r="N1567" s="458" t="n"/>
      <c r="O1567" s="459" t="n"/>
      <c r="P1567" s="460" t="n"/>
      <c r="Q1567" s="460" t="n"/>
      <c r="R1567" s="460" t="n"/>
      <c r="S1567" s="460" t="n"/>
      <c r="T1567" s="460" t="n"/>
      <c r="U1567" s="460" t="n"/>
      <c r="V1567" s="460" t="n"/>
      <c r="W1567" s="461" t="n"/>
      <c r="X1567" s="461" t="n"/>
      <c r="Y1567" s="461" t="n"/>
      <c r="Z1567" s="461" t="n"/>
      <c r="AA1567" s="462" t="n"/>
      <c r="AB1567" s="462" t="n"/>
      <c r="AC1567" s="462" t="n"/>
      <c r="AD1567" s="462" t="n"/>
      <c r="AE1567" s="462" t="n"/>
      <c r="AF1567" s="462" t="n"/>
      <c r="AG1567" s="462" t="n"/>
      <c r="AH1567" s="462" t="n"/>
      <c r="AI1567" s="461" t="n"/>
      <c r="AJ1567" s="461" t="n"/>
      <c r="AK1567" s="463" t="n"/>
      <c r="AL1567" s="461" t="n"/>
      <c r="AM1567" s="461" t="n"/>
      <c r="AN1567" s="461" t="n"/>
      <c r="AO1567" s="461" t="n"/>
      <c r="AP1567" s="464" t="n"/>
      <c r="AQ1567" s="464" t="n"/>
      <c r="AR1567" s="461" t="n"/>
      <c r="AS1567" s="461" t="n"/>
      <c r="AT1567" s="461" t="n"/>
      <c r="AU1567" s="461" t="n"/>
      <c r="AV1567" s="461" t="n"/>
      <c r="AW1567" s="461" t="n"/>
      <c r="AX1567" s="461" t="n"/>
    </row>
    <row r="1568">
      <c r="A1568" s="413" t="n"/>
      <c r="B1568" s="413" t="n"/>
      <c r="C1568" s="413" t="n"/>
      <c r="D1568" s="414" t="n"/>
      <c r="E1568" s="414" t="n"/>
      <c r="F1568" s="414" t="n"/>
      <c r="G1568" s="414" t="n"/>
      <c r="H1568" s="414" t="n"/>
      <c r="J1568" s="457" t="n"/>
      <c r="K1568" s="457" t="n"/>
      <c r="L1568" s="458" t="n"/>
      <c r="M1568" s="458" t="n"/>
      <c r="N1568" s="458" t="n"/>
      <c r="O1568" s="459" t="n"/>
      <c r="P1568" s="460" t="n"/>
      <c r="Q1568" s="460" t="n"/>
      <c r="R1568" s="460" t="n"/>
      <c r="S1568" s="460" t="n"/>
      <c r="T1568" s="460" t="n"/>
      <c r="U1568" s="460" t="n"/>
      <c r="V1568" s="460" t="n"/>
      <c r="W1568" s="461" t="n"/>
      <c r="X1568" s="461" t="n"/>
      <c r="Y1568" s="461" t="n"/>
      <c r="Z1568" s="461" t="n"/>
      <c r="AA1568" s="462" t="n"/>
      <c r="AB1568" s="462" t="n"/>
      <c r="AC1568" s="462" t="n"/>
      <c r="AD1568" s="462" t="n"/>
      <c r="AE1568" s="462" t="n"/>
      <c r="AF1568" s="462" t="n"/>
      <c r="AG1568" s="462" t="n"/>
      <c r="AH1568" s="462" t="n"/>
      <c r="AI1568" s="461" t="n"/>
      <c r="AJ1568" s="461" t="n"/>
      <c r="AK1568" s="463" t="n"/>
      <c r="AL1568" s="461" t="n"/>
      <c r="AM1568" s="461" t="n"/>
      <c r="AN1568" s="461" t="n"/>
      <c r="AO1568" s="461" t="n"/>
      <c r="AP1568" s="464" t="n"/>
      <c r="AQ1568" s="464" t="n"/>
      <c r="AR1568" s="461" t="n"/>
      <c r="AS1568" s="461" t="n"/>
      <c r="AT1568" s="461" t="n"/>
      <c r="AU1568" s="461" t="n"/>
      <c r="AV1568" s="461" t="n"/>
      <c r="AW1568" s="461" t="n"/>
      <c r="AX1568" s="461" t="n"/>
    </row>
    <row r="1569">
      <c r="A1569" s="413" t="n"/>
      <c r="B1569" s="413" t="n"/>
      <c r="C1569" s="413" t="n"/>
      <c r="D1569" s="414" t="n"/>
      <c r="E1569" s="414" t="n"/>
      <c r="F1569" s="414" t="n"/>
      <c r="G1569" s="414" t="n"/>
      <c r="H1569" s="414" t="n"/>
      <c r="J1569" s="457" t="n"/>
      <c r="K1569" s="457" t="n"/>
      <c r="L1569" s="458" t="n"/>
      <c r="M1569" s="458" t="n"/>
      <c r="N1569" s="458" t="n"/>
      <c r="O1569" s="459" t="n"/>
      <c r="P1569" s="460" t="n"/>
      <c r="Q1569" s="460" t="n"/>
      <c r="R1569" s="460" t="n"/>
      <c r="S1569" s="460" t="n"/>
      <c r="T1569" s="460" t="n"/>
      <c r="U1569" s="460" t="n"/>
      <c r="V1569" s="460" t="n"/>
      <c r="W1569" s="461" t="n"/>
      <c r="X1569" s="461" t="n"/>
      <c r="Y1569" s="461" t="n"/>
      <c r="Z1569" s="461" t="n"/>
      <c r="AA1569" s="462" t="n"/>
      <c r="AB1569" s="462" t="n"/>
      <c r="AC1569" s="462" t="n"/>
      <c r="AD1569" s="462" t="n"/>
      <c r="AE1569" s="462" t="n"/>
      <c r="AF1569" s="462" t="n"/>
      <c r="AG1569" s="462" t="n"/>
      <c r="AH1569" s="462" t="n"/>
      <c r="AI1569" s="461" t="n"/>
      <c r="AJ1569" s="461" t="n"/>
      <c r="AK1569" s="463" t="n"/>
      <c r="AL1569" s="461" t="n"/>
      <c r="AM1569" s="461" t="n"/>
      <c r="AN1569" s="461" t="n"/>
      <c r="AO1569" s="461" t="n"/>
      <c r="AP1569" s="464" t="n"/>
      <c r="AQ1569" s="464" t="n"/>
      <c r="AR1569" s="461" t="n"/>
      <c r="AS1569" s="461" t="n"/>
      <c r="AT1569" s="461" t="n"/>
      <c r="AU1569" s="461" t="n"/>
      <c r="AV1569" s="461" t="n"/>
      <c r="AW1569" s="461" t="n"/>
      <c r="AX1569" s="461" t="n"/>
    </row>
    <row r="1570">
      <c r="A1570" s="413" t="n"/>
      <c r="B1570" s="413" t="n"/>
      <c r="C1570" s="413" t="n"/>
      <c r="D1570" s="414" t="n"/>
      <c r="E1570" s="414" t="n"/>
      <c r="F1570" s="414" t="n"/>
      <c r="G1570" s="414" t="n"/>
      <c r="H1570" s="414" t="n"/>
      <c r="J1570" s="457" t="n"/>
      <c r="K1570" s="457" t="n"/>
      <c r="L1570" s="458" t="n"/>
      <c r="M1570" s="458" t="n"/>
      <c r="N1570" s="458" t="n"/>
      <c r="O1570" s="459" t="n"/>
      <c r="P1570" s="460" t="n"/>
      <c r="Q1570" s="460" t="n"/>
      <c r="R1570" s="460" t="n"/>
      <c r="S1570" s="460" t="n"/>
      <c r="T1570" s="460" t="n"/>
      <c r="U1570" s="460" t="n"/>
      <c r="V1570" s="460" t="n"/>
      <c r="W1570" s="461" t="n"/>
      <c r="X1570" s="461" t="n"/>
      <c r="Y1570" s="461" t="n"/>
      <c r="Z1570" s="461" t="n"/>
      <c r="AA1570" s="462" t="n"/>
      <c r="AB1570" s="462" t="n"/>
      <c r="AC1570" s="462" t="n"/>
      <c r="AD1570" s="462" t="n"/>
      <c r="AE1570" s="462" t="n"/>
      <c r="AF1570" s="462" t="n"/>
      <c r="AG1570" s="462" t="n"/>
      <c r="AH1570" s="462" t="n"/>
      <c r="AI1570" s="461" t="n"/>
      <c r="AJ1570" s="461" t="n"/>
      <c r="AK1570" s="463" t="n"/>
      <c r="AL1570" s="461" t="n"/>
      <c r="AM1570" s="461" t="n"/>
      <c r="AN1570" s="461" t="n"/>
      <c r="AO1570" s="461" t="n"/>
      <c r="AP1570" s="464" t="n"/>
      <c r="AQ1570" s="464" t="n"/>
      <c r="AR1570" s="461" t="n"/>
      <c r="AS1570" s="461" t="n"/>
      <c r="AT1570" s="461" t="n"/>
      <c r="AU1570" s="461" t="n"/>
      <c r="AV1570" s="461" t="n"/>
      <c r="AW1570" s="461" t="n"/>
      <c r="AX1570" s="461" t="n"/>
    </row>
    <row r="1571">
      <c r="A1571" s="413" t="n"/>
      <c r="B1571" s="413" t="n"/>
      <c r="C1571" s="413" t="n"/>
      <c r="D1571" s="414" t="n"/>
      <c r="E1571" s="414" t="n"/>
      <c r="F1571" s="414" t="n"/>
      <c r="G1571" s="414" t="n"/>
      <c r="H1571" s="414" t="n"/>
      <c r="J1571" s="457" t="n"/>
      <c r="K1571" s="457" t="n"/>
      <c r="L1571" s="458" t="n"/>
      <c r="M1571" s="458" t="n"/>
      <c r="N1571" s="458" t="n"/>
      <c r="O1571" s="459" t="n"/>
      <c r="P1571" s="460" t="n"/>
      <c r="Q1571" s="460" t="n"/>
      <c r="R1571" s="460" t="n"/>
      <c r="S1571" s="460" t="n"/>
      <c r="T1571" s="460" t="n"/>
      <c r="U1571" s="460" t="n"/>
      <c r="V1571" s="460" t="n"/>
      <c r="W1571" s="461" t="n"/>
      <c r="X1571" s="461" t="n"/>
      <c r="Y1571" s="461" t="n"/>
      <c r="Z1571" s="461" t="n"/>
      <c r="AA1571" s="462" t="n"/>
      <c r="AB1571" s="462" t="n"/>
      <c r="AC1571" s="462" t="n"/>
      <c r="AD1571" s="462" t="n"/>
      <c r="AE1571" s="462" t="n"/>
      <c r="AF1571" s="462" t="n"/>
      <c r="AG1571" s="462" t="n"/>
      <c r="AH1571" s="462" t="n"/>
      <c r="AI1571" s="461" t="n"/>
      <c r="AJ1571" s="461" t="n"/>
      <c r="AK1571" s="463" t="n"/>
      <c r="AL1571" s="461" t="n"/>
      <c r="AM1571" s="461" t="n"/>
      <c r="AN1571" s="461" t="n"/>
      <c r="AO1571" s="461" t="n"/>
      <c r="AP1571" s="464" t="n"/>
      <c r="AQ1571" s="464" t="n"/>
      <c r="AR1571" s="461" t="n"/>
      <c r="AS1571" s="461" t="n"/>
      <c r="AT1571" s="461" t="n"/>
      <c r="AU1571" s="461" t="n"/>
      <c r="AV1571" s="461" t="n"/>
      <c r="AW1571" s="461" t="n"/>
      <c r="AX1571" s="461" t="n"/>
    </row>
    <row r="1572">
      <c r="A1572" s="413" t="n"/>
      <c r="B1572" s="413" t="n"/>
      <c r="C1572" s="413" t="n"/>
      <c r="D1572" s="414" t="n"/>
      <c r="E1572" s="414" t="n"/>
      <c r="F1572" s="414" t="n"/>
      <c r="G1572" s="414" t="n"/>
      <c r="H1572" s="414" t="n"/>
      <c r="J1572" s="457" t="n"/>
      <c r="K1572" s="457" t="n"/>
      <c r="L1572" s="458" t="n"/>
      <c r="M1572" s="458" t="n"/>
      <c r="N1572" s="458" t="n"/>
      <c r="O1572" s="459" t="n"/>
      <c r="P1572" s="460" t="n"/>
      <c r="Q1572" s="460" t="n"/>
      <c r="R1572" s="460" t="n"/>
      <c r="S1572" s="460" t="n"/>
      <c r="T1572" s="460" t="n"/>
      <c r="U1572" s="460" t="n"/>
      <c r="V1572" s="460" t="n"/>
      <c r="W1572" s="461" t="n"/>
      <c r="X1572" s="461" t="n"/>
      <c r="Y1572" s="461" t="n"/>
      <c r="Z1572" s="461" t="n"/>
      <c r="AA1572" s="462" t="n"/>
      <c r="AB1572" s="462" t="n"/>
      <c r="AC1572" s="462" t="n"/>
      <c r="AD1572" s="462" t="n"/>
      <c r="AE1572" s="462" t="n"/>
      <c r="AF1572" s="462" t="n"/>
      <c r="AG1572" s="462" t="n"/>
      <c r="AH1572" s="462" t="n"/>
      <c r="AI1572" s="461" t="n"/>
      <c r="AJ1572" s="461" t="n"/>
      <c r="AK1572" s="463" t="n"/>
      <c r="AL1572" s="461" t="n"/>
      <c r="AM1572" s="461" t="n"/>
      <c r="AN1572" s="461" t="n"/>
      <c r="AO1572" s="461" t="n"/>
      <c r="AP1572" s="464" t="n"/>
      <c r="AQ1572" s="464" t="n"/>
      <c r="AR1572" s="461" t="n"/>
      <c r="AS1572" s="461" t="n"/>
      <c r="AT1572" s="461" t="n"/>
      <c r="AU1572" s="461" t="n"/>
      <c r="AV1572" s="461" t="n"/>
      <c r="AW1572" s="461" t="n"/>
      <c r="AX1572" s="461" t="n"/>
    </row>
    <row r="1573">
      <c r="A1573" s="413" t="n"/>
      <c r="B1573" s="413" t="n"/>
      <c r="C1573" s="413" t="n"/>
      <c r="D1573" s="414" t="n"/>
      <c r="E1573" s="414" t="n"/>
      <c r="F1573" s="414" t="n"/>
      <c r="G1573" s="414" t="n"/>
      <c r="H1573" s="414" t="n"/>
      <c r="J1573" s="457" t="n"/>
      <c r="K1573" s="457" t="n"/>
      <c r="L1573" s="458" t="n"/>
      <c r="M1573" s="458" t="n"/>
      <c r="N1573" s="458" t="n"/>
      <c r="O1573" s="459" t="n"/>
      <c r="P1573" s="460" t="n"/>
      <c r="Q1573" s="460" t="n"/>
      <c r="R1573" s="460" t="n"/>
      <c r="S1573" s="460" t="n"/>
      <c r="T1573" s="460" t="n"/>
      <c r="U1573" s="460" t="n"/>
      <c r="V1573" s="460" t="n"/>
      <c r="W1573" s="461" t="n"/>
      <c r="X1573" s="461" t="n"/>
      <c r="Y1573" s="461" t="n"/>
      <c r="Z1573" s="461" t="n"/>
      <c r="AA1573" s="462" t="n"/>
      <c r="AB1573" s="462" t="n"/>
      <c r="AC1573" s="462" t="n"/>
      <c r="AD1573" s="462" t="n"/>
      <c r="AE1573" s="462" t="n"/>
      <c r="AF1573" s="462" t="n"/>
      <c r="AG1573" s="462" t="n"/>
      <c r="AH1573" s="462" t="n"/>
      <c r="AI1573" s="461" t="n"/>
      <c r="AJ1573" s="461" t="n"/>
      <c r="AK1573" s="463" t="n"/>
      <c r="AL1573" s="461" t="n"/>
      <c r="AM1573" s="461" t="n"/>
      <c r="AN1573" s="461" t="n"/>
      <c r="AO1573" s="461" t="n"/>
      <c r="AP1573" s="464" t="n"/>
      <c r="AQ1573" s="464" t="n"/>
      <c r="AR1573" s="461" t="n"/>
      <c r="AS1573" s="461" t="n"/>
      <c r="AT1573" s="461" t="n"/>
      <c r="AU1573" s="461" t="n"/>
      <c r="AV1573" s="461" t="n"/>
      <c r="AW1573" s="461" t="n"/>
      <c r="AX1573" s="461" t="n"/>
    </row>
    <row r="1574">
      <c r="A1574" s="413" t="n"/>
      <c r="B1574" s="413" t="n"/>
      <c r="C1574" s="413" t="n"/>
      <c r="D1574" s="414" t="n"/>
      <c r="E1574" s="414" t="n"/>
      <c r="F1574" s="414" t="n"/>
      <c r="G1574" s="414" t="n"/>
      <c r="H1574" s="414" t="n"/>
      <c r="J1574" s="457" t="n"/>
      <c r="K1574" s="457" t="n"/>
      <c r="L1574" s="458" t="n"/>
      <c r="M1574" s="458" t="n"/>
      <c r="N1574" s="458" t="n"/>
      <c r="O1574" s="459" t="n"/>
      <c r="P1574" s="460" t="n"/>
      <c r="Q1574" s="460" t="n"/>
      <c r="R1574" s="460" t="n"/>
      <c r="S1574" s="460" t="n"/>
      <c r="T1574" s="460" t="n"/>
      <c r="U1574" s="460" t="n"/>
      <c r="V1574" s="460" t="n"/>
      <c r="W1574" s="461" t="n"/>
      <c r="X1574" s="461" t="n"/>
      <c r="Y1574" s="461" t="n"/>
      <c r="Z1574" s="461" t="n"/>
      <c r="AA1574" s="462" t="n"/>
      <c r="AB1574" s="462" t="n"/>
      <c r="AC1574" s="462" t="n"/>
      <c r="AD1574" s="462" t="n"/>
      <c r="AE1574" s="462" t="n"/>
      <c r="AF1574" s="462" t="n"/>
      <c r="AG1574" s="462" t="n"/>
      <c r="AH1574" s="462" t="n"/>
      <c r="AI1574" s="461" t="n"/>
      <c r="AJ1574" s="461" t="n"/>
      <c r="AK1574" s="463" t="n"/>
      <c r="AL1574" s="461" t="n"/>
      <c r="AM1574" s="461" t="n"/>
      <c r="AN1574" s="461" t="n"/>
      <c r="AO1574" s="461" t="n"/>
      <c r="AP1574" s="464" t="n"/>
      <c r="AQ1574" s="464" t="n"/>
      <c r="AR1574" s="461" t="n"/>
      <c r="AS1574" s="461" t="n"/>
      <c r="AT1574" s="461" t="n"/>
      <c r="AU1574" s="461" t="n"/>
      <c r="AV1574" s="461" t="n"/>
      <c r="AW1574" s="461" t="n"/>
      <c r="AX1574" s="461" t="n"/>
    </row>
    <row r="1575">
      <c r="A1575" s="413" t="n"/>
      <c r="B1575" s="413" t="n"/>
      <c r="C1575" s="413" t="n"/>
      <c r="D1575" s="414" t="n"/>
      <c r="E1575" s="414" t="n"/>
      <c r="F1575" s="414" t="n"/>
      <c r="G1575" s="414" t="n"/>
      <c r="H1575" s="414" t="n"/>
      <c r="J1575" s="457" t="n"/>
      <c r="K1575" s="457" t="n"/>
      <c r="L1575" s="458" t="n"/>
      <c r="M1575" s="458" t="n"/>
      <c r="N1575" s="458" t="n"/>
      <c r="O1575" s="459" t="n"/>
      <c r="P1575" s="460" t="n"/>
      <c r="Q1575" s="460" t="n"/>
      <c r="R1575" s="460" t="n"/>
      <c r="S1575" s="460" t="n"/>
      <c r="T1575" s="460" t="n"/>
      <c r="U1575" s="460" t="n"/>
      <c r="V1575" s="460" t="n"/>
      <c r="W1575" s="461" t="n"/>
      <c r="X1575" s="461" t="n"/>
      <c r="Y1575" s="461" t="n"/>
      <c r="Z1575" s="461" t="n"/>
      <c r="AA1575" s="462" t="n"/>
      <c r="AB1575" s="462" t="n"/>
      <c r="AC1575" s="462" t="n"/>
      <c r="AD1575" s="462" t="n"/>
      <c r="AE1575" s="462" t="n"/>
      <c r="AF1575" s="462" t="n"/>
      <c r="AG1575" s="462" t="n"/>
      <c r="AH1575" s="462" t="n"/>
      <c r="AI1575" s="461" t="n"/>
      <c r="AJ1575" s="461" t="n"/>
      <c r="AK1575" s="463" t="n"/>
      <c r="AL1575" s="461" t="n"/>
      <c r="AM1575" s="461" t="n"/>
      <c r="AN1575" s="461" t="n"/>
      <c r="AO1575" s="461" t="n"/>
      <c r="AP1575" s="464" t="n"/>
      <c r="AQ1575" s="464" t="n"/>
      <c r="AR1575" s="461" t="n"/>
      <c r="AS1575" s="461" t="n"/>
      <c r="AT1575" s="461" t="n"/>
      <c r="AU1575" s="461" t="n"/>
      <c r="AV1575" s="461" t="n"/>
      <c r="AW1575" s="461" t="n"/>
      <c r="AX1575" s="461" t="n"/>
    </row>
    <row r="1576">
      <c r="A1576" s="413" t="n"/>
      <c r="B1576" s="413" t="n"/>
      <c r="C1576" s="413" t="n"/>
      <c r="D1576" s="414" t="n"/>
      <c r="E1576" s="414" t="n"/>
      <c r="F1576" s="414" t="n"/>
      <c r="G1576" s="414" t="n"/>
      <c r="H1576" s="414" t="n"/>
      <c r="J1576" s="457" t="n"/>
      <c r="K1576" s="457" t="n"/>
      <c r="L1576" s="458" t="n"/>
      <c r="M1576" s="458" t="n"/>
      <c r="N1576" s="458" t="n"/>
      <c r="O1576" s="459" t="n"/>
      <c r="P1576" s="460" t="n"/>
      <c r="Q1576" s="460" t="n"/>
      <c r="R1576" s="460" t="n"/>
      <c r="S1576" s="460" t="n"/>
      <c r="T1576" s="460" t="n"/>
      <c r="U1576" s="460" t="n"/>
      <c r="V1576" s="460" t="n"/>
      <c r="W1576" s="461" t="n"/>
      <c r="X1576" s="461" t="n"/>
      <c r="Y1576" s="461" t="n"/>
      <c r="Z1576" s="461" t="n"/>
      <c r="AA1576" s="462" t="n"/>
      <c r="AB1576" s="462" t="n"/>
      <c r="AC1576" s="462" t="n"/>
      <c r="AD1576" s="462" t="n"/>
      <c r="AE1576" s="462" t="n"/>
      <c r="AF1576" s="462" t="n"/>
      <c r="AG1576" s="462" t="n"/>
      <c r="AH1576" s="462" t="n"/>
      <c r="AI1576" s="461" t="n"/>
      <c r="AJ1576" s="461" t="n"/>
      <c r="AK1576" s="463" t="n"/>
      <c r="AL1576" s="461" t="n"/>
      <c r="AM1576" s="461" t="n"/>
      <c r="AN1576" s="461" t="n"/>
      <c r="AO1576" s="461" t="n"/>
      <c r="AP1576" s="464" t="n"/>
      <c r="AQ1576" s="464" t="n"/>
      <c r="AR1576" s="461" t="n"/>
      <c r="AS1576" s="461" t="n"/>
      <c r="AT1576" s="461" t="n"/>
      <c r="AU1576" s="461" t="n"/>
      <c r="AV1576" s="461" t="n"/>
      <c r="AW1576" s="461" t="n"/>
      <c r="AX1576" s="461" t="n"/>
    </row>
    <row r="1577">
      <c r="A1577" s="413" t="n"/>
      <c r="B1577" s="413" t="n"/>
      <c r="C1577" s="413" t="n"/>
      <c r="D1577" s="414" t="n"/>
      <c r="E1577" s="414" t="n"/>
      <c r="F1577" s="414" t="n"/>
      <c r="G1577" s="414" t="n"/>
      <c r="H1577" s="414" t="n"/>
      <c r="J1577" s="457" t="n"/>
      <c r="K1577" s="457" t="n"/>
      <c r="L1577" s="458" t="n"/>
      <c r="M1577" s="458" t="n"/>
      <c r="N1577" s="458" t="n"/>
      <c r="O1577" s="459" t="n"/>
      <c r="P1577" s="460" t="n"/>
      <c r="Q1577" s="460" t="n"/>
      <c r="R1577" s="460" t="n"/>
      <c r="S1577" s="460" t="n"/>
      <c r="T1577" s="460" t="n"/>
      <c r="U1577" s="460" t="n"/>
      <c r="V1577" s="460" t="n"/>
      <c r="W1577" s="461" t="n"/>
      <c r="X1577" s="461" t="n"/>
      <c r="Y1577" s="461" t="n"/>
      <c r="Z1577" s="461" t="n"/>
      <c r="AA1577" s="462" t="n"/>
      <c r="AB1577" s="462" t="n"/>
      <c r="AC1577" s="462" t="n"/>
      <c r="AD1577" s="462" t="n"/>
      <c r="AE1577" s="462" t="n"/>
      <c r="AF1577" s="462" t="n"/>
      <c r="AG1577" s="462" t="n"/>
      <c r="AH1577" s="462" t="n"/>
      <c r="AI1577" s="461" t="n"/>
      <c r="AJ1577" s="461" t="n"/>
      <c r="AK1577" s="463" t="n"/>
      <c r="AL1577" s="461" t="n"/>
      <c r="AM1577" s="461" t="n"/>
      <c r="AN1577" s="461" t="n"/>
      <c r="AO1577" s="461" t="n"/>
      <c r="AP1577" s="464" t="n"/>
      <c r="AQ1577" s="464" t="n"/>
      <c r="AR1577" s="461" t="n"/>
      <c r="AS1577" s="461" t="n"/>
      <c r="AT1577" s="461" t="n"/>
      <c r="AU1577" s="461" t="n"/>
      <c r="AV1577" s="461" t="n"/>
      <c r="AW1577" s="461" t="n"/>
      <c r="AX1577" s="461" t="n"/>
    </row>
    <row r="1578">
      <c r="A1578" s="413" t="n"/>
      <c r="B1578" s="413" t="n"/>
      <c r="C1578" s="413" t="n"/>
      <c r="D1578" s="414" t="n"/>
      <c r="E1578" s="414" t="n"/>
      <c r="F1578" s="414" t="n"/>
      <c r="G1578" s="414" t="n"/>
      <c r="H1578" s="414" t="n"/>
      <c r="J1578" s="457" t="n"/>
      <c r="K1578" s="457" t="n"/>
      <c r="L1578" s="458" t="n"/>
      <c r="M1578" s="458" t="n"/>
      <c r="N1578" s="458" t="n"/>
      <c r="O1578" s="459" t="n"/>
      <c r="P1578" s="460" t="n"/>
      <c r="Q1578" s="460" t="n"/>
      <c r="R1578" s="460" t="n"/>
      <c r="S1578" s="460" t="n"/>
      <c r="T1578" s="460" t="n"/>
      <c r="U1578" s="460" t="n"/>
      <c r="V1578" s="460" t="n"/>
      <c r="W1578" s="461" t="n"/>
      <c r="X1578" s="461" t="n"/>
      <c r="Y1578" s="461" t="n"/>
      <c r="Z1578" s="461" t="n"/>
      <c r="AA1578" s="462" t="n"/>
      <c r="AB1578" s="462" t="n"/>
      <c r="AC1578" s="462" t="n"/>
      <c r="AD1578" s="462" t="n"/>
      <c r="AE1578" s="462" t="n"/>
      <c r="AF1578" s="462" t="n"/>
      <c r="AG1578" s="462" t="n"/>
      <c r="AH1578" s="462" t="n"/>
      <c r="AI1578" s="461" t="n"/>
      <c r="AJ1578" s="461" t="n"/>
      <c r="AK1578" s="463" t="n"/>
      <c r="AL1578" s="461" t="n"/>
      <c r="AM1578" s="461" t="n"/>
      <c r="AN1578" s="461" t="n"/>
      <c r="AO1578" s="461" t="n"/>
      <c r="AP1578" s="464" t="n"/>
      <c r="AQ1578" s="464" t="n"/>
      <c r="AR1578" s="461" t="n"/>
      <c r="AS1578" s="461" t="n"/>
      <c r="AT1578" s="461" t="n"/>
      <c r="AU1578" s="461" t="n"/>
      <c r="AV1578" s="461" t="n"/>
      <c r="AW1578" s="461" t="n"/>
      <c r="AX1578" s="461" t="n"/>
    </row>
    <row r="1579">
      <c r="A1579" s="413" t="n"/>
      <c r="B1579" s="413" t="n"/>
      <c r="C1579" s="413" t="n"/>
      <c r="D1579" s="414" t="n"/>
      <c r="E1579" s="414" t="n"/>
      <c r="F1579" s="414" t="n"/>
      <c r="G1579" s="414" t="n"/>
      <c r="H1579" s="414" t="n"/>
      <c r="J1579" s="457" t="n"/>
      <c r="K1579" s="457" t="n"/>
      <c r="L1579" s="458" t="n"/>
      <c r="M1579" s="458" t="n"/>
      <c r="N1579" s="458" t="n"/>
      <c r="O1579" s="459" t="n"/>
      <c r="P1579" s="460" t="n"/>
      <c r="Q1579" s="460" t="n"/>
      <c r="R1579" s="460" t="n"/>
      <c r="S1579" s="460" t="n"/>
      <c r="T1579" s="460" t="n"/>
      <c r="U1579" s="460" t="n"/>
      <c r="V1579" s="460" t="n"/>
      <c r="W1579" s="461" t="n"/>
      <c r="X1579" s="461" t="n"/>
      <c r="Y1579" s="461" t="n"/>
      <c r="Z1579" s="461" t="n"/>
      <c r="AA1579" s="462" t="n"/>
      <c r="AB1579" s="462" t="n"/>
      <c r="AC1579" s="462" t="n"/>
      <c r="AD1579" s="462" t="n"/>
      <c r="AE1579" s="462" t="n"/>
      <c r="AF1579" s="462" t="n"/>
      <c r="AG1579" s="462" t="n"/>
      <c r="AH1579" s="462" t="n"/>
      <c r="AI1579" s="461" t="n"/>
      <c r="AJ1579" s="461" t="n"/>
      <c r="AK1579" s="463" t="n"/>
      <c r="AL1579" s="461" t="n"/>
      <c r="AM1579" s="461" t="n"/>
      <c r="AN1579" s="461" t="n"/>
      <c r="AO1579" s="461" t="n"/>
      <c r="AP1579" s="464" t="n"/>
      <c r="AQ1579" s="464" t="n"/>
      <c r="AR1579" s="461" t="n"/>
      <c r="AS1579" s="461" t="n"/>
      <c r="AT1579" s="461" t="n"/>
      <c r="AU1579" s="461" t="n"/>
      <c r="AV1579" s="461" t="n"/>
      <c r="AW1579" s="461" t="n"/>
      <c r="AX1579" s="461" t="n"/>
    </row>
    <row r="1580">
      <c r="A1580" s="413" t="n"/>
      <c r="B1580" s="413" t="n"/>
      <c r="C1580" s="413" t="n"/>
      <c r="D1580" s="414" t="n"/>
      <c r="E1580" s="414" t="n"/>
      <c r="F1580" s="414" t="n"/>
      <c r="G1580" s="414" t="n"/>
      <c r="H1580" s="414" t="n"/>
      <c r="J1580" s="457" t="n"/>
      <c r="K1580" s="457" t="n"/>
      <c r="L1580" s="458" t="n"/>
      <c r="M1580" s="458" t="n"/>
      <c r="N1580" s="458" t="n"/>
      <c r="O1580" s="459" t="n"/>
      <c r="P1580" s="460" t="n"/>
      <c r="Q1580" s="460" t="n"/>
      <c r="R1580" s="460" t="n"/>
      <c r="S1580" s="460" t="n"/>
      <c r="T1580" s="460" t="n"/>
      <c r="U1580" s="460" t="n"/>
      <c r="V1580" s="460" t="n"/>
      <c r="W1580" s="461" t="n"/>
      <c r="X1580" s="461" t="n"/>
      <c r="Y1580" s="461" t="n"/>
      <c r="Z1580" s="461" t="n"/>
      <c r="AA1580" s="462" t="n"/>
      <c r="AB1580" s="462" t="n"/>
      <c r="AC1580" s="462" t="n"/>
      <c r="AD1580" s="462" t="n"/>
      <c r="AE1580" s="462" t="n"/>
      <c r="AF1580" s="462" t="n"/>
      <c r="AG1580" s="462" t="n"/>
      <c r="AH1580" s="462" t="n"/>
      <c r="AI1580" s="461" t="n"/>
      <c r="AJ1580" s="461" t="n"/>
      <c r="AK1580" s="463" t="n"/>
      <c r="AL1580" s="461" t="n"/>
      <c r="AM1580" s="461" t="n"/>
      <c r="AN1580" s="461" t="n"/>
      <c r="AO1580" s="461" t="n"/>
      <c r="AP1580" s="464" t="n"/>
      <c r="AQ1580" s="464" t="n"/>
      <c r="AR1580" s="461" t="n"/>
      <c r="AS1580" s="461" t="n"/>
      <c r="AT1580" s="461" t="n"/>
      <c r="AU1580" s="461" t="n"/>
      <c r="AV1580" s="461" t="n"/>
      <c r="AW1580" s="461" t="n"/>
      <c r="AX1580" s="461" t="n"/>
    </row>
    <row r="1581">
      <c r="A1581" s="413" t="n"/>
      <c r="B1581" s="413" t="n"/>
      <c r="C1581" s="413" t="n"/>
      <c r="D1581" s="414" t="n"/>
      <c r="E1581" s="414" t="n"/>
      <c r="F1581" s="414" t="n"/>
      <c r="G1581" s="414" t="n"/>
      <c r="H1581" s="414" t="n"/>
      <c r="J1581" s="457" t="n"/>
      <c r="K1581" s="457" t="n"/>
      <c r="L1581" s="458" t="n"/>
      <c r="M1581" s="458" t="n"/>
      <c r="N1581" s="458" t="n"/>
      <c r="O1581" s="459" t="n"/>
      <c r="P1581" s="460" t="n"/>
      <c r="Q1581" s="460" t="n"/>
      <c r="R1581" s="460" t="n"/>
      <c r="S1581" s="460" t="n"/>
      <c r="T1581" s="460" t="n"/>
      <c r="U1581" s="460" t="n"/>
      <c r="V1581" s="460" t="n"/>
      <c r="W1581" s="461" t="n"/>
      <c r="X1581" s="461" t="n"/>
      <c r="Y1581" s="461" t="n"/>
      <c r="Z1581" s="461" t="n"/>
      <c r="AA1581" s="462" t="n"/>
      <c r="AB1581" s="462" t="n"/>
      <c r="AC1581" s="462" t="n"/>
      <c r="AD1581" s="462" t="n"/>
      <c r="AE1581" s="462" t="n"/>
      <c r="AF1581" s="462" t="n"/>
      <c r="AG1581" s="462" t="n"/>
      <c r="AH1581" s="462" t="n"/>
      <c r="AI1581" s="461" t="n"/>
      <c r="AJ1581" s="461" t="n"/>
      <c r="AK1581" s="463" t="n"/>
      <c r="AL1581" s="461" t="n"/>
      <c r="AM1581" s="461" t="n"/>
      <c r="AN1581" s="461" t="n"/>
      <c r="AO1581" s="461" t="n"/>
      <c r="AP1581" s="464" t="n"/>
      <c r="AQ1581" s="464" t="n"/>
      <c r="AR1581" s="461" t="n"/>
      <c r="AS1581" s="461" t="n"/>
      <c r="AT1581" s="461" t="n"/>
      <c r="AU1581" s="461" t="n"/>
      <c r="AV1581" s="461" t="n"/>
      <c r="AW1581" s="461" t="n"/>
      <c r="AX1581" s="461" t="n"/>
    </row>
    <row r="1582">
      <c r="A1582" s="413" t="n"/>
      <c r="B1582" s="413" t="n"/>
      <c r="C1582" s="413" t="n"/>
      <c r="D1582" s="414" t="n"/>
      <c r="E1582" s="414" t="n"/>
      <c r="F1582" s="414" t="n"/>
      <c r="G1582" s="414" t="n"/>
      <c r="H1582" s="414" t="n"/>
      <c r="J1582" s="457" t="n"/>
      <c r="K1582" s="457" t="n"/>
      <c r="L1582" s="458" t="n"/>
      <c r="M1582" s="458" t="n"/>
      <c r="N1582" s="458" t="n"/>
      <c r="O1582" s="459" t="n"/>
      <c r="P1582" s="460" t="n"/>
      <c r="Q1582" s="460" t="n"/>
      <c r="R1582" s="460" t="n"/>
      <c r="S1582" s="460" t="n"/>
      <c r="T1582" s="460" t="n"/>
      <c r="U1582" s="460" t="n"/>
      <c r="V1582" s="460" t="n"/>
      <c r="W1582" s="461" t="n"/>
      <c r="X1582" s="461" t="n"/>
      <c r="Y1582" s="461" t="n"/>
      <c r="Z1582" s="461" t="n"/>
      <c r="AA1582" s="462" t="n"/>
      <c r="AB1582" s="462" t="n"/>
      <c r="AC1582" s="462" t="n"/>
      <c r="AD1582" s="462" t="n"/>
      <c r="AE1582" s="462" t="n"/>
      <c r="AF1582" s="462" t="n"/>
      <c r="AG1582" s="462" t="n"/>
      <c r="AH1582" s="462" t="n"/>
      <c r="AI1582" s="461" t="n"/>
      <c r="AJ1582" s="461" t="n"/>
      <c r="AK1582" s="463" t="n"/>
      <c r="AL1582" s="461" t="n"/>
      <c r="AM1582" s="461" t="n"/>
      <c r="AN1582" s="461" t="n"/>
      <c r="AO1582" s="461" t="n"/>
      <c r="AP1582" s="464" t="n"/>
      <c r="AQ1582" s="464" t="n"/>
      <c r="AR1582" s="461" t="n"/>
      <c r="AS1582" s="461" t="n"/>
      <c r="AT1582" s="461" t="n"/>
      <c r="AU1582" s="461" t="n"/>
      <c r="AV1582" s="461" t="n"/>
      <c r="AW1582" s="461" t="n"/>
      <c r="AX1582" s="461" t="n"/>
    </row>
    <row r="1583">
      <c r="A1583" s="413" t="n"/>
      <c r="B1583" s="413" t="n"/>
      <c r="C1583" s="413" t="n"/>
      <c r="D1583" s="414" t="n"/>
      <c r="E1583" s="414" t="n"/>
      <c r="F1583" s="414" t="n"/>
      <c r="G1583" s="414" t="n"/>
      <c r="H1583" s="414" t="n"/>
      <c r="J1583" s="457" t="n"/>
      <c r="K1583" s="457" t="n"/>
      <c r="L1583" s="458" t="n"/>
      <c r="M1583" s="458" t="n"/>
      <c r="N1583" s="458" t="n"/>
      <c r="O1583" s="459" t="n"/>
      <c r="P1583" s="460" t="n"/>
      <c r="Q1583" s="460" t="n"/>
      <c r="R1583" s="460" t="n"/>
      <c r="S1583" s="460" t="n"/>
      <c r="T1583" s="460" t="n"/>
      <c r="U1583" s="460" t="n"/>
      <c r="V1583" s="460" t="n"/>
      <c r="W1583" s="461" t="n"/>
      <c r="X1583" s="461" t="n"/>
      <c r="Y1583" s="461" t="n"/>
      <c r="Z1583" s="461" t="n"/>
      <c r="AA1583" s="462" t="n"/>
      <c r="AB1583" s="462" t="n"/>
      <c r="AC1583" s="462" t="n"/>
      <c r="AD1583" s="462" t="n"/>
      <c r="AE1583" s="462" t="n"/>
      <c r="AF1583" s="462" t="n"/>
      <c r="AG1583" s="462" t="n"/>
      <c r="AH1583" s="462" t="n"/>
      <c r="AI1583" s="461" t="n"/>
      <c r="AJ1583" s="461" t="n"/>
      <c r="AK1583" s="463" t="n"/>
      <c r="AL1583" s="461" t="n"/>
      <c r="AM1583" s="461" t="n"/>
      <c r="AN1583" s="461" t="n"/>
      <c r="AO1583" s="461" t="n"/>
      <c r="AP1583" s="464" t="n"/>
      <c r="AQ1583" s="464" t="n"/>
      <c r="AR1583" s="461" t="n"/>
      <c r="AS1583" s="461" t="n"/>
      <c r="AT1583" s="461" t="n"/>
      <c r="AU1583" s="461" t="n"/>
      <c r="AV1583" s="461" t="n"/>
      <c r="AW1583" s="461" t="n"/>
      <c r="AX1583" s="461" t="n"/>
    </row>
    <row r="1584">
      <c r="A1584" s="413" t="n"/>
      <c r="B1584" s="413" t="n"/>
      <c r="C1584" s="413" t="n"/>
      <c r="D1584" s="414" t="n"/>
      <c r="E1584" s="414" t="n"/>
      <c r="F1584" s="414" t="n"/>
      <c r="G1584" s="414" t="n"/>
      <c r="H1584" s="414" t="n"/>
      <c r="J1584" s="457" t="n"/>
      <c r="K1584" s="457" t="n"/>
      <c r="L1584" s="458" t="n"/>
      <c r="M1584" s="458" t="n"/>
      <c r="N1584" s="458" t="n"/>
      <c r="O1584" s="459" t="n"/>
      <c r="P1584" s="460" t="n"/>
      <c r="Q1584" s="460" t="n"/>
      <c r="R1584" s="460" t="n"/>
      <c r="S1584" s="460" t="n"/>
      <c r="T1584" s="460" t="n"/>
      <c r="U1584" s="460" t="n"/>
      <c r="V1584" s="460" t="n"/>
      <c r="W1584" s="461" t="n"/>
      <c r="X1584" s="461" t="n"/>
      <c r="Y1584" s="461" t="n"/>
      <c r="Z1584" s="461" t="n"/>
      <c r="AA1584" s="462" t="n"/>
      <c r="AB1584" s="462" t="n"/>
      <c r="AC1584" s="462" t="n"/>
      <c r="AD1584" s="462" t="n"/>
      <c r="AE1584" s="462" t="n"/>
      <c r="AF1584" s="462" t="n"/>
      <c r="AG1584" s="462" t="n"/>
      <c r="AH1584" s="462" t="n"/>
      <c r="AI1584" s="461" t="n"/>
      <c r="AJ1584" s="461" t="n"/>
      <c r="AK1584" s="463" t="n"/>
      <c r="AL1584" s="461" t="n"/>
      <c r="AM1584" s="461" t="n"/>
      <c r="AN1584" s="461" t="n"/>
      <c r="AO1584" s="461" t="n"/>
      <c r="AP1584" s="464" t="n"/>
      <c r="AQ1584" s="464" t="n"/>
      <c r="AR1584" s="461" t="n"/>
      <c r="AS1584" s="461" t="n"/>
      <c r="AT1584" s="461" t="n"/>
      <c r="AU1584" s="461" t="n"/>
      <c r="AV1584" s="461" t="n"/>
      <c r="AW1584" s="461" t="n"/>
      <c r="AX1584" s="461" t="n"/>
    </row>
    <row r="1585">
      <c r="A1585" s="413" t="n"/>
      <c r="B1585" s="413" t="n"/>
      <c r="C1585" s="413" t="n"/>
      <c r="D1585" s="414" t="n"/>
      <c r="E1585" s="414" t="n"/>
      <c r="F1585" s="414" t="n"/>
      <c r="G1585" s="414" t="n"/>
      <c r="H1585" s="414" t="n"/>
      <c r="J1585" s="457" t="n"/>
      <c r="K1585" s="457" t="n"/>
      <c r="L1585" s="458" t="n"/>
      <c r="M1585" s="458" t="n"/>
      <c r="N1585" s="458" t="n"/>
      <c r="O1585" s="459" t="n"/>
      <c r="P1585" s="460" t="n"/>
      <c r="Q1585" s="460" t="n"/>
      <c r="R1585" s="460" t="n"/>
      <c r="S1585" s="460" t="n"/>
      <c r="T1585" s="460" t="n"/>
      <c r="U1585" s="460" t="n"/>
      <c r="V1585" s="460" t="n"/>
      <c r="W1585" s="461" t="n"/>
      <c r="X1585" s="461" t="n"/>
      <c r="Y1585" s="461" t="n"/>
      <c r="Z1585" s="461" t="n"/>
      <c r="AA1585" s="462" t="n"/>
      <c r="AB1585" s="462" t="n"/>
      <c r="AC1585" s="462" t="n"/>
      <c r="AD1585" s="462" t="n"/>
      <c r="AE1585" s="462" t="n"/>
      <c r="AF1585" s="462" t="n"/>
      <c r="AG1585" s="462" t="n"/>
      <c r="AH1585" s="462" t="n"/>
      <c r="AI1585" s="461" t="n"/>
      <c r="AJ1585" s="461" t="n"/>
      <c r="AK1585" s="463" t="n"/>
      <c r="AL1585" s="461" t="n"/>
      <c r="AM1585" s="461" t="n"/>
      <c r="AN1585" s="461" t="n"/>
      <c r="AO1585" s="461" t="n"/>
      <c r="AP1585" s="464" t="n"/>
      <c r="AQ1585" s="464" t="n"/>
      <c r="AR1585" s="461" t="n"/>
      <c r="AS1585" s="461" t="n"/>
      <c r="AT1585" s="461" t="n"/>
      <c r="AU1585" s="461" t="n"/>
      <c r="AV1585" s="461" t="n"/>
      <c r="AW1585" s="461" t="n"/>
      <c r="AX1585" s="461" t="n"/>
    </row>
    <row r="1586">
      <c r="A1586" s="413" t="n"/>
      <c r="B1586" s="413" t="n"/>
      <c r="C1586" s="413" t="n"/>
      <c r="D1586" s="414" t="n"/>
      <c r="E1586" s="414" t="n"/>
      <c r="F1586" s="414" t="n"/>
      <c r="G1586" s="414" t="n"/>
      <c r="H1586" s="414" t="n"/>
      <c r="J1586" s="457" t="n"/>
      <c r="K1586" s="457" t="n"/>
      <c r="L1586" s="458" t="n"/>
      <c r="M1586" s="458" t="n"/>
      <c r="N1586" s="458" t="n"/>
      <c r="O1586" s="459" t="n"/>
      <c r="P1586" s="460" t="n"/>
      <c r="Q1586" s="460" t="n"/>
      <c r="R1586" s="460" t="n"/>
      <c r="S1586" s="460" t="n"/>
      <c r="T1586" s="460" t="n"/>
      <c r="U1586" s="460" t="n"/>
      <c r="V1586" s="460" t="n"/>
      <c r="W1586" s="461" t="n"/>
      <c r="X1586" s="461" t="n"/>
      <c r="Y1586" s="461" t="n"/>
      <c r="Z1586" s="461" t="n"/>
      <c r="AA1586" s="462" t="n"/>
      <c r="AB1586" s="462" t="n"/>
      <c r="AC1586" s="462" t="n"/>
      <c r="AD1586" s="462" t="n"/>
      <c r="AE1586" s="462" t="n"/>
      <c r="AF1586" s="462" t="n"/>
      <c r="AG1586" s="462" t="n"/>
      <c r="AH1586" s="462" t="n"/>
      <c r="AI1586" s="461" t="n"/>
      <c r="AJ1586" s="461" t="n"/>
      <c r="AK1586" s="463" t="n"/>
      <c r="AL1586" s="461" t="n"/>
      <c r="AM1586" s="461" t="n"/>
      <c r="AN1586" s="461" t="n"/>
      <c r="AO1586" s="461" t="n"/>
      <c r="AP1586" s="464" t="n"/>
      <c r="AQ1586" s="464" t="n"/>
      <c r="AR1586" s="461" t="n"/>
      <c r="AS1586" s="461" t="n"/>
      <c r="AT1586" s="461" t="n"/>
      <c r="AU1586" s="461" t="n"/>
      <c r="AV1586" s="461" t="n"/>
      <c r="AW1586" s="461" t="n"/>
      <c r="AX1586" s="461" t="n"/>
    </row>
    <row r="1587">
      <c r="A1587" s="413" t="n"/>
      <c r="B1587" s="413" t="n"/>
      <c r="C1587" s="413" t="n"/>
      <c r="D1587" s="414" t="n"/>
      <c r="E1587" s="414" t="n"/>
      <c r="F1587" s="414" t="n"/>
      <c r="G1587" s="414" t="n"/>
      <c r="H1587" s="414" t="n"/>
      <c r="J1587" s="457" t="n"/>
      <c r="K1587" s="457" t="n"/>
      <c r="L1587" s="458" t="n"/>
      <c r="M1587" s="458" t="n"/>
      <c r="N1587" s="458" t="n"/>
      <c r="O1587" s="459" t="n"/>
      <c r="P1587" s="460" t="n"/>
      <c r="Q1587" s="460" t="n"/>
      <c r="R1587" s="460" t="n"/>
      <c r="S1587" s="460" t="n"/>
      <c r="T1587" s="460" t="n"/>
      <c r="U1587" s="460" t="n"/>
      <c r="V1587" s="460" t="n"/>
      <c r="W1587" s="461" t="n"/>
      <c r="X1587" s="461" t="n"/>
      <c r="Y1587" s="461" t="n"/>
      <c r="Z1587" s="461" t="n"/>
      <c r="AA1587" s="462" t="n"/>
      <c r="AB1587" s="462" t="n"/>
      <c r="AC1587" s="462" t="n"/>
      <c r="AD1587" s="462" t="n"/>
      <c r="AE1587" s="462" t="n"/>
      <c r="AF1587" s="462" t="n"/>
      <c r="AG1587" s="462" t="n"/>
      <c r="AH1587" s="462" t="n"/>
      <c r="AI1587" s="461" t="n"/>
      <c r="AJ1587" s="461" t="n"/>
      <c r="AK1587" s="463" t="n"/>
      <c r="AL1587" s="461" t="n"/>
      <c r="AM1587" s="461" t="n"/>
      <c r="AN1587" s="461" t="n"/>
      <c r="AO1587" s="461" t="n"/>
      <c r="AP1587" s="464" t="n"/>
      <c r="AQ1587" s="464" t="n"/>
      <c r="AR1587" s="461" t="n"/>
      <c r="AS1587" s="461" t="n"/>
      <c r="AT1587" s="461" t="n"/>
      <c r="AU1587" s="461" t="n"/>
      <c r="AV1587" s="461" t="n"/>
      <c r="AW1587" s="461" t="n"/>
      <c r="AX1587" s="461" t="n"/>
    </row>
    <row r="1588">
      <c r="A1588" s="413" t="n"/>
      <c r="B1588" s="413" t="n"/>
      <c r="C1588" s="413" t="n"/>
      <c r="D1588" s="414" t="n"/>
      <c r="E1588" s="414" t="n"/>
      <c r="F1588" s="414" t="n"/>
      <c r="G1588" s="414" t="n"/>
      <c r="H1588" s="414" t="n"/>
      <c r="J1588" s="457" t="n"/>
      <c r="K1588" s="457" t="n"/>
      <c r="L1588" s="458" t="n"/>
      <c r="M1588" s="458" t="n"/>
      <c r="N1588" s="458" t="n"/>
      <c r="O1588" s="459" t="n"/>
      <c r="P1588" s="460" t="n"/>
      <c r="Q1588" s="460" t="n"/>
      <c r="R1588" s="460" t="n"/>
      <c r="S1588" s="460" t="n"/>
      <c r="T1588" s="460" t="n"/>
      <c r="U1588" s="460" t="n"/>
      <c r="V1588" s="460" t="n"/>
      <c r="W1588" s="461" t="n"/>
      <c r="X1588" s="461" t="n"/>
      <c r="Y1588" s="461" t="n"/>
      <c r="Z1588" s="461" t="n"/>
      <c r="AA1588" s="462" t="n"/>
      <c r="AB1588" s="462" t="n"/>
      <c r="AC1588" s="462" t="n"/>
      <c r="AD1588" s="462" t="n"/>
      <c r="AE1588" s="462" t="n"/>
      <c r="AF1588" s="462" t="n"/>
      <c r="AG1588" s="462" t="n"/>
      <c r="AH1588" s="462" t="n"/>
      <c r="AI1588" s="461" t="n"/>
      <c r="AJ1588" s="461" t="n"/>
      <c r="AK1588" s="463" t="n"/>
      <c r="AL1588" s="461" t="n"/>
      <c r="AM1588" s="461" t="n"/>
      <c r="AN1588" s="461" t="n"/>
      <c r="AO1588" s="461" t="n"/>
      <c r="AP1588" s="464" t="n"/>
      <c r="AQ1588" s="464" t="n"/>
      <c r="AR1588" s="461" t="n"/>
      <c r="AS1588" s="461" t="n"/>
      <c r="AT1588" s="461" t="n"/>
      <c r="AU1588" s="461" t="n"/>
      <c r="AV1588" s="461" t="n"/>
      <c r="AW1588" s="461" t="n"/>
      <c r="AX1588" s="461" t="n"/>
    </row>
    <row r="1589">
      <c r="A1589" s="413" t="n"/>
      <c r="B1589" s="413" t="n"/>
      <c r="C1589" s="413" t="n"/>
      <c r="D1589" s="414" t="n"/>
      <c r="E1589" s="414" t="n"/>
      <c r="F1589" s="414" t="n"/>
      <c r="G1589" s="414" t="n"/>
      <c r="H1589" s="414" t="n"/>
      <c r="J1589" s="457" t="n"/>
      <c r="K1589" s="457" t="n"/>
      <c r="L1589" s="458" t="n"/>
      <c r="M1589" s="458" t="n"/>
      <c r="N1589" s="458" t="n"/>
      <c r="O1589" s="459" t="n"/>
      <c r="P1589" s="460" t="n"/>
      <c r="Q1589" s="460" t="n"/>
      <c r="R1589" s="460" t="n"/>
      <c r="S1589" s="460" t="n"/>
      <c r="T1589" s="460" t="n"/>
      <c r="U1589" s="460" t="n"/>
      <c r="V1589" s="460" t="n"/>
      <c r="W1589" s="461" t="n"/>
      <c r="X1589" s="461" t="n"/>
      <c r="Y1589" s="461" t="n"/>
      <c r="Z1589" s="461" t="n"/>
      <c r="AA1589" s="462" t="n"/>
      <c r="AB1589" s="462" t="n"/>
      <c r="AC1589" s="462" t="n"/>
      <c r="AD1589" s="462" t="n"/>
      <c r="AE1589" s="462" t="n"/>
      <c r="AF1589" s="462" t="n"/>
      <c r="AG1589" s="462" t="n"/>
      <c r="AH1589" s="462" t="n"/>
      <c r="AI1589" s="461" t="n"/>
      <c r="AJ1589" s="461" t="n"/>
      <c r="AK1589" s="463" t="n"/>
      <c r="AL1589" s="461" t="n"/>
      <c r="AM1589" s="461" t="n"/>
      <c r="AN1589" s="461" t="n"/>
      <c r="AO1589" s="461" t="n"/>
      <c r="AP1589" s="464" t="n"/>
      <c r="AQ1589" s="464" t="n"/>
      <c r="AR1589" s="461" t="n"/>
      <c r="AS1589" s="461" t="n"/>
      <c r="AT1589" s="461" t="n"/>
      <c r="AU1589" s="461" t="n"/>
      <c r="AV1589" s="461" t="n"/>
      <c r="AW1589" s="461" t="n"/>
      <c r="AX1589" s="461" t="n"/>
    </row>
    <row r="1590">
      <c r="A1590" s="413" t="n"/>
      <c r="B1590" s="413" t="n"/>
      <c r="C1590" s="413" t="n"/>
      <c r="D1590" s="414" t="n"/>
      <c r="E1590" s="414" t="n"/>
      <c r="F1590" s="414" t="n"/>
      <c r="G1590" s="414" t="n"/>
      <c r="H1590" s="414" t="n"/>
      <c r="J1590" s="457" t="n"/>
      <c r="K1590" s="457" t="n"/>
      <c r="L1590" s="458" t="n"/>
      <c r="M1590" s="458" t="n"/>
      <c r="N1590" s="458" t="n"/>
      <c r="O1590" s="459" t="n"/>
      <c r="P1590" s="460" t="n"/>
      <c r="Q1590" s="460" t="n"/>
      <c r="R1590" s="460" t="n"/>
      <c r="S1590" s="460" t="n"/>
      <c r="T1590" s="460" t="n"/>
      <c r="U1590" s="460" t="n"/>
      <c r="V1590" s="460" t="n"/>
      <c r="W1590" s="461" t="n"/>
      <c r="X1590" s="461" t="n"/>
      <c r="Y1590" s="461" t="n"/>
      <c r="Z1590" s="461" t="n"/>
      <c r="AA1590" s="462" t="n"/>
      <c r="AB1590" s="462" t="n"/>
      <c r="AC1590" s="462" t="n"/>
      <c r="AD1590" s="462" t="n"/>
      <c r="AE1590" s="462" t="n"/>
      <c r="AF1590" s="462" t="n"/>
      <c r="AG1590" s="462" t="n"/>
      <c r="AH1590" s="462" t="n"/>
      <c r="AI1590" s="461" t="n"/>
      <c r="AJ1590" s="461" t="n"/>
      <c r="AK1590" s="463" t="n"/>
      <c r="AL1590" s="461" t="n"/>
      <c r="AM1590" s="461" t="n"/>
      <c r="AN1590" s="461" t="n"/>
      <c r="AO1590" s="461" t="n"/>
      <c r="AP1590" s="464" t="n"/>
      <c r="AQ1590" s="464" t="n"/>
      <c r="AR1590" s="461" t="n"/>
      <c r="AS1590" s="461" t="n"/>
      <c r="AT1590" s="461" t="n"/>
      <c r="AU1590" s="461" t="n"/>
      <c r="AV1590" s="461" t="n"/>
      <c r="AW1590" s="461" t="n"/>
      <c r="AX1590" s="461" t="n"/>
    </row>
    <row r="1591">
      <c r="A1591" s="413" t="n"/>
      <c r="B1591" s="413" t="n"/>
      <c r="C1591" s="413" t="n"/>
      <c r="D1591" s="414" t="n"/>
      <c r="E1591" s="414" t="n"/>
      <c r="F1591" s="414" t="n"/>
      <c r="G1591" s="414" t="n"/>
      <c r="H1591" s="414" t="n"/>
      <c r="J1591" s="457" t="n"/>
      <c r="K1591" s="457" t="n"/>
      <c r="L1591" s="458" t="n"/>
      <c r="M1591" s="458" t="n"/>
      <c r="N1591" s="458" t="n"/>
      <c r="O1591" s="459" t="n"/>
      <c r="P1591" s="460" t="n"/>
      <c r="Q1591" s="460" t="n"/>
      <c r="R1591" s="460" t="n"/>
      <c r="S1591" s="460" t="n"/>
      <c r="T1591" s="460" t="n"/>
      <c r="U1591" s="460" t="n"/>
      <c r="V1591" s="460" t="n"/>
      <c r="W1591" s="461" t="n"/>
      <c r="X1591" s="461" t="n"/>
      <c r="Y1591" s="461" t="n"/>
      <c r="Z1591" s="461" t="n"/>
      <c r="AA1591" s="462" t="n"/>
      <c r="AB1591" s="462" t="n"/>
      <c r="AC1591" s="462" t="n"/>
      <c r="AD1591" s="462" t="n"/>
      <c r="AE1591" s="462" t="n"/>
      <c r="AF1591" s="462" t="n"/>
      <c r="AG1591" s="462" t="n"/>
      <c r="AH1591" s="462" t="n"/>
      <c r="AI1591" s="461" t="n"/>
      <c r="AJ1591" s="461" t="n"/>
      <c r="AK1591" s="463" t="n"/>
      <c r="AL1591" s="461" t="n"/>
      <c r="AM1591" s="461" t="n"/>
      <c r="AN1591" s="461" t="n"/>
      <c r="AO1591" s="461" t="n"/>
      <c r="AP1591" s="464" t="n"/>
      <c r="AQ1591" s="464" t="n"/>
      <c r="AR1591" s="461" t="n"/>
      <c r="AS1591" s="461" t="n"/>
      <c r="AT1591" s="461" t="n"/>
      <c r="AU1591" s="461" t="n"/>
      <c r="AV1591" s="461" t="n"/>
      <c r="AW1591" s="461" t="n"/>
      <c r="AX1591" s="461" t="n"/>
    </row>
    <row r="1592">
      <c r="A1592" s="413" t="n"/>
      <c r="B1592" s="413" t="n"/>
      <c r="C1592" s="413" t="n"/>
      <c r="D1592" s="414" t="n"/>
      <c r="E1592" s="414" t="n"/>
      <c r="F1592" s="414" t="n"/>
      <c r="G1592" s="414" t="n"/>
      <c r="H1592" s="414" t="n"/>
      <c r="J1592" s="457" t="n"/>
      <c r="K1592" s="457" t="n"/>
      <c r="L1592" s="458" t="n"/>
      <c r="M1592" s="458" t="n"/>
      <c r="N1592" s="458" t="n"/>
      <c r="O1592" s="459" t="n"/>
      <c r="P1592" s="460" t="n"/>
      <c r="Q1592" s="460" t="n"/>
      <c r="R1592" s="460" t="n"/>
      <c r="S1592" s="460" t="n"/>
      <c r="T1592" s="460" t="n"/>
      <c r="U1592" s="460" t="n"/>
      <c r="V1592" s="460" t="n"/>
      <c r="W1592" s="461" t="n"/>
      <c r="X1592" s="461" t="n"/>
      <c r="Y1592" s="461" t="n"/>
      <c r="Z1592" s="461" t="n"/>
      <c r="AA1592" s="462" t="n"/>
      <c r="AB1592" s="462" t="n"/>
      <c r="AC1592" s="462" t="n"/>
      <c r="AD1592" s="462" t="n"/>
      <c r="AE1592" s="462" t="n"/>
      <c r="AF1592" s="462" t="n"/>
      <c r="AG1592" s="462" t="n"/>
      <c r="AH1592" s="462" t="n"/>
      <c r="AI1592" s="461" t="n"/>
      <c r="AJ1592" s="461" t="n"/>
      <c r="AK1592" s="463" t="n"/>
      <c r="AL1592" s="461" t="n"/>
      <c r="AM1592" s="461" t="n"/>
      <c r="AN1592" s="461" t="n"/>
      <c r="AO1592" s="461" t="n"/>
      <c r="AP1592" s="464" t="n"/>
      <c r="AQ1592" s="464" t="n"/>
      <c r="AR1592" s="461" t="n"/>
      <c r="AS1592" s="461" t="n"/>
      <c r="AT1592" s="461" t="n"/>
      <c r="AU1592" s="461" t="n"/>
      <c r="AV1592" s="461" t="n"/>
      <c r="AW1592" s="461" t="n"/>
      <c r="AX1592" s="461" t="n"/>
    </row>
    <row r="1593">
      <c r="A1593" s="413" t="n"/>
      <c r="B1593" s="413" t="n"/>
      <c r="C1593" s="413" t="n"/>
      <c r="D1593" s="414" t="n"/>
      <c r="E1593" s="414" t="n"/>
      <c r="F1593" s="414" t="n"/>
      <c r="G1593" s="414" t="n"/>
      <c r="H1593" s="414" t="n"/>
      <c r="J1593" s="457" t="n"/>
      <c r="K1593" s="457" t="n"/>
      <c r="L1593" s="458" t="n"/>
      <c r="M1593" s="458" t="n"/>
      <c r="N1593" s="458" t="n"/>
      <c r="O1593" s="459" t="n"/>
      <c r="P1593" s="460" t="n"/>
      <c r="Q1593" s="460" t="n"/>
      <c r="R1593" s="460" t="n"/>
      <c r="S1593" s="460" t="n"/>
      <c r="T1593" s="460" t="n"/>
      <c r="U1593" s="460" t="n"/>
      <c r="V1593" s="460" t="n"/>
      <c r="W1593" s="461" t="n"/>
      <c r="X1593" s="461" t="n"/>
      <c r="Y1593" s="461" t="n"/>
      <c r="Z1593" s="461" t="n"/>
      <c r="AA1593" s="462" t="n"/>
      <c r="AB1593" s="462" t="n"/>
      <c r="AC1593" s="462" t="n"/>
      <c r="AD1593" s="462" t="n"/>
      <c r="AE1593" s="462" t="n"/>
      <c r="AF1593" s="462" t="n"/>
      <c r="AG1593" s="462" t="n"/>
      <c r="AH1593" s="462" t="n"/>
      <c r="AI1593" s="461" t="n"/>
      <c r="AJ1593" s="461" t="n"/>
      <c r="AK1593" s="463" t="n"/>
      <c r="AL1593" s="461" t="n"/>
      <c r="AM1593" s="461" t="n"/>
      <c r="AN1593" s="461" t="n"/>
      <c r="AO1593" s="461" t="n"/>
      <c r="AP1593" s="464" t="n"/>
      <c r="AQ1593" s="464" t="n"/>
      <c r="AR1593" s="461" t="n"/>
      <c r="AS1593" s="461" t="n"/>
      <c r="AT1593" s="461" t="n"/>
      <c r="AU1593" s="461" t="n"/>
      <c r="AV1593" s="461" t="n"/>
      <c r="AW1593" s="461" t="n"/>
      <c r="AX1593" s="461" t="n"/>
    </row>
    <row r="1594">
      <c r="A1594" s="413" t="n"/>
      <c r="B1594" s="413" t="n"/>
      <c r="C1594" s="413" t="n"/>
      <c r="D1594" s="414" t="n"/>
      <c r="E1594" s="414" t="n"/>
      <c r="F1594" s="414" t="n"/>
      <c r="G1594" s="414" t="n"/>
      <c r="H1594" s="414" t="n"/>
      <c r="J1594" s="457" t="n"/>
      <c r="K1594" s="457" t="n"/>
      <c r="L1594" s="458" t="n"/>
      <c r="M1594" s="458" t="n"/>
      <c r="N1594" s="458" t="n"/>
      <c r="O1594" s="459" t="n"/>
      <c r="P1594" s="460" t="n"/>
      <c r="Q1594" s="460" t="n"/>
      <c r="R1594" s="460" t="n"/>
      <c r="S1594" s="460" t="n"/>
      <c r="T1594" s="460" t="n"/>
      <c r="U1594" s="460" t="n"/>
      <c r="V1594" s="460" t="n"/>
      <c r="W1594" s="461" t="n"/>
      <c r="X1594" s="461" t="n"/>
      <c r="Y1594" s="461" t="n"/>
      <c r="Z1594" s="461" t="n"/>
      <c r="AA1594" s="462" t="n"/>
      <c r="AB1594" s="462" t="n"/>
      <c r="AC1594" s="462" t="n"/>
      <c r="AD1594" s="462" t="n"/>
      <c r="AE1594" s="462" t="n"/>
      <c r="AF1594" s="462" t="n"/>
      <c r="AG1594" s="462" t="n"/>
      <c r="AH1594" s="462" t="n"/>
      <c r="AI1594" s="461" t="n"/>
      <c r="AJ1594" s="461" t="n"/>
      <c r="AK1594" s="463" t="n"/>
      <c r="AL1594" s="461" t="n"/>
      <c r="AM1594" s="461" t="n"/>
      <c r="AN1594" s="461" t="n"/>
      <c r="AO1594" s="461" t="n"/>
      <c r="AP1594" s="464" t="n"/>
      <c r="AQ1594" s="464" t="n"/>
      <c r="AR1594" s="461" t="n"/>
      <c r="AS1594" s="461" t="n"/>
      <c r="AT1594" s="461" t="n"/>
      <c r="AU1594" s="461" t="n"/>
      <c r="AV1594" s="461" t="n"/>
      <c r="AW1594" s="461" t="n"/>
      <c r="AX1594" s="461" t="n"/>
    </row>
    <row r="1595">
      <c r="A1595" s="413" t="n"/>
      <c r="B1595" s="413" t="n"/>
      <c r="C1595" s="413" t="n"/>
      <c r="D1595" s="414" t="n"/>
      <c r="E1595" s="414" t="n"/>
      <c r="F1595" s="414" t="n"/>
      <c r="G1595" s="414" t="n"/>
      <c r="H1595" s="414" t="n"/>
      <c r="J1595" s="457" t="n"/>
      <c r="K1595" s="457" t="n"/>
      <c r="L1595" s="458" t="n"/>
      <c r="M1595" s="458" t="n"/>
      <c r="N1595" s="458" t="n"/>
      <c r="O1595" s="459" t="n"/>
      <c r="P1595" s="460" t="n"/>
      <c r="Q1595" s="460" t="n"/>
      <c r="R1595" s="460" t="n"/>
      <c r="S1595" s="460" t="n"/>
      <c r="T1595" s="460" t="n"/>
      <c r="U1595" s="460" t="n"/>
      <c r="V1595" s="460" t="n"/>
      <c r="W1595" s="461" t="n"/>
      <c r="X1595" s="461" t="n"/>
      <c r="Y1595" s="461" t="n"/>
      <c r="Z1595" s="461" t="n"/>
      <c r="AA1595" s="462" t="n"/>
      <c r="AB1595" s="462" t="n"/>
      <c r="AC1595" s="462" t="n"/>
      <c r="AD1595" s="462" t="n"/>
      <c r="AE1595" s="462" t="n"/>
      <c r="AF1595" s="462" t="n"/>
      <c r="AG1595" s="462" t="n"/>
      <c r="AH1595" s="462" t="n"/>
      <c r="AI1595" s="461" t="n"/>
      <c r="AJ1595" s="461" t="n"/>
      <c r="AK1595" s="463" t="n"/>
      <c r="AL1595" s="461" t="n"/>
      <c r="AM1595" s="461" t="n"/>
      <c r="AN1595" s="461" t="n"/>
      <c r="AO1595" s="461" t="n"/>
      <c r="AP1595" s="464" t="n"/>
      <c r="AQ1595" s="464" t="n"/>
      <c r="AR1595" s="461" t="n"/>
      <c r="AS1595" s="461" t="n"/>
      <c r="AT1595" s="461" t="n"/>
      <c r="AU1595" s="461" t="n"/>
      <c r="AV1595" s="461" t="n"/>
      <c r="AW1595" s="461" t="n"/>
      <c r="AX1595" s="461" t="n"/>
    </row>
    <row r="1596">
      <c r="A1596" s="413" t="n"/>
      <c r="B1596" s="413" t="n"/>
      <c r="C1596" s="413" t="n"/>
      <c r="D1596" s="414" t="n"/>
      <c r="E1596" s="414" t="n"/>
      <c r="F1596" s="414" t="n"/>
      <c r="G1596" s="414" t="n"/>
      <c r="H1596" s="414" t="n"/>
      <c r="J1596" s="457" t="n"/>
      <c r="K1596" s="457" t="n"/>
      <c r="L1596" s="458" t="n"/>
      <c r="M1596" s="458" t="n"/>
      <c r="N1596" s="458" t="n"/>
      <c r="O1596" s="459" t="n"/>
      <c r="P1596" s="460" t="n"/>
      <c r="Q1596" s="460" t="n"/>
      <c r="R1596" s="460" t="n"/>
      <c r="S1596" s="460" t="n"/>
      <c r="T1596" s="460" t="n"/>
      <c r="U1596" s="460" t="n"/>
      <c r="V1596" s="460" t="n"/>
      <c r="W1596" s="461" t="n"/>
      <c r="X1596" s="461" t="n"/>
      <c r="Y1596" s="461" t="n"/>
      <c r="Z1596" s="461" t="n"/>
      <c r="AA1596" s="462" t="n"/>
      <c r="AB1596" s="462" t="n"/>
      <c r="AC1596" s="462" t="n"/>
      <c r="AD1596" s="462" t="n"/>
      <c r="AE1596" s="462" t="n"/>
      <c r="AF1596" s="462" t="n"/>
      <c r="AG1596" s="462" t="n"/>
      <c r="AH1596" s="462" t="n"/>
      <c r="AI1596" s="461" t="n"/>
      <c r="AJ1596" s="461" t="n"/>
      <c r="AK1596" s="463" t="n"/>
      <c r="AL1596" s="461" t="n"/>
      <c r="AM1596" s="461" t="n"/>
      <c r="AN1596" s="461" t="n"/>
      <c r="AO1596" s="461" t="n"/>
      <c r="AP1596" s="464" t="n"/>
      <c r="AQ1596" s="464" t="n"/>
      <c r="AR1596" s="461" t="n"/>
      <c r="AS1596" s="461" t="n"/>
      <c r="AT1596" s="461" t="n"/>
      <c r="AU1596" s="461" t="n"/>
      <c r="AV1596" s="461" t="n"/>
      <c r="AW1596" s="461" t="n"/>
      <c r="AX1596" s="461" t="n"/>
    </row>
    <row r="1597">
      <c r="A1597" s="413" t="n"/>
      <c r="B1597" s="413" t="n"/>
      <c r="C1597" s="413" t="n"/>
      <c r="D1597" s="414" t="n"/>
      <c r="E1597" s="414" t="n"/>
      <c r="F1597" s="414" t="n"/>
      <c r="G1597" s="414" t="n"/>
      <c r="H1597" s="414" t="n"/>
      <c r="J1597" s="457" t="n"/>
      <c r="K1597" s="457" t="n"/>
      <c r="L1597" s="458" t="n"/>
      <c r="M1597" s="458" t="n"/>
      <c r="N1597" s="458" t="n"/>
      <c r="O1597" s="459" t="n"/>
      <c r="P1597" s="460" t="n"/>
      <c r="Q1597" s="460" t="n"/>
      <c r="R1597" s="460" t="n"/>
      <c r="S1597" s="460" t="n"/>
      <c r="T1597" s="460" t="n"/>
      <c r="U1597" s="460" t="n"/>
      <c r="V1597" s="460" t="n"/>
      <c r="W1597" s="461" t="n"/>
      <c r="X1597" s="461" t="n"/>
      <c r="Y1597" s="461" t="n"/>
      <c r="Z1597" s="461" t="n"/>
      <c r="AA1597" s="462" t="n"/>
      <c r="AB1597" s="462" t="n"/>
      <c r="AC1597" s="462" t="n"/>
      <c r="AD1597" s="462" t="n"/>
      <c r="AE1597" s="462" t="n"/>
      <c r="AF1597" s="462" t="n"/>
      <c r="AG1597" s="462" t="n"/>
      <c r="AH1597" s="462" t="n"/>
      <c r="AI1597" s="461" t="n"/>
      <c r="AJ1597" s="461" t="n"/>
      <c r="AK1597" s="463" t="n"/>
      <c r="AL1597" s="461" t="n"/>
      <c r="AM1597" s="461" t="n"/>
      <c r="AN1597" s="461" t="n"/>
      <c r="AO1597" s="461" t="n"/>
      <c r="AP1597" s="464" t="n"/>
      <c r="AQ1597" s="464" t="n"/>
      <c r="AR1597" s="461" t="n"/>
      <c r="AS1597" s="461" t="n"/>
      <c r="AT1597" s="461" t="n"/>
      <c r="AU1597" s="461" t="n"/>
      <c r="AV1597" s="461" t="n"/>
      <c r="AW1597" s="461" t="n"/>
      <c r="AX1597" s="461" t="n"/>
    </row>
    <row r="1598">
      <c r="A1598" s="413" t="n"/>
      <c r="B1598" s="413" t="n"/>
      <c r="C1598" s="413" t="n"/>
      <c r="D1598" s="414" t="n"/>
      <c r="E1598" s="414" t="n"/>
      <c r="F1598" s="414" t="n"/>
      <c r="G1598" s="414" t="n"/>
      <c r="H1598" s="414" t="n"/>
      <c r="J1598" s="457" t="n"/>
      <c r="K1598" s="457" t="n"/>
      <c r="L1598" s="458" t="n"/>
      <c r="M1598" s="458" t="n"/>
      <c r="N1598" s="458" t="n"/>
      <c r="O1598" s="459" t="n"/>
      <c r="P1598" s="460" t="n"/>
      <c r="Q1598" s="460" t="n"/>
      <c r="R1598" s="460" t="n"/>
      <c r="S1598" s="460" t="n"/>
      <c r="T1598" s="460" t="n"/>
      <c r="U1598" s="460" t="n"/>
      <c r="V1598" s="460" t="n"/>
      <c r="W1598" s="461" t="n"/>
      <c r="X1598" s="461" t="n"/>
      <c r="Y1598" s="461" t="n"/>
      <c r="Z1598" s="461" t="n"/>
      <c r="AA1598" s="462" t="n"/>
      <c r="AB1598" s="462" t="n"/>
      <c r="AC1598" s="462" t="n"/>
      <c r="AD1598" s="462" t="n"/>
      <c r="AE1598" s="462" t="n"/>
      <c r="AF1598" s="462" t="n"/>
      <c r="AG1598" s="462" t="n"/>
      <c r="AH1598" s="462" t="n"/>
      <c r="AI1598" s="461" t="n"/>
      <c r="AJ1598" s="461" t="n"/>
      <c r="AK1598" s="463" t="n"/>
      <c r="AL1598" s="461" t="n"/>
      <c r="AM1598" s="461" t="n"/>
      <c r="AN1598" s="461" t="n"/>
      <c r="AO1598" s="461" t="n"/>
      <c r="AP1598" s="464" t="n"/>
      <c r="AQ1598" s="464" t="n"/>
      <c r="AR1598" s="461" t="n"/>
      <c r="AS1598" s="461" t="n"/>
      <c r="AT1598" s="461" t="n"/>
      <c r="AU1598" s="461" t="n"/>
      <c r="AV1598" s="461" t="n"/>
      <c r="AW1598" s="461" t="n"/>
      <c r="AX1598" s="461" t="n"/>
    </row>
    <row r="1599">
      <c r="A1599" s="413" t="n"/>
      <c r="B1599" s="413" t="n"/>
      <c r="C1599" s="413" t="n"/>
      <c r="D1599" s="414" t="n"/>
      <c r="E1599" s="414" t="n"/>
      <c r="F1599" s="414" t="n"/>
      <c r="G1599" s="414" t="n"/>
      <c r="H1599" s="414" t="n"/>
      <c r="J1599" s="457" t="n"/>
      <c r="K1599" s="457" t="n"/>
      <c r="L1599" s="458" t="n"/>
      <c r="M1599" s="458" t="n"/>
      <c r="N1599" s="458" t="n"/>
      <c r="O1599" s="459" t="n"/>
      <c r="P1599" s="460" t="n"/>
      <c r="Q1599" s="460" t="n"/>
      <c r="R1599" s="460" t="n"/>
      <c r="S1599" s="460" t="n"/>
      <c r="T1599" s="460" t="n"/>
      <c r="U1599" s="460" t="n"/>
      <c r="V1599" s="460" t="n"/>
      <c r="W1599" s="461" t="n"/>
      <c r="X1599" s="461" t="n"/>
      <c r="Y1599" s="461" t="n"/>
      <c r="Z1599" s="461" t="n"/>
      <c r="AA1599" s="462" t="n"/>
      <c r="AB1599" s="462" t="n"/>
      <c r="AC1599" s="462" t="n"/>
      <c r="AD1599" s="462" t="n"/>
      <c r="AE1599" s="462" t="n"/>
      <c r="AF1599" s="462" t="n"/>
      <c r="AG1599" s="462" t="n"/>
      <c r="AH1599" s="462" t="n"/>
      <c r="AI1599" s="461" t="n"/>
      <c r="AJ1599" s="461" t="n"/>
      <c r="AK1599" s="463" t="n"/>
      <c r="AL1599" s="461" t="n"/>
      <c r="AM1599" s="461" t="n"/>
      <c r="AN1599" s="461" t="n"/>
      <c r="AO1599" s="461" t="n"/>
      <c r="AP1599" s="464" t="n"/>
      <c r="AQ1599" s="464" t="n"/>
      <c r="AR1599" s="461" t="n"/>
      <c r="AS1599" s="461" t="n"/>
      <c r="AT1599" s="461" t="n"/>
      <c r="AU1599" s="461" t="n"/>
      <c r="AV1599" s="461" t="n"/>
      <c r="AW1599" s="461" t="n"/>
      <c r="AX1599" s="461" t="n"/>
    </row>
    <row r="1600">
      <c r="A1600" s="413" t="n"/>
      <c r="B1600" s="413" t="n"/>
      <c r="C1600" s="413" t="n"/>
      <c r="D1600" s="414" t="n"/>
      <c r="E1600" s="414" t="n"/>
      <c r="F1600" s="414" t="n"/>
      <c r="G1600" s="414" t="n"/>
      <c r="H1600" s="414" t="n"/>
      <c r="J1600" s="457" t="n"/>
      <c r="K1600" s="457" t="n"/>
      <c r="L1600" s="458" t="n"/>
      <c r="M1600" s="458" t="n"/>
      <c r="N1600" s="458" t="n"/>
      <c r="O1600" s="459" t="n"/>
      <c r="P1600" s="460" t="n"/>
      <c r="Q1600" s="460" t="n"/>
      <c r="R1600" s="460" t="n"/>
      <c r="S1600" s="460" t="n"/>
      <c r="T1600" s="460" t="n"/>
      <c r="U1600" s="460" t="n"/>
      <c r="V1600" s="460" t="n"/>
      <c r="W1600" s="461" t="n"/>
      <c r="X1600" s="461" t="n"/>
      <c r="Y1600" s="461" t="n"/>
      <c r="Z1600" s="461" t="n"/>
      <c r="AA1600" s="462" t="n"/>
      <c r="AB1600" s="462" t="n"/>
      <c r="AC1600" s="462" t="n"/>
      <c r="AD1600" s="462" t="n"/>
      <c r="AE1600" s="462" t="n"/>
      <c r="AF1600" s="462" t="n"/>
      <c r="AG1600" s="462" t="n"/>
      <c r="AH1600" s="462" t="n"/>
      <c r="AI1600" s="461" t="n"/>
      <c r="AJ1600" s="461" t="n"/>
      <c r="AK1600" s="463" t="n"/>
      <c r="AL1600" s="461" t="n"/>
      <c r="AM1600" s="461" t="n"/>
      <c r="AN1600" s="461" t="n"/>
      <c r="AO1600" s="461" t="n"/>
      <c r="AP1600" s="464" t="n"/>
      <c r="AQ1600" s="464" t="n"/>
      <c r="AR1600" s="461" t="n"/>
      <c r="AS1600" s="461" t="n"/>
      <c r="AT1600" s="461" t="n"/>
      <c r="AU1600" s="461" t="n"/>
      <c r="AV1600" s="461" t="n"/>
      <c r="AW1600" s="461" t="n"/>
      <c r="AX1600" s="461" t="n"/>
    </row>
    <row r="1601">
      <c r="A1601" s="413" t="n"/>
      <c r="B1601" s="413" t="n"/>
      <c r="C1601" s="413" t="n"/>
      <c r="D1601" s="414" t="n"/>
      <c r="E1601" s="414" t="n"/>
      <c r="F1601" s="414" t="n"/>
      <c r="G1601" s="414" t="n"/>
      <c r="H1601" s="414" t="n"/>
      <c r="J1601" s="457" t="n"/>
      <c r="K1601" s="457" t="n"/>
      <c r="L1601" s="458" t="n"/>
      <c r="M1601" s="458" t="n"/>
      <c r="N1601" s="458" t="n"/>
      <c r="O1601" s="459" t="n"/>
      <c r="P1601" s="460" t="n"/>
      <c r="Q1601" s="460" t="n"/>
      <c r="R1601" s="460" t="n"/>
      <c r="S1601" s="460" t="n"/>
      <c r="T1601" s="460" t="n"/>
      <c r="U1601" s="460" t="n"/>
      <c r="V1601" s="460" t="n"/>
      <c r="W1601" s="461" t="n"/>
      <c r="X1601" s="461" t="n"/>
      <c r="Y1601" s="461" t="n"/>
      <c r="Z1601" s="461" t="n"/>
      <c r="AA1601" s="462" t="n"/>
      <c r="AB1601" s="462" t="n"/>
      <c r="AC1601" s="462" t="n"/>
      <c r="AD1601" s="462" t="n"/>
      <c r="AE1601" s="462" t="n"/>
      <c r="AF1601" s="462" t="n"/>
      <c r="AG1601" s="462" t="n"/>
      <c r="AH1601" s="462" t="n"/>
      <c r="AI1601" s="461" t="n"/>
      <c r="AJ1601" s="461" t="n"/>
      <c r="AK1601" s="463" t="n"/>
      <c r="AL1601" s="461" t="n"/>
      <c r="AM1601" s="461" t="n"/>
      <c r="AN1601" s="461" t="n"/>
      <c r="AO1601" s="461" t="n"/>
      <c r="AP1601" s="464" t="n"/>
      <c r="AQ1601" s="464" t="n"/>
      <c r="AR1601" s="461" t="n"/>
      <c r="AS1601" s="461" t="n"/>
      <c r="AT1601" s="461" t="n"/>
      <c r="AU1601" s="461" t="n"/>
      <c r="AV1601" s="461" t="n"/>
      <c r="AW1601" s="461" t="n"/>
      <c r="AX1601" s="461" t="n"/>
    </row>
    <row r="1602">
      <c r="A1602" s="413" t="n"/>
      <c r="B1602" s="413" t="n"/>
      <c r="C1602" s="413" t="n"/>
      <c r="D1602" s="414" t="n"/>
      <c r="E1602" s="414" t="n"/>
      <c r="F1602" s="414" t="n"/>
      <c r="G1602" s="414" t="n"/>
      <c r="H1602" s="414" t="n"/>
      <c r="J1602" s="457" t="n"/>
      <c r="K1602" s="457" t="n"/>
      <c r="L1602" s="458" t="n"/>
      <c r="M1602" s="458" t="n"/>
      <c r="N1602" s="458" t="n"/>
      <c r="O1602" s="459" t="n"/>
      <c r="P1602" s="460" t="n"/>
      <c r="Q1602" s="460" t="n"/>
      <c r="R1602" s="460" t="n"/>
      <c r="S1602" s="460" t="n"/>
      <c r="T1602" s="460" t="n"/>
      <c r="U1602" s="460" t="n"/>
      <c r="V1602" s="460" t="n"/>
      <c r="W1602" s="461" t="n"/>
      <c r="X1602" s="461" t="n"/>
      <c r="Y1602" s="461" t="n"/>
      <c r="Z1602" s="461" t="n"/>
      <c r="AA1602" s="462" t="n"/>
      <c r="AB1602" s="462" t="n"/>
      <c r="AC1602" s="462" t="n"/>
      <c r="AD1602" s="462" t="n"/>
      <c r="AE1602" s="462" t="n"/>
      <c r="AF1602" s="462" t="n"/>
      <c r="AG1602" s="462" t="n"/>
      <c r="AH1602" s="462" t="n"/>
      <c r="AI1602" s="461" t="n"/>
      <c r="AJ1602" s="461" t="n"/>
      <c r="AK1602" s="463" t="n"/>
      <c r="AL1602" s="461" t="n"/>
      <c r="AM1602" s="461" t="n"/>
      <c r="AN1602" s="461" t="n"/>
      <c r="AO1602" s="461" t="n"/>
      <c r="AP1602" s="464" t="n"/>
      <c r="AQ1602" s="464" t="n"/>
      <c r="AR1602" s="461" t="n"/>
      <c r="AS1602" s="461" t="n"/>
      <c r="AT1602" s="461" t="n"/>
      <c r="AU1602" s="461" t="n"/>
      <c r="AV1602" s="461" t="n"/>
      <c r="AW1602" s="461" t="n"/>
      <c r="AX1602" s="461" t="n"/>
    </row>
    <row r="1603">
      <c r="A1603" s="413" t="n"/>
      <c r="B1603" s="413" t="n"/>
      <c r="C1603" s="413" t="n"/>
      <c r="D1603" s="414" t="n"/>
      <c r="E1603" s="414" t="n"/>
      <c r="F1603" s="414" t="n"/>
      <c r="G1603" s="414" t="n"/>
      <c r="H1603" s="414" t="n"/>
      <c r="J1603" s="457" t="n"/>
      <c r="K1603" s="457" t="n"/>
      <c r="L1603" s="458" t="n"/>
      <c r="M1603" s="458" t="n"/>
      <c r="N1603" s="458" t="n"/>
      <c r="O1603" s="459" t="n"/>
      <c r="P1603" s="460" t="n"/>
      <c r="Q1603" s="460" t="n"/>
      <c r="R1603" s="460" t="n"/>
      <c r="S1603" s="460" t="n"/>
      <c r="T1603" s="460" t="n"/>
      <c r="U1603" s="460" t="n"/>
      <c r="V1603" s="460" t="n"/>
      <c r="W1603" s="461" t="n"/>
      <c r="X1603" s="461" t="n"/>
      <c r="Y1603" s="461" t="n"/>
      <c r="Z1603" s="461" t="n"/>
      <c r="AA1603" s="462" t="n"/>
      <c r="AB1603" s="462" t="n"/>
      <c r="AC1603" s="462" t="n"/>
      <c r="AD1603" s="462" t="n"/>
      <c r="AE1603" s="462" t="n"/>
      <c r="AF1603" s="462" t="n"/>
      <c r="AG1603" s="462" t="n"/>
      <c r="AH1603" s="462" t="n"/>
      <c r="AI1603" s="461" t="n"/>
      <c r="AJ1603" s="461" t="n"/>
      <c r="AK1603" s="463" t="n"/>
      <c r="AL1603" s="461" t="n"/>
      <c r="AM1603" s="461" t="n"/>
      <c r="AN1603" s="461" t="n"/>
      <c r="AO1603" s="461" t="n"/>
      <c r="AP1603" s="464" t="n"/>
      <c r="AQ1603" s="464" t="n"/>
      <c r="AR1603" s="461" t="n"/>
      <c r="AS1603" s="461" t="n"/>
      <c r="AT1603" s="461" t="n"/>
      <c r="AU1603" s="461" t="n"/>
      <c r="AV1603" s="461" t="n"/>
      <c r="AW1603" s="461" t="n"/>
      <c r="AX1603" s="461" t="n"/>
    </row>
    <row r="1604">
      <c r="A1604" s="413" t="n"/>
      <c r="B1604" s="413" t="n"/>
      <c r="C1604" s="413" t="n"/>
      <c r="D1604" s="414" t="n"/>
      <c r="E1604" s="414" t="n"/>
      <c r="F1604" s="414" t="n"/>
      <c r="G1604" s="414" t="n"/>
      <c r="H1604" s="414" t="n"/>
      <c r="J1604" s="457" t="n"/>
      <c r="K1604" s="457" t="n"/>
      <c r="L1604" s="458" t="n"/>
      <c r="M1604" s="458" t="n"/>
      <c r="N1604" s="458" t="n"/>
      <c r="O1604" s="459" t="n"/>
      <c r="P1604" s="460" t="n"/>
      <c r="Q1604" s="460" t="n"/>
      <c r="R1604" s="460" t="n"/>
      <c r="S1604" s="460" t="n"/>
      <c r="T1604" s="460" t="n"/>
      <c r="U1604" s="460" t="n"/>
      <c r="V1604" s="460" t="n"/>
      <c r="W1604" s="461" t="n"/>
      <c r="X1604" s="461" t="n"/>
      <c r="Y1604" s="461" t="n"/>
      <c r="Z1604" s="461" t="n"/>
      <c r="AA1604" s="462" t="n"/>
      <c r="AB1604" s="462" t="n"/>
      <c r="AC1604" s="462" t="n"/>
      <c r="AD1604" s="462" t="n"/>
      <c r="AE1604" s="462" t="n"/>
      <c r="AF1604" s="462" t="n"/>
      <c r="AG1604" s="462" t="n"/>
      <c r="AH1604" s="462" t="n"/>
      <c r="AI1604" s="461" t="n"/>
      <c r="AJ1604" s="461" t="n"/>
      <c r="AK1604" s="463" t="n"/>
      <c r="AL1604" s="461" t="n"/>
      <c r="AM1604" s="461" t="n"/>
      <c r="AN1604" s="461" t="n"/>
      <c r="AO1604" s="461" t="n"/>
      <c r="AP1604" s="464" t="n"/>
      <c r="AQ1604" s="464" t="n"/>
      <c r="AR1604" s="461" t="n"/>
      <c r="AS1604" s="461" t="n"/>
      <c r="AT1604" s="461" t="n"/>
      <c r="AU1604" s="461" t="n"/>
      <c r="AV1604" s="461" t="n"/>
      <c r="AW1604" s="461" t="n"/>
      <c r="AX1604" s="461" t="n"/>
    </row>
    <row r="1605">
      <c r="A1605" s="413" t="n"/>
      <c r="B1605" s="413" t="n"/>
      <c r="C1605" s="413" t="n"/>
      <c r="D1605" s="414" t="n"/>
      <c r="E1605" s="414" t="n"/>
      <c r="F1605" s="414" t="n"/>
      <c r="G1605" s="414" t="n"/>
      <c r="H1605" s="414" t="n"/>
      <c r="J1605" s="457" t="n"/>
      <c r="K1605" s="457" t="n"/>
      <c r="L1605" s="458" t="n"/>
      <c r="M1605" s="458" t="n"/>
      <c r="N1605" s="458" t="n"/>
      <c r="O1605" s="459" t="n"/>
      <c r="P1605" s="460" t="n"/>
      <c r="Q1605" s="460" t="n"/>
      <c r="R1605" s="460" t="n"/>
      <c r="S1605" s="460" t="n"/>
      <c r="T1605" s="460" t="n"/>
      <c r="U1605" s="460" t="n"/>
      <c r="V1605" s="460" t="n"/>
      <c r="W1605" s="461" t="n"/>
      <c r="X1605" s="461" t="n"/>
      <c r="Y1605" s="461" t="n"/>
      <c r="Z1605" s="461" t="n"/>
      <c r="AA1605" s="462" t="n"/>
      <c r="AB1605" s="462" t="n"/>
      <c r="AC1605" s="462" t="n"/>
      <c r="AD1605" s="462" t="n"/>
      <c r="AE1605" s="462" t="n"/>
      <c r="AF1605" s="462" t="n"/>
      <c r="AG1605" s="462" t="n"/>
      <c r="AH1605" s="462" t="n"/>
      <c r="AI1605" s="461" t="n"/>
      <c r="AJ1605" s="461" t="n"/>
      <c r="AK1605" s="463" t="n"/>
      <c r="AL1605" s="461" t="n"/>
      <c r="AM1605" s="461" t="n"/>
      <c r="AN1605" s="461" t="n"/>
      <c r="AO1605" s="461" t="n"/>
      <c r="AP1605" s="464" t="n"/>
      <c r="AQ1605" s="464" t="n"/>
      <c r="AR1605" s="461" t="n"/>
      <c r="AS1605" s="461" t="n"/>
      <c r="AT1605" s="461" t="n"/>
      <c r="AU1605" s="461" t="n"/>
      <c r="AV1605" s="461" t="n"/>
      <c r="AW1605" s="461" t="n"/>
      <c r="AX1605" s="461" t="n"/>
    </row>
    <row r="1606">
      <c r="A1606" s="413" t="n"/>
      <c r="B1606" s="413" t="n"/>
      <c r="C1606" s="413" t="n"/>
      <c r="D1606" s="414" t="n"/>
      <c r="E1606" s="414" t="n"/>
      <c r="F1606" s="414" t="n"/>
      <c r="G1606" s="414" t="n"/>
      <c r="H1606" s="414" t="n"/>
      <c r="J1606" s="457" t="n"/>
      <c r="K1606" s="457" t="n"/>
      <c r="L1606" s="458" t="n"/>
      <c r="M1606" s="458" t="n"/>
      <c r="N1606" s="458" t="n"/>
      <c r="O1606" s="459" t="n"/>
      <c r="P1606" s="460" t="n"/>
      <c r="Q1606" s="460" t="n"/>
      <c r="R1606" s="460" t="n"/>
      <c r="S1606" s="460" t="n"/>
      <c r="T1606" s="460" t="n"/>
      <c r="U1606" s="460" t="n"/>
      <c r="V1606" s="460" t="n"/>
      <c r="W1606" s="461" t="n"/>
      <c r="X1606" s="461" t="n"/>
      <c r="Y1606" s="461" t="n"/>
      <c r="Z1606" s="461" t="n"/>
      <c r="AA1606" s="462" t="n"/>
      <c r="AB1606" s="462" t="n"/>
      <c r="AC1606" s="462" t="n"/>
      <c r="AD1606" s="462" t="n"/>
      <c r="AE1606" s="462" t="n"/>
      <c r="AF1606" s="462" t="n"/>
      <c r="AG1606" s="462" t="n"/>
      <c r="AH1606" s="462" t="n"/>
      <c r="AI1606" s="461" t="n"/>
      <c r="AJ1606" s="461" t="n"/>
      <c r="AK1606" s="463" t="n"/>
      <c r="AL1606" s="461" t="n"/>
      <c r="AM1606" s="461" t="n"/>
      <c r="AN1606" s="461" t="n"/>
      <c r="AO1606" s="461" t="n"/>
      <c r="AP1606" s="464" t="n"/>
      <c r="AQ1606" s="464" t="n"/>
      <c r="AR1606" s="461" t="n"/>
      <c r="AS1606" s="461" t="n"/>
      <c r="AT1606" s="461" t="n"/>
      <c r="AU1606" s="461" t="n"/>
      <c r="AV1606" s="461" t="n"/>
      <c r="AW1606" s="461" t="n"/>
      <c r="AX1606" s="461" t="n"/>
    </row>
    <row r="1607">
      <c r="A1607" s="413" t="n"/>
      <c r="B1607" s="413" t="n"/>
      <c r="C1607" s="413" t="n"/>
      <c r="D1607" s="414" t="n"/>
      <c r="E1607" s="414" t="n"/>
      <c r="F1607" s="414" t="n"/>
      <c r="G1607" s="414" t="n"/>
      <c r="H1607" s="414" t="n"/>
      <c r="J1607" s="457" t="n"/>
      <c r="K1607" s="457" t="n"/>
      <c r="L1607" s="458" t="n"/>
      <c r="M1607" s="458" t="n"/>
      <c r="N1607" s="458" t="n"/>
      <c r="O1607" s="459" t="n"/>
      <c r="P1607" s="460" t="n"/>
      <c r="Q1607" s="460" t="n"/>
      <c r="R1607" s="460" t="n"/>
      <c r="S1607" s="460" t="n"/>
      <c r="T1607" s="460" t="n"/>
      <c r="U1607" s="460" t="n"/>
      <c r="V1607" s="460" t="n"/>
      <c r="W1607" s="461" t="n"/>
      <c r="X1607" s="461" t="n"/>
      <c r="Y1607" s="461" t="n"/>
      <c r="Z1607" s="461" t="n"/>
      <c r="AA1607" s="462" t="n"/>
      <c r="AB1607" s="462" t="n"/>
      <c r="AC1607" s="462" t="n"/>
      <c r="AD1607" s="462" t="n"/>
      <c r="AE1607" s="462" t="n"/>
      <c r="AF1607" s="462" t="n"/>
      <c r="AG1607" s="462" t="n"/>
      <c r="AH1607" s="462" t="n"/>
      <c r="AI1607" s="461" t="n"/>
      <c r="AJ1607" s="461" t="n"/>
      <c r="AK1607" s="463" t="n"/>
      <c r="AL1607" s="461" t="n"/>
      <c r="AM1607" s="461" t="n"/>
      <c r="AN1607" s="461" t="n"/>
      <c r="AO1607" s="461" t="n"/>
      <c r="AP1607" s="464" t="n"/>
      <c r="AQ1607" s="464" t="n"/>
      <c r="AR1607" s="461" t="n"/>
      <c r="AS1607" s="461" t="n"/>
      <c r="AT1607" s="461" t="n"/>
      <c r="AU1607" s="461" t="n"/>
      <c r="AV1607" s="461" t="n"/>
      <c r="AW1607" s="461" t="n"/>
      <c r="AX1607" s="461" t="n"/>
    </row>
    <row r="1608">
      <c r="A1608" s="413" t="n"/>
      <c r="B1608" s="413" t="n"/>
      <c r="C1608" s="413" t="n"/>
      <c r="D1608" s="414" t="n"/>
      <c r="E1608" s="414" t="n"/>
      <c r="F1608" s="414" t="n"/>
      <c r="G1608" s="414" t="n"/>
      <c r="H1608" s="414" t="n"/>
      <c r="J1608" s="457" t="n"/>
      <c r="K1608" s="457" t="n"/>
      <c r="L1608" s="458" t="n"/>
      <c r="M1608" s="458" t="n"/>
      <c r="N1608" s="458" t="n"/>
      <c r="O1608" s="459" t="n"/>
      <c r="P1608" s="460" t="n"/>
      <c r="Q1608" s="460" t="n"/>
      <c r="R1608" s="460" t="n"/>
      <c r="S1608" s="460" t="n"/>
      <c r="T1608" s="460" t="n"/>
      <c r="U1608" s="460" t="n"/>
      <c r="V1608" s="460" t="n"/>
      <c r="W1608" s="461" t="n"/>
      <c r="X1608" s="461" t="n"/>
      <c r="Y1608" s="461" t="n"/>
      <c r="Z1608" s="461" t="n"/>
      <c r="AA1608" s="462" t="n"/>
      <c r="AB1608" s="462" t="n"/>
      <c r="AC1608" s="462" t="n"/>
      <c r="AD1608" s="462" t="n"/>
      <c r="AE1608" s="462" t="n"/>
      <c r="AF1608" s="462" t="n"/>
      <c r="AG1608" s="462" t="n"/>
      <c r="AH1608" s="462" t="n"/>
      <c r="AI1608" s="461" t="n"/>
      <c r="AJ1608" s="461" t="n"/>
      <c r="AK1608" s="463" t="n"/>
      <c r="AL1608" s="461" t="n"/>
      <c r="AM1608" s="461" t="n"/>
      <c r="AN1608" s="461" t="n"/>
      <c r="AO1608" s="461" t="n"/>
      <c r="AP1608" s="464" t="n"/>
      <c r="AQ1608" s="464" t="n"/>
      <c r="AR1608" s="461" t="n"/>
      <c r="AS1608" s="461" t="n"/>
      <c r="AT1608" s="461" t="n"/>
      <c r="AU1608" s="461" t="n"/>
      <c r="AV1608" s="461" t="n"/>
      <c r="AW1608" s="461" t="n"/>
      <c r="AX1608" s="461" t="n"/>
    </row>
    <row r="1609">
      <c r="A1609" s="413" t="n"/>
      <c r="B1609" s="413" t="n"/>
      <c r="C1609" s="413" t="n"/>
      <c r="D1609" s="414" t="n"/>
      <c r="E1609" s="414" t="n"/>
      <c r="F1609" s="414" t="n"/>
      <c r="G1609" s="414" t="n"/>
      <c r="H1609" s="414" t="n"/>
      <c r="J1609" s="457" t="n"/>
      <c r="K1609" s="457" t="n"/>
      <c r="L1609" s="458" t="n"/>
      <c r="M1609" s="458" t="n"/>
      <c r="N1609" s="458" t="n"/>
      <c r="O1609" s="459" t="n"/>
      <c r="P1609" s="460" t="n"/>
      <c r="Q1609" s="460" t="n"/>
      <c r="R1609" s="460" t="n"/>
      <c r="S1609" s="460" t="n"/>
      <c r="T1609" s="460" t="n"/>
      <c r="U1609" s="460" t="n"/>
      <c r="V1609" s="460" t="n"/>
      <c r="W1609" s="461" t="n"/>
      <c r="X1609" s="461" t="n"/>
      <c r="Y1609" s="461" t="n"/>
      <c r="Z1609" s="461" t="n"/>
      <c r="AA1609" s="462" t="n"/>
      <c r="AB1609" s="462" t="n"/>
      <c r="AC1609" s="462" t="n"/>
      <c r="AD1609" s="462" t="n"/>
      <c r="AE1609" s="462" t="n"/>
      <c r="AF1609" s="462" t="n"/>
      <c r="AG1609" s="462" t="n"/>
      <c r="AH1609" s="462" t="n"/>
      <c r="AI1609" s="461" t="n"/>
      <c r="AJ1609" s="461" t="n"/>
      <c r="AK1609" s="463" t="n"/>
      <c r="AL1609" s="461" t="n"/>
      <c r="AM1609" s="461" t="n"/>
      <c r="AN1609" s="461" t="n"/>
      <c r="AO1609" s="461" t="n"/>
      <c r="AP1609" s="464" t="n"/>
      <c r="AQ1609" s="464" t="n"/>
      <c r="AR1609" s="461" t="n"/>
      <c r="AS1609" s="461" t="n"/>
      <c r="AT1609" s="461" t="n"/>
      <c r="AU1609" s="461" t="n"/>
      <c r="AV1609" s="461" t="n"/>
      <c r="AW1609" s="461" t="n"/>
      <c r="AX1609" s="461" t="n"/>
    </row>
    <row r="1610">
      <c r="A1610" s="413" t="n"/>
      <c r="B1610" s="413" t="n"/>
      <c r="C1610" s="413" t="n"/>
      <c r="D1610" s="414" t="n"/>
      <c r="E1610" s="414" t="n"/>
      <c r="F1610" s="414" t="n"/>
      <c r="G1610" s="414" t="n"/>
      <c r="H1610" s="414" t="n"/>
      <c r="J1610" s="457" t="n"/>
      <c r="K1610" s="457" t="n"/>
      <c r="L1610" s="458" t="n"/>
      <c r="M1610" s="458" t="n"/>
      <c r="N1610" s="458" t="n"/>
      <c r="O1610" s="459" t="n"/>
      <c r="P1610" s="460" t="n"/>
      <c r="Q1610" s="460" t="n"/>
      <c r="R1610" s="460" t="n"/>
      <c r="S1610" s="460" t="n"/>
      <c r="T1610" s="460" t="n"/>
      <c r="U1610" s="460" t="n"/>
      <c r="V1610" s="460" t="n"/>
      <c r="W1610" s="461" t="n"/>
      <c r="X1610" s="461" t="n"/>
      <c r="Y1610" s="461" t="n"/>
      <c r="Z1610" s="461" t="n"/>
      <c r="AA1610" s="462" t="n"/>
      <c r="AB1610" s="462" t="n"/>
      <c r="AC1610" s="462" t="n"/>
      <c r="AD1610" s="462" t="n"/>
      <c r="AE1610" s="462" t="n"/>
      <c r="AF1610" s="462" t="n"/>
      <c r="AG1610" s="462" t="n"/>
      <c r="AH1610" s="462" t="n"/>
      <c r="AI1610" s="461" t="n"/>
      <c r="AJ1610" s="461" t="n"/>
      <c r="AK1610" s="463" t="n"/>
      <c r="AL1610" s="461" t="n"/>
      <c r="AM1610" s="461" t="n"/>
      <c r="AN1610" s="461" t="n"/>
      <c r="AO1610" s="461" t="n"/>
      <c r="AP1610" s="464" t="n"/>
      <c r="AQ1610" s="464" t="n"/>
      <c r="AR1610" s="461" t="n"/>
      <c r="AS1610" s="461" t="n"/>
      <c r="AT1610" s="461" t="n"/>
      <c r="AU1610" s="461" t="n"/>
      <c r="AV1610" s="461" t="n"/>
      <c r="AW1610" s="461" t="n"/>
      <c r="AX1610" s="461" t="n"/>
    </row>
    <row r="1611">
      <c r="A1611" s="413" t="n"/>
      <c r="B1611" s="413" t="n"/>
      <c r="C1611" s="413" t="n"/>
      <c r="D1611" s="414" t="n"/>
      <c r="E1611" s="414" t="n"/>
      <c r="F1611" s="414" t="n"/>
      <c r="G1611" s="414" t="n"/>
      <c r="H1611" s="414" t="n"/>
      <c r="J1611" s="457" t="n"/>
      <c r="K1611" s="457" t="n"/>
      <c r="L1611" s="458" t="n"/>
      <c r="M1611" s="458" t="n"/>
      <c r="N1611" s="458" t="n"/>
      <c r="O1611" s="459" t="n"/>
      <c r="P1611" s="460" t="n"/>
      <c r="Q1611" s="460" t="n"/>
      <c r="R1611" s="460" t="n"/>
      <c r="S1611" s="460" t="n"/>
      <c r="T1611" s="460" t="n"/>
      <c r="U1611" s="460" t="n"/>
      <c r="V1611" s="460" t="n"/>
      <c r="W1611" s="461" t="n"/>
      <c r="X1611" s="461" t="n"/>
      <c r="Y1611" s="461" t="n"/>
      <c r="Z1611" s="461" t="n"/>
      <c r="AA1611" s="462" t="n"/>
      <c r="AB1611" s="462" t="n"/>
      <c r="AC1611" s="462" t="n"/>
      <c r="AD1611" s="462" t="n"/>
      <c r="AE1611" s="462" t="n"/>
      <c r="AF1611" s="462" t="n"/>
      <c r="AG1611" s="462" t="n"/>
      <c r="AH1611" s="462" t="n"/>
      <c r="AI1611" s="461" t="n"/>
      <c r="AJ1611" s="461" t="n"/>
      <c r="AK1611" s="463" t="n"/>
      <c r="AL1611" s="461" t="n"/>
      <c r="AM1611" s="461" t="n"/>
      <c r="AN1611" s="461" t="n"/>
      <c r="AO1611" s="461" t="n"/>
      <c r="AP1611" s="464" t="n"/>
      <c r="AQ1611" s="464" t="n"/>
      <c r="AR1611" s="461" t="n"/>
      <c r="AS1611" s="461" t="n"/>
      <c r="AT1611" s="461" t="n"/>
      <c r="AU1611" s="461" t="n"/>
      <c r="AV1611" s="461" t="n"/>
      <c r="AW1611" s="461" t="n"/>
      <c r="AX1611" s="461" t="n"/>
    </row>
    <row r="1612">
      <c r="A1612" s="413" t="n"/>
      <c r="B1612" s="413" t="n"/>
      <c r="C1612" s="413" t="n"/>
      <c r="D1612" s="414" t="n"/>
      <c r="E1612" s="414" t="n"/>
      <c r="F1612" s="414" t="n"/>
      <c r="G1612" s="414" t="n"/>
      <c r="H1612" s="414" t="n"/>
      <c r="J1612" s="457" t="n"/>
      <c r="K1612" s="457" t="n"/>
      <c r="L1612" s="458" t="n"/>
      <c r="M1612" s="458" t="n"/>
      <c r="N1612" s="458" t="n"/>
      <c r="O1612" s="459" t="n"/>
      <c r="P1612" s="460" t="n"/>
      <c r="Q1612" s="460" t="n"/>
      <c r="R1612" s="460" t="n"/>
      <c r="S1612" s="460" t="n"/>
      <c r="T1612" s="460" t="n"/>
      <c r="U1612" s="460" t="n"/>
      <c r="V1612" s="460" t="n"/>
      <c r="W1612" s="461" t="n"/>
      <c r="X1612" s="461" t="n"/>
      <c r="Y1612" s="461" t="n"/>
      <c r="Z1612" s="461" t="n"/>
      <c r="AA1612" s="462" t="n"/>
      <c r="AB1612" s="462" t="n"/>
      <c r="AC1612" s="462" t="n"/>
      <c r="AD1612" s="462" t="n"/>
      <c r="AE1612" s="462" t="n"/>
      <c r="AF1612" s="462" t="n"/>
      <c r="AG1612" s="462" t="n"/>
      <c r="AH1612" s="462" t="n"/>
      <c r="AI1612" s="461" t="n"/>
      <c r="AJ1612" s="461" t="n"/>
      <c r="AK1612" s="463" t="n"/>
      <c r="AL1612" s="461" t="n"/>
      <c r="AM1612" s="461" t="n"/>
      <c r="AN1612" s="461" t="n"/>
      <c r="AO1612" s="461" t="n"/>
      <c r="AP1612" s="464" t="n"/>
      <c r="AQ1612" s="464" t="n"/>
      <c r="AR1612" s="461" t="n"/>
      <c r="AS1612" s="461" t="n"/>
      <c r="AT1612" s="461" t="n"/>
      <c r="AU1612" s="461" t="n"/>
      <c r="AV1612" s="461" t="n"/>
      <c r="AW1612" s="461" t="n"/>
      <c r="AX1612" s="461" t="n"/>
    </row>
    <row r="1613">
      <c r="A1613" s="413" t="n"/>
      <c r="B1613" s="413" t="n"/>
      <c r="C1613" s="413" t="n"/>
      <c r="D1613" s="414" t="n"/>
      <c r="E1613" s="414" t="n"/>
      <c r="F1613" s="414" t="n"/>
      <c r="G1613" s="414" t="n"/>
      <c r="H1613" s="414" t="n"/>
      <c r="J1613" s="457" t="n"/>
      <c r="K1613" s="457" t="n"/>
      <c r="L1613" s="458" t="n"/>
      <c r="M1613" s="458" t="n"/>
      <c r="N1613" s="458" t="n"/>
      <c r="O1613" s="459" t="n"/>
      <c r="P1613" s="460" t="n"/>
      <c r="Q1613" s="460" t="n"/>
      <c r="R1613" s="460" t="n"/>
      <c r="S1613" s="460" t="n"/>
      <c r="T1613" s="460" t="n"/>
      <c r="U1613" s="460" t="n"/>
      <c r="V1613" s="460" t="n"/>
      <c r="W1613" s="461" t="n"/>
      <c r="X1613" s="461" t="n"/>
      <c r="Y1613" s="461" t="n"/>
      <c r="Z1613" s="461" t="n"/>
      <c r="AA1613" s="462" t="n"/>
      <c r="AB1613" s="462" t="n"/>
      <c r="AC1613" s="462" t="n"/>
      <c r="AD1613" s="462" t="n"/>
      <c r="AE1613" s="462" t="n"/>
      <c r="AF1613" s="462" t="n"/>
      <c r="AG1613" s="462" t="n"/>
      <c r="AH1613" s="462" t="n"/>
      <c r="AI1613" s="461" t="n"/>
      <c r="AJ1613" s="461" t="n"/>
      <c r="AK1613" s="463" t="n"/>
      <c r="AL1613" s="461" t="n"/>
      <c r="AM1613" s="461" t="n"/>
      <c r="AN1613" s="461" t="n"/>
      <c r="AO1613" s="461" t="n"/>
      <c r="AP1613" s="464" t="n"/>
      <c r="AQ1613" s="464" t="n"/>
      <c r="AR1613" s="461" t="n"/>
      <c r="AS1613" s="461" t="n"/>
      <c r="AT1613" s="461" t="n"/>
      <c r="AU1613" s="461" t="n"/>
      <c r="AV1613" s="461" t="n"/>
      <c r="AW1613" s="461" t="n"/>
      <c r="AX1613" s="461" t="n"/>
    </row>
    <row r="1614">
      <c r="A1614" s="413" t="n"/>
      <c r="B1614" s="413" t="n"/>
      <c r="C1614" s="413" t="n"/>
      <c r="D1614" s="414" t="n"/>
      <c r="E1614" s="414" t="n"/>
      <c r="F1614" s="414" t="n"/>
      <c r="G1614" s="414" t="n"/>
      <c r="H1614" s="414" t="n"/>
      <c r="J1614" s="457" t="n"/>
      <c r="K1614" s="457" t="n"/>
      <c r="L1614" s="458" t="n"/>
      <c r="M1614" s="458" t="n"/>
      <c r="N1614" s="458" t="n"/>
      <c r="O1614" s="459" t="n"/>
      <c r="P1614" s="460" t="n"/>
      <c r="Q1614" s="460" t="n"/>
      <c r="R1614" s="460" t="n"/>
      <c r="S1614" s="460" t="n"/>
      <c r="T1614" s="460" t="n"/>
      <c r="U1614" s="460" t="n"/>
      <c r="V1614" s="460" t="n"/>
      <c r="W1614" s="461" t="n"/>
      <c r="X1614" s="461" t="n"/>
      <c r="Y1614" s="461" t="n"/>
      <c r="Z1614" s="461" t="n"/>
      <c r="AA1614" s="462" t="n"/>
      <c r="AB1614" s="462" t="n"/>
      <c r="AC1614" s="462" t="n"/>
      <c r="AD1614" s="462" t="n"/>
      <c r="AE1614" s="462" t="n"/>
      <c r="AF1614" s="462" t="n"/>
      <c r="AG1614" s="462" t="n"/>
      <c r="AH1614" s="462" t="n"/>
      <c r="AI1614" s="461" t="n"/>
      <c r="AJ1614" s="461" t="n"/>
      <c r="AK1614" s="463" t="n"/>
      <c r="AL1614" s="461" t="n"/>
      <c r="AM1614" s="461" t="n"/>
      <c r="AN1614" s="461" t="n"/>
      <c r="AO1614" s="461" t="n"/>
      <c r="AP1614" s="464" t="n"/>
      <c r="AQ1614" s="464" t="n"/>
      <c r="AR1614" s="461" t="n"/>
      <c r="AS1614" s="461" t="n"/>
      <c r="AT1614" s="461" t="n"/>
      <c r="AU1614" s="461" t="n"/>
      <c r="AV1614" s="461" t="n"/>
      <c r="AW1614" s="461" t="n"/>
      <c r="AX1614" s="461" t="n"/>
    </row>
    <row r="1615">
      <c r="A1615" s="413" t="n"/>
      <c r="B1615" s="413" t="n"/>
      <c r="C1615" s="413" t="n"/>
      <c r="D1615" s="414" t="n"/>
      <c r="E1615" s="414" t="n"/>
      <c r="F1615" s="414" t="n"/>
      <c r="G1615" s="414" t="n"/>
      <c r="H1615" s="414" t="n"/>
      <c r="J1615" s="457" t="n"/>
      <c r="K1615" s="457" t="n"/>
      <c r="L1615" s="458" t="n"/>
      <c r="M1615" s="458" t="n"/>
      <c r="N1615" s="458" t="n"/>
      <c r="O1615" s="459" t="n"/>
      <c r="P1615" s="460" t="n"/>
      <c r="Q1615" s="460" t="n"/>
      <c r="R1615" s="460" t="n"/>
      <c r="S1615" s="460" t="n"/>
      <c r="T1615" s="460" t="n"/>
      <c r="U1615" s="460" t="n"/>
      <c r="V1615" s="460" t="n"/>
      <c r="W1615" s="461" t="n"/>
      <c r="X1615" s="461" t="n"/>
      <c r="Y1615" s="461" t="n"/>
      <c r="Z1615" s="461" t="n"/>
      <c r="AA1615" s="462" t="n"/>
      <c r="AB1615" s="462" t="n"/>
      <c r="AC1615" s="462" t="n"/>
      <c r="AD1615" s="462" t="n"/>
      <c r="AE1615" s="462" t="n"/>
      <c r="AF1615" s="462" t="n"/>
      <c r="AG1615" s="462" t="n"/>
      <c r="AH1615" s="462" t="n"/>
      <c r="AI1615" s="461" t="n"/>
      <c r="AJ1615" s="461" t="n"/>
      <c r="AK1615" s="463" t="n"/>
      <c r="AL1615" s="461" t="n"/>
      <c r="AM1615" s="461" t="n"/>
      <c r="AN1615" s="461" t="n"/>
      <c r="AO1615" s="461" t="n"/>
      <c r="AP1615" s="464" t="n"/>
      <c r="AQ1615" s="464" t="n"/>
      <c r="AR1615" s="461" t="n"/>
      <c r="AS1615" s="461" t="n"/>
      <c r="AT1615" s="461" t="n"/>
      <c r="AU1615" s="461" t="n"/>
      <c r="AV1615" s="461" t="n"/>
      <c r="AW1615" s="461" t="n"/>
      <c r="AX1615" s="461" t="n"/>
    </row>
    <row r="1616">
      <c r="A1616" s="413" t="n"/>
      <c r="B1616" s="413" t="n"/>
      <c r="C1616" s="413" t="n"/>
      <c r="D1616" s="414" t="n"/>
      <c r="E1616" s="414" t="n"/>
      <c r="F1616" s="414" t="n"/>
      <c r="G1616" s="414" t="n"/>
      <c r="H1616" s="414" t="n"/>
      <c r="J1616" s="457" t="n"/>
      <c r="K1616" s="457" t="n"/>
      <c r="L1616" s="458" t="n"/>
      <c r="M1616" s="458" t="n"/>
      <c r="N1616" s="458" t="n"/>
      <c r="O1616" s="459" t="n"/>
      <c r="P1616" s="460" t="n"/>
      <c r="Q1616" s="460" t="n"/>
      <c r="R1616" s="460" t="n"/>
      <c r="S1616" s="460" t="n"/>
      <c r="T1616" s="460" t="n"/>
      <c r="U1616" s="460" t="n"/>
      <c r="V1616" s="460" t="n"/>
      <c r="W1616" s="461" t="n"/>
      <c r="X1616" s="461" t="n"/>
      <c r="Y1616" s="461" t="n"/>
      <c r="Z1616" s="461" t="n"/>
      <c r="AA1616" s="462" t="n"/>
      <c r="AB1616" s="462" t="n"/>
      <c r="AC1616" s="462" t="n"/>
      <c r="AD1616" s="462" t="n"/>
      <c r="AE1616" s="462" t="n"/>
      <c r="AF1616" s="462" t="n"/>
      <c r="AG1616" s="462" t="n"/>
      <c r="AH1616" s="462" t="n"/>
      <c r="AI1616" s="461" t="n"/>
      <c r="AJ1616" s="461" t="n"/>
      <c r="AK1616" s="463" t="n"/>
      <c r="AL1616" s="461" t="n"/>
      <c r="AM1616" s="461" t="n"/>
      <c r="AN1616" s="461" t="n"/>
      <c r="AO1616" s="461" t="n"/>
      <c r="AP1616" s="464" t="n"/>
      <c r="AQ1616" s="464" t="n"/>
      <c r="AR1616" s="461" t="n"/>
      <c r="AS1616" s="461" t="n"/>
      <c r="AT1616" s="461" t="n"/>
      <c r="AU1616" s="461" t="n"/>
      <c r="AV1616" s="461" t="n"/>
      <c r="AW1616" s="461" t="n"/>
      <c r="AX1616" s="461" t="n"/>
    </row>
    <row r="1617">
      <c r="A1617" s="413" t="n"/>
      <c r="B1617" s="413" t="n"/>
      <c r="C1617" s="413" t="n"/>
      <c r="D1617" s="414" t="n"/>
      <c r="E1617" s="414" t="n"/>
      <c r="F1617" s="414" t="n"/>
      <c r="G1617" s="414" t="n"/>
      <c r="H1617" s="414" t="n"/>
      <c r="J1617" s="457" t="n"/>
      <c r="K1617" s="457" t="n"/>
      <c r="L1617" s="458" t="n"/>
      <c r="M1617" s="458" t="n"/>
      <c r="N1617" s="458" t="n"/>
      <c r="O1617" s="459" t="n"/>
      <c r="P1617" s="460" t="n"/>
      <c r="Q1617" s="460" t="n"/>
      <c r="R1617" s="460" t="n"/>
      <c r="S1617" s="460" t="n"/>
      <c r="T1617" s="460" t="n"/>
      <c r="U1617" s="460" t="n"/>
      <c r="V1617" s="460" t="n"/>
      <c r="W1617" s="461" t="n"/>
      <c r="X1617" s="461" t="n"/>
      <c r="Y1617" s="461" t="n"/>
      <c r="Z1617" s="461" t="n"/>
      <c r="AA1617" s="462" t="n"/>
      <c r="AB1617" s="462" t="n"/>
      <c r="AC1617" s="462" t="n"/>
      <c r="AD1617" s="462" t="n"/>
      <c r="AE1617" s="462" t="n"/>
      <c r="AF1617" s="462" t="n"/>
      <c r="AG1617" s="462" t="n"/>
      <c r="AH1617" s="462" t="n"/>
      <c r="AI1617" s="461" t="n"/>
      <c r="AJ1617" s="461" t="n"/>
      <c r="AK1617" s="463" t="n"/>
      <c r="AL1617" s="461" t="n"/>
      <c r="AM1617" s="461" t="n"/>
      <c r="AN1617" s="461" t="n"/>
      <c r="AO1617" s="461" t="n"/>
      <c r="AP1617" s="464" t="n"/>
      <c r="AQ1617" s="464" t="n"/>
      <c r="AR1617" s="461" t="n"/>
      <c r="AS1617" s="461" t="n"/>
      <c r="AT1617" s="461" t="n"/>
      <c r="AU1617" s="461" t="n"/>
      <c r="AV1617" s="461" t="n"/>
      <c r="AW1617" s="461" t="n"/>
      <c r="AX1617" s="461" t="n"/>
    </row>
    <row r="1618">
      <c r="A1618" s="413" t="n"/>
      <c r="B1618" s="413" t="n"/>
      <c r="C1618" s="413" t="n"/>
      <c r="D1618" s="414" t="n"/>
      <c r="E1618" s="414" t="n"/>
      <c r="F1618" s="414" t="n"/>
      <c r="G1618" s="414" t="n"/>
      <c r="H1618" s="414" t="n"/>
      <c r="J1618" s="457" t="n"/>
      <c r="K1618" s="457" t="n"/>
      <c r="L1618" s="458" t="n"/>
      <c r="M1618" s="458" t="n"/>
      <c r="N1618" s="458" t="n"/>
      <c r="O1618" s="459" t="n"/>
      <c r="P1618" s="460" t="n"/>
      <c r="Q1618" s="460" t="n"/>
      <c r="R1618" s="460" t="n"/>
      <c r="S1618" s="460" t="n"/>
      <c r="T1618" s="460" t="n"/>
      <c r="U1618" s="460" t="n"/>
      <c r="V1618" s="460" t="n"/>
      <c r="W1618" s="461" t="n"/>
      <c r="X1618" s="461" t="n"/>
      <c r="Y1618" s="461" t="n"/>
      <c r="Z1618" s="461" t="n"/>
      <c r="AA1618" s="462" t="n"/>
      <c r="AB1618" s="462" t="n"/>
      <c r="AC1618" s="462" t="n"/>
      <c r="AD1618" s="462" t="n"/>
      <c r="AE1618" s="462" t="n"/>
      <c r="AF1618" s="462" t="n"/>
      <c r="AG1618" s="462" t="n"/>
      <c r="AH1618" s="462" t="n"/>
      <c r="AI1618" s="461" t="n"/>
      <c r="AJ1618" s="461" t="n"/>
      <c r="AK1618" s="463" t="n"/>
      <c r="AL1618" s="461" t="n"/>
      <c r="AM1618" s="461" t="n"/>
      <c r="AN1618" s="461" t="n"/>
      <c r="AO1618" s="461" t="n"/>
      <c r="AP1618" s="464" t="n"/>
      <c r="AQ1618" s="464" t="n"/>
      <c r="AR1618" s="461" t="n"/>
      <c r="AS1618" s="461" t="n"/>
      <c r="AT1618" s="461" t="n"/>
      <c r="AU1618" s="461" t="n"/>
      <c r="AV1618" s="461" t="n"/>
      <c r="AW1618" s="461" t="n"/>
      <c r="AX1618" s="461" t="n"/>
    </row>
    <row r="1619">
      <c r="A1619" s="413" t="n"/>
      <c r="B1619" s="413" t="n"/>
      <c r="C1619" s="413" t="n"/>
      <c r="D1619" s="414" t="n"/>
      <c r="E1619" s="414" t="n"/>
      <c r="F1619" s="414" t="n"/>
      <c r="G1619" s="414" t="n"/>
      <c r="H1619" s="414" t="n"/>
      <c r="J1619" s="457" t="n"/>
      <c r="K1619" s="457" t="n"/>
      <c r="L1619" s="458" t="n"/>
      <c r="M1619" s="458" t="n"/>
      <c r="N1619" s="458" t="n"/>
      <c r="O1619" s="459" t="n"/>
      <c r="P1619" s="460" t="n"/>
      <c r="Q1619" s="460" t="n"/>
      <c r="R1619" s="460" t="n"/>
      <c r="S1619" s="460" t="n"/>
      <c r="T1619" s="460" t="n"/>
      <c r="U1619" s="460" t="n"/>
      <c r="V1619" s="460" t="n"/>
      <c r="W1619" s="461" t="n"/>
      <c r="X1619" s="461" t="n"/>
      <c r="Y1619" s="461" t="n"/>
      <c r="Z1619" s="461" t="n"/>
      <c r="AA1619" s="462" t="n"/>
      <c r="AB1619" s="462" t="n"/>
      <c r="AC1619" s="462" t="n"/>
      <c r="AD1619" s="462" t="n"/>
      <c r="AE1619" s="462" t="n"/>
      <c r="AF1619" s="462" t="n"/>
      <c r="AG1619" s="462" t="n"/>
      <c r="AH1619" s="462" t="n"/>
      <c r="AI1619" s="461" t="n"/>
      <c r="AJ1619" s="461" t="n"/>
      <c r="AK1619" s="463" t="n"/>
      <c r="AL1619" s="461" t="n"/>
      <c r="AM1619" s="461" t="n"/>
      <c r="AN1619" s="461" t="n"/>
      <c r="AO1619" s="461" t="n"/>
      <c r="AP1619" s="464" t="n"/>
      <c r="AQ1619" s="464" t="n"/>
      <c r="AR1619" s="461" t="n"/>
      <c r="AS1619" s="461" t="n"/>
      <c r="AT1619" s="461" t="n"/>
      <c r="AU1619" s="461" t="n"/>
      <c r="AV1619" s="461" t="n"/>
      <c r="AW1619" s="461" t="n"/>
      <c r="AX1619" s="461" t="n"/>
    </row>
    <row r="1620">
      <c r="A1620" s="413" t="n"/>
      <c r="B1620" s="413" t="n"/>
      <c r="C1620" s="413" t="n"/>
      <c r="D1620" s="414" t="n"/>
      <c r="E1620" s="414" t="n"/>
      <c r="F1620" s="414" t="n"/>
      <c r="G1620" s="414" t="n"/>
      <c r="H1620" s="414" t="n"/>
      <c r="J1620" s="457" t="n"/>
      <c r="K1620" s="457" t="n"/>
      <c r="L1620" s="458" t="n"/>
      <c r="M1620" s="458" t="n"/>
      <c r="N1620" s="458" t="n"/>
      <c r="O1620" s="459" t="n"/>
      <c r="P1620" s="460" t="n"/>
      <c r="Q1620" s="460" t="n"/>
      <c r="R1620" s="460" t="n"/>
      <c r="S1620" s="460" t="n"/>
      <c r="T1620" s="460" t="n"/>
      <c r="U1620" s="460" t="n"/>
      <c r="V1620" s="460" t="n"/>
      <c r="W1620" s="461" t="n"/>
      <c r="X1620" s="461" t="n"/>
      <c r="Y1620" s="461" t="n"/>
      <c r="Z1620" s="461" t="n"/>
      <c r="AA1620" s="462" t="n"/>
      <c r="AB1620" s="462" t="n"/>
      <c r="AC1620" s="462" t="n"/>
      <c r="AD1620" s="462" t="n"/>
      <c r="AE1620" s="462" t="n"/>
      <c r="AF1620" s="462" t="n"/>
      <c r="AG1620" s="462" t="n"/>
      <c r="AH1620" s="462" t="n"/>
      <c r="AI1620" s="461" t="n"/>
      <c r="AJ1620" s="461" t="n"/>
      <c r="AK1620" s="463" t="n"/>
      <c r="AL1620" s="461" t="n"/>
      <c r="AM1620" s="461" t="n"/>
      <c r="AN1620" s="461" t="n"/>
      <c r="AO1620" s="461" t="n"/>
      <c r="AP1620" s="464" t="n"/>
      <c r="AQ1620" s="464" t="n"/>
      <c r="AR1620" s="461" t="n"/>
      <c r="AS1620" s="461" t="n"/>
      <c r="AT1620" s="461" t="n"/>
      <c r="AU1620" s="461" t="n"/>
      <c r="AV1620" s="461" t="n"/>
      <c r="AW1620" s="461" t="n"/>
      <c r="AX1620" s="461" t="n"/>
    </row>
    <row r="1621">
      <c r="A1621" s="413" t="n"/>
      <c r="B1621" s="413" t="n"/>
      <c r="C1621" s="413" t="n"/>
      <c r="D1621" s="414" t="n"/>
      <c r="E1621" s="414" t="n"/>
      <c r="F1621" s="414" t="n"/>
      <c r="G1621" s="414" t="n"/>
      <c r="H1621" s="414" t="n"/>
      <c r="J1621" s="457" t="n"/>
      <c r="K1621" s="457" t="n"/>
      <c r="L1621" s="458" t="n"/>
      <c r="M1621" s="458" t="n"/>
      <c r="N1621" s="458" t="n"/>
      <c r="O1621" s="459" t="n"/>
      <c r="P1621" s="460" t="n"/>
      <c r="Q1621" s="460" t="n"/>
      <c r="R1621" s="460" t="n"/>
      <c r="S1621" s="460" t="n"/>
      <c r="T1621" s="460" t="n"/>
      <c r="U1621" s="460" t="n"/>
      <c r="V1621" s="460" t="n"/>
      <c r="W1621" s="461" t="n"/>
      <c r="X1621" s="461" t="n"/>
      <c r="Y1621" s="461" t="n"/>
      <c r="Z1621" s="461" t="n"/>
      <c r="AA1621" s="462" t="n"/>
      <c r="AB1621" s="462" t="n"/>
      <c r="AC1621" s="462" t="n"/>
      <c r="AD1621" s="462" t="n"/>
      <c r="AE1621" s="462" t="n"/>
      <c r="AF1621" s="462" t="n"/>
      <c r="AG1621" s="462" t="n"/>
      <c r="AH1621" s="462" t="n"/>
      <c r="AI1621" s="461" t="n"/>
      <c r="AJ1621" s="461" t="n"/>
      <c r="AK1621" s="463" t="n"/>
      <c r="AL1621" s="461" t="n"/>
      <c r="AM1621" s="461" t="n"/>
      <c r="AN1621" s="461" t="n"/>
      <c r="AO1621" s="461" t="n"/>
      <c r="AP1621" s="464" t="n"/>
      <c r="AQ1621" s="464" t="n"/>
      <c r="AR1621" s="461" t="n"/>
      <c r="AS1621" s="461" t="n"/>
      <c r="AT1621" s="461" t="n"/>
      <c r="AU1621" s="461" t="n"/>
      <c r="AV1621" s="461" t="n"/>
      <c r="AW1621" s="461" t="n"/>
      <c r="AX1621" s="461" t="n"/>
    </row>
    <row r="1622">
      <c r="A1622" s="413" t="n"/>
      <c r="B1622" s="413" t="n"/>
      <c r="C1622" s="413" t="n"/>
      <c r="D1622" s="414" t="n"/>
      <c r="E1622" s="414" t="n"/>
      <c r="F1622" s="414" t="n"/>
      <c r="G1622" s="414" t="n"/>
      <c r="H1622" s="414" t="n"/>
      <c r="J1622" s="457" t="n"/>
      <c r="K1622" s="457" t="n"/>
      <c r="L1622" s="458" t="n"/>
      <c r="M1622" s="458" t="n"/>
      <c r="N1622" s="458" t="n"/>
      <c r="O1622" s="459" t="n"/>
      <c r="P1622" s="460" t="n"/>
      <c r="Q1622" s="460" t="n"/>
      <c r="R1622" s="460" t="n"/>
      <c r="S1622" s="460" t="n"/>
      <c r="T1622" s="460" t="n"/>
      <c r="U1622" s="460" t="n"/>
      <c r="V1622" s="460" t="n"/>
      <c r="W1622" s="461" t="n"/>
      <c r="X1622" s="461" t="n"/>
      <c r="Y1622" s="461" t="n"/>
      <c r="Z1622" s="461" t="n"/>
      <c r="AA1622" s="462" t="n"/>
      <c r="AB1622" s="462" t="n"/>
      <c r="AC1622" s="462" t="n"/>
      <c r="AD1622" s="462" t="n"/>
      <c r="AE1622" s="462" t="n"/>
      <c r="AF1622" s="462" t="n"/>
      <c r="AG1622" s="462" t="n"/>
      <c r="AH1622" s="462" t="n"/>
      <c r="AI1622" s="461" t="n"/>
      <c r="AJ1622" s="461" t="n"/>
      <c r="AK1622" s="463" t="n"/>
      <c r="AL1622" s="461" t="n"/>
      <c r="AM1622" s="461" t="n"/>
      <c r="AN1622" s="461" t="n"/>
      <c r="AO1622" s="461" t="n"/>
      <c r="AP1622" s="464" t="n"/>
      <c r="AQ1622" s="464" t="n"/>
      <c r="AR1622" s="461" t="n"/>
      <c r="AS1622" s="461" t="n"/>
      <c r="AT1622" s="461" t="n"/>
      <c r="AU1622" s="461" t="n"/>
      <c r="AV1622" s="461" t="n"/>
      <c r="AW1622" s="461" t="n"/>
      <c r="AX1622" s="461" t="n"/>
    </row>
    <row r="1623">
      <c r="A1623" s="413" t="n"/>
      <c r="B1623" s="413" t="n"/>
      <c r="C1623" s="413" t="n"/>
      <c r="D1623" s="414" t="n"/>
      <c r="E1623" s="414" t="n"/>
      <c r="F1623" s="414" t="n"/>
      <c r="G1623" s="414" t="n"/>
      <c r="H1623" s="414" t="n"/>
      <c r="J1623" s="457" t="n"/>
      <c r="K1623" s="457" t="n"/>
      <c r="L1623" s="458" t="n"/>
      <c r="M1623" s="458" t="n"/>
      <c r="N1623" s="458" t="n"/>
      <c r="O1623" s="459" t="n"/>
      <c r="P1623" s="460" t="n"/>
      <c r="Q1623" s="460" t="n"/>
      <c r="R1623" s="460" t="n"/>
      <c r="S1623" s="460" t="n"/>
      <c r="T1623" s="460" t="n"/>
      <c r="U1623" s="460" t="n"/>
      <c r="V1623" s="460" t="n"/>
      <c r="W1623" s="461" t="n"/>
      <c r="X1623" s="461" t="n"/>
      <c r="Y1623" s="461" t="n"/>
      <c r="Z1623" s="461" t="n"/>
      <c r="AA1623" s="462" t="n"/>
      <c r="AB1623" s="462" t="n"/>
      <c r="AC1623" s="462" t="n"/>
      <c r="AD1623" s="462" t="n"/>
      <c r="AE1623" s="462" t="n"/>
      <c r="AF1623" s="462" t="n"/>
      <c r="AG1623" s="462" t="n"/>
      <c r="AH1623" s="462" t="n"/>
      <c r="AI1623" s="461" t="n"/>
      <c r="AJ1623" s="461" t="n"/>
      <c r="AK1623" s="463" t="n"/>
      <c r="AL1623" s="461" t="n"/>
      <c r="AM1623" s="461" t="n"/>
      <c r="AN1623" s="461" t="n"/>
      <c r="AO1623" s="461" t="n"/>
      <c r="AP1623" s="464" t="n"/>
      <c r="AQ1623" s="464" t="n"/>
      <c r="AR1623" s="461" t="n"/>
      <c r="AS1623" s="461" t="n"/>
      <c r="AT1623" s="461" t="n"/>
      <c r="AU1623" s="461" t="n"/>
      <c r="AV1623" s="461" t="n"/>
      <c r="AW1623" s="461" t="n"/>
      <c r="AX1623" s="461" t="n"/>
    </row>
    <row r="1624">
      <c r="A1624" s="413" t="n"/>
      <c r="B1624" s="413" t="n"/>
      <c r="C1624" s="413" t="n"/>
      <c r="D1624" s="414" t="n"/>
      <c r="E1624" s="414" t="n"/>
      <c r="F1624" s="414" t="n"/>
      <c r="G1624" s="414" t="n"/>
      <c r="H1624" s="414" t="n"/>
      <c r="J1624" s="457" t="n"/>
      <c r="K1624" s="457" t="n"/>
      <c r="L1624" s="458" t="n"/>
      <c r="M1624" s="458" t="n"/>
      <c r="N1624" s="458" t="n"/>
      <c r="O1624" s="459" t="n"/>
      <c r="P1624" s="460" t="n"/>
      <c r="Q1624" s="460" t="n"/>
      <c r="R1624" s="460" t="n"/>
      <c r="S1624" s="460" t="n"/>
      <c r="T1624" s="460" t="n"/>
      <c r="U1624" s="460" t="n"/>
      <c r="V1624" s="460" t="n"/>
      <c r="W1624" s="461" t="n"/>
      <c r="X1624" s="461" t="n"/>
      <c r="Y1624" s="461" t="n"/>
      <c r="Z1624" s="461" t="n"/>
      <c r="AA1624" s="462" t="n"/>
      <c r="AB1624" s="462" t="n"/>
      <c r="AC1624" s="462" t="n"/>
      <c r="AD1624" s="462" t="n"/>
      <c r="AE1624" s="462" t="n"/>
      <c r="AF1624" s="462" t="n"/>
      <c r="AG1624" s="462" t="n"/>
      <c r="AH1624" s="462" t="n"/>
      <c r="AI1624" s="461" t="n"/>
      <c r="AJ1624" s="461" t="n"/>
      <c r="AK1624" s="463" t="n"/>
      <c r="AL1624" s="461" t="n"/>
      <c r="AM1624" s="461" t="n"/>
      <c r="AN1624" s="461" t="n"/>
      <c r="AO1624" s="461" t="n"/>
      <c r="AP1624" s="464" t="n"/>
      <c r="AQ1624" s="464" t="n"/>
      <c r="AR1624" s="461" t="n"/>
      <c r="AS1624" s="461" t="n"/>
      <c r="AT1624" s="461" t="n"/>
      <c r="AU1624" s="461" t="n"/>
      <c r="AV1624" s="461" t="n"/>
      <c r="AW1624" s="461" t="n"/>
      <c r="AX1624" s="461" t="n"/>
    </row>
    <row r="1625">
      <c r="A1625" s="413" t="n"/>
      <c r="B1625" s="413" t="n"/>
      <c r="C1625" s="413" t="n"/>
      <c r="D1625" s="414" t="n"/>
      <c r="E1625" s="414" t="n"/>
      <c r="F1625" s="414" t="n"/>
      <c r="G1625" s="414" t="n"/>
      <c r="H1625" s="414" t="n"/>
      <c r="J1625" s="457" t="n"/>
      <c r="K1625" s="457" t="n"/>
      <c r="L1625" s="458" t="n"/>
      <c r="M1625" s="458" t="n"/>
      <c r="N1625" s="458" t="n"/>
      <c r="O1625" s="459" t="n"/>
      <c r="P1625" s="460" t="n"/>
      <c r="Q1625" s="460" t="n"/>
      <c r="R1625" s="460" t="n"/>
      <c r="S1625" s="460" t="n"/>
      <c r="T1625" s="460" t="n"/>
      <c r="U1625" s="460" t="n"/>
      <c r="V1625" s="460" t="n"/>
      <c r="W1625" s="461" t="n"/>
      <c r="X1625" s="461" t="n"/>
      <c r="Y1625" s="461" t="n"/>
      <c r="Z1625" s="461" t="n"/>
      <c r="AA1625" s="462" t="n"/>
      <c r="AB1625" s="462" t="n"/>
      <c r="AC1625" s="462" t="n"/>
      <c r="AD1625" s="462" t="n"/>
      <c r="AE1625" s="462" t="n"/>
      <c r="AF1625" s="462" t="n"/>
      <c r="AG1625" s="462" t="n"/>
      <c r="AH1625" s="462" t="n"/>
      <c r="AI1625" s="461" t="n"/>
      <c r="AJ1625" s="461" t="n"/>
      <c r="AK1625" s="463" t="n"/>
      <c r="AL1625" s="461" t="n"/>
      <c r="AM1625" s="461" t="n"/>
      <c r="AN1625" s="461" t="n"/>
      <c r="AO1625" s="461" t="n"/>
      <c r="AP1625" s="464" t="n"/>
      <c r="AQ1625" s="464" t="n"/>
      <c r="AR1625" s="461" t="n"/>
      <c r="AS1625" s="461" t="n"/>
      <c r="AT1625" s="461" t="n"/>
      <c r="AU1625" s="461" t="n"/>
      <c r="AV1625" s="461" t="n"/>
      <c r="AW1625" s="461" t="n"/>
      <c r="AX1625" s="461" t="n"/>
    </row>
    <row r="1626">
      <c r="A1626" s="413" t="n"/>
      <c r="B1626" s="413" t="n"/>
      <c r="C1626" s="413" t="n"/>
      <c r="D1626" s="414" t="n"/>
      <c r="E1626" s="414" t="n"/>
      <c r="F1626" s="414" t="n"/>
      <c r="G1626" s="414" t="n"/>
      <c r="H1626" s="414" t="n"/>
      <c r="J1626" s="457" t="n"/>
      <c r="K1626" s="457" t="n"/>
      <c r="L1626" s="458" t="n"/>
      <c r="M1626" s="458" t="n"/>
      <c r="N1626" s="458" t="n"/>
      <c r="O1626" s="459" t="n"/>
      <c r="P1626" s="460" t="n"/>
      <c r="Q1626" s="460" t="n"/>
      <c r="R1626" s="460" t="n"/>
      <c r="S1626" s="460" t="n"/>
      <c r="T1626" s="460" t="n"/>
      <c r="U1626" s="460" t="n"/>
      <c r="V1626" s="460" t="n"/>
      <c r="W1626" s="461" t="n"/>
      <c r="X1626" s="461" t="n"/>
      <c r="Y1626" s="461" t="n"/>
      <c r="Z1626" s="461" t="n"/>
      <c r="AA1626" s="462" t="n"/>
      <c r="AB1626" s="462" t="n"/>
      <c r="AC1626" s="462" t="n"/>
      <c r="AD1626" s="462" t="n"/>
      <c r="AE1626" s="462" t="n"/>
      <c r="AF1626" s="462" t="n"/>
      <c r="AG1626" s="462" t="n"/>
      <c r="AH1626" s="462" t="n"/>
      <c r="AI1626" s="461" t="n"/>
      <c r="AJ1626" s="461" t="n"/>
      <c r="AK1626" s="463" t="n"/>
      <c r="AL1626" s="461" t="n"/>
      <c r="AM1626" s="461" t="n"/>
      <c r="AN1626" s="461" t="n"/>
      <c r="AO1626" s="461" t="n"/>
      <c r="AP1626" s="464" t="n"/>
      <c r="AQ1626" s="464" t="n"/>
      <c r="AR1626" s="461" t="n"/>
      <c r="AS1626" s="461" t="n"/>
      <c r="AT1626" s="461" t="n"/>
      <c r="AU1626" s="461" t="n"/>
      <c r="AV1626" s="461" t="n"/>
      <c r="AW1626" s="461" t="n"/>
      <c r="AX1626" s="461" t="n"/>
    </row>
    <row r="1627">
      <c r="A1627" s="413" t="n"/>
      <c r="B1627" s="413" t="n"/>
      <c r="C1627" s="413" t="n"/>
      <c r="D1627" s="414" t="n"/>
      <c r="E1627" s="414" t="n"/>
      <c r="F1627" s="414" t="n"/>
      <c r="G1627" s="414" t="n"/>
      <c r="H1627" s="414" t="n"/>
      <c r="J1627" s="457" t="n"/>
      <c r="K1627" s="457" t="n"/>
      <c r="L1627" s="458" t="n"/>
      <c r="M1627" s="458" t="n"/>
      <c r="N1627" s="458" t="n"/>
      <c r="O1627" s="459" t="n"/>
      <c r="P1627" s="460" t="n"/>
      <c r="Q1627" s="460" t="n"/>
      <c r="R1627" s="460" t="n"/>
      <c r="S1627" s="460" t="n"/>
      <c r="T1627" s="460" t="n"/>
      <c r="U1627" s="460" t="n"/>
      <c r="V1627" s="460" t="n"/>
      <c r="W1627" s="461" t="n"/>
      <c r="X1627" s="461" t="n"/>
      <c r="Y1627" s="461" t="n"/>
      <c r="Z1627" s="461" t="n"/>
      <c r="AA1627" s="462" t="n"/>
      <c r="AB1627" s="462" t="n"/>
      <c r="AC1627" s="462" t="n"/>
      <c r="AD1627" s="462" t="n"/>
      <c r="AE1627" s="462" t="n"/>
      <c r="AF1627" s="462" t="n"/>
      <c r="AG1627" s="462" t="n"/>
      <c r="AH1627" s="462" t="n"/>
      <c r="AI1627" s="461" t="n"/>
      <c r="AJ1627" s="461" t="n"/>
      <c r="AK1627" s="463" t="n"/>
      <c r="AL1627" s="461" t="n"/>
      <c r="AM1627" s="461" t="n"/>
      <c r="AN1627" s="461" t="n"/>
      <c r="AO1627" s="461" t="n"/>
      <c r="AP1627" s="464" t="n"/>
      <c r="AQ1627" s="464" t="n"/>
      <c r="AR1627" s="461" t="n"/>
      <c r="AS1627" s="461" t="n"/>
      <c r="AT1627" s="461" t="n"/>
      <c r="AU1627" s="461" t="n"/>
      <c r="AV1627" s="461" t="n"/>
      <c r="AW1627" s="461" t="n"/>
      <c r="AX1627" s="461" t="n"/>
    </row>
    <row r="1628">
      <c r="A1628" s="413" t="n"/>
      <c r="B1628" s="413" t="n"/>
      <c r="C1628" s="413" t="n"/>
      <c r="D1628" s="414" t="n"/>
      <c r="E1628" s="414" t="n"/>
      <c r="F1628" s="414" t="n"/>
      <c r="G1628" s="414" t="n"/>
      <c r="H1628" s="414" t="n"/>
      <c r="J1628" s="457" t="n"/>
      <c r="K1628" s="457" t="n"/>
      <c r="L1628" s="458" t="n"/>
      <c r="M1628" s="458" t="n"/>
      <c r="N1628" s="458" t="n"/>
      <c r="O1628" s="459" t="n"/>
      <c r="P1628" s="460" t="n"/>
      <c r="Q1628" s="460" t="n"/>
      <c r="R1628" s="460" t="n"/>
      <c r="S1628" s="460" t="n"/>
      <c r="T1628" s="460" t="n"/>
      <c r="U1628" s="460" t="n"/>
      <c r="V1628" s="460" t="n"/>
      <c r="W1628" s="461" t="n"/>
      <c r="X1628" s="461" t="n"/>
      <c r="Y1628" s="461" t="n"/>
      <c r="Z1628" s="461" t="n"/>
      <c r="AA1628" s="462" t="n"/>
      <c r="AB1628" s="462" t="n"/>
      <c r="AC1628" s="462" t="n"/>
      <c r="AD1628" s="462" t="n"/>
      <c r="AE1628" s="462" t="n"/>
      <c r="AF1628" s="462" t="n"/>
      <c r="AG1628" s="462" t="n"/>
      <c r="AH1628" s="462" t="n"/>
      <c r="AI1628" s="461" t="n"/>
      <c r="AJ1628" s="461" t="n"/>
      <c r="AK1628" s="463" t="n"/>
      <c r="AL1628" s="461" t="n"/>
      <c r="AM1628" s="461" t="n"/>
      <c r="AN1628" s="461" t="n"/>
      <c r="AO1628" s="461" t="n"/>
      <c r="AP1628" s="464" t="n"/>
      <c r="AQ1628" s="464" t="n"/>
      <c r="AR1628" s="461" t="n"/>
      <c r="AS1628" s="461" t="n"/>
      <c r="AT1628" s="461" t="n"/>
      <c r="AU1628" s="461" t="n"/>
      <c r="AV1628" s="461" t="n"/>
      <c r="AW1628" s="461" t="n"/>
      <c r="AX1628" s="461" t="n"/>
    </row>
    <row r="1629">
      <c r="A1629" s="413" t="n"/>
      <c r="B1629" s="413" t="n"/>
      <c r="C1629" s="413" t="n"/>
      <c r="D1629" s="414" t="n"/>
      <c r="E1629" s="414" t="n"/>
      <c r="F1629" s="414" t="n"/>
      <c r="G1629" s="414" t="n"/>
      <c r="H1629" s="414" t="n"/>
      <c r="J1629" s="457" t="n"/>
      <c r="K1629" s="457" t="n"/>
      <c r="L1629" s="458" t="n"/>
      <c r="M1629" s="458" t="n"/>
      <c r="N1629" s="458" t="n"/>
      <c r="O1629" s="459" t="n"/>
      <c r="P1629" s="460" t="n"/>
      <c r="Q1629" s="460" t="n"/>
      <c r="R1629" s="460" t="n"/>
      <c r="S1629" s="460" t="n"/>
      <c r="T1629" s="460" t="n"/>
      <c r="U1629" s="460" t="n"/>
      <c r="V1629" s="460" t="n"/>
      <c r="W1629" s="461" t="n"/>
      <c r="X1629" s="461" t="n"/>
      <c r="Y1629" s="461" t="n"/>
      <c r="Z1629" s="461" t="n"/>
      <c r="AA1629" s="462" t="n"/>
      <c r="AB1629" s="462" t="n"/>
      <c r="AC1629" s="462" t="n"/>
      <c r="AD1629" s="462" t="n"/>
      <c r="AE1629" s="462" t="n"/>
      <c r="AF1629" s="462" t="n"/>
      <c r="AG1629" s="462" t="n"/>
      <c r="AH1629" s="462" t="n"/>
      <c r="AI1629" s="461" t="n"/>
      <c r="AJ1629" s="461" t="n"/>
      <c r="AK1629" s="463" t="n"/>
      <c r="AL1629" s="461" t="n"/>
      <c r="AM1629" s="461" t="n"/>
      <c r="AN1629" s="461" t="n"/>
      <c r="AO1629" s="461" t="n"/>
      <c r="AP1629" s="464" t="n"/>
      <c r="AQ1629" s="464" t="n"/>
      <c r="AR1629" s="461" t="n"/>
      <c r="AS1629" s="461" t="n"/>
      <c r="AT1629" s="461" t="n"/>
      <c r="AU1629" s="461" t="n"/>
      <c r="AV1629" s="461" t="n"/>
      <c r="AW1629" s="461" t="n"/>
      <c r="AX1629" s="461" t="n"/>
    </row>
    <row r="1630">
      <c r="A1630" s="413" t="n"/>
      <c r="B1630" s="413" t="n"/>
      <c r="C1630" s="413" t="n"/>
      <c r="D1630" s="414" t="n"/>
      <c r="E1630" s="414" t="n"/>
      <c r="F1630" s="414" t="n"/>
      <c r="G1630" s="414" t="n"/>
      <c r="H1630" s="414" t="n"/>
      <c r="J1630" s="457" t="n"/>
      <c r="K1630" s="457" t="n"/>
      <c r="L1630" s="458" t="n"/>
      <c r="M1630" s="458" t="n"/>
      <c r="N1630" s="458" t="n"/>
      <c r="O1630" s="459" t="n"/>
      <c r="P1630" s="460" t="n"/>
      <c r="Q1630" s="460" t="n"/>
      <c r="R1630" s="460" t="n"/>
      <c r="S1630" s="460" t="n"/>
      <c r="T1630" s="460" t="n"/>
      <c r="U1630" s="460" t="n"/>
      <c r="V1630" s="460" t="n"/>
      <c r="W1630" s="461" t="n"/>
      <c r="X1630" s="461" t="n"/>
      <c r="Y1630" s="461" t="n"/>
      <c r="Z1630" s="461" t="n"/>
      <c r="AA1630" s="462" t="n"/>
      <c r="AB1630" s="462" t="n"/>
      <c r="AC1630" s="462" t="n"/>
      <c r="AD1630" s="462" t="n"/>
      <c r="AE1630" s="462" t="n"/>
      <c r="AF1630" s="462" t="n"/>
      <c r="AG1630" s="462" t="n"/>
      <c r="AH1630" s="462" t="n"/>
      <c r="AI1630" s="461" t="n"/>
      <c r="AJ1630" s="461" t="n"/>
      <c r="AK1630" s="463" t="n"/>
      <c r="AL1630" s="461" t="n"/>
      <c r="AM1630" s="461" t="n"/>
      <c r="AN1630" s="461" t="n"/>
      <c r="AO1630" s="461" t="n"/>
      <c r="AP1630" s="464" t="n"/>
      <c r="AQ1630" s="464" t="n"/>
      <c r="AR1630" s="461" t="n"/>
      <c r="AS1630" s="461" t="n"/>
      <c r="AT1630" s="461" t="n"/>
      <c r="AU1630" s="461" t="n"/>
      <c r="AV1630" s="461" t="n"/>
      <c r="AW1630" s="461" t="n"/>
      <c r="AX1630" s="461" t="n"/>
    </row>
    <row r="1631">
      <c r="A1631" s="413" t="n"/>
      <c r="B1631" s="413" t="n"/>
      <c r="C1631" s="413" t="n"/>
      <c r="D1631" s="414" t="n"/>
      <c r="E1631" s="414" t="n"/>
      <c r="F1631" s="414" t="n"/>
      <c r="G1631" s="414" t="n"/>
      <c r="H1631" s="414" t="n"/>
      <c r="J1631" s="457" t="n"/>
      <c r="K1631" s="457" t="n"/>
      <c r="L1631" s="458" t="n"/>
      <c r="M1631" s="458" t="n"/>
      <c r="N1631" s="458" t="n"/>
      <c r="O1631" s="459" t="n"/>
      <c r="P1631" s="460" t="n"/>
      <c r="Q1631" s="460" t="n"/>
      <c r="R1631" s="460" t="n"/>
      <c r="S1631" s="460" t="n"/>
      <c r="T1631" s="460" t="n"/>
      <c r="U1631" s="460" t="n"/>
      <c r="V1631" s="460" t="n"/>
      <c r="W1631" s="461" t="n"/>
      <c r="X1631" s="461" t="n"/>
      <c r="Y1631" s="461" t="n"/>
      <c r="Z1631" s="461" t="n"/>
      <c r="AA1631" s="462" t="n"/>
      <c r="AB1631" s="462" t="n"/>
      <c r="AC1631" s="462" t="n"/>
      <c r="AD1631" s="462" t="n"/>
      <c r="AE1631" s="462" t="n"/>
      <c r="AF1631" s="462" t="n"/>
      <c r="AG1631" s="462" t="n"/>
      <c r="AH1631" s="462" t="n"/>
      <c r="AI1631" s="461" t="n"/>
      <c r="AJ1631" s="461" t="n"/>
      <c r="AK1631" s="463" t="n"/>
      <c r="AL1631" s="461" t="n"/>
      <c r="AM1631" s="461" t="n"/>
      <c r="AN1631" s="461" t="n"/>
      <c r="AO1631" s="461" t="n"/>
      <c r="AP1631" s="464" t="n"/>
      <c r="AQ1631" s="464" t="n"/>
      <c r="AR1631" s="461" t="n"/>
      <c r="AS1631" s="461" t="n"/>
      <c r="AT1631" s="461" t="n"/>
      <c r="AU1631" s="461" t="n"/>
      <c r="AV1631" s="461" t="n"/>
      <c r="AW1631" s="461" t="n"/>
      <c r="AX1631" s="461" t="n"/>
    </row>
    <row r="1632">
      <c r="A1632" s="413" t="n"/>
      <c r="B1632" s="413" t="n"/>
      <c r="C1632" s="413" t="n"/>
      <c r="D1632" s="414" t="n"/>
      <c r="E1632" s="414" t="n"/>
      <c r="F1632" s="414" t="n"/>
      <c r="G1632" s="414" t="n"/>
      <c r="H1632" s="414" t="n"/>
      <c r="J1632" s="457" t="n"/>
      <c r="K1632" s="457" t="n"/>
      <c r="L1632" s="458" t="n"/>
      <c r="M1632" s="458" t="n"/>
      <c r="N1632" s="458" t="n"/>
      <c r="O1632" s="459" t="n"/>
      <c r="P1632" s="460" t="n"/>
      <c r="Q1632" s="460" t="n"/>
      <c r="R1632" s="460" t="n"/>
      <c r="S1632" s="460" t="n"/>
      <c r="T1632" s="460" t="n"/>
      <c r="U1632" s="460" t="n"/>
      <c r="V1632" s="460" t="n"/>
      <c r="W1632" s="461" t="n"/>
      <c r="X1632" s="461" t="n"/>
      <c r="Y1632" s="461" t="n"/>
      <c r="Z1632" s="461" t="n"/>
      <c r="AA1632" s="462" t="n"/>
      <c r="AB1632" s="462" t="n"/>
      <c r="AC1632" s="462" t="n"/>
      <c r="AD1632" s="462" t="n"/>
      <c r="AE1632" s="462" t="n"/>
      <c r="AF1632" s="462" t="n"/>
      <c r="AG1632" s="462" t="n"/>
      <c r="AH1632" s="462" t="n"/>
      <c r="AI1632" s="461" t="n"/>
      <c r="AJ1632" s="461" t="n"/>
      <c r="AK1632" s="463" t="n"/>
      <c r="AL1632" s="461" t="n"/>
      <c r="AM1632" s="461" t="n"/>
      <c r="AN1632" s="461" t="n"/>
      <c r="AO1632" s="461" t="n"/>
      <c r="AP1632" s="464" t="n"/>
      <c r="AQ1632" s="464" t="n"/>
      <c r="AR1632" s="461" t="n"/>
      <c r="AS1632" s="461" t="n"/>
      <c r="AT1632" s="461" t="n"/>
      <c r="AU1632" s="461" t="n"/>
      <c r="AV1632" s="461" t="n"/>
      <c r="AW1632" s="461" t="n"/>
      <c r="AX1632" s="461" t="n"/>
    </row>
    <row r="1633">
      <c r="A1633" s="413" t="n"/>
      <c r="B1633" s="413" t="n"/>
      <c r="C1633" s="413" t="n"/>
      <c r="D1633" s="414" t="n"/>
      <c r="E1633" s="414" t="n"/>
      <c r="F1633" s="414" t="n"/>
      <c r="G1633" s="414" t="n"/>
      <c r="H1633" s="414" t="n"/>
      <c r="J1633" s="457" t="n"/>
      <c r="K1633" s="457" t="n"/>
      <c r="L1633" s="458" t="n"/>
      <c r="M1633" s="458" t="n"/>
      <c r="N1633" s="458" t="n"/>
      <c r="O1633" s="459" t="n"/>
      <c r="P1633" s="460" t="n"/>
      <c r="Q1633" s="460" t="n"/>
      <c r="R1633" s="460" t="n"/>
      <c r="S1633" s="460" t="n"/>
      <c r="T1633" s="460" t="n"/>
      <c r="U1633" s="460" t="n"/>
      <c r="V1633" s="460" t="n"/>
      <c r="W1633" s="461" t="n"/>
      <c r="X1633" s="461" t="n"/>
      <c r="Y1633" s="461" t="n"/>
      <c r="Z1633" s="461" t="n"/>
      <c r="AA1633" s="462" t="n"/>
      <c r="AB1633" s="462" t="n"/>
      <c r="AC1633" s="462" t="n"/>
      <c r="AD1633" s="462" t="n"/>
      <c r="AE1633" s="462" t="n"/>
      <c r="AF1633" s="462" t="n"/>
      <c r="AG1633" s="462" t="n"/>
      <c r="AH1633" s="462" t="n"/>
      <c r="AI1633" s="461" t="n"/>
      <c r="AJ1633" s="461" t="n"/>
      <c r="AK1633" s="463" t="n"/>
      <c r="AL1633" s="461" t="n"/>
      <c r="AM1633" s="461" t="n"/>
      <c r="AN1633" s="461" t="n"/>
      <c r="AO1633" s="461" t="n"/>
      <c r="AP1633" s="464" t="n"/>
      <c r="AQ1633" s="464" t="n"/>
      <c r="AR1633" s="461" t="n"/>
      <c r="AS1633" s="461" t="n"/>
      <c r="AT1633" s="461" t="n"/>
      <c r="AU1633" s="461" t="n"/>
      <c r="AV1633" s="461" t="n"/>
      <c r="AW1633" s="461" t="n"/>
      <c r="AX1633" s="461" t="n"/>
    </row>
    <row r="1634">
      <c r="A1634" s="413" t="n"/>
      <c r="B1634" s="413" t="n"/>
      <c r="C1634" s="413" t="n"/>
      <c r="D1634" s="414" t="n"/>
      <c r="E1634" s="414" t="n"/>
      <c r="F1634" s="414" t="n"/>
      <c r="G1634" s="414" t="n"/>
      <c r="H1634" s="414" t="n"/>
      <c r="J1634" s="457" t="n"/>
      <c r="K1634" s="457" t="n"/>
      <c r="L1634" s="458" t="n"/>
      <c r="M1634" s="458" t="n"/>
      <c r="N1634" s="458" t="n"/>
      <c r="O1634" s="459" t="n"/>
      <c r="P1634" s="460" t="n"/>
      <c r="Q1634" s="460" t="n"/>
      <c r="R1634" s="460" t="n"/>
      <c r="S1634" s="460" t="n"/>
      <c r="T1634" s="460" t="n"/>
      <c r="U1634" s="460" t="n"/>
      <c r="V1634" s="460" t="n"/>
      <c r="W1634" s="461" t="n"/>
      <c r="X1634" s="461" t="n"/>
      <c r="Y1634" s="461" t="n"/>
      <c r="Z1634" s="461" t="n"/>
      <c r="AA1634" s="462" t="n"/>
      <c r="AB1634" s="462" t="n"/>
      <c r="AC1634" s="462" t="n"/>
      <c r="AD1634" s="462" t="n"/>
      <c r="AE1634" s="462" t="n"/>
      <c r="AF1634" s="462" t="n"/>
      <c r="AG1634" s="462" t="n"/>
      <c r="AH1634" s="462" t="n"/>
      <c r="AI1634" s="461" t="n"/>
      <c r="AJ1634" s="461" t="n"/>
      <c r="AK1634" s="463" t="n"/>
      <c r="AL1634" s="461" t="n"/>
      <c r="AM1634" s="461" t="n"/>
      <c r="AN1634" s="461" t="n"/>
      <c r="AO1634" s="461" t="n"/>
      <c r="AP1634" s="464" t="n"/>
      <c r="AQ1634" s="464" t="n"/>
      <c r="AR1634" s="461" t="n"/>
      <c r="AS1634" s="461" t="n"/>
      <c r="AT1634" s="461" t="n"/>
      <c r="AU1634" s="461" t="n"/>
      <c r="AV1634" s="461" t="n"/>
      <c r="AW1634" s="461" t="n"/>
      <c r="AX1634" s="461" t="n"/>
    </row>
    <row r="1635">
      <c r="A1635" s="413" t="n"/>
      <c r="B1635" s="413" t="n"/>
      <c r="C1635" s="413" t="n"/>
      <c r="D1635" s="414" t="n"/>
      <c r="E1635" s="414" t="n"/>
      <c r="F1635" s="414" t="n"/>
      <c r="G1635" s="414" t="n"/>
      <c r="H1635" s="414" t="n"/>
      <c r="J1635" s="457" t="n"/>
      <c r="K1635" s="457" t="n"/>
      <c r="L1635" s="458" t="n"/>
      <c r="M1635" s="458" t="n"/>
      <c r="N1635" s="458" t="n"/>
      <c r="O1635" s="459" t="n"/>
      <c r="P1635" s="460" t="n"/>
      <c r="Q1635" s="460" t="n"/>
      <c r="R1635" s="460" t="n"/>
      <c r="S1635" s="460" t="n"/>
      <c r="T1635" s="460" t="n"/>
      <c r="U1635" s="460" t="n"/>
      <c r="V1635" s="460" t="n"/>
      <c r="W1635" s="461" t="n"/>
      <c r="X1635" s="461" t="n"/>
      <c r="Y1635" s="461" t="n"/>
      <c r="Z1635" s="461" t="n"/>
      <c r="AA1635" s="462" t="n"/>
      <c r="AB1635" s="462" t="n"/>
      <c r="AC1635" s="462" t="n"/>
      <c r="AD1635" s="462" t="n"/>
      <c r="AE1635" s="462" t="n"/>
      <c r="AF1635" s="462" t="n"/>
      <c r="AG1635" s="462" t="n"/>
      <c r="AH1635" s="462" t="n"/>
      <c r="AI1635" s="461" t="n"/>
      <c r="AJ1635" s="461" t="n"/>
      <c r="AK1635" s="463" t="n"/>
      <c r="AL1635" s="461" t="n"/>
      <c r="AM1635" s="461" t="n"/>
      <c r="AN1635" s="461" t="n"/>
      <c r="AO1635" s="461" t="n"/>
      <c r="AP1635" s="464" t="n"/>
      <c r="AQ1635" s="464" t="n"/>
      <c r="AR1635" s="461" t="n"/>
      <c r="AS1635" s="461" t="n"/>
      <c r="AT1635" s="461" t="n"/>
      <c r="AU1635" s="461" t="n"/>
      <c r="AV1635" s="461" t="n"/>
      <c r="AW1635" s="461" t="n"/>
      <c r="AX1635" s="461" t="n"/>
    </row>
    <row r="1636">
      <c r="A1636" s="413" t="n"/>
      <c r="B1636" s="413" t="n"/>
      <c r="C1636" s="413" t="n"/>
      <c r="D1636" s="414" t="n"/>
      <c r="E1636" s="414" t="n"/>
      <c r="F1636" s="414" t="n"/>
      <c r="G1636" s="414" t="n"/>
      <c r="H1636" s="414" t="n"/>
      <c r="J1636" s="457" t="n"/>
      <c r="K1636" s="457" t="n"/>
      <c r="L1636" s="458" t="n"/>
      <c r="M1636" s="458" t="n"/>
      <c r="N1636" s="458" t="n"/>
      <c r="O1636" s="459" t="n"/>
      <c r="P1636" s="460" t="n"/>
      <c r="Q1636" s="460" t="n"/>
      <c r="R1636" s="460" t="n"/>
      <c r="S1636" s="460" t="n"/>
      <c r="T1636" s="460" t="n"/>
      <c r="U1636" s="460" t="n"/>
      <c r="V1636" s="460" t="n"/>
      <c r="W1636" s="461" t="n"/>
      <c r="X1636" s="461" t="n"/>
      <c r="Y1636" s="461" t="n"/>
      <c r="Z1636" s="461" t="n"/>
      <c r="AA1636" s="462" t="n"/>
      <c r="AB1636" s="462" t="n"/>
      <c r="AC1636" s="462" t="n"/>
      <c r="AD1636" s="462" t="n"/>
      <c r="AE1636" s="462" t="n"/>
      <c r="AF1636" s="462" t="n"/>
      <c r="AG1636" s="462" t="n"/>
      <c r="AH1636" s="462" t="n"/>
      <c r="AI1636" s="461" t="n"/>
      <c r="AJ1636" s="461" t="n"/>
      <c r="AK1636" s="463" t="n"/>
      <c r="AL1636" s="461" t="n"/>
      <c r="AM1636" s="461" t="n"/>
      <c r="AN1636" s="461" t="n"/>
      <c r="AO1636" s="461" t="n"/>
      <c r="AP1636" s="464" t="n"/>
      <c r="AQ1636" s="464" t="n"/>
      <c r="AR1636" s="461" t="n"/>
      <c r="AS1636" s="461" t="n"/>
      <c r="AT1636" s="461" t="n"/>
      <c r="AU1636" s="461" t="n"/>
      <c r="AV1636" s="461" t="n"/>
      <c r="AW1636" s="461" t="n"/>
      <c r="AX1636" s="461" t="n"/>
    </row>
    <row r="1637">
      <c r="A1637" s="413" t="n"/>
      <c r="B1637" s="413" t="n"/>
      <c r="C1637" s="413" t="n"/>
      <c r="D1637" s="414" t="n"/>
      <c r="E1637" s="414" t="n"/>
      <c r="F1637" s="414" t="n"/>
      <c r="G1637" s="414" t="n"/>
      <c r="H1637" s="414" t="n"/>
      <c r="J1637" s="457" t="n"/>
      <c r="K1637" s="457" t="n"/>
      <c r="L1637" s="458" t="n"/>
      <c r="M1637" s="458" t="n"/>
      <c r="N1637" s="458" t="n"/>
      <c r="O1637" s="459" t="n"/>
      <c r="P1637" s="460" t="n"/>
      <c r="Q1637" s="460" t="n"/>
      <c r="R1637" s="460" t="n"/>
      <c r="S1637" s="460" t="n"/>
      <c r="T1637" s="460" t="n"/>
      <c r="U1637" s="460" t="n"/>
      <c r="V1637" s="460" t="n"/>
      <c r="W1637" s="461" t="n"/>
      <c r="X1637" s="461" t="n"/>
      <c r="Y1637" s="461" t="n"/>
      <c r="Z1637" s="461" t="n"/>
      <c r="AA1637" s="462" t="n"/>
      <c r="AB1637" s="462" t="n"/>
      <c r="AC1637" s="462" t="n"/>
      <c r="AD1637" s="462" t="n"/>
      <c r="AE1637" s="462" t="n"/>
      <c r="AF1637" s="462" t="n"/>
      <c r="AG1637" s="462" t="n"/>
      <c r="AH1637" s="462" t="n"/>
      <c r="AI1637" s="461" t="n"/>
      <c r="AJ1637" s="461" t="n"/>
      <c r="AK1637" s="463" t="n"/>
      <c r="AL1637" s="461" t="n"/>
      <c r="AM1637" s="461" t="n"/>
      <c r="AN1637" s="461" t="n"/>
      <c r="AO1637" s="461" t="n"/>
      <c r="AP1637" s="464" t="n"/>
      <c r="AQ1637" s="464" t="n"/>
      <c r="AR1637" s="461" t="n"/>
      <c r="AS1637" s="461" t="n"/>
      <c r="AT1637" s="461" t="n"/>
      <c r="AU1637" s="461" t="n"/>
      <c r="AV1637" s="461" t="n"/>
      <c r="AW1637" s="461" t="n"/>
      <c r="AX1637" s="461" t="n"/>
    </row>
    <row r="1638">
      <c r="A1638" s="413" t="n"/>
      <c r="B1638" s="413" t="n"/>
      <c r="C1638" s="413" t="n"/>
      <c r="D1638" s="414" t="n"/>
      <c r="E1638" s="414" t="n"/>
      <c r="F1638" s="414" t="n"/>
      <c r="G1638" s="414" t="n"/>
      <c r="H1638" s="414" t="n"/>
      <c r="J1638" s="457" t="n"/>
      <c r="K1638" s="457" t="n"/>
      <c r="L1638" s="458" t="n"/>
      <c r="M1638" s="458" t="n"/>
      <c r="N1638" s="458" t="n"/>
      <c r="O1638" s="459" t="n"/>
      <c r="P1638" s="460" t="n"/>
      <c r="Q1638" s="460" t="n"/>
      <c r="R1638" s="460" t="n"/>
      <c r="S1638" s="460" t="n"/>
      <c r="T1638" s="460" t="n"/>
      <c r="U1638" s="460" t="n"/>
      <c r="V1638" s="460" t="n"/>
      <c r="W1638" s="461" t="n"/>
      <c r="X1638" s="461" t="n"/>
      <c r="Y1638" s="461" t="n"/>
      <c r="Z1638" s="461" t="n"/>
      <c r="AA1638" s="462" t="n"/>
      <c r="AB1638" s="462" t="n"/>
      <c r="AC1638" s="462" t="n"/>
      <c r="AD1638" s="462" t="n"/>
      <c r="AE1638" s="462" t="n"/>
      <c r="AF1638" s="462" t="n"/>
      <c r="AG1638" s="462" t="n"/>
      <c r="AH1638" s="462" t="n"/>
      <c r="AI1638" s="461" t="n"/>
      <c r="AJ1638" s="461" t="n"/>
      <c r="AK1638" s="463" t="n"/>
      <c r="AL1638" s="461" t="n"/>
      <c r="AM1638" s="461" t="n"/>
      <c r="AN1638" s="461" t="n"/>
      <c r="AO1638" s="461" t="n"/>
      <c r="AP1638" s="464" t="n"/>
      <c r="AQ1638" s="464" t="n"/>
      <c r="AR1638" s="461" t="n"/>
      <c r="AS1638" s="461" t="n"/>
      <c r="AT1638" s="461" t="n"/>
      <c r="AU1638" s="461" t="n"/>
      <c r="AV1638" s="461" t="n"/>
      <c r="AW1638" s="461" t="n"/>
      <c r="AX1638" s="461" t="n"/>
    </row>
    <row r="1639">
      <c r="A1639" s="413" t="n"/>
      <c r="B1639" s="413" t="n"/>
      <c r="C1639" s="413" t="n"/>
      <c r="D1639" s="414" t="n"/>
      <c r="E1639" s="414" t="n"/>
      <c r="F1639" s="414" t="n"/>
      <c r="G1639" s="414" t="n"/>
      <c r="H1639" s="414" t="n"/>
      <c r="J1639" s="457" t="n"/>
      <c r="K1639" s="457" t="n"/>
      <c r="L1639" s="458" t="n"/>
      <c r="M1639" s="458" t="n"/>
      <c r="N1639" s="458" t="n"/>
      <c r="O1639" s="459" t="n"/>
      <c r="P1639" s="460" t="n"/>
      <c r="Q1639" s="460" t="n"/>
      <c r="R1639" s="460" t="n"/>
      <c r="S1639" s="460" t="n"/>
      <c r="T1639" s="460" t="n"/>
      <c r="U1639" s="460" t="n"/>
      <c r="V1639" s="460" t="n"/>
      <c r="W1639" s="461" t="n"/>
      <c r="X1639" s="461" t="n"/>
      <c r="Y1639" s="461" t="n"/>
      <c r="Z1639" s="461" t="n"/>
      <c r="AA1639" s="462" t="n"/>
      <c r="AB1639" s="462" t="n"/>
      <c r="AC1639" s="462" t="n"/>
      <c r="AD1639" s="462" t="n"/>
      <c r="AE1639" s="462" t="n"/>
      <c r="AF1639" s="462" t="n"/>
      <c r="AG1639" s="462" t="n"/>
      <c r="AH1639" s="462" t="n"/>
      <c r="AI1639" s="461" t="n"/>
      <c r="AJ1639" s="461" t="n"/>
      <c r="AK1639" s="463" t="n"/>
      <c r="AL1639" s="461" t="n"/>
      <c r="AM1639" s="461" t="n"/>
      <c r="AN1639" s="461" t="n"/>
      <c r="AO1639" s="461" t="n"/>
      <c r="AP1639" s="464" t="n"/>
      <c r="AQ1639" s="464" t="n"/>
      <c r="AR1639" s="461" t="n"/>
      <c r="AS1639" s="461" t="n"/>
      <c r="AT1639" s="461" t="n"/>
      <c r="AU1639" s="461" t="n"/>
      <c r="AV1639" s="461" t="n"/>
      <c r="AW1639" s="461" t="n"/>
      <c r="AX1639" s="461" t="n"/>
    </row>
    <row r="1640">
      <c r="A1640" s="413" t="n"/>
      <c r="B1640" s="413" t="n"/>
      <c r="C1640" s="413" t="n"/>
      <c r="D1640" s="414" t="n"/>
      <c r="E1640" s="414" t="n"/>
      <c r="F1640" s="414" t="n"/>
      <c r="G1640" s="414" t="n"/>
      <c r="H1640" s="414" t="n"/>
      <c r="J1640" s="457" t="n"/>
      <c r="K1640" s="457" t="n"/>
      <c r="L1640" s="458" t="n"/>
      <c r="M1640" s="458" t="n"/>
      <c r="N1640" s="458" t="n"/>
      <c r="O1640" s="459" t="n"/>
      <c r="P1640" s="460" t="n"/>
      <c r="Q1640" s="460" t="n"/>
      <c r="R1640" s="460" t="n"/>
      <c r="S1640" s="460" t="n"/>
      <c r="T1640" s="460" t="n"/>
      <c r="U1640" s="460" t="n"/>
      <c r="V1640" s="460" t="n"/>
      <c r="W1640" s="461" t="n"/>
      <c r="X1640" s="461" t="n"/>
      <c r="Y1640" s="461" t="n"/>
      <c r="Z1640" s="461" t="n"/>
      <c r="AA1640" s="462" t="n"/>
      <c r="AB1640" s="462" t="n"/>
      <c r="AC1640" s="462" t="n"/>
      <c r="AD1640" s="462" t="n"/>
      <c r="AE1640" s="462" t="n"/>
      <c r="AF1640" s="462" t="n"/>
      <c r="AG1640" s="462" t="n"/>
      <c r="AH1640" s="462" t="n"/>
      <c r="AI1640" s="461" t="n"/>
      <c r="AJ1640" s="461" t="n"/>
      <c r="AK1640" s="463" t="n"/>
      <c r="AL1640" s="461" t="n"/>
      <c r="AM1640" s="461" t="n"/>
      <c r="AN1640" s="461" t="n"/>
      <c r="AO1640" s="461" t="n"/>
      <c r="AP1640" s="464" t="n"/>
      <c r="AQ1640" s="464" t="n"/>
      <c r="AR1640" s="461" t="n"/>
      <c r="AS1640" s="461" t="n"/>
      <c r="AT1640" s="461" t="n"/>
      <c r="AU1640" s="461" t="n"/>
      <c r="AV1640" s="461" t="n"/>
      <c r="AW1640" s="461" t="n"/>
      <c r="AX1640" s="461" t="n"/>
    </row>
    <row r="1641">
      <c r="A1641" s="413" t="n"/>
      <c r="B1641" s="413" t="n"/>
      <c r="C1641" s="413" t="n"/>
      <c r="D1641" s="414" t="n"/>
      <c r="E1641" s="414" t="n"/>
      <c r="F1641" s="414" t="n"/>
      <c r="G1641" s="414" t="n"/>
      <c r="H1641" s="414" t="n"/>
      <c r="J1641" s="457" t="n"/>
      <c r="K1641" s="457" t="n"/>
      <c r="L1641" s="458" t="n"/>
      <c r="M1641" s="458" t="n"/>
      <c r="N1641" s="458" t="n"/>
      <c r="O1641" s="459" t="n"/>
      <c r="P1641" s="460" t="n"/>
      <c r="Q1641" s="460" t="n"/>
      <c r="R1641" s="460" t="n"/>
      <c r="S1641" s="460" t="n"/>
      <c r="T1641" s="460" t="n"/>
      <c r="U1641" s="460" t="n"/>
      <c r="V1641" s="460" t="n"/>
      <c r="W1641" s="461" t="n"/>
      <c r="X1641" s="461" t="n"/>
      <c r="Y1641" s="461" t="n"/>
      <c r="Z1641" s="461" t="n"/>
      <c r="AA1641" s="462" t="n"/>
      <c r="AB1641" s="462" t="n"/>
      <c r="AC1641" s="462" t="n"/>
      <c r="AD1641" s="462" t="n"/>
      <c r="AE1641" s="462" t="n"/>
      <c r="AF1641" s="462" t="n"/>
      <c r="AG1641" s="462" t="n"/>
      <c r="AH1641" s="462" t="n"/>
      <c r="AI1641" s="461" t="n"/>
      <c r="AJ1641" s="461" t="n"/>
      <c r="AK1641" s="463" t="n"/>
      <c r="AL1641" s="461" t="n"/>
      <c r="AM1641" s="461" t="n"/>
      <c r="AN1641" s="461" t="n"/>
      <c r="AO1641" s="461" t="n"/>
      <c r="AP1641" s="464" t="n"/>
      <c r="AQ1641" s="464" t="n"/>
      <c r="AR1641" s="461" t="n"/>
      <c r="AS1641" s="461" t="n"/>
      <c r="AT1641" s="461" t="n"/>
      <c r="AU1641" s="461" t="n"/>
      <c r="AV1641" s="461" t="n"/>
      <c r="AW1641" s="461" t="n"/>
      <c r="AX1641" s="461" t="n"/>
    </row>
    <row r="1642">
      <c r="A1642" s="413" t="n"/>
      <c r="B1642" s="413" t="n"/>
      <c r="C1642" s="413" t="n"/>
      <c r="D1642" s="414" t="n"/>
      <c r="E1642" s="414" t="n"/>
      <c r="F1642" s="414" t="n"/>
      <c r="G1642" s="414" t="n"/>
      <c r="H1642" s="414" t="n"/>
      <c r="J1642" s="457" t="n"/>
      <c r="K1642" s="457" t="n"/>
      <c r="L1642" s="458" t="n"/>
      <c r="M1642" s="458" t="n"/>
      <c r="N1642" s="458" t="n"/>
      <c r="O1642" s="459" t="n"/>
      <c r="P1642" s="460" t="n"/>
      <c r="Q1642" s="460" t="n"/>
      <c r="R1642" s="460" t="n"/>
      <c r="S1642" s="460" t="n"/>
      <c r="T1642" s="460" t="n"/>
      <c r="U1642" s="460" t="n"/>
      <c r="V1642" s="460" t="n"/>
      <c r="W1642" s="461" t="n"/>
      <c r="X1642" s="461" t="n"/>
      <c r="Y1642" s="461" t="n"/>
      <c r="Z1642" s="461" t="n"/>
      <c r="AA1642" s="462" t="n"/>
      <c r="AB1642" s="462" t="n"/>
      <c r="AC1642" s="462" t="n"/>
      <c r="AD1642" s="462" t="n"/>
      <c r="AE1642" s="462" t="n"/>
      <c r="AF1642" s="462" t="n"/>
      <c r="AG1642" s="462" t="n"/>
      <c r="AH1642" s="462" t="n"/>
      <c r="AI1642" s="461" t="n"/>
      <c r="AJ1642" s="461" t="n"/>
      <c r="AK1642" s="463" t="n"/>
      <c r="AL1642" s="461" t="n"/>
      <c r="AM1642" s="461" t="n"/>
      <c r="AN1642" s="461" t="n"/>
      <c r="AO1642" s="461" t="n"/>
      <c r="AP1642" s="464" t="n"/>
      <c r="AQ1642" s="464" t="n"/>
      <c r="AR1642" s="461" t="n"/>
      <c r="AS1642" s="461" t="n"/>
      <c r="AT1642" s="461" t="n"/>
      <c r="AU1642" s="461" t="n"/>
      <c r="AV1642" s="461" t="n"/>
      <c r="AW1642" s="461" t="n"/>
      <c r="AX1642" s="461" t="n"/>
    </row>
    <row r="1643">
      <c r="A1643" s="413" t="n"/>
      <c r="B1643" s="413" t="n"/>
      <c r="C1643" s="413" t="n"/>
      <c r="D1643" s="414" t="n"/>
      <c r="E1643" s="414" t="n"/>
      <c r="F1643" s="414" t="n"/>
      <c r="G1643" s="414" t="n"/>
      <c r="H1643" s="414" t="n"/>
      <c r="J1643" s="457" t="n"/>
      <c r="K1643" s="457" t="n"/>
      <c r="L1643" s="458" t="n"/>
      <c r="M1643" s="458" t="n"/>
      <c r="N1643" s="458" t="n"/>
      <c r="O1643" s="459" t="n"/>
      <c r="P1643" s="460" t="n"/>
      <c r="Q1643" s="460" t="n"/>
      <c r="R1643" s="460" t="n"/>
      <c r="S1643" s="460" t="n"/>
      <c r="T1643" s="460" t="n"/>
      <c r="U1643" s="460" t="n"/>
      <c r="V1643" s="460" t="n"/>
      <c r="W1643" s="461" t="n"/>
      <c r="X1643" s="461" t="n"/>
      <c r="Y1643" s="461" t="n"/>
      <c r="Z1643" s="461" t="n"/>
      <c r="AA1643" s="462" t="n"/>
      <c r="AB1643" s="462" t="n"/>
      <c r="AC1643" s="462" t="n"/>
      <c r="AD1643" s="462" t="n"/>
      <c r="AE1643" s="462" t="n"/>
      <c r="AF1643" s="462" t="n"/>
      <c r="AG1643" s="462" t="n"/>
      <c r="AH1643" s="462" t="n"/>
      <c r="AI1643" s="461" t="n"/>
      <c r="AJ1643" s="461" t="n"/>
      <c r="AK1643" s="463" t="n"/>
      <c r="AL1643" s="461" t="n"/>
      <c r="AM1643" s="461" t="n"/>
      <c r="AN1643" s="461" t="n"/>
      <c r="AO1643" s="461" t="n"/>
      <c r="AP1643" s="464" t="n"/>
      <c r="AQ1643" s="464" t="n"/>
      <c r="AR1643" s="461" t="n"/>
      <c r="AS1643" s="461" t="n"/>
      <c r="AT1643" s="461" t="n"/>
      <c r="AU1643" s="461" t="n"/>
      <c r="AV1643" s="461" t="n"/>
      <c r="AW1643" s="461" t="n"/>
      <c r="AX1643" s="461" t="n"/>
    </row>
    <row r="1644">
      <c r="A1644" s="413" t="n"/>
      <c r="B1644" s="413" t="n"/>
      <c r="C1644" s="413" t="n"/>
      <c r="D1644" s="414" t="n"/>
      <c r="E1644" s="414" t="n"/>
      <c r="F1644" s="414" t="n"/>
      <c r="G1644" s="414" t="n"/>
      <c r="H1644" s="414" t="n"/>
      <c r="J1644" s="457" t="n"/>
      <c r="K1644" s="457" t="n"/>
      <c r="L1644" s="458" t="n"/>
      <c r="M1644" s="458" t="n"/>
      <c r="N1644" s="458" t="n"/>
      <c r="O1644" s="459" t="n"/>
      <c r="P1644" s="460" t="n"/>
      <c r="Q1644" s="460" t="n"/>
      <c r="R1644" s="460" t="n"/>
      <c r="S1644" s="460" t="n"/>
      <c r="T1644" s="460" t="n"/>
      <c r="U1644" s="460" t="n"/>
      <c r="V1644" s="460" t="n"/>
      <c r="W1644" s="461" t="n"/>
      <c r="X1644" s="461" t="n"/>
      <c r="Y1644" s="461" t="n"/>
      <c r="Z1644" s="461" t="n"/>
      <c r="AA1644" s="462" t="n"/>
      <c r="AB1644" s="462" t="n"/>
      <c r="AC1644" s="462" t="n"/>
      <c r="AD1644" s="462" t="n"/>
      <c r="AE1644" s="462" t="n"/>
      <c r="AF1644" s="462" t="n"/>
      <c r="AG1644" s="462" t="n"/>
      <c r="AH1644" s="462" t="n"/>
      <c r="AI1644" s="461" t="n"/>
      <c r="AJ1644" s="461" t="n"/>
      <c r="AK1644" s="463" t="n"/>
      <c r="AL1644" s="461" t="n"/>
      <c r="AM1644" s="461" t="n"/>
      <c r="AN1644" s="461" t="n"/>
      <c r="AO1644" s="461" t="n"/>
      <c r="AP1644" s="464" t="n"/>
      <c r="AQ1644" s="464" t="n"/>
      <c r="AR1644" s="461" t="n"/>
      <c r="AS1644" s="461" t="n"/>
      <c r="AT1644" s="461" t="n"/>
      <c r="AU1644" s="461" t="n"/>
      <c r="AV1644" s="461" t="n"/>
      <c r="AW1644" s="461" t="n"/>
      <c r="AX1644" s="461" t="n"/>
    </row>
    <row r="1645">
      <c r="A1645" s="413" t="n"/>
      <c r="B1645" s="413" t="n"/>
      <c r="C1645" s="413" t="n"/>
      <c r="D1645" s="414" t="n"/>
      <c r="E1645" s="414" t="n"/>
      <c r="F1645" s="414" t="n"/>
      <c r="G1645" s="414" t="n"/>
      <c r="H1645" s="414" t="n"/>
      <c r="J1645" s="457" t="n"/>
      <c r="K1645" s="457" t="n"/>
      <c r="L1645" s="458" t="n"/>
      <c r="M1645" s="458" t="n"/>
      <c r="N1645" s="458" t="n"/>
      <c r="O1645" s="459" t="n"/>
      <c r="P1645" s="460" t="n"/>
      <c r="Q1645" s="460" t="n"/>
      <c r="R1645" s="460" t="n"/>
      <c r="S1645" s="460" t="n"/>
      <c r="T1645" s="460" t="n"/>
      <c r="U1645" s="460" t="n"/>
      <c r="V1645" s="460" t="n"/>
      <c r="W1645" s="461" t="n"/>
      <c r="X1645" s="461" t="n"/>
      <c r="Y1645" s="461" t="n"/>
      <c r="Z1645" s="461" t="n"/>
      <c r="AA1645" s="462" t="n"/>
      <c r="AB1645" s="462" t="n"/>
      <c r="AC1645" s="462" t="n"/>
      <c r="AD1645" s="462" t="n"/>
      <c r="AE1645" s="462" t="n"/>
      <c r="AF1645" s="462" t="n"/>
      <c r="AG1645" s="462" t="n"/>
      <c r="AH1645" s="462" t="n"/>
      <c r="AI1645" s="461" t="n"/>
      <c r="AJ1645" s="461" t="n"/>
      <c r="AK1645" s="463" t="n"/>
      <c r="AL1645" s="461" t="n"/>
      <c r="AM1645" s="461" t="n"/>
      <c r="AN1645" s="461" t="n"/>
      <c r="AO1645" s="461" t="n"/>
      <c r="AP1645" s="464" t="n"/>
      <c r="AQ1645" s="464" t="n"/>
      <c r="AR1645" s="461" t="n"/>
      <c r="AS1645" s="461" t="n"/>
      <c r="AT1645" s="461" t="n"/>
      <c r="AU1645" s="461" t="n"/>
      <c r="AV1645" s="461" t="n"/>
      <c r="AW1645" s="461" t="n"/>
      <c r="AX1645" s="461" t="n"/>
    </row>
    <row r="1646">
      <c r="A1646" s="413" t="n"/>
      <c r="B1646" s="413" t="n"/>
      <c r="C1646" s="413" t="n"/>
      <c r="D1646" s="414" t="n"/>
      <c r="E1646" s="414" t="n"/>
      <c r="F1646" s="414" t="n"/>
      <c r="G1646" s="414" t="n"/>
      <c r="H1646" s="414" t="n"/>
      <c r="J1646" s="457" t="n"/>
      <c r="K1646" s="457" t="n"/>
      <c r="L1646" s="458" t="n"/>
      <c r="M1646" s="458" t="n"/>
      <c r="N1646" s="458" t="n"/>
      <c r="O1646" s="459" t="n"/>
      <c r="P1646" s="460" t="n"/>
      <c r="Q1646" s="460" t="n"/>
      <c r="R1646" s="460" t="n"/>
      <c r="S1646" s="460" t="n"/>
      <c r="T1646" s="460" t="n"/>
      <c r="U1646" s="460" t="n"/>
      <c r="V1646" s="460" t="n"/>
      <c r="W1646" s="461" t="n"/>
      <c r="X1646" s="461" t="n"/>
      <c r="Y1646" s="461" t="n"/>
      <c r="Z1646" s="461" t="n"/>
      <c r="AA1646" s="462" t="n"/>
      <c r="AB1646" s="462" t="n"/>
      <c r="AC1646" s="462" t="n"/>
      <c r="AD1646" s="462" t="n"/>
      <c r="AE1646" s="462" t="n"/>
      <c r="AF1646" s="462" t="n"/>
      <c r="AG1646" s="462" t="n"/>
      <c r="AH1646" s="462" t="n"/>
      <c r="AI1646" s="461" t="n"/>
      <c r="AJ1646" s="461" t="n"/>
      <c r="AK1646" s="463" t="n"/>
      <c r="AL1646" s="461" t="n"/>
      <c r="AM1646" s="461" t="n"/>
      <c r="AN1646" s="461" t="n"/>
      <c r="AO1646" s="461" t="n"/>
      <c r="AP1646" s="464" t="n"/>
      <c r="AQ1646" s="464" t="n"/>
      <c r="AR1646" s="461" t="n"/>
      <c r="AS1646" s="461" t="n"/>
      <c r="AT1646" s="461" t="n"/>
      <c r="AU1646" s="461" t="n"/>
      <c r="AV1646" s="461" t="n"/>
      <c r="AW1646" s="461" t="n"/>
      <c r="AX1646" s="461" t="n"/>
    </row>
    <row r="1647">
      <c r="A1647" s="413" t="n"/>
      <c r="B1647" s="413" t="n"/>
      <c r="C1647" s="413" t="n"/>
      <c r="D1647" s="414" t="n"/>
      <c r="E1647" s="414" t="n"/>
      <c r="F1647" s="414" t="n"/>
      <c r="G1647" s="414" t="n"/>
      <c r="H1647" s="414" t="n"/>
      <c r="J1647" s="457" t="n"/>
      <c r="K1647" s="457" t="n"/>
      <c r="L1647" s="458" t="n"/>
      <c r="M1647" s="458" t="n"/>
      <c r="N1647" s="458" t="n"/>
      <c r="O1647" s="459" t="n"/>
      <c r="P1647" s="460" t="n"/>
      <c r="Q1647" s="460" t="n"/>
      <c r="R1647" s="460" t="n"/>
      <c r="S1647" s="460" t="n"/>
      <c r="T1647" s="460" t="n"/>
      <c r="U1647" s="460" t="n"/>
      <c r="V1647" s="460" t="n"/>
      <c r="W1647" s="461" t="n"/>
      <c r="X1647" s="461" t="n"/>
      <c r="Y1647" s="461" t="n"/>
      <c r="Z1647" s="461" t="n"/>
      <c r="AA1647" s="462" t="n"/>
      <c r="AB1647" s="462" t="n"/>
      <c r="AC1647" s="462" t="n"/>
      <c r="AD1647" s="462" t="n"/>
      <c r="AE1647" s="462" t="n"/>
      <c r="AF1647" s="462" t="n"/>
      <c r="AG1647" s="462" t="n"/>
      <c r="AH1647" s="462" t="n"/>
      <c r="AI1647" s="461" t="n"/>
      <c r="AJ1647" s="461" t="n"/>
      <c r="AK1647" s="463" t="n"/>
      <c r="AL1647" s="461" t="n"/>
      <c r="AM1647" s="461" t="n"/>
      <c r="AN1647" s="461" t="n"/>
      <c r="AO1647" s="461" t="n"/>
      <c r="AP1647" s="464" t="n"/>
      <c r="AQ1647" s="464" t="n"/>
      <c r="AR1647" s="461" t="n"/>
      <c r="AS1647" s="461" t="n"/>
      <c r="AT1647" s="461" t="n"/>
      <c r="AU1647" s="461" t="n"/>
      <c r="AV1647" s="461" t="n"/>
      <c r="AW1647" s="461" t="n"/>
      <c r="AX1647" s="461" t="n"/>
    </row>
    <row r="1648">
      <c r="A1648" s="413" t="n"/>
      <c r="B1648" s="413" t="n"/>
      <c r="C1648" s="413" t="n"/>
      <c r="D1648" s="414" t="n"/>
      <c r="E1648" s="414" t="n"/>
      <c r="F1648" s="414" t="n"/>
      <c r="G1648" s="414" t="n"/>
      <c r="H1648" s="414" t="n"/>
      <c r="J1648" s="457" t="n"/>
      <c r="K1648" s="457" t="n"/>
      <c r="L1648" s="458" t="n"/>
      <c r="M1648" s="458" t="n"/>
      <c r="N1648" s="458" t="n"/>
      <c r="O1648" s="459" t="n"/>
      <c r="P1648" s="460" t="n"/>
      <c r="Q1648" s="460" t="n"/>
      <c r="R1648" s="460" t="n"/>
      <c r="S1648" s="460" t="n"/>
      <c r="T1648" s="460" t="n"/>
      <c r="U1648" s="460" t="n"/>
      <c r="V1648" s="460" t="n"/>
      <c r="W1648" s="461" t="n"/>
      <c r="X1648" s="461" t="n"/>
      <c r="Y1648" s="461" t="n"/>
      <c r="Z1648" s="461" t="n"/>
      <c r="AA1648" s="462" t="n"/>
      <c r="AB1648" s="462" t="n"/>
      <c r="AC1648" s="462" t="n"/>
      <c r="AD1648" s="462" t="n"/>
      <c r="AE1648" s="462" t="n"/>
      <c r="AF1648" s="462" t="n"/>
      <c r="AG1648" s="462" t="n"/>
      <c r="AH1648" s="462" t="n"/>
      <c r="AI1648" s="461" t="n"/>
      <c r="AJ1648" s="461" t="n"/>
      <c r="AK1648" s="463" t="n"/>
      <c r="AL1648" s="461" t="n"/>
      <c r="AM1648" s="461" t="n"/>
      <c r="AN1648" s="461" t="n"/>
      <c r="AO1648" s="461" t="n"/>
      <c r="AP1648" s="464" t="n"/>
      <c r="AQ1648" s="464" t="n"/>
      <c r="AR1648" s="461" t="n"/>
      <c r="AS1648" s="461" t="n"/>
      <c r="AT1648" s="461" t="n"/>
      <c r="AU1648" s="461" t="n"/>
      <c r="AV1648" s="461" t="n"/>
      <c r="AW1648" s="461" t="n"/>
      <c r="AX1648" s="461" t="n"/>
    </row>
    <row r="1649">
      <c r="A1649" s="413" t="n"/>
      <c r="B1649" s="413" t="n"/>
      <c r="C1649" s="413" t="n"/>
      <c r="D1649" s="414" t="n"/>
      <c r="E1649" s="414" t="n"/>
      <c r="F1649" s="414" t="n"/>
      <c r="G1649" s="414" t="n"/>
      <c r="H1649" s="414" t="n"/>
      <c r="J1649" s="457" t="n"/>
      <c r="K1649" s="457" t="n"/>
      <c r="L1649" s="458" t="n"/>
      <c r="M1649" s="458" t="n"/>
      <c r="N1649" s="458" t="n"/>
      <c r="O1649" s="459" t="n"/>
      <c r="P1649" s="460" t="n"/>
      <c r="Q1649" s="460" t="n"/>
      <c r="R1649" s="460" t="n"/>
      <c r="S1649" s="460" t="n"/>
      <c r="T1649" s="460" t="n"/>
      <c r="U1649" s="460" t="n"/>
      <c r="V1649" s="460" t="n"/>
      <c r="W1649" s="461" t="n"/>
      <c r="X1649" s="461" t="n"/>
      <c r="Y1649" s="461" t="n"/>
      <c r="Z1649" s="461" t="n"/>
      <c r="AA1649" s="462" t="n"/>
      <c r="AB1649" s="462" t="n"/>
      <c r="AC1649" s="462" t="n"/>
      <c r="AD1649" s="462" t="n"/>
      <c r="AE1649" s="462" t="n"/>
      <c r="AF1649" s="462" t="n"/>
      <c r="AG1649" s="462" t="n"/>
      <c r="AH1649" s="462" t="n"/>
      <c r="AI1649" s="461" t="n"/>
      <c r="AJ1649" s="461" t="n"/>
      <c r="AK1649" s="463" t="n"/>
      <c r="AL1649" s="461" t="n"/>
      <c r="AM1649" s="461" t="n"/>
      <c r="AN1649" s="461" t="n"/>
      <c r="AO1649" s="461" t="n"/>
      <c r="AP1649" s="464" t="n"/>
      <c r="AQ1649" s="464" t="n"/>
      <c r="AR1649" s="461" t="n"/>
      <c r="AS1649" s="461" t="n"/>
      <c r="AT1649" s="461" t="n"/>
      <c r="AU1649" s="461" t="n"/>
      <c r="AV1649" s="461" t="n"/>
      <c r="AW1649" s="461" t="n"/>
      <c r="AX1649" s="461" t="n"/>
    </row>
    <row r="1650">
      <c r="A1650" s="413" t="n"/>
      <c r="B1650" s="413" t="n"/>
      <c r="C1650" s="413" t="n"/>
      <c r="D1650" s="414" t="n"/>
      <c r="E1650" s="414" t="n"/>
      <c r="F1650" s="414" t="n"/>
      <c r="G1650" s="414" t="n"/>
      <c r="H1650" s="414" t="n"/>
      <c r="J1650" s="457" t="n"/>
      <c r="K1650" s="457" t="n"/>
      <c r="L1650" s="458" t="n"/>
      <c r="M1650" s="458" t="n"/>
      <c r="N1650" s="458" t="n"/>
      <c r="O1650" s="459" t="n"/>
      <c r="P1650" s="460" t="n"/>
      <c r="Q1650" s="460" t="n"/>
      <c r="R1650" s="460" t="n"/>
      <c r="S1650" s="460" t="n"/>
      <c r="T1650" s="460" t="n"/>
      <c r="U1650" s="460" t="n"/>
      <c r="V1650" s="460" t="n"/>
      <c r="W1650" s="461" t="n"/>
      <c r="X1650" s="461" t="n"/>
      <c r="Y1650" s="461" t="n"/>
      <c r="Z1650" s="461" t="n"/>
      <c r="AA1650" s="462" t="n"/>
      <c r="AB1650" s="462" t="n"/>
      <c r="AC1650" s="462" t="n"/>
      <c r="AD1650" s="462" t="n"/>
      <c r="AE1650" s="462" t="n"/>
      <c r="AF1650" s="462" t="n"/>
      <c r="AG1650" s="462" t="n"/>
      <c r="AH1650" s="462" t="n"/>
      <c r="AI1650" s="461" t="n"/>
      <c r="AJ1650" s="461" t="n"/>
      <c r="AK1650" s="463" t="n"/>
      <c r="AL1650" s="461" t="n"/>
      <c r="AM1650" s="461" t="n"/>
      <c r="AN1650" s="461" t="n"/>
      <c r="AO1650" s="461" t="n"/>
      <c r="AP1650" s="464" t="n"/>
      <c r="AQ1650" s="464" t="n"/>
      <c r="AR1650" s="461" t="n"/>
      <c r="AS1650" s="461" t="n"/>
      <c r="AT1650" s="461" t="n"/>
      <c r="AU1650" s="461" t="n"/>
      <c r="AV1650" s="461" t="n"/>
      <c r="AW1650" s="461" t="n"/>
      <c r="AX1650" s="461" t="n"/>
    </row>
    <row r="1651">
      <c r="A1651" s="413" t="n"/>
      <c r="B1651" s="413" t="n"/>
      <c r="C1651" s="413" t="n"/>
      <c r="D1651" s="414" t="n"/>
      <c r="E1651" s="414" t="n"/>
      <c r="F1651" s="414" t="n"/>
      <c r="G1651" s="414" t="n"/>
      <c r="H1651" s="414" t="n"/>
      <c r="J1651" s="457" t="n"/>
      <c r="K1651" s="457" t="n"/>
      <c r="L1651" s="458" t="n"/>
      <c r="M1651" s="458" t="n"/>
      <c r="N1651" s="458" t="n"/>
      <c r="O1651" s="459" t="n"/>
      <c r="P1651" s="460" t="n"/>
      <c r="Q1651" s="460" t="n"/>
      <c r="R1651" s="460" t="n"/>
      <c r="S1651" s="460" t="n"/>
      <c r="T1651" s="460" t="n"/>
      <c r="U1651" s="460" t="n"/>
      <c r="V1651" s="460" t="n"/>
      <c r="W1651" s="461" t="n"/>
      <c r="X1651" s="461" t="n"/>
      <c r="Y1651" s="461" t="n"/>
      <c r="Z1651" s="461" t="n"/>
      <c r="AA1651" s="462" t="n"/>
      <c r="AB1651" s="462" t="n"/>
      <c r="AC1651" s="462" t="n"/>
      <c r="AD1651" s="462" t="n"/>
      <c r="AE1651" s="462" t="n"/>
      <c r="AF1651" s="462" t="n"/>
      <c r="AG1651" s="462" t="n"/>
      <c r="AH1651" s="462" t="n"/>
      <c r="AI1651" s="461" t="n"/>
      <c r="AJ1651" s="461" t="n"/>
      <c r="AK1651" s="463" t="n"/>
      <c r="AL1651" s="461" t="n"/>
      <c r="AM1651" s="461" t="n"/>
      <c r="AN1651" s="461" t="n"/>
      <c r="AO1651" s="461" t="n"/>
      <c r="AP1651" s="464" t="n"/>
      <c r="AQ1651" s="464" t="n"/>
      <c r="AR1651" s="461" t="n"/>
      <c r="AS1651" s="461" t="n"/>
      <c r="AT1651" s="461" t="n"/>
      <c r="AU1651" s="461" t="n"/>
      <c r="AV1651" s="461" t="n"/>
      <c r="AW1651" s="461" t="n"/>
      <c r="AX1651" s="461" t="n"/>
    </row>
    <row r="1652">
      <c r="A1652" s="413" t="n"/>
      <c r="B1652" s="413" t="n"/>
      <c r="C1652" s="413" t="n"/>
      <c r="D1652" s="414" t="n"/>
      <c r="E1652" s="414" t="n"/>
      <c r="F1652" s="414" t="n"/>
      <c r="G1652" s="414" t="n"/>
      <c r="H1652" s="414" t="n"/>
      <c r="J1652" s="457" t="n"/>
      <c r="K1652" s="457" t="n"/>
      <c r="L1652" s="458" t="n"/>
      <c r="M1652" s="458" t="n"/>
      <c r="N1652" s="458" t="n"/>
      <c r="O1652" s="459" t="n"/>
      <c r="P1652" s="460" t="n"/>
      <c r="Q1652" s="460" t="n"/>
      <c r="R1652" s="460" t="n"/>
      <c r="S1652" s="460" t="n"/>
      <c r="T1652" s="460" t="n"/>
      <c r="U1652" s="460" t="n"/>
      <c r="V1652" s="460" t="n"/>
      <c r="W1652" s="461" t="n"/>
      <c r="X1652" s="461" t="n"/>
      <c r="Y1652" s="461" t="n"/>
      <c r="Z1652" s="461" t="n"/>
      <c r="AA1652" s="462" t="n"/>
      <c r="AB1652" s="462" t="n"/>
      <c r="AC1652" s="462" t="n"/>
      <c r="AD1652" s="462" t="n"/>
      <c r="AE1652" s="462" t="n"/>
      <c r="AF1652" s="462" t="n"/>
      <c r="AG1652" s="462" t="n"/>
      <c r="AH1652" s="462" t="n"/>
      <c r="AI1652" s="461" t="n"/>
      <c r="AJ1652" s="461" t="n"/>
      <c r="AK1652" s="463" t="n"/>
      <c r="AL1652" s="461" t="n"/>
      <c r="AM1652" s="461" t="n"/>
      <c r="AN1652" s="461" t="n"/>
      <c r="AO1652" s="461" t="n"/>
      <c r="AP1652" s="464" t="n"/>
      <c r="AQ1652" s="464" t="n"/>
      <c r="AR1652" s="461" t="n"/>
      <c r="AS1652" s="461" t="n"/>
      <c r="AT1652" s="461" t="n"/>
      <c r="AU1652" s="461" t="n"/>
      <c r="AV1652" s="461" t="n"/>
      <c r="AW1652" s="461" t="n"/>
      <c r="AX1652" s="461" t="n"/>
    </row>
    <row r="1653">
      <c r="A1653" s="413" t="n"/>
      <c r="B1653" s="413" t="n"/>
      <c r="C1653" s="413" t="n"/>
      <c r="D1653" s="414" t="n"/>
      <c r="E1653" s="414" t="n"/>
      <c r="F1653" s="414" t="n"/>
      <c r="G1653" s="414" t="n"/>
      <c r="H1653" s="414" t="n"/>
      <c r="J1653" s="457" t="n"/>
      <c r="K1653" s="457" t="n"/>
      <c r="L1653" s="458" t="n"/>
      <c r="M1653" s="458" t="n"/>
      <c r="N1653" s="458" t="n"/>
      <c r="O1653" s="459" t="n"/>
      <c r="P1653" s="460" t="n"/>
      <c r="Q1653" s="460" t="n"/>
      <c r="R1653" s="460" t="n"/>
      <c r="S1653" s="460" t="n"/>
      <c r="T1653" s="460" t="n"/>
      <c r="U1653" s="460" t="n"/>
      <c r="V1653" s="460" t="n"/>
      <c r="W1653" s="461" t="n"/>
      <c r="X1653" s="461" t="n"/>
      <c r="Y1653" s="461" t="n"/>
      <c r="Z1653" s="461" t="n"/>
      <c r="AA1653" s="462" t="n"/>
      <c r="AB1653" s="462" t="n"/>
      <c r="AC1653" s="462" t="n"/>
      <c r="AD1653" s="462" t="n"/>
      <c r="AE1653" s="462" t="n"/>
      <c r="AF1653" s="462" t="n"/>
      <c r="AG1653" s="462" t="n"/>
      <c r="AH1653" s="462" t="n"/>
      <c r="AI1653" s="461" t="n"/>
      <c r="AJ1653" s="461" t="n"/>
      <c r="AK1653" s="463" t="n"/>
      <c r="AL1653" s="461" t="n"/>
      <c r="AM1653" s="461" t="n"/>
      <c r="AN1653" s="461" t="n"/>
      <c r="AO1653" s="461" t="n"/>
      <c r="AP1653" s="464" t="n"/>
      <c r="AQ1653" s="464" t="n"/>
      <c r="AR1653" s="461" t="n"/>
      <c r="AS1653" s="461" t="n"/>
      <c r="AT1653" s="461" t="n"/>
      <c r="AU1653" s="461" t="n"/>
      <c r="AV1653" s="461" t="n"/>
      <c r="AW1653" s="461" t="n"/>
      <c r="AX1653" s="461" t="n"/>
    </row>
    <row r="1654">
      <c r="A1654" s="413" t="n"/>
      <c r="B1654" s="413" t="n"/>
      <c r="C1654" s="413" t="n"/>
      <c r="D1654" s="414" t="n"/>
      <c r="E1654" s="414" t="n"/>
      <c r="F1654" s="414" t="n"/>
      <c r="G1654" s="414" t="n"/>
      <c r="H1654" s="414" t="n"/>
      <c r="J1654" s="457" t="n"/>
      <c r="K1654" s="457" t="n"/>
      <c r="L1654" s="458" t="n"/>
      <c r="M1654" s="458" t="n"/>
      <c r="N1654" s="458" t="n"/>
      <c r="O1654" s="459" t="n"/>
      <c r="P1654" s="460" t="n"/>
      <c r="Q1654" s="460" t="n"/>
      <c r="R1654" s="460" t="n"/>
      <c r="S1654" s="460" t="n"/>
      <c r="T1654" s="460" t="n"/>
      <c r="U1654" s="460" t="n"/>
      <c r="V1654" s="460" t="n"/>
      <c r="W1654" s="461" t="n"/>
      <c r="X1654" s="461" t="n"/>
      <c r="Y1654" s="461" t="n"/>
      <c r="Z1654" s="461" t="n"/>
      <c r="AA1654" s="462" t="n"/>
      <c r="AB1654" s="462" t="n"/>
      <c r="AC1654" s="462" t="n"/>
      <c r="AD1654" s="462" t="n"/>
      <c r="AE1654" s="462" t="n"/>
      <c r="AF1654" s="462" t="n"/>
      <c r="AG1654" s="462" t="n"/>
      <c r="AH1654" s="462" t="n"/>
      <c r="AI1654" s="461" t="n"/>
      <c r="AJ1654" s="461" t="n"/>
      <c r="AK1654" s="463" t="n"/>
      <c r="AL1654" s="461" t="n"/>
      <c r="AM1654" s="461" t="n"/>
      <c r="AN1654" s="461" t="n"/>
      <c r="AO1654" s="461" t="n"/>
      <c r="AP1654" s="464" t="n"/>
      <c r="AQ1654" s="464" t="n"/>
      <c r="AR1654" s="461" t="n"/>
      <c r="AS1654" s="461" t="n"/>
      <c r="AT1654" s="461" t="n"/>
      <c r="AU1654" s="461" t="n"/>
      <c r="AV1654" s="461" t="n"/>
      <c r="AW1654" s="461" t="n"/>
      <c r="AX1654" s="461" t="n"/>
    </row>
    <row r="1655">
      <c r="A1655" s="413" t="n"/>
      <c r="B1655" s="413" t="n"/>
      <c r="C1655" s="413" t="n"/>
      <c r="D1655" s="414" t="n"/>
      <c r="E1655" s="414" t="n"/>
      <c r="F1655" s="414" t="n"/>
      <c r="G1655" s="414" t="n"/>
      <c r="H1655" s="414" t="n"/>
      <c r="J1655" s="457" t="n"/>
      <c r="K1655" s="457" t="n"/>
      <c r="L1655" s="458" t="n"/>
      <c r="M1655" s="458" t="n"/>
      <c r="N1655" s="458" t="n"/>
      <c r="O1655" s="459" t="n"/>
      <c r="P1655" s="460" t="n"/>
      <c r="Q1655" s="460" t="n"/>
      <c r="R1655" s="460" t="n"/>
      <c r="S1655" s="460" t="n"/>
      <c r="T1655" s="460" t="n"/>
      <c r="U1655" s="460" t="n"/>
      <c r="V1655" s="460" t="n"/>
      <c r="W1655" s="461" t="n"/>
      <c r="X1655" s="461" t="n"/>
      <c r="Y1655" s="461" t="n"/>
      <c r="Z1655" s="461" t="n"/>
      <c r="AA1655" s="462" t="n"/>
      <c r="AB1655" s="462" t="n"/>
      <c r="AC1655" s="462" t="n"/>
      <c r="AD1655" s="462" t="n"/>
      <c r="AE1655" s="462" t="n"/>
      <c r="AF1655" s="462" t="n"/>
      <c r="AG1655" s="462" t="n"/>
      <c r="AH1655" s="462" t="n"/>
      <c r="AI1655" s="461" t="n"/>
      <c r="AJ1655" s="461" t="n"/>
      <c r="AK1655" s="463" t="n"/>
      <c r="AL1655" s="461" t="n"/>
      <c r="AM1655" s="461" t="n"/>
      <c r="AN1655" s="461" t="n"/>
      <c r="AO1655" s="461" t="n"/>
      <c r="AP1655" s="464" t="n"/>
      <c r="AQ1655" s="464" t="n"/>
      <c r="AR1655" s="461" t="n"/>
      <c r="AS1655" s="461" t="n"/>
      <c r="AT1655" s="461" t="n"/>
      <c r="AU1655" s="461" t="n"/>
      <c r="AV1655" s="461" t="n"/>
      <c r="AW1655" s="461" t="n"/>
      <c r="AX1655" s="461" t="n"/>
    </row>
    <row r="1656">
      <c r="A1656" s="413" t="n"/>
      <c r="B1656" s="413" t="n"/>
      <c r="C1656" s="413" t="n"/>
      <c r="D1656" s="414" t="n"/>
      <c r="E1656" s="414" t="n"/>
      <c r="F1656" s="414" t="n"/>
      <c r="G1656" s="414" t="n"/>
      <c r="H1656" s="414" t="n"/>
      <c r="J1656" s="457" t="n"/>
      <c r="K1656" s="457" t="n"/>
      <c r="L1656" s="458" t="n"/>
      <c r="M1656" s="458" t="n"/>
      <c r="N1656" s="458" t="n"/>
      <c r="O1656" s="459" t="n"/>
      <c r="P1656" s="460" t="n"/>
      <c r="Q1656" s="460" t="n"/>
      <c r="R1656" s="460" t="n"/>
      <c r="S1656" s="460" t="n"/>
      <c r="T1656" s="460" t="n"/>
      <c r="U1656" s="460" t="n"/>
      <c r="V1656" s="460" t="n"/>
      <c r="W1656" s="461" t="n"/>
      <c r="X1656" s="461" t="n"/>
      <c r="Y1656" s="461" t="n"/>
      <c r="Z1656" s="461" t="n"/>
      <c r="AA1656" s="462" t="n"/>
      <c r="AB1656" s="462" t="n"/>
      <c r="AC1656" s="462" t="n"/>
      <c r="AD1656" s="462" t="n"/>
      <c r="AE1656" s="462" t="n"/>
      <c r="AF1656" s="462" t="n"/>
      <c r="AG1656" s="462" t="n"/>
      <c r="AH1656" s="462" t="n"/>
      <c r="AI1656" s="461" t="n"/>
      <c r="AJ1656" s="461" t="n"/>
      <c r="AK1656" s="463" t="n"/>
      <c r="AL1656" s="461" t="n"/>
      <c r="AM1656" s="461" t="n"/>
      <c r="AN1656" s="461" t="n"/>
      <c r="AO1656" s="461" t="n"/>
      <c r="AP1656" s="464" t="n"/>
      <c r="AQ1656" s="464" t="n"/>
      <c r="AR1656" s="461" t="n"/>
      <c r="AS1656" s="461" t="n"/>
      <c r="AT1656" s="461" t="n"/>
      <c r="AU1656" s="461" t="n"/>
      <c r="AV1656" s="461" t="n"/>
      <c r="AW1656" s="461" t="n"/>
      <c r="AX1656" s="461" t="n"/>
    </row>
    <row r="1657">
      <c r="A1657" s="413" t="n"/>
      <c r="B1657" s="413" t="n"/>
      <c r="C1657" s="413" t="n"/>
      <c r="D1657" s="414" t="n"/>
      <c r="E1657" s="414" t="n"/>
      <c r="F1657" s="414" t="n"/>
      <c r="G1657" s="414" t="n"/>
      <c r="H1657" s="414" t="n"/>
      <c r="J1657" s="457" t="n"/>
      <c r="K1657" s="457" t="n"/>
      <c r="L1657" s="458" t="n"/>
      <c r="M1657" s="458" t="n"/>
      <c r="N1657" s="458" t="n"/>
      <c r="O1657" s="459" t="n"/>
      <c r="P1657" s="460" t="n"/>
      <c r="Q1657" s="460" t="n"/>
      <c r="R1657" s="460" t="n"/>
      <c r="S1657" s="460" t="n"/>
      <c r="T1657" s="460" t="n"/>
      <c r="U1657" s="460" t="n"/>
      <c r="V1657" s="460" t="n"/>
      <c r="W1657" s="461" t="n"/>
      <c r="X1657" s="461" t="n"/>
      <c r="Y1657" s="461" t="n"/>
      <c r="Z1657" s="461" t="n"/>
      <c r="AA1657" s="462" t="n"/>
      <c r="AB1657" s="462" t="n"/>
      <c r="AC1657" s="462" t="n"/>
      <c r="AD1657" s="462" t="n"/>
      <c r="AE1657" s="462" t="n"/>
      <c r="AF1657" s="462" t="n"/>
      <c r="AG1657" s="462" t="n"/>
      <c r="AH1657" s="462" t="n"/>
      <c r="AI1657" s="461" t="n"/>
      <c r="AJ1657" s="461" t="n"/>
      <c r="AK1657" s="463" t="n"/>
      <c r="AL1657" s="461" t="n"/>
      <c r="AM1657" s="461" t="n"/>
      <c r="AN1657" s="461" t="n"/>
      <c r="AO1657" s="461" t="n"/>
      <c r="AP1657" s="464" t="n"/>
      <c r="AQ1657" s="464" t="n"/>
      <c r="AR1657" s="461" t="n"/>
      <c r="AS1657" s="461" t="n"/>
      <c r="AT1657" s="461" t="n"/>
      <c r="AU1657" s="461" t="n"/>
      <c r="AV1657" s="461" t="n"/>
      <c r="AW1657" s="461" t="n"/>
      <c r="AX1657" s="461" t="n"/>
    </row>
    <row r="1658">
      <c r="A1658" s="413" t="n"/>
      <c r="B1658" s="413" t="n"/>
      <c r="C1658" s="413" t="n"/>
      <c r="D1658" s="414" t="n"/>
      <c r="E1658" s="414" t="n"/>
      <c r="F1658" s="414" t="n"/>
      <c r="G1658" s="414" t="n"/>
      <c r="H1658" s="414" t="n"/>
      <c r="J1658" s="457" t="n"/>
      <c r="K1658" s="457" t="n"/>
      <c r="L1658" s="458" t="n"/>
      <c r="M1658" s="458" t="n"/>
      <c r="N1658" s="458" t="n"/>
      <c r="O1658" s="459" t="n"/>
      <c r="P1658" s="460" t="n"/>
      <c r="Q1658" s="460" t="n"/>
      <c r="R1658" s="460" t="n"/>
      <c r="S1658" s="460" t="n"/>
      <c r="T1658" s="460" t="n"/>
      <c r="U1658" s="460" t="n"/>
      <c r="V1658" s="460" t="n"/>
      <c r="W1658" s="461" t="n"/>
      <c r="X1658" s="461" t="n"/>
      <c r="Y1658" s="461" t="n"/>
      <c r="Z1658" s="461" t="n"/>
      <c r="AA1658" s="462" t="n"/>
      <c r="AB1658" s="462" t="n"/>
      <c r="AC1658" s="462" t="n"/>
      <c r="AD1658" s="462" t="n"/>
      <c r="AE1658" s="462" t="n"/>
      <c r="AF1658" s="462" t="n"/>
      <c r="AG1658" s="462" t="n"/>
      <c r="AH1658" s="462" t="n"/>
      <c r="AI1658" s="461" t="n"/>
      <c r="AJ1658" s="461" t="n"/>
      <c r="AK1658" s="463" t="n"/>
      <c r="AL1658" s="461" t="n"/>
      <c r="AM1658" s="461" t="n"/>
      <c r="AN1658" s="461" t="n"/>
      <c r="AO1658" s="461" t="n"/>
      <c r="AP1658" s="464" t="n"/>
      <c r="AQ1658" s="464" t="n"/>
      <c r="AR1658" s="461" t="n"/>
      <c r="AS1658" s="461" t="n"/>
      <c r="AT1658" s="461" t="n"/>
      <c r="AU1658" s="461" t="n"/>
      <c r="AV1658" s="461" t="n"/>
      <c r="AW1658" s="461" t="n"/>
      <c r="AX1658" s="461" t="n"/>
    </row>
    <row r="1659">
      <c r="A1659" s="413" t="n"/>
      <c r="B1659" s="413" t="n"/>
      <c r="C1659" s="413" t="n"/>
      <c r="D1659" s="414" t="n"/>
      <c r="E1659" s="414" t="n"/>
      <c r="F1659" s="414" t="n"/>
      <c r="G1659" s="414" t="n"/>
      <c r="H1659" s="414" t="n"/>
      <c r="J1659" s="457" t="n"/>
      <c r="K1659" s="457" t="n"/>
      <c r="L1659" s="458" t="n"/>
      <c r="M1659" s="458" t="n"/>
      <c r="N1659" s="458" t="n"/>
      <c r="O1659" s="459" t="n"/>
      <c r="P1659" s="460" t="n"/>
      <c r="Q1659" s="460" t="n"/>
      <c r="R1659" s="460" t="n"/>
      <c r="S1659" s="460" t="n"/>
      <c r="T1659" s="460" t="n"/>
      <c r="U1659" s="460" t="n"/>
      <c r="V1659" s="460" t="n"/>
      <c r="W1659" s="461" t="n"/>
      <c r="X1659" s="461" t="n"/>
      <c r="Y1659" s="461" t="n"/>
      <c r="Z1659" s="461" t="n"/>
      <c r="AA1659" s="462" t="n"/>
      <c r="AB1659" s="462" t="n"/>
      <c r="AC1659" s="462" t="n"/>
      <c r="AD1659" s="462" t="n"/>
      <c r="AE1659" s="462" t="n"/>
      <c r="AF1659" s="462" t="n"/>
      <c r="AG1659" s="462" t="n"/>
      <c r="AH1659" s="462" t="n"/>
      <c r="AI1659" s="461" t="n"/>
      <c r="AJ1659" s="461" t="n"/>
      <c r="AK1659" s="463" t="n"/>
      <c r="AL1659" s="461" t="n"/>
      <c r="AM1659" s="461" t="n"/>
      <c r="AN1659" s="461" t="n"/>
      <c r="AO1659" s="461" t="n"/>
      <c r="AP1659" s="464" t="n"/>
      <c r="AQ1659" s="464" t="n"/>
      <c r="AR1659" s="461" t="n"/>
      <c r="AS1659" s="461" t="n"/>
      <c r="AT1659" s="461" t="n"/>
      <c r="AU1659" s="461" t="n"/>
      <c r="AV1659" s="461" t="n"/>
      <c r="AW1659" s="461" t="n"/>
      <c r="AX1659" s="461" t="n"/>
    </row>
    <row r="1660">
      <c r="A1660" s="413" t="n"/>
      <c r="B1660" s="413" t="n"/>
      <c r="C1660" s="413" t="n"/>
      <c r="D1660" s="414" t="n"/>
      <c r="E1660" s="414" t="n"/>
      <c r="F1660" s="414" t="n"/>
      <c r="G1660" s="414" t="n"/>
      <c r="H1660" s="414" t="n"/>
      <c r="J1660" s="457" t="n"/>
      <c r="K1660" s="457" t="n"/>
      <c r="L1660" s="458" t="n"/>
      <c r="M1660" s="458" t="n"/>
      <c r="N1660" s="458" t="n"/>
      <c r="O1660" s="459" t="n"/>
      <c r="P1660" s="460" t="n"/>
      <c r="Q1660" s="460" t="n"/>
      <c r="R1660" s="460" t="n"/>
      <c r="S1660" s="460" t="n"/>
      <c r="T1660" s="460" t="n"/>
      <c r="U1660" s="460" t="n"/>
      <c r="V1660" s="460" t="n"/>
      <c r="W1660" s="461" t="n"/>
      <c r="X1660" s="461" t="n"/>
      <c r="Y1660" s="461" t="n"/>
      <c r="Z1660" s="461" t="n"/>
      <c r="AA1660" s="462" t="n"/>
      <c r="AB1660" s="462" t="n"/>
      <c r="AC1660" s="462" t="n"/>
      <c r="AD1660" s="462" t="n"/>
      <c r="AE1660" s="462" t="n"/>
      <c r="AF1660" s="462" t="n"/>
      <c r="AG1660" s="462" t="n"/>
      <c r="AH1660" s="462" t="n"/>
      <c r="AI1660" s="461" t="n"/>
      <c r="AJ1660" s="461" t="n"/>
      <c r="AK1660" s="463" t="n"/>
      <c r="AL1660" s="461" t="n"/>
      <c r="AM1660" s="461" t="n"/>
      <c r="AN1660" s="461" t="n"/>
      <c r="AO1660" s="461" t="n"/>
      <c r="AP1660" s="464" t="n"/>
      <c r="AQ1660" s="464" t="n"/>
      <c r="AR1660" s="461" t="n"/>
      <c r="AS1660" s="461" t="n"/>
      <c r="AT1660" s="461" t="n"/>
      <c r="AU1660" s="461" t="n"/>
      <c r="AV1660" s="461" t="n"/>
      <c r="AW1660" s="461" t="n"/>
      <c r="AX1660" s="461" t="n"/>
    </row>
    <row r="1661">
      <c r="A1661" s="413" t="n"/>
      <c r="B1661" s="413" t="n"/>
      <c r="C1661" s="413" t="n"/>
      <c r="D1661" s="414" t="n"/>
      <c r="E1661" s="414" t="n"/>
      <c r="F1661" s="414" t="n"/>
      <c r="G1661" s="414" t="n"/>
      <c r="H1661" s="414" t="n"/>
      <c r="J1661" s="457" t="n"/>
      <c r="K1661" s="457" t="n"/>
      <c r="L1661" s="458" t="n"/>
      <c r="M1661" s="458" t="n"/>
      <c r="N1661" s="458" t="n"/>
      <c r="O1661" s="459" t="n"/>
      <c r="P1661" s="460" t="n"/>
      <c r="Q1661" s="460" t="n"/>
      <c r="R1661" s="460" t="n"/>
      <c r="S1661" s="460" t="n"/>
      <c r="T1661" s="460" t="n"/>
      <c r="U1661" s="460" t="n"/>
      <c r="V1661" s="460" t="n"/>
      <c r="W1661" s="461" t="n"/>
      <c r="X1661" s="461" t="n"/>
      <c r="Y1661" s="461" t="n"/>
      <c r="Z1661" s="461" t="n"/>
      <c r="AA1661" s="462" t="n"/>
      <c r="AB1661" s="462" t="n"/>
      <c r="AC1661" s="462" t="n"/>
      <c r="AD1661" s="462" t="n"/>
      <c r="AE1661" s="462" t="n"/>
      <c r="AF1661" s="462" t="n"/>
      <c r="AG1661" s="462" t="n"/>
      <c r="AH1661" s="462" t="n"/>
      <c r="AI1661" s="461" t="n"/>
      <c r="AJ1661" s="461" t="n"/>
      <c r="AK1661" s="463" t="n"/>
      <c r="AL1661" s="461" t="n"/>
      <c r="AM1661" s="461" t="n"/>
      <c r="AN1661" s="461" t="n"/>
      <c r="AO1661" s="461" t="n"/>
      <c r="AP1661" s="464" t="n"/>
      <c r="AQ1661" s="464" t="n"/>
      <c r="AR1661" s="461" t="n"/>
      <c r="AS1661" s="461" t="n"/>
      <c r="AT1661" s="461" t="n"/>
      <c r="AU1661" s="461" t="n"/>
      <c r="AV1661" s="461" t="n"/>
      <c r="AW1661" s="461" t="n"/>
      <c r="AX1661" s="461" t="n"/>
    </row>
    <row r="1662">
      <c r="A1662" s="413" t="n"/>
      <c r="B1662" s="413" t="n"/>
      <c r="C1662" s="413" t="n"/>
      <c r="D1662" s="414" t="n"/>
      <c r="E1662" s="414" t="n"/>
      <c r="F1662" s="414" t="n"/>
      <c r="G1662" s="414" t="n"/>
      <c r="H1662" s="414" t="n"/>
      <c r="J1662" s="457" t="n"/>
      <c r="K1662" s="457" t="n"/>
      <c r="L1662" s="458" t="n"/>
      <c r="M1662" s="458" t="n"/>
      <c r="N1662" s="458" t="n"/>
      <c r="O1662" s="459" t="n"/>
      <c r="P1662" s="460" t="n"/>
      <c r="Q1662" s="460" t="n"/>
      <c r="R1662" s="460" t="n"/>
      <c r="S1662" s="460" t="n"/>
      <c r="T1662" s="460" t="n"/>
      <c r="U1662" s="460" t="n"/>
      <c r="V1662" s="460" t="n"/>
      <c r="W1662" s="461" t="n"/>
      <c r="X1662" s="461" t="n"/>
      <c r="Y1662" s="461" t="n"/>
      <c r="Z1662" s="461" t="n"/>
      <c r="AA1662" s="462" t="n"/>
      <c r="AB1662" s="462" t="n"/>
      <c r="AC1662" s="462" t="n"/>
      <c r="AD1662" s="462" t="n"/>
      <c r="AE1662" s="462" t="n"/>
      <c r="AF1662" s="462" t="n"/>
      <c r="AG1662" s="462" t="n"/>
      <c r="AH1662" s="462" t="n"/>
      <c r="AI1662" s="461" t="n"/>
      <c r="AJ1662" s="461" t="n"/>
      <c r="AK1662" s="463" t="n"/>
      <c r="AL1662" s="461" t="n"/>
      <c r="AM1662" s="461" t="n"/>
      <c r="AN1662" s="461" t="n"/>
      <c r="AO1662" s="461" t="n"/>
      <c r="AP1662" s="464" t="n"/>
      <c r="AQ1662" s="464" t="n"/>
      <c r="AR1662" s="461" t="n"/>
      <c r="AS1662" s="461" t="n"/>
      <c r="AT1662" s="461" t="n"/>
      <c r="AU1662" s="461" t="n"/>
      <c r="AV1662" s="461" t="n"/>
      <c r="AW1662" s="461" t="n"/>
      <c r="AX1662" s="461" t="n"/>
    </row>
    <row r="1663">
      <c r="A1663" s="413" t="n"/>
      <c r="B1663" s="413" t="n"/>
      <c r="C1663" s="413" t="n"/>
      <c r="D1663" s="414" t="n"/>
      <c r="E1663" s="414" t="n"/>
      <c r="F1663" s="414" t="n"/>
      <c r="G1663" s="414" t="n"/>
      <c r="H1663" s="414" t="n"/>
      <c r="J1663" s="457" t="n"/>
      <c r="K1663" s="457" t="n"/>
      <c r="L1663" s="458" t="n"/>
      <c r="M1663" s="458" t="n"/>
      <c r="N1663" s="458" t="n"/>
      <c r="O1663" s="459" t="n"/>
      <c r="P1663" s="460" t="n"/>
      <c r="Q1663" s="460" t="n"/>
      <c r="R1663" s="460" t="n"/>
      <c r="S1663" s="460" t="n"/>
      <c r="T1663" s="460" t="n"/>
      <c r="U1663" s="460" t="n"/>
      <c r="V1663" s="460" t="n"/>
      <c r="W1663" s="461" t="n"/>
      <c r="X1663" s="461" t="n"/>
      <c r="Y1663" s="461" t="n"/>
      <c r="Z1663" s="461" t="n"/>
      <c r="AA1663" s="462" t="n"/>
      <c r="AB1663" s="462" t="n"/>
      <c r="AC1663" s="462" t="n"/>
      <c r="AD1663" s="462" t="n"/>
      <c r="AE1663" s="462" t="n"/>
      <c r="AF1663" s="462" t="n"/>
      <c r="AG1663" s="462" t="n"/>
      <c r="AH1663" s="462" t="n"/>
      <c r="AI1663" s="461" t="n"/>
      <c r="AJ1663" s="461" t="n"/>
      <c r="AK1663" s="463" t="n"/>
      <c r="AL1663" s="461" t="n"/>
      <c r="AM1663" s="461" t="n"/>
      <c r="AN1663" s="461" t="n"/>
      <c r="AO1663" s="461" t="n"/>
      <c r="AP1663" s="464" t="n"/>
      <c r="AQ1663" s="464" t="n"/>
      <c r="AR1663" s="461" t="n"/>
      <c r="AS1663" s="461" t="n"/>
      <c r="AT1663" s="461" t="n"/>
      <c r="AU1663" s="461" t="n"/>
      <c r="AV1663" s="461" t="n"/>
      <c r="AW1663" s="461" t="n"/>
      <c r="AX1663" s="461" t="n"/>
    </row>
    <row r="1664">
      <c r="A1664" s="413" t="n"/>
      <c r="B1664" s="413" t="n"/>
      <c r="C1664" s="413" t="n"/>
      <c r="D1664" s="414" t="n"/>
      <c r="E1664" s="414" t="n"/>
      <c r="F1664" s="414" t="n"/>
      <c r="G1664" s="414" t="n"/>
      <c r="H1664" s="414" t="n"/>
      <c r="J1664" s="457" t="n"/>
      <c r="K1664" s="457" t="n"/>
      <c r="L1664" s="458" t="n"/>
      <c r="M1664" s="458" t="n"/>
      <c r="N1664" s="458" t="n"/>
      <c r="O1664" s="459" t="n"/>
      <c r="P1664" s="460" t="n"/>
      <c r="Q1664" s="460" t="n"/>
      <c r="R1664" s="460" t="n"/>
      <c r="S1664" s="460" t="n"/>
      <c r="T1664" s="460" t="n"/>
      <c r="U1664" s="460" t="n"/>
      <c r="V1664" s="460" t="n"/>
      <c r="W1664" s="461" t="n"/>
      <c r="X1664" s="461" t="n"/>
      <c r="Y1664" s="461" t="n"/>
      <c r="Z1664" s="461" t="n"/>
      <c r="AA1664" s="462" t="n"/>
      <c r="AB1664" s="462" t="n"/>
      <c r="AC1664" s="462" t="n"/>
      <c r="AD1664" s="462" t="n"/>
      <c r="AE1664" s="462" t="n"/>
      <c r="AF1664" s="462" t="n"/>
      <c r="AG1664" s="462" t="n"/>
      <c r="AH1664" s="462" t="n"/>
      <c r="AI1664" s="461" t="n"/>
      <c r="AJ1664" s="461" t="n"/>
      <c r="AK1664" s="463" t="n"/>
      <c r="AL1664" s="461" t="n"/>
      <c r="AM1664" s="461" t="n"/>
      <c r="AN1664" s="461" t="n"/>
      <c r="AO1664" s="461" t="n"/>
      <c r="AP1664" s="464" t="n"/>
      <c r="AQ1664" s="464" t="n"/>
      <c r="AR1664" s="461" t="n"/>
      <c r="AS1664" s="461" t="n"/>
      <c r="AT1664" s="461" t="n"/>
      <c r="AU1664" s="461" t="n"/>
      <c r="AV1664" s="461" t="n"/>
      <c r="AW1664" s="461" t="n"/>
      <c r="AX1664" s="461" t="n"/>
    </row>
    <row r="1665">
      <c r="A1665" s="413" t="n"/>
      <c r="B1665" s="413" t="n"/>
      <c r="C1665" s="413" t="n"/>
      <c r="D1665" s="414" t="n"/>
      <c r="E1665" s="414" t="n"/>
      <c r="F1665" s="414" t="n"/>
      <c r="G1665" s="414" t="n"/>
      <c r="H1665" s="414" t="n"/>
      <c r="J1665" s="457" t="n"/>
      <c r="K1665" s="457" t="n"/>
      <c r="L1665" s="458" t="n"/>
      <c r="M1665" s="458" t="n"/>
      <c r="N1665" s="458" t="n"/>
      <c r="O1665" s="459" t="n"/>
      <c r="P1665" s="460" t="n"/>
      <c r="Q1665" s="460" t="n"/>
      <c r="R1665" s="460" t="n"/>
      <c r="S1665" s="460" t="n"/>
      <c r="T1665" s="460" t="n"/>
      <c r="U1665" s="460" t="n"/>
      <c r="V1665" s="460" t="n"/>
      <c r="W1665" s="461" t="n"/>
      <c r="X1665" s="461" t="n"/>
      <c r="Y1665" s="461" t="n"/>
      <c r="Z1665" s="461" t="n"/>
      <c r="AA1665" s="462" t="n"/>
      <c r="AB1665" s="462" t="n"/>
      <c r="AC1665" s="462" t="n"/>
      <c r="AD1665" s="462" t="n"/>
      <c r="AE1665" s="462" t="n"/>
      <c r="AF1665" s="462" t="n"/>
      <c r="AG1665" s="462" t="n"/>
      <c r="AH1665" s="462" t="n"/>
      <c r="AI1665" s="461" t="n"/>
      <c r="AJ1665" s="461" t="n"/>
      <c r="AK1665" s="463" t="n"/>
      <c r="AL1665" s="461" t="n"/>
      <c r="AM1665" s="461" t="n"/>
      <c r="AN1665" s="461" t="n"/>
      <c r="AO1665" s="461" t="n"/>
      <c r="AP1665" s="464" t="n"/>
      <c r="AQ1665" s="464" t="n"/>
      <c r="AR1665" s="461" t="n"/>
      <c r="AS1665" s="461" t="n"/>
      <c r="AT1665" s="461" t="n"/>
      <c r="AU1665" s="461" t="n"/>
      <c r="AV1665" s="461" t="n"/>
      <c r="AW1665" s="461" t="n"/>
      <c r="AX1665" s="461" t="n"/>
    </row>
    <row r="1666">
      <c r="A1666" s="413" t="n"/>
      <c r="B1666" s="413" t="n"/>
      <c r="C1666" s="413" t="n"/>
      <c r="D1666" s="414" t="n"/>
      <c r="E1666" s="414" t="n"/>
      <c r="F1666" s="414" t="n"/>
      <c r="G1666" s="414" t="n"/>
      <c r="H1666" s="414" t="n"/>
      <c r="J1666" s="457" t="n"/>
      <c r="K1666" s="457" t="n"/>
      <c r="L1666" s="458" t="n"/>
      <c r="M1666" s="458" t="n"/>
      <c r="N1666" s="458" t="n"/>
      <c r="O1666" s="459" t="n"/>
      <c r="P1666" s="460" t="n"/>
      <c r="Q1666" s="460" t="n"/>
      <c r="R1666" s="460" t="n"/>
      <c r="S1666" s="460" t="n"/>
      <c r="T1666" s="460" t="n"/>
      <c r="U1666" s="460" t="n"/>
      <c r="V1666" s="460" t="n"/>
      <c r="W1666" s="461" t="n"/>
      <c r="X1666" s="461" t="n"/>
      <c r="Y1666" s="461" t="n"/>
      <c r="Z1666" s="461" t="n"/>
      <c r="AA1666" s="462" t="n"/>
      <c r="AB1666" s="462" t="n"/>
      <c r="AC1666" s="462" t="n"/>
      <c r="AD1666" s="462" t="n"/>
      <c r="AE1666" s="462" t="n"/>
      <c r="AF1666" s="462" t="n"/>
      <c r="AG1666" s="462" t="n"/>
      <c r="AH1666" s="462" t="n"/>
      <c r="AI1666" s="461" t="n"/>
      <c r="AJ1666" s="461" t="n"/>
      <c r="AK1666" s="463" t="n"/>
      <c r="AL1666" s="461" t="n"/>
      <c r="AM1666" s="461" t="n"/>
      <c r="AN1666" s="461" t="n"/>
      <c r="AO1666" s="461" t="n"/>
      <c r="AP1666" s="464" t="n"/>
      <c r="AQ1666" s="464" t="n"/>
      <c r="AR1666" s="461" t="n"/>
      <c r="AS1666" s="461" t="n"/>
      <c r="AT1666" s="461" t="n"/>
      <c r="AU1666" s="461" t="n"/>
      <c r="AV1666" s="461" t="n"/>
      <c r="AW1666" s="461" t="n"/>
      <c r="AX1666" s="461" t="n"/>
    </row>
    <row r="1667">
      <c r="A1667" s="413" t="n"/>
      <c r="B1667" s="413" t="n"/>
      <c r="C1667" s="413" t="n"/>
      <c r="D1667" s="414" t="n"/>
      <c r="E1667" s="414" t="n"/>
      <c r="F1667" s="414" t="n"/>
      <c r="G1667" s="414" t="n"/>
      <c r="H1667" s="414" t="n"/>
      <c r="J1667" s="457" t="n"/>
      <c r="K1667" s="457" t="n"/>
      <c r="L1667" s="458" t="n"/>
      <c r="M1667" s="458" t="n"/>
      <c r="N1667" s="458" t="n"/>
      <c r="O1667" s="459" t="n"/>
      <c r="P1667" s="460" t="n"/>
      <c r="Q1667" s="460" t="n"/>
      <c r="R1667" s="460" t="n"/>
      <c r="S1667" s="460" t="n"/>
      <c r="T1667" s="460" t="n"/>
      <c r="U1667" s="460" t="n"/>
      <c r="V1667" s="460" t="n"/>
      <c r="W1667" s="461" t="n"/>
      <c r="X1667" s="461" t="n"/>
      <c r="Y1667" s="461" t="n"/>
      <c r="Z1667" s="461" t="n"/>
      <c r="AA1667" s="462" t="n"/>
      <c r="AB1667" s="462" t="n"/>
      <c r="AC1667" s="462" t="n"/>
      <c r="AD1667" s="462" t="n"/>
      <c r="AE1667" s="462" t="n"/>
      <c r="AF1667" s="462" t="n"/>
      <c r="AG1667" s="462" t="n"/>
      <c r="AH1667" s="462" t="n"/>
      <c r="AI1667" s="461" t="n"/>
      <c r="AJ1667" s="461" t="n"/>
      <c r="AK1667" s="463" t="n"/>
      <c r="AL1667" s="461" t="n"/>
      <c r="AM1667" s="461" t="n"/>
      <c r="AN1667" s="461" t="n"/>
      <c r="AO1667" s="461" t="n"/>
      <c r="AP1667" s="464" t="n"/>
      <c r="AQ1667" s="464" t="n"/>
      <c r="AR1667" s="461" t="n"/>
      <c r="AS1667" s="461" t="n"/>
      <c r="AT1667" s="461" t="n"/>
      <c r="AU1667" s="461" t="n"/>
      <c r="AV1667" s="461" t="n"/>
      <c r="AW1667" s="461" t="n"/>
      <c r="AX1667" s="461" t="n"/>
    </row>
    <row r="1668">
      <c r="A1668" s="413" t="n"/>
      <c r="B1668" s="413" t="n"/>
      <c r="C1668" s="413" t="n"/>
      <c r="D1668" s="414" t="n"/>
      <c r="E1668" s="414" t="n"/>
      <c r="F1668" s="414" t="n"/>
      <c r="G1668" s="414" t="n"/>
      <c r="H1668" s="414" t="n"/>
      <c r="J1668" s="457" t="n"/>
      <c r="K1668" s="457" t="n"/>
      <c r="L1668" s="458" t="n"/>
      <c r="M1668" s="458" t="n"/>
      <c r="N1668" s="458" t="n"/>
      <c r="O1668" s="459" t="n"/>
      <c r="P1668" s="460" t="n"/>
      <c r="Q1668" s="460" t="n"/>
      <c r="R1668" s="460" t="n"/>
      <c r="S1668" s="460" t="n"/>
      <c r="T1668" s="460" t="n"/>
      <c r="U1668" s="460" t="n"/>
      <c r="V1668" s="460" t="n"/>
      <c r="W1668" s="461" t="n"/>
      <c r="X1668" s="461" t="n"/>
      <c r="Y1668" s="461" t="n"/>
      <c r="Z1668" s="461" t="n"/>
      <c r="AA1668" s="462" t="n"/>
      <c r="AB1668" s="462" t="n"/>
      <c r="AC1668" s="462" t="n"/>
      <c r="AD1668" s="462" t="n"/>
      <c r="AE1668" s="462" t="n"/>
      <c r="AF1668" s="462" t="n"/>
      <c r="AG1668" s="462" t="n"/>
      <c r="AH1668" s="462" t="n"/>
      <c r="AI1668" s="461" t="n"/>
      <c r="AJ1668" s="461" t="n"/>
      <c r="AK1668" s="463" t="n"/>
      <c r="AL1668" s="461" t="n"/>
      <c r="AM1668" s="461" t="n"/>
      <c r="AN1668" s="461" t="n"/>
      <c r="AO1668" s="461" t="n"/>
      <c r="AP1668" s="464" t="n"/>
      <c r="AQ1668" s="464" t="n"/>
      <c r="AR1668" s="461" t="n"/>
      <c r="AS1668" s="461" t="n"/>
      <c r="AT1668" s="461" t="n"/>
      <c r="AU1668" s="461" t="n"/>
      <c r="AV1668" s="461" t="n"/>
      <c r="AW1668" s="461" t="n"/>
      <c r="AX1668" s="461" t="n"/>
    </row>
    <row r="1669">
      <c r="A1669" s="413" t="n"/>
      <c r="B1669" s="413" t="n"/>
      <c r="C1669" s="413" t="n"/>
      <c r="D1669" s="414" t="n"/>
      <c r="E1669" s="414" t="n"/>
      <c r="F1669" s="414" t="n"/>
      <c r="G1669" s="414" t="n"/>
      <c r="H1669" s="414" t="n"/>
      <c r="J1669" s="457" t="n"/>
      <c r="K1669" s="457" t="n"/>
      <c r="L1669" s="458" t="n"/>
      <c r="M1669" s="458" t="n"/>
      <c r="N1669" s="458" t="n"/>
      <c r="O1669" s="459" t="n"/>
      <c r="P1669" s="460" t="n"/>
      <c r="Q1669" s="460" t="n"/>
      <c r="R1669" s="460" t="n"/>
      <c r="S1669" s="460" t="n"/>
      <c r="T1669" s="460" t="n"/>
      <c r="U1669" s="460" t="n"/>
      <c r="V1669" s="460" t="n"/>
      <c r="W1669" s="461" t="n"/>
      <c r="X1669" s="461" t="n"/>
      <c r="Y1669" s="461" t="n"/>
      <c r="Z1669" s="461" t="n"/>
      <c r="AA1669" s="462" t="n"/>
      <c r="AB1669" s="462" t="n"/>
      <c r="AC1669" s="462" t="n"/>
      <c r="AD1669" s="462" t="n"/>
      <c r="AE1669" s="462" t="n"/>
      <c r="AF1669" s="462" t="n"/>
      <c r="AG1669" s="462" t="n"/>
      <c r="AH1669" s="462" t="n"/>
      <c r="AI1669" s="461" t="n"/>
      <c r="AJ1669" s="461" t="n"/>
      <c r="AK1669" s="463" t="n"/>
      <c r="AL1669" s="461" t="n"/>
      <c r="AM1669" s="461" t="n"/>
      <c r="AN1669" s="461" t="n"/>
      <c r="AO1669" s="461" t="n"/>
      <c r="AP1669" s="464" t="n"/>
      <c r="AQ1669" s="464" t="n"/>
      <c r="AR1669" s="461" t="n"/>
      <c r="AS1669" s="461" t="n"/>
      <c r="AT1669" s="461" t="n"/>
      <c r="AU1669" s="461" t="n"/>
      <c r="AV1669" s="461" t="n"/>
      <c r="AW1669" s="461" t="n"/>
      <c r="AX1669" s="461" t="n"/>
    </row>
    <row r="1670">
      <c r="A1670" s="413" t="n"/>
      <c r="B1670" s="413" t="n"/>
      <c r="C1670" s="413" t="n"/>
      <c r="D1670" s="414" t="n"/>
      <c r="E1670" s="414" t="n"/>
      <c r="F1670" s="414" t="n"/>
      <c r="G1670" s="414" t="n"/>
      <c r="H1670" s="414" t="n"/>
      <c r="J1670" s="457" t="n"/>
      <c r="K1670" s="457" t="n"/>
      <c r="L1670" s="458" t="n"/>
      <c r="M1670" s="458" t="n"/>
      <c r="N1670" s="458" t="n"/>
      <c r="O1670" s="459" t="n"/>
      <c r="P1670" s="460" t="n"/>
      <c r="Q1670" s="460" t="n"/>
      <c r="R1670" s="460" t="n"/>
      <c r="S1670" s="460" t="n"/>
      <c r="T1670" s="460" t="n"/>
      <c r="U1670" s="460" t="n"/>
      <c r="V1670" s="460" t="n"/>
      <c r="W1670" s="461" t="n"/>
      <c r="X1670" s="461" t="n"/>
      <c r="Y1670" s="461" t="n"/>
      <c r="Z1670" s="461" t="n"/>
      <c r="AA1670" s="462" t="n"/>
      <c r="AB1670" s="462" t="n"/>
      <c r="AC1670" s="462" t="n"/>
      <c r="AD1670" s="462" t="n"/>
      <c r="AE1670" s="462" t="n"/>
      <c r="AF1670" s="462" t="n"/>
      <c r="AG1670" s="462" t="n"/>
      <c r="AH1670" s="462" t="n"/>
      <c r="AI1670" s="461" t="n"/>
      <c r="AJ1670" s="461" t="n"/>
      <c r="AK1670" s="463" t="n"/>
      <c r="AL1670" s="461" t="n"/>
      <c r="AM1670" s="461" t="n"/>
      <c r="AN1670" s="461" t="n"/>
      <c r="AO1670" s="461" t="n"/>
      <c r="AP1670" s="464" t="n"/>
      <c r="AQ1670" s="464" t="n"/>
      <c r="AR1670" s="461" t="n"/>
      <c r="AS1670" s="461" t="n"/>
      <c r="AT1670" s="461" t="n"/>
      <c r="AU1670" s="461" t="n"/>
      <c r="AV1670" s="461" t="n"/>
      <c r="AW1670" s="461" t="n"/>
      <c r="AX1670" s="461" t="n"/>
    </row>
    <row r="1671">
      <c r="A1671" s="413" t="n"/>
      <c r="B1671" s="413" t="n"/>
      <c r="C1671" s="413" t="n"/>
      <c r="D1671" s="414" t="n"/>
      <c r="E1671" s="414" t="n"/>
      <c r="F1671" s="414" t="n"/>
      <c r="G1671" s="414" t="n"/>
      <c r="H1671" s="414" t="n"/>
      <c r="J1671" s="457" t="n"/>
      <c r="K1671" s="457" t="n"/>
      <c r="L1671" s="458" t="n"/>
      <c r="M1671" s="458" t="n"/>
      <c r="N1671" s="458" t="n"/>
      <c r="O1671" s="459" t="n"/>
      <c r="P1671" s="460" t="n"/>
      <c r="Q1671" s="460" t="n"/>
      <c r="R1671" s="460" t="n"/>
      <c r="S1671" s="460" t="n"/>
      <c r="T1671" s="460" t="n"/>
      <c r="U1671" s="460" t="n"/>
      <c r="V1671" s="460" t="n"/>
      <c r="W1671" s="461" t="n"/>
      <c r="X1671" s="461" t="n"/>
      <c r="Y1671" s="461" t="n"/>
      <c r="Z1671" s="461" t="n"/>
      <c r="AA1671" s="462" t="n"/>
      <c r="AB1671" s="462" t="n"/>
      <c r="AC1671" s="462" t="n"/>
      <c r="AD1671" s="462" t="n"/>
      <c r="AE1671" s="462" t="n"/>
      <c r="AF1671" s="462" t="n"/>
      <c r="AG1671" s="462" t="n"/>
      <c r="AH1671" s="462" t="n"/>
      <c r="AI1671" s="461" t="n"/>
      <c r="AJ1671" s="461" t="n"/>
      <c r="AK1671" s="463" t="n"/>
      <c r="AL1671" s="461" t="n"/>
      <c r="AM1671" s="461" t="n"/>
      <c r="AN1671" s="461" t="n"/>
      <c r="AO1671" s="461" t="n"/>
      <c r="AP1671" s="464" t="n"/>
      <c r="AQ1671" s="464" t="n"/>
      <c r="AR1671" s="461" t="n"/>
      <c r="AS1671" s="461" t="n"/>
      <c r="AT1671" s="461" t="n"/>
      <c r="AU1671" s="461" t="n"/>
      <c r="AV1671" s="461" t="n"/>
      <c r="AW1671" s="461" t="n"/>
      <c r="AX1671" s="461" t="n"/>
    </row>
    <row r="1672">
      <c r="A1672" s="413" t="n"/>
      <c r="B1672" s="413" t="n"/>
      <c r="C1672" s="413" t="n"/>
      <c r="D1672" s="414" t="n"/>
      <c r="E1672" s="414" t="n"/>
      <c r="F1672" s="414" t="n"/>
      <c r="G1672" s="414" t="n"/>
      <c r="H1672" s="414" t="n"/>
      <c r="J1672" s="457" t="n"/>
      <c r="K1672" s="457" t="n"/>
      <c r="L1672" s="458" t="n"/>
      <c r="M1672" s="458" t="n"/>
      <c r="N1672" s="458" t="n"/>
      <c r="O1672" s="459" t="n"/>
      <c r="P1672" s="460" t="n"/>
      <c r="Q1672" s="460" t="n"/>
      <c r="R1672" s="460" t="n"/>
      <c r="S1672" s="460" t="n"/>
      <c r="T1672" s="460" t="n"/>
      <c r="U1672" s="460" t="n"/>
      <c r="V1672" s="460" t="n"/>
      <c r="W1672" s="461" t="n"/>
      <c r="X1672" s="461" t="n"/>
      <c r="Y1672" s="461" t="n"/>
      <c r="Z1672" s="461" t="n"/>
      <c r="AA1672" s="462" t="n"/>
      <c r="AB1672" s="462" t="n"/>
      <c r="AC1672" s="462" t="n"/>
      <c r="AD1672" s="462" t="n"/>
      <c r="AE1672" s="462" t="n"/>
      <c r="AF1672" s="462" t="n"/>
      <c r="AG1672" s="462" t="n"/>
      <c r="AH1672" s="462" t="n"/>
      <c r="AI1672" s="461" t="n"/>
      <c r="AJ1672" s="461" t="n"/>
      <c r="AK1672" s="463" t="n"/>
      <c r="AL1672" s="461" t="n"/>
      <c r="AM1672" s="461" t="n"/>
      <c r="AN1672" s="461" t="n"/>
      <c r="AO1672" s="461" t="n"/>
      <c r="AP1672" s="464" t="n"/>
      <c r="AQ1672" s="464" t="n"/>
      <c r="AR1672" s="461" t="n"/>
      <c r="AS1672" s="461" t="n"/>
      <c r="AT1672" s="461" t="n"/>
      <c r="AU1672" s="461" t="n"/>
      <c r="AV1672" s="461" t="n"/>
      <c r="AW1672" s="461" t="n"/>
      <c r="AX1672" s="461" t="n"/>
    </row>
    <row r="1673">
      <c r="A1673" s="413" t="n"/>
      <c r="B1673" s="413" t="n"/>
      <c r="C1673" s="413" t="n"/>
      <c r="D1673" s="414" t="n"/>
      <c r="E1673" s="414" t="n"/>
      <c r="F1673" s="414" t="n"/>
      <c r="G1673" s="414" t="n"/>
      <c r="H1673" s="414" t="n"/>
      <c r="J1673" s="457" t="n"/>
      <c r="K1673" s="457" t="n"/>
      <c r="L1673" s="458" t="n"/>
      <c r="M1673" s="458" t="n"/>
      <c r="N1673" s="458" t="n"/>
      <c r="O1673" s="459" t="n"/>
      <c r="P1673" s="460" t="n"/>
      <c r="Q1673" s="460" t="n"/>
      <c r="R1673" s="460" t="n"/>
      <c r="S1673" s="460" t="n"/>
      <c r="T1673" s="460" t="n"/>
      <c r="U1673" s="460" t="n"/>
      <c r="V1673" s="460" t="n"/>
      <c r="W1673" s="461" t="n"/>
      <c r="X1673" s="461" t="n"/>
      <c r="Y1673" s="461" t="n"/>
      <c r="Z1673" s="461" t="n"/>
      <c r="AA1673" s="462" t="n"/>
      <c r="AB1673" s="462" t="n"/>
      <c r="AC1673" s="462" t="n"/>
      <c r="AD1673" s="462" t="n"/>
      <c r="AE1673" s="462" t="n"/>
      <c r="AF1673" s="462" t="n"/>
      <c r="AG1673" s="462" t="n"/>
      <c r="AH1673" s="462" t="n"/>
      <c r="AI1673" s="461" t="n"/>
      <c r="AJ1673" s="461" t="n"/>
      <c r="AK1673" s="463" t="n"/>
      <c r="AL1673" s="461" t="n"/>
      <c r="AM1673" s="461" t="n"/>
      <c r="AN1673" s="461" t="n"/>
      <c r="AO1673" s="461" t="n"/>
      <c r="AP1673" s="464" t="n"/>
      <c r="AQ1673" s="464" t="n"/>
      <c r="AR1673" s="461" t="n"/>
      <c r="AS1673" s="461" t="n"/>
      <c r="AT1673" s="461" t="n"/>
      <c r="AU1673" s="461" t="n"/>
      <c r="AV1673" s="461" t="n"/>
      <c r="AW1673" s="461" t="n"/>
      <c r="AX1673" s="461" t="n"/>
    </row>
    <row r="1674">
      <c r="A1674" s="413" t="n"/>
      <c r="B1674" s="413" t="n"/>
      <c r="C1674" s="413" t="n"/>
      <c r="D1674" s="414" t="n"/>
      <c r="E1674" s="414" t="n"/>
      <c r="F1674" s="414" t="n"/>
      <c r="G1674" s="414" t="n"/>
      <c r="H1674" s="414" t="n"/>
      <c r="J1674" s="457" t="n"/>
      <c r="K1674" s="457" t="n"/>
      <c r="L1674" s="458" t="n"/>
      <c r="M1674" s="458" t="n"/>
      <c r="N1674" s="458" t="n"/>
      <c r="O1674" s="459" t="n"/>
      <c r="P1674" s="460" t="n"/>
      <c r="Q1674" s="460" t="n"/>
      <c r="R1674" s="460" t="n"/>
      <c r="S1674" s="460" t="n"/>
      <c r="T1674" s="460" t="n"/>
      <c r="U1674" s="460" t="n"/>
      <c r="V1674" s="460" t="n"/>
      <c r="W1674" s="461" t="n"/>
      <c r="X1674" s="461" t="n"/>
      <c r="Y1674" s="461" t="n"/>
      <c r="Z1674" s="461" t="n"/>
      <c r="AA1674" s="462" t="n"/>
      <c r="AB1674" s="462" t="n"/>
      <c r="AC1674" s="462" t="n"/>
      <c r="AD1674" s="462" t="n"/>
      <c r="AE1674" s="462" t="n"/>
      <c r="AF1674" s="462" t="n"/>
      <c r="AG1674" s="462" t="n"/>
      <c r="AH1674" s="462" t="n"/>
      <c r="AI1674" s="461" t="n"/>
      <c r="AJ1674" s="461" t="n"/>
      <c r="AK1674" s="463" t="n"/>
      <c r="AL1674" s="461" t="n"/>
      <c r="AM1674" s="461" t="n"/>
      <c r="AN1674" s="461" t="n"/>
      <c r="AO1674" s="461" t="n"/>
      <c r="AP1674" s="464" t="n"/>
      <c r="AQ1674" s="464" t="n"/>
      <c r="AR1674" s="461" t="n"/>
      <c r="AS1674" s="461" t="n"/>
      <c r="AT1674" s="461" t="n"/>
      <c r="AU1674" s="461" t="n"/>
      <c r="AV1674" s="461" t="n"/>
      <c r="AW1674" s="461" t="n"/>
      <c r="AX1674" s="461" t="n"/>
    </row>
    <row r="1675">
      <c r="A1675" s="413" t="n"/>
      <c r="B1675" s="413" t="n"/>
      <c r="C1675" s="413" t="n"/>
      <c r="D1675" s="414" t="n"/>
      <c r="E1675" s="414" t="n"/>
      <c r="F1675" s="414" t="n"/>
      <c r="G1675" s="414" t="n"/>
      <c r="H1675" s="414" t="n"/>
      <c r="J1675" s="457" t="n"/>
      <c r="K1675" s="457" t="n"/>
      <c r="L1675" s="458" t="n"/>
      <c r="M1675" s="458" t="n"/>
      <c r="N1675" s="458" t="n"/>
      <c r="O1675" s="459" t="n"/>
      <c r="P1675" s="460" t="n"/>
      <c r="Q1675" s="460" t="n"/>
      <c r="R1675" s="460" t="n"/>
      <c r="S1675" s="460" t="n"/>
      <c r="T1675" s="460" t="n"/>
      <c r="U1675" s="460" t="n"/>
      <c r="V1675" s="460" t="n"/>
      <c r="W1675" s="461" t="n"/>
      <c r="X1675" s="461" t="n"/>
      <c r="Y1675" s="461" t="n"/>
      <c r="Z1675" s="461" t="n"/>
      <c r="AA1675" s="462" t="n"/>
      <c r="AB1675" s="462" t="n"/>
      <c r="AC1675" s="462" t="n"/>
      <c r="AD1675" s="462" t="n"/>
      <c r="AE1675" s="462" t="n"/>
      <c r="AF1675" s="462" t="n"/>
      <c r="AG1675" s="462" t="n"/>
      <c r="AH1675" s="462" t="n"/>
      <c r="AI1675" s="461" t="n"/>
      <c r="AJ1675" s="461" t="n"/>
      <c r="AK1675" s="463" t="n"/>
      <c r="AL1675" s="461" t="n"/>
      <c r="AM1675" s="461" t="n"/>
      <c r="AN1675" s="461" t="n"/>
      <c r="AO1675" s="461" t="n"/>
      <c r="AP1675" s="464" t="n"/>
      <c r="AQ1675" s="464" t="n"/>
      <c r="AR1675" s="461" t="n"/>
      <c r="AS1675" s="461" t="n"/>
      <c r="AT1675" s="461" t="n"/>
      <c r="AU1675" s="461" t="n"/>
      <c r="AV1675" s="461" t="n"/>
      <c r="AW1675" s="461" t="n"/>
      <c r="AX1675" s="461" t="n"/>
    </row>
    <row r="1676">
      <c r="A1676" s="413" t="n"/>
      <c r="B1676" s="413" t="n"/>
      <c r="C1676" s="413" t="n"/>
      <c r="D1676" s="414" t="n"/>
      <c r="E1676" s="414" t="n"/>
      <c r="F1676" s="414" t="n"/>
      <c r="G1676" s="414" t="n"/>
      <c r="H1676" s="414" t="n"/>
      <c r="J1676" s="457" t="n"/>
      <c r="K1676" s="457" t="n"/>
      <c r="L1676" s="458" t="n"/>
      <c r="M1676" s="458" t="n"/>
      <c r="N1676" s="458" t="n"/>
      <c r="O1676" s="459" t="n"/>
      <c r="P1676" s="460" t="n"/>
      <c r="Q1676" s="460" t="n"/>
      <c r="R1676" s="460" t="n"/>
      <c r="S1676" s="460" t="n"/>
      <c r="T1676" s="460" t="n"/>
      <c r="U1676" s="460" t="n"/>
      <c r="V1676" s="460" t="n"/>
      <c r="W1676" s="461" t="n"/>
      <c r="X1676" s="461" t="n"/>
      <c r="Y1676" s="461" t="n"/>
      <c r="Z1676" s="461" t="n"/>
      <c r="AA1676" s="462" t="n"/>
      <c r="AB1676" s="462" t="n"/>
      <c r="AC1676" s="462" t="n"/>
      <c r="AD1676" s="462" t="n"/>
      <c r="AE1676" s="462" t="n"/>
      <c r="AF1676" s="462" t="n"/>
      <c r="AG1676" s="462" t="n"/>
      <c r="AH1676" s="462" t="n"/>
      <c r="AI1676" s="461" t="n"/>
      <c r="AJ1676" s="461" t="n"/>
      <c r="AK1676" s="463" t="n"/>
      <c r="AL1676" s="461" t="n"/>
      <c r="AM1676" s="461" t="n"/>
      <c r="AN1676" s="461" t="n"/>
      <c r="AO1676" s="461" t="n"/>
      <c r="AP1676" s="464" t="n"/>
      <c r="AQ1676" s="464" t="n"/>
      <c r="AR1676" s="461" t="n"/>
      <c r="AS1676" s="461" t="n"/>
      <c r="AT1676" s="461" t="n"/>
      <c r="AU1676" s="461" t="n"/>
      <c r="AV1676" s="461" t="n"/>
      <c r="AW1676" s="461" t="n"/>
      <c r="AX1676" s="461" t="n"/>
    </row>
    <row r="1677">
      <c r="A1677" s="413" t="n"/>
      <c r="B1677" s="413" t="n"/>
      <c r="C1677" s="413" t="n"/>
      <c r="D1677" s="414" t="n"/>
      <c r="E1677" s="414" t="n"/>
      <c r="F1677" s="414" t="n"/>
      <c r="G1677" s="414" t="n"/>
      <c r="H1677" s="414" t="n"/>
      <c r="J1677" s="457" t="n"/>
      <c r="K1677" s="457" t="n"/>
      <c r="L1677" s="458" t="n"/>
      <c r="M1677" s="458" t="n"/>
      <c r="N1677" s="458" t="n"/>
      <c r="O1677" s="459" t="n"/>
      <c r="P1677" s="460" t="n"/>
      <c r="Q1677" s="460" t="n"/>
      <c r="R1677" s="460" t="n"/>
      <c r="S1677" s="460" t="n"/>
      <c r="T1677" s="460" t="n"/>
      <c r="U1677" s="460" t="n"/>
      <c r="V1677" s="460" t="n"/>
      <c r="W1677" s="461" t="n"/>
      <c r="X1677" s="461" t="n"/>
      <c r="Y1677" s="461" t="n"/>
      <c r="Z1677" s="461" t="n"/>
      <c r="AA1677" s="462" t="n"/>
      <c r="AB1677" s="462" t="n"/>
      <c r="AC1677" s="462" t="n"/>
      <c r="AD1677" s="462" t="n"/>
      <c r="AE1677" s="462" t="n"/>
      <c r="AF1677" s="462" t="n"/>
      <c r="AG1677" s="462" t="n"/>
      <c r="AH1677" s="462" t="n"/>
      <c r="AI1677" s="461" t="n"/>
      <c r="AJ1677" s="461" t="n"/>
      <c r="AK1677" s="463" t="n"/>
      <c r="AL1677" s="461" t="n"/>
      <c r="AM1677" s="461" t="n"/>
      <c r="AN1677" s="461" t="n"/>
      <c r="AO1677" s="461" t="n"/>
      <c r="AP1677" s="464" t="n"/>
      <c r="AQ1677" s="464" t="n"/>
      <c r="AR1677" s="461" t="n"/>
      <c r="AS1677" s="461" t="n"/>
      <c r="AT1677" s="461" t="n"/>
      <c r="AU1677" s="461" t="n"/>
      <c r="AV1677" s="461" t="n"/>
      <c r="AW1677" s="461" t="n"/>
      <c r="AX1677" s="461" t="n"/>
    </row>
    <row r="1678">
      <c r="A1678" s="413" t="n"/>
      <c r="B1678" s="413" t="n"/>
      <c r="C1678" s="413" t="n"/>
      <c r="D1678" s="414" t="n"/>
      <c r="E1678" s="414" t="n"/>
      <c r="F1678" s="414" t="n"/>
      <c r="G1678" s="414" t="n"/>
      <c r="H1678" s="414" t="n"/>
      <c r="J1678" s="457" t="n"/>
      <c r="K1678" s="457" t="n"/>
      <c r="L1678" s="458" t="n"/>
      <c r="M1678" s="458" t="n"/>
      <c r="N1678" s="458" t="n"/>
      <c r="O1678" s="459" t="n"/>
      <c r="P1678" s="460" t="n"/>
      <c r="Q1678" s="460" t="n"/>
      <c r="R1678" s="460" t="n"/>
      <c r="S1678" s="460" t="n"/>
      <c r="T1678" s="460" t="n"/>
      <c r="U1678" s="460" t="n"/>
      <c r="V1678" s="460" t="n"/>
      <c r="W1678" s="461" t="n"/>
      <c r="X1678" s="461" t="n"/>
      <c r="Y1678" s="461" t="n"/>
      <c r="Z1678" s="461" t="n"/>
      <c r="AA1678" s="462" t="n"/>
      <c r="AB1678" s="462" t="n"/>
      <c r="AC1678" s="462" t="n"/>
      <c r="AD1678" s="462" t="n"/>
      <c r="AE1678" s="462" t="n"/>
      <c r="AF1678" s="462" t="n"/>
      <c r="AG1678" s="462" t="n"/>
      <c r="AH1678" s="462" t="n"/>
      <c r="AI1678" s="461" t="n"/>
      <c r="AJ1678" s="461" t="n"/>
      <c r="AK1678" s="463" t="n"/>
      <c r="AL1678" s="461" t="n"/>
      <c r="AM1678" s="461" t="n"/>
      <c r="AN1678" s="461" t="n"/>
      <c r="AO1678" s="461" t="n"/>
      <c r="AP1678" s="464" t="n"/>
      <c r="AQ1678" s="464" t="n"/>
      <c r="AR1678" s="461" t="n"/>
      <c r="AS1678" s="461" t="n"/>
      <c r="AT1678" s="461" t="n"/>
      <c r="AU1678" s="461" t="n"/>
      <c r="AV1678" s="461" t="n"/>
      <c r="AW1678" s="461" t="n"/>
      <c r="AX1678" s="461" t="n"/>
    </row>
    <row r="1679">
      <c r="A1679" s="413" t="n"/>
      <c r="B1679" s="413" t="n"/>
      <c r="C1679" s="413" t="n"/>
      <c r="D1679" s="414" t="n"/>
      <c r="E1679" s="414" t="n"/>
      <c r="F1679" s="414" t="n"/>
      <c r="G1679" s="414" t="n"/>
      <c r="H1679" s="414" t="n"/>
      <c r="J1679" s="457" t="n"/>
      <c r="K1679" s="457" t="n"/>
      <c r="L1679" s="458" t="n"/>
      <c r="M1679" s="458" t="n"/>
      <c r="N1679" s="458" t="n"/>
      <c r="O1679" s="459" t="n"/>
      <c r="P1679" s="460" t="n"/>
      <c r="Q1679" s="460" t="n"/>
      <c r="R1679" s="460" t="n"/>
      <c r="S1679" s="460" t="n"/>
      <c r="T1679" s="460" t="n"/>
      <c r="U1679" s="460" t="n"/>
      <c r="V1679" s="460" t="n"/>
      <c r="W1679" s="461" t="n"/>
      <c r="X1679" s="461" t="n"/>
      <c r="Y1679" s="461" t="n"/>
      <c r="Z1679" s="461" t="n"/>
      <c r="AA1679" s="462" t="n"/>
      <c r="AB1679" s="462" t="n"/>
      <c r="AC1679" s="462" t="n"/>
      <c r="AD1679" s="462" t="n"/>
      <c r="AE1679" s="462" t="n"/>
      <c r="AF1679" s="462" t="n"/>
      <c r="AG1679" s="462" t="n"/>
      <c r="AH1679" s="462" t="n"/>
      <c r="AI1679" s="461" t="n"/>
      <c r="AJ1679" s="461" t="n"/>
      <c r="AK1679" s="463" t="n"/>
      <c r="AL1679" s="461" t="n"/>
      <c r="AM1679" s="461" t="n"/>
      <c r="AN1679" s="461" t="n"/>
      <c r="AO1679" s="461" t="n"/>
      <c r="AP1679" s="464" t="n"/>
      <c r="AQ1679" s="464" t="n"/>
      <c r="AR1679" s="461" t="n"/>
      <c r="AS1679" s="461" t="n"/>
      <c r="AT1679" s="461" t="n"/>
      <c r="AU1679" s="461" t="n"/>
      <c r="AV1679" s="461" t="n"/>
      <c r="AW1679" s="461" t="n"/>
      <c r="AX1679" s="461" t="n"/>
    </row>
    <row r="1680">
      <c r="A1680" s="413" t="n"/>
      <c r="B1680" s="413" t="n"/>
      <c r="C1680" s="413" t="n"/>
      <c r="D1680" s="414" t="n"/>
      <c r="E1680" s="414" t="n"/>
      <c r="F1680" s="414" t="n"/>
      <c r="G1680" s="414" t="n"/>
      <c r="H1680" s="414" t="n"/>
      <c r="J1680" s="457" t="n"/>
      <c r="K1680" s="457" t="n"/>
      <c r="L1680" s="458" t="n"/>
      <c r="M1680" s="458" t="n"/>
      <c r="N1680" s="458" t="n"/>
      <c r="O1680" s="459" t="n"/>
      <c r="P1680" s="460" t="n"/>
      <c r="Q1680" s="460" t="n"/>
      <c r="R1680" s="460" t="n"/>
      <c r="S1680" s="460" t="n"/>
      <c r="T1680" s="460" t="n"/>
      <c r="U1680" s="460" t="n"/>
      <c r="V1680" s="460" t="n"/>
      <c r="W1680" s="461" t="n"/>
      <c r="X1680" s="461" t="n"/>
      <c r="Y1680" s="461" t="n"/>
      <c r="Z1680" s="461" t="n"/>
      <c r="AA1680" s="462" t="n"/>
      <c r="AB1680" s="462" t="n"/>
      <c r="AC1680" s="462" t="n"/>
      <c r="AD1680" s="462" t="n"/>
      <c r="AE1680" s="462" t="n"/>
      <c r="AF1680" s="462" t="n"/>
      <c r="AG1680" s="462" t="n"/>
      <c r="AH1680" s="462" t="n"/>
      <c r="AI1680" s="461" t="n"/>
      <c r="AJ1680" s="461" t="n"/>
      <c r="AK1680" s="463" t="n"/>
      <c r="AL1680" s="461" t="n"/>
      <c r="AM1680" s="461" t="n"/>
      <c r="AN1680" s="461" t="n"/>
      <c r="AO1680" s="461" t="n"/>
      <c r="AP1680" s="464" t="n"/>
      <c r="AQ1680" s="464" t="n"/>
      <c r="AR1680" s="461" t="n"/>
      <c r="AS1680" s="461" t="n"/>
      <c r="AT1680" s="461" t="n"/>
      <c r="AU1680" s="461" t="n"/>
      <c r="AV1680" s="461" t="n"/>
      <c r="AW1680" s="461" t="n"/>
      <c r="AX1680" s="461" t="n"/>
    </row>
    <row r="1681">
      <c r="A1681" s="413" t="n"/>
      <c r="B1681" s="413" t="n"/>
      <c r="C1681" s="413" t="n"/>
      <c r="D1681" s="414" t="n"/>
      <c r="E1681" s="414" t="n"/>
      <c r="F1681" s="414" t="n"/>
      <c r="G1681" s="414" t="n"/>
      <c r="H1681" s="414" t="n"/>
      <c r="J1681" s="457" t="n"/>
      <c r="K1681" s="457" t="n"/>
      <c r="L1681" s="458" t="n"/>
      <c r="M1681" s="458" t="n"/>
      <c r="N1681" s="458" t="n"/>
      <c r="O1681" s="459" t="n"/>
      <c r="P1681" s="460" t="n"/>
      <c r="Q1681" s="460" t="n"/>
      <c r="R1681" s="460" t="n"/>
      <c r="S1681" s="460" t="n"/>
      <c r="T1681" s="460" t="n"/>
      <c r="U1681" s="460" t="n"/>
      <c r="V1681" s="460" t="n"/>
      <c r="W1681" s="461" t="n"/>
      <c r="X1681" s="461" t="n"/>
      <c r="Y1681" s="461" t="n"/>
      <c r="Z1681" s="461" t="n"/>
      <c r="AA1681" s="462" t="n"/>
      <c r="AB1681" s="462" t="n"/>
      <c r="AC1681" s="462" t="n"/>
      <c r="AD1681" s="462" t="n"/>
      <c r="AE1681" s="462" t="n"/>
      <c r="AF1681" s="462" t="n"/>
      <c r="AG1681" s="462" t="n"/>
      <c r="AH1681" s="462" t="n"/>
      <c r="AI1681" s="461" t="n"/>
      <c r="AJ1681" s="461" t="n"/>
      <c r="AK1681" s="463" t="n"/>
      <c r="AL1681" s="461" t="n"/>
      <c r="AM1681" s="461" t="n"/>
      <c r="AN1681" s="461" t="n"/>
      <c r="AO1681" s="461" t="n"/>
      <c r="AP1681" s="464" t="n"/>
      <c r="AQ1681" s="464" t="n"/>
      <c r="AR1681" s="461" t="n"/>
      <c r="AS1681" s="461" t="n"/>
      <c r="AT1681" s="461" t="n"/>
      <c r="AU1681" s="461" t="n"/>
      <c r="AV1681" s="461" t="n"/>
      <c r="AW1681" s="461" t="n"/>
      <c r="AX1681" s="461" t="n"/>
    </row>
    <row r="1682">
      <c r="A1682" s="413" t="n"/>
      <c r="B1682" s="413" t="n"/>
      <c r="C1682" s="413" t="n"/>
      <c r="D1682" s="414" t="n"/>
      <c r="E1682" s="414" t="n"/>
      <c r="F1682" s="414" t="n"/>
      <c r="G1682" s="414" t="n"/>
      <c r="H1682" s="414" t="n"/>
      <c r="J1682" s="457" t="n"/>
      <c r="K1682" s="457" t="n"/>
      <c r="L1682" s="458" t="n"/>
      <c r="M1682" s="458" t="n"/>
      <c r="N1682" s="458" t="n"/>
      <c r="O1682" s="459" t="n"/>
      <c r="P1682" s="460" t="n"/>
      <c r="Q1682" s="460" t="n"/>
      <c r="R1682" s="460" t="n"/>
      <c r="S1682" s="460" t="n"/>
      <c r="T1682" s="460" t="n"/>
      <c r="U1682" s="460" t="n"/>
      <c r="V1682" s="460" t="n"/>
      <c r="W1682" s="461" t="n"/>
      <c r="X1682" s="461" t="n"/>
      <c r="Y1682" s="461" t="n"/>
      <c r="Z1682" s="461" t="n"/>
      <c r="AA1682" s="462" t="n"/>
      <c r="AB1682" s="462" t="n"/>
      <c r="AC1682" s="462" t="n"/>
      <c r="AD1682" s="462" t="n"/>
      <c r="AE1682" s="462" t="n"/>
      <c r="AF1682" s="462" t="n"/>
      <c r="AG1682" s="462" t="n"/>
      <c r="AH1682" s="462" t="n"/>
      <c r="AI1682" s="461" t="n"/>
      <c r="AJ1682" s="461" t="n"/>
      <c r="AK1682" s="463" t="n"/>
      <c r="AL1682" s="461" t="n"/>
      <c r="AM1682" s="461" t="n"/>
      <c r="AN1682" s="461" t="n"/>
      <c r="AO1682" s="461" t="n"/>
      <c r="AP1682" s="464" t="n"/>
      <c r="AQ1682" s="464" t="n"/>
      <c r="AR1682" s="461" t="n"/>
      <c r="AS1682" s="461" t="n"/>
      <c r="AT1682" s="461" t="n"/>
      <c r="AU1682" s="461" t="n"/>
      <c r="AV1682" s="461" t="n"/>
      <c r="AW1682" s="461" t="n"/>
      <c r="AX1682" s="461" t="n"/>
    </row>
    <row r="1683">
      <c r="A1683" s="413" t="n"/>
      <c r="B1683" s="413" t="n"/>
      <c r="C1683" s="413" t="n"/>
      <c r="D1683" s="414" t="n"/>
      <c r="E1683" s="414" t="n"/>
      <c r="F1683" s="414" t="n"/>
      <c r="G1683" s="414" t="n"/>
      <c r="H1683" s="414" t="n"/>
      <c r="J1683" s="457" t="n"/>
      <c r="K1683" s="457" t="n"/>
      <c r="L1683" s="458" t="n"/>
      <c r="M1683" s="458" t="n"/>
      <c r="N1683" s="458" t="n"/>
      <c r="O1683" s="459" t="n"/>
      <c r="P1683" s="460" t="n"/>
      <c r="Q1683" s="460" t="n"/>
      <c r="R1683" s="460" t="n"/>
      <c r="S1683" s="460" t="n"/>
      <c r="T1683" s="460" t="n"/>
      <c r="U1683" s="460" t="n"/>
      <c r="V1683" s="460" t="n"/>
      <c r="W1683" s="461" t="n"/>
      <c r="X1683" s="461" t="n"/>
      <c r="Y1683" s="461" t="n"/>
      <c r="Z1683" s="461" t="n"/>
      <c r="AA1683" s="462" t="n"/>
      <c r="AB1683" s="462" t="n"/>
      <c r="AC1683" s="462" t="n"/>
      <c r="AD1683" s="462" t="n"/>
      <c r="AE1683" s="462" t="n"/>
      <c r="AF1683" s="462" t="n"/>
      <c r="AG1683" s="462" t="n"/>
      <c r="AH1683" s="462" t="n"/>
      <c r="AI1683" s="461" t="n"/>
      <c r="AJ1683" s="461" t="n"/>
      <c r="AK1683" s="463" t="n"/>
      <c r="AL1683" s="461" t="n"/>
      <c r="AM1683" s="461" t="n"/>
      <c r="AN1683" s="461" t="n"/>
      <c r="AO1683" s="461" t="n"/>
      <c r="AP1683" s="464" t="n"/>
      <c r="AQ1683" s="464" t="n"/>
      <c r="AR1683" s="461" t="n"/>
      <c r="AS1683" s="461" t="n"/>
      <c r="AT1683" s="461" t="n"/>
      <c r="AU1683" s="461" t="n"/>
      <c r="AV1683" s="461" t="n"/>
      <c r="AW1683" s="461" t="n"/>
      <c r="AX1683" s="461" t="n"/>
    </row>
    <row r="1684">
      <c r="A1684" s="413" t="n"/>
      <c r="B1684" s="413" t="n"/>
      <c r="C1684" s="413" t="n"/>
      <c r="D1684" s="414" t="n"/>
      <c r="E1684" s="414" t="n"/>
      <c r="F1684" s="414" t="n"/>
      <c r="G1684" s="414" t="n"/>
      <c r="H1684" s="414" t="n"/>
      <c r="J1684" s="457" t="n"/>
      <c r="K1684" s="457" t="n"/>
      <c r="L1684" s="458" t="n"/>
      <c r="M1684" s="458" t="n"/>
      <c r="N1684" s="458" t="n"/>
      <c r="O1684" s="459" t="n"/>
      <c r="P1684" s="460" t="n"/>
      <c r="Q1684" s="460" t="n"/>
      <c r="R1684" s="460" t="n"/>
      <c r="S1684" s="460" t="n"/>
      <c r="T1684" s="460" t="n"/>
      <c r="U1684" s="460" t="n"/>
      <c r="V1684" s="460" t="n"/>
      <c r="W1684" s="461" t="n"/>
      <c r="X1684" s="461" t="n"/>
      <c r="Y1684" s="461" t="n"/>
      <c r="Z1684" s="461" t="n"/>
      <c r="AA1684" s="462" t="n"/>
      <c r="AB1684" s="462" t="n"/>
      <c r="AC1684" s="462" t="n"/>
      <c r="AD1684" s="462" t="n"/>
      <c r="AE1684" s="462" t="n"/>
      <c r="AF1684" s="462" t="n"/>
      <c r="AG1684" s="462" t="n"/>
      <c r="AH1684" s="462" t="n"/>
      <c r="AI1684" s="461" t="n"/>
      <c r="AJ1684" s="461" t="n"/>
      <c r="AK1684" s="463" t="n"/>
      <c r="AL1684" s="461" t="n"/>
      <c r="AM1684" s="461" t="n"/>
      <c r="AN1684" s="461" t="n"/>
      <c r="AO1684" s="461" t="n"/>
      <c r="AP1684" s="464" t="n"/>
      <c r="AQ1684" s="464" t="n"/>
      <c r="AR1684" s="461" t="n"/>
      <c r="AS1684" s="461" t="n"/>
      <c r="AT1684" s="461" t="n"/>
      <c r="AU1684" s="461" t="n"/>
      <c r="AV1684" s="461" t="n"/>
      <c r="AW1684" s="461" t="n"/>
      <c r="AX1684" s="461" t="n"/>
    </row>
    <row r="1685">
      <c r="A1685" s="413" t="n"/>
      <c r="B1685" s="413" t="n"/>
      <c r="C1685" s="413" t="n"/>
      <c r="D1685" s="414" t="n"/>
      <c r="E1685" s="414" t="n"/>
      <c r="F1685" s="414" t="n"/>
      <c r="G1685" s="414" t="n"/>
      <c r="H1685" s="414" t="n"/>
      <c r="J1685" s="457" t="n"/>
      <c r="K1685" s="457" t="n"/>
      <c r="L1685" s="458" t="n"/>
      <c r="M1685" s="458" t="n"/>
      <c r="N1685" s="458" t="n"/>
      <c r="O1685" s="459" t="n"/>
      <c r="P1685" s="460" t="n"/>
      <c r="Q1685" s="460" t="n"/>
      <c r="R1685" s="460" t="n"/>
      <c r="S1685" s="460" t="n"/>
      <c r="T1685" s="460" t="n"/>
      <c r="U1685" s="460" t="n"/>
      <c r="V1685" s="460" t="n"/>
      <c r="W1685" s="461" t="n"/>
      <c r="X1685" s="461" t="n"/>
      <c r="Y1685" s="461" t="n"/>
      <c r="Z1685" s="461" t="n"/>
      <c r="AA1685" s="462" t="n"/>
      <c r="AB1685" s="462" t="n"/>
      <c r="AC1685" s="462" t="n"/>
      <c r="AD1685" s="462" t="n"/>
      <c r="AE1685" s="462" t="n"/>
      <c r="AF1685" s="462" t="n"/>
      <c r="AG1685" s="462" t="n"/>
      <c r="AH1685" s="462" t="n"/>
      <c r="AI1685" s="461" t="n"/>
      <c r="AJ1685" s="461" t="n"/>
      <c r="AK1685" s="463" t="n"/>
      <c r="AL1685" s="461" t="n"/>
      <c r="AM1685" s="461" t="n"/>
      <c r="AN1685" s="461" t="n"/>
      <c r="AO1685" s="461" t="n"/>
      <c r="AP1685" s="464" t="n"/>
      <c r="AQ1685" s="464" t="n"/>
      <c r="AR1685" s="461" t="n"/>
      <c r="AS1685" s="461" t="n"/>
      <c r="AT1685" s="461" t="n"/>
      <c r="AU1685" s="461" t="n"/>
      <c r="AV1685" s="461" t="n"/>
      <c r="AW1685" s="461" t="n"/>
      <c r="AX1685" s="461" t="n"/>
    </row>
    <row r="1686">
      <c r="A1686" s="413" t="n"/>
      <c r="B1686" s="413" t="n"/>
      <c r="C1686" s="413" t="n"/>
      <c r="D1686" s="414" t="n"/>
      <c r="E1686" s="414" t="n"/>
      <c r="F1686" s="414" t="n"/>
      <c r="G1686" s="414" t="n"/>
      <c r="H1686" s="414" t="n"/>
      <c r="J1686" s="457" t="n"/>
      <c r="K1686" s="457" t="n"/>
      <c r="L1686" s="458" t="n"/>
      <c r="M1686" s="458" t="n"/>
      <c r="N1686" s="458" t="n"/>
      <c r="O1686" s="459" t="n"/>
      <c r="P1686" s="460" t="n"/>
      <c r="Q1686" s="460" t="n"/>
      <c r="R1686" s="460" t="n"/>
      <c r="S1686" s="460" t="n"/>
      <c r="T1686" s="460" t="n"/>
      <c r="U1686" s="460" t="n"/>
      <c r="V1686" s="460" t="n"/>
      <c r="W1686" s="461" t="n"/>
      <c r="X1686" s="461" t="n"/>
      <c r="Y1686" s="461" t="n"/>
      <c r="Z1686" s="461" t="n"/>
      <c r="AA1686" s="462" t="n"/>
      <c r="AB1686" s="462" t="n"/>
      <c r="AC1686" s="462" t="n"/>
      <c r="AD1686" s="462" t="n"/>
      <c r="AE1686" s="462" t="n"/>
      <c r="AF1686" s="462" t="n"/>
      <c r="AG1686" s="462" t="n"/>
      <c r="AH1686" s="462" t="n"/>
      <c r="AI1686" s="461" t="n"/>
      <c r="AJ1686" s="461" t="n"/>
      <c r="AK1686" s="463" t="n"/>
      <c r="AL1686" s="461" t="n"/>
      <c r="AM1686" s="461" t="n"/>
      <c r="AN1686" s="461" t="n"/>
      <c r="AO1686" s="461" t="n"/>
      <c r="AP1686" s="464" t="n"/>
      <c r="AQ1686" s="464" t="n"/>
      <c r="AR1686" s="461" t="n"/>
      <c r="AS1686" s="461" t="n"/>
      <c r="AT1686" s="461" t="n"/>
      <c r="AU1686" s="461" t="n"/>
      <c r="AV1686" s="461" t="n"/>
      <c r="AW1686" s="461" t="n"/>
      <c r="AX1686" s="461" t="n"/>
    </row>
    <row r="1687">
      <c r="A1687" s="413" t="n"/>
      <c r="B1687" s="413" t="n"/>
      <c r="C1687" s="413" t="n"/>
      <c r="D1687" s="414" t="n"/>
      <c r="E1687" s="414" t="n"/>
      <c r="F1687" s="414" t="n"/>
      <c r="G1687" s="414" t="n"/>
      <c r="H1687" s="414" t="n"/>
      <c r="J1687" s="457" t="n"/>
      <c r="K1687" s="457" t="n"/>
      <c r="L1687" s="458" t="n"/>
      <c r="M1687" s="458" t="n"/>
      <c r="N1687" s="458" t="n"/>
      <c r="O1687" s="459" t="n"/>
      <c r="P1687" s="460" t="n"/>
      <c r="Q1687" s="460" t="n"/>
      <c r="R1687" s="460" t="n"/>
      <c r="S1687" s="460" t="n"/>
      <c r="T1687" s="460" t="n"/>
      <c r="U1687" s="460" t="n"/>
      <c r="V1687" s="460" t="n"/>
      <c r="W1687" s="461" t="n"/>
      <c r="X1687" s="461" t="n"/>
      <c r="Y1687" s="461" t="n"/>
      <c r="Z1687" s="461" t="n"/>
      <c r="AA1687" s="462" t="n"/>
      <c r="AB1687" s="462" t="n"/>
      <c r="AC1687" s="462" t="n"/>
      <c r="AD1687" s="462" t="n"/>
      <c r="AE1687" s="462" t="n"/>
      <c r="AF1687" s="462" t="n"/>
      <c r="AG1687" s="462" t="n"/>
      <c r="AH1687" s="462" t="n"/>
      <c r="AI1687" s="461" t="n"/>
      <c r="AJ1687" s="461" t="n"/>
      <c r="AK1687" s="463" t="n"/>
      <c r="AL1687" s="461" t="n"/>
      <c r="AM1687" s="461" t="n"/>
      <c r="AN1687" s="461" t="n"/>
      <c r="AO1687" s="461" t="n"/>
      <c r="AP1687" s="464" t="n"/>
      <c r="AQ1687" s="464" t="n"/>
      <c r="AR1687" s="461" t="n"/>
      <c r="AS1687" s="461" t="n"/>
      <c r="AT1687" s="461" t="n"/>
      <c r="AU1687" s="461" t="n"/>
      <c r="AV1687" s="461" t="n"/>
      <c r="AW1687" s="461" t="n"/>
      <c r="AX1687" s="461" t="n"/>
    </row>
    <row r="1688">
      <c r="A1688" s="413" t="n"/>
      <c r="B1688" s="413" t="n"/>
      <c r="C1688" s="413" t="n"/>
      <c r="D1688" s="414" t="n"/>
      <c r="E1688" s="414" t="n"/>
      <c r="F1688" s="414" t="n"/>
      <c r="G1688" s="414" t="n"/>
      <c r="H1688" s="414" t="n"/>
      <c r="J1688" s="457" t="n"/>
      <c r="K1688" s="457" t="n"/>
      <c r="L1688" s="458" t="n"/>
      <c r="M1688" s="458" t="n"/>
      <c r="N1688" s="458" t="n"/>
      <c r="O1688" s="459" t="n"/>
      <c r="P1688" s="460" t="n"/>
      <c r="Q1688" s="460" t="n"/>
      <c r="R1688" s="460" t="n"/>
      <c r="S1688" s="460" t="n"/>
      <c r="T1688" s="460" t="n"/>
      <c r="U1688" s="460" t="n"/>
      <c r="V1688" s="460" t="n"/>
      <c r="W1688" s="461" t="n"/>
      <c r="X1688" s="461" t="n"/>
      <c r="Y1688" s="461" t="n"/>
      <c r="Z1688" s="461" t="n"/>
      <c r="AA1688" s="462" t="n"/>
      <c r="AB1688" s="462" t="n"/>
      <c r="AC1688" s="462" t="n"/>
      <c r="AD1688" s="462" t="n"/>
      <c r="AE1688" s="462" t="n"/>
      <c r="AF1688" s="462" t="n"/>
      <c r="AG1688" s="462" t="n"/>
      <c r="AH1688" s="462" t="n"/>
      <c r="AI1688" s="461" t="n"/>
      <c r="AJ1688" s="461" t="n"/>
      <c r="AK1688" s="463" t="n"/>
      <c r="AL1688" s="461" t="n"/>
      <c r="AM1688" s="461" t="n"/>
      <c r="AN1688" s="461" t="n"/>
      <c r="AO1688" s="461" t="n"/>
      <c r="AP1688" s="464" t="n"/>
      <c r="AQ1688" s="464" t="n"/>
      <c r="AR1688" s="461" t="n"/>
      <c r="AS1688" s="461" t="n"/>
      <c r="AT1688" s="461" t="n"/>
      <c r="AU1688" s="461" t="n"/>
      <c r="AV1688" s="461" t="n"/>
      <c r="AW1688" s="461" t="n"/>
      <c r="AX1688" s="461" t="n"/>
    </row>
    <row r="1689">
      <c r="A1689" s="413" t="n"/>
      <c r="B1689" s="413" t="n"/>
      <c r="C1689" s="413" t="n"/>
      <c r="D1689" s="414" t="n"/>
      <c r="E1689" s="414" t="n"/>
      <c r="F1689" s="414" t="n"/>
      <c r="G1689" s="414" t="n"/>
      <c r="H1689" s="414" t="n"/>
      <c r="J1689" s="457" t="n"/>
      <c r="K1689" s="457" t="n"/>
      <c r="L1689" s="458" t="n"/>
      <c r="M1689" s="458" t="n"/>
      <c r="N1689" s="458" t="n"/>
      <c r="O1689" s="459" t="n"/>
      <c r="P1689" s="460" t="n"/>
      <c r="Q1689" s="460" t="n"/>
      <c r="R1689" s="460" t="n"/>
      <c r="S1689" s="460" t="n"/>
      <c r="T1689" s="460" t="n"/>
      <c r="U1689" s="460" t="n"/>
      <c r="V1689" s="460" t="n"/>
      <c r="W1689" s="461" t="n"/>
      <c r="X1689" s="461" t="n"/>
      <c r="Y1689" s="461" t="n"/>
      <c r="Z1689" s="461" t="n"/>
      <c r="AA1689" s="462" t="n"/>
      <c r="AB1689" s="462" t="n"/>
      <c r="AC1689" s="462" t="n"/>
      <c r="AD1689" s="462" t="n"/>
      <c r="AE1689" s="462" t="n"/>
      <c r="AF1689" s="462" t="n"/>
      <c r="AG1689" s="462" t="n"/>
      <c r="AH1689" s="462" t="n"/>
      <c r="AI1689" s="461" t="n"/>
      <c r="AJ1689" s="461" t="n"/>
      <c r="AK1689" s="463" t="n"/>
      <c r="AL1689" s="461" t="n"/>
      <c r="AM1689" s="461" t="n"/>
      <c r="AN1689" s="461" t="n"/>
      <c r="AO1689" s="461" t="n"/>
      <c r="AP1689" s="464" t="n"/>
      <c r="AQ1689" s="464" t="n"/>
      <c r="AR1689" s="461" t="n"/>
      <c r="AS1689" s="461" t="n"/>
      <c r="AT1689" s="461" t="n"/>
      <c r="AU1689" s="461" t="n"/>
      <c r="AV1689" s="461" t="n"/>
      <c r="AW1689" s="461" t="n"/>
      <c r="AX1689" s="461" t="n"/>
    </row>
    <row r="1690">
      <c r="A1690" s="413" t="n"/>
      <c r="B1690" s="413" t="n"/>
      <c r="C1690" s="413" t="n"/>
      <c r="D1690" s="414" t="n"/>
      <c r="E1690" s="414" t="n"/>
      <c r="F1690" s="414" t="n"/>
      <c r="G1690" s="414" t="n"/>
      <c r="H1690" s="414" t="n"/>
      <c r="J1690" s="457" t="n"/>
      <c r="K1690" s="457" t="n"/>
      <c r="L1690" s="458" t="n"/>
      <c r="M1690" s="458" t="n"/>
      <c r="N1690" s="458" t="n"/>
      <c r="O1690" s="459" t="n"/>
      <c r="P1690" s="460" t="n"/>
      <c r="Q1690" s="460" t="n"/>
      <c r="R1690" s="460" t="n"/>
      <c r="S1690" s="460" t="n"/>
      <c r="T1690" s="460" t="n"/>
      <c r="U1690" s="460" t="n"/>
      <c r="V1690" s="460" t="n"/>
      <c r="W1690" s="461" t="n"/>
      <c r="X1690" s="461" t="n"/>
      <c r="Y1690" s="461" t="n"/>
      <c r="Z1690" s="461" t="n"/>
      <c r="AA1690" s="462" t="n"/>
      <c r="AB1690" s="462" t="n"/>
      <c r="AC1690" s="462" t="n"/>
      <c r="AD1690" s="462" t="n"/>
      <c r="AE1690" s="462" t="n"/>
      <c r="AF1690" s="462" t="n"/>
      <c r="AG1690" s="462" t="n"/>
      <c r="AH1690" s="462" t="n"/>
      <c r="AI1690" s="461" t="n"/>
      <c r="AJ1690" s="461" t="n"/>
      <c r="AK1690" s="463" t="n"/>
      <c r="AL1690" s="461" t="n"/>
      <c r="AM1690" s="461" t="n"/>
      <c r="AN1690" s="461" t="n"/>
      <c r="AO1690" s="461" t="n"/>
      <c r="AP1690" s="464" t="n"/>
      <c r="AQ1690" s="464" t="n"/>
      <c r="AR1690" s="461" t="n"/>
      <c r="AS1690" s="461" t="n"/>
      <c r="AT1690" s="461" t="n"/>
      <c r="AU1690" s="461" t="n"/>
      <c r="AV1690" s="461" t="n"/>
      <c r="AW1690" s="461" t="n"/>
      <c r="AX1690" s="461" t="n"/>
    </row>
    <row r="1691">
      <c r="A1691" s="413" t="n"/>
      <c r="B1691" s="413" t="n"/>
      <c r="C1691" s="413" t="n"/>
      <c r="D1691" s="414" t="n"/>
      <c r="E1691" s="414" t="n"/>
      <c r="F1691" s="414" t="n"/>
      <c r="G1691" s="414" t="n"/>
      <c r="H1691" s="414" t="n"/>
      <c r="J1691" s="457" t="n"/>
      <c r="K1691" s="457" t="n"/>
      <c r="L1691" s="458" t="n"/>
      <c r="M1691" s="458" t="n"/>
      <c r="N1691" s="458" t="n"/>
      <c r="O1691" s="459" t="n"/>
      <c r="P1691" s="460" t="n"/>
      <c r="Q1691" s="460" t="n"/>
      <c r="R1691" s="460" t="n"/>
      <c r="S1691" s="460" t="n"/>
      <c r="T1691" s="460" t="n"/>
      <c r="U1691" s="460" t="n"/>
      <c r="V1691" s="460" t="n"/>
      <c r="W1691" s="461" t="n"/>
      <c r="X1691" s="461" t="n"/>
      <c r="Y1691" s="461" t="n"/>
      <c r="Z1691" s="461" t="n"/>
      <c r="AA1691" s="462" t="n"/>
      <c r="AB1691" s="462" t="n"/>
      <c r="AC1691" s="462" t="n"/>
      <c r="AD1691" s="462" t="n"/>
      <c r="AE1691" s="462" t="n"/>
      <c r="AF1691" s="462" t="n"/>
      <c r="AG1691" s="462" t="n"/>
      <c r="AH1691" s="462" t="n"/>
      <c r="AI1691" s="461" t="n"/>
      <c r="AJ1691" s="461" t="n"/>
      <c r="AK1691" s="463" t="n"/>
      <c r="AL1691" s="461" t="n"/>
      <c r="AM1691" s="461" t="n"/>
      <c r="AN1691" s="461" t="n"/>
      <c r="AO1691" s="461" t="n"/>
      <c r="AP1691" s="464" t="n"/>
      <c r="AQ1691" s="464" t="n"/>
      <c r="AR1691" s="461" t="n"/>
      <c r="AS1691" s="461" t="n"/>
      <c r="AT1691" s="461" t="n"/>
      <c r="AU1691" s="461" t="n"/>
      <c r="AV1691" s="461" t="n"/>
      <c r="AW1691" s="461" t="n"/>
      <c r="AX1691" s="461" t="n"/>
    </row>
    <row r="1692">
      <c r="A1692" s="413" t="n"/>
      <c r="B1692" s="413" t="n"/>
      <c r="C1692" s="413" t="n"/>
      <c r="D1692" s="414" t="n"/>
      <c r="E1692" s="414" t="n"/>
      <c r="F1692" s="414" t="n"/>
      <c r="G1692" s="414" t="n"/>
      <c r="H1692" s="414" t="n"/>
      <c r="J1692" s="457" t="n"/>
      <c r="K1692" s="457" t="n"/>
      <c r="L1692" s="458" t="n"/>
      <c r="M1692" s="458" t="n"/>
      <c r="N1692" s="458" t="n"/>
      <c r="O1692" s="459" t="n"/>
      <c r="P1692" s="460" t="n"/>
      <c r="Q1692" s="460" t="n"/>
      <c r="R1692" s="460" t="n"/>
      <c r="S1692" s="460" t="n"/>
      <c r="T1692" s="460" t="n"/>
      <c r="U1692" s="460" t="n"/>
      <c r="V1692" s="460" t="n"/>
      <c r="W1692" s="461" t="n"/>
      <c r="X1692" s="461" t="n"/>
      <c r="Y1692" s="461" t="n"/>
      <c r="Z1692" s="461" t="n"/>
      <c r="AA1692" s="462" t="n"/>
      <c r="AB1692" s="462" t="n"/>
      <c r="AC1692" s="462" t="n"/>
      <c r="AD1692" s="462" t="n"/>
      <c r="AE1692" s="462" t="n"/>
      <c r="AF1692" s="462" t="n"/>
      <c r="AG1692" s="462" t="n"/>
      <c r="AH1692" s="462" t="n"/>
      <c r="AI1692" s="461" t="n"/>
      <c r="AJ1692" s="461" t="n"/>
      <c r="AK1692" s="463" t="n"/>
      <c r="AL1692" s="461" t="n"/>
      <c r="AM1692" s="461" t="n"/>
      <c r="AN1692" s="461" t="n"/>
      <c r="AO1692" s="461" t="n"/>
      <c r="AP1692" s="464" t="n"/>
      <c r="AQ1692" s="464" t="n"/>
      <c r="AR1692" s="461" t="n"/>
      <c r="AS1692" s="461" t="n"/>
      <c r="AT1692" s="461" t="n"/>
      <c r="AU1692" s="461" t="n"/>
      <c r="AV1692" s="461" t="n"/>
      <c r="AW1692" s="461" t="n"/>
      <c r="AX1692" s="461" t="n"/>
    </row>
    <row r="1693">
      <c r="A1693" s="413" t="n"/>
      <c r="B1693" s="413" t="n"/>
      <c r="C1693" s="413" t="n"/>
      <c r="D1693" s="414" t="n"/>
      <c r="E1693" s="414" t="n"/>
      <c r="F1693" s="414" t="n"/>
      <c r="G1693" s="414" t="n"/>
      <c r="H1693" s="414" t="n"/>
      <c r="J1693" s="457" t="n"/>
      <c r="K1693" s="457" t="n"/>
      <c r="L1693" s="458" t="n"/>
      <c r="M1693" s="458" t="n"/>
      <c r="N1693" s="458" t="n"/>
      <c r="O1693" s="459" t="n"/>
      <c r="P1693" s="460" t="n"/>
      <c r="Q1693" s="460" t="n"/>
      <c r="R1693" s="460" t="n"/>
      <c r="S1693" s="460" t="n"/>
      <c r="T1693" s="460" t="n"/>
      <c r="U1693" s="460" t="n"/>
      <c r="V1693" s="460" t="n"/>
      <c r="W1693" s="461" t="n"/>
      <c r="X1693" s="461" t="n"/>
      <c r="Y1693" s="461" t="n"/>
      <c r="Z1693" s="461" t="n"/>
      <c r="AA1693" s="462" t="n"/>
      <c r="AB1693" s="462" t="n"/>
      <c r="AC1693" s="462" t="n"/>
      <c r="AD1693" s="462" t="n"/>
      <c r="AE1693" s="462" t="n"/>
      <c r="AF1693" s="462" t="n"/>
      <c r="AG1693" s="462" t="n"/>
      <c r="AH1693" s="462" t="n"/>
      <c r="AI1693" s="461" t="n"/>
      <c r="AJ1693" s="461" t="n"/>
      <c r="AK1693" s="463" t="n"/>
      <c r="AL1693" s="461" t="n"/>
      <c r="AM1693" s="461" t="n"/>
      <c r="AN1693" s="461" t="n"/>
      <c r="AO1693" s="461" t="n"/>
      <c r="AP1693" s="464" t="n"/>
      <c r="AQ1693" s="464" t="n"/>
      <c r="AR1693" s="461" t="n"/>
      <c r="AS1693" s="461" t="n"/>
      <c r="AT1693" s="461" t="n"/>
      <c r="AU1693" s="461" t="n"/>
      <c r="AV1693" s="461" t="n"/>
      <c r="AW1693" s="461" t="n"/>
      <c r="AX1693" s="461" t="n"/>
    </row>
    <row r="1694">
      <c r="A1694" s="413" t="n"/>
      <c r="B1694" s="413" t="n"/>
      <c r="C1694" s="413" t="n"/>
      <c r="D1694" s="414" t="n"/>
      <c r="E1694" s="414" t="n"/>
      <c r="F1694" s="414" t="n"/>
      <c r="G1694" s="414" t="n"/>
      <c r="H1694" s="414" t="n"/>
      <c r="J1694" s="457" t="n"/>
      <c r="K1694" s="457" t="n"/>
      <c r="L1694" s="458" t="n"/>
      <c r="M1694" s="458" t="n"/>
      <c r="N1694" s="458" t="n"/>
      <c r="O1694" s="459" t="n"/>
      <c r="P1694" s="460" t="n"/>
      <c r="Q1694" s="460" t="n"/>
      <c r="R1694" s="460" t="n"/>
      <c r="S1694" s="460" t="n"/>
      <c r="T1694" s="460" t="n"/>
      <c r="U1694" s="460" t="n"/>
      <c r="V1694" s="460" t="n"/>
      <c r="W1694" s="461" t="n"/>
      <c r="X1694" s="461" t="n"/>
      <c r="Y1694" s="461" t="n"/>
      <c r="Z1694" s="461" t="n"/>
      <c r="AA1694" s="462" t="n"/>
      <c r="AB1694" s="462" t="n"/>
      <c r="AC1694" s="462" t="n"/>
      <c r="AD1694" s="462" t="n"/>
      <c r="AE1694" s="462" t="n"/>
      <c r="AF1694" s="462" t="n"/>
      <c r="AG1694" s="462" t="n"/>
      <c r="AH1694" s="462" t="n"/>
      <c r="AI1694" s="461" t="n"/>
      <c r="AJ1694" s="461" t="n"/>
      <c r="AK1694" s="463" t="n"/>
      <c r="AL1694" s="461" t="n"/>
      <c r="AM1694" s="461" t="n"/>
      <c r="AN1694" s="461" t="n"/>
      <c r="AO1694" s="461" t="n"/>
      <c r="AP1694" s="464" t="n"/>
      <c r="AQ1694" s="464" t="n"/>
      <c r="AR1694" s="461" t="n"/>
      <c r="AS1694" s="461" t="n"/>
      <c r="AT1694" s="461" t="n"/>
      <c r="AU1694" s="461" t="n"/>
      <c r="AV1694" s="461" t="n"/>
      <c r="AW1694" s="461" t="n"/>
      <c r="AX1694" s="461" t="n"/>
    </row>
    <row r="1695">
      <c r="A1695" s="413" t="n"/>
      <c r="B1695" s="413" t="n"/>
      <c r="C1695" s="413" t="n"/>
      <c r="D1695" s="414" t="n"/>
      <c r="E1695" s="414" t="n"/>
      <c r="F1695" s="414" t="n"/>
      <c r="G1695" s="414" t="n"/>
      <c r="H1695" s="414" t="n"/>
      <c r="J1695" s="457" t="n"/>
      <c r="K1695" s="457" t="n"/>
      <c r="L1695" s="458" t="n"/>
      <c r="M1695" s="458" t="n"/>
      <c r="N1695" s="458" t="n"/>
      <c r="O1695" s="459" t="n"/>
      <c r="P1695" s="460" t="n"/>
      <c r="Q1695" s="460" t="n"/>
      <c r="R1695" s="460" t="n"/>
      <c r="S1695" s="460" t="n"/>
      <c r="T1695" s="460" t="n"/>
      <c r="U1695" s="460" t="n"/>
      <c r="V1695" s="460" t="n"/>
      <c r="W1695" s="461" t="n"/>
      <c r="X1695" s="461" t="n"/>
      <c r="Y1695" s="461" t="n"/>
      <c r="Z1695" s="461" t="n"/>
      <c r="AA1695" s="462" t="n"/>
      <c r="AB1695" s="462" t="n"/>
      <c r="AC1695" s="462" t="n"/>
      <c r="AD1695" s="462" t="n"/>
      <c r="AE1695" s="462" t="n"/>
      <c r="AF1695" s="462" t="n"/>
      <c r="AG1695" s="462" t="n"/>
      <c r="AH1695" s="462" t="n"/>
      <c r="AI1695" s="461" t="n"/>
      <c r="AJ1695" s="461" t="n"/>
      <c r="AK1695" s="463" t="n"/>
      <c r="AL1695" s="461" t="n"/>
      <c r="AM1695" s="461" t="n"/>
      <c r="AN1695" s="461" t="n"/>
      <c r="AO1695" s="461" t="n"/>
      <c r="AP1695" s="464" t="n"/>
      <c r="AQ1695" s="464" t="n"/>
      <c r="AR1695" s="461" t="n"/>
      <c r="AS1695" s="461" t="n"/>
      <c r="AT1695" s="461" t="n"/>
      <c r="AU1695" s="461" t="n"/>
      <c r="AV1695" s="461" t="n"/>
      <c r="AW1695" s="461" t="n"/>
      <c r="AX1695" s="461" t="n"/>
    </row>
    <row r="1696">
      <c r="A1696" s="413" t="n"/>
      <c r="B1696" s="413" t="n"/>
      <c r="C1696" s="413" t="n"/>
      <c r="D1696" s="414" t="n"/>
      <c r="E1696" s="414" t="n"/>
      <c r="F1696" s="414" t="n"/>
      <c r="G1696" s="414" t="n"/>
      <c r="H1696" s="414" t="n"/>
      <c r="J1696" s="457" t="n"/>
      <c r="K1696" s="457" t="n"/>
      <c r="L1696" s="458" t="n"/>
      <c r="M1696" s="458" t="n"/>
      <c r="N1696" s="458" t="n"/>
      <c r="O1696" s="459" t="n"/>
      <c r="P1696" s="460" t="n"/>
      <c r="Q1696" s="460" t="n"/>
      <c r="R1696" s="460" t="n"/>
      <c r="S1696" s="460" t="n"/>
      <c r="T1696" s="460" t="n"/>
      <c r="U1696" s="460" t="n"/>
      <c r="V1696" s="460" t="n"/>
      <c r="W1696" s="461" t="n"/>
      <c r="X1696" s="461" t="n"/>
      <c r="Y1696" s="461" t="n"/>
      <c r="Z1696" s="461" t="n"/>
      <c r="AA1696" s="462" t="n"/>
      <c r="AB1696" s="462" t="n"/>
      <c r="AC1696" s="462" t="n"/>
      <c r="AD1696" s="462" t="n"/>
      <c r="AE1696" s="462" t="n"/>
      <c r="AF1696" s="462" t="n"/>
      <c r="AG1696" s="462" t="n"/>
      <c r="AH1696" s="462" t="n"/>
      <c r="AI1696" s="461" t="n"/>
      <c r="AJ1696" s="461" t="n"/>
      <c r="AK1696" s="463" t="n"/>
      <c r="AL1696" s="461" t="n"/>
      <c r="AM1696" s="461" t="n"/>
      <c r="AN1696" s="461" t="n"/>
      <c r="AO1696" s="461" t="n"/>
      <c r="AP1696" s="464" t="n"/>
      <c r="AQ1696" s="464" t="n"/>
      <c r="AR1696" s="461" t="n"/>
      <c r="AS1696" s="461" t="n"/>
      <c r="AT1696" s="461" t="n"/>
      <c r="AU1696" s="461" t="n"/>
      <c r="AV1696" s="461" t="n"/>
      <c r="AW1696" s="461" t="n"/>
      <c r="AX1696" s="461" t="n"/>
    </row>
    <row r="1697">
      <c r="A1697" s="413" t="n"/>
      <c r="B1697" s="413" t="n"/>
      <c r="C1697" s="413" t="n"/>
      <c r="D1697" s="414" t="n"/>
      <c r="E1697" s="414" t="n"/>
      <c r="F1697" s="414" t="n"/>
      <c r="G1697" s="414" t="n"/>
      <c r="H1697" s="414" t="n"/>
      <c r="J1697" s="457" t="n"/>
      <c r="K1697" s="457" t="n"/>
      <c r="L1697" s="458" t="n"/>
      <c r="M1697" s="458" t="n"/>
      <c r="N1697" s="458" t="n"/>
      <c r="O1697" s="459" t="n"/>
      <c r="P1697" s="460" t="n"/>
      <c r="Q1697" s="460" t="n"/>
      <c r="R1697" s="460" t="n"/>
      <c r="S1697" s="460" t="n"/>
      <c r="T1697" s="460" t="n"/>
      <c r="U1697" s="460" t="n"/>
      <c r="V1697" s="460" t="n"/>
      <c r="W1697" s="461" t="n"/>
      <c r="X1697" s="461" t="n"/>
      <c r="Y1697" s="461" t="n"/>
      <c r="Z1697" s="461" t="n"/>
      <c r="AA1697" s="462" t="n"/>
      <c r="AB1697" s="462" t="n"/>
      <c r="AC1697" s="462" t="n"/>
      <c r="AD1697" s="462" t="n"/>
      <c r="AE1697" s="462" t="n"/>
      <c r="AF1697" s="462" t="n"/>
      <c r="AG1697" s="462" t="n"/>
      <c r="AH1697" s="462" t="n"/>
      <c r="AI1697" s="461" t="n"/>
      <c r="AJ1697" s="461" t="n"/>
      <c r="AK1697" s="463" t="n"/>
      <c r="AL1697" s="461" t="n"/>
      <c r="AM1697" s="461" t="n"/>
      <c r="AN1697" s="461" t="n"/>
      <c r="AO1697" s="461" t="n"/>
      <c r="AP1697" s="464" t="n"/>
      <c r="AQ1697" s="464" t="n"/>
      <c r="AR1697" s="461" t="n"/>
      <c r="AS1697" s="461" t="n"/>
      <c r="AT1697" s="461" t="n"/>
      <c r="AU1697" s="461" t="n"/>
      <c r="AV1697" s="461" t="n"/>
      <c r="AW1697" s="461" t="n"/>
      <c r="AX1697" s="461" t="n"/>
    </row>
    <row r="1698">
      <c r="A1698" s="413" t="n"/>
      <c r="B1698" s="413" t="n"/>
      <c r="C1698" s="413" t="n"/>
      <c r="D1698" s="414" t="n"/>
      <c r="E1698" s="414" t="n"/>
      <c r="F1698" s="414" t="n"/>
      <c r="G1698" s="414" t="n"/>
      <c r="H1698" s="414" t="n"/>
      <c r="J1698" s="457" t="n"/>
      <c r="K1698" s="457" t="n"/>
      <c r="L1698" s="458" t="n"/>
      <c r="M1698" s="458" t="n"/>
      <c r="N1698" s="458" t="n"/>
      <c r="O1698" s="459" t="n"/>
      <c r="P1698" s="460" t="n"/>
      <c r="Q1698" s="460" t="n"/>
      <c r="R1698" s="460" t="n"/>
      <c r="S1698" s="460" t="n"/>
      <c r="T1698" s="460" t="n"/>
      <c r="U1698" s="460" t="n"/>
      <c r="V1698" s="460" t="n"/>
      <c r="W1698" s="461" t="n"/>
      <c r="X1698" s="461" t="n"/>
      <c r="Y1698" s="461" t="n"/>
      <c r="Z1698" s="461" t="n"/>
      <c r="AA1698" s="462" t="n"/>
      <c r="AB1698" s="462" t="n"/>
      <c r="AC1698" s="462" t="n"/>
      <c r="AD1698" s="462" t="n"/>
      <c r="AE1698" s="462" t="n"/>
      <c r="AF1698" s="462" t="n"/>
      <c r="AG1698" s="462" t="n"/>
      <c r="AH1698" s="462" t="n"/>
      <c r="AI1698" s="461" t="n"/>
      <c r="AJ1698" s="461" t="n"/>
      <c r="AK1698" s="463" t="n"/>
      <c r="AL1698" s="461" t="n"/>
      <c r="AM1698" s="461" t="n"/>
      <c r="AN1698" s="461" t="n"/>
      <c r="AO1698" s="461" t="n"/>
      <c r="AP1698" s="464" t="n"/>
      <c r="AQ1698" s="464" t="n"/>
      <c r="AR1698" s="461" t="n"/>
      <c r="AS1698" s="461" t="n"/>
      <c r="AT1698" s="461" t="n"/>
      <c r="AU1698" s="461" t="n"/>
      <c r="AV1698" s="461" t="n"/>
      <c r="AW1698" s="461" t="n"/>
      <c r="AX1698" s="461" t="n"/>
    </row>
    <row r="1699">
      <c r="A1699" s="413" t="n"/>
      <c r="B1699" s="413" t="n"/>
      <c r="C1699" s="413" t="n"/>
      <c r="D1699" s="414" t="n"/>
      <c r="E1699" s="414" t="n"/>
      <c r="F1699" s="414" t="n"/>
      <c r="G1699" s="414" t="n"/>
      <c r="H1699" s="414" t="n"/>
      <c r="J1699" s="457" t="n"/>
      <c r="K1699" s="457" t="n"/>
      <c r="L1699" s="458" t="n"/>
      <c r="M1699" s="458" t="n"/>
      <c r="N1699" s="458" t="n"/>
      <c r="O1699" s="459" t="n"/>
      <c r="P1699" s="460" t="n"/>
      <c r="Q1699" s="460" t="n"/>
      <c r="R1699" s="460" t="n"/>
      <c r="S1699" s="460" t="n"/>
      <c r="T1699" s="460" t="n"/>
      <c r="U1699" s="460" t="n"/>
      <c r="V1699" s="460" t="n"/>
      <c r="W1699" s="461" t="n"/>
      <c r="X1699" s="461" t="n"/>
      <c r="Y1699" s="461" t="n"/>
      <c r="Z1699" s="461" t="n"/>
      <c r="AA1699" s="462" t="n"/>
      <c r="AB1699" s="462" t="n"/>
      <c r="AC1699" s="462" t="n"/>
      <c r="AD1699" s="462" t="n"/>
      <c r="AE1699" s="462" t="n"/>
      <c r="AF1699" s="462" t="n"/>
      <c r="AG1699" s="462" t="n"/>
      <c r="AH1699" s="462" t="n"/>
      <c r="AI1699" s="461" t="n"/>
      <c r="AJ1699" s="461" t="n"/>
      <c r="AK1699" s="463" t="n"/>
      <c r="AL1699" s="461" t="n"/>
      <c r="AM1699" s="461" t="n"/>
      <c r="AN1699" s="461" t="n"/>
      <c r="AO1699" s="461" t="n"/>
      <c r="AP1699" s="464" t="n"/>
      <c r="AQ1699" s="464" t="n"/>
      <c r="AR1699" s="461" t="n"/>
      <c r="AS1699" s="461" t="n"/>
      <c r="AT1699" s="461" t="n"/>
      <c r="AU1699" s="461" t="n"/>
      <c r="AV1699" s="461" t="n"/>
      <c r="AW1699" s="461" t="n"/>
      <c r="AX1699" s="461" t="n"/>
    </row>
    <row r="1700">
      <c r="A1700" s="413" t="n"/>
      <c r="B1700" s="413" t="n"/>
      <c r="C1700" s="413" t="n"/>
      <c r="D1700" s="414" t="n"/>
      <c r="E1700" s="414" t="n"/>
      <c r="F1700" s="414" t="n"/>
      <c r="G1700" s="414" t="n"/>
      <c r="H1700" s="414" t="n"/>
      <c r="J1700" s="457" t="n"/>
      <c r="K1700" s="457" t="n"/>
      <c r="L1700" s="458" t="n"/>
      <c r="M1700" s="458" t="n"/>
      <c r="N1700" s="458" t="n"/>
      <c r="O1700" s="459" t="n"/>
      <c r="P1700" s="460" t="n"/>
      <c r="Q1700" s="460" t="n"/>
      <c r="R1700" s="460" t="n"/>
      <c r="S1700" s="460" t="n"/>
      <c r="T1700" s="460" t="n"/>
      <c r="U1700" s="460" t="n"/>
      <c r="V1700" s="460" t="n"/>
      <c r="W1700" s="461" t="n"/>
      <c r="X1700" s="461" t="n"/>
      <c r="Y1700" s="461" t="n"/>
      <c r="Z1700" s="461" t="n"/>
      <c r="AA1700" s="462" t="n"/>
      <c r="AB1700" s="462" t="n"/>
      <c r="AC1700" s="462" t="n"/>
      <c r="AD1700" s="462" t="n"/>
      <c r="AE1700" s="462" t="n"/>
      <c r="AF1700" s="462" t="n"/>
      <c r="AG1700" s="462" t="n"/>
      <c r="AH1700" s="462" t="n"/>
      <c r="AI1700" s="461" t="n"/>
      <c r="AJ1700" s="461" t="n"/>
      <c r="AK1700" s="463" t="n"/>
      <c r="AL1700" s="461" t="n"/>
      <c r="AM1700" s="461" t="n"/>
      <c r="AN1700" s="461" t="n"/>
      <c r="AO1700" s="461" t="n"/>
      <c r="AP1700" s="464" t="n"/>
      <c r="AQ1700" s="464" t="n"/>
      <c r="AR1700" s="461" t="n"/>
      <c r="AS1700" s="461" t="n"/>
      <c r="AT1700" s="461" t="n"/>
      <c r="AU1700" s="461" t="n"/>
      <c r="AV1700" s="461" t="n"/>
      <c r="AW1700" s="461" t="n"/>
      <c r="AX1700" s="461" t="n"/>
    </row>
    <row r="1701">
      <c r="A1701" s="413" t="n"/>
      <c r="B1701" s="413" t="n"/>
      <c r="C1701" s="413" t="n"/>
      <c r="D1701" s="414" t="n"/>
      <c r="E1701" s="414" t="n"/>
      <c r="F1701" s="414" t="n"/>
      <c r="G1701" s="414" t="n"/>
      <c r="H1701" s="414" t="n"/>
      <c r="J1701" s="457" t="n"/>
      <c r="K1701" s="457" t="n"/>
      <c r="L1701" s="458" t="n"/>
      <c r="M1701" s="458" t="n"/>
      <c r="N1701" s="458" t="n"/>
      <c r="O1701" s="459" t="n"/>
      <c r="P1701" s="460" t="n"/>
      <c r="Q1701" s="460" t="n"/>
      <c r="R1701" s="460" t="n"/>
      <c r="S1701" s="460" t="n"/>
      <c r="T1701" s="460" t="n"/>
      <c r="U1701" s="460" t="n"/>
      <c r="V1701" s="460" t="n"/>
      <c r="W1701" s="461" t="n"/>
      <c r="X1701" s="461" t="n"/>
      <c r="Y1701" s="461" t="n"/>
      <c r="Z1701" s="461" t="n"/>
      <c r="AA1701" s="462" t="n"/>
      <c r="AB1701" s="462" t="n"/>
      <c r="AC1701" s="462" t="n"/>
      <c r="AD1701" s="462" t="n"/>
      <c r="AE1701" s="462" t="n"/>
      <c r="AF1701" s="462" t="n"/>
      <c r="AG1701" s="462" t="n"/>
      <c r="AH1701" s="462" t="n"/>
      <c r="AI1701" s="461" t="n"/>
      <c r="AJ1701" s="461" t="n"/>
      <c r="AK1701" s="463" t="n"/>
      <c r="AL1701" s="461" t="n"/>
      <c r="AM1701" s="461" t="n"/>
      <c r="AN1701" s="461" t="n"/>
      <c r="AO1701" s="461" t="n"/>
      <c r="AP1701" s="464" t="n"/>
      <c r="AQ1701" s="464" t="n"/>
      <c r="AR1701" s="461" t="n"/>
      <c r="AS1701" s="461" t="n"/>
      <c r="AT1701" s="461" t="n"/>
      <c r="AU1701" s="461" t="n"/>
      <c r="AV1701" s="461" t="n"/>
      <c r="AW1701" s="461" t="n"/>
      <c r="AX1701" s="461" t="n"/>
    </row>
    <row r="1702">
      <c r="A1702" s="413" t="n"/>
      <c r="B1702" s="413" t="n"/>
      <c r="C1702" s="413" t="n"/>
      <c r="D1702" s="414" t="n"/>
      <c r="E1702" s="414" t="n"/>
      <c r="F1702" s="414" t="n"/>
      <c r="G1702" s="414" t="n"/>
      <c r="H1702" s="414" t="n"/>
      <c r="J1702" s="457" t="n"/>
      <c r="K1702" s="457" t="n"/>
      <c r="L1702" s="458" t="n"/>
      <c r="M1702" s="458" t="n"/>
      <c r="N1702" s="458" t="n"/>
      <c r="O1702" s="459" t="n"/>
      <c r="P1702" s="460" t="n"/>
      <c r="Q1702" s="460" t="n"/>
      <c r="R1702" s="460" t="n"/>
      <c r="S1702" s="460" t="n"/>
      <c r="T1702" s="460" t="n"/>
      <c r="U1702" s="460" t="n"/>
      <c r="V1702" s="460" t="n"/>
      <c r="W1702" s="461" t="n"/>
      <c r="X1702" s="461" t="n"/>
      <c r="Y1702" s="461" t="n"/>
      <c r="Z1702" s="461" t="n"/>
      <c r="AA1702" s="462" t="n"/>
      <c r="AB1702" s="462" t="n"/>
      <c r="AC1702" s="462" t="n"/>
      <c r="AD1702" s="462" t="n"/>
      <c r="AE1702" s="462" t="n"/>
      <c r="AF1702" s="462" t="n"/>
      <c r="AG1702" s="462" t="n"/>
      <c r="AH1702" s="462" t="n"/>
      <c r="AI1702" s="461" t="n"/>
      <c r="AJ1702" s="461" t="n"/>
      <c r="AK1702" s="463" t="n"/>
      <c r="AL1702" s="461" t="n"/>
      <c r="AM1702" s="461" t="n"/>
      <c r="AN1702" s="461" t="n"/>
      <c r="AO1702" s="461" t="n"/>
      <c r="AP1702" s="464" t="n"/>
      <c r="AQ1702" s="464" t="n"/>
      <c r="AR1702" s="461" t="n"/>
      <c r="AS1702" s="461" t="n"/>
      <c r="AT1702" s="461" t="n"/>
      <c r="AU1702" s="461" t="n"/>
      <c r="AV1702" s="461" t="n"/>
      <c r="AW1702" s="461" t="n"/>
      <c r="AX1702" s="461" t="n"/>
    </row>
    <row r="1703">
      <c r="A1703" s="413" t="n"/>
      <c r="B1703" s="413" t="n"/>
      <c r="C1703" s="413" t="n"/>
      <c r="D1703" s="414" t="n"/>
      <c r="E1703" s="414" t="n"/>
      <c r="F1703" s="414" t="n"/>
      <c r="G1703" s="414" t="n"/>
      <c r="H1703" s="414" t="n"/>
      <c r="J1703" s="457" t="n"/>
      <c r="K1703" s="457" t="n"/>
      <c r="L1703" s="458" t="n"/>
      <c r="M1703" s="458" t="n"/>
      <c r="N1703" s="458" t="n"/>
      <c r="O1703" s="459" t="n"/>
      <c r="P1703" s="460" t="n"/>
      <c r="Q1703" s="460" t="n"/>
      <c r="R1703" s="460" t="n"/>
      <c r="S1703" s="460" t="n"/>
      <c r="T1703" s="460" t="n"/>
      <c r="U1703" s="460" t="n"/>
      <c r="V1703" s="460" t="n"/>
      <c r="W1703" s="461" t="n"/>
      <c r="X1703" s="461" t="n"/>
      <c r="Y1703" s="461" t="n"/>
      <c r="Z1703" s="461" t="n"/>
      <c r="AA1703" s="462" t="n"/>
      <c r="AB1703" s="462" t="n"/>
      <c r="AC1703" s="462" t="n"/>
      <c r="AD1703" s="462" t="n"/>
      <c r="AE1703" s="462" t="n"/>
      <c r="AF1703" s="462" t="n"/>
      <c r="AG1703" s="462" t="n"/>
      <c r="AH1703" s="462" t="n"/>
      <c r="AI1703" s="461" t="n"/>
      <c r="AJ1703" s="461" t="n"/>
      <c r="AK1703" s="463" t="n"/>
      <c r="AL1703" s="461" t="n"/>
      <c r="AM1703" s="461" t="n"/>
      <c r="AN1703" s="461" t="n"/>
      <c r="AO1703" s="461" t="n"/>
      <c r="AP1703" s="464" t="n"/>
      <c r="AQ1703" s="464" t="n"/>
      <c r="AR1703" s="461" t="n"/>
      <c r="AS1703" s="461" t="n"/>
      <c r="AT1703" s="461" t="n"/>
      <c r="AU1703" s="461" t="n"/>
      <c r="AV1703" s="461" t="n"/>
      <c r="AW1703" s="461" t="n"/>
      <c r="AX1703" s="461" t="n"/>
    </row>
    <row r="1704">
      <c r="A1704" s="413" t="n"/>
      <c r="B1704" s="413" t="n"/>
      <c r="C1704" s="413" t="n"/>
      <c r="D1704" s="414" t="n"/>
      <c r="E1704" s="414" t="n"/>
      <c r="F1704" s="414" t="n"/>
      <c r="G1704" s="414" t="n"/>
      <c r="H1704" s="414" t="n"/>
      <c r="J1704" s="457" t="n"/>
      <c r="K1704" s="457" t="n"/>
      <c r="L1704" s="458" t="n"/>
      <c r="M1704" s="458" t="n"/>
      <c r="N1704" s="458" t="n"/>
      <c r="O1704" s="459" t="n"/>
      <c r="P1704" s="460" t="n"/>
      <c r="Q1704" s="460" t="n"/>
      <c r="R1704" s="460" t="n"/>
      <c r="S1704" s="460" t="n"/>
      <c r="T1704" s="460" t="n"/>
      <c r="U1704" s="460" t="n"/>
      <c r="V1704" s="460" t="n"/>
      <c r="W1704" s="461" t="n"/>
      <c r="X1704" s="461" t="n"/>
      <c r="Y1704" s="461" t="n"/>
      <c r="Z1704" s="461" t="n"/>
      <c r="AA1704" s="462" t="n"/>
      <c r="AB1704" s="462" t="n"/>
      <c r="AC1704" s="462" t="n"/>
      <c r="AD1704" s="462" t="n"/>
      <c r="AE1704" s="462" t="n"/>
      <c r="AF1704" s="462" t="n"/>
      <c r="AG1704" s="462" t="n"/>
      <c r="AH1704" s="462" t="n"/>
      <c r="AI1704" s="461" t="n"/>
      <c r="AJ1704" s="461" t="n"/>
      <c r="AK1704" s="463" t="n"/>
      <c r="AL1704" s="461" t="n"/>
      <c r="AM1704" s="461" t="n"/>
      <c r="AN1704" s="461" t="n"/>
      <c r="AO1704" s="461" t="n"/>
      <c r="AP1704" s="464" t="n"/>
      <c r="AQ1704" s="464" t="n"/>
      <c r="AR1704" s="461" t="n"/>
      <c r="AS1704" s="461" t="n"/>
      <c r="AT1704" s="461" t="n"/>
      <c r="AU1704" s="461" t="n"/>
      <c r="AV1704" s="461" t="n"/>
      <c r="AW1704" s="461" t="n"/>
      <c r="AX1704" s="461" t="n"/>
    </row>
    <row r="1705">
      <c r="A1705" s="413" t="n"/>
      <c r="B1705" s="413" t="n"/>
      <c r="C1705" s="413" t="n"/>
      <c r="D1705" s="414" t="n"/>
      <c r="E1705" s="414" t="n"/>
      <c r="F1705" s="414" t="n"/>
      <c r="G1705" s="414" t="n"/>
      <c r="H1705" s="414" t="n"/>
      <c r="J1705" s="457" t="n"/>
      <c r="K1705" s="457" t="n"/>
      <c r="L1705" s="458" t="n"/>
      <c r="M1705" s="458" t="n"/>
      <c r="N1705" s="458" t="n"/>
      <c r="O1705" s="459" t="n"/>
      <c r="P1705" s="460" t="n"/>
      <c r="Q1705" s="460" t="n"/>
      <c r="R1705" s="460" t="n"/>
      <c r="S1705" s="460" t="n"/>
      <c r="T1705" s="460" t="n"/>
      <c r="U1705" s="460" t="n"/>
      <c r="V1705" s="460" t="n"/>
      <c r="W1705" s="461" t="n"/>
      <c r="X1705" s="461" t="n"/>
      <c r="Y1705" s="461" t="n"/>
      <c r="Z1705" s="461" t="n"/>
      <c r="AA1705" s="462" t="n"/>
      <c r="AB1705" s="462" t="n"/>
      <c r="AC1705" s="462" t="n"/>
      <c r="AD1705" s="462" t="n"/>
      <c r="AE1705" s="462" t="n"/>
      <c r="AF1705" s="462" t="n"/>
      <c r="AG1705" s="462" t="n"/>
      <c r="AH1705" s="462" t="n"/>
      <c r="AI1705" s="461" t="n"/>
      <c r="AJ1705" s="461" t="n"/>
      <c r="AK1705" s="463" t="n"/>
      <c r="AL1705" s="461" t="n"/>
      <c r="AM1705" s="461" t="n"/>
      <c r="AN1705" s="461" t="n"/>
      <c r="AO1705" s="461" t="n"/>
      <c r="AP1705" s="464" t="n"/>
      <c r="AQ1705" s="464" t="n"/>
      <c r="AR1705" s="461" t="n"/>
      <c r="AS1705" s="461" t="n"/>
      <c r="AT1705" s="461" t="n"/>
      <c r="AU1705" s="461" t="n"/>
      <c r="AV1705" s="461" t="n"/>
      <c r="AW1705" s="461" t="n"/>
      <c r="AX1705" s="461" t="n"/>
    </row>
    <row r="1706">
      <c r="A1706" s="413" t="n"/>
      <c r="B1706" s="413" t="n"/>
      <c r="C1706" s="413" t="n"/>
      <c r="D1706" s="414" t="n"/>
      <c r="E1706" s="414" t="n"/>
      <c r="F1706" s="414" t="n"/>
      <c r="G1706" s="414" t="n"/>
      <c r="H1706" s="414" t="n"/>
      <c r="J1706" s="457" t="n"/>
      <c r="K1706" s="457" t="n"/>
      <c r="L1706" s="458" t="n"/>
      <c r="M1706" s="458" t="n"/>
      <c r="N1706" s="458" t="n"/>
      <c r="O1706" s="459" t="n"/>
      <c r="P1706" s="460" t="n"/>
      <c r="Q1706" s="460" t="n"/>
      <c r="R1706" s="460" t="n"/>
      <c r="S1706" s="460" t="n"/>
      <c r="T1706" s="460" t="n"/>
      <c r="U1706" s="460" t="n"/>
      <c r="V1706" s="460" t="n"/>
      <c r="W1706" s="461" t="n"/>
      <c r="X1706" s="461" t="n"/>
      <c r="Y1706" s="461" t="n"/>
      <c r="Z1706" s="461" t="n"/>
      <c r="AA1706" s="462" t="n"/>
      <c r="AB1706" s="462" t="n"/>
      <c r="AC1706" s="462" t="n"/>
      <c r="AD1706" s="462" t="n"/>
      <c r="AE1706" s="462" t="n"/>
      <c r="AF1706" s="462" t="n"/>
      <c r="AG1706" s="462" t="n"/>
      <c r="AH1706" s="462" t="n"/>
      <c r="AI1706" s="461" t="n"/>
      <c r="AJ1706" s="461" t="n"/>
      <c r="AK1706" s="463" t="n"/>
      <c r="AL1706" s="461" t="n"/>
      <c r="AM1706" s="461" t="n"/>
      <c r="AN1706" s="461" t="n"/>
      <c r="AO1706" s="461" t="n"/>
      <c r="AP1706" s="464" t="n"/>
      <c r="AQ1706" s="464" t="n"/>
      <c r="AR1706" s="461" t="n"/>
      <c r="AS1706" s="461" t="n"/>
      <c r="AT1706" s="461" t="n"/>
      <c r="AU1706" s="461" t="n"/>
      <c r="AV1706" s="461" t="n"/>
      <c r="AW1706" s="461" t="n"/>
      <c r="AX1706" s="461" t="n"/>
    </row>
    <row r="1707">
      <c r="A1707" s="413" t="n"/>
      <c r="B1707" s="413" t="n"/>
      <c r="C1707" s="413" t="n"/>
      <c r="D1707" s="414" t="n"/>
      <c r="E1707" s="414" t="n"/>
      <c r="F1707" s="414" t="n"/>
      <c r="G1707" s="414" t="n"/>
      <c r="H1707" s="414" t="n"/>
      <c r="J1707" s="457" t="n"/>
      <c r="K1707" s="457" t="n"/>
      <c r="L1707" s="458" t="n"/>
      <c r="M1707" s="458" t="n"/>
      <c r="N1707" s="458" t="n"/>
      <c r="O1707" s="459" t="n"/>
      <c r="P1707" s="460" t="n"/>
      <c r="Q1707" s="460" t="n"/>
      <c r="R1707" s="460" t="n"/>
      <c r="S1707" s="460" t="n"/>
      <c r="T1707" s="460" t="n"/>
      <c r="U1707" s="460" t="n"/>
      <c r="V1707" s="460" t="n"/>
      <c r="W1707" s="461" t="n"/>
      <c r="X1707" s="461" t="n"/>
      <c r="Y1707" s="461" t="n"/>
      <c r="Z1707" s="461" t="n"/>
      <c r="AA1707" s="462" t="n"/>
      <c r="AB1707" s="462" t="n"/>
      <c r="AC1707" s="462" t="n"/>
      <c r="AD1707" s="462" t="n"/>
      <c r="AE1707" s="462" t="n"/>
      <c r="AF1707" s="462" t="n"/>
      <c r="AG1707" s="462" t="n"/>
      <c r="AH1707" s="462" t="n"/>
      <c r="AI1707" s="461" t="n"/>
      <c r="AJ1707" s="461" t="n"/>
      <c r="AK1707" s="463" t="n"/>
      <c r="AL1707" s="461" t="n"/>
      <c r="AM1707" s="461" t="n"/>
      <c r="AN1707" s="461" t="n"/>
      <c r="AO1707" s="461" t="n"/>
      <c r="AP1707" s="464" t="n"/>
      <c r="AQ1707" s="464" t="n"/>
      <c r="AR1707" s="461" t="n"/>
      <c r="AS1707" s="461" t="n"/>
      <c r="AT1707" s="461" t="n"/>
      <c r="AU1707" s="461" t="n"/>
      <c r="AV1707" s="461" t="n"/>
      <c r="AW1707" s="461" t="n"/>
      <c r="AX1707" s="461" t="n"/>
    </row>
    <row r="1708">
      <c r="A1708" s="413" t="n"/>
      <c r="B1708" s="413" t="n"/>
      <c r="C1708" s="413" t="n"/>
      <c r="D1708" s="414" t="n"/>
      <c r="E1708" s="414" t="n"/>
      <c r="F1708" s="414" t="n"/>
      <c r="G1708" s="414" t="n"/>
      <c r="H1708" s="414" t="n"/>
      <c r="J1708" s="457" t="n"/>
      <c r="K1708" s="457" t="n"/>
      <c r="L1708" s="458" t="n"/>
      <c r="M1708" s="458" t="n"/>
      <c r="N1708" s="458" t="n"/>
      <c r="O1708" s="459" t="n"/>
      <c r="P1708" s="460" t="n"/>
      <c r="Q1708" s="460" t="n"/>
      <c r="R1708" s="460" t="n"/>
      <c r="S1708" s="460" t="n"/>
      <c r="T1708" s="460" t="n"/>
      <c r="U1708" s="460" t="n"/>
      <c r="V1708" s="460" t="n"/>
      <c r="W1708" s="461" t="n"/>
      <c r="X1708" s="461" t="n"/>
      <c r="Y1708" s="461" t="n"/>
      <c r="Z1708" s="461" t="n"/>
      <c r="AA1708" s="462" t="n"/>
      <c r="AB1708" s="462" t="n"/>
      <c r="AC1708" s="462" t="n"/>
      <c r="AD1708" s="462" t="n"/>
      <c r="AE1708" s="462" t="n"/>
      <c r="AF1708" s="462" t="n"/>
      <c r="AG1708" s="462" t="n"/>
      <c r="AH1708" s="462" t="n"/>
      <c r="AI1708" s="461" t="n"/>
      <c r="AJ1708" s="461" t="n"/>
      <c r="AK1708" s="463" t="n"/>
      <c r="AL1708" s="461" t="n"/>
      <c r="AM1708" s="461" t="n"/>
      <c r="AN1708" s="461" t="n"/>
      <c r="AO1708" s="461" t="n"/>
      <c r="AP1708" s="464" t="n"/>
      <c r="AQ1708" s="464" t="n"/>
      <c r="AR1708" s="461" t="n"/>
      <c r="AS1708" s="461" t="n"/>
      <c r="AT1708" s="461" t="n"/>
      <c r="AU1708" s="461" t="n"/>
      <c r="AV1708" s="461" t="n"/>
      <c r="AW1708" s="461" t="n"/>
      <c r="AX1708" s="461" t="n"/>
    </row>
    <row r="1709">
      <c r="A1709" s="413" t="n"/>
      <c r="B1709" s="413" t="n"/>
      <c r="C1709" s="413" t="n"/>
      <c r="D1709" s="414" t="n"/>
      <c r="E1709" s="414" t="n"/>
      <c r="F1709" s="414" t="n"/>
      <c r="G1709" s="414" t="n"/>
      <c r="H1709" s="414" t="n"/>
      <c r="J1709" s="457" t="n"/>
      <c r="K1709" s="457" t="n"/>
      <c r="L1709" s="458" t="n"/>
      <c r="M1709" s="458" t="n"/>
      <c r="N1709" s="458" t="n"/>
      <c r="O1709" s="459" t="n"/>
      <c r="P1709" s="460" t="n"/>
      <c r="Q1709" s="460" t="n"/>
      <c r="R1709" s="460" t="n"/>
      <c r="S1709" s="460" t="n"/>
      <c r="T1709" s="460" t="n"/>
      <c r="U1709" s="460" t="n"/>
      <c r="V1709" s="460" t="n"/>
      <c r="W1709" s="461" t="n"/>
      <c r="X1709" s="461" t="n"/>
      <c r="Y1709" s="461" t="n"/>
      <c r="Z1709" s="461" t="n"/>
      <c r="AA1709" s="462" t="n"/>
      <c r="AB1709" s="462" t="n"/>
      <c r="AC1709" s="462" t="n"/>
      <c r="AD1709" s="462" t="n"/>
      <c r="AE1709" s="462" t="n"/>
      <c r="AF1709" s="462" t="n"/>
      <c r="AG1709" s="462" t="n"/>
      <c r="AH1709" s="462" t="n"/>
      <c r="AI1709" s="461" t="n"/>
      <c r="AJ1709" s="461" t="n"/>
      <c r="AK1709" s="463" t="n"/>
      <c r="AL1709" s="461" t="n"/>
      <c r="AM1709" s="461" t="n"/>
      <c r="AN1709" s="461" t="n"/>
      <c r="AO1709" s="461" t="n"/>
      <c r="AP1709" s="464" t="n"/>
      <c r="AQ1709" s="464" t="n"/>
      <c r="AR1709" s="461" t="n"/>
      <c r="AS1709" s="461" t="n"/>
      <c r="AT1709" s="461" t="n"/>
      <c r="AU1709" s="461" t="n"/>
      <c r="AV1709" s="461" t="n"/>
      <c r="AW1709" s="461" t="n"/>
      <c r="AX1709" s="461" t="n"/>
    </row>
    <row r="1710">
      <c r="A1710" s="413" t="n"/>
      <c r="B1710" s="413" t="n"/>
      <c r="C1710" s="413" t="n"/>
      <c r="D1710" s="414" t="n"/>
      <c r="E1710" s="414" t="n"/>
      <c r="F1710" s="414" t="n"/>
      <c r="G1710" s="414" t="n"/>
      <c r="H1710" s="414" t="n"/>
      <c r="J1710" s="457" t="n"/>
      <c r="K1710" s="457" t="n"/>
      <c r="L1710" s="458" t="n"/>
      <c r="M1710" s="458" t="n"/>
      <c r="N1710" s="458" t="n"/>
      <c r="O1710" s="459" t="n"/>
      <c r="P1710" s="460" t="n"/>
      <c r="Q1710" s="460" t="n"/>
      <c r="R1710" s="460" t="n"/>
      <c r="S1710" s="460" t="n"/>
      <c r="T1710" s="460" t="n"/>
      <c r="U1710" s="460" t="n"/>
      <c r="V1710" s="460" t="n"/>
      <c r="W1710" s="461" t="n"/>
      <c r="X1710" s="461" t="n"/>
      <c r="Y1710" s="461" t="n"/>
      <c r="Z1710" s="461" t="n"/>
      <c r="AA1710" s="462" t="n"/>
      <c r="AB1710" s="462" t="n"/>
      <c r="AC1710" s="462" t="n"/>
      <c r="AD1710" s="462" t="n"/>
      <c r="AE1710" s="462" t="n"/>
      <c r="AF1710" s="462" t="n"/>
      <c r="AG1710" s="462" t="n"/>
      <c r="AH1710" s="462" t="n"/>
      <c r="AI1710" s="461" t="n"/>
      <c r="AJ1710" s="461" t="n"/>
      <c r="AK1710" s="463" t="n"/>
      <c r="AL1710" s="461" t="n"/>
      <c r="AM1710" s="461" t="n"/>
      <c r="AN1710" s="461" t="n"/>
      <c r="AO1710" s="461" t="n"/>
      <c r="AP1710" s="464" t="n"/>
      <c r="AQ1710" s="464" t="n"/>
      <c r="AR1710" s="461" t="n"/>
      <c r="AS1710" s="461" t="n"/>
      <c r="AT1710" s="461" t="n"/>
      <c r="AU1710" s="461" t="n"/>
      <c r="AV1710" s="461" t="n"/>
      <c r="AW1710" s="461" t="n"/>
      <c r="AX1710" s="461" t="n"/>
    </row>
    <row r="1711">
      <c r="A1711" s="413" t="n"/>
      <c r="B1711" s="413" t="n"/>
      <c r="C1711" s="413" t="n"/>
      <c r="D1711" s="414" t="n"/>
      <c r="E1711" s="414" t="n"/>
      <c r="F1711" s="414" t="n"/>
      <c r="G1711" s="414" t="n"/>
      <c r="H1711" s="414" t="n"/>
      <c r="J1711" s="457" t="n"/>
      <c r="K1711" s="457" t="n"/>
      <c r="L1711" s="458" t="n"/>
      <c r="M1711" s="458" t="n"/>
      <c r="N1711" s="458" t="n"/>
      <c r="O1711" s="459" t="n"/>
      <c r="P1711" s="460" t="n"/>
      <c r="Q1711" s="460" t="n"/>
      <c r="R1711" s="460" t="n"/>
      <c r="S1711" s="460" t="n"/>
      <c r="T1711" s="460" t="n"/>
      <c r="U1711" s="460" t="n"/>
      <c r="V1711" s="460" t="n"/>
      <c r="W1711" s="461" t="n"/>
      <c r="X1711" s="461" t="n"/>
      <c r="Y1711" s="461" t="n"/>
      <c r="Z1711" s="461" t="n"/>
      <c r="AA1711" s="462" t="n"/>
      <c r="AB1711" s="462" t="n"/>
      <c r="AC1711" s="462" t="n"/>
      <c r="AD1711" s="462" t="n"/>
      <c r="AE1711" s="462" t="n"/>
      <c r="AF1711" s="462" t="n"/>
      <c r="AG1711" s="462" t="n"/>
      <c r="AH1711" s="462" t="n"/>
      <c r="AI1711" s="461" t="n"/>
      <c r="AJ1711" s="461" t="n"/>
      <c r="AK1711" s="463" t="n"/>
      <c r="AL1711" s="461" t="n"/>
      <c r="AM1711" s="461" t="n"/>
      <c r="AN1711" s="461" t="n"/>
      <c r="AO1711" s="461" t="n"/>
      <c r="AP1711" s="464" t="n"/>
      <c r="AQ1711" s="464" t="n"/>
      <c r="AR1711" s="461" t="n"/>
      <c r="AS1711" s="461" t="n"/>
      <c r="AT1711" s="461" t="n"/>
      <c r="AU1711" s="461" t="n"/>
      <c r="AV1711" s="461" t="n"/>
      <c r="AW1711" s="461" t="n"/>
      <c r="AX1711" s="461" t="n"/>
    </row>
    <row r="1712">
      <c r="A1712" s="413" t="n"/>
      <c r="B1712" s="413" t="n"/>
      <c r="C1712" s="413" t="n"/>
      <c r="D1712" s="414" t="n"/>
      <c r="E1712" s="414" t="n"/>
      <c r="F1712" s="414" t="n"/>
      <c r="G1712" s="414" t="n"/>
      <c r="H1712" s="414" t="n"/>
      <c r="J1712" s="457" t="n"/>
      <c r="K1712" s="457" t="n"/>
      <c r="L1712" s="458" t="n"/>
      <c r="M1712" s="458" t="n"/>
      <c r="N1712" s="458" t="n"/>
      <c r="O1712" s="459" t="n"/>
      <c r="P1712" s="460" t="n"/>
      <c r="Q1712" s="460" t="n"/>
      <c r="R1712" s="460" t="n"/>
      <c r="S1712" s="460" t="n"/>
      <c r="T1712" s="460" t="n"/>
      <c r="U1712" s="460" t="n"/>
      <c r="V1712" s="460" t="n"/>
      <c r="W1712" s="461" t="n"/>
      <c r="X1712" s="461" t="n"/>
      <c r="Y1712" s="461" t="n"/>
      <c r="Z1712" s="461" t="n"/>
      <c r="AA1712" s="462" t="n"/>
      <c r="AB1712" s="462" t="n"/>
      <c r="AC1712" s="462" t="n"/>
      <c r="AD1712" s="462" t="n"/>
      <c r="AE1712" s="462" t="n"/>
      <c r="AF1712" s="462" t="n"/>
      <c r="AG1712" s="462" t="n"/>
      <c r="AH1712" s="462" t="n"/>
      <c r="AI1712" s="461" t="n"/>
      <c r="AJ1712" s="461" t="n"/>
      <c r="AK1712" s="463" t="n"/>
      <c r="AL1712" s="461" t="n"/>
      <c r="AM1712" s="461" t="n"/>
      <c r="AN1712" s="461" t="n"/>
      <c r="AO1712" s="461" t="n"/>
      <c r="AP1712" s="464" t="n"/>
      <c r="AQ1712" s="464" t="n"/>
      <c r="AR1712" s="461" t="n"/>
      <c r="AS1712" s="461" t="n"/>
      <c r="AT1712" s="461" t="n"/>
      <c r="AU1712" s="461" t="n"/>
      <c r="AV1712" s="461" t="n"/>
      <c r="AW1712" s="461" t="n"/>
      <c r="AX1712" s="461" t="n"/>
    </row>
    <row r="1713">
      <c r="A1713" s="413" t="n"/>
      <c r="B1713" s="413" t="n"/>
      <c r="C1713" s="413" t="n"/>
      <c r="D1713" s="414" t="n"/>
      <c r="E1713" s="414" t="n"/>
      <c r="F1713" s="414" t="n"/>
      <c r="G1713" s="414" t="n"/>
      <c r="H1713" s="414" t="n"/>
      <c r="J1713" s="457" t="n"/>
      <c r="K1713" s="457" t="n"/>
      <c r="L1713" s="458" t="n"/>
      <c r="M1713" s="458" t="n"/>
      <c r="N1713" s="458" t="n"/>
      <c r="O1713" s="459" t="n"/>
      <c r="P1713" s="460" t="n"/>
      <c r="Q1713" s="460" t="n"/>
      <c r="R1713" s="460" t="n"/>
      <c r="S1713" s="460" t="n"/>
      <c r="T1713" s="460" t="n"/>
      <c r="U1713" s="460" t="n"/>
      <c r="V1713" s="460" t="n"/>
      <c r="W1713" s="461" t="n"/>
      <c r="X1713" s="461" t="n"/>
      <c r="Y1713" s="461" t="n"/>
      <c r="Z1713" s="461" t="n"/>
      <c r="AA1713" s="462" t="n"/>
      <c r="AB1713" s="462" t="n"/>
      <c r="AC1713" s="462" t="n"/>
      <c r="AD1713" s="462" t="n"/>
      <c r="AE1713" s="462" t="n"/>
      <c r="AF1713" s="462" t="n"/>
      <c r="AG1713" s="462" t="n"/>
      <c r="AH1713" s="462" t="n"/>
      <c r="AI1713" s="461" t="n"/>
      <c r="AJ1713" s="461" t="n"/>
      <c r="AK1713" s="463" t="n"/>
      <c r="AL1713" s="461" t="n"/>
      <c r="AM1713" s="461" t="n"/>
      <c r="AN1713" s="461" t="n"/>
      <c r="AO1713" s="461" t="n"/>
      <c r="AP1713" s="464" t="n"/>
      <c r="AQ1713" s="464" t="n"/>
      <c r="AR1713" s="461" t="n"/>
      <c r="AS1713" s="461" t="n"/>
      <c r="AT1713" s="461" t="n"/>
      <c r="AU1713" s="461" t="n"/>
      <c r="AV1713" s="461" t="n"/>
      <c r="AW1713" s="461" t="n"/>
      <c r="AX1713" s="461" t="n"/>
    </row>
    <row r="1714">
      <c r="A1714" s="413" t="n"/>
      <c r="B1714" s="413" t="n"/>
      <c r="C1714" s="413" t="n"/>
      <c r="D1714" s="414" t="n"/>
      <c r="E1714" s="414" t="n"/>
      <c r="F1714" s="414" t="n"/>
      <c r="G1714" s="414" t="n"/>
      <c r="H1714" s="414" t="n"/>
      <c r="J1714" s="457" t="n"/>
      <c r="K1714" s="457" t="n"/>
      <c r="L1714" s="458" t="n"/>
      <c r="M1714" s="458" t="n"/>
      <c r="N1714" s="458" t="n"/>
      <c r="O1714" s="459" t="n"/>
      <c r="P1714" s="460" t="n"/>
      <c r="Q1714" s="460" t="n"/>
      <c r="R1714" s="460" t="n"/>
      <c r="S1714" s="460" t="n"/>
      <c r="T1714" s="460" t="n"/>
      <c r="U1714" s="460" t="n"/>
      <c r="V1714" s="460" t="n"/>
      <c r="W1714" s="461" t="n"/>
      <c r="X1714" s="461" t="n"/>
      <c r="Y1714" s="461" t="n"/>
      <c r="Z1714" s="461" t="n"/>
      <c r="AA1714" s="462" t="n"/>
      <c r="AB1714" s="462" t="n"/>
      <c r="AC1714" s="462" t="n"/>
      <c r="AD1714" s="462" t="n"/>
      <c r="AE1714" s="462" t="n"/>
      <c r="AF1714" s="462" t="n"/>
      <c r="AG1714" s="462" t="n"/>
      <c r="AH1714" s="462" t="n"/>
      <c r="AI1714" s="461" t="n"/>
      <c r="AJ1714" s="461" t="n"/>
      <c r="AK1714" s="463" t="n"/>
      <c r="AL1714" s="461" t="n"/>
      <c r="AM1714" s="461" t="n"/>
      <c r="AN1714" s="461" t="n"/>
      <c r="AO1714" s="461" t="n"/>
      <c r="AP1714" s="464" t="n"/>
      <c r="AQ1714" s="464" t="n"/>
      <c r="AR1714" s="461" t="n"/>
      <c r="AS1714" s="461" t="n"/>
      <c r="AT1714" s="461" t="n"/>
      <c r="AU1714" s="461" t="n"/>
      <c r="AV1714" s="461" t="n"/>
      <c r="AW1714" s="461" t="n"/>
      <c r="AX1714" s="461" t="n"/>
    </row>
    <row r="1715">
      <c r="A1715" s="413" t="n"/>
      <c r="B1715" s="413" t="n"/>
      <c r="C1715" s="413" t="n"/>
      <c r="D1715" s="414" t="n"/>
      <c r="E1715" s="414" t="n"/>
      <c r="F1715" s="414" t="n"/>
      <c r="G1715" s="414" t="n"/>
      <c r="H1715" s="414" t="n"/>
      <c r="J1715" s="457" t="n"/>
      <c r="K1715" s="457" t="n"/>
      <c r="L1715" s="458" t="n"/>
      <c r="M1715" s="458" t="n"/>
      <c r="N1715" s="458" t="n"/>
      <c r="O1715" s="459" t="n"/>
      <c r="P1715" s="460" t="n"/>
      <c r="Q1715" s="460" t="n"/>
      <c r="R1715" s="460" t="n"/>
      <c r="S1715" s="460" t="n"/>
      <c r="T1715" s="460" t="n"/>
      <c r="U1715" s="460" t="n"/>
      <c r="V1715" s="460" t="n"/>
      <c r="W1715" s="461" t="n"/>
      <c r="X1715" s="461" t="n"/>
      <c r="Y1715" s="461" t="n"/>
      <c r="Z1715" s="461" t="n"/>
      <c r="AA1715" s="462" t="n"/>
      <c r="AB1715" s="462" t="n"/>
      <c r="AC1715" s="462" t="n"/>
      <c r="AD1715" s="462" t="n"/>
      <c r="AE1715" s="462" t="n"/>
      <c r="AF1715" s="462" t="n"/>
      <c r="AG1715" s="462" t="n"/>
      <c r="AH1715" s="462" t="n"/>
      <c r="AI1715" s="461" t="n"/>
      <c r="AJ1715" s="461" t="n"/>
      <c r="AK1715" s="463" t="n"/>
      <c r="AL1715" s="461" t="n"/>
      <c r="AM1715" s="461" t="n"/>
      <c r="AN1715" s="461" t="n"/>
      <c r="AO1715" s="461" t="n"/>
      <c r="AP1715" s="464" t="n"/>
      <c r="AQ1715" s="464" t="n"/>
      <c r="AR1715" s="461" t="n"/>
      <c r="AS1715" s="461" t="n"/>
      <c r="AT1715" s="461" t="n"/>
      <c r="AU1715" s="461" t="n"/>
      <c r="AV1715" s="461" t="n"/>
      <c r="AW1715" s="461" t="n"/>
      <c r="AX1715" s="461" t="n"/>
    </row>
    <row r="1716">
      <c r="A1716" s="413" t="n"/>
      <c r="B1716" s="413" t="n"/>
      <c r="C1716" s="413" t="n"/>
      <c r="D1716" s="414" t="n"/>
      <c r="E1716" s="414" t="n"/>
      <c r="F1716" s="414" t="n"/>
      <c r="G1716" s="414" t="n"/>
      <c r="H1716" s="414" t="n"/>
      <c r="J1716" s="457" t="n"/>
      <c r="K1716" s="457" t="n"/>
      <c r="L1716" s="458" t="n"/>
      <c r="M1716" s="458" t="n"/>
      <c r="N1716" s="458" t="n"/>
      <c r="O1716" s="459" t="n"/>
      <c r="P1716" s="460" t="n"/>
      <c r="Q1716" s="460" t="n"/>
      <c r="R1716" s="460" t="n"/>
      <c r="S1716" s="460" t="n"/>
      <c r="T1716" s="460" t="n"/>
      <c r="U1716" s="460" t="n"/>
      <c r="V1716" s="460" t="n"/>
      <c r="W1716" s="461" t="n"/>
      <c r="X1716" s="461" t="n"/>
      <c r="Y1716" s="461" t="n"/>
      <c r="Z1716" s="461" t="n"/>
      <c r="AA1716" s="462" t="n"/>
      <c r="AB1716" s="462" t="n"/>
      <c r="AC1716" s="462" t="n"/>
      <c r="AD1716" s="462" t="n"/>
      <c r="AE1716" s="462" t="n"/>
      <c r="AF1716" s="462" t="n"/>
      <c r="AG1716" s="462" t="n"/>
      <c r="AH1716" s="462" t="n"/>
      <c r="AI1716" s="461" t="n"/>
      <c r="AJ1716" s="461" t="n"/>
      <c r="AK1716" s="463" t="n"/>
      <c r="AL1716" s="461" t="n"/>
      <c r="AM1716" s="461" t="n"/>
      <c r="AN1716" s="461" t="n"/>
      <c r="AO1716" s="461" t="n"/>
      <c r="AP1716" s="464" t="n"/>
      <c r="AQ1716" s="464" t="n"/>
      <c r="AR1716" s="461" t="n"/>
      <c r="AS1716" s="461" t="n"/>
      <c r="AT1716" s="461" t="n"/>
      <c r="AU1716" s="461" t="n"/>
      <c r="AV1716" s="461" t="n"/>
      <c r="AW1716" s="461" t="n"/>
      <c r="AX1716" s="461" t="n"/>
    </row>
    <row r="1717">
      <c r="A1717" s="413" t="n"/>
      <c r="B1717" s="413" t="n"/>
      <c r="C1717" s="413" t="n"/>
      <c r="D1717" s="414" t="n"/>
      <c r="E1717" s="414" t="n"/>
      <c r="F1717" s="414" t="n"/>
      <c r="G1717" s="414" t="n"/>
      <c r="H1717" s="414" t="n"/>
      <c r="J1717" s="457" t="n"/>
      <c r="K1717" s="457" t="n"/>
      <c r="L1717" s="458" t="n"/>
      <c r="M1717" s="458" t="n"/>
      <c r="N1717" s="458" t="n"/>
      <c r="O1717" s="459" t="n"/>
      <c r="P1717" s="460" t="n"/>
      <c r="Q1717" s="460" t="n"/>
      <c r="R1717" s="460" t="n"/>
      <c r="S1717" s="460" t="n"/>
      <c r="T1717" s="460" t="n"/>
      <c r="U1717" s="460" t="n"/>
      <c r="V1717" s="460" t="n"/>
      <c r="W1717" s="461" t="n"/>
      <c r="X1717" s="461" t="n"/>
      <c r="Y1717" s="461" t="n"/>
      <c r="Z1717" s="461" t="n"/>
      <c r="AA1717" s="462" t="n"/>
      <c r="AB1717" s="462" t="n"/>
      <c r="AC1717" s="462" t="n"/>
      <c r="AD1717" s="462" t="n"/>
      <c r="AE1717" s="462" t="n"/>
      <c r="AF1717" s="462" t="n"/>
      <c r="AG1717" s="462" t="n"/>
      <c r="AH1717" s="462" t="n"/>
      <c r="AI1717" s="461" t="n"/>
      <c r="AJ1717" s="461" t="n"/>
      <c r="AK1717" s="463" t="n"/>
      <c r="AL1717" s="461" t="n"/>
      <c r="AM1717" s="461" t="n"/>
      <c r="AN1717" s="461" t="n"/>
      <c r="AO1717" s="461" t="n"/>
      <c r="AP1717" s="464" t="n"/>
      <c r="AQ1717" s="464" t="n"/>
      <c r="AR1717" s="461" t="n"/>
      <c r="AS1717" s="461" t="n"/>
      <c r="AT1717" s="461" t="n"/>
      <c r="AU1717" s="461" t="n"/>
      <c r="AV1717" s="461" t="n"/>
      <c r="AW1717" s="461" t="n"/>
      <c r="AX1717" s="461" t="n"/>
    </row>
    <row r="1718">
      <c r="A1718" s="413" t="n"/>
      <c r="B1718" s="413" t="n"/>
      <c r="C1718" s="413" t="n"/>
      <c r="D1718" s="414" t="n"/>
      <c r="E1718" s="414" t="n"/>
      <c r="F1718" s="414" t="n"/>
      <c r="G1718" s="414" t="n"/>
      <c r="H1718" s="414" t="n"/>
      <c r="J1718" s="457" t="n"/>
      <c r="K1718" s="457" t="n"/>
      <c r="L1718" s="458" t="n"/>
      <c r="M1718" s="458" t="n"/>
      <c r="N1718" s="458" t="n"/>
      <c r="O1718" s="459" t="n"/>
      <c r="P1718" s="460" t="n"/>
      <c r="Q1718" s="460" t="n"/>
      <c r="R1718" s="460" t="n"/>
      <c r="S1718" s="460" t="n"/>
      <c r="T1718" s="460" t="n"/>
      <c r="U1718" s="460" t="n"/>
      <c r="V1718" s="460" t="n"/>
      <c r="W1718" s="461" t="n"/>
      <c r="X1718" s="461" t="n"/>
      <c r="Y1718" s="461" t="n"/>
      <c r="Z1718" s="461" t="n"/>
      <c r="AA1718" s="462" t="n"/>
      <c r="AB1718" s="462" t="n"/>
      <c r="AC1718" s="462" t="n"/>
      <c r="AD1718" s="462" t="n"/>
      <c r="AE1718" s="462" t="n"/>
      <c r="AF1718" s="462" t="n"/>
      <c r="AG1718" s="462" t="n"/>
      <c r="AH1718" s="462" t="n"/>
      <c r="AI1718" s="461" t="n"/>
      <c r="AJ1718" s="461" t="n"/>
      <c r="AK1718" s="463" t="n"/>
      <c r="AL1718" s="461" t="n"/>
      <c r="AM1718" s="461" t="n"/>
      <c r="AN1718" s="461" t="n"/>
      <c r="AO1718" s="461" t="n"/>
      <c r="AP1718" s="464" t="n"/>
      <c r="AQ1718" s="464" t="n"/>
      <c r="AR1718" s="461" t="n"/>
      <c r="AS1718" s="461" t="n"/>
      <c r="AT1718" s="461" t="n"/>
      <c r="AU1718" s="461" t="n"/>
      <c r="AV1718" s="461" t="n"/>
      <c r="AW1718" s="461" t="n"/>
      <c r="AX1718" s="461" t="n"/>
    </row>
    <row r="1719">
      <c r="A1719" s="413" t="n"/>
      <c r="B1719" s="413" t="n"/>
      <c r="C1719" s="413" t="n"/>
      <c r="D1719" s="414" t="n"/>
      <c r="E1719" s="414" t="n"/>
      <c r="F1719" s="414" t="n"/>
      <c r="G1719" s="414" t="n"/>
      <c r="H1719" s="414" t="n"/>
      <c r="J1719" s="457" t="n"/>
      <c r="K1719" s="457" t="n"/>
      <c r="L1719" s="458" t="n"/>
      <c r="M1719" s="458" t="n"/>
      <c r="N1719" s="458" t="n"/>
      <c r="O1719" s="459" t="n"/>
      <c r="P1719" s="460" t="n"/>
      <c r="Q1719" s="460" t="n"/>
      <c r="R1719" s="460" t="n"/>
      <c r="S1719" s="460" t="n"/>
      <c r="T1719" s="460" t="n"/>
      <c r="U1719" s="460" t="n"/>
      <c r="V1719" s="460" t="n"/>
      <c r="W1719" s="461" t="n"/>
      <c r="X1719" s="461" t="n"/>
      <c r="Y1719" s="461" t="n"/>
      <c r="Z1719" s="461" t="n"/>
      <c r="AA1719" s="462" t="n"/>
      <c r="AB1719" s="462" t="n"/>
      <c r="AC1719" s="462" t="n"/>
      <c r="AD1719" s="462" t="n"/>
      <c r="AE1719" s="462" t="n"/>
      <c r="AF1719" s="462" t="n"/>
      <c r="AG1719" s="462" t="n"/>
      <c r="AH1719" s="462" t="n"/>
      <c r="AI1719" s="461" t="n"/>
      <c r="AJ1719" s="461" t="n"/>
      <c r="AK1719" s="463" t="n"/>
      <c r="AL1719" s="461" t="n"/>
      <c r="AM1719" s="461" t="n"/>
      <c r="AN1719" s="461" t="n"/>
      <c r="AO1719" s="461" t="n"/>
      <c r="AP1719" s="464" t="n"/>
      <c r="AQ1719" s="464" t="n"/>
      <c r="AR1719" s="461" t="n"/>
      <c r="AS1719" s="461" t="n"/>
      <c r="AT1719" s="461" t="n"/>
      <c r="AU1719" s="461" t="n"/>
      <c r="AV1719" s="461" t="n"/>
      <c r="AW1719" s="461" t="n"/>
      <c r="AX1719" s="461" t="n"/>
    </row>
    <row r="1720">
      <c r="A1720" s="413" t="n"/>
      <c r="B1720" s="413" t="n"/>
      <c r="C1720" s="413" t="n"/>
      <c r="D1720" s="414" t="n"/>
      <c r="E1720" s="414" t="n"/>
      <c r="F1720" s="414" t="n"/>
      <c r="G1720" s="414" t="n"/>
      <c r="H1720" s="414" t="n"/>
      <c r="J1720" s="457" t="n"/>
      <c r="K1720" s="457" t="n"/>
      <c r="L1720" s="458" t="n"/>
      <c r="M1720" s="458" t="n"/>
      <c r="N1720" s="458" t="n"/>
      <c r="O1720" s="459" t="n"/>
      <c r="P1720" s="460" t="n"/>
      <c r="Q1720" s="460" t="n"/>
      <c r="R1720" s="460" t="n"/>
      <c r="S1720" s="460" t="n"/>
      <c r="T1720" s="460" t="n"/>
      <c r="U1720" s="460" t="n"/>
      <c r="V1720" s="460" t="n"/>
      <c r="W1720" s="461" t="n"/>
      <c r="X1720" s="461" t="n"/>
      <c r="Y1720" s="461" t="n"/>
      <c r="Z1720" s="461" t="n"/>
      <c r="AA1720" s="462" t="n"/>
      <c r="AB1720" s="462" t="n"/>
      <c r="AC1720" s="462" t="n"/>
      <c r="AD1720" s="462" t="n"/>
      <c r="AE1720" s="462" t="n"/>
      <c r="AF1720" s="462" t="n"/>
      <c r="AG1720" s="462" t="n"/>
      <c r="AH1720" s="462" t="n"/>
      <c r="AI1720" s="461" t="n"/>
      <c r="AJ1720" s="461" t="n"/>
      <c r="AK1720" s="463" t="n"/>
      <c r="AL1720" s="461" t="n"/>
      <c r="AM1720" s="461" t="n"/>
      <c r="AN1720" s="461" t="n"/>
      <c r="AO1720" s="461" t="n"/>
      <c r="AP1720" s="464" t="n"/>
      <c r="AQ1720" s="464" t="n"/>
      <c r="AR1720" s="461" t="n"/>
      <c r="AS1720" s="461" t="n"/>
      <c r="AT1720" s="461" t="n"/>
      <c r="AU1720" s="461" t="n"/>
      <c r="AV1720" s="461" t="n"/>
      <c r="AW1720" s="461" t="n"/>
      <c r="AX1720" s="461" t="n"/>
    </row>
    <row r="1721">
      <c r="A1721" s="413" t="n"/>
      <c r="B1721" s="413" t="n"/>
      <c r="C1721" s="413" t="n"/>
      <c r="D1721" s="414" t="n"/>
      <c r="E1721" s="414" t="n"/>
      <c r="F1721" s="414" t="n"/>
      <c r="G1721" s="414" t="n"/>
      <c r="H1721" s="414" t="n"/>
      <c r="J1721" s="457" t="n"/>
      <c r="K1721" s="457" t="n"/>
      <c r="L1721" s="458" t="n"/>
      <c r="M1721" s="458" t="n"/>
      <c r="N1721" s="458" t="n"/>
      <c r="O1721" s="459" t="n"/>
      <c r="P1721" s="460" t="n"/>
      <c r="Q1721" s="460" t="n"/>
      <c r="R1721" s="460" t="n"/>
      <c r="S1721" s="460" t="n"/>
      <c r="T1721" s="460" t="n"/>
      <c r="U1721" s="460" t="n"/>
      <c r="V1721" s="460" t="n"/>
      <c r="W1721" s="461" t="n"/>
      <c r="X1721" s="461" t="n"/>
      <c r="Y1721" s="461" t="n"/>
      <c r="Z1721" s="461" t="n"/>
      <c r="AA1721" s="462" t="n"/>
      <c r="AB1721" s="462" t="n"/>
      <c r="AC1721" s="462" t="n"/>
      <c r="AD1721" s="462" t="n"/>
      <c r="AE1721" s="462" t="n"/>
      <c r="AF1721" s="462" t="n"/>
      <c r="AG1721" s="462" t="n"/>
      <c r="AH1721" s="462" t="n"/>
      <c r="AI1721" s="461" t="n"/>
      <c r="AJ1721" s="461" t="n"/>
      <c r="AK1721" s="463" t="n"/>
      <c r="AL1721" s="461" t="n"/>
      <c r="AM1721" s="461" t="n"/>
      <c r="AN1721" s="461" t="n"/>
      <c r="AO1721" s="461" t="n"/>
      <c r="AP1721" s="464" t="n"/>
      <c r="AQ1721" s="464" t="n"/>
      <c r="AR1721" s="461" t="n"/>
      <c r="AS1721" s="461" t="n"/>
      <c r="AT1721" s="461" t="n"/>
      <c r="AU1721" s="461" t="n"/>
      <c r="AV1721" s="461" t="n"/>
      <c r="AW1721" s="461" t="n"/>
      <c r="AX1721" s="461" t="n"/>
    </row>
    <row r="1722">
      <c r="A1722" s="413" t="n"/>
      <c r="B1722" s="413" t="n"/>
      <c r="C1722" s="413" t="n"/>
      <c r="D1722" s="414" t="n"/>
      <c r="E1722" s="414" t="n"/>
      <c r="F1722" s="414" t="n"/>
      <c r="G1722" s="414" t="n"/>
      <c r="H1722" s="414" t="n"/>
      <c r="J1722" s="457" t="n"/>
      <c r="K1722" s="457" t="n"/>
      <c r="L1722" s="458" t="n"/>
      <c r="M1722" s="458" t="n"/>
      <c r="N1722" s="458" t="n"/>
      <c r="O1722" s="459" t="n"/>
      <c r="P1722" s="460" t="n"/>
      <c r="Q1722" s="460" t="n"/>
      <c r="R1722" s="460" t="n"/>
      <c r="S1722" s="460" t="n"/>
      <c r="T1722" s="460" t="n"/>
      <c r="U1722" s="460" t="n"/>
      <c r="V1722" s="460" t="n"/>
      <c r="W1722" s="461" t="n"/>
      <c r="X1722" s="461" t="n"/>
      <c r="Y1722" s="461" t="n"/>
      <c r="Z1722" s="461" t="n"/>
      <c r="AA1722" s="462" t="n"/>
      <c r="AB1722" s="462" t="n"/>
      <c r="AC1722" s="462" t="n"/>
      <c r="AD1722" s="462" t="n"/>
      <c r="AE1722" s="462" t="n"/>
      <c r="AF1722" s="462" t="n"/>
      <c r="AG1722" s="462" t="n"/>
      <c r="AH1722" s="462" t="n"/>
      <c r="AI1722" s="461" t="n"/>
      <c r="AJ1722" s="461" t="n"/>
      <c r="AK1722" s="463" t="n"/>
      <c r="AL1722" s="461" t="n"/>
      <c r="AM1722" s="461" t="n"/>
      <c r="AN1722" s="461" t="n"/>
      <c r="AO1722" s="461" t="n"/>
      <c r="AP1722" s="464" t="n"/>
      <c r="AQ1722" s="464" t="n"/>
      <c r="AR1722" s="461" t="n"/>
      <c r="AS1722" s="461" t="n"/>
      <c r="AT1722" s="461" t="n"/>
      <c r="AU1722" s="461" t="n"/>
      <c r="AV1722" s="461" t="n"/>
      <c r="AW1722" s="461" t="n"/>
      <c r="AX1722" s="461" t="n"/>
    </row>
    <row r="1723">
      <c r="A1723" s="413" t="n"/>
      <c r="B1723" s="413" t="n"/>
      <c r="C1723" s="413" t="n"/>
      <c r="D1723" s="414" t="n"/>
      <c r="E1723" s="414" t="n"/>
      <c r="F1723" s="414" t="n"/>
      <c r="G1723" s="414" t="n"/>
      <c r="H1723" s="414" t="n"/>
      <c r="J1723" s="457" t="n"/>
      <c r="K1723" s="457" t="n"/>
      <c r="L1723" s="458" t="n"/>
      <c r="M1723" s="458" t="n"/>
      <c r="N1723" s="458" t="n"/>
      <c r="O1723" s="459" t="n"/>
      <c r="P1723" s="460" t="n"/>
      <c r="Q1723" s="460" t="n"/>
      <c r="R1723" s="460" t="n"/>
      <c r="S1723" s="460" t="n"/>
      <c r="T1723" s="460" t="n"/>
      <c r="U1723" s="460" t="n"/>
      <c r="V1723" s="460" t="n"/>
      <c r="W1723" s="461" t="n"/>
      <c r="X1723" s="461" t="n"/>
      <c r="Y1723" s="461" t="n"/>
      <c r="Z1723" s="461" t="n"/>
      <c r="AA1723" s="462" t="n"/>
      <c r="AB1723" s="462" t="n"/>
      <c r="AC1723" s="462" t="n"/>
      <c r="AD1723" s="462" t="n"/>
      <c r="AE1723" s="462" t="n"/>
      <c r="AF1723" s="462" t="n"/>
      <c r="AG1723" s="462" t="n"/>
      <c r="AH1723" s="462" t="n"/>
      <c r="AI1723" s="461" t="n"/>
      <c r="AJ1723" s="461" t="n"/>
      <c r="AK1723" s="463" t="n"/>
      <c r="AL1723" s="461" t="n"/>
      <c r="AM1723" s="461" t="n"/>
      <c r="AN1723" s="461" t="n"/>
      <c r="AO1723" s="461" t="n"/>
      <c r="AP1723" s="464" t="n"/>
      <c r="AQ1723" s="464" t="n"/>
      <c r="AR1723" s="461" t="n"/>
      <c r="AS1723" s="461" t="n"/>
      <c r="AT1723" s="461" t="n"/>
      <c r="AU1723" s="461" t="n"/>
      <c r="AV1723" s="461" t="n"/>
      <c r="AW1723" s="461" t="n"/>
      <c r="AX1723" s="461" t="n"/>
    </row>
    <row r="1724">
      <c r="A1724" s="413" t="n"/>
      <c r="B1724" s="413" t="n"/>
      <c r="C1724" s="413" t="n"/>
      <c r="D1724" s="414" t="n"/>
      <c r="E1724" s="414" t="n"/>
      <c r="F1724" s="414" t="n"/>
      <c r="G1724" s="414" t="n"/>
      <c r="H1724" s="414" t="n"/>
      <c r="J1724" s="457" t="n"/>
      <c r="K1724" s="457" t="n"/>
      <c r="L1724" s="458" t="n"/>
      <c r="M1724" s="458" t="n"/>
      <c r="N1724" s="458" t="n"/>
      <c r="O1724" s="459" t="n"/>
      <c r="P1724" s="460" t="n"/>
      <c r="Q1724" s="460" t="n"/>
      <c r="R1724" s="460" t="n"/>
      <c r="S1724" s="460" t="n"/>
      <c r="T1724" s="460" t="n"/>
      <c r="U1724" s="460" t="n"/>
      <c r="V1724" s="460" t="n"/>
      <c r="W1724" s="461" t="n"/>
      <c r="X1724" s="461" t="n"/>
      <c r="Y1724" s="461" t="n"/>
      <c r="Z1724" s="461" t="n"/>
      <c r="AA1724" s="462" t="n"/>
      <c r="AB1724" s="462" t="n"/>
      <c r="AC1724" s="462" t="n"/>
      <c r="AD1724" s="462" t="n"/>
      <c r="AE1724" s="462" t="n"/>
      <c r="AF1724" s="462" t="n"/>
      <c r="AG1724" s="462" t="n"/>
      <c r="AH1724" s="462" t="n"/>
      <c r="AI1724" s="461" t="n"/>
      <c r="AJ1724" s="461" t="n"/>
      <c r="AK1724" s="463" t="n"/>
      <c r="AL1724" s="461" t="n"/>
      <c r="AM1724" s="461" t="n"/>
      <c r="AN1724" s="461" t="n"/>
      <c r="AO1724" s="461" t="n"/>
      <c r="AP1724" s="464" t="n"/>
      <c r="AQ1724" s="464" t="n"/>
      <c r="AR1724" s="461" t="n"/>
      <c r="AS1724" s="461" t="n"/>
      <c r="AT1724" s="461" t="n"/>
      <c r="AU1724" s="461" t="n"/>
      <c r="AV1724" s="461" t="n"/>
      <c r="AW1724" s="461" t="n"/>
      <c r="AX1724" s="461" t="n"/>
    </row>
    <row r="1725">
      <c r="A1725" s="413" t="n"/>
      <c r="B1725" s="413" t="n"/>
      <c r="C1725" s="413" t="n"/>
      <c r="D1725" s="414" t="n"/>
      <c r="E1725" s="414" t="n"/>
      <c r="F1725" s="414" t="n"/>
      <c r="G1725" s="414" t="n"/>
      <c r="H1725" s="414" t="n"/>
      <c r="J1725" s="457" t="n"/>
      <c r="K1725" s="457" t="n"/>
      <c r="L1725" s="458" t="n"/>
      <c r="M1725" s="458" t="n"/>
      <c r="N1725" s="458" t="n"/>
      <c r="O1725" s="459" t="n"/>
      <c r="P1725" s="460" t="n"/>
      <c r="Q1725" s="460" t="n"/>
      <c r="R1725" s="460" t="n"/>
      <c r="S1725" s="460" t="n"/>
      <c r="T1725" s="460" t="n"/>
      <c r="U1725" s="460" t="n"/>
      <c r="V1725" s="460" t="n"/>
      <c r="W1725" s="461" t="n"/>
      <c r="X1725" s="461" t="n"/>
      <c r="Y1725" s="461" t="n"/>
      <c r="Z1725" s="461" t="n"/>
      <c r="AA1725" s="462" t="n"/>
      <c r="AB1725" s="462" t="n"/>
      <c r="AC1725" s="462" t="n"/>
      <c r="AD1725" s="462" t="n"/>
      <c r="AE1725" s="462" t="n"/>
      <c r="AF1725" s="462" t="n"/>
      <c r="AG1725" s="462" t="n"/>
      <c r="AH1725" s="462" t="n"/>
      <c r="AI1725" s="461" t="n"/>
      <c r="AJ1725" s="461" t="n"/>
      <c r="AK1725" s="463" t="n"/>
      <c r="AL1725" s="461" t="n"/>
      <c r="AM1725" s="461" t="n"/>
      <c r="AN1725" s="461" t="n"/>
      <c r="AO1725" s="461" t="n"/>
      <c r="AP1725" s="464" t="n"/>
      <c r="AQ1725" s="464" t="n"/>
      <c r="AR1725" s="461" t="n"/>
      <c r="AS1725" s="461" t="n"/>
      <c r="AT1725" s="461" t="n"/>
      <c r="AU1725" s="461" t="n"/>
      <c r="AV1725" s="461" t="n"/>
      <c r="AW1725" s="461" t="n"/>
      <c r="AX1725" s="461" t="n"/>
    </row>
    <row r="1726">
      <c r="A1726" s="413" t="n"/>
      <c r="B1726" s="413" t="n"/>
      <c r="C1726" s="413" t="n"/>
      <c r="D1726" s="414" t="n"/>
      <c r="E1726" s="414" t="n"/>
      <c r="F1726" s="414" t="n"/>
      <c r="G1726" s="414" t="n"/>
      <c r="H1726" s="414" t="n"/>
      <c r="J1726" s="457" t="n"/>
      <c r="K1726" s="457" t="n"/>
      <c r="L1726" s="458" t="n"/>
      <c r="M1726" s="458" t="n"/>
      <c r="N1726" s="458" t="n"/>
      <c r="O1726" s="459" t="n"/>
      <c r="P1726" s="460" t="n"/>
      <c r="Q1726" s="460" t="n"/>
      <c r="R1726" s="460" t="n"/>
      <c r="S1726" s="460" t="n"/>
      <c r="T1726" s="460" t="n"/>
      <c r="U1726" s="460" t="n"/>
      <c r="V1726" s="460" t="n"/>
      <c r="W1726" s="461" t="n"/>
      <c r="X1726" s="461" t="n"/>
      <c r="Y1726" s="461" t="n"/>
      <c r="Z1726" s="461" t="n"/>
      <c r="AA1726" s="462" t="n"/>
      <c r="AB1726" s="462" t="n"/>
      <c r="AC1726" s="462" t="n"/>
      <c r="AD1726" s="462" t="n"/>
      <c r="AE1726" s="462" t="n"/>
      <c r="AF1726" s="462" t="n"/>
      <c r="AG1726" s="462" t="n"/>
      <c r="AH1726" s="462" t="n"/>
      <c r="AI1726" s="461" t="n"/>
      <c r="AJ1726" s="461" t="n"/>
      <c r="AK1726" s="463" t="n"/>
      <c r="AL1726" s="461" t="n"/>
      <c r="AM1726" s="461" t="n"/>
      <c r="AN1726" s="461" t="n"/>
      <c r="AO1726" s="461" t="n"/>
      <c r="AP1726" s="464" t="n"/>
      <c r="AQ1726" s="464" t="n"/>
      <c r="AR1726" s="461" t="n"/>
      <c r="AS1726" s="461" t="n"/>
      <c r="AT1726" s="461" t="n"/>
      <c r="AU1726" s="461" t="n"/>
      <c r="AV1726" s="461" t="n"/>
      <c r="AW1726" s="461" t="n"/>
      <c r="AX1726" s="461" t="n"/>
    </row>
    <row r="1727">
      <c r="A1727" s="413" t="n"/>
      <c r="B1727" s="413" t="n"/>
      <c r="C1727" s="413" t="n"/>
      <c r="D1727" s="414" t="n"/>
      <c r="E1727" s="414" t="n"/>
      <c r="F1727" s="414" t="n"/>
      <c r="G1727" s="414" t="n"/>
      <c r="H1727" s="414" t="n"/>
      <c r="J1727" s="457" t="n"/>
      <c r="K1727" s="457" t="n"/>
      <c r="L1727" s="458" t="n"/>
      <c r="M1727" s="458" t="n"/>
      <c r="N1727" s="458" t="n"/>
      <c r="O1727" s="459" t="n"/>
      <c r="P1727" s="460" t="n"/>
      <c r="Q1727" s="460" t="n"/>
      <c r="R1727" s="460" t="n"/>
      <c r="S1727" s="460" t="n"/>
      <c r="T1727" s="460" t="n"/>
      <c r="U1727" s="460" t="n"/>
      <c r="V1727" s="460" t="n"/>
      <c r="W1727" s="461" t="n"/>
      <c r="X1727" s="461" t="n"/>
      <c r="Y1727" s="461" t="n"/>
      <c r="Z1727" s="461" t="n"/>
      <c r="AA1727" s="462" t="n"/>
      <c r="AB1727" s="462" t="n"/>
      <c r="AC1727" s="462" t="n"/>
      <c r="AD1727" s="462" t="n"/>
      <c r="AE1727" s="462" t="n"/>
      <c r="AF1727" s="462" t="n"/>
      <c r="AG1727" s="462" t="n"/>
      <c r="AH1727" s="462" t="n"/>
      <c r="AI1727" s="461" t="n"/>
      <c r="AJ1727" s="461" t="n"/>
      <c r="AK1727" s="463" t="n"/>
      <c r="AL1727" s="461" t="n"/>
      <c r="AM1727" s="461" t="n"/>
      <c r="AN1727" s="461" t="n"/>
      <c r="AO1727" s="461" t="n"/>
      <c r="AP1727" s="464" t="n"/>
      <c r="AQ1727" s="464" t="n"/>
      <c r="AR1727" s="461" t="n"/>
      <c r="AS1727" s="461" t="n"/>
      <c r="AT1727" s="461" t="n"/>
      <c r="AU1727" s="461" t="n"/>
      <c r="AV1727" s="461" t="n"/>
      <c r="AW1727" s="461" t="n"/>
      <c r="AX1727" s="461" t="n"/>
    </row>
    <row r="1728">
      <c r="A1728" s="413" t="n"/>
      <c r="B1728" s="413" t="n"/>
      <c r="C1728" s="413" t="n"/>
      <c r="D1728" s="414" t="n"/>
      <c r="E1728" s="414" t="n"/>
      <c r="F1728" s="414" t="n"/>
      <c r="G1728" s="414" t="n"/>
      <c r="H1728" s="414" t="n"/>
      <c r="J1728" s="457" t="n"/>
      <c r="K1728" s="457" t="n"/>
      <c r="L1728" s="458" t="n"/>
      <c r="M1728" s="458" t="n"/>
      <c r="N1728" s="458" t="n"/>
      <c r="O1728" s="459" t="n"/>
      <c r="P1728" s="460" t="n"/>
      <c r="Q1728" s="460" t="n"/>
      <c r="R1728" s="460" t="n"/>
      <c r="S1728" s="460" t="n"/>
      <c r="T1728" s="460" t="n"/>
      <c r="U1728" s="460" t="n"/>
      <c r="V1728" s="460" t="n"/>
      <c r="W1728" s="461" t="n"/>
      <c r="X1728" s="461" t="n"/>
      <c r="Y1728" s="461" t="n"/>
      <c r="Z1728" s="461" t="n"/>
      <c r="AA1728" s="462" t="n"/>
      <c r="AB1728" s="462" t="n"/>
      <c r="AC1728" s="462" t="n"/>
      <c r="AD1728" s="462" t="n"/>
      <c r="AE1728" s="462" t="n"/>
      <c r="AF1728" s="462" t="n"/>
      <c r="AG1728" s="462" t="n"/>
      <c r="AH1728" s="462" t="n"/>
      <c r="AI1728" s="461" t="n"/>
      <c r="AJ1728" s="461" t="n"/>
      <c r="AK1728" s="463" t="n"/>
      <c r="AL1728" s="461" t="n"/>
      <c r="AM1728" s="461" t="n"/>
      <c r="AN1728" s="461" t="n"/>
      <c r="AO1728" s="461" t="n"/>
      <c r="AP1728" s="464" t="n"/>
      <c r="AQ1728" s="464" t="n"/>
      <c r="AR1728" s="461" t="n"/>
      <c r="AS1728" s="461" t="n"/>
      <c r="AT1728" s="461" t="n"/>
      <c r="AU1728" s="461" t="n"/>
      <c r="AV1728" s="461" t="n"/>
      <c r="AW1728" s="461" t="n"/>
      <c r="AX1728" s="461" t="n"/>
    </row>
    <row r="1729">
      <c r="A1729" s="413" t="n"/>
      <c r="B1729" s="413" t="n"/>
      <c r="C1729" s="413" t="n"/>
      <c r="D1729" s="414" t="n"/>
      <c r="E1729" s="414" t="n"/>
      <c r="F1729" s="414" t="n"/>
      <c r="G1729" s="414" t="n"/>
      <c r="H1729" s="414" t="n"/>
      <c r="J1729" s="457" t="n"/>
      <c r="K1729" s="457" t="n"/>
      <c r="L1729" s="458" t="n"/>
      <c r="M1729" s="458" t="n"/>
      <c r="N1729" s="458" t="n"/>
      <c r="O1729" s="459" t="n"/>
      <c r="P1729" s="460" t="n"/>
      <c r="Q1729" s="460" t="n"/>
      <c r="R1729" s="460" t="n"/>
      <c r="S1729" s="460" t="n"/>
      <c r="T1729" s="460" t="n"/>
      <c r="U1729" s="460" t="n"/>
      <c r="V1729" s="460" t="n"/>
      <c r="W1729" s="461" t="n"/>
      <c r="X1729" s="461" t="n"/>
      <c r="Y1729" s="461" t="n"/>
      <c r="Z1729" s="461" t="n"/>
      <c r="AA1729" s="462" t="n"/>
      <c r="AB1729" s="462" t="n"/>
      <c r="AC1729" s="462" t="n"/>
      <c r="AD1729" s="462" t="n"/>
      <c r="AE1729" s="462" t="n"/>
      <c r="AF1729" s="462" t="n"/>
      <c r="AG1729" s="462" t="n"/>
      <c r="AH1729" s="462" t="n"/>
      <c r="AI1729" s="461" t="n"/>
      <c r="AJ1729" s="461" t="n"/>
      <c r="AK1729" s="463" t="n"/>
      <c r="AL1729" s="461" t="n"/>
      <c r="AM1729" s="461" t="n"/>
      <c r="AN1729" s="461" t="n"/>
      <c r="AO1729" s="461" t="n"/>
      <c r="AP1729" s="464" t="n"/>
      <c r="AQ1729" s="464" t="n"/>
      <c r="AR1729" s="461" t="n"/>
      <c r="AS1729" s="461" t="n"/>
      <c r="AT1729" s="461" t="n"/>
      <c r="AU1729" s="461" t="n"/>
      <c r="AV1729" s="461" t="n"/>
      <c r="AW1729" s="461" t="n"/>
      <c r="AX1729" s="461" t="n"/>
    </row>
    <row r="1730">
      <c r="A1730" s="413" t="n"/>
      <c r="B1730" s="413" t="n"/>
      <c r="C1730" s="413" t="n"/>
      <c r="D1730" s="414" t="n"/>
      <c r="E1730" s="414" t="n"/>
      <c r="F1730" s="414" t="n"/>
      <c r="G1730" s="414" t="n"/>
      <c r="H1730" s="414" t="n"/>
      <c r="J1730" s="457" t="n"/>
      <c r="K1730" s="457" t="n"/>
      <c r="L1730" s="458" t="n"/>
      <c r="M1730" s="458" t="n"/>
      <c r="N1730" s="458" t="n"/>
      <c r="O1730" s="459" t="n"/>
      <c r="P1730" s="460" t="n"/>
      <c r="Q1730" s="460" t="n"/>
      <c r="R1730" s="460" t="n"/>
      <c r="S1730" s="460" t="n"/>
      <c r="T1730" s="460" t="n"/>
      <c r="U1730" s="460" t="n"/>
      <c r="V1730" s="460" t="n"/>
      <c r="W1730" s="461" t="n"/>
      <c r="X1730" s="461" t="n"/>
      <c r="Y1730" s="461" t="n"/>
      <c r="Z1730" s="461" t="n"/>
      <c r="AA1730" s="462" t="n"/>
      <c r="AB1730" s="462" t="n"/>
      <c r="AC1730" s="462" t="n"/>
      <c r="AD1730" s="462" t="n"/>
      <c r="AE1730" s="462" t="n"/>
      <c r="AF1730" s="462" t="n"/>
      <c r="AG1730" s="462" t="n"/>
      <c r="AH1730" s="462" t="n"/>
      <c r="AI1730" s="461" t="n"/>
      <c r="AJ1730" s="461" t="n"/>
      <c r="AK1730" s="463" t="n"/>
      <c r="AL1730" s="461" t="n"/>
      <c r="AM1730" s="461" t="n"/>
      <c r="AN1730" s="461" t="n"/>
      <c r="AO1730" s="461" t="n"/>
      <c r="AP1730" s="464" t="n"/>
      <c r="AQ1730" s="464" t="n"/>
      <c r="AR1730" s="461" t="n"/>
      <c r="AS1730" s="461" t="n"/>
      <c r="AT1730" s="461" t="n"/>
      <c r="AU1730" s="461" t="n"/>
      <c r="AV1730" s="461" t="n"/>
      <c r="AW1730" s="461" t="n"/>
      <c r="AX1730" s="461" t="n"/>
    </row>
    <row r="1731">
      <c r="A1731" s="413" t="n"/>
      <c r="B1731" s="413" t="n"/>
      <c r="C1731" s="413" t="n"/>
      <c r="D1731" s="414" t="n"/>
      <c r="E1731" s="414" t="n"/>
      <c r="F1731" s="414" t="n"/>
      <c r="G1731" s="414" t="n"/>
      <c r="H1731" s="414" t="n"/>
      <c r="J1731" s="457" t="n"/>
      <c r="K1731" s="457" t="n"/>
      <c r="L1731" s="458" t="n"/>
      <c r="M1731" s="458" t="n"/>
      <c r="N1731" s="458" t="n"/>
      <c r="O1731" s="459" t="n"/>
      <c r="P1731" s="460" t="n"/>
      <c r="Q1731" s="460" t="n"/>
      <c r="R1731" s="460" t="n"/>
      <c r="S1731" s="460" t="n"/>
      <c r="T1731" s="460" t="n"/>
      <c r="U1731" s="460" t="n"/>
      <c r="V1731" s="460" t="n"/>
      <c r="W1731" s="461" t="n"/>
      <c r="X1731" s="461" t="n"/>
      <c r="Y1731" s="461" t="n"/>
      <c r="Z1731" s="461" t="n"/>
      <c r="AA1731" s="462" t="n"/>
      <c r="AB1731" s="462" t="n"/>
      <c r="AC1731" s="462" t="n"/>
      <c r="AD1731" s="462" t="n"/>
      <c r="AE1731" s="462" t="n"/>
      <c r="AF1731" s="462" t="n"/>
      <c r="AG1731" s="462" t="n"/>
      <c r="AH1731" s="462" t="n"/>
      <c r="AI1731" s="461" t="n"/>
      <c r="AJ1731" s="461" t="n"/>
      <c r="AK1731" s="463" t="n"/>
      <c r="AL1731" s="461" t="n"/>
      <c r="AM1731" s="461" t="n"/>
      <c r="AN1731" s="461" t="n"/>
      <c r="AO1731" s="461" t="n"/>
      <c r="AP1731" s="464" t="n"/>
      <c r="AQ1731" s="464" t="n"/>
      <c r="AR1731" s="461" t="n"/>
      <c r="AS1731" s="461" t="n"/>
      <c r="AT1731" s="461" t="n"/>
      <c r="AU1731" s="461" t="n"/>
      <c r="AV1731" s="461" t="n"/>
      <c r="AW1731" s="461" t="n"/>
      <c r="AX1731" s="461" t="n"/>
    </row>
    <row r="1732">
      <c r="A1732" s="413" t="n"/>
      <c r="B1732" s="413" t="n"/>
      <c r="C1732" s="413" t="n"/>
      <c r="D1732" s="414" t="n"/>
      <c r="E1732" s="414" t="n"/>
      <c r="F1732" s="414" t="n"/>
      <c r="G1732" s="414" t="n"/>
      <c r="H1732" s="414" t="n"/>
      <c r="J1732" s="457" t="n"/>
      <c r="K1732" s="457" t="n"/>
      <c r="L1732" s="458" t="n"/>
      <c r="M1732" s="458" t="n"/>
      <c r="N1732" s="458" t="n"/>
      <c r="O1732" s="459" t="n"/>
      <c r="P1732" s="460" t="n"/>
      <c r="Q1732" s="460" t="n"/>
      <c r="R1732" s="460" t="n"/>
      <c r="S1732" s="460" t="n"/>
      <c r="T1732" s="460" t="n"/>
      <c r="U1732" s="460" t="n"/>
      <c r="V1732" s="460" t="n"/>
      <c r="W1732" s="461" t="n"/>
      <c r="X1732" s="461" t="n"/>
      <c r="Y1732" s="461" t="n"/>
      <c r="Z1732" s="461" t="n"/>
      <c r="AA1732" s="462" t="n"/>
      <c r="AB1732" s="462" t="n"/>
      <c r="AC1732" s="462" t="n"/>
      <c r="AD1732" s="462" t="n"/>
      <c r="AE1732" s="462" t="n"/>
      <c r="AF1732" s="462" t="n"/>
      <c r="AG1732" s="462" t="n"/>
      <c r="AH1732" s="462" t="n"/>
      <c r="AI1732" s="461" t="n"/>
      <c r="AJ1732" s="461" t="n"/>
      <c r="AK1732" s="463" t="n"/>
      <c r="AL1732" s="461" t="n"/>
      <c r="AM1732" s="461" t="n"/>
      <c r="AN1732" s="461" t="n"/>
      <c r="AO1732" s="461" t="n"/>
      <c r="AP1732" s="464" t="n"/>
      <c r="AQ1732" s="464" t="n"/>
      <c r="AR1732" s="461" t="n"/>
      <c r="AS1732" s="461" t="n"/>
      <c r="AT1732" s="461" t="n"/>
      <c r="AU1732" s="461" t="n"/>
      <c r="AV1732" s="461" t="n"/>
      <c r="AW1732" s="461" t="n"/>
      <c r="AX1732" s="461" t="n"/>
    </row>
    <row r="1733">
      <c r="A1733" s="413" t="n"/>
      <c r="B1733" s="413" t="n"/>
      <c r="C1733" s="413" t="n"/>
      <c r="D1733" s="414" t="n"/>
      <c r="E1733" s="414" t="n"/>
      <c r="F1733" s="414" t="n"/>
      <c r="G1733" s="414" t="n"/>
      <c r="H1733" s="414" t="n"/>
      <c r="J1733" s="457" t="n"/>
      <c r="K1733" s="457" t="n"/>
      <c r="L1733" s="458" t="n"/>
      <c r="M1733" s="458" t="n"/>
      <c r="N1733" s="458" t="n"/>
      <c r="O1733" s="459" t="n"/>
      <c r="P1733" s="460" t="n"/>
      <c r="Q1733" s="460" t="n"/>
      <c r="R1733" s="460" t="n"/>
      <c r="S1733" s="460" t="n"/>
      <c r="T1733" s="460" t="n"/>
      <c r="U1733" s="460" t="n"/>
      <c r="V1733" s="460" t="n"/>
      <c r="W1733" s="461" t="n"/>
      <c r="X1733" s="461" t="n"/>
      <c r="Y1733" s="461" t="n"/>
      <c r="Z1733" s="461" t="n"/>
      <c r="AA1733" s="462" t="n"/>
      <c r="AB1733" s="462" t="n"/>
      <c r="AC1733" s="462" t="n"/>
      <c r="AD1733" s="462" t="n"/>
      <c r="AE1733" s="462" t="n"/>
      <c r="AF1733" s="462" t="n"/>
      <c r="AG1733" s="462" t="n"/>
      <c r="AH1733" s="462" t="n"/>
      <c r="AI1733" s="461" t="n"/>
      <c r="AJ1733" s="461" t="n"/>
      <c r="AK1733" s="463" t="n"/>
      <c r="AL1733" s="461" t="n"/>
      <c r="AM1733" s="461" t="n"/>
      <c r="AN1733" s="461" t="n"/>
      <c r="AO1733" s="461" t="n"/>
      <c r="AP1733" s="464" t="n"/>
      <c r="AQ1733" s="464" t="n"/>
      <c r="AR1733" s="461" t="n"/>
      <c r="AS1733" s="461" t="n"/>
      <c r="AT1733" s="461" t="n"/>
      <c r="AU1733" s="461" t="n"/>
      <c r="AV1733" s="461" t="n"/>
      <c r="AW1733" s="461" t="n"/>
      <c r="AX1733" s="461" t="n"/>
    </row>
    <row r="1734">
      <c r="A1734" s="413" t="n"/>
      <c r="B1734" s="413" t="n"/>
      <c r="C1734" s="413" t="n"/>
      <c r="D1734" s="414" t="n"/>
      <c r="E1734" s="414" t="n"/>
      <c r="F1734" s="414" t="n"/>
      <c r="G1734" s="414" t="n"/>
      <c r="H1734" s="414" t="n"/>
      <c r="J1734" s="457" t="n"/>
      <c r="K1734" s="457" t="n"/>
      <c r="L1734" s="458" t="n"/>
      <c r="M1734" s="458" t="n"/>
      <c r="N1734" s="458" t="n"/>
      <c r="O1734" s="459" t="n"/>
      <c r="P1734" s="460" t="n"/>
      <c r="Q1734" s="460" t="n"/>
      <c r="R1734" s="460" t="n"/>
      <c r="S1734" s="460" t="n"/>
      <c r="T1734" s="460" t="n"/>
      <c r="U1734" s="460" t="n"/>
      <c r="V1734" s="460" t="n"/>
      <c r="W1734" s="461" t="n"/>
      <c r="X1734" s="461" t="n"/>
      <c r="Y1734" s="461" t="n"/>
      <c r="Z1734" s="461" t="n"/>
      <c r="AA1734" s="462" t="n"/>
      <c r="AB1734" s="462" t="n"/>
      <c r="AC1734" s="462" t="n"/>
      <c r="AD1734" s="462" t="n"/>
      <c r="AE1734" s="462" t="n"/>
      <c r="AF1734" s="462" t="n"/>
      <c r="AG1734" s="462" t="n"/>
      <c r="AH1734" s="462" t="n"/>
      <c r="AI1734" s="461" t="n"/>
      <c r="AJ1734" s="461" t="n"/>
      <c r="AK1734" s="463" t="n"/>
      <c r="AL1734" s="461" t="n"/>
      <c r="AM1734" s="461" t="n"/>
      <c r="AN1734" s="461" t="n"/>
      <c r="AO1734" s="461" t="n"/>
      <c r="AP1734" s="464" t="n"/>
      <c r="AQ1734" s="464" t="n"/>
      <c r="AR1734" s="461" t="n"/>
      <c r="AS1734" s="461" t="n"/>
      <c r="AT1734" s="461" t="n"/>
      <c r="AU1734" s="461" t="n"/>
      <c r="AV1734" s="461" t="n"/>
      <c r="AW1734" s="461" t="n"/>
      <c r="AX1734" s="461" t="n"/>
    </row>
    <row r="1735">
      <c r="A1735" s="413" t="n"/>
      <c r="B1735" s="413" t="n"/>
      <c r="C1735" s="413" t="n"/>
      <c r="D1735" s="414" t="n"/>
      <c r="E1735" s="414" t="n"/>
      <c r="F1735" s="414" t="n"/>
      <c r="G1735" s="414" t="n"/>
      <c r="H1735" s="414" t="n"/>
      <c r="J1735" s="457" t="n"/>
      <c r="K1735" s="457" t="n"/>
      <c r="L1735" s="458" t="n"/>
      <c r="M1735" s="458" t="n"/>
      <c r="N1735" s="458" t="n"/>
      <c r="O1735" s="459" t="n"/>
      <c r="P1735" s="460" t="n"/>
      <c r="Q1735" s="460" t="n"/>
      <c r="R1735" s="460" t="n"/>
      <c r="S1735" s="460" t="n"/>
      <c r="T1735" s="460" t="n"/>
      <c r="U1735" s="460" t="n"/>
      <c r="V1735" s="460" t="n"/>
      <c r="W1735" s="461" t="n"/>
      <c r="X1735" s="461" t="n"/>
      <c r="Y1735" s="461" t="n"/>
      <c r="Z1735" s="461" t="n"/>
      <c r="AA1735" s="462" t="n"/>
      <c r="AB1735" s="462" t="n"/>
      <c r="AC1735" s="462" t="n"/>
      <c r="AD1735" s="462" t="n"/>
      <c r="AE1735" s="462" t="n"/>
      <c r="AF1735" s="462" t="n"/>
      <c r="AG1735" s="462" t="n"/>
      <c r="AH1735" s="462" t="n"/>
      <c r="AI1735" s="461" t="n"/>
      <c r="AJ1735" s="461" t="n"/>
      <c r="AK1735" s="463" t="n"/>
      <c r="AL1735" s="461" t="n"/>
      <c r="AM1735" s="461" t="n"/>
      <c r="AN1735" s="461" t="n"/>
      <c r="AO1735" s="461" t="n"/>
      <c r="AP1735" s="464" t="n"/>
      <c r="AQ1735" s="464" t="n"/>
      <c r="AR1735" s="461" t="n"/>
      <c r="AS1735" s="461" t="n"/>
      <c r="AT1735" s="461" t="n"/>
      <c r="AU1735" s="461" t="n"/>
      <c r="AV1735" s="461" t="n"/>
      <c r="AW1735" s="461" t="n"/>
      <c r="AX1735" s="461" t="n"/>
    </row>
    <row r="1736">
      <c r="A1736" s="413" t="n"/>
      <c r="B1736" s="413" t="n"/>
      <c r="C1736" s="413" t="n"/>
      <c r="D1736" s="414" t="n"/>
      <c r="E1736" s="414" t="n"/>
      <c r="F1736" s="414" t="n"/>
      <c r="G1736" s="414" t="n"/>
      <c r="H1736" s="414" t="n"/>
      <c r="J1736" s="457" t="n"/>
      <c r="K1736" s="457" t="n"/>
      <c r="L1736" s="458" t="n"/>
      <c r="M1736" s="458" t="n"/>
      <c r="N1736" s="458" t="n"/>
      <c r="O1736" s="459" t="n"/>
      <c r="P1736" s="460" t="n"/>
      <c r="Q1736" s="460" t="n"/>
      <c r="R1736" s="460" t="n"/>
      <c r="S1736" s="460" t="n"/>
      <c r="T1736" s="460" t="n"/>
      <c r="U1736" s="460" t="n"/>
      <c r="V1736" s="460" t="n"/>
      <c r="W1736" s="461" t="n"/>
      <c r="X1736" s="461" t="n"/>
      <c r="Y1736" s="461" t="n"/>
      <c r="Z1736" s="461" t="n"/>
      <c r="AA1736" s="462" t="n"/>
      <c r="AB1736" s="462" t="n"/>
      <c r="AC1736" s="462" t="n"/>
      <c r="AD1736" s="462" t="n"/>
      <c r="AE1736" s="462" t="n"/>
      <c r="AF1736" s="462" t="n"/>
      <c r="AG1736" s="462" t="n"/>
      <c r="AH1736" s="462" t="n"/>
      <c r="AI1736" s="461" t="n"/>
      <c r="AJ1736" s="461" t="n"/>
      <c r="AK1736" s="463" t="n"/>
      <c r="AL1736" s="461" t="n"/>
      <c r="AM1736" s="461" t="n"/>
      <c r="AN1736" s="461" t="n"/>
      <c r="AO1736" s="461" t="n"/>
      <c r="AP1736" s="464" t="n"/>
      <c r="AQ1736" s="464" t="n"/>
      <c r="AR1736" s="461" t="n"/>
      <c r="AS1736" s="461" t="n"/>
      <c r="AT1736" s="461" t="n"/>
      <c r="AU1736" s="461" t="n"/>
      <c r="AV1736" s="461" t="n"/>
      <c r="AW1736" s="461" t="n"/>
      <c r="AX1736" s="461" t="n"/>
    </row>
    <row r="1737">
      <c r="A1737" s="413" t="n"/>
      <c r="B1737" s="413" t="n"/>
      <c r="C1737" s="413" t="n"/>
      <c r="D1737" s="414" t="n"/>
      <c r="E1737" s="414" t="n"/>
      <c r="F1737" s="414" t="n"/>
      <c r="G1737" s="414" t="n"/>
      <c r="H1737" s="414" t="n"/>
      <c r="J1737" s="457" t="n"/>
      <c r="K1737" s="457" t="n"/>
      <c r="L1737" s="458" t="n"/>
      <c r="M1737" s="458" t="n"/>
      <c r="N1737" s="458" t="n"/>
      <c r="O1737" s="459" t="n"/>
      <c r="P1737" s="460" t="n"/>
      <c r="Q1737" s="460" t="n"/>
      <c r="R1737" s="460" t="n"/>
      <c r="S1737" s="460" t="n"/>
      <c r="T1737" s="460" t="n"/>
      <c r="U1737" s="460" t="n"/>
      <c r="V1737" s="460" t="n"/>
      <c r="W1737" s="461" t="n"/>
      <c r="X1737" s="461" t="n"/>
      <c r="Y1737" s="461" t="n"/>
      <c r="Z1737" s="461" t="n"/>
      <c r="AA1737" s="462" t="n"/>
      <c r="AB1737" s="462" t="n"/>
      <c r="AC1737" s="462" t="n"/>
      <c r="AD1737" s="462" t="n"/>
      <c r="AE1737" s="462" t="n"/>
      <c r="AF1737" s="462" t="n"/>
      <c r="AG1737" s="462" t="n"/>
      <c r="AH1737" s="462" t="n"/>
      <c r="AI1737" s="461" t="n"/>
      <c r="AJ1737" s="461" t="n"/>
      <c r="AK1737" s="463" t="n"/>
      <c r="AL1737" s="461" t="n"/>
      <c r="AM1737" s="461" t="n"/>
      <c r="AN1737" s="461" t="n"/>
      <c r="AO1737" s="461" t="n"/>
      <c r="AP1737" s="464" t="n"/>
      <c r="AQ1737" s="464" t="n"/>
      <c r="AR1737" s="461" t="n"/>
      <c r="AS1737" s="461" t="n"/>
      <c r="AT1737" s="461" t="n"/>
      <c r="AU1737" s="461" t="n"/>
      <c r="AV1737" s="461" t="n"/>
      <c r="AW1737" s="461" t="n"/>
      <c r="AX1737" s="461" t="n"/>
    </row>
    <row r="1738">
      <c r="A1738" s="413" t="n"/>
      <c r="B1738" s="413" t="n"/>
      <c r="C1738" s="413" t="n"/>
      <c r="D1738" s="414" t="n"/>
      <c r="E1738" s="414" t="n"/>
      <c r="F1738" s="414" t="n"/>
      <c r="G1738" s="414" t="n"/>
      <c r="H1738" s="414" t="n"/>
      <c r="J1738" s="457" t="n"/>
      <c r="K1738" s="457" t="n"/>
      <c r="L1738" s="458" t="n"/>
      <c r="M1738" s="458" t="n"/>
      <c r="N1738" s="458" t="n"/>
      <c r="O1738" s="459" t="n"/>
      <c r="P1738" s="460" t="n"/>
      <c r="Q1738" s="460" t="n"/>
      <c r="R1738" s="460" t="n"/>
      <c r="S1738" s="460" t="n"/>
      <c r="T1738" s="460" t="n"/>
      <c r="U1738" s="460" t="n"/>
      <c r="V1738" s="460" t="n"/>
      <c r="W1738" s="461" t="n"/>
      <c r="X1738" s="461" t="n"/>
      <c r="Y1738" s="461" t="n"/>
      <c r="Z1738" s="461" t="n"/>
      <c r="AA1738" s="462" t="n"/>
      <c r="AB1738" s="462" t="n"/>
      <c r="AC1738" s="462" t="n"/>
      <c r="AD1738" s="462" t="n"/>
      <c r="AE1738" s="462" t="n"/>
      <c r="AF1738" s="462" t="n"/>
      <c r="AG1738" s="462" t="n"/>
      <c r="AH1738" s="462" t="n"/>
      <c r="AI1738" s="461" t="n"/>
      <c r="AJ1738" s="461" t="n"/>
      <c r="AK1738" s="463" t="n"/>
      <c r="AL1738" s="461" t="n"/>
      <c r="AM1738" s="461" t="n"/>
      <c r="AN1738" s="461" t="n"/>
      <c r="AO1738" s="461" t="n"/>
      <c r="AP1738" s="464" t="n"/>
      <c r="AQ1738" s="464" t="n"/>
      <c r="AR1738" s="461" t="n"/>
      <c r="AS1738" s="461" t="n"/>
      <c r="AT1738" s="461" t="n"/>
      <c r="AU1738" s="461" t="n"/>
      <c r="AV1738" s="461" t="n"/>
      <c r="AW1738" s="461" t="n"/>
      <c r="AX1738" s="461" t="n"/>
    </row>
    <row r="1739">
      <c r="A1739" s="413" t="n"/>
      <c r="B1739" s="413" t="n"/>
      <c r="C1739" s="413" t="n"/>
      <c r="D1739" s="414" t="n"/>
      <c r="E1739" s="414" t="n"/>
      <c r="F1739" s="414" t="n"/>
      <c r="G1739" s="414" t="n"/>
      <c r="H1739" s="414" t="n"/>
      <c r="J1739" s="457" t="n"/>
      <c r="K1739" s="457" t="n"/>
      <c r="L1739" s="458" t="n"/>
      <c r="M1739" s="458" t="n"/>
      <c r="N1739" s="458" t="n"/>
      <c r="O1739" s="459" t="n"/>
      <c r="P1739" s="460" t="n"/>
      <c r="Q1739" s="460" t="n"/>
      <c r="R1739" s="460" t="n"/>
      <c r="S1739" s="460" t="n"/>
      <c r="T1739" s="460" t="n"/>
      <c r="U1739" s="460" t="n"/>
      <c r="V1739" s="460" t="n"/>
      <c r="W1739" s="461" t="n"/>
      <c r="X1739" s="461" t="n"/>
      <c r="Y1739" s="461" t="n"/>
      <c r="Z1739" s="461" t="n"/>
      <c r="AA1739" s="462" t="n"/>
      <c r="AB1739" s="462" t="n"/>
      <c r="AC1739" s="462" t="n"/>
      <c r="AD1739" s="462" t="n"/>
      <c r="AE1739" s="462" t="n"/>
      <c r="AF1739" s="462" t="n"/>
      <c r="AG1739" s="462" t="n"/>
      <c r="AH1739" s="462" t="n"/>
      <c r="AI1739" s="461" t="n"/>
      <c r="AJ1739" s="461" t="n"/>
      <c r="AK1739" s="463" t="n"/>
      <c r="AL1739" s="461" t="n"/>
      <c r="AM1739" s="461" t="n"/>
      <c r="AN1739" s="461" t="n"/>
      <c r="AO1739" s="461" t="n"/>
      <c r="AP1739" s="464" t="n"/>
      <c r="AQ1739" s="464" t="n"/>
      <c r="AR1739" s="461" t="n"/>
      <c r="AS1739" s="461" t="n"/>
      <c r="AT1739" s="461" t="n"/>
      <c r="AU1739" s="461" t="n"/>
      <c r="AV1739" s="461" t="n"/>
      <c r="AW1739" s="461" t="n"/>
      <c r="AX1739" s="461" t="n"/>
    </row>
    <row r="1740">
      <c r="A1740" s="413" t="n"/>
      <c r="B1740" s="413" t="n"/>
      <c r="C1740" s="413" t="n"/>
      <c r="D1740" s="414" t="n"/>
      <c r="E1740" s="414" t="n"/>
      <c r="F1740" s="414" t="n"/>
      <c r="G1740" s="414" t="n"/>
      <c r="H1740" s="414" t="n"/>
      <c r="J1740" s="457" t="n"/>
      <c r="K1740" s="457" t="n"/>
      <c r="L1740" s="458" t="n"/>
      <c r="M1740" s="458" t="n"/>
      <c r="N1740" s="458" t="n"/>
      <c r="O1740" s="459" t="n"/>
      <c r="P1740" s="460" t="n"/>
      <c r="Q1740" s="460" t="n"/>
      <c r="R1740" s="460" t="n"/>
      <c r="S1740" s="460" t="n"/>
      <c r="T1740" s="460" t="n"/>
      <c r="U1740" s="460" t="n"/>
      <c r="V1740" s="460" t="n"/>
      <c r="W1740" s="461" t="n"/>
      <c r="X1740" s="461" t="n"/>
      <c r="Y1740" s="461" t="n"/>
      <c r="Z1740" s="461" t="n"/>
      <c r="AA1740" s="462" t="n"/>
      <c r="AB1740" s="462" t="n"/>
      <c r="AC1740" s="462" t="n"/>
      <c r="AD1740" s="462" t="n"/>
      <c r="AE1740" s="462" t="n"/>
      <c r="AF1740" s="462" t="n"/>
      <c r="AG1740" s="462" t="n"/>
      <c r="AH1740" s="462" t="n"/>
      <c r="AI1740" s="461" t="n"/>
      <c r="AJ1740" s="461" t="n"/>
      <c r="AK1740" s="463" t="n"/>
      <c r="AL1740" s="461" t="n"/>
      <c r="AM1740" s="461" t="n"/>
      <c r="AN1740" s="461" t="n"/>
      <c r="AO1740" s="461" t="n"/>
      <c r="AP1740" s="464" t="n"/>
      <c r="AQ1740" s="464" t="n"/>
      <c r="AR1740" s="461" t="n"/>
      <c r="AS1740" s="461" t="n"/>
      <c r="AT1740" s="461" t="n"/>
      <c r="AU1740" s="461" t="n"/>
      <c r="AV1740" s="461" t="n"/>
      <c r="AW1740" s="461" t="n"/>
      <c r="AX1740" s="461" t="n"/>
    </row>
    <row r="1741">
      <c r="A1741" s="413" t="n"/>
      <c r="B1741" s="413" t="n"/>
      <c r="C1741" s="413" t="n"/>
      <c r="D1741" s="414" t="n"/>
      <c r="E1741" s="414" t="n"/>
      <c r="F1741" s="414" t="n"/>
      <c r="G1741" s="414" t="n"/>
      <c r="H1741" s="414" t="n"/>
      <c r="J1741" s="457" t="n"/>
      <c r="K1741" s="457" t="n"/>
      <c r="L1741" s="458" t="n"/>
      <c r="M1741" s="458" t="n"/>
      <c r="N1741" s="458" t="n"/>
      <c r="O1741" s="459" t="n"/>
      <c r="P1741" s="460" t="n"/>
      <c r="Q1741" s="460" t="n"/>
      <c r="R1741" s="460" t="n"/>
      <c r="S1741" s="460" t="n"/>
      <c r="T1741" s="460" t="n"/>
      <c r="U1741" s="460" t="n"/>
      <c r="V1741" s="460" t="n"/>
      <c r="W1741" s="461" t="n"/>
      <c r="X1741" s="461" t="n"/>
      <c r="Y1741" s="461" t="n"/>
      <c r="Z1741" s="461" t="n"/>
      <c r="AA1741" s="462" t="n"/>
      <c r="AB1741" s="462" t="n"/>
      <c r="AC1741" s="462" t="n"/>
      <c r="AD1741" s="462" t="n"/>
      <c r="AE1741" s="462" t="n"/>
      <c r="AF1741" s="462" t="n"/>
      <c r="AG1741" s="462" t="n"/>
      <c r="AH1741" s="462" t="n"/>
      <c r="AI1741" s="461" t="n"/>
      <c r="AJ1741" s="461" t="n"/>
      <c r="AK1741" s="463" t="n"/>
      <c r="AL1741" s="461" t="n"/>
      <c r="AM1741" s="461" t="n"/>
      <c r="AN1741" s="461" t="n"/>
      <c r="AO1741" s="461" t="n"/>
      <c r="AP1741" s="464" t="n"/>
      <c r="AQ1741" s="464" t="n"/>
      <c r="AR1741" s="461" t="n"/>
      <c r="AS1741" s="461" t="n"/>
      <c r="AT1741" s="461" t="n"/>
      <c r="AU1741" s="461" t="n"/>
      <c r="AV1741" s="461" t="n"/>
      <c r="AW1741" s="461" t="n"/>
      <c r="AX1741" s="461" t="n"/>
    </row>
    <row r="1742">
      <c r="A1742" s="413" t="n"/>
      <c r="B1742" s="413" t="n"/>
      <c r="C1742" s="413" t="n"/>
      <c r="D1742" s="414" t="n"/>
      <c r="E1742" s="414" t="n"/>
      <c r="F1742" s="414" t="n"/>
      <c r="G1742" s="414" t="n"/>
      <c r="H1742" s="414" t="n"/>
      <c r="J1742" s="457" t="n"/>
      <c r="K1742" s="457" t="n"/>
      <c r="L1742" s="458" t="n"/>
      <c r="M1742" s="458" t="n"/>
      <c r="N1742" s="458" t="n"/>
      <c r="O1742" s="459" t="n"/>
      <c r="P1742" s="460" t="n"/>
      <c r="Q1742" s="460" t="n"/>
      <c r="R1742" s="460" t="n"/>
      <c r="S1742" s="460" t="n"/>
      <c r="T1742" s="460" t="n"/>
      <c r="U1742" s="460" t="n"/>
      <c r="V1742" s="460" t="n"/>
      <c r="W1742" s="461" t="n"/>
      <c r="X1742" s="461" t="n"/>
      <c r="Y1742" s="461" t="n"/>
      <c r="Z1742" s="461" t="n"/>
      <c r="AA1742" s="462" t="n"/>
      <c r="AB1742" s="462" t="n"/>
      <c r="AC1742" s="462" t="n"/>
      <c r="AD1742" s="462" t="n"/>
      <c r="AE1742" s="462" t="n"/>
      <c r="AF1742" s="462" t="n"/>
      <c r="AG1742" s="462" t="n"/>
      <c r="AH1742" s="462" t="n"/>
      <c r="AI1742" s="461" t="n"/>
      <c r="AJ1742" s="461" t="n"/>
      <c r="AK1742" s="463" t="n"/>
      <c r="AL1742" s="461" t="n"/>
      <c r="AM1742" s="461" t="n"/>
      <c r="AN1742" s="461" t="n"/>
      <c r="AO1742" s="461" t="n"/>
      <c r="AP1742" s="464" t="n"/>
      <c r="AQ1742" s="464" t="n"/>
      <c r="AR1742" s="461" t="n"/>
      <c r="AS1742" s="461" t="n"/>
      <c r="AT1742" s="461" t="n"/>
      <c r="AU1742" s="461" t="n"/>
      <c r="AV1742" s="461" t="n"/>
      <c r="AW1742" s="461" t="n"/>
      <c r="AX1742" s="461" t="n"/>
    </row>
    <row r="1743">
      <c r="A1743" s="413" t="n"/>
      <c r="B1743" s="413" t="n"/>
      <c r="C1743" s="413" t="n"/>
      <c r="D1743" s="414" t="n"/>
      <c r="E1743" s="414" t="n"/>
      <c r="F1743" s="414" t="n"/>
      <c r="G1743" s="414" t="n"/>
      <c r="H1743" s="414" t="n"/>
      <c r="J1743" s="457" t="n"/>
      <c r="K1743" s="457" t="n"/>
      <c r="L1743" s="458" t="n"/>
      <c r="M1743" s="458" t="n"/>
      <c r="N1743" s="458" t="n"/>
      <c r="O1743" s="459" t="n"/>
      <c r="P1743" s="460" t="n"/>
      <c r="Q1743" s="460" t="n"/>
      <c r="R1743" s="460" t="n"/>
      <c r="S1743" s="460" t="n"/>
      <c r="T1743" s="460" t="n"/>
      <c r="U1743" s="460" t="n"/>
      <c r="V1743" s="460" t="n"/>
      <c r="W1743" s="461" t="n"/>
      <c r="X1743" s="461" t="n"/>
      <c r="Y1743" s="461" t="n"/>
      <c r="Z1743" s="461" t="n"/>
      <c r="AA1743" s="462" t="n"/>
      <c r="AB1743" s="462" t="n"/>
      <c r="AC1743" s="462" t="n"/>
      <c r="AD1743" s="462" t="n"/>
      <c r="AE1743" s="462" t="n"/>
      <c r="AF1743" s="462" t="n"/>
      <c r="AG1743" s="462" t="n"/>
      <c r="AH1743" s="462" t="n"/>
      <c r="AI1743" s="461" t="n"/>
      <c r="AJ1743" s="461" t="n"/>
      <c r="AK1743" s="463" t="n"/>
      <c r="AL1743" s="461" t="n"/>
      <c r="AM1743" s="461" t="n"/>
      <c r="AN1743" s="461" t="n"/>
      <c r="AO1743" s="461" t="n"/>
      <c r="AP1743" s="464" t="n"/>
      <c r="AQ1743" s="464" t="n"/>
      <c r="AR1743" s="461" t="n"/>
      <c r="AS1743" s="461" t="n"/>
      <c r="AT1743" s="461" t="n"/>
      <c r="AU1743" s="461" t="n"/>
      <c r="AV1743" s="461" t="n"/>
      <c r="AW1743" s="461" t="n"/>
      <c r="AX1743" s="461" t="n"/>
    </row>
    <row r="1744">
      <c r="A1744" s="413" t="n"/>
      <c r="B1744" s="413" t="n"/>
      <c r="C1744" s="413" t="n"/>
      <c r="D1744" s="414" t="n"/>
      <c r="E1744" s="414" t="n"/>
      <c r="F1744" s="414" t="n"/>
      <c r="G1744" s="414" t="n"/>
      <c r="H1744" s="414" t="n"/>
      <c r="J1744" s="457" t="n"/>
      <c r="K1744" s="457" t="n"/>
      <c r="L1744" s="458" t="n"/>
      <c r="M1744" s="458" t="n"/>
      <c r="N1744" s="458" t="n"/>
      <c r="O1744" s="459" t="n"/>
      <c r="P1744" s="460" t="n"/>
      <c r="Q1744" s="460" t="n"/>
      <c r="R1744" s="460" t="n"/>
      <c r="S1744" s="460" t="n"/>
      <c r="T1744" s="460" t="n"/>
      <c r="U1744" s="460" t="n"/>
      <c r="V1744" s="460" t="n"/>
      <c r="W1744" s="461" t="n"/>
      <c r="X1744" s="461" t="n"/>
      <c r="Y1744" s="461" t="n"/>
      <c r="Z1744" s="461" t="n"/>
      <c r="AA1744" s="462" t="n"/>
      <c r="AB1744" s="462" t="n"/>
      <c r="AC1744" s="462" t="n"/>
      <c r="AD1744" s="462" t="n"/>
      <c r="AE1744" s="462" t="n"/>
      <c r="AF1744" s="462" t="n"/>
      <c r="AG1744" s="462" t="n"/>
      <c r="AH1744" s="462" t="n"/>
      <c r="AI1744" s="461" t="n"/>
      <c r="AJ1744" s="461" t="n"/>
      <c r="AK1744" s="463" t="n"/>
      <c r="AL1744" s="461" t="n"/>
      <c r="AM1744" s="461" t="n"/>
      <c r="AN1744" s="461" t="n"/>
      <c r="AO1744" s="461" t="n"/>
      <c r="AP1744" s="464" t="n"/>
      <c r="AQ1744" s="464" t="n"/>
      <c r="AR1744" s="461" t="n"/>
      <c r="AS1744" s="461" t="n"/>
      <c r="AT1744" s="461" t="n"/>
      <c r="AU1744" s="461" t="n"/>
      <c r="AV1744" s="461" t="n"/>
      <c r="AW1744" s="461" t="n"/>
      <c r="AX1744" s="461" t="n"/>
    </row>
    <row r="1745">
      <c r="A1745" s="413" t="n"/>
      <c r="B1745" s="413" t="n"/>
      <c r="C1745" s="413" t="n"/>
      <c r="D1745" s="414" t="n"/>
      <c r="E1745" s="414" t="n"/>
      <c r="F1745" s="414" t="n"/>
      <c r="G1745" s="414" t="n"/>
      <c r="H1745" s="414" t="n"/>
      <c r="J1745" s="457" t="n"/>
      <c r="K1745" s="457" t="n"/>
      <c r="L1745" s="458" t="n"/>
      <c r="M1745" s="458" t="n"/>
      <c r="N1745" s="458" t="n"/>
      <c r="O1745" s="459" t="n"/>
      <c r="P1745" s="460" t="n"/>
      <c r="Q1745" s="460" t="n"/>
      <c r="R1745" s="460" t="n"/>
      <c r="S1745" s="460" t="n"/>
      <c r="T1745" s="460" t="n"/>
      <c r="U1745" s="460" t="n"/>
      <c r="V1745" s="460" t="n"/>
      <c r="W1745" s="461" t="n"/>
      <c r="X1745" s="461" t="n"/>
      <c r="Y1745" s="461" t="n"/>
      <c r="Z1745" s="461" t="n"/>
      <c r="AA1745" s="462" t="n"/>
      <c r="AB1745" s="462" t="n"/>
      <c r="AC1745" s="462" t="n"/>
      <c r="AD1745" s="462" t="n"/>
      <c r="AE1745" s="462" t="n"/>
      <c r="AF1745" s="462" t="n"/>
      <c r="AG1745" s="462" t="n"/>
      <c r="AH1745" s="462" t="n"/>
      <c r="AI1745" s="461" t="n"/>
      <c r="AJ1745" s="461" t="n"/>
      <c r="AK1745" s="463" t="n"/>
      <c r="AL1745" s="461" t="n"/>
      <c r="AM1745" s="461" t="n"/>
      <c r="AN1745" s="461" t="n"/>
      <c r="AO1745" s="461" t="n"/>
      <c r="AP1745" s="464" t="n"/>
      <c r="AQ1745" s="464" t="n"/>
      <c r="AR1745" s="461" t="n"/>
      <c r="AS1745" s="461" t="n"/>
      <c r="AT1745" s="461" t="n"/>
      <c r="AU1745" s="461" t="n"/>
      <c r="AV1745" s="461" t="n"/>
      <c r="AW1745" s="461" t="n"/>
      <c r="AX1745" s="461" t="n"/>
    </row>
    <row r="1746">
      <c r="A1746" s="413" t="n"/>
      <c r="B1746" s="413" t="n"/>
      <c r="C1746" s="413" t="n"/>
      <c r="D1746" s="414" t="n"/>
      <c r="E1746" s="414" t="n"/>
      <c r="F1746" s="414" t="n"/>
      <c r="G1746" s="414" t="n"/>
      <c r="H1746" s="414" t="n"/>
      <c r="J1746" s="457" t="n"/>
      <c r="K1746" s="457" t="n"/>
      <c r="L1746" s="458" t="n"/>
      <c r="M1746" s="458" t="n"/>
      <c r="N1746" s="458" t="n"/>
      <c r="O1746" s="459" t="n"/>
      <c r="P1746" s="460" t="n"/>
      <c r="Q1746" s="460" t="n"/>
      <c r="R1746" s="460" t="n"/>
      <c r="S1746" s="460" t="n"/>
      <c r="T1746" s="460" t="n"/>
      <c r="U1746" s="460" t="n"/>
      <c r="V1746" s="460" t="n"/>
      <c r="W1746" s="461" t="n"/>
      <c r="X1746" s="461" t="n"/>
      <c r="Y1746" s="461" t="n"/>
      <c r="Z1746" s="461" t="n"/>
      <c r="AA1746" s="462" t="n"/>
      <c r="AB1746" s="462" t="n"/>
      <c r="AC1746" s="462" t="n"/>
      <c r="AD1746" s="462" t="n"/>
      <c r="AE1746" s="462" t="n"/>
      <c r="AF1746" s="462" t="n"/>
      <c r="AG1746" s="462" t="n"/>
      <c r="AH1746" s="462" t="n"/>
      <c r="AI1746" s="461" t="n"/>
      <c r="AJ1746" s="461" t="n"/>
      <c r="AK1746" s="463" t="n"/>
      <c r="AL1746" s="461" t="n"/>
      <c r="AM1746" s="461" t="n"/>
      <c r="AN1746" s="461" t="n"/>
      <c r="AO1746" s="461" t="n"/>
      <c r="AP1746" s="464" t="n"/>
      <c r="AQ1746" s="464" t="n"/>
      <c r="AR1746" s="461" t="n"/>
      <c r="AS1746" s="461" t="n"/>
      <c r="AT1746" s="461" t="n"/>
      <c r="AU1746" s="461" t="n"/>
      <c r="AV1746" s="461" t="n"/>
      <c r="AW1746" s="461" t="n"/>
      <c r="AX1746" s="461" t="n"/>
    </row>
    <row r="1747">
      <c r="A1747" s="413" t="n"/>
      <c r="B1747" s="413" t="n"/>
      <c r="C1747" s="413" t="n"/>
      <c r="D1747" s="414" t="n"/>
      <c r="E1747" s="414" t="n"/>
      <c r="F1747" s="414" t="n"/>
      <c r="G1747" s="414" t="n"/>
      <c r="H1747" s="414" t="n"/>
      <c r="J1747" s="457" t="n"/>
      <c r="K1747" s="457" t="n"/>
      <c r="L1747" s="458" t="n"/>
      <c r="M1747" s="458" t="n"/>
      <c r="N1747" s="458" t="n"/>
      <c r="O1747" s="459" t="n"/>
      <c r="P1747" s="460" t="n"/>
      <c r="Q1747" s="460" t="n"/>
      <c r="R1747" s="460" t="n"/>
      <c r="S1747" s="460" t="n"/>
      <c r="T1747" s="460" t="n"/>
      <c r="U1747" s="460" t="n"/>
      <c r="V1747" s="460" t="n"/>
      <c r="W1747" s="461" t="n"/>
      <c r="X1747" s="461" t="n"/>
      <c r="Y1747" s="461" t="n"/>
      <c r="Z1747" s="461" t="n"/>
      <c r="AA1747" s="462" t="n"/>
      <c r="AB1747" s="462" t="n"/>
      <c r="AC1747" s="462" t="n"/>
      <c r="AD1747" s="462" t="n"/>
      <c r="AE1747" s="462" t="n"/>
      <c r="AF1747" s="462" t="n"/>
      <c r="AG1747" s="462" t="n"/>
      <c r="AH1747" s="462" t="n"/>
      <c r="AI1747" s="461" t="n"/>
      <c r="AJ1747" s="461" t="n"/>
      <c r="AK1747" s="463" t="n"/>
      <c r="AL1747" s="461" t="n"/>
      <c r="AM1747" s="461" t="n"/>
      <c r="AN1747" s="461" t="n"/>
      <c r="AO1747" s="461" t="n"/>
      <c r="AP1747" s="464" t="n"/>
      <c r="AQ1747" s="464" t="n"/>
      <c r="AR1747" s="461" t="n"/>
      <c r="AS1747" s="461" t="n"/>
      <c r="AT1747" s="461" t="n"/>
      <c r="AU1747" s="461" t="n"/>
      <c r="AV1747" s="461" t="n"/>
      <c r="AW1747" s="461" t="n"/>
      <c r="AX1747" s="461" t="n"/>
    </row>
    <row r="1748">
      <c r="A1748" s="413" t="n"/>
      <c r="B1748" s="413" t="n"/>
      <c r="C1748" s="413" t="n"/>
      <c r="D1748" s="414" t="n"/>
      <c r="E1748" s="414" t="n"/>
      <c r="F1748" s="414" t="n"/>
      <c r="G1748" s="414" t="n"/>
      <c r="H1748" s="414" t="n"/>
      <c r="J1748" s="457" t="n"/>
      <c r="K1748" s="457" t="n"/>
      <c r="L1748" s="458" t="n"/>
      <c r="M1748" s="458" t="n"/>
      <c r="N1748" s="458" t="n"/>
      <c r="O1748" s="459" t="n"/>
      <c r="P1748" s="460" t="n"/>
      <c r="Q1748" s="460" t="n"/>
      <c r="R1748" s="460" t="n"/>
      <c r="S1748" s="460" t="n"/>
      <c r="T1748" s="460" t="n"/>
      <c r="U1748" s="460" t="n"/>
      <c r="V1748" s="460" t="n"/>
      <c r="W1748" s="461" t="n"/>
      <c r="X1748" s="461" t="n"/>
      <c r="Y1748" s="461" t="n"/>
      <c r="Z1748" s="461" t="n"/>
      <c r="AA1748" s="462" t="n"/>
      <c r="AB1748" s="462" t="n"/>
      <c r="AC1748" s="462" t="n"/>
      <c r="AD1748" s="462" t="n"/>
      <c r="AE1748" s="462" t="n"/>
      <c r="AF1748" s="462" t="n"/>
      <c r="AG1748" s="462" t="n"/>
      <c r="AH1748" s="462" t="n"/>
      <c r="AI1748" s="461" t="n"/>
      <c r="AJ1748" s="461" t="n"/>
      <c r="AK1748" s="463" t="n"/>
      <c r="AL1748" s="461" t="n"/>
      <c r="AM1748" s="461" t="n"/>
      <c r="AN1748" s="461" t="n"/>
      <c r="AO1748" s="461" t="n"/>
      <c r="AP1748" s="464" t="n"/>
      <c r="AQ1748" s="464" t="n"/>
      <c r="AR1748" s="461" t="n"/>
      <c r="AS1748" s="461" t="n"/>
      <c r="AT1748" s="461" t="n"/>
      <c r="AU1748" s="461" t="n"/>
      <c r="AV1748" s="461" t="n"/>
      <c r="AW1748" s="461" t="n"/>
      <c r="AX1748" s="461" t="n"/>
    </row>
    <row r="1749">
      <c r="A1749" s="413" t="n"/>
      <c r="B1749" s="413" t="n"/>
      <c r="C1749" s="413" t="n"/>
      <c r="D1749" s="414" t="n"/>
      <c r="E1749" s="414" t="n"/>
      <c r="F1749" s="414" t="n"/>
      <c r="G1749" s="414" t="n"/>
      <c r="H1749" s="414" t="n"/>
      <c r="J1749" s="457" t="n"/>
      <c r="K1749" s="457" t="n"/>
      <c r="L1749" s="458" t="n"/>
      <c r="M1749" s="458" t="n"/>
      <c r="N1749" s="458" t="n"/>
      <c r="O1749" s="459" t="n"/>
      <c r="P1749" s="460" t="n"/>
      <c r="Q1749" s="460" t="n"/>
      <c r="R1749" s="460" t="n"/>
      <c r="S1749" s="460" t="n"/>
      <c r="T1749" s="460" t="n"/>
      <c r="U1749" s="460" t="n"/>
      <c r="V1749" s="460" t="n"/>
      <c r="W1749" s="461" t="n"/>
      <c r="X1749" s="461" t="n"/>
      <c r="Y1749" s="461" t="n"/>
      <c r="Z1749" s="461" t="n"/>
      <c r="AA1749" s="462" t="n"/>
      <c r="AB1749" s="462" t="n"/>
      <c r="AC1749" s="462" t="n"/>
      <c r="AD1749" s="462" t="n"/>
      <c r="AE1749" s="462" t="n"/>
      <c r="AF1749" s="462" t="n"/>
      <c r="AG1749" s="462" t="n"/>
      <c r="AH1749" s="462" t="n"/>
      <c r="AI1749" s="461" t="n"/>
      <c r="AJ1749" s="461" t="n"/>
      <c r="AK1749" s="463" t="n"/>
      <c r="AL1749" s="461" t="n"/>
      <c r="AM1749" s="461" t="n"/>
      <c r="AN1749" s="461" t="n"/>
      <c r="AO1749" s="461" t="n"/>
      <c r="AP1749" s="464" t="n"/>
      <c r="AQ1749" s="464" t="n"/>
      <c r="AR1749" s="461" t="n"/>
      <c r="AS1749" s="461" t="n"/>
      <c r="AT1749" s="461" t="n"/>
      <c r="AU1749" s="461" t="n"/>
      <c r="AV1749" s="461" t="n"/>
      <c r="AW1749" s="461" t="n"/>
      <c r="AX1749" s="461" t="n"/>
    </row>
    <row r="1750">
      <c r="A1750" s="413" t="n"/>
      <c r="B1750" s="413" t="n"/>
      <c r="C1750" s="413" t="n"/>
      <c r="D1750" s="414" t="n"/>
      <c r="E1750" s="414" t="n"/>
      <c r="F1750" s="414" t="n"/>
      <c r="G1750" s="414" t="n"/>
      <c r="H1750" s="414" t="n"/>
      <c r="J1750" s="457" t="n"/>
      <c r="K1750" s="457" t="n"/>
      <c r="L1750" s="458" t="n"/>
      <c r="M1750" s="458" t="n"/>
      <c r="N1750" s="458" t="n"/>
      <c r="O1750" s="459" t="n"/>
      <c r="P1750" s="460" t="n"/>
      <c r="Q1750" s="460" t="n"/>
      <c r="R1750" s="460" t="n"/>
      <c r="S1750" s="460" t="n"/>
      <c r="T1750" s="460" t="n"/>
      <c r="U1750" s="460" t="n"/>
      <c r="V1750" s="460" t="n"/>
      <c r="W1750" s="461" t="n"/>
      <c r="X1750" s="461" t="n"/>
      <c r="Y1750" s="461" t="n"/>
      <c r="Z1750" s="461" t="n"/>
      <c r="AA1750" s="462" t="n"/>
      <c r="AB1750" s="462" t="n"/>
      <c r="AC1750" s="462" t="n"/>
      <c r="AD1750" s="462" t="n"/>
      <c r="AE1750" s="462" t="n"/>
      <c r="AF1750" s="462" t="n"/>
      <c r="AG1750" s="462" t="n"/>
      <c r="AH1750" s="462" t="n"/>
      <c r="AI1750" s="461" t="n"/>
      <c r="AJ1750" s="461" t="n"/>
      <c r="AK1750" s="463" t="n"/>
      <c r="AL1750" s="461" t="n"/>
      <c r="AM1750" s="461" t="n"/>
      <c r="AN1750" s="461" t="n"/>
      <c r="AO1750" s="461" t="n"/>
      <c r="AP1750" s="464" t="n"/>
      <c r="AQ1750" s="464" t="n"/>
      <c r="AR1750" s="461" t="n"/>
      <c r="AS1750" s="461" t="n"/>
      <c r="AT1750" s="461" t="n"/>
      <c r="AU1750" s="461" t="n"/>
      <c r="AV1750" s="461" t="n"/>
      <c r="AW1750" s="461" t="n"/>
      <c r="AX1750" s="461" t="n"/>
    </row>
    <row r="1751">
      <c r="A1751" s="413" t="n"/>
      <c r="B1751" s="413" t="n"/>
      <c r="C1751" s="413" t="n"/>
      <c r="D1751" s="414" t="n"/>
      <c r="E1751" s="414" t="n"/>
      <c r="F1751" s="414" t="n"/>
      <c r="G1751" s="414" t="n"/>
      <c r="H1751" s="414" t="n"/>
      <c r="J1751" s="457" t="n"/>
      <c r="K1751" s="457" t="n"/>
      <c r="L1751" s="458" t="n"/>
      <c r="M1751" s="458" t="n"/>
      <c r="N1751" s="458" t="n"/>
      <c r="O1751" s="459" t="n"/>
      <c r="P1751" s="460" t="n"/>
      <c r="Q1751" s="460" t="n"/>
      <c r="R1751" s="460" t="n"/>
      <c r="S1751" s="460" t="n"/>
      <c r="T1751" s="460" t="n"/>
      <c r="U1751" s="460" t="n"/>
      <c r="V1751" s="460" t="n"/>
      <c r="W1751" s="461" t="n"/>
      <c r="X1751" s="461" t="n"/>
      <c r="Y1751" s="461" t="n"/>
      <c r="Z1751" s="461" t="n"/>
      <c r="AA1751" s="462" t="n"/>
      <c r="AB1751" s="462" t="n"/>
      <c r="AC1751" s="462" t="n"/>
      <c r="AD1751" s="462" t="n"/>
      <c r="AE1751" s="462" t="n"/>
      <c r="AF1751" s="462" t="n"/>
      <c r="AG1751" s="462" t="n"/>
      <c r="AH1751" s="462" t="n"/>
      <c r="AI1751" s="461" t="n"/>
      <c r="AJ1751" s="461" t="n"/>
      <c r="AK1751" s="463" t="n"/>
      <c r="AL1751" s="461" t="n"/>
      <c r="AM1751" s="461" t="n"/>
      <c r="AN1751" s="461" t="n"/>
      <c r="AO1751" s="461" t="n"/>
      <c r="AP1751" s="464" t="n"/>
      <c r="AQ1751" s="464" t="n"/>
      <c r="AR1751" s="461" t="n"/>
      <c r="AS1751" s="461" t="n"/>
      <c r="AT1751" s="461" t="n"/>
      <c r="AU1751" s="461" t="n"/>
      <c r="AV1751" s="461" t="n"/>
      <c r="AW1751" s="461" t="n"/>
      <c r="AX1751" s="461" t="n"/>
    </row>
    <row r="1752">
      <c r="A1752" s="413" t="n"/>
      <c r="B1752" s="413" t="n"/>
      <c r="C1752" s="413" t="n"/>
      <c r="D1752" s="414" t="n"/>
      <c r="E1752" s="414" t="n"/>
      <c r="F1752" s="414" t="n"/>
      <c r="G1752" s="414" t="n"/>
      <c r="H1752" s="414" t="n"/>
      <c r="J1752" s="457" t="n"/>
      <c r="K1752" s="457" t="n"/>
      <c r="L1752" s="458" t="n"/>
      <c r="M1752" s="458" t="n"/>
      <c r="N1752" s="458" t="n"/>
      <c r="O1752" s="459" t="n"/>
      <c r="P1752" s="460" t="n"/>
      <c r="Q1752" s="460" t="n"/>
      <c r="R1752" s="460" t="n"/>
      <c r="S1752" s="460" t="n"/>
      <c r="T1752" s="460" t="n"/>
      <c r="U1752" s="460" t="n"/>
      <c r="V1752" s="460" t="n"/>
      <c r="W1752" s="461" t="n"/>
      <c r="X1752" s="461" t="n"/>
      <c r="Y1752" s="461" t="n"/>
      <c r="Z1752" s="461" t="n"/>
      <c r="AA1752" s="462" t="n"/>
      <c r="AB1752" s="462" t="n"/>
      <c r="AC1752" s="462" t="n"/>
      <c r="AD1752" s="462" t="n"/>
      <c r="AE1752" s="462" t="n"/>
      <c r="AF1752" s="462" t="n"/>
      <c r="AG1752" s="462" t="n"/>
      <c r="AH1752" s="462" t="n"/>
      <c r="AI1752" s="461" t="n"/>
      <c r="AJ1752" s="461" t="n"/>
      <c r="AK1752" s="463" t="n"/>
      <c r="AL1752" s="461" t="n"/>
      <c r="AM1752" s="461" t="n"/>
      <c r="AN1752" s="461" t="n"/>
      <c r="AO1752" s="461" t="n"/>
      <c r="AP1752" s="464" t="n"/>
      <c r="AQ1752" s="464" t="n"/>
      <c r="AR1752" s="461" t="n"/>
      <c r="AS1752" s="461" t="n"/>
      <c r="AT1752" s="461" t="n"/>
      <c r="AU1752" s="461" t="n"/>
      <c r="AV1752" s="461" t="n"/>
      <c r="AW1752" s="461" t="n"/>
      <c r="AX1752" s="461" t="n"/>
    </row>
    <row r="1753">
      <c r="A1753" s="413" t="n"/>
      <c r="B1753" s="413" t="n"/>
      <c r="C1753" s="413" t="n"/>
      <c r="D1753" s="414" t="n"/>
      <c r="E1753" s="414" t="n"/>
      <c r="F1753" s="414" t="n"/>
      <c r="G1753" s="414" t="n"/>
      <c r="H1753" s="414" t="n"/>
      <c r="J1753" s="457" t="n"/>
      <c r="K1753" s="457" t="n"/>
      <c r="L1753" s="458" t="n"/>
      <c r="M1753" s="458" t="n"/>
      <c r="N1753" s="458" t="n"/>
      <c r="O1753" s="459" t="n"/>
      <c r="P1753" s="460" t="n"/>
      <c r="Q1753" s="460" t="n"/>
      <c r="R1753" s="460" t="n"/>
      <c r="S1753" s="460" t="n"/>
      <c r="T1753" s="460" t="n"/>
      <c r="U1753" s="460" t="n"/>
      <c r="V1753" s="460" t="n"/>
      <c r="W1753" s="461" t="n"/>
      <c r="X1753" s="461" t="n"/>
      <c r="Y1753" s="461" t="n"/>
      <c r="Z1753" s="461" t="n"/>
      <c r="AA1753" s="462" t="n"/>
      <c r="AB1753" s="462" t="n"/>
      <c r="AC1753" s="462" t="n"/>
      <c r="AD1753" s="462" t="n"/>
      <c r="AE1753" s="462" t="n"/>
      <c r="AF1753" s="462" t="n"/>
      <c r="AG1753" s="462" t="n"/>
      <c r="AH1753" s="462" t="n"/>
      <c r="AI1753" s="461" t="n"/>
      <c r="AJ1753" s="461" t="n"/>
      <c r="AK1753" s="463" t="n"/>
      <c r="AL1753" s="461" t="n"/>
      <c r="AM1753" s="461" t="n"/>
      <c r="AN1753" s="461" t="n"/>
      <c r="AO1753" s="461" t="n"/>
      <c r="AP1753" s="464" t="n"/>
      <c r="AQ1753" s="464" t="n"/>
      <c r="AR1753" s="461" t="n"/>
      <c r="AS1753" s="461" t="n"/>
      <c r="AT1753" s="461" t="n"/>
      <c r="AU1753" s="461" t="n"/>
      <c r="AV1753" s="461" t="n"/>
      <c r="AW1753" s="461" t="n"/>
      <c r="AX1753" s="461" t="n"/>
    </row>
    <row r="1754">
      <c r="A1754" s="413" t="n"/>
      <c r="B1754" s="413" t="n"/>
      <c r="C1754" s="413" t="n"/>
      <c r="D1754" s="414" t="n"/>
      <c r="E1754" s="414" t="n"/>
      <c r="F1754" s="414" t="n"/>
      <c r="G1754" s="414" t="n"/>
      <c r="H1754" s="414" t="n"/>
      <c r="J1754" s="457" t="n"/>
      <c r="K1754" s="457" t="n"/>
      <c r="L1754" s="458" t="n"/>
      <c r="M1754" s="458" t="n"/>
      <c r="N1754" s="458" t="n"/>
      <c r="O1754" s="459" t="n"/>
      <c r="P1754" s="460" t="n"/>
      <c r="Q1754" s="460" t="n"/>
      <c r="R1754" s="460" t="n"/>
      <c r="S1754" s="460" t="n"/>
      <c r="T1754" s="460" t="n"/>
      <c r="U1754" s="460" t="n"/>
      <c r="V1754" s="460" t="n"/>
      <c r="W1754" s="461" t="n"/>
      <c r="X1754" s="461" t="n"/>
      <c r="Y1754" s="461" t="n"/>
      <c r="Z1754" s="461" t="n"/>
      <c r="AA1754" s="462" t="n"/>
      <c r="AB1754" s="462" t="n"/>
      <c r="AC1754" s="462" t="n"/>
      <c r="AD1754" s="462" t="n"/>
      <c r="AE1754" s="462" t="n"/>
      <c r="AF1754" s="462" t="n"/>
      <c r="AG1754" s="462" t="n"/>
      <c r="AH1754" s="462" t="n"/>
      <c r="AI1754" s="461" t="n"/>
      <c r="AJ1754" s="461" t="n"/>
      <c r="AK1754" s="463" t="n"/>
      <c r="AL1754" s="461" t="n"/>
      <c r="AM1754" s="461" t="n"/>
      <c r="AN1754" s="461" t="n"/>
      <c r="AO1754" s="461" t="n"/>
      <c r="AP1754" s="464" t="n"/>
      <c r="AQ1754" s="464" t="n"/>
      <c r="AR1754" s="461" t="n"/>
      <c r="AS1754" s="461" t="n"/>
      <c r="AT1754" s="461" t="n"/>
      <c r="AU1754" s="461" t="n"/>
      <c r="AV1754" s="461" t="n"/>
      <c r="AW1754" s="461" t="n"/>
      <c r="AX1754" s="461" t="n"/>
    </row>
    <row r="1755">
      <c r="A1755" s="413" t="n"/>
      <c r="B1755" s="413" t="n"/>
      <c r="C1755" s="413" t="n"/>
      <c r="D1755" s="414" t="n"/>
      <c r="E1755" s="414" t="n"/>
      <c r="F1755" s="414" t="n"/>
      <c r="G1755" s="414" t="n"/>
      <c r="H1755" s="414" t="n"/>
      <c r="J1755" s="457" t="n"/>
      <c r="K1755" s="457" t="n"/>
      <c r="L1755" s="458" t="n"/>
      <c r="M1755" s="458" t="n"/>
      <c r="N1755" s="458" t="n"/>
      <c r="O1755" s="459" t="n"/>
      <c r="P1755" s="460" t="n"/>
      <c r="Q1755" s="460" t="n"/>
      <c r="R1755" s="460" t="n"/>
      <c r="S1755" s="460" t="n"/>
      <c r="T1755" s="460" t="n"/>
      <c r="U1755" s="460" t="n"/>
      <c r="V1755" s="460" t="n"/>
      <c r="W1755" s="461" t="n"/>
      <c r="X1755" s="461" t="n"/>
      <c r="Y1755" s="461" t="n"/>
      <c r="Z1755" s="461" t="n"/>
      <c r="AA1755" s="462" t="n"/>
      <c r="AB1755" s="462" t="n"/>
      <c r="AC1755" s="462" t="n"/>
      <c r="AD1755" s="462" t="n"/>
      <c r="AE1755" s="462" t="n"/>
      <c r="AF1755" s="462" t="n"/>
      <c r="AG1755" s="462" t="n"/>
      <c r="AH1755" s="462" t="n"/>
      <c r="AI1755" s="461" t="n"/>
      <c r="AJ1755" s="461" t="n"/>
      <c r="AK1755" s="463" t="n"/>
      <c r="AL1755" s="461" t="n"/>
      <c r="AM1755" s="461" t="n"/>
      <c r="AN1755" s="461" t="n"/>
      <c r="AO1755" s="461" t="n"/>
      <c r="AP1755" s="464" t="n"/>
      <c r="AQ1755" s="464" t="n"/>
      <c r="AR1755" s="461" t="n"/>
      <c r="AS1755" s="461" t="n"/>
      <c r="AT1755" s="461" t="n"/>
      <c r="AU1755" s="461" t="n"/>
      <c r="AV1755" s="461" t="n"/>
      <c r="AW1755" s="461" t="n"/>
      <c r="AX1755" s="461" t="n"/>
    </row>
    <row r="1756">
      <c r="A1756" s="413" t="n"/>
      <c r="B1756" s="413" t="n"/>
      <c r="C1756" s="413" t="n"/>
      <c r="D1756" s="414" t="n"/>
      <c r="E1756" s="414" t="n"/>
      <c r="F1756" s="414" t="n"/>
      <c r="G1756" s="414" t="n"/>
      <c r="H1756" s="414" t="n"/>
      <c r="J1756" s="457" t="n"/>
      <c r="K1756" s="457" t="n"/>
      <c r="L1756" s="458" t="n"/>
      <c r="M1756" s="458" t="n"/>
      <c r="N1756" s="458" t="n"/>
      <c r="O1756" s="459" t="n"/>
      <c r="P1756" s="460" t="n"/>
      <c r="Q1756" s="460" t="n"/>
      <c r="R1756" s="460" t="n"/>
      <c r="S1756" s="460" t="n"/>
      <c r="T1756" s="460" t="n"/>
      <c r="U1756" s="460" t="n"/>
      <c r="V1756" s="460" t="n"/>
      <c r="W1756" s="461" t="n"/>
      <c r="X1756" s="461" t="n"/>
      <c r="Y1756" s="461" t="n"/>
      <c r="Z1756" s="461" t="n"/>
      <c r="AA1756" s="462" t="n"/>
      <c r="AB1756" s="462" t="n"/>
      <c r="AC1756" s="462" t="n"/>
      <c r="AD1756" s="462" t="n"/>
      <c r="AE1756" s="462" t="n"/>
      <c r="AF1756" s="462" t="n"/>
      <c r="AG1756" s="462" t="n"/>
      <c r="AH1756" s="462" t="n"/>
      <c r="AI1756" s="461" t="n"/>
      <c r="AJ1756" s="461" t="n"/>
      <c r="AK1756" s="463" t="n"/>
      <c r="AL1756" s="461" t="n"/>
      <c r="AM1756" s="461" t="n"/>
      <c r="AN1756" s="461" t="n"/>
      <c r="AO1756" s="461" t="n"/>
      <c r="AP1756" s="464" t="n"/>
      <c r="AQ1756" s="464" t="n"/>
      <c r="AR1756" s="461" t="n"/>
      <c r="AS1756" s="461" t="n"/>
      <c r="AT1756" s="461" t="n"/>
      <c r="AU1756" s="461" t="n"/>
      <c r="AV1756" s="461" t="n"/>
      <c r="AW1756" s="461" t="n"/>
      <c r="AX1756" s="461" t="n"/>
    </row>
    <row r="1757">
      <c r="A1757" s="413" t="n"/>
      <c r="B1757" s="413" t="n"/>
      <c r="C1757" s="413" t="n"/>
      <c r="D1757" s="414" t="n"/>
      <c r="E1757" s="414" t="n"/>
      <c r="F1757" s="414" t="n"/>
      <c r="G1757" s="414" t="n"/>
      <c r="H1757" s="414" t="n"/>
      <c r="J1757" s="457" t="n"/>
      <c r="K1757" s="457" t="n"/>
      <c r="L1757" s="458" t="n"/>
      <c r="M1757" s="458" t="n"/>
      <c r="N1757" s="458" t="n"/>
      <c r="O1757" s="459" t="n"/>
      <c r="P1757" s="460" t="n"/>
      <c r="Q1757" s="460" t="n"/>
      <c r="R1757" s="460" t="n"/>
      <c r="S1757" s="460" t="n"/>
      <c r="T1757" s="460" t="n"/>
      <c r="U1757" s="460" t="n"/>
      <c r="V1757" s="460" t="n"/>
      <c r="W1757" s="461" t="n"/>
      <c r="X1757" s="461" t="n"/>
      <c r="Y1757" s="461" t="n"/>
      <c r="Z1757" s="461" t="n"/>
      <c r="AA1757" s="462" t="n"/>
      <c r="AB1757" s="462" t="n"/>
      <c r="AC1757" s="462" t="n"/>
      <c r="AD1757" s="462" t="n"/>
      <c r="AE1757" s="462" t="n"/>
      <c r="AF1757" s="462" t="n"/>
      <c r="AG1757" s="462" t="n"/>
      <c r="AH1757" s="462" t="n"/>
      <c r="AI1757" s="461" t="n"/>
      <c r="AJ1757" s="461" t="n"/>
      <c r="AK1757" s="463" t="n"/>
      <c r="AL1757" s="461" t="n"/>
      <c r="AM1757" s="461" t="n"/>
      <c r="AN1757" s="461" t="n"/>
      <c r="AO1757" s="461" t="n"/>
      <c r="AP1757" s="464" t="n"/>
      <c r="AQ1757" s="464" t="n"/>
      <c r="AR1757" s="461" t="n"/>
      <c r="AS1757" s="461" t="n"/>
      <c r="AT1757" s="461" t="n"/>
      <c r="AU1757" s="461" t="n"/>
      <c r="AV1757" s="461" t="n"/>
      <c r="AW1757" s="461" t="n"/>
      <c r="AX1757" s="461" t="n"/>
    </row>
    <row r="1758">
      <c r="A1758" s="413" t="n"/>
      <c r="B1758" s="413" t="n"/>
      <c r="C1758" s="413" t="n"/>
      <c r="D1758" s="414" t="n"/>
      <c r="E1758" s="414" t="n"/>
      <c r="F1758" s="414" t="n"/>
      <c r="G1758" s="414" t="n"/>
      <c r="H1758" s="414" t="n"/>
      <c r="J1758" s="457" t="n"/>
      <c r="K1758" s="457" t="n"/>
      <c r="L1758" s="458" t="n"/>
      <c r="M1758" s="458" t="n"/>
      <c r="N1758" s="458" t="n"/>
      <c r="O1758" s="459" t="n"/>
      <c r="P1758" s="460" t="n"/>
      <c r="Q1758" s="460" t="n"/>
      <c r="R1758" s="460" t="n"/>
      <c r="S1758" s="460" t="n"/>
      <c r="T1758" s="460" t="n"/>
      <c r="U1758" s="460" t="n"/>
      <c r="V1758" s="460" t="n"/>
      <c r="W1758" s="461" t="n"/>
      <c r="X1758" s="461" t="n"/>
      <c r="Y1758" s="461" t="n"/>
      <c r="Z1758" s="461" t="n"/>
      <c r="AA1758" s="462" t="n"/>
      <c r="AB1758" s="462" t="n"/>
      <c r="AC1758" s="462" t="n"/>
      <c r="AD1758" s="462" t="n"/>
      <c r="AE1758" s="462" t="n"/>
      <c r="AF1758" s="462" t="n"/>
      <c r="AG1758" s="462" t="n"/>
      <c r="AH1758" s="462" t="n"/>
      <c r="AI1758" s="461" t="n"/>
      <c r="AJ1758" s="461" t="n"/>
      <c r="AK1758" s="463" t="n"/>
      <c r="AL1758" s="461" t="n"/>
      <c r="AM1758" s="461" t="n"/>
      <c r="AN1758" s="461" t="n"/>
      <c r="AO1758" s="461" t="n"/>
      <c r="AP1758" s="464" t="n"/>
      <c r="AQ1758" s="464" t="n"/>
      <c r="AR1758" s="461" t="n"/>
      <c r="AS1758" s="461" t="n"/>
      <c r="AT1758" s="461" t="n"/>
      <c r="AU1758" s="461" t="n"/>
      <c r="AV1758" s="461" t="n"/>
      <c r="AW1758" s="461" t="n"/>
      <c r="AX1758" s="461" t="n"/>
    </row>
    <row r="1759">
      <c r="A1759" s="413" t="n"/>
      <c r="B1759" s="413" t="n"/>
      <c r="C1759" s="413" t="n"/>
      <c r="D1759" s="414" t="n"/>
      <c r="E1759" s="414" t="n"/>
      <c r="F1759" s="414" t="n"/>
      <c r="G1759" s="414" t="n"/>
      <c r="H1759" s="414" t="n"/>
      <c r="J1759" s="457" t="n"/>
      <c r="K1759" s="457" t="n"/>
      <c r="L1759" s="458" t="n"/>
      <c r="M1759" s="458" t="n"/>
      <c r="N1759" s="458" t="n"/>
      <c r="O1759" s="459" t="n"/>
      <c r="P1759" s="460" t="n"/>
      <c r="Q1759" s="460" t="n"/>
      <c r="R1759" s="460" t="n"/>
      <c r="S1759" s="460" t="n"/>
      <c r="T1759" s="460" t="n"/>
      <c r="U1759" s="460" t="n"/>
      <c r="V1759" s="460" t="n"/>
      <c r="W1759" s="461" t="n"/>
      <c r="X1759" s="461" t="n"/>
      <c r="Y1759" s="461" t="n"/>
      <c r="Z1759" s="461" t="n"/>
      <c r="AA1759" s="462" t="n"/>
      <c r="AB1759" s="462" t="n"/>
      <c r="AC1759" s="462" t="n"/>
      <c r="AD1759" s="462" t="n"/>
      <c r="AE1759" s="462" t="n"/>
      <c r="AF1759" s="462" t="n"/>
      <c r="AG1759" s="462" t="n"/>
      <c r="AH1759" s="462" t="n"/>
      <c r="AI1759" s="461" t="n"/>
      <c r="AJ1759" s="461" t="n"/>
      <c r="AK1759" s="463" t="n"/>
      <c r="AL1759" s="461" t="n"/>
      <c r="AM1759" s="461" t="n"/>
      <c r="AN1759" s="461" t="n"/>
      <c r="AO1759" s="461" t="n"/>
      <c r="AP1759" s="464" t="n"/>
      <c r="AQ1759" s="464" t="n"/>
      <c r="AR1759" s="461" t="n"/>
      <c r="AS1759" s="461" t="n"/>
      <c r="AT1759" s="461" t="n"/>
      <c r="AU1759" s="461" t="n"/>
      <c r="AV1759" s="461" t="n"/>
      <c r="AW1759" s="461" t="n"/>
      <c r="AX1759" s="461" t="n"/>
    </row>
    <row r="1760">
      <c r="A1760" s="413" t="n"/>
      <c r="B1760" s="413" t="n"/>
      <c r="C1760" s="413" t="n"/>
      <c r="D1760" s="414" t="n"/>
      <c r="E1760" s="414" t="n"/>
      <c r="F1760" s="414" t="n"/>
      <c r="G1760" s="414" t="n"/>
      <c r="H1760" s="414" t="n"/>
      <c r="J1760" s="457" t="n"/>
      <c r="K1760" s="457" t="n"/>
      <c r="L1760" s="458" t="n"/>
      <c r="M1760" s="458" t="n"/>
      <c r="N1760" s="458" t="n"/>
      <c r="O1760" s="459" t="n"/>
      <c r="P1760" s="460" t="n"/>
      <c r="Q1760" s="460" t="n"/>
      <c r="R1760" s="460" t="n"/>
      <c r="S1760" s="460" t="n"/>
      <c r="T1760" s="460" t="n"/>
      <c r="U1760" s="460" t="n"/>
      <c r="V1760" s="460" t="n"/>
      <c r="W1760" s="461" t="n"/>
      <c r="X1760" s="461" t="n"/>
      <c r="Y1760" s="461" t="n"/>
      <c r="Z1760" s="461" t="n"/>
      <c r="AA1760" s="462" t="n"/>
      <c r="AB1760" s="462" t="n"/>
      <c r="AC1760" s="462" t="n"/>
      <c r="AD1760" s="462" t="n"/>
      <c r="AE1760" s="462" t="n"/>
      <c r="AF1760" s="462" t="n"/>
      <c r="AG1760" s="462" t="n"/>
      <c r="AH1760" s="462" t="n"/>
      <c r="AI1760" s="461" t="n"/>
      <c r="AJ1760" s="461" t="n"/>
      <c r="AK1760" s="463" t="n"/>
      <c r="AL1760" s="461" t="n"/>
      <c r="AM1760" s="461" t="n"/>
      <c r="AN1760" s="461" t="n"/>
      <c r="AO1760" s="461" t="n"/>
      <c r="AP1760" s="464" t="n"/>
      <c r="AQ1760" s="464" t="n"/>
      <c r="AR1760" s="461" t="n"/>
      <c r="AS1760" s="461" t="n"/>
      <c r="AT1760" s="461" t="n"/>
      <c r="AU1760" s="461" t="n"/>
      <c r="AV1760" s="461" t="n"/>
      <c r="AW1760" s="461" t="n"/>
      <c r="AX1760" s="461" t="n"/>
    </row>
    <row r="1761">
      <c r="A1761" s="413" t="n"/>
      <c r="B1761" s="413" t="n"/>
      <c r="C1761" s="413" t="n"/>
      <c r="D1761" s="414" t="n"/>
      <c r="E1761" s="414" t="n"/>
      <c r="F1761" s="414" t="n"/>
      <c r="G1761" s="414" t="n"/>
      <c r="H1761" s="414" t="n"/>
      <c r="J1761" s="457" t="n"/>
      <c r="K1761" s="457" t="n"/>
      <c r="L1761" s="458" t="n"/>
      <c r="M1761" s="458" t="n"/>
      <c r="N1761" s="458" t="n"/>
      <c r="O1761" s="459" t="n"/>
      <c r="P1761" s="460" t="n"/>
      <c r="Q1761" s="460" t="n"/>
      <c r="R1761" s="460" t="n"/>
      <c r="S1761" s="460" t="n"/>
      <c r="T1761" s="460" t="n"/>
      <c r="U1761" s="460" t="n"/>
      <c r="V1761" s="460" t="n"/>
      <c r="W1761" s="461" t="n"/>
      <c r="X1761" s="461" t="n"/>
      <c r="Y1761" s="461" t="n"/>
      <c r="Z1761" s="461" t="n"/>
      <c r="AA1761" s="462" t="n"/>
      <c r="AB1761" s="462" t="n"/>
      <c r="AC1761" s="462" t="n"/>
      <c r="AD1761" s="462" t="n"/>
      <c r="AE1761" s="462" t="n"/>
      <c r="AF1761" s="462" t="n"/>
      <c r="AG1761" s="462" t="n"/>
      <c r="AH1761" s="462" t="n"/>
      <c r="AI1761" s="461" t="n"/>
      <c r="AJ1761" s="461" t="n"/>
      <c r="AK1761" s="463" t="n"/>
      <c r="AL1761" s="461" t="n"/>
      <c r="AM1761" s="461" t="n"/>
      <c r="AN1761" s="461" t="n"/>
      <c r="AO1761" s="461" t="n"/>
      <c r="AP1761" s="464" t="n"/>
      <c r="AQ1761" s="464" t="n"/>
      <c r="AR1761" s="461" t="n"/>
      <c r="AS1761" s="461" t="n"/>
      <c r="AT1761" s="461" t="n"/>
      <c r="AU1761" s="461" t="n"/>
      <c r="AV1761" s="461" t="n"/>
      <c r="AW1761" s="461" t="n"/>
      <c r="AX1761" s="461" t="n"/>
    </row>
    <row r="1762">
      <c r="A1762" s="413" t="n"/>
      <c r="B1762" s="413" t="n"/>
      <c r="C1762" s="413" t="n"/>
      <c r="D1762" s="414" t="n"/>
      <c r="E1762" s="414" t="n"/>
      <c r="F1762" s="414" t="n"/>
      <c r="G1762" s="414" t="n"/>
      <c r="H1762" s="414" t="n"/>
      <c r="J1762" s="457" t="n"/>
      <c r="K1762" s="457" t="n"/>
      <c r="L1762" s="458" t="n"/>
      <c r="M1762" s="458" t="n"/>
      <c r="N1762" s="458" t="n"/>
      <c r="O1762" s="459" t="n"/>
      <c r="P1762" s="460" t="n"/>
      <c r="Q1762" s="460" t="n"/>
      <c r="R1762" s="460" t="n"/>
      <c r="S1762" s="460" t="n"/>
      <c r="T1762" s="460" t="n"/>
      <c r="U1762" s="460" t="n"/>
      <c r="V1762" s="460" t="n"/>
      <c r="W1762" s="461" t="n"/>
      <c r="X1762" s="461" t="n"/>
      <c r="Y1762" s="461" t="n"/>
      <c r="Z1762" s="461" t="n"/>
      <c r="AA1762" s="462" t="n"/>
      <c r="AB1762" s="462" t="n"/>
      <c r="AC1762" s="462" t="n"/>
      <c r="AD1762" s="462" t="n"/>
      <c r="AE1762" s="462" t="n"/>
      <c r="AF1762" s="462" t="n"/>
      <c r="AG1762" s="462" t="n"/>
      <c r="AH1762" s="462" t="n"/>
      <c r="AI1762" s="461" t="n"/>
      <c r="AJ1762" s="461" t="n"/>
      <c r="AK1762" s="463" t="n"/>
      <c r="AL1762" s="461" t="n"/>
      <c r="AM1762" s="461" t="n"/>
      <c r="AN1762" s="461" t="n"/>
      <c r="AO1762" s="461" t="n"/>
      <c r="AP1762" s="464" t="n"/>
      <c r="AQ1762" s="464" t="n"/>
      <c r="AR1762" s="461" t="n"/>
      <c r="AS1762" s="461" t="n"/>
      <c r="AT1762" s="461" t="n"/>
      <c r="AU1762" s="461" t="n"/>
      <c r="AV1762" s="461" t="n"/>
      <c r="AW1762" s="461" t="n"/>
      <c r="AX1762" s="461" t="n"/>
    </row>
    <row r="1763">
      <c r="A1763" s="413" t="n"/>
      <c r="B1763" s="413" t="n"/>
      <c r="C1763" s="413" t="n"/>
      <c r="D1763" s="414" t="n"/>
      <c r="E1763" s="414" t="n"/>
      <c r="F1763" s="414" t="n"/>
      <c r="G1763" s="414" t="n"/>
      <c r="H1763" s="414" t="n"/>
      <c r="J1763" s="457" t="n"/>
      <c r="K1763" s="457" t="n"/>
      <c r="L1763" s="458" t="n"/>
      <c r="M1763" s="458" t="n"/>
      <c r="N1763" s="458" t="n"/>
      <c r="O1763" s="459" t="n"/>
      <c r="P1763" s="460" t="n"/>
      <c r="Q1763" s="460" t="n"/>
      <c r="R1763" s="460" t="n"/>
      <c r="S1763" s="460" t="n"/>
      <c r="T1763" s="460" t="n"/>
      <c r="U1763" s="460" t="n"/>
      <c r="V1763" s="460" t="n"/>
      <c r="W1763" s="461" t="n"/>
      <c r="X1763" s="461" t="n"/>
      <c r="Y1763" s="461" t="n"/>
      <c r="Z1763" s="461" t="n"/>
      <c r="AA1763" s="462" t="n"/>
      <c r="AB1763" s="462" t="n"/>
      <c r="AC1763" s="462" t="n"/>
      <c r="AD1763" s="462" t="n"/>
      <c r="AE1763" s="462" t="n"/>
      <c r="AF1763" s="462" t="n"/>
      <c r="AG1763" s="462" t="n"/>
      <c r="AH1763" s="462" t="n"/>
      <c r="AI1763" s="461" t="n"/>
      <c r="AJ1763" s="461" t="n"/>
      <c r="AK1763" s="463" t="n"/>
      <c r="AL1763" s="461" t="n"/>
      <c r="AM1763" s="461" t="n"/>
      <c r="AN1763" s="461" t="n"/>
      <c r="AO1763" s="461" t="n"/>
      <c r="AP1763" s="464" t="n"/>
      <c r="AQ1763" s="464" t="n"/>
      <c r="AR1763" s="461" t="n"/>
      <c r="AS1763" s="461" t="n"/>
      <c r="AT1763" s="461" t="n"/>
      <c r="AU1763" s="461" t="n"/>
      <c r="AV1763" s="461" t="n"/>
      <c r="AW1763" s="461" t="n"/>
      <c r="AX1763" s="461" t="n"/>
    </row>
    <row r="1764">
      <c r="A1764" s="413" t="n"/>
      <c r="B1764" s="413" t="n"/>
      <c r="C1764" s="413" t="n"/>
      <c r="D1764" s="414" t="n"/>
      <c r="E1764" s="414" t="n"/>
      <c r="F1764" s="414" t="n"/>
      <c r="G1764" s="414" t="n"/>
      <c r="H1764" s="414" t="n"/>
      <c r="J1764" s="457" t="n"/>
      <c r="K1764" s="457" t="n"/>
      <c r="L1764" s="458" t="n"/>
      <c r="M1764" s="458" t="n"/>
      <c r="N1764" s="458" t="n"/>
      <c r="O1764" s="459" t="n"/>
      <c r="P1764" s="460" t="n"/>
      <c r="Q1764" s="460" t="n"/>
      <c r="R1764" s="460" t="n"/>
      <c r="S1764" s="460" t="n"/>
      <c r="T1764" s="460" t="n"/>
      <c r="U1764" s="460" t="n"/>
      <c r="V1764" s="460" t="n"/>
      <c r="W1764" s="461" t="n"/>
      <c r="X1764" s="461" t="n"/>
      <c r="Y1764" s="461" t="n"/>
      <c r="Z1764" s="461" t="n"/>
      <c r="AA1764" s="462" t="n"/>
      <c r="AB1764" s="462" t="n"/>
      <c r="AC1764" s="462" t="n"/>
      <c r="AD1764" s="462" t="n"/>
      <c r="AE1764" s="462" t="n"/>
      <c r="AF1764" s="462" t="n"/>
      <c r="AG1764" s="462" t="n"/>
      <c r="AH1764" s="462" t="n"/>
      <c r="AI1764" s="461" t="n"/>
      <c r="AJ1764" s="461" t="n"/>
      <c r="AK1764" s="463" t="n"/>
      <c r="AL1764" s="461" t="n"/>
      <c r="AM1764" s="461" t="n"/>
      <c r="AN1764" s="461" t="n"/>
      <c r="AO1764" s="461" t="n"/>
      <c r="AP1764" s="464" t="n"/>
      <c r="AQ1764" s="464" t="n"/>
      <c r="AR1764" s="461" t="n"/>
      <c r="AS1764" s="461" t="n"/>
      <c r="AT1764" s="461" t="n"/>
      <c r="AU1764" s="461" t="n"/>
      <c r="AV1764" s="461" t="n"/>
      <c r="AW1764" s="461" t="n"/>
      <c r="AX1764" s="461" t="n"/>
    </row>
    <row r="1765">
      <c r="A1765" s="413" t="n"/>
      <c r="B1765" s="413" t="n"/>
      <c r="C1765" s="413" t="n"/>
      <c r="D1765" s="414" t="n"/>
      <c r="E1765" s="414" t="n"/>
      <c r="F1765" s="414" t="n"/>
      <c r="G1765" s="414" t="n"/>
      <c r="H1765" s="414" t="n"/>
      <c r="J1765" s="457" t="n"/>
      <c r="K1765" s="457" t="n"/>
      <c r="L1765" s="458" t="n"/>
      <c r="M1765" s="458" t="n"/>
      <c r="N1765" s="458" t="n"/>
      <c r="O1765" s="459" t="n"/>
      <c r="P1765" s="460" t="n"/>
      <c r="Q1765" s="460" t="n"/>
      <c r="R1765" s="460" t="n"/>
      <c r="S1765" s="460" t="n"/>
      <c r="T1765" s="460" t="n"/>
      <c r="U1765" s="460" t="n"/>
      <c r="V1765" s="460" t="n"/>
      <c r="W1765" s="461" t="n"/>
      <c r="X1765" s="461" t="n"/>
      <c r="Y1765" s="461" t="n"/>
      <c r="Z1765" s="461" t="n"/>
      <c r="AA1765" s="462" t="n"/>
      <c r="AB1765" s="462" t="n"/>
      <c r="AC1765" s="462" t="n"/>
      <c r="AD1765" s="462" t="n"/>
      <c r="AE1765" s="462" t="n"/>
      <c r="AF1765" s="462" t="n"/>
      <c r="AG1765" s="462" t="n"/>
      <c r="AH1765" s="462" t="n"/>
      <c r="AI1765" s="461" t="n"/>
      <c r="AJ1765" s="461" t="n"/>
      <c r="AK1765" s="463" t="n"/>
      <c r="AL1765" s="461" t="n"/>
      <c r="AM1765" s="461" t="n"/>
      <c r="AN1765" s="461" t="n"/>
      <c r="AO1765" s="461" t="n"/>
      <c r="AP1765" s="464" t="n"/>
      <c r="AQ1765" s="464" t="n"/>
      <c r="AR1765" s="461" t="n"/>
      <c r="AS1765" s="461" t="n"/>
      <c r="AT1765" s="461" t="n"/>
      <c r="AU1765" s="461" t="n"/>
      <c r="AV1765" s="461" t="n"/>
      <c r="AW1765" s="461" t="n"/>
      <c r="AX1765" s="461" t="n"/>
    </row>
    <row r="1766">
      <c r="A1766" s="413" t="n"/>
      <c r="B1766" s="413" t="n"/>
      <c r="C1766" s="413" t="n"/>
      <c r="D1766" s="414" t="n"/>
      <c r="E1766" s="414" t="n"/>
      <c r="F1766" s="414" t="n"/>
      <c r="G1766" s="414" t="n"/>
      <c r="H1766" s="414" t="n"/>
      <c r="J1766" s="457" t="n"/>
      <c r="K1766" s="457" t="n"/>
      <c r="L1766" s="458" t="n"/>
      <c r="M1766" s="458" t="n"/>
      <c r="N1766" s="458" t="n"/>
      <c r="O1766" s="459" t="n"/>
      <c r="P1766" s="460" t="n"/>
      <c r="Q1766" s="460" t="n"/>
      <c r="R1766" s="460" t="n"/>
      <c r="S1766" s="460" t="n"/>
      <c r="T1766" s="460" t="n"/>
      <c r="U1766" s="460" t="n"/>
      <c r="V1766" s="460" t="n"/>
      <c r="W1766" s="461" t="n"/>
      <c r="X1766" s="461" t="n"/>
      <c r="Y1766" s="461" t="n"/>
      <c r="Z1766" s="461" t="n"/>
      <c r="AA1766" s="462" t="n"/>
      <c r="AB1766" s="462" t="n"/>
      <c r="AC1766" s="462" t="n"/>
      <c r="AD1766" s="462" t="n"/>
      <c r="AE1766" s="462" t="n"/>
      <c r="AF1766" s="462" t="n"/>
      <c r="AG1766" s="462" t="n"/>
      <c r="AH1766" s="462" t="n"/>
      <c r="AI1766" s="461" t="n"/>
      <c r="AJ1766" s="461" t="n"/>
      <c r="AK1766" s="463" t="n"/>
      <c r="AL1766" s="461" t="n"/>
      <c r="AM1766" s="461" t="n"/>
      <c r="AN1766" s="461" t="n"/>
      <c r="AO1766" s="461" t="n"/>
      <c r="AP1766" s="464" t="n"/>
      <c r="AQ1766" s="464" t="n"/>
      <c r="AR1766" s="461" t="n"/>
      <c r="AS1766" s="461" t="n"/>
      <c r="AT1766" s="461" t="n"/>
      <c r="AU1766" s="461" t="n"/>
      <c r="AV1766" s="461" t="n"/>
      <c r="AW1766" s="461" t="n"/>
      <c r="AX1766" s="461" t="n"/>
    </row>
    <row r="1767">
      <c r="A1767" s="413" t="n"/>
      <c r="B1767" s="413" t="n"/>
      <c r="C1767" s="413" t="n"/>
      <c r="D1767" s="414" t="n"/>
      <c r="E1767" s="414" t="n"/>
      <c r="F1767" s="414" t="n"/>
      <c r="G1767" s="414" t="n"/>
      <c r="H1767" s="414" t="n"/>
      <c r="J1767" s="457" t="n"/>
      <c r="K1767" s="457" t="n"/>
      <c r="L1767" s="458" t="n"/>
      <c r="M1767" s="458" t="n"/>
      <c r="N1767" s="458" t="n"/>
      <c r="O1767" s="459" t="n"/>
      <c r="P1767" s="460" t="n"/>
      <c r="Q1767" s="460" t="n"/>
      <c r="R1767" s="460" t="n"/>
      <c r="S1767" s="460" t="n"/>
      <c r="T1767" s="460" t="n"/>
      <c r="U1767" s="460" t="n"/>
      <c r="V1767" s="460" t="n"/>
      <c r="W1767" s="461" t="n"/>
      <c r="X1767" s="461" t="n"/>
      <c r="Y1767" s="461" t="n"/>
      <c r="Z1767" s="461" t="n"/>
      <c r="AA1767" s="462" t="n"/>
      <c r="AB1767" s="462" t="n"/>
      <c r="AC1767" s="462" t="n"/>
      <c r="AD1767" s="462" t="n"/>
      <c r="AE1767" s="462" t="n"/>
      <c r="AF1767" s="462" t="n"/>
      <c r="AG1767" s="462" t="n"/>
      <c r="AH1767" s="462" t="n"/>
      <c r="AI1767" s="461" t="n"/>
      <c r="AJ1767" s="461" t="n"/>
      <c r="AK1767" s="463" t="n"/>
      <c r="AL1767" s="461" t="n"/>
      <c r="AM1767" s="461" t="n"/>
      <c r="AN1767" s="461" t="n"/>
      <c r="AO1767" s="461" t="n"/>
      <c r="AP1767" s="464" t="n"/>
      <c r="AQ1767" s="464" t="n"/>
      <c r="AR1767" s="461" t="n"/>
      <c r="AS1767" s="461" t="n"/>
      <c r="AT1767" s="461" t="n"/>
      <c r="AU1767" s="461" t="n"/>
      <c r="AV1767" s="461" t="n"/>
      <c r="AW1767" s="461" t="n"/>
      <c r="AX1767" s="461" t="n"/>
    </row>
    <row r="1768">
      <c r="A1768" s="413" t="n"/>
      <c r="B1768" s="413" t="n"/>
      <c r="C1768" s="413" t="n"/>
      <c r="D1768" s="414" t="n"/>
      <c r="E1768" s="414" t="n"/>
      <c r="F1768" s="414" t="n"/>
      <c r="G1768" s="414" t="n"/>
      <c r="H1768" s="414" t="n"/>
      <c r="J1768" s="457" t="n"/>
      <c r="K1768" s="457" t="n"/>
      <c r="L1768" s="458" t="n"/>
      <c r="M1768" s="458" t="n"/>
      <c r="N1768" s="458" t="n"/>
      <c r="O1768" s="459" t="n"/>
      <c r="P1768" s="460" t="n"/>
      <c r="Q1768" s="460" t="n"/>
      <c r="R1768" s="460" t="n"/>
      <c r="S1768" s="460" t="n"/>
      <c r="T1768" s="460" t="n"/>
      <c r="U1768" s="460" t="n"/>
      <c r="V1768" s="460" t="n"/>
      <c r="W1768" s="461" t="n"/>
      <c r="X1768" s="461" t="n"/>
      <c r="Y1768" s="461" t="n"/>
      <c r="Z1768" s="461" t="n"/>
      <c r="AA1768" s="462" t="n"/>
      <c r="AB1768" s="462" t="n"/>
      <c r="AC1768" s="462" t="n"/>
      <c r="AD1768" s="462" t="n"/>
      <c r="AE1768" s="462" t="n"/>
      <c r="AF1768" s="462" t="n"/>
      <c r="AG1768" s="462" t="n"/>
      <c r="AH1768" s="462" t="n"/>
      <c r="AI1768" s="461" t="n"/>
      <c r="AJ1768" s="461" t="n"/>
      <c r="AK1768" s="463" t="n"/>
      <c r="AL1768" s="461" t="n"/>
      <c r="AM1768" s="461" t="n"/>
      <c r="AN1768" s="461" t="n"/>
      <c r="AO1768" s="461" t="n"/>
      <c r="AP1768" s="464" t="n"/>
      <c r="AQ1768" s="464" t="n"/>
      <c r="AR1768" s="461" t="n"/>
      <c r="AS1768" s="461" t="n"/>
      <c r="AT1768" s="461" t="n"/>
      <c r="AU1768" s="461" t="n"/>
      <c r="AV1768" s="461" t="n"/>
      <c r="AW1768" s="461" t="n"/>
      <c r="AX1768" s="461" t="n"/>
    </row>
    <row r="1769">
      <c r="A1769" s="413" t="n"/>
      <c r="B1769" s="413" t="n"/>
      <c r="C1769" s="413" t="n"/>
      <c r="D1769" s="414" t="n"/>
      <c r="E1769" s="414" t="n"/>
      <c r="F1769" s="414" t="n"/>
      <c r="G1769" s="414" t="n"/>
      <c r="H1769" s="414" t="n"/>
      <c r="J1769" s="457" t="n"/>
      <c r="K1769" s="457" t="n"/>
      <c r="L1769" s="458" t="n"/>
      <c r="M1769" s="458" t="n"/>
      <c r="N1769" s="458" t="n"/>
      <c r="O1769" s="459" t="n"/>
      <c r="P1769" s="460" t="n"/>
      <c r="Q1769" s="460" t="n"/>
      <c r="R1769" s="460" t="n"/>
      <c r="S1769" s="460" t="n"/>
      <c r="T1769" s="460" t="n"/>
      <c r="U1769" s="460" t="n"/>
      <c r="V1769" s="460" t="n"/>
      <c r="W1769" s="461" t="n"/>
      <c r="X1769" s="461" t="n"/>
      <c r="Y1769" s="461" t="n"/>
      <c r="Z1769" s="461" t="n"/>
      <c r="AA1769" s="462" t="n"/>
      <c r="AB1769" s="462" t="n"/>
      <c r="AC1769" s="462" t="n"/>
      <c r="AD1769" s="462" t="n"/>
      <c r="AE1769" s="462" t="n"/>
      <c r="AF1769" s="462" t="n"/>
      <c r="AG1769" s="462" t="n"/>
      <c r="AH1769" s="462" t="n"/>
      <c r="AI1769" s="461" t="n"/>
      <c r="AJ1769" s="461" t="n"/>
      <c r="AK1769" s="463" t="n"/>
      <c r="AL1769" s="461" t="n"/>
      <c r="AM1769" s="461" t="n"/>
      <c r="AN1769" s="461" t="n"/>
      <c r="AO1769" s="461" t="n"/>
      <c r="AP1769" s="464" t="n"/>
      <c r="AQ1769" s="464" t="n"/>
      <c r="AR1769" s="461" t="n"/>
      <c r="AS1769" s="461" t="n"/>
      <c r="AT1769" s="461" t="n"/>
      <c r="AU1769" s="461" t="n"/>
      <c r="AV1769" s="461" t="n"/>
      <c r="AW1769" s="461" t="n"/>
      <c r="AX1769" s="461" t="n"/>
    </row>
    <row r="1770">
      <c r="A1770" s="413" t="n"/>
      <c r="B1770" s="413" t="n"/>
      <c r="C1770" s="413" t="n"/>
      <c r="D1770" s="414" t="n"/>
      <c r="E1770" s="414" t="n"/>
      <c r="F1770" s="414" t="n"/>
      <c r="G1770" s="414" t="n"/>
      <c r="H1770" s="414" t="n"/>
      <c r="J1770" s="457" t="n"/>
      <c r="K1770" s="457" t="n"/>
      <c r="L1770" s="458" t="n"/>
      <c r="M1770" s="458" t="n"/>
      <c r="N1770" s="458" t="n"/>
      <c r="O1770" s="459" t="n"/>
      <c r="P1770" s="460" t="n"/>
      <c r="Q1770" s="460" t="n"/>
      <c r="R1770" s="460" t="n"/>
      <c r="S1770" s="460" t="n"/>
      <c r="T1770" s="460" t="n"/>
      <c r="U1770" s="460" t="n"/>
      <c r="V1770" s="460" t="n"/>
      <c r="W1770" s="461" t="n"/>
      <c r="X1770" s="461" t="n"/>
      <c r="Y1770" s="461" t="n"/>
      <c r="Z1770" s="461" t="n"/>
      <c r="AA1770" s="462" t="n"/>
      <c r="AB1770" s="462" t="n"/>
      <c r="AC1770" s="462" t="n"/>
      <c r="AD1770" s="462" t="n"/>
      <c r="AE1770" s="462" t="n"/>
      <c r="AF1770" s="462" t="n"/>
      <c r="AG1770" s="462" t="n"/>
      <c r="AH1770" s="462" t="n"/>
      <c r="AI1770" s="461" t="n"/>
      <c r="AJ1770" s="461" t="n"/>
      <c r="AK1770" s="463" t="n"/>
      <c r="AL1770" s="461" t="n"/>
      <c r="AM1770" s="461" t="n"/>
      <c r="AN1770" s="461" t="n"/>
      <c r="AO1770" s="461" t="n"/>
      <c r="AP1770" s="464" t="n"/>
      <c r="AQ1770" s="464" t="n"/>
      <c r="AR1770" s="461" t="n"/>
      <c r="AS1770" s="461" t="n"/>
      <c r="AT1770" s="461" t="n"/>
      <c r="AU1770" s="461" t="n"/>
      <c r="AV1770" s="461" t="n"/>
      <c r="AW1770" s="461" t="n"/>
      <c r="AX1770" s="461" t="n"/>
    </row>
    <row r="1771">
      <c r="A1771" s="413" t="n"/>
      <c r="B1771" s="413" t="n"/>
      <c r="C1771" s="413" t="n"/>
      <c r="D1771" s="414" t="n"/>
      <c r="E1771" s="414" t="n"/>
      <c r="F1771" s="414" t="n"/>
      <c r="G1771" s="414" t="n"/>
      <c r="H1771" s="414" t="n"/>
      <c r="J1771" s="457" t="n"/>
      <c r="K1771" s="457" t="n"/>
      <c r="L1771" s="458" t="n"/>
      <c r="M1771" s="458" t="n"/>
      <c r="N1771" s="458" t="n"/>
      <c r="O1771" s="459" t="n"/>
      <c r="P1771" s="460" t="n"/>
      <c r="Q1771" s="460" t="n"/>
      <c r="R1771" s="460" t="n"/>
      <c r="S1771" s="460" t="n"/>
      <c r="T1771" s="460" t="n"/>
      <c r="U1771" s="460" t="n"/>
      <c r="V1771" s="460" t="n"/>
      <c r="W1771" s="461" t="n"/>
      <c r="X1771" s="461" t="n"/>
      <c r="Y1771" s="461" t="n"/>
      <c r="Z1771" s="461" t="n"/>
      <c r="AA1771" s="462" t="n"/>
      <c r="AB1771" s="462" t="n"/>
      <c r="AC1771" s="462" t="n"/>
      <c r="AD1771" s="462" t="n"/>
      <c r="AE1771" s="462" t="n"/>
      <c r="AF1771" s="462" t="n"/>
      <c r="AG1771" s="462" t="n"/>
      <c r="AH1771" s="462" t="n"/>
      <c r="AI1771" s="461" t="n"/>
      <c r="AJ1771" s="461" t="n"/>
      <c r="AK1771" s="463" t="n"/>
      <c r="AL1771" s="461" t="n"/>
      <c r="AM1771" s="461" t="n"/>
      <c r="AN1771" s="461" t="n"/>
      <c r="AO1771" s="461" t="n"/>
      <c r="AP1771" s="464" t="n"/>
      <c r="AQ1771" s="464" t="n"/>
      <c r="AR1771" s="461" t="n"/>
      <c r="AS1771" s="461" t="n"/>
      <c r="AT1771" s="461" t="n"/>
      <c r="AU1771" s="461" t="n"/>
      <c r="AV1771" s="461" t="n"/>
      <c r="AW1771" s="461" t="n"/>
      <c r="AX1771" s="461" t="n"/>
    </row>
    <row r="1772">
      <c r="A1772" s="413" t="n"/>
      <c r="B1772" s="413" t="n"/>
      <c r="C1772" s="413" t="n"/>
      <c r="D1772" s="414" t="n"/>
      <c r="E1772" s="414" t="n"/>
      <c r="F1772" s="414" t="n"/>
      <c r="G1772" s="414" t="n"/>
      <c r="H1772" s="414" t="n"/>
      <c r="J1772" s="457" t="n"/>
      <c r="K1772" s="457" t="n"/>
      <c r="L1772" s="458" t="n"/>
      <c r="M1772" s="458" t="n"/>
      <c r="N1772" s="458" t="n"/>
      <c r="O1772" s="459" t="n"/>
      <c r="P1772" s="460" t="n"/>
      <c r="Q1772" s="460" t="n"/>
      <c r="R1772" s="460" t="n"/>
      <c r="S1772" s="460" t="n"/>
      <c r="T1772" s="460" t="n"/>
      <c r="U1772" s="460" t="n"/>
      <c r="V1772" s="460" t="n"/>
      <c r="W1772" s="461" t="n"/>
      <c r="X1772" s="461" t="n"/>
      <c r="Y1772" s="461" t="n"/>
      <c r="Z1772" s="461" t="n"/>
      <c r="AA1772" s="462" t="n"/>
      <c r="AB1772" s="462" t="n"/>
      <c r="AC1772" s="462" t="n"/>
      <c r="AD1772" s="462" t="n"/>
      <c r="AE1772" s="462" t="n"/>
      <c r="AF1772" s="462" t="n"/>
      <c r="AG1772" s="462" t="n"/>
      <c r="AH1772" s="462" t="n"/>
      <c r="AI1772" s="461" t="n"/>
      <c r="AJ1772" s="461" t="n"/>
      <c r="AK1772" s="463" t="n"/>
      <c r="AL1772" s="461" t="n"/>
      <c r="AM1772" s="461" t="n"/>
      <c r="AN1772" s="461" t="n"/>
      <c r="AO1772" s="461" t="n"/>
      <c r="AP1772" s="464" t="n"/>
      <c r="AQ1772" s="464" t="n"/>
      <c r="AR1772" s="461" t="n"/>
      <c r="AS1772" s="461" t="n"/>
      <c r="AT1772" s="461" t="n"/>
      <c r="AU1772" s="461" t="n"/>
      <c r="AV1772" s="461" t="n"/>
      <c r="AW1772" s="461" t="n"/>
      <c r="AX1772" s="461" t="n"/>
    </row>
    <row r="1773">
      <c r="A1773" s="413" t="n"/>
      <c r="B1773" s="413" t="n"/>
      <c r="C1773" s="413" t="n"/>
      <c r="D1773" s="414" t="n"/>
      <c r="E1773" s="414" t="n"/>
      <c r="F1773" s="414" t="n"/>
      <c r="G1773" s="414" t="n"/>
      <c r="H1773" s="414" t="n"/>
      <c r="J1773" s="457" t="n"/>
      <c r="K1773" s="457" t="n"/>
      <c r="L1773" s="458" t="n"/>
      <c r="M1773" s="458" t="n"/>
      <c r="N1773" s="458" t="n"/>
      <c r="O1773" s="459" t="n"/>
      <c r="P1773" s="460" t="n"/>
      <c r="Q1773" s="460" t="n"/>
      <c r="R1773" s="460" t="n"/>
      <c r="S1773" s="460" t="n"/>
      <c r="T1773" s="460" t="n"/>
      <c r="U1773" s="460" t="n"/>
      <c r="V1773" s="460" t="n"/>
      <c r="W1773" s="461" t="n"/>
      <c r="X1773" s="461" t="n"/>
      <c r="Y1773" s="461" t="n"/>
      <c r="Z1773" s="461" t="n"/>
      <c r="AA1773" s="462" t="n"/>
      <c r="AB1773" s="462" t="n"/>
      <c r="AC1773" s="462" t="n"/>
      <c r="AD1773" s="462" t="n"/>
      <c r="AE1773" s="462" t="n"/>
      <c r="AF1773" s="462" t="n"/>
      <c r="AG1773" s="462" t="n"/>
      <c r="AH1773" s="462" t="n"/>
      <c r="AI1773" s="461" t="n"/>
      <c r="AJ1773" s="461" t="n"/>
      <c r="AK1773" s="463" t="n"/>
      <c r="AL1773" s="461" t="n"/>
      <c r="AM1773" s="461" t="n"/>
      <c r="AN1773" s="461" t="n"/>
      <c r="AO1773" s="461" t="n"/>
      <c r="AP1773" s="464" t="n"/>
      <c r="AQ1773" s="464" t="n"/>
      <c r="AR1773" s="461" t="n"/>
      <c r="AS1773" s="461" t="n"/>
      <c r="AT1773" s="461" t="n"/>
      <c r="AU1773" s="461" t="n"/>
      <c r="AV1773" s="461" t="n"/>
      <c r="AW1773" s="461" t="n"/>
      <c r="AX1773" s="461" t="n"/>
    </row>
    <row r="1774">
      <c r="A1774" s="413" t="n"/>
      <c r="B1774" s="413" t="n"/>
      <c r="C1774" s="413" t="n"/>
      <c r="D1774" s="414" t="n"/>
      <c r="E1774" s="414" t="n"/>
      <c r="F1774" s="414" t="n"/>
      <c r="G1774" s="414" t="n"/>
      <c r="H1774" s="414" t="n"/>
      <c r="J1774" s="457" t="n"/>
      <c r="K1774" s="457" t="n"/>
      <c r="L1774" s="458" t="n"/>
      <c r="M1774" s="458" t="n"/>
      <c r="N1774" s="458" t="n"/>
      <c r="O1774" s="459" t="n"/>
      <c r="P1774" s="460" t="n"/>
      <c r="Q1774" s="460" t="n"/>
      <c r="R1774" s="460" t="n"/>
      <c r="S1774" s="460" t="n"/>
      <c r="T1774" s="460" t="n"/>
      <c r="U1774" s="460" t="n"/>
      <c r="V1774" s="460" t="n"/>
      <c r="W1774" s="461" t="n"/>
      <c r="X1774" s="461" t="n"/>
      <c r="Y1774" s="461" t="n"/>
      <c r="Z1774" s="461" t="n"/>
      <c r="AA1774" s="462" t="n"/>
      <c r="AB1774" s="462" t="n"/>
      <c r="AC1774" s="462" t="n"/>
      <c r="AD1774" s="462" t="n"/>
      <c r="AE1774" s="462" t="n"/>
      <c r="AF1774" s="462" t="n"/>
      <c r="AG1774" s="462" t="n"/>
      <c r="AH1774" s="462" t="n"/>
      <c r="AI1774" s="461" t="n"/>
      <c r="AJ1774" s="461" t="n"/>
      <c r="AK1774" s="463" t="n"/>
      <c r="AL1774" s="461" t="n"/>
      <c r="AM1774" s="461" t="n"/>
      <c r="AN1774" s="461" t="n"/>
      <c r="AO1774" s="461" t="n"/>
      <c r="AP1774" s="464" t="n"/>
      <c r="AQ1774" s="464" t="n"/>
      <c r="AR1774" s="461" t="n"/>
      <c r="AS1774" s="461" t="n"/>
      <c r="AT1774" s="461" t="n"/>
      <c r="AU1774" s="461" t="n"/>
      <c r="AV1774" s="461" t="n"/>
      <c r="AW1774" s="461" t="n"/>
      <c r="AX1774" s="461" t="n"/>
    </row>
    <row r="1775">
      <c r="A1775" s="413" t="n"/>
      <c r="B1775" s="413" t="n"/>
      <c r="C1775" s="413" t="n"/>
      <c r="D1775" s="414" t="n"/>
      <c r="E1775" s="414" t="n"/>
      <c r="F1775" s="414" t="n"/>
      <c r="G1775" s="414" t="n"/>
      <c r="H1775" s="414" t="n"/>
      <c r="J1775" s="457" t="n"/>
      <c r="K1775" s="457" t="n"/>
      <c r="L1775" s="458" t="n"/>
      <c r="M1775" s="458" t="n"/>
      <c r="N1775" s="458" t="n"/>
      <c r="O1775" s="459" t="n"/>
      <c r="P1775" s="460" t="n"/>
      <c r="Q1775" s="460" t="n"/>
      <c r="R1775" s="460" t="n"/>
      <c r="S1775" s="460" t="n"/>
      <c r="T1775" s="460" t="n"/>
      <c r="U1775" s="460" t="n"/>
      <c r="V1775" s="460" t="n"/>
      <c r="W1775" s="461" t="n"/>
      <c r="X1775" s="461" t="n"/>
      <c r="Y1775" s="461" t="n"/>
      <c r="Z1775" s="461" t="n"/>
      <c r="AA1775" s="462" t="n"/>
      <c r="AB1775" s="462" t="n"/>
      <c r="AC1775" s="462" t="n"/>
      <c r="AD1775" s="462" t="n"/>
      <c r="AE1775" s="462" t="n"/>
      <c r="AF1775" s="462" t="n"/>
      <c r="AG1775" s="462" t="n"/>
      <c r="AH1775" s="462" t="n"/>
      <c r="AI1775" s="461" t="n"/>
      <c r="AJ1775" s="461" t="n"/>
      <c r="AK1775" s="463" t="n"/>
      <c r="AL1775" s="461" t="n"/>
      <c r="AM1775" s="461" t="n"/>
      <c r="AN1775" s="461" t="n"/>
      <c r="AO1775" s="461" t="n"/>
      <c r="AP1775" s="464" t="n"/>
      <c r="AQ1775" s="464" t="n"/>
      <c r="AR1775" s="461" t="n"/>
      <c r="AS1775" s="461" t="n"/>
      <c r="AT1775" s="461" t="n"/>
      <c r="AU1775" s="461" t="n"/>
      <c r="AV1775" s="461" t="n"/>
      <c r="AW1775" s="461" t="n"/>
      <c r="AX1775" s="461" t="n"/>
    </row>
    <row r="1776">
      <c r="A1776" s="413" t="n"/>
      <c r="B1776" s="413" t="n"/>
      <c r="C1776" s="413" t="n"/>
      <c r="D1776" s="414" t="n"/>
      <c r="E1776" s="414" t="n"/>
      <c r="F1776" s="414" t="n"/>
      <c r="G1776" s="414" t="n"/>
      <c r="H1776" s="414" t="n"/>
      <c r="J1776" s="457" t="n"/>
      <c r="K1776" s="457" t="n"/>
      <c r="L1776" s="458" t="n"/>
      <c r="M1776" s="458" t="n"/>
      <c r="N1776" s="458" t="n"/>
      <c r="O1776" s="459" t="n"/>
      <c r="P1776" s="460" t="n"/>
      <c r="Q1776" s="460" t="n"/>
      <c r="R1776" s="460" t="n"/>
      <c r="S1776" s="460" t="n"/>
      <c r="T1776" s="460" t="n"/>
      <c r="U1776" s="460" t="n"/>
      <c r="V1776" s="460" t="n"/>
      <c r="W1776" s="461" t="n"/>
      <c r="X1776" s="461" t="n"/>
      <c r="Y1776" s="461" t="n"/>
      <c r="Z1776" s="461" t="n"/>
      <c r="AA1776" s="462" t="n"/>
      <c r="AB1776" s="462" t="n"/>
      <c r="AC1776" s="462" t="n"/>
      <c r="AD1776" s="462" t="n"/>
      <c r="AE1776" s="462" t="n"/>
      <c r="AF1776" s="462" t="n"/>
      <c r="AG1776" s="462" t="n"/>
      <c r="AH1776" s="462" t="n"/>
      <c r="AI1776" s="461" t="n"/>
      <c r="AJ1776" s="461" t="n"/>
      <c r="AK1776" s="463" t="n"/>
      <c r="AL1776" s="461" t="n"/>
      <c r="AM1776" s="461" t="n"/>
      <c r="AN1776" s="461" t="n"/>
      <c r="AO1776" s="461" t="n"/>
      <c r="AP1776" s="464" t="n"/>
      <c r="AQ1776" s="464" t="n"/>
      <c r="AR1776" s="461" t="n"/>
      <c r="AS1776" s="461" t="n"/>
      <c r="AT1776" s="461" t="n"/>
      <c r="AU1776" s="461" t="n"/>
      <c r="AV1776" s="461" t="n"/>
      <c r="AW1776" s="461" t="n"/>
      <c r="AX1776" s="461" t="n"/>
    </row>
    <row r="1777">
      <c r="A1777" s="413" t="n"/>
      <c r="B1777" s="413" t="n"/>
      <c r="C1777" s="413" t="n"/>
      <c r="D1777" s="414" t="n"/>
      <c r="E1777" s="414" t="n"/>
      <c r="F1777" s="414" t="n"/>
      <c r="G1777" s="414" t="n"/>
      <c r="H1777" s="414" t="n"/>
      <c r="J1777" s="457" t="n"/>
      <c r="K1777" s="457" t="n"/>
      <c r="L1777" s="458" t="n"/>
      <c r="M1777" s="458" t="n"/>
      <c r="N1777" s="458" t="n"/>
      <c r="O1777" s="459" t="n"/>
      <c r="P1777" s="460" t="n"/>
      <c r="Q1777" s="460" t="n"/>
      <c r="R1777" s="460" t="n"/>
      <c r="S1777" s="460" t="n"/>
      <c r="T1777" s="460" t="n"/>
      <c r="U1777" s="460" t="n"/>
      <c r="V1777" s="460" t="n"/>
      <c r="W1777" s="461" t="n"/>
      <c r="X1777" s="461" t="n"/>
      <c r="Y1777" s="461" t="n"/>
      <c r="Z1777" s="461" t="n"/>
      <c r="AA1777" s="462" t="n"/>
      <c r="AB1777" s="462" t="n"/>
      <c r="AC1777" s="462" t="n"/>
      <c r="AD1777" s="462" t="n"/>
      <c r="AE1777" s="462" t="n"/>
      <c r="AF1777" s="462" t="n"/>
      <c r="AG1777" s="462" t="n"/>
      <c r="AH1777" s="462" t="n"/>
      <c r="AI1777" s="461" t="n"/>
      <c r="AJ1777" s="461" t="n"/>
      <c r="AK1777" s="463" t="n"/>
      <c r="AL1777" s="461" t="n"/>
      <c r="AM1777" s="461" t="n"/>
      <c r="AN1777" s="461" t="n"/>
      <c r="AO1777" s="461" t="n"/>
      <c r="AP1777" s="464" t="n"/>
      <c r="AQ1777" s="464" t="n"/>
      <c r="AR1777" s="461" t="n"/>
      <c r="AS1777" s="461" t="n"/>
      <c r="AT1777" s="461" t="n"/>
      <c r="AU1777" s="461" t="n"/>
      <c r="AV1777" s="461" t="n"/>
      <c r="AW1777" s="461" t="n"/>
      <c r="AX1777" s="461" t="n"/>
    </row>
    <row r="1778">
      <c r="A1778" s="413" t="n"/>
      <c r="B1778" s="413" t="n"/>
      <c r="C1778" s="413" t="n"/>
      <c r="D1778" s="414" t="n"/>
      <c r="E1778" s="414" t="n"/>
      <c r="F1778" s="414" t="n"/>
      <c r="G1778" s="414" t="n"/>
      <c r="H1778" s="414" t="n"/>
      <c r="J1778" s="457" t="n"/>
      <c r="K1778" s="457" t="n"/>
      <c r="L1778" s="458" t="n"/>
      <c r="M1778" s="458" t="n"/>
      <c r="N1778" s="458" t="n"/>
      <c r="O1778" s="459" t="n"/>
      <c r="P1778" s="460" t="n"/>
      <c r="Q1778" s="460" t="n"/>
      <c r="R1778" s="460" t="n"/>
      <c r="S1778" s="460" t="n"/>
      <c r="T1778" s="460" t="n"/>
      <c r="U1778" s="460" t="n"/>
      <c r="V1778" s="460" t="n"/>
      <c r="W1778" s="461" t="n"/>
      <c r="X1778" s="461" t="n"/>
      <c r="Y1778" s="461" t="n"/>
      <c r="Z1778" s="461" t="n"/>
      <c r="AA1778" s="462" t="n"/>
      <c r="AB1778" s="462" t="n"/>
      <c r="AC1778" s="462" t="n"/>
      <c r="AD1778" s="462" t="n"/>
      <c r="AE1778" s="462" t="n"/>
      <c r="AF1778" s="462" t="n"/>
      <c r="AG1778" s="462" t="n"/>
      <c r="AH1778" s="462" t="n"/>
      <c r="AI1778" s="461" t="n"/>
      <c r="AJ1778" s="461" t="n"/>
      <c r="AK1778" s="463" t="n"/>
      <c r="AL1778" s="461" t="n"/>
      <c r="AM1778" s="461" t="n"/>
      <c r="AN1778" s="461" t="n"/>
      <c r="AO1778" s="461" t="n"/>
      <c r="AP1778" s="464" t="n"/>
      <c r="AQ1778" s="464" t="n"/>
      <c r="AR1778" s="461" t="n"/>
      <c r="AS1778" s="461" t="n"/>
      <c r="AT1778" s="461" t="n"/>
      <c r="AU1778" s="461" t="n"/>
      <c r="AV1778" s="461" t="n"/>
      <c r="AW1778" s="461" t="n"/>
      <c r="AX1778" s="461" t="n"/>
    </row>
    <row r="1779">
      <c r="A1779" s="413" t="n"/>
      <c r="B1779" s="413" t="n"/>
      <c r="C1779" s="413" t="n"/>
      <c r="D1779" s="414" t="n"/>
      <c r="E1779" s="414" t="n"/>
      <c r="F1779" s="414" t="n"/>
      <c r="G1779" s="414" t="n"/>
      <c r="H1779" s="414" t="n"/>
      <c r="J1779" s="457" t="n"/>
      <c r="K1779" s="457" t="n"/>
      <c r="L1779" s="458" t="n"/>
      <c r="M1779" s="458" t="n"/>
      <c r="N1779" s="458" t="n"/>
      <c r="O1779" s="459" t="n"/>
      <c r="P1779" s="460" t="n"/>
      <c r="Q1779" s="460" t="n"/>
      <c r="R1779" s="460" t="n"/>
      <c r="S1779" s="460" t="n"/>
      <c r="T1779" s="460" t="n"/>
      <c r="U1779" s="460" t="n"/>
      <c r="V1779" s="460" t="n"/>
      <c r="W1779" s="461" t="n"/>
      <c r="X1779" s="461" t="n"/>
      <c r="Y1779" s="461" t="n"/>
      <c r="Z1779" s="461" t="n"/>
      <c r="AA1779" s="462" t="n"/>
      <c r="AB1779" s="462" t="n"/>
      <c r="AC1779" s="462" t="n"/>
      <c r="AD1779" s="462" t="n"/>
      <c r="AE1779" s="462" t="n"/>
      <c r="AF1779" s="462" t="n"/>
      <c r="AG1779" s="462" t="n"/>
      <c r="AH1779" s="462" t="n"/>
      <c r="AI1779" s="461" t="n"/>
      <c r="AJ1779" s="461" t="n"/>
      <c r="AK1779" s="463" t="n"/>
      <c r="AL1779" s="461" t="n"/>
      <c r="AM1779" s="461" t="n"/>
      <c r="AN1779" s="461" t="n"/>
      <c r="AO1779" s="461" t="n"/>
      <c r="AP1779" s="464" t="n"/>
      <c r="AQ1779" s="464" t="n"/>
      <c r="AR1779" s="461" t="n"/>
      <c r="AS1779" s="461" t="n"/>
      <c r="AT1779" s="461" t="n"/>
      <c r="AU1779" s="461" t="n"/>
      <c r="AV1779" s="461" t="n"/>
      <c r="AW1779" s="461" t="n"/>
      <c r="AX1779" s="461" t="n"/>
    </row>
    <row r="1780">
      <c r="A1780" s="413" t="n"/>
      <c r="B1780" s="413" t="n"/>
      <c r="C1780" s="413" t="n"/>
      <c r="D1780" s="414" t="n"/>
      <c r="E1780" s="414" t="n"/>
      <c r="F1780" s="414" t="n"/>
      <c r="G1780" s="414" t="n"/>
      <c r="H1780" s="414" t="n"/>
      <c r="J1780" s="457" t="n"/>
      <c r="K1780" s="457" t="n"/>
      <c r="L1780" s="458" t="n"/>
      <c r="M1780" s="458" t="n"/>
      <c r="N1780" s="458" t="n"/>
      <c r="O1780" s="459" t="n"/>
      <c r="P1780" s="460" t="n"/>
      <c r="Q1780" s="460" t="n"/>
      <c r="R1780" s="460" t="n"/>
      <c r="S1780" s="460" t="n"/>
      <c r="T1780" s="460" t="n"/>
      <c r="U1780" s="460" t="n"/>
      <c r="V1780" s="460" t="n"/>
      <c r="W1780" s="461" t="n"/>
      <c r="X1780" s="461" t="n"/>
      <c r="Y1780" s="461" t="n"/>
      <c r="Z1780" s="461" t="n"/>
      <c r="AA1780" s="462" t="n"/>
      <c r="AB1780" s="462" t="n"/>
      <c r="AC1780" s="462" t="n"/>
      <c r="AD1780" s="462" t="n"/>
      <c r="AE1780" s="462" t="n"/>
      <c r="AF1780" s="462" t="n"/>
      <c r="AG1780" s="462" t="n"/>
      <c r="AH1780" s="462" t="n"/>
      <c r="AI1780" s="461" t="n"/>
      <c r="AJ1780" s="461" t="n"/>
      <c r="AK1780" s="463" t="n"/>
      <c r="AL1780" s="461" t="n"/>
      <c r="AM1780" s="461" t="n"/>
      <c r="AN1780" s="461" t="n"/>
      <c r="AO1780" s="461" t="n"/>
      <c r="AP1780" s="464" t="n"/>
      <c r="AQ1780" s="464" t="n"/>
      <c r="AR1780" s="461" t="n"/>
      <c r="AS1780" s="461" t="n"/>
      <c r="AT1780" s="461" t="n"/>
      <c r="AU1780" s="461" t="n"/>
      <c r="AV1780" s="461" t="n"/>
      <c r="AW1780" s="461" t="n"/>
      <c r="AX1780" s="461" t="n"/>
    </row>
    <row r="1781">
      <c r="A1781" s="413" t="n"/>
      <c r="B1781" s="413" t="n"/>
      <c r="C1781" s="413" t="n"/>
      <c r="D1781" s="414" t="n"/>
      <c r="E1781" s="414" t="n"/>
      <c r="F1781" s="414" t="n"/>
      <c r="G1781" s="414" t="n"/>
      <c r="H1781" s="414" t="n"/>
      <c r="J1781" s="457" t="n"/>
      <c r="K1781" s="457" t="n"/>
      <c r="L1781" s="458" t="n"/>
      <c r="M1781" s="458" t="n"/>
      <c r="N1781" s="458" t="n"/>
      <c r="O1781" s="459" t="n"/>
      <c r="P1781" s="460" t="n"/>
      <c r="Q1781" s="460" t="n"/>
      <c r="R1781" s="460" t="n"/>
      <c r="S1781" s="460" t="n"/>
      <c r="T1781" s="460" t="n"/>
      <c r="U1781" s="460" t="n"/>
      <c r="V1781" s="460" t="n"/>
      <c r="W1781" s="461" t="n"/>
      <c r="X1781" s="461" t="n"/>
      <c r="Y1781" s="461" t="n"/>
      <c r="Z1781" s="461" t="n"/>
      <c r="AA1781" s="462" t="n"/>
      <c r="AB1781" s="462" t="n"/>
      <c r="AC1781" s="462" t="n"/>
      <c r="AD1781" s="462" t="n"/>
      <c r="AE1781" s="462" t="n"/>
      <c r="AF1781" s="462" t="n"/>
      <c r="AG1781" s="462" t="n"/>
      <c r="AH1781" s="462" t="n"/>
      <c r="AI1781" s="461" t="n"/>
      <c r="AJ1781" s="461" t="n"/>
      <c r="AK1781" s="463" t="n"/>
      <c r="AL1781" s="461" t="n"/>
      <c r="AM1781" s="461" t="n"/>
      <c r="AN1781" s="461" t="n"/>
      <c r="AO1781" s="461" t="n"/>
      <c r="AP1781" s="464" t="n"/>
      <c r="AQ1781" s="464" t="n"/>
      <c r="AR1781" s="461" t="n"/>
      <c r="AS1781" s="461" t="n"/>
      <c r="AT1781" s="461" t="n"/>
      <c r="AU1781" s="461" t="n"/>
      <c r="AV1781" s="461" t="n"/>
      <c r="AW1781" s="461" t="n"/>
      <c r="AX1781" s="461" t="n"/>
    </row>
    <row r="1782">
      <c r="A1782" s="413" t="n"/>
      <c r="B1782" s="413" t="n"/>
      <c r="C1782" s="413" t="n"/>
      <c r="D1782" s="414" t="n"/>
      <c r="E1782" s="414" t="n"/>
      <c r="F1782" s="414" t="n"/>
      <c r="G1782" s="414" t="n"/>
      <c r="H1782" s="414" t="n"/>
      <c r="J1782" s="457" t="n"/>
      <c r="K1782" s="457" t="n"/>
      <c r="L1782" s="458" t="n"/>
      <c r="M1782" s="458" t="n"/>
      <c r="N1782" s="458" t="n"/>
      <c r="O1782" s="459" t="n"/>
      <c r="P1782" s="460" t="n"/>
      <c r="Q1782" s="460" t="n"/>
      <c r="R1782" s="460" t="n"/>
      <c r="S1782" s="460" t="n"/>
      <c r="T1782" s="460" t="n"/>
      <c r="U1782" s="460" t="n"/>
      <c r="V1782" s="460" t="n"/>
      <c r="W1782" s="461" t="n"/>
      <c r="X1782" s="461" t="n"/>
      <c r="Y1782" s="461" t="n"/>
      <c r="Z1782" s="461" t="n"/>
      <c r="AA1782" s="462" t="n"/>
      <c r="AB1782" s="462" t="n"/>
      <c r="AC1782" s="462" t="n"/>
      <c r="AD1782" s="462" t="n"/>
      <c r="AE1782" s="462" t="n"/>
      <c r="AF1782" s="462" t="n"/>
      <c r="AG1782" s="462" t="n"/>
      <c r="AH1782" s="462" t="n"/>
      <c r="AI1782" s="461" t="n"/>
      <c r="AJ1782" s="461" t="n"/>
      <c r="AK1782" s="463" t="n"/>
      <c r="AL1782" s="461" t="n"/>
      <c r="AM1782" s="461" t="n"/>
      <c r="AN1782" s="461" t="n"/>
      <c r="AO1782" s="461" t="n"/>
      <c r="AP1782" s="464" t="n"/>
      <c r="AQ1782" s="464" t="n"/>
      <c r="AR1782" s="461" t="n"/>
      <c r="AS1782" s="461" t="n"/>
      <c r="AT1782" s="461" t="n"/>
      <c r="AU1782" s="461" t="n"/>
      <c r="AV1782" s="461" t="n"/>
      <c r="AW1782" s="461" t="n"/>
      <c r="AX1782" s="461" t="n"/>
    </row>
    <row r="1783">
      <c r="A1783" s="413" t="n"/>
      <c r="B1783" s="413" t="n"/>
      <c r="C1783" s="413" t="n"/>
      <c r="D1783" s="414" t="n"/>
      <c r="E1783" s="414" t="n"/>
      <c r="F1783" s="414" t="n"/>
      <c r="G1783" s="414" t="n"/>
      <c r="H1783" s="414" t="n"/>
      <c r="J1783" s="457" t="n"/>
      <c r="K1783" s="457" t="n"/>
      <c r="L1783" s="458" t="n"/>
      <c r="M1783" s="458" t="n"/>
      <c r="N1783" s="458" t="n"/>
      <c r="O1783" s="459" t="n"/>
      <c r="P1783" s="460" t="n"/>
      <c r="Q1783" s="460" t="n"/>
      <c r="R1783" s="460" t="n"/>
      <c r="S1783" s="460" t="n"/>
      <c r="T1783" s="460" t="n"/>
      <c r="U1783" s="460" t="n"/>
      <c r="V1783" s="460" t="n"/>
      <c r="W1783" s="461" t="n"/>
      <c r="X1783" s="461" t="n"/>
      <c r="Y1783" s="461" t="n"/>
      <c r="Z1783" s="461" t="n"/>
      <c r="AA1783" s="462" t="n"/>
      <c r="AB1783" s="462" t="n"/>
      <c r="AC1783" s="462" t="n"/>
      <c r="AD1783" s="462" t="n"/>
      <c r="AE1783" s="462" t="n"/>
      <c r="AF1783" s="462" t="n"/>
      <c r="AG1783" s="462" t="n"/>
      <c r="AH1783" s="462" t="n"/>
      <c r="AI1783" s="461" t="n"/>
      <c r="AJ1783" s="461" t="n"/>
      <c r="AK1783" s="463" t="n"/>
      <c r="AL1783" s="461" t="n"/>
      <c r="AM1783" s="461" t="n"/>
      <c r="AN1783" s="461" t="n"/>
      <c r="AO1783" s="461" t="n"/>
      <c r="AP1783" s="464" t="n"/>
      <c r="AQ1783" s="464" t="n"/>
      <c r="AR1783" s="461" t="n"/>
      <c r="AS1783" s="461" t="n"/>
      <c r="AT1783" s="461" t="n"/>
      <c r="AU1783" s="461" t="n"/>
      <c r="AV1783" s="461" t="n"/>
      <c r="AW1783" s="461" t="n"/>
      <c r="AX1783" s="461" t="n"/>
    </row>
    <row r="1784">
      <c r="A1784" s="413" t="n"/>
      <c r="B1784" s="413" t="n"/>
      <c r="C1784" s="413" t="n"/>
      <c r="D1784" s="414" t="n"/>
      <c r="E1784" s="414" t="n"/>
      <c r="F1784" s="414" t="n"/>
      <c r="G1784" s="414" t="n"/>
      <c r="H1784" s="414" t="n"/>
      <c r="J1784" s="457" t="n"/>
      <c r="K1784" s="457" t="n"/>
      <c r="L1784" s="458" t="n"/>
      <c r="M1784" s="458" t="n"/>
      <c r="N1784" s="458" t="n"/>
      <c r="O1784" s="459" t="n"/>
      <c r="P1784" s="460" t="n"/>
      <c r="Q1784" s="460" t="n"/>
      <c r="R1784" s="460" t="n"/>
      <c r="S1784" s="460" t="n"/>
      <c r="T1784" s="460" t="n"/>
      <c r="U1784" s="460" t="n"/>
      <c r="V1784" s="460" t="n"/>
      <c r="W1784" s="461" t="n"/>
      <c r="X1784" s="461" t="n"/>
      <c r="Y1784" s="461" t="n"/>
      <c r="Z1784" s="461" t="n"/>
      <c r="AA1784" s="462" t="n"/>
      <c r="AB1784" s="462" t="n"/>
      <c r="AC1784" s="462" t="n"/>
      <c r="AD1784" s="462" t="n"/>
      <c r="AE1784" s="462" t="n"/>
      <c r="AF1784" s="462" t="n"/>
      <c r="AG1784" s="462" t="n"/>
      <c r="AH1784" s="462" t="n"/>
      <c r="AI1784" s="461" t="n"/>
      <c r="AJ1784" s="461" t="n"/>
      <c r="AK1784" s="463" t="n"/>
      <c r="AL1784" s="461" t="n"/>
      <c r="AM1784" s="461" t="n"/>
      <c r="AN1784" s="461" t="n"/>
      <c r="AO1784" s="461" t="n"/>
      <c r="AP1784" s="464" t="n"/>
      <c r="AQ1784" s="464" t="n"/>
      <c r="AR1784" s="461" t="n"/>
      <c r="AS1784" s="461" t="n"/>
      <c r="AT1784" s="461" t="n"/>
      <c r="AU1784" s="461" t="n"/>
      <c r="AV1784" s="461" t="n"/>
      <c r="AW1784" s="461" t="n"/>
      <c r="AX1784" s="461" t="n"/>
    </row>
    <row r="1785">
      <c r="A1785" s="413" t="n"/>
      <c r="B1785" s="413" t="n"/>
      <c r="C1785" s="413" t="n"/>
      <c r="D1785" s="414" t="n"/>
      <c r="E1785" s="414" t="n"/>
      <c r="F1785" s="414" t="n"/>
      <c r="G1785" s="414" t="n"/>
      <c r="H1785" s="414" t="n"/>
      <c r="J1785" s="457" t="n"/>
      <c r="K1785" s="457" t="n"/>
      <c r="L1785" s="458" t="n"/>
      <c r="M1785" s="458" t="n"/>
      <c r="N1785" s="458" t="n"/>
      <c r="O1785" s="459" t="n"/>
      <c r="P1785" s="460" t="n"/>
      <c r="Q1785" s="460" t="n"/>
      <c r="R1785" s="460" t="n"/>
      <c r="S1785" s="460" t="n"/>
      <c r="T1785" s="460" t="n"/>
      <c r="U1785" s="460" t="n"/>
      <c r="V1785" s="460" t="n"/>
      <c r="W1785" s="461" t="n"/>
      <c r="X1785" s="461" t="n"/>
      <c r="Y1785" s="461" t="n"/>
      <c r="Z1785" s="461" t="n"/>
      <c r="AA1785" s="462" t="n"/>
      <c r="AB1785" s="462" t="n"/>
      <c r="AC1785" s="462" t="n"/>
      <c r="AD1785" s="462" t="n"/>
      <c r="AE1785" s="462" t="n"/>
      <c r="AF1785" s="462" t="n"/>
      <c r="AG1785" s="462" t="n"/>
      <c r="AH1785" s="462" t="n"/>
      <c r="AI1785" s="461" t="n"/>
      <c r="AJ1785" s="461" t="n"/>
      <c r="AK1785" s="463" t="n"/>
      <c r="AL1785" s="461" t="n"/>
      <c r="AM1785" s="461" t="n"/>
      <c r="AN1785" s="461" t="n"/>
      <c r="AO1785" s="461" t="n"/>
      <c r="AP1785" s="464" t="n"/>
      <c r="AQ1785" s="464" t="n"/>
      <c r="AR1785" s="461" t="n"/>
      <c r="AS1785" s="461" t="n"/>
      <c r="AT1785" s="461" t="n"/>
      <c r="AU1785" s="461" t="n"/>
      <c r="AV1785" s="461" t="n"/>
      <c r="AW1785" s="461" t="n"/>
      <c r="AX1785" s="461" t="n"/>
    </row>
    <row r="1786">
      <c r="A1786" s="413" t="n"/>
      <c r="B1786" s="413" t="n"/>
      <c r="C1786" s="413" t="n"/>
      <c r="D1786" s="414" t="n"/>
      <c r="E1786" s="414" t="n"/>
      <c r="F1786" s="414" t="n"/>
      <c r="G1786" s="414" t="n"/>
      <c r="H1786" s="414" t="n"/>
      <c r="J1786" s="457" t="n"/>
      <c r="K1786" s="457" t="n"/>
      <c r="L1786" s="458" t="n"/>
      <c r="M1786" s="458" t="n"/>
      <c r="N1786" s="458" t="n"/>
      <c r="O1786" s="459" t="n"/>
      <c r="P1786" s="460" t="n"/>
      <c r="Q1786" s="460" t="n"/>
      <c r="R1786" s="460" t="n"/>
      <c r="S1786" s="460" t="n"/>
      <c r="T1786" s="460" t="n"/>
      <c r="U1786" s="460" t="n"/>
      <c r="V1786" s="460" t="n"/>
      <c r="W1786" s="461" t="n"/>
      <c r="X1786" s="461" t="n"/>
      <c r="Y1786" s="461" t="n"/>
      <c r="Z1786" s="461" t="n"/>
      <c r="AA1786" s="462" t="n"/>
      <c r="AB1786" s="462" t="n"/>
      <c r="AC1786" s="462" t="n"/>
      <c r="AD1786" s="462" t="n"/>
      <c r="AE1786" s="462" t="n"/>
      <c r="AF1786" s="462" t="n"/>
      <c r="AG1786" s="462" t="n"/>
      <c r="AH1786" s="462" t="n"/>
      <c r="AI1786" s="461" t="n"/>
      <c r="AJ1786" s="461" t="n"/>
      <c r="AK1786" s="463" t="n"/>
      <c r="AL1786" s="461" t="n"/>
      <c r="AM1786" s="461" t="n"/>
      <c r="AN1786" s="461" t="n"/>
      <c r="AO1786" s="461" t="n"/>
      <c r="AP1786" s="464" t="n"/>
      <c r="AQ1786" s="464" t="n"/>
      <c r="AR1786" s="461" t="n"/>
      <c r="AS1786" s="461" t="n"/>
      <c r="AT1786" s="461" t="n"/>
      <c r="AU1786" s="461" t="n"/>
      <c r="AV1786" s="461" t="n"/>
      <c r="AW1786" s="461" t="n"/>
      <c r="AX1786" s="461" t="n"/>
    </row>
    <row r="1787">
      <c r="A1787" s="413" t="n"/>
      <c r="B1787" s="413" t="n"/>
      <c r="C1787" s="413" t="n"/>
      <c r="D1787" s="414" t="n"/>
      <c r="E1787" s="414" t="n"/>
      <c r="F1787" s="414" t="n"/>
      <c r="G1787" s="414" t="n"/>
      <c r="H1787" s="414" t="n"/>
      <c r="J1787" s="457" t="n"/>
      <c r="K1787" s="457" t="n"/>
      <c r="L1787" s="458" t="n"/>
      <c r="M1787" s="458" t="n"/>
      <c r="N1787" s="458" t="n"/>
      <c r="O1787" s="459" t="n"/>
      <c r="P1787" s="460" t="n"/>
      <c r="Q1787" s="460" t="n"/>
      <c r="R1787" s="460" t="n"/>
      <c r="S1787" s="460" t="n"/>
      <c r="T1787" s="460" t="n"/>
      <c r="U1787" s="460" t="n"/>
      <c r="V1787" s="460" t="n"/>
      <c r="W1787" s="461" t="n"/>
      <c r="X1787" s="461" t="n"/>
      <c r="Y1787" s="461" t="n"/>
      <c r="Z1787" s="461" t="n"/>
      <c r="AA1787" s="462" t="n"/>
      <c r="AB1787" s="462" t="n"/>
      <c r="AC1787" s="462" t="n"/>
      <c r="AD1787" s="462" t="n"/>
      <c r="AE1787" s="462" t="n"/>
      <c r="AF1787" s="462" t="n"/>
      <c r="AG1787" s="462" t="n"/>
      <c r="AH1787" s="462" t="n"/>
      <c r="AI1787" s="461" t="n"/>
      <c r="AJ1787" s="461" t="n"/>
      <c r="AK1787" s="463" t="n"/>
      <c r="AL1787" s="461" t="n"/>
      <c r="AM1787" s="461" t="n"/>
      <c r="AN1787" s="461" t="n"/>
      <c r="AO1787" s="461" t="n"/>
      <c r="AP1787" s="464" t="n"/>
      <c r="AQ1787" s="464" t="n"/>
      <c r="AR1787" s="461" t="n"/>
      <c r="AS1787" s="461" t="n"/>
      <c r="AT1787" s="461" t="n"/>
      <c r="AU1787" s="461" t="n"/>
      <c r="AV1787" s="461" t="n"/>
      <c r="AW1787" s="461" t="n"/>
      <c r="AX1787" s="461" t="n"/>
    </row>
    <row r="1788">
      <c r="A1788" s="413" t="n"/>
      <c r="B1788" s="413" t="n"/>
      <c r="C1788" s="413" t="n"/>
      <c r="D1788" s="414" t="n"/>
      <c r="E1788" s="414" t="n"/>
      <c r="F1788" s="414" t="n"/>
      <c r="G1788" s="414" t="n"/>
      <c r="H1788" s="414" t="n"/>
      <c r="J1788" s="457" t="n"/>
      <c r="K1788" s="457" t="n"/>
      <c r="L1788" s="458" t="n"/>
      <c r="M1788" s="458" t="n"/>
      <c r="N1788" s="458" t="n"/>
      <c r="O1788" s="459" t="n"/>
      <c r="P1788" s="460" t="n"/>
      <c r="Q1788" s="460" t="n"/>
      <c r="R1788" s="460" t="n"/>
      <c r="S1788" s="460" t="n"/>
      <c r="T1788" s="460" t="n"/>
      <c r="U1788" s="460" t="n"/>
      <c r="V1788" s="460" t="n"/>
      <c r="W1788" s="461" t="n"/>
      <c r="X1788" s="461" t="n"/>
      <c r="Y1788" s="461" t="n"/>
      <c r="Z1788" s="461" t="n"/>
      <c r="AA1788" s="462" t="n"/>
      <c r="AB1788" s="462" t="n"/>
      <c r="AC1788" s="462" t="n"/>
      <c r="AD1788" s="462" t="n"/>
      <c r="AE1788" s="462" t="n"/>
      <c r="AF1788" s="462" t="n"/>
      <c r="AG1788" s="462" t="n"/>
      <c r="AH1788" s="462" t="n"/>
      <c r="AI1788" s="461" t="n"/>
      <c r="AJ1788" s="461" t="n"/>
      <c r="AK1788" s="463" t="n"/>
      <c r="AL1788" s="461" t="n"/>
      <c r="AM1788" s="461" t="n"/>
      <c r="AN1788" s="461" t="n"/>
      <c r="AO1788" s="461" t="n"/>
      <c r="AP1788" s="464" t="n"/>
      <c r="AQ1788" s="464" t="n"/>
      <c r="AR1788" s="461" t="n"/>
      <c r="AS1788" s="461" t="n"/>
      <c r="AT1788" s="461" t="n"/>
      <c r="AU1788" s="461" t="n"/>
      <c r="AV1788" s="461" t="n"/>
      <c r="AW1788" s="461" t="n"/>
      <c r="AX1788" s="461" t="n"/>
    </row>
    <row r="1789">
      <c r="A1789" s="413" t="n"/>
      <c r="B1789" s="413" t="n"/>
      <c r="C1789" s="413" t="n"/>
      <c r="D1789" s="414" t="n"/>
      <c r="E1789" s="414" t="n"/>
      <c r="F1789" s="414" t="n"/>
      <c r="G1789" s="414" t="n"/>
      <c r="H1789" s="414" t="n"/>
      <c r="J1789" s="457" t="n"/>
      <c r="K1789" s="457" t="n"/>
      <c r="L1789" s="458" t="n"/>
      <c r="M1789" s="458" t="n"/>
      <c r="N1789" s="458" t="n"/>
      <c r="O1789" s="459" t="n"/>
      <c r="P1789" s="460" t="n"/>
      <c r="Q1789" s="460" t="n"/>
      <c r="R1789" s="460" t="n"/>
      <c r="S1789" s="460" t="n"/>
      <c r="T1789" s="460" t="n"/>
      <c r="U1789" s="460" t="n"/>
      <c r="V1789" s="460" t="n"/>
      <c r="W1789" s="461" t="n"/>
      <c r="X1789" s="461" t="n"/>
      <c r="Y1789" s="461" t="n"/>
      <c r="Z1789" s="461" t="n"/>
      <c r="AA1789" s="462" t="n"/>
      <c r="AB1789" s="462" t="n"/>
      <c r="AC1789" s="462" t="n"/>
      <c r="AD1789" s="462" t="n"/>
      <c r="AE1789" s="462" t="n"/>
      <c r="AF1789" s="462" t="n"/>
      <c r="AG1789" s="462" t="n"/>
      <c r="AH1789" s="462" t="n"/>
      <c r="AI1789" s="461" t="n"/>
      <c r="AJ1789" s="461" t="n"/>
      <c r="AK1789" s="463" t="n"/>
      <c r="AL1789" s="461" t="n"/>
      <c r="AM1789" s="461" t="n"/>
      <c r="AN1789" s="461" t="n"/>
      <c r="AO1789" s="461" t="n"/>
      <c r="AP1789" s="464" t="n"/>
      <c r="AQ1789" s="464" t="n"/>
      <c r="AR1789" s="461" t="n"/>
      <c r="AS1789" s="461" t="n"/>
      <c r="AT1789" s="461" t="n"/>
      <c r="AU1789" s="461" t="n"/>
      <c r="AV1789" s="461" t="n"/>
      <c r="AW1789" s="461" t="n"/>
      <c r="AX1789" s="461" t="n"/>
    </row>
    <row r="1790">
      <c r="A1790" s="413" t="n"/>
      <c r="B1790" s="413" t="n"/>
      <c r="C1790" s="413" t="n"/>
      <c r="D1790" s="414" t="n"/>
      <c r="E1790" s="414" t="n"/>
      <c r="F1790" s="414" t="n"/>
      <c r="G1790" s="414" t="n"/>
      <c r="H1790" s="414" t="n"/>
      <c r="J1790" s="457" t="n"/>
      <c r="K1790" s="457" t="n"/>
      <c r="L1790" s="458" t="n"/>
      <c r="M1790" s="458" t="n"/>
      <c r="N1790" s="458" t="n"/>
      <c r="O1790" s="459" t="n"/>
      <c r="P1790" s="460" t="n"/>
      <c r="Q1790" s="460" t="n"/>
      <c r="R1790" s="460" t="n"/>
      <c r="S1790" s="460" t="n"/>
      <c r="T1790" s="460" t="n"/>
      <c r="U1790" s="460" t="n"/>
      <c r="V1790" s="460" t="n"/>
      <c r="W1790" s="461" t="n"/>
      <c r="X1790" s="461" t="n"/>
      <c r="Y1790" s="461" t="n"/>
      <c r="Z1790" s="461" t="n"/>
      <c r="AA1790" s="462" t="n"/>
      <c r="AB1790" s="462" t="n"/>
      <c r="AC1790" s="462" t="n"/>
      <c r="AD1790" s="462" t="n"/>
      <c r="AE1790" s="462" t="n"/>
      <c r="AF1790" s="462" t="n"/>
      <c r="AG1790" s="462" t="n"/>
      <c r="AH1790" s="462" t="n"/>
      <c r="AI1790" s="461" t="n"/>
      <c r="AJ1790" s="461" t="n"/>
      <c r="AK1790" s="463" t="n"/>
      <c r="AL1790" s="461" t="n"/>
      <c r="AM1790" s="461" t="n"/>
      <c r="AN1790" s="461" t="n"/>
      <c r="AO1790" s="461" t="n"/>
      <c r="AP1790" s="464" t="n"/>
      <c r="AQ1790" s="464" t="n"/>
      <c r="AR1790" s="461" t="n"/>
      <c r="AS1790" s="461" t="n"/>
      <c r="AT1790" s="461" t="n"/>
      <c r="AU1790" s="461" t="n"/>
      <c r="AV1790" s="461" t="n"/>
      <c r="AW1790" s="461" t="n"/>
      <c r="AX1790" s="461" t="n"/>
    </row>
    <row r="1791">
      <c r="A1791" s="413" t="n"/>
      <c r="B1791" s="413" t="n"/>
      <c r="C1791" s="413" t="n"/>
      <c r="D1791" s="414" t="n"/>
      <c r="E1791" s="414" t="n"/>
      <c r="F1791" s="414" t="n"/>
      <c r="G1791" s="414" t="n"/>
      <c r="H1791" s="414" t="n"/>
      <c r="J1791" s="457" t="n"/>
      <c r="K1791" s="457" t="n"/>
      <c r="L1791" s="458" t="n"/>
      <c r="M1791" s="458" t="n"/>
      <c r="N1791" s="458" t="n"/>
      <c r="O1791" s="459" t="n"/>
      <c r="P1791" s="460" t="n"/>
      <c r="Q1791" s="460" t="n"/>
      <c r="R1791" s="460" t="n"/>
      <c r="S1791" s="460" t="n"/>
      <c r="T1791" s="460" t="n"/>
      <c r="U1791" s="460" t="n"/>
      <c r="V1791" s="460" t="n"/>
      <c r="W1791" s="461" t="n"/>
      <c r="X1791" s="461" t="n"/>
      <c r="Y1791" s="461" t="n"/>
      <c r="Z1791" s="461" t="n"/>
      <c r="AA1791" s="462" t="n"/>
      <c r="AB1791" s="462" t="n"/>
      <c r="AC1791" s="462" t="n"/>
      <c r="AD1791" s="462" t="n"/>
      <c r="AE1791" s="462" t="n"/>
      <c r="AF1791" s="462" t="n"/>
      <c r="AG1791" s="462" t="n"/>
      <c r="AH1791" s="462" t="n"/>
      <c r="AI1791" s="461" t="n"/>
      <c r="AJ1791" s="461" t="n"/>
      <c r="AK1791" s="463" t="n"/>
      <c r="AL1791" s="461" t="n"/>
      <c r="AM1791" s="461" t="n"/>
      <c r="AN1791" s="461" t="n"/>
      <c r="AO1791" s="461" t="n"/>
      <c r="AP1791" s="464" t="n"/>
      <c r="AQ1791" s="464" t="n"/>
      <c r="AR1791" s="461" t="n"/>
      <c r="AS1791" s="461" t="n"/>
      <c r="AT1791" s="461" t="n"/>
      <c r="AU1791" s="461" t="n"/>
      <c r="AV1791" s="461" t="n"/>
      <c r="AW1791" s="461" t="n"/>
      <c r="AX1791" s="461" t="n"/>
    </row>
    <row r="1792">
      <c r="A1792" s="413" t="n"/>
      <c r="B1792" s="413" t="n"/>
      <c r="C1792" s="413" t="n"/>
      <c r="D1792" s="414" t="n"/>
      <c r="E1792" s="414" t="n"/>
      <c r="F1792" s="414" t="n"/>
      <c r="G1792" s="414" t="n"/>
      <c r="H1792" s="414" t="n"/>
      <c r="J1792" s="465" t="n"/>
      <c r="K1792" s="465" t="n"/>
      <c r="L1792" s="466" t="n"/>
      <c r="M1792" s="466" t="n"/>
      <c r="N1792" s="466" t="n"/>
      <c r="O1792" s="467" t="n"/>
      <c r="P1792" s="468" t="n"/>
      <c r="Q1792" s="468" t="n"/>
      <c r="R1792" s="468" t="n"/>
      <c r="S1792" s="468" t="n"/>
      <c r="T1792" s="468" t="n"/>
      <c r="U1792" s="468" t="n"/>
      <c r="V1792" s="468" t="n"/>
      <c r="W1792" s="469" t="n"/>
      <c r="X1792" s="469" t="n"/>
      <c r="Y1792" s="469" t="n"/>
      <c r="Z1792" s="469" t="n"/>
      <c r="AA1792" s="470" t="n"/>
      <c r="AB1792" s="470" t="n"/>
      <c r="AC1792" s="470" t="n"/>
      <c r="AD1792" s="470" t="n"/>
      <c r="AE1792" s="470" t="n"/>
      <c r="AF1792" s="470" t="n"/>
      <c r="AG1792" s="470" t="n"/>
      <c r="AH1792" s="470" t="n"/>
      <c r="AI1792" s="469" t="n"/>
      <c r="AJ1792" s="469" t="n"/>
      <c r="AK1792" s="471" t="n"/>
      <c r="AL1792" s="469" t="n"/>
      <c r="AM1792" s="469" t="n"/>
      <c r="AN1792" s="469" t="n"/>
      <c r="AO1792" s="469" t="n"/>
      <c r="AP1792" s="472" t="n"/>
      <c r="AQ1792" s="472" t="n"/>
      <c r="AR1792" s="469" t="n"/>
      <c r="AS1792" s="469" t="n"/>
      <c r="AT1792" s="469" t="n"/>
      <c r="AU1792" s="469" t="n"/>
      <c r="AV1792" s="469" t="n"/>
      <c r="AW1792" s="469" t="n"/>
      <c r="AX1792" s="469" t="n"/>
    </row>
    <row r="1793">
      <c r="A1793" s="413" t="n"/>
      <c r="B1793" s="413" t="n"/>
      <c r="C1793" s="413" t="n"/>
      <c r="D1793" s="414" t="n"/>
      <c r="E1793" s="414" t="n"/>
      <c r="F1793" s="414" t="n"/>
      <c r="G1793" s="414" t="n"/>
      <c r="H1793" s="414" t="n"/>
      <c r="J1793" s="465" t="n"/>
      <c r="K1793" s="465" t="n"/>
      <c r="L1793" s="466" t="n"/>
      <c r="M1793" s="466" t="n"/>
      <c r="N1793" s="466" t="n"/>
      <c r="O1793" s="467" t="n"/>
      <c r="P1793" s="468" t="n"/>
      <c r="Q1793" s="468" t="n"/>
      <c r="R1793" s="468" t="n"/>
      <c r="S1793" s="468" t="n"/>
      <c r="T1793" s="468" t="n"/>
      <c r="U1793" s="468" t="n"/>
      <c r="V1793" s="468" t="n"/>
      <c r="W1793" s="469" t="n"/>
      <c r="X1793" s="469" t="n"/>
      <c r="Y1793" s="469" t="n"/>
      <c r="Z1793" s="469" t="n"/>
      <c r="AA1793" s="470" t="n"/>
      <c r="AB1793" s="470" t="n"/>
      <c r="AC1793" s="470" t="n"/>
      <c r="AD1793" s="470" t="n"/>
      <c r="AE1793" s="470" t="n"/>
      <c r="AF1793" s="470" t="n"/>
      <c r="AG1793" s="470" t="n"/>
      <c r="AH1793" s="470" t="n"/>
      <c r="AI1793" s="469" t="n"/>
      <c r="AJ1793" s="469" t="n"/>
      <c r="AK1793" s="471" t="n"/>
      <c r="AL1793" s="469" t="n"/>
      <c r="AM1793" s="469" t="n"/>
      <c r="AN1793" s="469" t="n"/>
      <c r="AO1793" s="469" t="n"/>
      <c r="AP1793" s="472" t="n"/>
      <c r="AQ1793" s="472" t="n"/>
      <c r="AR1793" s="469" t="n"/>
      <c r="AS1793" s="469" t="n"/>
      <c r="AT1793" s="469" t="n"/>
      <c r="AU1793" s="469" t="n"/>
      <c r="AV1793" s="469" t="n"/>
      <c r="AW1793" s="469" t="n"/>
      <c r="AX1793" s="469" t="n"/>
    </row>
    <row r="1794">
      <c r="A1794" s="413" t="n"/>
      <c r="B1794" s="413" t="n"/>
      <c r="C1794" s="413" t="n"/>
      <c r="D1794" s="414" t="n"/>
      <c r="E1794" s="414" t="n"/>
      <c r="F1794" s="414" t="n"/>
      <c r="G1794" s="414" t="n"/>
      <c r="H1794" s="414" t="n"/>
      <c r="J1794" s="465" t="n"/>
      <c r="K1794" s="465" t="n"/>
      <c r="L1794" s="466" t="n"/>
      <c r="M1794" s="466" t="n"/>
      <c r="N1794" s="466" t="n"/>
      <c r="O1794" s="467" t="n"/>
      <c r="P1794" s="468" t="n"/>
      <c r="Q1794" s="468" t="n"/>
      <c r="R1794" s="468" t="n"/>
      <c r="S1794" s="468" t="n"/>
      <c r="T1794" s="468" t="n"/>
      <c r="U1794" s="468" t="n"/>
      <c r="V1794" s="468" t="n"/>
      <c r="W1794" s="469" t="n"/>
      <c r="X1794" s="469" t="n"/>
      <c r="Y1794" s="469" t="n"/>
      <c r="Z1794" s="469" t="n"/>
      <c r="AA1794" s="470" t="n"/>
      <c r="AB1794" s="470" t="n"/>
      <c r="AC1794" s="470" t="n"/>
      <c r="AD1794" s="470" t="n"/>
      <c r="AE1794" s="470" t="n"/>
      <c r="AF1794" s="470" t="n"/>
      <c r="AG1794" s="470" t="n"/>
      <c r="AH1794" s="470" t="n"/>
      <c r="AI1794" s="469" t="n"/>
      <c r="AJ1794" s="469" t="n"/>
      <c r="AK1794" s="471" t="n"/>
      <c r="AL1794" s="469" t="n"/>
      <c r="AM1794" s="469" t="n"/>
      <c r="AN1794" s="469" t="n"/>
      <c r="AO1794" s="469" t="n"/>
      <c r="AP1794" s="472" t="n"/>
      <c r="AQ1794" s="472" t="n"/>
      <c r="AR1794" s="469" t="n"/>
      <c r="AS1794" s="469" t="n"/>
      <c r="AT1794" s="469" t="n"/>
      <c r="AU1794" s="469" t="n"/>
      <c r="AV1794" s="469" t="n"/>
      <c r="AW1794" s="469" t="n"/>
      <c r="AX1794" s="469" t="n"/>
    </row>
    <row r="1795">
      <c r="A1795" s="413" t="n"/>
      <c r="B1795" s="413" t="n"/>
      <c r="C1795" s="413" t="n"/>
      <c r="D1795" s="414" t="n"/>
      <c r="E1795" s="414" t="n"/>
      <c r="F1795" s="414" t="n"/>
      <c r="G1795" s="414" t="n"/>
      <c r="H1795" s="414" t="n"/>
      <c r="J1795" s="465" t="n"/>
      <c r="K1795" s="465" t="n"/>
      <c r="L1795" s="466" t="n"/>
      <c r="M1795" s="466" t="n"/>
      <c r="N1795" s="466" t="n"/>
      <c r="O1795" s="467" t="n"/>
      <c r="P1795" s="468" t="n"/>
      <c r="Q1795" s="468" t="n"/>
      <c r="R1795" s="468" t="n"/>
      <c r="S1795" s="468" t="n"/>
      <c r="T1795" s="468" t="n"/>
      <c r="U1795" s="468" t="n"/>
      <c r="V1795" s="468" t="n"/>
      <c r="W1795" s="469" t="n"/>
      <c r="X1795" s="469" t="n"/>
      <c r="Y1795" s="469" t="n"/>
      <c r="Z1795" s="469" t="n"/>
      <c r="AA1795" s="470" t="n"/>
      <c r="AB1795" s="470" t="n"/>
      <c r="AC1795" s="470" t="n"/>
      <c r="AD1795" s="470" t="n"/>
      <c r="AE1795" s="470" t="n"/>
      <c r="AF1795" s="470" t="n"/>
      <c r="AG1795" s="470" t="n"/>
      <c r="AH1795" s="470" t="n"/>
      <c r="AI1795" s="469" t="n"/>
      <c r="AJ1795" s="469" t="n"/>
      <c r="AK1795" s="471" t="n"/>
      <c r="AL1795" s="469" t="n"/>
      <c r="AM1795" s="469" t="n"/>
      <c r="AN1795" s="469" t="n"/>
      <c r="AO1795" s="469" t="n"/>
      <c r="AP1795" s="472" t="n"/>
      <c r="AQ1795" s="472" t="n"/>
      <c r="AR1795" s="469" t="n"/>
      <c r="AS1795" s="469" t="n"/>
      <c r="AT1795" s="469" t="n"/>
      <c r="AU1795" s="469" t="n"/>
      <c r="AV1795" s="469" t="n"/>
      <c r="AW1795" s="469" t="n"/>
      <c r="AX1795" s="469" t="n"/>
    </row>
    <row r="1796">
      <c r="A1796" s="413" t="n"/>
      <c r="B1796" s="413" t="n"/>
      <c r="C1796" s="413" t="n"/>
      <c r="D1796" s="414" t="n"/>
      <c r="E1796" s="414" t="n"/>
      <c r="F1796" s="414" t="n"/>
      <c r="G1796" s="414" t="n"/>
      <c r="H1796" s="414" t="n"/>
      <c r="J1796" s="473" t="n"/>
      <c r="K1796" s="473" t="n"/>
      <c r="L1796" s="474" t="n"/>
      <c r="M1796" s="474" t="n"/>
      <c r="N1796" s="474" t="n"/>
      <c r="O1796" s="475" t="n"/>
      <c r="P1796" s="476" t="n"/>
      <c r="Q1796" s="476" t="n"/>
      <c r="R1796" s="476" t="n"/>
      <c r="S1796" s="476" t="n"/>
      <c r="T1796" s="476" t="n"/>
      <c r="U1796" s="476" t="n"/>
      <c r="V1796" s="476" t="n"/>
      <c r="W1796" s="477" t="n"/>
      <c r="X1796" s="477" t="n"/>
      <c r="Y1796" s="477" t="n"/>
      <c r="Z1796" s="477" t="n"/>
      <c r="AA1796" s="478" t="n"/>
      <c r="AB1796" s="478" t="n"/>
      <c r="AC1796" s="478" t="n"/>
      <c r="AD1796" s="478" t="n"/>
      <c r="AE1796" s="478" t="n"/>
      <c r="AF1796" s="478" t="n"/>
      <c r="AG1796" s="478" t="n"/>
      <c r="AH1796" s="478" t="n"/>
      <c r="AI1796" s="477" t="n"/>
      <c r="AJ1796" s="477" t="n"/>
      <c r="AK1796" s="479" t="n"/>
      <c r="AL1796" s="477" t="n"/>
      <c r="AM1796" s="477" t="n"/>
      <c r="AN1796" s="477" t="n"/>
      <c r="AO1796" s="477" t="n"/>
      <c r="AP1796" s="480" t="n"/>
      <c r="AQ1796" s="480" t="n"/>
      <c r="AR1796" s="477" t="n"/>
      <c r="AS1796" s="477" t="n"/>
      <c r="AT1796" s="477" t="n"/>
      <c r="AU1796" s="477" t="n"/>
      <c r="AV1796" s="477" t="n"/>
      <c r="AW1796" s="477" t="n"/>
      <c r="AX1796" s="477" t="n"/>
    </row>
    <row r="1797">
      <c r="A1797" s="413" t="n"/>
      <c r="B1797" s="413" t="n"/>
      <c r="C1797" s="413" t="n"/>
      <c r="D1797" s="414" t="n"/>
      <c r="E1797" s="414" t="n"/>
      <c r="F1797" s="414" t="n"/>
      <c r="G1797" s="414" t="n"/>
      <c r="H1797" s="414" t="n"/>
      <c r="J1797" s="457" t="n"/>
      <c r="K1797" s="457" t="n"/>
      <c r="L1797" s="458" t="n"/>
      <c r="M1797" s="458" t="n"/>
      <c r="N1797" s="458" t="n"/>
      <c r="O1797" s="459" t="n"/>
      <c r="P1797" s="460" t="n"/>
      <c r="Q1797" s="460" t="n"/>
      <c r="R1797" s="460" t="n"/>
      <c r="S1797" s="460" t="n"/>
      <c r="T1797" s="460" t="n"/>
      <c r="U1797" s="460" t="n"/>
      <c r="V1797" s="460" t="n"/>
      <c r="W1797" s="461" t="n"/>
      <c r="X1797" s="461" t="n"/>
      <c r="Y1797" s="461" t="n"/>
      <c r="Z1797" s="461" t="n"/>
      <c r="AA1797" s="462" t="n"/>
      <c r="AB1797" s="462" t="n"/>
      <c r="AC1797" s="462" t="n"/>
      <c r="AD1797" s="462" t="n"/>
      <c r="AE1797" s="462" t="n"/>
      <c r="AF1797" s="462" t="n"/>
      <c r="AG1797" s="462" t="n"/>
      <c r="AH1797" s="462" t="n"/>
      <c r="AI1797" s="461" t="n"/>
      <c r="AJ1797" s="461" t="n"/>
      <c r="AK1797" s="463" t="n"/>
      <c r="AL1797" s="461" t="n"/>
      <c r="AM1797" s="461" t="n"/>
      <c r="AN1797" s="461" t="n"/>
      <c r="AO1797" s="461" t="n"/>
      <c r="AP1797" s="464" t="n"/>
      <c r="AQ1797" s="464" t="n"/>
      <c r="AR1797" s="461" t="n"/>
      <c r="AS1797" s="461" t="n"/>
      <c r="AT1797" s="461" t="n"/>
      <c r="AU1797" s="461" t="n"/>
      <c r="AV1797" s="461" t="n"/>
      <c r="AW1797" s="461" t="n"/>
      <c r="AX1797" s="461" t="n"/>
    </row>
    <row r="1798">
      <c r="A1798" s="413" t="n"/>
      <c r="B1798" s="413" t="n"/>
      <c r="C1798" s="413" t="n"/>
      <c r="D1798" s="414" t="n"/>
      <c r="E1798" s="414" t="n"/>
      <c r="F1798" s="414" t="n"/>
      <c r="G1798" s="414" t="n"/>
      <c r="H1798" s="414" t="n"/>
      <c r="J1798" s="457" t="n"/>
      <c r="K1798" s="457" t="n"/>
      <c r="L1798" s="458" t="n"/>
      <c r="M1798" s="458" t="n"/>
      <c r="N1798" s="458" t="n"/>
      <c r="O1798" s="459" t="n"/>
      <c r="P1798" s="460" t="n"/>
      <c r="Q1798" s="460" t="n"/>
      <c r="R1798" s="460" t="n"/>
      <c r="S1798" s="460" t="n"/>
      <c r="T1798" s="460" t="n"/>
      <c r="U1798" s="460" t="n"/>
      <c r="V1798" s="460" t="n"/>
      <c r="W1798" s="461" t="n"/>
      <c r="X1798" s="461" t="n"/>
      <c r="Y1798" s="461" t="n"/>
      <c r="Z1798" s="461" t="n"/>
      <c r="AA1798" s="462" t="n"/>
      <c r="AB1798" s="462" t="n"/>
      <c r="AC1798" s="462" t="n"/>
      <c r="AD1798" s="462" t="n"/>
      <c r="AE1798" s="462" t="n"/>
      <c r="AF1798" s="462" t="n"/>
      <c r="AG1798" s="462" t="n"/>
      <c r="AH1798" s="462" t="n"/>
      <c r="AI1798" s="461" t="n"/>
      <c r="AJ1798" s="461" t="n"/>
      <c r="AK1798" s="463" t="n"/>
      <c r="AL1798" s="461" t="n"/>
      <c r="AM1798" s="461" t="n"/>
      <c r="AN1798" s="461" t="n"/>
      <c r="AO1798" s="461" t="n"/>
      <c r="AP1798" s="464" t="n"/>
      <c r="AQ1798" s="464" t="n"/>
      <c r="AR1798" s="461" t="n"/>
      <c r="AS1798" s="461" t="n"/>
      <c r="AT1798" s="461" t="n"/>
      <c r="AU1798" s="461" t="n"/>
      <c r="AV1798" s="461" t="n"/>
      <c r="AW1798" s="461" t="n"/>
      <c r="AX1798" s="461" t="n"/>
    </row>
    <row r="1799">
      <c r="A1799" s="413" t="n"/>
      <c r="B1799" s="413" t="n"/>
      <c r="C1799" s="413" t="n"/>
      <c r="D1799" s="414" t="n"/>
      <c r="E1799" s="414" t="n"/>
      <c r="F1799" s="414" t="n"/>
      <c r="G1799" s="414" t="n"/>
      <c r="H1799" s="414" t="n"/>
      <c r="J1799" s="457" t="n"/>
      <c r="K1799" s="457" t="n"/>
      <c r="L1799" s="458" t="n"/>
      <c r="M1799" s="458" t="n"/>
      <c r="N1799" s="458" t="n"/>
      <c r="O1799" s="459" t="n"/>
      <c r="P1799" s="460" t="n"/>
      <c r="Q1799" s="460" t="n"/>
      <c r="R1799" s="460" t="n"/>
      <c r="S1799" s="460" t="n"/>
      <c r="T1799" s="460" t="n"/>
      <c r="U1799" s="460" t="n"/>
      <c r="V1799" s="460" t="n"/>
      <c r="W1799" s="461" t="n"/>
      <c r="X1799" s="461" t="n"/>
      <c r="Y1799" s="461" t="n"/>
      <c r="Z1799" s="461" t="n"/>
      <c r="AA1799" s="462" t="n"/>
      <c r="AB1799" s="462" t="n"/>
      <c r="AC1799" s="462" t="n"/>
      <c r="AD1799" s="462" t="n"/>
      <c r="AE1799" s="462" t="n"/>
      <c r="AF1799" s="462" t="n"/>
      <c r="AG1799" s="462" t="n"/>
      <c r="AH1799" s="462" t="n"/>
      <c r="AI1799" s="461" t="n"/>
      <c r="AJ1799" s="461" t="n"/>
      <c r="AK1799" s="463" t="n"/>
      <c r="AL1799" s="461" t="n"/>
      <c r="AM1799" s="461" t="n"/>
      <c r="AN1799" s="461" t="n"/>
      <c r="AO1799" s="461" t="n"/>
      <c r="AP1799" s="464" t="n"/>
      <c r="AQ1799" s="464" t="n"/>
      <c r="AR1799" s="461" t="n"/>
      <c r="AS1799" s="461" t="n"/>
      <c r="AT1799" s="461" t="n"/>
      <c r="AU1799" s="461" t="n"/>
      <c r="AV1799" s="461" t="n"/>
      <c r="AW1799" s="461" t="n"/>
      <c r="AX1799" s="461" t="n"/>
    </row>
    <row r="1800">
      <c r="A1800" s="413" t="n"/>
      <c r="B1800" s="413" t="n"/>
      <c r="C1800" s="413" t="n"/>
      <c r="D1800" s="414" t="n"/>
      <c r="E1800" s="414" t="n"/>
      <c r="F1800" s="414" t="n"/>
      <c r="G1800" s="414" t="n"/>
      <c r="H1800" s="414" t="n"/>
      <c r="J1800" s="457" t="n"/>
      <c r="K1800" s="457" t="n"/>
      <c r="L1800" s="458" t="n"/>
      <c r="M1800" s="458" t="n"/>
      <c r="N1800" s="458" t="n"/>
      <c r="O1800" s="459" t="n"/>
      <c r="P1800" s="460" t="n"/>
      <c r="Q1800" s="460" t="n"/>
      <c r="R1800" s="460" t="n"/>
      <c r="S1800" s="460" t="n"/>
      <c r="T1800" s="460" t="n"/>
      <c r="U1800" s="460" t="n"/>
      <c r="V1800" s="460" t="n"/>
      <c r="W1800" s="461" t="n"/>
      <c r="X1800" s="461" t="n"/>
      <c r="Y1800" s="461" t="n"/>
      <c r="Z1800" s="461" t="n"/>
      <c r="AA1800" s="462" t="n"/>
      <c r="AB1800" s="462" t="n"/>
      <c r="AC1800" s="462" t="n"/>
      <c r="AD1800" s="462" t="n"/>
      <c r="AE1800" s="462" t="n"/>
      <c r="AF1800" s="462" t="n"/>
      <c r="AG1800" s="462" t="n"/>
      <c r="AH1800" s="462" t="n"/>
      <c r="AI1800" s="461" t="n"/>
      <c r="AJ1800" s="461" t="n"/>
      <c r="AK1800" s="463" t="n"/>
      <c r="AL1800" s="461" t="n"/>
      <c r="AM1800" s="461" t="n"/>
      <c r="AN1800" s="461" t="n"/>
      <c r="AO1800" s="461" t="n"/>
      <c r="AP1800" s="464" t="n"/>
      <c r="AQ1800" s="464" t="n"/>
      <c r="AR1800" s="461" t="n"/>
      <c r="AS1800" s="461" t="n"/>
      <c r="AT1800" s="461" t="n"/>
      <c r="AU1800" s="461" t="n"/>
      <c r="AV1800" s="461" t="n"/>
      <c r="AW1800" s="461" t="n"/>
      <c r="AX1800" s="461" t="n"/>
    </row>
    <row r="1801">
      <c r="A1801" s="413" t="n"/>
      <c r="B1801" s="413" t="n"/>
      <c r="C1801" s="413" t="n"/>
      <c r="D1801" s="414" t="n"/>
      <c r="E1801" s="414" t="n"/>
      <c r="F1801" s="414" t="n"/>
      <c r="G1801" s="414" t="n"/>
      <c r="H1801" s="414" t="n"/>
      <c r="J1801" s="457" t="n"/>
      <c r="K1801" s="457" t="n"/>
      <c r="L1801" s="458" t="n"/>
      <c r="M1801" s="458" t="n"/>
      <c r="N1801" s="458" t="n"/>
      <c r="O1801" s="459" t="n"/>
      <c r="P1801" s="460" t="n"/>
      <c r="Q1801" s="460" t="n"/>
      <c r="R1801" s="460" t="n"/>
      <c r="S1801" s="460" t="n"/>
      <c r="T1801" s="460" t="n"/>
      <c r="U1801" s="460" t="n"/>
      <c r="V1801" s="460" t="n"/>
      <c r="W1801" s="461" t="n"/>
      <c r="X1801" s="461" t="n"/>
      <c r="Y1801" s="461" t="n"/>
      <c r="Z1801" s="461" t="n"/>
      <c r="AA1801" s="462" t="n"/>
      <c r="AB1801" s="462" t="n"/>
      <c r="AC1801" s="462" t="n"/>
      <c r="AD1801" s="462" t="n"/>
      <c r="AE1801" s="462" t="n"/>
      <c r="AF1801" s="462" t="n"/>
      <c r="AG1801" s="462" t="n"/>
      <c r="AH1801" s="462" t="n"/>
      <c r="AI1801" s="461" t="n"/>
      <c r="AJ1801" s="461" t="n"/>
      <c r="AK1801" s="463" t="n"/>
      <c r="AL1801" s="461" t="n"/>
      <c r="AM1801" s="461" t="n"/>
      <c r="AN1801" s="461" t="n"/>
      <c r="AO1801" s="461" t="n"/>
      <c r="AP1801" s="464" t="n"/>
      <c r="AQ1801" s="464" t="n"/>
      <c r="AR1801" s="461" t="n"/>
      <c r="AS1801" s="461" t="n"/>
      <c r="AT1801" s="461" t="n"/>
      <c r="AU1801" s="461" t="n"/>
      <c r="AV1801" s="461" t="n"/>
      <c r="AW1801" s="461" t="n"/>
      <c r="AX1801" s="461" t="n"/>
    </row>
    <row r="1802">
      <c r="A1802" s="413" t="n"/>
      <c r="B1802" s="413" t="n"/>
      <c r="C1802" s="413" t="n"/>
      <c r="D1802" s="414" t="n"/>
      <c r="E1802" s="414" t="n"/>
      <c r="F1802" s="414" t="n"/>
      <c r="G1802" s="414" t="n"/>
      <c r="H1802" s="414" t="n"/>
      <c r="J1802" s="457" t="n"/>
      <c r="K1802" s="457" t="n"/>
      <c r="L1802" s="458" t="n"/>
      <c r="M1802" s="458" t="n"/>
      <c r="N1802" s="458" t="n"/>
      <c r="O1802" s="459" t="n"/>
      <c r="P1802" s="460" t="n"/>
      <c r="Q1802" s="460" t="n"/>
      <c r="R1802" s="460" t="n"/>
      <c r="S1802" s="460" t="n"/>
      <c r="T1802" s="460" t="n"/>
      <c r="U1802" s="460" t="n"/>
      <c r="V1802" s="460" t="n"/>
      <c r="W1802" s="461" t="n"/>
      <c r="X1802" s="461" t="n"/>
      <c r="Y1802" s="461" t="n"/>
      <c r="Z1802" s="461" t="n"/>
      <c r="AA1802" s="462" t="n"/>
      <c r="AB1802" s="462" t="n"/>
      <c r="AC1802" s="462" t="n"/>
      <c r="AD1802" s="462" t="n"/>
      <c r="AE1802" s="462" t="n"/>
      <c r="AF1802" s="462" t="n"/>
      <c r="AG1802" s="462" t="n"/>
      <c r="AH1802" s="462" t="n"/>
      <c r="AI1802" s="461" t="n"/>
      <c r="AJ1802" s="461" t="n"/>
      <c r="AK1802" s="463" t="n"/>
      <c r="AL1802" s="461" t="n"/>
      <c r="AM1802" s="461" t="n"/>
      <c r="AN1802" s="461" t="n"/>
      <c r="AO1802" s="461" t="n"/>
      <c r="AP1802" s="464" t="n"/>
      <c r="AQ1802" s="464" t="n"/>
      <c r="AR1802" s="461" t="n"/>
      <c r="AS1802" s="461" t="n"/>
      <c r="AT1802" s="461" t="n"/>
      <c r="AU1802" s="461" t="n"/>
      <c r="AV1802" s="461" t="n"/>
      <c r="AW1802" s="461" t="n"/>
      <c r="AX1802" s="461" t="n"/>
    </row>
    <row r="1803">
      <c r="A1803" s="413" t="n"/>
      <c r="B1803" s="413" t="n"/>
      <c r="C1803" s="413" t="n"/>
      <c r="D1803" s="414" t="n"/>
      <c r="E1803" s="414" t="n"/>
      <c r="F1803" s="414" t="n"/>
      <c r="G1803" s="414" t="n"/>
      <c r="H1803" s="414" t="n"/>
      <c r="J1803" s="457" t="n"/>
      <c r="K1803" s="457" t="n"/>
      <c r="L1803" s="458" t="n"/>
      <c r="M1803" s="458" t="n"/>
      <c r="N1803" s="458" t="n"/>
      <c r="O1803" s="459" t="n"/>
      <c r="P1803" s="460" t="n"/>
      <c r="Q1803" s="460" t="n"/>
      <c r="R1803" s="460" t="n"/>
      <c r="S1803" s="460" t="n"/>
      <c r="T1803" s="460" t="n"/>
      <c r="U1803" s="460" t="n"/>
      <c r="V1803" s="460" t="n"/>
      <c r="W1803" s="461" t="n"/>
      <c r="X1803" s="461" t="n"/>
      <c r="Y1803" s="461" t="n"/>
      <c r="Z1803" s="461" t="n"/>
      <c r="AA1803" s="462" t="n"/>
      <c r="AB1803" s="462" t="n"/>
      <c r="AC1803" s="462" t="n"/>
      <c r="AD1803" s="462" t="n"/>
      <c r="AE1803" s="462" t="n"/>
      <c r="AF1803" s="462" t="n"/>
      <c r="AG1803" s="462" t="n"/>
      <c r="AH1803" s="462" t="n"/>
      <c r="AI1803" s="461" t="n"/>
      <c r="AJ1803" s="461" t="n"/>
      <c r="AK1803" s="463" t="n"/>
      <c r="AL1803" s="461" t="n"/>
      <c r="AM1803" s="461" t="n"/>
      <c r="AN1803" s="461" t="n"/>
      <c r="AO1803" s="461" t="n"/>
      <c r="AP1803" s="464" t="n"/>
      <c r="AQ1803" s="464" t="n"/>
      <c r="AR1803" s="461" t="n"/>
      <c r="AS1803" s="461" t="n"/>
      <c r="AT1803" s="461" t="n"/>
      <c r="AU1803" s="461" t="n"/>
      <c r="AV1803" s="461" t="n"/>
      <c r="AW1803" s="461" t="n"/>
      <c r="AX1803" s="461" t="n"/>
    </row>
    <row r="1804">
      <c r="A1804" s="413" t="n"/>
      <c r="B1804" s="413" t="n"/>
      <c r="C1804" s="413" t="n"/>
      <c r="D1804" s="414" t="n"/>
      <c r="E1804" s="414" t="n"/>
      <c r="F1804" s="414" t="n"/>
      <c r="G1804" s="414" t="n"/>
      <c r="H1804" s="414" t="n"/>
      <c r="J1804" s="465" t="n"/>
      <c r="K1804" s="465" t="n"/>
      <c r="L1804" s="466" t="n"/>
      <c r="M1804" s="466" t="n"/>
      <c r="N1804" s="466" t="n"/>
      <c r="O1804" s="467" t="n"/>
      <c r="P1804" s="468" t="n"/>
      <c r="Q1804" s="468" t="n"/>
      <c r="R1804" s="468" t="n"/>
      <c r="S1804" s="468" t="n"/>
      <c r="T1804" s="468" t="n"/>
      <c r="U1804" s="468" t="n"/>
      <c r="V1804" s="468" t="n"/>
      <c r="W1804" s="469" t="n"/>
      <c r="X1804" s="469" t="n"/>
      <c r="Y1804" s="469" t="n"/>
      <c r="Z1804" s="469" t="n"/>
      <c r="AA1804" s="470" t="n"/>
      <c r="AB1804" s="470" t="n"/>
      <c r="AC1804" s="470" t="n"/>
      <c r="AD1804" s="470" t="n"/>
      <c r="AE1804" s="470" t="n"/>
      <c r="AF1804" s="470" t="n"/>
      <c r="AG1804" s="470" t="n"/>
      <c r="AH1804" s="470" t="n"/>
      <c r="AI1804" s="469" t="n"/>
      <c r="AJ1804" s="469" t="n"/>
      <c r="AK1804" s="471" t="n"/>
      <c r="AL1804" s="469" t="n"/>
      <c r="AM1804" s="469" t="n"/>
      <c r="AN1804" s="469" t="n"/>
      <c r="AO1804" s="469" t="n"/>
      <c r="AP1804" s="472" t="n"/>
      <c r="AQ1804" s="472" t="n"/>
      <c r="AR1804" s="469" t="n"/>
      <c r="AS1804" s="469" t="n"/>
      <c r="AT1804" s="469" t="n"/>
      <c r="AU1804" s="469" t="n"/>
      <c r="AV1804" s="469" t="n"/>
      <c r="AW1804" s="469" t="n"/>
      <c r="AX1804" s="469" t="n"/>
    </row>
    <row r="1805">
      <c r="A1805" s="413" t="n"/>
      <c r="B1805" s="413" t="n"/>
      <c r="C1805" s="413" t="n"/>
      <c r="D1805" s="414" t="n"/>
      <c r="E1805" s="414" t="n"/>
      <c r="F1805" s="414" t="n"/>
      <c r="G1805" s="414" t="n"/>
      <c r="H1805" s="414" t="n"/>
      <c r="J1805" s="465" t="n"/>
      <c r="K1805" s="465" t="n"/>
      <c r="L1805" s="466" t="n"/>
      <c r="M1805" s="466" t="n"/>
      <c r="N1805" s="466" t="n"/>
      <c r="O1805" s="467" t="n"/>
      <c r="P1805" s="468" t="n"/>
      <c r="Q1805" s="468" t="n"/>
      <c r="R1805" s="468" t="n"/>
      <c r="S1805" s="468" t="n"/>
      <c r="T1805" s="468" t="n"/>
      <c r="U1805" s="468" t="n"/>
      <c r="V1805" s="468" t="n"/>
      <c r="W1805" s="469" t="n"/>
      <c r="X1805" s="469" t="n"/>
      <c r="Y1805" s="469" t="n"/>
      <c r="Z1805" s="469" t="n"/>
      <c r="AA1805" s="470" t="n"/>
      <c r="AB1805" s="470" t="n"/>
      <c r="AC1805" s="470" t="n"/>
      <c r="AD1805" s="470" t="n"/>
      <c r="AE1805" s="470" t="n"/>
      <c r="AF1805" s="470" t="n"/>
      <c r="AG1805" s="470" t="n"/>
      <c r="AH1805" s="470" t="n"/>
      <c r="AI1805" s="469" t="n"/>
      <c r="AJ1805" s="469" t="n"/>
      <c r="AK1805" s="471" t="n"/>
      <c r="AL1805" s="469" t="n"/>
      <c r="AM1805" s="469" t="n"/>
      <c r="AN1805" s="469" t="n"/>
      <c r="AO1805" s="469" t="n"/>
      <c r="AP1805" s="472" t="n"/>
      <c r="AQ1805" s="472" t="n"/>
      <c r="AR1805" s="469" t="n"/>
      <c r="AS1805" s="469" t="n"/>
      <c r="AT1805" s="469" t="n"/>
      <c r="AU1805" s="469" t="n"/>
      <c r="AV1805" s="469" t="n"/>
      <c r="AW1805" s="469" t="n"/>
      <c r="AX1805" s="469" t="n"/>
    </row>
    <row r="1806">
      <c r="A1806" s="413" t="n"/>
      <c r="B1806" s="413" t="n"/>
      <c r="C1806" s="413" t="n"/>
      <c r="D1806" s="414" t="n"/>
      <c r="E1806" s="414" t="n"/>
      <c r="F1806" s="414" t="n"/>
      <c r="G1806" s="414" t="n"/>
      <c r="H1806" s="414" t="n"/>
      <c r="J1806" s="465" t="n"/>
      <c r="K1806" s="465" t="n"/>
      <c r="L1806" s="466" t="n"/>
      <c r="M1806" s="466" t="n"/>
      <c r="N1806" s="466" t="n"/>
      <c r="O1806" s="467" t="n"/>
      <c r="P1806" s="468" t="n"/>
      <c r="Q1806" s="468" t="n"/>
      <c r="R1806" s="468" t="n"/>
      <c r="S1806" s="468" t="n"/>
      <c r="T1806" s="468" t="n"/>
      <c r="U1806" s="468" t="n"/>
      <c r="V1806" s="468" t="n"/>
      <c r="W1806" s="469" t="n"/>
      <c r="X1806" s="469" t="n"/>
      <c r="Y1806" s="469" t="n"/>
      <c r="Z1806" s="469" t="n"/>
      <c r="AA1806" s="470" t="n"/>
      <c r="AB1806" s="470" t="n"/>
      <c r="AC1806" s="470" t="n"/>
      <c r="AD1806" s="470" t="n"/>
      <c r="AE1806" s="470" t="n"/>
      <c r="AF1806" s="470" t="n"/>
      <c r="AG1806" s="470" t="n"/>
      <c r="AH1806" s="470" t="n"/>
      <c r="AI1806" s="469" t="n"/>
      <c r="AJ1806" s="469" t="n"/>
      <c r="AK1806" s="471" t="n"/>
      <c r="AL1806" s="469" t="n"/>
      <c r="AM1806" s="469" t="n"/>
      <c r="AN1806" s="469" t="n"/>
      <c r="AO1806" s="469" t="n"/>
      <c r="AP1806" s="472" t="n"/>
      <c r="AQ1806" s="472" t="n"/>
      <c r="AR1806" s="469" t="n"/>
      <c r="AS1806" s="469" t="n"/>
      <c r="AT1806" s="469" t="n"/>
      <c r="AU1806" s="469" t="n"/>
      <c r="AV1806" s="469" t="n"/>
      <c r="AW1806" s="469" t="n"/>
      <c r="AX1806" s="469" t="n"/>
    </row>
    <row r="1807">
      <c r="A1807" s="413" t="n"/>
      <c r="B1807" s="413" t="n"/>
      <c r="C1807" s="413" t="n"/>
      <c r="D1807" s="414" t="n"/>
      <c r="E1807" s="414" t="n"/>
      <c r="F1807" s="414" t="n"/>
      <c r="G1807" s="414" t="n"/>
      <c r="H1807" s="414" t="n"/>
      <c r="J1807" s="465" t="n"/>
      <c r="K1807" s="465" t="n"/>
      <c r="L1807" s="466" t="n"/>
      <c r="M1807" s="466" t="n"/>
      <c r="N1807" s="466" t="n"/>
      <c r="O1807" s="467" t="n"/>
      <c r="P1807" s="468" t="n"/>
      <c r="Q1807" s="468" t="n"/>
      <c r="R1807" s="468" t="n"/>
      <c r="S1807" s="468" t="n"/>
      <c r="T1807" s="468" t="n"/>
      <c r="U1807" s="468" t="n"/>
      <c r="V1807" s="468" t="n"/>
      <c r="W1807" s="469" t="n"/>
      <c r="X1807" s="469" t="n"/>
      <c r="Y1807" s="469" t="n"/>
      <c r="Z1807" s="469" t="n"/>
      <c r="AA1807" s="470" t="n"/>
      <c r="AB1807" s="470" t="n"/>
      <c r="AC1807" s="470" t="n"/>
      <c r="AD1807" s="470" t="n"/>
      <c r="AE1807" s="470" t="n"/>
      <c r="AF1807" s="470" t="n"/>
      <c r="AG1807" s="470" t="n"/>
      <c r="AH1807" s="470" t="n"/>
      <c r="AI1807" s="469" t="n"/>
      <c r="AJ1807" s="469" t="n"/>
      <c r="AK1807" s="471" t="n"/>
      <c r="AL1807" s="469" t="n"/>
      <c r="AM1807" s="469" t="n"/>
      <c r="AN1807" s="469" t="n"/>
      <c r="AO1807" s="469" t="n"/>
      <c r="AP1807" s="472" t="n"/>
      <c r="AQ1807" s="472" t="n"/>
      <c r="AR1807" s="469" t="n"/>
      <c r="AS1807" s="469" t="n"/>
      <c r="AT1807" s="469" t="n"/>
      <c r="AU1807" s="469" t="n"/>
      <c r="AV1807" s="469" t="n"/>
      <c r="AW1807" s="469" t="n"/>
      <c r="AX1807" s="469" t="n"/>
    </row>
    <row r="1808">
      <c r="A1808" s="413" t="n"/>
      <c r="B1808" s="413" t="n"/>
      <c r="C1808" s="413" t="n"/>
      <c r="D1808" s="414" t="n"/>
      <c r="E1808" s="414" t="n"/>
      <c r="F1808" s="414" t="n"/>
      <c r="G1808" s="414" t="n"/>
      <c r="H1808" s="414" t="n"/>
      <c r="J1808" s="481" t="n"/>
      <c r="K1808" s="481" t="n"/>
      <c r="L1808" s="482" t="n"/>
      <c r="M1808" s="482" t="n"/>
      <c r="N1808" s="482" t="n"/>
      <c r="O1808" s="483" t="n"/>
      <c r="P1808" s="484" t="n"/>
      <c r="Q1808" s="484" t="n"/>
      <c r="R1808" s="484" t="n"/>
      <c r="S1808" s="484" t="n"/>
      <c r="T1808" s="484" t="n"/>
      <c r="U1808" s="484" t="n"/>
      <c r="V1808" s="484" t="n"/>
      <c r="W1808" s="485" t="n"/>
      <c r="X1808" s="485" t="n"/>
      <c r="Y1808" s="485" t="n"/>
      <c r="Z1808" s="485" t="n"/>
      <c r="AA1808" s="486" t="n"/>
      <c r="AB1808" s="486" t="n"/>
      <c r="AC1808" s="486" t="n"/>
      <c r="AD1808" s="486" t="n"/>
      <c r="AE1808" s="486" t="n"/>
      <c r="AF1808" s="486" t="n"/>
      <c r="AG1808" s="486" t="n"/>
      <c r="AH1808" s="486" t="n"/>
      <c r="AI1808" s="485" t="n"/>
      <c r="AJ1808" s="485" t="n"/>
      <c r="AK1808" s="487" t="n"/>
      <c r="AL1808" s="485" t="n"/>
      <c r="AM1808" s="485" t="n"/>
      <c r="AN1808" s="485" t="n"/>
      <c r="AO1808" s="485" t="n"/>
      <c r="AP1808" s="488" t="n"/>
      <c r="AQ1808" s="488" t="n"/>
      <c r="AR1808" s="485" t="n"/>
      <c r="AS1808" s="485" t="n"/>
      <c r="AT1808" s="485" t="n"/>
      <c r="AU1808" s="485" t="n"/>
      <c r="AV1808" s="485" t="n"/>
      <c r="AW1808" s="485" t="n"/>
      <c r="AX1808" s="485" t="n"/>
    </row>
    <row r="1809" ht="13" customFormat="1" customHeight="1" s="497">
      <c r="A1809" s="489" t="n"/>
      <c r="B1809" s="489" t="n"/>
      <c r="C1809" s="489" t="inlineStr">
        <is>
          <t>END</t>
        </is>
      </c>
      <c r="D1809" s="489" t="inlineStr">
        <is>
          <t>END</t>
        </is>
      </c>
      <c r="E1809" s="489" t="inlineStr">
        <is>
          <t>END</t>
        </is>
      </c>
      <c r="F1809" s="489" t="inlineStr">
        <is>
          <t>END</t>
        </is>
      </c>
      <c r="G1809" s="489" t="inlineStr">
        <is>
          <t>END</t>
        </is>
      </c>
      <c r="H1809" s="489" t="inlineStr">
        <is>
          <t>END</t>
        </is>
      </c>
      <c r="I1809" s="490" t="n"/>
      <c r="J1809" s="491" t="n"/>
      <c r="K1809" s="491" t="n"/>
      <c r="L1809" s="492" t="inlineStr">
        <is>
          <t>◄|     KHÔNG XÓA DÒNG NÀY    |►</t>
        </is>
      </c>
      <c r="M1809" s="492" t="n"/>
      <c r="N1809" s="492" t="n"/>
      <c r="O1809" s="493" t="n"/>
      <c r="P1809" s="493" t="n"/>
      <c r="Q1809" s="493" t="n"/>
      <c r="R1809" s="493" t="n"/>
      <c r="S1809" s="491" t="n"/>
      <c r="T1809" s="491" t="n"/>
      <c r="U1809" s="491" t="n"/>
      <c r="V1809" s="491" t="n"/>
      <c r="W1809" s="491" t="n"/>
      <c r="X1809" s="491" t="n"/>
      <c r="Y1809" s="491" t="n"/>
      <c r="Z1809" s="491" t="n"/>
      <c r="AA1809" s="493" t="n"/>
      <c r="AB1809" s="493" t="n"/>
      <c r="AC1809" s="493" t="n"/>
      <c r="AD1809" s="493" t="n"/>
      <c r="AE1809" s="493" t="n"/>
      <c r="AF1809" s="493" t="n"/>
      <c r="AG1809" s="493" t="n"/>
      <c r="AH1809" s="493" t="n"/>
      <c r="AI1809" s="491" t="n"/>
      <c r="AJ1809" s="491" t="n"/>
      <c r="AK1809" s="494" t="n"/>
      <c r="AL1809" s="491" t="n"/>
      <c r="AM1809" s="491" t="n"/>
      <c r="AN1809" s="495" t="n"/>
      <c r="AO1809" s="495" t="n"/>
      <c r="AP1809" s="491" t="n"/>
      <c r="AQ1809" s="496" t="n"/>
      <c r="AR1809" s="496" t="n"/>
      <c r="AS1809" s="495" t="n"/>
      <c r="AT1809" s="495" t="n"/>
      <c r="AU1809" s="495" t="n"/>
      <c r="AV1809" s="495" t="n"/>
      <c r="AW1809" s="491" t="n"/>
      <c r="AX1809" s="495" t="n"/>
    </row>
    <row r="1810"/>
    <row r="1811"/>
    <row r="1812"/>
    <row r="1813"/>
    <row r="1814"/>
    <row r="1815"/>
    <row r="1816"/>
    <row r="1817"/>
    <row r="1818"/>
    <row r="1819"/>
    <row r="1820"/>
    <row r="1821" customFormat="1" s="503">
      <c r="A1821" s="717" t="n"/>
      <c r="B1821" s="718" t="n"/>
      <c r="C1821" s="719" t="n"/>
      <c r="D1821" s="720" t="n"/>
      <c r="E1821" s="502" t="n"/>
      <c r="J1821" s="504" t="n"/>
      <c r="K1821" s="504" t="n"/>
      <c r="P1821" s="504" t="n"/>
      <c r="Q1821" s="504" t="n"/>
      <c r="R1821" s="504" t="n"/>
      <c r="S1821" s="504" t="n"/>
      <c r="T1821" s="504" t="n"/>
      <c r="U1821" s="504" t="n"/>
      <c r="V1821" s="504" t="n"/>
      <c r="W1821" s="504" t="n"/>
      <c r="X1821" s="504" t="n"/>
      <c r="Y1821" s="504" t="n"/>
      <c r="Z1821" s="504" t="n"/>
      <c r="AA1821" s="505" t="n"/>
      <c r="AB1821" s="505" t="n"/>
      <c r="AC1821" s="505" t="n"/>
      <c r="AD1821" s="505" t="n"/>
      <c r="AE1821" s="505" t="n"/>
      <c r="AF1821" s="505" t="n"/>
      <c r="AG1821" s="505" t="n"/>
      <c r="AH1821" s="505" t="n"/>
      <c r="AJ1821" s="504" t="n"/>
      <c r="AK1821" s="506" t="n"/>
      <c r="AL1821" s="504" t="n"/>
      <c r="AM1821" s="504" t="n"/>
      <c r="AN1821" s="504" t="n"/>
      <c r="AS1821" s="504" t="n"/>
      <c r="AT1821" s="504" t="n"/>
      <c r="AU1821" s="504" t="n"/>
      <c r="AV1821" s="504" t="n"/>
      <c r="AW1821" s="504" t="n"/>
      <c r="AX1821" s="504" t="n"/>
    </row>
  </sheetData>
  <autoFilter ref="J8:AX1290"/>
  <conditionalFormatting sqref="W9:AH130 W132:AA132 W133:AH134 W136:AA136 W137:AH214 W215:AA226 W227:AB234 W235:AA264 W265:AB267 W268:AA297 W298:AB300 W301:AA330 W331:AB333 W334:AA363 W364:AB366 W367:AA396 W397:AB399 W400:AA429 W430:AB432 W433:AA463 W464:AB466 W467:AA496 W497:AB499 W500:AA529 W530:AH552 W553:AA554 W555:AH562 W563:AB565 W566:AA595 W596:AB598 W599:AA628 W629:AB631 W632:AA661 W662:AB664 W665:AA694 W695:AB697 W698:AA727 W728:AB730 W731:AA760 W761:AB763 W764:AA793 W794:AB796 W797:AA826 W827:AB829 W830:AA859 W860:AB862 W863:AA892 W893:AB895 W896:AA925 W926:AB928 W929:AA958 W959:AB961 W962:AA991 W992:AB994 W995:AA1024 W1025:AB1027 W1028:AA1058 W1059:AB1080 W1081:AH1107 W1109:AH1137 W1139:AH1142 W1144:AH1174 W1176:AH1179 W1181:AH1208 W1210:AH1213 W1215:AH1242 W1244:AH1245 W1247:AH1251 W1252:Y1253 W1255:Y1264 W1265:AH1272 W1274:AH1277 W1279:AH1293 W1295:Y1298 W1300:Y1309 W1310:AH1314 W1316:AH1319 W1321:AH1335 W1337:Y1340 W1342:Y1351 W1352:AH1356 W1358:Y1361 W1363:Y1372 W1373:AH1377 W1379:AH1382 W1384:AH1398 W1400:Y1403 W1405:Y1414 W1415:AH1419 W1421:AH1424 W1426:AH1440 W1442:AH1445 W1447:AH1461 W1463:Y1466 W1468:Y1477 W1478:AH1482 W1484:AH1487 W1489:AH1503 W1505:Y1508 W1510:Y1519 W1520:AH1524 W1526:AH1529 W1531:AH1809 X131:AA131 X135:AA135 X1108:AH1108 X1138:AH1138 X1143:AH1143 X1175:AH1175 X1180:AH1180 X1209:AH1209 X1214:AH1214 X1243:AH1243 X1246:AH1246 X1254:Y1254 X1273:AH1273 X1278:AH1278 X1294:AH1294 X1299:Y1299 X1315:AH1315 X1320:AH1320 X1336:AH1336 X1341:Y1341 X1357:AH1357 X1362:Y1362 X1378:AH1378 X1383:AH1383 X1399:AH1399 X1404:Y1404 X1420:AH1420 X1425:AH1425 X1441:AH1441 X1446:AH1446 X1462:AH1462 X1467:Y1467 X1483:AH1483 X1488:AH1488 X1504:AH1504 X1509:Y1509 X1525:AH1525 X1530:AH1530 Z1252:AH1264 Z1295:AH1309 Z1337:AH1351 Z1358:AH1372 Z1400:AH1414 Z1463:AH1477 Z1505:AH1519 AB131:AH132 AB135:AH136 AB215:AC223 AB225:AC226 AB235:AB256 AB258:AC264 AB268:AB289 AB291:AC297 AB301:AB322 AB324:AC330 AB334:AB355 AB357:AC363 AB367:AB388 AB390:AC396 AB400:AB421 AB423:AC429 AB433:AB455 AB457:AB463 AB467:AB488 AB490:AC496 AB500:AB521 AB523:AC529 AB553:AC553 AB566:AB587 AB589:AC595 AB599:AB620 AB622:AC628 AB632:AB653 AB655:AC661 AB665:AB686 AB688:AC694 AB698:AB719 AB721:AC727 AB731:AB752 AB754:AC760 AB764:AB785 AB787:AC793 AB797:AB818 AB820:AC826 AB830:AB851 AB853:AC859 AB863:AB884 AB886:AC892 AB896:AB917 AB919:AC925 AB929:AB950 AB952:AC958 AB962:AB983 AB985:AC991 AB995:AB1016 AB1018:AC1024 AB1028:AB1049 AB1051:AB1058 AC227:AH235 AC236:AC256 AC265:AH265 AC266:AC289 AC298:AH298 AC299:AC322 AC331:AH331 AC332:AC355 AC364:AH364 AC365:AC388 AC397:AH397 AC398:AC421 AC430:AH430 AC431:AC443 AC445 AC448 AC450 AC452 AC454 AC457 AC459 AC464:AH464 AC465:AC488 AC497:AH497 AC498:AC521 AC563:AH563 AC564:AC587 AC596:AH596 AC597:AC620 AC629:AH629 AC630:AC654 AC662:AH662 AC663:AC686 AC695:AH695 AC696:AC719 AC728:AH728 AC729:AC752 AC761:AH761 AC762:AC785 AC794:AH794 AC795:AC818 AC827:AH827 AC828:AC851 AC860:AH860 AC861:AC884 AC893:AH893 AC894:AC917 AC926:AH926 AC927:AC950 AC959:AH959 AC960:AC983 AC992:AH992 AC993:AC1016 AC1025:AH1025 AC1026:AC1049 AC1051:AC1057 AC1058:AH1080 AD215:AH226 AD236:AH264 AD266:AH297 AD299:AH330 AD332:AH363 AD365:AH396 AD398:AH429 AD431:AH463 AD465:AH496 AD498:AH529 AD553:AH554 AD564:AH595 AD597:AH628 AD630:AH661 AD663:AH694 AD696:AH727 AD729:AH760 AD762:AH793 AD795:AH826 AD828:AH859 AD861:AH892 AD894:AH925 AD927:AH958 AD960:AH991 AD993:AH1024 AD1026:AH1057">
    <cfRule type="expression" priority="1" dxfId="0">
      <formula>COUNTIFS($S$199:$S$1809,$S9,$W$199:$W$1809,$W9,$AR$199:$AR$1809,$AR9)&gt;1</formula>
    </cfRule>
  </conditionalFormatting>
  <conditionalFormatting sqref="AC444 AC446:AC447 AC449 AC451 AC453 AC455 AC458 AC460:AC463">
    <cfRule type="expression" priority="2" dxfId="0">
      <formula>COUNTIFS($S$199:$S$1809,$S443,$W$199:$W$1809,$W443,$AR$199:$AR$1809,$AR443)&gt;1</formula>
    </cfRule>
  </conditionalFormatting>
  <printOptions horizontalCentered="1"/>
  <pageMargins left="0.196850393700787" right="0.078740157480315" top="0.47244094488189" bottom="0.47244094488189" header="0.3" footer="0.3"/>
  <pageSetup orientation="portrait" paperSize="9" useFirstPageNumber="1"/>
  <headerFooter>
    <oddHeader/>
    <oddFooter>&amp;C &amp;P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K87"/>
  <sheetViews>
    <sheetView workbookViewId="0">
      <pane xSplit="2" ySplit="2" topLeftCell="O3" activePane="bottomRight" state="frozen"/>
      <selection activeCell="AE105" sqref="AE105"/>
      <selection pane="topRight" activeCell="AE105" sqref="AE105"/>
      <selection pane="bottomLeft" activeCell="AE105" sqref="AE105"/>
      <selection pane="bottomRight" activeCell="W7" sqref="W7"/>
    </sheetView>
  </sheetViews>
  <sheetFormatPr baseColWidth="8" defaultRowHeight="14"/>
  <cols>
    <col width="6" customWidth="1" style="672" min="1" max="1"/>
    <col width="46" customWidth="1" style="672" min="2" max="2"/>
    <col width="13" customWidth="1" style="672" min="3" max="4"/>
    <col width="12" customWidth="1" style="672" min="5" max="5"/>
    <col width="13" customWidth="1" style="672" min="6" max="7"/>
    <col width="10" customWidth="1" style="672" min="8" max="13"/>
    <col width="13" customWidth="1" style="672" min="14" max="16"/>
    <col width="12" customWidth="1" style="672" min="17" max="19"/>
    <col width="18" customWidth="1" style="672" min="20" max="20"/>
    <col width="10" customWidth="1" style="672" min="21" max="21"/>
    <col width="19.6640625" bestFit="1" customWidth="1" style="672" min="32" max="32"/>
    <col width="10" customWidth="1" style="672" min="33" max="35"/>
    <col width="20.6640625" customWidth="1" style="672" min="36" max="36"/>
    <col width="70" customWidth="1" style="672" min="37" max="37"/>
  </cols>
  <sheetData>
    <row r="1" ht="24" customHeight="1" s="672">
      <c r="A1" s="663" t="inlineStr">
        <is>
          <t>STT</t>
        </is>
      </c>
      <c r="B1" s="663" t="inlineStr">
        <is>
          <t>HẠNG MỤC CÔNG VIỆC</t>
        </is>
      </c>
      <c r="C1" s="663" t="inlineStr">
        <is>
          <t>N/T/N</t>
        </is>
      </c>
      <c r="D1" s="663" t="n"/>
      <c r="E1" s="663" t="inlineStr">
        <is>
          <t>KL/T.tế
(m3)</t>
        </is>
      </c>
      <c r="F1" s="663" t="inlineStr">
        <is>
          <t>Tuổi Bt</t>
        </is>
      </c>
      <c r="G1" s="721" t="n"/>
      <c r="H1" s="663" t="inlineStr">
        <is>
          <t>30Mpa-18±2 (Cọc nhồi)</t>
        </is>
      </c>
      <c r="I1" s="722" t="n"/>
      <c r="J1" s="721" t="n"/>
      <c r="K1" s="663" t="inlineStr">
        <is>
          <t>30Mpa-14±2 (Bệ, thân, mố, trụ, dầm)</t>
        </is>
      </c>
      <c r="L1" s="722" t="n"/>
      <c r="M1" s="721" t="n"/>
      <c r="N1" s="663" t="inlineStr">
        <is>
          <t>Khối lượng vật tư lũy kế</t>
        </is>
      </c>
      <c r="O1" s="722" t="n"/>
      <c r="P1" s="721" t="n"/>
      <c r="Q1" s="666" t="inlineStr">
        <is>
          <t>Tần suất lấy mẫu thí nghiệm</t>
        </is>
      </c>
      <c r="R1" s="722" t="n"/>
      <c r="S1" s="721" t="n"/>
      <c r="T1" s="663" t="inlineStr">
        <is>
          <t>Số lô</t>
        </is>
      </c>
      <c r="U1" s="663" t="inlineStr">
        <is>
          <t>KL
(Tấn)</t>
        </is>
      </c>
      <c r="AK1" s="723" t="inlineStr">
        <is>
          <t>NGUỒN BẢN VẼ / NGHI VẤN (soát &amp; ghim)</t>
        </is>
      </c>
    </row>
    <row r="2" ht="28" customHeight="1" s="672">
      <c r="A2" s="724" t="n"/>
      <c r="B2" s="724" t="n"/>
      <c r="C2" s="724" t="n"/>
      <c r="D2" s="663" t="n"/>
      <c r="E2" s="724" t="n"/>
      <c r="F2" s="663" t="inlineStr">
        <is>
          <t>R7</t>
        </is>
      </c>
      <c r="G2" s="663" t="inlineStr">
        <is>
          <t>R28</t>
        </is>
      </c>
      <c r="H2" s="663" t="inlineStr">
        <is>
          <t>Xi măng
0,445</t>
        </is>
      </c>
      <c r="I2" s="663" t="inlineStr">
        <is>
          <t>Cát
0,525</t>
        </is>
      </c>
      <c r="J2" s="663" t="inlineStr">
        <is>
          <t>Đá
0,696</t>
        </is>
      </c>
      <c r="K2" s="663" t="inlineStr">
        <is>
          <t>Xi măng
0,425</t>
        </is>
      </c>
      <c r="L2" s="663" t="inlineStr">
        <is>
          <t>Cát
0,555</t>
        </is>
      </c>
      <c r="M2" s="663" t="inlineStr">
        <is>
          <t>Đá
0,700</t>
        </is>
      </c>
      <c r="N2" s="663" t="inlineStr">
        <is>
          <t>Xi măng
(Tấn)</t>
        </is>
      </c>
      <c r="O2" s="663" t="inlineStr">
        <is>
          <t>Cát
(m3)</t>
        </is>
      </c>
      <c r="P2" s="663" t="inlineStr">
        <is>
          <t>Đá
(m3)</t>
        </is>
      </c>
      <c r="Q2" s="666" t="inlineStr">
        <is>
          <t>Xi măng
50 tấn
Lần</t>
        </is>
      </c>
      <c r="R2" s="667" t="inlineStr">
        <is>
          <t>Cát
200m3
Lần</t>
        </is>
      </c>
      <c r="S2" s="666" t="inlineStr">
        <is>
          <t>Đá
350m3
Lần</t>
        </is>
      </c>
      <c r="T2" s="724" t="n"/>
      <c r="U2" s="724" t="n"/>
    </row>
    <row r="3" ht="22" customHeight="1" s="672">
      <c r="A3" s="664" t="inlineStr">
        <is>
          <t>I. HẠNG MỤC CỌC KHOAN NHỒI D1.2M (C30 ĐỘ SỤT 18±2CM) - 26 CỌC (L=872M)</t>
        </is>
      </c>
      <c r="B3" s="722" t="n"/>
      <c r="C3" s="722" t="n"/>
      <c r="D3" s="722" t="n"/>
      <c r="E3" s="722" t="n"/>
      <c r="F3" s="722" t="n"/>
      <c r="G3" s="722" t="n"/>
      <c r="H3" s="722" t="n"/>
      <c r="I3" s="722" t="n"/>
      <c r="J3" s="722" t="n"/>
      <c r="K3" s="722" t="n"/>
      <c r="L3" s="722" t="n"/>
      <c r="M3" s="722" t="n"/>
      <c r="N3" s="722" t="n"/>
      <c r="O3" s="722" t="n"/>
      <c r="P3" s="722" t="n"/>
      <c r="Q3" s="722" t="n"/>
      <c r="R3" s="722" t="n"/>
      <c r="S3" s="722" t="n"/>
      <c r="T3" s="722" t="n"/>
      <c r="U3" s="721" t="n"/>
      <c r="AF3" s="599" t="inlineStr">
        <is>
          <t>Mã hiệu</t>
        </is>
      </c>
      <c r="AG3" t="inlineStr">
        <is>
          <t>Xi măng</t>
        </is>
      </c>
      <c r="AH3" t="inlineStr">
        <is>
          <t>Đơn vị Xm</t>
        </is>
      </c>
      <c r="AI3" t="inlineStr">
        <is>
          <t>KL riêng XM</t>
        </is>
      </c>
      <c r="AJ3" t="inlineStr">
        <is>
          <t>Nguồn gốc</t>
        </is>
      </c>
    </row>
    <row r="4" ht="20" customHeight="1" s="672">
      <c r="A4" s="4" t="n">
        <v>1</v>
      </c>
      <c r="B4" s="5" t="inlineStr">
        <is>
          <t>Bê tông cọc khoan nhồi - C5 trụ T1 (L=40m)</t>
        </is>
      </c>
      <c r="C4" s="6" t="n">
        <v>46180</v>
      </c>
      <c r="D4" s="6">
        <f>MIN(C4:C29)</f>
        <v/>
      </c>
      <c r="E4" s="725" t="n">
        <v>45.88</v>
      </c>
      <c r="F4" s="6">
        <f>IF(C4="","",C4+7)</f>
        <v/>
      </c>
      <c r="G4" s="6">
        <f>IF(C4="","",C4+28)</f>
        <v/>
      </c>
      <c r="H4" s="8" t="n">
        <v>0.445</v>
      </c>
      <c r="I4" s="8" t="n">
        <v>0.525</v>
      </c>
      <c r="J4" s="8" t="n">
        <v>0.696</v>
      </c>
      <c r="K4" s="4" t="n"/>
      <c r="L4" s="4" t="n"/>
      <c r="M4" s="4" t="n"/>
      <c r="N4" s="7">
        <f>IF(E4="","",ROUND(IF(H4&gt;0,E4*H4,E4*K4),2))</f>
        <v/>
      </c>
      <c r="O4" s="7">
        <f>IF(E4="","",ROUND(IF(I4&gt;0,E4*I4,E4*L4),2))</f>
        <v/>
      </c>
      <c r="P4" s="7">
        <f>IF(E4="","",ROUND(IF(J4&gt;0,E4*J4,E4*M4),2))</f>
        <v/>
      </c>
      <c r="Q4" s="9">
        <f>IF(N4="","",IF(ROUNDUP(N4/50,0)&gt;0,"Lần " &amp; ROUNDUP(N4/50,0),""))</f>
        <v/>
      </c>
      <c r="R4" s="10">
        <f>IF(O4="","",IF(ROUNDUP(O4/200,0)&gt;0,"Lần " &amp; ROUNDUP(O4/200,0),""))</f>
        <v/>
      </c>
      <c r="S4" s="9">
        <f>IF(P4="","",IF(ROUNDUP(P4/350,0)&gt;0,"Lần " &amp; ROUNDUP(P4/350,0),""))</f>
        <v/>
      </c>
      <c r="T4" s="4" t="n"/>
      <c r="U4" s="7" t="n"/>
      <c r="AF4" t="inlineStr">
        <is>
          <t>BTXMC10R28</t>
        </is>
      </c>
      <c r="AG4" t="n">
        <v>235</v>
      </c>
      <c r="AH4" t="inlineStr">
        <is>
          <t>Tân</t>
        </is>
      </c>
      <c r="AI4" t="n">
        <v>3.150000095367432</v>
      </c>
      <c r="AJ4" t="inlineStr">
        <is>
          <t>Hà Tiên PCB40</t>
        </is>
      </c>
      <c r="AK4" s="726" t="inlineStr">
        <is>
          <t>Bản vẽ: 47,01 → 45,88 m³ (tr.68 thể tích 1 cọc (đã gồm bê tông đầu cọc)). File cũ cộng thêm 1,13 m³ đập đầu cọc vào thể tích đã gồm đầu cọc. Cột 'KL thực tế': thay bằng phiếu đổ (có nở thành) khi có.</t>
        </is>
      </c>
    </row>
    <row r="5" ht="20" customHeight="1" s="672">
      <c r="A5" s="4" t="n">
        <v>2</v>
      </c>
      <c r="B5" s="5" t="inlineStr">
        <is>
          <t>Bê tông cọc khoan nhồi - C8 trụ T2 (L=30m)</t>
        </is>
      </c>
      <c r="C5" s="6" t="n">
        <v>46208</v>
      </c>
      <c r="D5" s="6">
        <f>MAX(C4:C29)</f>
        <v/>
      </c>
      <c r="E5" s="725" t="n">
        <v>34.73</v>
      </c>
      <c r="F5" s="6">
        <f>IF(C5="","",C5+7)</f>
        <v/>
      </c>
      <c r="G5" s="6">
        <f>IF(C5="","",C5+28)</f>
        <v/>
      </c>
      <c r="H5" s="8" t="n">
        <v>0.445</v>
      </c>
      <c r="I5" s="8" t="n">
        <v>0.525</v>
      </c>
      <c r="J5" s="8" t="n">
        <v>0.696</v>
      </c>
      <c r="K5" s="4" t="n"/>
      <c r="L5" s="4" t="n"/>
      <c r="M5" s="4" t="n"/>
      <c r="N5" s="7">
        <f>IF(E5="","",ROUND(N4+IF(H5&gt;0,E5*H5,E5*K5),2))</f>
        <v/>
      </c>
      <c r="O5" s="7">
        <f>IF(E5="","",ROUND(O4+IF(I5&gt;0,E5*I5,E5*L5),2))</f>
        <v/>
      </c>
      <c r="P5" s="7">
        <f>IF(E5="","",ROUND(P4+IF(J5&gt;0,E5*J5,E5*M5),2))</f>
        <v/>
      </c>
      <c r="Q5" s="9">
        <f>IF(N5="","",IF(ROUNDUP(N5/50,0)&gt;ROUNDUP(N4/50,0),"Lần " &amp; ROUNDUP(N5/50,0),""))</f>
        <v/>
      </c>
      <c r="R5" s="10">
        <f>IF(O5="","",IF(ROUNDUP(O5/200,0)&gt;ROUNDUP(O4/200,0),"Lần " &amp; ROUNDUP(O5/200,0),""))</f>
        <v/>
      </c>
      <c r="S5" s="9">
        <f>IF(P5="","",IF(ROUNDUP(P5/350,0)&gt;ROUNDUP(P4/350,0),"Lần " &amp; ROUNDUP(P5/350,0),""))</f>
        <v/>
      </c>
      <c r="T5" s="4" t="n"/>
      <c r="U5" s="7" t="n"/>
      <c r="AF5" t="inlineStr">
        <is>
          <t>BTXMC20R28</t>
        </is>
      </c>
      <c r="AG5" t="n">
        <v>310</v>
      </c>
      <c r="AH5" t="inlineStr">
        <is>
          <t>Tân</t>
        </is>
      </c>
      <c r="AI5" t="n">
        <v>3.150000095367432</v>
      </c>
      <c r="AJ5" t="inlineStr">
        <is>
          <t>Hà Tiên PCB40</t>
        </is>
      </c>
      <c r="AK5" s="726" t="inlineStr">
        <is>
          <t>Bản vẽ: 35,86 → 34,73 m³ (tr.70 thể tích 1 cọc (đã gồm bê tông đầu cọc)). File cũ cộng thêm 1,13 m³ đập đầu cọc. Thay bằng phiếu đổ thực tế khi có.</t>
        </is>
      </c>
    </row>
    <row r="6" ht="20" customHeight="1" s="672">
      <c r="A6" s="4" t="n">
        <v>3</v>
      </c>
      <c r="B6" s="5" t="inlineStr">
        <is>
          <t>Bê tông cọc khoan nhồi - C1 trụ T1 (L=40m)</t>
        </is>
      </c>
      <c r="C6" s="6" t="n">
        <v>46209</v>
      </c>
      <c r="D6" s="6" t="n"/>
      <c r="E6" s="725" t="n">
        <v>45.88</v>
      </c>
      <c r="F6" s="6">
        <f>IF(C6="","",C6+7)</f>
        <v/>
      </c>
      <c r="G6" s="6">
        <f>IF(C6="","",C6+28)</f>
        <v/>
      </c>
      <c r="H6" s="8" t="n">
        <v>0.445</v>
      </c>
      <c r="I6" s="8" t="n">
        <v>0.525</v>
      </c>
      <c r="J6" s="8" t="n">
        <v>0.696</v>
      </c>
      <c r="K6" s="4" t="n"/>
      <c r="L6" s="4" t="n"/>
      <c r="M6" s="4" t="n"/>
      <c r="N6" s="7">
        <f>IF(E6="","",ROUND(N5+IF(H6&gt;0,E6*H6,E6*K6),2))</f>
        <v/>
      </c>
      <c r="O6" s="7">
        <f>IF(E6="","",ROUND(O5+IF(I6&gt;0,E6*I6,E6*L6),2))</f>
        <v/>
      </c>
      <c r="P6" s="7">
        <f>IF(E6="","",ROUND(P5+IF(J6&gt;0,E6*J6,E6*M6),2))</f>
        <v/>
      </c>
      <c r="Q6" s="9">
        <f>IF(N6="","",IF(ROUNDUP(N6/50,0)&gt;ROUNDUP(N5/50,0),"Lần " &amp; ROUNDUP(N6/50,0),""))</f>
        <v/>
      </c>
      <c r="R6" s="10">
        <f>IF(O6="","",IF(ROUNDUP(O6/200,0)&gt;ROUNDUP(O5/200,0),"Lần " &amp; ROUNDUP(O6/200,0),""))</f>
        <v/>
      </c>
      <c r="S6" s="9">
        <f>IF(P6="","",IF(ROUNDUP(P6/350,0)&gt;ROUNDUP(P5/350,0),"Lần " &amp; ROUNDUP(P6/350,0),""))</f>
        <v/>
      </c>
      <c r="T6" s="4" t="n"/>
      <c r="U6" s="7" t="n"/>
      <c r="AF6" t="inlineStr">
        <is>
          <t>BTXMC40BSF</t>
        </is>
      </c>
      <c r="AG6" t="n">
        <v>449</v>
      </c>
      <c r="AH6" t="inlineStr">
        <is>
          <t>Tấn</t>
        </is>
      </c>
      <c r="AI6" t="n">
        <v>3.099999904632568</v>
      </c>
      <c r="AJ6" t="inlineStr">
        <is>
          <t>Hà Tiên PCMSR40</t>
        </is>
      </c>
      <c r="AK6" s="726" t="inlineStr">
        <is>
          <t>Bản vẽ: 47,01 → 45,88 m³ (tr.68 thể tích 1 cọc (đã gồm bê tông đầu cọc)). File cũ cộng thêm 1,13 m³ đập đầu cọc vào thể tích đã gồm đầu cọc. Cột 'KL thực tế': thay bằng phiếu đổ (có nở thành) khi có.</t>
        </is>
      </c>
    </row>
    <row r="7" ht="20" customHeight="1" s="672">
      <c r="A7" s="4" t="n">
        <v>4</v>
      </c>
      <c r="B7" s="5" t="inlineStr">
        <is>
          <t>Bê tông cọc khoan nhồi - C7 trụ T2 (L=30m)</t>
        </is>
      </c>
      <c r="C7" s="6" t="n">
        <v>46210</v>
      </c>
      <c r="D7" s="6" t="n"/>
      <c r="E7" s="725" t="n">
        <v>34.73</v>
      </c>
      <c r="F7" s="6">
        <f>IF(C7="","",C7+7)</f>
        <v/>
      </c>
      <c r="G7" s="6">
        <f>IF(C7="","",C7+28)</f>
        <v/>
      </c>
      <c r="H7" s="8" t="n">
        <v>0.445</v>
      </c>
      <c r="I7" s="8" t="n">
        <v>0.525</v>
      </c>
      <c r="J7" s="8" t="n">
        <v>0.696</v>
      </c>
      <c r="K7" s="4" t="n"/>
      <c r="L7" s="4" t="n"/>
      <c r="M7" s="4" t="n"/>
      <c r="N7" s="7">
        <f>IF(E7="","",ROUND(N6+IF(H7&gt;0,E7*H7,E7*K7),2))</f>
        <v/>
      </c>
      <c r="O7" s="7">
        <f>IF(E7="","",ROUND(O6+IF(I7&gt;0,E7*I7,E7*L7),2))</f>
        <v/>
      </c>
      <c r="P7" s="7">
        <f>IF(E7="","",ROUND(P6+IF(J7&gt;0,E7*J7,E7*M7),2))</f>
        <v/>
      </c>
      <c r="Q7" s="9">
        <f>IF(N7="","",IF(ROUNDUP(N7/50,0)&gt;ROUNDUP(N6/50,0),"Lần " &amp; ROUNDUP(N7/50,0),""))</f>
        <v/>
      </c>
      <c r="R7" s="10">
        <f>IF(O7="","",IF(ROUNDUP(O7/200,0)&gt;ROUNDUP(O6/200,0),"Lần " &amp; ROUNDUP(O7/200,0),""))</f>
        <v/>
      </c>
      <c r="S7" s="9">
        <f>IF(P7="","",IF(ROUNDUP(P7/350,0)&gt;ROUNDUP(P6/350,0),"Lần " &amp; ROUNDUP(P7/350,0),""))</f>
        <v/>
      </c>
      <c r="T7" s="4" t="n"/>
      <c r="U7" s="7" t="n"/>
      <c r="AF7" t="inlineStr">
        <is>
          <t>BTXMC30R28W10</t>
        </is>
      </c>
      <c r="AG7" t="n">
        <v>409</v>
      </c>
      <c r="AH7" t="inlineStr">
        <is>
          <t>Tân</t>
        </is>
      </c>
      <c r="AI7" t="n">
        <v>3.150000095367432</v>
      </c>
      <c r="AJ7" t="inlineStr">
        <is>
          <t>Hà Tiên PCB40</t>
        </is>
      </c>
      <c r="AK7" s="726" t="inlineStr">
        <is>
          <t>Bản vẽ: 35,86 → 34,73 m³ (tr.70 thể tích 1 cọc (đã gồm bê tông đầu cọc)). File cũ cộng thêm 1,13 m³ đập đầu cọc. Thay bằng phiếu đổ thực tế khi có.</t>
        </is>
      </c>
    </row>
    <row r="8" ht="20" customHeight="1" s="672">
      <c r="A8" s="4" t="n">
        <v>5</v>
      </c>
      <c r="B8" s="5" t="inlineStr">
        <is>
          <t>Bê tông cọc khoan nhồi - C2 trụ T1 (L=40m)</t>
        </is>
      </c>
      <c r="C8" s="6" t="n">
        <v>46211</v>
      </c>
      <c r="D8" s="6" t="n"/>
      <c r="E8" s="725" t="n">
        <v>45.88</v>
      </c>
      <c r="F8" s="6">
        <f>IF(C8="","",C8+7)</f>
        <v/>
      </c>
      <c r="G8" s="6">
        <f>IF(C8="","",C8+28)</f>
        <v/>
      </c>
      <c r="H8" s="8" t="n">
        <v>0.445</v>
      </c>
      <c r="I8" s="8" t="n">
        <v>0.525</v>
      </c>
      <c r="J8" s="8" t="n">
        <v>0.696</v>
      </c>
      <c r="K8" s="4" t="n"/>
      <c r="L8" s="4" t="n"/>
      <c r="M8" s="4" t="n"/>
      <c r="N8" s="7">
        <f>IF(E8="","",ROUND(N7+IF(H8&gt;0,E8*H8,E8*K8),2))</f>
        <v/>
      </c>
      <c r="O8" s="7">
        <f>IF(E8="","",ROUND(O7+IF(I8&gt;0,E8*I8,E8*L8),2))</f>
        <v/>
      </c>
      <c r="P8" s="7">
        <f>IF(E8="","",ROUND(P7+IF(J8&gt;0,E8*J8,E8*M8),2))</f>
        <v/>
      </c>
      <c r="Q8" s="9">
        <f>IF(N8="","",IF(ROUNDUP(N8/50,0)&gt;ROUNDUP(N7/50,0),"Lần " &amp; ROUNDUP(N8/50,0),""))</f>
        <v/>
      </c>
      <c r="R8" s="10">
        <f>IF(O8="","",IF(ROUNDUP(O8/200,0)&gt;ROUNDUP(O7/200,0),"Lần " &amp; ROUNDUP(O8/200,0),""))</f>
        <v/>
      </c>
      <c r="S8" s="9">
        <f>IF(P8="","",IF(ROUNDUP(P8/350,0)&gt;ROUNDUP(P7/350,0),"Lần " &amp; ROUNDUP(P8/350,0),""))</f>
        <v/>
      </c>
      <c r="T8" s="4" t="n"/>
      <c r="U8" s="7" t="n"/>
      <c r="AF8" t="inlineStr">
        <is>
          <t>BTXMC35R7W10</t>
        </is>
      </c>
      <c r="AG8" t="n">
        <v>459</v>
      </c>
      <c r="AH8" t="inlineStr">
        <is>
          <t>Tân</t>
        </is>
      </c>
      <c r="AI8" t="n">
        <v>3.150000095367432</v>
      </c>
      <c r="AJ8" t="inlineStr">
        <is>
          <t>Hà Tiên PCB40</t>
        </is>
      </c>
      <c r="AK8" s="726" t="inlineStr">
        <is>
          <t>Bản vẽ: 47,01 → 45,88 m³ (tr.68 thể tích 1 cọc (đã gồm bê tông đầu cọc)). File cũ cộng thêm 1,13 m³ đập đầu cọc vào thể tích đã gồm đầu cọc. Cột 'KL thực tế': thay bằng phiếu đổ (có nở thành) khi có.</t>
        </is>
      </c>
    </row>
    <row r="9" ht="20" customHeight="1" s="672">
      <c r="A9" s="4" t="n">
        <v>6</v>
      </c>
      <c r="B9" s="5" t="inlineStr">
        <is>
          <t>Bê tông cọc khoan nhồi - C6 trụ T2 (L=30m)</t>
        </is>
      </c>
      <c r="C9" s="6" t="n">
        <v>46212</v>
      </c>
      <c r="D9" s="6" t="n"/>
      <c r="E9" s="725" t="n">
        <v>34.73</v>
      </c>
      <c r="F9" s="6">
        <f>IF(C9="","",C9+7)</f>
        <v/>
      </c>
      <c r="G9" s="6">
        <f>IF(C9="","",C9+28)</f>
        <v/>
      </c>
      <c r="H9" s="8" t="n">
        <v>0.445</v>
      </c>
      <c r="I9" s="8" t="n">
        <v>0.525</v>
      </c>
      <c r="J9" s="8" t="n">
        <v>0.696</v>
      </c>
      <c r="K9" s="4" t="n"/>
      <c r="L9" s="4" t="n"/>
      <c r="M9" s="4" t="n"/>
      <c r="N9" s="7">
        <f>IF(E9="","",ROUND(N8+IF(H9&gt;0,E9*H9,E9*K9),2))</f>
        <v/>
      </c>
      <c r="O9" s="7">
        <f>IF(E9="","",ROUND(O8+IF(I9&gt;0,E9*I9,E9*L9),2))</f>
        <v/>
      </c>
      <c r="P9" s="7">
        <f>IF(E9="","",ROUND(P8+IF(J9&gt;0,E9*J9,E9*M9),2))</f>
        <v/>
      </c>
      <c r="Q9" s="9">
        <f>IF(N9="","",IF(ROUNDUP(N9/50,0)&gt;ROUNDUP(N8/50,0),"Lần " &amp; ROUNDUP(N9/50,0),""))</f>
        <v/>
      </c>
      <c r="R9" s="10">
        <f>IF(O9="","",IF(ROUNDUP(O9/200,0)&gt;ROUNDUP(O8/200,0),"Lần " &amp; ROUNDUP(O9/200,0),""))</f>
        <v/>
      </c>
      <c r="S9" s="9">
        <f>IF(P9="","",IF(ROUNDUP(P9/350,0)&gt;ROUNDUP(P8/350,0),"Lần " &amp; ROUNDUP(P9/350,0),""))</f>
        <v/>
      </c>
      <c r="T9" s="4" t="n"/>
      <c r="U9" s="7" t="n"/>
      <c r="AF9" t="inlineStr">
        <is>
          <t>BTXMC35 R7W10BSF</t>
        </is>
      </c>
      <c r="AG9" t="n">
        <v>459</v>
      </c>
      <c r="AH9" t="inlineStr">
        <is>
          <t>Tấn</t>
        </is>
      </c>
      <c r="AI9" t="n">
        <v>3.099999904632568</v>
      </c>
      <c r="AJ9" t="inlineStr">
        <is>
          <t>Hà Tiên PCMSR40</t>
        </is>
      </c>
      <c r="AK9" s="726" t="inlineStr">
        <is>
          <t>Bản vẽ: 35,86 → 34,73 m³ (tr.70 thể tích 1 cọc (đã gồm bê tông đầu cọc)). File cũ cộng thêm 1,13 m³ đập đầu cọc. Thay bằng phiếu đổ thực tế khi có.</t>
        </is>
      </c>
    </row>
    <row r="10" ht="20" customHeight="1" s="672">
      <c r="A10" s="4" t="n">
        <v>7</v>
      </c>
      <c r="B10" s="5" t="inlineStr">
        <is>
          <t>Bê tông cọc khoan nhồi - C3 trụ T1 (L=40m)</t>
        </is>
      </c>
      <c r="C10" s="6" t="n">
        <v>46213</v>
      </c>
      <c r="D10" s="6" t="n"/>
      <c r="E10" s="725" t="n">
        <v>45.88</v>
      </c>
      <c r="F10" s="6">
        <f>IF(C10="","",C10+7)</f>
        <v/>
      </c>
      <c r="G10" s="6">
        <f>IF(C10="","",C10+28)</f>
        <v/>
      </c>
      <c r="H10" s="8" t="n">
        <v>0.445</v>
      </c>
      <c r="I10" s="8" t="n">
        <v>0.525</v>
      </c>
      <c r="J10" s="8" t="n">
        <v>0.696</v>
      </c>
      <c r="K10" s="4" t="n"/>
      <c r="L10" s="4" t="n"/>
      <c r="M10" s="4" t="n"/>
      <c r="N10" s="7">
        <f>IF(E10="","",ROUND(N9+IF(H10&gt;0,E10*H10,E10*K10),2))</f>
        <v/>
      </c>
      <c r="O10" s="7">
        <f>IF(E10="","",ROUND(O9+IF(I10&gt;0,E10*I10,E10*L10),2))</f>
        <v/>
      </c>
      <c r="P10" s="7">
        <f>IF(E10="","",ROUND(P9+IF(J10&gt;0,E10*J10,E10*M10),2))</f>
        <v/>
      </c>
      <c r="Q10" s="9">
        <f>IF(N10="","",IF(ROUNDUP(N10/50,0)&gt;ROUNDUP(N9/50,0),"Lần " &amp; ROUNDUP(N10/50,0),""))</f>
        <v/>
      </c>
      <c r="R10" s="10">
        <f>IF(O10="","",IF(ROUNDUP(O10/200,0)&gt;ROUNDUP(O9/200,0),"Lần " &amp; ROUNDUP(O10/200,0),""))</f>
        <v/>
      </c>
      <c r="S10" s="9">
        <f>IF(P10="","",IF(ROUNDUP(P10/350,0)&gt;ROUNDUP(P9/350,0),"Lần " &amp; ROUNDUP(P10/350,0),""))</f>
        <v/>
      </c>
      <c r="T10" s="4" t="n"/>
      <c r="U10" s="7" t="n"/>
      <c r="AF10" t="inlineStr">
        <is>
          <t>BTXMC10R7</t>
        </is>
      </c>
      <c r="AG10" t="n">
        <v>285</v>
      </c>
      <c r="AH10" t="inlineStr">
        <is>
          <t>Tấn</t>
        </is>
      </c>
      <c r="AI10" t="n">
        <v>3.150000095367432</v>
      </c>
      <c r="AJ10" t="inlineStr">
        <is>
          <t>Hà Tiên PCB40</t>
        </is>
      </c>
      <c r="AK10" s="726" t="inlineStr">
        <is>
          <t>Bản vẽ: 47,01 → 45,88 m³ (tr.68 thể tích 1 cọc (đã gồm bê tông đầu cọc)). File cũ cộng thêm 1,13 m³ đập đầu cọc vào thể tích đã gồm đầu cọc. Cột 'KL thực tế': thay bằng phiếu đổ (có nở thành) khi có.</t>
        </is>
      </c>
    </row>
    <row r="11" ht="20" customHeight="1" s="672">
      <c r="A11" s="4" t="n">
        <v>8</v>
      </c>
      <c r="B11" s="5" t="inlineStr">
        <is>
          <t>Bê tông cọc khoan nhồi - C5 trụ T2 (L=30m)</t>
        </is>
      </c>
      <c r="C11" s="6" t="n">
        <v>46214</v>
      </c>
      <c r="D11" s="6" t="n"/>
      <c r="E11" s="725" t="n">
        <v>34.73</v>
      </c>
      <c r="F11" s="6">
        <f>IF(C11="","",C11+7)</f>
        <v/>
      </c>
      <c r="G11" s="6">
        <f>IF(C11="","",C11+28)</f>
        <v/>
      </c>
      <c r="H11" s="8" t="n">
        <v>0.445</v>
      </c>
      <c r="I11" s="8" t="n">
        <v>0.525</v>
      </c>
      <c r="J11" s="8" t="n">
        <v>0.696</v>
      </c>
      <c r="K11" s="4" t="n"/>
      <c r="L11" s="4" t="n"/>
      <c r="M11" s="4" t="n"/>
      <c r="N11" s="7">
        <f>IF(E11="","",ROUND(N10+IF(H11&gt;0,E11*H11,E11*K11),2))</f>
        <v/>
      </c>
      <c r="O11" s="7">
        <f>IF(E11="","",ROUND(O10+IF(I11&gt;0,E11*I11,E11*L11),2))</f>
        <v/>
      </c>
      <c r="P11" s="7">
        <f>IF(E11="","",ROUND(P10+IF(J11&gt;0,E11*J11,E11*M11),2))</f>
        <v/>
      </c>
      <c r="Q11" s="9">
        <f>IF(N11="","",IF(ROUNDUP(N11/50,0)&gt;ROUNDUP(N10/50,0),"Lần " &amp; ROUNDUP(N11/50,0),""))</f>
        <v/>
      </c>
      <c r="R11" s="10">
        <f>IF(O11="","",IF(ROUNDUP(O11/200,0)&gt;ROUNDUP(O10/200,0),"Lần " &amp; ROUNDUP(O11/200,0),""))</f>
        <v/>
      </c>
      <c r="S11" s="9">
        <f>IF(P11="","",IF(ROUNDUP(P11/350,0)&gt;ROUNDUP(P10/350,0),"Lần " &amp; ROUNDUP(P11/350,0),""))</f>
        <v/>
      </c>
      <c r="T11" s="4" t="n"/>
      <c r="U11" s="7" t="n"/>
      <c r="AF11" t="inlineStr">
        <is>
          <t>BTXMC20R7</t>
        </is>
      </c>
      <c r="AG11" t="n">
        <v>365</v>
      </c>
      <c r="AH11" t="inlineStr">
        <is>
          <t>Tân</t>
        </is>
      </c>
      <c r="AI11" t="n">
        <v>3.150000095367432</v>
      </c>
      <c r="AJ11" t="inlineStr">
        <is>
          <t>Hà Tiên PCB40</t>
        </is>
      </c>
      <c r="AK11" s="726" t="inlineStr">
        <is>
          <t>Bản vẽ: 35,86 → 34,73 m³ (tr.70 thể tích 1 cọc (đã gồm bê tông đầu cọc)). File cũ cộng thêm 1,13 m³ đập đầu cọc. Thay bằng phiếu đổ thực tế khi có.</t>
        </is>
      </c>
    </row>
    <row r="12" ht="20" customHeight="1" s="672">
      <c r="A12" s="4" t="n">
        <v>9</v>
      </c>
      <c r="B12" s="5" t="inlineStr">
        <is>
          <t>Bê tông cọc khoan nhồi - C4 trụ T1 (L=40m)</t>
        </is>
      </c>
      <c r="C12" s="6" t="n">
        <v>46215</v>
      </c>
      <c r="D12" s="6" t="n"/>
      <c r="E12" s="725" t="n">
        <v>45.88</v>
      </c>
      <c r="F12" s="6">
        <f>IF(C12="","",C12+7)</f>
        <v/>
      </c>
      <c r="G12" s="6">
        <f>IF(C12="","",C12+28)</f>
        <v/>
      </c>
      <c r="H12" s="8" t="n">
        <v>0.445</v>
      </c>
      <c r="I12" s="8" t="n">
        <v>0.525</v>
      </c>
      <c r="J12" s="8" t="n">
        <v>0.696</v>
      </c>
      <c r="K12" s="4" t="n"/>
      <c r="L12" s="4" t="n"/>
      <c r="M12" s="4" t="n"/>
      <c r="N12" s="7">
        <f>IF(E12="","",ROUND(N11+IF(H12&gt;0,E12*H12,E12*K12),2))</f>
        <v/>
      </c>
      <c r="O12" s="7">
        <f>IF(E12="","",ROUND(O11+IF(I12&gt;0,E12*I12,E12*L12),2))</f>
        <v/>
      </c>
      <c r="P12" s="7">
        <f>IF(E12="","",ROUND(P11+IF(J12&gt;0,E12*J12,E12*M12),2))</f>
        <v/>
      </c>
      <c r="Q12" s="9">
        <f>IF(N12="","",IF(ROUNDUP(N12/50,0)&gt;ROUNDUP(N11/50,0),"Lần " &amp; ROUNDUP(N12/50,0),""))</f>
        <v/>
      </c>
      <c r="R12" s="10">
        <f>IF(O12="","",IF(ROUNDUP(O12/200,0)&gt;ROUNDUP(O11/200,0),"Lần " &amp; ROUNDUP(O12/200,0),""))</f>
        <v/>
      </c>
      <c r="S12" s="9">
        <f>IF(P12="","",IF(ROUNDUP(P12/350,0)&gt;ROUNDUP(P11/350,0),"Lần " &amp; ROUNDUP(P12/350,0),""))</f>
        <v/>
      </c>
      <c r="T12" s="4" t="n"/>
      <c r="U12" s="7" t="n"/>
      <c r="AK12" s="726" t="inlineStr">
        <is>
          <t>Bản vẽ: 47,01 → 45,88 m³ (tr.68 thể tích 1 cọc (đã gồm bê tông đầu cọc)). File cũ cộng thêm 1,13 m³ đập đầu cọc vào thể tích đã gồm đầu cọc. Cột 'KL thực tế': thay bằng phiếu đổ (có nở thành) khi có.</t>
        </is>
      </c>
    </row>
    <row r="13" ht="20" customHeight="1" s="672">
      <c r="A13" s="4" t="n">
        <v>10</v>
      </c>
      <c r="B13" s="5" t="inlineStr">
        <is>
          <t>Bê tông cọc khoan nhồi - C4 trụ T2 (L=30m)</t>
        </is>
      </c>
      <c r="C13" s="6" t="n">
        <v>46216</v>
      </c>
      <c r="D13" s="6" t="n"/>
      <c r="E13" s="725" t="n">
        <v>34.73</v>
      </c>
      <c r="F13" s="6">
        <f>IF(C13="","",C13+7)</f>
        <v/>
      </c>
      <c r="G13" s="6">
        <f>IF(C13="","",C13+28)</f>
        <v/>
      </c>
      <c r="H13" s="8" t="n">
        <v>0.445</v>
      </c>
      <c r="I13" s="8" t="n">
        <v>0.525</v>
      </c>
      <c r="J13" s="8" t="n">
        <v>0.696</v>
      </c>
      <c r="K13" s="4" t="n"/>
      <c r="L13" s="4" t="n"/>
      <c r="M13" s="4" t="n"/>
      <c r="N13" s="7">
        <f>IF(E13="","",ROUND(N12+IF(H13&gt;0,E13*H13,E13*K13),2))</f>
        <v/>
      </c>
      <c r="O13" s="7">
        <f>IF(E13="","",ROUND(O12+IF(I13&gt;0,E13*I13,E13*L13),2))</f>
        <v/>
      </c>
      <c r="P13" s="7">
        <f>IF(E13="","",ROUND(P12+IF(J13&gt;0,E13*J13,E13*M13),2))</f>
        <v/>
      </c>
      <c r="Q13" s="9">
        <f>IF(N13="","",IF(ROUNDUP(N13/50,0)&gt;ROUNDUP(N12/50,0),"Lần " &amp; ROUNDUP(N13/50,0),""))</f>
        <v/>
      </c>
      <c r="R13" s="10">
        <f>IF(O13="","",IF(ROUNDUP(O13/200,0)&gt;ROUNDUP(O12/200,0),"Lần " &amp; ROUNDUP(O13/200,0),""))</f>
        <v/>
      </c>
      <c r="S13" s="9">
        <f>IF(P13="","",IF(ROUNDUP(P13/350,0)&gt;ROUNDUP(P12/350,0),"Lần " &amp; ROUNDUP(P13/350,0),""))</f>
        <v/>
      </c>
      <c r="T13" s="4" t="n"/>
      <c r="U13" s="7" t="n"/>
      <c r="AK13" s="726" t="inlineStr">
        <is>
          <t>Bản vẽ: 35,86 → 34,73 m³ (tr.70 thể tích 1 cọc (đã gồm bê tông đầu cọc)). File cũ cộng thêm 1,13 m³ đập đầu cọc. Thay bằng phiếu đổ thực tế khi có.</t>
        </is>
      </c>
    </row>
    <row r="14" ht="20" customHeight="1" s="672">
      <c r="A14" s="4" t="n">
        <v>11</v>
      </c>
      <c r="B14" s="5" t="inlineStr">
        <is>
          <t>Bê tông cọc khoan nhồi - C6 trụ T1 (L=40m)</t>
        </is>
      </c>
      <c r="C14" s="6" t="n">
        <v>46217</v>
      </c>
      <c r="D14" s="6" t="n"/>
      <c r="E14" s="725" t="n">
        <v>45.88</v>
      </c>
      <c r="F14" s="6">
        <f>IF(C14="","",C14+7)</f>
        <v/>
      </c>
      <c r="G14" s="6">
        <f>IF(C14="","",C14+28)</f>
        <v/>
      </c>
      <c r="H14" s="8" t="n">
        <v>0.445</v>
      </c>
      <c r="I14" s="8" t="n">
        <v>0.525</v>
      </c>
      <c r="J14" s="8" t="n">
        <v>0.696</v>
      </c>
      <c r="K14" s="4" t="n"/>
      <c r="L14" s="4" t="n"/>
      <c r="M14" s="4" t="n"/>
      <c r="N14" s="7">
        <f>IF(E14="","",ROUND(N13+IF(H14&gt;0,E14*H14,E14*K14),2))</f>
        <v/>
      </c>
      <c r="O14" s="7">
        <f>IF(E14="","",ROUND(O13+IF(I14&gt;0,E14*I14,E14*L14),2))</f>
        <v/>
      </c>
      <c r="P14" s="7">
        <f>IF(E14="","",ROUND(P13+IF(J14&gt;0,E14*J14,E14*M14),2))</f>
        <v/>
      </c>
      <c r="Q14" s="9">
        <f>IF(N14="","",IF(ROUNDUP(N14/50,0)&gt;ROUNDUP(N13/50,0),"Lần " &amp; ROUNDUP(N14/50,0),""))</f>
        <v/>
      </c>
      <c r="R14" s="10">
        <f>IF(O14="","",IF(ROUNDUP(O14/200,0)&gt;ROUNDUP(O13/200,0),"Lần " &amp; ROUNDUP(O14/200,0),""))</f>
        <v/>
      </c>
      <c r="S14" s="9">
        <f>IF(P14="","",IF(ROUNDUP(P14/350,0)&gt;ROUNDUP(P13/350,0),"Lần " &amp; ROUNDUP(P14/350,0),""))</f>
        <v/>
      </c>
      <c r="T14" s="4" t="n"/>
      <c r="U14" s="7" t="n"/>
      <c r="AK14" s="726" t="inlineStr">
        <is>
          <t>Bản vẽ: 47,01 → 45,88 m³ (tr.68 thể tích 1 cọc (đã gồm bê tông đầu cọc)). File cũ cộng thêm 1,13 m³ đập đầu cọc vào thể tích đã gồm đầu cọc. Cột 'KL thực tế': thay bằng phiếu đổ (có nở thành) khi có.</t>
        </is>
      </c>
    </row>
    <row r="15" ht="20" customHeight="1" s="672">
      <c r="A15" s="4" t="n">
        <v>12</v>
      </c>
      <c r="B15" s="5" t="inlineStr">
        <is>
          <t>Bê tông cọc khoan nhồi - C3 trụ T2 (L=30m)</t>
        </is>
      </c>
      <c r="C15" s="6" t="n">
        <v>46218</v>
      </c>
      <c r="D15" s="6" t="n"/>
      <c r="E15" s="725" t="n">
        <v>34.73</v>
      </c>
      <c r="F15" s="6">
        <f>IF(C15="","",C15+7)</f>
        <v/>
      </c>
      <c r="G15" s="6">
        <f>IF(C15="","",C15+28)</f>
        <v/>
      </c>
      <c r="H15" s="8" t="n">
        <v>0.445</v>
      </c>
      <c r="I15" s="8" t="n">
        <v>0.525</v>
      </c>
      <c r="J15" s="8" t="n">
        <v>0.696</v>
      </c>
      <c r="K15" s="4" t="n"/>
      <c r="L15" s="4" t="n"/>
      <c r="M15" s="4" t="n"/>
      <c r="N15" s="7">
        <f>IF(E15="","",ROUND(N14+IF(H15&gt;0,E15*H15,E15*K15),2))</f>
        <v/>
      </c>
      <c r="O15" s="7">
        <f>IF(E15="","",ROUND(O14+IF(I15&gt;0,E15*I15,E15*L15),2))</f>
        <v/>
      </c>
      <c r="P15" s="7">
        <f>IF(E15="","",ROUND(P14+IF(J15&gt;0,E15*J15,E15*M15),2))</f>
        <v/>
      </c>
      <c r="Q15" s="9">
        <f>IF(N15="","",IF(ROUNDUP(N15/50,0)&gt;ROUNDUP(N14/50,0),"Lần " &amp; ROUNDUP(N15/50,0),""))</f>
        <v/>
      </c>
      <c r="R15" s="10">
        <f>IF(O15="","",IF(ROUNDUP(O15/200,0)&gt;ROUNDUP(O14/200,0),"Lần " &amp; ROUNDUP(O15/200,0),""))</f>
        <v/>
      </c>
      <c r="S15" s="9">
        <f>IF(P15="","",IF(ROUNDUP(P15/350,0)&gt;ROUNDUP(P14/350,0),"Lần " &amp; ROUNDUP(P15/350,0),""))</f>
        <v/>
      </c>
      <c r="T15" s="4" t="n"/>
      <c r="U15" s="7" t="n"/>
      <c r="AK15" s="726" t="inlineStr">
        <is>
          <t>Bản vẽ: 35,86 → 34,73 m³ (tr.70 thể tích 1 cọc (đã gồm bê tông đầu cọc)). File cũ cộng thêm 1,13 m³ đập đầu cọc. Thay bằng phiếu đổ thực tế khi có.</t>
        </is>
      </c>
    </row>
    <row r="16" ht="20" customHeight="1" s="672">
      <c r="A16" s="4" t="n">
        <v>13</v>
      </c>
      <c r="B16" s="5" t="inlineStr">
        <is>
          <t>Bê tông cọc khoan nhồi - C7 trụ T1 (L=40m)</t>
        </is>
      </c>
      <c r="C16" s="6" t="n">
        <v>46219</v>
      </c>
      <c r="D16" s="6" t="n"/>
      <c r="E16" s="725" t="n">
        <v>45.88</v>
      </c>
      <c r="F16" s="6">
        <f>IF(C16="","",C16+7)</f>
        <v/>
      </c>
      <c r="G16" s="6">
        <f>IF(C16="","",C16+28)</f>
        <v/>
      </c>
      <c r="H16" s="8" t="n">
        <v>0.445</v>
      </c>
      <c r="I16" s="8" t="n">
        <v>0.525</v>
      </c>
      <c r="J16" s="8" t="n">
        <v>0.696</v>
      </c>
      <c r="K16" s="4" t="n"/>
      <c r="L16" s="4" t="n"/>
      <c r="M16" s="4" t="n"/>
      <c r="N16" s="7">
        <f>IF(E16="","",ROUND(N15+IF(H16&gt;0,E16*H16,E16*K16),2))</f>
        <v/>
      </c>
      <c r="O16" s="7">
        <f>IF(E16="","",ROUND(O15+IF(I16&gt;0,E16*I16,E16*L16),2))</f>
        <v/>
      </c>
      <c r="P16" s="7">
        <f>IF(E16="","",ROUND(P15+IF(J16&gt;0,E16*J16,E16*M16),2))</f>
        <v/>
      </c>
      <c r="Q16" s="9">
        <f>IF(N16="","",IF(ROUNDUP(N16/50,0)&gt;ROUNDUP(N15/50,0),"Lần " &amp; ROUNDUP(N16/50,0),""))</f>
        <v/>
      </c>
      <c r="R16" s="10">
        <f>IF(O16="","",IF(ROUNDUP(O16/200,0)&gt;ROUNDUP(O15/200,0),"Lần " &amp; ROUNDUP(O16/200,0),""))</f>
        <v/>
      </c>
      <c r="S16" s="9">
        <f>IF(P16="","",IF(ROUNDUP(P16/350,0)&gt;ROUNDUP(P15/350,0),"Lần " &amp; ROUNDUP(P16/350,0),""))</f>
        <v/>
      </c>
      <c r="T16" s="4" t="n"/>
      <c r="U16" s="7" t="n"/>
      <c r="AK16" s="726" t="inlineStr">
        <is>
          <t>Bản vẽ: 47,01 → 45,88 m³ (tr.68 thể tích 1 cọc (đã gồm bê tông đầu cọc)). File cũ cộng thêm 1,13 m³ đập đầu cọc vào thể tích đã gồm đầu cọc. Cột 'KL thực tế': thay bằng phiếu đổ (có nở thành) khi có.</t>
        </is>
      </c>
    </row>
    <row r="17" ht="20" customHeight="1" s="672">
      <c r="A17" s="4" t="n">
        <v>14</v>
      </c>
      <c r="B17" s="5" t="inlineStr">
        <is>
          <t>Bê tông cọc khoan nhồi - C2 trụ T2 (L=30m)</t>
        </is>
      </c>
      <c r="C17" s="6" t="n">
        <v>46220</v>
      </c>
      <c r="D17" s="6" t="n"/>
      <c r="E17" s="725" t="n">
        <v>34.73</v>
      </c>
      <c r="F17" s="6">
        <f>IF(C17="","",C17+7)</f>
        <v/>
      </c>
      <c r="G17" s="6">
        <f>IF(C17="","",C17+28)</f>
        <v/>
      </c>
      <c r="H17" s="8" t="n">
        <v>0.445</v>
      </c>
      <c r="I17" s="8" t="n">
        <v>0.525</v>
      </c>
      <c r="J17" s="8" t="n">
        <v>0.696</v>
      </c>
      <c r="K17" s="4" t="n"/>
      <c r="L17" s="4" t="n"/>
      <c r="M17" s="4" t="n"/>
      <c r="N17" s="7">
        <f>IF(E17="","",ROUND(N16+IF(H17&gt;0,E17*H17,E17*K17),2))</f>
        <v/>
      </c>
      <c r="O17" s="7">
        <f>IF(E17="","",ROUND(O16+IF(I17&gt;0,E17*I17,E17*L17),2))</f>
        <v/>
      </c>
      <c r="P17" s="7">
        <f>IF(E17="","",ROUND(P16+IF(J17&gt;0,E17*J17,E17*M17),2))</f>
        <v/>
      </c>
      <c r="Q17" s="9">
        <f>IF(N17="","",IF(ROUNDUP(N17/50,0)&gt;ROUNDUP(N16/50,0),"Lần " &amp; ROUNDUP(N17/50,0),""))</f>
        <v/>
      </c>
      <c r="R17" s="10">
        <f>IF(O17="","",IF(ROUNDUP(O17/200,0)&gt;ROUNDUP(O16/200,0),"Lần " &amp; ROUNDUP(O17/200,0),""))</f>
        <v/>
      </c>
      <c r="S17" s="9">
        <f>IF(P17="","",IF(ROUNDUP(P17/350,0)&gt;ROUNDUP(P16/350,0),"Lần " &amp; ROUNDUP(P17/350,0),""))</f>
        <v/>
      </c>
      <c r="T17" s="4" t="n"/>
      <c r="U17" s="7" t="n"/>
      <c r="AK17" s="726" t="inlineStr">
        <is>
          <t>Bản vẽ: 35,86 → 34,73 m³ (tr.70 thể tích 1 cọc (đã gồm bê tông đầu cọc)). File cũ cộng thêm 1,13 m³ đập đầu cọc. Thay bằng phiếu đổ thực tế khi có.</t>
        </is>
      </c>
    </row>
    <row r="18" ht="20" customHeight="1" s="672">
      <c r="A18" s="4" t="n">
        <v>15</v>
      </c>
      <c r="B18" s="5" t="inlineStr">
        <is>
          <t>Bê tông cọc khoan nhồi - C8 trụ T1 (L=40m)</t>
        </is>
      </c>
      <c r="C18" s="6" t="n">
        <v>46221</v>
      </c>
      <c r="D18" s="6" t="n"/>
      <c r="E18" s="725" t="n">
        <v>45.88</v>
      </c>
      <c r="F18" s="6">
        <f>IF(C18="","",C18+7)</f>
        <v/>
      </c>
      <c r="G18" s="6">
        <f>IF(C18="","",C18+28)</f>
        <v/>
      </c>
      <c r="H18" s="8" t="n">
        <v>0.445</v>
      </c>
      <c r="I18" s="8" t="n">
        <v>0.525</v>
      </c>
      <c r="J18" s="8" t="n">
        <v>0.696</v>
      </c>
      <c r="K18" s="4" t="n"/>
      <c r="L18" s="4" t="n"/>
      <c r="M18" s="4" t="n"/>
      <c r="N18" s="7">
        <f>IF(E18="","",ROUND(N17+IF(H18&gt;0,E18*H18,E18*K18),2))</f>
        <v/>
      </c>
      <c r="O18" s="7">
        <f>IF(E18="","",ROUND(O17+IF(I18&gt;0,E18*I18,E18*L18),2))</f>
        <v/>
      </c>
      <c r="P18" s="7">
        <f>IF(E18="","",ROUND(P17+IF(J18&gt;0,E18*J18,E18*M18),2))</f>
        <v/>
      </c>
      <c r="Q18" s="9">
        <f>IF(N18="","",IF(ROUNDUP(N18/50,0)&gt;ROUNDUP(N17/50,0),"Lần " &amp; ROUNDUP(N18/50,0),""))</f>
        <v/>
      </c>
      <c r="R18" s="10">
        <f>IF(O18="","",IF(ROUNDUP(O18/200,0)&gt;ROUNDUP(O17/200,0),"Lần " &amp; ROUNDUP(O18/200,0),""))</f>
        <v/>
      </c>
      <c r="S18" s="9">
        <f>IF(P18="","",IF(ROUNDUP(P18/350,0)&gt;ROUNDUP(P17/350,0),"Lần " &amp; ROUNDUP(P18/350,0),""))</f>
        <v/>
      </c>
      <c r="T18" s="4" t="n"/>
      <c r="U18" s="7" t="n"/>
      <c r="AK18" s="726" t="inlineStr">
        <is>
          <t>Bản vẽ: 47,01 → 45,88 m³ (tr.68 thể tích 1 cọc (đã gồm bê tông đầu cọc)). File cũ cộng thêm 1,13 m³ đập đầu cọc vào thể tích đã gồm đầu cọc. Cột 'KL thực tế': thay bằng phiếu đổ (có nở thành) khi có.</t>
        </is>
      </c>
    </row>
    <row r="19" ht="20" customHeight="1" s="672">
      <c r="A19" s="4" t="n">
        <v>16</v>
      </c>
      <c r="B19" s="5" t="inlineStr">
        <is>
          <t>Bê tông cọc khoan nhồi - C1 trụ T2 (L=30m)</t>
        </is>
      </c>
      <c r="C19" s="6" t="n">
        <v>46222</v>
      </c>
      <c r="D19" s="6" t="n"/>
      <c r="E19" s="725" t="n">
        <v>34.73</v>
      </c>
      <c r="F19" s="6">
        <f>IF(C19="","",C19+7)</f>
        <v/>
      </c>
      <c r="G19" s="6">
        <f>IF(C19="","",C19+28)</f>
        <v/>
      </c>
      <c r="H19" s="8" t="n">
        <v>0.445</v>
      </c>
      <c r="I19" s="8" t="n">
        <v>0.525</v>
      </c>
      <c r="J19" s="8" t="n">
        <v>0.696</v>
      </c>
      <c r="K19" s="4" t="n"/>
      <c r="L19" s="4" t="n"/>
      <c r="M19" s="4" t="n"/>
      <c r="N19" s="7">
        <f>IF(E19="","",ROUND(N18+IF(H19&gt;0,E19*H19,E19*K19),2))</f>
        <v/>
      </c>
      <c r="O19" s="7">
        <f>IF(E19="","",ROUND(O18+IF(I19&gt;0,E19*I19,E19*L19),2))</f>
        <v/>
      </c>
      <c r="P19" s="7">
        <f>IF(E19="","",ROUND(P18+IF(J19&gt;0,E19*J19,E19*M19),2))</f>
        <v/>
      </c>
      <c r="Q19" s="9">
        <f>IF(N19="","",IF(ROUNDUP(N19/50,0)&gt;ROUNDUP(N18/50,0),"Lần " &amp; ROUNDUP(N19/50,0),""))</f>
        <v/>
      </c>
      <c r="R19" s="10">
        <f>IF(O19="","",IF(ROUNDUP(O19/200,0)&gt;ROUNDUP(O18/200,0),"Lần " &amp; ROUNDUP(O19/200,0),""))</f>
        <v/>
      </c>
      <c r="S19" s="9">
        <f>IF(P19="","",IF(ROUNDUP(P19/350,0)&gt;ROUNDUP(P18/350,0),"Lần " &amp; ROUNDUP(P19/350,0),""))</f>
        <v/>
      </c>
      <c r="T19" s="4" t="n"/>
      <c r="U19" s="7" t="n"/>
      <c r="AK19" s="726" t="inlineStr">
        <is>
          <t>Bản vẽ: 35,86 → 34,73 m³ (tr.70 thể tích 1 cọc (đã gồm bê tông đầu cọc)). File cũ cộng thêm 1,13 m³ đập đầu cọc. Thay bằng phiếu đổ thực tế khi có.</t>
        </is>
      </c>
    </row>
    <row r="20" ht="20" customHeight="1" s="672">
      <c r="A20" s="4" t="n">
        <v>17</v>
      </c>
      <c r="B20" s="5" t="inlineStr">
        <is>
          <t>Bê tông cọc khoan nhồi - C7 mố M2 (L=36m)</t>
        </is>
      </c>
      <c r="C20" s="6" t="n">
        <v>46223</v>
      </c>
      <c r="D20" s="6" t="n"/>
      <c r="E20" s="725" t="n">
        <v>41.56</v>
      </c>
      <c r="F20" s="6">
        <f>IF(C20="","",C20+7)</f>
        <v/>
      </c>
      <c r="G20" s="6">
        <f>IF(C20="","",C20+28)</f>
        <v/>
      </c>
      <c r="H20" s="8" t="n">
        <v>0.445</v>
      </c>
      <c r="I20" s="8" t="n">
        <v>0.525</v>
      </c>
      <c r="J20" s="8" t="n">
        <v>0.696</v>
      </c>
      <c r="K20" s="4" t="n"/>
      <c r="L20" s="4" t="n"/>
      <c r="M20" s="4" t="n"/>
      <c r="N20" s="7">
        <f>IF(E20="","",ROUND(N19+IF(H20&gt;0,E20*H20,E20*K20),2))</f>
        <v/>
      </c>
      <c r="O20" s="7">
        <f>IF(E20="","",ROUND(O19+IF(I20&gt;0,E20*I20,E20*L20),2))</f>
        <v/>
      </c>
      <c r="P20" s="7">
        <f>IF(E20="","",ROUND(P19+IF(J20&gt;0,E20*J20,E20*M20),2))</f>
        <v/>
      </c>
      <c r="Q20" s="9">
        <f>IF(N20="","",IF(ROUNDUP(N20/50,0)&gt;ROUNDUP(N19/50,0),"Lần " &amp; ROUNDUP(N20/50,0),""))</f>
        <v/>
      </c>
      <c r="R20" s="10">
        <f>IF(O20="","",IF(ROUNDUP(O20/200,0)&gt;ROUNDUP(O19/200,0),"Lần " &amp; ROUNDUP(O20/200,0),""))</f>
        <v/>
      </c>
      <c r="S20" s="9">
        <f>IF(P20="","",IF(ROUNDUP(P20/350,0)&gt;ROUNDUP(P19/350,0),"Lần " &amp; ROUNDUP(P20/350,0),""))</f>
        <v/>
      </c>
      <c r="T20" s="4" t="n"/>
      <c r="U20" s="7" t="n"/>
      <c r="AK20" s="726" t="inlineStr">
        <is>
          <t>Bản vẽ: 42,83 → 41,56 m³ (tr.66 thể tích 1 cọc (đã gồm bê tông đầu cọc)). File cũ cộng thêm 1,27 m³ đập đầu cọc. Thay bằng phiếu đổ thực tế khi có.</t>
        </is>
      </c>
    </row>
    <row r="21" ht="20" customHeight="1" s="672">
      <c r="A21" s="4" t="n">
        <v>18</v>
      </c>
      <c r="B21" s="5" t="inlineStr">
        <is>
          <t>Bê tông cọc khoan nhồi - C5 mố M2 (L=36m)</t>
        </is>
      </c>
      <c r="C21" s="6" t="n">
        <v>46224</v>
      </c>
      <c r="D21" s="6" t="n"/>
      <c r="E21" s="725" t="n">
        <v>41.56</v>
      </c>
      <c r="F21" s="6">
        <f>IF(C21="","",C21+7)</f>
        <v/>
      </c>
      <c r="G21" s="6">
        <f>IF(C21="","",C21+28)</f>
        <v/>
      </c>
      <c r="H21" s="8" t="n">
        <v>0.445</v>
      </c>
      <c r="I21" s="8" t="n">
        <v>0.525</v>
      </c>
      <c r="J21" s="8" t="n">
        <v>0.696</v>
      </c>
      <c r="K21" s="4" t="n"/>
      <c r="L21" s="4" t="n"/>
      <c r="M21" s="4" t="n"/>
      <c r="N21" s="7">
        <f>IF(E21="","",ROUND(N20+IF(H21&gt;0,E21*H21,E21*K21),2))</f>
        <v/>
      </c>
      <c r="O21" s="7">
        <f>IF(E21="","",ROUND(O20+IF(I21&gt;0,E21*I21,E21*L21),2))</f>
        <v/>
      </c>
      <c r="P21" s="7">
        <f>IF(E21="","",ROUND(P20+IF(J21&gt;0,E21*J21,E21*M21),2))</f>
        <v/>
      </c>
      <c r="Q21" s="9">
        <f>IF(N21="","",IF(ROUNDUP(N21/50,0)&gt;ROUNDUP(N20/50,0),"Lần " &amp; ROUNDUP(N21/50,0),""))</f>
        <v/>
      </c>
      <c r="R21" s="10">
        <f>IF(O21="","",IF(ROUNDUP(O21/200,0)&gt;ROUNDUP(O20/200,0),"Lần " &amp; ROUNDUP(O21/200,0),""))</f>
        <v/>
      </c>
      <c r="S21" s="9">
        <f>IF(P21="","",IF(ROUNDUP(P21/350,0)&gt;ROUNDUP(P20/350,0),"Lần " &amp; ROUNDUP(P21/350,0),""))</f>
        <v/>
      </c>
      <c r="T21" s="4" t="n"/>
      <c r="U21" s="7" t="n"/>
      <c r="AK21" s="726" t="inlineStr">
        <is>
          <t>Bản vẽ: 42,83 → 41,56 m³ (tr.66 thể tích 1 cọc (đã gồm bê tông đầu cọc)). File cũ cộng thêm 1,27 m³ đập đầu cọc. Thay bằng phiếu đổ thực tế khi có.</t>
        </is>
      </c>
    </row>
    <row r="22" ht="20" customHeight="1" s="672">
      <c r="A22" s="4" t="n">
        <v>19</v>
      </c>
      <c r="B22" s="5" t="inlineStr">
        <is>
          <t>Bê tông cọc khoan nhồi - C3 mố M2 (L=36m)</t>
        </is>
      </c>
      <c r="C22" s="6" t="n">
        <v>46225</v>
      </c>
      <c r="D22" s="6" t="n"/>
      <c r="E22" s="725" t="n">
        <v>41.56</v>
      </c>
      <c r="F22" s="6">
        <f>IF(C22="","",C22+7)</f>
        <v/>
      </c>
      <c r="G22" s="6">
        <f>IF(C22="","",C22+28)</f>
        <v/>
      </c>
      <c r="H22" s="8" t="n">
        <v>0.445</v>
      </c>
      <c r="I22" s="8" t="n">
        <v>0.525</v>
      </c>
      <c r="J22" s="8" t="n">
        <v>0.696</v>
      </c>
      <c r="K22" s="4" t="n"/>
      <c r="L22" s="4" t="n"/>
      <c r="M22" s="4" t="n"/>
      <c r="N22" s="7">
        <f>IF(E22="","",ROUND(N21+IF(H22&gt;0,E22*H22,E22*K22),2))</f>
        <v/>
      </c>
      <c r="O22" s="7">
        <f>IF(E22="","",ROUND(O21+IF(I22&gt;0,E22*I22,E22*L22),2))</f>
        <v/>
      </c>
      <c r="P22" s="7">
        <f>IF(E22="","",ROUND(P21+IF(J22&gt;0,E22*J22,E22*M22),2))</f>
        <v/>
      </c>
      <c r="Q22" s="9">
        <f>IF(N22="","",IF(ROUNDUP(N22/50,0)&gt;ROUNDUP(N21/50,0),"Lần " &amp; ROUNDUP(N22/50,0),""))</f>
        <v/>
      </c>
      <c r="R22" s="10">
        <f>IF(O22="","",IF(ROUNDUP(O22/200,0)&gt;ROUNDUP(O21/200,0),"Lần " &amp; ROUNDUP(O22/200,0),""))</f>
        <v/>
      </c>
      <c r="S22" s="9">
        <f>IF(P22="","",IF(ROUNDUP(P22/350,0)&gt;ROUNDUP(P21/350,0),"Lần " &amp; ROUNDUP(P22/350,0),""))</f>
        <v/>
      </c>
      <c r="T22" s="4" t="n"/>
      <c r="U22" s="7" t="n"/>
      <c r="AK22" s="726" t="inlineStr">
        <is>
          <t>Bản vẽ: 42,83 → 41,56 m³ (tr.66 thể tích 1 cọc (đã gồm bê tông đầu cọc)). File cũ cộng thêm 1,27 m³ đập đầu cọc. Thay bằng phiếu đổ thực tế khi có.</t>
        </is>
      </c>
    </row>
    <row r="23" ht="20" customHeight="1" s="672">
      <c r="A23" s="4" t="n">
        <v>20</v>
      </c>
      <c r="B23" s="5" t="inlineStr">
        <is>
          <t>Bê tông cọc khoan nhồi - C4 mố M2 (L=36m)</t>
        </is>
      </c>
      <c r="C23" s="6" t="n">
        <v>46226</v>
      </c>
      <c r="D23" s="6" t="n"/>
      <c r="E23" s="725" t="n">
        <v>41.56</v>
      </c>
      <c r="F23" s="6">
        <f>IF(C23="","",C23+7)</f>
        <v/>
      </c>
      <c r="G23" s="6">
        <f>IF(C23="","",C23+28)</f>
        <v/>
      </c>
      <c r="H23" s="8" t="n">
        <v>0.445</v>
      </c>
      <c r="I23" s="8" t="n">
        <v>0.525</v>
      </c>
      <c r="J23" s="8" t="n">
        <v>0.696</v>
      </c>
      <c r="K23" s="4" t="n"/>
      <c r="L23" s="4" t="n"/>
      <c r="M23" s="4" t="n"/>
      <c r="N23" s="7">
        <f>IF(E23="","",ROUND(N22+IF(H23&gt;0,E23*H23,E23*K23),2))</f>
        <v/>
      </c>
      <c r="O23" s="7">
        <f>IF(E23="","",ROUND(O22+IF(I23&gt;0,E23*I23,E23*L23),2))</f>
        <v/>
      </c>
      <c r="P23" s="7">
        <f>IF(E23="","",ROUND(P22+IF(J23&gt;0,E23*J23,E23*M23),2))</f>
        <v/>
      </c>
      <c r="Q23" s="9">
        <f>IF(N23="","",IF(ROUNDUP(N23/50,0)&gt;ROUNDUP(N22/50,0),"Lần " &amp; ROUNDUP(N23/50,0),""))</f>
        <v/>
      </c>
      <c r="R23" s="10">
        <f>IF(O23="","",IF(ROUNDUP(O23/200,0)&gt;ROUNDUP(O22/200,0),"Lần " &amp; ROUNDUP(O23/200,0),""))</f>
        <v/>
      </c>
      <c r="S23" s="9">
        <f>IF(P23="","",IF(ROUNDUP(P23/350,0)&gt;ROUNDUP(P22/350,0),"Lần " &amp; ROUNDUP(P23/350,0),""))</f>
        <v/>
      </c>
      <c r="T23" s="4" t="n"/>
      <c r="U23" s="7" t="n"/>
      <c r="AK23" s="726" t="inlineStr">
        <is>
          <t>Bản vẽ: 42,83 → 41,56 m³ (tr.66 thể tích 1 cọc (đã gồm bê tông đầu cọc)). File cũ cộng thêm 1,27 m³ đập đầu cọc. Thay bằng phiếu đổ thực tế khi có.</t>
        </is>
      </c>
    </row>
    <row r="24" ht="20" customHeight="1" s="672">
      <c r="A24" s="4" t="n">
        <v>21</v>
      </c>
      <c r="B24" s="5" t="inlineStr">
        <is>
          <t>Bê tông cọc khoan nhồi - C6 mố M2 (L=36m)</t>
        </is>
      </c>
      <c r="C24" s="6" t="n">
        <v>46227</v>
      </c>
      <c r="D24" s="6" t="n"/>
      <c r="E24" s="725" t="n">
        <v>41.56</v>
      </c>
      <c r="F24" s="6">
        <f>IF(C24="","",C24+7)</f>
        <v/>
      </c>
      <c r="G24" s="6">
        <f>IF(C24="","",C24+28)</f>
        <v/>
      </c>
      <c r="H24" s="8" t="n">
        <v>0.445</v>
      </c>
      <c r="I24" s="8" t="n">
        <v>0.525</v>
      </c>
      <c r="J24" s="8" t="n">
        <v>0.696</v>
      </c>
      <c r="K24" s="4" t="n"/>
      <c r="L24" s="4" t="n"/>
      <c r="M24" s="4" t="n"/>
      <c r="N24" s="7">
        <f>IF(E24="","",ROUND(N23+IF(H24&gt;0,E24*H24,E24*K24),2))</f>
        <v/>
      </c>
      <c r="O24" s="7">
        <f>IF(E24="","",ROUND(O23+IF(I24&gt;0,E24*I24,E24*L24),2))</f>
        <v/>
      </c>
      <c r="P24" s="7">
        <f>IF(E24="","",ROUND(P23+IF(J24&gt;0,E24*J24,E24*M24),2))</f>
        <v/>
      </c>
      <c r="Q24" s="9">
        <f>IF(N24="","",IF(ROUNDUP(N24/50,0)&gt;ROUNDUP(N23/50,0),"Lần " &amp; ROUNDUP(N24/50,0),""))</f>
        <v/>
      </c>
      <c r="R24" s="10">
        <f>IF(O24="","",IF(ROUNDUP(O24/200,0)&gt;ROUNDUP(O23/200,0),"Lần " &amp; ROUNDUP(O24/200,0),""))</f>
        <v/>
      </c>
      <c r="S24" s="9">
        <f>IF(P24="","",IF(ROUNDUP(P24/350,0)&gt;ROUNDUP(P23/350,0),"Lần " &amp; ROUNDUP(P24/350,0),""))</f>
        <v/>
      </c>
      <c r="T24" s="4" t="n"/>
      <c r="U24" s="7" t="n"/>
      <c r="AK24" s="726" t="inlineStr">
        <is>
          <t>Bản vẽ: 42,83 → 41,56 m³ (tr.66 thể tích 1 cọc (đã gồm bê tông đầu cọc)). File cũ cộng thêm 1,27 m³ đập đầu cọc. Thay bằng phiếu đổ thực tế khi có.</t>
        </is>
      </c>
    </row>
    <row r="25" ht="20" customHeight="1" s="672">
      <c r="A25" s="4" t="n">
        <v>22</v>
      </c>
      <c r="B25" s="5" t="inlineStr">
        <is>
          <t>Bê tông cọc khoan nhồi - C1 mố M2 (L=36m)</t>
        </is>
      </c>
      <c r="C25" s="6" t="n">
        <v>46228</v>
      </c>
      <c r="D25" s="6" t="n"/>
      <c r="E25" s="725" t="n">
        <v>41.56</v>
      </c>
      <c r="F25" s="6">
        <f>IF(C25="","",C25+7)</f>
        <v/>
      </c>
      <c r="G25" s="6">
        <f>IF(C25="","",C25+28)</f>
        <v/>
      </c>
      <c r="H25" s="8" t="n">
        <v>0.445</v>
      </c>
      <c r="I25" s="8" t="n">
        <v>0.525</v>
      </c>
      <c r="J25" s="8" t="n">
        <v>0.696</v>
      </c>
      <c r="K25" s="4" t="n"/>
      <c r="L25" s="4" t="n"/>
      <c r="M25" s="4" t="n"/>
      <c r="N25" s="7">
        <f>IF(E25="","",ROUND(N24+IF(H25&gt;0,E25*H25,E25*K25),2))</f>
        <v/>
      </c>
      <c r="O25" s="7">
        <f>IF(E25="","",ROUND(O24+IF(I25&gt;0,E25*I25,E25*L25),2))</f>
        <v/>
      </c>
      <c r="P25" s="7">
        <f>IF(E25="","",ROUND(P24+IF(J25&gt;0,E25*J25,E25*M25),2))</f>
        <v/>
      </c>
      <c r="Q25" s="9">
        <f>IF(N25="","",IF(ROUNDUP(N25/50,0)&gt;ROUNDUP(N24/50,0),"Lần " &amp; ROUNDUP(N25/50,0),""))</f>
        <v/>
      </c>
      <c r="R25" s="10">
        <f>IF(O25="","",IF(ROUNDUP(O25/200,0)&gt;ROUNDUP(O24/200,0),"Lần " &amp; ROUNDUP(O25/200,0),""))</f>
        <v/>
      </c>
      <c r="S25" s="9">
        <f>IF(P25="","",IF(ROUNDUP(P25/350,0)&gt;ROUNDUP(P24/350,0),"Lần " &amp; ROUNDUP(P25/350,0),""))</f>
        <v/>
      </c>
      <c r="T25" s="4" t="n"/>
      <c r="U25" s="7" t="n"/>
      <c r="AK25" s="726" t="inlineStr">
        <is>
          <t>Bản vẽ: 42,83 → 41,56 m³ (tr.66 thể tích 1 cọc (đã gồm bê tông đầu cọc)). File cũ cộng thêm 1,27 m³ đập đầu cọc. Thay bằng phiếu đổ thực tế khi có.</t>
        </is>
      </c>
    </row>
    <row r="26" ht="20" customHeight="1" s="672">
      <c r="A26" s="4" t="n">
        <v>23</v>
      </c>
      <c r="B26" s="5" t="inlineStr">
        <is>
          <t>Bê tông cọc khoan nhồi - C2 mố M2 (L=36m)</t>
        </is>
      </c>
      <c r="C26" s="6" t="n">
        <v>46229</v>
      </c>
      <c r="D26" s="6" t="n"/>
      <c r="E26" s="725" t="n">
        <v>41.56</v>
      </c>
      <c r="F26" s="6">
        <f>IF(C26="","",C26+7)</f>
        <v/>
      </c>
      <c r="G26" s="6">
        <f>IF(C26="","",C26+28)</f>
        <v/>
      </c>
      <c r="H26" s="8" t="n">
        <v>0.445</v>
      </c>
      <c r="I26" s="8" t="n">
        <v>0.525</v>
      </c>
      <c r="J26" s="8" t="n">
        <v>0.696</v>
      </c>
      <c r="K26" s="4" t="n"/>
      <c r="L26" s="4" t="n"/>
      <c r="M26" s="4" t="n"/>
      <c r="N26" s="7">
        <f>IF(E26="","",ROUND(N25+IF(H26&gt;0,E26*H26,E26*K26),2))</f>
        <v/>
      </c>
      <c r="O26" s="7">
        <f>IF(E26="","",ROUND(O25+IF(I26&gt;0,E26*I26,E26*L26),2))</f>
        <v/>
      </c>
      <c r="P26" s="7">
        <f>IF(E26="","",ROUND(P25+IF(J26&gt;0,E26*J26,E26*M26),2))</f>
        <v/>
      </c>
      <c r="Q26" s="9">
        <f>IF(N26="","",IF(ROUNDUP(N26/50,0)&gt;ROUNDUP(N25/50,0),"Lần " &amp; ROUNDUP(N26/50,0),""))</f>
        <v/>
      </c>
      <c r="R26" s="10">
        <f>IF(O26="","",IF(ROUNDUP(O26/200,0)&gt;ROUNDUP(O25/200,0),"Lần " &amp; ROUNDUP(O26/200,0),""))</f>
        <v/>
      </c>
      <c r="S26" s="9">
        <f>IF(P26="","",IF(ROUNDUP(P26/350,0)&gt;ROUNDUP(P25/350,0),"Lần " &amp; ROUNDUP(P26/350,0),""))</f>
        <v/>
      </c>
      <c r="T26" s="4" t="n"/>
      <c r="U26" s="7" t="n"/>
      <c r="AK26" s="726" t="inlineStr">
        <is>
          <t>Bản vẽ: 42,83 → 41,56 m³ (tr.66 thể tích 1 cọc (đã gồm bê tông đầu cọc)). File cũ cộng thêm 1,27 m³ đập đầu cọc. Thay bằng phiếu đổ thực tế khi có.</t>
        </is>
      </c>
    </row>
    <row r="27" ht="20" customHeight="1" s="672">
      <c r="A27" s="4" t="n">
        <v>24</v>
      </c>
      <c r="B27" s="5" t="inlineStr">
        <is>
          <t>Bê tông cọc khoan nhồi - C3 mố M1 (L=20m)</t>
        </is>
      </c>
      <c r="C27" s="6" t="n">
        <v>46230</v>
      </c>
      <c r="D27" s="6" t="n"/>
      <c r="E27" s="725" t="n">
        <v>23.58</v>
      </c>
      <c r="F27" s="6">
        <f>IF(C27="","",C27+7)</f>
        <v/>
      </c>
      <c r="G27" s="6">
        <f>IF(C27="","",C27+28)</f>
        <v/>
      </c>
      <c r="H27" s="8" t="n">
        <v>0.445</v>
      </c>
      <c r="I27" s="8" t="n">
        <v>0.525</v>
      </c>
      <c r="J27" s="8" t="n">
        <v>0.696</v>
      </c>
      <c r="K27" s="4" t="n"/>
      <c r="L27" s="4" t="n"/>
      <c r="M27" s="4" t="n"/>
      <c r="N27" s="7">
        <f>IF(E27="","",ROUND(N26+IF(H27&gt;0,E27*H27,E27*K27),2))</f>
        <v/>
      </c>
      <c r="O27" s="7">
        <f>IF(E27="","",ROUND(O26+IF(I27&gt;0,E27*I27,E27*L27),2))</f>
        <v/>
      </c>
      <c r="P27" s="7">
        <f>IF(E27="","",ROUND(P26+IF(J27&gt;0,E27*J27,E27*M27),2))</f>
        <v/>
      </c>
      <c r="Q27" s="9">
        <f>IF(N27="","",IF(ROUNDUP(N27/50,0)&gt;ROUNDUP(N26/50,0),"Lần " &amp; ROUNDUP(N27/50,0),""))</f>
        <v/>
      </c>
      <c r="R27" s="10">
        <f>IF(O27="","",IF(ROUNDUP(O27/200,0)&gt;ROUNDUP(O26/200,0),"Lần " &amp; ROUNDUP(O27/200,0),""))</f>
        <v/>
      </c>
      <c r="S27" s="9">
        <f>IF(P27="","",IF(ROUNDUP(P27/350,0)&gt;ROUNDUP(P26/350,0),"Lần " &amp; ROUNDUP(P27/350,0),""))</f>
        <v/>
      </c>
      <c r="T27" s="4" t="n"/>
      <c r="U27" s="7" t="n"/>
      <c r="AK27" s="726" t="inlineStr">
        <is>
          <t>Bản vẽ: 24,71 → 23,58 m³ (tr.64 thể tích 1 cọc (đã gồm bê tông đầu cọc)). File cũ cộng thêm 1,13 m³ đập đầu cọc. Thay bằng phiếu đổ thực tế khi có.</t>
        </is>
      </c>
    </row>
    <row r="28" ht="20" customHeight="1" s="672">
      <c r="A28" s="4" t="n">
        <v>25</v>
      </c>
      <c r="B28" s="5" t="inlineStr">
        <is>
          <t>Bê tông cọc khoan nhồi - C1 mố M1 (L=20m)</t>
        </is>
      </c>
      <c r="C28" s="6" t="n">
        <v>46231</v>
      </c>
      <c r="D28" s="6" t="n"/>
      <c r="E28" s="725" t="n">
        <v>23.58</v>
      </c>
      <c r="F28" s="6">
        <f>IF(C28="","",C28+7)</f>
        <v/>
      </c>
      <c r="G28" s="6">
        <f>IF(C28="","",C28+28)</f>
        <v/>
      </c>
      <c r="H28" s="8" t="n">
        <v>0.445</v>
      </c>
      <c r="I28" s="8" t="n">
        <v>0.525</v>
      </c>
      <c r="J28" s="8" t="n">
        <v>0.696</v>
      </c>
      <c r="K28" s="4" t="n"/>
      <c r="L28" s="4" t="n"/>
      <c r="M28" s="4" t="n"/>
      <c r="N28" s="7">
        <f>IF(E28="","",ROUND(N27+IF(H28&gt;0,E28*H28,E28*K28),2))</f>
        <v/>
      </c>
      <c r="O28" s="7">
        <f>IF(E28="","",ROUND(O27+IF(I28&gt;0,E28*I28,E28*L28),2))</f>
        <v/>
      </c>
      <c r="P28" s="7">
        <f>IF(E28="","",ROUND(P27+IF(J28&gt;0,E28*J28,E28*M28),2))</f>
        <v/>
      </c>
      <c r="Q28" s="9">
        <f>IF(N28="","",IF(ROUNDUP(N28/50,0)&gt;ROUNDUP(N27/50,0),"Lần " &amp; ROUNDUP(N28/50,0),""))</f>
        <v/>
      </c>
      <c r="R28" s="10">
        <f>IF(O28="","",IF(ROUNDUP(O28/200,0)&gt;ROUNDUP(O27/200,0),"Lần " &amp; ROUNDUP(O28/200,0),""))</f>
        <v/>
      </c>
      <c r="S28" s="9">
        <f>IF(P28="","",IF(ROUNDUP(P28/350,0)&gt;ROUNDUP(P27/350,0),"Lần " &amp; ROUNDUP(P28/350,0),""))</f>
        <v/>
      </c>
      <c r="T28" s="4" t="n"/>
      <c r="U28" s="7" t="n"/>
      <c r="AK28" s="726" t="inlineStr">
        <is>
          <t>Bản vẽ: 24,71 → 23,58 m³ (tr.64 thể tích 1 cọc (đã gồm bê tông đầu cọc)). File cũ cộng thêm 1,13 m³ đập đầu cọc. Thay bằng phiếu đổ thực tế khi có.</t>
        </is>
      </c>
    </row>
    <row r="29" ht="20" customHeight="1" s="672">
      <c r="A29" s="4" t="n">
        <v>26</v>
      </c>
      <c r="B29" s="5" t="inlineStr">
        <is>
          <t>Bê tông cọc khoan nhồi - C2 mố M1 (L=20m)</t>
        </is>
      </c>
      <c r="C29" s="6" t="n">
        <v>46232</v>
      </c>
      <c r="D29" s="6" t="n"/>
      <c r="E29" s="725" t="n">
        <v>23.58</v>
      </c>
      <c r="F29" s="6">
        <f>IF(C29="","",C29+7)</f>
        <v/>
      </c>
      <c r="G29" s="6">
        <f>IF(C29="","",C29+28)</f>
        <v/>
      </c>
      <c r="H29" s="8" t="n">
        <v>0.445</v>
      </c>
      <c r="I29" s="8" t="n">
        <v>0.525</v>
      </c>
      <c r="J29" s="8" t="n">
        <v>0.696</v>
      </c>
      <c r="K29" s="4" t="n"/>
      <c r="L29" s="4" t="n"/>
      <c r="M29" s="4" t="n"/>
      <c r="N29" s="7">
        <f>IF(E29="","",ROUND(N28+IF(H29&gt;0,E29*H29,E29*K29),2))</f>
        <v/>
      </c>
      <c r="O29" s="7">
        <f>IF(E29="","",ROUND(O28+IF(I29&gt;0,E29*I29,E29*L29),2))</f>
        <v/>
      </c>
      <c r="P29" s="7">
        <f>IF(E29="","",ROUND(P28+IF(J29&gt;0,E29*J29,E29*M29),2))</f>
        <v/>
      </c>
      <c r="Q29" s="9">
        <f>IF(N29="","",IF(ROUNDUP(N29/50,0)&gt;ROUNDUP(N28/50,0),"Lần " &amp; ROUNDUP(N29/50,0),""))</f>
        <v/>
      </c>
      <c r="R29" s="10">
        <f>IF(O29="","",IF(ROUNDUP(O29/200,0)&gt;ROUNDUP(O28/200,0),"Lần " &amp; ROUNDUP(O29/200,0),""))</f>
        <v/>
      </c>
      <c r="S29" s="9">
        <f>IF(P29="","",IF(ROUNDUP(P29/350,0)&gt;ROUNDUP(P28/350,0),"Lần " &amp; ROUNDUP(P29/350,0),""))</f>
        <v/>
      </c>
      <c r="T29" s="4" t="n"/>
      <c r="U29" s="7" t="n"/>
      <c r="AK29" s="726" t="inlineStr">
        <is>
          <t>Bản vẽ: 24,71 → 23,58 m³ (tr.64 thể tích 1 cọc (đã gồm bê tông đầu cọc)). File cũ cộng thêm 1,13 m³ đập đầu cọc. Thay bằng phiếu đổ thực tế khi có.</t>
        </is>
      </c>
    </row>
    <row r="30" ht="22" customHeight="1" s="672">
      <c r="A30" s="664" t="inlineStr">
        <is>
          <t>II. HẠNG MỤC BÊ TÔNG BỆ MỐ &amp; BỆ TRỤ (C30 ĐỘ SỤT 14±2CM)</t>
        </is>
      </c>
      <c r="B30" s="722" t="n"/>
      <c r="C30" s="722" t="n"/>
      <c r="D30" s="722" t="n"/>
      <c r="E30" s="722" t="n"/>
      <c r="F30" s="722" t="n"/>
      <c r="G30" s="722" t="n"/>
      <c r="H30" s="722" t="n"/>
      <c r="I30" s="722" t="n"/>
      <c r="J30" s="722" t="n"/>
      <c r="K30" s="722" t="n"/>
      <c r="L30" s="722" t="n"/>
      <c r="M30" s="722" t="n"/>
      <c r="N30" s="722" t="n"/>
      <c r="O30" s="722" t="n"/>
      <c r="P30" s="722" t="n"/>
      <c r="Q30" s="722" t="n"/>
      <c r="R30" s="722" t="n"/>
      <c r="S30" s="722" t="n"/>
      <c r="T30" s="722" t="n"/>
      <c r="U30" s="721" t="n"/>
    </row>
    <row r="31" ht="20" customHeight="1" s="672">
      <c r="A31" s="4" t="n">
        <v>27</v>
      </c>
      <c r="B31" s="5" t="inlineStr">
        <is>
          <t>Bê tông lót móng bệ mố M1 (M100 đá 4x6)</t>
        </is>
      </c>
      <c r="C31" s="6">
        <f>IF('Danh mục công việc'!$S$1251="","",'Danh mục công việc'!$S$1251)</f>
        <v/>
      </c>
      <c r="D31" s="6" t="n"/>
      <c r="E31" s="725" t="n">
        <v>2.46</v>
      </c>
      <c r="F31" s="6">
        <f>IF(C31="","",C31+7)</f>
        <v/>
      </c>
      <c r="G31" s="6">
        <f>IF(C31="","",C31+28)</f>
        <v/>
      </c>
      <c r="H31" s="4" t="n"/>
      <c r="I31" s="4" t="n"/>
      <c r="J31" s="4" t="n"/>
      <c r="K31" s="8" t="n">
        <v>0.425</v>
      </c>
      <c r="L31" s="8" t="n">
        <v>0.555</v>
      </c>
      <c r="M31" s="8" t="n">
        <v>0.7</v>
      </c>
      <c r="N31" s="7">
        <f>IF(E31="","",ROUND(N29+IF(H31&gt;0,E31*H31,E31*K31),2))</f>
        <v/>
      </c>
      <c r="O31" s="7">
        <f>IF(E31="","",ROUND(O29+IF(I31&gt;0,E31*I31,E31*L31),2))</f>
        <v/>
      </c>
      <c r="P31" s="7">
        <f>IF(E31="","",ROUND(P29+IF(J31&gt;0,E31*J31,E31*M31),2))</f>
        <v/>
      </c>
      <c r="Q31" s="9">
        <f>IF(N31="","",IF(ROUNDUP(N31/50,0)&gt;ROUNDUP(N29/50,0),"Lần " &amp; ROUNDUP(N31/50,0),""))</f>
        <v/>
      </c>
      <c r="R31" s="10">
        <f>IF(O31="","",IF(ROUNDUP(O31/200,0)&gt;ROUNDUP(O29/200,0),"Lần " &amp; ROUNDUP(O31/200,0),""))</f>
        <v/>
      </c>
      <c r="S31" s="9">
        <f>IF(P31="","",IF(ROUNDUP(P31/350,0)&gt;ROUNDUP(P29/350,0),"Lần " &amp; ROUNDUP(P31/350,0),""))</f>
        <v/>
      </c>
      <c r="T31" s="4" t="n"/>
      <c r="U31" s="7" t="n"/>
      <c r="AK31" s="726" t="inlineStr">
        <is>
          <t>Khớp bản vẽ (tr.31 bê tông đệm C10) | Mác M100 chưa có cấp phối riêng — đang dùng cấp phối C30 (0,425 t XM; 0,555 m³ cát; 0,700 m³ đá / m³). Nhập cấp phối được duyệt.</t>
        </is>
      </c>
    </row>
    <row r="32" ht="20" customHeight="1" s="672">
      <c r="A32" s="4" t="n">
        <v>28</v>
      </c>
      <c r="B32" s="5" t="inlineStr">
        <is>
          <t>Bê tông tường thân mố M1 (C30 đá 1x2)</t>
        </is>
      </c>
      <c r="C32" s="6">
        <f>IF('Danh mục công việc'!$S$1261="","",'Danh mục công việc'!$S$1261)</f>
        <v/>
      </c>
      <c r="D32" s="6" t="n"/>
      <c r="E32" s="725" t="n">
        <v>52.96</v>
      </c>
      <c r="F32" s="6">
        <f>IF(C32="","",C32+7)</f>
        <v/>
      </c>
      <c r="G32" s="6">
        <f>IF(C32="","",C32+28)</f>
        <v/>
      </c>
      <c r="H32" s="4" t="n"/>
      <c r="I32" s="4" t="n"/>
      <c r="J32" s="4" t="n"/>
      <c r="K32" s="8" t="n">
        <v>0.425</v>
      </c>
      <c r="L32" s="8" t="n">
        <v>0.555</v>
      </c>
      <c r="M32" s="8" t="n">
        <v>0.7</v>
      </c>
      <c r="N32" s="7">
        <f>IF(E32="","",ROUND(N31+IF(H32&gt;0,E32*H32,E32*K32),2))</f>
        <v/>
      </c>
      <c r="O32" s="7">
        <f>IF(E32="","",ROUND(O31+IF(I32&gt;0,E32*I32,E32*L32),2))</f>
        <v/>
      </c>
      <c r="P32" s="7">
        <f>IF(E32="","",ROUND(P31+IF(J32&gt;0,E32*J32,E32*M32),2))</f>
        <v/>
      </c>
      <c r="Q32" s="9">
        <f>IF(N32="","",IF(ROUNDUP(N32/50,0)&gt;ROUNDUP(N31/50,0),"Lần " &amp; ROUNDUP(N32/50,0),""))</f>
        <v/>
      </c>
      <c r="R32" s="10">
        <f>IF(O32="","",IF(ROUNDUP(O32/200,0)&gt;ROUNDUP(O31/200,0),"Lần " &amp; ROUNDUP(O32/200,0),""))</f>
        <v/>
      </c>
      <c r="S32" s="9">
        <f>IF(P32="","",IF(ROUNDUP(P32/350,0)&gt;ROUNDUP(P31/350,0),"Lần " &amp; ROUNDUP(P32/350,0),""))</f>
        <v/>
      </c>
      <c r="T32" s="4" t="n"/>
      <c r="U32" s="7" t="n"/>
      <c r="AK32" s="727" t="inlineStr">
        <is>
          <t>Khớp bản vẽ (tr.31 tường thân mố M1)</t>
        </is>
      </c>
    </row>
    <row r="33" ht="20" customHeight="1" s="672">
      <c r="A33" s="4" t="n">
        <v>29</v>
      </c>
      <c r="B33" s="5" t="inlineStr">
        <is>
          <t>Bê tông lót móng bệ trụ T1 (M100 đá 4x6)</t>
        </is>
      </c>
      <c r="C33" s="6">
        <f>IF('Danh mục công việc'!S1185="","",'Danh mục công việc'!S1185)</f>
        <v/>
      </c>
      <c r="D33" s="6" t="n"/>
      <c r="E33" s="725" t="n">
        <v>8.77</v>
      </c>
      <c r="F33" s="6">
        <f>IF(C33="","",C33+7)</f>
        <v/>
      </c>
      <c r="G33" s="6">
        <f>IF(C33="","",C33+28)</f>
        <v/>
      </c>
      <c r="H33" s="4" t="n"/>
      <c r="I33" s="4" t="n"/>
      <c r="J33" s="4" t="n"/>
      <c r="K33" s="8" t="n">
        <v>0.425</v>
      </c>
      <c r="L33" s="8" t="n">
        <v>0.555</v>
      </c>
      <c r="M33" s="8" t="n">
        <v>0.7</v>
      </c>
      <c r="N33" s="7">
        <f>IF(E33="","",ROUND(N32+IF(H33&gt;0,E33*H33,E33*K33),2))</f>
        <v/>
      </c>
      <c r="O33" s="7">
        <f>IF(E33="","",ROUND(O32+IF(I33&gt;0,E33*I33,E33*L33),2))</f>
        <v/>
      </c>
      <c r="P33" s="7">
        <f>IF(E33="","",ROUND(P32+IF(J33&gt;0,E33*J33,E33*M33),2))</f>
        <v/>
      </c>
      <c r="Q33" s="9">
        <f>IF(N33="","",IF(ROUNDUP(N33/50,0)&gt;ROUNDUP(N32/50,0),"Lần " &amp; ROUNDUP(N33/50,0),""))</f>
        <v/>
      </c>
      <c r="R33" s="10">
        <f>IF(O33="","",IF(ROUNDUP(O33/200,0)&gt;ROUNDUP(O32/200,0),"Lần " &amp; ROUNDUP(O33/200,0),""))</f>
        <v/>
      </c>
      <c r="S33" s="9">
        <f>IF(P33="","",IF(ROUNDUP(P33/350,0)&gt;ROUNDUP(P32/350,0),"Lần " &amp; ROUNDUP(P33/350,0),""))</f>
        <v/>
      </c>
      <c r="T33" s="4" t="n"/>
      <c r="U33" s="7" t="n"/>
      <c r="AK33" s="726" t="inlineStr">
        <is>
          <t>Khớp bản vẽ (tr.44 bê tông đệm C10) | Mác M100 chưa có cấp phối riêng — đang dùng cấp phối C30 (0,425 t XM; 0,555 m³ cát; 0,700 m³ đá / m³). Nhập cấp phối được duyệt.</t>
        </is>
      </c>
    </row>
    <row r="34" ht="20" customHeight="1" s="672">
      <c r="A34" s="4" t="n">
        <v>30</v>
      </c>
      <c r="B34" s="5" t="inlineStr">
        <is>
          <t>Bê tông bệ trụ T1 - Đợt 1 (C30 đá 1x2)</t>
        </is>
      </c>
      <c r="C34" s="6">
        <f>IF('Danh mục công việc'!S1197="","",'Danh mục công việc'!S1197)</f>
        <v/>
      </c>
      <c r="D34" s="6" t="n"/>
      <c r="E34" s="725" t="n">
        <v>92.12</v>
      </c>
      <c r="F34" s="6">
        <f>IF(C34="","",C34+7)</f>
        <v/>
      </c>
      <c r="G34" s="6">
        <f>IF(C34="","",C34+28)</f>
        <v/>
      </c>
      <c r="H34" s="4" t="n"/>
      <c r="I34" s="4" t="n"/>
      <c r="J34" s="4" t="n"/>
      <c r="K34" s="8" t="n">
        <v>0.425</v>
      </c>
      <c r="L34" s="8" t="n">
        <v>0.555</v>
      </c>
      <c r="M34" s="8" t="n">
        <v>0.7</v>
      </c>
      <c r="N34" s="7">
        <f>IF(E34="","",ROUND(N33+IF(H34&gt;0,E34*H34,E34*K34),2))</f>
        <v/>
      </c>
      <c r="O34" s="7">
        <f>IF(E34="","",ROUND(O33+IF(I34&gt;0,E34*I34,E34*L34),2))</f>
        <v/>
      </c>
      <c r="P34" s="7">
        <f>IF(E34="","",ROUND(P33+IF(J34&gt;0,E34*J34,E34*M34),2))</f>
        <v/>
      </c>
      <c r="Q34" s="9">
        <f>IF(N34="","",IF(ROUNDUP(N34/50,0)&gt;ROUNDUP(N33/50,0),"Lần " &amp; ROUNDUP(N34/50,0),""))</f>
        <v/>
      </c>
      <c r="R34" s="10">
        <f>IF(O34="","",IF(ROUNDUP(O34/200,0)&gt;ROUNDUP(O33/200,0),"Lần " &amp; ROUNDUP(O34/200,0),""))</f>
        <v/>
      </c>
      <c r="S34" s="9">
        <f>IF(P34="","",IF(ROUNDUP(P34/350,0)&gt;ROUNDUP(P33/350,0),"Lần " &amp; ROUNDUP(P34/350,0),""))</f>
        <v/>
      </c>
      <c r="T34" s="4" t="n"/>
      <c r="U34" s="7" t="n"/>
      <c r="AK34" s="727" t="inlineStr">
        <is>
          <t>Khớp bản vẽ (tr.44 bệ trụ T1, chia theo tỷ lệ 2 đợt cũ)</t>
        </is>
      </c>
    </row>
    <row r="35" ht="20" customHeight="1" s="672">
      <c r="A35" s="4" t="n">
        <v>31</v>
      </c>
      <c r="B35" s="5" t="inlineStr">
        <is>
          <t>Bê tông bệ trụ T1 - Đợt 2 (C30 đá 1x2)</t>
        </is>
      </c>
      <c r="C35" s="6">
        <f>IF('Danh mục công việc'!S1197="","",'Danh mục công việc'!S1197)</f>
        <v/>
      </c>
      <c r="D35" s="6" t="n"/>
      <c r="E35" s="725" t="n">
        <v>92.12</v>
      </c>
      <c r="F35" s="6">
        <f>IF(C35="","",C35+7)</f>
        <v/>
      </c>
      <c r="G35" s="6">
        <f>IF(C35="","",C35+28)</f>
        <v/>
      </c>
      <c r="H35" s="4" t="n"/>
      <c r="I35" s="4" t="n"/>
      <c r="J35" s="4" t="n"/>
      <c r="K35" s="8" t="n">
        <v>0.425</v>
      </c>
      <c r="L35" s="8" t="n">
        <v>0.555</v>
      </c>
      <c r="M35" s="8" t="n">
        <v>0.7</v>
      </c>
      <c r="N35" s="7">
        <f>IF(E35="","",ROUND(N34+IF(H35&gt;0,E35*H35,E35*K35),2))</f>
        <v/>
      </c>
      <c r="O35" s="7">
        <f>IF(E35="","",ROUND(O34+IF(I35&gt;0,E35*I35,E35*L35),2))</f>
        <v/>
      </c>
      <c r="P35" s="7">
        <f>IF(E35="","",ROUND(P34+IF(J35&gt;0,E35*J35,E35*M35),2))</f>
        <v/>
      </c>
      <c r="Q35" s="9">
        <f>IF(N35="","",IF(ROUNDUP(N35/50,0)&gt;ROUNDUP(N34/50,0),"Lần " &amp; ROUNDUP(N35/50,0),""))</f>
        <v/>
      </c>
      <c r="R35" s="10">
        <f>IF(O35="","",IF(ROUNDUP(O35/200,0)&gt;ROUNDUP(O34/200,0),"Lần " &amp; ROUNDUP(O35/200,0),""))</f>
        <v/>
      </c>
      <c r="S35" s="9">
        <f>IF(P35="","",IF(ROUNDUP(P35/350,0)&gt;ROUNDUP(P34/350,0),"Lần " &amp; ROUNDUP(P35/350,0),""))</f>
        <v/>
      </c>
      <c r="T35" s="4" t="n"/>
      <c r="U35" s="7" t="n"/>
      <c r="AK35" s="727" t="inlineStr">
        <is>
          <t>Khớp bản vẽ (tr.44 bệ trụ T1, chia theo tỷ lệ 2 đợt cũ)</t>
        </is>
      </c>
    </row>
    <row r="36" ht="20" customHeight="1" s="672">
      <c r="A36" s="4" t="n">
        <v>32</v>
      </c>
      <c r="B36" s="5" t="inlineStr">
        <is>
          <t>Bê tông lót móng bệ trụ T2 (M100 đá 4x6)</t>
        </is>
      </c>
      <c r="C36" s="6">
        <f>IF('Danh mục công việc'!S1219="","",'Danh mục công việc'!S1219)</f>
        <v/>
      </c>
      <c r="D36" s="6" t="n"/>
      <c r="E36" s="725" t="n">
        <v>8.77</v>
      </c>
      <c r="F36" s="6">
        <f>IF(C36="","",C36+7)</f>
        <v/>
      </c>
      <c r="G36" s="6">
        <f>IF(C36="","",C36+28)</f>
        <v/>
      </c>
      <c r="H36" s="4" t="n"/>
      <c r="I36" s="4" t="n"/>
      <c r="J36" s="4" t="n"/>
      <c r="K36" s="8" t="n">
        <v>0.425</v>
      </c>
      <c r="L36" s="8" t="n">
        <v>0.555</v>
      </c>
      <c r="M36" s="8" t="n">
        <v>0.7</v>
      </c>
      <c r="N36" s="7">
        <f>IF(E36="","",ROUND(N35+IF(H36&gt;0,E36*H36,E36*K36),2))</f>
        <v/>
      </c>
      <c r="O36" s="7">
        <f>IF(E36="","",ROUND(O35+IF(I36&gt;0,E36*I36,E36*L36),2))</f>
        <v/>
      </c>
      <c r="P36" s="7">
        <f>IF(E36="","",ROUND(P35+IF(J36&gt;0,E36*J36,E36*M36),2))</f>
        <v/>
      </c>
      <c r="Q36" s="9">
        <f>IF(N36="","",IF(ROUNDUP(N36/50,0)&gt;ROUNDUP(N35/50,0),"Lần " &amp; ROUNDUP(N36/50,0),""))</f>
        <v/>
      </c>
      <c r="R36" s="10">
        <f>IF(O36="","",IF(ROUNDUP(O36/200,0)&gt;ROUNDUP(O35/200,0),"Lần " &amp; ROUNDUP(O36/200,0),""))</f>
        <v/>
      </c>
      <c r="S36" s="9">
        <f>IF(P36="","",IF(ROUNDUP(P36/350,0)&gt;ROUNDUP(P35/350,0),"Lần " &amp; ROUNDUP(P36/350,0),""))</f>
        <v/>
      </c>
      <c r="T36" s="4" t="n"/>
      <c r="U36" s="7" t="n"/>
      <c r="AK36" s="726" t="inlineStr">
        <is>
          <t>Bản vẽ: 12,50 → 8,77 m³ (tr.55 bê tông đệm C10) | Mác M100 chưa có cấp phối riêng — đang dùng cấp phối C30 (0,425 t XM; 0,555 m³ cát; 0,700 m³ đá / m³). Nhập cấp phối được duyệt.</t>
        </is>
      </c>
    </row>
    <row r="37" ht="20" customHeight="1" s="672">
      <c r="A37" s="4" t="n">
        <v>33</v>
      </c>
      <c r="B37" s="5" t="inlineStr">
        <is>
          <t>Bê tông bệ trụ T2 - Đợt 1 (C30 đá 1x2)</t>
        </is>
      </c>
      <c r="C37" s="6">
        <f>IF('Danh mục công việc'!S1231="","",'Danh mục công việc'!S1231)</f>
        <v/>
      </c>
      <c r="D37" s="6" t="n"/>
      <c r="E37" s="725" t="n">
        <v>92.12</v>
      </c>
      <c r="F37" s="6">
        <f>IF(C37="","",C37+7)</f>
        <v/>
      </c>
      <c r="G37" s="6">
        <f>IF(C37="","",C37+28)</f>
        <v/>
      </c>
      <c r="H37" s="4" t="n"/>
      <c r="I37" s="4" t="n"/>
      <c r="J37" s="4" t="n"/>
      <c r="K37" s="8" t="n">
        <v>0.425</v>
      </c>
      <c r="L37" s="8" t="n">
        <v>0.555</v>
      </c>
      <c r="M37" s="8" t="n">
        <v>0.7</v>
      </c>
      <c r="N37" s="7">
        <f>IF(E37="","",ROUND(N36+IF(H37&gt;0,E37*H37,E37*K37),2))</f>
        <v/>
      </c>
      <c r="O37" s="7">
        <f>IF(E37="","",ROUND(O36+IF(I37&gt;0,E37*I37,E37*L37),2))</f>
        <v/>
      </c>
      <c r="P37" s="7">
        <f>IF(E37="","",ROUND(P36+IF(J37&gt;0,E37*J37,E37*M37),2))</f>
        <v/>
      </c>
      <c r="Q37" s="9">
        <f>IF(N37="","",IF(ROUNDUP(N37/50,0)&gt;ROUNDUP(N36/50,0),"Lần " &amp; ROUNDUP(N37/50,0),""))</f>
        <v/>
      </c>
      <c r="R37" s="10">
        <f>IF(O37="","",IF(ROUNDUP(O37/200,0)&gt;ROUNDUP(O36/200,0),"Lần " &amp; ROUNDUP(O37/200,0),""))</f>
        <v/>
      </c>
      <c r="S37" s="9">
        <f>IF(P37="","",IF(ROUNDUP(P37/350,0)&gt;ROUNDUP(P36/350,0),"Lần " &amp; ROUNDUP(P37/350,0),""))</f>
        <v/>
      </c>
      <c r="T37" s="4" t="n"/>
      <c r="U37" s="7" t="n"/>
      <c r="AK37" s="727" t="inlineStr">
        <is>
          <t>Khớp bản vẽ (tr.55 bệ trụ T2, chia theo tỷ lệ 2 đợt cũ)</t>
        </is>
      </c>
    </row>
    <row r="38" ht="20" customHeight="1" s="672">
      <c r="A38" s="4" t="n">
        <v>34</v>
      </c>
      <c r="B38" s="5" t="inlineStr">
        <is>
          <t>Bê tông bệ trụ T2 - Đợt 2 (C30 đá 1x2)</t>
        </is>
      </c>
      <c r="C38" s="6">
        <f>IF('Danh mục công việc'!S1231="","",'Danh mục công việc'!S1231)</f>
        <v/>
      </c>
      <c r="D38" s="6" t="n"/>
      <c r="E38" s="725" t="n">
        <v>92.12</v>
      </c>
      <c r="F38" s="6">
        <f>IF(C38="","",C38+7)</f>
        <v/>
      </c>
      <c r="G38" s="6">
        <f>IF(C38="","",C38+28)</f>
        <v/>
      </c>
      <c r="H38" s="4" t="n"/>
      <c r="I38" s="4" t="n"/>
      <c r="J38" s="4" t="n"/>
      <c r="K38" s="8" t="n">
        <v>0.425</v>
      </c>
      <c r="L38" s="8" t="n">
        <v>0.555</v>
      </c>
      <c r="M38" s="8" t="n">
        <v>0.7</v>
      </c>
      <c r="N38" s="7">
        <f>IF(E38="","",ROUND(N37+IF(H38&gt;0,E38*H38,E38*K38),2))</f>
        <v/>
      </c>
      <c r="O38" s="7">
        <f>IF(E38="","",ROUND(O37+IF(I38&gt;0,E38*I38,E38*L38),2))</f>
        <v/>
      </c>
      <c r="P38" s="7">
        <f>IF(E38="","",ROUND(P37+IF(J38&gt;0,E38*J38,E38*M38),2))</f>
        <v/>
      </c>
      <c r="Q38" s="9">
        <f>IF(N38="","",IF(ROUNDUP(N38/50,0)&gt;ROUNDUP(N37/50,0),"Lần " &amp; ROUNDUP(N38/50,0),""))</f>
        <v/>
      </c>
      <c r="R38" s="10">
        <f>IF(O38="","",IF(ROUNDUP(O38/200,0)&gt;ROUNDUP(O37/200,0),"Lần " &amp; ROUNDUP(O38/200,0),""))</f>
        <v/>
      </c>
      <c r="S38" s="9">
        <f>IF(P38="","",IF(ROUNDUP(P38/350,0)&gt;ROUNDUP(P37/350,0),"Lần " &amp; ROUNDUP(P38/350,0),""))</f>
        <v/>
      </c>
      <c r="T38" s="4" t="n"/>
      <c r="U38" s="7" t="n"/>
      <c r="AK38" s="727" t="inlineStr">
        <is>
          <t>Khớp bản vẽ (tr.55 bệ trụ T2, chia theo tỷ lệ 2 đợt cũ)</t>
        </is>
      </c>
    </row>
    <row r="39" ht="20" customHeight="1" s="672">
      <c r="A39" s="4" t="n">
        <v>35</v>
      </c>
      <c r="B39" s="5" t="inlineStr">
        <is>
          <t>Bê tông lót móng bệ mố M2 (M100 đá 4x6)</t>
        </is>
      </c>
      <c r="C39" s="6">
        <f>IF('Danh mục công việc'!S1148="","",'Danh mục công việc'!S1148)</f>
        <v/>
      </c>
      <c r="D39" s="6" t="n"/>
      <c r="E39" s="725" t="n">
        <v>7.09</v>
      </c>
      <c r="F39" s="6">
        <f>IF(C39="","",C39+7)</f>
        <v/>
      </c>
      <c r="G39" s="6">
        <f>IF(C39="","",C39+28)</f>
        <v/>
      </c>
      <c r="H39" s="4" t="n"/>
      <c r="I39" s="4" t="n"/>
      <c r="J39" s="4" t="n"/>
      <c r="K39" s="8" t="n">
        <v>0.425</v>
      </c>
      <c r="L39" s="8" t="n">
        <v>0.555</v>
      </c>
      <c r="M39" s="8" t="n">
        <v>0.7</v>
      </c>
      <c r="N39" s="7">
        <f>IF(E39="","",ROUND(N38+IF(H39&gt;0,E39*H39,E39*K39),2))</f>
        <v/>
      </c>
      <c r="O39" s="7">
        <f>IF(E39="","",ROUND(O38+IF(I39&gt;0,E39*I39,E39*L39),2))</f>
        <v/>
      </c>
      <c r="P39" s="7">
        <f>IF(E39="","",ROUND(P38+IF(J39&gt;0,E39*J39,E39*M39),2))</f>
        <v/>
      </c>
      <c r="Q39" s="9">
        <f>IF(N39="","",IF(ROUNDUP(N39/50,0)&gt;ROUNDUP(N38/50,0),"Lần " &amp; ROUNDUP(N39/50,0),""))</f>
        <v/>
      </c>
      <c r="R39" s="10">
        <f>IF(O39="","",IF(ROUNDUP(O39/200,0)&gt;ROUNDUP(O38/200,0),"Lần " &amp; ROUNDUP(O39/200,0),""))</f>
        <v/>
      </c>
      <c r="S39" s="9">
        <f>IF(P39="","",IF(ROUNDUP(P39/350,0)&gt;ROUNDUP(P38/350,0),"Lần " &amp; ROUNDUP(P39/350,0),""))</f>
        <v/>
      </c>
      <c r="T39" s="4" t="n"/>
      <c r="U39" s="7" t="n"/>
      <c r="AK39" s="726" t="inlineStr">
        <is>
          <t>Bản vẽ: 9,55 → 7,09 m³ (tr.40 bê tông đệm C10). File cũ 9,55 m³ là tổng đệm của CẢ 2 mố (tr.175). | Mác M100 chưa có cấp phối riêng — đang dùng cấp phối C30 (0,425 t XM; 0,555 m³ cát; 0,700 m³ đá / m³). Nhập cấp phối được duyệt.</t>
        </is>
      </c>
    </row>
    <row r="40" ht="20" customHeight="1" s="672">
      <c r="A40" s="4" t="n">
        <v>36</v>
      </c>
      <c r="B40" s="5" t="inlineStr">
        <is>
          <t>Bê tông bệ mố M2 (C30 đá 1x2)</t>
        </is>
      </c>
      <c r="C40" s="6">
        <f>IF('Danh mục công việc'!S1160="","",'Danh mục công việc'!S1160)</f>
        <v/>
      </c>
      <c r="D40" s="6" t="n"/>
      <c r="E40" s="725" t="n">
        <v>148.99</v>
      </c>
      <c r="F40" s="6">
        <f>IF(C40="","",C40+7)</f>
        <v/>
      </c>
      <c r="G40" s="6">
        <f>IF(C40="","",C40+28)</f>
        <v/>
      </c>
      <c r="H40" s="4" t="n"/>
      <c r="I40" s="4" t="n"/>
      <c r="J40" s="4" t="n"/>
      <c r="K40" s="8" t="n">
        <v>0.425</v>
      </c>
      <c r="L40" s="8" t="n">
        <v>0.555</v>
      </c>
      <c r="M40" s="8" t="n">
        <v>0.7</v>
      </c>
      <c r="N40" s="7">
        <f>IF(E40="","",ROUND(N39+IF(H40&gt;0,E40*H40,E40*K40),2))</f>
        <v/>
      </c>
      <c r="O40" s="7">
        <f>IF(E40="","",ROUND(O39+IF(I40&gt;0,E40*I40,E40*L40),2))</f>
        <v/>
      </c>
      <c r="P40" s="7">
        <f>IF(E40="","",ROUND(P39+IF(J40&gt;0,E40*J40,E40*M40),2))</f>
        <v/>
      </c>
      <c r="Q40" s="9">
        <f>IF(N40="","",IF(ROUNDUP(N40/50,0)&gt;ROUNDUP(N39/50,0),"Lần " &amp; ROUNDUP(N40/50,0),""))</f>
        <v/>
      </c>
      <c r="R40" s="10">
        <f>IF(O40="","",IF(ROUNDUP(O40/200,0)&gt;ROUNDUP(O39/200,0),"Lần " &amp; ROUNDUP(O40/200,0),""))</f>
        <v/>
      </c>
      <c r="S40" s="9">
        <f>IF(P40="","",IF(ROUNDUP(P40/350,0)&gt;ROUNDUP(P39/350,0),"Lần " &amp; ROUNDUP(P40/350,0),""))</f>
        <v/>
      </c>
      <c r="T40" s="4" t="n"/>
      <c r="U40" s="7" t="n"/>
      <c r="AK40" s="727" t="inlineStr">
        <is>
          <t>Khớp bản vẽ (tr.40 bệ mố M2)</t>
        </is>
      </c>
    </row>
    <row r="41" ht="22" customHeight="1" s="672">
      <c r="A41" s="664" t="inlineStr">
        <is>
          <t>III. HẠNG MỤC THÂN TRỤ, THÂN MỐ &amp; XÀ MŨ (CÁC ĐỐT LÊN HOÀN THIỆN)</t>
        </is>
      </c>
      <c r="B41" s="722" t="n"/>
      <c r="C41" s="722" t="n"/>
      <c r="D41" s="722" t="n"/>
      <c r="E41" s="722" t="n"/>
      <c r="F41" s="722" t="n"/>
      <c r="G41" s="722" t="n"/>
      <c r="H41" s="722" t="n"/>
      <c r="I41" s="722" t="n"/>
      <c r="J41" s="722" t="n"/>
      <c r="K41" s="722" t="n"/>
      <c r="L41" s="722" t="n"/>
      <c r="M41" s="722" t="n"/>
      <c r="N41" s="722" t="n"/>
      <c r="O41" s="722" t="n"/>
      <c r="P41" s="722" t="n"/>
      <c r="Q41" s="722" t="n"/>
      <c r="R41" s="722" t="n"/>
      <c r="S41" s="722" t="n"/>
      <c r="T41" s="722" t="n"/>
      <c r="U41" s="721" t="n"/>
    </row>
    <row r="42" ht="20" customHeight="1" s="672">
      <c r="A42" s="4" t="n">
        <v>37</v>
      </c>
      <c r="B42" s="5" t="inlineStr">
        <is>
          <t>Bê tông thân trụ T1 - Đốt 1 (C30 đá 1x2)</t>
        </is>
      </c>
      <c r="C42" s="6">
        <f>IF('Danh mục công việc'!S1411="","",'Danh mục công việc'!S1411)</f>
        <v/>
      </c>
      <c r="D42" s="6" t="n"/>
      <c r="E42" s="725" t="n">
        <v>80.87</v>
      </c>
      <c r="F42" s="6">
        <f>IF(C42="","",C42+7)</f>
        <v/>
      </c>
      <c r="G42" s="6">
        <f>IF(C42="","",C42+28)</f>
        <v/>
      </c>
      <c r="H42" s="4" t="n"/>
      <c r="I42" s="4" t="n"/>
      <c r="J42" s="4" t="n"/>
      <c r="K42" s="8" t="n">
        <v>0.425</v>
      </c>
      <c r="L42" s="8" t="n">
        <v>0.555</v>
      </c>
      <c r="M42" s="8" t="n">
        <v>0.7</v>
      </c>
      <c r="N42" s="7">
        <f>IF(E42="","",ROUND(N40+IF(H42&gt;0,E42*H42,E42*K42),2))</f>
        <v/>
      </c>
      <c r="O42" s="7">
        <f>IF(E42="","",ROUND(O40+IF(I42&gt;0,E42*I42,E42*L42),2))</f>
        <v/>
      </c>
      <c r="P42" s="7">
        <f>IF(E42="","",ROUND(P40+IF(J42&gt;0,E42*J42,E42*M42),2))</f>
        <v/>
      </c>
      <c r="Q42" s="9">
        <f>IF(N42="","",IF(ROUNDUP(N42/50,0)&gt;ROUNDUP(N40/50,0),"Lần " &amp; ROUNDUP(N42/50,0),""))</f>
        <v/>
      </c>
      <c r="R42" s="10">
        <f>IF(O42="","",IF(ROUNDUP(O42/200,0)&gt;ROUNDUP(O40/200,0),"Lần " &amp; ROUNDUP(O42/200,0),""))</f>
        <v/>
      </c>
      <c r="S42" s="9">
        <f>IF(P42="","",IF(ROUNDUP(P42/350,0)&gt;ROUNDUP(P40/350,0),"Lần " &amp; ROUNDUP(P42/350,0),""))</f>
        <v/>
      </c>
      <c r="T42" s="4" t="n"/>
      <c r="U42" s="7" t="n"/>
      <c r="AK42" s="726" t="inlineStr">
        <is>
          <t>Bản vẽ: 42,00 → 80,87 m³ (tr.48 thân trụ T1, chia theo tỷ lệ 3 đốt cũ). Bản vẽ 234,92 m³ (file cũ 122 m³) — chia 3 đốt theo tỷ lệ cũ; xác nhận chiều cao từng đốt.</t>
        </is>
      </c>
    </row>
    <row r="43" ht="20" customHeight="1" s="672">
      <c r="A43" s="4" t="n">
        <v>38</v>
      </c>
      <c r="B43" s="5" t="inlineStr">
        <is>
          <t>Bê tông thân trụ T1 - Đốt 2 (C30 đá 1x2)</t>
        </is>
      </c>
      <c r="C43" s="6">
        <f>IF('Danh mục công việc'!S1369="","",'Danh mục công việc'!S1369)</f>
        <v/>
      </c>
      <c r="D43" s="6" t="n"/>
      <c r="E43" s="725" t="n">
        <v>80.87</v>
      </c>
      <c r="F43" s="6">
        <f>IF(C43="","",C43+7)</f>
        <v/>
      </c>
      <c r="G43" s="6">
        <f>IF(C43="","",C43+28)</f>
        <v/>
      </c>
      <c r="H43" s="4" t="n"/>
      <c r="I43" s="4" t="n"/>
      <c r="J43" s="4" t="n"/>
      <c r="K43" s="8" t="n">
        <v>0.425</v>
      </c>
      <c r="L43" s="8" t="n">
        <v>0.555</v>
      </c>
      <c r="M43" s="8" t="n">
        <v>0.7</v>
      </c>
      <c r="N43" s="7">
        <f>IF(E43="","",ROUND(N42+IF(H43&gt;0,E43*H43,E43*K43),2))</f>
        <v/>
      </c>
      <c r="O43" s="7">
        <f>IF(E43="","",ROUND(O42+IF(I43&gt;0,E43*I43,E43*L43),2))</f>
        <v/>
      </c>
      <c r="P43" s="7">
        <f>IF(E43="","",ROUND(P42+IF(J43&gt;0,E43*J43,E43*M43),2))</f>
        <v/>
      </c>
      <c r="Q43" s="9">
        <f>IF(N43="","",IF(ROUNDUP(N43/50,0)&gt;ROUNDUP(N42/50,0),"Lần " &amp; ROUNDUP(N43/50,0),""))</f>
        <v/>
      </c>
      <c r="R43" s="10">
        <f>IF(O43="","",IF(ROUNDUP(O43/200,0)&gt;ROUNDUP(O42/200,0),"Lần " &amp; ROUNDUP(O43/200,0),""))</f>
        <v/>
      </c>
      <c r="S43" s="9">
        <f>IF(P43="","",IF(ROUNDUP(P43/350,0)&gt;ROUNDUP(P42/350,0),"Lần " &amp; ROUNDUP(P43/350,0),""))</f>
        <v/>
      </c>
      <c r="T43" s="4" t="n"/>
      <c r="U43" s="7" t="n"/>
      <c r="AK43" s="726" t="inlineStr">
        <is>
          <t>Bản vẽ: 42,00 → 80,87 m³ (tr.48 thân trụ T1, chia theo tỷ lệ 3 đốt cũ). Bản vẽ 234,92 m³ (file cũ 122 m³) — chia 3 đốt theo tỷ lệ cũ; xác nhận chiều cao từng đốt.</t>
        </is>
      </c>
    </row>
    <row r="44" ht="20" customHeight="1" s="672">
      <c r="A44" s="4" t="n">
        <v>39</v>
      </c>
      <c r="B44" s="5" t="inlineStr">
        <is>
          <t>Bê tông thân trụ T1 - Đốt 3 (C30 đá 1x2)</t>
        </is>
      </c>
      <c r="C44" s="6">
        <f>IF('Danh mục công việc'!S1348="","",'Danh mục công việc'!S1348)</f>
        <v/>
      </c>
      <c r="D44" s="6" t="n"/>
      <c r="E44" s="725" t="n">
        <v>73.18000000000001</v>
      </c>
      <c r="F44" s="6">
        <f>IF(C44="","",C44+7)</f>
        <v/>
      </c>
      <c r="G44" s="6">
        <f>IF(C44="","",C44+28)</f>
        <v/>
      </c>
      <c r="H44" s="4" t="n"/>
      <c r="I44" s="4" t="n"/>
      <c r="J44" s="4" t="n"/>
      <c r="K44" s="8" t="n">
        <v>0.425</v>
      </c>
      <c r="L44" s="8" t="n">
        <v>0.555</v>
      </c>
      <c r="M44" s="8" t="n">
        <v>0.7</v>
      </c>
      <c r="N44" s="7">
        <f>IF(E44="","",ROUND(N43+IF(H44&gt;0,E44*H44,E44*K44),2))</f>
        <v/>
      </c>
      <c r="O44" s="7">
        <f>IF(E44="","",ROUND(O43+IF(I44&gt;0,E44*I44,E44*L44),2))</f>
        <v/>
      </c>
      <c r="P44" s="7">
        <f>IF(E44="","",ROUND(P43+IF(J44&gt;0,E44*J44,E44*M44),2))</f>
        <v/>
      </c>
      <c r="Q44" s="9">
        <f>IF(N44="","",IF(ROUNDUP(N44/50,0)&gt;ROUNDUP(N43/50,0),"Lần " &amp; ROUNDUP(N44/50,0),""))</f>
        <v/>
      </c>
      <c r="R44" s="10">
        <f>IF(O44="","",IF(ROUNDUP(O44/200,0)&gt;ROUNDUP(O43/200,0),"Lần " &amp; ROUNDUP(O44/200,0),""))</f>
        <v/>
      </c>
      <c r="S44" s="9">
        <f>IF(P44="","",IF(ROUNDUP(P44/350,0)&gt;ROUNDUP(P43/350,0),"Lần " &amp; ROUNDUP(P44/350,0),""))</f>
        <v/>
      </c>
      <c r="T44" s="4" t="n"/>
      <c r="U44" s="7" t="n"/>
      <c r="AK44" s="726" t="inlineStr">
        <is>
          <t>Bản vẽ: 38,00 → 73,18 m³ (tr.48 thân trụ T1, chia theo tỷ lệ 3 đốt cũ). Bản vẽ 234,92 m³ (file cũ 122 m³) — chia 3 đốt theo tỷ lệ cũ; xác nhận chiều cao từng đốt.</t>
        </is>
      </c>
    </row>
    <row r="45" ht="20" customHeight="1" s="672">
      <c r="A45" s="4" t="n">
        <v>40</v>
      </c>
      <c r="B45" s="5" t="inlineStr">
        <is>
          <t>Bê tông xà mũ trụ T1 &amp; đá kê gối (C35/C30 đá 1x2)</t>
        </is>
      </c>
      <c r="C45" s="6" t="n"/>
      <c r="D45" s="6" t="n"/>
      <c r="E45" s="725" t="n">
        <v>72.51000000000001</v>
      </c>
      <c r="F45" s="6">
        <f>IF(C45="","",C45+7)</f>
        <v/>
      </c>
      <c r="G45" s="6">
        <f>IF(C45="","",C45+28)</f>
        <v/>
      </c>
      <c r="H45" s="4" t="n"/>
      <c r="I45" s="4" t="n"/>
      <c r="J45" s="4" t="n"/>
      <c r="K45" s="8" t="n">
        <v>0.425</v>
      </c>
      <c r="L45" s="8" t="n">
        <v>0.555</v>
      </c>
      <c r="M45" s="8" t="n">
        <v>0.7</v>
      </c>
      <c r="N45" s="7">
        <f>IF(E45="","",ROUND(N44+IF(H45&gt;0,E45*H45,E45*K45),2))</f>
        <v/>
      </c>
      <c r="O45" s="7">
        <f>IF(E45="","",ROUND(O44+IF(I45&gt;0,E45*I45,E45*L45),2))</f>
        <v/>
      </c>
      <c r="P45" s="7">
        <f>IF(E45="","",ROUND(P44+IF(J45&gt;0,E45*J45,E45*M45),2))</f>
        <v/>
      </c>
      <c r="Q45" s="9">
        <f>IF(N45="","",IF(ROUNDUP(N45/50,0)&gt;ROUNDUP(N44/50,0),"Lần " &amp; ROUNDUP(N45/50,0),""))</f>
        <v/>
      </c>
      <c r="R45" s="10">
        <f>IF(O45="","",IF(ROUNDUP(O45/200,0)&gt;ROUNDUP(O44/200,0),"Lần " &amp; ROUNDUP(O45/200,0),""))</f>
        <v/>
      </c>
      <c r="S45" s="9">
        <f>IF(P45="","",IF(ROUNDUP(P45/350,0)&gt;ROUNDUP(P44/350,0),"Lần " &amp; ROUNDUP(P45/350,0),""))</f>
        <v/>
      </c>
      <c r="T45" s="4" t="n"/>
      <c r="U45" s="7" t="n"/>
      <c r="AK45" s="726" t="inlineStr">
        <is>
          <t>Bản vẽ: 45,00 → 72,51 m³ (tr.51 xà mũ trụ T1) | Mác C35 chưa có cấp phối riêng — đang dùng cấp phối C30 (0,425 t XM; 0,555 m³ cát; 0,700 m³ đá / m³). Nhập cấp phối được duyệt.</t>
        </is>
      </c>
    </row>
    <row r="46" ht="20" customHeight="1" s="672">
      <c r="A46" s="4" t="n">
        <v>41</v>
      </c>
      <c r="B46" s="5" t="inlineStr">
        <is>
          <t>Bê tông thân trụ T2 - Đốt 1 (C30 đá 1x2)</t>
        </is>
      </c>
      <c r="C46" s="6">
        <f>IF('Danh mục công việc'!S1516="","",'Danh mục công việc'!S1516)</f>
        <v/>
      </c>
      <c r="D46" s="6" t="n"/>
      <c r="E46" s="725" t="n">
        <v>90.95</v>
      </c>
      <c r="F46" s="6">
        <f>IF(C46="","",C46+7)</f>
        <v/>
      </c>
      <c r="G46" s="6">
        <f>IF(C46="","",C46+28)</f>
        <v/>
      </c>
      <c r="H46" s="4" t="n"/>
      <c r="I46" s="4" t="n"/>
      <c r="J46" s="4" t="n"/>
      <c r="K46" s="8" t="n">
        <v>0.425</v>
      </c>
      <c r="L46" s="8" t="n">
        <v>0.555</v>
      </c>
      <c r="M46" s="8" t="n">
        <v>0.7</v>
      </c>
      <c r="N46" s="7">
        <f>IF(E46="","",ROUND(N45+IF(H46&gt;0,E46*H46,E46*K46),2))</f>
        <v/>
      </c>
      <c r="O46" s="7">
        <f>IF(E46="","",ROUND(O45+IF(I46&gt;0,E46*I46,E46*L46),2))</f>
        <v/>
      </c>
      <c r="P46" s="7">
        <f>IF(E46="","",ROUND(P45+IF(J46&gt;0,E46*J46,E46*M46),2))</f>
        <v/>
      </c>
      <c r="Q46" s="9">
        <f>IF(N46="","",IF(ROUNDUP(N46/50,0)&gt;ROUNDUP(N45/50,0),"Lần " &amp; ROUNDUP(N46/50,0),""))</f>
        <v/>
      </c>
      <c r="R46" s="10">
        <f>IF(O46="","",IF(ROUNDUP(O46/200,0)&gt;ROUNDUP(O45/200,0),"Lần " &amp; ROUNDUP(O46/200,0),""))</f>
        <v/>
      </c>
      <c r="S46" s="9">
        <f>IF(P46="","",IF(ROUNDUP(P46/350,0)&gt;ROUNDUP(P45/350,0),"Lần " &amp; ROUNDUP(P46/350,0),""))</f>
        <v/>
      </c>
      <c r="T46" s="4" t="n"/>
      <c r="U46" s="7" t="n"/>
      <c r="AK46" s="726" t="inlineStr">
        <is>
          <t>Bản vẽ: 45,00 → 90,95 m³ (tr.59 thân trụ T2, chia theo tỷ lệ 3 đốt cũ). Bản vẽ 266,79 m³ (file cũ 132 m³) — chia 3 đốt theo tỷ lệ cũ; xác nhận chiều cao từng đốt.</t>
        </is>
      </c>
    </row>
    <row r="47" ht="20" customHeight="1" s="672">
      <c r="A47" s="4" t="n">
        <v>42</v>
      </c>
      <c r="B47" s="5" t="inlineStr">
        <is>
          <t>Bê tông thân trụ T2 - Đốt 2 (C30 đá 1x2)</t>
        </is>
      </c>
      <c r="C47" s="6">
        <f>IF('Danh mục công việc'!S1474="","",'Danh mục công việc'!S1474)</f>
        <v/>
      </c>
      <c r="D47" s="6" t="n"/>
      <c r="E47" s="725" t="n">
        <v>90.95</v>
      </c>
      <c r="F47" s="6">
        <f>IF(C47="","",C47+7)</f>
        <v/>
      </c>
      <c r="G47" s="6">
        <f>IF(C47="","",C47+28)</f>
        <v/>
      </c>
      <c r="H47" s="4" t="n"/>
      <c r="I47" s="4" t="n"/>
      <c r="J47" s="4" t="n"/>
      <c r="K47" s="8" t="n">
        <v>0.425</v>
      </c>
      <c r="L47" s="8" t="n">
        <v>0.555</v>
      </c>
      <c r="M47" s="8" t="n">
        <v>0.7</v>
      </c>
      <c r="N47" s="7">
        <f>IF(E47="","",ROUND(N46+IF(H47&gt;0,E47*H47,E47*K47),2))</f>
        <v/>
      </c>
      <c r="O47" s="7">
        <f>IF(E47="","",ROUND(O46+IF(I47&gt;0,E47*I47,E47*L47),2))</f>
        <v/>
      </c>
      <c r="P47" s="7">
        <f>IF(E47="","",ROUND(P46+IF(J47&gt;0,E47*J47,E47*M47),2))</f>
        <v/>
      </c>
      <c r="Q47" s="9">
        <f>IF(N47="","",IF(ROUNDUP(N47/50,0)&gt;ROUNDUP(N46/50,0),"Lần " &amp; ROUNDUP(N47/50,0),""))</f>
        <v/>
      </c>
      <c r="R47" s="10">
        <f>IF(O47="","",IF(ROUNDUP(O47/200,0)&gt;ROUNDUP(O46/200,0),"Lần " &amp; ROUNDUP(O47/200,0),""))</f>
        <v/>
      </c>
      <c r="S47" s="9">
        <f>IF(P47="","",IF(ROUNDUP(P47/350,0)&gt;ROUNDUP(P46/350,0),"Lần " &amp; ROUNDUP(P47/350,0),""))</f>
        <v/>
      </c>
      <c r="T47" s="4" t="n"/>
      <c r="U47" s="7" t="n"/>
      <c r="AK47" s="726" t="inlineStr">
        <is>
          <t>Bản vẽ: 45,00 → 90,95 m³ (tr.59 thân trụ T2, chia theo tỷ lệ 3 đốt cũ). Bản vẽ 266,79 m³ (file cũ 132 m³) — chia 3 đốt theo tỷ lệ cũ; xác nhận chiều cao từng đốt.</t>
        </is>
      </c>
    </row>
    <row r="48" ht="20" customHeight="1" s="672">
      <c r="A48" s="4" t="n">
        <v>43</v>
      </c>
      <c r="B48" s="5" t="inlineStr">
        <is>
          <t>Bê tông thân trụ T2 - Đốt 3 (C30 đá 1x2)</t>
        </is>
      </c>
      <c r="C48" s="6">
        <f>IF('Danh mục công việc'!S1453="","",'Danh mục công việc'!S1453)</f>
        <v/>
      </c>
      <c r="D48" s="6" t="n"/>
      <c r="E48" s="725" t="n">
        <v>84.89</v>
      </c>
      <c r="F48" s="6">
        <f>IF(C48="","",C48+7)</f>
        <v/>
      </c>
      <c r="G48" s="6">
        <f>IF(C48="","",C48+28)</f>
        <v/>
      </c>
      <c r="H48" s="4" t="n"/>
      <c r="I48" s="4" t="n"/>
      <c r="J48" s="4" t="n"/>
      <c r="K48" s="8" t="n">
        <v>0.425</v>
      </c>
      <c r="L48" s="8" t="n">
        <v>0.555</v>
      </c>
      <c r="M48" s="8" t="n">
        <v>0.7</v>
      </c>
      <c r="N48" s="7">
        <f>IF(E48="","",ROUND(N47+IF(H48&gt;0,E48*H48,E48*K48),2))</f>
        <v/>
      </c>
      <c r="O48" s="7">
        <f>IF(E48="","",ROUND(O47+IF(I48&gt;0,E48*I48,E48*L48),2))</f>
        <v/>
      </c>
      <c r="P48" s="7">
        <f>IF(E48="","",ROUND(P47+IF(J48&gt;0,E48*J48,E48*M48),2))</f>
        <v/>
      </c>
      <c r="Q48" s="9">
        <f>IF(N48="","",IF(ROUNDUP(N48/50,0)&gt;ROUNDUP(N47/50,0),"Lần " &amp; ROUNDUP(N48/50,0),""))</f>
        <v/>
      </c>
      <c r="R48" s="10">
        <f>IF(O48="","",IF(ROUNDUP(O48/200,0)&gt;ROUNDUP(O47/200,0),"Lần " &amp; ROUNDUP(O48/200,0),""))</f>
        <v/>
      </c>
      <c r="S48" s="9">
        <f>IF(P48="","",IF(ROUNDUP(P48/350,0)&gt;ROUNDUP(P47/350,0),"Lần " &amp; ROUNDUP(P48/350,0),""))</f>
        <v/>
      </c>
      <c r="T48" s="4" t="n"/>
      <c r="U48" s="7" t="n"/>
      <c r="AK48" s="726" t="inlineStr">
        <is>
          <t>Bản vẽ: 42,00 → 84,89 m³ (tr.59 thân trụ T2, chia theo tỷ lệ 3 đốt cũ). Bản vẽ 266,79 m³ (file cũ 132 m³) — chia 3 đốt theo tỷ lệ cũ; xác nhận chiều cao từng đốt.</t>
        </is>
      </c>
    </row>
    <row r="49" ht="20" customHeight="1" s="672">
      <c r="A49" s="4" t="n">
        <v>44</v>
      </c>
      <c r="B49" s="5" t="inlineStr">
        <is>
          <t>Bê tông xà mũ trụ T2 &amp; đá kê gối (C35/C30 đá 1x2)</t>
        </is>
      </c>
      <c r="C49" s="6" t="n"/>
      <c r="D49" s="6" t="n"/>
      <c r="E49" s="725" t="n">
        <v>72.51000000000001</v>
      </c>
      <c r="F49" s="6">
        <f>IF(C49="","",C49+7)</f>
        <v/>
      </c>
      <c r="G49" s="6">
        <f>IF(C49="","",C49+28)</f>
        <v/>
      </c>
      <c r="H49" s="4" t="n"/>
      <c r="I49" s="4" t="n"/>
      <c r="J49" s="4" t="n"/>
      <c r="K49" s="8" t="n">
        <v>0.425</v>
      </c>
      <c r="L49" s="8" t="n">
        <v>0.555</v>
      </c>
      <c r="M49" s="8" t="n">
        <v>0.7</v>
      </c>
      <c r="N49" s="7">
        <f>IF(E49="","",ROUND(N48+IF(H49&gt;0,E49*H49,E49*K49),2))</f>
        <v/>
      </c>
      <c r="O49" s="7">
        <f>IF(E49="","",ROUND(O48+IF(I49&gt;0,E49*I49,E49*L49),2))</f>
        <v/>
      </c>
      <c r="P49" s="7">
        <f>IF(E49="","",ROUND(P48+IF(J49&gt;0,E49*J49,E49*M49),2))</f>
        <v/>
      </c>
      <c r="Q49" s="9">
        <f>IF(N49="","",IF(ROUNDUP(N49/50,0)&gt;ROUNDUP(N48/50,0),"Lần " &amp; ROUNDUP(N49/50,0),""))</f>
        <v/>
      </c>
      <c r="R49" s="10">
        <f>IF(O49="","",IF(ROUNDUP(O49/200,0)&gt;ROUNDUP(O48/200,0),"Lần " &amp; ROUNDUP(O49/200,0),""))</f>
        <v/>
      </c>
      <c r="S49" s="9">
        <f>IF(P49="","",IF(ROUNDUP(P49/350,0)&gt;ROUNDUP(P48/350,0),"Lần " &amp; ROUNDUP(P49/350,0),""))</f>
        <v/>
      </c>
      <c r="T49" s="4" t="n"/>
      <c r="U49" s="7" t="n"/>
      <c r="AK49" s="726" t="inlineStr">
        <is>
          <t>Bản vẽ: 45,00 → 72,51 m³ (tr.62 xà mũ trụ T2) | Mác C35 chưa có cấp phối riêng — đang dùng cấp phối C30 (0,425 t XM; 0,555 m³ cát; 0,700 m³ đá / m³). Nhập cấp phối được duyệt.</t>
        </is>
      </c>
    </row>
    <row r="50" ht="20" customHeight="1" s="672">
      <c r="A50" s="4" t="n">
        <v>45</v>
      </c>
      <c r="B50" s="5" t="inlineStr">
        <is>
          <t>Bê tông tường thân mố M1 - Đợt 1 (C30 đá 1x2)</t>
        </is>
      </c>
      <c r="C50" s="6">
        <f>IF('Danh mục công việc'!S1261="","",'Danh mục công việc'!S1261)</f>
        <v/>
      </c>
      <c r="D50" s="6" t="n"/>
      <c r="E50" s="725" t="n">
        <v>0</v>
      </c>
      <c r="F50" s="6">
        <f>IF(C50="","",C50+7)</f>
        <v/>
      </c>
      <c r="G50" s="6">
        <f>IF(C50="","",C50+28)</f>
        <v/>
      </c>
      <c r="H50" s="4" t="n"/>
      <c r="I50" s="4" t="n"/>
      <c r="J50" s="4" t="n"/>
      <c r="K50" s="8" t="n">
        <v>0.425</v>
      </c>
      <c r="L50" s="8" t="n">
        <v>0.555</v>
      </c>
      <c r="M50" s="8" t="n">
        <v>0.7</v>
      </c>
      <c r="N50" s="7">
        <f>IF(E50="","",ROUND(N49+IF(H50&gt;0,E50*H50,E50*K50),2))</f>
        <v/>
      </c>
      <c r="O50" s="7">
        <f>IF(E50="","",ROUND(O49+IF(I50&gt;0,E50*I50,E50*L50),2))</f>
        <v/>
      </c>
      <c r="P50" s="7">
        <f>IF(E50="","",ROUND(P49+IF(J50&gt;0,E50*J50,E50*M50),2))</f>
        <v/>
      </c>
      <c r="Q50" s="9">
        <f>IF(N50="","",IF(ROUNDUP(N50/50,0)&gt;ROUNDUP(N49/50,0),"Lần " &amp; ROUNDUP(N50/50,0),""))</f>
        <v/>
      </c>
      <c r="R50" s="10">
        <f>IF(O50="","",IF(ROUNDUP(O50/200,0)&gt;ROUNDUP(O49/200,0),"Lần " &amp; ROUNDUP(O50/200,0),""))</f>
        <v/>
      </c>
      <c r="S50" s="9">
        <f>IF(P50="","",IF(ROUNDUP(P50/350,0)&gt;ROUNDUP(P49/350,0),"Lần " &amp; ROUNDUP(P50/350,0),""))</f>
        <v/>
      </c>
      <c r="T50" s="4" t="n"/>
      <c r="U50" s="7" t="n"/>
      <c r="AK50" s="726" t="inlineStr">
        <is>
          <t>Bản vẽ: 45,00 → 0,00 m³ (trùng với dòng 'tường thân mố M1' phía trên). Tường thân mố M1 đã tính ở dòng 'thân mố M1' (52,96 m³ = tr.31). Hai dòng đợt 1/2 (45 + 39,44 m³, giống số của mố M2) bị tính trùng — để 0. Nếu đổ 2 đợt thì chia 52,96 m³ lại.</t>
        </is>
      </c>
    </row>
    <row r="51" ht="20" customHeight="1" s="672">
      <c r="A51" s="4" t="n">
        <v>46</v>
      </c>
      <c r="B51" s="5" t="inlineStr">
        <is>
          <t>Bê tông tường thân mố M1 - Đợt 2 (C30 đá 1x2)</t>
        </is>
      </c>
      <c r="C51" s="6">
        <f>IF('Danh mục công việc'!S1285="","",'Danh mục công việc'!S1285)</f>
        <v/>
      </c>
      <c r="D51" s="6" t="n"/>
      <c r="E51" s="725" t="n">
        <v>0</v>
      </c>
      <c r="F51" s="6">
        <f>IF(C51="","",C51+7)</f>
        <v/>
      </c>
      <c r="G51" s="6">
        <f>IF(C51="","",C51+28)</f>
        <v/>
      </c>
      <c r="H51" s="4" t="n"/>
      <c r="I51" s="4" t="n"/>
      <c r="J51" s="4" t="n"/>
      <c r="K51" s="8" t="n">
        <v>0.425</v>
      </c>
      <c r="L51" s="8" t="n">
        <v>0.555</v>
      </c>
      <c r="M51" s="8" t="n">
        <v>0.7</v>
      </c>
      <c r="N51" s="7">
        <f>IF(E51="","",ROUND(N50+IF(H51&gt;0,E51*H51,E51*K51),2))</f>
        <v/>
      </c>
      <c r="O51" s="7">
        <f>IF(E51="","",ROUND(O50+IF(I51&gt;0,E51*I51,E51*L51),2))</f>
        <v/>
      </c>
      <c r="P51" s="7">
        <f>IF(E51="","",ROUND(P50+IF(J51&gt;0,E51*J51,E51*M51),2))</f>
        <v/>
      </c>
      <c r="Q51" s="9">
        <f>IF(N51="","",IF(ROUNDUP(N51/50,0)&gt;ROUNDUP(N50/50,0),"Lần " &amp; ROUNDUP(N51/50,0),""))</f>
        <v/>
      </c>
      <c r="R51" s="10">
        <f>IF(O51="","",IF(ROUNDUP(O51/200,0)&gt;ROUNDUP(O50/200,0),"Lần " &amp; ROUNDUP(O51/200,0),""))</f>
        <v/>
      </c>
      <c r="S51" s="9">
        <f>IF(P51="","",IF(ROUNDUP(P51/350,0)&gt;ROUNDUP(P50/350,0),"Lần " &amp; ROUNDUP(P51/350,0),""))</f>
        <v/>
      </c>
      <c r="T51" s="4" t="n"/>
      <c r="U51" s="7" t="n"/>
      <c r="AK51" s="726" t="inlineStr">
        <is>
          <t>Bản vẽ: 39,44 → 0,00 m³ (trùng với dòng 'tường thân mố M1' phía trên). Tường thân mố M1 đã tính ở dòng 'thân mố M1' (52,96 m³ = tr.31). Hai dòng đợt 1/2 (45 + 39,44 m³, giống số của mố M2) bị tính trùng — để 0. Nếu đổ 2 đợt thì chia 52,96 m³ lại.</t>
        </is>
      </c>
    </row>
    <row r="52" ht="20" customHeight="1" s="672">
      <c r="A52" s="4" t="n">
        <v>47</v>
      </c>
      <c r="B52" s="5" t="inlineStr">
        <is>
          <t>Bê tông tường đỉnh mố M1 &amp; đá kê gối (C30)</t>
        </is>
      </c>
      <c r="C52" s="6" t="n"/>
      <c r="D52" s="6" t="n"/>
      <c r="E52" s="725" t="n">
        <v>14.23</v>
      </c>
      <c r="F52" s="6">
        <f>IF(C52="","",C52+7)</f>
        <v/>
      </c>
      <c r="G52" s="6">
        <f>IF(C52="","",C52+28)</f>
        <v/>
      </c>
      <c r="H52" s="4" t="n"/>
      <c r="I52" s="4" t="n"/>
      <c r="J52" s="4" t="n"/>
      <c r="K52" s="8" t="n">
        <v>0.425</v>
      </c>
      <c r="L52" s="8" t="n">
        <v>0.555</v>
      </c>
      <c r="M52" s="8" t="n">
        <v>0.7</v>
      </c>
      <c r="N52" s="7">
        <f>IF(E52="","",ROUND(N51+IF(H52&gt;0,E52*H52,E52*K52),2))</f>
        <v/>
      </c>
      <c r="O52" s="7">
        <f>IF(E52="","",ROUND(O51+IF(I52&gt;0,E52*I52,E52*L52),2))</f>
        <v/>
      </c>
      <c r="P52" s="7">
        <f>IF(E52="","",ROUND(P51+IF(J52&gt;0,E52*J52,E52*M52),2))</f>
        <v/>
      </c>
      <c r="Q52" s="9">
        <f>IF(N52="","",IF(ROUNDUP(N52/50,0)&gt;ROUNDUP(N51/50,0),"Lần " &amp; ROUNDUP(N52/50,0),""))</f>
        <v/>
      </c>
      <c r="R52" s="10">
        <f>IF(O52="","",IF(ROUNDUP(O52/200,0)&gt;ROUNDUP(O51/200,0),"Lần " &amp; ROUNDUP(O52/200,0),""))</f>
        <v/>
      </c>
      <c r="S52" s="9">
        <f>IF(P52="","",IF(ROUNDUP(P52/350,0)&gt;ROUNDUP(P51/350,0),"Lần " &amp; ROUNDUP(P52/350,0),""))</f>
        <v/>
      </c>
      <c r="T52" s="4" t="n"/>
      <c r="U52" s="7" t="n"/>
      <c r="AK52" s="726" t="inlineStr">
        <is>
          <t>Bản vẽ: 14,33 → 14,23 m³ (tr.31 tường đỉnh mố M1)</t>
        </is>
      </c>
    </row>
    <row r="53" ht="20" customHeight="1" s="672">
      <c r="A53" s="4" t="n">
        <v>48</v>
      </c>
      <c r="B53" s="5" t="inlineStr">
        <is>
          <t>Bê tông tường cánh, gờ lan can, ụ chống chuyển vị, tường tai mố M1 (C30)</t>
        </is>
      </c>
      <c r="C53" s="6" t="n"/>
      <c r="D53" s="6" t="n"/>
      <c r="E53" s="725" t="n">
        <v>7.93</v>
      </c>
      <c r="F53" s="6">
        <f>IF(C53="","",C53+7)</f>
        <v/>
      </c>
      <c r="G53" s="6">
        <f>IF(C53="","",C53+28)</f>
        <v/>
      </c>
      <c r="H53" s="4" t="n"/>
      <c r="I53" s="4" t="n"/>
      <c r="J53" s="4" t="n"/>
      <c r="K53" s="8" t="n">
        <v>0.425</v>
      </c>
      <c r="L53" s="8" t="n">
        <v>0.555</v>
      </c>
      <c r="M53" s="8" t="n">
        <v>0.7</v>
      </c>
      <c r="N53" s="7">
        <f>IF(E53="","",ROUND(N52+IF(H53&gt;0,E53*H53,E53*K53),2))</f>
        <v/>
      </c>
      <c r="O53" s="7">
        <f>IF(E53="","",ROUND(O52+IF(I53&gt;0,E53*I53,E53*L53),2))</f>
        <v/>
      </c>
      <c r="P53" s="7">
        <f>IF(E53="","",ROUND(P52+IF(J53&gt;0,E53*J53,E53*M53),2))</f>
        <v/>
      </c>
      <c r="Q53" s="9">
        <f>IF(N53="","",IF(ROUNDUP(N53/50,0)&gt;ROUNDUP(N52/50,0),"Lần " &amp; ROUNDUP(N53/50,0),""))</f>
        <v/>
      </c>
      <c r="R53" s="10">
        <f>IF(O53="","",IF(ROUNDUP(O53/200,0)&gt;ROUNDUP(O52/200,0),"Lần " &amp; ROUNDUP(O53/200,0),""))</f>
        <v/>
      </c>
      <c r="S53" s="9">
        <f>IF(P53="","",IF(ROUNDUP(P53/350,0)&gt;ROUNDUP(P52/350,0),"Lần " &amp; ROUNDUP(P53/350,0),""))</f>
        <v/>
      </c>
      <c r="T53" s="4" t="n"/>
      <c r="U53" s="7" t="n"/>
      <c r="AK53" s="726" t="inlineStr">
        <is>
          <t>Bản vẽ: 10,13 → 7,93 m³ (tr.31 tường cánh 3,45 + gờ lan can/ụ chống chuyển vị/tường tai 4,48). Gộp 'gờ lan can, ụ chống chuyển vị, tường tai' (tr.31) vào dòng tường cánh vì file chưa có dòng riêng.</t>
        </is>
      </c>
    </row>
    <row r="54" ht="20" customHeight="1" s="672">
      <c r="A54" s="4" t="n">
        <v>49</v>
      </c>
      <c r="B54" s="5" t="inlineStr">
        <is>
          <t>Bê tông tường thân mố M2 - Đợt 1 (C30 đá 1x2)</t>
        </is>
      </c>
      <c r="C54" s="6">
        <f>IF('Danh mục công việc'!S1306="","",'Danh mục công việc'!S1306)</f>
        <v/>
      </c>
      <c r="D54" s="6" t="n"/>
      <c r="E54" s="725" t="n">
        <v>61.77</v>
      </c>
      <c r="F54" s="6">
        <f>IF(C54="","",C54+7)</f>
        <v/>
      </c>
      <c r="G54" s="6">
        <f>IF(C54="","",C54+28)</f>
        <v/>
      </c>
      <c r="H54" s="4" t="n"/>
      <c r="I54" s="4" t="n"/>
      <c r="J54" s="4" t="n"/>
      <c r="K54" s="8" t="n">
        <v>0.425</v>
      </c>
      <c r="L54" s="8" t="n">
        <v>0.555</v>
      </c>
      <c r="M54" s="8" t="n">
        <v>0.7</v>
      </c>
      <c r="N54" s="7">
        <f>IF(E54="","",ROUND(N53+IF(H54&gt;0,E54*H54,E54*K54),2))</f>
        <v/>
      </c>
      <c r="O54" s="7">
        <f>IF(E54="","",ROUND(O53+IF(I54&gt;0,E54*I54,E54*L54),2))</f>
        <v/>
      </c>
      <c r="P54" s="7">
        <f>IF(E54="","",ROUND(P53+IF(J54&gt;0,E54*J54,E54*M54),2))</f>
        <v/>
      </c>
      <c r="Q54" s="9">
        <f>IF(N54="","",IF(ROUNDUP(N54/50,0)&gt;ROUNDUP(N53/50,0),"Lần " &amp; ROUNDUP(N54/50,0),""))</f>
        <v/>
      </c>
      <c r="R54" s="10">
        <f>IF(O54="","",IF(ROUNDUP(O54/200,0)&gt;ROUNDUP(O53/200,0),"Lần " &amp; ROUNDUP(O54/200,0),""))</f>
        <v/>
      </c>
      <c r="S54" s="9">
        <f>IF(P54="","",IF(ROUNDUP(P54/350,0)&gt;ROUNDUP(P53/350,0),"Lần " &amp; ROUNDUP(P54/350,0),""))</f>
        <v/>
      </c>
      <c r="T54" s="4" t="n"/>
      <c r="U54" s="7" t="n"/>
      <c r="AK54" s="726" t="inlineStr">
        <is>
          <t>Bản vẽ: 45,00 → 61,77 m³ (tr.40 tường thân mố M2, chia theo tỷ lệ 2 đợt cũ). Bản vẽ 115,91 m³ (file cũ 84,44 m³) — chia 2 đợt theo tỷ lệ cũ; xác nhận cao độ mạch ngừng.</t>
        </is>
      </c>
    </row>
    <row r="55" ht="20" customHeight="1" s="672">
      <c r="A55" s="4" t="n">
        <v>50</v>
      </c>
      <c r="B55" s="5" t="inlineStr">
        <is>
          <t>Bê tông tường thân mố M2 - Đợt 2 (C30 đá 1x2)</t>
        </is>
      </c>
      <c r="C55" s="6">
        <f>IF('Danh mục công việc'!S1327="","",'Danh mục công việc'!S1327)</f>
        <v/>
      </c>
      <c r="D55" s="6" t="n"/>
      <c r="E55" s="725" t="n">
        <v>54.14</v>
      </c>
      <c r="F55" s="6">
        <f>IF(C55="","",C55+7)</f>
        <v/>
      </c>
      <c r="G55" s="6">
        <f>IF(C55="","",C55+28)</f>
        <v/>
      </c>
      <c r="H55" s="4" t="n"/>
      <c r="I55" s="4" t="n"/>
      <c r="J55" s="4" t="n"/>
      <c r="K55" s="8" t="n">
        <v>0.425</v>
      </c>
      <c r="L55" s="8" t="n">
        <v>0.555</v>
      </c>
      <c r="M55" s="8" t="n">
        <v>0.7</v>
      </c>
      <c r="N55" s="7">
        <f>IF(E55="","",ROUND(N54+IF(H55&gt;0,E55*H55,E55*K55),2))</f>
        <v/>
      </c>
      <c r="O55" s="7">
        <f>IF(E55="","",ROUND(O54+IF(I55&gt;0,E55*I55,E55*L55),2))</f>
        <v/>
      </c>
      <c r="P55" s="7">
        <f>IF(E55="","",ROUND(P54+IF(J55&gt;0,E55*J55,E55*M55),2))</f>
        <v/>
      </c>
      <c r="Q55" s="9">
        <f>IF(N55="","",IF(ROUNDUP(N55/50,0)&gt;ROUNDUP(N54/50,0),"Lần " &amp; ROUNDUP(N55/50,0),""))</f>
        <v/>
      </c>
      <c r="R55" s="10">
        <f>IF(O55="","",IF(ROUNDUP(O55/200,0)&gt;ROUNDUP(O54/200,0),"Lần " &amp; ROUNDUP(O55/200,0),""))</f>
        <v/>
      </c>
      <c r="S55" s="9">
        <f>IF(P55="","",IF(ROUNDUP(P55/350,0)&gt;ROUNDUP(P54/350,0),"Lần " &amp; ROUNDUP(P55/350,0),""))</f>
        <v/>
      </c>
      <c r="T55" s="4" t="n"/>
      <c r="U55" s="7" t="n"/>
      <c r="AK55" s="726" t="inlineStr">
        <is>
          <t>Bản vẽ: 39,44 → 54,14 m³ (tr.40 tường thân mố M2, chia theo tỷ lệ 2 đợt cũ). Bản vẽ 115,91 m³ (file cũ 84,44 m³) — chia 2 đợt theo tỷ lệ cũ; xác nhận cao độ mạch ngừng.</t>
        </is>
      </c>
    </row>
    <row r="56" ht="20" customHeight="1" s="672">
      <c r="A56" s="4" t="n">
        <v>51</v>
      </c>
      <c r="B56" s="5" t="inlineStr">
        <is>
          <t>Bê tông tường đỉnh mố M2 &amp; đá kê gối (C30)</t>
        </is>
      </c>
      <c r="C56" s="6" t="n"/>
      <c r="D56" s="6" t="n"/>
      <c r="E56" s="725" t="n">
        <v>14.43</v>
      </c>
      <c r="F56" s="6">
        <f>IF(C56="","",C56+7)</f>
        <v/>
      </c>
      <c r="G56" s="6">
        <f>IF(C56="","",C56+28)</f>
        <v/>
      </c>
      <c r="H56" s="4" t="n"/>
      <c r="I56" s="4" t="n"/>
      <c r="J56" s="4" t="n"/>
      <c r="K56" s="8" t="n">
        <v>0.425</v>
      </c>
      <c r="L56" s="8" t="n">
        <v>0.555</v>
      </c>
      <c r="M56" s="8" t="n">
        <v>0.7</v>
      </c>
      <c r="N56" s="7">
        <f>IF(E56="","",ROUND(N55+IF(H56&gt;0,E56*H56,E56*K56),2))</f>
        <v/>
      </c>
      <c r="O56" s="7">
        <f>IF(E56="","",ROUND(O55+IF(I56&gt;0,E56*I56,E56*L56),2))</f>
        <v/>
      </c>
      <c r="P56" s="7">
        <f>IF(E56="","",ROUND(P55+IF(J56&gt;0,E56*J56,E56*M56),2))</f>
        <v/>
      </c>
      <c r="Q56" s="9">
        <f>IF(N56="","",IF(ROUNDUP(N56/50,0)&gt;ROUNDUP(N55/50,0),"Lần " &amp; ROUNDUP(N56/50,0),""))</f>
        <v/>
      </c>
      <c r="R56" s="10">
        <f>IF(O56="","",IF(ROUNDUP(O56/200,0)&gt;ROUNDUP(O55/200,0),"Lần " &amp; ROUNDUP(O56/200,0),""))</f>
        <v/>
      </c>
      <c r="S56" s="9">
        <f>IF(P56="","",IF(ROUNDUP(P56/350,0)&gt;ROUNDUP(P55/350,0),"Lần " &amp; ROUNDUP(P56/350,0),""))</f>
        <v/>
      </c>
      <c r="T56" s="4" t="n"/>
      <c r="U56" s="7" t="n"/>
      <c r="AK56" s="726" t="inlineStr">
        <is>
          <t>Bản vẽ: 14,33 → 14,43 m³ (tr.40 tường đỉnh mố M2)</t>
        </is>
      </c>
    </row>
    <row r="57" ht="20" customHeight="1" s="672">
      <c r="A57" s="4" t="n">
        <v>52</v>
      </c>
      <c r="B57" s="5" t="inlineStr">
        <is>
          <t>Bê tông tường cánh, gờ lan can, ụ chống chuyển vị, tường tai mố M2 (C30)</t>
        </is>
      </c>
      <c r="C57" s="6" t="n"/>
      <c r="D57" s="6" t="n"/>
      <c r="E57" s="725" t="n">
        <v>21.91</v>
      </c>
      <c r="F57" s="6">
        <f>IF(C57="","",C57+7)</f>
        <v/>
      </c>
      <c r="G57" s="6">
        <f>IF(C57="","",C57+28)</f>
        <v/>
      </c>
      <c r="H57" s="4" t="n"/>
      <c r="I57" s="4" t="n"/>
      <c r="J57" s="4" t="n"/>
      <c r="K57" s="8" t="n">
        <v>0.425</v>
      </c>
      <c r="L57" s="8" t="n">
        <v>0.555</v>
      </c>
      <c r="M57" s="8" t="n">
        <v>0.7</v>
      </c>
      <c r="N57" s="7">
        <f>IF(E57="","",ROUND(N56+IF(H57&gt;0,E57*H57,E57*K57),2))</f>
        <v/>
      </c>
      <c r="O57" s="7">
        <f>IF(E57="","",ROUND(O56+IF(I57&gt;0,E57*I57,E57*L57),2))</f>
        <v/>
      </c>
      <c r="P57" s="7">
        <f>IF(E57="","",ROUND(P56+IF(J57&gt;0,E57*J57,E57*M57),2))</f>
        <v/>
      </c>
      <c r="Q57" s="9">
        <f>IF(N57="","",IF(ROUNDUP(N57/50,0)&gt;ROUNDUP(N56/50,0),"Lần " &amp; ROUNDUP(N57/50,0),""))</f>
        <v/>
      </c>
      <c r="R57" s="10">
        <f>IF(O57="","",IF(ROUNDUP(O57/200,0)&gt;ROUNDUP(O56/200,0),"Lần " &amp; ROUNDUP(O57/200,0),""))</f>
        <v/>
      </c>
      <c r="S57" s="9">
        <f>IF(P57="","",IF(ROUNDUP(P57/350,0)&gt;ROUNDUP(P56/350,0),"Lần " &amp; ROUNDUP(P57/350,0),""))</f>
        <v/>
      </c>
      <c r="T57" s="4" t="n"/>
      <c r="U57" s="7" t="n"/>
      <c r="AK57" s="726" t="inlineStr">
        <is>
          <t>Bản vẽ: 10,13 → 21,91 m³ (tr.40 tường cánh 16,81 + gờ lan can/ụ chống chuyển vị/tường tai 5,10). Gộp 'gờ lan can, ụ chống chuyển vị, tường tai' (tr.40) vào dòng tường cánh.</t>
        </is>
      </c>
    </row>
    <row r="58" ht="22" customHeight="1" s="672">
      <c r="A58" s="664" t="inlineStr">
        <is>
          <t>IV. HẠNG MỤC DẦM CHỦ SUPER-T L=38.2M (15 PHIẾN DẦM C45/C35)</t>
        </is>
      </c>
      <c r="B58" s="722" t="n"/>
      <c r="C58" s="722" t="n"/>
      <c r="D58" s="722" t="n"/>
      <c r="E58" s="722" t="n"/>
      <c r="F58" s="722" t="n"/>
      <c r="G58" s="722" t="n"/>
      <c r="H58" s="722" t="n"/>
      <c r="I58" s="722" t="n"/>
      <c r="J58" s="722" t="n"/>
      <c r="K58" s="722" t="n"/>
      <c r="L58" s="722" t="n"/>
      <c r="M58" s="722" t="n"/>
      <c r="N58" s="722" t="n"/>
      <c r="O58" s="722" t="n"/>
      <c r="P58" s="722" t="n"/>
      <c r="Q58" s="722" t="n"/>
      <c r="R58" s="722" t="n"/>
      <c r="S58" s="722" t="n"/>
      <c r="T58" s="722" t="n"/>
      <c r="U58" s="721" t="n"/>
    </row>
    <row r="59" ht="20" customHeight="1" s="672">
      <c r="A59" s="4" t="n">
        <v>53</v>
      </c>
      <c r="B59" s="5" t="inlineStr">
        <is>
          <t>Bê tông dầm Super-T Nhịp 1 - Phiến D1 (C45 đá 1x2)</t>
        </is>
      </c>
      <c r="C59" s="6" t="n"/>
      <c r="D59" s="6" t="n"/>
      <c r="E59" s="725" t="n">
        <v>28.99</v>
      </c>
      <c r="F59" s="6">
        <f>IF(C59="","",C59+7)</f>
        <v/>
      </c>
      <c r="G59" s="6">
        <f>IF(C59="","",C59+28)</f>
        <v/>
      </c>
      <c r="H59" s="4" t="n"/>
      <c r="I59" s="4" t="n"/>
      <c r="J59" s="4" t="n"/>
      <c r="K59" s="8" t="n">
        <v>0.425</v>
      </c>
      <c r="L59" s="8" t="n">
        <v>0.555</v>
      </c>
      <c r="M59" s="8" t="n">
        <v>0.7</v>
      </c>
      <c r="N59" s="7">
        <f>IF(E59="","",ROUND(N57+IF(H59&gt;0,E59*H59,E59*K59),2))</f>
        <v/>
      </c>
      <c r="O59" s="7">
        <f>IF(E59="","",ROUND(O57+IF(I59&gt;0,E59*I59,E59*L59),2))</f>
        <v/>
      </c>
      <c r="P59" s="7">
        <f>IF(E59="","",ROUND(P57+IF(J59&gt;0,E59*J59,E59*M59),2))</f>
        <v/>
      </c>
      <c r="Q59" s="9">
        <f>IF(N59="","",IF(ROUNDUP(N59/50,0)&gt;ROUNDUP(N57/50,0),"Lần " &amp; ROUNDUP(N59/50,0),""))</f>
        <v/>
      </c>
      <c r="R59" s="10">
        <f>IF(O59="","",IF(ROUNDUP(O59/200,0)&gt;ROUNDUP(O57/200,0),"Lần " &amp; ROUNDUP(O59/200,0),""))</f>
        <v/>
      </c>
      <c r="S59" s="9">
        <f>IF(P59="","",IF(ROUNDUP(P59/350,0)&gt;ROUNDUP(P57/350,0),"Lần " &amp; ROUNDUP(P59/350,0),""))</f>
        <v/>
      </c>
      <c r="T59" s="4" t="n"/>
      <c r="U59" s="7" t="n"/>
      <c r="AK59" s="726" t="inlineStr">
        <is>
          <t>Khớp bản vẽ (tr.175 bê tông 15 phiến ÷ 15). Bình quân 15 phiến; từng loại: S1B1 29,25 (tr.88), S1G 28,83 (tr.94) m³ — thay theo loại phiến khi có sơ đồ vị trí. | Mác C45 chưa có cấp phối riêng — đang dùng cấp phối C30 (0,425 t XM; 0,555 m³ cát; 0,700 m³ đá / m³). Nhập cấp phối được duyệt.</t>
        </is>
      </c>
    </row>
    <row r="60" ht="20" customHeight="1" s="672">
      <c r="A60" s="4" t="n">
        <v>54</v>
      </c>
      <c r="B60" s="5" t="inlineStr">
        <is>
          <t>Bê tông dầm Super-T Nhịp 1 - Phiến D2 (C45 đá 1x2)</t>
        </is>
      </c>
      <c r="C60" s="6" t="n"/>
      <c r="D60" s="6" t="n"/>
      <c r="E60" s="725" t="n">
        <v>28.99</v>
      </c>
      <c r="F60" s="6">
        <f>IF(C60="","",C60+7)</f>
        <v/>
      </c>
      <c r="G60" s="6">
        <f>IF(C60="","",C60+28)</f>
        <v/>
      </c>
      <c r="H60" s="4" t="n"/>
      <c r="I60" s="4" t="n"/>
      <c r="J60" s="4" t="n"/>
      <c r="K60" s="8" t="n">
        <v>0.425</v>
      </c>
      <c r="L60" s="8" t="n">
        <v>0.555</v>
      </c>
      <c r="M60" s="8" t="n">
        <v>0.7</v>
      </c>
      <c r="N60" s="7">
        <f>IF(E60="","",ROUND(N59+IF(H60&gt;0,E60*H60,E60*K60),2))</f>
        <v/>
      </c>
      <c r="O60" s="7">
        <f>IF(E60="","",ROUND(O59+IF(I60&gt;0,E60*I60,E60*L60),2))</f>
        <v/>
      </c>
      <c r="P60" s="7">
        <f>IF(E60="","",ROUND(P59+IF(J60&gt;0,E60*J60,E60*M60),2))</f>
        <v/>
      </c>
      <c r="Q60" s="9">
        <f>IF(N60="","",IF(ROUNDUP(N60/50,0)&gt;ROUNDUP(N59/50,0),"Lần " &amp; ROUNDUP(N60/50,0),""))</f>
        <v/>
      </c>
      <c r="R60" s="10">
        <f>IF(O60="","",IF(ROUNDUP(O60/200,0)&gt;ROUNDUP(O59/200,0),"Lần " &amp; ROUNDUP(O60/200,0),""))</f>
        <v/>
      </c>
      <c r="S60" s="9">
        <f>IF(P60="","",IF(ROUNDUP(P60/350,0)&gt;ROUNDUP(P59/350,0),"Lần " &amp; ROUNDUP(P60/350,0),""))</f>
        <v/>
      </c>
      <c r="T60" s="4" t="n"/>
      <c r="U60" s="7" t="n"/>
      <c r="AK60" s="726" t="inlineStr">
        <is>
          <t>Khớp bản vẽ (tr.175 bê tông 15 phiến ÷ 15). Bình quân 15 phiến; từng loại: S1B1 29,25 (tr.88), S1G 28,83 (tr.94) m³ — thay theo loại phiến khi có sơ đồ vị trí. | Mác C45 chưa có cấp phối riêng — đang dùng cấp phối C30 (0,425 t XM; 0,555 m³ cát; 0,700 m³ đá / m³). Nhập cấp phối được duyệt.</t>
        </is>
      </c>
    </row>
    <row r="61" ht="20" customHeight="1" s="672">
      <c r="A61" s="4" t="n">
        <v>55</v>
      </c>
      <c r="B61" s="5" t="inlineStr">
        <is>
          <t>Bê tông dầm Super-T Nhịp 1 - Phiến D3 (C45 đá 1x2)</t>
        </is>
      </c>
      <c r="C61" s="6" t="n"/>
      <c r="D61" s="6" t="n"/>
      <c r="E61" s="725" t="n">
        <v>28.99</v>
      </c>
      <c r="F61" s="6">
        <f>IF(C61="","",C61+7)</f>
        <v/>
      </c>
      <c r="G61" s="6">
        <f>IF(C61="","",C61+28)</f>
        <v/>
      </c>
      <c r="H61" s="4" t="n"/>
      <c r="I61" s="4" t="n"/>
      <c r="J61" s="4" t="n"/>
      <c r="K61" s="8" t="n">
        <v>0.425</v>
      </c>
      <c r="L61" s="8" t="n">
        <v>0.555</v>
      </c>
      <c r="M61" s="8" t="n">
        <v>0.7</v>
      </c>
      <c r="N61" s="7">
        <f>IF(E61="","",ROUND(N60+IF(H61&gt;0,E61*H61,E61*K61),2))</f>
        <v/>
      </c>
      <c r="O61" s="7">
        <f>IF(E61="","",ROUND(O60+IF(I61&gt;0,E61*I61,E61*L61),2))</f>
        <v/>
      </c>
      <c r="P61" s="7">
        <f>IF(E61="","",ROUND(P60+IF(J61&gt;0,E61*J61,E61*M61),2))</f>
        <v/>
      </c>
      <c r="Q61" s="9">
        <f>IF(N61="","",IF(ROUNDUP(N61/50,0)&gt;ROUNDUP(N60/50,0),"Lần " &amp; ROUNDUP(N61/50,0),""))</f>
        <v/>
      </c>
      <c r="R61" s="10">
        <f>IF(O61="","",IF(ROUNDUP(O61/200,0)&gt;ROUNDUP(O60/200,0),"Lần " &amp; ROUNDUP(O61/200,0),""))</f>
        <v/>
      </c>
      <c r="S61" s="9">
        <f>IF(P61="","",IF(ROUNDUP(P61/350,0)&gt;ROUNDUP(P60/350,0),"Lần " &amp; ROUNDUP(P61/350,0),""))</f>
        <v/>
      </c>
      <c r="T61" s="4" t="n"/>
      <c r="U61" s="7" t="n"/>
      <c r="AK61" s="726" t="inlineStr">
        <is>
          <t>Khớp bản vẽ (tr.175 bê tông 15 phiến ÷ 15). Bình quân 15 phiến; từng loại: S1B1 29,25 (tr.88), S1G 28,83 (tr.94) m³ — thay theo loại phiến khi có sơ đồ vị trí. | Mác C45 chưa có cấp phối riêng — đang dùng cấp phối C30 (0,425 t XM; 0,555 m³ cát; 0,700 m³ đá / m³). Nhập cấp phối được duyệt.</t>
        </is>
      </c>
    </row>
    <row r="62" ht="20" customHeight="1" s="672">
      <c r="A62" s="4" t="n">
        <v>56</v>
      </c>
      <c r="B62" s="5" t="inlineStr">
        <is>
          <t>Bê tông dầm Super-T Nhịp 1 - Phiến D4 (C45 đá 1x2)</t>
        </is>
      </c>
      <c r="C62" s="6" t="n"/>
      <c r="D62" s="6" t="n"/>
      <c r="E62" s="725" t="n">
        <v>28.99</v>
      </c>
      <c r="F62" s="6">
        <f>IF(C62="","",C62+7)</f>
        <v/>
      </c>
      <c r="G62" s="6">
        <f>IF(C62="","",C62+28)</f>
        <v/>
      </c>
      <c r="H62" s="4" t="n"/>
      <c r="I62" s="4" t="n"/>
      <c r="J62" s="4" t="n"/>
      <c r="K62" s="8" t="n">
        <v>0.425</v>
      </c>
      <c r="L62" s="8" t="n">
        <v>0.555</v>
      </c>
      <c r="M62" s="8" t="n">
        <v>0.7</v>
      </c>
      <c r="N62" s="7">
        <f>IF(E62="","",ROUND(N61+IF(H62&gt;0,E62*H62,E62*K62),2))</f>
        <v/>
      </c>
      <c r="O62" s="7">
        <f>IF(E62="","",ROUND(O61+IF(I62&gt;0,E62*I62,E62*L62),2))</f>
        <v/>
      </c>
      <c r="P62" s="7">
        <f>IF(E62="","",ROUND(P61+IF(J62&gt;0,E62*J62,E62*M62),2))</f>
        <v/>
      </c>
      <c r="Q62" s="9">
        <f>IF(N62="","",IF(ROUNDUP(N62/50,0)&gt;ROUNDUP(N61/50,0),"Lần " &amp; ROUNDUP(N62/50,0),""))</f>
        <v/>
      </c>
      <c r="R62" s="10">
        <f>IF(O62="","",IF(ROUNDUP(O62/200,0)&gt;ROUNDUP(O61/200,0),"Lần " &amp; ROUNDUP(O62/200,0),""))</f>
        <v/>
      </c>
      <c r="S62" s="9">
        <f>IF(P62="","",IF(ROUNDUP(P62/350,0)&gt;ROUNDUP(P61/350,0),"Lần " &amp; ROUNDUP(P62/350,0),""))</f>
        <v/>
      </c>
      <c r="T62" s="4" t="n"/>
      <c r="U62" s="7" t="n"/>
      <c r="AK62" s="726" t="inlineStr">
        <is>
          <t>Khớp bản vẽ (tr.175 bê tông 15 phiến ÷ 15). Bình quân 15 phiến; từng loại: S1B1 29,25 (tr.88), S1G 28,83 (tr.94) m³ — thay theo loại phiến khi có sơ đồ vị trí. | Mác C45 chưa có cấp phối riêng — đang dùng cấp phối C30 (0,425 t XM; 0,555 m³ cát; 0,700 m³ đá / m³). Nhập cấp phối được duyệt.</t>
        </is>
      </c>
    </row>
    <row r="63" ht="20" customHeight="1" s="672">
      <c r="A63" s="4" t="n">
        <v>57</v>
      </c>
      <c r="B63" s="5" t="inlineStr">
        <is>
          <t>Bê tông dầm Super-T Nhịp 1 - Phiến D5 (C45 đá 1x2)</t>
        </is>
      </c>
      <c r="C63" s="6" t="n"/>
      <c r="D63" s="6" t="n"/>
      <c r="E63" s="725" t="n">
        <v>28.99</v>
      </c>
      <c r="F63" s="6">
        <f>IF(C63="","",C63+7)</f>
        <v/>
      </c>
      <c r="G63" s="6">
        <f>IF(C63="","",C63+28)</f>
        <v/>
      </c>
      <c r="H63" s="4" t="n"/>
      <c r="I63" s="4" t="n"/>
      <c r="J63" s="4" t="n"/>
      <c r="K63" s="8" t="n">
        <v>0.425</v>
      </c>
      <c r="L63" s="8" t="n">
        <v>0.555</v>
      </c>
      <c r="M63" s="8" t="n">
        <v>0.7</v>
      </c>
      <c r="N63" s="7">
        <f>IF(E63="","",ROUND(N62+IF(H63&gt;0,E63*H63,E63*K63),2))</f>
        <v/>
      </c>
      <c r="O63" s="7">
        <f>IF(E63="","",ROUND(O62+IF(I63&gt;0,E63*I63,E63*L63),2))</f>
        <v/>
      </c>
      <c r="P63" s="7">
        <f>IF(E63="","",ROUND(P62+IF(J63&gt;0,E63*J63,E63*M63),2))</f>
        <v/>
      </c>
      <c r="Q63" s="9">
        <f>IF(N63="","",IF(ROUNDUP(N63/50,0)&gt;ROUNDUP(N62/50,0),"Lần " &amp; ROUNDUP(N63/50,0),""))</f>
        <v/>
      </c>
      <c r="R63" s="10">
        <f>IF(O63="","",IF(ROUNDUP(O63/200,0)&gt;ROUNDUP(O62/200,0),"Lần " &amp; ROUNDUP(O63/200,0),""))</f>
        <v/>
      </c>
      <c r="S63" s="9">
        <f>IF(P63="","",IF(ROUNDUP(P63/350,0)&gt;ROUNDUP(P62/350,0),"Lần " &amp; ROUNDUP(P63/350,0),""))</f>
        <v/>
      </c>
      <c r="T63" s="4" t="n"/>
      <c r="U63" s="7" t="n"/>
      <c r="AK63" s="726" t="inlineStr">
        <is>
          <t>Khớp bản vẽ (tr.175 bê tông 15 phiến ÷ 15). Bình quân 15 phiến; từng loại: S1B1 29,25 (tr.88), S1G 28,83 (tr.94) m³ — thay theo loại phiến khi có sơ đồ vị trí. | Mác C45 chưa có cấp phối riêng — đang dùng cấp phối C30 (0,425 t XM; 0,555 m³ cát; 0,700 m³ đá / m³). Nhập cấp phối được duyệt.</t>
        </is>
      </c>
    </row>
    <row r="64" ht="20" customHeight="1" s="672">
      <c r="A64" s="4" t="n">
        <v>58</v>
      </c>
      <c r="B64" s="5" t="inlineStr">
        <is>
          <t>Bê tông dầm Super-T Nhịp 2 - Phiến D1 (C45 đá 1x2)</t>
        </is>
      </c>
      <c r="C64" s="6" t="n"/>
      <c r="D64" s="6" t="n"/>
      <c r="E64" s="725" t="n">
        <v>28.99</v>
      </c>
      <c r="F64" s="6">
        <f>IF(C64="","",C64+7)</f>
        <v/>
      </c>
      <c r="G64" s="6">
        <f>IF(C64="","",C64+28)</f>
        <v/>
      </c>
      <c r="H64" s="4" t="n"/>
      <c r="I64" s="4" t="n"/>
      <c r="J64" s="4" t="n"/>
      <c r="K64" s="8" t="n">
        <v>0.425</v>
      </c>
      <c r="L64" s="8" t="n">
        <v>0.555</v>
      </c>
      <c r="M64" s="8" t="n">
        <v>0.7</v>
      </c>
      <c r="N64" s="7">
        <f>IF(E64="","",ROUND(N63+IF(H64&gt;0,E64*H64,E64*K64),2))</f>
        <v/>
      </c>
      <c r="O64" s="7">
        <f>IF(E64="","",ROUND(O63+IF(I64&gt;0,E64*I64,E64*L64),2))</f>
        <v/>
      </c>
      <c r="P64" s="7">
        <f>IF(E64="","",ROUND(P63+IF(J64&gt;0,E64*J64,E64*M64),2))</f>
        <v/>
      </c>
      <c r="Q64" s="9">
        <f>IF(N64="","",IF(ROUNDUP(N64/50,0)&gt;ROUNDUP(N63/50,0),"Lần " &amp; ROUNDUP(N64/50,0),""))</f>
        <v/>
      </c>
      <c r="R64" s="10">
        <f>IF(O64="","",IF(ROUNDUP(O64/200,0)&gt;ROUNDUP(O63/200,0),"Lần " &amp; ROUNDUP(O64/200,0),""))</f>
        <v/>
      </c>
      <c r="S64" s="9">
        <f>IF(P64="","",IF(ROUNDUP(P64/350,0)&gt;ROUNDUP(P63/350,0),"Lần " &amp; ROUNDUP(P64/350,0),""))</f>
        <v/>
      </c>
      <c r="T64" s="4" t="n"/>
      <c r="U64" s="7" t="n"/>
      <c r="AK64" s="726" t="inlineStr">
        <is>
          <t>Khớp bản vẽ (tr.175 bê tông 15 phiến ÷ 15). Bình quân 15 phiến; từng loại: S1B1 29,25 (tr.88), S1G 28,83 (tr.94) m³ — thay theo loại phiến khi có sơ đồ vị trí. | Mác C45 chưa có cấp phối riêng — đang dùng cấp phối C30 (0,425 t XM; 0,555 m³ cát; 0,700 m³ đá / m³). Nhập cấp phối được duyệt.</t>
        </is>
      </c>
    </row>
    <row r="65" ht="20" customHeight="1" s="672">
      <c r="A65" s="4" t="n">
        <v>59</v>
      </c>
      <c r="B65" s="5" t="inlineStr">
        <is>
          <t>Bê tông dầm Super-T Nhịp 2 - Phiến D2 (C45 đá 1x2)</t>
        </is>
      </c>
      <c r="C65" s="6" t="n"/>
      <c r="D65" s="6" t="n"/>
      <c r="E65" s="725" t="n">
        <v>28.99</v>
      </c>
      <c r="F65" s="6">
        <f>IF(C65="","",C65+7)</f>
        <v/>
      </c>
      <c r="G65" s="6">
        <f>IF(C65="","",C65+28)</f>
        <v/>
      </c>
      <c r="H65" s="4" t="n"/>
      <c r="I65" s="4" t="n"/>
      <c r="J65" s="4" t="n"/>
      <c r="K65" s="8" t="n">
        <v>0.425</v>
      </c>
      <c r="L65" s="8" t="n">
        <v>0.555</v>
      </c>
      <c r="M65" s="8" t="n">
        <v>0.7</v>
      </c>
      <c r="N65" s="7">
        <f>IF(E65="","",ROUND(N64+IF(H65&gt;0,E65*H65,E65*K65),2))</f>
        <v/>
      </c>
      <c r="O65" s="7">
        <f>IF(E65="","",ROUND(O64+IF(I65&gt;0,E65*I65,E65*L65),2))</f>
        <v/>
      </c>
      <c r="P65" s="7">
        <f>IF(E65="","",ROUND(P64+IF(J65&gt;0,E65*J65,E65*M65),2))</f>
        <v/>
      </c>
      <c r="Q65" s="9">
        <f>IF(N65="","",IF(ROUNDUP(N65/50,0)&gt;ROUNDUP(N64/50,0),"Lần " &amp; ROUNDUP(N65/50,0),""))</f>
        <v/>
      </c>
      <c r="R65" s="10">
        <f>IF(O65="","",IF(ROUNDUP(O65/200,0)&gt;ROUNDUP(O64/200,0),"Lần " &amp; ROUNDUP(O65/200,0),""))</f>
        <v/>
      </c>
      <c r="S65" s="9">
        <f>IF(P65="","",IF(ROUNDUP(P65/350,0)&gt;ROUNDUP(P64/350,0),"Lần " &amp; ROUNDUP(P65/350,0),""))</f>
        <v/>
      </c>
      <c r="T65" s="4" t="n"/>
      <c r="U65" s="7" t="n"/>
      <c r="AK65" s="726" t="inlineStr">
        <is>
          <t>Khớp bản vẽ (tr.175 bê tông 15 phiến ÷ 15). Bình quân 15 phiến; từng loại: S1B1 29,25 (tr.88), S1G 28,83 (tr.94) m³ — thay theo loại phiến khi có sơ đồ vị trí. | Mác C45 chưa có cấp phối riêng — đang dùng cấp phối C30 (0,425 t XM; 0,555 m³ cát; 0,700 m³ đá / m³). Nhập cấp phối được duyệt.</t>
        </is>
      </c>
    </row>
    <row r="66" ht="20" customHeight="1" s="672">
      <c r="A66" s="4" t="n">
        <v>60</v>
      </c>
      <c r="B66" s="5" t="inlineStr">
        <is>
          <t>Bê tông dầm Super-T Nhịp 2 - Phiến D3 (C45 đá 1x2)</t>
        </is>
      </c>
      <c r="C66" s="6" t="n"/>
      <c r="D66" s="6" t="n"/>
      <c r="E66" s="725" t="n">
        <v>28.99</v>
      </c>
      <c r="F66" s="6">
        <f>IF(C66="","",C66+7)</f>
        <v/>
      </c>
      <c r="G66" s="6">
        <f>IF(C66="","",C66+28)</f>
        <v/>
      </c>
      <c r="H66" s="4" t="n"/>
      <c r="I66" s="4" t="n"/>
      <c r="J66" s="4" t="n"/>
      <c r="K66" s="8" t="n">
        <v>0.425</v>
      </c>
      <c r="L66" s="8" t="n">
        <v>0.555</v>
      </c>
      <c r="M66" s="8" t="n">
        <v>0.7</v>
      </c>
      <c r="N66" s="7">
        <f>IF(E66="","",ROUND(N65+IF(H66&gt;0,E66*H66,E66*K66),2))</f>
        <v/>
      </c>
      <c r="O66" s="7">
        <f>IF(E66="","",ROUND(O65+IF(I66&gt;0,E66*I66,E66*L66),2))</f>
        <v/>
      </c>
      <c r="P66" s="7">
        <f>IF(E66="","",ROUND(P65+IF(J66&gt;0,E66*J66,E66*M66),2))</f>
        <v/>
      </c>
      <c r="Q66" s="9">
        <f>IF(N66="","",IF(ROUNDUP(N66/50,0)&gt;ROUNDUP(N65/50,0),"Lần " &amp; ROUNDUP(N66/50,0),""))</f>
        <v/>
      </c>
      <c r="R66" s="10">
        <f>IF(O66="","",IF(ROUNDUP(O66/200,0)&gt;ROUNDUP(O65/200,0),"Lần " &amp; ROUNDUP(O66/200,0),""))</f>
        <v/>
      </c>
      <c r="S66" s="9">
        <f>IF(P66="","",IF(ROUNDUP(P66/350,0)&gt;ROUNDUP(P65/350,0),"Lần " &amp; ROUNDUP(P66/350,0),""))</f>
        <v/>
      </c>
      <c r="T66" s="4" t="n"/>
      <c r="U66" s="7" t="n"/>
      <c r="AK66" s="726" t="inlineStr">
        <is>
          <t>Khớp bản vẽ (tr.175 bê tông 15 phiến ÷ 15). Bình quân 15 phiến; từng loại: S1B1 29,25 (tr.88), S1G 28,83 (tr.94) m³ — thay theo loại phiến khi có sơ đồ vị trí. | Mác C45 chưa có cấp phối riêng — đang dùng cấp phối C30 (0,425 t XM; 0,555 m³ cát; 0,700 m³ đá / m³). Nhập cấp phối được duyệt.</t>
        </is>
      </c>
    </row>
    <row r="67" ht="20" customHeight="1" s="672">
      <c r="A67" s="4" t="n">
        <v>61</v>
      </c>
      <c r="B67" s="5" t="inlineStr">
        <is>
          <t>Bê tông dầm Super-T Nhịp 2 - Phiến D4 (C45 đá 1x2)</t>
        </is>
      </c>
      <c r="C67" s="6" t="n"/>
      <c r="D67" s="6" t="n"/>
      <c r="E67" s="725" t="n">
        <v>28.99</v>
      </c>
      <c r="F67" s="6">
        <f>IF(C67="","",C67+7)</f>
        <v/>
      </c>
      <c r="G67" s="6">
        <f>IF(C67="","",C67+28)</f>
        <v/>
      </c>
      <c r="H67" s="4" t="n"/>
      <c r="I67" s="4" t="n"/>
      <c r="J67" s="4" t="n"/>
      <c r="K67" s="8" t="n">
        <v>0.425</v>
      </c>
      <c r="L67" s="8" t="n">
        <v>0.555</v>
      </c>
      <c r="M67" s="8" t="n">
        <v>0.7</v>
      </c>
      <c r="N67" s="7">
        <f>IF(E67="","",ROUND(N66+IF(H67&gt;0,E67*H67,E67*K67),2))</f>
        <v/>
      </c>
      <c r="O67" s="7">
        <f>IF(E67="","",ROUND(O66+IF(I67&gt;0,E67*I67,E67*L67),2))</f>
        <v/>
      </c>
      <c r="P67" s="7">
        <f>IF(E67="","",ROUND(P66+IF(J67&gt;0,E67*J67,E67*M67),2))</f>
        <v/>
      </c>
      <c r="Q67" s="9">
        <f>IF(N67="","",IF(ROUNDUP(N67/50,0)&gt;ROUNDUP(N66/50,0),"Lần " &amp; ROUNDUP(N67/50,0),""))</f>
        <v/>
      </c>
      <c r="R67" s="10">
        <f>IF(O67="","",IF(ROUNDUP(O67/200,0)&gt;ROUNDUP(O66/200,0),"Lần " &amp; ROUNDUP(O67/200,0),""))</f>
        <v/>
      </c>
      <c r="S67" s="9">
        <f>IF(P67="","",IF(ROUNDUP(P67/350,0)&gt;ROUNDUP(P66/350,0),"Lần " &amp; ROUNDUP(P67/350,0),""))</f>
        <v/>
      </c>
      <c r="T67" s="4" t="n"/>
      <c r="U67" s="7" t="n"/>
      <c r="AK67" s="726" t="inlineStr">
        <is>
          <t>Khớp bản vẽ (tr.175 bê tông 15 phiến ÷ 15). Bình quân 15 phiến; từng loại: S1B1 29,25 (tr.88), S1G 28,83 (tr.94) m³ — thay theo loại phiến khi có sơ đồ vị trí. | Mác C45 chưa có cấp phối riêng — đang dùng cấp phối C30 (0,425 t XM; 0,555 m³ cát; 0,700 m³ đá / m³). Nhập cấp phối được duyệt.</t>
        </is>
      </c>
    </row>
    <row r="68" ht="20" customHeight="1" s="672">
      <c r="A68" s="4" t="n">
        <v>62</v>
      </c>
      <c r="B68" s="5" t="inlineStr">
        <is>
          <t>Bê tông dầm Super-T Nhịp 2 - Phiến D5 (C45 đá 1x2)</t>
        </is>
      </c>
      <c r="C68" s="6" t="n"/>
      <c r="D68" s="6" t="n"/>
      <c r="E68" s="725" t="n">
        <v>28.99</v>
      </c>
      <c r="F68" s="6">
        <f>IF(C68="","",C68+7)</f>
        <v/>
      </c>
      <c r="G68" s="6">
        <f>IF(C68="","",C68+28)</f>
        <v/>
      </c>
      <c r="H68" s="4" t="n"/>
      <c r="I68" s="4" t="n"/>
      <c r="J68" s="4" t="n"/>
      <c r="K68" s="8" t="n">
        <v>0.425</v>
      </c>
      <c r="L68" s="8" t="n">
        <v>0.555</v>
      </c>
      <c r="M68" s="8" t="n">
        <v>0.7</v>
      </c>
      <c r="N68" s="7">
        <f>IF(E68="","",ROUND(N67+IF(H68&gt;0,E68*H68,E68*K68),2))</f>
        <v/>
      </c>
      <c r="O68" s="7">
        <f>IF(E68="","",ROUND(O67+IF(I68&gt;0,E68*I68,E68*L68),2))</f>
        <v/>
      </c>
      <c r="P68" s="7">
        <f>IF(E68="","",ROUND(P67+IF(J68&gt;0,E68*J68,E68*M68),2))</f>
        <v/>
      </c>
      <c r="Q68" s="9">
        <f>IF(N68="","",IF(ROUNDUP(N68/50,0)&gt;ROUNDUP(N67/50,0),"Lần " &amp; ROUNDUP(N68/50,0),""))</f>
        <v/>
      </c>
      <c r="R68" s="10">
        <f>IF(O68="","",IF(ROUNDUP(O68/200,0)&gt;ROUNDUP(O67/200,0),"Lần " &amp; ROUNDUP(O68/200,0),""))</f>
        <v/>
      </c>
      <c r="S68" s="9">
        <f>IF(P68="","",IF(ROUNDUP(P68/350,0)&gt;ROUNDUP(P67/350,0),"Lần " &amp; ROUNDUP(P68/350,0),""))</f>
        <v/>
      </c>
      <c r="T68" s="4" t="n"/>
      <c r="U68" s="7" t="n"/>
      <c r="AK68" s="726" t="inlineStr">
        <is>
          <t>Khớp bản vẽ (tr.175 bê tông 15 phiến ÷ 15). Bình quân 15 phiến; từng loại: S1B1 29,25 (tr.88), S1G 28,83 (tr.94) m³ — thay theo loại phiến khi có sơ đồ vị trí. | Mác C45 chưa có cấp phối riêng — đang dùng cấp phối C30 (0,425 t XM; 0,555 m³ cát; 0,700 m³ đá / m³). Nhập cấp phối được duyệt.</t>
        </is>
      </c>
    </row>
    <row r="69" ht="20" customHeight="1" s="672">
      <c r="A69" s="4" t="n">
        <v>63</v>
      </c>
      <c r="B69" s="5" t="inlineStr">
        <is>
          <t>Bê tông dầm Super-T Nhịp 3 - Phiến D1 (C45 đá 1x2)</t>
        </is>
      </c>
      <c r="C69" s="6" t="n"/>
      <c r="D69" s="6" t="n"/>
      <c r="E69" s="725" t="n">
        <v>28.99</v>
      </c>
      <c r="F69" s="6">
        <f>IF(C69="","",C69+7)</f>
        <v/>
      </c>
      <c r="G69" s="6">
        <f>IF(C69="","",C69+28)</f>
        <v/>
      </c>
      <c r="H69" s="4" t="n"/>
      <c r="I69" s="4" t="n"/>
      <c r="J69" s="4" t="n"/>
      <c r="K69" s="8" t="n">
        <v>0.425</v>
      </c>
      <c r="L69" s="8" t="n">
        <v>0.555</v>
      </c>
      <c r="M69" s="8" t="n">
        <v>0.7</v>
      </c>
      <c r="N69" s="7">
        <f>IF(E69="","",ROUND(N68+IF(H69&gt;0,E69*H69,E69*K69),2))</f>
        <v/>
      </c>
      <c r="O69" s="7">
        <f>IF(E69="","",ROUND(O68+IF(I69&gt;0,E69*I69,E69*L69),2))</f>
        <v/>
      </c>
      <c r="P69" s="7">
        <f>IF(E69="","",ROUND(P68+IF(J69&gt;0,E69*J69,E69*M69),2))</f>
        <v/>
      </c>
      <c r="Q69" s="9">
        <f>IF(N69="","",IF(ROUNDUP(N69/50,0)&gt;ROUNDUP(N68/50,0),"Lần " &amp; ROUNDUP(N69/50,0),""))</f>
        <v/>
      </c>
      <c r="R69" s="10">
        <f>IF(O69="","",IF(ROUNDUP(O69/200,0)&gt;ROUNDUP(O68/200,0),"Lần " &amp; ROUNDUP(O69/200,0),""))</f>
        <v/>
      </c>
      <c r="S69" s="9">
        <f>IF(P69="","",IF(ROUNDUP(P69/350,0)&gt;ROUNDUP(P68/350,0),"Lần " &amp; ROUNDUP(P69/350,0),""))</f>
        <v/>
      </c>
      <c r="T69" s="4" t="n"/>
      <c r="U69" s="7" t="n"/>
      <c r="AK69" s="726" t="inlineStr">
        <is>
          <t>Khớp bản vẽ (tr.175 bê tông 15 phiến ÷ 15). Bình quân 15 phiến; từng loại: S1B1 29,25 (tr.88), S1G 28,83 (tr.94) m³ — thay theo loại phiến khi có sơ đồ vị trí. | Mác C45 chưa có cấp phối riêng — đang dùng cấp phối C30 (0,425 t XM; 0,555 m³ cát; 0,700 m³ đá / m³). Nhập cấp phối được duyệt.</t>
        </is>
      </c>
    </row>
    <row r="70" ht="20" customHeight="1" s="672">
      <c r="A70" s="4" t="n">
        <v>64</v>
      </c>
      <c r="B70" s="5" t="inlineStr">
        <is>
          <t>Bê tông dầm Super-T Nhịp 3 - Phiến D2 (C45 đá 1x2)</t>
        </is>
      </c>
      <c r="C70" s="6" t="n"/>
      <c r="D70" s="6" t="n"/>
      <c r="E70" s="725" t="n">
        <v>28.99</v>
      </c>
      <c r="F70" s="6">
        <f>IF(C70="","",C70+7)</f>
        <v/>
      </c>
      <c r="G70" s="6">
        <f>IF(C70="","",C70+28)</f>
        <v/>
      </c>
      <c r="H70" s="4" t="n"/>
      <c r="I70" s="4" t="n"/>
      <c r="J70" s="4" t="n"/>
      <c r="K70" s="8" t="n">
        <v>0.425</v>
      </c>
      <c r="L70" s="8" t="n">
        <v>0.555</v>
      </c>
      <c r="M70" s="8" t="n">
        <v>0.7</v>
      </c>
      <c r="N70" s="7">
        <f>IF(E70="","",ROUND(N69+IF(H70&gt;0,E70*H70,E70*K70),2))</f>
        <v/>
      </c>
      <c r="O70" s="7">
        <f>IF(E70="","",ROUND(O69+IF(I70&gt;0,E70*I70,E70*L70),2))</f>
        <v/>
      </c>
      <c r="P70" s="7">
        <f>IF(E70="","",ROUND(P69+IF(J70&gt;0,E70*J70,E70*M70),2))</f>
        <v/>
      </c>
      <c r="Q70" s="9">
        <f>IF(N70="","",IF(ROUNDUP(N70/50,0)&gt;ROUNDUP(N69/50,0),"Lần " &amp; ROUNDUP(N70/50,0),""))</f>
        <v/>
      </c>
      <c r="R70" s="10">
        <f>IF(O70="","",IF(ROUNDUP(O70/200,0)&gt;ROUNDUP(O69/200,0),"Lần " &amp; ROUNDUP(O70/200,0),""))</f>
        <v/>
      </c>
      <c r="S70" s="9">
        <f>IF(P70="","",IF(ROUNDUP(P70/350,0)&gt;ROUNDUP(P69/350,0),"Lần " &amp; ROUNDUP(P70/350,0),""))</f>
        <v/>
      </c>
      <c r="T70" s="4" t="n"/>
      <c r="U70" s="7" t="n"/>
      <c r="AK70" s="726" t="inlineStr">
        <is>
          <t>Khớp bản vẽ (tr.175 bê tông 15 phiến ÷ 15). Bình quân 15 phiến; từng loại: S1B1 29,25 (tr.88), S1G 28,83 (tr.94) m³ — thay theo loại phiến khi có sơ đồ vị trí. | Mác C45 chưa có cấp phối riêng — đang dùng cấp phối C30 (0,425 t XM; 0,555 m³ cát; 0,700 m³ đá / m³). Nhập cấp phối được duyệt.</t>
        </is>
      </c>
    </row>
    <row r="71" ht="20" customHeight="1" s="672">
      <c r="A71" s="4" t="n">
        <v>65</v>
      </c>
      <c r="B71" s="5" t="inlineStr">
        <is>
          <t>Bê tông dầm Super-T Nhịp 3 - Phiến D3 (C45 đá 1x2)</t>
        </is>
      </c>
      <c r="C71" s="6" t="n"/>
      <c r="D71" s="6" t="n"/>
      <c r="E71" s="725" t="n">
        <v>28.99</v>
      </c>
      <c r="F71" s="6">
        <f>IF(C71="","",C71+7)</f>
        <v/>
      </c>
      <c r="G71" s="6">
        <f>IF(C71="","",C71+28)</f>
        <v/>
      </c>
      <c r="H71" s="4" t="n"/>
      <c r="I71" s="4" t="n"/>
      <c r="J71" s="4" t="n"/>
      <c r="K71" s="8" t="n">
        <v>0.425</v>
      </c>
      <c r="L71" s="8" t="n">
        <v>0.555</v>
      </c>
      <c r="M71" s="8" t="n">
        <v>0.7</v>
      </c>
      <c r="N71" s="7">
        <f>IF(E71="","",ROUND(N70+IF(H71&gt;0,E71*H71,E71*K71),2))</f>
        <v/>
      </c>
      <c r="O71" s="7">
        <f>IF(E71="","",ROUND(O70+IF(I71&gt;0,E71*I71,E71*L71),2))</f>
        <v/>
      </c>
      <c r="P71" s="7">
        <f>IF(E71="","",ROUND(P70+IF(J71&gt;0,E71*J71,E71*M71),2))</f>
        <v/>
      </c>
      <c r="Q71" s="9">
        <f>IF(N71="","",IF(ROUNDUP(N71/50,0)&gt;ROUNDUP(N70/50,0),"Lần " &amp; ROUNDUP(N71/50,0),""))</f>
        <v/>
      </c>
      <c r="R71" s="10">
        <f>IF(O71="","",IF(ROUNDUP(O71/200,0)&gt;ROUNDUP(O70/200,0),"Lần " &amp; ROUNDUP(O71/200,0),""))</f>
        <v/>
      </c>
      <c r="S71" s="9">
        <f>IF(P71="","",IF(ROUNDUP(P71/350,0)&gt;ROUNDUP(P70/350,0),"Lần " &amp; ROUNDUP(P71/350,0),""))</f>
        <v/>
      </c>
      <c r="T71" s="4" t="n"/>
      <c r="U71" s="7" t="n"/>
      <c r="AK71" s="726" t="inlineStr">
        <is>
          <t>Khớp bản vẽ (tr.175 bê tông 15 phiến ÷ 15). Bình quân 15 phiến; từng loại: S1B1 29,25 (tr.88), S1G 28,83 (tr.94) m³ — thay theo loại phiến khi có sơ đồ vị trí. | Mác C45 chưa có cấp phối riêng — đang dùng cấp phối C30 (0,425 t XM; 0,555 m³ cát; 0,700 m³ đá / m³). Nhập cấp phối được duyệt.</t>
        </is>
      </c>
    </row>
    <row r="72" ht="20" customHeight="1" s="672">
      <c r="A72" s="4" t="n">
        <v>66</v>
      </c>
      <c r="B72" s="5" t="inlineStr">
        <is>
          <t>Bê tông dầm Super-T Nhịp 3 - Phiến D4 (C45 đá 1x2)</t>
        </is>
      </c>
      <c r="C72" s="6" t="n"/>
      <c r="D72" s="6" t="n"/>
      <c r="E72" s="725" t="n">
        <v>28.99</v>
      </c>
      <c r="F72" s="6">
        <f>IF(C72="","",C72+7)</f>
        <v/>
      </c>
      <c r="G72" s="6">
        <f>IF(C72="","",C72+28)</f>
        <v/>
      </c>
      <c r="H72" s="4" t="n"/>
      <c r="I72" s="4" t="n"/>
      <c r="J72" s="4" t="n"/>
      <c r="K72" s="8" t="n">
        <v>0.425</v>
      </c>
      <c r="L72" s="8" t="n">
        <v>0.555</v>
      </c>
      <c r="M72" s="8" t="n">
        <v>0.7</v>
      </c>
      <c r="N72" s="7">
        <f>IF(E72="","",ROUND(N71+IF(H72&gt;0,E72*H72,E72*K72),2))</f>
        <v/>
      </c>
      <c r="O72" s="7">
        <f>IF(E72="","",ROUND(O71+IF(I72&gt;0,E72*I72,E72*L72),2))</f>
        <v/>
      </c>
      <c r="P72" s="7">
        <f>IF(E72="","",ROUND(P71+IF(J72&gt;0,E72*J72,E72*M72),2))</f>
        <v/>
      </c>
      <c r="Q72" s="9">
        <f>IF(N72="","",IF(ROUNDUP(N72/50,0)&gt;ROUNDUP(N71/50,0),"Lần " &amp; ROUNDUP(N72/50,0),""))</f>
        <v/>
      </c>
      <c r="R72" s="10">
        <f>IF(O72="","",IF(ROUNDUP(O72/200,0)&gt;ROUNDUP(O71/200,0),"Lần " &amp; ROUNDUP(O72/200,0),""))</f>
        <v/>
      </c>
      <c r="S72" s="9">
        <f>IF(P72="","",IF(ROUNDUP(P72/350,0)&gt;ROUNDUP(P71/350,0),"Lần " &amp; ROUNDUP(P72/350,0),""))</f>
        <v/>
      </c>
      <c r="T72" s="4" t="n"/>
      <c r="U72" s="7" t="n"/>
      <c r="AK72" s="726" t="inlineStr">
        <is>
          <t>Khớp bản vẽ (tr.175 bê tông 15 phiến ÷ 15). Bình quân 15 phiến; từng loại: S1B1 29,25 (tr.88), S1G 28,83 (tr.94) m³ — thay theo loại phiến khi có sơ đồ vị trí. | Mác C45 chưa có cấp phối riêng — đang dùng cấp phối C30 (0,425 t XM; 0,555 m³ cát; 0,700 m³ đá / m³). Nhập cấp phối được duyệt.</t>
        </is>
      </c>
    </row>
    <row r="73" ht="20" customHeight="1" s="672">
      <c r="A73" s="4" t="n">
        <v>67</v>
      </c>
      <c r="B73" s="5" t="inlineStr">
        <is>
          <t>Bê tông dầm Super-T Nhịp 3 - Phiến D5 (C45 đá 1x2)</t>
        </is>
      </c>
      <c r="C73" s="6" t="n"/>
      <c r="D73" s="6" t="n"/>
      <c r="E73" s="725" t="n">
        <v>28.99</v>
      </c>
      <c r="F73" s="6">
        <f>IF(C73="","",C73+7)</f>
        <v/>
      </c>
      <c r="G73" s="6">
        <f>IF(C73="","",C73+28)</f>
        <v/>
      </c>
      <c r="H73" s="4" t="n"/>
      <c r="I73" s="4" t="n"/>
      <c r="J73" s="4" t="n"/>
      <c r="K73" s="8" t="n">
        <v>0.425</v>
      </c>
      <c r="L73" s="8" t="n">
        <v>0.555</v>
      </c>
      <c r="M73" s="8" t="n">
        <v>0.7</v>
      </c>
      <c r="N73" s="7">
        <f>IF(E73="","",ROUND(N72+IF(H73&gt;0,E73*H73,E73*K73),2))</f>
        <v/>
      </c>
      <c r="O73" s="7">
        <f>IF(E73="","",ROUND(O72+IF(I73&gt;0,E73*I73,E73*L73),2))</f>
        <v/>
      </c>
      <c r="P73" s="7">
        <f>IF(E73="","",ROUND(P72+IF(J73&gt;0,E73*J73,E73*M73),2))</f>
        <v/>
      </c>
      <c r="Q73" s="9">
        <f>IF(N73="","",IF(ROUNDUP(N73/50,0)&gt;ROUNDUP(N72/50,0),"Lần " &amp; ROUNDUP(N73/50,0),""))</f>
        <v/>
      </c>
      <c r="R73" s="10">
        <f>IF(O73="","",IF(ROUNDUP(O73/200,0)&gt;ROUNDUP(O72/200,0),"Lần " &amp; ROUNDUP(O73/200,0),""))</f>
        <v/>
      </c>
      <c r="S73" s="9">
        <f>IF(P73="","",IF(ROUNDUP(P73/350,0)&gt;ROUNDUP(P72/350,0),"Lần " &amp; ROUNDUP(P73/350,0),""))</f>
        <v/>
      </c>
      <c r="T73" s="4" t="n"/>
      <c r="U73" s="7" t="n"/>
      <c r="AK73" s="726" t="inlineStr">
        <is>
          <t>Khớp bản vẽ (tr.175 bê tông 15 phiến ÷ 15). Bình quân 15 phiến; từng loại: S1B1 29,25 (tr.88), S1G 28,83 (tr.94) m³ — thay theo loại phiến khi có sơ đồ vị trí. | Mác C45 chưa có cấp phối riêng — đang dùng cấp phối C30 (0,425 t XM; 0,555 m³ cát; 0,700 m³ đá / m³). Nhập cấp phối được duyệt.</t>
        </is>
      </c>
    </row>
    <row r="74" ht="22" customHeight="1" s="672">
      <c r="A74" s="664" t="inlineStr">
        <is>
          <t>V. HẠNG MỤC DẦM NGANG, BẢN MẶT CẦU &amp; KẾT CẤU HOÀN THIỆN</t>
        </is>
      </c>
      <c r="B74" s="722" t="n"/>
      <c r="C74" s="722" t="n"/>
      <c r="D74" s="722" t="n"/>
      <c r="E74" s="722" t="n"/>
      <c r="F74" s="722" t="n"/>
      <c r="G74" s="722" t="n"/>
      <c r="H74" s="722" t="n"/>
      <c r="I74" s="722" t="n"/>
      <c r="J74" s="722" t="n"/>
      <c r="K74" s="722" t="n"/>
      <c r="L74" s="722" t="n"/>
      <c r="M74" s="722" t="n"/>
      <c r="N74" s="722" t="n"/>
      <c r="O74" s="722" t="n"/>
      <c r="P74" s="722" t="n"/>
      <c r="Q74" s="722" t="n"/>
      <c r="R74" s="722" t="n"/>
      <c r="S74" s="722" t="n"/>
      <c r="T74" s="722" t="n"/>
      <c r="U74" s="721" t="n"/>
    </row>
    <row r="75" ht="20" customHeight="1" s="672">
      <c r="A75" s="4" t="n">
        <v>68</v>
      </c>
      <c r="B75" s="5" t="inlineStr">
        <is>
          <t>Bê tông dầm ngang mố M1 &amp; Trụ T1 (C35 đá 1x2)</t>
        </is>
      </c>
      <c r="C75" s="6" t="n"/>
      <c r="D75" s="6" t="n"/>
      <c r="E75" s="725" t="n">
        <v>6.46</v>
      </c>
      <c r="F75" s="6">
        <f>IF(C75="","",C75+7)</f>
        <v/>
      </c>
      <c r="G75" s="6">
        <f>IF(C75="","",C75+28)</f>
        <v/>
      </c>
      <c r="H75" s="4" t="n"/>
      <c r="I75" s="4" t="n"/>
      <c r="J75" s="4" t="n"/>
      <c r="K75" s="8" t="n">
        <v>0.425</v>
      </c>
      <c r="L75" s="8" t="n">
        <v>0.555</v>
      </c>
      <c r="M75" s="8" t="n">
        <v>0.7</v>
      </c>
      <c r="N75" s="7">
        <f>IF(E75="","",ROUND(N73+IF(H75&gt;0,E75*H75,E75*K75),2))</f>
        <v/>
      </c>
      <c r="O75" s="7">
        <f>IF(E75="","",ROUND(O73+IF(I75&gt;0,E75*I75,E75*L75),2))</f>
        <v/>
      </c>
      <c r="P75" s="7">
        <f>IF(E75="","",ROUND(P73+IF(J75&gt;0,E75*J75,E75*M75),2))</f>
        <v/>
      </c>
      <c r="Q75" s="9">
        <f>IF(N75="","",IF(ROUNDUP(N75/50,0)&gt;ROUNDUP(N73/50,0),"Lần " &amp; ROUNDUP(N75/50,0),""))</f>
        <v/>
      </c>
      <c r="R75" s="10">
        <f>IF(O75="","",IF(ROUNDUP(O75/200,0)&gt;ROUNDUP(O73/200,0),"Lần " &amp; ROUNDUP(O75/200,0),""))</f>
        <v/>
      </c>
      <c r="S75" s="9">
        <f>IF(P75="","",IF(ROUNDUP(P75/350,0)&gt;ROUNDUP(P73/350,0),"Lần " &amp; ROUNDUP(P75/350,0),""))</f>
        <v/>
      </c>
      <c r="T75" s="4" t="n"/>
      <c r="U75" s="7" t="n"/>
      <c r="AK75" s="726" t="inlineStr">
        <is>
          <t>Khớp bản vẽ (tr.96: 3 dầm ngang, 19,38 ÷ 3) | Mác C35 chưa có cấp phối riêng — đang dùng cấp phối C30 (0,425 t XM; 0,555 m³ cát; 0,700 m³ đá / m³). Nhập cấp phối được duyệt.</t>
        </is>
      </c>
    </row>
    <row r="76" ht="20" customHeight="1" s="672">
      <c r="A76" s="4" t="n">
        <v>69</v>
      </c>
      <c r="B76" s="5" t="inlineStr">
        <is>
          <t>Bê tông dầm ngang Trụ T1 &amp; Trụ T2 (C35 đá 1x2)</t>
        </is>
      </c>
      <c r="C76" s="6" t="n"/>
      <c r="D76" s="6" t="n"/>
      <c r="E76" s="725" t="n">
        <v>6.46</v>
      </c>
      <c r="F76" s="6">
        <f>IF(C76="","",C76+7)</f>
        <v/>
      </c>
      <c r="G76" s="6">
        <f>IF(C76="","",C76+28)</f>
        <v/>
      </c>
      <c r="H76" s="4" t="n"/>
      <c r="I76" s="4" t="n"/>
      <c r="J76" s="4" t="n"/>
      <c r="K76" s="8" t="n">
        <v>0.425</v>
      </c>
      <c r="L76" s="8" t="n">
        <v>0.555</v>
      </c>
      <c r="M76" s="8" t="n">
        <v>0.7</v>
      </c>
      <c r="N76" s="7">
        <f>IF(E76="","",ROUND(N75+IF(H76&gt;0,E76*H76,E76*K76),2))</f>
        <v/>
      </c>
      <c r="O76" s="7">
        <f>IF(E76="","",ROUND(O75+IF(I76&gt;0,E76*I76,E76*L76),2))</f>
        <v/>
      </c>
      <c r="P76" s="7">
        <f>IF(E76="","",ROUND(P75+IF(J76&gt;0,E76*J76,E76*M76),2))</f>
        <v/>
      </c>
      <c r="Q76" s="9">
        <f>IF(N76="","",IF(ROUNDUP(N76/50,0)&gt;ROUNDUP(N75/50,0),"Lần " &amp; ROUNDUP(N76/50,0),""))</f>
        <v/>
      </c>
      <c r="R76" s="10">
        <f>IF(O76="","",IF(ROUNDUP(O76/200,0)&gt;ROUNDUP(O75/200,0),"Lần " &amp; ROUNDUP(O76/200,0),""))</f>
        <v/>
      </c>
      <c r="S76" s="9">
        <f>IF(P76="","",IF(ROUNDUP(P76/350,0)&gt;ROUNDUP(P75/350,0),"Lần " &amp; ROUNDUP(P76/350,0),""))</f>
        <v/>
      </c>
      <c r="T76" s="4" t="n"/>
      <c r="U76" s="7" t="n"/>
      <c r="AK76" s="726" t="inlineStr">
        <is>
          <t>Khớp bản vẽ (tr.96: 3 dầm ngang, 19,38 ÷ 3) | Mác C35 chưa có cấp phối riêng — đang dùng cấp phối C30 (0,425 t XM; 0,555 m³ cát; 0,700 m³ đá / m³). Nhập cấp phối được duyệt.</t>
        </is>
      </c>
    </row>
    <row r="77" ht="20" customHeight="1" s="672">
      <c r="A77" s="4" t="n">
        <v>70</v>
      </c>
      <c r="B77" s="5" t="inlineStr">
        <is>
          <t>Bê tông dầm ngang Trụ T2 &amp; Mố M2 (C35 đá 1x2)</t>
        </is>
      </c>
      <c r="C77" s="6" t="n"/>
      <c r="D77" s="6" t="n"/>
      <c r="E77" s="725" t="n">
        <v>6.46</v>
      </c>
      <c r="F77" s="6">
        <f>IF(C77="","",C77+7)</f>
        <v/>
      </c>
      <c r="G77" s="6">
        <f>IF(C77="","",C77+28)</f>
        <v/>
      </c>
      <c r="H77" s="4" t="n"/>
      <c r="I77" s="4" t="n"/>
      <c r="J77" s="4" t="n"/>
      <c r="K77" s="8" t="n">
        <v>0.425</v>
      </c>
      <c r="L77" s="8" t="n">
        <v>0.555</v>
      </c>
      <c r="M77" s="8" t="n">
        <v>0.7</v>
      </c>
      <c r="N77" s="7">
        <f>IF(E77="","",ROUND(N76+IF(H77&gt;0,E77*H77,E77*K77),2))</f>
        <v/>
      </c>
      <c r="O77" s="7">
        <f>IF(E77="","",ROUND(O76+IF(I77&gt;0,E77*I77,E77*L77),2))</f>
        <v/>
      </c>
      <c r="P77" s="7">
        <f>IF(E77="","",ROUND(P76+IF(J77&gt;0,E77*J77,E77*M77),2))</f>
        <v/>
      </c>
      <c r="Q77" s="9">
        <f>IF(N77="","",IF(ROUNDUP(N77/50,0)&gt;ROUNDUP(N76/50,0),"Lần " &amp; ROUNDUP(N77/50,0),""))</f>
        <v/>
      </c>
      <c r="R77" s="10">
        <f>IF(O77="","",IF(ROUNDUP(O77/200,0)&gt;ROUNDUP(O76/200,0),"Lần " &amp; ROUNDUP(O77/200,0),""))</f>
        <v/>
      </c>
      <c r="S77" s="9">
        <f>IF(P77="","",IF(ROUNDUP(P77/350,0)&gt;ROUNDUP(P76/350,0),"Lần " &amp; ROUNDUP(P77/350,0),""))</f>
        <v/>
      </c>
      <c r="T77" s="4" t="n"/>
      <c r="U77" s="7" t="n"/>
      <c r="AK77" s="726" t="inlineStr">
        <is>
          <t>Khớp bản vẽ (tr.96: 3 dầm ngang, 19,38 ÷ 3) | Mác C35 chưa có cấp phối riêng — đang dùng cấp phối C30 (0,425 t XM; 0,555 m³ cát; 0,700 m³ đá / m³). Nhập cấp phối được duyệt.</t>
        </is>
      </c>
    </row>
    <row r="78" ht="20" customHeight="1" s="672">
      <c r="A78" s="4" t="n">
        <v>71</v>
      </c>
      <c r="B78" s="5" t="inlineStr">
        <is>
          <t>Bê tông bản liên tục nhiệt tại trụ T1, T2 (C35 đá 1x2)</t>
        </is>
      </c>
      <c r="C78" s="6" t="n"/>
      <c r="D78" s="6" t="n"/>
      <c r="E78" s="725" t="n">
        <v>21.87</v>
      </c>
      <c r="F78" s="6">
        <f>IF(C78="","",C78+7)</f>
        <v/>
      </c>
      <c r="G78" s="6">
        <f>IF(C78="","",C78+28)</f>
        <v/>
      </c>
      <c r="H78" s="4" t="n"/>
      <c r="I78" s="4" t="n"/>
      <c r="J78" s="4" t="n"/>
      <c r="K78" s="8" t="n">
        <v>0.425</v>
      </c>
      <c r="L78" s="8" t="n">
        <v>0.555</v>
      </c>
      <c r="M78" s="8" t="n">
        <v>0.7</v>
      </c>
      <c r="N78" s="7">
        <f>IF(E78="","",ROUND(N77+IF(H78&gt;0,E78*H78,E78*K78),2))</f>
        <v/>
      </c>
      <c r="O78" s="7">
        <f>IF(E78="","",ROUND(O77+IF(I78&gt;0,E78*I78,E78*L78),2))</f>
        <v/>
      </c>
      <c r="P78" s="7">
        <f>IF(E78="","",ROUND(P77+IF(J78&gt;0,E78*J78,E78*M78),2))</f>
        <v/>
      </c>
      <c r="Q78" s="9">
        <f>IF(N78="","",IF(ROUNDUP(N78/50,0)&gt;ROUNDUP(N77/50,0),"Lần " &amp; ROUNDUP(N78/50,0),""))</f>
        <v/>
      </c>
      <c r="R78" s="10">
        <f>IF(O78="","",IF(ROUNDUP(O78/200,0)&gt;ROUNDUP(O77/200,0),"Lần " &amp; ROUNDUP(O78/200,0),""))</f>
        <v/>
      </c>
      <c r="S78" s="9">
        <f>IF(P78="","",IF(ROUNDUP(P78/350,0)&gt;ROUNDUP(P77/350,0),"Lần " &amp; ROUNDUP(P78/350,0),""))</f>
        <v/>
      </c>
      <c r="T78" s="4" t="n"/>
      <c r="U78" s="7" t="n"/>
      <c r="AK78" s="726" t="inlineStr">
        <is>
          <t>Bản vẽ: 8,50 → 21,87 m³ (tr.175 (tr.112: 2 vị trí × 10,93)). File cũ 8,5 m³ ghi C45; bản vẽ 21,87 m³ C35, đổ ở 2 vị trí — nên tách 2 dòng để lấy mẫu từng lần đổ. | Mác C35 chưa có cấp phối riêng — đang dùng cấp phối C30 (0,425 t XM; 0,555 m³ cát; 0,700 m³ đá / m³). Nhập cấp phối được duyệt.</t>
        </is>
      </c>
    </row>
    <row r="79" ht="20" customHeight="1" s="672">
      <c r="A79" s="4" t="n">
        <v>72</v>
      </c>
      <c r="B79" s="5" t="inlineStr">
        <is>
          <t>Bê tông bản mặt cầu Nhịp 1 (C35 đá 1x2)</t>
        </is>
      </c>
      <c r="C79" s="6" t="n"/>
      <c r="D79" s="6" t="n"/>
      <c r="E79" s="725" t="n">
        <v>102.53</v>
      </c>
      <c r="F79" s="6">
        <f>IF(C79="","",C79+7)</f>
        <v/>
      </c>
      <c r="G79" s="6">
        <f>IF(C79="","",C79+28)</f>
        <v/>
      </c>
      <c r="H79" s="4" t="n"/>
      <c r="I79" s="4" t="n"/>
      <c r="J79" s="4" t="n"/>
      <c r="K79" s="8" t="n">
        <v>0.425</v>
      </c>
      <c r="L79" s="8" t="n">
        <v>0.555</v>
      </c>
      <c r="M79" s="8" t="n">
        <v>0.7</v>
      </c>
      <c r="N79" s="7">
        <f>IF(E79="","",ROUND(N78+IF(H79&gt;0,E79*H79,E79*K79),2))</f>
        <v/>
      </c>
      <c r="O79" s="7">
        <f>IF(E79="","",ROUND(O78+IF(I79&gt;0,E79*I79,E79*L79),2))</f>
        <v/>
      </c>
      <c r="P79" s="7">
        <f>IF(E79="","",ROUND(P78+IF(J79&gt;0,E79*J79,E79*M79),2))</f>
        <v/>
      </c>
      <c r="Q79" s="9">
        <f>IF(N79="","",IF(ROUNDUP(N79/50,0)&gt;ROUNDUP(N78/50,0),"Lần " &amp; ROUNDUP(N79/50,0),""))</f>
        <v/>
      </c>
      <c r="R79" s="10">
        <f>IF(O79="","",IF(ROUNDUP(O79/200,0)&gt;ROUNDUP(O78/200,0),"Lần " &amp; ROUNDUP(O79/200,0),""))</f>
        <v/>
      </c>
      <c r="S79" s="9">
        <f>IF(P79="","",IF(ROUNDUP(P79/350,0)&gt;ROUNDUP(P78/350,0),"Lần " &amp; ROUNDUP(P79/350,0),""))</f>
        <v/>
      </c>
      <c r="T79" s="4" t="n"/>
      <c r="U79" s="7" t="n"/>
      <c r="AK79" s="726" t="inlineStr">
        <is>
          <t>Bản vẽ: 85,00 → 102,53 m³ (tr.112 bản mặt cầu loại 1 (1 nhịp)). Tr.112/175: 2 nhịp loại 1 (102,53) + 1 nhịp loại 2 (100,40) = 305,465 m³. Chưa rõ nhịp nào loại 2 — đang gán nhịp 2. | Mác C35 chưa có cấp phối riêng — đang dùng cấp phối C30 (0,425 t XM; 0,555 m³ cát; 0,700 m³ đá / m³). Nhập cấp phối được duyệt.</t>
        </is>
      </c>
    </row>
    <row r="80" ht="20" customHeight="1" s="672">
      <c r="A80" s="4" t="n">
        <v>73</v>
      </c>
      <c r="B80" s="5" t="inlineStr">
        <is>
          <t>Bê tông bản mặt cầu Nhịp 2 (C35 đá 1x2)</t>
        </is>
      </c>
      <c r="C80" s="6" t="n"/>
      <c r="D80" s="6" t="n"/>
      <c r="E80" s="725" t="n">
        <v>100.4</v>
      </c>
      <c r="F80" s="6">
        <f>IF(C80="","",C80+7)</f>
        <v/>
      </c>
      <c r="G80" s="6">
        <f>IF(C80="","",C80+28)</f>
        <v/>
      </c>
      <c r="H80" s="4" t="n"/>
      <c r="I80" s="4" t="n"/>
      <c r="J80" s="4" t="n"/>
      <c r="K80" s="8" t="n">
        <v>0.425</v>
      </c>
      <c r="L80" s="8" t="n">
        <v>0.555</v>
      </c>
      <c r="M80" s="8" t="n">
        <v>0.7</v>
      </c>
      <c r="N80" s="7">
        <f>IF(E80="","",ROUND(N79+IF(H80&gt;0,E80*H80,E80*K80),2))</f>
        <v/>
      </c>
      <c r="O80" s="7">
        <f>IF(E80="","",ROUND(O79+IF(I80&gt;0,E80*I80,E80*L80),2))</f>
        <v/>
      </c>
      <c r="P80" s="7">
        <f>IF(E80="","",ROUND(P79+IF(J80&gt;0,E80*J80,E80*M80),2))</f>
        <v/>
      </c>
      <c r="Q80" s="9">
        <f>IF(N80="","",IF(ROUNDUP(N80/50,0)&gt;ROUNDUP(N79/50,0),"Lần " &amp; ROUNDUP(N80/50,0),""))</f>
        <v/>
      </c>
      <c r="R80" s="10">
        <f>IF(O80="","",IF(ROUNDUP(O80/200,0)&gt;ROUNDUP(O79/200,0),"Lần " &amp; ROUNDUP(O80/200,0),""))</f>
        <v/>
      </c>
      <c r="S80" s="9">
        <f>IF(P80="","",IF(ROUNDUP(P80/350,0)&gt;ROUNDUP(P79/350,0),"Lần " &amp; ROUNDUP(P80/350,0),""))</f>
        <v/>
      </c>
      <c r="T80" s="4" t="n"/>
      <c r="U80" s="7" t="n"/>
      <c r="AK80" s="726" t="inlineStr">
        <is>
          <t>Bản vẽ: 85,00 → 100,40 m³ (tr.112 bản mặt cầu loại 2 (1 nhịp)). Chưa rõ nhịp nào loại 2 — đang gán nhịp 2. | Mác C35 chưa có cấp phối riêng — đang dùng cấp phối C30 (0,425 t XM; 0,555 m³ cát; 0,700 m³ đá / m³). Nhập cấp phối được duyệt.</t>
        </is>
      </c>
    </row>
    <row r="81" ht="20" customHeight="1" s="672">
      <c r="A81" s="4" t="n">
        <v>74</v>
      </c>
      <c r="B81" s="5" t="inlineStr">
        <is>
          <t>Bê tông bản mặt cầu Nhịp 3 (C35 đá 1x2)</t>
        </is>
      </c>
      <c r="C81" s="6" t="n"/>
      <c r="D81" s="6" t="n"/>
      <c r="E81" s="725" t="n">
        <v>102.53</v>
      </c>
      <c r="F81" s="6">
        <f>IF(C81="","",C81+7)</f>
        <v/>
      </c>
      <c r="G81" s="6">
        <f>IF(C81="","",C81+28)</f>
        <v/>
      </c>
      <c r="H81" s="4" t="n"/>
      <c r="I81" s="4" t="n"/>
      <c r="J81" s="4" t="n"/>
      <c r="K81" s="8" t="n">
        <v>0.425</v>
      </c>
      <c r="L81" s="8" t="n">
        <v>0.555</v>
      </c>
      <c r="M81" s="8" t="n">
        <v>0.7</v>
      </c>
      <c r="N81" s="7">
        <f>IF(E81="","",ROUND(N80+IF(H81&gt;0,E81*H81,E81*K81),2))</f>
        <v/>
      </c>
      <c r="O81" s="7">
        <f>IF(E81="","",ROUND(O80+IF(I81&gt;0,E81*I81,E81*L81),2))</f>
        <v/>
      </c>
      <c r="P81" s="7">
        <f>IF(E81="","",ROUND(P80+IF(J81&gt;0,E81*J81,E81*M81),2))</f>
        <v/>
      </c>
      <c r="Q81" s="9">
        <f>IF(N81="","",IF(ROUNDUP(N81/50,0)&gt;ROUNDUP(N80/50,0),"Lần " &amp; ROUNDUP(N81/50,0),""))</f>
        <v/>
      </c>
      <c r="R81" s="10">
        <f>IF(O81="","",IF(ROUNDUP(O81/200,0)&gt;ROUNDUP(O80/200,0),"Lần " &amp; ROUNDUP(O81/200,0),""))</f>
        <v/>
      </c>
      <c r="S81" s="9">
        <f>IF(P81="","",IF(ROUNDUP(P81/350,0)&gt;ROUNDUP(P80/350,0),"Lần " &amp; ROUNDUP(P81/350,0),""))</f>
        <v/>
      </c>
      <c r="T81" s="4" t="n"/>
      <c r="U81" s="7" t="n"/>
      <c r="AK81" s="726" t="inlineStr">
        <is>
          <t>Bản vẽ: 85,00 → 102,53 m³ (tr.112 bản mặt cầu loại 1 (1 nhịp)) | Mác C35 chưa có cấp phối riêng — đang dùng cấp phối C30 (0,425 t XM; 0,555 m³ cát; 0,700 m³ đá / m³). Nhập cấp phối được duyệt.</t>
        </is>
      </c>
    </row>
    <row r="82" ht="20" customHeight="1" s="672">
      <c r="A82" s="4" t="n">
        <v>75</v>
      </c>
      <c r="B82" s="5" t="inlineStr">
        <is>
          <t>Bê tông bản quá độ mố M1 (C25 đá 1x2)</t>
        </is>
      </c>
      <c r="C82" s="6" t="n"/>
      <c r="D82" s="6" t="n"/>
      <c r="E82" s="725" t="n">
        <v>29.1</v>
      </c>
      <c r="F82" s="6">
        <f>IF(C82="","",C82+7)</f>
        <v/>
      </c>
      <c r="G82" s="6">
        <f>IF(C82="","",C82+28)</f>
        <v/>
      </c>
      <c r="H82" s="4" t="n"/>
      <c r="I82" s="4" t="n"/>
      <c r="J82" s="4" t="n"/>
      <c r="K82" s="8" t="n">
        <v>0.425</v>
      </c>
      <c r="L82" s="8" t="n">
        <v>0.555</v>
      </c>
      <c r="M82" s="8" t="n">
        <v>0.7</v>
      </c>
      <c r="N82" s="7">
        <f>IF(E82="","",ROUND(N81+IF(H82&gt;0,E82*H82,E82*K82),2))</f>
        <v/>
      </c>
      <c r="O82" s="7">
        <f>IF(E82="","",ROUND(O81+IF(I82&gt;0,E82*I82,E82*L82),2))</f>
        <v/>
      </c>
      <c r="P82" s="7">
        <f>IF(E82="","",ROUND(P81+IF(J82&gt;0,E82*J82,E82*M82),2))</f>
        <v/>
      </c>
      <c r="Q82" s="9">
        <f>IF(N82="","",IF(ROUNDUP(N82/50,0)&gt;ROUNDUP(N81/50,0),"Lần " &amp; ROUNDUP(N82/50,0),""))</f>
        <v/>
      </c>
      <c r="R82" s="10">
        <f>IF(O82="","",IF(ROUNDUP(O82/200,0)&gt;ROUNDUP(O81/200,0),"Lần " &amp; ROUNDUP(O82/200,0),""))</f>
        <v/>
      </c>
      <c r="S82" s="9">
        <f>IF(P82="","",IF(ROUNDUP(P82/350,0)&gt;ROUNDUP(P81/350,0),"Lần " &amp; ROUNDUP(P82/350,0),""))</f>
        <v/>
      </c>
      <c r="T82" s="4" t="n"/>
      <c r="U82" s="7" t="n"/>
      <c r="AK82" s="726" t="inlineStr">
        <is>
          <t>Bản vẽ: 16,00 → 29,10 m³ (tr.126 bản quá độ A1). File cũ 16 m³ ghi C30; bản vẽ 29,10 m³ C25. | Mác C25 chưa có cấp phối riêng — đang dùng cấp phối C30 (0,425 t XM; 0,555 m³ cát; 0,700 m³ đá / m³). Nhập cấp phối được duyệt.</t>
        </is>
      </c>
    </row>
    <row r="83" ht="20" customHeight="1" s="672">
      <c r="A83" s="4" t="n">
        <v>76</v>
      </c>
      <c r="B83" s="5" t="inlineStr">
        <is>
          <t>Bê tông bản quá độ mố M2 (C25 đá 1x2)</t>
        </is>
      </c>
      <c r="C83" s="6" t="n"/>
      <c r="D83" s="6" t="n"/>
      <c r="E83" s="725" t="n">
        <v>38.28</v>
      </c>
      <c r="F83" s="6">
        <f>IF(C83="","",C83+7)</f>
        <v/>
      </c>
      <c r="G83" s="6">
        <f>IF(C83="","",C83+28)</f>
        <v/>
      </c>
      <c r="H83" s="4" t="n"/>
      <c r="I83" s="4" t="n"/>
      <c r="J83" s="4" t="n"/>
      <c r="K83" s="8" t="n">
        <v>0.425</v>
      </c>
      <c r="L83" s="8" t="n">
        <v>0.555</v>
      </c>
      <c r="M83" s="8" t="n">
        <v>0.7</v>
      </c>
      <c r="N83" s="7">
        <f>IF(E83="","",ROUND(N82+IF(H83&gt;0,E83*H83,E83*K83),2))</f>
        <v/>
      </c>
      <c r="O83" s="7">
        <f>IF(E83="","",ROUND(O82+IF(I83&gt;0,E83*I83,E83*L83),2))</f>
        <v/>
      </c>
      <c r="P83" s="7">
        <f>IF(E83="","",ROUND(P82+IF(J83&gt;0,E83*J83,E83*M83),2))</f>
        <v/>
      </c>
      <c r="Q83" s="9">
        <f>IF(N83="","",IF(ROUNDUP(N83/50,0)&gt;ROUNDUP(N82/50,0),"Lần " &amp; ROUNDUP(N83/50,0),""))</f>
        <v/>
      </c>
      <c r="R83" s="10">
        <f>IF(O83="","",IF(ROUNDUP(O83/200,0)&gt;ROUNDUP(O82/200,0),"Lần " &amp; ROUNDUP(O83/200,0),""))</f>
        <v/>
      </c>
      <c r="S83" s="9">
        <f>IF(P83="","",IF(ROUNDUP(P83/350,0)&gt;ROUNDUP(P82/350,0),"Lần " &amp; ROUNDUP(P83/350,0),""))</f>
        <v/>
      </c>
      <c r="T83" s="4" t="n"/>
      <c r="U83" s="7" t="n"/>
      <c r="AK83" s="726" t="inlineStr">
        <is>
          <t>Bản vẽ: 16,00 → 38,28 m³ (tr.128 bản quá độ A2). File cũ 16 m³ ghi C30; bản vẽ 38,28 m³ C25. | Mác C25 chưa có cấp phối riêng — đang dùng cấp phối C30 (0,425 t XM; 0,555 m³ cát; 0,700 m³ đá / m³). Nhập cấp phối được duyệt.</t>
        </is>
      </c>
    </row>
    <row r="84" ht="20" customHeight="1" s="672">
      <c r="A84" s="4" t="n">
        <v>77</v>
      </c>
      <c r="B84" s="5" t="inlineStr">
        <is>
          <t>Bê tông gờ lan can mố M1 &amp; Nhịp 1 (C25 đá 1x2)</t>
        </is>
      </c>
      <c r="C84" s="6" t="n"/>
      <c r="D84" s="6" t="n"/>
      <c r="E84" s="725" t="n">
        <v>52.14</v>
      </c>
      <c r="F84" s="6">
        <f>IF(C84="","",C84+7)</f>
        <v/>
      </c>
      <c r="G84" s="6">
        <f>IF(C84="","",C84+28)</f>
        <v/>
      </c>
      <c r="H84" s="4" t="n"/>
      <c r="I84" s="4" t="n"/>
      <c r="J84" s="4" t="n"/>
      <c r="K84" s="8" t="n">
        <v>0.425</v>
      </c>
      <c r="L84" s="8" t="n">
        <v>0.555</v>
      </c>
      <c r="M84" s="8" t="n">
        <v>0.7</v>
      </c>
      <c r="N84" s="7">
        <f>IF(E84="","",ROUND(N83+IF(H84&gt;0,E84*H84,E84*K84),2))</f>
        <v/>
      </c>
      <c r="O84" s="7">
        <f>IF(E84="","",ROUND(O83+IF(I84&gt;0,E84*I84,E84*L84),2))</f>
        <v/>
      </c>
      <c r="P84" s="7">
        <f>IF(E84="","",ROUND(P83+IF(J84&gt;0,E84*J84,E84*M84),2))</f>
        <v/>
      </c>
      <c r="Q84" s="9">
        <f>IF(N84="","",IF(ROUNDUP(N84/50,0)&gt;ROUNDUP(N83/50,0),"Lần " &amp; ROUNDUP(N84/50,0),""))</f>
        <v/>
      </c>
      <c r="R84" s="10">
        <f>IF(O84="","",IF(ROUNDUP(O84/200,0)&gt;ROUNDUP(O83/200,0),"Lần " &amp; ROUNDUP(O84/200,0),""))</f>
        <v/>
      </c>
      <c r="S84" s="9">
        <f>IF(P84="","",IF(ROUNDUP(P84/350,0)&gt;ROUNDUP(P83/350,0),"Lần " &amp; ROUNDUP(P84/350,0),""))</f>
        <v/>
      </c>
      <c r="T84" s="4" t="n"/>
      <c r="U84" s="7" t="n"/>
      <c r="AK84" s="726" t="inlineStr">
        <is>
          <t>Bản vẽ: 9,50 → 52,14 m³ (tr.175/tr.119 gờ lan can C25, chia theo tỷ lệ 2 đợt cũ). File cũ 2 × 9,5 m³ C30; bản vẽ 104,28 m³ C25 (19 đốt) — nên tách theo đợt đổ thực tế. | Mác C25 chưa có cấp phối riêng — đang dùng cấp phối C30 (0,425 t XM; 0,555 m³ cát; 0,700 m³ đá / m³). Nhập cấp phối được duyệt.</t>
        </is>
      </c>
    </row>
    <row r="85" ht="20" customHeight="1" s="672">
      <c r="A85" s="4" t="n">
        <v>78</v>
      </c>
      <c r="B85" s="5" t="inlineStr">
        <is>
          <t>Bê tông gờ lan can Nhịp 2, Nhịp 3 &amp; mố M2 (C25)</t>
        </is>
      </c>
      <c r="C85" s="6" t="n"/>
      <c r="D85" s="6" t="n"/>
      <c r="E85" s="725" t="n">
        <v>52.14</v>
      </c>
      <c r="F85" s="6">
        <f>IF(C85="","",C85+7)</f>
        <v/>
      </c>
      <c r="G85" s="6">
        <f>IF(C85="","",C85+28)</f>
        <v/>
      </c>
      <c r="H85" s="4" t="n"/>
      <c r="I85" s="4" t="n"/>
      <c r="J85" s="4" t="n"/>
      <c r="K85" s="8" t="n">
        <v>0.425</v>
      </c>
      <c r="L85" s="8" t="n">
        <v>0.555</v>
      </c>
      <c r="M85" s="8" t="n">
        <v>0.7</v>
      </c>
      <c r="N85" s="7">
        <f>IF(E85="","",ROUND(N84+IF(H85&gt;0,E85*H85,E85*K85),2))</f>
        <v/>
      </c>
      <c r="O85" s="7">
        <f>IF(E85="","",ROUND(O84+IF(I85&gt;0,E85*I85,E85*L85),2))</f>
        <v/>
      </c>
      <c r="P85" s="7">
        <f>IF(E85="","",ROUND(P84+IF(J85&gt;0,E85*J85,E85*M85),2))</f>
        <v/>
      </c>
      <c r="Q85" s="9">
        <f>IF(N85="","",IF(ROUNDUP(N85/50,0)&gt;ROUNDUP(N84/50,0),"Lần " &amp; ROUNDUP(N85/50,0),""))</f>
        <v/>
      </c>
      <c r="R85" s="10">
        <f>IF(O85="","",IF(ROUNDUP(O85/200,0)&gt;ROUNDUP(O84/200,0),"Lần " &amp; ROUNDUP(O85/200,0),""))</f>
        <v/>
      </c>
      <c r="S85" s="9">
        <f>IF(P85="","",IF(ROUNDUP(P85/350,0)&gt;ROUNDUP(P84/350,0),"Lần " &amp; ROUNDUP(P85/350,0),""))</f>
        <v/>
      </c>
      <c r="T85" s="4" t="n"/>
      <c r="U85" s="7" t="n"/>
      <c r="AK85" s="726" t="inlineStr">
        <is>
          <t>Bản vẽ: 9,50 → 52,14 m³ (tr.175/tr.119 gờ lan can C25, chia theo tỷ lệ 2 đợt cũ). File cũ 2 × 9,5 m³ C30; bản vẽ 104,28 m³ C25 (19 đốt) — nên tách theo đợt đổ thực tế. | Mác C25 chưa có cấp phối riêng — đang dùng cấp phối C30 (0,425 t XM; 0,555 m³ cát; 0,700 m³ đá / m³). Nhập cấp phối được duyệt.</t>
        </is>
      </c>
    </row>
    <row r="86" ht="20" customHeight="1" s="672">
      <c r="A86" s="4" t="n">
        <v>79</v>
      </c>
      <c r="B86" s="5" t="inlineStr">
        <is>
          <t>Bê tông khe co giãn răng lược D=100mm mố M1 &amp; M2 (C40)</t>
        </is>
      </c>
      <c r="C86" s="6" t="n"/>
      <c r="D86" s="6" t="n"/>
      <c r="E86" s="725" t="n">
        <v>4.67</v>
      </c>
      <c r="F86" s="6">
        <f>IF(C86="","",C86+7)</f>
        <v/>
      </c>
      <c r="G86" s="6">
        <f>IF(C86="","",C86+28)</f>
        <v/>
      </c>
      <c r="H86" s="4" t="n"/>
      <c r="I86" s="4" t="n"/>
      <c r="J86" s="4" t="n"/>
      <c r="K86" s="8" t="n">
        <v>0.425</v>
      </c>
      <c r="L86" s="8" t="n">
        <v>0.555</v>
      </c>
      <c r="M86" s="8" t="n">
        <v>0.7</v>
      </c>
      <c r="N86" s="7">
        <f>IF(E86="","",ROUND(N85+IF(H86&gt;0,E86*H86,E86*K86),2))</f>
        <v/>
      </c>
      <c r="O86" s="7">
        <f>IF(E86="","",ROUND(O85+IF(I86&gt;0,E86*I86,E86*L86),2))</f>
        <v/>
      </c>
      <c r="P86" s="7">
        <f>IF(E86="","",ROUND(P85+IF(J86&gt;0,E86*J86,E86*M86),2))</f>
        <v/>
      </c>
      <c r="Q86" s="9">
        <f>IF(N86="","",IF(ROUNDUP(N86/50,0)&gt;ROUNDUP(N85/50,0),"Lần " &amp; ROUNDUP(N86/50,0),""))</f>
        <v/>
      </c>
      <c r="R86" s="10">
        <f>IF(O86="","",IF(ROUNDUP(O86/200,0)&gt;ROUNDUP(O85/200,0),"Lần " &amp; ROUNDUP(O86/200,0),""))</f>
        <v/>
      </c>
      <c r="S86" s="9">
        <f>IF(P86="","",IF(ROUNDUP(P86/350,0)&gt;ROUNDUP(P85/350,0),"Lần " &amp; ROUNDUP(P86/350,0),""))</f>
        <v/>
      </c>
      <c r="T86" s="4" t="n"/>
      <c r="U86" s="7" t="n"/>
      <c r="AK86" s="726" t="inlineStr">
        <is>
          <t>Khớp bản vẽ (tr.175 khe co giãn) | Mác C40 chưa có cấp phối riêng — đang dùng cấp phối C30 (0,425 t XM; 0,555 m³ cát; 0,700 m³ đá / m³). Nhập cấp phối được duyệt.</t>
        </is>
      </c>
    </row>
    <row r="87" ht="24" customHeight="1" s="672">
      <c r="A87" s="661" t="inlineStr">
        <is>
          <t>TỔNG CỘNG TOÀN CẦU</t>
        </is>
      </c>
      <c r="B87" s="722" t="n"/>
      <c r="C87" s="721" t="n"/>
      <c r="D87" s="662" t="n"/>
      <c r="E87" s="13">
        <f>SUM(E4:E86)</f>
        <v/>
      </c>
      <c r="F87" s="662" t="n"/>
      <c r="G87" s="662" t="n"/>
      <c r="H87" s="662" t="n"/>
      <c r="I87" s="662" t="n"/>
      <c r="J87" s="662" t="n"/>
      <c r="K87" s="662" t="n"/>
      <c r="L87" s="662" t="n"/>
      <c r="M87" s="662" t="n"/>
      <c r="N87" s="13">
        <f>N86</f>
        <v/>
      </c>
      <c r="O87" s="13">
        <f>O86</f>
        <v/>
      </c>
      <c r="P87" s="13">
        <f>P86</f>
        <v/>
      </c>
      <c r="Q87" s="662" t="n"/>
      <c r="R87" s="662" t="n"/>
      <c r="S87" s="662" t="n"/>
      <c r="T87" s="662" t="n"/>
      <c r="U87" s="662" t="n"/>
    </row>
  </sheetData>
  <mergeCells count="17">
    <mergeCell ref="H1:J1"/>
    <mergeCell ref="U1:U2"/>
    <mergeCell ref="A1:A2"/>
    <mergeCell ref="A30:U30"/>
    <mergeCell ref="A3:U3"/>
    <mergeCell ref="A41:U41"/>
    <mergeCell ref="C1:C2"/>
    <mergeCell ref="N1:P1"/>
    <mergeCell ref="B1:B2"/>
    <mergeCell ref="E1:E2"/>
    <mergeCell ref="A58:U58"/>
    <mergeCell ref="A87:C87"/>
    <mergeCell ref="A74:U74"/>
    <mergeCell ref="Q1:S1"/>
    <mergeCell ref="F1:G1"/>
    <mergeCell ref="T1:T2"/>
    <mergeCell ref="K1:M1"/>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R824"/>
  <sheetViews>
    <sheetView tabSelected="1" zoomScale="85" zoomScaleNormal="85" workbookViewId="0">
      <pane xSplit="4" ySplit="2" topLeftCell="S696" activePane="bottomRight" state="frozen"/>
      <selection activeCell="Q6" sqref="Q6"/>
      <selection pane="topRight" activeCell="Q6" sqref="Q6"/>
      <selection pane="bottomLeft" activeCell="Q6" sqref="Q6"/>
      <selection pane="bottomRight" activeCell="X715" sqref="X715"/>
    </sheetView>
  </sheetViews>
  <sheetFormatPr baseColWidth="8" defaultRowHeight="14"/>
  <cols>
    <col width="6" customWidth="1" style="672" min="1" max="1"/>
    <col width="36" customWidth="1" style="672" min="2" max="2"/>
    <col width="30" customWidth="1" style="672" min="3" max="3"/>
    <col width="12" customWidth="1" style="672" min="4" max="4"/>
    <col width="11" customWidth="1" style="672" min="5" max="5"/>
    <col width="13" customWidth="1" style="672" min="6" max="6"/>
    <col width="22" customWidth="1" style="672" min="7" max="7"/>
    <col width="13" customWidth="1" style="672" min="8" max="8"/>
    <col width="10" customWidth="1" style="672" min="9" max="9"/>
    <col width="12" customWidth="1" style="672" min="10" max="10"/>
    <col width="13" customWidth="1" style="672" min="11" max="13"/>
    <col width="20" customWidth="1" style="672" min="14" max="14"/>
    <col width="22" customWidth="1" style="672" min="15" max="15"/>
    <col width="13" customWidth="1" style="672" min="16" max="37"/>
    <col width="18" customWidth="1" style="672" min="38" max="38"/>
    <col width="20.5" bestFit="1" customWidth="1" style="672" min="40" max="40"/>
    <col width="20.83203125" bestFit="1" customWidth="1" style="672" min="41" max="41"/>
    <col width="13.08203125" bestFit="1" customWidth="1" style="672" min="43" max="43"/>
    <col width="27.58203125" bestFit="1" customWidth="1" style="672" min="44" max="44"/>
  </cols>
  <sheetData>
    <row r="1" ht="24" customHeight="1" s="672">
      <c r="A1" s="663" t="inlineStr">
        <is>
          <t>STT</t>
        </is>
      </c>
      <c r="B1" s="663" t="inlineStr">
        <is>
          <t>HẠNG MỤC CẤU KIỆN</t>
        </is>
      </c>
      <c r="C1" s="663" t="inlineStr">
        <is>
          <t>BỘ PHẬN / VỊ TRÍ CHI TIẾT</t>
        </is>
      </c>
      <c r="D1" s="663" t="inlineStr">
        <is>
          <t>KÝ HIỆU
THANH</t>
        </is>
      </c>
      <c r="E1" s="663" t="inlineStr">
        <is>
          <t>ĐƯỜNG KÍNH
Ø (mm)</t>
        </is>
      </c>
      <c r="F1" s="663" t="inlineStr">
        <is>
          <t>MÁC THÉP /
TIÊU CHUẨN</t>
        </is>
      </c>
      <c r="G1" s="663" t="inlineStr">
        <is>
          <t>HÌNH DẠNG /
QUY CÁCH</t>
        </is>
      </c>
      <c r="H1" s="663" t="inlineStr">
        <is>
          <t>CHIỀU DÀI
1 THANH (m)</t>
        </is>
      </c>
      <c r="I1" s="663" t="inlineStr">
        <is>
          <t>SỐ LƯỢNG
(Thanh)</t>
        </is>
      </c>
      <c r="J1" s="663" t="inlineStr">
        <is>
          <t>TRỌNG LƯỢNG
1M (kg/m)</t>
        </is>
      </c>
      <c r="K1" s="663" t="inlineStr">
        <is>
          <t>TỔNG KL
(kg)</t>
        </is>
      </c>
      <c r="L1" s="663" t="inlineStr">
        <is>
          <t>KHỐI LƯỢNG
(Tấn)</t>
        </is>
      </c>
      <c r="M1" s="663" t="inlineStr">
        <is>
          <t>N/T/N
LẮP DỰNG</t>
        </is>
      </c>
      <c r="N1" s="663" t="inlineStr">
        <is>
          <t>SỐ LÔ / HEAT NO
CO-CQ RIÊNG TỪNG Ø</t>
        </is>
      </c>
      <c r="O1" s="666" t="inlineStr">
        <is>
          <t>CẢNH BÁO LẤY MẪU TN
KÉO/UỐN (50T/LẦN)</t>
        </is>
      </c>
      <c r="P1" s="667" t="inlineStr">
        <is>
          <t>KHỐI LƯỢNG LŨY KẾ THEO TỪNG LOẠI ĐƯỜNG KÍNH Ø (TẤN)</t>
        </is>
      </c>
      <c r="Q1" s="722" t="n"/>
      <c r="R1" s="722" t="n"/>
      <c r="S1" s="722" t="n"/>
      <c r="T1" s="722" t="n"/>
      <c r="U1" s="722" t="n"/>
      <c r="V1" s="722" t="n"/>
      <c r="W1" s="722" t="n"/>
      <c r="X1" s="722" t="n"/>
      <c r="Y1" s="722" t="n"/>
      <c r="Z1" s="721" t="n"/>
      <c r="AA1" s="666" t="inlineStr">
        <is>
          <t>TẦN SUẤT THÍ NGHIỆM CƠ LÝ KÉO / UỐN RIÊNG TỪNG Ø (50 TẤN / LẦN - TCVN 1651:2018)</t>
        </is>
      </c>
      <c r="AB1" s="722" t="n"/>
      <c r="AC1" s="722" t="n"/>
      <c r="AD1" s="722" t="n"/>
      <c r="AE1" s="722" t="n"/>
      <c r="AF1" s="722" t="n"/>
      <c r="AG1" s="722" t="n"/>
      <c r="AH1" s="722" t="n"/>
      <c r="AI1" s="722" t="n"/>
      <c r="AJ1" s="722" t="n"/>
      <c r="AK1" s="721" t="n"/>
      <c r="AL1" s="663" t="inlineStr">
        <is>
          <t>ĐÁNH GIÁ &amp;
KẾT LUẬN</t>
        </is>
      </c>
      <c r="AN1" s="593" t="inlineStr">
        <is>
          <t>LOẠI HẠNG MỤC (OFFSET)</t>
        </is>
      </c>
      <c r="AO1" s="593" t="inlineStr">
        <is>
          <t>DÒNG BÊ TÔNG ĐỐI CHIẾU</t>
        </is>
      </c>
      <c r="AQ1" s="593" t="inlineStr">
        <is>
          <t>LOẠI HẠNG MỤC</t>
        </is>
      </c>
      <c r="AR1" s="593" t="inlineStr">
        <is>
          <t>SỐ NGÀY LẮP DỰNG TRƯỚC ĐỔ BT</t>
        </is>
      </c>
    </row>
    <row r="2" ht="30" customHeight="1" s="672">
      <c r="A2" s="724" t="n"/>
      <c r="B2" s="724" t="n"/>
      <c r="C2" s="724" t="n"/>
      <c r="D2" s="724" t="n"/>
      <c r="E2" s="724" t="n"/>
      <c r="F2" s="724" t="n"/>
      <c r="G2" s="724" t="n"/>
      <c r="H2" s="724" t="n"/>
      <c r="I2" s="724" t="n"/>
      <c r="J2" s="724" t="n"/>
      <c r="K2" s="724" t="n"/>
      <c r="L2" s="724" t="n"/>
      <c r="M2" s="724" t="n"/>
      <c r="N2" s="724" t="n"/>
      <c r="O2" s="724" t="n"/>
      <c r="P2" s="667" t="inlineStr">
        <is>
          <t>Ø10 (kèm Ø6, Ø8)
(CB240-T)</t>
        </is>
      </c>
      <c r="Q2" s="667" t="inlineStr">
        <is>
          <t>Ø12
(CB400-V)</t>
        </is>
      </c>
      <c r="R2" s="667" t="inlineStr">
        <is>
          <t>Ø14
(CB400-V)</t>
        </is>
      </c>
      <c r="S2" s="667" t="inlineStr">
        <is>
          <t>Ø16
(CB400-V)</t>
        </is>
      </c>
      <c r="T2" s="667" t="inlineStr">
        <is>
          <t>Ø18
(CB400-V)</t>
        </is>
      </c>
      <c r="U2" s="667" t="inlineStr">
        <is>
          <t>Ø20
(CB400-V)</t>
        </is>
      </c>
      <c r="V2" s="667" t="inlineStr">
        <is>
          <t>Ø22
(CB400-V)</t>
        </is>
      </c>
      <c r="W2" s="667" t="inlineStr">
        <is>
          <t>Ø25
(CB400-V)</t>
        </is>
      </c>
      <c r="X2" s="667" t="inlineStr">
        <is>
          <t>Ø28
(CB400-V)</t>
        </is>
      </c>
      <c r="Y2" s="667" t="inlineStr">
        <is>
          <t>Ø32
(CB400-V)</t>
        </is>
      </c>
      <c r="Z2" s="667" t="inlineStr">
        <is>
          <t>Cáp DƯL 15.2
(ASTM A416)</t>
        </is>
      </c>
      <c r="AA2" s="666" t="inlineStr">
        <is>
          <t>TN Ø10
50T / Lần</t>
        </is>
      </c>
      <c r="AB2" s="666" t="inlineStr">
        <is>
          <t>TN Ø12
50T / Lần</t>
        </is>
      </c>
      <c r="AC2" s="666" t="inlineStr">
        <is>
          <t>TN Ø14
50T / Lần</t>
        </is>
      </c>
      <c r="AD2" s="666" t="inlineStr">
        <is>
          <t>TN Ø16
50T / Lần</t>
        </is>
      </c>
      <c r="AE2" s="666" t="inlineStr">
        <is>
          <t>TN Ø18
50T / Lần</t>
        </is>
      </c>
      <c r="AF2" s="666" t="inlineStr">
        <is>
          <t>TN Ø20
50T / Lần</t>
        </is>
      </c>
      <c r="AG2" s="666" t="inlineStr">
        <is>
          <t>TN Ø22
50T / Lần</t>
        </is>
      </c>
      <c r="AH2" s="666" t="inlineStr">
        <is>
          <t>TN Ø25
50T / Lần</t>
        </is>
      </c>
      <c r="AI2" s="666" t="inlineStr">
        <is>
          <t>TN Ø28
50T / Lần</t>
        </is>
      </c>
      <c r="AJ2" s="666" t="inlineStr">
        <is>
          <t>TN Ø32
50T / Lần</t>
        </is>
      </c>
      <c r="AK2" s="666" t="inlineStr">
        <is>
          <t>TN Cáp 15.2
50T / Lần</t>
        </is>
      </c>
      <c r="AL2" s="724" t="n"/>
      <c r="AQ2" s="594" t="inlineStr">
        <is>
          <t>Coc</t>
        </is>
      </c>
      <c r="AR2" s="595" t="n">
        <v>1</v>
      </c>
    </row>
    <row r="3" ht="23" customHeight="1" s="672">
      <c r="A3" s="668" t="inlineStr">
        <is>
          <t>--- CỌC KHOAN NHỒI C5 TRỤ T1 (D1.2M, L=40.0M) ---</t>
        </is>
      </c>
      <c r="B3" s="722" t="n"/>
      <c r="C3" s="722" t="n"/>
      <c r="D3" s="722" t="n"/>
      <c r="E3" s="722" t="n"/>
      <c r="F3" s="722" t="n"/>
      <c r="G3" s="722" t="n"/>
      <c r="H3" s="722" t="n"/>
      <c r="I3" s="722" t="n"/>
      <c r="J3" s="722" t="n"/>
      <c r="K3" s="722" t="n"/>
      <c r="L3" s="722" t="n"/>
      <c r="M3" s="722" t="n"/>
      <c r="N3" s="722" t="n"/>
      <c r="O3" s="722" t="n"/>
      <c r="P3" s="722" t="n"/>
      <c r="Q3" s="722" t="n"/>
      <c r="R3" s="722" t="n"/>
      <c r="S3" s="722" t="n"/>
      <c r="T3" s="722" t="n"/>
      <c r="U3" s="722" t="n"/>
      <c r="V3" s="722" t="n"/>
      <c r="W3" s="722" t="n"/>
      <c r="X3" s="722" t="n"/>
      <c r="Y3" s="722" t="n"/>
      <c r="Z3" s="722" t="n"/>
      <c r="AA3" s="722" t="n"/>
      <c r="AB3" s="722" t="n"/>
      <c r="AC3" s="722" t="n"/>
      <c r="AD3" s="722" t="n"/>
      <c r="AE3" s="722" t="n"/>
      <c r="AF3" s="722" t="n"/>
      <c r="AG3" s="722" t="n"/>
      <c r="AH3" s="722" t="n"/>
      <c r="AI3" s="722" t="n"/>
      <c r="AJ3" s="722" t="n"/>
      <c r="AK3" s="722" t="n"/>
      <c r="AL3" s="721" t="n"/>
      <c r="AQ3" s="594" t="inlineStr">
        <is>
          <t>Be</t>
        </is>
      </c>
      <c r="AR3" s="595" t="n">
        <v>3</v>
      </c>
    </row>
    <row r="4" ht="20" customHeight="1" s="672">
      <c r="A4" s="4" t="n">
        <v>1</v>
      </c>
      <c r="B4" s="5" t="inlineStr">
        <is>
          <t>Cọc khoan nhồi C5 Trụ T1 (D1.2m, L=40.0m)</t>
        </is>
      </c>
      <c r="C4" s="5" t="inlineStr">
        <is>
          <t>Cọc trụ T1 L=40m (tr.68)</t>
        </is>
      </c>
      <c r="D4" s="14" t="inlineStr">
        <is>
          <t>P1</t>
        </is>
      </c>
      <c r="E4" s="15" t="n">
        <v>10</v>
      </c>
      <c r="F4" s="4" t="inlineStr">
        <is>
          <t>CB240-T</t>
        </is>
      </c>
      <c r="G4" s="5" t="inlineStr"/>
      <c r="H4" s="16" t="n">
        <v>96.604</v>
      </c>
      <c r="I4" s="17" t="n">
        <v>1</v>
      </c>
      <c r="J4" s="18" t="n">
        <v>0.617</v>
      </c>
      <c r="K4" s="7">
        <f>ROUND(H4*I4*J4, 2)</f>
        <v/>
      </c>
      <c r="L4" s="19">
        <f>ROUND(K4/1000, 3)</f>
        <v/>
      </c>
      <c r="M4" s="728">
        <f>IF(AO4="","",IF(N(INDEX(Theo_Doi_Tan_Suat_Be_Tong!$C:$C,AO4))&lt;=0,"",INDEX(Theo_Doi_Tan_Suat_Be_Tong!$C:$C,AO4)-VLOOKUP(AN4,$AQ$2:$AR$7,2,FALSE)))</f>
        <v/>
      </c>
      <c r="N4" s="4" t="n"/>
      <c r="O4" s="20">
        <f>IF(ROUNDUP(P4/20,0)&gt;0,"TN Ø10 (Lần " &amp; ROUNDUP(P4/20,0) &amp; ")","")</f>
        <v/>
      </c>
      <c r="P4" s="16">
        <f>ROUND(IF(AND(E4&lt;=10,F4&lt;&gt;"ASTM A416"),L4,0),3)</f>
        <v/>
      </c>
      <c r="Q4" s="16">
        <f>ROUND(IF(AND(E4=12,F4&lt;&gt;"ASTM A416"),L4,0),3)</f>
        <v/>
      </c>
      <c r="R4" s="16">
        <f>ROUND(IF(AND(E4=14,F4&lt;&gt;"ASTM A416"),L4,0),3)</f>
        <v/>
      </c>
      <c r="S4" s="16">
        <f>ROUND(IF(AND(E4=16,F4&lt;&gt;"ASTM A416"),L4,0),3)</f>
        <v/>
      </c>
      <c r="T4" s="16">
        <f>ROUND(IF(AND(E4=18,F4&lt;&gt;"ASTM A416"),L4,0),3)</f>
        <v/>
      </c>
      <c r="U4" s="16">
        <f>ROUND(IF(AND(E4=20,F4&lt;&gt;"ASTM A416"),L4,0),3)</f>
        <v/>
      </c>
      <c r="V4" s="16">
        <f>ROUND(IF(AND(E4=22,F4&lt;&gt;"ASTM A416"),L4,0),3)</f>
        <v/>
      </c>
      <c r="W4" s="16">
        <f>ROUND(IF(AND(E4=25,F4&lt;&gt;"ASTM A416"),L4,0),3)</f>
        <v/>
      </c>
      <c r="X4" s="16">
        <f>ROUND(IF(AND(E4=28,F4&lt;&gt;"ASTM A416"),L4,0),3)</f>
        <v/>
      </c>
      <c r="Y4" s="16">
        <f>ROUND(IF(AND(E4=32,F4&lt;&gt;"ASTM A416"),L4,0),3)</f>
        <v/>
      </c>
      <c r="Z4" s="16">
        <f>ROUND(IF(F4="ASTM A416",L4,0),3)</f>
        <v/>
      </c>
      <c r="AA4" s="9">
        <f>IF(ROUNDUP(P4/20,0)&gt;0,"Lần " &amp; ROUNDUP(P4/20,0),"")</f>
        <v/>
      </c>
      <c r="AB4" s="9">
        <f>IF(ROUNDUP(Q4/20,0)&gt;0,"Lần " &amp; ROUNDUP(Q4/20,0),"")</f>
        <v/>
      </c>
      <c r="AC4" s="9">
        <f>IF(ROUNDUP(R4/20,0)&gt;0,"Lần " &amp; ROUNDUP(R4/20,0),"")</f>
        <v/>
      </c>
      <c r="AD4" s="9">
        <f>IF(ROUNDUP(S4/20,0)&gt;0,"Lần " &amp; ROUNDUP(S4/20,0),"")</f>
        <v/>
      </c>
      <c r="AE4" s="9">
        <f>IF(ROUNDUP(T4/20,0)&gt;0,"Lần " &amp; ROUNDUP(T4/20,0),"")</f>
        <v/>
      </c>
      <c r="AF4" s="9">
        <f>IF(ROUNDUP(U4/20,0)&gt;0,"Lần " &amp; ROUNDUP(U4/20,0),"")</f>
        <v/>
      </c>
      <c r="AG4" s="9">
        <f>IF(ROUNDUP(V4/20,0)&gt;0,"Lần " &amp; ROUNDUP(V4/20,0),"")</f>
        <v/>
      </c>
      <c r="AH4" s="9">
        <f>IF(ROUNDUP(W4/20,0)&gt;0,"Lần " &amp; ROUNDUP(W4/20,0),"")</f>
        <v/>
      </c>
      <c r="AI4" s="9">
        <f>IF(ROUNDUP(X4/20,0)&gt;0,"Lần " &amp; ROUNDUP(X4/20,0),"")</f>
        <v/>
      </c>
      <c r="AJ4" s="9">
        <f>IF(ROUNDUP(Y4/20,0)&gt;0,"Lần " &amp; ROUNDUP(Y4/20,0),"")</f>
        <v/>
      </c>
      <c r="AK4" s="9">
        <f>IF(ROUNDUP(Z4/20,0)&gt;0,"Lần " &amp; ROUNDUP(Z4/20,0),"")</f>
        <v/>
      </c>
      <c r="AL4" s="4" t="n"/>
      <c r="AN4" s="596" t="inlineStr">
        <is>
          <t>Coc</t>
        </is>
      </c>
      <c r="AO4" s="596" t="n">
        <v>4</v>
      </c>
      <c r="AQ4" s="594" t="inlineStr">
        <is>
          <t>Than</t>
        </is>
      </c>
      <c r="AR4" s="595" t="n">
        <v>2</v>
      </c>
    </row>
    <row r="5" ht="19" customHeight="1" s="672">
      <c r="A5" s="4" t="n">
        <v>2</v>
      </c>
      <c r="B5" s="5" t="inlineStr">
        <is>
          <t>Cọc khoan nhồi C5 Trụ T1 (D1.2m, L=40.0m)</t>
        </is>
      </c>
      <c r="C5" s="5" t="inlineStr">
        <is>
          <t>Cọc trụ T1 L=40m (tr.68)</t>
        </is>
      </c>
      <c r="D5" s="14" t="inlineStr">
        <is>
          <t>P1A</t>
        </is>
      </c>
      <c r="E5" s="15" t="n">
        <v>10</v>
      </c>
      <c r="F5" s="4" t="inlineStr">
        <is>
          <t>CB240-T</t>
        </is>
      </c>
      <c r="G5" s="5" t="inlineStr"/>
      <c r="H5" s="16" t="n">
        <v>389.636</v>
      </c>
      <c r="I5" s="17" t="n">
        <v>1</v>
      </c>
      <c r="J5" s="18" t="n">
        <v>0.617</v>
      </c>
      <c r="K5" s="7">
        <f>ROUND(H5*I5*J5, 2)</f>
        <v/>
      </c>
      <c r="L5" s="19">
        <f>ROUND(K5/1000, 3)</f>
        <v/>
      </c>
      <c r="M5" s="728">
        <f>IF(AO5="","",IF(N(INDEX(Theo_Doi_Tan_Suat_Be_Tong!$C:$C,AO5))&lt;=0,"",INDEX(Theo_Doi_Tan_Suat_Be_Tong!$C:$C,AO5)-VLOOKUP(AN5,$AQ$2:$AR$7,2,FALSE)))</f>
        <v/>
      </c>
      <c r="N5" s="4" t="n"/>
      <c r="O5" s="20">
        <f>IF(ROUNDUP(P5/20,0)&gt;ROUNDUP(P4/20,0),"TN Ø10 (Lần " &amp; ROUNDUP(P5/20,0) &amp; ")","")</f>
        <v/>
      </c>
      <c r="P5" s="16">
        <f>ROUND(P4+IF(AND(E5&lt;=10,F5&lt;&gt;"ASTM A416"),L5,0),3)</f>
        <v/>
      </c>
      <c r="Q5" s="16">
        <f>ROUND(Q4+IF(AND(E5=12,F5&lt;&gt;"ASTM A416"),L5,0),3)</f>
        <v/>
      </c>
      <c r="R5" s="16">
        <f>ROUND(R4+IF(AND(E5=14,F5&lt;&gt;"ASTM A416"),L5,0),3)</f>
        <v/>
      </c>
      <c r="S5" s="16">
        <f>ROUND(S4+IF(AND(E5=16,F5&lt;&gt;"ASTM A416"),L5,0),3)</f>
        <v/>
      </c>
      <c r="T5" s="16">
        <f>ROUND(T4+IF(AND(E5=18,F5&lt;&gt;"ASTM A416"),L5,0),3)</f>
        <v/>
      </c>
      <c r="U5" s="16">
        <f>ROUND(U4+IF(AND(E5=20,F5&lt;&gt;"ASTM A416"),L5,0),3)</f>
        <v/>
      </c>
      <c r="V5" s="16">
        <f>ROUND(V4+IF(AND(E5=22,F5&lt;&gt;"ASTM A416"),L5,0),3)</f>
        <v/>
      </c>
      <c r="W5" s="16">
        <f>ROUND(W4+IF(AND(E5=25,F5&lt;&gt;"ASTM A416"),L5,0),3)</f>
        <v/>
      </c>
      <c r="X5" s="16">
        <f>ROUND(X4+IF(AND(E5=28,F5&lt;&gt;"ASTM A416"),L5,0),3)</f>
        <v/>
      </c>
      <c r="Y5" s="16">
        <f>ROUND(Y4+IF(AND(E5=32,F5&lt;&gt;"ASTM A416"),L5,0),3)</f>
        <v/>
      </c>
      <c r="Z5" s="16">
        <f>ROUND(Z4+IF(F5="ASTM A416",L5,0),3)</f>
        <v/>
      </c>
      <c r="AA5" s="9">
        <f>IF(ROUNDUP(P5/20,0)&gt;ROUNDUP(P4/20,0),"Lần " &amp; ROUNDUP(P5/20,0),"")</f>
        <v/>
      </c>
      <c r="AB5" s="9">
        <f>IF(ROUNDUP(Q5/20,0)&gt;ROUNDUP(Q4/20,0),"Lần " &amp; ROUNDUP(Q5/20,0),"")</f>
        <v/>
      </c>
      <c r="AC5" s="9">
        <f>IF(ROUNDUP(R5/20,0)&gt;ROUNDUP(R4/20,0),"Lần " &amp; ROUNDUP(R5/20,0),"")</f>
        <v/>
      </c>
      <c r="AD5" s="9">
        <f>IF(ROUNDUP(S5/20,0)&gt;ROUNDUP(S4/20,0),"Lần " &amp; ROUNDUP(S5/20,0),"")</f>
        <v/>
      </c>
      <c r="AE5" s="9">
        <f>IF(ROUNDUP(T5/20,0)&gt;ROUNDUP(T4/20,0),"Lần " &amp; ROUNDUP(T5/20,0),"")</f>
        <v/>
      </c>
      <c r="AF5" s="9">
        <f>IF(ROUNDUP(U5/20,0)&gt;ROUNDUP(U4/20,0),"Lần " &amp; ROUNDUP(U5/20,0),"")</f>
        <v/>
      </c>
      <c r="AG5" s="9">
        <f>IF(ROUNDUP(V5/20,0)&gt;ROUNDUP(V4/20,0),"Lần " &amp; ROUNDUP(V5/20,0),"")</f>
        <v/>
      </c>
      <c r="AH5" s="9">
        <f>IF(ROUNDUP(W5/20,0)&gt;ROUNDUP(W4/20,0),"Lần " &amp; ROUNDUP(W5/20,0),"")</f>
        <v/>
      </c>
      <c r="AI5" s="9">
        <f>IF(ROUNDUP(X5/20,0)&gt;ROUNDUP(X4/20,0),"Lần " &amp; ROUNDUP(X5/20,0),"")</f>
        <v/>
      </c>
      <c r="AJ5" s="9">
        <f>IF(ROUNDUP(Y5/20,0)&gt;ROUNDUP(Y4/20,0),"Lần " &amp; ROUNDUP(Y5/20,0),"")</f>
        <v/>
      </c>
      <c r="AK5" s="9">
        <f>IF(ROUNDUP(Z5/20,0)&gt;ROUNDUP(Z4/20,0),"Lần " &amp; ROUNDUP(Z5/20,0),"")</f>
        <v/>
      </c>
      <c r="AL5" s="4" t="n"/>
      <c r="AN5" s="596" t="inlineStr">
        <is>
          <t>Coc</t>
        </is>
      </c>
      <c r="AO5" s="596" t="n">
        <v>4</v>
      </c>
      <c r="AQ5" s="594" t="inlineStr">
        <is>
          <t>Dam</t>
        </is>
      </c>
      <c r="AR5" s="595" t="n">
        <v>4</v>
      </c>
    </row>
    <row r="6" ht="19" customHeight="1" s="672">
      <c r="A6" s="4" t="n">
        <v>3</v>
      </c>
      <c r="B6" s="5" t="inlineStr">
        <is>
          <t>Cọc khoan nhồi C5 Trụ T1 (D1.2m, L=40.0m)</t>
        </is>
      </c>
      <c r="C6" s="5" t="inlineStr">
        <is>
          <t>Cọc trụ T1 L=40m (tr.68)</t>
        </is>
      </c>
      <c r="D6" s="14" t="inlineStr">
        <is>
          <t>P1B</t>
        </is>
      </c>
      <c r="E6" s="15" t="n">
        <v>10</v>
      </c>
      <c r="F6" s="4" t="inlineStr">
        <is>
          <t>CB240-T</t>
        </is>
      </c>
      <c r="G6" s="5" t="inlineStr"/>
      <c r="H6" s="16" t="n">
        <v>206.981</v>
      </c>
      <c r="I6" s="17" t="n">
        <v>1</v>
      </c>
      <c r="J6" s="18" t="n">
        <v>0.617</v>
      </c>
      <c r="K6" s="7">
        <f>ROUND(H6*I6*J6, 2)</f>
        <v/>
      </c>
      <c r="L6" s="19">
        <f>ROUND(K6/1000, 3)</f>
        <v/>
      </c>
      <c r="M6" s="728">
        <f>IF(AO6="","",IF(N(INDEX(Theo_Doi_Tan_Suat_Be_Tong!$C:$C,AO6))&lt;=0,"",INDEX(Theo_Doi_Tan_Suat_Be_Tong!$C:$C,AO6)-VLOOKUP(AN6,$AQ$2:$AR$7,2,FALSE)))</f>
        <v/>
      </c>
      <c r="N6" s="4" t="n"/>
      <c r="O6" s="20">
        <f>IF(ROUNDUP(P6/20,0)&gt;ROUNDUP(P5/20,0),"TN Ø10 (Lần " &amp; ROUNDUP(P6/20,0) &amp; ")","")</f>
        <v/>
      </c>
      <c r="P6" s="16">
        <f>ROUND(P5+IF(AND(E6&lt;=10,F6&lt;&gt;"ASTM A416"),L6,0),3)</f>
        <v/>
      </c>
      <c r="Q6" s="16">
        <f>ROUND(Q5+IF(AND(E6=12,F6&lt;&gt;"ASTM A416"),L6,0),3)</f>
        <v/>
      </c>
      <c r="R6" s="16">
        <f>ROUND(R5+IF(AND(E6=14,F6&lt;&gt;"ASTM A416"),L6,0),3)</f>
        <v/>
      </c>
      <c r="S6" s="16">
        <f>ROUND(S5+IF(AND(E6=16,F6&lt;&gt;"ASTM A416"),L6,0),3)</f>
        <v/>
      </c>
      <c r="T6" s="16">
        <f>ROUND(T5+IF(AND(E6=18,F6&lt;&gt;"ASTM A416"),L6,0),3)</f>
        <v/>
      </c>
      <c r="U6" s="16">
        <f>ROUND(U5+IF(AND(E6=20,F6&lt;&gt;"ASTM A416"),L6,0),3)</f>
        <v/>
      </c>
      <c r="V6" s="16">
        <f>ROUND(V5+IF(AND(E6=22,F6&lt;&gt;"ASTM A416"),L6,0),3)</f>
        <v/>
      </c>
      <c r="W6" s="16">
        <f>ROUND(W5+IF(AND(E6=25,F6&lt;&gt;"ASTM A416"),L6,0),3)</f>
        <v/>
      </c>
      <c r="X6" s="16">
        <f>ROUND(X5+IF(AND(E6=28,F6&lt;&gt;"ASTM A416"),L6,0),3)</f>
        <v/>
      </c>
      <c r="Y6" s="16">
        <f>ROUND(Y5+IF(AND(E6=32,F6&lt;&gt;"ASTM A416"),L6,0),3)</f>
        <v/>
      </c>
      <c r="Z6" s="16">
        <f>ROUND(Z5+IF(F6="ASTM A416",L6,0),3)</f>
        <v/>
      </c>
      <c r="AA6" s="9">
        <f>IF(ROUNDUP(P6/20,0)&gt;ROUNDUP(P5/20,0),"Lần " &amp; ROUNDUP(P6/20,0),"")</f>
        <v/>
      </c>
      <c r="AB6" s="9">
        <f>IF(ROUNDUP(Q6/20,0)&gt;ROUNDUP(Q5/20,0),"Lần " &amp; ROUNDUP(Q6/20,0),"")</f>
        <v/>
      </c>
      <c r="AC6" s="9">
        <f>IF(ROUNDUP(R6/20,0)&gt;ROUNDUP(R5/20,0),"Lần " &amp; ROUNDUP(R6/20,0),"")</f>
        <v/>
      </c>
      <c r="AD6" s="9">
        <f>IF(ROUNDUP(S6/20,0)&gt;ROUNDUP(S5/20,0),"Lần " &amp; ROUNDUP(S6/20,0),"")</f>
        <v/>
      </c>
      <c r="AE6" s="9">
        <f>IF(ROUNDUP(T6/20,0)&gt;ROUNDUP(T5/20,0),"Lần " &amp; ROUNDUP(T6/20,0),"")</f>
        <v/>
      </c>
      <c r="AF6" s="9">
        <f>IF(ROUNDUP(U6/20,0)&gt;ROUNDUP(U5/20,0),"Lần " &amp; ROUNDUP(U6/20,0),"")</f>
        <v/>
      </c>
      <c r="AG6" s="9">
        <f>IF(ROUNDUP(V6/20,0)&gt;ROUNDUP(V5/20,0),"Lần " &amp; ROUNDUP(V6/20,0),"")</f>
        <v/>
      </c>
      <c r="AH6" s="9">
        <f>IF(ROUNDUP(W6/20,0)&gt;ROUNDUP(W5/20,0),"Lần " &amp; ROUNDUP(W6/20,0),"")</f>
        <v/>
      </c>
      <c r="AI6" s="9">
        <f>IF(ROUNDUP(X6/20,0)&gt;ROUNDUP(X5/20,0),"Lần " &amp; ROUNDUP(X6/20,0),"")</f>
        <v/>
      </c>
      <c r="AJ6" s="9">
        <f>IF(ROUNDUP(Y6/20,0)&gt;ROUNDUP(Y5/20,0),"Lần " &amp; ROUNDUP(Y6/20,0),"")</f>
        <v/>
      </c>
      <c r="AK6" s="9">
        <f>IF(ROUNDUP(Z6/20,0)&gt;ROUNDUP(Z5/20,0),"Lần " &amp; ROUNDUP(Z6/20,0),"")</f>
        <v/>
      </c>
      <c r="AL6" s="4" t="n"/>
      <c r="AN6" s="596" t="inlineStr">
        <is>
          <t>Coc</t>
        </is>
      </c>
      <c r="AO6" s="596" t="n">
        <v>4</v>
      </c>
      <c r="AQ6" s="594" t="inlineStr">
        <is>
          <t>HoanThien</t>
        </is>
      </c>
      <c r="AR6" s="595" t="n">
        <v>2</v>
      </c>
    </row>
    <row r="7" ht="19" customHeight="1" s="672">
      <c r="A7" s="4" t="n">
        <v>4</v>
      </c>
      <c r="B7" s="5" t="inlineStr">
        <is>
          <t>Cọc khoan nhồi C5 Trụ T1 (D1.2m, L=40.0m)</t>
        </is>
      </c>
      <c r="C7" s="5" t="inlineStr">
        <is>
          <t>Cọc trụ T1 L=40m (tr.68)</t>
        </is>
      </c>
      <c r="D7" s="14" t="inlineStr">
        <is>
          <t>P1C</t>
        </is>
      </c>
      <c r="E7" s="15" t="n">
        <v>10</v>
      </c>
      <c r="F7" s="4" t="inlineStr">
        <is>
          <t>CB240-T</t>
        </is>
      </c>
      <c r="G7" s="5" t="inlineStr"/>
      <c r="H7" s="16" t="n">
        <v>3.592</v>
      </c>
      <c r="I7" s="17" t="n">
        <v>2</v>
      </c>
      <c r="J7" s="18" t="n">
        <v>0.617</v>
      </c>
      <c r="K7" s="7">
        <f>ROUND(H7*I7*J7, 2)</f>
        <v/>
      </c>
      <c r="L7" s="19">
        <f>ROUND(K7/1000, 3)</f>
        <v/>
      </c>
      <c r="M7" s="728">
        <f>IF(AO7="","",IF(N(INDEX(Theo_Doi_Tan_Suat_Be_Tong!$C:$C,AO7))&lt;=0,"",INDEX(Theo_Doi_Tan_Suat_Be_Tong!$C:$C,AO7)-VLOOKUP(AN7,$AQ$2:$AR$7,2,FALSE)))</f>
        <v/>
      </c>
      <c r="N7" s="4" t="n"/>
      <c r="O7" s="20">
        <f>IF(ROUNDUP(P7/20,0)&gt;ROUNDUP(P6/20,0),"TN Ø10 (Lần " &amp; ROUNDUP(P7/20,0) &amp; ")","")</f>
        <v/>
      </c>
      <c r="P7" s="16">
        <f>ROUND(P6+IF(AND(E7&lt;=10,F7&lt;&gt;"ASTM A416"),L7,0),3)</f>
        <v/>
      </c>
      <c r="Q7" s="16">
        <f>ROUND(Q6+IF(AND(E7=12,F7&lt;&gt;"ASTM A416"),L7,0),3)</f>
        <v/>
      </c>
      <c r="R7" s="16">
        <f>ROUND(R6+IF(AND(E7=14,F7&lt;&gt;"ASTM A416"),L7,0),3)</f>
        <v/>
      </c>
      <c r="S7" s="16">
        <f>ROUND(S6+IF(AND(E7=16,F7&lt;&gt;"ASTM A416"),L7,0),3)</f>
        <v/>
      </c>
      <c r="T7" s="16">
        <f>ROUND(T6+IF(AND(E7=18,F7&lt;&gt;"ASTM A416"),L7,0),3)</f>
        <v/>
      </c>
      <c r="U7" s="16">
        <f>ROUND(U6+IF(AND(E7=20,F7&lt;&gt;"ASTM A416"),L7,0),3)</f>
        <v/>
      </c>
      <c r="V7" s="16">
        <f>ROUND(V6+IF(AND(E7=22,F7&lt;&gt;"ASTM A416"),L7,0),3)</f>
        <v/>
      </c>
      <c r="W7" s="16">
        <f>ROUND(W6+IF(AND(E7=25,F7&lt;&gt;"ASTM A416"),L7,0),3)</f>
        <v/>
      </c>
      <c r="X7" s="16">
        <f>ROUND(X6+IF(AND(E7=28,F7&lt;&gt;"ASTM A416"),L7,0),3)</f>
        <v/>
      </c>
      <c r="Y7" s="16">
        <f>ROUND(Y6+IF(AND(E7=32,F7&lt;&gt;"ASTM A416"),L7,0),3)</f>
        <v/>
      </c>
      <c r="Z7" s="16">
        <f>ROUND(Z6+IF(F7="ASTM A416",L7,0),3)</f>
        <v/>
      </c>
      <c r="AA7" s="9">
        <f>IF(ROUNDUP(P7/20,0)&gt;ROUNDUP(P6/20,0),"Lần " &amp; ROUNDUP(P7/20,0),"")</f>
        <v/>
      </c>
      <c r="AB7" s="9">
        <f>IF(ROUNDUP(Q7/20,0)&gt;ROUNDUP(Q6/20,0),"Lần " &amp; ROUNDUP(Q7/20,0),"")</f>
        <v/>
      </c>
      <c r="AC7" s="9">
        <f>IF(ROUNDUP(R7/20,0)&gt;ROUNDUP(R6/20,0),"Lần " &amp; ROUNDUP(R7/20,0),"")</f>
        <v/>
      </c>
      <c r="AD7" s="9">
        <f>IF(ROUNDUP(S7/20,0)&gt;ROUNDUP(S6/20,0),"Lần " &amp; ROUNDUP(S7/20,0),"")</f>
        <v/>
      </c>
      <c r="AE7" s="9">
        <f>IF(ROUNDUP(T7/20,0)&gt;ROUNDUP(T6/20,0),"Lần " &amp; ROUNDUP(T7/20,0),"")</f>
        <v/>
      </c>
      <c r="AF7" s="9">
        <f>IF(ROUNDUP(U7/20,0)&gt;ROUNDUP(U6/20,0),"Lần " &amp; ROUNDUP(U7/20,0),"")</f>
        <v/>
      </c>
      <c r="AG7" s="9">
        <f>IF(ROUNDUP(V7/20,0)&gt;ROUNDUP(V6/20,0),"Lần " &amp; ROUNDUP(V7/20,0),"")</f>
        <v/>
      </c>
      <c r="AH7" s="9">
        <f>IF(ROUNDUP(W7/20,0)&gt;ROUNDUP(W6/20,0),"Lần " &amp; ROUNDUP(W7/20,0),"")</f>
        <v/>
      </c>
      <c r="AI7" s="9">
        <f>IF(ROUNDUP(X7/20,0)&gt;ROUNDUP(X6/20,0),"Lần " &amp; ROUNDUP(X7/20,0),"")</f>
        <v/>
      </c>
      <c r="AJ7" s="9">
        <f>IF(ROUNDUP(Y7/20,0)&gt;ROUNDUP(Y6/20,0),"Lần " &amp; ROUNDUP(Y7/20,0),"")</f>
        <v/>
      </c>
      <c r="AK7" s="9">
        <f>IF(ROUNDUP(Z7/20,0)&gt;ROUNDUP(Z6/20,0),"Lần " &amp; ROUNDUP(Z7/20,0),"")</f>
        <v/>
      </c>
      <c r="AL7" s="4" t="n"/>
      <c r="AN7" s="596" t="inlineStr">
        <is>
          <t>Coc</t>
        </is>
      </c>
      <c r="AO7" s="596" t="n">
        <v>4</v>
      </c>
      <c r="AQ7" s="594" t="n"/>
      <c r="AR7" s="595" t="n"/>
    </row>
    <row r="8" ht="19" customHeight="1" s="672">
      <c r="A8" s="4" t="n">
        <v>5</v>
      </c>
      <c r="B8" s="5" t="inlineStr">
        <is>
          <t>Cọc khoan nhồi C5 Trụ T1 (D1.2m, L=40.0m)</t>
        </is>
      </c>
      <c r="C8" s="5" t="inlineStr">
        <is>
          <t>Cọc trụ T1 L=40m (tr.68)</t>
        </is>
      </c>
      <c r="D8" s="14" t="inlineStr">
        <is>
          <t>P1D</t>
        </is>
      </c>
      <c r="E8" s="15" t="n">
        <v>10</v>
      </c>
      <c r="F8" s="4" t="inlineStr">
        <is>
          <t>CB240-T</t>
        </is>
      </c>
      <c r="G8" s="5" t="inlineStr"/>
      <c r="H8" s="16" t="n">
        <v>19.721</v>
      </c>
      <c r="I8" s="17" t="n">
        <v>1</v>
      </c>
      <c r="J8" s="18" t="n">
        <v>0.617</v>
      </c>
      <c r="K8" s="7">
        <f>ROUND(H8*I8*J8, 2)</f>
        <v/>
      </c>
      <c r="L8" s="19">
        <f>ROUND(K8/1000, 3)</f>
        <v/>
      </c>
      <c r="M8" s="728">
        <f>IF(AO8="","",IF(N(INDEX(Theo_Doi_Tan_Suat_Be_Tong!$C:$C,AO8))&lt;=0,"",INDEX(Theo_Doi_Tan_Suat_Be_Tong!$C:$C,AO8)-VLOOKUP(AN8,$AQ$2:$AR$7,2,FALSE)))</f>
        <v/>
      </c>
      <c r="N8" s="4" t="n"/>
      <c r="O8" s="20">
        <f>IF(ROUNDUP(P8/20,0)&gt;ROUNDUP(P7/20,0),"TN Ø10 (Lần " &amp; ROUNDUP(P8/20,0) &amp; ")","")</f>
        <v/>
      </c>
      <c r="P8" s="16">
        <f>ROUND(P7+IF(AND(E8&lt;=10,F8&lt;&gt;"ASTM A416"),L8,0),3)</f>
        <v/>
      </c>
      <c r="Q8" s="16">
        <f>ROUND(Q7+IF(AND(E8=12,F8&lt;&gt;"ASTM A416"),L8,0),3)</f>
        <v/>
      </c>
      <c r="R8" s="16">
        <f>ROUND(R7+IF(AND(E8=14,F8&lt;&gt;"ASTM A416"),L8,0),3)</f>
        <v/>
      </c>
      <c r="S8" s="16">
        <f>ROUND(S7+IF(AND(E8=16,F8&lt;&gt;"ASTM A416"),L8,0),3)</f>
        <v/>
      </c>
      <c r="T8" s="16">
        <f>ROUND(T7+IF(AND(E8=18,F8&lt;&gt;"ASTM A416"),L8,0),3)</f>
        <v/>
      </c>
      <c r="U8" s="16">
        <f>ROUND(U7+IF(AND(E8=20,F8&lt;&gt;"ASTM A416"),L8,0),3)</f>
        <v/>
      </c>
      <c r="V8" s="16">
        <f>ROUND(V7+IF(AND(E8=22,F8&lt;&gt;"ASTM A416"),L8,0),3)</f>
        <v/>
      </c>
      <c r="W8" s="16">
        <f>ROUND(W7+IF(AND(E8=25,F8&lt;&gt;"ASTM A416"),L8,0),3)</f>
        <v/>
      </c>
      <c r="X8" s="16">
        <f>ROUND(X7+IF(AND(E8=28,F8&lt;&gt;"ASTM A416"),L8,0),3)</f>
        <v/>
      </c>
      <c r="Y8" s="16">
        <f>ROUND(Y7+IF(AND(E8=32,F8&lt;&gt;"ASTM A416"),L8,0),3)</f>
        <v/>
      </c>
      <c r="Z8" s="16">
        <f>ROUND(Z7+IF(F8="ASTM A416",L8,0),3)</f>
        <v/>
      </c>
      <c r="AA8" s="9">
        <f>IF(ROUNDUP(P8/20,0)&gt;ROUNDUP(P7/20,0),"Lần " &amp; ROUNDUP(P8/20,0),"")</f>
        <v/>
      </c>
      <c r="AB8" s="9">
        <f>IF(ROUNDUP(Q8/20,0)&gt;ROUNDUP(Q7/20,0),"Lần " &amp; ROUNDUP(Q8/20,0),"")</f>
        <v/>
      </c>
      <c r="AC8" s="9">
        <f>IF(ROUNDUP(R8/20,0)&gt;ROUNDUP(R7/20,0),"Lần " &amp; ROUNDUP(R8/20,0),"")</f>
        <v/>
      </c>
      <c r="AD8" s="9">
        <f>IF(ROUNDUP(S8/20,0)&gt;ROUNDUP(S7/20,0),"Lần " &amp; ROUNDUP(S8/20,0),"")</f>
        <v/>
      </c>
      <c r="AE8" s="9">
        <f>IF(ROUNDUP(T8/20,0)&gt;ROUNDUP(T7/20,0),"Lần " &amp; ROUNDUP(T8/20,0),"")</f>
        <v/>
      </c>
      <c r="AF8" s="9">
        <f>IF(ROUNDUP(U8/20,0)&gt;ROUNDUP(U7/20,0),"Lần " &amp; ROUNDUP(U8/20,0),"")</f>
        <v/>
      </c>
      <c r="AG8" s="9">
        <f>IF(ROUNDUP(V8/20,0)&gt;ROUNDUP(V7/20,0),"Lần " &amp; ROUNDUP(V8/20,0),"")</f>
        <v/>
      </c>
      <c r="AH8" s="9">
        <f>IF(ROUNDUP(W8/20,0)&gt;ROUNDUP(W7/20,0),"Lần " &amp; ROUNDUP(W8/20,0),"")</f>
        <v/>
      </c>
      <c r="AI8" s="9">
        <f>IF(ROUNDUP(X8/20,0)&gt;ROUNDUP(X7/20,0),"Lần " &amp; ROUNDUP(X8/20,0),"")</f>
        <v/>
      </c>
      <c r="AJ8" s="9">
        <f>IF(ROUNDUP(Y8/20,0)&gt;ROUNDUP(Y7/20,0),"Lần " &amp; ROUNDUP(Y8/20,0),"")</f>
        <v/>
      </c>
      <c r="AK8" s="9">
        <f>IF(ROUNDUP(Z8/20,0)&gt;ROUNDUP(Z7/20,0),"Lần " &amp; ROUNDUP(Z8/20,0),"")</f>
        <v/>
      </c>
      <c r="AL8" s="4" t="n"/>
      <c r="AN8" s="596" t="inlineStr">
        <is>
          <t>Coc</t>
        </is>
      </c>
      <c r="AO8" s="596" t="n">
        <v>4</v>
      </c>
      <c r="AQ8" s="594" t="n"/>
      <c r="AR8" s="595" t="n"/>
    </row>
    <row r="9" ht="19" customHeight="1" s="672">
      <c r="A9" s="4" t="n">
        <v>6</v>
      </c>
      <c r="B9" s="5" t="inlineStr">
        <is>
          <t>Cọc khoan nhồi C5 Trụ T1 (D1.2m, L=40.0m)</t>
        </is>
      </c>
      <c r="C9" s="5" t="inlineStr">
        <is>
          <t>Cọc trụ T1 L=40m (tr.68)</t>
        </is>
      </c>
      <c r="D9" s="14" t="inlineStr">
        <is>
          <t>P2B</t>
        </is>
      </c>
      <c r="E9" s="15" t="n">
        <v>25</v>
      </c>
      <c r="F9" s="4" t="inlineStr">
        <is>
          <t>CB400-V</t>
        </is>
      </c>
      <c r="G9" s="5" t="inlineStr"/>
      <c r="H9" s="16" t="n">
        <v>2.985</v>
      </c>
      <c r="I9" s="17" t="n">
        <v>16</v>
      </c>
      <c r="J9" s="18" t="n">
        <v>3.853</v>
      </c>
      <c r="K9" s="7">
        <f>ROUND(H9*I9*J9, 2)</f>
        <v/>
      </c>
      <c r="L9" s="19">
        <f>ROUND(K9/1000, 3)</f>
        <v/>
      </c>
      <c r="M9" s="728">
        <f>IF(AO9="","",IF(N(INDEX(Theo_Doi_Tan_Suat_Be_Tong!$C:$C,AO9))&lt;=0,"",INDEX(Theo_Doi_Tan_Suat_Be_Tong!$C:$C,AO9)-VLOOKUP(AN9,$AQ$2:$AR$7,2,FALSE)))</f>
        <v/>
      </c>
      <c r="N9" s="4" t="n"/>
      <c r="O9" s="20">
        <f>IF(ROUNDUP(W9/20,0)&gt;ROUNDUP(W8/20,0),"TN Ø25 (Lần " &amp; ROUNDUP(W9/20,0) &amp; ")","")</f>
        <v/>
      </c>
      <c r="P9" s="16">
        <f>ROUND(P8+IF(AND(E9&lt;=10,F9&lt;&gt;"ASTM A416"),L9,0),3)</f>
        <v/>
      </c>
      <c r="Q9" s="16">
        <f>ROUND(Q8+IF(AND(E9=12,F9&lt;&gt;"ASTM A416"),L9,0),3)</f>
        <v/>
      </c>
      <c r="R9" s="16">
        <f>ROUND(R8+IF(AND(E9=14,F9&lt;&gt;"ASTM A416"),L9,0),3)</f>
        <v/>
      </c>
      <c r="S9" s="16">
        <f>ROUND(S8+IF(AND(E9=16,F9&lt;&gt;"ASTM A416"),L9,0),3)</f>
        <v/>
      </c>
      <c r="T9" s="16">
        <f>ROUND(T8+IF(AND(E9=18,F9&lt;&gt;"ASTM A416"),L9,0),3)</f>
        <v/>
      </c>
      <c r="U9" s="16">
        <f>ROUND(U8+IF(AND(E9=20,F9&lt;&gt;"ASTM A416"),L9,0),3)</f>
        <v/>
      </c>
      <c r="V9" s="16">
        <f>ROUND(V8+IF(AND(E9=22,F9&lt;&gt;"ASTM A416"),L9,0),3)</f>
        <v/>
      </c>
      <c r="W9" s="16">
        <f>ROUND(W8+IF(AND(E9=25,F9&lt;&gt;"ASTM A416"),L9,0),3)</f>
        <v/>
      </c>
      <c r="X9" s="16">
        <f>ROUND(X8+IF(AND(E9=28,F9&lt;&gt;"ASTM A416"),L9,0),3)</f>
        <v/>
      </c>
      <c r="Y9" s="16">
        <f>ROUND(Y8+IF(AND(E9=32,F9&lt;&gt;"ASTM A416"),L9,0),3)</f>
        <v/>
      </c>
      <c r="Z9" s="16">
        <f>ROUND(Z8+IF(F9="ASTM A416",L9,0),3)</f>
        <v/>
      </c>
      <c r="AA9" s="9">
        <f>IF(ROUNDUP(P9/20,0)&gt;ROUNDUP(P8/20,0),"Lần " &amp; ROUNDUP(P9/20,0),"")</f>
        <v/>
      </c>
      <c r="AB9" s="9">
        <f>IF(ROUNDUP(Q9/20,0)&gt;ROUNDUP(Q8/20,0),"Lần " &amp; ROUNDUP(Q9/20,0),"")</f>
        <v/>
      </c>
      <c r="AC9" s="9">
        <f>IF(ROUNDUP(R9/20,0)&gt;ROUNDUP(R8/20,0),"Lần " &amp; ROUNDUP(R9/20,0),"")</f>
        <v/>
      </c>
      <c r="AD9" s="9">
        <f>IF(ROUNDUP(S9/20,0)&gt;ROUNDUP(S8/20,0),"Lần " &amp; ROUNDUP(S9/20,0),"")</f>
        <v/>
      </c>
      <c r="AE9" s="9">
        <f>IF(ROUNDUP(T9/20,0)&gt;ROUNDUP(T8/20,0),"Lần " &amp; ROUNDUP(T9/20,0),"")</f>
        <v/>
      </c>
      <c r="AF9" s="9">
        <f>IF(ROUNDUP(U9/20,0)&gt;ROUNDUP(U8/20,0),"Lần " &amp; ROUNDUP(U9/20,0),"")</f>
        <v/>
      </c>
      <c r="AG9" s="9">
        <f>IF(ROUNDUP(V9/20,0)&gt;ROUNDUP(V8/20,0),"Lần " &amp; ROUNDUP(V9/20,0),"")</f>
        <v/>
      </c>
      <c r="AH9" s="9">
        <f>IF(ROUNDUP(W9/20,0)&gt;ROUNDUP(W8/20,0),"Lần " &amp; ROUNDUP(W9/20,0),"")</f>
        <v/>
      </c>
      <c r="AI9" s="9">
        <f>IF(ROUNDUP(X9/20,0)&gt;ROUNDUP(X8/20,0),"Lần " &amp; ROUNDUP(X9/20,0),"")</f>
        <v/>
      </c>
      <c r="AJ9" s="9">
        <f>IF(ROUNDUP(Y9/20,0)&gt;ROUNDUP(Y8/20,0),"Lần " &amp; ROUNDUP(Y9/20,0),"")</f>
        <v/>
      </c>
      <c r="AK9" s="9">
        <f>IF(ROUNDUP(Z9/20,0)&gt;ROUNDUP(Z8/20,0),"Lần " &amp; ROUNDUP(Z9/20,0),"")</f>
        <v/>
      </c>
      <c r="AL9" s="4" t="n"/>
      <c r="AN9" s="596" t="inlineStr">
        <is>
          <t>Coc</t>
        </is>
      </c>
      <c r="AO9" s="596" t="n">
        <v>4</v>
      </c>
      <c r="AQ9" s="594" t="n"/>
      <c r="AR9" s="595" t="n"/>
    </row>
    <row r="10" ht="19" customHeight="1" s="672">
      <c r="A10" s="4" t="n">
        <v>7</v>
      </c>
      <c r="B10" s="5" t="inlineStr">
        <is>
          <t>Cọc khoan nhồi C5 Trụ T1 (D1.2m, L=40.0m)</t>
        </is>
      </c>
      <c r="C10" s="5" t="inlineStr">
        <is>
          <t>Cọc trụ T1 L=40m (tr.68)</t>
        </is>
      </c>
      <c r="D10" s="14" t="inlineStr">
        <is>
          <t>P3</t>
        </is>
      </c>
      <c r="E10" s="15" t="n">
        <v>25</v>
      </c>
      <c r="F10" s="4" t="inlineStr">
        <is>
          <t>CB400-V</t>
        </is>
      </c>
      <c r="G10" s="5" t="inlineStr"/>
      <c r="H10" s="16" t="n">
        <v>10.7</v>
      </c>
      <c r="I10" s="17" t="n">
        <v>12</v>
      </c>
      <c r="J10" s="18" t="n">
        <v>3.853</v>
      </c>
      <c r="K10" s="7">
        <f>ROUND(H10*I10*J10, 2)</f>
        <v/>
      </c>
      <c r="L10" s="19">
        <f>ROUND(K10/1000, 3)</f>
        <v/>
      </c>
      <c r="M10" s="728">
        <f>IF(AO10="","",IF(N(INDEX(Theo_Doi_Tan_Suat_Be_Tong!$C:$C,AO10))&lt;=0,"",INDEX(Theo_Doi_Tan_Suat_Be_Tong!$C:$C,AO10)-VLOOKUP(AN10,$AQ$2:$AR$7,2,FALSE)))</f>
        <v/>
      </c>
      <c r="N10" s="4" t="n"/>
      <c r="O10" s="20">
        <f>IF(ROUNDUP(W10/20,0)&gt;ROUNDUP(W9/20,0),"TN Ø25 (Lần " &amp; ROUNDUP(W10/20,0) &amp; ")","")</f>
        <v/>
      </c>
      <c r="P10" s="16">
        <f>ROUND(P9+IF(AND(E10&lt;=10,F10&lt;&gt;"ASTM A416"),L10,0),3)</f>
        <v/>
      </c>
      <c r="Q10" s="16">
        <f>ROUND(Q9+IF(AND(E10=12,F10&lt;&gt;"ASTM A416"),L10,0),3)</f>
        <v/>
      </c>
      <c r="R10" s="16">
        <f>ROUND(R9+IF(AND(E10=14,F10&lt;&gt;"ASTM A416"),L10,0),3)</f>
        <v/>
      </c>
      <c r="S10" s="16">
        <f>ROUND(S9+IF(AND(E10=16,F10&lt;&gt;"ASTM A416"),L10,0),3)</f>
        <v/>
      </c>
      <c r="T10" s="16">
        <f>ROUND(T9+IF(AND(E10=18,F10&lt;&gt;"ASTM A416"),L10,0),3)</f>
        <v/>
      </c>
      <c r="U10" s="16">
        <f>ROUND(U9+IF(AND(E10=20,F10&lt;&gt;"ASTM A416"),L10,0),3)</f>
        <v/>
      </c>
      <c r="V10" s="16">
        <f>ROUND(V9+IF(AND(E10=22,F10&lt;&gt;"ASTM A416"),L10,0),3)</f>
        <v/>
      </c>
      <c r="W10" s="16">
        <f>ROUND(W9+IF(AND(E10=25,F10&lt;&gt;"ASTM A416"),L10,0),3)</f>
        <v/>
      </c>
      <c r="X10" s="16">
        <f>ROUND(X9+IF(AND(E10=28,F10&lt;&gt;"ASTM A416"),L10,0),3)</f>
        <v/>
      </c>
      <c r="Y10" s="16">
        <f>ROUND(Y9+IF(AND(E10=32,F10&lt;&gt;"ASTM A416"),L10,0),3)</f>
        <v/>
      </c>
      <c r="Z10" s="16">
        <f>ROUND(Z9+IF(F10="ASTM A416",L10,0),3)</f>
        <v/>
      </c>
      <c r="AA10" s="9">
        <f>IF(ROUNDUP(P10/20,0)&gt;ROUNDUP(P9/20,0),"Lần " &amp; ROUNDUP(P10/20,0),"")</f>
        <v/>
      </c>
      <c r="AB10" s="9">
        <f>IF(ROUNDUP(Q10/20,0)&gt;ROUNDUP(Q9/20,0),"Lần " &amp; ROUNDUP(Q10/20,0),"")</f>
        <v/>
      </c>
      <c r="AC10" s="9">
        <f>IF(ROUNDUP(R10/20,0)&gt;ROUNDUP(R9/20,0),"Lần " &amp; ROUNDUP(R10/20,0),"")</f>
        <v/>
      </c>
      <c r="AD10" s="9">
        <f>IF(ROUNDUP(S10/20,0)&gt;ROUNDUP(S9/20,0),"Lần " &amp; ROUNDUP(S10/20,0),"")</f>
        <v/>
      </c>
      <c r="AE10" s="9">
        <f>IF(ROUNDUP(T10/20,0)&gt;ROUNDUP(T9/20,0),"Lần " &amp; ROUNDUP(T10/20,0),"")</f>
        <v/>
      </c>
      <c r="AF10" s="9">
        <f>IF(ROUNDUP(U10/20,0)&gt;ROUNDUP(U9/20,0),"Lần " &amp; ROUNDUP(U10/20,0),"")</f>
        <v/>
      </c>
      <c r="AG10" s="9">
        <f>IF(ROUNDUP(V10/20,0)&gt;ROUNDUP(V9/20,0),"Lần " &amp; ROUNDUP(V10/20,0),"")</f>
        <v/>
      </c>
      <c r="AH10" s="9">
        <f>IF(ROUNDUP(W10/20,0)&gt;ROUNDUP(W9/20,0),"Lần " &amp; ROUNDUP(W10/20,0),"")</f>
        <v/>
      </c>
      <c r="AI10" s="9">
        <f>IF(ROUNDUP(X10/20,0)&gt;ROUNDUP(X9/20,0),"Lần " &amp; ROUNDUP(X10/20,0),"")</f>
        <v/>
      </c>
      <c r="AJ10" s="9">
        <f>IF(ROUNDUP(Y10/20,0)&gt;ROUNDUP(Y9/20,0),"Lần " &amp; ROUNDUP(Y10/20,0),"")</f>
        <v/>
      </c>
      <c r="AK10" s="9">
        <f>IF(ROUNDUP(Z10/20,0)&gt;ROUNDUP(Z9/20,0),"Lần " &amp; ROUNDUP(Z10/20,0),"")</f>
        <v/>
      </c>
      <c r="AL10" s="4" t="n"/>
      <c r="AN10" s="596" t="inlineStr">
        <is>
          <t>Coc</t>
        </is>
      </c>
      <c r="AO10" s="596" t="n">
        <v>4</v>
      </c>
      <c r="AQ10" s="594" t="n"/>
      <c r="AR10" s="595" t="n"/>
    </row>
    <row r="11" ht="19" customHeight="1" s="672">
      <c r="A11" s="4" t="n">
        <v>8</v>
      </c>
      <c r="B11" s="5" t="inlineStr">
        <is>
          <t>Cọc khoan nhồi C5 Trụ T1 (D1.2m, L=40.0m)</t>
        </is>
      </c>
      <c r="C11" s="5" t="inlineStr">
        <is>
          <t>Cọc trụ T1 L=40m (tr.68)</t>
        </is>
      </c>
      <c r="D11" s="14" t="inlineStr">
        <is>
          <t>P4</t>
        </is>
      </c>
      <c r="E11" s="15" t="n">
        <v>25</v>
      </c>
      <c r="F11" s="4" t="inlineStr">
        <is>
          <t>CB400-V</t>
        </is>
      </c>
      <c r="G11" s="5" t="inlineStr"/>
      <c r="H11" s="16" t="n">
        <v>11.7</v>
      </c>
      <c r="I11" s="17" t="n">
        <v>60</v>
      </c>
      <c r="J11" s="18" t="n">
        <v>3.853</v>
      </c>
      <c r="K11" s="7">
        <f>ROUND(H11*I11*J11, 2)</f>
        <v/>
      </c>
      <c r="L11" s="19">
        <f>ROUND(K11/1000, 3)</f>
        <v/>
      </c>
      <c r="M11" s="728">
        <f>IF(AO11="","",IF(N(INDEX(Theo_Doi_Tan_Suat_Be_Tong!$C:$C,AO11))&lt;=0,"",INDEX(Theo_Doi_Tan_Suat_Be_Tong!$C:$C,AO11)-VLOOKUP(AN11,$AQ$2:$AR$7,2,FALSE)))</f>
        <v/>
      </c>
      <c r="N11" s="4" t="n"/>
      <c r="O11" s="20">
        <f>IF(ROUNDUP(W11/20,0)&gt;ROUNDUP(W10/20,0),"TN Ø25 (Lần " &amp; ROUNDUP(W11/20,0) &amp; ")","")</f>
        <v/>
      </c>
      <c r="P11" s="16">
        <f>ROUND(P10+IF(AND(E11&lt;=10,F11&lt;&gt;"ASTM A416"),L11,0),3)</f>
        <v/>
      </c>
      <c r="Q11" s="16">
        <f>ROUND(Q10+IF(AND(E11=12,F11&lt;&gt;"ASTM A416"),L11,0),3)</f>
        <v/>
      </c>
      <c r="R11" s="16">
        <f>ROUND(R10+IF(AND(E11=14,F11&lt;&gt;"ASTM A416"),L11,0),3)</f>
        <v/>
      </c>
      <c r="S11" s="16">
        <f>ROUND(S10+IF(AND(E11=16,F11&lt;&gt;"ASTM A416"),L11,0),3)</f>
        <v/>
      </c>
      <c r="T11" s="16">
        <f>ROUND(T10+IF(AND(E11=18,F11&lt;&gt;"ASTM A416"),L11,0),3)</f>
        <v/>
      </c>
      <c r="U11" s="16">
        <f>ROUND(U10+IF(AND(E11=20,F11&lt;&gt;"ASTM A416"),L11,0),3)</f>
        <v/>
      </c>
      <c r="V11" s="16">
        <f>ROUND(V10+IF(AND(E11=22,F11&lt;&gt;"ASTM A416"),L11,0),3)</f>
        <v/>
      </c>
      <c r="W11" s="16">
        <f>ROUND(W10+IF(AND(E11=25,F11&lt;&gt;"ASTM A416"),L11,0),3)</f>
        <v/>
      </c>
      <c r="X11" s="16">
        <f>ROUND(X10+IF(AND(E11=28,F11&lt;&gt;"ASTM A416"),L11,0),3)</f>
        <v/>
      </c>
      <c r="Y11" s="16">
        <f>ROUND(Y10+IF(AND(E11=32,F11&lt;&gt;"ASTM A416"),L11,0),3)</f>
        <v/>
      </c>
      <c r="Z11" s="16">
        <f>ROUND(Z10+IF(F11="ASTM A416",L11,0),3)</f>
        <v/>
      </c>
      <c r="AA11" s="9">
        <f>IF(ROUNDUP(P11/20,0)&gt;ROUNDUP(P10/20,0),"Lần " &amp; ROUNDUP(P11/20,0),"")</f>
        <v/>
      </c>
      <c r="AB11" s="9">
        <f>IF(ROUNDUP(Q11/20,0)&gt;ROUNDUP(Q10/20,0),"Lần " &amp; ROUNDUP(Q11/20,0),"")</f>
        <v/>
      </c>
      <c r="AC11" s="9">
        <f>IF(ROUNDUP(R11/20,0)&gt;ROUNDUP(R10/20,0),"Lần " &amp; ROUNDUP(R11/20,0),"")</f>
        <v/>
      </c>
      <c r="AD11" s="9">
        <f>IF(ROUNDUP(S11/20,0)&gt;ROUNDUP(S10/20,0),"Lần " &amp; ROUNDUP(S11/20,0),"")</f>
        <v/>
      </c>
      <c r="AE11" s="9">
        <f>IF(ROUNDUP(T11/20,0)&gt;ROUNDUP(T10/20,0),"Lần " &amp; ROUNDUP(T11/20,0),"")</f>
        <v/>
      </c>
      <c r="AF11" s="9">
        <f>IF(ROUNDUP(U11/20,0)&gt;ROUNDUP(U10/20,0),"Lần " &amp; ROUNDUP(U11/20,0),"")</f>
        <v/>
      </c>
      <c r="AG11" s="9">
        <f>IF(ROUNDUP(V11/20,0)&gt;ROUNDUP(V10/20,0),"Lần " &amp; ROUNDUP(V11/20,0),"")</f>
        <v/>
      </c>
      <c r="AH11" s="9">
        <f>IF(ROUNDUP(W11/20,0)&gt;ROUNDUP(W10/20,0),"Lần " &amp; ROUNDUP(W11/20,0),"")</f>
        <v/>
      </c>
      <c r="AI11" s="9">
        <f>IF(ROUNDUP(X11/20,0)&gt;ROUNDUP(X10/20,0),"Lần " &amp; ROUNDUP(X11/20,0),"")</f>
        <v/>
      </c>
      <c r="AJ11" s="9">
        <f>IF(ROUNDUP(Y11/20,0)&gt;ROUNDUP(Y10/20,0),"Lần " &amp; ROUNDUP(Y11/20,0),"")</f>
        <v/>
      </c>
      <c r="AK11" s="9">
        <f>IF(ROUNDUP(Z11/20,0)&gt;ROUNDUP(Z10/20,0),"Lần " &amp; ROUNDUP(Z11/20,0),"")</f>
        <v/>
      </c>
      <c r="AL11" s="4" t="n"/>
      <c r="AN11" s="596" t="inlineStr">
        <is>
          <t>Coc</t>
        </is>
      </c>
      <c r="AO11" s="596" t="n">
        <v>4</v>
      </c>
      <c r="AQ11" s="594" t="n"/>
      <c r="AR11" s="595" t="n"/>
    </row>
    <row r="12" ht="19" customHeight="1" s="672">
      <c r="A12" s="4" t="n">
        <v>9</v>
      </c>
      <c r="B12" s="5" t="inlineStr">
        <is>
          <t>Cọc khoan nhồi C5 Trụ T1 (D1.2m, L=40.0m)</t>
        </is>
      </c>
      <c r="C12" s="5" t="inlineStr">
        <is>
          <t>Cọc trụ T1 L=40m (tr.68)</t>
        </is>
      </c>
      <c r="D12" s="14" t="inlineStr">
        <is>
          <t>P6</t>
        </is>
      </c>
      <c r="E12" s="15" t="n">
        <v>25</v>
      </c>
      <c r="F12" s="4" t="inlineStr">
        <is>
          <t>CB400-V</t>
        </is>
      </c>
      <c r="G12" s="5" t="inlineStr"/>
      <c r="H12" s="16" t="n">
        <v>9.032999999999999</v>
      </c>
      <c r="I12" s="17" t="n">
        <v>12</v>
      </c>
      <c r="J12" s="18" t="n">
        <v>3.853</v>
      </c>
      <c r="K12" s="7">
        <f>ROUND(H12*I12*J12, 2)</f>
        <v/>
      </c>
      <c r="L12" s="19">
        <f>ROUND(K12/1000, 3)</f>
        <v/>
      </c>
      <c r="M12" s="728">
        <f>IF(AO12="","",IF(N(INDEX(Theo_Doi_Tan_Suat_Be_Tong!$C:$C,AO12))&lt;=0,"",INDEX(Theo_Doi_Tan_Suat_Be_Tong!$C:$C,AO12)-VLOOKUP(AN12,$AQ$2:$AR$7,2,FALSE)))</f>
        <v/>
      </c>
      <c r="N12" s="4" t="n"/>
      <c r="O12" s="20">
        <f>IF(ROUNDUP(W12/20,0)&gt;ROUNDUP(W11/20,0),"TN Ø25 (Lần " &amp; ROUNDUP(W12/20,0) &amp; ")","")</f>
        <v/>
      </c>
      <c r="P12" s="16">
        <f>ROUND(P11+IF(AND(E12&lt;=10,F12&lt;&gt;"ASTM A416"),L12,0),3)</f>
        <v/>
      </c>
      <c r="Q12" s="16">
        <f>ROUND(Q11+IF(AND(E12=12,F12&lt;&gt;"ASTM A416"),L12,0),3)</f>
        <v/>
      </c>
      <c r="R12" s="16">
        <f>ROUND(R11+IF(AND(E12=14,F12&lt;&gt;"ASTM A416"),L12,0),3)</f>
        <v/>
      </c>
      <c r="S12" s="16">
        <f>ROUND(S11+IF(AND(E12=16,F12&lt;&gt;"ASTM A416"),L12,0),3)</f>
        <v/>
      </c>
      <c r="T12" s="16">
        <f>ROUND(T11+IF(AND(E12=18,F12&lt;&gt;"ASTM A416"),L12,0),3)</f>
        <v/>
      </c>
      <c r="U12" s="16">
        <f>ROUND(U11+IF(AND(E12=20,F12&lt;&gt;"ASTM A416"),L12,0),3)</f>
        <v/>
      </c>
      <c r="V12" s="16">
        <f>ROUND(V11+IF(AND(E12=22,F12&lt;&gt;"ASTM A416"),L12,0),3)</f>
        <v/>
      </c>
      <c r="W12" s="16">
        <f>ROUND(W11+IF(AND(E12=25,F12&lt;&gt;"ASTM A416"),L12,0),3)</f>
        <v/>
      </c>
      <c r="X12" s="16">
        <f>ROUND(X11+IF(AND(E12=28,F12&lt;&gt;"ASTM A416"),L12,0),3)</f>
        <v/>
      </c>
      <c r="Y12" s="16">
        <f>ROUND(Y11+IF(AND(E12=32,F12&lt;&gt;"ASTM A416"),L12,0),3)</f>
        <v/>
      </c>
      <c r="Z12" s="16">
        <f>ROUND(Z11+IF(F12="ASTM A416",L12,0),3)</f>
        <v/>
      </c>
      <c r="AA12" s="9">
        <f>IF(ROUNDUP(P12/20,0)&gt;ROUNDUP(P11/20,0),"Lần " &amp; ROUNDUP(P12/20,0),"")</f>
        <v/>
      </c>
      <c r="AB12" s="9">
        <f>IF(ROUNDUP(Q12/20,0)&gt;ROUNDUP(Q11/20,0),"Lần " &amp; ROUNDUP(Q12/20,0),"")</f>
        <v/>
      </c>
      <c r="AC12" s="9">
        <f>IF(ROUNDUP(R12/20,0)&gt;ROUNDUP(R11/20,0),"Lần " &amp; ROUNDUP(R12/20,0),"")</f>
        <v/>
      </c>
      <c r="AD12" s="9">
        <f>IF(ROUNDUP(S12/20,0)&gt;ROUNDUP(S11/20,0),"Lần " &amp; ROUNDUP(S12/20,0),"")</f>
        <v/>
      </c>
      <c r="AE12" s="9">
        <f>IF(ROUNDUP(T12/20,0)&gt;ROUNDUP(T11/20,0),"Lần " &amp; ROUNDUP(T12/20,0),"")</f>
        <v/>
      </c>
      <c r="AF12" s="9">
        <f>IF(ROUNDUP(U12/20,0)&gt;ROUNDUP(U11/20,0),"Lần " &amp; ROUNDUP(U12/20,0),"")</f>
        <v/>
      </c>
      <c r="AG12" s="9">
        <f>IF(ROUNDUP(V12/20,0)&gt;ROUNDUP(V11/20,0),"Lần " &amp; ROUNDUP(V12/20,0),"")</f>
        <v/>
      </c>
      <c r="AH12" s="9">
        <f>IF(ROUNDUP(W12/20,0)&gt;ROUNDUP(W11/20,0),"Lần " &amp; ROUNDUP(W12/20,0),"")</f>
        <v/>
      </c>
      <c r="AI12" s="9">
        <f>IF(ROUNDUP(X12/20,0)&gt;ROUNDUP(X11/20,0),"Lần " &amp; ROUNDUP(X12/20,0),"")</f>
        <v/>
      </c>
      <c r="AJ12" s="9">
        <f>IF(ROUNDUP(Y12/20,0)&gt;ROUNDUP(Y11/20,0),"Lần " &amp; ROUNDUP(Y12/20,0),"")</f>
        <v/>
      </c>
      <c r="AK12" s="9">
        <f>IF(ROUNDUP(Z12/20,0)&gt;ROUNDUP(Z11/20,0),"Lần " &amp; ROUNDUP(Z12/20,0),"")</f>
        <v/>
      </c>
      <c r="AL12" s="4" t="n"/>
      <c r="AN12" s="596" t="inlineStr">
        <is>
          <t>Coc</t>
        </is>
      </c>
      <c r="AO12" s="596" t="n">
        <v>4</v>
      </c>
      <c r="AQ12" s="594" t="n"/>
      <c r="AR12" s="595" t="n"/>
    </row>
    <row r="13" ht="19" customHeight="1" s="672">
      <c r="A13" s="4" t="n">
        <v>10</v>
      </c>
      <c r="B13" s="5" t="inlineStr">
        <is>
          <t>Cọc khoan nhồi C5 Trụ T1 (D1.2m, L=40.0m)</t>
        </is>
      </c>
      <c r="C13" s="5" t="inlineStr">
        <is>
          <t>Cọc trụ T1 L=40m (tr.68)</t>
        </is>
      </c>
      <c r="D13" s="14" t="inlineStr">
        <is>
          <t>P7</t>
        </is>
      </c>
      <c r="E13" s="15" t="n">
        <v>25</v>
      </c>
      <c r="F13" s="4" t="inlineStr">
        <is>
          <t>CB400-V</t>
        </is>
      </c>
      <c r="G13" s="5" t="inlineStr"/>
      <c r="H13" s="16" t="n">
        <v>10.033</v>
      </c>
      <c r="I13" s="17" t="n">
        <v>12</v>
      </c>
      <c r="J13" s="18" t="n">
        <v>3.853</v>
      </c>
      <c r="K13" s="7">
        <f>ROUND(H13*I13*J13, 2)</f>
        <v/>
      </c>
      <c r="L13" s="19">
        <f>ROUND(K13/1000, 3)</f>
        <v/>
      </c>
      <c r="M13" s="728">
        <f>IF(AO13="","",IF(N(INDEX(Theo_Doi_Tan_Suat_Be_Tong!$C:$C,AO13))&lt;=0,"",INDEX(Theo_Doi_Tan_Suat_Be_Tong!$C:$C,AO13)-VLOOKUP(AN13,$AQ$2:$AR$7,2,FALSE)))</f>
        <v/>
      </c>
      <c r="N13" s="4" t="n"/>
      <c r="O13" s="20">
        <f>IF(ROUNDUP(W13/20,0)&gt;ROUNDUP(W12/20,0),"TN Ø25 (Lần " &amp; ROUNDUP(W13/20,0) &amp; ")","")</f>
        <v/>
      </c>
      <c r="P13" s="16">
        <f>ROUND(P12+IF(AND(E13&lt;=10,F13&lt;&gt;"ASTM A416"),L13,0),3)</f>
        <v/>
      </c>
      <c r="Q13" s="16">
        <f>ROUND(Q12+IF(AND(E13=12,F13&lt;&gt;"ASTM A416"),L13,0),3)</f>
        <v/>
      </c>
      <c r="R13" s="16">
        <f>ROUND(R12+IF(AND(E13=14,F13&lt;&gt;"ASTM A416"),L13,0),3)</f>
        <v/>
      </c>
      <c r="S13" s="16">
        <f>ROUND(S12+IF(AND(E13=16,F13&lt;&gt;"ASTM A416"),L13,0),3)</f>
        <v/>
      </c>
      <c r="T13" s="16">
        <f>ROUND(T12+IF(AND(E13=18,F13&lt;&gt;"ASTM A416"),L13,0),3)</f>
        <v/>
      </c>
      <c r="U13" s="16">
        <f>ROUND(U12+IF(AND(E13=20,F13&lt;&gt;"ASTM A416"),L13,0),3)</f>
        <v/>
      </c>
      <c r="V13" s="16">
        <f>ROUND(V12+IF(AND(E13=22,F13&lt;&gt;"ASTM A416"),L13,0),3)</f>
        <v/>
      </c>
      <c r="W13" s="16">
        <f>ROUND(W12+IF(AND(E13=25,F13&lt;&gt;"ASTM A416"),L13,0),3)</f>
        <v/>
      </c>
      <c r="X13" s="16">
        <f>ROUND(X12+IF(AND(E13=28,F13&lt;&gt;"ASTM A416"),L13,0),3)</f>
        <v/>
      </c>
      <c r="Y13" s="16">
        <f>ROUND(Y12+IF(AND(E13=32,F13&lt;&gt;"ASTM A416"),L13,0),3)</f>
        <v/>
      </c>
      <c r="Z13" s="16">
        <f>ROUND(Z12+IF(F13="ASTM A416",L13,0),3)</f>
        <v/>
      </c>
      <c r="AA13" s="9">
        <f>IF(ROUNDUP(P13/20,0)&gt;ROUNDUP(P12/20,0),"Lần " &amp; ROUNDUP(P13/20,0),"")</f>
        <v/>
      </c>
      <c r="AB13" s="9">
        <f>IF(ROUNDUP(Q13/20,0)&gt;ROUNDUP(Q12/20,0),"Lần " &amp; ROUNDUP(Q13/20,0),"")</f>
        <v/>
      </c>
      <c r="AC13" s="9">
        <f>IF(ROUNDUP(R13/20,0)&gt;ROUNDUP(R12/20,0),"Lần " &amp; ROUNDUP(R13/20,0),"")</f>
        <v/>
      </c>
      <c r="AD13" s="9">
        <f>IF(ROUNDUP(S13/20,0)&gt;ROUNDUP(S12/20,0),"Lần " &amp; ROUNDUP(S13/20,0),"")</f>
        <v/>
      </c>
      <c r="AE13" s="9">
        <f>IF(ROUNDUP(T13/20,0)&gt;ROUNDUP(T12/20,0),"Lần " &amp; ROUNDUP(T13/20,0),"")</f>
        <v/>
      </c>
      <c r="AF13" s="9">
        <f>IF(ROUNDUP(U13/20,0)&gt;ROUNDUP(U12/20,0),"Lần " &amp; ROUNDUP(U13/20,0),"")</f>
        <v/>
      </c>
      <c r="AG13" s="9">
        <f>IF(ROUNDUP(V13/20,0)&gt;ROUNDUP(V12/20,0),"Lần " &amp; ROUNDUP(V13/20,0),"")</f>
        <v/>
      </c>
      <c r="AH13" s="9">
        <f>IF(ROUNDUP(W13/20,0)&gt;ROUNDUP(W12/20,0),"Lần " &amp; ROUNDUP(W13/20,0),"")</f>
        <v/>
      </c>
      <c r="AI13" s="9">
        <f>IF(ROUNDUP(X13/20,0)&gt;ROUNDUP(X12/20,0),"Lần " &amp; ROUNDUP(X13/20,0),"")</f>
        <v/>
      </c>
      <c r="AJ13" s="9">
        <f>IF(ROUNDUP(Y13/20,0)&gt;ROUNDUP(Y12/20,0),"Lần " &amp; ROUNDUP(Y13/20,0),"")</f>
        <v/>
      </c>
      <c r="AK13" s="9">
        <f>IF(ROUNDUP(Z13/20,0)&gt;ROUNDUP(Z12/20,0),"Lần " &amp; ROUNDUP(Z13/20,0),"")</f>
        <v/>
      </c>
      <c r="AL13" s="4" t="n"/>
      <c r="AN13" s="596" t="inlineStr">
        <is>
          <t>Coc</t>
        </is>
      </c>
      <c r="AO13" s="596" t="n">
        <v>4</v>
      </c>
      <c r="AQ13" s="594" t="n"/>
      <c r="AR13" s="595" t="n"/>
    </row>
    <row r="14" ht="19" customHeight="1" s="672">
      <c r="A14" s="4" t="n">
        <v>11</v>
      </c>
      <c r="B14" s="5" t="inlineStr">
        <is>
          <t>Cọc khoan nhồi C5 Trụ T1 (D1.2m, L=40.0m)</t>
        </is>
      </c>
      <c r="C14" s="5" t="inlineStr">
        <is>
          <t>Cọc trụ T1 L=40m (tr.68)</t>
        </is>
      </c>
      <c r="D14" s="14" t="inlineStr">
        <is>
          <t>P8</t>
        </is>
      </c>
      <c r="E14" s="15" t="n">
        <v>12</v>
      </c>
      <c r="F14" s="4" t="inlineStr">
        <is>
          <t>CB400-V</t>
        </is>
      </c>
      <c r="G14" s="5" t="inlineStr"/>
      <c r="H14" s="16" t="n">
        <v>0.647</v>
      </c>
      <c r="I14" s="17" t="n">
        <v>16</v>
      </c>
      <c r="J14" s="18" t="n">
        <v>0.888</v>
      </c>
      <c r="K14" s="7">
        <f>ROUND(H14*I14*J14, 2)</f>
        <v/>
      </c>
      <c r="L14" s="19">
        <f>ROUND(K14/1000, 3)</f>
        <v/>
      </c>
      <c r="M14" s="728">
        <f>IF(AO14="","",IF(N(INDEX(Theo_Doi_Tan_Suat_Be_Tong!$C:$C,AO14))&lt;=0,"",INDEX(Theo_Doi_Tan_Suat_Be_Tong!$C:$C,AO14)-VLOOKUP(AN14,$AQ$2:$AR$7,2,FALSE)))</f>
        <v/>
      </c>
      <c r="N14" s="4" t="n"/>
      <c r="O14" s="20">
        <f>IF(ROUNDUP(Q14/20,0)&gt;ROUNDUP(Q13/20,0),"TN Ø12 (Lần " &amp; ROUNDUP(Q14/20,0) &amp; ")","")</f>
        <v/>
      </c>
      <c r="P14" s="16">
        <f>ROUND(P13+IF(AND(E14&lt;=10,F14&lt;&gt;"ASTM A416"),L14,0),3)</f>
        <v/>
      </c>
      <c r="Q14" s="16">
        <f>ROUND(Q13+IF(AND(E14=12,F14&lt;&gt;"ASTM A416"),L14,0),3)</f>
        <v/>
      </c>
      <c r="R14" s="16">
        <f>ROUND(R13+IF(AND(E14=14,F14&lt;&gt;"ASTM A416"),L14,0),3)</f>
        <v/>
      </c>
      <c r="S14" s="16">
        <f>ROUND(S13+IF(AND(E14=16,F14&lt;&gt;"ASTM A416"),L14,0),3)</f>
        <v/>
      </c>
      <c r="T14" s="16">
        <f>ROUND(T13+IF(AND(E14=18,F14&lt;&gt;"ASTM A416"),L14,0),3)</f>
        <v/>
      </c>
      <c r="U14" s="16">
        <f>ROUND(U13+IF(AND(E14=20,F14&lt;&gt;"ASTM A416"),L14,0),3)</f>
        <v/>
      </c>
      <c r="V14" s="16">
        <f>ROUND(V13+IF(AND(E14=22,F14&lt;&gt;"ASTM A416"),L14,0),3)</f>
        <v/>
      </c>
      <c r="W14" s="16">
        <f>ROUND(W13+IF(AND(E14=25,F14&lt;&gt;"ASTM A416"),L14,0),3)</f>
        <v/>
      </c>
      <c r="X14" s="16">
        <f>ROUND(X13+IF(AND(E14=28,F14&lt;&gt;"ASTM A416"),L14,0),3)</f>
        <v/>
      </c>
      <c r="Y14" s="16">
        <f>ROUND(Y13+IF(AND(E14=32,F14&lt;&gt;"ASTM A416"),L14,0),3)</f>
        <v/>
      </c>
      <c r="Z14" s="16">
        <f>ROUND(Z13+IF(F14="ASTM A416",L14,0),3)</f>
        <v/>
      </c>
      <c r="AA14" s="9">
        <f>IF(ROUNDUP(P14/20,0)&gt;ROUNDUP(P13/20,0),"Lần " &amp; ROUNDUP(P14/20,0),"")</f>
        <v/>
      </c>
      <c r="AB14" s="9">
        <f>IF(ROUNDUP(Q14/20,0)&gt;ROUNDUP(Q13/20,0),"Lần " &amp; ROUNDUP(Q14/20,0),"")</f>
        <v/>
      </c>
      <c r="AC14" s="9">
        <f>IF(ROUNDUP(R14/20,0)&gt;ROUNDUP(R13/20,0),"Lần " &amp; ROUNDUP(R14/20,0),"")</f>
        <v/>
      </c>
      <c r="AD14" s="9">
        <f>IF(ROUNDUP(S14/20,0)&gt;ROUNDUP(S13/20,0),"Lần " &amp; ROUNDUP(S14/20,0),"")</f>
        <v/>
      </c>
      <c r="AE14" s="9">
        <f>IF(ROUNDUP(T14/20,0)&gt;ROUNDUP(T13/20,0),"Lần " &amp; ROUNDUP(T14/20,0),"")</f>
        <v/>
      </c>
      <c r="AF14" s="9">
        <f>IF(ROUNDUP(U14/20,0)&gt;ROUNDUP(U13/20,0),"Lần " &amp; ROUNDUP(U14/20,0),"")</f>
        <v/>
      </c>
      <c r="AG14" s="9">
        <f>IF(ROUNDUP(V14/20,0)&gt;ROUNDUP(V13/20,0),"Lần " &amp; ROUNDUP(V14/20,0),"")</f>
        <v/>
      </c>
      <c r="AH14" s="9">
        <f>IF(ROUNDUP(W14/20,0)&gt;ROUNDUP(W13/20,0),"Lần " &amp; ROUNDUP(W14/20,0),"")</f>
        <v/>
      </c>
      <c r="AI14" s="9">
        <f>IF(ROUNDUP(X14/20,0)&gt;ROUNDUP(X13/20,0),"Lần " &amp; ROUNDUP(X14/20,0),"")</f>
        <v/>
      </c>
      <c r="AJ14" s="9">
        <f>IF(ROUNDUP(Y14/20,0)&gt;ROUNDUP(Y13/20,0),"Lần " &amp; ROUNDUP(Y14/20,0),"")</f>
        <v/>
      </c>
      <c r="AK14" s="9">
        <f>IF(ROUNDUP(Z14/20,0)&gt;ROUNDUP(Z13/20,0),"Lần " &amp; ROUNDUP(Z14/20,0),"")</f>
        <v/>
      </c>
      <c r="AL14" s="4" t="n"/>
      <c r="AN14" s="596" t="inlineStr">
        <is>
          <t>Coc</t>
        </is>
      </c>
      <c r="AO14" s="596" t="n">
        <v>4</v>
      </c>
      <c r="AQ14" s="594" t="n"/>
      <c r="AR14" s="595" t="n"/>
    </row>
    <row r="15" ht="19" customHeight="1" s="672">
      <c r="A15" s="4" t="n">
        <v>12</v>
      </c>
      <c r="B15" s="5" t="inlineStr">
        <is>
          <t>Cọc khoan nhồi C5 Trụ T1 (D1.2m, L=40.0m)</t>
        </is>
      </c>
      <c r="C15" s="5" t="inlineStr">
        <is>
          <t>Cọc trụ T1 L=40m (tr.68)</t>
        </is>
      </c>
      <c r="D15" s="14" t="inlineStr">
        <is>
          <t>P9</t>
        </is>
      </c>
      <c r="E15" s="15" t="n">
        <v>12</v>
      </c>
      <c r="F15" s="4" t="inlineStr">
        <is>
          <t>CB400-V</t>
        </is>
      </c>
      <c r="G15" s="5" t="inlineStr"/>
      <c r="H15" s="16" t="n">
        <v>0.379</v>
      </c>
      <c r="I15" s="17" t="n">
        <v>48</v>
      </c>
      <c r="J15" s="18" t="n">
        <v>0.888</v>
      </c>
      <c r="K15" s="7">
        <f>ROUND(H15*I15*J15, 2)</f>
        <v/>
      </c>
      <c r="L15" s="19">
        <f>ROUND(K15/1000, 3)</f>
        <v/>
      </c>
      <c r="M15" s="728">
        <f>IF(AO15="","",IF(N(INDEX(Theo_Doi_Tan_Suat_Be_Tong!$C:$C,AO15))&lt;=0,"",INDEX(Theo_Doi_Tan_Suat_Be_Tong!$C:$C,AO15)-VLOOKUP(AN15,$AQ$2:$AR$7,2,FALSE)))</f>
        <v/>
      </c>
      <c r="N15" s="4" t="n"/>
      <c r="O15" s="20">
        <f>IF(ROUNDUP(Q15/20,0)&gt;ROUNDUP(Q14/20,0),"TN Ø12 (Lần " &amp; ROUNDUP(Q15/20,0) &amp; ")","")</f>
        <v/>
      </c>
      <c r="P15" s="16">
        <f>ROUND(P14+IF(AND(E15&lt;=10,F15&lt;&gt;"ASTM A416"),L15,0),3)</f>
        <v/>
      </c>
      <c r="Q15" s="16">
        <f>ROUND(Q14+IF(AND(E15=12,F15&lt;&gt;"ASTM A416"),L15,0),3)</f>
        <v/>
      </c>
      <c r="R15" s="16">
        <f>ROUND(R14+IF(AND(E15=14,F15&lt;&gt;"ASTM A416"),L15,0),3)</f>
        <v/>
      </c>
      <c r="S15" s="16">
        <f>ROUND(S14+IF(AND(E15=16,F15&lt;&gt;"ASTM A416"),L15,0),3)</f>
        <v/>
      </c>
      <c r="T15" s="16">
        <f>ROUND(T14+IF(AND(E15=18,F15&lt;&gt;"ASTM A416"),L15,0),3)</f>
        <v/>
      </c>
      <c r="U15" s="16">
        <f>ROUND(U14+IF(AND(E15=20,F15&lt;&gt;"ASTM A416"),L15,0),3)</f>
        <v/>
      </c>
      <c r="V15" s="16">
        <f>ROUND(V14+IF(AND(E15=22,F15&lt;&gt;"ASTM A416"),L15,0),3)</f>
        <v/>
      </c>
      <c r="W15" s="16">
        <f>ROUND(W14+IF(AND(E15=25,F15&lt;&gt;"ASTM A416"),L15,0),3)</f>
        <v/>
      </c>
      <c r="X15" s="16">
        <f>ROUND(X14+IF(AND(E15=28,F15&lt;&gt;"ASTM A416"),L15,0),3)</f>
        <v/>
      </c>
      <c r="Y15" s="16">
        <f>ROUND(Y14+IF(AND(E15=32,F15&lt;&gt;"ASTM A416"),L15,0),3)</f>
        <v/>
      </c>
      <c r="Z15" s="16">
        <f>ROUND(Z14+IF(F15="ASTM A416",L15,0),3)</f>
        <v/>
      </c>
      <c r="AA15" s="9">
        <f>IF(ROUNDUP(P15/20,0)&gt;ROUNDUP(P14/20,0),"Lần " &amp; ROUNDUP(P15/20,0),"")</f>
        <v/>
      </c>
      <c r="AB15" s="9">
        <f>IF(ROUNDUP(Q15/20,0)&gt;ROUNDUP(Q14/20,0),"Lần " &amp; ROUNDUP(Q15/20,0),"")</f>
        <v/>
      </c>
      <c r="AC15" s="9">
        <f>IF(ROUNDUP(R15/20,0)&gt;ROUNDUP(R14/20,0),"Lần " &amp; ROUNDUP(R15/20,0),"")</f>
        <v/>
      </c>
      <c r="AD15" s="9">
        <f>IF(ROUNDUP(S15/20,0)&gt;ROUNDUP(S14/20,0),"Lần " &amp; ROUNDUP(S15/20,0),"")</f>
        <v/>
      </c>
      <c r="AE15" s="9">
        <f>IF(ROUNDUP(T15/20,0)&gt;ROUNDUP(T14/20,0),"Lần " &amp; ROUNDUP(T15/20,0),"")</f>
        <v/>
      </c>
      <c r="AF15" s="9">
        <f>IF(ROUNDUP(U15/20,0)&gt;ROUNDUP(U14/20,0),"Lần " &amp; ROUNDUP(U15/20,0),"")</f>
        <v/>
      </c>
      <c r="AG15" s="9">
        <f>IF(ROUNDUP(V15/20,0)&gt;ROUNDUP(V14/20,0),"Lần " &amp; ROUNDUP(V15/20,0),"")</f>
        <v/>
      </c>
      <c r="AH15" s="9">
        <f>IF(ROUNDUP(W15/20,0)&gt;ROUNDUP(W14/20,0),"Lần " &amp; ROUNDUP(W15/20,0),"")</f>
        <v/>
      </c>
      <c r="AI15" s="9">
        <f>IF(ROUNDUP(X15/20,0)&gt;ROUNDUP(X14/20,0),"Lần " &amp; ROUNDUP(X15/20,0),"")</f>
        <v/>
      </c>
      <c r="AJ15" s="9">
        <f>IF(ROUNDUP(Y15/20,0)&gt;ROUNDUP(Y14/20,0),"Lần " &amp; ROUNDUP(Y15/20,0),"")</f>
        <v/>
      </c>
      <c r="AK15" s="9">
        <f>IF(ROUNDUP(Z15/20,0)&gt;ROUNDUP(Z14/20,0),"Lần " &amp; ROUNDUP(Z15/20,0),"")</f>
        <v/>
      </c>
      <c r="AL15" s="4" t="n"/>
      <c r="AN15" s="596" t="inlineStr">
        <is>
          <t>Coc</t>
        </is>
      </c>
      <c r="AO15" s="596" t="n">
        <v>4</v>
      </c>
      <c r="AQ15" s="594" t="n"/>
      <c r="AR15" s="595" t="n"/>
    </row>
    <row r="16" ht="19" customHeight="1" s="672">
      <c r="A16" s="4" t="n">
        <v>13</v>
      </c>
      <c r="B16" s="5" t="inlineStr">
        <is>
          <t>Cọc khoan nhồi C5 Trụ T1 (D1.2m, L=40.0m)</t>
        </is>
      </c>
      <c r="C16" s="5" t="inlineStr">
        <is>
          <t>Cọc trụ T1 L=40m (tr.68)</t>
        </is>
      </c>
      <c r="D16" s="14" t="inlineStr">
        <is>
          <t>P10</t>
        </is>
      </c>
      <c r="E16" s="15" t="n">
        <v>20</v>
      </c>
      <c r="F16" s="4" t="inlineStr">
        <is>
          <t>CB400-V</t>
        </is>
      </c>
      <c r="G16" s="5" t="inlineStr"/>
      <c r="H16" s="16" t="n">
        <v>2.057</v>
      </c>
      <c r="I16" s="17" t="n">
        <v>1</v>
      </c>
      <c r="J16" s="18" t="n">
        <v>2.466</v>
      </c>
      <c r="K16" s="7">
        <f>ROUND(H16*I16*J16, 2)</f>
        <v/>
      </c>
      <c r="L16" s="19">
        <f>ROUND(K16/1000, 3)</f>
        <v/>
      </c>
      <c r="M16" s="728">
        <f>IF(AO16="","",IF(N(INDEX(Theo_Doi_Tan_Suat_Be_Tong!$C:$C,AO16))&lt;=0,"",INDEX(Theo_Doi_Tan_Suat_Be_Tong!$C:$C,AO16)-VLOOKUP(AN16,$AQ$2:$AR$7,2,FALSE)))</f>
        <v/>
      </c>
      <c r="N16" s="4" t="n"/>
      <c r="O16" s="20">
        <f>IF(ROUNDUP(U16/20,0)&gt;ROUNDUP(U15/20,0),"TN Ø20 (Lần " &amp; ROUNDUP(U16/20,0) &amp; ")","")</f>
        <v/>
      </c>
      <c r="P16" s="16">
        <f>ROUND(P15+IF(AND(E16&lt;=10,F16&lt;&gt;"ASTM A416"),L16,0),3)</f>
        <v/>
      </c>
      <c r="Q16" s="16">
        <f>ROUND(Q15+IF(AND(E16=12,F16&lt;&gt;"ASTM A416"),L16,0),3)</f>
        <v/>
      </c>
      <c r="R16" s="16">
        <f>ROUND(R15+IF(AND(E16=14,F16&lt;&gt;"ASTM A416"),L16,0),3)</f>
        <v/>
      </c>
      <c r="S16" s="16">
        <f>ROUND(S15+IF(AND(E16=16,F16&lt;&gt;"ASTM A416"),L16,0),3)</f>
        <v/>
      </c>
      <c r="T16" s="16">
        <f>ROUND(T15+IF(AND(E16=18,F16&lt;&gt;"ASTM A416"),L16,0),3)</f>
        <v/>
      </c>
      <c r="U16" s="16">
        <f>ROUND(U15+IF(AND(E16=20,F16&lt;&gt;"ASTM A416"),L16,0),3)</f>
        <v/>
      </c>
      <c r="V16" s="16">
        <f>ROUND(V15+IF(AND(E16=22,F16&lt;&gt;"ASTM A416"),L16,0),3)</f>
        <v/>
      </c>
      <c r="W16" s="16">
        <f>ROUND(W15+IF(AND(E16=25,F16&lt;&gt;"ASTM A416"),L16,0),3)</f>
        <v/>
      </c>
      <c r="X16" s="16">
        <f>ROUND(X15+IF(AND(E16=28,F16&lt;&gt;"ASTM A416"),L16,0),3)</f>
        <v/>
      </c>
      <c r="Y16" s="16">
        <f>ROUND(Y15+IF(AND(E16=32,F16&lt;&gt;"ASTM A416"),L16,0),3)</f>
        <v/>
      </c>
      <c r="Z16" s="16">
        <f>ROUND(Z15+IF(F16="ASTM A416",L16,0),3)</f>
        <v/>
      </c>
      <c r="AA16" s="9">
        <f>IF(ROUNDUP(P16/20,0)&gt;ROUNDUP(P15/20,0),"Lần " &amp; ROUNDUP(P16/20,0),"")</f>
        <v/>
      </c>
      <c r="AB16" s="9">
        <f>IF(ROUNDUP(Q16/20,0)&gt;ROUNDUP(Q15/20,0),"Lần " &amp; ROUNDUP(Q16/20,0),"")</f>
        <v/>
      </c>
      <c r="AC16" s="9">
        <f>IF(ROUNDUP(R16/20,0)&gt;ROUNDUP(R15/20,0),"Lần " &amp; ROUNDUP(R16/20,0),"")</f>
        <v/>
      </c>
      <c r="AD16" s="9">
        <f>IF(ROUNDUP(S16/20,0)&gt;ROUNDUP(S15/20,0),"Lần " &amp; ROUNDUP(S16/20,0),"")</f>
        <v/>
      </c>
      <c r="AE16" s="9">
        <f>IF(ROUNDUP(T16/20,0)&gt;ROUNDUP(T15/20,0),"Lần " &amp; ROUNDUP(T16/20,0),"")</f>
        <v/>
      </c>
      <c r="AF16" s="9">
        <f>IF(ROUNDUP(U16/20,0)&gt;ROUNDUP(U15/20,0),"Lần " &amp; ROUNDUP(U16/20,0),"")</f>
        <v/>
      </c>
      <c r="AG16" s="9">
        <f>IF(ROUNDUP(V16/20,0)&gt;ROUNDUP(V15/20,0),"Lần " &amp; ROUNDUP(V16/20,0),"")</f>
        <v/>
      </c>
      <c r="AH16" s="9">
        <f>IF(ROUNDUP(W16/20,0)&gt;ROUNDUP(W15/20,0),"Lần " &amp; ROUNDUP(W16/20,0),"")</f>
        <v/>
      </c>
      <c r="AI16" s="9">
        <f>IF(ROUNDUP(X16/20,0)&gt;ROUNDUP(X15/20,0),"Lần " &amp; ROUNDUP(X16/20,0),"")</f>
        <v/>
      </c>
      <c r="AJ16" s="9">
        <f>IF(ROUNDUP(Y16/20,0)&gt;ROUNDUP(Y15/20,0),"Lần " &amp; ROUNDUP(Y16/20,0),"")</f>
        <v/>
      </c>
      <c r="AK16" s="9">
        <f>IF(ROUNDUP(Z16/20,0)&gt;ROUNDUP(Z15/20,0),"Lần " &amp; ROUNDUP(Z16/20,0),"")</f>
        <v/>
      </c>
      <c r="AL16" s="4" t="n"/>
      <c r="AN16" s="596" t="inlineStr">
        <is>
          <t>Coc</t>
        </is>
      </c>
      <c r="AO16" s="596" t="n">
        <v>4</v>
      </c>
      <c r="AQ16" s="594" t="n"/>
      <c r="AR16" s="595" t="n"/>
    </row>
    <row r="17" ht="19" customHeight="1" s="672">
      <c r="A17" s="4" t="n">
        <v>14</v>
      </c>
      <c r="B17" s="5" t="inlineStr">
        <is>
          <t>Cọc khoan nhồi C5 Trụ T1 (D1.2m, L=40.0m)</t>
        </is>
      </c>
      <c r="C17" s="5" t="inlineStr">
        <is>
          <t>Cọc trụ T1 L=40m (tr.68)</t>
        </is>
      </c>
      <c r="D17" s="14" t="inlineStr">
        <is>
          <t>P12</t>
        </is>
      </c>
      <c r="E17" s="15" t="n">
        <v>20</v>
      </c>
      <c r="F17" s="4" t="inlineStr">
        <is>
          <t>CB400-V</t>
        </is>
      </c>
      <c r="G17" s="5" t="inlineStr"/>
      <c r="H17" s="16" t="n">
        <v>0.583</v>
      </c>
      <c r="I17" s="17" t="n">
        <v>64</v>
      </c>
      <c r="J17" s="18" t="n">
        <v>2.466</v>
      </c>
      <c r="K17" s="7">
        <f>ROUND(H17*I17*J17, 2)</f>
        <v/>
      </c>
      <c r="L17" s="19">
        <f>ROUND(K17/1000, 3)</f>
        <v/>
      </c>
      <c r="M17" s="728">
        <f>IF(AO17="","",IF(N(INDEX(Theo_Doi_Tan_Suat_Be_Tong!$C:$C,AO17))&lt;=0,"",INDEX(Theo_Doi_Tan_Suat_Be_Tong!$C:$C,AO17)-VLOOKUP(AN17,$AQ$2:$AR$7,2,FALSE)))</f>
        <v/>
      </c>
      <c r="N17" s="4" t="n"/>
      <c r="O17" s="20">
        <f>IF(ROUNDUP(U17/20,0)&gt;ROUNDUP(U16/20,0),"TN Ø20 (Lần " &amp; ROUNDUP(U17/20,0) &amp; ")","")</f>
        <v/>
      </c>
      <c r="P17" s="16">
        <f>ROUND(P16+IF(AND(E17&lt;=10,F17&lt;&gt;"ASTM A416"),L17,0),3)</f>
        <v/>
      </c>
      <c r="Q17" s="16">
        <f>ROUND(Q16+IF(AND(E17=12,F17&lt;&gt;"ASTM A416"),L17,0),3)</f>
        <v/>
      </c>
      <c r="R17" s="16">
        <f>ROUND(R16+IF(AND(E17=14,F17&lt;&gt;"ASTM A416"),L17,0),3)</f>
        <v/>
      </c>
      <c r="S17" s="16">
        <f>ROUND(S16+IF(AND(E17=16,F17&lt;&gt;"ASTM A416"),L17,0),3)</f>
        <v/>
      </c>
      <c r="T17" s="16">
        <f>ROUND(T16+IF(AND(E17=18,F17&lt;&gt;"ASTM A416"),L17,0),3)</f>
        <v/>
      </c>
      <c r="U17" s="16">
        <f>ROUND(U16+IF(AND(E17=20,F17&lt;&gt;"ASTM A416"),L17,0),3)</f>
        <v/>
      </c>
      <c r="V17" s="16">
        <f>ROUND(V16+IF(AND(E17=22,F17&lt;&gt;"ASTM A416"),L17,0),3)</f>
        <v/>
      </c>
      <c r="W17" s="16">
        <f>ROUND(W16+IF(AND(E17=25,F17&lt;&gt;"ASTM A416"),L17,0),3)</f>
        <v/>
      </c>
      <c r="X17" s="16">
        <f>ROUND(X16+IF(AND(E17=28,F17&lt;&gt;"ASTM A416"),L17,0),3)</f>
        <v/>
      </c>
      <c r="Y17" s="16">
        <f>ROUND(Y16+IF(AND(E17=32,F17&lt;&gt;"ASTM A416"),L17,0),3)</f>
        <v/>
      </c>
      <c r="Z17" s="16">
        <f>ROUND(Z16+IF(F17="ASTM A416",L17,0),3)</f>
        <v/>
      </c>
      <c r="AA17" s="9">
        <f>IF(ROUNDUP(P17/20,0)&gt;ROUNDUP(P16/20,0),"Lần " &amp; ROUNDUP(P17/20,0),"")</f>
        <v/>
      </c>
      <c r="AB17" s="9">
        <f>IF(ROUNDUP(Q17/20,0)&gt;ROUNDUP(Q16/20,0),"Lần " &amp; ROUNDUP(Q17/20,0),"")</f>
        <v/>
      </c>
      <c r="AC17" s="9">
        <f>IF(ROUNDUP(R17/20,0)&gt;ROUNDUP(R16/20,0),"Lần " &amp; ROUNDUP(R17/20,0),"")</f>
        <v/>
      </c>
      <c r="AD17" s="9">
        <f>IF(ROUNDUP(S17/20,0)&gt;ROUNDUP(S16/20,0),"Lần " &amp; ROUNDUP(S17/20,0),"")</f>
        <v/>
      </c>
      <c r="AE17" s="9">
        <f>IF(ROUNDUP(T17/20,0)&gt;ROUNDUP(T16/20,0),"Lần " &amp; ROUNDUP(T17/20,0),"")</f>
        <v/>
      </c>
      <c r="AF17" s="9">
        <f>IF(ROUNDUP(U17/20,0)&gt;ROUNDUP(U16/20,0),"Lần " &amp; ROUNDUP(U17/20,0),"")</f>
        <v/>
      </c>
      <c r="AG17" s="9">
        <f>IF(ROUNDUP(V17/20,0)&gt;ROUNDUP(V16/20,0),"Lần " &amp; ROUNDUP(V17/20,0),"")</f>
        <v/>
      </c>
      <c r="AH17" s="9">
        <f>IF(ROUNDUP(W17/20,0)&gt;ROUNDUP(W16/20,0),"Lần " &amp; ROUNDUP(W17/20,0),"")</f>
        <v/>
      </c>
      <c r="AI17" s="9">
        <f>IF(ROUNDUP(X17/20,0)&gt;ROUNDUP(X16/20,0),"Lần " &amp; ROUNDUP(X17/20,0),"")</f>
        <v/>
      </c>
      <c r="AJ17" s="9">
        <f>IF(ROUNDUP(Y17/20,0)&gt;ROUNDUP(Y16/20,0),"Lần " &amp; ROUNDUP(Y17/20,0),"")</f>
        <v/>
      </c>
      <c r="AK17" s="9">
        <f>IF(ROUNDUP(Z17/20,0)&gt;ROUNDUP(Z16/20,0),"Lần " &amp; ROUNDUP(Z17/20,0),"")</f>
        <v/>
      </c>
      <c r="AL17" s="4" t="n"/>
      <c r="AN17" s="596" t="inlineStr">
        <is>
          <t>Coc</t>
        </is>
      </c>
      <c r="AO17" s="596" t="n">
        <v>4</v>
      </c>
      <c r="AQ17" s="594" t="n"/>
      <c r="AR17" s="595" t="n"/>
    </row>
    <row r="18" ht="19" customHeight="1" s="672">
      <c r="A18" s="4" t="n">
        <v>15</v>
      </c>
      <c r="B18" s="5" t="inlineStr">
        <is>
          <t>Cọc khoan nhồi C5 Trụ T1 (D1.2m, L=40.0m)</t>
        </is>
      </c>
      <c r="C18" s="5" t="inlineStr">
        <is>
          <t>Cọc trụ T1 L=40m (tr.68)</t>
        </is>
      </c>
      <c r="D18" s="14" t="inlineStr">
        <is>
          <t>P11</t>
        </is>
      </c>
      <c r="E18" s="15" t="n">
        <v>16</v>
      </c>
      <c r="F18" s="4" t="inlineStr">
        <is>
          <t>CB400-V</t>
        </is>
      </c>
      <c r="G18" s="5" t="inlineStr"/>
      <c r="H18" s="16" t="n">
        <v>2.604</v>
      </c>
      <c r="I18" s="17" t="n">
        <v>4</v>
      </c>
      <c r="J18" s="18" t="n">
        <v>1.578</v>
      </c>
      <c r="K18" s="7">
        <f>ROUND(H18*I18*J18, 2)</f>
        <v/>
      </c>
      <c r="L18" s="19">
        <f>ROUND(K18/1000, 3)</f>
        <v/>
      </c>
      <c r="M18" s="728">
        <f>IF(AO18="","",IF(N(INDEX(Theo_Doi_Tan_Suat_Be_Tong!$C:$C,AO18))&lt;=0,"",INDEX(Theo_Doi_Tan_Suat_Be_Tong!$C:$C,AO18)-VLOOKUP(AN18,$AQ$2:$AR$7,2,FALSE)))</f>
        <v/>
      </c>
      <c r="N18" s="4" t="n"/>
      <c r="O18" s="20">
        <f>IF(ROUNDUP(S18/20,0)&gt;ROUNDUP(S17/20,0),"TN Ø16 (Lần " &amp; ROUNDUP(S18/20,0) &amp; ")","")</f>
        <v/>
      </c>
      <c r="P18" s="16">
        <f>ROUND(P17+IF(AND(E18&lt;=10,F18&lt;&gt;"ASTM A416"),L18,0),3)</f>
        <v/>
      </c>
      <c r="Q18" s="16">
        <f>ROUND(Q17+IF(AND(E18=12,F18&lt;&gt;"ASTM A416"),L18,0),3)</f>
        <v/>
      </c>
      <c r="R18" s="16">
        <f>ROUND(R17+IF(AND(E18=14,F18&lt;&gt;"ASTM A416"),L18,0),3)</f>
        <v/>
      </c>
      <c r="S18" s="16">
        <f>ROUND(S17+IF(AND(E18=16,F18&lt;&gt;"ASTM A416"),L18,0),3)</f>
        <v/>
      </c>
      <c r="T18" s="16">
        <f>ROUND(T17+IF(AND(E18=18,F18&lt;&gt;"ASTM A416"),L18,0),3)</f>
        <v/>
      </c>
      <c r="U18" s="16">
        <f>ROUND(U17+IF(AND(E18=20,F18&lt;&gt;"ASTM A416"),L18,0),3)</f>
        <v/>
      </c>
      <c r="V18" s="16">
        <f>ROUND(V17+IF(AND(E18=22,F18&lt;&gt;"ASTM A416"),L18,0),3)</f>
        <v/>
      </c>
      <c r="W18" s="16">
        <f>ROUND(W17+IF(AND(E18=25,F18&lt;&gt;"ASTM A416"),L18,0),3)</f>
        <v/>
      </c>
      <c r="X18" s="16">
        <f>ROUND(X17+IF(AND(E18=28,F18&lt;&gt;"ASTM A416"),L18,0),3)</f>
        <v/>
      </c>
      <c r="Y18" s="16">
        <f>ROUND(Y17+IF(AND(E18=32,F18&lt;&gt;"ASTM A416"),L18,0),3)</f>
        <v/>
      </c>
      <c r="Z18" s="16">
        <f>ROUND(Z17+IF(F18="ASTM A416",L18,0),3)</f>
        <v/>
      </c>
      <c r="AA18" s="9">
        <f>IF(ROUNDUP(P18/20,0)&gt;ROUNDUP(P17/20,0),"Lần " &amp; ROUNDUP(P18/20,0),"")</f>
        <v/>
      </c>
      <c r="AB18" s="9">
        <f>IF(ROUNDUP(Q18/20,0)&gt;ROUNDUP(Q17/20,0),"Lần " &amp; ROUNDUP(Q18/20,0),"")</f>
        <v/>
      </c>
      <c r="AC18" s="9">
        <f>IF(ROUNDUP(R18/20,0)&gt;ROUNDUP(R17/20,0),"Lần " &amp; ROUNDUP(R18/20,0),"")</f>
        <v/>
      </c>
      <c r="AD18" s="9">
        <f>IF(ROUNDUP(S18/20,0)&gt;ROUNDUP(S17/20,0),"Lần " &amp; ROUNDUP(S18/20,0),"")</f>
        <v/>
      </c>
      <c r="AE18" s="9">
        <f>IF(ROUNDUP(T18/20,0)&gt;ROUNDUP(T17/20,0),"Lần " &amp; ROUNDUP(T18/20,0),"")</f>
        <v/>
      </c>
      <c r="AF18" s="9">
        <f>IF(ROUNDUP(U18/20,0)&gt;ROUNDUP(U17/20,0),"Lần " &amp; ROUNDUP(U18/20,0),"")</f>
        <v/>
      </c>
      <c r="AG18" s="9">
        <f>IF(ROUNDUP(V18/20,0)&gt;ROUNDUP(V17/20,0),"Lần " &amp; ROUNDUP(V18/20,0),"")</f>
        <v/>
      </c>
      <c r="AH18" s="9">
        <f>IF(ROUNDUP(W18/20,0)&gt;ROUNDUP(W17/20,0),"Lần " &amp; ROUNDUP(W18/20,0),"")</f>
        <v/>
      </c>
      <c r="AI18" s="9">
        <f>IF(ROUNDUP(X18/20,0)&gt;ROUNDUP(X17/20,0),"Lần " &amp; ROUNDUP(X18/20,0),"")</f>
        <v/>
      </c>
      <c r="AJ18" s="9">
        <f>IF(ROUNDUP(Y18/20,0)&gt;ROUNDUP(Y17/20,0),"Lần " &amp; ROUNDUP(Y18/20,0),"")</f>
        <v/>
      </c>
      <c r="AK18" s="9">
        <f>IF(ROUNDUP(Z18/20,0)&gt;ROUNDUP(Z17/20,0),"Lần " &amp; ROUNDUP(Z18/20,0),"")</f>
        <v/>
      </c>
      <c r="AL18" s="4" t="n"/>
      <c r="AN18" s="596" t="inlineStr">
        <is>
          <t>Coc</t>
        </is>
      </c>
      <c r="AO18" s="596" t="n">
        <v>4</v>
      </c>
      <c r="AQ18" s="594" t="n"/>
      <c r="AR18" s="595" t="n"/>
    </row>
    <row r="19" ht="20" customHeight="1" s="672">
      <c r="A19" s="668" t="inlineStr">
        <is>
          <t>--- CỌC KHOAN NHỒI C8 TRỤ T2 (D1.2M, L=30.0M) ---</t>
        </is>
      </c>
      <c r="B19" s="722" t="n"/>
      <c r="C19" s="722" t="n"/>
      <c r="D19" s="722" t="n"/>
      <c r="E19" s="722" t="n"/>
      <c r="F19" s="722" t="n"/>
      <c r="G19" s="722" t="n"/>
      <c r="H19" s="722" t="n"/>
      <c r="I19" s="722" t="n"/>
      <c r="J19" s="722" t="n"/>
      <c r="K19" s="722" t="n"/>
      <c r="L19" s="722" t="n"/>
      <c r="M19" s="722" t="n"/>
      <c r="N19" s="722" t="n"/>
      <c r="O19" s="722" t="n"/>
      <c r="P19" s="722" t="n"/>
      <c r="Q19" s="722" t="n"/>
      <c r="R19" s="722" t="n"/>
      <c r="S19" s="722" t="n"/>
      <c r="T19" s="722" t="n"/>
      <c r="U19" s="722" t="n"/>
      <c r="V19" s="722" t="n"/>
      <c r="W19" s="722" t="n"/>
      <c r="X19" s="722" t="n"/>
      <c r="Y19" s="722" t="n"/>
      <c r="Z19" s="722" t="n"/>
      <c r="AA19" s="722" t="n"/>
      <c r="AB19" s="722" t="n"/>
      <c r="AC19" s="722" t="n"/>
      <c r="AD19" s="722" t="n"/>
      <c r="AE19" s="722" t="n"/>
      <c r="AF19" s="722" t="n"/>
      <c r="AG19" s="722" t="n"/>
      <c r="AH19" s="722" t="n"/>
      <c r="AI19" s="722" t="n"/>
      <c r="AJ19" s="722" t="n"/>
      <c r="AK19" s="722" t="n"/>
      <c r="AL19" s="721" t="n"/>
      <c r="AQ19" s="594" t="n"/>
      <c r="AR19" s="595" t="n"/>
    </row>
    <row r="20" ht="19" customHeight="1" s="672">
      <c r="A20" s="4" t="n">
        <v>16</v>
      </c>
      <c r="B20" s="5" t="inlineStr">
        <is>
          <t>Cọc khoan nhồi C8 Trụ T2 (D1.2m, L=30.0m)</t>
        </is>
      </c>
      <c r="C20" s="5" t="inlineStr">
        <is>
          <t>Cọc trụ T2 L=30m (tr.70)</t>
        </is>
      </c>
      <c r="D20" s="14" t="inlineStr">
        <is>
          <t>P1</t>
        </is>
      </c>
      <c r="E20" s="15" t="n">
        <v>10</v>
      </c>
      <c r="F20" s="4" t="inlineStr">
        <is>
          <t>CB240-T</t>
        </is>
      </c>
      <c r="G20" s="5" t="inlineStr"/>
      <c r="H20" s="16" t="n">
        <v>96.604</v>
      </c>
      <c r="I20" s="17" t="n">
        <v>1</v>
      </c>
      <c r="J20" s="18" t="n">
        <v>0.617</v>
      </c>
      <c r="K20" s="7">
        <f>ROUND(H20*I20*J20, 2)</f>
        <v/>
      </c>
      <c r="L20" s="19">
        <f>ROUND(K20/1000, 3)</f>
        <v/>
      </c>
      <c r="M20" s="728">
        <f>IF(AO20="","",IF(N(INDEX(Theo_Doi_Tan_Suat_Be_Tong!$C:$C,AO20))&lt;=0,"",INDEX(Theo_Doi_Tan_Suat_Be_Tong!$C:$C,AO20)-VLOOKUP(AN20,$AQ$2:$AR$7,2,FALSE)))</f>
        <v/>
      </c>
      <c r="N20" s="4" t="n"/>
      <c r="O20" s="20">
        <f>IF(ROUNDUP(P20/20,0)&gt;ROUNDUP(P18/20,0),"TN Ø10 (Lần " &amp; ROUNDUP(P20/20,0) &amp; ")","")</f>
        <v/>
      </c>
      <c r="P20" s="16">
        <f>ROUND(P18+IF(AND(E20&lt;=10,F20&lt;&gt;"ASTM A416"),L20,0),3)</f>
        <v/>
      </c>
      <c r="Q20" s="16">
        <f>ROUND(Q18+IF(AND(E20=12,F20&lt;&gt;"ASTM A416"),L20,0),3)</f>
        <v/>
      </c>
      <c r="R20" s="16">
        <f>ROUND(R18+IF(AND(E20=14,F20&lt;&gt;"ASTM A416"),L20,0),3)</f>
        <v/>
      </c>
      <c r="S20" s="16">
        <f>ROUND(S18+IF(AND(E20=16,F20&lt;&gt;"ASTM A416"),L20,0),3)</f>
        <v/>
      </c>
      <c r="T20" s="16">
        <f>ROUND(T18+IF(AND(E20=18,F20&lt;&gt;"ASTM A416"),L20,0),3)</f>
        <v/>
      </c>
      <c r="U20" s="16">
        <f>ROUND(U18+IF(AND(E20=20,F20&lt;&gt;"ASTM A416"),L20,0),3)</f>
        <v/>
      </c>
      <c r="V20" s="16">
        <f>ROUND(V18+IF(AND(E20=22,F20&lt;&gt;"ASTM A416"),L20,0),3)</f>
        <v/>
      </c>
      <c r="W20" s="16">
        <f>ROUND(W18+IF(AND(E20=25,F20&lt;&gt;"ASTM A416"),L20,0),3)</f>
        <v/>
      </c>
      <c r="X20" s="16">
        <f>ROUND(X18+IF(AND(E20=28,F20&lt;&gt;"ASTM A416"),L20,0),3)</f>
        <v/>
      </c>
      <c r="Y20" s="16">
        <f>ROUND(Y18+IF(AND(E20=32,F20&lt;&gt;"ASTM A416"),L20,0),3)</f>
        <v/>
      </c>
      <c r="Z20" s="16">
        <f>ROUND(Z18+IF(F20="ASTM A416",L20,0),3)</f>
        <v/>
      </c>
      <c r="AA20" s="9">
        <f>IF(ROUNDUP(P20/20,0)&gt;ROUNDUP(P18/20,0),"Lần " &amp; ROUNDUP(P20/20,0),"")</f>
        <v/>
      </c>
      <c r="AB20" s="9">
        <f>IF(ROUNDUP(Q20/20,0)&gt;ROUNDUP(Q18/20,0),"Lần " &amp; ROUNDUP(Q20/20,0),"")</f>
        <v/>
      </c>
      <c r="AC20" s="9">
        <f>IF(ROUNDUP(R20/20,0)&gt;ROUNDUP(R18/20,0),"Lần " &amp; ROUNDUP(R20/20,0),"")</f>
        <v/>
      </c>
      <c r="AD20" s="9">
        <f>IF(ROUNDUP(S20/20,0)&gt;ROUNDUP(S18/20,0),"Lần " &amp; ROUNDUP(S20/20,0),"")</f>
        <v/>
      </c>
      <c r="AE20" s="9">
        <f>IF(ROUNDUP(T20/20,0)&gt;ROUNDUP(T18/20,0),"Lần " &amp; ROUNDUP(T20/20,0),"")</f>
        <v/>
      </c>
      <c r="AF20" s="9">
        <f>IF(ROUNDUP(U20/20,0)&gt;ROUNDUP(U18/20,0),"Lần " &amp; ROUNDUP(U20/20,0),"")</f>
        <v/>
      </c>
      <c r="AG20" s="9">
        <f>IF(ROUNDUP(V20/20,0)&gt;ROUNDUP(V18/20,0),"Lần " &amp; ROUNDUP(V20/20,0),"")</f>
        <v/>
      </c>
      <c r="AH20" s="9">
        <f>IF(ROUNDUP(W20/20,0)&gt;ROUNDUP(W18/20,0),"Lần " &amp; ROUNDUP(W20/20,0),"")</f>
        <v/>
      </c>
      <c r="AI20" s="9">
        <f>IF(ROUNDUP(X20/20,0)&gt;ROUNDUP(X18/20,0),"Lần " &amp; ROUNDUP(X20/20,0),"")</f>
        <v/>
      </c>
      <c r="AJ20" s="9">
        <f>IF(ROUNDUP(Y20/20,0)&gt;ROUNDUP(Y18/20,0),"Lần " &amp; ROUNDUP(Y20/20,0),"")</f>
        <v/>
      </c>
      <c r="AK20" s="9">
        <f>IF(ROUNDUP(Z20/20,0)&gt;ROUNDUP(Z18/20,0),"Lần " &amp; ROUNDUP(Z20/20,0),"")</f>
        <v/>
      </c>
      <c r="AL20" s="4" t="n"/>
      <c r="AN20" s="596" t="inlineStr">
        <is>
          <t>Coc</t>
        </is>
      </c>
      <c r="AO20" s="596" t="n">
        <v>5</v>
      </c>
      <c r="AQ20" s="594" t="n"/>
      <c r="AR20" s="595" t="n"/>
    </row>
    <row r="21" ht="19" customHeight="1" s="672">
      <c r="A21" s="4" t="n">
        <v>17</v>
      </c>
      <c r="B21" s="5" t="inlineStr">
        <is>
          <t>Cọc khoan nhồi C8 Trụ T2 (D1.2m, L=30.0m)</t>
        </is>
      </c>
      <c r="C21" s="5" t="inlineStr">
        <is>
          <t>Cọc trụ T2 L=30m (tr.70)</t>
        </is>
      </c>
      <c r="D21" s="14" t="inlineStr">
        <is>
          <t>P1A</t>
        </is>
      </c>
      <c r="E21" s="15" t="n">
        <v>10</v>
      </c>
      <c r="F21" s="4" t="inlineStr">
        <is>
          <t>CB240-T</t>
        </is>
      </c>
      <c r="G21" s="5" t="inlineStr"/>
      <c r="H21" s="16" t="n">
        <v>389.636</v>
      </c>
      <c r="I21" s="17" t="n">
        <v>1</v>
      </c>
      <c r="J21" s="18" t="n">
        <v>0.617</v>
      </c>
      <c r="K21" s="7">
        <f>ROUND(H21*I21*J21, 2)</f>
        <v/>
      </c>
      <c r="L21" s="19">
        <f>ROUND(K21/1000, 3)</f>
        <v/>
      </c>
      <c r="M21" s="728">
        <f>IF(AO21="","",IF(N(INDEX(Theo_Doi_Tan_Suat_Be_Tong!$C:$C,AO21))&lt;=0,"",INDEX(Theo_Doi_Tan_Suat_Be_Tong!$C:$C,AO21)-VLOOKUP(AN21,$AQ$2:$AR$7,2,FALSE)))</f>
        <v/>
      </c>
      <c r="N21" s="4" t="n"/>
      <c r="O21" s="20">
        <f>IF(ROUNDUP(P21/20,0)&gt;ROUNDUP(P20/20,0),"TN Ø10 (Lần " &amp; ROUNDUP(P21/20,0) &amp; ")","")</f>
        <v/>
      </c>
      <c r="P21" s="16">
        <f>ROUND(P20+IF(AND(E21&lt;=10,F21&lt;&gt;"ASTM A416"),L21,0),3)</f>
        <v/>
      </c>
      <c r="Q21" s="16">
        <f>ROUND(Q20+IF(AND(E21=12,F21&lt;&gt;"ASTM A416"),L21,0),3)</f>
        <v/>
      </c>
      <c r="R21" s="16">
        <f>ROUND(R20+IF(AND(E21=14,F21&lt;&gt;"ASTM A416"),L21,0),3)</f>
        <v/>
      </c>
      <c r="S21" s="16">
        <f>ROUND(S20+IF(AND(E21=16,F21&lt;&gt;"ASTM A416"),L21,0),3)</f>
        <v/>
      </c>
      <c r="T21" s="16">
        <f>ROUND(T20+IF(AND(E21=18,F21&lt;&gt;"ASTM A416"),L21,0),3)</f>
        <v/>
      </c>
      <c r="U21" s="16">
        <f>ROUND(U20+IF(AND(E21=20,F21&lt;&gt;"ASTM A416"),L21,0),3)</f>
        <v/>
      </c>
      <c r="V21" s="16">
        <f>ROUND(V20+IF(AND(E21=22,F21&lt;&gt;"ASTM A416"),L21,0),3)</f>
        <v/>
      </c>
      <c r="W21" s="16">
        <f>ROUND(W20+IF(AND(E21=25,F21&lt;&gt;"ASTM A416"),L21,0),3)</f>
        <v/>
      </c>
      <c r="X21" s="16">
        <f>ROUND(X20+IF(AND(E21=28,F21&lt;&gt;"ASTM A416"),L21,0),3)</f>
        <v/>
      </c>
      <c r="Y21" s="16">
        <f>ROUND(Y20+IF(AND(E21=32,F21&lt;&gt;"ASTM A416"),L21,0),3)</f>
        <v/>
      </c>
      <c r="Z21" s="16">
        <f>ROUND(Z20+IF(F21="ASTM A416",L21,0),3)</f>
        <v/>
      </c>
      <c r="AA21" s="9">
        <f>IF(ROUNDUP(P21/20,0)&gt;ROUNDUP(P20/20,0),"Lần " &amp; ROUNDUP(P21/20,0),"")</f>
        <v/>
      </c>
      <c r="AB21" s="9">
        <f>IF(ROUNDUP(Q21/20,0)&gt;ROUNDUP(Q20/20,0),"Lần " &amp; ROUNDUP(Q21/20,0),"")</f>
        <v/>
      </c>
      <c r="AC21" s="9">
        <f>IF(ROUNDUP(R21/20,0)&gt;ROUNDUP(R20/20,0),"Lần " &amp; ROUNDUP(R21/20,0),"")</f>
        <v/>
      </c>
      <c r="AD21" s="9">
        <f>IF(ROUNDUP(S21/20,0)&gt;ROUNDUP(S20/20,0),"Lần " &amp; ROUNDUP(S21/20,0),"")</f>
        <v/>
      </c>
      <c r="AE21" s="9">
        <f>IF(ROUNDUP(T21/20,0)&gt;ROUNDUP(T20/20,0),"Lần " &amp; ROUNDUP(T21/20,0),"")</f>
        <v/>
      </c>
      <c r="AF21" s="9">
        <f>IF(ROUNDUP(U21/20,0)&gt;ROUNDUP(U20/20,0),"Lần " &amp; ROUNDUP(U21/20,0),"")</f>
        <v/>
      </c>
      <c r="AG21" s="9">
        <f>IF(ROUNDUP(V21/20,0)&gt;ROUNDUP(V20/20,0),"Lần " &amp; ROUNDUP(V21/20,0),"")</f>
        <v/>
      </c>
      <c r="AH21" s="9">
        <f>IF(ROUNDUP(W21/20,0)&gt;ROUNDUP(W20/20,0),"Lần " &amp; ROUNDUP(W21/20,0),"")</f>
        <v/>
      </c>
      <c r="AI21" s="9">
        <f>IF(ROUNDUP(X21/20,0)&gt;ROUNDUP(X20/20,0),"Lần " &amp; ROUNDUP(X21/20,0),"")</f>
        <v/>
      </c>
      <c r="AJ21" s="9">
        <f>IF(ROUNDUP(Y21/20,0)&gt;ROUNDUP(Y20/20,0),"Lần " &amp; ROUNDUP(Y21/20,0),"")</f>
        <v/>
      </c>
      <c r="AK21" s="9">
        <f>IF(ROUNDUP(Z21/20,0)&gt;ROUNDUP(Z20/20,0),"Lần " &amp; ROUNDUP(Z21/20,0),"")</f>
        <v/>
      </c>
      <c r="AL21" s="4" t="n"/>
      <c r="AN21" s="596" t="inlineStr">
        <is>
          <t>Coc</t>
        </is>
      </c>
      <c r="AO21" s="596" t="n">
        <v>5</v>
      </c>
      <c r="AQ21" s="594" t="n"/>
      <c r="AR21" s="595" t="n"/>
    </row>
    <row r="22" ht="19" customHeight="1" s="672">
      <c r="A22" s="4" t="n">
        <v>18</v>
      </c>
      <c r="B22" s="5" t="inlineStr">
        <is>
          <t>Cọc khoan nhồi C8 Trụ T2 (D1.2m, L=30.0m)</t>
        </is>
      </c>
      <c r="C22" s="5" t="inlineStr">
        <is>
          <t>Cọc trụ T2 L=30m (tr.70)</t>
        </is>
      </c>
      <c r="D22" s="14" t="inlineStr">
        <is>
          <t>P1B</t>
        </is>
      </c>
      <c r="E22" s="15" t="n">
        <v>10</v>
      </c>
      <c r="F22" s="4" t="inlineStr">
        <is>
          <t>CB240-T</t>
        </is>
      </c>
      <c r="G22" s="5" t="inlineStr"/>
      <c r="H22" s="16" t="n">
        <v>100.256</v>
      </c>
      <c r="I22" s="17" t="n">
        <v>1</v>
      </c>
      <c r="J22" s="18" t="n">
        <v>0.617</v>
      </c>
      <c r="K22" s="7">
        <f>ROUND(H22*I22*J22, 2)</f>
        <v/>
      </c>
      <c r="L22" s="19">
        <f>ROUND(K22/1000, 3)</f>
        <v/>
      </c>
      <c r="M22" s="728">
        <f>IF(AO22="","",IF(N(INDEX(Theo_Doi_Tan_Suat_Be_Tong!$C:$C,AO22))&lt;=0,"",INDEX(Theo_Doi_Tan_Suat_Be_Tong!$C:$C,AO22)-VLOOKUP(AN22,$AQ$2:$AR$7,2,FALSE)))</f>
        <v/>
      </c>
      <c r="N22" s="4" t="n"/>
      <c r="O22" s="20">
        <f>IF(ROUNDUP(P22/20,0)&gt;ROUNDUP(P21/20,0),"TN Ø10 (Lần " &amp; ROUNDUP(P22/20,0) &amp; ")","")</f>
        <v/>
      </c>
      <c r="P22" s="16">
        <f>ROUND(P21+IF(AND(E22&lt;=10,F22&lt;&gt;"ASTM A416"),L22,0),3)</f>
        <v/>
      </c>
      <c r="Q22" s="16">
        <f>ROUND(Q21+IF(AND(E22=12,F22&lt;&gt;"ASTM A416"),L22,0),3)</f>
        <v/>
      </c>
      <c r="R22" s="16">
        <f>ROUND(R21+IF(AND(E22=14,F22&lt;&gt;"ASTM A416"),L22,0),3)</f>
        <v/>
      </c>
      <c r="S22" s="16">
        <f>ROUND(S21+IF(AND(E22=16,F22&lt;&gt;"ASTM A416"),L22,0),3)</f>
        <v/>
      </c>
      <c r="T22" s="16">
        <f>ROUND(T21+IF(AND(E22=18,F22&lt;&gt;"ASTM A416"),L22,0),3)</f>
        <v/>
      </c>
      <c r="U22" s="16">
        <f>ROUND(U21+IF(AND(E22=20,F22&lt;&gt;"ASTM A416"),L22,0),3)</f>
        <v/>
      </c>
      <c r="V22" s="16">
        <f>ROUND(V21+IF(AND(E22=22,F22&lt;&gt;"ASTM A416"),L22,0),3)</f>
        <v/>
      </c>
      <c r="W22" s="16">
        <f>ROUND(W21+IF(AND(E22=25,F22&lt;&gt;"ASTM A416"),L22,0),3)</f>
        <v/>
      </c>
      <c r="X22" s="16">
        <f>ROUND(X21+IF(AND(E22=28,F22&lt;&gt;"ASTM A416"),L22,0),3)</f>
        <v/>
      </c>
      <c r="Y22" s="16">
        <f>ROUND(Y21+IF(AND(E22=32,F22&lt;&gt;"ASTM A416"),L22,0),3)</f>
        <v/>
      </c>
      <c r="Z22" s="16">
        <f>ROUND(Z21+IF(F22="ASTM A416",L22,0),3)</f>
        <v/>
      </c>
      <c r="AA22" s="9">
        <f>IF(ROUNDUP(P22/20,0)&gt;ROUNDUP(P21/20,0),"Lần " &amp; ROUNDUP(P22/20,0),"")</f>
        <v/>
      </c>
      <c r="AB22" s="9">
        <f>IF(ROUNDUP(Q22/20,0)&gt;ROUNDUP(Q21/20,0),"Lần " &amp; ROUNDUP(Q22/20,0),"")</f>
        <v/>
      </c>
      <c r="AC22" s="9">
        <f>IF(ROUNDUP(R22/20,0)&gt;ROUNDUP(R21/20,0),"Lần " &amp; ROUNDUP(R22/20,0),"")</f>
        <v/>
      </c>
      <c r="AD22" s="9">
        <f>IF(ROUNDUP(S22/20,0)&gt;ROUNDUP(S21/20,0),"Lần " &amp; ROUNDUP(S22/20,0),"")</f>
        <v/>
      </c>
      <c r="AE22" s="9">
        <f>IF(ROUNDUP(T22/20,0)&gt;ROUNDUP(T21/20,0),"Lần " &amp; ROUNDUP(T22/20,0),"")</f>
        <v/>
      </c>
      <c r="AF22" s="9">
        <f>IF(ROUNDUP(U22/20,0)&gt;ROUNDUP(U21/20,0),"Lần " &amp; ROUNDUP(U22/20,0),"")</f>
        <v/>
      </c>
      <c r="AG22" s="9">
        <f>IF(ROUNDUP(V22/20,0)&gt;ROUNDUP(V21/20,0),"Lần " &amp; ROUNDUP(V22/20,0),"")</f>
        <v/>
      </c>
      <c r="AH22" s="9">
        <f>IF(ROUNDUP(W22/20,0)&gt;ROUNDUP(W21/20,0),"Lần " &amp; ROUNDUP(W22/20,0),"")</f>
        <v/>
      </c>
      <c r="AI22" s="9">
        <f>IF(ROUNDUP(X22/20,0)&gt;ROUNDUP(X21/20,0),"Lần " &amp; ROUNDUP(X22/20,0),"")</f>
        <v/>
      </c>
      <c r="AJ22" s="9">
        <f>IF(ROUNDUP(Y22/20,0)&gt;ROUNDUP(Y21/20,0),"Lần " &amp; ROUNDUP(Y22/20,0),"")</f>
        <v/>
      </c>
      <c r="AK22" s="9">
        <f>IF(ROUNDUP(Z22/20,0)&gt;ROUNDUP(Z21/20,0),"Lần " &amp; ROUNDUP(Z22/20,0),"")</f>
        <v/>
      </c>
      <c r="AL22" s="4" t="n"/>
      <c r="AN22" s="596" t="inlineStr">
        <is>
          <t>Coc</t>
        </is>
      </c>
      <c r="AO22" s="596" t="n">
        <v>5</v>
      </c>
      <c r="AQ22" s="594" t="n"/>
      <c r="AR22" s="595" t="n"/>
    </row>
    <row r="23" ht="19" customHeight="1" s="672">
      <c r="A23" s="4" t="n">
        <v>19</v>
      </c>
      <c r="B23" s="5" t="inlineStr">
        <is>
          <t>Cọc khoan nhồi C8 Trụ T2 (D1.2m, L=30.0m)</t>
        </is>
      </c>
      <c r="C23" s="5" t="inlineStr">
        <is>
          <t>Cọc trụ T2 L=30m (tr.70)</t>
        </is>
      </c>
      <c r="D23" s="14" t="inlineStr">
        <is>
          <t>P1C</t>
        </is>
      </c>
      <c r="E23" s="15" t="n">
        <v>10</v>
      </c>
      <c r="F23" s="4" t="inlineStr">
        <is>
          <t>CB240-T</t>
        </is>
      </c>
      <c r="G23" s="5" t="inlineStr"/>
      <c r="H23" s="16" t="n">
        <v>3.592</v>
      </c>
      <c r="I23" s="17" t="n">
        <v>2</v>
      </c>
      <c r="J23" s="18" t="n">
        <v>0.617</v>
      </c>
      <c r="K23" s="7">
        <f>ROUND(H23*I23*J23, 2)</f>
        <v/>
      </c>
      <c r="L23" s="19">
        <f>ROUND(K23/1000, 3)</f>
        <v/>
      </c>
      <c r="M23" s="728">
        <f>IF(AO23="","",IF(N(INDEX(Theo_Doi_Tan_Suat_Be_Tong!$C:$C,AO23))&lt;=0,"",INDEX(Theo_Doi_Tan_Suat_Be_Tong!$C:$C,AO23)-VLOOKUP(AN23,$AQ$2:$AR$7,2,FALSE)))</f>
        <v/>
      </c>
      <c r="N23" s="4" t="n"/>
      <c r="O23" s="20">
        <f>IF(ROUNDUP(P23/20,0)&gt;ROUNDUP(P22/20,0),"TN Ø10 (Lần " &amp; ROUNDUP(P23/20,0) &amp; ")","")</f>
        <v/>
      </c>
      <c r="P23" s="16">
        <f>ROUND(P22+IF(AND(E23&lt;=10,F23&lt;&gt;"ASTM A416"),L23,0),3)</f>
        <v/>
      </c>
      <c r="Q23" s="16">
        <f>ROUND(Q22+IF(AND(E23=12,F23&lt;&gt;"ASTM A416"),L23,0),3)</f>
        <v/>
      </c>
      <c r="R23" s="16">
        <f>ROUND(R22+IF(AND(E23=14,F23&lt;&gt;"ASTM A416"),L23,0),3)</f>
        <v/>
      </c>
      <c r="S23" s="16">
        <f>ROUND(S22+IF(AND(E23=16,F23&lt;&gt;"ASTM A416"),L23,0),3)</f>
        <v/>
      </c>
      <c r="T23" s="16">
        <f>ROUND(T22+IF(AND(E23=18,F23&lt;&gt;"ASTM A416"),L23,0),3)</f>
        <v/>
      </c>
      <c r="U23" s="16">
        <f>ROUND(U22+IF(AND(E23=20,F23&lt;&gt;"ASTM A416"),L23,0),3)</f>
        <v/>
      </c>
      <c r="V23" s="16">
        <f>ROUND(V22+IF(AND(E23=22,F23&lt;&gt;"ASTM A416"),L23,0),3)</f>
        <v/>
      </c>
      <c r="W23" s="16">
        <f>ROUND(W22+IF(AND(E23=25,F23&lt;&gt;"ASTM A416"),L23,0),3)</f>
        <v/>
      </c>
      <c r="X23" s="16">
        <f>ROUND(X22+IF(AND(E23=28,F23&lt;&gt;"ASTM A416"),L23,0),3)</f>
        <v/>
      </c>
      <c r="Y23" s="16">
        <f>ROUND(Y22+IF(AND(E23=32,F23&lt;&gt;"ASTM A416"),L23,0),3)</f>
        <v/>
      </c>
      <c r="Z23" s="16">
        <f>ROUND(Z22+IF(F23="ASTM A416",L23,0),3)</f>
        <v/>
      </c>
      <c r="AA23" s="9">
        <f>IF(ROUNDUP(P23/20,0)&gt;ROUNDUP(P22/20,0),"Lần " &amp; ROUNDUP(P23/20,0),"")</f>
        <v/>
      </c>
      <c r="AB23" s="9">
        <f>IF(ROUNDUP(Q23/20,0)&gt;ROUNDUP(Q22/20,0),"Lần " &amp; ROUNDUP(Q23/20,0),"")</f>
        <v/>
      </c>
      <c r="AC23" s="9">
        <f>IF(ROUNDUP(R23/20,0)&gt;ROUNDUP(R22/20,0),"Lần " &amp; ROUNDUP(R23/20,0),"")</f>
        <v/>
      </c>
      <c r="AD23" s="9">
        <f>IF(ROUNDUP(S23/20,0)&gt;ROUNDUP(S22/20,0),"Lần " &amp; ROUNDUP(S23/20,0),"")</f>
        <v/>
      </c>
      <c r="AE23" s="9">
        <f>IF(ROUNDUP(T23/20,0)&gt;ROUNDUP(T22/20,0),"Lần " &amp; ROUNDUP(T23/20,0),"")</f>
        <v/>
      </c>
      <c r="AF23" s="9">
        <f>IF(ROUNDUP(U23/20,0)&gt;ROUNDUP(U22/20,0),"Lần " &amp; ROUNDUP(U23/20,0),"")</f>
        <v/>
      </c>
      <c r="AG23" s="9">
        <f>IF(ROUNDUP(V23/20,0)&gt;ROUNDUP(V22/20,0),"Lần " &amp; ROUNDUP(V23/20,0),"")</f>
        <v/>
      </c>
      <c r="AH23" s="9">
        <f>IF(ROUNDUP(W23/20,0)&gt;ROUNDUP(W22/20,0),"Lần " &amp; ROUNDUP(W23/20,0),"")</f>
        <v/>
      </c>
      <c r="AI23" s="9">
        <f>IF(ROUNDUP(X23/20,0)&gt;ROUNDUP(X22/20,0),"Lần " &amp; ROUNDUP(X23/20,0),"")</f>
        <v/>
      </c>
      <c r="AJ23" s="9">
        <f>IF(ROUNDUP(Y23/20,0)&gt;ROUNDUP(Y22/20,0),"Lần " &amp; ROUNDUP(Y23/20,0),"")</f>
        <v/>
      </c>
      <c r="AK23" s="9">
        <f>IF(ROUNDUP(Z23/20,0)&gt;ROUNDUP(Z22/20,0),"Lần " &amp; ROUNDUP(Z23/20,0),"")</f>
        <v/>
      </c>
      <c r="AL23" s="4" t="n"/>
      <c r="AN23" s="596" t="inlineStr">
        <is>
          <t>Coc</t>
        </is>
      </c>
      <c r="AO23" s="596" t="n">
        <v>5</v>
      </c>
      <c r="AQ23" s="594" t="n"/>
      <c r="AR23" s="595" t="n"/>
    </row>
    <row r="24" ht="19" customHeight="1" s="672">
      <c r="A24" s="4" t="n">
        <v>20</v>
      </c>
      <c r="B24" s="5" t="inlineStr">
        <is>
          <t>Cọc khoan nhồi C8 Trụ T2 (D1.2m, L=30.0m)</t>
        </is>
      </c>
      <c r="C24" s="5" t="inlineStr">
        <is>
          <t>Cọc trụ T2 L=30m (tr.70)</t>
        </is>
      </c>
      <c r="D24" s="14" t="inlineStr">
        <is>
          <t>P1D</t>
        </is>
      </c>
      <c r="E24" s="15" t="n">
        <v>10</v>
      </c>
      <c r="F24" s="4" t="inlineStr">
        <is>
          <t>CB240-T</t>
        </is>
      </c>
      <c r="G24" s="5" t="inlineStr"/>
      <c r="H24" s="16" t="n">
        <v>19.721</v>
      </c>
      <c r="I24" s="17" t="n">
        <v>1</v>
      </c>
      <c r="J24" s="18" t="n">
        <v>0.617</v>
      </c>
      <c r="K24" s="7">
        <f>ROUND(H24*I24*J24, 2)</f>
        <v/>
      </c>
      <c r="L24" s="19">
        <f>ROUND(K24/1000, 3)</f>
        <v/>
      </c>
      <c r="M24" s="728">
        <f>IF(AO24="","",IF(N(INDEX(Theo_Doi_Tan_Suat_Be_Tong!$C:$C,AO24))&lt;=0,"",INDEX(Theo_Doi_Tan_Suat_Be_Tong!$C:$C,AO24)-VLOOKUP(AN24,$AQ$2:$AR$7,2,FALSE)))</f>
        <v/>
      </c>
      <c r="N24" s="4" t="n"/>
      <c r="O24" s="20">
        <f>IF(ROUNDUP(P24/20,0)&gt;ROUNDUP(P23/20,0),"TN Ø10 (Lần " &amp; ROUNDUP(P24/20,0) &amp; ")","")</f>
        <v/>
      </c>
      <c r="P24" s="16">
        <f>ROUND(P23+IF(AND(E24&lt;=10,F24&lt;&gt;"ASTM A416"),L24,0),3)</f>
        <v/>
      </c>
      <c r="Q24" s="16">
        <f>ROUND(Q23+IF(AND(E24=12,F24&lt;&gt;"ASTM A416"),L24,0),3)</f>
        <v/>
      </c>
      <c r="R24" s="16">
        <f>ROUND(R23+IF(AND(E24=14,F24&lt;&gt;"ASTM A416"),L24,0),3)</f>
        <v/>
      </c>
      <c r="S24" s="16">
        <f>ROUND(S23+IF(AND(E24=16,F24&lt;&gt;"ASTM A416"),L24,0),3)</f>
        <v/>
      </c>
      <c r="T24" s="16">
        <f>ROUND(T23+IF(AND(E24=18,F24&lt;&gt;"ASTM A416"),L24,0),3)</f>
        <v/>
      </c>
      <c r="U24" s="16">
        <f>ROUND(U23+IF(AND(E24=20,F24&lt;&gt;"ASTM A416"),L24,0),3)</f>
        <v/>
      </c>
      <c r="V24" s="16">
        <f>ROUND(V23+IF(AND(E24=22,F24&lt;&gt;"ASTM A416"),L24,0),3)</f>
        <v/>
      </c>
      <c r="W24" s="16">
        <f>ROUND(W23+IF(AND(E24=25,F24&lt;&gt;"ASTM A416"),L24,0),3)</f>
        <v/>
      </c>
      <c r="X24" s="16">
        <f>ROUND(X23+IF(AND(E24=28,F24&lt;&gt;"ASTM A416"),L24,0),3)</f>
        <v/>
      </c>
      <c r="Y24" s="16">
        <f>ROUND(Y23+IF(AND(E24=32,F24&lt;&gt;"ASTM A416"),L24,0),3)</f>
        <v/>
      </c>
      <c r="Z24" s="16">
        <f>ROUND(Z23+IF(F24="ASTM A416",L24,0),3)</f>
        <v/>
      </c>
      <c r="AA24" s="9">
        <f>IF(ROUNDUP(P24/20,0)&gt;ROUNDUP(P23/20,0),"Lần " &amp; ROUNDUP(P24/20,0),"")</f>
        <v/>
      </c>
      <c r="AB24" s="9">
        <f>IF(ROUNDUP(Q24/20,0)&gt;ROUNDUP(Q23/20,0),"Lần " &amp; ROUNDUP(Q24/20,0),"")</f>
        <v/>
      </c>
      <c r="AC24" s="9">
        <f>IF(ROUNDUP(R24/20,0)&gt;ROUNDUP(R23/20,0),"Lần " &amp; ROUNDUP(R24/20,0),"")</f>
        <v/>
      </c>
      <c r="AD24" s="9">
        <f>IF(ROUNDUP(S24/20,0)&gt;ROUNDUP(S23/20,0),"Lần " &amp; ROUNDUP(S24/20,0),"")</f>
        <v/>
      </c>
      <c r="AE24" s="9">
        <f>IF(ROUNDUP(T24/20,0)&gt;ROUNDUP(T23/20,0),"Lần " &amp; ROUNDUP(T24/20,0),"")</f>
        <v/>
      </c>
      <c r="AF24" s="9">
        <f>IF(ROUNDUP(U24/20,0)&gt;ROUNDUP(U23/20,0),"Lần " &amp; ROUNDUP(U24/20,0),"")</f>
        <v/>
      </c>
      <c r="AG24" s="9">
        <f>IF(ROUNDUP(V24/20,0)&gt;ROUNDUP(V23/20,0),"Lần " &amp; ROUNDUP(V24/20,0),"")</f>
        <v/>
      </c>
      <c r="AH24" s="9">
        <f>IF(ROUNDUP(W24/20,0)&gt;ROUNDUP(W23/20,0),"Lần " &amp; ROUNDUP(W24/20,0),"")</f>
        <v/>
      </c>
      <c r="AI24" s="9">
        <f>IF(ROUNDUP(X24/20,0)&gt;ROUNDUP(X23/20,0),"Lần " &amp; ROUNDUP(X24/20,0),"")</f>
        <v/>
      </c>
      <c r="AJ24" s="9">
        <f>IF(ROUNDUP(Y24/20,0)&gt;ROUNDUP(Y23/20,0),"Lần " &amp; ROUNDUP(Y24/20,0),"")</f>
        <v/>
      </c>
      <c r="AK24" s="9">
        <f>IF(ROUNDUP(Z24/20,0)&gt;ROUNDUP(Z23/20,0),"Lần " &amp; ROUNDUP(Z24/20,0),"")</f>
        <v/>
      </c>
      <c r="AL24" s="4" t="n"/>
      <c r="AN24" s="596" t="inlineStr">
        <is>
          <t>Coc</t>
        </is>
      </c>
      <c r="AO24" s="596" t="n">
        <v>5</v>
      </c>
      <c r="AQ24" s="594" t="n"/>
      <c r="AR24" s="595" t="n"/>
    </row>
    <row r="25" ht="19" customHeight="1" s="672">
      <c r="A25" s="4" t="n">
        <v>21</v>
      </c>
      <c r="B25" s="5" t="inlineStr">
        <is>
          <t>Cọc khoan nhồi C8 Trụ T2 (D1.2m, L=30.0m)</t>
        </is>
      </c>
      <c r="C25" s="5" t="inlineStr">
        <is>
          <t>Cọc trụ T2 L=30m (tr.70)</t>
        </is>
      </c>
      <c r="D25" s="14" t="inlineStr">
        <is>
          <t>P2B</t>
        </is>
      </c>
      <c r="E25" s="15" t="n">
        <v>25</v>
      </c>
      <c r="F25" s="4" t="inlineStr">
        <is>
          <t>CB400-V</t>
        </is>
      </c>
      <c r="G25" s="5" t="inlineStr"/>
      <c r="H25" s="16" t="n">
        <v>2.985</v>
      </c>
      <c r="I25" s="17" t="n">
        <v>12</v>
      </c>
      <c r="J25" s="18" t="n">
        <v>3.853</v>
      </c>
      <c r="K25" s="7">
        <f>ROUND(H25*I25*J25, 2)</f>
        <v/>
      </c>
      <c r="L25" s="19">
        <f>ROUND(K25/1000, 3)</f>
        <v/>
      </c>
      <c r="M25" s="728">
        <f>IF(AO25="","",IF(N(INDEX(Theo_Doi_Tan_Suat_Be_Tong!$C:$C,AO25))&lt;=0,"",INDEX(Theo_Doi_Tan_Suat_Be_Tong!$C:$C,AO25)-VLOOKUP(AN25,$AQ$2:$AR$7,2,FALSE)))</f>
        <v/>
      </c>
      <c r="N25" s="4" t="n"/>
      <c r="O25" s="20">
        <f>IF(ROUNDUP(W25/20,0)&gt;ROUNDUP(W24/20,0),"TN Ø25 (Lần " &amp; ROUNDUP(W25/20,0) &amp; ")","")</f>
        <v/>
      </c>
      <c r="P25" s="16">
        <f>ROUND(P24+IF(AND(E25&lt;=10,F25&lt;&gt;"ASTM A416"),L25,0),3)</f>
        <v/>
      </c>
      <c r="Q25" s="16">
        <f>ROUND(Q24+IF(AND(E25=12,F25&lt;&gt;"ASTM A416"),L25,0),3)</f>
        <v/>
      </c>
      <c r="R25" s="16">
        <f>ROUND(R24+IF(AND(E25=14,F25&lt;&gt;"ASTM A416"),L25,0),3)</f>
        <v/>
      </c>
      <c r="S25" s="16">
        <f>ROUND(S24+IF(AND(E25=16,F25&lt;&gt;"ASTM A416"),L25,0),3)</f>
        <v/>
      </c>
      <c r="T25" s="16">
        <f>ROUND(T24+IF(AND(E25=18,F25&lt;&gt;"ASTM A416"),L25,0),3)</f>
        <v/>
      </c>
      <c r="U25" s="16">
        <f>ROUND(U24+IF(AND(E25=20,F25&lt;&gt;"ASTM A416"),L25,0),3)</f>
        <v/>
      </c>
      <c r="V25" s="16">
        <f>ROUND(V24+IF(AND(E25=22,F25&lt;&gt;"ASTM A416"),L25,0),3)</f>
        <v/>
      </c>
      <c r="W25" s="16">
        <f>ROUND(W24+IF(AND(E25=25,F25&lt;&gt;"ASTM A416"),L25,0),3)</f>
        <v/>
      </c>
      <c r="X25" s="16">
        <f>ROUND(X24+IF(AND(E25=28,F25&lt;&gt;"ASTM A416"),L25,0),3)</f>
        <v/>
      </c>
      <c r="Y25" s="16">
        <f>ROUND(Y24+IF(AND(E25=32,F25&lt;&gt;"ASTM A416"),L25,0),3)</f>
        <v/>
      </c>
      <c r="Z25" s="16">
        <f>ROUND(Z24+IF(F25="ASTM A416",L25,0),3)</f>
        <v/>
      </c>
      <c r="AA25" s="9">
        <f>IF(ROUNDUP(P25/20,0)&gt;ROUNDUP(P24/20,0),"Lần " &amp; ROUNDUP(P25/20,0),"")</f>
        <v/>
      </c>
      <c r="AB25" s="9">
        <f>IF(ROUNDUP(Q25/20,0)&gt;ROUNDUP(Q24/20,0),"Lần " &amp; ROUNDUP(Q25/20,0),"")</f>
        <v/>
      </c>
      <c r="AC25" s="9">
        <f>IF(ROUNDUP(R25/20,0)&gt;ROUNDUP(R24/20,0),"Lần " &amp; ROUNDUP(R25/20,0),"")</f>
        <v/>
      </c>
      <c r="AD25" s="9">
        <f>IF(ROUNDUP(S25/20,0)&gt;ROUNDUP(S24/20,0),"Lần " &amp; ROUNDUP(S25/20,0),"")</f>
        <v/>
      </c>
      <c r="AE25" s="9">
        <f>IF(ROUNDUP(T25/20,0)&gt;ROUNDUP(T24/20,0),"Lần " &amp; ROUNDUP(T25/20,0),"")</f>
        <v/>
      </c>
      <c r="AF25" s="9">
        <f>IF(ROUNDUP(U25/20,0)&gt;ROUNDUP(U24/20,0),"Lần " &amp; ROUNDUP(U25/20,0),"")</f>
        <v/>
      </c>
      <c r="AG25" s="9">
        <f>IF(ROUNDUP(V25/20,0)&gt;ROUNDUP(V24/20,0),"Lần " &amp; ROUNDUP(V25/20,0),"")</f>
        <v/>
      </c>
      <c r="AH25" s="9">
        <f>IF(ROUNDUP(W25/20,0)&gt;ROUNDUP(W24/20,0),"Lần " &amp; ROUNDUP(W25/20,0),"")</f>
        <v/>
      </c>
      <c r="AI25" s="9">
        <f>IF(ROUNDUP(X25/20,0)&gt;ROUNDUP(X24/20,0),"Lần " &amp; ROUNDUP(X25/20,0),"")</f>
        <v/>
      </c>
      <c r="AJ25" s="9">
        <f>IF(ROUNDUP(Y25/20,0)&gt;ROUNDUP(Y24/20,0),"Lần " &amp; ROUNDUP(Y25/20,0),"")</f>
        <v/>
      </c>
      <c r="AK25" s="9">
        <f>IF(ROUNDUP(Z25/20,0)&gt;ROUNDUP(Z24/20,0),"Lần " &amp; ROUNDUP(Z25/20,0),"")</f>
        <v/>
      </c>
      <c r="AL25" s="4" t="n"/>
      <c r="AN25" s="596" t="inlineStr">
        <is>
          <t>Coc</t>
        </is>
      </c>
      <c r="AO25" s="596" t="n">
        <v>5</v>
      </c>
      <c r="AQ25" s="594" t="n"/>
      <c r="AR25" s="595" t="n"/>
    </row>
    <row r="26" ht="19" customHeight="1" s="672">
      <c r="A26" s="4" t="n">
        <v>22</v>
      </c>
      <c r="B26" s="5" t="inlineStr">
        <is>
          <t>Cọc khoan nhồi C8 Trụ T2 (D1.2m, L=30.0m)</t>
        </is>
      </c>
      <c r="C26" s="5" t="inlineStr">
        <is>
          <t>Cọc trụ T2 L=30m (tr.70)</t>
        </is>
      </c>
      <c r="D26" s="14" t="inlineStr">
        <is>
          <t>P3</t>
        </is>
      </c>
      <c r="E26" s="15" t="n">
        <v>25</v>
      </c>
      <c r="F26" s="4" t="inlineStr">
        <is>
          <t>CB400-V</t>
        </is>
      </c>
      <c r="G26" s="5" t="inlineStr"/>
      <c r="H26" s="16" t="n">
        <v>10.7</v>
      </c>
      <c r="I26" s="17" t="n">
        <v>12</v>
      </c>
      <c r="J26" s="18" t="n">
        <v>3.853</v>
      </c>
      <c r="K26" s="7">
        <f>ROUND(H26*I26*J26, 2)</f>
        <v/>
      </c>
      <c r="L26" s="19">
        <f>ROUND(K26/1000, 3)</f>
        <v/>
      </c>
      <c r="M26" s="728">
        <f>IF(AO26="","",IF(N(INDEX(Theo_Doi_Tan_Suat_Be_Tong!$C:$C,AO26))&lt;=0,"",INDEX(Theo_Doi_Tan_Suat_Be_Tong!$C:$C,AO26)-VLOOKUP(AN26,$AQ$2:$AR$7,2,FALSE)))</f>
        <v/>
      </c>
      <c r="N26" s="4" t="n"/>
      <c r="O26" s="20">
        <f>IF(ROUNDUP(W26/20,0)&gt;ROUNDUP(W25/20,0),"TN Ø25 (Lần " &amp; ROUNDUP(W26/20,0) &amp; ")","")</f>
        <v/>
      </c>
      <c r="P26" s="16">
        <f>ROUND(P25+IF(AND(E26&lt;=10,F26&lt;&gt;"ASTM A416"),L26,0),3)</f>
        <v/>
      </c>
      <c r="Q26" s="16">
        <f>ROUND(Q25+IF(AND(E26=12,F26&lt;&gt;"ASTM A416"),L26,0),3)</f>
        <v/>
      </c>
      <c r="R26" s="16">
        <f>ROUND(R25+IF(AND(E26=14,F26&lt;&gt;"ASTM A416"),L26,0),3)</f>
        <v/>
      </c>
      <c r="S26" s="16">
        <f>ROUND(S25+IF(AND(E26=16,F26&lt;&gt;"ASTM A416"),L26,0),3)</f>
        <v/>
      </c>
      <c r="T26" s="16">
        <f>ROUND(T25+IF(AND(E26=18,F26&lt;&gt;"ASTM A416"),L26,0),3)</f>
        <v/>
      </c>
      <c r="U26" s="16">
        <f>ROUND(U25+IF(AND(E26=20,F26&lt;&gt;"ASTM A416"),L26,0),3)</f>
        <v/>
      </c>
      <c r="V26" s="16">
        <f>ROUND(V25+IF(AND(E26=22,F26&lt;&gt;"ASTM A416"),L26,0),3)</f>
        <v/>
      </c>
      <c r="W26" s="16">
        <f>ROUND(W25+IF(AND(E26=25,F26&lt;&gt;"ASTM A416"),L26,0),3)</f>
        <v/>
      </c>
      <c r="X26" s="16">
        <f>ROUND(X25+IF(AND(E26=28,F26&lt;&gt;"ASTM A416"),L26,0),3)</f>
        <v/>
      </c>
      <c r="Y26" s="16">
        <f>ROUND(Y25+IF(AND(E26=32,F26&lt;&gt;"ASTM A416"),L26,0),3)</f>
        <v/>
      </c>
      <c r="Z26" s="16">
        <f>ROUND(Z25+IF(F26="ASTM A416",L26,0),3)</f>
        <v/>
      </c>
      <c r="AA26" s="9">
        <f>IF(ROUNDUP(P26/20,0)&gt;ROUNDUP(P25/20,0),"Lần " &amp; ROUNDUP(P26/20,0),"")</f>
        <v/>
      </c>
      <c r="AB26" s="9">
        <f>IF(ROUNDUP(Q26/20,0)&gt;ROUNDUP(Q25/20,0),"Lần " &amp; ROUNDUP(Q26/20,0),"")</f>
        <v/>
      </c>
      <c r="AC26" s="9">
        <f>IF(ROUNDUP(R26/20,0)&gt;ROUNDUP(R25/20,0),"Lần " &amp; ROUNDUP(R26/20,0),"")</f>
        <v/>
      </c>
      <c r="AD26" s="9">
        <f>IF(ROUNDUP(S26/20,0)&gt;ROUNDUP(S25/20,0),"Lần " &amp; ROUNDUP(S26/20,0),"")</f>
        <v/>
      </c>
      <c r="AE26" s="9">
        <f>IF(ROUNDUP(T26/20,0)&gt;ROUNDUP(T25/20,0),"Lần " &amp; ROUNDUP(T26/20,0),"")</f>
        <v/>
      </c>
      <c r="AF26" s="9">
        <f>IF(ROUNDUP(U26/20,0)&gt;ROUNDUP(U25/20,0),"Lần " &amp; ROUNDUP(U26/20,0),"")</f>
        <v/>
      </c>
      <c r="AG26" s="9">
        <f>IF(ROUNDUP(V26/20,0)&gt;ROUNDUP(V25/20,0),"Lần " &amp; ROUNDUP(V26/20,0),"")</f>
        <v/>
      </c>
      <c r="AH26" s="9">
        <f>IF(ROUNDUP(W26/20,0)&gt;ROUNDUP(W25/20,0),"Lần " &amp; ROUNDUP(W26/20,0),"")</f>
        <v/>
      </c>
      <c r="AI26" s="9">
        <f>IF(ROUNDUP(X26/20,0)&gt;ROUNDUP(X25/20,0),"Lần " &amp; ROUNDUP(X26/20,0),"")</f>
        <v/>
      </c>
      <c r="AJ26" s="9">
        <f>IF(ROUNDUP(Y26/20,0)&gt;ROUNDUP(Y25/20,0),"Lần " &amp; ROUNDUP(Y26/20,0),"")</f>
        <v/>
      </c>
      <c r="AK26" s="9">
        <f>IF(ROUNDUP(Z26/20,0)&gt;ROUNDUP(Z25/20,0),"Lần " &amp; ROUNDUP(Z26/20,0),"")</f>
        <v/>
      </c>
      <c r="AL26" s="4" t="n"/>
      <c r="AN26" s="596" t="inlineStr">
        <is>
          <t>Coc</t>
        </is>
      </c>
      <c r="AO26" s="596" t="n">
        <v>5</v>
      </c>
      <c r="AQ26" s="594" t="n"/>
      <c r="AR26" s="595" t="n"/>
    </row>
    <row r="27" ht="19" customHeight="1" s="672">
      <c r="A27" s="4" t="n">
        <v>23</v>
      </c>
      <c r="B27" s="5" t="inlineStr">
        <is>
          <t>Cọc khoan nhồi C8 Trụ T2 (D1.2m, L=30.0m)</t>
        </is>
      </c>
      <c r="C27" s="5" t="inlineStr">
        <is>
          <t>Cọc trụ T2 L=30m (tr.70)</t>
        </is>
      </c>
      <c r="D27" s="14" t="inlineStr">
        <is>
          <t>P4</t>
        </is>
      </c>
      <c r="E27" s="15" t="n">
        <v>25</v>
      </c>
      <c r="F27" s="4" t="inlineStr">
        <is>
          <t>CB400-V</t>
        </is>
      </c>
      <c r="G27" s="5" t="inlineStr"/>
      <c r="H27" s="16" t="n">
        <v>11.7</v>
      </c>
      <c r="I27" s="17" t="n">
        <v>36</v>
      </c>
      <c r="J27" s="18" t="n">
        <v>3.853</v>
      </c>
      <c r="K27" s="7">
        <f>ROUND(H27*I27*J27, 2)</f>
        <v/>
      </c>
      <c r="L27" s="19">
        <f>ROUND(K27/1000, 3)</f>
        <v/>
      </c>
      <c r="M27" s="728">
        <f>IF(AO27="","",IF(N(INDEX(Theo_Doi_Tan_Suat_Be_Tong!$C:$C,AO27))&lt;=0,"",INDEX(Theo_Doi_Tan_Suat_Be_Tong!$C:$C,AO27)-VLOOKUP(AN27,$AQ$2:$AR$7,2,FALSE)))</f>
        <v/>
      </c>
      <c r="N27" s="4" t="n"/>
      <c r="O27" s="20">
        <f>IF(ROUNDUP(W27/20,0)&gt;ROUNDUP(W26/20,0),"TN Ø25 (Lần " &amp; ROUNDUP(W27/20,0) &amp; ")","")</f>
        <v/>
      </c>
      <c r="P27" s="16">
        <f>ROUND(P26+IF(AND(E27&lt;=10,F27&lt;&gt;"ASTM A416"),L27,0),3)</f>
        <v/>
      </c>
      <c r="Q27" s="16">
        <f>ROUND(Q26+IF(AND(E27=12,F27&lt;&gt;"ASTM A416"),L27,0),3)</f>
        <v/>
      </c>
      <c r="R27" s="16">
        <f>ROUND(R26+IF(AND(E27=14,F27&lt;&gt;"ASTM A416"),L27,0),3)</f>
        <v/>
      </c>
      <c r="S27" s="16">
        <f>ROUND(S26+IF(AND(E27=16,F27&lt;&gt;"ASTM A416"),L27,0),3)</f>
        <v/>
      </c>
      <c r="T27" s="16">
        <f>ROUND(T26+IF(AND(E27=18,F27&lt;&gt;"ASTM A416"),L27,0),3)</f>
        <v/>
      </c>
      <c r="U27" s="16">
        <f>ROUND(U26+IF(AND(E27=20,F27&lt;&gt;"ASTM A416"),L27,0),3)</f>
        <v/>
      </c>
      <c r="V27" s="16">
        <f>ROUND(V26+IF(AND(E27=22,F27&lt;&gt;"ASTM A416"),L27,0),3)</f>
        <v/>
      </c>
      <c r="W27" s="16">
        <f>ROUND(W26+IF(AND(E27=25,F27&lt;&gt;"ASTM A416"),L27,0),3)</f>
        <v/>
      </c>
      <c r="X27" s="16">
        <f>ROUND(X26+IF(AND(E27=28,F27&lt;&gt;"ASTM A416"),L27,0),3)</f>
        <v/>
      </c>
      <c r="Y27" s="16">
        <f>ROUND(Y26+IF(AND(E27=32,F27&lt;&gt;"ASTM A416"),L27,0),3)</f>
        <v/>
      </c>
      <c r="Z27" s="16">
        <f>ROUND(Z26+IF(F27="ASTM A416",L27,0),3)</f>
        <v/>
      </c>
      <c r="AA27" s="9">
        <f>IF(ROUNDUP(P27/20,0)&gt;ROUNDUP(P26/20,0),"Lần " &amp; ROUNDUP(P27/20,0),"")</f>
        <v/>
      </c>
      <c r="AB27" s="9">
        <f>IF(ROUNDUP(Q27/20,0)&gt;ROUNDUP(Q26/20,0),"Lần " &amp; ROUNDUP(Q27/20,0),"")</f>
        <v/>
      </c>
      <c r="AC27" s="9">
        <f>IF(ROUNDUP(R27/20,0)&gt;ROUNDUP(R26/20,0),"Lần " &amp; ROUNDUP(R27/20,0),"")</f>
        <v/>
      </c>
      <c r="AD27" s="9">
        <f>IF(ROUNDUP(S27/20,0)&gt;ROUNDUP(S26/20,0),"Lần " &amp; ROUNDUP(S27/20,0),"")</f>
        <v/>
      </c>
      <c r="AE27" s="9">
        <f>IF(ROUNDUP(T27/20,0)&gt;ROUNDUP(T26/20,0),"Lần " &amp; ROUNDUP(T27/20,0),"")</f>
        <v/>
      </c>
      <c r="AF27" s="9">
        <f>IF(ROUNDUP(U27/20,0)&gt;ROUNDUP(U26/20,0),"Lần " &amp; ROUNDUP(U27/20,0),"")</f>
        <v/>
      </c>
      <c r="AG27" s="9">
        <f>IF(ROUNDUP(V27/20,0)&gt;ROUNDUP(V26/20,0),"Lần " &amp; ROUNDUP(V27/20,0),"")</f>
        <v/>
      </c>
      <c r="AH27" s="9">
        <f>IF(ROUNDUP(W27/20,0)&gt;ROUNDUP(W26/20,0),"Lần " &amp; ROUNDUP(W27/20,0),"")</f>
        <v/>
      </c>
      <c r="AI27" s="9">
        <f>IF(ROUNDUP(X27/20,0)&gt;ROUNDUP(X26/20,0),"Lần " &amp; ROUNDUP(X27/20,0),"")</f>
        <v/>
      </c>
      <c r="AJ27" s="9">
        <f>IF(ROUNDUP(Y27/20,0)&gt;ROUNDUP(Y26/20,0),"Lần " &amp; ROUNDUP(Y27/20,0),"")</f>
        <v/>
      </c>
      <c r="AK27" s="9">
        <f>IF(ROUNDUP(Z27/20,0)&gt;ROUNDUP(Z26/20,0),"Lần " &amp; ROUNDUP(Z27/20,0),"")</f>
        <v/>
      </c>
      <c r="AL27" s="4" t="n"/>
      <c r="AN27" s="596" t="inlineStr">
        <is>
          <t>Coc</t>
        </is>
      </c>
      <c r="AO27" s="596" t="n">
        <v>5</v>
      </c>
      <c r="AQ27" s="594" t="n"/>
      <c r="AR27" s="595" t="n"/>
    </row>
    <row r="28" ht="19" customHeight="1" s="672">
      <c r="A28" s="4" t="n">
        <v>24</v>
      </c>
      <c r="B28" s="5" t="inlineStr">
        <is>
          <t>Cọc khoan nhồi C8 Trụ T2 (D1.2m, L=30.0m)</t>
        </is>
      </c>
      <c r="C28" s="5" t="inlineStr">
        <is>
          <t>Cọc trụ T2 L=30m (tr.70)</t>
        </is>
      </c>
      <c r="D28" s="14" t="inlineStr">
        <is>
          <t>P6</t>
        </is>
      </c>
      <c r="E28" s="15" t="n">
        <v>25</v>
      </c>
      <c r="F28" s="4" t="inlineStr">
        <is>
          <t>CB400-V</t>
        </is>
      </c>
      <c r="G28" s="5" t="inlineStr"/>
      <c r="H28" s="16" t="n">
        <v>9.733000000000001</v>
      </c>
      <c r="I28" s="17" t="n">
        <v>12</v>
      </c>
      <c r="J28" s="18" t="n">
        <v>3.853</v>
      </c>
      <c r="K28" s="7">
        <f>ROUND(H28*I28*J28, 2)</f>
        <v/>
      </c>
      <c r="L28" s="19">
        <f>ROUND(K28/1000, 3)</f>
        <v/>
      </c>
      <c r="M28" s="728">
        <f>IF(AO28="","",IF(N(INDEX(Theo_Doi_Tan_Suat_Be_Tong!$C:$C,AO28))&lt;=0,"",INDEX(Theo_Doi_Tan_Suat_Be_Tong!$C:$C,AO28)-VLOOKUP(AN28,$AQ$2:$AR$7,2,FALSE)))</f>
        <v/>
      </c>
      <c r="N28" s="4" t="n"/>
      <c r="O28" s="20">
        <f>IF(ROUNDUP(W28/20,0)&gt;ROUNDUP(W27/20,0),"TN Ø25 (Lần " &amp; ROUNDUP(W28/20,0) &amp; ")","")</f>
        <v/>
      </c>
      <c r="P28" s="16">
        <f>ROUND(P27+IF(AND(E28&lt;=10,F28&lt;&gt;"ASTM A416"),L28,0),3)</f>
        <v/>
      </c>
      <c r="Q28" s="16">
        <f>ROUND(Q27+IF(AND(E28=12,F28&lt;&gt;"ASTM A416"),L28,0),3)</f>
        <v/>
      </c>
      <c r="R28" s="16">
        <f>ROUND(R27+IF(AND(E28=14,F28&lt;&gt;"ASTM A416"),L28,0),3)</f>
        <v/>
      </c>
      <c r="S28" s="16">
        <f>ROUND(S27+IF(AND(E28=16,F28&lt;&gt;"ASTM A416"),L28,0),3)</f>
        <v/>
      </c>
      <c r="T28" s="16">
        <f>ROUND(T27+IF(AND(E28=18,F28&lt;&gt;"ASTM A416"),L28,0),3)</f>
        <v/>
      </c>
      <c r="U28" s="16">
        <f>ROUND(U27+IF(AND(E28=20,F28&lt;&gt;"ASTM A416"),L28,0),3)</f>
        <v/>
      </c>
      <c r="V28" s="16">
        <f>ROUND(V27+IF(AND(E28=22,F28&lt;&gt;"ASTM A416"),L28,0),3)</f>
        <v/>
      </c>
      <c r="W28" s="16">
        <f>ROUND(W27+IF(AND(E28=25,F28&lt;&gt;"ASTM A416"),L28,0),3)</f>
        <v/>
      </c>
      <c r="X28" s="16">
        <f>ROUND(X27+IF(AND(E28=28,F28&lt;&gt;"ASTM A416"),L28,0),3)</f>
        <v/>
      </c>
      <c r="Y28" s="16">
        <f>ROUND(Y27+IF(AND(E28=32,F28&lt;&gt;"ASTM A416"),L28,0),3)</f>
        <v/>
      </c>
      <c r="Z28" s="16">
        <f>ROUND(Z27+IF(F28="ASTM A416",L28,0),3)</f>
        <v/>
      </c>
      <c r="AA28" s="9">
        <f>IF(ROUNDUP(P28/20,0)&gt;ROUNDUP(P27/20,0),"Lần " &amp; ROUNDUP(P28/20,0),"")</f>
        <v/>
      </c>
      <c r="AB28" s="9">
        <f>IF(ROUNDUP(Q28/20,0)&gt;ROUNDUP(Q27/20,0),"Lần " &amp; ROUNDUP(Q28/20,0),"")</f>
        <v/>
      </c>
      <c r="AC28" s="9">
        <f>IF(ROUNDUP(R28/20,0)&gt;ROUNDUP(R27/20,0),"Lần " &amp; ROUNDUP(R28/20,0),"")</f>
        <v/>
      </c>
      <c r="AD28" s="9">
        <f>IF(ROUNDUP(S28/20,0)&gt;ROUNDUP(S27/20,0),"Lần " &amp; ROUNDUP(S28/20,0),"")</f>
        <v/>
      </c>
      <c r="AE28" s="9">
        <f>IF(ROUNDUP(T28/20,0)&gt;ROUNDUP(T27/20,0),"Lần " &amp; ROUNDUP(T28/20,0),"")</f>
        <v/>
      </c>
      <c r="AF28" s="9">
        <f>IF(ROUNDUP(U28/20,0)&gt;ROUNDUP(U27/20,0),"Lần " &amp; ROUNDUP(U28/20,0),"")</f>
        <v/>
      </c>
      <c r="AG28" s="9">
        <f>IF(ROUNDUP(V28/20,0)&gt;ROUNDUP(V27/20,0),"Lần " &amp; ROUNDUP(V28/20,0),"")</f>
        <v/>
      </c>
      <c r="AH28" s="9">
        <f>IF(ROUNDUP(W28/20,0)&gt;ROUNDUP(W27/20,0),"Lần " &amp; ROUNDUP(W28/20,0),"")</f>
        <v/>
      </c>
      <c r="AI28" s="9">
        <f>IF(ROUNDUP(X28/20,0)&gt;ROUNDUP(X27/20,0),"Lần " &amp; ROUNDUP(X28/20,0),"")</f>
        <v/>
      </c>
      <c r="AJ28" s="9">
        <f>IF(ROUNDUP(Y28/20,0)&gt;ROUNDUP(Y27/20,0),"Lần " &amp; ROUNDUP(Y28/20,0),"")</f>
        <v/>
      </c>
      <c r="AK28" s="9">
        <f>IF(ROUNDUP(Z28/20,0)&gt;ROUNDUP(Z27/20,0),"Lần " &amp; ROUNDUP(Z28/20,0),"")</f>
        <v/>
      </c>
      <c r="AL28" s="4" t="n"/>
      <c r="AN28" s="596" t="inlineStr">
        <is>
          <t>Coc</t>
        </is>
      </c>
      <c r="AO28" s="596" t="n">
        <v>5</v>
      </c>
      <c r="AQ28" s="594" t="n"/>
      <c r="AR28" s="595" t="n"/>
    </row>
    <row r="29" ht="19" customHeight="1" s="672">
      <c r="A29" s="4" t="n">
        <v>25</v>
      </c>
      <c r="B29" s="5" t="inlineStr">
        <is>
          <t>Cọc khoan nhồi C8 Trụ T2 (D1.2m, L=30.0m)</t>
        </is>
      </c>
      <c r="C29" s="5" t="inlineStr">
        <is>
          <t>Cọc trụ T2 L=30m (tr.70)</t>
        </is>
      </c>
      <c r="D29" s="14" t="inlineStr">
        <is>
          <t>P7</t>
        </is>
      </c>
      <c r="E29" s="15" t="n">
        <v>25</v>
      </c>
      <c r="F29" s="4" t="inlineStr">
        <is>
          <t>CB400-V</t>
        </is>
      </c>
      <c r="G29" s="5" t="inlineStr"/>
      <c r="H29" s="16" t="n">
        <v>10.733</v>
      </c>
      <c r="I29" s="17" t="n">
        <v>12</v>
      </c>
      <c r="J29" s="18" t="n">
        <v>3.853</v>
      </c>
      <c r="K29" s="7">
        <f>ROUND(H29*I29*J29, 2)</f>
        <v/>
      </c>
      <c r="L29" s="19">
        <f>ROUND(K29/1000, 3)</f>
        <v/>
      </c>
      <c r="M29" s="728">
        <f>IF(AO29="","",IF(N(INDEX(Theo_Doi_Tan_Suat_Be_Tong!$C:$C,AO29))&lt;=0,"",INDEX(Theo_Doi_Tan_Suat_Be_Tong!$C:$C,AO29)-VLOOKUP(AN29,$AQ$2:$AR$7,2,FALSE)))</f>
        <v/>
      </c>
      <c r="N29" s="4" t="n"/>
      <c r="O29" s="20">
        <f>IF(ROUNDUP(W29/20,0)&gt;ROUNDUP(W28/20,0),"TN Ø25 (Lần " &amp; ROUNDUP(W29/20,0) &amp; ")","")</f>
        <v/>
      </c>
      <c r="P29" s="16">
        <f>ROUND(P28+IF(AND(E29&lt;=10,F29&lt;&gt;"ASTM A416"),L29,0),3)</f>
        <v/>
      </c>
      <c r="Q29" s="16">
        <f>ROUND(Q28+IF(AND(E29=12,F29&lt;&gt;"ASTM A416"),L29,0),3)</f>
        <v/>
      </c>
      <c r="R29" s="16">
        <f>ROUND(R28+IF(AND(E29=14,F29&lt;&gt;"ASTM A416"),L29,0),3)</f>
        <v/>
      </c>
      <c r="S29" s="16">
        <f>ROUND(S28+IF(AND(E29=16,F29&lt;&gt;"ASTM A416"),L29,0),3)</f>
        <v/>
      </c>
      <c r="T29" s="16">
        <f>ROUND(T28+IF(AND(E29=18,F29&lt;&gt;"ASTM A416"),L29,0),3)</f>
        <v/>
      </c>
      <c r="U29" s="16">
        <f>ROUND(U28+IF(AND(E29=20,F29&lt;&gt;"ASTM A416"),L29,0),3)</f>
        <v/>
      </c>
      <c r="V29" s="16">
        <f>ROUND(V28+IF(AND(E29=22,F29&lt;&gt;"ASTM A416"),L29,0),3)</f>
        <v/>
      </c>
      <c r="W29" s="16">
        <f>ROUND(W28+IF(AND(E29=25,F29&lt;&gt;"ASTM A416"),L29,0),3)</f>
        <v/>
      </c>
      <c r="X29" s="16">
        <f>ROUND(X28+IF(AND(E29=28,F29&lt;&gt;"ASTM A416"),L29,0),3)</f>
        <v/>
      </c>
      <c r="Y29" s="16">
        <f>ROUND(Y28+IF(AND(E29=32,F29&lt;&gt;"ASTM A416"),L29,0),3)</f>
        <v/>
      </c>
      <c r="Z29" s="16">
        <f>ROUND(Z28+IF(F29="ASTM A416",L29,0),3)</f>
        <v/>
      </c>
      <c r="AA29" s="9">
        <f>IF(ROUNDUP(P29/20,0)&gt;ROUNDUP(P28/20,0),"Lần " &amp; ROUNDUP(P29/20,0),"")</f>
        <v/>
      </c>
      <c r="AB29" s="9">
        <f>IF(ROUNDUP(Q29/20,0)&gt;ROUNDUP(Q28/20,0),"Lần " &amp; ROUNDUP(Q29/20,0),"")</f>
        <v/>
      </c>
      <c r="AC29" s="9">
        <f>IF(ROUNDUP(R29/20,0)&gt;ROUNDUP(R28/20,0),"Lần " &amp; ROUNDUP(R29/20,0),"")</f>
        <v/>
      </c>
      <c r="AD29" s="9">
        <f>IF(ROUNDUP(S29/20,0)&gt;ROUNDUP(S28/20,0),"Lần " &amp; ROUNDUP(S29/20,0),"")</f>
        <v/>
      </c>
      <c r="AE29" s="9">
        <f>IF(ROUNDUP(T29/20,0)&gt;ROUNDUP(T28/20,0),"Lần " &amp; ROUNDUP(T29/20,0),"")</f>
        <v/>
      </c>
      <c r="AF29" s="9">
        <f>IF(ROUNDUP(U29/20,0)&gt;ROUNDUP(U28/20,0),"Lần " &amp; ROUNDUP(U29/20,0),"")</f>
        <v/>
      </c>
      <c r="AG29" s="9">
        <f>IF(ROUNDUP(V29/20,0)&gt;ROUNDUP(V28/20,0),"Lần " &amp; ROUNDUP(V29/20,0),"")</f>
        <v/>
      </c>
      <c r="AH29" s="9">
        <f>IF(ROUNDUP(W29/20,0)&gt;ROUNDUP(W28/20,0),"Lần " &amp; ROUNDUP(W29/20,0),"")</f>
        <v/>
      </c>
      <c r="AI29" s="9">
        <f>IF(ROUNDUP(X29/20,0)&gt;ROUNDUP(X28/20,0),"Lần " &amp; ROUNDUP(X29/20,0),"")</f>
        <v/>
      </c>
      <c r="AJ29" s="9">
        <f>IF(ROUNDUP(Y29/20,0)&gt;ROUNDUP(Y28/20,0),"Lần " &amp; ROUNDUP(Y29/20,0),"")</f>
        <v/>
      </c>
      <c r="AK29" s="9">
        <f>IF(ROUNDUP(Z29/20,0)&gt;ROUNDUP(Z28/20,0),"Lần " &amp; ROUNDUP(Z29/20,0),"")</f>
        <v/>
      </c>
      <c r="AL29" s="4" t="n"/>
      <c r="AN29" s="596" t="inlineStr">
        <is>
          <t>Coc</t>
        </is>
      </c>
      <c r="AO29" s="596" t="n">
        <v>5</v>
      </c>
      <c r="AQ29" s="594" t="n"/>
      <c r="AR29" s="595" t="n"/>
    </row>
    <row r="30" ht="19" customHeight="1" s="672">
      <c r="A30" s="4" t="n">
        <v>26</v>
      </c>
      <c r="B30" s="5" t="inlineStr">
        <is>
          <t>Cọc khoan nhồi C8 Trụ T2 (D1.2m, L=30.0m)</t>
        </is>
      </c>
      <c r="C30" s="5" t="inlineStr">
        <is>
          <t>Cọc trụ T2 L=30m (tr.70)</t>
        </is>
      </c>
      <c r="D30" s="14" t="inlineStr">
        <is>
          <t>P8</t>
        </is>
      </c>
      <c r="E30" s="15" t="n">
        <v>12</v>
      </c>
      <c r="F30" s="4" t="inlineStr">
        <is>
          <t>CB400-V</t>
        </is>
      </c>
      <c r="G30" s="5" t="inlineStr"/>
      <c r="H30" s="16" t="n">
        <v>0.647</v>
      </c>
      <c r="I30" s="17" t="n">
        <v>12</v>
      </c>
      <c r="J30" s="18" t="n">
        <v>0.888</v>
      </c>
      <c r="K30" s="7">
        <f>ROUND(H30*I30*J30, 2)</f>
        <v/>
      </c>
      <c r="L30" s="19">
        <f>ROUND(K30/1000, 3)</f>
        <v/>
      </c>
      <c r="M30" s="728">
        <f>IF(AO30="","",IF(N(INDEX(Theo_Doi_Tan_Suat_Be_Tong!$C:$C,AO30))&lt;=0,"",INDEX(Theo_Doi_Tan_Suat_Be_Tong!$C:$C,AO30)-VLOOKUP(AN30,$AQ$2:$AR$7,2,FALSE)))</f>
        <v/>
      </c>
      <c r="N30" s="4" t="n"/>
      <c r="O30" s="20">
        <f>IF(ROUNDUP(Q30/20,0)&gt;ROUNDUP(Q29/20,0),"TN Ø12 (Lần " &amp; ROUNDUP(Q30/20,0) &amp; ")","")</f>
        <v/>
      </c>
      <c r="P30" s="16">
        <f>ROUND(P29+IF(AND(E30&lt;=10,F30&lt;&gt;"ASTM A416"),L30,0),3)</f>
        <v/>
      </c>
      <c r="Q30" s="16">
        <f>ROUND(Q29+IF(AND(E30=12,F30&lt;&gt;"ASTM A416"),L30,0),3)</f>
        <v/>
      </c>
      <c r="R30" s="16">
        <f>ROUND(R29+IF(AND(E30=14,F30&lt;&gt;"ASTM A416"),L30,0),3)</f>
        <v/>
      </c>
      <c r="S30" s="16">
        <f>ROUND(S29+IF(AND(E30=16,F30&lt;&gt;"ASTM A416"),L30,0),3)</f>
        <v/>
      </c>
      <c r="T30" s="16">
        <f>ROUND(T29+IF(AND(E30=18,F30&lt;&gt;"ASTM A416"),L30,0),3)</f>
        <v/>
      </c>
      <c r="U30" s="16">
        <f>ROUND(U29+IF(AND(E30=20,F30&lt;&gt;"ASTM A416"),L30,0),3)</f>
        <v/>
      </c>
      <c r="V30" s="16">
        <f>ROUND(V29+IF(AND(E30=22,F30&lt;&gt;"ASTM A416"),L30,0),3)</f>
        <v/>
      </c>
      <c r="W30" s="16">
        <f>ROUND(W29+IF(AND(E30=25,F30&lt;&gt;"ASTM A416"),L30,0),3)</f>
        <v/>
      </c>
      <c r="X30" s="16">
        <f>ROUND(X29+IF(AND(E30=28,F30&lt;&gt;"ASTM A416"),L30,0),3)</f>
        <v/>
      </c>
      <c r="Y30" s="16">
        <f>ROUND(Y29+IF(AND(E30=32,F30&lt;&gt;"ASTM A416"),L30,0),3)</f>
        <v/>
      </c>
      <c r="Z30" s="16">
        <f>ROUND(Z29+IF(F30="ASTM A416",L30,0),3)</f>
        <v/>
      </c>
      <c r="AA30" s="9">
        <f>IF(ROUNDUP(P30/20,0)&gt;ROUNDUP(P29/20,0),"Lần " &amp; ROUNDUP(P30/20,0),"")</f>
        <v/>
      </c>
      <c r="AB30" s="9">
        <f>IF(ROUNDUP(Q30/20,0)&gt;ROUNDUP(Q29/20,0),"Lần " &amp; ROUNDUP(Q30/20,0),"")</f>
        <v/>
      </c>
      <c r="AC30" s="9">
        <f>IF(ROUNDUP(R30/20,0)&gt;ROUNDUP(R29/20,0),"Lần " &amp; ROUNDUP(R30/20,0),"")</f>
        <v/>
      </c>
      <c r="AD30" s="9">
        <f>IF(ROUNDUP(S30/20,0)&gt;ROUNDUP(S29/20,0),"Lần " &amp; ROUNDUP(S30/20,0),"")</f>
        <v/>
      </c>
      <c r="AE30" s="9">
        <f>IF(ROUNDUP(T30/20,0)&gt;ROUNDUP(T29/20,0),"Lần " &amp; ROUNDUP(T30/20,0),"")</f>
        <v/>
      </c>
      <c r="AF30" s="9">
        <f>IF(ROUNDUP(U30/20,0)&gt;ROUNDUP(U29/20,0),"Lần " &amp; ROUNDUP(U30/20,0),"")</f>
        <v/>
      </c>
      <c r="AG30" s="9">
        <f>IF(ROUNDUP(V30/20,0)&gt;ROUNDUP(V29/20,0),"Lần " &amp; ROUNDUP(V30/20,0),"")</f>
        <v/>
      </c>
      <c r="AH30" s="9">
        <f>IF(ROUNDUP(W30/20,0)&gt;ROUNDUP(W29/20,0),"Lần " &amp; ROUNDUP(W30/20,0),"")</f>
        <v/>
      </c>
      <c r="AI30" s="9">
        <f>IF(ROUNDUP(X30/20,0)&gt;ROUNDUP(X29/20,0),"Lần " &amp; ROUNDUP(X30/20,0),"")</f>
        <v/>
      </c>
      <c r="AJ30" s="9">
        <f>IF(ROUNDUP(Y30/20,0)&gt;ROUNDUP(Y29/20,0),"Lần " &amp; ROUNDUP(Y30/20,0),"")</f>
        <v/>
      </c>
      <c r="AK30" s="9">
        <f>IF(ROUNDUP(Z30/20,0)&gt;ROUNDUP(Z29/20,0),"Lần " &amp; ROUNDUP(Z30/20,0),"")</f>
        <v/>
      </c>
      <c r="AL30" s="4" t="n"/>
      <c r="AN30" s="596" t="inlineStr">
        <is>
          <t>Coc</t>
        </is>
      </c>
      <c r="AO30" s="596" t="n">
        <v>5</v>
      </c>
      <c r="AQ30" s="594" t="n"/>
      <c r="AR30" s="595" t="n"/>
    </row>
    <row r="31" ht="19" customHeight="1" s="672">
      <c r="A31" s="4" t="n">
        <v>27</v>
      </c>
      <c r="B31" s="5" t="inlineStr">
        <is>
          <t>Cọc khoan nhồi C8 Trụ T2 (D1.2m, L=30.0m)</t>
        </is>
      </c>
      <c r="C31" s="5" t="inlineStr">
        <is>
          <t>Cọc trụ T2 L=30m (tr.70)</t>
        </is>
      </c>
      <c r="D31" s="14" t="inlineStr">
        <is>
          <t>P9</t>
        </is>
      </c>
      <c r="E31" s="15" t="n">
        <v>12</v>
      </c>
      <c r="F31" s="4" t="inlineStr">
        <is>
          <t>CB400-V</t>
        </is>
      </c>
      <c r="G31" s="5" t="inlineStr"/>
      <c r="H31" s="16" t="n">
        <v>0.379</v>
      </c>
      <c r="I31" s="17" t="n">
        <v>36</v>
      </c>
      <c r="J31" s="18" t="n">
        <v>0.888</v>
      </c>
      <c r="K31" s="7">
        <f>ROUND(H31*I31*J31, 2)</f>
        <v/>
      </c>
      <c r="L31" s="19">
        <f>ROUND(K31/1000, 3)</f>
        <v/>
      </c>
      <c r="M31" s="728">
        <f>IF(AO31="","",IF(N(INDEX(Theo_Doi_Tan_Suat_Be_Tong!$C:$C,AO31))&lt;=0,"",INDEX(Theo_Doi_Tan_Suat_Be_Tong!$C:$C,AO31)-VLOOKUP(AN31,$AQ$2:$AR$7,2,FALSE)))</f>
        <v/>
      </c>
      <c r="N31" s="4" t="n"/>
      <c r="O31" s="20">
        <f>IF(ROUNDUP(Q31/20,0)&gt;ROUNDUP(Q30/20,0),"TN Ø12 (Lần " &amp; ROUNDUP(Q31/20,0) &amp; ")","")</f>
        <v/>
      </c>
      <c r="P31" s="16">
        <f>ROUND(P30+IF(AND(E31&lt;=10,F31&lt;&gt;"ASTM A416"),L31,0),3)</f>
        <v/>
      </c>
      <c r="Q31" s="16">
        <f>ROUND(Q30+IF(AND(E31=12,F31&lt;&gt;"ASTM A416"),L31,0),3)</f>
        <v/>
      </c>
      <c r="R31" s="16">
        <f>ROUND(R30+IF(AND(E31=14,F31&lt;&gt;"ASTM A416"),L31,0),3)</f>
        <v/>
      </c>
      <c r="S31" s="16">
        <f>ROUND(S30+IF(AND(E31=16,F31&lt;&gt;"ASTM A416"),L31,0),3)</f>
        <v/>
      </c>
      <c r="T31" s="16">
        <f>ROUND(T30+IF(AND(E31=18,F31&lt;&gt;"ASTM A416"),L31,0),3)</f>
        <v/>
      </c>
      <c r="U31" s="16">
        <f>ROUND(U30+IF(AND(E31=20,F31&lt;&gt;"ASTM A416"),L31,0),3)</f>
        <v/>
      </c>
      <c r="V31" s="16">
        <f>ROUND(V30+IF(AND(E31=22,F31&lt;&gt;"ASTM A416"),L31,0),3)</f>
        <v/>
      </c>
      <c r="W31" s="16">
        <f>ROUND(W30+IF(AND(E31=25,F31&lt;&gt;"ASTM A416"),L31,0),3)</f>
        <v/>
      </c>
      <c r="X31" s="16">
        <f>ROUND(X30+IF(AND(E31=28,F31&lt;&gt;"ASTM A416"),L31,0),3)</f>
        <v/>
      </c>
      <c r="Y31" s="16">
        <f>ROUND(Y30+IF(AND(E31=32,F31&lt;&gt;"ASTM A416"),L31,0),3)</f>
        <v/>
      </c>
      <c r="Z31" s="16">
        <f>ROUND(Z30+IF(F31="ASTM A416",L31,0),3)</f>
        <v/>
      </c>
      <c r="AA31" s="9">
        <f>IF(ROUNDUP(P31/20,0)&gt;ROUNDUP(P30/20,0),"Lần " &amp; ROUNDUP(P31/20,0),"")</f>
        <v/>
      </c>
      <c r="AB31" s="9">
        <f>IF(ROUNDUP(Q31/20,0)&gt;ROUNDUP(Q30/20,0),"Lần " &amp; ROUNDUP(Q31/20,0),"")</f>
        <v/>
      </c>
      <c r="AC31" s="9">
        <f>IF(ROUNDUP(R31/20,0)&gt;ROUNDUP(R30/20,0),"Lần " &amp; ROUNDUP(R31/20,0),"")</f>
        <v/>
      </c>
      <c r="AD31" s="9">
        <f>IF(ROUNDUP(S31/20,0)&gt;ROUNDUP(S30/20,0),"Lần " &amp; ROUNDUP(S31/20,0),"")</f>
        <v/>
      </c>
      <c r="AE31" s="9">
        <f>IF(ROUNDUP(T31/20,0)&gt;ROUNDUP(T30/20,0),"Lần " &amp; ROUNDUP(T31/20,0),"")</f>
        <v/>
      </c>
      <c r="AF31" s="9">
        <f>IF(ROUNDUP(U31/20,0)&gt;ROUNDUP(U30/20,0),"Lần " &amp; ROUNDUP(U31/20,0),"")</f>
        <v/>
      </c>
      <c r="AG31" s="9">
        <f>IF(ROUNDUP(V31/20,0)&gt;ROUNDUP(V30/20,0),"Lần " &amp; ROUNDUP(V31/20,0),"")</f>
        <v/>
      </c>
      <c r="AH31" s="9">
        <f>IF(ROUNDUP(W31/20,0)&gt;ROUNDUP(W30/20,0),"Lần " &amp; ROUNDUP(W31/20,0),"")</f>
        <v/>
      </c>
      <c r="AI31" s="9">
        <f>IF(ROUNDUP(X31/20,0)&gt;ROUNDUP(X30/20,0),"Lần " &amp; ROUNDUP(X31/20,0),"")</f>
        <v/>
      </c>
      <c r="AJ31" s="9">
        <f>IF(ROUNDUP(Y31/20,0)&gt;ROUNDUP(Y30/20,0),"Lần " &amp; ROUNDUP(Y31/20,0),"")</f>
        <v/>
      </c>
      <c r="AK31" s="9">
        <f>IF(ROUNDUP(Z31/20,0)&gt;ROUNDUP(Z30/20,0),"Lần " &amp; ROUNDUP(Z31/20,0),"")</f>
        <v/>
      </c>
      <c r="AL31" s="4" t="n"/>
      <c r="AN31" s="596" t="inlineStr">
        <is>
          <t>Coc</t>
        </is>
      </c>
      <c r="AO31" s="596" t="n">
        <v>5</v>
      </c>
      <c r="AQ31" s="594" t="n"/>
      <c r="AR31" s="595" t="n"/>
    </row>
    <row r="32" ht="19" customHeight="1" s="672">
      <c r="A32" s="4" t="n">
        <v>28</v>
      </c>
      <c r="B32" s="5" t="inlineStr">
        <is>
          <t>Cọc khoan nhồi C8 Trụ T2 (D1.2m, L=30.0m)</t>
        </is>
      </c>
      <c r="C32" s="5" t="inlineStr">
        <is>
          <t>Cọc trụ T2 L=30m (tr.70)</t>
        </is>
      </c>
      <c r="D32" s="14" t="inlineStr">
        <is>
          <t>P10</t>
        </is>
      </c>
      <c r="E32" s="15" t="n">
        <v>20</v>
      </c>
      <c r="F32" s="4" t="inlineStr">
        <is>
          <t>CB400-V</t>
        </is>
      </c>
      <c r="G32" s="5" t="inlineStr"/>
      <c r="H32" s="16" t="n">
        <v>2.057</v>
      </c>
      <c r="I32" s="17" t="n">
        <v>1</v>
      </c>
      <c r="J32" s="18" t="n">
        <v>2.466</v>
      </c>
      <c r="K32" s="7">
        <f>ROUND(H32*I32*J32, 2)</f>
        <v/>
      </c>
      <c r="L32" s="19">
        <f>ROUND(K32/1000, 3)</f>
        <v/>
      </c>
      <c r="M32" s="728">
        <f>IF(AO32="","",IF(N(INDEX(Theo_Doi_Tan_Suat_Be_Tong!$C:$C,AO32))&lt;=0,"",INDEX(Theo_Doi_Tan_Suat_Be_Tong!$C:$C,AO32)-VLOOKUP(AN32,$AQ$2:$AR$7,2,FALSE)))</f>
        <v/>
      </c>
      <c r="N32" s="4" t="n"/>
      <c r="O32" s="20">
        <f>IF(ROUNDUP(U32/20,0)&gt;ROUNDUP(U31/20,0),"TN Ø20 (Lần " &amp; ROUNDUP(U32/20,0) &amp; ")","")</f>
        <v/>
      </c>
      <c r="P32" s="16">
        <f>ROUND(P31+IF(AND(E32&lt;=10,F32&lt;&gt;"ASTM A416"),L32,0),3)</f>
        <v/>
      </c>
      <c r="Q32" s="16">
        <f>ROUND(Q31+IF(AND(E32=12,F32&lt;&gt;"ASTM A416"),L32,0),3)</f>
        <v/>
      </c>
      <c r="R32" s="16">
        <f>ROUND(R31+IF(AND(E32=14,F32&lt;&gt;"ASTM A416"),L32,0),3)</f>
        <v/>
      </c>
      <c r="S32" s="16">
        <f>ROUND(S31+IF(AND(E32=16,F32&lt;&gt;"ASTM A416"),L32,0),3)</f>
        <v/>
      </c>
      <c r="T32" s="16">
        <f>ROUND(T31+IF(AND(E32=18,F32&lt;&gt;"ASTM A416"),L32,0),3)</f>
        <v/>
      </c>
      <c r="U32" s="16">
        <f>ROUND(U31+IF(AND(E32=20,F32&lt;&gt;"ASTM A416"),L32,0),3)</f>
        <v/>
      </c>
      <c r="V32" s="16">
        <f>ROUND(V31+IF(AND(E32=22,F32&lt;&gt;"ASTM A416"),L32,0),3)</f>
        <v/>
      </c>
      <c r="W32" s="16">
        <f>ROUND(W31+IF(AND(E32=25,F32&lt;&gt;"ASTM A416"),L32,0),3)</f>
        <v/>
      </c>
      <c r="X32" s="16">
        <f>ROUND(X31+IF(AND(E32=28,F32&lt;&gt;"ASTM A416"),L32,0),3)</f>
        <v/>
      </c>
      <c r="Y32" s="16">
        <f>ROUND(Y31+IF(AND(E32=32,F32&lt;&gt;"ASTM A416"),L32,0),3)</f>
        <v/>
      </c>
      <c r="Z32" s="16">
        <f>ROUND(Z31+IF(F32="ASTM A416",L32,0),3)</f>
        <v/>
      </c>
      <c r="AA32" s="9">
        <f>IF(ROUNDUP(P32/20,0)&gt;ROUNDUP(P31/20,0),"Lần " &amp; ROUNDUP(P32/20,0),"")</f>
        <v/>
      </c>
      <c r="AB32" s="9">
        <f>IF(ROUNDUP(Q32/20,0)&gt;ROUNDUP(Q31/20,0),"Lần " &amp; ROUNDUP(Q32/20,0),"")</f>
        <v/>
      </c>
      <c r="AC32" s="9">
        <f>IF(ROUNDUP(R32/20,0)&gt;ROUNDUP(R31/20,0),"Lần " &amp; ROUNDUP(R32/20,0),"")</f>
        <v/>
      </c>
      <c r="AD32" s="9">
        <f>IF(ROUNDUP(S32/20,0)&gt;ROUNDUP(S31/20,0),"Lần " &amp; ROUNDUP(S32/20,0),"")</f>
        <v/>
      </c>
      <c r="AE32" s="9">
        <f>IF(ROUNDUP(T32/20,0)&gt;ROUNDUP(T31/20,0),"Lần " &amp; ROUNDUP(T32/20,0),"")</f>
        <v/>
      </c>
      <c r="AF32" s="9">
        <f>IF(ROUNDUP(U32/20,0)&gt;ROUNDUP(U31/20,0),"Lần " &amp; ROUNDUP(U32/20,0),"")</f>
        <v/>
      </c>
      <c r="AG32" s="9">
        <f>IF(ROUNDUP(V32/20,0)&gt;ROUNDUP(V31/20,0),"Lần " &amp; ROUNDUP(V32/20,0),"")</f>
        <v/>
      </c>
      <c r="AH32" s="9">
        <f>IF(ROUNDUP(W32/20,0)&gt;ROUNDUP(W31/20,0),"Lần " &amp; ROUNDUP(W32/20,0),"")</f>
        <v/>
      </c>
      <c r="AI32" s="9">
        <f>IF(ROUNDUP(X32/20,0)&gt;ROUNDUP(X31/20,0),"Lần " &amp; ROUNDUP(X32/20,0),"")</f>
        <v/>
      </c>
      <c r="AJ32" s="9">
        <f>IF(ROUNDUP(Y32/20,0)&gt;ROUNDUP(Y31/20,0),"Lần " &amp; ROUNDUP(Y32/20,0),"")</f>
        <v/>
      </c>
      <c r="AK32" s="9">
        <f>IF(ROUNDUP(Z32/20,0)&gt;ROUNDUP(Z31/20,0),"Lần " &amp; ROUNDUP(Z32/20,0),"")</f>
        <v/>
      </c>
      <c r="AL32" s="4" t="n"/>
      <c r="AN32" s="596" t="inlineStr">
        <is>
          <t>Coc</t>
        </is>
      </c>
      <c r="AO32" s="596" t="n">
        <v>5</v>
      </c>
      <c r="AQ32" s="594" t="n"/>
      <c r="AR32" s="595" t="n"/>
    </row>
    <row r="33" ht="19" customHeight="1" s="672">
      <c r="A33" s="4" t="n">
        <v>29</v>
      </c>
      <c r="B33" s="5" t="inlineStr">
        <is>
          <t>Cọc khoan nhồi C8 Trụ T2 (D1.2m, L=30.0m)</t>
        </is>
      </c>
      <c r="C33" s="5" t="inlineStr">
        <is>
          <t>Cọc trụ T2 L=30m (tr.70)</t>
        </is>
      </c>
      <c r="D33" s="14" t="inlineStr">
        <is>
          <t>P12</t>
        </is>
      </c>
      <c r="E33" s="15" t="n">
        <v>20</v>
      </c>
      <c r="F33" s="4" t="inlineStr">
        <is>
          <t>CB400-V</t>
        </is>
      </c>
      <c r="G33" s="5" t="inlineStr"/>
      <c r="H33" s="16" t="n">
        <v>0.583</v>
      </c>
      <c r="I33" s="17" t="n">
        <v>48</v>
      </c>
      <c r="J33" s="18" t="n">
        <v>2.466</v>
      </c>
      <c r="K33" s="7">
        <f>ROUND(H33*I33*J33, 2)</f>
        <v/>
      </c>
      <c r="L33" s="19">
        <f>ROUND(K33/1000, 3)</f>
        <v/>
      </c>
      <c r="M33" s="728">
        <f>IF(AO33="","",IF(N(INDEX(Theo_Doi_Tan_Suat_Be_Tong!$C:$C,AO33))&lt;=0,"",INDEX(Theo_Doi_Tan_Suat_Be_Tong!$C:$C,AO33)-VLOOKUP(AN33,$AQ$2:$AR$7,2,FALSE)))</f>
        <v/>
      </c>
      <c r="N33" s="4" t="n"/>
      <c r="O33" s="20">
        <f>IF(ROUNDUP(U33/20,0)&gt;ROUNDUP(U32/20,0),"TN Ø20 (Lần " &amp; ROUNDUP(U33/20,0) &amp; ")","")</f>
        <v/>
      </c>
      <c r="P33" s="16">
        <f>ROUND(P32+IF(AND(E33&lt;=10,F33&lt;&gt;"ASTM A416"),L33,0),3)</f>
        <v/>
      </c>
      <c r="Q33" s="16">
        <f>ROUND(Q32+IF(AND(E33=12,F33&lt;&gt;"ASTM A416"),L33,0),3)</f>
        <v/>
      </c>
      <c r="R33" s="16">
        <f>ROUND(R32+IF(AND(E33=14,F33&lt;&gt;"ASTM A416"),L33,0),3)</f>
        <v/>
      </c>
      <c r="S33" s="16">
        <f>ROUND(S32+IF(AND(E33=16,F33&lt;&gt;"ASTM A416"),L33,0),3)</f>
        <v/>
      </c>
      <c r="T33" s="16">
        <f>ROUND(T32+IF(AND(E33=18,F33&lt;&gt;"ASTM A416"),L33,0),3)</f>
        <v/>
      </c>
      <c r="U33" s="16">
        <f>ROUND(U32+IF(AND(E33=20,F33&lt;&gt;"ASTM A416"),L33,0),3)</f>
        <v/>
      </c>
      <c r="V33" s="16">
        <f>ROUND(V32+IF(AND(E33=22,F33&lt;&gt;"ASTM A416"),L33,0),3)</f>
        <v/>
      </c>
      <c r="W33" s="16">
        <f>ROUND(W32+IF(AND(E33=25,F33&lt;&gt;"ASTM A416"),L33,0),3)</f>
        <v/>
      </c>
      <c r="X33" s="16">
        <f>ROUND(X32+IF(AND(E33=28,F33&lt;&gt;"ASTM A416"),L33,0),3)</f>
        <v/>
      </c>
      <c r="Y33" s="16">
        <f>ROUND(Y32+IF(AND(E33=32,F33&lt;&gt;"ASTM A416"),L33,0),3)</f>
        <v/>
      </c>
      <c r="Z33" s="16">
        <f>ROUND(Z32+IF(F33="ASTM A416",L33,0),3)</f>
        <v/>
      </c>
      <c r="AA33" s="9">
        <f>IF(ROUNDUP(P33/20,0)&gt;ROUNDUP(P32/20,0),"Lần " &amp; ROUNDUP(P33/20,0),"")</f>
        <v/>
      </c>
      <c r="AB33" s="9">
        <f>IF(ROUNDUP(Q33/20,0)&gt;ROUNDUP(Q32/20,0),"Lần " &amp; ROUNDUP(Q33/20,0),"")</f>
        <v/>
      </c>
      <c r="AC33" s="9">
        <f>IF(ROUNDUP(R33/20,0)&gt;ROUNDUP(R32/20,0),"Lần " &amp; ROUNDUP(R33/20,0),"")</f>
        <v/>
      </c>
      <c r="AD33" s="9">
        <f>IF(ROUNDUP(S33/20,0)&gt;ROUNDUP(S32/20,0),"Lần " &amp; ROUNDUP(S33/20,0),"")</f>
        <v/>
      </c>
      <c r="AE33" s="9">
        <f>IF(ROUNDUP(T33/20,0)&gt;ROUNDUP(T32/20,0),"Lần " &amp; ROUNDUP(T33/20,0),"")</f>
        <v/>
      </c>
      <c r="AF33" s="9">
        <f>IF(ROUNDUP(U33/20,0)&gt;ROUNDUP(U32/20,0),"Lần " &amp; ROUNDUP(U33/20,0),"")</f>
        <v/>
      </c>
      <c r="AG33" s="9">
        <f>IF(ROUNDUP(V33/20,0)&gt;ROUNDUP(V32/20,0),"Lần " &amp; ROUNDUP(V33/20,0),"")</f>
        <v/>
      </c>
      <c r="AH33" s="9">
        <f>IF(ROUNDUP(W33/20,0)&gt;ROUNDUP(W32/20,0),"Lần " &amp; ROUNDUP(W33/20,0),"")</f>
        <v/>
      </c>
      <c r="AI33" s="9">
        <f>IF(ROUNDUP(X33/20,0)&gt;ROUNDUP(X32/20,0),"Lần " &amp; ROUNDUP(X33/20,0),"")</f>
        <v/>
      </c>
      <c r="AJ33" s="9">
        <f>IF(ROUNDUP(Y33/20,0)&gt;ROUNDUP(Y32/20,0),"Lần " &amp; ROUNDUP(Y33/20,0),"")</f>
        <v/>
      </c>
      <c r="AK33" s="9">
        <f>IF(ROUNDUP(Z33/20,0)&gt;ROUNDUP(Z32/20,0),"Lần " &amp; ROUNDUP(Z33/20,0),"")</f>
        <v/>
      </c>
      <c r="AL33" s="4" t="n"/>
      <c r="AN33" s="596" t="inlineStr">
        <is>
          <t>Coc</t>
        </is>
      </c>
      <c r="AO33" s="596" t="n">
        <v>5</v>
      </c>
      <c r="AQ33" s="594" t="n"/>
      <c r="AR33" s="595" t="n"/>
    </row>
    <row r="34" ht="20" customHeight="1" s="672">
      <c r="A34" s="4" t="n">
        <v>30</v>
      </c>
      <c r="B34" s="5" t="inlineStr">
        <is>
          <t>Cọc khoan nhồi C8 Trụ T2 (D1.2m, L=30.0m)</t>
        </is>
      </c>
      <c r="C34" s="5" t="inlineStr">
        <is>
          <t>Cọc trụ T2 L=30m (tr.70)</t>
        </is>
      </c>
      <c r="D34" s="14" t="inlineStr">
        <is>
          <t>P11</t>
        </is>
      </c>
      <c r="E34" s="15" t="n">
        <v>16</v>
      </c>
      <c r="F34" s="4" t="inlineStr">
        <is>
          <t>CB400-V</t>
        </is>
      </c>
      <c r="G34" s="5" t="inlineStr"/>
      <c r="H34" s="16" t="n">
        <v>2.604</v>
      </c>
      <c r="I34" s="17" t="n">
        <v>4</v>
      </c>
      <c r="J34" s="18" t="n">
        <v>1.578</v>
      </c>
      <c r="K34" s="7">
        <f>ROUND(H34*I34*J34, 2)</f>
        <v/>
      </c>
      <c r="L34" s="19">
        <f>ROUND(K34/1000, 3)</f>
        <v/>
      </c>
      <c r="M34" s="728">
        <f>IF(AO34="","",IF(N(INDEX(Theo_Doi_Tan_Suat_Be_Tong!$C:$C,AO34))&lt;=0,"",INDEX(Theo_Doi_Tan_Suat_Be_Tong!$C:$C,AO34)-VLOOKUP(AN34,$AQ$2:$AR$7,2,FALSE)))</f>
        <v/>
      </c>
      <c r="N34" s="4" t="n"/>
      <c r="O34" s="20">
        <f>IF(ROUNDUP(S34/20,0)&gt;ROUNDUP(S33/20,0),"TN Ø16 (Lần " &amp; ROUNDUP(S34/20,0) &amp; ")","")</f>
        <v/>
      </c>
      <c r="P34" s="16">
        <f>ROUND(P33+IF(AND(E34&lt;=10,F34&lt;&gt;"ASTM A416"),L34,0),3)</f>
        <v/>
      </c>
      <c r="Q34" s="16">
        <f>ROUND(Q33+IF(AND(E34=12,F34&lt;&gt;"ASTM A416"),L34,0),3)</f>
        <v/>
      </c>
      <c r="R34" s="16">
        <f>ROUND(R33+IF(AND(E34=14,F34&lt;&gt;"ASTM A416"),L34,0),3)</f>
        <v/>
      </c>
      <c r="S34" s="16">
        <f>ROUND(S33+IF(AND(E34=16,F34&lt;&gt;"ASTM A416"),L34,0),3)</f>
        <v/>
      </c>
      <c r="T34" s="16">
        <f>ROUND(T33+IF(AND(E34=18,F34&lt;&gt;"ASTM A416"),L34,0),3)</f>
        <v/>
      </c>
      <c r="U34" s="16">
        <f>ROUND(U33+IF(AND(E34=20,F34&lt;&gt;"ASTM A416"),L34,0),3)</f>
        <v/>
      </c>
      <c r="V34" s="16">
        <f>ROUND(V33+IF(AND(E34=22,F34&lt;&gt;"ASTM A416"),L34,0),3)</f>
        <v/>
      </c>
      <c r="W34" s="16">
        <f>ROUND(W33+IF(AND(E34=25,F34&lt;&gt;"ASTM A416"),L34,0),3)</f>
        <v/>
      </c>
      <c r="X34" s="16">
        <f>ROUND(X33+IF(AND(E34=28,F34&lt;&gt;"ASTM A416"),L34,0),3)</f>
        <v/>
      </c>
      <c r="Y34" s="16">
        <f>ROUND(Y33+IF(AND(E34=32,F34&lt;&gt;"ASTM A416"),L34,0),3)</f>
        <v/>
      </c>
      <c r="Z34" s="16">
        <f>ROUND(Z33+IF(F34="ASTM A416",L34,0),3)</f>
        <v/>
      </c>
      <c r="AA34" s="9">
        <f>IF(ROUNDUP(P34/20,0)&gt;ROUNDUP(P33/20,0),"Lần " &amp; ROUNDUP(P34/20,0),"")</f>
        <v/>
      </c>
      <c r="AB34" s="9">
        <f>IF(ROUNDUP(Q34/20,0)&gt;ROUNDUP(Q33/20,0),"Lần " &amp; ROUNDUP(Q34/20,0),"")</f>
        <v/>
      </c>
      <c r="AC34" s="9">
        <f>IF(ROUNDUP(R34/20,0)&gt;ROUNDUP(R33/20,0),"Lần " &amp; ROUNDUP(R34/20,0),"")</f>
        <v/>
      </c>
      <c r="AD34" s="9">
        <f>IF(ROUNDUP(S34/20,0)&gt;ROUNDUP(S33/20,0),"Lần " &amp; ROUNDUP(S34/20,0),"")</f>
        <v/>
      </c>
      <c r="AE34" s="9">
        <f>IF(ROUNDUP(T34/20,0)&gt;ROUNDUP(T33/20,0),"Lần " &amp; ROUNDUP(T34/20,0),"")</f>
        <v/>
      </c>
      <c r="AF34" s="9">
        <f>IF(ROUNDUP(U34/20,0)&gt;ROUNDUP(U33/20,0),"Lần " &amp; ROUNDUP(U34/20,0),"")</f>
        <v/>
      </c>
      <c r="AG34" s="9">
        <f>IF(ROUNDUP(V34/20,0)&gt;ROUNDUP(V33/20,0),"Lần " &amp; ROUNDUP(V34/20,0),"")</f>
        <v/>
      </c>
      <c r="AH34" s="9">
        <f>IF(ROUNDUP(W34/20,0)&gt;ROUNDUP(W33/20,0),"Lần " &amp; ROUNDUP(W34/20,0),"")</f>
        <v/>
      </c>
      <c r="AI34" s="9">
        <f>IF(ROUNDUP(X34/20,0)&gt;ROUNDUP(X33/20,0),"Lần " &amp; ROUNDUP(X34/20,0),"")</f>
        <v/>
      </c>
      <c r="AJ34" s="9">
        <f>IF(ROUNDUP(Y34/20,0)&gt;ROUNDUP(Y33/20,0),"Lần " &amp; ROUNDUP(Y34/20,0),"")</f>
        <v/>
      </c>
      <c r="AK34" s="9">
        <f>IF(ROUNDUP(Z34/20,0)&gt;ROUNDUP(Z33/20,0),"Lần " &amp; ROUNDUP(Z34/20,0),"")</f>
        <v/>
      </c>
      <c r="AL34" s="4" t="n"/>
      <c r="AN34" s="596" t="inlineStr">
        <is>
          <t>Coc</t>
        </is>
      </c>
      <c r="AO34" s="596" t="n">
        <v>5</v>
      </c>
      <c r="AQ34" s="594" t="n"/>
      <c r="AR34" s="595" t="n"/>
    </row>
    <row r="35" ht="19" customHeight="1" s="672">
      <c r="A35" s="668" t="inlineStr">
        <is>
          <t>--- CỌC KHOAN NHỒI C1 TRỤ T1 (D1.2M, L=40.0M) ---</t>
        </is>
      </c>
      <c r="B35" s="722" t="n"/>
      <c r="C35" s="722" t="n"/>
      <c r="D35" s="722" t="n"/>
      <c r="E35" s="722" t="n"/>
      <c r="F35" s="722" t="n"/>
      <c r="G35" s="722" t="n"/>
      <c r="H35" s="722" t="n"/>
      <c r="I35" s="722" t="n"/>
      <c r="J35" s="722" t="n"/>
      <c r="K35" s="722" t="n"/>
      <c r="L35" s="722" t="n"/>
      <c r="M35" s="722" t="n"/>
      <c r="N35" s="722" t="n"/>
      <c r="O35" s="722" t="n"/>
      <c r="P35" s="722" t="n"/>
      <c r="Q35" s="722" t="n"/>
      <c r="R35" s="722" t="n"/>
      <c r="S35" s="722" t="n"/>
      <c r="T35" s="722" t="n"/>
      <c r="U35" s="722" t="n"/>
      <c r="V35" s="722" t="n"/>
      <c r="W35" s="722" t="n"/>
      <c r="X35" s="722" t="n"/>
      <c r="Y35" s="722" t="n"/>
      <c r="Z35" s="722" t="n"/>
      <c r="AA35" s="722" t="n"/>
      <c r="AB35" s="722" t="n"/>
      <c r="AC35" s="722" t="n"/>
      <c r="AD35" s="722" t="n"/>
      <c r="AE35" s="722" t="n"/>
      <c r="AF35" s="722" t="n"/>
      <c r="AG35" s="722" t="n"/>
      <c r="AH35" s="722" t="n"/>
      <c r="AI35" s="722" t="n"/>
      <c r="AJ35" s="722" t="n"/>
      <c r="AK35" s="722" t="n"/>
      <c r="AL35" s="721" t="n"/>
      <c r="AQ35" s="594" t="n"/>
      <c r="AR35" s="595" t="n"/>
    </row>
    <row r="36" ht="19" customHeight="1" s="672">
      <c r="A36" s="4" t="n">
        <v>31</v>
      </c>
      <c r="B36" s="5" t="inlineStr">
        <is>
          <t>Cọc khoan nhồi C1 Trụ T1 (D1.2m, L=40.0m)</t>
        </is>
      </c>
      <c r="C36" s="5" t="inlineStr">
        <is>
          <t>Cọc trụ T1 L=40m (tr.68)</t>
        </is>
      </c>
      <c r="D36" s="14" t="inlineStr">
        <is>
          <t>P1</t>
        </is>
      </c>
      <c r="E36" s="15" t="n">
        <v>10</v>
      </c>
      <c r="F36" s="4" t="inlineStr">
        <is>
          <t>CB240-T</t>
        </is>
      </c>
      <c r="G36" s="5" t="inlineStr"/>
      <c r="H36" s="16" t="n">
        <v>96.604</v>
      </c>
      <c r="I36" s="17" t="n">
        <v>1</v>
      </c>
      <c r="J36" s="18" t="n">
        <v>0.617</v>
      </c>
      <c r="K36" s="7">
        <f>ROUND(H36*I36*J36, 2)</f>
        <v/>
      </c>
      <c r="L36" s="19">
        <f>ROUND(K36/1000, 3)</f>
        <v/>
      </c>
      <c r="M36" s="728">
        <f>IF(AO36="","",IF(N(INDEX(Theo_Doi_Tan_Suat_Be_Tong!$C:$C,AO36))&lt;=0,"",INDEX(Theo_Doi_Tan_Suat_Be_Tong!$C:$C,AO36)-VLOOKUP(AN36,$AQ$2:$AR$7,2,FALSE)))</f>
        <v/>
      </c>
      <c r="N36" s="4" t="n"/>
      <c r="O36" s="20">
        <f>IF(ROUNDUP(P36/20,0)&gt;ROUNDUP(P34/20,0),"TN Ø10 (Lần " &amp; ROUNDUP(P36/20,0) &amp; ")","")</f>
        <v/>
      </c>
      <c r="P36" s="16">
        <f>ROUND(P34+IF(AND(E36&lt;=10,F36&lt;&gt;"ASTM A416"),L36,0),3)</f>
        <v/>
      </c>
      <c r="Q36" s="16">
        <f>ROUND(Q34+IF(AND(E36=12,F36&lt;&gt;"ASTM A416"),L36,0),3)</f>
        <v/>
      </c>
      <c r="R36" s="16">
        <f>ROUND(R34+IF(AND(E36=14,F36&lt;&gt;"ASTM A416"),L36,0),3)</f>
        <v/>
      </c>
      <c r="S36" s="16">
        <f>ROUND(S34+IF(AND(E36=16,F36&lt;&gt;"ASTM A416"),L36,0),3)</f>
        <v/>
      </c>
      <c r="T36" s="16">
        <f>ROUND(T34+IF(AND(E36=18,F36&lt;&gt;"ASTM A416"),L36,0),3)</f>
        <v/>
      </c>
      <c r="U36" s="16">
        <f>ROUND(U34+IF(AND(E36=20,F36&lt;&gt;"ASTM A416"),L36,0),3)</f>
        <v/>
      </c>
      <c r="V36" s="16">
        <f>ROUND(V34+IF(AND(E36=22,F36&lt;&gt;"ASTM A416"),L36,0),3)</f>
        <v/>
      </c>
      <c r="W36" s="16">
        <f>ROUND(W34+IF(AND(E36=25,F36&lt;&gt;"ASTM A416"),L36,0),3)</f>
        <v/>
      </c>
      <c r="X36" s="16">
        <f>ROUND(X34+IF(AND(E36=28,F36&lt;&gt;"ASTM A416"),L36,0),3)</f>
        <v/>
      </c>
      <c r="Y36" s="16">
        <f>ROUND(Y34+IF(AND(E36=32,F36&lt;&gt;"ASTM A416"),L36,0),3)</f>
        <v/>
      </c>
      <c r="Z36" s="16">
        <f>ROUND(Z34+IF(F36="ASTM A416",L36,0),3)</f>
        <v/>
      </c>
      <c r="AA36" s="9">
        <f>IF(ROUNDUP(P36/20,0)&gt;ROUNDUP(P34/20,0),"Lần " &amp; ROUNDUP(P36/20,0),"")</f>
        <v/>
      </c>
      <c r="AB36" s="9">
        <f>IF(ROUNDUP(Q36/20,0)&gt;ROUNDUP(Q34/20,0),"Lần " &amp; ROUNDUP(Q36/20,0),"")</f>
        <v/>
      </c>
      <c r="AC36" s="9">
        <f>IF(ROUNDUP(R36/20,0)&gt;ROUNDUP(R34/20,0),"Lần " &amp; ROUNDUP(R36/20,0),"")</f>
        <v/>
      </c>
      <c r="AD36" s="9">
        <f>IF(ROUNDUP(S36/20,0)&gt;ROUNDUP(S34/20,0),"Lần " &amp; ROUNDUP(S36/20,0),"")</f>
        <v/>
      </c>
      <c r="AE36" s="9">
        <f>IF(ROUNDUP(T36/20,0)&gt;ROUNDUP(T34/20,0),"Lần " &amp; ROUNDUP(T36/20,0),"")</f>
        <v/>
      </c>
      <c r="AF36" s="9">
        <f>IF(ROUNDUP(U36/20,0)&gt;ROUNDUP(U34/20,0),"Lần " &amp; ROUNDUP(U36/20,0),"")</f>
        <v/>
      </c>
      <c r="AG36" s="9">
        <f>IF(ROUNDUP(V36/20,0)&gt;ROUNDUP(V34/20,0),"Lần " &amp; ROUNDUP(V36/20,0),"")</f>
        <v/>
      </c>
      <c r="AH36" s="9">
        <f>IF(ROUNDUP(W36/20,0)&gt;ROUNDUP(W34/20,0),"Lần " &amp; ROUNDUP(W36/20,0),"")</f>
        <v/>
      </c>
      <c r="AI36" s="9">
        <f>IF(ROUNDUP(X36/20,0)&gt;ROUNDUP(X34/20,0),"Lần " &amp; ROUNDUP(X36/20,0),"")</f>
        <v/>
      </c>
      <c r="AJ36" s="9">
        <f>IF(ROUNDUP(Y36/20,0)&gt;ROUNDUP(Y34/20,0),"Lần " &amp; ROUNDUP(Y36/20,0),"")</f>
        <v/>
      </c>
      <c r="AK36" s="9">
        <f>IF(ROUNDUP(Z36/20,0)&gt;ROUNDUP(Z34/20,0),"Lần " &amp; ROUNDUP(Z36/20,0),"")</f>
        <v/>
      </c>
      <c r="AL36" s="4" t="n"/>
      <c r="AN36" s="596" t="inlineStr">
        <is>
          <t>Coc</t>
        </is>
      </c>
      <c r="AO36" s="596" t="n">
        <v>6</v>
      </c>
      <c r="AQ36" s="594" t="n"/>
      <c r="AR36" s="595" t="n"/>
    </row>
    <row r="37" ht="19" customHeight="1" s="672">
      <c r="A37" s="4" t="n">
        <v>32</v>
      </c>
      <c r="B37" s="5" t="inlineStr">
        <is>
          <t>Cọc khoan nhồi C1 Trụ T1 (D1.2m, L=40.0m)</t>
        </is>
      </c>
      <c r="C37" s="5" t="inlineStr">
        <is>
          <t>Cọc trụ T1 L=40m (tr.68)</t>
        </is>
      </c>
      <c r="D37" s="14" t="inlineStr">
        <is>
          <t>P1A</t>
        </is>
      </c>
      <c r="E37" s="15" t="n">
        <v>10</v>
      </c>
      <c r="F37" s="4" t="inlineStr">
        <is>
          <t>CB240-T</t>
        </is>
      </c>
      <c r="G37" s="5" t="inlineStr"/>
      <c r="H37" s="16" t="n">
        <v>389.636</v>
      </c>
      <c r="I37" s="17" t="n">
        <v>1</v>
      </c>
      <c r="J37" s="18" t="n">
        <v>0.617</v>
      </c>
      <c r="K37" s="7">
        <f>ROUND(H37*I37*J37, 2)</f>
        <v/>
      </c>
      <c r="L37" s="19">
        <f>ROUND(K37/1000, 3)</f>
        <v/>
      </c>
      <c r="M37" s="728">
        <f>IF(AO37="","",IF(N(INDEX(Theo_Doi_Tan_Suat_Be_Tong!$C:$C,AO37))&lt;=0,"",INDEX(Theo_Doi_Tan_Suat_Be_Tong!$C:$C,AO37)-VLOOKUP(AN37,$AQ$2:$AR$7,2,FALSE)))</f>
        <v/>
      </c>
      <c r="N37" s="4" t="n"/>
      <c r="O37" s="20">
        <f>IF(ROUNDUP(P37/20,0)&gt;ROUNDUP(P36/20,0),"TN Ø10 (Lần " &amp; ROUNDUP(P37/20,0) &amp; ")","")</f>
        <v/>
      </c>
      <c r="P37" s="16">
        <f>ROUND(P36+IF(AND(E37&lt;=10,F37&lt;&gt;"ASTM A416"),L37,0),3)</f>
        <v/>
      </c>
      <c r="Q37" s="16">
        <f>ROUND(Q36+IF(AND(E37=12,F37&lt;&gt;"ASTM A416"),L37,0),3)</f>
        <v/>
      </c>
      <c r="R37" s="16">
        <f>ROUND(R36+IF(AND(E37=14,F37&lt;&gt;"ASTM A416"),L37,0),3)</f>
        <v/>
      </c>
      <c r="S37" s="16">
        <f>ROUND(S36+IF(AND(E37=16,F37&lt;&gt;"ASTM A416"),L37,0),3)</f>
        <v/>
      </c>
      <c r="T37" s="16">
        <f>ROUND(T36+IF(AND(E37=18,F37&lt;&gt;"ASTM A416"),L37,0),3)</f>
        <v/>
      </c>
      <c r="U37" s="16">
        <f>ROUND(U36+IF(AND(E37=20,F37&lt;&gt;"ASTM A416"),L37,0),3)</f>
        <v/>
      </c>
      <c r="V37" s="16">
        <f>ROUND(V36+IF(AND(E37=22,F37&lt;&gt;"ASTM A416"),L37,0),3)</f>
        <v/>
      </c>
      <c r="W37" s="16">
        <f>ROUND(W36+IF(AND(E37=25,F37&lt;&gt;"ASTM A416"),L37,0),3)</f>
        <v/>
      </c>
      <c r="X37" s="16">
        <f>ROUND(X36+IF(AND(E37=28,F37&lt;&gt;"ASTM A416"),L37,0),3)</f>
        <v/>
      </c>
      <c r="Y37" s="16">
        <f>ROUND(Y36+IF(AND(E37=32,F37&lt;&gt;"ASTM A416"),L37,0),3)</f>
        <v/>
      </c>
      <c r="Z37" s="16">
        <f>ROUND(Z36+IF(F37="ASTM A416",L37,0),3)</f>
        <v/>
      </c>
      <c r="AA37" s="9">
        <f>IF(ROUNDUP(P37/20,0)&gt;ROUNDUP(P36/20,0),"Lần " &amp; ROUNDUP(P37/20,0),"")</f>
        <v/>
      </c>
      <c r="AB37" s="9">
        <f>IF(ROUNDUP(Q37/20,0)&gt;ROUNDUP(Q36/20,0),"Lần " &amp; ROUNDUP(Q37/20,0),"")</f>
        <v/>
      </c>
      <c r="AC37" s="9">
        <f>IF(ROUNDUP(R37/20,0)&gt;ROUNDUP(R36/20,0),"Lần " &amp; ROUNDUP(R37/20,0),"")</f>
        <v/>
      </c>
      <c r="AD37" s="9">
        <f>IF(ROUNDUP(S37/20,0)&gt;ROUNDUP(S36/20,0),"Lần " &amp; ROUNDUP(S37/20,0),"")</f>
        <v/>
      </c>
      <c r="AE37" s="9">
        <f>IF(ROUNDUP(T37/20,0)&gt;ROUNDUP(T36/20,0),"Lần " &amp; ROUNDUP(T37/20,0),"")</f>
        <v/>
      </c>
      <c r="AF37" s="9">
        <f>IF(ROUNDUP(U37/20,0)&gt;ROUNDUP(U36/20,0),"Lần " &amp; ROUNDUP(U37/20,0),"")</f>
        <v/>
      </c>
      <c r="AG37" s="9">
        <f>IF(ROUNDUP(V37/20,0)&gt;ROUNDUP(V36/20,0),"Lần " &amp; ROUNDUP(V37/20,0),"")</f>
        <v/>
      </c>
      <c r="AH37" s="9">
        <f>IF(ROUNDUP(W37/20,0)&gt;ROUNDUP(W36/20,0),"Lần " &amp; ROUNDUP(W37/20,0),"")</f>
        <v/>
      </c>
      <c r="AI37" s="9">
        <f>IF(ROUNDUP(X37/20,0)&gt;ROUNDUP(X36/20,0),"Lần " &amp; ROUNDUP(X37/20,0),"")</f>
        <v/>
      </c>
      <c r="AJ37" s="9">
        <f>IF(ROUNDUP(Y37/20,0)&gt;ROUNDUP(Y36/20,0),"Lần " &amp; ROUNDUP(Y37/20,0),"")</f>
        <v/>
      </c>
      <c r="AK37" s="9">
        <f>IF(ROUNDUP(Z37/20,0)&gt;ROUNDUP(Z36/20,0),"Lần " &amp; ROUNDUP(Z37/20,0),"")</f>
        <v/>
      </c>
      <c r="AL37" s="4" t="n"/>
      <c r="AN37" s="596" t="inlineStr">
        <is>
          <t>Coc</t>
        </is>
      </c>
      <c r="AO37" s="596" t="n">
        <v>6</v>
      </c>
      <c r="AQ37" s="594" t="n"/>
      <c r="AR37" s="595" t="n"/>
    </row>
    <row r="38" ht="19" customHeight="1" s="672">
      <c r="A38" s="4" t="n">
        <v>33</v>
      </c>
      <c r="B38" s="5" t="inlineStr">
        <is>
          <t>Cọc khoan nhồi C1 Trụ T1 (D1.2m, L=40.0m)</t>
        </is>
      </c>
      <c r="C38" s="5" t="inlineStr">
        <is>
          <t>Cọc trụ T1 L=40m (tr.68)</t>
        </is>
      </c>
      <c r="D38" s="14" t="inlineStr">
        <is>
          <t>P1B</t>
        </is>
      </c>
      <c r="E38" s="15" t="n">
        <v>10</v>
      </c>
      <c r="F38" s="4" t="inlineStr">
        <is>
          <t>CB240-T</t>
        </is>
      </c>
      <c r="G38" s="5" t="inlineStr"/>
      <c r="H38" s="16" t="n">
        <v>206.981</v>
      </c>
      <c r="I38" s="17" t="n">
        <v>1</v>
      </c>
      <c r="J38" s="18" t="n">
        <v>0.617</v>
      </c>
      <c r="K38" s="7">
        <f>ROUND(H38*I38*J38, 2)</f>
        <v/>
      </c>
      <c r="L38" s="19">
        <f>ROUND(K38/1000, 3)</f>
        <v/>
      </c>
      <c r="M38" s="728">
        <f>IF(AO38="","",IF(N(INDEX(Theo_Doi_Tan_Suat_Be_Tong!$C:$C,AO38))&lt;=0,"",INDEX(Theo_Doi_Tan_Suat_Be_Tong!$C:$C,AO38)-VLOOKUP(AN38,$AQ$2:$AR$7,2,FALSE)))</f>
        <v/>
      </c>
      <c r="N38" s="4" t="n"/>
      <c r="O38" s="20">
        <f>IF(ROUNDUP(P38/20,0)&gt;ROUNDUP(P37/20,0),"TN Ø10 (Lần " &amp; ROUNDUP(P38/20,0) &amp; ")","")</f>
        <v/>
      </c>
      <c r="P38" s="16">
        <f>ROUND(P37+IF(AND(E38&lt;=10,F38&lt;&gt;"ASTM A416"),L38,0),3)</f>
        <v/>
      </c>
      <c r="Q38" s="16">
        <f>ROUND(Q37+IF(AND(E38=12,F38&lt;&gt;"ASTM A416"),L38,0),3)</f>
        <v/>
      </c>
      <c r="R38" s="16">
        <f>ROUND(R37+IF(AND(E38=14,F38&lt;&gt;"ASTM A416"),L38,0),3)</f>
        <v/>
      </c>
      <c r="S38" s="16">
        <f>ROUND(S37+IF(AND(E38=16,F38&lt;&gt;"ASTM A416"),L38,0),3)</f>
        <v/>
      </c>
      <c r="T38" s="16">
        <f>ROUND(T37+IF(AND(E38=18,F38&lt;&gt;"ASTM A416"),L38,0),3)</f>
        <v/>
      </c>
      <c r="U38" s="16">
        <f>ROUND(U37+IF(AND(E38=20,F38&lt;&gt;"ASTM A416"),L38,0),3)</f>
        <v/>
      </c>
      <c r="V38" s="16">
        <f>ROUND(V37+IF(AND(E38=22,F38&lt;&gt;"ASTM A416"),L38,0),3)</f>
        <v/>
      </c>
      <c r="W38" s="16">
        <f>ROUND(W37+IF(AND(E38=25,F38&lt;&gt;"ASTM A416"),L38,0),3)</f>
        <v/>
      </c>
      <c r="X38" s="16">
        <f>ROUND(X37+IF(AND(E38=28,F38&lt;&gt;"ASTM A416"),L38,0),3)</f>
        <v/>
      </c>
      <c r="Y38" s="16">
        <f>ROUND(Y37+IF(AND(E38=32,F38&lt;&gt;"ASTM A416"),L38,0),3)</f>
        <v/>
      </c>
      <c r="Z38" s="16">
        <f>ROUND(Z37+IF(F38="ASTM A416",L38,0),3)</f>
        <v/>
      </c>
      <c r="AA38" s="9">
        <f>IF(ROUNDUP(P38/20,0)&gt;ROUNDUP(P37/20,0),"Lần " &amp; ROUNDUP(P38/20,0),"")</f>
        <v/>
      </c>
      <c r="AB38" s="9">
        <f>IF(ROUNDUP(Q38/20,0)&gt;ROUNDUP(Q37/20,0),"Lần " &amp; ROUNDUP(Q38/20,0),"")</f>
        <v/>
      </c>
      <c r="AC38" s="9">
        <f>IF(ROUNDUP(R38/20,0)&gt;ROUNDUP(R37/20,0),"Lần " &amp; ROUNDUP(R38/20,0),"")</f>
        <v/>
      </c>
      <c r="AD38" s="9">
        <f>IF(ROUNDUP(S38/20,0)&gt;ROUNDUP(S37/20,0),"Lần " &amp; ROUNDUP(S38/20,0),"")</f>
        <v/>
      </c>
      <c r="AE38" s="9">
        <f>IF(ROUNDUP(T38/20,0)&gt;ROUNDUP(T37/20,0),"Lần " &amp; ROUNDUP(T38/20,0),"")</f>
        <v/>
      </c>
      <c r="AF38" s="9">
        <f>IF(ROUNDUP(U38/20,0)&gt;ROUNDUP(U37/20,0),"Lần " &amp; ROUNDUP(U38/20,0),"")</f>
        <v/>
      </c>
      <c r="AG38" s="9">
        <f>IF(ROUNDUP(V38/20,0)&gt;ROUNDUP(V37/20,0),"Lần " &amp; ROUNDUP(V38/20,0),"")</f>
        <v/>
      </c>
      <c r="AH38" s="9">
        <f>IF(ROUNDUP(W38/20,0)&gt;ROUNDUP(W37/20,0),"Lần " &amp; ROUNDUP(W38/20,0),"")</f>
        <v/>
      </c>
      <c r="AI38" s="9">
        <f>IF(ROUNDUP(X38/20,0)&gt;ROUNDUP(X37/20,0),"Lần " &amp; ROUNDUP(X38/20,0),"")</f>
        <v/>
      </c>
      <c r="AJ38" s="9">
        <f>IF(ROUNDUP(Y38/20,0)&gt;ROUNDUP(Y37/20,0),"Lần " &amp; ROUNDUP(Y38/20,0),"")</f>
        <v/>
      </c>
      <c r="AK38" s="9">
        <f>IF(ROUNDUP(Z38/20,0)&gt;ROUNDUP(Z37/20,0),"Lần " &amp; ROUNDUP(Z38/20,0),"")</f>
        <v/>
      </c>
      <c r="AL38" s="4" t="n"/>
      <c r="AN38" s="596" t="inlineStr">
        <is>
          <t>Coc</t>
        </is>
      </c>
      <c r="AO38" s="596" t="n">
        <v>6</v>
      </c>
      <c r="AQ38" s="594" t="n"/>
      <c r="AR38" s="595" t="n"/>
    </row>
    <row r="39" ht="19" customHeight="1" s="672">
      <c r="A39" s="4" t="n">
        <v>34</v>
      </c>
      <c r="B39" s="5" t="inlineStr">
        <is>
          <t>Cọc khoan nhồi C1 Trụ T1 (D1.2m, L=40.0m)</t>
        </is>
      </c>
      <c r="C39" s="5" t="inlineStr">
        <is>
          <t>Cọc trụ T1 L=40m (tr.68)</t>
        </is>
      </c>
      <c r="D39" s="14" t="inlineStr">
        <is>
          <t>P1C</t>
        </is>
      </c>
      <c r="E39" s="15" t="n">
        <v>10</v>
      </c>
      <c r="F39" s="4" t="inlineStr">
        <is>
          <t>CB240-T</t>
        </is>
      </c>
      <c r="G39" s="5" t="inlineStr"/>
      <c r="H39" s="16" t="n">
        <v>3.592</v>
      </c>
      <c r="I39" s="17" t="n">
        <v>2</v>
      </c>
      <c r="J39" s="18" t="n">
        <v>0.617</v>
      </c>
      <c r="K39" s="7">
        <f>ROUND(H39*I39*J39, 2)</f>
        <v/>
      </c>
      <c r="L39" s="19">
        <f>ROUND(K39/1000, 3)</f>
        <v/>
      </c>
      <c r="M39" s="728">
        <f>IF(AO39="","",IF(N(INDEX(Theo_Doi_Tan_Suat_Be_Tong!$C:$C,AO39))&lt;=0,"",INDEX(Theo_Doi_Tan_Suat_Be_Tong!$C:$C,AO39)-VLOOKUP(AN39,$AQ$2:$AR$7,2,FALSE)))</f>
        <v/>
      </c>
      <c r="N39" s="4" t="n"/>
      <c r="O39" s="20">
        <f>IF(ROUNDUP(P39/20,0)&gt;ROUNDUP(P38/20,0),"TN Ø10 (Lần " &amp; ROUNDUP(P39/20,0) &amp; ")","")</f>
        <v/>
      </c>
      <c r="P39" s="16">
        <f>ROUND(P38+IF(AND(E39&lt;=10,F39&lt;&gt;"ASTM A416"),L39,0),3)</f>
        <v/>
      </c>
      <c r="Q39" s="16">
        <f>ROUND(Q38+IF(AND(E39=12,F39&lt;&gt;"ASTM A416"),L39,0),3)</f>
        <v/>
      </c>
      <c r="R39" s="16">
        <f>ROUND(R38+IF(AND(E39=14,F39&lt;&gt;"ASTM A416"),L39,0),3)</f>
        <v/>
      </c>
      <c r="S39" s="16">
        <f>ROUND(S38+IF(AND(E39=16,F39&lt;&gt;"ASTM A416"),L39,0),3)</f>
        <v/>
      </c>
      <c r="T39" s="16">
        <f>ROUND(T38+IF(AND(E39=18,F39&lt;&gt;"ASTM A416"),L39,0),3)</f>
        <v/>
      </c>
      <c r="U39" s="16">
        <f>ROUND(U38+IF(AND(E39=20,F39&lt;&gt;"ASTM A416"),L39,0),3)</f>
        <v/>
      </c>
      <c r="V39" s="16">
        <f>ROUND(V38+IF(AND(E39=22,F39&lt;&gt;"ASTM A416"),L39,0),3)</f>
        <v/>
      </c>
      <c r="W39" s="16">
        <f>ROUND(W38+IF(AND(E39=25,F39&lt;&gt;"ASTM A416"),L39,0),3)</f>
        <v/>
      </c>
      <c r="X39" s="16">
        <f>ROUND(X38+IF(AND(E39=28,F39&lt;&gt;"ASTM A416"),L39,0),3)</f>
        <v/>
      </c>
      <c r="Y39" s="16">
        <f>ROUND(Y38+IF(AND(E39=32,F39&lt;&gt;"ASTM A416"),L39,0),3)</f>
        <v/>
      </c>
      <c r="Z39" s="16">
        <f>ROUND(Z38+IF(F39="ASTM A416",L39,0),3)</f>
        <v/>
      </c>
      <c r="AA39" s="9">
        <f>IF(ROUNDUP(P39/20,0)&gt;ROUNDUP(P38/20,0),"Lần " &amp; ROUNDUP(P39/20,0),"")</f>
        <v/>
      </c>
      <c r="AB39" s="9">
        <f>IF(ROUNDUP(Q39/20,0)&gt;ROUNDUP(Q38/20,0),"Lần " &amp; ROUNDUP(Q39/20,0),"")</f>
        <v/>
      </c>
      <c r="AC39" s="9">
        <f>IF(ROUNDUP(R39/20,0)&gt;ROUNDUP(R38/20,0),"Lần " &amp; ROUNDUP(R39/20,0),"")</f>
        <v/>
      </c>
      <c r="AD39" s="9">
        <f>IF(ROUNDUP(S39/20,0)&gt;ROUNDUP(S38/20,0),"Lần " &amp; ROUNDUP(S39/20,0),"")</f>
        <v/>
      </c>
      <c r="AE39" s="9">
        <f>IF(ROUNDUP(T39/20,0)&gt;ROUNDUP(T38/20,0),"Lần " &amp; ROUNDUP(T39/20,0),"")</f>
        <v/>
      </c>
      <c r="AF39" s="9">
        <f>IF(ROUNDUP(U39/20,0)&gt;ROUNDUP(U38/20,0),"Lần " &amp; ROUNDUP(U39/20,0),"")</f>
        <v/>
      </c>
      <c r="AG39" s="9">
        <f>IF(ROUNDUP(V39/20,0)&gt;ROUNDUP(V38/20,0),"Lần " &amp; ROUNDUP(V39/20,0),"")</f>
        <v/>
      </c>
      <c r="AH39" s="9">
        <f>IF(ROUNDUP(W39/20,0)&gt;ROUNDUP(W38/20,0),"Lần " &amp; ROUNDUP(W39/20,0),"")</f>
        <v/>
      </c>
      <c r="AI39" s="9">
        <f>IF(ROUNDUP(X39/20,0)&gt;ROUNDUP(X38/20,0),"Lần " &amp; ROUNDUP(X39/20,0),"")</f>
        <v/>
      </c>
      <c r="AJ39" s="9">
        <f>IF(ROUNDUP(Y39/20,0)&gt;ROUNDUP(Y38/20,0),"Lần " &amp; ROUNDUP(Y39/20,0),"")</f>
        <v/>
      </c>
      <c r="AK39" s="9">
        <f>IF(ROUNDUP(Z39/20,0)&gt;ROUNDUP(Z38/20,0),"Lần " &amp; ROUNDUP(Z39/20,0),"")</f>
        <v/>
      </c>
      <c r="AL39" s="4" t="n"/>
      <c r="AN39" s="596" t="inlineStr">
        <is>
          <t>Coc</t>
        </is>
      </c>
      <c r="AO39" s="596" t="n">
        <v>6</v>
      </c>
      <c r="AQ39" s="594" t="n"/>
      <c r="AR39" s="595" t="n"/>
    </row>
    <row r="40" ht="19" customHeight="1" s="672">
      <c r="A40" s="4" t="n">
        <v>35</v>
      </c>
      <c r="B40" s="5" t="inlineStr">
        <is>
          <t>Cọc khoan nhồi C1 Trụ T1 (D1.2m, L=40.0m)</t>
        </is>
      </c>
      <c r="C40" s="5" t="inlineStr">
        <is>
          <t>Cọc trụ T1 L=40m (tr.68)</t>
        </is>
      </c>
      <c r="D40" s="14" t="inlineStr">
        <is>
          <t>P1D</t>
        </is>
      </c>
      <c r="E40" s="15" t="n">
        <v>10</v>
      </c>
      <c r="F40" s="4" t="inlineStr">
        <is>
          <t>CB240-T</t>
        </is>
      </c>
      <c r="G40" s="5" t="inlineStr"/>
      <c r="H40" s="16" t="n">
        <v>19.721</v>
      </c>
      <c r="I40" s="17" t="n">
        <v>1</v>
      </c>
      <c r="J40" s="18" t="n">
        <v>0.617</v>
      </c>
      <c r="K40" s="7">
        <f>ROUND(H40*I40*J40, 2)</f>
        <v/>
      </c>
      <c r="L40" s="19">
        <f>ROUND(K40/1000, 3)</f>
        <v/>
      </c>
      <c r="M40" s="728">
        <f>IF(AO40="","",IF(N(INDEX(Theo_Doi_Tan_Suat_Be_Tong!$C:$C,AO40))&lt;=0,"",INDEX(Theo_Doi_Tan_Suat_Be_Tong!$C:$C,AO40)-VLOOKUP(AN40,$AQ$2:$AR$7,2,FALSE)))</f>
        <v/>
      </c>
      <c r="N40" s="4" t="n"/>
      <c r="O40" s="20">
        <f>IF(ROUNDUP(P40/20,0)&gt;ROUNDUP(P39/20,0),"TN Ø10 (Lần " &amp; ROUNDUP(P40/20,0) &amp; ")","")</f>
        <v/>
      </c>
      <c r="P40" s="16">
        <f>ROUND(P39+IF(AND(E40&lt;=10,F40&lt;&gt;"ASTM A416"),L40,0),3)</f>
        <v/>
      </c>
      <c r="Q40" s="16">
        <f>ROUND(Q39+IF(AND(E40=12,F40&lt;&gt;"ASTM A416"),L40,0),3)</f>
        <v/>
      </c>
      <c r="R40" s="16">
        <f>ROUND(R39+IF(AND(E40=14,F40&lt;&gt;"ASTM A416"),L40,0),3)</f>
        <v/>
      </c>
      <c r="S40" s="16">
        <f>ROUND(S39+IF(AND(E40=16,F40&lt;&gt;"ASTM A416"),L40,0),3)</f>
        <v/>
      </c>
      <c r="T40" s="16">
        <f>ROUND(T39+IF(AND(E40=18,F40&lt;&gt;"ASTM A416"),L40,0),3)</f>
        <v/>
      </c>
      <c r="U40" s="16">
        <f>ROUND(U39+IF(AND(E40=20,F40&lt;&gt;"ASTM A416"),L40,0),3)</f>
        <v/>
      </c>
      <c r="V40" s="16">
        <f>ROUND(V39+IF(AND(E40=22,F40&lt;&gt;"ASTM A416"),L40,0),3)</f>
        <v/>
      </c>
      <c r="W40" s="16">
        <f>ROUND(W39+IF(AND(E40=25,F40&lt;&gt;"ASTM A416"),L40,0),3)</f>
        <v/>
      </c>
      <c r="X40" s="16">
        <f>ROUND(X39+IF(AND(E40=28,F40&lt;&gt;"ASTM A416"),L40,0),3)</f>
        <v/>
      </c>
      <c r="Y40" s="16">
        <f>ROUND(Y39+IF(AND(E40=32,F40&lt;&gt;"ASTM A416"),L40,0),3)</f>
        <v/>
      </c>
      <c r="Z40" s="16">
        <f>ROUND(Z39+IF(F40="ASTM A416",L40,0),3)</f>
        <v/>
      </c>
      <c r="AA40" s="9">
        <f>IF(ROUNDUP(P40/20,0)&gt;ROUNDUP(P39/20,0),"Lần " &amp; ROUNDUP(P40/20,0),"")</f>
        <v/>
      </c>
      <c r="AB40" s="9">
        <f>IF(ROUNDUP(Q40/20,0)&gt;ROUNDUP(Q39/20,0),"Lần " &amp; ROUNDUP(Q40/20,0),"")</f>
        <v/>
      </c>
      <c r="AC40" s="9">
        <f>IF(ROUNDUP(R40/20,0)&gt;ROUNDUP(R39/20,0),"Lần " &amp; ROUNDUP(R40/20,0),"")</f>
        <v/>
      </c>
      <c r="AD40" s="9">
        <f>IF(ROUNDUP(S40/20,0)&gt;ROUNDUP(S39/20,0),"Lần " &amp; ROUNDUP(S40/20,0),"")</f>
        <v/>
      </c>
      <c r="AE40" s="9">
        <f>IF(ROUNDUP(T40/20,0)&gt;ROUNDUP(T39/20,0),"Lần " &amp; ROUNDUP(T40/20,0),"")</f>
        <v/>
      </c>
      <c r="AF40" s="9">
        <f>IF(ROUNDUP(U40/20,0)&gt;ROUNDUP(U39/20,0),"Lần " &amp; ROUNDUP(U40/20,0),"")</f>
        <v/>
      </c>
      <c r="AG40" s="9">
        <f>IF(ROUNDUP(V40/20,0)&gt;ROUNDUP(V39/20,0),"Lần " &amp; ROUNDUP(V40/20,0),"")</f>
        <v/>
      </c>
      <c r="AH40" s="9">
        <f>IF(ROUNDUP(W40/20,0)&gt;ROUNDUP(W39/20,0),"Lần " &amp; ROUNDUP(W40/20,0),"")</f>
        <v/>
      </c>
      <c r="AI40" s="9">
        <f>IF(ROUNDUP(X40/20,0)&gt;ROUNDUP(X39/20,0),"Lần " &amp; ROUNDUP(X40/20,0),"")</f>
        <v/>
      </c>
      <c r="AJ40" s="9">
        <f>IF(ROUNDUP(Y40/20,0)&gt;ROUNDUP(Y39/20,0),"Lần " &amp; ROUNDUP(Y40/20,0),"")</f>
        <v/>
      </c>
      <c r="AK40" s="9">
        <f>IF(ROUNDUP(Z40/20,0)&gt;ROUNDUP(Z39/20,0),"Lần " &amp; ROUNDUP(Z40/20,0),"")</f>
        <v/>
      </c>
      <c r="AL40" s="4" t="n"/>
      <c r="AN40" s="596" t="inlineStr">
        <is>
          <t>Coc</t>
        </is>
      </c>
      <c r="AO40" s="596" t="n">
        <v>6</v>
      </c>
      <c r="AQ40" s="594" t="n"/>
      <c r="AR40" s="595" t="n"/>
    </row>
    <row r="41" ht="19" customHeight="1" s="672">
      <c r="A41" s="4" t="n">
        <v>36</v>
      </c>
      <c r="B41" s="5" t="inlineStr">
        <is>
          <t>Cọc khoan nhồi C1 Trụ T1 (D1.2m, L=40.0m)</t>
        </is>
      </c>
      <c r="C41" s="5" t="inlineStr">
        <is>
          <t>Cọc trụ T1 L=40m (tr.68)</t>
        </is>
      </c>
      <c r="D41" s="14" t="inlineStr">
        <is>
          <t>P2B</t>
        </is>
      </c>
      <c r="E41" s="15" t="n">
        <v>25</v>
      </c>
      <c r="F41" s="4" t="inlineStr">
        <is>
          <t>CB400-V</t>
        </is>
      </c>
      <c r="G41" s="5" t="inlineStr"/>
      <c r="H41" s="16" t="n">
        <v>2.985</v>
      </c>
      <c r="I41" s="17" t="n">
        <v>16</v>
      </c>
      <c r="J41" s="18" t="n">
        <v>3.853</v>
      </c>
      <c r="K41" s="7">
        <f>ROUND(H41*I41*J41, 2)</f>
        <v/>
      </c>
      <c r="L41" s="19">
        <f>ROUND(K41/1000, 3)</f>
        <v/>
      </c>
      <c r="M41" s="728">
        <f>IF(AO41="","",IF(N(INDEX(Theo_Doi_Tan_Suat_Be_Tong!$C:$C,AO41))&lt;=0,"",INDEX(Theo_Doi_Tan_Suat_Be_Tong!$C:$C,AO41)-VLOOKUP(AN41,$AQ$2:$AR$7,2,FALSE)))</f>
        <v/>
      </c>
      <c r="N41" s="4" t="n"/>
      <c r="O41" s="20">
        <f>IF(ROUNDUP(W41/20,0)&gt;ROUNDUP(W40/20,0),"TN Ø25 (Lần " &amp; ROUNDUP(W41/20,0) &amp; ")","")</f>
        <v/>
      </c>
      <c r="P41" s="16">
        <f>ROUND(P40+IF(AND(E41&lt;=10,F41&lt;&gt;"ASTM A416"),L41,0),3)</f>
        <v/>
      </c>
      <c r="Q41" s="16">
        <f>ROUND(Q40+IF(AND(E41=12,F41&lt;&gt;"ASTM A416"),L41,0),3)</f>
        <v/>
      </c>
      <c r="R41" s="16">
        <f>ROUND(R40+IF(AND(E41=14,F41&lt;&gt;"ASTM A416"),L41,0),3)</f>
        <v/>
      </c>
      <c r="S41" s="16">
        <f>ROUND(S40+IF(AND(E41=16,F41&lt;&gt;"ASTM A416"),L41,0),3)</f>
        <v/>
      </c>
      <c r="T41" s="16">
        <f>ROUND(T40+IF(AND(E41=18,F41&lt;&gt;"ASTM A416"),L41,0),3)</f>
        <v/>
      </c>
      <c r="U41" s="16">
        <f>ROUND(U40+IF(AND(E41=20,F41&lt;&gt;"ASTM A416"),L41,0),3)</f>
        <v/>
      </c>
      <c r="V41" s="16">
        <f>ROUND(V40+IF(AND(E41=22,F41&lt;&gt;"ASTM A416"),L41,0),3)</f>
        <v/>
      </c>
      <c r="W41" s="16">
        <f>ROUND(W40+IF(AND(E41=25,F41&lt;&gt;"ASTM A416"),L41,0),3)</f>
        <v/>
      </c>
      <c r="X41" s="16">
        <f>ROUND(X40+IF(AND(E41=28,F41&lt;&gt;"ASTM A416"),L41,0),3)</f>
        <v/>
      </c>
      <c r="Y41" s="16">
        <f>ROUND(Y40+IF(AND(E41=32,F41&lt;&gt;"ASTM A416"),L41,0),3)</f>
        <v/>
      </c>
      <c r="Z41" s="16">
        <f>ROUND(Z40+IF(F41="ASTM A416",L41,0),3)</f>
        <v/>
      </c>
      <c r="AA41" s="9">
        <f>IF(ROUNDUP(P41/20,0)&gt;ROUNDUP(P40/20,0),"Lần " &amp; ROUNDUP(P41/20,0),"")</f>
        <v/>
      </c>
      <c r="AB41" s="9">
        <f>IF(ROUNDUP(Q41/20,0)&gt;ROUNDUP(Q40/20,0),"Lần " &amp; ROUNDUP(Q41/20,0),"")</f>
        <v/>
      </c>
      <c r="AC41" s="9">
        <f>IF(ROUNDUP(R41/20,0)&gt;ROUNDUP(R40/20,0),"Lần " &amp; ROUNDUP(R41/20,0),"")</f>
        <v/>
      </c>
      <c r="AD41" s="9">
        <f>IF(ROUNDUP(S41/20,0)&gt;ROUNDUP(S40/20,0),"Lần " &amp; ROUNDUP(S41/20,0),"")</f>
        <v/>
      </c>
      <c r="AE41" s="9">
        <f>IF(ROUNDUP(T41/20,0)&gt;ROUNDUP(T40/20,0),"Lần " &amp; ROUNDUP(T41/20,0),"")</f>
        <v/>
      </c>
      <c r="AF41" s="9">
        <f>IF(ROUNDUP(U41/20,0)&gt;ROUNDUP(U40/20,0),"Lần " &amp; ROUNDUP(U41/20,0),"")</f>
        <v/>
      </c>
      <c r="AG41" s="9">
        <f>IF(ROUNDUP(V41/20,0)&gt;ROUNDUP(V40/20,0),"Lần " &amp; ROUNDUP(V41/20,0),"")</f>
        <v/>
      </c>
      <c r="AH41" s="9">
        <f>IF(ROUNDUP(W41/20,0)&gt;ROUNDUP(W40/20,0),"Lần " &amp; ROUNDUP(W41/20,0),"")</f>
        <v/>
      </c>
      <c r="AI41" s="9">
        <f>IF(ROUNDUP(X41/20,0)&gt;ROUNDUP(X40/20,0),"Lần " &amp; ROUNDUP(X41/20,0),"")</f>
        <v/>
      </c>
      <c r="AJ41" s="9">
        <f>IF(ROUNDUP(Y41/20,0)&gt;ROUNDUP(Y40/20,0),"Lần " &amp; ROUNDUP(Y41/20,0),"")</f>
        <v/>
      </c>
      <c r="AK41" s="9">
        <f>IF(ROUNDUP(Z41/20,0)&gt;ROUNDUP(Z40/20,0),"Lần " &amp; ROUNDUP(Z41/20,0),"")</f>
        <v/>
      </c>
      <c r="AL41" s="4" t="n"/>
      <c r="AN41" s="596" t="inlineStr">
        <is>
          <t>Coc</t>
        </is>
      </c>
      <c r="AO41" s="596" t="n">
        <v>6</v>
      </c>
      <c r="AQ41" s="594" t="n"/>
      <c r="AR41" s="595" t="n"/>
    </row>
    <row r="42" ht="19" customHeight="1" s="672">
      <c r="A42" s="4" t="n">
        <v>37</v>
      </c>
      <c r="B42" s="5" t="inlineStr">
        <is>
          <t>Cọc khoan nhồi C1 Trụ T1 (D1.2m, L=40.0m)</t>
        </is>
      </c>
      <c r="C42" s="5" t="inlineStr">
        <is>
          <t>Cọc trụ T1 L=40m (tr.68)</t>
        </is>
      </c>
      <c r="D42" s="14" t="inlineStr">
        <is>
          <t>P3</t>
        </is>
      </c>
      <c r="E42" s="15" t="n">
        <v>25</v>
      </c>
      <c r="F42" s="4" t="inlineStr">
        <is>
          <t>CB400-V</t>
        </is>
      </c>
      <c r="G42" s="5" t="inlineStr"/>
      <c r="H42" s="16" t="n">
        <v>10.7</v>
      </c>
      <c r="I42" s="17" t="n">
        <v>12</v>
      </c>
      <c r="J42" s="18" t="n">
        <v>3.853</v>
      </c>
      <c r="K42" s="7">
        <f>ROUND(H42*I42*J42, 2)</f>
        <v/>
      </c>
      <c r="L42" s="19">
        <f>ROUND(K42/1000, 3)</f>
        <v/>
      </c>
      <c r="M42" s="728">
        <f>IF(AO42="","",IF(N(INDEX(Theo_Doi_Tan_Suat_Be_Tong!$C:$C,AO42))&lt;=0,"",INDEX(Theo_Doi_Tan_Suat_Be_Tong!$C:$C,AO42)-VLOOKUP(AN42,$AQ$2:$AR$7,2,FALSE)))</f>
        <v/>
      </c>
      <c r="N42" s="4" t="n"/>
      <c r="O42" s="20">
        <f>IF(ROUNDUP(W42/20,0)&gt;ROUNDUP(W41/20,0),"TN Ø25 (Lần " &amp; ROUNDUP(W42/20,0) &amp; ")","")</f>
        <v/>
      </c>
      <c r="P42" s="16">
        <f>ROUND(P41+IF(AND(E42&lt;=10,F42&lt;&gt;"ASTM A416"),L42,0),3)</f>
        <v/>
      </c>
      <c r="Q42" s="16">
        <f>ROUND(Q41+IF(AND(E42=12,F42&lt;&gt;"ASTM A416"),L42,0),3)</f>
        <v/>
      </c>
      <c r="R42" s="16">
        <f>ROUND(R41+IF(AND(E42=14,F42&lt;&gt;"ASTM A416"),L42,0),3)</f>
        <v/>
      </c>
      <c r="S42" s="16">
        <f>ROUND(S41+IF(AND(E42=16,F42&lt;&gt;"ASTM A416"),L42,0),3)</f>
        <v/>
      </c>
      <c r="T42" s="16">
        <f>ROUND(T41+IF(AND(E42=18,F42&lt;&gt;"ASTM A416"),L42,0),3)</f>
        <v/>
      </c>
      <c r="U42" s="16">
        <f>ROUND(U41+IF(AND(E42=20,F42&lt;&gt;"ASTM A416"),L42,0),3)</f>
        <v/>
      </c>
      <c r="V42" s="16">
        <f>ROUND(V41+IF(AND(E42=22,F42&lt;&gt;"ASTM A416"),L42,0),3)</f>
        <v/>
      </c>
      <c r="W42" s="16">
        <f>ROUND(W41+IF(AND(E42=25,F42&lt;&gt;"ASTM A416"),L42,0),3)</f>
        <v/>
      </c>
      <c r="X42" s="16">
        <f>ROUND(X41+IF(AND(E42=28,F42&lt;&gt;"ASTM A416"),L42,0),3)</f>
        <v/>
      </c>
      <c r="Y42" s="16">
        <f>ROUND(Y41+IF(AND(E42=32,F42&lt;&gt;"ASTM A416"),L42,0),3)</f>
        <v/>
      </c>
      <c r="Z42" s="16">
        <f>ROUND(Z41+IF(F42="ASTM A416",L42,0),3)</f>
        <v/>
      </c>
      <c r="AA42" s="9">
        <f>IF(ROUNDUP(P42/20,0)&gt;ROUNDUP(P41/20,0),"Lần " &amp; ROUNDUP(P42/20,0),"")</f>
        <v/>
      </c>
      <c r="AB42" s="9">
        <f>IF(ROUNDUP(Q42/20,0)&gt;ROUNDUP(Q41/20,0),"Lần " &amp; ROUNDUP(Q42/20,0),"")</f>
        <v/>
      </c>
      <c r="AC42" s="9">
        <f>IF(ROUNDUP(R42/20,0)&gt;ROUNDUP(R41/20,0),"Lần " &amp; ROUNDUP(R42/20,0),"")</f>
        <v/>
      </c>
      <c r="AD42" s="9">
        <f>IF(ROUNDUP(S42/20,0)&gt;ROUNDUP(S41/20,0),"Lần " &amp; ROUNDUP(S42/20,0),"")</f>
        <v/>
      </c>
      <c r="AE42" s="9">
        <f>IF(ROUNDUP(T42/20,0)&gt;ROUNDUP(T41/20,0),"Lần " &amp; ROUNDUP(T42/20,0),"")</f>
        <v/>
      </c>
      <c r="AF42" s="9">
        <f>IF(ROUNDUP(U42/20,0)&gt;ROUNDUP(U41/20,0),"Lần " &amp; ROUNDUP(U42/20,0),"")</f>
        <v/>
      </c>
      <c r="AG42" s="9">
        <f>IF(ROUNDUP(V42/20,0)&gt;ROUNDUP(V41/20,0),"Lần " &amp; ROUNDUP(V42/20,0),"")</f>
        <v/>
      </c>
      <c r="AH42" s="9">
        <f>IF(ROUNDUP(W42/20,0)&gt;ROUNDUP(W41/20,0),"Lần " &amp; ROUNDUP(W42/20,0),"")</f>
        <v/>
      </c>
      <c r="AI42" s="9">
        <f>IF(ROUNDUP(X42/20,0)&gt;ROUNDUP(X41/20,0),"Lần " &amp; ROUNDUP(X42/20,0),"")</f>
        <v/>
      </c>
      <c r="AJ42" s="9">
        <f>IF(ROUNDUP(Y42/20,0)&gt;ROUNDUP(Y41/20,0),"Lần " &amp; ROUNDUP(Y42/20,0),"")</f>
        <v/>
      </c>
      <c r="AK42" s="9">
        <f>IF(ROUNDUP(Z42/20,0)&gt;ROUNDUP(Z41/20,0),"Lần " &amp; ROUNDUP(Z42/20,0),"")</f>
        <v/>
      </c>
      <c r="AL42" s="4" t="n"/>
      <c r="AN42" s="596" t="inlineStr">
        <is>
          <t>Coc</t>
        </is>
      </c>
      <c r="AO42" s="596" t="n">
        <v>6</v>
      </c>
      <c r="AQ42" s="594" t="n"/>
      <c r="AR42" s="595" t="n"/>
    </row>
    <row r="43" ht="19" customHeight="1" s="672">
      <c r="A43" s="4" t="n">
        <v>38</v>
      </c>
      <c r="B43" s="5" t="inlineStr">
        <is>
          <t>Cọc khoan nhồi C1 Trụ T1 (D1.2m, L=40.0m)</t>
        </is>
      </c>
      <c r="C43" s="5" t="inlineStr">
        <is>
          <t>Cọc trụ T1 L=40m (tr.68)</t>
        </is>
      </c>
      <c r="D43" s="14" t="inlineStr">
        <is>
          <t>P4</t>
        </is>
      </c>
      <c r="E43" s="15" t="n">
        <v>25</v>
      </c>
      <c r="F43" s="4" t="inlineStr">
        <is>
          <t>CB400-V</t>
        </is>
      </c>
      <c r="G43" s="5" t="inlineStr"/>
      <c r="H43" s="16" t="n">
        <v>11.7</v>
      </c>
      <c r="I43" s="17" t="n">
        <v>60</v>
      </c>
      <c r="J43" s="18" t="n">
        <v>3.853</v>
      </c>
      <c r="K43" s="7">
        <f>ROUND(H43*I43*J43, 2)</f>
        <v/>
      </c>
      <c r="L43" s="19">
        <f>ROUND(K43/1000, 3)</f>
        <v/>
      </c>
      <c r="M43" s="728">
        <f>IF(AO43="","",IF(N(INDEX(Theo_Doi_Tan_Suat_Be_Tong!$C:$C,AO43))&lt;=0,"",INDEX(Theo_Doi_Tan_Suat_Be_Tong!$C:$C,AO43)-VLOOKUP(AN43,$AQ$2:$AR$7,2,FALSE)))</f>
        <v/>
      </c>
      <c r="N43" s="4" t="n"/>
      <c r="O43" s="20">
        <f>IF(ROUNDUP(W43/20,0)&gt;ROUNDUP(W42/20,0),"TN Ø25 (Lần " &amp; ROUNDUP(W43/20,0) &amp; ")","")</f>
        <v/>
      </c>
      <c r="P43" s="16">
        <f>ROUND(P42+IF(AND(E43&lt;=10,F43&lt;&gt;"ASTM A416"),L43,0),3)</f>
        <v/>
      </c>
      <c r="Q43" s="16">
        <f>ROUND(Q42+IF(AND(E43=12,F43&lt;&gt;"ASTM A416"),L43,0),3)</f>
        <v/>
      </c>
      <c r="R43" s="16">
        <f>ROUND(R42+IF(AND(E43=14,F43&lt;&gt;"ASTM A416"),L43,0),3)</f>
        <v/>
      </c>
      <c r="S43" s="16">
        <f>ROUND(S42+IF(AND(E43=16,F43&lt;&gt;"ASTM A416"),L43,0),3)</f>
        <v/>
      </c>
      <c r="T43" s="16">
        <f>ROUND(T42+IF(AND(E43=18,F43&lt;&gt;"ASTM A416"),L43,0),3)</f>
        <v/>
      </c>
      <c r="U43" s="16">
        <f>ROUND(U42+IF(AND(E43=20,F43&lt;&gt;"ASTM A416"),L43,0),3)</f>
        <v/>
      </c>
      <c r="V43" s="16">
        <f>ROUND(V42+IF(AND(E43=22,F43&lt;&gt;"ASTM A416"),L43,0),3)</f>
        <v/>
      </c>
      <c r="W43" s="16">
        <f>ROUND(W42+IF(AND(E43=25,F43&lt;&gt;"ASTM A416"),L43,0),3)</f>
        <v/>
      </c>
      <c r="X43" s="16">
        <f>ROUND(X42+IF(AND(E43=28,F43&lt;&gt;"ASTM A416"),L43,0),3)</f>
        <v/>
      </c>
      <c r="Y43" s="16">
        <f>ROUND(Y42+IF(AND(E43=32,F43&lt;&gt;"ASTM A416"),L43,0),3)</f>
        <v/>
      </c>
      <c r="Z43" s="16">
        <f>ROUND(Z42+IF(F43="ASTM A416",L43,0),3)</f>
        <v/>
      </c>
      <c r="AA43" s="9">
        <f>IF(ROUNDUP(P43/20,0)&gt;ROUNDUP(P42/20,0),"Lần " &amp; ROUNDUP(P43/20,0),"")</f>
        <v/>
      </c>
      <c r="AB43" s="9">
        <f>IF(ROUNDUP(Q43/20,0)&gt;ROUNDUP(Q42/20,0),"Lần " &amp; ROUNDUP(Q43/20,0),"")</f>
        <v/>
      </c>
      <c r="AC43" s="9">
        <f>IF(ROUNDUP(R43/20,0)&gt;ROUNDUP(R42/20,0),"Lần " &amp; ROUNDUP(R43/20,0),"")</f>
        <v/>
      </c>
      <c r="AD43" s="9">
        <f>IF(ROUNDUP(S43/20,0)&gt;ROUNDUP(S42/20,0),"Lần " &amp; ROUNDUP(S43/20,0),"")</f>
        <v/>
      </c>
      <c r="AE43" s="9">
        <f>IF(ROUNDUP(T43/20,0)&gt;ROUNDUP(T42/20,0),"Lần " &amp; ROUNDUP(T43/20,0),"")</f>
        <v/>
      </c>
      <c r="AF43" s="9">
        <f>IF(ROUNDUP(U43/20,0)&gt;ROUNDUP(U42/20,0),"Lần " &amp; ROUNDUP(U43/20,0),"")</f>
        <v/>
      </c>
      <c r="AG43" s="9">
        <f>IF(ROUNDUP(V43/20,0)&gt;ROUNDUP(V42/20,0),"Lần " &amp; ROUNDUP(V43/20,0),"")</f>
        <v/>
      </c>
      <c r="AH43" s="9">
        <f>IF(ROUNDUP(W43/20,0)&gt;ROUNDUP(W42/20,0),"Lần " &amp; ROUNDUP(W43/20,0),"")</f>
        <v/>
      </c>
      <c r="AI43" s="9">
        <f>IF(ROUNDUP(X43/20,0)&gt;ROUNDUP(X42/20,0),"Lần " &amp; ROUNDUP(X43/20,0),"")</f>
        <v/>
      </c>
      <c r="AJ43" s="9">
        <f>IF(ROUNDUP(Y43/20,0)&gt;ROUNDUP(Y42/20,0),"Lần " &amp; ROUNDUP(Y43/20,0),"")</f>
        <v/>
      </c>
      <c r="AK43" s="9">
        <f>IF(ROUNDUP(Z43/20,0)&gt;ROUNDUP(Z42/20,0),"Lần " &amp; ROUNDUP(Z43/20,0),"")</f>
        <v/>
      </c>
      <c r="AL43" s="4" t="n"/>
      <c r="AN43" s="596" t="inlineStr">
        <is>
          <t>Coc</t>
        </is>
      </c>
      <c r="AO43" s="596" t="n">
        <v>6</v>
      </c>
      <c r="AQ43" s="594" t="n"/>
      <c r="AR43" s="595" t="n"/>
    </row>
    <row r="44" ht="19" customHeight="1" s="672">
      <c r="A44" s="4" t="n">
        <v>39</v>
      </c>
      <c r="B44" s="5" t="inlineStr">
        <is>
          <t>Cọc khoan nhồi C1 Trụ T1 (D1.2m, L=40.0m)</t>
        </is>
      </c>
      <c r="C44" s="5" t="inlineStr">
        <is>
          <t>Cọc trụ T1 L=40m (tr.68)</t>
        </is>
      </c>
      <c r="D44" s="14" t="inlineStr">
        <is>
          <t>P6</t>
        </is>
      </c>
      <c r="E44" s="15" t="n">
        <v>25</v>
      </c>
      <c r="F44" s="4" t="inlineStr">
        <is>
          <t>CB400-V</t>
        </is>
      </c>
      <c r="G44" s="5" t="inlineStr"/>
      <c r="H44" s="16" t="n">
        <v>9.032999999999999</v>
      </c>
      <c r="I44" s="17" t="n">
        <v>12</v>
      </c>
      <c r="J44" s="18" t="n">
        <v>3.853</v>
      </c>
      <c r="K44" s="7">
        <f>ROUND(H44*I44*J44, 2)</f>
        <v/>
      </c>
      <c r="L44" s="19">
        <f>ROUND(K44/1000, 3)</f>
        <v/>
      </c>
      <c r="M44" s="728">
        <f>IF(AO44="","",IF(N(INDEX(Theo_Doi_Tan_Suat_Be_Tong!$C:$C,AO44))&lt;=0,"",INDEX(Theo_Doi_Tan_Suat_Be_Tong!$C:$C,AO44)-VLOOKUP(AN44,$AQ$2:$AR$7,2,FALSE)))</f>
        <v/>
      </c>
      <c r="N44" s="4" t="n"/>
      <c r="O44" s="20">
        <f>IF(ROUNDUP(W44/20,0)&gt;ROUNDUP(W43/20,0),"TN Ø25 (Lần " &amp; ROUNDUP(W44/20,0) &amp; ")","")</f>
        <v/>
      </c>
      <c r="P44" s="16">
        <f>ROUND(P43+IF(AND(E44&lt;=10,F44&lt;&gt;"ASTM A416"),L44,0),3)</f>
        <v/>
      </c>
      <c r="Q44" s="16">
        <f>ROUND(Q43+IF(AND(E44=12,F44&lt;&gt;"ASTM A416"),L44,0),3)</f>
        <v/>
      </c>
      <c r="R44" s="16">
        <f>ROUND(R43+IF(AND(E44=14,F44&lt;&gt;"ASTM A416"),L44,0),3)</f>
        <v/>
      </c>
      <c r="S44" s="16">
        <f>ROUND(S43+IF(AND(E44=16,F44&lt;&gt;"ASTM A416"),L44,0),3)</f>
        <v/>
      </c>
      <c r="T44" s="16">
        <f>ROUND(T43+IF(AND(E44=18,F44&lt;&gt;"ASTM A416"),L44,0),3)</f>
        <v/>
      </c>
      <c r="U44" s="16">
        <f>ROUND(U43+IF(AND(E44=20,F44&lt;&gt;"ASTM A416"),L44,0),3)</f>
        <v/>
      </c>
      <c r="V44" s="16">
        <f>ROUND(V43+IF(AND(E44=22,F44&lt;&gt;"ASTM A416"),L44,0),3)</f>
        <v/>
      </c>
      <c r="W44" s="16">
        <f>ROUND(W43+IF(AND(E44=25,F44&lt;&gt;"ASTM A416"),L44,0),3)</f>
        <v/>
      </c>
      <c r="X44" s="16">
        <f>ROUND(X43+IF(AND(E44=28,F44&lt;&gt;"ASTM A416"),L44,0),3)</f>
        <v/>
      </c>
      <c r="Y44" s="16">
        <f>ROUND(Y43+IF(AND(E44=32,F44&lt;&gt;"ASTM A416"),L44,0),3)</f>
        <v/>
      </c>
      <c r="Z44" s="16">
        <f>ROUND(Z43+IF(F44="ASTM A416",L44,0),3)</f>
        <v/>
      </c>
      <c r="AA44" s="9">
        <f>IF(ROUNDUP(P44/20,0)&gt;ROUNDUP(P43/20,0),"Lần " &amp; ROUNDUP(P44/20,0),"")</f>
        <v/>
      </c>
      <c r="AB44" s="9">
        <f>IF(ROUNDUP(Q44/20,0)&gt;ROUNDUP(Q43/20,0),"Lần " &amp; ROUNDUP(Q44/20,0),"")</f>
        <v/>
      </c>
      <c r="AC44" s="9">
        <f>IF(ROUNDUP(R44/20,0)&gt;ROUNDUP(R43/20,0),"Lần " &amp; ROUNDUP(R44/20,0),"")</f>
        <v/>
      </c>
      <c r="AD44" s="9">
        <f>IF(ROUNDUP(S44/20,0)&gt;ROUNDUP(S43/20,0),"Lần " &amp; ROUNDUP(S44/20,0),"")</f>
        <v/>
      </c>
      <c r="AE44" s="9">
        <f>IF(ROUNDUP(T44/20,0)&gt;ROUNDUP(T43/20,0),"Lần " &amp; ROUNDUP(T44/20,0),"")</f>
        <v/>
      </c>
      <c r="AF44" s="9">
        <f>IF(ROUNDUP(U44/20,0)&gt;ROUNDUP(U43/20,0),"Lần " &amp; ROUNDUP(U44/20,0),"")</f>
        <v/>
      </c>
      <c r="AG44" s="9">
        <f>IF(ROUNDUP(V44/20,0)&gt;ROUNDUP(V43/20,0),"Lần " &amp; ROUNDUP(V44/20,0),"")</f>
        <v/>
      </c>
      <c r="AH44" s="9">
        <f>IF(ROUNDUP(W44/20,0)&gt;ROUNDUP(W43/20,0),"Lần " &amp; ROUNDUP(W44/20,0),"")</f>
        <v/>
      </c>
      <c r="AI44" s="9">
        <f>IF(ROUNDUP(X44/20,0)&gt;ROUNDUP(X43/20,0),"Lần " &amp; ROUNDUP(X44/20,0),"")</f>
        <v/>
      </c>
      <c r="AJ44" s="9">
        <f>IF(ROUNDUP(Y44/20,0)&gt;ROUNDUP(Y43/20,0),"Lần " &amp; ROUNDUP(Y44/20,0),"")</f>
        <v/>
      </c>
      <c r="AK44" s="9">
        <f>IF(ROUNDUP(Z44/20,0)&gt;ROUNDUP(Z43/20,0),"Lần " &amp; ROUNDUP(Z44/20,0),"")</f>
        <v/>
      </c>
      <c r="AL44" s="4" t="n"/>
      <c r="AN44" s="596" t="inlineStr">
        <is>
          <t>Coc</t>
        </is>
      </c>
      <c r="AO44" s="596" t="n">
        <v>6</v>
      </c>
      <c r="AQ44" s="594" t="n"/>
      <c r="AR44" s="595" t="n"/>
    </row>
    <row r="45" ht="19" customHeight="1" s="672">
      <c r="A45" s="4" t="n">
        <v>40</v>
      </c>
      <c r="B45" s="5" t="inlineStr">
        <is>
          <t>Cọc khoan nhồi C1 Trụ T1 (D1.2m, L=40.0m)</t>
        </is>
      </c>
      <c r="C45" s="5" t="inlineStr">
        <is>
          <t>Cọc trụ T1 L=40m (tr.68)</t>
        </is>
      </c>
      <c r="D45" s="14" t="inlineStr">
        <is>
          <t>P7</t>
        </is>
      </c>
      <c r="E45" s="15" t="n">
        <v>25</v>
      </c>
      <c r="F45" s="4" t="inlineStr">
        <is>
          <t>CB400-V</t>
        </is>
      </c>
      <c r="G45" s="5" t="inlineStr"/>
      <c r="H45" s="16" t="n">
        <v>10.033</v>
      </c>
      <c r="I45" s="17" t="n">
        <v>12</v>
      </c>
      <c r="J45" s="18" t="n">
        <v>3.853</v>
      </c>
      <c r="K45" s="7">
        <f>ROUND(H45*I45*J45, 2)</f>
        <v/>
      </c>
      <c r="L45" s="19">
        <f>ROUND(K45/1000, 3)</f>
        <v/>
      </c>
      <c r="M45" s="728">
        <f>IF(AO45="","",IF(N(INDEX(Theo_Doi_Tan_Suat_Be_Tong!$C:$C,AO45))&lt;=0,"",INDEX(Theo_Doi_Tan_Suat_Be_Tong!$C:$C,AO45)-VLOOKUP(AN45,$AQ$2:$AR$7,2,FALSE)))</f>
        <v/>
      </c>
      <c r="N45" s="4" t="n"/>
      <c r="O45" s="20">
        <f>IF(ROUNDUP(W45/20,0)&gt;ROUNDUP(W44/20,0),"TN Ø25 (Lần " &amp; ROUNDUP(W45/20,0) &amp; ")","")</f>
        <v/>
      </c>
      <c r="P45" s="16">
        <f>ROUND(P44+IF(AND(E45&lt;=10,F45&lt;&gt;"ASTM A416"),L45,0),3)</f>
        <v/>
      </c>
      <c r="Q45" s="16">
        <f>ROUND(Q44+IF(AND(E45=12,F45&lt;&gt;"ASTM A416"),L45,0),3)</f>
        <v/>
      </c>
      <c r="R45" s="16">
        <f>ROUND(R44+IF(AND(E45=14,F45&lt;&gt;"ASTM A416"),L45,0),3)</f>
        <v/>
      </c>
      <c r="S45" s="16">
        <f>ROUND(S44+IF(AND(E45=16,F45&lt;&gt;"ASTM A416"),L45,0),3)</f>
        <v/>
      </c>
      <c r="T45" s="16">
        <f>ROUND(T44+IF(AND(E45=18,F45&lt;&gt;"ASTM A416"),L45,0),3)</f>
        <v/>
      </c>
      <c r="U45" s="16">
        <f>ROUND(U44+IF(AND(E45=20,F45&lt;&gt;"ASTM A416"),L45,0),3)</f>
        <v/>
      </c>
      <c r="V45" s="16">
        <f>ROUND(V44+IF(AND(E45=22,F45&lt;&gt;"ASTM A416"),L45,0),3)</f>
        <v/>
      </c>
      <c r="W45" s="16">
        <f>ROUND(W44+IF(AND(E45=25,F45&lt;&gt;"ASTM A416"),L45,0),3)</f>
        <v/>
      </c>
      <c r="X45" s="16">
        <f>ROUND(X44+IF(AND(E45=28,F45&lt;&gt;"ASTM A416"),L45,0),3)</f>
        <v/>
      </c>
      <c r="Y45" s="16">
        <f>ROUND(Y44+IF(AND(E45=32,F45&lt;&gt;"ASTM A416"),L45,0),3)</f>
        <v/>
      </c>
      <c r="Z45" s="16">
        <f>ROUND(Z44+IF(F45="ASTM A416",L45,0),3)</f>
        <v/>
      </c>
      <c r="AA45" s="9">
        <f>IF(ROUNDUP(P45/20,0)&gt;ROUNDUP(P44/20,0),"Lần " &amp; ROUNDUP(P45/20,0),"")</f>
        <v/>
      </c>
      <c r="AB45" s="9">
        <f>IF(ROUNDUP(Q45/20,0)&gt;ROUNDUP(Q44/20,0),"Lần " &amp; ROUNDUP(Q45/20,0),"")</f>
        <v/>
      </c>
      <c r="AC45" s="9">
        <f>IF(ROUNDUP(R45/20,0)&gt;ROUNDUP(R44/20,0),"Lần " &amp; ROUNDUP(R45/20,0),"")</f>
        <v/>
      </c>
      <c r="AD45" s="9">
        <f>IF(ROUNDUP(S45/20,0)&gt;ROUNDUP(S44/20,0),"Lần " &amp; ROUNDUP(S45/20,0),"")</f>
        <v/>
      </c>
      <c r="AE45" s="9">
        <f>IF(ROUNDUP(T45/20,0)&gt;ROUNDUP(T44/20,0),"Lần " &amp; ROUNDUP(T45/20,0),"")</f>
        <v/>
      </c>
      <c r="AF45" s="9">
        <f>IF(ROUNDUP(U45/20,0)&gt;ROUNDUP(U44/20,0),"Lần " &amp; ROUNDUP(U45/20,0),"")</f>
        <v/>
      </c>
      <c r="AG45" s="9">
        <f>IF(ROUNDUP(V45/20,0)&gt;ROUNDUP(V44/20,0),"Lần " &amp; ROUNDUP(V45/20,0),"")</f>
        <v/>
      </c>
      <c r="AH45" s="9">
        <f>IF(ROUNDUP(W45/20,0)&gt;ROUNDUP(W44/20,0),"Lần " &amp; ROUNDUP(W45/20,0),"")</f>
        <v/>
      </c>
      <c r="AI45" s="9">
        <f>IF(ROUNDUP(X45/20,0)&gt;ROUNDUP(X44/20,0),"Lần " &amp; ROUNDUP(X45/20,0),"")</f>
        <v/>
      </c>
      <c r="AJ45" s="9">
        <f>IF(ROUNDUP(Y45/20,0)&gt;ROUNDUP(Y44/20,0),"Lần " &amp; ROUNDUP(Y45/20,0),"")</f>
        <v/>
      </c>
      <c r="AK45" s="9">
        <f>IF(ROUNDUP(Z45/20,0)&gt;ROUNDUP(Z44/20,0),"Lần " &amp; ROUNDUP(Z45/20,0),"")</f>
        <v/>
      </c>
      <c r="AL45" s="4" t="n"/>
      <c r="AN45" s="596" t="inlineStr">
        <is>
          <t>Coc</t>
        </is>
      </c>
      <c r="AO45" s="596" t="n">
        <v>6</v>
      </c>
      <c r="AQ45" s="594" t="n"/>
      <c r="AR45" s="595" t="n"/>
    </row>
    <row r="46" ht="19" customHeight="1" s="672">
      <c r="A46" s="4" t="n">
        <v>41</v>
      </c>
      <c r="B46" s="5" t="inlineStr">
        <is>
          <t>Cọc khoan nhồi C1 Trụ T1 (D1.2m, L=40.0m)</t>
        </is>
      </c>
      <c r="C46" s="5" t="inlineStr">
        <is>
          <t>Cọc trụ T1 L=40m (tr.68)</t>
        </is>
      </c>
      <c r="D46" s="14" t="inlineStr">
        <is>
          <t>P8</t>
        </is>
      </c>
      <c r="E46" s="15" t="n">
        <v>12</v>
      </c>
      <c r="F46" s="4" t="inlineStr">
        <is>
          <t>CB400-V</t>
        </is>
      </c>
      <c r="G46" s="5" t="inlineStr"/>
      <c r="H46" s="16" t="n">
        <v>0.647</v>
      </c>
      <c r="I46" s="17" t="n">
        <v>16</v>
      </c>
      <c r="J46" s="18" t="n">
        <v>0.888</v>
      </c>
      <c r="K46" s="7">
        <f>ROUND(H46*I46*J46, 2)</f>
        <v/>
      </c>
      <c r="L46" s="19">
        <f>ROUND(K46/1000, 3)</f>
        <v/>
      </c>
      <c r="M46" s="728">
        <f>IF(AO46="","",IF(N(INDEX(Theo_Doi_Tan_Suat_Be_Tong!$C:$C,AO46))&lt;=0,"",INDEX(Theo_Doi_Tan_Suat_Be_Tong!$C:$C,AO46)-VLOOKUP(AN46,$AQ$2:$AR$7,2,FALSE)))</f>
        <v/>
      </c>
      <c r="N46" s="4" t="n"/>
      <c r="O46" s="20">
        <f>IF(ROUNDUP(Q46/20,0)&gt;ROUNDUP(Q45/20,0),"TN Ø12 (Lần " &amp; ROUNDUP(Q46/20,0) &amp; ")","")</f>
        <v/>
      </c>
      <c r="P46" s="16">
        <f>ROUND(P45+IF(AND(E46&lt;=10,F46&lt;&gt;"ASTM A416"),L46,0),3)</f>
        <v/>
      </c>
      <c r="Q46" s="16">
        <f>ROUND(Q45+IF(AND(E46=12,F46&lt;&gt;"ASTM A416"),L46,0),3)</f>
        <v/>
      </c>
      <c r="R46" s="16">
        <f>ROUND(R45+IF(AND(E46=14,F46&lt;&gt;"ASTM A416"),L46,0),3)</f>
        <v/>
      </c>
      <c r="S46" s="16">
        <f>ROUND(S45+IF(AND(E46=16,F46&lt;&gt;"ASTM A416"),L46,0),3)</f>
        <v/>
      </c>
      <c r="T46" s="16">
        <f>ROUND(T45+IF(AND(E46=18,F46&lt;&gt;"ASTM A416"),L46,0),3)</f>
        <v/>
      </c>
      <c r="U46" s="16">
        <f>ROUND(U45+IF(AND(E46=20,F46&lt;&gt;"ASTM A416"),L46,0),3)</f>
        <v/>
      </c>
      <c r="V46" s="16">
        <f>ROUND(V45+IF(AND(E46=22,F46&lt;&gt;"ASTM A416"),L46,0),3)</f>
        <v/>
      </c>
      <c r="W46" s="16">
        <f>ROUND(W45+IF(AND(E46=25,F46&lt;&gt;"ASTM A416"),L46,0),3)</f>
        <v/>
      </c>
      <c r="X46" s="16">
        <f>ROUND(X45+IF(AND(E46=28,F46&lt;&gt;"ASTM A416"),L46,0),3)</f>
        <v/>
      </c>
      <c r="Y46" s="16">
        <f>ROUND(Y45+IF(AND(E46=32,F46&lt;&gt;"ASTM A416"),L46,0),3)</f>
        <v/>
      </c>
      <c r="Z46" s="16">
        <f>ROUND(Z45+IF(F46="ASTM A416",L46,0),3)</f>
        <v/>
      </c>
      <c r="AA46" s="9">
        <f>IF(ROUNDUP(P46/20,0)&gt;ROUNDUP(P45/20,0),"Lần " &amp; ROUNDUP(P46/20,0),"")</f>
        <v/>
      </c>
      <c r="AB46" s="9">
        <f>IF(ROUNDUP(Q46/20,0)&gt;ROUNDUP(Q45/20,0),"Lần " &amp; ROUNDUP(Q46/20,0),"")</f>
        <v/>
      </c>
      <c r="AC46" s="9">
        <f>IF(ROUNDUP(R46/20,0)&gt;ROUNDUP(R45/20,0),"Lần " &amp; ROUNDUP(R46/20,0),"")</f>
        <v/>
      </c>
      <c r="AD46" s="9">
        <f>IF(ROUNDUP(S46/20,0)&gt;ROUNDUP(S45/20,0),"Lần " &amp; ROUNDUP(S46/20,0),"")</f>
        <v/>
      </c>
      <c r="AE46" s="9">
        <f>IF(ROUNDUP(T46/20,0)&gt;ROUNDUP(T45/20,0),"Lần " &amp; ROUNDUP(T46/20,0),"")</f>
        <v/>
      </c>
      <c r="AF46" s="9">
        <f>IF(ROUNDUP(U46/20,0)&gt;ROUNDUP(U45/20,0),"Lần " &amp; ROUNDUP(U46/20,0),"")</f>
        <v/>
      </c>
      <c r="AG46" s="9">
        <f>IF(ROUNDUP(V46/20,0)&gt;ROUNDUP(V45/20,0),"Lần " &amp; ROUNDUP(V46/20,0),"")</f>
        <v/>
      </c>
      <c r="AH46" s="9">
        <f>IF(ROUNDUP(W46/20,0)&gt;ROUNDUP(W45/20,0),"Lần " &amp; ROUNDUP(W46/20,0),"")</f>
        <v/>
      </c>
      <c r="AI46" s="9">
        <f>IF(ROUNDUP(X46/20,0)&gt;ROUNDUP(X45/20,0),"Lần " &amp; ROUNDUP(X46/20,0),"")</f>
        <v/>
      </c>
      <c r="AJ46" s="9">
        <f>IF(ROUNDUP(Y46/20,0)&gt;ROUNDUP(Y45/20,0),"Lần " &amp; ROUNDUP(Y46/20,0),"")</f>
        <v/>
      </c>
      <c r="AK46" s="9">
        <f>IF(ROUNDUP(Z46/20,0)&gt;ROUNDUP(Z45/20,0),"Lần " &amp; ROUNDUP(Z46/20,0),"")</f>
        <v/>
      </c>
      <c r="AL46" s="4" t="n"/>
      <c r="AN46" s="596" t="inlineStr">
        <is>
          <t>Coc</t>
        </is>
      </c>
      <c r="AO46" s="596" t="n">
        <v>6</v>
      </c>
      <c r="AQ46" s="594" t="n"/>
      <c r="AR46" s="595" t="n"/>
    </row>
    <row r="47" ht="19" customHeight="1" s="672">
      <c r="A47" s="4" t="n">
        <v>42</v>
      </c>
      <c r="B47" s="5" t="inlineStr">
        <is>
          <t>Cọc khoan nhồi C1 Trụ T1 (D1.2m, L=40.0m)</t>
        </is>
      </c>
      <c r="C47" s="5" t="inlineStr">
        <is>
          <t>Cọc trụ T1 L=40m (tr.68)</t>
        </is>
      </c>
      <c r="D47" s="14" t="inlineStr">
        <is>
          <t>P9</t>
        </is>
      </c>
      <c r="E47" s="15" t="n">
        <v>12</v>
      </c>
      <c r="F47" s="4" t="inlineStr">
        <is>
          <t>CB400-V</t>
        </is>
      </c>
      <c r="G47" s="5" t="inlineStr"/>
      <c r="H47" s="16" t="n">
        <v>0.379</v>
      </c>
      <c r="I47" s="17" t="n">
        <v>48</v>
      </c>
      <c r="J47" s="18" t="n">
        <v>0.888</v>
      </c>
      <c r="K47" s="7">
        <f>ROUND(H47*I47*J47, 2)</f>
        <v/>
      </c>
      <c r="L47" s="19">
        <f>ROUND(K47/1000, 3)</f>
        <v/>
      </c>
      <c r="M47" s="728">
        <f>IF(AO47="","",IF(N(INDEX(Theo_Doi_Tan_Suat_Be_Tong!$C:$C,AO47))&lt;=0,"",INDEX(Theo_Doi_Tan_Suat_Be_Tong!$C:$C,AO47)-VLOOKUP(AN47,$AQ$2:$AR$7,2,FALSE)))</f>
        <v/>
      </c>
      <c r="N47" s="4" t="n"/>
      <c r="O47" s="20">
        <f>IF(ROUNDUP(Q47/20,0)&gt;ROUNDUP(Q46/20,0),"TN Ø12 (Lần " &amp; ROUNDUP(Q47/20,0) &amp; ")","")</f>
        <v/>
      </c>
      <c r="P47" s="16">
        <f>ROUND(P46+IF(AND(E47&lt;=10,F47&lt;&gt;"ASTM A416"),L47,0),3)</f>
        <v/>
      </c>
      <c r="Q47" s="16">
        <f>ROUND(Q46+IF(AND(E47=12,F47&lt;&gt;"ASTM A416"),L47,0),3)</f>
        <v/>
      </c>
      <c r="R47" s="16">
        <f>ROUND(R46+IF(AND(E47=14,F47&lt;&gt;"ASTM A416"),L47,0),3)</f>
        <v/>
      </c>
      <c r="S47" s="16">
        <f>ROUND(S46+IF(AND(E47=16,F47&lt;&gt;"ASTM A416"),L47,0),3)</f>
        <v/>
      </c>
      <c r="T47" s="16">
        <f>ROUND(T46+IF(AND(E47=18,F47&lt;&gt;"ASTM A416"),L47,0),3)</f>
        <v/>
      </c>
      <c r="U47" s="16">
        <f>ROUND(U46+IF(AND(E47=20,F47&lt;&gt;"ASTM A416"),L47,0),3)</f>
        <v/>
      </c>
      <c r="V47" s="16">
        <f>ROUND(V46+IF(AND(E47=22,F47&lt;&gt;"ASTM A416"),L47,0),3)</f>
        <v/>
      </c>
      <c r="W47" s="16">
        <f>ROUND(W46+IF(AND(E47=25,F47&lt;&gt;"ASTM A416"),L47,0),3)</f>
        <v/>
      </c>
      <c r="X47" s="16">
        <f>ROUND(X46+IF(AND(E47=28,F47&lt;&gt;"ASTM A416"),L47,0),3)</f>
        <v/>
      </c>
      <c r="Y47" s="16">
        <f>ROUND(Y46+IF(AND(E47=32,F47&lt;&gt;"ASTM A416"),L47,0),3)</f>
        <v/>
      </c>
      <c r="Z47" s="16">
        <f>ROUND(Z46+IF(F47="ASTM A416",L47,0),3)</f>
        <v/>
      </c>
      <c r="AA47" s="9">
        <f>IF(ROUNDUP(P47/20,0)&gt;ROUNDUP(P46/20,0),"Lần " &amp; ROUNDUP(P47/20,0),"")</f>
        <v/>
      </c>
      <c r="AB47" s="9">
        <f>IF(ROUNDUP(Q47/20,0)&gt;ROUNDUP(Q46/20,0),"Lần " &amp; ROUNDUP(Q47/20,0),"")</f>
        <v/>
      </c>
      <c r="AC47" s="9">
        <f>IF(ROUNDUP(R47/20,0)&gt;ROUNDUP(R46/20,0),"Lần " &amp; ROUNDUP(R47/20,0),"")</f>
        <v/>
      </c>
      <c r="AD47" s="9">
        <f>IF(ROUNDUP(S47/20,0)&gt;ROUNDUP(S46/20,0),"Lần " &amp; ROUNDUP(S47/20,0),"")</f>
        <v/>
      </c>
      <c r="AE47" s="9">
        <f>IF(ROUNDUP(T47/20,0)&gt;ROUNDUP(T46/20,0),"Lần " &amp; ROUNDUP(T47/20,0),"")</f>
        <v/>
      </c>
      <c r="AF47" s="9">
        <f>IF(ROUNDUP(U47/20,0)&gt;ROUNDUP(U46/20,0),"Lần " &amp; ROUNDUP(U47/20,0),"")</f>
        <v/>
      </c>
      <c r="AG47" s="9">
        <f>IF(ROUNDUP(V47/20,0)&gt;ROUNDUP(V46/20,0),"Lần " &amp; ROUNDUP(V47/20,0),"")</f>
        <v/>
      </c>
      <c r="AH47" s="9">
        <f>IF(ROUNDUP(W47/20,0)&gt;ROUNDUP(W46/20,0),"Lần " &amp; ROUNDUP(W47/20,0),"")</f>
        <v/>
      </c>
      <c r="AI47" s="9">
        <f>IF(ROUNDUP(X47/20,0)&gt;ROUNDUP(X46/20,0),"Lần " &amp; ROUNDUP(X47/20,0),"")</f>
        <v/>
      </c>
      <c r="AJ47" s="9">
        <f>IF(ROUNDUP(Y47/20,0)&gt;ROUNDUP(Y46/20,0),"Lần " &amp; ROUNDUP(Y47/20,0),"")</f>
        <v/>
      </c>
      <c r="AK47" s="9">
        <f>IF(ROUNDUP(Z47/20,0)&gt;ROUNDUP(Z46/20,0),"Lần " &amp; ROUNDUP(Z47/20,0),"")</f>
        <v/>
      </c>
      <c r="AL47" s="4" t="n"/>
      <c r="AN47" s="596" t="inlineStr">
        <is>
          <t>Coc</t>
        </is>
      </c>
      <c r="AO47" s="596" t="n">
        <v>6</v>
      </c>
      <c r="AQ47" s="594" t="n"/>
      <c r="AR47" s="595" t="n"/>
    </row>
    <row r="48" ht="19" customHeight="1" s="672">
      <c r="A48" s="4" t="n">
        <v>43</v>
      </c>
      <c r="B48" s="5" t="inlineStr">
        <is>
          <t>Cọc khoan nhồi C1 Trụ T1 (D1.2m, L=40.0m)</t>
        </is>
      </c>
      <c r="C48" s="5" t="inlineStr">
        <is>
          <t>Cọc trụ T1 L=40m (tr.68)</t>
        </is>
      </c>
      <c r="D48" s="14" t="inlineStr">
        <is>
          <t>P10</t>
        </is>
      </c>
      <c r="E48" s="15" t="n">
        <v>20</v>
      </c>
      <c r="F48" s="4" t="inlineStr">
        <is>
          <t>CB400-V</t>
        </is>
      </c>
      <c r="G48" s="5" t="inlineStr"/>
      <c r="H48" s="16" t="n">
        <v>2.057</v>
      </c>
      <c r="I48" s="17" t="n">
        <v>1</v>
      </c>
      <c r="J48" s="18" t="n">
        <v>2.466</v>
      </c>
      <c r="K48" s="7">
        <f>ROUND(H48*I48*J48, 2)</f>
        <v/>
      </c>
      <c r="L48" s="19">
        <f>ROUND(K48/1000, 3)</f>
        <v/>
      </c>
      <c r="M48" s="728">
        <f>IF(AO48="","",IF(N(INDEX(Theo_Doi_Tan_Suat_Be_Tong!$C:$C,AO48))&lt;=0,"",INDEX(Theo_Doi_Tan_Suat_Be_Tong!$C:$C,AO48)-VLOOKUP(AN48,$AQ$2:$AR$7,2,FALSE)))</f>
        <v/>
      </c>
      <c r="N48" s="4" t="n"/>
      <c r="O48" s="20">
        <f>IF(ROUNDUP(U48/20,0)&gt;ROUNDUP(U47/20,0),"TN Ø20 (Lần " &amp; ROUNDUP(U48/20,0) &amp; ")","")</f>
        <v/>
      </c>
      <c r="P48" s="16">
        <f>ROUND(P47+IF(AND(E48&lt;=10,F48&lt;&gt;"ASTM A416"),L48,0),3)</f>
        <v/>
      </c>
      <c r="Q48" s="16">
        <f>ROUND(Q47+IF(AND(E48=12,F48&lt;&gt;"ASTM A416"),L48,0),3)</f>
        <v/>
      </c>
      <c r="R48" s="16">
        <f>ROUND(R47+IF(AND(E48=14,F48&lt;&gt;"ASTM A416"),L48,0),3)</f>
        <v/>
      </c>
      <c r="S48" s="16">
        <f>ROUND(S47+IF(AND(E48=16,F48&lt;&gt;"ASTM A416"),L48,0),3)</f>
        <v/>
      </c>
      <c r="T48" s="16">
        <f>ROUND(T47+IF(AND(E48=18,F48&lt;&gt;"ASTM A416"),L48,0),3)</f>
        <v/>
      </c>
      <c r="U48" s="16">
        <f>ROUND(U47+IF(AND(E48=20,F48&lt;&gt;"ASTM A416"),L48,0),3)</f>
        <v/>
      </c>
      <c r="V48" s="16">
        <f>ROUND(V47+IF(AND(E48=22,F48&lt;&gt;"ASTM A416"),L48,0),3)</f>
        <v/>
      </c>
      <c r="W48" s="16">
        <f>ROUND(W47+IF(AND(E48=25,F48&lt;&gt;"ASTM A416"),L48,0),3)</f>
        <v/>
      </c>
      <c r="X48" s="16">
        <f>ROUND(X47+IF(AND(E48=28,F48&lt;&gt;"ASTM A416"),L48,0),3)</f>
        <v/>
      </c>
      <c r="Y48" s="16">
        <f>ROUND(Y47+IF(AND(E48=32,F48&lt;&gt;"ASTM A416"),L48,0),3)</f>
        <v/>
      </c>
      <c r="Z48" s="16">
        <f>ROUND(Z47+IF(F48="ASTM A416",L48,0),3)</f>
        <v/>
      </c>
      <c r="AA48" s="9">
        <f>IF(ROUNDUP(P48/20,0)&gt;ROUNDUP(P47/20,0),"Lần " &amp; ROUNDUP(P48/20,0),"")</f>
        <v/>
      </c>
      <c r="AB48" s="9">
        <f>IF(ROUNDUP(Q48/20,0)&gt;ROUNDUP(Q47/20,0),"Lần " &amp; ROUNDUP(Q48/20,0),"")</f>
        <v/>
      </c>
      <c r="AC48" s="9">
        <f>IF(ROUNDUP(R48/20,0)&gt;ROUNDUP(R47/20,0),"Lần " &amp; ROUNDUP(R48/20,0),"")</f>
        <v/>
      </c>
      <c r="AD48" s="9">
        <f>IF(ROUNDUP(S48/20,0)&gt;ROUNDUP(S47/20,0),"Lần " &amp; ROUNDUP(S48/20,0),"")</f>
        <v/>
      </c>
      <c r="AE48" s="9">
        <f>IF(ROUNDUP(T48/20,0)&gt;ROUNDUP(T47/20,0),"Lần " &amp; ROUNDUP(T48/20,0),"")</f>
        <v/>
      </c>
      <c r="AF48" s="9">
        <f>IF(ROUNDUP(U48/20,0)&gt;ROUNDUP(U47/20,0),"Lần " &amp; ROUNDUP(U48/20,0),"")</f>
        <v/>
      </c>
      <c r="AG48" s="9">
        <f>IF(ROUNDUP(V48/20,0)&gt;ROUNDUP(V47/20,0),"Lần " &amp; ROUNDUP(V48/20,0),"")</f>
        <v/>
      </c>
      <c r="AH48" s="9">
        <f>IF(ROUNDUP(W48/20,0)&gt;ROUNDUP(W47/20,0),"Lần " &amp; ROUNDUP(W48/20,0),"")</f>
        <v/>
      </c>
      <c r="AI48" s="9">
        <f>IF(ROUNDUP(X48/20,0)&gt;ROUNDUP(X47/20,0),"Lần " &amp; ROUNDUP(X48/20,0),"")</f>
        <v/>
      </c>
      <c r="AJ48" s="9">
        <f>IF(ROUNDUP(Y48/20,0)&gt;ROUNDUP(Y47/20,0),"Lần " &amp; ROUNDUP(Y48/20,0),"")</f>
        <v/>
      </c>
      <c r="AK48" s="9">
        <f>IF(ROUNDUP(Z48/20,0)&gt;ROUNDUP(Z47/20,0),"Lần " &amp; ROUNDUP(Z48/20,0),"")</f>
        <v/>
      </c>
      <c r="AL48" s="4" t="n"/>
      <c r="AN48" s="596" t="inlineStr">
        <is>
          <t>Coc</t>
        </is>
      </c>
      <c r="AO48" s="596" t="n">
        <v>6</v>
      </c>
      <c r="AQ48" s="594" t="n"/>
      <c r="AR48" s="595" t="n"/>
    </row>
    <row r="49" ht="20" customHeight="1" s="672">
      <c r="A49" s="4" t="n">
        <v>44</v>
      </c>
      <c r="B49" s="5" t="inlineStr">
        <is>
          <t>Cọc khoan nhồi C1 Trụ T1 (D1.2m, L=40.0m)</t>
        </is>
      </c>
      <c r="C49" s="5" t="inlineStr">
        <is>
          <t>Cọc trụ T1 L=40m (tr.68)</t>
        </is>
      </c>
      <c r="D49" s="14" t="inlineStr">
        <is>
          <t>P12</t>
        </is>
      </c>
      <c r="E49" s="15" t="n">
        <v>20</v>
      </c>
      <c r="F49" s="4" t="inlineStr">
        <is>
          <t>CB400-V</t>
        </is>
      </c>
      <c r="G49" s="5" t="inlineStr"/>
      <c r="H49" s="16" t="n">
        <v>0.583</v>
      </c>
      <c r="I49" s="17" t="n">
        <v>64</v>
      </c>
      <c r="J49" s="18" t="n">
        <v>2.466</v>
      </c>
      <c r="K49" s="7">
        <f>ROUND(H49*I49*J49, 2)</f>
        <v/>
      </c>
      <c r="L49" s="19">
        <f>ROUND(K49/1000, 3)</f>
        <v/>
      </c>
      <c r="M49" s="728">
        <f>IF(AO49="","",IF(N(INDEX(Theo_Doi_Tan_Suat_Be_Tong!$C:$C,AO49))&lt;=0,"",INDEX(Theo_Doi_Tan_Suat_Be_Tong!$C:$C,AO49)-VLOOKUP(AN49,$AQ$2:$AR$7,2,FALSE)))</f>
        <v/>
      </c>
      <c r="N49" s="4" t="n"/>
      <c r="O49" s="20">
        <f>IF(ROUNDUP(U49/20,0)&gt;ROUNDUP(U48/20,0),"TN Ø20 (Lần " &amp; ROUNDUP(U49/20,0) &amp; ")","")</f>
        <v/>
      </c>
      <c r="P49" s="16">
        <f>ROUND(P48+IF(AND(E49&lt;=10,F49&lt;&gt;"ASTM A416"),L49,0),3)</f>
        <v/>
      </c>
      <c r="Q49" s="16">
        <f>ROUND(Q48+IF(AND(E49=12,F49&lt;&gt;"ASTM A416"),L49,0),3)</f>
        <v/>
      </c>
      <c r="R49" s="16">
        <f>ROUND(R48+IF(AND(E49=14,F49&lt;&gt;"ASTM A416"),L49,0),3)</f>
        <v/>
      </c>
      <c r="S49" s="16">
        <f>ROUND(S48+IF(AND(E49=16,F49&lt;&gt;"ASTM A416"),L49,0),3)</f>
        <v/>
      </c>
      <c r="T49" s="16">
        <f>ROUND(T48+IF(AND(E49=18,F49&lt;&gt;"ASTM A416"),L49,0),3)</f>
        <v/>
      </c>
      <c r="U49" s="16">
        <f>ROUND(U48+IF(AND(E49=20,F49&lt;&gt;"ASTM A416"),L49,0),3)</f>
        <v/>
      </c>
      <c r="V49" s="16">
        <f>ROUND(V48+IF(AND(E49=22,F49&lt;&gt;"ASTM A416"),L49,0),3)</f>
        <v/>
      </c>
      <c r="W49" s="16">
        <f>ROUND(W48+IF(AND(E49=25,F49&lt;&gt;"ASTM A416"),L49,0),3)</f>
        <v/>
      </c>
      <c r="X49" s="16">
        <f>ROUND(X48+IF(AND(E49=28,F49&lt;&gt;"ASTM A416"),L49,0),3)</f>
        <v/>
      </c>
      <c r="Y49" s="16">
        <f>ROUND(Y48+IF(AND(E49=32,F49&lt;&gt;"ASTM A416"),L49,0),3)</f>
        <v/>
      </c>
      <c r="Z49" s="16">
        <f>ROUND(Z48+IF(F49="ASTM A416",L49,0),3)</f>
        <v/>
      </c>
      <c r="AA49" s="9">
        <f>IF(ROUNDUP(P49/20,0)&gt;ROUNDUP(P48/20,0),"Lần " &amp; ROUNDUP(P49/20,0),"")</f>
        <v/>
      </c>
      <c r="AB49" s="9">
        <f>IF(ROUNDUP(Q49/20,0)&gt;ROUNDUP(Q48/20,0),"Lần " &amp; ROUNDUP(Q49/20,0),"")</f>
        <v/>
      </c>
      <c r="AC49" s="9">
        <f>IF(ROUNDUP(R49/20,0)&gt;ROUNDUP(R48/20,0),"Lần " &amp; ROUNDUP(R49/20,0),"")</f>
        <v/>
      </c>
      <c r="AD49" s="9">
        <f>IF(ROUNDUP(S49/20,0)&gt;ROUNDUP(S48/20,0),"Lần " &amp; ROUNDUP(S49/20,0),"")</f>
        <v/>
      </c>
      <c r="AE49" s="9">
        <f>IF(ROUNDUP(T49/20,0)&gt;ROUNDUP(T48/20,0),"Lần " &amp; ROUNDUP(T49/20,0),"")</f>
        <v/>
      </c>
      <c r="AF49" s="9">
        <f>IF(ROUNDUP(U49/20,0)&gt;ROUNDUP(U48/20,0),"Lần " &amp; ROUNDUP(U49/20,0),"")</f>
        <v/>
      </c>
      <c r="AG49" s="9">
        <f>IF(ROUNDUP(V49/20,0)&gt;ROUNDUP(V48/20,0),"Lần " &amp; ROUNDUP(V49/20,0),"")</f>
        <v/>
      </c>
      <c r="AH49" s="9">
        <f>IF(ROUNDUP(W49/20,0)&gt;ROUNDUP(W48/20,0),"Lần " &amp; ROUNDUP(W49/20,0),"")</f>
        <v/>
      </c>
      <c r="AI49" s="9">
        <f>IF(ROUNDUP(X49/20,0)&gt;ROUNDUP(X48/20,0),"Lần " &amp; ROUNDUP(X49/20,0),"")</f>
        <v/>
      </c>
      <c r="AJ49" s="9">
        <f>IF(ROUNDUP(Y49/20,0)&gt;ROUNDUP(Y48/20,0),"Lần " &amp; ROUNDUP(Y49/20,0),"")</f>
        <v/>
      </c>
      <c r="AK49" s="9">
        <f>IF(ROUNDUP(Z49/20,0)&gt;ROUNDUP(Z48/20,0),"Lần " &amp; ROUNDUP(Z49/20,0),"")</f>
        <v/>
      </c>
      <c r="AL49" s="4" t="n"/>
      <c r="AN49" s="596" t="inlineStr">
        <is>
          <t>Coc</t>
        </is>
      </c>
      <c r="AO49" s="596" t="n">
        <v>6</v>
      </c>
      <c r="AQ49" s="594" t="n"/>
      <c r="AR49" s="595" t="n"/>
    </row>
    <row r="50" ht="19" customHeight="1" s="672">
      <c r="A50" s="4" t="n">
        <v>45</v>
      </c>
      <c r="B50" s="5" t="inlineStr">
        <is>
          <t>Cọc khoan nhồi C1 Trụ T1 (D1.2m, L=40.0m)</t>
        </is>
      </c>
      <c r="C50" s="5" t="inlineStr">
        <is>
          <t>Cọc trụ T1 L=40m (tr.68)</t>
        </is>
      </c>
      <c r="D50" s="14" t="inlineStr">
        <is>
          <t>P11</t>
        </is>
      </c>
      <c r="E50" s="15" t="n">
        <v>16</v>
      </c>
      <c r="F50" s="4" t="inlineStr">
        <is>
          <t>CB400-V</t>
        </is>
      </c>
      <c r="G50" s="5" t="inlineStr"/>
      <c r="H50" s="16" t="n">
        <v>2.604</v>
      </c>
      <c r="I50" s="17" t="n">
        <v>4</v>
      </c>
      <c r="J50" s="18" t="n">
        <v>1.578</v>
      </c>
      <c r="K50" s="7">
        <f>ROUND(H50*I50*J50, 2)</f>
        <v/>
      </c>
      <c r="L50" s="19">
        <f>ROUND(K50/1000, 3)</f>
        <v/>
      </c>
      <c r="M50" s="728">
        <f>IF(AO50="","",IF(N(INDEX(Theo_Doi_Tan_Suat_Be_Tong!$C:$C,AO50))&lt;=0,"",INDEX(Theo_Doi_Tan_Suat_Be_Tong!$C:$C,AO50)-VLOOKUP(AN50,$AQ$2:$AR$7,2,FALSE)))</f>
        <v/>
      </c>
      <c r="N50" s="4" t="n"/>
      <c r="O50" s="20">
        <f>IF(ROUNDUP(S50/20,0)&gt;ROUNDUP(S49/20,0),"TN Ø16 (Lần " &amp; ROUNDUP(S50/20,0) &amp; ")","")</f>
        <v/>
      </c>
      <c r="P50" s="16">
        <f>ROUND(P49+IF(AND(E50&lt;=10,F50&lt;&gt;"ASTM A416"),L50,0),3)</f>
        <v/>
      </c>
      <c r="Q50" s="16">
        <f>ROUND(Q49+IF(AND(E50=12,F50&lt;&gt;"ASTM A416"),L50,0),3)</f>
        <v/>
      </c>
      <c r="R50" s="16">
        <f>ROUND(R49+IF(AND(E50=14,F50&lt;&gt;"ASTM A416"),L50,0),3)</f>
        <v/>
      </c>
      <c r="S50" s="16">
        <f>ROUND(S49+IF(AND(E50=16,F50&lt;&gt;"ASTM A416"),L50,0),3)</f>
        <v/>
      </c>
      <c r="T50" s="16">
        <f>ROUND(T49+IF(AND(E50=18,F50&lt;&gt;"ASTM A416"),L50,0),3)</f>
        <v/>
      </c>
      <c r="U50" s="16">
        <f>ROUND(U49+IF(AND(E50=20,F50&lt;&gt;"ASTM A416"),L50,0),3)</f>
        <v/>
      </c>
      <c r="V50" s="16">
        <f>ROUND(V49+IF(AND(E50=22,F50&lt;&gt;"ASTM A416"),L50,0),3)</f>
        <v/>
      </c>
      <c r="W50" s="16">
        <f>ROUND(W49+IF(AND(E50=25,F50&lt;&gt;"ASTM A416"),L50,0),3)</f>
        <v/>
      </c>
      <c r="X50" s="16">
        <f>ROUND(X49+IF(AND(E50=28,F50&lt;&gt;"ASTM A416"),L50,0),3)</f>
        <v/>
      </c>
      <c r="Y50" s="16">
        <f>ROUND(Y49+IF(AND(E50=32,F50&lt;&gt;"ASTM A416"),L50,0),3)</f>
        <v/>
      </c>
      <c r="Z50" s="16">
        <f>ROUND(Z49+IF(F50="ASTM A416",L50,0),3)</f>
        <v/>
      </c>
      <c r="AA50" s="9">
        <f>IF(ROUNDUP(P50/20,0)&gt;ROUNDUP(P49/20,0),"Lần " &amp; ROUNDUP(P50/20,0),"")</f>
        <v/>
      </c>
      <c r="AB50" s="9">
        <f>IF(ROUNDUP(Q50/20,0)&gt;ROUNDUP(Q49/20,0),"Lần " &amp; ROUNDUP(Q50/20,0),"")</f>
        <v/>
      </c>
      <c r="AC50" s="9">
        <f>IF(ROUNDUP(R50/20,0)&gt;ROUNDUP(R49/20,0),"Lần " &amp; ROUNDUP(R50/20,0),"")</f>
        <v/>
      </c>
      <c r="AD50" s="9">
        <f>IF(ROUNDUP(S50/20,0)&gt;ROUNDUP(S49/20,0),"Lần " &amp; ROUNDUP(S50/20,0),"")</f>
        <v/>
      </c>
      <c r="AE50" s="9">
        <f>IF(ROUNDUP(T50/20,0)&gt;ROUNDUP(T49/20,0),"Lần " &amp; ROUNDUP(T50/20,0),"")</f>
        <v/>
      </c>
      <c r="AF50" s="9">
        <f>IF(ROUNDUP(U50/20,0)&gt;ROUNDUP(U49/20,0),"Lần " &amp; ROUNDUP(U50/20,0),"")</f>
        <v/>
      </c>
      <c r="AG50" s="9">
        <f>IF(ROUNDUP(V50/20,0)&gt;ROUNDUP(V49/20,0),"Lần " &amp; ROUNDUP(V50/20,0),"")</f>
        <v/>
      </c>
      <c r="AH50" s="9">
        <f>IF(ROUNDUP(W50/20,0)&gt;ROUNDUP(W49/20,0),"Lần " &amp; ROUNDUP(W50/20,0),"")</f>
        <v/>
      </c>
      <c r="AI50" s="9">
        <f>IF(ROUNDUP(X50/20,0)&gt;ROUNDUP(X49/20,0),"Lần " &amp; ROUNDUP(X50/20,0),"")</f>
        <v/>
      </c>
      <c r="AJ50" s="9">
        <f>IF(ROUNDUP(Y50/20,0)&gt;ROUNDUP(Y49/20,0),"Lần " &amp; ROUNDUP(Y50/20,0),"")</f>
        <v/>
      </c>
      <c r="AK50" s="9">
        <f>IF(ROUNDUP(Z50/20,0)&gt;ROUNDUP(Z49/20,0),"Lần " &amp; ROUNDUP(Z50/20,0),"")</f>
        <v/>
      </c>
      <c r="AL50" s="4" t="n"/>
      <c r="AN50" s="596" t="inlineStr">
        <is>
          <t>Coc</t>
        </is>
      </c>
      <c r="AO50" s="596" t="n">
        <v>6</v>
      </c>
      <c r="AQ50" s="594" t="n"/>
      <c r="AR50" s="595" t="n"/>
    </row>
    <row r="51" ht="19" customHeight="1" s="672">
      <c r="A51" s="668" t="inlineStr">
        <is>
          <t>--- CỌC KHOAN NHỒI C7 TRỤ T2 (D1.2M, L=30.0M) ---</t>
        </is>
      </c>
      <c r="B51" s="722" t="n"/>
      <c r="C51" s="722" t="n"/>
      <c r="D51" s="722" t="n"/>
      <c r="E51" s="722" t="n"/>
      <c r="F51" s="722" t="n"/>
      <c r="G51" s="722" t="n"/>
      <c r="H51" s="722" t="n"/>
      <c r="I51" s="722" t="n"/>
      <c r="J51" s="722" t="n"/>
      <c r="K51" s="722" t="n"/>
      <c r="L51" s="722" t="n"/>
      <c r="M51" s="722" t="n"/>
      <c r="N51" s="722" t="n"/>
      <c r="O51" s="722" t="n"/>
      <c r="P51" s="722" t="n"/>
      <c r="Q51" s="722" t="n"/>
      <c r="R51" s="722" t="n"/>
      <c r="S51" s="722" t="n"/>
      <c r="T51" s="722" t="n"/>
      <c r="U51" s="722" t="n"/>
      <c r="V51" s="722" t="n"/>
      <c r="W51" s="722" t="n"/>
      <c r="X51" s="722" t="n"/>
      <c r="Y51" s="722" t="n"/>
      <c r="Z51" s="722" t="n"/>
      <c r="AA51" s="722" t="n"/>
      <c r="AB51" s="722" t="n"/>
      <c r="AC51" s="722" t="n"/>
      <c r="AD51" s="722" t="n"/>
      <c r="AE51" s="722" t="n"/>
      <c r="AF51" s="722" t="n"/>
      <c r="AG51" s="722" t="n"/>
      <c r="AH51" s="722" t="n"/>
      <c r="AI51" s="722" t="n"/>
      <c r="AJ51" s="722" t="n"/>
      <c r="AK51" s="722" t="n"/>
      <c r="AL51" s="721" t="n"/>
      <c r="AQ51" s="594" t="n"/>
      <c r="AR51" s="595" t="n"/>
    </row>
    <row r="52" ht="19" customHeight="1" s="672">
      <c r="A52" s="4" t="n">
        <v>46</v>
      </c>
      <c r="B52" s="5" t="inlineStr">
        <is>
          <t>Cọc khoan nhồi C7 Trụ T2 (D1.2m, L=30.0m)</t>
        </is>
      </c>
      <c r="C52" s="5" t="inlineStr">
        <is>
          <t>Cọc trụ T2 L=30m (tr.70)</t>
        </is>
      </c>
      <c r="D52" s="14" t="inlineStr">
        <is>
          <t>P1</t>
        </is>
      </c>
      <c r="E52" s="15" t="n">
        <v>10</v>
      </c>
      <c r="F52" s="4" t="inlineStr">
        <is>
          <t>CB240-T</t>
        </is>
      </c>
      <c r="G52" s="5" t="inlineStr"/>
      <c r="H52" s="16" t="n">
        <v>96.604</v>
      </c>
      <c r="I52" s="17" t="n">
        <v>1</v>
      </c>
      <c r="J52" s="18" t="n">
        <v>0.617</v>
      </c>
      <c r="K52" s="7">
        <f>ROUND(H52*I52*J52, 2)</f>
        <v/>
      </c>
      <c r="L52" s="19">
        <f>ROUND(K52/1000, 3)</f>
        <v/>
      </c>
      <c r="M52" s="728">
        <f>IF(AO52="","",IF(N(INDEX(Theo_Doi_Tan_Suat_Be_Tong!$C:$C,AO52))&lt;=0,"",INDEX(Theo_Doi_Tan_Suat_Be_Tong!$C:$C,AO52)-VLOOKUP(AN52,$AQ$2:$AR$7,2,FALSE)))</f>
        <v/>
      </c>
      <c r="N52" s="4" t="n"/>
      <c r="O52" s="20">
        <f>IF(ROUNDUP(P52/20,0)&gt;ROUNDUP(P50/20,0),"TN Ø10 (Lần " &amp; ROUNDUP(P52/20,0) &amp; ")","")</f>
        <v/>
      </c>
      <c r="P52" s="16">
        <f>ROUND(P50+IF(AND(E52&lt;=10,F52&lt;&gt;"ASTM A416"),L52,0),3)</f>
        <v/>
      </c>
      <c r="Q52" s="16">
        <f>ROUND(Q50+IF(AND(E52=12,F52&lt;&gt;"ASTM A416"),L52,0),3)</f>
        <v/>
      </c>
      <c r="R52" s="16">
        <f>ROUND(R50+IF(AND(E52=14,F52&lt;&gt;"ASTM A416"),L52,0),3)</f>
        <v/>
      </c>
      <c r="S52" s="16">
        <f>ROUND(S50+IF(AND(E52=16,F52&lt;&gt;"ASTM A416"),L52,0),3)</f>
        <v/>
      </c>
      <c r="T52" s="16">
        <f>ROUND(T50+IF(AND(E52=18,F52&lt;&gt;"ASTM A416"),L52,0),3)</f>
        <v/>
      </c>
      <c r="U52" s="16">
        <f>ROUND(U50+IF(AND(E52=20,F52&lt;&gt;"ASTM A416"),L52,0),3)</f>
        <v/>
      </c>
      <c r="V52" s="16">
        <f>ROUND(V50+IF(AND(E52=22,F52&lt;&gt;"ASTM A416"),L52,0),3)</f>
        <v/>
      </c>
      <c r="W52" s="16">
        <f>ROUND(W50+IF(AND(E52=25,F52&lt;&gt;"ASTM A416"),L52,0),3)</f>
        <v/>
      </c>
      <c r="X52" s="16">
        <f>ROUND(X50+IF(AND(E52=28,F52&lt;&gt;"ASTM A416"),L52,0),3)</f>
        <v/>
      </c>
      <c r="Y52" s="16">
        <f>ROUND(Y50+IF(AND(E52=32,F52&lt;&gt;"ASTM A416"),L52,0),3)</f>
        <v/>
      </c>
      <c r="Z52" s="16">
        <f>ROUND(Z50+IF(F52="ASTM A416",L52,0),3)</f>
        <v/>
      </c>
      <c r="AA52" s="9">
        <f>IF(ROUNDUP(P52/20,0)&gt;ROUNDUP(P50/20,0),"Lần " &amp; ROUNDUP(P52/20,0),"")</f>
        <v/>
      </c>
      <c r="AB52" s="9">
        <f>IF(ROUNDUP(Q52/20,0)&gt;ROUNDUP(Q50/20,0),"Lần " &amp; ROUNDUP(Q52/20,0),"")</f>
        <v/>
      </c>
      <c r="AC52" s="9">
        <f>IF(ROUNDUP(R52/20,0)&gt;ROUNDUP(R50/20,0),"Lần " &amp; ROUNDUP(R52/20,0),"")</f>
        <v/>
      </c>
      <c r="AD52" s="9">
        <f>IF(ROUNDUP(S52/20,0)&gt;ROUNDUP(S50/20,0),"Lần " &amp; ROUNDUP(S52/20,0),"")</f>
        <v/>
      </c>
      <c r="AE52" s="9">
        <f>IF(ROUNDUP(T52/20,0)&gt;ROUNDUP(T50/20,0),"Lần " &amp; ROUNDUP(T52/20,0),"")</f>
        <v/>
      </c>
      <c r="AF52" s="9">
        <f>IF(ROUNDUP(U52/20,0)&gt;ROUNDUP(U50/20,0),"Lần " &amp; ROUNDUP(U52/20,0),"")</f>
        <v/>
      </c>
      <c r="AG52" s="9">
        <f>IF(ROUNDUP(V52/20,0)&gt;ROUNDUP(V50/20,0),"Lần " &amp; ROUNDUP(V52/20,0),"")</f>
        <v/>
      </c>
      <c r="AH52" s="9">
        <f>IF(ROUNDUP(W52/20,0)&gt;ROUNDUP(W50/20,0),"Lần " &amp; ROUNDUP(W52/20,0),"")</f>
        <v/>
      </c>
      <c r="AI52" s="9">
        <f>IF(ROUNDUP(X52/20,0)&gt;ROUNDUP(X50/20,0),"Lần " &amp; ROUNDUP(X52/20,0),"")</f>
        <v/>
      </c>
      <c r="AJ52" s="9">
        <f>IF(ROUNDUP(Y52/20,0)&gt;ROUNDUP(Y50/20,0),"Lần " &amp; ROUNDUP(Y52/20,0),"")</f>
        <v/>
      </c>
      <c r="AK52" s="9">
        <f>IF(ROUNDUP(Z52/20,0)&gt;ROUNDUP(Z50/20,0),"Lần " &amp; ROUNDUP(Z52/20,0),"")</f>
        <v/>
      </c>
      <c r="AL52" s="4" t="n"/>
      <c r="AN52" s="596" t="inlineStr">
        <is>
          <t>Coc</t>
        </is>
      </c>
      <c r="AO52" s="596" t="n">
        <v>7</v>
      </c>
      <c r="AQ52" s="594" t="n"/>
      <c r="AR52" s="595" t="n"/>
    </row>
    <row r="53" ht="19" customHeight="1" s="672">
      <c r="A53" s="4" t="n">
        <v>47</v>
      </c>
      <c r="B53" s="5" t="inlineStr">
        <is>
          <t>Cọc khoan nhồi C7 Trụ T2 (D1.2m, L=30.0m)</t>
        </is>
      </c>
      <c r="C53" s="5" t="inlineStr">
        <is>
          <t>Cọc trụ T2 L=30m (tr.70)</t>
        </is>
      </c>
      <c r="D53" s="14" t="inlineStr">
        <is>
          <t>P1A</t>
        </is>
      </c>
      <c r="E53" s="15" t="n">
        <v>10</v>
      </c>
      <c r="F53" s="4" t="inlineStr">
        <is>
          <t>CB240-T</t>
        </is>
      </c>
      <c r="G53" s="5" t="inlineStr"/>
      <c r="H53" s="16" t="n">
        <v>389.636</v>
      </c>
      <c r="I53" s="17" t="n">
        <v>1</v>
      </c>
      <c r="J53" s="18" t="n">
        <v>0.617</v>
      </c>
      <c r="K53" s="7">
        <f>ROUND(H53*I53*J53, 2)</f>
        <v/>
      </c>
      <c r="L53" s="19">
        <f>ROUND(K53/1000, 3)</f>
        <v/>
      </c>
      <c r="M53" s="728">
        <f>IF(AO53="","",IF(N(INDEX(Theo_Doi_Tan_Suat_Be_Tong!$C:$C,AO53))&lt;=0,"",INDEX(Theo_Doi_Tan_Suat_Be_Tong!$C:$C,AO53)-VLOOKUP(AN53,$AQ$2:$AR$7,2,FALSE)))</f>
        <v/>
      </c>
      <c r="N53" s="4" t="n"/>
      <c r="O53" s="20">
        <f>IF(ROUNDUP(P53/20,0)&gt;ROUNDUP(P52/20,0),"TN Ø10 (Lần " &amp; ROUNDUP(P53/20,0) &amp; ")","")</f>
        <v/>
      </c>
      <c r="P53" s="16">
        <f>ROUND(P52+IF(AND(E53&lt;=10,F53&lt;&gt;"ASTM A416"),L53,0),3)</f>
        <v/>
      </c>
      <c r="Q53" s="16">
        <f>ROUND(Q52+IF(AND(E53=12,F53&lt;&gt;"ASTM A416"),L53,0),3)</f>
        <v/>
      </c>
      <c r="R53" s="16">
        <f>ROUND(R52+IF(AND(E53=14,F53&lt;&gt;"ASTM A416"),L53,0),3)</f>
        <v/>
      </c>
      <c r="S53" s="16">
        <f>ROUND(S52+IF(AND(E53=16,F53&lt;&gt;"ASTM A416"),L53,0),3)</f>
        <v/>
      </c>
      <c r="T53" s="16">
        <f>ROUND(T52+IF(AND(E53=18,F53&lt;&gt;"ASTM A416"),L53,0),3)</f>
        <v/>
      </c>
      <c r="U53" s="16">
        <f>ROUND(U52+IF(AND(E53=20,F53&lt;&gt;"ASTM A416"),L53,0),3)</f>
        <v/>
      </c>
      <c r="V53" s="16">
        <f>ROUND(V52+IF(AND(E53=22,F53&lt;&gt;"ASTM A416"),L53,0),3)</f>
        <v/>
      </c>
      <c r="W53" s="16">
        <f>ROUND(W52+IF(AND(E53=25,F53&lt;&gt;"ASTM A416"),L53,0),3)</f>
        <v/>
      </c>
      <c r="X53" s="16">
        <f>ROUND(X52+IF(AND(E53=28,F53&lt;&gt;"ASTM A416"),L53,0),3)</f>
        <v/>
      </c>
      <c r="Y53" s="16">
        <f>ROUND(Y52+IF(AND(E53=32,F53&lt;&gt;"ASTM A416"),L53,0),3)</f>
        <v/>
      </c>
      <c r="Z53" s="16">
        <f>ROUND(Z52+IF(F53="ASTM A416",L53,0),3)</f>
        <v/>
      </c>
      <c r="AA53" s="9">
        <f>IF(ROUNDUP(P53/20,0)&gt;ROUNDUP(P52/20,0),"Lần " &amp; ROUNDUP(P53/20,0),"")</f>
        <v/>
      </c>
      <c r="AB53" s="9">
        <f>IF(ROUNDUP(Q53/20,0)&gt;ROUNDUP(Q52/20,0),"Lần " &amp; ROUNDUP(Q53/20,0),"")</f>
        <v/>
      </c>
      <c r="AC53" s="9">
        <f>IF(ROUNDUP(R53/20,0)&gt;ROUNDUP(R52/20,0),"Lần " &amp; ROUNDUP(R53/20,0),"")</f>
        <v/>
      </c>
      <c r="AD53" s="9">
        <f>IF(ROUNDUP(S53/20,0)&gt;ROUNDUP(S52/20,0),"Lần " &amp; ROUNDUP(S53/20,0),"")</f>
        <v/>
      </c>
      <c r="AE53" s="9">
        <f>IF(ROUNDUP(T53/20,0)&gt;ROUNDUP(T52/20,0),"Lần " &amp; ROUNDUP(T53/20,0),"")</f>
        <v/>
      </c>
      <c r="AF53" s="9">
        <f>IF(ROUNDUP(U53/20,0)&gt;ROUNDUP(U52/20,0),"Lần " &amp; ROUNDUP(U53/20,0),"")</f>
        <v/>
      </c>
      <c r="AG53" s="9">
        <f>IF(ROUNDUP(V53/20,0)&gt;ROUNDUP(V52/20,0),"Lần " &amp; ROUNDUP(V53/20,0),"")</f>
        <v/>
      </c>
      <c r="AH53" s="9">
        <f>IF(ROUNDUP(W53/20,0)&gt;ROUNDUP(W52/20,0),"Lần " &amp; ROUNDUP(W53/20,0),"")</f>
        <v/>
      </c>
      <c r="AI53" s="9">
        <f>IF(ROUNDUP(X53/20,0)&gt;ROUNDUP(X52/20,0),"Lần " &amp; ROUNDUP(X53/20,0),"")</f>
        <v/>
      </c>
      <c r="AJ53" s="9">
        <f>IF(ROUNDUP(Y53/20,0)&gt;ROUNDUP(Y52/20,0),"Lần " &amp; ROUNDUP(Y53/20,0),"")</f>
        <v/>
      </c>
      <c r="AK53" s="9">
        <f>IF(ROUNDUP(Z53/20,0)&gt;ROUNDUP(Z52/20,0),"Lần " &amp; ROUNDUP(Z53/20,0),"")</f>
        <v/>
      </c>
      <c r="AL53" s="4" t="n"/>
      <c r="AN53" s="596" t="inlineStr">
        <is>
          <t>Coc</t>
        </is>
      </c>
      <c r="AO53" s="596" t="n">
        <v>7</v>
      </c>
      <c r="AQ53" s="594" t="n"/>
      <c r="AR53" s="595" t="n"/>
    </row>
    <row r="54" ht="19" customHeight="1" s="672">
      <c r="A54" s="4" t="n">
        <v>48</v>
      </c>
      <c r="B54" s="5" t="inlineStr">
        <is>
          <t>Cọc khoan nhồi C7 Trụ T2 (D1.2m, L=30.0m)</t>
        </is>
      </c>
      <c r="C54" s="5" t="inlineStr">
        <is>
          <t>Cọc trụ T2 L=30m (tr.70)</t>
        </is>
      </c>
      <c r="D54" s="14" t="inlineStr">
        <is>
          <t>P1B</t>
        </is>
      </c>
      <c r="E54" s="15" t="n">
        <v>10</v>
      </c>
      <c r="F54" s="4" t="inlineStr">
        <is>
          <t>CB240-T</t>
        </is>
      </c>
      <c r="G54" s="5" t="inlineStr"/>
      <c r="H54" s="16" t="n">
        <v>100.256</v>
      </c>
      <c r="I54" s="17" t="n">
        <v>1</v>
      </c>
      <c r="J54" s="18" t="n">
        <v>0.617</v>
      </c>
      <c r="K54" s="7">
        <f>ROUND(H54*I54*J54, 2)</f>
        <v/>
      </c>
      <c r="L54" s="19">
        <f>ROUND(K54/1000, 3)</f>
        <v/>
      </c>
      <c r="M54" s="728">
        <f>IF(AO54="","",IF(N(INDEX(Theo_Doi_Tan_Suat_Be_Tong!$C:$C,AO54))&lt;=0,"",INDEX(Theo_Doi_Tan_Suat_Be_Tong!$C:$C,AO54)-VLOOKUP(AN54,$AQ$2:$AR$7,2,FALSE)))</f>
        <v/>
      </c>
      <c r="N54" s="4" t="n"/>
      <c r="O54" s="20">
        <f>IF(ROUNDUP(P54/20,0)&gt;ROUNDUP(P53/20,0),"TN Ø10 (Lần " &amp; ROUNDUP(P54/20,0) &amp; ")","")</f>
        <v/>
      </c>
      <c r="P54" s="16">
        <f>ROUND(P53+IF(AND(E54&lt;=10,F54&lt;&gt;"ASTM A416"),L54,0),3)</f>
        <v/>
      </c>
      <c r="Q54" s="16">
        <f>ROUND(Q53+IF(AND(E54=12,F54&lt;&gt;"ASTM A416"),L54,0),3)</f>
        <v/>
      </c>
      <c r="R54" s="16">
        <f>ROUND(R53+IF(AND(E54=14,F54&lt;&gt;"ASTM A416"),L54,0),3)</f>
        <v/>
      </c>
      <c r="S54" s="16">
        <f>ROUND(S53+IF(AND(E54=16,F54&lt;&gt;"ASTM A416"),L54,0),3)</f>
        <v/>
      </c>
      <c r="T54" s="16">
        <f>ROUND(T53+IF(AND(E54=18,F54&lt;&gt;"ASTM A416"),L54,0),3)</f>
        <v/>
      </c>
      <c r="U54" s="16">
        <f>ROUND(U53+IF(AND(E54=20,F54&lt;&gt;"ASTM A416"),L54,0),3)</f>
        <v/>
      </c>
      <c r="V54" s="16">
        <f>ROUND(V53+IF(AND(E54=22,F54&lt;&gt;"ASTM A416"),L54,0),3)</f>
        <v/>
      </c>
      <c r="W54" s="16">
        <f>ROUND(W53+IF(AND(E54=25,F54&lt;&gt;"ASTM A416"),L54,0),3)</f>
        <v/>
      </c>
      <c r="X54" s="16">
        <f>ROUND(X53+IF(AND(E54=28,F54&lt;&gt;"ASTM A416"),L54,0),3)</f>
        <v/>
      </c>
      <c r="Y54" s="16">
        <f>ROUND(Y53+IF(AND(E54=32,F54&lt;&gt;"ASTM A416"),L54,0),3)</f>
        <v/>
      </c>
      <c r="Z54" s="16">
        <f>ROUND(Z53+IF(F54="ASTM A416",L54,0),3)</f>
        <v/>
      </c>
      <c r="AA54" s="9">
        <f>IF(ROUNDUP(P54/20,0)&gt;ROUNDUP(P53/20,0),"Lần " &amp; ROUNDUP(P54/20,0),"")</f>
        <v/>
      </c>
      <c r="AB54" s="9">
        <f>IF(ROUNDUP(Q54/20,0)&gt;ROUNDUP(Q53/20,0),"Lần " &amp; ROUNDUP(Q54/20,0),"")</f>
        <v/>
      </c>
      <c r="AC54" s="9">
        <f>IF(ROUNDUP(R54/20,0)&gt;ROUNDUP(R53/20,0),"Lần " &amp; ROUNDUP(R54/20,0),"")</f>
        <v/>
      </c>
      <c r="AD54" s="9">
        <f>IF(ROUNDUP(S54/20,0)&gt;ROUNDUP(S53/20,0),"Lần " &amp; ROUNDUP(S54/20,0),"")</f>
        <v/>
      </c>
      <c r="AE54" s="9">
        <f>IF(ROUNDUP(T54/20,0)&gt;ROUNDUP(T53/20,0),"Lần " &amp; ROUNDUP(T54/20,0),"")</f>
        <v/>
      </c>
      <c r="AF54" s="9">
        <f>IF(ROUNDUP(U54/20,0)&gt;ROUNDUP(U53/20,0),"Lần " &amp; ROUNDUP(U54/20,0),"")</f>
        <v/>
      </c>
      <c r="AG54" s="9">
        <f>IF(ROUNDUP(V54/20,0)&gt;ROUNDUP(V53/20,0),"Lần " &amp; ROUNDUP(V54/20,0),"")</f>
        <v/>
      </c>
      <c r="AH54" s="9">
        <f>IF(ROUNDUP(W54/20,0)&gt;ROUNDUP(W53/20,0),"Lần " &amp; ROUNDUP(W54/20,0),"")</f>
        <v/>
      </c>
      <c r="AI54" s="9">
        <f>IF(ROUNDUP(X54/20,0)&gt;ROUNDUP(X53/20,0),"Lần " &amp; ROUNDUP(X54/20,0),"")</f>
        <v/>
      </c>
      <c r="AJ54" s="9">
        <f>IF(ROUNDUP(Y54/20,0)&gt;ROUNDUP(Y53/20,0),"Lần " &amp; ROUNDUP(Y54/20,0),"")</f>
        <v/>
      </c>
      <c r="AK54" s="9">
        <f>IF(ROUNDUP(Z54/20,0)&gt;ROUNDUP(Z53/20,0),"Lần " &amp; ROUNDUP(Z54/20,0),"")</f>
        <v/>
      </c>
      <c r="AL54" s="4" t="n"/>
      <c r="AN54" s="596" t="inlineStr">
        <is>
          <t>Coc</t>
        </is>
      </c>
      <c r="AO54" s="596" t="n">
        <v>7</v>
      </c>
      <c r="AQ54" s="594" t="n"/>
      <c r="AR54" s="595" t="n"/>
    </row>
    <row r="55" ht="19" customHeight="1" s="672">
      <c r="A55" s="4" t="n">
        <v>49</v>
      </c>
      <c r="B55" s="5" t="inlineStr">
        <is>
          <t>Cọc khoan nhồi C7 Trụ T2 (D1.2m, L=30.0m)</t>
        </is>
      </c>
      <c r="C55" s="5" t="inlineStr">
        <is>
          <t>Cọc trụ T2 L=30m (tr.70)</t>
        </is>
      </c>
      <c r="D55" s="14" t="inlineStr">
        <is>
          <t>P1C</t>
        </is>
      </c>
      <c r="E55" s="15" t="n">
        <v>10</v>
      </c>
      <c r="F55" s="4" t="inlineStr">
        <is>
          <t>CB240-T</t>
        </is>
      </c>
      <c r="G55" s="5" t="inlineStr"/>
      <c r="H55" s="16" t="n">
        <v>3.592</v>
      </c>
      <c r="I55" s="17" t="n">
        <v>2</v>
      </c>
      <c r="J55" s="18" t="n">
        <v>0.617</v>
      </c>
      <c r="K55" s="7">
        <f>ROUND(H55*I55*J55, 2)</f>
        <v/>
      </c>
      <c r="L55" s="19">
        <f>ROUND(K55/1000, 3)</f>
        <v/>
      </c>
      <c r="M55" s="728">
        <f>IF(AO55="","",IF(N(INDEX(Theo_Doi_Tan_Suat_Be_Tong!$C:$C,AO55))&lt;=0,"",INDEX(Theo_Doi_Tan_Suat_Be_Tong!$C:$C,AO55)-VLOOKUP(AN55,$AQ$2:$AR$7,2,FALSE)))</f>
        <v/>
      </c>
      <c r="N55" s="4" t="n"/>
      <c r="O55" s="20">
        <f>IF(ROUNDUP(P55/20,0)&gt;ROUNDUP(P54/20,0),"TN Ø10 (Lần " &amp; ROUNDUP(P55/20,0) &amp; ")","")</f>
        <v/>
      </c>
      <c r="P55" s="16">
        <f>ROUND(P54+IF(AND(E55&lt;=10,F55&lt;&gt;"ASTM A416"),L55,0),3)</f>
        <v/>
      </c>
      <c r="Q55" s="16">
        <f>ROUND(Q54+IF(AND(E55=12,F55&lt;&gt;"ASTM A416"),L55,0),3)</f>
        <v/>
      </c>
      <c r="R55" s="16">
        <f>ROUND(R54+IF(AND(E55=14,F55&lt;&gt;"ASTM A416"),L55,0),3)</f>
        <v/>
      </c>
      <c r="S55" s="16">
        <f>ROUND(S54+IF(AND(E55=16,F55&lt;&gt;"ASTM A416"),L55,0),3)</f>
        <v/>
      </c>
      <c r="T55" s="16">
        <f>ROUND(T54+IF(AND(E55=18,F55&lt;&gt;"ASTM A416"),L55,0),3)</f>
        <v/>
      </c>
      <c r="U55" s="16">
        <f>ROUND(U54+IF(AND(E55=20,F55&lt;&gt;"ASTM A416"),L55,0),3)</f>
        <v/>
      </c>
      <c r="V55" s="16">
        <f>ROUND(V54+IF(AND(E55=22,F55&lt;&gt;"ASTM A416"),L55,0),3)</f>
        <v/>
      </c>
      <c r="W55" s="16">
        <f>ROUND(W54+IF(AND(E55=25,F55&lt;&gt;"ASTM A416"),L55,0),3)</f>
        <v/>
      </c>
      <c r="X55" s="16">
        <f>ROUND(X54+IF(AND(E55=28,F55&lt;&gt;"ASTM A416"),L55,0),3)</f>
        <v/>
      </c>
      <c r="Y55" s="16">
        <f>ROUND(Y54+IF(AND(E55=32,F55&lt;&gt;"ASTM A416"),L55,0),3)</f>
        <v/>
      </c>
      <c r="Z55" s="16">
        <f>ROUND(Z54+IF(F55="ASTM A416",L55,0),3)</f>
        <v/>
      </c>
      <c r="AA55" s="9">
        <f>IF(ROUNDUP(P55/20,0)&gt;ROUNDUP(P54/20,0),"Lần " &amp; ROUNDUP(P55/20,0),"")</f>
        <v/>
      </c>
      <c r="AB55" s="9">
        <f>IF(ROUNDUP(Q55/20,0)&gt;ROUNDUP(Q54/20,0),"Lần " &amp; ROUNDUP(Q55/20,0),"")</f>
        <v/>
      </c>
      <c r="AC55" s="9">
        <f>IF(ROUNDUP(R55/20,0)&gt;ROUNDUP(R54/20,0),"Lần " &amp; ROUNDUP(R55/20,0),"")</f>
        <v/>
      </c>
      <c r="AD55" s="9">
        <f>IF(ROUNDUP(S55/20,0)&gt;ROUNDUP(S54/20,0),"Lần " &amp; ROUNDUP(S55/20,0),"")</f>
        <v/>
      </c>
      <c r="AE55" s="9">
        <f>IF(ROUNDUP(T55/20,0)&gt;ROUNDUP(T54/20,0),"Lần " &amp; ROUNDUP(T55/20,0),"")</f>
        <v/>
      </c>
      <c r="AF55" s="9">
        <f>IF(ROUNDUP(U55/20,0)&gt;ROUNDUP(U54/20,0),"Lần " &amp; ROUNDUP(U55/20,0),"")</f>
        <v/>
      </c>
      <c r="AG55" s="9">
        <f>IF(ROUNDUP(V55/20,0)&gt;ROUNDUP(V54/20,0),"Lần " &amp; ROUNDUP(V55/20,0),"")</f>
        <v/>
      </c>
      <c r="AH55" s="9">
        <f>IF(ROUNDUP(W55/20,0)&gt;ROUNDUP(W54/20,0),"Lần " &amp; ROUNDUP(W55/20,0),"")</f>
        <v/>
      </c>
      <c r="AI55" s="9">
        <f>IF(ROUNDUP(X55/20,0)&gt;ROUNDUP(X54/20,0),"Lần " &amp; ROUNDUP(X55/20,0),"")</f>
        <v/>
      </c>
      <c r="AJ55" s="9">
        <f>IF(ROUNDUP(Y55/20,0)&gt;ROUNDUP(Y54/20,0),"Lần " &amp; ROUNDUP(Y55/20,0),"")</f>
        <v/>
      </c>
      <c r="AK55" s="9">
        <f>IF(ROUNDUP(Z55/20,0)&gt;ROUNDUP(Z54/20,0),"Lần " &amp; ROUNDUP(Z55/20,0),"")</f>
        <v/>
      </c>
      <c r="AL55" s="4" t="n"/>
      <c r="AN55" s="596" t="inlineStr">
        <is>
          <t>Coc</t>
        </is>
      </c>
      <c r="AO55" s="596" t="n">
        <v>7</v>
      </c>
      <c r="AQ55" s="594" t="n"/>
      <c r="AR55" s="595" t="n"/>
    </row>
    <row r="56" ht="19" customHeight="1" s="672">
      <c r="A56" s="4" t="n">
        <v>50</v>
      </c>
      <c r="B56" s="5" t="inlineStr">
        <is>
          <t>Cọc khoan nhồi C7 Trụ T2 (D1.2m, L=30.0m)</t>
        </is>
      </c>
      <c r="C56" s="5" t="inlineStr">
        <is>
          <t>Cọc trụ T2 L=30m (tr.70)</t>
        </is>
      </c>
      <c r="D56" s="14" t="inlineStr">
        <is>
          <t>P1D</t>
        </is>
      </c>
      <c r="E56" s="15" t="n">
        <v>10</v>
      </c>
      <c r="F56" s="4" t="inlineStr">
        <is>
          <t>CB240-T</t>
        </is>
      </c>
      <c r="G56" s="5" t="inlineStr"/>
      <c r="H56" s="16" t="n">
        <v>19.721</v>
      </c>
      <c r="I56" s="17" t="n">
        <v>1</v>
      </c>
      <c r="J56" s="18" t="n">
        <v>0.617</v>
      </c>
      <c r="K56" s="7">
        <f>ROUND(H56*I56*J56, 2)</f>
        <v/>
      </c>
      <c r="L56" s="19">
        <f>ROUND(K56/1000, 3)</f>
        <v/>
      </c>
      <c r="M56" s="728">
        <f>IF(AO56="","",IF(N(INDEX(Theo_Doi_Tan_Suat_Be_Tong!$C:$C,AO56))&lt;=0,"",INDEX(Theo_Doi_Tan_Suat_Be_Tong!$C:$C,AO56)-VLOOKUP(AN56,$AQ$2:$AR$7,2,FALSE)))</f>
        <v/>
      </c>
      <c r="N56" s="4" t="n"/>
      <c r="O56" s="20">
        <f>IF(ROUNDUP(P56/20,0)&gt;ROUNDUP(P55/20,0),"TN Ø10 (Lần " &amp; ROUNDUP(P56/20,0) &amp; ")","")</f>
        <v/>
      </c>
      <c r="P56" s="16">
        <f>ROUND(P55+IF(AND(E56&lt;=10,F56&lt;&gt;"ASTM A416"),L56,0),3)</f>
        <v/>
      </c>
      <c r="Q56" s="16">
        <f>ROUND(Q55+IF(AND(E56=12,F56&lt;&gt;"ASTM A416"),L56,0),3)</f>
        <v/>
      </c>
      <c r="R56" s="16">
        <f>ROUND(R55+IF(AND(E56=14,F56&lt;&gt;"ASTM A416"),L56,0),3)</f>
        <v/>
      </c>
      <c r="S56" s="16">
        <f>ROUND(S55+IF(AND(E56=16,F56&lt;&gt;"ASTM A416"),L56,0),3)</f>
        <v/>
      </c>
      <c r="T56" s="16">
        <f>ROUND(T55+IF(AND(E56=18,F56&lt;&gt;"ASTM A416"),L56,0),3)</f>
        <v/>
      </c>
      <c r="U56" s="16">
        <f>ROUND(U55+IF(AND(E56=20,F56&lt;&gt;"ASTM A416"),L56,0),3)</f>
        <v/>
      </c>
      <c r="V56" s="16">
        <f>ROUND(V55+IF(AND(E56=22,F56&lt;&gt;"ASTM A416"),L56,0),3)</f>
        <v/>
      </c>
      <c r="W56" s="16">
        <f>ROUND(W55+IF(AND(E56=25,F56&lt;&gt;"ASTM A416"),L56,0),3)</f>
        <v/>
      </c>
      <c r="X56" s="16">
        <f>ROUND(X55+IF(AND(E56=28,F56&lt;&gt;"ASTM A416"),L56,0),3)</f>
        <v/>
      </c>
      <c r="Y56" s="16">
        <f>ROUND(Y55+IF(AND(E56=32,F56&lt;&gt;"ASTM A416"),L56,0),3)</f>
        <v/>
      </c>
      <c r="Z56" s="16">
        <f>ROUND(Z55+IF(F56="ASTM A416",L56,0),3)</f>
        <v/>
      </c>
      <c r="AA56" s="9">
        <f>IF(ROUNDUP(P56/20,0)&gt;ROUNDUP(P55/20,0),"Lần " &amp; ROUNDUP(P56/20,0),"")</f>
        <v/>
      </c>
      <c r="AB56" s="9">
        <f>IF(ROUNDUP(Q56/20,0)&gt;ROUNDUP(Q55/20,0),"Lần " &amp; ROUNDUP(Q56/20,0),"")</f>
        <v/>
      </c>
      <c r="AC56" s="9">
        <f>IF(ROUNDUP(R56/20,0)&gt;ROUNDUP(R55/20,0),"Lần " &amp; ROUNDUP(R56/20,0),"")</f>
        <v/>
      </c>
      <c r="AD56" s="9">
        <f>IF(ROUNDUP(S56/20,0)&gt;ROUNDUP(S55/20,0),"Lần " &amp; ROUNDUP(S56/20,0),"")</f>
        <v/>
      </c>
      <c r="AE56" s="9">
        <f>IF(ROUNDUP(T56/20,0)&gt;ROUNDUP(T55/20,0),"Lần " &amp; ROUNDUP(T56/20,0),"")</f>
        <v/>
      </c>
      <c r="AF56" s="9">
        <f>IF(ROUNDUP(U56/20,0)&gt;ROUNDUP(U55/20,0),"Lần " &amp; ROUNDUP(U56/20,0),"")</f>
        <v/>
      </c>
      <c r="AG56" s="9">
        <f>IF(ROUNDUP(V56/20,0)&gt;ROUNDUP(V55/20,0),"Lần " &amp; ROUNDUP(V56/20,0),"")</f>
        <v/>
      </c>
      <c r="AH56" s="9">
        <f>IF(ROUNDUP(W56/20,0)&gt;ROUNDUP(W55/20,0),"Lần " &amp; ROUNDUP(W56/20,0),"")</f>
        <v/>
      </c>
      <c r="AI56" s="9">
        <f>IF(ROUNDUP(X56/20,0)&gt;ROUNDUP(X55/20,0),"Lần " &amp; ROUNDUP(X56/20,0),"")</f>
        <v/>
      </c>
      <c r="AJ56" s="9">
        <f>IF(ROUNDUP(Y56/20,0)&gt;ROUNDUP(Y55/20,0),"Lần " &amp; ROUNDUP(Y56/20,0),"")</f>
        <v/>
      </c>
      <c r="AK56" s="9">
        <f>IF(ROUNDUP(Z56/20,0)&gt;ROUNDUP(Z55/20,0),"Lần " &amp; ROUNDUP(Z56/20,0),"")</f>
        <v/>
      </c>
      <c r="AL56" s="4" t="n"/>
      <c r="AN56" s="596" t="inlineStr">
        <is>
          <t>Coc</t>
        </is>
      </c>
      <c r="AO56" s="596" t="n">
        <v>7</v>
      </c>
      <c r="AQ56" s="594" t="n"/>
      <c r="AR56" s="595" t="n"/>
    </row>
    <row r="57" ht="19" customHeight="1" s="672">
      <c r="A57" s="4" t="n">
        <v>51</v>
      </c>
      <c r="B57" s="5" t="inlineStr">
        <is>
          <t>Cọc khoan nhồi C7 Trụ T2 (D1.2m, L=30.0m)</t>
        </is>
      </c>
      <c r="C57" s="5" t="inlineStr">
        <is>
          <t>Cọc trụ T2 L=30m (tr.70)</t>
        </is>
      </c>
      <c r="D57" s="14" t="inlineStr">
        <is>
          <t>P2B</t>
        </is>
      </c>
      <c r="E57" s="15" t="n">
        <v>25</v>
      </c>
      <c r="F57" s="4" t="inlineStr">
        <is>
          <t>CB400-V</t>
        </is>
      </c>
      <c r="G57" s="5" t="inlineStr"/>
      <c r="H57" s="16" t="n">
        <v>2.985</v>
      </c>
      <c r="I57" s="17" t="n">
        <v>12</v>
      </c>
      <c r="J57" s="18" t="n">
        <v>3.853</v>
      </c>
      <c r="K57" s="7">
        <f>ROUND(H57*I57*J57, 2)</f>
        <v/>
      </c>
      <c r="L57" s="19">
        <f>ROUND(K57/1000, 3)</f>
        <v/>
      </c>
      <c r="M57" s="728">
        <f>IF(AO57="","",IF(N(INDEX(Theo_Doi_Tan_Suat_Be_Tong!$C:$C,AO57))&lt;=0,"",INDEX(Theo_Doi_Tan_Suat_Be_Tong!$C:$C,AO57)-VLOOKUP(AN57,$AQ$2:$AR$7,2,FALSE)))</f>
        <v/>
      </c>
      <c r="N57" s="4" t="n"/>
      <c r="O57" s="20">
        <f>IF(ROUNDUP(W57/20,0)&gt;ROUNDUP(W56/20,0),"TN Ø25 (Lần " &amp; ROUNDUP(W57/20,0) &amp; ")","")</f>
        <v/>
      </c>
      <c r="P57" s="16">
        <f>ROUND(P56+IF(AND(E57&lt;=10,F57&lt;&gt;"ASTM A416"),L57,0),3)</f>
        <v/>
      </c>
      <c r="Q57" s="16">
        <f>ROUND(Q56+IF(AND(E57=12,F57&lt;&gt;"ASTM A416"),L57,0),3)</f>
        <v/>
      </c>
      <c r="R57" s="16">
        <f>ROUND(R56+IF(AND(E57=14,F57&lt;&gt;"ASTM A416"),L57,0),3)</f>
        <v/>
      </c>
      <c r="S57" s="16">
        <f>ROUND(S56+IF(AND(E57=16,F57&lt;&gt;"ASTM A416"),L57,0),3)</f>
        <v/>
      </c>
      <c r="T57" s="16">
        <f>ROUND(T56+IF(AND(E57=18,F57&lt;&gt;"ASTM A416"),L57,0),3)</f>
        <v/>
      </c>
      <c r="U57" s="16">
        <f>ROUND(U56+IF(AND(E57=20,F57&lt;&gt;"ASTM A416"),L57,0),3)</f>
        <v/>
      </c>
      <c r="V57" s="16">
        <f>ROUND(V56+IF(AND(E57=22,F57&lt;&gt;"ASTM A416"),L57,0),3)</f>
        <v/>
      </c>
      <c r="W57" s="16">
        <f>ROUND(W56+IF(AND(E57=25,F57&lt;&gt;"ASTM A416"),L57,0),3)</f>
        <v/>
      </c>
      <c r="X57" s="16">
        <f>ROUND(X56+IF(AND(E57=28,F57&lt;&gt;"ASTM A416"),L57,0),3)</f>
        <v/>
      </c>
      <c r="Y57" s="16">
        <f>ROUND(Y56+IF(AND(E57=32,F57&lt;&gt;"ASTM A416"),L57,0),3)</f>
        <v/>
      </c>
      <c r="Z57" s="16">
        <f>ROUND(Z56+IF(F57="ASTM A416",L57,0),3)</f>
        <v/>
      </c>
      <c r="AA57" s="9">
        <f>IF(ROUNDUP(P57/20,0)&gt;ROUNDUP(P56/20,0),"Lần " &amp; ROUNDUP(P57/20,0),"")</f>
        <v/>
      </c>
      <c r="AB57" s="9">
        <f>IF(ROUNDUP(Q57/20,0)&gt;ROUNDUP(Q56/20,0),"Lần " &amp; ROUNDUP(Q57/20,0),"")</f>
        <v/>
      </c>
      <c r="AC57" s="9">
        <f>IF(ROUNDUP(R57/20,0)&gt;ROUNDUP(R56/20,0),"Lần " &amp; ROUNDUP(R57/20,0),"")</f>
        <v/>
      </c>
      <c r="AD57" s="9">
        <f>IF(ROUNDUP(S57/20,0)&gt;ROUNDUP(S56/20,0),"Lần " &amp; ROUNDUP(S57/20,0),"")</f>
        <v/>
      </c>
      <c r="AE57" s="9">
        <f>IF(ROUNDUP(T57/20,0)&gt;ROUNDUP(T56/20,0),"Lần " &amp; ROUNDUP(T57/20,0),"")</f>
        <v/>
      </c>
      <c r="AF57" s="9">
        <f>IF(ROUNDUP(U57/20,0)&gt;ROUNDUP(U56/20,0),"Lần " &amp; ROUNDUP(U57/20,0),"")</f>
        <v/>
      </c>
      <c r="AG57" s="9">
        <f>IF(ROUNDUP(V57/20,0)&gt;ROUNDUP(V56/20,0),"Lần " &amp; ROUNDUP(V57/20,0),"")</f>
        <v/>
      </c>
      <c r="AH57" s="9">
        <f>IF(ROUNDUP(W57/20,0)&gt;ROUNDUP(W56/20,0),"Lần " &amp; ROUNDUP(W57/20,0),"")</f>
        <v/>
      </c>
      <c r="AI57" s="9">
        <f>IF(ROUNDUP(X57/20,0)&gt;ROUNDUP(X56/20,0),"Lần " &amp; ROUNDUP(X57/20,0),"")</f>
        <v/>
      </c>
      <c r="AJ57" s="9">
        <f>IF(ROUNDUP(Y57/20,0)&gt;ROUNDUP(Y56/20,0),"Lần " &amp; ROUNDUP(Y57/20,0),"")</f>
        <v/>
      </c>
      <c r="AK57" s="9">
        <f>IF(ROUNDUP(Z57/20,0)&gt;ROUNDUP(Z56/20,0),"Lần " &amp; ROUNDUP(Z57/20,0),"")</f>
        <v/>
      </c>
      <c r="AL57" s="4" t="n"/>
      <c r="AN57" s="596" t="inlineStr">
        <is>
          <t>Coc</t>
        </is>
      </c>
      <c r="AO57" s="596" t="n">
        <v>7</v>
      </c>
      <c r="AQ57" s="594" t="n"/>
      <c r="AR57" s="595" t="n"/>
    </row>
    <row r="58" ht="19" customHeight="1" s="672">
      <c r="A58" s="4" t="n">
        <v>52</v>
      </c>
      <c r="B58" s="5" t="inlineStr">
        <is>
          <t>Cọc khoan nhồi C7 Trụ T2 (D1.2m, L=30.0m)</t>
        </is>
      </c>
      <c r="C58" s="5" t="inlineStr">
        <is>
          <t>Cọc trụ T2 L=30m (tr.70)</t>
        </is>
      </c>
      <c r="D58" s="14" t="inlineStr">
        <is>
          <t>P3</t>
        </is>
      </c>
      <c r="E58" s="15" t="n">
        <v>25</v>
      </c>
      <c r="F58" s="4" t="inlineStr">
        <is>
          <t>CB400-V</t>
        </is>
      </c>
      <c r="G58" s="5" t="inlineStr"/>
      <c r="H58" s="16" t="n">
        <v>10.7</v>
      </c>
      <c r="I58" s="17" t="n">
        <v>12</v>
      </c>
      <c r="J58" s="18" t="n">
        <v>3.853</v>
      </c>
      <c r="K58" s="7">
        <f>ROUND(H58*I58*J58, 2)</f>
        <v/>
      </c>
      <c r="L58" s="19">
        <f>ROUND(K58/1000, 3)</f>
        <v/>
      </c>
      <c r="M58" s="728">
        <f>IF(AO58="","",IF(N(INDEX(Theo_Doi_Tan_Suat_Be_Tong!$C:$C,AO58))&lt;=0,"",INDEX(Theo_Doi_Tan_Suat_Be_Tong!$C:$C,AO58)-VLOOKUP(AN58,$AQ$2:$AR$7,2,FALSE)))</f>
        <v/>
      </c>
      <c r="N58" s="4" t="n"/>
      <c r="O58" s="20">
        <f>IF(ROUNDUP(W58/20,0)&gt;ROUNDUP(W57/20,0),"TN Ø25 (Lần " &amp; ROUNDUP(W58/20,0) &amp; ")","")</f>
        <v/>
      </c>
      <c r="P58" s="16">
        <f>ROUND(P57+IF(AND(E58&lt;=10,F58&lt;&gt;"ASTM A416"),L58,0),3)</f>
        <v/>
      </c>
      <c r="Q58" s="16">
        <f>ROUND(Q57+IF(AND(E58=12,F58&lt;&gt;"ASTM A416"),L58,0),3)</f>
        <v/>
      </c>
      <c r="R58" s="16">
        <f>ROUND(R57+IF(AND(E58=14,F58&lt;&gt;"ASTM A416"),L58,0),3)</f>
        <v/>
      </c>
      <c r="S58" s="16">
        <f>ROUND(S57+IF(AND(E58=16,F58&lt;&gt;"ASTM A416"),L58,0),3)</f>
        <v/>
      </c>
      <c r="T58" s="16">
        <f>ROUND(T57+IF(AND(E58=18,F58&lt;&gt;"ASTM A416"),L58,0),3)</f>
        <v/>
      </c>
      <c r="U58" s="16">
        <f>ROUND(U57+IF(AND(E58=20,F58&lt;&gt;"ASTM A416"),L58,0),3)</f>
        <v/>
      </c>
      <c r="V58" s="16">
        <f>ROUND(V57+IF(AND(E58=22,F58&lt;&gt;"ASTM A416"),L58,0),3)</f>
        <v/>
      </c>
      <c r="W58" s="16">
        <f>ROUND(W57+IF(AND(E58=25,F58&lt;&gt;"ASTM A416"),L58,0),3)</f>
        <v/>
      </c>
      <c r="X58" s="16">
        <f>ROUND(X57+IF(AND(E58=28,F58&lt;&gt;"ASTM A416"),L58,0),3)</f>
        <v/>
      </c>
      <c r="Y58" s="16">
        <f>ROUND(Y57+IF(AND(E58=32,F58&lt;&gt;"ASTM A416"),L58,0),3)</f>
        <v/>
      </c>
      <c r="Z58" s="16">
        <f>ROUND(Z57+IF(F58="ASTM A416",L58,0),3)</f>
        <v/>
      </c>
      <c r="AA58" s="9">
        <f>IF(ROUNDUP(P58/20,0)&gt;ROUNDUP(P57/20,0),"Lần " &amp; ROUNDUP(P58/20,0),"")</f>
        <v/>
      </c>
      <c r="AB58" s="9">
        <f>IF(ROUNDUP(Q58/20,0)&gt;ROUNDUP(Q57/20,0),"Lần " &amp; ROUNDUP(Q58/20,0),"")</f>
        <v/>
      </c>
      <c r="AC58" s="9">
        <f>IF(ROUNDUP(R58/20,0)&gt;ROUNDUP(R57/20,0),"Lần " &amp; ROUNDUP(R58/20,0),"")</f>
        <v/>
      </c>
      <c r="AD58" s="9">
        <f>IF(ROUNDUP(S58/20,0)&gt;ROUNDUP(S57/20,0),"Lần " &amp; ROUNDUP(S58/20,0),"")</f>
        <v/>
      </c>
      <c r="AE58" s="9">
        <f>IF(ROUNDUP(T58/20,0)&gt;ROUNDUP(T57/20,0),"Lần " &amp; ROUNDUP(T58/20,0),"")</f>
        <v/>
      </c>
      <c r="AF58" s="9">
        <f>IF(ROUNDUP(U58/20,0)&gt;ROUNDUP(U57/20,0),"Lần " &amp; ROUNDUP(U58/20,0),"")</f>
        <v/>
      </c>
      <c r="AG58" s="9">
        <f>IF(ROUNDUP(V58/20,0)&gt;ROUNDUP(V57/20,0),"Lần " &amp; ROUNDUP(V58/20,0),"")</f>
        <v/>
      </c>
      <c r="AH58" s="9">
        <f>IF(ROUNDUP(W58/20,0)&gt;ROUNDUP(W57/20,0),"Lần " &amp; ROUNDUP(W58/20,0),"")</f>
        <v/>
      </c>
      <c r="AI58" s="9">
        <f>IF(ROUNDUP(X58/20,0)&gt;ROUNDUP(X57/20,0),"Lần " &amp; ROUNDUP(X58/20,0),"")</f>
        <v/>
      </c>
      <c r="AJ58" s="9">
        <f>IF(ROUNDUP(Y58/20,0)&gt;ROUNDUP(Y57/20,0),"Lần " &amp; ROUNDUP(Y58/20,0),"")</f>
        <v/>
      </c>
      <c r="AK58" s="9">
        <f>IF(ROUNDUP(Z58/20,0)&gt;ROUNDUP(Z57/20,0),"Lần " &amp; ROUNDUP(Z58/20,0),"")</f>
        <v/>
      </c>
      <c r="AL58" s="4" t="n"/>
      <c r="AN58" s="596" t="inlineStr">
        <is>
          <t>Coc</t>
        </is>
      </c>
      <c r="AO58" s="596" t="n">
        <v>7</v>
      </c>
      <c r="AQ58" s="594" t="n"/>
      <c r="AR58" s="595" t="n"/>
    </row>
    <row r="59" ht="19" customHeight="1" s="672">
      <c r="A59" s="4" t="n">
        <v>53</v>
      </c>
      <c r="B59" s="5" t="inlineStr">
        <is>
          <t>Cọc khoan nhồi C7 Trụ T2 (D1.2m, L=30.0m)</t>
        </is>
      </c>
      <c r="C59" s="5" t="inlineStr">
        <is>
          <t>Cọc trụ T2 L=30m (tr.70)</t>
        </is>
      </c>
      <c r="D59" s="14" t="inlineStr">
        <is>
          <t>P4</t>
        </is>
      </c>
      <c r="E59" s="15" t="n">
        <v>25</v>
      </c>
      <c r="F59" s="4" t="inlineStr">
        <is>
          <t>CB400-V</t>
        </is>
      </c>
      <c r="G59" s="5" t="inlineStr"/>
      <c r="H59" s="16" t="n">
        <v>11.7</v>
      </c>
      <c r="I59" s="17" t="n">
        <v>36</v>
      </c>
      <c r="J59" s="18" t="n">
        <v>3.853</v>
      </c>
      <c r="K59" s="7">
        <f>ROUND(H59*I59*J59, 2)</f>
        <v/>
      </c>
      <c r="L59" s="19">
        <f>ROUND(K59/1000, 3)</f>
        <v/>
      </c>
      <c r="M59" s="728">
        <f>IF(AO59="","",IF(N(INDEX(Theo_Doi_Tan_Suat_Be_Tong!$C:$C,AO59))&lt;=0,"",INDEX(Theo_Doi_Tan_Suat_Be_Tong!$C:$C,AO59)-VLOOKUP(AN59,$AQ$2:$AR$7,2,FALSE)))</f>
        <v/>
      </c>
      <c r="N59" s="4" t="n"/>
      <c r="O59" s="20">
        <f>IF(ROUNDUP(W59/20,0)&gt;ROUNDUP(W58/20,0),"TN Ø25 (Lần " &amp; ROUNDUP(W59/20,0) &amp; ")","")</f>
        <v/>
      </c>
      <c r="P59" s="16">
        <f>ROUND(P58+IF(AND(E59&lt;=10,F59&lt;&gt;"ASTM A416"),L59,0),3)</f>
        <v/>
      </c>
      <c r="Q59" s="16">
        <f>ROUND(Q58+IF(AND(E59=12,F59&lt;&gt;"ASTM A416"),L59,0),3)</f>
        <v/>
      </c>
      <c r="R59" s="16">
        <f>ROUND(R58+IF(AND(E59=14,F59&lt;&gt;"ASTM A416"),L59,0),3)</f>
        <v/>
      </c>
      <c r="S59" s="16">
        <f>ROUND(S58+IF(AND(E59=16,F59&lt;&gt;"ASTM A416"),L59,0),3)</f>
        <v/>
      </c>
      <c r="T59" s="16">
        <f>ROUND(T58+IF(AND(E59=18,F59&lt;&gt;"ASTM A416"),L59,0),3)</f>
        <v/>
      </c>
      <c r="U59" s="16">
        <f>ROUND(U58+IF(AND(E59=20,F59&lt;&gt;"ASTM A416"),L59,0),3)</f>
        <v/>
      </c>
      <c r="V59" s="16">
        <f>ROUND(V58+IF(AND(E59=22,F59&lt;&gt;"ASTM A416"),L59,0),3)</f>
        <v/>
      </c>
      <c r="W59" s="16">
        <f>ROUND(W58+IF(AND(E59=25,F59&lt;&gt;"ASTM A416"),L59,0),3)</f>
        <v/>
      </c>
      <c r="X59" s="16">
        <f>ROUND(X58+IF(AND(E59=28,F59&lt;&gt;"ASTM A416"),L59,0),3)</f>
        <v/>
      </c>
      <c r="Y59" s="16">
        <f>ROUND(Y58+IF(AND(E59=32,F59&lt;&gt;"ASTM A416"),L59,0),3)</f>
        <v/>
      </c>
      <c r="Z59" s="16">
        <f>ROUND(Z58+IF(F59="ASTM A416",L59,0),3)</f>
        <v/>
      </c>
      <c r="AA59" s="9">
        <f>IF(ROUNDUP(P59/20,0)&gt;ROUNDUP(P58/20,0),"Lần " &amp; ROUNDUP(P59/20,0),"")</f>
        <v/>
      </c>
      <c r="AB59" s="9">
        <f>IF(ROUNDUP(Q59/20,0)&gt;ROUNDUP(Q58/20,0),"Lần " &amp; ROUNDUP(Q59/20,0),"")</f>
        <v/>
      </c>
      <c r="AC59" s="9">
        <f>IF(ROUNDUP(R59/20,0)&gt;ROUNDUP(R58/20,0),"Lần " &amp; ROUNDUP(R59/20,0),"")</f>
        <v/>
      </c>
      <c r="AD59" s="9">
        <f>IF(ROUNDUP(S59/20,0)&gt;ROUNDUP(S58/20,0),"Lần " &amp; ROUNDUP(S59/20,0),"")</f>
        <v/>
      </c>
      <c r="AE59" s="9">
        <f>IF(ROUNDUP(T59/20,0)&gt;ROUNDUP(T58/20,0),"Lần " &amp; ROUNDUP(T59/20,0),"")</f>
        <v/>
      </c>
      <c r="AF59" s="9">
        <f>IF(ROUNDUP(U59/20,0)&gt;ROUNDUP(U58/20,0),"Lần " &amp; ROUNDUP(U59/20,0),"")</f>
        <v/>
      </c>
      <c r="AG59" s="9">
        <f>IF(ROUNDUP(V59/20,0)&gt;ROUNDUP(V58/20,0),"Lần " &amp; ROUNDUP(V59/20,0),"")</f>
        <v/>
      </c>
      <c r="AH59" s="9">
        <f>IF(ROUNDUP(W59/20,0)&gt;ROUNDUP(W58/20,0),"Lần " &amp; ROUNDUP(W59/20,0),"")</f>
        <v/>
      </c>
      <c r="AI59" s="9">
        <f>IF(ROUNDUP(X59/20,0)&gt;ROUNDUP(X58/20,0),"Lần " &amp; ROUNDUP(X59/20,0),"")</f>
        <v/>
      </c>
      <c r="AJ59" s="9">
        <f>IF(ROUNDUP(Y59/20,0)&gt;ROUNDUP(Y58/20,0),"Lần " &amp; ROUNDUP(Y59/20,0),"")</f>
        <v/>
      </c>
      <c r="AK59" s="9">
        <f>IF(ROUNDUP(Z59/20,0)&gt;ROUNDUP(Z58/20,0),"Lần " &amp; ROUNDUP(Z59/20,0),"")</f>
        <v/>
      </c>
      <c r="AL59" s="4" t="n"/>
      <c r="AN59" s="596" t="inlineStr">
        <is>
          <t>Coc</t>
        </is>
      </c>
      <c r="AO59" s="596" t="n">
        <v>7</v>
      </c>
      <c r="AQ59" s="594" t="n"/>
      <c r="AR59" s="595" t="n"/>
    </row>
    <row r="60" ht="19" customHeight="1" s="672">
      <c r="A60" s="4" t="n">
        <v>54</v>
      </c>
      <c r="B60" s="5" t="inlineStr">
        <is>
          <t>Cọc khoan nhồi C7 Trụ T2 (D1.2m, L=30.0m)</t>
        </is>
      </c>
      <c r="C60" s="5" t="inlineStr">
        <is>
          <t>Cọc trụ T2 L=30m (tr.70)</t>
        </is>
      </c>
      <c r="D60" s="14" t="inlineStr">
        <is>
          <t>P6</t>
        </is>
      </c>
      <c r="E60" s="15" t="n">
        <v>25</v>
      </c>
      <c r="F60" s="4" t="inlineStr">
        <is>
          <t>CB400-V</t>
        </is>
      </c>
      <c r="G60" s="5" t="inlineStr"/>
      <c r="H60" s="16" t="n">
        <v>9.733000000000001</v>
      </c>
      <c r="I60" s="17" t="n">
        <v>12</v>
      </c>
      <c r="J60" s="18" t="n">
        <v>3.853</v>
      </c>
      <c r="K60" s="7">
        <f>ROUND(H60*I60*J60, 2)</f>
        <v/>
      </c>
      <c r="L60" s="19">
        <f>ROUND(K60/1000, 3)</f>
        <v/>
      </c>
      <c r="M60" s="728">
        <f>IF(AO60="","",IF(N(INDEX(Theo_Doi_Tan_Suat_Be_Tong!$C:$C,AO60))&lt;=0,"",INDEX(Theo_Doi_Tan_Suat_Be_Tong!$C:$C,AO60)-VLOOKUP(AN60,$AQ$2:$AR$7,2,FALSE)))</f>
        <v/>
      </c>
      <c r="N60" s="4" t="n"/>
      <c r="O60" s="20">
        <f>IF(ROUNDUP(W60/20,0)&gt;ROUNDUP(W59/20,0),"TN Ø25 (Lần " &amp; ROUNDUP(W60/20,0) &amp; ")","")</f>
        <v/>
      </c>
      <c r="P60" s="16">
        <f>ROUND(P59+IF(AND(E60&lt;=10,F60&lt;&gt;"ASTM A416"),L60,0),3)</f>
        <v/>
      </c>
      <c r="Q60" s="16">
        <f>ROUND(Q59+IF(AND(E60=12,F60&lt;&gt;"ASTM A416"),L60,0),3)</f>
        <v/>
      </c>
      <c r="R60" s="16">
        <f>ROUND(R59+IF(AND(E60=14,F60&lt;&gt;"ASTM A416"),L60,0),3)</f>
        <v/>
      </c>
      <c r="S60" s="16">
        <f>ROUND(S59+IF(AND(E60=16,F60&lt;&gt;"ASTM A416"),L60,0),3)</f>
        <v/>
      </c>
      <c r="T60" s="16">
        <f>ROUND(T59+IF(AND(E60=18,F60&lt;&gt;"ASTM A416"),L60,0),3)</f>
        <v/>
      </c>
      <c r="U60" s="16">
        <f>ROUND(U59+IF(AND(E60=20,F60&lt;&gt;"ASTM A416"),L60,0),3)</f>
        <v/>
      </c>
      <c r="V60" s="16">
        <f>ROUND(V59+IF(AND(E60=22,F60&lt;&gt;"ASTM A416"),L60,0),3)</f>
        <v/>
      </c>
      <c r="W60" s="16">
        <f>ROUND(W59+IF(AND(E60=25,F60&lt;&gt;"ASTM A416"),L60,0),3)</f>
        <v/>
      </c>
      <c r="X60" s="16">
        <f>ROUND(X59+IF(AND(E60=28,F60&lt;&gt;"ASTM A416"),L60,0),3)</f>
        <v/>
      </c>
      <c r="Y60" s="16">
        <f>ROUND(Y59+IF(AND(E60=32,F60&lt;&gt;"ASTM A416"),L60,0),3)</f>
        <v/>
      </c>
      <c r="Z60" s="16">
        <f>ROUND(Z59+IF(F60="ASTM A416",L60,0),3)</f>
        <v/>
      </c>
      <c r="AA60" s="9">
        <f>IF(ROUNDUP(P60/20,0)&gt;ROUNDUP(P59/20,0),"Lần " &amp; ROUNDUP(P60/20,0),"")</f>
        <v/>
      </c>
      <c r="AB60" s="9">
        <f>IF(ROUNDUP(Q60/20,0)&gt;ROUNDUP(Q59/20,0),"Lần " &amp; ROUNDUP(Q60/20,0),"")</f>
        <v/>
      </c>
      <c r="AC60" s="9">
        <f>IF(ROUNDUP(R60/20,0)&gt;ROUNDUP(R59/20,0),"Lần " &amp; ROUNDUP(R60/20,0),"")</f>
        <v/>
      </c>
      <c r="AD60" s="9">
        <f>IF(ROUNDUP(S60/20,0)&gt;ROUNDUP(S59/20,0),"Lần " &amp; ROUNDUP(S60/20,0),"")</f>
        <v/>
      </c>
      <c r="AE60" s="9">
        <f>IF(ROUNDUP(T60/20,0)&gt;ROUNDUP(T59/20,0),"Lần " &amp; ROUNDUP(T60/20,0),"")</f>
        <v/>
      </c>
      <c r="AF60" s="9">
        <f>IF(ROUNDUP(U60/20,0)&gt;ROUNDUP(U59/20,0),"Lần " &amp; ROUNDUP(U60/20,0),"")</f>
        <v/>
      </c>
      <c r="AG60" s="9">
        <f>IF(ROUNDUP(V60/20,0)&gt;ROUNDUP(V59/20,0),"Lần " &amp; ROUNDUP(V60/20,0),"")</f>
        <v/>
      </c>
      <c r="AH60" s="9">
        <f>IF(ROUNDUP(W60/20,0)&gt;ROUNDUP(W59/20,0),"Lần " &amp; ROUNDUP(W60/20,0),"")</f>
        <v/>
      </c>
      <c r="AI60" s="9">
        <f>IF(ROUNDUP(X60/20,0)&gt;ROUNDUP(X59/20,0),"Lần " &amp; ROUNDUP(X60/20,0),"")</f>
        <v/>
      </c>
      <c r="AJ60" s="9">
        <f>IF(ROUNDUP(Y60/20,0)&gt;ROUNDUP(Y59/20,0),"Lần " &amp; ROUNDUP(Y60/20,0),"")</f>
        <v/>
      </c>
      <c r="AK60" s="9">
        <f>IF(ROUNDUP(Z60/20,0)&gt;ROUNDUP(Z59/20,0),"Lần " &amp; ROUNDUP(Z60/20,0),"")</f>
        <v/>
      </c>
      <c r="AL60" s="4" t="n"/>
      <c r="AN60" s="596" t="inlineStr">
        <is>
          <t>Coc</t>
        </is>
      </c>
      <c r="AO60" s="596" t="n">
        <v>7</v>
      </c>
      <c r="AQ60" s="594" t="n"/>
      <c r="AR60" s="595" t="n"/>
    </row>
    <row r="61" ht="19" customHeight="1" s="672">
      <c r="A61" s="4" t="n">
        <v>55</v>
      </c>
      <c r="B61" s="5" t="inlineStr">
        <is>
          <t>Cọc khoan nhồi C7 Trụ T2 (D1.2m, L=30.0m)</t>
        </is>
      </c>
      <c r="C61" s="5" t="inlineStr">
        <is>
          <t>Cọc trụ T2 L=30m (tr.70)</t>
        </is>
      </c>
      <c r="D61" s="14" t="inlineStr">
        <is>
          <t>P7</t>
        </is>
      </c>
      <c r="E61" s="15" t="n">
        <v>25</v>
      </c>
      <c r="F61" s="4" t="inlineStr">
        <is>
          <t>CB400-V</t>
        </is>
      </c>
      <c r="G61" s="5" t="inlineStr"/>
      <c r="H61" s="16" t="n">
        <v>10.733</v>
      </c>
      <c r="I61" s="17" t="n">
        <v>12</v>
      </c>
      <c r="J61" s="18" t="n">
        <v>3.853</v>
      </c>
      <c r="K61" s="7">
        <f>ROUND(H61*I61*J61, 2)</f>
        <v/>
      </c>
      <c r="L61" s="19">
        <f>ROUND(K61/1000, 3)</f>
        <v/>
      </c>
      <c r="M61" s="728">
        <f>IF(AO61="","",IF(N(INDEX(Theo_Doi_Tan_Suat_Be_Tong!$C:$C,AO61))&lt;=0,"",INDEX(Theo_Doi_Tan_Suat_Be_Tong!$C:$C,AO61)-VLOOKUP(AN61,$AQ$2:$AR$7,2,FALSE)))</f>
        <v/>
      </c>
      <c r="N61" s="4" t="n"/>
      <c r="O61" s="20">
        <f>IF(ROUNDUP(W61/20,0)&gt;ROUNDUP(W60/20,0),"TN Ø25 (Lần " &amp; ROUNDUP(W61/20,0) &amp; ")","")</f>
        <v/>
      </c>
      <c r="P61" s="16">
        <f>ROUND(P60+IF(AND(E61&lt;=10,F61&lt;&gt;"ASTM A416"),L61,0),3)</f>
        <v/>
      </c>
      <c r="Q61" s="16">
        <f>ROUND(Q60+IF(AND(E61=12,F61&lt;&gt;"ASTM A416"),L61,0),3)</f>
        <v/>
      </c>
      <c r="R61" s="16">
        <f>ROUND(R60+IF(AND(E61=14,F61&lt;&gt;"ASTM A416"),L61,0),3)</f>
        <v/>
      </c>
      <c r="S61" s="16">
        <f>ROUND(S60+IF(AND(E61=16,F61&lt;&gt;"ASTM A416"),L61,0),3)</f>
        <v/>
      </c>
      <c r="T61" s="16">
        <f>ROUND(T60+IF(AND(E61=18,F61&lt;&gt;"ASTM A416"),L61,0),3)</f>
        <v/>
      </c>
      <c r="U61" s="16">
        <f>ROUND(U60+IF(AND(E61=20,F61&lt;&gt;"ASTM A416"),L61,0),3)</f>
        <v/>
      </c>
      <c r="V61" s="16">
        <f>ROUND(V60+IF(AND(E61=22,F61&lt;&gt;"ASTM A416"),L61,0),3)</f>
        <v/>
      </c>
      <c r="W61" s="16">
        <f>ROUND(W60+IF(AND(E61=25,F61&lt;&gt;"ASTM A416"),L61,0),3)</f>
        <v/>
      </c>
      <c r="X61" s="16">
        <f>ROUND(X60+IF(AND(E61=28,F61&lt;&gt;"ASTM A416"),L61,0),3)</f>
        <v/>
      </c>
      <c r="Y61" s="16">
        <f>ROUND(Y60+IF(AND(E61=32,F61&lt;&gt;"ASTM A416"),L61,0),3)</f>
        <v/>
      </c>
      <c r="Z61" s="16">
        <f>ROUND(Z60+IF(F61="ASTM A416",L61,0),3)</f>
        <v/>
      </c>
      <c r="AA61" s="9">
        <f>IF(ROUNDUP(P61/20,0)&gt;ROUNDUP(P60/20,0),"Lần " &amp; ROUNDUP(P61/20,0),"")</f>
        <v/>
      </c>
      <c r="AB61" s="9">
        <f>IF(ROUNDUP(Q61/20,0)&gt;ROUNDUP(Q60/20,0),"Lần " &amp; ROUNDUP(Q61/20,0),"")</f>
        <v/>
      </c>
      <c r="AC61" s="9">
        <f>IF(ROUNDUP(R61/20,0)&gt;ROUNDUP(R60/20,0),"Lần " &amp; ROUNDUP(R61/20,0),"")</f>
        <v/>
      </c>
      <c r="AD61" s="9">
        <f>IF(ROUNDUP(S61/20,0)&gt;ROUNDUP(S60/20,0),"Lần " &amp; ROUNDUP(S61/20,0),"")</f>
        <v/>
      </c>
      <c r="AE61" s="9">
        <f>IF(ROUNDUP(T61/20,0)&gt;ROUNDUP(T60/20,0),"Lần " &amp; ROUNDUP(T61/20,0),"")</f>
        <v/>
      </c>
      <c r="AF61" s="9">
        <f>IF(ROUNDUP(U61/20,0)&gt;ROUNDUP(U60/20,0),"Lần " &amp; ROUNDUP(U61/20,0),"")</f>
        <v/>
      </c>
      <c r="AG61" s="9">
        <f>IF(ROUNDUP(V61/20,0)&gt;ROUNDUP(V60/20,0),"Lần " &amp; ROUNDUP(V61/20,0),"")</f>
        <v/>
      </c>
      <c r="AH61" s="9">
        <f>IF(ROUNDUP(W61/20,0)&gt;ROUNDUP(W60/20,0),"Lần " &amp; ROUNDUP(W61/20,0),"")</f>
        <v/>
      </c>
      <c r="AI61" s="9">
        <f>IF(ROUNDUP(X61/20,0)&gt;ROUNDUP(X60/20,0),"Lần " &amp; ROUNDUP(X61/20,0),"")</f>
        <v/>
      </c>
      <c r="AJ61" s="9">
        <f>IF(ROUNDUP(Y61/20,0)&gt;ROUNDUP(Y60/20,0),"Lần " &amp; ROUNDUP(Y61/20,0),"")</f>
        <v/>
      </c>
      <c r="AK61" s="9">
        <f>IF(ROUNDUP(Z61/20,0)&gt;ROUNDUP(Z60/20,0),"Lần " &amp; ROUNDUP(Z61/20,0),"")</f>
        <v/>
      </c>
      <c r="AL61" s="4" t="n"/>
      <c r="AN61" s="596" t="inlineStr">
        <is>
          <t>Coc</t>
        </is>
      </c>
      <c r="AO61" s="596" t="n">
        <v>7</v>
      </c>
      <c r="AQ61" s="594" t="n"/>
      <c r="AR61" s="595" t="n"/>
    </row>
    <row r="62" ht="19" customHeight="1" s="672">
      <c r="A62" s="4" t="n">
        <v>56</v>
      </c>
      <c r="B62" s="5" t="inlineStr">
        <is>
          <t>Cọc khoan nhồi C7 Trụ T2 (D1.2m, L=30.0m)</t>
        </is>
      </c>
      <c r="C62" s="5" t="inlineStr">
        <is>
          <t>Cọc trụ T2 L=30m (tr.70)</t>
        </is>
      </c>
      <c r="D62" s="14" t="inlineStr">
        <is>
          <t>P8</t>
        </is>
      </c>
      <c r="E62" s="15" t="n">
        <v>12</v>
      </c>
      <c r="F62" s="4" t="inlineStr">
        <is>
          <t>CB400-V</t>
        </is>
      </c>
      <c r="G62" s="5" t="inlineStr"/>
      <c r="H62" s="16" t="n">
        <v>0.647</v>
      </c>
      <c r="I62" s="17" t="n">
        <v>12</v>
      </c>
      <c r="J62" s="18" t="n">
        <v>0.888</v>
      </c>
      <c r="K62" s="7">
        <f>ROUND(H62*I62*J62, 2)</f>
        <v/>
      </c>
      <c r="L62" s="19">
        <f>ROUND(K62/1000, 3)</f>
        <v/>
      </c>
      <c r="M62" s="728">
        <f>IF(AO62="","",IF(N(INDEX(Theo_Doi_Tan_Suat_Be_Tong!$C:$C,AO62))&lt;=0,"",INDEX(Theo_Doi_Tan_Suat_Be_Tong!$C:$C,AO62)-VLOOKUP(AN62,$AQ$2:$AR$7,2,FALSE)))</f>
        <v/>
      </c>
      <c r="N62" s="4" t="n"/>
      <c r="O62" s="20">
        <f>IF(ROUNDUP(Q62/20,0)&gt;ROUNDUP(Q61/20,0),"TN Ø12 (Lần " &amp; ROUNDUP(Q62/20,0) &amp; ")","")</f>
        <v/>
      </c>
      <c r="P62" s="16">
        <f>ROUND(P61+IF(AND(E62&lt;=10,F62&lt;&gt;"ASTM A416"),L62,0),3)</f>
        <v/>
      </c>
      <c r="Q62" s="16">
        <f>ROUND(Q61+IF(AND(E62=12,F62&lt;&gt;"ASTM A416"),L62,0),3)</f>
        <v/>
      </c>
      <c r="R62" s="16">
        <f>ROUND(R61+IF(AND(E62=14,F62&lt;&gt;"ASTM A416"),L62,0),3)</f>
        <v/>
      </c>
      <c r="S62" s="16">
        <f>ROUND(S61+IF(AND(E62=16,F62&lt;&gt;"ASTM A416"),L62,0),3)</f>
        <v/>
      </c>
      <c r="T62" s="16">
        <f>ROUND(T61+IF(AND(E62=18,F62&lt;&gt;"ASTM A416"),L62,0),3)</f>
        <v/>
      </c>
      <c r="U62" s="16">
        <f>ROUND(U61+IF(AND(E62=20,F62&lt;&gt;"ASTM A416"),L62,0),3)</f>
        <v/>
      </c>
      <c r="V62" s="16">
        <f>ROUND(V61+IF(AND(E62=22,F62&lt;&gt;"ASTM A416"),L62,0),3)</f>
        <v/>
      </c>
      <c r="W62" s="16">
        <f>ROUND(W61+IF(AND(E62=25,F62&lt;&gt;"ASTM A416"),L62,0),3)</f>
        <v/>
      </c>
      <c r="X62" s="16">
        <f>ROUND(X61+IF(AND(E62=28,F62&lt;&gt;"ASTM A416"),L62,0),3)</f>
        <v/>
      </c>
      <c r="Y62" s="16">
        <f>ROUND(Y61+IF(AND(E62=32,F62&lt;&gt;"ASTM A416"),L62,0),3)</f>
        <v/>
      </c>
      <c r="Z62" s="16">
        <f>ROUND(Z61+IF(F62="ASTM A416",L62,0),3)</f>
        <v/>
      </c>
      <c r="AA62" s="9">
        <f>IF(ROUNDUP(P62/20,0)&gt;ROUNDUP(P61/20,0),"Lần " &amp; ROUNDUP(P62/20,0),"")</f>
        <v/>
      </c>
      <c r="AB62" s="9">
        <f>IF(ROUNDUP(Q62/20,0)&gt;ROUNDUP(Q61/20,0),"Lần " &amp; ROUNDUP(Q62/20,0),"")</f>
        <v/>
      </c>
      <c r="AC62" s="9">
        <f>IF(ROUNDUP(R62/20,0)&gt;ROUNDUP(R61/20,0),"Lần " &amp; ROUNDUP(R62/20,0),"")</f>
        <v/>
      </c>
      <c r="AD62" s="9">
        <f>IF(ROUNDUP(S62/20,0)&gt;ROUNDUP(S61/20,0),"Lần " &amp; ROUNDUP(S62/20,0),"")</f>
        <v/>
      </c>
      <c r="AE62" s="9">
        <f>IF(ROUNDUP(T62/20,0)&gt;ROUNDUP(T61/20,0),"Lần " &amp; ROUNDUP(T62/20,0),"")</f>
        <v/>
      </c>
      <c r="AF62" s="9">
        <f>IF(ROUNDUP(U62/20,0)&gt;ROUNDUP(U61/20,0),"Lần " &amp; ROUNDUP(U62/20,0),"")</f>
        <v/>
      </c>
      <c r="AG62" s="9">
        <f>IF(ROUNDUP(V62/20,0)&gt;ROUNDUP(V61/20,0),"Lần " &amp; ROUNDUP(V62/20,0),"")</f>
        <v/>
      </c>
      <c r="AH62" s="9">
        <f>IF(ROUNDUP(W62/20,0)&gt;ROUNDUP(W61/20,0),"Lần " &amp; ROUNDUP(W62/20,0),"")</f>
        <v/>
      </c>
      <c r="AI62" s="9">
        <f>IF(ROUNDUP(X62/20,0)&gt;ROUNDUP(X61/20,0),"Lần " &amp; ROUNDUP(X62/20,0),"")</f>
        <v/>
      </c>
      <c r="AJ62" s="9">
        <f>IF(ROUNDUP(Y62/20,0)&gt;ROUNDUP(Y61/20,0),"Lần " &amp; ROUNDUP(Y62/20,0),"")</f>
        <v/>
      </c>
      <c r="AK62" s="9">
        <f>IF(ROUNDUP(Z62/20,0)&gt;ROUNDUP(Z61/20,0),"Lần " &amp; ROUNDUP(Z62/20,0),"")</f>
        <v/>
      </c>
      <c r="AL62" s="4" t="n"/>
      <c r="AN62" s="596" t="inlineStr">
        <is>
          <t>Coc</t>
        </is>
      </c>
      <c r="AO62" s="596" t="n">
        <v>7</v>
      </c>
      <c r="AQ62" s="594" t="n"/>
      <c r="AR62" s="595" t="n"/>
    </row>
    <row r="63" ht="19" customHeight="1" s="672">
      <c r="A63" s="4" t="n">
        <v>57</v>
      </c>
      <c r="B63" s="5" t="inlineStr">
        <is>
          <t>Cọc khoan nhồi C7 Trụ T2 (D1.2m, L=30.0m)</t>
        </is>
      </c>
      <c r="C63" s="5" t="inlineStr">
        <is>
          <t>Cọc trụ T2 L=30m (tr.70)</t>
        </is>
      </c>
      <c r="D63" s="14" t="inlineStr">
        <is>
          <t>P9</t>
        </is>
      </c>
      <c r="E63" s="15" t="n">
        <v>12</v>
      </c>
      <c r="F63" s="4" t="inlineStr">
        <is>
          <t>CB400-V</t>
        </is>
      </c>
      <c r="G63" s="5" t="inlineStr"/>
      <c r="H63" s="16" t="n">
        <v>0.379</v>
      </c>
      <c r="I63" s="17" t="n">
        <v>36</v>
      </c>
      <c r="J63" s="18" t="n">
        <v>0.888</v>
      </c>
      <c r="K63" s="7">
        <f>ROUND(H63*I63*J63, 2)</f>
        <v/>
      </c>
      <c r="L63" s="19">
        <f>ROUND(K63/1000, 3)</f>
        <v/>
      </c>
      <c r="M63" s="728">
        <f>IF(AO63="","",IF(N(INDEX(Theo_Doi_Tan_Suat_Be_Tong!$C:$C,AO63))&lt;=0,"",INDEX(Theo_Doi_Tan_Suat_Be_Tong!$C:$C,AO63)-VLOOKUP(AN63,$AQ$2:$AR$7,2,FALSE)))</f>
        <v/>
      </c>
      <c r="N63" s="4" t="n"/>
      <c r="O63" s="20">
        <f>IF(ROUNDUP(Q63/20,0)&gt;ROUNDUP(Q62/20,0),"TN Ø12 (Lần " &amp; ROUNDUP(Q63/20,0) &amp; ")","")</f>
        <v/>
      </c>
      <c r="P63" s="16">
        <f>ROUND(P62+IF(AND(E63&lt;=10,F63&lt;&gt;"ASTM A416"),L63,0),3)</f>
        <v/>
      </c>
      <c r="Q63" s="16">
        <f>ROUND(Q62+IF(AND(E63=12,F63&lt;&gt;"ASTM A416"),L63,0),3)</f>
        <v/>
      </c>
      <c r="R63" s="16">
        <f>ROUND(R62+IF(AND(E63=14,F63&lt;&gt;"ASTM A416"),L63,0),3)</f>
        <v/>
      </c>
      <c r="S63" s="16">
        <f>ROUND(S62+IF(AND(E63=16,F63&lt;&gt;"ASTM A416"),L63,0),3)</f>
        <v/>
      </c>
      <c r="T63" s="16">
        <f>ROUND(T62+IF(AND(E63=18,F63&lt;&gt;"ASTM A416"),L63,0),3)</f>
        <v/>
      </c>
      <c r="U63" s="16">
        <f>ROUND(U62+IF(AND(E63=20,F63&lt;&gt;"ASTM A416"),L63,0),3)</f>
        <v/>
      </c>
      <c r="V63" s="16">
        <f>ROUND(V62+IF(AND(E63=22,F63&lt;&gt;"ASTM A416"),L63,0),3)</f>
        <v/>
      </c>
      <c r="W63" s="16">
        <f>ROUND(W62+IF(AND(E63=25,F63&lt;&gt;"ASTM A416"),L63,0),3)</f>
        <v/>
      </c>
      <c r="X63" s="16">
        <f>ROUND(X62+IF(AND(E63=28,F63&lt;&gt;"ASTM A416"),L63,0),3)</f>
        <v/>
      </c>
      <c r="Y63" s="16">
        <f>ROUND(Y62+IF(AND(E63=32,F63&lt;&gt;"ASTM A416"),L63,0),3)</f>
        <v/>
      </c>
      <c r="Z63" s="16">
        <f>ROUND(Z62+IF(F63="ASTM A416",L63,0),3)</f>
        <v/>
      </c>
      <c r="AA63" s="9">
        <f>IF(ROUNDUP(P63/20,0)&gt;ROUNDUP(P62/20,0),"Lần " &amp; ROUNDUP(P63/20,0),"")</f>
        <v/>
      </c>
      <c r="AB63" s="9">
        <f>IF(ROUNDUP(Q63/20,0)&gt;ROUNDUP(Q62/20,0),"Lần " &amp; ROUNDUP(Q63/20,0),"")</f>
        <v/>
      </c>
      <c r="AC63" s="9">
        <f>IF(ROUNDUP(R63/20,0)&gt;ROUNDUP(R62/20,0),"Lần " &amp; ROUNDUP(R63/20,0),"")</f>
        <v/>
      </c>
      <c r="AD63" s="9">
        <f>IF(ROUNDUP(S63/20,0)&gt;ROUNDUP(S62/20,0),"Lần " &amp; ROUNDUP(S63/20,0),"")</f>
        <v/>
      </c>
      <c r="AE63" s="9">
        <f>IF(ROUNDUP(T63/20,0)&gt;ROUNDUP(T62/20,0),"Lần " &amp; ROUNDUP(T63/20,0),"")</f>
        <v/>
      </c>
      <c r="AF63" s="9">
        <f>IF(ROUNDUP(U63/20,0)&gt;ROUNDUP(U62/20,0),"Lần " &amp; ROUNDUP(U63/20,0),"")</f>
        <v/>
      </c>
      <c r="AG63" s="9">
        <f>IF(ROUNDUP(V63/20,0)&gt;ROUNDUP(V62/20,0),"Lần " &amp; ROUNDUP(V63/20,0),"")</f>
        <v/>
      </c>
      <c r="AH63" s="9">
        <f>IF(ROUNDUP(W63/20,0)&gt;ROUNDUP(W62/20,0),"Lần " &amp; ROUNDUP(W63/20,0),"")</f>
        <v/>
      </c>
      <c r="AI63" s="9">
        <f>IF(ROUNDUP(X63/20,0)&gt;ROUNDUP(X62/20,0),"Lần " &amp; ROUNDUP(X63/20,0),"")</f>
        <v/>
      </c>
      <c r="AJ63" s="9">
        <f>IF(ROUNDUP(Y63/20,0)&gt;ROUNDUP(Y62/20,0),"Lần " &amp; ROUNDUP(Y63/20,0),"")</f>
        <v/>
      </c>
      <c r="AK63" s="9">
        <f>IF(ROUNDUP(Z63/20,0)&gt;ROUNDUP(Z62/20,0),"Lần " &amp; ROUNDUP(Z63/20,0),"")</f>
        <v/>
      </c>
      <c r="AL63" s="4" t="n"/>
      <c r="AN63" s="596" t="inlineStr">
        <is>
          <t>Coc</t>
        </is>
      </c>
      <c r="AO63" s="596" t="n">
        <v>7</v>
      </c>
      <c r="AQ63" s="594" t="n"/>
      <c r="AR63" s="595" t="n"/>
    </row>
    <row r="64" ht="19" customHeight="1" s="672">
      <c r="A64" s="4" t="n">
        <v>58</v>
      </c>
      <c r="B64" s="5" t="inlineStr">
        <is>
          <t>Cọc khoan nhồi C7 Trụ T2 (D1.2m, L=30.0m)</t>
        </is>
      </c>
      <c r="C64" s="5" t="inlineStr">
        <is>
          <t>Cọc trụ T2 L=30m (tr.70)</t>
        </is>
      </c>
      <c r="D64" s="14" t="inlineStr">
        <is>
          <t>P10</t>
        </is>
      </c>
      <c r="E64" s="15" t="n">
        <v>20</v>
      </c>
      <c r="F64" s="4" t="inlineStr">
        <is>
          <t>CB400-V</t>
        </is>
      </c>
      <c r="G64" s="5" t="inlineStr"/>
      <c r="H64" s="16" t="n">
        <v>2.057</v>
      </c>
      <c r="I64" s="17" t="n">
        <v>1</v>
      </c>
      <c r="J64" s="18" t="n">
        <v>2.466</v>
      </c>
      <c r="K64" s="7">
        <f>ROUND(H64*I64*J64, 2)</f>
        <v/>
      </c>
      <c r="L64" s="19">
        <f>ROUND(K64/1000, 3)</f>
        <v/>
      </c>
      <c r="M64" s="728">
        <f>IF(AO64="","",IF(N(INDEX(Theo_Doi_Tan_Suat_Be_Tong!$C:$C,AO64))&lt;=0,"",INDEX(Theo_Doi_Tan_Suat_Be_Tong!$C:$C,AO64)-VLOOKUP(AN64,$AQ$2:$AR$7,2,FALSE)))</f>
        <v/>
      </c>
      <c r="N64" s="4" t="n"/>
      <c r="O64" s="20">
        <f>IF(ROUNDUP(U64/20,0)&gt;ROUNDUP(U63/20,0),"TN Ø20 (Lần " &amp; ROUNDUP(U64/20,0) &amp; ")","")</f>
        <v/>
      </c>
      <c r="P64" s="16">
        <f>ROUND(P63+IF(AND(E64&lt;=10,F64&lt;&gt;"ASTM A416"),L64,0),3)</f>
        <v/>
      </c>
      <c r="Q64" s="16">
        <f>ROUND(Q63+IF(AND(E64=12,F64&lt;&gt;"ASTM A416"),L64,0),3)</f>
        <v/>
      </c>
      <c r="R64" s="16">
        <f>ROUND(R63+IF(AND(E64=14,F64&lt;&gt;"ASTM A416"),L64,0),3)</f>
        <v/>
      </c>
      <c r="S64" s="16">
        <f>ROUND(S63+IF(AND(E64=16,F64&lt;&gt;"ASTM A416"),L64,0),3)</f>
        <v/>
      </c>
      <c r="T64" s="16">
        <f>ROUND(T63+IF(AND(E64=18,F64&lt;&gt;"ASTM A416"),L64,0),3)</f>
        <v/>
      </c>
      <c r="U64" s="16">
        <f>ROUND(U63+IF(AND(E64=20,F64&lt;&gt;"ASTM A416"),L64,0),3)</f>
        <v/>
      </c>
      <c r="V64" s="16">
        <f>ROUND(V63+IF(AND(E64=22,F64&lt;&gt;"ASTM A416"),L64,0),3)</f>
        <v/>
      </c>
      <c r="W64" s="16">
        <f>ROUND(W63+IF(AND(E64=25,F64&lt;&gt;"ASTM A416"),L64,0),3)</f>
        <v/>
      </c>
      <c r="X64" s="16">
        <f>ROUND(X63+IF(AND(E64=28,F64&lt;&gt;"ASTM A416"),L64,0),3)</f>
        <v/>
      </c>
      <c r="Y64" s="16">
        <f>ROUND(Y63+IF(AND(E64=32,F64&lt;&gt;"ASTM A416"),L64,0),3)</f>
        <v/>
      </c>
      <c r="Z64" s="16">
        <f>ROUND(Z63+IF(F64="ASTM A416",L64,0),3)</f>
        <v/>
      </c>
      <c r="AA64" s="9">
        <f>IF(ROUNDUP(P64/20,0)&gt;ROUNDUP(P63/20,0),"Lần " &amp; ROUNDUP(P64/20,0),"")</f>
        <v/>
      </c>
      <c r="AB64" s="9">
        <f>IF(ROUNDUP(Q64/20,0)&gt;ROUNDUP(Q63/20,0),"Lần " &amp; ROUNDUP(Q64/20,0),"")</f>
        <v/>
      </c>
      <c r="AC64" s="9">
        <f>IF(ROUNDUP(R64/20,0)&gt;ROUNDUP(R63/20,0),"Lần " &amp; ROUNDUP(R64/20,0),"")</f>
        <v/>
      </c>
      <c r="AD64" s="9">
        <f>IF(ROUNDUP(S64/20,0)&gt;ROUNDUP(S63/20,0),"Lần " &amp; ROUNDUP(S64/20,0),"")</f>
        <v/>
      </c>
      <c r="AE64" s="9">
        <f>IF(ROUNDUP(T64/20,0)&gt;ROUNDUP(T63/20,0),"Lần " &amp; ROUNDUP(T64/20,0),"")</f>
        <v/>
      </c>
      <c r="AF64" s="9">
        <f>IF(ROUNDUP(U64/20,0)&gt;ROUNDUP(U63/20,0),"Lần " &amp; ROUNDUP(U64/20,0),"")</f>
        <v/>
      </c>
      <c r="AG64" s="9">
        <f>IF(ROUNDUP(V64/20,0)&gt;ROUNDUP(V63/20,0),"Lần " &amp; ROUNDUP(V64/20,0),"")</f>
        <v/>
      </c>
      <c r="AH64" s="9">
        <f>IF(ROUNDUP(W64/20,0)&gt;ROUNDUP(W63/20,0),"Lần " &amp; ROUNDUP(W64/20,0),"")</f>
        <v/>
      </c>
      <c r="AI64" s="9">
        <f>IF(ROUNDUP(X64/20,0)&gt;ROUNDUP(X63/20,0),"Lần " &amp; ROUNDUP(X64/20,0),"")</f>
        <v/>
      </c>
      <c r="AJ64" s="9">
        <f>IF(ROUNDUP(Y64/20,0)&gt;ROUNDUP(Y63/20,0),"Lần " &amp; ROUNDUP(Y64/20,0),"")</f>
        <v/>
      </c>
      <c r="AK64" s="9">
        <f>IF(ROUNDUP(Z64/20,0)&gt;ROUNDUP(Z63/20,0),"Lần " &amp; ROUNDUP(Z64/20,0),"")</f>
        <v/>
      </c>
      <c r="AL64" s="4" t="n"/>
      <c r="AN64" s="596" t="inlineStr">
        <is>
          <t>Coc</t>
        </is>
      </c>
      <c r="AO64" s="596" t="n">
        <v>7</v>
      </c>
      <c r="AQ64" s="594" t="n"/>
      <c r="AR64" s="595" t="n"/>
    </row>
    <row r="65" ht="20" customHeight="1" s="672">
      <c r="A65" s="4" t="n">
        <v>59</v>
      </c>
      <c r="B65" s="5" t="inlineStr">
        <is>
          <t>Cọc khoan nhồi C7 Trụ T2 (D1.2m, L=30.0m)</t>
        </is>
      </c>
      <c r="C65" s="5" t="inlineStr">
        <is>
          <t>Cọc trụ T2 L=30m (tr.70)</t>
        </is>
      </c>
      <c r="D65" s="14" t="inlineStr">
        <is>
          <t>P12</t>
        </is>
      </c>
      <c r="E65" s="15" t="n">
        <v>20</v>
      </c>
      <c r="F65" s="4" t="inlineStr">
        <is>
          <t>CB400-V</t>
        </is>
      </c>
      <c r="G65" s="5" t="inlineStr"/>
      <c r="H65" s="16" t="n">
        <v>0.583</v>
      </c>
      <c r="I65" s="17" t="n">
        <v>48</v>
      </c>
      <c r="J65" s="18" t="n">
        <v>2.466</v>
      </c>
      <c r="K65" s="7">
        <f>ROUND(H65*I65*J65, 2)</f>
        <v/>
      </c>
      <c r="L65" s="19">
        <f>ROUND(K65/1000, 3)</f>
        <v/>
      </c>
      <c r="M65" s="728">
        <f>IF(AO65="","",IF(N(INDEX(Theo_Doi_Tan_Suat_Be_Tong!$C:$C,AO65))&lt;=0,"",INDEX(Theo_Doi_Tan_Suat_Be_Tong!$C:$C,AO65)-VLOOKUP(AN65,$AQ$2:$AR$7,2,FALSE)))</f>
        <v/>
      </c>
      <c r="N65" s="4" t="n"/>
      <c r="O65" s="20">
        <f>IF(ROUNDUP(U65/20,0)&gt;ROUNDUP(U64/20,0),"TN Ø20 (Lần " &amp; ROUNDUP(U65/20,0) &amp; ")","")</f>
        <v/>
      </c>
      <c r="P65" s="16">
        <f>ROUND(P64+IF(AND(E65&lt;=10,F65&lt;&gt;"ASTM A416"),L65,0),3)</f>
        <v/>
      </c>
      <c r="Q65" s="16">
        <f>ROUND(Q64+IF(AND(E65=12,F65&lt;&gt;"ASTM A416"),L65,0),3)</f>
        <v/>
      </c>
      <c r="R65" s="16">
        <f>ROUND(R64+IF(AND(E65=14,F65&lt;&gt;"ASTM A416"),L65,0),3)</f>
        <v/>
      </c>
      <c r="S65" s="16">
        <f>ROUND(S64+IF(AND(E65=16,F65&lt;&gt;"ASTM A416"),L65,0),3)</f>
        <v/>
      </c>
      <c r="T65" s="16">
        <f>ROUND(T64+IF(AND(E65=18,F65&lt;&gt;"ASTM A416"),L65,0),3)</f>
        <v/>
      </c>
      <c r="U65" s="16">
        <f>ROUND(U64+IF(AND(E65=20,F65&lt;&gt;"ASTM A416"),L65,0),3)</f>
        <v/>
      </c>
      <c r="V65" s="16">
        <f>ROUND(V64+IF(AND(E65=22,F65&lt;&gt;"ASTM A416"),L65,0),3)</f>
        <v/>
      </c>
      <c r="W65" s="16">
        <f>ROUND(W64+IF(AND(E65=25,F65&lt;&gt;"ASTM A416"),L65,0),3)</f>
        <v/>
      </c>
      <c r="X65" s="16">
        <f>ROUND(X64+IF(AND(E65=28,F65&lt;&gt;"ASTM A416"),L65,0),3)</f>
        <v/>
      </c>
      <c r="Y65" s="16">
        <f>ROUND(Y64+IF(AND(E65=32,F65&lt;&gt;"ASTM A416"),L65,0),3)</f>
        <v/>
      </c>
      <c r="Z65" s="16">
        <f>ROUND(Z64+IF(F65="ASTM A416",L65,0),3)</f>
        <v/>
      </c>
      <c r="AA65" s="9">
        <f>IF(ROUNDUP(P65/20,0)&gt;ROUNDUP(P64/20,0),"Lần " &amp; ROUNDUP(P65/20,0),"")</f>
        <v/>
      </c>
      <c r="AB65" s="9">
        <f>IF(ROUNDUP(Q65/20,0)&gt;ROUNDUP(Q64/20,0),"Lần " &amp; ROUNDUP(Q65/20,0),"")</f>
        <v/>
      </c>
      <c r="AC65" s="9">
        <f>IF(ROUNDUP(R65/20,0)&gt;ROUNDUP(R64/20,0),"Lần " &amp; ROUNDUP(R65/20,0),"")</f>
        <v/>
      </c>
      <c r="AD65" s="9">
        <f>IF(ROUNDUP(S65/20,0)&gt;ROUNDUP(S64/20,0),"Lần " &amp; ROUNDUP(S65/20,0),"")</f>
        <v/>
      </c>
      <c r="AE65" s="9">
        <f>IF(ROUNDUP(T65/20,0)&gt;ROUNDUP(T64/20,0),"Lần " &amp; ROUNDUP(T65/20,0),"")</f>
        <v/>
      </c>
      <c r="AF65" s="9">
        <f>IF(ROUNDUP(U65/20,0)&gt;ROUNDUP(U64/20,0),"Lần " &amp; ROUNDUP(U65/20,0),"")</f>
        <v/>
      </c>
      <c r="AG65" s="9">
        <f>IF(ROUNDUP(V65/20,0)&gt;ROUNDUP(V64/20,0),"Lần " &amp; ROUNDUP(V65/20,0),"")</f>
        <v/>
      </c>
      <c r="AH65" s="9">
        <f>IF(ROUNDUP(W65/20,0)&gt;ROUNDUP(W64/20,0),"Lần " &amp; ROUNDUP(W65/20,0),"")</f>
        <v/>
      </c>
      <c r="AI65" s="9">
        <f>IF(ROUNDUP(X65/20,0)&gt;ROUNDUP(X64/20,0),"Lần " &amp; ROUNDUP(X65/20,0),"")</f>
        <v/>
      </c>
      <c r="AJ65" s="9">
        <f>IF(ROUNDUP(Y65/20,0)&gt;ROUNDUP(Y64/20,0),"Lần " &amp; ROUNDUP(Y65/20,0),"")</f>
        <v/>
      </c>
      <c r="AK65" s="9">
        <f>IF(ROUNDUP(Z65/20,0)&gt;ROUNDUP(Z64/20,0),"Lần " &amp; ROUNDUP(Z65/20,0),"")</f>
        <v/>
      </c>
      <c r="AL65" s="4" t="n"/>
      <c r="AN65" s="596" t="inlineStr">
        <is>
          <t>Coc</t>
        </is>
      </c>
      <c r="AO65" s="596" t="n">
        <v>7</v>
      </c>
      <c r="AQ65" s="594" t="n"/>
      <c r="AR65" s="595" t="n"/>
    </row>
    <row r="66" ht="19" customHeight="1" s="672">
      <c r="A66" s="4" t="n">
        <v>60</v>
      </c>
      <c r="B66" s="5" t="inlineStr">
        <is>
          <t>Cọc khoan nhồi C7 Trụ T2 (D1.2m, L=30.0m)</t>
        </is>
      </c>
      <c r="C66" s="5" t="inlineStr">
        <is>
          <t>Cọc trụ T2 L=30m (tr.70)</t>
        </is>
      </c>
      <c r="D66" s="14" t="inlineStr">
        <is>
          <t>P11</t>
        </is>
      </c>
      <c r="E66" s="15" t="n">
        <v>16</v>
      </c>
      <c r="F66" s="4" t="inlineStr">
        <is>
          <t>CB400-V</t>
        </is>
      </c>
      <c r="G66" s="5" t="inlineStr"/>
      <c r="H66" s="16" t="n">
        <v>2.604</v>
      </c>
      <c r="I66" s="17" t="n">
        <v>4</v>
      </c>
      <c r="J66" s="18" t="n">
        <v>1.578</v>
      </c>
      <c r="K66" s="7">
        <f>ROUND(H66*I66*J66, 2)</f>
        <v/>
      </c>
      <c r="L66" s="19">
        <f>ROUND(K66/1000, 3)</f>
        <v/>
      </c>
      <c r="M66" s="728">
        <f>IF(AO66="","",IF(N(INDEX(Theo_Doi_Tan_Suat_Be_Tong!$C:$C,AO66))&lt;=0,"",INDEX(Theo_Doi_Tan_Suat_Be_Tong!$C:$C,AO66)-VLOOKUP(AN66,$AQ$2:$AR$7,2,FALSE)))</f>
        <v/>
      </c>
      <c r="N66" s="4" t="n"/>
      <c r="O66" s="20">
        <f>IF(ROUNDUP(S66/20,0)&gt;ROUNDUP(S65/20,0),"TN Ø16 (Lần " &amp; ROUNDUP(S66/20,0) &amp; ")","")</f>
        <v/>
      </c>
      <c r="P66" s="16">
        <f>ROUND(P65+IF(AND(E66&lt;=10,F66&lt;&gt;"ASTM A416"),L66,0),3)</f>
        <v/>
      </c>
      <c r="Q66" s="16">
        <f>ROUND(Q65+IF(AND(E66=12,F66&lt;&gt;"ASTM A416"),L66,0),3)</f>
        <v/>
      </c>
      <c r="R66" s="16">
        <f>ROUND(R65+IF(AND(E66=14,F66&lt;&gt;"ASTM A416"),L66,0),3)</f>
        <v/>
      </c>
      <c r="S66" s="16">
        <f>ROUND(S65+IF(AND(E66=16,F66&lt;&gt;"ASTM A416"),L66,0),3)</f>
        <v/>
      </c>
      <c r="T66" s="16">
        <f>ROUND(T65+IF(AND(E66=18,F66&lt;&gt;"ASTM A416"),L66,0),3)</f>
        <v/>
      </c>
      <c r="U66" s="16">
        <f>ROUND(U65+IF(AND(E66=20,F66&lt;&gt;"ASTM A416"),L66,0),3)</f>
        <v/>
      </c>
      <c r="V66" s="16">
        <f>ROUND(V65+IF(AND(E66=22,F66&lt;&gt;"ASTM A416"),L66,0),3)</f>
        <v/>
      </c>
      <c r="W66" s="16">
        <f>ROUND(W65+IF(AND(E66=25,F66&lt;&gt;"ASTM A416"),L66,0),3)</f>
        <v/>
      </c>
      <c r="X66" s="16">
        <f>ROUND(X65+IF(AND(E66=28,F66&lt;&gt;"ASTM A416"),L66,0),3)</f>
        <v/>
      </c>
      <c r="Y66" s="16">
        <f>ROUND(Y65+IF(AND(E66=32,F66&lt;&gt;"ASTM A416"),L66,0),3)</f>
        <v/>
      </c>
      <c r="Z66" s="16">
        <f>ROUND(Z65+IF(F66="ASTM A416",L66,0),3)</f>
        <v/>
      </c>
      <c r="AA66" s="9">
        <f>IF(ROUNDUP(P66/20,0)&gt;ROUNDUP(P65/20,0),"Lần " &amp; ROUNDUP(P66/20,0),"")</f>
        <v/>
      </c>
      <c r="AB66" s="9">
        <f>IF(ROUNDUP(Q66/20,0)&gt;ROUNDUP(Q65/20,0),"Lần " &amp; ROUNDUP(Q66/20,0),"")</f>
        <v/>
      </c>
      <c r="AC66" s="9">
        <f>IF(ROUNDUP(R66/20,0)&gt;ROUNDUP(R65/20,0),"Lần " &amp; ROUNDUP(R66/20,0),"")</f>
        <v/>
      </c>
      <c r="AD66" s="9">
        <f>IF(ROUNDUP(S66/20,0)&gt;ROUNDUP(S65/20,0),"Lần " &amp; ROUNDUP(S66/20,0),"")</f>
        <v/>
      </c>
      <c r="AE66" s="9">
        <f>IF(ROUNDUP(T66/20,0)&gt;ROUNDUP(T65/20,0),"Lần " &amp; ROUNDUP(T66/20,0),"")</f>
        <v/>
      </c>
      <c r="AF66" s="9">
        <f>IF(ROUNDUP(U66/20,0)&gt;ROUNDUP(U65/20,0),"Lần " &amp; ROUNDUP(U66/20,0),"")</f>
        <v/>
      </c>
      <c r="AG66" s="9">
        <f>IF(ROUNDUP(V66/20,0)&gt;ROUNDUP(V65/20,0),"Lần " &amp; ROUNDUP(V66/20,0),"")</f>
        <v/>
      </c>
      <c r="AH66" s="9">
        <f>IF(ROUNDUP(W66/20,0)&gt;ROUNDUP(W65/20,0),"Lần " &amp; ROUNDUP(W66/20,0),"")</f>
        <v/>
      </c>
      <c r="AI66" s="9">
        <f>IF(ROUNDUP(X66/20,0)&gt;ROUNDUP(X65/20,0),"Lần " &amp; ROUNDUP(X66/20,0),"")</f>
        <v/>
      </c>
      <c r="AJ66" s="9">
        <f>IF(ROUNDUP(Y66/20,0)&gt;ROUNDUP(Y65/20,0),"Lần " &amp; ROUNDUP(Y66/20,0),"")</f>
        <v/>
      </c>
      <c r="AK66" s="9">
        <f>IF(ROUNDUP(Z66/20,0)&gt;ROUNDUP(Z65/20,0),"Lần " &amp; ROUNDUP(Z66/20,0),"")</f>
        <v/>
      </c>
      <c r="AL66" s="4" t="n"/>
      <c r="AN66" s="596" t="inlineStr">
        <is>
          <t>Coc</t>
        </is>
      </c>
      <c r="AO66" s="596" t="n">
        <v>7</v>
      </c>
      <c r="AQ66" s="594" t="n"/>
      <c r="AR66" s="595" t="n"/>
    </row>
    <row r="67" ht="19" customHeight="1" s="672">
      <c r="A67" s="668" t="inlineStr">
        <is>
          <t>--- CỌC KHOAN NHỒI C2 TRỤ T1 (D1.2M, L=40.0M) ---</t>
        </is>
      </c>
      <c r="B67" s="722" t="n"/>
      <c r="C67" s="722" t="n"/>
      <c r="D67" s="722" t="n"/>
      <c r="E67" s="722" t="n"/>
      <c r="F67" s="722" t="n"/>
      <c r="G67" s="722" t="n"/>
      <c r="H67" s="722" t="n"/>
      <c r="I67" s="722" t="n"/>
      <c r="J67" s="722" t="n"/>
      <c r="K67" s="722" t="n"/>
      <c r="L67" s="722" t="n"/>
      <c r="M67" s="722" t="n"/>
      <c r="N67" s="722" t="n"/>
      <c r="O67" s="722" t="n"/>
      <c r="P67" s="722" t="n"/>
      <c r="Q67" s="722" t="n"/>
      <c r="R67" s="722" t="n"/>
      <c r="S67" s="722" t="n"/>
      <c r="T67" s="722" t="n"/>
      <c r="U67" s="722" t="n"/>
      <c r="V67" s="722" t="n"/>
      <c r="W67" s="722" t="n"/>
      <c r="X67" s="722" t="n"/>
      <c r="Y67" s="722" t="n"/>
      <c r="Z67" s="722" t="n"/>
      <c r="AA67" s="722" t="n"/>
      <c r="AB67" s="722" t="n"/>
      <c r="AC67" s="722" t="n"/>
      <c r="AD67" s="722" t="n"/>
      <c r="AE67" s="722" t="n"/>
      <c r="AF67" s="722" t="n"/>
      <c r="AG67" s="722" t="n"/>
      <c r="AH67" s="722" t="n"/>
      <c r="AI67" s="722" t="n"/>
      <c r="AJ67" s="722" t="n"/>
      <c r="AK67" s="722" t="n"/>
      <c r="AL67" s="721" t="n"/>
      <c r="AQ67" s="594" t="n"/>
      <c r="AR67" s="595" t="n"/>
    </row>
    <row r="68" ht="19" customHeight="1" s="672">
      <c r="A68" s="4" t="n">
        <v>61</v>
      </c>
      <c r="B68" s="5" t="inlineStr">
        <is>
          <t>Cọc khoan nhồi C2 Trụ T1 (D1.2m, L=40.0m)</t>
        </is>
      </c>
      <c r="C68" s="5" t="inlineStr">
        <is>
          <t>Cọc trụ T1 L=40m (tr.68)</t>
        </is>
      </c>
      <c r="D68" s="14" t="inlineStr">
        <is>
          <t>P1</t>
        </is>
      </c>
      <c r="E68" s="15" t="n">
        <v>10</v>
      </c>
      <c r="F68" s="4" t="inlineStr">
        <is>
          <t>CB240-T</t>
        </is>
      </c>
      <c r="G68" s="5" t="inlineStr"/>
      <c r="H68" s="16" t="n">
        <v>96.604</v>
      </c>
      <c r="I68" s="17" t="n">
        <v>1</v>
      </c>
      <c r="J68" s="18" t="n">
        <v>0.617</v>
      </c>
      <c r="K68" s="7">
        <f>ROUND(H68*I68*J68, 2)</f>
        <v/>
      </c>
      <c r="L68" s="19">
        <f>ROUND(K68/1000, 3)</f>
        <v/>
      </c>
      <c r="M68" s="728">
        <f>IF(AO68="","",IF(N(INDEX(Theo_Doi_Tan_Suat_Be_Tong!$C:$C,AO68))&lt;=0,"",INDEX(Theo_Doi_Tan_Suat_Be_Tong!$C:$C,AO68)-VLOOKUP(AN68,$AQ$2:$AR$7,2,FALSE)))</f>
        <v/>
      </c>
      <c r="N68" s="4" t="n"/>
      <c r="O68" s="20">
        <f>IF(ROUNDUP(P68/20,0)&gt;ROUNDUP(P66/20,0),"TN Ø10 (Lần " &amp; ROUNDUP(P68/20,0) &amp; ")","")</f>
        <v/>
      </c>
      <c r="P68" s="16">
        <f>ROUND(P66+IF(AND(E68&lt;=10,F68&lt;&gt;"ASTM A416"),L68,0),3)</f>
        <v/>
      </c>
      <c r="Q68" s="16">
        <f>ROUND(Q66+IF(AND(E68=12,F68&lt;&gt;"ASTM A416"),L68,0),3)</f>
        <v/>
      </c>
      <c r="R68" s="16">
        <f>ROUND(R66+IF(AND(E68=14,F68&lt;&gt;"ASTM A416"),L68,0),3)</f>
        <v/>
      </c>
      <c r="S68" s="16">
        <f>ROUND(S66+IF(AND(E68=16,F68&lt;&gt;"ASTM A416"),L68,0),3)</f>
        <v/>
      </c>
      <c r="T68" s="16">
        <f>ROUND(T66+IF(AND(E68=18,F68&lt;&gt;"ASTM A416"),L68,0),3)</f>
        <v/>
      </c>
      <c r="U68" s="16">
        <f>ROUND(U66+IF(AND(E68=20,F68&lt;&gt;"ASTM A416"),L68,0),3)</f>
        <v/>
      </c>
      <c r="V68" s="16">
        <f>ROUND(V66+IF(AND(E68=22,F68&lt;&gt;"ASTM A416"),L68,0),3)</f>
        <v/>
      </c>
      <c r="W68" s="16">
        <f>ROUND(W66+IF(AND(E68=25,F68&lt;&gt;"ASTM A416"),L68,0),3)</f>
        <v/>
      </c>
      <c r="X68" s="16">
        <f>ROUND(X66+IF(AND(E68=28,F68&lt;&gt;"ASTM A416"),L68,0),3)</f>
        <v/>
      </c>
      <c r="Y68" s="16">
        <f>ROUND(Y66+IF(AND(E68=32,F68&lt;&gt;"ASTM A416"),L68,0),3)</f>
        <v/>
      </c>
      <c r="Z68" s="16">
        <f>ROUND(Z66+IF(F68="ASTM A416",L68,0),3)</f>
        <v/>
      </c>
      <c r="AA68" s="9">
        <f>IF(ROUNDUP(P68/20,0)&gt;ROUNDUP(P66/20,0),"Lần " &amp; ROUNDUP(P68/20,0),"")</f>
        <v/>
      </c>
      <c r="AB68" s="9">
        <f>IF(ROUNDUP(Q68/20,0)&gt;ROUNDUP(Q66/20,0),"Lần " &amp; ROUNDUP(Q68/20,0),"")</f>
        <v/>
      </c>
      <c r="AC68" s="9">
        <f>IF(ROUNDUP(R68/20,0)&gt;ROUNDUP(R66/20,0),"Lần " &amp; ROUNDUP(R68/20,0),"")</f>
        <v/>
      </c>
      <c r="AD68" s="9">
        <f>IF(ROUNDUP(S68/20,0)&gt;ROUNDUP(S66/20,0),"Lần " &amp; ROUNDUP(S68/20,0),"")</f>
        <v/>
      </c>
      <c r="AE68" s="9">
        <f>IF(ROUNDUP(T68/20,0)&gt;ROUNDUP(T66/20,0),"Lần " &amp; ROUNDUP(T68/20,0),"")</f>
        <v/>
      </c>
      <c r="AF68" s="9">
        <f>IF(ROUNDUP(U68/20,0)&gt;ROUNDUP(U66/20,0),"Lần " &amp; ROUNDUP(U68/20,0),"")</f>
        <v/>
      </c>
      <c r="AG68" s="9">
        <f>IF(ROUNDUP(V68/20,0)&gt;ROUNDUP(V66/20,0),"Lần " &amp; ROUNDUP(V68/20,0),"")</f>
        <v/>
      </c>
      <c r="AH68" s="9">
        <f>IF(ROUNDUP(W68/20,0)&gt;ROUNDUP(W66/20,0),"Lần " &amp; ROUNDUP(W68/20,0),"")</f>
        <v/>
      </c>
      <c r="AI68" s="9">
        <f>IF(ROUNDUP(X68/20,0)&gt;ROUNDUP(X66/20,0),"Lần " &amp; ROUNDUP(X68/20,0),"")</f>
        <v/>
      </c>
      <c r="AJ68" s="9">
        <f>IF(ROUNDUP(Y68/20,0)&gt;ROUNDUP(Y66/20,0),"Lần " &amp; ROUNDUP(Y68/20,0),"")</f>
        <v/>
      </c>
      <c r="AK68" s="9">
        <f>IF(ROUNDUP(Z68/20,0)&gt;ROUNDUP(Z66/20,0),"Lần " &amp; ROUNDUP(Z68/20,0),"")</f>
        <v/>
      </c>
      <c r="AL68" s="4" t="n"/>
      <c r="AN68" s="596" t="inlineStr">
        <is>
          <t>Coc</t>
        </is>
      </c>
      <c r="AO68" s="596" t="n">
        <v>8</v>
      </c>
      <c r="AQ68" s="594" t="n"/>
      <c r="AR68" s="595" t="n"/>
    </row>
    <row r="69" ht="19" customHeight="1" s="672">
      <c r="A69" s="4" t="n">
        <v>62</v>
      </c>
      <c r="B69" s="5" t="inlineStr">
        <is>
          <t>Cọc khoan nhồi C2 Trụ T1 (D1.2m, L=40.0m)</t>
        </is>
      </c>
      <c r="C69" s="5" t="inlineStr">
        <is>
          <t>Cọc trụ T1 L=40m (tr.68)</t>
        </is>
      </c>
      <c r="D69" s="14" t="inlineStr">
        <is>
          <t>P1A</t>
        </is>
      </c>
      <c r="E69" s="15" t="n">
        <v>10</v>
      </c>
      <c r="F69" s="4" t="inlineStr">
        <is>
          <t>CB240-T</t>
        </is>
      </c>
      <c r="G69" s="5" t="inlineStr"/>
      <c r="H69" s="16" t="n">
        <v>389.636</v>
      </c>
      <c r="I69" s="17" t="n">
        <v>1</v>
      </c>
      <c r="J69" s="18" t="n">
        <v>0.617</v>
      </c>
      <c r="K69" s="7">
        <f>ROUND(H69*I69*J69, 2)</f>
        <v/>
      </c>
      <c r="L69" s="19">
        <f>ROUND(K69/1000, 3)</f>
        <v/>
      </c>
      <c r="M69" s="728">
        <f>IF(AO69="","",IF(N(INDEX(Theo_Doi_Tan_Suat_Be_Tong!$C:$C,AO69))&lt;=0,"",INDEX(Theo_Doi_Tan_Suat_Be_Tong!$C:$C,AO69)-VLOOKUP(AN69,$AQ$2:$AR$7,2,FALSE)))</f>
        <v/>
      </c>
      <c r="N69" s="4" t="n"/>
      <c r="O69" s="20">
        <f>IF(ROUNDUP(P69/20,0)&gt;ROUNDUP(P68/20,0),"TN Ø10 (Lần " &amp; ROUNDUP(P69/20,0) &amp; ")","")</f>
        <v/>
      </c>
      <c r="P69" s="16">
        <f>ROUND(P68+IF(AND(E69&lt;=10,F69&lt;&gt;"ASTM A416"),L69,0),3)</f>
        <v/>
      </c>
      <c r="Q69" s="16">
        <f>ROUND(Q68+IF(AND(E69=12,F69&lt;&gt;"ASTM A416"),L69,0),3)</f>
        <v/>
      </c>
      <c r="R69" s="16">
        <f>ROUND(R68+IF(AND(E69=14,F69&lt;&gt;"ASTM A416"),L69,0),3)</f>
        <v/>
      </c>
      <c r="S69" s="16">
        <f>ROUND(S68+IF(AND(E69=16,F69&lt;&gt;"ASTM A416"),L69,0),3)</f>
        <v/>
      </c>
      <c r="T69" s="16">
        <f>ROUND(T68+IF(AND(E69=18,F69&lt;&gt;"ASTM A416"),L69,0),3)</f>
        <v/>
      </c>
      <c r="U69" s="16">
        <f>ROUND(U68+IF(AND(E69=20,F69&lt;&gt;"ASTM A416"),L69,0),3)</f>
        <v/>
      </c>
      <c r="V69" s="16">
        <f>ROUND(V68+IF(AND(E69=22,F69&lt;&gt;"ASTM A416"),L69,0),3)</f>
        <v/>
      </c>
      <c r="W69" s="16">
        <f>ROUND(W68+IF(AND(E69=25,F69&lt;&gt;"ASTM A416"),L69,0),3)</f>
        <v/>
      </c>
      <c r="X69" s="16">
        <f>ROUND(X68+IF(AND(E69=28,F69&lt;&gt;"ASTM A416"),L69,0),3)</f>
        <v/>
      </c>
      <c r="Y69" s="16">
        <f>ROUND(Y68+IF(AND(E69=32,F69&lt;&gt;"ASTM A416"),L69,0),3)</f>
        <v/>
      </c>
      <c r="Z69" s="16">
        <f>ROUND(Z68+IF(F69="ASTM A416",L69,0),3)</f>
        <v/>
      </c>
      <c r="AA69" s="9">
        <f>IF(ROUNDUP(P69/20,0)&gt;ROUNDUP(P68/20,0),"Lần " &amp; ROUNDUP(P69/20,0),"")</f>
        <v/>
      </c>
      <c r="AB69" s="9">
        <f>IF(ROUNDUP(Q69/20,0)&gt;ROUNDUP(Q68/20,0),"Lần " &amp; ROUNDUP(Q69/20,0),"")</f>
        <v/>
      </c>
      <c r="AC69" s="9">
        <f>IF(ROUNDUP(R69/20,0)&gt;ROUNDUP(R68/20,0),"Lần " &amp; ROUNDUP(R69/20,0),"")</f>
        <v/>
      </c>
      <c r="AD69" s="9">
        <f>IF(ROUNDUP(S69/20,0)&gt;ROUNDUP(S68/20,0),"Lần " &amp; ROUNDUP(S69/20,0),"")</f>
        <v/>
      </c>
      <c r="AE69" s="9">
        <f>IF(ROUNDUP(T69/20,0)&gt;ROUNDUP(T68/20,0),"Lần " &amp; ROUNDUP(T69/20,0),"")</f>
        <v/>
      </c>
      <c r="AF69" s="9">
        <f>IF(ROUNDUP(U69/20,0)&gt;ROUNDUP(U68/20,0),"Lần " &amp; ROUNDUP(U69/20,0),"")</f>
        <v/>
      </c>
      <c r="AG69" s="9">
        <f>IF(ROUNDUP(V69/20,0)&gt;ROUNDUP(V68/20,0),"Lần " &amp; ROUNDUP(V69/20,0),"")</f>
        <v/>
      </c>
      <c r="AH69" s="9">
        <f>IF(ROUNDUP(W69/20,0)&gt;ROUNDUP(W68/20,0),"Lần " &amp; ROUNDUP(W69/20,0),"")</f>
        <v/>
      </c>
      <c r="AI69" s="9">
        <f>IF(ROUNDUP(X69/20,0)&gt;ROUNDUP(X68/20,0),"Lần " &amp; ROUNDUP(X69/20,0),"")</f>
        <v/>
      </c>
      <c r="AJ69" s="9">
        <f>IF(ROUNDUP(Y69/20,0)&gt;ROUNDUP(Y68/20,0),"Lần " &amp; ROUNDUP(Y69/20,0),"")</f>
        <v/>
      </c>
      <c r="AK69" s="9">
        <f>IF(ROUNDUP(Z69/20,0)&gt;ROUNDUP(Z68/20,0),"Lần " &amp; ROUNDUP(Z69/20,0),"")</f>
        <v/>
      </c>
      <c r="AL69" s="4" t="n"/>
      <c r="AN69" s="596" t="inlineStr">
        <is>
          <t>Coc</t>
        </is>
      </c>
      <c r="AO69" s="596" t="n">
        <v>8</v>
      </c>
      <c r="AQ69" s="594" t="n"/>
      <c r="AR69" s="595" t="n"/>
    </row>
    <row r="70" ht="19" customHeight="1" s="672">
      <c r="A70" s="4" t="n">
        <v>63</v>
      </c>
      <c r="B70" s="5" t="inlineStr">
        <is>
          <t>Cọc khoan nhồi C2 Trụ T1 (D1.2m, L=40.0m)</t>
        </is>
      </c>
      <c r="C70" s="5" t="inlineStr">
        <is>
          <t>Cọc trụ T1 L=40m (tr.68)</t>
        </is>
      </c>
      <c r="D70" s="14" t="inlineStr">
        <is>
          <t>P1B</t>
        </is>
      </c>
      <c r="E70" s="15" t="n">
        <v>10</v>
      </c>
      <c r="F70" s="4" t="inlineStr">
        <is>
          <t>CB240-T</t>
        </is>
      </c>
      <c r="G70" s="5" t="inlineStr"/>
      <c r="H70" s="16" t="n">
        <v>206.981</v>
      </c>
      <c r="I70" s="17" t="n">
        <v>1</v>
      </c>
      <c r="J70" s="18" t="n">
        <v>0.617</v>
      </c>
      <c r="K70" s="7">
        <f>ROUND(H70*I70*J70, 2)</f>
        <v/>
      </c>
      <c r="L70" s="19">
        <f>ROUND(K70/1000, 3)</f>
        <v/>
      </c>
      <c r="M70" s="728">
        <f>IF(AO70="","",IF(N(INDEX(Theo_Doi_Tan_Suat_Be_Tong!$C:$C,AO70))&lt;=0,"",INDEX(Theo_Doi_Tan_Suat_Be_Tong!$C:$C,AO70)-VLOOKUP(AN70,$AQ$2:$AR$7,2,FALSE)))</f>
        <v/>
      </c>
      <c r="N70" s="4" t="n"/>
      <c r="O70" s="20">
        <f>IF(ROUNDUP(P70/20,0)&gt;ROUNDUP(P69/20,0),"TN Ø10 (Lần " &amp; ROUNDUP(P70/20,0) &amp; ")","")</f>
        <v/>
      </c>
      <c r="P70" s="16">
        <f>ROUND(P69+IF(AND(E70&lt;=10,F70&lt;&gt;"ASTM A416"),L70,0),3)</f>
        <v/>
      </c>
      <c r="Q70" s="16">
        <f>ROUND(Q69+IF(AND(E70=12,F70&lt;&gt;"ASTM A416"),L70,0),3)</f>
        <v/>
      </c>
      <c r="R70" s="16">
        <f>ROUND(R69+IF(AND(E70=14,F70&lt;&gt;"ASTM A416"),L70,0),3)</f>
        <v/>
      </c>
      <c r="S70" s="16">
        <f>ROUND(S69+IF(AND(E70=16,F70&lt;&gt;"ASTM A416"),L70,0),3)</f>
        <v/>
      </c>
      <c r="T70" s="16">
        <f>ROUND(T69+IF(AND(E70=18,F70&lt;&gt;"ASTM A416"),L70,0),3)</f>
        <v/>
      </c>
      <c r="U70" s="16">
        <f>ROUND(U69+IF(AND(E70=20,F70&lt;&gt;"ASTM A416"),L70,0),3)</f>
        <v/>
      </c>
      <c r="V70" s="16">
        <f>ROUND(V69+IF(AND(E70=22,F70&lt;&gt;"ASTM A416"),L70,0),3)</f>
        <v/>
      </c>
      <c r="W70" s="16">
        <f>ROUND(W69+IF(AND(E70=25,F70&lt;&gt;"ASTM A416"),L70,0),3)</f>
        <v/>
      </c>
      <c r="X70" s="16">
        <f>ROUND(X69+IF(AND(E70=28,F70&lt;&gt;"ASTM A416"),L70,0),3)</f>
        <v/>
      </c>
      <c r="Y70" s="16">
        <f>ROUND(Y69+IF(AND(E70=32,F70&lt;&gt;"ASTM A416"),L70,0),3)</f>
        <v/>
      </c>
      <c r="Z70" s="16">
        <f>ROUND(Z69+IF(F70="ASTM A416",L70,0),3)</f>
        <v/>
      </c>
      <c r="AA70" s="9">
        <f>IF(ROUNDUP(P70/20,0)&gt;ROUNDUP(P69/20,0),"Lần " &amp; ROUNDUP(P70/20,0),"")</f>
        <v/>
      </c>
      <c r="AB70" s="9">
        <f>IF(ROUNDUP(Q70/20,0)&gt;ROUNDUP(Q69/20,0),"Lần " &amp; ROUNDUP(Q70/20,0),"")</f>
        <v/>
      </c>
      <c r="AC70" s="9">
        <f>IF(ROUNDUP(R70/20,0)&gt;ROUNDUP(R69/20,0),"Lần " &amp; ROUNDUP(R70/20,0),"")</f>
        <v/>
      </c>
      <c r="AD70" s="9">
        <f>IF(ROUNDUP(S70/20,0)&gt;ROUNDUP(S69/20,0),"Lần " &amp; ROUNDUP(S70/20,0),"")</f>
        <v/>
      </c>
      <c r="AE70" s="9">
        <f>IF(ROUNDUP(T70/20,0)&gt;ROUNDUP(T69/20,0),"Lần " &amp; ROUNDUP(T70/20,0),"")</f>
        <v/>
      </c>
      <c r="AF70" s="9">
        <f>IF(ROUNDUP(U70/20,0)&gt;ROUNDUP(U69/20,0),"Lần " &amp; ROUNDUP(U70/20,0),"")</f>
        <v/>
      </c>
      <c r="AG70" s="9">
        <f>IF(ROUNDUP(V70/20,0)&gt;ROUNDUP(V69/20,0),"Lần " &amp; ROUNDUP(V70/20,0),"")</f>
        <v/>
      </c>
      <c r="AH70" s="9">
        <f>IF(ROUNDUP(W70/20,0)&gt;ROUNDUP(W69/20,0),"Lần " &amp; ROUNDUP(W70/20,0),"")</f>
        <v/>
      </c>
      <c r="AI70" s="9">
        <f>IF(ROUNDUP(X70/20,0)&gt;ROUNDUP(X69/20,0),"Lần " &amp; ROUNDUP(X70/20,0),"")</f>
        <v/>
      </c>
      <c r="AJ70" s="9">
        <f>IF(ROUNDUP(Y70/20,0)&gt;ROUNDUP(Y69/20,0),"Lần " &amp; ROUNDUP(Y70/20,0),"")</f>
        <v/>
      </c>
      <c r="AK70" s="9">
        <f>IF(ROUNDUP(Z70/20,0)&gt;ROUNDUP(Z69/20,0),"Lần " &amp; ROUNDUP(Z70/20,0),"")</f>
        <v/>
      </c>
      <c r="AL70" s="4" t="n"/>
      <c r="AN70" s="596" t="inlineStr">
        <is>
          <t>Coc</t>
        </is>
      </c>
      <c r="AO70" s="596" t="n">
        <v>8</v>
      </c>
      <c r="AQ70" s="594" t="n"/>
      <c r="AR70" s="595" t="n"/>
    </row>
    <row r="71" ht="19" customHeight="1" s="672">
      <c r="A71" s="4" t="n">
        <v>64</v>
      </c>
      <c r="B71" s="5" t="inlineStr">
        <is>
          <t>Cọc khoan nhồi C2 Trụ T1 (D1.2m, L=40.0m)</t>
        </is>
      </c>
      <c r="C71" s="5" t="inlineStr">
        <is>
          <t>Cọc trụ T1 L=40m (tr.68)</t>
        </is>
      </c>
      <c r="D71" s="14" t="inlineStr">
        <is>
          <t>P1C</t>
        </is>
      </c>
      <c r="E71" s="15" t="n">
        <v>10</v>
      </c>
      <c r="F71" s="4" t="inlineStr">
        <is>
          <t>CB240-T</t>
        </is>
      </c>
      <c r="G71" s="5" t="inlineStr"/>
      <c r="H71" s="16" t="n">
        <v>3.592</v>
      </c>
      <c r="I71" s="17" t="n">
        <v>2</v>
      </c>
      <c r="J71" s="18" t="n">
        <v>0.617</v>
      </c>
      <c r="K71" s="7">
        <f>ROUND(H71*I71*J71, 2)</f>
        <v/>
      </c>
      <c r="L71" s="19">
        <f>ROUND(K71/1000, 3)</f>
        <v/>
      </c>
      <c r="M71" s="728">
        <f>IF(AO71="","",IF(N(INDEX(Theo_Doi_Tan_Suat_Be_Tong!$C:$C,AO71))&lt;=0,"",INDEX(Theo_Doi_Tan_Suat_Be_Tong!$C:$C,AO71)-VLOOKUP(AN71,$AQ$2:$AR$7,2,FALSE)))</f>
        <v/>
      </c>
      <c r="N71" s="4" t="n"/>
      <c r="O71" s="20">
        <f>IF(ROUNDUP(P71/20,0)&gt;ROUNDUP(P70/20,0),"TN Ø10 (Lần " &amp; ROUNDUP(P71/20,0) &amp; ")","")</f>
        <v/>
      </c>
      <c r="P71" s="16">
        <f>ROUND(P70+IF(AND(E71&lt;=10,F71&lt;&gt;"ASTM A416"),L71,0),3)</f>
        <v/>
      </c>
      <c r="Q71" s="16">
        <f>ROUND(Q70+IF(AND(E71=12,F71&lt;&gt;"ASTM A416"),L71,0),3)</f>
        <v/>
      </c>
      <c r="R71" s="16">
        <f>ROUND(R70+IF(AND(E71=14,F71&lt;&gt;"ASTM A416"),L71,0),3)</f>
        <v/>
      </c>
      <c r="S71" s="16">
        <f>ROUND(S70+IF(AND(E71=16,F71&lt;&gt;"ASTM A416"),L71,0),3)</f>
        <v/>
      </c>
      <c r="T71" s="16">
        <f>ROUND(T70+IF(AND(E71=18,F71&lt;&gt;"ASTM A416"),L71,0),3)</f>
        <v/>
      </c>
      <c r="U71" s="16">
        <f>ROUND(U70+IF(AND(E71=20,F71&lt;&gt;"ASTM A416"),L71,0),3)</f>
        <v/>
      </c>
      <c r="V71" s="16">
        <f>ROUND(V70+IF(AND(E71=22,F71&lt;&gt;"ASTM A416"),L71,0),3)</f>
        <v/>
      </c>
      <c r="W71" s="16">
        <f>ROUND(W70+IF(AND(E71=25,F71&lt;&gt;"ASTM A416"),L71,0),3)</f>
        <v/>
      </c>
      <c r="X71" s="16">
        <f>ROUND(X70+IF(AND(E71=28,F71&lt;&gt;"ASTM A416"),L71,0),3)</f>
        <v/>
      </c>
      <c r="Y71" s="16">
        <f>ROUND(Y70+IF(AND(E71=32,F71&lt;&gt;"ASTM A416"),L71,0),3)</f>
        <v/>
      </c>
      <c r="Z71" s="16">
        <f>ROUND(Z70+IF(F71="ASTM A416",L71,0),3)</f>
        <v/>
      </c>
      <c r="AA71" s="9">
        <f>IF(ROUNDUP(P71/20,0)&gt;ROUNDUP(P70/20,0),"Lần " &amp; ROUNDUP(P71/20,0),"")</f>
        <v/>
      </c>
      <c r="AB71" s="9">
        <f>IF(ROUNDUP(Q71/20,0)&gt;ROUNDUP(Q70/20,0),"Lần " &amp; ROUNDUP(Q71/20,0),"")</f>
        <v/>
      </c>
      <c r="AC71" s="9">
        <f>IF(ROUNDUP(R71/20,0)&gt;ROUNDUP(R70/20,0),"Lần " &amp; ROUNDUP(R71/20,0),"")</f>
        <v/>
      </c>
      <c r="AD71" s="9">
        <f>IF(ROUNDUP(S71/20,0)&gt;ROUNDUP(S70/20,0),"Lần " &amp; ROUNDUP(S71/20,0),"")</f>
        <v/>
      </c>
      <c r="AE71" s="9">
        <f>IF(ROUNDUP(T71/20,0)&gt;ROUNDUP(T70/20,0),"Lần " &amp; ROUNDUP(T71/20,0),"")</f>
        <v/>
      </c>
      <c r="AF71" s="9">
        <f>IF(ROUNDUP(U71/20,0)&gt;ROUNDUP(U70/20,0),"Lần " &amp; ROUNDUP(U71/20,0),"")</f>
        <v/>
      </c>
      <c r="AG71" s="9">
        <f>IF(ROUNDUP(V71/20,0)&gt;ROUNDUP(V70/20,0),"Lần " &amp; ROUNDUP(V71/20,0),"")</f>
        <v/>
      </c>
      <c r="AH71" s="9">
        <f>IF(ROUNDUP(W71/20,0)&gt;ROUNDUP(W70/20,0),"Lần " &amp; ROUNDUP(W71/20,0),"")</f>
        <v/>
      </c>
      <c r="AI71" s="9">
        <f>IF(ROUNDUP(X71/20,0)&gt;ROUNDUP(X70/20,0),"Lần " &amp; ROUNDUP(X71/20,0),"")</f>
        <v/>
      </c>
      <c r="AJ71" s="9">
        <f>IF(ROUNDUP(Y71/20,0)&gt;ROUNDUP(Y70/20,0),"Lần " &amp; ROUNDUP(Y71/20,0),"")</f>
        <v/>
      </c>
      <c r="AK71" s="9">
        <f>IF(ROUNDUP(Z71/20,0)&gt;ROUNDUP(Z70/20,0),"Lần " &amp; ROUNDUP(Z71/20,0),"")</f>
        <v/>
      </c>
      <c r="AL71" s="4" t="n"/>
      <c r="AN71" s="596" t="inlineStr">
        <is>
          <t>Coc</t>
        </is>
      </c>
      <c r="AO71" s="596" t="n">
        <v>8</v>
      </c>
      <c r="AQ71" s="594" t="n"/>
      <c r="AR71" s="595" t="n"/>
    </row>
    <row r="72" ht="19" customHeight="1" s="672">
      <c r="A72" s="4" t="n">
        <v>65</v>
      </c>
      <c r="B72" s="5" t="inlineStr">
        <is>
          <t>Cọc khoan nhồi C2 Trụ T1 (D1.2m, L=40.0m)</t>
        </is>
      </c>
      <c r="C72" s="5" t="inlineStr">
        <is>
          <t>Cọc trụ T1 L=40m (tr.68)</t>
        </is>
      </c>
      <c r="D72" s="14" t="inlineStr">
        <is>
          <t>P1D</t>
        </is>
      </c>
      <c r="E72" s="15" t="n">
        <v>10</v>
      </c>
      <c r="F72" s="4" t="inlineStr">
        <is>
          <t>CB240-T</t>
        </is>
      </c>
      <c r="G72" s="5" t="inlineStr"/>
      <c r="H72" s="16" t="n">
        <v>19.721</v>
      </c>
      <c r="I72" s="17" t="n">
        <v>1</v>
      </c>
      <c r="J72" s="18" t="n">
        <v>0.617</v>
      </c>
      <c r="K72" s="7">
        <f>ROUND(H72*I72*J72, 2)</f>
        <v/>
      </c>
      <c r="L72" s="19">
        <f>ROUND(K72/1000, 3)</f>
        <v/>
      </c>
      <c r="M72" s="728">
        <f>IF(AO72="","",IF(N(INDEX(Theo_Doi_Tan_Suat_Be_Tong!$C:$C,AO72))&lt;=0,"",INDEX(Theo_Doi_Tan_Suat_Be_Tong!$C:$C,AO72)-VLOOKUP(AN72,$AQ$2:$AR$7,2,FALSE)))</f>
        <v/>
      </c>
      <c r="N72" s="4" t="n"/>
      <c r="O72" s="20">
        <f>IF(ROUNDUP(P72/20,0)&gt;ROUNDUP(P71/20,0),"TN Ø10 (Lần " &amp; ROUNDUP(P72/20,0) &amp; ")","")</f>
        <v/>
      </c>
      <c r="P72" s="16">
        <f>ROUND(P71+IF(AND(E72&lt;=10,F72&lt;&gt;"ASTM A416"),L72,0),3)</f>
        <v/>
      </c>
      <c r="Q72" s="16">
        <f>ROUND(Q71+IF(AND(E72=12,F72&lt;&gt;"ASTM A416"),L72,0),3)</f>
        <v/>
      </c>
      <c r="R72" s="16">
        <f>ROUND(R71+IF(AND(E72=14,F72&lt;&gt;"ASTM A416"),L72,0),3)</f>
        <v/>
      </c>
      <c r="S72" s="16">
        <f>ROUND(S71+IF(AND(E72=16,F72&lt;&gt;"ASTM A416"),L72,0),3)</f>
        <v/>
      </c>
      <c r="T72" s="16">
        <f>ROUND(T71+IF(AND(E72=18,F72&lt;&gt;"ASTM A416"),L72,0),3)</f>
        <v/>
      </c>
      <c r="U72" s="16">
        <f>ROUND(U71+IF(AND(E72=20,F72&lt;&gt;"ASTM A416"),L72,0),3)</f>
        <v/>
      </c>
      <c r="V72" s="16">
        <f>ROUND(V71+IF(AND(E72=22,F72&lt;&gt;"ASTM A416"),L72,0),3)</f>
        <v/>
      </c>
      <c r="W72" s="16">
        <f>ROUND(W71+IF(AND(E72=25,F72&lt;&gt;"ASTM A416"),L72,0),3)</f>
        <v/>
      </c>
      <c r="X72" s="16">
        <f>ROUND(X71+IF(AND(E72=28,F72&lt;&gt;"ASTM A416"),L72,0),3)</f>
        <v/>
      </c>
      <c r="Y72" s="16">
        <f>ROUND(Y71+IF(AND(E72=32,F72&lt;&gt;"ASTM A416"),L72,0),3)</f>
        <v/>
      </c>
      <c r="Z72" s="16">
        <f>ROUND(Z71+IF(F72="ASTM A416",L72,0),3)</f>
        <v/>
      </c>
      <c r="AA72" s="9">
        <f>IF(ROUNDUP(P72/20,0)&gt;ROUNDUP(P71/20,0),"Lần " &amp; ROUNDUP(P72/20,0),"")</f>
        <v/>
      </c>
      <c r="AB72" s="9">
        <f>IF(ROUNDUP(Q72/20,0)&gt;ROUNDUP(Q71/20,0),"Lần " &amp; ROUNDUP(Q72/20,0),"")</f>
        <v/>
      </c>
      <c r="AC72" s="9">
        <f>IF(ROUNDUP(R72/20,0)&gt;ROUNDUP(R71/20,0),"Lần " &amp; ROUNDUP(R72/20,0),"")</f>
        <v/>
      </c>
      <c r="AD72" s="9">
        <f>IF(ROUNDUP(S72/20,0)&gt;ROUNDUP(S71/20,0),"Lần " &amp; ROUNDUP(S72/20,0),"")</f>
        <v/>
      </c>
      <c r="AE72" s="9">
        <f>IF(ROUNDUP(T72/20,0)&gt;ROUNDUP(T71/20,0),"Lần " &amp; ROUNDUP(T72/20,0),"")</f>
        <v/>
      </c>
      <c r="AF72" s="9">
        <f>IF(ROUNDUP(U72/20,0)&gt;ROUNDUP(U71/20,0),"Lần " &amp; ROUNDUP(U72/20,0),"")</f>
        <v/>
      </c>
      <c r="AG72" s="9">
        <f>IF(ROUNDUP(V72/20,0)&gt;ROUNDUP(V71/20,0),"Lần " &amp; ROUNDUP(V72/20,0),"")</f>
        <v/>
      </c>
      <c r="AH72" s="9">
        <f>IF(ROUNDUP(W72/20,0)&gt;ROUNDUP(W71/20,0),"Lần " &amp; ROUNDUP(W72/20,0),"")</f>
        <v/>
      </c>
      <c r="AI72" s="9">
        <f>IF(ROUNDUP(X72/20,0)&gt;ROUNDUP(X71/20,0),"Lần " &amp; ROUNDUP(X72/20,0),"")</f>
        <v/>
      </c>
      <c r="AJ72" s="9">
        <f>IF(ROUNDUP(Y72/20,0)&gt;ROUNDUP(Y71/20,0),"Lần " &amp; ROUNDUP(Y72/20,0),"")</f>
        <v/>
      </c>
      <c r="AK72" s="9">
        <f>IF(ROUNDUP(Z72/20,0)&gt;ROUNDUP(Z71/20,0),"Lần " &amp; ROUNDUP(Z72/20,0),"")</f>
        <v/>
      </c>
      <c r="AL72" s="4" t="n"/>
      <c r="AN72" s="596" t="inlineStr">
        <is>
          <t>Coc</t>
        </is>
      </c>
      <c r="AO72" s="596" t="n">
        <v>8</v>
      </c>
      <c r="AQ72" s="594" t="n"/>
      <c r="AR72" s="595" t="n"/>
    </row>
    <row r="73" ht="19" customHeight="1" s="672">
      <c r="A73" s="4" t="n">
        <v>66</v>
      </c>
      <c r="B73" s="5" t="inlineStr">
        <is>
          <t>Cọc khoan nhồi C2 Trụ T1 (D1.2m, L=40.0m)</t>
        </is>
      </c>
      <c r="C73" s="5" t="inlineStr">
        <is>
          <t>Cọc trụ T1 L=40m (tr.68)</t>
        </is>
      </c>
      <c r="D73" s="14" t="inlineStr">
        <is>
          <t>P2B</t>
        </is>
      </c>
      <c r="E73" s="15" t="n">
        <v>25</v>
      </c>
      <c r="F73" s="4" t="inlineStr">
        <is>
          <t>CB400-V</t>
        </is>
      </c>
      <c r="G73" s="5" t="inlineStr"/>
      <c r="H73" s="16" t="n">
        <v>2.985</v>
      </c>
      <c r="I73" s="17" t="n">
        <v>16</v>
      </c>
      <c r="J73" s="18" t="n">
        <v>3.853</v>
      </c>
      <c r="K73" s="7">
        <f>ROUND(H73*I73*J73, 2)</f>
        <v/>
      </c>
      <c r="L73" s="19">
        <f>ROUND(K73/1000, 3)</f>
        <v/>
      </c>
      <c r="M73" s="728">
        <f>IF(AO73="","",IF(N(INDEX(Theo_Doi_Tan_Suat_Be_Tong!$C:$C,AO73))&lt;=0,"",INDEX(Theo_Doi_Tan_Suat_Be_Tong!$C:$C,AO73)-VLOOKUP(AN73,$AQ$2:$AR$7,2,FALSE)))</f>
        <v/>
      </c>
      <c r="N73" s="4" t="n"/>
      <c r="O73" s="20">
        <f>IF(ROUNDUP(W73/20,0)&gt;ROUNDUP(W72/20,0),"TN Ø25 (Lần " &amp; ROUNDUP(W73/20,0) &amp; ")","")</f>
        <v/>
      </c>
      <c r="P73" s="16">
        <f>ROUND(P72+IF(AND(E73&lt;=10,F73&lt;&gt;"ASTM A416"),L73,0),3)</f>
        <v/>
      </c>
      <c r="Q73" s="16">
        <f>ROUND(Q72+IF(AND(E73=12,F73&lt;&gt;"ASTM A416"),L73,0),3)</f>
        <v/>
      </c>
      <c r="R73" s="16">
        <f>ROUND(R72+IF(AND(E73=14,F73&lt;&gt;"ASTM A416"),L73,0),3)</f>
        <v/>
      </c>
      <c r="S73" s="16">
        <f>ROUND(S72+IF(AND(E73=16,F73&lt;&gt;"ASTM A416"),L73,0),3)</f>
        <v/>
      </c>
      <c r="T73" s="16">
        <f>ROUND(T72+IF(AND(E73=18,F73&lt;&gt;"ASTM A416"),L73,0),3)</f>
        <v/>
      </c>
      <c r="U73" s="16">
        <f>ROUND(U72+IF(AND(E73=20,F73&lt;&gt;"ASTM A416"),L73,0),3)</f>
        <v/>
      </c>
      <c r="V73" s="16">
        <f>ROUND(V72+IF(AND(E73=22,F73&lt;&gt;"ASTM A416"),L73,0),3)</f>
        <v/>
      </c>
      <c r="W73" s="16">
        <f>ROUND(W72+IF(AND(E73=25,F73&lt;&gt;"ASTM A416"),L73,0),3)</f>
        <v/>
      </c>
      <c r="X73" s="16">
        <f>ROUND(X72+IF(AND(E73=28,F73&lt;&gt;"ASTM A416"),L73,0),3)</f>
        <v/>
      </c>
      <c r="Y73" s="16">
        <f>ROUND(Y72+IF(AND(E73=32,F73&lt;&gt;"ASTM A416"),L73,0),3)</f>
        <v/>
      </c>
      <c r="Z73" s="16">
        <f>ROUND(Z72+IF(F73="ASTM A416",L73,0),3)</f>
        <v/>
      </c>
      <c r="AA73" s="9">
        <f>IF(ROUNDUP(P73/20,0)&gt;ROUNDUP(P72/20,0),"Lần " &amp; ROUNDUP(P73/20,0),"")</f>
        <v/>
      </c>
      <c r="AB73" s="9">
        <f>IF(ROUNDUP(Q73/20,0)&gt;ROUNDUP(Q72/20,0),"Lần " &amp; ROUNDUP(Q73/20,0),"")</f>
        <v/>
      </c>
      <c r="AC73" s="9">
        <f>IF(ROUNDUP(R73/20,0)&gt;ROUNDUP(R72/20,0),"Lần " &amp; ROUNDUP(R73/20,0),"")</f>
        <v/>
      </c>
      <c r="AD73" s="9">
        <f>IF(ROUNDUP(S73/20,0)&gt;ROUNDUP(S72/20,0),"Lần " &amp; ROUNDUP(S73/20,0),"")</f>
        <v/>
      </c>
      <c r="AE73" s="9">
        <f>IF(ROUNDUP(T73/20,0)&gt;ROUNDUP(T72/20,0),"Lần " &amp; ROUNDUP(T73/20,0),"")</f>
        <v/>
      </c>
      <c r="AF73" s="9">
        <f>IF(ROUNDUP(U73/20,0)&gt;ROUNDUP(U72/20,0),"Lần " &amp; ROUNDUP(U73/20,0),"")</f>
        <v/>
      </c>
      <c r="AG73" s="9">
        <f>IF(ROUNDUP(V73/20,0)&gt;ROUNDUP(V72/20,0),"Lần " &amp; ROUNDUP(V73/20,0),"")</f>
        <v/>
      </c>
      <c r="AH73" s="9">
        <f>IF(ROUNDUP(W73/20,0)&gt;ROUNDUP(W72/20,0),"Lần " &amp; ROUNDUP(W73/20,0),"")</f>
        <v/>
      </c>
      <c r="AI73" s="9">
        <f>IF(ROUNDUP(X73/20,0)&gt;ROUNDUP(X72/20,0),"Lần " &amp; ROUNDUP(X73/20,0),"")</f>
        <v/>
      </c>
      <c r="AJ73" s="9">
        <f>IF(ROUNDUP(Y73/20,0)&gt;ROUNDUP(Y72/20,0),"Lần " &amp; ROUNDUP(Y73/20,0),"")</f>
        <v/>
      </c>
      <c r="AK73" s="9">
        <f>IF(ROUNDUP(Z73/20,0)&gt;ROUNDUP(Z72/20,0),"Lần " &amp; ROUNDUP(Z73/20,0),"")</f>
        <v/>
      </c>
      <c r="AL73" s="4" t="n"/>
      <c r="AN73" s="596" t="inlineStr">
        <is>
          <t>Coc</t>
        </is>
      </c>
      <c r="AO73" s="596" t="n">
        <v>8</v>
      </c>
      <c r="AQ73" s="594" t="n"/>
      <c r="AR73" s="595" t="n"/>
    </row>
    <row r="74" ht="19" customHeight="1" s="672">
      <c r="A74" s="4" t="n">
        <v>67</v>
      </c>
      <c r="B74" s="5" t="inlineStr">
        <is>
          <t>Cọc khoan nhồi C2 Trụ T1 (D1.2m, L=40.0m)</t>
        </is>
      </c>
      <c r="C74" s="5" t="inlineStr">
        <is>
          <t>Cọc trụ T1 L=40m (tr.68)</t>
        </is>
      </c>
      <c r="D74" s="14" t="inlineStr">
        <is>
          <t>P3</t>
        </is>
      </c>
      <c r="E74" s="15" t="n">
        <v>25</v>
      </c>
      <c r="F74" s="4" t="inlineStr">
        <is>
          <t>CB400-V</t>
        </is>
      </c>
      <c r="G74" s="5" t="inlineStr"/>
      <c r="H74" s="16" t="n">
        <v>10.7</v>
      </c>
      <c r="I74" s="17" t="n">
        <v>12</v>
      </c>
      <c r="J74" s="18" t="n">
        <v>3.853</v>
      </c>
      <c r="K74" s="7">
        <f>ROUND(H74*I74*J74, 2)</f>
        <v/>
      </c>
      <c r="L74" s="19">
        <f>ROUND(K74/1000, 3)</f>
        <v/>
      </c>
      <c r="M74" s="728">
        <f>IF(AO74="","",IF(N(INDEX(Theo_Doi_Tan_Suat_Be_Tong!$C:$C,AO74))&lt;=0,"",INDEX(Theo_Doi_Tan_Suat_Be_Tong!$C:$C,AO74)-VLOOKUP(AN74,$AQ$2:$AR$7,2,FALSE)))</f>
        <v/>
      </c>
      <c r="N74" s="4" t="n"/>
      <c r="O74" s="20">
        <f>IF(ROUNDUP(W74/20,0)&gt;ROUNDUP(W73/20,0),"TN Ø25 (Lần " &amp; ROUNDUP(W74/20,0) &amp; ")","")</f>
        <v/>
      </c>
      <c r="P74" s="16">
        <f>ROUND(P73+IF(AND(E74&lt;=10,F74&lt;&gt;"ASTM A416"),L74,0),3)</f>
        <v/>
      </c>
      <c r="Q74" s="16">
        <f>ROUND(Q73+IF(AND(E74=12,F74&lt;&gt;"ASTM A416"),L74,0),3)</f>
        <v/>
      </c>
      <c r="R74" s="16">
        <f>ROUND(R73+IF(AND(E74=14,F74&lt;&gt;"ASTM A416"),L74,0),3)</f>
        <v/>
      </c>
      <c r="S74" s="16">
        <f>ROUND(S73+IF(AND(E74=16,F74&lt;&gt;"ASTM A416"),L74,0),3)</f>
        <v/>
      </c>
      <c r="T74" s="16">
        <f>ROUND(T73+IF(AND(E74=18,F74&lt;&gt;"ASTM A416"),L74,0),3)</f>
        <v/>
      </c>
      <c r="U74" s="16">
        <f>ROUND(U73+IF(AND(E74=20,F74&lt;&gt;"ASTM A416"),L74,0),3)</f>
        <v/>
      </c>
      <c r="V74" s="16">
        <f>ROUND(V73+IF(AND(E74=22,F74&lt;&gt;"ASTM A416"),L74,0),3)</f>
        <v/>
      </c>
      <c r="W74" s="16">
        <f>ROUND(W73+IF(AND(E74=25,F74&lt;&gt;"ASTM A416"),L74,0),3)</f>
        <v/>
      </c>
      <c r="X74" s="16">
        <f>ROUND(X73+IF(AND(E74=28,F74&lt;&gt;"ASTM A416"),L74,0),3)</f>
        <v/>
      </c>
      <c r="Y74" s="16">
        <f>ROUND(Y73+IF(AND(E74=32,F74&lt;&gt;"ASTM A416"),L74,0),3)</f>
        <v/>
      </c>
      <c r="Z74" s="16">
        <f>ROUND(Z73+IF(F74="ASTM A416",L74,0),3)</f>
        <v/>
      </c>
      <c r="AA74" s="9">
        <f>IF(ROUNDUP(P74/20,0)&gt;ROUNDUP(P73/20,0),"Lần " &amp; ROUNDUP(P74/20,0),"")</f>
        <v/>
      </c>
      <c r="AB74" s="9">
        <f>IF(ROUNDUP(Q74/20,0)&gt;ROUNDUP(Q73/20,0),"Lần " &amp; ROUNDUP(Q74/20,0),"")</f>
        <v/>
      </c>
      <c r="AC74" s="9">
        <f>IF(ROUNDUP(R74/20,0)&gt;ROUNDUP(R73/20,0),"Lần " &amp; ROUNDUP(R74/20,0),"")</f>
        <v/>
      </c>
      <c r="AD74" s="9">
        <f>IF(ROUNDUP(S74/20,0)&gt;ROUNDUP(S73/20,0),"Lần " &amp; ROUNDUP(S74/20,0),"")</f>
        <v/>
      </c>
      <c r="AE74" s="9">
        <f>IF(ROUNDUP(T74/20,0)&gt;ROUNDUP(T73/20,0),"Lần " &amp; ROUNDUP(T74/20,0),"")</f>
        <v/>
      </c>
      <c r="AF74" s="9">
        <f>IF(ROUNDUP(U74/20,0)&gt;ROUNDUP(U73/20,0),"Lần " &amp; ROUNDUP(U74/20,0),"")</f>
        <v/>
      </c>
      <c r="AG74" s="9">
        <f>IF(ROUNDUP(V74/20,0)&gt;ROUNDUP(V73/20,0),"Lần " &amp; ROUNDUP(V74/20,0),"")</f>
        <v/>
      </c>
      <c r="AH74" s="9">
        <f>IF(ROUNDUP(W74/20,0)&gt;ROUNDUP(W73/20,0),"Lần " &amp; ROUNDUP(W74/20,0),"")</f>
        <v/>
      </c>
      <c r="AI74" s="9">
        <f>IF(ROUNDUP(X74/20,0)&gt;ROUNDUP(X73/20,0),"Lần " &amp; ROUNDUP(X74/20,0),"")</f>
        <v/>
      </c>
      <c r="AJ74" s="9">
        <f>IF(ROUNDUP(Y74/20,0)&gt;ROUNDUP(Y73/20,0),"Lần " &amp; ROUNDUP(Y74/20,0),"")</f>
        <v/>
      </c>
      <c r="AK74" s="9">
        <f>IF(ROUNDUP(Z74/20,0)&gt;ROUNDUP(Z73/20,0),"Lần " &amp; ROUNDUP(Z74/20,0),"")</f>
        <v/>
      </c>
      <c r="AL74" s="4" t="n"/>
      <c r="AN74" s="596" t="inlineStr">
        <is>
          <t>Coc</t>
        </is>
      </c>
      <c r="AO74" s="596" t="n">
        <v>8</v>
      </c>
      <c r="AQ74" s="594" t="n"/>
      <c r="AR74" s="595" t="n"/>
    </row>
    <row r="75" ht="19" customHeight="1" s="672">
      <c r="A75" s="4" t="n">
        <v>68</v>
      </c>
      <c r="B75" s="5" t="inlineStr">
        <is>
          <t>Cọc khoan nhồi C2 Trụ T1 (D1.2m, L=40.0m)</t>
        </is>
      </c>
      <c r="C75" s="5" t="inlineStr">
        <is>
          <t>Cọc trụ T1 L=40m (tr.68)</t>
        </is>
      </c>
      <c r="D75" s="14" t="inlineStr">
        <is>
          <t>P4</t>
        </is>
      </c>
      <c r="E75" s="15" t="n">
        <v>25</v>
      </c>
      <c r="F75" s="4" t="inlineStr">
        <is>
          <t>CB400-V</t>
        </is>
      </c>
      <c r="G75" s="5" t="inlineStr"/>
      <c r="H75" s="16" t="n">
        <v>11.7</v>
      </c>
      <c r="I75" s="17" t="n">
        <v>60</v>
      </c>
      <c r="J75" s="18" t="n">
        <v>3.853</v>
      </c>
      <c r="K75" s="7">
        <f>ROUND(H75*I75*J75, 2)</f>
        <v/>
      </c>
      <c r="L75" s="19">
        <f>ROUND(K75/1000, 3)</f>
        <v/>
      </c>
      <c r="M75" s="728">
        <f>IF(AO75="","",IF(N(INDEX(Theo_Doi_Tan_Suat_Be_Tong!$C:$C,AO75))&lt;=0,"",INDEX(Theo_Doi_Tan_Suat_Be_Tong!$C:$C,AO75)-VLOOKUP(AN75,$AQ$2:$AR$7,2,FALSE)))</f>
        <v/>
      </c>
      <c r="N75" s="4" t="n"/>
      <c r="O75" s="20">
        <f>IF(ROUNDUP(W75/20,0)&gt;ROUNDUP(W74/20,0),"TN Ø25 (Lần " &amp; ROUNDUP(W75/20,0) &amp; ")","")</f>
        <v/>
      </c>
      <c r="P75" s="16">
        <f>ROUND(P74+IF(AND(E75&lt;=10,F75&lt;&gt;"ASTM A416"),L75,0),3)</f>
        <v/>
      </c>
      <c r="Q75" s="16">
        <f>ROUND(Q74+IF(AND(E75=12,F75&lt;&gt;"ASTM A416"),L75,0),3)</f>
        <v/>
      </c>
      <c r="R75" s="16">
        <f>ROUND(R74+IF(AND(E75=14,F75&lt;&gt;"ASTM A416"),L75,0),3)</f>
        <v/>
      </c>
      <c r="S75" s="16">
        <f>ROUND(S74+IF(AND(E75=16,F75&lt;&gt;"ASTM A416"),L75,0),3)</f>
        <v/>
      </c>
      <c r="T75" s="16">
        <f>ROUND(T74+IF(AND(E75=18,F75&lt;&gt;"ASTM A416"),L75,0),3)</f>
        <v/>
      </c>
      <c r="U75" s="16">
        <f>ROUND(U74+IF(AND(E75=20,F75&lt;&gt;"ASTM A416"),L75,0),3)</f>
        <v/>
      </c>
      <c r="V75" s="16">
        <f>ROUND(V74+IF(AND(E75=22,F75&lt;&gt;"ASTM A416"),L75,0),3)</f>
        <v/>
      </c>
      <c r="W75" s="16">
        <f>ROUND(W74+IF(AND(E75=25,F75&lt;&gt;"ASTM A416"),L75,0),3)</f>
        <v/>
      </c>
      <c r="X75" s="16">
        <f>ROUND(X74+IF(AND(E75=28,F75&lt;&gt;"ASTM A416"),L75,0),3)</f>
        <v/>
      </c>
      <c r="Y75" s="16">
        <f>ROUND(Y74+IF(AND(E75=32,F75&lt;&gt;"ASTM A416"),L75,0),3)</f>
        <v/>
      </c>
      <c r="Z75" s="16">
        <f>ROUND(Z74+IF(F75="ASTM A416",L75,0),3)</f>
        <v/>
      </c>
      <c r="AA75" s="9">
        <f>IF(ROUNDUP(P75/20,0)&gt;ROUNDUP(P74/20,0),"Lần " &amp; ROUNDUP(P75/20,0),"")</f>
        <v/>
      </c>
      <c r="AB75" s="9">
        <f>IF(ROUNDUP(Q75/20,0)&gt;ROUNDUP(Q74/20,0),"Lần " &amp; ROUNDUP(Q75/20,0),"")</f>
        <v/>
      </c>
      <c r="AC75" s="9">
        <f>IF(ROUNDUP(R75/20,0)&gt;ROUNDUP(R74/20,0),"Lần " &amp; ROUNDUP(R75/20,0),"")</f>
        <v/>
      </c>
      <c r="AD75" s="9">
        <f>IF(ROUNDUP(S75/20,0)&gt;ROUNDUP(S74/20,0),"Lần " &amp; ROUNDUP(S75/20,0),"")</f>
        <v/>
      </c>
      <c r="AE75" s="9">
        <f>IF(ROUNDUP(T75/20,0)&gt;ROUNDUP(T74/20,0),"Lần " &amp; ROUNDUP(T75/20,0),"")</f>
        <v/>
      </c>
      <c r="AF75" s="9">
        <f>IF(ROUNDUP(U75/20,0)&gt;ROUNDUP(U74/20,0),"Lần " &amp; ROUNDUP(U75/20,0),"")</f>
        <v/>
      </c>
      <c r="AG75" s="9">
        <f>IF(ROUNDUP(V75/20,0)&gt;ROUNDUP(V74/20,0),"Lần " &amp; ROUNDUP(V75/20,0),"")</f>
        <v/>
      </c>
      <c r="AH75" s="9">
        <f>IF(ROUNDUP(W75/20,0)&gt;ROUNDUP(W74/20,0),"Lần " &amp; ROUNDUP(W75/20,0),"")</f>
        <v/>
      </c>
      <c r="AI75" s="9">
        <f>IF(ROUNDUP(X75/20,0)&gt;ROUNDUP(X74/20,0),"Lần " &amp; ROUNDUP(X75/20,0),"")</f>
        <v/>
      </c>
      <c r="AJ75" s="9">
        <f>IF(ROUNDUP(Y75/20,0)&gt;ROUNDUP(Y74/20,0),"Lần " &amp; ROUNDUP(Y75/20,0),"")</f>
        <v/>
      </c>
      <c r="AK75" s="9">
        <f>IF(ROUNDUP(Z75/20,0)&gt;ROUNDUP(Z74/20,0),"Lần " &amp; ROUNDUP(Z75/20,0),"")</f>
        <v/>
      </c>
      <c r="AL75" s="4" t="n"/>
      <c r="AN75" s="596" t="inlineStr">
        <is>
          <t>Coc</t>
        </is>
      </c>
      <c r="AO75" s="596" t="n">
        <v>8</v>
      </c>
      <c r="AQ75" s="594" t="n"/>
      <c r="AR75" s="595" t="n"/>
    </row>
    <row r="76" ht="19" customHeight="1" s="672">
      <c r="A76" s="4" t="n">
        <v>69</v>
      </c>
      <c r="B76" s="5" t="inlineStr">
        <is>
          <t>Cọc khoan nhồi C2 Trụ T1 (D1.2m, L=40.0m)</t>
        </is>
      </c>
      <c r="C76" s="5" t="inlineStr">
        <is>
          <t>Cọc trụ T1 L=40m (tr.68)</t>
        </is>
      </c>
      <c r="D76" s="14" t="inlineStr">
        <is>
          <t>P6</t>
        </is>
      </c>
      <c r="E76" s="15" t="n">
        <v>25</v>
      </c>
      <c r="F76" s="4" t="inlineStr">
        <is>
          <t>CB400-V</t>
        </is>
      </c>
      <c r="G76" s="5" t="inlineStr"/>
      <c r="H76" s="16" t="n">
        <v>9.032999999999999</v>
      </c>
      <c r="I76" s="17" t="n">
        <v>12</v>
      </c>
      <c r="J76" s="18" t="n">
        <v>3.853</v>
      </c>
      <c r="K76" s="7">
        <f>ROUND(H76*I76*J76, 2)</f>
        <v/>
      </c>
      <c r="L76" s="19">
        <f>ROUND(K76/1000, 3)</f>
        <v/>
      </c>
      <c r="M76" s="728">
        <f>IF(AO76="","",IF(N(INDEX(Theo_Doi_Tan_Suat_Be_Tong!$C:$C,AO76))&lt;=0,"",INDEX(Theo_Doi_Tan_Suat_Be_Tong!$C:$C,AO76)-VLOOKUP(AN76,$AQ$2:$AR$7,2,FALSE)))</f>
        <v/>
      </c>
      <c r="N76" s="4" t="n"/>
      <c r="O76" s="20">
        <f>IF(ROUNDUP(W76/20,0)&gt;ROUNDUP(W75/20,0),"TN Ø25 (Lần " &amp; ROUNDUP(W76/20,0) &amp; ")","")</f>
        <v/>
      </c>
      <c r="P76" s="16">
        <f>ROUND(P75+IF(AND(E76&lt;=10,F76&lt;&gt;"ASTM A416"),L76,0),3)</f>
        <v/>
      </c>
      <c r="Q76" s="16">
        <f>ROUND(Q75+IF(AND(E76=12,F76&lt;&gt;"ASTM A416"),L76,0),3)</f>
        <v/>
      </c>
      <c r="R76" s="16">
        <f>ROUND(R75+IF(AND(E76=14,F76&lt;&gt;"ASTM A416"),L76,0),3)</f>
        <v/>
      </c>
      <c r="S76" s="16">
        <f>ROUND(S75+IF(AND(E76=16,F76&lt;&gt;"ASTM A416"),L76,0),3)</f>
        <v/>
      </c>
      <c r="T76" s="16">
        <f>ROUND(T75+IF(AND(E76=18,F76&lt;&gt;"ASTM A416"),L76,0),3)</f>
        <v/>
      </c>
      <c r="U76" s="16">
        <f>ROUND(U75+IF(AND(E76=20,F76&lt;&gt;"ASTM A416"),L76,0),3)</f>
        <v/>
      </c>
      <c r="V76" s="16">
        <f>ROUND(V75+IF(AND(E76=22,F76&lt;&gt;"ASTM A416"),L76,0),3)</f>
        <v/>
      </c>
      <c r="W76" s="16">
        <f>ROUND(W75+IF(AND(E76=25,F76&lt;&gt;"ASTM A416"),L76,0),3)</f>
        <v/>
      </c>
      <c r="X76" s="16">
        <f>ROUND(X75+IF(AND(E76=28,F76&lt;&gt;"ASTM A416"),L76,0),3)</f>
        <v/>
      </c>
      <c r="Y76" s="16">
        <f>ROUND(Y75+IF(AND(E76=32,F76&lt;&gt;"ASTM A416"),L76,0),3)</f>
        <v/>
      </c>
      <c r="Z76" s="16">
        <f>ROUND(Z75+IF(F76="ASTM A416",L76,0),3)</f>
        <v/>
      </c>
      <c r="AA76" s="9">
        <f>IF(ROUNDUP(P76/20,0)&gt;ROUNDUP(P75/20,0),"Lần " &amp; ROUNDUP(P76/20,0),"")</f>
        <v/>
      </c>
      <c r="AB76" s="9">
        <f>IF(ROUNDUP(Q76/20,0)&gt;ROUNDUP(Q75/20,0),"Lần " &amp; ROUNDUP(Q76/20,0),"")</f>
        <v/>
      </c>
      <c r="AC76" s="9">
        <f>IF(ROUNDUP(R76/20,0)&gt;ROUNDUP(R75/20,0),"Lần " &amp; ROUNDUP(R76/20,0),"")</f>
        <v/>
      </c>
      <c r="AD76" s="9">
        <f>IF(ROUNDUP(S76/20,0)&gt;ROUNDUP(S75/20,0),"Lần " &amp; ROUNDUP(S76/20,0),"")</f>
        <v/>
      </c>
      <c r="AE76" s="9">
        <f>IF(ROUNDUP(T76/20,0)&gt;ROUNDUP(T75/20,0),"Lần " &amp; ROUNDUP(T76/20,0),"")</f>
        <v/>
      </c>
      <c r="AF76" s="9">
        <f>IF(ROUNDUP(U76/20,0)&gt;ROUNDUP(U75/20,0),"Lần " &amp; ROUNDUP(U76/20,0),"")</f>
        <v/>
      </c>
      <c r="AG76" s="9">
        <f>IF(ROUNDUP(V76/20,0)&gt;ROUNDUP(V75/20,0),"Lần " &amp; ROUNDUP(V76/20,0),"")</f>
        <v/>
      </c>
      <c r="AH76" s="9">
        <f>IF(ROUNDUP(W76/20,0)&gt;ROUNDUP(W75/20,0),"Lần " &amp; ROUNDUP(W76/20,0),"")</f>
        <v/>
      </c>
      <c r="AI76" s="9">
        <f>IF(ROUNDUP(X76/20,0)&gt;ROUNDUP(X75/20,0),"Lần " &amp; ROUNDUP(X76/20,0),"")</f>
        <v/>
      </c>
      <c r="AJ76" s="9">
        <f>IF(ROUNDUP(Y76/20,0)&gt;ROUNDUP(Y75/20,0),"Lần " &amp; ROUNDUP(Y76/20,0),"")</f>
        <v/>
      </c>
      <c r="AK76" s="9">
        <f>IF(ROUNDUP(Z76/20,0)&gt;ROUNDUP(Z75/20,0),"Lần " &amp; ROUNDUP(Z76/20,0),"")</f>
        <v/>
      </c>
      <c r="AL76" s="4" t="n"/>
      <c r="AN76" s="596" t="inlineStr">
        <is>
          <t>Coc</t>
        </is>
      </c>
      <c r="AO76" s="596" t="n">
        <v>8</v>
      </c>
      <c r="AQ76" s="594" t="n"/>
      <c r="AR76" s="595" t="n"/>
    </row>
    <row r="77" ht="19" customHeight="1" s="672">
      <c r="A77" s="4" t="n">
        <v>70</v>
      </c>
      <c r="B77" s="5" t="inlineStr">
        <is>
          <t>Cọc khoan nhồi C2 Trụ T1 (D1.2m, L=40.0m)</t>
        </is>
      </c>
      <c r="C77" s="5" t="inlineStr">
        <is>
          <t>Cọc trụ T1 L=40m (tr.68)</t>
        </is>
      </c>
      <c r="D77" s="14" t="inlineStr">
        <is>
          <t>P7</t>
        </is>
      </c>
      <c r="E77" s="15" t="n">
        <v>25</v>
      </c>
      <c r="F77" s="4" t="inlineStr">
        <is>
          <t>CB400-V</t>
        </is>
      </c>
      <c r="G77" s="5" t="inlineStr"/>
      <c r="H77" s="16" t="n">
        <v>10.033</v>
      </c>
      <c r="I77" s="17" t="n">
        <v>12</v>
      </c>
      <c r="J77" s="18" t="n">
        <v>3.853</v>
      </c>
      <c r="K77" s="7">
        <f>ROUND(H77*I77*J77, 2)</f>
        <v/>
      </c>
      <c r="L77" s="19">
        <f>ROUND(K77/1000, 3)</f>
        <v/>
      </c>
      <c r="M77" s="728">
        <f>IF(AO77="","",IF(N(INDEX(Theo_Doi_Tan_Suat_Be_Tong!$C:$C,AO77))&lt;=0,"",INDEX(Theo_Doi_Tan_Suat_Be_Tong!$C:$C,AO77)-VLOOKUP(AN77,$AQ$2:$AR$7,2,FALSE)))</f>
        <v/>
      </c>
      <c r="N77" s="4" t="n"/>
      <c r="O77" s="20">
        <f>IF(ROUNDUP(W77/20,0)&gt;ROUNDUP(W76/20,0),"TN Ø25 (Lần " &amp; ROUNDUP(W77/20,0) &amp; ")","")</f>
        <v/>
      </c>
      <c r="P77" s="16">
        <f>ROUND(P76+IF(AND(E77&lt;=10,F77&lt;&gt;"ASTM A416"),L77,0),3)</f>
        <v/>
      </c>
      <c r="Q77" s="16">
        <f>ROUND(Q76+IF(AND(E77=12,F77&lt;&gt;"ASTM A416"),L77,0),3)</f>
        <v/>
      </c>
      <c r="R77" s="16">
        <f>ROUND(R76+IF(AND(E77=14,F77&lt;&gt;"ASTM A416"),L77,0),3)</f>
        <v/>
      </c>
      <c r="S77" s="16">
        <f>ROUND(S76+IF(AND(E77=16,F77&lt;&gt;"ASTM A416"),L77,0),3)</f>
        <v/>
      </c>
      <c r="T77" s="16">
        <f>ROUND(T76+IF(AND(E77=18,F77&lt;&gt;"ASTM A416"),L77,0),3)</f>
        <v/>
      </c>
      <c r="U77" s="16">
        <f>ROUND(U76+IF(AND(E77=20,F77&lt;&gt;"ASTM A416"),L77,0),3)</f>
        <v/>
      </c>
      <c r="V77" s="16">
        <f>ROUND(V76+IF(AND(E77=22,F77&lt;&gt;"ASTM A416"),L77,0),3)</f>
        <v/>
      </c>
      <c r="W77" s="16">
        <f>ROUND(W76+IF(AND(E77=25,F77&lt;&gt;"ASTM A416"),L77,0),3)</f>
        <v/>
      </c>
      <c r="X77" s="16">
        <f>ROUND(X76+IF(AND(E77=28,F77&lt;&gt;"ASTM A416"),L77,0),3)</f>
        <v/>
      </c>
      <c r="Y77" s="16">
        <f>ROUND(Y76+IF(AND(E77=32,F77&lt;&gt;"ASTM A416"),L77,0),3)</f>
        <v/>
      </c>
      <c r="Z77" s="16">
        <f>ROUND(Z76+IF(F77="ASTM A416",L77,0),3)</f>
        <v/>
      </c>
      <c r="AA77" s="9">
        <f>IF(ROUNDUP(P77/20,0)&gt;ROUNDUP(P76/20,0),"Lần " &amp; ROUNDUP(P77/20,0),"")</f>
        <v/>
      </c>
      <c r="AB77" s="9">
        <f>IF(ROUNDUP(Q77/20,0)&gt;ROUNDUP(Q76/20,0),"Lần " &amp; ROUNDUP(Q77/20,0),"")</f>
        <v/>
      </c>
      <c r="AC77" s="9">
        <f>IF(ROUNDUP(R77/20,0)&gt;ROUNDUP(R76/20,0),"Lần " &amp; ROUNDUP(R77/20,0),"")</f>
        <v/>
      </c>
      <c r="AD77" s="9">
        <f>IF(ROUNDUP(S77/20,0)&gt;ROUNDUP(S76/20,0),"Lần " &amp; ROUNDUP(S77/20,0),"")</f>
        <v/>
      </c>
      <c r="AE77" s="9">
        <f>IF(ROUNDUP(T77/20,0)&gt;ROUNDUP(T76/20,0),"Lần " &amp; ROUNDUP(T77/20,0),"")</f>
        <v/>
      </c>
      <c r="AF77" s="9">
        <f>IF(ROUNDUP(U77/20,0)&gt;ROUNDUP(U76/20,0),"Lần " &amp; ROUNDUP(U77/20,0),"")</f>
        <v/>
      </c>
      <c r="AG77" s="9">
        <f>IF(ROUNDUP(V77/20,0)&gt;ROUNDUP(V76/20,0),"Lần " &amp; ROUNDUP(V77/20,0),"")</f>
        <v/>
      </c>
      <c r="AH77" s="9">
        <f>IF(ROUNDUP(W77/20,0)&gt;ROUNDUP(W76/20,0),"Lần " &amp; ROUNDUP(W77/20,0),"")</f>
        <v/>
      </c>
      <c r="AI77" s="9">
        <f>IF(ROUNDUP(X77/20,0)&gt;ROUNDUP(X76/20,0),"Lần " &amp; ROUNDUP(X77/20,0),"")</f>
        <v/>
      </c>
      <c r="AJ77" s="9">
        <f>IF(ROUNDUP(Y77/20,0)&gt;ROUNDUP(Y76/20,0),"Lần " &amp; ROUNDUP(Y77/20,0),"")</f>
        <v/>
      </c>
      <c r="AK77" s="9">
        <f>IF(ROUNDUP(Z77/20,0)&gt;ROUNDUP(Z76/20,0),"Lần " &amp; ROUNDUP(Z77/20,0),"")</f>
        <v/>
      </c>
      <c r="AL77" s="4" t="n"/>
      <c r="AN77" s="596" t="inlineStr">
        <is>
          <t>Coc</t>
        </is>
      </c>
      <c r="AO77" s="596" t="n">
        <v>8</v>
      </c>
      <c r="AQ77" s="594" t="n"/>
      <c r="AR77" s="595" t="n"/>
    </row>
    <row r="78" ht="19" customHeight="1" s="672">
      <c r="A78" s="4" t="n">
        <v>71</v>
      </c>
      <c r="B78" s="5" t="inlineStr">
        <is>
          <t>Cọc khoan nhồi C2 Trụ T1 (D1.2m, L=40.0m)</t>
        </is>
      </c>
      <c r="C78" s="5" t="inlineStr">
        <is>
          <t>Cọc trụ T1 L=40m (tr.68)</t>
        </is>
      </c>
      <c r="D78" s="14" t="inlineStr">
        <is>
          <t>P8</t>
        </is>
      </c>
      <c r="E78" s="15" t="n">
        <v>12</v>
      </c>
      <c r="F78" s="4" t="inlineStr">
        <is>
          <t>CB400-V</t>
        </is>
      </c>
      <c r="G78" s="5" t="inlineStr"/>
      <c r="H78" s="16" t="n">
        <v>0.647</v>
      </c>
      <c r="I78" s="17" t="n">
        <v>16</v>
      </c>
      <c r="J78" s="18" t="n">
        <v>0.888</v>
      </c>
      <c r="K78" s="7">
        <f>ROUND(H78*I78*J78, 2)</f>
        <v/>
      </c>
      <c r="L78" s="19">
        <f>ROUND(K78/1000, 3)</f>
        <v/>
      </c>
      <c r="M78" s="728">
        <f>IF(AO78="","",IF(N(INDEX(Theo_Doi_Tan_Suat_Be_Tong!$C:$C,AO78))&lt;=0,"",INDEX(Theo_Doi_Tan_Suat_Be_Tong!$C:$C,AO78)-VLOOKUP(AN78,$AQ$2:$AR$7,2,FALSE)))</f>
        <v/>
      </c>
      <c r="N78" s="4" t="n"/>
      <c r="O78" s="20">
        <f>IF(ROUNDUP(Q78/20,0)&gt;ROUNDUP(Q77/20,0),"TN Ø12 (Lần " &amp; ROUNDUP(Q78/20,0) &amp; ")","")</f>
        <v/>
      </c>
      <c r="P78" s="16">
        <f>ROUND(P77+IF(AND(E78&lt;=10,F78&lt;&gt;"ASTM A416"),L78,0),3)</f>
        <v/>
      </c>
      <c r="Q78" s="16">
        <f>ROUND(Q77+IF(AND(E78=12,F78&lt;&gt;"ASTM A416"),L78,0),3)</f>
        <v/>
      </c>
      <c r="R78" s="16">
        <f>ROUND(R77+IF(AND(E78=14,F78&lt;&gt;"ASTM A416"),L78,0),3)</f>
        <v/>
      </c>
      <c r="S78" s="16">
        <f>ROUND(S77+IF(AND(E78=16,F78&lt;&gt;"ASTM A416"),L78,0),3)</f>
        <v/>
      </c>
      <c r="T78" s="16">
        <f>ROUND(T77+IF(AND(E78=18,F78&lt;&gt;"ASTM A416"),L78,0),3)</f>
        <v/>
      </c>
      <c r="U78" s="16">
        <f>ROUND(U77+IF(AND(E78=20,F78&lt;&gt;"ASTM A416"),L78,0),3)</f>
        <v/>
      </c>
      <c r="V78" s="16">
        <f>ROUND(V77+IF(AND(E78=22,F78&lt;&gt;"ASTM A416"),L78,0),3)</f>
        <v/>
      </c>
      <c r="W78" s="16">
        <f>ROUND(W77+IF(AND(E78=25,F78&lt;&gt;"ASTM A416"),L78,0),3)</f>
        <v/>
      </c>
      <c r="X78" s="16">
        <f>ROUND(X77+IF(AND(E78=28,F78&lt;&gt;"ASTM A416"),L78,0),3)</f>
        <v/>
      </c>
      <c r="Y78" s="16">
        <f>ROUND(Y77+IF(AND(E78=32,F78&lt;&gt;"ASTM A416"),L78,0),3)</f>
        <v/>
      </c>
      <c r="Z78" s="16">
        <f>ROUND(Z77+IF(F78="ASTM A416",L78,0),3)</f>
        <v/>
      </c>
      <c r="AA78" s="9">
        <f>IF(ROUNDUP(P78/20,0)&gt;ROUNDUP(P77/20,0),"Lần " &amp; ROUNDUP(P78/20,0),"")</f>
        <v/>
      </c>
      <c r="AB78" s="9">
        <f>IF(ROUNDUP(Q78/20,0)&gt;ROUNDUP(Q77/20,0),"Lần " &amp; ROUNDUP(Q78/20,0),"")</f>
        <v/>
      </c>
      <c r="AC78" s="9">
        <f>IF(ROUNDUP(R78/20,0)&gt;ROUNDUP(R77/20,0),"Lần " &amp; ROUNDUP(R78/20,0),"")</f>
        <v/>
      </c>
      <c r="AD78" s="9">
        <f>IF(ROUNDUP(S78/20,0)&gt;ROUNDUP(S77/20,0),"Lần " &amp; ROUNDUP(S78/20,0),"")</f>
        <v/>
      </c>
      <c r="AE78" s="9">
        <f>IF(ROUNDUP(T78/20,0)&gt;ROUNDUP(T77/20,0),"Lần " &amp; ROUNDUP(T78/20,0),"")</f>
        <v/>
      </c>
      <c r="AF78" s="9">
        <f>IF(ROUNDUP(U78/20,0)&gt;ROUNDUP(U77/20,0),"Lần " &amp; ROUNDUP(U78/20,0),"")</f>
        <v/>
      </c>
      <c r="AG78" s="9">
        <f>IF(ROUNDUP(V78/20,0)&gt;ROUNDUP(V77/20,0),"Lần " &amp; ROUNDUP(V78/20,0),"")</f>
        <v/>
      </c>
      <c r="AH78" s="9">
        <f>IF(ROUNDUP(W78/20,0)&gt;ROUNDUP(W77/20,0),"Lần " &amp; ROUNDUP(W78/20,0),"")</f>
        <v/>
      </c>
      <c r="AI78" s="9">
        <f>IF(ROUNDUP(X78/20,0)&gt;ROUNDUP(X77/20,0),"Lần " &amp; ROUNDUP(X78/20,0),"")</f>
        <v/>
      </c>
      <c r="AJ78" s="9">
        <f>IF(ROUNDUP(Y78/20,0)&gt;ROUNDUP(Y77/20,0),"Lần " &amp; ROUNDUP(Y78/20,0),"")</f>
        <v/>
      </c>
      <c r="AK78" s="9">
        <f>IF(ROUNDUP(Z78/20,0)&gt;ROUNDUP(Z77/20,0),"Lần " &amp; ROUNDUP(Z78/20,0),"")</f>
        <v/>
      </c>
      <c r="AL78" s="4" t="n"/>
      <c r="AN78" s="596" t="inlineStr">
        <is>
          <t>Coc</t>
        </is>
      </c>
      <c r="AO78" s="596" t="n">
        <v>8</v>
      </c>
      <c r="AQ78" s="594" t="n"/>
      <c r="AR78" s="595" t="n"/>
    </row>
    <row r="79" ht="19" customHeight="1" s="672">
      <c r="A79" s="4" t="n">
        <v>72</v>
      </c>
      <c r="B79" s="5" t="inlineStr">
        <is>
          <t>Cọc khoan nhồi C2 Trụ T1 (D1.2m, L=40.0m)</t>
        </is>
      </c>
      <c r="C79" s="5" t="inlineStr">
        <is>
          <t>Cọc trụ T1 L=40m (tr.68)</t>
        </is>
      </c>
      <c r="D79" s="14" t="inlineStr">
        <is>
          <t>P9</t>
        </is>
      </c>
      <c r="E79" s="15" t="n">
        <v>12</v>
      </c>
      <c r="F79" s="4" t="inlineStr">
        <is>
          <t>CB400-V</t>
        </is>
      </c>
      <c r="G79" s="5" t="inlineStr"/>
      <c r="H79" s="16" t="n">
        <v>0.379</v>
      </c>
      <c r="I79" s="17" t="n">
        <v>48</v>
      </c>
      <c r="J79" s="18" t="n">
        <v>0.888</v>
      </c>
      <c r="K79" s="7">
        <f>ROUND(H79*I79*J79, 2)</f>
        <v/>
      </c>
      <c r="L79" s="19">
        <f>ROUND(K79/1000, 3)</f>
        <v/>
      </c>
      <c r="M79" s="728">
        <f>IF(AO79="","",IF(N(INDEX(Theo_Doi_Tan_Suat_Be_Tong!$C:$C,AO79))&lt;=0,"",INDEX(Theo_Doi_Tan_Suat_Be_Tong!$C:$C,AO79)-VLOOKUP(AN79,$AQ$2:$AR$7,2,FALSE)))</f>
        <v/>
      </c>
      <c r="N79" s="4" t="n"/>
      <c r="O79" s="20">
        <f>IF(ROUNDUP(Q79/20,0)&gt;ROUNDUP(Q78/20,0),"TN Ø12 (Lần " &amp; ROUNDUP(Q79/20,0) &amp; ")","")</f>
        <v/>
      </c>
      <c r="P79" s="16">
        <f>ROUND(P78+IF(AND(E79&lt;=10,F79&lt;&gt;"ASTM A416"),L79,0),3)</f>
        <v/>
      </c>
      <c r="Q79" s="16">
        <f>ROUND(Q78+IF(AND(E79=12,F79&lt;&gt;"ASTM A416"),L79,0),3)</f>
        <v/>
      </c>
      <c r="R79" s="16">
        <f>ROUND(R78+IF(AND(E79=14,F79&lt;&gt;"ASTM A416"),L79,0),3)</f>
        <v/>
      </c>
      <c r="S79" s="16">
        <f>ROUND(S78+IF(AND(E79=16,F79&lt;&gt;"ASTM A416"),L79,0),3)</f>
        <v/>
      </c>
      <c r="T79" s="16">
        <f>ROUND(T78+IF(AND(E79=18,F79&lt;&gt;"ASTM A416"),L79,0),3)</f>
        <v/>
      </c>
      <c r="U79" s="16">
        <f>ROUND(U78+IF(AND(E79=20,F79&lt;&gt;"ASTM A416"),L79,0),3)</f>
        <v/>
      </c>
      <c r="V79" s="16">
        <f>ROUND(V78+IF(AND(E79=22,F79&lt;&gt;"ASTM A416"),L79,0),3)</f>
        <v/>
      </c>
      <c r="W79" s="16">
        <f>ROUND(W78+IF(AND(E79=25,F79&lt;&gt;"ASTM A416"),L79,0),3)</f>
        <v/>
      </c>
      <c r="X79" s="16">
        <f>ROUND(X78+IF(AND(E79=28,F79&lt;&gt;"ASTM A416"),L79,0),3)</f>
        <v/>
      </c>
      <c r="Y79" s="16">
        <f>ROUND(Y78+IF(AND(E79=32,F79&lt;&gt;"ASTM A416"),L79,0),3)</f>
        <v/>
      </c>
      <c r="Z79" s="16">
        <f>ROUND(Z78+IF(F79="ASTM A416",L79,0),3)</f>
        <v/>
      </c>
      <c r="AA79" s="9">
        <f>IF(ROUNDUP(P79/20,0)&gt;ROUNDUP(P78/20,0),"Lần " &amp; ROUNDUP(P79/20,0),"")</f>
        <v/>
      </c>
      <c r="AB79" s="9">
        <f>IF(ROUNDUP(Q79/20,0)&gt;ROUNDUP(Q78/20,0),"Lần " &amp; ROUNDUP(Q79/20,0),"")</f>
        <v/>
      </c>
      <c r="AC79" s="9">
        <f>IF(ROUNDUP(R79/20,0)&gt;ROUNDUP(R78/20,0),"Lần " &amp; ROUNDUP(R79/20,0),"")</f>
        <v/>
      </c>
      <c r="AD79" s="9">
        <f>IF(ROUNDUP(S79/20,0)&gt;ROUNDUP(S78/20,0),"Lần " &amp; ROUNDUP(S79/20,0),"")</f>
        <v/>
      </c>
      <c r="AE79" s="9">
        <f>IF(ROUNDUP(T79/20,0)&gt;ROUNDUP(T78/20,0),"Lần " &amp; ROUNDUP(T79/20,0),"")</f>
        <v/>
      </c>
      <c r="AF79" s="9">
        <f>IF(ROUNDUP(U79/20,0)&gt;ROUNDUP(U78/20,0),"Lần " &amp; ROUNDUP(U79/20,0),"")</f>
        <v/>
      </c>
      <c r="AG79" s="9">
        <f>IF(ROUNDUP(V79/20,0)&gt;ROUNDUP(V78/20,0),"Lần " &amp; ROUNDUP(V79/20,0),"")</f>
        <v/>
      </c>
      <c r="AH79" s="9">
        <f>IF(ROUNDUP(W79/20,0)&gt;ROUNDUP(W78/20,0),"Lần " &amp; ROUNDUP(W79/20,0),"")</f>
        <v/>
      </c>
      <c r="AI79" s="9">
        <f>IF(ROUNDUP(X79/20,0)&gt;ROUNDUP(X78/20,0),"Lần " &amp; ROUNDUP(X79/20,0),"")</f>
        <v/>
      </c>
      <c r="AJ79" s="9">
        <f>IF(ROUNDUP(Y79/20,0)&gt;ROUNDUP(Y78/20,0),"Lần " &amp; ROUNDUP(Y79/20,0),"")</f>
        <v/>
      </c>
      <c r="AK79" s="9">
        <f>IF(ROUNDUP(Z79/20,0)&gt;ROUNDUP(Z78/20,0),"Lần " &amp; ROUNDUP(Z79/20,0),"")</f>
        <v/>
      </c>
      <c r="AL79" s="4" t="n"/>
      <c r="AN79" s="596" t="inlineStr">
        <is>
          <t>Coc</t>
        </is>
      </c>
      <c r="AO79" s="596" t="n">
        <v>8</v>
      </c>
      <c r="AQ79" s="594" t="n"/>
      <c r="AR79" s="595" t="n"/>
    </row>
    <row r="80" ht="19" customHeight="1" s="672">
      <c r="A80" s="4" t="n">
        <v>73</v>
      </c>
      <c r="B80" s="5" t="inlineStr">
        <is>
          <t>Cọc khoan nhồi C2 Trụ T1 (D1.2m, L=40.0m)</t>
        </is>
      </c>
      <c r="C80" s="5" t="inlineStr">
        <is>
          <t>Cọc trụ T1 L=40m (tr.68)</t>
        </is>
      </c>
      <c r="D80" s="14" t="inlineStr">
        <is>
          <t>P10</t>
        </is>
      </c>
      <c r="E80" s="15" t="n">
        <v>20</v>
      </c>
      <c r="F80" s="4" t="inlineStr">
        <is>
          <t>CB400-V</t>
        </is>
      </c>
      <c r="G80" s="5" t="inlineStr"/>
      <c r="H80" s="16" t="n">
        <v>2.057</v>
      </c>
      <c r="I80" s="17" t="n">
        <v>1</v>
      </c>
      <c r="J80" s="18" t="n">
        <v>2.466</v>
      </c>
      <c r="K80" s="7">
        <f>ROUND(H80*I80*J80, 2)</f>
        <v/>
      </c>
      <c r="L80" s="19">
        <f>ROUND(K80/1000, 3)</f>
        <v/>
      </c>
      <c r="M80" s="728">
        <f>IF(AO80="","",IF(N(INDEX(Theo_Doi_Tan_Suat_Be_Tong!$C:$C,AO80))&lt;=0,"",INDEX(Theo_Doi_Tan_Suat_Be_Tong!$C:$C,AO80)-VLOOKUP(AN80,$AQ$2:$AR$7,2,FALSE)))</f>
        <v/>
      </c>
      <c r="N80" s="4" t="n"/>
      <c r="O80" s="20">
        <f>IF(ROUNDUP(U80/20,0)&gt;ROUNDUP(U79/20,0),"TN Ø20 (Lần " &amp; ROUNDUP(U80/20,0) &amp; ")","")</f>
        <v/>
      </c>
      <c r="P80" s="16">
        <f>ROUND(P79+IF(AND(E80&lt;=10,F80&lt;&gt;"ASTM A416"),L80,0),3)</f>
        <v/>
      </c>
      <c r="Q80" s="16">
        <f>ROUND(Q79+IF(AND(E80=12,F80&lt;&gt;"ASTM A416"),L80,0),3)</f>
        <v/>
      </c>
      <c r="R80" s="16">
        <f>ROUND(R79+IF(AND(E80=14,F80&lt;&gt;"ASTM A416"),L80,0),3)</f>
        <v/>
      </c>
      <c r="S80" s="16">
        <f>ROUND(S79+IF(AND(E80=16,F80&lt;&gt;"ASTM A416"),L80,0),3)</f>
        <v/>
      </c>
      <c r="T80" s="16">
        <f>ROUND(T79+IF(AND(E80=18,F80&lt;&gt;"ASTM A416"),L80,0),3)</f>
        <v/>
      </c>
      <c r="U80" s="16">
        <f>ROUND(U79+IF(AND(E80=20,F80&lt;&gt;"ASTM A416"),L80,0),3)</f>
        <v/>
      </c>
      <c r="V80" s="16">
        <f>ROUND(V79+IF(AND(E80=22,F80&lt;&gt;"ASTM A416"),L80,0),3)</f>
        <v/>
      </c>
      <c r="W80" s="16">
        <f>ROUND(W79+IF(AND(E80=25,F80&lt;&gt;"ASTM A416"),L80,0),3)</f>
        <v/>
      </c>
      <c r="X80" s="16">
        <f>ROUND(X79+IF(AND(E80=28,F80&lt;&gt;"ASTM A416"),L80,0),3)</f>
        <v/>
      </c>
      <c r="Y80" s="16">
        <f>ROUND(Y79+IF(AND(E80=32,F80&lt;&gt;"ASTM A416"),L80,0),3)</f>
        <v/>
      </c>
      <c r="Z80" s="16">
        <f>ROUND(Z79+IF(F80="ASTM A416",L80,0),3)</f>
        <v/>
      </c>
      <c r="AA80" s="9">
        <f>IF(ROUNDUP(P80/20,0)&gt;ROUNDUP(P79/20,0),"Lần " &amp; ROUNDUP(P80/20,0),"")</f>
        <v/>
      </c>
      <c r="AB80" s="9">
        <f>IF(ROUNDUP(Q80/20,0)&gt;ROUNDUP(Q79/20,0),"Lần " &amp; ROUNDUP(Q80/20,0),"")</f>
        <v/>
      </c>
      <c r="AC80" s="9">
        <f>IF(ROUNDUP(R80/20,0)&gt;ROUNDUP(R79/20,0),"Lần " &amp; ROUNDUP(R80/20,0),"")</f>
        <v/>
      </c>
      <c r="AD80" s="9">
        <f>IF(ROUNDUP(S80/20,0)&gt;ROUNDUP(S79/20,0),"Lần " &amp; ROUNDUP(S80/20,0),"")</f>
        <v/>
      </c>
      <c r="AE80" s="9">
        <f>IF(ROUNDUP(T80/20,0)&gt;ROUNDUP(T79/20,0),"Lần " &amp; ROUNDUP(T80/20,0),"")</f>
        <v/>
      </c>
      <c r="AF80" s="9">
        <f>IF(ROUNDUP(U80/20,0)&gt;ROUNDUP(U79/20,0),"Lần " &amp; ROUNDUP(U80/20,0),"")</f>
        <v/>
      </c>
      <c r="AG80" s="9">
        <f>IF(ROUNDUP(V80/20,0)&gt;ROUNDUP(V79/20,0),"Lần " &amp; ROUNDUP(V80/20,0),"")</f>
        <v/>
      </c>
      <c r="AH80" s="9">
        <f>IF(ROUNDUP(W80/20,0)&gt;ROUNDUP(W79/20,0),"Lần " &amp; ROUNDUP(W80/20,0),"")</f>
        <v/>
      </c>
      <c r="AI80" s="9">
        <f>IF(ROUNDUP(X80/20,0)&gt;ROUNDUP(X79/20,0),"Lần " &amp; ROUNDUP(X80/20,0),"")</f>
        <v/>
      </c>
      <c r="AJ80" s="9">
        <f>IF(ROUNDUP(Y80/20,0)&gt;ROUNDUP(Y79/20,0),"Lần " &amp; ROUNDUP(Y80/20,0),"")</f>
        <v/>
      </c>
      <c r="AK80" s="9">
        <f>IF(ROUNDUP(Z80/20,0)&gt;ROUNDUP(Z79/20,0),"Lần " &amp; ROUNDUP(Z80/20,0),"")</f>
        <v/>
      </c>
      <c r="AL80" s="4" t="n"/>
      <c r="AN80" s="596" t="inlineStr">
        <is>
          <t>Coc</t>
        </is>
      </c>
      <c r="AO80" s="596" t="n">
        <v>8</v>
      </c>
      <c r="AQ80" s="594" t="n"/>
      <c r="AR80" s="595" t="n"/>
    </row>
    <row r="81" ht="20" customHeight="1" s="672">
      <c r="A81" s="4" t="n">
        <v>74</v>
      </c>
      <c r="B81" s="5" t="inlineStr">
        <is>
          <t>Cọc khoan nhồi C2 Trụ T1 (D1.2m, L=40.0m)</t>
        </is>
      </c>
      <c r="C81" s="5" t="inlineStr">
        <is>
          <t>Cọc trụ T1 L=40m (tr.68)</t>
        </is>
      </c>
      <c r="D81" s="14" t="inlineStr">
        <is>
          <t>P12</t>
        </is>
      </c>
      <c r="E81" s="15" t="n">
        <v>20</v>
      </c>
      <c r="F81" s="4" t="inlineStr">
        <is>
          <t>CB400-V</t>
        </is>
      </c>
      <c r="G81" s="5" t="inlineStr"/>
      <c r="H81" s="16" t="n">
        <v>0.583</v>
      </c>
      <c r="I81" s="17" t="n">
        <v>64</v>
      </c>
      <c r="J81" s="18" t="n">
        <v>2.466</v>
      </c>
      <c r="K81" s="7">
        <f>ROUND(H81*I81*J81, 2)</f>
        <v/>
      </c>
      <c r="L81" s="19">
        <f>ROUND(K81/1000, 3)</f>
        <v/>
      </c>
      <c r="M81" s="728">
        <f>IF(AO81="","",IF(N(INDEX(Theo_Doi_Tan_Suat_Be_Tong!$C:$C,AO81))&lt;=0,"",INDEX(Theo_Doi_Tan_Suat_Be_Tong!$C:$C,AO81)-VLOOKUP(AN81,$AQ$2:$AR$7,2,FALSE)))</f>
        <v/>
      </c>
      <c r="N81" s="4" t="n"/>
      <c r="O81" s="20">
        <f>IF(ROUNDUP(U81/20,0)&gt;ROUNDUP(U80/20,0),"TN Ø20 (Lần " &amp; ROUNDUP(U81/20,0) &amp; ")","")</f>
        <v/>
      </c>
      <c r="P81" s="16">
        <f>ROUND(P80+IF(AND(E81&lt;=10,F81&lt;&gt;"ASTM A416"),L81,0),3)</f>
        <v/>
      </c>
      <c r="Q81" s="16">
        <f>ROUND(Q80+IF(AND(E81=12,F81&lt;&gt;"ASTM A416"),L81,0),3)</f>
        <v/>
      </c>
      <c r="R81" s="16">
        <f>ROUND(R80+IF(AND(E81=14,F81&lt;&gt;"ASTM A416"),L81,0),3)</f>
        <v/>
      </c>
      <c r="S81" s="16">
        <f>ROUND(S80+IF(AND(E81=16,F81&lt;&gt;"ASTM A416"),L81,0),3)</f>
        <v/>
      </c>
      <c r="T81" s="16">
        <f>ROUND(T80+IF(AND(E81=18,F81&lt;&gt;"ASTM A416"),L81,0),3)</f>
        <v/>
      </c>
      <c r="U81" s="16">
        <f>ROUND(U80+IF(AND(E81=20,F81&lt;&gt;"ASTM A416"),L81,0),3)</f>
        <v/>
      </c>
      <c r="V81" s="16">
        <f>ROUND(V80+IF(AND(E81=22,F81&lt;&gt;"ASTM A416"),L81,0),3)</f>
        <v/>
      </c>
      <c r="W81" s="16">
        <f>ROUND(W80+IF(AND(E81=25,F81&lt;&gt;"ASTM A416"),L81,0),3)</f>
        <v/>
      </c>
      <c r="X81" s="16">
        <f>ROUND(X80+IF(AND(E81=28,F81&lt;&gt;"ASTM A416"),L81,0),3)</f>
        <v/>
      </c>
      <c r="Y81" s="16">
        <f>ROUND(Y80+IF(AND(E81=32,F81&lt;&gt;"ASTM A416"),L81,0),3)</f>
        <v/>
      </c>
      <c r="Z81" s="16">
        <f>ROUND(Z80+IF(F81="ASTM A416",L81,0),3)</f>
        <v/>
      </c>
      <c r="AA81" s="9">
        <f>IF(ROUNDUP(P81/20,0)&gt;ROUNDUP(P80/20,0),"Lần " &amp; ROUNDUP(P81/20,0),"")</f>
        <v/>
      </c>
      <c r="AB81" s="9">
        <f>IF(ROUNDUP(Q81/20,0)&gt;ROUNDUP(Q80/20,0),"Lần " &amp; ROUNDUP(Q81/20,0),"")</f>
        <v/>
      </c>
      <c r="AC81" s="9">
        <f>IF(ROUNDUP(R81/20,0)&gt;ROUNDUP(R80/20,0),"Lần " &amp; ROUNDUP(R81/20,0),"")</f>
        <v/>
      </c>
      <c r="AD81" s="9">
        <f>IF(ROUNDUP(S81/20,0)&gt;ROUNDUP(S80/20,0),"Lần " &amp; ROUNDUP(S81/20,0),"")</f>
        <v/>
      </c>
      <c r="AE81" s="9">
        <f>IF(ROUNDUP(T81/20,0)&gt;ROUNDUP(T80/20,0),"Lần " &amp; ROUNDUP(T81/20,0),"")</f>
        <v/>
      </c>
      <c r="AF81" s="9">
        <f>IF(ROUNDUP(U81/20,0)&gt;ROUNDUP(U80/20,0),"Lần " &amp; ROUNDUP(U81/20,0),"")</f>
        <v/>
      </c>
      <c r="AG81" s="9">
        <f>IF(ROUNDUP(V81/20,0)&gt;ROUNDUP(V80/20,0),"Lần " &amp; ROUNDUP(V81/20,0),"")</f>
        <v/>
      </c>
      <c r="AH81" s="9">
        <f>IF(ROUNDUP(W81/20,0)&gt;ROUNDUP(W80/20,0),"Lần " &amp; ROUNDUP(W81/20,0),"")</f>
        <v/>
      </c>
      <c r="AI81" s="9">
        <f>IF(ROUNDUP(X81/20,0)&gt;ROUNDUP(X80/20,0),"Lần " &amp; ROUNDUP(X81/20,0),"")</f>
        <v/>
      </c>
      <c r="AJ81" s="9">
        <f>IF(ROUNDUP(Y81/20,0)&gt;ROUNDUP(Y80/20,0),"Lần " &amp; ROUNDUP(Y81/20,0),"")</f>
        <v/>
      </c>
      <c r="AK81" s="9">
        <f>IF(ROUNDUP(Z81/20,0)&gt;ROUNDUP(Z80/20,0),"Lần " &amp; ROUNDUP(Z81/20,0),"")</f>
        <v/>
      </c>
      <c r="AL81" s="4" t="n"/>
      <c r="AN81" s="596" t="inlineStr">
        <is>
          <t>Coc</t>
        </is>
      </c>
      <c r="AO81" s="596" t="n">
        <v>8</v>
      </c>
      <c r="AQ81" s="594" t="n"/>
      <c r="AR81" s="595" t="n"/>
    </row>
    <row r="82" ht="19" customHeight="1" s="672">
      <c r="A82" s="4" t="n">
        <v>75</v>
      </c>
      <c r="B82" s="5" t="inlineStr">
        <is>
          <t>Cọc khoan nhồi C2 Trụ T1 (D1.2m, L=40.0m)</t>
        </is>
      </c>
      <c r="C82" s="5" t="inlineStr">
        <is>
          <t>Cọc trụ T1 L=40m (tr.68)</t>
        </is>
      </c>
      <c r="D82" s="14" t="inlineStr">
        <is>
          <t>P11</t>
        </is>
      </c>
      <c r="E82" s="15" t="n">
        <v>16</v>
      </c>
      <c r="F82" s="4" t="inlineStr">
        <is>
          <t>CB400-V</t>
        </is>
      </c>
      <c r="G82" s="5" t="inlineStr"/>
      <c r="H82" s="16" t="n">
        <v>2.604</v>
      </c>
      <c r="I82" s="17" t="n">
        <v>4</v>
      </c>
      <c r="J82" s="18" t="n">
        <v>1.578</v>
      </c>
      <c r="K82" s="7">
        <f>ROUND(H82*I82*J82, 2)</f>
        <v/>
      </c>
      <c r="L82" s="19">
        <f>ROUND(K82/1000, 3)</f>
        <v/>
      </c>
      <c r="M82" s="728">
        <f>IF(AO82="","",IF(N(INDEX(Theo_Doi_Tan_Suat_Be_Tong!$C:$C,AO82))&lt;=0,"",INDEX(Theo_Doi_Tan_Suat_Be_Tong!$C:$C,AO82)-VLOOKUP(AN82,$AQ$2:$AR$7,2,FALSE)))</f>
        <v/>
      </c>
      <c r="N82" s="4" t="n"/>
      <c r="O82" s="20">
        <f>IF(ROUNDUP(S82/20,0)&gt;ROUNDUP(S81/20,0),"TN Ø16 (Lần " &amp; ROUNDUP(S82/20,0) &amp; ")","")</f>
        <v/>
      </c>
      <c r="P82" s="16">
        <f>ROUND(P81+IF(AND(E82&lt;=10,F82&lt;&gt;"ASTM A416"),L82,0),3)</f>
        <v/>
      </c>
      <c r="Q82" s="16">
        <f>ROUND(Q81+IF(AND(E82=12,F82&lt;&gt;"ASTM A416"),L82,0),3)</f>
        <v/>
      </c>
      <c r="R82" s="16">
        <f>ROUND(R81+IF(AND(E82=14,F82&lt;&gt;"ASTM A416"),L82,0),3)</f>
        <v/>
      </c>
      <c r="S82" s="16">
        <f>ROUND(S81+IF(AND(E82=16,F82&lt;&gt;"ASTM A416"),L82,0),3)</f>
        <v/>
      </c>
      <c r="T82" s="16">
        <f>ROUND(T81+IF(AND(E82=18,F82&lt;&gt;"ASTM A416"),L82,0),3)</f>
        <v/>
      </c>
      <c r="U82" s="16">
        <f>ROUND(U81+IF(AND(E82=20,F82&lt;&gt;"ASTM A416"),L82,0),3)</f>
        <v/>
      </c>
      <c r="V82" s="16">
        <f>ROUND(V81+IF(AND(E82=22,F82&lt;&gt;"ASTM A416"),L82,0),3)</f>
        <v/>
      </c>
      <c r="W82" s="16">
        <f>ROUND(W81+IF(AND(E82=25,F82&lt;&gt;"ASTM A416"),L82,0),3)</f>
        <v/>
      </c>
      <c r="X82" s="16">
        <f>ROUND(X81+IF(AND(E82=28,F82&lt;&gt;"ASTM A416"),L82,0),3)</f>
        <v/>
      </c>
      <c r="Y82" s="16">
        <f>ROUND(Y81+IF(AND(E82=32,F82&lt;&gt;"ASTM A416"),L82,0),3)</f>
        <v/>
      </c>
      <c r="Z82" s="16">
        <f>ROUND(Z81+IF(F82="ASTM A416",L82,0),3)</f>
        <v/>
      </c>
      <c r="AA82" s="9">
        <f>IF(ROUNDUP(P82/20,0)&gt;ROUNDUP(P81/20,0),"Lần " &amp; ROUNDUP(P82/20,0),"")</f>
        <v/>
      </c>
      <c r="AB82" s="9">
        <f>IF(ROUNDUP(Q82/20,0)&gt;ROUNDUP(Q81/20,0),"Lần " &amp; ROUNDUP(Q82/20,0),"")</f>
        <v/>
      </c>
      <c r="AC82" s="9">
        <f>IF(ROUNDUP(R82/20,0)&gt;ROUNDUP(R81/20,0),"Lần " &amp; ROUNDUP(R82/20,0),"")</f>
        <v/>
      </c>
      <c r="AD82" s="9">
        <f>IF(ROUNDUP(S82/20,0)&gt;ROUNDUP(S81/20,0),"Lần " &amp; ROUNDUP(S82/20,0),"")</f>
        <v/>
      </c>
      <c r="AE82" s="9">
        <f>IF(ROUNDUP(T82/20,0)&gt;ROUNDUP(T81/20,0),"Lần " &amp; ROUNDUP(T82/20,0),"")</f>
        <v/>
      </c>
      <c r="AF82" s="9">
        <f>IF(ROUNDUP(U82/20,0)&gt;ROUNDUP(U81/20,0),"Lần " &amp; ROUNDUP(U82/20,0),"")</f>
        <v/>
      </c>
      <c r="AG82" s="9">
        <f>IF(ROUNDUP(V82/20,0)&gt;ROUNDUP(V81/20,0),"Lần " &amp; ROUNDUP(V82/20,0),"")</f>
        <v/>
      </c>
      <c r="AH82" s="9">
        <f>IF(ROUNDUP(W82/20,0)&gt;ROUNDUP(W81/20,0),"Lần " &amp; ROUNDUP(W82/20,0),"")</f>
        <v/>
      </c>
      <c r="AI82" s="9">
        <f>IF(ROUNDUP(X82/20,0)&gt;ROUNDUP(X81/20,0),"Lần " &amp; ROUNDUP(X82/20,0),"")</f>
        <v/>
      </c>
      <c r="AJ82" s="9">
        <f>IF(ROUNDUP(Y82/20,0)&gt;ROUNDUP(Y81/20,0),"Lần " &amp; ROUNDUP(Y82/20,0),"")</f>
        <v/>
      </c>
      <c r="AK82" s="9">
        <f>IF(ROUNDUP(Z82/20,0)&gt;ROUNDUP(Z81/20,0),"Lần " &amp; ROUNDUP(Z82/20,0),"")</f>
        <v/>
      </c>
      <c r="AL82" s="4" t="n"/>
      <c r="AN82" s="596" t="inlineStr">
        <is>
          <t>Coc</t>
        </is>
      </c>
      <c r="AO82" s="596" t="n">
        <v>8</v>
      </c>
      <c r="AQ82" s="594" t="n"/>
      <c r="AR82" s="595" t="n"/>
    </row>
    <row r="83" ht="19" customHeight="1" s="672">
      <c r="A83" s="668" t="inlineStr">
        <is>
          <t>--- CỌC KHOAN NHỒI C6 TRỤ T2 (D1.2M, L=30.0M) ---</t>
        </is>
      </c>
      <c r="B83" s="722" t="n"/>
      <c r="C83" s="722" t="n"/>
      <c r="D83" s="722" t="n"/>
      <c r="E83" s="722" t="n"/>
      <c r="F83" s="722" t="n"/>
      <c r="G83" s="722" t="n"/>
      <c r="H83" s="722" t="n"/>
      <c r="I83" s="722" t="n"/>
      <c r="J83" s="722" t="n"/>
      <c r="K83" s="722" t="n"/>
      <c r="L83" s="722" t="n"/>
      <c r="M83" s="722" t="n"/>
      <c r="N83" s="722" t="n"/>
      <c r="O83" s="722" t="n"/>
      <c r="P83" s="722" t="n"/>
      <c r="Q83" s="722" t="n"/>
      <c r="R83" s="722" t="n"/>
      <c r="S83" s="722" t="n"/>
      <c r="T83" s="722" t="n"/>
      <c r="U83" s="722" t="n"/>
      <c r="V83" s="722" t="n"/>
      <c r="W83" s="722" t="n"/>
      <c r="X83" s="722" t="n"/>
      <c r="Y83" s="722" t="n"/>
      <c r="Z83" s="722" t="n"/>
      <c r="AA83" s="722" t="n"/>
      <c r="AB83" s="722" t="n"/>
      <c r="AC83" s="722" t="n"/>
      <c r="AD83" s="722" t="n"/>
      <c r="AE83" s="722" t="n"/>
      <c r="AF83" s="722" t="n"/>
      <c r="AG83" s="722" t="n"/>
      <c r="AH83" s="722" t="n"/>
      <c r="AI83" s="722" t="n"/>
      <c r="AJ83" s="722" t="n"/>
      <c r="AK83" s="722" t="n"/>
      <c r="AL83" s="721" t="n"/>
      <c r="AQ83" s="594" t="n"/>
      <c r="AR83" s="595" t="n"/>
    </row>
    <row r="84" ht="19" customHeight="1" s="672">
      <c r="A84" s="4" t="n">
        <v>76</v>
      </c>
      <c r="B84" s="5" t="inlineStr">
        <is>
          <t>Cọc khoan nhồi C6 Trụ T2 (D1.2m, L=30.0m)</t>
        </is>
      </c>
      <c r="C84" s="5" t="inlineStr">
        <is>
          <t>Cọc trụ T2 L=30m (tr.70)</t>
        </is>
      </c>
      <c r="D84" s="14" t="inlineStr">
        <is>
          <t>P1</t>
        </is>
      </c>
      <c r="E84" s="15" t="n">
        <v>10</v>
      </c>
      <c r="F84" s="4" t="inlineStr">
        <is>
          <t>CB240-T</t>
        </is>
      </c>
      <c r="G84" s="5" t="inlineStr"/>
      <c r="H84" s="16" t="n">
        <v>96.604</v>
      </c>
      <c r="I84" s="17" t="n">
        <v>1</v>
      </c>
      <c r="J84" s="18" t="n">
        <v>0.617</v>
      </c>
      <c r="K84" s="7">
        <f>ROUND(H84*I84*J84, 2)</f>
        <v/>
      </c>
      <c r="L84" s="19">
        <f>ROUND(K84/1000, 3)</f>
        <v/>
      </c>
      <c r="M84" s="728">
        <f>IF(AO84="","",IF(N(INDEX(Theo_Doi_Tan_Suat_Be_Tong!$C:$C,AO84))&lt;=0,"",INDEX(Theo_Doi_Tan_Suat_Be_Tong!$C:$C,AO84)-VLOOKUP(AN84,$AQ$2:$AR$7,2,FALSE)))</f>
        <v/>
      </c>
      <c r="N84" s="4" t="n"/>
      <c r="O84" s="20">
        <f>IF(ROUNDUP(P84/20,0)&gt;ROUNDUP(P82/20,0),"TN Ø10 (Lần " &amp; ROUNDUP(P84/20,0) &amp; ")","")</f>
        <v/>
      </c>
      <c r="P84" s="16">
        <f>ROUND(P82+IF(AND(E84&lt;=10,F84&lt;&gt;"ASTM A416"),L84,0),3)</f>
        <v/>
      </c>
      <c r="Q84" s="16">
        <f>ROUND(Q82+IF(AND(E84=12,F84&lt;&gt;"ASTM A416"),L84,0),3)</f>
        <v/>
      </c>
      <c r="R84" s="16">
        <f>ROUND(R82+IF(AND(E84=14,F84&lt;&gt;"ASTM A416"),L84,0),3)</f>
        <v/>
      </c>
      <c r="S84" s="16">
        <f>ROUND(S82+IF(AND(E84=16,F84&lt;&gt;"ASTM A416"),L84,0),3)</f>
        <v/>
      </c>
      <c r="T84" s="16">
        <f>ROUND(T82+IF(AND(E84=18,F84&lt;&gt;"ASTM A416"),L84,0),3)</f>
        <v/>
      </c>
      <c r="U84" s="16">
        <f>ROUND(U82+IF(AND(E84=20,F84&lt;&gt;"ASTM A416"),L84,0),3)</f>
        <v/>
      </c>
      <c r="V84" s="16">
        <f>ROUND(V82+IF(AND(E84=22,F84&lt;&gt;"ASTM A416"),L84,0),3)</f>
        <v/>
      </c>
      <c r="W84" s="16">
        <f>ROUND(W82+IF(AND(E84=25,F84&lt;&gt;"ASTM A416"),L84,0),3)</f>
        <v/>
      </c>
      <c r="X84" s="16">
        <f>ROUND(X82+IF(AND(E84=28,F84&lt;&gt;"ASTM A416"),L84,0),3)</f>
        <v/>
      </c>
      <c r="Y84" s="16">
        <f>ROUND(Y82+IF(AND(E84=32,F84&lt;&gt;"ASTM A416"),L84,0),3)</f>
        <v/>
      </c>
      <c r="Z84" s="16">
        <f>ROUND(Z82+IF(F84="ASTM A416",L84,0),3)</f>
        <v/>
      </c>
      <c r="AA84" s="9">
        <f>IF(ROUNDUP(P84/20,0)&gt;ROUNDUP(P82/20,0),"Lần " &amp; ROUNDUP(P84/20,0),"")</f>
        <v/>
      </c>
      <c r="AB84" s="9">
        <f>IF(ROUNDUP(Q84/20,0)&gt;ROUNDUP(Q82/20,0),"Lần " &amp; ROUNDUP(Q84/20,0),"")</f>
        <v/>
      </c>
      <c r="AC84" s="9">
        <f>IF(ROUNDUP(R84/20,0)&gt;ROUNDUP(R82/20,0),"Lần " &amp; ROUNDUP(R84/20,0),"")</f>
        <v/>
      </c>
      <c r="AD84" s="9">
        <f>IF(ROUNDUP(S84/20,0)&gt;ROUNDUP(S82/20,0),"Lần " &amp; ROUNDUP(S84/20,0),"")</f>
        <v/>
      </c>
      <c r="AE84" s="9">
        <f>IF(ROUNDUP(T84/20,0)&gt;ROUNDUP(T82/20,0),"Lần " &amp; ROUNDUP(T84/20,0),"")</f>
        <v/>
      </c>
      <c r="AF84" s="9">
        <f>IF(ROUNDUP(U84/20,0)&gt;ROUNDUP(U82/20,0),"Lần " &amp; ROUNDUP(U84/20,0),"")</f>
        <v/>
      </c>
      <c r="AG84" s="9">
        <f>IF(ROUNDUP(V84/20,0)&gt;ROUNDUP(V82/20,0),"Lần " &amp; ROUNDUP(V84/20,0),"")</f>
        <v/>
      </c>
      <c r="AH84" s="9">
        <f>IF(ROUNDUP(W84/20,0)&gt;ROUNDUP(W82/20,0),"Lần " &amp; ROUNDUP(W84/20,0),"")</f>
        <v/>
      </c>
      <c r="AI84" s="9">
        <f>IF(ROUNDUP(X84/20,0)&gt;ROUNDUP(X82/20,0),"Lần " &amp; ROUNDUP(X84/20,0),"")</f>
        <v/>
      </c>
      <c r="AJ84" s="9">
        <f>IF(ROUNDUP(Y84/20,0)&gt;ROUNDUP(Y82/20,0),"Lần " &amp; ROUNDUP(Y84/20,0),"")</f>
        <v/>
      </c>
      <c r="AK84" s="9">
        <f>IF(ROUNDUP(Z84/20,0)&gt;ROUNDUP(Z82/20,0),"Lần " &amp; ROUNDUP(Z84/20,0),"")</f>
        <v/>
      </c>
      <c r="AL84" s="4" t="n"/>
      <c r="AN84" s="596" t="inlineStr">
        <is>
          <t>Coc</t>
        </is>
      </c>
      <c r="AO84" s="596" t="n">
        <v>9</v>
      </c>
      <c r="AQ84" s="594" t="n"/>
      <c r="AR84" s="595" t="n"/>
    </row>
    <row r="85" ht="19" customHeight="1" s="672">
      <c r="A85" s="4" t="n">
        <v>77</v>
      </c>
      <c r="B85" s="5" t="inlineStr">
        <is>
          <t>Cọc khoan nhồi C6 Trụ T2 (D1.2m, L=30.0m)</t>
        </is>
      </c>
      <c r="C85" s="5" t="inlineStr">
        <is>
          <t>Cọc trụ T2 L=30m (tr.70)</t>
        </is>
      </c>
      <c r="D85" s="14" t="inlineStr">
        <is>
          <t>P1A</t>
        </is>
      </c>
      <c r="E85" s="15" t="n">
        <v>10</v>
      </c>
      <c r="F85" s="4" t="inlineStr">
        <is>
          <t>CB240-T</t>
        </is>
      </c>
      <c r="G85" s="5" t="inlineStr"/>
      <c r="H85" s="16" t="n">
        <v>389.636</v>
      </c>
      <c r="I85" s="17" t="n">
        <v>1</v>
      </c>
      <c r="J85" s="18" t="n">
        <v>0.617</v>
      </c>
      <c r="K85" s="7">
        <f>ROUND(H85*I85*J85, 2)</f>
        <v/>
      </c>
      <c r="L85" s="19">
        <f>ROUND(K85/1000, 3)</f>
        <v/>
      </c>
      <c r="M85" s="728">
        <f>IF(AO85="","",IF(N(INDEX(Theo_Doi_Tan_Suat_Be_Tong!$C:$C,AO85))&lt;=0,"",INDEX(Theo_Doi_Tan_Suat_Be_Tong!$C:$C,AO85)-VLOOKUP(AN85,$AQ$2:$AR$7,2,FALSE)))</f>
        <v/>
      </c>
      <c r="N85" s="4" t="n"/>
      <c r="O85" s="20">
        <f>IF(ROUNDUP(P85/20,0)&gt;ROUNDUP(P84/20,0),"TN Ø10 (Lần " &amp; ROUNDUP(P85/20,0) &amp; ")","")</f>
        <v/>
      </c>
      <c r="P85" s="16">
        <f>ROUND(P84+IF(AND(E85&lt;=10,F85&lt;&gt;"ASTM A416"),L85,0),3)</f>
        <v/>
      </c>
      <c r="Q85" s="16">
        <f>ROUND(Q84+IF(AND(E85=12,F85&lt;&gt;"ASTM A416"),L85,0),3)</f>
        <v/>
      </c>
      <c r="R85" s="16">
        <f>ROUND(R84+IF(AND(E85=14,F85&lt;&gt;"ASTM A416"),L85,0),3)</f>
        <v/>
      </c>
      <c r="S85" s="16">
        <f>ROUND(S84+IF(AND(E85=16,F85&lt;&gt;"ASTM A416"),L85,0),3)</f>
        <v/>
      </c>
      <c r="T85" s="16">
        <f>ROUND(T84+IF(AND(E85=18,F85&lt;&gt;"ASTM A416"),L85,0),3)</f>
        <v/>
      </c>
      <c r="U85" s="16">
        <f>ROUND(U84+IF(AND(E85=20,F85&lt;&gt;"ASTM A416"),L85,0),3)</f>
        <v/>
      </c>
      <c r="V85" s="16">
        <f>ROUND(V84+IF(AND(E85=22,F85&lt;&gt;"ASTM A416"),L85,0),3)</f>
        <v/>
      </c>
      <c r="W85" s="16">
        <f>ROUND(W84+IF(AND(E85=25,F85&lt;&gt;"ASTM A416"),L85,0),3)</f>
        <v/>
      </c>
      <c r="X85" s="16">
        <f>ROUND(X84+IF(AND(E85=28,F85&lt;&gt;"ASTM A416"),L85,0),3)</f>
        <v/>
      </c>
      <c r="Y85" s="16">
        <f>ROUND(Y84+IF(AND(E85=32,F85&lt;&gt;"ASTM A416"),L85,0),3)</f>
        <v/>
      </c>
      <c r="Z85" s="16">
        <f>ROUND(Z84+IF(F85="ASTM A416",L85,0),3)</f>
        <v/>
      </c>
      <c r="AA85" s="9">
        <f>IF(ROUNDUP(P85/20,0)&gt;ROUNDUP(P84/20,0),"Lần " &amp; ROUNDUP(P85/20,0),"")</f>
        <v/>
      </c>
      <c r="AB85" s="9">
        <f>IF(ROUNDUP(Q85/20,0)&gt;ROUNDUP(Q84/20,0),"Lần " &amp; ROUNDUP(Q85/20,0),"")</f>
        <v/>
      </c>
      <c r="AC85" s="9">
        <f>IF(ROUNDUP(R85/20,0)&gt;ROUNDUP(R84/20,0),"Lần " &amp; ROUNDUP(R85/20,0),"")</f>
        <v/>
      </c>
      <c r="AD85" s="9">
        <f>IF(ROUNDUP(S85/20,0)&gt;ROUNDUP(S84/20,0),"Lần " &amp; ROUNDUP(S85/20,0),"")</f>
        <v/>
      </c>
      <c r="AE85" s="9">
        <f>IF(ROUNDUP(T85/20,0)&gt;ROUNDUP(T84/20,0),"Lần " &amp; ROUNDUP(T85/20,0),"")</f>
        <v/>
      </c>
      <c r="AF85" s="9">
        <f>IF(ROUNDUP(U85/20,0)&gt;ROUNDUP(U84/20,0),"Lần " &amp; ROUNDUP(U85/20,0),"")</f>
        <v/>
      </c>
      <c r="AG85" s="9">
        <f>IF(ROUNDUP(V85/20,0)&gt;ROUNDUP(V84/20,0),"Lần " &amp; ROUNDUP(V85/20,0),"")</f>
        <v/>
      </c>
      <c r="AH85" s="9">
        <f>IF(ROUNDUP(W85/20,0)&gt;ROUNDUP(W84/20,0),"Lần " &amp; ROUNDUP(W85/20,0),"")</f>
        <v/>
      </c>
      <c r="AI85" s="9">
        <f>IF(ROUNDUP(X85/20,0)&gt;ROUNDUP(X84/20,0),"Lần " &amp; ROUNDUP(X85/20,0),"")</f>
        <v/>
      </c>
      <c r="AJ85" s="9">
        <f>IF(ROUNDUP(Y85/20,0)&gt;ROUNDUP(Y84/20,0),"Lần " &amp; ROUNDUP(Y85/20,0),"")</f>
        <v/>
      </c>
      <c r="AK85" s="9">
        <f>IF(ROUNDUP(Z85/20,0)&gt;ROUNDUP(Z84/20,0),"Lần " &amp; ROUNDUP(Z85/20,0),"")</f>
        <v/>
      </c>
      <c r="AL85" s="4" t="n"/>
      <c r="AN85" s="596" t="inlineStr">
        <is>
          <t>Coc</t>
        </is>
      </c>
      <c r="AO85" s="596" t="n">
        <v>9</v>
      </c>
      <c r="AQ85" s="594" t="n"/>
      <c r="AR85" s="595" t="n"/>
    </row>
    <row r="86" ht="19" customHeight="1" s="672">
      <c r="A86" s="4" t="n">
        <v>78</v>
      </c>
      <c r="B86" s="5" t="inlineStr">
        <is>
          <t>Cọc khoan nhồi C6 Trụ T2 (D1.2m, L=30.0m)</t>
        </is>
      </c>
      <c r="C86" s="5" t="inlineStr">
        <is>
          <t>Cọc trụ T2 L=30m (tr.70)</t>
        </is>
      </c>
      <c r="D86" s="14" t="inlineStr">
        <is>
          <t>P1B</t>
        </is>
      </c>
      <c r="E86" s="15" t="n">
        <v>10</v>
      </c>
      <c r="F86" s="4" t="inlineStr">
        <is>
          <t>CB240-T</t>
        </is>
      </c>
      <c r="G86" s="5" t="inlineStr"/>
      <c r="H86" s="16" t="n">
        <v>100.256</v>
      </c>
      <c r="I86" s="17" t="n">
        <v>1</v>
      </c>
      <c r="J86" s="18" t="n">
        <v>0.617</v>
      </c>
      <c r="K86" s="7">
        <f>ROUND(H86*I86*J86, 2)</f>
        <v/>
      </c>
      <c r="L86" s="19">
        <f>ROUND(K86/1000, 3)</f>
        <v/>
      </c>
      <c r="M86" s="728">
        <f>IF(AO86="","",IF(N(INDEX(Theo_Doi_Tan_Suat_Be_Tong!$C:$C,AO86))&lt;=0,"",INDEX(Theo_Doi_Tan_Suat_Be_Tong!$C:$C,AO86)-VLOOKUP(AN86,$AQ$2:$AR$7,2,FALSE)))</f>
        <v/>
      </c>
      <c r="N86" s="4" t="n"/>
      <c r="O86" s="20">
        <f>IF(ROUNDUP(P86/20,0)&gt;ROUNDUP(P85/20,0),"TN Ø10 (Lần " &amp; ROUNDUP(P86/20,0) &amp; ")","")</f>
        <v/>
      </c>
      <c r="P86" s="16">
        <f>ROUND(P85+IF(AND(E86&lt;=10,F86&lt;&gt;"ASTM A416"),L86,0),3)</f>
        <v/>
      </c>
      <c r="Q86" s="16">
        <f>ROUND(Q85+IF(AND(E86=12,F86&lt;&gt;"ASTM A416"),L86,0),3)</f>
        <v/>
      </c>
      <c r="R86" s="16">
        <f>ROUND(R85+IF(AND(E86=14,F86&lt;&gt;"ASTM A416"),L86,0),3)</f>
        <v/>
      </c>
      <c r="S86" s="16">
        <f>ROUND(S85+IF(AND(E86=16,F86&lt;&gt;"ASTM A416"),L86,0),3)</f>
        <v/>
      </c>
      <c r="T86" s="16">
        <f>ROUND(T85+IF(AND(E86=18,F86&lt;&gt;"ASTM A416"),L86,0),3)</f>
        <v/>
      </c>
      <c r="U86" s="16">
        <f>ROUND(U85+IF(AND(E86=20,F86&lt;&gt;"ASTM A416"),L86,0),3)</f>
        <v/>
      </c>
      <c r="V86" s="16">
        <f>ROUND(V85+IF(AND(E86=22,F86&lt;&gt;"ASTM A416"),L86,0),3)</f>
        <v/>
      </c>
      <c r="W86" s="16">
        <f>ROUND(W85+IF(AND(E86=25,F86&lt;&gt;"ASTM A416"),L86,0),3)</f>
        <v/>
      </c>
      <c r="X86" s="16">
        <f>ROUND(X85+IF(AND(E86=28,F86&lt;&gt;"ASTM A416"),L86,0),3)</f>
        <v/>
      </c>
      <c r="Y86" s="16">
        <f>ROUND(Y85+IF(AND(E86=32,F86&lt;&gt;"ASTM A416"),L86,0),3)</f>
        <v/>
      </c>
      <c r="Z86" s="16">
        <f>ROUND(Z85+IF(F86="ASTM A416",L86,0),3)</f>
        <v/>
      </c>
      <c r="AA86" s="9">
        <f>IF(ROUNDUP(P86/20,0)&gt;ROUNDUP(P85/20,0),"Lần " &amp; ROUNDUP(P86/20,0),"")</f>
        <v/>
      </c>
      <c r="AB86" s="9">
        <f>IF(ROUNDUP(Q86/20,0)&gt;ROUNDUP(Q85/20,0),"Lần " &amp; ROUNDUP(Q86/20,0),"")</f>
        <v/>
      </c>
      <c r="AC86" s="9">
        <f>IF(ROUNDUP(R86/20,0)&gt;ROUNDUP(R85/20,0),"Lần " &amp; ROUNDUP(R86/20,0),"")</f>
        <v/>
      </c>
      <c r="AD86" s="9">
        <f>IF(ROUNDUP(S86/20,0)&gt;ROUNDUP(S85/20,0),"Lần " &amp; ROUNDUP(S86/20,0),"")</f>
        <v/>
      </c>
      <c r="AE86" s="9">
        <f>IF(ROUNDUP(T86/20,0)&gt;ROUNDUP(T85/20,0),"Lần " &amp; ROUNDUP(T86/20,0),"")</f>
        <v/>
      </c>
      <c r="AF86" s="9">
        <f>IF(ROUNDUP(U86/20,0)&gt;ROUNDUP(U85/20,0),"Lần " &amp; ROUNDUP(U86/20,0),"")</f>
        <v/>
      </c>
      <c r="AG86" s="9">
        <f>IF(ROUNDUP(V86/20,0)&gt;ROUNDUP(V85/20,0),"Lần " &amp; ROUNDUP(V86/20,0),"")</f>
        <v/>
      </c>
      <c r="AH86" s="9">
        <f>IF(ROUNDUP(W86/20,0)&gt;ROUNDUP(W85/20,0),"Lần " &amp; ROUNDUP(W86/20,0),"")</f>
        <v/>
      </c>
      <c r="AI86" s="9">
        <f>IF(ROUNDUP(X86/20,0)&gt;ROUNDUP(X85/20,0),"Lần " &amp; ROUNDUP(X86/20,0),"")</f>
        <v/>
      </c>
      <c r="AJ86" s="9">
        <f>IF(ROUNDUP(Y86/20,0)&gt;ROUNDUP(Y85/20,0),"Lần " &amp; ROUNDUP(Y86/20,0),"")</f>
        <v/>
      </c>
      <c r="AK86" s="9">
        <f>IF(ROUNDUP(Z86/20,0)&gt;ROUNDUP(Z85/20,0),"Lần " &amp; ROUNDUP(Z86/20,0),"")</f>
        <v/>
      </c>
      <c r="AL86" s="4" t="n"/>
      <c r="AN86" s="596" t="inlineStr">
        <is>
          <t>Coc</t>
        </is>
      </c>
      <c r="AO86" s="596" t="n">
        <v>9</v>
      </c>
      <c r="AQ86" s="594" t="n"/>
      <c r="AR86" s="595" t="n"/>
    </row>
    <row r="87" ht="19" customHeight="1" s="672">
      <c r="A87" s="4" t="n">
        <v>79</v>
      </c>
      <c r="B87" s="5" t="inlineStr">
        <is>
          <t>Cọc khoan nhồi C6 Trụ T2 (D1.2m, L=30.0m)</t>
        </is>
      </c>
      <c r="C87" s="5" t="inlineStr">
        <is>
          <t>Cọc trụ T2 L=30m (tr.70)</t>
        </is>
      </c>
      <c r="D87" s="14" t="inlineStr">
        <is>
          <t>P1C</t>
        </is>
      </c>
      <c r="E87" s="15" t="n">
        <v>10</v>
      </c>
      <c r="F87" s="4" t="inlineStr">
        <is>
          <t>CB240-T</t>
        </is>
      </c>
      <c r="G87" s="5" t="inlineStr"/>
      <c r="H87" s="16" t="n">
        <v>3.592</v>
      </c>
      <c r="I87" s="17" t="n">
        <v>2</v>
      </c>
      <c r="J87" s="18" t="n">
        <v>0.617</v>
      </c>
      <c r="K87" s="7">
        <f>ROUND(H87*I87*J87, 2)</f>
        <v/>
      </c>
      <c r="L87" s="19">
        <f>ROUND(K87/1000, 3)</f>
        <v/>
      </c>
      <c r="M87" s="728">
        <f>IF(AO87="","",IF(N(INDEX(Theo_Doi_Tan_Suat_Be_Tong!$C:$C,AO87))&lt;=0,"",INDEX(Theo_Doi_Tan_Suat_Be_Tong!$C:$C,AO87)-VLOOKUP(AN87,$AQ$2:$AR$7,2,FALSE)))</f>
        <v/>
      </c>
      <c r="N87" s="4" t="n"/>
      <c r="O87" s="20">
        <f>IF(ROUNDUP(P87/20,0)&gt;ROUNDUP(P86/20,0),"TN Ø10 (Lần " &amp; ROUNDUP(P87/20,0) &amp; ")","")</f>
        <v/>
      </c>
      <c r="P87" s="16">
        <f>ROUND(P86+IF(AND(E87&lt;=10,F87&lt;&gt;"ASTM A416"),L87,0),3)</f>
        <v/>
      </c>
      <c r="Q87" s="16">
        <f>ROUND(Q86+IF(AND(E87=12,F87&lt;&gt;"ASTM A416"),L87,0),3)</f>
        <v/>
      </c>
      <c r="R87" s="16">
        <f>ROUND(R86+IF(AND(E87=14,F87&lt;&gt;"ASTM A416"),L87,0),3)</f>
        <v/>
      </c>
      <c r="S87" s="16">
        <f>ROUND(S86+IF(AND(E87=16,F87&lt;&gt;"ASTM A416"),L87,0),3)</f>
        <v/>
      </c>
      <c r="T87" s="16">
        <f>ROUND(T86+IF(AND(E87=18,F87&lt;&gt;"ASTM A416"),L87,0),3)</f>
        <v/>
      </c>
      <c r="U87" s="16">
        <f>ROUND(U86+IF(AND(E87=20,F87&lt;&gt;"ASTM A416"),L87,0),3)</f>
        <v/>
      </c>
      <c r="V87" s="16">
        <f>ROUND(V86+IF(AND(E87=22,F87&lt;&gt;"ASTM A416"),L87,0),3)</f>
        <v/>
      </c>
      <c r="W87" s="16">
        <f>ROUND(W86+IF(AND(E87=25,F87&lt;&gt;"ASTM A416"),L87,0),3)</f>
        <v/>
      </c>
      <c r="X87" s="16">
        <f>ROUND(X86+IF(AND(E87=28,F87&lt;&gt;"ASTM A416"),L87,0),3)</f>
        <v/>
      </c>
      <c r="Y87" s="16">
        <f>ROUND(Y86+IF(AND(E87=32,F87&lt;&gt;"ASTM A416"),L87,0),3)</f>
        <v/>
      </c>
      <c r="Z87" s="16">
        <f>ROUND(Z86+IF(F87="ASTM A416",L87,0),3)</f>
        <v/>
      </c>
      <c r="AA87" s="9">
        <f>IF(ROUNDUP(P87/20,0)&gt;ROUNDUP(P86/20,0),"Lần " &amp; ROUNDUP(P87/20,0),"")</f>
        <v/>
      </c>
      <c r="AB87" s="9">
        <f>IF(ROUNDUP(Q87/20,0)&gt;ROUNDUP(Q86/20,0),"Lần " &amp; ROUNDUP(Q87/20,0),"")</f>
        <v/>
      </c>
      <c r="AC87" s="9">
        <f>IF(ROUNDUP(R87/20,0)&gt;ROUNDUP(R86/20,0),"Lần " &amp; ROUNDUP(R87/20,0),"")</f>
        <v/>
      </c>
      <c r="AD87" s="9">
        <f>IF(ROUNDUP(S87/20,0)&gt;ROUNDUP(S86/20,0),"Lần " &amp; ROUNDUP(S87/20,0),"")</f>
        <v/>
      </c>
      <c r="AE87" s="9">
        <f>IF(ROUNDUP(T87/20,0)&gt;ROUNDUP(T86/20,0),"Lần " &amp; ROUNDUP(T87/20,0),"")</f>
        <v/>
      </c>
      <c r="AF87" s="9">
        <f>IF(ROUNDUP(U87/20,0)&gt;ROUNDUP(U86/20,0),"Lần " &amp; ROUNDUP(U87/20,0),"")</f>
        <v/>
      </c>
      <c r="AG87" s="9">
        <f>IF(ROUNDUP(V87/20,0)&gt;ROUNDUP(V86/20,0),"Lần " &amp; ROUNDUP(V87/20,0),"")</f>
        <v/>
      </c>
      <c r="AH87" s="9">
        <f>IF(ROUNDUP(W87/20,0)&gt;ROUNDUP(W86/20,0),"Lần " &amp; ROUNDUP(W87/20,0),"")</f>
        <v/>
      </c>
      <c r="AI87" s="9">
        <f>IF(ROUNDUP(X87/20,0)&gt;ROUNDUP(X86/20,0),"Lần " &amp; ROUNDUP(X87/20,0),"")</f>
        <v/>
      </c>
      <c r="AJ87" s="9">
        <f>IF(ROUNDUP(Y87/20,0)&gt;ROUNDUP(Y86/20,0),"Lần " &amp; ROUNDUP(Y87/20,0),"")</f>
        <v/>
      </c>
      <c r="AK87" s="9">
        <f>IF(ROUNDUP(Z87/20,0)&gt;ROUNDUP(Z86/20,0),"Lần " &amp; ROUNDUP(Z87/20,0),"")</f>
        <v/>
      </c>
      <c r="AL87" s="4" t="n"/>
      <c r="AN87" s="596" t="inlineStr">
        <is>
          <t>Coc</t>
        </is>
      </c>
      <c r="AO87" s="596" t="n">
        <v>9</v>
      </c>
      <c r="AQ87" s="594" t="n"/>
      <c r="AR87" s="595" t="n"/>
    </row>
    <row r="88" ht="19" customHeight="1" s="672">
      <c r="A88" s="4" t="n">
        <v>80</v>
      </c>
      <c r="B88" s="5" t="inlineStr">
        <is>
          <t>Cọc khoan nhồi C6 Trụ T2 (D1.2m, L=30.0m)</t>
        </is>
      </c>
      <c r="C88" s="5" t="inlineStr">
        <is>
          <t>Cọc trụ T2 L=30m (tr.70)</t>
        </is>
      </c>
      <c r="D88" s="14" t="inlineStr">
        <is>
          <t>P1D</t>
        </is>
      </c>
      <c r="E88" s="15" t="n">
        <v>10</v>
      </c>
      <c r="F88" s="4" t="inlineStr">
        <is>
          <t>CB240-T</t>
        </is>
      </c>
      <c r="G88" s="5" t="inlineStr"/>
      <c r="H88" s="16" t="n">
        <v>19.721</v>
      </c>
      <c r="I88" s="17" t="n">
        <v>1</v>
      </c>
      <c r="J88" s="18" t="n">
        <v>0.617</v>
      </c>
      <c r="K88" s="7">
        <f>ROUND(H88*I88*J88, 2)</f>
        <v/>
      </c>
      <c r="L88" s="19">
        <f>ROUND(K88/1000, 3)</f>
        <v/>
      </c>
      <c r="M88" s="728">
        <f>IF(AO88="","",IF(N(INDEX(Theo_Doi_Tan_Suat_Be_Tong!$C:$C,AO88))&lt;=0,"",INDEX(Theo_Doi_Tan_Suat_Be_Tong!$C:$C,AO88)-VLOOKUP(AN88,$AQ$2:$AR$7,2,FALSE)))</f>
        <v/>
      </c>
      <c r="N88" s="4" t="n"/>
      <c r="O88" s="20">
        <f>IF(ROUNDUP(P88/20,0)&gt;ROUNDUP(P87/20,0),"TN Ø10 (Lần " &amp; ROUNDUP(P88/20,0) &amp; ")","")</f>
        <v/>
      </c>
      <c r="P88" s="16">
        <f>ROUND(P87+IF(AND(E88&lt;=10,F88&lt;&gt;"ASTM A416"),L88,0),3)</f>
        <v/>
      </c>
      <c r="Q88" s="16">
        <f>ROUND(Q87+IF(AND(E88=12,F88&lt;&gt;"ASTM A416"),L88,0),3)</f>
        <v/>
      </c>
      <c r="R88" s="16">
        <f>ROUND(R87+IF(AND(E88=14,F88&lt;&gt;"ASTM A416"),L88,0),3)</f>
        <v/>
      </c>
      <c r="S88" s="16">
        <f>ROUND(S87+IF(AND(E88=16,F88&lt;&gt;"ASTM A416"),L88,0),3)</f>
        <v/>
      </c>
      <c r="T88" s="16">
        <f>ROUND(T87+IF(AND(E88=18,F88&lt;&gt;"ASTM A416"),L88,0),3)</f>
        <v/>
      </c>
      <c r="U88" s="16">
        <f>ROUND(U87+IF(AND(E88=20,F88&lt;&gt;"ASTM A416"),L88,0),3)</f>
        <v/>
      </c>
      <c r="V88" s="16">
        <f>ROUND(V87+IF(AND(E88=22,F88&lt;&gt;"ASTM A416"),L88,0),3)</f>
        <v/>
      </c>
      <c r="W88" s="16">
        <f>ROUND(W87+IF(AND(E88=25,F88&lt;&gt;"ASTM A416"),L88,0),3)</f>
        <v/>
      </c>
      <c r="X88" s="16">
        <f>ROUND(X87+IF(AND(E88=28,F88&lt;&gt;"ASTM A416"),L88,0),3)</f>
        <v/>
      </c>
      <c r="Y88" s="16">
        <f>ROUND(Y87+IF(AND(E88=32,F88&lt;&gt;"ASTM A416"),L88,0),3)</f>
        <v/>
      </c>
      <c r="Z88" s="16">
        <f>ROUND(Z87+IF(F88="ASTM A416",L88,0),3)</f>
        <v/>
      </c>
      <c r="AA88" s="9">
        <f>IF(ROUNDUP(P88/20,0)&gt;ROUNDUP(P87/20,0),"Lần " &amp; ROUNDUP(P88/20,0),"")</f>
        <v/>
      </c>
      <c r="AB88" s="9">
        <f>IF(ROUNDUP(Q88/20,0)&gt;ROUNDUP(Q87/20,0),"Lần " &amp; ROUNDUP(Q88/20,0),"")</f>
        <v/>
      </c>
      <c r="AC88" s="9">
        <f>IF(ROUNDUP(R88/20,0)&gt;ROUNDUP(R87/20,0),"Lần " &amp; ROUNDUP(R88/20,0),"")</f>
        <v/>
      </c>
      <c r="AD88" s="9">
        <f>IF(ROUNDUP(S88/20,0)&gt;ROUNDUP(S87/20,0),"Lần " &amp; ROUNDUP(S88/20,0),"")</f>
        <v/>
      </c>
      <c r="AE88" s="9">
        <f>IF(ROUNDUP(T88/20,0)&gt;ROUNDUP(T87/20,0),"Lần " &amp; ROUNDUP(T88/20,0),"")</f>
        <v/>
      </c>
      <c r="AF88" s="9">
        <f>IF(ROUNDUP(U88/20,0)&gt;ROUNDUP(U87/20,0),"Lần " &amp; ROUNDUP(U88/20,0),"")</f>
        <v/>
      </c>
      <c r="AG88" s="9">
        <f>IF(ROUNDUP(V88/20,0)&gt;ROUNDUP(V87/20,0),"Lần " &amp; ROUNDUP(V88/20,0),"")</f>
        <v/>
      </c>
      <c r="AH88" s="9">
        <f>IF(ROUNDUP(W88/20,0)&gt;ROUNDUP(W87/20,0),"Lần " &amp; ROUNDUP(W88/20,0),"")</f>
        <v/>
      </c>
      <c r="AI88" s="9">
        <f>IF(ROUNDUP(X88/20,0)&gt;ROUNDUP(X87/20,0),"Lần " &amp; ROUNDUP(X88/20,0),"")</f>
        <v/>
      </c>
      <c r="AJ88" s="9">
        <f>IF(ROUNDUP(Y88/20,0)&gt;ROUNDUP(Y87/20,0),"Lần " &amp; ROUNDUP(Y88/20,0),"")</f>
        <v/>
      </c>
      <c r="AK88" s="9">
        <f>IF(ROUNDUP(Z88/20,0)&gt;ROUNDUP(Z87/20,0),"Lần " &amp; ROUNDUP(Z88/20,0),"")</f>
        <v/>
      </c>
      <c r="AL88" s="4" t="n"/>
      <c r="AN88" s="596" t="inlineStr">
        <is>
          <t>Coc</t>
        </is>
      </c>
      <c r="AO88" s="596" t="n">
        <v>9</v>
      </c>
      <c r="AQ88" s="594" t="n"/>
      <c r="AR88" s="595" t="n"/>
    </row>
    <row r="89" ht="19" customHeight="1" s="672">
      <c r="A89" s="4" t="n">
        <v>81</v>
      </c>
      <c r="B89" s="5" t="inlineStr">
        <is>
          <t>Cọc khoan nhồi C6 Trụ T2 (D1.2m, L=30.0m)</t>
        </is>
      </c>
      <c r="C89" s="5" t="inlineStr">
        <is>
          <t>Cọc trụ T2 L=30m (tr.70)</t>
        </is>
      </c>
      <c r="D89" s="14" t="inlineStr">
        <is>
          <t>P2B</t>
        </is>
      </c>
      <c r="E89" s="15" t="n">
        <v>25</v>
      </c>
      <c r="F89" s="4" t="inlineStr">
        <is>
          <t>CB400-V</t>
        </is>
      </c>
      <c r="G89" s="5" t="inlineStr"/>
      <c r="H89" s="16" t="n">
        <v>2.985</v>
      </c>
      <c r="I89" s="17" t="n">
        <v>12</v>
      </c>
      <c r="J89" s="18" t="n">
        <v>3.853</v>
      </c>
      <c r="K89" s="7">
        <f>ROUND(H89*I89*J89, 2)</f>
        <v/>
      </c>
      <c r="L89" s="19">
        <f>ROUND(K89/1000, 3)</f>
        <v/>
      </c>
      <c r="M89" s="728">
        <f>IF(AO89="","",IF(N(INDEX(Theo_Doi_Tan_Suat_Be_Tong!$C:$C,AO89))&lt;=0,"",INDEX(Theo_Doi_Tan_Suat_Be_Tong!$C:$C,AO89)-VLOOKUP(AN89,$AQ$2:$AR$7,2,FALSE)))</f>
        <v/>
      </c>
      <c r="N89" s="4" t="n"/>
      <c r="O89" s="20">
        <f>IF(ROUNDUP(W89/20,0)&gt;ROUNDUP(W88/20,0),"TN Ø25 (Lần " &amp; ROUNDUP(W89/20,0) &amp; ")","")</f>
        <v/>
      </c>
      <c r="P89" s="16">
        <f>ROUND(P88+IF(AND(E89&lt;=10,F89&lt;&gt;"ASTM A416"),L89,0),3)</f>
        <v/>
      </c>
      <c r="Q89" s="16">
        <f>ROUND(Q88+IF(AND(E89=12,F89&lt;&gt;"ASTM A416"),L89,0),3)</f>
        <v/>
      </c>
      <c r="R89" s="16">
        <f>ROUND(R88+IF(AND(E89=14,F89&lt;&gt;"ASTM A416"),L89,0),3)</f>
        <v/>
      </c>
      <c r="S89" s="16">
        <f>ROUND(S88+IF(AND(E89=16,F89&lt;&gt;"ASTM A416"),L89,0),3)</f>
        <v/>
      </c>
      <c r="T89" s="16">
        <f>ROUND(T88+IF(AND(E89=18,F89&lt;&gt;"ASTM A416"),L89,0),3)</f>
        <v/>
      </c>
      <c r="U89" s="16">
        <f>ROUND(U88+IF(AND(E89=20,F89&lt;&gt;"ASTM A416"),L89,0),3)</f>
        <v/>
      </c>
      <c r="V89" s="16">
        <f>ROUND(V88+IF(AND(E89=22,F89&lt;&gt;"ASTM A416"),L89,0),3)</f>
        <v/>
      </c>
      <c r="W89" s="16">
        <f>ROUND(W88+IF(AND(E89=25,F89&lt;&gt;"ASTM A416"),L89,0),3)</f>
        <v/>
      </c>
      <c r="X89" s="16">
        <f>ROUND(X88+IF(AND(E89=28,F89&lt;&gt;"ASTM A416"),L89,0),3)</f>
        <v/>
      </c>
      <c r="Y89" s="16">
        <f>ROUND(Y88+IF(AND(E89=32,F89&lt;&gt;"ASTM A416"),L89,0),3)</f>
        <v/>
      </c>
      <c r="Z89" s="16">
        <f>ROUND(Z88+IF(F89="ASTM A416",L89,0),3)</f>
        <v/>
      </c>
      <c r="AA89" s="9">
        <f>IF(ROUNDUP(P89/20,0)&gt;ROUNDUP(P88/20,0),"Lần " &amp; ROUNDUP(P89/20,0),"")</f>
        <v/>
      </c>
      <c r="AB89" s="9">
        <f>IF(ROUNDUP(Q89/20,0)&gt;ROUNDUP(Q88/20,0),"Lần " &amp; ROUNDUP(Q89/20,0),"")</f>
        <v/>
      </c>
      <c r="AC89" s="9">
        <f>IF(ROUNDUP(R89/20,0)&gt;ROUNDUP(R88/20,0),"Lần " &amp; ROUNDUP(R89/20,0),"")</f>
        <v/>
      </c>
      <c r="AD89" s="9">
        <f>IF(ROUNDUP(S89/20,0)&gt;ROUNDUP(S88/20,0),"Lần " &amp; ROUNDUP(S89/20,0),"")</f>
        <v/>
      </c>
      <c r="AE89" s="9">
        <f>IF(ROUNDUP(T89/20,0)&gt;ROUNDUP(T88/20,0),"Lần " &amp; ROUNDUP(T89/20,0),"")</f>
        <v/>
      </c>
      <c r="AF89" s="9">
        <f>IF(ROUNDUP(U89/20,0)&gt;ROUNDUP(U88/20,0),"Lần " &amp; ROUNDUP(U89/20,0),"")</f>
        <v/>
      </c>
      <c r="AG89" s="9">
        <f>IF(ROUNDUP(V89/20,0)&gt;ROUNDUP(V88/20,0),"Lần " &amp; ROUNDUP(V89/20,0),"")</f>
        <v/>
      </c>
      <c r="AH89" s="9">
        <f>IF(ROUNDUP(W89/20,0)&gt;ROUNDUP(W88/20,0),"Lần " &amp; ROUNDUP(W89/20,0),"")</f>
        <v/>
      </c>
      <c r="AI89" s="9">
        <f>IF(ROUNDUP(X89/20,0)&gt;ROUNDUP(X88/20,0),"Lần " &amp; ROUNDUP(X89/20,0),"")</f>
        <v/>
      </c>
      <c r="AJ89" s="9">
        <f>IF(ROUNDUP(Y89/20,0)&gt;ROUNDUP(Y88/20,0),"Lần " &amp; ROUNDUP(Y89/20,0),"")</f>
        <v/>
      </c>
      <c r="AK89" s="9">
        <f>IF(ROUNDUP(Z89/20,0)&gt;ROUNDUP(Z88/20,0),"Lần " &amp; ROUNDUP(Z89/20,0),"")</f>
        <v/>
      </c>
      <c r="AL89" s="4" t="n"/>
      <c r="AN89" s="596" t="inlineStr">
        <is>
          <t>Coc</t>
        </is>
      </c>
      <c r="AO89" s="596" t="n">
        <v>9</v>
      </c>
      <c r="AQ89" s="594" t="n"/>
      <c r="AR89" s="595" t="n"/>
    </row>
    <row r="90" ht="19" customHeight="1" s="672">
      <c r="A90" s="4" t="n">
        <v>82</v>
      </c>
      <c r="B90" s="5" t="inlineStr">
        <is>
          <t>Cọc khoan nhồi C6 Trụ T2 (D1.2m, L=30.0m)</t>
        </is>
      </c>
      <c r="C90" s="5" t="inlineStr">
        <is>
          <t>Cọc trụ T2 L=30m (tr.70)</t>
        </is>
      </c>
      <c r="D90" s="14" t="inlineStr">
        <is>
          <t>P3</t>
        </is>
      </c>
      <c r="E90" s="15" t="n">
        <v>25</v>
      </c>
      <c r="F90" s="4" t="inlineStr">
        <is>
          <t>CB400-V</t>
        </is>
      </c>
      <c r="G90" s="5" t="inlineStr"/>
      <c r="H90" s="16" t="n">
        <v>10.7</v>
      </c>
      <c r="I90" s="17" t="n">
        <v>12</v>
      </c>
      <c r="J90" s="18" t="n">
        <v>3.853</v>
      </c>
      <c r="K90" s="7">
        <f>ROUND(H90*I90*J90, 2)</f>
        <v/>
      </c>
      <c r="L90" s="19">
        <f>ROUND(K90/1000, 3)</f>
        <v/>
      </c>
      <c r="M90" s="728">
        <f>IF(AO90="","",IF(N(INDEX(Theo_Doi_Tan_Suat_Be_Tong!$C:$C,AO90))&lt;=0,"",INDEX(Theo_Doi_Tan_Suat_Be_Tong!$C:$C,AO90)-VLOOKUP(AN90,$AQ$2:$AR$7,2,FALSE)))</f>
        <v/>
      </c>
      <c r="N90" s="4" t="n"/>
      <c r="O90" s="20">
        <f>IF(ROUNDUP(W90/20,0)&gt;ROUNDUP(W89/20,0),"TN Ø25 (Lần " &amp; ROUNDUP(W90/20,0) &amp; ")","")</f>
        <v/>
      </c>
      <c r="P90" s="16">
        <f>ROUND(P89+IF(AND(E90&lt;=10,F90&lt;&gt;"ASTM A416"),L90,0),3)</f>
        <v/>
      </c>
      <c r="Q90" s="16">
        <f>ROUND(Q89+IF(AND(E90=12,F90&lt;&gt;"ASTM A416"),L90,0),3)</f>
        <v/>
      </c>
      <c r="R90" s="16">
        <f>ROUND(R89+IF(AND(E90=14,F90&lt;&gt;"ASTM A416"),L90,0),3)</f>
        <v/>
      </c>
      <c r="S90" s="16">
        <f>ROUND(S89+IF(AND(E90=16,F90&lt;&gt;"ASTM A416"),L90,0),3)</f>
        <v/>
      </c>
      <c r="T90" s="16">
        <f>ROUND(T89+IF(AND(E90=18,F90&lt;&gt;"ASTM A416"),L90,0),3)</f>
        <v/>
      </c>
      <c r="U90" s="16">
        <f>ROUND(U89+IF(AND(E90=20,F90&lt;&gt;"ASTM A416"),L90,0),3)</f>
        <v/>
      </c>
      <c r="V90" s="16">
        <f>ROUND(V89+IF(AND(E90=22,F90&lt;&gt;"ASTM A416"),L90,0),3)</f>
        <v/>
      </c>
      <c r="W90" s="16">
        <f>ROUND(W89+IF(AND(E90=25,F90&lt;&gt;"ASTM A416"),L90,0),3)</f>
        <v/>
      </c>
      <c r="X90" s="16">
        <f>ROUND(X89+IF(AND(E90=28,F90&lt;&gt;"ASTM A416"),L90,0),3)</f>
        <v/>
      </c>
      <c r="Y90" s="16">
        <f>ROUND(Y89+IF(AND(E90=32,F90&lt;&gt;"ASTM A416"),L90,0),3)</f>
        <v/>
      </c>
      <c r="Z90" s="16">
        <f>ROUND(Z89+IF(F90="ASTM A416",L90,0),3)</f>
        <v/>
      </c>
      <c r="AA90" s="9">
        <f>IF(ROUNDUP(P90/20,0)&gt;ROUNDUP(P89/20,0),"Lần " &amp; ROUNDUP(P90/20,0),"")</f>
        <v/>
      </c>
      <c r="AB90" s="9">
        <f>IF(ROUNDUP(Q90/20,0)&gt;ROUNDUP(Q89/20,0),"Lần " &amp; ROUNDUP(Q90/20,0),"")</f>
        <v/>
      </c>
      <c r="AC90" s="9">
        <f>IF(ROUNDUP(R90/20,0)&gt;ROUNDUP(R89/20,0),"Lần " &amp; ROUNDUP(R90/20,0),"")</f>
        <v/>
      </c>
      <c r="AD90" s="9">
        <f>IF(ROUNDUP(S90/20,0)&gt;ROUNDUP(S89/20,0),"Lần " &amp; ROUNDUP(S90/20,0),"")</f>
        <v/>
      </c>
      <c r="AE90" s="9">
        <f>IF(ROUNDUP(T90/20,0)&gt;ROUNDUP(T89/20,0),"Lần " &amp; ROUNDUP(T90/20,0),"")</f>
        <v/>
      </c>
      <c r="AF90" s="9">
        <f>IF(ROUNDUP(U90/20,0)&gt;ROUNDUP(U89/20,0),"Lần " &amp; ROUNDUP(U90/20,0),"")</f>
        <v/>
      </c>
      <c r="AG90" s="9">
        <f>IF(ROUNDUP(V90/20,0)&gt;ROUNDUP(V89/20,0),"Lần " &amp; ROUNDUP(V90/20,0),"")</f>
        <v/>
      </c>
      <c r="AH90" s="9">
        <f>IF(ROUNDUP(W90/20,0)&gt;ROUNDUP(W89/20,0),"Lần " &amp; ROUNDUP(W90/20,0),"")</f>
        <v/>
      </c>
      <c r="AI90" s="9">
        <f>IF(ROUNDUP(X90/20,0)&gt;ROUNDUP(X89/20,0),"Lần " &amp; ROUNDUP(X90/20,0),"")</f>
        <v/>
      </c>
      <c r="AJ90" s="9">
        <f>IF(ROUNDUP(Y90/20,0)&gt;ROUNDUP(Y89/20,0),"Lần " &amp; ROUNDUP(Y90/20,0),"")</f>
        <v/>
      </c>
      <c r="AK90" s="9">
        <f>IF(ROUNDUP(Z90/20,0)&gt;ROUNDUP(Z89/20,0),"Lần " &amp; ROUNDUP(Z90/20,0),"")</f>
        <v/>
      </c>
      <c r="AL90" s="4" t="n"/>
      <c r="AN90" s="596" t="inlineStr">
        <is>
          <t>Coc</t>
        </is>
      </c>
      <c r="AO90" s="596" t="n">
        <v>9</v>
      </c>
      <c r="AQ90" s="594" t="n"/>
      <c r="AR90" s="595" t="n"/>
    </row>
    <row r="91" ht="19" customHeight="1" s="672">
      <c r="A91" s="4" t="n">
        <v>83</v>
      </c>
      <c r="B91" s="5" t="inlineStr">
        <is>
          <t>Cọc khoan nhồi C6 Trụ T2 (D1.2m, L=30.0m)</t>
        </is>
      </c>
      <c r="C91" s="5" t="inlineStr">
        <is>
          <t>Cọc trụ T2 L=30m (tr.70)</t>
        </is>
      </c>
      <c r="D91" s="14" t="inlineStr">
        <is>
          <t>P4</t>
        </is>
      </c>
      <c r="E91" s="15" t="n">
        <v>25</v>
      </c>
      <c r="F91" s="4" t="inlineStr">
        <is>
          <t>CB400-V</t>
        </is>
      </c>
      <c r="G91" s="5" t="inlineStr"/>
      <c r="H91" s="16" t="n">
        <v>11.7</v>
      </c>
      <c r="I91" s="17" t="n">
        <v>36</v>
      </c>
      <c r="J91" s="18" t="n">
        <v>3.853</v>
      </c>
      <c r="K91" s="7">
        <f>ROUND(H91*I91*J91, 2)</f>
        <v/>
      </c>
      <c r="L91" s="19">
        <f>ROUND(K91/1000, 3)</f>
        <v/>
      </c>
      <c r="M91" s="728">
        <f>IF(AO91="","",IF(N(INDEX(Theo_Doi_Tan_Suat_Be_Tong!$C:$C,AO91))&lt;=0,"",INDEX(Theo_Doi_Tan_Suat_Be_Tong!$C:$C,AO91)-VLOOKUP(AN91,$AQ$2:$AR$7,2,FALSE)))</f>
        <v/>
      </c>
      <c r="N91" s="4" t="n"/>
      <c r="O91" s="20">
        <f>IF(ROUNDUP(W91/20,0)&gt;ROUNDUP(W90/20,0),"TN Ø25 (Lần " &amp; ROUNDUP(W91/20,0) &amp; ")","")</f>
        <v/>
      </c>
      <c r="P91" s="16">
        <f>ROUND(P90+IF(AND(E91&lt;=10,F91&lt;&gt;"ASTM A416"),L91,0),3)</f>
        <v/>
      </c>
      <c r="Q91" s="16">
        <f>ROUND(Q90+IF(AND(E91=12,F91&lt;&gt;"ASTM A416"),L91,0),3)</f>
        <v/>
      </c>
      <c r="R91" s="16">
        <f>ROUND(R90+IF(AND(E91=14,F91&lt;&gt;"ASTM A416"),L91,0),3)</f>
        <v/>
      </c>
      <c r="S91" s="16">
        <f>ROUND(S90+IF(AND(E91=16,F91&lt;&gt;"ASTM A416"),L91,0),3)</f>
        <v/>
      </c>
      <c r="T91" s="16">
        <f>ROUND(T90+IF(AND(E91=18,F91&lt;&gt;"ASTM A416"),L91,0),3)</f>
        <v/>
      </c>
      <c r="U91" s="16">
        <f>ROUND(U90+IF(AND(E91=20,F91&lt;&gt;"ASTM A416"),L91,0),3)</f>
        <v/>
      </c>
      <c r="V91" s="16">
        <f>ROUND(V90+IF(AND(E91=22,F91&lt;&gt;"ASTM A416"),L91,0),3)</f>
        <v/>
      </c>
      <c r="W91" s="16">
        <f>ROUND(W90+IF(AND(E91=25,F91&lt;&gt;"ASTM A416"),L91,0),3)</f>
        <v/>
      </c>
      <c r="X91" s="16">
        <f>ROUND(X90+IF(AND(E91=28,F91&lt;&gt;"ASTM A416"),L91,0),3)</f>
        <v/>
      </c>
      <c r="Y91" s="16">
        <f>ROUND(Y90+IF(AND(E91=32,F91&lt;&gt;"ASTM A416"),L91,0),3)</f>
        <v/>
      </c>
      <c r="Z91" s="16">
        <f>ROUND(Z90+IF(F91="ASTM A416",L91,0),3)</f>
        <v/>
      </c>
      <c r="AA91" s="9">
        <f>IF(ROUNDUP(P91/20,0)&gt;ROUNDUP(P90/20,0),"Lần " &amp; ROUNDUP(P91/20,0),"")</f>
        <v/>
      </c>
      <c r="AB91" s="9">
        <f>IF(ROUNDUP(Q91/20,0)&gt;ROUNDUP(Q90/20,0),"Lần " &amp; ROUNDUP(Q91/20,0),"")</f>
        <v/>
      </c>
      <c r="AC91" s="9">
        <f>IF(ROUNDUP(R91/20,0)&gt;ROUNDUP(R90/20,0),"Lần " &amp; ROUNDUP(R91/20,0),"")</f>
        <v/>
      </c>
      <c r="AD91" s="9">
        <f>IF(ROUNDUP(S91/20,0)&gt;ROUNDUP(S90/20,0),"Lần " &amp; ROUNDUP(S91/20,0),"")</f>
        <v/>
      </c>
      <c r="AE91" s="9">
        <f>IF(ROUNDUP(T91/20,0)&gt;ROUNDUP(T90/20,0),"Lần " &amp; ROUNDUP(T91/20,0),"")</f>
        <v/>
      </c>
      <c r="AF91" s="9">
        <f>IF(ROUNDUP(U91/20,0)&gt;ROUNDUP(U90/20,0),"Lần " &amp; ROUNDUP(U91/20,0),"")</f>
        <v/>
      </c>
      <c r="AG91" s="9">
        <f>IF(ROUNDUP(V91/20,0)&gt;ROUNDUP(V90/20,0),"Lần " &amp; ROUNDUP(V91/20,0),"")</f>
        <v/>
      </c>
      <c r="AH91" s="9">
        <f>IF(ROUNDUP(W91/20,0)&gt;ROUNDUP(W90/20,0),"Lần " &amp; ROUNDUP(W91/20,0),"")</f>
        <v/>
      </c>
      <c r="AI91" s="9">
        <f>IF(ROUNDUP(X91/20,0)&gt;ROUNDUP(X90/20,0),"Lần " &amp; ROUNDUP(X91/20,0),"")</f>
        <v/>
      </c>
      <c r="AJ91" s="9">
        <f>IF(ROUNDUP(Y91/20,0)&gt;ROUNDUP(Y90/20,0),"Lần " &amp; ROUNDUP(Y91/20,0),"")</f>
        <v/>
      </c>
      <c r="AK91" s="9">
        <f>IF(ROUNDUP(Z91/20,0)&gt;ROUNDUP(Z90/20,0),"Lần " &amp; ROUNDUP(Z91/20,0),"")</f>
        <v/>
      </c>
      <c r="AL91" s="4" t="n"/>
      <c r="AN91" s="596" t="inlineStr">
        <is>
          <t>Coc</t>
        </is>
      </c>
      <c r="AO91" s="596" t="n">
        <v>9</v>
      </c>
      <c r="AQ91" s="594" t="n"/>
      <c r="AR91" s="595" t="n"/>
    </row>
    <row r="92" ht="19" customHeight="1" s="672">
      <c r="A92" s="4" t="n">
        <v>84</v>
      </c>
      <c r="B92" s="5" t="inlineStr">
        <is>
          <t>Cọc khoan nhồi C6 Trụ T2 (D1.2m, L=30.0m)</t>
        </is>
      </c>
      <c r="C92" s="5" t="inlineStr">
        <is>
          <t>Cọc trụ T2 L=30m (tr.70)</t>
        </is>
      </c>
      <c r="D92" s="14" t="inlineStr">
        <is>
          <t>P6</t>
        </is>
      </c>
      <c r="E92" s="15" t="n">
        <v>25</v>
      </c>
      <c r="F92" s="4" t="inlineStr">
        <is>
          <t>CB400-V</t>
        </is>
      </c>
      <c r="G92" s="5" t="inlineStr"/>
      <c r="H92" s="16" t="n">
        <v>9.733000000000001</v>
      </c>
      <c r="I92" s="17" t="n">
        <v>12</v>
      </c>
      <c r="J92" s="18" t="n">
        <v>3.853</v>
      </c>
      <c r="K92" s="7">
        <f>ROUND(H92*I92*J92, 2)</f>
        <v/>
      </c>
      <c r="L92" s="19">
        <f>ROUND(K92/1000, 3)</f>
        <v/>
      </c>
      <c r="M92" s="728">
        <f>IF(AO92="","",IF(N(INDEX(Theo_Doi_Tan_Suat_Be_Tong!$C:$C,AO92))&lt;=0,"",INDEX(Theo_Doi_Tan_Suat_Be_Tong!$C:$C,AO92)-VLOOKUP(AN92,$AQ$2:$AR$7,2,FALSE)))</f>
        <v/>
      </c>
      <c r="N92" s="4" t="n"/>
      <c r="O92" s="20">
        <f>IF(ROUNDUP(W92/20,0)&gt;ROUNDUP(W91/20,0),"TN Ø25 (Lần " &amp; ROUNDUP(W92/20,0) &amp; ")","")</f>
        <v/>
      </c>
      <c r="P92" s="16">
        <f>ROUND(P91+IF(AND(E92&lt;=10,F92&lt;&gt;"ASTM A416"),L92,0),3)</f>
        <v/>
      </c>
      <c r="Q92" s="16">
        <f>ROUND(Q91+IF(AND(E92=12,F92&lt;&gt;"ASTM A416"),L92,0),3)</f>
        <v/>
      </c>
      <c r="R92" s="16">
        <f>ROUND(R91+IF(AND(E92=14,F92&lt;&gt;"ASTM A416"),L92,0),3)</f>
        <v/>
      </c>
      <c r="S92" s="16">
        <f>ROUND(S91+IF(AND(E92=16,F92&lt;&gt;"ASTM A416"),L92,0),3)</f>
        <v/>
      </c>
      <c r="T92" s="16">
        <f>ROUND(T91+IF(AND(E92=18,F92&lt;&gt;"ASTM A416"),L92,0),3)</f>
        <v/>
      </c>
      <c r="U92" s="16">
        <f>ROUND(U91+IF(AND(E92=20,F92&lt;&gt;"ASTM A416"),L92,0),3)</f>
        <v/>
      </c>
      <c r="V92" s="16">
        <f>ROUND(V91+IF(AND(E92=22,F92&lt;&gt;"ASTM A416"),L92,0),3)</f>
        <v/>
      </c>
      <c r="W92" s="16">
        <f>ROUND(W91+IF(AND(E92=25,F92&lt;&gt;"ASTM A416"),L92,0),3)</f>
        <v/>
      </c>
      <c r="X92" s="16">
        <f>ROUND(X91+IF(AND(E92=28,F92&lt;&gt;"ASTM A416"),L92,0),3)</f>
        <v/>
      </c>
      <c r="Y92" s="16">
        <f>ROUND(Y91+IF(AND(E92=32,F92&lt;&gt;"ASTM A416"),L92,0),3)</f>
        <v/>
      </c>
      <c r="Z92" s="16">
        <f>ROUND(Z91+IF(F92="ASTM A416",L92,0),3)</f>
        <v/>
      </c>
      <c r="AA92" s="9">
        <f>IF(ROUNDUP(P92/20,0)&gt;ROUNDUP(P91/20,0),"Lần " &amp; ROUNDUP(P92/20,0),"")</f>
        <v/>
      </c>
      <c r="AB92" s="9">
        <f>IF(ROUNDUP(Q92/20,0)&gt;ROUNDUP(Q91/20,0),"Lần " &amp; ROUNDUP(Q92/20,0),"")</f>
        <v/>
      </c>
      <c r="AC92" s="9">
        <f>IF(ROUNDUP(R92/20,0)&gt;ROUNDUP(R91/20,0),"Lần " &amp; ROUNDUP(R92/20,0),"")</f>
        <v/>
      </c>
      <c r="AD92" s="9">
        <f>IF(ROUNDUP(S92/20,0)&gt;ROUNDUP(S91/20,0),"Lần " &amp; ROUNDUP(S92/20,0),"")</f>
        <v/>
      </c>
      <c r="AE92" s="9">
        <f>IF(ROUNDUP(T92/20,0)&gt;ROUNDUP(T91/20,0),"Lần " &amp; ROUNDUP(T92/20,0),"")</f>
        <v/>
      </c>
      <c r="AF92" s="9">
        <f>IF(ROUNDUP(U92/20,0)&gt;ROUNDUP(U91/20,0),"Lần " &amp; ROUNDUP(U92/20,0),"")</f>
        <v/>
      </c>
      <c r="AG92" s="9">
        <f>IF(ROUNDUP(V92/20,0)&gt;ROUNDUP(V91/20,0),"Lần " &amp; ROUNDUP(V92/20,0),"")</f>
        <v/>
      </c>
      <c r="AH92" s="9">
        <f>IF(ROUNDUP(W92/20,0)&gt;ROUNDUP(W91/20,0),"Lần " &amp; ROUNDUP(W92/20,0),"")</f>
        <v/>
      </c>
      <c r="AI92" s="9">
        <f>IF(ROUNDUP(X92/20,0)&gt;ROUNDUP(X91/20,0),"Lần " &amp; ROUNDUP(X92/20,0),"")</f>
        <v/>
      </c>
      <c r="AJ92" s="9">
        <f>IF(ROUNDUP(Y92/20,0)&gt;ROUNDUP(Y91/20,0),"Lần " &amp; ROUNDUP(Y92/20,0),"")</f>
        <v/>
      </c>
      <c r="AK92" s="9">
        <f>IF(ROUNDUP(Z92/20,0)&gt;ROUNDUP(Z91/20,0),"Lần " &amp; ROUNDUP(Z92/20,0),"")</f>
        <v/>
      </c>
      <c r="AL92" s="4" t="n"/>
      <c r="AN92" s="596" t="inlineStr">
        <is>
          <t>Coc</t>
        </is>
      </c>
      <c r="AO92" s="596" t="n">
        <v>9</v>
      </c>
      <c r="AQ92" s="594" t="n"/>
      <c r="AR92" s="595" t="n"/>
    </row>
    <row r="93" ht="19" customHeight="1" s="672">
      <c r="A93" s="4" t="n">
        <v>85</v>
      </c>
      <c r="B93" s="5" t="inlineStr">
        <is>
          <t>Cọc khoan nhồi C6 Trụ T2 (D1.2m, L=30.0m)</t>
        </is>
      </c>
      <c r="C93" s="5" t="inlineStr">
        <is>
          <t>Cọc trụ T2 L=30m (tr.70)</t>
        </is>
      </c>
      <c r="D93" s="14" t="inlineStr">
        <is>
          <t>P7</t>
        </is>
      </c>
      <c r="E93" s="15" t="n">
        <v>25</v>
      </c>
      <c r="F93" s="4" t="inlineStr">
        <is>
          <t>CB400-V</t>
        </is>
      </c>
      <c r="G93" s="5" t="inlineStr"/>
      <c r="H93" s="16" t="n">
        <v>10.733</v>
      </c>
      <c r="I93" s="17" t="n">
        <v>12</v>
      </c>
      <c r="J93" s="18" t="n">
        <v>3.853</v>
      </c>
      <c r="K93" s="7">
        <f>ROUND(H93*I93*J93, 2)</f>
        <v/>
      </c>
      <c r="L93" s="19">
        <f>ROUND(K93/1000, 3)</f>
        <v/>
      </c>
      <c r="M93" s="728">
        <f>IF(AO93="","",IF(N(INDEX(Theo_Doi_Tan_Suat_Be_Tong!$C:$C,AO93))&lt;=0,"",INDEX(Theo_Doi_Tan_Suat_Be_Tong!$C:$C,AO93)-VLOOKUP(AN93,$AQ$2:$AR$7,2,FALSE)))</f>
        <v/>
      </c>
      <c r="N93" s="4" t="n"/>
      <c r="O93" s="20">
        <f>IF(ROUNDUP(W93/20,0)&gt;ROUNDUP(W92/20,0),"TN Ø25 (Lần " &amp; ROUNDUP(W93/20,0) &amp; ")","")</f>
        <v/>
      </c>
      <c r="P93" s="16">
        <f>ROUND(P92+IF(AND(E93&lt;=10,F93&lt;&gt;"ASTM A416"),L93,0),3)</f>
        <v/>
      </c>
      <c r="Q93" s="16">
        <f>ROUND(Q92+IF(AND(E93=12,F93&lt;&gt;"ASTM A416"),L93,0),3)</f>
        <v/>
      </c>
      <c r="R93" s="16">
        <f>ROUND(R92+IF(AND(E93=14,F93&lt;&gt;"ASTM A416"),L93,0),3)</f>
        <v/>
      </c>
      <c r="S93" s="16">
        <f>ROUND(S92+IF(AND(E93=16,F93&lt;&gt;"ASTM A416"),L93,0),3)</f>
        <v/>
      </c>
      <c r="T93" s="16">
        <f>ROUND(T92+IF(AND(E93=18,F93&lt;&gt;"ASTM A416"),L93,0),3)</f>
        <v/>
      </c>
      <c r="U93" s="16">
        <f>ROUND(U92+IF(AND(E93=20,F93&lt;&gt;"ASTM A416"),L93,0),3)</f>
        <v/>
      </c>
      <c r="V93" s="16">
        <f>ROUND(V92+IF(AND(E93=22,F93&lt;&gt;"ASTM A416"),L93,0),3)</f>
        <v/>
      </c>
      <c r="W93" s="16">
        <f>ROUND(W92+IF(AND(E93=25,F93&lt;&gt;"ASTM A416"),L93,0),3)</f>
        <v/>
      </c>
      <c r="X93" s="16">
        <f>ROUND(X92+IF(AND(E93=28,F93&lt;&gt;"ASTM A416"),L93,0),3)</f>
        <v/>
      </c>
      <c r="Y93" s="16">
        <f>ROUND(Y92+IF(AND(E93=32,F93&lt;&gt;"ASTM A416"),L93,0),3)</f>
        <v/>
      </c>
      <c r="Z93" s="16">
        <f>ROUND(Z92+IF(F93="ASTM A416",L93,0),3)</f>
        <v/>
      </c>
      <c r="AA93" s="9">
        <f>IF(ROUNDUP(P93/20,0)&gt;ROUNDUP(P92/20,0),"Lần " &amp; ROUNDUP(P93/20,0),"")</f>
        <v/>
      </c>
      <c r="AB93" s="9">
        <f>IF(ROUNDUP(Q93/20,0)&gt;ROUNDUP(Q92/20,0),"Lần " &amp; ROUNDUP(Q93/20,0),"")</f>
        <v/>
      </c>
      <c r="AC93" s="9">
        <f>IF(ROUNDUP(R93/20,0)&gt;ROUNDUP(R92/20,0),"Lần " &amp; ROUNDUP(R93/20,0),"")</f>
        <v/>
      </c>
      <c r="AD93" s="9">
        <f>IF(ROUNDUP(S93/20,0)&gt;ROUNDUP(S92/20,0),"Lần " &amp; ROUNDUP(S93/20,0),"")</f>
        <v/>
      </c>
      <c r="AE93" s="9">
        <f>IF(ROUNDUP(T93/20,0)&gt;ROUNDUP(T92/20,0),"Lần " &amp; ROUNDUP(T93/20,0),"")</f>
        <v/>
      </c>
      <c r="AF93" s="9">
        <f>IF(ROUNDUP(U93/20,0)&gt;ROUNDUP(U92/20,0),"Lần " &amp; ROUNDUP(U93/20,0),"")</f>
        <v/>
      </c>
      <c r="AG93" s="9">
        <f>IF(ROUNDUP(V93/20,0)&gt;ROUNDUP(V92/20,0),"Lần " &amp; ROUNDUP(V93/20,0),"")</f>
        <v/>
      </c>
      <c r="AH93" s="9">
        <f>IF(ROUNDUP(W93/20,0)&gt;ROUNDUP(W92/20,0),"Lần " &amp; ROUNDUP(W93/20,0),"")</f>
        <v/>
      </c>
      <c r="AI93" s="9">
        <f>IF(ROUNDUP(X93/20,0)&gt;ROUNDUP(X92/20,0),"Lần " &amp; ROUNDUP(X93/20,0),"")</f>
        <v/>
      </c>
      <c r="AJ93" s="9">
        <f>IF(ROUNDUP(Y93/20,0)&gt;ROUNDUP(Y92/20,0),"Lần " &amp; ROUNDUP(Y93/20,0),"")</f>
        <v/>
      </c>
      <c r="AK93" s="9">
        <f>IF(ROUNDUP(Z93/20,0)&gt;ROUNDUP(Z92/20,0),"Lần " &amp; ROUNDUP(Z93/20,0),"")</f>
        <v/>
      </c>
      <c r="AL93" s="4" t="n"/>
      <c r="AN93" s="596" t="inlineStr">
        <is>
          <t>Coc</t>
        </is>
      </c>
      <c r="AO93" s="596" t="n">
        <v>9</v>
      </c>
      <c r="AQ93" s="594" t="n"/>
      <c r="AR93" s="595" t="n"/>
    </row>
    <row r="94" ht="19" customHeight="1" s="672">
      <c r="A94" s="4" t="n">
        <v>86</v>
      </c>
      <c r="B94" s="5" t="inlineStr">
        <is>
          <t>Cọc khoan nhồi C6 Trụ T2 (D1.2m, L=30.0m)</t>
        </is>
      </c>
      <c r="C94" s="5" t="inlineStr">
        <is>
          <t>Cọc trụ T2 L=30m (tr.70)</t>
        </is>
      </c>
      <c r="D94" s="14" t="inlineStr">
        <is>
          <t>P8</t>
        </is>
      </c>
      <c r="E94" s="15" t="n">
        <v>12</v>
      </c>
      <c r="F94" s="4" t="inlineStr">
        <is>
          <t>CB400-V</t>
        </is>
      </c>
      <c r="G94" s="5" t="inlineStr"/>
      <c r="H94" s="16" t="n">
        <v>0.647</v>
      </c>
      <c r="I94" s="17" t="n">
        <v>12</v>
      </c>
      <c r="J94" s="18" t="n">
        <v>0.888</v>
      </c>
      <c r="K94" s="7">
        <f>ROUND(H94*I94*J94, 2)</f>
        <v/>
      </c>
      <c r="L94" s="19">
        <f>ROUND(K94/1000, 3)</f>
        <v/>
      </c>
      <c r="M94" s="728">
        <f>IF(AO94="","",IF(N(INDEX(Theo_Doi_Tan_Suat_Be_Tong!$C:$C,AO94))&lt;=0,"",INDEX(Theo_Doi_Tan_Suat_Be_Tong!$C:$C,AO94)-VLOOKUP(AN94,$AQ$2:$AR$7,2,FALSE)))</f>
        <v/>
      </c>
      <c r="N94" s="4" t="n"/>
      <c r="O94" s="20">
        <f>IF(ROUNDUP(Q94/20,0)&gt;ROUNDUP(Q93/20,0),"TN Ø12 (Lần " &amp; ROUNDUP(Q94/20,0) &amp; ")","")</f>
        <v/>
      </c>
      <c r="P94" s="16">
        <f>ROUND(P93+IF(AND(E94&lt;=10,F94&lt;&gt;"ASTM A416"),L94,0),3)</f>
        <v/>
      </c>
      <c r="Q94" s="16">
        <f>ROUND(Q93+IF(AND(E94=12,F94&lt;&gt;"ASTM A416"),L94,0),3)</f>
        <v/>
      </c>
      <c r="R94" s="16">
        <f>ROUND(R93+IF(AND(E94=14,F94&lt;&gt;"ASTM A416"),L94,0),3)</f>
        <v/>
      </c>
      <c r="S94" s="16">
        <f>ROUND(S93+IF(AND(E94=16,F94&lt;&gt;"ASTM A416"),L94,0),3)</f>
        <v/>
      </c>
      <c r="T94" s="16">
        <f>ROUND(T93+IF(AND(E94=18,F94&lt;&gt;"ASTM A416"),L94,0),3)</f>
        <v/>
      </c>
      <c r="U94" s="16">
        <f>ROUND(U93+IF(AND(E94=20,F94&lt;&gt;"ASTM A416"),L94,0),3)</f>
        <v/>
      </c>
      <c r="V94" s="16">
        <f>ROUND(V93+IF(AND(E94=22,F94&lt;&gt;"ASTM A416"),L94,0),3)</f>
        <v/>
      </c>
      <c r="W94" s="16">
        <f>ROUND(W93+IF(AND(E94=25,F94&lt;&gt;"ASTM A416"),L94,0),3)</f>
        <v/>
      </c>
      <c r="X94" s="16">
        <f>ROUND(X93+IF(AND(E94=28,F94&lt;&gt;"ASTM A416"),L94,0),3)</f>
        <v/>
      </c>
      <c r="Y94" s="16">
        <f>ROUND(Y93+IF(AND(E94=32,F94&lt;&gt;"ASTM A416"),L94,0),3)</f>
        <v/>
      </c>
      <c r="Z94" s="16">
        <f>ROUND(Z93+IF(F94="ASTM A416",L94,0),3)</f>
        <v/>
      </c>
      <c r="AA94" s="9">
        <f>IF(ROUNDUP(P94/20,0)&gt;ROUNDUP(P93/20,0),"Lần " &amp; ROUNDUP(P94/20,0),"")</f>
        <v/>
      </c>
      <c r="AB94" s="9">
        <f>IF(ROUNDUP(Q94/20,0)&gt;ROUNDUP(Q93/20,0),"Lần " &amp; ROUNDUP(Q94/20,0),"")</f>
        <v/>
      </c>
      <c r="AC94" s="9">
        <f>IF(ROUNDUP(R94/20,0)&gt;ROUNDUP(R93/20,0),"Lần " &amp; ROUNDUP(R94/20,0),"")</f>
        <v/>
      </c>
      <c r="AD94" s="9">
        <f>IF(ROUNDUP(S94/20,0)&gt;ROUNDUP(S93/20,0),"Lần " &amp; ROUNDUP(S94/20,0),"")</f>
        <v/>
      </c>
      <c r="AE94" s="9">
        <f>IF(ROUNDUP(T94/20,0)&gt;ROUNDUP(T93/20,0),"Lần " &amp; ROUNDUP(T94/20,0),"")</f>
        <v/>
      </c>
      <c r="AF94" s="9">
        <f>IF(ROUNDUP(U94/20,0)&gt;ROUNDUP(U93/20,0),"Lần " &amp; ROUNDUP(U94/20,0),"")</f>
        <v/>
      </c>
      <c r="AG94" s="9">
        <f>IF(ROUNDUP(V94/20,0)&gt;ROUNDUP(V93/20,0),"Lần " &amp; ROUNDUP(V94/20,0),"")</f>
        <v/>
      </c>
      <c r="AH94" s="9">
        <f>IF(ROUNDUP(W94/20,0)&gt;ROUNDUP(W93/20,0),"Lần " &amp; ROUNDUP(W94/20,0),"")</f>
        <v/>
      </c>
      <c r="AI94" s="9">
        <f>IF(ROUNDUP(X94/20,0)&gt;ROUNDUP(X93/20,0),"Lần " &amp; ROUNDUP(X94/20,0),"")</f>
        <v/>
      </c>
      <c r="AJ94" s="9">
        <f>IF(ROUNDUP(Y94/20,0)&gt;ROUNDUP(Y93/20,0),"Lần " &amp; ROUNDUP(Y94/20,0),"")</f>
        <v/>
      </c>
      <c r="AK94" s="9">
        <f>IF(ROUNDUP(Z94/20,0)&gt;ROUNDUP(Z93/20,0),"Lần " &amp; ROUNDUP(Z94/20,0),"")</f>
        <v/>
      </c>
      <c r="AL94" s="4" t="n"/>
      <c r="AN94" s="596" t="inlineStr">
        <is>
          <t>Coc</t>
        </is>
      </c>
      <c r="AO94" s="596" t="n">
        <v>9</v>
      </c>
      <c r="AQ94" s="594" t="n"/>
      <c r="AR94" s="595" t="n"/>
    </row>
    <row r="95" ht="19" customHeight="1" s="672">
      <c r="A95" s="4" t="n">
        <v>87</v>
      </c>
      <c r="B95" s="5" t="inlineStr">
        <is>
          <t>Cọc khoan nhồi C6 Trụ T2 (D1.2m, L=30.0m)</t>
        </is>
      </c>
      <c r="C95" s="5" t="inlineStr">
        <is>
          <t>Cọc trụ T2 L=30m (tr.70)</t>
        </is>
      </c>
      <c r="D95" s="14" t="inlineStr">
        <is>
          <t>P9</t>
        </is>
      </c>
      <c r="E95" s="15" t="n">
        <v>12</v>
      </c>
      <c r="F95" s="4" t="inlineStr">
        <is>
          <t>CB400-V</t>
        </is>
      </c>
      <c r="G95" s="5" t="inlineStr"/>
      <c r="H95" s="16" t="n">
        <v>0.379</v>
      </c>
      <c r="I95" s="17" t="n">
        <v>36</v>
      </c>
      <c r="J95" s="18" t="n">
        <v>0.888</v>
      </c>
      <c r="K95" s="7">
        <f>ROUND(H95*I95*J95, 2)</f>
        <v/>
      </c>
      <c r="L95" s="19">
        <f>ROUND(K95/1000, 3)</f>
        <v/>
      </c>
      <c r="M95" s="728">
        <f>IF(AO95="","",IF(N(INDEX(Theo_Doi_Tan_Suat_Be_Tong!$C:$C,AO95))&lt;=0,"",INDEX(Theo_Doi_Tan_Suat_Be_Tong!$C:$C,AO95)-VLOOKUP(AN95,$AQ$2:$AR$7,2,FALSE)))</f>
        <v/>
      </c>
      <c r="N95" s="4" t="n"/>
      <c r="O95" s="20">
        <f>IF(ROUNDUP(Q95/20,0)&gt;ROUNDUP(Q94/20,0),"TN Ø12 (Lần " &amp; ROUNDUP(Q95/20,0) &amp; ")","")</f>
        <v/>
      </c>
      <c r="P95" s="16">
        <f>ROUND(P94+IF(AND(E95&lt;=10,F95&lt;&gt;"ASTM A416"),L95,0),3)</f>
        <v/>
      </c>
      <c r="Q95" s="16">
        <f>ROUND(Q94+IF(AND(E95=12,F95&lt;&gt;"ASTM A416"),L95,0),3)</f>
        <v/>
      </c>
      <c r="R95" s="16">
        <f>ROUND(R94+IF(AND(E95=14,F95&lt;&gt;"ASTM A416"),L95,0),3)</f>
        <v/>
      </c>
      <c r="S95" s="16">
        <f>ROUND(S94+IF(AND(E95=16,F95&lt;&gt;"ASTM A416"),L95,0),3)</f>
        <v/>
      </c>
      <c r="T95" s="16">
        <f>ROUND(T94+IF(AND(E95=18,F95&lt;&gt;"ASTM A416"),L95,0),3)</f>
        <v/>
      </c>
      <c r="U95" s="16">
        <f>ROUND(U94+IF(AND(E95=20,F95&lt;&gt;"ASTM A416"),L95,0),3)</f>
        <v/>
      </c>
      <c r="V95" s="16">
        <f>ROUND(V94+IF(AND(E95=22,F95&lt;&gt;"ASTM A416"),L95,0),3)</f>
        <v/>
      </c>
      <c r="W95" s="16">
        <f>ROUND(W94+IF(AND(E95=25,F95&lt;&gt;"ASTM A416"),L95,0),3)</f>
        <v/>
      </c>
      <c r="X95" s="16">
        <f>ROUND(X94+IF(AND(E95=28,F95&lt;&gt;"ASTM A416"),L95,0),3)</f>
        <v/>
      </c>
      <c r="Y95" s="16">
        <f>ROUND(Y94+IF(AND(E95=32,F95&lt;&gt;"ASTM A416"),L95,0),3)</f>
        <v/>
      </c>
      <c r="Z95" s="16">
        <f>ROUND(Z94+IF(F95="ASTM A416",L95,0),3)</f>
        <v/>
      </c>
      <c r="AA95" s="9">
        <f>IF(ROUNDUP(P95/20,0)&gt;ROUNDUP(P94/20,0),"Lần " &amp; ROUNDUP(P95/20,0),"")</f>
        <v/>
      </c>
      <c r="AB95" s="9">
        <f>IF(ROUNDUP(Q95/20,0)&gt;ROUNDUP(Q94/20,0),"Lần " &amp; ROUNDUP(Q95/20,0),"")</f>
        <v/>
      </c>
      <c r="AC95" s="9">
        <f>IF(ROUNDUP(R95/20,0)&gt;ROUNDUP(R94/20,0),"Lần " &amp; ROUNDUP(R95/20,0),"")</f>
        <v/>
      </c>
      <c r="AD95" s="9">
        <f>IF(ROUNDUP(S95/20,0)&gt;ROUNDUP(S94/20,0),"Lần " &amp; ROUNDUP(S95/20,0),"")</f>
        <v/>
      </c>
      <c r="AE95" s="9">
        <f>IF(ROUNDUP(T95/20,0)&gt;ROUNDUP(T94/20,0),"Lần " &amp; ROUNDUP(T95/20,0),"")</f>
        <v/>
      </c>
      <c r="AF95" s="9">
        <f>IF(ROUNDUP(U95/20,0)&gt;ROUNDUP(U94/20,0),"Lần " &amp; ROUNDUP(U95/20,0),"")</f>
        <v/>
      </c>
      <c r="AG95" s="9">
        <f>IF(ROUNDUP(V95/20,0)&gt;ROUNDUP(V94/20,0),"Lần " &amp; ROUNDUP(V95/20,0),"")</f>
        <v/>
      </c>
      <c r="AH95" s="9">
        <f>IF(ROUNDUP(W95/20,0)&gt;ROUNDUP(W94/20,0),"Lần " &amp; ROUNDUP(W95/20,0),"")</f>
        <v/>
      </c>
      <c r="AI95" s="9">
        <f>IF(ROUNDUP(X95/20,0)&gt;ROUNDUP(X94/20,0),"Lần " &amp; ROUNDUP(X95/20,0),"")</f>
        <v/>
      </c>
      <c r="AJ95" s="9">
        <f>IF(ROUNDUP(Y95/20,0)&gt;ROUNDUP(Y94/20,0),"Lần " &amp; ROUNDUP(Y95/20,0),"")</f>
        <v/>
      </c>
      <c r="AK95" s="9">
        <f>IF(ROUNDUP(Z95/20,0)&gt;ROUNDUP(Z94/20,0),"Lần " &amp; ROUNDUP(Z95/20,0),"")</f>
        <v/>
      </c>
      <c r="AL95" s="4" t="n"/>
      <c r="AN95" s="596" t="inlineStr">
        <is>
          <t>Coc</t>
        </is>
      </c>
      <c r="AO95" s="596" t="n">
        <v>9</v>
      </c>
      <c r="AQ95" s="594" t="n"/>
      <c r="AR95" s="595" t="n"/>
    </row>
    <row r="96" ht="19" customHeight="1" s="672">
      <c r="A96" s="4" t="n">
        <v>88</v>
      </c>
      <c r="B96" s="5" t="inlineStr">
        <is>
          <t>Cọc khoan nhồi C6 Trụ T2 (D1.2m, L=30.0m)</t>
        </is>
      </c>
      <c r="C96" s="5" t="inlineStr">
        <is>
          <t>Cọc trụ T2 L=30m (tr.70)</t>
        </is>
      </c>
      <c r="D96" s="14" t="inlineStr">
        <is>
          <t>P10</t>
        </is>
      </c>
      <c r="E96" s="15" t="n">
        <v>20</v>
      </c>
      <c r="F96" s="4" t="inlineStr">
        <is>
          <t>CB400-V</t>
        </is>
      </c>
      <c r="G96" s="5" t="inlineStr"/>
      <c r="H96" s="16" t="n">
        <v>2.057</v>
      </c>
      <c r="I96" s="17" t="n">
        <v>1</v>
      </c>
      <c r="J96" s="18" t="n">
        <v>2.466</v>
      </c>
      <c r="K96" s="7">
        <f>ROUND(H96*I96*J96, 2)</f>
        <v/>
      </c>
      <c r="L96" s="19">
        <f>ROUND(K96/1000, 3)</f>
        <v/>
      </c>
      <c r="M96" s="728">
        <f>IF(AO96="","",IF(N(INDEX(Theo_Doi_Tan_Suat_Be_Tong!$C:$C,AO96))&lt;=0,"",INDEX(Theo_Doi_Tan_Suat_Be_Tong!$C:$C,AO96)-VLOOKUP(AN96,$AQ$2:$AR$7,2,FALSE)))</f>
        <v/>
      </c>
      <c r="N96" s="4" t="n"/>
      <c r="O96" s="20">
        <f>IF(ROUNDUP(U96/20,0)&gt;ROUNDUP(U95/20,0),"TN Ø20 (Lần " &amp; ROUNDUP(U96/20,0) &amp; ")","")</f>
        <v/>
      </c>
      <c r="P96" s="16">
        <f>ROUND(P95+IF(AND(E96&lt;=10,F96&lt;&gt;"ASTM A416"),L96,0),3)</f>
        <v/>
      </c>
      <c r="Q96" s="16">
        <f>ROUND(Q95+IF(AND(E96=12,F96&lt;&gt;"ASTM A416"),L96,0),3)</f>
        <v/>
      </c>
      <c r="R96" s="16">
        <f>ROUND(R95+IF(AND(E96=14,F96&lt;&gt;"ASTM A416"),L96,0),3)</f>
        <v/>
      </c>
      <c r="S96" s="16">
        <f>ROUND(S95+IF(AND(E96=16,F96&lt;&gt;"ASTM A416"),L96,0),3)</f>
        <v/>
      </c>
      <c r="T96" s="16">
        <f>ROUND(T95+IF(AND(E96=18,F96&lt;&gt;"ASTM A416"),L96,0),3)</f>
        <v/>
      </c>
      <c r="U96" s="16">
        <f>ROUND(U95+IF(AND(E96=20,F96&lt;&gt;"ASTM A416"),L96,0),3)</f>
        <v/>
      </c>
      <c r="V96" s="16">
        <f>ROUND(V95+IF(AND(E96=22,F96&lt;&gt;"ASTM A416"),L96,0),3)</f>
        <v/>
      </c>
      <c r="W96" s="16">
        <f>ROUND(W95+IF(AND(E96=25,F96&lt;&gt;"ASTM A416"),L96,0),3)</f>
        <v/>
      </c>
      <c r="X96" s="16">
        <f>ROUND(X95+IF(AND(E96=28,F96&lt;&gt;"ASTM A416"),L96,0),3)</f>
        <v/>
      </c>
      <c r="Y96" s="16">
        <f>ROUND(Y95+IF(AND(E96=32,F96&lt;&gt;"ASTM A416"),L96,0),3)</f>
        <v/>
      </c>
      <c r="Z96" s="16">
        <f>ROUND(Z95+IF(F96="ASTM A416",L96,0),3)</f>
        <v/>
      </c>
      <c r="AA96" s="9">
        <f>IF(ROUNDUP(P96/20,0)&gt;ROUNDUP(P95/20,0),"Lần " &amp; ROUNDUP(P96/20,0),"")</f>
        <v/>
      </c>
      <c r="AB96" s="9">
        <f>IF(ROUNDUP(Q96/20,0)&gt;ROUNDUP(Q95/20,0),"Lần " &amp; ROUNDUP(Q96/20,0),"")</f>
        <v/>
      </c>
      <c r="AC96" s="9">
        <f>IF(ROUNDUP(R96/20,0)&gt;ROUNDUP(R95/20,0),"Lần " &amp; ROUNDUP(R96/20,0),"")</f>
        <v/>
      </c>
      <c r="AD96" s="9">
        <f>IF(ROUNDUP(S96/20,0)&gt;ROUNDUP(S95/20,0),"Lần " &amp; ROUNDUP(S96/20,0),"")</f>
        <v/>
      </c>
      <c r="AE96" s="9">
        <f>IF(ROUNDUP(T96/20,0)&gt;ROUNDUP(T95/20,0),"Lần " &amp; ROUNDUP(T96/20,0),"")</f>
        <v/>
      </c>
      <c r="AF96" s="9">
        <f>IF(ROUNDUP(U96/20,0)&gt;ROUNDUP(U95/20,0),"Lần " &amp; ROUNDUP(U96/20,0),"")</f>
        <v/>
      </c>
      <c r="AG96" s="9">
        <f>IF(ROUNDUP(V96/20,0)&gt;ROUNDUP(V95/20,0),"Lần " &amp; ROUNDUP(V96/20,0),"")</f>
        <v/>
      </c>
      <c r="AH96" s="9">
        <f>IF(ROUNDUP(W96/20,0)&gt;ROUNDUP(W95/20,0),"Lần " &amp; ROUNDUP(W96/20,0),"")</f>
        <v/>
      </c>
      <c r="AI96" s="9">
        <f>IF(ROUNDUP(X96/20,0)&gt;ROUNDUP(X95/20,0),"Lần " &amp; ROUNDUP(X96/20,0),"")</f>
        <v/>
      </c>
      <c r="AJ96" s="9">
        <f>IF(ROUNDUP(Y96/20,0)&gt;ROUNDUP(Y95/20,0),"Lần " &amp; ROUNDUP(Y96/20,0),"")</f>
        <v/>
      </c>
      <c r="AK96" s="9">
        <f>IF(ROUNDUP(Z96/20,0)&gt;ROUNDUP(Z95/20,0),"Lần " &amp; ROUNDUP(Z96/20,0),"")</f>
        <v/>
      </c>
      <c r="AL96" s="4" t="n"/>
      <c r="AN96" s="596" t="inlineStr">
        <is>
          <t>Coc</t>
        </is>
      </c>
      <c r="AO96" s="596" t="n">
        <v>9</v>
      </c>
      <c r="AQ96" s="594" t="n"/>
      <c r="AR96" s="595" t="n"/>
    </row>
    <row r="97" ht="20" customHeight="1" s="672">
      <c r="A97" s="4" t="n">
        <v>89</v>
      </c>
      <c r="B97" s="5" t="inlineStr">
        <is>
          <t>Cọc khoan nhồi C6 Trụ T2 (D1.2m, L=30.0m)</t>
        </is>
      </c>
      <c r="C97" s="5" t="inlineStr">
        <is>
          <t>Cọc trụ T2 L=30m (tr.70)</t>
        </is>
      </c>
      <c r="D97" s="14" t="inlineStr">
        <is>
          <t>P12</t>
        </is>
      </c>
      <c r="E97" s="15" t="n">
        <v>20</v>
      </c>
      <c r="F97" s="4" t="inlineStr">
        <is>
          <t>CB400-V</t>
        </is>
      </c>
      <c r="G97" s="5" t="inlineStr"/>
      <c r="H97" s="16" t="n">
        <v>0.583</v>
      </c>
      <c r="I97" s="17" t="n">
        <v>48</v>
      </c>
      <c r="J97" s="18" t="n">
        <v>2.466</v>
      </c>
      <c r="K97" s="7">
        <f>ROUND(H97*I97*J97, 2)</f>
        <v/>
      </c>
      <c r="L97" s="19">
        <f>ROUND(K97/1000, 3)</f>
        <v/>
      </c>
      <c r="M97" s="728">
        <f>IF(AO97="","",IF(N(INDEX(Theo_Doi_Tan_Suat_Be_Tong!$C:$C,AO97))&lt;=0,"",INDEX(Theo_Doi_Tan_Suat_Be_Tong!$C:$C,AO97)-VLOOKUP(AN97,$AQ$2:$AR$7,2,FALSE)))</f>
        <v/>
      </c>
      <c r="N97" s="4" t="n"/>
      <c r="O97" s="20">
        <f>IF(ROUNDUP(U97/20,0)&gt;ROUNDUP(U96/20,0),"TN Ø20 (Lần " &amp; ROUNDUP(U97/20,0) &amp; ")","")</f>
        <v/>
      </c>
      <c r="P97" s="16">
        <f>ROUND(P96+IF(AND(E97&lt;=10,F97&lt;&gt;"ASTM A416"),L97,0),3)</f>
        <v/>
      </c>
      <c r="Q97" s="16">
        <f>ROUND(Q96+IF(AND(E97=12,F97&lt;&gt;"ASTM A416"),L97,0),3)</f>
        <v/>
      </c>
      <c r="R97" s="16">
        <f>ROUND(R96+IF(AND(E97=14,F97&lt;&gt;"ASTM A416"),L97,0),3)</f>
        <v/>
      </c>
      <c r="S97" s="16">
        <f>ROUND(S96+IF(AND(E97=16,F97&lt;&gt;"ASTM A416"),L97,0),3)</f>
        <v/>
      </c>
      <c r="T97" s="16">
        <f>ROUND(T96+IF(AND(E97=18,F97&lt;&gt;"ASTM A416"),L97,0),3)</f>
        <v/>
      </c>
      <c r="U97" s="16">
        <f>ROUND(U96+IF(AND(E97=20,F97&lt;&gt;"ASTM A416"),L97,0),3)</f>
        <v/>
      </c>
      <c r="V97" s="16">
        <f>ROUND(V96+IF(AND(E97=22,F97&lt;&gt;"ASTM A416"),L97,0),3)</f>
        <v/>
      </c>
      <c r="W97" s="16">
        <f>ROUND(W96+IF(AND(E97=25,F97&lt;&gt;"ASTM A416"),L97,0),3)</f>
        <v/>
      </c>
      <c r="X97" s="16">
        <f>ROUND(X96+IF(AND(E97=28,F97&lt;&gt;"ASTM A416"),L97,0),3)</f>
        <v/>
      </c>
      <c r="Y97" s="16">
        <f>ROUND(Y96+IF(AND(E97=32,F97&lt;&gt;"ASTM A416"),L97,0),3)</f>
        <v/>
      </c>
      <c r="Z97" s="16">
        <f>ROUND(Z96+IF(F97="ASTM A416",L97,0),3)</f>
        <v/>
      </c>
      <c r="AA97" s="9">
        <f>IF(ROUNDUP(P97/20,0)&gt;ROUNDUP(P96/20,0),"Lần " &amp; ROUNDUP(P97/20,0),"")</f>
        <v/>
      </c>
      <c r="AB97" s="9">
        <f>IF(ROUNDUP(Q97/20,0)&gt;ROUNDUP(Q96/20,0),"Lần " &amp; ROUNDUP(Q97/20,0),"")</f>
        <v/>
      </c>
      <c r="AC97" s="9">
        <f>IF(ROUNDUP(R97/20,0)&gt;ROUNDUP(R96/20,0),"Lần " &amp; ROUNDUP(R97/20,0),"")</f>
        <v/>
      </c>
      <c r="AD97" s="9">
        <f>IF(ROUNDUP(S97/20,0)&gt;ROUNDUP(S96/20,0),"Lần " &amp; ROUNDUP(S97/20,0),"")</f>
        <v/>
      </c>
      <c r="AE97" s="9">
        <f>IF(ROUNDUP(T97/20,0)&gt;ROUNDUP(T96/20,0),"Lần " &amp; ROUNDUP(T97/20,0),"")</f>
        <v/>
      </c>
      <c r="AF97" s="9">
        <f>IF(ROUNDUP(U97/20,0)&gt;ROUNDUP(U96/20,0),"Lần " &amp; ROUNDUP(U97/20,0),"")</f>
        <v/>
      </c>
      <c r="AG97" s="9">
        <f>IF(ROUNDUP(V97/20,0)&gt;ROUNDUP(V96/20,0),"Lần " &amp; ROUNDUP(V97/20,0),"")</f>
        <v/>
      </c>
      <c r="AH97" s="9">
        <f>IF(ROUNDUP(W97/20,0)&gt;ROUNDUP(W96/20,0),"Lần " &amp; ROUNDUP(W97/20,0),"")</f>
        <v/>
      </c>
      <c r="AI97" s="9">
        <f>IF(ROUNDUP(X97/20,0)&gt;ROUNDUP(X96/20,0),"Lần " &amp; ROUNDUP(X97/20,0),"")</f>
        <v/>
      </c>
      <c r="AJ97" s="9">
        <f>IF(ROUNDUP(Y97/20,0)&gt;ROUNDUP(Y96/20,0),"Lần " &amp; ROUNDUP(Y97/20,0),"")</f>
        <v/>
      </c>
      <c r="AK97" s="9">
        <f>IF(ROUNDUP(Z97/20,0)&gt;ROUNDUP(Z96/20,0),"Lần " &amp; ROUNDUP(Z97/20,0),"")</f>
        <v/>
      </c>
      <c r="AL97" s="4" t="n"/>
      <c r="AN97" s="596" t="inlineStr">
        <is>
          <t>Coc</t>
        </is>
      </c>
      <c r="AO97" s="596" t="n">
        <v>9</v>
      </c>
      <c r="AQ97" s="594" t="n"/>
      <c r="AR97" s="595" t="n"/>
    </row>
    <row r="98" ht="19" customHeight="1" s="672">
      <c r="A98" s="4" t="n">
        <v>90</v>
      </c>
      <c r="B98" s="5" t="inlineStr">
        <is>
          <t>Cọc khoan nhồi C6 Trụ T2 (D1.2m, L=30.0m)</t>
        </is>
      </c>
      <c r="C98" s="5" t="inlineStr">
        <is>
          <t>Cọc trụ T2 L=30m (tr.70)</t>
        </is>
      </c>
      <c r="D98" s="14" t="inlineStr">
        <is>
          <t>P11</t>
        </is>
      </c>
      <c r="E98" s="15" t="n">
        <v>16</v>
      </c>
      <c r="F98" s="4" t="inlineStr">
        <is>
          <t>CB400-V</t>
        </is>
      </c>
      <c r="G98" s="5" t="inlineStr"/>
      <c r="H98" s="16" t="n">
        <v>2.604</v>
      </c>
      <c r="I98" s="17" t="n">
        <v>4</v>
      </c>
      <c r="J98" s="18" t="n">
        <v>1.578</v>
      </c>
      <c r="K98" s="7">
        <f>ROUND(H98*I98*J98, 2)</f>
        <v/>
      </c>
      <c r="L98" s="19">
        <f>ROUND(K98/1000, 3)</f>
        <v/>
      </c>
      <c r="M98" s="728">
        <f>IF(AO98="","",IF(N(INDEX(Theo_Doi_Tan_Suat_Be_Tong!$C:$C,AO98))&lt;=0,"",INDEX(Theo_Doi_Tan_Suat_Be_Tong!$C:$C,AO98)-VLOOKUP(AN98,$AQ$2:$AR$7,2,FALSE)))</f>
        <v/>
      </c>
      <c r="N98" s="4" t="n"/>
      <c r="O98" s="20">
        <f>IF(ROUNDUP(S98/20,0)&gt;ROUNDUP(S97/20,0),"TN Ø16 (Lần " &amp; ROUNDUP(S98/20,0) &amp; ")","")</f>
        <v/>
      </c>
      <c r="P98" s="16">
        <f>ROUND(P97+IF(AND(E98&lt;=10,F98&lt;&gt;"ASTM A416"),L98,0),3)</f>
        <v/>
      </c>
      <c r="Q98" s="16">
        <f>ROUND(Q97+IF(AND(E98=12,F98&lt;&gt;"ASTM A416"),L98,0),3)</f>
        <v/>
      </c>
      <c r="R98" s="16">
        <f>ROUND(R97+IF(AND(E98=14,F98&lt;&gt;"ASTM A416"),L98,0),3)</f>
        <v/>
      </c>
      <c r="S98" s="16">
        <f>ROUND(S97+IF(AND(E98=16,F98&lt;&gt;"ASTM A416"),L98,0),3)</f>
        <v/>
      </c>
      <c r="T98" s="16">
        <f>ROUND(T97+IF(AND(E98=18,F98&lt;&gt;"ASTM A416"),L98,0),3)</f>
        <v/>
      </c>
      <c r="U98" s="16">
        <f>ROUND(U97+IF(AND(E98=20,F98&lt;&gt;"ASTM A416"),L98,0),3)</f>
        <v/>
      </c>
      <c r="V98" s="16">
        <f>ROUND(V97+IF(AND(E98=22,F98&lt;&gt;"ASTM A416"),L98,0),3)</f>
        <v/>
      </c>
      <c r="W98" s="16">
        <f>ROUND(W97+IF(AND(E98=25,F98&lt;&gt;"ASTM A416"),L98,0),3)</f>
        <v/>
      </c>
      <c r="X98" s="16">
        <f>ROUND(X97+IF(AND(E98=28,F98&lt;&gt;"ASTM A416"),L98,0),3)</f>
        <v/>
      </c>
      <c r="Y98" s="16">
        <f>ROUND(Y97+IF(AND(E98=32,F98&lt;&gt;"ASTM A416"),L98,0),3)</f>
        <v/>
      </c>
      <c r="Z98" s="16">
        <f>ROUND(Z97+IF(F98="ASTM A416",L98,0),3)</f>
        <v/>
      </c>
      <c r="AA98" s="9">
        <f>IF(ROUNDUP(P98/20,0)&gt;ROUNDUP(P97/20,0),"Lần " &amp; ROUNDUP(P98/20,0),"")</f>
        <v/>
      </c>
      <c r="AB98" s="9">
        <f>IF(ROUNDUP(Q98/20,0)&gt;ROUNDUP(Q97/20,0),"Lần " &amp; ROUNDUP(Q98/20,0),"")</f>
        <v/>
      </c>
      <c r="AC98" s="9">
        <f>IF(ROUNDUP(R98/20,0)&gt;ROUNDUP(R97/20,0),"Lần " &amp; ROUNDUP(R98/20,0),"")</f>
        <v/>
      </c>
      <c r="AD98" s="9">
        <f>IF(ROUNDUP(S98/20,0)&gt;ROUNDUP(S97/20,0),"Lần " &amp; ROUNDUP(S98/20,0),"")</f>
        <v/>
      </c>
      <c r="AE98" s="9">
        <f>IF(ROUNDUP(T98/20,0)&gt;ROUNDUP(T97/20,0),"Lần " &amp; ROUNDUP(T98/20,0),"")</f>
        <v/>
      </c>
      <c r="AF98" s="9">
        <f>IF(ROUNDUP(U98/20,0)&gt;ROUNDUP(U97/20,0),"Lần " &amp; ROUNDUP(U98/20,0),"")</f>
        <v/>
      </c>
      <c r="AG98" s="9">
        <f>IF(ROUNDUP(V98/20,0)&gt;ROUNDUP(V97/20,0),"Lần " &amp; ROUNDUP(V98/20,0),"")</f>
        <v/>
      </c>
      <c r="AH98" s="9">
        <f>IF(ROUNDUP(W98/20,0)&gt;ROUNDUP(W97/20,0),"Lần " &amp; ROUNDUP(W98/20,0),"")</f>
        <v/>
      </c>
      <c r="AI98" s="9">
        <f>IF(ROUNDUP(X98/20,0)&gt;ROUNDUP(X97/20,0),"Lần " &amp; ROUNDUP(X98/20,0),"")</f>
        <v/>
      </c>
      <c r="AJ98" s="9">
        <f>IF(ROUNDUP(Y98/20,0)&gt;ROUNDUP(Y97/20,0),"Lần " &amp; ROUNDUP(Y98/20,0),"")</f>
        <v/>
      </c>
      <c r="AK98" s="9">
        <f>IF(ROUNDUP(Z98/20,0)&gt;ROUNDUP(Z97/20,0),"Lần " &amp; ROUNDUP(Z98/20,0),"")</f>
        <v/>
      </c>
      <c r="AL98" s="4" t="n"/>
      <c r="AN98" s="596" t="inlineStr">
        <is>
          <t>Coc</t>
        </is>
      </c>
      <c r="AO98" s="596" t="n">
        <v>9</v>
      </c>
      <c r="AQ98" s="594" t="n"/>
      <c r="AR98" s="595" t="n"/>
    </row>
    <row r="99" ht="19" customHeight="1" s="672">
      <c r="A99" s="668" t="inlineStr">
        <is>
          <t>--- CỌC KHOAN NHỒI C3 TRỤ T1 (D1.2M, L=40.0M) ---</t>
        </is>
      </c>
      <c r="B99" s="722" t="n"/>
      <c r="C99" s="722" t="n"/>
      <c r="D99" s="722" t="n"/>
      <c r="E99" s="722" t="n"/>
      <c r="F99" s="722" t="n"/>
      <c r="G99" s="722" t="n"/>
      <c r="H99" s="722" t="n"/>
      <c r="I99" s="722" t="n"/>
      <c r="J99" s="722" t="n"/>
      <c r="K99" s="722" t="n"/>
      <c r="L99" s="722" t="n"/>
      <c r="M99" s="722" t="n"/>
      <c r="N99" s="722" t="n"/>
      <c r="O99" s="722" t="n"/>
      <c r="P99" s="722" t="n"/>
      <c r="Q99" s="722" t="n"/>
      <c r="R99" s="722" t="n"/>
      <c r="S99" s="722" t="n"/>
      <c r="T99" s="722" t="n"/>
      <c r="U99" s="722" t="n"/>
      <c r="V99" s="722" t="n"/>
      <c r="W99" s="722" t="n"/>
      <c r="X99" s="722" t="n"/>
      <c r="Y99" s="722" t="n"/>
      <c r="Z99" s="722" t="n"/>
      <c r="AA99" s="722" t="n"/>
      <c r="AB99" s="722" t="n"/>
      <c r="AC99" s="722" t="n"/>
      <c r="AD99" s="722" t="n"/>
      <c r="AE99" s="722" t="n"/>
      <c r="AF99" s="722" t="n"/>
      <c r="AG99" s="722" t="n"/>
      <c r="AH99" s="722" t="n"/>
      <c r="AI99" s="722" t="n"/>
      <c r="AJ99" s="722" t="n"/>
      <c r="AK99" s="722" t="n"/>
      <c r="AL99" s="721" t="n"/>
      <c r="AQ99" s="594" t="n"/>
      <c r="AR99" s="595" t="n"/>
    </row>
    <row r="100" ht="19" customHeight="1" s="672">
      <c r="A100" s="4" t="n">
        <v>91</v>
      </c>
      <c r="B100" s="5" t="inlineStr">
        <is>
          <t>Cọc khoan nhồi C3 Trụ T1 (D1.2m, L=40.0m)</t>
        </is>
      </c>
      <c r="C100" s="5" t="inlineStr">
        <is>
          <t>Cọc trụ T1 L=40m (tr.68)</t>
        </is>
      </c>
      <c r="D100" s="14" t="inlineStr">
        <is>
          <t>P1</t>
        </is>
      </c>
      <c r="E100" s="15" t="n">
        <v>10</v>
      </c>
      <c r="F100" s="4" t="inlineStr">
        <is>
          <t>CB240-T</t>
        </is>
      </c>
      <c r="G100" s="5" t="inlineStr"/>
      <c r="H100" s="16" t="n">
        <v>96.604</v>
      </c>
      <c r="I100" s="17" t="n">
        <v>1</v>
      </c>
      <c r="J100" s="18" t="n">
        <v>0.617</v>
      </c>
      <c r="K100" s="7">
        <f>ROUND(H100*I100*J100, 2)</f>
        <v/>
      </c>
      <c r="L100" s="19">
        <f>ROUND(K100/1000, 3)</f>
        <v/>
      </c>
      <c r="M100" s="728">
        <f>IF(AO100="","",IF(N(INDEX(Theo_Doi_Tan_Suat_Be_Tong!$C:$C,AO100))&lt;=0,"",INDEX(Theo_Doi_Tan_Suat_Be_Tong!$C:$C,AO100)-VLOOKUP(AN100,$AQ$2:$AR$7,2,FALSE)))</f>
        <v/>
      </c>
      <c r="N100" s="4" t="n"/>
      <c r="O100" s="20">
        <f>IF(ROUNDUP(P100/20,0)&gt;ROUNDUP(P98/20,0),"TN Ø10 (Lần " &amp; ROUNDUP(P100/20,0) &amp; ")","")</f>
        <v/>
      </c>
      <c r="P100" s="16">
        <f>ROUND(P98+IF(AND(E100&lt;=10,F100&lt;&gt;"ASTM A416"),L100,0),3)</f>
        <v/>
      </c>
      <c r="Q100" s="16">
        <f>ROUND(Q98+IF(AND(E100=12,F100&lt;&gt;"ASTM A416"),L100,0),3)</f>
        <v/>
      </c>
      <c r="R100" s="16">
        <f>ROUND(R98+IF(AND(E100=14,F100&lt;&gt;"ASTM A416"),L100,0),3)</f>
        <v/>
      </c>
      <c r="S100" s="16">
        <f>ROUND(S98+IF(AND(E100=16,F100&lt;&gt;"ASTM A416"),L100,0),3)</f>
        <v/>
      </c>
      <c r="T100" s="16">
        <f>ROUND(T98+IF(AND(E100=18,F100&lt;&gt;"ASTM A416"),L100,0),3)</f>
        <v/>
      </c>
      <c r="U100" s="16">
        <f>ROUND(U98+IF(AND(E100=20,F100&lt;&gt;"ASTM A416"),L100,0),3)</f>
        <v/>
      </c>
      <c r="V100" s="16">
        <f>ROUND(V98+IF(AND(E100=22,F100&lt;&gt;"ASTM A416"),L100,0),3)</f>
        <v/>
      </c>
      <c r="W100" s="16">
        <f>ROUND(W98+IF(AND(E100=25,F100&lt;&gt;"ASTM A416"),L100,0),3)</f>
        <v/>
      </c>
      <c r="X100" s="16">
        <f>ROUND(X98+IF(AND(E100=28,F100&lt;&gt;"ASTM A416"),L100,0),3)</f>
        <v/>
      </c>
      <c r="Y100" s="16">
        <f>ROUND(Y98+IF(AND(E100=32,F100&lt;&gt;"ASTM A416"),L100,0),3)</f>
        <v/>
      </c>
      <c r="Z100" s="16">
        <f>ROUND(Z98+IF(F100="ASTM A416",L100,0),3)</f>
        <v/>
      </c>
      <c r="AA100" s="9">
        <f>IF(ROUNDUP(P100/20,0)&gt;ROUNDUP(P98/20,0),"Lần " &amp; ROUNDUP(P100/20,0),"")</f>
        <v/>
      </c>
      <c r="AB100" s="9">
        <f>IF(ROUNDUP(Q100/20,0)&gt;ROUNDUP(Q98/20,0),"Lần " &amp; ROUNDUP(Q100/20,0),"")</f>
        <v/>
      </c>
      <c r="AC100" s="9">
        <f>IF(ROUNDUP(R100/20,0)&gt;ROUNDUP(R98/20,0),"Lần " &amp; ROUNDUP(R100/20,0),"")</f>
        <v/>
      </c>
      <c r="AD100" s="9">
        <f>IF(ROUNDUP(S100/20,0)&gt;ROUNDUP(S98/20,0),"Lần " &amp; ROUNDUP(S100/20,0),"")</f>
        <v/>
      </c>
      <c r="AE100" s="9">
        <f>IF(ROUNDUP(T100/20,0)&gt;ROUNDUP(T98/20,0),"Lần " &amp; ROUNDUP(T100/20,0),"")</f>
        <v/>
      </c>
      <c r="AF100" s="9">
        <f>IF(ROUNDUP(U100/20,0)&gt;ROUNDUP(U98/20,0),"Lần " &amp; ROUNDUP(U100/20,0),"")</f>
        <v/>
      </c>
      <c r="AG100" s="9">
        <f>IF(ROUNDUP(V100/20,0)&gt;ROUNDUP(V98/20,0),"Lần " &amp; ROUNDUP(V100/20,0),"")</f>
        <v/>
      </c>
      <c r="AH100" s="9">
        <f>IF(ROUNDUP(W100/20,0)&gt;ROUNDUP(W98/20,0),"Lần " &amp; ROUNDUP(W100/20,0),"")</f>
        <v/>
      </c>
      <c r="AI100" s="9">
        <f>IF(ROUNDUP(X100/20,0)&gt;ROUNDUP(X98/20,0),"Lần " &amp; ROUNDUP(X100/20,0),"")</f>
        <v/>
      </c>
      <c r="AJ100" s="9">
        <f>IF(ROUNDUP(Y100/20,0)&gt;ROUNDUP(Y98/20,0),"Lần " &amp; ROUNDUP(Y100/20,0),"")</f>
        <v/>
      </c>
      <c r="AK100" s="9">
        <f>IF(ROUNDUP(Z100/20,0)&gt;ROUNDUP(Z98/20,0),"Lần " &amp; ROUNDUP(Z100/20,0),"")</f>
        <v/>
      </c>
      <c r="AL100" s="4" t="n"/>
      <c r="AN100" s="596" t="inlineStr">
        <is>
          <t>Coc</t>
        </is>
      </c>
      <c r="AO100" s="596" t="n">
        <v>10</v>
      </c>
      <c r="AQ100" s="594" t="n"/>
      <c r="AR100" s="595" t="n"/>
    </row>
    <row r="101" ht="19" customHeight="1" s="672">
      <c r="A101" s="4" t="n">
        <v>92</v>
      </c>
      <c r="B101" s="5" t="inlineStr">
        <is>
          <t>Cọc khoan nhồi C3 Trụ T1 (D1.2m, L=40.0m)</t>
        </is>
      </c>
      <c r="C101" s="5" t="inlineStr">
        <is>
          <t>Cọc trụ T1 L=40m (tr.68)</t>
        </is>
      </c>
      <c r="D101" s="14" t="inlineStr">
        <is>
          <t>P1A</t>
        </is>
      </c>
      <c r="E101" s="15" t="n">
        <v>10</v>
      </c>
      <c r="F101" s="4" t="inlineStr">
        <is>
          <t>CB240-T</t>
        </is>
      </c>
      <c r="G101" s="5" t="inlineStr"/>
      <c r="H101" s="16" t="n">
        <v>389.636</v>
      </c>
      <c r="I101" s="17" t="n">
        <v>1</v>
      </c>
      <c r="J101" s="18" t="n">
        <v>0.617</v>
      </c>
      <c r="K101" s="7">
        <f>ROUND(H101*I101*J101, 2)</f>
        <v/>
      </c>
      <c r="L101" s="19">
        <f>ROUND(K101/1000, 3)</f>
        <v/>
      </c>
      <c r="M101" s="728">
        <f>IF(AO101="","",IF(N(INDEX(Theo_Doi_Tan_Suat_Be_Tong!$C:$C,AO101))&lt;=0,"",INDEX(Theo_Doi_Tan_Suat_Be_Tong!$C:$C,AO101)-VLOOKUP(AN101,$AQ$2:$AR$7,2,FALSE)))</f>
        <v/>
      </c>
      <c r="N101" s="4" t="n"/>
      <c r="O101" s="20">
        <f>IF(ROUNDUP(P101/20,0)&gt;ROUNDUP(P100/20,0),"TN Ø10 (Lần " &amp; ROUNDUP(P101/20,0) &amp; ")","")</f>
        <v/>
      </c>
      <c r="P101" s="16">
        <f>ROUND(P100+IF(AND(E101&lt;=10,F101&lt;&gt;"ASTM A416"),L101,0),3)</f>
        <v/>
      </c>
      <c r="Q101" s="16">
        <f>ROUND(Q100+IF(AND(E101=12,F101&lt;&gt;"ASTM A416"),L101,0),3)</f>
        <v/>
      </c>
      <c r="R101" s="16">
        <f>ROUND(R100+IF(AND(E101=14,F101&lt;&gt;"ASTM A416"),L101,0),3)</f>
        <v/>
      </c>
      <c r="S101" s="16">
        <f>ROUND(S100+IF(AND(E101=16,F101&lt;&gt;"ASTM A416"),L101,0),3)</f>
        <v/>
      </c>
      <c r="T101" s="16">
        <f>ROUND(T100+IF(AND(E101=18,F101&lt;&gt;"ASTM A416"),L101,0),3)</f>
        <v/>
      </c>
      <c r="U101" s="16">
        <f>ROUND(U100+IF(AND(E101=20,F101&lt;&gt;"ASTM A416"),L101,0),3)</f>
        <v/>
      </c>
      <c r="V101" s="16">
        <f>ROUND(V100+IF(AND(E101=22,F101&lt;&gt;"ASTM A416"),L101,0),3)</f>
        <v/>
      </c>
      <c r="W101" s="16">
        <f>ROUND(W100+IF(AND(E101=25,F101&lt;&gt;"ASTM A416"),L101,0),3)</f>
        <v/>
      </c>
      <c r="X101" s="16">
        <f>ROUND(X100+IF(AND(E101=28,F101&lt;&gt;"ASTM A416"),L101,0),3)</f>
        <v/>
      </c>
      <c r="Y101" s="16">
        <f>ROUND(Y100+IF(AND(E101=32,F101&lt;&gt;"ASTM A416"),L101,0),3)</f>
        <v/>
      </c>
      <c r="Z101" s="16">
        <f>ROUND(Z100+IF(F101="ASTM A416",L101,0),3)</f>
        <v/>
      </c>
      <c r="AA101" s="9">
        <f>IF(ROUNDUP(P101/20,0)&gt;ROUNDUP(P100/20,0),"Lần " &amp; ROUNDUP(P101/20,0),"")</f>
        <v/>
      </c>
      <c r="AB101" s="9">
        <f>IF(ROUNDUP(Q101/20,0)&gt;ROUNDUP(Q100/20,0),"Lần " &amp; ROUNDUP(Q101/20,0),"")</f>
        <v/>
      </c>
      <c r="AC101" s="9">
        <f>IF(ROUNDUP(R101/20,0)&gt;ROUNDUP(R100/20,0),"Lần " &amp; ROUNDUP(R101/20,0),"")</f>
        <v/>
      </c>
      <c r="AD101" s="9">
        <f>IF(ROUNDUP(S101/20,0)&gt;ROUNDUP(S100/20,0),"Lần " &amp; ROUNDUP(S101/20,0),"")</f>
        <v/>
      </c>
      <c r="AE101" s="9">
        <f>IF(ROUNDUP(T101/20,0)&gt;ROUNDUP(T100/20,0),"Lần " &amp; ROUNDUP(T101/20,0),"")</f>
        <v/>
      </c>
      <c r="AF101" s="9">
        <f>IF(ROUNDUP(U101/20,0)&gt;ROUNDUP(U100/20,0),"Lần " &amp; ROUNDUP(U101/20,0),"")</f>
        <v/>
      </c>
      <c r="AG101" s="9">
        <f>IF(ROUNDUP(V101/20,0)&gt;ROUNDUP(V100/20,0),"Lần " &amp; ROUNDUP(V101/20,0),"")</f>
        <v/>
      </c>
      <c r="AH101" s="9">
        <f>IF(ROUNDUP(W101/20,0)&gt;ROUNDUP(W100/20,0),"Lần " &amp; ROUNDUP(W101/20,0),"")</f>
        <v/>
      </c>
      <c r="AI101" s="9">
        <f>IF(ROUNDUP(X101/20,0)&gt;ROUNDUP(X100/20,0),"Lần " &amp; ROUNDUP(X101/20,0),"")</f>
        <v/>
      </c>
      <c r="AJ101" s="9">
        <f>IF(ROUNDUP(Y101/20,0)&gt;ROUNDUP(Y100/20,0),"Lần " &amp; ROUNDUP(Y101/20,0),"")</f>
        <v/>
      </c>
      <c r="AK101" s="9">
        <f>IF(ROUNDUP(Z101/20,0)&gt;ROUNDUP(Z100/20,0),"Lần " &amp; ROUNDUP(Z101/20,0),"")</f>
        <v/>
      </c>
      <c r="AL101" s="4" t="n"/>
      <c r="AN101" s="596" t="inlineStr">
        <is>
          <t>Coc</t>
        </is>
      </c>
      <c r="AO101" s="596" t="n">
        <v>10</v>
      </c>
      <c r="AQ101" s="594" t="n"/>
      <c r="AR101" s="595" t="n"/>
    </row>
    <row r="102" ht="19" customHeight="1" s="672">
      <c r="A102" s="4" t="n">
        <v>93</v>
      </c>
      <c r="B102" s="5" t="inlineStr">
        <is>
          <t>Cọc khoan nhồi C3 Trụ T1 (D1.2m, L=40.0m)</t>
        </is>
      </c>
      <c r="C102" s="5" t="inlineStr">
        <is>
          <t>Cọc trụ T1 L=40m (tr.68)</t>
        </is>
      </c>
      <c r="D102" s="14" t="inlineStr">
        <is>
          <t>P1B</t>
        </is>
      </c>
      <c r="E102" s="15" t="n">
        <v>10</v>
      </c>
      <c r="F102" s="4" t="inlineStr">
        <is>
          <t>CB240-T</t>
        </is>
      </c>
      <c r="G102" s="5" t="inlineStr"/>
      <c r="H102" s="16" t="n">
        <v>206.981</v>
      </c>
      <c r="I102" s="17" t="n">
        <v>1</v>
      </c>
      <c r="J102" s="18" t="n">
        <v>0.617</v>
      </c>
      <c r="K102" s="7">
        <f>ROUND(H102*I102*J102, 2)</f>
        <v/>
      </c>
      <c r="L102" s="19">
        <f>ROUND(K102/1000, 3)</f>
        <v/>
      </c>
      <c r="M102" s="728">
        <f>IF(AO102="","",IF(N(INDEX(Theo_Doi_Tan_Suat_Be_Tong!$C:$C,AO102))&lt;=0,"",INDEX(Theo_Doi_Tan_Suat_Be_Tong!$C:$C,AO102)-VLOOKUP(AN102,$AQ$2:$AR$7,2,FALSE)))</f>
        <v/>
      </c>
      <c r="N102" s="4" t="n"/>
      <c r="O102" s="20">
        <f>IF(ROUNDUP(P102/20,0)&gt;ROUNDUP(P101/20,0),"TN Ø10 (Lần " &amp; ROUNDUP(P102/20,0) &amp; ")","")</f>
        <v/>
      </c>
      <c r="P102" s="16">
        <f>ROUND(P101+IF(AND(E102&lt;=10,F102&lt;&gt;"ASTM A416"),L102,0),3)</f>
        <v/>
      </c>
      <c r="Q102" s="16">
        <f>ROUND(Q101+IF(AND(E102=12,F102&lt;&gt;"ASTM A416"),L102,0),3)</f>
        <v/>
      </c>
      <c r="R102" s="16">
        <f>ROUND(R101+IF(AND(E102=14,F102&lt;&gt;"ASTM A416"),L102,0),3)</f>
        <v/>
      </c>
      <c r="S102" s="16">
        <f>ROUND(S101+IF(AND(E102=16,F102&lt;&gt;"ASTM A416"),L102,0),3)</f>
        <v/>
      </c>
      <c r="T102" s="16">
        <f>ROUND(T101+IF(AND(E102=18,F102&lt;&gt;"ASTM A416"),L102,0),3)</f>
        <v/>
      </c>
      <c r="U102" s="16">
        <f>ROUND(U101+IF(AND(E102=20,F102&lt;&gt;"ASTM A416"),L102,0),3)</f>
        <v/>
      </c>
      <c r="V102" s="16">
        <f>ROUND(V101+IF(AND(E102=22,F102&lt;&gt;"ASTM A416"),L102,0),3)</f>
        <v/>
      </c>
      <c r="W102" s="16">
        <f>ROUND(W101+IF(AND(E102=25,F102&lt;&gt;"ASTM A416"),L102,0),3)</f>
        <v/>
      </c>
      <c r="X102" s="16">
        <f>ROUND(X101+IF(AND(E102=28,F102&lt;&gt;"ASTM A416"),L102,0),3)</f>
        <v/>
      </c>
      <c r="Y102" s="16">
        <f>ROUND(Y101+IF(AND(E102=32,F102&lt;&gt;"ASTM A416"),L102,0),3)</f>
        <v/>
      </c>
      <c r="Z102" s="16">
        <f>ROUND(Z101+IF(F102="ASTM A416",L102,0),3)</f>
        <v/>
      </c>
      <c r="AA102" s="9">
        <f>IF(ROUNDUP(P102/20,0)&gt;ROUNDUP(P101/20,0),"Lần " &amp; ROUNDUP(P102/20,0),"")</f>
        <v/>
      </c>
      <c r="AB102" s="9">
        <f>IF(ROUNDUP(Q102/20,0)&gt;ROUNDUP(Q101/20,0),"Lần " &amp; ROUNDUP(Q102/20,0),"")</f>
        <v/>
      </c>
      <c r="AC102" s="9">
        <f>IF(ROUNDUP(R102/20,0)&gt;ROUNDUP(R101/20,0),"Lần " &amp; ROUNDUP(R102/20,0),"")</f>
        <v/>
      </c>
      <c r="AD102" s="9">
        <f>IF(ROUNDUP(S102/20,0)&gt;ROUNDUP(S101/20,0),"Lần " &amp; ROUNDUP(S102/20,0),"")</f>
        <v/>
      </c>
      <c r="AE102" s="9">
        <f>IF(ROUNDUP(T102/20,0)&gt;ROUNDUP(T101/20,0),"Lần " &amp; ROUNDUP(T102/20,0),"")</f>
        <v/>
      </c>
      <c r="AF102" s="9">
        <f>IF(ROUNDUP(U102/20,0)&gt;ROUNDUP(U101/20,0),"Lần " &amp; ROUNDUP(U102/20,0),"")</f>
        <v/>
      </c>
      <c r="AG102" s="9">
        <f>IF(ROUNDUP(V102/20,0)&gt;ROUNDUP(V101/20,0),"Lần " &amp; ROUNDUP(V102/20,0),"")</f>
        <v/>
      </c>
      <c r="AH102" s="9">
        <f>IF(ROUNDUP(W102/20,0)&gt;ROUNDUP(W101/20,0),"Lần " &amp; ROUNDUP(W102/20,0),"")</f>
        <v/>
      </c>
      <c r="AI102" s="9">
        <f>IF(ROUNDUP(X102/20,0)&gt;ROUNDUP(X101/20,0),"Lần " &amp; ROUNDUP(X102/20,0),"")</f>
        <v/>
      </c>
      <c r="AJ102" s="9">
        <f>IF(ROUNDUP(Y102/20,0)&gt;ROUNDUP(Y101/20,0),"Lần " &amp; ROUNDUP(Y102/20,0),"")</f>
        <v/>
      </c>
      <c r="AK102" s="9">
        <f>IF(ROUNDUP(Z102/20,0)&gt;ROUNDUP(Z101/20,0),"Lần " &amp; ROUNDUP(Z102/20,0),"")</f>
        <v/>
      </c>
      <c r="AL102" s="4" t="n"/>
      <c r="AN102" s="596" t="inlineStr">
        <is>
          <t>Coc</t>
        </is>
      </c>
      <c r="AO102" s="596" t="n">
        <v>10</v>
      </c>
      <c r="AQ102" s="594" t="n"/>
      <c r="AR102" s="595" t="n"/>
    </row>
    <row r="103" ht="19" customHeight="1" s="672">
      <c r="A103" s="4" t="n">
        <v>94</v>
      </c>
      <c r="B103" s="5" t="inlineStr">
        <is>
          <t>Cọc khoan nhồi C3 Trụ T1 (D1.2m, L=40.0m)</t>
        </is>
      </c>
      <c r="C103" s="5" t="inlineStr">
        <is>
          <t>Cọc trụ T1 L=40m (tr.68)</t>
        </is>
      </c>
      <c r="D103" s="14" t="inlineStr">
        <is>
          <t>P1C</t>
        </is>
      </c>
      <c r="E103" s="15" t="n">
        <v>10</v>
      </c>
      <c r="F103" s="4" t="inlineStr">
        <is>
          <t>CB240-T</t>
        </is>
      </c>
      <c r="G103" s="5" t="inlineStr"/>
      <c r="H103" s="16" t="n">
        <v>3.592</v>
      </c>
      <c r="I103" s="17" t="n">
        <v>2</v>
      </c>
      <c r="J103" s="18" t="n">
        <v>0.617</v>
      </c>
      <c r="K103" s="7">
        <f>ROUND(H103*I103*J103, 2)</f>
        <v/>
      </c>
      <c r="L103" s="19">
        <f>ROUND(K103/1000, 3)</f>
        <v/>
      </c>
      <c r="M103" s="728">
        <f>IF(AO103="","",IF(N(INDEX(Theo_Doi_Tan_Suat_Be_Tong!$C:$C,AO103))&lt;=0,"",INDEX(Theo_Doi_Tan_Suat_Be_Tong!$C:$C,AO103)-VLOOKUP(AN103,$AQ$2:$AR$7,2,FALSE)))</f>
        <v/>
      </c>
      <c r="N103" s="4" t="n"/>
      <c r="O103" s="20">
        <f>IF(ROUNDUP(P103/20,0)&gt;ROUNDUP(P102/20,0),"TN Ø10 (Lần " &amp; ROUNDUP(P103/20,0) &amp; ")","")</f>
        <v/>
      </c>
      <c r="P103" s="16">
        <f>ROUND(P102+IF(AND(E103&lt;=10,F103&lt;&gt;"ASTM A416"),L103,0),3)</f>
        <v/>
      </c>
      <c r="Q103" s="16">
        <f>ROUND(Q102+IF(AND(E103=12,F103&lt;&gt;"ASTM A416"),L103,0),3)</f>
        <v/>
      </c>
      <c r="R103" s="16">
        <f>ROUND(R102+IF(AND(E103=14,F103&lt;&gt;"ASTM A416"),L103,0),3)</f>
        <v/>
      </c>
      <c r="S103" s="16">
        <f>ROUND(S102+IF(AND(E103=16,F103&lt;&gt;"ASTM A416"),L103,0),3)</f>
        <v/>
      </c>
      <c r="T103" s="16">
        <f>ROUND(T102+IF(AND(E103=18,F103&lt;&gt;"ASTM A416"),L103,0),3)</f>
        <v/>
      </c>
      <c r="U103" s="16">
        <f>ROUND(U102+IF(AND(E103=20,F103&lt;&gt;"ASTM A416"),L103,0),3)</f>
        <v/>
      </c>
      <c r="V103" s="16">
        <f>ROUND(V102+IF(AND(E103=22,F103&lt;&gt;"ASTM A416"),L103,0),3)</f>
        <v/>
      </c>
      <c r="W103" s="16">
        <f>ROUND(W102+IF(AND(E103=25,F103&lt;&gt;"ASTM A416"),L103,0),3)</f>
        <v/>
      </c>
      <c r="X103" s="16">
        <f>ROUND(X102+IF(AND(E103=28,F103&lt;&gt;"ASTM A416"),L103,0),3)</f>
        <v/>
      </c>
      <c r="Y103" s="16">
        <f>ROUND(Y102+IF(AND(E103=32,F103&lt;&gt;"ASTM A416"),L103,0),3)</f>
        <v/>
      </c>
      <c r="Z103" s="16">
        <f>ROUND(Z102+IF(F103="ASTM A416",L103,0),3)</f>
        <v/>
      </c>
      <c r="AA103" s="9">
        <f>IF(ROUNDUP(P103/20,0)&gt;ROUNDUP(P102/20,0),"Lần " &amp; ROUNDUP(P103/20,0),"")</f>
        <v/>
      </c>
      <c r="AB103" s="9">
        <f>IF(ROUNDUP(Q103/20,0)&gt;ROUNDUP(Q102/20,0),"Lần " &amp; ROUNDUP(Q103/20,0),"")</f>
        <v/>
      </c>
      <c r="AC103" s="9">
        <f>IF(ROUNDUP(R103/20,0)&gt;ROUNDUP(R102/20,0),"Lần " &amp; ROUNDUP(R103/20,0),"")</f>
        <v/>
      </c>
      <c r="AD103" s="9">
        <f>IF(ROUNDUP(S103/20,0)&gt;ROUNDUP(S102/20,0),"Lần " &amp; ROUNDUP(S103/20,0),"")</f>
        <v/>
      </c>
      <c r="AE103" s="9">
        <f>IF(ROUNDUP(T103/20,0)&gt;ROUNDUP(T102/20,0),"Lần " &amp; ROUNDUP(T103/20,0),"")</f>
        <v/>
      </c>
      <c r="AF103" s="9">
        <f>IF(ROUNDUP(U103/20,0)&gt;ROUNDUP(U102/20,0),"Lần " &amp; ROUNDUP(U103/20,0),"")</f>
        <v/>
      </c>
      <c r="AG103" s="9">
        <f>IF(ROUNDUP(V103/20,0)&gt;ROUNDUP(V102/20,0),"Lần " &amp; ROUNDUP(V103/20,0),"")</f>
        <v/>
      </c>
      <c r="AH103" s="9">
        <f>IF(ROUNDUP(W103/20,0)&gt;ROUNDUP(W102/20,0),"Lần " &amp; ROUNDUP(W103/20,0),"")</f>
        <v/>
      </c>
      <c r="AI103" s="9">
        <f>IF(ROUNDUP(X103/20,0)&gt;ROUNDUP(X102/20,0),"Lần " &amp; ROUNDUP(X103/20,0),"")</f>
        <v/>
      </c>
      <c r="AJ103" s="9">
        <f>IF(ROUNDUP(Y103/20,0)&gt;ROUNDUP(Y102/20,0),"Lần " &amp; ROUNDUP(Y103/20,0),"")</f>
        <v/>
      </c>
      <c r="AK103" s="9">
        <f>IF(ROUNDUP(Z103/20,0)&gt;ROUNDUP(Z102/20,0),"Lần " &amp; ROUNDUP(Z103/20,0),"")</f>
        <v/>
      </c>
      <c r="AL103" s="4" t="n"/>
      <c r="AN103" s="596" t="inlineStr">
        <is>
          <t>Coc</t>
        </is>
      </c>
      <c r="AO103" s="596" t="n">
        <v>10</v>
      </c>
      <c r="AQ103" s="594" t="n"/>
      <c r="AR103" s="595" t="n"/>
    </row>
    <row r="104" ht="19" customHeight="1" s="672">
      <c r="A104" s="4" t="n">
        <v>95</v>
      </c>
      <c r="B104" s="5" t="inlineStr">
        <is>
          <t>Cọc khoan nhồi C3 Trụ T1 (D1.2m, L=40.0m)</t>
        </is>
      </c>
      <c r="C104" s="5" t="inlineStr">
        <is>
          <t>Cọc trụ T1 L=40m (tr.68)</t>
        </is>
      </c>
      <c r="D104" s="14" t="inlineStr">
        <is>
          <t>P1D</t>
        </is>
      </c>
      <c r="E104" s="15" t="n">
        <v>10</v>
      </c>
      <c r="F104" s="4" t="inlineStr">
        <is>
          <t>CB240-T</t>
        </is>
      </c>
      <c r="G104" s="5" t="inlineStr"/>
      <c r="H104" s="16" t="n">
        <v>19.721</v>
      </c>
      <c r="I104" s="17" t="n">
        <v>1</v>
      </c>
      <c r="J104" s="18" t="n">
        <v>0.617</v>
      </c>
      <c r="K104" s="7">
        <f>ROUND(H104*I104*J104, 2)</f>
        <v/>
      </c>
      <c r="L104" s="19">
        <f>ROUND(K104/1000, 3)</f>
        <v/>
      </c>
      <c r="M104" s="728">
        <f>IF(AO104="","",IF(N(INDEX(Theo_Doi_Tan_Suat_Be_Tong!$C:$C,AO104))&lt;=0,"",INDEX(Theo_Doi_Tan_Suat_Be_Tong!$C:$C,AO104)-VLOOKUP(AN104,$AQ$2:$AR$7,2,FALSE)))</f>
        <v/>
      </c>
      <c r="N104" s="4" t="n"/>
      <c r="O104" s="20">
        <f>IF(ROUNDUP(P104/20,0)&gt;ROUNDUP(P103/20,0),"TN Ø10 (Lần " &amp; ROUNDUP(P104/20,0) &amp; ")","")</f>
        <v/>
      </c>
      <c r="P104" s="16">
        <f>ROUND(P103+IF(AND(E104&lt;=10,F104&lt;&gt;"ASTM A416"),L104,0),3)</f>
        <v/>
      </c>
      <c r="Q104" s="16">
        <f>ROUND(Q103+IF(AND(E104=12,F104&lt;&gt;"ASTM A416"),L104,0),3)</f>
        <v/>
      </c>
      <c r="R104" s="16">
        <f>ROUND(R103+IF(AND(E104=14,F104&lt;&gt;"ASTM A416"),L104,0),3)</f>
        <v/>
      </c>
      <c r="S104" s="16">
        <f>ROUND(S103+IF(AND(E104=16,F104&lt;&gt;"ASTM A416"),L104,0),3)</f>
        <v/>
      </c>
      <c r="T104" s="16">
        <f>ROUND(T103+IF(AND(E104=18,F104&lt;&gt;"ASTM A416"),L104,0),3)</f>
        <v/>
      </c>
      <c r="U104" s="16">
        <f>ROUND(U103+IF(AND(E104=20,F104&lt;&gt;"ASTM A416"),L104,0),3)</f>
        <v/>
      </c>
      <c r="V104" s="16">
        <f>ROUND(V103+IF(AND(E104=22,F104&lt;&gt;"ASTM A416"),L104,0),3)</f>
        <v/>
      </c>
      <c r="W104" s="16">
        <f>ROUND(W103+IF(AND(E104=25,F104&lt;&gt;"ASTM A416"),L104,0),3)</f>
        <v/>
      </c>
      <c r="X104" s="16">
        <f>ROUND(X103+IF(AND(E104=28,F104&lt;&gt;"ASTM A416"),L104,0),3)</f>
        <v/>
      </c>
      <c r="Y104" s="16">
        <f>ROUND(Y103+IF(AND(E104=32,F104&lt;&gt;"ASTM A416"),L104,0),3)</f>
        <v/>
      </c>
      <c r="Z104" s="16">
        <f>ROUND(Z103+IF(F104="ASTM A416",L104,0),3)</f>
        <v/>
      </c>
      <c r="AA104" s="9">
        <f>IF(ROUNDUP(P104/20,0)&gt;ROUNDUP(P103/20,0),"Lần " &amp; ROUNDUP(P104/20,0),"")</f>
        <v/>
      </c>
      <c r="AB104" s="9">
        <f>IF(ROUNDUP(Q104/20,0)&gt;ROUNDUP(Q103/20,0),"Lần " &amp; ROUNDUP(Q104/20,0),"")</f>
        <v/>
      </c>
      <c r="AC104" s="9">
        <f>IF(ROUNDUP(R104/20,0)&gt;ROUNDUP(R103/20,0),"Lần " &amp; ROUNDUP(R104/20,0),"")</f>
        <v/>
      </c>
      <c r="AD104" s="9">
        <f>IF(ROUNDUP(S104/20,0)&gt;ROUNDUP(S103/20,0),"Lần " &amp; ROUNDUP(S104/20,0),"")</f>
        <v/>
      </c>
      <c r="AE104" s="9">
        <f>IF(ROUNDUP(T104/20,0)&gt;ROUNDUP(T103/20,0),"Lần " &amp; ROUNDUP(T104/20,0),"")</f>
        <v/>
      </c>
      <c r="AF104" s="9">
        <f>IF(ROUNDUP(U104/20,0)&gt;ROUNDUP(U103/20,0),"Lần " &amp; ROUNDUP(U104/20,0),"")</f>
        <v/>
      </c>
      <c r="AG104" s="9">
        <f>IF(ROUNDUP(V104/20,0)&gt;ROUNDUP(V103/20,0),"Lần " &amp; ROUNDUP(V104/20,0),"")</f>
        <v/>
      </c>
      <c r="AH104" s="9">
        <f>IF(ROUNDUP(W104/20,0)&gt;ROUNDUP(W103/20,0),"Lần " &amp; ROUNDUP(W104/20,0),"")</f>
        <v/>
      </c>
      <c r="AI104" s="9">
        <f>IF(ROUNDUP(X104/20,0)&gt;ROUNDUP(X103/20,0),"Lần " &amp; ROUNDUP(X104/20,0),"")</f>
        <v/>
      </c>
      <c r="AJ104" s="9">
        <f>IF(ROUNDUP(Y104/20,0)&gt;ROUNDUP(Y103/20,0),"Lần " &amp; ROUNDUP(Y104/20,0),"")</f>
        <v/>
      </c>
      <c r="AK104" s="9">
        <f>IF(ROUNDUP(Z104/20,0)&gt;ROUNDUP(Z103/20,0),"Lần " &amp; ROUNDUP(Z104/20,0),"")</f>
        <v/>
      </c>
      <c r="AL104" s="4" t="n"/>
      <c r="AN104" s="596" t="inlineStr">
        <is>
          <t>Coc</t>
        </is>
      </c>
      <c r="AO104" s="596" t="n">
        <v>10</v>
      </c>
      <c r="AQ104" s="594" t="n"/>
      <c r="AR104" s="595" t="n"/>
    </row>
    <row r="105" ht="19" customHeight="1" s="672">
      <c r="A105" s="4" t="n">
        <v>96</v>
      </c>
      <c r="B105" s="5" t="inlineStr">
        <is>
          <t>Cọc khoan nhồi C3 Trụ T1 (D1.2m, L=40.0m)</t>
        </is>
      </c>
      <c r="C105" s="5" t="inlineStr">
        <is>
          <t>Cọc trụ T1 L=40m (tr.68)</t>
        </is>
      </c>
      <c r="D105" s="14" t="inlineStr">
        <is>
          <t>P2B</t>
        </is>
      </c>
      <c r="E105" s="15" t="n">
        <v>25</v>
      </c>
      <c r="F105" s="4" t="inlineStr">
        <is>
          <t>CB400-V</t>
        </is>
      </c>
      <c r="G105" s="5" t="inlineStr"/>
      <c r="H105" s="16" t="n">
        <v>2.985</v>
      </c>
      <c r="I105" s="17" t="n">
        <v>16</v>
      </c>
      <c r="J105" s="18" t="n">
        <v>3.853</v>
      </c>
      <c r="K105" s="7">
        <f>ROUND(H105*I105*J105, 2)</f>
        <v/>
      </c>
      <c r="L105" s="19">
        <f>ROUND(K105/1000, 3)</f>
        <v/>
      </c>
      <c r="M105" s="728">
        <f>IF(AO105="","",IF(N(INDEX(Theo_Doi_Tan_Suat_Be_Tong!$C:$C,AO105))&lt;=0,"",INDEX(Theo_Doi_Tan_Suat_Be_Tong!$C:$C,AO105)-VLOOKUP(AN105,$AQ$2:$AR$7,2,FALSE)))</f>
        <v/>
      </c>
      <c r="N105" s="4" t="n"/>
      <c r="O105" s="20">
        <f>IF(ROUNDUP(W105/20,0)&gt;ROUNDUP(W104/20,0),"TN Ø25 (Lần " &amp; ROUNDUP(W105/20,0) &amp; ")","")</f>
        <v/>
      </c>
      <c r="P105" s="16">
        <f>ROUND(P104+IF(AND(E105&lt;=10,F105&lt;&gt;"ASTM A416"),L105,0),3)</f>
        <v/>
      </c>
      <c r="Q105" s="16">
        <f>ROUND(Q104+IF(AND(E105=12,F105&lt;&gt;"ASTM A416"),L105,0),3)</f>
        <v/>
      </c>
      <c r="R105" s="16">
        <f>ROUND(R104+IF(AND(E105=14,F105&lt;&gt;"ASTM A416"),L105,0),3)</f>
        <v/>
      </c>
      <c r="S105" s="16">
        <f>ROUND(S104+IF(AND(E105=16,F105&lt;&gt;"ASTM A416"),L105,0),3)</f>
        <v/>
      </c>
      <c r="T105" s="16">
        <f>ROUND(T104+IF(AND(E105=18,F105&lt;&gt;"ASTM A416"),L105,0),3)</f>
        <v/>
      </c>
      <c r="U105" s="16">
        <f>ROUND(U104+IF(AND(E105=20,F105&lt;&gt;"ASTM A416"),L105,0),3)</f>
        <v/>
      </c>
      <c r="V105" s="16">
        <f>ROUND(V104+IF(AND(E105=22,F105&lt;&gt;"ASTM A416"),L105,0),3)</f>
        <v/>
      </c>
      <c r="W105" s="16">
        <f>ROUND(W104+IF(AND(E105=25,F105&lt;&gt;"ASTM A416"),L105,0),3)</f>
        <v/>
      </c>
      <c r="X105" s="16">
        <f>ROUND(X104+IF(AND(E105=28,F105&lt;&gt;"ASTM A416"),L105,0),3)</f>
        <v/>
      </c>
      <c r="Y105" s="16">
        <f>ROUND(Y104+IF(AND(E105=32,F105&lt;&gt;"ASTM A416"),L105,0),3)</f>
        <v/>
      </c>
      <c r="Z105" s="16">
        <f>ROUND(Z104+IF(F105="ASTM A416",L105,0),3)</f>
        <v/>
      </c>
      <c r="AA105" s="9">
        <f>IF(ROUNDUP(P105/20,0)&gt;ROUNDUP(P104/20,0),"Lần " &amp; ROUNDUP(P105/20,0),"")</f>
        <v/>
      </c>
      <c r="AB105" s="9">
        <f>IF(ROUNDUP(Q105/20,0)&gt;ROUNDUP(Q104/20,0),"Lần " &amp; ROUNDUP(Q105/20,0),"")</f>
        <v/>
      </c>
      <c r="AC105" s="9">
        <f>IF(ROUNDUP(R105/20,0)&gt;ROUNDUP(R104/20,0),"Lần " &amp; ROUNDUP(R105/20,0),"")</f>
        <v/>
      </c>
      <c r="AD105" s="9">
        <f>IF(ROUNDUP(S105/20,0)&gt;ROUNDUP(S104/20,0),"Lần " &amp; ROUNDUP(S105/20,0),"")</f>
        <v/>
      </c>
      <c r="AE105" s="9">
        <f>IF(ROUNDUP(T105/20,0)&gt;ROUNDUP(T104/20,0),"Lần " &amp; ROUNDUP(T105/20,0),"")</f>
        <v/>
      </c>
      <c r="AF105" s="9">
        <f>IF(ROUNDUP(U105/20,0)&gt;ROUNDUP(U104/20,0),"Lần " &amp; ROUNDUP(U105/20,0),"")</f>
        <v/>
      </c>
      <c r="AG105" s="9">
        <f>IF(ROUNDUP(V105/20,0)&gt;ROUNDUP(V104/20,0),"Lần " &amp; ROUNDUP(V105/20,0),"")</f>
        <v/>
      </c>
      <c r="AH105" s="9">
        <f>IF(ROUNDUP(W105/20,0)&gt;ROUNDUP(W104/20,0),"Lần " &amp; ROUNDUP(W105/20,0),"")</f>
        <v/>
      </c>
      <c r="AI105" s="9">
        <f>IF(ROUNDUP(X105/20,0)&gt;ROUNDUP(X104/20,0),"Lần " &amp; ROUNDUP(X105/20,0),"")</f>
        <v/>
      </c>
      <c r="AJ105" s="9">
        <f>IF(ROUNDUP(Y105/20,0)&gt;ROUNDUP(Y104/20,0),"Lần " &amp; ROUNDUP(Y105/20,0),"")</f>
        <v/>
      </c>
      <c r="AK105" s="9">
        <f>IF(ROUNDUP(Z105/20,0)&gt;ROUNDUP(Z104/20,0),"Lần " &amp; ROUNDUP(Z105/20,0),"")</f>
        <v/>
      </c>
      <c r="AL105" s="4" t="n"/>
      <c r="AN105" s="596" t="inlineStr">
        <is>
          <t>Coc</t>
        </is>
      </c>
      <c r="AO105" s="596" t="n">
        <v>10</v>
      </c>
      <c r="AQ105" s="594" t="n"/>
      <c r="AR105" s="595" t="n"/>
    </row>
    <row r="106" ht="19" customHeight="1" s="672">
      <c r="A106" s="4" t="n">
        <v>97</v>
      </c>
      <c r="B106" s="5" t="inlineStr">
        <is>
          <t>Cọc khoan nhồi C3 Trụ T1 (D1.2m, L=40.0m)</t>
        </is>
      </c>
      <c r="C106" s="5" t="inlineStr">
        <is>
          <t>Cọc trụ T1 L=40m (tr.68)</t>
        </is>
      </c>
      <c r="D106" s="14" t="inlineStr">
        <is>
          <t>P3</t>
        </is>
      </c>
      <c r="E106" s="15" t="n">
        <v>25</v>
      </c>
      <c r="F106" s="4" t="inlineStr">
        <is>
          <t>CB400-V</t>
        </is>
      </c>
      <c r="G106" s="5" t="inlineStr"/>
      <c r="H106" s="16" t="n">
        <v>10.7</v>
      </c>
      <c r="I106" s="17" t="n">
        <v>12</v>
      </c>
      <c r="J106" s="18" t="n">
        <v>3.853</v>
      </c>
      <c r="K106" s="7">
        <f>ROUND(H106*I106*J106, 2)</f>
        <v/>
      </c>
      <c r="L106" s="19">
        <f>ROUND(K106/1000, 3)</f>
        <v/>
      </c>
      <c r="M106" s="728">
        <f>IF(AO106="","",IF(N(INDEX(Theo_Doi_Tan_Suat_Be_Tong!$C:$C,AO106))&lt;=0,"",INDEX(Theo_Doi_Tan_Suat_Be_Tong!$C:$C,AO106)-VLOOKUP(AN106,$AQ$2:$AR$7,2,FALSE)))</f>
        <v/>
      </c>
      <c r="N106" s="4" t="n"/>
      <c r="O106" s="20">
        <f>IF(ROUNDUP(W106/20,0)&gt;ROUNDUP(W105/20,0),"TN Ø25 (Lần " &amp; ROUNDUP(W106/20,0) &amp; ")","")</f>
        <v/>
      </c>
      <c r="P106" s="16">
        <f>ROUND(P105+IF(AND(E106&lt;=10,F106&lt;&gt;"ASTM A416"),L106,0),3)</f>
        <v/>
      </c>
      <c r="Q106" s="16">
        <f>ROUND(Q105+IF(AND(E106=12,F106&lt;&gt;"ASTM A416"),L106,0),3)</f>
        <v/>
      </c>
      <c r="R106" s="16">
        <f>ROUND(R105+IF(AND(E106=14,F106&lt;&gt;"ASTM A416"),L106,0),3)</f>
        <v/>
      </c>
      <c r="S106" s="16">
        <f>ROUND(S105+IF(AND(E106=16,F106&lt;&gt;"ASTM A416"),L106,0),3)</f>
        <v/>
      </c>
      <c r="T106" s="16">
        <f>ROUND(T105+IF(AND(E106=18,F106&lt;&gt;"ASTM A416"),L106,0),3)</f>
        <v/>
      </c>
      <c r="U106" s="16">
        <f>ROUND(U105+IF(AND(E106=20,F106&lt;&gt;"ASTM A416"),L106,0),3)</f>
        <v/>
      </c>
      <c r="V106" s="16">
        <f>ROUND(V105+IF(AND(E106=22,F106&lt;&gt;"ASTM A416"),L106,0),3)</f>
        <v/>
      </c>
      <c r="W106" s="16">
        <f>ROUND(W105+IF(AND(E106=25,F106&lt;&gt;"ASTM A416"),L106,0),3)</f>
        <v/>
      </c>
      <c r="X106" s="16">
        <f>ROUND(X105+IF(AND(E106=28,F106&lt;&gt;"ASTM A416"),L106,0),3)</f>
        <v/>
      </c>
      <c r="Y106" s="16">
        <f>ROUND(Y105+IF(AND(E106=32,F106&lt;&gt;"ASTM A416"),L106,0),3)</f>
        <v/>
      </c>
      <c r="Z106" s="16">
        <f>ROUND(Z105+IF(F106="ASTM A416",L106,0),3)</f>
        <v/>
      </c>
      <c r="AA106" s="9">
        <f>IF(ROUNDUP(P106/20,0)&gt;ROUNDUP(P105/20,0),"Lần " &amp; ROUNDUP(P106/20,0),"")</f>
        <v/>
      </c>
      <c r="AB106" s="9">
        <f>IF(ROUNDUP(Q106/20,0)&gt;ROUNDUP(Q105/20,0),"Lần " &amp; ROUNDUP(Q106/20,0),"")</f>
        <v/>
      </c>
      <c r="AC106" s="9">
        <f>IF(ROUNDUP(R106/20,0)&gt;ROUNDUP(R105/20,0),"Lần " &amp; ROUNDUP(R106/20,0),"")</f>
        <v/>
      </c>
      <c r="AD106" s="9">
        <f>IF(ROUNDUP(S106/20,0)&gt;ROUNDUP(S105/20,0),"Lần " &amp; ROUNDUP(S106/20,0),"")</f>
        <v/>
      </c>
      <c r="AE106" s="9">
        <f>IF(ROUNDUP(T106/20,0)&gt;ROUNDUP(T105/20,0),"Lần " &amp; ROUNDUP(T106/20,0),"")</f>
        <v/>
      </c>
      <c r="AF106" s="9">
        <f>IF(ROUNDUP(U106/20,0)&gt;ROUNDUP(U105/20,0),"Lần " &amp; ROUNDUP(U106/20,0),"")</f>
        <v/>
      </c>
      <c r="AG106" s="9">
        <f>IF(ROUNDUP(V106/20,0)&gt;ROUNDUP(V105/20,0),"Lần " &amp; ROUNDUP(V106/20,0),"")</f>
        <v/>
      </c>
      <c r="AH106" s="9">
        <f>IF(ROUNDUP(W106/20,0)&gt;ROUNDUP(W105/20,0),"Lần " &amp; ROUNDUP(W106/20,0),"")</f>
        <v/>
      </c>
      <c r="AI106" s="9">
        <f>IF(ROUNDUP(X106/20,0)&gt;ROUNDUP(X105/20,0),"Lần " &amp; ROUNDUP(X106/20,0),"")</f>
        <v/>
      </c>
      <c r="AJ106" s="9">
        <f>IF(ROUNDUP(Y106/20,0)&gt;ROUNDUP(Y105/20,0),"Lần " &amp; ROUNDUP(Y106/20,0),"")</f>
        <v/>
      </c>
      <c r="AK106" s="9">
        <f>IF(ROUNDUP(Z106/20,0)&gt;ROUNDUP(Z105/20,0),"Lần " &amp; ROUNDUP(Z106/20,0),"")</f>
        <v/>
      </c>
      <c r="AL106" s="4" t="n"/>
      <c r="AN106" s="596" t="inlineStr">
        <is>
          <t>Coc</t>
        </is>
      </c>
      <c r="AO106" s="596" t="n">
        <v>10</v>
      </c>
      <c r="AQ106" s="594" t="n"/>
      <c r="AR106" s="595" t="n"/>
    </row>
    <row r="107" ht="19" customHeight="1" s="672">
      <c r="A107" s="4" t="n">
        <v>98</v>
      </c>
      <c r="B107" s="5" t="inlineStr">
        <is>
          <t>Cọc khoan nhồi C3 Trụ T1 (D1.2m, L=40.0m)</t>
        </is>
      </c>
      <c r="C107" s="5" t="inlineStr">
        <is>
          <t>Cọc trụ T1 L=40m (tr.68)</t>
        </is>
      </c>
      <c r="D107" s="14" t="inlineStr">
        <is>
          <t>P4</t>
        </is>
      </c>
      <c r="E107" s="15" t="n">
        <v>25</v>
      </c>
      <c r="F107" s="4" t="inlineStr">
        <is>
          <t>CB400-V</t>
        </is>
      </c>
      <c r="G107" s="5" t="inlineStr"/>
      <c r="H107" s="16" t="n">
        <v>11.7</v>
      </c>
      <c r="I107" s="17" t="n">
        <v>60</v>
      </c>
      <c r="J107" s="18" t="n">
        <v>3.853</v>
      </c>
      <c r="K107" s="7">
        <f>ROUND(H107*I107*J107, 2)</f>
        <v/>
      </c>
      <c r="L107" s="19">
        <f>ROUND(K107/1000, 3)</f>
        <v/>
      </c>
      <c r="M107" s="728">
        <f>IF(AO107="","",IF(N(INDEX(Theo_Doi_Tan_Suat_Be_Tong!$C:$C,AO107))&lt;=0,"",INDEX(Theo_Doi_Tan_Suat_Be_Tong!$C:$C,AO107)-VLOOKUP(AN107,$AQ$2:$AR$7,2,FALSE)))</f>
        <v/>
      </c>
      <c r="N107" s="4" t="n"/>
      <c r="O107" s="20">
        <f>IF(ROUNDUP(W107/20,0)&gt;ROUNDUP(W106/20,0),"TN Ø25 (Lần " &amp; ROUNDUP(W107/20,0) &amp; ")","")</f>
        <v/>
      </c>
      <c r="P107" s="16">
        <f>ROUND(P106+IF(AND(E107&lt;=10,F107&lt;&gt;"ASTM A416"),L107,0),3)</f>
        <v/>
      </c>
      <c r="Q107" s="16">
        <f>ROUND(Q106+IF(AND(E107=12,F107&lt;&gt;"ASTM A416"),L107,0),3)</f>
        <v/>
      </c>
      <c r="R107" s="16">
        <f>ROUND(R106+IF(AND(E107=14,F107&lt;&gt;"ASTM A416"),L107,0),3)</f>
        <v/>
      </c>
      <c r="S107" s="16">
        <f>ROUND(S106+IF(AND(E107=16,F107&lt;&gt;"ASTM A416"),L107,0),3)</f>
        <v/>
      </c>
      <c r="T107" s="16">
        <f>ROUND(T106+IF(AND(E107=18,F107&lt;&gt;"ASTM A416"),L107,0),3)</f>
        <v/>
      </c>
      <c r="U107" s="16">
        <f>ROUND(U106+IF(AND(E107=20,F107&lt;&gt;"ASTM A416"),L107,0),3)</f>
        <v/>
      </c>
      <c r="V107" s="16">
        <f>ROUND(V106+IF(AND(E107=22,F107&lt;&gt;"ASTM A416"),L107,0),3)</f>
        <v/>
      </c>
      <c r="W107" s="16">
        <f>ROUND(W106+IF(AND(E107=25,F107&lt;&gt;"ASTM A416"),L107,0),3)</f>
        <v/>
      </c>
      <c r="X107" s="16">
        <f>ROUND(X106+IF(AND(E107=28,F107&lt;&gt;"ASTM A416"),L107,0),3)</f>
        <v/>
      </c>
      <c r="Y107" s="16">
        <f>ROUND(Y106+IF(AND(E107=32,F107&lt;&gt;"ASTM A416"),L107,0),3)</f>
        <v/>
      </c>
      <c r="Z107" s="16">
        <f>ROUND(Z106+IF(F107="ASTM A416",L107,0),3)</f>
        <v/>
      </c>
      <c r="AA107" s="9">
        <f>IF(ROUNDUP(P107/20,0)&gt;ROUNDUP(P106/20,0),"Lần " &amp; ROUNDUP(P107/20,0),"")</f>
        <v/>
      </c>
      <c r="AB107" s="9">
        <f>IF(ROUNDUP(Q107/20,0)&gt;ROUNDUP(Q106/20,0),"Lần " &amp; ROUNDUP(Q107/20,0),"")</f>
        <v/>
      </c>
      <c r="AC107" s="9">
        <f>IF(ROUNDUP(R107/20,0)&gt;ROUNDUP(R106/20,0),"Lần " &amp; ROUNDUP(R107/20,0),"")</f>
        <v/>
      </c>
      <c r="AD107" s="9">
        <f>IF(ROUNDUP(S107/20,0)&gt;ROUNDUP(S106/20,0),"Lần " &amp; ROUNDUP(S107/20,0),"")</f>
        <v/>
      </c>
      <c r="AE107" s="9">
        <f>IF(ROUNDUP(T107/20,0)&gt;ROUNDUP(T106/20,0),"Lần " &amp; ROUNDUP(T107/20,0),"")</f>
        <v/>
      </c>
      <c r="AF107" s="9">
        <f>IF(ROUNDUP(U107/20,0)&gt;ROUNDUP(U106/20,0),"Lần " &amp; ROUNDUP(U107/20,0),"")</f>
        <v/>
      </c>
      <c r="AG107" s="9">
        <f>IF(ROUNDUP(V107/20,0)&gt;ROUNDUP(V106/20,0),"Lần " &amp; ROUNDUP(V107/20,0),"")</f>
        <v/>
      </c>
      <c r="AH107" s="9">
        <f>IF(ROUNDUP(W107/20,0)&gt;ROUNDUP(W106/20,0),"Lần " &amp; ROUNDUP(W107/20,0),"")</f>
        <v/>
      </c>
      <c r="AI107" s="9">
        <f>IF(ROUNDUP(X107/20,0)&gt;ROUNDUP(X106/20,0),"Lần " &amp; ROUNDUP(X107/20,0),"")</f>
        <v/>
      </c>
      <c r="AJ107" s="9">
        <f>IF(ROUNDUP(Y107/20,0)&gt;ROUNDUP(Y106/20,0),"Lần " &amp; ROUNDUP(Y107/20,0),"")</f>
        <v/>
      </c>
      <c r="AK107" s="9">
        <f>IF(ROUNDUP(Z107/20,0)&gt;ROUNDUP(Z106/20,0),"Lần " &amp; ROUNDUP(Z107/20,0),"")</f>
        <v/>
      </c>
      <c r="AL107" s="4" t="n"/>
      <c r="AN107" s="596" t="inlineStr">
        <is>
          <t>Coc</t>
        </is>
      </c>
      <c r="AO107" s="596" t="n">
        <v>10</v>
      </c>
      <c r="AQ107" s="594" t="n"/>
      <c r="AR107" s="595" t="n"/>
    </row>
    <row r="108" ht="19" customHeight="1" s="672">
      <c r="A108" s="4" t="n">
        <v>99</v>
      </c>
      <c r="B108" s="5" t="inlineStr">
        <is>
          <t>Cọc khoan nhồi C3 Trụ T1 (D1.2m, L=40.0m)</t>
        </is>
      </c>
      <c r="C108" s="5" t="inlineStr">
        <is>
          <t>Cọc trụ T1 L=40m (tr.68)</t>
        </is>
      </c>
      <c r="D108" s="14" t="inlineStr">
        <is>
          <t>P6</t>
        </is>
      </c>
      <c r="E108" s="15" t="n">
        <v>25</v>
      </c>
      <c r="F108" s="4" t="inlineStr">
        <is>
          <t>CB400-V</t>
        </is>
      </c>
      <c r="G108" s="5" t="inlineStr"/>
      <c r="H108" s="16" t="n">
        <v>9.032999999999999</v>
      </c>
      <c r="I108" s="17" t="n">
        <v>12</v>
      </c>
      <c r="J108" s="18" t="n">
        <v>3.853</v>
      </c>
      <c r="K108" s="7">
        <f>ROUND(H108*I108*J108, 2)</f>
        <v/>
      </c>
      <c r="L108" s="19">
        <f>ROUND(K108/1000, 3)</f>
        <v/>
      </c>
      <c r="M108" s="728">
        <f>IF(AO108="","",IF(N(INDEX(Theo_Doi_Tan_Suat_Be_Tong!$C:$C,AO108))&lt;=0,"",INDEX(Theo_Doi_Tan_Suat_Be_Tong!$C:$C,AO108)-VLOOKUP(AN108,$AQ$2:$AR$7,2,FALSE)))</f>
        <v/>
      </c>
      <c r="N108" s="4" t="n"/>
      <c r="O108" s="20">
        <f>IF(ROUNDUP(W108/20,0)&gt;ROUNDUP(W107/20,0),"TN Ø25 (Lần " &amp; ROUNDUP(W108/20,0) &amp; ")","")</f>
        <v/>
      </c>
      <c r="P108" s="16">
        <f>ROUND(P107+IF(AND(E108&lt;=10,F108&lt;&gt;"ASTM A416"),L108,0),3)</f>
        <v/>
      </c>
      <c r="Q108" s="16">
        <f>ROUND(Q107+IF(AND(E108=12,F108&lt;&gt;"ASTM A416"),L108,0),3)</f>
        <v/>
      </c>
      <c r="R108" s="16">
        <f>ROUND(R107+IF(AND(E108=14,F108&lt;&gt;"ASTM A416"),L108,0),3)</f>
        <v/>
      </c>
      <c r="S108" s="16">
        <f>ROUND(S107+IF(AND(E108=16,F108&lt;&gt;"ASTM A416"),L108,0),3)</f>
        <v/>
      </c>
      <c r="T108" s="16">
        <f>ROUND(T107+IF(AND(E108=18,F108&lt;&gt;"ASTM A416"),L108,0),3)</f>
        <v/>
      </c>
      <c r="U108" s="16">
        <f>ROUND(U107+IF(AND(E108=20,F108&lt;&gt;"ASTM A416"),L108,0),3)</f>
        <v/>
      </c>
      <c r="V108" s="16">
        <f>ROUND(V107+IF(AND(E108=22,F108&lt;&gt;"ASTM A416"),L108,0),3)</f>
        <v/>
      </c>
      <c r="W108" s="16">
        <f>ROUND(W107+IF(AND(E108=25,F108&lt;&gt;"ASTM A416"),L108,0),3)</f>
        <v/>
      </c>
      <c r="X108" s="16">
        <f>ROUND(X107+IF(AND(E108=28,F108&lt;&gt;"ASTM A416"),L108,0),3)</f>
        <v/>
      </c>
      <c r="Y108" s="16">
        <f>ROUND(Y107+IF(AND(E108=32,F108&lt;&gt;"ASTM A416"),L108,0),3)</f>
        <v/>
      </c>
      <c r="Z108" s="16">
        <f>ROUND(Z107+IF(F108="ASTM A416",L108,0),3)</f>
        <v/>
      </c>
      <c r="AA108" s="9">
        <f>IF(ROUNDUP(P108/20,0)&gt;ROUNDUP(P107/20,0),"Lần " &amp; ROUNDUP(P108/20,0),"")</f>
        <v/>
      </c>
      <c r="AB108" s="9">
        <f>IF(ROUNDUP(Q108/20,0)&gt;ROUNDUP(Q107/20,0),"Lần " &amp; ROUNDUP(Q108/20,0),"")</f>
        <v/>
      </c>
      <c r="AC108" s="9">
        <f>IF(ROUNDUP(R108/20,0)&gt;ROUNDUP(R107/20,0),"Lần " &amp; ROUNDUP(R108/20,0),"")</f>
        <v/>
      </c>
      <c r="AD108" s="9">
        <f>IF(ROUNDUP(S108/20,0)&gt;ROUNDUP(S107/20,0),"Lần " &amp; ROUNDUP(S108/20,0),"")</f>
        <v/>
      </c>
      <c r="AE108" s="9">
        <f>IF(ROUNDUP(T108/20,0)&gt;ROUNDUP(T107/20,0),"Lần " &amp; ROUNDUP(T108/20,0),"")</f>
        <v/>
      </c>
      <c r="AF108" s="9">
        <f>IF(ROUNDUP(U108/20,0)&gt;ROUNDUP(U107/20,0),"Lần " &amp; ROUNDUP(U108/20,0),"")</f>
        <v/>
      </c>
      <c r="AG108" s="9">
        <f>IF(ROUNDUP(V108/20,0)&gt;ROUNDUP(V107/20,0),"Lần " &amp; ROUNDUP(V108/20,0),"")</f>
        <v/>
      </c>
      <c r="AH108" s="9">
        <f>IF(ROUNDUP(W108/20,0)&gt;ROUNDUP(W107/20,0),"Lần " &amp; ROUNDUP(W108/20,0),"")</f>
        <v/>
      </c>
      <c r="AI108" s="9">
        <f>IF(ROUNDUP(X108/20,0)&gt;ROUNDUP(X107/20,0),"Lần " &amp; ROUNDUP(X108/20,0),"")</f>
        <v/>
      </c>
      <c r="AJ108" s="9">
        <f>IF(ROUNDUP(Y108/20,0)&gt;ROUNDUP(Y107/20,0),"Lần " &amp; ROUNDUP(Y108/20,0),"")</f>
        <v/>
      </c>
      <c r="AK108" s="9">
        <f>IF(ROUNDUP(Z108/20,0)&gt;ROUNDUP(Z107/20,0),"Lần " &amp; ROUNDUP(Z108/20,0),"")</f>
        <v/>
      </c>
      <c r="AL108" s="4" t="n"/>
      <c r="AN108" s="596" t="inlineStr">
        <is>
          <t>Coc</t>
        </is>
      </c>
      <c r="AO108" s="596" t="n">
        <v>10</v>
      </c>
      <c r="AQ108" s="594" t="n"/>
      <c r="AR108" s="595" t="n"/>
    </row>
    <row r="109" ht="19" customHeight="1" s="672">
      <c r="A109" s="4" t="n">
        <v>100</v>
      </c>
      <c r="B109" s="5" t="inlineStr">
        <is>
          <t>Cọc khoan nhồi C3 Trụ T1 (D1.2m, L=40.0m)</t>
        </is>
      </c>
      <c r="C109" s="5" t="inlineStr">
        <is>
          <t>Cọc trụ T1 L=40m (tr.68)</t>
        </is>
      </c>
      <c r="D109" s="14" t="inlineStr">
        <is>
          <t>P7</t>
        </is>
      </c>
      <c r="E109" s="15" t="n">
        <v>25</v>
      </c>
      <c r="F109" s="4" t="inlineStr">
        <is>
          <t>CB400-V</t>
        </is>
      </c>
      <c r="G109" s="5" t="inlineStr"/>
      <c r="H109" s="16" t="n">
        <v>10.033</v>
      </c>
      <c r="I109" s="17" t="n">
        <v>12</v>
      </c>
      <c r="J109" s="18" t="n">
        <v>3.853</v>
      </c>
      <c r="K109" s="7">
        <f>ROUND(H109*I109*J109, 2)</f>
        <v/>
      </c>
      <c r="L109" s="19">
        <f>ROUND(K109/1000, 3)</f>
        <v/>
      </c>
      <c r="M109" s="728">
        <f>IF(AO109="","",IF(N(INDEX(Theo_Doi_Tan_Suat_Be_Tong!$C:$C,AO109))&lt;=0,"",INDEX(Theo_Doi_Tan_Suat_Be_Tong!$C:$C,AO109)-VLOOKUP(AN109,$AQ$2:$AR$7,2,FALSE)))</f>
        <v/>
      </c>
      <c r="N109" s="4" t="n"/>
      <c r="O109" s="20">
        <f>IF(ROUNDUP(W109/20,0)&gt;ROUNDUP(W108/20,0),"TN Ø25 (Lần " &amp; ROUNDUP(W109/20,0) &amp; ")","")</f>
        <v/>
      </c>
      <c r="P109" s="16">
        <f>ROUND(P108+IF(AND(E109&lt;=10,F109&lt;&gt;"ASTM A416"),L109,0),3)</f>
        <v/>
      </c>
      <c r="Q109" s="16">
        <f>ROUND(Q108+IF(AND(E109=12,F109&lt;&gt;"ASTM A416"),L109,0),3)</f>
        <v/>
      </c>
      <c r="R109" s="16">
        <f>ROUND(R108+IF(AND(E109=14,F109&lt;&gt;"ASTM A416"),L109,0),3)</f>
        <v/>
      </c>
      <c r="S109" s="16">
        <f>ROUND(S108+IF(AND(E109=16,F109&lt;&gt;"ASTM A416"),L109,0),3)</f>
        <v/>
      </c>
      <c r="T109" s="16">
        <f>ROUND(T108+IF(AND(E109=18,F109&lt;&gt;"ASTM A416"),L109,0),3)</f>
        <v/>
      </c>
      <c r="U109" s="16">
        <f>ROUND(U108+IF(AND(E109=20,F109&lt;&gt;"ASTM A416"),L109,0),3)</f>
        <v/>
      </c>
      <c r="V109" s="16">
        <f>ROUND(V108+IF(AND(E109=22,F109&lt;&gt;"ASTM A416"),L109,0),3)</f>
        <v/>
      </c>
      <c r="W109" s="16">
        <f>ROUND(W108+IF(AND(E109=25,F109&lt;&gt;"ASTM A416"),L109,0),3)</f>
        <v/>
      </c>
      <c r="X109" s="16">
        <f>ROUND(X108+IF(AND(E109=28,F109&lt;&gt;"ASTM A416"),L109,0),3)</f>
        <v/>
      </c>
      <c r="Y109" s="16">
        <f>ROUND(Y108+IF(AND(E109=32,F109&lt;&gt;"ASTM A416"),L109,0),3)</f>
        <v/>
      </c>
      <c r="Z109" s="16">
        <f>ROUND(Z108+IF(F109="ASTM A416",L109,0),3)</f>
        <v/>
      </c>
      <c r="AA109" s="9">
        <f>IF(ROUNDUP(P109/20,0)&gt;ROUNDUP(P108/20,0),"Lần " &amp; ROUNDUP(P109/20,0),"")</f>
        <v/>
      </c>
      <c r="AB109" s="9">
        <f>IF(ROUNDUP(Q109/20,0)&gt;ROUNDUP(Q108/20,0),"Lần " &amp; ROUNDUP(Q109/20,0),"")</f>
        <v/>
      </c>
      <c r="AC109" s="9">
        <f>IF(ROUNDUP(R109/20,0)&gt;ROUNDUP(R108/20,0),"Lần " &amp; ROUNDUP(R109/20,0),"")</f>
        <v/>
      </c>
      <c r="AD109" s="9">
        <f>IF(ROUNDUP(S109/20,0)&gt;ROUNDUP(S108/20,0),"Lần " &amp; ROUNDUP(S109/20,0),"")</f>
        <v/>
      </c>
      <c r="AE109" s="9">
        <f>IF(ROUNDUP(T109/20,0)&gt;ROUNDUP(T108/20,0),"Lần " &amp; ROUNDUP(T109/20,0),"")</f>
        <v/>
      </c>
      <c r="AF109" s="9">
        <f>IF(ROUNDUP(U109/20,0)&gt;ROUNDUP(U108/20,0),"Lần " &amp; ROUNDUP(U109/20,0),"")</f>
        <v/>
      </c>
      <c r="AG109" s="9">
        <f>IF(ROUNDUP(V109/20,0)&gt;ROUNDUP(V108/20,0),"Lần " &amp; ROUNDUP(V109/20,0),"")</f>
        <v/>
      </c>
      <c r="AH109" s="9">
        <f>IF(ROUNDUP(W109/20,0)&gt;ROUNDUP(W108/20,0),"Lần " &amp; ROUNDUP(W109/20,0),"")</f>
        <v/>
      </c>
      <c r="AI109" s="9">
        <f>IF(ROUNDUP(X109/20,0)&gt;ROUNDUP(X108/20,0),"Lần " &amp; ROUNDUP(X109/20,0),"")</f>
        <v/>
      </c>
      <c r="AJ109" s="9">
        <f>IF(ROUNDUP(Y109/20,0)&gt;ROUNDUP(Y108/20,0),"Lần " &amp; ROUNDUP(Y109/20,0),"")</f>
        <v/>
      </c>
      <c r="AK109" s="9">
        <f>IF(ROUNDUP(Z109/20,0)&gt;ROUNDUP(Z108/20,0),"Lần " &amp; ROUNDUP(Z109/20,0),"")</f>
        <v/>
      </c>
      <c r="AL109" s="4" t="n"/>
      <c r="AN109" s="596" t="inlineStr">
        <is>
          <t>Coc</t>
        </is>
      </c>
      <c r="AO109" s="596" t="n">
        <v>10</v>
      </c>
      <c r="AQ109" s="594" t="n"/>
      <c r="AR109" s="595" t="n"/>
    </row>
    <row r="110" ht="19" customHeight="1" s="672">
      <c r="A110" s="4" t="n">
        <v>101</v>
      </c>
      <c r="B110" s="5" t="inlineStr">
        <is>
          <t>Cọc khoan nhồi C3 Trụ T1 (D1.2m, L=40.0m)</t>
        </is>
      </c>
      <c r="C110" s="5" t="inlineStr">
        <is>
          <t>Cọc trụ T1 L=40m (tr.68)</t>
        </is>
      </c>
      <c r="D110" s="14" t="inlineStr">
        <is>
          <t>P8</t>
        </is>
      </c>
      <c r="E110" s="15" t="n">
        <v>12</v>
      </c>
      <c r="F110" s="4" t="inlineStr">
        <is>
          <t>CB400-V</t>
        </is>
      </c>
      <c r="G110" s="5" t="inlineStr"/>
      <c r="H110" s="16" t="n">
        <v>0.647</v>
      </c>
      <c r="I110" s="17" t="n">
        <v>16</v>
      </c>
      <c r="J110" s="18" t="n">
        <v>0.888</v>
      </c>
      <c r="K110" s="7">
        <f>ROUND(H110*I110*J110, 2)</f>
        <v/>
      </c>
      <c r="L110" s="19">
        <f>ROUND(K110/1000, 3)</f>
        <v/>
      </c>
      <c r="M110" s="728">
        <f>IF(AO110="","",IF(N(INDEX(Theo_Doi_Tan_Suat_Be_Tong!$C:$C,AO110))&lt;=0,"",INDEX(Theo_Doi_Tan_Suat_Be_Tong!$C:$C,AO110)-VLOOKUP(AN110,$AQ$2:$AR$7,2,FALSE)))</f>
        <v/>
      </c>
      <c r="N110" s="4" t="n"/>
      <c r="O110" s="20">
        <f>IF(ROUNDUP(Q110/20,0)&gt;ROUNDUP(Q109/20,0),"TN Ø12 (Lần " &amp; ROUNDUP(Q110/20,0) &amp; ")","")</f>
        <v/>
      </c>
      <c r="P110" s="16">
        <f>ROUND(P109+IF(AND(E110&lt;=10,F110&lt;&gt;"ASTM A416"),L110,0),3)</f>
        <v/>
      </c>
      <c r="Q110" s="16">
        <f>ROUND(Q109+IF(AND(E110=12,F110&lt;&gt;"ASTM A416"),L110,0),3)</f>
        <v/>
      </c>
      <c r="R110" s="16">
        <f>ROUND(R109+IF(AND(E110=14,F110&lt;&gt;"ASTM A416"),L110,0),3)</f>
        <v/>
      </c>
      <c r="S110" s="16">
        <f>ROUND(S109+IF(AND(E110=16,F110&lt;&gt;"ASTM A416"),L110,0),3)</f>
        <v/>
      </c>
      <c r="T110" s="16">
        <f>ROUND(T109+IF(AND(E110=18,F110&lt;&gt;"ASTM A416"),L110,0),3)</f>
        <v/>
      </c>
      <c r="U110" s="16">
        <f>ROUND(U109+IF(AND(E110=20,F110&lt;&gt;"ASTM A416"),L110,0),3)</f>
        <v/>
      </c>
      <c r="V110" s="16">
        <f>ROUND(V109+IF(AND(E110=22,F110&lt;&gt;"ASTM A416"),L110,0),3)</f>
        <v/>
      </c>
      <c r="W110" s="16">
        <f>ROUND(W109+IF(AND(E110=25,F110&lt;&gt;"ASTM A416"),L110,0),3)</f>
        <v/>
      </c>
      <c r="X110" s="16">
        <f>ROUND(X109+IF(AND(E110=28,F110&lt;&gt;"ASTM A416"),L110,0),3)</f>
        <v/>
      </c>
      <c r="Y110" s="16">
        <f>ROUND(Y109+IF(AND(E110=32,F110&lt;&gt;"ASTM A416"),L110,0),3)</f>
        <v/>
      </c>
      <c r="Z110" s="16">
        <f>ROUND(Z109+IF(F110="ASTM A416",L110,0),3)</f>
        <v/>
      </c>
      <c r="AA110" s="9">
        <f>IF(ROUNDUP(P110/20,0)&gt;ROUNDUP(P109/20,0),"Lần " &amp; ROUNDUP(P110/20,0),"")</f>
        <v/>
      </c>
      <c r="AB110" s="9">
        <f>IF(ROUNDUP(Q110/20,0)&gt;ROUNDUP(Q109/20,0),"Lần " &amp; ROUNDUP(Q110/20,0),"")</f>
        <v/>
      </c>
      <c r="AC110" s="9">
        <f>IF(ROUNDUP(R110/20,0)&gt;ROUNDUP(R109/20,0),"Lần " &amp; ROUNDUP(R110/20,0),"")</f>
        <v/>
      </c>
      <c r="AD110" s="9">
        <f>IF(ROUNDUP(S110/20,0)&gt;ROUNDUP(S109/20,0),"Lần " &amp; ROUNDUP(S110/20,0),"")</f>
        <v/>
      </c>
      <c r="AE110" s="9">
        <f>IF(ROUNDUP(T110/20,0)&gt;ROUNDUP(T109/20,0),"Lần " &amp; ROUNDUP(T110/20,0),"")</f>
        <v/>
      </c>
      <c r="AF110" s="9">
        <f>IF(ROUNDUP(U110/20,0)&gt;ROUNDUP(U109/20,0),"Lần " &amp; ROUNDUP(U110/20,0),"")</f>
        <v/>
      </c>
      <c r="AG110" s="9">
        <f>IF(ROUNDUP(V110/20,0)&gt;ROUNDUP(V109/20,0),"Lần " &amp; ROUNDUP(V110/20,0),"")</f>
        <v/>
      </c>
      <c r="AH110" s="9">
        <f>IF(ROUNDUP(W110/20,0)&gt;ROUNDUP(W109/20,0),"Lần " &amp; ROUNDUP(W110/20,0),"")</f>
        <v/>
      </c>
      <c r="AI110" s="9">
        <f>IF(ROUNDUP(X110/20,0)&gt;ROUNDUP(X109/20,0),"Lần " &amp; ROUNDUP(X110/20,0),"")</f>
        <v/>
      </c>
      <c r="AJ110" s="9">
        <f>IF(ROUNDUP(Y110/20,0)&gt;ROUNDUP(Y109/20,0),"Lần " &amp; ROUNDUP(Y110/20,0),"")</f>
        <v/>
      </c>
      <c r="AK110" s="9">
        <f>IF(ROUNDUP(Z110/20,0)&gt;ROUNDUP(Z109/20,0),"Lần " &amp; ROUNDUP(Z110/20,0),"")</f>
        <v/>
      </c>
      <c r="AL110" s="4" t="n"/>
      <c r="AN110" s="596" t="inlineStr">
        <is>
          <t>Coc</t>
        </is>
      </c>
      <c r="AO110" s="596" t="n">
        <v>10</v>
      </c>
      <c r="AQ110" s="594" t="n"/>
      <c r="AR110" s="595" t="n"/>
    </row>
    <row r="111" ht="19" customHeight="1" s="672">
      <c r="A111" s="4" t="n">
        <v>102</v>
      </c>
      <c r="B111" s="5" t="inlineStr">
        <is>
          <t>Cọc khoan nhồi C3 Trụ T1 (D1.2m, L=40.0m)</t>
        </is>
      </c>
      <c r="C111" s="5" t="inlineStr">
        <is>
          <t>Cọc trụ T1 L=40m (tr.68)</t>
        </is>
      </c>
      <c r="D111" s="14" t="inlineStr">
        <is>
          <t>P9</t>
        </is>
      </c>
      <c r="E111" s="15" t="n">
        <v>12</v>
      </c>
      <c r="F111" s="4" t="inlineStr">
        <is>
          <t>CB400-V</t>
        </is>
      </c>
      <c r="G111" s="5" t="inlineStr"/>
      <c r="H111" s="16" t="n">
        <v>0.379</v>
      </c>
      <c r="I111" s="17" t="n">
        <v>48</v>
      </c>
      <c r="J111" s="18" t="n">
        <v>0.888</v>
      </c>
      <c r="K111" s="7">
        <f>ROUND(H111*I111*J111, 2)</f>
        <v/>
      </c>
      <c r="L111" s="19">
        <f>ROUND(K111/1000, 3)</f>
        <v/>
      </c>
      <c r="M111" s="728">
        <f>IF(AO111="","",IF(N(INDEX(Theo_Doi_Tan_Suat_Be_Tong!$C:$C,AO111))&lt;=0,"",INDEX(Theo_Doi_Tan_Suat_Be_Tong!$C:$C,AO111)-VLOOKUP(AN111,$AQ$2:$AR$7,2,FALSE)))</f>
        <v/>
      </c>
      <c r="N111" s="4" t="n"/>
      <c r="O111" s="20">
        <f>IF(ROUNDUP(Q111/20,0)&gt;ROUNDUP(Q110/20,0),"TN Ø12 (Lần " &amp; ROUNDUP(Q111/20,0) &amp; ")","")</f>
        <v/>
      </c>
      <c r="P111" s="16">
        <f>ROUND(P110+IF(AND(E111&lt;=10,F111&lt;&gt;"ASTM A416"),L111,0),3)</f>
        <v/>
      </c>
      <c r="Q111" s="16">
        <f>ROUND(Q110+IF(AND(E111=12,F111&lt;&gt;"ASTM A416"),L111,0),3)</f>
        <v/>
      </c>
      <c r="R111" s="16">
        <f>ROUND(R110+IF(AND(E111=14,F111&lt;&gt;"ASTM A416"),L111,0),3)</f>
        <v/>
      </c>
      <c r="S111" s="16">
        <f>ROUND(S110+IF(AND(E111=16,F111&lt;&gt;"ASTM A416"),L111,0),3)</f>
        <v/>
      </c>
      <c r="T111" s="16">
        <f>ROUND(T110+IF(AND(E111=18,F111&lt;&gt;"ASTM A416"),L111,0),3)</f>
        <v/>
      </c>
      <c r="U111" s="16">
        <f>ROUND(U110+IF(AND(E111=20,F111&lt;&gt;"ASTM A416"),L111,0),3)</f>
        <v/>
      </c>
      <c r="V111" s="16">
        <f>ROUND(V110+IF(AND(E111=22,F111&lt;&gt;"ASTM A416"),L111,0),3)</f>
        <v/>
      </c>
      <c r="W111" s="16">
        <f>ROUND(W110+IF(AND(E111=25,F111&lt;&gt;"ASTM A416"),L111,0),3)</f>
        <v/>
      </c>
      <c r="X111" s="16">
        <f>ROUND(X110+IF(AND(E111=28,F111&lt;&gt;"ASTM A416"),L111,0),3)</f>
        <v/>
      </c>
      <c r="Y111" s="16">
        <f>ROUND(Y110+IF(AND(E111=32,F111&lt;&gt;"ASTM A416"),L111,0),3)</f>
        <v/>
      </c>
      <c r="Z111" s="16">
        <f>ROUND(Z110+IF(F111="ASTM A416",L111,0),3)</f>
        <v/>
      </c>
      <c r="AA111" s="9">
        <f>IF(ROUNDUP(P111/20,0)&gt;ROUNDUP(P110/20,0),"Lần " &amp; ROUNDUP(P111/20,0),"")</f>
        <v/>
      </c>
      <c r="AB111" s="9">
        <f>IF(ROUNDUP(Q111/20,0)&gt;ROUNDUP(Q110/20,0),"Lần " &amp; ROUNDUP(Q111/20,0),"")</f>
        <v/>
      </c>
      <c r="AC111" s="9">
        <f>IF(ROUNDUP(R111/20,0)&gt;ROUNDUP(R110/20,0),"Lần " &amp; ROUNDUP(R111/20,0),"")</f>
        <v/>
      </c>
      <c r="AD111" s="9">
        <f>IF(ROUNDUP(S111/20,0)&gt;ROUNDUP(S110/20,0),"Lần " &amp; ROUNDUP(S111/20,0),"")</f>
        <v/>
      </c>
      <c r="AE111" s="9">
        <f>IF(ROUNDUP(T111/20,0)&gt;ROUNDUP(T110/20,0),"Lần " &amp; ROUNDUP(T111/20,0),"")</f>
        <v/>
      </c>
      <c r="AF111" s="9">
        <f>IF(ROUNDUP(U111/20,0)&gt;ROUNDUP(U110/20,0),"Lần " &amp; ROUNDUP(U111/20,0),"")</f>
        <v/>
      </c>
      <c r="AG111" s="9">
        <f>IF(ROUNDUP(V111/20,0)&gt;ROUNDUP(V110/20,0),"Lần " &amp; ROUNDUP(V111/20,0),"")</f>
        <v/>
      </c>
      <c r="AH111" s="9">
        <f>IF(ROUNDUP(W111/20,0)&gt;ROUNDUP(W110/20,0),"Lần " &amp; ROUNDUP(W111/20,0),"")</f>
        <v/>
      </c>
      <c r="AI111" s="9">
        <f>IF(ROUNDUP(X111/20,0)&gt;ROUNDUP(X110/20,0),"Lần " &amp; ROUNDUP(X111/20,0),"")</f>
        <v/>
      </c>
      <c r="AJ111" s="9">
        <f>IF(ROUNDUP(Y111/20,0)&gt;ROUNDUP(Y110/20,0),"Lần " &amp; ROUNDUP(Y111/20,0),"")</f>
        <v/>
      </c>
      <c r="AK111" s="9">
        <f>IF(ROUNDUP(Z111/20,0)&gt;ROUNDUP(Z110/20,0),"Lần " &amp; ROUNDUP(Z111/20,0),"")</f>
        <v/>
      </c>
      <c r="AL111" s="4" t="n"/>
      <c r="AN111" s="596" t="inlineStr">
        <is>
          <t>Coc</t>
        </is>
      </c>
      <c r="AO111" s="596" t="n">
        <v>10</v>
      </c>
      <c r="AQ111" s="594" t="n"/>
      <c r="AR111" s="595" t="n"/>
    </row>
    <row r="112" ht="19" customHeight="1" s="672">
      <c r="A112" s="4" t="n">
        <v>103</v>
      </c>
      <c r="B112" s="5" t="inlineStr">
        <is>
          <t>Cọc khoan nhồi C3 Trụ T1 (D1.2m, L=40.0m)</t>
        </is>
      </c>
      <c r="C112" s="5" t="inlineStr">
        <is>
          <t>Cọc trụ T1 L=40m (tr.68)</t>
        </is>
      </c>
      <c r="D112" s="14" t="inlineStr">
        <is>
          <t>P10</t>
        </is>
      </c>
      <c r="E112" s="15" t="n">
        <v>20</v>
      </c>
      <c r="F112" s="4" t="inlineStr">
        <is>
          <t>CB400-V</t>
        </is>
      </c>
      <c r="G112" s="5" t="inlineStr"/>
      <c r="H112" s="16" t="n">
        <v>2.057</v>
      </c>
      <c r="I112" s="17" t="n">
        <v>1</v>
      </c>
      <c r="J112" s="18" t="n">
        <v>2.466</v>
      </c>
      <c r="K112" s="7">
        <f>ROUND(H112*I112*J112, 2)</f>
        <v/>
      </c>
      <c r="L112" s="19">
        <f>ROUND(K112/1000, 3)</f>
        <v/>
      </c>
      <c r="M112" s="728">
        <f>IF(AO112="","",IF(N(INDEX(Theo_Doi_Tan_Suat_Be_Tong!$C:$C,AO112))&lt;=0,"",INDEX(Theo_Doi_Tan_Suat_Be_Tong!$C:$C,AO112)-VLOOKUP(AN112,$AQ$2:$AR$7,2,FALSE)))</f>
        <v/>
      </c>
      <c r="N112" s="4" t="n"/>
      <c r="O112" s="20">
        <f>IF(ROUNDUP(U112/20,0)&gt;ROUNDUP(U111/20,0),"TN Ø20 (Lần " &amp; ROUNDUP(U112/20,0) &amp; ")","")</f>
        <v/>
      </c>
      <c r="P112" s="16">
        <f>ROUND(P111+IF(AND(E112&lt;=10,F112&lt;&gt;"ASTM A416"),L112,0),3)</f>
        <v/>
      </c>
      <c r="Q112" s="16">
        <f>ROUND(Q111+IF(AND(E112=12,F112&lt;&gt;"ASTM A416"),L112,0),3)</f>
        <v/>
      </c>
      <c r="R112" s="16">
        <f>ROUND(R111+IF(AND(E112=14,F112&lt;&gt;"ASTM A416"),L112,0),3)</f>
        <v/>
      </c>
      <c r="S112" s="16">
        <f>ROUND(S111+IF(AND(E112=16,F112&lt;&gt;"ASTM A416"),L112,0),3)</f>
        <v/>
      </c>
      <c r="T112" s="16">
        <f>ROUND(T111+IF(AND(E112=18,F112&lt;&gt;"ASTM A416"),L112,0),3)</f>
        <v/>
      </c>
      <c r="U112" s="16">
        <f>ROUND(U111+IF(AND(E112=20,F112&lt;&gt;"ASTM A416"),L112,0),3)</f>
        <v/>
      </c>
      <c r="V112" s="16">
        <f>ROUND(V111+IF(AND(E112=22,F112&lt;&gt;"ASTM A416"),L112,0),3)</f>
        <v/>
      </c>
      <c r="W112" s="16">
        <f>ROUND(W111+IF(AND(E112=25,F112&lt;&gt;"ASTM A416"),L112,0),3)</f>
        <v/>
      </c>
      <c r="X112" s="16">
        <f>ROUND(X111+IF(AND(E112=28,F112&lt;&gt;"ASTM A416"),L112,0),3)</f>
        <v/>
      </c>
      <c r="Y112" s="16">
        <f>ROUND(Y111+IF(AND(E112=32,F112&lt;&gt;"ASTM A416"),L112,0),3)</f>
        <v/>
      </c>
      <c r="Z112" s="16">
        <f>ROUND(Z111+IF(F112="ASTM A416",L112,0),3)</f>
        <v/>
      </c>
      <c r="AA112" s="9">
        <f>IF(ROUNDUP(P112/20,0)&gt;ROUNDUP(P111/20,0),"Lần " &amp; ROUNDUP(P112/20,0),"")</f>
        <v/>
      </c>
      <c r="AB112" s="9">
        <f>IF(ROUNDUP(Q112/20,0)&gt;ROUNDUP(Q111/20,0),"Lần " &amp; ROUNDUP(Q112/20,0),"")</f>
        <v/>
      </c>
      <c r="AC112" s="9">
        <f>IF(ROUNDUP(R112/20,0)&gt;ROUNDUP(R111/20,0),"Lần " &amp; ROUNDUP(R112/20,0),"")</f>
        <v/>
      </c>
      <c r="AD112" s="9">
        <f>IF(ROUNDUP(S112/20,0)&gt;ROUNDUP(S111/20,0),"Lần " &amp; ROUNDUP(S112/20,0),"")</f>
        <v/>
      </c>
      <c r="AE112" s="9">
        <f>IF(ROUNDUP(T112/20,0)&gt;ROUNDUP(T111/20,0),"Lần " &amp; ROUNDUP(T112/20,0),"")</f>
        <v/>
      </c>
      <c r="AF112" s="9">
        <f>IF(ROUNDUP(U112/20,0)&gt;ROUNDUP(U111/20,0),"Lần " &amp; ROUNDUP(U112/20,0),"")</f>
        <v/>
      </c>
      <c r="AG112" s="9">
        <f>IF(ROUNDUP(V112/20,0)&gt;ROUNDUP(V111/20,0),"Lần " &amp; ROUNDUP(V112/20,0),"")</f>
        <v/>
      </c>
      <c r="AH112" s="9">
        <f>IF(ROUNDUP(W112/20,0)&gt;ROUNDUP(W111/20,0),"Lần " &amp; ROUNDUP(W112/20,0),"")</f>
        <v/>
      </c>
      <c r="AI112" s="9">
        <f>IF(ROUNDUP(X112/20,0)&gt;ROUNDUP(X111/20,0),"Lần " &amp; ROUNDUP(X112/20,0),"")</f>
        <v/>
      </c>
      <c r="AJ112" s="9">
        <f>IF(ROUNDUP(Y112/20,0)&gt;ROUNDUP(Y111/20,0),"Lần " &amp; ROUNDUP(Y112/20,0),"")</f>
        <v/>
      </c>
      <c r="AK112" s="9">
        <f>IF(ROUNDUP(Z112/20,0)&gt;ROUNDUP(Z111/20,0),"Lần " &amp; ROUNDUP(Z112/20,0),"")</f>
        <v/>
      </c>
      <c r="AL112" s="4" t="n"/>
      <c r="AN112" s="596" t="inlineStr">
        <is>
          <t>Coc</t>
        </is>
      </c>
      <c r="AO112" s="596" t="n">
        <v>10</v>
      </c>
      <c r="AQ112" s="594" t="n"/>
      <c r="AR112" s="595" t="n"/>
    </row>
    <row r="113" ht="20" customHeight="1" s="672">
      <c r="A113" s="4" t="n">
        <v>104</v>
      </c>
      <c r="B113" s="5" t="inlineStr">
        <is>
          <t>Cọc khoan nhồi C3 Trụ T1 (D1.2m, L=40.0m)</t>
        </is>
      </c>
      <c r="C113" s="5" t="inlineStr">
        <is>
          <t>Cọc trụ T1 L=40m (tr.68)</t>
        </is>
      </c>
      <c r="D113" s="14" t="inlineStr">
        <is>
          <t>P12</t>
        </is>
      </c>
      <c r="E113" s="15" t="n">
        <v>20</v>
      </c>
      <c r="F113" s="4" t="inlineStr">
        <is>
          <t>CB400-V</t>
        </is>
      </c>
      <c r="G113" s="5" t="inlineStr"/>
      <c r="H113" s="16" t="n">
        <v>0.583</v>
      </c>
      <c r="I113" s="17" t="n">
        <v>64</v>
      </c>
      <c r="J113" s="18" t="n">
        <v>2.466</v>
      </c>
      <c r="K113" s="7">
        <f>ROUND(H113*I113*J113, 2)</f>
        <v/>
      </c>
      <c r="L113" s="19">
        <f>ROUND(K113/1000, 3)</f>
        <v/>
      </c>
      <c r="M113" s="728">
        <f>IF(AO113="","",IF(N(INDEX(Theo_Doi_Tan_Suat_Be_Tong!$C:$C,AO113))&lt;=0,"",INDEX(Theo_Doi_Tan_Suat_Be_Tong!$C:$C,AO113)-VLOOKUP(AN113,$AQ$2:$AR$7,2,FALSE)))</f>
        <v/>
      </c>
      <c r="N113" s="4" t="n"/>
      <c r="O113" s="20">
        <f>IF(ROUNDUP(U113/20,0)&gt;ROUNDUP(U112/20,0),"TN Ø20 (Lần " &amp; ROUNDUP(U113/20,0) &amp; ")","")</f>
        <v/>
      </c>
      <c r="P113" s="16">
        <f>ROUND(P112+IF(AND(E113&lt;=10,F113&lt;&gt;"ASTM A416"),L113,0),3)</f>
        <v/>
      </c>
      <c r="Q113" s="16">
        <f>ROUND(Q112+IF(AND(E113=12,F113&lt;&gt;"ASTM A416"),L113,0),3)</f>
        <v/>
      </c>
      <c r="R113" s="16">
        <f>ROUND(R112+IF(AND(E113=14,F113&lt;&gt;"ASTM A416"),L113,0),3)</f>
        <v/>
      </c>
      <c r="S113" s="16">
        <f>ROUND(S112+IF(AND(E113=16,F113&lt;&gt;"ASTM A416"),L113,0),3)</f>
        <v/>
      </c>
      <c r="T113" s="16">
        <f>ROUND(T112+IF(AND(E113=18,F113&lt;&gt;"ASTM A416"),L113,0),3)</f>
        <v/>
      </c>
      <c r="U113" s="16">
        <f>ROUND(U112+IF(AND(E113=20,F113&lt;&gt;"ASTM A416"),L113,0),3)</f>
        <v/>
      </c>
      <c r="V113" s="16">
        <f>ROUND(V112+IF(AND(E113=22,F113&lt;&gt;"ASTM A416"),L113,0),3)</f>
        <v/>
      </c>
      <c r="W113" s="16">
        <f>ROUND(W112+IF(AND(E113=25,F113&lt;&gt;"ASTM A416"),L113,0),3)</f>
        <v/>
      </c>
      <c r="X113" s="16">
        <f>ROUND(X112+IF(AND(E113=28,F113&lt;&gt;"ASTM A416"),L113,0),3)</f>
        <v/>
      </c>
      <c r="Y113" s="16">
        <f>ROUND(Y112+IF(AND(E113=32,F113&lt;&gt;"ASTM A416"),L113,0),3)</f>
        <v/>
      </c>
      <c r="Z113" s="16">
        <f>ROUND(Z112+IF(F113="ASTM A416",L113,0),3)</f>
        <v/>
      </c>
      <c r="AA113" s="9">
        <f>IF(ROUNDUP(P113/20,0)&gt;ROUNDUP(P112/20,0),"Lần " &amp; ROUNDUP(P113/20,0),"")</f>
        <v/>
      </c>
      <c r="AB113" s="9">
        <f>IF(ROUNDUP(Q113/20,0)&gt;ROUNDUP(Q112/20,0),"Lần " &amp; ROUNDUP(Q113/20,0),"")</f>
        <v/>
      </c>
      <c r="AC113" s="9">
        <f>IF(ROUNDUP(R113/20,0)&gt;ROUNDUP(R112/20,0),"Lần " &amp; ROUNDUP(R113/20,0),"")</f>
        <v/>
      </c>
      <c r="AD113" s="9">
        <f>IF(ROUNDUP(S113/20,0)&gt;ROUNDUP(S112/20,0),"Lần " &amp; ROUNDUP(S113/20,0),"")</f>
        <v/>
      </c>
      <c r="AE113" s="9">
        <f>IF(ROUNDUP(T113/20,0)&gt;ROUNDUP(T112/20,0),"Lần " &amp; ROUNDUP(T113/20,0),"")</f>
        <v/>
      </c>
      <c r="AF113" s="9">
        <f>IF(ROUNDUP(U113/20,0)&gt;ROUNDUP(U112/20,0),"Lần " &amp; ROUNDUP(U113/20,0),"")</f>
        <v/>
      </c>
      <c r="AG113" s="9">
        <f>IF(ROUNDUP(V113/20,0)&gt;ROUNDUP(V112/20,0),"Lần " &amp; ROUNDUP(V113/20,0),"")</f>
        <v/>
      </c>
      <c r="AH113" s="9">
        <f>IF(ROUNDUP(W113/20,0)&gt;ROUNDUP(W112/20,0),"Lần " &amp; ROUNDUP(W113/20,0),"")</f>
        <v/>
      </c>
      <c r="AI113" s="9">
        <f>IF(ROUNDUP(X113/20,0)&gt;ROUNDUP(X112/20,0),"Lần " &amp; ROUNDUP(X113/20,0),"")</f>
        <v/>
      </c>
      <c r="AJ113" s="9">
        <f>IF(ROUNDUP(Y113/20,0)&gt;ROUNDUP(Y112/20,0),"Lần " &amp; ROUNDUP(Y113/20,0),"")</f>
        <v/>
      </c>
      <c r="AK113" s="9">
        <f>IF(ROUNDUP(Z113/20,0)&gt;ROUNDUP(Z112/20,0),"Lần " &amp; ROUNDUP(Z113/20,0),"")</f>
        <v/>
      </c>
      <c r="AL113" s="4" t="n"/>
      <c r="AN113" s="596" t="inlineStr">
        <is>
          <t>Coc</t>
        </is>
      </c>
      <c r="AO113" s="596" t="n">
        <v>10</v>
      </c>
      <c r="AQ113" s="594" t="n"/>
      <c r="AR113" s="595" t="n"/>
    </row>
    <row r="114" ht="19" customHeight="1" s="672">
      <c r="A114" s="4" t="n">
        <v>105</v>
      </c>
      <c r="B114" s="5" t="inlineStr">
        <is>
          <t>Cọc khoan nhồi C3 Trụ T1 (D1.2m, L=40.0m)</t>
        </is>
      </c>
      <c r="C114" s="5" t="inlineStr">
        <is>
          <t>Cọc trụ T1 L=40m (tr.68)</t>
        </is>
      </c>
      <c r="D114" s="14" t="inlineStr">
        <is>
          <t>P11</t>
        </is>
      </c>
      <c r="E114" s="15" t="n">
        <v>16</v>
      </c>
      <c r="F114" s="4" t="inlineStr">
        <is>
          <t>CB400-V</t>
        </is>
      </c>
      <c r="G114" s="5" t="inlineStr"/>
      <c r="H114" s="16" t="n">
        <v>2.604</v>
      </c>
      <c r="I114" s="17" t="n">
        <v>4</v>
      </c>
      <c r="J114" s="18" t="n">
        <v>1.578</v>
      </c>
      <c r="K114" s="7">
        <f>ROUND(H114*I114*J114, 2)</f>
        <v/>
      </c>
      <c r="L114" s="19">
        <f>ROUND(K114/1000, 3)</f>
        <v/>
      </c>
      <c r="M114" s="728">
        <f>IF(AO114="","",IF(N(INDEX(Theo_Doi_Tan_Suat_Be_Tong!$C:$C,AO114))&lt;=0,"",INDEX(Theo_Doi_Tan_Suat_Be_Tong!$C:$C,AO114)-VLOOKUP(AN114,$AQ$2:$AR$7,2,FALSE)))</f>
        <v/>
      </c>
      <c r="N114" s="4" t="n"/>
      <c r="O114" s="20">
        <f>IF(ROUNDUP(S114/20,0)&gt;ROUNDUP(S113/20,0),"TN Ø16 (Lần " &amp; ROUNDUP(S114/20,0) &amp; ")","")</f>
        <v/>
      </c>
      <c r="P114" s="16">
        <f>ROUND(P113+IF(AND(E114&lt;=10,F114&lt;&gt;"ASTM A416"),L114,0),3)</f>
        <v/>
      </c>
      <c r="Q114" s="16">
        <f>ROUND(Q113+IF(AND(E114=12,F114&lt;&gt;"ASTM A416"),L114,0),3)</f>
        <v/>
      </c>
      <c r="R114" s="16">
        <f>ROUND(R113+IF(AND(E114=14,F114&lt;&gt;"ASTM A416"),L114,0),3)</f>
        <v/>
      </c>
      <c r="S114" s="16">
        <f>ROUND(S113+IF(AND(E114=16,F114&lt;&gt;"ASTM A416"),L114,0),3)</f>
        <v/>
      </c>
      <c r="T114" s="16">
        <f>ROUND(T113+IF(AND(E114=18,F114&lt;&gt;"ASTM A416"),L114,0),3)</f>
        <v/>
      </c>
      <c r="U114" s="16">
        <f>ROUND(U113+IF(AND(E114=20,F114&lt;&gt;"ASTM A416"),L114,0),3)</f>
        <v/>
      </c>
      <c r="V114" s="16">
        <f>ROUND(V113+IF(AND(E114=22,F114&lt;&gt;"ASTM A416"),L114,0),3)</f>
        <v/>
      </c>
      <c r="W114" s="16">
        <f>ROUND(W113+IF(AND(E114=25,F114&lt;&gt;"ASTM A416"),L114,0),3)</f>
        <v/>
      </c>
      <c r="X114" s="16">
        <f>ROUND(X113+IF(AND(E114=28,F114&lt;&gt;"ASTM A416"),L114,0),3)</f>
        <v/>
      </c>
      <c r="Y114" s="16">
        <f>ROUND(Y113+IF(AND(E114=32,F114&lt;&gt;"ASTM A416"),L114,0),3)</f>
        <v/>
      </c>
      <c r="Z114" s="16">
        <f>ROUND(Z113+IF(F114="ASTM A416",L114,0),3)</f>
        <v/>
      </c>
      <c r="AA114" s="9">
        <f>IF(ROUNDUP(P114/20,0)&gt;ROUNDUP(P113/20,0),"Lần " &amp; ROUNDUP(P114/20,0),"")</f>
        <v/>
      </c>
      <c r="AB114" s="9">
        <f>IF(ROUNDUP(Q114/20,0)&gt;ROUNDUP(Q113/20,0),"Lần " &amp; ROUNDUP(Q114/20,0),"")</f>
        <v/>
      </c>
      <c r="AC114" s="9">
        <f>IF(ROUNDUP(R114/20,0)&gt;ROUNDUP(R113/20,0),"Lần " &amp; ROUNDUP(R114/20,0),"")</f>
        <v/>
      </c>
      <c r="AD114" s="9">
        <f>IF(ROUNDUP(S114/20,0)&gt;ROUNDUP(S113/20,0),"Lần " &amp; ROUNDUP(S114/20,0),"")</f>
        <v/>
      </c>
      <c r="AE114" s="9">
        <f>IF(ROUNDUP(T114/20,0)&gt;ROUNDUP(T113/20,0),"Lần " &amp; ROUNDUP(T114/20,0),"")</f>
        <v/>
      </c>
      <c r="AF114" s="9">
        <f>IF(ROUNDUP(U114/20,0)&gt;ROUNDUP(U113/20,0),"Lần " &amp; ROUNDUP(U114/20,0),"")</f>
        <v/>
      </c>
      <c r="AG114" s="9">
        <f>IF(ROUNDUP(V114/20,0)&gt;ROUNDUP(V113/20,0),"Lần " &amp; ROUNDUP(V114/20,0),"")</f>
        <v/>
      </c>
      <c r="AH114" s="9">
        <f>IF(ROUNDUP(W114/20,0)&gt;ROUNDUP(W113/20,0),"Lần " &amp; ROUNDUP(W114/20,0),"")</f>
        <v/>
      </c>
      <c r="AI114" s="9">
        <f>IF(ROUNDUP(X114/20,0)&gt;ROUNDUP(X113/20,0),"Lần " &amp; ROUNDUP(X114/20,0),"")</f>
        <v/>
      </c>
      <c r="AJ114" s="9">
        <f>IF(ROUNDUP(Y114/20,0)&gt;ROUNDUP(Y113/20,0),"Lần " &amp; ROUNDUP(Y114/20,0),"")</f>
        <v/>
      </c>
      <c r="AK114" s="9">
        <f>IF(ROUNDUP(Z114/20,0)&gt;ROUNDUP(Z113/20,0),"Lần " &amp; ROUNDUP(Z114/20,0),"")</f>
        <v/>
      </c>
      <c r="AL114" s="4" t="n"/>
      <c r="AN114" s="596" t="inlineStr">
        <is>
          <t>Coc</t>
        </is>
      </c>
      <c r="AO114" s="596" t="n">
        <v>10</v>
      </c>
      <c r="AQ114" s="594" t="n"/>
      <c r="AR114" s="595" t="n"/>
    </row>
    <row r="115" ht="19" customHeight="1" s="672">
      <c r="A115" s="668" t="inlineStr">
        <is>
          <t>--- CỌC KHOAN NHỒI C5 TRỤ T2 (D1.2M, L=30.0M) ---</t>
        </is>
      </c>
      <c r="B115" s="722" t="n"/>
      <c r="C115" s="722" t="n"/>
      <c r="D115" s="722" t="n"/>
      <c r="E115" s="722" t="n"/>
      <c r="F115" s="722" t="n"/>
      <c r="G115" s="722" t="n"/>
      <c r="H115" s="722" t="n"/>
      <c r="I115" s="722" t="n"/>
      <c r="J115" s="722" t="n"/>
      <c r="K115" s="722" t="n"/>
      <c r="L115" s="722" t="n"/>
      <c r="M115" s="722" t="n"/>
      <c r="N115" s="722" t="n"/>
      <c r="O115" s="722" t="n"/>
      <c r="P115" s="722" t="n"/>
      <c r="Q115" s="722" t="n"/>
      <c r="R115" s="722" t="n"/>
      <c r="S115" s="722" t="n"/>
      <c r="T115" s="722" t="n"/>
      <c r="U115" s="722" t="n"/>
      <c r="V115" s="722" t="n"/>
      <c r="W115" s="722" t="n"/>
      <c r="X115" s="722" t="n"/>
      <c r="Y115" s="722" t="n"/>
      <c r="Z115" s="722" t="n"/>
      <c r="AA115" s="722" t="n"/>
      <c r="AB115" s="722" t="n"/>
      <c r="AC115" s="722" t="n"/>
      <c r="AD115" s="722" t="n"/>
      <c r="AE115" s="722" t="n"/>
      <c r="AF115" s="722" t="n"/>
      <c r="AG115" s="722" t="n"/>
      <c r="AH115" s="722" t="n"/>
      <c r="AI115" s="722" t="n"/>
      <c r="AJ115" s="722" t="n"/>
      <c r="AK115" s="722" t="n"/>
      <c r="AL115" s="721" t="n"/>
      <c r="AQ115" s="594" t="n"/>
      <c r="AR115" s="595" t="n"/>
    </row>
    <row r="116" ht="19" customHeight="1" s="672">
      <c r="A116" s="4" t="n">
        <v>106</v>
      </c>
      <c r="B116" s="5" t="inlineStr">
        <is>
          <t>Cọc khoan nhồi C5 Trụ T2 (D1.2m, L=30.0m)</t>
        </is>
      </c>
      <c r="C116" s="5" t="inlineStr">
        <is>
          <t>Cọc trụ T2 L=30m (tr.70)</t>
        </is>
      </c>
      <c r="D116" s="14" t="inlineStr">
        <is>
          <t>P1</t>
        </is>
      </c>
      <c r="E116" s="15" t="n">
        <v>10</v>
      </c>
      <c r="F116" s="4" t="inlineStr">
        <is>
          <t>CB240-T</t>
        </is>
      </c>
      <c r="G116" s="5" t="inlineStr"/>
      <c r="H116" s="16" t="n">
        <v>96.604</v>
      </c>
      <c r="I116" s="17" t="n">
        <v>1</v>
      </c>
      <c r="J116" s="18" t="n">
        <v>0.617</v>
      </c>
      <c r="K116" s="7">
        <f>ROUND(H116*I116*J116, 2)</f>
        <v/>
      </c>
      <c r="L116" s="19">
        <f>ROUND(K116/1000, 3)</f>
        <v/>
      </c>
      <c r="M116" s="728">
        <f>IF(AO116="","",IF(N(INDEX(Theo_Doi_Tan_Suat_Be_Tong!$C:$C,AO116))&lt;=0,"",INDEX(Theo_Doi_Tan_Suat_Be_Tong!$C:$C,AO116)-VLOOKUP(AN116,$AQ$2:$AR$7,2,FALSE)))</f>
        <v/>
      </c>
      <c r="N116" s="4" t="n"/>
      <c r="O116" s="20">
        <f>IF(ROUNDUP(P116/20,0)&gt;ROUNDUP(P114/20,0),"TN Ø10 (Lần " &amp; ROUNDUP(P116/20,0) &amp; ")","")</f>
        <v/>
      </c>
      <c r="P116" s="16">
        <f>ROUND(P114+IF(AND(E116&lt;=10,F116&lt;&gt;"ASTM A416"),L116,0),3)</f>
        <v/>
      </c>
      <c r="Q116" s="16">
        <f>ROUND(Q114+IF(AND(E116=12,F116&lt;&gt;"ASTM A416"),L116,0),3)</f>
        <v/>
      </c>
      <c r="R116" s="16">
        <f>ROUND(R114+IF(AND(E116=14,F116&lt;&gt;"ASTM A416"),L116,0),3)</f>
        <v/>
      </c>
      <c r="S116" s="16">
        <f>ROUND(S114+IF(AND(E116=16,F116&lt;&gt;"ASTM A416"),L116,0),3)</f>
        <v/>
      </c>
      <c r="T116" s="16">
        <f>ROUND(T114+IF(AND(E116=18,F116&lt;&gt;"ASTM A416"),L116,0),3)</f>
        <v/>
      </c>
      <c r="U116" s="16">
        <f>ROUND(U114+IF(AND(E116=20,F116&lt;&gt;"ASTM A416"),L116,0),3)</f>
        <v/>
      </c>
      <c r="V116" s="16">
        <f>ROUND(V114+IF(AND(E116=22,F116&lt;&gt;"ASTM A416"),L116,0),3)</f>
        <v/>
      </c>
      <c r="W116" s="16">
        <f>ROUND(W114+IF(AND(E116=25,F116&lt;&gt;"ASTM A416"),L116,0),3)</f>
        <v/>
      </c>
      <c r="X116" s="16">
        <f>ROUND(X114+IF(AND(E116=28,F116&lt;&gt;"ASTM A416"),L116,0),3)</f>
        <v/>
      </c>
      <c r="Y116" s="16">
        <f>ROUND(Y114+IF(AND(E116=32,F116&lt;&gt;"ASTM A416"),L116,0),3)</f>
        <v/>
      </c>
      <c r="Z116" s="16">
        <f>ROUND(Z114+IF(F116="ASTM A416",L116,0),3)</f>
        <v/>
      </c>
      <c r="AA116" s="9">
        <f>IF(ROUNDUP(P116/20,0)&gt;ROUNDUP(P114/20,0),"Lần " &amp; ROUNDUP(P116/20,0),"")</f>
        <v/>
      </c>
      <c r="AB116" s="9">
        <f>IF(ROUNDUP(Q116/20,0)&gt;ROUNDUP(Q114/20,0),"Lần " &amp; ROUNDUP(Q116/20,0),"")</f>
        <v/>
      </c>
      <c r="AC116" s="9">
        <f>IF(ROUNDUP(R116/20,0)&gt;ROUNDUP(R114/20,0),"Lần " &amp; ROUNDUP(R116/20,0),"")</f>
        <v/>
      </c>
      <c r="AD116" s="9">
        <f>IF(ROUNDUP(S116/20,0)&gt;ROUNDUP(S114/20,0),"Lần " &amp; ROUNDUP(S116/20,0),"")</f>
        <v/>
      </c>
      <c r="AE116" s="9">
        <f>IF(ROUNDUP(T116/20,0)&gt;ROUNDUP(T114/20,0),"Lần " &amp; ROUNDUP(T116/20,0),"")</f>
        <v/>
      </c>
      <c r="AF116" s="9">
        <f>IF(ROUNDUP(U116/20,0)&gt;ROUNDUP(U114/20,0),"Lần " &amp; ROUNDUP(U116/20,0),"")</f>
        <v/>
      </c>
      <c r="AG116" s="9">
        <f>IF(ROUNDUP(V116/20,0)&gt;ROUNDUP(V114/20,0),"Lần " &amp; ROUNDUP(V116/20,0),"")</f>
        <v/>
      </c>
      <c r="AH116" s="9">
        <f>IF(ROUNDUP(W116/20,0)&gt;ROUNDUP(W114/20,0),"Lần " &amp; ROUNDUP(W116/20,0),"")</f>
        <v/>
      </c>
      <c r="AI116" s="9">
        <f>IF(ROUNDUP(X116/20,0)&gt;ROUNDUP(X114/20,0),"Lần " &amp; ROUNDUP(X116/20,0),"")</f>
        <v/>
      </c>
      <c r="AJ116" s="9">
        <f>IF(ROUNDUP(Y116/20,0)&gt;ROUNDUP(Y114/20,0),"Lần " &amp; ROUNDUP(Y116/20,0),"")</f>
        <v/>
      </c>
      <c r="AK116" s="9">
        <f>IF(ROUNDUP(Z116/20,0)&gt;ROUNDUP(Z114/20,0),"Lần " &amp; ROUNDUP(Z116/20,0),"")</f>
        <v/>
      </c>
      <c r="AL116" s="4" t="n"/>
      <c r="AN116" s="596" t="inlineStr">
        <is>
          <t>Coc</t>
        </is>
      </c>
      <c r="AO116" s="596" t="n">
        <v>11</v>
      </c>
      <c r="AQ116" s="594" t="n"/>
      <c r="AR116" s="595" t="n"/>
    </row>
    <row r="117" ht="19" customHeight="1" s="672">
      <c r="A117" s="4" t="n">
        <v>107</v>
      </c>
      <c r="B117" s="5" t="inlineStr">
        <is>
          <t>Cọc khoan nhồi C5 Trụ T2 (D1.2m, L=30.0m)</t>
        </is>
      </c>
      <c r="C117" s="5" t="inlineStr">
        <is>
          <t>Cọc trụ T2 L=30m (tr.70)</t>
        </is>
      </c>
      <c r="D117" s="14" t="inlineStr">
        <is>
          <t>P1A</t>
        </is>
      </c>
      <c r="E117" s="15" t="n">
        <v>10</v>
      </c>
      <c r="F117" s="4" t="inlineStr">
        <is>
          <t>CB240-T</t>
        </is>
      </c>
      <c r="G117" s="5" t="inlineStr"/>
      <c r="H117" s="16" t="n">
        <v>389.636</v>
      </c>
      <c r="I117" s="17" t="n">
        <v>1</v>
      </c>
      <c r="J117" s="18" t="n">
        <v>0.617</v>
      </c>
      <c r="K117" s="7">
        <f>ROUND(H117*I117*J117, 2)</f>
        <v/>
      </c>
      <c r="L117" s="19">
        <f>ROUND(K117/1000, 3)</f>
        <v/>
      </c>
      <c r="M117" s="728">
        <f>IF(AO117="","",IF(N(INDEX(Theo_Doi_Tan_Suat_Be_Tong!$C:$C,AO117))&lt;=0,"",INDEX(Theo_Doi_Tan_Suat_Be_Tong!$C:$C,AO117)-VLOOKUP(AN117,$AQ$2:$AR$7,2,FALSE)))</f>
        <v/>
      </c>
      <c r="N117" s="4" t="n"/>
      <c r="O117" s="20">
        <f>IF(ROUNDUP(P117/20,0)&gt;ROUNDUP(P116/20,0),"TN Ø10 (Lần " &amp; ROUNDUP(P117/20,0) &amp; ")","")</f>
        <v/>
      </c>
      <c r="P117" s="16">
        <f>ROUND(P116+IF(AND(E117&lt;=10,F117&lt;&gt;"ASTM A416"),L117,0),3)</f>
        <v/>
      </c>
      <c r="Q117" s="16">
        <f>ROUND(Q116+IF(AND(E117=12,F117&lt;&gt;"ASTM A416"),L117,0),3)</f>
        <v/>
      </c>
      <c r="R117" s="16">
        <f>ROUND(R116+IF(AND(E117=14,F117&lt;&gt;"ASTM A416"),L117,0),3)</f>
        <v/>
      </c>
      <c r="S117" s="16">
        <f>ROUND(S116+IF(AND(E117=16,F117&lt;&gt;"ASTM A416"),L117,0),3)</f>
        <v/>
      </c>
      <c r="T117" s="16">
        <f>ROUND(T116+IF(AND(E117=18,F117&lt;&gt;"ASTM A416"),L117,0),3)</f>
        <v/>
      </c>
      <c r="U117" s="16">
        <f>ROUND(U116+IF(AND(E117=20,F117&lt;&gt;"ASTM A416"),L117,0),3)</f>
        <v/>
      </c>
      <c r="V117" s="16">
        <f>ROUND(V116+IF(AND(E117=22,F117&lt;&gt;"ASTM A416"),L117,0),3)</f>
        <v/>
      </c>
      <c r="W117" s="16">
        <f>ROUND(W116+IF(AND(E117=25,F117&lt;&gt;"ASTM A416"),L117,0),3)</f>
        <v/>
      </c>
      <c r="X117" s="16">
        <f>ROUND(X116+IF(AND(E117=28,F117&lt;&gt;"ASTM A416"),L117,0),3)</f>
        <v/>
      </c>
      <c r="Y117" s="16">
        <f>ROUND(Y116+IF(AND(E117=32,F117&lt;&gt;"ASTM A416"),L117,0),3)</f>
        <v/>
      </c>
      <c r="Z117" s="16">
        <f>ROUND(Z116+IF(F117="ASTM A416",L117,0),3)</f>
        <v/>
      </c>
      <c r="AA117" s="9">
        <f>IF(ROUNDUP(P117/20,0)&gt;ROUNDUP(P116/20,0),"Lần " &amp; ROUNDUP(P117/20,0),"")</f>
        <v/>
      </c>
      <c r="AB117" s="9">
        <f>IF(ROUNDUP(Q117/20,0)&gt;ROUNDUP(Q116/20,0),"Lần " &amp; ROUNDUP(Q117/20,0),"")</f>
        <v/>
      </c>
      <c r="AC117" s="9">
        <f>IF(ROUNDUP(R117/20,0)&gt;ROUNDUP(R116/20,0),"Lần " &amp; ROUNDUP(R117/20,0),"")</f>
        <v/>
      </c>
      <c r="AD117" s="9">
        <f>IF(ROUNDUP(S117/20,0)&gt;ROUNDUP(S116/20,0),"Lần " &amp; ROUNDUP(S117/20,0),"")</f>
        <v/>
      </c>
      <c r="AE117" s="9">
        <f>IF(ROUNDUP(T117/20,0)&gt;ROUNDUP(T116/20,0),"Lần " &amp; ROUNDUP(T117/20,0),"")</f>
        <v/>
      </c>
      <c r="AF117" s="9">
        <f>IF(ROUNDUP(U117/20,0)&gt;ROUNDUP(U116/20,0),"Lần " &amp; ROUNDUP(U117/20,0),"")</f>
        <v/>
      </c>
      <c r="AG117" s="9">
        <f>IF(ROUNDUP(V117/20,0)&gt;ROUNDUP(V116/20,0),"Lần " &amp; ROUNDUP(V117/20,0),"")</f>
        <v/>
      </c>
      <c r="AH117" s="9">
        <f>IF(ROUNDUP(W117/20,0)&gt;ROUNDUP(W116/20,0),"Lần " &amp; ROUNDUP(W117/20,0),"")</f>
        <v/>
      </c>
      <c r="AI117" s="9">
        <f>IF(ROUNDUP(X117/20,0)&gt;ROUNDUP(X116/20,0),"Lần " &amp; ROUNDUP(X117/20,0),"")</f>
        <v/>
      </c>
      <c r="AJ117" s="9">
        <f>IF(ROUNDUP(Y117/20,0)&gt;ROUNDUP(Y116/20,0),"Lần " &amp; ROUNDUP(Y117/20,0),"")</f>
        <v/>
      </c>
      <c r="AK117" s="9">
        <f>IF(ROUNDUP(Z117/20,0)&gt;ROUNDUP(Z116/20,0),"Lần " &amp; ROUNDUP(Z117/20,0),"")</f>
        <v/>
      </c>
      <c r="AL117" s="4" t="n"/>
      <c r="AN117" s="596" t="inlineStr">
        <is>
          <t>Coc</t>
        </is>
      </c>
      <c r="AO117" s="596" t="n">
        <v>11</v>
      </c>
      <c r="AQ117" s="594" t="n"/>
      <c r="AR117" s="595" t="n"/>
    </row>
    <row r="118" ht="19" customHeight="1" s="672">
      <c r="A118" s="4" t="n">
        <v>108</v>
      </c>
      <c r="B118" s="5" t="inlineStr">
        <is>
          <t>Cọc khoan nhồi C5 Trụ T2 (D1.2m, L=30.0m)</t>
        </is>
      </c>
      <c r="C118" s="5" t="inlineStr">
        <is>
          <t>Cọc trụ T2 L=30m (tr.70)</t>
        </is>
      </c>
      <c r="D118" s="14" t="inlineStr">
        <is>
          <t>P1B</t>
        </is>
      </c>
      <c r="E118" s="15" t="n">
        <v>10</v>
      </c>
      <c r="F118" s="4" t="inlineStr">
        <is>
          <t>CB240-T</t>
        </is>
      </c>
      <c r="G118" s="5" t="inlineStr"/>
      <c r="H118" s="16" t="n">
        <v>100.256</v>
      </c>
      <c r="I118" s="17" t="n">
        <v>1</v>
      </c>
      <c r="J118" s="18" t="n">
        <v>0.617</v>
      </c>
      <c r="K118" s="7">
        <f>ROUND(H118*I118*J118, 2)</f>
        <v/>
      </c>
      <c r="L118" s="19">
        <f>ROUND(K118/1000, 3)</f>
        <v/>
      </c>
      <c r="M118" s="728">
        <f>IF(AO118="","",IF(N(INDEX(Theo_Doi_Tan_Suat_Be_Tong!$C:$C,AO118))&lt;=0,"",INDEX(Theo_Doi_Tan_Suat_Be_Tong!$C:$C,AO118)-VLOOKUP(AN118,$AQ$2:$AR$7,2,FALSE)))</f>
        <v/>
      </c>
      <c r="N118" s="4" t="n"/>
      <c r="O118" s="20">
        <f>IF(ROUNDUP(P118/20,0)&gt;ROUNDUP(P117/20,0),"TN Ø10 (Lần " &amp; ROUNDUP(P118/20,0) &amp; ")","")</f>
        <v/>
      </c>
      <c r="P118" s="16">
        <f>ROUND(P117+IF(AND(E118&lt;=10,F118&lt;&gt;"ASTM A416"),L118,0),3)</f>
        <v/>
      </c>
      <c r="Q118" s="16">
        <f>ROUND(Q117+IF(AND(E118=12,F118&lt;&gt;"ASTM A416"),L118,0),3)</f>
        <v/>
      </c>
      <c r="R118" s="16">
        <f>ROUND(R117+IF(AND(E118=14,F118&lt;&gt;"ASTM A416"),L118,0),3)</f>
        <v/>
      </c>
      <c r="S118" s="16">
        <f>ROUND(S117+IF(AND(E118=16,F118&lt;&gt;"ASTM A416"),L118,0),3)</f>
        <v/>
      </c>
      <c r="T118" s="16">
        <f>ROUND(T117+IF(AND(E118=18,F118&lt;&gt;"ASTM A416"),L118,0),3)</f>
        <v/>
      </c>
      <c r="U118" s="16">
        <f>ROUND(U117+IF(AND(E118=20,F118&lt;&gt;"ASTM A416"),L118,0),3)</f>
        <v/>
      </c>
      <c r="V118" s="16">
        <f>ROUND(V117+IF(AND(E118=22,F118&lt;&gt;"ASTM A416"),L118,0),3)</f>
        <v/>
      </c>
      <c r="W118" s="16">
        <f>ROUND(W117+IF(AND(E118=25,F118&lt;&gt;"ASTM A416"),L118,0),3)</f>
        <v/>
      </c>
      <c r="X118" s="16">
        <f>ROUND(X117+IF(AND(E118=28,F118&lt;&gt;"ASTM A416"),L118,0),3)</f>
        <v/>
      </c>
      <c r="Y118" s="16">
        <f>ROUND(Y117+IF(AND(E118=32,F118&lt;&gt;"ASTM A416"),L118,0),3)</f>
        <v/>
      </c>
      <c r="Z118" s="16">
        <f>ROUND(Z117+IF(F118="ASTM A416",L118,0),3)</f>
        <v/>
      </c>
      <c r="AA118" s="9">
        <f>IF(ROUNDUP(P118/20,0)&gt;ROUNDUP(P117/20,0),"Lần " &amp; ROUNDUP(P118/20,0),"")</f>
        <v/>
      </c>
      <c r="AB118" s="9">
        <f>IF(ROUNDUP(Q118/20,0)&gt;ROUNDUP(Q117/20,0),"Lần " &amp; ROUNDUP(Q118/20,0),"")</f>
        <v/>
      </c>
      <c r="AC118" s="9">
        <f>IF(ROUNDUP(R118/20,0)&gt;ROUNDUP(R117/20,0),"Lần " &amp; ROUNDUP(R118/20,0),"")</f>
        <v/>
      </c>
      <c r="AD118" s="9">
        <f>IF(ROUNDUP(S118/20,0)&gt;ROUNDUP(S117/20,0),"Lần " &amp; ROUNDUP(S118/20,0),"")</f>
        <v/>
      </c>
      <c r="AE118" s="9">
        <f>IF(ROUNDUP(T118/20,0)&gt;ROUNDUP(T117/20,0),"Lần " &amp; ROUNDUP(T118/20,0),"")</f>
        <v/>
      </c>
      <c r="AF118" s="9">
        <f>IF(ROUNDUP(U118/20,0)&gt;ROUNDUP(U117/20,0),"Lần " &amp; ROUNDUP(U118/20,0),"")</f>
        <v/>
      </c>
      <c r="AG118" s="9">
        <f>IF(ROUNDUP(V118/20,0)&gt;ROUNDUP(V117/20,0),"Lần " &amp; ROUNDUP(V118/20,0),"")</f>
        <v/>
      </c>
      <c r="AH118" s="9">
        <f>IF(ROUNDUP(W118/20,0)&gt;ROUNDUP(W117/20,0),"Lần " &amp; ROUNDUP(W118/20,0),"")</f>
        <v/>
      </c>
      <c r="AI118" s="9">
        <f>IF(ROUNDUP(X118/20,0)&gt;ROUNDUP(X117/20,0),"Lần " &amp; ROUNDUP(X118/20,0),"")</f>
        <v/>
      </c>
      <c r="AJ118" s="9">
        <f>IF(ROUNDUP(Y118/20,0)&gt;ROUNDUP(Y117/20,0),"Lần " &amp; ROUNDUP(Y118/20,0),"")</f>
        <v/>
      </c>
      <c r="AK118" s="9">
        <f>IF(ROUNDUP(Z118/20,0)&gt;ROUNDUP(Z117/20,0),"Lần " &amp; ROUNDUP(Z118/20,0),"")</f>
        <v/>
      </c>
      <c r="AL118" s="4" t="n"/>
      <c r="AN118" s="596" t="inlineStr">
        <is>
          <t>Coc</t>
        </is>
      </c>
      <c r="AO118" s="596" t="n">
        <v>11</v>
      </c>
      <c r="AQ118" s="594" t="n"/>
      <c r="AR118" s="595" t="n"/>
    </row>
    <row r="119" ht="19" customHeight="1" s="672">
      <c r="A119" s="4" t="n">
        <v>109</v>
      </c>
      <c r="B119" s="5" t="inlineStr">
        <is>
          <t>Cọc khoan nhồi C5 Trụ T2 (D1.2m, L=30.0m)</t>
        </is>
      </c>
      <c r="C119" s="5" t="inlineStr">
        <is>
          <t>Cọc trụ T2 L=30m (tr.70)</t>
        </is>
      </c>
      <c r="D119" s="14" t="inlineStr">
        <is>
          <t>P1C</t>
        </is>
      </c>
      <c r="E119" s="15" t="n">
        <v>10</v>
      </c>
      <c r="F119" s="4" t="inlineStr">
        <is>
          <t>CB240-T</t>
        </is>
      </c>
      <c r="G119" s="5" t="inlineStr"/>
      <c r="H119" s="16" t="n">
        <v>3.592</v>
      </c>
      <c r="I119" s="17" t="n">
        <v>2</v>
      </c>
      <c r="J119" s="18" t="n">
        <v>0.617</v>
      </c>
      <c r="K119" s="7">
        <f>ROUND(H119*I119*J119, 2)</f>
        <v/>
      </c>
      <c r="L119" s="19">
        <f>ROUND(K119/1000, 3)</f>
        <v/>
      </c>
      <c r="M119" s="728">
        <f>IF(AO119="","",IF(N(INDEX(Theo_Doi_Tan_Suat_Be_Tong!$C:$C,AO119))&lt;=0,"",INDEX(Theo_Doi_Tan_Suat_Be_Tong!$C:$C,AO119)-VLOOKUP(AN119,$AQ$2:$AR$7,2,FALSE)))</f>
        <v/>
      </c>
      <c r="N119" s="4" t="n"/>
      <c r="O119" s="20">
        <f>IF(ROUNDUP(P119/20,0)&gt;ROUNDUP(P118/20,0),"TN Ø10 (Lần " &amp; ROUNDUP(P119/20,0) &amp; ")","")</f>
        <v/>
      </c>
      <c r="P119" s="16">
        <f>ROUND(P118+IF(AND(E119&lt;=10,F119&lt;&gt;"ASTM A416"),L119,0),3)</f>
        <v/>
      </c>
      <c r="Q119" s="16">
        <f>ROUND(Q118+IF(AND(E119=12,F119&lt;&gt;"ASTM A416"),L119,0),3)</f>
        <v/>
      </c>
      <c r="R119" s="16">
        <f>ROUND(R118+IF(AND(E119=14,F119&lt;&gt;"ASTM A416"),L119,0),3)</f>
        <v/>
      </c>
      <c r="S119" s="16">
        <f>ROUND(S118+IF(AND(E119=16,F119&lt;&gt;"ASTM A416"),L119,0),3)</f>
        <v/>
      </c>
      <c r="T119" s="16">
        <f>ROUND(T118+IF(AND(E119=18,F119&lt;&gt;"ASTM A416"),L119,0),3)</f>
        <v/>
      </c>
      <c r="U119" s="16">
        <f>ROUND(U118+IF(AND(E119=20,F119&lt;&gt;"ASTM A416"),L119,0),3)</f>
        <v/>
      </c>
      <c r="V119" s="16">
        <f>ROUND(V118+IF(AND(E119=22,F119&lt;&gt;"ASTM A416"),L119,0),3)</f>
        <v/>
      </c>
      <c r="W119" s="16">
        <f>ROUND(W118+IF(AND(E119=25,F119&lt;&gt;"ASTM A416"),L119,0),3)</f>
        <v/>
      </c>
      <c r="X119" s="16">
        <f>ROUND(X118+IF(AND(E119=28,F119&lt;&gt;"ASTM A416"),L119,0),3)</f>
        <v/>
      </c>
      <c r="Y119" s="16">
        <f>ROUND(Y118+IF(AND(E119=32,F119&lt;&gt;"ASTM A416"),L119,0),3)</f>
        <v/>
      </c>
      <c r="Z119" s="16">
        <f>ROUND(Z118+IF(F119="ASTM A416",L119,0),3)</f>
        <v/>
      </c>
      <c r="AA119" s="9">
        <f>IF(ROUNDUP(P119/20,0)&gt;ROUNDUP(P118/20,0),"Lần " &amp; ROUNDUP(P119/20,0),"")</f>
        <v/>
      </c>
      <c r="AB119" s="9">
        <f>IF(ROUNDUP(Q119/20,0)&gt;ROUNDUP(Q118/20,0),"Lần " &amp; ROUNDUP(Q119/20,0),"")</f>
        <v/>
      </c>
      <c r="AC119" s="9">
        <f>IF(ROUNDUP(R119/20,0)&gt;ROUNDUP(R118/20,0),"Lần " &amp; ROUNDUP(R119/20,0),"")</f>
        <v/>
      </c>
      <c r="AD119" s="9">
        <f>IF(ROUNDUP(S119/20,0)&gt;ROUNDUP(S118/20,0),"Lần " &amp; ROUNDUP(S119/20,0),"")</f>
        <v/>
      </c>
      <c r="AE119" s="9">
        <f>IF(ROUNDUP(T119/20,0)&gt;ROUNDUP(T118/20,0),"Lần " &amp; ROUNDUP(T119/20,0),"")</f>
        <v/>
      </c>
      <c r="AF119" s="9">
        <f>IF(ROUNDUP(U119/20,0)&gt;ROUNDUP(U118/20,0),"Lần " &amp; ROUNDUP(U119/20,0),"")</f>
        <v/>
      </c>
      <c r="AG119" s="9">
        <f>IF(ROUNDUP(V119/20,0)&gt;ROUNDUP(V118/20,0),"Lần " &amp; ROUNDUP(V119/20,0),"")</f>
        <v/>
      </c>
      <c r="AH119" s="9">
        <f>IF(ROUNDUP(W119/20,0)&gt;ROUNDUP(W118/20,0),"Lần " &amp; ROUNDUP(W119/20,0),"")</f>
        <v/>
      </c>
      <c r="AI119" s="9">
        <f>IF(ROUNDUP(X119/20,0)&gt;ROUNDUP(X118/20,0),"Lần " &amp; ROUNDUP(X119/20,0),"")</f>
        <v/>
      </c>
      <c r="AJ119" s="9">
        <f>IF(ROUNDUP(Y119/20,0)&gt;ROUNDUP(Y118/20,0),"Lần " &amp; ROUNDUP(Y119/20,0),"")</f>
        <v/>
      </c>
      <c r="AK119" s="9">
        <f>IF(ROUNDUP(Z119/20,0)&gt;ROUNDUP(Z118/20,0),"Lần " &amp; ROUNDUP(Z119/20,0),"")</f>
        <v/>
      </c>
      <c r="AL119" s="4" t="n"/>
      <c r="AN119" s="596" t="inlineStr">
        <is>
          <t>Coc</t>
        </is>
      </c>
      <c r="AO119" s="596" t="n">
        <v>11</v>
      </c>
      <c r="AQ119" s="594" t="n"/>
      <c r="AR119" s="595" t="n"/>
    </row>
    <row r="120" ht="19" customHeight="1" s="672">
      <c r="A120" s="4" t="n">
        <v>110</v>
      </c>
      <c r="B120" s="5" t="inlineStr">
        <is>
          <t>Cọc khoan nhồi C5 Trụ T2 (D1.2m, L=30.0m)</t>
        </is>
      </c>
      <c r="C120" s="5" t="inlineStr">
        <is>
          <t>Cọc trụ T2 L=30m (tr.70)</t>
        </is>
      </c>
      <c r="D120" s="14" t="inlineStr">
        <is>
          <t>P1D</t>
        </is>
      </c>
      <c r="E120" s="15" t="n">
        <v>10</v>
      </c>
      <c r="F120" s="4" t="inlineStr">
        <is>
          <t>CB240-T</t>
        </is>
      </c>
      <c r="G120" s="5" t="inlineStr"/>
      <c r="H120" s="16" t="n">
        <v>19.721</v>
      </c>
      <c r="I120" s="17" t="n">
        <v>1</v>
      </c>
      <c r="J120" s="18" t="n">
        <v>0.617</v>
      </c>
      <c r="K120" s="7">
        <f>ROUND(H120*I120*J120, 2)</f>
        <v/>
      </c>
      <c r="L120" s="19">
        <f>ROUND(K120/1000, 3)</f>
        <v/>
      </c>
      <c r="M120" s="728">
        <f>IF(AO120="","",IF(N(INDEX(Theo_Doi_Tan_Suat_Be_Tong!$C:$C,AO120))&lt;=0,"",INDEX(Theo_Doi_Tan_Suat_Be_Tong!$C:$C,AO120)-VLOOKUP(AN120,$AQ$2:$AR$7,2,FALSE)))</f>
        <v/>
      </c>
      <c r="N120" s="4" t="n"/>
      <c r="O120" s="20">
        <f>IF(ROUNDUP(P120/20,0)&gt;ROUNDUP(P119/20,0),"TN Ø10 (Lần " &amp; ROUNDUP(P120/20,0) &amp; ")","")</f>
        <v/>
      </c>
      <c r="P120" s="16">
        <f>ROUND(P119+IF(AND(E120&lt;=10,F120&lt;&gt;"ASTM A416"),L120,0),3)</f>
        <v/>
      </c>
      <c r="Q120" s="16">
        <f>ROUND(Q119+IF(AND(E120=12,F120&lt;&gt;"ASTM A416"),L120,0),3)</f>
        <v/>
      </c>
      <c r="R120" s="16">
        <f>ROUND(R119+IF(AND(E120=14,F120&lt;&gt;"ASTM A416"),L120,0),3)</f>
        <v/>
      </c>
      <c r="S120" s="16">
        <f>ROUND(S119+IF(AND(E120=16,F120&lt;&gt;"ASTM A416"),L120,0),3)</f>
        <v/>
      </c>
      <c r="T120" s="16">
        <f>ROUND(T119+IF(AND(E120=18,F120&lt;&gt;"ASTM A416"),L120,0),3)</f>
        <v/>
      </c>
      <c r="U120" s="16">
        <f>ROUND(U119+IF(AND(E120=20,F120&lt;&gt;"ASTM A416"),L120,0),3)</f>
        <v/>
      </c>
      <c r="V120" s="16">
        <f>ROUND(V119+IF(AND(E120=22,F120&lt;&gt;"ASTM A416"),L120,0),3)</f>
        <v/>
      </c>
      <c r="W120" s="16">
        <f>ROUND(W119+IF(AND(E120=25,F120&lt;&gt;"ASTM A416"),L120,0),3)</f>
        <v/>
      </c>
      <c r="X120" s="16">
        <f>ROUND(X119+IF(AND(E120=28,F120&lt;&gt;"ASTM A416"),L120,0),3)</f>
        <v/>
      </c>
      <c r="Y120" s="16">
        <f>ROUND(Y119+IF(AND(E120=32,F120&lt;&gt;"ASTM A416"),L120,0),3)</f>
        <v/>
      </c>
      <c r="Z120" s="16">
        <f>ROUND(Z119+IF(F120="ASTM A416",L120,0),3)</f>
        <v/>
      </c>
      <c r="AA120" s="9">
        <f>IF(ROUNDUP(P120/20,0)&gt;ROUNDUP(P119/20,0),"Lần " &amp; ROUNDUP(P120/20,0),"")</f>
        <v/>
      </c>
      <c r="AB120" s="9">
        <f>IF(ROUNDUP(Q120/20,0)&gt;ROUNDUP(Q119/20,0),"Lần " &amp; ROUNDUP(Q120/20,0),"")</f>
        <v/>
      </c>
      <c r="AC120" s="9">
        <f>IF(ROUNDUP(R120/20,0)&gt;ROUNDUP(R119/20,0),"Lần " &amp; ROUNDUP(R120/20,0),"")</f>
        <v/>
      </c>
      <c r="AD120" s="9">
        <f>IF(ROUNDUP(S120/20,0)&gt;ROUNDUP(S119/20,0),"Lần " &amp; ROUNDUP(S120/20,0),"")</f>
        <v/>
      </c>
      <c r="AE120" s="9">
        <f>IF(ROUNDUP(T120/20,0)&gt;ROUNDUP(T119/20,0),"Lần " &amp; ROUNDUP(T120/20,0),"")</f>
        <v/>
      </c>
      <c r="AF120" s="9">
        <f>IF(ROUNDUP(U120/20,0)&gt;ROUNDUP(U119/20,0),"Lần " &amp; ROUNDUP(U120/20,0),"")</f>
        <v/>
      </c>
      <c r="AG120" s="9">
        <f>IF(ROUNDUP(V120/20,0)&gt;ROUNDUP(V119/20,0),"Lần " &amp; ROUNDUP(V120/20,0),"")</f>
        <v/>
      </c>
      <c r="AH120" s="9">
        <f>IF(ROUNDUP(W120/20,0)&gt;ROUNDUP(W119/20,0),"Lần " &amp; ROUNDUP(W120/20,0),"")</f>
        <v/>
      </c>
      <c r="AI120" s="9">
        <f>IF(ROUNDUP(X120/20,0)&gt;ROUNDUP(X119/20,0),"Lần " &amp; ROUNDUP(X120/20,0),"")</f>
        <v/>
      </c>
      <c r="AJ120" s="9">
        <f>IF(ROUNDUP(Y120/20,0)&gt;ROUNDUP(Y119/20,0),"Lần " &amp; ROUNDUP(Y120/20,0),"")</f>
        <v/>
      </c>
      <c r="AK120" s="9">
        <f>IF(ROUNDUP(Z120/20,0)&gt;ROUNDUP(Z119/20,0),"Lần " &amp; ROUNDUP(Z120/20,0),"")</f>
        <v/>
      </c>
      <c r="AL120" s="4" t="n"/>
      <c r="AN120" s="596" t="inlineStr">
        <is>
          <t>Coc</t>
        </is>
      </c>
      <c r="AO120" s="596" t="n">
        <v>11</v>
      </c>
      <c r="AQ120" s="594" t="n"/>
      <c r="AR120" s="595" t="n"/>
    </row>
    <row r="121" ht="19" customHeight="1" s="672">
      <c r="A121" s="4" t="n">
        <v>111</v>
      </c>
      <c r="B121" s="5" t="inlineStr">
        <is>
          <t>Cọc khoan nhồi C5 Trụ T2 (D1.2m, L=30.0m)</t>
        </is>
      </c>
      <c r="C121" s="5" t="inlineStr">
        <is>
          <t>Cọc trụ T2 L=30m (tr.70)</t>
        </is>
      </c>
      <c r="D121" s="14" t="inlineStr">
        <is>
          <t>P2B</t>
        </is>
      </c>
      <c r="E121" s="15" t="n">
        <v>25</v>
      </c>
      <c r="F121" s="4" t="inlineStr">
        <is>
          <t>CB400-V</t>
        </is>
      </c>
      <c r="G121" s="5" t="inlineStr"/>
      <c r="H121" s="16" t="n">
        <v>2.985</v>
      </c>
      <c r="I121" s="17" t="n">
        <v>12</v>
      </c>
      <c r="J121" s="18" t="n">
        <v>3.853</v>
      </c>
      <c r="K121" s="7">
        <f>ROUND(H121*I121*J121, 2)</f>
        <v/>
      </c>
      <c r="L121" s="19">
        <f>ROUND(K121/1000, 3)</f>
        <v/>
      </c>
      <c r="M121" s="728">
        <f>IF(AO121="","",IF(N(INDEX(Theo_Doi_Tan_Suat_Be_Tong!$C:$C,AO121))&lt;=0,"",INDEX(Theo_Doi_Tan_Suat_Be_Tong!$C:$C,AO121)-VLOOKUP(AN121,$AQ$2:$AR$7,2,FALSE)))</f>
        <v/>
      </c>
      <c r="N121" s="4" t="n"/>
      <c r="O121" s="20">
        <f>IF(ROUNDUP(W121/20,0)&gt;ROUNDUP(W120/20,0),"TN Ø25 (Lần " &amp; ROUNDUP(W121/20,0) &amp; ")","")</f>
        <v/>
      </c>
      <c r="P121" s="16">
        <f>ROUND(P120+IF(AND(E121&lt;=10,F121&lt;&gt;"ASTM A416"),L121,0),3)</f>
        <v/>
      </c>
      <c r="Q121" s="16">
        <f>ROUND(Q120+IF(AND(E121=12,F121&lt;&gt;"ASTM A416"),L121,0),3)</f>
        <v/>
      </c>
      <c r="R121" s="16">
        <f>ROUND(R120+IF(AND(E121=14,F121&lt;&gt;"ASTM A416"),L121,0),3)</f>
        <v/>
      </c>
      <c r="S121" s="16">
        <f>ROUND(S120+IF(AND(E121=16,F121&lt;&gt;"ASTM A416"),L121,0),3)</f>
        <v/>
      </c>
      <c r="T121" s="16">
        <f>ROUND(T120+IF(AND(E121=18,F121&lt;&gt;"ASTM A416"),L121,0),3)</f>
        <v/>
      </c>
      <c r="U121" s="16">
        <f>ROUND(U120+IF(AND(E121=20,F121&lt;&gt;"ASTM A416"),L121,0),3)</f>
        <v/>
      </c>
      <c r="V121" s="16">
        <f>ROUND(V120+IF(AND(E121=22,F121&lt;&gt;"ASTM A416"),L121,0),3)</f>
        <v/>
      </c>
      <c r="W121" s="16">
        <f>ROUND(W120+IF(AND(E121=25,F121&lt;&gt;"ASTM A416"),L121,0),3)</f>
        <v/>
      </c>
      <c r="X121" s="16">
        <f>ROUND(X120+IF(AND(E121=28,F121&lt;&gt;"ASTM A416"),L121,0),3)</f>
        <v/>
      </c>
      <c r="Y121" s="16">
        <f>ROUND(Y120+IF(AND(E121=32,F121&lt;&gt;"ASTM A416"),L121,0),3)</f>
        <v/>
      </c>
      <c r="Z121" s="16">
        <f>ROUND(Z120+IF(F121="ASTM A416",L121,0),3)</f>
        <v/>
      </c>
      <c r="AA121" s="9">
        <f>IF(ROUNDUP(P121/20,0)&gt;ROUNDUP(P120/20,0),"Lần " &amp; ROUNDUP(P121/20,0),"")</f>
        <v/>
      </c>
      <c r="AB121" s="9">
        <f>IF(ROUNDUP(Q121/20,0)&gt;ROUNDUP(Q120/20,0),"Lần " &amp; ROUNDUP(Q121/20,0),"")</f>
        <v/>
      </c>
      <c r="AC121" s="9">
        <f>IF(ROUNDUP(R121/20,0)&gt;ROUNDUP(R120/20,0),"Lần " &amp; ROUNDUP(R121/20,0),"")</f>
        <v/>
      </c>
      <c r="AD121" s="9">
        <f>IF(ROUNDUP(S121/20,0)&gt;ROUNDUP(S120/20,0),"Lần " &amp; ROUNDUP(S121/20,0),"")</f>
        <v/>
      </c>
      <c r="AE121" s="9">
        <f>IF(ROUNDUP(T121/20,0)&gt;ROUNDUP(T120/20,0),"Lần " &amp; ROUNDUP(T121/20,0),"")</f>
        <v/>
      </c>
      <c r="AF121" s="9">
        <f>IF(ROUNDUP(U121/20,0)&gt;ROUNDUP(U120/20,0),"Lần " &amp; ROUNDUP(U121/20,0),"")</f>
        <v/>
      </c>
      <c r="AG121" s="9">
        <f>IF(ROUNDUP(V121/20,0)&gt;ROUNDUP(V120/20,0),"Lần " &amp; ROUNDUP(V121/20,0),"")</f>
        <v/>
      </c>
      <c r="AH121" s="9">
        <f>IF(ROUNDUP(W121/20,0)&gt;ROUNDUP(W120/20,0),"Lần " &amp; ROUNDUP(W121/20,0),"")</f>
        <v/>
      </c>
      <c r="AI121" s="9">
        <f>IF(ROUNDUP(X121/20,0)&gt;ROUNDUP(X120/20,0),"Lần " &amp; ROUNDUP(X121/20,0),"")</f>
        <v/>
      </c>
      <c r="AJ121" s="9">
        <f>IF(ROUNDUP(Y121/20,0)&gt;ROUNDUP(Y120/20,0),"Lần " &amp; ROUNDUP(Y121/20,0),"")</f>
        <v/>
      </c>
      <c r="AK121" s="9">
        <f>IF(ROUNDUP(Z121/20,0)&gt;ROUNDUP(Z120/20,0),"Lần " &amp; ROUNDUP(Z121/20,0),"")</f>
        <v/>
      </c>
      <c r="AL121" s="4" t="n"/>
      <c r="AN121" s="596" t="inlineStr">
        <is>
          <t>Coc</t>
        </is>
      </c>
      <c r="AO121" s="596" t="n">
        <v>11</v>
      </c>
      <c r="AQ121" s="594" t="n"/>
      <c r="AR121" s="595" t="n"/>
    </row>
    <row r="122" ht="19" customHeight="1" s="672">
      <c r="A122" s="4" t="n">
        <v>112</v>
      </c>
      <c r="B122" s="5" t="inlineStr">
        <is>
          <t>Cọc khoan nhồi C5 Trụ T2 (D1.2m, L=30.0m)</t>
        </is>
      </c>
      <c r="C122" s="5" t="inlineStr">
        <is>
          <t>Cọc trụ T2 L=30m (tr.70)</t>
        </is>
      </c>
      <c r="D122" s="14" t="inlineStr">
        <is>
          <t>P3</t>
        </is>
      </c>
      <c r="E122" s="15" t="n">
        <v>25</v>
      </c>
      <c r="F122" s="4" t="inlineStr">
        <is>
          <t>CB400-V</t>
        </is>
      </c>
      <c r="G122" s="5" t="inlineStr"/>
      <c r="H122" s="16" t="n">
        <v>10.7</v>
      </c>
      <c r="I122" s="17" t="n">
        <v>12</v>
      </c>
      <c r="J122" s="18" t="n">
        <v>3.853</v>
      </c>
      <c r="K122" s="7">
        <f>ROUND(H122*I122*J122, 2)</f>
        <v/>
      </c>
      <c r="L122" s="19">
        <f>ROUND(K122/1000, 3)</f>
        <v/>
      </c>
      <c r="M122" s="728">
        <f>IF(AO122="","",IF(N(INDEX(Theo_Doi_Tan_Suat_Be_Tong!$C:$C,AO122))&lt;=0,"",INDEX(Theo_Doi_Tan_Suat_Be_Tong!$C:$C,AO122)-VLOOKUP(AN122,$AQ$2:$AR$7,2,FALSE)))</f>
        <v/>
      </c>
      <c r="N122" s="4" t="n"/>
      <c r="O122" s="20">
        <f>IF(ROUNDUP(W122/20,0)&gt;ROUNDUP(W121/20,0),"TN Ø25 (Lần " &amp; ROUNDUP(W122/20,0) &amp; ")","")</f>
        <v/>
      </c>
      <c r="P122" s="16">
        <f>ROUND(P121+IF(AND(E122&lt;=10,F122&lt;&gt;"ASTM A416"),L122,0),3)</f>
        <v/>
      </c>
      <c r="Q122" s="16">
        <f>ROUND(Q121+IF(AND(E122=12,F122&lt;&gt;"ASTM A416"),L122,0),3)</f>
        <v/>
      </c>
      <c r="R122" s="16">
        <f>ROUND(R121+IF(AND(E122=14,F122&lt;&gt;"ASTM A416"),L122,0),3)</f>
        <v/>
      </c>
      <c r="S122" s="16">
        <f>ROUND(S121+IF(AND(E122=16,F122&lt;&gt;"ASTM A416"),L122,0),3)</f>
        <v/>
      </c>
      <c r="T122" s="16">
        <f>ROUND(T121+IF(AND(E122=18,F122&lt;&gt;"ASTM A416"),L122,0),3)</f>
        <v/>
      </c>
      <c r="U122" s="16">
        <f>ROUND(U121+IF(AND(E122=20,F122&lt;&gt;"ASTM A416"),L122,0),3)</f>
        <v/>
      </c>
      <c r="V122" s="16">
        <f>ROUND(V121+IF(AND(E122=22,F122&lt;&gt;"ASTM A416"),L122,0),3)</f>
        <v/>
      </c>
      <c r="W122" s="16">
        <f>ROUND(W121+IF(AND(E122=25,F122&lt;&gt;"ASTM A416"),L122,0),3)</f>
        <v/>
      </c>
      <c r="X122" s="16">
        <f>ROUND(X121+IF(AND(E122=28,F122&lt;&gt;"ASTM A416"),L122,0),3)</f>
        <v/>
      </c>
      <c r="Y122" s="16">
        <f>ROUND(Y121+IF(AND(E122=32,F122&lt;&gt;"ASTM A416"),L122,0),3)</f>
        <v/>
      </c>
      <c r="Z122" s="16">
        <f>ROUND(Z121+IF(F122="ASTM A416",L122,0),3)</f>
        <v/>
      </c>
      <c r="AA122" s="9">
        <f>IF(ROUNDUP(P122/20,0)&gt;ROUNDUP(P121/20,0),"Lần " &amp; ROUNDUP(P122/20,0),"")</f>
        <v/>
      </c>
      <c r="AB122" s="9">
        <f>IF(ROUNDUP(Q122/20,0)&gt;ROUNDUP(Q121/20,0),"Lần " &amp; ROUNDUP(Q122/20,0),"")</f>
        <v/>
      </c>
      <c r="AC122" s="9">
        <f>IF(ROUNDUP(R122/20,0)&gt;ROUNDUP(R121/20,0),"Lần " &amp; ROUNDUP(R122/20,0),"")</f>
        <v/>
      </c>
      <c r="AD122" s="9">
        <f>IF(ROUNDUP(S122/20,0)&gt;ROUNDUP(S121/20,0),"Lần " &amp; ROUNDUP(S122/20,0),"")</f>
        <v/>
      </c>
      <c r="AE122" s="9">
        <f>IF(ROUNDUP(T122/20,0)&gt;ROUNDUP(T121/20,0),"Lần " &amp; ROUNDUP(T122/20,0),"")</f>
        <v/>
      </c>
      <c r="AF122" s="9">
        <f>IF(ROUNDUP(U122/20,0)&gt;ROUNDUP(U121/20,0),"Lần " &amp; ROUNDUP(U122/20,0),"")</f>
        <v/>
      </c>
      <c r="AG122" s="9">
        <f>IF(ROUNDUP(V122/20,0)&gt;ROUNDUP(V121/20,0),"Lần " &amp; ROUNDUP(V122/20,0),"")</f>
        <v/>
      </c>
      <c r="AH122" s="9">
        <f>IF(ROUNDUP(W122/20,0)&gt;ROUNDUP(W121/20,0),"Lần " &amp; ROUNDUP(W122/20,0),"")</f>
        <v/>
      </c>
      <c r="AI122" s="9">
        <f>IF(ROUNDUP(X122/20,0)&gt;ROUNDUP(X121/20,0),"Lần " &amp; ROUNDUP(X122/20,0),"")</f>
        <v/>
      </c>
      <c r="AJ122" s="9">
        <f>IF(ROUNDUP(Y122/20,0)&gt;ROUNDUP(Y121/20,0),"Lần " &amp; ROUNDUP(Y122/20,0),"")</f>
        <v/>
      </c>
      <c r="AK122" s="9">
        <f>IF(ROUNDUP(Z122/20,0)&gt;ROUNDUP(Z121/20,0),"Lần " &amp; ROUNDUP(Z122/20,0),"")</f>
        <v/>
      </c>
      <c r="AL122" s="4" t="n"/>
      <c r="AN122" s="596" t="inlineStr">
        <is>
          <t>Coc</t>
        </is>
      </c>
      <c r="AO122" s="596" t="n">
        <v>11</v>
      </c>
      <c r="AQ122" s="594" t="n"/>
      <c r="AR122" s="595" t="n"/>
    </row>
    <row r="123" ht="19" customHeight="1" s="672">
      <c r="A123" s="4" t="n">
        <v>113</v>
      </c>
      <c r="B123" s="5" t="inlineStr">
        <is>
          <t>Cọc khoan nhồi C5 Trụ T2 (D1.2m, L=30.0m)</t>
        </is>
      </c>
      <c r="C123" s="5" t="inlineStr">
        <is>
          <t>Cọc trụ T2 L=30m (tr.70)</t>
        </is>
      </c>
      <c r="D123" s="14" t="inlineStr">
        <is>
          <t>P4</t>
        </is>
      </c>
      <c r="E123" s="15" t="n">
        <v>25</v>
      </c>
      <c r="F123" s="4" t="inlineStr">
        <is>
          <t>CB400-V</t>
        </is>
      </c>
      <c r="G123" s="5" t="inlineStr"/>
      <c r="H123" s="16" t="n">
        <v>11.7</v>
      </c>
      <c r="I123" s="17" t="n">
        <v>36</v>
      </c>
      <c r="J123" s="18" t="n">
        <v>3.853</v>
      </c>
      <c r="K123" s="7">
        <f>ROUND(H123*I123*J123, 2)</f>
        <v/>
      </c>
      <c r="L123" s="19">
        <f>ROUND(K123/1000, 3)</f>
        <v/>
      </c>
      <c r="M123" s="728">
        <f>IF(AO123="","",IF(N(INDEX(Theo_Doi_Tan_Suat_Be_Tong!$C:$C,AO123))&lt;=0,"",INDEX(Theo_Doi_Tan_Suat_Be_Tong!$C:$C,AO123)-VLOOKUP(AN123,$AQ$2:$AR$7,2,FALSE)))</f>
        <v/>
      </c>
      <c r="N123" s="4" t="n"/>
      <c r="O123" s="20">
        <f>IF(ROUNDUP(W123/20,0)&gt;ROUNDUP(W122/20,0),"TN Ø25 (Lần " &amp; ROUNDUP(W123/20,0) &amp; ")","")</f>
        <v/>
      </c>
      <c r="P123" s="16">
        <f>ROUND(P122+IF(AND(E123&lt;=10,F123&lt;&gt;"ASTM A416"),L123,0),3)</f>
        <v/>
      </c>
      <c r="Q123" s="16">
        <f>ROUND(Q122+IF(AND(E123=12,F123&lt;&gt;"ASTM A416"),L123,0),3)</f>
        <v/>
      </c>
      <c r="R123" s="16">
        <f>ROUND(R122+IF(AND(E123=14,F123&lt;&gt;"ASTM A416"),L123,0),3)</f>
        <v/>
      </c>
      <c r="S123" s="16">
        <f>ROUND(S122+IF(AND(E123=16,F123&lt;&gt;"ASTM A416"),L123,0),3)</f>
        <v/>
      </c>
      <c r="T123" s="16">
        <f>ROUND(T122+IF(AND(E123=18,F123&lt;&gt;"ASTM A416"),L123,0),3)</f>
        <v/>
      </c>
      <c r="U123" s="16">
        <f>ROUND(U122+IF(AND(E123=20,F123&lt;&gt;"ASTM A416"),L123,0),3)</f>
        <v/>
      </c>
      <c r="V123" s="16">
        <f>ROUND(V122+IF(AND(E123=22,F123&lt;&gt;"ASTM A416"),L123,0),3)</f>
        <v/>
      </c>
      <c r="W123" s="16">
        <f>ROUND(W122+IF(AND(E123=25,F123&lt;&gt;"ASTM A416"),L123,0),3)</f>
        <v/>
      </c>
      <c r="X123" s="16">
        <f>ROUND(X122+IF(AND(E123=28,F123&lt;&gt;"ASTM A416"),L123,0),3)</f>
        <v/>
      </c>
      <c r="Y123" s="16">
        <f>ROUND(Y122+IF(AND(E123=32,F123&lt;&gt;"ASTM A416"),L123,0),3)</f>
        <v/>
      </c>
      <c r="Z123" s="16">
        <f>ROUND(Z122+IF(F123="ASTM A416",L123,0),3)</f>
        <v/>
      </c>
      <c r="AA123" s="9">
        <f>IF(ROUNDUP(P123/20,0)&gt;ROUNDUP(P122/20,0),"Lần " &amp; ROUNDUP(P123/20,0),"")</f>
        <v/>
      </c>
      <c r="AB123" s="9">
        <f>IF(ROUNDUP(Q123/20,0)&gt;ROUNDUP(Q122/20,0),"Lần " &amp; ROUNDUP(Q123/20,0),"")</f>
        <v/>
      </c>
      <c r="AC123" s="9">
        <f>IF(ROUNDUP(R123/20,0)&gt;ROUNDUP(R122/20,0),"Lần " &amp; ROUNDUP(R123/20,0),"")</f>
        <v/>
      </c>
      <c r="AD123" s="9">
        <f>IF(ROUNDUP(S123/20,0)&gt;ROUNDUP(S122/20,0),"Lần " &amp; ROUNDUP(S123/20,0),"")</f>
        <v/>
      </c>
      <c r="AE123" s="9">
        <f>IF(ROUNDUP(T123/20,0)&gt;ROUNDUP(T122/20,0),"Lần " &amp; ROUNDUP(T123/20,0),"")</f>
        <v/>
      </c>
      <c r="AF123" s="9">
        <f>IF(ROUNDUP(U123/20,0)&gt;ROUNDUP(U122/20,0),"Lần " &amp; ROUNDUP(U123/20,0),"")</f>
        <v/>
      </c>
      <c r="AG123" s="9">
        <f>IF(ROUNDUP(V123/20,0)&gt;ROUNDUP(V122/20,0),"Lần " &amp; ROUNDUP(V123/20,0),"")</f>
        <v/>
      </c>
      <c r="AH123" s="9">
        <f>IF(ROUNDUP(W123/20,0)&gt;ROUNDUP(W122/20,0),"Lần " &amp; ROUNDUP(W123/20,0),"")</f>
        <v/>
      </c>
      <c r="AI123" s="9">
        <f>IF(ROUNDUP(X123/20,0)&gt;ROUNDUP(X122/20,0),"Lần " &amp; ROUNDUP(X123/20,0),"")</f>
        <v/>
      </c>
      <c r="AJ123" s="9">
        <f>IF(ROUNDUP(Y123/20,0)&gt;ROUNDUP(Y122/20,0),"Lần " &amp; ROUNDUP(Y123/20,0),"")</f>
        <v/>
      </c>
      <c r="AK123" s="9">
        <f>IF(ROUNDUP(Z123/20,0)&gt;ROUNDUP(Z122/20,0),"Lần " &amp; ROUNDUP(Z123/20,0),"")</f>
        <v/>
      </c>
      <c r="AL123" s="4" t="n"/>
      <c r="AN123" s="596" t="inlineStr">
        <is>
          <t>Coc</t>
        </is>
      </c>
      <c r="AO123" s="596" t="n">
        <v>11</v>
      </c>
      <c r="AQ123" s="594" t="n"/>
      <c r="AR123" s="595" t="n"/>
    </row>
    <row r="124" ht="19" customHeight="1" s="672">
      <c r="A124" s="4" t="n">
        <v>114</v>
      </c>
      <c r="B124" s="5" t="inlineStr">
        <is>
          <t>Cọc khoan nhồi C5 Trụ T2 (D1.2m, L=30.0m)</t>
        </is>
      </c>
      <c r="C124" s="5" t="inlineStr">
        <is>
          <t>Cọc trụ T2 L=30m (tr.70)</t>
        </is>
      </c>
      <c r="D124" s="14" t="inlineStr">
        <is>
          <t>P6</t>
        </is>
      </c>
      <c r="E124" s="15" t="n">
        <v>25</v>
      </c>
      <c r="F124" s="4" t="inlineStr">
        <is>
          <t>CB400-V</t>
        </is>
      </c>
      <c r="G124" s="5" t="inlineStr"/>
      <c r="H124" s="16" t="n">
        <v>9.733000000000001</v>
      </c>
      <c r="I124" s="17" t="n">
        <v>12</v>
      </c>
      <c r="J124" s="18" t="n">
        <v>3.853</v>
      </c>
      <c r="K124" s="7">
        <f>ROUND(H124*I124*J124, 2)</f>
        <v/>
      </c>
      <c r="L124" s="19">
        <f>ROUND(K124/1000, 3)</f>
        <v/>
      </c>
      <c r="M124" s="728">
        <f>IF(AO124="","",IF(N(INDEX(Theo_Doi_Tan_Suat_Be_Tong!$C:$C,AO124))&lt;=0,"",INDEX(Theo_Doi_Tan_Suat_Be_Tong!$C:$C,AO124)-VLOOKUP(AN124,$AQ$2:$AR$7,2,FALSE)))</f>
        <v/>
      </c>
      <c r="N124" s="4" t="n"/>
      <c r="O124" s="20">
        <f>IF(ROUNDUP(W124/20,0)&gt;ROUNDUP(W123/20,0),"TN Ø25 (Lần " &amp; ROUNDUP(W124/20,0) &amp; ")","")</f>
        <v/>
      </c>
      <c r="P124" s="16">
        <f>ROUND(P123+IF(AND(E124&lt;=10,F124&lt;&gt;"ASTM A416"),L124,0),3)</f>
        <v/>
      </c>
      <c r="Q124" s="16">
        <f>ROUND(Q123+IF(AND(E124=12,F124&lt;&gt;"ASTM A416"),L124,0),3)</f>
        <v/>
      </c>
      <c r="R124" s="16">
        <f>ROUND(R123+IF(AND(E124=14,F124&lt;&gt;"ASTM A416"),L124,0),3)</f>
        <v/>
      </c>
      <c r="S124" s="16">
        <f>ROUND(S123+IF(AND(E124=16,F124&lt;&gt;"ASTM A416"),L124,0),3)</f>
        <v/>
      </c>
      <c r="T124" s="16">
        <f>ROUND(T123+IF(AND(E124=18,F124&lt;&gt;"ASTM A416"),L124,0),3)</f>
        <v/>
      </c>
      <c r="U124" s="16">
        <f>ROUND(U123+IF(AND(E124=20,F124&lt;&gt;"ASTM A416"),L124,0),3)</f>
        <v/>
      </c>
      <c r="V124" s="16">
        <f>ROUND(V123+IF(AND(E124=22,F124&lt;&gt;"ASTM A416"),L124,0),3)</f>
        <v/>
      </c>
      <c r="W124" s="16">
        <f>ROUND(W123+IF(AND(E124=25,F124&lt;&gt;"ASTM A416"),L124,0),3)</f>
        <v/>
      </c>
      <c r="X124" s="16">
        <f>ROUND(X123+IF(AND(E124=28,F124&lt;&gt;"ASTM A416"),L124,0),3)</f>
        <v/>
      </c>
      <c r="Y124" s="16">
        <f>ROUND(Y123+IF(AND(E124=32,F124&lt;&gt;"ASTM A416"),L124,0),3)</f>
        <v/>
      </c>
      <c r="Z124" s="16">
        <f>ROUND(Z123+IF(F124="ASTM A416",L124,0),3)</f>
        <v/>
      </c>
      <c r="AA124" s="9">
        <f>IF(ROUNDUP(P124/20,0)&gt;ROUNDUP(P123/20,0),"Lần " &amp; ROUNDUP(P124/20,0),"")</f>
        <v/>
      </c>
      <c r="AB124" s="9">
        <f>IF(ROUNDUP(Q124/20,0)&gt;ROUNDUP(Q123/20,0),"Lần " &amp; ROUNDUP(Q124/20,0),"")</f>
        <v/>
      </c>
      <c r="AC124" s="9">
        <f>IF(ROUNDUP(R124/20,0)&gt;ROUNDUP(R123/20,0),"Lần " &amp; ROUNDUP(R124/20,0),"")</f>
        <v/>
      </c>
      <c r="AD124" s="9">
        <f>IF(ROUNDUP(S124/20,0)&gt;ROUNDUP(S123/20,0),"Lần " &amp; ROUNDUP(S124/20,0),"")</f>
        <v/>
      </c>
      <c r="AE124" s="9">
        <f>IF(ROUNDUP(T124/20,0)&gt;ROUNDUP(T123/20,0),"Lần " &amp; ROUNDUP(T124/20,0),"")</f>
        <v/>
      </c>
      <c r="AF124" s="9">
        <f>IF(ROUNDUP(U124/20,0)&gt;ROUNDUP(U123/20,0),"Lần " &amp; ROUNDUP(U124/20,0),"")</f>
        <v/>
      </c>
      <c r="AG124" s="9">
        <f>IF(ROUNDUP(V124/20,0)&gt;ROUNDUP(V123/20,0),"Lần " &amp; ROUNDUP(V124/20,0),"")</f>
        <v/>
      </c>
      <c r="AH124" s="9">
        <f>IF(ROUNDUP(W124/20,0)&gt;ROUNDUP(W123/20,0),"Lần " &amp; ROUNDUP(W124/20,0),"")</f>
        <v/>
      </c>
      <c r="AI124" s="9">
        <f>IF(ROUNDUP(X124/20,0)&gt;ROUNDUP(X123/20,0),"Lần " &amp; ROUNDUP(X124/20,0),"")</f>
        <v/>
      </c>
      <c r="AJ124" s="9">
        <f>IF(ROUNDUP(Y124/20,0)&gt;ROUNDUP(Y123/20,0),"Lần " &amp; ROUNDUP(Y124/20,0),"")</f>
        <v/>
      </c>
      <c r="AK124" s="9">
        <f>IF(ROUNDUP(Z124/20,0)&gt;ROUNDUP(Z123/20,0),"Lần " &amp; ROUNDUP(Z124/20,0),"")</f>
        <v/>
      </c>
      <c r="AL124" s="4" t="n"/>
      <c r="AN124" s="596" t="inlineStr">
        <is>
          <t>Coc</t>
        </is>
      </c>
      <c r="AO124" s="596" t="n">
        <v>11</v>
      </c>
      <c r="AQ124" s="594" t="n"/>
      <c r="AR124" s="595" t="n"/>
    </row>
    <row r="125" ht="19" customHeight="1" s="672">
      <c r="A125" s="4" t="n">
        <v>115</v>
      </c>
      <c r="B125" s="5" t="inlineStr">
        <is>
          <t>Cọc khoan nhồi C5 Trụ T2 (D1.2m, L=30.0m)</t>
        </is>
      </c>
      <c r="C125" s="5" t="inlineStr">
        <is>
          <t>Cọc trụ T2 L=30m (tr.70)</t>
        </is>
      </c>
      <c r="D125" s="14" t="inlineStr">
        <is>
          <t>P7</t>
        </is>
      </c>
      <c r="E125" s="15" t="n">
        <v>25</v>
      </c>
      <c r="F125" s="4" t="inlineStr">
        <is>
          <t>CB400-V</t>
        </is>
      </c>
      <c r="G125" s="5" t="inlineStr"/>
      <c r="H125" s="16" t="n">
        <v>10.733</v>
      </c>
      <c r="I125" s="17" t="n">
        <v>12</v>
      </c>
      <c r="J125" s="18" t="n">
        <v>3.853</v>
      </c>
      <c r="K125" s="7">
        <f>ROUND(H125*I125*J125, 2)</f>
        <v/>
      </c>
      <c r="L125" s="19">
        <f>ROUND(K125/1000, 3)</f>
        <v/>
      </c>
      <c r="M125" s="728">
        <f>IF(AO125="","",IF(N(INDEX(Theo_Doi_Tan_Suat_Be_Tong!$C:$C,AO125))&lt;=0,"",INDEX(Theo_Doi_Tan_Suat_Be_Tong!$C:$C,AO125)-VLOOKUP(AN125,$AQ$2:$AR$7,2,FALSE)))</f>
        <v/>
      </c>
      <c r="N125" s="4" t="n"/>
      <c r="O125" s="20">
        <f>IF(ROUNDUP(W125/20,0)&gt;ROUNDUP(W124/20,0),"TN Ø25 (Lần " &amp; ROUNDUP(W125/20,0) &amp; ")","")</f>
        <v/>
      </c>
      <c r="P125" s="16">
        <f>ROUND(P124+IF(AND(E125&lt;=10,F125&lt;&gt;"ASTM A416"),L125,0),3)</f>
        <v/>
      </c>
      <c r="Q125" s="16">
        <f>ROUND(Q124+IF(AND(E125=12,F125&lt;&gt;"ASTM A416"),L125,0),3)</f>
        <v/>
      </c>
      <c r="R125" s="16">
        <f>ROUND(R124+IF(AND(E125=14,F125&lt;&gt;"ASTM A416"),L125,0),3)</f>
        <v/>
      </c>
      <c r="S125" s="16">
        <f>ROUND(S124+IF(AND(E125=16,F125&lt;&gt;"ASTM A416"),L125,0),3)</f>
        <v/>
      </c>
      <c r="T125" s="16">
        <f>ROUND(T124+IF(AND(E125=18,F125&lt;&gt;"ASTM A416"),L125,0),3)</f>
        <v/>
      </c>
      <c r="U125" s="16">
        <f>ROUND(U124+IF(AND(E125=20,F125&lt;&gt;"ASTM A416"),L125,0),3)</f>
        <v/>
      </c>
      <c r="V125" s="16">
        <f>ROUND(V124+IF(AND(E125=22,F125&lt;&gt;"ASTM A416"),L125,0),3)</f>
        <v/>
      </c>
      <c r="W125" s="16">
        <f>ROUND(W124+IF(AND(E125=25,F125&lt;&gt;"ASTM A416"),L125,0),3)</f>
        <v/>
      </c>
      <c r="X125" s="16">
        <f>ROUND(X124+IF(AND(E125=28,F125&lt;&gt;"ASTM A416"),L125,0),3)</f>
        <v/>
      </c>
      <c r="Y125" s="16">
        <f>ROUND(Y124+IF(AND(E125=32,F125&lt;&gt;"ASTM A416"),L125,0),3)</f>
        <v/>
      </c>
      <c r="Z125" s="16">
        <f>ROUND(Z124+IF(F125="ASTM A416",L125,0),3)</f>
        <v/>
      </c>
      <c r="AA125" s="9">
        <f>IF(ROUNDUP(P125/20,0)&gt;ROUNDUP(P124/20,0),"Lần " &amp; ROUNDUP(P125/20,0),"")</f>
        <v/>
      </c>
      <c r="AB125" s="9">
        <f>IF(ROUNDUP(Q125/20,0)&gt;ROUNDUP(Q124/20,0),"Lần " &amp; ROUNDUP(Q125/20,0),"")</f>
        <v/>
      </c>
      <c r="AC125" s="9">
        <f>IF(ROUNDUP(R125/20,0)&gt;ROUNDUP(R124/20,0),"Lần " &amp; ROUNDUP(R125/20,0),"")</f>
        <v/>
      </c>
      <c r="AD125" s="9">
        <f>IF(ROUNDUP(S125/20,0)&gt;ROUNDUP(S124/20,0),"Lần " &amp; ROUNDUP(S125/20,0),"")</f>
        <v/>
      </c>
      <c r="AE125" s="9">
        <f>IF(ROUNDUP(T125/20,0)&gt;ROUNDUP(T124/20,0),"Lần " &amp; ROUNDUP(T125/20,0),"")</f>
        <v/>
      </c>
      <c r="AF125" s="9">
        <f>IF(ROUNDUP(U125/20,0)&gt;ROUNDUP(U124/20,0),"Lần " &amp; ROUNDUP(U125/20,0),"")</f>
        <v/>
      </c>
      <c r="AG125" s="9">
        <f>IF(ROUNDUP(V125/20,0)&gt;ROUNDUP(V124/20,0),"Lần " &amp; ROUNDUP(V125/20,0),"")</f>
        <v/>
      </c>
      <c r="AH125" s="9">
        <f>IF(ROUNDUP(W125/20,0)&gt;ROUNDUP(W124/20,0),"Lần " &amp; ROUNDUP(W125/20,0),"")</f>
        <v/>
      </c>
      <c r="AI125" s="9">
        <f>IF(ROUNDUP(X125/20,0)&gt;ROUNDUP(X124/20,0),"Lần " &amp; ROUNDUP(X125/20,0),"")</f>
        <v/>
      </c>
      <c r="AJ125" s="9">
        <f>IF(ROUNDUP(Y125/20,0)&gt;ROUNDUP(Y124/20,0),"Lần " &amp; ROUNDUP(Y125/20,0),"")</f>
        <v/>
      </c>
      <c r="AK125" s="9">
        <f>IF(ROUNDUP(Z125/20,0)&gt;ROUNDUP(Z124/20,0),"Lần " &amp; ROUNDUP(Z125/20,0),"")</f>
        <v/>
      </c>
      <c r="AL125" s="4" t="n"/>
      <c r="AN125" s="596" t="inlineStr">
        <is>
          <t>Coc</t>
        </is>
      </c>
      <c r="AO125" s="596" t="n">
        <v>11</v>
      </c>
      <c r="AQ125" s="594" t="n"/>
      <c r="AR125" s="595" t="n"/>
    </row>
    <row r="126" ht="19" customHeight="1" s="672">
      <c r="A126" s="4" t="n">
        <v>116</v>
      </c>
      <c r="B126" s="5" t="inlineStr">
        <is>
          <t>Cọc khoan nhồi C5 Trụ T2 (D1.2m, L=30.0m)</t>
        </is>
      </c>
      <c r="C126" s="5" t="inlineStr">
        <is>
          <t>Cọc trụ T2 L=30m (tr.70)</t>
        </is>
      </c>
      <c r="D126" s="14" t="inlineStr">
        <is>
          <t>P8</t>
        </is>
      </c>
      <c r="E126" s="15" t="n">
        <v>12</v>
      </c>
      <c r="F126" s="4" t="inlineStr">
        <is>
          <t>CB400-V</t>
        </is>
      </c>
      <c r="G126" s="5" t="inlineStr"/>
      <c r="H126" s="16" t="n">
        <v>0.647</v>
      </c>
      <c r="I126" s="17" t="n">
        <v>12</v>
      </c>
      <c r="J126" s="18" t="n">
        <v>0.888</v>
      </c>
      <c r="K126" s="7">
        <f>ROUND(H126*I126*J126, 2)</f>
        <v/>
      </c>
      <c r="L126" s="19">
        <f>ROUND(K126/1000, 3)</f>
        <v/>
      </c>
      <c r="M126" s="728">
        <f>IF(AO126="","",IF(N(INDEX(Theo_Doi_Tan_Suat_Be_Tong!$C:$C,AO126))&lt;=0,"",INDEX(Theo_Doi_Tan_Suat_Be_Tong!$C:$C,AO126)-VLOOKUP(AN126,$AQ$2:$AR$7,2,FALSE)))</f>
        <v/>
      </c>
      <c r="N126" s="4" t="n"/>
      <c r="O126" s="20">
        <f>IF(ROUNDUP(Q126/20,0)&gt;ROUNDUP(Q125/20,0),"TN Ø12 (Lần " &amp; ROUNDUP(Q126/20,0) &amp; ")","")</f>
        <v/>
      </c>
      <c r="P126" s="16">
        <f>ROUND(P125+IF(AND(E126&lt;=10,F126&lt;&gt;"ASTM A416"),L126,0),3)</f>
        <v/>
      </c>
      <c r="Q126" s="16">
        <f>ROUND(Q125+IF(AND(E126=12,F126&lt;&gt;"ASTM A416"),L126,0),3)</f>
        <v/>
      </c>
      <c r="R126" s="16">
        <f>ROUND(R125+IF(AND(E126=14,F126&lt;&gt;"ASTM A416"),L126,0),3)</f>
        <v/>
      </c>
      <c r="S126" s="16">
        <f>ROUND(S125+IF(AND(E126=16,F126&lt;&gt;"ASTM A416"),L126,0),3)</f>
        <v/>
      </c>
      <c r="T126" s="16">
        <f>ROUND(T125+IF(AND(E126=18,F126&lt;&gt;"ASTM A416"),L126,0),3)</f>
        <v/>
      </c>
      <c r="U126" s="16">
        <f>ROUND(U125+IF(AND(E126=20,F126&lt;&gt;"ASTM A416"),L126,0),3)</f>
        <v/>
      </c>
      <c r="V126" s="16">
        <f>ROUND(V125+IF(AND(E126=22,F126&lt;&gt;"ASTM A416"),L126,0),3)</f>
        <v/>
      </c>
      <c r="W126" s="16">
        <f>ROUND(W125+IF(AND(E126=25,F126&lt;&gt;"ASTM A416"),L126,0),3)</f>
        <v/>
      </c>
      <c r="X126" s="16">
        <f>ROUND(X125+IF(AND(E126=28,F126&lt;&gt;"ASTM A416"),L126,0),3)</f>
        <v/>
      </c>
      <c r="Y126" s="16">
        <f>ROUND(Y125+IF(AND(E126=32,F126&lt;&gt;"ASTM A416"),L126,0),3)</f>
        <v/>
      </c>
      <c r="Z126" s="16">
        <f>ROUND(Z125+IF(F126="ASTM A416",L126,0),3)</f>
        <v/>
      </c>
      <c r="AA126" s="9">
        <f>IF(ROUNDUP(P126/20,0)&gt;ROUNDUP(P125/20,0),"Lần " &amp; ROUNDUP(P126/20,0),"")</f>
        <v/>
      </c>
      <c r="AB126" s="9">
        <f>IF(ROUNDUP(Q126/20,0)&gt;ROUNDUP(Q125/20,0),"Lần " &amp; ROUNDUP(Q126/20,0),"")</f>
        <v/>
      </c>
      <c r="AC126" s="9">
        <f>IF(ROUNDUP(R126/20,0)&gt;ROUNDUP(R125/20,0),"Lần " &amp; ROUNDUP(R126/20,0),"")</f>
        <v/>
      </c>
      <c r="AD126" s="9">
        <f>IF(ROUNDUP(S126/20,0)&gt;ROUNDUP(S125/20,0),"Lần " &amp; ROUNDUP(S126/20,0),"")</f>
        <v/>
      </c>
      <c r="AE126" s="9">
        <f>IF(ROUNDUP(T126/20,0)&gt;ROUNDUP(T125/20,0),"Lần " &amp; ROUNDUP(T126/20,0),"")</f>
        <v/>
      </c>
      <c r="AF126" s="9">
        <f>IF(ROUNDUP(U126/20,0)&gt;ROUNDUP(U125/20,0),"Lần " &amp; ROUNDUP(U126/20,0),"")</f>
        <v/>
      </c>
      <c r="AG126" s="9">
        <f>IF(ROUNDUP(V126/20,0)&gt;ROUNDUP(V125/20,0),"Lần " &amp; ROUNDUP(V126/20,0),"")</f>
        <v/>
      </c>
      <c r="AH126" s="9">
        <f>IF(ROUNDUP(W126/20,0)&gt;ROUNDUP(W125/20,0),"Lần " &amp; ROUNDUP(W126/20,0),"")</f>
        <v/>
      </c>
      <c r="AI126" s="9">
        <f>IF(ROUNDUP(X126/20,0)&gt;ROUNDUP(X125/20,0),"Lần " &amp; ROUNDUP(X126/20,0),"")</f>
        <v/>
      </c>
      <c r="AJ126" s="9">
        <f>IF(ROUNDUP(Y126/20,0)&gt;ROUNDUP(Y125/20,0),"Lần " &amp; ROUNDUP(Y126/20,0),"")</f>
        <v/>
      </c>
      <c r="AK126" s="9">
        <f>IF(ROUNDUP(Z126/20,0)&gt;ROUNDUP(Z125/20,0),"Lần " &amp; ROUNDUP(Z126/20,0),"")</f>
        <v/>
      </c>
      <c r="AL126" s="4" t="n"/>
      <c r="AN126" s="596" t="inlineStr">
        <is>
          <t>Coc</t>
        </is>
      </c>
      <c r="AO126" s="596" t="n">
        <v>11</v>
      </c>
      <c r="AQ126" s="594" t="n"/>
      <c r="AR126" s="595" t="n"/>
    </row>
    <row r="127" ht="19" customHeight="1" s="672">
      <c r="A127" s="4" t="n">
        <v>117</v>
      </c>
      <c r="B127" s="5" t="inlineStr">
        <is>
          <t>Cọc khoan nhồi C5 Trụ T2 (D1.2m, L=30.0m)</t>
        </is>
      </c>
      <c r="C127" s="5" t="inlineStr">
        <is>
          <t>Cọc trụ T2 L=30m (tr.70)</t>
        </is>
      </c>
      <c r="D127" s="14" t="inlineStr">
        <is>
          <t>P9</t>
        </is>
      </c>
      <c r="E127" s="15" t="n">
        <v>12</v>
      </c>
      <c r="F127" s="4" t="inlineStr">
        <is>
          <t>CB400-V</t>
        </is>
      </c>
      <c r="G127" s="5" t="inlineStr"/>
      <c r="H127" s="16" t="n">
        <v>0.379</v>
      </c>
      <c r="I127" s="17" t="n">
        <v>36</v>
      </c>
      <c r="J127" s="18" t="n">
        <v>0.888</v>
      </c>
      <c r="K127" s="7">
        <f>ROUND(H127*I127*J127, 2)</f>
        <v/>
      </c>
      <c r="L127" s="19">
        <f>ROUND(K127/1000, 3)</f>
        <v/>
      </c>
      <c r="M127" s="728">
        <f>IF(AO127="","",IF(N(INDEX(Theo_Doi_Tan_Suat_Be_Tong!$C:$C,AO127))&lt;=0,"",INDEX(Theo_Doi_Tan_Suat_Be_Tong!$C:$C,AO127)-VLOOKUP(AN127,$AQ$2:$AR$7,2,FALSE)))</f>
        <v/>
      </c>
      <c r="N127" s="4" t="n"/>
      <c r="O127" s="20">
        <f>IF(ROUNDUP(Q127/20,0)&gt;ROUNDUP(Q126/20,0),"TN Ø12 (Lần " &amp; ROUNDUP(Q127/20,0) &amp; ")","")</f>
        <v/>
      </c>
      <c r="P127" s="16">
        <f>ROUND(P126+IF(AND(E127&lt;=10,F127&lt;&gt;"ASTM A416"),L127,0),3)</f>
        <v/>
      </c>
      <c r="Q127" s="16">
        <f>ROUND(Q126+IF(AND(E127=12,F127&lt;&gt;"ASTM A416"),L127,0),3)</f>
        <v/>
      </c>
      <c r="R127" s="16">
        <f>ROUND(R126+IF(AND(E127=14,F127&lt;&gt;"ASTM A416"),L127,0),3)</f>
        <v/>
      </c>
      <c r="S127" s="16">
        <f>ROUND(S126+IF(AND(E127=16,F127&lt;&gt;"ASTM A416"),L127,0),3)</f>
        <v/>
      </c>
      <c r="T127" s="16">
        <f>ROUND(T126+IF(AND(E127=18,F127&lt;&gt;"ASTM A416"),L127,0),3)</f>
        <v/>
      </c>
      <c r="U127" s="16">
        <f>ROUND(U126+IF(AND(E127=20,F127&lt;&gt;"ASTM A416"),L127,0),3)</f>
        <v/>
      </c>
      <c r="V127" s="16">
        <f>ROUND(V126+IF(AND(E127=22,F127&lt;&gt;"ASTM A416"),L127,0),3)</f>
        <v/>
      </c>
      <c r="W127" s="16">
        <f>ROUND(W126+IF(AND(E127=25,F127&lt;&gt;"ASTM A416"),L127,0),3)</f>
        <v/>
      </c>
      <c r="X127" s="16">
        <f>ROUND(X126+IF(AND(E127=28,F127&lt;&gt;"ASTM A416"),L127,0),3)</f>
        <v/>
      </c>
      <c r="Y127" s="16">
        <f>ROUND(Y126+IF(AND(E127=32,F127&lt;&gt;"ASTM A416"),L127,0),3)</f>
        <v/>
      </c>
      <c r="Z127" s="16">
        <f>ROUND(Z126+IF(F127="ASTM A416",L127,0),3)</f>
        <v/>
      </c>
      <c r="AA127" s="9">
        <f>IF(ROUNDUP(P127/20,0)&gt;ROUNDUP(P126/20,0),"Lần " &amp; ROUNDUP(P127/20,0),"")</f>
        <v/>
      </c>
      <c r="AB127" s="9">
        <f>IF(ROUNDUP(Q127/20,0)&gt;ROUNDUP(Q126/20,0),"Lần " &amp; ROUNDUP(Q127/20,0),"")</f>
        <v/>
      </c>
      <c r="AC127" s="9">
        <f>IF(ROUNDUP(R127/20,0)&gt;ROUNDUP(R126/20,0),"Lần " &amp; ROUNDUP(R127/20,0),"")</f>
        <v/>
      </c>
      <c r="AD127" s="9">
        <f>IF(ROUNDUP(S127/20,0)&gt;ROUNDUP(S126/20,0),"Lần " &amp; ROUNDUP(S127/20,0),"")</f>
        <v/>
      </c>
      <c r="AE127" s="9">
        <f>IF(ROUNDUP(T127/20,0)&gt;ROUNDUP(T126/20,0),"Lần " &amp; ROUNDUP(T127/20,0),"")</f>
        <v/>
      </c>
      <c r="AF127" s="9">
        <f>IF(ROUNDUP(U127/20,0)&gt;ROUNDUP(U126/20,0),"Lần " &amp; ROUNDUP(U127/20,0),"")</f>
        <v/>
      </c>
      <c r="AG127" s="9">
        <f>IF(ROUNDUP(V127/20,0)&gt;ROUNDUP(V126/20,0),"Lần " &amp; ROUNDUP(V127/20,0),"")</f>
        <v/>
      </c>
      <c r="AH127" s="9">
        <f>IF(ROUNDUP(W127/20,0)&gt;ROUNDUP(W126/20,0),"Lần " &amp; ROUNDUP(W127/20,0),"")</f>
        <v/>
      </c>
      <c r="AI127" s="9">
        <f>IF(ROUNDUP(X127/20,0)&gt;ROUNDUP(X126/20,0),"Lần " &amp; ROUNDUP(X127/20,0),"")</f>
        <v/>
      </c>
      <c r="AJ127" s="9">
        <f>IF(ROUNDUP(Y127/20,0)&gt;ROUNDUP(Y126/20,0),"Lần " &amp; ROUNDUP(Y127/20,0),"")</f>
        <v/>
      </c>
      <c r="AK127" s="9">
        <f>IF(ROUNDUP(Z127/20,0)&gt;ROUNDUP(Z126/20,0),"Lần " &amp; ROUNDUP(Z127/20,0),"")</f>
        <v/>
      </c>
      <c r="AL127" s="4" t="n"/>
      <c r="AN127" s="596" t="inlineStr">
        <is>
          <t>Coc</t>
        </is>
      </c>
      <c r="AO127" s="596" t="n">
        <v>11</v>
      </c>
      <c r="AQ127" s="594" t="n"/>
      <c r="AR127" s="595" t="n"/>
    </row>
    <row r="128" ht="19" customHeight="1" s="672">
      <c r="A128" s="4" t="n">
        <v>118</v>
      </c>
      <c r="B128" s="5" t="inlineStr">
        <is>
          <t>Cọc khoan nhồi C5 Trụ T2 (D1.2m, L=30.0m)</t>
        </is>
      </c>
      <c r="C128" s="5" t="inlineStr">
        <is>
          <t>Cọc trụ T2 L=30m (tr.70)</t>
        </is>
      </c>
      <c r="D128" s="14" t="inlineStr">
        <is>
          <t>P10</t>
        </is>
      </c>
      <c r="E128" s="15" t="n">
        <v>20</v>
      </c>
      <c r="F128" s="4" t="inlineStr">
        <is>
          <t>CB400-V</t>
        </is>
      </c>
      <c r="G128" s="5" t="inlineStr"/>
      <c r="H128" s="16" t="n">
        <v>2.057</v>
      </c>
      <c r="I128" s="17" t="n">
        <v>1</v>
      </c>
      <c r="J128" s="18" t="n">
        <v>2.466</v>
      </c>
      <c r="K128" s="7">
        <f>ROUND(H128*I128*J128, 2)</f>
        <v/>
      </c>
      <c r="L128" s="19">
        <f>ROUND(K128/1000, 3)</f>
        <v/>
      </c>
      <c r="M128" s="728">
        <f>IF(AO128="","",IF(N(INDEX(Theo_Doi_Tan_Suat_Be_Tong!$C:$C,AO128))&lt;=0,"",INDEX(Theo_Doi_Tan_Suat_Be_Tong!$C:$C,AO128)-VLOOKUP(AN128,$AQ$2:$AR$7,2,FALSE)))</f>
        <v/>
      </c>
      <c r="N128" s="4" t="n"/>
      <c r="O128" s="20">
        <f>IF(ROUNDUP(U128/20,0)&gt;ROUNDUP(U127/20,0),"TN Ø20 (Lần " &amp; ROUNDUP(U128/20,0) &amp; ")","")</f>
        <v/>
      </c>
      <c r="P128" s="16">
        <f>ROUND(P127+IF(AND(E128&lt;=10,F128&lt;&gt;"ASTM A416"),L128,0),3)</f>
        <v/>
      </c>
      <c r="Q128" s="16">
        <f>ROUND(Q127+IF(AND(E128=12,F128&lt;&gt;"ASTM A416"),L128,0),3)</f>
        <v/>
      </c>
      <c r="R128" s="16">
        <f>ROUND(R127+IF(AND(E128=14,F128&lt;&gt;"ASTM A416"),L128,0),3)</f>
        <v/>
      </c>
      <c r="S128" s="16">
        <f>ROUND(S127+IF(AND(E128=16,F128&lt;&gt;"ASTM A416"),L128,0),3)</f>
        <v/>
      </c>
      <c r="T128" s="16">
        <f>ROUND(T127+IF(AND(E128=18,F128&lt;&gt;"ASTM A416"),L128,0),3)</f>
        <v/>
      </c>
      <c r="U128" s="16">
        <f>ROUND(U127+IF(AND(E128=20,F128&lt;&gt;"ASTM A416"),L128,0),3)</f>
        <v/>
      </c>
      <c r="V128" s="16">
        <f>ROUND(V127+IF(AND(E128=22,F128&lt;&gt;"ASTM A416"),L128,0),3)</f>
        <v/>
      </c>
      <c r="W128" s="16">
        <f>ROUND(W127+IF(AND(E128=25,F128&lt;&gt;"ASTM A416"),L128,0),3)</f>
        <v/>
      </c>
      <c r="X128" s="16">
        <f>ROUND(X127+IF(AND(E128=28,F128&lt;&gt;"ASTM A416"),L128,0),3)</f>
        <v/>
      </c>
      <c r="Y128" s="16">
        <f>ROUND(Y127+IF(AND(E128=32,F128&lt;&gt;"ASTM A416"),L128,0),3)</f>
        <v/>
      </c>
      <c r="Z128" s="16">
        <f>ROUND(Z127+IF(F128="ASTM A416",L128,0),3)</f>
        <v/>
      </c>
      <c r="AA128" s="9">
        <f>IF(ROUNDUP(P128/20,0)&gt;ROUNDUP(P127/20,0),"Lần " &amp; ROUNDUP(P128/20,0),"")</f>
        <v/>
      </c>
      <c r="AB128" s="9">
        <f>IF(ROUNDUP(Q128/20,0)&gt;ROUNDUP(Q127/20,0),"Lần " &amp; ROUNDUP(Q128/20,0),"")</f>
        <v/>
      </c>
      <c r="AC128" s="9">
        <f>IF(ROUNDUP(R128/20,0)&gt;ROUNDUP(R127/20,0),"Lần " &amp; ROUNDUP(R128/20,0),"")</f>
        <v/>
      </c>
      <c r="AD128" s="9">
        <f>IF(ROUNDUP(S128/20,0)&gt;ROUNDUP(S127/20,0),"Lần " &amp; ROUNDUP(S128/20,0),"")</f>
        <v/>
      </c>
      <c r="AE128" s="9">
        <f>IF(ROUNDUP(T128/20,0)&gt;ROUNDUP(T127/20,0),"Lần " &amp; ROUNDUP(T128/20,0),"")</f>
        <v/>
      </c>
      <c r="AF128" s="9">
        <f>IF(ROUNDUP(U128/20,0)&gt;ROUNDUP(U127/20,0),"Lần " &amp; ROUNDUP(U128/20,0),"")</f>
        <v/>
      </c>
      <c r="AG128" s="9">
        <f>IF(ROUNDUP(V128/20,0)&gt;ROUNDUP(V127/20,0),"Lần " &amp; ROUNDUP(V128/20,0),"")</f>
        <v/>
      </c>
      <c r="AH128" s="9">
        <f>IF(ROUNDUP(W128/20,0)&gt;ROUNDUP(W127/20,0),"Lần " &amp; ROUNDUP(W128/20,0),"")</f>
        <v/>
      </c>
      <c r="AI128" s="9">
        <f>IF(ROUNDUP(X128/20,0)&gt;ROUNDUP(X127/20,0),"Lần " &amp; ROUNDUP(X128/20,0),"")</f>
        <v/>
      </c>
      <c r="AJ128" s="9">
        <f>IF(ROUNDUP(Y128/20,0)&gt;ROUNDUP(Y127/20,0),"Lần " &amp; ROUNDUP(Y128/20,0),"")</f>
        <v/>
      </c>
      <c r="AK128" s="9">
        <f>IF(ROUNDUP(Z128/20,0)&gt;ROUNDUP(Z127/20,0),"Lần " &amp; ROUNDUP(Z128/20,0),"")</f>
        <v/>
      </c>
      <c r="AL128" s="4" t="n"/>
      <c r="AN128" s="596" t="inlineStr">
        <is>
          <t>Coc</t>
        </is>
      </c>
      <c r="AO128" s="596" t="n">
        <v>11</v>
      </c>
      <c r="AQ128" s="594" t="n"/>
      <c r="AR128" s="595" t="n"/>
    </row>
    <row r="129" ht="20" customHeight="1" s="672">
      <c r="A129" s="4" t="n">
        <v>119</v>
      </c>
      <c r="B129" s="5" t="inlineStr">
        <is>
          <t>Cọc khoan nhồi C5 Trụ T2 (D1.2m, L=30.0m)</t>
        </is>
      </c>
      <c r="C129" s="5" t="inlineStr">
        <is>
          <t>Cọc trụ T2 L=30m (tr.70)</t>
        </is>
      </c>
      <c r="D129" s="14" t="inlineStr">
        <is>
          <t>P12</t>
        </is>
      </c>
      <c r="E129" s="15" t="n">
        <v>20</v>
      </c>
      <c r="F129" s="4" t="inlineStr">
        <is>
          <t>CB400-V</t>
        </is>
      </c>
      <c r="G129" s="5" t="inlineStr"/>
      <c r="H129" s="16" t="n">
        <v>0.583</v>
      </c>
      <c r="I129" s="17" t="n">
        <v>48</v>
      </c>
      <c r="J129" s="18" t="n">
        <v>2.466</v>
      </c>
      <c r="K129" s="7">
        <f>ROUND(H129*I129*J129, 2)</f>
        <v/>
      </c>
      <c r="L129" s="19">
        <f>ROUND(K129/1000, 3)</f>
        <v/>
      </c>
      <c r="M129" s="728">
        <f>IF(AO129="","",IF(N(INDEX(Theo_Doi_Tan_Suat_Be_Tong!$C:$C,AO129))&lt;=0,"",INDEX(Theo_Doi_Tan_Suat_Be_Tong!$C:$C,AO129)-VLOOKUP(AN129,$AQ$2:$AR$7,2,FALSE)))</f>
        <v/>
      </c>
      <c r="N129" s="4" t="n"/>
      <c r="O129" s="20">
        <f>IF(ROUNDUP(U129/20,0)&gt;ROUNDUP(U128/20,0),"TN Ø20 (Lần " &amp; ROUNDUP(U129/20,0) &amp; ")","")</f>
        <v/>
      </c>
      <c r="P129" s="16">
        <f>ROUND(P128+IF(AND(E129&lt;=10,F129&lt;&gt;"ASTM A416"),L129,0),3)</f>
        <v/>
      </c>
      <c r="Q129" s="16">
        <f>ROUND(Q128+IF(AND(E129=12,F129&lt;&gt;"ASTM A416"),L129,0),3)</f>
        <v/>
      </c>
      <c r="R129" s="16">
        <f>ROUND(R128+IF(AND(E129=14,F129&lt;&gt;"ASTM A416"),L129,0),3)</f>
        <v/>
      </c>
      <c r="S129" s="16">
        <f>ROUND(S128+IF(AND(E129=16,F129&lt;&gt;"ASTM A416"),L129,0),3)</f>
        <v/>
      </c>
      <c r="T129" s="16">
        <f>ROUND(T128+IF(AND(E129=18,F129&lt;&gt;"ASTM A416"),L129,0),3)</f>
        <v/>
      </c>
      <c r="U129" s="16">
        <f>ROUND(U128+IF(AND(E129=20,F129&lt;&gt;"ASTM A416"),L129,0),3)</f>
        <v/>
      </c>
      <c r="V129" s="16">
        <f>ROUND(V128+IF(AND(E129=22,F129&lt;&gt;"ASTM A416"),L129,0),3)</f>
        <v/>
      </c>
      <c r="W129" s="16">
        <f>ROUND(W128+IF(AND(E129=25,F129&lt;&gt;"ASTM A416"),L129,0),3)</f>
        <v/>
      </c>
      <c r="X129" s="16">
        <f>ROUND(X128+IF(AND(E129=28,F129&lt;&gt;"ASTM A416"),L129,0),3)</f>
        <v/>
      </c>
      <c r="Y129" s="16">
        <f>ROUND(Y128+IF(AND(E129=32,F129&lt;&gt;"ASTM A416"),L129,0),3)</f>
        <v/>
      </c>
      <c r="Z129" s="16">
        <f>ROUND(Z128+IF(F129="ASTM A416",L129,0),3)</f>
        <v/>
      </c>
      <c r="AA129" s="9">
        <f>IF(ROUNDUP(P129/20,0)&gt;ROUNDUP(P128/20,0),"Lần " &amp; ROUNDUP(P129/20,0),"")</f>
        <v/>
      </c>
      <c r="AB129" s="9">
        <f>IF(ROUNDUP(Q129/20,0)&gt;ROUNDUP(Q128/20,0),"Lần " &amp; ROUNDUP(Q129/20,0),"")</f>
        <v/>
      </c>
      <c r="AC129" s="9">
        <f>IF(ROUNDUP(R129/20,0)&gt;ROUNDUP(R128/20,0),"Lần " &amp; ROUNDUP(R129/20,0),"")</f>
        <v/>
      </c>
      <c r="AD129" s="9">
        <f>IF(ROUNDUP(S129/20,0)&gt;ROUNDUP(S128/20,0),"Lần " &amp; ROUNDUP(S129/20,0),"")</f>
        <v/>
      </c>
      <c r="AE129" s="9">
        <f>IF(ROUNDUP(T129/20,0)&gt;ROUNDUP(T128/20,0),"Lần " &amp; ROUNDUP(T129/20,0),"")</f>
        <v/>
      </c>
      <c r="AF129" s="9">
        <f>IF(ROUNDUP(U129/20,0)&gt;ROUNDUP(U128/20,0),"Lần " &amp; ROUNDUP(U129/20,0),"")</f>
        <v/>
      </c>
      <c r="AG129" s="9">
        <f>IF(ROUNDUP(V129/20,0)&gt;ROUNDUP(V128/20,0),"Lần " &amp; ROUNDUP(V129/20,0),"")</f>
        <v/>
      </c>
      <c r="AH129" s="9">
        <f>IF(ROUNDUP(W129/20,0)&gt;ROUNDUP(W128/20,0),"Lần " &amp; ROUNDUP(W129/20,0),"")</f>
        <v/>
      </c>
      <c r="AI129" s="9">
        <f>IF(ROUNDUP(X129/20,0)&gt;ROUNDUP(X128/20,0),"Lần " &amp; ROUNDUP(X129/20,0),"")</f>
        <v/>
      </c>
      <c r="AJ129" s="9">
        <f>IF(ROUNDUP(Y129/20,0)&gt;ROUNDUP(Y128/20,0),"Lần " &amp; ROUNDUP(Y129/20,0),"")</f>
        <v/>
      </c>
      <c r="AK129" s="9">
        <f>IF(ROUNDUP(Z129/20,0)&gt;ROUNDUP(Z128/20,0),"Lần " &amp; ROUNDUP(Z129/20,0),"")</f>
        <v/>
      </c>
      <c r="AL129" s="4" t="n"/>
      <c r="AN129" s="596" t="inlineStr">
        <is>
          <t>Coc</t>
        </is>
      </c>
      <c r="AO129" s="596" t="n">
        <v>11</v>
      </c>
      <c r="AQ129" s="594" t="n"/>
      <c r="AR129" s="595" t="n"/>
    </row>
    <row r="130" ht="19" customHeight="1" s="672">
      <c r="A130" s="4" t="n">
        <v>120</v>
      </c>
      <c r="B130" s="5" t="inlineStr">
        <is>
          <t>Cọc khoan nhồi C5 Trụ T2 (D1.2m, L=30.0m)</t>
        </is>
      </c>
      <c r="C130" s="5" t="inlineStr">
        <is>
          <t>Cọc trụ T2 L=30m (tr.70)</t>
        </is>
      </c>
      <c r="D130" s="14" t="inlineStr">
        <is>
          <t>P11</t>
        </is>
      </c>
      <c r="E130" s="15" t="n">
        <v>16</v>
      </c>
      <c r="F130" s="4" t="inlineStr">
        <is>
          <t>CB400-V</t>
        </is>
      </c>
      <c r="G130" s="5" t="inlineStr"/>
      <c r="H130" s="16" t="n">
        <v>2.604</v>
      </c>
      <c r="I130" s="17" t="n">
        <v>4</v>
      </c>
      <c r="J130" s="18" t="n">
        <v>1.578</v>
      </c>
      <c r="K130" s="7">
        <f>ROUND(H130*I130*J130, 2)</f>
        <v/>
      </c>
      <c r="L130" s="19">
        <f>ROUND(K130/1000, 3)</f>
        <v/>
      </c>
      <c r="M130" s="728">
        <f>IF(AO130="","",IF(N(INDEX(Theo_Doi_Tan_Suat_Be_Tong!$C:$C,AO130))&lt;=0,"",INDEX(Theo_Doi_Tan_Suat_Be_Tong!$C:$C,AO130)-VLOOKUP(AN130,$AQ$2:$AR$7,2,FALSE)))</f>
        <v/>
      </c>
      <c r="N130" s="4" t="n"/>
      <c r="O130" s="20">
        <f>IF(ROUNDUP(S130/20,0)&gt;ROUNDUP(S129/20,0),"TN Ø16 (Lần " &amp; ROUNDUP(S130/20,0) &amp; ")","")</f>
        <v/>
      </c>
      <c r="P130" s="16">
        <f>ROUND(P129+IF(AND(E130&lt;=10,F130&lt;&gt;"ASTM A416"),L130,0),3)</f>
        <v/>
      </c>
      <c r="Q130" s="16">
        <f>ROUND(Q129+IF(AND(E130=12,F130&lt;&gt;"ASTM A416"),L130,0),3)</f>
        <v/>
      </c>
      <c r="R130" s="16">
        <f>ROUND(R129+IF(AND(E130=14,F130&lt;&gt;"ASTM A416"),L130,0),3)</f>
        <v/>
      </c>
      <c r="S130" s="16">
        <f>ROUND(S129+IF(AND(E130=16,F130&lt;&gt;"ASTM A416"),L130,0),3)</f>
        <v/>
      </c>
      <c r="T130" s="16">
        <f>ROUND(T129+IF(AND(E130=18,F130&lt;&gt;"ASTM A416"),L130,0),3)</f>
        <v/>
      </c>
      <c r="U130" s="16">
        <f>ROUND(U129+IF(AND(E130=20,F130&lt;&gt;"ASTM A416"),L130,0),3)</f>
        <v/>
      </c>
      <c r="V130" s="16">
        <f>ROUND(V129+IF(AND(E130=22,F130&lt;&gt;"ASTM A416"),L130,0),3)</f>
        <v/>
      </c>
      <c r="W130" s="16">
        <f>ROUND(W129+IF(AND(E130=25,F130&lt;&gt;"ASTM A416"),L130,0),3)</f>
        <v/>
      </c>
      <c r="X130" s="16">
        <f>ROUND(X129+IF(AND(E130=28,F130&lt;&gt;"ASTM A416"),L130,0),3)</f>
        <v/>
      </c>
      <c r="Y130" s="16">
        <f>ROUND(Y129+IF(AND(E130=32,F130&lt;&gt;"ASTM A416"),L130,0),3)</f>
        <v/>
      </c>
      <c r="Z130" s="16">
        <f>ROUND(Z129+IF(F130="ASTM A416",L130,0),3)</f>
        <v/>
      </c>
      <c r="AA130" s="9">
        <f>IF(ROUNDUP(P130/20,0)&gt;ROUNDUP(P129/20,0),"Lần " &amp; ROUNDUP(P130/20,0),"")</f>
        <v/>
      </c>
      <c r="AB130" s="9">
        <f>IF(ROUNDUP(Q130/20,0)&gt;ROUNDUP(Q129/20,0),"Lần " &amp; ROUNDUP(Q130/20,0),"")</f>
        <v/>
      </c>
      <c r="AC130" s="9">
        <f>IF(ROUNDUP(R130/20,0)&gt;ROUNDUP(R129/20,0),"Lần " &amp; ROUNDUP(R130/20,0),"")</f>
        <v/>
      </c>
      <c r="AD130" s="9">
        <f>IF(ROUNDUP(S130/20,0)&gt;ROUNDUP(S129/20,0),"Lần " &amp; ROUNDUP(S130/20,0),"")</f>
        <v/>
      </c>
      <c r="AE130" s="9">
        <f>IF(ROUNDUP(T130/20,0)&gt;ROUNDUP(T129/20,0),"Lần " &amp; ROUNDUP(T130/20,0),"")</f>
        <v/>
      </c>
      <c r="AF130" s="9">
        <f>IF(ROUNDUP(U130/20,0)&gt;ROUNDUP(U129/20,0),"Lần " &amp; ROUNDUP(U130/20,0),"")</f>
        <v/>
      </c>
      <c r="AG130" s="9">
        <f>IF(ROUNDUP(V130/20,0)&gt;ROUNDUP(V129/20,0),"Lần " &amp; ROUNDUP(V130/20,0),"")</f>
        <v/>
      </c>
      <c r="AH130" s="9">
        <f>IF(ROUNDUP(W130/20,0)&gt;ROUNDUP(W129/20,0),"Lần " &amp; ROUNDUP(W130/20,0),"")</f>
        <v/>
      </c>
      <c r="AI130" s="9">
        <f>IF(ROUNDUP(X130/20,0)&gt;ROUNDUP(X129/20,0),"Lần " &amp; ROUNDUP(X130/20,0),"")</f>
        <v/>
      </c>
      <c r="AJ130" s="9">
        <f>IF(ROUNDUP(Y130/20,0)&gt;ROUNDUP(Y129/20,0),"Lần " &amp; ROUNDUP(Y130/20,0),"")</f>
        <v/>
      </c>
      <c r="AK130" s="9">
        <f>IF(ROUNDUP(Z130/20,0)&gt;ROUNDUP(Z129/20,0),"Lần " &amp; ROUNDUP(Z130/20,0),"")</f>
        <v/>
      </c>
      <c r="AL130" s="4" t="n"/>
      <c r="AN130" s="596" t="inlineStr">
        <is>
          <t>Coc</t>
        </is>
      </c>
      <c r="AO130" s="596" t="n">
        <v>11</v>
      </c>
      <c r="AQ130" s="594" t="n"/>
      <c r="AR130" s="595" t="n"/>
    </row>
    <row r="131" ht="19" customHeight="1" s="672">
      <c r="A131" s="668" t="inlineStr">
        <is>
          <t>--- CỌC KHOAN NHỒI C4 TRỤ T1 (D1.2M, L=40.0M) ---</t>
        </is>
      </c>
      <c r="B131" s="722" t="n"/>
      <c r="C131" s="722" t="n"/>
      <c r="D131" s="722" t="n"/>
      <c r="E131" s="722" t="n"/>
      <c r="F131" s="722" t="n"/>
      <c r="G131" s="722" t="n"/>
      <c r="H131" s="722" t="n"/>
      <c r="I131" s="722" t="n"/>
      <c r="J131" s="722" t="n"/>
      <c r="K131" s="722" t="n"/>
      <c r="L131" s="722" t="n"/>
      <c r="M131" s="722" t="n"/>
      <c r="N131" s="722" t="n"/>
      <c r="O131" s="722" t="n"/>
      <c r="P131" s="722" t="n"/>
      <c r="Q131" s="722" t="n"/>
      <c r="R131" s="722" t="n"/>
      <c r="S131" s="722" t="n"/>
      <c r="T131" s="722" t="n"/>
      <c r="U131" s="722" t="n"/>
      <c r="V131" s="722" t="n"/>
      <c r="W131" s="722" t="n"/>
      <c r="X131" s="722" t="n"/>
      <c r="Y131" s="722" t="n"/>
      <c r="Z131" s="722" t="n"/>
      <c r="AA131" s="722" t="n"/>
      <c r="AB131" s="722" t="n"/>
      <c r="AC131" s="722" t="n"/>
      <c r="AD131" s="722" t="n"/>
      <c r="AE131" s="722" t="n"/>
      <c r="AF131" s="722" t="n"/>
      <c r="AG131" s="722" t="n"/>
      <c r="AH131" s="722" t="n"/>
      <c r="AI131" s="722" t="n"/>
      <c r="AJ131" s="722" t="n"/>
      <c r="AK131" s="722" t="n"/>
      <c r="AL131" s="721" t="n"/>
      <c r="AQ131" s="594" t="n"/>
      <c r="AR131" s="595" t="n"/>
    </row>
    <row r="132" ht="19" customHeight="1" s="672">
      <c r="A132" s="4" t="n">
        <v>121</v>
      </c>
      <c r="B132" s="5" t="inlineStr">
        <is>
          <t>Cọc khoan nhồi C4 Trụ T1 (D1.2m, L=40.0m)</t>
        </is>
      </c>
      <c r="C132" s="5" t="inlineStr">
        <is>
          <t>Cọc trụ T1 L=40m (tr.68)</t>
        </is>
      </c>
      <c r="D132" s="14" t="inlineStr">
        <is>
          <t>P1</t>
        </is>
      </c>
      <c r="E132" s="15" t="n">
        <v>10</v>
      </c>
      <c r="F132" s="4" t="inlineStr">
        <is>
          <t>CB240-T</t>
        </is>
      </c>
      <c r="G132" s="5" t="inlineStr"/>
      <c r="H132" s="16" t="n">
        <v>96.604</v>
      </c>
      <c r="I132" s="17" t="n">
        <v>1</v>
      </c>
      <c r="J132" s="18" t="n">
        <v>0.617</v>
      </c>
      <c r="K132" s="7">
        <f>ROUND(H132*I132*J132, 2)</f>
        <v/>
      </c>
      <c r="L132" s="19">
        <f>ROUND(K132/1000, 3)</f>
        <v/>
      </c>
      <c r="M132" s="728">
        <f>IF(AO132="","",IF(N(INDEX(Theo_Doi_Tan_Suat_Be_Tong!$C:$C,AO132))&lt;=0,"",INDEX(Theo_Doi_Tan_Suat_Be_Tong!$C:$C,AO132)-VLOOKUP(AN132,$AQ$2:$AR$7,2,FALSE)))</f>
        <v/>
      </c>
      <c r="N132" s="4" t="n"/>
      <c r="O132" s="20">
        <f>IF(ROUNDUP(P132/20,0)&gt;ROUNDUP(P130/20,0),"TN Ø10 (Lần " &amp; ROUNDUP(P132/20,0) &amp; ")","")</f>
        <v/>
      </c>
      <c r="P132" s="16">
        <f>ROUND(P130+IF(AND(E132&lt;=10,F132&lt;&gt;"ASTM A416"),L132,0),3)</f>
        <v/>
      </c>
      <c r="Q132" s="16">
        <f>ROUND(Q130+IF(AND(E132=12,F132&lt;&gt;"ASTM A416"),L132,0),3)</f>
        <v/>
      </c>
      <c r="R132" s="16">
        <f>ROUND(R130+IF(AND(E132=14,F132&lt;&gt;"ASTM A416"),L132,0),3)</f>
        <v/>
      </c>
      <c r="S132" s="16">
        <f>ROUND(S130+IF(AND(E132=16,F132&lt;&gt;"ASTM A416"),L132,0),3)</f>
        <v/>
      </c>
      <c r="T132" s="16">
        <f>ROUND(T130+IF(AND(E132=18,F132&lt;&gt;"ASTM A416"),L132,0),3)</f>
        <v/>
      </c>
      <c r="U132" s="16">
        <f>ROUND(U130+IF(AND(E132=20,F132&lt;&gt;"ASTM A416"),L132,0),3)</f>
        <v/>
      </c>
      <c r="V132" s="16">
        <f>ROUND(V130+IF(AND(E132=22,F132&lt;&gt;"ASTM A416"),L132,0),3)</f>
        <v/>
      </c>
      <c r="W132" s="16">
        <f>ROUND(W130+IF(AND(E132=25,F132&lt;&gt;"ASTM A416"),L132,0),3)</f>
        <v/>
      </c>
      <c r="X132" s="16">
        <f>ROUND(X130+IF(AND(E132=28,F132&lt;&gt;"ASTM A416"),L132,0),3)</f>
        <v/>
      </c>
      <c r="Y132" s="16">
        <f>ROUND(Y130+IF(AND(E132=32,F132&lt;&gt;"ASTM A416"),L132,0),3)</f>
        <v/>
      </c>
      <c r="Z132" s="16">
        <f>ROUND(Z130+IF(F132="ASTM A416",L132,0),3)</f>
        <v/>
      </c>
      <c r="AA132" s="9">
        <f>IF(ROUNDUP(P132/20,0)&gt;ROUNDUP(P130/20,0),"Lần " &amp; ROUNDUP(P132/20,0),"")</f>
        <v/>
      </c>
      <c r="AB132" s="9">
        <f>IF(ROUNDUP(Q132/20,0)&gt;ROUNDUP(Q130/20,0),"Lần " &amp; ROUNDUP(Q132/20,0),"")</f>
        <v/>
      </c>
      <c r="AC132" s="9">
        <f>IF(ROUNDUP(R132/20,0)&gt;ROUNDUP(R130/20,0),"Lần " &amp; ROUNDUP(R132/20,0),"")</f>
        <v/>
      </c>
      <c r="AD132" s="9">
        <f>IF(ROUNDUP(S132/20,0)&gt;ROUNDUP(S130/20,0),"Lần " &amp; ROUNDUP(S132/20,0),"")</f>
        <v/>
      </c>
      <c r="AE132" s="9">
        <f>IF(ROUNDUP(T132/20,0)&gt;ROUNDUP(T130/20,0),"Lần " &amp; ROUNDUP(T132/20,0),"")</f>
        <v/>
      </c>
      <c r="AF132" s="9">
        <f>IF(ROUNDUP(U132/20,0)&gt;ROUNDUP(U130/20,0),"Lần " &amp; ROUNDUP(U132/20,0),"")</f>
        <v/>
      </c>
      <c r="AG132" s="9">
        <f>IF(ROUNDUP(V132/20,0)&gt;ROUNDUP(V130/20,0),"Lần " &amp; ROUNDUP(V132/20,0),"")</f>
        <v/>
      </c>
      <c r="AH132" s="9">
        <f>IF(ROUNDUP(W132/20,0)&gt;ROUNDUP(W130/20,0),"Lần " &amp; ROUNDUP(W132/20,0),"")</f>
        <v/>
      </c>
      <c r="AI132" s="9">
        <f>IF(ROUNDUP(X132/20,0)&gt;ROUNDUP(X130/20,0),"Lần " &amp; ROUNDUP(X132/20,0),"")</f>
        <v/>
      </c>
      <c r="AJ132" s="9">
        <f>IF(ROUNDUP(Y132/20,0)&gt;ROUNDUP(Y130/20,0),"Lần " &amp; ROUNDUP(Y132/20,0),"")</f>
        <v/>
      </c>
      <c r="AK132" s="9">
        <f>IF(ROUNDUP(Z132/20,0)&gt;ROUNDUP(Z130/20,0),"Lần " &amp; ROUNDUP(Z132/20,0),"")</f>
        <v/>
      </c>
      <c r="AL132" s="4" t="n"/>
      <c r="AN132" s="596" t="inlineStr">
        <is>
          <t>Coc</t>
        </is>
      </c>
      <c r="AO132" s="596" t="n">
        <v>12</v>
      </c>
      <c r="AQ132" s="594" t="n"/>
      <c r="AR132" s="595" t="n"/>
    </row>
    <row r="133" ht="19" customHeight="1" s="672">
      <c r="A133" s="4" t="n">
        <v>122</v>
      </c>
      <c r="B133" s="5" t="inlineStr">
        <is>
          <t>Cọc khoan nhồi C4 Trụ T1 (D1.2m, L=40.0m)</t>
        </is>
      </c>
      <c r="C133" s="5" t="inlineStr">
        <is>
          <t>Cọc trụ T1 L=40m (tr.68)</t>
        </is>
      </c>
      <c r="D133" s="14" t="inlineStr">
        <is>
          <t>P1A</t>
        </is>
      </c>
      <c r="E133" s="15" t="n">
        <v>10</v>
      </c>
      <c r="F133" s="4" t="inlineStr">
        <is>
          <t>CB240-T</t>
        </is>
      </c>
      <c r="G133" s="5" t="inlineStr"/>
      <c r="H133" s="16" t="n">
        <v>389.636</v>
      </c>
      <c r="I133" s="17" t="n">
        <v>1</v>
      </c>
      <c r="J133" s="18" t="n">
        <v>0.617</v>
      </c>
      <c r="K133" s="7">
        <f>ROUND(H133*I133*J133, 2)</f>
        <v/>
      </c>
      <c r="L133" s="19">
        <f>ROUND(K133/1000, 3)</f>
        <v/>
      </c>
      <c r="M133" s="728">
        <f>IF(AO133="","",IF(N(INDEX(Theo_Doi_Tan_Suat_Be_Tong!$C:$C,AO133))&lt;=0,"",INDEX(Theo_Doi_Tan_Suat_Be_Tong!$C:$C,AO133)-VLOOKUP(AN133,$AQ$2:$AR$7,2,FALSE)))</f>
        <v/>
      </c>
      <c r="N133" s="4" t="n"/>
      <c r="O133" s="20">
        <f>IF(ROUNDUP(P133/20,0)&gt;ROUNDUP(P132/20,0),"TN Ø10 (Lần " &amp; ROUNDUP(P133/20,0) &amp; ")","")</f>
        <v/>
      </c>
      <c r="P133" s="16">
        <f>ROUND(P132+IF(AND(E133&lt;=10,F133&lt;&gt;"ASTM A416"),L133,0),3)</f>
        <v/>
      </c>
      <c r="Q133" s="16">
        <f>ROUND(Q132+IF(AND(E133=12,F133&lt;&gt;"ASTM A416"),L133,0),3)</f>
        <v/>
      </c>
      <c r="R133" s="16">
        <f>ROUND(R132+IF(AND(E133=14,F133&lt;&gt;"ASTM A416"),L133,0),3)</f>
        <v/>
      </c>
      <c r="S133" s="16">
        <f>ROUND(S132+IF(AND(E133=16,F133&lt;&gt;"ASTM A416"),L133,0),3)</f>
        <v/>
      </c>
      <c r="T133" s="16">
        <f>ROUND(T132+IF(AND(E133=18,F133&lt;&gt;"ASTM A416"),L133,0),3)</f>
        <v/>
      </c>
      <c r="U133" s="16">
        <f>ROUND(U132+IF(AND(E133=20,F133&lt;&gt;"ASTM A416"),L133,0),3)</f>
        <v/>
      </c>
      <c r="V133" s="16">
        <f>ROUND(V132+IF(AND(E133=22,F133&lt;&gt;"ASTM A416"),L133,0),3)</f>
        <v/>
      </c>
      <c r="W133" s="16">
        <f>ROUND(W132+IF(AND(E133=25,F133&lt;&gt;"ASTM A416"),L133,0),3)</f>
        <v/>
      </c>
      <c r="X133" s="16">
        <f>ROUND(X132+IF(AND(E133=28,F133&lt;&gt;"ASTM A416"),L133,0),3)</f>
        <v/>
      </c>
      <c r="Y133" s="16">
        <f>ROUND(Y132+IF(AND(E133=32,F133&lt;&gt;"ASTM A416"),L133,0),3)</f>
        <v/>
      </c>
      <c r="Z133" s="16">
        <f>ROUND(Z132+IF(F133="ASTM A416",L133,0),3)</f>
        <v/>
      </c>
      <c r="AA133" s="9">
        <f>IF(ROUNDUP(P133/20,0)&gt;ROUNDUP(P132/20,0),"Lần " &amp; ROUNDUP(P133/20,0),"")</f>
        <v/>
      </c>
      <c r="AB133" s="9">
        <f>IF(ROUNDUP(Q133/20,0)&gt;ROUNDUP(Q132/20,0),"Lần " &amp; ROUNDUP(Q133/20,0),"")</f>
        <v/>
      </c>
      <c r="AC133" s="9">
        <f>IF(ROUNDUP(R133/20,0)&gt;ROUNDUP(R132/20,0),"Lần " &amp; ROUNDUP(R133/20,0),"")</f>
        <v/>
      </c>
      <c r="AD133" s="9">
        <f>IF(ROUNDUP(S133/20,0)&gt;ROUNDUP(S132/20,0),"Lần " &amp; ROUNDUP(S133/20,0),"")</f>
        <v/>
      </c>
      <c r="AE133" s="9">
        <f>IF(ROUNDUP(T133/20,0)&gt;ROUNDUP(T132/20,0),"Lần " &amp; ROUNDUP(T133/20,0),"")</f>
        <v/>
      </c>
      <c r="AF133" s="9">
        <f>IF(ROUNDUP(U133/20,0)&gt;ROUNDUP(U132/20,0),"Lần " &amp; ROUNDUP(U133/20,0),"")</f>
        <v/>
      </c>
      <c r="AG133" s="9">
        <f>IF(ROUNDUP(V133/20,0)&gt;ROUNDUP(V132/20,0),"Lần " &amp; ROUNDUP(V133/20,0),"")</f>
        <v/>
      </c>
      <c r="AH133" s="9">
        <f>IF(ROUNDUP(W133/20,0)&gt;ROUNDUP(W132/20,0),"Lần " &amp; ROUNDUP(W133/20,0),"")</f>
        <v/>
      </c>
      <c r="AI133" s="9">
        <f>IF(ROUNDUP(X133/20,0)&gt;ROUNDUP(X132/20,0),"Lần " &amp; ROUNDUP(X133/20,0),"")</f>
        <v/>
      </c>
      <c r="AJ133" s="9">
        <f>IF(ROUNDUP(Y133/20,0)&gt;ROUNDUP(Y132/20,0),"Lần " &amp; ROUNDUP(Y133/20,0),"")</f>
        <v/>
      </c>
      <c r="AK133" s="9">
        <f>IF(ROUNDUP(Z133/20,0)&gt;ROUNDUP(Z132/20,0),"Lần " &amp; ROUNDUP(Z133/20,0),"")</f>
        <v/>
      </c>
      <c r="AL133" s="4" t="n"/>
      <c r="AN133" s="596" t="inlineStr">
        <is>
          <t>Coc</t>
        </is>
      </c>
      <c r="AO133" s="596" t="n">
        <v>12</v>
      </c>
      <c r="AQ133" s="594" t="n"/>
      <c r="AR133" s="595" t="n"/>
    </row>
    <row r="134" ht="19" customHeight="1" s="672">
      <c r="A134" s="4" t="n">
        <v>123</v>
      </c>
      <c r="B134" s="5" t="inlineStr">
        <is>
          <t>Cọc khoan nhồi C4 Trụ T1 (D1.2m, L=40.0m)</t>
        </is>
      </c>
      <c r="C134" s="5" t="inlineStr">
        <is>
          <t>Cọc trụ T1 L=40m (tr.68)</t>
        </is>
      </c>
      <c r="D134" s="14" t="inlineStr">
        <is>
          <t>P1B</t>
        </is>
      </c>
      <c r="E134" s="15" t="n">
        <v>10</v>
      </c>
      <c r="F134" s="4" t="inlineStr">
        <is>
          <t>CB240-T</t>
        </is>
      </c>
      <c r="G134" s="5" t="inlineStr"/>
      <c r="H134" s="16" t="n">
        <v>206.981</v>
      </c>
      <c r="I134" s="17" t="n">
        <v>1</v>
      </c>
      <c r="J134" s="18" t="n">
        <v>0.617</v>
      </c>
      <c r="K134" s="7">
        <f>ROUND(H134*I134*J134, 2)</f>
        <v/>
      </c>
      <c r="L134" s="19">
        <f>ROUND(K134/1000, 3)</f>
        <v/>
      </c>
      <c r="M134" s="728">
        <f>IF(AO134="","",IF(N(INDEX(Theo_Doi_Tan_Suat_Be_Tong!$C:$C,AO134))&lt;=0,"",INDEX(Theo_Doi_Tan_Suat_Be_Tong!$C:$C,AO134)-VLOOKUP(AN134,$AQ$2:$AR$7,2,FALSE)))</f>
        <v/>
      </c>
      <c r="N134" s="4" t="n"/>
      <c r="O134" s="20">
        <f>IF(ROUNDUP(P134/20,0)&gt;ROUNDUP(P133/20,0),"TN Ø10 (Lần " &amp; ROUNDUP(P134/20,0) &amp; ")","")</f>
        <v/>
      </c>
      <c r="P134" s="16">
        <f>ROUND(P133+IF(AND(E134&lt;=10,F134&lt;&gt;"ASTM A416"),L134,0),3)</f>
        <v/>
      </c>
      <c r="Q134" s="16">
        <f>ROUND(Q133+IF(AND(E134=12,F134&lt;&gt;"ASTM A416"),L134,0),3)</f>
        <v/>
      </c>
      <c r="R134" s="16">
        <f>ROUND(R133+IF(AND(E134=14,F134&lt;&gt;"ASTM A416"),L134,0),3)</f>
        <v/>
      </c>
      <c r="S134" s="16">
        <f>ROUND(S133+IF(AND(E134=16,F134&lt;&gt;"ASTM A416"),L134,0),3)</f>
        <v/>
      </c>
      <c r="T134" s="16">
        <f>ROUND(T133+IF(AND(E134=18,F134&lt;&gt;"ASTM A416"),L134,0),3)</f>
        <v/>
      </c>
      <c r="U134" s="16">
        <f>ROUND(U133+IF(AND(E134=20,F134&lt;&gt;"ASTM A416"),L134,0),3)</f>
        <v/>
      </c>
      <c r="V134" s="16">
        <f>ROUND(V133+IF(AND(E134=22,F134&lt;&gt;"ASTM A416"),L134,0),3)</f>
        <v/>
      </c>
      <c r="W134" s="16">
        <f>ROUND(W133+IF(AND(E134=25,F134&lt;&gt;"ASTM A416"),L134,0),3)</f>
        <v/>
      </c>
      <c r="X134" s="16">
        <f>ROUND(X133+IF(AND(E134=28,F134&lt;&gt;"ASTM A416"),L134,0),3)</f>
        <v/>
      </c>
      <c r="Y134" s="16">
        <f>ROUND(Y133+IF(AND(E134=32,F134&lt;&gt;"ASTM A416"),L134,0),3)</f>
        <v/>
      </c>
      <c r="Z134" s="16">
        <f>ROUND(Z133+IF(F134="ASTM A416",L134,0),3)</f>
        <v/>
      </c>
      <c r="AA134" s="9">
        <f>IF(ROUNDUP(P134/20,0)&gt;ROUNDUP(P133/20,0),"Lần " &amp; ROUNDUP(P134/20,0),"")</f>
        <v/>
      </c>
      <c r="AB134" s="9">
        <f>IF(ROUNDUP(Q134/20,0)&gt;ROUNDUP(Q133/20,0),"Lần " &amp; ROUNDUP(Q134/20,0),"")</f>
        <v/>
      </c>
      <c r="AC134" s="9">
        <f>IF(ROUNDUP(R134/20,0)&gt;ROUNDUP(R133/20,0),"Lần " &amp; ROUNDUP(R134/20,0),"")</f>
        <v/>
      </c>
      <c r="AD134" s="9">
        <f>IF(ROUNDUP(S134/20,0)&gt;ROUNDUP(S133/20,0),"Lần " &amp; ROUNDUP(S134/20,0),"")</f>
        <v/>
      </c>
      <c r="AE134" s="9">
        <f>IF(ROUNDUP(T134/20,0)&gt;ROUNDUP(T133/20,0),"Lần " &amp; ROUNDUP(T134/20,0),"")</f>
        <v/>
      </c>
      <c r="AF134" s="9">
        <f>IF(ROUNDUP(U134/20,0)&gt;ROUNDUP(U133/20,0),"Lần " &amp; ROUNDUP(U134/20,0),"")</f>
        <v/>
      </c>
      <c r="AG134" s="9">
        <f>IF(ROUNDUP(V134/20,0)&gt;ROUNDUP(V133/20,0),"Lần " &amp; ROUNDUP(V134/20,0),"")</f>
        <v/>
      </c>
      <c r="AH134" s="9">
        <f>IF(ROUNDUP(W134/20,0)&gt;ROUNDUP(W133/20,0),"Lần " &amp; ROUNDUP(W134/20,0),"")</f>
        <v/>
      </c>
      <c r="AI134" s="9">
        <f>IF(ROUNDUP(X134/20,0)&gt;ROUNDUP(X133/20,0),"Lần " &amp; ROUNDUP(X134/20,0),"")</f>
        <v/>
      </c>
      <c r="AJ134" s="9">
        <f>IF(ROUNDUP(Y134/20,0)&gt;ROUNDUP(Y133/20,0),"Lần " &amp; ROUNDUP(Y134/20,0),"")</f>
        <v/>
      </c>
      <c r="AK134" s="9">
        <f>IF(ROUNDUP(Z134/20,0)&gt;ROUNDUP(Z133/20,0),"Lần " &amp; ROUNDUP(Z134/20,0),"")</f>
        <v/>
      </c>
      <c r="AL134" s="4" t="n"/>
      <c r="AN134" s="596" t="inlineStr">
        <is>
          <t>Coc</t>
        </is>
      </c>
      <c r="AO134" s="596" t="n">
        <v>12</v>
      </c>
      <c r="AQ134" s="594" t="n"/>
      <c r="AR134" s="595" t="n"/>
    </row>
    <row r="135" ht="19" customHeight="1" s="672">
      <c r="A135" s="4" t="n">
        <v>124</v>
      </c>
      <c r="B135" s="5" t="inlineStr">
        <is>
          <t>Cọc khoan nhồi C4 Trụ T1 (D1.2m, L=40.0m)</t>
        </is>
      </c>
      <c r="C135" s="5" t="inlineStr">
        <is>
          <t>Cọc trụ T1 L=40m (tr.68)</t>
        </is>
      </c>
      <c r="D135" s="14" t="inlineStr">
        <is>
          <t>P1C</t>
        </is>
      </c>
      <c r="E135" s="15" t="n">
        <v>10</v>
      </c>
      <c r="F135" s="4" t="inlineStr">
        <is>
          <t>CB240-T</t>
        </is>
      </c>
      <c r="G135" s="5" t="inlineStr"/>
      <c r="H135" s="16" t="n">
        <v>3.592</v>
      </c>
      <c r="I135" s="17" t="n">
        <v>2</v>
      </c>
      <c r="J135" s="18" t="n">
        <v>0.617</v>
      </c>
      <c r="K135" s="7">
        <f>ROUND(H135*I135*J135, 2)</f>
        <v/>
      </c>
      <c r="L135" s="19">
        <f>ROUND(K135/1000, 3)</f>
        <v/>
      </c>
      <c r="M135" s="728">
        <f>IF(AO135="","",IF(N(INDEX(Theo_Doi_Tan_Suat_Be_Tong!$C:$C,AO135))&lt;=0,"",INDEX(Theo_Doi_Tan_Suat_Be_Tong!$C:$C,AO135)-VLOOKUP(AN135,$AQ$2:$AR$7,2,FALSE)))</f>
        <v/>
      </c>
      <c r="N135" s="4" t="n"/>
      <c r="O135" s="20">
        <f>IF(ROUNDUP(P135/20,0)&gt;ROUNDUP(P134/20,0),"TN Ø10 (Lần " &amp; ROUNDUP(P135/20,0) &amp; ")","")</f>
        <v/>
      </c>
      <c r="P135" s="16">
        <f>ROUND(P134+IF(AND(E135&lt;=10,F135&lt;&gt;"ASTM A416"),L135,0),3)</f>
        <v/>
      </c>
      <c r="Q135" s="16">
        <f>ROUND(Q134+IF(AND(E135=12,F135&lt;&gt;"ASTM A416"),L135,0),3)</f>
        <v/>
      </c>
      <c r="R135" s="16">
        <f>ROUND(R134+IF(AND(E135=14,F135&lt;&gt;"ASTM A416"),L135,0),3)</f>
        <v/>
      </c>
      <c r="S135" s="16">
        <f>ROUND(S134+IF(AND(E135=16,F135&lt;&gt;"ASTM A416"),L135,0),3)</f>
        <v/>
      </c>
      <c r="T135" s="16">
        <f>ROUND(T134+IF(AND(E135=18,F135&lt;&gt;"ASTM A416"),L135,0),3)</f>
        <v/>
      </c>
      <c r="U135" s="16">
        <f>ROUND(U134+IF(AND(E135=20,F135&lt;&gt;"ASTM A416"),L135,0),3)</f>
        <v/>
      </c>
      <c r="V135" s="16">
        <f>ROUND(V134+IF(AND(E135=22,F135&lt;&gt;"ASTM A416"),L135,0),3)</f>
        <v/>
      </c>
      <c r="W135" s="16">
        <f>ROUND(W134+IF(AND(E135=25,F135&lt;&gt;"ASTM A416"),L135,0),3)</f>
        <v/>
      </c>
      <c r="X135" s="16">
        <f>ROUND(X134+IF(AND(E135=28,F135&lt;&gt;"ASTM A416"),L135,0),3)</f>
        <v/>
      </c>
      <c r="Y135" s="16">
        <f>ROUND(Y134+IF(AND(E135=32,F135&lt;&gt;"ASTM A416"),L135,0),3)</f>
        <v/>
      </c>
      <c r="Z135" s="16">
        <f>ROUND(Z134+IF(F135="ASTM A416",L135,0),3)</f>
        <v/>
      </c>
      <c r="AA135" s="9">
        <f>IF(ROUNDUP(P135/20,0)&gt;ROUNDUP(P134/20,0),"Lần " &amp; ROUNDUP(P135/20,0),"")</f>
        <v/>
      </c>
      <c r="AB135" s="9">
        <f>IF(ROUNDUP(Q135/20,0)&gt;ROUNDUP(Q134/20,0),"Lần " &amp; ROUNDUP(Q135/20,0),"")</f>
        <v/>
      </c>
      <c r="AC135" s="9">
        <f>IF(ROUNDUP(R135/20,0)&gt;ROUNDUP(R134/20,0),"Lần " &amp; ROUNDUP(R135/20,0),"")</f>
        <v/>
      </c>
      <c r="AD135" s="9">
        <f>IF(ROUNDUP(S135/20,0)&gt;ROUNDUP(S134/20,0),"Lần " &amp; ROUNDUP(S135/20,0),"")</f>
        <v/>
      </c>
      <c r="AE135" s="9">
        <f>IF(ROUNDUP(T135/20,0)&gt;ROUNDUP(T134/20,0),"Lần " &amp; ROUNDUP(T135/20,0),"")</f>
        <v/>
      </c>
      <c r="AF135" s="9">
        <f>IF(ROUNDUP(U135/20,0)&gt;ROUNDUP(U134/20,0),"Lần " &amp; ROUNDUP(U135/20,0),"")</f>
        <v/>
      </c>
      <c r="AG135" s="9">
        <f>IF(ROUNDUP(V135/20,0)&gt;ROUNDUP(V134/20,0),"Lần " &amp; ROUNDUP(V135/20,0),"")</f>
        <v/>
      </c>
      <c r="AH135" s="9">
        <f>IF(ROUNDUP(W135/20,0)&gt;ROUNDUP(W134/20,0),"Lần " &amp; ROUNDUP(W135/20,0),"")</f>
        <v/>
      </c>
      <c r="AI135" s="9">
        <f>IF(ROUNDUP(X135/20,0)&gt;ROUNDUP(X134/20,0),"Lần " &amp; ROUNDUP(X135/20,0),"")</f>
        <v/>
      </c>
      <c r="AJ135" s="9">
        <f>IF(ROUNDUP(Y135/20,0)&gt;ROUNDUP(Y134/20,0),"Lần " &amp; ROUNDUP(Y135/20,0),"")</f>
        <v/>
      </c>
      <c r="AK135" s="9">
        <f>IF(ROUNDUP(Z135/20,0)&gt;ROUNDUP(Z134/20,0),"Lần " &amp; ROUNDUP(Z135/20,0),"")</f>
        <v/>
      </c>
      <c r="AL135" s="4" t="n"/>
      <c r="AN135" s="596" t="inlineStr">
        <is>
          <t>Coc</t>
        </is>
      </c>
      <c r="AO135" s="596" t="n">
        <v>12</v>
      </c>
      <c r="AQ135" s="594" t="n"/>
      <c r="AR135" s="595" t="n"/>
    </row>
    <row r="136" ht="19" customHeight="1" s="672">
      <c r="A136" s="4" t="n">
        <v>125</v>
      </c>
      <c r="B136" s="5" t="inlineStr">
        <is>
          <t>Cọc khoan nhồi C4 Trụ T1 (D1.2m, L=40.0m)</t>
        </is>
      </c>
      <c r="C136" s="5" t="inlineStr">
        <is>
          <t>Cọc trụ T1 L=40m (tr.68)</t>
        </is>
      </c>
      <c r="D136" s="14" t="inlineStr">
        <is>
          <t>P1D</t>
        </is>
      </c>
      <c r="E136" s="15" t="n">
        <v>10</v>
      </c>
      <c r="F136" s="4" t="inlineStr">
        <is>
          <t>CB240-T</t>
        </is>
      </c>
      <c r="G136" s="5" t="inlineStr"/>
      <c r="H136" s="16" t="n">
        <v>19.721</v>
      </c>
      <c r="I136" s="17" t="n">
        <v>1</v>
      </c>
      <c r="J136" s="18" t="n">
        <v>0.617</v>
      </c>
      <c r="K136" s="7">
        <f>ROUND(H136*I136*J136, 2)</f>
        <v/>
      </c>
      <c r="L136" s="19">
        <f>ROUND(K136/1000, 3)</f>
        <v/>
      </c>
      <c r="M136" s="728">
        <f>IF(AO136="","",IF(N(INDEX(Theo_Doi_Tan_Suat_Be_Tong!$C:$C,AO136))&lt;=0,"",INDEX(Theo_Doi_Tan_Suat_Be_Tong!$C:$C,AO136)-VLOOKUP(AN136,$AQ$2:$AR$7,2,FALSE)))</f>
        <v/>
      </c>
      <c r="N136" s="4" t="n"/>
      <c r="O136" s="20">
        <f>IF(ROUNDUP(P136/20,0)&gt;ROUNDUP(P135/20,0),"TN Ø10 (Lần " &amp; ROUNDUP(P136/20,0) &amp; ")","")</f>
        <v/>
      </c>
      <c r="P136" s="16">
        <f>ROUND(P135+IF(AND(E136&lt;=10,F136&lt;&gt;"ASTM A416"),L136,0),3)</f>
        <v/>
      </c>
      <c r="Q136" s="16">
        <f>ROUND(Q135+IF(AND(E136=12,F136&lt;&gt;"ASTM A416"),L136,0),3)</f>
        <v/>
      </c>
      <c r="R136" s="16">
        <f>ROUND(R135+IF(AND(E136=14,F136&lt;&gt;"ASTM A416"),L136,0),3)</f>
        <v/>
      </c>
      <c r="S136" s="16">
        <f>ROUND(S135+IF(AND(E136=16,F136&lt;&gt;"ASTM A416"),L136,0),3)</f>
        <v/>
      </c>
      <c r="T136" s="16">
        <f>ROUND(T135+IF(AND(E136=18,F136&lt;&gt;"ASTM A416"),L136,0),3)</f>
        <v/>
      </c>
      <c r="U136" s="16">
        <f>ROUND(U135+IF(AND(E136=20,F136&lt;&gt;"ASTM A416"),L136,0),3)</f>
        <v/>
      </c>
      <c r="V136" s="16">
        <f>ROUND(V135+IF(AND(E136=22,F136&lt;&gt;"ASTM A416"),L136,0),3)</f>
        <v/>
      </c>
      <c r="W136" s="16">
        <f>ROUND(W135+IF(AND(E136=25,F136&lt;&gt;"ASTM A416"),L136,0),3)</f>
        <v/>
      </c>
      <c r="X136" s="16">
        <f>ROUND(X135+IF(AND(E136=28,F136&lt;&gt;"ASTM A416"),L136,0),3)</f>
        <v/>
      </c>
      <c r="Y136" s="16">
        <f>ROUND(Y135+IF(AND(E136=32,F136&lt;&gt;"ASTM A416"),L136,0),3)</f>
        <v/>
      </c>
      <c r="Z136" s="16">
        <f>ROUND(Z135+IF(F136="ASTM A416",L136,0),3)</f>
        <v/>
      </c>
      <c r="AA136" s="9">
        <f>IF(ROUNDUP(P136/20,0)&gt;ROUNDUP(P135/20,0),"Lần " &amp; ROUNDUP(P136/20,0),"")</f>
        <v/>
      </c>
      <c r="AB136" s="9">
        <f>IF(ROUNDUP(Q136/20,0)&gt;ROUNDUP(Q135/20,0),"Lần " &amp; ROUNDUP(Q136/20,0),"")</f>
        <v/>
      </c>
      <c r="AC136" s="9">
        <f>IF(ROUNDUP(R136/20,0)&gt;ROUNDUP(R135/20,0),"Lần " &amp; ROUNDUP(R136/20,0),"")</f>
        <v/>
      </c>
      <c r="AD136" s="9">
        <f>IF(ROUNDUP(S136/20,0)&gt;ROUNDUP(S135/20,0),"Lần " &amp; ROUNDUP(S136/20,0),"")</f>
        <v/>
      </c>
      <c r="AE136" s="9">
        <f>IF(ROUNDUP(T136/20,0)&gt;ROUNDUP(T135/20,0),"Lần " &amp; ROUNDUP(T136/20,0),"")</f>
        <v/>
      </c>
      <c r="AF136" s="9">
        <f>IF(ROUNDUP(U136/20,0)&gt;ROUNDUP(U135/20,0),"Lần " &amp; ROUNDUP(U136/20,0),"")</f>
        <v/>
      </c>
      <c r="AG136" s="9">
        <f>IF(ROUNDUP(V136/20,0)&gt;ROUNDUP(V135/20,0),"Lần " &amp; ROUNDUP(V136/20,0),"")</f>
        <v/>
      </c>
      <c r="AH136" s="9">
        <f>IF(ROUNDUP(W136/20,0)&gt;ROUNDUP(W135/20,0),"Lần " &amp; ROUNDUP(W136/20,0),"")</f>
        <v/>
      </c>
      <c r="AI136" s="9">
        <f>IF(ROUNDUP(X136/20,0)&gt;ROUNDUP(X135/20,0),"Lần " &amp; ROUNDUP(X136/20,0),"")</f>
        <v/>
      </c>
      <c r="AJ136" s="9">
        <f>IF(ROUNDUP(Y136/20,0)&gt;ROUNDUP(Y135/20,0),"Lần " &amp; ROUNDUP(Y136/20,0),"")</f>
        <v/>
      </c>
      <c r="AK136" s="9">
        <f>IF(ROUNDUP(Z136/20,0)&gt;ROUNDUP(Z135/20,0),"Lần " &amp; ROUNDUP(Z136/20,0),"")</f>
        <v/>
      </c>
      <c r="AL136" s="4" t="n"/>
      <c r="AN136" s="596" t="inlineStr">
        <is>
          <t>Coc</t>
        </is>
      </c>
      <c r="AO136" s="596" t="n">
        <v>12</v>
      </c>
      <c r="AQ136" s="594" t="n"/>
      <c r="AR136" s="595" t="n"/>
    </row>
    <row r="137" ht="19" customHeight="1" s="672">
      <c r="A137" s="4" t="n">
        <v>126</v>
      </c>
      <c r="B137" s="5" t="inlineStr">
        <is>
          <t>Cọc khoan nhồi C4 Trụ T1 (D1.2m, L=40.0m)</t>
        </is>
      </c>
      <c r="C137" s="5" t="inlineStr">
        <is>
          <t>Cọc trụ T1 L=40m (tr.68)</t>
        </is>
      </c>
      <c r="D137" s="14" t="inlineStr">
        <is>
          <t>P2B</t>
        </is>
      </c>
      <c r="E137" s="15" t="n">
        <v>25</v>
      </c>
      <c r="F137" s="4" t="inlineStr">
        <is>
          <t>CB400-V</t>
        </is>
      </c>
      <c r="G137" s="5" t="inlineStr"/>
      <c r="H137" s="16" t="n">
        <v>2.985</v>
      </c>
      <c r="I137" s="17" t="n">
        <v>16</v>
      </c>
      <c r="J137" s="18" t="n">
        <v>3.853</v>
      </c>
      <c r="K137" s="7">
        <f>ROUND(H137*I137*J137, 2)</f>
        <v/>
      </c>
      <c r="L137" s="19">
        <f>ROUND(K137/1000, 3)</f>
        <v/>
      </c>
      <c r="M137" s="728">
        <f>IF(AO137="","",IF(N(INDEX(Theo_Doi_Tan_Suat_Be_Tong!$C:$C,AO137))&lt;=0,"",INDEX(Theo_Doi_Tan_Suat_Be_Tong!$C:$C,AO137)-VLOOKUP(AN137,$AQ$2:$AR$7,2,FALSE)))</f>
        <v/>
      </c>
      <c r="N137" s="4" t="n"/>
      <c r="O137" s="20">
        <f>IF(ROUNDUP(W137/20,0)&gt;ROUNDUP(W136/20,0),"TN Ø25 (Lần " &amp; ROUNDUP(W137/20,0) &amp; ")","")</f>
        <v/>
      </c>
      <c r="P137" s="16">
        <f>ROUND(P136+IF(AND(E137&lt;=10,F137&lt;&gt;"ASTM A416"),L137,0),3)</f>
        <v/>
      </c>
      <c r="Q137" s="16">
        <f>ROUND(Q136+IF(AND(E137=12,F137&lt;&gt;"ASTM A416"),L137,0),3)</f>
        <v/>
      </c>
      <c r="R137" s="16">
        <f>ROUND(R136+IF(AND(E137=14,F137&lt;&gt;"ASTM A416"),L137,0),3)</f>
        <v/>
      </c>
      <c r="S137" s="16">
        <f>ROUND(S136+IF(AND(E137=16,F137&lt;&gt;"ASTM A416"),L137,0),3)</f>
        <v/>
      </c>
      <c r="T137" s="16">
        <f>ROUND(T136+IF(AND(E137=18,F137&lt;&gt;"ASTM A416"),L137,0),3)</f>
        <v/>
      </c>
      <c r="U137" s="16">
        <f>ROUND(U136+IF(AND(E137=20,F137&lt;&gt;"ASTM A416"),L137,0),3)</f>
        <v/>
      </c>
      <c r="V137" s="16">
        <f>ROUND(V136+IF(AND(E137=22,F137&lt;&gt;"ASTM A416"),L137,0),3)</f>
        <v/>
      </c>
      <c r="W137" s="16">
        <f>ROUND(W136+IF(AND(E137=25,F137&lt;&gt;"ASTM A416"),L137,0),3)</f>
        <v/>
      </c>
      <c r="X137" s="16">
        <f>ROUND(X136+IF(AND(E137=28,F137&lt;&gt;"ASTM A416"),L137,0),3)</f>
        <v/>
      </c>
      <c r="Y137" s="16">
        <f>ROUND(Y136+IF(AND(E137=32,F137&lt;&gt;"ASTM A416"),L137,0),3)</f>
        <v/>
      </c>
      <c r="Z137" s="16">
        <f>ROUND(Z136+IF(F137="ASTM A416",L137,0),3)</f>
        <v/>
      </c>
      <c r="AA137" s="9">
        <f>IF(ROUNDUP(P137/20,0)&gt;ROUNDUP(P136/20,0),"Lần " &amp; ROUNDUP(P137/20,0),"")</f>
        <v/>
      </c>
      <c r="AB137" s="9">
        <f>IF(ROUNDUP(Q137/20,0)&gt;ROUNDUP(Q136/20,0),"Lần " &amp; ROUNDUP(Q137/20,0),"")</f>
        <v/>
      </c>
      <c r="AC137" s="9">
        <f>IF(ROUNDUP(R137/20,0)&gt;ROUNDUP(R136/20,0),"Lần " &amp; ROUNDUP(R137/20,0),"")</f>
        <v/>
      </c>
      <c r="AD137" s="9">
        <f>IF(ROUNDUP(S137/20,0)&gt;ROUNDUP(S136/20,0),"Lần " &amp; ROUNDUP(S137/20,0),"")</f>
        <v/>
      </c>
      <c r="AE137" s="9">
        <f>IF(ROUNDUP(T137/20,0)&gt;ROUNDUP(T136/20,0),"Lần " &amp; ROUNDUP(T137/20,0),"")</f>
        <v/>
      </c>
      <c r="AF137" s="9">
        <f>IF(ROUNDUP(U137/20,0)&gt;ROUNDUP(U136/20,0),"Lần " &amp; ROUNDUP(U137/20,0),"")</f>
        <v/>
      </c>
      <c r="AG137" s="9">
        <f>IF(ROUNDUP(V137/20,0)&gt;ROUNDUP(V136/20,0),"Lần " &amp; ROUNDUP(V137/20,0),"")</f>
        <v/>
      </c>
      <c r="AH137" s="9">
        <f>IF(ROUNDUP(W137/20,0)&gt;ROUNDUP(W136/20,0),"Lần " &amp; ROUNDUP(W137/20,0),"")</f>
        <v/>
      </c>
      <c r="AI137" s="9">
        <f>IF(ROUNDUP(X137/20,0)&gt;ROUNDUP(X136/20,0),"Lần " &amp; ROUNDUP(X137/20,0),"")</f>
        <v/>
      </c>
      <c r="AJ137" s="9">
        <f>IF(ROUNDUP(Y137/20,0)&gt;ROUNDUP(Y136/20,0),"Lần " &amp; ROUNDUP(Y137/20,0),"")</f>
        <v/>
      </c>
      <c r="AK137" s="9">
        <f>IF(ROUNDUP(Z137/20,0)&gt;ROUNDUP(Z136/20,0),"Lần " &amp; ROUNDUP(Z137/20,0),"")</f>
        <v/>
      </c>
      <c r="AL137" s="4" t="n"/>
      <c r="AN137" s="596" t="inlineStr">
        <is>
          <t>Coc</t>
        </is>
      </c>
      <c r="AO137" s="596" t="n">
        <v>12</v>
      </c>
      <c r="AQ137" s="594" t="n"/>
      <c r="AR137" s="595" t="n"/>
    </row>
    <row r="138" ht="19" customHeight="1" s="672">
      <c r="A138" s="4" t="n">
        <v>127</v>
      </c>
      <c r="B138" s="5" t="inlineStr">
        <is>
          <t>Cọc khoan nhồi C4 Trụ T1 (D1.2m, L=40.0m)</t>
        </is>
      </c>
      <c r="C138" s="5" t="inlineStr">
        <is>
          <t>Cọc trụ T1 L=40m (tr.68)</t>
        </is>
      </c>
      <c r="D138" s="14" t="inlineStr">
        <is>
          <t>P3</t>
        </is>
      </c>
      <c r="E138" s="15" t="n">
        <v>25</v>
      </c>
      <c r="F138" s="4" t="inlineStr">
        <is>
          <t>CB400-V</t>
        </is>
      </c>
      <c r="G138" s="5" t="inlineStr"/>
      <c r="H138" s="16" t="n">
        <v>10.7</v>
      </c>
      <c r="I138" s="17" t="n">
        <v>12</v>
      </c>
      <c r="J138" s="18" t="n">
        <v>3.853</v>
      </c>
      <c r="K138" s="7">
        <f>ROUND(H138*I138*J138, 2)</f>
        <v/>
      </c>
      <c r="L138" s="19">
        <f>ROUND(K138/1000, 3)</f>
        <v/>
      </c>
      <c r="M138" s="728">
        <f>IF(AO138="","",IF(N(INDEX(Theo_Doi_Tan_Suat_Be_Tong!$C:$C,AO138))&lt;=0,"",INDEX(Theo_Doi_Tan_Suat_Be_Tong!$C:$C,AO138)-VLOOKUP(AN138,$AQ$2:$AR$7,2,FALSE)))</f>
        <v/>
      </c>
      <c r="N138" s="4" t="n"/>
      <c r="O138" s="20">
        <f>IF(ROUNDUP(W138/20,0)&gt;ROUNDUP(W137/20,0),"TN Ø25 (Lần " &amp; ROUNDUP(W138/20,0) &amp; ")","")</f>
        <v/>
      </c>
      <c r="P138" s="16">
        <f>ROUND(P137+IF(AND(E138&lt;=10,F138&lt;&gt;"ASTM A416"),L138,0),3)</f>
        <v/>
      </c>
      <c r="Q138" s="16">
        <f>ROUND(Q137+IF(AND(E138=12,F138&lt;&gt;"ASTM A416"),L138,0),3)</f>
        <v/>
      </c>
      <c r="R138" s="16">
        <f>ROUND(R137+IF(AND(E138=14,F138&lt;&gt;"ASTM A416"),L138,0),3)</f>
        <v/>
      </c>
      <c r="S138" s="16">
        <f>ROUND(S137+IF(AND(E138=16,F138&lt;&gt;"ASTM A416"),L138,0),3)</f>
        <v/>
      </c>
      <c r="T138" s="16">
        <f>ROUND(T137+IF(AND(E138=18,F138&lt;&gt;"ASTM A416"),L138,0),3)</f>
        <v/>
      </c>
      <c r="U138" s="16">
        <f>ROUND(U137+IF(AND(E138=20,F138&lt;&gt;"ASTM A416"),L138,0),3)</f>
        <v/>
      </c>
      <c r="V138" s="16">
        <f>ROUND(V137+IF(AND(E138=22,F138&lt;&gt;"ASTM A416"),L138,0),3)</f>
        <v/>
      </c>
      <c r="W138" s="16">
        <f>ROUND(W137+IF(AND(E138=25,F138&lt;&gt;"ASTM A416"),L138,0),3)</f>
        <v/>
      </c>
      <c r="X138" s="16">
        <f>ROUND(X137+IF(AND(E138=28,F138&lt;&gt;"ASTM A416"),L138,0),3)</f>
        <v/>
      </c>
      <c r="Y138" s="16">
        <f>ROUND(Y137+IF(AND(E138=32,F138&lt;&gt;"ASTM A416"),L138,0),3)</f>
        <v/>
      </c>
      <c r="Z138" s="16">
        <f>ROUND(Z137+IF(F138="ASTM A416",L138,0),3)</f>
        <v/>
      </c>
      <c r="AA138" s="9">
        <f>IF(ROUNDUP(P138/20,0)&gt;ROUNDUP(P137/20,0),"Lần " &amp; ROUNDUP(P138/20,0),"")</f>
        <v/>
      </c>
      <c r="AB138" s="9">
        <f>IF(ROUNDUP(Q138/20,0)&gt;ROUNDUP(Q137/20,0),"Lần " &amp; ROUNDUP(Q138/20,0),"")</f>
        <v/>
      </c>
      <c r="AC138" s="9">
        <f>IF(ROUNDUP(R138/20,0)&gt;ROUNDUP(R137/20,0),"Lần " &amp; ROUNDUP(R138/20,0),"")</f>
        <v/>
      </c>
      <c r="AD138" s="9">
        <f>IF(ROUNDUP(S138/20,0)&gt;ROUNDUP(S137/20,0),"Lần " &amp; ROUNDUP(S138/20,0),"")</f>
        <v/>
      </c>
      <c r="AE138" s="9">
        <f>IF(ROUNDUP(T138/20,0)&gt;ROUNDUP(T137/20,0),"Lần " &amp; ROUNDUP(T138/20,0),"")</f>
        <v/>
      </c>
      <c r="AF138" s="9">
        <f>IF(ROUNDUP(U138/20,0)&gt;ROUNDUP(U137/20,0),"Lần " &amp; ROUNDUP(U138/20,0),"")</f>
        <v/>
      </c>
      <c r="AG138" s="9">
        <f>IF(ROUNDUP(V138/20,0)&gt;ROUNDUP(V137/20,0),"Lần " &amp; ROUNDUP(V138/20,0),"")</f>
        <v/>
      </c>
      <c r="AH138" s="9">
        <f>IF(ROUNDUP(W138/20,0)&gt;ROUNDUP(W137/20,0),"Lần " &amp; ROUNDUP(W138/20,0),"")</f>
        <v/>
      </c>
      <c r="AI138" s="9">
        <f>IF(ROUNDUP(X138/20,0)&gt;ROUNDUP(X137/20,0),"Lần " &amp; ROUNDUP(X138/20,0),"")</f>
        <v/>
      </c>
      <c r="AJ138" s="9">
        <f>IF(ROUNDUP(Y138/20,0)&gt;ROUNDUP(Y137/20,0),"Lần " &amp; ROUNDUP(Y138/20,0),"")</f>
        <v/>
      </c>
      <c r="AK138" s="9">
        <f>IF(ROUNDUP(Z138/20,0)&gt;ROUNDUP(Z137/20,0),"Lần " &amp; ROUNDUP(Z138/20,0),"")</f>
        <v/>
      </c>
      <c r="AL138" s="4" t="n"/>
      <c r="AN138" s="596" t="inlineStr">
        <is>
          <t>Coc</t>
        </is>
      </c>
      <c r="AO138" s="596" t="n">
        <v>12</v>
      </c>
      <c r="AQ138" s="594" t="n"/>
      <c r="AR138" s="595" t="n"/>
    </row>
    <row r="139" ht="19" customHeight="1" s="672">
      <c r="A139" s="4" t="n">
        <v>128</v>
      </c>
      <c r="B139" s="5" t="inlineStr">
        <is>
          <t>Cọc khoan nhồi C4 Trụ T1 (D1.2m, L=40.0m)</t>
        </is>
      </c>
      <c r="C139" s="5" t="inlineStr">
        <is>
          <t>Cọc trụ T1 L=40m (tr.68)</t>
        </is>
      </c>
      <c r="D139" s="14" t="inlineStr">
        <is>
          <t>P4</t>
        </is>
      </c>
      <c r="E139" s="15" t="n">
        <v>25</v>
      </c>
      <c r="F139" s="4" t="inlineStr">
        <is>
          <t>CB400-V</t>
        </is>
      </c>
      <c r="G139" s="5" t="inlineStr"/>
      <c r="H139" s="16" t="n">
        <v>11.7</v>
      </c>
      <c r="I139" s="17" t="n">
        <v>60</v>
      </c>
      <c r="J139" s="18" t="n">
        <v>3.853</v>
      </c>
      <c r="K139" s="7">
        <f>ROUND(H139*I139*J139, 2)</f>
        <v/>
      </c>
      <c r="L139" s="19">
        <f>ROUND(K139/1000, 3)</f>
        <v/>
      </c>
      <c r="M139" s="728">
        <f>IF(AO139="","",IF(N(INDEX(Theo_Doi_Tan_Suat_Be_Tong!$C:$C,AO139))&lt;=0,"",INDEX(Theo_Doi_Tan_Suat_Be_Tong!$C:$C,AO139)-VLOOKUP(AN139,$AQ$2:$AR$7,2,FALSE)))</f>
        <v/>
      </c>
      <c r="N139" s="4" t="n"/>
      <c r="O139" s="20">
        <f>IF(ROUNDUP(W139/20,0)&gt;ROUNDUP(W138/20,0),"TN Ø25 (Lần " &amp; ROUNDUP(W139/20,0) &amp; ")","")</f>
        <v/>
      </c>
      <c r="P139" s="16">
        <f>ROUND(P138+IF(AND(E139&lt;=10,F139&lt;&gt;"ASTM A416"),L139,0),3)</f>
        <v/>
      </c>
      <c r="Q139" s="16">
        <f>ROUND(Q138+IF(AND(E139=12,F139&lt;&gt;"ASTM A416"),L139,0),3)</f>
        <v/>
      </c>
      <c r="R139" s="16">
        <f>ROUND(R138+IF(AND(E139=14,F139&lt;&gt;"ASTM A416"),L139,0),3)</f>
        <v/>
      </c>
      <c r="S139" s="16">
        <f>ROUND(S138+IF(AND(E139=16,F139&lt;&gt;"ASTM A416"),L139,0),3)</f>
        <v/>
      </c>
      <c r="T139" s="16">
        <f>ROUND(T138+IF(AND(E139=18,F139&lt;&gt;"ASTM A416"),L139,0),3)</f>
        <v/>
      </c>
      <c r="U139" s="16">
        <f>ROUND(U138+IF(AND(E139=20,F139&lt;&gt;"ASTM A416"),L139,0),3)</f>
        <v/>
      </c>
      <c r="V139" s="16">
        <f>ROUND(V138+IF(AND(E139=22,F139&lt;&gt;"ASTM A416"),L139,0),3)</f>
        <v/>
      </c>
      <c r="W139" s="16">
        <f>ROUND(W138+IF(AND(E139=25,F139&lt;&gt;"ASTM A416"),L139,0),3)</f>
        <v/>
      </c>
      <c r="X139" s="16">
        <f>ROUND(X138+IF(AND(E139=28,F139&lt;&gt;"ASTM A416"),L139,0),3)</f>
        <v/>
      </c>
      <c r="Y139" s="16">
        <f>ROUND(Y138+IF(AND(E139=32,F139&lt;&gt;"ASTM A416"),L139,0),3)</f>
        <v/>
      </c>
      <c r="Z139" s="16">
        <f>ROUND(Z138+IF(F139="ASTM A416",L139,0),3)</f>
        <v/>
      </c>
      <c r="AA139" s="9">
        <f>IF(ROUNDUP(P139/20,0)&gt;ROUNDUP(P138/20,0),"Lần " &amp; ROUNDUP(P139/20,0),"")</f>
        <v/>
      </c>
      <c r="AB139" s="9">
        <f>IF(ROUNDUP(Q139/20,0)&gt;ROUNDUP(Q138/20,0),"Lần " &amp; ROUNDUP(Q139/20,0),"")</f>
        <v/>
      </c>
      <c r="AC139" s="9">
        <f>IF(ROUNDUP(R139/20,0)&gt;ROUNDUP(R138/20,0),"Lần " &amp; ROUNDUP(R139/20,0),"")</f>
        <v/>
      </c>
      <c r="AD139" s="9">
        <f>IF(ROUNDUP(S139/20,0)&gt;ROUNDUP(S138/20,0),"Lần " &amp; ROUNDUP(S139/20,0),"")</f>
        <v/>
      </c>
      <c r="AE139" s="9">
        <f>IF(ROUNDUP(T139/20,0)&gt;ROUNDUP(T138/20,0),"Lần " &amp; ROUNDUP(T139/20,0),"")</f>
        <v/>
      </c>
      <c r="AF139" s="9">
        <f>IF(ROUNDUP(U139/20,0)&gt;ROUNDUP(U138/20,0),"Lần " &amp; ROUNDUP(U139/20,0),"")</f>
        <v/>
      </c>
      <c r="AG139" s="9">
        <f>IF(ROUNDUP(V139/20,0)&gt;ROUNDUP(V138/20,0),"Lần " &amp; ROUNDUP(V139/20,0),"")</f>
        <v/>
      </c>
      <c r="AH139" s="9">
        <f>IF(ROUNDUP(W139/20,0)&gt;ROUNDUP(W138/20,0),"Lần " &amp; ROUNDUP(W139/20,0),"")</f>
        <v/>
      </c>
      <c r="AI139" s="9">
        <f>IF(ROUNDUP(X139/20,0)&gt;ROUNDUP(X138/20,0),"Lần " &amp; ROUNDUP(X139/20,0),"")</f>
        <v/>
      </c>
      <c r="AJ139" s="9">
        <f>IF(ROUNDUP(Y139/20,0)&gt;ROUNDUP(Y138/20,0),"Lần " &amp; ROUNDUP(Y139/20,0),"")</f>
        <v/>
      </c>
      <c r="AK139" s="9">
        <f>IF(ROUNDUP(Z139/20,0)&gt;ROUNDUP(Z138/20,0),"Lần " &amp; ROUNDUP(Z139/20,0),"")</f>
        <v/>
      </c>
      <c r="AL139" s="4" t="n"/>
      <c r="AN139" s="596" t="inlineStr">
        <is>
          <t>Coc</t>
        </is>
      </c>
      <c r="AO139" s="596" t="n">
        <v>12</v>
      </c>
      <c r="AQ139" s="594" t="n"/>
      <c r="AR139" s="595" t="n"/>
    </row>
    <row r="140" ht="19" customHeight="1" s="672">
      <c r="A140" s="4" t="n">
        <v>129</v>
      </c>
      <c r="B140" s="5" t="inlineStr">
        <is>
          <t>Cọc khoan nhồi C4 Trụ T1 (D1.2m, L=40.0m)</t>
        </is>
      </c>
      <c r="C140" s="5" t="inlineStr">
        <is>
          <t>Cọc trụ T1 L=40m (tr.68)</t>
        </is>
      </c>
      <c r="D140" s="14" t="inlineStr">
        <is>
          <t>P6</t>
        </is>
      </c>
      <c r="E140" s="15" t="n">
        <v>25</v>
      </c>
      <c r="F140" s="4" t="inlineStr">
        <is>
          <t>CB400-V</t>
        </is>
      </c>
      <c r="G140" s="5" t="inlineStr"/>
      <c r="H140" s="16" t="n">
        <v>9.032999999999999</v>
      </c>
      <c r="I140" s="17" t="n">
        <v>12</v>
      </c>
      <c r="J140" s="18" t="n">
        <v>3.853</v>
      </c>
      <c r="K140" s="7">
        <f>ROUND(H140*I140*J140, 2)</f>
        <v/>
      </c>
      <c r="L140" s="19">
        <f>ROUND(K140/1000, 3)</f>
        <v/>
      </c>
      <c r="M140" s="728">
        <f>IF(AO140="","",IF(N(INDEX(Theo_Doi_Tan_Suat_Be_Tong!$C:$C,AO140))&lt;=0,"",INDEX(Theo_Doi_Tan_Suat_Be_Tong!$C:$C,AO140)-VLOOKUP(AN140,$AQ$2:$AR$7,2,FALSE)))</f>
        <v/>
      </c>
      <c r="N140" s="4" t="n"/>
      <c r="O140" s="20">
        <f>IF(ROUNDUP(W140/20,0)&gt;ROUNDUP(W139/20,0),"TN Ø25 (Lần " &amp; ROUNDUP(W140/20,0) &amp; ")","")</f>
        <v/>
      </c>
      <c r="P140" s="16">
        <f>ROUND(P139+IF(AND(E140&lt;=10,F140&lt;&gt;"ASTM A416"),L140,0),3)</f>
        <v/>
      </c>
      <c r="Q140" s="16">
        <f>ROUND(Q139+IF(AND(E140=12,F140&lt;&gt;"ASTM A416"),L140,0),3)</f>
        <v/>
      </c>
      <c r="R140" s="16">
        <f>ROUND(R139+IF(AND(E140=14,F140&lt;&gt;"ASTM A416"),L140,0),3)</f>
        <v/>
      </c>
      <c r="S140" s="16">
        <f>ROUND(S139+IF(AND(E140=16,F140&lt;&gt;"ASTM A416"),L140,0),3)</f>
        <v/>
      </c>
      <c r="T140" s="16">
        <f>ROUND(T139+IF(AND(E140=18,F140&lt;&gt;"ASTM A416"),L140,0),3)</f>
        <v/>
      </c>
      <c r="U140" s="16">
        <f>ROUND(U139+IF(AND(E140=20,F140&lt;&gt;"ASTM A416"),L140,0),3)</f>
        <v/>
      </c>
      <c r="V140" s="16">
        <f>ROUND(V139+IF(AND(E140=22,F140&lt;&gt;"ASTM A416"),L140,0),3)</f>
        <v/>
      </c>
      <c r="W140" s="16">
        <f>ROUND(W139+IF(AND(E140=25,F140&lt;&gt;"ASTM A416"),L140,0),3)</f>
        <v/>
      </c>
      <c r="X140" s="16">
        <f>ROUND(X139+IF(AND(E140=28,F140&lt;&gt;"ASTM A416"),L140,0),3)</f>
        <v/>
      </c>
      <c r="Y140" s="16">
        <f>ROUND(Y139+IF(AND(E140=32,F140&lt;&gt;"ASTM A416"),L140,0),3)</f>
        <v/>
      </c>
      <c r="Z140" s="16">
        <f>ROUND(Z139+IF(F140="ASTM A416",L140,0),3)</f>
        <v/>
      </c>
      <c r="AA140" s="9">
        <f>IF(ROUNDUP(P140/20,0)&gt;ROUNDUP(P139/20,0),"Lần " &amp; ROUNDUP(P140/20,0),"")</f>
        <v/>
      </c>
      <c r="AB140" s="9">
        <f>IF(ROUNDUP(Q140/20,0)&gt;ROUNDUP(Q139/20,0),"Lần " &amp; ROUNDUP(Q140/20,0),"")</f>
        <v/>
      </c>
      <c r="AC140" s="9">
        <f>IF(ROUNDUP(R140/20,0)&gt;ROUNDUP(R139/20,0),"Lần " &amp; ROUNDUP(R140/20,0),"")</f>
        <v/>
      </c>
      <c r="AD140" s="9">
        <f>IF(ROUNDUP(S140/20,0)&gt;ROUNDUP(S139/20,0),"Lần " &amp; ROUNDUP(S140/20,0),"")</f>
        <v/>
      </c>
      <c r="AE140" s="9">
        <f>IF(ROUNDUP(T140/20,0)&gt;ROUNDUP(T139/20,0),"Lần " &amp; ROUNDUP(T140/20,0),"")</f>
        <v/>
      </c>
      <c r="AF140" s="9">
        <f>IF(ROUNDUP(U140/20,0)&gt;ROUNDUP(U139/20,0),"Lần " &amp; ROUNDUP(U140/20,0),"")</f>
        <v/>
      </c>
      <c r="AG140" s="9">
        <f>IF(ROUNDUP(V140/20,0)&gt;ROUNDUP(V139/20,0),"Lần " &amp; ROUNDUP(V140/20,0),"")</f>
        <v/>
      </c>
      <c r="AH140" s="9">
        <f>IF(ROUNDUP(W140/20,0)&gt;ROUNDUP(W139/20,0),"Lần " &amp; ROUNDUP(W140/20,0),"")</f>
        <v/>
      </c>
      <c r="AI140" s="9">
        <f>IF(ROUNDUP(X140/20,0)&gt;ROUNDUP(X139/20,0),"Lần " &amp; ROUNDUP(X140/20,0),"")</f>
        <v/>
      </c>
      <c r="AJ140" s="9">
        <f>IF(ROUNDUP(Y140/20,0)&gt;ROUNDUP(Y139/20,0),"Lần " &amp; ROUNDUP(Y140/20,0),"")</f>
        <v/>
      </c>
      <c r="AK140" s="9">
        <f>IF(ROUNDUP(Z140/20,0)&gt;ROUNDUP(Z139/20,0),"Lần " &amp; ROUNDUP(Z140/20,0),"")</f>
        <v/>
      </c>
      <c r="AL140" s="4" t="n"/>
      <c r="AN140" s="596" t="inlineStr">
        <is>
          <t>Coc</t>
        </is>
      </c>
      <c r="AO140" s="596" t="n">
        <v>12</v>
      </c>
      <c r="AQ140" s="594" t="n"/>
      <c r="AR140" s="595" t="n"/>
    </row>
    <row r="141" ht="19" customHeight="1" s="672">
      <c r="A141" s="4" t="n">
        <v>130</v>
      </c>
      <c r="B141" s="5" t="inlineStr">
        <is>
          <t>Cọc khoan nhồi C4 Trụ T1 (D1.2m, L=40.0m)</t>
        </is>
      </c>
      <c r="C141" s="5" t="inlineStr">
        <is>
          <t>Cọc trụ T1 L=40m (tr.68)</t>
        </is>
      </c>
      <c r="D141" s="14" t="inlineStr">
        <is>
          <t>P7</t>
        </is>
      </c>
      <c r="E141" s="15" t="n">
        <v>25</v>
      </c>
      <c r="F141" s="4" t="inlineStr">
        <is>
          <t>CB400-V</t>
        </is>
      </c>
      <c r="G141" s="5" t="inlineStr"/>
      <c r="H141" s="16" t="n">
        <v>10.033</v>
      </c>
      <c r="I141" s="17" t="n">
        <v>12</v>
      </c>
      <c r="J141" s="18" t="n">
        <v>3.853</v>
      </c>
      <c r="K141" s="7">
        <f>ROUND(H141*I141*J141, 2)</f>
        <v/>
      </c>
      <c r="L141" s="19">
        <f>ROUND(K141/1000, 3)</f>
        <v/>
      </c>
      <c r="M141" s="728">
        <f>IF(AO141="","",IF(N(INDEX(Theo_Doi_Tan_Suat_Be_Tong!$C:$C,AO141))&lt;=0,"",INDEX(Theo_Doi_Tan_Suat_Be_Tong!$C:$C,AO141)-VLOOKUP(AN141,$AQ$2:$AR$7,2,FALSE)))</f>
        <v/>
      </c>
      <c r="N141" s="4" t="n"/>
      <c r="O141" s="20">
        <f>IF(ROUNDUP(W141/20,0)&gt;ROUNDUP(W140/20,0),"TN Ø25 (Lần " &amp; ROUNDUP(W141/20,0) &amp; ")","")</f>
        <v/>
      </c>
      <c r="P141" s="16">
        <f>ROUND(P140+IF(AND(E141&lt;=10,F141&lt;&gt;"ASTM A416"),L141,0),3)</f>
        <v/>
      </c>
      <c r="Q141" s="16">
        <f>ROUND(Q140+IF(AND(E141=12,F141&lt;&gt;"ASTM A416"),L141,0),3)</f>
        <v/>
      </c>
      <c r="R141" s="16">
        <f>ROUND(R140+IF(AND(E141=14,F141&lt;&gt;"ASTM A416"),L141,0),3)</f>
        <v/>
      </c>
      <c r="S141" s="16">
        <f>ROUND(S140+IF(AND(E141=16,F141&lt;&gt;"ASTM A416"),L141,0),3)</f>
        <v/>
      </c>
      <c r="T141" s="16">
        <f>ROUND(T140+IF(AND(E141=18,F141&lt;&gt;"ASTM A416"),L141,0),3)</f>
        <v/>
      </c>
      <c r="U141" s="16">
        <f>ROUND(U140+IF(AND(E141=20,F141&lt;&gt;"ASTM A416"),L141,0),3)</f>
        <v/>
      </c>
      <c r="V141" s="16">
        <f>ROUND(V140+IF(AND(E141=22,F141&lt;&gt;"ASTM A416"),L141,0),3)</f>
        <v/>
      </c>
      <c r="W141" s="16">
        <f>ROUND(W140+IF(AND(E141=25,F141&lt;&gt;"ASTM A416"),L141,0),3)</f>
        <v/>
      </c>
      <c r="X141" s="16">
        <f>ROUND(X140+IF(AND(E141=28,F141&lt;&gt;"ASTM A416"),L141,0),3)</f>
        <v/>
      </c>
      <c r="Y141" s="16">
        <f>ROUND(Y140+IF(AND(E141=32,F141&lt;&gt;"ASTM A416"),L141,0),3)</f>
        <v/>
      </c>
      <c r="Z141" s="16">
        <f>ROUND(Z140+IF(F141="ASTM A416",L141,0),3)</f>
        <v/>
      </c>
      <c r="AA141" s="9">
        <f>IF(ROUNDUP(P141/20,0)&gt;ROUNDUP(P140/20,0),"Lần " &amp; ROUNDUP(P141/20,0),"")</f>
        <v/>
      </c>
      <c r="AB141" s="9">
        <f>IF(ROUNDUP(Q141/20,0)&gt;ROUNDUP(Q140/20,0),"Lần " &amp; ROUNDUP(Q141/20,0),"")</f>
        <v/>
      </c>
      <c r="AC141" s="9">
        <f>IF(ROUNDUP(R141/20,0)&gt;ROUNDUP(R140/20,0),"Lần " &amp; ROUNDUP(R141/20,0),"")</f>
        <v/>
      </c>
      <c r="AD141" s="9">
        <f>IF(ROUNDUP(S141/20,0)&gt;ROUNDUP(S140/20,0),"Lần " &amp; ROUNDUP(S141/20,0),"")</f>
        <v/>
      </c>
      <c r="AE141" s="9">
        <f>IF(ROUNDUP(T141/20,0)&gt;ROUNDUP(T140/20,0),"Lần " &amp; ROUNDUP(T141/20,0),"")</f>
        <v/>
      </c>
      <c r="AF141" s="9">
        <f>IF(ROUNDUP(U141/20,0)&gt;ROUNDUP(U140/20,0),"Lần " &amp; ROUNDUP(U141/20,0),"")</f>
        <v/>
      </c>
      <c r="AG141" s="9">
        <f>IF(ROUNDUP(V141/20,0)&gt;ROUNDUP(V140/20,0),"Lần " &amp; ROUNDUP(V141/20,0),"")</f>
        <v/>
      </c>
      <c r="AH141" s="9">
        <f>IF(ROUNDUP(W141/20,0)&gt;ROUNDUP(W140/20,0),"Lần " &amp; ROUNDUP(W141/20,0),"")</f>
        <v/>
      </c>
      <c r="AI141" s="9">
        <f>IF(ROUNDUP(X141/20,0)&gt;ROUNDUP(X140/20,0),"Lần " &amp; ROUNDUP(X141/20,0),"")</f>
        <v/>
      </c>
      <c r="AJ141" s="9">
        <f>IF(ROUNDUP(Y141/20,0)&gt;ROUNDUP(Y140/20,0),"Lần " &amp; ROUNDUP(Y141/20,0),"")</f>
        <v/>
      </c>
      <c r="AK141" s="9">
        <f>IF(ROUNDUP(Z141/20,0)&gt;ROUNDUP(Z140/20,0),"Lần " &amp; ROUNDUP(Z141/20,0),"")</f>
        <v/>
      </c>
      <c r="AL141" s="4" t="n"/>
      <c r="AN141" s="596" t="inlineStr">
        <is>
          <t>Coc</t>
        </is>
      </c>
      <c r="AO141" s="596" t="n">
        <v>12</v>
      </c>
      <c r="AQ141" s="594" t="n"/>
      <c r="AR141" s="595" t="n"/>
    </row>
    <row r="142" ht="19" customHeight="1" s="672">
      <c r="A142" s="4" t="n">
        <v>131</v>
      </c>
      <c r="B142" s="5" t="inlineStr">
        <is>
          <t>Cọc khoan nhồi C4 Trụ T1 (D1.2m, L=40.0m)</t>
        </is>
      </c>
      <c r="C142" s="5" t="inlineStr">
        <is>
          <t>Cọc trụ T1 L=40m (tr.68)</t>
        </is>
      </c>
      <c r="D142" s="14" t="inlineStr">
        <is>
          <t>P8</t>
        </is>
      </c>
      <c r="E142" s="15" t="n">
        <v>12</v>
      </c>
      <c r="F142" s="4" t="inlineStr">
        <is>
          <t>CB400-V</t>
        </is>
      </c>
      <c r="G142" s="5" t="inlineStr"/>
      <c r="H142" s="16" t="n">
        <v>0.647</v>
      </c>
      <c r="I142" s="17" t="n">
        <v>16</v>
      </c>
      <c r="J142" s="18" t="n">
        <v>0.888</v>
      </c>
      <c r="K142" s="7">
        <f>ROUND(H142*I142*J142, 2)</f>
        <v/>
      </c>
      <c r="L142" s="19">
        <f>ROUND(K142/1000, 3)</f>
        <v/>
      </c>
      <c r="M142" s="728">
        <f>IF(AO142="","",IF(N(INDEX(Theo_Doi_Tan_Suat_Be_Tong!$C:$C,AO142))&lt;=0,"",INDEX(Theo_Doi_Tan_Suat_Be_Tong!$C:$C,AO142)-VLOOKUP(AN142,$AQ$2:$AR$7,2,FALSE)))</f>
        <v/>
      </c>
      <c r="N142" s="4" t="n"/>
      <c r="O142" s="20">
        <f>IF(ROUNDUP(Q142/20,0)&gt;ROUNDUP(Q141/20,0),"TN Ø12 (Lần " &amp; ROUNDUP(Q142/20,0) &amp; ")","")</f>
        <v/>
      </c>
      <c r="P142" s="16">
        <f>ROUND(P141+IF(AND(E142&lt;=10,F142&lt;&gt;"ASTM A416"),L142,0),3)</f>
        <v/>
      </c>
      <c r="Q142" s="16">
        <f>ROUND(Q141+IF(AND(E142=12,F142&lt;&gt;"ASTM A416"),L142,0),3)</f>
        <v/>
      </c>
      <c r="R142" s="16">
        <f>ROUND(R141+IF(AND(E142=14,F142&lt;&gt;"ASTM A416"),L142,0),3)</f>
        <v/>
      </c>
      <c r="S142" s="16">
        <f>ROUND(S141+IF(AND(E142=16,F142&lt;&gt;"ASTM A416"),L142,0),3)</f>
        <v/>
      </c>
      <c r="T142" s="16">
        <f>ROUND(T141+IF(AND(E142=18,F142&lt;&gt;"ASTM A416"),L142,0),3)</f>
        <v/>
      </c>
      <c r="U142" s="16">
        <f>ROUND(U141+IF(AND(E142=20,F142&lt;&gt;"ASTM A416"),L142,0),3)</f>
        <v/>
      </c>
      <c r="V142" s="16">
        <f>ROUND(V141+IF(AND(E142=22,F142&lt;&gt;"ASTM A416"),L142,0),3)</f>
        <v/>
      </c>
      <c r="W142" s="16">
        <f>ROUND(W141+IF(AND(E142=25,F142&lt;&gt;"ASTM A416"),L142,0),3)</f>
        <v/>
      </c>
      <c r="X142" s="16">
        <f>ROUND(X141+IF(AND(E142=28,F142&lt;&gt;"ASTM A416"),L142,0),3)</f>
        <v/>
      </c>
      <c r="Y142" s="16">
        <f>ROUND(Y141+IF(AND(E142=32,F142&lt;&gt;"ASTM A416"),L142,0),3)</f>
        <v/>
      </c>
      <c r="Z142" s="16">
        <f>ROUND(Z141+IF(F142="ASTM A416",L142,0),3)</f>
        <v/>
      </c>
      <c r="AA142" s="9">
        <f>IF(ROUNDUP(P142/20,0)&gt;ROUNDUP(P141/20,0),"Lần " &amp; ROUNDUP(P142/20,0),"")</f>
        <v/>
      </c>
      <c r="AB142" s="9">
        <f>IF(ROUNDUP(Q142/20,0)&gt;ROUNDUP(Q141/20,0),"Lần " &amp; ROUNDUP(Q142/20,0),"")</f>
        <v/>
      </c>
      <c r="AC142" s="9">
        <f>IF(ROUNDUP(R142/20,0)&gt;ROUNDUP(R141/20,0),"Lần " &amp; ROUNDUP(R142/20,0),"")</f>
        <v/>
      </c>
      <c r="AD142" s="9">
        <f>IF(ROUNDUP(S142/20,0)&gt;ROUNDUP(S141/20,0),"Lần " &amp; ROUNDUP(S142/20,0),"")</f>
        <v/>
      </c>
      <c r="AE142" s="9">
        <f>IF(ROUNDUP(T142/20,0)&gt;ROUNDUP(T141/20,0),"Lần " &amp; ROUNDUP(T142/20,0),"")</f>
        <v/>
      </c>
      <c r="AF142" s="9">
        <f>IF(ROUNDUP(U142/20,0)&gt;ROUNDUP(U141/20,0),"Lần " &amp; ROUNDUP(U142/20,0),"")</f>
        <v/>
      </c>
      <c r="AG142" s="9">
        <f>IF(ROUNDUP(V142/20,0)&gt;ROUNDUP(V141/20,0),"Lần " &amp; ROUNDUP(V142/20,0),"")</f>
        <v/>
      </c>
      <c r="AH142" s="9">
        <f>IF(ROUNDUP(W142/20,0)&gt;ROUNDUP(W141/20,0),"Lần " &amp; ROUNDUP(W142/20,0),"")</f>
        <v/>
      </c>
      <c r="AI142" s="9">
        <f>IF(ROUNDUP(X142/20,0)&gt;ROUNDUP(X141/20,0),"Lần " &amp; ROUNDUP(X142/20,0),"")</f>
        <v/>
      </c>
      <c r="AJ142" s="9">
        <f>IF(ROUNDUP(Y142/20,0)&gt;ROUNDUP(Y141/20,0),"Lần " &amp; ROUNDUP(Y142/20,0),"")</f>
        <v/>
      </c>
      <c r="AK142" s="9">
        <f>IF(ROUNDUP(Z142/20,0)&gt;ROUNDUP(Z141/20,0),"Lần " &amp; ROUNDUP(Z142/20,0),"")</f>
        <v/>
      </c>
      <c r="AL142" s="4" t="n"/>
      <c r="AN142" s="596" t="inlineStr">
        <is>
          <t>Coc</t>
        </is>
      </c>
      <c r="AO142" s="596" t="n">
        <v>12</v>
      </c>
      <c r="AQ142" s="594" t="n"/>
      <c r="AR142" s="595" t="n"/>
    </row>
    <row r="143" ht="19" customHeight="1" s="672">
      <c r="A143" s="4" t="n">
        <v>132</v>
      </c>
      <c r="B143" s="5" t="inlineStr">
        <is>
          <t>Cọc khoan nhồi C4 Trụ T1 (D1.2m, L=40.0m)</t>
        </is>
      </c>
      <c r="C143" s="5" t="inlineStr">
        <is>
          <t>Cọc trụ T1 L=40m (tr.68)</t>
        </is>
      </c>
      <c r="D143" s="14" t="inlineStr">
        <is>
          <t>P9</t>
        </is>
      </c>
      <c r="E143" s="15" t="n">
        <v>12</v>
      </c>
      <c r="F143" s="4" t="inlineStr">
        <is>
          <t>CB400-V</t>
        </is>
      </c>
      <c r="G143" s="5" t="inlineStr"/>
      <c r="H143" s="16" t="n">
        <v>0.379</v>
      </c>
      <c r="I143" s="17" t="n">
        <v>48</v>
      </c>
      <c r="J143" s="18" t="n">
        <v>0.888</v>
      </c>
      <c r="K143" s="7">
        <f>ROUND(H143*I143*J143, 2)</f>
        <v/>
      </c>
      <c r="L143" s="19">
        <f>ROUND(K143/1000, 3)</f>
        <v/>
      </c>
      <c r="M143" s="728">
        <f>IF(AO143="","",IF(N(INDEX(Theo_Doi_Tan_Suat_Be_Tong!$C:$C,AO143))&lt;=0,"",INDEX(Theo_Doi_Tan_Suat_Be_Tong!$C:$C,AO143)-VLOOKUP(AN143,$AQ$2:$AR$7,2,FALSE)))</f>
        <v/>
      </c>
      <c r="N143" s="4" t="n"/>
      <c r="O143" s="20">
        <f>IF(ROUNDUP(Q143/20,0)&gt;ROUNDUP(Q142/20,0),"TN Ø12 (Lần " &amp; ROUNDUP(Q143/20,0) &amp; ")","")</f>
        <v/>
      </c>
      <c r="P143" s="16">
        <f>ROUND(P142+IF(AND(E143&lt;=10,F143&lt;&gt;"ASTM A416"),L143,0),3)</f>
        <v/>
      </c>
      <c r="Q143" s="16">
        <f>ROUND(Q142+IF(AND(E143=12,F143&lt;&gt;"ASTM A416"),L143,0),3)</f>
        <v/>
      </c>
      <c r="R143" s="16">
        <f>ROUND(R142+IF(AND(E143=14,F143&lt;&gt;"ASTM A416"),L143,0),3)</f>
        <v/>
      </c>
      <c r="S143" s="16">
        <f>ROUND(S142+IF(AND(E143=16,F143&lt;&gt;"ASTM A416"),L143,0),3)</f>
        <v/>
      </c>
      <c r="T143" s="16">
        <f>ROUND(T142+IF(AND(E143=18,F143&lt;&gt;"ASTM A416"),L143,0),3)</f>
        <v/>
      </c>
      <c r="U143" s="16">
        <f>ROUND(U142+IF(AND(E143=20,F143&lt;&gt;"ASTM A416"),L143,0),3)</f>
        <v/>
      </c>
      <c r="V143" s="16">
        <f>ROUND(V142+IF(AND(E143=22,F143&lt;&gt;"ASTM A416"),L143,0),3)</f>
        <v/>
      </c>
      <c r="W143" s="16">
        <f>ROUND(W142+IF(AND(E143=25,F143&lt;&gt;"ASTM A416"),L143,0),3)</f>
        <v/>
      </c>
      <c r="X143" s="16">
        <f>ROUND(X142+IF(AND(E143=28,F143&lt;&gt;"ASTM A416"),L143,0),3)</f>
        <v/>
      </c>
      <c r="Y143" s="16">
        <f>ROUND(Y142+IF(AND(E143=32,F143&lt;&gt;"ASTM A416"),L143,0),3)</f>
        <v/>
      </c>
      <c r="Z143" s="16">
        <f>ROUND(Z142+IF(F143="ASTM A416",L143,0),3)</f>
        <v/>
      </c>
      <c r="AA143" s="9">
        <f>IF(ROUNDUP(P143/20,0)&gt;ROUNDUP(P142/20,0),"Lần " &amp; ROUNDUP(P143/20,0),"")</f>
        <v/>
      </c>
      <c r="AB143" s="9">
        <f>IF(ROUNDUP(Q143/20,0)&gt;ROUNDUP(Q142/20,0),"Lần " &amp; ROUNDUP(Q143/20,0),"")</f>
        <v/>
      </c>
      <c r="AC143" s="9">
        <f>IF(ROUNDUP(R143/20,0)&gt;ROUNDUP(R142/20,0),"Lần " &amp; ROUNDUP(R143/20,0),"")</f>
        <v/>
      </c>
      <c r="AD143" s="9">
        <f>IF(ROUNDUP(S143/20,0)&gt;ROUNDUP(S142/20,0),"Lần " &amp; ROUNDUP(S143/20,0),"")</f>
        <v/>
      </c>
      <c r="AE143" s="9">
        <f>IF(ROUNDUP(T143/20,0)&gt;ROUNDUP(T142/20,0),"Lần " &amp; ROUNDUP(T143/20,0),"")</f>
        <v/>
      </c>
      <c r="AF143" s="9">
        <f>IF(ROUNDUP(U143/20,0)&gt;ROUNDUP(U142/20,0),"Lần " &amp; ROUNDUP(U143/20,0),"")</f>
        <v/>
      </c>
      <c r="AG143" s="9">
        <f>IF(ROUNDUP(V143/20,0)&gt;ROUNDUP(V142/20,0),"Lần " &amp; ROUNDUP(V143/20,0),"")</f>
        <v/>
      </c>
      <c r="AH143" s="9">
        <f>IF(ROUNDUP(W143/20,0)&gt;ROUNDUP(W142/20,0),"Lần " &amp; ROUNDUP(W143/20,0),"")</f>
        <v/>
      </c>
      <c r="AI143" s="9">
        <f>IF(ROUNDUP(X143/20,0)&gt;ROUNDUP(X142/20,0),"Lần " &amp; ROUNDUP(X143/20,0),"")</f>
        <v/>
      </c>
      <c r="AJ143" s="9">
        <f>IF(ROUNDUP(Y143/20,0)&gt;ROUNDUP(Y142/20,0),"Lần " &amp; ROUNDUP(Y143/20,0),"")</f>
        <v/>
      </c>
      <c r="AK143" s="9">
        <f>IF(ROUNDUP(Z143/20,0)&gt;ROUNDUP(Z142/20,0),"Lần " &amp; ROUNDUP(Z143/20,0),"")</f>
        <v/>
      </c>
      <c r="AL143" s="4" t="n"/>
      <c r="AN143" s="596" t="inlineStr">
        <is>
          <t>Coc</t>
        </is>
      </c>
      <c r="AO143" s="596" t="n">
        <v>12</v>
      </c>
      <c r="AQ143" s="594" t="n"/>
      <c r="AR143" s="595" t="n"/>
    </row>
    <row r="144" ht="19" customHeight="1" s="672">
      <c r="A144" s="4" t="n">
        <v>133</v>
      </c>
      <c r="B144" s="5" t="inlineStr">
        <is>
          <t>Cọc khoan nhồi C4 Trụ T1 (D1.2m, L=40.0m)</t>
        </is>
      </c>
      <c r="C144" s="5" t="inlineStr">
        <is>
          <t>Cọc trụ T1 L=40m (tr.68)</t>
        </is>
      </c>
      <c r="D144" s="14" t="inlineStr">
        <is>
          <t>P10</t>
        </is>
      </c>
      <c r="E144" s="15" t="n">
        <v>20</v>
      </c>
      <c r="F144" s="4" t="inlineStr">
        <is>
          <t>CB400-V</t>
        </is>
      </c>
      <c r="G144" s="5" t="inlineStr"/>
      <c r="H144" s="16" t="n">
        <v>2.057</v>
      </c>
      <c r="I144" s="17" t="n">
        <v>1</v>
      </c>
      <c r="J144" s="18" t="n">
        <v>2.466</v>
      </c>
      <c r="K144" s="7">
        <f>ROUND(H144*I144*J144, 2)</f>
        <v/>
      </c>
      <c r="L144" s="19">
        <f>ROUND(K144/1000, 3)</f>
        <v/>
      </c>
      <c r="M144" s="728">
        <f>IF(AO144="","",IF(N(INDEX(Theo_Doi_Tan_Suat_Be_Tong!$C:$C,AO144))&lt;=0,"",INDEX(Theo_Doi_Tan_Suat_Be_Tong!$C:$C,AO144)-VLOOKUP(AN144,$AQ$2:$AR$7,2,FALSE)))</f>
        <v/>
      </c>
      <c r="N144" s="4" t="n"/>
      <c r="O144" s="20">
        <f>IF(ROUNDUP(U144/20,0)&gt;ROUNDUP(U143/20,0),"TN Ø20 (Lần " &amp; ROUNDUP(U144/20,0) &amp; ")","")</f>
        <v/>
      </c>
      <c r="P144" s="16">
        <f>ROUND(P143+IF(AND(E144&lt;=10,F144&lt;&gt;"ASTM A416"),L144,0),3)</f>
        <v/>
      </c>
      <c r="Q144" s="16">
        <f>ROUND(Q143+IF(AND(E144=12,F144&lt;&gt;"ASTM A416"),L144,0),3)</f>
        <v/>
      </c>
      <c r="R144" s="16">
        <f>ROUND(R143+IF(AND(E144=14,F144&lt;&gt;"ASTM A416"),L144,0),3)</f>
        <v/>
      </c>
      <c r="S144" s="16">
        <f>ROUND(S143+IF(AND(E144=16,F144&lt;&gt;"ASTM A416"),L144,0),3)</f>
        <v/>
      </c>
      <c r="T144" s="16">
        <f>ROUND(T143+IF(AND(E144=18,F144&lt;&gt;"ASTM A416"),L144,0),3)</f>
        <v/>
      </c>
      <c r="U144" s="16">
        <f>ROUND(U143+IF(AND(E144=20,F144&lt;&gt;"ASTM A416"),L144,0),3)</f>
        <v/>
      </c>
      <c r="V144" s="16">
        <f>ROUND(V143+IF(AND(E144=22,F144&lt;&gt;"ASTM A416"),L144,0),3)</f>
        <v/>
      </c>
      <c r="W144" s="16">
        <f>ROUND(W143+IF(AND(E144=25,F144&lt;&gt;"ASTM A416"),L144,0),3)</f>
        <v/>
      </c>
      <c r="X144" s="16">
        <f>ROUND(X143+IF(AND(E144=28,F144&lt;&gt;"ASTM A416"),L144,0),3)</f>
        <v/>
      </c>
      <c r="Y144" s="16">
        <f>ROUND(Y143+IF(AND(E144=32,F144&lt;&gt;"ASTM A416"),L144,0),3)</f>
        <v/>
      </c>
      <c r="Z144" s="16">
        <f>ROUND(Z143+IF(F144="ASTM A416",L144,0),3)</f>
        <v/>
      </c>
      <c r="AA144" s="9">
        <f>IF(ROUNDUP(P144/20,0)&gt;ROUNDUP(P143/20,0),"Lần " &amp; ROUNDUP(P144/20,0),"")</f>
        <v/>
      </c>
      <c r="AB144" s="9">
        <f>IF(ROUNDUP(Q144/20,0)&gt;ROUNDUP(Q143/20,0),"Lần " &amp; ROUNDUP(Q144/20,0),"")</f>
        <v/>
      </c>
      <c r="AC144" s="9">
        <f>IF(ROUNDUP(R144/20,0)&gt;ROUNDUP(R143/20,0),"Lần " &amp; ROUNDUP(R144/20,0),"")</f>
        <v/>
      </c>
      <c r="AD144" s="9">
        <f>IF(ROUNDUP(S144/20,0)&gt;ROUNDUP(S143/20,0),"Lần " &amp; ROUNDUP(S144/20,0),"")</f>
        <v/>
      </c>
      <c r="AE144" s="9">
        <f>IF(ROUNDUP(T144/20,0)&gt;ROUNDUP(T143/20,0),"Lần " &amp; ROUNDUP(T144/20,0),"")</f>
        <v/>
      </c>
      <c r="AF144" s="9">
        <f>IF(ROUNDUP(U144/20,0)&gt;ROUNDUP(U143/20,0),"Lần " &amp; ROUNDUP(U144/20,0),"")</f>
        <v/>
      </c>
      <c r="AG144" s="9">
        <f>IF(ROUNDUP(V144/20,0)&gt;ROUNDUP(V143/20,0),"Lần " &amp; ROUNDUP(V144/20,0),"")</f>
        <v/>
      </c>
      <c r="AH144" s="9">
        <f>IF(ROUNDUP(W144/20,0)&gt;ROUNDUP(W143/20,0),"Lần " &amp; ROUNDUP(W144/20,0),"")</f>
        <v/>
      </c>
      <c r="AI144" s="9">
        <f>IF(ROUNDUP(X144/20,0)&gt;ROUNDUP(X143/20,0),"Lần " &amp; ROUNDUP(X144/20,0),"")</f>
        <v/>
      </c>
      <c r="AJ144" s="9">
        <f>IF(ROUNDUP(Y144/20,0)&gt;ROUNDUP(Y143/20,0),"Lần " &amp; ROUNDUP(Y144/20,0),"")</f>
        <v/>
      </c>
      <c r="AK144" s="9">
        <f>IF(ROUNDUP(Z144/20,0)&gt;ROUNDUP(Z143/20,0),"Lần " &amp; ROUNDUP(Z144/20,0),"")</f>
        <v/>
      </c>
      <c r="AL144" s="4" t="n"/>
      <c r="AN144" s="596" t="inlineStr">
        <is>
          <t>Coc</t>
        </is>
      </c>
      <c r="AO144" s="596" t="n">
        <v>12</v>
      </c>
      <c r="AQ144" s="594" t="n"/>
      <c r="AR144" s="595" t="n"/>
    </row>
    <row r="145" ht="20" customHeight="1" s="672">
      <c r="A145" s="4" t="n">
        <v>134</v>
      </c>
      <c r="B145" s="5" t="inlineStr">
        <is>
          <t>Cọc khoan nhồi C4 Trụ T1 (D1.2m, L=40.0m)</t>
        </is>
      </c>
      <c r="C145" s="5" t="inlineStr">
        <is>
          <t>Cọc trụ T1 L=40m (tr.68)</t>
        </is>
      </c>
      <c r="D145" s="14" t="inlineStr">
        <is>
          <t>P12</t>
        </is>
      </c>
      <c r="E145" s="15" t="n">
        <v>20</v>
      </c>
      <c r="F145" s="4" t="inlineStr">
        <is>
          <t>CB400-V</t>
        </is>
      </c>
      <c r="G145" s="5" t="inlineStr"/>
      <c r="H145" s="16" t="n">
        <v>0.583</v>
      </c>
      <c r="I145" s="17" t="n">
        <v>64</v>
      </c>
      <c r="J145" s="18" t="n">
        <v>2.466</v>
      </c>
      <c r="K145" s="7">
        <f>ROUND(H145*I145*J145, 2)</f>
        <v/>
      </c>
      <c r="L145" s="19">
        <f>ROUND(K145/1000, 3)</f>
        <v/>
      </c>
      <c r="M145" s="728">
        <f>IF(AO145="","",IF(N(INDEX(Theo_Doi_Tan_Suat_Be_Tong!$C:$C,AO145))&lt;=0,"",INDEX(Theo_Doi_Tan_Suat_Be_Tong!$C:$C,AO145)-VLOOKUP(AN145,$AQ$2:$AR$7,2,FALSE)))</f>
        <v/>
      </c>
      <c r="N145" s="4" t="n"/>
      <c r="O145" s="20">
        <f>IF(ROUNDUP(U145/20,0)&gt;ROUNDUP(U144/20,0),"TN Ø20 (Lần " &amp; ROUNDUP(U145/20,0) &amp; ")","")</f>
        <v/>
      </c>
      <c r="P145" s="16">
        <f>ROUND(P144+IF(AND(E145&lt;=10,F145&lt;&gt;"ASTM A416"),L145,0),3)</f>
        <v/>
      </c>
      <c r="Q145" s="16">
        <f>ROUND(Q144+IF(AND(E145=12,F145&lt;&gt;"ASTM A416"),L145,0),3)</f>
        <v/>
      </c>
      <c r="R145" s="16">
        <f>ROUND(R144+IF(AND(E145=14,F145&lt;&gt;"ASTM A416"),L145,0),3)</f>
        <v/>
      </c>
      <c r="S145" s="16">
        <f>ROUND(S144+IF(AND(E145=16,F145&lt;&gt;"ASTM A416"),L145,0),3)</f>
        <v/>
      </c>
      <c r="T145" s="16">
        <f>ROUND(T144+IF(AND(E145=18,F145&lt;&gt;"ASTM A416"),L145,0),3)</f>
        <v/>
      </c>
      <c r="U145" s="16">
        <f>ROUND(U144+IF(AND(E145=20,F145&lt;&gt;"ASTM A416"),L145,0),3)</f>
        <v/>
      </c>
      <c r="V145" s="16">
        <f>ROUND(V144+IF(AND(E145=22,F145&lt;&gt;"ASTM A416"),L145,0),3)</f>
        <v/>
      </c>
      <c r="W145" s="16">
        <f>ROUND(W144+IF(AND(E145=25,F145&lt;&gt;"ASTM A416"),L145,0),3)</f>
        <v/>
      </c>
      <c r="X145" s="16">
        <f>ROUND(X144+IF(AND(E145=28,F145&lt;&gt;"ASTM A416"),L145,0),3)</f>
        <v/>
      </c>
      <c r="Y145" s="16">
        <f>ROUND(Y144+IF(AND(E145=32,F145&lt;&gt;"ASTM A416"),L145,0),3)</f>
        <v/>
      </c>
      <c r="Z145" s="16">
        <f>ROUND(Z144+IF(F145="ASTM A416",L145,0),3)</f>
        <v/>
      </c>
      <c r="AA145" s="9">
        <f>IF(ROUNDUP(P145/20,0)&gt;ROUNDUP(P144/20,0),"Lần " &amp; ROUNDUP(P145/20,0),"")</f>
        <v/>
      </c>
      <c r="AB145" s="9">
        <f>IF(ROUNDUP(Q145/20,0)&gt;ROUNDUP(Q144/20,0),"Lần " &amp; ROUNDUP(Q145/20,0),"")</f>
        <v/>
      </c>
      <c r="AC145" s="9">
        <f>IF(ROUNDUP(R145/20,0)&gt;ROUNDUP(R144/20,0),"Lần " &amp; ROUNDUP(R145/20,0),"")</f>
        <v/>
      </c>
      <c r="AD145" s="9">
        <f>IF(ROUNDUP(S145/20,0)&gt;ROUNDUP(S144/20,0),"Lần " &amp; ROUNDUP(S145/20,0),"")</f>
        <v/>
      </c>
      <c r="AE145" s="9">
        <f>IF(ROUNDUP(T145/20,0)&gt;ROUNDUP(T144/20,0),"Lần " &amp; ROUNDUP(T145/20,0),"")</f>
        <v/>
      </c>
      <c r="AF145" s="9">
        <f>IF(ROUNDUP(U145/20,0)&gt;ROUNDUP(U144/20,0),"Lần " &amp; ROUNDUP(U145/20,0),"")</f>
        <v/>
      </c>
      <c r="AG145" s="9">
        <f>IF(ROUNDUP(V145/20,0)&gt;ROUNDUP(V144/20,0),"Lần " &amp; ROUNDUP(V145/20,0),"")</f>
        <v/>
      </c>
      <c r="AH145" s="9">
        <f>IF(ROUNDUP(W145/20,0)&gt;ROUNDUP(W144/20,0),"Lần " &amp; ROUNDUP(W145/20,0),"")</f>
        <v/>
      </c>
      <c r="AI145" s="9">
        <f>IF(ROUNDUP(X145/20,0)&gt;ROUNDUP(X144/20,0),"Lần " &amp; ROUNDUP(X145/20,0),"")</f>
        <v/>
      </c>
      <c r="AJ145" s="9">
        <f>IF(ROUNDUP(Y145/20,0)&gt;ROUNDUP(Y144/20,0),"Lần " &amp; ROUNDUP(Y145/20,0),"")</f>
        <v/>
      </c>
      <c r="AK145" s="9">
        <f>IF(ROUNDUP(Z145/20,0)&gt;ROUNDUP(Z144/20,0),"Lần " &amp; ROUNDUP(Z145/20,0),"")</f>
        <v/>
      </c>
      <c r="AL145" s="4" t="n"/>
      <c r="AN145" s="596" t="inlineStr">
        <is>
          <t>Coc</t>
        </is>
      </c>
      <c r="AO145" s="596" t="n">
        <v>12</v>
      </c>
      <c r="AQ145" s="594" t="n"/>
      <c r="AR145" s="595" t="n"/>
    </row>
    <row r="146" ht="19" customHeight="1" s="672">
      <c r="A146" s="4" t="n">
        <v>135</v>
      </c>
      <c r="B146" s="5" t="inlineStr">
        <is>
          <t>Cọc khoan nhồi C4 Trụ T1 (D1.2m, L=40.0m)</t>
        </is>
      </c>
      <c r="C146" s="5" t="inlineStr">
        <is>
          <t>Cọc trụ T1 L=40m (tr.68)</t>
        </is>
      </c>
      <c r="D146" s="14" t="inlineStr">
        <is>
          <t>P11</t>
        </is>
      </c>
      <c r="E146" s="15" t="n">
        <v>16</v>
      </c>
      <c r="F146" s="4" t="inlineStr">
        <is>
          <t>CB400-V</t>
        </is>
      </c>
      <c r="G146" s="5" t="inlineStr"/>
      <c r="H146" s="16" t="n">
        <v>2.604</v>
      </c>
      <c r="I146" s="17" t="n">
        <v>4</v>
      </c>
      <c r="J146" s="18" t="n">
        <v>1.578</v>
      </c>
      <c r="K146" s="7">
        <f>ROUND(H146*I146*J146, 2)</f>
        <v/>
      </c>
      <c r="L146" s="19">
        <f>ROUND(K146/1000, 3)</f>
        <v/>
      </c>
      <c r="M146" s="728">
        <f>IF(AO146="","",IF(N(INDEX(Theo_Doi_Tan_Suat_Be_Tong!$C:$C,AO146))&lt;=0,"",INDEX(Theo_Doi_Tan_Suat_Be_Tong!$C:$C,AO146)-VLOOKUP(AN146,$AQ$2:$AR$7,2,FALSE)))</f>
        <v/>
      </c>
      <c r="N146" s="4" t="n"/>
      <c r="O146" s="20">
        <f>IF(ROUNDUP(S146/20,0)&gt;ROUNDUP(S145/20,0),"TN Ø16 (Lần " &amp; ROUNDUP(S146/20,0) &amp; ")","")</f>
        <v/>
      </c>
      <c r="P146" s="16">
        <f>ROUND(P145+IF(AND(E146&lt;=10,F146&lt;&gt;"ASTM A416"),L146,0),3)</f>
        <v/>
      </c>
      <c r="Q146" s="16">
        <f>ROUND(Q145+IF(AND(E146=12,F146&lt;&gt;"ASTM A416"),L146,0),3)</f>
        <v/>
      </c>
      <c r="R146" s="16">
        <f>ROUND(R145+IF(AND(E146=14,F146&lt;&gt;"ASTM A416"),L146,0),3)</f>
        <v/>
      </c>
      <c r="S146" s="16">
        <f>ROUND(S145+IF(AND(E146=16,F146&lt;&gt;"ASTM A416"),L146,0),3)</f>
        <v/>
      </c>
      <c r="T146" s="16">
        <f>ROUND(T145+IF(AND(E146=18,F146&lt;&gt;"ASTM A416"),L146,0),3)</f>
        <v/>
      </c>
      <c r="U146" s="16">
        <f>ROUND(U145+IF(AND(E146=20,F146&lt;&gt;"ASTM A416"),L146,0),3)</f>
        <v/>
      </c>
      <c r="V146" s="16">
        <f>ROUND(V145+IF(AND(E146=22,F146&lt;&gt;"ASTM A416"),L146,0),3)</f>
        <v/>
      </c>
      <c r="W146" s="16">
        <f>ROUND(W145+IF(AND(E146=25,F146&lt;&gt;"ASTM A416"),L146,0),3)</f>
        <v/>
      </c>
      <c r="X146" s="16">
        <f>ROUND(X145+IF(AND(E146=28,F146&lt;&gt;"ASTM A416"),L146,0),3)</f>
        <v/>
      </c>
      <c r="Y146" s="16">
        <f>ROUND(Y145+IF(AND(E146=32,F146&lt;&gt;"ASTM A416"),L146,0),3)</f>
        <v/>
      </c>
      <c r="Z146" s="16">
        <f>ROUND(Z145+IF(F146="ASTM A416",L146,0),3)</f>
        <v/>
      </c>
      <c r="AA146" s="9">
        <f>IF(ROUNDUP(P146/20,0)&gt;ROUNDUP(P145/20,0),"Lần " &amp; ROUNDUP(P146/20,0),"")</f>
        <v/>
      </c>
      <c r="AB146" s="9">
        <f>IF(ROUNDUP(Q146/20,0)&gt;ROUNDUP(Q145/20,0),"Lần " &amp; ROUNDUP(Q146/20,0),"")</f>
        <v/>
      </c>
      <c r="AC146" s="9">
        <f>IF(ROUNDUP(R146/20,0)&gt;ROUNDUP(R145/20,0),"Lần " &amp; ROUNDUP(R146/20,0),"")</f>
        <v/>
      </c>
      <c r="AD146" s="9">
        <f>IF(ROUNDUP(S146/20,0)&gt;ROUNDUP(S145/20,0),"Lần " &amp; ROUNDUP(S146/20,0),"")</f>
        <v/>
      </c>
      <c r="AE146" s="9">
        <f>IF(ROUNDUP(T146/20,0)&gt;ROUNDUP(T145/20,0),"Lần " &amp; ROUNDUP(T146/20,0),"")</f>
        <v/>
      </c>
      <c r="AF146" s="9">
        <f>IF(ROUNDUP(U146/20,0)&gt;ROUNDUP(U145/20,0),"Lần " &amp; ROUNDUP(U146/20,0),"")</f>
        <v/>
      </c>
      <c r="AG146" s="9">
        <f>IF(ROUNDUP(V146/20,0)&gt;ROUNDUP(V145/20,0),"Lần " &amp; ROUNDUP(V146/20,0),"")</f>
        <v/>
      </c>
      <c r="AH146" s="9">
        <f>IF(ROUNDUP(W146/20,0)&gt;ROUNDUP(W145/20,0),"Lần " &amp; ROUNDUP(W146/20,0),"")</f>
        <v/>
      </c>
      <c r="AI146" s="9">
        <f>IF(ROUNDUP(X146/20,0)&gt;ROUNDUP(X145/20,0),"Lần " &amp; ROUNDUP(X146/20,0),"")</f>
        <v/>
      </c>
      <c r="AJ146" s="9">
        <f>IF(ROUNDUP(Y146/20,0)&gt;ROUNDUP(Y145/20,0),"Lần " &amp; ROUNDUP(Y146/20,0),"")</f>
        <v/>
      </c>
      <c r="AK146" s="9">
        <f>IF(ROUNDUP(Z146/20,0)&gt;ROUNDUP(Z145/20,0),"Lần " &amp; ROUNDUP(Z146/20,0),"")</f>
        <v/>
      </c>
      <c r="AL146" s="4" t="n"/>
      <c r="AN146" s="596" t="inlineStr">
        <is>
          <t>Coc</t>
        </is>
      </c>
      <c r="AO146" s="596" t="n">
        <v>12</v>
      </c>
      <c r="AQ146" s="594" t="n"/>
      <c r="AR146" s="595" t="n"/>
    </row>
    <row r="147" ht="19" customHeight="1" s="672">
      <c r="A147" s="668" t="inlineStr">
        <is>
          <t>--- CỌC KHOAN NHỒI C4 TRỤ T2 (D1.2M, L=30.0M) ---</t>
        </is>
      </c>
      <c r="B147" s="722" t="n"/>
      <c r="C147" s="722" t="n"/>
      <c r="D147" s="722" t="n"/>
      <c r="E147" s="722" t="n"/>
      <c r="F147" s="722" t="n"/>
      <c r="G147" s="722" t="n"/>
      <c r="H147" s="722" t="n"/>
      <c r="I147" s="722" t="n"/>
      <c r="J147" s="722" t="n"/>
      <c r="K147" s="722" t="n"/>
      <c r="L147" s="722" t="n"/>
      <c r="M147" s="722" t="n"/>
      <c r="N147" s="722" t="n"/>
      <c r="O147" s="722" t="n"/>
      <c r="P147" s="722" t="n"/>
      <c r="Q147" s="722" t="n"/>
      <c r="R147" s="722" t="n"/>
      <c r="S147" s="722" t="n"/>
      <c r="T147" s="722" t="n"/>
      <c r="U147" s="722" t="n"/>
      <c r="V147" s="722" t="n"/>
      <c r="W147" s="722" t="n"/>
      <c r="X147" s="722" t="n"/>
      <c r="Y147" s="722" t="n"/>
      <c r="Z147" s="722" t="n"/>
      <c r="AA147" s="722" t="n"/>
      <c r="AB147" s="722" t="n"/>
      <c r="AC147" s="722" t="n"/>
      <c r="AD147" s="722" t="n"/>
      <c r="AE147" s="722" t="n"/>
      <c r="AF147" s="722" t="n"/>
      <c r="AG147" s="722" t="n"/>
      <c r="AH147" s="722" t="n"/>
      <c r="AI147" s="722" t="n"/>
      <c r="AJ147" s="722" t="n"/>
      <c r="AK147" s="722" t="n"/>
      <c r="AL147" s="721" t="n"/>
      <c r="AQ147" s="594" t="n"/>
      <c r="AR147" s="595" t="n"/>
    </row>
    <row r="148" ht="19" customHeight="1" s="672">
      <c r="A148" s="4" t="n">
        <v>136</v>
      </c>
      <c r="B148" s="5" t="inlineStr">
        <is>
          <t>Cọc khoan nhồi C4 Trụ T2 (D1.2m, L=30.0m)</t>
        </is>
      </c>
      <c r="C148" s="5" t="inlineStr">
        <is>
          <t>Cọc trụ T2 L=30m (tr.70)</t>
        </is>
      </c>
      <c r="D148" s="14" t="inlineStr">
        <is>
          <t>P1</t>
        </is>
      </c>
      <c r="E148" s="15" t="n">
        <v>10</v>
      </c>
      <c r="F148" s="4" t="inlineStr">
        <is>
          <t>CB240-T</t>
        </is>
      </c>
      <c r="G148" s="5" t="inlineStr"/>
      <c r="H148" s="16" t="n">
        <v>96.604</v>
      </c>
      <c r="I148" s="17" t="n">
        <v>1</v>
      </c>
      <c r="J148" s="18" t="n">
        <v>0.617</v>
      </c>
      <c r="K148" s="7">
        <f>ROUND(H148*I148*J148, 2)</f>
        <v/>
      </c>
      <c r="L148" s="19">
        <f>ROUND(K148/1000, 3)</f>
        <v/>
      </c>
      <c r="M148" s="728">
        <f>IF(AO148="","",IF(N(INDEX(Theo_Doi_Tan_Suat_Be_Tong!$C:$C,AO148))&lt;=0,"",INDEX(Theo_Doi_Tan_Suat_Be_Tong!$C:$C,AO148)-VLOOKUP(AN148,$AQ$2:$AR$7,2,FALSE)))</f>
        <v/>
      </c>
      <c r="N148" s="4" t="n"/>
      <c r="O148" s="20">
        <f>IF(ROUNDUP(P148/20,0)&gt;ROUNDUP(P146/20,0),"TN Ø10 (Lần " &amp; ROUNDUP(P148/20,0) &amp; ")","")</f>
        <v/>
      </c>
      <c r="P148" s="16">
        <f>ROUND(P146+IF(AND(E148&lt;=10,F148&lt;&gt;"ASTM A416"),L148,0),3)</f>
        <v/>
      </c>
      <c r="Q148" s="16">
        <f>ROUND(Q146+IF(AND(E148=12,F148&lt;&gt;"ASTM A416"),L148,0),3)</f>
        <v/>
      </c>
      <c r="R148" s="16">
        <f>ROUND(R146+IF(AND(E148=14,F148&lt;&gt;"ASTM A416"),L148,0),3)</f>
        <v/>
      </c>
      <c r="S148" s="16">
        <f>ROUND(S146+IF(AND(E148=16,F148&lt;&gt;"ASTM A416"),L148,0),3)</f>
        <v/>
      </c>
      <c r="T148" s="16">
        <f>ROUND(T146+IF(AND(E148=18,F148&lt;&gt;"ASTM A416"),L148,0),3)</f>
        <v/>
      </c>
      <c r="U148" s="16">
        <f>ROUND(U146+IF(AND(E148=20,F148&lt;&gt;"ASTM A416"),L148,0),3)</f>
        <v/>
      </c>
      <c r="V148" s="16">
        <f>ROUND(V146+IF(AND(E148=22,F148&lt;&gt;"ASTM A416"),L148,0),3)</f>
        <v/>
      </c>
      <c r="W148" s="16">
        <f>ROUND(W146+IF(AND(E148=25,F148&lt;&gt;"ASTM A416"),L148,0),3)</f>
        <v/>
      </c>
      <c r="X148" s="16">
        <f>ROUND(X146+IF(AND(E148=28,F148&lt;&gt;"ASTM A416"),L148,0),3)</f>
        <v/>
      </c>
      <c r="Y148" s="16">
        <f>ROUND(Y146+IF(AND(E148=32,F148&lt;&gt;"ASTM A416"),L148,0),3)</f>
        <v/>
      </c>
      <c r="Z148" s="16">
        <f>ROUND(Z146+IF(F148="ASTM A416",L148,0),3)</f>
        <v/>
      </c>
      <c r="AA148" s="9">
        <f>IF(ROUNDUP(P148/20,0)&gt;ROUNDUP(P146/20,0),"Lần " &amp; ROUNDUP(P148/20,0),"")</f>
        <v/>
      </c>
      <c r="AB148" s="9">
        <f>IF(ROUNDUP(Q148/20,0)&gt;ROUNDUP(Q146/20,0),"Lần " &amp; ROUNDUP(Q148/20,0),"")</f>
        <v/>
      </c>
      <c r="AC148" s="9">
        <f>IF(ROUNDUP(R148/20,0)&gt;ROUNDUP(R146/20,0),"Lần " &amp; ROUNDUP(R148/20,0),"")</f>
        <v/>
      </c>
      <c r="AD148" s="9">
        <f>IF(ROUNDUP(S148/20,0)&gt;ROUNDUP(S146/20,0),"Lần " &amp; ROUNDUP(S148/20,0),"")</f>
        <v/>
      </c>
      <c r="AE148" s="9">
        <f>IF(ROUNDUP(T148/20,0)&gt;ROUNDUP(T146/20,0),"Lần " &amp; ROUNDUP(T148/20,0),"")</f>
        <v/>
      </c>
      <c r="AF148" s="9">
        <f>IF(ROUNDUP(U148/20,0)&gt;ROUNDUP(U146/20,0),"Lần " &amp; ROUNDUP(U148/20,0),"")</f>
        <v/>
      </c>
      <c r="AG148" s="9">
        <f>IF(ROUNDUP(V148/20,0)&gt;ROUNDUP(V146/20,0),"Lần " &amp; ROUNDUP(V148/20,0),"")</f>
        <v/>
      </c>
      <c r="AH148" s="9">
        <f>IF(ROUNDUP(W148/20,0)&gt;ROUNDUP(W146/20,0),"Lần " &amp; ROUNDUP(W148/20,0),"")</f>
        <v/>
      </c>
      <c r="AI148" s="9">
        <f>IF(ROUNDUP(X148/20,0)&gt;ROUNDUP(X146/20,0),"Lần " &amp; ROUNDUP(X148/20,0),"")</f>
        <v/>
      </c>
      <c r="AJ148" s="9">
        <f>IF(ROUNDUP(Y148/20,0)&gt;ROUNDUP(Y146/20,0),"Lần " &amp; ROUNDUP(Y148/20,0),"")</f>
        <v/>
      </c>
      <c r="AK148" s="9">
        <f>IF(ROUNDUP(Z148/20,0)&gt;ROUNDUP(Z146/20,0),"Lần " &amp; ROUNDUP(Z148/20,0),"")</f>
        <v/>
      </c>
      <c r="AL148" s="4" t="n"/>
      <c r="AN148" s="596" t="inlineStr">
        <is>
          <t>Coc</t>
        </is>
      </c>
      <c r="AO148" s="596" t="n">
        <v>13</v>
      </c>
      <c r="AQ148" s="594" t="n"/>
      <c r="AR148" s="595" t="n"/>
    </row>
    <row r="149" ht="19" customHeight="1" s="672">
      <c r="A149" s="4" t="n">
        <v>137</v>
      </c>
      <c r="B149" s="5" t="inlineStr">
        <is>
          <t>Cọc khoan nhồi C4 Trụ T2 (D1.2m, L=30.0m)</t>
        </is>
      </c>
      <c r="C149" s="5" t="inlineStr">
        <is>
          <t>Cọc trụ T2 L=30m (tr.70)</t>
        </is>
      </c>
      <c r="D149" s="14" t="inlineStr">
        <is>
          <t>P1A</t>
        </is>
      </c>
      <c r="E149" s="15" t="n">
        <v>10</v>
      </c>
      <c r="F149" s="4" t="inlineStr">
        <is>
          <t>CB240-T</t>
        </is>
      </c>
      <c r="G149" s="5" t="inlineStr"/>
      <c r="H149" s="16" t="n">
        <v>389.636</v>
      </c>
      <c r="I149" s="17" t="n">
        <v>1</v>
      </c>
      <c r="J149" s="18" t="n">
        <v>0.617</v>
      </c>
      <c r="K149" s="7">
        <f>ROUND(H149*I149*J149, 2)</f>
        <v/>
      </c>
      <c r="L149" s="19">
        <f>ROUND(K149/1000, 3)</f>
        <v/>
      </c>
      <c r="M149" s="728">
        <f>IF(AO149="","",IF(N(INDEX(Theo_Doi_Tan_Suat_Be_Tong!$C:$C,AO149))&lt;=0,"",INDEX(Theo_Doi_Tan_Suat_Be_Tong!$C:$C,AO149)-VLOOKUP(AN149,$AQ$2:$AR$7,2,FALSE)))</f>
        <v/>
      </c>
      <c r="N149" s="4" t="n"/>
      <c r="O149" s="20">
        <f>IF(ROUNDUP(P149/20,0)&gt;ROUNDUP(P148/20,0),"TN Ø10 (Lần " &amp; ROUNDUP(P149/20,0) &amp; ")","")</f>
        <v/>
      </c>
      <c r="P149" s="16">
        <f>ROUND(P148+IF(AND(E149&lt;=10,F149&lt;&gt;"ASTM A416"),L149,0),3)</f>
        <v/>
      </c>
      <c r="Q149" s="16">
        <f>ROUND(Q148+IF(AND(E149=12,F149&lt;&gt;"ASTM A416"),L149,0),3)</f>
        <v/>
      </c>
      <c r="R149" s="16">
        <f>ROUND(R148+IF(AND(E149=14,F149&lt;&gt;"ASTM A416"),L149,0),3)</f>
        <v/>
      </c>
      <c r="S149" s="16">
        <f>ROUND(S148+IF(AND(E149=16,F149&lt;&gt;"ASTM A416"),L149,0),3)</f>
        <v/>
      </c>
      <c r="T149" s="16">
        <f>ROUND(T148+IF(AND(E149=18,F149&lt;&gt;"ASTM A416"),L149,0),3)</f>
        <v/>
      </c>
      <c r="U149" s="16">
        <f>ROUND(U148+IF(AND(E149=20,F149&lt;&gt;"ASTM A416"),L149,0),3)</f>
        <v/>
      </c>
      <c r="V149" s="16">
        <f>ROUND(V148+IF(AND(E149=22,F149&lt;&gt;"ASTM A416"),L149,0),3)</f>
        <v/>
      </c>
      <c r="W149" s="16">
        <f>ROUND(W148+IF(AND(E149=25,F149&lt;&gt;"ASTM A416"),L149,0),3)</f>
        <v/>
      </c>
      <c r="X149" s="16">
        <f>ROUND(X148+IF(AND(E149=28,F149&lt;&gt;"ASTM A416"),L149,0),3)</f>
        <v/>
      </c>
      <c r="Y149" s="16">
        <f>ROUND(Y148+IF(AND(E149=32,F149&lt;&gt;"ASTM A416"),L149,0),3)</f>
        <v/>
      </c>
      <c r="Z149" s="16">
        <f>ROUND(Z148+IF(F149="ASTM A416",L149,0),3)</f>
        <v/>
      </c>
      <c r="AA149" s="9">
        <f>IF(ROUNDUP(P149/20,0)&gt;ROUNDUP(P148/20,0),"Lần " &amp; ROUNDUP(P149/20,0),"")</f>
        <v/>
      </c>
      <c r="AB149" s="9">
        <f>IF(ROUNDUP(Q149/20,0)&gt;ROUNDUP(Q148/20,0),"Lần " &amp; ROUNDUP(Q149/20,0),"")</f>
        <v/>
      </c>
      <c r="AC149" s="9">
        <f>IF(ROUNDUP(R149/20,0)&gt;ROUNDUP(R148/20,0),"Lần " &amp; ROUNDUP(R149/20,0),"")</f>
        <v/>
      </c>
      <c r="AD149" s="9">
        <f>IF(ROUNDUP(S149/20,0)&gt;ROUNDUP(S148/20,0),"Lần " &amp; ROUNDUP(S149/20,0),"")</f>
        <v/>
      </c>
      <c r="AE149" s="9">
        <f>IF(ROUNDUP(T149/20,0)&gt;ROUNDUP(T148/20,0),"Lần " &amp; ROUNDUP(T149/20,0),"")</f>
        <v/>
      </c>
      <c r="AF149" s="9">
        <f>IF(ROUNDUP(U149/20,0)&gt;ROUNDUP(U148/20,0),"Lần " &amp; ROUNDUP(U149/20,0),"")</f>
        <v/>
      </c>
      <c r="AG149" s="9">
        <f>IF(ROUNDUP(V149/20,0)&gt;ROUNDUP(V148/20,0),"Lần " &amp; ROUNDUP(V149/20,0),"")</f>
        <v/>
      </c>
      <c r="AH149" s="9">
        <f>IF(ROUNDUP(W149/20,0)&gt;ROUNDUP(W148/20,0),"Lần " &amp; ROUNDUP(W149/20,0),"")</f>
        <v/>
      </c>
      <c r="AI149" s="9">
        <f>IF(ROUNDUP(X149/20,0)&gt;ROUNDUP(X148/20,0),"Lần " &amp; ROUNDUP(X149/20,0),"")</f>
        <v/>
      </c>
      <c r="AJ149" s="9">
        <f>IF(ROUNDUP(Y149/20,0)&gt;ROUNDUP(Y148/20,0),"Lần " &amp; ROUNDUP(Y149/20,0),"")</f>
        <v/>
      </c>
      <c r="AK149" s="9">
        <f>IF(ROUNDUP(Z149/20,0)&gt;ROUNDUP(Z148/20,0),"Lần " &amp; ROUNDUP(Z149/20,0),"")</f>
        <v/>
      </c>
      <c r="AL149" s="4" t="n"/>
      <c r="AN149" s="596" t="inlineStr">
        <is>
          <t>Coc</t>
        </is>
      </c>
      <c r="AO149" s="596" t="n">
        <v>13</v>
      </c>
      <c r="AQ149" s="594" t="n"/>
      <c r="AR149" s="595" t="n"/>
    </row>
    <row r="150" ht="19" customHeight="1" s="672">
      <c r="A150" s="4" t="n">
        <v>138</v>
      </c>
      <c r="B150" s="5" t="inlineStr">
        <is>
          <t>Cọc khoan nhồi C4 Trụ T2 (D1.2m, L=30.0m)</t>
        </is>
      </c>
      <c r="C150" s="5" t="inlineStr">
        <is>
          <t>Cọc trụ T2 L=30m (tr.70)</t>
        </is>
      </c>
      <c r="D150" s="14" t="inlineStr">
        <is>
          <t>P1B</t>
        </is>
      </c>
      <c r="E150" s="15" t="n">
        <v>10</v>
      </c>
      <c r="F150" s="4" t="inlineStr">
        <is>
          <t>CB240-T</t>
        </is>
      </c>
      <c r="G150" s="5" t="inlineStr"/>
      <c r="H150" s="16" t="n">
        <v>100.256</v>
      </c>
      <c r="I150" s="17" t="n">
        <v>1</v>
      </c>
      <c r="J150" s="18" t="n">
        <v>0.617</v>
      </c>
      <c r="K150" s="7">
        <f>ROUND(H150*I150*J150, 2)</f>
        <v/>
      </c>
      <c r="L150" s="19">
        <f>ROUND(K150/1000, 3)</f>
        <v/>
      </c>
      <c r="M150" s="728">
        <f>IF(AO150="","",IF(N(INDEX(Theo_Doi_Tan_Suat_Be_Tong!$C:$C,AO150))&lt;=0,"",INDEX(Theo_Doi_Tan_Suat_Be_Tong!$C:$C,AO150)-VLOOKUP(AN150,$AQ$2:$AR$7,2,FALSE)))</f>
        <v/>
      </c>
      <c r="N150" s="4" t="n"/>
      <c r="O150" s="20">
        <f>IF(ROUNDUP(P150/20,0)&gt;ROUNDUP(P149/20,0),"TN Ø10 (Lần " &amp; ROUNDUP(P150/20,0) &amp; ")","")</f>
        <v/>
      </c>
      <c r="P150" s="16">
        <f>ROUND(P149+IF(AND(E150&lt;=10,F150&lt;&gt;"ASTM A416"),L150,0),3)</f>
        <v/>
      </c>
      <c r="Q150" s="16">
        <f>ROUND(Q149+IF(AND(E150=12,F150&lt;&gt;"ASTM A416"),L150,0),3)</f>
        <v/>
      </c>
      <c r="R150" s="16">
        <f>ROUND(R149+IF(AND(E150=14,F150&lt;&gt;"ASTM A416"),L150,0),3)</f>
        <v/>
      </c>
      <c r="S150" s="16">
        <f>ROUND(S149+IF(AND(E150=16,F150&lt;&gt;"ASTM A416"),L150,0),3)</f>
        <v/>
      </c>
      <c r="T150" s="16">
        <f>ROUND(T149+IF(AND(E150=18,F150&lt;&gt;"ASTM A416"),L150,0),3)</f>
        <v/>
      </c>
      <c r="U150" s="16">
        <f>ROUND(U149+IF(AND(E150=20,F150&lt;&gt;"ASTM A416"),L150,0),3)</f>
        <v/>
      </c>
      <c r="V150" s="16">
        <f>ROUND(V149+IF(AND(E150=22,F150&lt;&gt;"ASTM A416"),L150,0),3)</f>
        <v/>
      </c>
      <c r="W150" s="16">
        <f>ROUND(W149+IF(AND(E150=25,F150&lt;&gt;"ASTM A416"),L150,0),3)</f>
        <v/>
      </c>
      <c r="X150" s="16">
        <f>ROUND(X149+IF(AND(E150=28,F150&lt;&gt;"ASTM A416"),L150,0),3)</f>
        <v/>
      </c>
      <c r="Y150" s="16">
        <f>ROUND(Y149+IF(AND(E150=32,F150&lt;&gt;"ASTM A416"),L150,0),3)</f>
        <v/>
      </c>
      <c r="Z150" s="16">
        <f>ROUND(Z149+IF(F150="ASTM A416",L150,0),3)</f>
        <v/>
      </c>
      <c r="AA150" s="9">
        <f>IF(ROUNDUP(P150/20,0)&gt;ROUNDUP(P149/20,0),"Lần " &amp; ROUNDUP(P150/20,0),"")</f>
        <v/>
      </c>
      <c r="AB150" s="9">
        <f>IF(ROUNDUP(Q150/20,0)&gt;ROUNDUP(Q149/20,0),"Lần " &amp; ROUNDUP(Q150/20,0),"")</f>
        <v/>
      </c>
      <c r="AC150" s="9">
        <f>IF(ROUNDUP(R150/20,0)&gt;ROUNDUP(R149/20,0),"Lần " &amp; ROUNDUP(R150/20,0),"")</f>
        <v/>
      </c>
      <c r="AD150" s="9">
        <f>IF(ROUNDUP(S150/20,0)&gt;ROUNDUP(S149/20,0),"Lần " &amp; ROUNDUP(S150/20,0),"")</f>
        <v/>
      </c>
      <c r="AE150" s="9">
        <f>IF(ROUNDUP(T150/20,0)&gt;ROUNDUP(T149/20,0),"Lần " &amp; ROUNDUP(T150/20,0),"")</f>
        <v/>
      </c>
      <c r="AF150" s="9">
        <f>IF(ROUNDUP(U150/20,0)&gt;ROUNDUP(U149/20,0),"Lần " &amp; ROUNDUP(U150/20,0),"")</f>
        <v/>
      </c>
      <c r="AG150" s="9">
        <f>IF(ROUNDUP(V150/20,0)&gt;ROUNDUP(V149/20,0),"Lần " &amp; ROUNDUP(V150/20,0),"")</f>
        <v/>
      </c>
      <c r="AH150" s="9">
        <f>IF(ROUNDUP(W150/20,0)&gt;ROUNDUP(W149/20,0),"Lần " &amp; ROUNDUP(W150/20,0),"")</f>
        <v/>
      </c>
      <c r="AI150" s="9">
        <f>IF(ROUNDUP(X150/20,0)&gt;ROUNDUP(X149/20,0),"Lần " &amp; ROUNDUP(X150/20,0),"")</f>
        <v/>
      </c>
      <c r="AJ150" s="9">
        <f>IF(ROUNDUP(Y150/20,0)&gt;ROUNDUP(Y149/20,0),"Lần " &amp; ROUNDUP(Y150/20,0),"")</f>
        <v/>
      </c>
      <c r="AK150" s="9">
        <f>IF(ROUNDUP(Z150/20,0)&gt;ROUNDUP(Z149/20,0),"Lần " &amp; ROUNDUP(Z150/20,0),"")</f>
        <v/>
      </c>
      <c r="AL150" s="4" t="n"/>
      <c r="AN150" s="596" t="inlineStr">
        <is>
          <t>Coc</t>
        </is>
      </c>
      <c r="AO150" s="596" t="n">
        <v>13</v>
      </c>
      <c r="AQ150" s="594" t="n"/>
      <c r="AR150" s="595" t="n"/>
    </row>
    <row r="151" ht="19" customHeight="1" s="672">
      <c r="A151" s="4" t="n">
        <v>139</v>
      </c>
      <c r="B151" s="5" t="inlineStr">
        <is>
          <t>Cọc khoan nhồi C4 Trụ T2 (D1.2m, L=30.0m)</t>
        </is>
      </c>
      <c r="C151" s="5" t="inlineStr">
        <is>
          <t>Cọc trụ T2 L=30m (tr.70)</t>
        </is>
      </c>
      <c r="D151" s="14" t="inlineStr">
        <is>
          <t>P1C</t>
        </is>
      </c>
      <c r="E151" s="15" t="n">
        <v>10</v>
      </c>
      <c r="F151" s="4" t="inlineStr">
        <is>
          <t>CB240-T</t>
        </is>
      </c>
      <c r="G151" s="5" t="inlineStr"/>
      <c r="H151" s="16" t="n">
        <v>3.592</v>
      </c>
      <c r="I151" s="17" t="n">
        <v>2</v>
      </c>
      <c r="J151" s="18" t="n">
        <v>0.617</v>
      </c>
      <c r="K151" s="7">
        <f>ROUND(H151*I151*J151, 2)</f>
        <v/>
      </c>
      <c r="L151" s="19">
        <f>ROUND(K151/1000, 3)</f>
        <v/>
      </c>
      <c r="M151" s="728">
        <f>IF(AO151="","",IF(N(INDEX(Theo_Doi_Tan_Suat_Be_Tong!$C:$C,AO151))&lt;=0,"",INDEX(Theo_Doi_Tan_Suat_Be_Tong!$C:$C,AO151)-VLOOKUP(AN151,$AQ$2:$AR$7,2,FALSE)))</f>
        <v/>
      </c>
      <c r="N151" s="4" t="n"/>
      <c r="O151" s="20">
        <f>IF(ROUNDUP(P151/20,0)&gt;ROUNDUP(P150/20,0),"TN Ø10 (Lần " &amp; ROUNDUP(P151/20,0) &amp; ")","")</f>
        <v/>
      </c>
      <c r="P151" s="16">
        <f>ROUND(P150+IF(AND(E151&lt;=10,F151&lt;&gt;"ASTM A416"),L151,0),3)</f>
        <v/>
      </c>
      <c r="Q151" s="16">
        <f>ROUND(Q150+IF(AND(E151=12,F151&lt;&gt;"ASTM A416"),L151,0),3)</f>
        <v/>
      </c>
      <c r="R151" s="16">
        <f>ROUND(R150+IF(AND(E151=14,F151&lt;&gt;"ASTM A416"),L151,0),3)</f>
        <v/>
      </c>
      <c r="S151" s="16">
        <f>ROUND(S150+IF(AND(E151=16,F151&lt;&gt;"ASTM A416"),L151,0),3)</f>
        <v/>
      </c>
      <c r="T151" s="16">
        <f>ROUND(T150+IF(AND(E151=18,F151&lt;&gt;"ASTM A416"),L151,0),3)</f>
        <v/>
      </c>
      <c r="U151" s="16">
        <f>ROUND(U150+IF(AND(E151=20,F151&lt;&gt;"ASTM A416"),L151,0),3)</f>
        <v/>
      </c>
      <c r="V151" s="16">
        <f>ROUND(V150+IF(AND(E151=22,F151&lt;&gt;"ASTM A416"),L151,0),3)</f>
        <v/>
      </c>
      <c r="W151" s="16">
        <f>ROUND(W150+IF(AND(E151=25,F151&lt;&gt;"ASTM A416"),L151,0),3)</f>
        <v/>
      </c>
      <c r="X151" s="16">
        <f>ROUND(X150+IF(AND(E151=28,F151&lt;&gt;"ASTM A416"),L151,0),3)</f>
        <v/>
      </c>
      <c r="Y151" s="16">
        <f>ROUND(Y150+IF(AND(E151=32,F151&lt;&gt;"ASTM A416"),L151,0),3)</f>
        <v/>
      </c>
      <c r="Z151" s="16">
        <f>ROUND(Z150+IF(F151="ASTM A416",L151,0),3)</f>
        <v/>
      </c>
      <c r="AA151" s="9">
        <f>IF(ROUNDUP(P151/20,0)&gt;ROUNDUP(P150/20,0),"Lần " &amp; ROUNDUP(P151/20,0),"")</f>
        <v/>
      </c>
      <c r="AB151" s="9">
        <f>IF(ROUNDUP(Q151/20,0)&gt;ROUNDUP(Q150/20,0),"Lần " &amp; ROUNDUP(Q151/20,0),"")</f>
        <v/>
      </c>
      <c r="AC151" s="9">
        <f>IF(ROUNDUP(R151/20,0)&gt;ROUNDUP(R150/20,0),"Lần " &amp; ROUNDUP(R151/20,0),"")</f>
        <v/>
      </c>
      <c r="AD151" s="9">
        <f>IF(ROUNDUP(S151/20,0)&gt;ROUNDUP(S150/20,0),"Lần " &amp; ROUNDUP(S151/20,0),"")</f>
        <v/>
      </c>
      <c r="AE151" s="9">
        <f>IF(ROUNDUP(T151/20,0)&gt;ROUNDUP(T150/20,0),"Lần " &amp; ROUNDUP(T151/20,0),"")</f>
        <v/>
      </c>
      <c r="AF151" s="9">
        <f>IF(ROUNDUP(U151/20,0)&gt;ROUNDUP(U150/20,0),"Lần " &amp; ROUNDUP(U151/20,0),"")</f>
        <v/>
      </c>
      <c r="AG151" s="9">
        <f>IF(ROUNDUP(V151/20,0)&gt;ROUNDUP(V150/20,0),"Lần " &amp; ROUNDUP(V151/20,0),"")</f>
        <v/>
      </c>
      <c r="AH151" s="9">
        <f>IF(ROUNDUP(W151/20,0)&gt;ROUNDUP(W150/20,0),"Lần " &amp; ROUNDUP(W151/20,0),"")</f>
        <v/>
      </c>
      <c r="AI151" s="9">
        <f>IF(ROUNDUP(X151/20,0)&gt;ROUNDUP(X150/20,0),"Lần " &amp; ROUNDUP(X151/20,0),"")</f>
        <v/>
      </c>
      <c r="AJ151" s="9">
        <f>IF(ROUNDUP(Y151/20,0)&gt;ROUNDUP(Y150/20,0),"Lần " &amp; ROUNDUP(Y151/20,0),"")</f>
        <v/>
      </c>
      <c r="AK151" s="9">
        <f>IF(ROUNDUP(Z151/20,0)&gt;ROUNDUP(Z150/20,0),"Lần " &amp; ROUNDUP(Z151/20,0),"")</f>
        <v/>
      </c>
      <c r="AL151" s="4" t="n"/>
      <c r="AN151" s="596" t="inlineStr">
        <is>
          <t>Coc</t>
        </is>
      </c>
      <c r="AO151" s="596" t="n">
        <v>13</v>
      </c>
      <c r="AQ151" s="594" t="n"/>
      <c r="AR151" s="595" t="n"/>
    </row>
    <row r="152" ht="19" customHeight="1" s="672">
      <c r="A152" s="4" t="n">
        <v>140</v>
      </c>
      <c r="B152" s="5" t="inlineStr">
        <is>
          <t>Cọc khoan nhồi C4 Trụ T2 (D1.2m, L=30.0m)</t>
        </is>
      </c>
      <c r="C152" s="5" t="inlineStr">
        <is>
          <t>Cọc trụ T2 L=30m (tr.70)</t>
        </is>
      </c>
      <c r="D152" s="14" t="inlineStr">
        <is>
          <t>P1D</t>
        </is>
      </c>
      <c r="E152" s="15" t="n">
        <v>10</v>
      </c>
      <c r="F152" s="4" t="inlineStr">
        <is>
          <t>CB240-T</t>
        </is>
      </c>
      <c r="G152" s="5" t="inlineStr"/>
      <c r="H152" s="16" t="n">
        <v>19.721</v>
      </c>
      <c r="I152" s="17" t="n">
        <v>1</v>
      </c>
      <c r="J152" s="18" t="n">
        <v>0.617</v>
      </c>
      <c r="K152" s="7">
        <f>ROUND(H152*I152*J152, 2)</f>
        <v/>
      </c>
      <c r="L152" s="19">
        <f>ROUND(K152/1000, 3)</f>
        <v/>
      </c>
      <c r="M152" s="728">
        <f>IF(AO152="","",IF(N(INDEX(Theo_Doi_Tan_Suat_Be_Tong!$C:$C,AO152))&lt;=0,"",INDEX(Theo_Doi_Tan_Suat_Be_Tong!$C:$C,AO152)-VLOOKUP(AN152,$AQ$2:$AR$7,2,FALSE)))</f>
        <v/>
      </c>
      <c r="N152" s="4" t="n"/>
      <c r="O152" s="20">
        <f>IF(ROUNDUP(P152/20,0)&gt;ROUNDUP(P151/20,0),"TN Ø10 (Lần " &amp; ROUNDUP(P152/20,0) &amp; ")","")</f>
        <v/>
      </c>
      <c r="P152" s="16">
        <f>ROUND(P151+IF(AND(E152&lt;=10,F152&lt;&gt;"ASTM A416"),L152,0),3)</f>
        <v/>
      </c>
      <c r="Q152" s="16">
        <f>ROUND(Q151+IF(AND(E152=12,F152&lt;&gt;"ASTM A416"),L152,0),3)</f>
        <v/>
      </c>
      <c r="R152" s="16">
        <f>ROUND(R151+IF(AND(E152=14,F152&lt;&gt;"ASTM A416"),L152,0),3)</f>
        <v/>
      </c>
      <c r="S152" s="16">
        <f>ROUND(S151+IF(AND(E152=16,F152&lt;&gt;"ASTM A416"),L152,0),3)</f>
        <v/>
      </c>
      <c r="T152" s="16">
        <f>ROUND(T151+IF(AND(E152=18,F152&lt;&gt;"ASTM A416"),L152,0),3)</f>
        <v/>
      </c>
      <c r="U152" s="16">
        <f>ROUND(U151+IF(AND(E152=20,F152&lt;&gt;"ASTM A416"),L152,0),3)</f>
        <v/>
      </c>
      <c r="V152" s="16">
        <f>ROUND(V151+IF(AND(E152=22,F152&lt;&gt;"ASTM A416"),L152,0),3)</f>
        <v/>
      </c>
      <c r="W152" s="16">
        <f>ROUND(W151+IF(AND(E152=25,F152&lt;&gt;"ASTM A416"),L152,0),3)</f>
        <v/>
      </c>
      <c r="X152" s="16">
        <f>ROUND(X151+IF(AND(E152=28,F152&lt;&gt;"ASTM A416"),L152,0),3)</f>
        <v/>
      </c>
      <c r="Y152" s="16">
        <f>ROUND(Y151+IF(AND(E152=32,F152&lt;&gt;"ASTM A416"),L152,0),3)</f>
        <v/>
      </c>
      <c r="Z152" s="16">
        <f>ROUND(Z151+IF(F152="ASTM A416",L152,0),3)</f>
        <v/>
      </c>
      <c r="AA152" s="9">
        <f>IF(ROUNDUP(P152/20,0)&gt;ROUNDUP(P151/20,0),"Lần " &amp; ROUNDUP(P152/20,0),"")</f>
        <v/>
      </c>
      <c r="AB152" s="9">
        <f>IF(ROUNDUP(Q152/20,0)&gt;ROUNDUP(Q151/20,0),"Lần " &amp; ROUNDUP(Q152/20,0),"")</f>
        <v/>
      </c>
      <c r="AC152" s="9">
        <f>IF(ROUNDUP(R152/20,0)&gt;ROUNDUP(R151/20,0),"Lần " &amp; ROUNDUP(R152/20,0),"")</f>
        <v/>
      </c>
      <c r="AD152" s="9">
        <f>IF(ROUNDUP(S152/20,0)&gt;ROUNDUP(S151/20,0),"Lần " &amp; ROUNDUP(S152/20,0),"")</f>
        <v/>
      </c>
      <c r="AE152" s="9">
        <f>IF(ROUNDUP(T152/20,0)&gt;ROUNDUP(T151/20,0),"Lần " &amp; ROUNDUP(T152/20,0),"")</f>
        <v/>
      </c>
      <c r="AF152" s="9">
        <f>IF(ROUNDUP(U152/20,0)&gt;ROUNDUP(U151/20,0),"Lần " &amp; ROUNDUP(U152/20,0),"")</f>
        <v/>
      </c>
      <c r="AG152" s="9">
        <f>IF(ROUNDUP(V152/20,0)&gt;ROUNDUP(V151/20,0),"Lần " &amp; ROUNDUP(V152/20,0),"")</f>
        <v/>
      </c>
      <c r="AH152" s="9">
        <f>IF(ROUNDUP(W152/20,0)&gt;ROUNDUP(W151/20,0),"Lần " &amp; ROUNDUP(W152/20,0),"")</f>
        <v/>
      </c>
      <c r="AI152" s="9">
        <f>IF(ROUNDUP(X152/20,0)&gt;ROUNDUP(X151/20,0),"Lần " &amp; ROUNDUP(X152/20,0),"")</f>
        <v/>
      </c>
      <c r="AJ152" s="9">
        <f>IF(ROUNDUP(Y152/20,0)&gt;ROUNDUP(Y151/20,0),"Lần " &amp; ROUNDUP(Y152/20,0),"")</f>
        <v/>
      </c>
      <c r="AK152" s="9">
        <f>IF(ROUNDUP(Z152/20,0)&gt;ROUNDUP(Z151/20,0),"Lần " &amp; ROUNDUP(Z152/20,0),"")</f>
        <v/>
      </c>
      <c r="AL152" s="4" t="n"/>
      <c r="AN152" s="596" t="inlineStr">
        <is>
          <t>Coc</t>
        </is>
      </c>
      <c r="AO152" s="596" t="n">
        <v>13</v>
      </c>
      <c r="AQ152" s="594" t="n"/>
      <c r="AR152" s="595" t="n"/>
    </row>
    <row r="153" ht="19" customHeight="1" s="672">
      <c r="A153" s="4" t="n">
        <v>141</v>
      </c>
      <c r="B153" s="5" t="inlineStr">
        <is>
          <t>Cọc khoan nhồi C4 Trụ T2 (D1.2m, L=30.0m)</t>
        </is>
      </c>
      <c r="C153" s="5" t="inlineStr">
        <is>
          <t>Cọc trụ T2 L=30m (tr.70)</t>
        </is>
      </c>
      <c r="D153" s="14" t="inlineStr">
        <is>
          <t>P2B</t>
        </is>
      </c>
      <c r="E153" s="15" t="n">
        <v>25</v>
      </c>
      <c r="F153" s="4" t="inlineStr">
        <is>
          <t>CB400-V</t>
        </is>
      </c>
      <c r="G153" s="5" t="inlineStr"/>
      <c r="H153" s="16" t="n">
        <v>2.985</v>
      </c>
      <c r="I153" s="17" t="n">
        <v>12</v>
      </c>
      <c r="J153" s="18" t="n">
        <v>3.853</v>
      </c>
      <c r="K153" s="7">
        <f>ROUND(H153*I153*J153, 2)</f>
        <v/>
      </c>
      <c r="L153" s="19">
        <f>ROUND(K153/1000, 3)</f>
        <v/>
      </c>
      <c r="M153" s="728">
        <f>IF(AO153="","",IF(N(INDEX(Theo_Doi_Tan_Suat_Be_Tong!$C:$C,AO153))&lt;=0,"",INDEX(Theo_Doi_Tan_Suat_Be_Tong!$C:$C,AO153)-VLOOKUP(AN153,$AQ$2:$AR$7,2,FALSE)))</f>
        <v/>
      </c>
      <c r="N153" s="4" t="n"/>
      <c r="O153" s="20">
        <f>IF(ROUNDUP(W153/20,0)&gt;ROUNDUP(W152/20,0),"TN Ø25 (Lần " &amp; ROUNDUP(W153/20,0) &amp; ")","")</f>
        <v/>
      </c>
      <c r="P153" s="16">
        <f>ROUND(P152+IF(AND(E153&lt;=10,F153&lt;&gt;"ASTM A416"),L153,0),3)</f>
        <v/>
      </c>
      <c r="Q153" s="16">
        <f>ROUND(Q152+IF(AND(E153=12,F153&lt;&gt;"ASTM A416"),L153,0),3)</f>
        <v/>
      </c>
      <c r="R153" s="16">
        <f>ROUND(R152+IF(AND(E153=14,F153&lt;&gt;"ASTM A416"),L153,0),3)</f>
        <v/>
      </c>
      <c r="S153" s="16">
        <f>ROUND(S152+IF(AND(E153=16,F153&lt;&gt;"ASTM A416"),L153,0),3)</f>
        <v/>
      </c>
      <c r="T153" s="16">
        <f>ROUND(T152+IF(AND(E153=18,F153&lt;&gt;"ASTM A416"),L153,0),3)</f>
        <v/>
      </c>
      <c r="U153" s="16">
        <f>ROUND(U152+IF(AND(E153=20,F153&lt;&gt;"ASTM A416"),L153,0),3)</f>
        <v/>
      </c>
      <c r="V153" s="16">
        <f>ROUND(V152+IF(AND(E153=22,F153&lt;&gt;"ASTM A416"),L153,0),3)</f>
        <v/>
      </c>
      <c r="W153" s="16">
        <f>ROUND(W152+IF(AND(E153=25,F153&lt;&gt;"ASTM A416"),L153,0),3)</f>
        <v/>
      </c>
      <c r="X153" s="16">
        <f>ROUND(X152+IF(AND(E153=28,F153&lt;&gt;"ASTM A416"),L153,0),3)</f>
        <v/>
      </c>
      <c r="Y153" s="16">
        <f>ROUND(Y152+IF(AND(E153=32,F153&lt;&gt;"ASTM A416"),L153,0),3)</f>
        <v/>
      </c>
      <c r="Z153" s="16">
        <f>ROUND(Z152+IF(F153="ASTM A416",L153,0),3)</f>
        <v/>
      </c>
      <c r="AA153" s="9">
        <f>IF(ROUNDUP(P153/20,0)&gt;ROUNDUP(P152/20,0),"Lần " &amp; ROUNDUP(P153/20,0),"")</f>
        <v/>
      </c>
      <c r="AB153" s="9">
        <f>IF(ROUNDUP(Q153/20,0)&gt;ROUNDUP(Q152/20,0),"Lần " &amp; ROUNDUP(Q153/20,0),"")</f>
        <v/>
      </c>
      <c r="AC153" s="9">
        <f>IF(ROUNDUP(R153/20,0)&gt;ROUNDUP(R152/20,0),"Lần " &amp; ROUNDUP(R153/20,0),"")</f>
        <v/>
      </c>
      <c r="AD153" s="9">
        <f>IF(ROUNDUP(S153/20,0)&gt;ROUNDUP(S152/20,0),"Lần " &amp; ROUNDUP(S153/20,0),"")</f>
        <v/>
      </c>
      <c r="AE153" s="9">
        <f>IF(ROUNDUP(T153/20,0)&gt;ROUNDUP(T152/20,0),"Lần " &amp; ROUNDUP(T153/20,0),"")</f>
        <v/>
      </c>
      <c r="AF153" s="9">
        <f>IF(ROUNDUP(U153/20,0)&gt;ROUNDUP(U152/20,0),"Lần " &amp; ROUNDUP(U153/20,0),"")</f>
        <v/>
      </c>
      <c r="AG153" s="9">
        <f>IF(ROUNDUP(V153/20,0)&gt;ROUNDUP(V152/20,0),"Lần " &amp; ROUNDUP(V153/20,0),"")</f>
        <v/>
      </c>
      <c r="AH153" s="9">
        <f>IF(ROUNDUP(W153/20,0)&gt;ROUNDUP(W152/20,0),"Lần " &amp; ROUNDUP(W153/20,0),"")</f>
        <v/>
      </c>
      <c r="AI153" s="9">
        <f>IF(ROUNDUP(X153/20,0)&gt;ROUNDUP(X152/20,0),"Lần " &amp; ROUNDUP(X153/20,0),"")</f>
        <v/>
      </c>
      <c r="AJ153" s="9">
        <f>IF(ROUNDUP(Y153/20,0)&gt;ROUNDUP(Y152/20,0),"Lần " &amp; ROUNDUP(Y153/20,0),"")</f>
        <v/>
      </c>
      <c r="AK153" s="9">
        <f>IF(ROUNDUP(Z153/20,0)&gt;ROUNDUP(Z152/20,0),"Lần " &amp; ROUNDUP(Z153/20,0),"")</f>
        <v/>
      </c>
      <c r="AL153" s="4" t="n"/>
      <c r="AN153" s="596" t="inlineStr">
        <is>
          <t>Coc</t>
        </is>
      </c>
      <c r="AO153" s="596" t="n">
        <v>13</v>
      </c>
      <c r="AQ153" s="594" t="n"/>
      <c r="AR153" s="595" t="n"/>
    </row>
    <row r="154" ht="19" customHeight="1" s="672">
      <c r="A154" s="4" t="n">
        <v>142</v>
      </c>
      <c r="B154" s="5" t="inlineStr">
        <is>
          <t>Cọc khoan nhồi C4 Trụ T2 (D1.2m, L=30.0m)</t>
        </is>
      </c>
      <c r="C154" s="5" t="inlineStr">
        <is>
          <t>Cọc trụ T2 L=30m (tr.70)</t>
        </is>
      </c>
      <c r="D154" s="14" t="inlineStr">
        <is>
          <t>P3</t>
        </is>
      </c>
      <c r="E154" s="15" t="n">
        <v>25</v>
      </c>
      <c r="F154" s="4" t="inlineStr">
        <is>
          <t>CB400-V</t>
        </is>
      </c>
      <c r="G154" s="5" t="inlineStr"/>
      <c r="H154" s="16" t="n">
        <v>10.7</v>
      </c>
      <c r="I154" s="17" t="n">
        <v>12</v>
      </c>
      <c r="J154" s="18" t="n">
        <v>3.853</v>
      </c>
      <c r="K154" s="7">
        <f>ROUND(H154*I154*J154, 2)</f>
        <v/>
      </c>
      <c r="L154" s="19">
        <f>ROUND(K154/1000, 3)</f>
        <v/>
      </c>
      <c r="M154" s="728">
        <f>IF(AO154="","",IF(N(INDEX(Theo_Doi_Tan_Suat_Be_Tong!$C:$C,AO154))&lt;=0,"",INDEX(Theo_Doi_Tan_Suat_Be_Tong!$C:$C,AO154)-VLOOKUP(AN154,$AQ$2:$AR$7,2,FALSE)))</f>
        <v/>
      </c>
      <c r="N154" s="4" t="n"/>
      <c r="O154" s="20">
        <f>IF(ROUNDUP(W154/20,0)&gt;ROUNDUP(W153/20,0),"TN Ø25 (Lần " &amp; ROUNDUP(W154/20,0) &amp; ")","")</f>
        <v/>
      </c>
      <c r="P154" s="16">
        <f>ROUND(P153+IF(AND(E154&lt;=10,F154&lt;&gt;"ASTM A416"),L154,0),3)</f>
        <v/>
      </c>
      <c r="Q154" s="16">
        <f>ROUND(Q153+IF(AND(E154=12,F154&lt;&gt;"ASTM A416"),L154,0),3)</f>
        <v/>
      </c>
      <c r="R154" s="16">
        <f>ROUND(R153+IF(AND(E154=14,F154&lt;&gt;"ASTM A416"),L154,0),3)</f>
        <v/>
      </c>
      <c r="S154" s="16">
        <f>ROUND(S153+IF(AND(E154=16,F154&lt;&gt;"ASTM A416"),L154,0),3)</f>
        <v/>
      </c>
      <c r="T154" s="16">
        <f>ROUND(T153+IF(AND(E154=18,F154&lt;&gt;"ASTM A416"),L154,0),3)</f>
        <v/>
      </c>
      <c r="U154" s="16">
        <f>ROUND(U153+IF(AND(E154=20,F154&lt;&gt;"ASTM A416"),L154,0),3)</f>
        <v/>
      </c>
      <c r="V154" s="16">
        <f>ROUND(V153+IF(AND(E154=22,F154&lt;&gt;"ASTM A416"),L154,0),3)</f>
        <v/>
      </c>
      <c r="W154" s="16">
        <f>ROUND(W153+IF(AND(E154=25,F154&lt;&gt;"ASTM A416"),L154,0),3)</f>
        <v/>
      </c>
      <c r="X154" s="16">
        <f>ROUND(X153+IF(AND(E154=28,F154&lt;&gt;"ASTM A416"),L154,0),3)</f>
        <v/>
      </c>
      <c r="Y154" s="16">
        <f>ROUND(Y153+IF(AND(E154=32,F154&lt;&gt;"ASTM A416"),L154,0),3)</f>
        <v/>
      </c>
      <c r="Z154" s="16">
        <f>ROUND(Z153+IF(F154="ASTM A416",L154,0),3)</f>
        <v/>
      </c>
      <c r="AA154" s="9">
        <f>IF(ROUNDUP(P154/20,0)&gt;ROUNDUP(P153/20,0),"Lần " &amp; ROUNDUP(P154/20,0),"")</f>
        <v/>
      </c>
      <c r="AB154" s="9">
        <f>IF(ROUNDUP(Q154/20,0)&gt;ROUNDUP(Q153/20,0),"Lần " &amp; ROUNDUP(Q154/20,0),"")</f>
        <v/>
      </c>
      <c r="AC154" s="9">
        <f>IF(ROUNDUP(R154/20,0)&gt;ROUNDUP(R153/20,0),"Lần " &amp; ROUNDUP(R154/20,0),"")</f>
        <v/>
      </c>
      <c r="AD154" s="9">
        <f>IF(ROUNDUP(S154/20,0)&gt;ROUNDUP(S153/20,0),"Lần " &amp; ROUNDUP(S154/20,0),"")</f>
        <v/>
      </c>
      <c r="AE154" s="9">
        <f>IF(ROUNDUP(T154/20,0)&gt;ROUNDUP(T153/20,0),"Lần " &amp; ROUNDUP(T154/20,0),"")</f>
        <v/>
      </c>
      <c r="AF154" s="9">
        <f>IF(ROUNDUP(U154/20,0)&gt;ROUNDUP(U153/20,0),"Lần " &amp; ROUNDUP(U154/20,0),"")</f>
        <v/>
      </c>
      <c r="AG154" s="9">
        <f>IF(ROUNDUP(V154/20,0)&gt;ROUNDUP(V153/20,0),"Lần " &amp; ROUNDUP(V154/20,0),"")</f>
        <v/>
      </c>
      <c r="AH154" s="9">
        <f>IF(ROUNDUP(W154/20,0)&gt;ROUNDUP(W153/20,0),"Lần " &amp; ROUNDUP(W154/20,0),"")</f>
        <v/>
      </c>
      <c r="AI154" s="9">
        <f>IF(ROUNDUP(X154/20,0)&gt;ROUNDUP(X153/20,0),"Lần " &amp; ROUNDUP(X154/20,0),"")</f>
        <v/>
      </c>
      <c r="AJ154" s="9">
        <f>IF(ROUNDUP(Y154/20,0)&gt;ROUNDUP(Y153/20,0),"Lần " &amp; ROUNDUP(Y154/20,0),"")</f>
        <v/>
      </c>
      <c r="AK154" s="9">
        <f>IF(ROUNDUP(Z154/20,0)&gt;ROUNDUP(Z153/20,0),"Lần " &amp; ROUNDUP(Z154/20,0),"")</f>
        <v/>
      </c>
      <c r="AL154" s="4" t="n"/>
      <c r="AN154" s="596" t="inlineStr">
        <is>
          <t>Coc</t>
        </is>
      </c>
      <c r="AO154" s="596" t="n">
        <v>13</v>
      </c>
      <c r="AQ154" s="594" t="n"/>
      <c r="AR154" s="595" t="n"/>
    </row>
    <row r="155" ht="19" customHeight="1" s="672">
      <c r="A155" s="4" t="n">
        <v>143</v>
      </c>
      <c r="B155" s="5" t="inlineStr">
        <is>
          <t>Cọc khoan nhồi C4 Trụ T2 (D1.2m, L=30.0m)</t>
        </is>
      </c>
      <c r="C155" s="5" t="inlineStr">
        <is>
          <t>Cọc trụ T2 L=30m (tr.70)</t>
        </is>
      </c>
      <c r="D155" s="14" t="inlineStr">
        <is>
          <t>P4</t>
        </is>
      </c>
      <c r="E155" s="15" t="n">
        <v>25</v>
      </c>
      <c r="F155" s="4" t="inlineStr">
        <is>
          <t>CB400-V</t>
        </is>
      </c>
      <c r="G155" s="5" t="inlineStr"/>
      <c r="H155" s="16" t="n">
        <v>11.7</v>
      </c>
      <c r="I155" s="17" t="n">
        <v>36</v>
      </c>
      <c r="J155" s="18" t="n">
        <v>3.853</v>
      </c>
      <c r="K155" s="7">
        <f>ROUND(H155*I155*J155, 2)</f>
        <v/>
      </c>
      <c r="L155" s="19">
        <f>ROUND(K155/1000, 3)</f>
        <v/>
      </c>
      <c r="M155" s="728">
        <f>IF(AO155="","",IF(N(INDEX(Theo_Doi_Tan_Suat_Be_Tong!$C:$C,AO155))&lt;=0,"",INDEX(Theo_Doi_Tan_Suat_Be_Tong!$C:$C,AO155)-VLOOKUP(AN155,$AQ$2:$AR$7,2,FALSE)))</f>
        <v/>
      </c>
      <c r="N155" s="4" t="n"/>
      <c r="O155" s="20">
        <f>IF(ROUNDUP(W155/20,0)&gt;ROUNDUP(W154/20,0),"TN Ø25 (Lần " &amp; ROUNDUP(W155/20,0) &amp; ")","")</f>
        <v/>
      </c>
      <c r="P155" s="16">
        <f>ROUND(P154+IF(AND(E155&lt;=10,F155&lt;&gt;"ASTM A416"),L155,0),3)</f>
        <v/>
      </c>
      <c r="Q155" s="16">
        <f>ROUND(Q154+IF(AND(E155=12,F155&lt;&gt;"ASTM A416"),L155,0),3)</f>
        <v/>
      </c>
      <c r="R155" s="16">
        <f>ROUND(R154+IF(AND(E155=14,F155&lt;&gt;"ASTM A416"),L155,0),3)</f>
        <v/>
      </c>
      <c r="S155" s="16">
        <f>ROUND(S154+IF(AND(E155=16,F155&lt;&gt;"ASTM A416"),L155,0),3)</f>
        <v/>
      </c>
      <c r="T155" s="16">
        <f>ROUND(T154+IF(AND(E155=18,F155&lt;&gt;"ASTM A416"),L155,0),3)</f>
        <v/>
      </c>
      <c r="U155" s="16">
        <f>ROUND(U154+IF(AND(E155=20,F155&lt;&gt;"ASTM A416"),L155,0),3)</f>
        <v/>
      </c>
      <c r="V155" s="16">
        <f>ROUND(V154+IF(AND(E155=22,F155&lt;&gt;"ASTM A416"),L155,0),3)</f>
        <v/>
      </c>
      <c r="W155" s="16">
        <f>ROUND(W154+IF(AND(E155=25,F155&lt;&gt;"ASTM A416"),L155,0),3)</f>
        <v/>
      </c>
      <c r="X155" s="16">
        <f>ROUND(X154+IF(AND(E155=28,F155&lt;&gt;"ASTM A416"),L155,0),3)</f>
        <v/>
      </c>
      <c r="Y155" s="16">
        <f>ROUND(Y154+IF(AND(E155=32,F155&lt;&gt;"ASTM A416"),L155,0),3)</f>
        <v/>
      </c>
      <c r="Z155" s="16">
        <f>ROUND(Z154+IF(F155="ASTM A416",L155,0),3)</f>
        <v/>
      </c>
      <c r="AA155" s="9">
        <f>IF(ROUNDUP(P155/20,0)&gt;ROUNDUP(P154/20,0),"Lần " &amp; ROUNDUP(P155/20,0),"")</f>
        <v/>
      </c>
      <c r="AB155" s="9">
        <f>IF(ROUNDUP(Q155/20,0)&gt;ROUNDUP(Q154/20,0),"Lần " &amp; ROUNDUP(Q155/20,0),"")</f>
        <v/>
      </c>
      <c r="AC155" s="9">
        <f>IF(ROUNDUP(R155/20,0)&gt;ROUNDUP(R154/20,0),"Lần " &amp; ROUNDUP(R155/20,0),"")</f>
        <v/>
      </c>
      <c r="AD155" s="9">
        <f>IF(ROUNDUP(S155/20,0)&gt;ROUNDUP(S154/20,0),"Lần " &amp; ROUNDUP(S155/20,0),"")</f>
        <v/>
      </c>
      <c r="AE155" s="9">
        <f>IF(ROUNDUP(T155/20,0)&gt;ROUNDUP(T154/20,0),"Lần " &amp; ROUNDUP(T155/20,0),"")</f>
        <v/>
      </c>
      <c r="AF155" s="9">
        <f>IF(ROUNDUP(U155/20,0)&gt;ROUNDUP(U154/20,0),"Lần " &amp; ROUNDUP(U155/20,0),"")</f>
        <v/>
      </c>
      <c r="AG155" s="9">
        <f>IF(ROUNDUP(V155/20,0)&gt;ROUNDUP(V154/20,0),"Lần " &amp; ROUNDUP(V155/20,0),"")</f>
        <v/>
      </c>
      <c r="AH155" s="9">
        <f>IF(ROUNDUP(W155/20,0)&gt;ROUNDUP(W154/20,0),"Lần " &amp; ROUNDUP(W155/20,0),"")</f>
        <v/>
      </c>
      <c r="AI155" s="9">
        <f>IF(ROUNDUP(X155/20,0)&gt;ROUNDUP(X154/20,0),"Lần " &amp; ROUNDUP(X155/20,0),"")</f>
        <v/>
      </c>
      <c r="AJ155" s="9">
        <f>IF(ROUNDUP(Y155/20,0)&gt;ROUNDUP(Y154/20,0),"Lần " &amp; ROUNDUP(Y155/20,0),"")</f>
        <v/>
      </c>
      <c r="AK155" s="9">
        <f>IF(ROUNDUP(Z155/20,0)&gt;ROUNDUP(Z154/20,0),"Lần " &amp; ROUNDUP(Z155/20,0),"")</f>
        <v/>
      </c>
      <c r="AL155" s="4" t="n"/>
      <c r="AN155" s="596" t="inlineStr">
        <is>
          <t>Coc</t>
        </is>
      </c>
      <c r="AO155" s="596" t="n">
        <v>13</v>
      </c>
      <c r="AQ155" s="594" t="n"/>
      <c r="AR155" s="595" t="n"/>
    </row>
    <row r="156" ht="19" customHeight="1" s="672">
      <c r="A156" s="4" t="n">
        <v>144</v>
      </c>
      <c r="B156" s="5" t="inlineStr">
        <is>
          <t>Cọc khoan nhồi C4 Trụ T2 (D1.2m, L=30.0m)</t>
        </is>
      </c>
      <c r="C156" s="5" t="inlineStr">
        <is>
          <t>Cọc trụ T2 L=30m (tr.70)</t>
        </is>
      </c>
      <c r="D156" s="14" t="inlineStr">
        <is>
          <t>P6</t>
        </is>
      </c>
      <c r="E156" s="15" t="n">
        <v>25</v>
      </c>
      <c r="F156" s="4" t="inlineStr">
        <is>
          <t>CB400-V</t>
        </is>
      </c>
      <c r="G156" s="5" t="inlineStr"/>
      <c r="H156" s="16" t="n">
        <v>9.733000000000001</v>
      </c>
      <c r="I156" s="17" t="n">
        <v>12</v>
      </c>
      <c r="J156" s="18" t="n">
        <v>3.853</v>
      </c>
      <c r="K156" s="7">
        <f>ROUND(H156*I156*J156, 2)</f>
        <v/>
      </c>
      <c r="L156" s="19">
        <f>ROUND(K156/1000, 3)</f>
        <v/>
      </c>
      <c r="M156" s="728">
        <f>IF(AO156="","",IF(N(INDEX(Theo_Doi_Tan_Suat_Be_Tong!$C:$C,AO156))&lt;=0,"",INDEX(Theo_Doi_Tan_Suat_Be_Tong!$C:$C,AO156)-VLOOKUP(AN156,$AQ$2:$AR$7,2,FALSE)))</f>
        <v/>
      </c>
      <c r="N156" s="4" t="n"/>
      <c r="O156" s="20">
        <f>IF(ROUNDUP(W156/20,0)&gt;ROUNDUP(W155/20,0),"TN Ø25 (Lần " &amp; ROUNDUP(W156/20,0) &amp; ")","")</f>
        <v/>
      </c>
      <c r="P156" s="16">
        <f>ROUND(P155+IF(AND(E156&lt;=10,F156&lt;&gt;"ASTM A416"),L156,0),3)</f>
        <v/>
      </c>
      <c r="Q156" s="16">
        <f>ROUND(Q155+IF(AND(E156=12,F156&lt;&gt;"ASTM A416"),L156,0),3)</f>
        <v/>
      </c>
      <c r="R156" s="16">
        <f>ROUND(R155+IF(AND(E156=14,F156&lt;&gt;"ASTM A416"),L156,0),3)</f>
        <v/>
      </c>
      <c r="S156" s="16">
        <f>ROUND(S155+IF(AND(E156=16,F156&lt;&gt;"ASTM A416"),L156,0),3)</f>
        <v/>
      </c>
      <c r="T156" s="16">
        <f>ROUND(T155+IF(AND(E156=18,F156&lt;&gt;"ASTM A416"),L156,0),3)</f>
        <v/>
      </c>
      <c r="U156" s="16">
        <f>ROUND(U155+IF(AND(E156=20,F156&lt;&gt;"ASTM A416"),L156,0),3)</f>
        <v/>
      </c>
      <c r="V156" s="16">
        <f>ROUND(V155+IF(AND(E156=22,F156&lt;&gt;"ASTM A416"),L156,0),3)</f>
        <v/>
      </c>
      <c r="W156" s="16">
        <f>ROUND(W155+IF(AND(E156=25,F156&lt;&gt;"ASTM A416"),L156,0),3)</f>
        <v/>
      </c>
      <c r="X156" s="16">
        <f>ROUND(X155+IF(AND(E156=28,F156&lt;&gt;"ASTM A416"),L156,0),3)</f>
        <v/>
      </c>
      <c r="Y156" s="16">
        <f>ROUND(Y155+IF(AND(E156=32,F156&lt;&gt;"ASTM A416"),L156,0),3)</f>
        <v/>
      </c>
      <c r="Z156" s="16">
        <f>ROUND(Z155+IF(F156="ASTM A416",L156,0),3)</f>
        <v/>
      </c>
      <c r="AA156" s="9">
        <f>IF(ROUNDUP(P156/20,0)&gt;ROUNDUP(P155/20,0),"Lần " &amp; ROUNDUP(P156/20,0),"")</f>
        <v/>
      </c>
      <c r="AB156" s="9">
        <f>IF(ROUNDUP(Q156/20,0)&gt;ROUNDUP(Q155/20,0),"Lần " &amp; ROUNDUP(Q156/20,0),"")</f>
        <v/>
      </c>
      <c r="AC156" s="9">
        <f>IF(ROUNDUP(R156/20,0)&gt;ROUNDUP(R155/20,0),"Lần " &amp; ROUNDUP(R156/20,0),"")</f>
        <v/>
      </c>
      <c r="AD156" s="9">
        <f>IF(ROUNDUP(S156/20,0)&gt;ROUNDUP(S155/20,0),"Lần " &amp; ROUNDUP(S156/20,0),"")</f>
        <v/>
      </c>
      <c r="AE156" s="9">
        <f>IF(ROUNDUP(T156/20,0)&gt;ROUNDUP(T155/20,0),"Lần " &amp; ROUNDUP(T156/20,0),"")</f>
        <v/>
      </c>
      <c r="AF156" s="9">
        <f>IF(ROUNDUP(U156/20,0)&gt;ROUNDUP(U155/20,0),"Lần " &amp; ROUNDUP(U156/20,0),"")</f>
        <v/>
      </c>
      <c r="AG156" s="9">
        <f>IF(ROUNDUP(V156/20,0)&gt;ROUNDUP(V155/20,0),"Lần " &amp; ROUNDUP(V156/20,0),"")</f>
        <v/>
      </c>
      <c r="AH156" s="9">
        <f>IF(ROUNDUP(W156/20,0)&gt;ROUNDUP(W155/20,0),"Lần " &amp; ROUNDUP(W156/20,0),"")</f>
        <v/>
      </c>
      <c r="AI156" s="9">
        <f>IF(ROUNDUP(X156/20,0)&gt;ROUNDUP(X155/20,0),"Lần " &amp; ROUNDUP(X156/20,0),"")</f>
        <v/>
      </c>
      <c r="AJ156" s="9">
        <f>IF(ROUNDUP(Y156/20,0)&gt;ROUNDUP(Y155/20,0),"Lần " &amp; ROUNDUP(Y156/20,0),"")</f>
        <v/>
      </c>
      <c r="AK156" s="9">
        <f>IF(ROUNDUP(Z156/20,0)&gt;ROUNDUP(Z155/20,0),"Lần " &amp; ROUNDUP(Z156/20,0),"")</f>
        <v/>
      </c>
      <c r="AL156" s="4" t="n"/>
      <c r="AN156" s="596" t="inlineStr">
        <is>
          <t>Coc</t>
        </is>
      </c>
      <c r="AO156" s="596" t="n">
        <v>13</v>
      </c>
      <c r="AQ156" s="594" t="n"/>
      <c r="AR156" s="595" t="n"/>
    </row>
    <row r="157" ht="19" customHeight="1" s="672">
      <c r="A157" s="4" t="n">
        <v>145</v>
      </c>
      <c r="B157" s="5" t="inlineStr">
        <is>
          <t>Cọc khoan nhồi C4 Trụ T2 (D1.2m, L=30.0m)</t>
        </is>
      </c>
      <c r="C157" s="5" t="inlineStr">
        <is>
          <t>Cọc trụ T2 L=30m (tr.70)</t>
        </is>
      </c>
      <c r="D157" s="14" t="inlineStr">
        <is>
          <t>P7</t>
        </is>
      </c>
      <c r="E157" s="15" t="n">
        <v>25</v>
      </c>
      <c r="F157" s="4" t="inlineStr">
        <is>
          <t>CB400-V</t>
        </is>
      </c>
      <c r="G157" s="5" t="inlineStr"/>
      <c r="H157" s="16" t="n">
        <v>10.733</v>
      </c>
      <c r="I157" s="17" t="n">
        <v>12</v>
      </c>
      <c r="J157" s="18" t="n">
        <v>3.853</v>
      </c>
      <c r="K157" s="7">
        <f>ROUND(H157*I157*J157, 2)</f>
        <v/>
      </c>
      <c r="L157" s="19">
        <f>ROUND(K157/1000, 3)</f>
        <v/>
      </c>
      <c r="M157" s="728">
        <f>IF(AO157="","",IF(N(INDEX(Theo_Doi_Tan_Suat_Be_Tong!$C:$C,AO157))&lt;=0,"",INDEX(Theo_Doi_Tan_Suat_Be_Tong!$C:$C,AO157)-VLOOKUP(AN157,$AQ$2:$AR$7,2,FALSE)))</f>
        <v/>
      </c>
      <c r="N157" s="4" t="n"/>
      <c r="O157" s="20">
        <f>IF(ROUNDUP(W157/20,0)&gt;ROUNDUP(W156/20,0),"TN Ø25 (Lần " &amp; ROUNDUP(W157/20,0) &amp; ")","")</f>
        <v/>
      </c>
      <c r="P157" s="16">
        <f>ROUND(P156+IF(AND(E157&lt;=10,F157&lt;&gt;"ASTM A416"),L157,0),3)</f>
        <v/>
      </c>
      <c r="Q157" s="16">
        <f>ROUND(Q156+IF(AND(E157=12,F157&lt;&gt;"ASTM A416"),L157,0),3)</f>
        <v/>
      </c>
      <c r="R157" s="16">
        <f>ROUND(R156+IF(AND(E157=14,F157&lt;&gt;"ASTM A416"),L157,0),3)</f>
        <v/>
      </c>
      <c r="S157" s="16">
        <f>ROUND(S156+IF(AND(E157=16,F157&lt;&gt;"ASTM A416"),L157,0),3)</f>
        <v/>
      </c>
      <c r="T157" s="16">
        <f>ROUND(T156+IF(AND(E157=18,F157&lt;&gt;"ASTM A416"),L157,0),3)</f>
        <v/>
      </c>
      <c r="U157" s="16">
        <f>ROUND(U156+IF(AND(E157=20,F157&lt;&gt;"ASTM A416"),L157,0),3)</f>
        <v/>
      </c>
      <c r="V157" s="16">
        <f>ROUND(V156+IF(AND(E157=22,F157&lt;&gt;"ASTM A416"),L157,0),3)</f>
        <v/>
      </c>
      <c r="W157" s="16">
        <f>ROUND(W156+IF(AND(E157=25,F157&lt;&gt;"ASTM A416"),L157,0),3)</f>
        <v/>
      </c>
      <c r="X157" s="16">
        <f>ROUND(X156+IF(AND(E157=28,F157&lt;&gt;"ASTM A416"),L157,0),3)</f>
        <v/>
      </c>
      <c r="Y157" s="16">
        <f>ROUND(Y156+IF(AND(E157=32,F157&lt;&gt;"ASTM A416"),L157,0),3)</f>
        <v/>
      </c>
      <c r="Z157" s="16">
        <f>ROUND(Z156+IF(F157="ASTM A416",L157,0),3)</f>
        <v/>
      </c>
      <c r="AA157" s="9">
        <f>IF(ROUNDUP(P157/20,0)&gt;ROUNDUP(P156/20,0),"Lần " &amp; ROUNDUP(P157/20,0),"")</f>
        <v/>
      </c>
      <c r="AB157" s="9">
        <f>IF(ROUNDUP(Q157/20,0)&gt;ROUNDUP(Q156/20,0),"Lần " &amp; ROUNDUP(Q157/20,0),"")</f>
        <v/>
      </c>
      <c r="AC157" s="9">
        <f>IF(ROUNDUP(R157/20,0)&gt;ROUNDUP(R156/20,0),"Lần " &amp; ROUNDUP(R157/20,0),"")</f>
        <v/>
      </c>
      <c r="AD157" s="9">
        <f>IF(ROUNDUP(S157/20,0)&gt;ROUNDUP(S156/20,0),"Lần " &amp; ROUNDUP(S157/20,0),"")</f>
        <v/>
      </c>
      <c r="AE157" s="9">
        <f>IF(ROUNDUP(T157/20,0)&gt;ROUNDUP(T156/20,0),"Lần " &amp; ROUNDUP(T157/20,0),"")</f>
        <v/>
      </c>
      <c r="AF157" s="9">
        <f>IF(ROUNDUP(U157/20,0)&gt;ROUNDUP(U156/20,0),"Lần " &amp; ROUNDUP(U157/20,0),"")</f>
        <v/>
      </c>
      <c r="AG157" s="9">
        <f>IF(ROUNDUP(V157/20,0)&gt;ROUNDUP(V156/20,0),"Lần " &amp; ROUNDUP(V157/20,0),"")</f>
        <v/>
      </c>
      <c r="AH157" s="9">
        <f>IF(ROUNDUP(W157/20,0)&gt;ROUNDUP(W156/20,0),"Lần " &amp; ROUNDUP(W157/20,0),"")</f>
        <v/>
      </c>
      <c r="AI157" s="9">
        <f>IF(ROUNDUP(X157/20,0)&gt;ROUNDUP(X156/20,0),"Lần " &amp; ROUNDUP(X157/20,0),"")</f>
        <v/>
      </c>
      <c r="AJ157" s="9">
        <f>IF(ROUNDUP(Y157/20,0)&gt;ROUNDUP(Y156/20,0),"Lần " &amp; ROUNDUP(Y157/20,0),"")</f>
        <v/>
      </c>
      <c r="AK157" s="9">
        <f>IF(ROUNDUP(Z157/20,0)&gt;ROUNDUP(Z156/20,0),"Lần " &amp; ROUNDUP(Z157/20,0),"")</f>
        <v/>
      </c>
      <c r="AL157" s="4" t="n"/>
      <c r="AN157" s="596" t="inlineStr">
        <is>
          <t>Coc</t>
        </is>
      </c>
      <c r="AO157" s="596" t="n">
        <v>13</v>
      </c>
      <c r="AQ157" s="594" t="n"/>
      <c r="AR157" s="595" t="n"/>
    </row>
    <row r="158" ht="19" customHeight="1" s="672">
      <c r="A158" s="4" t="n">
        <v>146</v>
      </c>
      <c r="B158" s="5" t="inlineStr">
        <is>
          <t>Cọc khoan nhồi C4 Trụ T2 (D1.2m, L=30.0m)</t>
        </is>
      </c>
      <c r="C158" s="5" t="inlineStr">
        <is>
          <t>Cọc trụ T2 L=30m (tr.70)</t>
        </is>
      </c>
      <c r="D158" s="14" t="inlineStr">
        <is>
          <t>P8</t>
        </is>
      </c>
      <c r="E158" s="15" t="n">
        <v>12</v>
      </c>
      <c r="F158" s="4" t="inlineStr">
        <is>
          <t>CB400-V</t>
        </is>
      </c>
      <c r="G158" s="5" t="inlineStr"/>
      <c r="H158" s="16" t="n">
        <v>0.647</v>
      </c>
      <c r="I158" s="17" t="n">
        <v>12</v>
      </c>
      <c r="J158" s="18" t="n">
        <v>0.888</v>
      </c>
      <c r="K158" s="7">
        <f>ROUND(H158*I158*J158, 2)</f>
        <v/>
      </c>
      <c r="L158" s="19">
        <f>ROUND(K158/1000, 3)</f>
        <v/>
      </c>
      <c r="M158" s="728">
        <f>IF(AO158="","",IF(N(INDEX(Theo_Doi_Tan_Suat_Be_Tong!$C:$C,AO158))&lt;=0,"",INDEX(Theo_Doi_Tan_Suat_Be_Tong!$C:$C,AO158)-VLOOKUP(AN158,$AQ$2:$AR$7,2,FALSE)))</f>
        <v/>
      </c>
      <c r="N158" s="4" t="n"/>
      <c r="O158" s="20">
        <f>IF(ROUNDUP(Q158/20,0)&gt;ROUNDUP(Q157/20,0),"TN Ø12 (Lần " &amp; ROUNDUP(Q158/20,0) &amp; ")","")</f>
        <v/>
      </c>
      <c r="P158" s="16">
        <f>ROUND(P157+IF(AND(E158&lt;=10,F158&lt;&gt;"ASTM A416"),L158,0),3)</f>
        <v/>
      </c>
      <c r="Q158" s="16">
        <f>ROUND(Q157+IF(AND(E158=12,F158&lt;&gt;"ASTM A416"),L158,0),3)</f>
        <v/>
      </c>
      <c r="R158" s="16">
        <f>ROUND(R157+IF(AND(E158=14,F158&lt;&gt;"ASTM A416"),L158,0),3)</f>
        <v/>
      </c>
      <c r="S158" s="16">
        <f>ROUND(S157+IF(AND(E158=16,F158&lt;&gt;"ASTM A416"),L158,0),3)</f>
        <v/>
      </c>
      <c r="T158" s="16">
        <f>ROUND(T157+IF(AND(E158=18,F158&lt;&gt;"ASTM A416"),L158,0),3)</f>
        <v/>
      </c>
      <c r="U158" s="16">
        <f>ROUND(U157+IF(AND(E158=20,F158&lt;&gt;"ASTM A416"),L158,0),3)</f>
        <v/>
      </c>
      <c r="V158" s="16">
        <f>ROUND(V157+IF(AND(E158=22,F158&lt;&gt;"ASTM A416"),L158,0),3)</f>
        <v/>
      </c>
      <c r="W158" s="16">
        <f>ROUND(W157+IF(AND(E158=25,F158&lt;&gt;"ASTM A416"),L158,0),3)</f>
        <v/>
      </c>
      <c r="X158" s="16">
        <f>ROUND(X157+IF(AND(E158=28,F158&lt;&gt;"ASTM A416"),L158,0),3)</f>
        <v/>
      </c>
      <c r="Y158" s="16">
        <f>ROUND(Y157+IF(AND(E158=32,F158&lt;&gt;"ASTM A416"),L158,0),3)</f>
        <v/>
      </c>
      <c r="Z158" s="16">
        <f>ROUND(Z157+IF(F158="ASTM A416",L158,0),3)</f>
        <v/>
      </c>
      <c r="AA158" s="9">
        <f>IF(ROUNDUP(P158/20,0)&gt;ROUNDUP(P157/20,0),"Lần " &amp; ROUNDUP(P158/20,0),"")</f>
        <v/>
      </c>
      <c r="AB158" s="9">
        <f>IF(ROUNDUP(Q158/20,0)&gt;ROUNDUP(Q157/20,0),"Lần " &amp; ROUNDUP(Q158/20,0),"")</f>
        <v/>
      </c>
      <c r="AC158" s="9">
        <f>IF(ROUNDUP(R158/20,0)&gt;ROUNDUP(R157/20,0),"Lần " &amp; ROUNDUP(R158/20,0),"")</f>
        <v/>
      </c>
      <c r="AD158" s="9">
        <f>IF(ROUNDUP(S158/20,0)&gt;ROUNDUP(S157/20,0),"Lần " &amp; ROUNDUP(S158/20,0),"")</f>
        <v/>
      </c>
      <c r="AE158" s="9">
        <f>IF(ROUNDUP(T158/20,0)&gt;ROUNDUP(T157/20,0),"Lần " &amp; ROUNDUP(T158/20,0),"")</f>
        <v/>
      </c>
      <c r="AF158" s="9">
        <f>IF(ROUNDUP(U158/20,0)&gt;ROUNDUP(U157/20,0),"Lần " &amp; ROUNDUP(U158/20,0),"")</f>
        <v/>
      </c>
      <c r="AG158" s="9">
        <f>IF(ROUNDUP(V158/20,0)&gt;ROUNDUP(V157/20,0),"Lần " &amp; ROUNDUP(V158/20,0),"")</f>
        <v/>
      </c>
      <c r="AH158" s="9">
        <f>IF(ROUNDUP(W158/20,0)&gt;ROUNDUP(W157/20,0),"Lần " &amp; ROUNDUP(W158/20,0),"")</f>
        <v/>
      </c>
      <c r="AI158" s="9">
        <f>IF(ROUNDUP(X158/20,0)&gt;ROUNDUP(X157/20,0),"Lần " &amp; ROUNDUP(X158/20,0),"")</f>
        <v/>
      </c>
      <c r="AJ158" s="9">
        <f>IF(ROUNDUP(Y158/20,0)&gt;ROUNDUP(Y157/20,0),"Lần " &amp; ROUNDUP(Y158/20,0),"")</f>
        <v/>
      </c>
      <c r="AK158" s="9">
        <f>IF(ROUNDUP(Z158/20,0)&gt;ROUNDUP(Z157/20,0),"Lần " &amp; ROUNDUP(Z158/20,0),"")</f>
        <v/>
      </c>
      <c r="AL158" s="4" t="n"/>
      <c r="AN158" s="596" t="inlineStr">
        <is>
          <t>Coc</t>
        </is>
      </c>
      <c r="AO158" s="596" t="n">
        <v>13</v>
      </c>
      <c r="AQ158" s="594" t="n"/>
      <c r="AR158" s="595" t="n"/>
    </row>
    <row r="159" ht="19" customHeight="1" s="672">
      <c r="A159" s="4" t="n">
        <v>147</v>
      </c>
      <c r="B159" s="5" t="inlineStr">
        <is>
          <t>Cọc khoan nhồi C4 Trụ T2 (D1.2m, L=30.0m)</t>
        </is>
      </c>
      <c r="C159" s="5" t="inlineStr">
        <is>
          <t>Cọc trụ T2 L=30m (tr.70)</t>
        </is>
      </c>
      <c r="D159" s="14" t="inlineStr">
        <is>
          <t>P9</t>
        </is>
      </c>
      <c r="E159" s="15" t="n">
        <v>12</v>
      </c>
      <c r="F159" s="4" t="inlineStr">
        <is>
          <t>CB400-V</t>
        </is>
      </c>
      <c r="G159" s="5" t="inlineStr"/>
      <c r="H159" s="16" t="n">
        <v>0.379</v>
      </c>
      <c r="I159" s="17" t="n">
        <v>36</v>
      </c>
      <c r="J159" s="18" t="n">
        <v>0.888</v>
      </c>
      <c r="K159" s="7">
        <f>ROUND(H159*I159*J159, 2)</f>
        <v/>
      </c>
      <c r="L159" s="19">
        <f>ROUND(K159/1000, 3)</f>
        <v/>
      </c>
      <c r="M159" s="728">
        <f>IF(AO159="","",IF(N(INDEX(Theo_Doi_Tan_Suat_Be_Tong!$C:$C,AO159))&lt;=0,"",INDEX(Theo_Doi_Tan_Suat_Be_Tong!$C:$C,AO159)-VLOOKUP(AN159,$AQ$2:$AR$7,2,FALSE)))</f>
        <v/>
      </c>
      <c r="N159" s="4" t="n"/>
      <c r="O159" s="20">
        <f>IF(ROUNDUP(Q159/20,0)&gt;ROUNDUP(Q158/20,0),"TN Ø12 (Lần " &amp; ROUNDUP(Q159/20,0) &amp; ")","")</f>
        <v/>
      </c>
      <c r="P159" s="16">
        <f>ROUND(P158+IF(AND(E159&lt;=10,F159&lt;&gt;"ASTM A416"),L159,0),3)</f>
        <v/>
      </c>
      <c r="Q159" s="16">
        <f>ROUND(Q158+IF(AND(E159=12,F159&lt;&gt;"ASTM A416"),L159,0),3)</f>
        <v/>
      </c>
      <c r="R159" s="16">
        <f>ROUND(R158+IF(AND(E159=14,F159&lt;&gt;"ASTM A416"),L159,0),3)</f>
        <v/>
      </c>
      <c r="S159" s="16">
        <f>ROUND(S158+IF(AND(E159=16,F159&lt;&gt;"ASTM A416"),L159,0),3)</f>
        <v/>
      </c>
      <c r="T159" s="16">
        <f>ROUND(T158+IF(AND(E159=18,F159&lt;&gt;"ASTM A416"),L159,0),3)</f>
        <v/>
      </c>
      <c r="U159" s="16">
        <f>ROUND(U158+IF(AND(E159=20,F159&lt;&gt;"ASTM A416"),L159,0),3)</f>
        <v/>
      </c>
      <c r="V159" s="16">
        <f>ROUND(V158+IF(AND(E159=22,F159&lt;&gt;"ASTM A416"),L159,0),3)</f>
        <v/>
      </c>
      <c r="W159" s="16">
        <f>ROUND(W158+IF(AND(E159=25,F159&lt;&gt;"ASTM A416"),L159,0),3)</f>
        <v/>
      </c>
      <c r="X159" s="16">
        <f>ROUND(X158+IF(AND(E159=28,F159&lt;&gt;"ASTM A416"),L159,0),3)</f>
        <v/>
      </c>
      <c r="Y159" s="16">
        <f>ROUND(Y158+IF(AND(E159=32,F159&lt;&gt;"ASTM A416"),L159,0),3)</f>
        <v/>
      </c>
      <c r="Z159" s="16">
        <f>ROUND(Z158+IF(F159="ASTM A416",L159,0),3)</f>
        <v/>
      </c>
      <c r="AA159" s="9">
        <f>IF(ROUNDUP(P159/20,0)&gt;ROUNDUP(P158/20,0),"Lần " &amp; ROUNDUP(P159/20,0),"")</f>
        <v/>
      </c>
      <c r="AB159" s="9">
        <f>IF(ROUNDUP(Q159/20,0)&gt;ROUNDUP(Q158/20,0),"Lần " &amp; ROUNDUP(Q159/20,0),"")</f>
        <v/>
      </c>
      <c r="AC159" s="9">
        <f>IF(ROUNDUP(R159/20,0)&gt;ROUNDUP(R158/20,0),"Lần " &amp; ROUNDUP(R159/20,0),"")</f>
        <v/>
      </c>
      <c r="AD159" s="9">
        <f>IF(ROUNDUP(S159/20,0)&gt;ROUNDUP(S158/20,0),"Lần " &amp; ROUNDUP(S159/20,0),"")</f>
        <v/>
      </c>
      <c r="AE159" s="9">
        <f>IF(ROUNDUP(T159/20,0)&gt;ROUNDUP(T158/20,0),"Lần " &amp; ROUNDUP(T159/20,0),"")</f>
        <v/>
      </c>
      <c r="AF159" s="9">
        <f>IF(ROUNDUP(U159/20,0)&gt;ROUNDUP(U158/20,0),"Lần " &amp; ROUNDUP(U159/20,0),"")</f>
        <v/>
      </c>
      <c r="AG159" s="9">
        <f>IF(ROUNDUP(V159/20,0)&gt;ROUNDUP(V158/20,0),"Lần " &amp; ROUNDUP(V159/20,0),"")</f>
        <v/>
      </c>
      <c r="AH159" s="9">
        <f>IF(ROUNDUP(W159/20,0)&gt;ROUNDUP(W158/20,0),"Lần " &amp; ROUNDUP(W159/20,0),"")</f>
        <v/>
      </c>
      <c r="AI159" s="9">
        <f>IF(ROUNDUP(X159/20,0)&gt;ROUNDUP(X158/20,0),"Lần " &amp; ROUNDUP(X159/20,0),"")</f>
        <v/>
      </c>
      <c r="AJ159" s="9">
        <f>IF(ROUNDUP(Y159/20,0)&gt;ROUNDUP(Y158/20,0),"Lần " &amp; ROUNDUP(Y159/20,0),"")</f>
        <v/>
      </c>
      <c r="AK159" s="9">
        <f>IF(ROUNDUP(Z159/20,0)&gt;ROUNDUP(Z158/20,0),"Lần " &amp; ROUNDUP(Z159/20,0),"")</f>
        <v/>
      </c>
      <c r="AL159" s="4" t="n"/>
      <c r="AN159" s="596" t="inlineStr">
        <is>
          <t>Coc</t>
        </is>
      </c>
      <c r="AO159" s="596" t="n">
        <v>13</v>
      </c>
      <c r="AQ159" s="594" t="n"/>
      <c r="AR159" s="595" t="n"/>
    </row>
    <row r="160" ht="19" customHeight="1" s="672">
      <c r="A160" s="4" t="n">
        <v>148</v>
      </c>
      <c r="B160" s="5" t="inlineStr">
        <is>
          <t>Cọc khoan nhồi C4 Trụ T2 (D1.2m, L=30.0m)</t>
        </is>
      </c>
      <c r="C160" s="5" t="inlineStr">
        <is>
          <t>Cọc trụ T2 L=30m (tr.70)</t>
        </is>
      </c>
      <c r="D160" s="14" t="inlineStr">
        <is>
          <t>P10</t>
        </is>
      </c>
      <c r="E160" s="15" t="n">
        <v>20</v>
      </c>
      <c r="F160" s="4" t="inlineStr">
        <is>
          <t>CB400-V</t>
        </is>
      </c>
      <c r="G160" s="5" t="inlineStr"/>
      <c r="H160" s="16" t="n">
        <v>2.057</v>
      </c>
      <c r="I160" s="17" t="n">
        <v>1</v>
      </c>
      <c r="J160" s="18" t="n">
        <v>2.466</v>
      </c>
      <c r="K160" s="7">
        <f>ROUND(H160*I160*J160, 2)</f>
        <v/>
      </c>
      <c r="L160" s="19">
        <f>ROUND(K160/1000, 3)</f>
        <v/>
      </c>
      <c r="M160" s="728">
        <f>IF(AO160="","",IF(N(INDEX(Theo_Doi_Tan_Suat_Be_Tong!$C:$C,AO160))&lt;=0,"",INDEX(Theo_Doi_Tan_Suat_Be_Tong!$C:$C,AO160)-VLOOKUP(AN160,$AQ$2:$AR$7,2,FALSE)))</f>
        <v/>
      </c>
      <c r="N160" s="4" t="n"/>
      <c r="O160" s="20">
        <f>IF(ROUNDUP(U160/20,0)&gt;ROUNDUP(U159/20,0),"TN Ø20 (Lần " &amp; ROUNDUP(U160/20,0) &amp; ")","")</f>
        <v/>
      </c>
      <c r="P160" s="16">
        <f>ROUND(P159+IF(AND(E160&lt;=10,F160&lt;&gt;"ASTM A416"),L160,0),3)</f>
        <v/>
      </c>
      <c r="Q160" s="16">
        <f>ROUND(Q159+IF(AND(E160=12,F160&lt;&gt;"ASTM A416"),L160,0),3)</f>
        <v/>
      </c>
      <c r="R160" s="16">
        <f>ROUND(R159+IF(AND(E160=14,F160&lt;&gt;"ASTM A416"),L160,0),3)</f>
        <v/>
      </c>
      <c r="S160" s="16">
        <f>ROUND(S159+IF(AND(E160=16,F160&lt;&gt;"ASTM A416"),L160,0),3)</f>
        <v/>
      </c>
      <c r="T160" s="16">
        <f>ROUND(T159+IF(AND(E160=18,F160&lt;&gt;"ASTM A416"),L160,0),3)</f>
        <v/>
      </c>
      <c r="U160" s="16">
        <f>ROUND(U159+IF(AND(E160=20,F160&lt;&gt;"ASTM A416"),L160,0),3)</f>
        <v/>
      </c>
      <c r="V160" s="16">
        <f>ROUND(V159+IF(AND(E160=22,F160&lt;&gt;"ASTM A416"),L160,0),3)</f>
        <v/>
      </c>
      <c r="W160" s="16">
        <f>ROUND(W159+IF(AND(E160=25,F160&lt;&gt;"ASTM A416"),L160,0),3)</f>
        <v/>
      </c>
      <c r="X160" s="16">
        <f>ROUND(X159+IF(AND(E160=28,F160&lt;&gt;"ASTM A416"),L160,0),3)</f>
        <v/>
      </c>
      <c r="Y160" s="16">
        <f>ROUND(Y159+IF(AND(E160=32,F160&lt;&gt;"ASTM A416"),L160,0),3)</f>
        <v/>
      </c>
      <c r="Z160" s="16">
        <f>ROUND(Z159+IF(F160="ASTM A416",L160,0),3)</f>
        <v/>
      </c>
      <c r="AA160" s="9">
        <f>IF(ROUNDUP(P160/20,0)&gt;ROUNDUP(P159/20,0),"Lần " &amp; ROUNDUP(P160/20,0),"")</f>
        <v/>
      </c>
      <c r="AB160" s="9">
        <f>IF(ROUNDUP(Q160/20,0)&gt;ROUNDUP(Q159/20,0),"Lần " &amp; ROUNDUP(Q160/20,0),"")</f>
        <v/>
      </c>
      <c r="AC160" s="9">
        <f>IF(ROUNDUP(R160/20,0)&gt;ROUNDUP(R159/20,0),"Lần " &amp; ROUNDUP(R160/20,0),"")</f>
        <v/>
      </c>
      <c r="AD160" s="9">
        <f>IF(ROUNDUP(S160/20,0)&gt;ROUNDUP(S159/20,0),"Lần " &amp; ROUNDUP(S160/20,0),"")</f>
        <v/>
      </c>
      <c r="AE160" s="9">
        <f>IF(ROUNDUP(T160/20,0)&gt;ROUNDUP(T159/20,0),"Lần " &amp; ROUNDUP(T160/20,0),"")</f>
        <v/>
      </c>
      <c r="AF160" s="9">
        <f>IF(ROUNDUP(U160/20,0)&gt;ROUNDUP(U159/20,0),"Lần " &amp; ROUNDUP(U160/20,0),"")</f>
        <v/>
      </c>
      <c r="AG160" s="9">
        <f>IF(ROUNDUP(V160/20,0)&gt;ROUNDUP(V159/20,0),"Lần " &amp; ROUNDUP(V160/20,0),"")</f>
        <v/>
      </c>
      <c r="AH160" s="9">
        <f>IF(ROUNDUP(W160/20,0)&gt;ROUNDUP(W159/20,0),"Lần " &amp; ROUNDUP(W160/20,0),"")</f>
        <v/>
      </c>
      <c r="AI160" s="9">
        <f>IF(ROUNDUP(X160/20,0)&gt;ROUNDUP(X159/20,0),"Lần " &amp; ROUNDUP(X160/20,0),"")</f>
        <v/>
      </c>
      <c r="AJ160" s="9">
        <f>IF(ROUNDUP(Y160/20,0)&gt;ROUNDUP(Y159/20,0),"Lần " &amp; ROUNDUP(Y160/20,0),"")</f>
        <v/>
      </c>
      <c r="AK160" s="9">
        <f>IF(ROUNDUP(Z160/20,0)&gt;ROUNDUP(Z159/20,0),"Lần " &amp; ROUNDUP(Z160/20,0),"")</f>
        <v/>
      </c>
      <c r="AL160" s="4" t="n"/>
      <c r="AN160" s="596" t="inlineStr">
        <is>
          <t>Coc</t>
        </is>
      </c>
      <c r="AO160" s="596" t="n">
        <v>13</v>
      </c>
      <c r="AQ160" s="594" t="n"/>
      <c r="AR160" s="595" t="n"/>
    </row>
    <row r="161" ht="20" customHeight="1" s="672">
      <c r="A161" s="4" t="n">
        <v>149</v>
      </c>
      <c r="B161" s="5" t="inlineStr">
        <is>
          <t>Cọc khoan nhồi C4 Trụ T2 (D1.2m, L=30.0m)</t>
        </is>
      </c>
      <c r="C161" s="5" t="inlineStr">
        <is>
          <t>Cọc trụ T2 L=30m (tr.70)</t>
        </is>
      </c>
      <c r="D161" s="14" t="inlineStr">
        <is>
          <t>P12</t>
        </is>
      </c>
      <c r="E161" s="15" t="n">
        <v>20</v>
      </c>
      <c r="F161" s="4" t="inlineStr">
        <is>
          <t>CB400-V</t>
        </is>
      </c>
      <c r="G161" s="5" t="inlineStr"/>
      <c r="H161" s="16" t="n">
        <v>0.583</v>
      </c>
      <c r="I161" s="17" t="n">
        <v>48</v>
      </c>
      <c r="J161" s="18" t="n">
        <v>2.466</v>
      </c>
      <c r="K161" s="7">
        <f>ROUND(H161*I161*J161, 2)</f>
        <v/>
      </c>
      <c r="L161" s="19">
        <f>ROUND(K161/1000, 3)</f>
        <v/>
      </c>
      <c r="M161" s="728">
        <f>IF(AO161="","",IF(N(INDEX(Theo_Doi_Tan_Suat_Be_Tong!$C:$C,AO161))&lt;=0,"",INDEX(Theo_Doi_Tan_Suat_Be_Tong!$C:$C,AO161)-VLOOKUP(AN161,$AQ$2:$AR$7,2,FALSE)))</f>
        <v/>
      </c>
      <c r="N161" s="4" t="n"/>
      <c r="O161" s="20">
        <f>IF(ROUNDUP(U161/20,0)&gt;ROUNDUP(U160/20,0),"TN Ø20 (Lần " &amp; ROUNDUP(U161/20,0) &amp; ")","")</f>
        <v/>
      </c>
      <c r="P161" s="16">
        <f>ROUND(P160+IF(AND(E161&lt;=10,F161&lt;&gt;"ASTM A416"),L161,0),3)</f>
        <v/>
      </c>
      <c r="Q161" s="16">
        <f>ROUND(Q160+IF(AND(E161=12,F161&lt;&gt;"ASTM A416"),L161,0),3)</f>
        <v/>
      </c>
      <c r="R161" s="16">
        <f>ROUND(R160+IF(AND(E161=14,F161&lt;&gt;"ASTM A416"),L161,0),3)</f>
        <v/>
      </c>
      <c r="S161" s="16">
        <f>ROUND(S160+IF(AND(E161=16,F161&lt;&gt;"ASTM A416"),L161,0),3)</f>
        <v/>
      </c>
      <c r="T161" s="16">
        <f>ROUND(T160+IF(AND(E161=18,F161&lt;&gt;"ASTM A416"),L161,0),3)</f>
        <v/>
      </c>
      <c r="U161" s="16">
        <f>ROUND(U160+IF(AND(E161=20,F161&lt;&gt;"ASTM A416"),L161,0),3)</f>
        <v/>
      </c>
      <c r="V161" s="16">
        <f>ROUND(V160+IF(AND(E161=22,F161&lt;&gt;"ASTM A416"),L161,0),3)</f>
        <v/>
      </c>
      <c r="W161" s="16">
        <f>ROUND(W160+IF(AND(E161=25,F161&lt;&gt;"ASTM A416"),L161,0),3)</f>
        <v/>
      </c>
      <c r="X161" s="16">
        <f>ROUND(X160+IF(AND(E161=28,F161&lt;&gt;"ASTM A416"),L161,0),3)</f>
        <v/>
      </c>
      <c r="Y161" s="16">
        <f>ROUND(Y160+IF(AND(E161=32,F161&lt;&gt;"ASTM A416"),L161,0),3)</f>
        <v/>
      </c>
      <c r="Z161" s="16">
        <f>ROUND(Z160+IF(F161="ASTM A416",L161,0),3)</f>
        <v/>
      </c>
      <c r="AA161" s="9">
        <f>IF(ROUNDUP(P161/20,0)&gt;ROUNDUP(P160/20,0),"Lần " &amp; ROUNDUP(P161/20,0),"")</f>
        <v/>
      </c>
      <c r="AB161" s="9">
        <f>IF(ROUNDUP(Q161/20,0)&gt;ROUNDUP(Q160/20,0),"Lần " &amp; ROUNDUP(Q161/20,0),"")</f>
        <v/>
      </c>
      <c r="AC161" s="9">
        <f>IF(ROUNDUP(R161/20,0)&gt;ROUNDUP(R160/20,0),"Lần " &amp; ROUNDUP(R161/20,0),"")</f>
        <v/>
      </c>
      <c r="AD161" s="9">
        <f>IF(ROUNDUP(S161/20,0)&gt;ROUNDUP(S160/20,0),"Lần " &amp; ROUNDUP(S161/20,0),"")</f>
        <v/>
      </c>
      <c r="AE161" s="9">
        <f>IF(ROUNDUP(T161/20,0)&gt;ROUNDUP(T160/20,0),"Lần " &amp; ROUNDUP(T161/20,0),"")</f>
        <v/>
      </c>
      <c r="AF161" s="9">
        <f>IF(ROUNDUP(U161/20,0)&gt;ROUNDUP(U160/20,0),"Lần " &amp; ROUNDUP(U161/20,0),"")</f>
        <v/>
      </c>
      <c r="AG161" s="9">
        <f>IF(ROUNDUP(V161/20,0)&gt;ROUNDUP(V160/20,0),"Lần " &amp; ROUNDUP(V161/20,0),"")</f>
        <v/>
      </c>
      <c r="AH161" s="9">
        <f>IF(ROUNDUP(W161/20,0)&gt;ROUNDUP(W160/20,0),"Lần " &amp; ROUNDUP(W161/20,0),"")</f>
        <v/>
      </c>
      <c r="AI161" s="9">
        <f>IF(ROUNDUP(X161/20,0)&gt;ROUNDUP(X160/20,0),"Lần " &amp; ROUNDUP(X161/20,0),"")</f>
        <v/>
      </c>
      <c r="AJ161" s="9">
        <f>IF(ROUNDUP(Y161/20,0)&gt;ROUNDUP(Y160/20,0),"Lần " &amp; ROUNDUP(Y161/20,0),"")</f>
        <v/>
      </c>
      <c r="AK161" s="9">
        <f>IF(ROUNDUP(Z161/20,0)&gt;ROUNDUP(Z160/20,0),"Lần " &amp; ROUNDUP(Z161/20,0),"")</f>
        <v/>
      </c>
      <c r="AL161" s="4" t="n"/>
      <c r="AN161" s="596" t="inlineStr">
        <is>
          <t>Coc</t>
        </is>
      </c>
      <c r="AO161" s="596" t="n">
        <v>13</v>
      </c>
      <c r="AQ161" s="594" t="n"/>
      <c r="AR161" s="595" t="n"/>
    </row>
    <row r="162" ht="19" customHeight="1" s="672">
      <c r="A162" s="4" t="n">
        <v>150</v>
      </c>
      <c r="B162" s="5" t="inlineStr">
        <is>
          <t>Cọc khoan nhồi C4 Trụ T2 (D1.2m, L=30.0m)</t>
        </is>
      </c>
      <c r="C162" s="5" t="inlineStr">
        <is>
          <t>Cọc trụ T2 L=30m (tr.70)</t>
        </is>
      </c>
      <c r="D162" s="14" t="inlineStr">
        <is>
          <t>P11</t>
        </is>
      </c>
      <c r="E162" s="15" t="n">
        <v>16</v>
      </c>
      <c r="F162" s="4" t="inlineStr">
        <is>
          <t>CB400-V</t>
        </is>
      </c>
      <c r="G162" s="5" t="inlineStr"/>
      <c r="H162" s="16" t="n">
        <v>2.604</v>
      </c>
      <c r="I162" s="17" t="n">
        <v>4</v>
      </c>
      <c r="J162" s="18" t="n">
        <v>1.578</v>
      </c>
      <c r="K162" s="7">
        <f>ROUND(H162*I162*J162, 2)</f>
        <v/>
      </c>
      <c r="L162" s="19">
        <f>ROUND(K162/1000, 3)</f>
        <v/>
      </c>
      <c r="M162" s="728">
        <f>IF(AO162="","",IF(N(INDEX(Theo_Doi_Tan_Suat_Be_Tong!$C:$C,AO162))&lt;=0,"",INDEX(Theo_Doi_Tan_Suat_Be_Tong!$C:$C,AO162)-VLOOKUP(AN162,$AQ$2:$AR$7,2,FALSE)))</f>
        <v/>
      </c>
      <c r="N162" s="4" t="n"/>
      <c r="O162" s="20">
        <f>IF(ROUNDUP(S162/20,0)&gt;ROUNDUP(S161/20,0),"TN Ø16 (Lần " &amp; ROUNDUP(S162/20,0) &amp; ")","")</f>
        <v/>
      </c>
      <c r="P162" s="16">
        <f>ROUND(P161+IF(AND(E162&lt;=10,F162&lt;&gt;"ASTM A416"),L162,0),3)</f>
        <v/>
      </c>
      <c r="Q162" s="16">
        <f>ROUND(Q161+IF(AND(E162=12,F162&lt;&gt;"ASTM A416"),L162,0),3)</f>
        <v/>
      </c>
      <c r="R162" s="16">
        <f>ROUND(R161+IF(AND(E162=14,F162&lt;&gt;"ASTM A416"),L162,0),3)</f>
        <v/>
      </c>
      <c r="S162" s="16">
        <f>ROUND(S161+IF(AND(E162=16,F162&lt;&gt;"ASTM A416"),L162,0),3)</f>
        <v/>
      </c>
      <c r="T162" s="16">
        <f>ROUND(T161+IF(AND(E162=18,F162&lt;&gt;"ASTM A416"),L162,0),3)</f>
        <v/>
      </c>
      <c r="U162" s="16">
        <f>ROUND(U161+IF(AND(E162=20,F162&lt;&gt;"ASTM A416"),L162,0),3)</f>
        <v/>
      </c>
      <c r="V162" s="16">
        <f>ROUND(V161+IF(AND(E162=22,F162&lt;&gt;"ASTM A416"),L162,0),3)</f>
        <v/>
      </c>
      <c r="W162" s="16">
        <f>ROUND(W161+IF(AND(E162=25,F162&lt;&gt;"ASTM A416"),L162,0),3)</f>
        <v/>
      </c>
      <c r="X162" s="16">
        <f>ROUND(X161+IF(AND(E162=28,F162&lt;&gt;"ASTM A416"),L162,0),3)</f>
        <v/>
      </c>
      <c r="Y162" s="16">
        <f>ROUND(Y161+IF(AND(E162=32,F162&lt;&gt;"ASTM A416"),L162,0),3)</f>
        <v/>
      </c>
      <c r="Z162" s="16">
        <f>ROUND(Z161+IF(F162="ASTM A416",L162,0),3)</f>
        <v/>
      </c>
      <c r="AA162" s="9">
        <f>IF(ROUNDUP(P162/20,0)&gt;ROUNDUP(P161/20,0),"Lần " &amp; ROUNDUP(P162/20,0),"")</f>
        <v/>
      </c>
      <c r="AB162" s="9">
        <f>IF(ROUNDUP(Q162/20,0)&gt;ROUNDUP(Q161/20,0),"Lần " &amp; ROUNDUP(Q162/20,0),"")</f>
        <v/>
      </c>
      <c r="AC162" s="9">
        <f>IF(ROUNDUP(R162/20,0)&gt;ROUNDUP(R161/20,0),"Lần " &amp; ROUNDUP(R162/20,0),"")</f>
        <v/>
      </c>
      <c r="AD162" s="9">
        <f>IF(ROUNDUP(S162/20,0)&gt;ROUNDUP(S161/20,0),"Lần " &amp; ROUNDUP(S162/20,0),"")</f>
        <v/>
      </c>
      <c r="AE162" s="9">
        <f>IF(ROUNDUP(T162/20,0)&gt;ROUNDUP(T161/20,0),"Lần " &amp; ROUNDUP(T162/20,0),"")</f>
        <v/>
      </c>
      <c r="AF162" s="9">
        <f>IF(ROUNDUP(U162/20,0)&gt;ROUNDUP(U161/20,0),"Lần " &amp; ROUNDUP(U162/20,0),"")</f>
        <v/>
      </c>
      <c r="AG162" s="9">
        <f>IF(ROUNDUP(V162/20,0)&gt;ROUNDUP(V161/20,0),"Lần " &amp; ROUNDUP(V162/20,0),"")</f>
        <v/>
      </c>
      <c r="AH162" s="9">
        <f>IF(ROUNDUP(W162/20,0)&gt;ROUNDUP(W161/20,0),"Lần " &amp; ROUNDUP(W162/20,0),"")</f>
        <v/>
      </c>
      <c r="AI162" s="9">
        <f>IF(ROUNDUP(X162/20,0)&gt;ROUNDUP(X161/20,0),"Lần " &amp; ROUNDUP(X162/20,0),"")</f>
        <v/>
      </c>
      <c r="AJ162" s="9">
        <f>IF(ROUNDUP(Y162/20,0)&gt;ROUNDUP(Y161/20,0),"Lần " &amp; ROUNDUP(Y162/20,0),"")</f>
        <v/>
      </c>
      <c r="AK162" s="9">
        <f>IF(ROUNDUP(Z162/20,0)&gt;ROUNDUP(Z161/20,0),"Lần " &amp; ROUNDUP(Z162/20,0),"")</f>
        <v/>
      </c>
      <c r="AL162" s="4" t="n"/>
      <c r="AN162" s="596" t="inlineStr">
        <is>
          <t>Coc</t>
        </is>
      </c>
      <c r="AO162" s="596" t="n">
        <v>13</v>
      </c>
      <c r="AQ162" s="594" t="n"/>
      <c r="AR162" s="595" t="n"/>
    </row>
    <row r="163" ht="19" customHeight="1" s="672">
      <c r="A163" s="668" t="inlineStr">
        <is>
          <t>--- CỌC KHOAN NHỒI C6 TRỤ T1 (D1.2M, L=40.0M) ---</t>
        </is>
      </c>
      <c r="B163" s="722" t="n"/>
      <c r="C163" s="722" t="n"/>
      <c r="D163" s="722" t="n"/>
      <c r="E163" s="722" t="n"/>
      <c r="F163" s="722" t="n"/>
      <c r="G163" s="722" t="n"/>
      <c r="H163" s="722" t="n"/>
      <c r="I163" s="722" t="n"/>
      <c r="J163" s="722" t="n"/>
      <c r="K163" s="722" t="n"/>
      <c r="L163" s="722" t="n"/>
      <c r="M163" s="722" t="n"/>
      <c r="N163" s="722" t="n"/>
      <c r="O163" s="722" t="n"/>
      <c r="P163" s="722" t="n"/>
      <c r="Q163" s="722" t="n"/>
      <c r="R163" s="722" t="n"/>
      <c r="S163" s="722" t="n"/>
      <c r="T163" s="722" t="n"/>
      <c r="U163" s="722" t="n"/>
      <c r="V163" s="722" t="n"/>
      <c r="W163" s="722" t="n"/>
      <c r="X163" s="722" t="n"/>
      <c r="Y163" s="722" t="n"/>
      <c r="Z163" s="722" t="n"/>
      <c r="AA163" s="722" t="n"/>
      <c r="AB163" s="722" t="n"/>
      <c r="AC163" s="722" t="n"/>
      <c r="AD163" s="722" t="n"/>
      <c r="AE163" s="722" t="n"/>
      <c r="AF163" s="722" t="n"/>
      <c r="AG163" s="722" t="n"/>
      <c r="AH163" s="722" t="n"/>
      <c r="AI163" s="722" t="n"/>
      <c r="AJ163" s="722" t="n"/>
      <c r="AK163" s="722" t="n"/>
      <c r="AL163" s="721" t="n"/>
      <c r="AQ163" s="594" t="n"/>
      <c r="AR163" s="595" t="n"/>
    </row>
    <row r="164" ht="19" customHeight="1" s="672">
      <c r="A164" s="4" t="n">
        <v>151</v>
      </c>
      <c r="B164" s="5" t="inlineStr">
        <is>
          <t>Cọc khoan nhồi C6 Trụ T1 (D1.2m, L=40.0m)</t>
        </is>
      </c>
      <c r="C164" s="5" t="inlineStr">
        <is>
          <t>Cọc trụ T1 L=40m (tr.68)</t>
        </is>
      </c>
      <c r="D164" s="14" t="inlineStr">
        <is>
          <t>P1</t>
        </is>
      </c>
      <c r="E164" s="15" t="n">
        <v>10</v>
      </c>
      <c r="F164" s="4" t="inlineStr">
        <is>
          <t>CB240-T</t>
        </is>
      </c>
      <c r="G164" s="5" t="inlineStr"/>
      <c r="H164" s="16" t="n">
        <v>96.604</v>
      </c>
      <c r="I164" s="17" t="n">
        <v>1</v>
      </c>
      <c r="J164" s="18" t="n">
        <v>0.617</v>
      </c>
      <c r="K164" s="7">
        <f>ROUND(H164*I164*J164, 2)</f>
        <v/>
      </c>
      <c r="L164" s="19">
        <f>ROUND(K164/1000, 3)</f>
        <v/>
      </c>
      <c r="M164" s="728">
        <f>IF(AO164="","",IF(N(INDEX(Theo_Doi_Tan_Suat_Be_Tong!$C:$C,AO164))&lt;=0,"",INDEX(Theo_Doi_Tan_Suat_Be_Tong!$C:$C,AO164)-VLOOKUP(AN164,$AQ$2:$AR$7,2,FALSE)))</f>
        <v/>
      </c>
      <c r="N164" s="4" t="n"/>
      <c r="O164" s="20">
        <f>IF(ROUNDUP(P164/20,0)&gt;ROUNDUP(P162/20,0),"TN Ø10 (Lần " &amp; ROUNDUP(P164/20,0) &amp; ")","")</f>
        <v/>
      </c>
      <c r="P164" s="16">
        <f>ROUND(P162+IF(AND(E164&lt;=10,F164&lt;&gt;"ASTM A416"),L164,0),3)</f>
        <v/>
      </c>
      <c r="Q164" s="16">
        <f>ROUND(Q162+IF(AND(E164=12,F164&lt;&gt;"ASTM A416"),L164,0),3)</f>
        <v/>
      </c>
      <c r="R164" s="16">
        <f>ROUND(R162+IF(AND(E164=14,F164&lt;&gt;"ASTM A416"),L164,0),3)</f>
        <v/>
      </c>
      <c r="S164" s="16">
        <f>ROUND(S162+IF(AND(E164=16,F164&lt;&gt;"ASTM A416"),L164,0),3)</f>
        <v/>
      </c>
      <c r="T164" s="16">
        <f>ROUND(T162+IF(AND(E164=18,F164&lt;&gt;"ASTM A416"),L164,0),3)</f>
        <v/>
      </c>
      <c r="U164" s="16">
        <f>ROUND(U162+IF(AND(E164=20,F164&lt;&gt;"ASTM A416"),L164,0),3)</f>
        <v/>
      </c>
      <c r="V164" s="16">
        <f>ROUND(V162+IF(AND(E164=22,F164&lt;&gt;"ASTM A416"),L164,0),3)</f>
        <v/>
      </c>
      <c r="W164" s="16">
        <f>ROUND(W162+IF(AND(E164=25,F164&lt;&gt;"ASTM A416"),L164,0),3)</f>
        <v/>
      </c>
      <c r="X164" s="16">
        <f>ROUND(X162+IF(AND(E164=28,F164&lt;&gt;"ASTM A416"),L164,0),3)</f>
        <v/>
      </c>
      <c r="Y164" s="16">
        <f>ROUND(Y162+IF(AND(E164=32,F164&lt;&gt;"ASTM A416"),L164,0),3)</f>
        <v/>
      </c>
      <c r="Z164" s="16">
        <f>ROUND(Z162+IF(F164="ASTM A416",L164,0),3)</f>
        <v/>
      </c>
      <c r="AA164" s="9">
        <f>IF(ROUNDUP(P164/20,0)&gt;ROUNDUP(P162/20,0),"Lần " &amp; ROUNDUP(P164/20,0),"")</f>
        <v/>
      </c>
      <c r="AB164" s="9">
        <f>IF(ROUNDUP(Q164/20,0)&gt;ROUNDUP(Q162/20,0),"Lần " &amp; ROUNDUP(Q164/20,0),"")</f>
        <v/>
      </c>
      <c r="AC164" s="9">
        <f>IF(ROUNDUP(R164/20,0)&gt;ROUNDUP(R162/20,0),"Lần " &amp; ROUNDUP(R164/20,0),"")</f>
        <v/>
      </c>
      <c r="AD164" s="9">
        <f>IF(ROUNDUP(S164/20,0)&gt;ROUNDUP(S162/20,0),"Lần " &amp; ROUNDUP(S164/20,0),"")</f>
        <v/>
      </c>
      <c r="AE164" s="9">
        <f>IF(ROUNDUP(T164/20,0)&gt;ROUNDUP(T162/20,0),"Lần " &amp; ROUNDUP(T164/20,0),"")</f>
        <v/>
      </c>
      <c r="AF164" s="9">
        <f>IF(ROUNDUP(U164/20,0)&gt;ROUNDUP(U162/20,0),"Lần " &amp; ROUNDUP(U164/20,0),"")</f>
        <v/>
      </c>
      <c r="AG164" s="9">
        <f>IF(ROUNDUP(V164/20,0)&gt;ROUNDUP(V162/20,0),"Lần " &amp; ROUNDUP(V164/20,0),"")</f>
        <v/>
      </c>
      <c r="AH164" s="9">
        <f>IF(ROUNDUP(W164/20,0)&gt;ROUNDUP(W162/20,0),"Lần " &amp; ROUNDUP(W164/20,0),"")</f>
        <v/>
      </c>
      <c r="AI164" s="9">
        <f>IF(ROUNDUP(X164/20,0)&gt;ROUNDUP(X162/20,0),"Lần " &amp; ROUNDUP(X164/20,0),"")</f>
        <v/>
      </c>
      <c r="AJ164" s="9">
        <f>IF(ROUNDUP(Y164/20,0)&gt;ROUNDUP(Y162/20,0),"Lần " &amp; ROUNDUP(Y164/20,0),"")</f>
        <v/>
      </c>
      <c r="AK164" s="9">
        <f>IF(ROUNDUP(Z164/20,0)&gt;ROUNDUP(Z162/20,0),"Lần " &amp; ROUNDUP(Z164/20,0),"")</f>
        <v/>
      </c>
      <c r="AL164" s="4" t="n"/>
      <c r="AN164" s="596" t="inlineStr">
        <is>
          <t>Coc</t>
        </is>
      </c>
      <c r="AO164" s="596" t="n">
        <v>14</v>
      </c>
      <c r="AQ164" s="594" t="n"/>
      <c r="AR164" s="595" t="n"/>
    </row>
    <row r="165" ht="19" customHeight="1" s="672">
      <c r="A165" s="4" t="n">
        <v>152</v>
      </c>
      <c r="B165" s="5" t="inlineStr">
        <is>
          <t>Cọc khoan nhồi C6 Trụ T1 (D1.2m, L=40.0m)</t>
        </is>
      </c>
      <c r="C165" s="5" t="inlineStr">
        <is>
          <t>Cọc trụ T1 L=40m (tr.68)</t>
        </is>
      </c>
      <c r="D165" s="14" t="inlineStr">
        <is>
          <t>P1A</t>
        </is>
      </c>
      <c r="E165" s="15" t="n">
        <v>10</v>
      </c>
      <c r="F165" s="4" t="inlineStr">
        <is>
          <t>CB240-T</t>
        </is>
      </c>
      <c r="G165" s="5" t="inlineStr"/>
      <c r="H165" s="16" t="n">
        <v>389.636</v>
      </c>
      <c r="I165" s="17" t="n">
        <v>1</v>
      </c>
      <c r="J165" s="18" t="n">
        <v>0.617</v>
      </c>
      <c r="K165" s="7">
        <f>ROUND(H165*I165*J165, 2)</f>
        <v/>
      </c>
      <c r="L165" s="19">
        <f>ROUND(K165/1000, 3)</f>
        <v/>
      </c>
      <c r="M165" s="728">
        <f>IF(AO165="","",IF(N(INDEX(Theo_Doi_Tan_Suat_Be_Tong!$C:$C,AO165))&lt;=0,"",INDEX(Theo_Doi_Tan_Suat_Be_Tong!$C:$C,AO165)-VLOOKUP(AN165,$AQ$2:$AR$7,2,FALSE)))</f>
        <v/>
      </c>
      <c r="N165" s="4" t="n"/>
      <c r="O165" s="20">
        <f>IF(ROUNDUP(P165/20,0)&gt;ROUNDUP(P164/20,0),"TN Ø10 (Lần " &amp; ROUNDUP(P165/20,0) &amp; ")","")</f>
        <v/>
      </c>
      <c r="P165" s="16">
        <f>ROUND(P164+IF(AND(E165&lt;=10,F165&lt;&gt;"ASTM A416"),L165,0),3)</f>
        <v/>
      </c>
      <c r="Q165" s="16">
        <f>ROUND(Q164+IF(AND(E165=12,F165&lt;&gt;"ASTM A416"),L165,0),3)</f>
        <v/>
      </c>
      <c r="R165" s="16">
        <f>ROUND(R164+IF(AND(E165=14,F165&lt;&gt;"ASTM A416"),L165,0),3)</f>
        <v/>
      </c>
      <c r="S165" s="16">
        <f>ROUND(S164+IF(AND(E165=16,F165&lt;&gt;"ASTM A416"),L165,0),3)</f>
        <v/>
      </c>
      <c r="T165" s="16">
        <f>ROUND(T164+IF(AND(E165=18,F165&lt;&gt;"ASTM A416"),L165,0),3)</f>
        <v/>
      </c>
      <c r="U165" s="16">
        <f>ROUND(U164+IF(AND(E165=20,F165&lt;&gt;"ASTM A416"),L165,0),3)</f>
        <v/>
      </c>
      <c r="V165" s="16">
        <f>ROUND(V164+IF(AND(E165=22,F165&lt;&gt;"ASTM A416"),L165,0),3)</f>
        <v/>
      </c>
      <c r="W165" s="16">
        <f>ROUND(W164+IF(AND(E165=25,F165&lt;&gt;"ASTM A416"),L165,0),3)</f>
        <v/>
      </c>
      <c r="X165" s="16">
        <f>ROUND(X164+IF(AND(E165=28,F165&lt;&gt;"ASTM A416"),L165,0),3)</f>
        <v/>
      </c>
      <c r="Y165" s="16">
        <f>ROUND(Y164+IF(AND(E165=32,F165&lt;&gt;"ASTM A416"),L165,0),3)</f>
        <v/>
      </c>
      <c r="Z165" s="16">
        <f>ROUND(Z164+IF(F165="ASTM A416",L165,0),3)</f>
        <v/>
      </c>
      <c r="AA165" s="9">
        <f>IF(ROUNDUP(P165/20,0)&gt;ROUNDUP(P164/20,0),"Lần " &amp; ROUNDUP(P165/20,0),"")</f>
        <v/>
      </c>
      <c r="AB165" s="9">
        <f>IF(ROUNDUP(Q165/20,0)&gt;ROUNDUP(Q164/20,0),"Lần " &amp; ROUNDUP(Q165/20,0),"")</f>
        <v/>
      </c>
      <c r="AC165" s="9">
        <f>IF(ROUNDUP(R165/20,0)&gt;ROUNDUP(R164/20,0),"Lần " &amp; ROUNDUP(R165/20,0),"")</f>
        <v/>
      </c>
      <c r="AD165" s="9">
        <f>IF(ROUNDUP(S165/20,0)&gt;ROUNDUP(S164/20,0),"Lần " &amp; ROUNDUP(S165/20,0),"")</f>
        <v/>
      </c>
      <c r="AE165" s="9">
        <f>IF(ROUNDUP(T165/20,0)&gt;ROUNDUP(T164/20,0),"Lần " &amp; ROUNDUP(T165/20,0),"")</f>
        <v/>
      </c>
      <c r="AF165" s="9">
        <f>IF(ROUNDUP(U165/20,0)&gt;ROUNDUP(U164/20,0),"Lần " &amp; ROUNDUP(U165/20,0),"")</f>
        <v/>
      </c>
      <c r="AG165" s="9">
        <f>IF(ROUNDUP(V165/20,0)&gt;ROUNDUP(V164/20,0),"Lần " &amp; ROUNDUP(V165/20,0),"")</f>
        <v/>
      </c>
      <c r="AH165" s="9">
        <f>IF(ROUNDUP(W165/20,0)&gt;ROUNDUP(W164/20,0),"Lần " &amp; ROUNDUP(W165/20,0),"")</f>
        <v/>
      </c>
      <c r="AI165" s="9">
        <f>IF(ROUNDUP(X165/20,0)&gt;ROUNDUP(X164/20,0),"Lần " &amp; ROUNDUP(X165/20,0),"")</f>
        <v/>
      </c>
      <c r="AJ165" s="9">
        <f>IF(ROUNDUP(Y165/20,0)&gt;ROUNDUP(Y164/20,0),"Lần " &amp; ROUNDUP(Y165/20,0),"")</f>
        <v/>
      </c>
      <c r="AK165" s="9">
        <f>IF(ROUNDUP(Z165/20,0)&gt;ROUNDUP(Z164/20,0),"Lần " &amp; ROUNDUP(Z165/20,0),"")</f>
        <v/>
      </c>
      <c r="AL165" s="4" t="n"/>
      <c r="AN165" s="596" t="inlineStr">
        <is>
          <t>Coc</t>
        </is>
      </c>
      <c r="AO165" s="596" t="n">
        <v>14</v>
      </c>
      <c r="AQ165" s="594" t="n"/>
      <c r="AR165" s="595" t="n"/>
    </row>
    <row r="166" ht="19" customHeight="1" s="672">
      <c r="A166" s="4" t="n">
        <v>153</v>
      </c>
      <c r="B166" s="5" t="inlineStr">
        <is>
          <t>Cọc khoan nhồi C6 Trụ T1 (D1.2m, L=40.0m)</t>
        </is>
      </c>
      <c r="C166" s="5" t="inlineStr">
        <is>
          <t>Cọc trụ T1 L=40m (tr.68)</t>
        </is>
      </c>
      <c r="D166" s="14" t="inlineStr">
        <is>
          <t>P1B</t>
        </is>
      </c>
      <c r="E166" s="15" t="n">
        <v>10</v>
      </c>
      <c r="F166" s="4" t="inlineStr">
        <is>
          <t>CB240-T</t>
        </is>
      </c>
      <c r="G166" s="5" t="inlineStr"/>
      <c r="H166" s="16" t="n">
        <v>206.981</v>
      </c>
      <c r="I166" s="17" t="n">
        <v>1</v>
      </c>
      <c r="J166" s="18" t="n">
        <v>0.617</v>
      </c>
      <c r="K166" s="7">
        <f>ROUND(H166*I166*J166, 2)</f>
        <v/>
      </c>
      <c r="L166" s="19">
        <f>ROUND(K166/1000, 3)</f>
        <v/>
      </c>
      <c r="M166" s="728">
        <f>IF(AO166="","",IF(N(INDEX(Theo_Doi_Tan_Suat_Be_Tong!$C:$C,AO166))&lt;=0,"",INDEX(Theo_Doi_Tan_Suat_Be_Tong!$C:$C,AO166)-VLOOKUP(AN166,$AQ$2:$AR$7,2,FALSE)))</f>
        <v/>
      </c>
      <c r="N166" s="4" t="n"/>
      <c r="O166" s="20">
        <f>IF(ROUNDUP(P166/20,0)&gt;ROUNDUP(P165/20,0),"TN Ø10 (Lần " &amp; ROUNDUP(P166/20,0) &amp; ")","")</f>
        <v/>
      </c>
      <c r="P166" s="16">
        <f>ROUND(P165+IF(AND(E166&lt;=10,F166&lt;&gt;"ASTM A416"),L166,0),3)</f>
        <v/>
      </c>
      <c r="Q166" s="16">
        <f>ROUND(Q165+IF(AND(E166=12,F166&lt;&gt;"ASTM A416"),L166,0),3)</f>
        <v/>
      </c>
      <c r="R166" s="16">
        <f>ROUND(R165+IF(AND(E166=14,F166&lt;&gt;"ASTM A416"),L166,0),3)</f>
        <v/>
      </c>
      <c r="S166" s="16">
        <f>ROUND(S165+IF(AND(E166=16,F166&lt;&gt;"ASTM A416"),L166,0),3)</f>
        <v/>
      </c>
      <c r="T166" s="16">
        <f>ROUND(T165+IF(AND(E166=18,F166&lt;&gt;"ASTM A416"),L166,0),3)</f>
        <v/>
      </c>
      <c r="U166" s="16">
        <f>ROUND(U165+IF(AND(E166=20,F166&lt;&gt;"ASTM A416"),L166,0),3)</f>
        <v/>
      </c>
      <c r="V166" s="16">
        <f>ROUND(V165+IF(AND(E166=22,F166&lt;&gt;"ASTM A416"),L166,0),3)</f>
        <v/>
      </c>
      <c r="W166" s="16">
        <f>ROUND(W165+IF(AND(E166=25,F166&lt;&gt;"ASTM A416"),L166,0),3)</f>
        <v/>
      </c>
      <c r="X166" s="16">
        <f>ROUND(X165+IF(AND(E166=28,F166&lt;&gt;"ASTM A416"),L166,0),3)</f>
        <v/>
      </c>
      <c r="Y166" s="16">
        <f>ROUND(Y165+IF(AND(E166=32,F166&lt;&gt;"ASTM A416"),L166,0),3)</f>
        <v/>
      </c>
      <c r="Z166" s="16">
        <f>ROUND(Z165+IF(F166="ASTM A416",L166,0),3)</f>
        <v/>
      </c>
      <c r="AA166" s="9">
        <f>IF(ROUNDUP(P166/20,0)&gt;ROUNDUP(P165/20,0),"Lần " &amp; ROUNDUP(P166/20,0),"")</f>
        <v/>
      </c>
      <c r="AB166" s="9">
        <f>IF(ROUNDUP(Q166/20,0)&gt;ROUNDUP(Q165/20,0),"Lần " &amp; ROUNDUP(Q166/20,0),"")</f>
        <v/>
      </c>
      <c r="AC166" s="9">
        <f>IF(ROUNDUP(R166/20,0)&gt;ROUNDUP(R165/20,0),"Lần " &amp; ROUNDUP(R166/20,0),"")</f>
        <v/>
      </c>
      <c r="AD166" s="9">
        <f>IF(ROUNDUP(S166/20,0)&gt;ROUNDUP(S165/20,0),"Lần " &amp; ROUNDUP(S166/20,0),"")</f>
        <v/>
      </c>
      <c r="AE166" s="9">
        <f>IF(ROUNDUP(T166/20,0)&gt;ROUNDUP(T165/20,0),"Lần " &amp; ROUNDUP(T166/20,0),"")</f>
        <v/>
      </c>
      <c r="AF166" s="9">
        <f>IF(ROUNDUP(U166/20,0)&gt;ROUNDUP(U165/20,0),"Lần " &amp; ROUNDUP(U166/20,0),"")</f>
        <v/>
      </c>
      <c r="AG166" s="9">
        <f>IF(ROUNDUP(V166/20,0)&gt;ROUNDUP(V165/20,0),"Lần " &amp; ROUNDUP(V166/20,0),"")</f>
        <v/>
      </c>
      <c r="AH166" s="9">
        <f>IF(ROUNDUP(W166/20,0)&gt;ROUNDUP(W165/20,0),"Lần " &amp; ROUNDUP(W166/20,0),"")</f>
        <v/>
      </c>
      <c r="AI166" s="9">
        <f>IF(ROUNDUP(X166/20,0)&gt;ROUNDUP(X165/20,0),"Lần " &amp; ROUNDUP(X166/20,0),"")</f>
        <v/>
      </c>
      <c r="AJ166" s="9">
        <f>IF(ROUNDUP(Y166/20,0)&gt;ROUNDUP(Y165/20,0),"Lần " &amp; ROUNDUP(Y166/20,0),"")</f>
        <v/>
      </c>
      <c r="AK166" s="9">
        <f>IF(ROUNDUP(Z166/20,0)&gt;ROUNDUP(Z165/20,0),"Lần " &amp; ROUNDUP(Z166/20,0),"")</f>
        <v/>
      </c>
      <c r="AL166" s="4" t="n"/>
      <c r="AN166" s="596" t="inlineStr">
        <is>
          <t>Coc</t>
        </is>
      </c>
      <c r="AO166" s="596" t="n">
        <v>14</v>
      </c>
      <c r="AQ166" s="594" t="n"/>
      <c r="AR166" s="595" t="n"/>
    </row>
    <row r="167" ht="19" customHeight="1" s="672">
      <c r="A167" s="4" t="n">
        <v>154</v>
      </c>
      <c r="B167" s="5" t="inlineStr">
        <is>
          <t>Cọc khoan nhồi C6 Trụ T1 (D1.2m, L=40.0m)</t>
        </is>
      </c>
      <c r="C167" s="5" t="inlineStr">
        <is>
          <t>Cọc trụ T1 L=40m (tr.68)</t>
        </is>
      </c>
      <c r="D167" s="14" t="inlineStr">
        <is>
          <t>P1C</t>
        </is>
      </c>
      <c r="E167" s="15" t="n">
        <v>10</v>
      </c>
      <c r="F167" s="4" t="inlineStr">
        <is>
          <t>CB240-T</t>
        </is>
      </c>
      <c r="G167" s="5" t="inlineStr"/>
      <c r="H167" s="16" t="n">
        <v>3.592</v>
      </c>
      <c r="I167" s="17" t="n">
        <v>2</v>
      </c>
      <c r="J167" s="18" t="n">
        <v>0.617</v>
      </c>
      <c r="K167" s="7">
        <f>ROUND(H167*I167*J167, 2)</f>
        <v/>
      </c>
      <c r="L167" s="19">
        <f>ROUND(K167/1000, 3)</f>
        <v/>
      </c>
      <c r="M167" s="728">
        <f>IF(AO167="","",IF(N(INDEX(Theo_Doi_Tan_Suat_Be_Tong!$C:$C,AO167))&lt;=0,"",INDEX(Theo_Doi_Tan_Suat_Be_Tong!$C:$C,AO167)-VLOOKUP(AN167,$AQ$2:$AR$7,2,FALSE)))</f>
        <v/>
      </c>
      <c r="N167" s="4" t="n"/>
      <c r="O167" s="20">
        <f>IF(ROUNDUP(P167/20,0)&gt;ROUNDUP(P166/20,0),"TN Ø10 (Lần " &amp; ROUNDUP(P167/20,0) &amp; ")","")</f>
        <v/>
      </c>
      <c r="P167" s="16">
        <f>ROUND(P166+IF(AND(E167&lt;=10,F167&lt;&gt;"ASTM A416"),L167,0),3)</f>
        <v/>
      </c>
      <c r="Q167" s="16">
        <f>ROUND(Q166+IF(AND(E167=12,F167&lt;&gt;"ASTM A416"),L167,0),3)</f>
        <v/>
      </c>
      <c r="R167" s="16">
        <f>ROUND(R166+IF(AND(E167=14,F167&lt;&gt;"ASTM A416"),L167,0),3)</f>
        <v/>
      </c>
      <c r="S167" s="16">
        <f>ROUND(S166+IF(AND(E167=16,F167&lt;&gt;"ASTM A416"),L167,0),3)</f>
        <v/>
      </c>
      <c r="T167" s="16">
        <f>ROUND(T166+IF(AND(E167=18,F167&lt;&gt;"ASTM A416"),L167,0),3)</f>
        <v/>
      </c>
      <c r="U167" s="16">
        <f>ROUND(U166+IF(AND(E167=20,F167&lt;&gt;"ASTM A416"),L167,0),3)</f>
        <v/>
      </c>
      <c r="V167" s="16">
        <f>ROUND(V166+IF(AND(E167=22,F167&lt;&gt;"ASTM A416"),L167,0),3)</f>
        <v/>
      </c>
      <c r="W167" s="16">
        <f>ROUND(W166+IF(AND(E167=25,F167&lt;&gt;"ASTM A416"),L167,0),3)</f>
        <v/>
      </c>
      <c r="X167" s="16">
        <f>ROUND(X166+IF(AND(E167=28,F167&lt;&gt;"ASTM A416"),L167,0),3)</f>
        <v/>
      </c>
      <c r="Y167" s="16">
        <f>ROUND(Y166+IF(AND(E167=32,F167&lt;&gt;"ASTM A416"),L167,0),3)</f>
        <v/>
      </c>
      <c r="Z167" s="16">
        <f>ROUND(Z166+IF(F167="ASTM A416",L167,0),3)</f>
        <v/>
      </c>
      <c r="AA167" s="9">
        <f>IF(ROUNDUP(P167/20,0)&gt;ROUNDUP(P166/20,0),"Lần " &amp; ROUNDUP(P167/20,0),"")</f>
        <v/>
      </c>
      <c r="AB167" s="9">
        <f>IF(ROUNDUP(Q167/20,0)&gt;ROUNDUP(Q166/20,0),"Lần " &amp; ROUNDUP(Q167/20,0),"")</f>
        <v/>
      </c>
      <c r="AC167" s="9">
        <f>IF(ROUNDUP(R167/20,0)&gt;ROUNDUP(R166/20,0),"Lần " &amp; ROUNDUP(R167/20,0),"")</f>
        <v/>
      </c>
      <c r="AD167" s="9">
        <f>IF(ROUNDUP(S167/20,0)&gt;ROUNDUP(S166/20,0),"Lần " &amp; ROUNDUP(S167/20,0),"")</f>
        <v/>
      </c>
      <c r="AE167" s="9">
        <f>IF(ROUNDUP(T167/20,0)&gt;ROUNDUP(T166/20,0),"Lần " &amp; ROUNDUP(T167/20,0),"")</f>
        <v/>
      </c>
      <c r="AF167" s="9">
        <f>IF(ROUNDUP(U167/20,0)&gt;ROUNDUP(U166/20,0),"Lần " &amp; ROUNDUP(U167/20,0),"")</f>
        <v/>
      </c>
      <c r="AG167" s="9">
        <f>IF(ROUNDUP(V167/20,0)&gt;ROUNDUP(V166/20,0),"Lần " &amp; ROUNDUP(V167/20,0),"")</f>
        <v/>
      </c>
      <c r="AH167" s="9">
        <f>IF(ROUNDUP(W167/20,0)&gt;ROUNDUP(W166/20,0),"Lần " &amp; ROUNDUP(W167/20,0),"")</f>
        <v/>
      </c>
      <c r="AI167" s="9">
        <f>IF(ROUNDUP(X167/20,0)&gt;ROUNDUP(X166/20,0),"Lần " &amp; ROUNDUP(X167/20,0),"")</f>
        <v/>
      </c>
      <c r="AJ167" s="9">
        <f>IF(ROUNDUP(Y167/20,0)&gt;ROUNDUP(Y166/20,0),"Lần " &amp; ROUNDUP(Y167/20,0),"")</f>
        <v/>
      </c>
      <c r="AK167" s="9">
        <f>IF(ROUNDUP(Z167/20,0)&gt;ROUNDUP(Z166/20,0),"Lần " &amp; ROUNDUP(Z167/20,0),"")</f>
        <v/>
      </c>
      <c r="AL167" s="4" t="n"/>
      <c r="AN167" s="596" t="inlineStr">
        <is>
          <t>Coc</t>
        </is>
      </c>
      <c r="AO167" s="596" t="n">
        <v>14</v>
      </c>
      <c r="AQ167" s="594" t="n"/>
      <c r="AR167" s="595" t="n"/>
    </row>
    <row r="168" ht="19" customHeight="1" s="672">
      <c r="A168" s="4" t="n">
        <v>155</v>
      </c>
      <c r="B168" s="5" t="inlineStr">
        <is>
          <t>Cọc khoan nhồi C6 Trụ T1 (D1.2m, L=40.0m)</t>
        </is>
      </c>
      <c r="C168" s="5" t="inlineStr">
        <is>
          <t>Cọc trụ T1 L=40m (tr.68)</t>
        </is>
      </c>
      <c r="D168" s="14" t="inlineStr">
        <is>
          <t>P1D</t>
        </is>
      </c>
      <c r="E168" s="15" t="n">
        <v>10</v>
      </c>
      <c r="F168" s="4" t="inlineStr">
        <is>
          <t>CB240-T</t>
        </is>
      </c>
      <c r="G168" s="5" t="inlineStr"/>
      <c r="H168" s="16" t="n">
        <v>19.721</v>
      </c>
      <c r="I168" s="17" t="n">
        <v>1</v>
      </c>
      <c r="J168" s="18" t="n">
        <v>0.617</v>
      </c>
      <c r="K168" s="7">
        <f>ROUND(H168*I168*J168, 2)</f>
        <v/>
      </c>
      <c r="L168" s="19">
        <f>ROUND(K168/1000, 3)</f>
        <v/>
      </c>
      <c r="M168" s="728">
        <f>IF(AO168="","",IF(N(INDEX(Theo_Doi_Tan_Suat_Be_Tong!$C:$C,AO168))&lt;=0,"",INDEX(Theo_Doi_Tan_Suat_Be_Tong!$C:$C,AO168)-VLOOKUP(AN168,$AQ$2:$AR$7,2,FALSE)))</f>
        <v/>
      </c>
      <c r="N168" s="4" t="n"/>
      <c r="O168" s="20">
        <f>IF(ROUNDUP(P168/20,0)&gt;ROUNDUP(P167/20,0),"TN Ø10 (Lần " &amp; ROUNDUP(P168/20,0) &amp; ")","")</f>
        <v/>
      </c>
      <c r="P168" s="16">
        <f>ROUND(P167+IF(AND(E168&lt;=10,F168&lt;&gt;"ASTM A416"),L168,0),3)</f>
        <v/>
      </c>
      <c r="Q168" s="16">
        <f>ROUND(Q167+IF(AND(E168=12,F168&lt;&gt;"ASTM A416"),L168,0),3)</f>
        <v/>
      </c>
      <c r="R168" s="16">
        <f>ROUND(R167+IF(AND(E168=14,F168&lt;&gt;"ASTM A416"),L168,0),3)</f>
        <v/>
      </c>
      <c r="S168" s="16">
        <f>ROUND(S167+IF(AND(E168=16,F168&lt;&gt;"ASTM A416"),L168,0),3)</f>
        <v/>
      </c>
      <c r="T168" s="16">
        <f>ROUND(T167+IF(AND(E168=18,F168&lt;&gt;"ASTM A416"),L168,0),3)</f>
        <v/>
      </c>
      <c r="U168" s="16">
        <f>ROUND(U167+IF(AND(E168=20,F168&lt;&gt;"ASTM A416"),L168,0),3)</f>
        <v/>
      </c>
      <c r="V168" s="16">
        <f>ROUND(V167+IF(AND(E168=22,F168&lt;&gt;"ASTM A416"),L168,0),3)</f>
        <v/>
      </c>
      <c r="W168" s="16">
        <f>ROUND(W167+IF(AND(E168=25,F168&lt;&gt;"ASTM A416"),L168,0),3)</f>
        <v/>
      </c>
      <c r="X168" s="16">
        <f>ROUND(X167+IF(AND(E168=28,F168&lt;&gt;"ASTM A416"),L168,0),3)</f>
        <v/>
      </c>
      <c r="Y168" s="16">
        <f>ROUND(Y167+IF(AND(E168=32,F168&lt;&gt;"ASTM A416"),L168,0),3)</f>
        <v/>
      </c>
      <c r="Z168" s="16">
        <f>ROUND(Z167+IF(F168="ASTM A416",L168,0),3)</f>
        <v/>
      </c>
      <c r="AA168" s="9">
        <f>IF(ROUNDUP(P168/20,0)&gt;ROUNDUP(P167/20,0),"Lần " &amp; ROUNDUP(P168/20,0),"")</f>
        <v/>
      </c>
      <c r="AB168" s="9">
        <f>IF(ROUNDUP(Q168/20,0)&gt;ROUNDUP(Q167/20,0),"Lần " &amp; ROUNDUP(Q168/20,0),"")</f>
        <v/>
      </c>
      <c r="AC168" s="9">
        <f>IF(ROUNDUP(R168/20,0)&gt;ROUNDUP(R167/20,0),"Lần " &amp; ROUNDUP(R168/20,0),"")</f>
        <v/>
      </c>
      <c r="AD168" s="9">
        <f>IF(ROUNDUP(S168/20,0)&gt;ROUNDUP(S167/20,0),"Lần " &amp; ROUNDUP(S168/20,0),"")</f>
        <v/>
      </c>
      <c r="AE168" s="9">
        <f>IF(ROUNDUP(T168/20,0)&gt;ROUNDUP(T167/20,0),"Lần " &amp; ROUNDUP(T168/20,0),"")</f>
        <v/>
      </c>
      <c r="AF168" s="9">
        <f>IF(ROUNDUP(U168/20,0)&gt;ROUNDUP(U167/20,0),"Lần " &amp; ROUNDUP(U168/20,0),"")</f>
        <v/>
      </c>
      <c r="AG168" s="9">
        <f>IF(ROUNDUP(V168/20,0)&gt;ROUNDUP(V167/20,0),"Lần " &amp; ROUNDUP(V168/20,0),"")</f>
        <v/>
      </c>
      <c r="AH168" s="9">
        <f>IF(ROUNDUP(W168/20,0)&gt;ROUNDUP(W167/20,0),"Lần " &amp; ROUNDUP(W168/20,0),"")</f>
        <v/>
      </c>
      <c r="AI168" s="9">
        <f>IF(ROUNDUP(X168/20,0)&gt;ROUNDUP(X167/20,0),"Lần " &amp; ROUNDUP(X168/20,0),"")</f>
        <v/>
      </c>
      <c r="AJ168" s="9">
        <f>IF(ROUNDUP(Y168/20,0)&gt;ROUNDUP(Y167/20,0),"Lần " &amp; ROUNDUP(Y168/20,0),"")</f>
        <v/>
      </c>
      <c r="AK168" s="9">
        <f>IF(ROUNDUP(Z168/20,0)&gt;ROUNDUP(Z167/20,0),"Lần " &amp; ROUNDUP(Z168/20,0),"")</f>
        <v/>
      </c>
      <c r="AL168" s="4" t="n"/>
      <c r="AN168" s="596" t="inlineStr">
        <is>
          <t>Coc</t>
        </is>
      </c>
      <c r="AO168" s="596" t="n">
        <v>14</v>
      </c>
      <c r="AQ168" s="594" t="n"/>
      <c r="AR168" s="595" t="n"/>
    </row>
    <row r="169" ht="19" customHeight="1" s="672">
      <c r="A169" s="4" t="n">
        <v>156</v>
      </c>
      <c r="B169" s="5" t="inlineStr">
        <is>
          <t>Cọc khoan nhồi C6 Trụ T1 (D1.2m, L=40.0m)</t>
        </is>
      </c>
      <c r="C169" s="5" t="inlineStr">
        <is>
          <t>Cọc trụ T1 L=40m (tr.68)</t>
        </is>
      </c>
      <c r="D169" s="14" t="inlineStr">
        <is>
          <t>P2B</t>
        </is>
      </c>
      <c r="E169" s="15" t="n">
        <v>25</v>
      </c>
      <c r="F169" s="4" t="inlineStr">
        <is>
          <t>CB400-V</t>
        </is>
      </c>
      <c r="G169" s="5" t="inlineStr"/>
      <c r="H169" s="16" t="n">
        <v>2.985</v>
      </c>
      <c r="I169" s="17" t="n">
        <v>16</v>
      </c>
      <c r="J169" s="18" t="n">
        <v>3.853</v>
      </c>
      <c r="K169" s="7">
        <f>ROUND(H169*I169*J169, 2)</f>
        <v/>
      </c>
      <c r="L169" s="19">
        <f>ROUND(K169/1000, 3)</f>
        <v/>
      </c>
      <c r="M169" s="728">
        <f>IF(AO169="","",IF(N(INDEX(Theo_Doi_Tan_Suat_Be_Tong!$C:$C,AO169))&lt;=0,"",INDEX(Theo_Doi_Tan_Suat_Be_Tong!$C:$C,AO169)-VLOOKUP(AN169,$AQ$2:$AR$7,2,FALSE)))</f>
        <v/>
      </c>
      <c r="N169" s="4" t="n"/>
      <c r="O169" s="20">
        <f>IF(ROUNDUP(W169/20,0)&gt;ROUNDUP(W168/20,0),"TN Ø25 (Lần " &amp; ROUNDUP(W169/20,0) &amp; ")","")</f>
        <v/>
      </c>
      <c r="P169" s="16">
        <f>ROUND(P168+IF(AND(E169&lt;=10,F169&lt;&gt;"ASTM A416"),L169,0),3)</f>
        <v/>
      </c>
      <c r="Q169" s="16">
        <f>ROUND(Q168+IF(AND(E169=12,F169&lt;&gt;"ASTM A416"),L169,0),3)</f>
        <v/>
      </c>
      <c r="R169" s="16">
        <f>ROUND(R168+IF(AND(E169=14,F169&lt;&gt;"ASTM A416"),L169,0),3)</f>
        <v/>
      </c>
      <c r="S169" s="16">
        <f>ROUND(S168+IF(AND(E169=16,F169&lt;&gt;"ASTM A416"),L169,0),3)</f>
        <v/>
      </c>
      <c r="T169" s="16">
        <f>ROUND(T168+IF(AND(E169=18,F169&lt;&gt;"ASTM A416"),L169,0),3)</f>
        <v/>
      </c>
      <c r="U169" s="16">
        <f>ROUND(U168+IF(AND(E169=20,F169&lt;&gt;"ASTM A416"),L169,0),3)</f>
        <v/>
      </c>
      <c r="V169" s="16">
        <f>ROUND(V168+IF(AND(E169=22,F169&lt;&gt;"ASTM A416"),L169,0),3)</f>
        <v/>
      </c>
      <c r="W169" s="16">
        <f>ROUND(W168+IF(AND(E169=25,F169&lt;&gt;"ASTM A416"),L169,0),3)</f>
        <v/>
      </c>
      <c r="X169" s="16">
        <f>ROUND(X168+IF(AND(E169=28,F169&lt;&gt;"ASTM A416"),L169,0),3)</f>
        <v/>
      </c>
      <c r="Y169" s="16">
        <f>ROUND(Y168+IF(AND(E169=32,F169&lt;&gt;"ASTM A416"),L169,0),3)</f>
        <v/>
      </c>
      <c r="Z169" s="16">
        <f>ROUND(Z168+IF(F169="ASTM A416",L169,0),3)</f>
        <v/>
      </c>
      <c r="AA169" s="9">
        <f>IF(ROUNDUP(P169/20,0)&gt;ROUNDUP(P168/20,0),"Lần " &amp; ROUNDUP(P169/20,0),"")</f>
        <v/>
      </c>
      <c r="AB169" s="9">
        <f>IF(ROUNDUP(Q169/20,0)&gt;ROUNDUP(Q168/20,0),"Lần " &amp; ROUNDUP(Q169/20,0),"")</f>
        <v/>
      </c>
      <c r="AC169" s="9">
        <f>IF(ROUNDUP(R169/20,0)&gt;ROUNDUP(R168/20,0),"Lần " &amp; ROUNDUP(R169/20,0),"")</f>
        <v/>
      </c>
      <c r="AD169" s="9">
        <f>IF(ROUNDUP(S169/20,0)&gt;ROUNDUP(S168/20,0),"Lần " &amp; ROUNDUP(S169/20,0),"")</f>
        <v/>
      </c>
      <c r="AE169" s="9">
        <f>IF(ROUNDUP(T169/20,0)&gt;ROUNDUP(T168/20,0),"Lần " &amp; ROUNDUP(T169/20,0),"")</f>
        <v/>
      </c>
      <c r="AF169" s="9">
        <f>IF(ROUNDUP(U169/20,0)&gt;ROUNDUP(U168/20,0),"Lần " &amp; ROUNDUP(U169/20,0),"")</f>
        <v/>
      </c>
      <c r="AG169" s="9">
        <f>IF(ROUNDUP(V169/20,0)&gt;ROUNDUP(V168/20,0),"Lần " &amp; ROUNDUP(V169/20,0),"")</f>
        <v/>
      </c>
      <c r="AH169" s="9">
        <f>IF(ROUNDUP(W169/20,0)&gt;ROUNDUP(W168/20,0),"Lần " &amp; ROUNDUP(W169/20,0),"")</f>
        <v/>
      </c>
      <c r="AI169" s="9">
        <f>IF(ROUNDUP(X169/20,0)&gt;ROUNDUP(X168/20,0),"Lần " &amp; ROUNDUP(X169/20,0),"")</f>
        <v/>
      </c>
      <c r="AJ169" s="9">
        <f>IF(ROUNDUP(Y169/20,0)&gt;ROUNDUP(Y168/20,0),"Lần " &amp; ROUNDUP(Y169/20,0),"")</f>
        <v/>
      </c>
      <c r="AK169" s="9">
        <f>IF(ROUNDUP(Z169/20,0)&gt;ROUNDUP(Z168/20,0),"Lần " &amp; ROUNDUP(Z169/20,0),"")</f>
        <v/>
      </c>
      <c r="AL169" s="4" t="n"/>
      <c r="AN169" s="596" t="inlineStr">
        <is>
          <t>Coc</t>
        </is>
      </c>
      <c r="AO169" s="596" t="n">
        <v>14</v>
      </c>
      <c r="AQ169" s="594" t="n"/>
      <c r="AR169" s="595" t="n"/>
    </row>
    <row r="170" ht="19" customHeight="1" s="672">
      <c r="A170" s="4" t="n">
        <v>157</v>
      </c>
      <c r="B170" s="5" t="inlineStr">
        <is>
          <t>Cọc khoan nhồi C6 Trụ T1 (D1.2m, L=40.0m)</t>
        </is>
      </c>
      <c r="C170" s="5" t="inlineStr">
        <is>
          <t>Cọc trụ T1 L=40m (tr.68)</t>
        </is>
      </c>
      <c r="D170" s="14" t="inlineStr">
        <is>
          <t>P3</t>
        </is>
      </c>
      <c r="E170" s="15" t="n">
        <v>25</v>
      </c>
      <c r="F170" s="4" t="inlineStr">
        <is>
          <t>CB400-V</t>
        </is>
      </c>
      <c r="G170" s="5" t="inlineStr"/>
      <c r="H170" s="16" t="n">
        <v>10.7</v>
      </c>
      <c r="I170" s="17" t="n">
        <v>12</v>
      </c>
      <c r="J170" s="18" t="n">
        <v>3.853</v>
      </c>
      <c r="K170" s="7">
        <f>ROUND(H170*I170*J170, 2)</f>
        <v/>
      </c>
      <c r="L170" s="19">
        <f>ROUND(K170/1000, 3)</f>
        <v/>
      </c>
      <c r="M170" s="728">
        <f>IF(AO170="","",IF(N(INDEX(Theo_Doi_Tan_Suat_Be_Tong!$C:$C,AO170))&lt;=0,"",INDEX(Theo_Doi_Tan_Suat_Be_Tong!$C:$C,AO170)-VLOOKUP(AN170,$AQ$2:$AR$7,2,FALSE)))</f>
        <v/>
      </c>
      <c r="N170" s="4" t="n"/>
      <c r="O170" s="20">
        <f>IF(ROUNDUP(W170/20,0)&gt;ROUNDUP(W169/20,0),"TN Ø25 (Lần " &amp; ROUNDUP(W170/20,0) &amp; ")","")</f>
        <v/>
      </c>
      <c r="P170" s="16">
        <f>ROUND(P169+IF(AND(E170&lt;=10,F170&lt;&gt;"ASTM A416"),L170,0),3)</f>
        <v/>
      </c>
      <c r="Q170" s="16">
        <f>ROUND(Q169+IF(AND(E170=12,F170&lt;&gt;"ASTM A416"),L170,0),3)</f>
        <v/>
      </c>
      <c r="R170" s="16">
        <f>ROUND(R169+IF(AND(E170=14,F170&lt;&gt;"ASTM A416"),L170,0),3)</f>
        <v/>
      </c>
      <c r="S170" s="16">
        <f>ROUND(S169+IF(AND(E170=16,F170&lt;&gt;"ASTM A416"),L170,0),3)</f>
        <v/>
      </c>
      <c r="T170" s="16">
        <f>ROUND(T169+IF(AND(E170=18,F170&lt;&gt;"ASTM A416"),L170,0),3)</f>
        <v/>
      </c>
      <c r="U170" s="16">
        <f>ROUND(U169+IF(AND(E170=20,F170&lt;&gt;"ASTM A416"),L170,0),3)</f>
        <v/>
      </c>
      <c r="V170" s="16">
        <f>ROUND(V169+IF(AND(E170=22,F170&lt;&gt;"ASTM A416"),L170,0),3)</f>
        <v/>
      </c>
      <c r="W170" s="16">
        <f>ROUND(W169+IF(AND(E170=25,F170&lt;&gt;"ASTM A416"),L170,0),3)</f>
        <v/>
      </c>
      <c r="X170" s="16">
        <f>ROUND(X169+IF(AND(E170=28,F170&lt;&gt;"ASTM A416"),L170,0),3)</f>
        <v/>
      </c>
      <c r="Y170" s="16">
        <f>ROUND(Y169+IF(AND(E170=32,F170&lt;&gt;"ASTM A416"),L170,0),3)</f>
        <v/>
      </c>
      <c r="Z170" s="16">
        <f>ROUND(Z169+IF(F170="ASTM A416",L170,0),3)</f>
        <v/>
      </c>
      <c r="AA170" s="9">
        <f>IF(ROUNDUP(P170/20,0)&gt;ROUNDUP(P169/20,0),"Lần " &amp; ROUNDUP(P170/20,0),"")</f>
        <v/>
      </c>
      <c r="AB170" s="9">
        <f>IF(ROUNDUP(Q170/20,0)&gt;ROUNDUP(Q169/20,0),"Lần " &amp; ROUNDUP(Q170/20,0),"")</f>
        <v/>
      </c>
      <c r="AC170" s="9">
        <f>IF(ROUNDUP(R170/20,0)&gt;ROUNDUP(R169/20,0),"Lần " &amp; ROUNDUP(R170/20,0),"")</f>
        <v/>
      </c>
      <c r="AD170" s="9">
        <f>IF(ROUNDUP(S170/20,0)&gt;ROUNDUP(S169/20,0),"Lần " &amp; ROUNDUP(S170/20,0),"")</f>
        <v/>
      </c>
      <c r="AE170" s="9">
        <f>IF(ROUNDUP(T170/20,0)&gt;ROUNDUP(T169/20,0),"Lần " &amp; ROUNDUP(T170/20,0),"")</f>
        <v/>
      </c>
      <c r="AF170" s="9">
        <f>IF(ROUNDUP(U170/20,0)&gt;ROUNDUP(U169/20,0),"Lần " &amp; ROUNDUP(U170/20,0),"")</f>
        <v/>
      </c>
      <c r="AG170" s="9">
        <f>IF(ROUNDUP(V170/20,0)&gt;ROUNDUP(V169/20,0),"Lần " &amp; ROUNDUP(V170/20,0),"")</f>
        <v/>
      </c>
      <c r="AH170" s="9">
        <f>IF(ROUNDUP(W170/20,0)&gt;ROUNDUP(W169/20,0),"Lần " &amp; ROUNDUP(W170/20,0),"")</f>
        <v/>
      </c>
      <c r="AI170" s="9">
        <f>IF(ROUNDUP(X170/20,0)&gt;ROUNDUP(X169/20,0),"Lần " &amp; ROUNDUP(X170/20,0),"")</f>
        <v/>
      </c>
      <c r="AJ170" s="9">
        <f>IF(ROUNDUP(Y170/20,0)&gt;ROUNDUP(Y169/20,0),"Lần " &amp; ROUNDUP(Y170/20,0),"")</f>
        <v/>
      </c>
      <c r="AK170" s="9">
        <f>IF(ROUNDUP(Z170/20,0)&gt;ROUNDUP(Z169/20,0),"Lần " &amp; ROUNDUP(Z170/20,0),"")</f>
        <v/>
      </c>
      <c r="AL170" s="4" t="n"/>
      <c r="AN170" s="596" t="inlineStr">
        <is>
          <t>Coc</t>
        </is>
      </c>
      <c r="AO170" s="596" t="n">
        <v>14</v>
      </c>
      <c r="AQ170" s="594" t="n"/>
      <c r="AR170" s="595" t="n"/>
    </row>
    <row r="171" ht="19" customHeight="1" s="672">
      <c r="A171" s="4" t="n">
        <v>158</v>
      </c>
      <c r="B171" s="5" t="inlineStr">
        <is>
          <t>Cọc khoan nhồi C6 Trụ T1 (D1.2m, L=40.0m)</t>
        </is>
      </c>
      <c r="C171" s="5" t="inlineStr">
        <is>
          <t>Cọc trụ T1 L=40m (tr.68)</t>
        </is>
      </c>
      <c r="D171" s="14" t="inlineStr">
        <is>
          <t>P4</t>
        </is>
      </c>
      <c r="E171" s="15" t="n">
        <v>25</v>
      </c>
      <c r="F171" s="4" t="inlineStr">
        <is>
          <t>CB400-V</t>
        </is>
      </c>
      <c r="G171" s="5" t="inlineStr"/>
      <c r="H171" s="16" t="n">
        <v>11.7</v>
      </c>
      <c r="I171" s="17" t="n">
        <v>60</v>
      </c>
      <c r="J171" s="18" t="n">
        <v>3.853</v>
      </c>
      <c r="K171" s="7">
        <f>ROUND(H171*I171*J171, 2)</f>
        <v/>
      </c>
      <c r="L171" s="19">
        <f>ROUND(K171/1000, 3)</f>
        <v/>
      </c>
      <c r="M171" s="728">
        <f>IF(AO171="","",IF(N(INDEX(Theo_Doi_Tan_Suat_Be_Tong!$C:$C,AO171))&lt;=0,"",INDEX(Theo_Doi_Tan_Suat_Be_Tong!$C:$C,AO171)-VLOOKUP(AN171,$AQ$2:$AR$7,2,FALSE)))</f>
        <v/>
      </c>
      <c r="N171" s="4" t="n"/>
      <c r="O171" s="20">
        <f>IF(ROUNDUP(W171/20,0)&gt;ROUNDUP(W170/20,0),"TN Ø25 (Lần " &amp; ROUNDUP(W171/20,0) &amp; ")","")</f>
        <v/>
      </c>
      <c r="P171" s="16">
        <f>ROUND(P170+IF(AND(E171&lt;=10,F171&lt;&gt;"ASTM A416"),L171,0),3)</f>
        <v/>
      </c>
      <c r="Q171" s="16">
        <f>ROUND(Q170+IF(AND(E171=12,F171&lt;&gt;"ASTM A416"),L171,0),3)</f>
        <v/>
      </c>
      <c r="R171" s="16">
        <f>ROUND(R170+IF(AND(E171=14,F171&lt;&gt;"ASTM A416"),L171,0),3)</f>
        <v/>
      </c>
      <c r="S171" s="16">
        <f>ROUND(S170+IF(AND(E171=16,F171&lt;&gt;"ASTM A416"),L171,0),3)</f>
        <v/>
      </c>
      <c r="T171" s="16">
        <f>ROUND(T170+IF(AND(E171=18,F171&lt;&gt;"ASTM A416"),L171,0),3)</f>
        <v/>
      </c>
      <c r="U171" s="16">
        <f>ROUND(U170+IF(AND(E171=20,F171&lt;&gt;"ASTM A416"),L171,0),3)</f>
        <v/>
      </c>
      <c r="V171" s="16">
        <f>ROUND(V170+IF(AND(E171=22,F171&lt;&gt;"ASTM A416"),L171,0),3)</f>
        <v/>
      </c>
      <c r="W171" s="16">
        <f>ROUND(W170+IF(AND(E171=25,F171&lt;&gt;"ASTM A416"),L171,0),3)</f>
        <v/>
      </c>
      <c r="X171" s="16">
        <f>ROUND(X170+IF(AND(E171=28,F171&lt;&gt;"ASTM A416"),L171,0),3)</f>
        <v/>
      </c>
      <c r="Y171" s="16">
        <f>ROUND(Y170+IF(AND(E171=32,F171&lt;&gt;"ASTM A416"),L171,0),3)</f>
        <v/>
      </c>
      <c r="Z171" s="16">
        <f>ROUND(Z170+IF(F171="ASTM A416",L171,0),3)</f>
        <v/>
      </c>
      <c r="AA171" s="9">
        <f>IF(ROUNDUP(P171/20,0)&gt;ROUNDUP(P170/20,0),"Lần " &amp; ROUNDUP(P171/20,0),"")</f>
        <v/>
      </c>
      <c r="AB171" s="9">
        <f>IF(ROUNDUP(Q171/20,0)&gt;ROUNDUP(Q170/20,0),"Lần " &amp; ROUNDUP(Q171/20,0),"")</f>
        <v/>
      </c>
      <c r="AC171" s="9">
        <f>IF(ROUNDUP(R171/20,0)&gt;ROUNDUP(R170/20,0),"Lần " &amp; ROUNDUP(R171/20,0),"")</f>
        <v/>
      </c>
      <c r="AD171" s="9">
        <f>IF(ROUNDUP(S171/20,0)&gt;ROUNDUP(S170/20,0),"Lần " &amp; ROUNDUP(S171/20,0),"")</f>
        <v/>
      </c>
      <c r="AE171" s="9">
        <f>IF(ROUNDUP(T171/20,0)&gt;ROUNDUP(T170/20,0),"Lần " &amp; ROUNDUP(T171/20,0),"")</f>
        <v/>
      </c>
      <c r="AF171" s="9">
        <f>IF(ROUNDUP(U171/20,0)&gt;ROUNDUP(U170/20,0),"Lần " &amp; ROUNDUP(U171/20,0),"")</f>
        <v/>
      </c>
      <c r="AG171" s="9">
        <f>IF(ROUNDUP(V171/20,0)&gt;ROUNDUP(V170/20,0),"Lần " &amp; ROUNDUP(V171/20,0),"")</f>
        <v/>
      </c>
      <c r="AH171" s="9">
        <f>IF(ROUNDUP(W171/20,0)&gt;ROUNDUP(W170/20,0),"Lần " &amp; ROUNDUP(W171/20,0),"")</f>
        <v/>
      </c>
      <c r="AI171" s="9">
        <f>IF(ROUNDUP(X171/20,0)&gt;ROUNDUP(X170/20,0),"Lần " &amp; ROUNDUP(X171/20,0),"")</f>
        <v/>
      </c>
      <c r="AJ171" s="9">
        <f>IF(ROUNDUP(Y171/20,0)&gt;ROUNDUP(Y170/20,0),"Lần " &amp; ROUNDUP(Y171/20,0),"")</f>
        <v/>
      </c>
      <c r="AK171" s="9">
        <f>IF(ROUNDUP(Z171/20,0)&gt;ROUNDUP(Z170/20,0),"Lần " &amp; ROUNDUP(Z171/20,0),"")</f>
        <v/>
      </c>
      <c r="AL171" s="4" t="n"/>
      <c r="AN171" s="596" t="inlineStr">
        <is>
          <t>Coc</t>
        </is>
      </c>
      <c r="AO171" s="596" t="n">
        <v>14</v>
      </c>
      <c r="AQ171" s="594" t="n"/>
      <c r="AR171" s="595" t="n"/>
    </row>
    <row r="172" ht="19" customHeight="1" s="672">
      <c r="A172" s="4" t="n">
        <v>159</v>
      </c>
      <c r="B172" s="5" t="inlineStr">
        <is>
          <t>Cọc khoan nhồi C6 Trụ T1 (D1.2m, L=40.0m)</t>
        </is>
      </c>
      <c r="C172" s="5" t="inlineStr">
        <is>
          <t>Cọc trụ T1 L=40m (tr.68)</t>
        </is>
      </c>
      <c r="D172" s="14" t="inlineStr">
        <is>
          <t>P6</t>
        </is>
      </c>
      <c r="E172" s="15" t="n">
        <v>25</v>
      </c>
      <c r="F172" s="4" t="inlineStr">
        <is>
          <t>CB400-V</t>
        </is>
      </c>
      <c r="G172" s="5" t="inlineStr"/>
      <c r="H172" s="16" t="n">
        <v>9.032999999999999</v>
      </c>
      <c r="I172" s="17" t="n">
        <v>12</v>
      </c>
      <c r="J172" s="18" t="n">
        <v>3.853</v>
      </c>
      <c r="K172" s="7">
        <f>ROUND(H172*I172*J172, 2)</f>
        <v/>
      </c>
      <c r="L172" s="19">
        <f>ROUND(K172/1000, 3)</f>
        <v/>
      </c>
      <c r="M172" s="728">
        <f>IF(AO172="","",IF(N(INDEX(Theo_Doi_Tan_Suat_Be_Tong!$C:$C,AO172))&lt;=0,"",INDEX(Theo_Doi_Tan_Suat_Be_Tong!$C:$C,AO172)-VLOOKUP(AN172,$AQ$2:$AR$7,2,FALSE)))</f>
        <v/>
      </c>
      <c r="N172" s="4" t="n"/>
      <c r="O172" s="20">
        <f>IF(ROUNDUP(W172/20,0)&gt;ROUNDUP(W171/20,0),"TN Ø25 (Lần " &amp; ROUNDUP(W172/20,0) &amp; ")","")</f>
        <v/>
      </c>
      <c r="P172" s="16">
        <f>ROUND(P171+IF(AND(E172&lt;=10,F172&lt;&gt;"ASTM A416"),L172,0),3)</f>
        <v/>
      </c>
      <c r="Q172" s="16">
        <f>ROUND(Q171+IF(AND(E172=12,F172&lt;&gt;"ASTM A416"),L172,0),3)</f>
        <v/>
      </c>
      <c r="R172" s="16">
        <f>ROUND(R171+IF(AND(E172=14,F172&lt;&gt;"ASTM A416"),L172,0),3)</f>
        <v/>
      </c>
      <c r="S172" s="16">
        <f>ROUND(S171+IF(AND(E172=16,F172&lt;&gt;"ASTM A416"),L172,0),3)</f>
        <v/>
      </c>
      <c r="T172" s="16">
        <f>ROUND(T171+IF(AND(E172=18,F172&lt;&gt;"ASTM A416"),L172,0),3)</f>
        <v/>
      </c>
      <c r="U172" s="16">
        <f>ROUND(U171+IF(AND(E172=20,F172&lt;&gt;"ASTM A416"),L172,0),3)</f>
        <v/>
      </c>
      <c r="V172" s="16">
        <f>ROUND(V171+IF(AND(E172=22,F172&lt;&gt;"ASTM A416"),L172,0),3)</f>
        <v/>
      </c>
      <c r="W172" s="16">
        <f>ROUND(W171+IF(AND(E172=25,F172&lt;&gt;"ASTM A416"),L172,0),3)</f>
        <v/>
      </c>
      <c r="X172" s="16">
        <f>ROUND(X171+IF(AND(E172=28,F172&lt;&gt;"ASTM A416"),L172,0),3)</f>
        <v/>
      </c>
      <c r="Y172" s="16">
        <f>ROUND(Y171+IF(AND(E172=32,F172&lt;&gt;"ASTM A416"),L172,0),3)</f>
        <v/>
      </c>
      <c r="Z172" s="16">
        <f>ROUND(Z171+IF(F172="ASTM A416",L172,0),3)</f>
        <v/>
      </c>
      <c r="AA172" s="9">
        <f>IF(ROUNDUP(P172/20,0)&gt;ROUNDUP(P171/20,0),"Lần " &amp; ROUNDUP(P172/20,0),"")</f>
        <v/>
      </c>
      <c r="AB172" s="9">
        <f>IF(ROUNDUP(Q172/20,0)&gt;ROUNDUP(Q171/20,0),"Lần " &amp; ROUNDUP(Q172/20,0),"")</f>
        <v/>
      </c>
      <c r="AC172" s="9">
        <f>IF(ROUNDUP(R172/20,0)&gt;ROUNDUP(R171/20,0),"Lần " &amp; ROUNDUP(R172/20,0),"")</f>
        <v/>
      </c>
      <c r="AD172" s="9">
        <f>IF(ROUNDUP(S172/20,0)&gt;ROUNDUP(S171/20,0),"Lần " &amp; ROUNDUP(S172/20,0),"")</f>
        <v/>
      </c>
      <c r="AE172" s="9">
        <f>IF(ROUNDUP(T172/20,0)&gt;ROUNDUP(T171/20,0),"Lần " &amp; ROUNDUP(T172/20,0),"")</f>
        <v/>
      </c>
      <c r="AF172" s="9">
        <f>IF(ROUNDUP(U172/20,0)&gt;ROUNDUP(U171/20,0),"Lần " &amp; ROUNDUP(U172/20,0),"")</f>
        <v/>
      </c>
      <c r="AG172" s="9">
        <f>IF(ROUNDUP(V172/20,0)&gt;ROUNDUP(V171/20,0),"Lần " &amp; ROUNDUP(V172/20,0),"")</f>
        <v/>
      </c>
      <c r="AH172" s="9">
        <f>IF(ROUNDUP(W172/20,0)&gt;ROUNDUP(W171/20,0),"Lần " &amp; ROUNDUP(W172/20,0),"")</f>
        <v/>
      </c>
      <c r="AI172" s="9">
        <f>IF(ROUNDUP(X172/20,0)&gt;ROUNDUP(X171/20,0),"Lần " &amp; ROUNDUP(X172/20,0),"")</f>
        <v/>
      </c>
      <c r="AJ172" s="9">
        <f>IF(ROUNDUP(Y172/20,0)&gt;ROUNDUP(Y171/20,0),"Lần " &amp; ROUNDUP(Y172/20,0),"")</f>
        <v/>
      </c>
      <c r="AK172" s="9">
        <f>IF(ROUNDUP(Z172/20,0)&gt;ROUNDUP(Z171/20,0),"Lần " &amp; ROUNDUP(Z172/20,0),"")</f>
        <v/>
      </c>
      <c r="AL172" s="4" t="n"/>
      <c r="AN172" s="596" t="inlineStr">
        <is>
          <t>Coc</t>
        </is>
      </c>
      <c r="AO172" s="596" t="n">
        <v>14</v>
      </c>
      <c r="AQ172" s="594" t="n"/>
      <c r="AR172" s="595" t="n"/>
    </row>
    <row r="173" ht="19" customHeight="1" s="672">
      <c r="A173" s="4" t="n">
        <v>160</v>
      </c>
      <c r="B173" s="5" t="inlineStr">
        <is>
          <t>Cọc khoan nhồi C6 Trụ T1 (D1.2m, L=40.0m)</t>
        </is>
      </c>
      <c r="C173" s="5" t="inlineStr">
        <is>
          <t>Cọc trụ T1 L=40m (tr.68)</t>
        </is>
      </c>
      <c r="D173" s="14" t="inlineStr">
        <is>
          <t>P7</t>
        </is>
      </c>
      <c r="E173" s="15" t="n">
        <v>25</v>
      </c>
      <c r="F173" s="4" t="inlineStr">
        <is>
          <t>CB400-V</t>
        </is>
      </c>
      <c r="G173" s="5" t="inlineStr"/>
      <c r="H173" s="16" t="n">
        <v>10.033</v>
      </c>
      <c r="I173" s="17" t="n">
        <v>12</v>
      </c>
      <c r="J173" s="18" t="n">
        <v>3.853</v>
      </c>
      <c r="K173" s="7">
        <f>ROUND(H173*I173*J173, 2)</f>
        <v/>
      </c>
      <c r="L173" s="19">
        <f>ROUND(K173/1000, 3)</f>
        <v/>
      </c>
      <c r="M173" s="728">
        <f>IF(AO173="","",IF(N(INDEX(Theo_Doi_Tan_Suat_Be_Tong!$C:$C,AO173))&lt;=0,"",INDEX(Theo_Doi_Tan_Suat_Be_Tong!$C:$C,AO173)-VLOOKUP(AN173,$AQ$2:$AR$7,2,FALSE)))</f>
        <v/>
      </c>
      <c r="N173" s="4" t="n"/>
      <c r="O173" s="20">
        <f>IF(ROUNDUP(W173/20,0)&gt;ROUNDUP(W172/20,0),"TN Ø25 (Lần " &amp; ROUNDUP(W173/20,0) &amp; ")","")</f>
        <v/>
      </c>
      <c r="P173" s="16">
        <f>ROUND(P172+IF(AND(E173&lt;=10,F173&lt;&gt;"ASTM A416"),L173,0),3)</f>
        <v/>
      </c>
      <c r="Q173" s="16">
        <f>ROUND(Q172+IF(AND(E173=12,F173&lt;&gt;"ASTM A416"),L173,0),3)</f>
        <v/>
      </c>
      <c r="R173" s="16">
        <f>ROUND(R172+IF(AND(E173=14,F173&lt;&gt;"ASTM A416"),L173,0),3)</f>
        <v/>
      </c>
      <c r="S173" s="16">
        <f>ROUND(S172+IF(AND(E173=16,F173&lt;&gt;"ASTM A416"),L173,0),3)</f>
        <v/>
      </c>
      <c r="T173" s="16">
        <f>ROUND(T172+IF(AND(E173=18,F173&lt;&gt;"ASTM A416"),L173,0),3)</f>
        <v/>
      </c>
      <c r="U173" s="16">
        <f>ROUND(U172+IF(AND(E173=20,F173&lt;&gt;"ASTM A416"),L173,0),3)</f>
        <v/>
      </c>
      <c r="V173" s="16">
        <f>ROUND(V172+IF(AND(E173=22,F173&lt;&gt;"ASTM A416"),L173,0),3)</f>
        <v/>
      </c>
      <c r="W173" s="16">
        <f>ROUND(W172+IF(AND(E173=25,F173&lt;&gt;"ASTM A416"),L173,0),3)</f>
        <v/>
      </c>
      <c r="X173" s="16">
        <f>ROUND(X172+IF(AND(E173=28,F173&lt;&gt;"ASTM A416"),L173,0),3)</f>
        <v/>
      </c>
      <c r="Y173" s="16">
        <f>ROUND(Y172+IF(AND(E173=32,F173&lt;&gt;"ASTM A416"),L173,0),3)</f>
        <v/>
      </c>
      <c r="Z173" s="16">
        <f>ROUND(Z172+IF(F173="ASTM A416",L173,0),3)</f>
        <v/>
      </c>
      <c r="AA173" s="9">
        <f>IF(ROUNDUP(P173/20,0)&gt;ROUNDUP(P172/20,0),"Lần " &amp; ROUNDUP(P173/20,0),"")</f>
        <v/>
      </c>
      <c r="AB173" s="9">
        <f>IF(ROUNDUP(Q173/20,0)&gt;ROUNDUP(Q172/20,0),"Lần " &amp; ROUNDUP(Q173/20,0),"")</f>
        <v/>
      </c>
      <c r="AC173" s="9">
        <f>IF(ROUNDUP(R173/20,0)&gt;ROUNDUP(R172/20,0),"Lần " &amp; ROUNDUP(R173/20,0),"")</f>
        <v/>
      </c>
      <c r="AD173" s="9">
        <f>IF(ROUNDUP(S173/20,0)&gt;ROUNDUP(S172/20,0),"Lần " &amp; ROUNDUP(S173/20,0),"")</f>
        <v/>
      </c>
      <c r="AE173" s="9">
        <f>IF(ROUNDUP(T173/20,0)&gt;ROUNDUP(T172/20,0),"Lần " &amp; ROUNDUP(T173/20,0),"")</f>
        <v/>
      </c>
      <c r="AF173" s="9">
        <f>IF(ROUNDUP(U173/20,0)&gt;ROUNDUP(U172/20,0),"Lần " &amp; ROUNDUP(U173/20,0),"")</f>
        <v/>
      </c>
      <c r="AG173" s="9">
        <f>IF(ROUNDUP(V173/20,0)&gt;ROUNDUP(V172/20,0),"Lần " &amp; ROUNDUP(V173/20,0),"")</f>
        <v/>
      </c>
      <c r="AH173" s="9">
        <f>IF(ROUNDUP(W173/20,0)&gt;ROUNDUP(W172/20,0),"Lần " &amp; ROUNDUP(W173/20,0),"")</f>
        <v/>
      </c>
      <c r="AI173" s="9">
        <f>IF(ROUNDUP(X173/20,0)&gt;ROUNDUP(X172/20,0),"Lần " &amp; ROUNDUP(X173/20,0),"")</f>
        <v/>
      </c>
      <c r="AJ173" s="9">
        <f>IF(ROUNDUP(Y173/20,0)&gt;ROUNDUP(Y172/20,0),"Lần " &amp; ROUNDUP(Y173/20,0),"")</f>
        <v/>
      </c>
      <c r="AK173" s="9">
        <f>IF(ROUNDUP(Z173/20,0)&gt;ROUNDUP(Z172/20,0),"Lần " &amp; ROUNDUP(Z173/20,0),"")</f>
        <v/>
      </c>
      <c r="AL173" s="4" t="n"/>
      <c r="AN173" s="596" t="inlineStr">
        <is>
          <t>Coc</t>
        </is>
      </c>
      <c r="AO173" s="596" t="n">
        <v>14</v>
      </c>
      <c r="AQ173" s="594" t="n"/>
      <c r="AR173" s="595" t="n"/>
    </row>
    <row r="174" ht="19" customHeight="1" s="672">
      <c r="A174" s="4" t="n">
        <v>161</v>
      </c>
      <c r="B174" s="5" t="inlineStr">
        <is>
          <t>Cọc khoan nhồi C6 Trụ T1 (D1.2m, L=40.0m)</t>
        </is>
      </c>
      <c r="C174" s="5" t="inlineStr">
        <is>
          <t>Cọc trụ T1 L=40m (tr.68)</t>
        </is>
      </c>
      <c r="D174" s="14" t="inlineStr">
        <is>
          <t>P8</t>
        </is>
      </c>
      <c r="E174" s="15" t="n">
        <v>12</v>
      </c>
      <c r="F174" s="4" t="inlineStr">
        <is>
          <t>CB400-V</t>
        </is>
      </c>
      <c r="G174" s="5" t="inlineStr"/>
      <c r="H174" s="16" t="n">
        <v>0.647</v>
      </c>
      <c r="I174" s="17" t="n">
        <v>16</v>
      </c>
      <c r="J174" s="18" t="n">
        <v>0.888</v>
      </c>
      <c r="K174" s="7">
        <f>ROUND(H174*I174*J174, 2)</f>
        <v/>
      </c>
      <c r="L174" s="19">
        <f>ROUND(K174/1000, 3)</f>
        <v/>
      </c>
      <c r="M174" s="728">
        <f>IF(AO174="","",IF(N(INDEX(Theo_Doi_Tan_Suat_Be_Tong!$C:$C,AO174))&lt;=0,"",INDEX(Theo_Doi_Tan_Suat_Be_Tong!$C:$C,AO174)-VLOOKUP(AN174,$AQ$2:$AR$7,2,FALSE)))</f>
        <v/>
      </c>
      <c r="N174" s="4" t="n"/>
      <c r="O174" s="20">
        <f>IF(ROUNDUP(Q174/20,0)&gt;ROUNDUP(Q173/20,0),"TN Ø12 (Lần " &amp; ROUNDUP(Q174/20,0) &amp; ")","")</f>
        <v/>
      </c>
      <c r="P174" s="16">
        <f>ROUND(P173+IF(AND(E174&lt;=10,F174&lt;&gt;"ASTM A416"),L174,0),3)</f>
        <v/>
      </c>
      <c r="Q174" s="16">
        <f>ROUND(Q173+IF(AND(E174=12,F174&lt;&gt;"ASTM A416"),L174,0),3)</f>
        <v/>
      </c>
      <c r="R174" s="16">
        <f>ROUND(R173+IF(AND(E174=14,F174&lt;&gt;"ASTM A416"),L174,0),3)</f>
        <v/>
      </c>
      <c r="S174" s="16">
        <f>ROUND(S173+IF(AND(E174=16,F174&lt;&gt;"ASTM A416"),L174,0),3)</f>
        <v/>
      </c>
      <c r="T174" s="16">
        <f>ROUND(T173+IF(AND(E174=18,F174&lt;&gt;"ASTM A416"),L174,0),3)</f>
        <v/>
      </c>
      <c r="U174" s="16">
        <f>ROUND(U173+IF(AND(E174=20,F174&lt;&gt;"ASTM A416"),L174,0),3)</f>
        <v/>
      </c>
      <c r="V174" s="16">
        <f>ROUND(V173+IF(AND(E174=22,F174&lt;&gt;"ASTM A416"),L174,0),3)</f>
        <v/>
      </c>
      <c r="W174" s="16">
        <f>ROUND(W173+IF(AND(E174=25,F174&lt;&gt;"ASTM A416"),L174,0),3)</f>
        <v/>
      </c>
      <c r="X174" s="16">
        <f>ROUND(X173+IF(AND(E174=28,F174&lt;&gt;"ASTM A416"),L174,0),3)</f>
        <v/>
      </c>
      <c r="Y174" s="16">
        <f>ROUND(Y173+IF(AND(E174=32,F174&lt;&gt;"ASTM A416"),L174,0),3)</f>
        <v/>
      </c>
      <c r="Z174" s="16">
        <f>ROUND(Z173+IF(F174="ASTM A416",L174,0),3)</f>
        <v/>
      </c>
      <c r="AA174" s="9">
        <f>IF(ROUNDUP(P174/20,0)&gt;ROUNDUP(P173/20,0),"Lần " &amp; ROUNDUP(P174/20,0),"")</f>
        <v/>
      </c>
      <c r="AB174" s="9">
        <f>IF(ROUNDUP(Q174/20,0)&gt;ROUNDUP(Q173/20,0),"Lần " &amp; ROUNDUP(Q174/20,0),"")</f>
        <v/>
      </c>
      <c r="AC174" s="9">
        <f>IF(ROUNDUP(R174/20,0)&gt;ROUNDUP(R173/20,0),"Lần " &amp; ROUNDUP(R174/20,0),"")</f>
        <v/>
      </c>
      <c r="AD174" s="9">
        <f>IF(ROUNDUP(S174/20,0)&gt;ROUNDUP(S173/20,0),"Lần " &amp; ROUNDUP(S174/20,0),"")</f>
        <v/>
      </c>
      <c r="AE174" s="9">
        <f>IF(ROUNDUP(T174/20,0)&gt;ROUNDUP(T173/20,0),"Lần " &amp; ROUNDUP(T174/20,0),"")</f>
        <v/>
      </c>
      <c r="AF174" s="9">
        <f>IF(ROUNDUP(U174/20,0)&gt;ROUNDUP(U173/20,0),"Lần " &amp; ROUNDUP(U174/20,0),"")</f>
        <v/>
      </c>
      <c r="AG174" s="9">
        <f>IF(ROUNDUP(V174/20,0)&gt;ROUNDUP(V173/20,0),"Lần " &amp; ROUNDUP(V174/20,0),"")</f>
        <v/>
      </c>
      <c r="AH174" s="9">
        <f>IF(ROUNDUP(W174/20,0)&gt;ROUNDUP(W173/20,0),"Lần " &amp; ROUNDUP(W174/20,0),"")</f>
        <v/>
      </c>
      <c r="AI174" s="9">
        <f>IF(ROUNDUP(X174/20,0)&gt;ROUNDUP(X173/20,0),"Lần " &amp; ROUNDUP(X174/20,0),"")</f>
        <v/>
      </c>
      <c r="AJ174" s="9">
        <f>IF(ROUNDUP(Y174/20,0)&gt;ROUNDUP(Y173/20,0),"Lần " &amp; ROUNDUP(Y174/20,0),"")</f>
        <v/>
      </c>
      <c r="AK174" s="9">
        <f>IF(ROUNDUP(Z174/20,0)&gt;ROUNDUP(Z173/20,0),"Lần " &amp; ROUNDUP(Z174/20,0),"")</f>
        <v/>
      </c>
      <c r="AL174" s="4" t="n"/>
      <c r="AN174" s="596" t="inlineStr">
        <is>
          <t>Coc</t>
        </is>
      </c>
      <c r="AO174" s="596" t="n">
        <v>14</v>
      </c>
      <c r="AQ174" s="594" t="n"/>
      <c r="AR174" s="595" t="n"/>
    </row>
    <row r="175" ht="19" customHeight="1" s="672">
      <c r="A175" s="4" t="n">
        <v>162</v>
      </c>
      <c r="B175" s="5" t="inlineStr">
        <is>
          <t>Cọc khoan nhồi C6 Trụ T1 (D1.2m, L=40.0m)</t>
        </is>
      </c>
      <c r="C175" s="5" t="inlineStr">
        <is>
          <t>Cọc trụ T1 L=40m (tr.68)</t>
        </is>
      </c>
      <c r="D175" s="14" t="inlineStr">
        <is>
          <t>P9</t>
        </is>
      </c>
      <c r="E175" s="15" t="n">
        <v>12</v>
      </c>
      <c r="F175" s="4" t="inlineStr">
        <is>
          <t>CB400-V</t>
        </is>
      </c>
      <c r="G175" s="5" t="inlineStr"/>
      <c r="H175" s="16" t="n">
        <v>0.379</v>
      </c>
      <c r="I175" s="17" t="n">
        <v>48</v>
      </c>
      <c r="J175" s="18" t="n">
        <v>0.888</v>
      </c>
      <c r="K175" s="7">
        <f>ROUND(H175*I175*J175, 2)</f>
        <v/>
      </c>
      <c r="L175" s="19">
        <f>ROUND(K175/1000, 3)</f>
        <v/>
      </c>
      <c r="M175" s="728">
        <f>IF(AO175="","",IF(N(INDEX(Theo_Doi_Tan_Suat_Be_Tong!$C:$C,AO175))&lt;=0,"",INDEX(Theo_Doi_Tan_Suat_Be_Tong!$C:$C,AO175)-VLOOKUP(AN175,$AQ$2:$AR$7,2,FALSE)))</f>
        <v/>
      </c>
      <c r="N175" s="4" t="n"/>
      <c r="O175" s="20">
        <f>IF(ROUNDUP(Q175/20,0)&gt;ROUNDUP(Q174/20,0),"TN Ø12 (Lần " &amp; ROUNDUP(Q175/20,0) &amp; ")","")</f>
        <v/>
      </c>
      <c r="P175" s="16">
        <f>ROUND(P174+IF(AND(E175&lt;=10,F175&lt;&gt;"ASTM A416"),L175,0),3)</f>
        <v/>
      </c>
      <c r="Q175" s="16">
        <f>ROUND(Q174+IF(AND(E175=12,F175&lt;&gt;"ASTM A416"),L175,0),3)</f>
        <v/>
      </c>
      <c r="R175" s="16">
        <f>ROUND(R174+IF(AND(E175=14,F175&lt;&gt;"ASTM A416"),L175,0),3)</f>
        <v/>
      </c>
      <c r="S175" s="16">
        <f>ROUND(S174+IF(AND(E175=16,F175&lt;&gt;"ASTM A416"),L175,0),3)</f>
        <v/>
      </c>
      <c r="T175" s="16">
        <f>ROUND(T174+IF(AND(E175=18,F175&lt;&gt;"ASTM A416"),L175,0),3)</f>
        <v/>
      </c>
      <c r="U175" s="16">
        <f>ROUND(U174+IF(AND(E175=20,F175&lt;&gt;"ASTM A416"),L175,0),3)</f>
        <v/>
      </c>
      <c r="V175" s="16">
        <f>ROUND(V174+IF(AND(E175=22,F175&lt;&gt;"ASTM A416"),L175,0),3)</f>
        <v/>
      </c>
      <c r="W175" s="16">
        <f>ROUND(W174+IF(AND(E175=25,F175&lt;&gt;"ASTM A416"),L175,0),3)</f>
        <v/>
      </c>
      <c r="X175" s="16">
        <f>ROUND(X174+IF(AND(E175=28,F175&lt;&gt;"ASTM A416"),L175,0),3)</f>
        <v/>
      </c>
      <c r="Y175" s="16">
        <f>ROUND(Y174+IF(AND(E175=32,F175&lt;&gt;"ASTM A416"),L175,0),3)</f>
        <v/>
      </c>
      <c r="Z175" s="16">
        <f>ROUND(Z174+IF(F175="ASTM A416",L175,0),3)</f>
        <v/>
      </c>
      <c r="AA175" s="9">
        <f>IF(ROUNDUP(P175/20,0)&gt;ROUNDUP(P174/20,0),"Lần " &amp; ROUNDUP(P175/20,0),"")</f>
        <v/>
      </c>
      <c r="AB175" s="9">
        <f>IF(ROUNDUP(Q175/20,0)&gt;ROUNDUP(Q174/20,0),"Lần " &amp; ROUNDUP(Q175/20,0),"")</f>
        <v/>
      </c>
      <c r="AC175" s="9">
        <f>IF(ROUNDUP(R175/20,0)&gt;ROUNDUP(R174/20,0),"Lần " &amp; ROUNDUP(R175/20,0),"")</f>
        <v/>
      </c>
      <c r="AD175" s="9">
        <f>IF(ROUNDUP(S175/20,0)&gt;ROUNDUP(S174/20,0),"Lần " &amp; ROUNDUP(S175/20,0),"")</f>
        <v/>
      </c>
      <c r="AE175" s="9">
        <f>IF(ROUNDUP(T175/20,0)&gt;ROUNDUP(T174/20,0),"Lần " &amp; ROUNDUP(T175/20,0),"")</f>
        <v/>
      </c>
      <c r="AF175" s="9">
        <f>IF(ROUNDUP(U175/20,0)&gt;ROUNDUP(U174/20,0),"Lần " &amp; ROUNDUP(U175/20,0),"")</f>
        <v/>
      </c>
      <c r="AG175" s="9">
        <f>IF(ROUNDUP(V175/20,0)&gt;ROUNDUP(V174/20,0),"Lần " &amp; ROUNDUP(V175/20,0),"")</f>
        <v/>
      </c>
      <c r="AH175" s="9">
        <f>IF(ROUNDUP(W175/20,0)&gt;ROUNDUP(W174/20,0),"Lần " &amp; ROUNDUP(W175/20,0),"")</f>
        <v/>
      </c>
      <c r="AI175" s="9">
        <f>IF(ROUNDUP(X175/20,0)&gt;ROUNDUP(X174/20,0),"Lần " &amp; ROUNDUP(X175/20,0),"")</f>
        <v/>
      </c>
      <c r="AJ175" s="9">
        <f>IF(ROUNDUP(Y175/20,0)&gt;ROUNDUP(Y174/20,0),"Lần " &amp; ROUNDUP(Y175/20,0),"")</f>
        <v/>
      </c>
      <c r="AK175" s="9">
        <f>IF(ROUNDUP(Z175/20,0)&gt;ROUNDUP(Z174/20,0),"Lần " &amp; ROUNDUP(Z175/20,0),"")</f>
        <v/>
      </c>
      <c r="AL175" s="4" t="n"/>
      <c r="AN175" s="596" t="inlineStr">
        <is>
          <t>Coc</t>
        </is>
      </c>
      <c r="AO175" s="596" t="n">
        <v>14</v>
      </c>
      <c r="AQ175" s="594" t="n"/>
      <c r="AR175" s="595" t="n"/>
    </row>
    <row r="176" ht="19" customHeight="1" s="672">
      <c r="A176" s="4" t="n">
        <v>163</v>
      </c>
      <c r="B176" s="5" t="inlineStr">
        <is>
          <t>Cọc khoan nhồi C6 Trụ T1 (D1.2m, L=40.0m)</t>
        </is>
      </c>
      <c r="C176" s="5" t="inlineStr">
        <is>
          <t>Cọc trụ T1 L=40m (tr.68)</t>
        </is>
      </c>
      <c r="D176" s="14" t="inlineStr">
        <is>
          <t>P10</t>
        </is>
      </c>
      <c r="E176" s="15" t="n">
        <v>20</v>
      </c>
      <c r="F176" s="4" t="inlineStr">
        <is>
          <t>CB400-V</t>
        </is>
      </c>
      <c r="G176" s="5" t="inlineStr"/>
      <c r="H176" s="16" t="n">
        <v>2.057</v>
      </c>
      <c r="I176" s="17" t="n">
        <v>1</v>
      </c>
      <c r="J176" s="18" t="n">
        <v>2.466</v>
      </c>
      <c r="K176" s="7">
        <f>ROUND(H176*I176*J176, 2)</f>
        <v/>
      </c>
      <c r="L176" s="19">
        <f>ROUND(K176/1000, 3)</f>
        <v/>
      </c>
      <c r="M176" s="728">
        <f>IF(AO176="","",IF(N(INDEX(Theo_Doi_Tan_Suat_Be_Tong!$C:$C,AO176))&lt;=0,"",INDEX(Theo_Doi_Tan_Suat_Be_Tong!$C:$C,AO176)-VLOOKUP(AN176,$AQ$2:$AR$7,2,FALSE)))</f>
        <v/>
      </c>
      <c r="N176" s="4" t="n"/>
      <c r="O176" s="20">
        <f>IF(ROUNDUP(U176/20,0)&gt;ROUNDUP(U175/20,0),"TN Ø20 (Lần " &amp; ROUNDUP(U176/20,0) &amp; ")","")</f>
        <v/>
      </c>
      <c r="P176" s="16">
        <f>ROUND(P175+IF(AND(E176&lt;=10,F176&lt;&gt;"ASTM A416"),L176,0),3)</f>
        <v/>
      </c>
      <c r="Q176" s="16">
        <f>ROUND(Q175+IF(AND(E176=12,F176&lt;&gt;"ASTM A416"),L176,0),3)</f>
        <v/>
      </c>
      <c r="R176" s="16">
        <f>ROUND(R175+IF(AND(E176=14,F176&lt;&gt;"ASTM A416"),L176,0),3)</f>
        <v/>
      </c>
      <c r="S176" s="16">
        <f>ROUND(S175+IF(AND(E176=16,F176&lt;&gt;"ASTM A416"),L176,0),3)</f>
        <v/>
      </c>
      <c r="T176" s="16">
        <f>ROUND(T175+IF(AND(E176=18,F176&lt;&gt;"ASTM A416"),L176,0),3)</f>
        <v/>
      </c>
      <c r="U176" s="16">
        <f>ROUND(U175+IF(AND(E176=20,F176&lt;&gt;"ASTM A416"),L176,0),3)</f>
        <v/>
      </c>
      <c r="V176" s="16">
        <f>ROUND(V175+IF(AND(E176=22,F176&lt;&gt;"ASTM A416"),L176,0),3)</f>
        <v/>
      </c>
      <c r="W176" s="16">
        <f>ROUND(W175+IF(AND(E176=25,F176&lt;&gt;"ASTM A416"),L176,0),3)</f>
        <v/>
      </c>
      <c r="X176" s="16">
        <f>ROUND(X175+IF(AND(E176=28,F176&lt;&gt;"ASTM A416"),L176,0),3)</f>
        <v/>
      </c>
      <c r="Y176" s="16">
        <f>ROUND(Y175+IF(AND(E176=32,F176&lt;&gt;"ASTM A416"),L176,0),3)</f>
        <v/>
      </c>
      <c r="Z176" s="16">
        <f>ROUND(Z175+IF(F176="ASTM A416",L176,0),3)</f>
        <v/>
      </c>
      <c r="AA176" s="9">
        <f>IF(ROUNDUP(P176/20,0)&gt;ROUNDUP(P175/20,0),"Lần " &amp; ROUNDUP(P176/20,0),"")</f>
        <v/>
      </c>
      <c r="AB176" s="9">
        <f>IF(ROUNDUP(Q176/20,0)&gt;ROUNDUP(Q175/20,0),"Lần " &amp; ROUNDUP(Q176/20,0),"")</f>
        <v/>
      </c>
      <c r="AC176" s="9">
        <f>IF(ROUNDUP(R176/20,0)&gt;ROUNDUP(R175/20,0),"Lần " &amp; ROUNDUP(R176/20,0),"")</f>
        <v/>
      </c>
      <c r="AD176" s="9">
        <f>IF(ROUNDUP(S176/20,0)&gt;ROUNDUP(S175/20,0),"Lần " &amp; ROUNDUP(S176/20,0),"")</f>
        <v/>
      </c>
      <c r="AE176" s="9">
        <f>IF(ROUNDUP(T176/20,0)&gt;ROUNDUP(T175/20,0),"Lần " &amp; ROUNDUP(T176/20,0),"")</f>
        <v/>
      </c>
      <c r="AF176" s="9">
        <f>IF(ROUNDUP(U176/20,0)&gt;ROUNDUP(U175/20,0),"Lần " &amp; ROUNDUP(U176/20,0),"")</f>
        <v/>
      </c>
      <c r="AG176" s="9">
        <f>IF(ROUNDUP(V176/20,0)&gt;ROUNDUP(V175/20,0),"Lần " &amp; ROUNDUP(V176/20,0),"")</f>
        <v/>
      </c>
      <c r="AH176" s="9">
        <f>IF(ROUNDUP(W176/20,0)&gt;ROUNDUP(W175/20,0),"Lần " &amp; ROUNDUP(W176/20,0),"")</f>
        <v/>
      </c>
      <c r="AI176" s="9">
        <f>IF(ROUNDUP(X176/20,0)&gt;ROUNDUP(X175/20,0),"Lần " &amp; ROUNDUP(X176/20,0),"")</f>
        <v/>
      </c>
      <c r="AJ176" s="9">
        <f>IF(ROUNDUP(Y176/20,0)&gt;ROUNDUP(Y175/20,0),"Lần " &amp; ROUNDUP(Y176/20,0),"")</f>
        <v/>
      </c>
      <c r="AK176" s="9">
        <f>IF(ROUNDUP(Z176/20,0)&gt;ROUNDUP(Z175/20,0),"Lần " &amp; ROUNDUP(Z176/20,0),"")</f>
        <v/>
      </c>
      <c r="AL176" s="4" t="n"/>
      <c r="AN176" s="596" t="inlineStr">
        <is>
          <t>Coc</t>
        </is>
      </c>
      <c r="AO176" s="596" t="n">
        <v>14</v>
      </c>
      <c r="AQ176" s="594" t="n"/>
      <c r="AR176" s="595" t="n"/>
    </row>
    <row r="177" ht="20" customHeight="1" s="672">
      <c r="A177" s="4" t="n">
        <v>164</v>
      </c>
      <c r="B177" s="5" t="inlineStr">
        <is>
          <t>Cọc khoan nhồi C6 Trụ T1 (D1.2m, L=40.0m)</t>
        </is>
      </c>
      <c r="C177" s="5" t="inlineStr">
        <is>
          <t>Cọc trụ T1 L=40m (tr.68)</t>
        </is>
      </c>
      <c r="D177" s="14" t="inlineStr">
        <is>
          <t>P12</t>
        </is>
      </c>
      <c r="E177" s="15" t="n">
        <v>20</v>
      </c>
      <c r="F177" s="4" t="inlineStr">
        <is>
          <t>CB400-V</t>
        </is>
      </c>
      <c r="G177" s="5" t="inlineStr"/>
      <c r="H177" s="16" t="n">
        <v>0.583</v>
      </c>
      <c r="I177" s="17" t="n">
        <v>64</v>
      </c>
      <c r="J177" s="18" t="n">
        <v>2.466</v>
      </c>
      <c r="K177" s="7">
        <f>ROUND(H177*I177*J177, 2)</f>
        <v/>
      </c>
      <c r="L177" s="19">
        <f>ROUND(K177/1000, 3)</f>
        <v/>
      </c>
      <c r="M177" s="728">
        <f>IF(AO177="","",IF(N(INDEX(Theo_Doi_Tan_Suat_Be_Tong!$C:$C,AO177))&lt;=0,"",INDEX(Theo_Doi_Tan_Suat_Be_Tong!$C:$C,AO177)-VLOOKUP(AN177,$AQ$2:$AR$7,2,FALSE)))</f>
        <v/>
      </c>
      <c r="N177" s="4" t="n"/>
      <c r="O177" s="20">
        <f>IF(ROUNDUP(U177/20,0)&gt;ROUNDUP(U176/20,0),"TN Ø20 (Lần " &amp; ROUNDUP(U177/20,0) &amp; ")","")</f>
        <v/>
      </c>
      <c r="P177" s="16">
        <f>ROUND(P176+IF(AND(E177&lt;=10,F177&lt;&gt;"ASTM A416"),L177,0),3)</f>
        <v/>
      </c>
      <c r="Q177" s="16">
        <f>ROUND(Q176+IF(AND(E177=12,F177&lt;&gt;"ASTM A416"),L177,0),3)</f>
        <v/>
      </c>
      <c r="R177" s="16">
        <f>ROUND(R176+IF(AND(E177=14,F177&lt;&gt;"ASTM A416"),L177,0),3)</f>
        <v/>
      </c>
      <c r="S177" s="16">
        <f>ROUND(S176+IF(AND(E177=16,F177&lt;&gt;"ASTM A416"),L177,0),3)</f>
        <v/>
      </c>
      <c r="T177" s="16">
        <f>ROUND(T176+IF(AND(E177=18,F177&lt;&gt;"ASTM A416"),L177,0),3)</f>
        <v/>
      </c>
      <c r="U177" s="16">
        <f>ROUND(U176+IF(AND(E177=20,F177&lt;&gt;"ASTM A416"),L177,0),3)</f>
        <v/>
      </c>
      <c r="V177" s="16">
        <f>ROUND(V176+IF(AND(E177=22,F177&lt;&gt;"ASTM A416"),L177,0),3)</f>
        <v/>
      </c>
      <c r="W177" s="16">
        <f>ROUND(W176+IF(AND(E177=25,F177&lt;&gt;"ASTM A416"),L177,0),3)</f>
        <v/>
      </c>
      <c r="X177" s="16">
        <f>ROUND(X176+IF(AND(E177=28,F177&lt;&gt;"ASTM A416"),L177,0),3)</f>
        <v/>
      </c>
      <c r="Y177" s="16">
        <f>ROUND(Y176+IF(AND(E177=32,F177&lt;&gt;"ASTM A416"),L177,0),3)</f>
        <v/>
      </c>
      <c r="Z177" s="16">
        <f>ROUND(Z176+IF(F177="ASTM A416",L177,0),3)</f>
        <v/>
      </c>
      <c r="AA177" s="9">
        <f>IF(ROUNDUP(P177/20,0)&gt;ROUNDUP(P176/20,0),"Lần " &amp; ROUNDUP(P177/20,0),"")</f>
        <v/>
      </c>
      <c r="AB177" s="9">
        <f>IF(ROUNDUP(Q177/20,0)&gt;ROUNDUP(Q176/20,0),"Lần " &amp; ROUNDUP(Q177/20,0),"")</f>
        <v/>
      </c>
      <c r="AC177" s="9">
        <f>IF(ROUNDUP(R177/20,0)&gt;ROUNDUP(R176/20,0),"Lần " &amp; ROUNDUP(R177/20,0),"")</f>
        <v/>
      </c>
      <c r="AD177" s="9">
        <f>IF(ROUNDUP(S177/20,0)&gt;ROUNDUP(S176/20,0),"Lần " &amp; ROUNDUP(S177/20,0),"")</f>
        <v/>
      </c>
      <c r="AE177" s="9">
        <f>IF(ROUNDUP(T177/20,0)&gt;ROUNDUP(T176/20,0),"Lần " &amp; ROUNDUP(T177/20,0),"")</f>
        <v/>
      </c>
      <c r="AF177" s="9">
        <f>IF(ROUNDUP(U177/20,0)&gt;ROUNDUP(U176/20,0),"Lần " &amp; ROUNDUP(U177/20,0),"")</f>
        <v/>
      </c>
      <c r="AG177" s="9">
        <f>IF(ROUNDUP(V177/20,0)&gt;ROUNDUP(V176/20,0),"Lần " &amp; ROUNDUP(V177/20,0),"")</f>
        <v/>
      </c>
      <c r="AH177" s="9">
        <f>IF(ROUNDUP(W177/20,0)&gt;ROUNDUP(W176/20,0),"Lần " &amp; ROUNDUP(W177/20,0),"")</f>
        <v/>
      </c>
      <c r="AI177" s="9">
        <f>IF(ROUNDUP(X177/20,0)&gt;ROUNDUP(X176/20,0),"Lần " &amp; ROUNDUP(X177/20,0),"")</f>
        <v/>
      </c>
      <c r="AJ177" s="9">
        <f>IF(ROUNDUP(Y177/20,0)&gt;ROUNDUP(Y176/20,0),"Lần " &amp; ROUNDUP(Y177/20,0),"")</f>
        <v/>
      </c>
      <c r="AK177" s="9">
        <f>IF(ROUNDUP(Z177/20,0)&gt;ROUNDUP(Z176/20,0),"Lần " &amp; ROUNDUP(Z177/20,0),"")</f>
        <v/>
      </c>
      <c r="AL177" s="4" t="n"/>
      <c r="AN177" s="596" t="inlineStr">
        <is>
          <t>Coc</t>
        </is>
      </c>
      <c r="AO177" s="596" t="n">
        <v>14</v>
      </c>
      <c r="AQ177" s="594" t="n"/>
      <c r="AR177" s="595" t="n"/>
    </row>
    <row r="178" ht="19" customHeight="1" s="672">
      <c r="A178" s="4" t="n">
        <v>165</v>
      </c>
      <c r="B178" s="5" t="inlineStr">
        <is>
          <t>Cọc khoan nhồi C6 Trụ T1 (D1.2m, L=40.0m)</t>
        </is>
      </c>
      <c r="C178" s="5" t="inlineStr">
        <is>
          <t>Cọc trụ T1 L=40m (tr.68)</t>
        </is>
      </c>
      <c r="D178" s="14" t="inlineStr">
        <is>
          <t>P11</t>
        </is>
      </c>
      <c r="E178" s="15" t="n">
        <v>16</v>
      </c>
      <c r="F178" s="4" t="inlineStr">
        <is>
          <t>CB400-V</t>
        </is>
      </c>
      <c r="G178" s="5" t="inlineStr"/>
      <c r="H178" s="16" t="n">
        <v>2.604</v>
      </c>
      <c r="I178" s="17" t="n">
        <v>4</v>
      </c>
      <c r="J178" s="18" t="n">
        <v>1.578</v>
      </c>
      <c r="K178" s="7">
        <f>ROUND(H178*I178*J178, 2)</f>
        <v/>
      </c>
      <c r="L178" s="19">
        <f>ROUND(K178/1000, 3)</f>
        <v/>
      </c>
      <c r="M178" s="728">
        <f>IF(AO178="","",IF(N(INDEX(Theo_Doi_Tan_Suat_Be_Tong!$C:$C,AO178))&lt;=0,"",INDEX(Theo_Doi_Tan_Suat_Be_Tong!$C:$C,AO178)-VLOOKUP(AN178,$AQ$2:$AR$7,2,FALSE)))</f>
        <v/>
      </c>
      <c r="N178" s="4" t="n"/>
      <c r="O178" s="20">
        <f>IF(ROUNDUP(S178/20,0)&gt;ROUNDUP(S177/20,0),"TN Ø16 (Lần " &amp; ROUNDUP(S178/20,0) &amp; ")","")</f>
        <v/>
      </c>
      <c r="P178" s="16">
        <f>ROUND(P177+IF(AND(E178&lt;=10,F178&lt;&gt;"ASTM A416"),L178,0),3)</f>
        <v/>
      </c>
      <c r="Q178" s="16">
        <f>ROUND(Q177+IF(AND(E178=12,F178&lt;&gt;"ASTM A416"),L178,0),3)</f>
        <v/>
      </c>
      <c r="R178" s="16">
        <f>ROUND(R177+IF(AND(E178=14,F178&lt;&gt;"ASTM A416"),L178,0),3)</f>
        <v/>
      </c>
      <c r="S178" s="16">
        <f>ROUND(S177+IF(AND(E178=16,F178&lt;&gt;"ASTM A416"),L178,0),3)</f>
        <v/>
      </c>
      <c r="T178" s="16">
        <f>ROUND(T177+IF(AND(E178=18,F178&lt;&gt;"ASTM A416"),L178,0),3)</f>
        <v/>
      </c>
      <c r="U178" s="16">
        <f>ROUND(U177+IF(AND(E178=20,F178&lt;&gt;"ASTM A416"),L178,0),3)</f>
        <v/>
      </c>
      <c r="V178" s="16">
        <f>ROUND(V177+IF(AND(E178=22,F178&lt;&gt;"ASTM A416"),L178,0),3)</f>
        <v/>
      </c>
      <c r="W178" s="16">
        <f>ROUND(W177+IF(AND(E178=25,F178&lt;&gt;"ASTM A416"),L178,0),3)</f>
        <v/>
      </c>
      <c r="X178" s="16">
        <f>ROUND(X177+IF(AND(E178=28,F178&lt;&gt;"ASTM A416"),L178,0),3)</f>
        <v/>
      </c>
      <c r="Y178" s="16">
        <f>ROUND(Y177+IF(AND(E178=32,F178&lt;&gt;"ASTM A416"),L178,0),3)</f>
        <v/>
      </c>
      <c r="Z178" s="16">
        <f>ROUND(Z177+IF(F178="ASTM A416",L178,0),3)</f>
        <v/>
      </c>
      <c r="AA178" s="9">
        <f>IF(ROUNDUP(P178/20,0)&gt;ROUNDUP(P177/20,0),"Lần " &amp; ROUNDUP(P178/20,0),"")</f>
        <v/>
      </c>
      <c r="AB178" s="9">
        <f>IF(ROUNDUP(Q178/20,0)&gt;ROUNDUP(Q177/20,0),"Lần " &amp; ROUNDUP(Q178/20,0),"")</f>
        <v/>
      </c>
      <c r="AC178" s="9">
        <f>IF(ROUNDUP(R178/20,0)&gt;ROUNDUP(R177/20,0),"Lần " &amp; ROUNDUP(R178/20,0),"")</f>
        <v/>
      </c>
      <c r="AD178" s="9">
        <f>IF(ROUNDUP(S178/20,0)&gt;ROUNDUP(S177/20,0),"Lần " &amp; ROUNDUP(S178/20,0),"")</f>
        <v/>
      </c>
      <c r="AE178" s="9">
        <f>IF(ROUNDUP(T178/20,0)&gt;ROUNDUP(T177/20,0),"Lần " &amp; ROUNDUP(T178/20,0),"")</f>
        <v/>
      </c>
      <c r="AF178" s="9">
        <f>IF(ROUNDUP(U178/20,0)&gt;ROUNDUP(U177/20,0),"Lần " &amp; ROUNDUP(U178/20,0),"")</f>
        <v/>
      </c>
      <c r="AG178" s="9">
        <f>IF(ROUNDUP(V178/20,0)&gt;ROUNDUP(V177/20,0),"Lần " &amp; ROUNDUP(V178/20,0),"")</f>
        <v/>
      </c>
      <c r="AH178" s="9">
        <f>IF(ROUNDUP(W178/20,0)&gt;ROUNDUP(W177/20,0),"Lần " &amp; ROUNDUP(W178/20,0),"")</f>
        <v/>
      </c>
      <c r="AI178" s="9">
        <f>IF(ROUNDUP(X178/20,0)&gt;ROUNDUP(X177/20,0),"Lần " &amp; ROUNDUP(X178/20,0),"")</f>
        <v/>
      </c>
      <c r="AJ178" s="9">
        <f>IF(ROUNDUP(Y178/20,0)&gt;ROUNDUP(Y177/20,0),"Lần " &amp; ROUNDUP(Y178/20,0),"")</f>
        <v/>
      </c>
      <c r="AK178" s="9">
        <f>IF(ROUNDUP(Z178/20,0)&gt;ROUNDUP(Z177/20,0),"Lần " &amp; ROUNDUP(Z178/20,0),"")</f>
        <v/>
      </c>
      <c r="AL178" s="4" t="n"/>
      <c r="AN178" s="596" t="inlineStr">
        <is>
          <t>Coc</t>
        </is>
      </c>
      <c r="AO178" s="596" t="n">
        <v>14</v>
      </c>
      <c r="AQ178" s="594" t="n"/>
      <c r="AR178" s="595" t="n"/>
    </row>
    <row r="179" ht="19" customHeight="1" s="672">
      <c r="A179" s="668" t="inlineStr">
        <is>
          <t>--- CỌC KHOAN NHỒI C3 TRỤ T2 (D1.2M, L=30.0M) ---</t>
        </is>
      </c>
      <c r="B179" s="722" t="n"/>
      <c r="C179" s="722" t="n"/>
      <c r="D179" s="722" t="n"/>
      <c r="E179" s="722" t="n"/>
      <c r="F179" s="722" t="n"/>
      <c r="G179" s="722" t="n"/>
      <c r="H179" s="722" t="n"/>
      <c r="I179" s="722" t="n"/>
      <c r="J179" s="722" t="n"/>
      <c r="K179" s="722" t="n"/>
      <c r="L179" s="722" t="n"/>
      <c r="M179" s="722" t="n"/>
      <c r="N179" s="722" t="n"/>
      <c r="O179" s="722" t="n"/>
      <c r="P179" s="722" t="n"/>
      <c r="Q179" s="722" t="n"/>
      <c r="R179" s="722" t="n"/>
      <c r="S179" s="722" t="n"/>
      <c r="T179" s="722" t="n"/>
      <c r="U179" s="722" t="n"/>
      <c r="V179" s="722" t="n"/>
      <c r="W179" s="722" t="n"/>
      <c r="X179" s="722" t="n"/>
      <c r="Y179" s="722" t="n"/>
      <c r="Z179" s="722" t="n"/>
      <c r="AA179" s="722" t="n"/>
      <c r="AB179" s="722" t="n"/>
      <c r="AC179" s="722" t="n"/>
      <c r="AD179" s="722" t="n"/>
      <c r="AE179" s="722" t="n"/>
      <c r="AF179" s="722" t="n"/>
      <c r="AG179" s="722" t="n"/>
      <c r="AH179" s="722" t="n"/>
      <c r="AI179" s="722" t="n"/>
      <c r="AJ179" s="722" t="n"/>
      <c r="AK179" s="722" t="n"/>
      <c r="AL179" s="721" t="n"/>
      <c r="AQ179" s="594" t="n"/>
      <c r="AR179" s="595" t="n"/>
    </row>
    <row r="180" ht="19" customHeight="1" s="672">
      <c r="A180" s="4" t="n">
        <v>166</v>
      </c>
      <c r="B180" s="5" t="inlineStr">
        <is>
          <t>Cọc khoan nhồi C3 Trụ T2 (D1.2m, L=30.0m)</t>
        </is>
      </c>
      <c r="C180" s="5" t="inlineStr">
        <is>
          <t>Cọc trụ T2 L=30m (tr.70)</t>
        </is>
      </c>
      <c r="D180" s="14" t="inlineStr">
        <is>
          <t>P1</t>
        </is>
      </c>
      <c r="E180" s="15" t="n">
        <v>10</v>
      </c>
      <c r="F180" s="4" t="inlineStr">
        <is>
          <t>CB240-T</t>
        </is>
      </c>
      <c r="G180" s="5" t="inlineStr"/>
      <c r="H180" s="16" t="n">
        <v>96.604</v>
      </c>
      <c r="I180" s="17" t="n">
        <v>1</v>
      </c>
      <c r="J180" s="18" t="n">
        <v>0.617</v>
      </c>
      <c r="K180" s="7">
        <f>ROUND(H180*I180*J180, 2)</f>
        <v/>
      </c>
      <c r="L180" s="19">
        <f>ROUND(K180/1000, 3)</f>
        <v/>
      </c>
      <c r="M180" s="728">
        <f>IF(AO180="","",IF(N(INDEX(Theo_Doi_Tan_Suat_Be_Tong!$C:$C,AO180))&lt;=0,"",INDEX(Theo_Doi_Tan_Suat_Be_Tong!$C:$C,AO180)-VLOOKUP(AN180,$AQ$2:$AR$7,2,FALSE)))</f>
        <v/>
      </c>
      <c r="N180" s="4" t="n"/>
      <c r="O180" s="20">
        <f>IF(ROUNDUP(P180/20,0)&gt;ROUNDUP(P178/20,0),"TN Ø10 (Lần " &amp; ROUNDUP(P180/20,0) &amp; ")","")</f>
        <v/>
      </c>
      <c r="P180" s="16">
        <f>ROUND(P178+IF(AND(E180&lt;=10,F180&lt;&gt;"ASTM A416"),L180,0),3)</f>
        <v/>
      </c>
      <c r="Q180" s="16">
        <f>ROUND(Q178+IF(AND(E180=12,F180&lt;&gt;"ASTM A416"),L180,0),3)</f>
        <v/>
      </c>
      <c r="R180" s="16">
        <f>ROUND(R178+IF(AND(E180=14,F180&lt;&gt;"ASTM A416"),L180,0),3)</f>
        <v/>
      </c>
      <c r="S180" s="16">
        <f>ROUND(S178+IF(AND(E180=16,F180&lt;&gt;"ASTM A416"),L180,0),3)</f>
        <v/>
      </c>
      <c r="T180" s="16">
        <f>ROUND(T178+IF(AND(E180=18,F180&lt;&gt;"ASTM A416"),L180,0),3)</f>
        <v/>
      </c>
      <c r="U180" s="16">
        <f>ROUND(U178+IF(AND(E180=20,F180&lt;&gt;"ASTM A416"),L180,0),3)</f>
        <v/>
      </c>
      <c r="V180" s="16">
        <f>ROUND(V178+IF(AND(E180=22,F180&lt;&gt;"ASTM A416"),L180,0),3)</f>
        <v/>
      </c>
      <c r="W180" s="16">
        <f>ROUND(W178+IF(AND(E180=25,F180&lt;&gt;"ASTM A416"),L180,0),3)</f>
        <v/>
      </c>
      <c r="X180" s="16">
        <f>ROUND(X178+IF(AND(E180=28,F180&lt;&gt;"ASTM A416"),L180,0),3)</f>
        <v/>
      </c>
      <c r="Y180" s="16">
        <f>ROUND(Y178+IF(AND(E180=32,F180&lt;&gt;"ASTM A416"),L180,0),3)</f>
        <v/>
      </c>
      <c r="Z180" s="16">
        <f>ROUND(Z178+IF(F180="ASTM A416",L180,0),3)</f>
        <v/>
      </c>
      <c r="AA180" s="9">
        <f>IF(ROUNDUP(P180/20,0)&gt;ROUNDUP(P178/20,0),"Lần " &amp; ROUNDUP(P180/20,0),"")</f>
        <v/>
      </c>
      <c r="AB180" s="9">
        <f>IF(ROUNDUP(Q180/20,0)&gt;ROUNDUP(Q178/20,0),"Lần " &amp; ROUNDUP(Q180/20,0),"")</f>
        <v/>
      </c>
      <c r="AC180" s="9">
        <f>IF(ROUNDUP(R180/20,0)&gt;ROUNDUP(R178/20,0),"Lần " &amp; ROUNDUP(R180/20,0),"")</f>
        <v/>
      </c>
      <c r="AD180" s="9">
        <f>IF(ROUNDUP(S180/20,0)&gt;ROUNDUP(S178/20,0),"Lần " &amp; ROUNDUP(S180/20,0),"")</f>
        <v/>
      </c>
      <c r="AE180" s="9">
        <f>IF(ROUNDUP(T180/20,0)&gt;ROUNDUP(T178/20,0),"Lần " &amp; ROUNDUP(T180/20,0),"")</f>
        <v/>
      </c>
      <c r="AF180" s="9">
        <f>IF(ROUNDUP(U180/20,0)&gt;ROUNDUP(U178/20,0),"Lần " &amp; ROUNDUP(U180/20,0),"")</f>
        <v/>
      </c>
      <c r="AG180" s="9">
        <f>IF(ROUNDUP(V180/20,0)&gt;ROUNDUP(V178/20,0),"Lần " &amp; ROUNDUP(V180/20,0),"")</f>
        <v/>
      </c>
      <c r="AH180" s="9">
        <f>IF(ROUNDUP(W180/20,0)&gt;ROUNDUP(W178/20,0),"Lần " &amp; ROUNDUP(W180/20,0),"")</f>
        <v/>
      </c>
      <c r="AI180" s="9">
        <f>IF(ROUNDUP(X180/20,0)&gt;ROUNDUP(X178/20,0),"Lần " &amp; ROUNDUP(X180/20,0),"")</f>
        <v/>
      </c>
      <c r="AJ180" s="9">
        <f>IF(ROUNDUP(Y180/20,0)&gt;ROUNDUP(Y178/20,0),"Lần " &amp; ROUNDUP(Y180/20,0),"")</f>
        <v/>
      </c>
      <c r="AK180" s="9">
        <f>IF(ROUNDUP(Z180/20,0)&gt;ROUNDUP(Z178/20,0),"Lần " &amp; ROUNDUP(Z180/20,0),"")</f>
        <v/>
      </c>
      <c r="AL180" s="4" t="n"/>
      <c r="AN180" s="596" t="inlineStr">
        <is>
          <t>Coc</t>
        </is>
      </c>
      <c r="AO180" s="596" t="n">
        <v>15</v>
      </c>
      <c r="AQ180" s="594" t="n"/>
      <c r="AR180" s="595" t="n"/>
    </row>
    <row r="181" ht="19" customHeight="1" s="672">
      <c r="A181" s="4" t="n">
        <v>167</v>
      </c>
      <c r="B181" s="5" t="inlineStr">
        <is>
          <t>Cọc khoan nhồi C3 Trụ T2 (D1.2m, L=30.0m)</t>
        </is>
      </c>
      <c r="C181" s="5" t="inlineStr">
        <is>
          <t>Cọc trụ T2 L=30m (tr.70)</t>
        </is>
      </c>
      <c r="D181" s="14" t="inlineStr">
        <is>
          <t>P1A</t>
        </is>
      </c>
      <c r="E181" s="15" t="n">
        <v>10</v>
      </c>
      <c r="F181" s="4" t="inlineStr">
        <is>
          <t>CB240-T</t>
        </is>
      </c>
      <c r="G181" s="5" t="inlineStr"/>
      <c r="H181" s="16" t="n">
        <v>389.636</v>
      </c>
      <c r="I181" s="17" t="n">
        <v>1</v>
      </c>
      <c r="J181" s="18" t="n">
        <v>0.617</v>
      </c>
      <c r="K181" s="7">
        <f>ROUND(H181*I181*J181, 2)</f>
        <v/>
      </c>
      <c r="L181" s="19">
        <f>ROUND(K181/1000, 3)</f>
        <v/>
      </c>
      <c r="M181" s="728">
        <f>IF(AO181="","",IF(N(INDEX(Theo_Doi_Tan_Suat_Be_Tong!$C:$C,AO181))&lt;=0,"",INDEX(Theo_Doi_Tan_Suat_Be_Tong!$C:$C,AO181)-VLOOKUP(AN181,$AQ$2:$AR$7,2,FALSE)))</f>
        <v/>
      </c>
      <c r="N181" s="4" t="n"/>
      <c r="O181" s="20">
        <f>IF(ROUNDUP(P181/20,0)&gt;ROUNDUP(P180/20,0),"TN Ø10 (Lần " &amp; ROUNDUP(P181/20,0) &amp; ")","")</f>
        <v/>
      </c>
      <c r="P181" s="16">
        <f>ROUND(P180+IF(AND(E181&lt;=10,F181&lt;&gt;"ASTM A416"),L181,0),3)</f>
        <v/>
      </c>
      <c r="Q181" s="16">
        <f>ROUND(Q180+IF(AND(E181=12,F181&lt;&gt;"ASTM A416"),L181,0),3)</f>
        <v/>
      </c>
      <c r="R181" s="16">
        <f>ROUND(R180+IF(AND(E181=14,F181&lt;&gt;"ASTM A416"),L181,0),3)</f>
        <v/>
      </c>
      <c r="S181" s="16">
        <f>ROUND(S180+IF(AND(E181=16,F181&lt;&gt;"ASTM A416"),L181,0),3)</f>
        <v/>
      </c>
      <c r="T181" s="16">
        <f>ROUND(T180+IF(AND(E181=18,F181&lt;&gt;"ASTM A416"),L181,0),3)</f>
        <v/>
      </c>
      <c r="U181" s="16">
        <f>ROUND(U180+IF(AND(E181=20,F181&lt;&gt;"ASTM A416"),L181,0),3)</f>
        <v/>
      </c>
      <c r="V181" s="16">
        <f>ROUND(V180+IF(AND(E181=22,F181&lt;&gt;"ASTM A416"),L181,0),3)</f>
        <v/>
      </c>
      <c r="W181" s="16">
        <f>ROUND(W180+IF(AND(E181=25,F181&lt;&gt;"ASTM A416"),L181,0),3)</f>
        <v/>
      </c>
      <c r="X181" s="16">
        <f>ROUND(X180+IF(AND(E181=28,F181&lt;&gt;"ASTM A416"),L181,0),3)</f>
        <v/>
      </c>
      <c r="Y181" s="16">
        <f>ROUND(Y180+IF(AND(E181=32,F181&lt;&gt;"ASTM A416"),L181,0),3)</f>
        <v/>
      </c>
      <c r="Z181" s="16">
        <f>ROUND(Z180+IF(F181="ASTM A416",L181,0),3)</f>
        <v/>
      </c>
      <c r="AA181" s="9">
        <f>IF(ROUNDUP(P181/20,0)&gt;ROUNDUP(P180/20,0),"Lần " &amp; ROUNDUP(P181/20,0),"")</f>
        <v/>
      </c>
      <c r="AB181" s="9">
        <f>IF(ROUNDUP(Q181/20,0)&gt;ROUNDUP(Q180/20,0),"Lần " &amp; ROUNDUP(Q181/20,0),"")</f>
        <v/>
      </c>
      <c r="AC181" s="9">
        <f>IF(ROUNDUP(R181/20,0)&gt;ROUNDUP(R180/20,0),"Lần " &amp; ROUNDUP(R181/20,0),"")</f>
        <v/>
      </c>
      <c r="AD181" s="9">
        <f>IF(ROUNDUP(S181/20,0)&gt;ROUNDUP(S180/20,0),"Lần " &amp; ROUNDUP(S181/20,0),"")</f>
        <v/>
      </c>
      <c r="AE181" s="9">
        <f>IF(ROUNDUP(T181/20,0)&gt;ROUNDUP(T180/20,0),"Lần " &amp; ROUNDUP(T181/20,0),"")</f>
        <v/>
      </c>
      <c r="AF181" s="9">
        <f>IF(ROUNDUP(U181/20,0)&gt;ROUNDUP(U180/20,0),"Lần " &amp; ROUNDUP(U181/20,0),"")</f>
        <v/>
      </c>
      <c r="AG181" s="9">
        <f>IF(ROUNDUP(V181/20,0)&gt;ROUNDUP(V180/20,0),"Lần " &amp; ROUNDUP(V181/20,0),"")</f>
        <v/>
      </c>
      <c r="AH181" s="9">
        <f>IF(ROUNDUP(W181/20,0)&gt;ROUNDUP(W180/20,0),"Lần " &amp; ROUNDUP(W181/20,0),"")</f>
        <v/>
      </c>
      <c r="AI181" s="9">
        <f>IF(ROUNDUP(X181/20,0)&gt;ROUNDUP(X180/20,0),"Lần " &amp; ROUNDUP(X181/20,0),"")</f>
        <v/>
      </c>
      <c r="AJ181" s="9">
        <f>IF(ROUNDUP(Y181/20,0)&gt;ROUNDUP(Y180/20,0),"Lần " &amp; ROUNDUP(Y181/20,0),"")</f>
        <v/>
      </c>
      <c r="AK181" s="9">
        <f>IF(ROUNDUP(Z181/20,0)&gt;ROUNDUP(Z180/20,0),"Lần " &amp; ROUNDUP(Z181/20,0),"")</f>
        <v/>
      </c>
      <c r="AL181" s="4" t="n"/>
      <c r="AN181" s="596" t="inlineStr">
        <is>
          <t>Coc</t>
        </is>
      </c>
      <c r="AO181" s="596" t="n">
        <v>15</v>
      </c>
      <c r="AQ181" s="594" t="n"/>
      <c r="AR181" s="595" t="n"/>
    </row>
    <row r="182" ht="19" customHeight="1" s="672">
      <c r="A182" s="4" t="n">
        <v>168</v>
      </c>
      <c r="B182" s="5" t="inlineStr">
        <is>
          <t>Cọc khoan nhồi C3 Trụ T2 (D1.2m, L=30.0m)</t>
        </is>
      </c>
      <c r="C182" s="5" t="inlineStr">
        <is>
          <t>Cọc trụ T2 L=30m (tr.70)</t>
        </is>
      </c>
      <c r="D182" s="14" t="inlineStr">
        <is>
          <t>P1B</t>
        </is>
      </c>
      <c r="E182" s="15" t="n">
        <v>10</v>
      </c>
      <c r="F182" s="4" t="inlineStr">
        <is>
          <t>CB240-T</t>
        </is>
      </c>
      <c r="G182" s="5" t="inlineStr"/>
      <c r="H182" s="16" t="n">
        <v>100.256</v>
      </c>
      <c r="I182" s="17" t="n">
        <v>1</v>
      </c>
      <c r="J182" s="18" t="n">
        <v>0.617</v>
      </c>
      <c r="K182" s="7">
        <f>ROUND(H182*I182*J182, 2)</f>
        <v/>
      </c>
      <c r="L182" s="19">
        <f>ROUND(K182/1000, 3)</f>
        <v/>
      </c>
      <c r="M182" s="728">
        <f>IF(AO182="","",IF(N(INDEX(Theo_Doi_Tan_Suat_Be_Tong!$C:$C,AO182))&lt;=0,"",INDEX(Theo_Doi_Tan_Suat_Be_Tong!$C:$C,AO182)-VLOOKUP(AN182,$AQ$2:$AR$7,2,FALSE)))</f>
        <v/>
      </c>
      <c r="N182" s="4" t="n"/>
      <c r="O182" s="20">
        <f>IF(ROUNDUP(P182/20,0)&gt;ROUNDUP(P181/20,0),"TN Ø10 (Lần " &amp; ROUNDUP(P182/20,0) &amp; ")","")</f>
        <v/>
      </c>
      <c r="P182" s="16">
        <f>ROUND(P181+IF(AND(E182&lt;=10,F182&lt;&gt;"ASTM A416"),L182,0),3)</f>
        <v/>
      </c>
      <c r="Q182" s="16">
        <f>ROUND(Q181+IF(AND(E182=12,F182&lt;&gt;"ASTM A416"),L182,0),3)</f>
        <v/>
      </c>
      <c r="R182" s="16">
        <f>ROUND(R181+IF(AND(E182=14,F182&lt;&gt;"ASTM A416"),L182,0),3)</f>
        <v/>
      </c>
      <c r="S182" s="16">
        <f>ROUND(S181+IF(AND(E182=16,F182&lt;&gt;"ASTM A416"),L182,0),3)</f>
        <v/>
      </c>
      <c r="T182" s="16">
        <f>ROUND(T181+IF(AND(E182=18,F182&lt;&gt;"ASTM A416"),L182,0),3)</f>
        <v/>
      </c>
      <c r="U182" s="16">
        <f>ROUND(U181+IF(AND(E182=20,F182&lt;&gt;"ASTM A416"),L182,0),3)</f>
        <v/>
      </c>
      <c r="V182" s="16">
        <f>ROUND(V181+IF(AND(E182=22,F182&lt;&gt;"ASTM A416"),L182,0),3)</f>
        <v/>
      </c>
      <c r="W182" s="16">
        <f>ROUND(W181+IF(AND(E182=25,F182&lt;&gt;"ASTM A416"),L182,0),3)</f>
        <v/>
      </c>
      <c r="X182" s="16">
        <f>ROUND(X181+IF(AND(E182=28,F182&lt;&gt;"ASTM A416"),L182,0),3)</f>
        <v/>
      </c>
      <c r="Y182" s="16">
        <f>ROUND(Y181+IF(AND(E182=32,F182&lt;&gt;"ASTM A416"),L182,0),3)</f>
        <v/>
      </c>
      <c r="Z182" s="16">
        <f>ROUND(Z181+IF(F182="ASTM A416",L182,0),3)</f>
        <v/>
      </c>
      <c r="AA182" s="9">
        <f>IF(ROUNDUP(P182/20,0)&gt;ROUNDUP(P181/20,0),"Lần " &amp; ROUNDUP(P182/20,0),"")</f>
        <v/>
      </c>
      <c r="AB182" s="9">
        <f>IF(ROUNDUP(Q182/20,0)&gt;ROUNDUP(Q181/20,0),"Lần " &amp; ROUNDUP(Q182/20,0),"")</f>
        <v/>
      </c>
      <c r="AC182" s="9">
        <f>IF(ROUNDUP(R182/20,0)&gt;ROUNDUP(R181/20,0),"Lần " &amp; ROUNDUP(R182/20,0),"")</f>
        <v/>
      </c>
      <c r="AD182" s="9">
        <f>IF(ROUNDUP(S182/20,0)&gt;ROUNDUP(S181/20,0),"Lần " &amp; ROUNDUP(S182/20,0),"")</f>
        <v/>
      </c>
      <c r="AE182" s="9">
        <f>IF(ROUNDUP(T182/20,0)&gt;ROUNDUP(T181/20,0),"Lần " &amp; ROUNDUP(T182/20,0),"")</f>
        <v/>
      </c>
      <c r="AF182" s="9">
        <f>IF(ROUNDUP(U182/20,0)&gt;ROUNDUP(U181/20,0),"Lần " &amp; ROUNDUP(U182/20,0),"")</f>
        <v/>
      </c>
      <c r="AG182" s="9">
        <f>IF(ROUNDUP(V182/20,0)&gt;ROUNDUP(V181/20,0),"Lần " &amp; ROUNDUP(V182/20,0),"")</f>
        <v/>
      </c>
      <c r="AH182" s="9">
        <f>IF(ROUNDUP(W182/20,0)&gt;ROUNDUP(W181/20,0),"Lần " &amp; ROUNDUP(W182/20,0),"")</f>
        <v/>
      </c>
      <c r="AI182" s="9">
        <f>IF(ROUNDUP(X182/20,0)&gt;ROUNDUP(X181/20,0),"Lần " &amp; ROUNDUP(X182/20,0),"")</f>
        <v/>
      </c>
      <c r="AJ182" s="9">
        <f>IF(ROUNDUP(Y182/20,0)&gt;ROUNDUP(Y181/20,0),"Lần " &amp; ROUNDUP(Y182/20,0),"")</f>
        <v/>
      </c>
      <c r="AK182" s="9">
        <f>IF(ROUNDUP(Z182/20,0)&gt;ROUNDUP(Z181/20,0),"Lần " &amp; ROUNDUP(Z182/20,0),"")</f>
        <v/>
      </c>
      <c r="AL182" s="4" t="n"/>
      <c r="AN182" s="596" t="inlineStr">
        <is>
          <t>Coc</t>
        </is>
      </c>
      <c r="AO182" s="596" t="n">
        <v>15</v>
      </c>
      <c r="AQ182" s="594" t="n"/>
      <c r="AR182" s="595" t="n"/>
    </row>
    <row r="183" ht="19" customHeight="1" s="672">
      <c r="A183" s="4" t="n">
        <v>169</v>
      </c>
      <c r="B183" s="5" t="inlineStr">
        <is>
          <t>Cọc khoan nhồi C3 Trụ T2 (D1.2m, L=30.0m)</t>
        </is>
      </c>
      <c r="C183" s="5" t="inlineStr">
        <is>
          <t>Cọc trụ T2 L=30m (tr.70)</t>
        </is>
      </c>
      <c r="D183" s="14" t="inlineStr">
        <is>
          <t>P1C</t>
        </is>
      </c>
      <c r="E183" s="15" t="n">
        <v>10</v>
      </c>
      <c r="F183" s="4" t="inlineStr">
        <is>
          <t>CB240-T</t>
        </is>
      </c>
      <c r="G183" s="5" t="inlineStr"/>
      <c r="H183" s="16" t="n">
        <v>3.592</v>
      </c>
      <c r="I183" s="17" t="n">
        <v>2</v>
      </c>
      <c r="J183" s="18" t="n">
        <v>0.617</v>
      </c>
      <c r="K183" s="7">
        <f>ROUND(H183*I183*J183, 2)</f>
        <v/>
      </c>
      <c r="L183" s="19">
        <f>ROUND(K183/1000, 3)</f>
        <v/>
      </c>
      <c r="M183" s="728">
        <f>IF(AO183="","",IF(N(INDEX(Theo_Doi_Tan_Suat_Be_Tong!$C:$C,AO183))&lt;=0,"",INDEX(Theo_Doi_Tan_Suat_Be_Tong!$C:$C,AO183)-VLOOKUP(AN183,$AQ$2:$AR$7,2,FALSE)))</f>
        <v/>
      </c>
      <c r="N183" s="4" t="n"/>
      <c r="O183" s="20">
        <f>IF(ROUNDUP(P183/20,0)&gt;ROUNDUP(P182/20,0),"TN Ø10 (Lần " &amp; ROUNDUP(P183/20,0) &amp; ")","")</f>
        <v/>
      </c>
      <c r="P183" s="16">
        <f>ROUND(P182+IF(AND(E183&lt;=10,F183&lt;&gt;"ASTM A416"),L183,0),3)</f>
        <v/>
      </c>
      <c r="Q183" s="16">
        <f>ROUND(Q182+IF(AND(E183=12,F183&lt;&gt;"ASTM A416"),L183,0),3)</f>
        <v/>
      </c>
      <c r="R183" s="16">
        <f>ROUND(R182+IF(AND(E183=14,F183&lt;&gt;"ASTM A416"),L183,0),3)</f>
        <v/>
      </c>
      <c r="S183" s="16">
        <f>ROUND(S182+IF(AND(E183=16,F183&lt;&gt;"ASTM A416"),L183,0),3)</f>
        <v/>
      </c>
      <c r="T183" s="16">
        <f>ROUND(T182+IF(AND(E183=18,F183&lt;&gt;"ASTM A416"),L183,0),3)</f>
        <v/>
      </c>
      <c r="U183" s="16">
        <f>ROUND(U182+IF(AND(E183=20,F183&lt;&gt;"ASTM A416"),L183,0),3)</f>
        <v/>
      </c>
      <c r="V183" s="16">
        <f>ROUND(V182+IF(AND(E183=22,F183&lt;&gt;"ASTM A416"),L183,0),3)</f>
        <v/>
      </c>
      <c r="W183" s="16">
        <f>ROUND(W182+IF(AND(E183=25,F183&lt;&gt;"ASTM A416"),L183,0),3)</f>
        <v/>
      </c>
      <c r="X183" s="16">
        <f>ROUND(X182+IF(AND(E183=28,F183&lt;&gt;"ASTM A416"),L183,0),3)</f>
        <v/>
      </c>
      <c r="Y183" s="16">
        <f>ROUND(Y182+IF(AND(E183=32,F183&lt;&gt;"ASTM A416"),L183,0),3)</f>
        <v/>
      </c>
      <c r="Z183" s="16">
        <f>ROUND(Z182+IF(F183="ASTM A416",L183,0),3)</f>
        <v/>
      </c>
      <c r="AA183" s="9">
        <f>IF(ROUNDUP(P183/20,0)&gt;ROUNDUP(P182/20,0),"Lần " &amp; ROUNDUP(P183/20,0),"")</f>
        <v/>
      </c>
      <c r="AB183" s="9">
        <f>IF(ROUNDUP(Q183/20,0)&gt;ROUNDUP(Q182/20,0),"Lần " &amp; ROUNDUP(Q183/20,0),"")</f>
        <v/>
      </c>
      <c r="AC183" s="9">
        <f>IF(ROUNDUP(R183/20,0)&gt;ROUNDUP(R182/20,0),"Lần " &amp; ROUNDUP(R183/20,0),"")</f>
        <v/>
      </c>
      <c r="AD183" s="9">
        <f>IF(ROUNDUP(S183/20,0)&gt;ROUNDUP(S182/20,0),"Lần " &amp; ROUNDUP(S183/20,0),"")</f>
        <v/>
      </c>
      <c r="AE183" s="9">
        <f>IF(ROUNDUP(T183/20,0)&gt;ROUNDUP(T182/20,0),"Lần " &amp; ROUNDUP(T183/20,0),"")</f>
        <v/>
      </c>
      <c r="AF183" s="9">
        <f>IF(ROUNDUP(U183/20,0)&gt;ROUNDUP(U182/20,0),"Lần " &amp; ROUNDUP(U183/20,0),"")</f>
        <v/>
      </c>
      <c r="AG183" s="9">
        <f>IF(ROUNDUP(V183/20,0)&gt;ROUNDUP(V182/20,0),"Lần " &amp; ROUNDUP(V183/20,0),"")</f>
        <v/>
      </c>
      <c r="AH183" s="9">
        <f>IF(ROUNDUP(W183/20,0)&gt;ROUNDUP(W182/20,0),"Lần " &amp; ROUNDUP(W183/20,0),"")</f>
        <v/>
      </c>
      <c r="AI183" s="9">
        <f>IF(ROUNDUP(X183/20,0)&gt;ROUNDUP(X182/20,0),"Lần " &amp; ROUNDUP(X183/20,0),"")</f>
        <v/>
      </c>
      <c r="AJ183" s="9">
        <f>IF(ROUNDUP(Y183/20,0)&gt;ROUNDUP(Y182/20,0),"Lần " &amp; ROUNDUP(Y183/20,0),"")</f>
        <v/>
      </c>
      <c r="AK183" s="9">
        <f>IF(ROUNDUP(Z183/20,0)&gt;ROUNDUP(Z182/20,0),"Lần " &amp; ROUNDUP(Z183/20,0),"")</f>
        <v/>
      </c>
      <c r="AL183" s="4" t="n"/>
      <c r="AN183" s="596" t="inlineStr">
        <is>
          <t>Coc</t>
        </is>
      </c>
      <c r="AO183" s="596" t="n">
        <v>15</v>
      </c>
      <c r="AQ183" s="594" t="n"/>
      <c r="AR183" s="595" t="n"/>
    </row>
    <row r="184" ht="19" customHeight="1" s="672">
      <c r="A184" s="4" t="n">
        <v>170</v>
      </c>
      <c r="B184" s="5" t="inlineStr">
        <is>
          <t>Cọc khoan nhồi C3 Trụ T2 (D1.2m, L=30.0m)</t>
        </is>
      </c>
      <c r="C184" s="5" t="inlineStr">
        <is>
          <t>Cọc trụ T2 L=30m (tr.70)</t>
        </is>
      </c>
      <c r="D184" s="14" t="inlineStr">
        <is>
          <t>P1D</t>
        </is>
      </c>
      <c r="E184" s="15" t="n">
        <v>10</v>
      </c>
      <c r="F184" s="4" t="inlineStr">
        <is>
          <t>CB240-T</t>
        </is>
      </c>
      <c r="G184" s="5" t="inlineStr"/>
      <c r="H184" s="16" t="n">
        <v>19.721</v>
      </c>
      <c r="I184" s="17" t="n">
        <v>1</v>
      </c>
      <c r="J184" s="18" t="n">
        <v>0.617</v>
      </c>
      <c r="K184" s="7">
        <f>ROUND(H184*I184*J184, 2)</f>
        <v/>
      </c>
      <c r="L184" s="19">
        <f>ROUND(K184/1000, 3)</f>
        <v/>
      </c>
      <c r="M184" s="728">
        <f>IF(AO184="","",IF(N(INDEX(Theo_Doi_Tan_Suat_Be_Tong!$C:$C,AO184))&lt;=0,"",INDEX(Theo_Doi_Tan_Suat_Be_Tong!$C:$C,AO184)-VLOOKUP(AN184,$AQ$2:$AR$7,2,FALSE)))</f>
        <v/>
      </c>
      <c r="N184" s="4" t="n"/>
      <c r="O184" s="20">
        <f>IF(ROUNDUP(P184/20,0)&gt;ROUNDUP(P183/20,0),"TN Ø10 (Lần " &amp; ROUNDUP(P184/20,0) &amp; ")","")</f>
        <v/>
      </c>
      <c r="P184" s="16">
        <f>ROUND(P183+IF(AND(E184&lt;=10,F184&lt;&gt;"ASTM A416"),L184,0),3)</f>
        <v/>
      </c>
      <c r="Q184" s="16">
        <f>ROUND(Q183+IF(AND(E184=12,F184&lt;&gt;"ASTM A416"),L184,0),3)</f>
        <v/>
      </c>
      <c r="R184" s="16">
        <f>ROUND(R183+IF(AND(E184=14,F184&lt;&gt;"ASTM A416"),L184,0),3)</f>
        <v/>
      </c>
      <c r="S184" s="16">
        <f>ROUND(S183+IF(AND(E184=16,F184&lt;&gt;"ASTM A416"),L184,0),3)</f>
        <v/>
      </c>
      <c r="T184" s="16">
        <f>ROUND(T183+IF(AND(E184=18,F184&lt;&gt;"ASTM A416"),L184,0),3)</f>
        <v/>
      </c>
      <c r="U184" s="16">
        <f>ROUND(U183+IF(AND(E184=20,F184&lt;&gt;"ASTM A416"),L184,0),3)</f>
        <v/>
      </c>
      <c r="V184" s="16">
        <f>ROUND(V183+IF(AND(E184=22,F184&lt;&gt;"ASTM A416"),L184,0),3)</f>
        <v/>
      </c>
      <c r="W184" s="16">
        <f>ROUND(W183+IF(AND(E184=25,F184&lt;&gt;"ASTM A416"),L184,0),3)</f>
        <v/>
      </c>
      <c r="X184" s="16">
        <f>ROUND(X183+IF(AND(E184=28,F184&lt;&gt;"ASTM A416"),L184,0),3)</f>
        <v/>
      </c>
      <c r="Y184" s="16">
        <f>ROUND(Y183+IF(AND(E184=32,F184&lt;&gt;"ASTM A416"),L184,0),3)</f>
        <v/>
      </c>
      <c r="Z184" s="16">
        <f>ROUND(Z183+IF(F184="ASTM A416",L184,0),3)</f>
        <v/>
      </c>
      <c r="AA184" s="9">
        <f>IF(ROUNDUP(P184/20,0)&gt;ROUNDUP(P183/20,0),"Lần " &amp; ROUNDUP(P184/20,0),"")</f>
        <v/>
      </c>
      <c r="AB184" s="9">
        <f>IF(ROUNDUP(Q184/20,0)&gt;ROUNDUP(Q183/20,0),"Lần " &amp; ROUNDUP(Q184/20,0),"")</f>
        <v/>
      </c>
      <c r="AC184" s="9">
        <f>IF(ROUNDUP(R184/20,0)&gt;ROUNDUP(R183/20,0),"Lần " &amp; ROUNDUP(R184/20,0),"")</f>
        <v/>
      </c>
      <c r="AD184" s="9">
        <f>IF(ROUNDUP(S184/20,0)&gt;ROUNDUP(S183/20,0),"Lần " &amp; ROUNDUP(S184/20,0),"")</f>
        <v/>
      </c>
      <c r="AE184" s="9">
        <f>IF(ROUNDUP(T184/20,0)&gt;ROUNDUP(T183/20,0),"Lần " &amp; ROUNDUP(T184/20,0),"")</f>
        <v/>
      </c>
      <c r="AF184" s="9">
        <f>IF(ROUNDUP(U184/20,0)&gt;ROUNDUP(U183/20,0),"Lần " &amp; ROUNDUP(U184/20,0),"")</f>
        <v/>
      </c>
      <c r="AG184" s="9">
        <f>IF(ROUNDUP(V184/20,0)&gt;ROUNDUP(V183/20,0),"Lần " &amp; ROUNDUP(V184/20,0),"")</f>
        <v/>
      </c>
      <c r="AH184" s="9">
        <f>IF(ROUNDUP(W184/20,0)&gt;ROUNDUP(W183/20,0),"Lần " &amp; ROUNDUP(W184/20,0),"")</f>
        <v/>
      </c>
      <c r="AI184" s="9">
        <f>IF(ROUNDUP(X184/20,0)&gt;ROUNDUP(X183/20,0),"Lần " &amp; ROUNDUP(X184/20,0),"")</f>
        <v/>
      </c>
      <c r="AJ184" s="9">
        <f>IF(ROUNDUP(Y184/20,0)&gt;ROUNDUP(Y183/20,0),"Lần " &amp; ROUNDUP(Y184/20,0),"")</f>
        <v/>
      </c>
      <c r="AK184" s="9">
        <f>IF(ROUNDUP(Z184/20,0)&gt;ROUNDUP(Z183/20,0),"Lần " &amp; ROUNDUP(Z184/20,0),"")</f>
        <v/>
      </c>
      <c r="AL184" s="4" t="n"/>
      <c r="AN184" s="596" t="inlineStr">
        <is>
          <t>Coc</t>
        </is>
      </c>
      <c r="AO184" s="596" t="n">
        <v>15</v>
      </c>
      <c r="AQ184" s="594" t="n"/>
      <c r="AR184" s="595" t="n"/>
    </row>
    <row r="185" ht="19" customHeight="1" s="672">
      <c r="A185" s="4" t="n">
        <v>171</v>
      </c>
      <c r="B185" s="5" t="inlineStr">
        <is>
          <t>Cọc khoan nhồi C3 Trụ T2 (D1.2m, L=30.0m)</t>
        </is>
      </c>
      <c r="C185" s="5" t="inlineStr">
        <is>
          <t>Cọc trụ T2 L=30m (tr.70)</t>
        </is>
      </c>
      <c r="D185" s="14" t="inlineStr">
        <is>
          <t>P2B</t>
        </is>
      </c>
      <c r="E185" s="15" t="n">
        <v>25</v>
      </c>
      <c r="F185" s="4" t="inlineStr">
        <is>
          <t>CB400-V</t>
        </is>
      </c>
      <c r="G185" s="5" t="inlineStr"/>
      <c r="H185" s="16" t="n">
        <v>2.985</v>
      </c>
      <c r="I185" s="17" t="n">
        <v>12</v>
      </c>
      <c r="J185" s="18" t="n">
        <v>3.853</v>
      </c>
      <c r="K185" s="7">
        <f>ROUND(H185*I185*J185, 2)</f>
        <v/>
      </c>
      <c r="L185" s="19">
        <f>ROUND(K185/1000, 3)</f>
        <v/>
      </c>
      <c r="M185" s="728">
        <f>IF(AO185="","",IF(N(INDEX(Theo_Doi_Tan_Suat_Be_Tong!$C:$C,AO185))&lt;=0,"",INDEX(Theo_Doi_Tan_Suat_Be_Tong!$C:$C,AO185)-VLOOKUP(AN185,$AQ$2:$AR$7,2,FALSE)))</f>
        <v/>
      </c>
      <c r="N185" s="4" t="n"/>
      <c r="O185" s="20">
        <f>IF(ROUNDUP(W185/20,0)&gt;ROUNDUP(W184/20,0),"TN Ø25 (Lần " &amp; ROUNDUP(W185/20,0) &amp; ")","")</f>
        <v/>
      </c>
      <c r="P185" s="16">
        <f>ROUND(P184+IF(AND(E185&lt;=10,F185&lt;&gt;"ASTM A416"),L185,0),3)</f>
        <v/>
      </c>
      <c r="Q185" s="16">
        <f>ROUND(Q184+IF(AND(E185=12,F185&lt;&gt;"ASTM A416"),L185,0),3)</f>
        <v/>
      </c>
      <c r="R185" s="16">
        <f>ROUND(R184+IF(AND(E185=14,F185&lt;&gt;"ASTM A416"),L185,0),3)</f>
        <v/>
      </c>
      <c r="S185" s="16">
        <f>ROUND(S184+IF(AND(E185=16,F185&lt;&gt;"ASTM A416"),L185,0),3)</f>
        <v/>
      </c>
      <c r="T185" s="16">
        <f>ROUND(T184+IF(AND(E185=18,F185&lt;&gt;"ASTM A416"),L185,0),3)</f>
        <v/>
      </c>
      <c r="U185" s="16">
        <f>ROUND(U184+IF(AND(E185=20,F185&lt;&gt;"ASTM A416"),L185,0),3)</f>
        <v/>
      </c>
      <c r="V185" s="16">
        <f>ROUND(V184+IF(AND(E185=22,F185&lt;&gt;"ASTM A416"),L185,0),3)</f>
        <v/>
      </c>
      <c r="W185" s="16">
        <f>ROUND(W184+IF(AND(E185=25,F185&lt;&gt;"ASTM A416"),L185,0),3)</f>
        <v/>
      </c>
      <c r="X185" s="16">
        <f>ROUND(X184+IF(AND(E185=28,F185&lt;&gt;"ASTM A416"),L185,0),3)</f>
        <v/>
      </c>
      <c r="Y185" s="16">
        <f>ROUND(Y184+IF(AND(E185=32,F185&lt;&gt;"ASTM A416"),L185,0),3)</f>
        <v/>
      </c>
      <c r="Z185" s="16">
        <f>ROUND(Z184+IF(F185="ASTM A416",L185,0),3)</f>
        <v/>
      </c>
      <c r="AA185" s="9">
        <f>IF(ROUNDUP(P185/20,0)&gt;ROUNDUP(P184/20,0),"Lần " &amp; ROUNDUP(P185/20,0),"")</f>
        <v/>
      </c>
      <c r="AB185" s="9">
        <f>IF(ROUNDUP(Q185/20,0)&gt;ROUNDUP(Q184/20,0),"Lần " &amp; ROUNDUP(Q185/20,0),"")</f>
        <v/>
      </c>
      <c r="AC185" s="9">
        <f>IF(ROUNDUP(R185/20,0)&gt;ROUNDUP(R184/20,0),"Lần " &amp; ROUNDUP(R185/20,0),"")</f>
        <v/>
      </c>
      <c r="AD185" s="9">
        <f>IF(ROUNDUP(S185/20,0)&gt;ROUNDUP(S184/20,0),"Lần " &amp; ROUNDUP(S185/20,0),"")</f>
        <v/>
      </c>
      <c r="AE185" s="9">
        <f>IF(ROUNDUP(T185/20,0)&gt;ROUNDUP(T184/20,0),"Lần " &amp; ROUNDUP(T185/20,0),"")</f>
        <v/>
      </c>
      <c r="AF185" s="9">
        <f>IF(ROUNDUP(U185/20,0)&gt;ROUNDUP(U184/20,0),"Lần " &amp; ROUNDUP(U185/20,0),"")</f>
        <v/>
      </c>
      <c r="AG185" s="9">
        <f>IF(ROUNDUP(V185/20,0)&gt;ROUNDUP(V184/20,0),"Lần " &amp; ROUNDUP(V185/20,0),"")</f>
        <v/>
      </c>
      <c r="AH185" s="9">
        <f>IF(ROUNDUP(W185/20,0)&gt;ROUNDUP(W184/20,0),"Lần " &amp; ROUNDUP(W185/20,0),"")</f>
        <v/>
      </c>
      <c r="AI185" s="9">
        <f>IF(ROUNDUP(X185/20,0)&gt;ROUNDUP(X184/20,0),"Lần " &amp; ROUNDUP(X185/20,0),"")</f>
        <v/>
      </c>
      <c r="AJ185" s="9">
        <f>IF(ROUNDUP(Y185/20,0)&gt;ROUNDUP(Y184/20,0),"Lần " &amp; ROUNDUP(Y185/20,0),"")</f>
        <v/>
      </c>
      <c r="AK185" s="9">
        <f>IF(ROUNDUP(Z185/20,0)&gt;ROUNDUP(Z184/20,0),"Lần " &amp; ROUNDUP(Z185/20,0),"")</f>
        <v/>
      </c>
      <c r="AL185" s="4" t="n"/>
      <c r="AN185" s="596" t="inlineStr">
        <is>
          <t>Coc</t>
        </is>
      </c>
      <c r="AO185" s="596" t="n">
        <v>15</v>
      </c>
      <c r="AQ185" s="594" t="n"/>
      <c r="AR185" s="595" t="n"/>
    </row>
    <row r="186" ht="19" customHeight="1" s="672">
      <c r="A186" s="4" t="n">
        <v>172</v>
      </c>
      <c r="B186" s="5" t="inlineStr">
        <is>
          <t>Cọc khoan nhồi C3 Trụ T2 (D1.2m, L=30.0m)</t>
        </is>
      </c>
      <c r="C186" s="5" t="inlineStr">
        <is>
          <t>Cọc trụ T2 L=30m (tr.70)</t>
        </is>
      </c>
      <c r="D186" s="14" t="inlineStr">
        <is>
          <t>P3</t>
        </is>
      </c>
      <c r="E186" s="15" t="n">
        <v>25</v>
      </c>
      <c r="F186" s="4" t="inlineStr">
        <is>
          <t>CB400-V</t>
        </is>
      </c>
      <c r="G186" s="5" t="inlineStr"/>
      <c r="H186" s="16" t="n">
        <v>10.7</v>
      </c>
      <c r="I186" s="17" t="n">
        <v>12</v>
      </c>
      <c r="J186" s="18" t="n">
        <v>3.853</v>
      </c>
      <c r="K186" s="7">
        <f>ROUND(H186*I186*J186, 2)</f>
        <v/>
      </c>
      <c r="L186" s="19">
        <f>ROUND(K186/1000, 3)</f>
        <v/>
      </c>
      <c r="M186" s="728">
        <f>IF(AO186="","",IF(N(INDEX(Theo_Doi_Tan_Suat_Be_Tong!$C:$C,AO186))&lt;=0,"",INDEX(Theo_Doi_Tan_Suat_Be_Tong!$C:$C,AO186)-VLOOKUP(AN186,$AQ$2:$AR$7,2,FALSE)))</f>
        <v/>
      </c>
      <c r="N186" s="4" t="n"/>
      <c r="O186" s="20">
        <f>IF(ROUNDUP(W186/20,0)&gt;ROUNDUP(W185/20,0),"TN Ø25 (Lần " &amp; ROUNDUP(W186/20,0) &amp; ")","")</f>
        <v/>
      </c>
      <c r="P186" s="16">
        <f>ROUND(P185+IF(AND(E186&lt;=10,F186&lt;&gt;"ASTM A416"),L186,0),3)</f>
        <v/>
      </c>
      <c r="Q186" s="16">
        <f>ROUND(Q185+IF(AND(E186=12,F186&lt;&gt;"ASTM A416"),L186,0),3)</f>
        <v/>
      </c>
      <c r="R186" s="16">
        <f>ROUND(R185+IF(AND(E186=14,F186&lt;&gt;"ASTM A416"),L186,0),3)</f>
        <v/>
      </c>
      <c r="S186" s="16">
        <f>ROUND(S185+IF(AND(E186=16,F186&lt;&gt;"ASTM A416"),L186,0),3)</f>
        <v/>
      </c>
      <c r="T186" s="16">
        <f>ROUND(T185+IF(AND(E186=18,F186&lt;&gt;"ASTM A416"),L186,0),3)</f>
        <v/>
      </c>
      <c r="U186" s="16">
        <f>ROUND(U185+IF(AND(E186=20,F186&lt;&gt;"ASTM A416"),L186,0),3)</f>
        <v/>
      </c>
      <c r="V186" s="16">
        <f>ROUND(V185+IF(AND(E186=22,F186&lt;&gt;"ASTM A416"),L186,0),3)</f>
        <v/>
      </c>
      <c r="W186" s="16">
        <f>ROUND(W185+IF(AND(E186=25,F186&lt;&gt;"ASTM A416"),L186,0),3)</f>
        <v/>
      </c>
      <c r="X186" s="16">
        <f>ROUND(X185+IF(AND(E186=28,F186&lt;&gt;"ASTM A416"),L186,0),3)</f>
        <v/>
      </c>
      <c r="Y186" s="16">
        <f>ROUND(Y185+IF(AND(E186=32,F186&lt;&gt;"ASTM A416"),L186,0),3)</f>
        <v/>
      </c>
      <c r="Z186" s="16">
        <f>ROUND(Z185+IF(F186="ASTM A416",L186,0),3)</f>
        <v/>
      </c>
      <c r="AA186" s="9">
        <f>IF(ROUNDUP(P186/20,0)&gt;ROUNDUP(P185/20,0),"Lần " &amp; ROUNDUP(P186/20,0),"")</f>
        <v/>
      </c>
      <c r="AB186" s="9">
        <f>IF(ROUNDUP(Q186/20,0)&gt;ROUNDUP(Q185/20,0),"Lần " &amp; ROUNDUP(Q186/20,0),"")</f>
        <v/>
      </c>
      <c r="AC186" s="9">
        <f>IF(ROUNDUP(R186/20,0)&gt;ROUNDUP(R185/20,0),"Lần " &amp; ROUNDUP(R186/20,0),"")</f>
        <v/>
      </c>
      <c r="AD186" s="9">
        <f>IF(ROUNDUP(S186/20,0)&gt;ROUNDUP(S185/20,0),"Lần " &amp; ROUNDUP(S186/20,0),"")</f>
        <v/>
      </c>
      <c r="AE186" s="9">
        <f>IF(ROUNDUP(T186/20,0)&gt;ROUNDUP(T185/20,0),"Lần " &amp; ROUNDUP(T186/20,0),"")</f>
        <v/>
      </c>
      <c r="AF186" s="9">
        <f>IF(ROUNDUP(U186/20,0)&gt;ROUNDUP(U185/20,0),"Lần " &amp; ROUNDUP(U186/20,0),"")</f>
        <v/>
      </c>
      <c r="AG186" s="9">
        <f>IF(ROUNDUP(V186/20,0)&gt;ROUNDUP(V185/20,0),"Lần " &amp; ROUNDUP(V186/20,0),"")</f>
        <v/>
      </c>
      <c r="AH186" s="9">
        <f>IF(ROUNDUP(W186/20,0)&gt;ROUNDUP(W185/20,0),"Lần " &amp; ROUNDUP(W186/20,0),"")</f>
        <v/>
      </c>
      <c r="AI186" s="9">
        <f>IF(ROUNDUP(X186/20,0)&gt;ROUNDUP(X185/20,0),"Lần " &amp; ROUNDUP(X186/20,0),"")</f>
        <v/>
      </c>
      <c r="AJ186" s="9">
        <f>IF(ROUNDUP(Y186/20,0)&gt;ROUNDUP(Y185/20,0),"Lần " &amp; ROUNDUP(Y186/20,0),"")</f>
        <v/>
      </c>
      <c r="AK186" s="9">
        <f>IF(ROUNDUP(Z186/20,0)&gt;ROUNDUP(Z185/20,0),"Lần " &amp; ROUNDUP(Z186/20,0),"")</f>
        <v/>
      </c>
      <c r="AL186" s="4" t="n"/>
      <c r="AN186" s="596" t="inlineStr">
        <is>
          <t>Coc</t>
        </is>
      </c>
      <c r="AO186" s="596" t="n">
        <v>15</v>
      </c>
      <c r="AQ186" s="594" t="n"/>
      <c r="AR186" s="595" t="n"/>
    </row>
    <row r="187" ht="19" customHeight="1" s="672">
      <c r="A187" s="4" t="n">
        <v>173</v>
      </c>
      <c r="B187" s="5" t="inlineStr">
        <is>
          <t>Cọc khoan nhồi C3 Trụ T2 (D1.2m, L=30.0m)</t>
        </is>
      </c>
      <c r="C187" s="5" t="inlineStr">
        <is>
          <t>Cọc trụ T2 L=30m (tr.70)</t>
        </is>
      </c>
      <c r="D187" s="14" t="inlineStr">
        <is>
          <t>P4</t>
        </is>
      </c>
      <c r="E187" s="15" t="n">
        <v>25</v>
      </c>
      <c r="F187" s="4" t="inlineStr">
        <is>
          <t>CB400-V</t>
        </is>
      </c>
      <c r="G187" s="5" t="inlineStr"/>
      <c r="H187" s="16" t="n">
        <v>11.7</v>
      </c>
      <c r="I187" s="17" t="n">
        <v>36</v>
      </c>
      <c r="J187" s="18" t="n">
        <v>3.853</v>
      </c>
      <c r="K187" s="7">
        <f>ROUND(H187*I187*J187, 2)</f>
        <v/>
      </c>
      <c r="L187" s="19">
        <f>ROUND(K187/1000, 3)</f>
        <v/>
      </c>
      <c r="M187" s="728">
        <f>IF(AO187="","",IF(N(INDEX(Theo_Doi_Tan_Suat_Be_Tong!$C:$C,AO187))&lt;=0,"",INDEX(Theo_Doi_Tan_Suat_Be_Tong!$C:$C,AO187)-VLOOKUP(AN187,$AQ$2:$AR$7,2,FALSE)))</f>
        <v/>
      </c>
      <c r="N187" s="4" t="n"/>
      <c r="O187" s="20">
        <f>IF(ROUNDUP(W187/20,0)&gt;ROUNDUP(W186/20,0),"TN Ø25 (Lần " &amp; ROUNDUP(W187/20,0) &amp; ")","")</f>
        <v/>
      </c>
      <c r="P187" s="16">
        <f>ROUND(P186+IF(AND(E187&lt;=10,F187&lt;&gt;"ASTM A416"),L187,0),3)</f>
        <v/>
      </c>
      <c r="Q187" s="16">
        <f>ROUND(Q186+IF(AND(E187=12,F187&lt;&gt;"ASTM A416"),L187,0),3)</f>
        <v/>
      </c>
      <c r="R187" s="16">
        <f>ROUND(R186+IF(AND(E187=14,F187&lt;&gt;"ASTM A416"),L187,0),3)</f>
        <v/>
      </c>
      <c r="S187" s="16">
        <f>ROUND(S186+IF(AND(E187=16,F187&lt;&gt;"ASTM A416"),L187,0),3)</f>
        <v/>
      </c>
      <c r="T187" s="16">
        <f>ROUND(T186+IF(AND(E187=18,F187&lt;&gt;"ASTM A416"),L187,0),3)</f>
        <v/>
      </c>
      <c r="U187" s="16">
        <f>ROUND(U186+IF(AND(E187=20,F187&lt;&gt;"ASTM A416"),L187,0),3)</f>
        <v/>
      </c>
      <c r="V187" s="16">
        <f>ROUND(V186+IF(AND(E187=22,F187&lt;&gt;"ASTM A416"),L187,0),3)</f>
        <v/>
      </c>
      <c r="W187" s="16">
        <f>ROUND(W186+IF(AND(E187=25,F187&lt;&gt;"ASTM A416"),L187,0),3)</f>
        <v/>
      </c>
      <c r="X187" s="16">
        <f>ROUND(X186+IF(AND(E187=28,F187&lt;&gt;"ASTM A416"),L187,0),3)</f>
        <v/>
      </c>
      <c r="Y187" s="16">
        <f>ROUND(Y186+IF(AND(E187=32,F187&lt;&gt;"ASTM A416"),L187,0),3)</f>
        <v/>
      </c>
      <c r="Z187" s="16">
        <f>ROUND(Z186+IF(F187="ASTM A416",L187,0),3)</f>
        <v/>
      </c>
      <c r="AA187" s="9">
        <f>IF(ROUNDUP(P187/20,0)&gt;ROUNDUP(P186/20,0),"Lần " &amp; ROUNDUP(P187/20,0),"")</f>
        <v/>
      </c>
      <c r="AB187" s="9">
        <f>IF(ROUNDUP(Q187/20,0)&gt;ROUNDUP(Q186/20,0),"Lần " &amp; ROUNDUP(Q187/20,0),"")</f>
        <v/>
      </c>
      <c r="AC187" s="9">
        <f>IF(ROUNDUP(R187/20,0)&gt;ROUNDUP(R186/20,0),"Lần " &amp; ROUNDUP(R187/20,0),"")</f>
        <v/>
      </c>
      <c r="AD187" s="9">
        <f>IF(ROUNDUP(S187/20,0)&gt;ROUNDUP(S186/20,0),"Lần " &amp; ROUNDUP(S187/20,0),"")</f>
        <v/>
      </c>
      <c r="AE187" s="9">
        <f>IF(ROUNDUP(T187/20,0)&gt;ROUNDUP(T186/20,0),"Lần " &amp; ROUNDUP(T187/20,0),"")</f>
        <v/>
      </c>
      <c r="AF187" s="9">
        <f>IF(ROUNDUP(U187/20,0)&gt;ROUNDUP(U186/20,0),"Lần " &amp; ROUNDUP(U187/20,0),"")</f>
        <v/>
      </c>
      <c r="AG187" s="9">
        <f>IF(ROUNDUP(V187/20,0)&gt;ROUNDUP(V186/20,0),"Lần " &amp; ROUNDUP(V187/20,0),"")</f>
        <v/>
      </c>
      <c r="AH187" s="9">
        <f>IF(ROUNDUP(W187/20,0)&gt;ROUNDUP(W186/20,0),"Lần " &amp; ROUNDUP(W187/20,0),"")</f>
        <v/>
      </c>
      <c r="AI187" s="9">
        <f>IF(ROUNDUP(X187/20,0)&gt;ROUNDUP(X186/20,0),"Lần " &amp; ROUNDUP(X187/20,0),"")</f>
        <v/>
      </c>
      <c r="AJ187" s="9">
        <f>IF(ROUNDUP(Y187/20,0)&gt;ROUNDUP(Y186/20,0),"Lần " &amp; ROUNDUP(Y187/20,0),"")</f>
        <v/>
      </c>
      <c r="AK187" s="9">
        <f>IF(ROUNDUP(Z187/20,0)&gt;ROUNDUP(Z186/20,0),"Lần " &amp; ROUNDUP(Z187/20,0),"")</f>
        <v/>
      </c>
      <c r="AL187" s="4" t="n"/>
      <c r="AN187" s="596" t="inlineStr">
        <is>
          <t>Coc</t>
        </is>
      </c>
      <c r="AO187" s="596" t="n">
        <v>15</v>
      </c>
      <c r="AQ187" s="594" t="n"/>
      <c r="AR187" s="595" t="n"/>
    </row>
    <row r="188" ht="19" customHeight="1" s="672">
      <c r="A188" s="4" t="n">
        <v>174</v>
      </c>
      <c r="B188" s="5" t="inlineStr">
        <is>
          <t>Cọc khoan nhồi C3 Trụ T2 (D1.2m, L=30.0m)</t>
        </is>
      </c>
      <c r="C188" s="5" t="inlineStr">
        <is>
          <t>Cọc trụ T2 L=30m (tr.70)</t>
        </is>
      </c>
      <c r="D188" s="14" t="inlineStr">
        <is>
          <t>P6</t>
        </is>
      </c>
      <c r="E188" s="15" t="n">
        <v>25</v>
      </c>
      <c r="F188" s="4" t="inlineStr">
        <is>
          <t>CB400-V</t>
        </is>
      </c>
      <c r="G188" s="5" t="inlineStr"/>
      <c r="H188" s="16" t="n">
        <v>9.733000000000001</v>
      </c>
      <c r="I188" s="17" t="n">
        <v>12</v>
      </c>
      <c r="J188" s="18" t="n">
        <v>3.853</v>
      </c>
      <c r="K188" s="7">
        <f>ROUND(H188*I188*J188, 2)</f>
        <v/>
      </c>
      <c r="L188" s="19">
        <f>ROUND(K188/1000, 3)</f>
        <v/>
      </c>
      <c r="M188" s="728">
        <f>IF(AO188="","",IF(N(INDEX(Theo_Doi_Tan_Suat_Be_Tong!$C:$C,AO188))&lt;=0,"",INDEX(Theo_Doi_Tan_Suat_Be_Tong!$C:$C,AO188)-VLOOKUP(AN188,$AQ$2:$AR$7,2,FALSE)))</f>
        <v/>
      </c>
      <c r="N188" s="4" t="n"/>
      <c r="O188" s="20">
        <f>IF(ROUNDUP(W188/20,0)&gt;ROUNDUP(W187/20,0),"TN Ø25 (Lần " &amp; ROUNDUP(W188/20,0) &amp; ")","")</f>
        <v/>
      </c>
      <c r="P188" s="16">
        <f>ROUND(P187+IF(AND(E188&lt;=10,F188&lt;&gt;"ASTM A416"),L188,0),3)</f>
        <v/>
      </c>
      <c r="Q188" s="16">
        <f>ROUND(Q187+IF(AND(E188=12,F188&lt;&gt;"ASTM A416"),L188,0),3)</f>
        <v/>
      </c>
      <c r="R188" s="16">
        <f>ROUND(R187+IF(AND(E188=14,F188&lt;&gt;"ASTM A416"),L188,0),3)</f>
        <v/>
      </c>
      <c r="S188" s="16">
        <f>ROUND(S187+IF(AND(E188=16,F188&lt;&gt;"ASTM A416"),L188,0),3)</f>
        <v/>
      </c>
      <c r="T188" s="16">
        <f>ROUND(T187+IF(AND(E188=18,F188&lt;&gt;"ASTM A416"),L188,0),3)</f>
        <v/>
      </c>
      <c r="U188" s="16">
        <f>ROUND(U187+IF(AND(E188=20,F188&lt;&gt;"ASTM A416"),L188,0),3)</f>
        <v/>
      </c>
      <c r="V188" s="16">
        <f>ROUND(V187+IF(AND(E188=22,F188&lt;&gt;"ASTM A416"),L188,0),3)</f>
        <v/>
      </c>
      <c r="W188" s="16">
        <f>ROUND(W187+IF(AND(E188=25,F188&lt;&gt;"ASTM A416"),L188,0),3)</f>
        <v/>
      </c>
      <c r="X188" s="16">
        <f>ROUND(X187+IF(AND(E188=28,F188&lt;&gt;"ASTM A416"),L188,0),3)</f>
        <v/>
      </c>
      <c r="Y188" s="16">
        <f>ROUND(Y187+IF(AND(E188=32,F188&lt;&gt;"ASTM A416"),L188,0),3)</f>
        <v/>
      </c>
      <c r="Z188" s="16">
        <f>ROUND(Z187+IF(F188="ASTM A416",L188,0),3)</f>
        <v/>
      </c>
      <c r="AA188" s="9">
        <f>IF(ROUNDUP(P188/20,0)&gt;ROUNDUP(P187/20,0),"Lần " &amp; ROUNDUP(P188/20,0),"")</f>
        <v/>
      </c>
      <c r="AB188" s="9">
        <f>IF(ROUNDUP(Q188/20,0)&gt;ROUNDUP(Q187/20,0),"Lần " &amp; ROUNDUP(Q188/20,0),"")</f>
        <v/>
      </c>
      <c r="AC188" s="9">
        <f>IF(ROUNDUP(R188/20,0)&gt;ROUNDUP(R187/20,0),"Lần " &amp; ROUNDUP(R188/20,0),"")</f>
        <v/>
      </c>
      <c r="AD188" s="9">
        <f>IF(ROUNDUP(S188/20,0)&gt;ROUNDUP(S187/20,0),"Lần " &amp; ROUNDUP(S188/20,0),"")</f>
        <v/>
      </c>
      <c r="AE188" s="9">
        <f>IF(ROUNDUP(T188/20,0)&gt;ROUNDUP(T187/20,0),"Lần " &amp; ROUNDUP(T188/20,0),"")</f>
        <v/>
      </c>
      <c r="AF188" s="9">
        <f>IF(ROUNDUP(U188/20,0)&gt;ROUNDUP(U187/20,0),"Lần " &amp; ROUNDUP(U188/20,0),"")</f>
        <v/>
      </c>
      <c r="AG188" s="9">
        <f>IF(ROUNDUP(V188/20,0)&gt;ROUNDUP(V187/20,0),"Lần " &amp; ROUNDUP(V188/20,0),"")</f>
        <v/>
      </c>
      <c r="AH188" s="9">
        <f>IF(ROUNDUP(W188/20,0)&gt;ROUNDUP(W187/20,0),"Lần " &amp; ROUNDUP(W188/20,0),"")</f>
        <v/>
      </c>
      <c r="AI188" s="9">
        <f>IF(ROUNDUP(X188/20,0)&gt;ROUNDUP(X187/20,0),"Lần " &amp; ROUNDUP(X188/20,0),"")</f>
        <v/>
      </c>
      <c r="AJ188" s="9">
        <f>IF(ROUNDUP(Y188/20,0)&gt;ROUNDUP(Y187/20,0),"Lần " &amp; ROUNDUP(Y188/20,0),"")</f>
        <v/>
      </c>
      <c r="AK188" s="9">
        <f>IF(ROUNDUP(Z188/20,0)&gt;ROUNDUP(Z187/20,0),"Lần " &amp; ROUNDUP(Z188/20,0),"")</f>
        <v/>
      </c>
      <c r="AL188" s="4" t="n"/>
      <c r="AN188" s="596" t="inlineStr">
        <is>
          <t>Coc</t>
        </is>
      </c>
      <c r="AO188" s="596" t="n">
        <v>15</v>
      </c>
      <c r="AQ188" s="594" t="n"/>
      <c r="AR188" s="595" t="n"/>
    </row>
    <row r="189" ht="19" customHeight="1" s="672">
      <c r="A189" s="4" t="n">
        <v>175</v>
      </c>
      <c r="B189" s="5" t="inlineStr">
        <is>
          <t>Cọc khoan nhồi C3 Trụ T2 (D1.2m, L=30.0m)</t>
        </is>
      </c>
      <c r="C189" s="5" t="inlineStr">
        <is>
          <t>Cọc trụ T2 L=30m (tr.70)</t>
        </is>
      </c>
      <c r="D189" s="14" t="inlineStr">
        <is>
          <t>P7</t>
        </is>
      </c>
      <c r="E189" s="15" t="n">
        <v>25</v>
      </c>
      <c r="F189" s="4" t="inlineStr">
        <is>
          <t>CB400-V</t>
        </is>
      </c>
      <c r="G189" s="5" t="inlineStr"/>
      <c r="H189" s="16" t="n">
        <v>10.733</v>
      </c>
      <c r="I189" s="17" t="n">
        <v>12</v>
      </c>
      <c r="J189" s="18" t="n">
        <v>3.853</v>
      </c>
      <c r="K189" s="7">
        <f>ROUND(H189*I189*J189, 2)</f>
        <v/>
      </c>
      <c r="L189" s="19">
        <f>ROUND(K189/1000, 3)</f>
        <v/>
      </c>
      <c r="M189" s="728">
        <f>IF(AO189="","",IF(N(INDEX(Theo_Doi_Tan_Suat_Be_Tong!$C:$C,AO189))&lt;=0,"",INDEX(Theo_Doi_Tan_Suat_Be_Tong!$C:$C,AO189)-VLOOKUP(AN189,$AQ$2:$AR$7,2,FALSE)))</f>
        <v/>
      </c>
      <c r="N189" s="4" t="n"/>
      <c r="O189" s="20">
        <f>IF(ROUNDUP(W189/20,0)&gt;ROUNDUP(W188/20,0),"TN Ø25 (Lần " &amp; ROUNDUP(W189/20,0) &amp; ")","")</f>
        <v/>
      </c>
      <c r="P189" s="16">
        <f>ROUND(P188+IF(AND(E189&lt;=10,F189&lt;&gt;"ASTM A416"),L189,0),3)</f>
        <v/>
      </c>
      <c r="Q189" s="16">
        <f>ROUND(Q188+IF(AND(E189=12,F189&lt;&gt;"ASTM A416"),L189,0),3)</f>
        <v/>
      </c>
      <c r="R189" s="16">
        <f>ROUND(R188+IF(AND(E189=14,F189&lt;&gt;"ASTM A416"),L189,0),3)</f>
        <v/>
      </c>
      <c r="S189" s="16">
        <f>ROUND(S188+IF(AND(E189=16,F189&lt;&gt;"ASTM A416"),L189,0),3)</f>
        <v/>
      </c>
      <c r="T189" s="16">
        <f>ROUND(T188+IF(AND(E189=18,F189&lt;&gt;"ASTM A416"),L189,0),3)</f>
        <v/>
      </c>
      <c r="U189" s="16">
        <f>ROUND(U188+IF(AND(E189=20,F189&lt;&gt;"ASTM A416"),L189,0),3)</f>
        <v/>
      </c>
      <c r="V189" s="16">
        <f>ROUND(V188+IF(AND(E189=22,F189&lt;&gt;"ASTM A416"),L189,0),3)</f>
        <v/>
      </c>
      <c r="W189" s="16">
        <f>ROUND(W188+IF(AND(E189=25,F189&lt;&gt;"ASTM A416"),L189,0),3)</f>
        <v/>
      </c>
      <c r="X189" s="16">
        <f>ROUND(X188+IF(AND(E189=28,F189&lt;&gt;"ASTM A416"),L189,0),3)</f>
        <v/>
      </c>
      <c r="Y189" s="16">
        <f>ROUND(Y188+IF(AND(E189=32,F189&lt;&gt;"ASTM A416"),L189,0),3)</f>
        <v/>
      </c>
      <c r="Z189" s="16">
        <f>ROUND(Z188+IF(F189="ASTM A416",L189,0),3)</f>
        <v/>
      </c>
      <c r="AA189" s="9">
        <f>IF(ROUNDUP(P189/20,0)&gt;ROUNDUP(P188/20,0),"Lần " &amp; ROUNDUP(P189/20,0),"")</f>
        <v/>
      </c>
      <c r="AB189" s="9">
        <f>IF(ROUNDUP(Q189/20,0)&gt;ROUNDUP(Q188/20,0),"Lần " &amp; ROUNDUP(Q189/20,0),"")</f>
        <v/>
      </c>
      <c r="AC189" s="9">
        <f>IF(ROUNDUP(R189/20,0)&gt;ROUNDUP(R188/20,0),"Lần " &amp; ROUNDUP(R189/20,0),"")</f>
        <v/>
      </c>
      <c r="AD189" s="9">
        <f>IF(ROUNDUP(S189/20,0)&gt;ROUNDUP(S188/20,0),"Lần " &amp; ROUNDUP(S189/20,0),"")</f>
        <v/>
      </c>
      <c r="AE189" s="9">
        <f>IF(ROUNDUP(T189/20,0)&gt;ROUNDUP(T188/20,0),"Lần " &amp; ROUNDUP(T189/20,0),"")</f>
        <v/>
      </c>
      <c r="AF189" s="9">
        <f>IF(ROUNDUP(U189/20,0)&gt;ROUNDUP(U188/20,0),"Lần " &amp; ROUNDUP(U189/20,0),"")</f>
        <v/>
      </c>
      <c r="AG189" s="9">
        <f>IF(ROUNDUP(V189/20,0)&gt;ROUNDUP(V188/20,0),"Lần " &amp; ROUNDUP(V189/20,0),"")</f>
        <v/>
      </c>
      <c r="AH189" s="9">
        <f>IF(ROUNDUP(W189/20,0)&gt;ROUNDUP(W188/20,0),"Lần " &amp; ROUNDUP(W189/20,0),"")</f>
        <v/>
      </c>
      <c r="AI189" s="9">
        <f>IF(ROUNDUP(X189/20,0)&gt;ROUNDUP(X188/20,0),"Lần " &amp; ROUNDUP(X189/20,0),"")</f>
        <v/>
      </c>
      <c r="AJ189" s="9">
        <f>IF(ROUNDUP(Y189/20,0)&gt;ROUNDUP(Y188/20,0),"Lần " &amp; ROUNDUP(Y189/20,0),"")</f>
        <v/>
      </c>
      <c r="AK189" s="9">
        <f>IF(ROUNDUP(Z189/20,0)&gt;ROUNDUP(Z188/20,0),"Lần " &amp; ROUNDUP(Z189/20,0),"")</f>
        <v/>
      </c>
      <c r="AL189" s="4" t="n"/>
      <c r="AN189" s="596" t="inlineStr">
        <is>
          <t>Coc</t>
        </is>
      </c>
      <c r="AO189" s="596" t="n">
        <v>15</v>
      </c>
      <c r="AQ189" s="594" t="n"/>
      <c r="AR189" s="595" t="n"/>
    </row>
    <row r="190" ht="19" customHeight="1" s="672">
      <c r="A190" s="4" t="n">
        <v>176</v>
      </c>
      <c r="B190" s="5" t="inlineStr">
        <is>
          <t>Cọc khoan nhồi C3 Trụ T2 (D1.2m, L=30.0m)</t>
        </is>
      </c>
      <c r="C190" s="5" t="inlineStr">
        <is>
          <t>Cọc trụ T2 L=30m (tr.70)</t>
        </is>
      </c>
      <c r="D190" s="14" t="inlineStr">
        <is>
          <t>P8</t>
        </is>
      </c>
      <c r="E190" s="15" t="n">
        <v>12</v>
      </c>
      <c r="F190" s="4" t="inlineStr">
        <is>
          <t>CB400-V</t>
        </is>
      </c>
      <c r="G190" s="5" t="inlineStr"/>
      <c r="H190" s="16" t="n">
        <v>0.647</v>
      </c>
      <c r="I190" s="17" t="n">
        <v>12</v>
      </c>
      <c r="J190" s="18" t="n">
        <v>0.888</v>
      </c>
      <c r="K190" s="7">
        <f>ROUND(H190*I190*J190, 2)</f>
        <v/>
      </c>
      <c r="L190" s="19">
        <f>ROUND(K190/1000, 3)</f>
        <v/>
      </c>
      <c r="M190" s="728">
        <f>IF(AO190="","",IF(N(INDEX(Theo_Doi_Tan_Suat_Be_Tong!$C:$C,AO190))&lt;=0,"",INDEX(Theo_Doi_Tan_Suat_Be_Tong!$C:$C,AO190)-VLOOKUP(AN190,$AQ$2:$AR$7,2,FALSE)))</f>
        <v/>
      </c>
      <c r="N190" s="4" t="n"/>
      <c r="O190" s="20">
        <f>IF(ROUNDUP(Q190/20,0)&gt;ROUNDUP(Q189/20,0),"TN Ø12 (Lần " &amp; ROUNDUP(Q190/20,0) &amp; ")","")</f>
        <v/>
      </c>
      <c r="P190" s="16">
        <f>ROUND(P189+IF(AND(E190&lt;=10,F190&lt;&gt;"ASTM A416"),L190,0),3)</f>
        <v/>
      </c>
      <c r="Q190" s="16">
        <f>ROUND(Q189+IF(AND(E190=12,F190&lt;&gt;"ASTM A416"),L190,0),3)</f>
        <v/>
      </c>
      <c r="R190" s="16">
        <f>ROUND(R189+IF(AND(E190=14,F190&lt;&gt;"ASTM A416"),L190,0),3)</f>
        <v/>
      </c>
      <c r="S190" s="16">
        <f>ROUND(S189+IF(AND(E190=16,F190&lt;&gt;"ASTM A416"),L190,0),3)</f>
        <v/>
      </c>
      <c r="T190" s="16">
        <f>ROUND(T189+IF(AND(E190=18,F190&lt;&gt;"ASTM A416"),L190,0),3)</f>
        <v/>
      </c>
      <c r="U190" s="16">
        <f>ROUND(U189+IF(AND(E190=20,F190&lt;&gt;"ASTM A416"),L190,0),3)</f>
        <v/>
      </c>
      <c r="V190" s="16">
        <f>ROUND(V189+IF(AND(E190=22,F190&lt;&gt;"ASTM A416"),L190,0),3)</f>
        <v/>
      </c>
      <c r="W190" s="16">
        <f>ROUND(W189+IF(AND(E190=25,F190&lt;&gt;"ASTM A416"),L190,0),3)</f>
        <v/>
      </c>
      <c r="X190" s="16">
        <f>ROUND(X189+IF(AND(E190=28,F190&lt;&gt;"ASTM A416"),L190,0),3)</f>
        <v/>
      </c>
      <c r="Y190" s="16">
        <f>ROUND(Y189+IF(AND(E190=32,F190&lt;&gt;"ASTM A416"),L190,0),3)</f>
        <v/>
      </c>
      <c r="Z190" s="16">
        <f>ROUND(Z189+IF(F190="ASTM A416",L190,0),3)</f>
        <v/>
      </c>
      <c r="AA190" s="9">
        <f>IF(ROUNDUP(P190/20,0)&gt;ROUNDUP(P189/20,0),"Lần " &amp; ROUNDUP(P190/20,0),"")</f>
        <v/>
      </c>
      <c r="AB190" s="9">
        <f>IF(ROUNDUP(Q190/20,0)&gt;ROUNDUP(Q189/20,0),"Lần " &amp; ROUNDUP(Q190/20,0),"")</f>
        <v/>
      </c>
      <c r="AC190" s="9">
        <f>IF(ROUNDUP(R190/20,0)&gt;ROUNDUP(R189/20,0),"Lần " &amp; ROUNDUP(R190/20,0),"")</f>
        <v/>
      </c>
      <c r="AD190" s="9">
        <f>IF(ROUNDUP(S190/20,0)&gt;ROUNDUP(S189/20,0),"Lần " &amp; ROUNDUP(S190/20,0),"")</f>
        <v/>
      </c>
      <c r="AE190" s="9">
        <f>IF(ROUNDUP(T190/20,0)&gt;ROUNDUP(T189/20,0),"Lần " &amp; ROUNDUP(T190/20,0),"")</f>
        <v/>
      </c>
      <c r="AF190" s="9">
        <f>IF(ROUNDUP(U190/20,0)&gt;ROUNDUP(U189/20,0),"Lần " &amp; ROUNDUP(U190/20,0),"")</f>
        <v/>
      </c>
      <c r="AG190" s="9">
        <f>IF(ROUNDUP(V190/20,0)&gt;ROUNDUP(V189/20,0),"Lần " &amp; ROUNDUP(V190/20,0),"")</f>
        <v/>
      </c>
      <c r="AH190" s="9">
        <f>IF(ROUNDUP(W190/20,0)&gt;ROUNDUP(W189/20,0),"Lần " &amp; ROUNDUP(W190/20,0),"")</f>
        <v/>
      </c>
      <c r="AI190" s="9">
        <f>IF(ROUNDUP(X190/20,0)&gt;ROUNDUP(X189/20,0),"Lần " &amp; ROUNDUP(X190/20,0),"")</f>
        <v/>
      </c>
      <c r="AJ190" s="9">
        <f>IF(ROUNDUP(Y190/20,0)&gt;ROUNDUP(Y189/20,0),"Lần " &amp; ROUNDUP(Y190/20,0),"")</f>
        <v/>
      </c>
      <c r="AK190" s="9">
        <f>IF(ROUNDUP(Z190/20,0)&gt;ROUNDUP(Z189/20,0),"Lần " &amp; ROUNDUP(Z190/20,0),"")</f>
        <v/>
      </c>
      <c r="AL190" s="4" t="n"/>
      <c r="AN190" s="596" t="inlineStr">
        <is>
          <t>Coc</t>
        </is>
      </c>
      <c r="AO190" s="596" t="n">
        <v>15</v>
      </c>
      <c r="AQ190" s="594" t="n"/>
      <c r="AR190" s="595" t="n"/>
    </row>
    <row r="191" ht="19" customHeight="1" s="672">
      <c r="A191" s="4" t="n">
        <v>177</v>
      </c>
      <c r="B191" s="5" t="inlineStr">
        <is>
          <t>Cọc khoan nhồi C3 Trụ T2 (D1.2m, L=30.0m)</t>
        </is>
      </c>
      <c r="C191" s="5" t="inlineStr">
        <is>
          <t>Cọc trụ T2 L=30m (tr.70)</t>
        </is>
      </c>
      <c r="D191" s="14" t="inlineStr">
        <is>
          <t>P9</t>
        </is>
      </c>
      <c r="E191" s="15" t="n">
        <v>12</v>
      </c>
      <c r="F191" s="4" t="inlineStr">
        <is>
          <t>CB400-V</t>
        </is>
      </c>
      <c r="G191" s="5" t="inlineStr"/>
      <c r="H191" s="16" t="n">
        <v>0.379</v>
      </c>
      <c r="I191" s="17" t="n">
        <v>36</v>
      </c>
      <c r="J191" s="18" t="n">
        <v>0.888</v>
      </c>
      <c r="K191" s="7">
        <f>ROUND(H191*I191*J191, 2)</f>
        <v/>
      </c>
      <c r="L191" s="19">
        <f>ROUND(K191/1000, 3)</f>
        <v/>
      </c>
      <c r="M191" s="728">
        <f>IF(AO191="","",IF(N(INDEX(Theo_Doi_Tan_Suat_Be_Tong!$C:$C,AO191))&lt;=0,"",INDEX(Theo_Doi_Tan_Suat_Be_Tong!$C:$C,AO191)-VLOOKUP(AN191,$AQ$2:$AR$7,2,FALSE)))</f>
        <v/>
      </c>
      <c r="N191" s="4" t="n"/>
      <c r="O191" s="20">
        <f>IF(ROUNDUP(Q191/20,0)&gt;ROUNDUP(Q190/20,0),"TN Ø12 (Lần " &amp; ROUNDUP(Q191/20,0) &amp; ")","")</f>
        <v/>
      </c>
      <c r="P191" s="16">
        <f>ROUND(P190+IF(AND(E191&lt;=10,F191&lt;&gt;"ASTM A416"),L191,0),3)</f>
        <v/>
      </c>
      <c r="Q191" s="16">
        <f>ROUND(Q190+IF(AND(E191=12,F191&lt;&gt;"ASTM A416"),L191,0),3)</f>
        <v/>
      </c>
      <c r="R191" s="16">
        <f>ROUND(R190+IF(AND(E191=14,F191&lt;&gt;"ASTM A416"),L191,0),3)</f>
        <v/>
      </c>
      <c r="S191" s="16">
        <f>ROUND(S190+IF(AND(E191=16,F191&lt;&gt;"ASTM A416"),L191,0),3)</f>
        <v/>
      </c>
      <c r="T191" s="16">
        <f>ROUND(T190+IF(AND(E191=18,F191&lt;&gt;"ASTM A416"),L191,0),3)</f>
        <v/>
      </c>
      <c r="U191" s="16">
        <f>ROUND(U190+IF(AND(E191=20,F191&lt;&gt;"ASTM A416"),L191,0),3)</f>
        <v/>
      </c>
      <c r="V191" s="16">
        <f>ROUND(V190+IF(AND(E191=22,F191&lt;&gt;"ASTM A416"),L191,0),3)</f>
        <v/>
      </c>
      <c r="W191" s="16">
        <f>ROUND(W190+IF(AND(E191=25,F191&lt;&gt;"ASTM A416"),L191,0),3)</f>
        <v/>
      </c>
      <c r="X191" s="16">
        <f>ROUND(X190+IF(AND(E191=28,F191&lt;&gt;"ASTM A416"),L191,0),3)</f>
        <v/>
      </c>
      <c r="Y191" s="16">
        <f>ROUND(Y190+IF(AND(E191=32,F191&lt;&gt;"ASTM A416"),L191,0),3)</f>
        <v/>
      </c>
      <c r="Z191" s="16">
        <f>ROUND(Z190+IF(F191="ASTM A416",L191,0),3)</f>
        <v/>
      </c>
      <c r="AA191" s="9">
        <f>IF(ROUNDUP(P191/20,0)&gt;ROUNDUP(P190/20,0),"Lần " &amp; ROUNDUP(P191/20,0),"")</f>
        <v/>
      </c>
      <c r="AB191" s="9">
        <f>IF(ROUNDUP(Q191/20,0)&gt;ROUNDUP(Q190/20,0),"Lần " &amp; ROUNDUP(Q191/20,0),"")</f>
        <v/>
      </c>
      <c r="AC191" s="9">
        <f>IF(ROUNDUP(R191/20,0)&gt;ROUNDUP(R190/20,0),"Lần " &amp; ROUNDUP(R191/20,0),"")</f>
        <v/>
      </c>
      <c r="AD191" s="9">
        <f>IF(ROUNDUP(S191/20,0)&gt;ROUNDUP(S190/20,0),"Lần " &amp; ROUNDUP(S191/20,0),"")</f>
        <v/>
      </c>
      <c r="AE191" s="9">
        <f>IF(ROUNDUP(T191/20,0)&gt;ROUNDUP(T190/20,0),"Lần " &amp; ROUNDUP(T191/20,0),"")</f>
        <v/>
      </c>
      <c r="AF191" s="9">
        <f>IF(ROUNDUP(U191/20,0)&gt;ROUNDUP(U190/20,0),"Lần " &amp; ROUNDUP(U191/20,0),"")</f>
        <v/>
      </c>
      <c r="AG191" s="9">
        <f>IF(ROUNDUP(V191/20,0)&gt;ROUNDUP(V190/20,0),"Lần " &amp; ROUNDUP(V191/20,0),"")</f>
        <v/>
      </c>
      <c r="AH191" s="9">
        <f>IF(ROUNDUP(W191/20,0)&gt;ROUNDUP(W190/20,0),"Lần " &amp; ROUNDUP(W191/20,0),"")</f>
        <v/>
      </c>
      <c r="AI191" s="9">
        <f>IF(ROUNDUP(X191/20,0)&gt;ROUNDUP(X190/20,0),"Lần " &amp; ROUNDUP(X191/20,0),"")</f>
        <v/>
      </c>
      <c r="AJ191" s="9">
        <f>IF(ROUNDUP(Y191/20,0)&gt;ROUNDUP(Y190/20,0),"Lần " &amp; ROUNDUP(Y191/20,0),"")</f>
        <v/>
      </c>
      <c r="AK191" s="9">
        <f>IF(ROUNDUP(Z191/20,0)&gt;ROUNDUP(Z190/20,0),"Lần " &amp; ROUNDUP(Z191/20,0),"")</f>
        <v/>
      </c>
      <c r="AL191" s="4" t="n"/>
      <c r="AN191" s="596" t="inlineStr">
        <is>
          <t>Coc</t>
        </is>
      </c>
      <c r="AO191" s="596" t="n">
        <v>15</v>
      </c>
      <c r="AQ191" s="594" t="n"/>
      <c r="AR191" s="595" t="n"/>
    </row>
    <row r="192" ht="19" customHeight="1" s="672">
      <c r="A192" s="4" t="n">
        <v>178</v>
      </c>
      <c r="B192" s="5" t="inlineStr">
        <is>
          <t>Cọc khoan nhồi C3 Trụ T2 (D1.2m, L=30.0m)</t>
        </is>
      </c>
      <c r="C192" s="5" t="inlineStr">
        <is>
          <t>Cọc trụ T2 L=30m (tr.70)</t>
        </is>
      </c>
      <c r="D192" s="14" t="inlineStr">
        <is>
          <t>P10</t>
        </is>
      </c>
      <c r="E192" s="15" t="n">
        <v>20</v>
      </c>
      <c r="F192" s="4" t="inlineStr">
        <is>
          <t>CB400-V</t>
        </is>
      </c>
      <c r="G192" s="5" t="inlineStr"/>
      <c r="H192" s="16" t="n">
        <v>2.057</v>
      </c>
      <c r="I192" s="17" t="n">
        <v>1</v>
      </c>
      <c r="J192" s="18" t="n">
        <v>2.466</v>
      </c>
      <c r="K192" s="7">
        <f>ROUND(H192*I192*J192, 2)</f>
        <v/>
      </c>
      <c r="L192" s="19">
        <f>ROUND(K192/1000, 3)</f>
        <v/>
      </c>
      <c r="M192" s="728">
        <f>IF(AO192="","",IF(N(INDEX(Theo_Doi_Tan_Suat_Be_Tong!$C:$C,AO192))&lt;=0,"",INDEX(Theo_Doi_Tan_Suat_Be_Tong!$C:$C,AO192)-VLOOKUP(AN192,$AQ$2:$AR$7,2,FALSE)))</f>
        <v/>
      </c>
      <c r="N192" s="4" t="n"/>
      <c r="O192" s="20">
        <f>IF(ROUNDUP(U192/20,0)&gt;ROUNDUP(U191/20,0),"TN Ø20 (Lần " &amp; ROUNDUP(U192/20,0) &amp; ")","")</f>
        <v/>
      </c>
      <c r="P192" s="16">
        <f>ROUND(P191+IF(AND(E192&lt;=10,F192&lt;&gt;"ASTM A416"),L192,0),3)</f>
        <v/>
      </c>
      <c r="Q192" s="16">
        <f>ROUND(Q191+IF(AND(E192=12,F192&lt;&gt;"ASTM A416"),L192,0),3)</f>
        <v/>
      </c>
      <c r="R192" s="16">
        <f>ROUND(R191+IF(AND(E192=14,F192&lt;&gt;"ASTM A416"),L192,0),3)</f>
        <v/>
      </c>
      <c r="S192" s="16">
        <f>ROUND(S191+IF(AND(E192=16,F192&lt;&gt;"ASTM A416"),L192,0),3)</f>
        <v/>
      </c>
      <c r="T192" s="16">
        <f>ROUND(T191+IF(AND(E192=18,F192&lt;&gt;"ASTM A416"),L192,0),3)</f>
        <v/>
      </c>
      <c r="U192" s="16">
        <f>ROUND(U191+IF(AND(E192=20,F192&lt;&gt;"ASTM A416"),L192,0),3)</f>
        <v/>
      </c>
      <c r="V192" s="16">
        <f>ROUND(V191+IF(AND(E192=22,F192&lt;&gt;"ASTM A416"),L192,0),3)</f>
        <v/>
      </c>
      <c r="W192" s="16">
        <f>ROUND(W191+IF(AND(E192=25,F192&lt;&gt;"ASTM A416"),L192,0),3)</f>
        <v/>
      </c>
      <c r="X192" s="16">
        <f>ROUND(X191+IF(AND(E192=28,F192&lt;&gt;"ASTM A416"),L192,0),3)</f>
        <v/>
      </c>
      <c r="Y192" s="16">
        <f>ROUND(Y191+IF(AND(E192=32,F192&lt;&gt;"ASTM A416"),L192,0),3)</f>
        <v/>
      </c>
      <c r="Z192" s="16">
        <f>ROUND(Z191+IF(F192="ASTM A416",L192,0),3)</f>
        <v/>
      </c>
      <c r="AA192" s="9">
        <f>IF(ROUNDUP(P192/20,0)&gt;ROUNDUP(P191/20,0),"Lần " &amp; ROUNDUP(P192/20,0),"")</f>
        <v/>
      </c>
      <c r="AB192" s="9">
        <f>IF(ROUNDUP(Q192/20,0)&gt;ROUNDUP(Q191/20,0),"Lần " &amp; ROUNDUP(Q192/20,0),"")</f>
        <v/>
      </c>
      <c r="AC192" s="9">
        <f>IF(ROUNDUP(R192/20,0)&gt;ROUNDUP(R191/20,0),"Lần " &amp; ROUNDUP(R192/20,0),"")</f>
        <v/>
      </c>
      <c r="AD192" s="9">
        <f>IF(ROUNDUP(S192/20,0)&gt;ROUNDUP(S191/20,0),"Lần " &amp; ROUNDUP(S192/20,0),"")</f>
        <v/>
      </c>
      <c r="AE192" s="9">
        <f>IF(ROUNDUP(T192/20,0)&gt;ROUNDUP(T191/20,0),"Lần " &amp; ROUNDUP(T192/20,0),"")</f>
        <v/>
      </c>
      <c r="AF192" s="9">
        <f>IF(ROUNDUP(U192/20,0)&gt;ROUNDUP(U191/20,0),"Lần " &amp; ROUNDUP(U192/20,0),"")</f>
        <v/>
      </c>
      <c r="AG192" s="9">
        <f>IF(ROUNDUP(V192/20,0)&gt;ROUNDUP(V191/20,0),"Lần " &amp; ROUNDUP(V192/20,0),"")</f>
        <v/>
      </c>
      <c r="AH192" s="9">
        <f>IF(ROUNDUP(W192/20,0)&gt;ROUNDUP(W191/20,0),"Lần " &amp; ROUNDUP(W192/20,0),"")</f>
        <v/>
      </c>
      <c r="AI192" s="9">
        <f>IF(ROUNDUP(X192/20,0)&gt;ROUNDUP(X191/20,0),"Lần " &amp; ROUNDUP(X192/20,0),"")</f>
        <v/>
      </c>
      <c r="AJ192" s="9">
        <f>IF(ROUNDUP(Y192/20,0)&gt;ROUNDUP(Y191/20,0),"Lần " &amp; ROUNDUP(Y192/20,0),"")</f>
        <v/>
      </c>
      <c r="AK192" s="9">
        <f>IF(ROUNDUP(Z192/20,0)&gt;ROUNDUP(Z191/20,0),"Lần " &amp; ROUNDUP(Z192/20,0),"")</f>
        <v/>
      </c>
      <c r="AL192" s="4" t="n"/>
      <c r="AN192" s="596" t="inlineStr">
        <is>
          <t>Coc</t>
        </is>
      </c>
      <c r="AO192" s="596" t="n">
        <v>15</v>
      </c>
      <c r="AQ192" s="594" t="n"/>
      <c r="AR192" s="595" t="n"/>
    </row>
    <row r="193" ht="20" customHeight="1" s="672">
      <c r="A193" s="4" t="n">
        <v>179</v>
      </c>
      <c r="B193" s="5" t="inlineStr">
        <is>
          <t>Cọc khoan nhồi C3 Trụ T2 (D1.2m, L=30.0m)</t>
        </is>
      </c>
      <c r="C193" s="5" t="inlineStr">
        <is>
          <t>Cọc trụ T2 L=30m (tr.70)</t>
        </is>
      </c>
      <c r="D193" s="14" t="inlineStr">
        <is>
          <t>P12</t>
        </is>
      </c>
      <c r="E193" s="15" t="n">
        <v>20</v>
      </c>
      <c r="F193" s="4" t="inlineStr">
        <is>
          <t>CB400-V</t>
        </is>
      </c>
      <c r="G193" s="5" t="inlineStr"/>
      <c r="H193" s="16" t="n">
        <v>0.583</v>
      </c>
      <c r="I193" s="17" t="n">
        <v>48</v>
      </c>
      <c r="J193" s="18" t="n">
        <v>2.466</v>
      </c>
      <c r="K193" s="7">
        <f>ROUND(H193*I193*J193, 2)</f>
        <v/>
      </c>
      <c r="L193" s="19">
        <f>ROUND(K193/1000, 3)</f>
        <v/>
      </c>
      <c r="M193" s="728">
        <f>IF(AO193="","",IF(N(INDEX(Theo_Doi_Tan_Suat_Be_Tong!$C:$C,AO193))&lt;=0,"",INDEX(Theo_Doi_Tan_Suat_Be_Tong!$C:$C,AO193)-VLOOKUP(AN193,$AQ$2:$AR$7,2,FALSE)))</f>
        <v/>
      </c>
      <c r="N193" s="4" t="n"/>
      <c r="O193" s="20">
        <f>IF(ROUNDUP(U193/20,0)&gt;ROUNDUP(U192/20,0),"TN Ø20 (Lần " &amp; ROUNDUP(U193/20,0) &amp; ")","")</f>
        <v/>
      </c>
      <c r="P193" s="16">
        <f>ROUND(P192+IF(AND(E193&lt;=10,F193&lt;&gt;"ASTM A416"),L193,0),3)</f>
        <v/>
      </c>
      <c r="Q193" s="16">
        <f>ROUND(Q192+IF(AND(E193=12,F193&lt;&gt;"ASTM A416"),L193,0),3)</f>
        <v/>
      </c>
      <c r="R193" s="16">
        <f>ROUND(R192+IF(AND(E193=14,F193&lt;&gt;"ASTM A416"),L193,0),3)</f>
        <v/>
      </c>
      <c r="S193" s="16">
        <f>ROUND(S192+IF(AND(E193=16,F193&lt;&gt;"ASTM A416"),L193,0),3)</f>
        <v/>
      </c>
      <c r="T193" s="16">
        <f>ROUND(T192+IF(AND(E193=18,F193&lt;&gt;"ASTM A416"),L193,0),3)</f>
        <v/>
      </c>
      <c r="U193" s="16">
        <f>ROUND(U192+IF(AND(E193=20,F193&lt;&gt;"ASTM A416"),L193,0),3)</f>
        <v/>
      </c>
      <c r="V193" s="16">
        <f>ROUND(V192+IF(AND(E193=22,F193&lt;&gt;"ASTM A416"),L193,0),3)</f>
        <v/>
      </c>
      <c r="W193" s="16">
        <f>ROUND(W192+IF(AND(E193=25,F193&lt;&gt;"ASTM A416"),L193,0),3)</f>
        <v/>
      </c>
      <c r="X193" s="16">
        <f>ROUND(X192+IF(AND(E193=28,F193&lt;&gt;"ASTM A416"),L193,0),3)</f>
        <v/>
      </c>
      <c r="Y193" s="16">
        <f>ROUND(Y192+IF(AND(E193=32,F193&lt;&gt;"ASTM A416"),L193,0),3)</f>
        <v/>
      </c>
      <c r="Z193" s="16">
        <f>ROUND(Z192+IF(F193="ASTM A416",L193,0),3)</f>
        <v/>
      </c>
      <c r="AA193" s="9">
        <f>IF(ROUNDUP(P193/20,0)&gt;ROUNDUP(P192/20,0),"Lần " &amp; ROUNDUP(P193/20,0),"")</f>
        <v/>
      </c>
      <c r="AB193" s="9">
        <f>IF(ROUNDUP(Q193/20,0)&gt;ROUNDUP(Q192/20,0),"Lần " &amp; ROUNDUP(Q193/20,0),"")</f>
        <v/>
      </c>
      <c r="AC193" s="9">
        <f>IF(ROUNDUP(R193/20,0)&gt;ROUNDUP(R192/20,0),"Lần " &amp; ROUNDUP(R193/20,0),"")</f>
        <v/>
      </c>
      <c r="AD193" s="9">
        <f>IF(ROUNDUP(S193/20,0)&gt;ROUNDUP(S192/20,0),"Lần " &amp; ROUNDUP(S193/20,0),"")</f>
        <v/>
      </c>
      <c r="AE193" s="9">
        <f>IF(ROUNDUP(T193/20,0)&gt;ROUNDUP(T192/20,0),"Lần " &amp; ROUNDUP(T193/20,0),"")</f>
        <v/>
      </c>
      <c r="AF193" s="9">
        <f>IF(ROUNDUP(U193/20,0)&gt;ROUNDUP(U192/20,0),"Lần " &amp; ROUNDUP(U193/20,0),"")</f>
        <v/>
      </c>
      <c r="AG193" s="9">
        <f>IF(ROUNDUP(V193/20,0)&gt;ROUNDUP(V192/20,0),"Lần " &amp; ROUNDUP(V193/20,0),"")</f>
        <v/>
      </c>
      <c r="AH193" s="9">
        <f>IF(ROUNDUP(W193/20,0)&gt;ROUNDUP(W192/20,0),"Lần " &amp; ROUNDUP(W193/20,0),"")</f>
        <v/>
      </c>
      <c r="AI193" s="9">
        <f>IF(ROUNDUP(X193/20,0)&gt;ROUNDUP(X192/20,0),"Lần " &amp; ROUNDUP(X193/20,0),"")</f>
        <v/>
      </c>
      <c r="AJ193" s="9">
        <f>IF(ROUNDUP(Y193/20,0)&gt;ROUNDUP(Y192/20,0),"Lần " &amp; ROUNDUP(Y193/20,0),"")</f>
        <v/>
      </c>
      <c r="AK193" s="9">
        <f>IF(ROUNDUP(Z193/20,0)&gt;ROUNDUP(Z192/20,0),"Lần " &amp; ROUNDUP(Z193/20,0),"")</f>
        <v/>
      </c>
      <c r="AL193" s="4" t="n"/>
      <c r="AN193" s="596" t="inlineStr">
        <is>
          <t>Coc</t>
        </is>
      </c>
      <c r="AO193" s="596" t="n">
        <v>15</v>
      </c>
      <c r="AQ193" s="594" t="n"/>
      <c r="AR193" s="595" t="n"/>
    </row>
    <row r="194" ht="19" customHeight="1" s="672">
      <c r="A194" s="4" t="n">
        <v>180</v>
      </c>
      <c r="B194" s="5" t="inlineStr">
        <is>
          <t>Cọc khoan nhồi C3 Trụ T2 (D1.2m, L=30.0m)</t>
        </is>
      </c>
      <c r="C194" s="5" t="inlineStr">
        <is>
          <t>Cọc trụ T2 L=30m (tr.70)</t>
        </is>
      </c>
      <c r="D194" s="14" t="inlineStr">
        <is>
          <t>P11</t>
        </is>
      </c>
      <c r="E194" s="15" t="n">
        <v>16</v>
      </c>
      <c r="F194" s="4" t="inlineStr">
        <is>
          <t>CB400-V</t>
        </is>
      </c>
      <c r="G194" s="5" t="inlineStr"/>
      <c r="H194" s="16" t="n">
        <v>2.604</v>
      </c>
      <c r="I194" s="17" t="n">
        <v>4</v>
      </c>
      <c r="J194" s="18" t="n">
        <v>1.578</v>
      </c>
      <c r="K194" s="7">
        <f>ROUND(H194*I194*J194, 2)</f>
        <v/>
      </c>
      <c r="L194" s="19">
        <f>ROUND(K194/1000, 3)</f>
        <v/>
      </c>
      <c r="M194" s="728">
        <f>IF(AO194="","",IF(N(INDEX(Theo_Doi_Tan_Suat_Be_Tong!$C:$C,AO194))&lt;=0,"",INDEX(Theo_Doi_Tan_Suat_Be_Tong!$C:$C,AO194)-VLOOKUP(AN194,$AQ$2:$AR$7,2,FALSE)))</f>
        <v/>
      </c>
      <c r="N194" s="4" t="n"/>
      <c r="O194" s="20">
        <f>IF(ROUNDUP(S194/20,0)&gt;ROUNDUP(S193/20,0),"TN Ø16 (Lần " &amp; ROUNDUP(S194/20,0) &amp; ")","")</f>
        <v/>
      </c>
      <c r="P194" s="16">
        <f>ROUND(P193+IF(AND(E194&lt;=10,F194&lt;&gt;"ASTM A416"),L194,0),3)</f>
        <v/>
      </c>
      <c r="Q194" s="16">
        <f>ROUND(Q193+IF(AND(E194=12,F194&lt;&gt;"ASTM A416"),L194,0),3)</f>
        <v/>
      </c>
      <c r="R194" s="16">
        <f>ROUND(R193+IF(AND(E194=14,F194&lt;&gt;"ASTM A416"),L194,0),3)</f>
        <v/>
      </c>
      <c r="S194" s="16">
        <f>ROUND(S193+IF(AND(E194=16,F194&lt;&gt;"ASTM A416"),L194,0),3)</f>
        <v/>
      </c>
      <c r="T194" s="16">
        <f>ROUND(T193+IF(AND(E194=18,F194&lt;&gt;"ASTM A416"),L194,0),3)</f>
        <v/>
      </c>
      <c r="U194" s="16">
        <f>ROUND(U193+IF(AND(E194=20,F194&lt;&gt;"ASTM A416"),L194,0),3)</f>
        <v/>
      </c>
      <c r="V194" s="16">
        <f>ROUND(V193+IF(AND(E194=22,F194&lt;&gt;"ASTM A416"),L194,0),3)</f>
        <v/>
      </c>
      <c r="W194" s="16">
        <f>ROUND(W193+IF(AND(E194=25,F194&lt;&gt;"ASTM A416"),L194,0),3)</f>
        <v/>
      </c>
      <c r="X194" s="16">
        <f>ROUND(X193+IF(AND(E194=28,F194&lt;&gt;"ASTM A416"),L194,0),3)</f>
        <v/>
      </c>
      <c r="Y194" s="16">
        <f>ROUND(Y193+IF(AND(E194=32,F194&lt;&gt;"ASTM A416"),L194,0),3)</f>
        <v/>
      </c>
      <c r="Z194" s="16">
        <f>ROUND(Z193+IF(F194="ASTM A416",L194,0),3)</f>
        <v/>
      </c>
      <c r="AA194" s="9">
        <f>IF(ROUNDUP(P194/20,0)&gt;ROUNDUP(P193/20,0),"Lần " &amp; ROUNDUP(P194/20,0),"")</f>
        <v/>
      </c>
      <c r="AB194" s="9">
        <f>IF(ROUNDUP(Q194/20,0)&gt;ROUNDUP(Q193/20,0),"Lần " &amp; ROUNDUP(Q194/20,0),"")</f>
        <v/>
      </c>
      <c r="AC194" s="9">
        <f>IF(ROUNDUP(R194/20,0)&gt;ROUNDUP(R193/20,0),"Lần " &amp; ROUNDUP(R194/20,0),"")</f>
        <v/>
      </c>
      <c r="AD194" s="9">
        <f>IF(ROUNDUP(S194/20,0)&gt;ROUNDUP(S193/20,0),"Lần " &amp; ROUNDUP(S194/20,0),"")</f>
        <v/>
      </c>
      <c r="AE194" s="9">
        <f>IF(ROUNDUP(T194/20,0)&gt;ROUNDUP(T193/20,0),"Lần " &amp; ROUNDUP(T194/20,0),"")</f>
        <v/>
      </c>
      <c r="AF194" s="9">
        <f>IF(ROUNDUP(U194/20,0)&gt;ROUNDUP(U193/20,0),"Lần " &amp; ROUNDUP(U194/20,0),"")</f>
        <v/>
      </c>
      <c r="AG194" s="9">
        <f>IF(ROUNDUP(V194/20,0)&gt;ROUNDUP(V193/20,0),"Lần " &amp; ROUNDUP(V194/20,0),"")</f>
        <v/>
      </c>
      <c r="AH194" s="9">
        <f>IF(ROUNDUP(W194/20,0)&gt;ROUNDUP(W193/20,0),"Lần " &amp; ROUNDUP(W194/20,0),"")</f>
        <v/>
      </c>
      <c r="AI194" s="9">
        <f>IF(ROUNDUP(X194/20,0)&gt;ROUNDUP(X193/20,0),"Lần " &amp; ROUNDUP(X194/20,0),"")</f>
        <v/>
      </c>
      <c r="AJ194" s="9">
        <f>IF(ROUNDUP(Y194/20,0)&gt;ROUNDUP(Y193/20,0),"Lần " &amp; ROUNDUP(Y194/20,0),"")</f>
        <v/>
      </c>
      <c r="AK194" s="9">
        <f>IF(ROUNDUP(Z194/20,0)&gt;ROUNDUP(Z193/20,0),"Lần " &amp; ROUNDUP(Z194/20,0),"")</f>
        <v/>
      </c>
      <c r="AL194" s="4" t="n"/>
      <c r="AN194" s="596" t="inlineStr">
        <is>
          <t>Coc</t>
        </is>
      </c>
      <c r="AO194" s="596" t="n">
        <v>15</v>
      </c>
      <c r="AQ194" s="594" t="n"/>
      <c r="AR194" s="595" t="n"/>
    </row>
    <row r="195" ht="19" customHeight="1" s="672">
      <c r="A195" s="668" t="inlineStr">
        <is>
          <t>--- CỌC KHOAN NHỒI C7 TRỤ T1 (D1.2M, L=40.0M) ---</t>
        </is>
      </c>
      <c r="B195" s="722" t="n"/>
      <c r="C195" s="722" t="n"/>
      <c r="D195" s="722" t="n"/>
      <c r="E195" s="722" t="n"/>
      <c r="F195" s="722" t="n"/>
      <c r="G195" s="722" t="n"/>
      <c r="H195" s="722" t="n"/>
      <c r="I195" s="722" t="n"/>
      <c r="J195" s="722" t="n"/>
      <c r="K195" s="722" t="n"/>
      <c r="L195" s="722" t="n"/>
      <c r="M195" s="722" t="n"/>
      <c r="N195" s="722" t="n"/>
      <c r="O195" s="722" t="n"/>
      <c r="P195" s="722" t="n"/>
      <c r="Q195" s="722" t="n"/>
      <c r="R195" s="722" t="n"/>
      <c r="S195" s="722" t="n"/>
      <c r="T195" s="722" t="n"/>
      <c r="U195" s="722" t="n"/>
      <c r="V195" s="722" t="n"/>
      <c r="W195" s="722" t="n"/>
      <c r="X195" s="722" t="n"/>
      <c r="Y195" s="722" t="n"/>
      <c r="Z195" s="722" t="n"/>
      <c r="AA195" s="722" t="n"/>
      <c r="AB195" s="722" t="n"/>
      <c r="AC195" s="722" t="n"/>
      <c r="AD195" s="722" t="n"/>
      <c r="AE195" s="722" t="n"/>
      <c r="AF195" s="722" t="n"/>
      <c r="AG195" s="722" t="n"/>
      <c r="AH195" s="722" t="n"/>
      <c r="AI195" s="722" t="n"/>
      <c r="AJ195" s="722" t="n"/>
      <c r="AK195" s="722" t="n"/>
      <c r="AL195" s="721" t="n"/>
      <c r="AQ195" s="594" t="n"/>
      <c r="AR195" s="595" t="n"/>
    </row>
    <row r="196" ht="19" customHeight="1" s="672">
      <c r="A196" s="4" t="n">
        <v>181</v>
      </c>
      <c r="B196" s="5" t="inlineStr">
        <is>
          <t>Cọc khoan nhồi C7 Trụ T1 (D1.2m, L=40.0m)</t>
        </is>
      </c>
      <c r="C196" s="5" t="inlineStr">
        <is>
          <t>Cọc trụ T1 L=40m (tr.68)</t>
        </is>
      </c>
      <c r="D196" s="14" t="inlineStr">
        <is>
          <t>P1</t>
        </is>
      </c>
      <c r="E196" s="15" t="n">
        <v>10</v>
      </c>
      <c r="F196" s="4" t="inlineStr">
        <is>
          <t>CB240-T</t>
        </is>
      </c>
      <c r="G196" s="5" t="inlineStr"/>
      <c r="H196" s="16" t="n">
        <v>96.604</v>
      </c>
      <c r="I196" s="17" t="n">
        <v>1</v>
      </c>
      <c r="J196" s="18" t="n">
        <v>0.617</v>
      </c>
      <c r="K196" s="7">
        <f>ROUND(H196*I196*J196, 2)</f>
        <v/>
      </c>
      <c r="L196" s="19">
        <f>ROUND(K196/1000, 3)</f>
        <v/>
      </c>
      <c r="M196" s="728">
        <f>IF(AO196="","",IF(N(INDEX(Theo_Doi_Tan_Suat_Be_Tong!$C:$C,AO196))&lt;=0,"",INDEX(Theo_Doi_Tan_Suat_Be_Tong!$C:$C,AO196)-VLOOKUP(AN196,$AQ$2:$AR$7,2,FALSE)))</f>
        <v/>
      </c>
      <c r="N196" s="4" t="n"/>
      <c r="O196" s="20">
        <f>IF(ROUNDUP(P196/20,0)&gt;ROUNDUP(P194/20,0),"TN Ø10 (Lần " &amp; ROUNDUP(P196/20,0) &amp; ")","")</f>
        <v/>
      </c>
      <c r="P196" s="16">
        <f>ROUND(P194+IF(AND(E196&lt;=10,F196&lt;&gt;"ASTM A416"),L196,0),3)</f>
        <v/>
      </c>
      <c r="Q196" s="16">
        <f>ROUND(Q194+IF(AND(E196=12,F196&lt;&gt;"ASTM A416"),L196,0),3)</f>
        <v/>
      </c>
      <c r="R196" s="16">
        <f>ROUND(R194+IF(AND(E196=14,F196&lt;&gt;"ASTM A416"),L196,0),3)</f>
        <v/>
      </c>
      <c r="S196" s="16">
        <f>ROUND(S194+IF(AND(E196=16,F196&lt;&gt;"ASTM A416"),L196,0),3)</f>
        <v/>
      </c>
      <c r="T196" s="16">
        <f>ROUND(T194+IF(AND(E196=18,F196&lt;&gt;"ASTM A416"),L196,0),3)</f>
        <v/>
      </c>
      <c r="U196" s="16">
        <f>ROUND(U194+IF(AND(E196=20,F196&lt;&gt;"ASTM A416"),L196,0),3)</f>
        <v/>
      </c>
      <c r="V196" s="16">
        <f>ROUND(V194+IF(AND(E196=22,F196&lt;&gt;"ASTM A416"),L196,0),3)</f>
        <v/>
      </c>
      <c r="W196" s="16">
        <f>ROUND(W194+IF(AND(E196=25,F196&lt;&gt;"ASTM A416"),L196,0),3)</f>
        <v/>
      </c>
      <c r="X196" s="16">
        <f>ROUND(X194+IF(AND(E196=28,F196&lt;&gt;"ASTM A416"),L196,0),3)</f>
        <v/>
      </c>
      <c r="Y196" s="16">
        <f>ROUND(Y194+IF(AND(E196=32,F196&lt;&gt;"ASTM A416"),L196,0),3)</f>
        <v/>
      </c>
      <c r="Z196" s="16">
        <f>ROUND(Z194+IF(F196="ASTM A416",L196,0),3)</f>
        <v/>
      </c>
      <c r="AA196" s="9">
        <f>IF(ROUNDUP(P196/20,0)&gt;ROUNDUP(P194/20,0),"Lần " &amp; ROUNDUP(P196/20,0),"")</f>
        <v/>
      </c>
      <c r="AB196" s="9">
        <f>IF(ROUNDUP(Q196/20,0)&gt;ROUNDUP(Q194/20,0),"Lần " &amp; ROUNDUP(Q196/20,0),"")</f>
        <v/>
      </c>
      <c r="AC196" s="9">
        <f>IF(ROUNDUP(R196/20,0)&gt;ROUNDUP(R194/20,0),"Lần " &amp; ROUNDUP(R196/20,0),"")</f>
        <v/>
      </c>
      <c r="AD196" s="9">
        <f>IF(ROUNDUP(S196/20,0)&gt;ROUNDUP(S194/20,0),"Lần " &amp; ROUNDUP(S196/20,0),"")</f>
        <v/>
      </c>
      <c r="AE196" s="9">
        <f>IF(ROUNDUP(T196/20,0)&gt;ROUNDUP(T194/20,0),"Lần " &amp; ROUNDUP(T196/20,0),"")</f>
        <v/>
      </c>
      <c r="AF196" s="9">
        <f>IF(ROUNDUP(U196/20,0)&gt;ROUNDUP(U194/20,0),"Lần " &amp; ROUNDUP(U196/20,0),"")</f>
        <v/>
      </c>
      <c r="AG196" s="9">
        <f>IF(ROUNDUP(V196/20,0)&gt;ROUNDUP(V194/20,0),"Lần " &amp; ROUNDUP(V196/20,0),"")</f>
        <v/>
      </c>
      <c r="AH196" s="9">
        <f>IF(ROUNDUP(W196/20,0)&gt;ROUNDUP(W194/20,0),"Lần " &amp; ROUNDUP(W196/20,0),"")</f>
        <v/>
      </c>
      <c r="AI196" s="9">
        <f>IF(ROUNDUP(X196/20,0)&gt;ROUNDUP(X194/20,0),"Lần " &amp; ROUNDUP(X196/20,0),"")</f>
        <v/>
      </c>
      <c r="AJ196" s="9">
        <f>IF(ROUNDUP(Y196/20,0)&gt;ROUNDUP(Y194/20,0),"Lần " &amp; ROUNDUP(Y196/20,0),"")</f>
        <v/>
      </c>
      <c r="AK196" s="9">
        <f>IF(ROUNDUP(Z196/20,0)&gt;ROUNDUP(Z194/20,0),"Lần " &amp; ROUNDUP(Z196/20,0),"")</f>
        <v/>
      </c>
      <c r="AL196" s="4" t="n"/>
      <c r="AN196" s="596" t="inlineStr">
        <is>
          <t>Coc</t>
        </is>
      </c>
      <c r="AO196" s="596" t="n">
        <v>16</v>
      </c>
      <c r="AQ196" s="594" t="n"/>
      <c r="AR196" s="595" t="n"/>
    </row>
    <row r="197" ht="19" customHeight="1" s="672">
      <c r="A197" s="4" t="n">
        <v>182</v>
      </c>
      <c r="B197" s="5" t="inlineStr">
        <is>
          <t>Cọc khoan nhồi C7 Trụ T1 (D1.2m, L=40.0m)</t>
        </is>
      </c>
      <c r="C197" s="5" t="inlineStr">
        <is>
          <t>Cọc trụ T1 L=40m (tr.68)</t>
        </is>
      </c>
      <c r="D197" s="14" t="inlineStr">
        <is>
          <t>P1A</t>
        </is>
      </c>
      <c r="E197" s="15" t="n">
        <v>10</v>
      </c>
      <c r="F197" s="4" t="inlineStr">
        <is>
          <t>CB240-T</t>
        </is>
      </c>
      <c r="G197" s="5" t="inlineStr"/>
      <c r="H197" s="16" t="n">
        <v>389.636</v>
      </c>
      <c r="I197" s="17" t="n">
        <v>1</v>
      </c>
      <c r="J197" s="18" t="n">
        <v>0.617</v>
      </c>
      <c r="K197" s="7">
        <f>ROUND(H197*I197*J197, 2)</f>
        <v/>
      </c>
      <c r="L197" s="19">
        <f>ROUND(K197/1000, 3)</f>
        <v/>
      </c>
      <c r="M197" s="728">
        <f>IF(AO197="","",IF(N(INDEX(Theo_Doi_Tan_Suat_Be_Tong!$C:$C,AO197))&lt;=0,"",INDEX(Theo_Doi_Tan_Suat_Be_Tong!$C:$C,AO197)-VLOOKUP(AN197,$AQ$2:$AR$7,2,FALSE)))</f>
        <v/>
      </c>
      <c r="N197" s="4" t="n"/>
      <c r="O197" s="20">
        <f>IF(ROUNDUP(P197/20,0)&gt;ROUNDUP(P196/20,0),"TN Ø10 (Lần " &amp; ROUNDUP(P197/20,0) &amp; ")","")</f>
        <v/>
      </c>
      <c r="P197" s="16">
        <f>ROUND(P196+IF(AND(E197&lt;=10,F197&lt;&gt;"ASTM A416"),L197,0),3)</f>
        <v/>
      </c>
      <c r="Q197" s="16">
        <f>ROUND(Q196+IF(AND(E197=12,F197&lt;&gt;"ASTM A416"),L197,0),3)</f>
        <v/>
      </c>
      <c r="R197" s="16">
        <f>ROUND(R196+IF(AND(E197=14,F197&lt;&gt;"ASTM A416"),L197,0),3)</f>
        <v/>
      </c>
      <c r="S197" s="16">
        <f>ROUND(S196+IF(AND(E197=16,F197&lt;&gt;"ASTM A416"),L197,0),3)</f>
        <v/>
      </c>
      <c r="T197" s="16">
        <f>ROUND(T196+IF(AND(E197=18,F197&lt;&gt;"ASTM A416"),L197,0),3)</f>
        <v/>
      </c>
      <c r="U197" s="16">
        <f>ROUND(U196+IF(AND(E197=20,F197&lt;&gt;"ASTM A416"),L197,0),3)</f>
        <v/>
      </c>
      <c r="V197" s="16">
        <f>ROUND(V196+IF(AND(E197=22,F197&lt;&gt;"ASTM A416"),L197,0),3)</f>
        <v/>
      </c>
      <c r="W197" s="16">
        <f>ROUND(W196+IF(AND(E197=25,F197&lt;&gt;"ASTM A416"),L197,0),3)</f>
        <v/>
      </c>
      <c r="X197" s="16">
        <f>ROUND(X196+IF(AND(E197=28,F197&lt;&gt;"ASTM A416"),L197,0),3)</f>
        <v/>
      </c>
      <c r="Y197" s="16">
        <f>ROUND(Y196+IF(AND(E197=32,F197&lt;&gt;"ASTM A416"),L197,0),3)</f>
        <v/>
      </c>
      <c r="Z197" s="16">
        <f>ROUND(Z196+IF(F197="ASTM A416",L197,0),3)</f>
        <v/>
      </c>
      <c r="AA197" s="9">
        <f>IF(ROUNDUP(P197/20,0)&gt;ROUNDUP(P196/20,0),"Lần " &amp; ROUNDUP(P197/20,0),"")</f>
        <v/>
      </c>
      <c r="AB197" s="9">
        <f>IF(ROUNDUP(Q197/20,0)&gt;ROUNDUP(Q196/20,0),"Lần " &amp; ROUNDUP(Q197/20,0),"")</f>
        <v/>
      </c>
      <c r="AC197" s="9">
        <f>IF(ROUNDUP(R197/20,0)&gt;ROUNDUP(R196/20,0),"Lần " &amp; ROUNDUP(R197/20,0),"")</f>
        <v/>
      </c>
      <c r="AD197" s="9">
        <f>IF(ROUNDUP(S197/20,0)&gt;ROUNDUP(S196/20,0),"Lần " &amp; ROUNDUP(S197/20,0),"")</f>
        <v/>
      </c>
      <c r="AE197" s="9">
        <f>IF(ROUNDUP(T197/20,0)&gt;ROUNDUP(T196/20,0),"Lần " &amp; ROUNDUP(T197/20,0),"")</f>
        <v/>
      </c>
      <c r="AF197" s="9">
        <f>IF(ROUNDUP(U197/20,0)&gt;ROUNDUP(U196/20,0),"Lần " &amp; ROUNDUP(U197/20,0),"")</f>
        <v/>
      </c>
      <c r="AG197" s="9">
        <f>IF(ROUNDUP(V197/20,0)&gt;ROUNDUP(V196/20,0),"Lần " &amp; ROUNDUP(V197/20,0),"")</f>
        <v/>
      </c>
      <c r="AH197" s="9">
        <f>IF(ROUNDUP(W197/20,0)&gt;ROUNDUP(W196/20,0),"Lần " &amp; ROUNDUP(W197/20,0),"")</f>
        <v/>
      </c>
      <c r="AI197" s="9">
        <f>IF(ROUNDUP(X197/20,0)&gt;ROUNDUP(X196/20,0),"Lần " &amp; ROUNDUP(X197/20,0),"")</f>
        <v/>
      </c>
      <c r="AJ197" s="9">
        <f>IF(ROUNDUP(Y197/20,0)&gt;ROUNDUP(Y196/20,0),"Lần " &amp; ROUNDUP(Y197/20,0),"")</f>
        <v/>
      </c>
      <c r="AK197" s="9">
        <f>IF(ROUNDUP(Z197/20,0)&gt;ROUNDUP(Z196/20,0),"Lần " &amp; ROUNDUP(Z197/20,0),"")</f>
        <v/>
      </c>
      <c r="AL197" s="4" t="n"/>
      <c r="AN197" s="596" t="inlineStr">
        <is>
          <t>Coc</t>
        </is>
      </c>
      <c r="AO197" s="596" t="n">
        <v>16</v>
      </c>
      <c r="AQ197" s="594" t="n"/>
      <c r="AR197" s="595" t="n"/>
    </row>
    <row r="198" ht="19" customHeight="1" s="672">
      <c r="A198" s="4" t="n">
        <v>183</v>
      </c>
      <c r="B198" s="5" t="inlineStr">
        <is>
          <t>Cọc khoan nhồi C7 Trụ T1 (D1.2m, L=40.0m)</t>
        </is>
      </c>
      <c r="C198" s="5" t="inlineStr">
        <is>
          <t>Cọc trụ T1 L=40m (tr.68)</t>
        </is>
      </c>
      <c r="D198" s="14" t="inlineStr">
        <is>
          <t>P1B</t>
        </is>
      </c>
      <c r="E198" s="15" t="n">
        <v>10</v>
      </c>
      <c r="F198" s="4" t="inlineStr">
        <is>
          <t>CB240-T</t>
        </is>
      </c>
      <c r="G198" s="5" t="inlineStr"/>
      <c r="H198" s="16" t="n">
        <v>206.981</v>
      </c>
      <c r="I198" s="17" t="n">
        <v>1</v>
      </c>
      <c r="J198" s="18" t="n">
        <v>0.617</v>
      </c>
      <c r="K198" s="7">
        <f>ROUND(H198*I198*J198, 2)</f>
        <v/>
      </c>
      <c r="L198" s="19">
        <f>ROUND(K198/1000, 3)</f>
        <v/>
      </c>
      <c r="M198" s="728">
        <f>IF(AO198="","",IF(N(INDEX(Theo_Doi_Tan_Suat_Be_Tong!$C:$C,AO198))&lt;=0,"",INDEX(Theo_Doi_Tan_Suat_Be_Tong!$C:$C,AO198)-VLOOKUP(AN198,$AQ$2:$AR$7,2,FALSE)))</f>
        <v/>
      </c>
      <c r="N198" s="4" t="n"/>
      <c r="O198" s="20">
        <f>IF(ROUNDUP(P198/20,0)&gt;ROUNDUP(P197/20,0),"TN Ø10 (Lần " &amp; ROUNDUP(P198/20,0) &amp; ")","")</f>
        <v/>
      </c>
      <c r="P198" s="16">
        <f>ROUND(P197+IF(AND(E198&lt;=10,F198&lt;&gt;"ASTM A416"),L198,0),3)</f>
        <v/>
      </c>
      <c r="Q198" s="16">
        <f>ROUND(Q197+IF(AND(E198=12,F198&lt;&gt;"ASTM A416"),L198,0),3)</f>
        <v/>
      </c>
      <c r="R198" s="16">
        <f>ROUND(R197+IF(AND(E198=14,F198&lt;&gt;"ASTM A416"),L198,0),3)</f>
        <v/>
      </c>
      <c r="S198" s="16">
        <f>ROUND(S197+IF(AND(E198=16,F198&lt;&gt;"ASTM A416"),L198,0),3)</f>
        <v/>
      </c>
      <c r="T198" s="16">
        <f>ROUND(T197+IF(AND(E198=18,F198&lt;&gt;"ASTM A416"),L198,0),3)</f>
        <v/>
      </c>
      <c r="U198" s="16">
        <f>ROUND(U197+IF(AND(E198=20,F198&lt;&gt;"ASTM A416"),L198,0),3)</f>
        <v/>
      </c>
      <c r="V198" s="16">
        <f>ROUND(V197+IF(AND(E198=22,F198&lt;&gt;"ASTM A416"),L198,0),3)</f>
        <v/>
      </c>
      <c r="W198" s="16">
        <f>ROUND(W197+IF(AND(E198=25,F198&lt;&gt;"ASTM A416"),L198,0),3)</f>
        <v/>
      </c>
      <c r="X198" s="16">
        <f>ROUND(X197+IF(AND(E198=28,F198&lt;&gt;"ASTM A416"),L198,0),3)</f>
        <v/>
      </c>
      <c r="Y198" s="16">
        <f>ROUND(Y197+IF(AND(E198=32,F198&lt;&gt;"ASTM A416"),L198,0),3)</f>
        <v/>
      </c>
      <c r="Z198" s="16">
        <f>ROUND(Z197+IF(F198="ASTM A416",L198,0),3)</f>
        <v/>
      </c>
      <c r="AA198" s="9">
        <f>IF(ROUNDUP(P198/20,0)&gt;ROUNDUP(P197/20,0),"Lần " &amp; ROUNDUP(P198/20,0),"")</f>
        <v/>
      </c>
      <c r="AB198" s="9">
        <f>IF(ROUNDUP(Q198/20,0)&gt;ROUNDUP(Q197/20,0),"Lần " &amp; ROUNDUP(Q198/20,0),"")</f>
        <v/>
      </c>
      <c r="AC198" s="9">
        <f>IF(ROUNDUP(R198/20,0)&gt;ROUNDUP(R197/20,0),"Lần " &amp; ROUNDUP(R198/20,0),"")</f>
        <v/>
      </c>
      <c r="AD198" s="9">
        <f>IF(ROUNDUP(S198/20,0)&gt;ROUNDUP(S197/20,0),"Lần " &amp; ROUNDUP(S198/20,0),"")</f>
        <v/>
      </c>
      <c r="AE198" s="9">
        <f>IF(ROUNDUP(T198/20,0)&gt;ROUNDUP(T197/20,0),"Lần " &amp; ROUNDUP(T198/20,0),"")</f>
        <v/>
      </c>
      <c r="AF198" s="9">
        <f>IF(ROUNDUP(U198/20,0)&gt;ROUNDUP(U197/20,0),"Lần " &amp; ROUNDUP(U198/20,0),"")</f>
        <v/>
      </c>
      <c r="AG198" s="9">
        <f>IF(ROUNDUP(V198/20,0)&gt;ROUNDUP(V197/20,0),"Lần " &amp; ROUNDUP(V198/20,0),"")</f>
        <v/>
      </c>
      <c r="AH198" s="9">
        <f>IF(ROUNDUP(W198/20,0)&gt;ROUNDUP(W197/20,0),"Lần " &amp; ROUNDUP(W198/20,0),"")</f>
        <v/>
      </c>
      <c r="AI198" s="9">
        <f>IF(ROUNDUP(X198/20,0)&gt;ROUNDUP(X197/20,0),"Lần " &amp; ROUNDUP(X198/20,0),"")</f>
        <v/>
      </c>
      <c r="AJ198" s="9">
        <f>IF(ROUNDUP(Y198/20,0)&gt;ROUNDUP(Y197/20,0),"Lần " &amp; ROUNDUP(Y198/20,0),"")</f>
        <v/>
      </c>
      <c r="AK198" s="9">
        <f>IF(ROUNDUP(Z198/20,0)&gt;ROUNDUP(Z197/20,0),"Lần " &amp; ROUNDUP(Z198/20,0),"")</f>
        <v/>
      </c>
      <c r="AL198" s="4" t="n"/>
      <c r="AN198" s="596" t="inlineStr">
        <is>
          <t>Coc</t>
        </is>
      </c>
      <c r="AO198" s="596" t="n">
        <v>16</v>
      </c>
      <c r="AQ198" s="594" t="n"/>
      <c r="AR198" s="595" t="n"/>
    </row>
    <row r="199" ht="19" customHeight="1" s="672">
      <c r="A199" s="4" t="n">
        <v>184</v>
      </c>
      <c r="B199" s="5" t="inlineStr">
        <is>
          <t>Cọc khoan nhồi C7 Trụ T1 (D1.2m, L=40.0m)</t>
        </is>
      </c>
      <c r="C199" s="5" t="inlineStr">
        <is>
          <t>Cọc trụ T1 L=40m (tr.68)</t>
        </is>
      </c>
      <c r="D199" s="14" t="inlineStr">
        <is>
          <t>P1C</t>
        </is>
      </c>
      <c r="E199" s="15" t="n">
        <v>10</v>
      </c>
      <c r="F199" s="4" t="inlineStr">
        <is>
          <t>CB240-T</t>
        </is>
      </c>
      <c r="G199" s="5" t="inlineStr"/>
      <c r="H199" s="16" t="n">
        <v>3.592</v>
      </c>
      <c r="I199" s="17" t="n">
        <v>2</v>
      </c>
      <c r="J199" s="18" t="n">
        <v>0.617</v>
      </c>
      <c r="K199" s="7">
        <f>ROUND(H199*I199*J199, 2)</f>
        <v/>
      </c>
      <c r="L199" s="19">
        <f>ROUND(K199/1000, 3)</f>
        <v/>
      </c>
      <c r="M199" s="728">
        <f>IF(AO199="","",IF(N(INDEX(Theo_Doi_Tan_Suat_Be_Tong!$C:$C,AO199))&lt;=0,"",INDEX(Theo_Doi_Tan_Suat_Be_Tong!$C:$C,AO199)-VLOOKUP(AN199,$AQ$2:$AR$7,2,FALSE)))</f>
        <v/>
      </c>
      <c r="N199" s="4" t="n"/>
      <c r="O199" s="20">
        <f>IF(ROUNDUP(P199/20,0)&gt;ROUNDUP(P198/20,0),"TN Ø10 (Lần " &amp; ROUNDUP(P199/20,0) &amp; ")","")</f>
        <v/>
      </c>
      <c r="P199" s="16">
        <f>ROUND(P198+IF(AND(E199&lt;=10,F199&lt;&gt;"ASTM A416"),L199,0),3)</f>
        <v/>
      </c>
      <c r="Q199" s="16">
        <f>ROUND(Q198+IF(AND(E199=12,F199&lt;&gt;"ASTM A416"),L199,0),3)</f>
        <v/>
      </c>
      <c r="R199" s="16">
        <f>ROUND(R198+IF(AND(E199=14,F199&lt;&gt;"ASTM A416"),L199,0),3)</f>
        <v/>
      </c>
      <c r="S199" s="16">
        <f>ROUND(S198+IF(AND(E199=16,F199&lt;&gt;"ASTM A416"),L199,0),3)</f>
        <v/>
      </c>
      <c r="T199" s="16">
        <f>ROUND(T198+IF(AND(E199=18,F199&lt;&gt;"ASTM A416"),L199,0),3)</f>
        <v/>
      </c>
      <c r="U199" s="16">
        <f>ROUND(U198+IF(AND(E199=20,F199&lt;&gt;"ASTM A416"),L199,0),3)</f>
        <v/>
      </c>
      <c r="V199" s="16">
        <f>ROUND(V198+IF(AND(E199=22,F199&lt;&gt;"ASTM A416"),L199,0),3)</f>
        <v/>
      </c>
      <c r="W199" s="16">
        <f>ROUND(W198+IF(AND(E199=25,F199&lt;&gt;"ASTM A416"),L199,0),3)</f>
        <v/>
      </c>
      <c r="X199" s="16">
        <f>ROUND(X198+IF(AND(E199=28,F199&lt;&gt;"ASTM A416"),L199,0),3)</f>
        <v/>
      </c>
      <c r="Y199" s="16">
        <f>ROUND(Y198+IF(AND(E199=32,F199&lt;&gt;"ASTM A416"),L199,0),3)</f>
        <v/>
      </c>
      <c r="Z199" s="16">
        <f>ROUND(Z198+IF(F199="ASTM A416",L199,0),3)</f>
        <v/>
      </c>
      <c r="AA199" s="9">
        <f>IF(ROUNDUP(P199/20,0)&gt;ROUNDUP(P198/20,0),"Lần " &amp; ROUNDUP(P199/20,0),"")</f>
        <v/>
      </c>
      <c r="AB199" s="9">
        <f>IF(ROUNDUP(Q199/20,0)&gt;ROUNDUP(Q198/20,0),"Lần " &amp; ROUNDUP(Q199/20,0),"")</f>
        <v/>
      </c>
      <c r="AC199" s="9">
        <f>IF(ROUNDUP(R199/20,0)&gt;ROUNDUP(R198/20,0),"Lần " &amp; ROUNDUP(R199/20,0),"")</f>
        <v/>
      </c>
      <c r="AD199" s="9">
        <f>IF(ROUNDUP(S199/20,0)&gt;ROUNDUP(S198/20,0),"Lần " &amp; ROUNDUP(S199/20,0),"")</f>
        <v/>
      </c>
      <c r="AE199" s="9">
        <f>IF(ROUNDUP(T199/20,0)&gt;ROUNDUP(T198/20,0),"Lần " &amp; ROUNDUP(T199/20,0),"")</f>
        <v/>
      </c>
      <c r="AF199" s="9">
        <f>IF(ROUNDUP(U199/20,0)&gt;ROUNDUP(U198/20,0),"Lần " &amp; ROUNDUP(U199/20,0),"")</f>
        <v/>
      </c>
      <c r="AG199" s="9">
        <f>IF(ROUNDUP(V199/20,0)&gt;ROUNDUP(V198/20,0),"Lần " &amp; ROUNDUP(V199/20,0),"")</f>
        <v/>
      </c>
      <c r="AH199" s="9">
        <f>IF(ROUNDUP(W199/20,0)&gt;ROUNDUP(W198/20,0),"Lần " &amp; ROUNDUP(W199/20,0),"")</f>
        <v/>
      </c>
      <c r="AI199" s="9">
        <f>IF(ROUNDUP(X199/20,0)&gt;ROUNDUP(X198/20,0),"Lần " &amp; ROUNDUP(X199/20,0),"")</f>
        <v/>
      </c>
      <c r="AJ199" s="9">
        <f>IF(ROUNDUP(Y199/20,0)&gt;ROUNDUP(Y198/20,0),"Lần " &amp; ROUNDUP(Y199/20,0),"")</f>
        <v/>
      </c>
      <c r="AK199" s="9">
        <f>IF(ROUNDUP(Z199/20,0)&gt;ROUNDUP(Z198/20,0),"Lần " &amp; ROUNDUP(Z199/20,0),"")</f>
        <v/>
      </c>
      <c r="AL199" s="4" t="n"/>
      <c r="AN199" s="596" t="inlineStr">
        <is>
          <t>Coc</t>
        </is>
      </c>
      <c r="AO199" s="596" t="n">
        <v>16</v>
      </c>
      <c r="AQ199" s="594" t="n"/>
      <c r="AR199" s="595" t="n"/>
    </row>
    <row r="200" ht="19" customHeight="1" s="672">
      <c r="A200" s="4" t="n">
        <v>185</v>
      </c>
      <c r="B200" s="5" t="inlineStr">
        <is>
          <t>Cọc khoan nhồi C7 Trụ T1 (D1.2m, L=40.0m)</t>
        </is>
      </c>
      <c r="C200" s="5" t="inlineStr">
        <is>
          <t>Cọc trụ T1 L=40m (tr.68)</t>
        </is>
      </c>
      <c r="D200" s="14" t="inlineStr">
        <is>
          <t>P1D</t>
        </is>
      </c>
      <c r="E200" s="15" t="n">
        <v>10</v>
      </c>
      <c r="F200" s="4" t="inlineStr">
        <is>
          <t>CB240-T</t>
        </is>
      </c>
      <c r="G200" s="5" t="inlineStr"/>
      <c r="H200" s="16" t="n">
        <v>19.721</v>
      </c>
      <c r="I200" s="17" t="n">
        <v>1</v>
      </c>
      <c r="J200" s="18" t="n">
        <v>0.617</v>
      </c>
      <c r="K200" s="7">
        <f>ROUND(H200*I200*J200, 2)</f>
        <v/>
      </c>
      <c r="L200" s="19">
        <f>ROUND(K200/1000, 3)</f>
        <v/>
      </c>
      <c r="M200" s="728">
        <f>IF(AO200="","",IF(N(INDEX(Theo_Doi_Tan_Suat_Be_Tong!$C:$C,AO200))&lt;=0,"",INDEX(Theo_Doi_Tan_Suat_Be_Tong!$C:$C,AO200)-VLOOKUP(AN200,$AQ$2:$AR$7,2,FALSE)))</f>
        <v/>
      </c>
      <c r="N200" s="4" t="n"/>
      <c r="O200" s="20">
        <f>IF(ROUNDUP(P200/20,0)&gt;ROUNDUP(P199/20,0),"TN Ø10 (Lần " &amp; ROUNDUP(P200/20,0) &amp; ")","")</f>
        <v/>
      </c>
      <c r="P200" s="16">
        <f>ROUND(P199+IF(AND(E200&lt;=10,F200&lt;&gt;"ASTM A416"),L200,0),3)</f>
        <v/>
      </c>
      <c r="Q200" s="16">
        <f>ROUND(Q199+IF(AND(E200=12,F200&lt;&gt;"ASTM A416"),L200,0),3)</f>
        <v/>
      </c>
      <c r="R200" s="16">
        <f>ROUND(R199+IF(AND(E200=14,F200&lt;&gt;"ASTM A416"),L200,0),3)</f>
        <v/>
      </c>
      <c r="S200" s="16">
        <f>ROUND(S199+IF(AND(E200=16,F200&lt;&gt;"ASTM A416"),L200,0),3)</f>
        <v/>
      </c>
      <c r="T200" s="16">
        <f>ROUND(T199+IF(AND(E200=18,F200&lt;&gt;"ASTM A416"),L200,0),3)</f>
        <v/>
      </c>
      <c r="U200" s="16">
        <f>ROUND(U199+IF(AND(E200=20,F200&lt;&gt;"ASTM A416"),L200,0),3)</f>
        <v/>
      </c>
      <c r="V200" s="16">
        <f>ROUND(V199+IF(AND(E200=22,F200&lt;&gt;"ASTM A416"),L200,0),3)</f>
        <v/>
      </c>
      <c r="W200" s="16">
        <f>ROUND(W199+IF(AND(E200=25,F200&lt;&gt;"ASTM A416"),L200,0),3)</f>
        <v/>
      </c>
      <c r="X200" s="16">
        <f>ROUND(X199+IF(AND(E200=28,F200&lt;&gt;"ASTM A416"),L200,0),3)</f>
        <v/>
      </c>
      <c r="Y200" s="16">
        <f>ROUND(Y199+IF(AND(E200=32,F200&lt;&gt;"ASTM A416"),L200,0),3)</f>
        <v/>
      </c>
      <c r="Z200" s="16">
        <f>ROUND(Z199+IF(F200="ASTM A416",L200,0),3)</f>
        <v/>
      </c>
      <c r="AA200" s="9">
        <f>IF(ROUNDUP(P200/20,0)&gt;ROUNDUP(P199/20,0),"Lần " &amp; ROUNDUP(P200/20,0),"")</f>
        <v/>
      </c>
      <c r="AB200" s="9">
        <f>IF(ROUNDUP(Q200/20,0)&gt;ROUNDUP(Q199/20,0),"Lần " &amp; ROUNDUP(Q200/20,0),"")</f>
        <v/>
      </c>
      <c r="AC200" s="9">
        <f>IF(ROUNDUP(R200/20,0)&gt;ROUNDUP(R199/20,0),"Lần " &amp; ROUNDUP(R200/20,0),"")</f>
        <v/>
      </c>
      <c r="AD200" s="9">
        <f>IF(ROUNDUP(S200/20,0)&gt;ROUNDUP(S199/20,0),"Lần " &amp; ROUNDUP(S200/20,0),"")</f>
        <v/>
      </c>
      <c r="AE200" s="9">
        <f>IF(ROUNDUP(T200/20,0)&gt;ROUNDUP(T199/20,0),"Lần " &amp; ROUNDUP(T200/20,0),"")</f>
        <v/>
      </c>
      <c r="AF200" s="9">
        <f>IF(ROUNDUP(U200/20,0)&gt;ROUNDUP(U199/20,0),"Lần " &amp; ROUNDUP(U200/20,0),"")</f>
        <v/>
      </c>
      <c r="AG200" s="9">
        <f>IF(ROUNDUP(V200/20,0)&gt;ROUNDUP(V199/20,0),"Lần " &amp; ROUNDUP(V200/20,0),"")</f>
        <v/>
      </c>
      <c r="AH200" s="9">
        <f>IF(ROUNDUP(W200/20,0)&gt;ROUNDUP(W199/20,0),"Lần " &amp; ROUNDUP(W200/20,0),"")</f>
        <v/>
      </c>
      <c r="AI200" s="9">
        <f>IF(ROUNDUP(X200/20,0)&gt;ROUNDUP(X199/20,0),"Lần " &amp; ROUNDUP(X200/20,0),"")</f>
        <v/>
      </c>
      <c r="AJ200" s="9">
        <f>IF(ROUNDUP(Y200/20,0)&gt;ROUNDUP(Y199/20,0),"Lần " &amp; ROUNDUP(Y200/20,0),"")</f>
        <v/>
      </c>
      <c r="AK200" s="9">
        <f>IF(ROUNDUP(Z200/20,0)&gt;ROUNDUP(Z199/20,0),"Lần " &amp; ROUNDUP(Z200/20,0),"")</f>
        <v/>
      </c>
      <c r="AL200" s="4" t="n"/>
      <c r="AN200" s="596" t="inlineStr">
        <is>
          <t>Coc</t>
        </is>
      </c>
      <c r="AO200" s="596" t="n">
        <v>16</v>
      </c>
      <c r="AQ200" s="594" t="n"/>
      <c r="AR200" s="595" t="n"/>
    </row>
    <row r="201" ht="19" customHeight="1" s="672">
      <c r="A201" s="4" t="n">
        <v>186</v>
      </c>
      <c r="B201" s="5" t="inlineStr">
        <is>
          <t>Cọc khoan nhồi C7 Trụ T1 (D1.2m, L=40.0m)</t>
        </is>
      </c>
      <c r="C201" s="5" t="inlineStr">
        <is>
          <t>Cọc trụ T1 L=40m (tr.68)</t>
        </is>
      </c>
      <c r="D201" s="14" t="inlineStr">
        <is>
          <t>P2B</t>
        </is>
      </c>
      <c r="E201" s="15" t="n">
        <v>25</v>
      </c>
      <c r="F201" s="4" t="inlineStr">
        <is>
          <t>CB400-V</t>
        </is>
      </c>
      <c r="G201" s="5" t="inlineStr"/>
      <c r="H201" s="16" t="n">
        <v>2.985</v>
      </c>
      <c r="I201" s="17" t="n">
        <v>16</v>
      </c>
      <c r="J201" s="18" t="n">
        <v>3.853</v>
      </c>
      <c r="K201" s="7">
        <f>ROUND(H201*I201*J201, 2)</f>
        <v/>
      </c>
      <c r="L201" s="19">
        <f>ROUND(K201/1000, 3)</f>
        <v/>
      </c>
      <c r="M201" s="728">
        <f>IF(AO201="","",IF(N(INDEX(Theo_Doi_Tan_Suat_Be_Tong!$C:$C,AO201))&lt;=0,"",INDEX(Theo_Doi_Tan_Suat_Be_Tong!$C:$C,AO201)-VLOOKUP(AN201,$AQ$2:$AR$7,2,FALSE)))</f>
        <v/>
      </c>
      <c r="N201" s="4" t="n"/>
      <c r="O201" s="20">
        <f>IF(ROUNDUP(W201/20,0)&gt;ROUNDUP(W200/20,0),"TN Ø25 (Lần " &amp; ROUNDUP(W201/20,0) &amp; ")","")</f>
        <v/>
      </c>
      <c r="P201" s="16">
        <f>ROUND(P200+IF(AND(E201&lt;=10,F201&lt;&gt;"ASTM A416"),L201,0),3)</f>
        <v/>
      </c>
      <c r="Q201" s="16">
        <f>ROUND(Q200+IF(AND(E201=12,F201&lt;&gt;"ASTM A416"),L201,0),3)</f>
        <v/>
      </c>
      <c r="R201" s="16">
        <f>ROUND(R200+IF(AND(E201=14,F201&lt;&gt;"ASTM A416"),L201,0),3)</f>
        <v/>
      </c>
      <c r="S201" s="16">
        <f>ROUND(S200+IF(AND(E201=16,F201&lt;&gt;"ASTM A416"),L201,0),3)</f>
        <v/>
      </c>
      <c r="T201" s="16">
        <f>ROUND(T200+IF(AND(E201=18,F201&lt;&gt;"ASTM A416"),L201,0),3)</f>
        <v/>
      </c>
      <c r="U201" s="16">
        <f>ROUND(U200+IF(AND(E201=20,F201&lt;&gt;"ASTM A416"),L201,0),3)</f>
        <v/>
      </c>
      <c r="V201" s="16">
        <f>ROUND(V200+IF(AND(E201=22,F201&lt;&gt;"ASTM A416"),L201,0),3)</f>
        <v/>
      </c>
      <c r="W201" s="16">
        <f>ROUND(W200+IF(AND(E201=25,F201&lt;&gt;"ASTM A416"),L201,0),3)</f>
        <v/>
      </c>
      <c r="X201" s="16">
        <f>ROUND(X200+IF(AND(E201=28,F201&lt;&gt;"ASTM A416"),L201,0),3)</f>
        <v/>
      </c>
      <c r="Y201" s="16">
        <f>ROUND(Y200+IF(AND(E201=32,F201&lt;&gt;"ASTM A416"),L201,0),3)</f>
        <v/>
      </c>
      <c r="Z201" s="16">
        <f>ROUND(Z200+IF(F201="ASTM A416",L201,0),3)</f>
        <v/>
      </c>
      <c r="AA201" s="9">
        <f>IF(ROUNDUP(P201/20,0)&gt;ROUNDUP(P200/20,0),"Lần " &amp; ROUNDUP(P201/20,0),"")</f>
        <v/>
      </c>
      <c r="AB201" s="9">
        <f>IF(ROUNDUP(Q201/20,0)&gt;ROUNDUP(Q200/20,0),"Lần " &amp; ROUNDUP(Q201/20,0),"")</f>
        <v/>
      </c>
      <c r="AC201" s="9">
        <f>IF(ROUNDUP(R201/20,0)&gt;ROUNDUP(R200/20,0),"Lần " &amp; ROUNDUP(R201/20,0),"")</f>
        <v/>
      </c>
      <c r="AD201" s="9">
        <f>IF(ROUNDUP(S201/20,0)&gt;ROUNDUP(S200/20,0),"Lần " &amp; ROUNDUP(S201/20,0),"")</f>
        <v/>
      </c>
      <c r="AE201" s="9">
        <f>IF(ROUNDUP(T201/20,0)&gt;ROUNDUP(T200/20,0),"Lần " &amp; ROUNDUP(T201/20,0),"")</f>
        <v/>
      </c>
      <c r="AF201" s="9">
        <f>IF(ROUNDUP(U201/20,0)&gt;ROUNDUP(U200/20,0),"Lần " &amp; ROUNDUP(U201/20,0),"")</f>
        <v/>
      </c>
      <c r="AG201" s="9">
        <f>IF(ROUNDUP(V201/20,0)&gt;ROUNDUP(V200/20,0),"Lần " &amp; ROUNDUP(V201/20,0),"")</f>
        <v/>
      </c>
      <c r="AH201" s="9">
        <f>IF(ROUNDUP(W201/20,0)&gt;ROUNDUP(W200/20,0),"Lần " &amp; ROUNDUP(W201/20,0),"")</f>
        <v/>
      </c>
      <c r="AI201" s="9">
        <f>IF(ROUNDUP(X201/20,0)&gt;ROUNDUP(X200/20,0),"Lần " &amp; ROUNDUP(X201/20,0),"")</f>
        <v/>
      </c>
      <c r="AJ201" s="9">
        <f>IF(ROUNDUP(Y201/20,0)&gt;ROUNDUP(Y200/20,0),"Lần " &amp; ROUNDUP(Y201/20,0),"")</f>
        <v/>
      </c>
      <c r="AK201" s="9">
        <f>IF(ROUNDUP(Z201/20,0)&gt;ROUNDUP(Z200/20,0),"Lần " &amp; ROUNDUP(Z201/20,0),"")</f>
        <v/>
      </c>
      <c r="AL201" s="4" t="n"/>
      <c r="AN201" s="596" t="inlineStr">
        <is>
          <t>Coc</t>
        </is>
      </c>
      <c r="AO201" s="596" t="n">
        <v>16</v>
      </c>
      <c r="AQ201" s="594" t="n"/>
      <c r="AR201" s="595" t="n"/>
    </row>
    <row r="202" ht="19" customHeight="1" s="672">
      <c r="A202" s="4" t="n">
        <v>187</v>
      </c>
      <c r="B202" s="5" t="inlineStr">
        <is>
          <t>Cọc khoan nhồi C7 Trụ T1 (D1.2m, L=40.0m)</t>
        </is>
      </c>
      <c r="C202" s="5" t="inlineStr">
        <is>
          <t>Cọc trụ T1 L=40m (tr.68)</t>
        </is>
      </c>
      <c r="D202" s="14" t="inlineStr">
        <is>
          <t>P3</t>
        </is>
      </c>
      <c r="E202" s="15" t="n">
        <v>25</v>
      </c>
      <c r="F202" s="4" t="inlineStr">
        <is>
          <t>CB400-V</t>
        </is>
      </c>
      <c r="G202" s="5" t="inlineStr"/>
      <c r="H202" s="16" t="n">
        <v>10.7</v>
      </c>
      <c r="I202" s="17" t="n">
        <v>12</v>
      </c>
      <c r="J202" s="18" t="n">
        <v>3.853</v>
      </c>
      <c r="K202" s="7">
        <f>ROUND(H202*I202*J202, 2)</f>
        <v/>
      </c>
      <c r="L202" s="19">
        <f>ROUND(K202/1000, 3)</f>
        <v/>
      </c>
      <c r="M202" s="728">
        <f>IF(AO202="","",IF(N(INDEX(Theo_Doi_Tan_Suat_Be_Tong!$C:$C,AO202))&lt;=0,"",INDEX(Theo_Doi_Tan_Suat_Be_Tong!$C:$C,AO202)-VLOOKUP(AN202,$AQ$2:$AR$7,2,FALSE)))</f>
        <v/>
      </c>
      <c r="N202" s="4" t="n"/>
      <c r="O202" s="20">
        <f>IF(ROUNDUP(W202/20,0)&gt;ROUNDUP(W201/20,0),"TN Ø25 (Lần " &amp; ROUNDUP(W202/20,0) &amp; ")","")</f>
        <v/>
      </c>
      <c r="P202" s="16">
        <f>ROUND(P201+IF(AND(E202&lt;=10,F202&lt;&gt;"ASTM A416"),L202,0),3)</f>
        <v/>
      </c>
      <c r="Q202" s="16">
        <f>ROUND(Q201+IF(AND(E202=12,F202&lt;&gt;"ASTM A416"),L202,0),3)</f>
        <v/>
      </c>
      <c r="R202" s="16">
        <f>ROUND(R201+IF(AND(E202=14,F202&lt;&gt;"ASTM A416"),L202,0),3)</f>
        <v/>
      </c>
      <c r="S202" s="16">
        <f>ROUND(S201+IF(AND(E202=16,F202&lt;&gt;"ASTM A416"),L202,0),3)</f>
        <v/>
      </c>
      <c r="T202" s="16">
        <f>ROUND(T201+IF(AND(E202=18,F202&lt;&gt;"ASTM A416"),L202,0),3)</f>
        <v/>
      </c>
      <c r="U202" s="16">
        <f>ROUND(U201+IF(AND(E202=20,F202&lt;&gt;"ASTM A416"),L202,0),3)</f>
        <v/>
      </c>
      <c r="V202" s="16">
        <f>ROUND(V201+IF(AND(E202=22,F202&lt;&gt;"ASTM A416"),L202,0),3)</f>
        <v/>
      </c>
      <c r="W202" s="16">
        <f>ROUND(W201+IF(AND(E202=25,F202&lt;&gt;"ASTM A416"),L202,0),3)</f>
        <v/>
      </c>
      <c r="X202" s="16">
        <f>ROUND(X201+IF(AND(E202=28,F202&lt;&gt;"ASTM A416"),L202,0),3)</f>
        <v/>
      </c>
      <c r="Y202" s="16">
        <f>ROUND(Y201+IF(AND(E202=32,F202&lt;&gt;"ASTM A416"),L202,0),3)</f>
        <v/>
      </c>
      <c r="Z202" s="16">
        <f>ROUND(Z201+IF(F202="ASTM A416",L202,0),3)</f>
        <v/>
      </c>
      <c r="AA202" s="9">
        <f>IF(ROUNDUP(P202/20,0)&gt;ROUNDUP(P201/20,0),"Lần " &amp; ROUNDUP(P202/20,0),"")</f>
        <v/>
      </c>
      <c r="AB202" s="9">
        <f>IF(ROUNDUP(Q202/20,0)&gt;ROUNDUP(Q201/20,0),"Lần " &amp; ROUNDUP(Q202/20,0),"")</f>
        <v/>
      </c>
      <c r="AC202" s="9">
        <f>IF(ROUNDUP(R202/20,0)&gt;ROUNDUP(R201/20,0),"Lần " &amp; ROUNDUP(R202/20,0),"")</f>
        <v/>
      </c>
      <c r="AD202" s="9">
        <f>IF(ROUNDUP(S202/20,0)&gt;ROUNDUP(S201/20,0),"Lần " &amp; ROUNDUP(S202/20,0),"")</f>
        <v/>
      </c>
      <c r="AE202" s="9">
        <f>IF(ROUNDUP(T202/20,0)&gt;ROUNDUP(T201/20,0),"Lần " &amp; ROUNDUP(T202/20,0),"")</f>
        <v/>
      </c>
      <c r="AF202" s="9">
        <f>IF(ROUNDUP(U202/20,0)&gt;ROUNDUP(U201/20,0),"Lần " &amp; ROUNDUP(U202/20,0),"")</f>
        <v/>
      </c>
      <c r="AG202" s="9">
        <f>IF(ROUNDUP(V202/20,0)&gt;ROUNDUP(V201/20,0),"Lần " &amp; ROUNDUP(V202/20,0),"")</f>
        <v/>
      </c>
      <c r="AH202" s="9">
        <f>IF(ROUNDUP(W202/20,0)&gt;ROUNDUP(W201/20,0),"Lần " &amp; ROUNDUP(W202/20,0),"")</f>
        <v/>
      </c>
      <c r="AI202" s="9">
        <f>IF(ROUNDUP(X202/20,0)&gt;ROUNDUP(X201/20,0),"Lần " &amp; ROUNDUP(X202/20,0),"")</f>
        <v/>
      </c>
      <c r="AJ202" s="9">
        <f>IF(ROUNDUP(Y202/20,0)&gt;ROUNDUP(Y201/20,0),"Lần " &amp; ROUNDUP(Y202/20,0),"")</f>
        <v/>
      </c>
      <c r="AK202" s="9">
        <f>IF(ROUNDUP(Z202/20,0)&gt;ROUNDUP(Z201/20,0),"Lần " &amp; ROUNDUP(Z202/20,0),"")</f>
        <v/>
      </c>
      <c r="AL202" s="4" t="n"/>
      <c r="AN202" s="596" t="inlineStr">
        <is>
          <t>Coc</t>
        </is>
      </c>
      <c r="AO202" s="596" t="n">
        <v>16</v>
      </c>
      <c r="AQ202" s="594" t="n"/>
      <c r="AR202" s="595" t="n"/>
    </row>
    <row r="203" ht="19" customHeight="1" s="672">
      <c r="A203" s="4" t="n">
        <v>188</v>
      </c>
      <c r="B203" s="5" t="inlineStr">
        <is>
          <t>Cọc khoan nhồi C7 Trụ T1 (D1.2m, L=40.0m)</t>
        </is>
      </c>
      <c r="C203" s="5" t="inlineStr">
        <is>
          <t>Cọc trụ T1 L=40m (tr.68)</t>
        </is>
      </c>
      <c r="D203" s="14" t="inlineStr">
        <is>
          <t>P4</t>
        </is>
      </c>
      <c r="E203" s="15" t="n">
        <v>25</v>
      </c>
      <c r="F203" s="4" t="inlineStr">
        <is>
          <t>CB400-V</t>
        </is>
      </c>
      <c r="G203" s="5" t="inlineStr"/>
      <c r="H203" s="16" t="n">
        <v>11.7</v>
      </c>
      <c r="I203" s="17" t="n">
        <v>60</v>
      </c>
      <c r="J203" s="18" t="n">
        <v>3.853</v>
      </c>
      <c r="K203" s="7">
        <f>ROUND(H203*I203*J203, 2)</f>
        <v/>
      </c>
      <c r="L203" s="19">
        <f>ROUND(K203/1000, 3)</f>
        <v/>
      </c>
      <c r="M203" s="728">
        <f>IF(AO203="","",IF(N(INDEX(Theo_Doi_Tan_Suat_Be_Tong!$C:$C,AO203))&lt;=0,"",INDEX(Theo_Doi_Tan_Suat_Be_Tong!$C:$C,AO203)-VLOOKUP(AN203,$AQ$2:$AR$7,2,FALSE)))</f>
        <v/>
      </c>
      <c r="N203" s="4" t="n"/>
      <c r="O203" s="20">
        <f>IF(ROUNDUP(W203/20,0)&gt;ROUNDUP(W202/20,0),"TN Ø25 (Lần " &amp; ROUNDUP(W203/20,0) &amp; ")","")</f>
        <v/>
      </c>
      <c r="P203" s="16">
        <f>ROUND(P202+IF(AND(E203&lt;=10,F203&lt;&gt;"ASTM A416"),L203,0),3)</f>
        <v/>
      </c>
      <c r="Q203" s="16">
        <f>ROUND(Q202+IF(AND(E203=12,F203&lt;&gt;"ASTM A416"),L203,0),3)</f>
        <v/>
      </c>
      <c r="R203" s="16">
        <f>ROUND(R202+IF(AND(E203=14,F203&lt;&gt;"ASTM A416"),L203,0),3)</f>
        <v/>
      </c>
      <c r="S203" s="16">
        <f>ROUND(S202+IF(AND(E203=16,F203&lt;&gt;"ASTM A416"),L203,0),3)</f>
        <v/>
      </c>
      <c r="T203" s="16">
        <f>ROUND(T202+IF(AND(E203=18,F203&lt;&gt;"ASTM A416"),L203,0),3)</f>
        <v/>
      </c>
      <c r="U203" s="16">
        <f>ROUND(U202+IF(AND(E203=20,F203&lt;&gt;"ASTM A416"),L203,0),3)</f>
        <v/>
      </c>
      <c r="V203" s="16">
        <f>ROUND(V202+IF(AND(E203=22,F203&lt;&gt;"ASTM A416"),L203,0),3)</f>
        <v/>
      </c>
      <c r="W203" s="16">
        <f>ROUND(W202+IF(AND(E203=25,F203&lt;&gt;"ASTM A416"),L203,0),3)</f>
        <v/>
      </c>
      <c r="X203" s="16">
        <f>ROUND(X202+IF(AND(E203=28,F203&lt;&gt;"ASTM A416"),L203,0),3)</f>
        <v/>
      </c>
      <c r="Y203" s="16">
        <f>ROUND(Y202+IF(AND(E203=32,F203&lt;&gt;"ASTM A416"),L203,0),3)</f>
        <v/>
      </c>
      <c r="Z203" s="16">
        <f>ROUND(Z202+IF(F203="ASTM A416",L203,0),3)</f>
        <v/>
      </c>
      <c r="AA203" s="9">
        <f>IF(ROUNDUP(P203/20,0)&gt;ROUNDUP(P202/20,0),"Lần " &amp; ROUNDUP(P203/20,0),"")</f>
        <v/>
      </c>
      <c r="AB203" s="9">
        <f>IF(ROUNDUP(Q203/20,0)&gt;ROUNDUP(Q202/20,0),"Lần " &amp; ROUNDUP(Q203/20,0),"")</f>
        <v/>
      </c>
      <c r="AC203" s="9">
        <f>IF(ROUNDUP(R203/20,0)&gt;ROUNDUP(R202/20,0),"Lần " &amp; ROUNDUP(R203/20,0),"")</f>
        <v/>
      </c>
      <c r="AD203" s="9">
        <f>IF(ROUNDUP(S203/20,0)&gt;ROUNDUP(S202/20,0),"Lần " &amp; ROUNDUP(S203/20,0),"")</f>
        <v/>
      </c>
      <c r="AE203" s="9">
        <f>IF(ROUNDUP(T203/20,0)&gt;ROUNDUP(T202/20,0),"Lần " &amp; ROUNDUP(T203/20,0),"")</f>
        <v/>
      </c>
      <c r="AF203" s="9">
        <f>IF(ROUNDUP(U203/20,0)&gt;ROUNDUP(U202/20,0),"Lần " &amp; ROUNDUP(U203/20,0),"")</f>
        <v/>
      </c>
      <c r="AG203" s="9">
        <f>IF(ROUNDUP(V203/20,0)&gt;ROUNDUP(V202/20,0),"Lần " &amp; ROUNDUP(V203/20,0),"")</f>
        <v/>
      </c>
      <c r="AH203" s="9">
        <f>IF(ROUNDUP(W203/20,0)&gt;ROUNDUP(W202/20,0),"Lần " &amp; ROUNDUP(W203/20,0),"")</f>
        <v/>
      </c>
      <c r="AI203" s="9">
        <f>IF(ROUNDUP(X203/20,0)&gt;ROUNDUP(X202/20,0),"Lần " &amp; ROUNDUP(X203/20,0),"")</f>
        <v/>
      </c>
      <c r="AJ203" s="9">
        <f>IF(ROUNDUP(Y203/20,0)&gt;ROUNDUP(Y202/20,0),"Lần " &amp; ROUNDUP(Y203/20,0),"")</f>
        <v/>
      </c>
      <c r="AK203" s="9">
        <f>IF(ROUNDUP(Z203/20,0)&gt;ROUNDUP(Z202/20,0),"Lần " &amp; ROUNDUP(Z203/20,0),"")</f>
        <v/>
      </c>
      <c r="AL203" s="4" t="n"/>
      <c r="AN203" s="596" t="inlineStr">
        <is>
          <t>Coc</t>
        </is>
      </c>
      <c r="AO203" s="596" t="n">
        <v>16</v>
      </c>
      <c r="AQ203" s="594" t="n"/>
      <c r="AR203" s="595" t="n"/>
    </row>
    <row r="204" ht="19" customHeight="1" s="672">
      <c r="A204" s="4" t="n">
        <v>189</v>
      </c>
      <c r="B204" s="5" t="inlineStr">
        <is>
          <t>Cọc khoan nhồi C7 Trụ T1 (D1.2m, L=40.0m)</t>
        </is>
      </c>
      <c r="C204" s="5" t="inlineStr">
        <is>
          <t>Cọc trụ T1 L=40m (tr.68)</t>
        </is>
      </c>
      <c r="D204" s="14" t="inlineStr">
        <is>
          <t>P6</t>
        </is>
      </c>
      <c r="E204" s="15" t="n">
        <v>25</v>
      </c>
      <c r="F204" s="4" t="inlineStr">
        <is>
          <t>CB400-V</t>
        </is>
      </c>
      <c r="G204" s="5" t="inlineStr"/>
      <c r="H204" s="16" t="n">
        <v>9.032999999999999</v>
      </c>
      <c r="I204" s="17" t="n">
        <v>12</v>
      </c>
      <c r="J204" s="18" t="n">
        <v>3.853</v>
      </c>
      <c r="K204" s="7">
        <f>ROUND(H204*I204*J204, 2)</f>
        <v/>
      </c>
      <c r="L204" s="19">
        <f>ROUND(K204/1000, 3)</f>
        <v/>
      </c>
      <c r="M204" s="728">
        <f>IF(AO204="","",IF(N(INDEX(Theo_Doi_Tan_Suat_Be_Tong!$C:$C,AO204))&lt;=0,"",INDEX(Theo_Doi_Tan_Suat_Be_Tong!$C:$C,AO204)-VLOOKUP(AN204,$AQ$2:$AR$7,2,FALSE)))</f>
        <v/>
      </c>
      <c r="N204" s="4" t="n"/>
      <c r="O204" s="20">
        <f>IF(ROUNDUP(W204/20,0)&gt;ROUNDUP(W203/20,0),"TN Ø25 (Lần " &amp; ROUNDUP(W204/20,0) &amp; ")","")</f>
        <v/>
      </c>
      <c r="P204" s="16">
        <f>ROUND(P203+IF(AND(E204&lt;=10,F204&lt;&gt;"ASTM A416"),L204,0),3)</f>
        <v/>
      </c>
      <c r="Q204" s="16">
        <f>ROUND(Q203+IF(AND(E204=12,F204&lt;&gt;"ASTM A416"),L204,0),3)</f>
        <v/>
      </c>
      <c r="R204" s="16">
        <f>ROUND(R203+IF(AND(E204=14,F204&lt;&gt;"ASTM A416"),L204,0),3)</f>
        <v/>
      </c>
      <c r="S204" s="16">
        <f>ROUND(S203+IF(AND(E204=16,F204&lt;&gt;"ASTM A416"),L204,0),3)</f>
        <v/>
      </c>
      <c r="T204" s="16">
        <f>ROUND(T203+IF(AND(E204=18,F204&lt;&gt;"ASTM A416"),L204,0),3)</f>
        <v/>
      </c>
      <c r="U204" s="16">
        <f>ROUND(U203+IF(AND(E204=20,F204&lt;&gt;"ASTM A416"),L204,0),3)</f>
        <v/>
      </c>
      <c r="V204" s="16">
        <f>ROUND(V203+IF(AND(E204=22,F204&lt;&gt;"ASTM A416"),L204,0),3)</f>
        <v/>
      </c>
      <c r="W204" s="16">
        <f>ROUND(W203+IF(AND(E204=25,F204&lt;&gt;"ASTM A416"),L204,0),3)</f>
        <v/>
      </c>
      <c r="X204" s="16">
        <f>ROUND(X203+IF(AND(E204=28,F204&lt;&gt;"ASTM A416"),L204,0),3)</f>
        <v/>
      </c>
      <c r="Y204" s="16">
        <f>ROUND(Y203+IF(AND(E204=32,F204&lt;&gt;"ASTM A416"),L204,0),3)</f>
        <v/>
      </c>
      <c r="Z204" s="16">
        <f>ROUND(Z203+IF(F204="ASTM A416",L204,0),3)</f>
        <v/>
      </c>
      <c r="AA204" s="9">
        <f>IF(ROUNDUP(P204/20,0)&gt;ROUNDUP(P203/20,0),"Lần " &amp; ROUNDUP(P204/20,0),"")</f>
        <v/>
      </c>
      <c r="AB204" s="9">
        <f>IF(ROUNDUP(Q204/20,0)&gt;ROUNDUP(Q203/20,0),"Lần " &amp; ROUNDUP(Q204/20,0),"")</f>
        <v/>
      </c>
      <c r="AC204" s="9">
        <f>IF(ROUNDUP(R204/20,0)&gt;ROUNDUP(R203/20,0),"Lần " &amp; ROUNDUP(R204/20,0),"")</f>
        <v/>
      </c>
      <c r="AD204" s="9">
        <f>IF(ROUNDUP(S204/20,0)&gt;ROUNDUP(S203/20,0),"Lần " &amp; ROUNDUP(S204/20,0),"")</f>
        <v/>
      </c>
      <c r="AE204" s="9">
        <f>IF(ROUNDUP(T204/20,0)&gt;ROUNDUP(T203/20,0),"Lần " &amp; ROUNDUP(T204/20,0),"")</f>
        <v/>
      </c>
      <c r="AF204" s="9">
        <f>IF(ROUNDUP(U204/20,0)&gt;ROUNDUP(U203/20,0),"Lần " &amp; ROUNDUP(U204/20,0),"")</f>
        <v/>
      </c>
      <c r="AG204" s="9">
        <f>IF(ROUNDUP(V204/20,0)&gt;ROUNDUP(V203/20,0),"Lần " &amp; ROUNDUP(V204/20,0),"")</f>
        <v/>
      </c>
      <c r="AH204" s="9">
        <f>IF(ROUNDUP(W204/20,0)&gt;ROUNDUP(W203/20,0),"Lần " &amp; ROUNDUP(W204/20,0),"")</f>
        <v/>
      </c>
      <c r="AI204" s="9">
        <f>IF(ROUNDUP(X204/20,0)&gt;ROUNDUP(X203/20,0),"Lần " &amp; ROUNDUP(X204/20,0),"")</f>
        <v/>
      </c>
      <c r="AJ204" s="9">
        <f>IF(ROUNDUP(Y204/20,0)&gt;ROUNDUP(Y203/20,0),"Lần " &amp; ROUNDUP(Y204/20,0),"")</f>
        <v/>
      </c>
      <c r="AK204" s="9">
        <f>IF(ROUNDUP(Z204/20,0)&gt;ROUNDUP(Z203/20,0),"Lần " &amp; ROUNDUP(Z204/20,0),"")</f>
        <v/>
      </c>
      <c r="AL204" s="4" t="n"/>
      <c r="AN204" s="596" t="inlineStr">
        <is>
          <t>Coc</t>
        </is>
      </c>
      <c r="AO204" s="596" t="n">
        <v>16</v>
      </c>
      <c r="AQ204" s="594" t="n"/>
      <c r="AR204" s="595" t="n"/>
    </row>
    <row r="205" ht="19" customHeight="1" s="672">
      <c r="A205" s="4" t="n">
        <v>190</v>
      </c>
      <c r="B205" s="5" t="inlineStr">
        <is>
          <t>Cọc khoan nhồi C7 Trụ T1 (D1.2m, L=40.0m)</t>
        </is>
      </c>
      <c r="C205" s="5" t="inlineStr">
        <is>
          <t>Cọc trụ T1 L=40m (tr.68)</t>
        </is>
      </c>
      <c r="D205" s="14" t="inlineStr">
        <is>
          <t>P7</t>
        </is>
      </c>
      <c r="E205" s="15" t="n">
        <v>25</v>
      </c>
      <c r="F205" s="4" t="inlineStr">
        <is>
          <t>CB400-V</t>
        </is>
      </c>
      <c r="G205" s="5" t="inlineStr"/>
      <c r="H205" s="16" t="n">
        <v>10.033</v>
      </c>
      <c r="I205" s="17" t="n">
        <v>12</v>
      </c>
      <c r="J205" s="18" t="n">
        <v>3.853</v>
      </c>
      <c r="K205" s="7">
        <f>ROUND(H205*I205*J205, 2)</f>
        <v/>
      </c>
      <c r="L205" s="19">
        <f>ROUND(K205/1000, 3)</f>
        <v/>
      </c>
      <c r="M205" s="728">
        <f>IF(AO205="","",IF(N(INDEX(Theo_Doi_Tan_Suat_Be_Tong!$C:$C,AO205))&lt;=0,"",INDEX(Theo_Doi_Tan_Suat_Be_Tong!$C:$C,AO205)-VLOOKUP(AN205,$AQ$2:$AR$7,2,FALSE)))</f>
        <v/>
      </c>
      <c r="N205" s="4" t="n"/>
      <c r="O205" s="20">
        <f>IF(ROUNDUP(W205/20,0)&gt;ROUNDUP(W204/20,0),"TN Ø25 (Lần " &amp; ROUNDUP(W205/20,0) &amp; ")","")</f>
        <v/>
      </c>
      <c r="P205" s="16">
        <f>ROUND(P204+IF(AND(E205&lt;=10,F205&lt;&gt;"ASTM A416"),L205,0),3)</f>
        <v/>
      </c>
      <c r="Q205" s="16">
        <f>ROUND(Q204+IF(AND(E205=12,F205&lt;&gt;"ASTM A416"),L205,0),3)</f>
        <v/>
      </c>
      <c r="R205" s="16">
        <f>ROUND(R204+IF(AND(E205=14,F205&lt;&gt;"ASTM A416"),L205,0),3)</f>
        <v/>
      </c>
      <c r="S205" s="16">
        <f>ROUND(S204+IF(AND(E205=16,F205&lt;&gt;"ASTM A416"),L205,0),3)</f>
        <v/>
      </c>
      <c r="T205" s="16">
        <f>ROUND(T204+IF(AND(E205=18,F205&lt;&gt;"ASTM A416"),L205,0),3)</f>
        <v/>
      </c>
      <c r="U205" s="16">
        <f>ROUND(U204+IF(AND(E205=20,F205&lt;&gt;"ASTM A416"),L205,0),3)</f>
        <v/>
      </c>
      <c r="V205" s="16">
        <f>ROUND(V204+IF(AND(E205=22,F205&lt;&gt;"ASTM A416"),L205,0),3)</f>
        <v/>
      </c>
      <c r="W205" s="16">
        <f>ROUND(W204+IF(AND(E205=25,F205&lt;&gt;"ASTM A416"),L205,0),3)</f>
        <v/>
      </c>
      <c r="X205" s="16">
        <f>ROUND(X204+IF(AND(E205=28,F205&lt;&gt;"ASTM A416"),L205,0),3)</f>
        <v/>
      </c>
      <c r="Y205" s="16">
        <f>ROUND(Y204+IF(AND(E205=32,F205&lt;&gt;"ASTM A416"),L205,0),3)</f>
        <v/>
      </c>
      <c r="Z205" s="16">
        <f>ROUND(Z204+IF(F205="ASTM A416",L205,0),3)</f>
        <v/>
      </c>
      <c r="AA205" s="9">
        <f>IF(ROUNDUP(P205/20,0)&gt;ROUNDUP(P204/20,0),"Lần " &amp; ROUNDUP(P205/20,0),"")</f>
        <v/>
      </c>
      <c r="AB205" s="9">
        <f>IF(ROUNDUP(Q205/20,0)&gt;ROUNDUP(Q204/20,0),"Lần " &amp; ROUNDUP(Q205/20,0),"")</f>
        <v/>
      </c>
      <c r="AC205" s="9">
        <f>IF(ROUNDUP(R205/20,0)&gt;ROUNDUP(R204/20,0),"Lần " &amp; ROUNDUP(R205/20,0),"")</f>
        <v/>
      </c>
      <c r="AD205" s="9">
        <f>IF(ROUNDUP(S205/20,0)&gt;ROUNDUP(S204/20,0),"Lần " &amp; ROUNDUP(S205/20,0),"")</f>
        <v/>
      </c>
      <c r="AE205" s="9">
        <f>IF(ROUNDUP(T205/20,0)&gt;ROUNDUP(T204/20,0),"Lần " &amp; ROUNDUP(T205/20,0),"")</f>
        <v/>
      </c>
      <c r="AF205" s="9">
        <f>IF(ROUNDUP(U205/20,0)&gt;ROUNDUP(U204/20,0),"Lần " &amp; ROUNDUP(U205/20,0),"")</f>
        <v/>
      </c>
      <c r="AG205" s="9">
        <f>IF(ROUNDUP(V205/20,0)&gt;ROUNDUP(V204/20,0),"Lần " &amp; ROUNDUP(V205/20,0),"")</f>
        <v/>
      </c>
      <c r="AH205" s="9">
        <f>IF(ROUNDUP(W205/20,0)&gt;ROUNDUP(W204/20,0),"Lần " &amp; ROUNDUP(W205/20,0),"")</f>
        <v/>
      </c>
      <c r="AI205" s="9">
        <f>IF(ROUNDUP(X205/20,0)&gt;ROUNDUP(X204/20,0),"Lần " &amp; ROUNDUP(X205/20,0),"")</f>
        <v/>
      </c>
      <c r="AJ205" s="9">
        <f>IF(ROUNDUP(Y205/20,0)&gt;ROUNDUP(Y204/20,0),"Lần " &amp; ROUNDUP(Y205/20,0),"")</f>
        <v/>
      </c>
      <c r="AK205" s="9">
        <f>IF(ROUNDUP(Z205/20,0)&gt;ROUNDUP(Z204/20,0),"Lần " &amp; ROUNDUP(Z205/20,0),"")</f>
        <v/>
      </c>
      <c r="AL205" s="4" t="n"/>
      <c r="AN205" s="596" t="inlineStr">
        <is>
          <t>Coc</t>
        </is>
      </c>
      <c r="AO205" s="596" t="n">
        <v>16</v>
      </c>
      <c r="AQ205" s="594" t="n"/>
      <c r="AR205" s="595" t="n"/>
    </row>
    <row r="206" ht="19" customHeight="1" s="672">
      <c r="A206" s="4" t="n">
        <v>191</v>
      </c>
      <c r="B206" s="5" t="inlineStr">
        <is>
          <t>Cọc khoan nhồi C7 Trụ T1 (D1.2m, L=40.0m)</t>
        </is>
      </c>
      <c r="C206" s="5" t="inlineStr">
        <is>
          <t>Cọc trụ T1 L=40m (tr.68)</t>
        </is>
      </c>
      <c r="D206" s="14" t="inlineStr">
        <is>
          <t>P8</t>
        </is>
      </c>
      <c r="E206" s="15" t="n">
        <v>12</v>
      </c>
      <c r="F206" s="4" t="inlineStr">
        <is>
          <t>CB400-V</t>
        </is>
      </c>
      <c r="G206" s="5" t="inlineStr"/>
      <c r="H206" s="16" t="n">
        <v>0.647</v>
      </c>
      <c r="I206" s="17" t="n">
        <v>16</v>
      </c>
      <c r="J206" s="18" t="n">
        <v>0.888</v>
      </c>
      <c r="K206" s="7">
        <f>ROUND(H206*I206*J206, 2)</f>
        <v/>
      </c>
      <c r="L206" s="19">
        <f>ROUND(K206/1000, 3)</f>
        <v/>
      </c>
      <c r="M206" s="728">
        <f>IF(AO206="","",IF(N(INDEX(Theo_Doi_Tan_Suat_Be_Tong!$C:$C,AO206))&lt;=0,"",INDEX(Theo_Doi_Tan_Suat_Be_Tong!$C:$C,AO206)-VLOOKUP(AN206,$AQ$2:$AR$7,2,FALSE)))</f>
        <v/>
      </c>
      <c r="N206" s="4" t="n"/>
      <c r="O206" s="20">
        <f>IF(ROUNDUP(Q206/20,0)&gt;ROUNDUP(Q205/20,0),"TN Ø12 (Lần " &amp; ROUNDUP(Q206/20,0) &amp; ")","")</f>
        <v/>
      </c>
      <c r="P206" s="16">
        <f>ROUND(P205+IF(AND(E206&lt;=10,F206&lt;&gt;"ASTM A416"),L206,0),3)</f>
        <v/>
      </c>
      <c r="Q206" s="16">
        <f>ROUND(Q205+IF(AND(E206=12,F206&lt;&gt;"ASTM A416"),L206,0),3)</f>
        <v/>
      </c>
      <c r="R206" s="16">
        <f>ROUND(R205+IF(AND(E206=14,F206&lt;&gt;"ASTM A416"),L206,0),3)</f>
        <v/>
      </c>
      <c r="S206" s="16">
        <f>ROUND(S205+IF(AND(E206=16,F206&lt;&gt;"ASTM A416"),L206,0),3)</f>
        <v/>
      </c>
      <c r="T206" s="16">
        <f>ROUND(T205+IF(AND(E206=18,F206&lt;&gt;"ASTM A416"),L206,0),3)</f>
        <v/>
      </c>
      <c r="U206" s="16">
        <f>ROUND(U205+IF(AND(E206=20,F206&lt;&gt;"ASTM A416"),L206,0),3)</f>
        <v/>
      </c>
      <c r="V206" s="16">
        <f>ROUND(V205+IF(AND(E206=22,F206&lt;&gt;"ASTM A416"),L206,0),3)</f>
        <v/>
      </c>
      <c r="W206" s="16">
        <f>ROUND(W205+IF(AND(E206=25,F206&lt;&gt;"ASTM A416"),L206,0),3)</f>
        <v/>
      </c>
      <c r="X206" s="16">
        <f>ROUND(X205+IF(AND(E206=28,F206&lt;&gt;"ASTM A416"),L206,0),3)</f>
        <v/>
      </c>
      <c r="Y206" s="16">
        <f>ROUND(Y205+IF(AND(E206=32,F206&lt;&gt;"ASTM A416"),L206,0),3)</f>
        <v/>
      </c>
      <c r="Z206" s="16">
        <f>ROUND(Z205+IF(F206="ASTM A416",L206,0),3)</f>
        <v/>
      </c>
      <c r="AA206" s="9">
        <f>IF(ROUNDUP(P206/20,0)&gt;ROUNDUP(P205/20,0),"Lần " &amp; ROUNDUP(P206/20,0),"")</f>
        <v/>
      </c>
      <c r="AB206" s="9">
        <f>IF(ROUNDUP(Q206/20,0)&gt;ROUNDUP(Q205/20,0),"Lần " &amp; ROUNDUP(Q206/20,0),"")</f>
        <v/>
      </c>
      <c r="AC206" s="9">
        <f>IF(ROUNDUP(R206/20,0)&gt;ROUNDUP(R205/20,0),"Lần " &amp; ROUNDUP(R206/20,0),"")</f>
        <v/>
      </c>
      <c r="AD206" s="9">
        <f>IF(ROUNDUP(S206/20,0)&gt;ROUNDUP(S205/20,0),"Lần " &amp; ROUNDUP(S206/20,0),"")</f>
        <v/>
      </c>
      <c r="AE206" s="9">
        <f>IF(ROUNDUP(T206/20,0)&gt;ROUNDUP(T205/20,0),"Lần " &amp; ROUNDUP(T206/20,0),"")</f>
        <v/>
      </c>
      <c r="AF206" s="9">
        <f>IF(ROUNDUP(U206/20,0)&gt;ROUNDUP(U205/20,0),"Lần " &amp; ROUNDUP(U206/20,0),"")</f>
        <v/>
      </c>
      <c r="AG206" s="9">
        <f>IF(ROUNDUP(V206/20,0)&gt;ROUNDUP(V205/20,0),"Lần " &amp; ROUNDUP(V206/20,0),"")</f>
        <v/>
      </c>
      <c r="AH206" s="9">
        <f>IF(ROUNDUP(W206/20,0)&gt;ROUNDUP(W205/20,0),"Lần " &amp; ROUNDUP(W206/20,0),"")</f>
        <v/>
      </c>
      <c r="AI206" s="9">
        <f>IF(ROUNDUP(X206/20,0)&gt;ROUNDUP(X205/20,0),"Lần " &amp; ROUNDUP(X206/20,0),"")</f>
        <v/>
      </c>
      <c r="AJ206" s="9">
        <f>IF(ROUNDUP(Y206/20,0)&gt;ROUNDUP(Y205/20,0),"Lần " &amp; ROUNDUP(Y206/20,0),"")</f>
        <v/>
      </c>
      <c r="AK206" s="9">
        <f>IF(ROUNDUP(Z206/20,0)&gt;ROUNDUP(Z205/20,0),"Lần " &amp; ROUNDUP(Z206/20,0),"")</f>
        <v/>
      </c>
      <c r="AL206" s="4" t="n"/>
      <c r="AN206" s="596" t="inlineStr">
        <is>
          <t>Coc</t>
        </is>
      </c>
      <c r="AO206" s="596" t="n">
        <v>16</v>
      </c>
      <c r="AQ206" s="594" t="n"/>
      <c r="AR206" s="595" t="n"/>
    </row>
    <row r="207" ht="19" customHeight="1" s="672">
      <c r="A207" s="4" t="n">
        <v>192</v>
      </c>
      <c r="B207" s="5" t="inlineStr">
        <is>
          <t>Cọc khoan nhồi C7 Trụ T1 (D1.2m, L=40.0m)</t>
        </is>
      </c>
      <c r="C207" s="5" t="inlineStr">
        <is>
          <t>Cọc trụ T1 L=40m (tr.68)</t>
        </is>
      </c>
      <c r="D207" s="14" t="inlineStr">
        <is>
          <t>P9</t>
        </is>
      </c>
      <c r="E207" s="15" t="n">
        <v>12</v>
      </c>
      <c r="F207" s="4" t="inlineStr">
        <is>
          <t>CB400-V</t>
        </is>
      </c>
      <c r="G207" s="5" t="inlineStr"/>
      <c r="H207" s="16" t="n">
        <v>0.379</v>
      </c>
      <c r="I207" s="17" t="n">
        <v>48</v>
      </c>
      <c r="J207" s="18" t="n">
        <v>0.888</v>
      </c>
      <c r="K207" s="7">
        <f>ROUND(H207*I207*J207, 2)</f>
        <v/>
      </c>
      <c r="L207" s="19">
        <f>ROUND(K207/1000, 3)</f>
        <v/>
      </c>
      <c r="M207" s="728">
        <f>IF(AO207="","",IF(N(INDEX(Theo_Doi_Tan_Suat_Be_Tong!$C:$C,AO207))&lt;=0,"",INDEX(Theo_Doi_Tan_Suat_Be_Tong!$C:$C,AO207)-VLOOKUP(AN207,$AQ$2:$AR$7,2,FALSE)))</f>
        <v/>
      </c>
      <c r="N207" s="4" t="n"/>
      <c r="O207" s="20">
        <f>IF(ROUNDUP(Q207/20,0)&gt;ROUNDUP(Q206/20,0),"TN Ø12 (Lần " &amp; ROUNDUP(Q207/20,0) &amp; ")","")</f>
        <v/>
      </c>
      <c r="P207" s="16">
        <f>ROUND(P206+IF(AND(E207&lt;=10,F207&lt;&gt;"ASTM A416"),L207,0),3)</f>
        <v/>
      </c>
      <c r="Q207" s="16">
        <f>ROUND(Q206+IF(AND(E207=12,F207&lt;&gt;"ASTM A416"),L207,0),3)</f>
        <v/>
      </c>
      <c r="R207" s="16">
        <f>ROUND(R206+IF(AND(E207=14,F207&lt;&gt;"ASTM A416"),L207,0),3)</f>
        <v/>
      </c>
      <c r="S207" s="16">
        <f>ROUND(S206+IF(AND(E207=16,F207&lt;&gt;"ASTM A416"),L207,0),3)</f>
        <v/>
      </c>
      <c r="T207" s="16">
        <f>ROUND(T206+IF(AND(E207=18,F207&lt;&gt;"ASTM A416"),L207,0),3)</f>
        <v/>
      </c>
      <c r="U207" s="16">
        <f>ROUND(U206+IF(AND(E207=20,F207&lt;&gt;"ASTM A416"),L207,0),3)</f>
        <v/>
      </c>
      <c r="V207" s="16">
        <f>ROUND(V206+IF(AND(E207=22,F207&lt;&gt;"ASTM A416"),L207,0),3)</f>
        <v/>
      </c>
      <c r="W207" s="16">
        <f>ROUND(W206+IF(AND(E207=25,F207&lt;&gt;"ASTM A416"),L207,0),3)</f>
        <v/>
      </c>
      <c r="X207" s="16">
        <f>ROUND(X206+IF(AND(E207=28,F207&lt;&gt;"ASTM A416"),L207,0),3)</f>
        <v/>
      </c>
      <c r="Y207" s="16">
        <f>ROUND(Y206+IF(AND(E207=32,F207&lt;&gt;"ASTM A416"),L207,0),3)</f>
        <v/>
      </c>
      <c r="Z207" s="16">
        <f>ROUND(Z206+IF(F207="ASTM A416",L207,0),3)</f>
        <v/>
      </c>
      <c r="AA207" s="9">
        <f>IF(ROUNDUP(P207/20,0)&gt;ROUNDUP(P206/20,0),"Lần " &amp; ROUNDUP(P207/20,0),"")</f>
        <v/>
      </c>
      <c r="AB207" s="9">
        <f>IF(ROUNDUP(Q207/20,0)&gt;ROUNDUP(Q206/20,0),"Lần " &amp; ROUNDUP(Q207/20,0),"")</f>
        <v/>
      </c>
      <c r="AC207" s="9">
        <f>IF(ROUNDUP(R207/20,0)&gt;ROUNDUP(R206/20,0),"Lần " &amp; ROUNDUP(R207/20,0),"")</f>
        <v/>
      </c>
      <c r="AD207" s="9">
        <f>IF(ROUNDUP(S207/20,0)&gt;ROUNDUP(S206/20,0),"Lần " &amp; ROUNDUP(S207/20,0),"")</f>
        <v/>
      </c>
      <c r="AE207" s="9">
        <f>IF(ROUNDUP(T207/20,0)&gt;ROUNDUP(T206/20,0),"Lần " &amp; ROUNDUP(T207/20,0),"")</f>
        <v/>
      </c>
      <c r="AF207" s="9">
        <f>IF(ROUNDUP(U207/20,0)&gt;ROUNDUP(U206/20,0),"Lần " &amp; ROUNDUP(U207/20,0),"")</f>
        <v/>
      </c>
      <c r="AG207" s="9">
        <f>IF(ROUNDUP(V207/20,0)&gt;ROUNDUP(V206/20,0),"Lần " &amp; ROUNDUP(V207/20,0),"")</f>
        <v/>
      </c>
      <c r="AH207" s="9">
        <f>IF(ROUNDUP(W207/20,0)&gt;ROUNDUP(W206/20,0),"Lần " &amp; ROUNDUP(W207/20,0),"")</f>
        <v/>
      </c>
      <c r="AI207" s="9">
        <f>IF(ROUNDUP(X207/20,0)&gt;ROUNDUP(X206/20,0),"Lần " &amp; ROUNDUP(X207/20,0),"")</f>
        <v/>
      </c>
      <c r="AJ207" s="9">
        <f>IF(ROUNDUP(Y207/20,0)&gt;ROUNDUP(Y206/20,0),"Lần " &amp; ROUNDUP(Y207/20,0),"")</f>
        <v/>
      </c>
      <c r="AK207" s="9">
        <f>IF(ROUNDUP(Z207/20,0)&gt;ROUNDUP(Z206/20,0),"Lần " &amp; ROUNDUP(Z207/20,0),"")</f>
        <v/>
      </c>
      <c r="AL207" s="4" t="n"/>
      <c r="AN207" s="596" t="inlineStr">
        <is>
          <t>Coc</t>
        </is>
      </c>
      <c r="AO207" s="596" t="n">
        <v>16</v>
      </c>
      <c r="AQ207" s="594" t="n"/>
      <c r="AR207" s="595" t="n"/>
    </row>
    <row r="208" ht="19" customHeight="1" s="672">
      <c r="A208" s="4" t="n">
        <v>193</v>
      </c>
      <c r="B208" s="5" t="inlineStr">
        <is>
          <t>Cọc khoan nhồi C7 Trụ T1 (D1.2m, L=40.0m)</t>
        </is>
      </c>
      <c r="C208" s="5" t="inlineStr">
        <is>
          <t>Cọc trụ T1 L=40m (tr.68)</t>
        </is>
      </c>
      <c r="D208" s="14" t="inlineStr">
        <is>
          <t>P10</t>
        </is>
      </c>
      <c r="E208" s="15" t="n">
        <v>20</v>
      </c>
      <c r="F208" s="4" t="inlineStr">
        <is>
          <t>CB400-V</t>
        </is>
      </c>
      <c r="G208" s="5" t="inlineStr"/>
      <c r="H208" s="16" t="n">
        <v>2.057</v>
      </c>
      <c r="I208" s="17" t="n">
        <v>1</v>
      </c>
      <c r="J208" s="18" t="n">
        <v>2.466</v>
      </c>
      <c r="K208" s="7">
        <f>ROUND(H208*I208*J208, 2)</f>
        <v/>
      </c>
      <c r="L208" s="19">
        <f>ROUND(K208/1000, 3)</f>
        <v/>
      </c>
      <c r="M208" s="728">
        <f>IF(AO208="","",IF(N(INDEX(Theo_Doi_Tan_Suat_Be_Tong!$C:$C,AO208))&lt;=0,"",INDEX(Theo_Doi_Tan_Suat_Be_Tong!$C:$C,AO208)-VLOOKUP(AN208,$AQ$2:$AR$7,2,FALSE)))</f>
        <v/>
      </c>
      <c r="N208" s="4" t="n"/>
      <c r="O208" s="20">
        <f>IF(ROUNDUP(U208/20,0)&gt;ROUNDUP(U207/20,0),"TN Ø20 (Lần " &amp; ROUNDUP(U208/20,0) &amp; ")","")</f>
        <v/>
      </c>
      <c r="P208" s="16">
        <f>ROUND(P207+IF(AND(E208&lt;=10,F208&lt;&gt;"ASTM A416"),L208,0),3)</f>
        <v/>
      </c>
      <c r="Q208" s="16">
        <f>ROUND(Q207+IF(AND(E208=12,F208&lt;&gt;"ASTM A416"),L208,0),3)</f>
        <v/>
      </c>
      <c r="R208" s="16">
        <f>ROUND(R207+IF(AND(E208=14,F208&lt;&gt;"ASTM A416"),L208,0),3)</f>
        <v/>
      </c>
      <c r="S208" s="16">
        <f>ROUND(S207+IF(AND(E208=16,F208&lt;&gt;"ASTM A416"),L208,0),3)</f>
        <v/>
      </c>
      <c r="T208" s="16">
        <f>ROUND(T207+IF(AND(E208=18,F208&lt;&gt;"ASTM A416"),L208,0),3)</f>
        <v/>
      </c>
      <c r="U208" s="16">
        <f>ROUND(U207+IF(AND(E208=20,F208&lt;&gt;"ASTM A416"),L208,0),3)</f>
        <v/>
      </c>
      <c r="V208" s="16">
        <f>ROUND(V207+IF(AND(E208=22,F208&lt;&gt;"ASTM A416"),L208,0),3)</f>
        <v/>
      </c>
      <c r="W208" s="16">
        <f>ROUND(W207+IF(AND(E208=25,F208&lt;&gt;"ASTM A416"),L208,0),3)</f>
        <v/>
      </c>
      <c r="X208" s="16">
        <f>ROUND(X207+IF(AND(E208=28,F208&lt;&gt;"ASTM A416"),L208,0),3)</f>
        <v/>
      </c>
      <c r="Y208" s="16">
        <f>ROUND(Y207+IF(AND(E208=32,F208&lt;&gt;"ASTM A416"),L208,0),3)</f>
        <v/>
      </c>
      <c r="Z208" s="16">
        <f>ROUND(Z207+IF(F208="ASTM A416",L208,0),3)</f>
        <v/>
      </c>
      <c r="AA208" s="9">
        <f>IF(ROUNDUP(P208/20,0)&gt;ROUNDUP(P207/20,0),"Lần " &amp; ROUNDUP(P208/20,0),"")</f>
        <v/>
      </c>
      <c r="AB208" s="9">
        <f>IF(ROUNDUP(Q208/20,0)&gt;ROUNDUP(Q207/20,0),"Lần " &amp; ROUNDUP(Q208/20,0),"")</f>
        <v/>
      </c>
      <c r="AC208" s="9">
        <f>IF(ROUNDUP(R208/20,0)&gt;ROUNDUP(R207/20,0),"Lần " &amp; ROUNDUP(R208/20,0),"")</f>
        <v/>
      </c>
      <c r="AD208" s="9">
        <f>IF(ROUNDUP(S208/20,0)&gt;ROUNDUP(S207/20,0),"Lần " &amp; ROUNDUP(S208/20,0),"")</f>
        <v/>
      </c>
      <c r="AE208" s="9">
        <f>IF(ROUNDUP(T208/20,0)&gt;ROUNDUP(T207/20,0),"Lần " &amp; ROUNDUP(T208/20,0),"")</f>
        <v/>
      </c>
      <c r="AF208" s="9">
        <f>IF(ROUNDUP(U208/20,0)&gt;ROUNDUP(U207/20,0),"Lần " &amp; ROUNDUP(U208/20,0),"")</f>
        <v/>
      </c>
      <c r="AG208" s="9">
        <f>IF(ROUNDUP(V208/20,0)&gt;ROUNDUP(V207/20,0),"Lần " &amp; ROUNDUP(V208/20,0),"")</f>
        <v/>
      </c>
      <c r="AH208" s="9">
        <f>IF(ROUNDUP(W208/20,0)&gt;ROUNDUP(W207/20,0),"Lần " &amp; ROUNDUP(W208/20,0),"")</f>
        <v/>
      </c>
      <c r="AI208" s="9">
        <f>IF(ROUNDUP(X208/20,0)&gt;ROUNDUP(X207/20,0),"Lần " &amp; ROUNDUP(X208/20,0),"")</f>
        <v/>
      </c>
      <c r="AJ208" s="9">
        <f>IF(ROUNDUP(Y208/20,0)&gt;ROUNDUP(Y207/20,0),"Lần " &amp; ROUNDUP(Y208/20,0),"")</f>
        <v/>
      </c>
      <c r="AK208" s="9">
        <f>IF(ROUNDUP(Z208/20,0)&gt;ROUNDUP(Z207/20,0),"Lần " &amp; ROUNDUP(Z208/20,0),"")</f>
        <v/>
      </c>
      <c r="AL208" s="4" t="n"/>
      <c r="AN208" s="596" t="inlineStr">
        <is>
          <t>Coc</t>
        </is>
      </c>
      <c r="AO208" s="596" t="n">
        <v>16</v>
      </c>
      <c r="AQ208" s="594" t="n"/>
      <c r="AR208" s="595" t="n"/>
    </row>
    <row r="209" ht="20" customHeight="1" s="672">
      <c r="A209" s="4" t="n">
        <v>194</v>
      </c>
      <c r="B209" s="5" t="inlineStr">
        <is>
          <t>Cọc khoan nhồi C7 Trụ T1 (D1.2m, L=40.0m)</t>
        </is>
      </c>
      <c r="C209" s="5" t="inlineStr">
        <is>
          <t>Cọc trụ T1 L=40m (tr.68)</t>
        </is>
      </c>
      <c r="D209" s="14" t="inlineStr">
        <is>
          <t>P12</t>
        </is>
      </c>
      <c r="E209" s="15" t="n">
        <v>20</v>
      </c>
      <c r="F209" s="4" t="inlineStr">
        <is>
          <t>CB400-V</t>
        </is>
      </c>
      <c r="G209" s="5" t="inlineStr"/>
      <c r="H209" s="16" t="n">
        <v>0.583</v>
      </c>
      <c r="I209" s="17" t="n">
        <v>64</v>
      </c>
      <c r="J209" s="18" t="n">
        <v>2.466</v>
      </c>
      <c r="K209" s="7">
        <f>ROUND(H209*I209*J209, 2)</f>
        <v/>
      </c>
      <c r="L209" s="19">
        <f>ROUND(K209/1000, 3)</f>
        <v/>
      </c>
      <c r="M209" s="728">
        <f>IF(AO209="","",IF(N(INDEX(Theo_Doi_Tan_Suat_Be_Tong!$C:$C,AO209))&lt;=0,"",INDEX(Theo_Doi_Tan_Suat_Be_Tong!$C:$C,AO209)-VLOOKUP(AN209,$AQ$2:$AR$7,2,FALSE)))</f>
        <v/>
      </c>
      <c r="N209" s="4" t="n"/>
      <c r="O209" s="20">
        <f>IF(ROUNDUP(U209/20,0)&gt;ROUNDUP(U208/20,0),"TN Ø20 (Lần " &amp; ROUNDUP(U209/20,0) &amp; ")","")</f>
        <v/>
      </c>
      <c r="P209" s="16">
        <f>ROUND(P208+IF(AND(E209&lt;=10,F209&lt;&gt;"ASTM A416"),L209,0),3)</f>
        <v/>
      </c>
      <c r="Q209" s="16">
        <f>ROUND(Q208+IF(AND(E209=12,F209&lt;&gt;"ASTM A416"),L209,0),3)</f>
        <v/>
      </c>
      <c r="R209" s="16">
        <f>ROUND(R208+IF(AND(E209=14,F209&lt;&gt;"ASTM A416"),L209,0),3)</f>
        <v/>
      </c>
      <c r="S209" s="16">
        <f>ROUND(S208+IF(AND(E209=16,F209&lt;&gt;"ASTM A416"),L209,0),3)</f>
        <v/>
      </c>
      <c r="T209" s="16">
        <f>ROUND(T208+IF(AND(E209=18,F209&lt;&gt;"ASTM A416"),L209,0),3)</f>
        <v/>
      </c>
      <c r="U209" s="16">
        <f>ROUND(U208+IF(AND(E209=20,F209&lt;&gt;"ASTM A416"),L209,0),3)</f>
        <v/>
      </c>
      <c r="V209" s="16">
        <f>ROUND(V208+IF(AND(E209=22,F209&lt;&gt;"ASTM A416"),L209,0),3)</f>
        <v/>
      </c>
      <c r="W209" s="16">
        <f>ROUND(W208+IF(AND(E209=25,F209&lt;&gt;"ASTM A416"),L209,0),3)</f>
        <v/>
      </c>
      <c r="X209" s="16">
        <f>ROUND(X208+IF(AND(E209=28,F209&lt;&gt;"ASTM A416"),L209,0),3)</f>
        <v/>
      </c>
      <c r="Y209" s="16">
        <f>ROUND(Y208+IF(AND(E209=32,F209&lt;&gt;"ASTM A416"),L209,0),3)</f>
        <v/>
      </c>
      <c r="Z209" s="16">
        <f>ROUND(Z208+IF(F209="ASTM A416",L209,0),3)</f>
        <v/>
      </c>
      <c r="AA209" s="9">
        <f>IF(ROUNDUP(P209/20,0)&gt;ROUNDUP(P208/20,0),"Lần " &amp; ROUNDUP(P209/20,0),"")</f>
        <v/>
      </c>
      <c r="AB209" s="9">
        <f>IF(ROUNDUP(Q209/20,0)&gt;ROUNDUP(Q208/20,0),"Lần " &amp; ROUNDUP(Q209/20,0),"")</f>
        <v/>
      </c>
      <c r="AC209" s="9">
        <f>IF(ROUNDUP(R209/20,0)&gt;ROUNDUP(R208/20,0),"Lần " &amp; ROUNDUP(R209/20,0),"")</f>
        <v/>
      </c>
      <c r="AD209" s="9">
        <f>IF(ROUNDUP(S209/20,0)&gt;ROUNDUP(S208/20,0),"Lần " &amp; ROUNDUP(S209/20,0),"")</f>
        <v/>
      </c>
      <c r="AE209" s="9">
        <f>IF(ROUNDUP(T209/20,0)&gt;ROUNDUP(T208/20,0),"Lần " &amp; ROUNDUP(T209/20,0),"")</f>
        <v/>
      </c>
      <c r="AF209" s="9">
        <f>IF(ROUNDUP(U209/20,0)&gt;ROUNDUP(U208/20,0),"Lần " &amp; ROUNDUP(U209/20,0),"")</f>
        <v/>
      </c>
      <c r="AG209" s="9">
        <f>IF(ROUNDUP(V209/20,0)&gt;ROUNDUP(V208/20,0),"Lần " &amp; ROUNDUP(V209/20,0),"")</f>
        <v/>
      </c>
      <c r="AH209" s="9">
        <f>IF(ROUNDUP(W209/20,0)&gt;ROUNDUP(W208/20,0),"Lần " &amp; ROUNDUP(W209/20,0),"")</f>
        <v/>
      </c>
      <c r="AI209" s="9">
        <f>IF(ROUNDUP(X209/20,0)&gt;ROUNDUP(X208/20,0),"Lần " &amp; ROUNDUP(X209/20,0),"")</f>
        <v/>
      </c>
      <c r="AJ209" s="9">
        <f>IF(ROUNDUP(Y209/20,0)&gt;ROUNDUP(Y208/20,0),"Lần " &amp; ROUNDUP(Y209/20,0),"")</f>
        <v/>
      </c>
      <c r="AK209" s="9">
        <f>IF(ROUNDUP(Z209/20,0)&gt;ROUNDUP(Z208/20,0),"Lần " &amp; ROUNDUP(Z209/20,0),"")</f>
        <v/>
      </c>
      <c r="AL209" s="4" t="n"/>
      <c r="AN209" s="596" t="inlineStr">
        <is>
          <t>Coc</t>
        </is>
      </c>
      <c r="AO209" s="596" t="n">
        <v>16</v>
      </c>
      <c r="AQ209" s="594" t="n"/>
      <c r="AR209" s="595" t="n"/>
    </row>
    <row r="210" ht="19" customHeight="1" s="672">
      <c r="A210" s="4" t="n">
        <v>195</v>
      </c>
      <c r="B210" s="5" t="inlineStr">
        <is>
          <t>Cọc khoan nhồi C7 Trụ T1 (D1.2m, L=40.0m)</t>
        </is>
      </c>
      <c r="C210" s="5" t="inlineStr">
        <is>
          <t>Cọc trụ T1 L=40m (tr.68)</t>
        </is>
      </c>
      <c r="D210" s="14" t="inlineStr">
        <is>
          <t>P11</t>
        </is>
      </c>
      <c r="E210" s="15" t="n">
        <v>16</v>
      </c>
      <c r="F210" s="4" t="inlineStr">
        <is>
          <t>CB400-V</t>
        </is>
      </c>
      <c r="G210" s="5" t="inlineStr"/>
      <c r="H210" s="16" t="n">
        <v>2.604</v>
      </c>
      <c r="I210" s="17" t="n">
        <v>4</v>
      </c>
      <c r="J210" s="18" t="n">
        <v>1.578</v>
      </c>
      <c r="K210" s="7">
        <f>ROUND(H210*I210*J210, 2)</f>
        <v/>
      </c>
      <c r="L210" s="19">
        <f>ROUND(K210/1000, 3)</f>
        <v/>
      </c>
      <c r="M210" s="728">
        <f>IF(AO210="","",IF(N(INDEX(Theo_Doi_Tan_Suat_Be_Tong!$C:$C,AO210))&lt;=0,"",INDEX(Theo_Doi_Tan_Suat_Be_Tong!$C:$C,AO210)-VLOOKUP(AN210,$AQ$2:$AR$7,2,FALSE)))</f>
        <v/>
      </c>
      <c r="N210" s="4" t="n"/>
      <c r="O210" s="20">
        <f>IF(ROUNDUP(S210/20,0)&gt;ROUNDUP(S209/20,0),"TN Ø16 (Lần " &amp; ROUNDUP(S210/20,0) &amp; ")","")</f>
        <v/>
      </c>
      <c r="P210" s="16">
        <f>ROUND(P209+IF(AND(E210&lt;=10,F210&lt;&gt;"ASTM A416"),L210,0),3)</f>
        <v/>
      </c>
      <c r="Q210" s="16">
        <f>ROUND(Q209+IF(AND(E210=12,F210&lt;&gt;"ASTM A416"),L210,0),3)</f>
        <v/>
      </c>
      <c r="R210" s="16">
        <f>ROUND(R209+IF(AND(E210=14,F210&lt;&gt;"ASTM A416"),L210,0),3)</f>
        <v/>
      </c>
      <c r="S210" s="16">
        <f>ROUND(S209+IF(AND(E210=16,F210&lt;&gt;"ASTM A416"),L210,0),3)</f>
        <v/>
      </c>
      <c r="T210" s="16">
        <f>ROUND(T209+IF(AND(E210=18,F210&lt;&gt;"ASTM A416"),L210,0),3)</f>
        <v/>
      </c>
      <c r="U210" s="16">
        <f>ROUND(U209+IF(AND(E210=20,F210&lt;&gt;"ASTM A416"),L210,0),3)</f>
        <v/>
      </c>
      <c r="V210" s="16">
        <f>ROUND(V209+IF(AND(E210=22,F210&lt;&gt;"ASTM A416"),L210,0),3)</f>
        <v/>
      </c>
      <c r="W210" s="16">
        <f>ROUND(W209+IF(AND(E210=25,F210&lt;&gt;"ASTM A416"),L210,0),3)</f>
        <v/>
      </c>
      <c r="X210" s="16">
        <f>ROUND(X209+IF(AND(E210=28,F210&lt;&gt;"ASTM A416"),L210,0),3)</f>
        <v/>
      </c>
      <c r="Y210" s="16">
        <f>ROUND(Y209+IF(AND(E210=32,F210&lt;&gt;"ASTM A416"),L210,0),3)</f>
        <v/>
      </c>
      <c r="Z210" s="16">
        <f>ROUND(Z209+IF(F210="ASTM A416",L210,0),3)</f>
        <v/>
      </c>
      <c r="AA210" s="9">
        <f>IF(ROUNDUP(P210/20,0)&gt;ROUNDUP(P209/20,0),"Lần " &amp; ROUNDUP(P210/20,0),"")</f>
        <v/>
      </c>
      <c r="AB210" s="9">
        <f>IF(ROUNDUP(Q210/20,0)&gt;ROUNDUP(Q209/20,0),"Lần " &amp; ROUNDUP(Q210/20,0),"")</f>
        <v/>
      </c>
      <c r="AC210" s="9">
        <f>IF(ROUNDUP(R210/20,0)&gt;ROUNDUP(R209/20,0),"Lần " &amp; ROUNDUP(R210/20,0),"")</f>
        <v/>
      </c>
      <c r="AD210" s="9">
        <f>IF(ROUNDUP(S210/20,0)&gt;ROUNDUP(S209/20,0),"Lần " &amp; ROUNDUP(S210/20,0),"")</f>
        <v/>
      </c>
      <c r="AE210" s="9">
        <f>IF(ROUNDUP(T210/20,0)&gt;ROUNDUP(T209/20,0),"Lần " &amp; ROUNDUP(T210/20,0),"")</f>
        <v/>
      </c>
      <c r="AF210" s="9">
        <f>IF(ROUNDUP(U210/20,0)&gt;ROUNDUP(U209/20,0),"Lần " &amp; ROUNDUP(U210/20,0),"")</f>
        <v/>
      </c>
      <c r="AG210" s="9">
        <f>IF(ROUNDUP(V210/20,0)&gt;ROUNDUP(V209/20,0),"Lần " &amp; ROUNDUP(V210/20,0),"")</f>
        <v/>
      </c>
      <c r="AH210" s="9">
        <f>IF(ROUNDUP(W210/20,0)&gt;ROUNDUP(W209/20,0),"Lần " &amp; ROUNDUP(W210/20,0),"")</f>
        <v/>
      </c>
      <c r="AI210" s="9">
        <f>IF(ROUNDUP(X210/20,0)&gt;ROUNDUP(X209/20,0),"Lần " &amp; ROUNDUP(X210/20,0),"")</f>
        <v/>
      </c>
      <c r="AJ210" s="9">
        <f>IF(ROUNDUP(Y210/20,0)&gt;ROUNDUP(Y209/20,0),"Lần " &amp; ROUNDUP(Y210/20,0),"")</f>
        <v/>
      </c>
      <c r="AK210" s="9">
        <f>IF(ROUNDUP(Z210/20,0)&gt;ROUNDUP(Z209/20,0),"Lần " &amp; ROUNDUP(Z210/20,0),"")</f>
        <v/>
      </c>
      <c r="AL210" s="4" t="n"/>
      <c r="AN210" s="596" t="inlineStr">
        <is>
          <t>Coc</t>
        </is>
      </c>
      <c r="AO210" s="596" t="n">
        <v>16</v>
      </c>
      <c r="AQ210" s="594" t="n"/>
      <c r="AR210" s="595" t="n"/>
    </row>
    <row r="211" ht="19" customHeight="1" s="672">
      <c r="A211" s="668" t="inlineStr">
        <is>
          <t>--- CỌC KHOAN NHỒI C2 TRỤ T2 (D1.2M, L=30.0M) ---</t>
        </is>
      </c>
      <c r="B211" s="722" t="n"/>
      <c r="C211" s="722" t="n"/>
      <c r="D211" s="722" t="n"/>
      <c r="E211" s="722" t="n"/>
      <c r="F211" s="722" t="n"/>
      <c r="G211" s="722" t="n"/>
      <c r="H211" s="722" t="n"/>
      <c r="I211" s="722" t="n"/>
      <c r="J211" s="722" t="n"/>
      <c r="K211" s="722" t="n"/>
      <c r="L211" s="722" t="n"/>
      <c r="M211" s="722" t="n"/>
      <c r="N211" s="722" t="n"/>
      <c r="O211" s="722" t="n"/>
      <c r="P211" s="722" t="n"/>
      <c r="Q211" s="722" t="n"/>
      <c r="R211" s="722" t="n"/>
      <c r="S211" s="722" t="n"/>
      <c r="T211" s="722" t="n"/>
      <c r="U211" s="722" t="n"/>
      <c r="V211" s="722" t="n"/>
      <c r="W211" s="722" t="n"/>
      <c r="X211" s="722" t="n"/>
      <c r="Y211" s="722" t="n"/>
      <c r="Z211" s="722" t="n"/>
      <c r="AA211" s="722" t="n"/>
      <c r="AB211" s="722" t="n"/>
      <c r="AC211" s="722" t="n"/>
      <c r="AD211" s="722" t="n"/>
      <c r="AE211" s="722" t="n"/>
      <c r="AF211" s="722" t="n"/>
      <c r="AG211" s="722" t="n"/>
      <c r="AH211" s="722" t="n"/>
      <c r="AI211" s="722" t="n"/>
      <c r="AJ211" s="722" t="n"/>
      <c r="AK211" s="722" t="n"/>
      <c r="AL211" s="721" t="n"/>
      <c r="AQ211" s="594" t="n"/>
      <c r="AR211" s="595" t="n"/>
    </row>
    <row r="212" ht="19" customHeight="1" s="672">
      <c r="A212" s="4" t="n">
        <v>196</v>
      </c>
      <c r="B212" s="5" t="inlineStr">
        <is>
          <t>Cọc khoan nhồi C2 Trụ T2 (D1.2m, L=30.0m)</t>
        </is>
      </c>
      <c r="C212" s="5" t="inlineStr">
        <is>
          <t>Cọc trụ T2 L=30m (tr.70)</t>
        </is>
      </c>
      <c r="D212" s="14" t="inlineStr">
        <is>
          <t>P1</t>
        </is>
      </c>
      <c r="E212" s="15" t="n">
        <v>10</v>
      </c>
      <c r="F212" s="4" t="inlineStr">
        <is>
          <t>CB240-T</t>
        </is>
      </c>
      <c r="G212" s="5" t="inlineStr"/>
      <c r="H212" s="16" t="n">
        <v>96.604</v>
      </c>
      <c r="I212" s="17" t="n">
        <v>1</v>
      </c>
      <c r="J212" s="18" t="n">
        <v>0.617</v>
      </c>
      <c r="K212" s="7">
        <f>ROUND(H212*I212*J212, 2)</f>
        <v/>
      </c>
      <c r="L212" s="19">
        <f>ROUND(K212/1000, 3)</f>
        <v/>
      </c>
      <c r="M212" s="728">
        <f>IF(AO212="","",IF(N(INDEX(Theo_Doi_Tan_Suat_Be_Tong!$C:$C,AO212))&lt;=0,"",INDEX(Theo_Doi_Tan_Suat_Be_Tong!$C:$C,AO212)-VLOOKUP(AN212,$AQ$2:$AR$7,2,FALSE)))</f>
        <v/>
      </c>
      <c r="N212" s="4" t="n"/>
      <c r="O212" s="20">
        <f>IF(ROUNDUP(P212/20,0)&gt;ROUNDUP(P210/20,0),"TN Ø10 (Lần " &amp; ROUNDUP(P212/20,0) &amp; ")","")</f>
        <v/>
      </c>
      <c r="P212" s="16">
        <f>ROUND(P210+IF(AND(E212&lt;=10,F212&lt;&gt;"ASTM A416"),L212,0),3)</f>
        <v/>
      </c>
      <c r="Q212" s="16">
        <f>ROUND(Q210+IF(AND(E212=12,F212&lt;&gt;"ASTM A416"),L212,0),3)</f>
        <v/>
      </c>
      <c r="R212" s="16">
        <f>ROUND(R210+IF(AND(E212=14,F212&lt;&gt;"ASTM A416"),L212,0),3)</f>
        <v/>
      </c>
      <c r="S212" s="16">
        <f>ROUND(S210+IF(AND(E212=16,F212&lt;&gt;"ASTM A416"),L212,0),3)</f>
        <v/>
      </c>
      <c r="T212" s="16">
        <f>ROUND(T210+IF(AND(E212=18,F212&lt;&gt;"ASTM A416"),L212,0),3)</f>
        <v/>
      </c>
      <c r="U212" s="16">
        <f>ROUND(U210+IF(AND(E212=20,F212&lt;&gt;"ASTM A416"),L212,0),3)</f>
        <v/>
      </c>
      <c r="V212" s="16">
        <f>ROUND(V210+IF(AND(E212=22,F212&lt;&gt;"ASTM A416"),L212,0),3)</f>
        <v/>
      </c>
      <c r="W212" s="16">
        <f>ROUND(W210+IF(AND(E212=25,F212&lt;&gt;"ASTM A416"),L212,0),3)</f>
        <v/>
      </c>
      <c r="X212" s="16">
        <f>ROUND(X210+IF(AND(E212=28,F212&lt;&gt;"ASTM A416"),L212,0),3)</f>
        <v/>
      </c>
      <c r="Y212" s="16">
        <f>ROUND(Y210+IF(AND(E212=32,F212&lt;&gt;"ASTM A416"),L212,0),3)</f>
        <v/>
      </c>
      <c r="Z212" s="16">
        <f>ROUND(Z210+IF(F212="ASTM A416",L212,0),3)</f>
        <v/>
      </c>
      <c r="AA212" s="9">
        <f>IF(ROUNDUP(P212/20,0)&gt;ROUNDUP(P210/20,0),"Lần " &amp; ROUNDUP(P212/20,0),"")</f>
        <v/>
      </c>
      <c r="AB212" s="9">
        <f>IF(ROUNDUP(Q212/20,0)&gt;ROUNDUP(Q210/20,0),"Lần " &amp; ROUNDUP(Q212/20,0),"")</f>
        <v/>
      </c>
      <c r="AC212" s="9">
        <f>IF(ROUNDUP(R212/20,0)&gt;ROUNDUP(R210/20,0),"Lần " &amp; ROUNDUP(R212/20,0),"")</f>
        <v/>
      </c>
      <c r="AD212" s="9">
        <f>IF(ROUNDUP(S212/20,0)&gt;ROUNDUP(S210/20,0),"Lần " &amp; ROUNDUP(S212/20,0),"")</f>
        <v/>
      </c>
      <c r="AE212" s="9">
        <f>IF(ROUNDUP(T212/20,0)&gt;ROUNDUP(T210/20,0),"Lần " &amp; ROUNDUP(T212/20,0),"")</f>
        <v/>
      </c>
      <c r="AF212" s="9">
        <f>IF(ROUNDUP(U212/20,0)&gt;ROUNDUP(U210/20,0),"Lần " &amp; ROUNDUP(U212/20,0),"")</f>
        <v/>
      </c>
      <c r="AG212" s="9">
        <f>IF(ROUNDUP(V212/20,0)&gt;ROUNDUP(V210/20,0),"Lần " &amp; ROUNDUP(V212/20,0),"")</f>
        <v/>
      </c>
      <c r="AH212" s="9">
        <f>IF(ROUNDUP(W212/20,0)&gt;ROUNDUP(W210/20,0),"Lần " &amp; ROUNDUP(W212/20,0),"")</f>
        <v/>
      </c>
      <c r="AI212" s="9">
        <f>IF(ROUNDUP(X212/20,0)&gt;ROUNDUP(X210/20,0),"Lần " &amp; ROUNDUP(X212/20,0),"")</f>
        <v/>
      </c>
      <c r="AJ212" s="9">
        <f>IF(ROUNDUP(Y212/20,0)&gt;ROUNDUP(Y210/20,0),"Lần " &amp; ROUNDUP(Y212/20,0),"")</f>
        <v/>
      </c>
      <c r="AK212" s="9">
        <f>IF(ROUNDUP(Z212/20,0)&gt;ROUNDUP(Z210/20,0),"Lần " &amp; ROUNDUP(Z212/20,0),"")</f>
        <v/>
      </c>
      <c r="AL212" s="4" t="n"/>
      <c r="AN212" s="596" t="inlineStr">
        <is>
          <t>Coc</t>
        </is>
      </c>
      <c r="AO212" s="596" t="n">
        <v>17</v>
      </c>
      <c r="AQ212" s="594" t="n"/>
      <c r="AR212" s="595" t="n"/>
    </row>
    <row r="213" ht="19" customHeight="1" s="672">
      <c r="A213" s="4" t="n">
        <v>197</v>
      </c>
      <c r="B213" s="5" t="inlineStr">
        <is>
          <t>Cọc khoan nhồi C2 Trụ T2 (D1.2m, L=30.0m)</t>
        </is>
      </c>
      <c r="C213" s="5" t="inlineStr">
        <is>
          <t>Cọc trụ T2 L=30m (tr.70)</t>
        </is>
      </c>
      <c r="D213" s="14" t="inlineStr">
        <is>
          <t>P1A</t>
        </is>
      </c>
      <c r="E213" s="15" t="n">
        <v>10</v>
      </c>
      <c r="F213" s="4" t="inlineStr">
        <is>
          <t>CB240-T</t>
        </is>
      </c>
      <c r="G213" s="5" t="inlineStr"/>
      <c r="H213" s="16" t="n">
        <v>389.636</v>
      </c>
      <c r="I213" s="17" t="n">
        <v>1</v>
      </c>
      <c r="J213" s="18" t="n">
        <v>0.617</v>
      </c>
      <c r="K213" s="7">
        <f>ROUND(H213*I213*J213, 2)</f>
        <v/>
      </c>
      <c r="L213" s="19">
        <f>ROUND(K213/1000, 3)</f>
        <v/>
      </c>
      <c r="M213" s="728">
        <f>IF(AO213="","",IF(N(INDEX(Theo_Doi_Tan_Suat_Be_Tong!$C:$C,AO213))&lt;=0,"",INDEX(Theo_Doi_Tan_Suat_Be_Tong!$C:$C,AO213)-VLOOKUP(AN213,$AQ$2:$AR$7,2,FALSE)))</f>
        <v/>
      </c>
      <c r="N213" s="4" t="n"/>
      <c r="O213" s="20">
        <f>IF(ROUNDUP(P213/20,0)&gt;ROUNDUP(P212/20,0),"TN Ø10 (Lần " &amp; ROUNDUP(P213/20,0) &amp; ")","")</f>
        <v/>
      </c>
      <c r="P213" s="16">
        <f>ROUND(P212+IF(AND(E213&lt;=10,F213&lt;&gt;"ASTM A416"),L213,0),3)</f>
        <v/>
      </c>
      <c r="Q213" s="16">
        <f>ROUND(Q212+IF(AND(E213=12,F213&lt;&gt;"ASTM A416"),L213,0),3)</f>
        <v/>
      </c>
      <c r="R213" s="16">
        <f>ROUND(R212+IF(AND(E213=14,F213&lt;&gt;"ASTM A416"),L213,0),3)</f>
        <v/>
      </c>
      <c r="S213" s="16">
        <f>ROUND(S212+IF(AND(E213=16,F213&lt;&gt;"ASTM A416"),L213,0),3)</f>
        <v/>
      </c>
      <c r="T213" s="16">
        <f>ROUND(T212+IF(AND(E213=18,F213&lt;&gt;"ASTM A416"),L213,0),3)</f>
        <v/>
      </c>
      <c r="U213" s="16">
        <f>ROUND(U212+IF(AND(E213=20,F213&lt;&gt;"ASTM A416"),L213,0),3)</f>
        <v/>
      </c>
      <c r="V213" s="16">
        <f>ROUND(V212+IF(AND(E213=22,F213&lt;&gt;"ASTM A416"),L213,0),3)</f>
        <v/>
      </c>
      <c r="W213" s="16">
        <f>ROUND(W212+IF(AND(E213=25,F213&lt;&gt;"ASTM A416"),L213,0),3)</f>
        <v/>
      </c>
      <c r="X213" s="16">
        <f>ROUND(X212+IF(AND(E213=28,F213&lt;&gt;"ASTM A416"),L213,0),3)</f>
        <v/>
      </c>
      <c r="Y213" s="16">
        <f>ROUND(Y212+IF(AND(E213=32,F213&lt;&gt;"ASTM A416"),L213,0),3)</f>
        <v/>
      </c>
      <c r="Z213" s="16">
        <f>ROUND(Z212+IF(F213="ASTM A416",L213,0),3)</f>
        <v/>
      </c>
      <c r="AA213" s="9">
        <f>IF(ROUNDUP(P213/20,0)&gt;ROUNDUP(P212/20,0),"Lần " &amp; ROUNDUP(P213/20,0),"")</f>
        <v/>
      </c>
      <c r="AB213" s="9">
        <f>IF(ROUNDUP(Q213/20,0)&gt;ROUNDUP(Q212/20,0),"Lần " &amp; ROUNDUP(Q213/20,0),"")</f>
        <v/>
      </c>
      <c r="AC213" s="9">
        <f>IF(ROUNDUP(R213/20,0)&gt;ROUNDUP(R212/20,0),"Lần " &amp; ROUNDUP(R213/20,0),"")</f>
        <v/>
      </c>
      <c r="AD213" s="9">
        <f>IF(ROUNDUP(S213/20,0)&gt;ROUNDUP(S212/20,0),"Lần " &amp; ROUNDUP(S213/20,0),"")</f>
        <v/>
      </c>
      <c r="AE213" s="9">
        <f>IF(ROUNDUP(T213/20,0)&gt;ROUNDUP(T212/20,0),"Lần " &amp; ROUNDUP(T213/20,0),"")</f>
        <v/>
      </c>
      <c r="AF213" s="9">
        <f>IF(ROUNDUP(U213/20,0)&gt;ROUNDUP(U212/20,0),"Lần " &amp; ROUNDUP(U213/20,0),"")</f>
        <v/>
      </c>
      <c r="AG213" s="9">
        <f>IF(ROUNDUP(V213/20,0)&gt;ROUNDUP(V212/20,0),"Lần " &amp; ROUNDUP(V213/20,0),"")</f>
        <v/>
      </c>
      <c r="AH213" s="9">
        <f>IF(ROUNDUP(W213/20,0)&gt;ROUNDUP(W212/20,0),"Lần " &amp; ROUNDUP(W213/20,0),"")</f>
        <v/>
      </c>
      <c r="AI213" s="9">
        <f>IF(ROUNDUP(X213/20,0)&gt;ROUNDUP(X212/20,0),"Lần " &amp; ROUNDUP(X213/20,0),"")</f>
        <v/>
      </c>
      <c r="AJ213" s="9">
        <f>IF(ROUNDUP(Y213/20,0)&gt;ROUNDUP(Y212/20,0),"Lần " &amp; ROUNDUP(Y213/20,0),"")</f>
        <v/>
      </c>
      <c r="AK213" s="9">
        <f>IF(ROUNDUP(Z213/20,0)&gt;ROUNDUP(Z212/20,0),"Lần " &amp; ROUNDUP(Z213/20,0),"")</f>
        <v/>
      </c>
      <c r="AL213" s="4" t="n"/>
      <c r="AN213" s="596" t="inlineStr">
        <is>
          <t>Coc</t>
        </is>
      </c>
      <c r="AO213" s="596" t="n">
        <v>17</v>
      </c>
      <c r="AQ213" s="594" t="n"/>
      <c r="AR213" s="595" t="n"/>
    </row>
    <row r="214" ht="19" customHeight="1" s="672">
      <c r="A214" s="4" t="n">
        <v>198</v>
      </c>
      <c r="B214" s="5" t="inlineStr">
        <is>
          <t>Cọc khoan nhồi C2 Trụ T2 (D1.2m, L=30.0m)</t>
        </is>
      </c>
      <c r="C214" s="5" t="inlineStr">
        <is>
          <t>Cọc trụ T2 L=30m (tr.70)</t>
        </is>
      </c>
      <c r="D214" s="14" t="inlineStr">
        <is>
          <t>P1B</t>
        </is>
      </c>
      <c r="E214" s="15" t="n">
        <v>10</v>
      </c>
      <c r="F214" s="4" t="inlineStr">
        <is>
          <t>CB240-T</t>
        </is>
      </c>
      <c r="G214" s="5" t="inlineStr"/>
      <c r="H214" s="16" t="n">
        <v>100.256</v>
      </c>
      <c r="I214" s="17" t="n">
        <v>1</v>
      </c>
      <c r="J214" s="18" t="n">
        <v>0.617</v>
      </c>
      <c r="K214" s="7">
        <f>ROUND(H214*I214*J214, 2)</f>
        <v/>
      </c>
      <c r="L214" s="19">
        <f>ROUND(K214/1000, 3)</f>
        <v/>
      </c>
      <c r="M214" s="728">
        <f>IF(AO214="","",IF(N(INDEX(Theo_Doi_Tan_Suat_Be_Tong!$C:$C,AO214))&lt;=0,"",INDEX(Theo_Doi_Tan_Suat_Be_Tong!$C:$C,AO214)-VLOOKUP(AN214,$AQ$2:$AR$7,2,FALSE)))</f>
        <v/>
      </c>
      <c r="N214" s="4" t="n"/>
      <c r="O214" s="20">
        <f>IF(ROUNDUP(P214/20,0)&gt;ROUNDUP(P213/20,0),"TN Ø10 (Lần " &amp; ROUNDUP(P214/20,0) &amp; ")","")</f>
        <v/>
      </c>
      <c r="P214" s="16">
        <f>ROUND(P213+IF(AND(E214&lt;=10,F214&lt;&gt;"ASTM A416"),L214,0),3)</f>
        <v/>
      </c>
      <c r="Q214" s="16">
        <f>ROUND(Q213+IF(AND(E214=12,F214&lt;&gt;"ASTM A416"),L214,0),3)</f>
        <v/>
      </c>
      <c r="R214" s="16">
        <f>ROUND(R213+IF(AND(E214=14,F214&lt;&gt;"ASTM A416"),L214,0),3)</f>
        <v/>
      </c>
      <c r="S214" s="16">
        <f>ROUND(S213+IF(AND(E214=16,F214&lt;&gt;"ASTM A416"),L214,0),3)</f>
        <v/>
      </c>
      <c r="T214" s="16">
        <f>ROUND(T213+IF(AND(E214=18,F214&lt;&gt;"ASTM A416"),L214,0),3)</f>
        <v/>
      </c>
      <c r="U214" s="16">
        <f>ROUND(U213+IF(AND(E214=20,F214&lt;&gt;"ASTM A416"),L214,0),3)</f>
        <v/>
      </c>
      <c r="V214" s="16">
        <f>ROUND(V213+IF(AND(E214=22,F214&lt;&gt;"ASTM A416"),L214,0),3)</f>
        <v/>
      </c>
      <c r="W214" s="16">
        <f>ROUND(W213+IF(AND(E214=25,F214&lt;&gt;"ASTM A416"),L214,0),3)</f>
        <v/>
      </c>
      <c r="X214" s="16">
        <f>ROUND(X213+IF(AND(E214=28,F214&lt;&gt;"ASTM A416"),L214,0),3)</f>
        <v/>
      </c>
      <c r="Y214" s="16">
        <f>ROUND(Y213+IF(AND(E214=32,F214&lt;&gt;"ASTM A416"),L214,0),3)</f>
        <v/>
      </c>
      <c r="Z214" s="16">
        <f>ROUND(Z213+IF(F214="ASTM A416",L214,0),3)</f>
        <v/>
      </c>
      <c r="AA214" s="9">
        <f>IF(ROUNDUP(P214/20,0)&gt;ROUNDUP(P213/20,0),"Lần " &amp; ROUNDUP(P214/20,0),"")</f>
        <v/>
      </c>
      <c r="AB214" s="9">
        <f>IF(ROUNDUP(Q214/20,0)&gt;ROUNDUP(Q213/20,0),"Lần " &amp; ROUNDUP(Q214/20,0),"")</f>
        <v/>
      </c>
      <c r="AC214" s="9">
        <f>IF(ROUNDUP(R214/20,0)&gt;ROUNDUP(R213/20,0),"Lần " &amp; ROUNDUP(R214/20,0),"")</f>
        <v/>
      </c>
      <c r="AD214" s="9">
        <f>IF(ROUNDUP(S214/20,0)&gt;ROUNDUP(S213/20,0),"Lần " &amp; ROUNDUP(S214/20,0),"")</f>
        <v/>
      </c>
      <c r="AE214" s="9">
        <f>IF(ROUNDUP(T214/20,0)&gt;ROUNDUP(T213/20,0),"Lần " &amp; ROUNDUP(T214/20,0),"")</f>
        <v/>
      </c>
      <c r="AF214" s="9">
        <f>IF(ROUNDUP(U214/20,0)&gt;ROUNDUP(U213/20,0),"Lần " &amp; ROUNDUP(U214/20,0),"")</f>
        <v/>
      </c>
      <c r="AG214" s="9">
        <f>IF(ROUNDUP(V214/20,0)&gt;ROUNDUP(V213/20,0),"Lần " &amp; ROUNDUP(V214/20,0),"")</f>
        <v/>
      </c>
      <c r="AH214" s="9">
        <f>IF(ROUNDUP(W214/20,0)&gt;ROUNDUP(W213/20,0),"Lần " &amp; ROUNDUP(W214/20,0),"")</f>
        <v/>
      </c>
      <c r="AI214" s="9">
        <f>IF(ROUNDUP(X214/20,0)&gt;ROUNDUP(X213/20,0),"Lần " &amp; ROUNDUP(X214/20,0),"")</f>
        <v/>
      </c>
      <c r="AJ214" s="9">
        <f>IF(ROUNDUP(Y214/20,0)&gt;ROUNDUP(Y213/20,0),"Lần " &amp; ROUNDUP(Y214/20,0),"")</f>
        <v/>
      </c>
      <c r="AK214" s="9">
        <f>IF(ROUNDUP(Z214/20,0)&gt;ROUNDUP(Z213/20,0),"Lần " &amp; ROUNDUP(Z214/20,0),"")</f>
        <v/>
      </c>
      <c r="AL214" s="4" t="n"/>
      <c r="AN214" s="596" t="inlineStr">
        <is>
          <t>Coc</t>
        </is>
      </c>
      <c r="AO214" s="596" t="n">
        <v>17</v>
      </c>
      <c r="AQ214" s="594" t="n"/>
      <c r="AR214" s="595" t="n"/>
    </row>
    <row r="215" ht="19" customHeight="1" s="672">
      <c r="A215" s="4" t="n">
        <v>199</v>
      </c>
      <c r="B215" s="5" t="inlineStr">
        <is>
          <t>Cọc khoan nhồi C2 Trụ T2 (D1.2m, L=30.0m)</t>
        </is>
      </c>
      <c r="C215" s="5" t="inlineStr">
        <is>
          <t>Cọc trụ T2 L=30m (tr.70)</t>
        </is>
      </c>
      <c r="D215" s="14" t="inlineStr">
        <is>
          <t>P1C</t>
        </is>
      </c>
      <c r="E215" s="15" t="n">
        <v>10</v>
      </c>
      <c r="F215" s="4" t="inlineStr">
        <is>
          <t>CB240-T</t>
        </is>
      </c>
      <c r="G215" s="5" t="inlineStr"/>
      <c r="H215" s="16" t="n">
        <v>3.592</v>
      </c>
      <c r="I215" s="17" t="n">
        <v>2</v>
      </c>
      <c r="J215" s="18" t="n">
        <v>0.617</v>
      </c>
      <c r="K215" s="7">
        <f>ROUND(H215*I215*J215, 2)</f>
        <v/>
      </c>
      <c r="L215" s="19">
        <f>ROUND(K215/1000, 3)</f>
        <v/>
      </c>
      <c r="M215" s="728">
        <f>IF(AO215="","",IF(N(INDEX(Theo_Doi_Tan_Suat_Be_Tong!$C:$C,AO215))&lt;=0,"",INDEX(Theo_Doi_Tan_Suat_Be_Tong!$C:$C,AO215)-VLOOKUP(AN215,$AQ$2:$AR$7,2,FALSE)))</f>
        <v/>
      </c>
      <c r="N215" s="4" t="n"/>
      <c r="O215" s="20">
        <f>IF(ROUNDUP(P215/20,0)&gt;ROUNDUP(P214/20,0),"TN Ø10 (Lần " &amp; ROUNDUP(P215/20,0) &amp; ")","")</f>
        <v/>
      </c>
      <c r="P215" s="16">
        <f>ROUND(P214+IF(AND(E215&lt;=10,F215&lt;&gt;"ASTM A416"),L215,0),3)</f>
        <v/>
      </c>
      <c r="Q215" s="16">
        <f>ROUND(Q214+IF(AND(E215=12,F215&lt;&gt;"ASTM A416"),L215,0),3)</f>
        <v/>
      </c>
      <c r="R215" s="16">
        <f>ROUND(R214+IF(AND(E215=14,F215&lt;&gt;"ASTM A416"),L215,0),3)</f>
        <v/>
      </c>
      <c r="S215" s="16">
        <f>ROUND(S214+IF(AND(E215=16,F215&lt;&gt;"ASTM A416"),L215,0),3)</f>
        <v/>
      </c>
      <c r="T215" s="16">
        <f>ROUND(T214+IF(AND(E215=18,F215&lt;&gt;"ASTM A416"),L215,0),3)</f>
        <v/>
      </c>
      <c r="U215" s="16">
        <f>ROUND(U214+IF(AND(E215=20,F215&lt;&gt;"ASTM A416"),L215,0),3)</f>
        <v/>
      </c>
      <c r="V215" s="16">
        <f>ROUND(V214+IF(AND(E215=22,F215&lt;&gt;"ASTM A416"),L215,0),3)</f>
        <v/>
      </c>
      <c r="W215" s="16">
        <f>ROUND(W214+IF(AND(E215=25,F215&lt;&gt;"ASTM A416"),L215,0),3)</f>
        <v/>
      </c>
      <c r="X215" s="16">
        <f>ROUND(X214+IF(AND(E215=28,F215&lt;&gt;"ASTM A416"),L215,0),3)</f>
        <v/>
      </c>
      <c r="Y215" s="16">
        <f>ROUND(Y214+IF(AND(E215=32,F215&lt;&gt;"ASTM A416"),L215,0),3)</f>
        <v/>
      </c>
      <c r="Z215" s="16">
        <f>ROUND(Z214+IF(F215="ASTM A416",L215,0),3)</f>
        <v/>
      </c>
      <c r="AA215" s="9">
        <f>IF(ROUNDUP(P215/20,0)&gt;ROUNDUP(P214/20,0),"Lần " &amp; ROUNDUP(P215/20,0),"")</f>
        <v/>
      </c>
      <c r="AB215" s="9">
        <f>IF(ROUNDUP(Q215/20,0)&gt;ROUNDUP(Q214/20,0),"Lần " &amp; ROUNDUP(Q215/20,0),"")</f>
        <v/>
      </c>
      <c r="AC215" s="9">
        <f>IF(ROUNDUP(R215/20,0)&gt;ROUNDUP(R214/20,0),"Lần " &amp; ROUNDUP(R215/20,0),"")</f>
        <v/>
      </c>
      <c r="AD215" s="9">
        <f>IF(ROUNDUP(S215/20,0)&gt;ROUNDUP(S214/20,0),"Lần " &amp; ROUNDUP(S215/20,0),"")</f>
        <v/>
      </c>
      <c r="AE215" s="9">
        <f>IF(ROUNDUP(T215/20,0)&gt;ROUNDUP(T214/20,0),"Lần " &amp; ROUNDUP(T215/20,0),"")</f>
        <v/>
      </c>
      <c r="AF215" s="9">
        <f>IF(ROUNDUP(U215/20,0)&gt;ROUNDUP(U214/20,0),"Lần " &amp; ROUNDUP(U215/20,0),"")</f>
        <v/>
      </c>
      <c r="AG215" s="9">
        <f>IF(ROUNDUP(V215/20,0)&gt;ROUNDUP(V214/20,0),"Lần " &amp; ROUNDUP(V215/20,0),"")</f>
        <v/>
      </c>
      <c r="AH215" s="9">
        <f>IF(ROUNDUP(W215/20,0)&gt;ROUNDUP(W214/20,0),"Lần " &amp; ROUNDUP(W215/20,0),"")</f>
        <v/>
      </c>
      <c r="AI215" s="9">
        <f>IF(ROUNDUP(X215/20,0)&gt;ROUNDUP(X214/20,0),"Lần " &amp; ROUNDUP(X215/20,0),"")</f>
        <v/>
      </c>
      <c r="AJ215" s="9">
        <f>IF(ROUNDUP(Y215/20,0)&gt;ROUNDUP(Y214/20,0),"Lần " &amp; ROUNDUP(Y215/20,0),"")</f>
        <v/>
      </c>
      <c r="AK215" s="9">
        <f>IF(ROUNDUP(Z215/20,0)&gt;ROUNDUP(Z214/20,0),"Lần " &amp; ROUNDUP(Z215/20,0),"")</f>
        <v/>
      </c>
      <c r="AL215" s="4" t="n"/>
      <c r="AN215" s="596" t="inlineStr">
        <is>
          <t>Coc</t>
        </is>
      </c>
      <c r="AO215" s="596" t="n">
        <v>17</v>
      </c>
      <c r="AQ215" s="594" t="n"/>
      <c r="AR215" s="595" t="n"/>
    </row>
    <row r="216" ht="19" customHeight="1" s="672">
      <c r="A216" s="4" t="n">
        <v>200</v>
      </c>
      <c r="B216" s="5" t="inlineStr">
        <is>
          <t>Cọc khoan nhồi C2 Trụ T2 (D1.2m, L=30.0m)</t>
        </is>
      </c>
      <c r="C216" s="5" t="inlineStr">
        <is>
          <t>Cọc trụ T2 L=30m (tr.70)</t>
        </is>
      </c>
      <c r="D216" s="14" t="inlineStr">
        <is>
          <t>P1D</t>
        </is>
      </c>
      <c r="E216" s="15" t="n">
        <v>10</v>
      </c>
      <c r="F216" s="4" t="inlineStr">
        <is>
          <t>CB240-T</t>
        </is>
      </c>
      <c r="G216" s="5" t="inlineStr"/>
      <c r="H216" s="16" t="n">
        <v>19.721</v>
      </c>
      <c r="I216" s="17" t="n">
        <v>1</v>
      </c>
      <c r="J216" s="18" t="n">
        <v>0.617</v>
      </c>
      <c r="K216" s="7">
        <f>ROUND(H216*I216*J216, 2)</f>
        <v/>
      </c>
      <c r="L216" s="19">
        <f>ROUND(K216/1000, 3)</f>
        <v/>
      </c>
      <c r="M216" s="728">
        <f>IF(AO216="","",IF(N(INDEX(Theo_Doi_Tan_Suat_Be_Tong!$C:$C,AO216))&lt;=0,"",INDEX(Theo_Doi_Tan_Suat_Be_Tong!$C:$C,AO216)-VLOOKUP(AN216,$AQ$2:$AR$7,2,FALSE)))</f>
        <v/>
      </c>
      <c r="N216" s="4" t="n"/>
      <c r="O216" s="20">
        <f>IF(ROUNDUP(P216/20,0)&gt;ROUNDUP(P215/20,0),"TN Ø10 (Lần " &amp; ROUNDUP(P216/20,0) &amp; ")","")</f>
        <v/>
      </c>
      <c r="P216" s="16">
        <f>ROUND(P215+IF(AND(E216&lt;=10,F216&lt;&gt;"ASTM A416"),L216,0),3)</f>
        <v/>
      </c>
      <c r="Q216" s="16">
        <f>ROUND(Q215+IF(AND(E216=12,F216&lt;&gt;"ASTM A416"),L216,0),3)</f>
        <v/>
      </c>
      <c r="R216" s="16">
        <f>ROUND(R215+IF(AND(E216=14,F216&lt;&gt;"ASTM A416"),L216,0),3)</f>
        <v/>
      </c>
      <c r="S216" s="16">
        <f>ROUND(S215+IF(AND(E216=16,F216&lt;&gt;"ASTM A416"),L216,0),3)</f>
        <v/>
      </c>
      <c r="T216" s="16">
        <f>ROUND(T215+IF(AND(E216=18,F216&lt;&gt;"ASTM A416"),L216,0),3)</f>
        <v/>
      </c>
      <c r="U216" s="16">
        <f>ROUND(U215+IF(AND(E216=20,F216&lt;&gt;"ASTM A416"),L216,0),3)</f>
        <v/>
      </c>
      <c r="V216" s="16">
        <f>ROUND(V215+IF(AND(E216=22,F216&lt;&gt;"ASTM A416"),L216,0),3)</f>
        <v/>
      </c>
      <c r="W216" s="16">
        <f>ROUND(W215+IF(AND(E216=25,F216&lt;&gt;"ASTM A416"),L216,0),3)</f>
        <v/>
      </c>
      <c r="X216" s="16">
        <f>ROUND(X215+IF(AND(E216=28,F216&lt;&gt;"ASTM A416"),L216,0),3)</f>
        <v/>
      </c>
      <c r="Y216" s="16">
        <f>ROUND(Y215+IF(AND(E216=32,F216&lt;&gt;"ASTM A416"),L216,0),3)</f>
        <v/>
      </c>
      <c r="Z216" s="16">
        <f>ROUND(Z215+IF(F216="ASTM A416",L216,0),3)</f>
        <v/>
      </c>
      <c r="AA216" s="9">
        <f>IF(ROUNDUP(P216/20,0)&gt;ROUNDUP(P215/20,0),"Lần " &amp; ROUNDUP(P216/20,0),"")</f>
        <v/>
      </c>
      <c r="AB216" s="9">
        <f>IF(ROUNDUP(Q216/20,0)&gt;ROUNDUP(Q215/20,0),"Lần " &amp; ROUNDUP(Q216/20,0),"")</f>
        <v/>
      </c>
      <c r="AC216" s="9">
        <f>IF(ROUNDUP(R216/20,0)&gt;ROUNDUP(R215/20,0),"Lần " &amp; ROUNDUP(R216/20,0),"")</f>
        <v/>
      </c>
      <c r="AD216" s="9">
        <f>IF(ROUNDUP(S216/20,0)&gt;ROUNDUP(S215/20,0),"Lần " &amp; ROUNDUP(S216/20,0),"")</f>
        <v/>
      </c>
      <c r="AE216" s="9">
        <f>IF(ROUNDUP(T216/20,0)&gt;ROUNDUP(T215/20,0),"Lần " &amp; ROUNDUP(T216/20,0),"")</f>
        <v/>
      </c>
      <c r="AF216" s="9">
        <f>IF(ROUNDUP(U216/20,0)&gt;ROUNDUP(U215/20,0),"Lần " &amp; ROUNDUP(U216/20,0),"")</f>
        <v/>
      </c>
      <c r="AG216" s="9">
        <f>IF(ROUNDUP(V216/20,0)&gt;ROUNDUP(V215/20,0),"Lần " &amp; ROUNDUP(V216/20,0),"")</f>
        <v/>
      </c>
      <c r="AH216" s="9">
        <f>IF(ROUNDUP(W216/20,0)&gt;ROUNDUP(W215/20,0),"Lần " &amp; ROUNDUP(W216/20,0),"")</f>
        <v/>
      </c>
      <c r="AI216" s="9">
        <f>IF(ROUNDUP(X216/20,0)&gt;ROUNDUP(X215/20,0),"Lần " &amp; ROUNDUP(X216/20,0),"")</f>
        <v/>
      </c>
      <c r="AJ216" s="9">
        <f>IF(ROUNDUP(Y216/20,0)&gt;ROUNDUP(Y215/20,0),"Lần " &amp; ROUNDUP(Y216/20,0),"")</f>
        <v/>
      </c>
      <c r="AK216" s="9">
        <f>IF(ROUNDUP(Z216/20,0)&gt;ROUNDUP(Z215/20,0),"Lần " &amp; ROUNDUP(Z216/20,0),"")</f>
        <v/>
      </c>
      <c r="AL216" s="4" t="n"/>
      <c r="AN216" s="596" t="inlineStr">
        <is>
          <t>Coc</t>
        </is>
      </c>
      <c r="AO216" s="596" t="n">
        <v>17</v>
      </c>
      <c r="AQ216" s="594" t="n"/>
      <c r="AR216" s="595" t="n"/>
    </row>
    <row r="217" ht="19" customHeight="1" s="672">
      <c r="A217" s="4" t="n">
        <v>201</v>
      </c>
      <c r="B217" s="5" t="inlineStr">
        <is>
          <t>Cọc khoan nhồi C2 Trụ T2 (D1.2m, L=30.0m)</t>
        </is>
      </c>
      <c r="C217" s="5" t="inlineStr">
        <is>
          <t>Cọc trụ T2 L=30m (tr.70)</t>
        </is>
      </c>
      <c r="D217" s="14" t="inlineStr">
        <is>
          <t>P2B</t>
        </is>
      </c>
      <c r="E217" s="15" t="n">
        <v>25</v>
      </c>
      <c r="F217" s="4" t="inlineStr">
        <is>
          <t>CB400-V</t>
        </is>
      </c>
      <c r="G217" s="5" t="inlineStr"/>
      <c r="H217" s="16" t="n">
        <v>2.985</v>
      </c>
      <c r="I217" s="17" t="n">
        <v>12</v>
      </c>
      <c r="J217" s="18" t="n">
        <v>3.853</v>
      </c>
      <c r="K217" s="7">
        <f>ROUND(H217*I217*J217, 2)</f>
        <v/>
      </c>
      <c r="L217" s="19">
        <f>ROUND(K217/1000, 3)</f>
        <v/>
      </c>
      <c r="M217" s="728">
        <f>IF(AO217="","",IF(N(INDEX(Theo_Doi_Tan_Suat_Be_Tong!$C:$C,AO217))&lt;=0,"",INDEX(Theo_Doi_Tan_Suat_Be_Tong!$C:$C,AO217)-VLOOKUP(AN217,$AQ$2:$AR$7,2,FALSE)))</f>
        <v/>
      </c>
      <c r="N217" s="4" t="n"/>
      <c r="O217" s="20">
        <f>IF(ROUNDUP(W217/20,0)&gt;ROUNDUP(W216/20,0),"TN Ø25 (Lần " &amp; ROUNDUP(W217/20,0) &amp; ")","")</f>
        <v/>
      </c>
      <c r="P217" s="16">
        <f>ROUND(P216+IF(AND(E217&lt;=10,F217&lt;&gt;"ASTM A416"),L217,0),3)</f>
        <v/>
      </c>
      <c r="Q217" s="16">
        <f>ROUND(Q216+IF(AND(E217=12,F217&lt;&gt;"ASTM A416"),L217,0),3)</f>
        <v/>
      </c>
      <c r="R217" s="16">
        <f>ROUND(R216+IF(AND(E217=14,F217&lt;&gt;"ASTM A416"),L217,0),3)</f>
        <v/>
      </c>
      <c r="S217" s="16">
        <f>ROUND(S216+IF(AND(E217=16,F217&lt;&gt;"ASTM A416"),L217,0),3)</f>
        <v/>
      </c>
      <c r="T217" s="16">
        <f>ROUND(T216+IF(AND(E217=18,F217&lt;&gt;"ASTM A416"),L217,0),3)</f>
        <v/>
      </c>
      <c r="U217" s="16">
        <f>ROUND(U216+IF(AND(E217=20,F217&lt;&gt;"ASTM A416"),L217,0),3)</f>
        <v/>
      </c>
      <c r="V217" s="16">
        <f>ROUND(V216+IF(AND(E217=22,F217&lt;&gt;"ASTM A416"),L217,0),3)</f>
        <v/>
      </c>
      <c r="W217" s="16">
        <f>ROUND(W216+IF(AND(E217=25,F217&lt;&gt;"ASTM A416"),L217,0),3)</f>
        <v/>
      </c>
      <c r="X217" s="16">
        <f>ROUND(X216+IF(AND(E217=28,F217&lt;&gt;"ASTM A416"),L217,0),3)</f>
        <v/>
      </c>
      <c r="Y217" s="16">
        <f>ROUND(Y216+IF(AND(E217=32,F217&lt;&gt;"ASTM A416"),L217,0),3)</f>
        <v/>
      </c>
      <c r="Z217" s="16">
        <f>ROUND(Z216+IF(F217="ASTM A416",L217,0),3)</f>
        <v/>
      </c>
      <c r="AA217" s="9">
        <f>IF(ROUNDUP(P217/20,0)&gt;ROUNDUP(P216/20,0),"Lần " &amp; ROUNDUP(P217/20,0),"")</f>
        <v/>
      </c>
      <c r="AB217" s="9">
        <f>IF(ROUNDUP(Q217/20,0)&gt;ROUNDUP(Q216/20,0),"Lần " &amp; ROUNDUP(Q217/20,0),"")</f>
        <v/>
      </c>
      <c r="AC217" s="9">
        <f>IF(ROUNDUP(R217/20,0)&gt;ROUNDUP(R216/20,0),"Lần " &amp; ROUNDUP(R217/20,0),"")</f>
        <v/>
      </c>
      <c r="AD217" s="9">
        <f>IF(ROUNDUP(S217/20,0)&gt;ROUNDUP(S216/20,0),"Lần " &amp; ROUNDUP(S217/20,0),"")</f>
        <v/>
      </c>
      <c r="AE217" s="9">
        <f>IF(ROUNDUP(T217/20,0)&gt;ROUNDUP(T216/20,0),"Lần " &amp; ROUNDUP(T217/20,0),"")</f>
        <v/>
      </c>
      <c r="AF217" s="9">
        <f>IF(ROUNDUP(U217/20,0)&gt;ROUNDUP(U216/20,0),"Lần " &amp; ROUNDUP(U217/20,0),"")</f>
        <v/>
      </c>
      <c r="AG217" s="9">
        <f>IF(ROUNDUP(V217/20,0)&gt;ROUNDUP(V216/20,0),"Lần " &amp; ROUNDUP(V217/20,0),"")</f>
        <v/>
      </c>
      <c r="AH217" s="9">
        <f>IF(ROUNDUP(W217/20,0)&gt;ROUNDUP(W216/20,0),"Lần " &amp; ROUNDUP(W217/20,0),"")</f>
        <v/>
      </c>
      <c r="AI217" s="9">
        <f>IF(ROUNDUP(X217/20,0)&gt;ROUNDUP(X216/20,0),"Lần " &amp; ROUNDUP(X217/20,0),"")</f>
        <v/>
      </c>
      <c r="AJ217" s="9">
        <f>IF(ROUNDUP(Y217/20,0)&gt;ROUNDUP(Y216/20,0),"Lần " &amp; ROUNDUP(Y217/20,0),"")</f>
        <v/>
      </c>
      <c r="AK217" s="9">
        <f>IF(ROUNDUP(Z217/20,0)&gt;ROUNDUP(Z216/20,0),"Lần " &amp; ROUNDUP(Z217/20,0),"")</f>
        <v/>
      </c>
      <c r="AL217" s="4" t="n"/>
      <c r="AN217" s="596" t="inlineStr">
        <is>
          <t>Coc</t>
        </is>
      </c>
      <c r="AO217" s="596" t="n">
        <v>17</v>
      </c>
      <c r="AQ217" s="594" t="n"/>
      <c r="AR217" s="595" t="n"/>
    </row>
    <row r="218" ht="19" customHeight="1" s="672">
      <c r="A218" s="4" t="n">
        <v>202</v>
      </c>
      <c r="B218" s="5" t="inlineStr">
        <is>
          <t>Cọc khoan nhồi C2 Trụ T2 (D1.2m, L=30.0m)</t>
        </is>
      </c>
      <c r="C218" s="5" t="inlineStr">
        <is>
          <t>Cọc trụ T2 L=30m (tr.70)</t>
        </is>
      </c>
      <c r="D218" s="14" t="inlineStr">
        <is>
          <t>P3</t>
        </is>
      </c>
      <c r="E218" s="15" t="n">
        <v>25</v>
      </c>
      <c r="F218" s="4" t="inlineStr">
        <is>
          <t>CB400-V</t>
        </is>
      </c>
      <c r="G218" s="5" t="inlineStr"/>
      <c r="H218" s="16" t="n">
        <v>10.7</v>
      </c>
      <c r="I218" s="17" t="n">
        <v>12</v>
      </c>
      <c r="J218" s="18" t="n">
        <v>3.853</v>
      </c>
      <c r="K218" s="7">
        <f>ROUND(H218*I218*J218, 2)</f>
        <v/>
      </c>
      <c r="L218" s="19">
        <f>ROUND(K218/1000, 3)</f>
        <v/>
      </c>
      <c r="M218" s="728">
        <f>IF(AO218="","",IF(N(INDEX(Theo_Doi_Tan_Suat_Be_Tong!$C:$C,AO218))&lt;=0,"",INDEX(Theo_Doi_Tan_Suat_Be_Tong!$C:$C,AO218)-VLOOKUP(AN218,$AQ$2:$AR$7,2,FALSE)))</f>
        <v/>
      </c>
      <c r="N218" s="4" t="n"/>
      <c r="O218" s="20">
        <f>IF(ROUNDUP(W218/20,0)&gt;ROUNDUP(W217/20,0),"TN Ø25 (Lần " &amp; ROUNDUP(W218/20,0) &amp; ")","")</f>
        <v/>
      </c>
      <c r="P218" s="16">
        <f>ROUND(P217+IF(AND(E218&lt;=10,F218&lt;&gt;"ASTM A416"),L218,0),3)</f>
        <v/>
      </c>
      <c r="Q218" s="16">
        <f>ROUND(Q217+IF(AND(E218=12,F218&lt;&gt;"ASTM A416"),L218,0),3)</f>
        <v/>
      </c>
      <c r="R218" s="16">
        <f>ROUND(R217+IF(AND(E218=14,F218&lt;&gt;"ASTM A416"),L218,0),3)</f>
        <v/>
      </c>
      <c r="S218" s="16">
        <f>ROUND(S217+IF(AND(E218=16,F218&lt;&gt;"ASTM A416"),L218,0),3)</f>
        <v/>
      </c>
      <c r="T218" s="16">
        <f>ROUND(T217+IF(AND(E218=18,F218&lt;&gt;"ASTM A416"),L218,0),3)</f>
        <v/>
      </c>
      <c r="U218" s="16">
        <f>ROUND(U217+IF(AND(E218=20,F218&lt;&gt;"ASTM A416"),L218,0),3)</f>
        <v/>
      </c>
      <c r="V218" s="16">
        <f>ROUND(V217+IF(AND(E218=22,F218&lt;&gt;"ASTM A416"),L218,0),3)</f>
        <v/>
      </c>
      <c r="W218" s="16">
        <f>ROUND(W217+IF(AND(E218=25,F218&lt;&gt;"ASTM A416"),L218,0),3)</f>
        <v/>
      </c>
      <c r="X218" s="16">
        <f>ROUND(X217+IF(AND(E218=28,F218&lt;&gt;"ASTM A416"),L218,0),3)</f>
        <v/>
      </c>
      <c r="Y218" s="16">
        <f>ROUND(Y217+IF(AND(E218=32,F218&lt;&gt;"ASTM A416"),L218,0),3)</f>
        <v/>
      </c>
      <c r="Z218" s="16">
        <f>ROUND(Z217+IF(F218="ASTM A416",L218,0),3)</f>
        <v/>
      </c>
      <c r="AA218" s="9">
        <f>IF(ROUNDUP(P218/20,0)&gt;ROUNDUP(P217/20,0),"Lần " &amp; ROUNDUP(P218/20,0),"")</f>
        <v/>
      </c>
      <c r="AB218" s="9">
        <f>IF(ROUNDUP(Q218/20,0)&gt;ROUNDUP(Q217/20,0),"Lần " &amp; ROUNDUP(Q218/20,0),"")</f>
        <v/>
      </c>
      <c r="AC218" s="9">
        <f>IF(ROUNDUP(R218/20,0)&gt;ROUNDUP(R217/20,0),"Lần " &amp; ROUNDUP(R218/20,0),"")</f>
        <v/>
      </c>
      <c r="AD218" s="9">
        <f>IF(ROUNDUP(S218/20,0)&gt;ROUNDUP(S217/20,0),"Lần " &amp; ROUNDUP(S218/20,0),"")</f>
        <v/>
      </c>
      <c r="AE218" s="9">
        <f>IF(ROUNDUP(T218/20,0)&gt;ROUNDUP(T217/20,0),"Lần " &amp; ROUNDUP(T218/20,0),"")</f>
        <v/>
      </c>
      <c r="AF218" s="9">
        <f>IF(ROUNDUP(U218/20,0)&gt;ROUNDUP(U217/20,0),"Lần " &amp; ROUNDUP(U218/20,0),"")</f>
        <v/>
      </c>
      <c r="AG218" s="9">
        <f>IF(ROUNDUP(V218/20,0)&gt;ROUNDUP(V217/20,0),"Lần " &amp; ROUNDUP(V218/20,0),"")</f>
        <v/>
      </c>
      <c r="AH218" s="9">
        <f>IF(ROUNDUP(W218/20,0)&gt;ROUNDUP(W217/20,0),"Lần " &amp; ROUNDUP(W218/20,0),"")</f>
        <v/>
      </c>
      <c r="AI218" s="9">
        <f>IF(ROUNDUP(X218/20,0)&gt;ROUNDUP(X217/20,0),"Lần " &amp; ROUNDUP(X218/20,0),"")</f>
        <v/>
      </c>
      <c r="AJ218" s="9">
        <f>IF(ROUNDUP(Y218/20,0)&gt;ROUNDUP(Y217/20,0),"Lần " &amp; ROUNDUP(Y218/20,0),"")</f>
        <v/>
      </c>
      <c r="AK218" s="9">
        <f>IF(ROUNDUP(Z218/20,0)&gt;ROUNDUP(Z217/20,0),"Lần " &amp; ROUNDUP(Z218/20,0),"")</f>
        <v/>
      </c>
      <c r="AL218" s="4" t="n"/>
      <c r="AN218" s="596" t="inlineStr">
        <is>
          <t>Coc</t>
        </is>
      </c>
      <c r="AO218" s="596" t="n">
        <v>17</v>
      </c>
      <c r="AQ218" s="594" t="n"/>
      <c r="AR218" s="595" t="n"/>
    </row>
    <row r="219" ht="19" customHeight="1" s="672">
      <c r="A219" s="4" t="n">
        <v>203</v>
      </c>
      <c r="B219" s="5" t="inlineStr">
        <is>
          <t>Cọc khoan nhồi C2 Trụ T2 (D1.2m, L=30.0m)</t>
        </is>
      </c>
      <c r="C219" s="5" t="inlineStr">
        <is>
          <t>Cọc trụ T2 L=30m (tr.70)</t>
        </is>
      </c>
      <c r="D219" s="14" t="inlineStr">
        <is>
          <t>P4</t>
        </is>
      </c>
      <c r="E219" s="15" t="n">
        <v>25</v>
      </c>
      <c r="F219" s="4" t="inlineStr">
        <is>
          <t>CB400-V</t>
        </is>
      </c>
      <c r="G219" s="5" t="inlineStr"/>
      <c r="H219" s="16" t="n">
        <v>11.7</v>
      </c>
      <c r="I219" s="17" t="n">
        <v>36</v>
      </c>
      <c r="J219" s="18" t="n">
        <v>3.853</v>
      </c>
      <c r="K219" s="7">
        <f>ROUND(H219*I219*J219, 2)</f>
        <v/>
      </c>
      <c r="L219" s="19">
        <f>ROUND(K219/1000, 3)</f>
        <v/>
      </c>
      <c r="M219" s="728">
        <f>IF(AO219="","",IF(N(INDEX(Theo_Doi_Tan_Suat_Be_Tong!$C:$C,AO219))&lt;=0,"",INDEX(Theo_Doi_Tan_Suat_Be_Tong!$C:$C,AO219)-VLOOKUP(AN219,$AQ$2:$AR$7,2,FALSE)))</f>
        <v/>
      </c>
      <c r="N219" s="4" t="n"/>
      <c r="O219" s="20">
        <f>IF(ROUNDUP(W219/20,0)&gt;ROUNDUP(W218/20,0),"TN Ø25 (Lần " &amp; ROUNDUP(W219/20,0) &amp; ")","")</f>
        <v/>
      </c>
      <c r="P219" s="16">
        <f>ROUND(P218+IF(AND(E219&lt;=10,F219&lt;&gt;"ASTM A416"),L219,0),3)</f>
        <v/>
      </c>
      <c r="Q219" s="16">
        <f>ROUND(Q218+IF(AND(E219=12,F219&lt;&gt;"ASTM A416"),L219,0),3)</f>
        <v/>
      </c>
      <c r="R219" s="16">
        <f>ROUND(R218+IF(AND(E219=14,F219&lt;&gt;"ASTM A416"),L219,0),3)</f>
        <v/>
      </c>
      <c r="S219" s="16">
        <f>ROUND(S218+IF(AND(E219=16,F219&lt;&gt;"ASTM A416"),L219,0),3)</f>
        <v/>
      </c>
      <c r="T219" s="16">
        <f>ROUND(T218+IF(AND(E219=18,F219&lt;&gt;"ASTM A416"),L219,0),3)</f>
        <v/>
      </c>
      <c r="U219" s="16">
        <f>ROUND(U218+IF(AND(E219=20,F219&lt;&gt;"ASTM A416"),L219,0),3)</f>
        <v/>
      </c>
      <c r="V219" s="16">
        <f>ROUND(V218+IF(AND(E219=22,F219&lt;&gt;"ASTM A416"),L219,0),3)</f>
        <v/>
      </c>
      <c r="W219" s="16">
        <f>ROUND(W218+IF(AND(E219=25,F219&lt;&gt;"ASTM A416"),L219,0),3)</f>
        <v/>
      </c>
      <c r="X219" s="16">
        <f>ROUND(X218+IF(AND(E219=28,F219&lt;&gt;"ASTM A416"),L219,0),3)</f>
        <v/>
      </c>
      <c r="Y219" s="16">
        <f>ROUND(Y218+IF(AND(E219=32,F219&lt;&gt;"ASTM A416"),L219,0),3)</f>
        <v/>
      </c>
      <c r="Z219" s="16">
        <f>ROUND(Z218+IF(F219="ASTM A416",L219,0),3)</f>
        <v/>
      </c>
      <c r="AA219" s="9">
        <f>IF(ROUNDUP(P219/20,0)&gt;ROUNDUP(P218/20,0),"Lần " &amp; ROUNDUP(P219/20,0),"")</f>
        <v/>
      </c>
      <c r="AB219" s="9">
        <f>IF(ROUNDUP(Q219/20,0)&gt;ROUNDUP(Q218/20,0),"Lần " &amp; ROUNDUP(Q219/20,0),"")</f>
        <v/>
      </c>
      <c r="AC219" s="9">
        <f>IF(ROUNDUP(R219/20,0)&gt;ROUNDUP(R218/20,0),"Lần " &amp; ROUNDUP(R219/20,0),"")</f>
        <v/>
      </c>
      <c r="AD219" s="9">
        <f>IF(ROUNDUP(S219/20,0)&gt;ROUNDUP(S218/20,0),"Lần " &amp; ROUNDUP(S219/20,0),"")</f>
        <v/>
      </c>
      <c r="AE219" s="9">
        <f>IF(ROUNDUP(T219/20,0)&gt;ROUNDUP(T218/20,0),"Lần " &amp; ROUNDUP(T219/20,0),"")</f>
        <v/>
      </c>
      <c r="AF219" s="9">
        <f>IF(ROUNDUP(U219/20,0)&gt;ROUNDUP(U218/20,0),"Lần " &amp; ROUNDUP(U219/20,0),"")</f>
        <v/>
      </c>
      <c r="AG219" s="9">
        <f>IF(ROUNDUP(V219/20,0)&gt;ROUNDUP(V218/20,0),"Lần " &amp; ROUNDUP(V219/20,0),"")</f>
        <v/>
      </c>
      <c r="AH219" s="9">
        <f>IF(ROUNDUP(W219/20,0)&gt;ROUNDUP(W218/20,0),"Lần " &amp; ROUNDUP(W219/20,0),"")</f>
        <v/>
      </c>
      <c r="AI219" s="9">
        <f>IF(ROUNDUP(X219/20,0)&gt;ROUNDUP(X218/20,0),"Lần " &amp; ROUNDUP(X219/20,0),"")</f>
        <v/>
      </c>
      <c r="AJ219" s="9">
        <f>IF(ROUNDUP(Y219/20,0)&gt;ROUNDUP(Y218/20,0),"Lần " &amp; ROUNDUP(Y219/20,0),"")</f>
        <v/>
      </c>
      <c r="AK219" s="9">
        <f>IF(ROUNDUP(Z219/20,0)&gt;ROUNDUP(Z218/20,0),"Lần " &amp; ROUNDUP(Z219/20,0),"")</f>
        <v/>
      </c>
      <c r="AL219" s="4" t="n"/>
      <c r="AN219" s="596" t="inlineStr">
        <is>
          <t>Coc</t>
        </is>
      </c>
      <c r="AO219" s="596" t="n">
        <v>17</v>
      </c>
      <c r="AQ219" s="594" t="n"/>
      <c r="AR219" s="595" t="n"/>
    </row>
    <row r="220" ht="19" customHeight="1" s="672">
      <c r="A220" s="4" t="n">
        <v>204</v>
      </c>
      <c r="B220" s="5" t="inlineStr">
        <is>
          <t>Cọc khoan nhồi C2 Trụ T2 (D1.2m, L=30.0m)</t>
        </is>
      </c>
      <c r="C220" s="5" t="inlineStr">
        <is>
          <t>Cọc trụ T2 L=30m (tr.70)</t>
        </is>
      </c>
      <c r="D220" s="14" t="inlineStr">
        <is>
          <t>P6</t>
        </is>
      </c>
      <c r="E220" s="15" t="n">
        <v>25</v>
      </c>
      <c r="F220" s="4" t="inlineStr">
        <is>
          <t>CB400-V</t>
        </is>
      </c>
      <c r="G220" s="5" t="inlineStr"/>
      <c r="H220" s="16" t="n">
        <v>9.733000000000001</v>
      </c>
      <c r="I220" s="17" t="n">
        <v>12</v>
      </c>
      <c r="J220" s="18" t="n">
        <v>3.853</v>
      </c>
      <c r="K220" s="7">
        <f>ROUND(H220*I220*J220, 2)</f>
        <v/>
      </c>
      <c r="L220" s="19">
        <f>ROUND(K220/1000, 3)</f>
        <v/>
      </c>
      <c r="M220" s="728">
        <f>IF(AO220="","",IF(N(INDEX(Theo_Doi_Tan_Suat_Be_Tong!$C:$C,AO220))&lt;=0,"",INDEX(Theo_Doi_Tan_Suat_Be_Tong!$C:$C,AO220)-VLOOKUP(AN220,$AQ$2:$AR$7,2,FALSE)))</f>
        <v/>
      </c>
      <c r="N220" s="4" t="n"/>
      <c r="O220" s="20">
        <f>IF(ROUNDUP(W220/20,0)&gt;ROUNDUP(W219/20,0),"TN Ø25 (Lần " &amp; ROUNDUP(W220/20,0) &amp; ")","")</f>
        <v/>
      </c>
      <c r="P220" s="16">
        <f>ROUND(P219+IF(AND(E220&lt;=10,F220&lt;&gt;"ASTM A416"),L220,0),3)</f>
        <v/>
      </c>
      <c r="Q220" s="16">
        <f>ROUND(Q219+IF(AND(E220=12,F220&lt;&gt;"ASTM A416"),L220,0),3)</f>
        <v/>
      </c>
      <c r="R220" s="16">
        <f>ROUND(R219+IF(AND(E220=14,F220&lt;&gt;"ASTM A416"),L220,0),3)</f>
        <v/>
      </c>
      <c r="S220" s="16">
        <f>ROUND(S219+IF(AND(E220=16,F220&lt;&gt;"ASTM A416"),L220,0),3)</f>
        <v/>
      </c>
      <c r="T220" s="16">
        <f>ROUND(T219+IF(AND(E220=18,F220&lt;&gt;"ASTM A416"),L220,0),3)</f>
        <v/>
      </c>
      <c r="U220" s="16">
        <f>ROUND(U219+IF(AND(E220=20,F220&lt;&gt;"ASTM A416"),L220,0),3)</f>
        <v/>
      </c>
      <c r="V220" s="16">
        <f>ROUND(V219+IF(AND(E220=22,F220&lt;&gt;"ASTM A416"),L220,0),3)</f>
        <v/>
      </c>
      <c r="W220" s="16">
        <f>ROUND(W219+IF(AND(E220=25,F220&lt;&gt;"ASTM A416"),L220,0),3)</f>
        <v/>
      </c>
      <c r="X220" s="16">
        <f>ROUND(X219+IF(AND(E220=28,F220&lt;&gt;"ASTM A416"),L220,0),3)</f>
        <v/>
      </c>
      <c r="Y220" s="16">
        <f>ROUND(Y219+IF(AND(E220=32,F220&lt;&gt;"ASTM A416"),L220,0),3)</f>
        <v/>
      </c>
      <c r="Z220" s="16">
        <f>ROUND(Z219+IF(F220="ASTM A416",L220,0),3)</f>
        <v/>
      </c>
      <c r="AA220" s="9">
        <f>IF(ROUNDUP(P220/20,0)&gt;ROUNDUP(P219/20,0),"Lần " &amp; ROUNDUP(P220/20,0),"")</f>
        <v/>
      </c>
      <c r="AB220" s="9">
        <f>IF(ROUNDUP(Q220/20,0)&gt;ROUNDUP(Q219/20,0),"Lần " &amp; ROUNDUP(Q220/20,0),"")</f>
        <v/>
      </c>
      <c r="AC220" s="9">
        <f>IF(ROUNDUP(R220/20,0)&gt;ROUNDUP(R219/20,0),"Lần " &amp; ROUNDUP(R220/20,0),"")</f>
        <v/>
      </c>
      <c r="AD220" s="9">
        <f>IF(ROUNDUP(S220/20,0)&gt;ROUNDUP(S219/20,0),"Lần " &amp; ROUNDUP(S220/20,0),"")</f>
        <v/>
      </c>
      <c r="AE220" s="9">
        <f>IF(ROUNDUP(T220/20,0)&gt;ROUNDUP(T219/20,0),"Lần " &amp; ROUNDUP(T220/20,0),"")</f>
        <v/>
      </c>
      <c r="AF220" s="9">
        <f>IF(ROUNDUP(U220/20,0)&gt;ROUNDUP(U219/20,0),"Lần " &amp; ROUNDUP(U220/20,0),"")</f>
        <v/>
      </c>
      <c r="AG220" s="9">
        <f>IF(ROUNDUP(V220/20,0)&gt;ROUNDUP(V219/20,0),"Lần " &amp; ROUNDUP(V220/20,0),"")</f>
        <v/>
      </c>
      <c r="AH220" s="9">
        <f>IF(ROUNDUP(W220/20,0)&gt;ROUNDUP(W219/20,0),"Lần " &amp; ROUNDUP(W220/20,0),"")</f>
        <v/>
      </c>
      <c r="AI220" s="9">
        <f>IF(ROUNDUP(X220/20,0)&gt;ROUNDUP(X219/20,0),"Lần " &amp; ROUNDUP(X220/20,0),"")</f>
        <v/>
      </c>
      <c r="AJ220" s="9">
        <f>IF(ROUNDUP(Y220/20,0)&gt;ROUNDUP(Y219/20,0),"Lần " &amp; ROUNDUP(Y220/20,0),"")</f>
        <v/>
      </c>
      <c r="AK220" s="9">
        <f>IF(ROUNDUP(Z220/20,0)&gt;ROUNDUP(Z219/20,0),"Lần " &amp; ROUNDUP(Z220/20,0),"")</f>
        <v/>
      </c>
      <c r="AL220" s="4" t="n"/>
      <c r="AN220" s="596" t="inlineStr">
        <is>
          <t>Coc</t>
        </is>
      </c>
      <c r="AO220" s="596" t="n">
        <v>17</v>
      </c>
      <c r="AQ220" s="594" t="n"/>
      <c r="AR220" s="595" t="n"/>
    </row>
    <row r="221" ht="19" customHeight="1" s="672">
      <c r="A221" s="4" t="n">
        <v>205</v>
      </c>
      <c r="B221" s="5" t="inlineStr">
        <is>
          <t>Cọc khoan nhồi C2 Trụ T2 (D1.2m, L=30.0m)</t>
        </is>
      </c>
      <c r="C221" s="5" t="inlineStr">
        <is>
          <t>Cọc trụ T2 L=30m (tr.70)</t>
        </is>
      </c>
      <c r="D221" s="14" t="inlineStr">
        <is>
          <t>P7</t>
        </is>
      </c>
      <c r="E221" s="15" t="n">
        <v>25</v>
      </c>
      <c r="F221" s="4" t="inlineStr">
        <is>
          <t>CB400-V</t>
        </is>
      </c>
      <c r="G221" s="5" t="inlineStr"/>
      <c r="H221" s="16" t="n">
        <v>10.733</v>
      </c>
      <c r="I221" s="17" t="n">
        <v>12</v>
      </c>
      <c r="J221" s="18" t="n">
        <v>3.853</v>
      </c>
      <c r="K221" s="7">
        <f>ROUND(H221*I221*J221, 2)</f>
        <v/>
      </c>
      <c r="L221" s="19">
        <f>ROUND(K221/1000, 3)</f>
        <v/>
      </c>
      <c r="M221" s="728">
        <f>IF(AO221="","",IF(N(INDEX(Theo_Doi_Tan_Suat_Be_Tong!$C:$C,AO221))&lt;=0,"",INDEX(Theo_Doi_Tan_Suat_Be_Tong!$C:$C,AO221)-VLOOKUP(AN221,$AQ$2:$AR$7,2,FALSE)))</f>
        <v/>
      </c>
      <c r="N221" s="4" t="n"/>
      <c r="O221" s="20">
        <f>IF(ROUNDUP(W221/20,0)&gt;ROUNDUP(W220/20,0),"TN Ø25 (Lần " &amp; ROUNDUP(W221/20,0) &amp; ")","")</f>
        <v/>
      </c>
      <c r="P221" s="16">
        <f>ROUND(P220+IF(AND(E221&lt;=10,F221&lt;&gt;"ASTM A416"),L221,0),3)</f>
        <v/>
      </c>
      <c r="Q221" s="16">
        <f>ROUND(Q220+IF(AND(E221=12,F221&lt;&gt;"ASTM A416"),L221,0),3)</f>
        <v/>
      </c>
      <c r="R221" s="16">
        <f>ROUND(R220+IF(AND(E221=14,F221&lt;&gt;"ASTM A416"),L221,0),3)</f>
        <v/>
      </c>
      <c r="S221" s="16">
        <f>ROUND(S220+IF(AND(E221=16,F221&lt;&gt;"ASTM A416"),L221,0),3)</f>
        <v/>
      </c>
      <c r="T221" s="16">
        <f>ROUND(T220+IF(AND(E221=18,F221&lt;&gt;"ASTM A416"),L221,0),3)</f>
        <v/>
      </c>
      <c r="U221" s="16">
        <f>ROUND(U220+IF(AND(E221=20,F221&lt;&gt;"ASTM A416"),L221,0),3)</f>
        <v/>
      </c>
      <c r="V221" s="16">
        <f>ROUND(V220+IF(AND(E221=22,F221&lt;&gt;"ASTM A416"),L221,0),3)</f>
        <v/>
      </c>
      <c r="W221" s="16">
        <f>ROUND(W220+IF(AND(E221=25,F221&lt;&gt;"ASTM A416"),L221,0),3)</f>
        <v/>
      </c>
      <c r="X221" s="16">
        <f>ROUND(X220+IF(AND(E221=28,F221&lt;&gt;"ASTM A416"),L221,0),3)</f>
        <v/>
      </c>
      <c r="Y221" s="16">
        <f>ROUND(Y220+IF(AND(E221=32,F221&lt;&gt;"ASTM A416"),L221,0),3)</f>
        <v/>
      </c>
      <c r="Z221" s="16">
        <f>ROUND(Z220+IF(F221="ASTM A416",L221,0),3)</f>
        <v/>
      </c>
      <c r="AA221" s="9">
        <f>IF(ROUNDUP(P221/20,0)&gt;ROUNDUP(P220/20,0),"Lần " &amp; ROUNDUP(P221/20,0),"")</f>
        <v/>
      </c>
      <c r="AB221" s="9">
        <f>IF(ROUNDUP(Q221/20,0)&gt;ROUNDUP(Q220/20,0),"Lần " &amp; ROUNDUP(Q221/20,0),"")</f>
        <v/>
      </c>
      <c r="AC221" s="9">
        <f>IF(ROUNDUP(R221/20,0)&gt;ROUNDUP(R220/20,0),"Lần " &amp; ROUNDUP(R221/20,0),"")</f>
        <v/>
      </c>
      <c r="AD221" s="9">
        <f>IF(ROUNDUP(S221/20,0)&gt;ROUNDUP(S220/20,0),"Lần " &amp; ROUNDUP(S221/20,0),"")</f>
        <v/>
      </c>
      <c r="AE221" s="9">
        <f>IF(ROUNDUP(T221/20,0)&gt;ROUNDUP(T220/20,0),"Lần " &amp; ROUNDUP(T221/20,0),"")</f>
        <v/>
      </c>
      <c r="AF221" s="9">
        <f>IF(ROUNDUP(U221/20,0)&gt;ROUNDUP(U220/20,0),"Lần " &amp; ROUNDUP(U221/20,0),"")</f>
        <v/>
      </c>
      <c r="AG221" s="9">
        <f>IF(ROUNDUP(V221/20,0)&gt;ROUNDUP(V220/20,0),"Lần " &amp; ROUNDUP(V221/20,0),"")</f>
        <v/>
      </c>
      <c r="AH221" s="9">
        <f>IF(ROUNDUP(W221/20,0)&gt;ROUNDUP(W220/20,0),"Lần " &amp; ROUNDUP(W221/20,0),"")</f>
        <v/>
      </c>
      <c r="AI221" s="9">
        <f>IF(ROUNDUP(X221/20,0)&gt;ROUNDUP(X220/20,0),"Lần " &amp; ROUNDUP(X221/20,0),"")</f>
        <v/>
      </c>
      <c r="AJ221" s="9">
        <f>IF(ROUNDUP(Y221/20,0)&gt;ROUNDUP(Y220/20,0),"Lần " &amp; ROUNDUP(Y221/20,0),"")</f>
        <v/>
      </c>
      <c r="AK221" s="9">
        <f>IF(ROUNDUP(Z221/20,0)&gt;ROUNDUP(Z220/20,0),"Lần " &amp; ROUNDUP(Z221/20,0),"")</f>
        <v/>
      </c>
      <c r="AL221" s="4" t="n"/>
      <c r="AN221" s="596" t="inlineStr">
        <is>
          <t>Coc</t>
        </is>
      </c>
      <c r="AO221" s="596" t="n">
        <v>17</v>
      </c>
      <c r="AQ221" s="594" t="n"/>
      <c r="AR221" s="595" t="n"/>
    </row>
    <row r="222" ht="19" customHeight="1" s="672">
      <c r="A222" s="4" t="n">
        <v>206</v>
      </c>
      <c r="B222" s="5" t="inlineStr">
        <is>
          <t>Cọc khoan nhồi C2 Trụ T2 (D1.2m, L=30.0m)</t>
        </is>
      </c>
      <c r="C222" s="5" t="inlineStr">
        <is>
          <t>Cọc trụ T2 L=30m (tr.70)</t>
        </is>
      </c>
      <c r="D222" s="14" t="inlineStr">
        <is>
          <t>P8</t>
        </is>
      </c>
      <c r="E222" s="15" t="n">
        <v>12</v>
      </c>
      <c r="F222" s="4" t="inlineStr">
        <is>
          <t>CB400-V</t>
        </is>
      </c>
      <c r="G222" s="5" t="inlineStr"/>
      <c r="H222" s="16" t="n">
        <v>0.647</v>
      </c>
      <c r="I222" s="17" t="n">
        <v>12</v>
      </c>
      <c r="J222" s="18" t="n">
        <v>0.888</v>
      </c>
      <c r="K222" s="7">
        <f>ROUND(H222*I222*J222, 2)</f>
        <v/>
      </c>
      <c r="L222" s="19">
        <f>ROUND(K222/1000, 3)</f>
        <v/>
      </c>
      <c r="M222" s="728">
        <f>IF(AO222="","",IF(N(INDEX(Theo_Doi_Tan_Suat_Be_Tong!$C:$C,AO222))&lt;=0,"",INDEX(Theo_Doi_Tan_Suat_Be_Tong!$C:$C,AO222)-VLOOKUP(AN222,$AQ$2:$AR$7,2,FALSE)))</f>
        <v/>
      </c>
      <c r="N222" s="4" t="n"/>
      <c r="O222" s="20">
        <f>IF(ROUNDUP(Q222/20,0)&gt;ROUNDUP(Q221/20,0),"TN Ø12 (Lần " &amp; ROUNDUP(Q222/20,0) &amp; ")","")</f>
        <v/>
      </c>
      <c r="P222" s="16">
        <f>ROUND(P221+IF(AND(E222&lt;=10,F222&lt;&gt;"ASTM A416"),L222,0),3)</f>
        <v/>
      </c>
      <c r="Q222" s="16">
        <f>ROUND(Q221+IF(AND(E222=12,F222&lt;&gt;"ASTM A416"),L222,0),3)</f>
        <v/>
      </c>
      <c r="R222" s="16">
        <f>ROUND(R221+IF(AND(E222=14,F222&lt;&gt;"ASTM A416"),L222,0),3)</f>
        <v/>
      </c>
      <c r="S222" s="16">
        <f>ROUND(S221+IF(AND(E222=16,F222&lt;&gt;"ASTM A416"),L222,0),3)</f>
        <v/>
      </c>
      <c r="T222" s="16">
        <f>ROUND(T221+IF(AND(E222=18,F222&lt;&gt;"ASTM A416"),L222,0),3)</f>
        <v/>
      </c>
      <c r="U222" s="16">
        <f>ROUND(U221+IF(AND(E222=20,F222&lt;&gt;"ASTM A416"),L222,0),3)</f>
        <v/>
      </c>
      <c r="V222" s="16">
        <f>ROUND(V221+IF(AND(E222=22,F222&lt;&gt;"ASTM A416"),L222,0),3)</f>
        <v/>
      </c>
      <c r="W222" s="16">
        <f>ROUND(W221+IF(AND(E222=25,F222&lt;&gt;"ASTM A416"),L222,0),3)</f>
        <v/>
      </c>
      <c r="X222" s="16">
        <f>ROUND(X221+IF(AND(E222=28,F222&lt;&gt;"ASTM A416"),L222,0),3)</f>
        <v/>
      </c>
      <c r="Y222" s="16">
        <f>ROUND(Y221+IF(AND(E222=32,F222&lt;&gt;"ASTM A416"),L222,0),3)</f>
        <v/>
      </c>
      <c r="Z222" s="16">
        <f>ROUND(Z221+IF(F222="ASTM A416",L222,0),3)</f>
        <v/>
      </c>
      <c r="AA222" s="9">
        <f>IF(ROUNDUP(P222/20,0)&gt;ROUNDUP(P221/20,0),"Lần " &amp; ROUNDUP(P222/20,0),"")</f>
        <v/>
      </c>
      <c r="AB222" s="9">
        <f>IF(ROUNDUP(Q222/20,0)&gt;ROUNDUP(Q221/20,0),"Lần " &amp; ROUNDUP(Q222/20,0),"")</f>
        <v/>
      </c>
      <c r="AC222" s="9">
        <f>IF(ROUNDUP(R222/20,0)&gt;ROUNDUP(R221/20,0),"Lần " &amp; ROUNDUP(R222/20,0),"")</f>
        <v/>
      </c>
      <c r="AD222" s="9">
        <f>IF(ROUNDUP(S222/20,0)&gt;ROUNDUP(S221/20,0),"Lần " &amp; ROUNDUP(S222/20,0),"")</f>
        <v/>
      </c>
      <c r="AE222" s="9">
        <f>IF(ROUNDUP(T222/20,0)&gt;ROUNDUP(T221/20,0),"Lần " &amp; ROUNDUP(T222/20,0),"")</f>
        <v/>
      </c>
      <c r="AF222" s="9">
        <f>IF(ROUNDUP(U222/20,0)&gt;ROUNDUP(U221/20,0),"Lần " &amp; ROUNDUP(U222/20,0),"")</f>
        <v/>
      </c>
      <c r="AG222" s="9">
        <f>IF(ROUNDUP(V222/20,0)&gt;ROUNDUP(V221/20,0),"Lần " &amp; ROUNDUP(V222/20,0),"")</f>
        <v/>
      </c>
      <c r="AH222" s="9">
        <f>IF(ROUNDUP(W222/20,0)&gt;ROUNDUP(W221/20,0),"Lần " &amp; ROUNDUP(W222/20,0),"")</f>
        <v/>
      </c>
      <c r="AI222" s="9">
        <f>IF(ROUNDUP(X222/20,0)&gt;ROUNDUP(X221/20,0),"Lần " &amp; ROUNDUP(X222/20,0),"")</f>
        <v/>
      </c>
      <c r="AJ222" s="9">
        <f>IF(ROUNDUP(Y222/20,0)&gt;ROUNDUP(Y221/20,0),"Lần " &amp; ROUNDUP(Y222/20,0),"")</f>
        <v/>
      </c>
      <c r="AK222" s="9">
        <f>IF(ROUNDUP(Z222/20,0)&gt;ROUNDUP(Z221/20,0),"Lần " &amp; ROUNDUP(Z222/20,0),"")</f>
        <v/>
      </c>
      <c r="AL222" s="4" t="n"/>
      <c r="AN222" s="596" t="inlineStr">
        <is>
          <t>Coc</t>
        </is>
      </c>
      <c r="AO222" s="596" t="n">
        <v>17</v>
      </c>
      <c r="AQ222" s="594" t="n"/>
      <c r="AR222" s="595" t="n"/>
    </row>
    <row r="223" ht="19" customHeight="1" s="672">
      <c r="A223" s="4" t="n">
        <v>207</v>
      </c>
      <c r="B223" s="5" t="inlineStr">
        <is>
          <t>Cọc khoan nhồi C2 Trụ T2 (D1.2m, L=30.0m)</t>
        </is>
      </c>
      <c r="C223" s="5" t="inlineStr">
        <is>
          <t>Cọc trụ T2 L=30m (tr.70)</t>
        </is>
      </c>
      <c r="D223" s="14" t="inlineStr">
        <is>
          <t>P9</t>
        </is>
      </c>
      <c r="E223" s="15" t="n">
        <v>12</v>
      </c>
      <c r="F223" s="4" t="inlineStr">
        <is>
          <t>CB400-V</t>
        </is>
      </c>
      <c r="G223" s="5" t="inlineStr"/>
      <c r="H223" s="16" t="n">
        <v>0.379</v>
      </c>
      <c r="I223" s="17" t="n">
        <v>36</v>
      </c>
      <c r="J223" s="18" t="n">
        <v>0.888</v>
      </c>
      <c r="K223" s="7">
        <f>ROUND(H223*I223*J223, 2)</f>
        <v/>
      </c>
      <c r="L223" s="19">
        <f>ROUND(K223/1000, 3)</f>
        <v/>
      </c>
      <c r="M223" s="728">
        <f>IF(AO223="","",IF(N(INDEX(Theo_Doi_Tan_Suat_Be_Tong!$C:$C,AO223))&lt;=0,"",INDEX(Theo_Doi_Tan_Suat_Be_Tong!$C:$C,AO223)-VLOOKUP(AN223,$AQ$2:$AR$7,2,FALSE)))</f>
        <v/>
      </c>
      <c r="N223" s="4" t="n"/>
      <c r="O223" s="20">
        <f>IF(ROUNDUP(Q223/20,0)&gt;ROUNDUP(Q222/20,0),"TN Ø12 (Lần " &amp; ROUNDUP(Q223/20,0) &amp; ")","")</f>
        <v/>
      </c>
      <c r="P223" s="16">
        <f>ROUND(P222+IF(AND(E223&lt;=10,F223&lt;&gt;"ASTM A416"),L223,0),3)</f>
        <v/>
      </c>
      <c r="Q223" s="16">
        <f>ROUND(Q222+IF(AND(E223=12,F223&lt;&gt;"ASTM A416"),L223,0),3)</f>
        <v/>
      </c>
      <c r="R223" s="16">
        <f>ROUND(R222+IF(AND(E223=14,F223&lt;&gt;"ASTM A416"),L223,0),3)</f>
        <v/>
      </c>
      <c r="S223" s="16">
        <f>ROUND(S222+IF(AND(E223=16,F223&lt;&gt;"ASTM A416"),L223,0),3)</f>
        <v/>
      </c>
      <c r="T223" s="16">
        <f>ROUND(T222+IF(AND(E223=18,F223&lt;&gt;"ASTM A416"),L223,0),3)</f>
        <v/>
      </c>
      <c r="U223" s="16">
        <f>ROUND(U222+IF(AND(E223=20,F223&lt;&gt;"ASTM A416"),L223,0),3)</f>
        <v/>
      </c>
      <c r="V223" s="16">
        <f>ROUND(V222+IF(AND(E223=22,F223&lt;&gt;"ASTM A416"),L223,0),3)</f>
        <v/>
      </c>
      <c r="W223" s="16">
        <f>ROUND(W222+IF(AND(E223=25,F223&lt;&gt;"ASTM A416"),L223,0),3)</f>
        <v/>
      </c>
      <c r="X223" s="16">
        <f>ROUND(X222+IF(AND(E223=28,F223&lt;&gt;"ASTM A416"),L223,0),3)</f>
        <v/>
      </c>
      <c r="Y223" s="16">
        <f>ROUND(Y222+IF(AND(E223=32,F223&lt;&gt;"ASTM A416"),L223,0),3)</f>
        <v/>
      </c>
      <c r="Z223" s="16">
        <f>ROUND(Z222+IF(F223="ASTM A416",L223,0),3)</f>
        <v/>
      </c>
      <c r="AA223" s="9">
        <f>IF(ROUNDUP(P223/20,0)&gt;ROUNDUP(P222/20,0),"Lần " &amp; ROUNDUP(P223/20,0),"")</f>
        <v/>
      </c>
      <c r="AB223" s="9">
        <f>IF(ROUNDUP(Q223/20,0)&gt;ROUNDUP(Q222/20,0),"Lần " &amp; ROUNDUP(Q223/20,0),"")</f>
        <v/>
      </c>
      <c r="AC223" s="9">
        <f>IF(ROUNDUP(R223/20,0)&gt;ROUNDUP(R222/20,0),"Lần " &amp; ROUNDUP(R223/20,0),"")</f>
        <v/>
      </c>
      <c r="AD223" s="9">
        <f>IF(ROUNDUP(S223/20,0)&gt;ROUNDUP(S222/20,0),"Lần " &amp; ROUNDUP(S223/20,0),"")</f>
        <v/>
      </c>
      <c r="AE223" s="9">
        <f>IF(ROUNDUP(T223/20,0)&gt;ROUNDUP(T222/20,0),"Lần " &amp; ROUNDUP(T223/20,0),"")</f>
        <v/>
      </c>
      <c r="AF223" s="9">
        <f>IF(ROUNDUP(U223/20,0)&gt;ROUNDUP(U222/20,0),"Lần " &amp; ROUNDUP(U223/20,0),"")</f>
        <v/>
      </c>
      <c r="AG223" s="9">
        <f>IF(ROUNDUP(V223/20,0)&gt;ROUNDUP(V222/20,0),"Lần " &amp; ROUNDUP(V223/20,0),"")</f>
        <v/>
      </c>
      <c r="AH223" s="9">
        <f>IF(ROUNDUP(W223/20,0)&gt;ROUNDUP(W222/20,0),"Lần " &amp; ROUNDUP(W223/20,0),"")</f>
        <v/>
      </c>
      <c r="AI223" s="9">
        <f>IF(ROUNDUP(X223/20,0)&gt;ROUNDUP(X222/20,0),"Lần " &amp; ROUNDUP(X223/20,0),"")</f>
        <v/>
      </c>
      <c r="AJ223" s="9">
        <f>IF(ROUNDUP(Y223/20,0)&gt;ROUNDUP(Y222/20,0),"Lần " &amp; ROUNDUP(Y223/20,0),"")</f>
        <v/>
      </c>
      <c r="AK223" s="9">
        <f>IF(ROUNDUP(Z223/20,0)&gt;ROUNDUP(Z222/20,0),"Lần " &amp; ROUNDUP(Z223/20,0),"")</f>
        <v/>
      </c>
      <c r="AL223" s="4" t="n"/>
      <c r="AN223" s="596" t="inlineStr">
        <is>
          <t>Coc</t>
        </is>
      </c>
      <c r="AO223" s="596" t="n">
        <v>17</v>
      </c>
      <c r="AQ223" s="594" t="n"/>
      <c r="AR223" s="595" t="n"/>
    </row>
    <row r="224" ht="19" customHeight="1" s="672">
      <c r="A224" s="4" t="n">
        <v>208</v>
      </c>
      <c r="B224" s="5" t="inlineStr">
        <is>
          <t>Cọc khoan nhồi C2 Trụ T2 (D1.2m, L=30.0m)</t>
        </is>
      </c>
      <c r="C224" s="5" t="inlineStr">
        <is>
          <t>Cọc trụ T2 L=30m (tr.70)</t>
        </is>
      </c>
      <c r="D224" s="14" t="inlineStr">
        <is>
          <t>P10</t>
        </is>
      </c>
      <c r="E224" s="15" t="n">
        <v>20</v>
      </c>
      <c r="F224" s="4" t="inlineStr">
        <is>
          <t>CB400-V</t>
        </is>
      </c>
      <c r="G224" s="5" t="inlineStr"/>
      <c r="H224" s="16" t="n">
        <v>2.057</v>
      </c>
      <c r="I224" s="17" t="n">
        <v>1</v>
      </c>
      <c r="J224" s="18" t="n">
        <v>2.466</v>
      </c>
      <c r="K224" s="7">
        <f>ROUND(H224*I224*J224, 2)</f>
        <v/>
      </c>
      <c r="L224" s="19">
        <f>ROUND(K224/1000, 3)</f>
        <v/>
      </c>
      <c r="M224" s="728">
        <f>IF(AO224="","",IF(N(INDEX(Theo_Doi_Tan_Suat_Be_Tong!$C:$C,AO224))&lt;=0,"",INDEX(Theo_Doi_Tan_Suat_Be_Tong!$C:$C,AO224)-VLOOKUP(AN224,$AQ$2:$AR$7,2,FALSE)))</f>
        <v/>
      </c>
      <c r="N224" s="4" t="n"/>
      <c r="O224" s="20">
        <f>IF(ROUNDUP(U224/20,0)&gt;ROUNDUP(U223/20,0),"TN Ø20 (Lần " &amp; ROUNDUP(U224/20,0) &amp; ")","")</f>
        <v/>
      </c>
      <c r="P224" s="16">
        <f>ROUND(P223+IF(AND(E224&lt;=10,F224&lt;&gt;"ASTM A416"),L224,0),3)</f>
        <v/>
      </c>
      <c r="Q224" s="16">
        <f>ROUND(Q223+IF(AND(E224=12,F224&lt;&gt;"ASTM A416"),L224,0),3)</f>
        <v/>
      </c>
      <c r="R224" s="16">
        <f>ROUND(R223+IF(AND(E224=14,F224&lt;&gt;"ASTM A416"),L224,0),3)</f>
        <v/>
      </c>
      <c r="S224" s="16">
        <f>ROUND(S223+IF(AND(E224=16,F224&lt;&gt;"ASTM A416"),L224,0),3)</f>
        <v/>
      </c>
      <c r="T224" s="16">
        <f>ROUND(T223+IF(AND(E224=18,F224&lt;&gt;"ASTM A416"),L224,0),3)</f>
        <v/>
      </c>
      <c r="U224" s="16">
        <f>ROUND(U223+IF(AND(E224=20,F224&lt;&gt;"ASTM A416"),L224,0),3)</f>
        <v/>
      </c>
      <c r="V224" s="16">
        <f>ROUND(V223+IF(AND(E224=22,F224&lt;&gt;"ASTM A416"),L224,0),3)</f>
        <v/>
      </c>
      <c r="W224" s="16">
        <f>ROUND(W223+IF(AND(E224=25,F224&lt;&gt;"ASTM A416"),L224,0),3)</f>
        <v/>
      </c>
      <c r="X224" s="16">
        <f>ROUND(X223+IF(AND(E224=28,F224&lt;&gt;"ASTM A416"),L224,0),3)</f>
        <v/>
      </c>
      <c r="Y224" s="16">
        <f>ROUND(Y223+IF(AND(E224=32,F224&lt;&gt;"ASTM A416"),L224,0),3)</f>
        <v/>
      </c>
      <c r="Z224" s="16">
        <f>ROUND(Z223+IF(F224="ASTM A416",L224,0),3)</f>
        <v/>
      </c>
      <c r="AA224" s="9">
        <f>IF(ROUNDUP(P224/20,0)&gt;ROUNDUP(P223/20,0),"Lần " &amp; ROUNDUP(P224/20,0),"")</f>
        <v/>
      </c>
      <c r="AB224" s="9">
        <f>IF(ROUNDUP(Q224/20,0)&gt;ROUNDUP(Q223/20,0),"Lần " &amp; ROUNDUP(Q224/20,0),"")</f>
        <v/>
      </c>
      <c r="AC224" s="9">
        <f>IF(ROUNDUP(R224/20,0)&gt;ROUNDUP(R223/20,0),"Lần " &amp; ROUNDUP(R224/20,0),"")</f>
        <v/>
      </c>
      <c r="AD224" s="9">
        <f>IF(ROUNDUP(S224/20,0)&gt;ROUNDUP(S223/20,0),"Lần " &amp; ROUNDUP(S224/20,0),"")</f>
        <v/>
      </c>
      <c r="AE224" s="9">
        <f>IF(ROUNDUP(T224/20,0)&gt;ROUNDUP(T223/20,0),"Lần " &amp; ROUNDUP(T224/20,0),"")</f>
        <v/>
      </c>
      <c r="AF224" s="9">
        <f>IF(ROUNDUP(U224/20,0)&gt;ROUNDUP(U223/20,0),"Lần " &amp; ROUNDUP(U224/20,0),"")</f>
        <v/>
      </c>
      <c r="AG224" s="9">
        <f>IF(ROUNDUP(V224/20,0)&gt;ROUNDUP(V223/20,0),"Lần " &amp; ROUNDUP(V224/20,0),"")</f>
        <v/>
      </c>
      <c r="AH224" s="9">
        <f>IF(ROUNDUP(W224/20,0)&gt;ROUNDUP(W223/20,0),"Lần " &amp; ROUNDUP(W224/20,0),"")</f>
        <v/>
      </c>
      <c r="AI224" s="9">
        <f>IF(ROUNDUP(X224/20,0)&gt;ROUNDUP(X223/20,0),"Lần " &amp; ROUNDUP(X224/20,0),"")</f>
        <v/>
      </c>
      <c r="AJ224" s="9">
        <f>IF(ROUNDUP(Y224/20,0)&gt;ROUNDUP(Y223/20,0),"Lần " &amp; ROUNDUP(Y224/20,0),"")</f>
        <v/>
      </c>
      <c r="AK224" s="9">
        <f>IF(ROUNDUP(Z224/20,0)&gt;ROUNDUP(Z223/20,0),"Lần " &amp; ROUNDUP(Z224/20,0),"")</f>
        <v/>
      </c>
      <c r="AL224" s="4" t="n"/>
      <c r="AN224" s="596" t="inlineStr">
        <is>
          <t>Coc</t>
        </is>
      </c>
      <c r="AO224" s="596" t="n">
        <v>17</v>
      </c>
      <c r="AQ224" s="594" t="n"/>
      <c r="AR224" s="595" t="n"/>
    </row>
    <row r="225" ht="20" customHeight="1" s="672">
      <c r="A225" s="4" t="n">
        <v>209</v>
      </c>
      <c r="B225" s="5" t="inlineStr">
        <is>
          <t>Cọc khoan nhồi C2 Trụ T2 (D1.2m, L=30.0m)</t>
        </is>
      </c>
      <c r="C225" s="5" t="inlineStr">
        <is>
          <t>Cọc trụ T2 L=30m (tr.70)</t>
        </is>
      </c>
      <c r="D225" s="14" t="inlineStr">
        <is>
          <t>P12</t>
        </is>
      </c>
      <c r="E225" s="15" t="n">
        <v>20</v>
      </c>
      <c r="F225" s="4" t="inlineStr">
        <is>
          <t>CB400-V</t>
        </is>
      </c>
      <c r="G225" s="5" t="inlineStr"/>
      <c r="H225" s="16" t="n">
        <v>0.583</v>
      </c>
      <c r="I225" s="17" t="n">
        <v>48</v>
      </c>
      <c r="J225" s="18" t="n">
        <v>2.466</v>
      </c>
      <c r="K225" s="7">
        <f>ROUND(H225*I225*J225, 2)</f>
        <v/>
      </c>
      <c r="L225" s="19">
        <f>ROUND(K225/1000, 3)</f>
        <v/>
      </c>
      <c r="M225" s="728">
        <f>IF(AO225="","",IF(N(INDEX(Theo_Doi_Tan_Suat_Be_Tong!$C:$C,AO225))&lt;=0,"",INDEX(Theo_Doi_Tan_Suat_Be_Tong!$C:$C,AO225)-VLOOKUP(AN225,$AQ$2:$AR$7,2,FALSE)))</f>
        <v/>
      </c>
      <c r="N225" s="4" t="n"/>
      <c r="O225" s="20">
        <f>IF(ROUNDUP(U225/20,0)&gt;ROUNDUP(U224/20,0),"TN Ø20 (Lần " &amp; ROUNDUP(U225/20,0) &amp; ")","")</f>
        <v/>
      </c>
      <c r="P225" s="16">
        <f>ROUND(P224+IF(AND(E225&lt;=10,F225&lt;&gt;"ASTM A416"),L225,0),3)</f>
        <v/>
      </c>
      <c r="Q225" s="16">
        <f>ROUND(Q224+IF(AND(E225=12,F225&lt;&gt;"ASTM A416"),L225,0),3)</f>
        <v/>
      </c>
      <c r="R225" s="16">
        <f>ROUND(R224+IF(AND(E225=14,F225&lt;&gt;"ASTM A416"),L225,0),3)</f>
        <v/>
      </c>
      <c r="S225" s="16">
        <f>ROUND(S224+IF(AND(E225=16,F225&lt;&gt;"ASTM A416"),L225,0),3)</f>
        <v/>
      </c>
      <c r="T225" s="16">
        <f>ROUND(T224+IF(AND(E225=18,F225&lt;&gt;"ASTM A416"),L225,0),3)</f>
        <v/>
      </c>
      <c r="U225" s="16">
        <f>ROUND(U224+IF(AND(E225=20,F225&lt;&gt;"ASTM A416"),L225,0),3)</f>
        <v/>
      </c>
      <c r="V225" s="16">
        <f>ROUND(V224+IF(AND(E225=22,F225&lt;&gt;"ASTM A416"),L225,0),3)</f>
        <v/>
      </c>
      <c r="W225" s="16">
        <f>ROUND(W224+IF(AND(E225=25,F225&lt;&gt;"ASTM A416"),L225,0),3)</f>
        <v/>
      </c>
      <c r="X225" s="16">
        <f>ROUND(X224+IF(AND(E225=28,F225&lt;&gt;"ASTM A416"),L225,0),3)</f>
        <v/>
      </c>
      <c r="Y225" s="16">
        <f>ROUND(Y224+IF(AND(E225=32,F225&lt;&gt;"ASTM A416"),L225,0),3)</f>
        <v/>
      </c>
      <c r="Z225" s="16">
        <f>ROUND(Z224+IF(F225="ASTM A416",L225,0),3)</f>
        <v/>
      </c>
      <c r="AA225" s="9">
        <f>IF(ROUNDUP(P225/20,0)&gt;ROUNDUP(P224/20,0),"Lần " &amp; ROUNDUP(P225/20,0),"")</f>
        <v/>
      </c>
      <c r="AB225" s="9">
        <f>IF(ROUNDUP(Q225/20,0)&gt;ROUNDUP(Q224/20,0),"Lần " &amp; ROUNDUP(Q225/20,0),"")</f>
        <v/>
      </c>
      <c r="AC225" s="9">
        <f>IF(ROUNDUP(R225/20,0)&gt;ROUNDUP(R224/20,0),"Lần " &amp; ROUNDUP(R225/20,0),"")</f>
        <v/>
      </c>
      <c r="AD225" s="9">
        <f>IF(ROUNDUP(S225/20,0)&gt;ROUNDUP(S224/20,0),"Lần " &amp; ROUNDUP(S225/20,0),"")</f>
        <v/>
      </c>
      <c r="AE225" s="9">
        <f>IF(ROUNDUP(T225/20,0)&gt;ROUNDUP(T224/20,0),"Lần " &amp; ROUNDUP(T225/20,0),"")</f>
        <v/>
      </c>
      <c r="AF225" s="9">
        <f>IF(ROUNDUP(U225/20,0)&gt;ROUNDUP(U224/20,0),"Lần " &amp; ROUNDUP(U225/20,0),"")</f>
        <v/>
      </c>
      <c r="AG225" s="9">
        <f>IF(ROUNDUP(V225/20,0)&gt;ROUNDUP(V224/20,0),"Lần " &amp; ROUNDUP(V225/20,0),"")</f>
        <v/>
      </c>
      <c r="AH225" s="9">
        <f>IF(ROUNDUP(W225/20,0)&gt;ROUNDUP(W224/20,0),"Lần " &amp; ROUNDUP(W225/20,0),"")</f>
        <v/>
      </c>
      <c r="AI225" s="9">
        <f>IF(ROUNDUP(X225/20,0)&gt;ROUNDUP(X224/20,0),"Lần " &amp; ROUNDUP(X225/20,0),"")</f>
        <v/>
      </c>
      <c r="AJ225" s="9">
        <f>IF(ROUNDUP(Y225/20,0)&gt;ROUNDUP(Y224/20,0),"Lần " &amp; ROUNDUP(Y225/20,0),"")</f>
        <v/>
      </c>
      <c r="AK225" s="9">
        <f>IF(ROUNDUP(Z225/20,0)&gt;ROUNDUP(Z224/20,0),"Lần " &amp; ROUNDUP(Z225/20,0),"")</f>
        <v/>
      </c>
      <c r="AL225" s="4" t="n"/>
      <c r="AN225" s="596" t="inlineStr">
        <is>
          <t>Coc</t>
        </is>
      </c>
      <c r="AO225" s="596" t="n">
        <v>17</v>
      </c>
      <c r="AQ225" s="594" t="n"/>
      <c r="AR225" s="595" t="n"/>
    </row>
    <row r="226" ht="19" customHeight="1" s="672">
      <c r="A226" s="4" t="n">
        <v>210</v>
      </c>
      <c r="B226" s="5" t="inlineStr">
        <is>
          <t>Cọc khoan nhồi C2 Trụ T2 (D1.2m, L=30.0m)</t>
        </is>
      </c>
      <c r="C226" s="5" t="inlineStr">
        <is>
          <t>Cọc trụ T2 L=30m (tr.70)</t>
        </is>
      </c>
      <c r="D226" s="14" t="inlineStr">
        <is>
          <t>P11</t>
        </is>
      </c>
      <c r="E226" s="15" t="n">
        <v>16</v>
      </c>
      <c r="F226" s="4" t="inlineStr">
        <is>
          <t>CB400-V</t>
        </is>
      </c>
      <c r="G226" s="5" t="inlineStr"/>
      <c r="H226" s="16" t="n">
        <v>2.604</v>
      </c>
      <c r="I226" s="17" t="n">
        <v>4</v>
      </c>
      <c r="J226" s="18" t="n">
        <v>1.578</v>
      </c>
      <c r="K226" s="7">
        <f>ROUND(H226*I226*J226, 2)</f>
        <v/>
      </c>
      <c r="L226" s="19">
        <f>ROUND(K226/1000, 3)</f>
        <v/>
      </c>
      <c r="M226" s="728">
        <f>IF(AO226="","",IF(N(INDEX(Theo_Doi_Tan_Suat_Be_Tong!$C:$C,AO226))&lt;=0,"",INDEX(Theo_Doi_Tan_Suat_Be_Tong!$C:$C,AO226)-VLOOKUP(AN226,$AQ$2:$AR$7,2,FALSE)))</f>
        <v/>
      </c>
      <c r="N226" s="4" t="n"/>
      <c r="O226" s="20">
        <f>IF(ROUNDUP(S226/20,0)&gt;ROUNDUP(S225/20,0),"TN Ø16 (Lần " &amp; ROUNDUP(S226/20,0) &amp; ")","")</f>
        <v/>
      </c>
      <c r="P226" s="16">
        <f>ROUND(P225+IF(AND(E226&lt;=10,F226&lt;&gt;"ASTM A416"),L226,0),3)</f>
        <v/>
      </c>
      <c r="Q226" s="16">
        <f>ROUND(Q225+IF(AND(E226=12,F226&lt;&gt;"ASTM A416"),L226,0),3)</f>
        <v/>
      </c>
      <c r="R226" s="16">
        <f>ROUND(R225+IF(AND(E226=14,F226&lt;&gt;"ASTM A416"),L226,0),3)</f>
        <v/>
      </c>
      <c r="S226" s="16">
        <f>ROUND(S225+IF(AND(E226=16,F226&lt;&gt;"ASTM A416"),L226,0),3)</f>
        <v/>
      </c>
      <c r="T226" s="16">
        <f>ROUND(T225+IF(AND(E226=18,F226&lt;&gt;"ASTM A416"),L226,0),3)</f>
        <v/>
      </c>
      <c r="U226" s="16">
        <f>ROUND(U225+IF(AND(E226=20,F226&lt;&gt;"ASTM A416"),L226,0),3)</f>
        <v/>
      </c>
      <c r="V226" s="16">
        <f>ROUND(V225+IF(AND(E226=22,F226&lt;&gt;"ASTM A416"),L226,0),3)</f>
        <v/>
      </c>
      <c r="W226" s="16">
        <f>ROUND(W225+IF(AND(E226=25,F226&lt;&gt;"ASTM A416"),L226,0),3)</f>
        <v/>
      </c>
      <c r="X226" s="16">
        <f>ROUND(X225+IF(AND(E226=28,F226&lt;&gt;"ASTM A416"),L226,0),3)</f>
        <v/>
      </c>
      <c r="Y226" s="16">
        <f>ROUND(Y225+IF(AND(E226=32,F226&lt;&gt;"ASTM A416"),L226,0),3)</f>
        <v/>
      </c>
      <c r="Z226" s="16">
        <f>ROUND(Z225+IF(F226="ASTM A416",L226,0),3)</f>
        <v/>
      </c>
      <c r="AA226" s="9">
        <f>IF(ROUNDUP(P226/20,0)&gt;ROUNDUP(P225/20,0),"Lần " &amp; ROUNDUP(P226/20,0),"")</f>
        <v/>
      </c>
      <c r="AB226" s="9">
        <f>IF(ROUNDUP(Q226/20,0)&gt;ROUNDUP(Q225/20,0),"Lần " &amp; ROUNDUP(Q226/20,0),"")</f>
        <v/>
      </c>
      <c r="AC226" s="9">
        <f>IF(ROUNDUP(R226/20,0)&gt;ROUNDUP(R225/20,0),"Lần " &amp; ROUNDUP(R226/20,0),"")</f>
        <v/>
      </c>
      <c r="AD226" s="9">
        <f>IF(ROUNDUP(S226/20,0)&gt;ROUNDUP(S225/20,0),"Lần " &amp; ROUNDUP(S226/20,0),"")</f>
        <v/>
      </c>
      <c r="AE226" s="9">
        <f>IF(ROUNDUP(T226/20,0)&gt;ROUNDUP(T225/20,0),"Lần " &amp; ROUNDUP(T226/20,0),"")</f>
        <v/>
      </c>
      <c r="AF226" s="9">
        <f>IF(ROUNDUP(U226/20,0)&gt;ROUNDUP(U225/20,0),"Lần " &amp; ROUNDUP(U226/20,0),"")</f>
        <v/>
      </c>
      <c r="AG226" s="9">
        <f>IF(ROUNDUP(V226/20,0)&gt;ROUNDUP(V225/20,0),"Lần " &amp; ROUNDUP(V226/20,0),"")</f>
        <v/>
      </c>
      <c r="AH226" s="9">
        <f>IF(ROUNDUP(W226/20,0)&gt;ROUNDUP(W225/20,0),"Lần " &amp; ROUNDUP(W226/20,0),"")</f>
        <v/>
      </c>
      <c r="AI226" s="9">
        <f>IF(ROUNDUP(X226/20,0)&gt;ROUNDUP(X225/20,0),"Lần " &amp; ROUNDUP(X226/20,0),"")</f>
        <v/>
      </c>
      <c r="AJ226" s="9">
        <f>IF(ROUNDUP(Y226/20,0)&gt;ROUNDUP(Y225/20,0),"Lần " &amp; ROUNDUP(Y226/20,0),"")</f>
        <v/>
      </c>
      <c r="AK226" s="9">
        <f>IF(ROUNDUP(Z226/20,0)&gt;ROUNDUP(Z225/20,0),"Lần " &amp; ROUNDUP(Z226/20,0),"")</f>
        <v/>
      </c>
      <c r="AL226" s="4" t="n"/>
      <c r="AN226" s="596" t="inlineStr">
        <is>
          <t>Coc</t>
        </is>
      </c>
      <c r="AO226" s="596" t="n">
        <v>17</v>
      </c>
      <c r="AQ226" s="594" t="n"/>
      <c r="AR226" s="595" t="n"/>
    </row>
    <row r="227" ht="19" customHeight="1" s="672">
      <c r="A227" s="668" t="inlineStr">
        <is>
          <t>--- CỌC KHOAN NHỒI C8 TRỤ T1 (D1.2M, L=40.0M) ---</t>
        </is>
      </c>
      <c r="B227" s="722" t="n"/>
      <c r="C227" s="722" t="n"/>
      <c r="D227" s="722" t="n"/>
      <c r="E227" s="722" t="n"/>
      <c r="F227" s="722" t="n"/>
      <c r="G227" s="722" t="n"/>
      <c r="H227" s="722" t="n"/>
      <c r="I227" s="722" t="n"/>
      <c r="J227" s="722" t="n"/>
      <c r="K227" s="722" t="n"/>
      <c r="L227" s="722" t="n"/>
      <c r="M227" s="722" t="n"/>
      <c r="N227" s="722" t="n"/>
      <c r="O227" s="722" t="n"/>
      <c r="P227" s="722" t="n"/>
      <c r="Q227" s="722" t="n"/>
      <c r="R227" s="722" t="n"/>
      <c r="S227" s="722" t="n"/>
      <c r="T227" s="722" t="n"/>
      <c r="U227" s="722" t="n"/>
      <c r="V227" s="722" t="n"/>
      <c r="W227" s="722" t="n"/>
      <c r="X227" s="722" t="n"/>
      <c r="Y227" s="722" t="n"/>
      <c r="Z227" s="722" t="n"/>
      <c r="AA227" s="722" t="n"/>
      <c r="AB227" s="722" t="n"/>
      <c r="AC227" s="722" t="n"/>
      <c r="AD227" s="722" t="n"/>
      <c r="AE227" s="722" t="n"/>
      <c r="AF227" s="722" t="n"/>
      <c r="AG227" s="722" t="n"/>
      <c r="AH227" s="722" t="n"/>
      <c r="AI227" s="722" t="n"/>
      <c r="AJ227" s="722" t="n"/>
      <c r="AK227" s="722" t="n"/>
      <c r="AL227" s="721" t="n"/>
      <c r="AQ227" s="594" t="n"/>
      <c r="AR227" s="595" t="n"/>
    </row>
    <row r="228" ht="19" customHeight="1" s="672">
      <c r="A228" s="4" t="n">
        <v>211</v>
      </c>
      <c r="B228" s="5" t="inlineStr">
        <is>
          <t>Cọc khoan nhồi C8 Trụ T1 (D1.2m, L=40.0m)</t>
        </is>
      </c>
      <c r="C228" s="5" t="inlineStr">
        <is>
          <t>Cọc trụ T1 L=40m (tr.68)</t>
        </is>
      </c>
      <c r="D228" s="14" t="inlineStr">
        <is>
          <t>P1</t>
        </is>
      </c>
      <c r="E228" s="15" t="n">
        <v>10</v>
      </c>
      <c r="F228" s="4" t="inlineStr">
        <is>
          <t>CB240-T</t>
        </is>
      </c>
      <c r="G228" s="5" t="inlineStr"/>
      <c r="H228" s="16" t="n">
        <v>96.604</v>
      </c>
      <c r="I228" s="17" t="n">
        <v>1</v>
      </c>
      <c r="J228" s="18" t="n">
        <v>0.617</v>
      </c>
      <c r="K228" s="7">
        <f>ROUND(H228*I228*J228, 2)</f>
        <v/>
      </c>
      <c r="L228" s="19">
        <f>ROUND(K228/1000, 3)</f>
        <v/>
      </c>
      <c r="M228" s="728">
        <f>IF(AO228="","",IF(N(INDEX(Theo_Doi_Tan_Suat_Be_Tong!$C:$C,AO228))&lt;=0,"",INDEX(Theo_Doi_Tan_Suat_Be_Tong!$C:$C,AO228)-VLOOKUP(AN228,$AQ$2:$AR$7,2,FALSE)))</f>
        <v/>
      </c>
      <c r="N228" s="4" t="n"/>
      <c r="O228" s="20">
        <f>IF(ROUNDUP(P228/20,0)&gt;ROUNDUP(P226/20,0),"TN Ø10 (Lần " &amp; ROUNDUP(P228/20,0) &amp; ")","")</f>
        <v/>
      </c>
      <c r="P228" s="16">
        <f>ROUND(P226+IF(AND(E228&lt;=10,F228&lt;&gt;"ASTM A416"),L228,0),3)</f>
        <v/>
      </c>
      <c r="Q228" s="16">
        <f>ROUND(Q226+IF(AND(E228=12,F228&lt;&gt;"ASTM A416"),L228,0),3)</f>
        <v/>
      </c>
      <c r="R228" s="16">
        <f>ROUND(R226+IF(AND(E228=14,F228&lt;&gt;"ASTM A416"),L228,0),3)</f>
        <v/>
      </c>
      <c r="S228" s="16">
        <f>ROUND(S226+IF(AND(E228=16,F228&lt;&gt;"ASTM A416"),L228,0),3)</f>
        <v/>
      </c>
      <c r="T228" s="16">
        <f>ROUND(T226+IF(AND(E228=18,F228&lt;&gt;"ASTM A416"),L228,0),3)</f>
        <v/>
      </c>
      <c r="U228" s="16">
        <f>ROUND(U226+IF(AND(E228=20,F228&lt;&gt;"ASTM A416"),L228,0),3)</f>
        <v/>
      </c>
      <c r="V228" s="16">
        <f>ROUND(V226+IF(AND(E228=22,F228&lt;&gt;"ASTM A416"),L228,0),3)</f>
        <v/>
      </c>
      <c r="W228" s="16">
        <f>ROUND(W226+IF(AND(E228=25,F228&lt;&gt;"ASTM A416"),L228,0),3)</f>
        <v/>
      </c>
      <c r="X228" s="16">
        <f>ROUND(X226+IF(AND(E228=28,F228&lt;&gt;"ASTM A416"),L228,0),3)</f>
        <v/>
      </c>
      <c r="Y228" s="16">
        <f>ROUND(Y226+IF(AND(E228=32,F228&lt;&gt;"ASTM A416"),L228,0),3)</f>
        <v/>
      </c>
      <c r="Z228" s="16">
        <f>ROUND(Z226+IF(F228="ASTM A416",L228,0),3)</f>
        <v/>
      </c>
      <c r="AA228" s="9">
        <f>IF(ROUNDUP(P228/20,0)&gt;ROUNDUP(P226/20,0),"Lần " &amp; ROUNDUP(P228/20,0),"")</f>
        <v/>
      </c>
      <c r="AB228" s="9">
        <f>IF(ROUNDUP(Q228/20,0)&gt;ROUNDUP(Q226/20,0),"Lần " &amp; ROUNDUP(Q228/20,0),"")</f>
        <v/>
      </c>
      <c r="AC228" s="9">
        <f>IF(ROUNDUP(R228/20,0)&gt;ROUNDUP(R226/20,0),"Lần " &amp; ROUNDUP(R228/20,0),"")</f>
        <v/>
      </c>
      <c r="AD228" s="9">
        <f>IF(ROUNDUP(S228/20,0)&gt;ROUNDUP(S226/20,0),"Lần " &amp; ROUNDUP(S228/20,0),"")</f>
        <v/>
      </c>
      <c r="AE228" s="9">
        <f>IF(ROUNDUP(T228/20,0)&gt;ROUNDUP(T226/20,0),"Lần " &amp; ROUNDUP(T228/20,0),"")</f>
        <v/>
      </c>
      <c r="AF228" s="9">
        <f>IF(ROUNDUP(U228/20,0)&gt;ROUNDUP(U226/20,0),"Lần " &amp; ROUNDUP(U228/20,0),"")</f>
        <v/>
      </c>
      <c r="AG228" s="9">
        <f>IF(ROUNDUP(V228/20,0)&gt;ROUNDUP(V226/20,0),"Lần " &amp; ROUNDUP(V228/20,0),"")</f>
        <v/>
      </c>
      <c r="AH228" s="9">
        <f>IF(ROUNDUP(W228/20,0)&gt;ROUNDUP(W226/20,0),"Lần " &amp; ROUNDUP(W228/20,0),"")</f>
        <v/>
      </c>
      <c r="AI228" s="9">
        <f>IF(ROUNDUP(X228/20,0)&gt;ROUNDUP(X226/20,0),"Lần " &amp; ROUNDUP(X228/20,0),"")</f>
        <v/>
      </c>
      <c r="AJ228" s="9">
        <f>IF(ROUNDUP(Y228/20,0)&gt;ROUNDUP(Y226/20,0),"Lần " &amp; ROUNDUP(Y228/20,0),"")</f>
        <v/>
      </c>
      <c r="AK228" s="9">
        <f>IF(ROUNDUP(Z228/20,0)&gt;ROUNDUP(Z226/20,0),"Lần " &amp; ROUNDUP(Z228/20,0),"")</f>
        <v/>
      </c>
      <c r="AL228" s="4" t="n"/>
      <c r="AN228" s="596" t="inlineStr">
        <is>
          <t>Coc</t>
        </is>
      </c>
      <c r="AO228" s="596" t="n">
        <v>18</v>
      </c>
      <c r="AQ228" s="594" t="n"/>
      <c r="AR228" s="595" t="n"/>
    </row>
    <row r="229" ht="19" customHeight="1" s="672">
      <c r="A229" s="4" t="n">
        <v>212</v>
      </c>
      <c r="B229" s="5" t="inlineStr">
        <is>
          <t>Cọc khoan nhồi C8 Trụ T1 (D1.2m, L=40.0m)</t>
        </is>
      </c>
      <c r="C229" s="5" t="inlineStr">
        <is>
          <t>Cọc trụ T1 L=40m (tr.68)</t>
        </is>
      </c>
      <c r="D229" s="14" t="inlineStr">
        <is>
          <t>P1A</t>
        </is>
      </c>
      <c r="E229" s="15" t="n">
        <v>10</v>
      </c>
      <c r="F229" s="4" t="inlineStr">
        <is>
          <t>CB240-T</t>
        </is>
      </c>
      <c r="G229" s="5" t="inlineStr"/>
      <c r="H229" s="16" t="n">
        <v>389.636</v>
      </c>
      <c r="I229" s="17" t="n">
        <v>1</v>
      </c>
      <c r="J229" s="18" t="n">
        <v>0.617</v>
      </c>
      <c r="K229" s="7">
        <f>ROUND(H229*I229*J229, 2)</f>
        <v/>
      </c>
      <c r="L229" s="19">
        <f>ROUND(K229/1000, 3)</f>
        <v/>
      </c>
      <c r="M229" s="728">
        <f>IF(AO229="","",IF(N(INDEX(Theo_Doi_Tan_Suat_Be_Tong!$C:$C,AO229))&lt;=0,"",INDEX(Theo_Doi_Tan_Suat_Be_Tong!$C:$C,AO229)-VLOOKUP(AN229,$AQ$2:$AR$7,2,FALSE)))</f>
        <v/>
      </c>
      <c r="N229" s="4" t="n"/>
      <c r="O229" s="20">
        <f>IF(ROUNDUP(P229/20,0)&gt;ROUNDUP(P228/20,0),"TN Ø10 (Lần " &amp; ROUNDUP(P229/20,0) &amp; ")","")</f>
        <v/>
      </c>
      <c r="P229" s="16">
        <f>ROUND(P228+IF(AND(E229&lt;=10,F229&lt;&gt;"ASTM A416"),L229,0),3)</f>
        <v/>
      </c>
      <c r="Q229" s="16">
        <f>ROUND(Q228+IF(AND(E229=12,F229&lt;&gt;"ASTM A416"),L229,0),3)</f>
        <v/>
      </c>
      <c r="R229" s="16">
        <f>ROUND(R228+IF(AND(E229=14,F229&lt;&gt;"ASTM A416"),L229,0),3)</f>
        <v/>
      </c>
      <c r="S229" s="16">
        <f>ROUND(S228+IF(AND(E229=16,F229&lt;&gt;"ASTM A416"),L229,0),3)</f>
        <v/>
      </c>
      <c r="T229" s="16">
        <f>ROUND(T228+IF(AND(E229=18,F229&lt;&gt;"ASTM A416"),L229,0),3)</f>
        <v/>
      </c>
      <c r="U229" s="16">
        <f>ROUND(U228+IF(AND(E229=20,F229&lt;&gt;"ASTM A416"),L229,0),3)</f>
        <v/>
      </c>
      <c r="V229" s="16">
        <f>ROUND(V228+IF(AND(E229=22,F229&lt;&gt;"ASTM A416"),L229,0),3)</f>
        <v/>
      </c>
      <c r="W229" s="16">
        <f>ROUND(W228+IF(AND(E229=25,F229&lt;&gt;"ASTM A416"),L229,0),3)</f>
        <v/>
      </c>
      <c r="X229" s="16">
        <f>ROUND(X228+IF(AND(E229=28,F229&lt;&gt;"ASTM A416"),L229,0),3)</f>
        <v/>
      </c>
      <c r="Y229" s="16">
        <f>ROUND(Y228+IF(AND(E229=32,F229&lt;&gt;"ASTM A416"),L229,0),3)</f>
        <v/>
      </c>
      <c r="Z229" s="16">
        <f>ROUND(Z228+IF(F229="ASTM A416",L229,0),3)</f>
        <v/>
      </c>
      <c r="AA229" s="9">
        <f>IF(ROUNDUP(P229/20,0)&gt;ROUNDUP(P228/20,0),"Lần " &amp; ROUNDUP(P229/20,0),"")</f>
        <v/>
      </c>
      <c r="AB229" s="9">
        <f>IF(ROUNDUP(Q229/20,0)&gt;ROUNDUP(Q228/20,0),"Lần " &amp; ROUNDUP(Q229/20,0),"")</f>
        <v/>
      </c>
      <c r="AC229" s="9">
        <f>IF(ROUNDUP(R229/20,0)&gt;ROUNDUP(R228/20,0),"Lần " &amp; ROUNDUP(R229/20,0),"")</f>
        <v/>
      </c>
      <c r="AD229" s="9">
        <f>IF(ROUNDUP(S229/20,0)&gt;ROUNDUP(S228/20,0),"Lần " &amp; ROUNDUP(S229/20,0),"")</f>
        <v/>
      </c>
      <c r="AE229" s="9">
        <f>IF(ROUNDUP(T229/20,0)&gt;ROUNDUP(T228/20,0),"Lần " &amp; ROUNDUP(T229/20,0),"")</f>
        <v/>
      </c>
      <c r="AF229" s="9">
        <f>IF(ROUNDUP(U229/20,0)&gt;ROUNDUP(U228/20,0),"Lần " &amp; ROUNDUP(U229/20,0),"")</f>
        <v/>
      </c>
      <c r="AG229" s="9">
        <f>IF(ROUNDUP(V229/20,0)&gt;ROUNDUP(V228/20,0),"Lần " &amp; ROUNDUP(V229/20,0),"")</f>
        <v/>
      </c>
      <c r="AH229" s="9">
        <f>IF(ROUNDUP(W229/20,0)&gt;ROUNDUP(W228/20,0),"Lần " &amp; ROUNDUP(W229/20,0),"")</f>
        <v/>
      </c>
      <c r="AI229" s="9">
        <f>IF(ROUNDUP(X229/20,0)&gt;ROUNDUP(X228/20,0),"Lần " &amp; ROUNDUP(X229/20,0),"")</f>
        <v/>
      </c>
      <c r="AJ229" s="9">
        <f>IF(ROUNDUP(Y229/20,0)&gt;ROUNDUP(Y228/20,0),"Lần " &amp; ROUNDUP(Y229/20,0),"")</f>
        <v/>
      </c>
      <c r="AK229" s="9">
        <f>IF(ROUNDUP(Z229/20,0)&gt;ROUNDUP(Z228/20,0),"Lần " &amp; ROUNDUP(Z229/20,0),"")</f>
        <v/>
      </c>
      <c r="AL229" s="4" t="n"/>
      <c r="AN229" s="596" t="inlineStr">
        <is>
          <t>Coc</t>
        </is>
      </c>
      <c r="AO229" s="596" t="n">
        <v>18</v>
      </c>
      <c r="AQ229" s="594" t="n"/>
      <c r="AR229" s="595" t="n"/>
    </row>
    <row r="230" ht="19" customHeight="1" s="672">
      <c r="A230" s="4" t="n">
        <v>213</v>
      </c>
      <c r="B230" s="5" t="inlineStr">
        <is>
          <t>Cọc khoan nhồi C8 Trụ T1 (D1.2m, L=40.0m)</t>
        </is>
      </c>
      <c r="C230" s="5" t="inlineStr">
        <is>
          <t>Cọc trụ T1 L=40m (tr.68)</t>
        </is>
      </c>
      <c r="D230" s="14" t="inlineStr">
        <is>
          <t>P1B</t>
        </is>
      </c>
      <c r="E230" s="15" t="n">
        <v>10</v>
      </c>
      <c r="F230" s="4" t="inlineStr">
        <is>
          <t>CB240-T</t>
        </is>
      </c>
      <c r="G230" s="5" t="inlineStr"/>
      <c r="H230" s="16" t="n">
        <v>206.981</v>
      </c>
      <c r="I230" s="17" t="n">
        <v>1</v>
      </c>
      <c r="J230" s="18" t="n">
        <v>0.617</v>
      </c>
      <c r="K230" s="7">
        <f>ROUND(H230*I230*J230, 2)</f>
        <v/>
      </c>
      <c r="L230" s="19">
        <f>ROUND(K230/1000, 3)</f>
        <v/>
      </c>
      <c r="M230" s="728">
        <f>IF(AO230="","",IF(N(INDEX(Theo_Doi_Tan_Suat_Be_Tong!$C:$C,AO230))&lt;=0,"",INDEX(Theo_Doi_Tan_Suat_Be_Tong!$C:$C,AO230)-VLOOKUP(AN230,$AQ$2:$AR$7,2,FALSE)))</f>
        <v/>
      </c>
      <c r="N230" s="4" t="n"/>
      <c r="O230" s="20">
        <f>IF(ROUNDUP(P230/20,0)&gt;ROUNDUP(P229/20,0),"TN Ø10 (Lần " &amp; ROUNDUP(P230/20,0) &amp; ")","")</f>
        <v/>
      </c>
      <c r="P230" s="16">
        <f>ROUND(P229+IF(AND(E230&lt;=10,F230&lt;&gt;"ASTM A416"),L230,0),3)</f>
        <v/>
      </c>
      <c r="Q230" s="16">
        <f>ROUND(Q229+IF(AND(E230=12,F230&lt;&gt;"ASTM A416"),L230,0),3)</f>
        <v/>
      </c>
      <c r="R230" s="16">
        <f>ROUND(R229+IF(AND(E230=14,F230&lt;&gt;"ASTM A416"),L230,0),3)</f>
        <v/>
      </c>
      <c r="S230" s="16">
        <f>ROUND(S229+IF(AND(E230=16,F230&lt;&gt;"ASTM A416"),L230,0),3)</f>
        <v/>
      </c>
      <c r="T230" s="16">
        <f>ROUND(T229+IF(AND(E230=18,F230&lt;&gt;"ASTM A416"),L230,0),3)</f>
        <v/>
      </c>
      <c r="U230" s="16">
        <f>ROUND(U229+IF(AND(E230=20,F230&lt;&gt;"ASTM A416"),L230,0),3)</f>
        <v/>
      </c>
      <c r="V230" s="16">
        <f>ROUND(V229+IF(AND(E230=22,F230&lt;&gt;"ASTM A416"),L230,0),3)</f>
        <v/>
      </c>
      <c r="W230" s="16">
        <f>ROUND(W229+IF(AND(E230=25,F230&lt;&gt;"ASTM A416"),L230,0),3)</f>
        <v/>
      </c>
      <c r="X230" s="16">
        <f>ROUND(X229+IF(AND(E230=28,F230&lt;&gt;"ASTM A416"),L230,0),3)</f>
        <v/>
      </c>
      <c r="Y230" s="16">
        <f>ROUND(Y229+IF(AND(E230=32,F230&lt;&gt;"ASTM A416"),L230,0),3)</f>
        <v/>
      </c>
      <c r="Z230" s="16">
        <f>ROUND(Z229+IF(F230="ASTM A416",L230,0),3)</f>
        <v/>
      </c>
      <c r="AA230" s="9">
        <f>IF(ROUNDUP(P230/20,0)&gt;ROUNDUP(P229/20,0),"Lần " &amp; ROUNDUP(P230/20,0),"")</f>
        <v/>
      </c>
      <c r="AB230" s="9">
        <f>IF(ROUNDUP(Q230/20,0)&gt;ROUNDUP(Q229/20,0),"Lần " &amp; ROUNDUP(Q230/20,0),"")</f>
        <v/>
      </c>
      <c r="AC230" s="9">
        <f>IF(ROUNDUP(R230/20,0)&gt;ROUNDUP(R229/20,0),"Lần " &amp; ROUNDUP(R230/20,0),"")</f>
        <v/>
      </c>
      <c r="AD230" s="9">
        <f>IF(ROUNDUP(S230/20,0)&gt;ROUNDUP(S229/20,0),"Lần " &amp; ROUNDUP(S230/20,0),"")</f>
        <v/>
      </c>
      <c r="AE230" s="9">
        <f>IF(ROUNDUP(T230/20,0)&gt;ROUNDUP(T229/20,0),"Lần " &amp; ROUNDUP(T230/20,0),"")</f>
        <v/>
      </c>
      <c r="AF230" s="9">
        <f>IF(ROUNDUP(U230/20,0)&gt;ROUNDUP(U229/20,0),"Lần " &amp; ROUNDUP(U230/20,0),"")</f>
        <v/>
      </c>
      <c r="AG230" s="9">
        <f>IF(ROUNDUP(V230/20,0)&gt;ROUNDUP(V229/20,0),"Lần " &amp; ROUNDUP(V230/20,0),"")</f>
        <v/>
      </c>
      <c r="AH230" s="9">
        <f>IF(ROUNDUP(W230/20,0)&gt;ROUNDUP(W229/20,0),"Lần " &amp; ROUNDUP(W230/20,0),"")</f>
        <v/>
      </c>
      <c r="AI230" s="9">
        <f>IF(ROUNDUP(X230/20,0)&gt;ROUNDUP(X229/20,0),"Lần " &amp; ROUNDUP(X230/20,0),"")</f>
        <v/>
      </c>
      <c r="AJ230" s="9">
        <f>IF(ROUNDUP(Y230/20,0)&gt;ROUNDUP(Y229/20,0),"Lần " &amp; ROUNDUP(Y230/20,0),"")</f>
        <v/>
      </c>
      <c r="AK230" s="9">
        <f>IF(ROUNDUP(Z230/20,0)&gt;ROUNDUP(Z229/20,0),"Lần " &amp; ROUNDUP(Z230/20,0),"")</f>
        <v/>
      </c>
      <c r="AL230" s="4" t="n"/>
      <c r="AN230" s="596" t="inlineStr">
        <is>
          <t>Coc</t>
        </is>
      </c>
      <c r="AO230" s="596" t="n">
        <v>18</v>
      </c>
      <c r="AQ230" s="594" t="n"/>
      <c r="AR230" s="595" t="n"/>
    </row>
    <row r="231" ht="19" customHeight="1" s="672">
      <c r="A231" s="4" t="n">
        <v>214</v>
      </c>
      <c r="B231" s="5" t="inlineStr">
        <is>
          <t>Cọc khoan nhồi C8 Trụ T1 (D1.2m, L=40.0m)</t>
        </is>
      </c>
      <c r="C231" s="5" t="inlineStr">
        <is>
          <t>Cọc trụ T1 L=40m (tr.68)</t>
        </is>
      </c>
      <c r="D231" s="14" t="inlineStr">
        <is>
          <t>P1C</t>
        </is>
      </c>
      <c r="E231" s="15" t="n">
        <v>10</v>
      </c>
      <c r="F231" s="4" t="inlineStr">
        <is>
          <t>CB240-T</t>
        </is>
      </c>
      <c r="G231" s="5" t="inlineStr"/>
      <c r="H231" s="16" t="n">
        <v>3.592</v>
      </c>
      <c r="I231" s="17" t="n">
        <v>2</v>
      </c>
      <c r="J231" s="18" t="n">
        <v>0.617</v>
      </c>
      <c r="K231" s="7">
        <f>ROUND(H231*I231*J231, 2)</f>
        <v/>
      </c>
      <c r="L231" s="19">
        <f>ROUND(K231/1000, 3)</f>
        <v/>
      </c>
      <c r="M231" s="728">
        <f>IF(AO231="","",IF(N(INDEX(Theo_Doi_Tan_Suat_Be_Tong!$C:$C,AO231))&lt;=0,"",INDEX(Theo_Doi_Tan_Suat_Be_Tong!$C:$C,AO231)-VLOOKUP(AN231,$AQ$2:$AR$7,2,FALSE)))</f>
        <v/>
      </c>
      <c r="N231" s="4" t="n"/>
      <c r="O231" s="20">
        <f>IF(ROUNDUP(P231/20,0)&gt;ROUNDUP(P230/20,0),"TN Ø10 (Lần " &amp; ROUNDUP(P231/20,0) &amp; ")","")</f>
        <v/>
      </c>
      <c r="P231" s="16">
        <f>ROUND(P230+IF(AND(E231&lt;=10,F231&lt;&gt;"ASTM A416"),L231,0),3)</f>
        <v/>
      </c>
      <c r="Q231" s="16">
        <f>ROUND(Q230+IF(AND(E231=12,F231&lt;&gt;"ASTM A416"),L231,0),3)</f>
        <v/>
      </c>
      <c r="R231" s="16">
        <f>ROUND(R230+IF(AND(E231=14,F231&lt;&gt;"ASTM A416"),L231,0),3)</f>
        <v/>
      </c>
      <c r="S231" s="16">
        <f>ROUND(S230+IF(AND(E231=16,F231&lt;&gt;"ASTM A416"),L231,0),3)</f>
        <v/>
      </c>
      <c r="T231" s="16">
        <f>ROUND(T230+IF(AND(E231=18,F231&lt;&gt;"ASTM A416"),L231,0),3)</f>
        <v/>
      </c>
      <c r="U231" s="16">
        <f>ROUND(U230+IF(AND(E231=20,F231&lt;&gt;"ASTM A416"),L231,0),3)</f>
        <v/>
      </c>
      <c r="V231" s="16">
        <f>ROUND(V230+IF(AND(E231=22,F231&lt;&gt;"ASTM A416"),L231,0),3)</f>
        <v/>
      </c>
      <c r="W231" s="16">
        <f>ROUND(W230+IF(AND(E231=25,F231&lt;&gt;"ASTM A416"),L231,0),3)</f>
        <v/>
      </c>
      <c r="X231" s="16">
        <f>ROUND(X230+IF(AND(E231=28,F231&lt;&gt;"ASTM A416"),L231,0),3)</f>
        <v/>
      </c>
      <c r="Y231" s="16">
        <f>ROUND(Y230+IF(AND(E231=32,F231&lt;&gt;"ASTM A416"),L231,0),3)</f>
        <v/>
      </c>
      <c r="Z231" s="16">
        <f>ROUND(Z230+IF(F231="ASTM A416",L231,0),3)</f>
        <v/>
      </c>
      <c r="AA231" s="9">
        <f>IF(ROUNDUP(P231/20,0)&gt;ROUNDUP(P230/20,0),"Lần " &amp; ROUNDUP(P231/20,0),"")</f>
        <v/>
      </c>
      <c r="AB231" s="9">
        <f>IF(ROUNDUP(Q231/20,0)&gt;ROUNDUP(Q230/20,0),"Lần " &amp; ROUNDUP(Q231/20,0),"")</f>
        <v/>
      </c>
      <c r="AC231" s="9">
        <f>IF(ROUNDUP(R231/20,0)&gt;ROUNDUP(R230/20,0),"Lần " &amp; ROUNDUP(R231/20,0),"")</f>
        <v/>
      </c>
      <c r="AD231" s="9">
        <f>IF(ROUNDUP(S231/20,0)&gt;ROUNDUP(S230/20,0),"Lần " &amp; ROUNDUP(S231/20,0),"")</f>
        <v/>
      </c>
      <c r="AE231" s="9">
        <f>IF(ROUNDUP(T231/20,0)&gt;ROUNDUP(T230/20,0),"Lần " &amp; ROUNDUP(T231/20,0),"")</f>
        <v/>
      </c>
      <c r="AF231" s="9">
        <f>IF(ROUNDUP(U231/20,0)&gt;ROUNDUP(U230/20,0),"Lần " &amp; ROUNDUP(U231/20,0),"")</f>
        <v/>
      </c>
      <c r="AG231" s="9">
        <f>IF(ROUNDUP(V231/20,0)&gt;ROUNDUP(V230/20,0),"Lần " &amp; ROUNDUP(V231/20,0),"")</f>
        <v/>
      </c>
      <c r="AH231" s="9">
        <f>IF(ROUNDUP(W231/20,0)&gt;ROUNDUP(W230/20,0),"Lần " &amp; ROUNDUP(W231/20,0),"")</f>
        <v/>
      </c>
      <c r="AI231" s="9">
        <f>IF(ROUNDUP(X231/20,0)&gt;ROUNDUP(X230/20,0),"Lần " &amp; ROUNDUP(X231/20,0),"")</f>
        <v/>
      </c>
      <c r="AJ231" s="9">
        <f>IF(ROUNDUP(Y231/20,0)&gt;ROUNDUP(Y230/20,0),"Lần " &amp; ROUNDUP(Y231/20,0),"")</f>
        <v/>
      </c>
      <c r="AK231" s="9">
        <f>IF(ROUNDUP(Z231/20,0)&gt;ROUNDUP(Z230/20,0),"Lần " &amp; ROUNDUP(Z231/20,0),"")</f>
        <v/>
      </c>
      <c r="AL231" s="4" t="n"/>
      <c r="AN231" s="596" t="inlineStr">
        <is>
          <t>Coc</t>
        </is>
      </c>
      <c r="AO231" s="596" t="n">
        <v>18</v>
      </c>
      <c r="AQ231" s="594" t="n"/>
      <c r="AR231" s="595" t="n"/>
    </row>
    <row r="232" ht="19" customHeight="1" s="672">
      <c r="A232" s="4" t="n">
        <v>215</v>
      </c>
      <c r="B232" s="5" t="inlineStr">
        <is>
          <t>Cọc khoan nhồi C8 Trụ T1 (D1.2m, L=40.0m)</t>
        </is>
      </c>
      <c r="C232" s="5" t="inlineStr">
        <is>
          <t>Cọc trụ T1 L=40m (tr.68)</t>
        </is>
      </c>
      <c r="D232" s="14" t="inlineStr">
        <is>
          <t>P1D</t>
        </is>
      </c>
      <c r="E232" s="15" t="n">
        <v>10</v>
      </c>
      <c r="F232" s="4" t="inlineStr">
        <is>
          <t>CB240-T</t>
        </is>
      </c>
      <c r="G232" s="5" t="inlineStr"/>
      <c r="H232" s="16" t="n">
        <v>19.721</v>
      </c>
      <c r="I232" s="17" t="n">
        <v>1</v>
      </c>
      <c r="J232" s="18" t="n">
        <v>0.617</v>
      </c>
      <c r="K232" s="7">
        <f>ROUND(H232*I232*J232, 2)</f>
        <v/>
      </c>
      <c r="L232" s="19">
        <f>ROUND(K232/1000, 3)</f>
        <v/>
      </c>
      <c r="M232" s="728">
        <f>IF(AO232="","",IF(N(INDEX(Theo_Doi_Tan_Suat_Be_Tong!$C:$C,AO232))&lt;=0,"",INDEX(Theo_Doi_Tan_Suat_Be_Tong!$C:$C,AO232)-VLOOKUP(AN232,$AQ$2:$AR$7,2,FALSE)))</f>
        <v/>
      </c>
      <c r="N232" s="4" t="n"/>
      <c r="O232" s="20">
        <f>IF(ROUNDUP(P232/20,0)&gt;ROUNDUP(P231/20,0),"TN Ø10 (Lần " &amp; ROUNDUP(P232/20,0) &amp; ")","")</f>
        <v/>
      </c>
      <c r="P232" s="16">
        <f>ROUND(P231+IF(AND(E232&lt;=10,F232&lt;&gt;"ASTM A416"),L232,0),3)</f>
        <v/>
      </c>
      <c r="Q232" s="16">
        <f>ROUND(Q231+IF(AND(E232=12,F232&lt;&gt;"ASTM A416"),L232,0),3)</f>
        <v/>
      </c>
      <c r="R232" s="16">
        <f>ROUND(R231+IF(AND(E232=14,F232&lt;&gt;"ASTM A416"),L232,0),3)</f>
        <v/>
      </c>
      <c r="S232" s="16">
        <f>ROUND(S231+IF(AND(E232=16,F232&lt;&gt;"ASTM A416"),L232,0),3)</f>
        <v/>
      </c>
      <c r="T232" s="16">
        <f>ROUND(T231+IF(AND(E232=18,F232&lt;&gt;"ASTM A416"),L232,0),3)</f>
        <v/>
      </c>
      <c r="U232" s="16">
        <f>ROUND(U231+IF(AND(E232=20,F232&lt;&gt;"ASTM A416"),L232,0),3)</f>
        <v/>
      </c>
      <c r="V232" s="16">
        <f>ROUND(V231+IF(AND(E232=22,F232&lt;&gt;"ASTM A416"),L232,0),3)</f>
        <v/>
      </c>
      <c r="W232" s="16">
        <f>ROUND(W231+IF(AND(E232=25,F232&lt;&gt;"ASTM A416"),L232,0),3)</f>
        <v/>
      </c>
      <c r="X232" s="16">
        <f>ROUND(X231+IF(AND(E232=28,F232&lt;&gt;"ASTM A416"),L232,0),3)</f>
        <v/>
      </c>
      <c r="Y232" s="16">
        <f>ROUND(Y231+IF(AND(E232=32,F232&lt;&gt;"ASTM A416"),L232,0),3)</f>
        <v/>
      </c>
      <c r="Z232" s="16">
        <f>ROUND(Z231+IF(F232="ASTM A416",L232,0),3)</f>
        <v/>
      </c>
      <c r="AA232" s="9">
        <f>IF(ROUNDUP(P232/20,0)&gt;ROUNDUP(P231/20,0),"Lần " &amp; ROUNDUP(P232/20,0),"")</f>
        <v/>
      </c>
      <c r="AB232" s="9">
        <f>IF(ROUNDUP(Q232/20,0)&gt;ROUNDUP(Q231/20,0),"Lần " &amp; ROUNDUP(Q232/20,0),"")</f>
        <v/>
      </c>
      <c r="AC232" s="9">
        <f>IF(ROUNDUP(R232/20,0)&gt;ROUNDUP(R231/20,0),"Lần " &amp; ROUNDUP(R232/20,0),"")</f>
        <v/>
      </c>
      <c r="AD232" s="9">
        <f>IF(ROUNDUP(S232/20,0)&gt;ROUNDUP(S231/20,0),"Lần " &amp; ROUNDUP(S232/20,0),"")</f>
        <v/>
      </c>
      <c r="AE232" s="9">
        <f>IF(ROUNDUP(T232/20,0)&gt;ROUNDUP(T231/20,0),"Lần " &amp; ROUNDUP(T232/20,0),"")</f>
        <v/>
      </c>
      <c r="AF232" s="9">
        <f>IF(ROUNDUP(U232/20,0)&gt;ROUNDUP(U231/20,0),"Lần " &amp; ROUNDUP(U232/20,0),"")</f>
        <v/>
      </c>
      <c r="AG232" s="9">
        <f>IF(ROUNDUP(V232/20,0)&gt;ROUNDUP(V231/20,0),"Lần " &amp; ROUNDUP(V232/20,0),"")</f>
        <v/>
      </c>
      <c r="AH232" s="9">
        <f>IF(ROUNDUP(W232/20,0)&gt;ROUNDUP(W231/20,0),"Lần " &amp; ROUNDUP(W232/20,0),"")</f>
        <v/>
      </c>
      <c r="AI232" s="9">
        <f>IF(ROUNDUP(X232/20,0)&gt;ROUNDUP(X231/20,0),"Lần " &amp; ROUNDUP(X232/20,0),"")</f>
        <v/>
      </c>
      <c r="AJ232" s="9">
        <f>IF(ROUNDUP(Y232/20,0)&gt;ROUNDUP(Y231/20,0),"Lần " &amp; ROUNDUP(Y232/20,0),"")</f>
        <v/>
      </c>
      <c r="AK232" s="9">
        <f>IF(ROUNDUP(Z232/20,0)&gt;ROUNDUP(Z231/20,0),"Lần " &amp; ROUNDUP(Z232/20,0),"")</f>
        <v/>
      </c>
      <c r="AL232" s="4" t="n"/>
      <c r="AN232" s="596" t="inlineStr">
        <is>
          <t>Coc</t>
        </is>
      </c>
      <c r="AO232" s="596" t="n">
        <v>18</v>
      </c>
      <c r="AQ232" s="594" t="n"/>
      <c r="AR232" s="595" t="n"/>
    </row>
    <row r="233" ht="19" customHeight="1" s="672">
      <c r="A233" s="4" t="n">
        <v>216</v>
      </c>
      <c r="B233" s="5" t="inlineStr">
        <is>
          <t>Cọc khoan nhồi C8 Trụ T1 (D1.2m, L=40.0m)</t>
        </is>
      </c>
      <c r="C233" s="5" t="inlineStr">
        <is>
          <t>Cọc trụ T1 L=40m (tr.68)</t>
        </is>
      </c>
      <c r="D233" s="14" t="inlineStr">
        <is>
          <t>P2B</t>
        </is>
      </c>
      <c r="E233" s="15" t="n">
        <v>25</v>
      </c>
      <c r="F233" s="4" t="inlineStr">
        <is>
          <t>CB400-V</t>
        </is>
      </c>
      <c r="G233" s="5" t="inlineStr"/>
      <c r="H233" s="16" t="n">
        <v>2.985</v>
      </c>
      <c r="I233" s="17" t="n">
        <v>16</v>
      </c>
      <c r="J233" s="18" t="n">
        <v>3.853</v>
      </c>
      <c r="K233" s="7">
        <f>ROUND(H233*I233*J233, 2)</f>
        <v/>
      </c>
      <c r="L233" s="19">
        <f>ROUND(K233/1000, 3)</f>
        <v/>
      </c>
      <c r="M233" s="728">
        <f>IF(AO233="","",IF(N(INDEX(Theo_Doi_Tan_Suat_Be_Tong!$C:$C,AO233))&lt;=0,"",INDEX(Theo_Doi_Tan_Suat_Be_Tong!$C:$C,AO233)-VLOOKUP(AN233,$AQ$2:$AR$7,2,FALSE)))</f>
        <v/>
      </c>
      <c r="N233" s="4" t="n"/>
      <c r="O233" s="20">
        <f>IF(ROUNDUP(W233/20,0)&gt;ROUNDUP(W232/20,0),"TN Ø25 (Lần " &amp; ROUNDUP(W233/20,0) &amp; ")","")</f>
        <v/>
      </c>
      <c r="P233" s="16">
        <f>ROUND(P232+IF(AND(E233&lt;=10,F233&lt;&gt;"ASTM A416"),L233,0),3)</f>
        <v/>
      </c>
      <c r="Q233" s="16">
        <f>ROUND(Q232+IF(AND(E233=12,F233&lt;&gt;"ASTM A416"),L233,0),3)</f>
        <v/>
      </c>
      <c r="R233" s="16">
        <f>ROUND(R232+IF(AND(E233=14,F233&lt;&gt;"ASTM A416"),L233,0),3)</f>
        <v/>
      </c>
      <c r="S233" s="16">
        <f>ROUND(S232+IF(AND(E233=16,F233&lt;&gt;"ASTM A416"),L233,0),3)</f>
        <v/>
      </c>
      <c r="T233" s="16">
        <f>ROUND(T232+IF(AND(E233=18,F233&lt;&gt;"ASTM A416"),L233,0),3)</f>
        <v/>
      </c>
      <c r="U233" s="16">
        <f>ROUND(U232+IF(AND(E233=20,F233&lt;&gt;"ASTM A416"),L233,0),3)</f>
        <v/>
      </c>
      <c r="V233" s="16">
        <f>ROUND(V232+IF(AND(E233=22,F233&lt;&gt;"ASTM A416"),L233,0),3)</f>
        <v/>
      </c>
      <c r="W233" s="16">
        <f>ROUND(W232+IF(AND(E233=25,F233&lt;&gt;"ASTM A416"),L233,0),3)</f>
        <v/>
      </c>
      <c r="X233" s="16">
        <f>ROUND(X232+IF(AND(E233=28,F233&lt;&gt;"ASTM A416"),L233,0),3)</f>
        <v/>
      </c>
      <c r="Y233" s="16">
        <f>ROUND(Y232+IF(AND(E233=32,F233&lt;&gt;"ASTM A416"),L233,0),3)</f>
        <v/>
      </c>
      <c r="Z233" s="16">
        <f>ROUND(Z232+IF(F233="ASTM A416",L233,0),3)</f>
        <v/>
      </c>
      <c r="AA233" s="9">
        <f>IF(ROUNDUP(P233/20,0)&gt;ROUNDUP(P232/20,0),"Lần " &amp; ROUNDUP(P233/20,0),"")</f>
        <v/>
      </c>
      <c r="AB233" s="9">
        <f>IF(ROUNDUP(Q233/20,0)&gt;ROUNDUP(Q232/20,0),"Lần " &amp; ROUNDUP(Q233/20,0),"")</f>
        <v/>
      </c>
      <c r="AC233" s="9">
        <f>IF(ROUNDUP(R233/20,0)&gt;ROUNDUP(R232/20,0),"Lần " &amp; ROUNDUP(R233/20,0),"")</f>
        <v/>
      </c>
      <c r="AD233" s="9">
        <f>IF(ROUNDUP(S233/20,0)&gt;ROUNDUP(S232/20,0),"Lần " &amp; ROUNDUP(S233/20,0),"")</f>
        <v/>
      </c>
      <c r="AE233" s="9">
        <f>IF(ROUNDUP(T233/20,0)&gt;ROUNDUP(T232/20,0),"Lần " &amp; ROUNDUP(T233/20,0),"")</f>
        <v/>
      </c>
      <c r="AF233" s="9">
        <f>IF(ROUNDUP(U233/20,0)&gt;ROUNDUP(U232/20,0),"Lần " &amp; ROUNDUP(U233/20,0),"")</f>
        <v/>
      </c>
      <c r="AG233" s="9">
        <f>IF(ROUNDUP(V233/20,0)&gt;ROUNDUP(V232/20,0),"Lần " &amp; ROUNDUP(V233/20,0),"")</f>
        <v/>
      </c>
      <c r="AH233" s="9">
        <f>IF(ROUNDUP(W233/20,0)&gt;ROUNDUP(W232/20,0),"Lần " &amp; ROUNDUP(W233/20,0),"")</f>
        <v/>
      </c>
      <c r="AI233" s="9">
        <f>IF(ROUNDUP(X233/20,0)&gt;ROUNDUP(X232/20,0),"Lần " &amp; ROUNDUP(X233/20,0),"")</f>
        <v/>
      </c>
      <c r="AJ233" s="9">
        <f>IF(ROUNDUP(Y233/20,0)&gt;ROUNDUP(Y232/20,0),"Lần " &amp; ROUNDUP(Y233/20,0),"")</f>
        <v/>
      </c>
      <c r="AK233" s="9">
        <f>IF(ROUNDUP(Z233/20,0)&gt;ROUNDUP(Z232/20,0),"Lần " &amp; ROUNDUP(Z233/20,0),"")</f>
        <v/>
      </c>
      <c r="AL233" s="4" t="n"/>
      <c r="AN233" s="596" t="inlineStr">
        <is>
          <t>Coc</t>
        </is>
      </c>
      <c r="AO233" s="596" t="n">
        <v>18</v>
      </c>
      <c r="AQ233" s="594" t="n"/>
      <c r="AR233" s="595" t="n"/>
    </row>
    <row r="234" ht="19" customHeight="1" s="672">
      <c r="A234" s="4" t="n">
        <v>217</v>
      </c>
      <c r="B234" s="5" t="inlineStr">
        <is>
          <t>Cọc khoan nhồi C8 Trụ T1 (D1.2m, L=40.0m)</t>
        </is>
      </c>
      <c r="C234" s="5" t="inlineStr">
        <is>
          <t>Cọc trụ T1 L=40m (tr.68)</t>
        </is>
      </c>
      <c r="D234" s="14" t="inlineStr">
        <is>
          <t>P3</t>
        </is>
      </c>
      <c r="E234" s="15" t="n">
        <v>25</v>
      </c>
      <c r="F234" s="4" t="inlineStr">
        <is>
          <t>CB400-V</t>
        </is>
      </c>
      <c r="G234" s="5" t="inlineStr"/>
      <c r="H234" s="16" t="n">
        <v>10.7</v>
      </c>
      <c r="I234" s="17" t="n">
        <v>12</v>
      </c>
      <c r="J234" s="18" t="n">
        <v>3.853</v>
      </c>
      <c r="K234" s="7">
        <f>ROUND(H234*I234*J234, 2)</f>
        <v/>
      </c>
      <c r="L234" s="19">
        <f>ROUND(K234/1000, 3)</f>
        <v/>
      </c>
      <c r="M234" s="728">
        <f>IF(AO234="","",IF(N(INDEX(Theo_Doi_Tan_Suat_Be_Tong!$C:$C,AO234))&lt;=0,"",INDEX(Theo_Doi_Tan_Suat_Be_Tong!$C:$C,AO234)-VLOOKUP(AN234,$AQ$2:$AR$7,2,FALSE)))</f>
        <v/>
      </c>
      <c r="N234" s="4" t="n"/>
      <c r="O234" s="20">
        <f>IF(ROUNDUP(W234/20,0)&gt;ROUNDUP(W233/20,0),"TN Ø25 (Lần " &amp; ROUNDUP(W234/20,0) &amp; ")","")</f>
        <v/>
      </c>
      <c r="P234" s="16">
        <f>ROUND(P233+IF(AND(E234&lt;=10,F234&lt;&gt;"ASTM A416"),L234,0),3)</f>
        <v/>
      </c>
      <c r="Q234" s="16">
        <f>ROUND(Q233+IF(AND(E234=12,F234&lt;&gt;"ASTM A416"),L234,0),3)</f>
        <v/>
      </c>
      <c r="R234" s="16">
        <f>ROUND(R233+IF(AND(E234=14,F234&lt;&gt;"ASTM A416"),L234,0),3)</f>
        <v/>
      </c>
      <c r="S234" s="16">
        <f>ROUND(S233+IF(AND(E234=16,F234&lt;&gt;"ASTM A416"),L234,0),3)</f>
        <v/>
      </c>
      <c r="T234" s="16">
        <f>ROUND(T233+IF(AND(E234=18,F234&lt;&gt;"ASTM A416"),L234,0),3)</f>
        <v/>
      </c>
      <c r="U234" s="16">
        <f>ROUND(U233+IF(AND(E234=20,F234&lt;&gt;"ASTM A416"),L234,0),3)</f>
        <v/>
      </c>
      <c r="V234" s="16">
        <f>ROUND(V233+IF(AND(E234=22,F234&lt;&gt;"ASTM A416"),L234,0),3)</f>
        <v/>
      </c>
      <c r="W234" s="16">
        <f>ROUND(W233+IF(AND(E234=25,F234&lt;&gt;"ASTM A416"),L234,0),3)</f>
        <v/>
      </c>
      <c r="X234" s="16">
        <f>ROUND(X233+IF(AND(E234=28,F234&lt;&gt;"ASTM A416"),L234,0),3)</f>
        <v/>
      </c>
      <c r="Y234" s="16">
        <f>ROUND(Y233+IF(AND(E234=32,F234&lt;&gt;"ASTM A416"),L234,0),3)</f>
        <v/>
      </c>
      <c r="Z234" s="16">
        <f>ROUND(Z233+IF(F234="ASTM A416",L234,0),3)</f>
        <v/>
      </c>
      <c r="AA234" s="9">
        <f>IF(ROUNDUP(P234/20,0)&gt;ROUNDUP(P233/20,0),"Lần " &amp; ROUNDUP(P234/20,0),"")</f>
        <v/>
      </c>
      <c r="AB234" s="9">
        <f>IF(ROUNDUP(Q234/20,0)&gt;ROUNDUP(Q233/20,0),"Lần " &amp; ROUNDUP(Q234/20,0),"")</f>
        <v/>
      </c>
      <c r="AC234" s="9">
        <f>IF(ROUNDUP(R234/20,0)&gt;ROUNDUP(R233/20,0),"Lần " &amp; ROUNDUP(R234/20,0),"")</f>
        <v/>
      </c>
      <c r="AD234" s="9">
        <f>IF(ROUNDUP(S234/20,0)&gt;ROUNDUP(S233/20,0),"Lần " &amp; ROUNDUP(S234/20,0),"")</f>
        <v/>
      </c>
      <c r="AE234" s="9">
        <f>IF(ROUNDUP(T234/20,0)&gt;ROUNDUP(T233/20,0),"Lần " &amp; ROUNDUP(T234/20,0),"")</f>
        <v/>
      </c>
      <c r="AF234" s="9">
        <f>IF(ROUNDUP(U234/20,0)&gt;ROUNDUP(U233/20,0),"Lần " &amp; ROUNDUP(U234/20,0),"")</f>
        <v/>
      </c>
      <c r="AG234" s="9">
        <f>IF(ROUNDUP(V234/20,0)&gt;ROUNDUP(V233/20,0),"Lần " &amp; ROUNDUP(V234/20,0),"")</f>
        <v/>
      </c>
      <c r="AH234" s="9">
        <f>IF(ROUNDUP(W234/20,0)&gt;ROUNDUP(W233/20,0),"Lần " &amp; ROUNDUP(W234/20,0),"")</f>
        <v/>
      </c>
      <c r="AI234" s="9">
        <f>IF(ROUNDUP(X234/20,0)&gt;ROUNDUP(X233/20,0),"Lần " &amp; ROUNDUP(X234/20,0),"")</f>
        <v/>
      </c>
      <c r="AJ234" s="9">
        <f>IF(ROUNDUP(Y234/20,0)&gt;ROUNDUP(Y233/20,0),"Lần " &amp; ROUNDUP(Y234/20,0),"")</f>
        <v/>
      </c>
      <c r="AK234" s="9">
        <f>IF(ROUNDUP(Z234/20,0)&gt;ROUNDUP(Z233/20,0),"Lần " &amp; ROUNDUP(Z234/20,0),"")</f>
        <v/>
      </c>
      <c r="AL234" s="4" t="n"/>
      <c r="AN234" s="596" t="inlineStr">
        <is>
          <t>Coc</t>
        </is>
      </c>
      <c r="AO234" s="596" t="n">
        <v>18</v>
      </c>
      <c r="AQ234" s="594" t="n"/>
      <c r="AR234" s="595" t="n"/>
    </row>
    <row r="235" ht="19" customHeight="1" s="672">
      <c r="A235" s="4" t="n">
        <v>218</v>
      </c>
      <c r="B235" s="5" t="inlineStr">
        <is>
          <t>Cọc khoan nhồi C8 Trụ T1 (D1.2m, L=40.0m)</t>
        </is>
      </c>
      <c r="C235" s="5" t="inlineStr">
        <is>
          <t>Cọc trụ T1 L=40m (tr.68)</t>
        </is>
      </c>
      <c r="D235" s="14" t="inlineStr">
        <is>
          <t>P4</t>
        </is>
      </c>
      <c r="E235" s="15" t="n">
        <v>25</v>
      </c>
      <c r="F235" s="4" t="inlineStr">
        <is>
          <t>CB400-V</t>
        </is>
      </c>
      <c r="G235" s="5" t="inlineStr"/>
      <c r="H235" s="16" t="n">
        <v>11.7</v>
      </c>
      <c r="I235" s="17" t="n">
        <v>60</v>
      </c>
      <c r="J235" s="18" t="n">
        <v>3.853</v>
      </c>
      <c r="K235" s="7">
        <f>ROUND(H235*I235*J235, 2)</f>
        <v/>
      </c>
      <c r="L235" s="19">
        <f>ROUND(K235/1000, 3)</f>
        <v/>
      </c>
      <c r="M235" s="728">
        <f>IF(AO235="","",IF(N(INDEX(Theo_Doi_Tan_Suat_Be_Tong!$C:$C,AO235))&lt;=0,"",INDEX(Theo_Doi_Tan_Suat_Be_Tong!$C:$C,AO235)-VLOOKUP(AN235,$AQ$2:$AR$7,2,FALSE)))</f>
        <v/>
      </c>
      <c r="N235" s="4" t="n"/>
      <c r="O235" s="20">
        <f>IF(ROUNDUP(W235/20,0)&gt;ROUNDUP(W234/20,0),"TN Ø25 (Lần " &amp; ROUNDUP(W235/20,0) &amp; ")","")</f>
        <v/>
      </c>
      <c r="P235" s="16">
        <f>ROUND(P234+IF(AND(E235&lt;=10,F235&lt;&gt;"ASTM A416"),L235,0),3)</f>
        <v/>
      </c>
      <c r="Q235" s="16">
        <f>ROUND(Q234+IF(AND(E235=12,F235&lt;&gt;"ASTM A416"),L235,0),3)</f>
        <v/>
      </c>
      <c r="R235" s="16">
        <f>ROUND(R234+IF(AND(E235=14,F235&lt;&gt;"ASTM A416"),L235,0),3)</f>
        <v/>
      </c>
      <c r="S235" s="16">
        <f>ROUND(S234+IF(AND(E235=16,F235&lt;&gt;"ASTM A416"),L235,0),3)</f>
        <v/>
      </c>
      <c r="T235" s="16">
        <f>ROUND(T234+IF(AND(E235=18,F235&lt;&gt;"ASTM A416"),L235,0),3)</f>
        <v/>
      </c>
      <c r="U235" s="16">
        <f>ROUND(U234+IF(AND(E235=20,F235&lt;&gt;"ASTM A416"),L235,0),3)</f>
        <v/>
      </c>
      <c r="V235" s="16">
        <f>ROUND(V234+IF(AND(E235=22,F235&lt;&gt;"ASTM A416"),L235,0),3)</f>
        <v/>
      </c>
      <c r="W235" s="16">
        <f>ROUND(W234+IF(AND(E235=25,F235&lt;&gt;"ASTM A416"),L235,0),3)</f>
        <v/>
      </c>
      <c r="X235" s="16">
        <f>ROUND(X234+IF(AND(E235=28,F235&lt;&gt;"ASTM A416"),L235,0),3)</f>
        <v/>
      </c>
      <c r="Y235" s="16">
        <f>ROUND(Y234+IF(AND(E235=32,F235&lt;&gt;"ASTM A416"),L235,0),3)</f>
        <v/>
      </c>
      <c r="Z235" s="16">
        <f>ROUND(Z234+IF(F235="ASTM A416",L235,0),3)</f>
        <v/>
      </c>
      <c r="AA235" s="9">
        <f>IF(ROUNDUP(P235/20,0)&gt;ROUNDUP(P234/20,0),"Lần " &amp; ROUNDUP(P235/20,0),"")</f>
        <v/>
      </c>
      <c r="AB235" s="9">
        <f>IF(ROUNDUP(Q235/20,0)&gt;ROUNDUP(Q234/20,0),"Lần " &amp; ROUNDUP(Q235/20,0),"")</f>
        <v/>
      </c>
      <c r="AC235" s="9">
        <f>IF(ROUNDUP(R235/20,0)&gt;ROUNDUP(R234/20,0),"Lần " &amp; ROUNDUP(R235/20,0),"")</f>
        <v/>
      </c>
      <c r="AD235" s="9">
        <f>IF(ROUNDUP(S235/20,0)&gt;ROUNDUP(S234/20,0),"Lần " &amp; ROUNDUP(S235/20,0),"")</f>
        <v/>
      </c>
      <c r="AE235" s="9">
        <f>IF(ROUNDUP(T235/20,0)&gt;ROUNDUP(T234/20,0),"Lần " &amp; ROUNDUP(T235/20,0),"")</f>
        <v/>
      </c>
      <c r="AF235" s="9">
        <f>IF(ROUNDUP(U235/20,0)&gt;ROUNDUP(U234/20,0),"Lần " &amp; ROUNDUP(U235/20,0),"")</f>
        <v/>
      </c>
      <c r="AG235" s="9">
        <f>IF(ROUNDUP(V235/20,0)&gt;ROUNDUP(V234/20,0),"Lần " &amp; ROUNDUP(V235/20,0),"")</f>
        <v/>
      </c>
      <c r="AH235" s="9">
        <f>IF(ROUNDUP(W235/20,0)&gt;ROUNDUP(W234/20,0),"Lần " &amp; ROUNDUP(W235/20,0),"")</f>
        <v/>
      </c>
      <c r="AI235" s="9">
        <f>IF(ROUNDUP(X235/20,0)&gt;ROUNDUP(X234/20,0),"Lần " &amp; ROUNDUP(X235/20,0),"")</f>
        <v/>
      </c>
      <c r="AJ235" s="9">
        <f>IF(ROUNDUP(Y235/20,0)&gt;ROUNDUP(Y234/20,0),"Lần " &amp; ROUNDUP(Y235/20,0),"")</f>
        <v/>
      </c>
      <c r="AK235" s="9">
        <f>IF(ROUNDUP(Z235/20,0)&gt;ROUNDUP(Z234/20,0),"Lần " &amp; ROUNDUP(Z235/20,0),"")</f>
        <v/>
      </c>
      <c r="AL235" s="4" t="n"/>
      <c r="AN235" s="596" t="inlineStr">
        <is>
          <t>Coc</t>
        </is>
      </c>
      <c r="AO235" s="596" t="n">
        <v>18</v>
      </c>
      <c r="AQ235" s="594" t="n"/>
      <c r="AR235" s="595" t="n"/>
    </row>
    <row r="236" ht="19" customHeight="1" s="672">
      <c r="A236" s="4" t="n">
        <v>219</v>
      </c>
      <c r="B236" s="5" t="inlineStr">
        <is>
          <t>Cọc khoan nhồi C8 Trụ T1 (D1.2m, L=40.0m)</t>
        </is>
      </c>
      <c r="C236" s="5" t="inlineStr">
        <is>
          <t>Cọc trụ T1 L=40m (tr.68)</t>
        </is>
      </c>
      <c r="D236" s="14" t="inlineStr">
        <is>
          <t>P6</t>
        </is>
      </c>
      <c r="E236" s="15" t="n">
        <v>25</v>
      </c>
      <c r="F236" s="4" t="inlineStr">
        <is>
          <t>CB400-V</t>
        </is>
      </c>
      <c r="G236" s="5" t="inlineStr"/>
      <c r="H236" s="16" t="n">
        <v>9.032999999999999</v>
      </c>
      <c r="I236" s="17" t="n">
        <v>12</v>
      </c>
      <c r="J236" s="18" t="n">
        <v>3.853</v>
      </c>
      <c r="K236" s="7">
        <f>ROUND(H236*I236*J236, 2)</f>
        <v/>
      </c>
      <c r="L236" s="19">
        <f>ROUND(K236/1000, 3)</f>
        <v/>
      </c>
      <c r="M236" s="728">
        <f>IF(AO236="","",IF(N(INDEX(Theo_Doi_Tan_Suat_Be_Tong!$C:$C,AO236))&lt;=0,"",INDEX(Theo_Doi_Tan_Suat_Be_Tong!$C:$C,AO236)-VLOOKUP(AN236,$AQ$2:$AR$7,2,FALSE)))</f>
        <v/>
      </c>
      <c r="N236" s="4" t="n"/>
      <c r="O236" s="20">
        <f>IF(ROUNDUP(W236/20,0)&gt;ROUNDUP(W235/20,0),"TN Ø25 (Lần " &amp; ROUNDUP(W236/20,0) &amp; ")","")</f>
        <v/>
      </c>
      <c r="P236" s="16">
        <f>ROUND(P235+IF(AND(E236&lt;=10,F236&lt;&gt;"ASTM A416"),L236,0),3)</f>
        <v/>
      </c>
      <c r="Q236" s="16">
        <f>ROUND(Q235+IF(AND(E236=12,F236&lt;&gt;"ASTM A416"),L236,0),3)</f>
        <v/>
      </c>
      <c r="R236" s="16">
        <f>ROUND(R235+IF(AND(E236=14,F236&lt;&gt;"ASTM A416"),L236,0),3)</f>
        <v/>
      </c>
      <c r="S236" s="16">
        <f>ROUND(S235+IF(AND(E236=16,F236&lt;&gt;"ASTM A416"),L236,0),3)</f>
        <v/>
      </c>
      <c r="T236" s="16">
        <f>ROUND(T235+IF(AND(E236=18,F236&lt;&gt;"ASTM A416"),L236,0),3)</f>
        <v/>
      </c>
      <c r="U236" s="16">
        <f>ROUND(U235+IF(AND(E236=20,F236&lt;&gt;"ASTM A416"),L236,0),3)</f>
        <v/>
      </c>
      <c r="V236" s="16">
        <f>ROUND(V235+IF(AND(E236=22,F236&lt;&gt;"ASTM A416"),L236,0),3)</f>
        <v/>
      </c>
      <c r="W236" s="16">
        <f>ROUND(W235+IF(AND(E236=25,F236&lt;&gt;"ASTM A416"),L236,0),3)</f>
        <v/>
      </c>
      <c r="X236" s="16">
        <f>ROUND(X235+IF(AND(E236=28,F236&lt;&gt;"ASTM A416"),L236,0),3)</f>
        <v/>
      </c>
      <c r="Y236" s="16">
        <f>ROUND(Y235+IF(AND(E236=32,F236&lt;&gt;"ASTM A416"),L236,0),3)</f>
        <v/>
      </c>
      <c r="Z236" s="16">
        <f>ROUND(Z235+IF(F236="ASTM A416",L236,0),3)</f>
        <v/>
      </c>
      <c r="AA236" s="9">
        <f>IF(ROUNDUP(P236/20,0)&gt;ROUNDUP(P235/20,0),"Lần " &amp; ROUNDUP(P236/20,0),"")</f>
        <v/>
      </c>
      <c r="AB236" s="9">
        <f>IF(ROUNDUP(Q236/20,0)&gt;ROUNDUP(Q235/20,0),"Lần " &amp; ROUNDUP(Q236/20,0),"")</f>
        <v/>
      </c>
      <c r="AC236" s="9">
        <f>IF(ROUNDUP(R236/20,0)&gt;ROUNDUP(R235/20,0),"Lần " &amp; ROUNDUP(R236/20,0),"")</f>
        <v/>
      </c>
      <c r="AD236" s="9">
        <f>IF(ROUNDUP(S236/20,0)&gt;ROUNDUP(S235/20,0),"Lần " &amp; ROUNDUP(S236/20,0),"")</f>
        <v/>
      </c>
      <c r="AE236" s="9">
        <f>IF(ROUNDUP(T236/20,0)&gt;ROUNDUP(T235/20,0),"Lần " &amp; ROUNDUP(T236/20,0),"")</f>
        <v/>
      </c>
      <c r="AF236" s="9">
        <f>IF(ROUNDUP(U236/20,0)&gt;ROUNDUP(U235/20,0),"Lần " &amp; ROUNDUP(U236/20,0),"")</f>
        <v/>
      </c>
      <c r="AG236" s="9">
        <f>IF(ROUNDUP(V236/20,0)&gt;ROUNDUP(V235/20,0),"Lần " &amp; ROUNDUP(V236/20,0),"")</f>
        <v/>
      </c>
      <c r="AH236" s="9">
        <f>IF(ROUNDUP(W236/20,0)&gt;ROUNDUP(W235/20,0),"Lần " &amp; ROUNDUP(W236/20,0),"")</f>
        <v/>
      </c>
      <c r="AI236" s="9">
        <f>IF(ROUNDUP(X236/20,0)&gt;ROUNDUP(X235/20,0),"Lần " &amp; ROUNDUP(X236/20,0),"")</f>
        <v/>
      </c>
      <c r="AJ236" s="9">
        <f>IF(ROUNDUP(Y236/20,0)&gt;ROUNDUP(Y235/20,0),"Lần " &amp; ROUNDUP(Y236/20,0),"")</f>
        <v/>
      </c>
      <c r="AK236" s="9">
        <f>IF(ROUNDUP(Z236/20,0)&gt;ROUNDUP(Z235/20,0),"Lần " &amp; ROUNDUP(Z236/20,0),"")</f>
        <v/>
      </c>
      <c r="AL236" s="4" t="n"/>
      <c r="AN236" s="596" t="inlineStr">
        <is>
          <t>Coc</t>
        </is>
      </c>
      <c r="AO236" s="596" t="n">
        <v>18</v>
      </c>
      <c r="AQ236" s="594" t="n"/>
      <c r="AR236" s="595" t="n"/>
    </row>
    <row r="237" ht="19" customHeight="1" s="672">
      <c r="A237" s="4" t="n">
        <v>220</v>
      </c>
      <c r="B237" s="5" t="inlineStr">
        <is>
          <t>Cọc khoan nhồi C8 Trụ T1 (D1.2m, L=40.0m)</t>
        </is>
      </c>
      <c r="C237" s="5" t="inlineStr">
        <is>
          <t>Cọc trụ T1 L=40m (tr.68)</t>
        </is>
      </c>
      <c r="D237" s="14" t="inlineStr">
        <is>
          <t>P7</t>
        </is>
      </c>
      <c r="E237" s="15" t="n">
        <v>25</v>
      </c>
      <c r="F237" s="4" t="inlineStr">
        <is>
          <t>CB400-V</t>
        </is>
      </c>
      <c r="G237" s="5" t="inlineStr"/>
      <c r="H237" s="16" t="n">
        <v>10.033</v>
      </c>
      <c r="I237" s="17" t="n">
        <v>12</v>
      </c>
      <c r="J237" s="18" t="n">
        <v>3.853</v>
      </c>
      <c r="K237" s="7">
        <f>ROUND(H237*I237*J237, 2)</f>
        <v/>
      </c>
      <c r="L237" s="19">
        <f>ROUND(K237/1000, 3)</f>
        <v/>
      </c>
      <c r="M237" s="728">
        <f>IF(AO237="","",IF(N(INDEX(Theo_Doi_Tan_Suat_Be_Tong!$C:$C,AO237))&lt;=0,"",INDEX(Theo_Doi_Tan_Suat_Be_Tong!$C:$C,AO237)-VLOOKUP(AN237,$AQ$2:$AR$7,2,FALSE)))</f>
        <v/>
      </c>
      <c r="N237" s="4" t="n"/>
      <c r="O237" s="20">
        <f>IF(ROUNDUP(W237/20,0)&gt;ROUNDUP(W236/20,0),"TN Ø25 (Lần " &amp; ROUNDUP(W237/20,0) &amp; ")","")</f>
        <v/>
      </c>
      <c r="P237" s="16">
        <f>ROUND(P236+IF(AND(E237&lt;=10,F237&lt;&gt;"ASTM A416"),L237,0),3)</f>
        <v/>
      </c>
      <c r="Q237" s="16">
        <f>ROUND(Q236+IF(AND(E237=12,F237&lt;&gt;"ASTM A416"),L237,0),3)</f>
        <v/>
      </c>
      <c r="R237" s="16">
        <f>ROUND(R236+IF(AND(E237=14,F237&lt;&gt;"ASTM A416"),L237,0),3)</f>
        <v/>
      </c>
      <c r="S237" s="16">
        <f>ROUND(S236+IF(AND(E237=16,F237&lt;&gt;"ASTM A416"),L237,0),3)</f>
        <v/>
      </c>
      <c r="T237" s="16">
        <f>ROUND(T236+IF(AND(E237=18,F237&lt;&gt;"ASTM A416"),L237,0),3)</f>
        <v/>
      </c>
      <c r="U237" s="16">
        <f>ROUND(U236+IF(AND(E237=20,F237&lt;&gt;"ASTM A416"),L237,0),3)</f>
        <v/>
      </c>
      <c r="V237" s="16">
        <f>ROUND(V236+IF(AND(E237=22,F237&lt;&gt;"ASTM A416"),L237,0),3)</f>
        <v/>
      </c>
      <c r="W237" s="16">
        <f>ROUND(W236+IF(AND(E237=25,F237&lt;&gt;"ASTM A416"),L237,0),3)</f>
        <v/>
      </c>
      <c r="X237" s="16">
        <f>ROUND(X236+IF(AND(E237=28,F237&lt;&gt;"ASTM A416"),L237,0),3)</f>
        <v/>
      </c>
      <c r="Y237" s="16">
        <f>ROUND(Y236+IF(AND(E237=32,F237&lt;&gt;"ASTM A416"),L237,0),3)</f>
        <v/>
      </c>
      <c r="Z237" s="16">
        <f>ROUND(Z236+IF(F237="ASTM A416",L237,0),3)</f>
        <v/>
      </c>
      <c r="AA237" s="9">
        <f>IF(ROUNDUP(P237/20,0)&gt;ROUNDUP(P236/20,0),"Lần " &amp; ROUNDUP(P237/20,0),"")</f>
        <v/>
      </c>
      <c r="AB237" s="9">
        <f>IF(ROUNDUP(Q237/20,0)&gt;ROUNDUP(Q236/20,0),"Lần " &amp; ROUNDUP(Q237/20,0),"")</f>
        <v/>
      </c>
      <c r="AC237" s="9">
        <f>IF(ROUNDUP(R237/20,0)&gt;ROUNDUP(R236/20,0),"Lần " &amp; ROUNDUP(R237/20,0),"")</f>
        <v/>
      </c>
      <c r="AD237" s="9">
        <f>IF(ROUNDUP(S237/20,0)&gt;ROUNDUP(S236/20,0),"Lần " &amp; ROUNDUP(S237/20,0),"")</f>
        <v/>
      </c>
      <c r="AE237" s="9">
        <f>IF(ROUNDUP(T237/20,0)&gt;ROUNDUP(T236/20,0),"Lần " &amp; ROUNDUP(T237/20,0),"")</f>
        <v/>
      </c>
      <c r="AF237" s="9">
        <f>IF(ROUNDUP(U237/20,0)&gt;ROUNDUP(U236/20,0),"Lần " &amp; ROUNDUP(U237/20,0),"")</f>
        <v/>
      </c>
      <c r="AG237" s="9">
        <f>IF(ROUNDUP(V237/20,0)&gt;ROUNDUP(V236/20,0),"Lần " &amp; ROUNDUP(V237/20,0),"")</f>
        <v/>
      </c>
      <c r="AH237" s="9">
        <f>IF(ROUNDUP(W237/20,0)&gt;ROUNDUP(W236/20,0),"Lần " &amp; ROUNDUP(W237/20,0),"")</f>
        <v/>
      </c>
      <c r="AI237" s="9">
        <f>IF(ROUNDUP(X237/20,0)&gt;ROUNDUP(X236/20,0),"Lần " &amp; ROUNDUP(X237/20,0),"")</f>
        <v/>
      </c>
      <c r="AJ237" s="9">
        <f>IF(ROUNDUP(Y237/20,0)&gt;ROUNDUP(Y236/20,0),"Lần " &amp; ROUNDUP(Y237/20,0),"")</f>
        <v/>
      </c>
      <c r="AK237" s="9">
        <f>IF(ROUNDUP(Z237/20,0)&gt;ROUNDUP(Z236/20,0),"Lần " &amp; ROUNDUP(Z237/20,0),"")</f>
        <v/>
      </c>
      <c r="AL237" s="4" t="n"/>
      <c r="AN237" s="596" t="inlineStr">
        <is>
          <t>Coc</t>
        </is>
      </c>
      <c r="AO237" s="596" t="n">
        <v>18</v>
      </c>
      <c r="AQ237" s="594" t="n"/>
      <c r="AR237" s="595" t="n"/>
    </row>
    <row r="238" ht="19" customHeight="1" s="672">
      <c r="A238" s="4" t="n">
        <v>221</v>
      </c>
      <c r="B238" s="5" t="inlineStr">
        <is>
          <t>Cọc khoan nhồi C8 Trụ T1 (D1.2m, L=40.0m)</t>
        </is>
      </c>
      <c r="C238" s="5" t="inlineStr">
        <is>
          <t>Cọc trụ T1 L=40m (tr.68)</t>
        </is>
      </c>
      <c r="D238" s="14" t="inlineStr">
        <is>
          <t>P8</t>
        </is>
      </c>
      <c r="E238" s="15" t="n">
        <v>12</v>
      </c>
      <c r="F238" s="4" t="inlineStr">
        <is>
          <t>CB400-V</t>
        </is>
      </c>
      <c r="G238" s="5" t="inlineStr"/>
      <c r="H238" s="16" t="n">
        <v>0.647</v>
      </c>
      <c r="I238" s="17" t="n">
        <v>16</v>
      </c>
      <c r="J238" s="18" t="n">
        <v>0.888</v>
      </c>
      <c r="K238" s="7">
        <f>ROUND(H238*I238*J238, 2)</f>
        <v/>
      </c>
      <c r="L238" s="19">
        <f>ROUND(K238/1000, 3)</f>
        <v/>
      </c>
      <c r="M238" s="728">
        <f>IF(AO238="","",IF(N(INDEX(Theo_Doi_Tan_Suat_Be_Tong!$C:$C,AO238))&lt;=0,"",INDEX(Theo_Doi_Tan_Suat_Be_Tong!$C:$C,AO238)-VLOOKUP(AN238,$AQ$2:$AR$7,2,FALSE)))</f>
        <v/>
      </c>
      <c r="N238" s="4" t="n"/>
      <c r="O238" s="20">
        <f>IF(ROUNDUP(Q238/20,0)&gt;ROUNDUP(Q237/20,0),"TN Ø12 (Lần " &amp; ROUNDUP(Q238/20,0) &amp; ")","")</f>
        <v/>
      </c>
      <c r="P238" s="16">
        <f>ROUND(P237+IF(AND(E238&lt;=10,F238&lt;&gt;"ASTM A416"),L238,0),3)</f>
        <v/>
      </c>
      <c r="Q238" s="16">
        <f>ROUND(Q237+IF(AND(E238=12,F238&lt;&gt;"ASTM A416"),L238,0),3)</f>
        <v/>
      </c>
      <c r="R238" s="16">
        <f>ROUND(R237+IF(AND(E238=14,F238&lt;&gt;"ASTM A416"),L238,0),3)</f>
        <v/>
      </c>
      <c r="S238" s="16">
        <f>ROUND(S237+IF(AND(E238=16,F238&lt;&gt;"ASTM A416"),L238,0),3)</f>
        <v/>
      </c>
      <c r="T238" s="16">
        <f>ROUND(T237+IF(AND(E238=18,F238&lt;&gt;"ASTM A416"),L238,0),3)</f>
        <v/>
      </c>
      <c r="U238" s="16">
        <f>ROUND(U237+IF(AND(E238=20,F238&lt;&gt;"ASTM A416"),L238,0),3)</f>
        <v/>
      </c>
      <c r="V238" s="16">
        <f>ROUND(V237+IF(AND(E238=22,F238&lt;&gt;"ASTM A416"),L238,0),3)</f>
        <v/>
      </c>
      <c r="W238" s="16">
        <f>ROUND(W237+IF(AND(E238=25,F238&lt;&gt;"ASTM A416"),L238,0),3)</f>
        <v/>
      </c>
      <c r="X238" s="16">
        <f>ROUND(X237+IF(AND(E238=28,F238&lt;&gt;"ASTM A416"),L238,0),3)</f>
        <v/>
      </c>
      <c r="Y238" s="16">
        <f>ROUND(Y237+IF(AND(E238=32,F238&lt;&gt;"ASTM A416"),L238,0),3)</f>
        <v/>
      </c>
      <c r="Z238" s="16">
        <f>ROUND(Z237+IF(F238="ASTM A416",L238,0),3)</f>
        <v/>
      </c>
      <c r="AA238" s="9">
        <f>IF(ROUNDUP(P238/20,0)&gt;ROUNDUP(P237/20,0),"Lần " &amp; ROUNDUP(P238/20,0),"")</f>
        <v/>
      </c>
      <c r="AB238" s="9">
        <f>IF(ROUNDUP(Q238/20,0)&gt;ROUNDUP(Q237/20,0),"Lần " &amp; ROUNDUP(Q238/20,0),"")</f>
        <v/>
      </c>
      <c r="AC238" s="9">
        <f>IF(ROUNDUP(R238/20,0)&gt;ROUNDUP(R237/20,0),"Lần " &amp; ROUNDUP(R238/20,0),"")</f>
        <v/>
      </c>
      <c r="AD238" s="9">
        <f>IF(ROUNDUP(S238/20,0)&gt;ROUNDUP(S237/20,0),"Lần " &amp; ROUNDUP(S238/20,0),"")</f>
        <v/>
      </c>
      <c r="AE238" s="9">
        <f>IF(ROUNDUP(T238/20,0)&gt;ROUNDUP(T237/20,0),"Lần " &amp; ROUNDUP(T238/20,0),"")</f>
        <v/>
      </c>
      <c r="AF238" s="9">
        <f>IF(ROUNDUP(U238/20,0)&gt;ROUNDUP(U237/20,0),"Lần " &amp; ROUNDUP(U238/20,0),"")</f>
        <v/>
      </c>
      <c r="AG238" s="9">
        <f>IF(ROUNDUP(V238/20,0)&gt;ROUNDUP(V237/20,0),"Lần " &amp; ROUNDUP(V238/20,0),"")</f>
        <v/>
      </c>
      <c r="AH238" s="9">
        <f>IF(ROUNDUP(W238/20,0)&gt;ROUNDUP(W237/20,0),"Lần " &amp; ROUNDUP(W238/20,0),"")</f>
        <v/>
      </c>
      <c r="AI238" s="9">
        <f>IF(ROUNDUP(X238/20,0)&gt;ROUNDUP(X237/20,0),"Lần " &amp; ROUNDUP(X238/20,0),"")</f>
        <v/>
      </c>
      <c r="AJ238" s="9">
        <f>IF(ROUNDUP(Y238/20,0)&gt;ROUNDUP(Y237/20,0),"Lần " &amp; ROUNDUP(Y238/20,0),"")</f>
        <v/>
      </c>
      <c r="AK238" s="9">
        <f>IF(ROUNDUP(Z238/20,0)&gt;ROUNDUP(Z237/20,0),"Lần " &amp; ROUNDUP(Z238/20,0),"")</f>
        <v/>
      </c>
      <c r="AL238" s="4" t="n"/>
      <c r="AN238" s="596" t="inlineStr">
        <is>
          <t>Coc</t>
        </is>
      </c>
      <c r="AO238" s="596" t="n">
        <v>18</v>
      </c>
      <c r="AQ238" s="594" t="n"/>
      <c r="AR238" s="595" t="n"/>
    </row>
    <row r="239" ht="19" customHeight="1" s="672">
      <c r="A239" s="4" t="n">
        <v>222</v>
      </c>
      <c r="B239" s="5" t="inlineStr">
        <is>
          <t>Cọc khoan nhồi C8 Trụ T1 (D1.2m, L=40.0m)</t>
        </is>
      </c>
      <c r="C239" s="5" t="inlineStr">
        <is>
          <t>Cọc trụ T1 L=40m (tr.68)</t>
        </is>
      </c>
      <c r="D239" s="14" t="inlineStr">
        <is>
          <t>P9</t>
        </is>
      </c>
      <c r="E239" s="15" t="n">
        <v>12</v>
      </c>
      <c r="F239" s="4" t="inlineStr">
        <is>
          <t>CB400-V</t>
        </is>
      </c>
      <c r="G239" s="5" t="inlineStr"/>
      <c r="H239" s="16" t="n">
        <v>0.379</v>
      </c>
      <c r="I239" s="17" t="n">
        <v>48</v>
      </c>
      <c r="J239" s="18" t="n">
        <v>0.888</v>
      </c>
      <c r="K239" s="7">
        <f>ROUND(H239*I239*J239, 2)</f>
        <v/>
      </c>
      <c r="L239" s="19">
        <f>ROUND(K239/1000, 3)</f>
        <v/>
      </c>
      <c r="M239" s="728">
        <f>IF(AO239="","",IF(N(INDEX(Theo_Doi_Tan_Suat_Be_Tong!$C:$C,AO239))&lt;=0,"",INDEX(Theo_Doi_Tan_Suat_Be_Tong!$C:$C,AO239)-VLOOKUP(AN239,$AQ$2:$AR$7,2,FALSE)))</f>
        <v/>
      </c>
      <c r="N239" s="4" t="n"/>
      <c r="O239" s="20">
        <f>IF(ROUNDUP(Q239/20,0)&gt;ROUNDUP(Q238/20,0),"TN Ø12 (Lần " &amp; ROUNDUP(Q239/20,0) &amp; ")","")</f>
        <v/>
      </c>
      <c r="P239" s="16">
        <f>ROUND(P238+IF(AND(E239&lt;=10,F239&lt;&gt;"ASTM A416"),L239,0),3)</f>
        <v/>
      </c>
      <c r="Q239" s="16">
        <f>ROUND(Q238+IF(AND(E239=12,F239&lt;&gt;"ASTM A416"),L239,0),3)</f>
        <v/>
      </c>
      <c r="R239" s="16">
        <f>ROUND(R238+IF(AND(E239=14,F239&lt;&gt;"ASTM A416"),L239,0),3)</f>
        <v/>
      </c>
      <c r="S239" s="16">
        <f>ROUND(S238+IF(AND(E239=16,F239&lt;&gt;"ASTM A416"),L239,0),3)</f>
        <v/>
      </c>
      <c r="T239" s="16">
        <f>ROUND(T238+IF(AND(E239=18,F239&lt;&gt;"ASTM A416"),L239,0),3)</f>
        <v/>
      </c>
      <c r="U239" s="16">
        <f>ROUND(U238+IF(AND(E239=20,F239&lt;&gt;"ASTM A416"),L239,0),3)</f>
        <v/>
      </c>
      <c r="V239" s="16">
        <f>ROUND(V238+IF(AND(E239=22,F239&lt;&gt;"ASTM A416"),L239,0),3)</f>
        <v/>
      </c>
      <c r="W239" s="16">
        <f>ROUND(W238+IF(AND(E239=25,F239&lt;&gt;"ASTM A416"),L239,0),3)</f>
        <v/>
      </c>
      <c r="X239" s="16">
        <f>ROUND(X238+IF(AND(E239=28,F239&lt;&gt;"ASTM A416"),L239,0),3)</f>
        <v/>
      </c>
      <c r="Y239" s="16">
        <f>ROUND(Y238+IF(AND(E239=32,F239&lt;&gt;"ASTM A416"),L239,0),3)</f>
        <v/>
      </c>
      <c r="Z239" s="16">
        <f>ROUND(Z238+IF(F239="ASTM A416",L239,0),3)</f>
        <v/>
      </c>
      <c r="AA239" s="9">
        <f>IF(ROUNDUP(P239/20,0)&gt;ROUNDUP(P238/20,0),"Lần " &amp; ROUNDUP(P239/20,0),"")</f>
        <v/>
      </c>
      <c r="AB239" s="9">
        <f>IF(ROUNDUP(Q239/20,0)&gt;ROUNDUP(Q238/20,0),"Lần " &amp; ROUNDUP(Q239/20,0),"")</f>
        <v/>
      </c>
      <c r="AC239" s="9">
        <f>IF(ROUNDUP(R239/20,0)&gt;ROUNDUP(R238/20,0),"Lần " &amp; ROUNDUP(R239/20,0),"")</f>
        <v/>
      </c>
      <c r="AD239" s="9">
        <f>IF(ROUNDUP(S239/20,0)&gt;ROUNDUP(S238/20,0),"Lần " &amp; ROUNDUP(S239/20,0),"")</f>
        <v/>
      </c>
      <c r="AE239" s="9">
        <f>IF(ROUNDUP(T239/20,0)&gt;ROUNDUP(T238/20,0),"Lần " &amp; ROUNDUP(T239/20,0),"")</f>
        <v/>
      </c>
      <c r="AF239" s="9">
        <f>IF(ROUNDUP(U239/20,0)&gt;ROUNDUP(U238/20,0),"Lần " &amp; ROUNDUP(U239/20,0),"")</f>
        <v/>
      </c>
      <c r="AG239" s="9">
        <f>IF(ROUNDUP(V239/20,0)&gt;ROUNDUP(V238/20,0),"Lần " &amp; ROUNDUP(V239/20,0),"")</f>
        <v/>
      </c>
      <c r="AH239" s="9">
        <f>IF(ROUNDUP(W239/20,0)&gt;ROUNDUP(W238/20,0),"Lần " &amp; ROUNDUP(W239/20,0),"")</f>
        <v/>
      </c>
      <c r="AI239" s="9">
        <f>IF(ROUNDUP(X239/20,0)&gt;ROUNDUP(X238/20,0),"Lần " &amp; ROUNDUP(X239/20,0),"")</f>
        <v/>
      </c>
      <c r="AJ239" s="9">
        <f>IF(ROUNDUP(Y239/20,0)&gt;ROUNDUP(Y238/20,0),"Lần " &amp; ROUNDUP(Y239/20,0),"")</f>
        <v/>
      </c>
      <c r="AK239" s="9">
        <f>IF(ROUNDUP(Z239/20,0)&gt;ROUNDUP(Z238/20,0),"Lần " &amp; ROUNDUP(Z239/20,0),"")</f>
        <v/>
      </c>
      <c r="AL239" s="4" t="n"/>
      <c r="AN239" s="596" t="inlineStr">
        <is>
          <t>Coc</t>
        </is>
      </c>
      <c r="AO239" s="596" t="n">
        <v>18</v>
      </c>
      <c r="AQ239" s="594" t="n"/>
      <c r="AR239" s="595" t="n"/>
    </row>
    <row r="240" ht="19" customHeight="1" s="672">
      <c r="A240" s="4" t="n">
        <v>223</v>
      </c>
      <c r="B240" s="5" t="inlineStr">
        <is>
          <t>Cọc khoan nhồi C8 Trụ T1 (D1.2m, L=40.0m)</t>
        </is>
      </c>
      <c r="C240" s="5" t="inlineStr">
        <is>
          <t>Cọc trụ T1 L=40m (tr.68)</t>
        </is>
      </c>
      <c r="D240" s="14" t="inlineStr">
        <is>
          <t>P10</t>
        </is>
      </c>
      <c r="E240" s="15" t="n">
        <v>20</v>
      </c>
      <c r="F240" s="4" t="inlineStr">
        <is>
          <t>CB400-V</t>
        </is>
      </c>
      <c r="G240" s="5" t="inlineStr"/>
      <c r="H240" s="16" t="n">
        <v>2.057</v>
      </c>
      <c r="I240" s="17" t="n">
        <v>1</v>
      </c>
      <c r="J240" s="18" t="n">
        <v>2.466</v>
      </c>
      <c r="K240" s="7">
        <f>ROUND(H240*I240*J240, 2)</f>
        <v/>
      </c>
      <c r="L240" s="19">
        <f>ROUND(K240/1000, 3)</f>
        <v/>
      </c>
      <c r="M240" s="728">
        <f>IF(AO240="","",IF(N(INDEX(Theo_Doi_Tan_Suat_Be_Tong!$C:$C,AO240))&lt;=0,"",INDEX(Theo_Doi_Tan_Suat_Be_Tong!$C:$C,AO240)-VLOOKUP(AN240,$AQ$2:$AR$7,2,FALSE)))</f>
        <v/>
      </c>
      <c r="N240" s="4" t="n"/>
      <c r="O240" s="20">
        <f>IF(ROUNDUP(U240/20,0)&gt;ROUNDUP(U239/20,0),"TN Ø20 (Lần " &amp; ROUNDUP(U240/20,0) &amp; ")","")</f>
        <v/>
      </c>
      <c r="P240" s="16">
        <f>ROUND(P239+IF(AND(E240&lt;=10,F240&lt;&gt;"ASTM A416"),L240,0),3)</f>
        <v/>
      </c>
      <c r="Q240" s="16">
        <f>ROUND(Q239+IF(AND(E240=12,F240&lt;&gt;"ASTM A416"),L240,0),3)</f>
        <v/>
      </c>
      <c r="R240" s="16">
        <f>ROUND(R239+IF(AND(E240=14,F240&lt;&gt;"ASTM A416"),L240,0),3)</f>
        <v/>
      </c>
      <c r="S240" s="16">
        <f>ROUND(S239+IF(AND(E240=16,F240&lt;&gt;"ASTM A416"),L240,0),3)</f>
        <v/>
      </c>
      <c r="T240" s="16">
        <f>ROUND(T239+IF(AND(E240=18,F240&lt;&gt;"ASTM A416"),L240,0),3)</f>
        <v/>
      </c>
      <c r="U240" s="16">
        <f>ROUND(U239+IF(AND(E240=20,F240&lt;&gt;"ASTM A416"),L240,0),3)</f>
        <v/>
      </c>
      <c r="V240" s="16">
        <f>ROUND(V239+IF(AND(E240=22,F240&lt;&gt;"ASTM A416"),L240,0),3)</f>
        <v/>
      </c>
      <c r="W240" s="16">
        <f>ROUND(W239+IF(AND(E240=25,F240&lt;&gt;"ASTM A416"),L240,0),3)</f>
        <v/>
      </c>
      <c r="X240" s="16">
        <f>ROUND(X239+IF(AND(E240=28,F240&lt;&gt;"ASTM A416"),L240,0),3)</f>
        <v/>
      </c>
      <c r="Y240" s="16">
        <f>ROUND(Y239+IF(AND(E240=32,F240&lt;&gt;"ASTM A416"),L240,0),3)</f>
        <v/>
      </c>
      <c r="Z240" s="16">
        <f>ROUND(Z239+IF(F240="ASTM A416",L240,0),3)</f>
        <v/>
      </c>
      <c r="AA240" s="9">
        <f>IF(ROUNDUP(P240/20,0)&gt;ROUNDUP(P239/20,0),"Lần " &amp; ROUNDUP(P240/20,0),"")</f>
        <v/>
      </c>
      <c r="AB240" s="9">
        <f>IF(ROUNDUP(Q240/20,0)&gt;ROUNDUP(Q239/20,0),"Lần " &amp; ROUNDUP(Q240/20,0),"")</f>
        <v/>
      </c>
      <c r="AC240" s="9">
        <f>IF(ROUNDUP(R240/20,0)&gt;ROUNDUP(R239/20,0),"Lần " &amp; ROUNDUP(R240/20,0),"")</f>
        <v/>
      </c>
      <c r="AD240" s="9">
        <f>IF(ROUNDUP(S240/20,0)&gt;ROUNDUP(S239/20,0),"Lần " &amp; ROUNDUP(S240/20,0),"")</f>
        <v/>
      </c>
      <c r="AE240" s="9">
        <f>IF(ROUNDUP(T240/20,0)&gt;ROUNDUP(T239/20,0),"Lần " &amp; ROUNDUP(T240/20,0),"")</f>
        <v/>
      </c>
      <c r="AF240" s="9">
        <f>IF(ROUNDUP(U240/20,0)&gt;ROUNDUP(U239/20,0),"Lần " &amp; ROUNDUP(U240/20,0),"")</f>
        <v/>
      </c>
      <c r="AG240" s="9">
        <f>IF(ROUNDUP(V240/20,0)&gt;ROUNDUP(V239/20,0),"Lần " &amp; ROUNDUP(V240/20,0),"")</f>
        <v/>
      </c>
      <c r="AH240" s="9">
        <f>IF(ROUNDUP(W240/20,0)&gt;ROUNDUP(W239/20,0),"Lần " &amp; ROUNDUP(W240/20,0),"")</f>
        <v/>
      </c>
      <c r="AI240" s="9">
        <f>IF(ROUNDUP(X240/20,0)&gt;ROUNDUP(X239/20,0),"Lần " &amp; ROUNDUP(X240/20,0),"")</f>
        <v/>
      </c>
      <c r="AJ240" s="9">
        <f>IF(ROUNDUP(Y240/20,0)&gt;ROUNDUP(Y239/20,0),"Lần " &amp; ROUNDUP(Y240/20,0),"")</f>
        <v/>
      </c>
      <c r="AK240" s="9">
        <f>IF(ROUNDUP(Z240/20,0)&gt;ROUNDUP(Z239/20,0),"Lần " &amp; ROUNDUP(Z240/20,0),"")</f>
        <v/>
      </c>
      <c r="AL240" s="4" t="n"/>
      <c r="AN240" s="596" t="inlineStr">
        <is>
          <t>Coc</t>
        </is>
      </c>
      <c r="AO240" s="596" t="n">
        <v>18</v>
      </c>
      <c r="AQ240" s="594" t="n"/>
      <c r="AR240" s="595" t="n"/>
    </row>
    <row r="241" ht="20" customHeight="1" s="672">
      <c r="A241" s="4" t="n">
        <v>224</v>
      </c>
      <c r="B241" s="5" t="inlineStr">
        <is>
          <t>Cọc khoan nhồi C8 Trụ T1 (D1.2m, L=40.0m)</t>
        </is>
      </c>
      <c r="C241" s="5" t="inlineStr">
        <is>
          <t>Cọc trụ T1 L=40m (tr.68)</t>
        </is>
      </c>
      <c r="D241" s="14" t="inlineStr">
        <is>
          <t>P12</t>
        </is>
      </c>
      <c r="E241" s="15" t="n">
        <v>20</v>
      </c>
      <c r="F241" s="4" t="inlineStr">
        <is>
          <t>CB400-V</t>
        </is>
      </c>
      <c r="G241" s="5" t="inlineStr"/>
      <c r="H241" s="16" t="n">
        <v>0.583</v>
      </c>
      <c r="I241" s="17" t="n">
        <v>64</v>
      </c>
      <c r="J241" s="18" t="n">
        <v>2.466</v>
      </c>
      <c r="K241" s="7">
        <f>ROUND(H241*I241*J241, 2)</f>
        <v/>
      </c>
      <c r="L241" s="19">
        <f>ROUND(K241/1000, 3)</f>
        <v/>
      </c>
      <c r="M241" s="728">
        <f>IF(AO241="","",IF(N(INDEX(Theo_Doi_Tan_Suat_Be_Tong!$C:$C,AO241))&lt;=0,"",INDEX(Theo_Doi_Tan_Suat_Be_Tong!$C:$C,AO241)-VLOOKUP(AN241,$AQ$2:$AR$7,2,FALSE)))</f>
        <v/>
      </c>
      <c r="N241" s="4" t="n"/>
      <c r="O241" s="20">
        <f>IF(ROUNDUP(U241/20,0)&gt;ROUNDUP(U240/20,0),"TN Ø20 (Lần " &amp; ROUNDUP(U241/20,0) &amp; ")","")</f>
        <v/>
      </c>
      <c r="P241" s="16">
        <f>ROUND(P240+IF(AND(E241&lt;=10,F241&lt;&gt;"ASTM A416"),L241,0),3)</f>
        <v/>
      </c>
      <c r="Q241" s="16">
        <f>ROUND(Q240+IF(AND(E241=12,F241&lt;&gt;"ASTM A416"),L241,0),3)</f>
        <v/>
      </c>
      <c r="R241" s="16">
        <f>ROUND(R240+IF(AND(E241=14,F241&lt;&gt;"ASTM A416"),L241,0),3)</f>
        <v/>
      </c>
      <c r="S241" s="16">
        <f>ROUND(S240+IF(AND(E241=16,F241&lt;&gt;"ASTM A416"),L241,0),3)</f>
        <v/>
      </c>
      <c r="T241" s="16">
        <f>ROUND(T240+IF(AND(E241=18,F241&lt;&gt;"ASTM A416"),L241,0),3)</f>
        <v/>
      </c>
      <c r="U241" s="16">
        <f>ROUND(U240+IF(AND(E241=20,F241&lt;&gt;"ASTM A416"),L241,0),3)</f>
        <v/>
      </c>
      <c r="V241" s="16">
        <f>ROUND(V240+IF(AND(E241=22,F241&lt;&gt;"ASTM A416"),L241,0),3)</f>
        <v/>
      </c>
      <c r="W241" s="16">
        <f>ROUND(W240+IF(AND(E241=25,F241&lt;&gt;"ASTM A416"),L241,0),3)</f>
        <v/>
      </c>
      <c r="X241" s="16">
        <f>ROUND(X240+IF(AND(E241=28,F241&lt;&gt;"ASTM A416"),L241,0),3)</f>
        <v/>
      </c>
      <c r="Y241" s="16">
        <f>ROUND(Y240+IF(AND(E241=32,F241&lt;&gt;"ASTM A416"),L241,0),3)</f>
        <v/>
      </c>
      <c r="Z241" s="16">
        <f>ROUND(Z240+IF(F241="ASTM A416",L241,0),3)</f>
        <v/>
      </c>
      <c r="AA241" s="9">
        <f>IF(ROUNDUP(P241/20,0)&gt;ROUNDUP(P240/20,0),"Lần " &amp; ROUNDUP(P241/20,0),"")</f>
        <v/>
      </c>
      <c r="AB241" s="9">
        <f>IF(ROUNDUP(Q241/20,0)&gt;ROUNDUP(Q240/20,0),"Lần " &amp; ROUNDUP(Q241/20,0),"")</f>
        <v/>
      </c>
      <c r="AC241" s="9">
        <f>IF(ROUNDUP(R241/20,0)&gt;ROUNDUP(R240/20,0),"Lần " &amp; ROUNDUP(R241/20,0),"")</f>
        <v/>
      </c>
      <c r="AD241" s="9">
        <f>IF(ROUNDUP(S241/20,0)&gt;ROUNDUP(S240/20,0),"Lần " &amp; ROUNDUP(S241/20,0),"")</f>
        <v/>
      </c>
      <c r="AE241" s="9">
        <f>IF(ROUNDUP(T241/20,0)&gt;ROUNDUP(T240/20,0),"Lần " &amp; ROUNDUP(T241/20,0),"")</f>
        <v/>
      </c>
      <c r="AF241" s="9">
        <f>IF(ROUNDUP(U241/20,0)&gt;ROUNDUP(U240/20,0),"Lần " &amp; ROUNDUP(U241/20,0),"")</f>
        <v/>
      </c>
      <c r="AG241" s="9">
        <f>IF(ROUNDUP(V241/20,0)&gt;ROUNDUP(V240/20,0),"Lần " &amp; ROUNDUP(V241/20,0),"")</f>
        <v/>
      </c>
      <c r="AH241" s="9">
        <f>IF(ROUNDUP(W241/20,0)&gt;ROUNDUP(W240/20,0),"Lần " &amp; ROUNDUP(W241/20,0),"")</f>
        <v/>
      </c>
      <c r="AI241" s="9">
        <f>IF(ROUNDUP(X241/20,0)&gt;ROUNDUP(X240/20,0),"Lần " &amp; ROUNDUP(X241/20,0),"")</f>
        <v/>
      </c>
      <c r="AJ241" s="9">
        <f>IF(ROUNDUP(Y241/20,0)&gt;ROUNDUP(Y240/20,0),"Lần " &amp; ROUNDUP(Y241/20,0),"")</f>
        <v/>
      </c>
      <c r="AK241" s="9">
        <f>IF(ROUNDUP(Z241/20,0)&gt;ROUNDUP(Z240/20,0),"Lần " &amp; ROUNDUP(Z241/20,0),"")</f>
        <v/>
      </c>
      <c r="AL241" s="4" t="n"/>
      <c r="AN241" s="596" t="inlineStr">
        <is>
          <t>Coc</t>
        </is>
      </c>
      <c r="AO241" s="596" t="n">
        <v>18</v>
      </c>
      <c r="AQ241" s="594" t="n"/>
      <c r="AR241" s="595" t="n"/>
    </row>
    <row r="242" ht="19" customHeight="1" s="672">
      <c r="A242" s="4" t="n">
        <v>225</v>
      </c>
      <c r="B242" s="5" t="inlineStr">
        <is>
          <t>Cọc khoan nhồi C8 Trụ T1 (D1.2m, L=40.0m)</t>
        </is>
      </c>
      <c r="C242" s="5" t="inlineStr">
        <is>
          <t>Cọc trụ T1 L=40m (tr.68)</t>
        </is>
      </c>
      <c r="D242" s="14" t="inlineStr">
        <is>
          <t>P11</t>
        </is>
      </c>
      <c r="E242" s="15" t="n">
        <v>16</v>
      </c>
      <c r="F242" s="4" t="inlineStr">
        <is>
          <t>CB400-V</t>
        </is>
      </c>
      <c r="G242" s="5" t="inlineStr"/>
      <c r="H242" s="16" t="n">
        <v>2.604</v>
      </c>
      <c r="I242" s="17" t="n">
        <v>4</v>
      </c>
      <c r="J242" s="18" t="n">
        <v>1.578</v>
      </c>
      <c r="K242" s="7">
        <f>ROUND(H242*I242*J242, 2)</f>
        <v/>
      </c>
      <c r="L242" s="19">
        <f>ROUND(K242/1000, 3)</f>
        <v/>
      </c>
      <c r="M242" s="728">
        <f>IF(AO242="","",IF(N(INDEX(Theo_Doi_Tan_Suat_Be_Tong!$C:$C,AO242))&lt;=0,"",INDEX(Theo_Doi_Tan_Suat_Be_Tong!$C:$C,AO242)-VLOOKUP(AN242,$AQ$2:$AR$7,2,FALSE)))</f>
        <v/>
      </c>
      <c r="N242" s="4" t="n"/>
      <c r="O242" s="20">
        <f>IF(ROUNDUP(S242/20,0)&gt;ROUNDUP(S241/20,0),"TN Ø16 (Lần " &amp; ROUNDUP(S242/20,0) &amp; ")","")</f>
        <v/>
      </c>
      <c r="P242" s="16">
        <f>ROUND(P241+IF(AND(E242&lt;=10,F242&lt;&gt;"ASTM A416"),L242,0),3)</f>
        <v/>
      </c>
      <c r="Q242" s="16">
        <f>ROUND(Q241+IF(AND(E242=12,F242&lt;&gt;"ASTM A416"),L242,0),3)</f>
        <v/>
      </c>
      <c r="R242" s="16">
        <f>ROUND(R241+IF(AND(E242=14,F242&lt;&gt;"ASTM A416"),L242,0),3)</f>
        <v/>
      </c>
      <c r="S242" s="16">
        <f>ROUND(S241+IF(AND(E242=16,F242&lt;&gt;"ASTM A416"),L242,0),3)</f>
        <v/>
      </c>
      <c r="T242" s="16">
        <f>ROUND(T241+IF(AND(E242=18,F242&lt;&gt;"ASTM A416"),L242,0),3)</f>
        <v/>
      </c>
      <c r="U242" s="16">
        <f>ROUND(U241+IF(AND(E242=20,F242&lt;&gt;"ASTM A416"),L242,0),3)</f>
        <v/>
      </c>
      <c r="V242" s="16">
        <f>ROUND(V241+IF(AND(E242=22,F242&lt;&gt;"ASTM A416"),L242,0),3)</f>
        <v/>
      </c>
      <c r="W242" s="16">
        <f>ROUND(W241+IF(AND(E242=25,F242&lt;&gt;"ASTM A416"),L242,0),3)</f>
        <v/>
      </c>
      <c r="X242" s="16">
        <f>ROUND(X241+IF(AND(E242=28,F242&lt;&gt;"ASTM A416"),L242,0),3)</f>
        <v/>
      </c>
      <c r="Y242" s="16">
        <f>ROUND(Y241+IF(AND(E242=32,F242&lt;&gt;"ASTM A416"),L242,0),3)</f>
        <v/>
      </c>
      <c r="Z242" s="16">
        <f>ROUND(Z241+IF(F242="ASTM A416",L242,0),3)</f>
        <v/>
      </c>
      <c r="AA242" s="9">
        <f>IF(ROUNDUP(P242/20,0)&gt;ROUNDUP(P241/20,0),"Lần " &amp; ROUNDUP(P242/20,0),"")</f>
        <v/>
      </c>
      <c r="AB242" s="9">
        <f>IF(ROUNDUP(Q242/20,0)&gt;ROUNDUP(Q241/20,0),"Lần " &amp; ROUNDUP(Q242/20,0),"")</f>
        <v/>
      </c>
      <c r="AC242" s="9">
        <f>IF(ROUNDUP(R242/20,0)&gt;ROUNDUP(R241/20,0),"Lần " &amp; ROUNDUP(R242/20,0),"")</f>
        <v/>
      </c>
      <c r="AD242" s="9">
        <f>IF(ROUNDUP(S242/20,0)&gt;ROUNDUP(S241/20,0),"Lần " &amp; ROUNDUP(S242/20,0),"")</f>
        <v/>
      </c>
      <c r="AE242" s="9">
        <f>IF(ROUNDUP(T242/20,0)&gt;ROUNDUP(T241/20,0),"Lần " &amp; ROUNDUP(T242/20,0),"")</f>
        <v/>
      </c>
      <c r="AF242" s="9">
        <f>IF(ROUNDUP(U242/20,0)&gt;ROUNDUP(U241/20,0),"Lần " &amp; ROUNDUP(U242/20,0),"")</f>
        <v/>
      </c>
      <c r="AG242" s="9">
        <f>IF(ROUNDUP(V242/20,0)&gt;ROUNDUP(V241/20,0),"Lần " &amp; ROUNDUP(V242/20,0),"")</f>
        <v/>
      </c>
      <c r="AH242" s="9">
        <f>IF(ROUNDUP(W242/20,0)&gt;ROUNDUP(W241/20,0),"Lần " &amp; ROUNDUP(W242/20,0),"")</f>
        <v/>
      </c>
      <c r="AI242" s="9">
        <f>IF(ROUNDUP(X242/20,0)&gt;ROUNDUP(X241/20,0),"Lần " &amp; ROUNDUP(X242/20,0),"")</f>
        <v/>
      </c>
      <c r="AJ242" s="9">
        <f>IF(ROUNDUP(Y242/20,0)&gt;ROUNDUP(Y241/20,0),"Lần " &amp; ROUNDUP(Y242/20,0),"")</f>
        <v/>
      </c>
      <c r="AK242" s="9">
        <f>IF(ROUNDUP(Z242/20,0)&gt;ROUNDUP(Z241/20,0),"Lần " &amp; ROUNDUP(Z242/20,0),"")</f>
        <v/>
      </c>
      <c r="AL242" s="4" t="n"/>
      <c r="AN242" s="596" t="inlineStr">
        <is>
          <t>Coc</t>
        </is>
      </c>
      <c r="AO242" s="596" t="n">
        <v>18</v>
      </c>
      <c r="AQ242" s="594" t="n"/>
      <c r="AR242" s="595" t="n"/>
    </row>
    <row r="243" ht="19" customHeight="1" s="672">
      <c r="A243" s="668" t="inlineStr">
        <is>
          <t>--- CỌC KHOAN NHỒI C1 TRỤ T2 (D1.2M, L=30.0M) ---</t>
        </is>
      </c>
      <c r="B243" s="722" t="n"/>
      <c r="C243" s="722" t="n"/>
      <c r="D243" s="722" t="n"/>
      <c r="E243" s="722" t="n"/>
      <c r="F243" s="722" t="n"/>
      <c r="G243" s="722" t="n"/>
      <c r="H243" s="722" t="n"/>
      <c r="I243" s="722" t="n"/>
      <c r="J243" s="722" t="n"/>
      <c r="K243" s="722" t="n"/>
      <c r="L243" s="722" t="n"/>
      <c r="M243" s="722" t="n"/>
      <c r="N243" s="722" t="n"/>
      <c r="O243" s="722" t="n"/>
      <c r="P243" s="722" t="n"/>
      <c r="Q243" s="722" t="n"/>
      <c r="R243" s="722" t="n"/>
      <c r="S243" s="722" t="n"/>
      <c r="T243" s="722" t="n"/>
      <c r="U243" s="722" t="n"/>
      <c r="V243" s="722" t="n"/>
      <c r="W243" s="722" t="n"/>
      <c r="X243" s="722" t="n"/>
      <c r="Y243" s="722" t="n"/>
      <c r="Z243" s="722" t="n"/>
      <c r="AA243" s="722" t="n"/>
      <c r="AB243" s="722" t="n"/>
      <c r="AC243" s="722" t="n"/>
      <c r="AD243" s="722" t="n"/>
      <c r="AE243" s="722" t="n"/>
      <c r="AF243" s="722" t="n"/>
      <c r="AG243" s="722" t="n"/>
      <c r="AH243" s="722" t="n"/>
      <c r="AI243" s="722" t="n"/>
      <c r="AJ243" s="722" t="n"/>
      <c r="AK243" s="722" t="n"/>
      <c r="AL243" s="721" t="n"/>
      <c r="AQ243" s="594" t="n"/>
      <c r="AR243" s="595" t="n"/>
    </row>
    <row r="244" ht="19" customHeight="1" s="672">
      <c r="A244" s="4" t="n">
        <v>226</v>
      </c>
      <c r="B244" s="5" t="inlineStr">
        <is>
          <t>Cọc khoan nhồi C1 Trụ T2 (D1.2m, L=30.0m)</t>
        </is>
      </c>
      <c r="C244" s="5" t="inlineStr">
        <is>
          <t>Cọc trụ T2 L=30m (tr.70)</t>
        </is>
      </c>
      <c r="D244" s="14" t="inlineStr">
        <is>
          <t>P1</t>
        </is>
      </c>
      <c r="E244" s="15" t="n">
        <v>10</v>
      </c>
      <c r="F244" s="4" t="inlineStr">
        <is>
          <t>CB240-T</t>
        </is>
      </c>
      <c r="G244" s="5" t="inlineStr"/>
      <c r="H244" s="16" t="n">
        <v>96.604</v>
      </c>
      <c r="I244" s="17" t="n">
        <v>1</v>
      </c>
      <c r="J244" s="18" t="n">
        <v>0.617</v>
      </c>
      <c r="K244" s="7">
        <f>ROUND(H244*I244*J244, 2)</f>
        <v/>
      </c>
      <c r="L244" s="19">
        <f>ROUND(K244/1000, 3)</f>
        <v/>
      </c>
      <c r="M244" s="728">
        <f>IF(AO244="","",IF(N(INDEX(Theo_Doi_Tan_Suat_Be_Tong!$C:$C,AO244))&lt;=0,"",INDEX(Theo_Doi_Tan_Suat_Be_Tong!$C:$C,AO244)-VLOOKUP(AN244,$AQ$2:$AR$7,2,FALSE)))</f>
        <v/>
      </c>
      <c r="N244" s="4" t="n"/>
      <c r="O244" s="20">
        <f>IF(ROUNDUP(P244/20,0)&gt;ROUNDUP(P242/20,0),"TN Ø10 (Lần " &amp; ROUNDUP(P244/20,0) &amp; ")","")</f>
        <v/>
      </c>
      <c r="P244" s="16">
        <f>ROUND(P242+IF(AND(E244&lt;=10,F244&lt;&gt;"ASTM A416"),L244,0),3)</f>
        <v/>
      </c>
      <c r="Q244" s="16">
        <f>ROUND(Q242+IF(AND(E244=12,F244&lt;&gt;"ASTM A416"),L244,0),3)</f>
        <v/>
      </c>
      <c r="R244" s="16">
        <f>ROUND(R242+IF(AND(E244=14,F244&lt;&gt;"ASTM A416"),L244,0),3)</f>
        <v/>
      </c>
      <c r="S244" s="16">
        <f>ROUND(S242+IF(AND(E244=16,F244&lt;&gt;"ASTM A416"),L244,0),3)</f>
        <v/>
      </c>
      <c r="T244" s="16">
        <f>ROUND(T242+IF(AND(E244=18,F244&lt;&gt;"ASTM A416"),L244,0),3)</f>
        <v/>
      </c>
      <c r="U244" s="16">
        <f>ROUND(U242+IF(AND(E244=20,F244&lt;&gt;"ASTM A416"),L244,0),3)</f>
        <v/>
      </c>
      <c r="V244" s="16">
        <f>ROUND(V242+IF(AND(E244=22,F244&lt;&gt;"ASTM A416"),L244,0),3)</f>
        <v/>
      </c>
      <c r="W244" s="16">
        <f>ROUND(W242+IF(AND(E244=25,F244&lt;&gt;"ASTM A416"),L244,0),3)</f>
        <v/>
      </c>
      <c r="X244" s="16">
        <f>ROUND(X242+IF(AND(E244=28,F244&lt;&gt;"ASTM A416"),L244,0),3)</f>
        <v/>
      </c>
      <c r="Y244" s="16">
        <f>ROUND(Y242+IF(AND(E244=32,F244&lt;&gt;"ASTM A416"),L244,0),3)</f>
        <v/>
      </c>
      <c r="Z244" s="16">
        <f>ROUND(Z242+IF(F244="ASTM A416",L244,0),3)</f>
        <v/>
      </c>
      <c r="AA244" s="9">
        <f>IF(ROUNDUP(P244/20,0)&gt;ROUNDUP(P242/20,0),"Lần " &amp; ROUNDUP(P244/20,0),"")</f>
        <v/>
      </c>
      <c r="AB244" s="9">
        <f>IF(ROUNDUP(Q244/20,0)&gt;ROUNDUP(Q242/20,0),"Lần " &amp; ROUNDUP(Q244/20,0),"")</f>
        <v/>
      </c>
      <c r="AC244" s="9">
        <f>IF(ROUNDUP(R244/20,0)&gt;ROUNDUP(R242/20,0),"Lần " &amp; ROUNDUP(R244/20,0),"")</f>
        <v/>
      </c>
      <c r="AD244" s="9">
        <f>IF(ROUNDUP(S244/20,0)&gt;ROUNDUP(S242/20,0),"Lần " &amp; ROUNDUP(S244/20,0),"")</f>
        <v/>
      </c>
      <c r="AE244" s="9">
        <f>IF(ROUNDUP(T244/20,0)&gt;ROUNDUP(T242/20,0),"Lần " &amp; ROUNDUP(T244/20,0),"")</f>
        <v/>
      </c>
      <c r="AF244" s="9">
        <f>IF(ROUNDUP(U244/20,0)&gt;ROUNDUP(U242/20,0),"Lần " &amp; ROUNDUP(U244/20,0),"")</f>
        <v/>
      </c>
      <c r="AG244" s="9">
        <f>IF(ROUNDUP(V244/20,0)&gt;ROUNDUP(V242/20,0),"Lần " &amp; ROUNDUP(V244/20,0),"")</f>
        <v/>
      </c>
      <c r="AH244" s="9">
        <f>IF(ROUNDUP(W244/20,0)&gt;ROUNDUP(W242/20,0),"Lần " &amp; ROUNDUP(W244/20,0),"")</f>
        <v/>
      </c>
      <c r="AI244" s="9">
        <f>IF(ROUNDUP(X244/20,0)&gt;ROUNDUP(X242/20,0),"Lần " &amp; ROUNDUP(X244/20,0),"")</f>
        <v/>
      </c>
      <c r="AJ244" s="9">
        <f>IF(ROUNDUP(Y244/20,0)&gt;ROUNDUP(Y242/20,0),"Lần " &amp; ROUNDUP(Y244/20,0),"")</f>
        <v/>
      </c>
      <c r="AK244" s="9">
        <f>IF(ROUNDUP(Z244/20,0)&gt;ROUNDUP(Z242/20,0),"Lần " &amp; ROUNDUP(Z244/20,0),"")</f>
        <v/>
      </c>
      <c r="AL244" s="4" t="n"/>
      <c r="AN244" s="596" t="inlineStr">
        <is>
          <t>Coc</t>
        </is>
      </c>
      <c r="AO244" s="596" t="n">
        <v>19</v>
      </c>
      <c r="AQ244" s="594" t="n"/>
      <c r="AR244" s="595" t="n"/>
    </row>
    <row r="245" ht="19" customHeight="1" s="672">
      <c r="A245" s="4" t="n">
        <v>227</v>
      </c>
      <c r="B245" s="5" t="inlineStr">
        <is>
          <t>Cọc khoan nhồi C1 Trụ T2 (D1.2m, L=30.0m)</t>
        </is>
      </c>
      <c r="C245" s="5" t="inlineStr">
        <is>
          <t>Cọc trụ T2 L=30m (tr.70)</t>
        </is>
      </c>
      <c r="D245" s="14" t="inlineStr">
        <is>
          <t>P1A</t>
        </is>
      </c>
      <c r="E245" s="15" t="n">
        <v>10</v>
      </c>
      <c r="F245" s="4" t="inlineStr">
        <is>
          <t>CB240-T</t>
        </is>
      </c>
      <c r="G245" s="5" t="inlineStr"/>
      <c r="H245" s="16" t="n">
        <v>389.636</v>
      </c>
      <c r="I245" s="17" t="n">
        <v>1</v>
      </c>
      <c r="J245" s="18" t="n">
        <v>0.617</v>
      </c>
      <c r="K245" s="7">
        <f>ROUND(H245*I245*J245, 2)</f>
        <v/>
      </c>
      <c r="L245" s="19">
        <f>ROUND(K245/1000, 3)</f>
        <v/>
      </c>
      <c r="M245" s="728">
        <f>IF(AO245="","",IF(N(INDEX(Theo_Doi_Tan_Suat_Be_Tong!$C:$C,AO245))&lt;=0,"",INDEX(Theo_Doi_Tan_Suat_Be_Tong!$C:$C,AO245)-VLOOKUP(AN245,$AQ$2:$AR$7,2,FALSE)))</f>
        <v/>
      </c>
      <c r="N245" s="4" t="n"/>
      <c r="O245" s="20">
        <f>IF(ROUNDUP(P245/20,0)&gt;ROUNDUP(P244/20,0),"TN Ø10 (Lần " &amp; ROUNDUP(P245/20,0) &amp; ")","")</f>
        <v/>
      </c>
      <c r="P245" s="16">
        <f>ROUND(P244+IF(AND(E245&lt;=10,F245&lt;&gt;"ASTM A416"),L245,0),3)</f>
        <v/>
      </c>
      <c r="Q245" s="16">
        <f>ROUND(Q244+IF(AND(E245=12,F245&lt;&gt;"ASTM A416"),L245,0),3)</f>
        <v/>
      </c>
      <c r="R245" s="16">
        <f>ROUND(R244+IF(AND(E245=14,F245&lt;&gt;"ASTM A416"),L245,0),3)</f>
        <v/>
      </c>
      <c r="S245" s="16">
        <f>ROUND(S244+IF(AND(E245=16,F245&lt;&gt;"ASTM A416"),L245,0),3)</f>
        <v/>
      </c>
      <c r="T245" s="16">
        <f>ROUND(T244+IF(AND(E245=18,F245&lt;&gt;"ASTM A416"),L245,0),3)</f>
        <v/>
      </c>
      <c r="U245" s="16">
        <f>ROUND(U244+IF(AND(E245=20,F245&lt;&gt;"ASTM A416"),L245,0),3)</f>
        <v/>
      </c>
      <c r="V245" s="16">
        <f>ROUND(V244+IF(AND(E245=22,F245&lt;&gt;"ASTM A416"),L245,0),3)</f>
        <v/>
      </c>
      <c r="W245" s="16">
        <f>ROUND(W244+IF(AND(E245=25,F245&lt;&gt;"ASTM A416"),L245,0),3)</f>
        <v/>
      </c>
      <c r="X245" s="16">
        <f>ROUND(X244+IF(AND(E245=28,F245&lt;&gt;"ASTM A416"),L245,0),3)</f>
        <v/>
      </c>
      <c r="Y245" s="16">
        <f>ROUND(Y244+IF(AND(E245=32,F245&lt;&gt;"ASTM A416"),L245,0),3)</f>
        <v/>
      </c>
      <c r="Z245" s="16">
        <f>ROUND(Z244+IF(F245="ASTM A416",L245,0),3)</f>
        <v/>
      </c>
      <c r="AA245" s="9">
        <f>IF(ROUNDUP(P245/20,0)&gt;ROUNDUP(P244/20,0),"Lần " &amp; ROUNDUP(P245/20,0),"")</f>
        <v/>
      </c>
      <c r="AB245" s="9">
        <f>IF(ROUNDUP(Q245/20,0)&gt;ROUNDUP(Q244/20,0),"Lần " &amp; ROUNDUP(Q245/20,0),"")</f>
        <v/>
      </c>
      <c r="AC245" s="9">
        <f>IF(ROUNDUP(R245/20,0)&gt;ROUNDUP(R244/20,0),"Lần " &amp; ROUNDUP(R245/20,0),"")</f>
        <v/>
      </c>
      <c r="AD245" s="9">
        <f>IF(ROUNDUP(S245/20,0)&gt;ROUNDUP(S244/20,0),"Lần " &amp; ROUNDUP(S245/20,0),"")</f>
        <v/>
      </c>
      <c r="AE245" s="9">
        <f>IF(ROUNDUP(T245/20,0)&gt;ROUNDUP(T244/20,0),"Lần " &amp; ROUNDUP(T245/20,0),"")</f>
        <v/>
      </c>
      <c r="AF245" s="9">
        <f>IF(ROUNDUP(U245/20,0)&gt;ROUNDUP(U244/20,0),"Lần " &amp; ROUNDUP(U245/20,0),"")</f>
        <v/>
      </c>
      <c r="AG245" s="9">
        <f>IF(ROUNDUP(V245/20,0)&gt;ROUNDUP(V244/20,0),"Lần " &amp; ROUNDUP(V245/20,0),"")</f>
        <v/>
      </c>
      <c r="AH245" s="9">
        <f>IF(ROUNDUP(W245/20,0)&gt;ROUNDUP(W244/20,0),"Lần " &amp; ROUNDUP(W245/20,0),"")</f>
        <v/>
      </c>
      <c r="AI245" s="9">
        <f>IF(ROUNDUP(X245/20,0)&gt;ROUNDUP(X244/20,0),"Lần " &amp; ROUNDUP(X245/20,0),"")</f>
        <v/>
      </c>
      <c r="AJ245" s="9">
        <f>IF(ROUNDUP(Y245/20,0)&gt;ROUNDUP(Y244/20,0),"Lần " &amp; ROUNDUP(Y245/20,0),"")</f>
        <v/>
      </c>
      <c r="AK245" s="9">
        <f>IF(ROUNDUP(Z245/20,0)&gt;ROUNDUP(Z244/20,0),"Lần " &amp; ROUNDUP(Z245/20,0),"")</f>
        <v/>
      </c>
      <c r="AL245" s="4" t="n"/>
      <c r="AN245" s="596" t="inlineStr">
        <is>
          <t>Coc</t>
        </is>
      </c>
      <c r="AO245" s="596" t="n">
        <v>19</v>
      </c>
      <c r="AQ245" s="594" t="n"/>
      <c r="AR245" s="595" t="n"/>
    </row>
    <row r="246" ht="19" customHeight="1" s="672">
      <c r="A246" s="4" t="n">
        <v>228</v>
      </c>
      <c r="B246" s="5" t="inlineStr">
        <is>
          <t>Cọc khoan nhồi C1 Trụ T2 (D1.2m, L=30.0m)</t>
        </is>
      </c>
      <c r="C246" s="5" t="inlineStr">
        <is>
          <t>Cọc trụ T2 L=30m (tr.70)</t>
        </is>
      </c>
      <c r="D246" s="14" t="inlineStr">
        <is>
          <t>P1B</t>
        </is>
      </c>
      <c r="E246" s="15" t="n">
        <v>10</v>
      </c>
      <c r="F246" s="4" t="inlineStr">
        <is>
          <t>CB240-T</t>
        </is>
      </c>
      <c r="G246" s="5" t="inlineStr"/>
      <c r="H246" s="16" t="n">
        <v>100.256</v>
      </c>
      <c r="I246" s="17" t="n">
        <v>1</v>
      </c>
      <c r="J246" s="18" t="n">
        <v>0.617</v>
      </c>
      <c r="K246" s="7">
        <f>ROUND(H246*I246*J246, 2)</f>
        <v/>
      </c>
      <c r="L246" s="19">
        <f>ROUND(K246/1000, 3)</f>
        <v/>
      </c>
      <c r="M246" s="728">
        <f>IF(AO246="","",IF(N(INDEX(Theo_Doi_Tan_Suat_Be_Tong!$C:$C,AO246))&lt;=0,"",INDEX(Theo_Doi_Tan_Suat_Be_Tong!$C:$C,AO246)-VLOOKUP(AN246,$AQ$2:$AR$7,2,FALSE)))</f>
        <v/>
      </c>
      <c r="N246" s="4" t="n"/>
      <c r="O246" s="20">
        <f>IF(ROUNDUP(P246/20,0)&gt;ROUNDUP(P245/20,0),"TN Ø10 (Lần " &amp; ROUNDUP(P246/20,0) &amp; ")","")</f>
        <v/>
      </c>
      <c r="P246" s="16">
        <f>ROUND(P245+IF(AND(E246&lt;=10,F246&lt;&gt;"ASTM A416"),L246,0),3)</f>
        <v/>
      </c>
      <c r="Q246" s="16">
        <f>ROUND(Q245+IF(AND(E246=12,F246&lt;&gt;"ASTM A416"),L246,0),3)</f>
        <v/>
      </c>
      <c r="R246" s="16">
        <f>ROUND(R245+IF(AND(E246=14,F246&lt;&gt;"ASTM A416"),L246,0),3)</f>
        <v/>
      </c>
      <c r="S246" s="16">
        <f>ROUND(S245+IF(AND(E246=16,F246&lt;&gt;"ASTM A416"),L246,0),3)</f>
        <v/>
      </c>
      <c r="T246" s="16">
        <f>ROUND(T245+IF(AND(E246=18,F246&lt;&gt;"ASTM A416"),L246,0),3)</f>
        <v/>
      </c>
      <c r="U246" s="16">
        <f>ROUND(U245+IF(AND(E246=20,F246&lt;&gt;"ASTM A416"),L246,0),3)</f>
        <v/>
      </c>
      <c r="V246" s="16">
        <f>ROUND(V245+IF(AND(E246=22,F246&lt;&gt;"ASTM A416"),L246,0),3)</f>
        <v/>
      </c>
      <c r="W246" s="16">
        <f>ROUND(W245+IF(AND(E246=25,F246&lt;&gt;"ASTM A416"),L246,0),3)</f>
        <v/>
      </c>
      <c r="X246" s="16">
        <f>ROUND(X245+IF(AND(E246=28,F246&lt;&gt;"ASTM A416"),L246,0),3)</f>
        <v/>
      </c>
      <c r="Y246" s="16">
        <f>ROUND(Y245+IF(AND(E246=32,F246&lt;&gt;"ASTM A416"),L246,0),3)</f>
        <v/>
      </c>
      <c r="Z246" s="16">
        <f>ROUND(Z245+IF(F246="ASTM A416",L246,0),3)</f>
        <v/>
      </c>
      <c r="AA246" s="9">
        <f>IF(ROUNDUP(P246/20,0)&gt;ROUNDUP(P245/20,0),"Lần " &amp; ROUNDUP(P246/20,0),"")</f>
        <v/>
      </c>
      <c r="AB246" s="9">
        <f>IF(ROUNDUP(Q246/20,0)&gt;ROUNDUP(Q245/20,0),"Lần " &amp; ROUNDUP(Q246/20,0),"")</f>
        <v/>
      </c>
      <c r="AC246" s="9">
        <f>IF(ROUNDUP(R246/20,0)&gt;ROUNDUP(R245/20,0),"Lần " &amp; ROUNDUP(R246/20,0),"")</f>
        <v/>
      </c>
      <c r="AD246" s="9">
        <f>IF(ROUNDUP(S246/20,0)&gt;ROUNDUP(S245/20,0),"Lần " &amp; ROUNDUP(S246/20,0),"")</f>
        <v/>
      </c>
      <c r="AE246" s="9">
        <f>IF(ROUNDUP(T246/20,0)&gt;ROUNDUP(T245/20,0),"Lần " &amp; ROUNDUP(T246/20,0),"")</f>
        <v/>
      </c>
      <c r="AF246" s="9">
        <f>IF(ROUNDUP(U246/20,0)&gt;ROUNDUP(U245/20,0),"Lần " &amp; ROUNDUP(U246/20,0),"")</f>
        <v/>
      </c>
      <c r="AG246" s="9">
        <f>IF(ROUNDUP(V246/20,0)&gt;ROUNDUP(V245/20,0),"Lần " &amp; ROUNDUP(V246/20,0),"")</f>
        <v/>
      </c>
      <c r="AH246" s="9">
        <f>IF(ROUNDUP(W246/20,0)&gt;ROUNDUP(W245/20,0),"Lần " &amp; ROUNDUP(W246/20,0),"")</f>
        <v/>
      </c>
      <c r="AI246" s="9">
        <f>IF(ROUNDUP(X246/20,0)&gt;ROUNDUP(X245/20,0),"Lần " &amp; ROUNDUP(X246/20,0),"")</f>
        <v/>
      </c>
      <c r="AJ246" s="9">
        <f>IF(ROUNDUP(Y246/20,0)&gt;ROUNDUP(Y245/20,0),"Lần " &amp; ROUNDUP(Y246/20,0),"")</f>
        <v/>
      </c>
      <c r="AK246" s="9">
        <f>IF(ROUNDUP(Z246/20,0)&gt;ROUNDUP(Z245/20,0),"Lần " &amp; ROUNDUP(Z246/20,0),"")</f>
        <v/>
      </c>
      <c r="AL246" s="4" t="n"/>
      <c r="AN246" s="596" t="inlineStr">
        <is>
          <t>Coc</t>
        </is>
      </c>
      <c r="AO246" s="596" t="n">
        <v>19</v>
      </c>
      <c r="AQ246" s="594" t="n"/>
      <c r="AR246" s="595" t="n"/>
    </row>
    <row r="247" ht="19" customHeight="1" s="672">
      <c r="A247" s="4" t="n">
        <v>229</v>
      </c>
      <c r="B247" s="5" t="inlineStr">
        <is>
          <t>Cọc khoan nhồi C1 Trụ T2 (D1.2m, L=30.0m)</t>
        </is>
      </c>
      <c r="C247" s="5" t="inlineStr">
        <is>
          <t>Cọc trụ T2 L=30m (tr.70)</t>
        </is>
      </c>
      <c r="D247" s="14" t="inlineStr">
        <is>
          <t>P1C</t>
        </is>
      </c>
      <c r="E247" s="15" t="n">
        <v>10</v>
      </c>
      <c r="F247" s="4" t="inlineStr">
        <is>
          <t>CB240-T</t>
        </is>
      </c>
      <c r="G247" s="5" t="inlineStr"/>
      <c r="H247" s="16" t="n">
        <v>3.592</v>
      </c>
      <c r="I247" s="17" t="n">
        <v>2</v>
      </c>
      <c r="J247" s="18" t="n">
        <v>0.617</v>
      </c>
      <c r="K247" s="7">
        <f>ROUND(H247*I247*J247, 2)</f>
        <v/>
      </c>
      <c r="L247" s="19">
        <f>ROUND(K247/1000, 3)</f>
        <v/>
      </c>
      <c r="M247" s="728">
        <f>IF(AO247="","",IF(N(INDEX(Theo_Doi_Tan_Suat_Be_Tong!$C:$C,AO247))&lt;=0,"",INDEX(Theo_Doi_Tan_Suat_Be_Tong!$C:$C,AO247)-VLOOKUP(AN247,$AQ$2:$AR$7,2,FALSE)))</f>
        <v/>
      </c>
      <c r="N247" s="4" t="n"/>
      <c r="O247" s="20">
        <f>IF(ROUNDUP(P247/20,0)&gt;ROUNDUP(P246/20,0),"TN Ø10 (Lần " &amp; ROUNDUP(P247/20,0) &amp; ")","")</f>
        <v/>
      </c>
      <c r="P247" s="16">
        <f>ROUND(P246+IF(AND(E247&lt;=10,F247&lt;&gt;"ASTM A416"),L247,0),3)</f>
        <v/>
      </c>
      <c r="Q247" s="16">
        <f>ROUND(Q246+IF(AND(E247=12,F247&lt;&gt;"ASTM A416"),L247,0),3)</f>
        <v/>
      </c>
      <c r="R247" s="16">
        <f>ROUND(R246+IF(AND(E247=14,F247&lt;&gt;"ASTM A416"),L247,0),3)</f>
        <v/>
      </c>
      <c r="S247" s="16">
        <f>ROUND(S246+IF(AND(E247=16,F247&lt;&gt;"ASTM A416"),L247,0),3)</f>
        <v/>
      </c>
      <c r="T247" s="16">
        <f>ROUND(T246+IF(AND(E247=18,F247&lt;&gt;"ASTM A416"),L247,0),3)</f>
        <v/>
      </c>
      <c r="U247" s="16">
        <f>ROUND(U246+IF(AND(E247=20,F247&lt;&gt;"ASTM A416"),L247,0),3)</f>
        <v/>
      </c>
      <c r="V247" s="16">
        <f>ROUND(V246+IF(AND(E247=22,F247&lt;&gt;"ASTM A416"),L247,0),3)</f>
        <v/>
      </c>
      <c r="W247" s="16">
        <f>ROUND(W246+IF(AND(E247=25,F247&lt;&gt;"ASTM A416"),L247,0),3)</f>
        <v/>
      </c>
      <c r="X247" s="16">
        <f>ROUND(X246+IF(AND(E247=28,F247&lt;&gt;"ASTM A416"),L247,0),3)</f>
        <v/>
      </c>
      <c r="Y247" s="16">
        <f>ROUND(Y246+IF(AND(E247=32,F247&lt;&gt;"ASTM A416"),L247,0),3)</f>
        <v/>
      </c>
      <c r="Z247" s="16">
        <f>ROUND(Z246+IF(F247="ASTM A416",L247,0),3)</f>
        <v/>
      </c>
      <c r="AA247" s="9">
        <f>IF(ROUNDUP(P247/20,0)&gt;ROUNDUP(P246/20,0),"Lần " &amp; ROUNDUP(P247/20,0),"")</f>
        <v/>
      </c>
      <c r="AB247" s="9">
        <f>IF(ROUNDUP(Q247/20,0)&gt;ROUNDUP(Q246/20,0),"Lần " &amp; ROUNDUP(Q247/20,0),"")</f>
        <v/>
      </c>
      <c r="AC247" s="9">
        <f>IF(ROUNDUP(R247/20,0)&gt;ROUNDUP(R246/20,0),"Lần " &amp; ROUNDUP(R247/20,0),"")</f>
        <v/>
      </c>
      <c r="AD247" s="9">
        <f>IF(ROUNDUP(S247/20,0)&gt;ROUNDUP(S246/20,0),"Lần " &amp; ROUNDUP(S247/20,0),"")</f>
        <v/>
      </c>
      <c r="AE247" s="9">
        <f>IF(ROUNDUP(T247/20,0)&gt;ROUNDUP(T246/20,0),"Lần " &amp; ROUNDUP(T247/20,0),"")</f>
        <v/>
      </c>
      <c r="AF247" s="9">
        <f>IF(ROUNDUP(U247/20,0)&gt;ROUNDUP(U246/20,0),"Lần " &amp; ROUNDUP(U247/20,0),"")</f>
        <v/>
      </c>
      <c r="AG247" s="9">
        <f>IF(ROUNDUP(V247/20,0)&gt;ROUNDUP(V246/20,0),"Lần " &amp; ROUNDUP(V247/20,0),"")</f>
        <v/>
      </c>
      <c r="AH247" s="9">
        <f>IF(ROUNDUP(W247/20,0)&gt;ROUNDUP(W246/20,0),"Lần " &amp; ROUNDUP(W247/20,0),"")</f>
        <v/>
      </c>
      <c r="AI247" s="9">
        <f>IF(ROUNDUP(X247/20,0)&gt;ROUNDUP(X246/20,0),"Lần " &amp; ROUNDUP(X247/20,0),"")</f>
        <v/>
      </c>
      <c r="AJ247" s="9">
        <f>IF(ROUNDUP(Y247/20,0)&gt;ROUNDUP(Y246/20,0),"Lần " &amp; ROUNDUP(Y247/20,0),"")</f>
        <v/>
      </c>
      <c r="AK247" s="9">
        <f>IF(ROUNDUP(Z247/20,0)&gt;ROUNDUP(Z246/20,0),"Lần " &amp; ROUNDUP(Z247/20,0),"")</f>
        <v/>
      </c>
      <c r="AL247" s="4" t="n"/>
      <c r="AN247" s="596" t="inlineStr">
        <is>
          <t>Coc</t>
        </is>
      </c>
      <c r="AO247" s="596" t="n">
        <v>19</v>
      </c>
      <c r="AQ247" s="594" t="n"/>
      <c r="AR247" s="595" t="n"/>
    </row>
    <row r="248" ht="19" customHeight="1" s="672">
      <c r="A248" s="4" t="n">
        <v>230</v>
      </c>
      <c r="B248" s="5" t="inlineStr">
        <is>
          <t>Cọc khoan nhồi C1 Trụ T2 (D1.2m, L=30.0m)</t>
        </is>
      </c>
      <c r="C248" s="5" t="inlineStr">
        <is>
          <t>Cọc trụ T2 L=30m (tr.70)</t>
        </is>
      </c>
      <c r="D248" s="14" t="inlineStr">
        <is>
          <t>P1D</t>
        </is>
      </c>
      <c r="E248" s="15" t="n">
        <v>10</v>
      </c>
      <c r="F248" s="4" t="inlineStr">
        <is>
          <t>CB240-T</t>
        </is>
      </c>
      <c r="G248" s="5" t="inlineStr"/>
      <c r="H248" s="16" t="n">
        <v>19.721</v>
      </c>
      <c r="I248" s="17" t="n">
        <v>1</v>
      </c>
      <c r="J248" s="18" t="n">
        <v>0.617</v>
      </c>
      <c r="K248" s="7">
        <f>ROUND(H248*I248*J248, 2)</f>
        <v/>
      </c>
      <c r="L248" s="19">
        <f>ROUND(K248/1000, 3)</f>
        <v/>
      </c>
      <c r="M248" s="728">
        <f>IF(AO248="","",IF(N(INDEX(Theo_Doi_Tan_Suat_Be_Tong!$C:$C,AO248))&lt;=0,"",INDEX(Theo_Doi_Tan_Suat_Be_Tong!$C:$C,AO248)-VLOOKUP(AN248,$AQ$2:$AR$7,2,FALSE)))</f>
        <v/>
      </c>
      <c r="N248" s="4" t="n"/>
      <c r="O248" s="20">
        <f>IF(ROUNDUP(P248/20,0)&gt;ROUNDUP(P247/20,0),"TN Ø10 (Lần " &amp; ROUNDUP(P248/20,0) &amp; ")","")</f>
        <v/>
      </c>
      <c r="P248" s="16">
        <f>ROUND(P247+IF(AND(E248&lt;=10,F248&lt;&gt;"ASTM A416"),L248,0),3)</f>
        <v/>
      </c>
      <c r="Q248" s="16">
        <f>ROUND(Q247+IF(AND(E248=12,F248&lt;&gt;"ASTM A416"),L248,0),3)</f>
        <v/>
      </c>
      <c r="R248" s="16">
        <f>ROUND(R247+IF(AND(E248=14,F248&lt;&gt;"ASTM A416"),L248,0),3)</f>
        <v/>
      </c>
      <c r="S248" s="16">
        <f>ROUND(S247+IF(AND(E248=16,F248&lt;&gt;"ASTM A416"),L248,0),3)</f>
        <v/>
      </c>
      <c r="T248" s="16">
        <f>ROUND(T247+IF(AND(E248=18,F248&lt;&gt;"ASTM A416"),L248,0),3)</f>
        <v/>
      </c>
      <c r="U248" s="16">
        <f>ROUND(U247+IF(AND(E248=20,F248&lt;&gt;"ASTM A416"),L248,0),3)</f>
        <v/>
      </c>
      <c r="V248" s="16">
        <f>ROUND(V247+IF(AND(E248=22,F248&lt;&gt;"ASTM A416"),L248,0),3)</f>
        <v/>
      </c>
      <c r="W248" s="16">
        <f>ROUND(W247+IF(AND(E248=25,F248&lt;&gt;"ASTM A416"),L248,0),3)</f>
        <v/>
      </c>
      <c r="X248" s="16">
        <f>ROUND(X247+IF(AND(E248=28,F248&lt;&gt;"ASTM A416"),L248,0),3)</f>
        <v/>
      </c>
      <c r="Y248" s="16">
        <f>ROUND(Y247+IF(AND(E248=32,F248&lt;&gt;"ASTM A416"),L248,0),3)</f>
        <v/>
      </c>
      <c r="Z248" s="16">
        <f>ROUND(Z247+IF(F248="ASTM A416",L248,0),3)</f>
        <v/>
      </c>
      <c r="AA248" s="9">
        <f>IF(ROUNDUP(P248/20,0)&gt;ROUNDUP(P247/20,0),"Lần " &amp; ROUNDUP(P248/20,0),"")</f>
        <v/>
      </c>
      <c r="AB248" s="9">
        <f>IF(ROUNDUP(Q248/20,0)&gt;ROUNDUP(Q247/20,0),"Lần " &amp; ROUNDUP(Q248/20,0),"")</f>
        <v/>
      </c>
      <c r="AC248" s="9">
        <f>IF(ROUNDUP(R248/20,0)&gt;ROUNDUP(R247/20,0),"Lần " &amp; ROUNDUP(R248/20,0),"")</f>
        <v/>
      </c>
      <c r="AD248" s="9">
        <f>IF(ROUNDUP(S248/20,0)&gt;ROUNDUP(S247/20,0),"Lần " &amp; ROUNDUP(S248/20,0),"")</f>
        <v/>
      </c>
      <c r="AE248" s="9">
        <f>IF(ROUNDUP(T248/20,0)&gt;ROUNDUP(T247/20,0),"Lần " &amp; ROUNDUP(T248/20,0),"")</f>
        <v/>
      </c>
      <c r="AF248" s="9">
        <f>IF(ROUNDUP(U248/20,0)&gt;ROUNDUP(U247/20,0),"Lần " &amp; ROUNDUP(U248/20,0),"")</f>
        <v/>
      </c>
      <c r="AG248" s="9">
        <f>IF(ROUNDUP(V248/20,0)&gt;ROUNDUP(V247/20,0),"Lần " &amp; ROUNDUP(V248/20,0),"")</f>
        <v/>
      </c>
      <c r="AH248" s="9">
        <f>IF(ROUNDUP(W248/20,0)&gt;ROUNDUP(W247/20,0),"Lần " &amp; ROUNDUP(W248/20,0),"")</f>
        <v/>
      </c>
      <c r="AI248" s="9">
        <f>IF(ROUNDUP(X248/20,0)&gt;ROUNDUP(X247/20,0),"Lần " &amp; ROUNDUP(X248/20,0),"")</f>
        <v/>
      </c>
      <c r="AJ248" s="9">
        <f>IF(ROUNDUP(Y248/20,0)&gt;ROUNDUP(Y247/20,0),"Lần " &amp; ROUNDUP(Y248/20,0),"")</f>
        <v/>
      </c>
      <c r="AK248" s="9">
        <f>IF(ROUNDUP(Z248/20,0)&gt;ROUNDUP(Z247/20,0),"Lần " &amp; ROUNDUP(Z248/20,0),"")</f>
        <v/>
      </c>
      <c r="AL248" s="4" t="n"/>
      <c r="AN248" s="596" t="inlineStr">
        <is>
          <t>Coc</t>
        </is>
      </c>
      <c r="AO248" s="596" t="n">
        <v>19</v>
      </c>
      <c r="AQ248" s="594" t="n"/>
      <c r="AR248" s="595" t="n"/>
    </row>
    <row r="249" ht="19" customHeight="1" s="672">
      <c r="A249" s="4" t="n">
        <v>231</v>
      </c>
      <c r="B249" s="5" t="inlineStr">
        <is>
          <t>Cọc khoan nhồi C1 Trụ T2 (D1.2m, L=30.0m)</t>
        </is>
      </c>
      <c r="C249" s="5" t="inlineStr">
        <is>
          <t>Cọc trụ T2 L=30m (tr.70)</t>
        </is>
      </c>
      <c r="D249" s="14" t="inlineStr">
        <is>
          <t>P2B</t>
        </is>
      </c>
      <c r="E249" s="15" t="n">
        <v>25</v>
      </c>
      <c r="F249" s="4" t="inlineStr">
        <is>
          <t>CB400-V</t>
        </is>
      </c>
      <c r="G249" s="5" t="inlineStr"/>
      <c r="H249" s="16" t="n">
        <v>2.985</v>
      </c>
      <c r="I249" s="17" t="n">
        <v>12</v>
      </c>
      <c r="J249" s="18" t="n">
        <v>3.853</v>
      </c>
      <c r="K249" s="7">
        <f>ROUND(H249*I249*J249, 2)</f>
        <v/>
      </c>
      <c r="L249" s="19">
        <f>ROUND(K249/1000, 3)</f>
        <v/>
      </c>
      <c r="M249" s="728">
        <f>IF(AO249="","",IF(N(INDEX(Theo_Doi_Tan_Suat_Be_Tong!$C:$C,AO249))&lt;=0,"",INDEX(Theo_Doi_Tan_Suat_Be_Tong!$C:$C,AO249)-VLOOKUP(AN249,$AQ$2:$AR$7,2,FALSE)))</f>
        <v/>
      </c>
      <c r="N249" s="4" t="n"/>
      <c r="O249" s="20">
        <f>IF(ROUNDUP(W249/20,0)&gt;ROUNDUP(W248/20,0),"TN Ø25 (Lần " &amp; ROUNDUP(W249/20,0) &amp; ")","")</f>
        <v/>
      </c>
      <c r="P249" s="16">
        <f>ROUND(P248+IF(AND(E249&lt;=10,F249&lt;&gt;"ASTM A416"),L249,0),3)</f>
        <v/>
      </c>
      <c r="Q249" s="16">
        <f>ROUND(Q248+IF(AND(E249=12,F249&lt;&gt;"ASTM A416"),L249,0),3)</f>
        <v/>
      </c>
      <c r="R249" s="16">
        <f>ROUND(R248+IF(AND(E249=14,F249&lt;&gt;"ASTM A416"),L249,0),3)</f>
        <v/>
      </c>
      <c r="S249" s="16">
        <f>ROUND(S248+IF(AND(E249=16,F249&lt;&gt;"ASTM A416"),L249,0),3)</f>
        <v/>
      </c>
      <c r="T249" s="16">
        <f>ROUND(T248+IF(AND(E249=18,F249&lt;&gt;"ASTM A416"),L249,0),3)</f>
        <v/>
      </c>
      <c r="U249" s="16">
        <f>ROUND(U248+IF(AND(E249=20,F249&lt;&gt;"ASTM A416"),L249,0),3)</f>
        <v/>
      </c>
      <c r="V249" s="16">
        <f>ROUND(V248+IF(AND(E249=22,F249&lt;&gt;"ASTM A416"),L249,0),3)</f>
        <v/>
      </c>
      <c r="W249" s="16">
        <f>ROUND(W248+IF(AND(E249=25,F249&lt;&gt;"ASTM A416"),L249,0),3)</f>
        <v/>
      </c>
      <c r="X249" s="16">
        <f>ROUND(X248+IF(AND(E249=28,F249&lt;&gt;"ASTM A416"),L249,0),3)</f>
        <v/>
      </c>
      <c r="Y249" s="16">
        <f>ROUND(Y248+IF(AND(E249=32,F249&lt;&gt;"ASTM A416"),L249,0),3)</f>
        <v/>
      </c>
      <c r="Z249" s="16">
        <f>ROUND(Z248+IF(F249="ASTM A416",L249,0),3)</f>
        <v/>
      </c>
      <c r="AA249" s="9">
        <f>IF(ROUNDUP(P249/20,0)&gt;ROUNDUP(P248/20,0),"Lần " &amp; ROUNDUP(P249/20,0),"")</f>
        <v/>
      </c>
      <c r="AB249" s="9">
        <f>IF(ROUNDUP(Q249/20,0)&gt;ROUNDUP(Q248/20,0),"Lần " &amp; ROUNDUP(Q249/20,0),"")</f>
        <v/>
      </c>
      <c r="AC249" s="9">
        <f>IF(ROUNDUP(R249/20,0)&gt;ROUNDUP(R248/20,0),"Lần " &amp; ROUNDUP(R249/20,0),"")</f>
        <v/>
      </c>
      <c r="AD249" s="9">
        <f>IF(ROUNDUP(S249/20,0)&gt;ROUNDUP(S248/20,0),"Lần " &amp; ROUNDUP(S249/20,0),"")</f>
        <v/>
      </c>
      <c r="AE249" s="9">
        <f>IF(ROUNDUP(T249/20,0)&gt;ROUNDUP(T248/20,0),"Lần " &amp; ROUNDUP(T249/20,0),"")</f>
        <v/>
      </c>
      <c r="AF249" s="9">
        <f>IF(ROUNDUP(U249/20,0)&gt;ROUNDUP(U248/20,0),"Lần " &amp; ROUNDUP(U249/20,0),"")</f>
        <v/>
      </c>
      <c r="AG249" s="9">
        <f>IF(ROUNDUP(V249/20,0)&gt;ROUNDUP(V248/20,0),"Lần " &amp; ROUNDUP(V249/20,0),"")</f>
        <v/>
      </c>
      <c r="AH249" s="9">
        <f>IF(ROUNDUP(W249/20,0)&gt;ROUNDUP(W248/20,0),"Lần " &amp; ROUNDUP(W249/20,0),"")</f>
        <v/>
      </c>
      <c r="AI249" s="9">
        <f>IF(ROUNDUP(X249/20,0)&gt;ROUNDUP(X248/20,0),"Lần " &amp; ROUNDUP(X249/20,0),"")</f>
        <v/>
      </c>
      <c r="AJ249" s="9">
        <f>IF(ROUNDUP(Y249/20,0)&gt;ROUNDUP(Y248/20,0),"Lần " &amp; ROUNDUP(Y249/20,0),"")</f>
        <v/>
      </c>
      <c r="AK249" s="9">
        <f>IF(ROUNDUP(Z249/20,0)&gt;ROUNDUP(Z248/20,0),"Lần " &amp; ROUNDUP(Z249/20,0),"")</f>
        <v/>
      </c>
      <c r="AL249" s="4" t="n"/>
      <c r="AN249" s="596" t="inlineStr">
        <is>
          <t>Coc</t>
        </is>
      </c>
      <c r="AO249" s="596" t="n">
        <v>19</v>
      </c>
      <c r="AQ249" s="594" t="n"/>
      <c r="AR249" s="595" t="n"/>
    </row>
    <row r="250" ht="19" customHeight="1" s="672">
      <c r="A250" s="4" t="n">
        <v>232</v>
      </c>
      <c r="B250" s="5" t="inlineStr">
        <is>
          <t>Cọc khoan nhồi C1 Trụ T2 (D1.2m, L=30.0m)</t>
        </is>
      </c>
      <c r="C250" s="5" t="inlineStr">
        <is>
          <t>Cọc trụ T2 L=30m (tr.70)</t>
        </is>
      </c>
      <c r="D250" s="14" t="inlineStr">
        <is>
          <t>P3</t>
        </is>
      </c>
      <c r="E250" s="15" t="n">
        <v>25</v>
      </c>
      <c r="F250" s="4" t="inlineStr">
        <is>
          <t>CB400-V</t>
        </is>
      </c>
      <c r="G250" s="5" t="inlineStr"/>
      <c r="H250" s="16" t="n">
        <v>10.7</v>
      </c>
      <c r="I250" s="17" t="n">
        <v>12</v>
      </c>
      <c r="J250" s="18" t="n">
        <v>3.853</v>
      </c>
      <c r="K250" s="7">
        <f>ROUND(H250*I250*J250, 2)</f>
        <v/>
      </c>
      <c r="L250" s="19">
        <f>ROUND(K250/1000, 3)</f>
        <v/>
      </c>
      <c r="M250" s="728">
        <f>IF(AO250="","",IF(N(INDEX(Theo_Doi_Tan_Suat_Be_Tong!$C:$C,AO250))&lt;=0,"",INDEX(Theo_Doi_Tan_Suat_Be_Tong!$C:$C,AO250)-VLOOKUP(AN250,$AQ$2:$AR$7,2,FALSE)))</f>
        <v/>
      </c>
      <c r="N250" s="4" t="n"/>
      <c r="O250" s="20">
        <f>IF(ROUNDUP(W250/20,0)&gt;ROUNDUP(W249/20,0),"TN Ø25 (Lần " &amp; ROUNDUP(W250/20,0) &amp; ")","")</f>
        <v/>
      </c>
      <c r="P250" s="16">
        <f>ROUND(P249+IF(AND(E250&lt;=10,F250&lt;&gt;"ASTM A416"),L250,0),3)</f>
        <v/>
      </c>
      <c r="Q250" s="16">
        <f>ROUND(Q249+IF(AND(E250=12,F250&lt;&gt;"ASTM A416"),L250,0),3)</f>
        <v/>
      </c>
      <c r="R250" s="16">
        <f>ROUND(R249+IF(AND(E250=14,F250&lt;&gt;"ASTM A416"),L250,0),3)</f>
        <v/>
      </c>
      <c r="S250" s="16">
        <f>ROUND(S249+IF(AND(E250=16,F250&lt;&gt;"ASTM A416"),L250,0),3)</f>
        <v/>
      </c>
      <c r="T250" s="16">
        <f>ROUND(T249+IF(AND(E250=18,F250&lt;&gt;"ASTM A416"),L250,0),3)</f>
        <v/>
      </c>
      <c r="U250" s="16">
        <f>ROUND(U249+IF(AND(E250=20,F250&lt;&gt;"ASTM A416"),L250,0),3)</f>
        <v/>
      </c>
      <c r="V250" s="16">
        <f>ROUND(V249+IF(AND(E250=22,F250&lt;&gt;"ASTM A416"),L250,0),3)</f>
        <v/>
      </c>
      <c r="W250" s="16">
        <f>ROUND(W249+IF(AND(E250=25,F250&lt;&gt;"ASTM A416"),L250,0),3)</f>
        <v/>
      </c>
      <c r="X250" s="16">
        <f>ROUND(X249+IF(AND(E250=28,F250&lt;&gt;"ASTM A416"),L250,0),3)</f>
        <v/>
      </c>
      <c r="Y250" s="16">
        <f>ROUND(Y249+IF(AND(E250=32,F250&lt;&gt;"ASTM A416"),L250,0),3)</f>
        <v/>
      </c>
      <c r="Z250" s="16">
        <f>ROUND(Z249+IF(F250="ASTM A416",L250,0),3)</f>
        <v/>
      </c>
      <c r="AA250" s="9">
        <f>IF(ROUNDUP(P250/20,0)&gt;ROUNDUP(P249/20,0),"Lần " &amp; ROUNDUP(P250/20,0),"")</f>
        <v/>
      </c>
      <c r="AB250" s="9">
        <f>IF(ROUNDUP(Q250/20,0)&gt;ROUNDUP(Q249/20,0),"Lần " &amp; ROUNDUP(Q250/20,0),"")</f>
        <v/>
      </c>
      <c r="AC250" s="9">
        <f>IF(ROUNDUP(R250/20,0)&gt;ROUNDUP(R249/20,0),"Lần " &amp; ROUNDUP(R250/20,0),"")</f>
        <v/>
      </c>
      <c r="AD250" s="9">
        <f>IF(ROUNDUP(S250/20,0)&gt;ROUNDUP(S249/20,0),"Lần " &amp; ROUNDUP(S250/20,0),"")</f>
        <v/>
      </c>
      <c r="AE250" s="9">
        <f>IF(ROUNDUP(T250/20,0)&gt;ROUNDUP(T249/20,0),"Lần " &amp; ROUNDUP(T250/20,0),"")</f>
        <v/>
      </c>
      <c r="AF250" s="9">
        <f>IF(ROUNDUP(U250/20,0)&gt;ROUNDUP(U249/20,0),"Lần " &amp; ROUNDUP(U250/20,0),"")</f>
        <v/>
      </c>
      <c r="AG250" s="9">
        <f>IF(ROUNDUP(V250/20,0)&gt;ROUNDUP(V249/20,0),"Lần " &amp; ROUNDUP(V250/20,0),"")</f>
        <v/>
      </c>
      <c r="AH250" s="9">
        <f>IF(ROUNDUP(W250/20,0)&gt;ROUNDUP(W249/20,0),"Lần " &amp; ROUNDUP(W250/20,0),"")</f>
        <v/>
      </c>
      <c r="AI250" s="9">
        <f>IF(ROUNDUP(X250/20,0)&gt;ROUNDUP(X249/20,0),"Lần " &amp; ROUNDUP(X250/20,0),"")</f>
        <v/>
      </c>
      <c r="AJ250" s="9">
        <f>IF(ROUNDUP(Y250/20,0)&gt;ROUNDUP(Y249/20,0),"Lần " &amp; ROUNDUP(Y250/20,0),"")</f>
        <v/>
      </c>
      <c r="AK250" s="9">
        <f>IF(ROUNDUP(Z250/20,0)&gt;ROUNDUP(Z249/20,0),"Lần " &amp; ROUNDUP(Z250/20,0),"")</f>
        <v/>
      </c>
      <c r="AL250" s="4" t="n"/>
      <c r="AN250" s="596" t="inlineStr">
        <is>
          <t>Coc</t>
        </is>
      </c>
      <c r="AO250" s="596" t="n">
        <v>19</v>
      </c>
      <c r="AQ250" s="594" t="n"/>
      <c r="AR250" s="595" t="n"/>
    </row>
    <row r="251" ht="19" customHeight="1" s="672">
      <c r="A251" s="4" t="n">
        <v>233</v>
      </c>
      <c r="B251" s="5" t="inlineStr">
        <is>
          <t>Cọc khoan nhồi C1 Trụ T2 (D1.2m, L=30.0m)</t>
        </is>
      </c>
      <c r="C251" s="5" t="inlineStr">
        <is>
          <t>Cọc trụ T2 L=30m (tr.70)</t>
        </is>
      </c>
      <c r="D251" s="14" t="inlineStr">
        <is>
          <t>P4</t>
        </is>
      </c>
      <c r="E251" s="15" t="n">
        <v>25</v>
      </c>
      <c r="F251" s="4" t="inlineStr">
        <is>
          <t>CB400-V</t>
        </is>
      </c>
      <c r="G251" s="5" t="inlineStr"/>
      <c r="H251" s="16" t="n">
        <v>11.7</v>
      </c>
      <c r="I251" s="17" t="n">
        <v>36</v>
      </c>
      <c r="J251" s="18" t="n">
        <v>3.853</v>
      </c>
      <c r="K251" s="7">
        <f>ROUND(H251*I251*J251, 2)</f>
        <v/>
      </c>
      <c r="L251" s="19">
        <f>ROUND(K251/1000, 3)</f>
        <v/>
      </c>
      <c r="M251" s="728">
        <f>IF(AO251="","",IF(N(INDEX(Theo_Doi_Tan_Suat_Be_Tong!$C:$C,AO251))&lt;=0,"",INDEX(Theo_Doi_Tan_Suat_Be_Tong!$C:$C,AO251)-VLOOKUP(AN251,$AQ$2:$AR$7,2,FALSE)))</f>
        <v/>
      </c>
      <c r="N251" s="4" t="n"/>
      <c r="O251" s="20">
        <f>IF(ROUNDUP(W251/20,0)&gt;ROUNDUP(W250/20,0),"TN Ø25 (Lần " &amp; ROUNDUP(W251/20,0) &amp; ")","")</f>
        <v/>
      </c>
      <c r="P251" s="16">
        <f>ROUND(P250+IF(AND(E251&lt;=10,F251&lt;&gt;"ASTM A416"),L251,0),3)</f>
        <v/>
      </c>
      <c r="Q251" s="16">
        <f>ROUND(Q250+IF(AND(E251=12,F251&lt;&gt;"ASTM A416"),L251,0),3)</f>
        <v/>
      </c>
      <c r="R251" s="16">
        <f>ROUND(R250+IF(AND(E251=14,F251&lt;&gt;"ASTM A416"),L251,0),3)</f>
        <v/>
      </c>
      <c r="S251" s="16">
        <f>ROUND(S250+IF(AND(E251=16,F251&lt;&gt;"ASTM A416"),L251,0),3)</f>
        <v/>
      </c>
      <c r="T251" s="16">
        <f>ROUND(T250+IF(AND(E251=18,F251&lt;&gt;"ASTM A416"),L251,0),3)</f>
        <v/>
      </c>
      <c r="U251" s="16">
        <f>ROUND(U250+IF(AND(E251=20,F251&lt;&gt;"ASTM A416"),L251,0),3)</f>
        <v/>
      </c>
      <c r="V251" s="16">
        <f>ROUND(V250+IF(AND(E251=22,F251&lt;&gt;"ASTM A416"),L251,0),3)</f>
        <v/>
      </c>
      <c r="W251" s="16">
        <f>ROUND(W250+IF(AND(E251=25,F251&lt;&gt;"ASTM A416"),L251,0),3)</f>
        <v/>
      </c>
      <c r="X251" s="16">
        <f>ROUND(X250+IF(AND(E251=28,F251&lt;&gt;"ASTM A416"),L251,0),3)</f>
        <v/>
      </c>
      <c r="Y251" s="16">
        <f>ROUND(Y250+IF(AND(E251=32,F251&lt;&gt;"ASTM A416"),L251,0),3)</f>
        <v/>
      </c>
      <c r="Z251" s="16">
        <f>ROUND(Z250+IF(F251="ASTM A416",L251,0),3)</f>
        <v/>
      </c>
      <c r="AA251" s="9">
        <f>IF(ROUNDUP(P251/20,0)&gt;ROUNDUP(P250/20,0),"Lần " &amp; ROUNDUP(P251/20,0),"")</f>
        <v/>
      </c>
      <c r="AB251" s="9">
        <f>IF(ROUNDUP(Q251/20,0)&gt;ROUNDUP(Q250/20,0),"Lần " &amp; ROUNDUP(Q251/20,0),"")</f>
        <v/>
      </c>
      <c r="AC251" s="9">
        <f>IF(ROUNDUP(R251/20,0)&gt;ROUNDUP(R250/20,0),"Lần " &amp; ROUNDUP(R251/20,0),"")</f>
        <v/>
      </c>
      <c r="AD251" s="9">
        <f>IF(ROUNDUP(S251/20,0)&gt;ROUNDUP(S250/20,0),"Lần " &amp; ROUNDUP(S251/20,0),"")</f>
        <v/>
      </c>
      <c r="AE251" s="9">
        <f>IF(ROUNDUP(T251/20,0)&gt;ROUNDUP(T250/20,0),"Lần " &amp; ROUNDUP(T251/20,0),"")</f>
        <v/>
      </c>
      <c r="AF251" s="9">
        <f>IF(ROUNDUP(U251/20,0)&gt;ROUNDUP(U250/20,0),"Lần " &amp; ROUNDUP(U251/20,0),"")</f>
        <v/>
      </c>
      <c r="AG251" s="9">
        <f>IF(ROUNDUP(V251/20,0)&gt;ROUNDUP(V250/20,0),"Lần " &amp; ROUNDUP(V251/20,0),"")</f>
        <v/>
      </c>
      <c r="AH251" s="9">
        <f>IF(ROUNDUP(W251/20,0)&gt;ROUNDUP(W250/20,0),"Lần " &amp; ROUNDUP(W251/20,0),"")</f>
        <v/>
      </c>
      <c r="AI251" s="9">
        <f>IF(ROUNDUP(X251/20,0)&gt;ROUNDUP(X250/20,0),"Lần " &amp; ROUNDUP(X251/20,0),"")</f>
        <v/>
      </c>
      <c r="AJ251" s="9">
        <f>IF(ROUNDUP(Y251/20,0)&gt;ROUNDUP(Y250/20,0),"Lần " &amp; ROUNDUP(Y251/20,0),"")</f>
        <v/>
      </c>
      <c r="AK251" s="9">
        <f>IF(ROUNDUP(Z251/20,0)&gt;ROUNDUP(Z250/20,0),"Lần " &amp; ROUNDUP(Z251/20,0),"")</f>
        <v/>
      </c>
      <c r="AL251" s="4" t="n"/>
      <c r="AN251" s="596" t="inlineStr">
        <is>
          <t>Coc</t>
        </is>
      </c>
      <c r="AO251" s="596" t="n">
        <v>19</v>
      </c>
      <c r="AQ251" s="594" t="n"/>
      <c r="AR251" s="595" t="n"/>
    </row>
    <row r="252" ht="19" customHeight="1" s="672">
      <c r="A252" s="4" t="n">
        <v>234</v>
      </c>
      <c r="B252" s="5" t="inlineStr">
        <is>
          <t>Cọc khoan nhồi C1 Trụ T2 (D1.2m, L=30.0m)</t>
        </is>
      </c>
      <c r="C252" s="5" t="inlineStr">
        <is>
          <t>Cọc trụ T2 L=30m (tr.70)</t>
        </is>
      </c>
      <c r="D252" s="14" t="inlineStr">
        <is>
          <t>P6</t>
        </is>
      </c>
      <c r="E252" s="15" t="n">
        <v>25</v>
      </c>
      <c r="F252" s="4" t="inlineStr">
        <is>
          <t>CB400-V</t>
        </is>
      </c>
      <c r="G252" s="5" t="inlineStr"/>
      <c r="H252" s="16" t="n">
        <v>9.733000000000001</v>
      </c>
      <c r="I252" s="17" t="n">
        <v>12</v>
      </c>
      <c r="J252" s="18" t="n">
        <v>3.853</v>
      </c>
      <c r="K252" s="7">
        <f>ROUND(H252*I252*J252, 2)</f>
        <v/>
      </c>
      <c r="L252" s="19">
        <f>ROUND(K252/1000, 3)</f>
        <v/>
      </c>
      <c r="M252" s="728">
        <f>IF(AO252="","",IF(N(INDEX(Theo_Doi_Tan_Suat_Be_Tong!$C:$C,AO252))&lt;=0,"",INDEX(Theo_Doi_Tan_Suat_Be_Tong!$C:$C,AO252)-VLOOKUP(AN252,$AQ$2:$AR$7,2,FALSE)))</f>
        <v/>
      </c>
      <c r="N252" s="4" t="n"/>
      <c r="O252" s="20">
        <f>IF(ROUNDUP(W252/20,0)&gt;ROUNDUP(W251/20,0),"TN Ø25 (Lần " &amp; ROUNDUP(W252/20,0) &amp; ")","")</f>
        <v/>
      </c>
      <c r="P252" s="16">
        <f>ROUND(P251+IF(AND(E252&lt;=10,F252&lt;&gt;"ASTM A416"),L252,0),3)</f>
        <v/>
      </c>
      <c r="Q252" s="16">
        <f>ROUND(Q251+IF(AND(E252=12,F252&lt;&gt;"ASTM A416"),L252,0),3)</f>
        <v/>
      </c>
      <c r="R252" s="16">
        <f>ROUND(R251+IF(AND(E252=14,F252&lt;&gt;"ASTM A416"),L252,0),3)</f>
        <v/>
      </c>
      <c r="S252" s="16">
        <f>ROUND(S251+IF(AND(E252=16,F252&lt;&gt;"ASTM A416"),L252,0),3)</f>
        <v/>
      </c>
      <c r="T252" s="16">
        <f>ROUND(T251+IF(AND(E252=18,F252&lt;&gt;"ASTM A416"),L252,0),3)</f>
        <v/>
      </c>
      <c r="U252" s="16">
        <f>ROUND(U251+IF(AND(E252=20,F252&lt;&gt;"ASTM A416"),L252,0),3)</f>
        <v/>
      </c>
      <c r="V252" s="16">
        <f>ROUND(V251+IF(AND(E252=22,F252&lt;&gt;"ASTM A416"),L252,0),3)</f>
        <v/>
      </c>
      <c r="W252" s="16">
        <f>ROUND(W251+IF(AND(E252=25,F252&lt;&gt;"ASTM A416"),L252,0),3)</f>
        <v/>
      </c>
      <c r="X252" s="16">
        <f>ROUND(X251+IF(AND(E252=28,F252&lt;&gt;"ASTM A416"),L252,0),3)</f>
        <v/>
      </c>
      <c r="Y252" s="16">
        <f>ROUND(Y251+IF(AND(E252=32,F252&lt;&gt;"ASTM A416"),L252,0),3)</f>
        <v/>
      </c>
      <c r="Z252" s="16">
        <f>ROUND(Z251+IF(F252="ASTM A416",L252,0),3)</f>
        <v/>
      </c>
      <c r="AA252" s="9">
        <f>IF(ROUNDUP(P252/20,0)&gt;ROUNDUP(P251/20,0),"Lần " &amp; ROUNDUP(P252/20,0),"")</f>
        <v/>
      </c>
      <c r="AB252" s="9">
        <f>IF(ROUNDUP(Q252/20,0)&gt;ROUNDUP(Q251/20,0),"Lần " &amp; ROUNDUP(Q252/20,0),"")</f>
        <v/>
      </c>
      <c r="AC252" s="9">
        <f>IF(ROUNDUP(R252/20,0)&gt;ROUNDUP(R251/20,0),"Lần " &amp; ROUNDUP(R252/20,0),"")</f>
        <v/>
      </c>
      <c r="AD252" s="9">
        <f>IF(ROUNDUP(S252/20,0)&gt;ROUNDUP(S251/20,0),"Lần " &amp; ROUNDUP(S252/20,0),"")</f>
        <v/>
      </c>
      <c r="AE252" s="9">
        <f>IF(ROUNDUP(T252/20,0)&gt;ROUNDUP(T251/20,0),"Lần " &amp; ROUNDUP(T252/20,0),"")</f>
        <v/>
      </c>
      <c r="AF252" s="9">
        <f>IF(ROUNDUP(U252/20,0)&gt;ROUNDUP(U251/20,0),"Lần " &amp; ROUNDUP(U252/20,0),"")</f>
        <v/>
      </c>
      <c r="AG252" s="9">
        <f>IF(ROUNDUP(V252/20,0)&gt;ROUNDUP(V251/20,0),"Lần " &amp; ROUNDUP(V252/20,0),"")</f>
        <v/>
      </c>
      <c r="AH252" s="9">
        <f>IF(ROUNDUP(W252/20,0)&gt;ROUNDUP(W251/20,0),"Lần " &amp; ROUNDUP(W252/20,0),"")</f>
        <v/>
      </c>
      <c r="AI252" s="9">
        <f>IF(ROUNDUP(X252/20,0)&gt;ROUNDUP(X251/20,0),"Lần " &amp; ROUNDUP(X252/20,0),"")</f>
        <v/>
      </c>
      <c r="AJ252" s="9">
        <f>IF(ROUNDUP(Y252/20,0)&gt;ROUNDUP(Y251/20,0),"Lần " &amp; ROUNDUP(Y252/20,0),"")</f>
        <v/>
      </c>
      <c r="AK252" s="9">
        <f>IF(ROUNDUP(Z252/20,0)&gt;ROUNDUP(Z251/20,0),"Lần " &amp; ROUNDUP(Z252/20,0),"")</f>
        <v/>
      </c>
      <c r="AL252" s="4" t="n"/>
      <c r="AN252" s="596" t="inlineStr">
        <is>
          <t>Coc</t>
        </is>
      </c>
      <c r="AO252" s="596" t="n">
        <v>19</v>
      </c>
      <c r="AQ252" s="594" t="n"/>
      <c r="AR252" s="595" t="n"/>
    </row>
    <row r="253" ht="19" customHeight="1" s="672">
      <c r="A253" s="4" t="n">
        <v>235</v>
      </c>
      <c r="B253" s="5" t="inlineStr">
        <is>
          <t>Cọc khoan nhồi C1 Trụ T2 (D1.2m, L=30.0m)</t>
        </is>
      </c>
      <c r="C253" s="5" t="inlineStr">
        <is>
          <t>Cọc trụ T2 L=30m (tr.70)</t>
        </is>
      </c>
      <c r="D253" s="14" t="inlineStr">
        <is>
          <t>P7</t>
        </is>
      </c>
      <c r="E253" s="15" t="n">
        <v>25</v>
      </c>
      <c r="F253" s="4" t="inlineStr">
        <is>
          <t>CB400-V</t>
        </is>
      </c>
      <c r="G253" s="5" t="inlineStr"/>
      <c r="H253" s="16" t="n">
        <v>10.733</v>
      </c>
      <c r="I253" s="17" t="n">
        <v>12</v>
      </c>
      <c r="J253" s="18" t="n">
        <v>3.853</v>
      </c>
      <c r="K253" s="7">
        <f>ROUND(H253*I253*J253, 2)</f>
        <v/>
      </c>
      <c r="L253" s="19">
        <f>ROUND(K253/1000, 3)</f>
        <v/>
      </c>
      <c r="M253" s="728">
        <f>IF(AO253="","",IF(N(INDEX(Theo_Doi_Tan_Suat_Be_Tong!$C:$C,AO253))&lt;=0,"",INDEX(Theo_Doi_Tan_Suat_Be_Tong!$C:$C,AO253)-VLOOKUP(AN253,$AQ$2:$AR$7,2,FALSE)))</f>
        <v/>
      </c>
      <c r="N253" s="4" t="n"/>
      <c r="O253" s="20">
        <f>IF(ROUNDUP(W253/20,0)&gt;ROUNDUP(W252/20,0),"TN Ø25 (Lần " &amp; ROUNDUP(W253/20,0) &amp; ")","")</f>
        <v/>
      </c>
      <c r="P253" s="16">
        <f>ROUND(P252+IF(AND(E253&lt;=10,F253&lt;&gt;"ASTM A416"),L253,0),3)</f>
        <v/>
      </c>
      <c r="Q253" s="16">
        <f>ROUND(Q252+IF(AND(E253=12,F253&lt;&gt;"ASTM A416"),L253,0),3)</f>
        <v/>
      </c>
      <c r="R253" s="16">
        <f>ROUND(R252+IF(AND(E253=14,F253&lt;&gt;"ASTM A416"),L253,0),3)</f>
        <v/>
      </c>
      <c r="S253" s="16">
        <f>ROUND(S252+IF(AND(E253=16,F253&lt;&gt;"ASTM A416"),L253,0),3)</f>
        <v/>
      </c>
      <c r="T253" s="16">
        <f>ROUND(T252+IF(AND(E253=18,F253&lt;&gt;"ASTM A416"),L253,0),3)</f>
        <v/>
      </c>
      <c r="U253" s="16">
        <f>ROUND(U252+IF(AND(E253=20,F253&lt;&gt;"ASTM A416"),L253,0),3)</f>
        <v/>
      </c>
      <c r="V253" s="16">
        <f>ROUND(V252+IF(AND(E253=22,F253&lt;&gt;"ASTM A416"),L253,0),3)</f>
        <v/>
      </c>
      <c r="W253" s="16">
        <f>ROUND(W252+IF(AND(E253=25,F253&lt;&gt;"ASTM A416"),L253,0),3)</f>
        <v/>
      </c>
      <c r="X253" s="16">
        <f>ROUND(X252+IF(AND(E253=28,F253&lt;&gt;"ASTM A416"),L253,0),3)</f>
        <v/>
      </c>
      <c r="Y253" s="16">
        <f>ROUND(Y252+IF(AND(E253=32,F253&lt;&gt;"ASTM A416"),L253,0),3)</f>
        <v/>
      </c>
      <c r="Z253" s="16">
        <f>ROUND(Z252+IF(F253="ASTM A416",L253,0),3)</f>
        <v/>
      </c>
      <c r="AA253" s="9">
        <f>IF(ROUNDUP(P253/20,0)&gt;ROUNDUP(P252/20,0),"Lần " &amp; ROUNDUP(P253/20,0),"")</f>
        <v/>
      </c>
      <c r="AB253" s="9">
        <f>IF(ROUNDUP(Q253/20,0)&gt;ROUNDUP(Q252/20,0),"Lần " &amp; ROUNDUP(Q253/20,0),"")</f>
        <v/>
      </c>
      <c r="AC253" s="9">
        <f>IF(ROUNDUP(R253/20,0)&gt;ROUNDUP(R252/20,0),"Lần " &amp; ROUNDUP(R253/20,0),"")</f>
        <v/>
      </c>
      <c r="AD253" s="9">
        <f>IF(ROUNDUP(S253/20,0)&gt;ROUNDUP(S252/20,0),"Lần " &amp; ROUNDUP(S253/20,0),"")</f>
        <v/>
      </c>
      <c r="AE253" s="9">
        <f>IF(ROUNDUP(T253/20,0)&gt;ROUNDUP(T252/20,0),"Lần " &amp; ROUNDUP(T253/20,0),"")</f>
        <v/>
      </c>
      <c r="AF253" s="9">
        <f>IF(ROUNDUP(U253/20,0)&gt;ROUNDUP(U252/20,0),"Lần " &amp; ROUNDUP(U253/20,0),"")</f>
        <v/>
      </c>
      <c r="AG253" s="9">
        <f>IF(ROUNDUP(V253/20,0)&gt;ROUNDUP(V252/20,0),"Lần " &amp; ROUNDUP(V253/20,0),"")</f>
        <v/>
      </c>
      <c r="AH253" s="9">
        <f>IF(ROUNDUP(W253/20,0)&gt;ROUNDUP(W252/20,0),"Lần " &amp; ROUNDUP(W253/20,0),"")</f>
        <v/>
      </c>
      <c r="AI253" s="9">
        <f>IF(ROUNDUP(X253/20,0)&gt;ROUNDUP(X252/20,0),"Lần " &amp; ROUNDUP(X253/20,0),"")</f>
        <v/>
      </c>
      <c r="AJ253" s="9">
        <f>IF(ROUNDUP(Y253/20,0)&gt;ROUNDUP(Y252/20,0),"Lần " &amp; ROUNDUP(Y253/20,0),"")</f>
        <v/>
      </c>
      <c r="AK253" s="9">
        <f>IF(ROUNDUP(Z253/20,0)&gt;ROUNDUP(Z252/20,0),"Lần " &amp; ROUNDUP(Z253/20,0),"")</f>
        <v/>
      </c>
      <c r="AL253" s="4" t="n"/>
      <c r="AN253" s="596" t="inlineStr">
        <is>
          <t>Coc</t>
        </is>
      </c>
      <c r="AO253" s="596" t="n">
        <v>19</v>
      </c>
      <c r="AQ253" s="594" t="n"/>
      <c r="AR253" s="595" t="n"/>
    </row>
    <row r="254" ht="19" customHeight="1" s="672">
      <c r="A254" s="4" t="n">
        <v>236</v>
      </c>
      <c r="B254" s="5" t="inlineStr">
        <is>
          <t>Cọc khoan nhồi C1 Trụ T2 (D1.2m, L=30.0m)</t>
        </is>
      </c>
      <c r="C254" s="5" t="inlineStr">
        <is>
          <t>Cọc trụ T2 L=30m (tr.70)</t>
        </is>
      </c>
      <c r="D254" s="14" t="inlineStr">
        <is>
          <t>P8</t>
        </is>
      </c>
      <c r="E254" s="15" t="n">
        <v>12</v>
      </c>
      <c r="F254" s="4" t="inlineStr">
        <is>
          <t>CB400-V</t>
        </is>
      </c>
      <c r="G254" s="5" t="inlineStr"/>
      <c r="H254" s="16" t="n">
        <v>0.647</v>
      </c>
      <c r="I254" s="17" t="n">
        <v>12</v>
      </c>
      <c r="J254" s="18" t="n">
        <v>0.888</v>
      </c>
      <c r="K254" s="7">
        <f>ROUND(H254*I254*J254, 2)</f>
        <v/>
      </c>
      <c r="L254" s="19">
        <f>ROUND(K254/1000, 3)</f>
        <v/>
      </c>
      <c r="M254" s="728">
        <f>IF(AO254="","",IF(N(INDEX(Theo_Doi_Tan_Suat_Be_Tong!$C:$C,AO254))&lt;=0,"",INDEX(Theo_Doi_Tan_Suat_Be_Tong!$C:$C,AO254)-VLOOKUP(AN254,$AQ$2:$AR$7,2,FALSE)))</f>
        <v/>
      </c>
      <c r="N254" s="4" t="n"/>
      <c r="O254" s="20">
        <f>IF(ROUNDUP(Q254/20,0)&gt;ROUNDUP(Q253/20,0),"TN Ø12 (Lần " &amp; ROUNDUP(Q254/20,0) &amp; ")","")</f>
        <v/>
      </c>
      <c r="P254" s="16">
        <f>ROUND(P253+IF(AND(E254&lt;=10,F254&lt;&gt;"ASTM A416"),L254,0),3)</f>
        <v/>
      </c>
      <c r="Q254" s="16">
        <f>ROUND(Q253+IF(AND(E254=12,F254&lt;&gt;"ASTM A416"),L254,0),3)</f>
        <v/>
      </c>
      <c r="R254" s="16">
        <f>ROUND(R253+IF(AND(E254=14,F254&lt;&gt;"ASTM A416"),L254,0),3)</f>
        <v/>
      </c>
      <c r="S254" s="16">
        <f>ROUND(S253+IF(AND(E254=16,F254&lt;&gt;"ASTM A416"),L254,0),3)</f>
        <v/>
      </c>
      <c r="T254" s="16">
        <f>ROUND(T253+IF(AND(E254=18,F254&lt;&gt;"ASTM A416"),L254,0),3)</f>
        <v/>
      </c>
      <c r="U254" s="16">
        <f>ROUND(U253+IF(AND(E254=20,F254&lt;&gt;"ASTM A416"),L254,0),3)</f>
        <v/>
      </c>
      <c r="V254" s="16">
        <f>ROUND(V253+IF(AND(E254=22,F254&lt;&gt;"ASTM A416"),L254,0),3)</f>
        <v/>
      </c>
      <c r="W254" s="16">
        <f>ROUND(W253+IF(AND(E254=25,F254&lt;&gt;"ASTM A416"),L254,0),3)</f>
        <v/>
      </c>
      <c r="X254" s="16">
        <f>ROUND(X253+IF(AND(E254=28,F254&lt;&gt;"ASTM A416"),L254,0),3)</f>
        <v/>
      </c>
      <c r="Y254" s="16">
        <f>ROUND(Y253+IF(AND(E254=32,F254&lt;&gt;"ASTM A416"),L254,0),3)</f>
        <v/>
      </c>
      <c r="Z254" s="16">
        <f>ROUND(Z253+IF(F254="ASTM A416",L254,0),3)</f>
        <v/>
      </c>
      <c r="AA254" s="9">
        <f>IF(ROUNDUP(P254/20,0)&gt;ROUNDUP(P253/20,0),"Lần " &amp; ROUNDUP(P254/20,0),"")</f>
        <v/>
      </c>
      <c r="AB254" s="9">
        <f>IF(ROUNDUP(Q254/20,0)&gt;ROUNDUP(Q253/20,0),"Lần " &amp; ROUNDUP(Q254/20,0),"")</f>
        <v/>
      </c>
      <c r="AC254" s="9">
        <f>IF(ROUNDUP(R254/20,0)&gt;ROUNDUP(R253/20,0),"Lần " &amp; ROUNDUP(R254/20,0),"")</f>
        <v/>
      </c>
      <c r="AD254" s="9">
        <f>IF(ROUNDUP(S254/20,0)&gt;ROUNDUP(S253/20,0),"Lần " &amp; ROUNDUP(S254/20,0),"")</f>
        <v/>
      </c>
      <c r="AE254" s="9">
        <f>IF(ROUNDUP(T254/20,0)&gt;ROUNDUP(T253/20,0),"Lần " &amp; ROUNDUP(T254/20,0),"")</f>
        <v/>
      </c>
      <c r="AF254" s="9">
        <f>IF(ROUNDUP(U254/20,0)&gt;ROUNDUP(U253/20,0),"Lần " &amp; ROUNDUP(U254/20,0),"")</f>
        <v/>
      </c>
      <c r="AG254" s="9">
        <f>IF(ROUNDUP(V254/20,0)&gt;ROUNDUP(V253/20,0),"Lần " &amp; ROUNDUP(V254/20,0),"")</f>
        <v/>
      </c>
      <c r="AH254" s="9">
        <f>IF(ROUNDUP(W254/20,0)&gt;ROUNDUP(W253/20,0),"Lần " &amp; ROUNDUP(W254/20,0),"")</f>
        <v/>
      </c>
      <c r="AI254" s="9">
        <f>IF(ROUNDUP(X254/20,0)&gt;ROUNDUP(X253/20,0),"Lần " &amp; ROUNDUP(X254/20,0),"")</f>
        <v/>
      </c>
      <c r="AJ254" s="9">
        <f>IF(ROUNDUP(Y254/20,0)&gt;ROUNDUP(Y253/20,0),"Lần " &amp; ROUNDUP(Y254/20,0),"")</f>
        <v/>
      </c>
      <c r="AK254" s="9">
        <f>IF(ROUNDUP(Z254/20,0)&gt;ROUNDUP(Z253/20,0),"Lần " &amp; ROUNDUP(Z254/20,0),"")</f>
        <v/>
      </c>
      <c r="AL254" s="4" t="n"/>
      <c r="AN254" s="596" t="inlineStr">
        <is>
          <t>Coc</t>
        </is>
      </c>
      <c r="AO254" s="596" t="n">
        <v>19</v>
      </c>
      <c r="AQ254" s="594" t="n"/>
      <c r="AR254" s="595" t="n"/>
    </row>
    <row r="255" ht="19" customHeight="1" s="672">
      <c r="A255" s="4" t="n">
        <v>237</v>
      </c>
      <c r="B255" s="5" t="inlineStr">
        <is>
          <t>Cọc khoan nhồi C1 Trụ T2 (D1.2m, L=30.0m)</t>
        </is>
      </c>
      <c r="C255" s="5" t="inlineStr">
        <is>
          <t>Cọc trụ T2 L=30m (tr.70)</t>
        </is>
      </c>
      <c r="D255" s="14" t="inlineStr">
        <is>
          <t>P9</t>
        </is>
      </c>
      <c r="E255" s="15" t="n">
        <v>12</v>
      </c>
      <c r="F255" s="4" t="inlineStr">
        <is>
          <t>CB400-V</t>
        </is>
      </c>
      <c r="G255" s="5" t="inlineStr"/>
      <c r="H255" s="16" t="n">
        <v>0.379</v>
      </c>
      <c r="I255" s="17" t="n">
        <v>36</v>
      </c>
      <c r="J255" s="18" t="n">
        <v>0.888</v>
      </c>
      <c r="K255" s="7">
        <f>ROUND(H255*I255*J255, 2)</f>
        <v/>
      </c>
      <c r="L255" s="19">
        <f>ROUND(K255/1000, 3)</f>
        <v/>
      </c>
      <c r="M255" s="728">
        <f>IF(AO255="","",IF(N(INDEX(Theo_Doi_Tan_Suat_Be_Tong!$C:$C,AO255))&lt;=0,"",INDEX(Theo_Doi_Tan_Suat_Be_Tong!$C:$C,AO255)-VLOOKUP(AN255,$AQ$2:$AR$7,2,FALSE)))</f>
        <v/>
      </c>
      <c r="N255" s="4" t="n"/>
      <c r="O255" s="20">
        <f>IF(ROUNDUP(Q255/20,0)&gt;ROUNDUP(Q254/20,0),"TN Ø12 (Lần " &amp; ROUNDUP(Q255/20,0) &amp; ")","")</f>
        <v/>
      </c>
      <c r="P255" s="16">
        <f>ROUND(P254+IF(AND(E255&lt;=10,F255&lt;&gt;"ASTM A416"),L255,0),3)</f>
        <v/>
      </c>
      <c r="Q255" s="16">
        <f>ROUND(Q254+IF(AND(E255=12,F255&lt;&gt;"ASTM A416"),L255,0),3)</f>
        <v/>
      </c>
      <c r="R255" s="16">
        <f>ROUND(R254+IF(AND(E255=14,F255&lt;&gt;"ASTM A416"),L255,0),3)</f>
        <v/>
      </c>
      <c r="S255" s="16">
        <f>ROUND(S254+IF(AND(E255=16,F255&lt;&gt;"ASTM A416"),L255,0),3)</f>
        <v/>
      </c>
      <c r="T255" s="16">
        <f>ROUND(T254+IF(AND(E255=18,F255&lt;&gt;"ASTM A416"),L255,0),3)</f>
        <v/>
      </c>
      <c r="U255" s="16">
        <f>ROUND(U254+IF(AND(E255=20,F255&lt;&gt;"ASTM A416"),L255,0),3)</f>
        <v/>
      </c>
      <c r="V255" s="16">
        <f>ROUND(V254+IF(AND(E255=22,F255&lt;&gt;"ASTM A416"),L255,0),3)</f>
        <v/>
      </c>
      <c r="W255" s="16">
        <f>ROUND(W254+IF(AND(E255=25,F255&lt;&gt;"ASTM A416"),L255,0),3)</f>
        <v/>
      </c>
      <c r="X255" s="16">
        <f>ROUND(X254+IF(AND(E255=28,F255&lt;&gt;"ASTM A416"),L255,0),3)</f>
        <v/>
      </c>
      <c r="Y255" s="16">
        <f>ROUND(Y254+IF(AND(E255=32,F255&lt;&gt;"ASTM A416"),L255,0),3)</f>
        <v/>
      </c>
      <c r="Z255" s="16">
        <f>ROUND(Z254+IF(F255="ASTM A416",L255,0),3)</f>
        <v/>
      </c>
      <c r="AA255" s="9">
        <f>IF(ROUNDUP(P255/20,0)&gt;ROUNDUP(P254/20,0),"Lần " &amp; ROUNDUP(P255/20,0),"")</f>
        <v/>
      </c>
      <c r="AB255" s="9">
        <f>IF(ROUNDUP(Q255/20,0)&gt;ROUNDUP(Q254/20,0),"Lần " &amp; ROUNDUP(Q255/20,0),"")</f>
        <v/>
      </c>
      <c r="AC255" s="9">
        <f>IF(ROUNDUP(R255/20,0)&gt;ROUNDUP(R254/20,0),"Lần " &amp; ROUNDUP(R255/20,0),"")</f>
        <v/>
      </c>
      <c r="AD255" s="9">
        <f>IF(ROUNDUP(S255/20,0)&gt;ROUNDUP(S254/20,0),"Lần " &amp; ROUNDUP(S255/20,0),"")</f>
        <v/>
      </c>
      <c r="AE255" s="9">
        <f>IF(ROUNDUP(T255/20,0)&gt;ROUNDUP(T254/20,0),"Lần " &amp; ROUNDUP(T255/20,0),"")</f>
        <v/>
      </c>
      <c r="AF255" s="9">
        <f>IF(ROUNDUP(U255/20,0)&gt;ROUNDUP(U254/20,0),"Lần " &amp; ROUNDUP(U255/20,0),"")</f>
        <v/>
      </c>
      <c r="AG255" s="9">
        <f>IF(ROUNDUP(V255/20,0)&gt;ROUNDUP(V254/20,0),"Lần " &amp; ROUNDUP(V255/20,0),"")</f>
        <v/>
      </c>
      <c r="AH255" s="9">
        <f>IF(ROUNDUP(W255/20,0)&gt;ROUNDUP(W254/20,0),"Lần " &amp; ROUNDUP(W255/20,0),"")</f>
        <v/>
      </c>
      <c r="AI255" s="9">
        <f>IF(ROUNDUP(X255/20,0)&gt;ROUNDUP(X254/20,0),"Lần " &amp; ROUNDUP(X255/20,0),"")</f>
        <v/>
      </c>
      <c r="AJ255" s="9">
        <f>IF(ROUNDUP(Y255/20,0)&gt;ROUNDUP(Y254/20,0),"Lần " &amp; ROUNDUP(Y255/20,0),"")</f>
        <v/>
      </c>
      <c r="AK255" s="9">
        <f>IF(ROUNDUP(Z255/20,0)&gt;ROUNDUP(Z254/20,0),"Lần " &amp; ROUNDUP(Z255/20,0),"")</f>
        <v/>
      </c>
      <c r="AL255" s="4" t="n"/>
      <c r="AN255" s="596" t="inlineStr">
        <is>
          <t>Coc</t>
        </is>
      </c>
      <c r="AO255" s="596" t="n">
        <v>19</v>
      </c>
      <c r="AQ255" s="594" t="n"/>
      <c r="AR255" s="595" t="n"/>
    </row>
    <row r="256" ht="19" customHeight="1" s="672">
      <c r="A256" s="4" t="n">
        <v>238</v>
      </c>
      <c r="B256" s="5" t="inlineStr">
        <is>
          <t>Cọc khoan nhồi C1 Trụ T2 (D1.2m, L=30.0m)</t>
        </is>
      </c>
      <c r="C256" s="5" t="inlineStr">
        <is>
          <t>Cọc trụ T2 L=30m (tr.70)</t>
        </is>
      </c>
      <c r="D256" s="14" t="inlineStr">
        <is>
          <t>P10</t>
        </is>
      </c>
      <c r="E256" s="15" t="n">
        <v>20</v>
      </c>
      <c r="F256" s="4" t="inlineStr">
        <is>
          <t>CB400-V</t>
        </is>
      </c>
      <c r="G256" s="5" t="inlineStr"/>
      <c r="H256" s="16" t="n">
        <v>2.057</v>
      </c>
      <c r="I256" s="17" t="n">
        <v>1</v>
      </c>
      <c r="J256" s="18" t="n">
        <v>2.466</v>
      </c>
      <c r="K256" s="7">
        <f>ROUND(H256*I256*J256, 2)</f>
        <v/>
      </c>
      <c r="L256" s="19">
        <f>ROUND(K256/1000, 3)</f>
        <v/>
      </c>
      <c r="M256" s="728">
        <f>IF(AO256="","",IF(N(INDEX(Theo_Doi_Tan_Suat_Be_Tong!$C:$C,AO256))&lt;=0,"",INDEX(Theo_Doi_Tan_Suat_Be_Tong!$C:$C,AO256)-VLOOKUP(AN256,$AQ$2:$AR$7,2,FALSE)))</f>
        <v/>
      </c>
      <c r="N256" s="4" t="n"/>
      <c r="O256" s="20">
        <f>IF(ROUNDUP(U256/20,0)&gt;ROUNDUP(U255/20,0),"TN Ø20 (Lần " &amp; ROUNDUP(U256/20,0) &amp; ")","")</f>
        <v/>
      </c>
      <c r="P256" s="16">
        <f>ROUND(P255+IF(AND(E256&lt;=10,F256&lt;&gt;"ASTM A416"),L256,0),3)</f>
        <v/>
      </c>
      <c r="Q256" s="16">
        <f>ROUND(Q255+IF(AND(E256=12,F256&lt;&gt;"ASTM A416"),L256,0),3)</f>
        <v/>
      </c>
      <c r="R256" s="16">
        <f>ROUND(R255+IF(AND(E256=14,F256&lt;&gt;"ASTM A416"),L256,0),3)</f>
        <v/>
      </c>
      <c r="S256" s="16">
        <f>ROUND(S255+IF(AND(E256=16,F256&lt;&gt;"ASTM A416"),L256,0),3)</f>
        <v/>
      </c>
      <c r="T256" s="16">
        <f>ROUND(T255+IF(AND(E256=18,F256&lt;&gt;"ASTM A416"),L256,0),3)</f>
        <v/>
      </c>
      <c r="U256" s="16">
        <f>ROUND(U255+IF(AND(E256=20,F256&lt;&gt;"ASTM A416"),L256,0),3)</f>
        <v/>
      </c>
      <c r="V256" s="16">
        <f>ROUND(V255+IF(AND(E256=22,F256&lt;&gt;"ASTM A416"),L256,0),3)</f>
        <v/>
      </c>
      <c r="W256" s="16">
        <f>ROUND(W255+IF(AND(E256=25,F256&lt;&gt;"ASTM A416"),L256,0),3)</f>
        <v/>
      </c>
      <c r="X256" s="16">
        <f>ROUND(X255+IF(AND(E256=28,F256&lt;&gt;"ASTM A416"),L256,0),3)</f>
        <v/>
      </c>
      <c r="Y256" s="16">
        <f>ROUND(Y255+IF(AND(E256=32,F256&lt;&gt;"ASTM A416"),L256,0),3)</f>
        <v/>
      </c>
      <c r="Z256" s="16">
        <f>ROUND(Z255+IF(F256="ASTM A416",L256,0),3)</f>
        <v/>
      </c>
      <c r="AA256" s="9">
        <f>IF(ROUNDUP(P256/20,0)&gt;ROUNDUP(P255/20,0),"Lần " &amp; ROUNDUP(P256/20,0),"")</f>
        <v/>
      </c>
      <c r="AB256" s="9">
        <f>IF(ROUNDUP(Q256/20,0)&gt;ROUNDUP(Q255/20,0),"Lần " &amp; ROUNDUP(Q256/20,0),"")</f>
        <v/>
      </c>
      <c r="AC256" s="9">
        <f>IF(ROUNDUP(R256/20,0)&gt;ROUNDUP(R255/20,0),"Lần " &amp; ROUNDUP(R256/20,0),"")</f>
        <v/>
      </c>
      <c r="AD256" s="9">
        <f>IF(ROUNDUP(S256/20,0)&gt;ROUNDUP(S255/20,0),"Lần " &amp; ROUNDUP(S256/20,0),"")</f>
        <v/>
      </c>
      <c r="AE256" s="9">
        <f>IF(ROUNDUP(T256/20,0)&gt;ROUNDUP(T255/20,0),"Lần " &amp; ROUNDUP(T256/20,0),"")</f>
        <v/>
      </c>
      <c r="AF256" s="9">
        <f>IF(ROUNDUP(U256/20,0)&gt;ROUNDUP(U255/20,0),"Lần " &amp; ROUNDUP(U256/20,0),"")</f>
        <v/>
      </c>
      <c r="AG256" s="9">
        <f>IF(ROUNDUP(V256/20,0)&gt;ROUNDUP(V255/20,0),"Lần " &amp; ROUNDUP(V256/20,0),"")</f>
        <v/>
      </c>
      <c r="AH256" s="9">
        <f>IF(ROUNDUP(W256/20,0)&gt;ROUNDUP(W255/20,0),"Lần " &amp; ROUNDUP(W256/20,0),"")</f>
        <v/>
      </c>
      <c r="AI256" s="9">
        <f>IF(ROUNDUP(X256/20,0)&gt;ROUNDUP(X255/20,0),"Lần " &amp; ROUNDUP(X256/20,0),"")</f>
        <v/>
      </c>
      <c r="AJ256" s="9">
        <f>IF(ROUNDUP(Y256/20,0)&gt;ROUNDUP(Y255/20,0),"Lần " &amp; ROUNDUP(Y256/20,0),"")</f>
        <v/>
      </c>
      <c r="AK256" s="9">
        <f>IF(ROUNDUP(Z256/20,0)&gt;ROUNDUP(Z255/20,0),"Lần " &amp; ROUNDUP(Z256/20,0),"")</f>
        <v/>
      </c>
      <c r="AL256" s="4" t="n"/>
      <c r="AN256" s="596" t="inlineStr">
        <is>
          <t>Coc</t>
        </is>
      </c>
      <c r="AO256" s="596" t="n">
        <v>19</v>
      </c>
      <c r="AQ256" s="594" t="n"/>
      <c r="AR256" s="595" t="n"/>
    </row>
    <row r="257" ht="20" customHeight="1" s="672">
      <c r="A257" s="4" t="n">
        <v>239</v>
      </c>
      <c r="B257" s="5" t="inlineStr">
        <is>
          <t>Cọc khoan nhồi C1 Trụ T2 (D1.2m, L=30.0m)</t>
        </is>
      </c>
      <c r="C257" s="5" t="inlineStr">
        <is>
          <t>Cọc trụ T2 L=30m (tr.70)</t>
        </is>
      </c>
      <c r="D257" s="14" t="inlineStr">
        <is>
          <t>P12</t>
        </is>
      </c>
      <c r="E257" s="15" t="n">
        <v>20</v>
      </c>
      <c r="F257" s="4" t="inlineStr">
        <is>
          <t>CB400-V</t>
        </is>
      </c>
      <c r="G257" s="5" t="inlineStr"/>
      <c r="H257" s="16" t="n">
        <v>0.583</v>
      </c>
      <c r="I257" s="17" t="n">
        <v>48</v>
      </c>
      <c r="J257" s="18" t="n">
        <v>2.466</v>
      </c>
      <c r="K257" s="7">
        <f>ROUND(H257*I257*J257, 2)</f>
        <v/>
      </c>
      <c r="L257" s="19">
        <f>ROUND(K257/1000, 3)</f>
        <v/>
      </c>
      <c r="M257" s="728">
        <f>IF(AO257="","",IF(N(INDEX(Theo_Doi_Tan_Suat_Be_Tong!$C:$C,AO257))&lt;=0,"",INDEX(Theo_Doi_Tan_Suat_Be_Tong!$C:$C,AO257)-VLOOKUP(AN257,$AQ$2:$AR$7,2,FALSE)))</f>
        <v/>
      </c>
      <c r="N257" s="4" t="n"/>
      <c r="O257" s="20">
        <f>IF(ROUNDUP(U257/20,0)&gt;ROUNDUP(U256/20,0),"TN Ø20 (Lần " &amp; ROUNDUP(U257/20,0) &amp; ")","")</f>
        <v/>
      </c>
      <c r="P257" s="16">
        <f>ROUND(P256+IF(AND(E257&lt;=10,F257&lt;&gt;"ASTM A416"),L257,0),3)</f>
        <v/>
      </c>
      <c r="Q257" s="16">
        <f>ROUND(Q256+IF(AND(E257=12,F257&lt;&gt;"ASTM A416"),L257,0),3)</f>
        <v/>
      </c>
      <c r="R257" s="16">
        <f>ROUND(R256+IF(AND(E257=14,F257&lt;&gt;"ASTM A416"),L257,0),3)</f>
        <v/>
      </c>
      <c r="S257" s="16">
        <f>ROUND(S256+IF(AND(E257=16,F257&lt;&gt;"ASTM A416"),L257,0),3)</f>
        <v/>
      </c>
      <c r="T257" s="16">
        <f>ROUND(T256+IF(AND(E257=18,F257&lt;&gt;"ASTM A416"),L257,0),3)</f>
        <v/>
      </c>
      <c r="U257" s="16">
        <f>ROUND(U256+IF(AND(E257=20,F257&lt;&gt;"ASTM A416"),L257,0),3)</f>
        <v/>
      </c>
      <c r="V257" s="16">
        <f>ROUND(V256+IF(AND(E257=22,F257&lt;&gt;"ASTM A416"),L257,0),3)</f>
        <v/>
      </c>
      <c r="W257" s="16">
        <f>ROUND(W256+IF(AND(E257=25,F257&lt;&gt;"ASTM A416"),L257,0),3)</f>
        <v/>
      </c>
      <c r="X257" s="16">
        <f>ROUND(X256+IF(AND(E257=28,F257&lt;&gt;"ASTM A416"),L257,0),3)</f>
        <v/>
      </c>
      <c r="Y257" s="16">
        <f>ROUND(Y256+IF(AND(E257=32,F257&lt;&gt;"ASTM A416"),L257,0),3)</f>
        <v/>
      </c>
      <c r="Z257" s="16">
        <f>ROUND(Z256+IF(F257="ASTM A416",L257,0),3)</f>
        <v/>
      </c>
      <c r="AA257" s="9">
        <f>IF(ROUNDUP(P257/20,0)&gt;ROUNDUP(P256/20,0),"Lần " &amp; ROUNDUP(P257/20,0),"")</f>
        <v/>
      </c>
      <c r="AB257" s="9">
        <f>IF(ROUNDUP(Q257/20,0)&gt;ROUNDUP(Q256/20,0),"Lần " &amp; ROUNDUP(Q257/20,0),"")</f>
        <v/>
      </c>
      <c r="AC257" s="9">
        <f>IF(ROUNDUP(R257/20,0)&gt;ROUNDUP(R256/20,0),"Lần " &amp; ROUNDUP(R257/20,0),"")</f>
        <v/>
      </c>
      <c r="AD257" s="9">
        <f>IF(ROUNDUP(S257/20,0)&gt;ROUNDUP(S256/20,0),"Lần " &amp; ROUNDUP(S257/20,0),"")</f>
        <v/>
      </c>
      <c r="AE257" s="9">
        <f>IF(ROUNDUP(T257/20,0)&gt;ROUNDUP(T256/20,0),"Lần " &amp; ROUNDUP(T257/20,0),"")</f>
        <v/>
      </c>
      <c r="AF257" s="9">
        <f>IF(ROUNDUP(U257/20,0)&gt;ROUNDUP(U256/20,0),"Lần " &amp; ROUNDUP(U257/20,0),"")</f>
        <v/>
      </c>
      <c r="AG257" s="9">
        <f>IF(ROUNDUP(V257/20,0)&gt;ROUNDUP(V256/20,0),"Lần " &amp; ROUNDUP(V257/20,0),"")</f>
        <v/>
      </c>
      <c r="AH257" s="9">
        <f>IF(ROUNDUP(W257/20,0)&gt;ROUNDUP(W256/20,0),"Lần " &amp; ROUNDUP(W257/20,0),"")</f>
        <v/>
      </c>
      <c r="AI257" s="9">
        <f>IF(ROUNDUP(X257/20,0)&gt;ROUNDUP(X256/20,0),"Lần " &amp; ROUNDUP(X257/20,0),"")</f>
        <v/>
      </c>
      <c r="AJ257" s="9">
        <f>IF(ROUNDUP(Y257/20,0)&gt;ROUNDUP(Y256/20,0),"Lần " &amp; ROUNDUP(Y257/20,0),"")</f>
        <v/>
      </c>
      <c r="AK257" s="9">
        <f>IF(ROUNDUP(Z257/20,0)&gt;ROUNDUP(Z256/20,0),"Lần " &amp; ROUNDUP(Z257/20,0),"")</f>
        <v/>
      </c>
      <c r="AL257" s="4" t="n"/>
      <c r="AN257" s="596" t="inlineStr">
        <is>
          <t>Coc</t>
        </is>
      </c>
      <c r="AO257" s="596" t="n">
        <v>19</v>
      </c>
      <c r="AQ257" s="594" t="n"/>
      <c r="AR257" s="595" t="n"/>
    </row>
    <row r="258" ht="19" customHeight="1" s="672">
      <c r="A258" s="4" t="n">
        <v>240</v>
      </c>
      <c r="B258" s="5" t="inlineStr">
        <is>
          <t>Cọc khoan nhồi C1 Trụ T2 (D1.2m, L=30.0m)</t>
        </is>
      </c>
      <c r="C258" s="5" t="inlineStr">
        <is>
          <t>Cọc trụ T2 L=30m (tr.70)</t>
        </is>
      </c>
      <c r="D258" s="14" t="inlineStr">
        <is>
          <t>P11</t>
        </is>
      </c>
      <c r="E258" s="15" t="n">
        <v>16</v>
      </c>
      <c r="F258" s="4" t="inlineStr">
        <is>
          <t>CB400-V</t>
        </is>
      </c>
      <c r="G258" s="5" t="inlineStr"/>
      <c r="H258" s="16" t="n">
        <v>2.604</v>
      </c>
      <c r="I258" s="17" t="n">
        <v>4</v>
      </c>
      <c r="J258" s="18" t="n">
        <v>1.578</v>
      </c>
      <c r="K258" s="7">
        <f>ROUND(H258*I258*J258, 2)</f>
        <v/>
      </c>
      <c r="L258" s="19">
        <f>ROUND(K258/1000, 3)</f>
        <v/>
      </c>
      <c r="M258" s="728">
        <f>IF(AO258="","",IF(N(INDEX(Theo_Doi_Tan_Suat_Be_Tong!$C:$C,AO258))&lt;=0,"",INDEX(Theo_Doi_Tan_Suat_Be_Tong!$C:$C,AO258)-VLOOKUP(AN258,$AQ$2:$AR$7,2,FALSE)))</f>
        <v/>
      </c>
      <c r="N258" s="4" t="n"/>
      <c r="O258" s="20">
        <f>IF(ROUNDUP(S258/20,0)&gt;ROUNDUP(S257/20,0),"TN Ø16 (Lần " &amp; ROUNDUP(S258/20,0) &amp; ")","")</f>
        <v/>
      </c>
      <c r="P258" s="16">
        <f>ROUND(P257+IF(AND(E258&lt;=10,F258&lt;&gt;"ASTM A416"),L258,0),3)</f>
        <v/>
      </c>
      <c r="Q258" s="16">
        <f>ROUND(Q257+IF(AND(E258=12,F258&lt;&gt;"ASTM A416"),L258,0),3)</f>
        <v/>
      </c>
      <c r="R258" s="16">
        <f>ROUND(R257+IF(AND(E258=14,F258&lt;&gt;"ASTM A416"),L258,0),3)</f>
        <v/>
      </c>
      <c r="S258" s="16">
        <f>ROUND(S257+IF(AND(E258=16,F258&lt;&gt;"ASTM A416"),L258,0),3)</f>
        <v/>
      </c>
      <c r="T258" s="16">
        <f>ROUND(T257+IF(AND(E258=18,F258&lt;&gt;"ASTM A416"),L258,0),3)</f>
        <v/>
      </c>
      <c r="U258" s="16">
        <f>ROUND(U257+IF(AND(E258=20,F258&lt;&gt;"ASTM A416"),L258,0),3)</f>
        <v/>
      </c>
      <c r="V258" s="16">
        <f>ROUND(V257+IF(AND(E258=22,F258&lt;&gt;"ASTM A416"),L258,0),3)</f>
        <v/>
      </c>
      <c r="W258" s="16">
        <f>ROUND(W257+IF(AND(E258=25,F258&lt;&gt;"ASTM A416"),L258,0),3)</f>
        <v/>
      </c>
      <c r="X258" s="16">
        <f>ROUND(X257+IF(AND(E258=28,F258&lt;&gt;"ASTM A416"),L258,0),3)</f>
        <v/>
      </c>
      <c r="Y258" s="16">
        <f>ROUND(Y257+IF(AND(E258=32,F258&lt;&gt;"ASTM A416"),L258,0),3)</f>
        <v/>
      </c>
      <c r="Z258" s="16">
        <f>ROUND(Z257+IF(F258="ASTM A416",L258,0),3)</f>
        <v/>
      </c>
      <c r="AA258" s="9">
        <f>IF(ROUNDUP(P258/20,0)&gt;ROUNDUP(P257/20,0),"Lần " &amp; ROUNDUP(P258/20,0),"")</f>
        <v/>
      </c>
      <c r="AB258" s="9">
        <f>IF(ROUNDUP(Q258/20,0)&gt;ROUNDUP(Q257/20,0),"Lần " &amp; ROUNDUP(Q258/20,0),"")</f>
        <v/>
      </c>
      <c r="AC258" s="9">
        <f>IF(ROUNDUP(R258/20,0)&gt;ROUNDUP(R257/20,0),"Lần " &amp; ROUNDUP(R258/20,0),"")</f>
        <v/>
      </c>
      <c r="AD258" s="9">
        <f>IF(ROUNDUP(S258/20,0)&gt;ROUNDUP(S257/20,0),"Lần " &amp; ROUNDUP(S258/20,0),"")</f>
        <v/>
      </c>
      <c r="AE258" s="9">
        <f>IF(ROUNDUP(T258/20,0)&gt;ROUNDUP(T257/20,0),"Lần " &amp; ROUNDUP(T258/20,0),"")</f>
        <v/>
      </c>
      <c r="AF258" s="9">
        <f>IF(ROUNDUP(U258/20,0)&gt;ROUNDUP(U257/20,0),"Lần " &amp; ROUNDUP(U258/20,0),"")</f>
        <v/>
      </c>
      <c r="AG258" s="9">
        <f>IF(ROUNDUP(V258/20,0)&gt;ROUNDUP(V257/20,0),"Lần " &amp; ROUNDUP(V258/20,0),"")</f>
        <v/>
      </c>
      <c r="AH258" s="9">
        <f>IF(ROUNDUP(W258/20,0)&gt;ROUNDUP(W257/20,0),"Lần " &amp; ROUNDUP(W258/20,0),"")</f>
        <v/>
      </c>
      <c r="AI258" s="9">
        <f>IF(ROUNDUP(X258/20,0)&gt;ROUNDUP(X257/20,0),"Lần " &amp; ROUNDUP(X258/20,0),"")</f>
        <v/>
      </c>
      <c r="AJ258" s="9">
        <f>IF(ROUNDUP(Y258/20,0)&gt;ROUNDUP(Y257/20,0),"Lần " &amp; ROUNDUP(Y258/20,0),"")</f>
        <v/>
      </c>
      <c r="AK258" s="9">
        <f>IF(ROUNDUP(Z258/20,0)&gt;ROUNDUP(Z257/20,0),"Lần " &amp; ROUNDUP(Z258/20,0),"")</f>
        <v/>
      </c>
      <c r="AL258" s="4" t="n"/>
      <c r="AN258" s="596" t="inlineStr">
        <is>
          <t>Coc</t>
        </is>
      </c>
      <c r="AO258" s="596" t="n">
        <v>19</v>
      </c>
      <c r="AQ258" s="594" t="n"/>
      <c r="AR258" s="595" t="n"/>
    </row>
    <row r="259" ht="19" customHeight="1" s="672">
      <c r="A259" s="668" t="inlineStr">
        <is>
          <t>--- CỌC KHOAN NHỒI C7 MỐ M2 (D1.2M, L=36.0M) ---</t>
        </is>
      </c>
      <c r="B259" s="722" t="n"/>
      <c r="C259" s="722" t="n"/>
      <c r="D259" s="722" t="n"/>
      <c r="E259" s="722" t="n"/>
      <c r="F259" s="722" t="n"/>
      <c r="G259" s="722" t="n"/>
      <c r="H259" s="722" t="n"/>
      <c r="I259" s="722" t="n"/>
      <c r="J259" s="722" t="n"/>
      <c r="K259" s="722" t="n"/>
      <c r="L259" s="722" t="n"/>
      <c r="M259" s="722" t="n"/>
      <c r="N259" s="722" t="n"/>
      <c r="O259" s="722" t="n"/>
      <c r="P259" s="722" t="n"/>
      <c r="Q259" s="722" t="n"/>
      <c r="R259" s="722" t="n"/>
      <c r="S259" s="722" t="n"/>
      <c r="T259" s="722" t="n"/>
      <c r="U259" s="722" t="n"/>
      <c r="V259" s="722" t="n"/>
      <c r="W259" s="722" t="n"/>
      <c r="X259" s="722" t="n"/>
      <c r="Y259" s="722" t="n"/>
      <c r="Z259" s="722" t="n"/>
      <c r="AA259" s="722" t="n"/>
      <c r="AB259" s="722" t="n"/>
      <c r="AC259" s="722" t="n"/>
      <c r="AD259" s="722" t="n"/>
      <c r="AE259" s="722" t="n"/>
      <c r="AF259" s="722" t="n"/>
      <c r="AG259" s="722" t="n"/>
      <c r="AH259" s="722" t="n"/>
      <c r="AI259" s="722" t="n"/>
      <c r="AJ259" s="722" t="n"/>
      <c r="AK259" s="722" t="n"/>
      <c r="AL259" s="721" t="n"/>
      <c r="AQ259" s="594" t="n"/>
      <c r="AR259" s="595" t="n"/>
    </row>
    <row r="260" ht="19" customHeight="1" s="672">
      <c r="A260" s="4" t="n">
        <v>241</v>
      </c>
      <c r="B260" s="5" t="inlineStr">
        <is>
          <t>Cọc khoan nhồi C7 Mố M2 (D1.2m, L=36.0m)</t>
        </is>
      </c>
      <c r="C260" s="5" t="inlineStr">
        <is>
          <t>Cọc mố M2 L=36m (tr.66)</t>
        </is>
      </c>
      <c r="D260" s="14" t="inlineStr">
        <is>
          <t>P1</t>
        </is>
      </c>
      <c r="E260" s="15" t="n">
        <v>10</v>
      </c>
      <c r="F260" s="4" t="inlineStr">
        <is>
          <t>CB240-T</t>
        </is>
      </c>
      <c r="G260" s="5" t="inlineStr"/>
      <c r="H260" s="16" t="n">
        <v>96.887</v>
      </c>
      <c r="I260" s="17" t="n">
        <v>1</v>
      </c>
      <c r="J260" s="18" t="n">
        <v>0.617</v>
      </c>
      <c r="K260" s="7">
        <f>ROUND(H260*I260*J260, 2)</f>
        <v/>
      </c>
      <c r="L260" s="19">
        <f>ROUND(K260/1000, 3)</f>
        <v/>
      </c>
      <c r="M260" s="728">
        <f>IF(AO260="","",IF(N(INDEX(Theo_Doi_Tan_Suat_Be_Tong!$C:$C,AO260))&lt;=0,"",INDEX(Theo_Doi_Tan_Suat_Be_Tong!$C:$C,AO260)-VLOOKUP(AN260,$AQ$2:$AR$7,2,FALSE)))</f>
        <v/>
      </c>
      <c r="N260" s="4" t="n"/>
      <c r="O260" s="20">
        <f>IF(ROUNDUP(P260/20,0)&gt;ROUNDUP(P258/20,0),"TN Ø10 (Lần " &amp; ROUNDUP(P260/20,0) &amp; ")","")</f>
        <v/>
      </c>
      <c r="P260" s="16">
        <f>ROUND(P258+IF(AND(E260&lt;=10,F260&lt;&gt;"ASTM A416"),L260,0),3)</f>
        <v/>
      </c>
      <c r="Q260" s="16">
        <f>ROUND(Q258+IF(AND(E260=12,F260&lt;&gt;"ASTM A416"),L260,0),3)</f>
        <v/>
      </c>
      <c r="R260" s="16">
        <f>ROUND(R258+IF(AND(E260=14,F260&lt;&gt;"ASTM A416"),L260,0),3)</f>
        <v/>
      </c>
      <c r="S260" s="16">
        <f>ROUND(S258+IF(AND(E260=16,F260&lt;&gt;"ASTM A416"),L260,0),3)</f>
        <v/>
      </c>
      <c r="T260" s="16">
        <f>ROUND(T258+IF(AND(E260=18,F260&lt;&gt;"ASTM A416"),L260,0),3)</f>
        <v/>
      </c>
      <c r="U260" s="16">
        <f>ROUND(U258+IF(AND(E260=20,F260&lt;&gt;"ASTM A416"),L260,0),3)</f>
        <v/>
      </c>
      <c r="V260" s="16">
        <f>ROUND(V258+IF(AND(E260=22,F260&lt;&gt;"ASTM A416"),L260,0),3)</f>
        <v/>
      </c>
      <c r="W260" s="16">
        <f>ROUND(W258+IF(AND(E260=25,F260&lt;&gt;"ASTM A416"),L260,0),3)</f>
        <v/>
      </c>
      <c r="X260" s="16">
        <f>ROUND(X258+IF(AND(E260=28,F260&lt;&gt;"ASTM A416"),L260,0),3)</f>
        <v/>
      </c>
      <c r="Y260" s="16">
        <f>ROUND(Y258+IF(AND(E260=32,F260&lt;&gt;"ASTM A416"),L260,0),3)</f>
        <v/>
      </c>
      <c r="Z260" s="16">
        <f>ROUND(Z258+IF(F260="ASTM A416",L260,0),3)</f>
        <v/>
      </c>
      <c r="AA260" s="9">
        <f>IF(ROUNDUP(P260/20,0)&gt;ROUNDUP(P258/20,0),"Lần " &amp; ROUNDUP(P260/20,0),"")</f>
        <v/>
      </c>
      <c r="AB260" s="9">
        <f>IF(ROUNDUP(Q260/20,0)&gt;ROUNDUP(Q258/20,0),"Lần " &amp; ROUNDUP(Q260/20,0),"")</f>
        <v/>
      </c>
      <c r="AC260" s="9">
        <f>IF(ROUNDUP(R260/20,0)&gt;ROUNDUP(R258/20,0),"Lần " &amp; ROUNDUP(R260/20,0),"")</f>
        <v/>
      </c>
      <c r="AD260" s="9">
        <f>IF(ROUNDUP(S260/20,0)&gt;ROUNDUP(S258/20,0),"Lần " &amp; ROUNDUP(S260/20,0),"")</f>
        <v/>
      </c>
      <c r="AE260" s="9">
        <f>IF(ROUNDUP(T260/20,0)&gt;ROUNDUP(T258/20,0),"Lần " &amp; ROUNDUP(T260/20,0),"")</f>
        <v/>
      </c>
      <c r="AF260" s="9">
        <f>IF(ROUNDUP(U260/20,0)&gt;ROUNDUP(U258/20,0),"Lần " &amp; ROUNDUP(U260/20,0),"")</f>
        <v/>
      </c>
      <c r="AG260" s="9">
        <f>IF(ROUNDUP(V260/20,0)&gt;ROUNDUP(V258/20,0),"Lần " &amp; ROUNDUP(V260/20,0),"")</f>
        <v/>
      </c>
      <c r="AH260" s="9">
        <f>IF(ROUNDUP(W260/20,0)&gt;ROUNDUP(W258/20,0),"Lần " &amp; ROUNDUP(W260/20,0),"")</f>
        <v/>
      </c>
      <c r="AI260" s="9">
        <f>IF(ROUNDUP(X260/20,0)&gt;ROUNDUP(X258/20,0),"Lần " &amp; ROUNDUP(X260/20,0),"")</f>
        <v/>
      </c>
      <c r="AJ260" s="9">
        <f>IF(ROUNDUP(Y260/20,0)&gt;ROUNDUP(Y258/20,0),"Lần " &amp; ROUNDUP(Y260/20,0),"")</f>
        <v/>
      </c>
      <c r="AK260" s="9">
        <f>IF(ROUNDUP(Z260/20,0)&gt;ROUNDUP(Z258/20,0),"Lần " &amp; ROUNDUP(Z260/20,0),"")</f>
        <v/>
      </c>
      <c r="AL260" s="4" t="n"/>
      <c r="AN260" s="596" t="inlineStr">
        <is>
          <t>Coc</t>
        </is>
      </c>
      <c r="AO260" s="596" t="n">
        <v>20</v>
      </c>
      <c r="AQ260" s="594" t="n"/>
      <c r="AR260" s="595" t="n"/>
    </row>
    <row r="261" ht="19" customHeight="1" s="672">
      <c r="A261" s="4" t="n">
        <v>242</v>
      </c>
      <c r="B261" s="5" t="inlineStr">
        <is>
          <t>Cọc khoan nhồi C7 Mố M2 (D1.2m, L=36.0m)</t>
        </is>
      </c>
      <c r="C261" s="5" t="inlineStr">
        <is>
          <t>Cọc mố M2 L=36m (tr.66)</t>
        </is>
      </c>
      <c r="D261" s="14" t="inlineStr">
        <is>
          <t>P1A</t>
        </is>
      </c>
      <c r="E261" s="15" t="n">
        <v>10</v>
      </c>
      <c r="F261" s="4" t="inlineStr">
        <is>
          <t>CB240-T</t>
        </is>
      </c>
      <c r="G261" s="5" t="inlineStr"/>
      <c r="H261" s="16" t="n">
        <v>390.776</v>
      </c>
      <c r="I261" s="17" t="n">
        <v>1</v>
      </c>
      <c r="J261" s="18" t="n">
        <v>0.617</v>
      </c>
      <c r="K261" s="7">
        <f>ROUND(H261*I261*J261, 2)</f>
        <v/>
      </c>
      <c r="L261" s="19">
        <f>ROUND(K261/1000, 3)</f>
        <v/>
      </c>
      <c r="M261" s="728">
        <f>IF(AO261="","",IF(N(INDEX(Theo_Doi_Tan_Suat_Be_Tong!$C:$C,AO261))&lt;=0,"",INDEX(Theo_Doi_Tan_Suat_Be_Tong!$C:$C,AO261)-VLOOKUP(AN261,$AQ$2:$AR$7,2,FALSE)))</f>
        <v/>
      </c>
      <c r="N261" s="4" t="n"/>
      <c r="O261" s="20">
        <f>IF(ROUNDUP(P261/20,0)&gt;ROUNDUP(P260/20,0),"TN Ø10 (Lần " &amp; ROUNDUP(P261/20,0) &amp; ")","")</f>
        <v/>
      </c>
      <c r="P261" s="16">
        <f>ROUND(P260+IF(AND(E261&lt;=10,F261&lt;&gt;"ASTM A416"),L261,0),3)</f>
        <v/>
      </c>
      <c r="Q261" s="16">
        <f>ROUND(Q260+IF(AND(E261=12,F261&lt;&gt;"ASTM A416"),L261,0),3)</f>
        <v/>
      </c>
      <c r="R261" s="16">
        <f>ROUND(R260+IF(AND(E261=14,F261&lt;&gt;"ASTM A416"),L261,0),3)</f>
        <v/>
      </c>
      <c r="S261" s="16">
        <f>ROUND(S260+IF(AND(E261=16,F261&lt;&gt;"ASTM A416"),L261,0),3)</f>
        <v/>
      </c>
      <c r="T261" s="16">
        <f>ROUND(T260+IF(AND(E261=18,F261&lt;&gt;"ASTM A416"),L261,0),3)</f>
        <v/>
      </c>
      <c r="U261" s="16">
        <f>ROUND(U260+IF(AND(E261=20,F261&lt;&gt;"ASTM A416"),L261,0),3)</f>
        <v/>
      </c>
      <c r="V261" s="16">
        <f>ROUND(V260+IF(AND(E261=22,F261&lt;&gt;"ASTM A416"),L261,0),3)</f>
        <v/>
      </c>
      <c r="W261" s="16">
        <f>ROUND(W260+IF(AND(E261=25,F261&lt;&gt;"ASTM A416"),L261,0),3)</f>
        <v/>
      </c>
      <c r="X261" s="16">
        <f>ROUND(X260+IF(AND(E261=28,F261&lt;&gt;"ASTM A416"),L261,0),3)</f>
        <v/>
      </c>
      <c r="Y261" s="16">
        <f>ROUND(Y260+IF(AND(E261=32,F261&lt;&gt;"ASTM A416"),L261,0),3)</f>
        <v/>
      </c>
      <c r="Z261" s="16">
        <f>ROUND(Z260+IF(F261="ASTM A416",L261,0),3)</f>
        <v/>
      </c>
      <c r="AA261" s="9">
        <f>IF(ROUNDUP(P261/20,0)&gt;ROUNDUP(P260/20,0),"Lần " &amp; ROUNDUP(P261/20,0),"")</f>
        <v/>
      </c>
      <c r="AB261" s="9">
        <f>IF(ROUNDUP(Q261/20,0)&gt;ROUNDUP(Q260/20,0),"Lần " &amp; ROUNDUP(Q261/20,0),"")</f>
        <v/>
      </c>
      <c r="AC261" s="9">
        <f>IF(ROUNDUP(R261/20,0)&gt;ROUNDUP(R260/20,0),"Lần " &amp; ROUNDUP(R261/20,0),"")</f>
        <v/>
      </c>
      <c r="AD261" s="9">
        <f>IF(ROUNDUP(S261/20,0)&gt;ROUNDUP(S260/20,0),"Lần " &amp; ROUNDUP(S261/20,0),"")</f>
        <v/>
      </c>
      <c r="AE261" s="9">
        <f>IF(ROUNDUP(T261/20,0)&gt;ROUNDUP(T260/20,0),"Lần " &amp; ROUNDUP(T261/20,0),"")</f>
        <v/>
      </c>
      <c r="AF261" s="9">
        <f>IF(ROUNDUP(U261/20,0)&gt;ROUNDUP(U260/20,0),"Lần " &amp; ROUNDUP(U261/20,0),"")</f>
        <v/>
      </c>
      <c r="AG261" s="9">
        <f>IF(ROUNDUP(V261/20,0)&gt;ROUNDUP(V260/20,0),"Lần " &amp; ROUNDUP(V261/20,0),"")</f>
        <v/>
      </c>
      <c r="AH261" s="9">
        <f>IF(ROUNDUP(W261/20,0)&gt;ROUNDUP(W260/20,0),"Lần " &amp; ROUNDUP(W261/20,0),"")</f>
        <v/>
      </c>
      <c r="AI261" s="9">
        <f>IF(ROUNDUP(X261/20,0)&gt;ROUNDUP(X260/20,0),"Lần " &amp; ROUNDUP(X261/20,0),"")</f>
        <v/>
      </c>
      <c r="AJ261" s="9">
        <f>IF(ROUNDUP(Y261/20,0)&gt;ROUNDUP(Y260/20,0),"Lần " &amp; ROUNDUP(Y261/20,0),"")</f>
        <v/>
      </c>
      <c r="AK261" s="9">
        <f>IF(ROUNDUP(Z261/20,0)&gt;ROUNDUP(Z260/20,0),"Lần " &amp; ROUNDUP(Z261/20,0),"")</f>
        <v/>
      </c>
      <c r="AL261" s="4" t="n"/>
      <c r="AN261" s="596" t="inlineStr">
        <is>
          <t>Coc</t>
        </is>
      </c>
      <c r="AO261" s="596" t="n">
        <v>20</v>
      </c>
      <c r="AQ261" s="594" t="n"/>
      <c r="AR261" s="595" t="n"/>
    </row>
    <row r="262" ht="19" customHeight="1" s="672">
      <c r="A262" s="4" t="n">
        <v>243</v>
      </c>
      <c r="B262" s="5" t="inlineStr">
        <is>
          <t>Cọc khoan nhồi C7 Mố M2 (D1.2m, L=36.0m)</t>
        </is>
      </c>
      <c r="C262" s="5" t="inlineStr">
        <is>
          <t>Cọc mố M2 L=36m (tr.66)</t>
        </is>
      </c>
      <c r="D262" s="14" t="inlineStr">
        <is>
          <t>P1B</t>
        </is>
      </c>
      <c r="E262" s="15" t="n">
        <v>10</v>
      </c>
      <c r="F262" s="4" t="inlineStr">
        <is>
          <t>CB240-T</t>
        </is>
      </c>
      <c r="G262" s="5" t="inlineStr"/>
      <c r="H262" s="16" t="n">
        <v>164.938</v>
      </c>
      <c r="I262" s="17" t="n">
        <v>1</v>
      </c>
      <c r="J262" s="18" t="n">
        <v>0.617</v>
      </c>
      <c r="K262" s="7">
        <f>ROUND(H262*I262*J262, 2)</f>
        <v/>
      </c>
      <c r="L262" s="19">
        <f>ROUND(K262/1000, 3)</f>
        <v/>
      </c>
      <c r="M262" s="728">
        <f>IF(AO262="","",IF(N(INDEX(Theo_Doi_Tan_Suat_Be_Tong!$C:$C,AO262))&lt;=0,"",INDEX(Theo_Doi_Tan_Suat_Be_Tong!$C:$C,AO262)-VLOOKUP(AN262,$AQ$2:$AR$7,2,FALSE)))</f>
        <v/>
      </c>
      <c r="N262" s="4" t="n"/>
      <c r="O262" s="20">
        <f>IF(ROUNDUP(P262/20,0)&gt;ROUNDUP(P261/20,0),"TN Ø10 (Lần " &amp; ROUNDUP(P262/20,0) &amp; ")","")</f>
        <v/>
      </c>
      <c r="P262" s="16">
        <f>ROUND(P261+IF(AND(E262&lt;=10,F262&lt;&gt;"ASTM A416"),L262,0),3)</f>
        <v/>
      </c>
      <c r="Q262" s="16">
        <f>ROUND(Q261+IF(AND(E262=12,F262&lt;&gt;"ASTM A416"),L262,0),3)</f>
        <v/>
      </c>
      <c r="R262" s="16">
        <f>ROUND(R261+IF(AND(E262=14,F262&lt;&gt;"ASTM A416"),L262,0),3)</f>
        <v/>
      </c>
      <c r="S262" s="16">
        <f>ROUND(S261+IF(AND(E262=16,F262&lt;&gt;"ASTM A416"),L262,0),3)</f>
        <v/>
      </c>
      <c r="T262" s="16">
        <f>ROUND(T261+IF(AND(E262=18,F262&lt;&gt;"ASTM A416"),L262,0),3)</f>
        <v/>
      </c>
      <c r="U262" s="16">
        <f>ROUND(U261+IF(AND(E262=20,F262&lt;&gt;"ASTM A416"),L262,0),3)</f>
        <v/>
      </c>
      <c r="V262" s="16">
        <f>ROUND(V261+IF(AND(E262=22,F262&lt;&gt;"ASTM A416"),L262,0),3)</f>
        <v/>
      </c>
      <c r="W262" s="16">
        <f>ROUND(W261+IF(AND(E262=25,F262&lt;&gt;"ASTM A416"),L262,0),3)</f>
        <v/>
      </c>
      <c r="X262" s="16">
        <f>ROUND(X261+IF(AND(E262=28,F262&lt;&gt;"ASTM A416"),L262,0),3)</f>
        <v/>
      </c>
      <c r="Y262" s="16">
        <f>ROUND(Y261+IF(AND(E262=32,F262&lt;&gt;"ASTM A416"),L262,0),3)</f>
        <v/>
      </c>
      <c r="Z262" s="16">
        <f>ROUND(Z261+IF(F262="ASTM A416",L262,0),3)</f>
        <v/>
      </c>
      <c r="AA262" s="9">
        <f>IF(ROUNDUP(P262/20,0)&gt;ROUNDUP(P261/20,0),"Lần " &amp; ROUNDUP(P262/20,0),"")</f>
        <v/>
      </c>
      <c r="AB262" s="9">
        <f>IF(ROUNDUP(Q262/20,0)&gt;ROUNDUP(Q261/20,0),"Lần " &amp; ROUNDUP(Q262/20,0),"")</f>
        <v/>
      </c>
      <c r="AC262" s="9">
        <f>IF(ROUNDUP(R262/20,0)&gt;ROUNDUP(R261/20,0),"Lần " &amp; ROUNDUP(R262/20,0),"")</f>
        <v/>
      </c>
      <c r="AD262" s="9">
        <f>IF(ROUNDUP(S262/20,0)&gt;ROUNDUP(S261/20,0),"Lần " &amp; ROUNDUP(S262/20,0),"")</f>
        <v/>
      </c>
      <c r="AE262" s="9">
        <f>IF(ROUNDUP(T262/20,0)&gt;ROUNDUP(T261/20,0),"Lần " &amp; ROUNDUP(T262/20,0),"")</f>
        <v/>
      </c>
      <c r="AF262" s="9">
        <f>IF(ROUNDUP(U262/20,0)&gt;ROUNDUP(U261/20,0),"Lần " &amp; ROUNDUP(U262/20,0),"")</f>
        <v/>
      </c>
      <c r="AG262" s="9">
        <f>IF(ROUNDUP(V262/20,0)&gt;ROUNDUP(V261/20,0),"Lần " &amp; ROUNDUP(V262/20,0),"")</f>
        <v/>
      </c>
      <c r="AH262" s="9">
        <f>IF(ROUNDUP(W262/20,0)&gt;ROUNDUP(W261/20,0),"Lần " &amp; ROUNDUP(W262/20,0),"")</f>
        <v/>
      </c>
      <c r="AI262" s="9">
        <f>IF(ROUNDUP(X262/20,0)&gt;ROUNDUP(X261/20,0),"Lần " &amp; ROUNDUP(X262/20,0),"")</f>
        <v/>
      </c>
      <c r="AJ262" s="9">
        <f>IF(ROUNDUP(Y262/20,0)&gt;ROUNDUP(Y261/20,0),"Lần " &amp; ROUNDUP(Y262/20,0),"")</f>
        <v/>
      </c>
      <c r="AK262" s="9">
        <f>IF(ROUNDUP(Z262/20,0)&gt;ROUNDUP(Z261/20,0),"Lần " &amp; ROUNDUP(Z262/20,0),"")</f>
        <v/>
      </c>
      <c r="AL262" s="4" t="n"/>
      <c r="AN262" s="596" t="inlineStr">
        <is>
          <t>Coc</t>
        </is>
      </c>
      <c r="AO262" s="596" t="n">
        <v>20</v>
      </c>
      <c r="AQ262" s="594" t="n"/>
      <c r="AR262" s="595" t="n"/>
    </row>
    <row r="263" ht="19" customHeight="1" s="672">
      <c r="A263" s="4" t="n">
        <v>244</v>
      </c>
      <c r="B263" s="5" t="inlineStr">
        <is>
          <t>Cọc khoan nhồi C7 Mố M2 (D1.2m, L=36.0m)</t>
        </is>
      </c>
      <c r="C263" s="5" t="inlineStr">
        <is>
          <t>Cọc mố M2 L=36m (tr.66)</t>
        </is>
      </c>
      <c r="D263" s="14" t="inlineStr">
        <is>
          <t>P1C</t>
        </is>
      </c>
      <c r="E263" s="15" t="n">
        <v>10</v>
      </c>
      <c r="F263" s="4" t="inlineStr">
        <is>
          <t>CB240-T</t>
        </is>
      </c>
      <c r="G263" s="5" t="inlineStr"/>
      <c r="H263" s="16" t="n">
        <v>3.592</v>
      </c>
      <c r="I263" s="17" t="n">
        <v>2</v>
      </c>
      <c r="J263" s="18" t="n">
        <v>0.617</v>
      </c>
      <c r="K263" s="7">
        <f>ROUND(H263*I263*J263, 2)</f>
        <v/>
      </c>
      <c r="L263" s="19">
        <f>ROUND(K263/1000, 3)</f>
        <v/>
      </c>
      <c r="M263" s="728">
        <f>IF(AO263="","",IF(N(INDEX(Theo_Doi_Tan_Suat_Be_Tong!$C:$C,AO263))&lt;=0,"",INDEX(Theo_Doi_Tan_Suat_Be_Tong!$C:$C,AO263)-VLOOKUP(AN263,$AQ$2:$AR$7,2,FALSE)))</f>
        <v/>
      </c>
      <c r="N263" s="4" t="n"/>
      <c r="O263" s="20">
        <f>IF(ROUNDUP(P263/20,0)&gt;ROUNDUP(P262/20,0),"TN Ø10 (Lần " &amp; ROUNDUP(P263/20,0) &amp; ")","")</f>
        <v/>
      </c>
      <c r="P263" s="16">
        <f>ROUND(P262+IF(AND(E263&lt;=10,F263&lt;&gt;"ASTM A416"),L263,0),3)</f>
        <v/>
      </c>
      <c r="Q263" s="16">
        <f>ROUND(Q262+IF(AND(E263=12,F263&lt;&gt;"ASTM A416"),L263,0),3)</f>
        <v/>
      </c>
      <c r="R263" s="16">
        <f>ROUND(R262+IF(AND(E263=14,F263&lt;&gt;"ASTM A416"),L263,0),3)</f>
        <v/>
      </c>
      <c r="S263" s="16">
        <f>ROUND(S262+IF(AND(E263=16,F263&lt;&gt;"ASTM A416"),L263,0),3)</f>
        <v/>
      </c>
      <c r="T263" s="16">
        <f>ROUND(T262+IF(AND(E263=18,F263&lt;&gt;"ASTM A416"),L263,0),3)</f>
        <v/>
      </c>
      <c r="U263" s="16">
        <f>ROUND(U262+IF(AND(E263=20,F263&lt;&gt;"ASTM A416"),L263,0),3)</f>
        <v/>
      </c>
      <c r="V263" s="16">
        <f>ROUND(V262+IF(AND(E263=22,F263&lt;&gt;"ASTM A416"),L263,0),3)</f>
        <v/>
      </c>
      <c r="W263" s="16">
        <f>ROUND(W262+IF(AND(E263=25,F263&lt;&gt;"ASTM A416"),L263,0),3)</f>
        <v/>
      </c>
      <c r="X263" s="16">
        <f>ROUND(X262+IF(AND(E263=28,F263&lt;&gt;"ASTM A416"),L263,0),3)</f>
        <v/>
      </c>
      <c r="Y263" s="16">
        <f>ROUND(Y262+IF(AND(E263=32,F263&lt;&gt;"ASTM A416"),L263,0),3)</f>
        <v/>
      </c>
      <c r="Z263" s="16">
        <f>ROUND(Z262+IF(F263="ASTM A416",L263,0),3)</f>
        <v/>
      </c>
      <c r="AA263" s="9">
        <f>IF(ROUNDUP(P263/20,0)&gt;ROUNDUP(P262/20,0),"Lần " &amp; ROUNDUP(P263/20,0),"")</f>
        <v/>
      </c>
      <c r="AB263" s="9">
        <f>IF(ROUNDUP(Q263/20,0)&gt;ROUNDUP(Q262/20,0),"Lần " &amp; ROUNDUP(Q263/20,0),"")</f>
        <v/>
      </c>
      <c r="AC263" s="9">
        <f>IF(ROUNDUP(R263/20,0)&gt;ROUNDUP(R262/20,0),"Lần " &amp; ROUNDUP(R263/20,0),"")</f>
        <v/>
      </c>
      <c r="AD263" s="9">
        <f>IF(ROUNDUP(S263/20,0)&gt;ROUNDUP(S262/20,0),"Lần " &amp; ROUNDUP(S263/20,0),"")</f>
        <v/>
      </c>
      <c r="AE263" s="9">
        <f>IF(ROUNDUP(T263/20,0)&gt;ROUNDUP(T262/20,0),"Lần " &amp; ROUNDUP(T263/20,0),"")</f>
        <v/>
      </c>
      <c r="AF263" s="9">
        <f>IF(ROUNDUP(U263/20,0)&gt;ROUNDUP(U262/20,0),"Lần " &amp; ROUNDUP(U263/20,0),"")</f>
        <v/>
      </c>
      <c r="AG263" s="9">
        <f>IF(ROUNDUP(V263/20,0)&gt;ROUNDUP(V262/20,0),"Lần " &amp; ROUNDUP(V263/20,0),"")</f>
        <v/>
      </c>
      <c r="AH263" s="9">
        <f>IF(ROUNDUP(W263/20,0)&gt;ROUNDUP(W262/20,0),"Lần " &amp; ROUNDUP(W263/20,0),"")</f>
        <v/>
      </c>
      <c r="AI263" s="9">
        <f>IF(ROUNDUP(X263/20,0)&gt;ROUNDUP(X262/20,0),"Lần " &amp; ROUNDUP(X263/20,0),"")</f>
        <v/>
      </c>
      <c r="AJ263" s="9">
        <f>IF(ROUNDUP(Y263/20,0)&gt;ROUNDUP(Y262/20,0),"Lần " &amp; ROUNDUP(Y263/20,0),"")</f>
        <v/>
      </c>
      <c r="AK263" s="9">
        <f>IF(ROUNDUP(Z263/20,0)&gt;ROUNDUP(Z262/20,0),"Lần " &amp; ROUNDUP(Z263/20,0),"")</f>
        <v/>
      </c>
      <c r="AL263" s="4" t="n"/>
      <c r="AN263" s="596" t="inlineStr">
        <is>
          <t>Coc</t>
        </is>
      </c>
      <c r="AO263" s="596" t="n">
        <v>20</v>
      </c>
      <c r="AQ263" s="594" t="n"/>
      <c r="AR263" s="595" t="n"/>
    </row>
    <row r="264" ht="19" customHeight="1" s="672">
      <c r="A264" s="4" t="n">
        <v>245</v>
      </c>
      <c r="B264" s="5" t="inlineStr">
        <is>
          <t>Cọc khoan nhồi C7 Mố M2 (D1.2m, L=36.0m)</t>
        </is>
      </c>
      <c r="C264" s="5" t="inlineStr">
        <is>
          <t>Cọc mố M2 L=36m (tr.66)</t>
        </is>
      </c>
      <c r="D264" s="14" t="inlineStr">
        <is>
          <t>P1D</t>
        </is>
      </c>
      <c r="E264" s="15" t="n">
        <v>10</v>
      </c>
      <c r="F264" s="4" t="inlineStr">
        <is>
          <t>CB240-T</t>
        </is>
      </c>
      <c r="G264" s="5" t="inlineStr"/>
      <c r="H264" s="16" t="n">
        <v>23.007</v>
      </c>
      <c r="I264" s="17" t="n">
        <v>1</v>
      </c>
      <c r="J264" s="18" t="n">
        <v>0.617</v>
      </c>
      <c r="K264" s="7">
        <f>ROUND(H264*I264*J264, 2)</f>
        <v/>
      </c>
      <c r="L264" s="19">
        <f>ROUND(K264/1000, 3)</f>
        <v/>
      </c>
      <c r="M264" s="728">
        <f>IF(AO264="","",IF(N(INDEX(Theo_Doi_Tan_Suat_Be_Tong!$C:$C,AO264))&lt;=0,"",INDEX(Theo_Doi_Tan_Suat_Be_Tong!$C:$C,AO264)-VLOOKUP(AN264,$AQ$2:$AR$7,2,FALSE)))</f>
        <v/>
      </c>
      <c r="N264" s="4" t="n"/>
      <c r="O264" s="20">
        <f>IF(ROUNDUP(P264/20,0)&gt;ROUNDUP(P263/20,0),"TN Ø10 (Lần " &amp; ROUNDUP(P264/20,0) &amp; ")","")</f>
        <v/>
      </c>
      <c r="P264" s="16">
        <f>ROUND(P263+IF(AND(E264&lt;=10,F264&lt;&gt;"ASTM A416"),L264,0),3)</f>
        <v/>
      </c>
      <c r="Q264" s="16">
        <f>ROUND(Q263+IF(AND(E264=12,F264&lt;&gt;"ASTM A416"),L264,0),3)</f>
        <v/>
      </c>
      <c r="R264" s="16">
        <f>ROUND(R263+IF(AND(E264=14,F264&lt;&gt;"ASTM A416"),L264,0),3)</f>
        <v/>
      </c>
      <c r="S264" s="16">
        <f>ROUND(S263+IF(AND(E264=16,F264&lt;&gt;"ASTM A416"),L264,0),3)</f>
        <v/>
      </c>
      <c r="T264" s="16">
        <f>ROUND(T263+IF(AND(E264=18,F264&lt;&gt;"ASTM A416"),L264,0),3)</f>
        <v/>
      </c>
      <c r="U264" s="16">
        <f>ROUND(U263+IF(AND(E264=20,F264&lt;&gt;"ASTM A416"),L264,0),3)</f>
        <v/>
      </c>
      <c r="V264" s="16">
        <f>ROUND(V263+IF(AND(E264=22,F264&lt;&gt;"ASTM A416"),L264,0),3)</f>
        <v/>
      </c>
      <c r="W264" s="16">
        <f>ROUND(W263+IF(AND(E264=25,F264&lt;&gt;"ASTM A416"),L264,0),3)</f>
        <v/>
      </c>
      <c r="X264" s="16">
        <f>ROUND(X263+IF(AND(E264=28,F264&lt;&gt;"ASTM A416"),L264,0),3)</f>
        <v/>
      </c>
      <c r="Y264" s="16">
        <f>ROUND(Y263+IF(AND(E264=32,F264&lt;&gt;"ASTM A416"),L264,0),3)</f>
        <v/>
      </c>
      <c r="Z264" s="16">
        <f>ROUND(Z263+IF(F264="ASTM A416",L264,0),3)</f>
        <v/>
      </c>
      <c r="AA264" s="9">
        <f>IF(ROUNDUP(P264/20,0)&gt;ROUNDUP(P263/20,0),"Lần " &amp; ROUNDUP(P264/20,0),"")</f>
        <v/>
      </c>
      <c r="AB264" s="9">
        <f>IF(ROUNDUP(Q264/20,0)&gt;ROUNDUP(Q263/20,0),"Lần " &amp; ROUNDUP(Q264/20,0),"")</f>
        <v/>
      </c>
      <c r="AC264" s="9">
        <f>IF(ROUNDUP(R264/20,0)&gt;ROUNDUP(R263/20,0),"Lần " &amp; ROUNDUP(R264/20,0),"")</f>
        <v/>
      </c>
      <c r="AD264" s="9">
        <f>IF(ROUNDUP(S264/20,0)&gt;ROUNDUP(S263/20,0),"Lần " &amp; ROUNDUP(S264/20,0),"")</f>
        <v/>
      </c>
      <c r="AE264" s="9">
        <f>IF(ROUNDUP(T264/20,0)&gt;ROUNDUP(T263/20,0),"Lần " &amp; ROUNDUP(T264/20,0),"")</f>
        <v/>
      </c>
      <c r="AF264" s="9">
        <f>IF(ROUNDUP(U264/20,0)&gt;ROUNDUP(U263/20,0),"Lần " &amp; ROUNDUP(U264/20,0),"")</f>
        <v/>
      </c>
      <c r="AG264" s="9">
        <f>IF(ROUNDUP(V264/20,0)&gt;ROUNDUP(V263/20,0),"Lần " &amp; ROUNDUP(V264/20,0),"")</f>
        <v/>
      </c>
      <c r="AH264" s="9">
        <f>IF(ROUNDUP(W264/20,0)&gt;ROUNDUP(W263/20,0),"Lần " &amp; ROUNDUP(W264/20,0),"")</f>
        <v/>
      </c>
      <c r="AI264" s="9">
        <f>IF(ROUNDUP(X264/20,0)&gt;ROUNDUP(X263/20,0),"Lần " &amp; ROUNDUP(X264/20,0),"")</f>
        <v/>
      </c>
      <c r="AJ264" s="9">
        <f>IF(ROUNDUP(Y264/20,0)&gt;ROUNDUP(Y263/20,0),"Lần " &amp; ROUNDUP(Y264/20,0),"")</f>
        <v/>
      </c>
      <c r="AK264" s="9">
        <f>IF(ROUNDUP(Z264/20,0)&gt;ROUNDUP(Z263/20,0),"Lần " &amp; ROUNDUP(Z264/20,0),"")</f>
        <v/>
      </c>
      <c r="AL264" s="4" t="n"/>
      <c r="AN264" s="596" t="inlineStr">
        <is>
          <t>Coc</t>
        </is>
      </c>
      <c r="AO264" s="596" t="n">
        <v>20</v>
      </c>
      <c r="AQ264" s="594" t="n"/>
      <c r="AR264" s="595" t="n"/>
    </row>
    <row r="265" ht="19" customHeight="1" s="672">
      <c r="A265" s="4" t="n">
        <v>246</v>
      </c>
      <c r="B265" s="5" t="inlineStr">
        <is>
          <t>Cọc khoan nhồi C7 Mố M2 (D1.2m, L=36.0m)</t>
        </is>
      </c>
      <c r="C265" s="5" t="inlineStr">
        <is>
          <t>Cọc mố M2 L=36m (tr.66)</t>
        </is>
      </c>
      <c r="D265" s="14" t="inlineStr">
        <is>
          <t>P2A</t>
        </is>
      </c>
      <c r="E265" s="15" t="n">
        <v>28</v>
      </c>
      <c r="F265" s="4" t="inlineStr">
        <is>
          <t>CB400-V</t>
        </is>
      </c>
      <c r="G265" s="5" t="inlineStr"/>
      <c r="H265" s="16" t="n">
        <v>2.966</v>
      </c>
      <c r="I265" s="17" t="n">
        <v>5</v>
      </c>
      <c r="J265" s="18" t="n">
        <v>4.834</v>
      </c>
      <c r="K265" s="7">
        <f>ROUND(H265*I265*J265, 2)</f>
        <v/>
      </c>
      <c r="L265" s="19">
        <f>ROUND(K265/1000, 3)</f>
        <v/>
      </c>
      <c r="M265" s="728">
        <f>IF(AO265="","",IF(N(INDEX(Theo_Doi_Tan_Suat_Be_Tong!$C:$C,AO265))&lt;=0,"",INDEX(Theo_Doi_Tan_Suat_Be_Tong!$C:$C,AO265)-VLOOKUP(AN265,$AQ$2:$AR$7,2,FALSE)))</f>
        <v/>
      </c>
      <c r="N265" s="4" t="n"/>
      <c r="O265" s="20">
        <f>IF(ROUNDUP(X265/20,0)&gt;ROUNDUP(X264/20,0),"TN Ø28 (Lần " &amp; ROUNDUP(X265/20,0) &amp; ")","")</f>
        <v/>
      </c>
      <c r="P265" s="16">
        <f>ROUND(P264+IF(AND(E265&lt;=10,F265&lt;&gt;"ASTM A416"),L265,0),3)</f>
        <v/>
      </c>
      <c r="Q265" s="16">
        <f>ROUND(Q264+IF(AND(E265=12,F265&lt;&gt;"ASTM A416"),L265,0),3)</f>
        <v/>
      </c>
      <c r="R265" s="16">
        <f>ROUND(R264+IF(AND(E265=14,F265&lt;&gt;"ASTM A416"),L265,0),3)</f>
        <v/>
      </c>
      <c r="S265" s="16">
        <f>ROUND(S264+IF(AND(E265=16,F265&lt;&gt;"ASTM A416"),L265,0),3)</f>
        <v/>
      </c>
      <c r="T265" s="16">
        <f>ROUND(T264+IF(AND(E265=18,F265&lt;&gt;"ASTM A416"),L265,0),3)</f>
        <v/>
      </c>
      <c r="U265" s="16">
        <f>ROUND(U264+IF(AND(E265=20,F265&lt;&gt;"ASTM A416"),L265,0),3)</f>
        <v/>
      </c>
      <c r="V265" s="16">
        <f>ROUND(V264+IF(AND(E265=22,F265&lt;&gt;"ASTM A416"),L265,0),3)</f>
        <v/>
      </c>
      <c r="W265" s="16">
        <f>ROUND(W264+IF(AND(E265=25,F265&lt;&gt;"ASTM A416"),L265,0),3)</f>
        <v/>
      </c>
      <c r="X265" s="16">
        <f>ROUND(X264+IF(AND(E265=28,F265&lt;&gt;"ASTM A416"),L265,0),3)</f>
        <v/>
      </c>
      <c r="Y265" s="16">
        <f>ROUND(Y264+IF(AND(E265=32,F265&lt;&gt;"ASTM A416"),L265,0),3)</f>
        <v/>
      </c>
      <c r="Z265" s="16">
        <f>ROUND(Z264+IF(F265="ASTM A416",L265,0),3)</f>
        <v/>
      </c>
      <c r="AA265" s="9">
        <f>IF(ROUNDUP(P265/20,0)&gt;ROUNDUP(P264/20,0),"Lần " &amp; ROUNDUP(P265/20,0),"")</f>
        <v/>
      </c>
      <c r="AB265" s="9">
        <f>IF(ROUNDUP(Q265/20,0)&gt;ROUNDUP(Q264/20,0),"Lần " &amp; ROUNDUP(Q265/20,0),"")</f>
        <v/>
      </c>
      <c r="AC265" s="9">
        <f>IF(ROUNDUP(R265/20,0)&gt;ROUNDUP(R264/20,0),"Lần " &amp; ROUNDUP(R265/20,0),"")</f>
        <v/>
      </c>
      <c r="AD265" s="9">
        <f>IF(ROUNDUP(S265/20,0)&gt;ROUNDUP(S264/20,0),"Lần " &amp; ROUNDUP(S265/20,0),"")</f>
        <v/>
      </c>
      <c r="AE265" s="9">
        <f>IF(ROUNDUP(T265/20,0)&gt;ROUNDUP(T264/20,0),"Lần " &amp; ROUNDUP(T265/20,0),"")</f>
        <v/>
      </c>
      <c r="AF265" s="9">
        <f>IF(ROUNDUP(U265/20,0)&gt;ROUNDUP(U264/20,0),"Lần " &amp; ROUNDUP(U265/20,0),"")</f>
        <v/>
      </c>
      <c r="AG265" s="9">
        <f>IF(ROUNDUP(V265/20,0)&gt;ROUNDUP(V264/20,0),"Lần " &amp; ROUNDUP(V265/20,0),"")</f>
        <v/>
      </c>
      <c r="AH265" s="9">
        <f>IF(ROUNDUP(W265/20,0)&gt;ROUNDUP(W264/20,0),"Lần " &amp; ROUNDUP(W265/20,0),"")</f>
        <v/>
      </c>
      <c r="AI265" s="9">
        <f>IF(ROUNDUP(X265/20,0)&gt;ROUNDUP(X264/20,0),"Lần " &amp; ROUNDUP(X265/20,0),"")</f>
        <v/>
      </c>
      <c r="AJ265" s="9">
        <f>IF(ROUNDUP(Y265/20,0)&gt;ROUNDUP(Y264/20,0),"Lần " &amp; ROUNDUP(Y265/20,0),"")</f>
        <v/>
      </c>
      <c r="AK265" s="9">
        <f>IF(ROUNDUP(Z265/20,0)&gt;ROUNDUP(Z264/20,0),"Lần " &amp; ROUNDUP(Z265/20,0),"")</f>
        <v/>
      </c>
      <c r="AL265" s="4" t="n"/>
      <c r="AN265" s="596" t="inlineStr">
        <is>
          <t>Coc</t>
        </is>
      </c>
      <c r="AO265" s="596" t="n">
        <v>20</v>
      </c>
      <c r="AQ265" s="594" t="n"/>
      <c r="AR265" s="595" t="n"/>
    </row>
    <row r="266" ht="19" customHeight="1" s="672">
      <c r="A266" s="4" t="n">
        <v>247</v>
      </c>
      <c r="B266" s="5" t="inlineStr">
        <is>
          <t>Cọc khoan nhồi C7 Mố M2 (D1.2m, L=36.0m)</t>
        </is>
      </c>
      <c r="C266" s="5" t="inlineStr">
        <is>
          <t>Cọc mố M2 L=36m (tr.66)</t>
        </is>
      </c>
      <c r="D266" s="14" t="inlineStr">
        <is>
          <t>P2B</t>
        </is>
      </c>
      <c r="E266" s="15" t="n">
        <v>25</v>
      </c>
      <c r="F266" s="4" t="inlineStr">
        <is>
          <t>CB400-V</t>
        </is>
      </c>
      <c r="G266" s="5" t="inlineStr"/>
      <c r="H266" s="16" t="n">
        <v>2.985</v>
      </c>
      <c r="I266" s="17" t="n">
        <v>10</v>
      </c>
      <c r="J266" s="18" t="n">
        <v>3.853</v>
      </c>
      <c r="K266" s="7">
        <f>ROUND(H266*I266*J266, 2)</f>
        <v/>
      </c>
      <c r="L266" s="19">
        <f>ROUND(K266/1000, 3)</f>
        <v/>
      </c>
      <c r="M266" s="728">
        <f>IF(AO266="","",IF(N(INDEX(Theo_Doi_Tan_Suat_Be_Tong!$C:$C,AO266))&lt;=0,"",INDEX(Theo_Doi_Tan_Suat_Be_Tong!$C:$C,AO266)-VLOOKUP(AN266,$AQ$2:$AR$7,2,FALSE)))</f>
        <v/>
      </c>
      <c r="N266" s="4" t="n"/>
      <c r="O266" s="20">
        <f>IF(ROUNDUP(W266/20,0)&gt;ROUNDUP(W265/20,0),"TN Ø25 (Lần " &amp; ROUNDUP(W266/20,0) &amp; ")","")</f>
        <v/>
      </c>
      <c r="P266" s="16">
        <f>ROUND(P265+IF(AND(E266&lt;=10,F266&lt;&gt;"ASTM A416"),L266,0),3)</f>
        <v/>
      </c>
      <c r="Q266" s="16">
        <f>ROUND(Q265+IF(AND(E266=12,F266&lt;&gt;"ASTM A416"),L266,0),3)</f>
        <v/>
      </c>
      <c r="R266" s="16">
        <f>ROUND(R265+IF(AND(E266=14,F266&lt;&gt;"ASTM A416"),L266,0),3)</f>
        <v/>
      </c>
      <c r="S266" s="16">
        <f>ROUND(S265+IF(AND(E266=16,F266&lt;&gt;"ASTM A416"),L266,0),3)</f>
        <v/>
      </c>
      <c r="T266" s="16">
        <f>ROUND(T265+IF(AND(E266=18,F266&lt;&gt;"ASTM A416"),L266,0),3)</f>
        <v/>
      </c>
      <c r="U266" s="16">
        <f>ROUND(U265+IF(AND(E266=20,F266&lt;&gt;"ASTM A416"),L266,0),3)</f>
        <v/>
      </c>
      <c r="V266" s="16">
        <f>ROUND(V265+IF(AND(E266=22,F266&lt;&gt;"ASTM A416"),L266,0),3)</f>
        <v/>
      </c>
      <c r="W266" s="16">
        <f>ROUND(W265+IF(AND(E266=25,F266&lt;&gt;"ASTM A416"),L266,0),3)</f>
        <v/>
      </c>
      <c r="X266" s="16">
        <f>ROUND(X265+IF(AND(E266=28,F266&lt;&gt;"ASTM A416"),L266,0),3)</f>
        <v/>
      </c>
      <c r="Y266" s="16">
        <f>ROUND(Y265+IF(AND(E266=32,F266&lt;&gt;"ASTM A416"),L266,0),3)</f>
        <v/>
      </c>
      <c r="Z266" s="16">
        <f>ROUND(Z265+IF(F266="ASTM A416",L266,0),3)</f>
        <v/>
      </c>
      <c r="AA266" s="9">
        <f>IF(ROUNDUP(P266/20,0)&gt;ROUNDUP(P265/20,0),"Lần " &amp; ROUNDUP(P266/20,0),"")</f>
        <v/>
      </c>
      <c r="AB266" s="9">
        <f>IF(ROUNDUP(Q266/20,0)&gt;ROUNDUP(Q265/20,0),"Lần " &amp; ROUNDUP(Q266/20,0),"")</f>
        <v/>
      </c>
      <c r="AC266" s="9">
        <f>IF(ROUNDUP(R266/20,0)&gt;ROUNDUP(R265/20,0),"Lần " &amp; ROUNDUP(R266/20,0),"")</f>
        <v/>
      </c>
      <c r="AD266" s="9">
        <f>IF(ROUNDUP(S266/20,0)&gt;ROUNDUP(S265/20,0),"Lần " &amp; ROUNDUP(S266/20,0),"")</f>
        <v/>
      </c>
      <c r="AE266" s="9">
        <f>IF(ROUNDUP(T266/20,0)&gt;ROUNDUP(T265/20,0),"Lần " &amp; ROUNDUP(T266/20,0),"")</f>
        <v/>
      </c>
      <c r="AF266" s="9">
        <f>IF(ROUNDUP(U266/20,0)&gt;ROUNDUP(U265/20,0),"Lần " &amp; ROUNDUP(U266/20,0),"")</f>
        <v/>
      </c>
      <c r="AG266" s="9">
        <f>IF(ROUNDUP(V266/20,0)&gt;ROUNDUP(V265/20,0),"Lần " &amp; ROUNDUP(V266/20,0),"")</f>
        <v/>
      </c>
      <c r="AH266" s="9">
        <f>IF(ROUNDUP(W266/20,0)&gt;ROUNDUP(W265/20,0),"Lần " &amp; ROUNDUP(W266/20,0),"")</f>
        <v/>
      </c>
      <c r="AI266" s="9">
        <f>IF(ROUNDUP(X266/20,0)&gt;ROUNDUP(X265/20,0),"Lần " &amp; ROUNDUP(X266/20,0),"")</f>
        <v/>
      </c>
      <c r="AJ266" s="9">
        <f>IF(ROUNDUP(Y266/20,0)&gt;ROUNDUP(Y265/20,0),"Lần " &amp; ROUNDUP(Y266/20,0),"")</f>
        <v/>
      </c>
      <c r="AK266" s="9">
        <f>IF(ROUNDUP(Z266/20,0)&gt;ROUNDUP(Z265/20,0),"Lần " &amp; ROUNDUP(Z266/20,0),"")</f>
        <v/>
      </c>
      <c r="AL266" s="4" t="n"/>
      <c r="AN266" s="596" t="inlineStr">
        <is>
          <t>Coc</t>
        </is>
      </c>
      <c r="AO266" s="596" t="n">
        <v>20</v>
      </c>
      <c r="AQ266" s="594" t="n"/>
      <c r="AR266" s="595" t="n"/>
    </row>
    <row r="267" ht="19" customHeight="1" s="672">
      <c r="A267" s="4" t="n">
        <v>248</v>
      </c>
      <c r="B267" s="5" t="inlineStr">
        <is>
          <t>Cọc khoan nhồi C7 Mố M2 (D1.2m, L=36.0m)</t>
        </is>
      </c>
      <c r="C267" s="5" t="inlineStr">
        <is>
          <t>Cọc mố M2 L=36m (tr.66)</t>
        </is>
      </c>
      <c r="D267" s="14" t="inlineStr">
        <is>
          <t>P3</t>
        </is>
      </c>
      <c r="E267" s="15" t="n">
        <v>28</v>
      </c>
      <c r="F267" s="4" t="inlineStr">
        <is>
          <t>CB400-V</t>
        </is>
      </c>
      <c r="G267" s="5" t="inlineStr"/>
      <c r="H267" s="16" t="n">
        <v>10.7</v>
      </c>
      <c r="I267" s="17" t="n">
        <v>12</v>
      </c>
      <c r="J267" s="18" t="n">
        <v>4.834</v>
      </c>
      <c r="K267" s="7">
        <f>ROUND(H267*I267*J267, 2)</f>
        <v/>
      </c>
      <c r="L267" s="19">
        <f>ROUND(K267/1000, 3)</f>
        <v/>
      </c>
      <c r="M267" s="728">
        <f>IF(AO267="","",IF(N(INDEX(Theo_Doi_Tan_Suat_Be_Tong!$C:$C,AO267))&lt;=0,"",INDEX(Theo_Doi_Tan_Suat_Be_Tong!$C:$C,AO267)-VLOOKUP(AN267,$AQ$2:$AR$7,2,FALSE)))</f>
        <v/>
      </c>
      <c r="N267" s="4" t="n"/>
      <c r="O267" s="20">
        <f>IF(ROUNDUP(X267/20,0)&gt;ROUNDUP(X266/20,0),"TN Ø28 (Lần " &amp; ROUNDUP(X267/20,0) &amp; ")","")</f>
        <v/>
      </c>
      <c r="P267" s="16">
        <f>ROUND(P266+IF(AND(E267&lt;=10,F267&lt;&gt;"ASTM A416"),L267,0),3)</f>
        <v/>
      </c>
      <c r="Q267" s="16">
        <f>ROUND(Q266+IF(AND(E267=12,F267&lt;&gt;"ASTM A416"),L267,0),3)</f>
        <v/>
      </c>
      <c r="R267" s="16">
        <f>ROUND(R266+IF(AND(E267=14,F267&lt;&gt;"ASTM A416"),L267,0),3)</f>
        <v/>
      </c>
      <c r="S267" s="16">
        <f>ROUND(S266+IF(AND(E267=16,F267&lt;&gt;"ASTM A416"),L267,0),3)</f>
        <v/>
      </c>
      <c r="T267" s="16">
        <f>ROUND(T266+IF(AND(E267=18,F267&lt;&gt;"ASTM A416"),L267,0),3)</f>
        <v/>
      </c>
      <c r="U267" s="16">
        <f>ROUND(U266+IF(AND(E267=20,F267&lt;&gt;"ASTM A416"),L267,0),3)</f>
        <v/>
      </c>
      <c r="V267" s="16">
        <f>ROUND(V266+IF(AND(E267=22,F267&lt;&gt;"ASTM A416"),L267,0),3)</f>
        <v/>
      </c>
      <c r="W267" s="16">
        <f>ROUND(W266+IF(AND(E267=25,F267&lt;&gt;"ASTM A416"),L267,0),3)</f>
        <v/>
      </c>
      <c r="X267" s="16">
        <f>ROUND(X266+IF(AND(E267=28,F267&lt;&gt;"ASTM A416"),L267,0),3)</f>
        <v/>
      </c>
      <c r="Y267" s="16">
        <f>ROUND(Y266+IF(AND(E267=32,F267&lt;&gt;"ASTM A416"),L267,0),3)</f>
        <v/>
      </c>
      <c r="Z267" s="16">
        <f>ROUND(Z266+IF(F267="ASTM A416",L267,0),3)</f>
        <v/>
      </c>
      <c r="AA267" s="9">
        <f>IF(ROUNDUP(P267/20,0)&gt;ROUNDUP(P266/20,0),"Lần " &amp; ROUNDUP(P267/20,0),"")</f>
        <v/>
      </c>
      <c r="AB267" s="9">
        <f>IF(ROUNDUP(Q267/20,0)&gt;ROUNDUP(Q266/20,0),"Lần " &amp; ROUNDUP(Q267/20,0),"")</f>
        <v/>
      </c>
      <c r="AC267" s="9">
        <f>IF(ROUNDUP(R267/20,0)&gt;ROUNDUP(R266/20,0),"Lần " &amp; ROUNDUP(R267/20,0),"")</f>
        <v/>
      </c>
      <c r="AD267" s="9">
        <f>IF(ROUNDUP(S267/20,0)&gt;ROUNDUP(S266/20,0),"Lần " &amp; ROUNDUP(S267/20,0),"")</f>
        <v/>
      </c>
      <c r="AE267" s="9">
        <f>IF(ROUNDUP(T267/20,0)&gt;ROUNDUP(T266/20,0),"Lần " &amp; ROUNDUP(T267/20,0),"")</f>
        <v/>
      </c>
      <c r="AF267" s="9">
        <f>IF(ROUNDUP(U267/20,0)&gt;ROUNDUP(U266/20,0),"Lần " &amp; ROUNDUP(U267/20,0),"")</f>
        <v/>
      </c>
      <c r="AG267" s="9">
        <f>IF(ROUNDUP(V267/20,0)&gt;ROUNDUP(V266/20,0),"Lần " &amp; ROUNDUP(V267/20,0),"")</f>
        <v/>
      </c>
      <c r="AH267" s="9">
        <f>IF(ROUNDUP(W267/20,0)&gt;ROUNDUP(W266/20,0),"Lần " &amp; ROUNDUP(W267/20,0),"")</f>
        <v/>
      </c>
      <c r="AI267" s="9">
        <f>IF(ROUNDUP(X267/20,0)&gt;ROUNDUP(X266/20,0),"Lần " &amp; ROUNDUP(X267/20,0),"")</f>
        <v/>
      </c>
      <c r="AJ267" s="9">
        <f>IF(ROUNDUP(Y267/20,0)&gt;ROUNDUP(Y266/20,0),"Lần " &amp; ROUNDUP(Y267/20,0),"")</f>
        <v/>
      </c>
      <c r="AK267" s="9">
        <f>IF(ROUNDUP(Z267/20,0)&gt;ROUNDUP(Z266/20,0),"Lần " &amp; ROUNDUP(Z267/20,0),"")</f>
        <v/>
      </c>
      <c r="AL267" s="4" t="n"/>
      <c r="AN267" s="596" t="inlineStr">
        <is>
          <t>Coc</t>
        </is>
      </c>
      <c r="AO267" s="596" t="n">
        <v>20</v>
      </c>
      <c r="AQ267" s="594" t="n"/>
      <c r="AR267" s="595" t="n"/>
    </row>
    <row r="268" ht="19" customHeight="1" s="672">
      <c r="A268" s="4" t="n">
        <v>249</v>
      </c>
      <c r="B268" s="5" t="inlineStr">
        <is>
          <t>Cọc khoan nhồi C7 Mố M2 (D1.2m, L=36.0m)</t>
        </is>
      </c>
      <c r="C268" s="5" t="inlineStr">
        <is>
          <t>Cọc mố M2 L=36m (tr.66)</t>
        </is>
      </c>
      <c r="D268" s="14" t="inlineStr">
        <is>
          <t>P4</t>
        </is>
      </c>
      <c r="E268" s="15" t="n">
        <v>28</v>
      </c>
      <c r="F268" s="4" t="inlineStr">
        <is>
          <t>CB400-V</t>
        </is>
      </c>
      <c r="G268" s="5" t="inlineStr"/>
      <c r="H268" s="16" t="n">
        <v>11.7</v>
      </c>
      <c r="I268" s="17" t="n">
        <v>12</v>
      </c>
      <c r="J268" s="18" t="n">
        <v>4.834</v>
      </c>
      <c r="K268" s="7">
        <f>ROUND(H268*I268*J268, 2)</f>
        <v/>
      </c>
      <c r="L268" s="19">
        <f>ROUND(K268/1000, 3)</f>
        <v/>
      </c>
      <c r="M268" s="728">
        <f>IF(AO268="","",IF(N(INDEX(Theo_Doi_Tan_Suat_Be_Tong!$C:$C,AO268))&lt;=0,"",INDEX(Theo_Doi_Tan_Suat_Be_Tong!$C:$C,AO268)-VLOOKUP(AN268,$AQ$2:$AR$7,2,FALSE)))</f>
        <v/>
      </c>
      <c r="N268" s="4" t="n"/>
      <c r="O268" s="20">
        <f>IF(ROUNDUP(X268/20,0)&gt;ROUNDUP(X267/20,0),"TN Ø28 (Lần " &amp; ROUNDUP(X268/20,0) &amp; ")","")</f>
        <v/>
      </c>
      <c r="P268" s="16">
        <f>ROUND(P267+IF(AND(E268&lt;=10,F268&lt;&gt;"ASTM A416"),L268,0),3)</f>
        <v/>
      </c>
      <c r="Q268" s="16">
        <f>ROUND(Q267+IF(AND(E268=12,F268&lt;&gt;"ASTM A416"),L268,0),3)</f>
        <v/>
      </c>
      <c r="R268" s="16">
        <f>ROUND(R267+IF(AND(E268=14,F268&lt;&gt;"ASTM A416"),L268,0),3)</f>
        <v/>
      </c>
      <c r="S268" s="16">
        <f>ROUND(S267+IF(AND(E268=16,F268&lt;&gt;"ASTM A416"),L268,0),3)</f>
        <v/>
      </c>
      <c r="T268" s="16">
        <f>ROUND(T267+IF(AND(E268=18,F268&lt;&gt;"ASTM A416"),L268,0),3)</f>
        <v/>
      </c>
      <c r="U268" s="16">
        <f>ROUND(U267+IF(AND(E268=20,F268&lt;&gt;"ASTM A416"),L268,0),3)</f>
        <v/>
      </c>
      <c r="V268" s="16">
        <f>ROUND(V267+IF(AND(E268=22,F268&lt;&gt;"ASTM A416"),L268,0),3)</f>
        <v/>
      </c>
      <c r="W268" s="16">
        <f>ROUND(W267+IF(AND(E268=25,F268&lt;&gt;"ASTM A416"),L268,0),3)</f>
        <v/>
      </c>
      <c r="X268" s="16">
        <f>ROUND(X267+IF(AND(E268=28,F268&lt;&gt;"ASTM A416"),L268,0),3)</f>
        <v/>
      </c>
      <c r="Y268" s="16">
        <f>ROUND(Y267+IF(AND(E268=32,F268&lt;&gt;"ASTM A416"),L268,0),3)</f>
        <v/>
      </c>
      <c r="Z268" s="16">
        <f>ROUND(Z267+IF(F268="ASTM A416",L268,0),3)</f>
        <v/>
      </c>
      <c r="AA268" s="9">
        <f>IF(ROUNDUP(P268/20,0)&gt;ROUNDUP(P267/20,0),"Lần " &amp; ROUNDUP(P268/20,0),"")</f>
        <v/>
      </c>
      <c r="AB268" s="9">
        <f>IF(ROUNDUP(Q268/20,0)&gt;ROUNDUP(Q267/20,0),"Lần " &amp; ROUNDUP(Q268/20,0),"")</f>
        <v/>
      </c>
      <c r="AC268" s="9">
        <f>IF(ROUNDUP(R268/20,0)&gt;ROUNDUP(R267/20,0),"Lần " &amp; ROUNDUP(R268/20,0),"")</f>
        <v/>
      </c>
      <c r="AD268" s="9">
        <f>IF(ROUNDUP(S268/20,0)&gt;ROUNDUP(S267/20,0),"Lần " &amp; ROUNDUP(S268/20,0),"")</f>
        <v/>
      </c>
      <c r="AE268" s="9">
        <f>IF(ROUNDUP(T268/20,0)&gt;ROUNDUP(T267/20,0),"Lần " &amp; ROUNDUP(T268/20,0),"")</f>
        <v/>
      </c>
      <c r="AF268" s="9">
        <f>IF(ROUNDUP(U268/20,0)&gt;ROUNDUP(U267/20,0),"Lần " &amp; ROUNDUP(U268/20,0),"")</f>
        <v/>
      </c>
      <c r="AG268" s="9">
        <f>IF(ROUNDUP(V268/20,0)&gt;ROUNDUP(V267/20,0),"Lần " &amp; ROUNDUP(V268/20,0),"")</f>
        <v/>
      </c>
      <c r="AH268" s="9">
        <f>IF(ROUNDUP(W268/20,0)&gt;ROUNDUP(W267/20,0),"Lần " &amp; ROUNDUP(W268/20,0),"")</f>
        <v/>
      </c>
      <c r="AI268" s="9">
        <f>IF(ROUNDUP(X268/20,0)&gt;ROUNDUP(X267/20,0),"Lần " &amp; ROUNDUP(X268/20,0),"")</f>
        <v/>
      </c>
      <c r="AJ268" s="9">
        <f>IF(ROUNDUP(Y268/20,0)&gt;ROUNDUP(Y267/20,0),"Lần " &amp; ROUNDUP(Y268/20,0),"")</f>
        <v/>
      </c>
      <c r="AK268" s="9">
        <f>IF(ROUNDUP(Z268/20,0)&gt;ROUNDUP(Z267/20,0),"Lần " &amp; ROUNDUP(Z268/20,0),"")</f>
        <v/>
      </c>
      <c r="AL268" s="4" t="n"/>
      <c r="AN268" s="596" t="inlineStr">
        <is>
          <t>Coc</t>
        </is>
      </c>
      <c r="AO268" s="596" t="n">
        <v>20</v>
      </c>
      <c r="AQ268" s="594" t="n"/>
      <c r="AR268" s="595" t="n"/>
    </row>
    <row r="269" ht="19" customHeight="1" s="672">
      <c r="A269" s="4" t="n">
        <v>250</v>
      </c>
      <c r="B269" s="5" t="inlineStr">
        <is>
          <t>Cọc khoan nhồi C7 Mố M2 (D1.2m, L=36.0m)</t>
        </is>
      </c>
      <c r="C269" s="5" t="inlineStr">
        <is>
          <t>Cọc mố M2 L=36m (tr.66)</t>
        </is>
      </c>
      <c r="D269" s="14" t="inlineStr">
        <is>
          <t>P5</t>
        </is>
      </c>
      <c r="E269" s="15" t="n">
        <v>25</v>
      </c>
      <c r="F269" s="4" t="inlineStr">
        <is>
          <t>CB400-V</t>
        </is>
      </c>
      <c r="G269" s="5" t="inlineStr"/>
      <c r="H269" s="16" t="n">
        <v>11.7</v>
      </c>
      <c r="I269" s="17" t="n">
        <v>48</v>
      </c>
      <c r="J269" s="18" t="n">
        <v>3.853</v>
      </c>
      <c r="K269" s="7">
        <f>ROUND(H269*I269*J269, 2)</f>
        <v/>
      </c>
      <c r="L269" s="19">
        <f>ROUND(K269/1000, 3)</f>
        <v/>
      </c>
      <c r="M269" s="728">
        <f>IF(AO269="","",IF(N(INDEX(Theo_Doi_Tan_Suat_Be_Tong!$C:$C,AO269))&lt;=0,"",INDEX(Theo_Doi_Tan_Suat_Be_Tong!$C:$C,AO269)-VLOOKUP(AN269,$AQ$2:$AR$7,2,FALSE)))</f>
        <v/>
      </c>
      <c r="N269" s="4" t="n"/>
      <c r="O269" s="20">
        <f>IF(ROUNDUP(W269/20,0)&gt;ROUNDUP(W268/20,0),"TN Ø25 (Lần " &amp; ROUNDUP(W269/20,0) &amp; ")","")</f>
        <v/>
      </c>
      <c r="P269" s="16">
        <f>ROUND(P268+IF(AND(E269&lt;=10,F269&lt;&gt;"ASTM A416"),L269,0),3)</f>
        <v/>
      </c>
      <c r="Q269" s="16">
        <f>ROUND(Q268+IF(AND(E269=12,F269&lt;&gt;"ASTM A416"),L269,0),3)</f>
        <v/>
      </c>
      <c r="R269" s="16">
        <f>ROUND(R268+IF(AND(E269=14,F269&lt;&gt;"ASTM A416"),L269,0),3)</f>
        <v/>
      </c>
      <c r="S269" s="16">
        <f>ROUND(S268+IF(AND(E269=16,F269&lt;&gt;"ASTM A416"),L269,0),3)</f>
        <v/>
      </c>
      <c r="T269" s="16">
        <f>ROUND(T268+IF(AND(E269=18,F269&lt;&gt;"ASTM A416"),L269,0),3)</f>
        <v/>
      </c>
      <c r="U269" s="16">
        <f>ROUND(U268+IF(AND(E269=20,F269&lt;&gt;"ASTM A416"),L269,0),3)</f>
        <v/>
      </c>
      <c r="V269" s="16">
        <f>ROUND(V268+IF(AND(E269=22,F269&lt;&gt;"ASTM A416"),L269,0),3)</f>
        <v/>
      </c>
      <c r="W269" s="16">
        <f>ROUND(W268+IF(AND(E269=25,F269&lt;&gt;"ASTM A416"),L269,0),3)</f>
        <v/>
      </c>
      <c r="X269" s="16">
        <f>ROUND(X268+IF(AND(E269=28,F269&lt;&gt;"ASTM A416"),L269,0),3)</f>
        <v/>
      </c>
      <c r="Y269" s="16">
        <f>ROUND(Y268+IF(AND(E269=32,F269&lt;&gt;"ASTM A416"),L269,0),3)</f>
        <v/>
      </c>
      <c r="Z269" s="16">
        <f>ROUND(Z268+IF(F269="ASTM A416",L269,0),3)</f>
        <v/>
      </c>
      <c r="AA269" s="9">
        <f>IF(ROUNDUP(P269/20,0)&gt;ROUNDUP(P268/20,0),"Lần " &amp; ROUNDUP(P269/20,0),"")</f>
        <v/>
      </c>
      <c r="AB269" s="9">
        <f>IF(ROUNDUP(Q269/20,0)&gt;ROUNDUP(Q268/20,0),"Lần " &amp; ROUNDUP(Q269/20,0),"")</f>
        <v/>
      </c>
      <c r="AC269" s="9">
        <f>IF(ROUNDUP(R269/20,0)&gt;ROUNDUP(R268/20,0),"Lần " &amp; ROUNDUP(R269/20,0),"")</f>
        <v/>
      </c>
      <c r="AD269" s="9">
        <f>IF(ROUNDUP(S269/20,0)&gt;ROUNDUP(S268/20,0),"Lần " &amp; ROUNDUP(S269/20,0),"")</f>
        <v/>
      </c>
      <c r="AE269" s="9">
        <f>IF(ROUNDUP(T269/20,0)&gt;ROUNDUP(T268/20,0),"Lần " &amp; ROUNDUP(T269/20,0),"")</f>
        <v/>
      </c>
      <c r="AF269" s="9">
        <f>IF(ROUNDUP(U269/20,0)&gt;ROUNDUP(U268/20,0),"Lần " &amp; ROUNDUP(U269/20,0),"")</f>
        <v/>
      </c>
      <c r="AG269" s="9">
        <f>IF(ROUNDUP(V269/20,0)&gt;ROUNDUP(V268/20,0),"Lần " &amp; ROUNDUP(V269/20,0),"")</f>
        <v/>
      </c>
      <c r="AH269" s="9">
        <f>IF(ROUNDUP(W269/20,0)&gt;ROUNDUP(W268/20,0),"Lần " &amp; ROUNDUP(W269/20,0),"")</f>
        <v/>
      </c>
      <c r="AI269" s="9">
        <f>IF(ROUNDUP(X269/20,0)&gt;ROUNDUP(X268/20,0),"Lần " &amp; ROUNDUP(X269/20,0),"")</f>
        <v/>
      </c>
      <c r="AJ269" s="9">
        <f>IF(ROUNDUP(Y269/20,0)&gt;ROUNDUP(Y268/20,0),"Lần " &amp; ROUNDUP(Y269/20,0),"")</f>
        <v/>
      </c>
      <c r="AK269" s="9">
        <f>IF(ROUNDUP(Z269/20,0)&gt;ROUNDUP(Z268/20,0),"Lần " &amp; ROUNDUP(Z269/20,0),"")</f>
        <v/>
      </c>
      <c r="AL269" s="4" t="n"/>
      <c r="AN269" s="596" t="inlineStr">
        <is>
          <t>Coc</t>
        </is>
      </c>
      <c r="AO269" s="596" t="n">
        <v>20</v>
      </c>
      <c r="AQ269" s="594" t="n"/>
      <c r="AR269" s="595" t="n"/>
    </row>
    <row r="270" ht="19" customHeight="1" s="672">
      <c r="A270" s="4" t="n">
        <v>251</v>
      </c>
      <c r="B270" s="5" t="inlineStr">
        <is>
          <t>Cọc khoan nhồi C7 Mố M2 (D1.2m, L=36.0m)</t>
        </is>
      </c>
      <c r="C270" s="5" t="inlineStr">
        <is>
          <t>Cọc mố M2 L=36m (tr.66)</t>
        </is>
      </c>
      <c r="D270" s="14" t="inlineStr">
        <is>
          <t>P6</t>
        </is>
      </c>
      <c r="E270" s="15" t="n">
        <v>25</v>
      </c>
      <c r="F270" s="4" t="inlineStr">
        <is>
          <t>CB400-V</t>
        </is>
      </c>
      <c r="G270" s="5" t="inlineStr"/>
      <c r="H270" s="16" t="n">
        <v>5.153</v>
      </c>
      <c r="I270" s="17" t="n">
        <v>12</v>
      </c>
      <c r="J270" s="18" t="n">
        <v>3.853</v>
      </c>
      <c r="K270" s="7">
        <f>ROUND(H270*I270*J270, 2)</f>
        <v/>
      </c>
      <c r="L270" s="19">
        <f>ROUND(K270/1000, 3)</f>
        <v/>
      </c>
      <c r="M270" s="728">
        <f>IF(AO270="","",IF(N(INDEX(Theo_Doi_Tan_Suat_Be_Tong!$C:$C,AO270))&lt;=0,"",INDEX(Theo_Doi_Tan_Suat_Be_Tong!$C:$C,AO270)-VLOOKUP(AN270,$AQ$2:$AR$7,2,FALSE)))</f>
        <v/>
      </c>
      <c r="N270" s="4" t="n"/>
      <c r="O270" s="20">
        <f>IF(ROUNDUP(W270/20,0)&gt;ROUNDUP(W269/20,0),"TN Ø25 (Lần " &amp; ROUNDUP(W270/20,0) &amp; ")","")</f>
        <v/>
      </c>
      <c r="P270" s="16">
        <f>ROUND(P269+IF(AND(E270&lt;=10,F270&lt;&gt;"ASTM A416"),L270,0),3)</f>
        <v/>
      </c>
      <c r="Q270" s="16">
        <f>ROUND(Q269+IF(AND(E270=12,F270&lt;&gt;"ASTM A416"),L270,0),3)</f>
        <v/>
      </c>
      <c r="R270" s="16">
        <f>ROUND(R269+IF(AND(E270=14,F270&lt;&gt;"ASTM A416"),L270,0),3)</f>
        <v/>
      </c>
      <c r="S270" s="16">
        <f>ROUND(S269+IF(AND(E270=16,F270&lt;&gt;"ASTM A416"),L270,0),3)</f>
        <v/>
      </c>
      <c r="T270" s="16">
        <f>ROUND(T269+IF(AND(E270=18,F270&lt;&gt;"ASTM A416"),L270,0),3)</f>
        <v/>
      </c>
      <c r="U270" s="16">
        <f>ROUND(U269+IF(AND(E270=20,F270&lt;&gt;"ASTM A416"),L270,0),3)</f>
        <v/>
      </c>
      <c r="V270" s="16">
        <f>ROUND(V269+IF(AND(E270=22,F270&lt;&gt;"ASTM A416"),L270,0),3)</f>
        <v/>
      </c>
      <c r="W270" s="16">
        <f>ROUND(W269+IF(AND(E270=25,F270&lt;&gt;"ASTM A416"),L270,0),3)</f>
        <v/>
      </c>
      <c r="X270" s="16">
        <f>ROUND(X269+IF(AND(E270=28,F270&lt;&gt;"ASTM A416"),L270,0),3)</f>
        <v/>
      </c>
      <c r="Y270" s="16">
        <f>ROUND(Y269+IF(AND(E270=32,F270&lt;&gt;"ASTM A416"),L270,0),3)</f>
        <v/>
      </c>
      <c r="Z270" s="16">
        <f>ROUND(Z269+IF(F270="ASTM A416",L270,0),3)</f>
        <v/>
      </c>
      <c r="AA270" s="9">
        <f>IF(ROUNDUP(P270/20,0)&gt;ROUNDUP(P269/20,0),"Lần " &amp; ROUNDUP(P270/20,0),"")</f>
        <v/>
      </c>
      <c r="AB270" s="9">
        <f>IF(ROUNDUP(Q270/20,0)&gt;ROUNDUP(Q269/20,0),"Lần " &amp; ROUNDUP(Q270/20,0),"")</f>
        <v/>
      </c>
      <c r="AC270" s="9">
        <f>IF(ROUNDUP(R270/20,0)&gt;ROUNDUP(R269/20,0),"Lần " &amp; ROUNDUP(R270/20,0),"")</f>
        <v/>
      </c>
      <c r="AD270" s="9">
        <f>IF(ROUNDUP(S270/20,0)&gt;ROUNDUP(S269/20,0),"Lần " &amp; ROUNDUP(S270/20,0),"")</f>
        <v/>
      </c>
      <c r="AE270" s="9">
        <f>IF(ROUNDUP(T270/20,0)&gt;ROUNDUP(T269/20,0),"Lần " &amp; ROUNDUP(T270/20,0),"")</f>
        <v/>
      </c>
      <c r="AF270" s="9">
        <f>IF(ROUNDUP(U270/20,0)&gt;ROUNDUP(U269/20,0),"Lần " &amp; ROUNDUP(U270/20,0),"")</f>
        <v/>
      </c>
      <c r="AG270" s="9">
        <f>IF(ROUNDUP(V270/20,0)&gt;ROUNDUP(V269/20,0),"Lần " &amp; ROUNDUP(V270/20,0),"")</f>
        <v/>
      </c>
      <c r="AH270" s="9">
        <f>IF(ROUNDUP(W270/20,0)&gt;ROUNDUP(W269/20,0),"Lần " &amp; ROUNDUP(W270/20,0),"")</f>
        <v/>
      </c>
      <c r="AI270" s="9">
        <f>IF(ROUNDUP(X270/20,0)&gt;ROUNDUP(X269/20,0),"Lần " &amp; ROUNDUP(X270/20,0),"")</f>
        <v/>
      </c>
      <c r="AJ270" s="9">
        <f>IF(ROUNDUP(Y270/20,0)&gt;ROUNDUP(Y269/20,0),"Lần " &amp; ROUNDUP(Y270/20,0),"")</f>
        <v/>
      </c>
      <c r="AK270" s="9">
        <f>IF(ROUNDUP(Z270/20,0)&gt;ROUNDUP(Z269/20,0),"Lần " &amp; ROUNDUP(Z270/20,0),"")</f>
        <v/>
      </c>
      <c r="AL270" s="4" t="n"/>
      <c r="AN270" s="596" t="inlineStr">
        <is>
          <t>Coc</t>
        </is>
      </c>
      <c r="AO270" s="596" t="n">
        <v>20</v>
      </c>
      <c r="AQ270" s="594" t="n"/>
      <c r="AR270" s="595" t="n"/>
    </row>
    <row r="271" ht="19" customHeight="1" s="672">
      <c r="A271" s="4" t="n">
        <v>252</v>
      </c>
      <c r="B271" s="5" t="inlineStr">
        <is>
          <t>Cọc khoan nhồi C7 Mố M2 (D1.2m, L=36.0m)</t>
        </is>
      </c>
      <c r="C271" s="5" t="inlineStr">
        <is>
          <t>Cọc mố M2 L=36m (tr.66)</t>
        </is>
      </c>
      <c r="D271" s="14" t="inlineStr">
        <is>
          <t>P7</t>
        </is>
      </c>
      <c r="E271" s="15" t="n">
        <v>25</v>
      </c>
      <c r="F271" s="4" t="inlineStr">
        <is>
          <t>CB400-V</t>
        </is>
      </c>
      <c r="G271" s="5" t="inlineStr"/>
      <c r="H271" s="16" t="n">
        <v>6.153</v>
      </c>
      <c r="I271" s="17" t="n">
        <v>12</v>
      </c>
      <c r="J271" s="18" t="n">
        <v>3.853</v>
      </c>
      <c r="K271" s="7">
        <f>ROUND(H271*I271*J271, 2)</f>
        <v/>
      </c>
      <c r="L271" s="19">
        <f>ROUND(K271/1000, 3)</f>
        <v/>
      </c>
      <c r="M271" s="728">
        <f>IF(AO271="","",IF(N(INDEX(Theo_Doi_Tan_Suat_Be_Tong!$C:$C,AO271))&lt;=0,"",INDEX(Theo_Doi_Tan_Suat_Be_Tong!$C:$C,AO271)-VLOOKUP(AN271,$AQ$2:$AR$7,2,FALSE)))</f>
        <v/>
      </c>
      <c r="N271" s="4" t="n"/>
      <c r="O271" s="20">
        <f>IF(ROUNDUP(W271/20,0)&gt;ROUNDUP(W270/20,0),"TN Ø25 (Lần " &amp; ROUNDUP(W271/20,0) &amp; ")","")</f>
        <v/>
      </c>
      <c r="P271" s="16">
        <f>ROUND(P270+IF(AND(E271&lt;=10,F271&lt;&gt;"ASTM A416"),L271,0),3)</f>
        <v/>
      </c>
      <c r="Q271" s="16">
        <f>ROUND(Q270+IF(AND(E271=12,F271&lt;&gt;"ASTM A416"),L271,0),3)</f>
        <v/>
      </c>
      <c r="R271" s="16">
        <f>ROUND(R270+IF(AND(E271=14,F271&lt;&gt;"ASTM A416"),L271,0),3)</f>
        <v/>
      </c>
      <c r="S271" s="16">
        <f>ROUND(S270+IF(AND(E271=16,F271&lt;&gt;"ASTM A416"),L271,0),3)</f>
        <v/>
      </c>
      <c r="T271" s="16">
        <f>ROUND(T270+IF(AND(E271=18,F271&lt;&gt;"ASTM A416"),L271,0),3)</f>
        <v/>
      </c>
      <c r="U271" s="16">
        <f>ROUND(U270+IF(AND(E271=20,F271&lt;&gt;"ASTM A416"),L271,0),3)</f>
        <v/>
      </c>
      <c r="V271" s="16">
        <f>ROUND(V270+IF(AND(E271=22,F271&lt;&gt;"ASTM A416"),L271,0),3)</f>
        <v/>
      </c>
      <c r="W271" s="16">
        <f>ROUND(W270+IF(AND(E271=25,F271&lt;&gt;"ASTM A416"),L271,0),3)</f>
        <v/>
      </c>
      <c r="X271" s="16">
        <f>ROUND(X270+IF(AND(E271=28,F271&lt;&gt;"ASTM A416"),L271,0),3)</f>
        <v/>
      </c>
      <c r="Y271" s="16">
        <f>ROUND(Y270+IF(AND(E271=32,F271&lt;&gt;"ASTM A416"),L271,0),3)</f>
        <v/>
      </c>
      <c r="Z271" s="16">
        <f>ROUND(Z270+IF(F271="ASTM A416",L271,0),3)</f>
        <v/>
      </c>
      <c r="AA271" s="9">
        <f>IF(ROUNDUP(P271/20,0)&gt;ROUNDUP(P270/20,0),"Lần " &amp; ROUNDUP(P271/20,0),"")</f>
        <v/>
      </c>
      <c r="AB271" s="9">
        <f>IF(ROUNDUP(Q271/20,0)&gt;ROUNDUP(Q270/20,0),"Lần " &amp; ROUNDUP(Q271/20,0),"")</f>
        <v/>
      </c>
      <c r="AC271" s="9">
        <f>IF(ROUNDUP(R271/20,0)&gt;ROUNDUP(R270/20,0),"Lần " &amp; ROUNDUP(R271/20,0),"")</f>
        <v/>
      </c>
      <c r="AD271" s="9">
        <f>IF(ROUNDUP(S271/20,0)&gt;ROUNDUP(S270/20,0),"Lần " &amp; ROUNDUP(S271/20,0),"")</f>
        <v/>
      </c>
      <c r="AE271" s="9">
        <f>IF(ROUNDUP(T271/20,0)&gt;ROUNDUP(T270/20,0),"Lần " &amp; ROUNDUP(T271/20,0),"")</f>
        <v/>
      </c>
      <c r="AF271" s="9">
        <f>IF(ROUNDUP(U271/20,0)&gt;ROUNDUP(U270/20,0),"Lần " &amp; ROUNDUP(U271/20,0),"")</f>
        <v/>
      </c>
      <c r="AG271" s="9">
        <f>IF(ROUNDUP(V271/20,0)&gt;ROUNDUP(V270/20,0),"Lần " &amp; ROUNDUP(V271/20,0),"")</f>
        <v/>
      </c>
      <c r="AH271" s="9">
        <f>IF(ROUNDUP(W271/20,0)&gt;ROUNDUP(W270/20,0),"Lần " &amp; ROUNDUP(W271/20,0),"")</f>
        <v/>
      </c>
      <c r="AI271" s="9">
        <f>IF(ROUNDUP(X271/20,0)&gt;ROUNDUP(X270/20,0),"Lần " &amp; ROUNDUP(X271/20,0),"")</f>
        <v/>
      </c>
      <c r="AJ271" s="9">
        <f>IF(ROUNDUP(Y271/20,0)&gt;ROUNDUP(Y270/20,0),"Lần " &amp; ROUNDUP(Y271/20,0),"")</f>
        <v/>
      </c>
      <c r="AK271" s="9">
        <f>IF(ROUNDUP(Z271/20,0)&gt;ROUNDUP(Z270/20,0),"Lần " &amp; ROUNDUP(Z271/20,0),"")</f>
        <v/>
      </c>
      <c r="AL271" s="4" t="n"/>
      <c r="AN271" s="596" t="inlineStr">
        <is>
          <t>Coc</t>
        </is>
      </c>
      <c r="AO271" s="596" t="n">
        <v>20</v>
      </c>
      <c r="AQ271" s="594" t="n"/>
      <c r="AR271" s="595" t="n"/>
    </row>
    <row r="272" ht="19" customHeight="1" s="672">
      <c r="A272" s="4" t="n">
        <v>253</v>
      </c>
      <c r="B272" s="5" t="inlineStr">
        <is>
          <t>Cọc khoan nhồi C7 Mố M2 (D1.2m, L=36.0m)</t>
        </is>
      </c>
      <c r="C272" s="5" t="inlineStr">
        <is>
          <t>Cọc mố M2 L=36m (tr.66)</t>
        </is>
      </c>
      <c r="D272" s="14" t="inlineStr">
        <is>
          <t>P8</t>
        </is>
      </c>
      <c r="E272" s="15" t="n">
        <v>12</v>
      </c>
      <c r="F272" s="4" t="inlineStr">
        <is>
          <t>CB400-V</t>
        </is>
      </c>
      <c r="G272" s="5" t="inlineStr"/>
      <c r="H272" s="16" t="n">
        <v>0.647</v>
      </c>
      <c r="I272" s="17" t="n">
        <v>15</v>
      </c>
      <c r="J272" s="18" t="n">
        <v>0.888</v>
      </c>
      <c r="K272" s="7">
        <f>ROUND(H272*I272*J272, 2)</f>
        <v/>
      </c>
      <c r="L272" s="19">
        <f>ROUND(K272/1000, 3)</f>
        <v/>
      </c>
      <c r="M272" s="728">
        <f>IF(AO272="","",IF(N(INDEX(Theo_Doi_Tan_Suat_Be_Tong!$C:$C,AO272))&lt;=0,"",INDEX(Theo_Doi_Tan_Suat_Be_Tong!$C:$C,AO272)-VLOOKUP(AN272,$AQ$2:$AR$7,2,FALSE)))</f>
        <v/>
      </c>
      <c r="N272" s="4" t="n"/>
      <c r="O272" s="20">
        <f>IF(ROUNDUP(Q272/20,0)&gt;ROUNDUP(Q271/20,0),"TN Ø12 (Lần " &amp; ROUNDUP(Q272/20,0) &amp; ")","")</f>
        <v/>
      </c>
      <c r="P272" s="16">
        <f>ROUND(P271+IF(AND(E272&lt;=10,F272&lt;&gt;"ASTM A416"),L272,0),3)</f>
        <v/>
      </c>
      <c r="Q272" s="16">
        <f>ROUND(Q271+IF(AND(E272=12,F272&lt;&gt;"ASTM A416"),L272,0),3)</f>
        <v/>
      </c>
      <c r="R272" s="16">
        <f>ROUND(R271+IF(AND(E272=14,F272&lt;&gt;"ASTM A416"),L272,0),3)</f>
        <v/>
      </c>
      <c r="S272" s="16">
        <f>ROUND(S271+IF(AND(E272=16,F272&lt;&gt;"ASTM A416"),L272,0),3)</f>
        <v/>
      </c>
      <c r="T272" s="16">
        <f>ROUND(T271+IF(AND(E272=18,F272&lt;&gt;"ASTM A416"),L272,0),3)</f>
        <v/>
      </c>
      <c r="U272" s="16">
        <f>ROUND(U271+IF(AND(E272=20,F272&lt;&gt;"ASTM A416"),L272,0),3)</f>
        <v/>
      </c>
      <c r="V272" s="16">
        <f>ROUND(V271+IF(AND(E272=22,F272&lt;&gt;"ASTM A416"),L272,0),3)</f>
        <v/>
      </c>
      <c r="W272" s="16">
        <f>ROUND(W271+IF(AND(E272=25,F272&lt;&gt;"ASTM A416"),L272,0),3)</f>
        <v/>
      </c>
      <c r="X272" s="16">
        <f>ROUND(X271+IF(AND(E272=28,F272&lt;&gt;"ASTM A416"),L272,0),3)</f>
        <v/>
      </c>
      <c r="Y272" s="16">
        <f>ROUND(Y271+IF(AND(E272=32,F272&lt;&gt;"ASTM A416"),L272,0),3)</f>
        <v/>
      </c>
      <c r="Z272" s="16">
        <f>ROUND(Z271+IF(F272="ASTM A416",L272,0),3)</f>
        <v/>
      </c>
      <c r="AA272" s="9">
        <f>IF(ROUNDUP(P272/20,0)&gt;ROUNDUP(P271/20,0),"Lần " &amp; ROUNDUP(P272/20,0),"")</f>
        <v/>
      </c>
      <c r="AB272" s="9">
        <f>IF(ROUNDUP(Q272/20,0)&gt;ROUNDUP(Q271/20,0),"Lần " &amp; ROUNDUP(Q272/20,0),"")</f>
        <v/>
      </c>
      <c r="AC272" s="9">
        <f>IF(ROUNDUP(R272/20,0)&gt;ROUNDUP(R271/20,0),"Lần " &amp; ROUNDUP(R272/20,0),"")</f>
        <v/>
      </c>
      <c r="AD272" s="9">
        <f>IF(ROUNDUP(S272/20,0)&gt;ROUNDUP(S271/20,0),"Lần " &amp; ROUNDUP(S272/20,0),"")</f>
        <v/>
      </c>
      <c r="AE272" s="9">
        <f>IF(ROUNDUP(T272/20,0)&gt;ROUNDUP(T271/20,0),"Lần " &amp; ROUNDUP(T272/20,0),"")</f>
        <v/>
      </c>
      <c r="AF272" s="9">
        <f>IF(ROUNDUP(U272/20,0)&gt;ROUNDUP(U271/20,0),"Lần " &amp; ROUNDUP(U272/20,0),"")</f>
        <v/>
      </c>
      <c r="AG272" s="9">
        <f>IF(ROUNDUP(V272/20,0)&gt;ROUNDUP(V271/20,0),"Lần " &amp; ROUNDUP(V272/20,0),"")</f>
        <v/>
      </c>
      <c r="AH272" s="9">
        <f>IF(ROUNDUP(W272/20,0)&gt;ROUNDUP(W271/20,0),"Lần " &amp; ROUNDUP(W272/20,0),"")</f>
        <v/>
      </c>
      <c r="AI272" s="9">
        <f>IF(ROUNDUP(X272/20,0)&gt;ROUNDUP(X271/20,0),"Lần " &amp; ROUNDUP(X272/20,0),"")</f>
        <v/>
      </c>
      <c r="AJ272" s="9">
        <f>IF(ROUNDUP(Y272/20,0)&gt;ROUNDUP(Y271/20,0),"Lần " &amp; ROUNDUP(Y272/20,0),"")</f>
        <v/>
      </c>
      <c r="AK272" s="9">
        <f>IF(ROUNDUP(Z272/20,0)&gt;ROUNDUP(Z271/20,0),"Lần " &amp; ROUNDUP(Z272/20,0),"")</f>
        <v/>
      </c>
      <c r="AL272" s="4" t="n"/>
      <c r="AN272" s="596" t="inlineStr">
        <is>
          <t>Coc</t>
        </is>
      </c>
      <c r="AO272" s="596" t="n">
        <v>20</v>
      </c>
      <c r="AQ272" s="594" t="n"/>
      <c r="AR272" s="595" t="n"/>
    </row>
    <row r="273" ht="20" customHeight="1" s="672">
      <c r="A273" s="4" t="n">
        <v>254</v>
      </c>
      <c r="B273" s="5" t="inlineStr">
        <is>
          <t>Cọc khoan nhồi C7 Mố M2 (D1.2m, L=36.0m)</t>
        </is>
      </c>
      <c r="C273" s="5" t="inlineStr">
        <is>
          <t>Cọc mố M2 L=36m (tr.66)</t>
        </is>
      </c>
      <c r="D273" s="14" t="inlineStr">
        <is>
          <t>P9</t>
        </is>
      </c>
      <c r="E273" s="15" t="n">
        <v>12</v>
      </c>
      <c r="F273" s="4" t="inlineStr">
        <is>
          <t>CB400-V</t>
        </is>
      </c>
      <c r="G273" s="5" t="inlineStr"/>
      <c r="H273" s="16" t="n">
        <v>0.379</v>
      </c>
      <c r="I273" s="17" t="n">
        <v>45</v>
      </c>
      <c r="J273" s="18" t="n">
        <v>0.888</v>
      </c>
      <c r="K273" s="7">
        <f>ROUND(H273*I273*J273, 2)</f>
        <v/>
      </c>
      <c r="L273" s="19">
        <f>ROUND(K273/1000, 3)</f>
        <v/>
      </c>
      <c r="M273" s="728">
        <f>IF(AO273="","",IF(N(INDEX(Theo_Doi_Tan_Suat_Be_Tong!$C:$C,AO273))&lt;=0,"",INDEX(Theo_Doi_Tan_Suat_Be_Tong!$C:$C,AO273)-VLOOKUP(AN273,$AQ$2:$AR$7,2,FALSE)))</f>
        <v/>
      </c>
      <c r="N273" s="4" t="n"/>
      <c r="O273" s="20">
        <f>IF(ROUNDUP(Q273/20,0)&gt;ROUNDUP(Q272/20,0),"TN Ø12 (Lần " &amp; ROUNDUP(Q273/20,0) &amp; ")","")</f>
        <v/>
      </c>
      <c r="P273" s="16">
        <f>ROUND(P272+IF(AND(E273&lt;=10,F273&lt;&gt;"ASTM A416"),L273,0),3)</f>
        <v/>
      </c>
      <c r="Q273" s="16">
        <f>ROUND(Q272+IF(AND(E273=12,F273&lt;&gt;"ASTM A416"),L273,0),3)</f>
        <v/>
      </c>
      <c r="R273" s="16">
        <f>ROUND(R272+IF(AND(E273=14,F273&lt;&gt;"ASTM A416"),L273,0),3)</f>
        <v/>
      </c>
      <c r="S273" s="16">
        <f>ROUND(S272+IF(AND(E273=16,F273&lt;&gt;"ASTM A416"),L273,0),3)</f>
        <v/>
      </c>
      <c r="T273" s="16">
        <f>ROUND(T272+IF(AND(E273=18,F273&lt;&gt;"ASTM A416"),L273,0),3)</f>
        <v/>
      </c>
      <c r="U273" s="16">
        <f>ROUND(U272+IF(AND(E273=20,F273&lt;&gt;"ASTM A416"),L273,0),3)</f>
        <v/>
      </c>
      <c r="V273" s="16">
        <f>ROUND(V272+IF(AND(E273=22,F273&lt;&gt;"ASTM A416"),L273,0),3)</f>
        <v/>
      </c>
      <c r="W273" s="16">
        <f>ROUND(W272+IF(AND(E273=25,F273&lt;&gt;"ASTM A416"),L273,0),3)</f>
        <v/>
      </c>
      <c r="X273" s="16">
        <f>ROUND(X272+IF(AND(E273=28,F273&lt;&gt;"ASTM A416"),L273,0),3)</f>
        <v/>
      </c>
      <c r="Y273" s="16">
        <f>ROUND(Y272+IF(AND(E273=32,F273&lt;&gt;"ASTM A416"),L273,0),3)</f>
        <v/>
      </c>
      <c r="Z273" s="16">
        <f>ROUND(Z272+IF(F273="ASTM A416",L273,0),3)</f>
        <v/>
      </c>
      <c r="AA273" s="9">
        <f>IF(ROUNDUP(P273/20,0)&gt;ROUNDUP(P272/20,0),"Lần " &amp; ROUNDUP(P273/20,0),"")</f>
        <v/>
      </c>
      <c r="AB273" s="9">
        <f>IF(ROUNDUP(Q273/20,0)&gt;ROUNDUP(Q272/20,0),"Lần " &amp; ROUNDUP(Q273/20,0),"")</f>
        <v/>
      </c>
      <c r="AC273" s="9">
        <f>IF(ROUNDUP(R273/20,0)&gt;ROUNDUP(R272/20,0),"Lần " &amp; ROUNDUP(R273/20,0),"")</f>
        <v/>
      </c>
      <c r="AD273" s="9">
        <f>IF(ROUNDUP(S273/20,0)&gt;ROUNDUP(S272/20,0),"Lần " &amp; ROUNDUP(S273/20,0),"")</f>
        <v/>
      </c>
      <c r="AE273" s="9">
        <f>IF(ROUNDUP(T273/20,0)&gt;ROUNDUP(T272/20,0),"Lần " &amp; ROUNDUP(T273/20,0),"")</f>
        <v/>
      </c>
      <c r="AF273" s="9">
        <f>IF(ROUNDUP(U273/20,0)&gt;ROUNDUP(U272/20,0),"Lần " &amp; ROUNDUP(U273/20,0),"")</f>
        <v/>
      </c>
      <c r="AG273" s="9">
        <f>IF(ROUNDUP(V273/20,0)&gt;ROUNDUP(V272/20,0),"Lần " &amp; ROUNDUP(V273/20,0),"")</f>
        <v/>
      </c>
      <c r="AH273" s="9">
        <f>IF(ROUNDUP(W273/20,0)&gt;ROUNDUP(W272/20,0),"Lần " &amp; ROUNDUP(W273/20,0),"")</f>
        <v/>
      </c>
      <c r="AI273" s="9">
        <f>IF(ROUNDUP(X273/20,0)&gt;ROUNDUP(X272/20,0),"Lần " &amp; ROUNDUP(X273/20,0),"")</f>
        <v/>
      </c>
      <c r="AJ273" s="9">
        <f>IF(ROUNDUP(Y273/20,0)&gt;ROUNDUP(Y272/20,0),"Lần " &amp; ROUNDUP(Y273/20,0),"")</f>
        <v/>
      </c>
      <c r="AK273" s="9">
        <f>IF(ROUNDUP(Z273/20,0)&gt;ROUNDUP(Z272/20,0),"Lần " &amp; ROUNDUP(Z273/20,0),"")</f>
        <v/>
      </c>
      <c r="AL273" s="4" t="n"/>
      <c r="AN273" s="596" t="inlineStr">
        <is>
          <t>Coc</t>
        </is>
      </c>
      <c r="AO273" s="596" t="n">
        <v>20</v>
      </c>
      <c r="AQ273" s="594" t="n"/>
      <c r="AR273" s="595" t="n"/>
    </row>
    <row r="274" ht="19" customHeight="1" s="672">
      <c r="A274" s="4" t="n">
        <v>255</v>
      </c>
      <c r="B274" s="5" t="inlineStr">
        <is>
          <t>Cọc khoan nhồi C7 Mố M2 (D1.2m, L=36.0m)</t>
        </is>
      </c>
      <c r="C274" s="5" t="inlineStr">
        <is>
          <t>Cọc mố M2 L=36m (tr.66)</t>
        </is>
      </c>
      <c r="D274" s="14" t="inlineStr">
        <is>
          <t>P10</t>
        </is>
      </c>
      <c r="E274" s="15" t="n">
        <v>20</v>
      </c>
      <c r="F274" s="4" t="inlineStr">
        <is>
          <t>CB400-V</t>
        </is>
      </c>
      <c r="G274" s="5" t="inlineStr"/>
      <c r="H274" s="16" t="n">
        <v>2.057</v>
      </c>
      <c r="I274" s="17" t="n">
        <v>1</v>
      </c>
      <c r="J274" s="18" t="n">
        <v>2.466</v>
      </c>
      <c r="K274" s="7">
        <f>ROUND(H274*I274*J274, 2)</f>
        <v/>
      </c>
      <c r="L274" s="19">
        <f>ROUND(K274/1000, 3)</f>
        <v/>
      </c>
      <c r="M274" s="728">
        <f>IF(AO274="","",IF(N(INDEX(Theo_Doi_Tan_Suat_Be_Tong!$C:$C,AO274))&lt;=0,"",INDEX(Theo_Doi_Tan_Suat_Be_Tong!$C:$C,AO274)-VLOOKUP(AN274,$AQ$2:$AR$7,2,FALSE)))</f>
        <v/>
      </c>
      <c r="N274" s="4" t="n"/>
      <c r="O274" s="20">
        <f>IF(ROUNDUP(U274/20,0)&gt;ROUNDUP(U273/20,0),"TN Ø20 (Lần " &amp; ROUNDUP(U274/20,0) &amp; ")","")</f>
        <v/>
      </c>
      <c r="P274" s="16">
        <f>ROUND(P273+IF(AND(E274&lt;=10,F274&lt;&gt;"ASTM A416"),L274,0),3)</f>
        <v/>
      </c>
      <c r="Q274" s="16">
        <f>ROUND(Q273+IF(AND(E274=12,F274&lt;&gt;"ASTM A416"),L274,0),3)</f>
        <v/>
      </c>
      <c r="R274" s="16">
        <f>ROUND(R273+IF(AND(E274=14,F274&lt;&gt;"ASTM A416"),L274,0),3)</f>
        <v/>
      </c>
      <c r="S274" s="16">
        <f>ROUND(S273+IF(AND(E274=16,F274&lt;&gt;"ASTM A416"),L274,0),3)</f>
        <v/>
      </c>
      <c r="T274" s="16">
        <f>ROUND(T273+IF(AND(E274=18,F274&lt;&gt;"ASTM A416"),L274,0),3)</f>
        <v/>
      </c>
      <c r="U274" s="16">
        <f>ROUND(U273+IF(AND(E274=20,F274&lt;&gt;"ASTM A416"),L274,0),3)</f>
        <v/>
      </c>
      <c r="V274" s="16">
        <f>ROUND(V273+IF(AND(E274=22,F274&lt;&gt;"ASTM A416"),L274,0),3)</f>
        <v/>
      </c>
      <c r="W274" s="16">
        <f>ROUND(W273+IF(AND(E274=25,F274&lt;&gt;"ASTM A416"),L274,0),3)</f>
        <v/>
      </c>
      <c r="X274" s="16">
        <f>ROUND(X273+IF(AND(E274=28,F274&lt;&gt;"ASTM A416"),L274,0),3)</f>
        <v/>
      </c>
      <c r="Y274" s="16">
        <f>ROUND(Y273+IF(AND(E274=32,F274&lt;&gt;"ASTM A416"),L274,0),3)</f>
        <v/>
      </c>
      <c r="Z274" s="16">
        <f>ROUND(Z273+IF(F274="ASTM A416",L274,0),3)</f>
        <v/>
      </c>
      <c r="AA274" s="9">
        <f>IF(ROUNDUP(P274/20,0)&gt;ROUNDUP(P273/20,0),"Lần " &amp; ROUNDUP(P274/20,0),"")</f>
        <v/>
      </c>
      <c r="AB274" s="9">
        <f>IF(ROUNDUP(Q274/20,0)&gt;ROUNDUP(Q273/20,0),"Lần " &amp; ROUNDUP(Q274/20,0),"")</f>
        <v/>
      </c>
      <c r="AC274" s="9">
        <f>IF(ROUNDUP(R274/20,0)&gt;ROUNDUP(R273/20,0),"Lần " &amp; ROUNDUP(R274/20,0),"")</f>
        <v/>
      </c>
      <c r="AD274" s="9">
        <f>IF(ROUNDUP(S274/20,0)&gt;ROUNDUP(S273/20,0),"Lần " &amp; ROUNDUP(S274/20,0),"")</f>
        <v/>
      </c>
      <c r="AE274" s="9">
        <f>IF(ROUNDUP(T274/20,0)&gt;ROUNDUP(T273/20,0),"Lần " &amp; ROUNDUP(T274/20,0),"")</f>
        <v/>
      </c>
      <c r="AF274" s="9">
        <f>IF(ROUNDUP(U274/20,0)&gt;ROUNDUP(U273/20,0),"Lần " &amp; ROUNDUP(U274/20,0),"")</f>
        <v/>
      </c>
      <c r="AG274" s="9">
        <f>IF(ROUNDUP(V274/20,0)&gt;ROUNDUP(V273/20,0),"Lần " &amp; ROUNDUP(V274/20,0),"")</f>
        <v/>
      </c>
      <c r="AH274" s="9">
        <f>IF(ROUNDUP(W274/20,0)&gt;ROUNDUP(W273/20,0),"Lần " &amp; ROUNDUP(W274/20,0),"")</f>
        <v/>
      </c>
      <c r="AI274" s="9">
        <f>IF(ROUNDUP(X274/20,0)&gt;ROUNDUP(X273/20,0),"Lần " &amp; ROUNDUP(X274/20,0),"")</f>
        <v/>
      </c>
      <c r="AJ274" s="9">
        <f>IF(ROUNDUP(Y274/20,0)&gt;ROUNDUP(Y273/20,0),"Lần " &amp; ROUNDUP(Y274/20,0),"")</f>
        <v/>
      </c>
      <c r="AK274" s="9">
        <f>IF(ROUNDUP(Z274/20,0)&gt;ROUNDUP(Z273/20,0),"Lần " &amp; ROUNDUP(Z274/20,0),"")</f>
        <v/>
      </c>
      <c r="AL274" s="4" t="n"/>
      <c r="AN274" s="596" t="inlineStr">
        <is>
          <t>Coc</t>
        </is>
      </c>
      <c r="AO274" s="596" t="n">
        <v>20</v>
      </c>
      <c r="AQ274" s="594" t="n"/>
      <c r="AR274" s="595" t="n"/>
    </row>
    <row r="275" ht="19" customHeight="1" s="672">
      <c r="A275" s="4" t="n">
        <v>256</v>
      </c>
      <c r="B275" s="5" t="inlineStr">
        <is>
          <t>Cọc khoan nhồi C7 Mố M2 (D1.2m, L=36.0m)</t>
        </is>
      </c>
      <c r="C275" s="5" t="inlineStr">
        <is>
          <t>Cọc mố M2 L=36m (tr.66)</t>
        </is>
      </c>
      <c r="D275" s="14" t="inlineStr">
        <is>
          <t>P12</t>
        </is>
      </c>
      <c r="E275" s="15" t="n">
        <v>20</v>
      </c>
      <c r="F275" s="4" t="inlineStr">
        <is>
          <t>CB400-V</t>
        </is>
      </c>
      <c r="G275" s="5" t="inlineStr"/>
      <c r="H275" s="16" t="n">
        <v>0.583</v>
      </c>
      <c r="I275" s="17" t="n">
        <v>60</v>
      </c>
      <c r="J275" s="18" t="n">
        <v>2.466</v>
      </c>
      <c r="K275" s="7">
        <f>ROUND(H275*I275*J275, 2)</f>
        <v/>
      </c>
      <c r="L275" s="19">
        <f>ROUND(K275/1000, 3)</f>
        <v/>
      </c>
      <c r="M275" s="728">
        <f>IF(AO275="","",IF(N(INDEX(Theo_Doi_Tan_Suat_Be_Tong!$C:$C,AO275))&lt;=0,"",INDEX(Theo_Doi_Tan_Suat_Be_Tong!$C:$C,AO275)-VLOOKUP(AN275,$AQ$2:$AR$7,2,FALSE)))</f>
        <v/>
      </c>
      <c r="N275" s="4" t="n"/>
      <c r="O275" s="20">
        <f>IF(ROUNDUP(U275/20,0)&gt;ROUNDUP(U274/20,0),"TN Ø20 (Lần " &amp; ROUNDUP(U275/20,0) &amp; ")","")</f>
        <v/>
      </c>
      <c r="P275" s="16">
        <f>ROUND(P274+IF(AND(E275&lt;=10,F275&lt;&gt;"ASTM A416"),L275,0),3)</f>
        <v/>
      </c>
      <c r="Q275" s="16">
        <f>ROUND(Q274+IF(AND(E275=12,F275&lt;&gt;"ASTM A416"),L275,0),3)</f>
        <v/>
      </c>
      <c r="R275" s="16">
        <f>ROUND(R274+IF(AND(E275=14,F275&lt;&gt;"ASTM A416"),L275,0),3)</f>
        <v/>
      </c>
      <c r="S275" s="16">
        <f>ROUND(S274+IF(AND(E275=16,F275&lt;&gt;"ASTM A416"),L275,0),3)</f>
        <v/>
      </c>
      <c r="T275" s="16">
        <f>ROUND(T274+IF(AND(E275=18,F275&lt;&gt;"ASTM A416"),L275,0),3)</f>
        <v/>
      </c>
      <c r="U275" s="16">
        <f>ROUND(U274+IF(AND(E275=20,F275&lt;&gt;"ASTM A416"),L275,0),3)</f>
        <v/>
      </c>
      <c r="V275" s="16">
        <f>ROUND(V274+IF(AND(E275=22,F275&lt;&gt;"ASTM A416"),L275,0),3)</f>
        <v/>
      </c>
      <c r="W275" s="16">
        <f>ROUND(W274+IF(AND(E275=25,F275&lt;&gt;"ASTM A416"),L275,0),3)</f>
        <v/>
      </c>
      <c r="X275" s="16">
        <f>ROUND(X274+IF(AND(E275=28,F275&lt;&gt;"ASTM A416"),L275,0),3)</f>
        <v/>
      </c>
      <c r="Y275" s="16">
        <f>ROUND(Y274+IF(AND(E275=32,F275&lt;&gt;"ASTM A416"),L275,0),3)</f>
        <v/>
      </c>
      <c r="Z275" s="16">
        <f>ROUND(Z274+IF(F275="ASTM A416",L275,0),3)</f>
        <v/>
      </c>
      <c r="AA275" s="9">
        <f>IF(ROUNDUP(P275/20,0)&gt;ROUNDUP(P274/20,0),"Lần " &amp; ROUNDUP(P275/20,0),"")</f>
        <v/>
      </c>
      <c r="AB275" s="9">
        <f>IF(ROUNDUP(Q275/20,0)&gt;ROUNDUP(Q274/20,0),"Lần " &amp; ROUNDUP(Q275/20,0),"")</f>
        <v/>
      </c>
      <c r="AC275" s="9">
        <f>IF(ROUNDUP(R275/20,0)&gt;ROUNDUP(R274/20,0),"Lần " &amp; ROUNDUP(R275/20,0),"")</f>
        <v/>
      </c>
      <c r="AD275" s="9">
        <f>IF(ROUNDUP(S275/20,0)&gt;ROUNDUP(S274/20,0),"Lần " &amp; ROUNDUP(S275/20,0),"")</f>
        <v/>
      </c>
      <c r="AE275" s="9">
        <f>IF(ROUNDUP(T275/20,0)&gt;ROUNDUP(T274/20,0),"Lần " &amp; ROUNDUP(T275/20,0),"")</f>
        <v/>
      </c>
      <c r="AF275" s="9">
        <f>IF(ROUNDUP(U275/20,0)&gt;ROUNDUP(U274/20,0),"Lần " &amp; ROUNDUP(U275/20,0),"")</f>
        <v/>
      </c>
      <c r="AG275" s="9">
        <f>IF(ROUNDUP(V275/20,0)&gt;ROUNDUP(V274/20,0),"Lần " &amp; ROUNDUP(V275/20,0),"")</f>
        <v/>
      </c>
      <c r="AH275" s="9">
        <f>IF(ROUNDUP(W275/20,0)&gt;ROUNDUP(W274/20,0),"Lần " &amp; ROUNDUP(W275/20,0),"")</f>
        <v/>
      </c>
      <c r="AI275" s="9">
        <f>IF(ROUNDUP(X275/20,0)&gt;ROUNDUP(X274/20,0),"Lần " &amp; ROUNDUP(X275/20,0),"")</f>
        <v/>
      </c>
      <c r="AJ275" s="9">
        <f>IF(ROUNDUP(Y275/20,0)&gt;ROUNDUP(Y274/20,0),"Lần " &amp; ROUNDUP(Y275/20,0),"")</f>
        <v/>
      </c>
      <c r="AK275" s="9">
        <f>IF(ROUNDUP(Z275/20,0)&gt;ROUNDUP(Z274/20,0),"Lần " &amp; ROUNDUP(Z275/20,0),"")</f>
        <v/>
      </c>
      <c r="AL275" s="4" t="n"/>
      <c r="AN275" s="596" t="inlineStr">
        <is>
          <t>Coc</t>
        </is>
      </c>
      <c r="AO275" s="596" t="n">
        <v>20</v>
      </c>
      <c r="AQ275" s="594" t="n"/>
      <c r="AR275" s="595" t="n"/>
    </row>
    <row r="276" ht="19" customHeight="1" s="672">
      <c r="A276" s="4" t="n">
        <v>257</v>
      </c>
      <c r="B276" s="5" t="inlineStr">
        <is>
          <t>Cọc khoan nhồi C7 Mố M2 (D1.2m, L=36.0m)</t>
        </is>
      </c>
      <c r="C276" s="5" t="inlineStr">
        <is>
          <t>Cọc mố M2 L=36m (tr.66)</t>
        </is>
      </c>
      <c r="D276" s="14" t="inlineStr">
        <is>
          <t>P11</t>
        </is>
      </c>
      <c r="E276" s="15" t="n">
        <v>16</v>
      </c>
      <c r="F276" s="4" t="inlineStr">
        <is>
          <t>CB400-V</t>
        </is>
      </c>
      <c r="G276" s="5" t="inlineStr"/>
      <c r="H276" s="16" t="n">
        <v>2.484</v>
      </c>
      <c r="I276" s="17" t="n">
        <v>4</v>
      </c>
      <c r="J276" s="18" t="n">
        <v>1.578</v>
      </c>
      <c r="K276" s="7">
        <f>ROUND(H276*I276*J276, 2)</f>
        <v/>
      </c>
      <c r="L276" s="19">
        <f>ROUND(K276/1000, 3)</f>
        <v/>
      </c>
      <c r="M276" s="728">
        <f>IF(AO276="","",IF(N(INDEX(Theo_Doi_Tan_Suat_Be_Tong!$C:$C,AO276))&lt;=0,"",INDEX(Theo_Doi_Tan_Suat_Be_Tong!$C:$C,AO276)-VLOOKUP(AN276,$AQ$2:$AR$7,2,FALSE)))</f>
        <v/>
      </c>
      <c r="N276" s="4" t="n"/>
      <c r="O276" s="20">
        <f>IF(ROUNDUP(S276/20,0)&gt;ROUNDUP(S275/20,0),"TN Ø16 (Lần " &amp; ROUNDUP(S276/20,0) &amp; ")","")</f>
        <v/>
      </c>
      <c r="P276" s="16">
        <f>ROUND(P275+IF(AND(E276&lt;=10,F276&lt;&gt;"ASTM A416"),L276,0),3)</f>
        <v/>
      </c>
      <c r="Q276" s="16">
        <f>ROUND(Q275+IF(AND(E276=12,F276&lt;&gt;"ASTM A416"),L276,0),3)</f>
        <v/>
      </c>
      <c r="R276" s="16">
        <f>ROUND(R275+IF(AND(E276=14,F276&lt;&gt;"ASTM A416"),L276,0),3)</f>
        <v/>
      </c>
      <c r="S276" s="16">
        <f>ROUND(S275+IF(AND(E276=16,F276&lt;&gt;"ASTM A416"),L276,0),3)</f>
        <v/>
      </c>
      <c r="T276" s="16">
        <f>ROUND(T275+IF(AND(E276=18,F276&lt;&gt;"ASTM A416"),L276,0),3)</f>
        <v/>
      </c>
      <c r="U276" s="16">
        <f>ROUND(U275+IF(AND(E276=20,F276&lt;&gt;"ASTM A416"),L276,0),3)</f>
        <v/>
      </c>
      <c r="V276" s="16">
        <f>ROUND(V275+IF(AND(E276=22,F276&lt;&gt;"ASTM A416"),L276,0),3)</f>
        <v/>
      </c>
      <c r="W276" s="16">
        <f>ROUND(W275+IF(AND(E276=25,F276&lt;&gt;"ASTM A416"),L276,0),3)</f>
        <v/>
      </c>
      <c r="X276" s="16">
        <f>ROUND(X275+IF(AND(E276=28,F276&lt;&gt;"ASTM A416"),L276,0),3)</f>
        <v/>
      </c>
      <c r="Y276" s="16">
        <f>ROUND(Y275+IF(AND(E276=32,F276&lt;&gt;"ASTM A416"),L276,0),3)</f>
        <v/>
      </c>
      <c r="Z276" s="16">
        <f>ROUND(Z275+IF(F276="ASTM A416",L276,0),3)</f>
        <v/>
      </c>
      <c r="AA276" s="9">
        <f>IF(ROUNDUP(P276/20,0)&gt;ROUNDUP(P275/20,0),"Lần " &amp; ROUNDUP(P276/20,0),"")</f>
        <v/>
      </c>
      <c r="AB276" s="9">
        <f>IF(ROUNDUP(Q276/20,0)&gt;ROUNDUP(Q275/20,0),"Lần " &amp; ROUNDUP(Q276/20,0),"")</f>
        <v/>
      </c>
      <c r="AC276" s="9">
        <f>IF(ROUNDUP(R276/20,0)&gt;ROUNDUP(R275/20,0),"Lần " &amp; ROUNDUP(R276/20,0),"")</f>
        <v/>
      </c>
      <c r="AD276" s="9">
        <f>IF(ROUNDUP(S276/20,0)&gt;ROUNDUP(S275/20,0),"Lần " &amp; ROUNDUP(S276/20,0),"")</f>
        <v/>
      </c>
      <c r="AE276" s="9">
        <f>IF(ROUNDUP(T276/20,0)&gt;ROUNDUP(T275/20,0),"Lần " &amp; ROUNDUP(T276/20,0),"")</f>
        <v/>
      </c>
      <c r="AF276" s="9">
        <f>IF(ROUNDUP(U276/20,0)&gt;ROUNDUP(U275/20,0),"Lần " &amp; ROUNDUP(U276/20,0),"")</f>
        <v/>
      </c>
      <c r="AG276" s="9">
        <f>IF(ROUNDUP(V276/20,0)&gt;ROUNDUP(V275/20,0),"Lần " &amp; ROUNDUP(V276/20,0),"")</f>
        <v/>
      </c>
      <c r="AH276" s="9">
        <f>IF(ROUNDUP(W276/20,0)&gt;ROUNDUP(W275/20,0),"Lần " &amp; ROUNDUP(W276/20,0),"")</f>
        <v/>
      </c>
      <c r="AI276" s="9">
        <f>IF(ROUNDUP(X276/20,0)&gt;ROUNDUP(X275/20,0),"Lần " &amp; ROUNDUP(X276/20,0),"")</f>
        <v/>
      </c>
      <c r="AJ276" s="9">
        <f>IF(ROUNDUP(Y276/20,0)&gt;ROUNDUP(Y275/20,0),"Lần " &amp; ROUNDUP(Y276/20,0),"")</f>
        <v/>
      </c>
      <c r="AK276" s="9">
        <f>IF(ROUNDUP(Z276/20,0)&gt;ROUNDUP(Z275/20,0),"Lần " &amp; ROUNDUP(Z276/20,0),"")</f>
        <v/>
      </c>
      <c r="AL276" s="4" t="n"/>
      <c r="AN276" s="596" t="inlineStr">
        <is>
          <t>Coc</t>
        </is>
      </c>
      <c r="AO276" s="596" t="n">
        <v>20</v>
      </c>
      <c r="AQ276" s="594" t="n"/>
      <c r="AR276" s="595" t="n"/>
    </row>
    <row r="277" ht="19" customHeight="1" s="672">
      <c r="A277" s="668" t="inlineStr">
        <is>
          <t>--- CỌC KHOAN NHỒI C5 MỐ M2 (D1.2M, L=36.0M) ---</t>
        </is>
      </c>
      <c r="B277" s="722" t="n"/>
      <c r="C277" s="722" t="n"/>
      <c r="D277" s="722" t="n"/>
      <c r="E277" s="722" t="n"/>
      <c r="F277" s="722" t="n"/>
      <c r="G277" s="722" t="n"/>
      <c r="H277" s="722" t="n"/>
      <c r="I277" s="722" t="n"/>
      <c r="J277" s="722" t="n"/>
      <c r="K277" s="722" t="n"/>
      <c r="L277" s="722" t="n"/>
      <c r="M277" s="722" t="n"/>
      <c r="N277" s="722" t="n"/>
      <c r="O277" s="722" t="n"/>
      <c r="P277" s="722" t="n"/>
      <c r="Q277" s="722" t="n"/>
      <c r="R277" s="722" t="n"/>
      <c r="S277" s="722" t="n"/>
      <c r="T277" s="722" t="n"/>
      <c r="U277" s="722" t="n"/>
      <c r="V277" s="722" t="n"/>
      <c r="W277" s="722" t="n"/>
      <c r="X277" s="722" t="n"/>
      <c r="Y277" s="722" t="n"/>
      <c r="Z277" s="722" t="n"/>
      <c r="AA277" s="722" t="n"/>
      <c r="AB277" s="722" t="n"/>
      <c r="AC277" s="722" t="n"/>
      <c r="AD277" s="722" t="n"/>
      <c r="AE277" s="722" t="n"/>
      <c r="AF277" s="722" t="n"/>
      <c r="AG277" s="722" t="n"/>
      <c r="AH277" s="722" t="n"/>
      <c r="AI277" s="722" t="n"/>
      <c r="AJ277" s="722" t="n"/>
      <c r="AK277" s="722" t="n"/>
      <c r="AL277" s="721" t="n"/>
      <c r="AQ277" s="594" t="n"/>
      <c r="AR277" s="595" t="n"/>
    </row>
    <row r="278" ht="19" customHeight="1" s="672">
      <c r="A278" s="4" t="n">
        <v>258</v>
      </c>
      <c r="B278" s="5" t="inlineStr">
        <is>
          <t>Cọc khoan nhồi C5 Mố M2 (D1.2m, L=36.0m)</t>
        </is>
      </c>
      <c r="C278" s="5" t="inlineStr">
        <is>
          <t>Cọc mố M2 L=36m (tr.66)</t>
        </is>
      </c>
      <c r="D278" s="14" t="inlineStr">
        <is>
          <t>P1</t>
        </is>
      </c>
      <c r="E278" s="15" t="n">
        <v>10</v>
      </c>
      <c r="F278" s="4" t="inlineStr">
        <is>
          <t>CB240-T</t>
        </is>
      </c>
      <c r="G278" s="5" t="inlineStr"/>
      <c r="H278" s="16" t="n">
        <v>96.887</v>
      </c>
      <c r="I278" s="17" t="n">
        <v>1</v>
      </c>
      <c r="J278" s="18" t="n">
        <v>0.617</v>
      </c>
      <c r="K278" s="7">
        <f>ROUND(H278*I278*J278, 2)</f>
        <v/>
      </c>
      <c r="L278" s="19">
        <f>ROUND(K278/1000, 3)</f>
        <v/>
      </c>
      <c r="M278" s="728">
        <f>IF(AO278="","",IF(N(INDEX(Theo_Doi_Tan_Suat_Be_Tong!$C:$C,AO278))&lt;=0,"",INDEX(Theo_Doi_Tan_Suat_Be_Tong!$C:$C,AO278)-VLOOKUP(AN278,$AQ$2:$AR$7,2,FALSE)))</f>
        <v/>
      </c>
      <c r="N278" s="4" t="n"/>
      <c r="O278" s="20">
        <f>IF(ROUNDUP(P278/20,0)&gt;ROUNDUP(P276/20,0),"TN Ø10 (Lần " &amp; ROUNDUP(P278/20,0) &amp; ")","")</f>
        <v/>
      </c>
      <c r="P278" s="16">
        <f>ROUND(P276+IF(AND(E278&lt;=10,F278&lt;&gt;"ASTM A416"),L278,0),3)</f>
        <v/>
      </c>
      <c r="Q278" s="16">
        <f>ROUND(Q276+IF(AND(E278=12,F278&lt;&gt;"ASTM A416"),L278,0),3)</f>
        <v/>
      </c>
      <c r="R278" s="16">
        <f>ROUND(R276+IF(AND(E278=14,F278&lt;&gt;"ASTM A416"),L278,0),3)</f>
        <v/>
      </c>
      <c r="S278" s="16">
        <f>ROUND(S276+IF(AND(E278=16,F278&lt;&gt;"ASTM A416"),L278,0),3)</f>
        <v/>
      </c>
      <c r="T278" s="16">
        <f>ROUND(T276+IF(AND(E278=18,F278&lt;&gt;"ASTM A416"),L278,0),3)</f>
        <v/>
      </c>
      <c r="U278" s="16">
        <f>ROUND(U276+IF(AND(E278=20,F278&lt;&gt;"ASTM A416"),L278,0),3)</f>
        <v/>
      </c>
      <c r="V278" s="16">
        <f>ROUND(V276+IF(AND(E278=22,F278&lt;&gt;"ASTM A416"),L278,0),3)</f>
        <v/>
      </c>
      <c r="W278" s="16">
        <f>ROUND(W276+IF(AND(E278=25,F278&lt;&gt;"ASTM A416"),L278,0),3)</f>
        <v/>
      </c>
      <c r="X278" s="16">
        <f>ROUND(X276+IF(AND(E278=28,F278&lt;&gt;"ASTM A416"),L278,0),3)</f>
        <v/>
      </c>
      <c r="Y278" s="16">
        <f>ROUND(Y276+IF(AND(E278=32,F278&lt;&gt;"ASTM A416"),L278,0),3)</f>
        <v/>
      </c>
      <c r="Z278" s="16">
        <f>ROUND(Z276+IF(F278="ASTM A416",L278,0),3)</f>
        <v/>
      </c>
      <c r="AA278" s="9">
        <f>IF(ROUNDUP(P278/20,0)&gt;ROUNDUP(P276/20,0),"Lần " &amp; ROUNDUP(P278/20,0),"")</f>
        <v/>
      </c>
      <c r="AB278" s="9">
        <f>IF(ROUNDUP(Q278/20,0)&gt;ROUNDUP(Q276/20,0),"Lần " &amp; ROUNDUP(Q278/20,0),"")</f>
        <v/>
      </c>
      <c r="AC278" s="9">
        <f>IF(ROUNDUP(R278/20,0)&gt;ROUNDUP(R276/20,0),"Lần " &amp; ROUNDUP(R278/20,0),"")</f>
        <v/>
      </c>
      <c r="AD278" s="9">
        <f>IF(ROUNDUP(S278/20,0)&gt;ROUNDUP(S276/20,0),"Lần " &amp; ROUNDUP(S278/20,0),"")</f>
        <v/>
      </c>
      <c r="AE278" s="9">
        <f>IF(ROUNDUP(T278/20,0)&gt;ROUNDUP(T276/20,0),"Lần " &amp; ROUNDUP(T278/20,0),"")</f>
        <v/>
      </c>
      <c r="AF278" s="9">
        <f>IF(ROUNDUP(U278/20,0)&gt;ROUNDUP(U276/20,0),"Lần " &amp; ROUNDUP(U278/20,0),"")</f>
        <v/>
      </c>
      <c r="AG278" s="9">
        <f>IF(ROUNDUP(V278/20,0)&gt;ROUNDUP(V276/20,0),"Lần " &amp; ROUNDUP(V278/20,0),"")</f>
        <v/>
      </c>
      <c r="AH278" s="9">
        <f>IF(ROUNDUP(W278/20,0)&gt;ROUNDUP(W276/20,0),"Lần " &amp; ROUNDUP(W278/20,0),"")</f>
        <v/>
      </c>
      <c r="AI278" s="9">
        <f>IF(ROUNDUP(X278/20,0)&gt;ROUNDUP(X276/20,0),"Lần " &amp; ROUNDUP(X278/20,0),"")</f>
        <v/>
      </c>
      <c r="AJ278" s="9">
        <f>IF(ROUNDUP(Y278/20,0)&gt;ROUNDUP(Y276/20,0),"Lần " &amp; ROUNDUP(Y278/20,0),"")</f>
        <v/>
      </c>
      <c r="AK278" s="9">
        <f>IF(ROUNDUP(Z278/20,0)&gt;ROUNDUP(Z276/20,0),"Lần " &amp; ROUNDUP(Z278/20,0),"")</f>
        <v/>
      </c>
      <c r="AL278" s="4" t="n"/>
      <c r="AN278" s="596" t="inlineStr">
        <is>
          <t>Coc</t>
        </is>
      </c>
      <c r="AO278" s="596" t="n">
        <v>21</v>
      </c>
      <c r="AQ278" s="594" t="n"/>
      <c r="AR278" s="595" t="n"/>
    </row>
    <row r="279" ht="19" customHeight="1" s="672">
      <c r="A279" s="4" t="n">
        <v>259</v>
      </c>
      <c r="B279" s="5" t="inlineStr">
        <is>
          <t>Cọc khoan nhồi C5 Mố M2 (D1.2m, L=36.0m)</t>
        </is>
      </c>
      <c r="C279" s="5" t="inlineStr">
        <is>
          <t>Cọc mố M2 L=36m (tr.66)</t>
        </is>
      </c>
      <c r="D279" s="14" t="inlineStr">
        <is>
          <t>P1A</t>
        </is>
      </c>
      <c r="E279" s="15" t="n">
        <v>10</v>
      </c>
      <c r="F279" s="4" t="inlineStr">
        <is>
          <t>CB240-T</t>
        </is>
      </c>
      <c r="G279" s="5" t="inlineStr"/>
      <c r="H279" s="16" t="n">
        <v>390.776</v>
      </c>
      <c r="I279" s="17" t="n">
        <v>1</v>
      </c>
      <c r="J279" s="18" t="n">
        <v>0.617</v>
      </c>
      <c r="K279" s="7">
        <f>ROUND(H279*I279*J279, 2)</f>
        <v/>
      </c>
      <c r="L279" s="19">
        <f>ROUND(K279/1000, 3)</f>
        <v/>
      </c>
      <c r="M279" s="728">
        <f>IF(AO279="","",IF(N(INDEX(Theo_Doi_Tan_Suat_Be_Tong!$C:$C,AO279))&lt;=0,"",INDEX(Theo_Doi_Tan_Suat_Be_Tong!$C:$C,AO279)-VLOOKUP(AN279,$AQ$2:$AR$7,2,FALSE)))</f>
        <v/>
      </c>
      <c r="N279" s="4" t="n"/>
      <c r="O279" s="20">
        <f>IF(ROUNDUP(P279/20,0)&gt;ROUNDUP(P278/20,0),"TN Ø10 (Lần " &amp; ROUNDUP(P279/20,0) &amp; ")","")</f>
        <v/>
      </c>
      <c r="P279" s="16">
        <f>ROUND(P278+IF(AND(E279&lt;=10,F279&lt;&gt;"ASTM A416"),L279,0),3)</f>
        <v/>
      </c>
      <c r="Q279" s="16">
        <f>ROUND(Q278+IF(AND(E279=12,F279&lt;&gt;"ASTM A416"),L279,0),3)</f>
        <v/>
      </c>
      <c r="R279" s="16">
        <f>ROUND(R278+IF(AND(E279=14,F279&lt;&gt;"ASTM A416"),L279,0),3)</f>
        <v/>
      </c>
      <c r="S279" s="16">
        <f>ROUND(S278+IF(AND(E279=16,F279&lt;&gt;"ASTM A416"),L279,0),3)</f>
        <v/>
      </c>
      <c r="T279" s="16">
        <f>ROUND(T278+IF(AND(E279=18,F279&lt;&gt;"ASTM A416"),L279,0),3)</f>
        <v/>
      </c>
      <c r="U279" s="16">
        <f>ROUND(U278+IF(AND(E279=20,F279&lt;&gt;"ASTM A416"),L279,0),3)</f>
        <v/>
      </c>
      <c r="V279" s="16">
        <f>ROUND(V278+IF(AND(E279=22,F279&lt;&gt;"ASTM A416"),L279,0),3)</f>
        <v/>
      </c>
      <c r="W279" s="16">
        <f>ROUND(W278+IF(AND(E279=25,F279&lt;&gt;"ASTM A416"),L279,0),3)</f>
        <v/>
      </c>
      <c r="X279" s="16">
        <f>ROUND(X278+IF(AND(E279=28,F279&lt;&gt;"ASTM A416"),L279,0),3)</f>
        <v/>
      </c>
      <c r="Y279" s="16">
        <f>ROUND(Y278+IF(AND(E279=32,F279&lt;&gt;"ASTM A416"),L279,0),3)</f>
        <v/>
      </c>
      <c r="Z279" s="16">
        <f>ROUND(Z278+IF(F279="ASTM A416",L279,0),3)</f>
        <v/>
      </c>
      <c r="AA279" s="9">
        <f>IF(ROUNDUP(P279/20,0)&gt;ROUNDUP(P278/20,0),"Lần " &amp; ROUNDUP(P279/20,0),"")</f>
        <v/>
      </c>
      <c r="AB279" s="9">
        <f>IF(ROUNDUP(Q279/20,0)&gt;ROUNDUP(Q278/20,0),"Lần " &amp; ROUNDUP(Q279/20,0),"")</f>
        <v/>
      </c>
      <c r="AC279" s="9">
        <f>IF(ROUNDUP(R279/20,0)&gt;ROUNDUP(R278/20,0),"Lần " &amp; ROUNDUP(R279/20,0),"")</f>
        <v/>
      </c>
      <c r="AD279" s="9">
        <f>IF(ROUNDUP(S279/20,0)&gt;ROUNDUP(S278/20,0),"Lần " &amp; ROUNDUP(S279/20,0),"")</f>
        <v/>
      </c>
      <c r="AE279" s="9">
        <f>IF(ROUNDUP(T279/20,0)&gt;ROUNDUP(T278/20,0),"Lần " &amp; ROUNDUP(T279/20,0),"")</f>
        <v/>
      </c>
      <c r="AF279" s="9">
        <f>IF(ROUNDUP(U279/20,0)&gt;ROUNDUP(U278/20,0),"Lần " &amp; ROUNDUP(U279/20,0),"")</f>
        <v/>
      </c>
      <c r="AG279" s="9">
        <f>IF(ROUNDUP(V279/20,0)&gt;ROUNDUP(V278/20,0),"Lần " &amp; ROUNDUP(V279/20,0),"")</f>
        <v/>
      </c>
      <c r="AH279" s="9">
        <f>IF(ROUNDUP(W279/20,0)&gt;ROUNDUP(W278/20,0),"Lần " &amp; ROUNDUP(W279/20,0),"")</f>
        <v/>
      </c>
      <c r="AI279" s="9">
        <f>IF(ROUNDUP(X279/20,0)&gt;ROUNDUP(X278/20,0),"Lần " &amp; ROUNDUP(X279/20,0),"")</f>
        <v/>
      </c>
      <c r="AJ279" s="9">
        <f>IF(ROUNDUP(Y279/20,0)&gt;ROUNDUP(Y278/20,0),"Lần " &amp; ROUNDUP(Y279/20,0),"")</f>
        <v/>
      </c>
      <c r="AK279" s="9">
        <f>IF(ROUNDUP(Z279/20,0)&gt;ROUNDUP(Z278/20,0),"Lần " &amp; ROUNDUP(Z279/20,0),"")</f>
        <v/>
      </c>
      <c r="AL279" s="4" t="n"/>
      <c r="AN279" s="596" t="inlineStr">
        <is>
          <t>Coc</t>
        </is>
      </c>
      <c r="AO279" s="596" t="n">
        <v>21</v>
      </c>
      <c r="AQ279" s="594" t="n"/>
      <c r="AR279" s="595" t="n"/>
    </row>
    <row r="280" ht="19" customHeight="1" s="672">
      <c r="A280" s="4" t="n">
        <v>260</v>
      </c>
      <c r="B280" s="5" t="inlineStr">
        <is>
          <t>Cọc khoan nhồi C5 Mố M2 (D1.2m, L=36.0m)</t>
        </is>
      </c>
      <c r="C280" s="5" t="inlineStr">
        <is>
          <t>Cọc mố M2 L=36m (tr.66)</t>
        </is>
      </c>
      <c r="D280" s="14" t="inlineStr">
        <is>
          <t>P1B</t>
        </is>
      </c>
      <c r="E280" s="15" t="n">
        <v>10</v>
      </c>
      <c r="F280" s="4" t="inlineStr">
        <is>
          <t>CB240-T</t>
        </is>
      </c>
      <c r="G280" s="5" t="inlineStr"/>
      <c r="H280" s="16" t="n">
        <v>164.938</v>
      </c>
      <c r="I280" s="17" t="n">
        <v>1</v>
      </c>
      <c r="J280" s="18" t="n">
        <v>0.617</v>
      </c>
      <c r="K280" s="7">
        <f>ROUND(H280*I280*J280, 2)</f>
        <v/>
      </c>
      <c r="L280" s="19">
        <f>ROUND(K280/1000, 3)</f>
        <v/>
      </c>
      <c r="M280" s="728">
        <f>IF(AO280="","",IF(N(INDEX(Theo_Doi_Tan_Suat_Be_Tong!$C:$C,AO280))&lt;=0,"",INDEX(Theo_Doi_Tan_Suat_Be_Tong!$C:$C,AO280)-VLOOKUP(AN280,$AQ$2:$AR$7,2,FALSE)))</f>
        <v/>
      </c>
      <c r="N280" s="4" t="n"/>
      <c r="O280" s="20">
        <f>IF(ROUNDUP(P280/20,0)&gt;ROUNDUP(P279/20,0),"TN Ø10 (Lần " &amp; ROUNDUP(P280/20,0) &amp; ")","")</f>
        <v/>
      </c>
      <c r="P280" s="16">
        <f>ROUND(P279+IF(AND(E280&lt;=10,F280&lt;&gt;"ASTM A416"),L280,0),3)</f>
        <v/>
      </c>
      <c r="Q280" s="16">
        <f>ROUND(Q279+IF(AND(E280=12,F280&lt;&gt;"ASTM A416"),L280,0),3)</f>
        <v/>
      </c>
      <c r="R280" s="16">
        <f>ROUND(R279+IF(AND(E280=14,F280&lt;&gt;"ASTM A416"),L280,0),3)</f>
        <v/>
      </c>
      <c r="S280" s="16">
        <f>ROUND(S279+IF(AND(E280=16,F280&lt;&gt;"ASTM A416"),L280,0),3)</f>
        <v/>
      </c>
      <c r="T280" s="16">
        <f>ROUND(T279+IF(AND(E280=18,F280&lt;&gt;"ASTM A416"),L280,0),3)</f>
        <v/>
      </c>
      <c r="U280" s="16">
        <f>ROUND(U279+IF(AND(E280=20,F280&lt;&gt;"ASTM A416"),L280,0),3)</f>
        <v/>
      </c>
      <c r="V280" s="16">
        <f>ROUND(V279+IF(AND(E280=22,F280&lt;&gt;"ASTM A416"),L280,0),3)</f>
        <v/>
      </c>
      <c r="W280" s="16">
        <f>ROUND(W279+IF(AND(E280=25,F280&lt;&gt;"ASTM A416"),L280,0),3)</f>
        <v/>
      </c>
      <c r="X280" s="16">
        <f>ROUND(X279+IF(AND(E280=28,F280&lt;&gt;"ASTM A416"),L280,0),3)</f>
        <v/>
      </c>
      <c r="Y280" s="16">
        <f>ROUND(Y279+IF(AND(E280=32,F280&lt;&gt;"ASTM A416"),L280,0),3)</f>
        <v/>
      </c>
      <c r="Z280" s="16">
        <f>ROUND(Z279+IF(F280="ASTM A416",L280,0),3)</f>
        <v/>
      </c>
      <c r="AA280" s="9">
        <f>IF(ROUNDUP(P280/20,0)&gt;ROUNDUP(P279/20,0),"Lần " &amp; ROUNDUP(P280/20,0),"")</f>
        <v/>
      </c>
      <c r="AB280" s="9">
        <f>IF(ROUNDUP(Q280/20,0)&gt;ROUNDUP(Q279/20,0),"Lần " &amp; ROUNDUP(Q280/20,0),"")</f>
        <v/>
      </c>
      <c r="AC280" s="9">
        <f>IF(ROUNDUP(R280/20,0)&gt;ROUNDUP(R279/20,0),"Lần " &amp; ROUNDUP(R280/20,0),"")</f>
        <v/>
      </c>
      <c r="AD280" s="9">
        <f>IF(ROUNDUP(S280/20,0)&gt;ROUNDUP(S279/20,0),"Lần " &amp; ROUNDUP(S280/20,0),"")</f>
        <v/>
      </c>
      <c r="AE280" s="9">
        <f>IF(ROUNDUP(T280/20,0)&gt;ROUNDUP(T279/20,0),"Lần " &amp; ROUNDUP(T280/20,0),"")</f>
        <v/>
      </c>
      <c r="AF280" s="9">
        <f>IF(ROUNDUP(U280/20,0)&gt;ROUNDUP(U279/20,0),"Lần " &amp; ROUNDUP(U280/20,0),"")</f>
        <v/>
      </c>
      <c r="AG280" s="9">
        <f>IF(ROUNDUP(V280/20,0)&gt;ROUNDUP(V279/20,0),"Lần " &amp; ROUNDUP(V280/20,0),"")</f>
        <v/>
      </c>
      <c r="AH280" s="9">
        <f>IF(ROUNDUP(W280/20,0)&gt;ROUNDUP(W279/20,0),"Lần " &amp; ROUNDUP(W280/20,0),"")</f>
        <v/>
      </c>
      <c r="AI280" s="9">
        <f>IF(ROUNDUP(X280/20,0)&gt;ROUNDUP(X279/20,0),"Lần " &amp; ROUNDUP(X280/20,0),"")</f>
        <v/>
      </c>
      <c r="AJ280" s="9">
        <f>IF(ROUNDUP(Y280/20,0)&gt;ROUNDUP(Y279/20,0),"Lần " &amp; ROUNDUP(Y280/20,0),"")</f>
        <v/>
      </c>
      <c r="AK280" s="9">
        <f>IF(ROUNDUP(Z280/20,0)&gt;ROUNDUP(Z279/20,0),"Lần " &amp; ROUNDUP(Z280/20,0),"")</f>
        <v/>
      </c>
      <c r="AL280" s="4" t="n"/>
      <c r="AN280" s="596" t="inlineStr">
        <is>
          <t>Coc</t>
        </is>
      </c>
      <c r="AO280" s="596" t="n">
        <v>21</v>
      </c>
      <c r="AQ280" s="594" t="n"/>
      <c r="AR280" s="595" t="n"/>
    </row>
    <row r="281" ht="19" customHeight="1" s="672">
      <c r="A281" s="4" t="n">
        <v>261</v>
      </c>
      <c r="B281" s="5" t="inlineStr">
        <is>
          <t>Cọc khoan nhồi C5 Mố M2 (D1.2m, L=36.0m)</t>
        </is>
      </c>
      <c r="C281" s="5" t="inlineStr">
        <is>
          <t>Cọc mố M2 L=36m (tr.66)</t>
        </is>
      </c>
      <c r="D281" s="14" t="inlineStr">
        <is>
          <t>P1C</t>
        </is>
      </c>
      <c r="E281" s="15" t="n">
        <v>10</v>
      </c>
      <c r="F281" s="4" t="inlineStr">
        <is>
          <t>CB240-T</t>
        </is>
      </c>
      <c r="G281" s="5" t="inlineStr"/>
      <c r="H281" s="16" t="n">
        <v>3.592</v>
      </c>
      <c r="I281" s="17" t="n">
        <v>2</v>
      </c>
      <c r="J281" s="18" t="n">
        <v>0.617</v>
      </c>
      <c r="K281" s="7">
        <f>ROUND(H281*I281*J281, 2)</f>
        <v/>
      </c>
      <c r="L281" s="19">
        <f>ROUND(K281/1000, 3)</f>
        <v/>
      </c>
      <c r="M281" s="728">
        <f>IF(AO281="","",IF(N(INDEX(Theo_Doi_Tan_Suat_Be_Tong!$C:$C,AO281))&lt;=0,"",INDEX(Theo_Doi_Tan_Suat_Be_Tong!$C:$C,AO281)-VLOOKUP(AN281,$AQ$2:$AR$7,2,FALSE)))</f>
        <v/>
      </c>
      <c r="N281" s="4" t="n"/>
      <c r="O281" s="20">
        <f>IF(ROUNDUP(P281/20,0)&gt;ROUNDUP(P280/20,0),"TN Ø10 (Lần " &amp; ROUNDUP(P281/20,0) &amp; ")","")</f>
        <v/>
      </c>
      <c r="P281" s="16">
        <f>ROUND(P280+IF(AND(E281&lt;=10,F281&lt;&gt;"ASTM A416"),L281,0),3)</f>
        <v/>
      </c>
      <c r="Q281" s="16">
        <f>ROUND(Q280+IF(AND(E281=12,F281&lt;&gt;"ASTM A416"),L281,0),3)</f>
        <v/>
      </c>
      <c r="R281" s="16">
        <f>ROUND(R280+IF(AND(E281=14,F281&lt;&gt;"ASTM A416"),L281,0),3)</f>
        <v/>
      </c>
      <c r="S281" s="16">
        <f>ROUND(S280+IF(AND(E281=16,F281&lt;&gt;"ASTM A416"),L281,0),3)</f>
        <v/>
      </c>
      <c r="T281" s="16">
        <f>ROUND(T280+IF(AND(E281=18,F281&lt;&gt;"ASTM A416"),L281,0),3)</f>
        <v/>
      </c>
      <c r="U281" s="16">
        <f>ROUND(U280+IF(AND(E281=20,F281&lt;&gt;"ASTM A416"),L281,0),3)</f>
        <v/>
      </c>
      <c r="V281" s="16">
        <f>ROUND(V280+IF(AND(E281=22,F281&lt;&gt;"ASTM A416"),L281,0),3)</f>
        <v/>
      </c>
      <c r="W281" s="16">
        <f>ROUND(W280+IF(AND(E281=25,F281&lt;&gt;"ASTM A416"),L281,0),3)</f>
        <v/>
      </c>
      <c r="X281" s="16">
        <f>ROUND(X280+IF(AND(E281=28,F281&lt;&gt;"ASTM A416"),L281,0),3)</f>
        <v/>
      </c>
      <c r="Y281" s="16">
        <f>ROUND(Y280+IF(AND(E281=32,F281&lt;&gt;"ASTM A416"),L281,0),3)</f>
        <v/>
      </c>
      <c r="Z281" s="16">
        <f>ROUND(Z280+IF(F281="ASTM A416",L281,0),3)</f>
        <v/>
      </c>
      <c r="AA281" s="9">
        <f>IF(ROUNDUP(P281/20,0)&gt;ROUNDUP(P280/20,0),"Lần " &amp; ROUNDUP(P281/20,0),"")</f>
        <v/>
      </c>
      <c r="AB281" s="9">
        <f>IF(ROUNDUP(Q281/20,0)&gt;ROUNDUP(Q280/20,0),"Lần " &amp; ROUNDUP(Q281/20,0),"")</f>
        <v/>
      </c>
      <c r="AC281" s="9">
        <f>IF(ROUNDUP(R281/20,0)&gt;ROUNDUP(R280/20,0),"Lần " &amp; ROUNDUP(R281/20,0),"")</f>
        <v/>
      </c>
      <c r="AD281" s="9">
        <f>IF(ROUNDUP(S281/20,0)&gt;ROUNDUP(S280/20,0),"Lần " &amp; ROUNDUP(S281/20,0),"")</f>
        <v/>
      </c>
      <c r="AE281" s="9">
        <f>IF(ROUNDUP(T281/20,0)&gt;ROUNDUP(T280/20,0),"Lần " &amp; ROUNDUP(T281/20,0),"")</f>
        <v/>
      </c>
      <c r="AF281" s="9">
        <f>IF(ROUNDUP(U281/20,0)&gt;ROUNDUP(U280/20,0),"Lần " &amp; ROUNDUP(U281/20,0),"")</f>
        <v/>
      </c>
      <c r="AG281" s="9">
        <f>IF(ROUNDUP(V281/20,0)&gt;ROUNDUP(V280/20,0),"Lần " &amp; ROUNDUP(V281/20,0),"")</f>
        <v/>
      </c>
      <c r="AH281" s="9">
        <f>IF(ROUNDUP(W281/20,0)&gt;ROUNDUP(W280/20,0),"Lần " &amp; ROUNDUP(W281/20,0),"")</f>
        <v/>
      </c>
      <c r="AI281" s="9">
        <f>IF(ROUNDUP(X281/20,0)&gt;ROUNDUP(X280/20,0),"Lần " &amp; ROUNDUP(X281/20,0),"")</f>
        <v/>
      </c>
      <c r="AJ281" s="9">
        <f>IF(ROUNDUP(Y281/20,0)&gt;ROUNDUP(Y280/20,0),"Lần " &amp; ROUNDUP(Y281/20,0),"")</f>
        <v/>
      </c>
      <c r="AK281" s="9">
        <f>IF(ROUNDUP(Z281/20,0)&gt;ROUNDUP(Z280/20,0),"Lần " &amp; ROUNDUP(Z281/20,0),"")</f>
        <v/>
      </c>
      <c r="AL281" s="4" t="n"/>
      <c r="AN281" s="596" t="inlineStr">
        <is>
          <t>Coc</t>
        </is>
      </c>
      <c r="AO281" s="596" t="n">
        <v>21</v>
      </c>
      <c r="AQ281" s="594" t="n"/>
      <c r="AR281" s="595" t="n"/>
    </row>
    <row r="282" ht="19" customHeight="1" s="672">
      <c r="A282" s="4" t="n">
        <v>262</v>
      </c>
      <c r="B282" s="5" t="inlineStr">
        <is>
          <t>Cọc khoan nhồi C5 Mố M2 (D1.2m, L=36.0m)</t>
        </is>
      </c>
      <c r="C282" s="5" t="inlineStr">
        <is>
          <t>Cọc mố M2 L=36m (tr.66)</t>
        </is>
      </c>
      <c r="D282" s="14" t="inlineStr">
        <is>
          <t>P1D</t>
        </is>
      </c>
      <c r="E282" s="15" t="n">
        <v>10</v>
      </c>
      <c r="F282" s="4" t="inlineStr">
        <is>
          <t>CB240-T</t>
        </is>
      </c>
      <c r="G282" s="5" t="inlineStr"/>
      <c r="H282" s="16" t="n">
        <v>23.007</v>
      </c>
      <c r="I282" s="17" t="n">
        <v>1</v>
      </c>
      <c r="J282" s="18" t="n">
        <v>0.617</v>
      </c>
      <c r="K282" s="7">
        <f>ROUND(H282*I282*J282, 2)</f>
        <v/>
      </c>
      <c r="L282" s="19">
        <f>ROUND(K282/1000, 3)</f>
        <v/>
      </c>
      <c r="M282" s="728">
        <f>IF(AO282="","",IF(N(INDEX(Theo_Doi_Tan_Suat_Be_Tong!$C:$C,AO282))&lt;=0,"",INDEX(Theo_Doi_Tan_Suat_Be_Tong!$C:$C,AO282)-VLOOKUP(AN282,$AQ$2:$AR$7,2,FALSE)))</f>
        <v/>
      </c>
      <c r="N282" s="4" t="n"/>
      <c r="O282" s="20">
        <f>IF(ROUNDUP(P282/20,0)&gt;ROUNDUP(P281/20,0),"TN Ø10 (Lần " &amp; ROUNDUP(P282/20,0) &amp; ")","")</f>
        <v/>
      </c>
      <c r="P282" s="16">
        <f>ROUND(P281+IF(AND(E282&lt;=10,F282&lt;&gt;"ASTM A416"),L282,0),3)</f>
        <v/>
      </c>
      <c r="Q282" s="16">
        <f>ROUND(Q281+IF(AND(E282=12,F282&lt;&gt;"ASTM A416"),L282,0),3)</f>
        <v/>
      </c>
      <c r="R282" s="16">
        <f>ROUND(R281+IF(AND(E282=14,F282&lt;&gt;"ASTM A416"),L282,0),3)</f>
        <v/>
      </c>
      <c r="S282" s="16">
        <f>ROUND(S281+IF(AND(E282=16,F282&lt;&gt;"ASTM A416"),L282,0),3)</f>
        <v/>
      </c>
      <c r="T282" s="16">
        <f>ROUND(T281+IF(AND(E282=18,F282&lt;&gt;"ASTM A416"),L282,0),3)</f>
        <v/>
      </c>
      <c r="U282" s="16">
        <f>ROUND(U281+IF(AND(E282=20,F282&lt;&gt;"ASTM A416"),L282,0),3)</f>
        <v/>
      </c>
      <c r="V282" s="16">
        <f>ROUND(V281+IF(AND(E282=22,F282&lt;&gt;"ASTM A416"),L282,0),3)</f>
        <v/>
      </c>
      <c r="W282" s="16">
        <f>ROUND(W281+IF(AND(E282=25,F282&lt;&gt;"ASTM A416"),L282,0),3)</f>
        <v/>
      </c>
      <c r="X282" s="16">
        <f>ROUND(X281+IF(AND(E282=28,F282&lt;&gt;"ASTM A416"),L282,0),3)</f>
        <v/>
      </c>
      <c r="Y282" s="16">
        <f>ROUND(Y281+IF(AND(E282=32,F282&lt;&gt;"ASTM A416"),L282,0),3)</f>
        <v/>
      </c>
      <c r="Z282" s="16">
        <f>ROUND(Z281+IF(F282="ASTM A416",L282,0),3)</f>
        <v/>
      </c>
      <c r="AA282" s="9">
        <f>IF(ROUNDUP(P282/20,0)&gt;ROUNDUP(P281/20,0),"Lần " &amp; ROUNDUP(P282/20,0),"")</f>
        <v/>
      </c>
      <c r="AB282" s="9">
        <f>IF(ROUNDUP(Q282/20,0)&gt;ROUNDUP(Q281/20,0),"Lần " &amp; ROUNDUP(Q282/20,0),"")</f>
        <v/>
      </c>
      <c r="AC282" s="9">
        <f>IF(ROUNDUP(R282/20,0)&gt;ROUNDUP(R281/20,0),"Lần " &amp; ROUNDUP(R282/20,0),"")</f>
        <v/>
      </c>
      <c r="AD282" s="9">
        <f>IF(ROUNDUP(S282/20,0)&gt;ROUNDUP(S281/20,0),"Lần " &amp; ROUNDUP(S282/20,0),"")</f>
        <v/>
      </c>
      <c r="AE282" s="9">
        <f>IF(ROUNDUP(T282/20,0)&gt;ROUNDUP(T281/20,0),"Lần " &amp; ROUNDUP(T282/20,0),"")</f>
        <v/>
      </c>
      <c r="AF282" s="9">
        <f>IF(ROUNDUP(U282/20,0)&gt;ROUNDUP(U281/20,0),"Lần " &amp; ROUNDUP(U282/20,0),"")</f>
        <v/>
      </c>
      <c r="AG282" s="9">
        <f>IF(ROUNDUP(V282/20,0)&gt;ROUNDUP(V281/20,0),"Lần " &amp; ROUNDUP(V282/20,0),"")</f>
        <v/>
      </c>
      <c r="AH282" s="9">
        <f>IF(ROUNDUP(W282/20,0)&gt;ROUNDUP(W281/20,0),"Lần " &amp; ROUNDUP(W282/20,0),"")</f>
        <v/>
      </c>
      <c r="AI282" s="9">
        <f>IF(ROUNDUP(X282/20,0)&gt;ROUNDUP(X281/20,0),"Lần " &amp; ROUNDUP(X282/20,0),"")</f>
        <v/>
      </c>
      <c r="AJ282" s="9">
        <f>IF(ROUNDUP(Y282/20,0)&gt;ROUNDUP(Y281/20,0),"Lần " &amp; ROUNDUP(Y282/20,0),"")</f>
        <v/>
      </c>
      <c r="AK282" s="9">
        <f>IF(ROUNDUP(Z282/20,0)&gt;ROUNDUP(Z281/20,0),"Lần " &amp; ROUNDUP(Z282/20,0),"")</f>
        <v/>
      </c>
      <c r="AL282" s="4" t="n"/>
      <c r="AN282" s="596" t="inlineStr">
        <is>
          <t>Coc</t>
        </is>
      </c>
      <c r="AO282" s="596" t="n">
        <v>21</v>
      </c>
      <c r="AQ282" s="594" t="n"/>
      <c r="AR282" s="595" t="n"/>
    </row>
    <row r="283" ht="19" customHeight="1" s="672">
      <c r="A283" s="4" t="n">
        <v>263</v>
      </c>
      <c r="B283" s="5" t="inlineStr">
        <is>
          <t>Cọc khoan nhồi C5 Mố M2 (D1.2m, L=36.0m)</t>
        </is>
      </c>
      <c r="C283" s="5" t="inlineStr">
        <is>
          <t>Cọc mố M2 L=36m (tr.66)</t>
        </is>
      </c>
      <c r="D283" s="14" t="inlineStr">
        <is>
          <t>P2A</t>
        </is>
      </c>
      <c r="E283" s="15" t="n">
        <v>28</v>
      </c>
      <c r="F283" s="4" t="inlineStr">
        <is>
          <t>CB400-V</t>
        </is>
      </c>
      <c r="G283" s="5" t="inlineStr"/>
      <c r="H283" s="16" t="n">
        <v>2.966</v>
      </c>
      <c r="I283" s="17" t="n">
        <v>5</v>
      </c>
      <c r="J283" s="18" t="n">
        <v>4.834</v>
      </c>
      <c r="K283" s="7">
        <f>ROUND(H283*I283*J283, 2)</f>
        <v/>
      </c>
      <c r="L283" s="19">
        <f>ROUND(K283/1000, 3)</f>
        <v/>
      </c>
      <c r="M283" s="728">
        <f>IF(AO283="","",IF(N(INDEX(Theo_Doi_Tan_Suat_Be_Tong!$C:$C,AO283))&lt;=0,"",INDEX(Theo_Doi_Tan_Suat_Be_Tong!$C:$C,AO283)-VLOOKUP(AN283,$AQ$2:$AR$7,2,FALSE)))</f>
        <v/>
      </c>
      <c r="N283" s="4" t="n"/>
      <c r="O283" s="20">
        <f>IF(ROUNDUP(X283/20,0)&gt;ROUNDUP(X282/20,0),"TN Ø28 (Lần " &amp; ROUNDUP(X283/20,0) &amp; ")","")</f>
        <v/>
      </c>
      <c r="P283" s="16">
        <f>ROUND(P282+IF(AND(E283&lt;=10,F283&lt;&gt;"ASTM A416"),L283,0),3)</f>
        <v/>
      </c>
      <c r="Q283" s="16">
        <f>ROUND(Q282+IF(AND(E283=12,F283&lt;&gt;"ASTM A416"),L283,0),3)</f>
        <v/>
      </c>
      <c r="R283" s="16">
        <f>ROUND(R282+IF(AND(E283=14,F283&lt;&gt;"ASTM A416"),L283,0),3)</f>
        <v/>
      </c>
      <c r="S283" s="16">
        <f>ROUND(S282+IF(AND(E283=16,F283&lt;&gt;"ASTM A416"),L283,0),3)</f>
        <v/>
      </c>
      <c r="T283" s="16">
        <f>ROUND(T282+IF(AND(E283=18,F283&lt;&gt;"ASTM A416"),L283,0),3)</f>
        <v/>
      </c>
      <c r="U283" s="16">
        <f>ROUND(U282+IF(AND(E283=20,F283&lt;&gt;"ASTM A416"),L283,0),3)</f>
        <v/>
      </c>
      <c r="V283" s="16">
        <f>ROUND(V282+IF(AND(E283=22,F283&lt;&gt;"ASTM A416"),L283,0),3)</f>
        <v/>
      </c>
      <c r="W283" s="16">
        <f>ROUND(W282+IF(AND(E283=25,F283&lt;&gt;"ASTM A416"),L283,0),3)</f>
        <v/>
      </c>
      <c r="X283" s="16">
        <f>ROUND(X282+IF(AND(E283=28,F283&lt;&gt;"ASTM A416"),L283,0),3)</f>
        <v/>
      </c>
      <c r="Y283" s="16">
        <f>ROUND(Y282+IF(AND(E283=32,F283&lt;&gt;"ASTM A416"),L283,0),3)</f>
        <v/>
      </c>
      <c r="Z283" s="16">
        <f>ROUND(Z282+IF(F283="ASTM A416",L283,0),3)</f>
        <v/>
      </c>
      <c r="AA283" s="9">
        <f>IF(ROUNDUP(P283/20,0)&gt;ROUNDUP(P282/20,0),"Lần " &amp; ROUNDUP(P283/20,0),"")</f>
        <v/>
      </c>
      <c r="AB283" s="9">
        <f>IF(ROUNDUP(Q283/20,0)&gt;ROUNDUP(Q282/20,0),"Lần " &amp; ROUNDUP(Q283/20,0),"")</f>
        <v/>
      </c>
      <c r="AC283" s="9">
        <f>IF(ROUNDUP(R283/20,0)&gt;ROUNDUP(R282/20,0),"Lần " &amp; ROUNDUP(R283/20,0),"")</f>
        <v/>
      </c>
      <c r="AD283" s="9">
        <f>IF(ROUNDUP(S283/20,0)&gt;ROUNDUP(S282/20,0),"Lần " &amp; ROUNDUP(S283/20,0),"")</f>
        <v/>
      </c>
      <c r="AE283" s="9">
        <f>IF(ROUNDUP(T283/20,0)&gt;ROUNDUP(T282/20,0),"Lần " &amp; ROUNDUP(T283/20,0),"")</f>
        <v/>
      </c>
      <c r="AF283" s="9">
        <f>IF(ROUNDUP(U283/20,0)&gt;ROUNDUP(U282/20,0),"Lần " &amp; ROUNDUP(U283/20,0),"")</f>
        <v/>
      </c>
      <c r="AG283" s="9">
        <f>IF(ROUNDUP(V283/20,0)&gt;ROUNDUP(V282/20,0),"Lần " &amp; ROUNDUP(V283/20,0),"")</f>
        <v/>
      </c>
      <c r="AH283" s="9">
        <f>IF(ROUNDUP(W283/20,0)&gt;ROUNDUP(W282/20,0),"Lần " &amp; ROUNDUP(W283/20,0),"")</f>
        <v/>
      </c>
      <c r="AI283" s="9">
        <f>IF(ROUNDUP(X283/20,0)&gt;ROUNDUP(X282/20,0),"Lần " &amp; ROUNDUP(X283/20,0),"")</f>
        <v/>
      </c>
      <c r="AJ283" s="9">
        <f>IF(ROUNDUP(Y283/20,0)&gt;ROUNDUP(Y282/20,0),"Lần " &amp; ROUNDUP(Y283/20,0),"")</f>
        <v/>
      </c>
      <c r="AK283" s="9">
        <f>IF(ROUNDUP(Z283/20,0)&gt;ROUNDUP(Z282/20,0),"Lần " &amp; ROUNDUP(Z283/20,0),"")</f>
        <v/>
      </c>
      <c r="AL283" s="4" t="n"/>
      <c r="AN283" s="596" t="inlineStr">
        <is>
          <t>Coc</t>
        </is>
      </c>
      <c r="AO283" s="596" t="n">
        <v>21</v>
      </c>
      <c r="AQ283" s="594" t="n"/>
      <c r="AR283" s="595" t="n"/>
    </row>
    <row r="284" ht="19" customHeight="1" s="672">
      <c r="A284" s="4" t="n">
        <v>264</v>
      </c>
      <c r="B284" s="5" t="inlineStr">
        <is>
          <t>Cọc khoan nhồi C5 Mố M2 (D1.2m, L=36.0m)</t>
        </is>
      </c>
      <c r="C284" s="5" t="inlineStr">
        <is>
          <t>Cọc mố M2 L=36m (tr.66)</t>
        </is>
      </c>
      <c r="D284" s="14" t="inlineStr">
        <is>
          <t>P2B</t>
        </is>
      </c>
      <c r="E284" s="15" t="n">
        <v>25</v>
      </c>
      <c r="F284" s="4" t="inlineStr">
        <is>
          <t>CB400-V</t>
        </is>
      </c>
      <c r="G284" s="5" t="inlineStr"/>
      <c r="H284" s="16" t="n">
        <v>2.985</v>
      </c>
      <c r="I284" s="17" t="n">
        <v>10</v>
      </c>
      <c r="J284" s="18" t="n">
        <v>3.853</v>
      </c>
      <c r="K284" s="7">
        <f>ROUND(H284*I284*J284, 2)</f>
        <v/>
      </c>
      <c r="L284" s="19">
        <f>ROUND(K284/1000, 3)</f>
        <v/>
      </c>
      <c r="M284" s="728">
        <f>IF(AO284="","",IF(N(INDEX(Theo_Doi_Tan_Suat_Be_Tong!$C:$C,AO284))&lt;=0,"",INDEX(Theo_Doi_Tan_Suat_Be_Tong!$C:$C,AO284)-VLOOKUP(AN284,$AQ$2:$AR$7,2,FALSE)))</f>
        <v/>
      </c>
      <c r="N284" s="4" t="n"/>
      <c r="O284" s="20">
        <f>IF(ROUNDUP(W284/20,0)&gt;ROUNDUP(W283/20,0),"TN Ø25 (Lần " &amp; ROUNDUP(W284/20,0) &amp; ")","")</f>
        <v/>
      </c>
      <c r="P284" s="16">
        <f>ROUND(P283+IF(AND(E284&lt;=10,F284&lt;&gt;"ASTM A416"),L284,0),3)</f>
        <v/>
      </c>
      <c r="Q284" s="16">
        <f>ROUND(Q283+IF(AND(E284=12,F284&lt;&gt;"ASTM A416"),L284,0),3)</f>
        <v/>
      </c>
      <c r="R284" s="16">
        <f>ROUND(R283+IF(AND(E284=14,F284&lt;&gt;"ASTM A416"),L284,0),3)</f>
        <v/>
      </c>
      <c r="S284" s="16">
        <f>ROUND(S283+IF(AND(E284=16,F284&lt;&gt;"ASTM A416"),L284,0),3)</f>
        <v/>
      </c>
      <c r="T284" s="16">
        <f>ROUND(T283+IF(AND(E284=18,F284&lt;&gt;"ASTM A416"),L284,0),3)</f>
        <v/>
      </c>
      <c r="U284" s="16">
        <f>ROUND(U283+IF(AND(E284=20,F284&lt;&gt;"ASTM A416"),L284,0),3)</f>
        <v/>
      </c>
      <c r="V284" s="16">
        <f>ROUND(V283+IF(AND(E284=22,F284&lt;&gt;"ASTM A416"),L284,0),3)</f>
        <v/>
      </c>
      <c r="W284" s="16">
        <f>ROUND(W283+IF(AND(E284=25,F284&lt;&gt;"ASTM A416"),L284,0),3)</f>
        <v/>
      </c>
      <c r="X284" s="16">
        <f>ROUND(X283+IF(AND(E284=28,F284&lt;&gt;"ASTM A416"),L284,0),3)</f>
        <v/>
      </c>
      <c r="Y284" s="16">
        <f>ROUND(Y283+IF(AND(E284=32,F284&lt;&gt;"ASTM A416"),L284,0),3)</f>
        <v/>
      </c>
      <c r="Z284" s="16">
        <f>ROUND(Z283+IF(F284="ASTM A416",L284,0),3)</f>
        <v/>
      </c>
      <c r="AA284" s="9">
        <f>IF(ROUNDUP(P284/20,0)&gt;ROUNDUP(P283/20,0),"Lần " &amp; ROUNDUP(P284/20,0),"")</f>
        <v/>
      </c>
      <c r="AB284" s="9">
        <f>IF(ROUNDUP(Q284/20,0)&gt;ROUNDUP(Q283/20,0),"Lần " &amp; ROUNDUP(Q284/20,0),"")</f>
        <v/>
      </c>
      <c r="AC284" s="9">
        <f>IF(ROUNDUP(R284/20,0)&gt;ROUNDUP(R283/20,0),"Lần " &amp; ROUNDUP(R284/20,0),"")</f>
        <v/>
      </c>
      <c r="AD284" s="9">
        <f>IF(ROUNDUP(S284/20,0)&gt;ROUNDUP(S283/20,0),"Lần " &amp; ROUNDUP(S284/20,0),"")</f>
        <v/>
      </c>
      <c r="AE284" s="9">
        <f>IF(ROUNDUP(T284/20,0)&gt;ROUNDUP(T283/20,0),"Lần " &amp; ROUNDUP(T284/20,0),"")</f>
        <v/>
      </c>
      <c r="AF284" s="9">
        <f>IF(ROUNDUP(U284/20,0)&gt;ROUNDUP(U283/20,0),"Lần " &amp; ROUNDUP(U284/20,0),"")</f>
        <v/>
      </c>
      <c r="AG284" s="9">
        <f>IF(ROUNDUP(V284/20,0)&gt;ROUNDUP(V283/20,0),"Lần " &amp; ROUNDUP(V284/20,0),"")</f>
        <v/>
      </c>
      <c r="AH284" s="9">
        <f>IF(ROUNDUP(W284/20,0)&gt;ROUNDUP(W283/20,0),"Lần " &amp; ROUNDUP(W284/20,0),"")</f>
        <v/>
      </c>
      <c r="AI284" s="9">
        <f>IF(ROUNDUP(X284/20,0)&gt;ROUNDUP(X283/20,0),"Lần " &amp; ROUNDUP(X284/20,0),"")</f>
        <v/>
      </c>
      <c r="AJ284" s="9">
        <f>IF(ROUNDUP(Y284/20,0)&gt;ROUNDUP(Y283/20,0),"Lần " &amp; ROUNDUP(Y284/20,0),"")</f>
        <v/>
      </c>
      <c r="AK284" s="9">
        <f>IF(ROUNDUP(Z284/20,0)&gt;ROUNDUP(Z283/20,0),"Lần " &amp; ROUNDUP(Z284/20,0),"")</f>
        <v/>
      </c>
      <c r="AL284" s="4" t="n"/>
      <c r="AN284" s="596" t="inlineStr">
        <is>
          <t>Coc</t>
        </is>
      </c>
      <c r="AO284" s="596" t="n">
        <v>21</v>
      </c>
      <c r="AQ284" s="594" t="n"/>
      <c r="AR284" s="595" t="n"/>
    </row>
    <row r="285" ht="19" customHeight="1" s="672">
      <c r="A285" s="4" t="n">
        <v>265</v>
      </c>
      <c r="B285" s="5" t="inlineStr">
        <is>
          <t>Cọc khoan nhồi C5 Mố M2 (D1.2m, L=36.0m)</t>
        </is>
      </c>
      <c r="C285" s="5" t="inlineStr">
        <is>
          <t>Cọc mố M2 L=36m (tr.66)</t>
        </is>
      </c>
      <c r="D285" s="14" t="inlineStr">
        <is>
          <t>P3</t>
        </is>
      </c>
      <c r="E285" s="15" t="n">
        <v>28</v>
      </c>
      <c r="F285" s="4" t="inlineStr">
        <is>
          <t>CB400-V</t>
        </is>
      </c>
      <c r="G285" s="5" t="inlineStr"/>
      <c r="H285" s="16" t="n">
        <v>10.7</v>
      </c>
      <c r="I285" s="17" t="n">
        <v>12</v>
      </c>
      <c r="J285" s="18" t="n">
        <v>4.834</v>
      </c>
      <c r="K285" s="7">
        <f>ROUND(H285*I285*J285, 2)</f>
        <v/>
      </c>
      <c r="L285" s="19">
        <f>ROUND(K285/1000, 3)</f>
        <v/>
      </c>
      <c r="M285" s="728">
        <f>IF(AO285="","",IF(N(INDEX(Theo_Doi_Tan_Suat_Be_Tong!$C:$C,AO285))&lt;=0,"",INDEX(Theo_Doi_Tan_Suat_Be_Tong!$C:$C,AO285)-VLOOKUP(AN285,$AQ$2:$AR$7,2,FALSE)))</f>
        <v/>
      </c>
      <c r="N285" s="4" t="n"/>
      <c r="O285" s="20">
        <f>IF(ROUNDUP(X285/20,0)&gt;ROUNDUP(X284/20,0),"TN Ø28 (Lần " &amp; ROUNDUP(X285/20,0) &amp; ")","")</f>
        <v/>
      </c>
      <c r="P285" s="16">
        <f>ROUND(P284+IF(AND(E285&lt;=10,F285&lt;&gt;"ASTM A416"),L285,0),3)</f>
        <v/>
      </c>
      <c r="Q285" s="16">
        <f>ROUND(Q284+IF(AND(E285=12,F285&lt;&gt;"ASTM A416"),L285,0),3)</f>
        <v/>
      </c>
      <c r="R285" s="16">
        <f>ROUND(R284+IF(AND(E285=14,F285&lt;&gt;"ASTM A416"),L285,0),3)</f>
        <v/>
      </c>
      <c r="S285" s="16">
        <f>ROUND(S284+IF(AND(E285=16,F285&lt;&gt;"ASTM A416"),L285,0),3)</f>
        <v/>
      </c>
      <c r="T285" s="16">
        <f>ROUND(T284+IF(AND(E285=18,F285&lt;&gt;"ASTM A416"),L285,0),3)</f>
        <v/>
      </c>
      <c r="U285" s="16">
        <f>ROUND(U284+IF(AND(E285=20,F285&lt;&gt;"ASTM A416"),L285,0),3)</f>
        <v/>
      </c>
      <c r="V285" s="16">
        <f>ROUND(V284+IF(AND(E285=22,F285&lt;&gt;"ASTM A416"),L285,0),3)</f>
        <v/>
      </c>
      <c r="W285" s="16">
        <f>ROUND(W284+IF(AND(E285=25,F285&lt;&gt;"ASTM A416"),L285,0),3)</f>
        <v/>
      </c>
      <c r="X285" s="16">
        <f>ROUND(X284+IF(AND(E285=28,F285&lt;&gt;"ASTM A416"),L285,0),3)</f>
        <v/>
      </c>
      <c r="Y285" s="16">
        <f>ROUND(Y284+IF(AND(E285=32,F285&lt;&gt;"ASTM A416"),L285,0),3)</f>
        <v/>
      </c>
      <c r="Z285" s="16">
        <f>ROUND(Z284+IF(F285="ASTM A416",L285,0),3)</f>
        <v/>
      </c>
      <c r="AA285" s="9">
        <f>IF(ROUNDUP(P285/20,0)&gt;ROUNDUP(P284/20,0),"Lần " &amp; ROUNDUP(P285/20,0),"")</f>
        <v/>
      </c>
      <c r="AB285" s="9">
        <f>IF(ROUNDUP(Q285/20,0)&gt;ROUNDUP(Q284/20,0),"Lần " &amp; ROUNDUP(Q285/20,0),"")</f>
        <v/>
      </c>
      <c r="AC285" s="9">
        <f>IF(ROUNDUP(R285/20,0)&gt;ROUNDUP(R284/20,0),"Lần " &amp; ROUNDUP(R285/20,0),"")</f>
        <v/>
      </c>
      <c r="AD285" s="9">
        <f>IF(ROUNDUP(S285/20,0)&gt;ROUNDUP(S284/20,0),"Lần " &amp; ROUNDUP(S285/20,0),"")</f>
        <v/>
      </c>
      <c r="AE285" s="9">
        <f>IF(ROUNDUP(T285/20,0)&gt;ROUNDUP(T284/20,0),"Lần " &amp; ROUNDUP(T285/20,0),"")</f>
        <v/>
      </c>
      <c r="AF285" s="9">
        <f>IF(ROUNDUP(U285/20,0)&gt;ROUNDUP(U284/20,0),"Lần " &amp; ROUNDUP(U285/20,0),"")</f>
        <v/>
      </c>
      <c r="AG285" s="9">
        <f>IF(ROUNDUP(V285/20,0)&gt;ROUNDUP(V284/20,0),"Lần " &amp; ROUNDUP(V285/20,0),"")</f>
        <v/>
      </c>
      <c r="AH285" s="9">
        <f>IF(ROUNDUP(W285/20,0)&gt;ROUNDUP(W284/20,0),"Lần " &amp; ROUNDUP(W285/20,0),"")</f>
        <v/>
      </c>
      <c r="AI285" s="9">
        <f>IF(ROUNDUP(X285/20,0)&gt;ROUNDUP(X284/20,0),"Lần " &amp; ROUNDUP(X285/20,0),"")</f>
        <v/>
      </c>
      <c r="AJ285" s="9">
        <f>IF(ROUNDUP(Y285/20,0)&gt;ROUNDUP(Y284/20,0),"Lần " &amp; ROUNDUP(Y285/20,0),"")</f>
        <v/>
      </c>
      <c r="AK285" s="9">
        <f>IF(ROUNDUP(Z285/20,0)&gt;ROUNDUP(Z284/20,0),"Lần " &amp; ROUNDUP(Z285/20,0),"")</f>
        <v/>
      </c>
      <c r="AL285" s="4" t="n"/>
      <c r="AN285" s="596" t="inlineStr">
        <is>
          <t>Coc</t>
        </is>
      </c>
      <c r="AO285" s="596" t="n">
        <v>21</v>
      </c>
      <c r="AQ285" s="594" t="n"/>
      <c r="AR285" s="595" t="n"/>
    </row>
    <row r="286" ht="19" customHeight="1" s="672">
      <c r="A286" s="4" t="n">
        <v>266</v>
      </c>
      <c r="B286" s="5" t="inlineStr">
        <is>
          <t>Cọc khoan nhồi C5 Mố M2 (D1.2m, L=36.0m)</t>
        </is>
      </c>
      <c r="C286" s="5" t="inlineStr">
        <is>
          <t>Cọc mố M2 L=36m (tr.66)</t>
        </is>
      </c>
      <c r="D286" s="14" t="inlineStr">
        <is>
          <t>P4</t>
        </is>
      </c>
      <c r="E286" s="15" t="n">
        <v>28</v>
      </c>
      <c r="F286" s="4" t="inlineStr">
        <is>
          <t>CB400-V</t>
        </is>
      </c>
      <c r="G286" s="5" t="inlineStr"/>
      <c r="H286" s="16" t="n">
        <v>11.7</v>
      </c>
      <c r="I286" s="17" t="n">
        <v>12</v>
      </c>
      <c r="J286" s="18" t="n">
        <v>4.834</v>
      </c>
      <c r="K286" s="7">
        <f>ROUND(H286*I286*J286, 2)</f>
        <v/>
      </c>
      <c r="L286" s="19">
        <f>ROUND(K286/1000, 3)</f>
        <v/>
      </c>
      <c r="M286" s="728">
        <f>IF(AO286="","",IF(N(INDEX(Theo_Doi_Tan_Suat_Be_Tong!$C:$C,AO286))&lt;=0,"",INDEX(Theo_Doi_Tan_Suat_Be_Tong!$C:$C,AO286)-VLOOKUP(AN286,$AQ$2:$AR$7,2,FALSE)))</f>
        <v/>
      </c>
      <c r="N286" s="4" t="n"/>
      <c r="O286" s="20">
        <f>IF(ROUNDUP(X286/20,0)&gt;ROUNDUP(X285/20,0),"TN Ø28 (Lần " &amp; ROUNDUP(X286/20,0) &amp; ")","")</f>
        <v/>
      </c>
      <c r="P286" s="16">
        <f>ROUND(P285+IF(AND(E286&lt;=10,F286&lt;&gt;"ASTM A416"),L286,0),3)</f>
        <v/>
      </c>
      <c r="Q286" s="16">
        <f>ROUND(Q285+IF(AND(E286=12,F286&lt;&gt;"ASTM A416"),L286,0),3)</f>
        <v/>
      </c>
      <c r="R286" s="16">
        <f>ROUND(R285+IF(AND(E286=14,F286&lt;&gt;"ASTM A416"),L286,0),3)</f>
        <v/>
      </c>
      <c r="S286" s="16">
        <f>ROUND(S285+IF(AND(E286=16,F286&lt;&gt;"ASTM A416"),L286,0),3)</f>
        <v/>
      </c>
      <c r="T286" s="16">
        <f>ROUND(T285+IF(AND(E286=18,F286&lt;&gt;"ASTM A416"),L286,0),3)</f>
        <v/>
      </c>
      <c r="U286" s="16">
        <f>ROUND(U285+IF(AND(E286=20,F286&lt;&gt;"ASTM A416"),L286,0),3)</f>
        <v/>
      </c>
      <c r="V286" s="16">
        <f>ROUND(V285+IF(AND(E286=22,F286&lt;&gt;"ASTM A416"),L286,0),3)</f>
        <v/>
      </c>
      <c r="W286" s="16">
        <f>ROUND(W285+IF(AND(E286=25,F286&lt;&gt;"ASTM A416"),L286,0),3)</f>
        <v/>
      </c>
      <c r="X286" s="16">
        <f>ROUND(X285+IF(AND(E286=28,F286&lt;&gt;"ASTM A416"),L286,0),3)</f>
        <v/>
      </c>
      <c r="Y286" s="16">
        <f>ROUND(Y285+IF(AND(E286=32,F286&lt;&gt;"ASTM A416"),L286,0),3)</f>
        <v/>
      </c>
      <c r="Z286" s="16">
        <f>ROUND(Z285+IF(F286="ASTM A416",L286,0),3)</f>
        <v/>
      </c>
      <c r="AA286" s="9">
        <f>IF(ROUNDUP(P286/20,0)&gt;ROUNDUP(P285/20,0),"Lần " &amp; ROUNDUP(P286/20,0),"")</f>
        <v/>
      </c>
      <c r="AB286" s="9">
        <f>IF(ROUNDUP(Q286/20,0)&gt;ROUNDUP(Q285/20,0),"Lần " &amp; ROUNDUP(Q286/20,0),"")</f>
        <v/>
      </c>
      <c r="AC286" s="9">
        <f>IF(ROUNDUP(R286/20,0)&gt;ROUNDUP(R285/20,0),"Lần " &amp; ROUNDUP(R286/20,0),"")</f>
        <v/>
      </c>
      <c r="AD286" s="9">
        <f>IF(ROUNDUP(S286/20,0)&gt;ROUNDUP(S285/20,0),"Lần " &amp; ROUNDUP(S286/20,0),"")</f>
        <v/>
      </c>
      <c r="AE286" s="9">
        <f>IF(ROUNDUP(T286/20,0)&gt;ROUNDUP(T285/20,0),"Lần " &amp; ROUNDUP(T286/20,0),"")</f>
        <v/>
      </c>
      <c r="AF286" s="9">
        <f>IF(ROUNDUP(U286/20,0)&gt;ROUNDUP(U285/20,0),"Lần " &amp; ROUNDUP(U286/20,0),"")</f>
        <v/>
      </c>
      <c r="AG286" s="9">
        <f>IF(ROUNDUP(V286/20,0)&gt;ROUNDUP(V285/20,0),"Lần " &amp; ROUNDUP(V286/20,0),"")</f>
        <v/>
      </c>
      <c r="AH286" s="9">
        <f>IF(ROUNDUP(W286/20,0)&gt;ROUNDUP(W285/20,0),"Lần " &amp; ROUNDUP(W286/20,0),"")</f>
        <v/>
      </c>
      <c r="AI286" s="9">
        <f>IF(ROUNDUP(X286/20,0)&gt;ROUNDUP(X285/20,0),"Lần " &amp; ROUNDUP(X286/20,0),"")</f>
        <v/>
      </c>
      <c r="AJ286" s="9">
        <f>IF(ROUNDUP(Y286/20,0)&gt;ROUNDUP(Y285/20,0),"Lần " &amp; ROUNDUP(Y286/20,0),"")</f>
        <v/>
      </c>
      <c r="AK286" s="9">
        <f>IF(ROUNDUP(Z286/20,0)&gt;ROUNDUP(Z285/20,0),"Lần " &amp; ROUNDUP(Z286/20,0),"")</f>
        <v/>
      </c>
      <c r="AL286" s="4" t="n"/>
      <c r="AN286" s="596" t="inlineStr">
        <is>
          <t>Coc</t>
        </is>
      </c>
      <c r="AO286" s="596" t="n">
        <v>21</v>
      </c>
      <c r="AQ286" s="594" t="n"/>
      <c r="AR286" s="595" t="n"/>
    </row>
    <row r="287" ht="19" customHeight="1" s="672">
      <c r="A287" s="4" t="n">
        <v>267</v>
      </c>
      <c r="B287" s="5" t="inlineStr">
        <is>
          <t>Cọc khoan nhồi C5 Mố M2 (D1.2m, L=36.0m)</t>
        </is>
      </c>
      <c r="C287" s="5" t="inlineStr">
        <is>
          <t>Cọc mố M2 L=36m (tr.66)</t>
        </is>
      </c>
      <c r="D287" s="14" t="inlineStr">
        <is>
          <t>P5</t>
        </is>
      </c>
      <c r="E287" s="15" t="n">
        <v>25</v>
      </c>
      <c r="F287" s="4" t="inlineStr">
        <is>
          <t>CB400-V</t>
        </is>
      </c>
      <c r="G287" s="5" t="inlineStr"/>
      <c r="H287" s="16" t="n">
        <v>11.7</v>
      </c>
      <c r="I287" s="17" t="n">
        <v>48</v>
      </c>
      <c r="J287" s="18" t="n">
        <v>3.853</v>
      </c>
      <c r="K287" s="7">
        <f>ROUND(H287*I287*J287, 2)</f>
        <v/>
      </c>
      <c r="L287" s="19">
        <f>ROUND(K287/1000, 3)</f>
        <v/>
      </c>
      <c r="M287" s="728">
        <f>IF(AO287="","",IF(N(INDEX(Theo_Doi_Tan_Suat_Be_Tong!$C:$C,AO287))&lt;=0,"",INDEX(Theo_Doi_Tan_Suat_Be_Tong!$C:$C,AO287)-VLOOKUP(AN287,$AQ$2:$AR$7,2,FALSE)))</f>
        <v/>
      </c>
      <c r="N287" s="4" t="n"/>
      <c r="O287" s="20">
        <f>IF(ROUNDUP(W287/20,0)&gt;ROUNDUP(W286/20,0),"TN Ø25 (Lần " &amp; ROUNDUP(W287/20,0) &amp; ")","")</f>
        <v/>
      </c>
      <c r="P287" s="16">
        <f>ROUND(P286+IF(AND(E287&lt;=10,F287&lt;&gt;"ASTM A416"),L287,0),3)</f>
        <v/>
      </c>
      <c r="Q287" s="16">
        <f>ROUND(Q286+IF(AND(E287=12,F287&lt;&gt;"ASTM A416"),L287,0),3)</f>
        <v/>
      </c>
      <c r="R287" s="16">
        <f>ROUND(R286+IF(AND(E287=14,F287&lt;&gt;"ASTM A416"),L287,0),3)</f>
        <v/>
      </c>
      <c r="S287" s="16">
        <f>ROUND(S286+IF(AND(E287=16,F287&lt;&gt;"ASTM A416"),L287,0),3)</f>
        <v/>
      </c>
      <c r="T287" s="16">
        <f>ROUND(T286+IF(AND(E287=18,F287&lt;&gt;"ASTM A416"),L287,0),3)</f>
        <v/>
      </c>
      <c r="U287" s="16">
        <f>ROUND(U286+IF(AND(E287=20,F287&lt;&gt;"ASTM A416"),L287,0),3)</f>
        <v/>
      </c>
      <c r="V287" s="16">
        <f>ROUND(V286+IF(AND(E287=22,F287&lt;&gt;"ASTM A416"),L287,0),3)</f>
        <v/>
      </c>
      <c r="W287" s="16">
        <f>ROUND(W286+IF(AND(E287=25,F287&lt;&gt;"ASTM A416"),L287,0),3)</f>
        <v/>
      </c>
      <c r="X287" s="16">
        <f>ROUND(X286+IF(AND(E287=28,F287&lt;&gt;"ASTM A416"),L287,0),3)</f>
        <v/>
      </c>
      <c r="Y287" s="16">
        <f>ROUND(Y286+IF(AND(E287=32,F287&lt;&gt;"ASTM A416"),L287,0),3)</f>
        <v/>
      </c>
      <c r="Z287" s="16">
        <f>ROUND(Z286+IF(F287="ASTM A416",L287,0),3)</f>
        <v/>
      </c>
      <c r="AA287" s="9">
        <f>IF(ROUNDUP(P287/20,0)&gt;ROUNDUP(P286/20,0),"Lần " &amp; ROUNDUP(P287/20,0),"")</f>
        <v/>
      </c>
      <c r="AB287" s="9">
        <f>IF(ROUNDUP(Q287/20,0)&gt;ROUNDUP(Q286/20,0),"Lần " &amp; ROUNDUP(Q287/20,0),"")</f>
        <v/>
      </c>
      <c r="AC287" s="9">
        <f>IF(ROUNDUP(R287/20,0)&gt;ROUNDUP(R286/20,0),"Lần " &amp; ROUNDUP(R287/20,0),"")</f>
        <v/>
      </c>
      <c r="AD287" s="9">
        <f>IF(ROUNDUP(S287/20,0)&gt;ROUNDUP(S286/20,0),"Lần " &amp; ROUNDUP(S287/20,0),"")</f>
        <v/>
      </c>
      <c r="AE287" s="9">
        <f>IF(ROUNDUP(T287/20,0)&gt;ROUNDUP(T286/20,0),"Lần " &amp; ROUNDUP(T287/20,0),"")</f>
        <v/>
      </c>
      <c r="AF287" s="9">
        <f>IF(ROUNDUP(U287/20,0)&gt;ROUNDUP(U286/20,0),"Lần " &amp; ROUNDUP(U287/20,0),"")</f>
        <v/>
      </c>
      <c r="AG287" s="9">
        <f>IF(ROUNDUP(V287/20,0)&gt;ROUNDUP(V286/20,0),"Lần " &amp; ROUNDUP(V287/20,0),"")</f>
        <v/>
      </c>
      <c r="AH287" s="9">
        <f>IF(ROUNDUP(W287/20,0)&gt;ROUNDUP(W286/20,0),"Lần " &amp; ROUNDUP(W287/20,0),"")</f>
        <v/>
      </c>
      <c r="AI287" s="9">
        <f>IF(ROUNDUP(X287/20,0)&gt;ROUNDUP(X286/20,0),"Lần " &amp; ROUNDUP(X287/20,0),"")</f>
        <v/>
      </c>
      <c r="AJ287" s="9">
        <f>IF(ROUNDUP(Y287/20,0)&gt;ROUNDUP(Y286/20,0),"Lần " &amp; ROUNDUP(Y287/20,0),"")</f>
        <v/>
      </c>
      <c r="AK287" s="9">
        <f>IF(ROUNDUP(Z287/20,0)&gt;ROUNDUP(Z286/20,0),"Lần " &amp; ROUNDUP(Z287/20,0),"")</f>
        <v/>
      </c>
      <c r="AL287" s="4" t="n"/>
      <c r="AN287" s="596" t="inlineStr">
        <is>
          <t>Coc</t>
        </is>
      </c>
      <c r="AO287" s="596" t="n">
        <v>21</v>
      </c>
      <c r="AQ287" s="594" t="n"/>
      <c r="AR287" s="595" t="n"/>
    </row>
    <row r="288" ht="19" customHeight="1" s="672">
      <c r="A288" s="4" t="n">
        <v>268</v>
      </c>
      <c r="B288" s="5" t="inlineStr">
        <is>
          <t>Cọc khoan nhồi C5 Mố M2 (D1.2m, L=36.0m)</t>
        </is>
      </c>
      <c r="C288" s="5" t="inlineStr">
        <is>
          <t>Cọc mố M2 L=36m (tr.66)</t>
        </is>
      </c>
      <c r="D288" s="14" t="inlineStr">
        <is>
          <t>P6</t>
        </is>
      </c>
      <c r="E288" s="15" t="n">
        <v>25</v>
      </c>
      <c r="F288" s="4" t="inlineStr">
        <is>
          <t>CB400-V</t>
        </is>
      </c>
      <c r="G288" s="5" t="inlineStr"/>
      <c r="H288" s="16" t="n">
        <v>5.153</v>
      </c>
      <c r="I288" s="17" t="n">
        <v>12</v>
      </c>
      <c r="J288" s="18" t="n">
        <v>3.853</v>
      </c>
      <c r="K288" s="7">
        <f>ROUND(H288*I288*J288, 2)</f>
        <v/>
      </c>
      <c r="L288" s="19">
        <f>ROUND(K288/1000, 3)</f>
        <v/>
      </c>
      <c r="M288" s="728">
        <f>IF(AO288="","",IF(N(INDEX(Theo_Doi_Tan_Suat_Be_Tong!$C:$C,AO288))&lt;=0,"",INDEX(Theo_Doi_Tan_Suat_Be_Tong!$C:$C,AO288)-VLOOKUP(AN288,$AQ$2:$AR$7,2,FALSE)))</f>
        <v/>
      </c>
      <c r="N288" s="4" t="n"/>
      <c r="O288" s="20">
        <f>IF(ROUNDUP(W288/20,0)&gt;ROUNDUP(W287/20,0),"TN Ø25 (Lần " &amp; ROUNDUP(W288/20,0) &amp; ")","")</f>
        <v/>
      </c>
      <c r="P288" s="16">
        <f>ROUND(P287+IF(AND(E288&lt;=10,F288&lt;&gt;"ASTM A416"),L288,0),3)</f>
        <v/>
      </c>
      <c r="Q288" s="16">
        <f>ROUND(Q287+IF(AND(E288=12,F288&lt;&gt;"ASTM A416"),L288,0),3)</f>
        <v/>
      </c>
      <c r="R288" s="16">
        <f>ROUND(R287+IF(AND(E288=14,F288&lt;&gt;"ASTM A416"),L288,0),3)</f>
        <v/>
      </c>
      <c r="S288" s="16">
        <f>ROUND(S287+IF(AND(E288=16,F288&lt;&gt;"ASTM A416"),L288,0),3)</f>
        <v/>
      </c>
      <c r="T288" s="16">
        <f>ROUND(T287+IF(AND(E288=18,F288&lt;&gt;"ASTM A416"),L288,0),3)</f>
        <v/>
      </c>
      <c r="U288" s="16">
        <f>ROUND(U287+IF(AND(E288=20,F288&lt;&gt;"ASTM A416"),L288,0),3)</f>
        <v/>
      </c>
      <c r="V288" s="16">
        <f>ROUND(V287+IF(AND(E288=22,F288&lt;&gt;"ASTM A416"),L288,0),3)</f>
        <v/>
      </c>
      <c r="W288" s="16">
        <f>ROUND(W287+IF(AND(E288=25,F288&lt;&gt;"ASTM A416"),L288,0),3)</f>
        <v/>
      </c>
      <c r="X288" s="16">
        <f>ROUND(X287+IF(AND(E288=28,F288&lt;&gt;"ASTM A416"),L288,0),3)</f>
        <v/>
      </c>
      <c r="Y288" s="16">
        <f>ROUND(Y287+IF(AND(E288=32,F288&lt;&gt;"ASTM A416"),L288,0),3)</f>
        <v/>
      </c>
      <c r="Z288" s="16">
        <f>ROUND(Z287+IF(F288="ASTM A416",L288,0),3)</f>
        <v/>
      </c>
      <c r="AA288" s="9">
        <f>IF(ROUNDUP(P288/20,0)&gt;ROUNDUP(P287/20,0),"Lần " &amp; ROUNDUP(P288/20,0),"")</f>
        <v/>
      </c>
      <c r="AB288" s="9">
        <f>IF(ROUNDUP(Q288/20,0)&gt;ROUNDUP(Q287/20,0),"Lần " &amp; ROUNDUP(Q288/20,0),"")</f>
        <v/>
      </c>
      <c r="AC288" s="9">
        <f>IF(ROUNDUP(R288/20,0)&gt;ROUNDUP(R287/20,0),"Lần " &amp; ROUNDUP(R288/20,0),"")</f>
        <v/>
      </c>
      <c r="AD288" s="9">
        <f>IF(ROUNDUP(S288/20,0)&gt;ROUNDUP(S287/20,0),"Lần " &amp; ROUNDUP(S288/20,0),"")</f>
        <v/>
      </c>
      <c r="AE288" s="9">
        <f>IF(ROUNDUP(T288/20,0)&gt;ROUNDUP(T287/20,0),"Lần " &amp; ROUNDUP(T288/20,0),"")</f>
        <v/>
      </c>
      <c r="AF288" s="9">
        <f>IF(ROUNDUP(U288/20,0)&gt;ROUNDUP(U287/20,0),"Lần " &amp; ROUNDUP(U288/20,0),"")</f>
        <v/>
      </c>
      <c r="AG288" s="9">
        <f>IF(ROUNDUP(V288/20,0)&gt;ROUNDUP(V287/20,0),"Lần " &amp; ROUNDUP(V288/20,0),"")</f>
        <v/>
      </c>
      <c r="AH288" s="9">
        <f>IF(ROUNDUP(W288/20,0)&gt;ROUNDUP(W287/20,0),"Lần " &amp; ROUNDUP(W288/20,0),"")</f>
        <v/>
      </c>
      <c r="AI288" s="9">
        <f>IF(ROUNDUP(X288/20,0)&gt;ROUNDUP(X287/20,0),"Lần " &amp; ROUNDUP(X288/20,0),"")</f>
        <v/>
      </c>
      <c r="AJ288" s="9">
        <f>IF(ROUNDUP(Y288/20,0)&gt;ROUNDUP(Y287/20,0),"Lần " &amp; ROUNDUP(Y288/20,0),"")</f>
        <v/>
      </c>
      <c r="AK288" s="9">
        <f>IF(ROUNDUP(Z288/20,0)&gt;ROUNDUP(Z287/20,0),"Lần " &amp; ROUNDUP(Z288/20,0),"")</f>
        <v/>
      </c>
      <c r="AL288" s="4" t="n"/>
      <c r="AN288" s="596" t="inlineStr">
        <is>
          <t>Coc</t>
        </is>
      </c>
      <c r="AO288" s="596" t="n">
        <v>21</v>
      </c>
      <c r="AQ288" s="594" t="n"/>
      <c r="AR288" s="595" t="n"/>
    </row>
    <row r="289" ht="20" customHeight="1" s="672">
      <c r="A289" s="4" t="n">
        <v>269</v>
      </c>
      <c r="B289" s="5" t="inlineStr">
        <is>
          <t>Cọc khoan nhồi C5 Mố M2 (D1.2m, L=36.0m)</t>
        </is>
      </c>
      <c r="C289" s="5" t="inlineStr">
        <is>
          <t>Cọc mố M2 L=36m (tr.66)</t>
        </is>
      </c>
      <c r="D289" s="14" t="inlineStr">
        <is>
          <t>P7</t>
        </is>
      </c>
      <c r="E289" s="15" t="n">
        <v>25</v>
      </c>
      <c r="F289" s="4" t="inlineStr">
        <is>
          <t>CB400-V</t>
        </is>
      </c>
      <c r="G289" s="5" t="inlineStr"/>
      <c r="H289" s="16" t="n">
        <v>6.153</v>
      </c>
      <c r="I289" s="17" t="n">
        <v>12</v>
      </c>
      <c r="J289" s="18" t="n">
        <v>3.853</v>
      </c>
      <c r="K289" s="7">
        <f>ROUND(H289*I289*J289, 2)</f>
        <v/>
      </c>
      <c r="L289" s="19">
        <f>ROUND(K289/1000, 3)</f>
        <v/>
      </c>
      <c r="M289" s="728">
        <f>IF(AO289="","",IF(N(INDEX(Theo_Doi_Tan_Suat_Be_Tong!$C:$C,AO289))&lt;=0,"",INDEX(Theo_Doi_Tan_Suat_Be_Tong!$C:$C,AO289)-VLOOKUP(AN289,$AQ$2:$AR$7,2,FALSE)))</f>
        <v/>
      </c>
      <c r="N289" s="4" t="n"/>
      <c r="O289" s="20">
        <f>IF(ROUNDUP(W289/20,0)&gt;ROUNDUP(W288/20,0),"TN Ø25 (Lần " &amp; ROUNDUP(W289/20,0) &amp; ")","")</f>
        <v/>
      </c>
      <c r="P289" s="16">
        <f>ROUND(P288+IF(AND(E289&lt;=10,F289&lt;&gt;"ASTM A416"),L289,0),3)</f>
        <v/>
      </c>
      <c r="Q289" s="16">
        <f>ROUND(Q288+IF(AND(E289=12,F289&lt;&gt;"ASTM A416"),L289,0),3)</f>
        <v/>
      </c>
      <c r="R289" s="16">
        <f>ROUND(R288+IF(AND(E289=14,F289&lt;&gt;"ASTM A416"),L289,0),3)</f>
        <v/>
      </c>
      <c r="S289" s="16">
        <f>ROUND(S288+IF(AND(E289=16,F289&lt;&gt;"ASTM A416"),L289,0),3)</f>
        <v/>
      </c>
      <c r="T289" s="16">
        <f>ROUND(T288+IF(AND(E289=18,F289&lt;&gt;"ASTM A416"),L289,0),3)</f>
        <v/>
      </c>
      <c r="U289" s="16">
        <f>ROUND(U288+IF(AND(E289=20,F289&lt;&gt;"ASTM A416"),L289,0),3)</f>
        <v/>
      </c>
      <c r="V289" s="16">
        <f>ROUND(V288+IF(AND(E289=22,F289&lt;&gt;"ASTM A416"),L289,0),3)</f>
        <v/>
      </c>
      <c r="W289" s="16">
        <f>ROUND(W288+IF(AND(E289=25,F289&lt;&gt;"ASTM A416"),L289,0),3)</f>
        <v/>
      </c>
      <c r="X289" s="16">
        <f>ROUND(X288+IF(AND(E289=28,F289&lt;&gt;"ASTM A416"),L289,0),3)</f>
        <v/>
      </c>
      <c r="Y289" s="16">
        <f>ROUND(Y288+IF(AND(E289=32,F289&lt;&gt;"ASTM A416"),L289,0),3)</f>
        <v/>
      </c>
      <c r="Z289" s="16">
        <f>ROUND(Z288+IF(F289="ASTM A416",L289,0),3)</f>
        <v/>
      </c>
      <c r="AA289" s="9">
        <f>IF(ROUNDUP(P289/20,0)&gt;ROUNDUP(P288/20,0),"Lần " &amp; ROUNDUP(P289/20,0),"")</f>
        <v/>
      </c>
      <c r="AB289" s="9">
        <f>IF(ROUNDUP(Q289/20,0)&gt;ROUNDUP(Q288/20,0),"Lần " &amp; ROUNDUP(Q289/20,0),"")</f>
        <v/>
      </c>
      <c r="AC289" s="9">
        <f>IF(ROUNDUP(R289/20,0)&gt;ROUNDUP(R288/20,0),"Lần " &amp; ROUNDUP(R289/20,0),"")</f>
        <v/>
      </c>
      <c r="AD289" s="9">
        <f>IF(ROUNDUP(S289/20,0)&gt;ROUNDUP(S288/20,0),"Lần " &amp; ROUNDUP(S289/20,0),"")</f>
        <v/>
      </c>
      <c r="AE289" s="9">
        <f>IF(ROUNDUP(T289/20,0)&gt;ROUNDUP(T288/20,0),"Lần " &amp; ROUNDUP(T289/20,0),"")</f>
        <v/>
      </c>
      <c r="AF289" s="9">
        <f>IF(ROUNDUP(U289/20,0)&gt;ROUNDUP(U288/20,0),"Lần " &amp; ROUNDUP(U289/20,0),"")</f>
        <v/>
      </c>
      <c r="AG289" s="9">
        <f>IF(ROUNDUP(V289/20,0)&gt;ROUNDUP(V288/20,0),"Lần " &amp; ROUNDUP(V289/20,0),"")</f>
        <v/>
      </c>
      <c r="AH289" s="9">
        <f>IF(ROUNDUP(W289/20,0)&gt;ROUNDUP(W288/20,0),"Lần " &amp; ROUNDUP(W289/20,0),"")</f>
        <v/>
      </c>
      <c r="AI289" s="9">
        <f>IF(ROUNDUP(X289/20,0)&gt;ROUNDUP(X288/20,0),"Lần " &amp; ROUNDUP(X289/20,0),"")</f>
        <v/>
      </c>
      <c r="AJ289" s="9">
        <f>IF(ROUNDUP(Y289/20,0)&gt;ROUNDUP(Y288/20,0),"Lần " &amp; ROUNDUP(Y289/20,0),"")</f>
        <v/>
      </c>
      <c r="AK289" s="9">
        <f>IF(ROUNDUP(Z289/20,0)&gt;ROUNDUP(Z288/20,0),"Lần " &amp; ROUNDUP(Z289/20,0),"")</f>
        <v/>
      </c>
      <c r="AL289" s="4" t="n"/>
      <c r="AN289" s="596" t="inlineStr">
        <is>
          <t>Coc</t>
        </is>
      </c>
      <c r="AO289" s="596" t="n">
        <v>21</v>
      </c>
      <c r="AQ289" s="594" t="n"/>
      <c r="AR289" s="595" t="n"/>
    </row>
    <row r="290" ht="19" customHeight="1" s="672">
      <c r="A290" s="4" t="n">
        <v>270</v>
      </c>
      <c r="B290" s="5" t="inlineStr">
        <is>
          <t>Cọc khoan nhồi C5 Mố M2 (D1.2m, L=36.0m)</t>
        </is>
      </c>
      <c r="C290" s="5" t="inlineStr">
        <is>
          <t>Cọc mố M2 L=36m (tr.66)</t>
        </is>
      </c>
      <c r="D290" s="14" t="inlineStr">
        <is>
          <t>P8</t>
        </is>
      </c>
      <c r="E290" s="15" t="n">
        <v>12</v>
      </c>
      <c r="F290" s="4" t="inlineStr">
        <is>
          <t>CB400-V</t>
        </is>
      </c>
      <c r="G290" s="5" t="inlineStr"/>
      <c r="H290" s="16" t="n">
        <v>0.647</v>
      </c>
      <c r="I290" s="17" t="n">
        <v>15</v>
      </c>
      <c r="J290" s="18" t="n">
        <v>0.888</v>
      </c>
      <c r="K290" s="7">
        <f>ROUND(H290*I290*J290, 2)</f>
        <v/>
      </c>
      <c r="L290" s="19">
        <f>ROUND(K290/1000, 3)</f>
        <v/>
      </c>
      <c r="M290" s="728">
        <f>IF(AO290="","",IF(N(INDEX(Theo_Doi_Tan_Suat_Be_Tong!$C:$C,AO290))&lt;=0,"",INDEX(Theo_Doi_Tan_Suat_Be_Tong!$C:$C,AO290)-VLOOKUP(AN290,$AQ$2:$AR$7,2,FALSE)))</f>
        <v/>
      </c>
      <c r="N290" s="4" t="n"/>
      <c r="O290" s="20">
        <f>IF(ROUNDUP(Q290/20,0)&gt;ROUNDUP(Q289/20,0),"TN Ø12 (Lần " &amp; ROUNDUP(Q290/20,0) &amp; ")","")</f>
        <v/>
      </c>
      <c r="P290" s="16">
        <f>ROUND(P289+IF(AND(E290&lt;=10,F290&lt;&gt;"ASTM A416"),L290,0),3)</f>
        <v/>
      </c>
      <c r="Q290" s="16">
        <f>ROUND(Q289+IF(AND(E290=12,F290&lt;&gt;"ASTM A416"),L290,0),3)</f>
        <v/>
      </c>
      <c r="R290" s="16">
        <f>ROUND(R289+IF(AND(E290=14,F290&lt;&gt;"ASTM A416"),L290,0),3)</f>
        <v/>
      </c>
      <c r="S290" s="16">
        <f>ROUND(S289+IF(AND(E290=16,F290&lt;&gt;"ASTM A416"),L290,0),3)</f>
        <v/>
      </c>
      <c r="T290" s="16">
        <f>ROUND(T289+IF(AND(E290=18,F290&lt;&gt;"ASTM A416"),L290,0),3)</f>
        <v/>
      </c>
      <c r="U290" s="16">
        <f>ROUND(U289+IF(AND(E290=20,F290&lt;&gt;"ASTM A416"),L290,0),3)</f>
        <v/>
      </c>
      <c r="V290" s="16">
        <f>ROUND(V289+IF(AND(E290=22,F290&lt;&gt;"ASTM A416"),L290,0),3)</f>
        <v/>
      </c>
      <c r="W290" s="16">
        <f>ROUND(W289+IF(AND(E290=25,F290&lt;&gt;"ASTM A416"),L290,0),3)</f>
        <v/>
      </c>
      <c r="X290" s="16">
        <f>ROUND(X289+IF(AND(E290=28,F290&lt;&gt;"ASTM A416"),L290,0),3)</f>
        <v/>
      </c>
      <c r="Y290" s="16">
        <f>ROUND(Y289+IF(AND(E290=32,F290&lt;&gt;"ASTM A416"),L290,0),3)</f>
        <v/>
      </c>
      <c r="Z290" s="16">
        <f>ROUND(Z289+IF(F290="ASTM A416",L290,0),3)</f>
        <v/>
      </c>
      <c r="AA290" s="9">
        <f>IF(ROUNDUP(P290/20,0)&gt;ROUNDUP(P289/20,0),"Lần " &amp; ROUNDUP(P290/20,0),"")</f>
        <v/>
      </c>
      <c r="AB290" s="9">
        <f>IF(ROUNDUP(Q290/20,0)&gt;ROUNDUP(Q289/20,0),"Lần " &amp; ROUNDUP(Q290/20,0),"")</f>
        <v/>
      </c>
      <c r="AC290" s="9">
        <f>IF(ROUNDUP(R290/20,0)&gt;ROUNDUP(R289/20,0),"Lần " &amp; ROUNDUP(R290/20,0),"")</f>
        <v/>
      </c>
      <c r="AD290" s="9">
        <f>IF(ROUNDUP(S290/20,0)&gt;ROUNDUP(S289/20,0),"Lần " &amp; ROUNDUP(S290/20,0),"")</f>
        <v/>
      </c>
      <c r="AE290" s="9">
        <f>IF(ROUNDUP(T290/20,0)&gt;ROUNDUP(T289/20,0),"Lần " &amp; ROUNDUP(T290/20,0),"")</f>
        <v/>
      </c>
      <c r="AF290" s="9">
        <f>IF(ROUNDUP(U290/20,0)&gt;ROUNDUP(U289/20,0),"Lần " &amp; ROUNDUP(U290/20,0),"")</f>
        <v/>
      </c>
      <c r="AG290" s="9">
        <f>IF(ROUNDUP(V290/20,0)&gt;ROUNDUP(V289/20,0),"Lần " &amp; ROUNDUP(V290/20,0),"")</f>
        <v/>
      </c>
      <c r="AH290" s="9">
        <f>IF(ROUNDUP(W290/20,0)&gt;ROUNDUP(W289/20,0),"Lần " &amp; ROUNDUP(W290/20,0),"")</f>
        <v/>
      </c>
      <c r="AI290" s="9">
        <f>IF(ROUNDUP(X290/20,0)&gt;ROUNDUP(X289/20,0),"Lần " &amp; ROUNDUP(X290/20,0),"")</f>
        <v/>
      </c>
      <c r="AJ290" s="9">
        <f>IF(ROUNDUP(Y290/20,0)&gt;ROUNDUP(Y289/20,0),"Lần " &amp; ROUNDUP(Y290/20,0),"")</f>
        <v/>
      </c>
      <c r="AK290" s="9">
        <f>IF(ROUNDUP(Z290/20,0)&gt;ROUNDUP(Z289/20,0),"Lần " &amp; ROUNDUP(Z290/20,0),"")</f>
        <v/>
      </c>
      <c r="AL290" s="4" t="n"/>
      <c r="AN290" s="596" t="inlineStr">
        <is>
          <t>Coc</t>
        </is>
      </c>
      <c r="AO290" s="596" t="n">
        <v>21</v>
      </c>
      <c r="AQ290" s="594" t="n"/>
      <c r="AR290" s="595" t="n"/>
    </row>
    <row r="291" ht="19" customHeight="1" s="672">
      <c r="A291" s="4" t="n">
        <v>271</v>
      </c>
      <c r="B291" s="5" t="inlineStr">
        <is>
          <t>Cọc khoan nhồi C5 Mố M2 (D1.2m, L=36.0m)</t>
        </is>
      </c>
      <c r="C291" s="5" t="inlineStr">
        <is>
          <t>Cọc mố M2 L=36m (tr.66)</t>
        </is>
      </c>
      <c r="D291" s="14" t="inlineStr">
        <is>
          <t>P9</t>
        </is>
      </c>
      <c r="E291" s="15" t="n">
        <v>12</v>
      </c>
      <c r="F291" s="4" t="inlineStr">
        <is>
          <t>CB400-V</t>
        </is>
      </c>
      <c r="G291" s="5" t="inlineStr"/>
      <c r="H291" s="16" t="n">
        <v>0.379</v>
      </c>
      <c r="I291" s="17" t="n">
        <v>45</v>
      </c>
      <c r="J291" s="18" t="n">
        <v>0.888</v>
      </c>
      <c r="K291" s="7">
        <f>ROUND(H291*I291*J291, 2)</f>
        <v/>
      </c>
      <c r="L291" s="19">
        <f>ROUND(K291/1000, 3)</f>
        <v/>
      </c>
      <c r="M291" s="728">
        <f>IF(AO291="","",IF(N(INDEX(Theo_Doi_Tan_Suat_Be_Tong!$C:$C,AO291))&lt;=0,"",INDEX(Theo_Doi_Tan_Suat_Be_Tong!$C:$C,AO291)-VLOOKUP(AN291,$AQ$2:$AR$7,2,FALSE)))</f>
        <v/>
      </c>
      <c r="N291" s="4" t="n"/>
      <c r="O291" s="20">
        <f>IF(ROUNDUP(Q291/20,0)&gt;ROUNDUP(Q290/20,0),"TN Ø12 (Lần " &amp; ROUNDUP(Q291/20,0) &amp; ")","")</f>
        <v/>
      </c>
      <c r="P291" s="16">
        <f>ROUND(P290+IF(AND(E291&lt;=10,F291&lt;&gt;"ASTM A416"),L291,0),3)</f>
        <v/>
      </c>
      <c r="Q291" s="16">
        <f>ROUND(Q290+IF(AND(E291=12,F291&lt;&gt;"ASTM A416"),L291,0),3)</f>
        <v/>
      </c>
      <c r="R291" s="16">
        <f>ROUND(R290+IF(AND(E291=14,F291&lt;&gt;"ASTM A416"),L291,0),3)</f>
        <v/>
      </c>
      <c r="S291" s="16">
        <f>ROUND(S290+IF(AND(E291=16,F291&lt;&gt;"ASTM A416"),L291,0),3)</f>
        <v/>
      </c>
      <c r="T291" s="16">
        <f>ROUND(T290+IF(AND(E291=18,F291&lt;&gt;"ASTM A416"),L291,0),3)</f>
        <v/>
      </c>
      <c r="U291" s="16">
        <f>ROUND(U290+IF(AND(E291=20,F291&lt;&gt;"ASTM A416"),L291,0),3)</f>
        <v/>
      </c>
      <c r="V291" s="16">
        <f>ROUND(V290+IF(AND(E291=22,F291&lt;&gt;"ASTM A416"),L291,0),3)</f>
        <v/>
      </c>
      <c r="W291" s="16">
        <f>ROUND(W290+IF(AND(E291=25,F291&lt;&gt;"ASTM A416"),L291,0),3)</f>
        <v/>
      </c>
      <c r="X291" s="16">
        <f>ROUND(X290+IF(AND(E291=28,F291&lt;&gt;"ASTM A416"),L291,0),3)</f>
        <v/>
      </c>
      <c r="Y291" s="16">
        <f>ROUND(Y290+IF(AND(E291=32,F291&lt;&gt;"ASTM A416"),L291,0),3)</f>
        <v/>
      </c>
      <c r="Z291" s="16">
        <f>ROUND(Z290+IF(F291="ASTM A416",L291,0),3)</f>
        <v/>
      </c>
      <c r="AA291" s="9">
        <f>IF(ROUNDUP(P291/20,0)&gt;ROUNDUP(P290/20,0),"Lần " &amp; ROUNDUP(P291/20,0),"")</f>
        <v/>
      </c>
      <c r="AB291" s="9">
        <f>IF(ROUNDUP(Q291/20,0)&gt;ROUNDUP(Q290/20,0),"Lần " &amp; ROUNDUP(Q291/20,0),"")</f>
        <v/>
      </c>
      <c r="AC291" s="9">
        <f>IF(ROUNDUP(R291/20,0)&gt;ROUNDUP(R290/20,0),"Lần " &amp; ROUNDUP(R291/20,0),"")</f>
        <v/>
      </c>
      <c r="AD291" s="9">
        <f>IF(ROUNDUP(S291/20,0)&gt;ROUNDUP(S290/20,0),"Lần " &amp; ROUNDUP(S291/20,0),"")</f>
        <v/>
      </c>
      <c r="AE291" s="9">
        <f>IF(ROUNDUP(T291/20,0)&gt;ROUNDUP(T290/20,0),"Lần " &amp; ROUNDUP(T291/20,0),"")</f>
        <v/>
      </c>
      <c r="AF291" s="9">
        <f>IF(ROUNDUP(U291/20,0)&gt;ROUNDUP(U290/20,0),"Lần " &amp; ROUNDUP(U291/20,0),"")</f>
        <v/>
      </c>
      <c r="AG291" s="9">
        <f>IF(ROUNDUP(V291/20,0)&gt;ROUNDUP(V290/20,0),"Lần " &amp; ROUNDUP(V291/20,0),"")</f>
        <v/>
      </c>
      <c r="AH291" s="9">
        <f>IF(ROUNDUP(W291/20,0)&gt;ROUNDUP(W290/20,0),"Lần " &amp; ROUNDUP(W291/20,0),"")</f>
        <v/>
      </c>
      <c r="AI291" s="9">
        <f>IF(ROUNDUP(X291/20,0)&gt;ROUNDUP(X290/20,0),"Lần " &amp; ROUNDUP(X291/20,0),"")</f>
        <v/>
      </c>
      <c r="AJ291" s="9">
        <f>IF(ROUNDUP(Y291/20,0)&gt;ROUNDUP(Y290/20,0),"Lần " &amp; ROUNDUP(Y291/20,0),"")</f>
        <v/>
      </c>
      <c r="AK291" s="9">
        <f>IF(ROUNDUP(Z291/20,0)&gt;ROUNDUP(Z290/20,0),"Lần " &amp; ROUNDUP(Z291/20,0),"")</f>
        <v/>
      </c>
      <c r="AL291" s="4" t="n"/>
      <c r="AN291" s="596" t="inlineStr">
        <is>
          <t>Coc</t>
        </is>
      </c>
      <c r="AO291" s="596" t="n">
        <v>21</v>
      </c>
      <c r="AQ291" s="594" t="n"/>
      <c r="AR291" s="595" t="n"/>
    </row>
    <row r="292" ht="19" customHeight="1" s="672">
      <c r="A292" s="4" t="n">
        <v>272</v>
      </c>
      <c r="B292" s="5" t="inlineStr">
        <is>
          <t>Cọc khoan nhồi C5 Mố M2 (D1.2m, L=36.0m)</t>
        </is>
      </c>
      <c r="C292" s="5" t="inlineStr">
        <is>
          <t>Cọc mố M2 L=36m (tr.66)</t>
        </is>
      </c>
      <c r="D292" s="14" t="inlineStr">
        <is>
          <t>P10</t>
        </is>
      </c>
      <c r="E292" s="15" t="n">
        <v>20</v>
      </c>
      <c r="F292" s="4" t="inlineStr">
        <is>
          <t>CB400-V</t>
        </is>
      </c>
      <c r="G292" s="5" t="inlineStr"/>
      <c r="H292" s="16" t="n">
        <v>2.057</v>
      </c>
      <c r="I292" s="17" t="n">
        <v>1</v>
      </c>
      <c r="J292" s="18" t="n">
        <v>2.466</v>
      </c>
      <c r="K292" s="7">
        <f>ROUND(H292*I292*J292, 2)</f>
        <v/>
      </c>
      <c r="L292" s="19">
        <f>ROUND(K292/1000, 3)</f>
        <v/>
      </c>
      <c r="M292" s="728">
        <f>IF(AO292="","",IF(N(INDEX(Theo_Doi_Tan_Suat_Be_Tong!$C:$C,AO292))&lt;=0,"",INDEX(Theo_Doi_Tan_Suat_Be_Tong!$C:$C,AO292)-VLOOKUP(AN292,$AQ$2:$AR$7,2,FALSE)))</f>
        <v/>
      </c>
      <c r="N292" s="4" t="n"/>
      <c r="O292" s="20">
        <f>IF(ROUNDUP(U292/20,0)&gt;ROUNDUP(U291/20,0),"TN Ø20 (Lần " &amp; ROUNDUP(U292/20,0) &amp; ")","")</f>
        <v/>
      </c>
      <c r="P292" s="16">
        <f>ROUND(P291+IF(AND(E292&lt;=10,F292&lt;&gt;"ASTM A416"),L292,0),3)</f>
        <v/>
      </c>
      <c r="Q292" s="16">
        <f>ROUND(Q291+IF(AND(E292=12,F292&lt;&gt;"ASTM A416"),L292,0),3)</f>
        <v/>
      </c>
      <c r="R292" s="16">
        <f>ROUND(R291+IF(AND(E292=14,F292&lt;&gt;"ASTM A416"),L292,0),3)</f>
        <v/>
      </c>
      <c r="S292" s="16">
        <f>ROUND(S291+IF(AND(E292=16,F292&lt;&gt;"ASTM A416"),L292,0),3)</f>
        <v/>
      </c>
      <c r="T292" s="16">
        <f>ROUND(T291+IF(AND(E292=18,F292&lt;&gt;"ASTM A416"),L292,0),3)</f>
        <v/>
      </c>
      <c r="U292" s="16">
        <f>ROUND(U291+IF(AND(E292=20,F292&lt;&gt;"ASTM A416"),L292,0),3)</f>
        <v/>
      </c>
      <c r="V292" s="16">
        <f>ROUND(V291+IF(AND(E292=22,F292&lt;&gt;"ASTM A416"),L292,0),3)</f>
        <v/>
      </c>
      <c r="W292" s="16">
        <f>ROUND(W291+IF(AND(E292=25,F292&lt;&gt;"ASTM A416"),L292,0),3)</f>
        <v/>
      </c>
      <c r="X292" s="16">
        <f>ROUND(X291+IF(AND(E292=28,F292&lt;&gt;"ASTM A416"),L292,0),3)</f>
        <v/>
      </c>
      <c r="Y292" s="16">
        <f>ROUND(Y291+IF(AND(E292=32,F292&lt;&gt;"ASTM A416"),L292,0),3)</f>
        <v/>
      </c>
      <c r="Z292" s="16">
        <f>ROUND(Z291+IF(F292="ASTM A416",L292,0),3)</f>
        <v/>
      </c>
      <c r="AA292" s="9">
        <f>IF(ROUNDUP(P292/20,0)&gt;ROUNDUP(P291/20,0),"Lần " &amp; ROUNDUP(P292/20,0),"")</f>
        <v/>
      </c>
      <c r="AB292" s="9">
        <f>IF(ROUNDUP(Q292/20,0)&gt;ROUNDUP(Q291/20,0),"Lần " &amp; ROUNDUP(Q292/20,0),"")</f>
        <v/>
      </c>
      <c r="AC292" s="9">
        <f>IF(ROUNDUP(R292/20,0)&gt;ROUNDUP(R291/20,0),"Lần " &amp; ROUNDUP(R292/20,0),"")</f>
        <v/>
      </c>
      <c r="AD292" s="9">
        <f>IF(ROUNDUP(S292/20,0)&gt;ROUNDUP(S291/20,0),"Lần " &amp; ROUNDUP(S292/20,0),"")</f>
        <v/>
      </c>
      <c r="AE292" s="9">
        <f>IF(ROUNDUP(T292/20,0)&gt;ROUNDUP(T291/20,0),"Lần " &amp; ROUNDUP(T292/20,0),"")</f>
        <v/>
      </c>
      <c r="AF292" s="9">
        <f>IF(ROUNDUP(U292/20,0)&gt;ROUNDUP(U291/20,0),"Lần " &amp; ROUNDUP(U292/20,0),"")</f>
        <v/>
      </c>
      <c r="AG292" s="9">
        <f>IF(ROUNDUP(V292/20,0)&gt;ROUNDUP(V291/20,0),"Lần " &amp; ROUNDUP(V292/20,0),"")</f>
        <v/>
      </c>
      <c r="AH292" s="9">
        <f>IF(ROUNDUP(W292/20,0)&gt;ROUNDUP(W291/20,0),"Lần " &amp; ROUNDUP(W292/20,0),"")</f>
        <v/>
      </c>
      <c r="AI292" s="9">
        <f>IF(ROUNDUP(X292/20,0)&gt;ROUNDUP(X291/20,0),"Lần " &amp; ROUNDUP(X292/20,0),"")</f>
        <v/>
      </c>
      <c r="AJ292" s="9">
        <f>IF(ROUNDUP(Y292/20,0)&gt;ROUNDUP(Y291/20,0),"Lần " &amp; ROUNDUP(Y292/20,0),"")</f>
        <v/>
      </c>
      <c r="AK292" s="9">
        <f>IF(ROUNDUP(Z292/20,0)&gt;ROUNDUP(Z291/20,0),"Lần " &amp; ROUNDUP(Z292/20,0),"")</f>
        <v/>
      </c>
      <c r="AL292" s="4" t="n"/>
      <c r="AN292" s="596" t="inlineStr">
        <is>
          <t>Coc</t>
        </is>
      </c>
      <c r="AO292" s="596" t="n">
        <v>21</v>
      </c>
      <c r="AQ292" s="594" t="n"/>
      <c r="AR292" s="595" t="n"/>
    </row>
    <row r="293" ht="19" customHeight="1" s="672">
      <c r="A293" s="4" t="n">
        <v>273</v>
      </c>
      <c r="B293" s="5" t="inlineStr">
        <is>
          <t>Cọc khoan nhồi C5 Mố M2 (D1.2m, L=36.0m)</t>
        </is>
      </c>
      <c r="C293" s="5" t="inlineStr">
        <is>
          <t>Cọc mố M2 L=36m (tr.66)</t>
        </is>
      </c>
      <c r="D293" s="14" t="inlineStr">
        <is>
          <t>P12</t>
        </is>
      </c>
      <c r="E293" s="15" t="n">
        <v>20</v>
      </c>
      <c r="F293" s="4" t="inlineStr">
        <is>
          <t>CB400-V</t>
        </is>
      </c>
      <c r="G293" s="5" t="inlineStr"/>
      <c r="H293" s="16" t="n">
        <v>0.583</v>
      </c>
      <c r="I293" s="17" t="n">
        <v>60</v>
      </c>
      <c r="J293" s="18" t="n">
        <v>2.466</v>
      </c>
      <c r="K293" s="7">
        <f>ROUND(H293*I293*J293, 2)</f>
        <v/>
      </c>
      <c r="L293" s="19">
        <f>ROUND(K293/1000, 3)</f>
        <v/>
      </c>
      <c r="M293" s="728">
        <f>IF(AO293="","",IF(N(INDEX(Theo_Doi_Tan_Suat_Be_Tong!$C:$C,AO293))&lt;=0,"",INDEX(Theo_Doi_Tan_Suat_Be_Tong!$C:$C,AO293)-VLOOKUP(AN293,$AQ$2:$AR$7,2,FALSE)))</f>
        <v/>
      </c>
      <c r="N293" s="4" t="n"/>
      <c r="O293" s="20">
        <f>IF(ROUNDUP(U293/20,0)&gt;ROUNDUP(U292/20,0),"TN Ø20 (Lần " &amp; ROUNDUP(U293/20,0) &amp; ")","")</f>
        <v/>
      </c>
      <c r="P293" s="16">
        <f>ROUND(P292+IF(AND(E293&lt;=10,F293&lt;&gt;"ASTM A416"),L293,0),3)</f>
        <v/>
      </c>
      <c r="Q293" s="16">
        <f>ROUND(Q292+IF(AND(E293=12,F293&lt;&gt;"ASTM A416"),L293,0),3)</f>
        <v/>
      </c>
      <c r="R293" s="16">
        <f>ROUND(R292+IF(AND(E293=14,F293&lt;&gt;"ASTM A416"),L293,0),3)</f>
        <v/>
      </c>
      <c r="S293" s="16">
        <f>ROUND(S292+IF(AND(E293=16,F293&lt;&gt;"ASTM A416"),L293,0),3)</f>
        <v/>
      </c>
      <c r="T293" s="16">
        <f>ROUND(T292+IF(AND(E293=18,F293&lt;&gt;"ASTM A416"),L293,0),3)</f>
        <v/>
      </c>
      <c r="U293" s="16">
        <f>ROUND(U292+IF(AND(E293=20,F293&lt;&gt;"ASTM A416"),L293,0),3)</f>
        <v/>
      </c>
      <c r="V293" s="16">
        <f>ROUND(V292+IF(AND(E293=22,F293&lt;&gt;"ASTM A416"),L293,0),3)</f>
        <v/>
      </c>
      <c r="W293" s="16">
        <f>ROUND(W292+IF(AND(E293=25,F293&lt;&gt;"ASTM A416"),L293,0),3)</f>
        <v/>
      </c>
      <c r="X293" s="16">
        <f>ROUND(X292+IF(AND(E293=28,F293&lt;&gt;"ASTM A416"),L293,0),3)</f>
        <v/>
      </c>
      <c r="Y293" s="16">
        <f>ROUND(Y292+IF(AND(E293=32,F293&lt;&gt;"ASTM A416"),L293,0),3)</f>
        <v/>
      </c>
      <c r="Z293" s="16">
        <f>ROUND(Z292+IF(F293="ASTM A416",L293,0),3)</f>
        <v/>
      </c>
      <c r="AA293" s="9">
        <f>IF(ROUNDUP(P293/20,0)&gt;ROUNDUP(P292/20,0),"Lần " &amp; ROUNDUP(P293/20,0),"")</f>
        <v/>
      </c>
      <c r="AB293" s="9">
        <f>IF(ROUNDUP(Q293/20,0)&gt;ROUNDUP(Q292/20,0),"Lần " &amp; ROUNDUP(Q293/20,0),"")</f>
        <v/>
      </c>
      <c r="AC293" s="9">
        <f>IF(ROUNDUP(R293/20,0)&gt;ROUNDUP(R292/20,0),"Lần " &amp; ROUNDUP(R293/20,0),"")</f>
        <v/>
      </c>
      <c r="AD293" s="9">
        <f>IF(ROUNDUP(S293/20,0)&gt;ROUNDUP(S292/20,0),"Lần " &amp; ROUNDUP(S293/20,0),"")</f>
        <v/>
      </c>
      <c r="AE293" s="9">
        <f>IF(ROUNDUP(T293/20,0)&gt;ROUNDUP(T292/20,0),"Lần " &amp; ROUNDUP(T293/20,0),"")</f>
        <v/>
      </c>
      <c r="AF293" s="9">
        <f>IF(ROUNDUP(U293/20,0)&gt;ROUNDUP(U292/20,0),"Lần " &amp; ROUNDUP(U293/20,0),"")</f>
        <v/>
      </c>
      <c r="AG293" s="9">
        <f>IF(ROUNDUP(V293/20,0)&gt;ROUNDUP(V292/20,0),"Lần " &amp; ROUNDUP(V293/20,0),"")</f>
        <v/>
      </c>
      <c r="AH293" s="9">
        <f>IF(ROUNDUP(W293/20,0)&gt;ROUNDUP(W292/20,0),"Lần " &amp; ROUNDUP(W293/20,0),"")</f>
        <v/>
      </c>
      <c r="AI293" s="9">
        <f>IF(ROUNDUP(X293/20,0)&gt;ROUNDUP(X292/20,0),"Lần " &amp; ROUNDUP(X293/20,0),"")</f>
        <v/>
      </c>
      <c r="AJ293" s="9">
        <f>IF(ROUNDUP(Y293/20,0)&gt;ROUNDUP(Y292/20,0),"Lần " &amp; ROUNDUP(Y293/20,0),"")</f>
        <v/>
      </c>
      <c r="AK293" s="9">
        <f>IF(ROUNDUP(Z293/20,0)&gt;ROUNDUP(Z292/20,0),"Lần " &amp; ROUNDUP(Z293/20,0),"")</f>
        <v/>
      </c>
      <c r="AL293" s="4" t="n"/>
      <c r="AN293" s="596" t="inlineStr">
        <is>
          <t>Coc</t>
        </is>
      </c>
      <c r="AO293" s="596" t="n">
        <v>21</v>
      </c>
      <c r="AQ293" s="594" t="n"/>
      <c r="AR293" s="595" t="n"/>
    </row>
    <row r="294" ht="19" customHeight="1" s="672">
      <c r="A294" s="4" t="n">
        <v>274</v>
      </c>
      <c r="B294" s="5" t="inlineStr">
        <is>
          <t>Cọc khoan nhồi C5 Mố M2 (D1.2m, L=36.0m)</t>
        </is>
      </c>
      <c r="C294" s="5" t="inlineStr">
        <is>
          <t>Cọc mố M2 L=36m (tr.66)</t>
        </is>
      </c>
      <c r="D294" s="14" t="inlineStr">
        <is>
          <t>P11</t>
        </is>
      </c>
      <c r="E294" s="15" t="n">
        <v>16</v>
      </c>
      <c r="F294" s="4" t="inlineStr">
        <is>
          <t>CB400-V</t>
        </is>
      </c>
      <c r="G294" s="5" t="inlineStr"/>
      <c r="H294" s="16" t="n">
        <v>2.484</v>
      </c>
      <c r="I294" s="17" t="n">
        <v>4</v>
      </c>
      <c r="J294" s="18" t="n">
        <v>1.578</v>
      </c>
      <c r="K294" s="7">
        <f>ROUND(H294*I294*J294, 2)</f>
        <v/>
      </c>
      <c r="L294" s="19">
        <f>ROUND(K294/1000, 3)</f>
        <v/>
      </c>
      <c r="M294" s="728">
        <f>IF(AO294="","",IF(N(INDEX(Theo_Doi_Tan_Suat_Be_Tong!$C:$C,AO294))&lt;=0,"",INDEX(Theo_Doi_Tan_Suat_Be_Tong!$C:$C,AO294)-VLOOKUP(AN294,$AQ$2:$AR$7,2,FALSE)))</f>
        <v/>
      </c>
      <c r="N294" s="4" t="n"/>
      <c r="O294" s="20">
        <f>IF(ROUNDUP(S294/20,0)&gt;ROUNDUP(S293/20,0),"TN Ø16 (Lần " &amp; ROUNDUP(S294/20,0) &amp; ")","")</f>
        <v/>
      </c>
      <c r="P294" s="16">
        <f>ROUND(P293+IF(AND(E294&lt;=10,F294&lt;&gt;"ASTM A416"),L294,0),3)</f>
        <v/>
      </c>
      <c r="Q294" s="16">
        <f>ROUND(Q293+IF(AND(E294=12,F294&lt;&gt;"ASTM A416"),L294,0),3)</f>
        <v/>
      </c>
      <c r="R294" s="16">
        <f>ROUND(R293+IF(AND(E294=14,F294&lt;&gt;"ASTM A416"),L294,0),3)</f>
        <v/>
      </c>
      <c r="S294" s="16">
        <f>ROUND(S293+IF(AND(E294=16,F294&lt;&gt;"ASTM A416"),L294,0),3)</f>
        <v/>
      </c>
      <c r="T294" s="16">
        <f>ROUND(T293+IF(AND(E294=18,F294&lt;&gt;"ASTM A416"),L294,0),3)</f>
        <v/>
      </c>
      <c r="U294" s="16">
        <f>ROUND(U293+IF(AND(E294=20,F294&lt;&gt;"ASTM A416"),L294,0),3)</f>
        <v/>
      </c>
      <c r="V294" s="16">
        <f>ROUND(V293+IF(AND(E294=22,F294&lt;&gt;"ASTM A416"),L294,0),3)</f>
        <v/>
      </c>
      <c r="W294" s="16">
        <f>ROUND(W293+IF(AND(E294=25,F294&lt;&gt;"ASTM A416"),L294,0),3)</f>
        <v/>
      </c>
      <c r="X294" s="16">
        <f>ROUND(X293+IF(AND(E294=28,F294&lt;&gt;"ASTM A416"),L294,0),3)</f>
        <v/>
      </c>
      <c r="Y294" s="16">
        <f>ROUND(Y293+IF(AND(E294=32,F294&lt;&gt;"ASTM A416"),L294,0),3)</f>
        <v/>
      </c>
      <c r="Z294" s="16">
        <f>ROUND(Z293+IF(F294="ASTM A416",L294,0),3)</f>
        <v/>
      </c>
      <c r="AA294" s="9">
        <f>IF(ROUNDUP(P294/20,0)&gt;ROUNDUP(P293/20,0),"Lần " &amp; ROUNDUP(P294/20,0),"")</f>
        <v/>
      </c>
      <c r="AB294" s="9">
        <f>IF(ROUNDUP(Q294/20,0)&gt;ROUNDUP(Q293/20,0),"Lần " &amp; ROUNDUP(Q294/20,0),"")</f>
        <v/>
      </c>
      <c r="AC294" s="9">
        <f>IF(ROUNDUP(R294/20,0)&gt;ROUNDUP(R293/20,0),"Lần " &amp; ROUNDUP(R294/20,0),"")</f>
        <v/>
      </c>
      <c r="AD294" s="9">
        <f>IF(ROUNDUP(S294/20,0)&gt;ROUNDUP(S293/20,0),"Lần " &amp; ROUNDUP(S294/20,0),"")</f>
        <v/>
      </c>
      <c r="AE294" s="9">
        <f>IF(ROUNDUP(T294/20,0)&gt;ROUNDUP(T293/20,0),"Lần " &amp; ROUNDUP(T294/20,0),"")</f>
        <v/>
      </c>
      <c r="AF294" s="9">
        <f>IF(ROUNDUP(U294/20,0)&gt;ROUNDUP(U293/20,0),"Lần " &amp; ROUNDUP(U294/20,0),"")</f>
        <v/>
      </c>
      <c r="AG294" s="9">
        <f>IF(ROUNDUP(V294/20,0)&gt;ROUNDUP(V293/20,0),"Lần " &amp; ROUNDUP(V294/20,0),"")</f>
        <v/>
      </c>
      <c r="AH294" s="9">
        <f>IF(ROUNDUP(W294/20,0)&gt;ROUNDUP(W293/20,0),"Lần " &amp; ROUNDUP(W294/20,0),"")</f>
        <v/>
      </c>
      <c r="AI294" s="9">
        <f>IF(ROUNDUP(X294/20,0)&gt;ROUNDUP(X293/20,0),"Lần " &amp; ROUNDUP(X294/20,0),"")</f>
        <v/>
      </c>
      <c r="AJ294" s="9">
        <f>IF(ROUNDUP(Y294/20,0)&gt;ROUNDUP(Y293/20,0),"Lần " &amp; ROUNDUP(Y294/20,0),"")</f>
        <v/>
      </c>
      <c r="AK294" s="9">
        <f>IF(ROUNDUP(Z294/20,0)&gt;ROUNDUP(Z293/20,0),"Lần " &amp; ROUNDUP(Z294/20,0),"")</f>
        <v/>
      </c>
      <c r="AL294" s="4" t="n"/>
      <c r="AN294" s="596" t="inlineStr">
        <is>
          <t>Coc</t>
        </is>
      </c>
      <c r="AO294" s="596" t="n">
        <v>21</v>
      </c>
      <c r="AQ294" s="594" t="n"/>
      <c r="AR294" s="595" t="n"/>
    </row>
    <row r="295" ht="19" customHeight="1" s="672">
      <c r="A295" s="668" t="inlineStr">
        <is>
          <t>--- CỌC KHOAN NHỒI C3 MỐ M2 (D1.2M, L=36.0M) ---</t>
        </is>
      </c>
      <c r="B295" s="722" t="n"/>
      <c r="C295" s="722" t="n"/>
      <c r="D295" s="722" t="n"/>
      <c r="E295" s="722" t="n"/>
      <c r="F295" s="722" t="n"/>
      <c r="G295" s="722" t="n"/>
      <c r="H295" s="722" t="n"/>
      <c r="I295" s="722" t="n"/>
      <c r="J295" s="722" t="n"/>
      <c r="K295" s="722" t="n"/>
      <c r="L295" s="722" t="n"/>
      <c r="M295" s="722" t="n"/>
      <c r="N295" s="722" t="n"/>
      <c r="O295" s="722" t="n"/>
      <c r="P295" s="722" t="n"/>
      <c r="Q295" s="722" t="n"/>
      <c r="R295" s="722" t="n"/>
      <c r="S295" s="722" t="n"/>
      <c r="T295" s="722" t="n"/>
      <c r="U295" s="722" t="n"/>
      <c r="V295" s="722" t="n"/>
      <c r="W295" s="722" t="n"/>
      <c r="X295" s="722" t="n"/>
      <c r="Y295" s="722" t="n"/>
      <c r="Z295" s="722" t="n"/>
      <c r="AA295" s="722" t="n"/>
      <c r="AB295" s="722" t="n"/>
      <c r="AC295" s="722" t="n"/>
      <c r="AD295" s="722" t="n"/>
      <c r="AE295" s="722" t="n"/>
      <c r="AF295" s="722" t="n"/>
      <c r="AG295" s="722" t="n"/>
      <c r="AH295" s="722" t="n"/>
      <c r="AI295" s="722" t="n"/>
      <c r="AJ295" s="722" t="n"/>
      <c r="AK295" s="722" t="n"/>
      <c r="AL295" s="721" t="n"/>
      <c r="AQ295" s="594" t="n"/>
      <c r="AR295" s="595" t="n"/>
    </row>
    <row r="296" ht="19" customHeight="1" s="672">
      <c r="A296" s="4" t="n">
        <v>275</v>
      </c>
      <c r="B296" s="5" t="inlineStr">
        <is>
          <t>Cọc khoan nhồi C3 Mố M2 (D1.2m, L=36.0m)</t>
        </is>
      </c>
      <c r="C296" s="5" t="inlineStr">
        <is>
          <t>Cọc mố M2 L=36m (tr.66)</t>
        </is>
      </c>
      <c r="D296" s="14" t="inlineStr">
        <is>
          <t>P1</t>
        </is>
      </c>
      <c r="E296" s="15" t="n">
        <v>10</v>
      </c>
      <c r="F296" s="4" t="inlineStr">
        <is>
          <t>CB240-T</t>
        </is>
      </c>
      <c r="G296" s="5" t="inlineStr"/>
      <c r="H296" s="16" t="n">
        <v>96.887</v>
      </c>
      <c r="I296" s="17" t="n">
        <v>1</v>
      </c>
      <c r="J296" s="18" t="n">
        <v>0.617</v>
      </c>
      <c r="K296" s="7">
        <f>ROUND(H296*I296*J296, 2)</f>
        <v/>
      </c>
      <c r="L296" s="19">
        <f>ROUND(K296/1000, 3)</f>
        <v/>
      </c>
      <c r="M296" s="728">
        <f>IF(AO296="","",IF(N(INDEX(Theo_Doi_Tan_Suat_Be_Tong!$C:$C,AO296))&lt;=0,"",INDEX(Theo_Doi_Tan_Suat_Be_Tong!$C:$C,AO296)-VLOOKUP(AN296,$AQ$2:$AR$7,2,FALSE)))</f>
        <v/>
      </c>
      <c r="N296" s="4" t="n"/>
      <c r="O296" s="20">
        <f>IF(ROUNDUP(P296/20,0)&gt;ROUNDUP(P294/20,0),"TN Ø10 (Lần " &amp; ROUNDUP(P296/20,0) &amp; ")","")</f>
        <v/>
      </c>
      <c r="P296" s="16">
        <f>ROUND(P294+IF(AND(E296&lt;=10,F296&lt;&gt;"ASTM A416"),L296,0),3)</f>
        <v/>
      </c>
      <c r="Q296" s="16">
        <f>ROUND(Q294+IF(AND(E296=12,F296&lt;&gt;"ASTM A416"),L296,0),3)</f>
        <v/>
      </c>
      <c r="R296" s="16">
        <f>ROUND(R294+IF(AND(E296=14,F296&lt;&gt;"ASTM A416"),L296,0),3)</f>
        <v/>
      </c>
      <c r="S296" s="16">
        <f>ROUND(S294+IF(AND(E296=16,F296&lt;&gt;"ASTM A416"),L296,0),3)</f>
        <v/>
      </c>
      <c r="T296" s="16">
        <f>ROUND(T294+IF(AND(E296=18,F296&lt;&gt;"ASTM A416"),L296,0),3)</f>
        <v/>
      </c>
      <c r="U296" s="16">
        <f>ROUND(U294+IF(AND(E296=20,F296&lt;&gt;"ASTM A416"),L296,0),3)</f>
        <v/>
      </c>
      <c r="V296" s="16">
        <f>ROUND(V294+IF(AND(E296=22,F296&lt;&gt;"ASTM A416"),L296,0),3)</f>
        <v/>
      </c>
      <c r="W296" s="16">
        <f>ROUND(W294+IF(AND(E296=25,F296&lt;&gt;"ASTM A416"),L296,0),3)</f>
        <v/>
      </c>
      <c r="X296" s="16">
        <f>ROUND(X294+IF(AND(E296=28,F296&lt;&gt;"ASTM A416"),L296,0),3)</f>
        <v/>
      </c>
      <c r="Y296" s="16">
        <f>ROUND(Y294+IF(AND(E296=32,F296&lt;&gt;"ASTM A416"),L296,0),3)</f>
        <v/>
      </c>
      <c r="Z296" s="16">
        <f>ROUND(Z294+IF(F296="ASTM A416",L296,0),3)</f>
        <v/>
      </c>
      <c r="AA296" s="9">
        <f>IF(ROUNDUP(P296/20,0)&gt;ROUNDUP(P294/20,0),"Lần " &amp; ROUNDUP(P296/20,0),"")</f>
        <v/>
      </c>
      <c r="AB296" s="9">
        <f>IF(ROUNDUP(Q296/20,0)&gt;ROUNDUP(Q294/20,0),"Lần " &amp; ROUNDUP(Q296/20,0),"")</f>
        <v/>
      </c>
      <c r="AC296" s="9">
        <f>IF(ROUNDUP(R296/20,0)&gt;ROUNDUP(R294/20,0),"Lần " &amp; ROUNDUP(R296/20,0),"")</f>
        <v/>
      </c>
      <c r="AD296" s="9">
        <f>IF(ROUNDUP(S296/20,0)&gt;ROUNDUP(S294/20,0),"Lần " &amp; ROUNDUP(S296/20,0),"")</f>
        <v/>
      </c>
      <c r="AE296" s="9">
        <f>IF(ROUNDUP(T296/20,0)&gt;ROUNDUP(T294/20,0),"Lần " &amp; ROUNDUP(T296/20,0),"")</f>
        <v/>
      </c>
      <c r="AF296" s="9">
        <f>IF(ROUNDUP(U296/20,0)&gt;ROUNDUP(U294/20,0),"Lần " &amp; ROUNDUP(U296/20,0),"")</f>
        <v/>
      </c>
      <c r="AG296" s="9">
        <f>IF(ROUNDUP(V296/20,0)&gt;ROUNDUP(V294/20,0),"Lần " &amp; ROUNDUP(V296/20,0),"")</f>
        <v/>
      </c>
      <c r="AH296" s="9">
        <f>IF(ROUNDUP(W296/20,0)&gt;ROUNDUP(W294/20,0),"Lần " &amp; ROUNDUP(W296/20,0),"")</f>
        <v/>
      </c>
      <c r="AI296" s="9">
        <f>IF(ROUNDUP(X296/20,0)&gt;ROUNDUP(X294/20,0),"Lần " &amp; ROUNDUP(X296/20,0),"")</f>
        <v/>
      </c>
      <c r="AJ296" s="9">
        <f>IF(ROUNDUP(Y296/20,0)&gt;ROUNDUP(Y294/20,0),"Lần " &amp; ROUNDUP(Y296/20,0),"")</f>
        <v/>
      </c>
      <c r="AK296" s="9">
        <f>IF(ROUNDUP(Z296/20,0)&gt;ROUNDUP(Z294/20,0),"Lần " &amp; ROUNDUP(Z296/20,0),"")</f>
        <v/>
      </c>
      <c r="AL296" s="4" t="n"/>
      <c r="AN296" s="596" t="inlineStr">
        <is>
          <t>Coc</t>
        </is>
      </c>
      <c r="AO296" s="596" t="n">
        <v>22</v>
      </c>
      <c r="AQ296" s="594" t="n"/>
      <c r="AR296" s="595" t="n"/>
    </row>
    <row r="297" ht="19" customHeight="1" s="672">
      <c r="A297" s="4" t="n">
        <v>276</v>
      </c>
      <c r="B297" s="5" t="inlineStr">
        <is>
          <t>Cọc khoan nhồi C3 Mố M2 (D1.2m, L=36.0m)</t>
        </is>
      </c>
      <c r="C297" s="5" t="inlineStr">
        <is>
          <t>Cọc mố M2 L=36m (tr.66)</t>
        </is>
      </c>
      <c r="D297" s="14" t="inlineStr">
        <is>
          <t>P1A</t>
        </is>
      </c>
      <c r="E297" s="15" t="n">
        <v>10</v>
      </c>
      <c r="F297" s="4" t="inlineStr">
        <is>
          <t>CB240-T</t>
        </is>
      </c>
      <c r="G297" s="5" t="inlineStr"/>
      <c r="H297" s="16" t="n">
        <v>390.776</v>
      </c>
      <c r="I297" s="17" t="n">
        <v>1</v>
      </c>
      <c r="J297" s="18" t="n">
        <v>0.617</v>
      </c>
      <c r="K297" s="7">
        <f>ROUND(H297*I297*J297, 2)</f>
        <v/>
      </c>
      <c r="L297" s="19">
        <f>ROUND(K297/1000, 3)</f>
        <v/>
      </c>
      <c r="M297" s="728">
        <f>IF(AO297="","",IF(N(INDEX(Theo_Doi_Tan_Suat_Be_Tong!$C:$C,AO297))&lt;=0,"",INDEX(Theo_Doi_Tan_Suat_Be_Tong!$C:$C,AO297)-VLOOKUP(AN297,$AQ$2:$AR$7,2,FALSE)))</f>
        <v/>
      </c>
      <c r="N297" s="4" t="n"/>
      <c r="O297" s="20">
        <f>IF(ROUNDUP(P297/20,0)&gt;ROUNDUP(P296/20,0),"TN Ø10 (Lần " &amp; ROUNDUP(P297/20,0) &amp; ")","")</f>
        <v/>
      </c>
      <c r="P297" s="16">
        <f>ROUND(P296+IF(AND(E297&lt;=10,F297&lt;&gt;"ASTM A416"),L297,0),3)</f>
        <v/>
      </c>
      <c r="Q297" s="16">
        <f>ROUND(Q296+IF(AND(E297=12,F297&lt;&gt;"ASTM A416"),L297,0),3)</f>
        <v/>
      </c>
      <c r="R297" s="16">
        <f>ROUND(R296+IF(AND(E297=14,F297&lt;&gt;"ASTM A416"),L297,0),3)</f>
        <v/>
      </c>
      <c r="S297" s="16">
        <f>ROUND(S296+IF(AND(E297=16,F297&lt;&gt;"ASTM A416"),L297,0),3)</f>
        <v/>
      </c>
      <c r="T297" s="16">
        <f>ROUND(T296+IF(AND(E297=18,F297&lt;&gt;"ASTM A416"),L297,0),3)</f>
        <v/>
      </c>
      <c r="U297" s="16">
        <f>ROUND(U296+IF(AND(E297=20,F297&lt;&gt;"ASTM A416"),L297,0),3)</f>
        <v/>
      </c>
      <c r="V297" s="16">
        <f>ROUND(V296+IF(AND(E297=22,F297&lt;&gt;"ASTM A416"),L297,0),3)</f>
        <v/>
      </c>
      <c r="W297" s="16">
        <f>ROUND(W296+IF(AND(E297=25,F297&lt;&gt;"ASTM A416"),L297,0),3)</f>
        <v/>
      </c>
      <c r="X297" s="16">
        <f>ROUND(X296+IF(AND(E297=28,F297&lt;&gt;"ASTM A416"),L297,0),3)</f>
        <v/>
      </c>
      <c r="Y297" s="16">
        <f>ROUND(Y296+IF(AND(E297=32,F297&lt;&gt;"ASTM A416"),L297,0),3)</f>
        <v/>
      </c>
      <c r="Z297" s="16">
        <f>ROUND(Z296+IF(F297="ASTM A416",L297,0),3)</f>
        <v/>
      </c>
      <c r="AA297" s="9">
        <f>IF(ROUNDUP(P297/20,0)&gt;ROUNDUP(P296/20,0),"Lần " &amp; ROUNDUP(P297/20,0),"")</f>
        <v/>
      </c>
      <c r="AB297" s="9">
        <f>IF(ROUNDUP(Q297/20,0)&gt;ROUNDUP(Q296/20,0),"Lần " &amp; ROUNDUP(Q297/20,0),"")</f>
        <v/>
      </c>
      <c r="AC297" s="9">
        <f>IF(ROUNDUP(R297/20,0)&gt;ROUNDUP(R296/20,0),"Lần " &amp; ROUNDUP(R297/20,0),"")</f>
        <v/>
      </c>
      <c r="AD297" s="9">
        <f>IF(ROUNDUP(S297/20,0)&gt;ROUNDUP(S296/20,0),"Lần " &amp; ROUNDUP(S297/20,0),"")</f>
        <v/>
      </c>
      <c r="AE297" s="9">
        <f>IF(ROUNDUP(T297/20,0)&gt;ROUNDUP(T296/20,0),"Lần " &amp; ROUNDUP(T297/20,0),"")</f>
        <v/>
      </c>
      <c r="AF297" s="9">
        <f>IF(ROUNDUP(U297/20,0)&gt;ROUNDUP(U296/20,0),"Lần " &amp; ROUNDUP(U297/20,0),"")</f>
        <v/>
      </c>
      <c r="AG297" s="9">
        <f>IF(ROUNDUP(V297/20,0)&gt;ROUNDUP(V296/20,0),"Lần " &amp; ROUNDUP(V297/20,0),"")</f>
        <v/>
      </c>
      <c r="AH297" s="9">
        <f>IF(ROUNDUP(W297/20,0)&gt;ROUNDUP(W296/20,0),"Lần " &amp; ROUNDUP(W297/20,0),"")</f>
        <v/>
      </c>
      <c r="AI297" s="9">
        <f>IF(ROUNDUP(X297/20,0)&gt;ROUNDUP(X296/20,0),"Lần " &amp; ROUNDUP(X297/20,0),"")</f>
        <v/>
      </c>
      <c r="AJ297" s="9">
        <f>IF(ROUNDUP(Y297/20,0)&gt;ROUNDUP(Y296/20,0),"Lần " &amp; ROUNDUP(Y297/20,0),"")</f>
        <v/>
      </c>
      <c r="AK297" s="9">
        <f>IF(ROUNDUP(Z297/20,0)&gt;ROUNDUP(Z296/20,0),"Lần " &amp; ROUNDUP(Z297/20,0),"")</f>
        <v/>
      </c>
      <c r="AL297" s="4" t="n"/>
      <c r="AN297" s="596" t="inlineStr">
        <is>
          <t>Coc</t>
        </is>
      </c>
      <c r="AO297" s="596" t="n">
        <v>22</v>
      </c>
      <c r="AQ297" s="594" t="n"/>
      <c r="AR297" s="595" t="n"/>
    </row>
    <row r="298" ht="19" customHeight="1" s="672">
      <c r="A298" s="4" t="n">
        <v>277</v>
      </c>
      <c r="B298" s="5" t="inlineStr">
        <is>
          <t>Cọc khoan nhồi C3 Mố M2 (D1.2m, L=36.0m)</t>
        </is>
      </c>
      <c r="C298" s="5" t="inlineStr">
        <is>
          <t>Cọc mố M2 L=36m (tr.66)</t>
        </is>
      </c>
      <c r="D298" s="14" t="inlineStr">
        <is>
          <t>P1B</t>
        </is>
      </c>
      <c r="E298" s="15" t="n">
        <v>10</v>
      </c>
      <c r="F298" s="4" t="inlineStr">
        <is>
          <t>CB240-T</t>
        </is>
      </c>
      <c r="G298" s="5" t="inlineStr"/>
      <c r="H298" s="16" t="n">
        <v>164.938</v>
      </c>
      <c r="I298" s="17" t="n">
        <v>1</v>
      </c>
      <c r="J298" s="18" t="n">
        <v>0.617</v>
      </c>
      <c r="K298" s="7">
        <f>ROUND(H298*I298*J298, 2)</f>
        <v/>
      </c>
      <c r="L298" s="19">
        <f>ROUND(K298/1000, 3)</f>
        <v/>
      </c>
      <c r="M298" s="728">
        <f>IF(AO298="","",IF(N(INDEX(Theo_Doi_Tan_Suat_Be_Tong!$C:$C,AO298))&lt;=0,"",INDEX(Theo_Doi_Tan_Suat_Be_Tong!$C:$C,AO298)-VLOOKUP(AN298,$AQ$2:$AR$7,2,FALSE)))</f>
        <v/>
      </c>
      <c r="N298" s="4" t="n"/>
      <c r="O298" s="20">
        <f>IF(ROUNDUP(P298/20,0)&gt;ROUNDUP(P297/20,0),"TN Ø10 (Lần " &amp; ROUNDUP(P298/20,0) &amp; ")","")</f>
        <v/>
      </c>
      <c r="P298" s="16">
        <f>ROUND(P297+IF(AND(E298&lt;=10,F298&lt;&gt;"ASTM A416"),L298,0),3)</f>
        <v/>
      </c>
      <c r="Q298" s="16">
        <f>ROUND(Q297+IF(AND(E298=12,F298&lt;&gt;"ASTM A416"),L298,0),3)</f>
        <v/>
      </c>
      <c r="R298" s="16">
        <f>ROUND(R297+IF(AND(E298=14,F298&lt;&gt;"ASTM A416"),L298,0),3)</f>
        <v/>
      </c>
      <c r="S298" s="16">
        <f>ROUND(S297+IF(AND(E298=16,F298&lt;&gt;"ASTM A416"),L298,0),3)</f>
        <v/>
      </c>
      <c r="T298" s="16">
        <f>ROUND(T297+IF(AND(E298=18,F298&lt;&gt;"ASTM A416"),L298,0),3)</f>
        <v/>
      </c>
      <c r="U298" s="16">
        <f>ROUND(U297+IF(AND(E298=20,F298&lt;&gt;"ASTM A416"),L298,0),3)</f>
        <v/>
      </c>
      <c r="V298" s="16">
        <f>ROUND(V297+IF(AND(E298=22,F298&lt;&gt;"ASTM A416"),L298,0),3)</f>
        <v/>
      </c>
      <c r="W298" s="16">
        <f>ROUND(W297+IF(AND(E298=25,F298&lt;&gt;"ASTM A416"),L298,0),3)</f>
        <v/>
      </c>
      <c r="X298" s="16">
        <f>ROUND(X297+IF(AND(E298=28,F298&lt;&gt;"ASTM A416"),L298,0),3)</f>
        <v/>
      </c>
      <c r="Y298" s="16">
        <f>ROUND(Y297+IF(AND(E298=32,F298&lt;&gt;"ASTM A416"),L298,0),3)</f>
        <v/>
      </c>
      <c r="Z298" s="16">
        <f>ROUND(Z297+IF(F298="ASTM A416",L298,0),3)</f>
        <v/>
      </c>
      <c r="AA298" s="9">
        <f>IF(ROUNDUP(P298/20,0)&gt;ROUNDUP(P297/20,0),"Lần " &amp; ROUNDUP(P298/20,0),"")</f>
        <v/>
      </c>
      <c r="AB298" s="9">
        <f>IF(ROUNDUP(Q298/20,0)&gt;ROUNDUP(Q297/20,0),"Lần " &amp; ROUNDUP(Q298/20,0),"")</f>
        <v/>
      </c>
      <c r="AC298" s="9">
        <f>IF(ROUNDUP(R298/20,0)&gt;ROUNDUP(R297/20,0),"Lần " &amp; ROUNDUP(R298/20,0),"")</f>
        <v/>
      </c>
      <c r="AD298" s="9">
        <f>IF(ROUNDUP(S298/20,0)&gt;ROUNDUP(S297/20,0),"Lần " &amp; ROUNDUP(S298/20,0),"")</f>
        <v/>
      </c>
      <c r="AE298" s="9">
        <f>IF(ROUNDUP(T298/20,0)&gt;ROUNDUP(T297/20,0),"Lần " &amp; ROUNDUP(T298/20,0),"")</f>
        <v/>
      </c>
      <c r="AF298" s="9">
        <f>IF(ROUNDUP(U298/20,0)&gt;ROUNDUP(U297/20,0),"Lần " &amp; ROUNDUP(U298/20,0),"")</f>
        <v/>
      </c>
      <c r="AG298" s="9">
        <f>IF(ROUNDUP(V298/20,0)&gt;ROUNDUP(V297/20,0),"Lần " &amp; ROUNDUP(V298/20,0),"")</f>
        <v/>
      </c>
      <c r="AH298" s="9">
        <f>IF(ROUNDUP(W298/20,0)&gt;ROUNDUP(W297/20,0),"Lần " &amp; ROUNDUP(W298/20,0),"")</f>
        <v/>
      </c>
      <c r="AI298" s="9">
        <f>IF(ROUNDUP(X298/20,0)&gt;ROUNDUP(X297/20,0),"Lần " &amp; ROUNDUP(X298/20,0),"")</f>
        <v/>
      </c>
      <c r="AJ298" s="9">
        <f>IF(ROUNDUP(Y298/20,0)&gt;ROUNDUP(Y297/20,0),"Lần " &amp; ROUNDUP(Y298/20,0),"")</f>
        <v/>
      </c>
      <c r="AK298" s="9">
        <f>IF(ROUNDUP(Z298/20,0)&gt;ROUNDUP(Z297/20,0),"Lần " &amp; ROUNDUP(Z298/20,0),"")</f>
        <v/>
      </c>
      <c r="AL298" s="4" t="n"/>
      <c r="AN298" s="596" t="inlineStr">
        <is>
          <t>Coc</t>
        </is>
      </c>
      <c r="AO298" s="596" t="n">
        <v>22</v>
      </c>
      <c r="AQ298" s="594" t="n"/>
      <c r="AR298" s="595" t="n"/>
    </row>
    <row r="299" ht="19" customHeight="1" s="672">
      <c r="A299" s="4" t="n">
        <v>278</v>
      </c>
      <c r="B299" s="5" t="inlineStr">
        <is>
          <t>Cọc khoan nhồi C3 Mố M2 (D1.2m, L=36.0m)</t>
        </is>
      </c>
      <c r="C299" s="5" t="inlineStr">
        <is>
          <t>Cọc mố M2 L=36m (tr.66)</t>
        </is>
      </c>
      <c r="D299" s="14" t="inlineStr">
        <is>
          <t>P1C</t>
        </is>
      </c>
      <c r="E299" s="15" t="n">
        <v>10</v>
      </c>
      <c r="F299" s="4" t="inlineStr">
        <is>
          <t>CB240-T</t>
        </is>
      </c>
      <c r="G299" s="5" t="inlineStr"/>
      <c r="H299" s="16" t="n">
        <v>3.592</v>
      </c>
      <c r="I299" s="17" t="n">
        <v>2</v>
      </c>
      <c r="J299" s="18" t="n">
        <v>0.617</v>
      </c>
      <c r="K299" s="7">
        <f>ROUND(H299*I299*J299, 2)</f>
        <v/>
      </c>
      <c r="L299" s="19">
        <f>ROUND(K299/1000, 3)</f>
        <v/>
      </c>
      <c r="M299" s="728">
        <f>IF(AO299="","",IF(N(INDEX(Theo_Doi_Tan_Suat_Be_Tong!$C:$C,AO299))&lt;=0,"",INDEX(Theo_Doi_Tan_Suat_Be_Tong!$C:$C,AO299)-VLOOKUP(AN299,$AQ$2:$AR$7,2,FALSE)))</f>
        <v/>
      </c>
      <c r="N299" s="4" t="n"/>
      <c r="O299" s="20">
        <f>IF(ROUNDUP(P299/20,0)&gt;ROUNDUP(P298/20,0),"TN Ø10 (Lần " &amp; ROUNDUP(P299/20,0) &amp; ")","")</f>
        <v/>
      </c>
      <c r="P299" s="16">
        <f>ROUND(P298+IF(AND(E299&lt;=10,F299&lt;&gt;"ASTM A416"),L299,0),3)</f>
        <v/>
      </c>
      <c r="Q299" s="16">
        <f>ROUND(Q298+IF(AND(E299=12,F299&lt;&gt;"ASTM A416"),L299,0),3)</f>
        <v/>
      </c>
      <c r="R299" s="16">
        <f>ROUND(R298+IF(AND(E299=14,F299&lt;&gt;"ASTM A416"),L299,0),3)</f>
        <v/>
      </c>
      <c r="S299" s="16">
        <f>ROUND(S298+IF(AND(E299=16,F299&lt;&gt;"ASTM A416"),L299,0),3)</f>
        <v/>
      </c>
      <c r="T299" s="16">
        <f>ROUND(T298+IF(AND(E299=18,F299&lt;&gt;"ASTM A416"),L299,0),3)</f>
        <v/>
      </c>
      <c r="U299" s="16">
        <f>ROUND(U298+IF(AND(E299=20,F299&lt;&gt;"ASTM A416"),L299,0),3)</f>
        <v/>
      </c>
      <c r="V299" s="16">
        <f>ROUND(V298+IF(AND(E299=22,F299&lt;&gt;"ASTM A416"),L299,0),3)</f>
        <v/>
      </c>
      <c r="W299" s="16">
        <f>ROUND(W298+IF(AND(E299=25,F299&lt;&gt;"ASTM A416"),L299,0),3)</f>
        <v/>
      </c>
      <c r="X299" s="16">
        <f>ROUND(X298+IF(AND(E299=28,F299&lt;&gt;"ASTM A416"),L299,0),3)</f>
        <v/>
      </c>
      <c r="Y299" s="16">
        <f>ROUND(Y298+IF(AND(E299=32,F299&lt;&gt;"ASTM A416"),L299,0),3)</f>
        <v/>
      </c>
      <c r="Z299" s="16">
        <f>ROUND(Z298+IF(F299="ASTM A416",L299,0),3)</f>
        <v/>
      </c>
      <c r="AA299" s="9">
        <f>IF(ROUNDUP(P299/20,0)&gt;ROUNDUP(P298/20,0),"Lần " &amp; ROUNDUP(P299/20,0),"")</f>
        <v/>
      </c>
      <c r="AB299" s="9">
        <f>IF(ROUNDUP(Q299/20,0)&gt;ROUNDUP(Q298/20,0),"Lần " &amp; ROUNDUP(Q299/20,0),"")</f>
        <v/>
      </c>
      <c r="AC299" s="9">
        <f>IF(ROUNDUP(R299/20,0)&gt;ROUNDUP(R298/20,0),"Lần " &amp; ROUNDUP(R299/20,0),"")</f>
        <v/>
      </c>
      <c r="AD299" s="9">
        <f>IF(ROUNDUP(S299/20,0)&gt;ROUNDUP(S298/20,0),"Lần " &amp; ROUNDUP(S299/20,0),"")</f>
        <v/>
      </c>
      <c r="AE299" s="9">
        <f>IF(ROUNDUP(T299/20,0)&gt;ROUNDUP(T298/20,0),"Lần " &amp; ROUNDUP(T299/20,0),"")</f>
        <v/>
      </c>
      <c r="AF299" s="9">
        <f>IF(ROUNDUP(U299/20,0)&gt;ROUNDUP(U298/20,0),"Lần " &amp; ROUNDUP(U299/20,0),"")</f>
        <v/>
      </c>
      <c r="AG299" s="9">
        <f>IF(ROUNDUP(V299/20,0)&gt;ROUNDUP(V298/20,0),"Lần " &amp; ROUNDUP(V299/20,0),"")</f>
        <v/>
      </c>
      <c r="AH299" s="9">
        <f>IF(ROUNDUP(W299/20,0)&gt;ROUNDUP(W298/20,0),"Lần " &amp; ROUNDUP(W299/20,0),"")</f>
        <v/>
      </c>
      <c r="AI299" s="9">
        <f>IF(ROUNDUP(X299/20,0)&gt;ROUNDUP(X298/20,0),"Lần " &amp; ROUNDUP(X299/20,0),"")</f>
        <v/>
      </c>
      <c r="AJ299" s="9">
        <f>IF(ROUNDUP(Y299/20,0)&gt;ROUNDUP(Y298/20,0),"Lần " &amp; ROUNDUP(Y299/20,0),"")</f>
        <v/>
      </c>
      <c r="AK299" s="9">
        <f>IF(ROUNDUP(Z299/20,0)&gt;ROUNDUP(Z298/20,0),"Lần " &amp; ROUNDUP(Z299/20,0),"")</f>
        <v/>
      </c>
      <c r="AL299" s="4" t="n"/>
      <c r="AN299" s="596" t="inlineStr">
        <is>
          <t>Coc</t>
        </is>
      </c>
      <c r="AO299" s="596" t="n">
        <v>22</v>
      </c>
      <c r="AQ299" s="594" t="n"/>
      <c r="AR299" s="595" t="n"/>
    </row>
    <row r="300" ht="19" customHeight="1" s="672">
      <c r="A300" s="4" t="n">
        <v>279</v>
      </c>
      <c r="B300" s="5" t="inlineStr">
        <is>
          <t>Cọc khoan nhồi C3 Mố M2 (D1.2m, L=36.0m)</t>
        </is>
      </c>
      <c r="C300" s="5" t="inlineStr">
        <is>
          <t>Cọc mố M2 L=36m (tr.66)</t>
        </is>
      </c>
      <c r="D300" s="14" t="inlineStr">
        <is>
          <t>P1D</t>
        </is>
      </c>
      <c r="E300" s="15" t="n">
        <v>10</v>
      </c>
      <c r="F300" s="4" t="inlineStr">
        <is>
          <t>CB240-T</t>
        </is>
      </c>
      <c r="G300" s="5" t="inlineStr"/>
      <c r="H300" s="16" t="n">
        <v>23.007</v>
      </c>
      <c r="I300" s="17" t="n">
        <v>1</v>
      </c>
      <c r="J300" s="18" t="n">
        <v>0.617</v>
      </c>
      <c r="K300" s="7">
        <f>ROUND(H300*I300*J300, 2)</f>
        <v/>
      </c>
      <c r="L300" s="19">
        <f>ROUND(K300/1000, 3)</f>
        <v/>
      </c>
      <c r="M300" s="728">
        <f>IF(AO300="","",IF(N(INDEX(Theo_Doi_Tan_Suat_Be_Tong!$C:$C,AO300))&lt;=0,"",INDEX(Theo_Doi_Tan_Suat_Be_Tong!$C:$C,AO300)-VLOOKUP(AN300,$AQ$2:$AR$7,2,FALSE)))</f>
        <v/>
      </c>
      <c r="N300" s="4" t="n"/>
      <c r="O300" s="20">
        <f>IF(ROUNDUP(P300/20,0)&gt;ROUNDUP(P299/20,0),"TN Ø10 (Lần " &amp; ROUNDUP(P300/20,0) &amp; ")","")</f>
        <v/>
      </c>
      <c r="P300" s="16">
        <f>ROUND(P299+IF(AND(E300&lt;=10,F300&lt;&gt;"ASTM A416"),L300,0),3)</f>
        <v/>
      </c>
      <c r="Q300" s="16">
        <f>ROUND(Q299+IF(AND(E300=12,F300&lt;&gt;"ASTM A416"),L300,0),3)</f>
        <v/>
      </c>
      <c r="R300" s="16">
        <f>ROUND(R299+IF(AND(E300=14,F300&lt;&gt;"ASTM A416"),L300,0),3)</f>
        <v/>
      </c>
      <c r="S300" s="16">
        <f>ROUND(S299+IF(AND(E300=16,F300&lt;&gt;"ASTM A416"),L300,0),3)</f>
        <v/>
      </c>
      <c r="T300" s="16">
        <f>ROUND(T299+IF(AND(E300=18,F300&lt;&gt;"ASTM A416"),L300,0),3)</f>
        <v/>
      </c>
      <c r="U300" s="16">
        <f>ROUND(U299+IF(AND(E300=20,F300&lt;&gt;"ASTM A416"),L300,0),3)</f>
        <v/>
      </c>
      <c r="V300" s="16">
        <f>ROUND(V299+IF(AND(E300=22,F300&lt;&gt;"ASTM A416"),L300,0),3)</f>
        <v/>
      </c>
      <c r="W300" s="16">
        <f>ROUND(W299+IF(AND(E300=25,F300&lt;&gt;"ASTM A416"),L300,0),3)</f>
        <v/>
      </c>
      <c r="X300" s="16">
        <f>ROUND(X299+IF(AND(E300=28,F300&lt;&gt;"ASTM A416"),L300,0),3)</f>
        <v/>
      </c>
      <c r="Y300" s="16">
        <f>ROUND(Y299+IF(AND(E300=32,F300&lt;&gt;"ASTM A416"),L300,0),3)</f>
        <v/>
      </c>
      <c r="Z300" s="16">
        <f>ROUND(Z299+IF(F300="ASTM A416",L300,0),3)</f>
        <v/>
      </c>
      <c r="AA300" s="9">
        <f>IF(ROUNDUP(P300/20,0)&gt;ROUNDUP(P299/20,0),"Lần " &amp; ROUNDUP(P300/20,0),"")</f>
        <v/>
      </c>
      <c r="AB300" s="9">
        <f>IF(ROUNDUP(Q300/20,0)&gt;ROUNDUP(Q299/20,0),"Lần " &amp; ROUNDUP(Q300/20,0),"")</f>
        <v/>
      </c>
      <c r="AC300" s="9">
        <f>IF(ROUNDUP(R300/20,0)&gt;ROUNDUP(R299/20,0),"Lần " &amp; ROUNDUP(R300/20,0),"")</f>
        <v/>
      </c>
      <c r="AD300" s="9">
        <f>IF(ROUNDUP(S300/20,0)&gt;ROUNDUP(S299/20,0),"Lần " &amp; ROUNDUP(S300/20,0),"")</f>
        <v/>
      </c>
      <c r="AE300" s="9">
        <f>IF(ROUNDUP(T300/20,0)&gt;ROUNDUP(T299/20,0),"Lần " &amp; ROUNDUP(T300/20,0),"")</f>
        <v/>
      </c>
      <c r="AF300" s="9">
        <f>IF(ROUNDUP(U300/20,0)&gt;ROUNDUP(U299/20,0),"Lần " &amp; ROUNDUP(U300/20,0),"")</f>
        <v/>
      </c>
      <c r="AG300" s="9">
        <f>IF(ROUNDUP(V300/20,0)&gt;ROUNDUP(V299/20,0),"Lần " &amp; ROUNDUP(V300/20,0),"")</f>
        <v/>
      </c>
      <c r="AH300" s="9">
        <f>IF(ROUNDUP(W300/20,0)&gt;ROUNDUP(W299/20,0),"Lần " &amp; ROUNDUP(W300/20,0),"")</f>
        <v/>
      </c>
      <c r="AI300" s="9">
        <f>IF(ROUNDUP(X300/20,0)&gt;ROUNDUP(X299/20,0),"Lần " &amp; ROUNDUP(X300/20,0),"")</f>
        <v/>
      </c>
      <c r="AJ300" s="9">
        <f>IF(ROUNDUP(Y300/20,0)&gt;ROUNDUP(Y299/20,0),"Lần " &amp; ROUNDUP(Y300/20,0),"")</f>
        <v/>
      </c>
      <c r="AK300" s="9">
        <f>IF(ROUNDUP(Z300/20,0)&gt;ROUNDUP(Z299/20,0),"Lần " &amp; ROUNDUP(Z300/20,0),"")</f>
        <v/>
      </c>
      <c r="AL300" s="4" t="n"/>
      <c r="AN300" s="596" t="inlineStr">
        <is>
          <t>Coc</t>
        </is>
      </c>
      <c r="AO300" s="596" t="n">
        <v>22</v>
      </c>
      <c r="AQ300" s="594" t="n"/>
      <c r="AR300" s="595" t="n"/>
    </row>
    <row r="301" ht="19" customHeight="1" s="672">
      <c r="A301" s="4" t="n">
        <v>280</v>
      </c>
      <c r="B301" s="5" t="inlineStr">
        <is>
          <t>Cọc khoan nhồi C3 Mố M2 (D1.2m, L=36.0m)</t>
        </is>
      </c>
      <c r="C301" s="5" t="inlineStr">
        <is>
          <t>Cọc mố M2 L=36m (tr.66)</t>
        </is>
      </c>
      <c r="D301" s="14" t="inlineStr">
        <is>
          <t>P2A</t>
        </is>
      </c>
      <c r="E301" s="15" t="n">
        <v>28</v>
      </c>
      <c r="F301" s="4" t="inlineStr">
        <is>
          <t>CB400-V</t>
        </is>
      </c>
      <c r="G301" s="5" t="inlineStr"/>
      <c r="H301" s="16" t="n">
        <v>2.966</v>
      </c>
      <c r="I301" s="17" t="n">
        <v>5</v>
      </c>
      <c r="J301" s="18" t="n">
        <v>4.834</v>
      </c>
      <c r="K301" s="7">
        <f>ROUND(H301*I301*J301, 2)</f>
        <v/>
      </c>
      <c r="L301" s="19">
        <f>ROUND(K301/1000, 3)</f>
        <v/>
      </c>
      <c r="M301" s="728">
        <f>IF(AO301="","",IF(N(INDEX(Theo_Doi_Tan_Suat_Be_Tong!$C:$C,AO301))&lt;=0,"",INDEX(Theo_Doi_Tan_Suat_Be_Tong!$C:$C,AO301)-VLOOKUP(AN301,$AQ$2:$AR$7,2,FALSE)))</f>
        <v/>
      </c>
      <c r="N301" s="4" t="n"/>
      <c r="O301" s="20">
        <f>IF(ROUNDUP(X301/20,0)&gt;ROUNDUP(X300/20,0),"TN Ø28 (Lần " &amp; ROUNDUP(X301/20,0) &amp; ")","")</f>
        <v/>
      </c>
      <c r="P301" s="16">
        <f>ROUND(P300+IF(AND(E301&lt;=10,F301&lt;&gt;"ASTM A416"),L301,0),3)</f>
        <v/>
      </c>
      <c r="Q301" s="16">
        <f>ROUND(Q300+IF(AND(E301=12,F301&lt;&gt;"ASTM A416"),L301,0),3)</f>
        <v/>
      </c>
      <c r="R301" s="16">
        <f>ROUND(R300+IF(AND(E301=14,F301&lt;&gt;"ASTM A416"),L301,0),3)</f>
        <v/>
      </c>
      <c r="S301" s="16">
        <f>ROUND(S300+IF(AND(E301=16,F301&lt;&gt;"ASTM A416"),L301,0),3)</f>
        <v/>
      </c>
      <c r="T301" s="16">
        <f>ROUND(T300+IF(AND(E301=18,F301&lt;&gt;"ASTM A416"),L301,0),3)</f>
        <v/>
      </c>
      <c r="U301" s="16">
        <f>ROUND(U300+IF(AND(E301=20,F301&lt;&gt;"ASTM A416"),L301,0),3)</f>
        <v/>
      </c>
      <c r="V301" s="16">
        <f>ROUND(V300+IF(AND(E301=22,F301&lt;&gt;"ASTM A416"),L301,0),3)</f>
        <v/>
      </c>
      <c r="W301" s="16">
        <f>ROUND(W300+IF(AND(E301=25,F301&lt;&gt;"ASTM A416"),L301,0),3)</f>
        <v/>
      </c>
      <c r="X301" s="16">
        <f>ROUND(X300+IF(AND(E301=28,F301&lt;&gt;"ASTM A416"),L301,0),3)</f>
        <v/>
      </c>
      <c r="Y301" s="16">
        <f>ROUND(Y300+IF(AND(E301=32,F301&lt;&gt;"ASTM A416"),L301,0),3)</f>
        <v/>
      </c>
      <c r="Z301" s="16">
        <f>ROUND(Z300+IF(F301="ASTM A416",L301,0),3)</f>
        <v/>
      </c>
      <c r="AA301" s="9">
        <f>IF(ROUNDUP(P301/20,0)&gt;ROUNDUP(P300/20,0),"Lần " &amp; ROUNDUP(P301/20,0),"")</f>
        <v/>
      </c>
      <c r="AB301" s="9">
        <f>IF(ROUNDUP(Q301/20,0)&gt;ROUNDUP(Q300/20,0),"Lần " &amp; ROUNDUP(Q301/20,0),"")</f>
        <v/>
      </c>
      <c r="AC301" s="9">
        <f>IF(ROUNDUP(R301/20,0)&gt;ROUNDUP(R300/20,0),"Lần " &amp; ROUNDUP(R301/20,0),"")</f>
        <v/>
      </c>
      <c r="AD301" s="9">
        <f>IF(ROUNDUP(S301/20,0)&gt;ROUNDUP(S300/20,0),"Lần " &amp; ROUNDUP(S301/20,0),"")</f>
        <v/>
      </c>
      <c r="AE301" s="9">
        <f>IF(ROUNDUP(T301/20,0)&gt;ROUNDUP(T300/20,0),"Lần " &amp; ROUNDUP(T301/20,0),"")</f>
        <v/>
      </c>
      <c r="AF301" s="9">
        <f>IF(ROUNDUP(U301/20,0)&gt;ROUNDUP(U300/20,0),"Lần " &amp; ROUNDUP(U301/20,0),"")</f>
        <v/>
      </c>
      <c r="AG301" s="9">
        <f>IF(ROUNDUP(V301/20,0)&gt;ROUNDUP(V300/20,0),"Lần " &amp; ROUNDUP(V301/20,0),"")</f>
        <v/>
      </c>
      <c r="AH301" s="9">
        <f>IF(ROUNDUP(W301/20,0)&gt;ROUNDUP(W300/20,0),"Lần " &amp; ROUNDUP(W301/20,0),"")</f>
        <v/>
      </c>
      <c r="AI301" s="9">
        <f>IF(ROUNDUP(X301/20,0)&gt;ROUNDUP(X300/20,0),"Lần " &amp; ROUNDUP(X301/20,0),"")</f>
        <v/>
      </c>
      <c r="AJ301" s="9">
        <f>IF(ROUNDUP(Y301/20,0)&gt;ROUNDUP(Y300/20,0),"Lần " &amp; ROUNDUP(Y301/20,0),"")</f>
        <v/>
      </c>
      <c r="AK301" s="9">
        <f>IF(ROUNDUP(Z301/20,0)&gt;ROUNDUP(Z300/20,0),"Lần " &amp; ROUNDUP(Z301/20,0),"")</f>
        <v/>
      </c>
      <c r="AL301" s="4" t="n"/>
      <c r="AN301" s="596" t="inlineStr">
        <is>
          <t>Coc</t>
        </is>
      </c>
      <c r="AO301" s="596" t="n">
        <v>22</v>
      </c>
      <c r="AQ301" s="594" t="n"/>
      <c r="AR301" s="595" t="n"/>
    </row>
    <row r="302" ht="19" customHeight="1" s="672">
      <c r="A302" s="4" t="n">
        <v>281</v>
      </c>
      <c r="B302" s="5" t="inlineStr">
        <is>
          <t>Cọc khoan nhồi C3 Mố M2 (D1.2m, L=36.0m)</t>
        </is>
      </c>
      <c r="C302" s="5" t="inlineStr">
        <is>
          <t>Cọc mố M2 L=36m (tr.66)</t>
        </is>
      </c>
      <c r="D302" s="14" t="inlineStr">
        <is>
          <t>P2B</t>
        </is>
      </c>
      <c r="E302" s="15" t="n">
        <v>25</v>
      </c>
      <c r="F302" s="4" t="inlineStr">
        <is>
          <t>CB400-V</t>
        </is>
      </c>
      <c r="G302" s="5" t="inlineStr"/>
      <c r="H302" s="16" t="n">
        <v>2.985</v>
      </c>
      <c r="I302" s="17" t="n">
        <v>10</v>
      </c>
      <c r="J302" s="18" t="n">
        <v>3.853</v>
      </c>
      <c r="K302" s="7">
        <f>ROUND(H302*I302*J302, 2)</f>
        <v/>
      </c>
      <c r="L302" s="19">
        <f>ROUND(K302/1000, 3)</f>
        <v/>
      </c>
      <c r="M302" s="728">
        <f>IF(AO302="","",IF(N(INDEX(Theo_Doi_Tan_Suat_Be_Tong!$C:$C,AO302))&lt;=0,"",INDEX(Theo_Doi_Tan_Suat_Be_Tong!$C:$C,AO302)-VLOOKUP(AN302,$AQ$2:$AR$7,2,FALSE)))</f>
        <v/>
      </c>
      <c r="N302" s="4" t="n"/>
      <c r="O302" s="20">
        <f>IF(ROUNDUP(W302/20,0)&gt;ROUNDUP(W301/20,0),"TN Ø25 (Lần " &amp; ROUNDUP(W302/20,0) &amp; ")","")</f>
        <v/>
      </c>
      <c r="P302" s="16">
        <f>ROUND(P301+IF(AND(E302&lt;=10,F302&lt;&gt;"ASTM A416"),L302,0),3)</f>
        <v/>
      </c>
      <c r="Q302" s="16">
        <f>ROUND(Q301+IF(AND(E302=12,F302&lt;&gt;"ASTM A416"),L302,0),3)</f>
        <v/>
      </c>
      <c r="R302" s="16">
        <f>ROUND(R301+IF(AND(E302=14,F302&lt;&gt;"ASTM A416"),L302,0),3)</f>
        <v/>
      </c>
      <c r="S302" s="16">
        <f>ROUND(S301+IF(AND(E302=16,F302&lt;&gt;"ASTM A416"),L302,0),3)</f>
        <v/>
      </c>
      <c r="T302" s="16">
        <f>ROUND(T301+IF(AND(E302=18,F302&lt;&gt;"ASTM A416"),L302,0),3)</f>
        <v/>
      </c>
      <c r="U302" s="16">
        <f>ROUND(U301+IF(AND(E302=20,F302&lt;&gt;"ASTM A416"),L302,0),3)</f>
        <v/>
      </c>
      <c r="V302" s="16">
        <f>ROUND(V301+IF(AND(E302=22,F302&lt;&gt;"ASTM A416"),L302,0),3)</f>
        <v/>
      </c>
      <c r="W302" s="16">
        <f>ROUND(W301+IF(AND(E302=25,F302&lt;&gt;"ASTM A416"),L302,0),3)</f>
        <v/>
      </c>
      <c r="X302" s="16">
        <f>ROUND(X301+IF(AND(E302=28,F302&lt;&gt;"ASTM A416"),L302,0),3)</f>
        <v/>
      </c>
      <c r="Y302" s="16">
        <f>ROUND(Y301+IF(AND(E302=32,F302&lt;&gt;"ASTM A416"),L302,0),3)</f>
        <v/>
      </c>
      <c r="Z302" s="16">
        <f>ROUND(Z301+IF(F302="ASTM A416",L302,0),3)</f>
        <v/>
      </c>
      <c r="AA302" s="9">
        <f>IF(ROUNDUP(P302/20,0)&gt;ROUNDUP(P301/20,0),"Lần " &amp; ROUNDUP(P302/20,0),"")</f>
        <v/>
      </c>
      <c r="AB302" s="9">
        <f>IF(ROUNDUP(Q302/20,0)&gt;ROUNDUP(Q301/20,0),"Lần " &amp; ROUNDUP(Q302/20,0),"")</f>
        <v/>
      </c>
      <c r="AC302" s="9">
        <f>IF(ROUNDUP(R302/20,0)&gt;ROUNDUP(R301/20,0),"Lần " &amp; ROUNDUP(R302/20,0),"")</f>
        <v/>
      </c>
      <c r="AD302" s="9">
        <f>IF(ROUNDUP(S302/20,0)&gt;ROUNDUP(S301/20,0),"Lần " &amp; ROUNDUP(S302/20,0),"")</f>
        <v/>
      </c>
      <c r="AE302" s="9">
        <f>IF(ROUNDUP(T302/20,0)&gt;ROUNDUP(T301/20,0),"Lần " &amp; ROUNDUP(T302/20,0),"")</f>
        <v/>
      </c>
      <c r="AF302" s="9">
        <f>IF(ROUNDUP(U302/20,0)&gt;ROUNDUP(U301/20,0),"Lần " &amp; ROUNDUP(U302/20,0),"")</f>
        <v/>
      </c>
      <c r="AG302" s="9">
        <f>IF(ROUNDUP(V302/20,0)&gt;ROUNDUP(V301/20,0),"Lần " &amp; ROUNDUP(V302/20,0),"")</f>
        <v/>
      </c>
      <c r="AH302" s="9">
        <f>IF(ROUNDUP(W302/20,0)&gt;ROUNDUP(W301/20,0),"Lần " &amp; ROUNDUP(W302/20,0),"")</f>
        <v/>
      </c>
      <c r="AI302" s="9">
        <f>IF(ROUNDUP(X302/20,0)&gt;ROUNDUP(X301/20,0),"Lần " &amp; ROUNDUP(X302/20,0),"")</f>
        <v/>
      </c>
      <c r="AJ302" s="9">
        <f>IF(ROUNDUP(Y302/20,0)&gt;ROUNDUP(Y301/20,0),"Lần " &amp; ROUNDUP(Y302/20,0),"")</f>
        <v/>
      </c>
      <c r="AK302" s="9">
        <f>IF(ROUNDUP(Z302/20,0)&gt;ROUNDUP(Z301/20,0),"Lần " &amp; ROUNDUP(Z302/20,0),"")</f>
        <v/>
      </c>
      <c r="AL302" s="4" t="n"/>
      <c r="AN302" s="596" t="inlineStr">
        <is>
          <t>Coc</t>
        </is>
      </c>
      <c r="AO302" s="596" t="n">
        <v>22</v>
      </c>
      <c r="AQ302" s="594" t="n"/>
      <c r="AR302" s="595" t="n"/>
    </row>
    <row r="303" ht="19" customHeight="1" s="672">
      <c r="A303" s="4" t="n">
        <v>282</v>
      </c>
      <c r="B303" s="5" t="inlineStr">
        <is>
          <t>Cọc khoan nhồi C3 Mố M2 (D1.2m, L=36.0m)</t>
        </is>
      </c>
      <c r="C303" s="5" t="inlineStr">
        <is>
          <t>Cọc mố M2 L=36m (tr.66)</t>
        </is>
      </c>
      <c r="D303" s="14" t="inlineStr">
        <is>
          <t>P3</t>
        </is>
      </c>
      <c r="E303" s="15" t="n">
        <v>28</v>
      </c>
      <c r="F303" s="4" t="inlineStr">
        <is>
          <t>CB400-V</t>
        </is>
      </c>
      <c r="G303" s="5" t="inlineStr"/>
      <c r="H303" s="16" t="n">
        <v>10.7</v>
      </c>
      <c r="I303" s="17" t="n">
        <v>12</v>
      </c>
      <c r="J303" s="18" t="n">
        <v>4.834</v>
      </c>
      <c r="K303" s="7">
        <f>ROUND(H303*I303*J303, 2)</f>
        <v/>
      </c>
      <c r="L303" s="19">
        <f>ROUND(K303/1000, 3)</f>
        <v/>
      </c>
      <c r="M303" s="728">
        <f>IF(AO303="","",IF(N(INDEX(Theo_Doi_Tan_Suat_Be_Tong!$C:$C,AO303))&lt;=0,"",INDEX(Theo_Doi_Tan_Suat_Be_Tong!$C:$C,AO303)-VLOOKUP(AN303,$AQ$2:$AR$7,2,FALSE)))</f>
        <v/>
      </c>
      <c r="N303" s="4" t="n"/>
      <c r="O303" s="20">
        <f>IF(ROUNDUP(X303/20,0)&gt;ROUNDUP(X302/20,0),"TN Ø28 (Lần " &amp; ROUNDUP(X303/20,0) &amp; ")","")</f>
        <v/>
      </c>
      <c r="P303" s="16">
        <f>ROUND(P302+IF(AND(E303&lt;=10,F303&lt;&gt;"ASTM A416"),L303,0),3)</f>
        <v/>
      </c>
      <c r="Q303" s="16">
        <f>ROUND(Q302+IF(AND(E303=12,F303&lt;&gt;"ASTM A416"),L303,0),3)</f>
        <v/>
      </c>
      <c r="R303" s="16">
        <f>ROUND(R302+IF(AND(E303=14,F303&lt;&gt;"ASTM A416"),L303,0),3)</f>
        <v/>
      </c>
      <c r="S303" s="16">
        <f>ROUND(S302+IF(AND(E303=16,F303&lt;&gt;"ASTM A416"),L303,0),3)</f>
        <v/>
      </c>
      <c r="T303" s="16">
        <f>ROUND(T302+IF(AND(E303=18,F303&lt;&gt;"ASTM A416"),L303,0),3)</f>
        <v/>
      </c>
      <c r="U303" s="16">
        <f>ROUND(U302+IF(AND(E303=20,F303&lt;&gt;"ASTM A416"),L303,0),3)</f>
        <v/>
      </c>
      <c r="V303" s="16">
        <f>ROUND(V302+IF(AND(E303=22,F303&lt;&gt;"ASTM A416"),L303,0),3)</f>
        <v/>
      </c>
      <c r="W303" s="16">
        <f>ROUND(W302+IF(AND(E303=25,F303&lt;&gt;"ASTM A416"),L303,0),3)</f>
        <v/>
      </c>
      <c r="X303" s="16">
        <f>ROUND(X302+IF(AND(E303=28,F303&lt;&gt;"ASTM A416"),L303,0),3)</f>
        <v/>
      </c>
      <c r="Y303" s="16">
        <f>ROUND(Y302+IF(AND(E303=32,F303&lt;&gt;"ASTM A416"),L303,0),3)</f>
        <v/>
      </c>
      <c r="Z303" s="16">
        <f>ROUND(Z302+IF(F303="ASTM A416",L303,0),3)</f>
        <v/>
      </c>
      <c r="AA303" s="9">
        <f>IF(ROUNDUP(P303/20,0)&gt;ROUNDUP(P302/20,0),"Lần " &amp; ROUNDUP(P303/20,0),"")</f>
        <v/>
      </c>
      <c r="AB303" s="9">
        <f>IF(ROUNDUP(Q303/20,0)&gt;ROUNDUP(Q302/20,0),"Lần " &amp; ROUNDUP(Q303/20,0),"")</f>
        <v/>
      </c>
      <c r="AC303" s="9">
        <f>IF(ROUNDUP(R303/20,0)&gt;ROUNDUP(R302/20,0),"Lần " &amp; ROUNDUP(R303/20,0),"")</f>
        <v/>
      </c>
      <c r="AD303" s="9">
        <f>IF(ROUNDUP(S303/20,0)&gt;ROUNDUP(S302/20,0),"Lần " &amp; ROUNDUP(S303/20,0),"")</f>
        <v/>
      </c>
      <c r="AE303" s="9">
        <f>IF(ROUNDUP(T303/20,0)&gt;ROUNDUP(T302/20,0),"Lần " &amp; ROUNDUP(T303/20,0),"")</f>
        <v/>
      </c>
      <c r="AF303" s="9">
        <f>IF(ROUNDUP(U303/20,0)&gt;ROUNDUP(U302/20,0),"Lần " &amp; ROUNDUP(U303/20,0),"")</f>
        <v/>
      </c>
      <c r="AG303" s="9">
        <f>IF(ROUNDUP(V303/20,0)&gt;ROUNDUP(V302/20,0),"Lần " &amp; ROUNDUP(V303/20,0),"")</f>
        <v/>
      </c>
      <c r="AH303" s="9">
        <f>IF(ROUNDUP(W303/20,0)&gt;ROUNDUP(W302/20,0),"Lần " &amp; ROUNDUP(W303/20,0),"")</f>
        <v/>
      </c>
      <c r="AI303" s="9">
        <f>IF(ROUNDUP(X303/20,0)&gt;ROUNDUP(X302/20,0),"Lần " &amp; ROUNDUP(X303/20,0),"")</f>
        <v/>
      </c>
      <c r="AJ303" s="9">
        <f>IF(ROUNDUP(Y303/20,0)&gt;ROUNDUP(Y302/20,0),"Lần " &amp; ROUNDUP(Y303/20,0),"")</f>
        <v/>
      </c>
      <c r="AK303" s="9">
        <f>IF(ROUNDUP(Z303/20,0)&gt;ROUNDUP(Z302/20,0),"Lần " &amp; ROUNDUP(Z303/20,0),"")</f>
        <v/>
      </c>
      <c r="AL303" s="4" t="n"/>
      <c r="AN303" s="596" t="inlineStr">
        <is>
          <t>Coc</t>
        </is>
      </c>
      <c r="AO303" s="596" t="n">
        <v>22</v>
      </c>
      <c r="AQ303" s="594" t="n"/>
      <c r="AR303" s="595" t="n"/>
    </row>
    <row r="304" ht="19" customHeight="1" s="672">
      <c r="A304" s="4" t="n">
        <v>283</v>
      </c>
      <c r="B304" s="5" t="inlineStr">
        <is>
          <t>Cọc khoan nhồi C3 Mố M2 (D1.2m, L=36.0m)</t>
        </is>
      </c>
      <c r="C304" s="5" t="inlineStr">
        <is>
          <t>Cọc mố M2 L=36m (tr.66)</t>
        </is>
      </c>
      <c r="D304" s="14" t="inlineStr">
        <is>
          <t>P4</t>
        </is>
      </c>
      <c r="E304" s="15" t="n">
        <v>28</v>
      </c>
      <c r="F304" s="4" t="inlineStr">
        <is>
          <t>CB400-V</t>
        </is>
      </c>
      <c r="G304" s="5" t="inlineStr"/>
      <c r="H304" s="16" t="n">
        <v>11.7</v>
      </c>
      <c r="I304" s="17" t="n">
        <v>12</v>
      </c>
      <c r="J304" s="18" t="n">
        <v>4.834</v>
      </c>
      <c r="K304" s="7">
        <f>ROUND(H304*I304*J304, 2)</f>
        <v/>
      </c>
      <c r="L304" s="19">
        <f>ROUND(K304/1000, 3)</f>
        <v/>
      </c>
      <c r="M304" s="728">
        <f>IF(AO304="","",IF(N(INDEX(Theo_Doi_Tan_Suat_Be_Tong!$C:$C,AO304))&lt;=0,"",INDEX(Theo_Doi_Tan_Suat_Be_Tong!$C:$C,AO304)-VLOOKUP(AN304,$AQ$2:$AR$7,2,FALSE)))</f>
        <v/>
      </c>
      <c r="N304" s="4" t="n"/>
      <c r="O304" s="20">
        <f>IF(ROUNDUP(X304/20,0)&gt;ROUNDUP(X303/20,0),"TN Ø28 (Lần " &amp; ROUNDUP(X304/20,0) &amp; ")","")</f>
        <v/>
      </c>
      <c r="P304" s="16">
        <f>ROUND(P303+IF(AND(E304&lt;=10,F304&lt;&gt;"ASTM A416"),L304,0),3)</f>
        <v/>
      </c>
      <c r="Q304" s="16">
        <f>ROUND(Q303+IF(AND(E304=12,F304&lt;&gt;"ASTM A416"),L304,0),3)</f>
        <v/>
      </c>
      <c r="R304" s="16">
        <f>ROUND(R303+IF(AND(E304=14,F304&lt;&gt;"ASTM A416"),L304,0),3)</f>
        <v/>
      </c>
      <c r="S304" s="16">
        <f>ROUND(S303+IF(AND(E304=16,F304&lt;&gt;"ASTM A416"),L304,0),3)</f>
        <v/>
      </c>
      <c r="T304" s="16">
        <f>ROUND(T303+IF(AND(E304=18,F304&lt;&gt;"ASTM A416"),L304,0),3)</f>
        <v/>
      </c>
      <c r="U304" s="16">
        <f>ROUND(U303+IF(AND(E304=20,F304&lt;&gt;"ASTM A416"),L304,0),3)</f>
        <v/>
      </c>
      <c r="V304" s="16">
        <f>ROUND(V303+IF(AND(E304=22,F304&lt;&gt;"ASTM A416"),L304,0),3)</f>
        <v/>
      </c>
      <c r="W304" s="16">
        <f>ROUND(W303+IF(AND(E304=25,F304&lt;&gt;"ASTM A416"),L304,0),3)</f>
        <v/>
      </c>
      <c r="X304" s="16">
        <f>ROUND(X303+IF(AND(E304=28,F304&lt;&gt;"ASTM A416"),L304,0),3)</f>
        <v/>
      </c>
      <c r="Y304" s="16">
        <f>ROUND(Y303+IF(AND(E304=32,F304&lt;&gt;"ASTM A416"),L304,0),3)</f>
        <v/>
      </c>
      <c r="Z304" s="16">
        <f>ROUND(Z303+IF(F304="ASTM A416",L304,0),3)</f>
        <v/>
      </c>
      <c r="AA304" s="9">
        <f>IF(ROUNDUP(P304/20,0)&gt;ROUNDUP(P303/20,0),"Lần " &amp; ROUNDUP(P304/20,0),"")</f>
        <v/>
      </c>
      <c r="AB304" s="9">
        <f>IF(ROUNDUP(Q304/20,0)&gt;ROUNDUP(Q303/20,0),"Lần " &amp; ROUNDUP(Q304/20,0),"")</f>
        <v/>
      </c>
      <c r="AC304" s="9">
        <f>IF(ROUNDUP(R304/20,0)&gt;ROUNDUP(R303/20,0),"Lần " &amp; ROUNDUP(R304/20,0),"")</f>
        <v/>
      </c>
      <c r="AD304" s="9">
        <f>IF(ROUNDUP(S304/20,0)&gt;ROUNDUP(S303/20,0),"Lần " &amp; ROUNDUP(S304/20,0),"")</f>
        <v/>
      </c>
      <c r="AE304" s="9">
        <f>IF(ROUNDUP(T304/20,0)&gt;ROUNDUP(T303/20,0),"Lần " &amp; ROUNDUP(T304/20,0),"")</f>
        <v/>
      </c>
      <c r="AF304" s="9">
        <f>IF(ROUNDUP(U304/20,0)&gt;ROUNDUP(U303/20,0),"Lần " &amp; ROUNDUP(U304/20,0),"")</f>
        <v/>
      </c>
      <c r="AG304" s="9">
        <f>IF(ROUNDUP(V304/20,0)&gt;ROUNDUP(V303/20,0),"Lần " &amp; ROUNDUP(V304/20,0),"")</f>
        <v/>
      </c>
      <c r="AH304" s="9">
        <f>IF(ROUNDUP(W304/20,0)&gt;ROUNDUP(W303/20,0),"Lần " &amp; ROUNDUP(W304/20,0),"")</f>
        <v/>
      </c>
      <c r="AI304" s="9">
        <f>IF(ROUNDUP(X304/20,0)&gt;ROUNDUP(X303/20,0),"Lần " &amp; ROUNDUP(X304/20,0),"")</f>
        <v/>
      </c>
      <c r="AJ304" s="9">
        <f>IF(ROUNDUP(Y304/20,0)&gt;ROUNDUP(Y303/20,0),"Lần " &amp; ROUNDUP(Y304/20,0),"")</f>
        <v/>
      </c>
      <c r="AK304" s="9">
        <f>IF(ROUNDUP(Z304/20,0)&gt;ROUNDUP(Z303/20,0),"Lần " &amp; ROUNDUP(Z304/20,0),"")</f>
        <v/>
      </c>
      <c r="AL304" s="4" t="n"/>
      <c r="AN304" s="596" t="inlineStr">
        <is>
          <t>Coc</t>
        </is>
      </c>
      <c r="AO304" s="596" t="n">
        <v>22</v>
      </c>
      <c r="AQ304" s="594" t="n"/>
      <c r="AR304" s="595" t="n"/>
    </row>
    <row r="305" ht="20" customHeight="1" s="672">
      <c r="A305" s="4" t="n">
        <v>284</v>
      </c>
      <c r="B305" s="5" t="inlineStr">
        <is>
          <t>Cọc khoan nhồi C3 Mố M2 (D1.2m, L=36.0m)</t>
        </is>
      </c>
      <c r="C305" s="5" t="inlineStr">
        <is>
          <t>Cọc mố M2 L=36m (tr.66)</t>
        </is>
      </c>
      <c r="D305" s="14" t="inlineStr">
        <is>
          <t>P5</t>
        </is>
      </c>
      <c r="E305" s="15" t="n">
        <v>25</v>
      </c>
      <c r="F305" s="4" t="inlineStr">
        <is>
          <t>CB400-V</t>
        </is>
      </c>
      <c r="G305" s="5" t="inlineStr"/>
      <c r="H305" s="16" t="n">
        <v>11.7</v>
      </c>
      <c r="I305" s="17" t="n">
        <v>48</v>
      </c>
      <c r="J305" s="18" t="n">
        <v>3.853</v>
      </c>
      <c r="K305" s="7">
        <f>ROUND(H305*I305*J305, 2)</f>
        <v/>
      </c>
      <c r="L305" s="19">
        <f>ROUND(K305/1000, 3)</f>
        <v/>
      </c>
      <c r="M305" s="728">
        <f>IF(AO305="","",IF(N(INDEX(Theo_Doi_Tan_Suat_Be_Tong!$C:$C,AO305))&lt;=0,"",INDEX(Theo_Doi_Tan_Suat_Be_Tong!$C:$C,AO305)-VLOOKUP(AN305,$AQ$2:$AR$7,2,FALSE)))</f>
        <v/>
      </c>
      <c r="N305" s="4" t="n"/>
      <c r="O305" s="20">
        <f>IF(ROUNDUP(W305/20,0)&gt;ROUNDUP(W304/20,0),"TN Ø25 (Lần " &amp; ROUNDUP(W305/20,0) &amp; ")","")</f>
        <v/>
      </c>
      <c r="P305" s="16">
        <f>ROUND(P304+IF(AND(E305&lt;=10,F305&lt;&gt;"ASTM A416"),L305,0),3)</f>
        <v/>
      </c>
      <c r="Q305" s="16">
        <f>ROUND(Q304+IF(AND(E305=12,F305&lt;&gt;"ASTM A416"),L305,0),3)</f>
        <v/>
      </c>
      <c r="R305" s="16">
        <f>ROUND(R304+IF(AND(E305=14,F305&lt;&gt;"ASTM A416"),L305,0),3)</f>
        <v/>
      </c>
      <c r="S305" s="16">
        <f>ROUND(S304+IF(AND(E305=16,F305&lt;&gt;"ASTM A416"),L305,0),3)</f>
        <v/>
      </c>
      <c r="T305" s="16">
        <f>ROUND(T304+IF(AND(E305=18,F305&lt;&gt;"ASTM A416"),L305,0),3)</f>
        <v/>
      </c>
      <c r="U305" s="16">
        <f>ROUND(U304+IF(AND(E305=20,F305&lt;&gt;"ASTM A416"),L305,0),3)</f>
        <v/>
      </c>
      <c r="V305" s="16">
        <f>ROUND(V304+IF(AND(E305=22,F305&lt;&gt;"ASTM A416"),L305,0),3)</f>
        <v/>
      </c>
      <c r="W305" s="16">
        <f>ROUND(W304+IF(AND(E305=25,F305&lt;&gt;"ASTM A416"),L305,0),3)</f>
        <v/>
      </c>
      <c r="X305" s="16">
        <f>ROUND(X304+IF(AND(E305=28,F305&lt;&gt;"ASTM A416"),L305,0),3)</f>
        <v/>
      </c>
      <c r="Y305" s="16">
        <f>ROUND(Y304+IF(AND(E305=32,F305&lt;&gt;"ASTM A416"),L305,0),3)</f>
        <v/>
      </c>
      <c r="Z305" s="16">
        <f>ROUND(Z304+IF(F305="ASTM A416",L305,0),3)</f>
        <v/>
      </c>
      <c r="AA305" s="9">
        <f>IF(ROUNDUP(P305/20,0)&gt;ROUNDUP(P304/20,0),"Lần " &amp; ROUNDUP(P305/20,0),"")</f>
        <v/>
      </c>
      <c r="AB305" s="9">
        <f>IF(ROUNDUP(Q305/20,0)&gt;ROUNDUP(Q304/20,0),"Lần " &amp; ROUNDUP(Q305/20,0),"")</f>
        <v/>
      </c>
      <c r="AC305" s="9">
        <f>IF(ROUNDUP(R305/20,0)&gt;ROUNDUP(R304/20,0),"Lần " &amp; ROUNDUP(R305/20,0),"")</f>
        <v/>
      </c>
      <c r="AD305" s="9">
        <f>IF(ROUNDUP(S305/20,0)&gt;ROUNDUP(S304/20,0),"Lần " &amp; ROUNDUP(S305/20,0),"")</f>
        <v/>
      </c>
      <c r="AE305" s="9">
        <f>IF(ROUNDUP(T305/20,0)&gt;ROUNDUP(T304/20,0),"Lần " &amp; ROUNDUP(T305/20,0),"")</f>
        <v/>
      </c>
      <c r="AF305" s="9">
        <f>IF(ROUNDUP(U305/20,0)&gt;ROUNDUP(U304/20,0),"Lần " &amp; ROUNDUP(U305/20,0),"")</f>
        <v/>
      </c>
      <c r="AG305" s="9">
        <f>IF(ROUNDUP(V305/20,0)&gt;ROUNDUP(V304/20,0),"Lần " &amp; ROUNDUP(V305/20,0),"")</f>
        <v/>
      </c>
      <c r="AH305" s="9">
        <f>IF(ROUNDUP(W305/20,0)&gt;ROUNDUP(W304/20,0),"Lần " &amp; ROUNDUP(W305/20,0),"")</f>
        <v/>
      </c>
      <c r="AI305" s="9">
        <f>IF(ROUNDUP(X305/20,0)&gt;ROUNDUP(X304/20,0),"Lần " &amp; ROUNDUP(X305/20,0),"")</f>
        <v/>
      </c>
      <c r="AJ305" s="9">
        <f>IF(ROUNDUP(Y305/20,0)&gt;ROUNDUP(Y304/20,0),"Lần " &amp; ROUNDUP(Y305/20,0),"")</f>
        <v/>
      </c>
      <c r="AK305" s="9">
        <f>IF(ROUNDUP(Z305/20,0)&gt;ROUNDUP(Z304/20,0),"Lần " &amp; ROUNDUP(Z305/20,0),"")</f>
        <v/>
      </c>
      <c r="AL305" s="4" t="n"/>
      <c r="AN305" s="596" t="inlineStr">
        <is>
          <t>Coc</t>
        </is>
      </c>
      <c r="AO305" s="596" t="n">
        <v>22</v>
      </c>
      <c r="AQ305" s="594" t="n"/>
      <c r="AR305" s="595" t="n"/>
    </row>
    <row r="306" ht="19" customHeight="1" s="672">
      <c r="A306" s="4" t="n">
        <v>285</v>
      </c>
      <c r="B306" s="5" t="inlineStr">
        <is>
          <t>Cọc khoan nhồi C3 Mố M2 (D1.2m, L=36.0m)</t>
        </is>
      </c>
      <c r="C306" s="5" t="inlineStr">
        <is>
          <t>Cọc mố M2 L=36m (tr.66)</t>
        </is>
      </c>
      <c r="D306" s="14" t="inlineStr">
        <is>
          <t>P6</t>
        </is>
      </c>
      <c r="E306" s="15" t="n">
        <v>25</v>
      </c>
      <c r="F306" s="4" t="inlineStr">
        <is>
          <t>CB400-V</t>
        </is>
      </c>
      <c r="G306" s="5" t="inlineStr"/>
      <c r="H306" s="16" t="n">
        <v>5.153</v>
      </c>
      <c r="I306" s="17" t="n">
        <v>12</v>
      </c>
      <c r="J306" s="18" t="n">
        <v>3.853</v>
      </c>
      <c r="K306" s="7">
        <f>ROUND(H306*I306*J306, 2)</f>
        <v/>
      </c>
      <c r="L306" s="19">
        <f>ROUND(K306/1000, 3)</f>
        <v/>
      </c>
      <c r="M306" s="728">
        <f>IF(AO306="","",IF(N(INDEX(Theo_Doi_Tan_Suat_Be_Tong!$C:$C,AO306))&lt;=0,"",INDEX(Theo_Doi_Tan_Suat_Be_Tong!$C:$C,AO306)-VLOOKUP(AN306,$AQ$2:$AR$7,2,FALSE)))</f>
        <v/>
      </c>
      <c r="N306" s="4" t="n"/>
      <c r="O306" s="20">
        <f>IF(ROUNDUP(W306/20,0)&gt;ROUNDUP(W305/20,0),"TN Ø25 (Lần " &amp; ROUNDUP(W306/20,0) &amp; ")","")</f>
        <v/>
      </c>
      <c r="P306" s="16">
        <f>ROUND(P305+IF(AND(E306&lt;=10,F306&lt;&gt;"ASTM A416"),L306,0),3)</f>
        <v/>
      </c>
      <c r="Q306" s="16">
        <f>ROUND(Q305+IF(AND(E306=12,F306&lt;&gt;"ASTM A416"),L306,0),3)</f>
        <v/>
      </c>
      <c r="R306" s="16">
        <f>ROUND(R305+IF(AND(E306=14,F306&lt;&gt;"ASTM A416"),L306,0),3)</f>
        <v/>
      </c>
      <c r="S306" s="16">
        <f>ROUND(S305+IF(AND(E306=16,F306&lt;&gt;"ASTM A416"),L306,0),3)</f>
        <v/>
      </c>
      <c r="T306" s="16">
        <f>ROUND(T305+IF(AND(E306=18,F306&lt;&gt;"ASTM A416"),L306,0),3)</f>
        <v/>
      </c>
      <c r="U306" s="16">
        <f>ROUND(U305+IF(AND(E306=20,F306&lt;&gt;"ASTM A416"),L306,0),3)</f>
        <v/>
      </c>
      <c r="V306" s="16">
        <f>ROUND(V305+IF(AND(E306=22,F306&lt;&gt;"ASTM A416"),L306,0),3)</f>
        <v/>
      </c>
      <c r="W306" s="16">
        <f>ROUND(W305+IF(AND(E306=25,F306&lt;&gt;"ASTM A416"),L306,0),3)</f>
        <v/>
      </c>
      <c r="X306" s="16">
        <f>ROUND(X305+IF(AND(E306=28,F306&lt;&gt;"ASTM A416"),L306,0),3)</f>
        <v/>
      </c>
      <c r="Y306" s="16">
        <f>ROUND(Y305+IF(AND(E306=32,F306&lt;&gt;"ASTM A416"),L306,0),3)</f>
        <v/>
      </c>
      <c r="Z306" s="16">
        <f>ROUND(Z305+IF(F306="ASTM A416",L306,0),3)</f>
        <v/>
      </c>
      <c r="AA306" s="9">
        <f>IF(ROUNDUP(P306/20,0)&gt;ROUNDUP(P305/20,0),"Lần " &amp; ROUNDUP(P306/20,0),"")</f>
        <v/>
      </c>
      <c r="AB306" s="9">
        <f>IF(ROUNDUP(Q306/20,0)&gt;ROUNDUP(Q305/20,0),"Lần " &amp; ROUNDUP(Q306/20,0),"")</f>
        <v/>
      </c>
      <c r="AC306" s="9">
        <f>IF(ROUNDUP(R306/20,0)&gt;ROUNDUP(R305/20,0),"Lần " &amp; ROUNDUP(R306/20,0),"")</f>
        <v/>
      </c>
      <c r="AD306" s="9">
        <f>IF(ROUNDUP(S306/20,0)&gt;ROUNDUP(S305/20,0),"Lần " &amp; ROUNDUP(S306/20,0),"")</f>
        <v/>
      </c>
      <c r="AE306" s="9">
        <f>IF(ROUNDUP(T306/20,0)&gt;ROUNDUP(T305/20,0),"Lần " &amp; ROUNDUP(T306/20,0),"")</f>
        <v/>
      </c>
      <c r="AF306" s="9">
        <f>IF(ROUNDUP(U306/20,0)&gt;ROUNDUP(U305/20,0),"Lần " &amp; ROUNDUP(U306/20,0),"")</f>
        <v/>
      </c>
      <c r="AG306" s="9">
        <f>IF(ROUNDUP(V306/20,0)&gt;ROUNDUP(V305/20,0),"Lần " &amp; ROUNDUP(V306/20,0),"")</f>
        <v/>
      </c>
      <c r="AH306" s="9">
        <f>IF(ROUNDUP(W306/20,0)&gt;ROUNDUP(W305/20,0),"Lần " &amp; ROUNDUP(W306/20,0),"")</f>
        <v/>
      </c>
      <c r="AI306" s="9">
        <f>IF(ROUNDUP(X306/20,0)&gt;ROUNDUP(X305/20,0),"Lần " &amp; ROUNDUP(X306/20,0),"")</f>
        <v/>
      </c>
      <c r="AJ306" s="9">
        <f>IF(ROUNDUP(Y306/20,0)&gt;ROUNDUP(Y305/20,0),"Lần " &amp; ROUNDUP(Y306/20,0),"")</f>
        <v/>
      </c>
      <c r="AK306" s="9">
        <f>IF(ROUNDUP(Z306/20,0)&gt;ROUNDUP(Z305/20,0),"Lần " &amp; ROUNDUP(Z306/20,0),"")</f>
        <v/>
      </c>
      <c r="AL306" s="4" t="n"/>
      <c r="AN306" s="596" t="inlineStr">
        <is>
          <t>Coc</t>
        </is>
      </c>
      <c r="AO306" s="596" t="n">
        <v>22</v>
      </c>
      <c r="AQ306" s="594" t="n"/>
      <c r="AR306" s="595" t="n"/>
    </row>
    <row r="307" ht="19" customHeight="1" s="672">
      <c r="A307" s="4" t="n">
        <v>286</v>
      </c>
      <c r="B307" s="5" t="inlineStr">
        <is>
          <t>Cọc khoan nhồi C3 Mố M2 (D1.2m, L=36.0m)</t>
        </is>
      </c>
      <c r="C307" s="5" t="inlineStr">
        <is>
          <t>Cọc mố M2 L=36m (tr.66)</t>
        </is>
      </c>
      <c r="D307" s="14" t="inlineStr">
        <is>
          <t>P7</t>
        </is>
      </c>
      <c r="E307" s="15" t="n">
        <v>25</v>
      </c>
      <c r="F307" s="4" t="inlineStr">
        <is>
          <t>CB400-V</t>
        </is>
      </c>
      <c r="G307" s="5" t="inlineStr"/>
      <c r="H307" s="16" t="n">
        <v>6.153</v>
      </c>
      <c r="I307" s="17" t="n">
        <v>12</v>
      </c>
      <c r="J307" s="18" t="n">
        <v>3.853</v>
      </c>
      <c r="K307" s="7">
        <f>ROUND(H307*I307*J307, 2)</f>
        <v/>
      </c>
      <c r="L307" s="19">
        <f>ROUND(K307/1000, 3)</f>
        <v/>
      </c>
      <c r="M307" s="728">
        <f>IF(AO307="","",IF(N(INDEX(Theo_Doi_Tan_Suat_Be_Tong!$C:$C,AO307))&lt;=0,"",INDEX(Theo_Doi_Tan_Suat_Be_Tong!$C:$C,AO307)-VLOOKUP(AN307,$AQ$2:$AR$7,2,FALSE)))</f>
        <v/>
      </c>
      <c r="N307" s="4" t="n"/>
      <c r="O307" s="20">
        <f>IF(ROUNDUP(W307/20,0)&gt;ROUNDUP(W306/20,0),"TN Ø25 (Lần " &amp; ROUNDUP(W307/20,0) &amp; ")","")</f>
        <v/>
      </c>
      <c r="P307" s="16">
        <f>ROUND(P306+IF(AND(E307&lt;=10,F307&lt;&gt;"ASTM A416"),L307,0),3)</f>
        <v/>
      </c>
      <c r="Q307" s="16">
        <f>ROUND(Q306+IF(AND(E307=12,F307&lt;&gt;"ASTM A416"),L307,0),3)</f>
        <v/>
      </c>
      <c r="R307" s="16">
        <f>ROUND(R306+IF(AND(E307=14,F307&lt;&gt;"ASTM A416"),L307,0),3)</f>
        <v/>
      </c>
      <c r="S307" s="16">
        <f>ROUND(S306+IF(AND(E307=16,F307&lt;&gt;"ASTM A416"),L307,0),3)</f>
        <v/>
      </c>
      <c r="T307" s="16">
        <f>ROUND(T306+IF(AND(E307=18,F307&lt;&gt;"ASTM A416"),L307,0),3)</f>
        <v/>
      </c>
      <c r="U307" s="16">
        <f>ROUND(U306+IF(AND(E307=20,F307&lt;&gt;"ASTM A416"),L307,0),3)</f>
        <v/>
      </c>
      <c r="V307" s="16">
        <f>ROUND(V306+IF(AND(E307=22,F307&lt;&gt;"ASTM A416"),L307,0),3)</f>
        <v/>
      </c>
      <c r="W307" s="16">
        <f>ROUND(W306+IF(AND(E307=25,F307&lt;&gt;"ASTM A416"),L307,0),3)</f>
        <v/>
      </c>
      <c r="X307" s="16">
        <f>ROUND(X306+IF(AND(E307=28,F307&lt;&gt;"ASTM A416"),L307,0),3)</f>
        <v/>
      </c>
      <c r="Y307" s="16">
        <f>ROUND(Y306+IF(AND(E307=32,F307&lt;&gt;"ASTM A416"),L307,0),3)</f>
        <v/>
      </c>
      <c r="Z307" s="16">
        <f>ROUND(Z306+IF(F307="ASTM A416",L307,0),3)</f>
        <v/>
      </c>
      <c r="AA307" s="9">
        <f>IF(ROUNDUP(P307/20,0)&gt;ROUNDUP(P306/20,0),"Lần " &amp; ROUNDUP(P307/20,0),"")</f>
        <v/>
      </c>
      <c r="AB307" s="9">
        <f>IF(ROUNDUP(Q307/20,0)&gt;ROUNDUP(Q306/20,0),"Lần " &amp; ROUNDUP(Q307/20,0),"")</f>
        <v/>
      </c>
      <c r="AC307" s="9">
        <f>IF(ROUNDUP(R307/20,0)&gt;ROUNDUP(R306/20,0),"Lần " &amp; ROUNDUP(R307/20,0),"")</f>
        <v/>
      </c>
      <c r="AD307" s="9">
        <f>IF(ROUNDUP(S307/20,0)&gt;ROUNDUP(S306/20,0),"Lần " &amp; ROUNDUP(S307/20,0),"")</f>
        <v/>
      </c>
      <c r="AE307" s="9">
        <f>IF(ROUNDUP(T307/20,0)&gt;ROUNDUP(T306/20,0),"Lần " &amp; ROUNDUP(T307/20,0),"")</f>
        <v/>
      </c>
      <c r="AF307" s="9">
        <f>IF(ROUNDUP(U307/20,0)&gt;ROUNDUP(U306/20,0),"Lần " &amp; ROUNDUP(U307/20,0),"")</f>
        <v/>
      </c>
      <c r="AG307" s="9">
        <f>IF(ROUNDUP(V307/20,0)&gt;ROUNDUP(V306/20,0),"Lần " &amp; ROUNDUP(V307/20,0),"")</f>
        <v/>
      </c>
      <c r="AH307" s="9">
        <f>IF(ROUNDUP(W307/20,0)&gt;ROUNDUP(W306/20,0),"Lần " &amp; ROUNDUP(W307/20,0),"")</f>
        <v/>
      </c>
      <c r="AI307" s="9">
        <f>IF(ROUNDUP(X307/20,0)&gt;ROUNDUP(X306/20,0),"Lần " &amp; ROUNDUP(X307/20,0),"")</f>
        <v/>
      </c>
      <c r="AJ307" s="9">
        <f>IF(ROUNDUP(Y307/20,0)&gt;ROUNDUP(Y306/20,0),"Lần " &amp; ROUNDUP(Y307/20,0),"")</f>
        <v/>
      </c>
      <c r="AK307" s="9">
        <f>IF(ROUNDUP(Z307/20,0)&gt;ROUNDUP(Z306/20,0),"Lần " &amp; ROUNDUP(Z307/20,0),"")</f>
        <v/>
      </c>
      <c r="AL307" s="4" t="n"/>
      <c r="AN307" s="596" t="inlineStr">
        <is>
          <t>Coc</t>
        </is>
      </c>
      <c r="AO307" s="596" t="n">
        <v>22</v>
      </c>
      <c r="AQ307" s="594" t="n"/>
      <c r="AR307" s="595" t="n"/>
    </row>
    <row r="308" ht="19" customHeight="1" s="672">
      <c r="A308" s="4" t="n">
        <v>287</v>
      </c>
      <c r="B308" s="5" t="inlineStr">
        <is>
          <t>Cọc khoan nhồi C3 Mố M2 (D1.2m, L=36.0m)</t>
        </is>
      </c>
      <c r="C308" s="5" t="inlineStr">
        <is>
          <t>Cọc mố M2 L=36m (tr.66)</t>
        </is>
      </c>
      <c r="D308" s="14" t="inlineStr">
        <is>
          <t>P8</t>
        </is>
      </c>
      <c r="E308" s="15" t="n">
        <v>12</v>
      </c>
      <c r="F308" s="4" t="inlineStr">
        <is>
          <t>CB400-V</t>
        </is>
      </c>
      <c r="G308" s="5" t="inlineStr"/>
      <c r="H308" s="16" t="n">
        <v>0.647</v>
      </c>
      <c r="I308" s="17" t="n">
        <v>15</v>
      </c>
      <c r="J308" s="18" t="n">
        <v>0.888</v>
      </c>
      <c r="K308" s="7">
        <f>ROUND(H308*I308*J308, 2)</f>
        <v/>
      </c>
      <c r="L308" s="19">
        <f>ROUND(K308/1000, 3)</f>
        <v/>
      </c>
      <c r="M308" s="728">
        <f>IF(AO308="","",IF(N(INDEX(Theo_Doi_Tan_Suat_Be_Tong!$C:$C,AO308))&lt;=0,"",INDEX(Theo_Doi_Tan_Suat_Be_Tong!$C:$C,AO308)-VLOOKUP(AN308,$AQ$2:$AR$7,2,FALSE)))</f>
        <v/>
      </c>
      <c r="N308" s="4" t="n"/>
      <c r="O308" s="20">
        <f>IF(ROUNDUP(Q308/20,0)&gt;ROUNDUP(Q307/20,0),"TN Ø12 (Lần " &amp; ROUNDUP(Q308/20,0) &amp; ")","")</f>
        <v/>
      </c>
      <c r="P308" s="16">
        <f>ROUND(P307+IF(AND(E308&lt;=10,F308&lt;&gt;"ASTM A416"),L308,0),3)</f>
        <v/>
      </c>
      <c r="Q308" s="16">
        <f>ROUND(Q307+IF(AND(E308=12,F308&lt;&gt;"ASTM A416"),L308,0),3)</f>
        <v/>
      </c>
      <c r="R308" s="16">
        <f>ROUND(R307+IF(AND(E308=14,F308&lt;&gt;"ASTM A416"),L308,0),3)</f>
        <v/>
      </c>
      <c r="S308" s="16">
        <f>ROUND(S307+IF(AND(E308=16,F308&lt;&gt;"ASTM A416"),L308,0),3)</f>
        <v/>
      </c>
      <c r="T308" s="16">
        <f>ROUND(T307+IF(AND(E308=18,F308&lt;&gt;"ASTM A416"),L308,0),3)</f>
        <v/>
      </c>
      <c r="U308" s="16">
        <f>ROUND(U307+IF(AND(E308=20,F308&lt;&gt;"ASTM A416"),L308,0),3)</f>
        <v/>
      </c>
      <c r="V308" s="16">
        <f>ROUND(V307+IF(AND(E308=22,F308&lt;&gt;"ASTM A416"),L308,0),3)</f>
        <v/>
      </c>
      <c r="W308" s="16">
        <f>ROUND(W307+IF(AND(E308=25,F308&lt;&gt;"ASTM A416"),L308,0),3)</f>
        <v/>
      </c>
      <c r="X308" s="16">
        <f>ROUND(X307+IF(AND(E308=28,F308&lt;&gt;"ASTM A416"),L308,0),3)</f>
        <v/>
      </c>
      <c r="Y308" s="16">
        <f>ROUND(Y307+IF(AND(E308=32,F308&lt;&gt;"ASTM A416"),L308,0),3)</f>
        <v/>
      </c>
      <c r="Z308" s="16">
        <f>ROUND(Z307+IF(F308="ASTM A416",L308,0),3)</f>
        <v/>
      </c>
      <c r="AA308" s="9">
        <f>IF(ROUNDUP(P308/20,0)&gt;ROUNDUP(P307/20,0),"Lần " &amp; ROUNDUP(P308/20,0),"")</f>
        <v/>
      </c>
      <c r="AB308" s="9">
        <f>IF(ROUNDUP(Q308/20,0)&gt;ROUNDUP(Q307/20,0),"Lần " &amp; ROUNDUP(Q308/20,0),"")</f>
        <v/>
      </c>
      <c r="AC308" s="9">
        <f>IF(ROUNDUP(R308/20,0)&gt;ROUNDUP(R307/20,0),"Lần " &amp; ROUNDUP(R308/20,0),"")</f>
        <v/>
      </c>
      <c r="AD308" s="9">
        <f>IF(ROUNDUP(S308/20,0)&gt;ROUNDUP(S307/20,0),"Lần " &amp; ROUNDUP(S308/20,0),"")</f>
        <v/>
      </c>
      <c r="AE308" s="9">
        <f>IF(ROUNDUP(T308/20,0)&gt;ROUNDUP(T307/20,0),"Lần " &amp; ROUNDUP(T308/20,0),"")</f>
        <v/>
      </c>
      <c r="AF308" s="9">
        <f>IF(ROUNDUP(U308/20,0)&gt;ROUNDUP(U307/20,0),"Lần " &amp; ROUNDUP(U308/20,0),"")</f>
        <v/>
      </c>
      <c r="AG308" s="9">
        <f>IF(ROUNDUP(V308/20,0)&gt;ROUNDUP(V307/20,0),"Lần " &amp; ROUNDUP(V308/20,0),"")</f>
        <v/>
      </c>
      <c r="AH308" s="9">
        <f>IF(ROUNDUP(W308/20,0)&gt;ROUNDUP(W307/20,0),"Lần " &amp; ROUNDUP(W308/20,0),"")</f>
        <v/>
      </c>
      <c r="AI308" s="9">
        <f>IF(ROUNDUP(X308/20,0)&gt;ROUNDUP(X307/20,0),"Lần " &amp; ROUNDUP(X308/20,0),"")</f>
        <v/>
      </c>
      <c r="AJ308" s="9">
        <f>IF(ROUNDUP(Y308/20,0)&gt;ROUNDUP(Y307/20,0),"Lần " &amp; ROUNDUP(Y308/20,0),"")</f>
        <v/>
      </c>
      <c r="AK308" s="9">
        <f>IF(ROUNDUP(Z308/20,0)&gt;ROUNDUP(Z307/20,0),"Lần " &amp; ROUNDUP(Z308/20,0),"")</f>
        <v/>
      </c>
      <c r="AL308" s="4" t="n"/>
      <c r="AN308" s="596" t="inlineStr">
        <is>
          <t>Coc</t>
        </is>
      </c>
      <c r="AO308" s="596" t="n">
        <v>22</v>
      </c>
      <c r="AQ308" s="594" t="n"/>
      <c r="AR308" s="595" t="n"/>
    </row>
    <row r="309" ht="19" customHeight="1" s="672">
      <c r="A309" s="4" t="n">
        <v>288</v>
      </c>
      <c r="B309" s="5" t="inlineStr">
        <is>
          <t>Cọc khoan nhồi C3 Mố M2 (D1.2m, L=36.0m)</t>
        </is>
      </c>
      <c r="C309" s="5" t="inlineStr">
        <is>
          <t>Cọc mố M2 L=36m (tr.66)</t>
        </is>
      </c>
      <c r="D309" s="14" t="inlineStr">
        <is>
          <t>P9</t>
        </is>
      </c>
      <c r="E309" s="15" t="n">
        <v>12</v>
      </c>
      <c r="F309" s="4" t="inlineStr">
        <is>
          <t>CB400-V</t>
        </is>
      </c>
      <c r="G309" s="5" t="inlineStr"/>
      <c r="H309" s="16" t="n">
        <v>0.379</v>
      </c>
      <c r="I309" s="17" t="n">
        <v>45</v>
      </c>
      <c r="J309" s="18" t="n">
        <v>0.888</v>
      </c>
      <c r="K309" s="7">
        <f>ROUND(H309*I309*J309, 2)</f>
        <v/>
      </c>
      <c r="L309" s="19">
        <f>ROUND(K309/1000, 3)</f>
        <v/>
      </c>
      <c r="M309" s="728">
        <f>IF(AO309="","",IF(N(INDEX(Theo_Doi_Tan_Suat_Be_Tong!$C:$C,AO309))&lt;=0,"",INDEX(Theo_Doi_Tan_Suat_Be_Tong!$C:$C,AO309)-VLOOKUP(AN309,$AQ$2:$AR$7,2,FALSE)))</f>
        <v/>
      </c>
      <c r="N309" s="4" t="n"/>
      <c r="O309" s="20">
        <f>IF(ROUNDUP(Q309/20,0)&gt;ROUNDUP(Q308/20,0),"TN Ø12 (Lần " &amp; ROUNDUP(Q309/20,0) &amp; ")","")</f>
        <v/>
      </c>
      <c r="P309" s="16">
        <f>ROUND(P308+IF(AND(E309&lt;=10,F309&lt;&gt;"ASTM A416"),L309,0),3)</f>
        <v/>
      </c>
      <c r="Q309" s="16">
        <f>ROUND(Q308+IF(AND(E309=12,F309&lt;&gt;"ASTM A416"),L309,0),3)</f>
        <v/>
      </c>
      <c r="R309" s="16">
        <f>ROUND(R308+IF(AND(E309=14,F309&lt;&gt;"ASTM A416"),L309,0),3)</f>
        <v/>
      </c>
      <c r="S309" s="16">
        <f>ROUND(S308+IF(AND(E309=16,F309&lt;&gt;"ASTM A416"),L309,0),3)</f>
        <v/>
      </c>
      <c r="T309" s="16">
        <f>ROUND(T308+IF(AND(E309=18,F309&lt;&gt;"ASTM A416"),L309,0),3)</f>
        <v/>
      </c>
      <c r="U309" s="16">
        <f>ROUND(U308+IF(AND(E309=20,F309&lt;&gt;"ASTM A416"),L309,0),3)</f>
        <v/>
      </c>
      <c r="V309" s="16">
        <f>ROUND(V308+IF(AND(E309=22,F309&lt;&gt;"ASTM A416"),L309,0),3)</f>
        <v/>
      </c>
      <c r="W309" s="16">
        <f>ROUND(W308+IF(AND(E309=25,F309&lt;&gt;"ASTM A416"),L309,0),3)</f>
        <v/>
      </c>
      <c r="X309" s="16">
        <f>ROUND(X308+IF(AND(E309=28,F309&lt;&gt;"ASTM A416"),L309,0),3)</f>
        <v/>
      </c>
      <c r="Y309" s="16">
        <f>ROUND(Y308+IF(AND(E309=32,F309&lt;&gt;"ASTM A416"),L309,0),3)</f>
        <v/>
      </c>
      <c r="Z309" s="16">
        <f>ROUND(Z308+IF(F309="ASTM A416",L309,0),3)</f>
        <v/>
      </c>
      <c r="AA309" s="9">
        <f>IF(ROUNDUP(P309/20,0)&gt;ROUNDUP(P308/20,0),"Lần " &amp; ROUNDUP(P309/20,0),"")</f>
        <v/>
      </c>
      <c r="AB309" s="9">
        <f>IF(ROUNDUP(Q309/20,0)&gt;ROUNDUP(Q308/20,0),"Lần " &amp; ROUNDUP(Q309/20,0),"")</f>
        <v/>
      </c>
      <c r="AC309" s="9">
        <f>IF(ROUNDUP(R309/20,0)&gt;ROUNDUP(R308/20,0),"Lần " &amp; ROUNDUP(R309/20,0),"")</f>
        <v/>
      </c>
      <c r="AD309" s="9">
        <f>IF(ROUNDUP(S309/20,0)&gt;ROUNDUP(S308/20,0),"Lần " &amp; ROUNDUP(S309/20,0),"")</f>
        <v/>
      </c>
      <c r="AE309" s="9">
        <f>IF(ROUNDUP(T309/20,0)&gt;ROUNDUP(T308/20,0),"Lần " &amp; ROUNDUP(T309/20,0),"")</f>
        <v/>
      </c>
      <c r="AF309" s="9">
        <f>IF(ROUNDUP(U309/20,0)&gt;ROUNDUP(U308/20,0),"Lần " &amp; ROUNDUP(U309/20,0),"")</f>
        <v/>
      </c>
      <c r="AG309" s="9">
        <f>IF(ROUNDUP(V309/20,0)&gt;ROUNDUP(V308/20,0),"Lần " &amp; ROUNDUP(V309/20,0),"")</f>
        <v/>
      </c>
      <c r="AH309" s="9">
        <f>IF(ROUNDUP(W309/20,0)&gt;ROUNDUP(W308/20,0),"Lần " &amp; ROUNDUP(W309/20,0),"")</f>
        <v/>
      </c>
      <c r="AI309" s="9">
        <f>IF(ROUNDUP(X309/20,0)&gt;ROUNDUP(X308/20,0),"Lần " &amp; ROUNDUP(X309/20,0),"")</f>
        <v/>
      </c>
      <c r="AJ309" s="9">
        <f>IF(ROUNDUP(Y309/20,0)&gt;ROUNDUP(Y308/20,0),"Lần " &amp; ROUNDUP(Y309/20,0),"")</f>
        <v/>
      </c>
      <c r="AK309" s="9">
        <f>IF(ROUNDUP(Z309/20,0)&gt;ROUNDUP(Z308/20,0),"Lần " &amp; ROUNDUP(Z309/20,0),"")</f>
        <v/>
      </c>
      <c r="AL309" s="4" t="n"/>
      <c r="AN309" s="596" t="inlineStr">
        <is>
          <t>Coc</t>
        </is>
      </c>
      <c r="AO309" s="596" t="n">
        <v>22</v>
      </c>
      <c r="AQ309" s="594" t="n"/>
      <c r="AR309" s="595" t="n"/>
    </row>
    <row r="310" ht="19" customHeight="1" s="672">
      <c r="A310" s="4" t="n">
        <v>289</v>
      </c>
      <c r="B310" s="5" t="inlineStr">
        <is>
          <t>Cọc khoan nhồi C3 Mố M2 (D1.2m, L=36.0m)</t>
        </is>
      </c>
      <c r="C310" s="5" t="inlineStr">
        <is>
          <t>Cọc mố M2 L=36m (tr.66)</t>
        </is>
      </c>
      <c r="D310" s="14" t="inlineStr">
        <is>
          <t>P10</t>
        </is>
      </c>
      <c r="E310" s="15" t="n">
        <v>20</v>
      </c>
      <c r="F310" s="4" t="inlineStr">
        <is>
          <t>CB400-V</t>
        </is>
      </c>
      <c r="G310" s="5" t="inlineStr"/>
      <c r="H310" s="16" t="n">
        <v>2.057</v>
      </c>
      <c r="I310" s="17" t="n">
        <v>1</v>
      </c>
      <c r="J310" s="18" t="n">
        <v>2.466</v>
      </c>
      <c r="K310" s="7">
        <f>ROUND(H310*I310*J310, 2)</f>
        <v/>
      </c>
      <c r="L310" s="19">
        <f>ROUND(K310/1000, 3)</f>
        <v/>
      </c>
      <c r="M310" s="728">
        <f>IF(AO310="","",IF(N(INDEX(Theo_Doi_Tan_Suat_Be_Tong!$C:$C,AO310))&lt;=0,"",INDEX(Theo_Doi_Tan_Suat_Be_Tong!$C:$C,AO310)-VLOOKUP(AN310,$AQ$2:$AR$7,2,FALSE)))</f>
        <v/>
      </c>
      <c r="N310" s="4" t="n"/>
      <c r="O310" s="20">
        <f>IF(ROUNDUP(U310/20,0)&gt;ROUNDUP(U309/20,0),"TN Ø20 (Lần " &amp; ROUNDUP(U310/20,0) &amp; ")","")</f>
        <v/>
      </c>
      <c r="P310" s="16">
        <f>ROUND(P309+IF(AND(E310&lt;=10,F310&lt;&gt;"ASTM A416"),L310,0),3)</f>
        <v/>
      </c>
      <c r="Q310" s="16">
        <f>ROUND(Q309+IF(AND(E310=12,F310&lt;&gt;"ASTM A416"),L310,0),3)</f>
        <v/>
      </c>
      <c r="R310" s="16">
        <f>ROUND(R309+IF(AND(E310=14,F310&lt;&gt;"ASTM A416"),L310,0),3)</f>
        <v/>
      </c>
      <c r="S310" s="16">
        <f>ROUND(S309+IF(AND(E310=16,F310&lt;&gt;"ASTM A416"),L310,0),3)</f>
        <v/>
      </c>
      <c r="T310" s="16">
        <f>ROUND(T309+IF(AND(E310=18,F310&lt;&gt;"ASTM A416"),L310,0),3)</f>
        <v/>
      </c>
      <c r="U310" s="16">
        <f>ROUND(U309+IF(AND(E310=20,F310&lt;&gt;"ASTM A416"),L310,0),3)</f>
        <v/>
      </c>
      <c r="V310" s="16">
        <f>ROUND(V309+IF(AND(E310=22,F310&lt;&gt;"ASTM A416"),L310,0),3)</f>
        <v/>
      </c>
      <c r="W310" s="16">
        <f>ROUND(W309+IF(AND(E310=25,F310&lt;&gt;"ASTM A416"),L310,0),3)</f>
        <v/>
      </c>
      <c r="X310" s="16">
        <f>ROUND(X309+IF(AND(E310=28,F310&lt;&gt;"ASTM A416"),L310,0),3)</f>
        <v/>
      </c>
      <c r="Y310" s="16">
        <f>ROUND(Y309+IF(AND(E310=32,F310&lt;&gt;"ASTM A416"),L310,0),3)</f>
        <v/>
      </c>
      <c r="Z310" s="16">
        <f>ROUND(Z309+IF(F310="ASTM A416",L310,0),3)</f>
        <v/>
      </c>
      <c r="AA310" s="9">
        <f>IF(ROUNDUP(P310/20,0)&gt;ROUNDUP(P309/20,0),"Lần " &amp; ROUNDUP(P310/20,0),"")</f>
        <v/>
      </c>
      <c r="AB310" s="9">
        <f>IF(ROUNDUP(Q310/20,0)&gt;ROUNDUP(Q309/20,0),"Lần " &amp; ROUNDUP(Q310/20,0),"")</f>
        <v/>
      </c>
      <c r="AC310" s="9">
        <f>IF(ROUNDUP(R310/20,0)&gt;ROUNDUP(R309/20,0),"Lần " &amp; ROUNDUP(R310/20,0),"")</f>
        <v/>
      </c>
      <c r="AD310" s="9">
        <f>IF(ROUNDUP(S310/20,0)&gt;ROUNDUP(S309/20,0),"Lần " &amp; ROUNDUP(S310/20,0),"")</f>
        <v/>
      </c>
      <c r="AE310" s="9">
        <f>IF(ROUNDUP(T310/20,0)&gt;ROUNDUP(T309/20,0),"Lần " &amp; ROUNDUP(T310/20,0),"")</f>
        <v/>
      </c>
      <c r="AF310" s="9">
        <f>IF(ROUNDUP(U310/20,0)&gt;ROUNDUP(U309/20,0),"Lần " &amp; ROUNDUP(U310/20,0),"")</f>
        <v/>
      </c>
      <c r="AG310" s="9">
        <f>IF(ROUNDUP(V310/20,0)&gt;ROUNDUP(V309/20,0),"Lần " &amp; ROUNDUP(V310/20,0),"")</f>
        <v/>
      </c>
      <c r="AH310" s="9">
        <f>IF(ROUNDUP(W310/20,0)&gt;ROUNDUP(W309/20,0),"Lần " &amp; ROUNDUP(W310/20,0),"")</f>
        <v/>
      </c>
      <c r="AI310" s="9">
        <f>IF(ROUNDUP(X310/20,0)&gt;ROUNDUP(X309/20,0),"Lần " &amp; ROUNDUP(X310/20,0),"")</f>
        <v/>
      </c>
      <c r="AJ310" s="9">
        <f>IF(ROUNDUP(Y310/20,0)&gt;ROUNDUP(Y309/20,0),"Lần " &amp; ROUNDUP(Y310/20,0),"")</f>
        <v/>
      </c>
      <c r="AK310" s="9">
        <f>IF(ROUNDUP(Z310/20,0)&gt;ROUNDUP(Z309/20,0),"Lần " &amp; ROUNDUP(Z310/20,0),"")</f>
        <v/>
      </c>
      <c r="AL310" s="4" t="n"/>
      <c r="AN310" s="596" t="inlineStr">
        <is>
          <t>Coc</t>
        </is>
      </c>
      <c r="AO310" s="596" t="n">
        <v>22</v>
      </c>
      <c r="AQ310" s="594" t="n"/>
      <c r="AR310" s="595" t="n"/>
    </row>
    <row r="311" ht="19" customHeight="1" s="672">
      <c r="A311" s="4" t="n">
        <v>290</v>
      </c>
      <c r="B311" s="5" t="inlineStr">
        <is>
          <t>Cọc khoan nhồi C3 Mố M2 (D1.2m, L=36.0m)</t>
        </is>
      </c>
      <c r="C311" s="5" t="inlineStr">
        <is>
          <t>Cọc mố M2 L=36m (tr.66)</t>
        </is>
      </c>
      <c r="D311" s="14" t="inlineStr">
        <is>
          <t>P12</t>
        </is>
      </c>
      <c r="E311" s="15" t="n">
        <v>20</v>
      </c>
      <c r="F311" s="4" t="inlineStr">
        <is>
          <t>CB400-V</t>
        </is>
      </c>
      <c r="G311" s="5" t="inlineStr"/>
      <c r="H311" s="16" t="n">
        <v>0.583</v>
      </c>
      <c r="I311" s="17" t="n">
        <v>60</v>
      </c>
      <c r="J311" s="18" t="n">
        <v>2.466</v>
      </c>
      <c r="K311" s="7">
        <f>ROUND(H311*I311*J311, 2)</f>
        <v/>
      </c>
      <c r="L311" s="19">
        <f>ROUND(K311/1000, 3)</f>
        <v/>
      </c>
      <c r="M311" s="728">
        <f>IF(AO311="","",IF(N(INDEX(Theo_Doi_Tan_Suat_Be_Tong!$C:$C,AO311))&lt;=0,"",INDEX(Theo_Doi_Tan_Suat_Be_Tong!$C:$C,AO311)-VLOOKUP(AN311,$AQ$2:$AR$7,2,FALSE)))</f>
        <v/>
      </c>
      <c r="N311" s="4" t="n"/>
      <c r="O311" s="20">
        <f>IF(ROUNDUP(U311/20,0)&gt;ROUNDUP(U310/20,0),"TN Ø20 (Lần " &amp; ROUNDUP(U311/20,0) &amp; ")","")</f>
        <v/>
      </c>
      <c r="P311" s="16">
        <f>ROUND(P310+IF(AND(E311&lt;=10,F311&lt;&gt;"ASTM A416"),L311,0),3)</f>
        <v/>
      </c>
      <c r="Q311" s="16">
        <f>ROUND(Q310+IF(AND(E311=12,F311&lt;&gt;"ASTM A416"),L311,0),3)</f>
        <v/>
      </c>
      <c r="R311" s="16">
        <f>ROUND(R310+IF(AND(E311=14,F311&lt;&gt;"ASTM A416"),L311,0),3)</f>
        <v/>
      </c>
      <c r="S311" s="16">
        <f>ROUND(S310+IF(AND(E311=16,F311&lt;&gt;"ASTM A416"),L311,0),3)</f>
        <v/>
      </c>
      <c r="T311" s="16">
        <f>ROUND(T310+IF(AND(E311=18,F311&lt;&gt;"ASTM A416"),L311,0),3)</f>
        <v/>
      </c>
      <c r="U311" s="16">
        <f>ROUND(U310+IF(AND(E311=20,F311&lt;&gt;"ASTM A416"),L311,0),3)</f>
        <v/>
      </c>
      <c r="V311" s="16">
        <f>ROUND(V310+IF(AND(E311=22,F311&lt;&gt;"ASTM A416"),L311,0),3)</f>
        <v/>
      </c>
      <c r="W311" s="16">
        <f>ROUND(W310+IF(AND(E311=25,F311&lt;&gt;"ASTM A416"),L311,0),3)</f>
        <v/>
      </c>
      <c r="X311" s="16">
        <f>ROUND(X310+IF(AND(E311=28,F311&lt;&gt;"ASTM A416"),L311,0),3)</f>
        <v/>
      </c>
      <c r="Y311" s="16">
        <f>ROUND(Y310+IF(AND(E311=32,F311&lt;&gt;"ASTM A416"),L311,0),3)</f>
        <v/>
      </c>
      <c r="Z311" s="16">
        <f>ROUND(Z310+IF(F311="ASTM A416",L311,0),3)</f>
        <v/>
      </c>
      <c r="AA311" s="9">
        <f>IF(ROUNDUP(P311/20,0)&gt;ROUNDUP(P310/20,0),"Lần " &amp; ROUNDUP(P311/20,0),"")</f>
        <v/>
      </c>
      <c r="AB311" s="9">
        <f>IF(ROUNDUP(Q311/20,0)&gt;ROUNDUP(Q310/20,0),"Lần " &amp; ROUNDUP(Q311/20,0),"")</f>
        <v/>
      </c>
      <c r="AC311" s="9">
        <f>IF(ROUNDUP(R311/20,0)&gt;ROUNDUP(R310/20,0),"Lần " &amp; ROUNDUP(R311/20,0),"")</f>
        <v/>
      </c>
      <c r="AD311" s="9">
        <f>IF(ROUNDUP(S311/20,0)&gt;ROUNDUP(S310/20,0),"Lần " &amp; ROUNDUP(S311/20,0),"")</f>
        <v/>
      </c>
      <c r="AE311" s="9">
        <f>IF(ROUNDUP(T311/20,0)&gt;ROUNDUP(T310/20,0),"Lần " &amp; ROUNDUP(T311/20,0),"")</f>
        <v/>
      </c>
      <c r="AF311" s="9">
        <f>IF(ROUNDUP(U311/20,0)&gt;ROUNDUP(U310/20,0),"Lần " &amp; ROUNDUP(U311/20,0),"")</f>
        <v/>
      </c>
      <c r="AG311" s="9">
        <f>IF(ROUNDUP(V311/20,0)&gt;ROUNDUP(V310/20,0),"Lần " &amp; ROUNDUP(V311/20,0),"")</f>
        <v/>
      </c>
      <c r="AH311" s="9">
        <f>IF(ROUNDUP(W311/20,0)&gt;ROUNDUP(W310/20,0),"Lần " &amp; ROUNDUP(W311/20,0),"")</f>
        <v/>
      </c>
      <c r="AI311" s="9">
        <f>IF(ROUNDUP(X311/20,0)&gt;ROUNDUP(X310/20,0),"Lần " &amp; ROUNDUP(X311/20,0),"")</f>
        <v/>
      </c>
      <c r="AJ311" s="9">
        <f>IF(ROUNDUP(Y311/20,0)&gt;ROUNDUP(Y310/20,0),"Lần " &amp; ROUNDUP(Y311/20,0),"")</f>
        <v/>
      </c>
      <c r="AK311" s="9">
        <f>IF(ROUNDUP(Z311/20,0)&gt;ROUNDUP(Z310/20,0),"Lần " &amp; ROUNDUP(Z311/20,0),"")</f>
        <v/>
      </c>
      <c r="AL311" s="4" t="n"/>
      <c r="AN311" s="596" t="inlineStr">
        <is>
          <t>Coc</t>
        </is>
      </c>
      <c r="AO311" s="596" t="n">
        <v>22</v>
      </c>
      <c r="AQ311" s="594" t="n"/>
      <c r="AR311" s="595" t="n"/>
    </row>
    <row r="312" ht="19" customHeight="1" s="672">
      <c r="A312" s="4" t="n">
        <v>291</v>
      </c>
      <c r="B312" s="5" t="inlineStr">
        <is>
          <t>Cọc khoan nhồi C3 Mố M2 (D1.2m, L=36.0m)</t>
        </is>
      </c>
      <c r="C312" s="5" t="inlineStr">
        <is>
          <t>Cọc mố M2 L=36m (tr.66)</t>
        </is>
      </c>
      <c r="D312" s="14" t="inlineStr">
        <is>
          <t>P11</t>
        </is>
      </c>
      <c r="E312" s="15" t="n">
        <v>16</v>
      </c>
      <c r="F312" s="4" t="inlineStr">
        <is>
          <t>CB400-V</t>
        </is>
      </c>
      <c r="G312" s="5" t="inlineStr"/>
      <c r="H312" s="16" t="n">
        <v>2.484</v>
      </c>
      <c r="I312" s="17" t="n">
        <v>4</v>
      </c>
      <c r="J312" s="18" t="n">
        <v>1.578</v>
      </c>
      <c r="K312" s="7">
        <f>ROUND(H312*I312*J312, 2)</f>
        <v/>
      </c>
      <c r="L312" s="19">
        <f>ROUND(K312/1000, 3)</f>
        <v/>
      </c>
      <c r="M312" s="728">
        <f>IF(AO312="","",IF(N(INDEX(Theo_Doi_Tan_Suat_Be_Tong!$C:$C,AO312))&lt;=0,"",INDEX(Theo_Doi_Tan_Suat_Be_Tong!$C:$C,AO312)-VLOOKUP(AN312,$AQ$2:$AR$7,2,FALSE)))</f>
        <v/>
      </c>
      <c r="N312" s="4" t="n"/>
      <c r="O312" s="20">
        <f>IF(ROUNDUP(S312/20,0)&gt;ROUNDUP(S311/20,0),"TN Ø16 (Lần " &amp; ROUNDUP(S312/20,0) &amp; ")","")</f>
        <v/>
      </c>
      <c r="P312" s="16">
        <f>ROUND(P311+IF(AND(E312&lt;=10,F312&lt;&gt;"ASTM A416"),L312,0),3)</f>
        <v/>
      </c>
      <c r="Q312" s="16">
        <f>ROUND(Q311+IF(AND(E312=12,F312&lt;&gt;"ASTM A416"),L312,0),3)</f>
        <v/>
      </c>
      <c r="R312" s="16">
        <f>ROUND(R311+IF(AND(E312=14,F312&lt;&gt;"ASTM A416"),L312,0),3)</f>
        <v/>
      </c>
      <c r="S312" s="16">
        <f>ROUND(S311+IF(AND(E312=16,F312&lt;&gt;"ASTM A416"),L312,0),3)</f>
        <v/>
      </c>
      <c r="T312" s="16">
        <f>ROUND(T311+IF(AND(E312=18,F312&lt;&gt;"ASTM A416"),L312,0),3)</f>
        <v/>
      </c>
      <c r="U312" s="16">
        <f>ROUND(U311+IF(AND(E312=20,F312&lt;&gt;"ASTM A416"),L312,0),3)</f>
        <v/>
      </c>
      <c r="V312" s="16">
        <f>ROUND(V311+IF(AND(E312=22,F312&lt;&gt;"ASTM A416"),L312,0),3)</f>
        <v/>
      </c>
      <c r="W312" s="16">
        <f>ROUND(W311+IF(AND(E312=25,F312&lt;&gt;"ASTM A416"),L312,0),3)</f>
        <v/>
      </c>
      <c r="X312" s="16">
        <f>ROUND(X311+IF(AND(E312=28,F312&lt;&gt;"ASTM A416"),L312,0),3)</f>
        <v/>
      </c>
      <c r="Y312" s="16">
        <f>ROUND(Y311+IF(AND(E312=32,F312&lt;&gt;"ASTM A416"),L312,0),3)</f>
        <v/>
      </c>
      <c r="Z312" s="16">
        <f>ROUND(Z311+IF(F312="ASTM A416",L312,0),3)</f>
        <v/>
      </c>
      <c r="AA312" s="9">
        <f>IF(ROUNDUP(P312/20,0)&gt;ROUNDUP(P311/20,0),"Lần " &amp; ROUNDUP(P312/20,0),"")</f>
        <v/>
      </c>
      <c r="AB312" s="9">
        <f>IF(ROUNDUP(Q312/20,0)&gt;ROUNDUP(Q311/20,0),"Lần " &amp; ROUNDUP(Q312/20,0),"")</f>
        <v/>
      </c>
      <c r="AC312" s="9">
        <f>IF(ROUNDUP(R312/20,0)&gt;ROUNDUP(R311/20,0),"Lần " &amp; ROUNDUP(R312/20,0),"")</f>
        <v/>
      </c>
      <c r="AD312" s="9">
        <f>IF(ROUNDUP(S312/20,0)&gt;ROUNDUP(S311/20,0),"Lần " &amp; ROUNDUP(S312/20,0),"")</f>
        <v/>
      </c>
      <c r="AE312" s="9">
        <f>IF(ROUNDUP(T312/20,0)&gt;ROUNDUP(T311/20,0),"Lần " &amp; ROUNDUP(T312/20,0),"")</f>
        <v/>
      </c>
      <c r="AF312" s="9">
        <f>IF(ROUNDUP(U312/20,0)&gt;ROUNDUP(U311/20,0),"Lần " &amp; ROUNDUP(U312/20,0),"")</f>
        <v/>
      </c>
      <c r="AG312" s="9">
        <f>IF(ROUNDUP(V312/20,0)&gt;ROUNDUP(V311/20,0),"Lần " &amp; ROUNDUP(V312/20,0),"")</f>
        <v/>
      </c>
      <c r="AH312" s="9">
        <f>IF(ROUNDUP(W312/20,0)&gt;ROUNDUP(W311/20,0),"Lần " &amp; ROUNDUP(W312/20,0),"")</f>
        <v/>
      </c>
      <c r="AI312" s="9">
        <f>IF(ROUNDUP(X312/20,0)&gt;ROUNDUP(X311/20,0),"Lần " &amp; ROUNDUP(X312/20,0),"")</f>
        <v/>
      </c>
      <c r="AJ312" s="9">
        <f>IF(ROUNDUP(Y312/20,0)&gt;ROUNDUP(Y311/20,0),"Lần " &amp; ROUNDUP(Y312/20,0),"")</f>
        <v/>
      </c>
      <c r="AK312" s="9">
        <f>IF(ROUNDUP(Z312/20,0)&gt;ROUNDUP(Z311/20,0),"Lần " &amp; ROUNDUP(Z312/20,0),"")</f>
        <v/>
      </c>
      <c r="AL312" s="4" t="n"/>
      <c r="AN312" s="596" t="inlineStr">
        <is>
          <t>Coc</t>
        </is>
      </c>
      <c r="AO312" s="596" t="n">
        <v>22</v>
      </c>
      <c r="AQ312" s="594" t="n"/>
      <c r="AR312" s="595" t="n"/>
    </row>
    <row r="313" ht="19" customHeight="1" s="672">
      <c r="A313" s="668" t="inlineStr">
        <is>
          <t>--- CỌC KHOAN NHỒI C4 MỐ M2 (D1.2M, L=36.0M) ---</t>
        </is>
      </c>
      <c r="B313" s="722" t="n"/>
      <c r="C313" s="722" t="n"/>
      <c r="D313" s="722" t="n"/>
      <c r="E313" s="722" t="n"/>
      <c r="F313" s="722" t="n"/>
      <c r="G313" s="722" t="n"/>
      <c r="H313" s="722" t="n"/>
      <c r="I313" s="722" t="n"/>
      <c r="J313" s="722" t="n"/>
      <c r="K313" s="722" t="n"/>
      <c r="L313" s="722" t="n"/>
      <c r="M313" s="722" t="n"/>
      <c r="N313" s="722" t="n"/>
      <c r="O313" s="722" t="n"/>
      <c r="P313" s="722" t="n"/>
      <c r="Q313" s="722" t="n"/>
      <c r="R313" s="722" t="n"/>
      <c r="S313" s="722" t="n"/>
      <c r="T313" s="722" t="n"/>
      <c r="U313" s="722" t="n"/>
      <c r="V313" s="722" t="n"/>
      <c r="W313" s="722" t="n"/>
      <c r="X313" s="722" t="n"/>
      <c r="Y313" s="722" t="n"/>
      <c r="Z313" s="722" t="n"/>
      <c r="AA313" s="722" t="n"/>
      <c r="AB313" s="722" t="n"/>
      <c r="AC313" s="722" t="n"/>
      <c r="AD313" s="722" t="n"/>
      <c r="AE313" s="722" t="n"/>
      <c r="AF313" s="722" t="n"/>
      <c r="AG313" s="722" t="n"/>
      <c r="AH313" s="722" t="n"/>
      <c r="AI313" s="722" t="n"/>
      <c r="AJ313" s="722" t="n"/>
      <c r="AK313" s="722" t="n"/>
      <c r="AL313" s="721" t="n"/>
      <c r="AQ313" s="594" t="n"/>
      <c r="AR313" s="595" t="n"/>
    </row>
    <row r="314" ht="19" customHeight="1" s="672">
      <c r="A314" s="4" t="n">
        <v>292</v>
      </c>
      <c r="B314" s="5" t="inlineStr">
        <is>
          <t>Cọc khoan nhồi C4 Mố M2 (D1.2m, L=36.0m)</t>
        </is>
      </c>
      <c r="C314" s="5" t="inlineStr">
        <is>
          <t>Cọc mố M2 L=36m (tr.66)</t>
        </is>
      </c>
      <c r="D314" s="14" t="inlineStr">
        <is>
          <t>P1</t>
        </is>
      </c>
      <c r="E314" s="15" t="n">
        <v>10</v>
      </c>
      <c r="F314" s="4" t="inlineStr">
        <is>
          <t>CB240-T</t>
        </is>
      </c>
      <c r="G314" s="5" t="inlineStr"/>
      <c r="H314" s="16" t="n">
        <v>96.887</v>
      </c>
      <c r="I314" s="17" t="n">
        <v>1</v>
      </c>
      <c r="J314" s="18" t="n">
        <v>0.617</v>
      </c>
      <c r="K314" s="7">
        <f>ROUND(H314*I314*J314, 2)</f>
        <v/>
      </c>
      <c r="L314" s="19">
        <f>ROUND(K314/1000, 3)</f>
        <v/>
      </c>
      <c r="M314" s="728">
        <f>IF(AO314="","",IF(N(INDEX(Theo_Doi_Tan_Suat_Be_Tong!$C:$C,AO314))&lt;=0,"",INDEX(Theo_Doi_Tan_Suat_Be_Tong!$C:$C,AO314)-VLOOKUP(AN314,$AQ$2:$AR$7,2,FALSE)))</f>
        <v/>
      </c>
      <c r="N314" s="4" t="n"/>
      <c r="O314" s="20">
        <f>IF(ROUNDUP(P314/20,0)&gt;ROUNDUP(P312/20,0),"TN Ø10 (Lần " &amp; ROUNDUP(P314/20,0) &amp; ")","")</f>
        <v/>
      </c>
      <c r="P314" s="16">
        <f>ROUND(P312+IF(AND(E314&lt;=10,F314&lt;&gt;"ASTM A416"),L314,0),3)</f>
        <v/>
      </c>
      <c r="Q314" s="16">
        <f>ROUND(Q312+IF(AND(E314=12,F314&lt;&gt;"ASTM A416"),L314,0),3)</f>
        <v/>
      </c>
      <c r="R314" s="16">
        <f>ROUND(R312+IF(AND(E314=14,F314&lt;&gt;"ASTM A416"),L314,0),3)</f>
        <v/>
      </c>
      <c r="S314" s="16">
        <f>ROUND(S312+IF(AND(E314=16,F314&lt;&gt;"ASTM A416"),L314,0),3)</f>
        <v/>
      </c>
      <c r="T314" s="16">
        <f>ROUND(T312+IF(AND(E314=18,F314&lt;&gt;"ASTM A416"),L314,0),3)</f>
        <v/>
      </c>
      <c r="U314" s="16">
        <f>ROUND(U312+IF(AND(E314=20,F314&lt;&gt;"ASTM A416"),L314,0),3)</f>
        <v/>
      </c>
      <c r="V314" s="16">
        <f>ROUND(V312+IF(AND(E314=22,F314&lt;&gt;"ASTM A416"),L314,0),3)</f>
        <v/>
      </c>
      <c r="W314" s="16">
        <f>ROUND(W312+IF(AND(E314=25,F314&lt;&gt;"ASTM A416"),L314,0),3)</f>
        <v/>
      </c>
      <c r="X314" s="16">
        <f>ROUND(X312+IF(AND(E314=28,F314&lt;&gt;"ASTM A416"),L314,0),3)</f>
        <v/>
      </c>
      <c r="Y314" s="16">
        <f>ROUND(Y312+IF(AND(E314=32,F314&lt;&gt;"ASTM A416"),L314,0),3)</f>
        <v/>
      </c>
      <c r="Z314" s="16">
        <f>ROUND(Z312+IF(F314="ASTM A416",L314,0),3)</f>
        <v/>
      </c>
      <c r="AA314" s="9">
        <f>IF(ROUNDUP(P314/20,0)&gt;ROUNDUP(P312/20,0),"Lần " &amp; ROUNDUP(P314/20,0),"")</f>
        <v/>
      </c>
      <c r="AB314" s="9">
        <f>IF(ROUNDUP(Q314/20,0)&gt;ROUNDUP(Q312/20,0),"Lần " &amp; ROUNDUP(Q314/20,0),"")</f>
        <v/>
      </c>
      <c r="AC314" s="9">
        <f>IF(ROUNDUP(R314/20,0)&gt;ROUNDUP(R312/20,0),"Lần " &amp; ROUNDUP(R314/20,0),"")</f>
        <v/>
      </c>
      <c r="AD314" s="9">
        <f>IF(ROUNDUP(S314/20,0)&gt;ROUNDUP(S312/20,0),"Lần " &amp; ROUNDUP(S314/20,0),"")</f>
        <v/>
      </c>
      <c r="AE314" s="9">
        <f>IF(ROUNDUP(T314/20,0)&gt;ROUNDUP(T312/20,0),"Lần " &amp; ROUNDUP(T314/20,0),"")</f>
        <v/>
      </c>
      <c r="AF314" s="9">
        <f>IF(ROUNDUP(U314/20,0)&gt;ROUNDUP(U312/20,0),"Lần " &amp; ROUNDUP(U314/20,0),"")</f>
        <v/>
      </c>
      <c r="AG314" s="9">
        <f>IF(ROUNDUP(V314/20,0)&gt;ROUNDUP(V312/20,0),"Lần " &amp; ROUNDUP(V314/20,0),"")</f>
        <v/>
      </c>
      <c r="AH314" s="9">
        <f>IF(ROUNDUP(W314/20,0)&gt;ROUNDUP(W312/20,0),"Lần " &amp; ROUNDUP(W314/20,0),"")</f>
        <v/>
      </c>
      <c r="AI314" s="9">
        <f>IF(ROUNDUP(X314/20,0)&gt;ROUNDUP(X312/20,0),"Lần " &amp; ROUNDUP(X314/20,0),"")</f>
        <v/>
      </c>
      <c r="AJ314" s="9">
        <f>IF(ROUNDUP(Y314/20,0)&gt;ROUNDUP(Y312/20,0),"Lần " &amp; ROUNDUP(Y314/20,0),"")</f>
        <v/>
      </c>
      <c r="AK314" s="9">
        <f>IF(ROUNDUP(Z314/20,0)&gt;ROUNDUP(Z312/20,0),"Lần " &amp; ROUNDUP(Z314/20,0),"")</f>
        <v/>
      </c>
      <c r="AL314" s="4" t="n"/>
      <c r="AN314" s="596" t="inlineStr">
        <is>
          <t>Coc</t>
        </is>
      </c>
      <c r="AO314" s="596" t="n">
        <v>23</v>
      </c>
      <c r="AQ314" s="594" t="n"/>
      <c r="AR314" s="595" t="n"/>
    </row>
    <row r="315" ht="19" customHeight="1" s="672">
      <c r="A315" s="4" t="n">
        <v>293</v>
      </c>
      <c r="B315" s="5" t="inlineStr">
        <is>
          <t>Cọc khoan nhồi C4 Mố M2 (D1.2m, L=36.0m)</t>
        </is>
      </c>
      <c r="C315" s="5" t="inlineStr">
        <is>
          <t>Cọc mố M2 L=36m (tr.66)</t>
        </is>
      </c>
      <c r="D315" s="14" t="inlineStr">
        <is>
          <t>P1A</t>
        </is>
      </c>
      <c r="E315" s="15" t="n">
        <v>10</v>
      </c>
      <c r="F315" s="4" t="inlineStr">
        <is>
          <t>CB240-T</t>
        </is>
      </c>
      <c r="G315" s="5" t="inlineStr"/>
      <c r="H315" s="16" t="n">
        <v>390.776</v>
      </c>
      <c r="I315" s="17" t="n">
        <v>1</v>
      </c>
      <c r="J315" s="18" t="n">
        <v>0.617</v>
      </c>
      <c r="K315" s="7">
        <f>ROUND(H315*I315*J315, 2)</f>
        <v/>
      </c>
      <c r="L315" s="19">
        <f>ROUND(K315/1000, 3)</f>
        <v/>
      </c>
      <c r="M315" s="728">
        <f>IF(AO315="","",IF(N(INDEX(Theo_Doi_Tan_Suat_Be_Tong!$C:$C,AO315))&lt;=0,"",INDEX(Theo_Doi_Tan_Suat_Be_Tong!$C:$C,AO315)-VLOOKUP(AN315,$AQ$2:$AR$7,2,FALSE)))</f>
        <v/>
      </c>
      <c r="N315" s="4" t="n"/>
      <c r="O315" s="20">
        <f>IF(ROUNDUP(P315/20,0)&gt;ROUNDUP(P314/20,0),"TN Ø10 (Lần " &amp; ROUNDUP(P315/20,0) &amp; ")","")</f>
        <v/>
      </c>
      <c r="P315" s="16">
        <f>ROUND(P314+IF(AND(E315&lt;=10,F315&lt;&gt;"ASTM A416"),L315,0),3)</f>
        <v/>
      </c>
      <c r="Q315" s="16">
        <f>ROUND(Q314+IF(AND(E315=12,F315&lt;&gt;"ASTM A416"),L315,0),3)</f>
        <v/>
      </c>
      <c r="R315" s="16">
        <f>ROUND(R314+IF(AND(E315=14,F315&lt;&gt;"ASTM A416"),L315,0),3)</f>
        <v/>
      </c>
      <c r="S315" s="16">
        <f>ROUND(S314+IF(AND(E315=16,F315&lt;&gt;"ASTM A416"),L315,0),3)</f>
        <v/>
      </c>
      <c r="T315" s="16">
        <f>ROUND(T314+IF(AND(E315=18,F315&lt;&gt;"ASTM A416"),L315,0),3)</f>
        <v/>
      </c>
      <c r="U315" s="16">
        <f>ROUND(U314+IF(AND(E315=20,F315&lt;&gt;"ASTM A416"),L315,0),3)</f>
        <v/>
      </c>
      <c r="V315" s="16">
        <f>ROUND(V314+IF(AND(E315=22,F315&lt;&gt;"ASTM A416"),L315,0),3)</f>
        <v/>
      </c>
      <c r="W315" s="16">
        <f>ROUND(W314+IF(AND(E315=25,F315&lt;&gt;"ASTM A416"),L315,0),3)</f>
        <v/>
      </c>
      <c r="X315" s="16">
        <f>ROUND(X314+IF(AND(E315=28,F315&lt;&gt;"ASTM A416"),L315,0),3)</f>
        <v/>
      </c>
      <c r="Y315" s="16">
        <f>ROUND(Y314+IF(AND(E315=32,F315&lt;&gt;"ASTM A416"),L315,0),3)</f>
        <v/>
      </c>
      <c r="Z315" s="16">
        <f>ROUND(Z314+IF(F315="ASTM A416",L315,0),3)</f>
        <v/>
      </c>
      <c r="AA315" s="9">
        <f>IF(ROUNDUP(P315/20,0)&gt;ROUNDUP(P314/20,0),"Lần " &amp; ROUNDUP(P315/20,0),"")</f>
        <v/>
      </c>
      <c r="AB315" s="9">
        <f>IF(ROUNDUP(Q315/20,0)&gt;ROUNDUP(Q314/20,0),"Lần " &amp; ROUNDUP(Q315/20,0),"")</f>
        <v/>
      </c>
      <c r="AC315" s="9">
        <f>IF(ROUNDUP(R315/20,0)&gt;ROUNDUP(R314/20,0),"Lần " &amp; ROUNDUP(R315/20,0),"")</f>
        <v/>
      </c>
      <c r="AD315" s="9">
        <f>IF(ROUNDUP(S315/20,0)&gt;ROUNDUP(S314/20,0),"Lần " &amp; ROUNDUP(S315/20,0),"")</f>
        <v/>
      </c>
      <c r="AE315" s="9">
        <f>IF(ROUNDUP(T315/20,0)&gt;ROUNDUP(T314/20,0),"Lần " &amp; ROUNDUP(T315/20,0),"")</f>
        <v/>
      </c>
      <c r="AF315" s="9">
        <f>IF(ROUNDUP(U315/20,0)&gt;ROUNDUP(U314/20,0),"Lần " &amp; ROUNDUP(U315/20,0),"")</f>
        <v/>
      </c>
      <c r="AG315" s="9">
        <f>IF(ROUNDUP(V315/20,0)&gt;ROUNDUP(V314/20,0),"Lần " &amp; ROUNDUP(V315/20,0),"")</f>
        <v/>
      </c>
      <c r="AH315" s="9">
        <f>IF(ROUNDUP(W315/20,0)&gt;ROUNDUP(W314/20,0),"Lần " &amp; ROUNDUP(W315/20,0),"")</f>
        <v/>
      </c>
      <c r="AI315" s="9">
        <f>IF(ROUNDUP(X315/20,0)&gt;ROUNDUP(X314/20,0),"Lần " &amp; ROUNDUP(X315/20,0),"")</f>
        <v/>
      </c>
      <c r="AJ315" s="9">
        <f>IF(ROUNDUP(Y315/20,0)&gt;ROUNDUP(Y314/20,0),"Lần " &amp; ROUNDUP(Y315/20,0),"")</f>
        <v/>
      </c>
      <c r="AK315" s="9">
        <f>IF(ROUNDUP(Z315/20,0)&gt;ROUNDUP(Z314/20,0),"Lần " &amp; ROUNDUP(Z315/20,0),"")</f>
        <v/>
      </c>
      <c r="AL315" s="4" t="n"/>
      <c r="AN315" s="596" t="inlineStr">
        <is>
          <t>Coc</t>
        </is>
      </c>
      <c r="AO315" s="596" t="n">
        <v>23</v>
      </c>
      <c r="AQ315" s="594" t="n"/>
      <c r="AR315" s="595" t="n"/>
    </row>
    <row r="316" ht="19" customHeight="1" s="672">
      <c r="A316" s="4" t="n">
        <v>294</v>
      </c>
      <c r="B316" s="5" t="inlineStr">
        <is>
          <t>Cọc khoan nhồi C4 Mố M2 (D1.2m, L=36.0m)</t>
        </is>
      </c>
      <c r="C316" s="5" t="inlineStr">
        <is>
          <t>Cọc mố M2 L=36m (tr.66)</t>
        </is>
      </c>
      <c r="D316" s="14" t="inlineStr">
        <is>
          <t>P1B</t>
        </is>
      </c>
      <c r="E316" s="15" t="n">
        <v>10</v>
      </c>
      <c r="F316" s="4" t="inlineStr">
        <is>
          <t>CB240-T</t>
        </is>
      </c>
      <c r="G316" s="5" t="inlineStr"/>
      <c r="H316" s="16" t="n">
        <v>164.938</v>
      </c>
      <c r="I316" s="17" t="n">
        <v>1</v>
      </c>
      <c r="J316" s="18" t="n">
        <v>0.617</v>
      </c>
      <c r="K316" s="7">
        <f>ROUND(H316*I316*J316, 2)</f>
        <v/>
      </c>
      <c r="L316" s="19">
        <f>ROUND(K316/1000, 3)</f>
        <v/>
      </c>
      <c r="M316" s="728">
        <f>IF(AO316="","",IF(N(INDEX(Theo_Doi_Tan_Suat_Be_Tong!$C:$C,AO316))&lt;=0,"",INDEX(Theo_Doi_Tan_Suat_Be_Tong!$C:$C,AO316)-VLOOKUP(AN316,$AQ$2:$AR$7,2,FALSE)))</f>
        <v/>
      </c>
      <c r="N316" s="4" t="n"/>
      <c r="O316" s="20">
        <f>IF(ROUNDUP(P316/20,0)&gt;ROUNDUP(P315/20,0),"TN Ø10 (Lần " &amp; ROUNDUP(P316/20,0) &amp; ")","")</f>
        <v/>
      </c>
      <c r="P316" s="16">
        <f>ROUND(P315+IF(AND(E316&lt;=10,F316&lt;&gt;"ASTM A416"),L316,0),3)</f>
        <v/>
      </c>
      <c r="Q316" s="16">
        <f>ROUND(Q315+IF(AND(E316=12,F316&lt;&gt;"ASTM A416"),L316,0),3)</f>
        <v/>
      </c>
      <c r="R316" s="16">
        <f>ROUND(R315+IF(AND(E316=14,F316&lt;&gt;"ASTM A416"),L316,0),3)</f>
        <v/>
      </c>
      <c r="S316" s="16">
        <f>ROUND(S315+IF(AND(E316=16,F316&lt;&gt;"ASTM A416"),L316,0),3)</f>
        <v/>
      </c>
      <c r="T316" s="16">
        <f>ROUND(T315+IF(AND(E316=18,F316&lt;&gt;"ASTM A416"),L316,0),3)</f>
        <v/>
      </c>
      <c r="U316" s="16">
        <f>ROUND(U315+IF(AND(E316=20,F316&lt;&gt;"ASTM A416"),L316,0),3)</f>
        <v/>
      </c>
      <c r="V316" s="16">
        <f>ROUND(V315+IF(AND(E316=22,F316&lt;&gt;"ASTM A416"),L316,0),3)</f>
        <v/>
      </c>
      <c r="W316" s="16">
        <f>ROUND(W315+IF(AND(E316=25,F316&lt;&gt;"ASTM A416"),L316,0),3)</f>
        <v/>
      </c>
      <c r="X316" s="16">
        <f>ROUND(X315+IF(AND(E316=28,F316&lt;&gt;"ASTM A416"),L316,0),3)</f>
        <v/>
      </c>
      <c r="Y316" s="16">
        <f>ROUND(Y315+IF(AND(E316=32,F316&lt;&gt;"ASTM A416"),L316,0),3)</f>
        <v/>
      </c>
      <c r="Z316" s="16">
        <f>ROUND(Z315+IF(F316="ASTM A416",L316,0),3)</f>
        <v/>
      </c>
      <c r="AA316" s="9">
        <f>IF(ROUNDUP(P316/20,0)&gt;ROUNDUP(P315/20,0),"Lần " &amp; ROUNDUP(P316/20,0),"")</f>
        <v/>
      </c>
      <c r="AB316" s="9">
        <f>IF(ROUNDUP(Q316/20,0)&gt;ROUNDUP(Q315/20,0),"Lần " &amp; ROUNDUP(Q316/20,0),"")</f>
        <v/>
      </c>
      <c r="AC316" s="9">
        <f>IF(ROUNDUP(R316/20,0)&gt;ROUNDUP(R315/20,0),"Lần " &amp; ROUNDUP(R316/20,0),"")</f>
        <v/>
      </c>
      <c r="AD316" s="9">
        <f>IF(ROUNDUP(S316/20,0)&gt;ROUNDUP(S315/20,0),"Lần " &amp; ROUNDUP(S316/20,0),"")</f>
        <v/>
      </c>
      <c r="AE316" s="9">
        <f>IF(ROUNDUP(T316/20,0)&gt;ROUNDUP(T315/20,0),"Lần " &amp; ROUNDUP(T316/20,0),"")</f>
        <v/>
      </c>
      <c r="AF316" s="9">
        <f>IF(ROUNDUP(U316/20,0)&gt;ROUNDUP(U315/20,0),"Lần " &amp; ROUNDUP(U316/20,0),"")</f>
        <v/>
      </c>
      <c r="AG316" s="9">
        <f>IF(ROUNDUP(V316/20,0)&gt;ROUNDUP(V315/20,0),"Lần " &amp; ROUNDUP(V316/20,0),"")</f>
        <v/>
      </c>
      <c r="AH316" s="9">
        <f>IF(ROUNDUP(W316/20,0)&gt;ROUNDUP(W315/20,0),"Lần " &amp; ROUNDUP(W316/20,0),"")</f>
        <v/>
      </c>
      <c r="AI316" s="9">
        <f>IF(ROUNDUP(X316/20,0)&gt;ROUNDUP(X315/20,0),"Lần " &amp; ROUNDUP(X316/20,0),"")</f>
        <v/>
      </c>
      <c r="AJ316" s="9">
        <f>IF(ROUNDUP(Y316/20,0)&gt;ROUNDUP(Y315/20,0),"Lần " &amp; ROUNDUP(Y316/20,0),"")</f>
        <v/>
      </c>
      <c r="AK316" s="9">
        <f>IF(ROUNDUP(Z316/20,0)&gt;ROUNDUP(Z315/20,0),"Lần " &amp; ROUNDUP(Z316/20,0),"")</f>
        <v/>
      </c>
      <c r="AL316" s="4" t="n"/>
      <c r="AN316" s="596" t="inlineStr">
        <is>
          <t>Coc</t>
        </is>
      </c>
      <c r="AO316" s="596" t="n">
        <v>23</v>
      </c>
      <c r="AQ316" s="594" t="n"/>
      <c r="AR316" s="595" t="n"/>
    </row>
    <row r="317" ht="19" customHeight="1" s="672">
      <c r="A317" s="4" t="n">
        <v>295</v>
      </c>
      <c r="B317" s="5" t="inlineStr">
        <is>
          <t>Cọc khoan nhồi C4 Mố M2 (D1.2m, L=36.0m)</t>
        </is>
      </c>
      <c r="C317" s="5" t="inlineStr">
        <is>
          <t>Cọc mố M2 L=36m (tr.66)</t>
        </is>
      </c>
      <c r="D317" s="14" t="inlineStr">
        <is>
          <t>P1C</t>
        </is>
      </c>
      <c r="E317" s="15" t="n">
        <v>10</v>
      </c>
      <c r="F317" s="4" t="inlineStr">
        <is>
          <t>CB240-T</t>
        </is>
      </c>
      <c r="G317" s="5" t="inlineStr"/>
      <c r="H317" s="16" t="n">
        <v>3.592</v>
      </c>
      <c r="I317" s="17" t="n">
        <v>2</v>
      </c>
      <c r="J317" s="18" t="n">
        <v>0.617</v>
      </c>
      <c r="K317" s="7">
        <f>ROUND(H317*I317*J317, 2)</f>
        <v/>
      </c>
      <c r="L317" s="19">
        <f>ROUND(K317/1000, 3)</f>
        <v/>
      </c>
      <c r="M317" s="728">
        <f>IF(AO317="","",IF(N(INDEX(Theo_Doi_Tan_Suat_Be_Tong!$C:$C,AO317))&lt;=0,"",INDEX(Theo_Doi_Tan_Suat_Be_Tong!$C:$C,AO317)-VLOOKUP(AN317,$AQ$2:$AR$7,2,FALSE)))</f>
        <v/>
      </c>
      <c r="N317" s="4" t="n"/>
      <c r="O317" s="20">
        <f>IF(ROUNDUP(P317/20,0)&gt;ROUNDUP(P316/20,0),"TN Ø10 (Lần " &amp; ROUNDUP(P317/20,0) &amp; ")","")</f>
        <v/>
      </c>
      <c r="P317" s="16">
        <f>ROUND(P316+IF(AND(E317&lt;=10,F317&lt;&gt;"ASTM A416"),L317,0),3)</f>
        <v/>
      </c>
      <c r="Q317" s="16">
        <f>ROUND(Q316+IF(AND(E317=12,F317&lt;&gt;"ASTM A416"),L317,0),3)</f>
        <v/>
      </c>
      <c r="R317" s="16">
        <f>ROUND(R316+IF(AND(E317=14,F317&lt;&gt;"ASTM A416"),L317,0),3)</f>
        <v/>
      </c>
      <c r="S317" s="16">
        <f>ROUND(S316+IF(AND(E317=16,F317&lt;&gt;"ASTM A416"),L317,0),3)</f>
        <v/>
      </c>
      <c r="T317" s="16">
        <f>ROUND(T316+IF(AND(E317=18,F317&lt;&gt;"ASTM A416"),L317,0),3)</f>
        <v/>
      </c>
      <c r="U317" s="16">
        <f>ROUND(U316+IF(AND(E317=20,F317&lt;&gt;"ASTM A416"),L317,0),3)</f>
        <v/>
      </c>
      <c r="V317" s="16">
        <f>ROUND(V316+IF(AND(E317=22,F317&lt;&gt;"ASTM A416"),L317,0),3)</f>
        <v/>
      </c>
      <c r="W317" s="16">
        <f>ROUND(W316+IF(AND(E317=25,F317&lt;&gt;"ASTM A416"),L317,0),3)</f>
        <v/>
      </c>
      <c r="X317" s="16">
        <f>ROUND(X316+IF(AND(E317=28,F317&lt;&gt;"ASTM A416"),L317,0),3)</f>
        <v/>
      </c>
      <c r="Y317" s="16">
        <f>ROUND(Y316+IF(AND(E317=32,F317&lt;&gt;"ASTM A416"),L317,0),3)</f>
        <v/>
      </c>
      <c r="Z317" s="16">
        <f>ROUND(Z316+IF(F317="ASTM A416",L317,0),3)</f>
        <v/>
      </c>
      <c r="AA317" s="9">
        <f>IF(ROUNDUP(P317/20,0)&gt;ROUNDUP(P316/20,0),"Lần " &amp; ROUNDUP(P317/20,0),"")</f>
        <v/>
      </c>
      <c r="AB317" s="9">
        <f>IF(ROUNDUP(Q317/20,0)&gt;ROUNDUP(Q316/20,0),"Lần " &amp; ROUNDUP(Q317/20,0),"")</f>
        <v/>
      </c>
      <c r="AC317" s="9">
        <f>IF(ROUNDUP(R317/20,0)&gt;ROUNDUP(R316/20,0),"Lần " &amp; ROUNDUP(R317/20,0),"")</f>
        <v/>
      </c>
      <c r="AD317" s="9">
        <f>IF(ROUNDUP(S317/20,0)&gt;ROUNDUP(S316/20,0),"Lần " &amp; ROUNDUP(S317/20,0),"")</f>
        <v/>
      </c>
      <c r="AE317" s="9">
        <f>IF(ROUNDUP(T317/20,0)&gt;ROUNDUP(T316/20,0),"Lần " &amp; ROUNDUP(T317/20,0),"")</f>
        <v/>
      </c>
      <c r="AF317" s="9">
        <f>IF(ROUNDUP(U317/20,0)&gt;ROUNDUP(U316/20,0),"Lần " &amp; ROUNDUP(U317/20,0),"")</f>
        <v/>
      </c>
      <c r="AG317" s="9">
        <f>IF(ROUNDUP(V317/20,0)&gt;ROUNDUP(V316/20,0),"Lần " &amp; ROUNDUP(V317/20,0),"")</f>
        <v/>
      </c>
      <c r="AH317" s="9">
        <f>IF(ROUNDUP(W317/20,0)&gt;ROUNDUP(W316/20,0),"Lần " &amp; ROUNDUP(W317/20,0),"")</f>
        <v/>
      </c>
      <c r="AI317" s="9">
        <f>IF(ROUNDUP(X317/20,0)&gt;ROUNDUP(X316/20,0),"Lần " &amp; ROUNDUP(X317/20,0),"")</f>
        <v/>
      </c>
      <c r="AJ317" s="9">
        <f>IF(ROUNDUP(Y317/20,0)&gt;ROUNDUP(Y316/20,0),"Lần " &amp; ROUNDUP(Y317/20,0),"")</f>
        <v/>
      </c>
      <c r="AK317" s="9">
        <f>IF(ROUNDUP(Z317/20,0)&gt;ROUNDUP(Z316/20,0),"Lần " &amp; ROUNDUP(Z317/20,0),"")</f>
        <v/>
      </c>
      <c r="AL317" s="4" t="n"/>
      <c r="AN317" s="596" t="inlineStr">
        <is>
          <t>Coc</t>
        </is>
      </c>
      <c r="AO317" s="596" t="n">
        <v>23</v>
      </c>
      <c r="AQ317" s="594" t="n"/>
      <c r="AR317" s="595" t="n"/>
    </row>
    <row r="318" ht="19" customHeight="1" s="672">
      <c r="A318" s="4" t="n">
        <v>296</v>
      </c>
      <c r="B318" s="5" t="inlineStr">
        <is>
          <t>Cọc khoan nhồi C4 Mố M2 (D1.2m, L=36.0m)</t>
        </is>
      </c>
      <c r="C318" s="5" t="inlineStr">
        <is>
          <t>Cọc mố M2 L=36m (tr.66)</t>
        </is>
      </c>
      <c r="D318" s="14" t="inlineStr">
        <is>
          <t>P1D</t>
        </is>
      </c>
      <c r="E318" s="15" t="n">
        <v>10</v>
      </c>
      <c r="F318" s="4" t="inlineStr">
        <is>
          <t>CB240-T</t>
        </is>
      </c>
      <c r="G318" s="5" t="inlineStr"/>
      <c r="H318" s="16" t="n">
        <v>23.007</v>
      </c>
      <c r="I318" s="17" t="n">
        <v>1</v>
      </c>
      <c r="J318" s="18" t="n">
        <v>0.617</v>
      </c>
      <c r="K318" s="7">
        <f>ROUND(H318*I318*J318, 2)</f>
        <v/>
      </c>
      <c r="L318" s="19">
        <f>ROUND(K318/1000, 3)</f>
        <v/>
      </c>
      <c r="M318" s="728">
        <f>IF(AO318="","",IF(N(INDEX(Theo_Doi_Tan_Suat_Be_Tong!$C:$C,AO318))&lt;=0,"",INDEX(Theo_Doi_Tan_Suat_Be_Tong!$C:$C,AO318)-VLOOKUP(AN318,$AQ$2:$AR$7,2,FALSE)))</f>
        <v/>
      </c>
      <c r="N318" s="4" t="n"/>
      <c r="O318" s="20">
        <f>IF(ROUNDUP(P318/20,0)&gt;ROUNDUP(P317/20,0),"TN Ø10 (Lần " &amp; ROUNDUP(P318/20,0) &amp; ")","")</f>
        <v/>
      </c>
      <c r="P318" s="16">
        <f>ROUND(P317+IF(AND(E318&lt;=10,F318&lt;&gt;"ASTM A416"),L318,0),3)</f>
        <v/>
      </c>
      <c r="Q318" s="16">
        <f>ROUND(Q317+IF(AND(E318=12,F318&lt;&gt;"ASTM A416"),L318,0),3)</f>
        <v/>
      </c>
      <c r="R318" s="16">
        <f>ROUND(R317+IF(AND(E318=14,F318&lt;&gt;"ASTM A416"),L318,0),3)</f>
        <v/>
      </c>
      <c r="S318" s="16">
        <f>ROUND(S317+IF(AND(E318=16,F318&lt;&gt;"ASTM A416"),L318,0),3)</f>
        <v/>
      </c>
      <c r="T318" s="16">
        <f>ROUND(T317+IF(AND(E318=18,F318&lt;&gt;"ASTM A416"),L318,0),3)</f>
        <v/>
      </c>
      <c r="U318" s="16">
        <f>ROUND(U317+IF(AND(E318=20,F318&lt;&gt;"ASTM A416"),L318,0),3)</f>
        <v/>
      </c>
      <c r="V318" s="16">
        <f>ROUND(V317+IF(AND(E318=22,F318&lt;&gt;"ASTM A416"),L318,0),3)</f>
        <v/>
      </c>
      <c r="W318" s="16">
        <f>ROUND(W317+IF(AND(E318=25,F318&lt;&gt;"ASTM A416"),L318,0),3)</f>
        <v/>
      </c>
      <c r="X318" s="16">
        <f>ROUND(X317+IF(AND(E318=28,F318&lt;&gt;"ASTM A416"),L318,0),3)</f>
        <v/>
      </c>
      <c r="Y318" s="16">
        <f>ROUND(Y317+IF(AND(E318=32,F318&lt;&gt;"ASTM A416"),L318,0),3)</f>
        <v/>
      </c>
      <c r="Z318" s="16">
        <f>ROUND(Z317+IF(F318="ASTM A416",L318,0),3)</f>
        <v/>
      </c>
      <c r="AA318" s="9">
        <f>IF(ROUNDUP(P318/20,0)&gt;ROUNDUP(P317/20,0),"Lần " &amp; ROUNDUP(P318/20,0),"")</f>
        <v/>
      </c>
      <c r="AB318" s="9">
        <f>IF(ROUNDUP(Q318/20,0)&gt;ROUNDUP(Q317/20,0),"Lần " &amp; ROUNDUP(Q318/20,0),"")</f>
        <v/>
      </c>
      <c r="AC318" s="9">
        <f>IF(ROUNDUP(R318/20,0)&gt;ROUNDUP(R317/20,0),"Lần " &amp; ROUNDUP(R318/20,0),"")</f>
        <v/>
      </c>
      <c r="AD318" s="9">
        <f>IF(ROUNDUP(S318/20,0)&gt;ROUNDUP(S317/20,0),"Lần " &amp; ROUNDUP(S318/20,0),"")</f>
        <v/>
      </c>
      <c r="AE318" s="9">
        <f>IF(ROUNDUP(T318/20,0)&gt;ROUNDUP(T317/20,0),"Lần " &amp; ROUNDUP(T318/20,0),"")</f>
        <v/>
      </c>
      <c r="AF318" s="9">
        <f>IF(ROUNDUP(U318/20,0)&gt;ROUNDUP(U317/20,0),"Lần " &amp; ROUNDUP(U318/20,0),"")</f>
        <v/>
      </c>
      <c r="AG318" s="9">
        <f>IF(ROUNDUP(V318/20,0)&gt;ROUNDUP(V317/20,0),"Lần " &amp; ROUNDUP(V318/20,0),"")</f>
        <v/>
      </c>
      <c r="AH318" s="9">
        <f>IF(ROUNDUP(W318/20,0)&gt;ROUNDUP(W317/20,0),"Lần " &amp; ROUNDUP(W318/20,0),"")</f>
        <v/>
      </c>
      <c r="AI318" s="9">
        <f>IF(ROUNDUP(X318/20,0)&gt;ROUNDUP(X317/20,0),"Lần " &amp; ROUNDUP(X318/20,0),"")</f>
        <v/>
      </c>
      <c r="AJ318" s="9">
        <f>IF(ROUNDUP(Y318/20,0)&gt;ROUNDUP(Y317/20,0),"Lần " &amp; ROUNDUP(Y318/20,0),"")</f>
        <v/>
      </c>
      <c r="AK318" s="9">
        <f>IF(ROUNDUP(Z318/20,0)&gt;ROUNDUP(Z317/20,0),"Lần " &amp; ROUNDUP(Z318/20,0),"")</f>
        <v/>
      </c>
      <c r="AL318" s="4" t="n"/>
      <c r="AN318" s="596" t="inlineStr">
        <is>
          <t>Coc</t>
        </is>
      </c>
      <c r="AO318" s="596" t="n">
        <v>23</v>
      </c>
      <c r="AQ318" s="594" t="n"/>
      <c r="AR318" s="595" t="n"/>
    </row>
    <row r="319" ht="19" customHeight="1" s="672">
      <c r="A319" s="4" t="n">
        <v>297</v>
      </c>
      <c r="B319" s="5" t="inlineStr">
        <is>
          <t>Cọc khoan nhồi C4 Mố M2 (D1.2m, L=36.0m)</t>
        </is>
      </c>
      <c r="C319" s="5" t="inlineStr">
        <is>
          <t>Cọc mố M2 L=36m (tr.66)</t>
        </is>
      </c>
      <c r="D319" s="14" t="inlineStr">
        <is>
          <t>P2A</t>
        </is>
      </c>
      <c r="E319" s="15" t="n">
        <v>28</v>
      </c>
      <c r="F319" s="4" t="inlineStr">
        <is>
          <t>CB400-V</t>
        </is>
      </c>
      <c r="G319" s="5" t="inlineStr"/>
      <c r="H319" s="16" t="n">
        <v>2.966</v>
      </c>
      <c r="I319" s="17" t="n">
        <v>5</v>
      </c>
      <c r="J319" s="18" t="n">
        <v>4.834</v>
      </c>
      <c r="K319" s="7">
        <f>ROUND(H319*I319*J319, 2)</f>
        <v/>
      </c>
      <c r="L319" s="19">
        <f>ROUND(K319/1000, 3)</f>
        <v/>
      </c>
      <c r="M319" s="728">
        <f>IF(AO319="","",IF(N(INDEX(Theo_Doi_Tan_Suat_Be_Tong!$C:$C,AO319))&lt;=0,"",INDEX(Theo_Doi_Tan_Suat_Be_Tong!$C:$C,AO319)-VLOOKUP(AN319,$AQ$2:$AR$7,2,FALSE)))</f>
        <v/>
      </c>
      <c r="N319" s="4" t="n"/>
      <c r="O319" s="20">
        <f>IF(ROUNDUP(X319/20,0)&gt;ROUNDUP(X318/20,0),"TN Ø28 (Lần " &amp; ROUNDUP(X319/20,0) &amp; ")","")</f>
        <v/>
      </c>
      <c r="P319" s="16">
        <f>ROUND(P318+IF(AND(E319&lt;=10,F319&lt;&gt;"ASTM A416"),L319,0),3)</f>
        <v/>
      </c>
      <c r="Q319" s="16">
        <f>ROUND(Q318+IF(AND(E319=12,F319&lt;&gt;"ASTM A416"),L319,0),3)</f>
        <v/>
      </c>
      <c r="R319" s="16">
        <f>ROUND(R318+IF(AND(E319=14,F319&lt;&gt;"ASTM A416"),L319,0),3)</f>
        <v/>
      </c>
      <c r="S319" s="16">
        <f>ROUND(S318+IF(AND(E319=16,F319&lt;&gt;"ASTM A416"),L319,0),3)</f>
        <v/>
      </c>
      <c r="T319" s="16">
        <f>ROUND(T318+IF(AND(E319=18,F319&lt;&gt;"ASTM A416"),L319,0),3)</f>
        <v/>
      </c>
      <c r="U319" s="16">
        <f>ROUND(U318+IF(AND(E319=20,F319&lt;&gt;"ASTM A416"),L319,0),3)</f>
        <v/>
      </c>
      <c r="V319" s="16">
        <f>ROUND(V318+IF(AND(E319=22,F319&lt;&gt;"ASTM A416"),L319,0),3)</f>
        <v/>
      </c>
      <c r="W319" s="16">
        <f>ROUND(W318+IF(AND(E319=25,F319&lt;&gt;"ASTM A416"),L319,0),3)</f>
        <v/>
      </c>
      <c r="X319" s="16">
        <f>ROUND(X318+IF(AND(E319=28,F319&lt;&gt;"ASTM A416"),L319,0),3)</f>
        <v/>
      </c>
      <c r="Y319" s="16">
        <f>ROUND(Y318+IF(AND(E319=32,F319&lt;&gt;"ASTM A416"),L319,0),3)</f>
        <v/>
      </c>
      <c r="Z319" s="16">
        <f>ROUND(Z318+IF(F319="ASTM A416",L319,0),3)</f>
        <v/>
      </c>
      <c r="AA319" s="9">
        <f>IF(ROUNDUP(P319/20,0)&gt;ROUNDUP(P318/20,0),"Lần " &amp; ROUNDUP(P319/20,0),"")</f>
        <v/>
      </c>
      <c r="AB319" s="9">
        <f>IF(ROUNDUP(Q319/20,0)&gt;ROUNDUP(Q318/20,0),"Lần " &amp; ROUNDUP(Q319/20,0),"")</f>
        <v/>
      </c>
      <c r="AC319" s="9">
        <f>IF(ROUNDUP(R319/20,0)&gt;ROUNDUP(R318/20,0),"Lần " &amp; ROUNDUP(R319/20,0),"")</f>
        <v/>
      </c>
      <c r="AD319" s="9">
        <f>IF(ROUNDUP(S319/20,0)&gt;ROUNDUP(S318/20,0),"Lần " &amp; ROUNDUP(S319/20,0),"")</f>
        <v/>
      </c>
      <c r="AE319" s="9">
        <f>IF(ROUNDUP(T319/20,0)&gt;ROUNDUP(T318/20,0),"Lần " &amp; ROUNDUP(T319/20,0),"")</f>
        <v/>
      </c>
      <c r="AF319" s="9">
        <f>IF(ROUNDUP(U319/20,0)&gt;ROUNDUP(U318/20,0),"Lần " &amp; ROUNDUP(U319/20,0),"")</f>
        <v/>
      </c>
      <c r="AG319" s="9">
        <f>IF(ROUNDUP(V319/20,0)&gt;ROUNDUP(V318/20,0),"Lần " &amp; ROUNDUP(V319/20,0),"")</f>
        <v/>
      </c>
      <c r="AH319" s="9">
        <f>IF(ROUNDUP(W319/20,0)&gt;ROUNDUP(W318/20,0),"Lần " &amp; ROUNDUP(W319/20,0),"")</f>
        <v/>
      </c>
      <c r="AI319" s="9">
        <f>IF(ROUNDUP(X319/20,0)&gt;ROUNDUP(X318/20,0),"Lần " &amp; ROUNDUP(X319/20,0),"")</f>
        <v/>
      </c>
      <c r="AJ319" s="9">
        <f>IF(ROUNDUP(Y319/20,0)&gt;ROUNDUP(Y318/20,0),"Lần " &amp; ROUNDUP(Y319/20,0),"")</f>
        <v/>
      </c>
      <c r="AK319" s="9">
        <f>IF(ROUNDUP(Z319/20,0)&gt;ROUNDUP(Z318/20,0),"Lần " &amp; ROUNDUP(Z319/20,0),"")</f>
        <v/>
      </c>
      <c r="AL319" s="4" t="n"/>
      <c r="AN319" s="596" t="inlineStr">
        <is>
          <t>Coc</t>
        </is>
      </c>
      <c r="AO319" s="596" t="n">
        <v>23</v>
      </c>
      <c r="AQ319" s="594" t="n"/>
      <c r="AR319" s="595" t="n"/>
    </row>
    <row r="320" ht="19" customHeight="1" s="672">
      <c r="A320" s="4" t="n">
        <v>298</v>
      </c>
      <c r="B320" s="5" t="inlineStr">
        <is>
          <t>Cọc khoan nhồi C4 Mố M2 (D1.2m, L=36.0m)</t>
        </is>
      </c>
      <c r="C320" s="5" t="inlineStr">
        <is>
          <t>Cọc mố M2 L=36m (tr.66)</t>
        </is>
      </c>
      <c r="D320" s="14" t="inlineStr">
        <is>
          <t>P2B</t>
        </is>
      </c>
      <c r="E320" s="15" t="n">
        <v>25</v>
      </c>
      <c r="F320" s="4" t="inlineStr">
        <is>
          <t>CB400-V</t>
        </is>
      </c>
      <c r="G320" s="5" t="inlineStr"/>
      <c r="H320" s="16" t="n">
        <v>2.985</v>
      </c>
      <c r="I320" s="17" t="n">
        <v>10</v>
      </c>
      <c r="J320" s="18" t="n">
        <v>3.853</v>
      </c>
      <c r="K320" s="7">
        <f>ROUND(H320*I320*J320, 2)</f>
        <v/>
      </c>
      <c r="L320" s="19">
        <f>ROUND(K320/1000, 3)</f>
        <v/>
      </c>
      <c r="M320" s="728">
        <f>IF(AO320="","",IF(N(INDEX(Theo_Doi_Tan_Suat_Be_Tong!$C:$C,AO320))&lt;=0,"",INDEX(Theo_Doi_Tan_Suat_Be_Tong!$C:$C,AO320)-VLOOKUP(AN320,$AQ$2:$AR$7,2,FALSE)))</f>
        <v/>
      </c>
      <c r="N320" s="4" t="n"/>
      <c r="O320" s="20">
        <f>IF(ROUNDUP(W320/20,0)&gt;ROUNDUP(W319/20,0),"TN Ø25 (Lần " &amp; ROUNDUP(W320/20,0) &amp; ")","")</f>
        <v/>
      </c>
      <c r="P320" s="16">
        <f>ROUND(P319+IF(AND(E320&lt;=10,F320&lt;&gt;"ASTM A416"),L320,0),3)</f>
        <v/>
      </c>
      <c r="Q320" s="16">
        <f>ROUND(Q319+IF(AND(E320=12,F320&lt;&gt;"ASTM A416"),L320,0),3)</f>
        <v/>
      </c>
      <c r="R320" s="16">
        <f>ROUND(R319+IF(AND(E320=14,F320&lt;&gt;"ASTM A416"),L320,0),3)</f>
        <v/>
      </c>
      <c r="S320" s="16">
        <f>ROUND(S319+IF(AND(E320=16,F320&lt;&gt;"ASTM A416"),L320,0),3)</f>
        <v/>
      </c>
      <c r="T320" s="16">
        <f>ROUND(T319+IF(AND(E320=18,F320&lt;&gt;"ASTM A416"),L320,0),3)</f>
        <v/>
      </c>
      <c r="U320" s="16">
        <f>ROUND(U319+IF(AND(E320=20,F320&lt;&gt;"ASTM A416"),L320,0),3)</f>
        <v/>
      </c>
      <c r="V320" s="16">
        <f>ROUND(V319+IF(AND(E320=22,F320&lt;&gt;"ASTM A416"),L320,0),3)</f>
        <v/>
      </c>
      <c r="W320" s="16">
        <f>ROUND(W319+IF(AND(E320=25,F320&lt;&gt;"ASTM A416"),L320,0),3)</f>
        <v/>
      </c>
      <c r="X320" s="16">
        <f>ROUND(X319+IF(AND(E320=28,F320&lt;&gt;"ASTM A416"),L320,0),3)</f>
        <v/>
      </c>
      <c r="Y320" s="16">
        <f>ROUND(Y319+IF(AND(E320=32,F320&lt;&gt;"ASTM A416"),L320,0),3)</f>
        <v/>
      </c>
      <c r="Z320" s="16">
        <f>ROUND(Z319+IF(F320="ASTM A416",L320,0),3)</f>
        <v/>
      </c>
      <c r="AA320" s="9">
        <f>IF(ROUNDUP(P320/20,0)&gt;ROUNDUP(P319/20,0),"Lần " &amp; ROUNDUP(P320/20,0),"")</f>
        <v/>
      </c>
      <c r="AB320" s="9">
        <f>IF(ROUNDUP(Q320/20,0)&gt;ROUNDUP(Q319/20,0),"Lần " &amp; ROUNDUP(Q320/20,0),"")</f>
        <v/>
      </c>
      <c r="AC320" s="9">
        <f>IF(ROUNDUP(R320/20,0)&gt;ROUNDUP(R319/20,0),"Lần " &amp; ROUNDUP(R320/20,0),"")</f>
        <v/>
      </c>
      <c r="AD320" s="9">
        <f>IF(ROUNDUP(S320/20,0)&gt;ROUNDUP(S319/20,0),"Lần " &amp; ROUNDUP(S320/20,0),"")</f>
        <v/>
      </c>
      <c r="AE320" s="9">
        <f>IF(ROUNDUP(T320/20,0)&gt;ROUNDUP(T319/20,0),"Lần " &amp; ROUNDUP(T320/20,0),"")</f>
        <v/>
      </c>
      <c r="AF320" s="9">
        <f>IF(ROUNDUP(U320/20,0)&gt;ROUNDUP(U319/20,0),"Lần " &amp; ROUNDUP(U320/20,0),"")</f>
        <v/>
      </c>
      <c r="AG320" s="9">
        <f>IF(ROUNDUP(V320/20,0)&gt;ROUNDUP(V319/20,0),"Lần " &amp; ROUNDUP(V320/20,0),"")</f>
        <v/>
      </c>
      <c r="AH320" s="9">
        <f>IF(ROUNDUP(W320/20,0)&gt;ROUNDUP(W319/20,0),"Lần " &amp; ROUNDUP(W320/20,0),"")</f>
        <v/>
      </c>
      <c r="AI320" s="9">
        <f>IF(ROUNDUP(X320/20,0)&gt;ROUNDUP(X319/20,0),"Lần " &amp; ROUNDUP(X320/20,0),"")</f>
        <v/>
      </c>
      <c r="AJ320" s="9">
        <f>IF(ROUNDUP(Y320/20,0)&gt;ROUNDUP(Y319/20,0),"Lần " &amp; ROUNDUP(Y320/20,0),"")</f>
        <v/>
      </c>
      <c r="AK320" s="9">
        <f>IF(ROUNDUP(Z320/20,0)&gt;ROUNDUP(Z319/20,0),"Lần " &amp; ROUNDUP(Z320/20,0),"")</f>
        <v/>
      </c>
      <c r="AL320" s="4" t="n"/>
      <c r="AN320" s="596" t="inlineStr">
        <is>
          <t>Coc</t>
        </is>
      </c>
      <c r="AO320" s="596" t="n">
        <v>23</v>
      </c>
      <c r="AQ320" s="594" t="n"/>
      <c r="AR320" s="595" t="n"/>
    </row>
    <row r="321" ht="19" customHeight="1" s="672">
      <c r="A321" s="4" t="n">
        <v>299</v>
      </c>
      <c r="B321" s="5" t="inlineStr">
        <is>
          <t>Cọc khoan nhồi C4 Mố M2 (D1.2m, L=36.0m)</t>
        </is>
      </c>
      <c r="C321" s="5" t="inlineStr">
        <is>
          <t>Cọc mố M2 L=36m (tr.66)</t>
        </is>
      </c>
      <c r="D321" s="14" t="inlineStr">
        <is>
          <t>P3</t>
        </is>
      </c>
      <c r="E321" s="15" t="n">
        <v>28</v>
      </c>
      <c r="F321" s="4" t="inlineStr">
        <is>
          <t>CB400-V</t>
        </is>
      </c>
      <c r="G321" s="5" t="inlineStr"/>
      <c r="H321" s="16" t="n">
        <v>10.7</v>
      </c>
      <c r="I321" s="17" t="n">
        <v>12</v>
      </c>
      <c r="J321" s="18" t="n">
        <v>4.834</v>
      </c>
      <c r="K321" s="7">
        <f>ROUND(H321*I321*J321, 2)</f>
        <v/>
      </c>
      <c r="L321" s="19">
        <f>ROUND(K321/1000, 3)</f>
        <v/>
      </c>
      <c r="M321" s="728">
        <f>IF(AO321="","",IF(N(INDEX(Theo_Doi_Tan_Suat_Be_Tong!$C:$C,AO321))&lt;=0,"",INDEX(Theo_Doi_Tan_Suat_Be_Tong!$C:$C,AO321)-VLOOKUP(AN321,$AQ$2:$AR$7,2,FALSE)))</f>
        <v/>
      </c>
      <c r="N321" s="4" t="n"/>
      <c r="O321" s="20">
        <f>IF(ROUNDUP(X321/20,0)&gt;ROUNDUP(X320/20,0),"TN Ø28 (Lần " &amp; ROUNDUP(X321/20,0) &amp; ")","")</f>
        <v/>
      </c>
      <c r="P321" s="16">
        <f>ROUND(P320+IF(AND(E321&lt;=10,F321&lt;&gt;"ASTM A416"),L321,0),3)</f>
        <v/>
      </c>
      <c r="Q321" s="16">
        <f>ROUND(Q320+IF(AND(E321=12,F321&lt;&gt;"ASTM A416"),L321,0),3)</f>
        <v/>
      </c>
      <c r="R321" s="16">
        <f>ROUND(R320+IF(AND(E321=14,F321&lt;&gt;"ASTM A416"),L321,0),3)</f>
        <v/>
      </c>
      <c r="S321" s="16">
        <f>ROUND(S320+IF(AND(E321=16,F321&lt;&gt;"ASTM A416"),L321,0),3)</f>
        <v/>
      </c>
      <c r="T321" s="16">
        <f>ROUND(T320+IF(AND(E321=18,F321&lt;&gt;"ASTM A416"),L321,0),3)</f>
        <v/>
      </c>
      <c r="U321" s="16">
        <f>ROUND(U320+IF(AND(E321=20,F321&lt;&gt;"ASTM A416"),L321,0),3)</f>
        <v/>
      </c>
      <c r="V321" s="16">
        <f>ROUND(V320+IF(AND(E321=22,F321&lt;&gt;"ASTM A416"),L321,0),3)</f>
        <v/>
      </c>
      <c r="W321" s="16">
        <f>ROUND(W320+IF(AND(E321=25,F321&lt;&gt;"ASTM A416"),L321,0),3)</f>
        <v/>
      </c>
      <c r="X321" s="16">
        <f>ROUND(X320+IF(AND(E321=28,F321&lt;&gt;"ASTM A416"),L321,0),3)</f>
        <v/>
      </c>
      <c r="Y321" s="16">
        <f>ROUND(Y320+IF(AND(E321=32,F321&lt;&gt;"ASTM A416"),L321,0),3)</f>
        <v/>
      </c>
      <c r="Z321" s="16">
        <f>ROUND(Z320+IF(F321="ASTM A416",L321,0),3)</f>
        <v/>
      </c>
      <c r="AA321" s="9">
        <f>IF(ROUNDUP(P321/20,0)&gt;ROUNDUP(P320/20,0),"Lần " &amp; ROUNDUP(P321/20,0),"")</f>
        <v/>
      </c>
      <c r="AB321" s="9">
        <f>IF(ROUNDUP(Q321/20,0)&gt;ROUNDUP(Q320/20,0),"Lần " &amp; ROUNDUP(Q321/20,0),"")</f>
        <v/>
      </c>
      <c r="AC321" s="9">
        <f>IF(ROUNDUP(R321/20,0)&gt;ROUNDUP(R320/20,0),"Lần " &amp; ROUNDUP(R321/20,0),"")</f>
        <v/>
      </c>
      <c r="AD321" s="9">
        <f>IF(ROUNDUP(S321/20,0)&gt;ROUNDUP(S320/20,0),"Lần " &amp; ROUNDUP(S321/20,0),"")</f>
        <v/>
      </c>
      <c r="AE321" s="9">
        <f>IF(ROUNDUP(T321/20,0)&gt;ROUNDUP(T320/20,0),"Lần " &amp; ROUNDUP(T321/20,0),"")</f>
        <v/>
      </c>
      <c r="AF321" s="9">
        <f>IF(ROUNDUP(U321/20,0)&gt;ROUNDUP(U320/20,0),"Lần " &amp; ROUNDUP(U321/20,0),"")</f>
        <v/>
      </c>
      <c r="AG321" s="9">
        <f>IF(ROUNDUP(V321/20,0)&gt;ROUNDUP(V320/20,0),"Lần " &amp; ROUNDUP(V321/20,0),"")</f>
        <v/>
      </c>
      <c r="AH321" s="9">
        <f>IF(ROUNDUP(W321/20,0)&gt;ROUNDUP(W320/20,0),"Lần " &amp; ROUNDUP(W321/20,0),"")</f>
        <v/>
      </c>
      <c r="AI321" s="9">
        <f>IF(ROUNDUP(X321/20,0)&gt;ROUNDUP(X320/20,0),"Lần " &amp; ROUNDUP(X321/20,0),"")</f>
        <v/>
      </c>
      <c r="AJ321" s="9">
        <f>IF(ROUNDUP(Y321/20,0)&gt;ROUNDUP(Y320/20,0),"Lần " &amp; ROUNDUP(Y321/20,0),"")</f>
        <v/>
      </c>
      <c r="AK321" s="9">
        <f>IF(ROUNDUP(Z321/20,0)&gt;ROUNDUP(Z320/20,0),"Lần " &amp; ROUNDUP(Z321/20,0),"")</f>
        <v/>
      </c>
      <c r="AL321" s="4" t="n"/>
      <c r="AN321" s="596" t="inlineStr">
        <is>
          <t>Coc</t>
        </is>
      </c>
      <c r="AO321" s="596" t="n">
        <v>23</v>
      </c>
      <c r="AQ321" s="594" t="n"/>
      <c r="AR321" s="595" t="n"/>
    </row>
    <row r="322" ht="19" customHeight="1" s="672">
      <c r="A322" s="4" t="n">
        <v>300</v>
      </c>
      <c r="B322" s="5" t="inlineStr">
        <is>
          <t>Cọc khoan nhồi C4 Mố M2 (D1.2m, L=36.0m)</t>
        </is>
      </c>
      <c r="C322" s="5" t="inlineStr">
        <is>
          <t>Cọc mố M2 L=36m (tr.66)</t>
        </is>
      </c>
      <c r="D322" s="14" t="inlineStr">
        <is>
          <t>P4</t>
        </is>
      </c>
      <c r="E322" s="15" t="n">
        <v>28</v>
      </c>
      <c r="F322" s="4" t="inlineStr">
        <is>
          <t>CB400-V</t>
        </is>
      </c>
      <c r="G322" s="5" t="inlineStr"/>
      <c r="H322" s="16" t="n">
        <v>11.7</v>
      </c>
      <c r="I322" s="17" t="n">
        <v>12</v>
      </c>
      <c r="J322" s="18" t="n">
        <v>4.834</v>
      </c>
      <c r="K322" s="7">
        <f>ROUND(H322*I322*J322, 2)</f>
        <v/>
      </c>
      <c r="L322" s="19">
        <f>ROUND(K322/1000, 3)</f>
        <v/>
      </c>
      <c r="M322" s="728">
        <f>IF(AO322="","",IF(N(INDEX(Theo_Doi_Tan_Suat_Be_Tong!$C:$C,AO322))&lt;=0,"",INDEX(Theo_Doi_Tan_Suat_Be_Tong!$C:$C,AO322)-VLOOKUP(AN322,$AQ$2:$AR$7,2,FALSE)))</f>
        <v/>
      </c>
      <c r="N322" s="4" t="n"/>
      <c r="O322" s="20">
        <f>IF(ROUNDUP(X322/20,0)&gt;ROUNDUP(X321/20,0),"TN Ø28 (Lần " &amp; ROUNDUP(X322/20,0) &amp; ")","")</f>
        <v/>
      </c>
      <c r="P322" s="16">
        <f>ROUND(P321+IF(AND(E322&lt;=10,F322&lt;&gt;"ASTM A416"),L322,0),3)</f>
        <v/>
      </c>
      <c r="Q322" s="16">
        <f>ROUND(Q321+IF(AND(E322=12,F322&lt;&gt;"ASTM A416"),L322,0),3)</f>
        <v/>
      </c>
      <c r="R322" s="16">
        <f>ROUND(R321+IF(AND(E322=14,F322&lt;&gt;"ASTM A416"),L322,0),3)</f>
        <v/>
      </c>
      <c r="S322" s="16">
        <f>ROUND(S321+IF(AND(E322=16,F322&lt;&gt;"ASTM A416"),L322,0),3)</f>
        <v/>
      </c>
      <c r="T322" s="16">
        <f>ROUND(T321+IF(AND(E322=18,F322&lt;&gt;"ASTM A416"),L322,0),3)</f>
        <v/>
      </c>
      <c r="U322" s="16">
        <f>ROUND(U321+IF(AND(E322=20,F322&lt;&gt;"ASTM A416"),L322,0),3)</f>
        <v/>
      </c>
      <c r="V322" s="16">
        <f>ROUND(V321+IF(AND(E322=22,F322&lt;&gt;"ASTM A416"),L322,0),3)</f>
        <v/>
      </c>
      <c r="W322" s="16">
        <f>ROUND(W321+IF(AND(E322=25,F322&lt;&gt;"ASTM A416"),L322,0),3)</f>
        <v/>
      </c>
      <c r="X322" s="16">
        <f>ROUND(X321+IF(AND(E322=28,F322&lt;&gt;"ASTM A416"),L322,0),3)</f>
        <v/>
      </c>
      <c r="Y322" s="16">
        <f>ROUND(Y321+IF(AND(E322=32,F322&lt;&gt;"ASTM A416"),L322,0),3)</f>
        <v/>
      </c>
      <c r="Z322" s="16">
        <f>ROUND(Z321+IF(F322="ASTM A416",L322,0),3)</f>
        <v/>
      </c>
      <c r="AA322" s="9">
        <f>IF(ROUNDUP(P322/20,0)&gt;ROUNDUP(P321/20,0),"Lần " &amp; ROUNDUP(P322/20,0),"")</f>
        <v/>
      </c>
      <c r="AB322" s="9">
        <f>IF(ROUNDUP(Q322/20,0)&gt;ROUNDUP(Q321/20,0),"Lần " &amp; ROUNDUP(Q322/20,0),"")</f>
        <v/>
      </c>
      <c r="AC322" s="9">
        <f>IF(ROUNDUP(R322/20,0)&gt;ROUNDUP(R321/20,0),"Lần " &amp; ROUNDUP(R322/20,0),"")</f>
        <v/>
      </c>
      <c r="AD322" s="9">
        <f>IF(ROUNDUP(S322/20,0)&gt;ROUNDUP(S321/20,0),"Lần " &amp; ROUNDUP(S322/20,0),"")</f>
        <v/>
      </c>
      <c r="AE322" s="9">
        <f>IF(ROUNDUP(T322/20,0)&gt;ROUNDUP(T321/20,0),"Lần " &amp; ROUNDUP(T322/20,0),"")</f>
        <v/>
      </c>
      <c r="AF322" s="9">
        <f>IF(ROUNDUP(U322/20,0)&gt;ROUNDUP(U321/20,0),"Lần " &amp; ROUNDUP(U322/20,0),"")</f>
        <v/>
      </c>
      <c r="AG322" s="9">
        <f>IF(ROUNDUP(V322/20,0)&gt;ROUNDUP(V321/20,0),"Lần " &amp; ROUNDUP(V322/20,0),"")</f>
        <v/>
      </c>
      <c r="AH322" s="9">
        <f>IF(ROUNDUP(W322/20,0)&gt;ROUNDUP(W321/20,0),"Lần " &amp; ROUNDUP(W322/20,0),"")</f>
        <v/>
      </c>
      <c r="AI322" s="9">
        <f>IF(ROUNDUP(X322/20,0)&gt;ROUNDUP(X321/20,0),"Lần " &amp; ROUNDUP(X322/20,0),"")</f>
        <v/>
      </c>
      <c r="AJ322" s="9">
        <f>IF(ROUNDUP(Y322/20,0)&gt;ROUNDUP(Y321/20,0),"Lần " &amp; ROUNDUP(Y322/20,0),"")</f>
        <v/>
      </c>
      <c r="AK322" s="9">
        <f>IF(ROUNDUP(Z322/20,0)&gt;ROUNDUP(Z321/20,0),"Lần " &amp; ROUNDUP(Z322/20,0),"")</f>
        <v/>
      </c>
      <c r="AL322" s="4" t="n"/>
      <c r="AN322" s="596" t="inlineStr">
        <is>
          <t>Coc</t>
        </is>
      </c>
      <c r="AO322" s="596" t="n">
        <v>23</v>
      </c>
      <c r="AQ322" s="594" t="n"/>
      <c r="AR322" s="595" t="n"/>
    </row>
    <row r="323" ht="20" customHeight="1" s="672">
      <c r="A323" s="4" t="n">
        <v>301</v>
      </c>
      <c r="B323" s="5" t="inlineStr">
        <is>
          <t>Cọc khoan nhồi C4 Mố M2 (D1.2m, L=36.0m)</t>
        </is>
      </c>
      <c r="C323" s="5" t="inlineStr">
        <is>
          <t>Cọc mố M2 L=36m (tr.66)</t>
        </is>
      </c>
      <c r="D323" s="14" t="inlineStr">
        <is>
          <t>P5</t>
        </is>
      </c>
      <c r="E323" s="15" t="n">
        <v>25</v>
      </c>
      <c r="F323" s="4" t="inlineStr">
        <is>
          <t>CB400-V</t>
        </is>
      </c>
      <c r="G323" s="5" t="inlineStr"/>
      <c r="H323" s="16" t="n">
        <v>11.7</v>
      </c>
      <c r="I323" s="17" t="n">
        <v>48</v>
      </c>
      <c r="J323" s="18" t="n">
        <v>3.853</v>
      </c>
      <c r="K323" s="7">
        <f>ROUND(H323*I323*J323, 2)</f>
        <v/>
      </c>
      <c r="L323" s="19">
        <f>ROUND(K323/1000, 3)</f>
        <v/>
      </c>
      <c r="M323" s="728">
        <f>IF(AO323="","",IF(N(INDEX(Theo_Doi_Tan_Suat_Be_Tong!$C:$C,AO323))&lt;=0,"",INDEX(Theo_Doi_Tan_Suat_Be_Tong!$C:$C,AO323)-VLOOKUP(AN323,$AQ$2:$AR$7,2,FALSE)))</f>
        <v/>
      </c>
      <c r="N323" s="4" t="n"/>
      <c r="O323" s="20">
        <f>IF(ROUNDUP(W323/20,0)&gt;ROUNDUP(W322/20,0),"TN Ø25 (Lần " &amp; ROUNDUP(W323/20,0) &amp; ")","")</f>
        <v/>
      </c>
      <c r="P323" s="16">
        <f>ROUND(P322+IF(AND(E323&lt;=10,F323&lt;&gt;"ASTM A416"),L323,0),3)</f>
        <v/>
      </c>
      <c r="Q323" s="16">
        <f>ROUND(Q322+IF(AND(E323=12,F323&lt;&gt;"ASTM A416"),L323,0),3)</f>
        <v/>
      </c>
      <c r="R323" s="16">
        <f>ROUND(R322+IF(AND(E323=14,F323&lt;&gt;"ASTM A416"),L323,0),3)</f>
        <v/>
      </c>
      <c r="S323" s="16">
        <f>ROUND(S322+IF(AND(E323=16,F323&lt;&gt;"ASTM A416"),L323,0),3)</f>
        <v/>
      </c>
      <c r="T323" s="16">
        <f>ROUND(T322+IF(AND(E323=18,F323&lt;&gt;"ASTM A416"),L323,0),3)</f>
        <v/>
      </c>
      <c r="U323" s="16">
        <f>ROUND(U322+IF(AND(E323=20,F323&lt;&gt;"ASTM A416"),L323,0),3)</f>
        <v/>
      </c>
      <c r="V323" s="16">
        <f>ROUND(V322+IF(AND(E323=22,F323&lt;&gt;"ASTM A416"),L323,0),3)</f>
        <v/>
      </c>
      <c r="W323" s="16">
        <f>ROUND(W322+IF(AND(E323=25,F323&lt;&gt;"ASTM A416"),L323,0),3)</f>
        <v/>
      </c>
      <c r="X323" s="16">
        <f>ROUND(X322+IF(AND(E323=28,F323&lt;&gt;"ASTM A416"),L323,0),3)</f>
        <v/>
      </c>
      <c r="Y323" s="16">
        <f>ROUND(Y322+IF(AND(E323=32,F323&lt;&gt;"ASTM A416"),L323,0),3)</f>
        <v/>
      </c>
      <c r="Z323" s="16">
        <f>ROUND(Z322+IF(F323="ASTM A416",L323,0),3)</f>
        <v/>
      </c>
      <c r="AA323" s="9">
        <f>IF(ROUNDUP(P323/20,0)&gt;ROUNDUP(P322/20,0),"Lần " &amp; ROUNDUP(P323/20,0),"")</f>
        <v/>
      </c>
      <c r="AB323" s="9">
        <f>IF(ROUNDUP(Q323/20,0)&gt;ROUNDUP(Q322/20,0),"Lần " &amp; ROUNDUP(Q323/20,0),"")</f>
        <v/>
      </c>
      <c r="AC323" s="9">
        <f>IF(ROUNDUP(R323/20,0)&gt;ROUNDUP(R322/20,0),"Lần " &amp; ROUNDUP(R323/20,0),"")</f>
        <v/>
      </c>
      <c r="AD323" s="9">
        <f>IF(ROUNDUP(S323/20,0)&gt;ROUNDUP(S322/20,0),"Lần " &amp; ROUNDUP(S323/20,0),"")</f>
        <v/>
      </c>
      <c r="AE323" s="9">
        <f>IF(ROUNDUP(T323/20,0)&gt;ROUNDUP(T322/20,0),"Lần " &amp; ROUNDUP(T323/20,0),"")</f>
        <v/>
      </c>
      <c r="AF323" s="9">
        <f>IF(ROUNDUP(U323/20,0)&gt;ROUNDUP(U322/20,0),"Lần " &amp; ROUNDUP(U323/20,0),"")</f>
        <v/>
      </c>
      <c r="AG323" s="9">
        <f>IF(ROUNDUP(V323/20,0)&gt;ROUNDUP(V322/20,0),"Lần " &amp; ROUNDUP(V323/20,0),"")</f>
        <v/>
      </c>
      <c r="AH323" s="9">
        <f>IF(ROUNDUP(W323/20,0)&gt;ROUNDUP(W322/20,0),"Lần " &amp; ROUNDUP(W323/20,0),"")</f>
        <v/>
      </c>
      <c r="AI323" s="9">
        <f>IF(ROUNDUP(X323/20,0)&gt;ROUNDUP(X322/20,0),"Lần " &amp; ROUNDUP(X323/20,0),"")</f>
        <v/>
      </c>
      <c r="AJ323" s="9">
        <f>IF(ROUNDUP(Y323/20,0)&gt;ROUNDUP(Y322/20,0),"Lần " &amp; ROUNDUP(Y323/20,0),"")</f>
        <v/>
      </c>
      <c r="AK323" s="9">
        <f>IF(ROUNDUP(Z323/20,0)&gt;ROUNDUP(Z322/20,0),"Lần " &amp; ROUNDUP(Z323/20,0),"")</f>
        <v/>
      </c>
      <c r="AL323" s="4" t="n"/>
      <c r="AN323" s="596" t="inlineStr">
        <is>
          <t>Coc</t>
        </is>
      </c>
      <c r="AO323" s="596" t="n">
        <v>23</v>
      </c>
      <c r="AQ323" s="594" t="n"/>
      <c r="AR323" s="595" t="n"/>
    </row>
    <row r="324" ht="19" customHeight="1" s="672">
      <c r="A324" s="4" t="n">
        <v>302</v>
      </c>
      <c r="B324" s="5" t="inlineStr">
        <is>
          <t>Cọc khoan nhồi C4 Mố M2 (D1.2m, L=36.0m)</t>
        </is>
      </c>
      <c r="C324" s="5" t="inlineStr">
        <is>
          <t>Cọc mố M2 L=36m (tr.66)</t>
        </is>
      </c>
      <c r="D324" s="14" t="inlineStr">
        <is>
          <t>P6</t>
        </is>
      </c>
      <c r="E324" s="15" t="n">
        <v>25</v>
      </c>
      <c r="F324" s="4" t="inlineStr">
        <is>
          <t>CB400-V</t>
        </is>
      </c>
      <c r="G324" s="5" t="inlineStr"/>
      <c r="H324" s="16" t="n">
        <v>5.153</v>
      </c>
      <c r="I324" s="17" t="n">
        <v>12</v>
      </c>
      <c r="J324" s="18" t="n">
        <v>3.853</v>
      </c>
      <c r="K324" s="7">
        <f>ROUND(H324*I324*J324, 2)</f>
        <v/>
      </c>
      <c r="L324" s="19">
        <f>ROUND(K324/1000, 3)</f>
        <v/>
      </c>
      <c r="M324" s="728">
        <f>IF(AO324="","",IF(N(INDEX(Theo_Doi_Tan_Suat_Be_Tong!$C:$C,AO324))&lt;=0,"",INDEX(Theo_Doi_Tan_Suat_Be_Tong!$C:$C,AO324)-VLOOKUP(AN324,$AQ$2:$AR$7,2,FALSE)))</f>
        <v/>
      </c>
      <c r="N324" s="4" t="n"/>
      <c r="O324" s="20">
        <f>IF(ROUNDUP(W324/20,0)&gt;ROUNDUP(W323/20,0),"TN Ø25 (Lần " &amp; ROUNDUP(W324/20,0) &amp; ")","")</f>
        <v/>
      </c>
      <c r="P324" s="16">
        <f>ROUND(P323+IF(AND(E324&lt;=10,F324&lt;&gt;"ASTM A416"),L324,0),3)</f>
        <v/>
      </c>
      <c r="Q324" s="16">
        <f>ROUND(Q323+IF(AND(E324=12,F324&lt;&gt;"ASTM A416"),L324,0),3)</f>
        <v/>
      </c>
      <c r="R324" s="16">
        <f>ROUND(R323+IF(AND(E324=14,F324&lt;&gt;"ASTM A416"),L324,0),3)</f>
        <v/>
      </c>
      <c r="S324" s="16">
        <f>ROUND(S323+IF(AND(E324=16,F324&lt;&gt;"ASTM A416"),L324,0),3)</f>
        <v/>
      </c>
      <c r="T324" s="16">
        <f>ROUND(T323+IF(AND(E324=18,F324&lt;&gt;"ASTM A416"),L324,0),3)</f>
        <v/>
      </c>
      <c r="U324" s="16">
        <f>ROUND(U323+IF(AND(E324=20,F324&lt;&gt;"ASTM A416"),L324,0),3)</f>
        <v/>
      </c>
      <c r="V324" s="16">
        <f>ROUND(V323+IF(AND(E324=22,F324&lt;&gt;"ASTM A416"),L324,0),3)</f>
        <v/>
      </c>
      <c r="W324" s="16">
        <f>ROUND(W323+IF(AND(E324=25,F324&lt;&gt;"ASTM A416"),L324,0),3)</f>
        <v/>
      </c>
      <c r="X324" s="16">
        <f>ROUND(X323+IF(AND(E324=28,F324&lt;&gt;"ASTM A416"),L324,0),3)</f>
        <v/>
      </c>
      <c r="Y324" s="16">
        <f>ROUND(Y323+IF(AND(E324=32,F324&lt;&gt;"ASTM A416"),L324,0),3)</f>
        <v/>
      </c>
      <c r="Z324" s="16">
        <f>ROUND(Z323+IF(F324="ASTM A416",L324,0),3)</f>
        <v/>
      </c>
      <c r="AA324" s="9">
        <f>IF(ROUNDUP(P324/20,0)&gt;ROUNDUP(P323/20,0),"Lần " &amp; ROUNDUP(P324/20,0),"")</f>
        <v/>
      </c>
      <c r="AB324" s="9">
        <f>IF(ROUNDUP(Q324/20,0)&gt;ROUNDUP(Q323/20,0),"Lần " &amp; ROUNDUP(Q324/20,0),"")</f>
        <v/>
      </c>
      <c r="AC324" s="9">
        <f>IF(ROUNDUP(R324/20,0)&gt;ROUNDUP(R323/20,0),"Lần " &amp; ROUNDUP(R324/20,0),"")</f>
        <v/>
      </c>
      <c r="AD324" s="9">
        <f>IF(ROUNDUP(S324/20,0)&gt;ROUNDUP(S323/20,0),"Lần " &amp; ROUNDUP(S324/20,0),"")</f>
        <v/>
      </c>
      <c r="AE324" s="9">
        <f>IF(ROUNDUP(T324/20,0)&gt;ROUNDUP(T323/20,0),"Lần " &amp; ROUNDUP(T324/20,0),"")</f>
        <v/>
      </c>
      <c r="AF324" s="9">
        <f>IF(ROUNDUP(U324/20,0)&gt;ROUNDUP(U323/20,0),"Lần " &amp; ROUNDUP(U324/20,0),"")</f>
        <v/>
      </c>
      <c r="AG324" s="9">
        <f>IF(ROUNDUP(V324/20,0)&gt;ROUNDUP(V323/20,0),"Lần " &amp; ROUNDUP(V324/20,0),"")</f>
        <v/>
      </c>
      <c r="AH324" s="9">
        <f>IF(ROUNDUP(W324/20,0)&gt;ROUNDUP(W323/20,0),"Lần " &amp; ROUNDUP(W324/20,0),"")</f>
        <v/>
      </c>
      <c r="AI324" s="9">
        <f>IF(ROUNDUP(X324/20,0)&gt;ROUNDUP(X323/20,0),"Lần " &amp; ROUNDUP(X324/20,0),"")</f>
        <v/>
      </c>
      <c r="AJ324" s="9">
        <f>IF(ROUNDUP(Y324/20,0)&gt;ROUNDUP(Y323/20,0),"Lần " &amp; ROUNDUP(Y324/20,0),"")</f>
        <v/>
      </c>
      <c r="AK324" s="9">
        <f>IF(ROUNDUP(Z324/20,0)&gt;ROUNDUP(Z323/20,0),"Lần " &amp; ROUNDUP(Z324/20,0),"")</f>
        <v/>
      </c>
      <c r="AL324" s="4" t="n"/>
      <c r="AN324" s="596" t="inlineStr">
        <is>
          <t>Coc</t>
        </is>
      </c>
      <c r="AO324" s="596" t="n">
        <v>23</v>
      </c>
      <c r="AQ324" s="594" t="n"/>
      <c r="AR324" s="595" t="n"/>
    </row>
    <row r="325" ht="19" customHeight="1" s="672">
      <c r="A325" s="4" t="n">
        <v>303</v>
      </c>
      <c r="B325" s="5" t="inlineStr">
        <is>
          <t>Cọc khoan nhồi C4 Mố M2 (D1.2m, L=36.0m)</t>
        </is>
      </c>
      <c r="C325" s="5" t="inlineStr">
        <is>
          <t>Cọc mố M2 L=36m (tr.66)</t>
        </is>
      </c>
      <c r="D325" s="14" t="inlineStr">
        <is>
          <t>P7</t>
        </is>
      </c>
      <c r="E325" s="15" t="n">
        <v>25</v>
      </c>
      <c r="F325" s="4" t="inlineStr">
        <is>
          <t>CB400-V</t>
        </is>
      </c>
      <c r="G325" s="5" t="inlineStr"/>
      <c r="H325" s="16" t="n">
        <v>6.153</v>
      </c>
      <c r="I325" s="17" t="n">
        <v>12</v>
      </c>
      <c r="J325" s="18" t="n">
        <v>3.853</v>
      </c>
      <c r="K325" s="7">
        <f>ROUND(H325*I325*J325, 2)</f>
        <v/>
      </c>
      <c r="L325" s="19">
        <f>ROUND(K325/1000, 3)</f>
        <v/>
      </c>
      <c r="M325" s="728">
        <f>IF(AO325="","",IF(N(INDEX(Theo_Doi_Tan_Suat_Be_Tong!$C:$C,AO325))&lt;=0,"",INDEX(Theo_Doi_Tan_Suat_Be_Tong!$C:$C,AO325)-VLOOKUP(AN325,$AQ$2:$AR$7,2,FALSE)))</f>
        <v/>
      </c>
      <c r="N325" s="4" t="n"/>
      <c r="O325" s="20">
        <f>IF(ROUNDUP(W325/20,0)&gt;ROUNDUP(W324/20,0),"TN Ø25 (Lần " &amp; ROUNDUP(W325/20,0) &amp; ")","")</f>
        <v/>
      </c>
      <c r="P325" s="16">
        <f>ROUND(P324+IF(AND(E325&lt;=10,F325&lt;&gt;"ASTM A416"),L325,0),3)</f>
        <v/>
      </c>
      <c r="Q325" s="16">
        <f>ROUND(Q324+IF(AND(E325=12,F325&lt;&gt;"ASTM A416"),L325,0),3)</f>
        <v/>
      </c>
      <c r="R325" s="16">
        <f>ROUND(R324+IF(AND(E325=14,F325&lt;&gt;"ASTM A416"),L325,0),3)</f>
        <v/>
      </c>
      <c r="S325" s="16">
        <f>ROUND(S324+IF(AND(E325=16,F325&lt;&gt;"ASTM A416"),L325,0),3)</f>
        <v/>
      </c>
      <c r="T325" s="16">
        <f>ROUND(T324+IF(AND(E325=18,F325&lt;&gt;"ASTM A416"),L325,0),3)</f>
        <v/>
      </c>
      <c r="U325" s="16">
        <f>ROUND(U324+IF(AND(E325=20,F325&lt;&gt;"ASTM A416"),L325,0),3)</f>
        <v/>
      </c>
      <c r="V325" s="16">
        <f>ROUND(V324+IF(AND(E325=22,F325&lt;&gt;"ASTM A416"),L325,0),3)</f>
        <v/>
      </c>
      <c r="W325" s="16">
        <f>ROUND(W324+IF(AND(E325=25,F325&lt;&gt;"ASTM A416"),L325,0),3)</f>
        <v/>
      </c>
      <c r="X325" s="16">
        <f>ROUND(X324+IF(AND(E325=28,F325&lt;&gt;"ASTM A416"),L325,0),3)</f>
        <v/>
      </c>
      <c r="Y325" s="16">
        <f>ROUND(Y324+IF(AND(E325=32,F325&lt;&gt;"ASTM A416"),L325,0),3)</f>
        <v/>
      </c>
      <c r="Z325" s="16">
        <f>ROUND(Z324+IF(F325="ASTM A416",L325,0),3)</f>
        <v/>
      </c>
      <c r="AA325" s="9">
        <f>IF(ROUNDUP(P325/20,0)&gt;ROUNDUP(P324/20,0),"Lần " &amp; ROUNDUP(P325/20,0),"")</f>
        <v/>
      </c>
      <c r="AB325" s="9">
        <f>IF(ROUNDUP(Q325/20,0)&gt;ROUNDUP(Q324/20,0),"Lần " &amp; ROUNDUP(Q325/20,0),"")</f>
        <v/>
      </c>
      <c r="AC325" s="9">
        <f>IF(ROUNDUP(R325/20,0)&gt;ROUNDUP(R324/20,0),"Lần " &amp; ROUNDUP(R325/20,0),"")</f>
        <v/>
      </c>
      <c r="AD325" s="9">
        <f>IF(ROUNDUP(S325/20,0)&gt;ROUNDUP(S324/20,0),"Lần " &amp; ROUNDUP(S325/20,0),"")</f>
        <v/>
      </c>
      <c r="AE325" s="9">
        <f>IF(ROUNDUP(T325/20,0)&gt;ROUNDUP(T324/20,0),"Lần " &amp; ROUNDUP(T325/20,0),"")</f>
        <v/>
      </c>
      <c r="AF325" s="9">
        <f>IF(ROUNDUP(U325/20,0)&gt;ROUNDUP(U324/20,0),"Lần " &amp; ROUNDUP(U325/20,0),"")</f>
        <v/>
      </c>
      <c r="AG325" s="9">
        <f>IF(ROUNDUP(V325/20,0)&gt;ROUNDUP(V324/20,0),"Lần " &amp; ROUNDUP(V325/20,0),"")</f>
        <v/>
      </c>
      <c r="AH325" s="9">
        <f>IF(ROUNDUP(W325/20,0)&gt;ROUNDUP(W324/20,0),"Lần " &amp; ROUNDUP(W325/20,0),"")</f>
        <v/>
      </c>
      <c r="AI325" s="9">
        <f>IF(ROUNDUP(X325/20,0)&gt;ROUNDUP(X324/20,0),"Lần " &amp; ROUNDUP(X325/20,0),"")</f>
        <v/>
      </c>
      <c r="AJ325" s="9">
        <f>IF(ROUNDUP(Y325/20,0)&gt;ROUNDUP(Y324/20,0),"Lần " &amp; ROUNDUP(Y325/20,0),"")</f>
        <v/>
      </c>
      <c r="AK325" s="9">
        <f>IF(ROUNDUP(Z325/20,0)&gt;ROUNDUP(Z324/20,0),"Lần " &amp; ROUNDUP(Z325/20,0),"")</f>
        <v/>
      </c>
      <c r="AL325" s="4" t="n"/>
      <c r="AN325" s="596" t="inlineStr">
        <is>
          <t>Coc</t>
        </is>
      </c>
      <c r="AO325" s="596" t="n">
        <v>23</v>
      </c>
      <c r="AQ325" s="594" t="n"/>
      <c r="AR325" s="595" t="n"/>
    </row>
    <row r="326" ht="19" customHeight="1" s="672">
      <c r="A326" s="4" t="n">
        <v>304</v>
      </c>
      <c r="B326" s="5" t="inlineStr">
        <is>
          <t>Cọc khoan nhồi C4 Mố M2 (D1.2m, L=36.0m)</t>
        </is>
      </c>
      <c r="C326" s="5" t="inlineStr">
        <is>
          <t>Cọc mố M2 L=36m (tr.66)</t>
        </is>
      </c>
      <c r="D326" s="14" t="inlineStr">
        <is>
          <t>P8</t>
        </is>
      </c>
      <c r="E326" s="15" t="n">
        <v>12</v>
      </c>
      <c r="F326" s="4" t="inlineStr">
        <is>
          <t>CB400-V</t>
        </is>
      </c>
      <c r="G326" s="5" t="inlineStr"/>
      <c r="H326" s="16" t="n">
        <v>0.647</v>
      </c>
      <c r="I326" s="17" t="n">
        <v>15</v>
      </c>
      <c r="J326" s="18" t="n">
        <v>0.888</v>
      </c>
      <c r="K326" s="7">
        <f>ROUND(H326*I326*J326, 2)</f>
        <v/>
      </c>
      <c r="L326" s="19">
        <f>ROUND(K326/1000, 3)</f>
        <v/>
      </c>
      <c r="M326" s="728">
        <f>IF(AO326="","",IF(N(INDEX(Theo_Doi_Tan_Suat_Be_Tong!$C:$C,AO326))&lt;=0,"",INDEX(Theo_Doi_Tan_Suat_Be_Tong!$C:$C,AO326)-VLOOKUP(AN326,$AQ$2:$AR$7,2,FALSE)))</f>
        <v/>
      </c>
      <c r="N326" s="4" t="n"/>
      <c r="O326" s="20">
        <f>IF(ROUNDUP(Q326/20,0)&gt;ROUNDUP(Q325/20,0),"TN Ø12 (Lần " &amp; ROUNDUP(Q326/20,0) &amp; ")","")</f>
        <v/>
      </c>
      <c r="P326" s="16">
        <f>ROUND(P325+IF(AND(E326&lt;=10,F326&lt;&gt;"ASTM A416"),L326,0),3)</f>
        <v/>
      </c>
      <c r="Q326" s="16">
        <f>ROUND(Q325+IF(AND(E326=12,F326&lt;&gt;"ASTM A416"),L326,0),3)</f>
        <v/>
      </c>
      <c r="R326" s="16">
        <f>ROUND(R325+IF(AND(E326=14,F326&lt;&gt;"ASTM A416"),L326,0),3)</f>
        <v/>
      </c>
      <c r="S326" s="16">
        <f>ROUND(S325+IF(AND(E326=16,F326&lt;&gt;"ASTM A416"),L326,0),3)</f>
        <v/>
      </c>
      <c r="T326" s="16">
        <f>ROUND(T325+IF(AND(E326=18,F326&lt;&gt;"ASTM A416"),L326,0),3)</f>
        <v/>
      </c>
      <c r="U326" s="16">
        <f>ROUND(U325+IF(AND(E326=20,F326&lt;&gt;"ASTM A416"),L326,0),3)</f>
        <v/>
      </c>
      <c r="V326" s="16">
        <f>ROUND(V325+IF(AND(E326=22,F326&lt;&gt;"ASTM A416"),L326,0),3)</f>
        <v/>
      </c>
      <c r="W326" s="16">
        <f>ROUND(W325+IF(AND(E326=25,F326&lt;&gt;"ASTM A416"),L326,0),3)</f>
        <v/>
      </c>
      <c r="X326" s="16">
        <f>ROUND(X325+IF(AND(E326=28,F326&lt;&gt;"ASTM A416"),L326,0),3)</f>
        <v/>
      </c>
      <c r="Y326" s="16">
        <f>ROUND(Y325+IF(AND(E326=32,F326&lt;&gt;"ASTM A416"),L326,0),3)</f>
        <v/>
      </c>
      <c r="Z326" s="16">
        <f>ROUND(Z325+IF(F326="ASTM A416",L326,0),3)</f>
        <v/>
      </c>
      <c r="AA326" s="9">
        <f>IF(ROUNDUP(P326/20,0)&gt;ROUNDUP(P325/20,0),"Lần " &amp; ROUNDUP(P326/20,0),"")</f>
        <v/>
      </c>
      <c r="AB326" s="9">
        <f>IF(ROUNDUP(Q326/20,0)&gt;ROUNDUP(Q325/20,0),"Lần " &amp; ROUNDUP(Q326/20,0),"")</f>
        <v/>
      </c>
      <c r="AC326" s="9">
        <f>IF(ROUNDUP(R326/20,0)&gt;ROUNDUP(R325/20,0),"Lần " &amp; ROUNDUP(R326/20,0),"")</f>
        <v/>
      </c>
      <c r="AD326" s="9">
        <f>IF(ROUNDUP(S326/20,0)&gt;ROUNDUP(S325/20,0),"Lần " &amp; ROUNDUP(S326/20,0),"")</f>
        <v/>
      </c>
      <c r="AE326" s="9">
        <f>IF(ROUNDUP(T326/20,0)&gt;ROUNDUP(T325/20,0),"Lần " &amp; ROUNDUP(T326/20,0),"")</f>
        <v/>
      </c>
      <c r="AF326" s="9">
        <f>IF(ROUNDUP(U326/20,0)&gt;ROUNDUP(U325/20,0),"Lần " &amp; ROUNDUP(U326/20,0),"")</f>
        <v/>
      </c>
      <c r="AG326" s="9">
        <f>IF(ROUNDUP(V326/20,0)&gt;ROUNDUP(V325/20,0),"Lần " &amp; ROUNDUP(V326/20,0),"")</f>
        <v/>
      </c>
      <c r="AH326" s="9">
        <f>IF(ROUNDUP(W326/20,0)&gt;ROUNDUP(W325/20,0),"Lần " &amp; ROUNDUP(W326/20,0),"")</f>
        <v/>
      </c>
      <c r="AI326" s="9">
        <f>IF(ROUNDUP(X326/20,0)&gt;ROUNDUP(X325/20,0),"Lần " &amp; ROUNDUP(X326/20,0),"")</f>
        <v/>
      </c>
      <c r="AJ326" s="9">
        <f>IF(ROUNDUP(Y326/20,0)&gt;ROUNDUP(Y325/20,0),"Lần " &amp; ROUNDUP(Y326/20,0),"")</f>
        <v/>
      </c>
      <c r="AK326" s="9">
        <f>IF(ROUNDUP(Z326/20,0)&gt;ROUNDUP(Z325/20,0),"Lần " &amp; ROUNDUP(Z326/20,0),"")</f>
        <v/>
      </c>
      <c r="AL326" s="4" t="n"/>
      <c r="AN326" s="596" t="inlineStr">
        <is>
          <t>Coc</t>
        </is>
      </c>
      <c r="AO326" s="596" t="n">
        <v>23</v>
      </c>
      <c r="AQ326" s="594" t="n"/>
      <c r="AR326" s="595" t="n"/>
    </row>
    <row r="327" ht="19" customHeight="1" s="672">
      <c r="A327" s="4" t="n">
        <v>305</v>
      </c>
      <c r="B327" s="5" t="inlineStr">
        <is>
          <t>Cọc khoan nhồi C4 Mố M2 (D1.2m, L=36.0m)</t>
        </is>
      </c>
      <c r="C327" s="5" t="inlineStr">
        <is>
          <t>Cọc mố M2 L=36m (tr.66)</t>
        </is>
      </c>
      <c r="D327" s="14" t="inlineStr">
        <is>
          <t>P9</t>
        </is>
      </c>
      <c r="E327" s="15" t="n">
        <v>12</v>
      </c>
      <c r="F327" s="4" t="inlineStr">
        <is>
          <t>CB400-V</t>
        </is>
      </c>
      <c r="G327" s="5" t="inlineStr"/>
      <c r="H327" s="16" t="n">
        <v>0.379</v>
      </c>
      <c r="I327" s="17" t="n">
        <v>45</v>
      </c>
      <c r="J327" s="18" t="n">
        <v>0.888</v>
      </c>
      <c r="K327" s="7">
        <f>ROUND(H327*I327*J327, 2)</f>
        <v/>
      </c>
      <c r="L327" s="19">
        <f>ROUND(K327/1000, 3)</f>
        <v/>
      </c>
      <c r="M327" s="728">
        <f>IF(AO327="","",IF(N(INDEX(Theo_Doi_Tan_Suat_Be_Tong!$C:$C,AO327))&lt;=0,"",INDEX(Theo_Doi_Tan_Suat_Be_Tong!$C:$C,AO327)-VLOOKUP(AN327,$AQ$2:$AR$7,2,FALSE)))</f>
        <v/>
      </c>
      <c r="N327" s="4" t="n"/>
      <c r="O327" s="20">
        <f>IF(ROUNDUP(Q327/20,0)&gt;ROUNDUP(Q326/20,0),"TN Ø12 (Lần " &amp; ROUNDUP(Q327/20,0) &amp; ")","")</f>
        <v/>
      </c>
      <c r="P327" s="16">
        <f>ROUND(P326+IF(AND(E327&lt;=10,F327&lt;&gt;"ASTM A416"),L327,0),3)</f>
        <v/>
      </c>
      <c r="Q327" s="16">
        <f>ROUND(Q326+IF(AND(E327=12,F327&lt;&gt;"ASTM A416"),L327,0),3)</f>
        <v/>
      </c>
      <c r="R327" s="16">
        <f>ROUND(R326+IF(AND(E327=14,F327&lt;&gt;"ASTM A416"),L327,0),3)</f>
        <v/>
      </c>
      <c r="S327" s="16">
        <f>ROUND(S326+IF(AND(E327=16,F327&lt;&gt;"ASTM A416"),L327,0),3)</f>
        <v/>
      </c>
      <c r="T327" s="16">
        <f>ROUND(T326+IF(AND(E327=18,F327&lt;&gt;"ASTM A416"),L327,0),3)</f>
        <v/>
      </c>
      <c r="U327" s="16">
        <f>ROUND(U326+IF(AND(E327=20,F327&lt;&gt;"ASTM A416"),L327,0),3)</f>
        <v/>
      </c>
      <c r="V327" s="16">
        <f>ROUND(V326+IF(AND(E327=22,F327&lt;&gt;"ASTM A416"),L327,0),3)</f>
        <v/>
      </c>
      <c r="W327" s="16">
        <f>ROUND(W326+IF(AND(E327=25,F327&lt;&gt;"ASTM A416"),L327,0),3)</f>
        <v/>
      </c>
      <c r="X327" s="16">
        <f>ROUND(X326+IF(AND(E327=28,F327&lt;&gt;"ASTM A416"),L327,0),3)</f>
        <v/>
      </c>
      <c r="Y327" s="16">
        <f>ROUND(Y326+IF(AND(E327=32,F327&lt;&gt;"ASTM A416"),L327,0),3)</f>
        <v/>
      </c>
      <c r="Z327" s="16">
        <f>ROUND(Z326+IF(F327="ASTM A416",L327,0),3)</f>
        <v/>
      </c>
      <c r="AA327" s="9">
        <f>IF(ROUNDUP(P327/20,0)&gt;ROUNDUP(P326/20,0),"Lần " &amp; ROUNDUP(P327/20,0),"")</f>
        <v/>
      </c>
      <c r="AB327" s="9">
        <f>IF(ROUNDUP(Q327/20,0)&gt;ROUNDUP(Q326/20,0),"Lần " &amp; ROUNDUP(Q327/20,0),"")</f>
        <v/>
      </c>
      <c r="AC327" s="9">
        <f>IF(ROUNDUP(R327/20,0)&gt;ROUNDUP(R326/20,0),"Lần " &amp; ROUNDUP(R327/20,0),"")</f>
        <v/>
      </c>
      <c r="AD327" s="9">
        <f>IF(ROUNDUP(S327/20,0)&gt;ROUNDUP(S326/20,0),"Lần " &amp; ROUNDUP(S327/20,0),"")</f>
        <v/>
      </c>
      <c r="AE327" s="9">
        <f>IF(ROUNDUP(T327/20,0)&gt;ROUNDUP(T326/20,0),"Lần " &amp; ROUNDUP(T327/20,0),"")</f>
        <v/>
      </c>
      <c r="AF327" s="9">
        <f>IF(ROUNDUP(U327/20,0)&gt;ROUNDUP(U326/20,0),"Lần " &amp; ROUNDUP(U327/20,0),"")</f>
        <v/>
      </c>
      <c r="AG327" s="9">
        <f>IF(ROUNDUP(V327/20,0)&gt;ROUNDUP(V326/20,0),"Lần " &amp; ROUNDUP(V327/20,0),"")</f>
        <v/>
      </c>
      <c r="AH327" s="9">
        <f>IF(ROUNDUP(W327/20,0)&gt;ROUNDUP(W326/20,0),"Lần " &amp; ROUNDUP(W327/20,0),"")</f>
        <v/>
      </c>
      <c r="AI327" s="9">
        <f>IF(ROUNDUP(X327/20,0)&gt;ROUNDUP(X326/20,0),"Lần " &amp; ROUNDUP(X327/20,0),"")</f>
        <v/>
      </c>
      <c r="AJ327" s="9">
        <f>IF(ROUNDUP(Y327/20,0)&gt;ROUNDUP(Y326/20,0),"Lần " &amp; ROUNDUP(Y327/20,0),"")</f>
        <v/>
      </c>
      <c r="AK327" s="9">
        <f>IF(ROUNDUP(Z327/20,0)&gt;ROUNDUP(Z326/20,0),"Lần " &amp; ROUNDUP(Z327/20,0),"")</f>
        <v/>
      </c>
      <c r="AL327" s="4" t="n"/>
      <c r="AN327" s="596" t="inlineStr">
        <is>
          <t>Coc</t>
        </is>
      </c>
      <c r="AO327" s="596" t="n">
        <v>23</v>
      </c>
      <c r="AQ327" s="594" t="n"/>
      <c r="AR327" s="595" t="n"/>
    </row>
    <row r="328" ht="19" customHeight="1" s="672">
      <c r="A328" s="4" t="n">
        <v>306</v>
      </c>
      <c r="B328" s="5" t="inlineStr">
        <is>
          <t>Cọc khoan nhồi C4 Mố M2 (D1.2m, L=36.0m)</t>
        </is>
      </c>
      <c r="C328" s="5" t="inlineStr">
        <is>
          <t>Cọc mố M2 L=36m (tr.66)</t>
        </is>
      </c>
      <c r="D328" s="14" t="inlineStr">
        <is>
          <t>P10</t>
        </is>
      </c>
      <c r="E328" s="15" t="n">
        <v>20</v>
      </c>
      <c r="F328" s="4" t="inlineStr">
        <is>
          <t>CB400-V</t>
        </is>
      </c>
      <c r="G328" s="5" t="inlineStr"/>
      <c r="H328" s="16" t="n">
        <v>2.057</v>
      </c>
      <c r="I328" s="17" t="n">
        <v>1</v>
      </c>
      <c r="J328" s="18" t="n">
        <v>2.466</v>
      </c>
      <c r="K328" s="7">
        <f>ROUND(H328*I328*J328, 2)</f>
        <v/>
      </c>
      <c r="L328" s="19">
        <f>ROUND(K328/1000, 3)</f>
        <v/>
      </c>
      <c r="M328" s="728">
        <f>IF(AO328="","",IF(N(INDEX(Theo_Doi_Tan_Suat_Be_Tong!$C:$C,AO328))&lt;=0,"",INDEX(Theo_Doi_Tan_Suat_Be_Tong!$C:$C,AO328)-VLOOKUP(AN328,$AQ$2:$AR$7,2,FALSE)))</f>
        <v/>
      </c>
      <c r="N328" s="4" t="n"/>
      <c r="O328" s="20">
        <f>IF(ROUNDUP(U328/20,0)&gt;ROUNDUP(U327/20,0),"TN Ø20 (Lần " &amp; ROUNDUP(U328/20,0) &amp; ")","")</f>
        <v/>
      </c>
      <c r="P328" s="16">
        <f>ROUND(P327+IF(AND(E328&lt;=10,F328&lt;&gt;"ASTM A416"),L328,0),3)</f>
        <v/>
      </c>
      <c r="Q328" s="16">
        <f>ROUND(Q327+IF(AND(E328=12,F328&lt;&gt;"ASTM A416"),L328,0),3)</f>
        <v/>
      </c>
      <c r="R328" s="16">
        <f>ROUND(R327+IF(AND(E328=14,F328&lt;&gt;"ASTM A416"),L328,0),3)</f>
        <v/>
      </c>
      <c r="S328" s="16">
        <f>ROUND(S327+IF(AND(E328=16,F328&lt;&gt;"ASTM A416"),L328,0),3)</f>
        <v/>
      </c>
      <c r="T328" s="16">
        <f>ROUND(T327+IF(AND(E328=18,F328&lt;&gt;"ASTM A416"),L328,0),3)</f>
        <v/>
      </c>
      <c r="U328" s="16">
        <f>ROUND(U327+IF(AND(E328=20,F328&lt;&gt;"ASTM A416"),L328,0),3)</f>
        <v/>
      </c>
      <c r="V328" s="16">
        <f>ROUND(V327+IF(AND(E328=22,F328&lt;&gt;"ASTM A416"),L328,0),3)</f>
        <v/>
      </c>
      <c r="W328" s="16">
        <f>ROUND(W327+IF(AND(E328=25,F328&lt;&gt;"ASTM A416"),L328,0),3)</f>
        <v/>
      </c>
      <c r="X328" s="16">
        <f>ROUND(X327+IF(AND(E328=28,F328&lt;&gt;"ASTM A416"),L328,0),3)</f>
        <v/>
      </c>
      <c r="Y328" s="16">
        <f>ROUND(Y327+IF(AND(E328=32,F328&lt;&gt;"ASTM A416"),L328,0),3)</f>
        <v/>
      </c>
      <c r="Z328" s="16">
        <f>ROUND(Z327+IF(F328="ASTM A416",L328,0),3)</f>
        <v/>
      </c>
      <c r="AA328" s="9">
        <f>IF(ROUNDUP(P328/20,0)&gt;ROUNDUP(P327/20,0),"Lần " &amp; ROUNDUP(P328/20,0),"")</f>
        <v/>
      </c>
      <c r="AB328" s="9">
        <f>IF(ROUNDUP(Q328/20,0)&gt;ROUNDUP(Q327/20,0),"Lần " &amp; ROUNDUP(Q328/20,0),"")</f>
        <v/>
      </c>
      <c r="AC328" s="9">
        <f>IF(ROUNDUP(R328/20,0)&gt;ROUNDUP(R327/20,0),"Lần " &amp; ROUNDUP(R328/20,0),"")</f>
        <v/>
      </c>
      <c r="AD328" s="9">
        <f>IF(ROUNDUP(S328/20,0)&gt;ROUNDUP(S327/20,0),"Lần " &amp; ROUNDUP(S328/20,0),"")</f>
        <v/>
      </c>
      <c r="AE328" s="9">
        <f>IF(ROUNDUP(T328/20,0)&gt;ROUNDUP(T327/20,0),"Lần " &amp; ROUNDUP(T328/20,0),"")</f>
        <v/>
      </c>
      <c r="AF328" s="9">
        <f>IF(ROUNDUP(U328/20,0)&gt;ROUNDUP(U327/20,0),"Lần " &amp; ROUNDUP(U328/20,0),"")</f>
        <v/>
      </c>
      <c r="AG328" s="9">
        <f>IF(ROUNDUP(V328/20,0)&gt;ROUNDUP(V327/20,0),"Lần " &amp; ROUNDUP(V328/20,0),"")</f>
        <v/>
      </c>
      <c r="AH328" s="9">
        <f>IF(ROUNDUP(W328/20,0)&gt;ROUNDUP(W327/20,0),"Lần " &amp; ROUNDUP(W328/20,0),"")</f>
        <v/>
      </c>
      <c r="AI328" s="9">
        <f>IF(ROUNDUP(X328/20,0)&gt;ROUNDUP(X327/20,0),"Lần " &amp; ROUNDUP(X328/20,0),"")</f>
        <v/>
      </c>
      <c r="AJ328" s="9">
        <f>IF(ROUNDUP(Y328/20,0)&gt;ROUNDUP(Y327/20,0),"Lần " &amp; ROUNDUP(Y328/20,0),"")</f>
        <v/>
      </c>
      <c r="AK328" s="9">
        <f>IF(ROUNDUP(Z328/20,0)&gt;ROUNDUP(Z327/20,0),"Lần " &amp; ROUNDUP(Z328/20,0),"")</f>
        <v/>
      </c>
      <c r="AL328" s="4" t="n"/>
      <c r="AN328" s="596" t="inlineStr">
        <is>
          <t>Coc</t>
        </is>
      </c>
      <c r="AO328" s="596" t="n">
        <v>23</v>
      </c>
      <c r="AQ328" s="594" t="n"/>
      <c r="AR328" s="595" t="n"/>
    </row>
    <row r="329" ht="19" customHeight="1" s="672">
      <c r="A329" s="4" t="n">
        <v>307</v>
      </c>
      <c r="B329" s="5" t="inlineStr">
        <is>
          <t>Cọc khoan nhồi C4 Mố M2 (D1.2m, L=36.0m)</t>
        </is>
      </c>
      <c r="C329" s="5" t="inlineStr">
        <is>
          <t>Cọc mố M2 L=36m (tr.66)</t>
        </is>
      </c>
      <c r="D329" s="14" t="inlineStr">
        <is>
          <t>P12</t>
        </is>
      </c>
      <c r="E329" s="15" t="n">
        <v>20</v>
      </c>
      <c r="F329" s="4" t="inlineStr">
        <is>
          <t>CB400-V</t>
        </is>
      </c>
      <c r="G329" s="5" t="inlineStr"/>
      <c r="H329" s="16" t="n">
        <v>0.583</v>
      </c>
      <c r="I329" s="17" t="n">
        <v>60</v>
      </c>
      <c r="J329" s="18" t="n">
        <v>2.466</v>
      </c>
      <c r="K329" s="7">
        <f>ROUND(H329*I329*J329, 2)</f>
        <v/>
      </c>
      <c r="L329" s="19">
        <f>ROUND(K329/1000, 3)</f>
        <v/>
      </c>
      <c r="M329" s="728">
        <f>IF(AO329="","",IF(N(INDEX(Theo_Doi_Tan_Suat_Be_Tong!$C:$C,AO329))&lt;=0,"",INDEX(Theo_Doi_Tan_Suat_Be_Tong!$C:$C,AO329)-VLOOKUP(AN329,$AQ$2:$AR$7,2,FALSE)))</f>
        <v/>
      </c>
      <c r="N329" s="4" t="n"/>
      <c r="O329" s="20">
        <f>IF(ROUNDUP(U329/20,0)&gt;ROUNDUP(U328/20,0),"TN Ø20 (Lần " &amp; ROUNDUP(U329/20,0) &amp; ")","")</f>
        <v/>
      </c>
      <c r="P329" s="16">
        <f>ROUND(P328+IF(AND(E329&lt;=10,F329&lt;&gt;"ASTM A416"),L329,0),3)</f>
        <v/>
      </c>
      <c r="Q329" s="16">
        <f>ROUND(Q328+IF(AND(E329=12,F329&lt;&gt;"ASTM A416"),L329,0),3)</f>
        <v/>
      </c>
      <c r="R329" s="16">
        <f>ROUND(R328+IF(AND(E329=14,F329&lt;&gt;"ASTM A416"),L329,0),3)</f>
        <v/>
      </c>
      <c r="S329" s="16">
        <f>ROUND(S328+IF(AND(E329=16,F329&lt;&gt;"ASTM A416"),L329,0),3)</f>
        <v/>
      </c>
      <c r="T329" s="16">
        <f>ROUND(T328+IF(AND(E329=18,F329&lt;&gt;"ASTM A416"),L329,0),3)</f>
        <v/>
      </c>
      <c r="U329" s="16">
        <f>ROUND(U328+IF(AND(E329=20,F329&lt;&gt;"ASTM A416"),L329,0),3)</f>
        <v/>
      </c>
      <c r="V329" s="16">
        <f>ROUND(V328+IF(AND(E329=22,F329&lt;&gt;"ASTM A416"),L329,0),3)</f>
        <v/>
      </c>
      <c r="W329" s="16">
        <f>ROUND(W328+IF(AND(E329=25,F329&lt;&gt;"ASTM A416"),L329,0),3)</f>
        <v/>
      </c>
      <c r="X329" s="16">
        <f>ROUND(X328+IF(AND(E329=28,F329&lt;&gt;"ASTM A416"),L329,0),3)</f>
        <v/>
      </c>
      <c r="Y329" s="16">
        <f>ROUND(Y328+IF(AND(E329=32,F329&lt;&gt;"ASTM A416"),L329,0),3)</f>
        <v/>
      </c>
      <c r="Z329" s="16">
        <f>ROUND(Z328+IF(F329="ASTM A416",L329,0),3)</f>
        <v/>
      </c>
      <c r="AA329" s="9">
        <f>IF(ROUNDUP(P329/20,0)&gt;ROUNDUP(P328/20,0),"Lần " &amp; ROUNDUP(P329/20,0),"")</f>
        <v/>
      </c>
      <c r="AB329" s="9">
        <f>IF(ROUNDUP(Q329/20,0)&gt;ROUNDUP(Q328/20,0),"Lần " &amp; ROUNDUP(Q329/20,0),"")</f>
        <v/>
      </c>
      <c r="AC329" s="9">
        <f>IF(ROUNDUP(R329/20,0)&gt;ROUNDUP(R328/20,0),"Lần " &amp; ROUNDUP(R329/20,0),"")</f>
        <v/>
      </c>
      <c r="AD329" s="9">
        <f>IF(ROUNDUP(S329/20,0)&gt;ROUNDUP(S328/20,0),"Lần " &amp; ROUNDUP(S329/20,0),"")</f>
        <v/>
      </c>
      <c r="AE329" s="9">
        <f>IF(ROUNDUP(T329/20,0)&gt;ROUNDUP(T328/20,0),"Lần " &amp; ROUNDUP(T329/20,0),"")</f>
        <v/>
      </c>
      <c r="AF329" s="9">
        <f>IF(ROUNDUP(U329/20,0)&gt;ROUNDUP(U328/20,0),"Lần " &amp; ROUNDUP(U329/20,0),"")</f>
        <v/>
      </c>
      <c r="AG329" s="9">
        <f>IF(ROUNDUP(V329/20,0)&gt;ROUNDUP(V328/20,0),"Lần " &amp; ROUNDUP(V329/20,0),"")</f>
        <v/>
      </c>
      <c r="AH329" s="9">
        <f>IF(ROUNDUP(W329/20,0)&gt;ROUNDUP(W328/20,0),"Lần " &amp; ROUNDUP(W329/20,0),"")</f>
        <v/>
      </c>
      <c r="AI329" s="9">
        <f>IF(ROUNDUP(X329/20,0)&gt;ROUNDUP(X328/20,0),"Lần " &amp; ROUNDUP(X329/20,0),"")</f>
        <v/>
      </c>
      <c r="AJ329" s="9">
        <f>IF(ROUNDUP(Y329/20,0)&gt;ROUNDUP(Y328/20,0),"Lần " &amp; ROUNDUP(Y329/20,0),"")</f>
        <v/>
      </c>
      <c r="AK329" s="9">
        <f>IF(ROUNDUP(Z329/20,0)&gt;ROUNDUP(Z328/20,0),"Lần " &amp; ROUNDUP(Z329/20,0),"")</f>
        <v/>
      </c>
      <c r="AL329" s="4" t="n"/>
      <c r="AN329" s="596" t="inlineStr">
        <is>
          <t>Coc</t>
        </is>
      </c>
      <c r="AO329" s="596" t="n">
        <v>23</v>
      </c>
      <c r="AQ329" s="594" t="n"/>
      <c r="AR329" s="595" t="n"/>
    </row>
    <row r="330" ht="19" customHeight="1" s="672">
      <c r="A330" s="4" t="n">
        <v>308</v>
      </c>
      <c r="B330" s="5" t="inlineStr">
        <is>
          <t>Cọc khoan nhồi C4 Mố M2 (D1.2m, L=36.0m)</t>
        </is>
      </c>
      <c r="C330" s="5" t="inlineStr">
        <is>
          <t>Cọc mố M2 L=36m (tr.66)</t>
        </is>
      </c>
      <c r="D330" s="14" t="inlineStr">
        <is>
          <t>P11</t>
        </is>
      </c>
      <c r="E330" s="15" t="n">
        <v>16</v>
      </c>
      <c r="F330" s="4" t="inlineStr">
        <is>
          <t>CB400-V</t>
        </is>
      </c>
      <c r="G330" s="5" t="inlineStr"/>
      <c r="H330" s="16" t="n">
        <v>2.484</v>
      </c>
      <c r="I330" s="17" t="n">
        <v>4</v>
      </c>
      <c r="J330" s="18" t="n">
        <v>1.578</v>
      </c>
      <c r="K330" s="7">
        <f>ROUND(H330*I330*J330, 2)</f>
        <v/>
      </c>
      <c r="L330" s="19">
        <f>ROUND(K330/1000, 3)</f>
        <v/>
      </c>
      <c r="M330" s="728">
        <f>IF(AO330="","",IF(N(INDEX(Theo_Doi_Tan_Suat_Be_Tong!$C:$C,AO330))&lt;=0,"",INDEX(Theo_Doi_Tan_Suat_Be_Tong!$C:$C,AO330)-VLOOKUP(AN330,$AQ$2:$AR$7,2,FALSE)))</f>
        <v/>
      </c>
      <c r="N330" s="4" t="n"/>
      <c r="O330" s="20">
        <f>IF(ROUNDUP(S330/20,0)&gt;ROUNDUP(S329/20,0),"TN Ø16 (Lần " &amp; ROUNDUP(S330/20,0) &amp; ")","")</f>
        <v/>
      </c>
      <c r="P330" s="16">
        <f>ROUND(P329+IF(AND(E330&lt;=10,F330&lt;&gt;"ASTM A416"),L330,0),3)</f>
        <v/>
      </c>
      <c r="Q330" s="16">
        <f>ROUND(Q329+IF(AND(E330=12,F330&lt;&gt;"ASTM A416"),L330,0),3)</f>
        <v/>
      </c>
      <c r="R330" s="16">
        <f>ROUND(R329+IF(AND(E330=14,F330&lt;&gt;"ASTM A416"),L330,0),3)</f>
        <v/>
      </c>
      <c r="S330" s="16">
        <f>ROUND(S329+IF(AND(E330=16,F330&lt;&gt;"ASTM A416"),L330,0),3)</f>
        <v/>
      </c>
      <c r="T330" s="16">
        <f>ROUND(T329+IF(AND(E330=18,F330&lt;&gt;"ASTM A416"),L330,0),3)</f>
        <v/>
      </c>
      <c r="U330" s="16">
        <f>ROUND(U329+IF(AND(E330=20,F330&lt;&gt;"ASTM A416"),L330,0),3)</f>
        <v/>
      </c>
      <c r="V330" s="16">
        <f>ROUND(V329+IF(AND(E330=22,F330&lt;&gt;"ASTM A416"),L330,0),3)</f>
        <v/>
      </c>
      <c r="W330" s="16">
        <f>ROUND(W329+IF(AND(E330=25,F330&lt;&gt;"ASTM A416"),L330,0),3)</f>
        <v/>
      </c>
      <c r="X330" s="16">
        <f>ROUND(X329+IF(AND(E330=28,F330&lt;&gt;"ASTM A416"),L330,0),3)</f>
        <v/>
      </c>
      <c r="Y330" s="16">
        <f>ROUND(Y329+IF(AND(E330=32,F330&lt;&gt;"ASTM A416"),L330,0),3)</f>
        <v/>
      </c>
      <c r="Z330" s="16">
        <f>ROUND(Z329+IF(F330="ASTM A416",L330,0),3)</f>
        <v/>
      </c>
      <c r="AA330" s="9">
        <f>IF(ROUNDUP(P330/20,0)&gt;ROUNDUP(P329/20,0),"Lần " &amp; ROUNDUP(P330/20,0),"")</f>
        <v/>
      </c>
      <c r="AB330" s="9">
        <f>IF(ROUNDUP(Q330/20,0)&gt;ROUNDUP(Q329/20,0),"Lần " &amp; ROUNDUP(Q330/20,0),"")</f>
        <v/>
      </c>
      <c r="AC330" s="9">
        <f>IF(ROUNDUP(R330/20,0)&gt;ROUNDUP(R329/20,0),"Lần " &amp; ROUNDUP(R330/20,0),"")</f>
        <v/>
      </c>
      <c r="AD330" s="9">
        <f>IF(ROUNDUP(S330/20,0)&gt;ROUNDUP(S329/20,0),"Lần " &amp; ROUNDUP(S330/20,0),"")</f>
        <v/>
      </c>
      <c r="AE330" s="9">
        <f>IF(ROUNDUP(T330/20,0)&gt;ROUNDUP(T329/20,0),"Lần " &amp; ROUNDUP(T330/20,0),"")</f>
        <v/>
      </c>
      <c r="AF330" s="9">
        <f>IF(ROUNDUP(U330/20,0)&gt;ROUNDUP(U329/20,0),"Lần " &amp; ROUNDUP(U330/20,0),"")</f>
        <v/>
      </c>
      <c r="AG330" s="9">
        <f>IF(ROUNDUP(V330/20,0)&gt;ROUNDUP(V329/20,0),"Lần " &amp; ROUNDUP(V330/20,0),"")</f>
        <v/>
      </c>
      <c r="AH330" s="9">
        <f>IF(ROUNDUP(W330/20,0)&gt;ROUNDUP(W329/20,0),"Lần " &amp; ROUNDUP(W330/20,0),"")</f>
        <v/>
      </c>
      <c r="AI330" s="9">
        <f>IF(ROUNDUP(X330/20,0)&gt;ROUNDUP(X329/20,0),"Lần " &amp; ROUNDUP(X330/20,0),"")</f>
        <v/>
      </c>
      <c r="AJ330" s="9">
        <f>IF(ROUNDUP(Y330/20,0)&gt;ROUNDUP(Y329/20,0),"Lần " &amp; ROUNDUP(Y330/20,0),"")</f>
        <v/>
      </c>
      <c r="AK330" s="9">
        <f>IF(ROUNDUP(Z330/20,0)&gt;ROUNDUP(Z329/20,0),"Lần " &amp; ROUNDUP(Z330/20,0),"")</f>
        <v/>
      </c>
      <c r="AL330" s="4" t="n"/>
      <c r="AN330" s="596" t="inlineStr">
        <is>
          <t>Coc</t>
        </is>
      </c>
      <c r="AO330" s="596" t="n">
        <v>23</v>
      </c>
      <c r="AQ330" s="594" t="n"/>
      <c r="AR330" s="595" t="n"/>
    </row>
    <row r="331" ht="19" customHeight="1" s="672">
      <c r="A331" s="668" t="inlineStr">
        <is>
          <t>--- CỌC KHOAN NHỒI C6 MỐ M2 (D1.2M, L=36.0M) ---</t>
        </is>
      </c>
      <c r="B331" s="722" t="n"/>
      <c r="C331" s="722" t="n"/>
      <c r="D331" s="722" t="n"/>
      <c r="E331" s="722" t="n"/>
      <c r="F331" s="722" t="n"/>
      <c r="G331" s="722" t="n"/>
      <c r="H331" s="722" t="n"/>
      <c r="I331" s="722" t="n"/>
      <c r="J331" s="722" t="n"/>
      <c r="K331" s="722" t="n"/>
      <c r="L331" s="722" t="n"/>
      <c r="M331" s="722" t="n"/>
      <c r="N331" s="722" t="n"/>
      <c r="O331" s="722" t="n"/>
      <c r="P331" s="722" t="n"/>
      <c r="Q331" s="722" t="n"/>
      <c r="R331" s="722" t="n"/>
      <c r="S331" s="722" t="n"/>
      <c r="T331" s="722" t="n"/>
      <c r="U331" s="722" t="n"/>
      <c r="V331" s="722" t="n"/>
      <c r="W331" s="722" t="n"/>
      <c r="X331" s="722" t="n"/>
      <c r="Y331" s="722" t="n"/>
      <c r="Z331" s="722" t="n"/>
      <c r="AA331" s="722" t="n"/>
      <c r="AB331" s="722" t="n"/>
      <c r="AC331" s="722" t="n"/>
      <c r="AD331" s="722" t="n"/>
      <c r="AE331" s="722" t="n"/>
      <c r="AF331" s="722" t="n"/>
      <c r="AG331" s="722" t="n"/>
      <c r="AH331" s="722" t="n"/>
      <c r="AI331" s="722" t="n"/>
      <c r="AJ331" s="722" t="n"/>
      <c r="AK331" s="722" t="n"/>
      <c r="AL331" s="721" t="n"/>
      <c r="AQ331" s="594" t="n"/>
      <c r="AR331" s="595" t="n"/>
    </row>
    <row r="332" ht="19" customHeight="1" s="672">
      <c r="A332" s="4" t="n">
        <v>309</v>
      </c>
      <c r="B332" s="5" t="inlineStr">
        <is>
          <t>Cọc khoan nhồi C6 Mố M2 (D1.2m, L=36.0m)</t>
        </is>
      </c>
      <c r="C332" s="5" t="inlineStr">
        <is>
          <t>Cọc mố M2 L=36m (tr.66)</t>
        </is>
      </c>
      <c r="D332" s="14" t="inlineStr">
        <is>
          <t>P1</t>
        </is>
      </c>
      <c r="E332" s="15" t="n">
        <v>10</v>
      </c>
      <c r="F332" s="4" t="inlineStr">
        <is>
          <t>CB240-T</t>
        </is>
      </c>
      <c r="G332" s="5" t="inlineStr"/>
      <c r="H332" s="16" t="n">
        <v>96.887</v>
      </c>
      <c r="I332" s="17" t="n">
        <v>1</v>
      </c>
      <c r="J332" s="18" t="n">
        <v>0.617</v>
      </c>
      <c r="K332" s="7">
        <f>ROUND(H332*I332*J332, 2)</f>
        <v/>
      </c>
      <c r="L332" s="19">
        <f>ROUND(K332/1000, 3)</f>
        <v/>
      </c>
      <c r="M332" s="728">
        <f>IF(AO332="","",IF(N(INDEX(Theo_Doi_Tan_Suat_Be_Tong!$C:$C,AO332))&lt;=0,"",INDEX(Theo_Doi_Tan_Suat_Be_Tong!$C:$C,AO332)-VLOOKUP(AN332,$AQ$2:$AR$7,2,FALSE)))</f>
        <v/>
      </c>
      <c r="N332" s="4" t="n"/>
      <c r="O332" s="20">
        <f>IF(ROUNDUP(P332/20,0)&gt;ROUNDUP(P330/20,0),"TN Ø10 (Lần " &amp; ROUNDUP(P332/20,0) &amp; ")","")</f>
        <v/>
      </c>
      <c r="P332" s="16">
        <f>ROUND(P330+IF(AND(E332&lt;=10,F332&lt;&gt;"ASTM A416"),L332,0),3)</f>
        <v/>
      </c>
      <c r="Q332" s="16">
        <f>ROUND(Q330+IF(AND(E332=12,F332&lt;&gt;"ASTM A416"),L332,0),3)</f>
        <v/>
      </c>
      <c r="R332" s="16">
        <f>ROUND(R330+IF(AND(E332=14,F332&lt;&gt;"ASTM A416"),L332,0),3)</f>
        <v/>
      </c>
      <c r="S332" s="16">
        <f>ROUND(S330+IF(AND(E332=16,F332&lt;&gt;"ASTM A416"),L332,0),3)</f>
        <v/>
      </c>
      <c r="T332" s="16">
        <f>ROUND(T330+IF(AND(E332=18,F332&lt;&gt;"ASTM A416"),L332,0),3)</f>
        <v/>
      </c>
      <c r="U332" s="16">
        <f>ROUND(U330+IF(AND(E332=20,F332&lt;&gt;"ASTM A416"),L332,0),3)</f>
        <v/>
      </c>
      <c r="V332" s="16">
        <f>ROUND(V330+IF(AND(E332=22,F332&lt;&gt;"ASTM A416"),L332,0),3)</f>
        <v/>
      </c>
      <c r="W332" s="16">
        <f>ROUND(W330+IF(AND(E332=25,F332&lt;&gt;"ASTM A416"),L332,0),3)</f>
        <v/>
      </c>
      <c r="X332" s="16">
        <f>ROUND(X330+IF(AND(E332=28,F332&lt;&gt;"ASTM A416"),L332,0),3)</f>
        <v/>
      </c>
      <c r="Y332" s="16">
        <f>ROUND(Y330+IF(AND(E332=32,F332&lt;&gt;"ASTM A416"),L332,0),3)</f>
        <v/>
      </c>
      <c r="Z332" s="16">
        <f>ROUND(Z330+IF(F332="ASTM A416",L332,0),3)</f>
        <v/>
      </c>
      <c r="AA332" s="9">
        <f>IF(ROUNDUP(P332/20,0)&gt;ROUNDUP(P330/20,0),"Lần " &amp; ROUNDUP(P332/20,0),"")</f>
        <v/>
      </c>
      <c r="AB332" s="9">
        <f>IF(ROUNDUP(Q332/20,0)&gt;ROUNDUP(Q330/20,0),"Lần " &amp; ROUNDUP(Q332/20,0),"")</f>
        <v/>
      </c>
      <c r="AC332" s="9">
        <f>IF(ROUNDUP(R332/20,0)&gt;ROUNDUP(R330/20,0),"Lần " &amp; ROUNDUP(R332/20,0),"")</f>
        <v/>
      </c>
      <c r="AD332" s="9">
        <f>IF(ROUNDUP(S332/20,0)&gt;ROUNDUP(S330/20,0),"Lần " &amp; ROUNDUP(S332/20,0),"")</f>
        <v/>
      </c>
      <c r="AE332" s="9">
        <f>IF(ROUNDUP(T332/20,0)&gt;ROUNDUP(T330/20,0),"Lần " &amp; ROUNDUP(T332/20,0),"")</f>
        <v/>
      </c>
      <c r="AF332" s="9">
        <f>IF(ROUNDUP(U332/20,0)&gt;ROUNDUP(U330/20,0),"Lần " &amp; ROUNDUP(U332/20,0),"")</f>
        <v/>
      </c>
      <c r="AG332" s="9">
        <f>IF(ROUNDUP(V332/20,0)&gt;ROUNDUP(V330/20,0),"Lần " &amp; ROUNDUP(V332/20,0),"")</f>
        <v/>
      </c>
      <c r="AH332" s="9">
        <f>IF(ROUNDUP(W332/20,0)&gt;ROUNDUP(W330/20,0),"Lần " &amp; ROUNDUP(W332/20,0),"")</f>
        <v/>
      </c>
      <c r="AI332" s="9">
        <f>IF(ROUNDUP(X332/20,0)&gt;ROUNDUP(X330/20,0),"Lần " &amp; ROUNDUP(X332/20,0),"")</f>
        <v/>
      </c>
      <c r="AJ332" s="9">
        <f>IF(ROUNDUP(Y332/20,0)&gt;ROUNDUP(Y330/20,0),"Lần " &amp; ROUNDUP(Y332/20,0),"")</f>
        <v/>
      </c>
      <c r="AK332" s="9">
        <f>IF(ROUNDUP(Z332/20,0)&gt;ROUNDUP(Z330/20,0),"Lần " &amp; ROUNDUP(Z332/20,0),"")</f>
        <v/>
      </c>
      <c r="AL332" s="4" t="n"/>
      <c r="AN332" s="596" t="inlineStr">
        <is>
          <t>Coc</t>
        </is>
      </c>
      <c r="AO332" s="596" t="n">
        <v>24</v>
      </c>
      <c r="AQ332" s="594" t="n"/>
      <c r="AR332" s="595" t="n"/>
    </row>
    <row r="333" ht="19" customHeight="1" s="672">
      <c r="A333" s="4" t="n">
        <v>310</v>
      </c>
      <c r="B333" s="5" t="inlineStr">
        <is>
          <t>Cọc khoan nhồi C6 Mố M2 (D1.2m, L=36.0m)</t>
        </is>
      </c>
      <c r="C333" s="5" t="inlineStr">
        <is>
          <t>Cọc mố M2 L=36m (tr.66)</t>
        </is>
      </c>
      <c r="D333" s="14" t="inlineStr">
        <is>
          <t>P1A</t>
        </is>
      </c>
      <c r="E333" s="15" t="n">
        <v>10</v>
      </c>
      <c r="F333" s="4" t="inlineStr">
        <is>
          <t>CB240-T</t>
        </is>
      </c>
      <c r="G333" s="5" t="inlineStr"/>
      <c r="H333" s="16" t="n">
        <v>390.776</v>
      </c>
      <c r="I333" s="17" t="n">
        <v>1</v>
      </c>
      <c r="J333" s="18" t="n">
        <v>0.617</v>
      </c>
      <c r="K333" s="7">
        <f>ROUND(H333*I333*J333, 2)</f>
        <v/>
      </c>
      <c r="L333" s="19">
        <f>ROUND(K333/1000, 3)</f>
        <v/>
      </c>
      <c r="M333" s="728">
        <f>IF(AO333="","",IF(N(INDEX(Theo_Doi_Tan_Suat_Be_Tong!$C:$C,AO333))&lt;=0,"",INDEX(Theo_Doi_Tan_Suat_Be_Tong!$C:$C,AO333)-VLOOKUP(AN333,$AQ$2:$AR$7,2,FALSE)))</f>
        <v/>
      </c>
      <c r="N333" s="4" t="n"/>
      <c r="O333" s="20">
        <f>IF(ROUNDUP(P333/20,0)&gt;ROUNDUP(P332/20,0),"TN Ø10 (Lần " &amp; ROUNDUP(P333/20,0) &amp; ")","")</f>
        <v/>
      </c>
      <c r="P333" s="16">
        <f>ROUND(P332+IF(AND(E333&lt;=10,F333&lt;&gt;"ASTM A416"),L333,0),3)</f>
        <v/>
      </c>
      <c r="Q333" s="16">
        <f>ROUND(Q332+IF(AND(E333=12,F333&lt;&gt;"ASTM A416"),L333,0),3)</f>
        <v/>
      </c>
      <c r="R333" s="16">
        <f>ROUND(R332+IF(AND(E333=14,F333&lt;&gt;"ASTM A416"),L333,0),3)</f>
        <v/>
      </c>
      <c r="S333" s="16">
        <f>ROUND(S332+IF(AND(E333=16,F333&lt;&gt;"ASTM A416"),L333,0),3)</f>
        <v/>
      </c>
      <c r="T333" s="16">
        <f>ROUND(T332+IF(AND(E333=18,F333&lt;&gt;"ASTM A416"),L333,0),3)</f>
        <v/>
      </c>
      <c r="U333" s="16">
        <f>ROUND(U332+IF(AND(E333=20,F333&lt;&gt;"ASTM A416"),L333,0),3)</f>
        <v/>
      </c>
      <c r="V333" s="16">
        <f>ROUND(V332+IF(AND(E333=22,F333&lt;&gt;"ASTM A416"),L333,0),3)</f>
        <v/>
      </c>
      <c r="W333" s="16">
        <f>ROUND(W332+IF(AND(E333=25,F333&lt;&gt;"ASTM A416"),L333,0),3)</f>
        <v/>
      </c>
      <c r="X333" s="16">
        <f>ROUND(X332+IF(AND(E333=28,F333&lt;&gt;"ASTM A416"),L333,0),3)</f>
        <v/>
      </c>
      <c r="Y333" s="16">
        <f>ROUND(Y332+IF(AND(E333=32,F333&lt;&gt;"ASTM A416"),L333,0),3)</f>
        <v/>
      </c>
      <c r="Z333" s="16">
        <f>ROUND(Z332+IF(F333="ASTM A416",L333,0),3)</f>
        <v/>
      </c>
      <c r="AA333" s="9">
        <f>IF(ROUNDUP(P333/20,0)&gt;ROUNDUP(P332/20,0),"Lần " &amp; ROUNDUP(P333/20,0),"")</f>
        <v/>
      </c>
      <c r="AB333" s="9">
        <f>IF(ROUNDUP(Q333/20,0)&gt;ROUNDUP(Q332/20,0),"Lần " &amp; ROUNDUP(Q333/20,0),"")</f>
        <v/>
      </c>
      <c r="AC333" s="9">
        <f>IF(ROUNDUP(R333/20,0)&gt;ROUNDUP(R332/20,0),"Lần " &amp; ROUNDUP(R333/20,0),"")</f>
        <v/>
      </c>
      <c r="AD333" s="9">
        <f>IF(ROUNDUP(S333/20,0)&gt;ROUNDUP(S332/20,0),"Lần " &amp; ROUNDUP(S333/20,0),"")</f>
        <v/>
      </c>
      <c r="AE333" s="9">
        <f>IF(ROUNDUP(T333/20,0)&gt;ROUNDUP(T332/20,0),"Lần " &amp; ROUNDUP(T333/20,0),"")</f>
        <v/>
      </c>
      <c r="AF333" s="9">
        <f>IF(ROUNDUP(U333/20,0)&gt;ROUNDUP(U332/20,0),"Lần " &amp; ROUNDUP(U333/20,0),"")</f>
        <v/>
      </c>
      <c r="AG333" s="9">
        <f>IF(ROUNDUP(V333/20,0)&gt;ROUNDUP(V332/20,0),"Lần " &amp; ROUNDUP(V333/20,0),"")</f>
        <v/>
      </c>
      <c r="AH333" s="9">
        <f>IF(ROUNDUP(W333/20,0)&gt;ROUNDUP(W332/20,0),"Lần " &amp; ROUNDUP(W333/20,0),"")</f>
        <v/>
      </c>
      <c r="AI333" s="9">
        <f>IF(ROUNDUP(X333/20,0)&gt;ROUNDUP(X332/20,0),"Lần " &amp; ROUNDUP(X333/20,0),"")</f>
        <v/>
      </c>
      <c r="AJ333" s="9">
        <f>IF(ROUNDUP(Y333/20,0)&gt;ROUNDUP(Y332/20,0),"Lần " &amp; ROUNDUP(Y333/20,0),"")</f>
        <v/>
      </c>
      <c r="AK333" s="9">
        <f>IF(ROUNDUP(Z333/20,0)&gt;ROUNDUP(Z332/20,0),"Lần " &amp; ROUNDUP(Z333/20,0),"")</f>
        <v/>
      </c>
      <c r="AL333" s="4" t="n"/>
      <c r="AN333" s="596" t="inlineStr">
        <is>
          <t>Coc</t>
        </is>
      </c>
      <c r="AO333" s="596" t="n">
        <v>24</v>
      </c>
      <c r="AQ333" s="594" t="n"/>
      <c r="AR333" s="595" t="n"/>
    </row>
    <row r="334" ht="19" customHeight="1" s="672">
      <c r="A334" s="4" t="n">
        <v>311</v>
      </c>
      <c r="B334" s="5" t="inlineStr">
        <is>
          <t>Cọc khoan nhồi C6 Mố M2 (D1.2m, L=36.0m)</t>
        </is>
      </c>
      <c r="C334" s="5" t="inlineStr">
        <is>
          <t>Cọc mố M2 L=36m (tr.66)</t>
        </is>
      </c>
      <c r="D334" s="14" t="inlineStr">
        <is>
          <t>P1B</t>
        </is>
      </c>
      <c r="E334" s="15" t="n">
        <v>10</v>
      </c>
      <c r="F334" s="4" t="inlineStr">
        <is>
          <t>CB240-T</t>
        </is>
      </c>
      <c r="G334" s="5" t="inlineStr"/>
      <c r="H334" s="16" t="n">
        <v>164.938</v>
      </c>
      <c r="I334" s="17" t="n">
        <v>1</v>
      </c>
      <c r="J334" s="18" t="n">
        <v>0.617</v>
      </c>
      <c r="K334" s="7">
        <f>ROUND(H334*I334*J334, 2)</f>
        <v/>
      </c>
      <c r="L334" s="19">
        <f>ROUND(K334/1000, 3)</f>
        <v/>
      </c>
      <c r="M334" s="728">
        <f>IF(AO334="","",IF(N(INDEX(Theo_Doi_Tan_Suat_Be_Tong!$C:$C,AO334))&lt;=0,"",INDEX(Theo_Doi_Tan_Suat_Be_Tong!$C:$C,AO334)-VLOOKUP(AN334,$AQ$2:$AR$7,2,FALSE)))</f>
        <v/>
      </c>
      <c r="N334" s="4" t="n"/>
      <c r="O334" s="20">
        <f>IF(ROUNDUP(P334/20,0)&gt;ROUNDUP(P333/20,0),"TN Ø10 (Lần " &amp; ROUNDUP(P334/20,0) &amp; ")","")</f>
        <v/>
      </c>
      <c r="P334" s="16">
        <f>ROUND(P333+IF(AND(E334&lt;=10,F334&lt;&gt;"ASTM A416"),L334,0),3)</f>
        <v/>
      </c>
      <c r="Q334" s="16">
        <f>ROUND(Q333+IF(AND(E334=12,F334&lt;&gt;"ASTM A416"),L334,0),3)</f>
        <v/>
      </c>
      <c r="R334" s="16">
        <f>ROUND(R333+IF(AND(E334=14,F334&lt;&gt;"ASTM A416"),L334,0),3)</f>
        <v/>
      </c>
      <c r="S334" s="16">
        <f>ROUND(S333+IF(AND(E334=16,F334&lt;&gt;"ASTM A416"),L334,0),3)</f>
        <v/>
      </c>
      <c r="T334" s="16">
        <f>ROUND(T333+IF(AND(E334=18,F334&lt;&gt;"ASTM A416"),L334,0),3)</f>
        <v/>
      </c>
      <c r="U334" s="16">
        <f>ROUND(U333+IF(AND(E334=20,F334&lt;&gt;"ASTM A416"),L334,0),3)</f>
        <v/>
      </c>
      <c r="V334" s="16">
        <f>ROUND(V333+IF(AND(E334=22,F334&lt;&gt;"ASTM A416"),L334,0),3)</f>
        <v/>
      </c>
      <c r="W334" s="16">
        <f>ROUND(W333+IF(AND(E334=25,F334&lt;&gt;"ASTM A416"),L334,0),3)</f>
        <v/>
      </c>
      <c r="X334" s="16">
        <f>ROUND(X333+IF(AND(E334=28,F334&lt;&gt;"ASTM A416"),L334,0),3)</f>
        <v/>
      </c>
      <c r="Y334" s="16">
        <f>ROUND(Y333+IF(AND(E334=32,F334&lt;&gt;"ASTM A416"),L334,0),3)</f>
        <v/>
      </c>
      <c r="Z334" s="16">
        <f>ROUND(Z333+IF(F334="ASTM A416",L334,0),3)</f>
        <v/>
      </c>
      <c r="AA334" s="9">
        <f>IF(ROUNDUP(P334/20,0)&gt;ROUNDUP(P333/20,0),"Lần " &amp; ROUNDUP(P334/20,0),"")</f>
        <v/>
      </c>
      <c r="AB334" s="9">
        <f>IF(ROUNDUP(Q334/20,0)&gt;ROUNDUP(Q333/20,0),"Lần " &amp; ROUNDUP(Q334/20,0),"")</f>
        <v/>
      </c>
      <c r="AC334" s="9">
        <f>IF(ROUNDUP(R334/20,0)&gt;ROUNDUP(R333/20,0),"Lần " &amp; ROUNDUP(R334/20,0),"")</f>
        <v/>
      </c>
      <c r="AD334" s="9">
        <f>IF(ROUNDUP(S334/20,0)&gt;ROUNDUP(S333/20,0),"Lần " &amp; ROUNDUP(S334/20,0),"")</f>
        <v/>
      </c>
      <c r="AE334" s="9">
        <f>IF(ROUNDUP(T334/20,0)&gt;ROUNDUP(T333/20,0),"Lần " &amp; ROUNDUP(T334/20,0),"")</f>
        <v/>
      </c>
      <c r="AF334" s="9">
        <f>IF(ROUNDUP(U334/20,0)&gt;ROUNDUP(U333/20,0),"Lần " &amp; ROUNDUP(U334/20,0),"")</f>
        <v/>
      </c>
      <c r="AG334" s="9">
        <f>IF(ROUNDUP(V334/20,0)&gt;ROUNDUP(V333/20,0),"Lần " &amp; ROUNDUP(V334/20,0),"")</f>
        <v/>
      </c>
      <c r="AH334" s="9">
        <f>IF(ROUNDUP(W334/20,0)&gt;ROUNDUP(W333/20,0),"Lần " &amp; ROUNDUP(W334/20,0),"")</f>
        <v/>
      </c>
      <c r="AI334" s="9">
        <f>IF(ROUNDUP(X334/20,0)&gt;ROUNDUP(X333/20,0),"Lần " &amp; ROUNDUP(X334/20,0),"")</f>
        <v/>
      </c>
      <c r="AJ334" s="9">
        <f>IF(ROUNDUP(Y334/20,0)&gt;ROUNDUP(Y333/20,0),"Lần " &amp; ROUNDUP(Y334/20,0),"")</f>
        <v/>
      </c>
      <c r="AK334" s="9">
        <f>IF(ROUNDUP(Z334/20,0)&gt;ROUNDUP(Z333/20,0),"Lần " &amp; ROUNDUP(Z334/20,0),"")</f>
        <v/>
      </c>
      <c r="AL334" s="4" t="n"/>
      <c r="AN334" s="596" t="inlineStr">
        <is>
          <t>Coc</t>
        </is>
      </c>
      <c r="AO334" s="596" t="n">
        <v>24</v>
      </c>
      <c r="AQ334" s="594" t="n"/>
      <c r="AR334" s="595" t="n"/>
    </row>
    <row r="335" ht="19" customHeight="1" s="672">
      <c r="A335" s="4" t="n">
        <v>312</v>
      </c>
      <c r="B335" s="5" t="inlineStr">
        <is>
          <t>Cọc khoan nhồi C6 Mố M2 (D1.2m, L=36.0m)</t>
        </is>
      </c>
      <c r="C335" s="5" t="inlineStr">
        <is>
          <t>Cọc mố M2 L=36m (tr.66)</t>
        </is>
      </c>
      <c r="D335" s="14" t="inlineStr">
        <is>
          <t>P1C</t>
        </is>
      </c>
      <c r="E335" s="15" t="n">
        <v>10</v>
      </c>
      <c r="F335" s="4" t="inlineStr">
        <is>
          <t>CB240-T</t>
        </is>
      </c>
      <c r="G335" s="5" t="inlineStr"/>
      <c r="H335" s="16" t="n">
        <v>3.592</v>
      </c>
      <c r="I335" s="17" t="n">
        <v>2</v>
      </c>
      <c r="J335" s="18" t="n">
        <v>0.617</v>
      </c>
      <c r="K335" s="7">
        <f>ROUND(H335*I335*J335, 2)</f>
        <v/>
      </c>
      <c r="L335" s="19">
        <f>ROUND(K335/1000, 3)</f>
        <v/>
      </c>
      <c r="M335" s="728">
        <f>IF(AO335="","",IF(N(INDEX(Theo_Doi_Tan_Suat_Be_Tong!$C:$C,AO335))&lt;=0,"",INDEX(Theo_Doi_Tan_Suat_Be_Tong!$C:$C,AO335)-VLOOKUP(AN335,$AQ$2:$AR$7,2,FALSE)))</f>
        <v/>
      </c>
      <c r="N335" s="4" t="n"/>
      <c r="O335" s="20">
        <f>IF(ROUNDUP(P335/20,0)&gt;ROUNDUP(P334/20,0),"TN Ø10 (Lần " &amp; ROUNDUP(P335/20,0) &amp; ")","")</f>
        <v/>
      </c>
      <c r="P335" s="16">
        <f>ROUND(P334+IF(AND(E335&lt;=10,F335&lt;&gt;"ASTM A416"),L335,0),3)</f>
        <v/>
      </c>
      <c r="Q335" s="16">
        <f>ROUND(Q334+IF(AND(E335=12,F335&lt;&gt;"ASTM A416"),L335,0),3)</f>
        <v/>
      </c>
      <c r="R335" s="16">
        <f>ROUND(R334+IF(AND(E335=14,F335&lt;&gt;"ASTM A416"),L335,0),3)</f>
        <v/>
      </c>
      <c r="S335" s="16">
        <f>ROUND(S334+IF(AND(E335=16,F335&lt;&gt;"ASTM A416"),L335,0),3)</f>
        <v/>
      </c>
      <c r="T335" s="16">
        <f>ROUND(T334+IF(AND(E335=18,F335&lt;&gt;"ASTM A416"),L335,0),3)</f>
        <v/>
      </c>
      <c r="U335" s="16">
        <f>ROUND(U334+IF(AND(E335=20,F335&lt;&gt;"ASTM A416"),L335,0),3)</f>
        <v/>
      </c>
      <c r="V335" s="16">
        <f>ROUND(V334+IF(AND(E335=22,F335&lt;&gt;"ASTM A416"),L335,0),3)</f>
        <v/>
      </c>
      <c r="W335" s="16">
        <f>ROUND(W334+IF(AND(E335=25,F335&lt;&gt;"ASTM A416"),L335,0),3)</f>
        <v/>
      </c>
      <c r="X335" s="16">
        <f>ROUND(X334+IF(AND(E335=28,F335&lt;&gt;"ASTM A416"),L335,0),3)</f>
        <v/>
      </c>
      <c r="Y335" s="16">
        <f>ROUND(Y334+IF(AND(E335=32,F335&lt;&gt;"ASTM A416"),L335,0),3)</f>
        <v/>
      </c>
      <c r="Z335" s="16">
        <f>ROUND(Z334+IF(F335="ASTM A416",L335,0),3)</f>
        <v/>
      </c>
      <c r="AA335" s="9">
        <f>IF(ROUNDUP(P335/20,0)&gt;ROUNDUP(P334/20,0),"Lần " &amp; ROUNDUP(P335/20,0),"")</f>
        <v/>
      </c>
      <c r="AB335" s="9">
        <f>IF(ROUNDUP(Q335/20,0)&gt;ROUNDUP(Q334/20,0),"Lần " &amp; ROUNDUP(Q335/20,0),"")</f>
        <v/>
      </c>
      <c r="AC335" s="9">
        <f>IF(ROUNDUP(R335/20,0)&gt;ROUNDUP(R334/20,0),"Lần " &amp; ROUNDUP(R335/20,0),"")</f>
        <v/>
      </c>
      <c r="AD335" s="9">
        <f>IF(ROUNDUP(S335/20,0)&gt;ROUNDUP(S334/20,0),"Lần " &amp; ROUNDUP(S335/20,0),"")</f>
        <v/>
      </c>
      <c r="AE335" s="9">
        <f>IF(ROUNDUP(T335/20,0)&gt;ROUNDUP(T334/20,0),"Lần " &amp; ROUNDUP(T335/20,0),"")</f>
        <v/>
      </c>
      <c r="AF335" s="9">
        <f>IF(ROUNDUP(U335/20,0)&gt;ROUNDUP(U334/20,0),"Lần " &amp; ROUNDUP(U335/20,0),"")</f>
        <v/>
      </c>
      <c r="AG335" s="9">
        <f>IF(ROUNDUP(V335/20,0)&gt;ROUNDUP(V334/20,0),"Lần " &amp; ROUNDUP(V335/20,0),"")</f>
        <v/>
      </c>
      <c r="AH335" s="9">
        <f>IF(ROUNDUP(W335/20,0)&gt;ROUNDUP(W334/20,0),"Lần " &amp; ROUNDUP(W335/20,0),"")</f>
        <v/>
      </c>
      <c r="AI335" s="9">
        <f>IF(ROUNDUP(X335/20,0)&gt;ROUNDUP(X334/20,0),"Lần " &amp; ROUNDUP(X335/20,0),"")</f>
        <v/>
      </c>
      <c r="AJ335" s="9">
        <f>IF(ROUNDUP(Y335/20,0)&gt;ROUNDUP(Y334/20,0),"Lần " &amp; ROUNDUP(Y335/20,0),"")</f>
        <v/>
      </c>
      <c r="AK335" s="9">
        <f>IF(ROUNDUP(Z335/20,0)&gt;ROUNDUP(Z334/20,0),"Lần " &amp; ROUNDUP(Z335/20,0),"")</f>
        <v/>
      </c>
      <c r="AL335" s="4" t="n"/>
      <c r="AN335" s="596" t="inlineStr">
        <is>
          <t>Coc</t>
        </is>
      </c>
      <c r="AO335" s="596" t="n">
        <v>24</v>
      </c>
      <c r="AQ335" s="594" t="n"/>
      <c r="AR335" s="595" t="n"/>
    </row>
    <row r="336" ht="19" customHeight="1" s="672">
      <c r="A336" s="4" t="n">
        <v>313</v>
      </c>
      <c r="B336" s="5" t="inlineStr">
        <is>
          <t>Cọc khoan nhồi C6 Mố M2 (D1.2m, L=36.0m)</t>
        </is>
      </c>
      <c r="C336" s="5" t="inlineStr">
        <is>
          <t>Cọc mố M2 L=36m (tr.66)</t>
        </is>
      </c>
      <c r="D336" s="14" t="inlineStr">
        <is>
          <t>P1D</t>
        </is>
      </c>
      <c r="E336" s="15" t="n">
        <v>10</v>
      </c>
      <c r="F336" s="4" t="inlineStr">
        <is>
          <t>CB240-T</t>
        </is>
      </c>
      <c r="G336" s="5" t="inlineStr"/>
      <c r="H336" s="16" t="n">
        <v>23.007</v>
      </c>
      <c r="I336" s="17" t="n">
        <v>1</v>
      </c>
      <c r="J336" s="18" t="n">
        <v>0.617</v>
      </c>
      <c r="K336" s="7">
        <f>ROUND(H336*I336*J336, 2)</f>
        <v/>
      </c>
      <c r="L336" s="19">
        <f>ROUND(K336/1000, 3)</f>
        <v/>
      </c>
      <c r="M336" s="728">
        <f>IF(AO336="","",IF(N(INDEX(Theo_Doi_Tan_Suat_Be_Tong!$C:$C,AO336))&lt;=0,"",INDEX(Theo_Doi_Tan_Suat_Be_Tong!$C:$C,AO336)-VLOOKUP(AN336,$AQ$2:$AR$7,2,FALSE)))</f>
        <v/>
      </c>
      <c r="N336" s="4" t="n"/>
      <c r="O336" s="20">
        <f>IF(ROUNDUP(P336/20,0)&gt;ROUNDUP(P335/20,0),"TN Ø10 (Lần " &amp; ROUNDUP(P336/20,0) &amp; ")","")</f>
        <v/>
      </c>
      <c r="P336" s="16">
        <f>ROUND(P335+IF(AND(E336&lt;=10,F336&lt;&gt;"ASTM A416"),L336,0),3)</f>
        <v/>
      </c>
      <c r="Q336" s="16">
        <f>ROUND(Q335+IF(AND(E336=12,F336&lt;&gt;"ASTM A416"),L336,0),3)</f>
        <v/>
      </c>
      <c r="R336" s="16">
        <f>ROUND(R335+IF(AND(E336=14,F336&lt;&gt;"ASTM A416"),L336,0),3)</f>
        <v/>
      </c>
      <c r="S336" s="16">
        <f>ROUND(S335+IF(AND(E336=16,F336&lt;&gt;"ASTM A416"),L336,0),3)</f>
        <v/>
      </c>
      <c r="T336" s="16">
        <f>ROUND(T335+IF(AND(E336=18,F336&lt;&gt;"ASTM A416"),L336,0),3)</f>
        <v/>
      </c>
      <c r="U336" s="16">
        <f>ROUND(U335+IF(AND(E336=20,F336&lt;&gt;"ASTM A416"),L336,0),3)</f>
        <v/>
      </c>
      <c r="V336" s="16">
        <f>ROUND(V335+IF(AND(E336=22,F336&lt;&gt;"ASTM A416"),L336,0),3)</f>
        <v/>
      </c>
      <c r="W336" s="16">
        <f>ROUND(W335+IF(AND(E336=25,F336&lt;&gt;"ASTM A416"),L336,0),3)</f>
        <v/>
      </c>
      <c r="X336" s="16">
        <f>ROUND(X335+IF(AND(E336=28,F336&lt;&gt;"ASTM A416"),L336,0),3)</f>
        <v/>
      </c>
      <c r="Y336" s="16">
        <f>ROUND(Y335+IF(AND(E336=32,F336&lt;&gt;"ASTM A416"),L336,0),3)</f>
        <v/>
      </c>
      <c r="Z336" s="16">
        <f>ROUND(Z335+IF(F336="ASTM A416",L336,0),3)</f>
        <v/>
      </c>
      <c r="AA336" s="9">
        <f>IF(ROUNDUP(P336/20,0)&gt;ROUNDUP(P335/20,0),"Lần " &amp; ROUNDUP(P336/20,0),"")</f>
        <v/>
      </c>
      <c r="AB336" s="9">
        <f>IF(ROUNDUP(Q336/20,0)&gt;ROUNDUP(Q335/20,0),"Lần " &amp; ROUNDUP(Q336/20,0),"")</f>
        <v/>
      </c>
      <c r="AC336" s="9">
        <f>IF(ROUNDUP(R336/20,0)&gt;ROUNDUP(R335/20,0),"Lần " &amp; ROUNDUP(R336/20,0),"")</f>
        <v/>
      </c>
      <c r="AD336" s="9">
        <f>IF(ROUNDUP(S336/20,0)&gt;ROUNDUP(S335/20,0),"Lần " &amp; ROUNDUP(S336/20,0),"")</f>
        <v/>
      </c>
      <c r="AE336" s="9">
        <f>IF(ROUNDUP(T336/20,0)&gt;ROUNDUP(T335/20,0),"Lần " &amp; ROUNDUP(T336/20,0),"")</f>
        <v/>
      </c>
      <c r="AF336" s="9">
        <f>IF(ROUNDUP(U336/20,0)&gt;ROUNDUP(U335/20,0),"Lần " &amp; ROUNDUP(U336/20,0),"")</f>
        <v/>
      </c>
      <c r="AG336" s="9">
        <f>IF(ROUNDUP(V336/20,0)&gt;ROUNDUP(V335/20,0),"Lần " &amp; ROUNDUP(V336/20,0),"")</f>
        <v/>
      </c>
      <c r="AH336" s="9">
        <f>IF(ROUNDUP(W336/20,0)&gt;ROUNDUP(W335/20,0),"Lần " &amp; ROUNDUP(W336/20,0),"")</f>
        <v/>
      </c>
      <c r="AI336" s="9">
        <f>IF(ROUNDUP(X336/20,0)&gt;ROUNDUP(X335/20,0),"Lần " &amp; ROUNDUP(X336/20,0),"")</f>
        <v/>
      </c>
      <c r="AJ336" s="9">
        <f>IF(ROUNDUP(Y336/20,0)&gt;ROUNDUP(Y335/20,0),"Lần " &amp; ROUNDUP(Y336/20,0),"")</f>
        <v/>
      </c>
      <c r="AK336" s="9">
        <f>IF(ROUNDUP(Z336/20,0)&gt;ROUNDUP(Z335/20,0),"Lần " &amp; ROUNDUP(Z336/20,0),"")</f>
        <v/>
      </c>
      <c r="AL336" s="4" t="n"/>
      <c r="AN336" s="596" t="inlineStr">
        <is>
          <t>Coc</t>
        </is>
      </c>
      <c r="AO336" s="596" t="n">
        <v>24</v>
      </c>
      <c r="AQ336" s="594" t="n"/>
      <c r="AR336" s="595" t="n"/>
    </row>
    <row r="337" ht="19" customHeight="1" s="672">
      <c r="A337" s="4" t="n">
        <v>314</v>
      </c>
      <c r="B337" s="5" t="inlineStr">
        <is>
          <t>Cọc khoan nhồi C6 Mố M2 (D1.2m, L=36.0m)</t>
        </is>
      </c>
      <c r="C337" s="5" t="inlineStr">
        <is>
          <t>Cọc mố M2 L=36m (tr.66)</t>
        </is>
      </c>
      <c r="D337" s="14" t="inlineStr">
        <is>
          <t>P2A</t>
        </is>
      </c>
      <c r="E337" s="15" t="n">
        <v>28</v>
      </c>
      <c r="F337" s="4" t="inlineStr">
        <is>
          <t>CB400-V</t>
        </is>
      </c>
      <c r="G337" s="5" t="inlineStr"/>
      <c r="H337" s="16" t="n">
        <v>2.966</v>
      </c>
      <c r="I337" s="17" t="n">
        <v>5</v>
      </c>
      <c r="J337" s="18" t="n">
        <v>4.834</v>
      </c>
      <c r="K337" s="7">
        <f>ROUND(H337*I337*J337, 2)</f>
        <v/>
      </c>
      <c r="L337" s="19">
        <f>ROUND(K337/1000, 3)</f>
        <v/>
      </c>
      <c r="M337" s="728">
        <f>IF(AO337="","",IF(N(INDEX(Theo_Doi_Tan_Suat_Be_Tong!$C:$C,AO337))&lt;=0,"",INDEX(Theo_Doi_Tan_Suat_Be_Tong!$C:$C,AO337)-VLOOKUP(AN337,$AQ$2:$AR$7,2,FALSE)))</f>
        <v/>
      </c>
      <c r="N337" s="4" t="n"/>
      <c r="O337" s="20">
        <f>IF(ROUNDUP(X337/20,0)&gt;ROUNDUP(X336/20,0),"TN Ø28 (Lần " &amp; ROUNDUP(X337/20,0) &amp; ")","")</f>
        <v/>
      </c>
      <c r="P337" s="16">
        <f>ROUND(P336+IF(AND(E337&lt;=10,F337&lt;&gt;"ASTM A416"),L337,0),3)</f>
        <v/>
      </c>
      <c r="Q337" s="16">
        <f>ROUND(Q336+IF(AND(E337=12,F337&lt;&gt;"ASTM A416"),L337,0),3)</f>
        <v/>
      </c>
      <c r="R337" s="16">
        <f>ROUND(R336+IF(AND(E337=14,F337&lt;&gt;"ASTM A416"),L337,0),3)</f>
        <v/>
      </c>
      <c r="S337" s="16">
        <f>ROUND(S336+IF(AND(E337=16,F337&lt;&gt;"ASTM A416"),L337,0),3)</f>
        <v/>
      </c>
      <c r="T337" s="16">
        <f>ROUND(T336+IF(AND(E337=18,F337&lt;&gt;"ASTM A416"),L337,0),3)</f>
        <v/>
      </c>
      <c r="U337" s="16">
        <f>ROUND(U336+IF(AND(E337=20,F337&lt;&gt;"ASTM A416"),L337,0),3)</f>
        <v/>
      </c>
      <c r="V337" s="16">
        <f>ROUND(V336+IF(AND(E337=22,F337&lt;&gt;"ASTM A416"),L337,0),3)</f>
        <v/>
      </c>
      <c r="W337" s="16">
        <f>ROUND(W336+IF(AND(E337=25,F337&lt;&gt;"ASTM A416"),L337,0),3)</f>
        <v/>
      </c>
      <c r="X337" s="16">
        <f>ROUND(X336+IF(AND(E337=28,F337&lt;&gt;"ASTM A416"),L337,0),3)</f>
        <v/>
      </c>
      <c r="Y337" s="16">
        <f>ROUND(Y336+IF(AND(E337=32,F337&lt;&gt;"ASTM A416"),L337,0),3)</f>
        <v/>
      </c>
      <c r="Z337" s="16">
        <f>ROUND(Z336+IF(F337="ASTM A416",L337,0),3)</f>
        <v/>
      </c>
      <c r="AA337" s="9">
        <f>IF(ROUNDUP(P337/20,0)&gt;ROUNDUP(P336/20,0),"Lần " &amp; ROUNDUP(P337/20,0),"")</f>
        <v/>
      </c>
      <c r="AB337" s="9">
        <f>IF(ROUNDUP(Q337/20,0)&gt;ROUNDUP(Q336/20,0),"Lần " &amp; ROUNDUP(Q337/20,0),"")</f>
        <v/>
      </c>
      <c r="AC337" s="9">
        <f>IF(ROUNDUP(R337/20,0)&gt;ROUNDUP(R336/20,0),"Lần " &amp; ROUNDUP(R337/20,0),"")</f>
        <v/>
      </c>
      <c r="AD337" s="9">
        <f>IF(ROUNDUP(S337/20,0)&gt;ROUNDUP(S336/20,0),"Lần " &amp; ROUNDUP(S337/20,0),"")</f>
        <v/>
      </c>
      <c r="AE337" s="9">
        <f>IF(ROUNDUP(T337/20,0)&gt;ROUNDUP(T336/20,0),"Lần " &amp; ROUNDUP(T337/20,0),"")</f>
        <v/>
      </c>
      <c r="AF337" s="9">
        <f>IF(ROUNDUP(U337/20,0)&gt;ROUNDUP(U336/20,0),"Lần " &amp; ROUNDUP(U337/20,0),"")</f>
        <v/>
      </c>
      <c r="AG337" s="9">
        <f>IF(ROUNDUP(V337/20,0)&gt;ROUNDUP(V336/20,0),"Lần " &amp; ROUNDUP(V337/20,0),"")</f>
        <v/>
      </c>
      <c r="AH337" s="9">
        <f>IF(ROUNDUP(W337/20,0)&gt;ROUNDUP(W336/20,0),"Lần " &amp; ROUNDUP(W337/20,0),"")</f>
        <v/>
      </c>
      <c r="AI337" s="9">
        <f>IF(ROUNDUP(X337/20,0)&gt;ROUNDUP(X336/20,0),"Lần " &amp; ROUNDUP(X337/20,0),"")</f>
        <v/>
      </c>
      <c r="AJ337" s="9">
        <f>IF(ROUNDUP(Y337/20,0)&gt;ROUNDUP(Y336/20,0),"Lần " &amp; ROUNDUP(Y337/20,0),"")</f>
        <v/>
      </c>
      <c r="AK337" s="9">
        <f>IF(ROUNDUP(Z337/20,0)&gt;ROUNDUP(Z336/20,0),"Lần " &amp; ROUNDUP(Z337/20,0),"")</f>
        <v/>
      </c>
      <c r="AL337" s="4" t="n"/>
      <c r="AN337" s="596" t="inlineStr">
        <is>
          <t>Coc</t>
        </is>
      </c>
      <c r="AO337" s="596" t="n">
        <v>24</v>
      </c>
      <c r="AQ337" s="594" t="n"/>
      <c r="AR337" s="595" t="n"/>
    </row>
    <row r="338" ht="19" customHeight="1" s="672">
      <c r="A338" s="4" t="n">
        <v>315</v>
      </c>
      <c r="B338" s="5" t="inlineStr">
        <is>
          <t>Cọc khoan nhồi C6 Mố M2 (D1.2m, L=36.0m)</t>
        </is>
      </c>
      <c r="C338" s="5" t="inlineStr">
        <is>
          <t>Cọc mố M2 L=36m (tr.66)</t>
        </is>
      </c>
      <c r="D338" s="14" t="inlineStr">
        <is>
          <t>P2B</t>
        </is>
      </c>
      <c r="E338" s="15" t="n">
        <v>25</v>
      </c>
      <c r="F338" s="4" t="inlineStr">
        <is>
          <t>CB400-V</t>
        </is>
      </c>
      <c r="G338" s="5" t="inlineStr"/>
      <c r="H338" s="16" t="n">
        <v>2.985</v>
      </c>
      <c r="I338" s="17" t="n">
        <v>10</v>
      </c>
      <c r="J338" s="18" t="n">
        <v>3.853</v>
      </c>
      <c r="K338" s="7">
        <f>ROUND(H338*I338*J338, 2)</f>
        <v/>
      </c>
      <c r="L338" s="19">
        <f>ROUND(K338/1000, 3)</f>
        <v/>
      </c>
      <c r="M338" s="728">
        <f>IF(AO338="","",IF(N(INDEX(Theo_Doi_Tan_Suat_Be_Tong!$C:$C,AO338))&lt;=0,"",INDEX(Theo_Doi_Tan_Suat_Be_Tong!$C:$C,AO338)-VLOOKUP(AN338,$AQ$2:$AR$7,2,FALSE)))</f>
        <v/>
      </c>
      <c r="N338" s="4" t="n"/>
      <c r="O338" s="20">
        <f>IF(ROUNDUP(W338/20,0)&gt;ROUNDUP(W337/20,0),"TN Ø25 (Lần " &amp; ROUNDUP(W338/20,0) &amp; ")","")</f>
        <v/>
      </c>
      <c r="P338" s="16">
        <f>ROUND(P337+IF(AND(E338&lt;=10,F338&lt;&gt;"ASTM A416"),L338,0),3)</f>
        <v/>
      </c>
      <c r="Q338" s="16">
        <f>ROUND(Q337+IF(AND(E338=12,F338&lt;&gt;"ASTM A416"),L338,0),3)</f>
        <v/>
      </c>
      <c r="R338" s="16">
        <f>ROUND(R337+IF(AND(E338=14,F338&lt;&gt;"ASTM A416"),L338,0),3)</f>
        <v/>
      </c>
      <c r="S338" s="16">
        <f>ROUND(S337+IF(AND(E338=16,F338&lt;&gt;"ASTM A416"),L338,0),3)</f>
        <v/>
      </c>
      <c r="T338" s="16">
        <f>ROUND(T337+IF(AND(E338=18,F338&lt;&gt;"ASTM A416"),L338,0),3)</f>
        <v/>
      </c>
      <c r="U338" s="16">
        <f>ROUND(U337+IF(AND(E338=20,F338&lt;&gt;"ASTM A416"),L338,0),3)</f>
        <v/>
      </c>
      <c r="V338" s="16">
        <f>ROUND(V337+IF(AND(E338=22,F338&lt;&gt;"ASTM A416"),L338,0),3)</f>
        <v/>
      </c>
      <c r="W338" s="16">
        <f>ROUND(W337+IF(AND(E338=25,F338&lt;&gt;"ASTM A416"),L338,0),3)</f>
        <v/>
      </c>
      <c r="X338" s="16">
        <f>ROUND(X337+IF(AND(E338=28,F338&lt;&gt;"ASTM A416"),L338,0),3)</f>
        <v/>
      </c>
      <c r="Y338" s="16">
        <f>ROUND(Y337+IF(AND(E338=32,F338&lt;&gt;"ASTM A416"),L338,0),3)</f>
        <v/>
      </c>
      <c r="Z338" s="16">
        <f>ROUND(Z337+IF(F338="ASTM A416",L338,0),3)</f>
        <v/>
      </c>
      <c r="AA338" s="9">
        <f>IF(ROUNDUP(P338/20,0)&gt;ROUNDUP(P337/20,0),"Lần " &amp; ROUNDUP(P338/20,0),"")</f>
        <v/>
      </c>
      <c r="AB338" s="9">
        <f>IF(ROUNDUP(Q338/20,0)&gt;ROUNDUP(Q337/20,0),"Lần " &amp; ROUNDUP(Q338/20,0),"")</f>
        <v/>
      </c>
      <c r="AC338" s="9">
        <f>IF(ROUNDUP(R338/20,0)&gt;ROUNDUP(R337/20,0),"Lần " &amp; ROUNDUP(R338/20,0),"")</f>
        <v/>
      </c>
      <c r="AD338" s="9">
        <f>IF(ROUNDUP(S338/20,0)&gt;ROUNDUP(S337/20,0),"Lần " &amp; ROUNDUP(S338/20,0),"")</f>
        <v/>
      </c>
      <c r="AE338" s="9">
        <f>IF(ROUNDUP(T338/20,0)&gt;ROUNDUP(T337/20,0),"Lần " &amp; ROUNDUP(T338/20,0),"")</f>
        <v/>
      </c>
      <c r="AF338" s="9">
        <f>IF(ROUNDUP(U338/20,0)&gt;ROUNDUP(U337/20,0),"Lần " &amp; ROUNDUP(U338/20,0),"")</f>
        <v/>
      </c>
      <c r="AG338" s="9">
        <f>IF(ROUNDUP(V338/20,0)&gt;ROUNDUP(V337/20,0),"Lần " &amp; ROUNDUP(V338/20,0),"")</f>
        <v/>
      </c>
      <c r="AH338" s="9">
        <f>IF(ROUNDUP(W338/20,0)&gt;ROUNDUP(W337/20,0),"Lần " &amp; ROUNDUP(W338/20,0),"")</f>
        <v/>
      </c>
      <c r="AI338" s="9">
        <f>IF(ROUNDUP(X338/20,0)&gt;ROUNDUP(X337/20,0),"Lần " &amp; ROUNDUP(X338/20,0),"")</f>
        <v/>
      </c>
      <c r="AJ338" s="9">
        <f>IF(ROUNDUP(Y338/20,0)&gt;ROUNDUP(Y337/20,0),"Lần " &amp; ROUNDUP(Y338/20,0),"")</f>
        <v/>
      </c>
      <c r="AK338" s="9">
        <f>IF(ROUNDUP(Z338/20,0)&gt;ROUNDUP(Z337/20,0),"Lần " &amp; ROUNDUP(Z338/20,0),"")</f>
        <v/>
      </c>
      <c r="AL338" s="4" t="n"/>
      <c r="AN338" s="596" t="inlineStr">
        <is>
          <t>Coc</t>
        </is>
      </c>
      <c r="AO338" s="596" t="n">
        <v>24</v>
      </c>
      <c r="AQ338" s="594" t="n"/>
      <c r="AR338" s="595" t="n"/>
    </row>
    <row r="339" ht="19" customHeight="1" s="672">
      <c r="A339" s="4" t="n">
        <v>316</v>
      </c>
      <c r="B339" s="5" t="inlineStr">
        <is>
          <t>Cọc khoan nhồi C6 Mố M2 (D1.2m, L=36.0m)</t>
        </is>
      </c>
      <c r="C339" s="5" t="inlineStr">
        <is>
          <t>Cọc mố M2 L=36m (tr.66)</t>
        </is>
      </c>
      <c r="D339" s="14" t="inlineStr">
        <is>
          <t>P3</t>
        </is>
      </c>
      <c r="E339" s="15" t="n">
        <v>28</v>
      </c>
      <c r="F339" s="4" t="inlineStr">
        <is>
          <t>CB400-V</t>
        </is>
      </c>
      <c r="G339" s="5" t="inlineStr"/>
      <c r="H339" s="16" t="n">
        <v>10.7</v>
      </c>
      <c r="I339" s="17" t="n">
        <v>12</v>
      </c>
      <c r="J339" s="18" t="n">
        <v>4.834</v>
      </c>
      <c r="K339" s="7">
        <f>ROUND(H339*I339*J339, 2)</f>
        <v/>
      </c>
      <c r="L339" s="19">
        <f>ROUND(K339/1000, 3)</f>
        <v/>
      </c>
      <c r="M339" s="728">
        <f>IF(AO339="","",IF(N(INDEX(Theo_Doi_Tan_Suat_Be_Tong!$C:$C,AO339))&lt;=0,"",INDEX(Theo_Doi_Tan_Suat_Be_Tong!$C:$C,AO339)-VLOOKUP(AN339,$AQ$2:$AR$7,2,FALSE)))</f>
        <v/>
      </c>
      <c r="N339" s="4" t="n"/>
      <c r="O339" s="20">
        <f>IF(ROUNDUP(X339/20,0)&gt;ROUNDUP(X338/20,0),"TN Ø28 (Lần " &amp; ROUNDUP(X339/20,0) &amp; ")","")</f>
        <v/>
      </c>
      <c r="P339" s="16">
        <f>ROUND(P338+IF(AND(E339&lt;=10,F339&lt;&gt;"ASTM A416"),L339,0),3)</f>
        <v/>
      </c>
      <c r="Q339" s="16">
        <f>ROUND(Q338+IF(AND(E339=12,F339&lt;&gt;"ASTM A416"),L339,0),3)</f>
        <v/>
      </c>
      <c r="R339" s="16">
        <f>ROUND(R338+IF(AND(E339=14,F339&lt;&gt;"ASTM A416"),L339,0),3)</f>
        <v/>
      </c>
      <c r="S339" s="16">
        <f>ROUND(S338+IF(AND(E339=16,F339&lt;&gt;"ASTM A416"),L339,0),3)</f>
        <v/>
      </c>
      <c r="T339" s="16">
        <f>ROUND(T338+IF(AND(E339=18,F339&lt;&gt;"ASTM A416"),L339,0),3)</f>
        <v/>
      </c>
      <c r="U339" s="16">
        <f>ROUND(U338+IF(AND(E339=20,F339&lt;&gt;"ASTM A416"),L339,0),3)</f>
        <v/>
      </c>
      <c r="V339" s="16">
        <f>ROUND(V338+IF(AND(E339=22,F339&lt;&gt;"ASTM A416"),L339,0),3)</f>
        <v/>
      </c>
      <c r="W339" s="16">
        <f>ROUND(W338+IF(AND(E339=25,F339&lt;&gt;"ASTM A416"),L339,0),3)</f>
        <v/>
      </c>
      <c r="X339" s="16">
        <f>ROUND(X338+IF(AND(E339=28,F339&lt;&gt;"ASTM A416"),L339,0),3)</f>
        <v/>
      </c>
      <c r="Y339" s="16">
        <f>ROUND(Y338+IF(AND(E339=32,F339&lt;&gt;"ASTM A416"),L339,0),3)</f>
        <v/>
      </c>
      <c r="Z339" s="16">
        <f>ROUND(Z338+IF(F339="ASTM A416",L339,0),3)</f>
        <v/>
      </c>
      <c r="AA339" s="9">
        <f>IF(ROUNDUP(P339/20,0)&gt;ROUNDUP(P338/20,0),"Lần " &amp; ROUNDUP(P339/20,0),"")</f>
        <v/>
      </c>
      <c r="AB339" s="9">
        <f>IF(ROUNDUP(Q339/20,0)&gt;ROUNDUP(Q338/20,0),"Lần " &amp; ROUNDUP(Q339/20,0),"")</f>
        <v/>
      </c>
      <c r="AC339" s="9">
        <f>IF(ROUNDUP(R339/20,0)&gt;ROUNDUP(R338/20,0),"Lần " &amp; ROUNDUP(R339/20,0),"")</f>
        <v/>
      </c>
      <c r="AD339" s="9">
        <f>IF(ROUNDUP(S339/20,0)&gt;ROUNDUP(S338/20,0),"Lần " &amp; ROUNDUP(S339/20,0),"")</f>
        <v/>
      </c>
      <c r="AE339" s="9">
        <f>IF(ROUNDUP(T339/20,0)&gt;ROUNDUP(T338/20,0),"Lần " &amp; ROUNDUP(T339/20,0),"")</f>
        <v/>
      </c>
      <c r="AF339" s="9">
        <f>IF(ROUNDUP(U339/20,0)&gt;ROUNDUP(U338/20,0),"Lần " &amp; ROUNDUP(U339/20,0),"")</f>
        <v/>
      </c>
      <c r="AG339" s="9">
        <f>IF(ROUNDUP(V339/20,0)&gt;ROUNDUP(V338/20,0),"Lần " &amp; ROUNDUP(V339/20,0),"")</f>
        <v/>
      </c>
      <c r="AH339" s="9">
        <f>IF(ROUNDUP(W339/20,0)&gt;ROUNDUP(W338/20,0),"Lần " &amp; ROUNDUP(W339/20,0),"")</f>
        <v/>
      </c>
      <c r="AI339" s="9">
        <f>IF(ROUNDUP(X339/20,0)&gt;ROUNDUP(X338/20,0),"Lần " &amp; ROUNDUP(X339/20,0),"")</f>
        <v/>
      </c>
      <c r="AJ339" s="9">
        <f>IF(ROUNDUP(Y339/20,0)&gt;ROUNDUP(Y338/20,0),"Lần " &amp; ROUNDUP(Y339/20,0),"")</f>
        <v/>
      </c>
      <c r="AK339" s="9">
        <f>IF(ROUNDUP(Z339/20,0)&gt;ROUNDUP(Z338/20,0),"Lần " &amp; ROUNDUP(Z339/20,0),"")</f>
        <v/>
      </c>
      <c r="AL339" s="4" t="n"/>
      <c r="AN339" s="596" t="inlineStr">
        <is>
          <t>Coc</t>
        </is>
      </c>
      <c r="AO339" s="596" t="n">
        <v>24</v>
      </c>
      <c r="AQ339" s="594" t="n"/>
      <c r="AR339" s="595" t="n"/>
    </row>
    <row r="340" ht="19" customHeight="1" s="672">
      <c r="A340" s="4" t="n">
        <v>317</v>
      </c>
      <c r="B340" s="5" t="inlineStr">
        <is>
          <t>Cọc khoan nhồi C6 Mố M2 (D1.2m, L=36.0m)</t>
        </is>
      </c>
      <c r="C340" s="5" t="inlineStr">
        <is>
          <t>Cọc mố M2 L=36m (tr.66)</t>
        </is>
      </c>
      <c r="D340" s="14" t="inlineStr">
        <is>
          <t>P4</t>
        </is>
      </c>
      <c r="E340" s="15" t="n">
        <v>28</v>
      </c>
      <c r="F340" s="4" t="inlineStr">
        <is>
          <t>CB400-V</t>
        </is>
      </c>
      <c r="G340" s="5" t="inlineStr"/>
      <c r="H340" s="16" t="n">
        <v>11.7</v>
      </c>
      <c r="I340" s="17" t="n">
        <v>12</v>
      </c>
      <c r="J340" s="18" t="n">
        <v>4.834</v>
      </c>
      <c r="K340" s="7">
        <f>ROUND(H340*I340*J340, 2)</f>
        <v/>
      </c>
      <c r="L340" s="19">
        <f>ROUND(K340/1000, 3)</f>
        <v/>
      </c>
      <c r="M340" s="728">
        <f>IF(AO340="","",IF(N(INDEX(Theo_Doi_Tan_Suat_Be_Tong!$C:$C,AO340))&lt;=0,"",INDEX(Theo_Doi_Tan_Suat_Be_Tong!$C:$C,AO340)-VLOOKUP(AN340,$AQ$2:$AR$7,2,FALSE)))</f>
        <v/>
      </c>
      <c r="N340" s="4" t="n"/>
      <c r="O340" s="20">
        <f>IF(ROUNDUP(X340/20,0)&gt;ROUNDUP(X339/20,0),"TN Ø28 (Lần " &amp; ROUNDUP(X340/20,0) &amp; ")","")</f>
        <v/>
      </c>
      <c r="P340" s="16">
        <f>ROUND(P339+IF(AND(E340&lt;=10,F340&lt;&gt;"ASTM A416"),L340,0),3)</f>
        <v/>
      </c>
      <c r="Q340" s="16">
        <f>ROUND(Q339+IF(AND(E340=12,F340&lt;&gt;"ASTM A416"),L340,0),3)</f>
        <v/>
      </c>
      <c r="R340" s="16">
        <f>ROUND(R339+IF(AND(E340=14,F340&lt;&gt;"ASTM A416"),L340,0),3)</f>
        <v/>
      </c>
      <c r="S340" s="16">
        <f>ROUND(S339+IF(AND(E340=16,F340&lt;&gt;"ASTM A416"),L340,0),3)</f>
        <v/>
      </c>
      <c r="T340" s="16">
        <f>ROUND(T339+IF(AND(E340=18,F340&lt;&gt;"ASTM A416"),L340,0),3)</f>
        <v/>
      </c>
      <c r="U340" s="16">
        <f>ROUND(U339+IF(AND(E340=20,F340&lt;&gt;"ASTM A416"),L340,0),3)</f>
        <v/>
      </c>
      <c r="V340" s="16">
        <f>ROUND(V339+IF(AND(E340=22,F340&lt;&gt;"ASTM A416"),L340,0),3)</f>
        <v/>
      </c>
      <c r="W340" s="16">
        <f>ROUND(W339+IF(AND(E340=25,F340&lt;&gt;"ASTM A416"),L340,0),3)</f>
        <v/>
      </c>
      <c r="X340" s="16">
        <f>ROUND(X339+IF(AND(E340=28,F340&lt;&gt;"ASTM A416"),L340,0),3)</f>
        <v/>
      </c>
      <c r="Y340" s="16">
        <f>ROUND(Y339+IF(AND(E340=32,F340&lt;&gt;"ASTM A416"),L340,0),3)</f>
        <v/>
      </c>
      <c r="Z340" s="16">
        <f>ROUND(Z339+IF(F340="ASTM A416",L340,0),3)</f>
        <v/>
      </c>
      <c r="AA340" s="9">
        <f>IF(ROUNDUP(P340/20,0)&gt;ROUNDUP(P339/20,0),"Lần " &amp; ROUNDUP(P340/20,0),"")</f>
        <v/>
      </c>
      <c r="AB340" s="9">
        <f>IF(ROUNDUP(Q340/20,0)&gt;ROUNDUP(Q339/20,0),"Lần " &amp; ROUNDUP(Q340/20,0),"")</f>
        <v/>
      </c>
      <c r="AC340" s="9">
        <f>IF(ROUNDUP(R340/20,0)&gt;ROUNDUP(R339/20,0),"Lần " &amp; ROUNDUP(R340/20,0),"")</f>
        <v/>
      </c>
      <c r="AD340" s="9">
        <f>IF(ROUNDUP(S340/20,0)&gt;ROUNDUP(S339/20,0),"Lần " &amp; ROUNDUP(S340/20,0),"")</f>
        <v/>
      </c>
      <c r="AE340" s="9">
        <f>IF(ROUNDUP(T340/20,0)&gt;ROUNDUP(T339/20,0),"Lần " &amp; ROUNDUP(T340/20,0),"")</f>
        <v/>
      </c>
      <c r="AF340" s="9">
        <f>IF(ROUNDUP(U340/20,0)&gt;ROUNDUP(U339/20,0),"Lần " &amp; ROUNDUP(U340/20,0),"")</f>
        <v/>
      </c>
      <c r="AG340" s="9">
        <f>IF(ROUNDUP(V340/20,0)&gt;ROUNDUP(V339/20,0),"Lần " &amp; ROUNDUP(V340/20,0),"")</f>
        <v/>
      </c>
      <c r="AH340" s="9">
        <f>IF(ROUNDUP(W340/20,0)&gt;ROUNDUP(W339/20,0),"Lần " &amp; ROUNDUP(W340/20,0),"")</f>
        <v/>
      </c>
      <c r="AI340" s="9">
        <f>IF(ROUNDUP(X340/20,0)&gt;ROUNDUP(X339/20,0),"Lần " &amp; ROUNDUP(X340/20,0),"")</f>
        <v/>
      </c>
      <c r="AJ340" s="9">
        <f>IF(ROUNDUP(Y340/20,0)&gt;ROUNDUP(Y339/20,0),"Lần " &amp; ROUNDUP(Y340/20,0),"")</f>
        <v/>
      </c>
      <c r="AK340" s="9">
        <f>IF(ROUNDUP(Z340/20,0)&gt;ROUNDUP(Z339/20,0),"Lần " &amp; ROUNDUP(Z340/20,0),"")</f>
        <v/>
      </c>
      <c r="AL340" s="4" t="n"/>
      <c r="AN340" s="596" t="inlineStr">
        <is>
          <t>Coc</t>
        </is>
      </c>
      <c r="AO340" s="596" t="n">
        <v>24</v>
      </c>
      <c r="AQ340" s="594" t="n"/>
      <c r="AR340" s="595" t="n"/>
    </row>
    <row r="341" ht="20" customHeight="1" s="672">
      <c r="A341" s="4" t="n">
        <v>318</v>
      </c>
      <c r="B341" s="5" t="inlineStr">
        <is>
          <t>Cọc khoan nhồi C6 Mố M2 (D1.2m, L=36.0m)</t>
        </is>
      </c>
      <c r="C341" s="5" t="inlineStr">
        <is>
          <t>Cọc mố M2 L=36m (tr.66)</t>
        </is>
      </c>
      <c r="D341" s="14" t="inlineStr">
        <is>
          <t>P5</t>
        </is>
      </c>
      <c r="E341" s="15" t="n">
        <v>25</v>
      </c>
      <c r="F341" s="4" t="inlineStr">
        <is>
          <t>CB400-V</t>
        </is>
      </c>
      <c r="G341" s="5" t="inlineStr"/>
      <c r="H341" s="16" t="n">
        <v>11.7</v>
      </c>
      <c r="I341" s="17" t="n">
        <v>48</v>
      </c>
      <c r="J341" s="18" t="n">
        <v>3.853</v>
      </c>
      <c r="K341" s="7">
        <f>ROUND(H341*I341*J341, 2)</f>
        <v/>
      </c>
      <c r="L341" s="19">
        <f>ROUND(K341/1000, 3)</f>
        <v/>
      </c>
      <c r="M341" s="728">
        <f>IF(AO341="","",IF(N(INDEX(Theo_Doi_Tan_Suat_Be_Tong!$C:$C,AO341))&lt;=0,"",INDEX(Theo_Doi_Tan_Suat_Be_Tong!$C:$C,AO341)-VLOOKUP(AN341,$AQ$2:$AR$7,2,FALSE)))</f>
        <v/>
      </c>
      <c r="N341" s="4" t="n"/>
      <c r="O341" s="20">
        <f>IF(ROUNDUP(W341/20,0)&gt;ROUNDUP(W340/20,0),"TN Ø25 (Lần " &amp; ROUNDUP(W341/20,0) &amp; ")","")</f>
        <v/>
      </c>
      <c r="P341" s="16">
        <f>ROUND(P340+IF(AND(E341&lt;=10,F341&lt;&gt;"ASTM A416"),L341,0),3)</f>
        <v/>
      </c>
      <c r="Q341" s="16">
        <f>ROUND(Q340+IF(AND(E341=12,F341&lt;&gt;"ASTM A416"),L341,0),3)</f>
        <v/>
      </c>
      <c r="R341" s="16">
        <f>ROUND(R340+IF(AND(E341=14,F341&lt;&gt;"ASTM A416"),L341,0),3)</f>
        <v/>
      </c>
      <c r="S341" s="16">
        <f>ROUND(S340+IF(AND(E341=16,F341&lt;&gt;"ASTM A416"),L341,0),3)</f>
        <v/>
      </c>
      <c r="T341" s="16">
        <f>ROUND(T340+IF(AND(E341=18,F341&lt;&gt;"ASTM A416"),L341,0),3)</f>
        <v/>
      </c>
      <c r="U341" s="16">
        <f>ROUND(U340+IF(AND(E341=20,F341&lt;&gt;"ASTM A416"),L341,0),3)</f>
        <v/>
      </c>
      <c r="V341" s="16">
        <f>ROUND(V340+IF(AND(E341=22,F341&lt;&gt;"ASTM A416"),L341,0),3)</f>
        <v/>
      </c>
      <c r="W341" s="16">
        <f>ROUND(W340+IF(AND(E341=25,F341&lt;&gt;"ASTM A416"),L341,0),3)</f>
        <v/>
      </c>
      <c r="X341" s="16">
        <f>ROUND(X340+IF(AND(E341=28,F341&lt;&gt;"ASTM A416"),L341,0),3)</f>
        <v/>
      </c>
      <c r="Y341" s="16">
        <f>ROUND(Y340+IF(AND(E341=32,F341&lt;&gt;"ASTM A416"),L341,0),3)</f>
        <v/>
      </c>
      <c r="Z341" s="16">
        <f>ROUND(Z340+IF(F341="ASTM A416",L341,0),3)</f>
        <v/>
      </c>
      <c r="AA341" s="9">
        <f>IF(ROUNDUP(P341/20,0)&gt;ROUNDUP(P340/20,0),"Lần " &amp; ROUNDUP(P341/20,0),"")</f>
        <v/>
      </c>
      <c r="AB341" s="9">
        <f>IF(ROUNDUP(Q341/20,0)&gt;ROUNDUP(Q340/20,0),"Lần " &amp; ROUNDUP(Q341/20,0),"")</f>
        <v/>
      </c>
      <c r="AC341" s="9">
        <f>IF(ROUNDUP(R341/20,0)&gt;ROUNDUP(R340/20,0),"Lần " &amp; ROUNDUP(R341/20,0),"")</f>
        <v/>
      </c>
      <c r="AD341" s="9">
        <f>IF(ROUNDUP(S341/20,0)&gt;ROUNDUP(S340/20,0),"Lần " &amp; ROUNDUP(S341/20,0),"")</f>
        <v/>
      </c>
      <c r="AE341" s="9">
        <f>IF(ROUNDUP(T341/20,0)&gt;ROUNDUP(T340/20,0),"Lần " &amp; ROUNDUP(T341/20,0),"")</f>
        <v/>
      </c>
      <c r="AF341" s="9">
        <f>IF(ROUNDUP(U341/20,0)&gt;ROUNDUP(U340/20,0),"Lần " &amp; ROUNDUP(U341/20,0),"")</f>
        <v/>
      </c>
      <c r="AG341" s="9">
        <f>IF(ROUNDUP(V341/20,0)&gt;ROUNDUP(V340/20,0),"Lần " &amp; ROUNDUP(V341/20,0),"")</f>
        <v/>
      </c>
      <c r="AH341" s="9">
        <f>IF(ROUNDUP(W341/20,0)&gt;ROUNDUP(W340/20,0),"Lần " &amp; ROUNDUP(W341/20,0),"")</f>
        <v/>
      </c>
      <c r="AI341" s="9">
        <f>IF(ROUNDUP(X341/20,0)&gt;ROUNDUP(X340/20,0),"Lần " &amp; ROUNDUP(X341/20,0),"")</f>
        <v/>
      </c>
      <c r="AJ341" s="9">
        <f>IF(ROUNDUP(Y341/20,0)&gt;ROUNDUP(Y340/20,0),"Lần " &amp; ROUNDUP(Y341/20,0),"")</f>
        <v/>
      </c>
      <c r="AK341" s="9">
        <f>IF(ROUNDUP(Z341/20,0)&gt;ROUNDUP(Z340/20,0),"Lần " &amp; ROUNDUP(Z341/20,0),"")</f>
        <v/>
      </c>
      <c r="AL341" s="4" t="n"/>
      <c r="AN341" s="596" t="inlineStr">
        <is>
          <t>Coc</t>
        </is>
      </c>
      <c r="AO341" s="596" t="n">
        <v>24</v>
      </c>
      <c r="AQ341" s="594" t="n"/>
      <c r="AR341" s="595" t="n"/>
    </row>
    <row r="342" ht="19" customHeight="1" s="672">
      <c r="A342" s="4" t="n">
        <v>319</v>
      </c>
      <c r="B342" s="5" t="inlineStr">
        <is>
          <t>Cọc khoan nhồi C6 Mố M2 (D1.2m, L=36.0m)</t>
        </is>
      </c>
      <c r="C342" s="5" t="inlineStr">
        <is>
          <t>Cọc mố M2 L=36m (tr.66)</t>
        </is>
      </c>
      <c r="D342" s="14" t="inlineStr">
        <is>
          <t>P6</t>
        </is>
      </c>
      <c r="E342" s="15" t="n">
        <v>25</v>
      </c>
      <c r="F342" s="4" t="inlineStr">
        <is>
          <t>CB400-V</t>
        </is>
      </c>
      <c r="G342" s="5" t="inlineStr"/>
      <c r="H342" s="16" t="n">
        <v>5.153</v>
      </c>
      <c r="I342" s="17" t="n">
        <v>12</v>
      </c>
      <c r="J342" s="18" t="n">
        <v>3.853</v>
      </c>
      <c r="K342" s="7">
        <f>ROUND(H342*I342*J342, 2)</f>
        <v/>
      </c>
      <c r="L342" s="19">
        <f>ROUND(K342/1000, 3)</f>
        <v/>
      </c>
      <c r="M342" s="728">
        <f>IF(AO342="","",IF(N(INDEX(Theo_Doi_Tan_Suat_Be_Tong!$C:$C,AO342))&lt;=0,"",INDEX(Theo_Doi_Tan_Suat_Be_Tong!$C:$C,AO342)-VLOOKUP(AN342,$AQ$2:$AR$7,2,FALSE)))</f>
        <v/>
      </c>
      <c r="N342" s="4" t="n"/>
      <c r="O342" s="20">
        <f>IF(ROUNDUP(W342/20,0)&gt;ROUNDUP(W341/20,0),"TN Ø25 (Lần " &amp; ROUNDUP(W342/20,0) &amp; ")","")</f>
        <v/>
      </c>
      <c r="P342" s="16">
        <f>ROUND(P341+IF(AND(E342&lt;=10,F342&lt;&gt;"ASTM A416"),L342,0),3)</f>
        <v/>
      </c>
      <c r="Q342" s="16">
        <f>ROUND(Q341+IF(AND(E342=12,F342&lt;&gt;"ASTM A416"),L342,0),3)</f>
        <v/>
      </c>
      <c r="R342" s="16">
        <f>ROUND(R341+IF(AND(E342=14,F342&lt;&gt;"ASTM A416"),L342,0),3)</f>
        <v/>
      </c>
      <c r="S342" s="16">
        <f>ROUND(S341+IF(AND(E342=16,F342&lt;&gt;"ASTM A416"),L342,0),3)</f>
        <v/>
      </c>
      <c r="T342" s="16">
        <f>ROUND(T341+IF(AND(E342=18,F342&lt;&gt;"ASTM A416"),L342,0),3)</f>
        <v/>
      </c>
      <c r="U342" s="16">
        <f>ROUND(U341+IF(AND(E342=20,F342&lt;&gt;"ASTM A416"),L342,0),3)</f>
        <v/>
      </c>
      <c r="V342" s="16">
        <f>ROUND(V341+IF(AND(E342=22,F342&lt;&gt;"ASTM A416"),L342,0),3)</f>
        <v/>
      </c>
      <c r="W342" s="16">
        <f>ROUND(W341+IF(AND(E342=25,F342&lt;&gt;"ASTM A416"),L342,0),3)</f>
        <v/>
      </c>
      <c r="X342" s="16">
        <f>ROUND(X341+IF(AND(E342=28,F342&lt;&gt;"ASTM A416"),L342,0),3)</f>
        <v/>
      </c>
      <c r="Y342" s="16">
        <f>ROUND(Y341+IF(AND(E342=32,F342&lt;&gt;"ASTM A416"),L342,0),3)</f>
        <v/>
      </c>
      <c r="Z342" s="16">
        <f>ROUND(Z341+IF(F342="ASTM A416",L342,0),3)</f>
        <v/>
      </c>
      <c r="AA342" s="9">
        <f>IF(ROUNDUP(P342/20,0)&gt;ROUNDUP(P341/20,0),"Lần " &amp; ROUNDUP(P342/20,0),"")</f>
        <v/>
      </c>
      <c r="AB342" s="9">
        <f>IF(ROUNDUP(Q342/20,0)&gt;ROUNDUP(Q341/20,0),"Lần " &amp; ROUNDUP(Q342/20,0),"")</f>
        <v/>
      </c>
      <c r="AC342" s="9">
        <f>IF(ROUNDUP(R342/20,0)&gt;ROUNDUP(R341/20,0),"Lần " &amp; ROUNDUP(R342/20,0),"")</f>
        <v/>
      </c>
      <c r="AD342" s="9">
        <f>IF(ROUNDUP(S342/20,0)&gt;ROUNDUP(S341/20,0),"Lần " &amp; ROUNDUP(S342/20,0),"")</f>
        <v/>
      </c>
      <c r="AE342" s="9">
        <f>IF(ROUNDUP(T342/20,0)&gt;ROUNDUP(T341/20,0),"Lần " &amp; ROUNDUP(T342/20,0),"")</f>
        <v/>
      </c>
      <c r="AF342" s="9">
        <f>IF(ROUNDUP(U342/20,0)&gt;ROUNDUP(U341/20,0),"Lần " &amp; ROUNDUP(U342/20,0),"")</f>
        <v/>
      </c>
      <c r="AG342" s="9">
        <f>IF(ROUNDUP(V342/20,0)&gt;ROUNDUP(V341/20,0),"Lần " &amp; ROUNDUP(V342/20,0),"")</f>
        <v/>
      </c>
      <c r="AH342" s="9">
        <f>IF(ROUNDUP(W342/20,0)&gt;ROUNDUP(W341/20,0),"Lần " &amp; ROUNDUP(W342/20,0),"")</f>
        <v/>
      </c>
      <c r="AI342" s="9">
        <f>IF(ROUNDUP(X342/20,0)&gt;ROUNDUP(X341/20,0),"Lần " &amp; ROUNDUP(X342/20,0),"")</f>
        <v/>
      </c>
      <c r="AJ342" s="9">
        <f>IF(ROUNDUP(Y342/20,0)&gt;ROUNDUP(Y341/20,0),"Lần " &amp; ROUNDUP(Y342/20,0),"")</f>
        <v/>
      </c>
      <c r="AK342" s="9">
        <f>IF(ROUNDUP(Z342/20,0)&gt;ROUNDUP(Z341/20,0),"Lần " &amp; ROUNDUP(Z342/20,0),"")</f>
        <v/>
      </c>
      <c r="AL342" s="4" t="n"/>
      <c r="AN342" s="596" t="inlineStr">
        <is>
          <t>Coc</t>
        </is>
      </c>
      <c r="AO342" s="596" t="n">
        <v>24</v>
      </c>
      <c r="AQ342" s="594" t="n"/>
      <c r="AR342" s="595" t="n"/>
    </row>
    <row r="343" ht="19" customHeight="1" s="672">
      <c r="A343" s="4" t="n">
        <v>320</v>
      </c>
      <c r="B343" s="5" t="inlineStr">
        <is>
          <t>Cọc khoan nhồi C6 Mố M2 (D1.2m, L=36.0m)</t>
        </is>
      </c>
      <c r="C343" s="5" t="inlineStr">
        <is>
          <t>Cọc mố M2 L=36m (tr.66)</t>
        </is>
      </c>
      <c r="D343" s="14" t="inlineStr">
        <is>
          <t>P7</t>
        </is>
      </c>
      <c r="E343" s="15" t="n">
        <v>25</v>
      </c>
      <c r="F343" s="4" t="inlineStr">
        <is>
          <t>CB400-V</t>
        </is>
      </c>
      <c r="G343" s="5" t="inlineStr"/>
      <c r="H343" s="16" t="n">
        <v>6.153</v>
      </c>
      <c r="I343" s="17" t="n">
        <v>12</v>
      </c>
      <c r="J343" s="18" t="n">
        <v>3.853</v>
      </c>
      <c r="K343" s="7">
        <f>ROUND(H343*I343*J343, 2)</f>
        <v/>
      </c>
      <c r="L343" s="19">
        <f>ROUND(K343/1000, 3)</f>
        <v/>
      </c>
      <c r="M343" s="728">
        <f>IF(AO343="","",IF(N(INDEX(Theo_Doi_Tan_Suat_Be_Tong!$C:$C,AO343))&lt;=0,"",INDEX(Theo_Doi_Tan_Suat_Be_Tong!$C:$C,AO343)-VLOOKUP(AN343,$AQ$2:$AR$7,2,FALSE)))</f>
        <v/>
      </c>
      <c r="N343" s="4" t="n"/>
      <c r="O343" s="20">
        <f>IF(ROUNDUP(W343/20,0)&gt;ROUNDUP(W342/20,0),"TN Ø25 (Lần " &amp; ROUNDUP(W343/20,0) &amp; ")","")</f>
        <v/>
      </c>
      <c r="P343" s="16">
        <f>ROUND(P342+IF(AND(E343&lt;=10,F343&lt;&gt;"ASTM A416"),L343,0),3)</f>
        <v/>
      </c>
      <c r="Q343" s="16">
        <f>ROUND(Q342+IF(AND(E343=12,F343&lt;&gt;"ASTM A416"),L343,0),3)</f>
        <v/>
      </c>
      <c r="R343" s="16">
        <f>ROUND(R342+IF(AND(E343=14,F343&lt;&gt;"ASTM A416"),L343,0),3)</f>
        <v/>
      </c>
      <c r="S343" s="16">
        <f>ROUND(S342+IF(AND(E343=16,F343&lt;&gt;"ASTM A416"),L343,0),3)</f>
        <v/>
      </c>
      <c r="T343" s="16">
        <f>ROUND(T342+IF(AND(E343=18,F343&lt;&gt;"ASTM A416"),L343,0),3)</f>
        <v/>
      </c>
      <c r="U343" s="16">
        <f>ROUND(U342+IF(AND(E343=20,F343&lt;&gt;"ASTM A416"),L343,0),3)</f>
        <v/>
      </c>
      <c r="V343" s="16">
        <f>ROUND(V342+IF(AND(E343=22,F343&lt;&gt;"ASTM A416"),L343,0),3)</f>
        <v/>
      </c>
      <c r="W343" s="16">
        <f>ROUND(W342+IF(AND(E343=25,F343&lt;&gt;"ASTM A416"),L343,0),3)</f>
        <v/>
      </c>
      <c r="X343" s="16">
        <f>ROUND(X342+IF(AND(E343=28,F343&lt;&gt;"ASTM A416"),L343,0),3)</f>
        <v/>
      </c>
      <c r="Y343" s="16">
        <f>ROUND(Y342+IF(AND(E343=32,F343&lt;&gt;"ASTM A416"),L343,0),3)</f>
        <v/>
      </c>
      <c r="Z343" s="16">
        <f>ROUND(Z342+IF(F343="ASTM A416",L343,0),3)</f>
        <v/>
      </c>
      <c r="AA343" s="9">
        <f>IF(ROUNDUP(P343/20,0)&gt;ROUNDUP(P342/20,0),"Lần " &amp; ROUNDUP(P343/20,0),"")</f>
        <v/>
      </c>
      <c r="AB343" s="9">
        <f>IF(ROUNDUP(Q343/20,0)&gt;ROUNDUP(Q342/20,0),"Lần " &amp; ROUNDUP(Q343/20,0),"")</f>
        <v/>
      </c>
      <c r="AC343" s="9">
        <f>IF(ROUNDUP(R343/20,0)&gt;ROUNDUP(R342/20,0),"Lần " &amp; ROUNDUP(R343/20,0),"")</f>
        <v/>
      </c>
      <c r="AD343" s="9">
        <f>IF(ROUNDUP(S343/20,0)&gt;ROUNDUP(S342/20,0),"Lần " &amp; ROUNDUP(S343/20,0),"")</f>
        <v/>
      </c>
      <c r="AE343" s="9">
        <f>IF(ROUNDUP(T343/20,0)&gt;ROUNDUP(T342/20,0),"Lần " &amp; ROUNDUP(T343/20,0),"")</f>
        <v/>
      </c>
      <c r="AF343" s="9">
        <f>IF(ROUNDUP(U343/20,0)&gt;ROUNDUP(U342/20,0),"Lần " &amp; ROUNDUP(U343/20,0),"")</f>
        <v/>
      </c>
      <c r="AG343" s="9">
        <f>IF(ROUNDUP(V343/20,0)&gt;ROUNDUP(V342/20,0),"Lần " &amp; ROUNDUP(V343/20,0),"")</f>
        <v/>
      </c>
      <c r="AH343" s="9">
        <f>IF(ROUNDUP(W343/20,0)&gt;ROUNDUP(W342/20,0),"Lần " &amp; ROUNDUP(W343/20,0),"")</f>
        <v/>
      </c>
      <c r="AI343" s="9">
        <f>IF(ROUNDUP(X343/20,0)&gt;ROUNDUP(X342/20,0),"Lần " &amp; ROUNDUP(X343/20,0),"")</f>
        <v/>
      </c>
      <c r="AJ343" s="9">
        <f>IF(ROUNDUP(Y343/20,0)&gt;ROUNDUP(Y342/20,0),"Lần " &amp; ROUNDUP(Y343/20,0),"")</f>
        <v/>
      </c>
      <c r="AK343" s="9">
        <f>IF(ROUNDUP(Z343/20,0)&gt;ROUNDUP(Z342/20,0),"Lần " &amp; ROUNDUP(Z343/20,0),"")</f>
        <v/>
      </c>
      <c r="AL343" s="4" t="n"/>
      <c r="AN343" s="596" t="inlineStr">
        <is>
          <t>Coc</t>
        </is>
      </c>
      <c r="AO343" s="596" t="n">
        <v>24</v>
      </c>
      <c r="AQ343" s="594" t="n"/>
      <c r="AR343" s="595" t="n"/>
    </row>
    <row r="344" ht="19" customHeight="1" s="672">
      <c r="A344" s="4" t="n">
        <v>321</v>
      </c>
      <c r="B344" s="5" t="inlineStr">
        <is>
          <t>Cọc khoan nhồi C6 Mố M2 (D1.2m, L=36.0m)</t>
        </is>
      </c>
      <c r="C344" s="5" t="inlineStr">
        <is>
          <t>Cọc mố M2 L=36m (tr.66)</t>
        </is>
      </c>
      <c r="D344" s="14" t="inlineStr">
        <is>
          <t>P8</t>
        </is>
      </c>
      <c r="E344" s="15" t="n">
        <v>12</v>
      </c>
      <c r="F344" s="4" t="inlineStr">
        <is>
          <t>CB400-V</t>
        </is>
      </c>
      <c r="G344" s="5" t="inlineStr"/>
      <c r="H344" s="16" t="n">
        <v>0.647</v>
      </c>
      <c r="I344" s="17" t="n">
        <v>15</v>
      </c>
      <c r="J344" s="18" t="n">
        <v>0.888</v>
      </c>
      <c r="K344" s="7">
        <f>ROUND(H344*I344*J344, 2)</f>
        <v/>
      </c>
      <c r="L344" s="19">
        <f>ROUND(K344/1000, 3)</f>
        <v/>
      </c>
      <c r="M344" s="728">
        <f>IF(AO344="","",IF(N(INDEX(Theo_Doi_Tan_Suat_Be_Tong!$C:$C,AO344))&lt;=0,"",INDEX(Theo_Doi_Tan_Suat_Be_Tong!$C:$C,AO344)-VLOOKUP(AN344,$AQ$2:$AR$7,2,FALSE)))</f>
        <v/>
      </c>
      <c r="N344" s="4" t="n"/>
      <c r="O344" s="20">
        <f>IF(ROUNDUP(Q344/20,0)&gt;ROUNDUP(Q343/20,0),"TN Ø12 (Lần " &amp; ROUNDUP(Q344/20,0) &amp; ")","")</f>
        <v/>
      </c>
      <c r="P344" s="16">
        <f>ROUND(P343+IF(AND(E344&lt;=10,F344&lt;&gt;"ASTM A416"),L344,0),3)</f>
        <v/>
      </c>
      <c r="Q344" s="16">
        <f>ROUND(Q343+IF(AND(E344=12,F344&lt;&gt;"ASTM A416"),L344,0),3)</f>
        <v/>
      </c>
      <c r="R344" s="16">
        <f>ROUND(R343+IF(AND(E344=14,F344&lt;&gt;"ASTM A416"),L344,0),3)</f>
        <v/>
      </c>
      <c r="S344" s="16">
        <f>ROUND(S343+IF(AND(E344=16,F344&lt;&gt;"ASTM A416"),L344,0),3)</f>
        <v/>
      </c>
      <c r="T344" s="16">
        <f>ROUND(T343+IF(AND(E344=18,F344&lt;&gt;"ASTM A416"),L344,0),3)</f>
        <v/>
      </c>
      <c r="U344" s="16">
        <f>ROUND(U343+IF(AND(E344=20,F344&lt;&gt;"ASTM A416"),L344,0),3)</f>
        <v/>
      </c>
      <c r="V344" s="16">
        <f>ROUND(V343+IF(AND(E344=22,F344&lt;&gt;"ASTM A416"),L344,0),3)</f>
        <v/>
      </c>
      <c r="W344" s="16">
        <f>ROUND(W343+IF(AND(E344=25,F344&lt;&gt;"ASTM A416"),L344,0),3)</f>
        <v/>
      </c>
      <c r="X344" s="16">
        <f>ROUND(X343+IF(AND(E344=28,F344&lt;&gt;"ASTM A416"),L344,0),3)</f>
        <v/>
      </c>
      <c r="Y344" s="16">
        <f>ROUND(Y343+IF(AND(E344=32,F344&lt;&gt;"ASTM A416"),L344,0),3)</f>
        <v/>
      </c>
      <c r="Z344" s="16">
        <f>ROUND(Z343+IF(F344="ASTM A416",L344,0),3)</f>
        <v/>
      </c>
      <c r="AA344" s="9">
        <f>IF(ROUNDUP(P344/20,0)&gt;ROUNDUP(P343/20,0),"Lần " &amp; ROUNDUP(P344/20,0),"")</f>
        <v/>
      </c>
      <c r="AB344" s="9">
        <f>IF(ROUNDUP(Q344/20,0)&gt;ROUNDUP(Q343/20,0),"Lần " &amp; ROUNDUP(Q344/20,0),"")</f>
        <v/>
      </c>
      <c r="AC344" s="9">
        <f>IF(ROUNDUP(R344/20,0)&gt;ROUNDUP(R343/20,0),"Lần " &amp; ROUNDUP(R344/20,0),"")</f>
        <v/>
      </c>
      <c r="AD344" s="9">
        <f>IF(ROUNDUP(S344/20,0)&gt;ROUNDUP(S343/20,0),"Lần " &amp; ROUNDUP(S344/20,0),"")</f>
        <v/>
      </c>
      <c r="AE344" s="9">
        <f>IF(ROUNDUP(T344/20,0)&gt;ROUNDUP(T343/20,0),"Lần " &amp; ROUNDUP(T344/20,0),"")</f>
        <v/>
      </c>
      <c r="AF344" s="9">
        <f>IF(ROUNDUP(U344/20,0)&gt;ROUNDUP(U343/20,0),"Lần " &amp; ROUNDUP(U344/20,0),"")</f>
        <v/>
      </c>
      <c r="AG344" s="9">
        <f>IF(ROUNDUP(V344/20,0)&gt;ROUNDUP(V343/20,0),"Lần " &amp; ROUNDUP(V344/20,0),"")</f>
        <v/>
      </c>
      <c r="AH344" s="9">
        <f>IF(ROUNDUP(W344/20,0)&gt;ROUNDUP(W343/20,0),"Lần " &amp; ROUNDUP(W344/20,0),"")</f>
        <v/>
      </c>
      <c r="AI344" s="9">
        <f>IF(ROUNDUP(X344/20,0)&gt;ROUNDUP(X343/20,0),"Lần " &amp; ROUNDUP(X344/20,0),"")</f>
        <v/>
      </c>
      <c r="AJ344" s="9">
        <f>IF(ROUNDUP(Y344/20,0)&gt;ROUNDUP(Y343/20,0),"Lần " &amp; ROUNDUP(Y344/20,0),"")</f>
        <v/>
      </c>
      <c r="AK344" s="9">
        <f>IF(ROUNDUP(Z344/20,0)&gt;ROUNDUP(Z343/20,0),"Lần " &amp; ROUNDUP(Z344/20,0),"")</f>
        <v/>
      </c>
      <c r="AL344" s="4" t="n"/>
      <c r="AN344" s="596" t="inlineStr">
        <is>
          <t>Coc</t>
        </is>
      </c>
      <c r="AO344" s="596" t="n">
        <v>24</v>
      </c>
      <c r="AQ344" s="594" t="n"/>
      <c r="AR344" s="595" t="n"/>
    </row>
    <row r="345" ht="19" customHeight="1" s="672">
      <c r="A345" s="4" t="n">
        <v>322</v>
      </c>
      <c r="B345" s="5" t="inlineStr">
        <is>
          <t>Cọc khoan nhồi C6 Mố M2 (D1.2m, L=36.0m)</t>
        </is>
      </c>
      <c r="C345" s="5" t="inlineStr">
        <is>
          <t>Cọc mố M2 L=36m (tr.66)</t>
        </is>
      </c>
      <c r="D345" s="14" t="inlineStr">
        <is>
          <t>P9</t>
        </is>
      </c>
      <c r="E345" s="15" t="n">
        <v>12</v>
      </c>
      <c r="F345" s="4" t="inlineStr">
        <is>
          <t>CB400-V</t>
        </is>
      </c>
      <c r="G345" s="5" t="inlineStr"/>
      <c r="H345" s="16" t="n">
        <v>0.379</v>
      </c>
      <c r="I345" s="17" t="n">
        <v>45</v>
      </c>
      <c r="J345" s="18" t="n">
        <v>0.888</v>
      </c>
      <c r="K345" s="7">
        <f>ROUND(H345*I345*J345, 2)</f>
        <v/>
      </c>
      <c r="L345" s="19">
        <f>ROUND(K345/1000, 3)</f>
        <v/>
      </c>
      <c r="M345" s="728">
        <f>IF(AO345="","",IF(N(INDEX(Theo_Doi_Tan_Suat_Be_Tong!$C:$C,AO345))&lt;=0,"",INDEX(Theo_Doi_Tan_Suat_Be_Tong!$C:$C,AO345)-VLOOKUP(AN345,$AQ$2:$AR$7,2,FALSE)))</f>
        <v/>
      </c>
      <c r="N345" s="4" t="n"/>
      <c r="O345" s="20">
        <f>IF(ROUNDUP(Q345/20,0)&gt;ROUNDUP(Q344/20,0),"TN Ø12 (Lần " &amp; ROUNDUP(Q345/20,0) &amp; ")","")</f>
        <v/>
      </c>
      <c r="P345" s="16">
        <f>ROUND(P344+IF(AND(E345&lt;=10,F345&lt;&gt;"ASTM A416"),L345,0),3)</f>
        <v/>
      </c>
      <c r="Q345" s="16">
        <f>ROUND(Q344+IF(AND(E345=12,F345&lt;&gt;"ASTM A416"),L345,0),3)</f>
        <v/>
      </c>
      <c r="R345" s="16">
        <f>ROUND(R344+IF(AND(E345=14,F345&lt;&gt;"ASTM A416"),L345,0),3)</f>
        <v/>
      </c>
      <c r="S345" s="16">
        <f>ROUND(S344+IF(AND(E345=16,F345&lt;&gt;"ASTM A416"),L345,0),3)</f>
        <v/>
      </c>
      <c r="T345" s="16">
        <f>ROUND(T344+IF(AND(E345=18,F345&lt;&gt;"ASTM A416"),L345,0),3)</f>
        <v/>
      </c>
      <c r="U345" s="16">
        <f>ROUND(U344+IF(AND(E345=20,F345&lt;&gt;"ASTM A416"),L345,0),3)</f>
        <v/>
      </c>
      <c r="V345" s="16">
        <f>ROUND(V344+IF(AND(E345=22,F345&lt;&gt;"ASTM A416"),L345,0),3)</f>
        <v/>
      </c>
      <c r="W345" s="16">
        <f>ROUND(W344+IF(AND(E345=25,F345&lt;&gt;"ASTM A416"),L345,0),3)</f>
        <v/>
      </c>
      <c r="X345" s="16">
        <f>ROUND(X344+IF(AND(E345=28,F345&lt;&gt;"ASTM A416"),L345,0),3)</f>
        <v/>
      </c>
      <c r="Y345" s="16">
        <f>ROUND(Y344+IF(AND(E345=32,F345&lt;&gt;"ASTM A416"),L345,0),3)</f>
        <v/>
      </c>
      <c r="Z345" s="16">
        <f>ROUND(Z344+IF(F345="ASTM A416",L345,0),3)</f>
        <v/>
      </c>
      <c r="AA345" s="9">
        <f>IF(ROUNDUP(P345/20,0)&gt;ROUNDUP(P344/20,0),"Lần " &amp; ROUNDUP(P345/20,0),"")</f>
        <v/>
      </c>
      <c r="AB345" s="9">
        <f>IF(ROUNDUP(Q345/20,0)&gt;ROUNDUP(Q344/20,0),"Lần " &amp; ROUNDUP(Q345/20,0),"")</f>
        <v/>
      </c>
      <c r="AC345" s="9">
        <f>IF(ROUNDUP(R345/20,0)&gt;ROUNDUP(R344/20,0),"Lần " &amp; ROUNDUP(R345/20,0),"")</f>
        <v/>
      </c>
      <c r="AD345" s="9">
        <f>IF(ROUNDUP(S345/20,0)&gt;ROUNDUP(S344/20,0),"Lần " &amp; ROUNDUP(S345/20,0),"")</f>
        <v/>
      </c>
      <c r="AE345" s="9">
        <f>IF(ROUNDUP(T345/20,0)&gt;ROUNDUP(T344/20,0),"Lần " &amp; ROUNDUP(T345/20,0),"")</f>
        <v/>
      </c>
      <c r="AF345" s="9">
        <f>IF(ROUNDUP(U345/20,0)&gt;ROUNDUP(U344/20,0),"Lần " &amp; ROUNDUP(U345/20,0),"")</f>
        <v/>
      </c>
      <c r="AG345" s="9">
        <f>IF(ROUNDUP(V345/20,0)&gt;ROUNDUP(V344/20,0),"Lần " &amp; ROUNDUP(V345/20,0),"")</f>
        <v/>
      </c>
      <c r="AH345" s="9">
        <f>IF(ROUNDUP(W345/20,0)&gt;ROUNDUP(W344/20,0),"Lần " &amp; ROUNDUP(W345/20,0),"")</f>
        <v/>
      </c>
      <c r="AI345" s="9">
        <f>IF(ROUNDUP(X345/20,0)&gt;ROUNDUP(X344/20,0),"Lần " &amp; ROUNDUP(X345/20,0),"")</f>
        <v/>
      </c>
      <c r="AJ345" s="9">
        <f>IF(ROUNDUP(Y345/20,0)&gt;ROUNDUP(Y344/20,0),"Lần " &amp; ROUNDUP(Y345/20,0),"")</f>
        <v/>
      </c>
      <c r="AK345" s="9">
        <f>IF(ROUNDUP(Z345/20,0)&gt;ROUNDUP(Z344/20,0),"Lần " &amp; ROUNDUP(Z345/20,0),"")</f>
        <v/>
      </c>
      <c r="AL345" s="4" t="n"/>
      <c r="AN345" s="596" t="inlineStr">
        <is>
          <t>Coc</t>
        </is>
      </c>
      <c r="AO345" s="596" t="n">
        <v>24</v>
      </c>
      <c r="AQ345" s="594" t="n"/>
      <c r="AR345" s="595" t="n"/>
    </row>
    <row r="346" ht="19" customHeight="1" s="672">
      <c r="A346" s="4" t="n">
        <v>323</v>
      </c>
      <c r="B346" s="5" t="inlineStr">
        <is>
          <t>Cọc khoan nhồi C6 Mố M2 (D1.2m, L=36.0m)</t>
        </is>
      </c>
      <c r="C346" s="5" t="inlineStr">
        <is>
          <t>Cọc mố M2 L=36m (tr.66)</t>
        </is>
      </c>
      <c r="D346" s="14" t="inlineStr">
        <is>
          <t>P10</t>
        </is>
      </c>
      <c r="E346" s="15" t="n">
        <v>20</v>
      </c>
      <c r="F346" s="4" t="inlineStr">
        <is>
          <t>CB400-V</t>
        </is>
      </c>
      <c r="G346" s="5" t="inlineStr"/>
      <c r="H346" s="16" t="n">
        <v>2.057</v>
      </c>
      <c r="I346" s="17" t="n">
        <v>1</v>
      </c>
      <c r="J346" s="18" t="n">
        <v>2.466</v>
      </c>
      <c r="K346" s="7">
        <f>ROUND(H346*I346*J346, 2)</f>
        <v/>
      </c>
      <c r="L346" s="19">
        <f>ROUND(K346/1000, 3)</f>
        <v/>
      </c>
      <c r="M346" s="728">
        <f>IF(AO346="","",IF(N(INDEX(Theo_Doi_Tan_Suat_Be_Tong!$C:$C,AO346))&lt;=0,"",INDEX(Theo_Doi_Tan_Suat_Be_Tong!$C:$C,AO346)-VLOOKUP(AN346,$AQ$2:$AR$7,2,FALSE)))</f>
        <v/>
      </c>
      <c r="N346" s="4" t="n"/>
      <c r="O346" s="20">
        <f>IF(ROUNDUP(U346/20,0)&gt;ROUNDUP(U345/20,0),"TN Ø20 (Lần " &amp; ROUNDUP(U346/20,0) &amp; ")","")</f>
        <v/>
      </c>
      <c r="P346" s="16">
        <f>ROUND(P345+IF(AND(E346&lt;=10,F346&lt;&gt;"ASTM A416"),L346,0),3)</f>
        <v/>
      </c>
      <c r="Q346" s="16">
        <f>ROUND(Q345+IF(AND(E346=12,F346&lt;&gt;"ASTM A416"),L346,0),3)</f>
        <v/>
      </c>
      <c r="R346" s="16">
        <f>ROUND(R345+IF(AND(E346=14,F346&lt;&gt;"ASTM A416"),L346,0),3)</f>
        <v/>
      </c>
      <c r="S346" s="16">
        <f>ROUND(S345+IF(AND(E346=16,F346&lt;&gt;"ASTM A416"),L346,0),3)</f>
        <v/>
      </c>
      <c r="T346" s="16">
        <f>ROUND(T345+IF(AND(E346=18,F346&lt;&gt;"ASTM A416"),L346,0),3)</f>
        <v/>
      </c>
      <c r="U346" s="16">
        <f>ROUND(U345+IF(AND(E346=20,F346&lt;&gt;"ASTM A416"),L346,0),3)</f>
        <v/>
      </c>
      <c r="V346" s="16">
        <f>ROUND(V345+IF(AND(E346=22,F346&lt;&gt;"ASTM A416"),L346,0),3)</f>
        <v/>
      </c>
      <c r="W346" s="16">
        <f>ROUND(W345+IF(AND(E346=25,F346&lt;&gt;"ASTM A416"),L346,0),3)</f>
        <v/>
      </c>
      <c r="X346" s="16">
        <f>ROUND(X345+IF(AND(E346=28,F346&lt;&gt;"ASTM A416"),L346,0),3)</f>
        <v/>
      </c>
      <c r="Y346" s="16">
        <f>ROUND(Y345+IF(AND(E346=32,F346&lt;&gt;"ASTM A416"),L346,0),3)</f>
        <v/>
      </c>
      <c r="Z346" s="16">
        <f>ROUND(Z345+IF(F346="ASTM A416",L346,0),3)</f>
        <v/>
      </c>
      <c r="AA346" s="9">
        <f>IF(ROUNDUP(P346/20,0)&gt;ROUNDUP(P345/20,0),"Lần " &amp; ROUNDUP(P346/20,0),"")</f>
        <v/>
      </c>
      <c r="AB346" s="9">
        <f>IF(ROUNDUP(Q346/20,0)&gt;ROUNDUP(Q345/20,0),"Lần " &amp; ROUNDUP(Q346/20,0),"")</f>
        <v/>
      </c>
      <c r="AC346" s="9">
        <f>IF(ROUNDUP(R346/20,0)&gt;ROUNDUP(R345/20,0),"Lần " &amp; ROUNDUP(R346/20,0),"")</f>
        <v/>
      </c>
      <c r="AD346" s="9">
        <f>IF(ROUNDUP(S346/20,0)&gt;ROUNDUP(S345/20,0),"Lần " &amp; ROUNDUP(S346/20,0),"")</f>
        <v/>
      </c>
      <c r="AE346" s="9">
        <f>IF(ROUNDUP(T346/20,0)&gt;ROUNDUP(T345/20,0),"Lần " &amp; ROUNDUP(T346/20,0),"")</f>
        <v/>
      </c>
      <c r="AF346" s="9">
        <f>IF(ROUNDUP(U346/20,0)&gt;ROUNDUP(U345/20,0),"Lần " &amp; ROUNDUP(U346/20,0),"")</f>
        <v/>
      </c>
      <c r="AG346" s="9">
        <f>IF(ROUNDUP(V346/20,0)&gt;ROUNDUP(V345/20,0),"Lần " &amp; ROUNDUP(V346/20,0),"")</f>
        <v/>
      </c>
      <c r="AH346" s="9">
        <f>IF(ROUNDUP(W346/20,0)&gt;ROUNDUP(W345/20,0),"Lần " &amp; ROUNDUP(W346/20,0),"")</f>
        <v/>
      </c>
      <c r="AI346" s="9">
        <f>IF(ROUNDUP(X346/20,0)&gt;ROUNDUP(X345/20,0),"Lần " &amp; ROUNDUP(X346/20,0),"")</f>
        <v/>
      </c>
      <c r="AJ346" s="9">
        <f>IF(ROUNDUP(Y346/20,0)&gt;ROUNDUP(Y345/20,0),"Lần " &amp; ROUNDUP(Y346/20,0),"")</f>
        <v/>
      </c>
      <c r="AK346" s="9">
        <f>IF(ROUNDUP(Z346/20,0)&gt;ROUNDUP(Z345/20,0),"Lần " &amp; ROUNDUP(Z346/20,0),"")</f>
        <v/>
      </c>
      <c r="AL346" s="4" t="n"/>
      <c r="AN346" s="596" t="inlineStr">
        <is>
          <t>Coc</t>
        </is>
      </c>
      <c r="AO346" s="596" t="n">
        <v>24</v>
      </c>
      <c r="AQ346" s="594" t="n"/>
      <c r="AR346" s="595" t="n"/>
    </row>
    <row r="347" ht="19" customHeight="1" s="672">
      <c r="A347" s="4" t="n">
        <v>324</v>
      </c>
      <c r="B347" s="5" t="inlineStr">
        <is>
          <t>Cọc khoan nhồi C6 Mố M2 (D1.2m, L=36.0m)</t>
        </is>
      </c>
      <c r="C347" s="5" t="inlineStr">
        <is>
          <t>Cọc mố M2 L=36m (tr.66)</t>
        </is>
      </c>
      <c r="D347" s="14" t="inlineStr">
        <is>
          <t>P12</t>
        </is>
      </c>
      <c r="E347" s="15" t="n">
        <v>20</v>
      </c>
      <c r="F347" s="4" t="inlineStr">
        <is>
          <t>CB400-V</t>
        </is>
      </c>
      <c r="G347" s="5" t="inlineStr"/>
      <c r="H347" s="16" t="n">
        <v>0.583</v>
      </c>
      <c r="I347" s="17" t="n">
        <v>60</v>
      </c>
      <c r="J347" s="18" t="n">
        <v>2.466</v>
      </c>
      <c r="K347" s="7">
        <f>ROUND(H347*I347*J347, 2)</f>
        <v/>
      </c>
      <c r="L347" s="19">
        <f>ROUND(K347/1000, 3)</f>
        <v/>
      </c>
      <c r="M347" s="728">
        <f>IF(AO347="","",IF(N(INDEX(Theo_Doi_Tan_Suat_Be_Tong!$C:$C,AO347))&lt;=0,"",INDEX(Theo_Doi_Tan_Suat_Be_Tong!$C:$C,AO347)-VLOOKUP(AN347,$AQ$2:$AR$7,2,FALSE)))</f>
        <v/>
      </c>
      <c r="N347" s="4" t="n"/>
      <c r="O347" s="20">
        <f>IF(ROUNDUP(U347/20,0)&gt;ROUNDUP(U346/20,0),"TN Ø20 (Lần " &amp; ROUNDUP(U347/20,0) &amp; ")","")</f>
        <v/>
      </c>
      <c r="P347" s="16">
        <f>ROUND(P346+IF(AND(E347&lt;=10,F347&lt;&gt;"ASTM A416"),L347,0),3)</f>
        <v/>
      </c>
      <c r="Q347" s="16">
        <f>ROUND(Q346+IF(AND(E347=12,F347&lt;&gt;"ASTM A416"),L347,0),3)</f>
        <v/>
      </c>
      <c r="R347" s="16">
        <f>ROUND(R346+IF(AND(E347=14,F347&lt;&gt;"ASTM A416"),L347,0),3)</f>
        <v/>
      </c>
      <c r="S347" s="16">
        <f>ROUND(S346+IF(AND(E347=16,F347&lt;&gt;"ASTM A416"),L347,0),3)</f>
        <v/>
      </c>
      <c r="T347" s="16">
        <f>ROUND(T346+IF(AND(E347=18,F347&lt;&gt;"ASTM A416"),L347,0),3)</f>
        <v/>
      </c>
      <c r="U347" s="16">
        <f>ROUND(U346+IF(AND(E347=20,F347&lt;&gt;"ASTM A416"),L347,0),3)</f>
        <v/>
      </c>
      <c r="V347" s="16">
        <f>ROUND(V346+IF(AND(E347=22,F347&lt;&gt;"ASTM A416"),L347,0),3)</f>
        <v/>
      </c>
      <c r="W347" s="16">
        <f>ROUND(W346+IF(AND(E347=25,F347&lt;&gt;"ASTM A416"),L347,0),3)</f>
        <v/>
      </c>
      <c r="X347" s="16">
        <f>ROUND(X346+IF(AND(E347=28,F347&lt;&gt;"ASTM A416"),L347,0),3)</f>
        <v/>
      </c>
      <c r="Y347" s="16">
        <f>ROUND(Y346+IF(AND(E347=32,F347&lt;&gt;"ASTM A416"),L347,0),3)</f>
        <v/>
      </c>
      <c r="Z347" s="16">
        <f>ROUND(Z346+IF(F347="ASTM A416",L347,0),3)</f>
        <v/>
      </c>
      <c r="AA347" s="9">
        <f>IF(ROUNDUP(P347/20,0)&gt;ROUNDUP(P346/20,0),"Lần " &amp; ROUNDUP(P347/20,0),"")</f>
        <v/>
      </c>
      <c r="AB347" s="9">
        <f>IF(ROUNDUP(Q347/20,0)&gt;ROUNDUP(Q346/20,0),"Lần " &amp; ROUNDUP(Q347/20,0),"")</f>
        <v/>
      </c>
      <c r="AC347" s="9">
        <f>IF(ROUNDUP(R347/20,0)&gt;ROUNDUP(R346/20,0),"Lần " &amp; ROUNDUP(R347/20,0),"")</f>
        <v/>
      </c>
      <c r="AD347" s="9">
        <f>IF(ROUNDUP(S347/20,0)&gt;ROUNDUP(S346/20,0),"Lần " &amp; ROUNDUP(S347/20,0),"")</f>
        <v/>
      </c>
      <c r="AE347" s="9">
        <f>IF(ROUNDUP(T347/20,0)&gt;ROUNDUP(T346/20,0),"Lần " &amp; ROUNDUP(T347/20,0),"")</f>
        <v/>
      </c>
      <c r="AF347" s="9">
        <f>IF(ROUNDUP(U347/20,0)&gt;ROUNDUP(U346/20,0),"Lần " &amp; ROUNDUP(U347/20,0),"")</f>
        <v/>
      </c>
      <c r="AG347" s="9">
        <f>IF(ROUNDUP(V347/20,0)&gt;ROUNDUP(V346/20,0),"Lần " &amp; ROUNDUP(V347/20,0),"")</f>
        <v/>
      </c>
      <c r="AH347" s="9">
        <f>IF(ROUNDUP(W347/20,0)&gt;ROUNDUP(W346/20,0),"Lần " &amp; ROUNDUP(W347/20,0),"")</f>
        <v/>
      </c>
      <c r="AI347" s="9">
        <f>IF(ROUNDUP(X347/20,0)&gt;ROUNDUP(X346/20,0),"Lần " &amp; ROUNDUP(X347/20,0),"")</f>
        <v/>
      </c>
      <c r="AJ347" s="9">
        <f>IF(ROUNDUP(Y347/20,0)&gt;ROUNDUP(Y346/20,0),"Lần " &amp; ROUNDUP(Y347/20,0),"")</f>
        <v/>
      </c>
      <c r="AK347" s="9">
        <f>IF(ROUNDUP(Z347/20,0)&gt;ROUNDUP(Z346/20,0),"Lần " &amp; ROUNDUP(Z347/20,0),"")</f>
        <v/>
      </c>
      <c r="AL347" s="4" t="n"/>
      <c r="AN347" s="596" t="inlineStr">
        <is>
          <t>Coc</t>
        </is>
      </c>
      <c r="AO347" s="596" t="n">
        <v>24</v>
      </c>
      <c r="AQ347" s="594" t="n"/>
      <c r="AR347" s="595" t="n"/>
    </row>
    <row r="348" ht="19" customHeight="1" s="672">
      <c r="A348" s="4" t="n">
        <v>325</v>
      </c>
      <c r="B348" s="5" t="inlineStr">
        <is>
          <t>Cọc khoan nhồi C6 Mố M2 (D1.2m, L=36.0m)</t>
        </is>
      </c>
      <c r="C348" s="5" t="inlineStr">
        <is>
          <t>Cọc mố M2 L=36m (tr.66)</t>
        </is>
      </c>
      <c r="D348" s="14" t="inlineStr">
        <is>
          <t>P11</t>
        </is>
      </c>
      <c r="E348" s="15" t="n">
        <v>16</v>
      </c>
      <c r="F348" s="4" t="inlineStr">
        <is>
          <t>CB400-V</t>
        </is>
      </c>
      <c r="G348" s="5" t="inlineStr"/>
      <c r="H348" s="16" t="n">
        <v>2.484</v>
      </c>
      <c r="I348" s="17" t="n">
        <v>4</v>
      </c>
      <c r="J348" s="18" t="n">
        <v>1.578</v>
      </c>
      <c r="K348" s="7">
        <f>ROUND(H348*I348*J348, 2)</f>
        <v/>
      </c>
      <c r="L348" s="19">
        <f>ROUND(K348/1000, 3)</f>
        <v/>
      </c>
      <c r="M348" s="728">
        <f>IF(AO348="","",IF(N(INDEX(Theo_Doi_Tan_Suat_Be_Tong!$C:$C,AO348))&lt;=0,"",INDEX(Theo_Doi_Tan_Suat_Be_Tong!$C:$C,AO348)-VLOOKUP(AN348,$AQ$2:$AR$7,2,FALSE)))</f>
        <v/>
      </c>
      <c r="N348" s="4" t="n"/>
      <c r="O348" s="20">
        <f>IF(ROUNDUP(S348/20,0)&gt;ROUNDUP(S347/20,0),"TN Ø16 (Lần " &amp; ROUNDUP(S348/20,0) &amp; ")","")</f>
        <v/>
      </c>
      <c r="P348" s="16">
        <f>ROUND(P347+IF(AND(E348&lt;=10,F348&lt;&gt;"ASTM A416"),L348,0),3)</f>
        <v/>
      </c>
      <c r="Q348" s="16">
        <f>ROUND(Q347+IF(AND(E348=12,F348&lt;&gt;"ASTM A416"),L348,0),3)</f>
        <v/>
      </c>
      <c r="R348" s="16">
        <f>ROUND(R347+IF(AND(E348=14,F348&lt;&gt;"ASTM A416"),L348,0),3)</f>
        <v/>
      </c>
      <c r="S348" s="16">
        <f>ROUND(S347+IF(AND(E348=16,F348&lt;&gt;"ASTM A416"),L348,0),3)</f>
        <v/>
      </c>
      <c r="T348" s="16">
        <f>ROUND(T347+IF(AND(E348=18,F348&lt;&gt;"ASTM A416"),L348,0),3)</f>
        <v/>
      </c>
      <c r="U348" s="16">
        <f>ROUND(U347+IF(AND(E348=20,F348&lt;&gt;"ASTM A416"),L348,0),3)</f>
        <v/>
      </c>
      <c r="V348" s="16">
        <f>ROUND(V347+IF(AND(E348=22,F348&lt;&gt;"ASTM A416"),L348,0),3)</f>
        <v/>
      </c>
      <c r="W348" s="16">
        <f>ROUND(W347+IF(AND(E348=25,F348&lt;&gt;"ASTM A416"),L348,0),3)</f>
        <v/>
      </c>
      <c r="X348" s="16">
        <f>ROUND(X347+IF(AND(E348=28,F348&lt;&gt;"ASTM A416"),L348,0),3)</f>
        <v/>
      </c>
      <c r="Y348" s="16">
        <f>ROUND(Y347+IF(AND(E348=32,F348&lt;&gt;"ASTM A416"),L348,0),3)</f>
        <v/>
      </c>
      <c r="Z348" s="16">
        <f>ROUND(Z347+IF(F348="ASTM A416",L348,0),3)</f>
        <v/>
      </c>
      <c r="AA348" s="9">
        <f>IF(ROUNDUP(P348/20,0)&gt;ROUNDUP(P347/20,0),"Lần " &amp; ROUNDUP(P348/20,0),"")</f>
        <v/>
      </c>
      <c r="AB348" s="9">
        <f>IF(ROUNDUP(Q348/20,0)&gt;ROUNDUP(Q347/20,0),"Lần " &amp; ROUNDUP(Q348/20,0),"")</f>
        <v/>
      </c>
      <c r="AC348" s="9">
        <f>IF(ROUNDUP(R348/20,0)&gt;ROUNDUP(R347/20,0),"Lần " &amp; ROUNDUP(R348/20,0),"")</f>
        <v/>
      </c>
      <c r="AD348" s="9">
        <f>IF(ROUNDUP(S348/20,0)&gt;ROUNDUP(S347/20,0),"Lần " &amp; ROUNDUP(S348/20,0),"")</f>
        <v/>
      </c>
      <c r="AE348" s="9">
        <f>IF(ROUNDUP(T348/20,0)&gt;ROUNDUP(T347/20,0),"Lần " &amp; ROUNDUP(T348/20,0),"")</f>
        <v/>
      </c>
      <c r="AF348" s="9">
        <f>IF(ROUNDUP(U348/20,0)&gt;ROUNDUP(U347/20,0),"Lần " &amp; ROUNDUP(U348/20,0),"")</f>
        <v/>
      </c>
      <c r="AG348" s="9">
        <f>IF(ROUNDUP(V348/20,0)&gt;ROUNDUP(V347/20,0),"Lần " &amp; ROUNDUP(V348/20,0),"")</f>
        <v/>
      </c>
      <c r="AH348" s="9">
        <f>IF(ROUNDUP(W348/20,0)&gt;ROUNDUP(W347/20,0),"Lần " &amp; ROUNDUP(W348/20,0),"")</f>
        <v/>
      </c>
      <c r="AI348" s="9">
        <f>IF(ROUNDUP(X348/20,0)&gt;ROUNDUP(X347/20,0),"Lần " &amp; ROUNDUP(X348/20,0),"")</f>
        <v/>
      </c>
      <c r="AJ348" s="9">
        <f>IF(ROUNDUP(Y348/20,0)&gt;ROUNDUP(Y347/20,0),"Lần " &amp; ROUNDUP(Y348/20,0),"")</f>
        <v/>
      </c>
      <c r="AK348" s="9">
        <f>IF(ROUNDUP(Z348/20,0)&gt;ROUNDUP(Z347/20,0),"Lần " &amp; ROUNDUP(Z348/20,0),"")</f>
        <v/>
      </c>
      <c r="AL348" s="4" t="n"/>
      <c r="AN348" s="596" t="inlineStr">
        <is>
          <t>Coc</t>
        </is>
      </c>
      <c r="AO348" s="596" t="n">
        <v>24</v>
      </c>
      <c r="AQ348" s="594" t="n"/>
      <c r="AR348" s="595" t="n"/>
    </row>
    <row r="349" ht="19" customHeight="1" s="672">
      <c r="A349" s="668" t="inlineStr">
        <is>
          <t>--- CỌC KHOAN NHỒI C1 MỐ M2 (D1.2M, L=36.0M) ---</t>
        </is>
      </c>
      <c r="B349" s="722" t="n"/>
      <c r="C349" s="722" t="n"/>
      <c r="D349" s="722" t="n"/>
      <c r="E349" s="722" t="n"/>
      <c r="F349" s="722" t="n"/>
      <c r="G349" s="722" t="n"/>
      <c r="H349" s="722" t="n"/>
      <c r="I349" s="722" t="n"/>
      <c r="J349" s="722" t="n"/>
      <c r="K349" s="722" t="n"/>
      <c r="L349" s="722" t="n"/>
      <c r="M349" s="722" t="n"/>
      <c r="N349" s="722" t="n"/>
      <c r="O349" s="722" t="n"/>
      <c r="P349" s="722" t="n"/>
      <c r="Q349" s="722" t="n"/>
      <c r="R349" s="722" t="n"/>
      <c r="S349" s="722" t="n"/>
      <c r="T349" s="722" t="n"/>
      <c r="U349" s="722" t="n"/>
      <c r="V349" s="722" t="n"/>
      <c r="W349" s="722" t="n"/>
      <c r="X349" s="722" t="n"/>
      <c r="Y349" s="722" t="n"/>
      <c r="Z349" s="722" t="n"/>
      <c r="AA349" s="722" t="n"/>
      <c r="AB349" s="722" t="n"/>
      <c r="AC349" s="722" t="n"/>
      <c r="AD349" s="722" t="n"/>
      <c r="AE349" s="722" t="n"/>
      <c r="AF349" s="722" t="n"/>
      <c r="AG349" s="722" t="n"/>
      <c r="AH349" s="722" t="n"/>
      <c r="AI349" s="722" t="n"/>
      <c r="AJ349" s="722" t="n"/>
      <c r="AK349" s="722" t="n"/>
      <c r="AL349" s="721" t="n"/>
      <c r="AQ349" s="594" t="n"/>
      <c r="AR349" s="595" t="n"/>
    </row>
    <row r="350" ht="19" customHeight="1" s="672">
      <c r="A350" s="4" t="n">
        <v>326</v>
      </c>
      <c r="B350" s="5" t="inlineStr">
        <is>
          <t>Cọc khoan nhồi C1 Mố M2 (D1.2m, L=36.0m)</t>
        </is>
      </c>
      <c r="C350" s="5" t="inlineStr">
        <is>
          <t>Cọc mố M2 L=36m (tr.66)</t>
        </is>
      </c>
      <c r="D350" s="14" t="inlineStr">
        <is>
          <t>P1</t>
        </is>
      </c>
      <c r="E350" s="15" t="n">
        <v>10</v>
      </c>
      <c r="F350" s="4" t="inlineStr">
        <is>
          <t>CB240-T</t>
        </is>
      </c>
      <c r="G350" s="5" t="inlineStr"/>
      <c r="H350" s="16" t="n">
        <v>96.887</v>
      </c>
      <c r="I350" s="17" t="n">
        <v>1</v>
      </c>
      <c r="J350" s="18" t="n">
        <v>0.617</v>
      </c>
      <c r="K350" s="7">
        <f>ROUND(H350*I350*J350, 2)</f>
        <v/>
      </c>
      <c r="L350" s="19">
        <f>ROUND(K350/1000, 3)</f>
        <v/>
      </c>
      <c r="M350" s="728">
        <f>IF(AO350="","",IF(N(INDEX(Theo_Doi_Tan_Suat_Be_Tong!$C:$C,AO350))&lt;=0,"",INDEX(Theo_Doi_Tan_Suat_Be_Tong!$C:$C,AO350)-VLOOKUP(AN350,$AQ$2:$AR$7,2,FALSE)))</f>
        <v/>
      </c>
      <c r="N350" s="4" t="n"/>
      <c r="O350" s="20">
        <f>IF(ROUNDUP(P350/20,0)&gt;ROUNDUP(P348/20,0),"TN Ø10 (Lần " &amp; ROUNDUP(P350/20,0) &amp; ")","")</f>
        <v/>
      </c>
      <c r="P350" s="16">
        <f>ROUND(P348+IF(AND(E350&lt;=10,F350&lt;&gt;"ASTM A416"),L350,0),3)</f>
        <v/>
      </c>
      <c r="Q350" s="16">
        <f>ROUND(Q348+IF(AND(E350=12,F350&lt;&gt;"ASTM A416"),L350,0),3)</f>
        <v/>
      </c>
      <c r="R350" s="16">
        <f>ROUND(R348+IF(AND(E350=14,F350&lt;&gt;"ASTM A416"),L350,0),3)</f>
        <v/>
      </c>
      <c r="S350" s="16">
        <f>ROUND(S348+IF(AND(E350=16,F350&lt;&gt;"ASTM A416"),L350,0),3)</f>
        <v/>
      </c>
      <c r="T350" s="16">
        <f>ROUND(T348+IF(AND(E350=18,F350&lt;&gt;"ASTM A416"),L350,0),3)</f>
        <v/>
      </c>
      <c r="U350" s="16">
        <f>ROUND(U348+IF(AND(E350=20,F350&lt;&gt;"ASTM A416"),L350,0),3)</f>
        <v/>
      </c>
      <c r="V350" s="16">
        <f>ROUND(V348+IF(AND(E350=22,F350&lt;&gt;"ASTM A416"),L350,0),3)</f>
        <v/>
      </c>
      <c r="W350" s="16">
        <f>ROUND(W348+IF(AND(E350=25,F350&lt;&gt;"ASTM A416"),L350,0),3)</f>
        <v/>
      </c>
      <c r="X350" s="16">
        <f>ROUND(X348+IF(AND(E350=28,F350&lt;&gt;"ASTM A416"),L350,0),3)</f>
        <v/>
      </c>
      <c r="Y350" s="16">
        <f>ROUND(Y348+IF(AND(E350=32,F350&lt;&gt;"ASTM A416"),L350,0),3)</f>
        <v/>
      </c>
      <c r="Z350" s="16">
        <f>ROUND(Z348+IF(F350="ASTM A416",L350,0),3)</f>
        <v/>
      </c>
      <c r="AA350" s="9">
        <f>IF(ROUNDUP(P350/20,0)&gt;ROUNDUP(P348/20,0),"Lần " &amp; ROUNDUP(P350/20,0),"")</f>
        <v/>
      </c>
      <c r="AB350" s="9">
        <f>IF(ROUNDUP(Q350/20,0)&gt;ROUNDUP(Q348/20,0),"Lần " &amp; ROUNDUP(Q350/20,0),"")</f>
        <v/>
      </c>
      <c r="AC350" s="9">
        <f>IF(ROUNDUP(R350/20,0)&gt;ROUNDUP(R348/20,0),"Lần " &amp; ROUNDUP(R350/20,0),"")</f>
        <v/>
      </c>
      <c r="AD350" s="9">
        <f>IF(ROUNDUP(S350/20,0)&gt;ROUNDUP(S348/20,0),"Lần " &amp; ROUNDUP(S350/20,0),"")</f>
        <v/>
      </c>
      <c r="AE350" s="9">
        <f>IF(ROUNDUP(T350/20,0)&gt;ROUNDUP(T348/20,0),"Lần " &amp; ROUNDUP(T350/20,0),"")</f>
        <v/>
      </c>
      <c r="AF350" s="9">
        <f>IF(ROUNDUP(U350/20,0)&gt;ROUNDUP(U348/20,0),"Lần " &amp; ROUNDUP(U350/20,0),"")</f>
        <v/>
      </c>
      <c r="AG350" s="9">
        <f>IF(ROUNDUP(V350/20,0)&gt;ROUNDUP(V348/20,0),"Lần " &amp; ROUNDUP(V350/20,0),"")</f>
        <v/>
      </c>
      <c r="AH350" s="9">
        <f>IF(ROUNDUP(W350/20,0)&gt;ROUNDUP(W348/20,0),"Lần " &amp; ROUNDUP(W350/20,0),"")</f>
        <v/>
      </c>
      <c r="AI350" s="9">
        <f>IF(ROUNDUP(X350/20,0)&gt;ROUNDUP(X348/20,0),"Lần " &amp; ROUNDUP(X350/20,0),"")</f>
        <v/>
      </c>
      <c r="AJ350" s="9">
        <f>IF(ROUNDUP(Y350/20,0)&gt;ROUNDUP(Y348/20,0),"Lần " &amp; ROUNDUP(Y350/20,0),"")</f>
        <v/>
      </c>
      <c r="AK350" s="9">
        <f>IF(ROUNDUP(Z350/20,0)&gt;ROUNDUP(Z348/20,0),"Lần " &amp; ROUNDUP(Z350/20,0),"")</f>
        <v/>
      </c>
      <c r="AL350" s="4" t="n"/>
      <c r="AN350" s="596" t="inlineStr">
        <is>
          <t>Coc</t>
        </is>
      </c>
      <c r="AO350" s="596" t="n">
        <v>25</v>
      </c>
      <c r="AQ350" s="594" t="n"/>
      <c r="AR350" s="595" t="n"/>
    </row>
    <row r="351" ht="19" customHeight="1" s="672">
      <c r="A351" s="4" t="n">
        <v>327</v>
      </c>
      <c r="B351" s="5" t="inlineStr">
        <is>
          <t>Cọc khoan nhồi C1 Mố M2 (D1.2m, L=36.0m)</t>
        </is>
      </c>
      <c r="C351" s="5" t="inlineStr">
        <is>
          <t>Cọc mố M2 L=36m (tr.66)</t>
        </is>
      </c>
      <c r="D351" s="14" t="inlineStr">
        <is>
          <t>P1A</t>
        </is>
      </c>
      <c r="E351" s="15" t="n">
        <v>10</v>
      </c>
      <c r="F351" s="4" t="inlineStr">
        <is>
          <t>CB240-T</t>
        </is>
      </c>
      <c r="G351" s="5" t="inlineStr"/>
      <c r="H351" s="16" t="n">
        <v>390.776</v>
      </c>
      <c r="I351" s="17" t="n">
        <v>1</v>
      </c>
      <c r="J351" s="18" t="n">
        <v>0.617</v>
      </c>
      <c r="K351" s="7">
        <f>ROUND(H351*I351*J351, 2)</f>
        <v/>
      </c>
      <c r="L351" s="19">
        <f>ROUND(K351/1000, 3)</f>
        <v/>
      </c>
      <c r="M351" s="728">
        <f>IF(AO351="","",IF(N(INDEX(Theo_Doi_Tan_Suat_Be_Tong!$C:$C,AO351))&lt;=0,"",INDEX(Theo_Doi_Tan_Suat_Be_Tong!$C:$C,AO351)-VLOOKUP(AN351,$AQ$2:$AR$7,2,FALSE)))</f>
        <v/>
      </c>
      <c r="N351" s="4" t="n"/>
      <c r="O351" s="20">
        <f>IF(ROUNDUP(P351/20,0)&gt;ROUNDUP(P350/20,0),"TN Ø10 (Lần " &amp; ROUNDUP(P351/20,0) &amp; ")","")</f>
        <v/>
      </c>
      <c r="P351" s="16">
        <f>ROUND(P350+IF(AND(E351&lt;=10,F351&lt;&gt;"ASTM A416"),L351,0),3)</f>
        <v/>
      </c>
      <c r="Q351" s="16">
        <f>ROUND(Q350+IF(AND(E351=12,F351&lt;&gt;"ASTM A416"),L351,0),3)</f>
        <v/>
      </c>
      <c r="R351" s="16">
        <f>ROUND(R350+IF(AND(E351=14,F351&lt;&gt;"ASTM A416"),L351,0),3)</f>
        <v/>
      </c>
      <c r="S351" s="16">
        <f>ROUND(S350+IF(AND(E351=16,F351&lt;&gt;"ASTM A416"),L351,0),3)</f>
        <v/>
      </c>
      <c r="T351" s="16">
        <f>ROUND(T350+IF(AND(E351=18,F351&lt;&gt;"ASTM A416"),L351,0),3)</f>
        <v/>
      </c>
      <c r="U351" s="16">
        <f>ROUND(U350+IF(AND(E351=20,F351&lt;&gt;"ASTM A416"),L351,0),3)</f>
        <v/>
      </c>
      <c r="V351" s="16">
        <f>ROUND(V350+IF(AND(E351=22,F351&lt;&gt;"ASTM A416"),L351,0),3)</f>
        <v/>
      </c>
      <c r="W351" s="16">
        <f>ROUND(W350+IF(AND(E351=25,F351&lt;&gt;"ASTM A416"),L351,0),3)</f>
        <v/>
      </c>
      <c r="X351" s="16">
        <f>ROUND(X350+IF(AND(E351=28,F351&lt;&gt;"ASTM A416"),L351,0),3)</f>
        <v/>
      </c>
      <c r="Y351" s="16">
        <f>ROUND(Y350+IF(AND(E351=32,F351&lt;&gt;"ASTM A416"),L351,0),3)</f>
        <v/>
      </c>
      <c r="Z351" s="16">
        <f>ROUND(Z350+IF(F351="ASTM A416",L351,0),3)</f>
        <v/>
      </c>
      <c r="AA351" s="9">
        <f>IF(ROUNDUP(P351/20,0)&gt;ROUNDUP(P350/20,0),"Lần " &amp; ROUNDUP(P351/20,0),"")</f>
        <v/>
      </c>
      <c r="AB351" s="9">
        <f>IF(ROUNDUP(Q351/20,0)&gt;ROUNDUP(Q350/20,0),"Lần " &amp; ROUNDUP(Q351/20,0),"")</f>
        <v/>
      </c>
      <c r="AC351" s="9">
        <f>IF(ROUNDUP(R351/20,0)&gt;ROUNDUP(R350/20,0),"Lần " &amp; ROUNDUP(R351/20,0),"")</f>
        <v/>
      </c>
      <c r="AD351" s="9">
        <f>IF(ROUNDUP(S351/20,0)&gt;ROUNDUP(S350/20,0),"Lần " &amp; ROUNDUP(S351/20,0),"")</f>
        <v/>
      </c>
      <c r="AE351" s="9">
        <f>IF(ROUNDUP(T351/20,0)&gt;ROUNDUP(T350/20,0),"Lần " &amp; ROUNDUP(T351/20,0),"")</f>
        <v/>
      </c>
      <c r="AF351" s="9">
        <f>IF(ROUNDUP(U351/20,0)&gt;ROUNDUP(U350/20,0),"Lần " &amp; ROUNDUP(U351/20,0),"")</f>
        <v/>
      </c>
      <c r="AG351" s="9">
        <f>IF(ROUNDUP(V351/20,0)&gt;ROUNDUP(V350/20,0),"Lần " &amp; ROUNDUP(V351/20,0),"")</f>
        <v/>
      </c>
      <c r="AH351" s="9">
        <f>IF(ROUNDUP(W351/20,0)&gt;ROUNDUP(W350/20,0),"Lần " &amp; ROUNDUP(W351/20,0),"")</f>
        <v/>
      </c>
      <c r="AI351" s="9">
        <f>IF(ROUNDUP(X351/20,0)&gt;ROUNDUP(X350/20,0),"Lần " &amp; ROUNDUP(X351/20,0),"")</f>
        <v/>
      </c>
      <c r="AJ351" s="9">
        <f>IF(ROUNDUP(Y351/20,0)&gt;ROUNDUP(Y350/20,0),"Lần " &amp; ROUNDUP(Y351/20,0),"")</f>
        <v/>
      </c>
      <c r="AK351" s="9">
        <f>IF(ROUNDUP(Z351/20,0)&gt;ROUNDUP(Z350/20,0),"Lần " &amp; ROUNDUP(Z351/20,0),"")</f>
        <v/>
      </c>
      <c r="AL351" s="4" t="n"/>
      <c r="AN351" s="596" t="inlineStr">
        <is>
          <t>Coc</t>
        </is>
      </c>
      <c r="AO351" s="596" t="n">
        <v>25</v>
      </c>
      <c r="AQ351" s="594" t="n"/>
      <c r="AR351" s="595" t="n"/>
    </row>
    <row r="352" ht="19" customHeight="1" s="672">
      <c r="A352" s="4" t="n">
        <v>328</v>
      </c>
      <c r="B352" s="5" t="inlineStr">
        <is>
          <t>Cọc khoan nhồi C1 Mố M2 (D1.2m, L=36.0m)</t>
        </is>
      </c>
      <c r="C352" s="5" t="inlineStr">
        <is>
          <t>Cọc mố M2 L=36m (tr.66)</t>
        </is>
      </c>
      <c r="D352" s="14" t="inlineStr">
        <is>
          <t>P1B</t>
        </is>
      </c>
      <c r="E352" s="15" t="n">
        <v>10</v>
      </c>
      <c r="F352" s="4" t="inlineStr">
        <is>
          <t>CB240-T</t>
        </is>
      </c>
      <c r="G352" s="5" t="inlineStr"/>
      <c r="H352" s="16" t="n">
        <v>164.938</v>
      </c>
      <c r="I352" s="17" t="n">
        <v>1</v>
      </c>
      <c r="J352" s="18" t="n">
        <v>0.617</v>
      </c>
      <c r="K352" s="7">
        <f>ROUND(H352*I352*J352, 2)</f>
        <v/>
      </c>
      <c r="L352" s="19">
        <f>ROUND(K352/1000, 3)</f>
        <v/>
      </c>
      <c r="M352" s="728">
        <f>IF(AO352="","",IF(N(INDEX(Theo_Doi_Tan_Suat_Be_Tong!$C:$C,AO352))&lt;=0,"",INDEX(Theo_Doi_Tan_Suat_Be_Tong!$C:$C,AO352)-VLOOKUP(AN352,$AQ$2:$AR$7,2,FALSE)))</f>
        <v/>
      </c>
      <c r="N352" s="4" t="n"/>
      <c r="O352" s="20">
        <f>IF(ROUNDUP(P352/20,0)&gt;ROUNDUP(P351/20,0),"TN Ø10 (Lần " &amp; ROUNDUP(P352/20,0) &amp; ")","")</f>
        <v/>
      </c>
      <c r="P352" s="16">
        <f>ROUND(P351+IF(AND(E352&lt;=10,F352&lt;&gt;"ASTM A416"),L352,0),3)</f>
        <v/>
      </c>
      <c r="Q352" s="16">
        <f>ROUND(Q351+IF(AND(E352=12,F352&lt;&gt;"ASTM A416"),L352,0),3)</f>
        <v/>
      </c>
      <c r="R352" s="16">
        <f>ROUND(R351+IF(AND(E352=14,F352&lt;&gt;"ASTM A416"),L352,0),3)</f>
        <v/>
      </c>
      <c r="S352" s="16">
        <f>ROUND(S351+IF(AND(E352=16,F352&lt;&gt;"ASTM A416"),L352,0),3)</f>
        <v/>
      </c>
      <c r="T352" s="16">
        <f>ROUND(T351+IF(AND(E352=18,F352&lt;&gt;"ASTM A416"),L352,0),3)</f>
        <v/>
      </c>
      <c r="U352" s="16">
        <f>ROUND(U351+IF(AND(E352=20,F352&lt;&gt;"ASTM A416"),L352,0),3)</f>
        <v/>
      </c>
      <c r="V352" s="16">
        <f>ROUND(V351+IF(AND(E352=22,F352&lt;&gt;"ASTM A416"),L352,0),3)</f>
        <v/>
      </c>
      <c r="W352" s="16">
        <f>ROUND(W351+IF(AND(E352=25,F352&lt;&gt;"ASTM A416"),L352,0),3)</f>
        <v/>
      </c>
      <c r="X352" s="16">
        <f>ROUND(X351+IF(AND(E352=28,F352&lt;&gt;"ASTM A416"),L352,0),3)</f>
        <v/>
      </c>
      <c r="Y352" s="16">
        <f>ROUND(Y351+IF(AND(E352=32,F352&lt;&gt;"ASTM A416"),L352,0),3)</f>
        <v/>
      </c>
      <c r="Z352" s="16">
        <f>ROUND(Z351+IF(F352="ASTM A416",L352,0),3)</f>
        <v/>
      </c>
      <c r="AA352" s="9">
        <f>IF(ROUNDUP(P352/20,0)&gt;ROUNDUP(P351/20,0),"Lần " &amp; ROUNDUP(P352/20,0),"")</f>
        <v/>
      </c>
      <c r="AB352" s="9">
        <f>IF(ROUNDUP(Q352/20,0)&gt;ROUNDUP(Q351/20,0),"Lần " &amp; ROUNDUP(Q352/20,0),"")</f>
        <v/>
      </c>
      <c r="AC352" s="9">
        <f>IF(ROUNDUP(R352/20,0)&gt;ROUNDUP(R351/20,0),"Lần " &amp; ROUNDUP(R352/20,0),"")</f>
        <v/>
      </c>
      <c r="AD352" s="9">
        <f>IF(ROUNDUP(S352/20,0)&gt;ROUNDUP(S351/20,0),"Lần " &amp; ROUNDUP(S352/20,0),"")</f>
        <v/>
      </c>
      <c r="AE352" s="9">
        <f>IF(ROUNDUP(T352/20,0)&gt;ROUNDUP(T351/20,0),"Lần " &amp; ROUNDUP(T352/20,0),"")</f>
        <v/>
      </c>
      <c r="AF352" s="9">
        <f>IF(ROUNDUP(U352/20,0)&gt;ROUNDUP(U351/20,0),"Lần " &amp; ROUNDUP(U352/20,0),"")</f>
        <v/>
      </c>
      <c r="AG352" s="9">
        <f>IF(ROUNDUP(V352/20,0)&gt;ROUNDUP(V351/20,0),"Lần " &amp; ROUNDUP(V352/20,0),"")</f>
        <v/>
      </c>
      <c r="AH352" s="9">
        <f>IF(ROUNDUP(W352/20,0)&gt;ROUNDUP(W351/20,0),"Lần " &amp; ROUNDUP(W352/20,0),"")</f>
        <v/>
      </c>
      <c r="AI352" s="9">
        <f>IF(ROUNDUP(X352/20,0)&gt;ROUNDUP(X351/20,0),"Lần " &amp; ROUNDUP(X352/20,0),"")</f>
        <v/>
      </c>
      <c r="AJ352" s="9">
        <f>IF(ROUNDUP(Y352/20,0)&gt;ROUNDUP(Y351/20,0),"Lần " &amp; ROUNDUP(Y352/20,0),"")</f>
        <v/>
      </c>
      <c r="AK352" s="9">
        <f>IF(ROUNDUP(Z352/20,0)&gt;ROUNDUP(Z351/20,0),"Lần " &amp; ROUNDUP(Z352/20,0),"")</f>
        <v/>
      </c>
      <c r="AL352" s="4" t="n"/>
      <c r="AN352" s="596" t="inlineStr">
        <is>
          <t>Coc</t>
        </is>
      </c>
      <c r="AO352" s="596" t="n">
        <v>25</v>
      </c>
      <c r="AQ352" s="594" t="n"/>
      <c r="AR352" s="595" t="n"/>
    </row>
    <row r="353" ht="19" customHeight="1" s="672">
      <c r="A353" s="4" t="n">
        <v>329</v>
      </c>
      <c r="B353" s="5" t="inlineStr">
        <is>
          <t>Cọc khoan nhồi C1 Mố M2 (D1.2m, L=36.0m)</t>
        </is>
      </c>
      <c r="C353" s="5" t="inlineStr">
        <is>
          <t>Cọc mố M2 L=36m (tr.66)</t>
        </is>
      </c>
      <c r="D353" s="14" t="inlineStr">
        <is>
          <t>P1C</t>
        </is>
      </c>
      <c r="E353" s="15" t="n">
        <v>10</v>
      </c>
      <c r="F353" s="4" t="inlineStr">
        <is>
          <t>CB240-T</t>
        </is>
      </c>
      <c r="G353" s="5" t="inlineStr"/>
      <c r="H353" s="16" t="n">
        <v>3.592</v>
      </c>
      <c r="I353" s="17" t="n">
        <v>2</v>
      </c>
      <c r="J353" s="18" t="n">
        <v>0.617</v>
      </c>
      <c r="K353" s="7">
        <f>ROUND(H353*I353*J353, 2)</f>
        <v/>
      </c>
      <c r="L353" s="19">
        <f>ROUND(K353/1000, 3)</f>
        <v/>
      </c>
      <c r="M353" s="728">
        <f>IF(AO353="","",IF(N(INDEX(Theo_Doi_Tan_Suat_Be_Tong!$C:$C,AO353))&lt;=0,"",INDEX(Theo_Doi_Tan_Suat_Be_Tong!$C:$C,AO353)-VLOOKUP(AN353,$AQ$2:$AR$7,2,FALSE)))</f>
        <v/>
      </c>
      <c r="N353" s="4" t="n"/>
      <c r="O353" s="20">
        <f>IF(ROUNDUP(P353/20,0)&gt;ROUNDUP(P352/20,0),"TN Ø10 (Lần " &amp; ROUNDUP(P353/20,0) &amp; ")","")</f>
        <v/>
      </c>
      <c r="P353" s="16">
        <f>ROUND(P352+IF(AND(E353&lt;=10,F353&lt;&gt;"ASTM A416"),L353,0),3)</f>
        <v/>
      </c>
      <c r="Q353" s="16">
        <f>ROUND(Q352+IF(AND(E353=12,F353&lt;&gt;"ASTM A416"),L353,0),3)</f>
        <v/>
      </c>
      <c r="R353" s="16">
        <f>ROUND(R352+IF(AND(E353=14,F353&lt;&gt;"ASTM A416"),L353,0),3)</f>
        <v/>
      </c>
      <c r="S353" s="16">
        <f>ROUND(S352+IF(AND(E353=16,F353&lt;&gt;"ASTM A416"),L353,0),3)</f>
        <v/>
      </c>
      <c r="T353" s="16">
        <f>ROUND(T352+IF(AND(E353=18,F353&lt;&gt;"ASTM A416"),L353,0),3)</f>
        <v/>
      </c>
      <c r="U353" s="16">
        <f>ROUND(U352+IF(AND(E353=20,F353&lt;&gt;"ASTM A416"),L353,0),3)</f>
        <v/>
      </c>
      <c r="V353" s="16">
        <f>ROUND(V352+IF(AND(E353=22,F353&lt;&gt;"ASTM A416"),L353,0),3)</f>
        <v/>
      </c>
      <c r="W353" s="16">
        <f>ROUND(W352+IF(AND(E353=25,F353&lt;&gt;"ASTM A416"),L353,0),3)</f>
        <v/>
      </c>
      <c r="X353" s="16">
        <f>ROUND(X352+IF(AND(E353=28,F353&lt;&gt;"ASTM A416"),L353,0),3)</f>
        <v/>
      </c>
      <c r="Y353" s="16">
        <f>ROUND(Y352+IF(AND(E353=32,F353&lt;&gt;"ASTM A416"),L353,0),3)</f>
        <v/>
      </c>
      <c r="Z353" s="16">
        <f>ROUND(Z352+IF(F353="ASTM A416",L353,0),3)</f>
        <v/>
      </c>
      <c r="AA353" s="9">
        <f>IF(ROUNDUP(P353/20,0)&gt;ROUNDUP(P352/20,0),"Lần " &amp; ROUNDUP(P353/20,0),"")</f>
        <v/>
      </c>
      <c r="AB353" s="9">
        <f>IF(ROUNDUP(Q353/20,0)&gt;ROUNDUP(Q352/20,0),"Lần " &amp; ROUNDUP(Q353/20,0),"")</f>
        <v/>
      </c>
      <c r="AC353" s="9">
        <f>IF(ROUNDUP(R353/20,0)&gt;ROUNDUP(R352/20,0),"Lần " &amp; ROUNDUP(R353/20,0),"")</f>
        <v/>
      </c>
      <c r="AD353" s="9">
        <f>IF(ROUNDUP(S353/20,0)&gt;ROUNDUP(S352/20,0),"Lần " &amp; ROUNDUP(S353/20,0),"")</f>
        <v/>
      </c>
      <c r="AE353" s="9">
        <f>IF(ROUNDUP(T353/20,0)&gt;ROUNDUP(T352/20,0),"Lần " &amp; ROUNDUP(T353/20,0),"")</f>
        <v/>
      </c>
      <c r="AF353" s="9">
        <f>IF(ROUNDUP(U353/20,0)&gt;ROUNDUP(U352/20,0),"Lần " &amp; ROUNDUP(U353/20,0),"")</f>
        <v/>
      </c>
      <c r="AG353" s="9">
        <f>IF(ROUNDUP(V353/20,0)&gt;ROUNDUP(V352/20,0),"Lần " &amp; ROUNDUP(V353/20,0),"")</f>
        <v/>
      </c>
      <c r="AH353" s="9">
        <f>IF(ROUNDUP(W353/20,0)&gt;ROUNDUP(W352/20,0),"Lần " &amp; ROUNDUP(W353/20,0),"")</f>
        <v/>
      </c>
      <c r="AI353" s="9">
        <f>IF(ROUNDUP(X353/20,0)&gt;ROUNDUP(X352/20,0),"Lần " &amp; ROUNDUP(X353/20,0),"")</f>
        <v/>
      </c>
      <c r="AJ353" s="9">
        <f>IF(ROUNDUP(Y353/20,0)&gt;ROUNDUP(Y352/20,0),"Lần " &amp; ROUNDUP(Y353/20,0),"")</f>
        <v/>
      </c>
      <c r="AK353" s="9">
        <f>IF(ROUNDUP(Z353/20,0)&gt;ROUNDUP(Z352/20,0),"Lần " &amp; ROUNDUP(Z353/20,0),"")</f>
        <v/>
      </c>
      <c r="AL353" s="4" t="n"/>
      <c r="AN353" s="596" t="inlineStr">
        <is>
          <t>Coc</t>
        </is>
      </c>
      <c r="AO353" s="596" t="n">
        <v>25</v>
      </c>
      <c r="AQ353" s="594" t="n"/>
      <c r="AR353" s="595" t="n"/>
    </row>
    <row r="354" ht="19" customHeight="1" s="672">
      <c r="A354" s="4" t="n">
        <v>330</v>
      </c>
      <c r="B354" s="5" t="inlineStr">
        <is>
          <t>Cọc khoan nhồi C1 Mố M2 (D1.2m, L=36.0m)</t>
        </is>
      </c>
      <c r="C354" s="5" t="inlineStr">
        <is>
          <t>Cọc mố M2 L=36m (tr.66)</t>
        </is>
      </c>
      <c r="D354" s="14" t="inlineStr">
        <is>
          <t>P1D</t>
        </is>
      </c>
      <c r="E354" s="15" t="n">
        <v>10</v>
      </c>
      <c r="F354" s="4" t="inlineStr">
        <is>
          <t>CB240-T</t>
        </is>
      </c>
      <c r="G354" s="5" t="inlineStr"/>
      <c r="H354" s="16" t="n">
        <v>23.007</v>
      </c>
      <c r="I354" s="17" t="n">
        <v>1</v>
      </c>
      <c r="J354" s="18" t="n">
        <v>0.617</v>
      </c>
      <c r="K354" s="7">
        <f>ROUND(H354*I354*J354, 2)</f>
        <v/>
      </c>
      <c r="L354" s="19">
        <f>ROUND(K354/1000, 3)</f>
        <v/>
      </c>
      <c r="M354" s="728">
        <f>IF(AO354="","",IF(N(INDEX(Theo_Doi_Tan_Suat_Be_Tong!$C:$C,AO354))&lt;=0,"",INDEX(Theo_Doi_Tan_Suat_Be_Tong!$C:$C,AO354)-VLOOKUP(AN354,$AQ$2:$AR$7,2,FALSE)))</f>
        <v/>
      </c>
      <c r="N354" s="4" t="n"/>
      <c r="O354" s="20">
        <f>IF(ROUNDUP(P354/20,0)&gt;ROUNDUP(P353/20,0),"TN Ø10 (Lần " &amp; ROUNDUP(P354/20,0) &amp; ")","")</f>
        <v/>
      </c>
      <c r="P354" s="16">
        <f>ROUND(P353+IF(AND(E354&lt;=10,F354&lt;&gt;"ASTM A416"),L354,0),3)</f>
        <v/>
      </c>
      <c r="Q354" s="16">
        <f>ROUND(Q353+IF(AND(E354=12,F354&lt;&gt;"ASTM A416"),L354,0),3)</f>
        <v/>
      </c>
      <c r="R354" s="16">
        <f>ROUND(R353+IF(AND(E354=14,F354&lt;&gt;"ASTM A416"),L354,0),3)</f>
        <v/>
      </c>
      <c r="S354" s="16">
        <f>ROUND(S353+IF(AND(E354=16,F354&lt;&gt;"ASTM A416"),L354,0),3)</f>
        <v/>
      </c>
      <c r="T354" s="16">
        <f>ROUND(T353+IF(AND(E354=18,F354&lt;&gt;"ASTM A416"),L354,0),3)</f>
        <v/>
      </c>
      <c r="U354" s="16">
        <f>ROUND(U353+IF(AND(E354=20,F354&lt;&gt;"ASTM A416"),L354,0),3)</f>
        <v/>
      </c>
      <c r="V354" s="16">
        <f>ROUND(V353+IF(AND(E354=22,F354&lt;&gt;"ASTM A416"),L354,0),3)</f>
        <v/>
      </c>
      <c r="W354" s="16">
        <f>ROUND(W353+IF(AND(E354=25,F354&lt;&gt;"ASTM A416"),L354,0),3)</f>
        <v/>
      </c>
      <c r="X354" s="16">
        <f>ROUND(X353+IF(AND(E354=28,F354&lt;&gt;"ASTM A416"),L354,0),3)</f>
        <v/>
      </c>
      <c r="Y354" s="16">
        <f>ROUND(Y353+IF(AND(E354=32,F354&lt;&gt;"ASTM A416"),L354,0),3)</f>
        <v/>
      </c>
      <c r="Z354" s="16">
        <f>ROUND(Z353+IF(F354="ASTM A416",L354,0),3)</f>
        <v/>
      </c>
      <c r="AA354" s="9">
        <f>IF(ROUNDUP(P354/20,0)&gt;ROUNDUP(P353/20,0),"Lần " &amp; ROUNDUP(P354/20,0),"")</f>
        <v/>
      </c>
      <c r="AB354" s="9">
        <f>IF(ROUNDUP(Q354/20,0)&gt;ROUNDUP(Q353/20,0),"Lần " &amp; ROUNDUP(Q354/20,0),"")</f>
        <v/>
      </c>
      <c r="AC354" s="9">
        <f>IF(ROUNDUP(R354/20,0)&gt;ROUNDUP(R353/20,0),"Lần " &amp; ROUNDUP(R354/20,0),"")</f>
        <v/>
      </c>
      <c r="AD354" s="9">
        <f>IF(ROUNDUP(S354/20,0)&gt;ROUNDUP(S353/20,0),"Lần " &amp; ROUNDUP(S354/20,0),"")</f>
        <v/>
      </c>
      <c r="AE354" s="9">
        <f>IF(ROUNDUP(T354/20,0)&gt;ROUNDUP(T353/20,0),"Lần " &amp; ROUNDUP(T354/20,0),"")</f>
        <v/>
      </c>
      <c r="AF354" s="9">
        <f>IF(ROUNDUP(U354/20,0)&gt;ROUNDUP(U353/20,0),"Lần " &amp; ROUNDUP(U354/20,0),"")</f>
        <v/>
      </c>
      <c r="AG354" s="9">
        <f>IF(ROUNDUP(V354/20,0)&gt;ROUNDUP(V353/20,0),"Lần " &amp; ROUNDUP(V354/20,0),"")</f>
        <v/>
      </c>
      <c r="AH354" s="9">
        <f>IF(ROUNDUP(W354/20,0)&gt;ROUNDUP(W353/20,0),"Lần " &amp; ROUNDUP(W354/20,0),"")</f>
        <v/>
      </c>
      <c r="AI354" s="9">
        <f>IF(ROUNDUP(X354/20,0)&gt;ROUNDUP(X353/20,0),"Lần " &amp; ROUNDUP(X354/20,0),"")</f>
        <v/>
      </c>
      <c r="AJ354" s="9">
        <f>IF(ROUNDUP(Y354/20,0)&gt;ROUNDUP(Y353/20,0),"Lần " &amp; ROUNDUP(Y354/20,0),"")</f>
        <v/>
      </c>
      <c r="AK354" s="9">
        <f>IF(ROUNDUP(Z354/20,0)&gt;ROUNDUP(Z353/20,0),"Lần " &amp; ROUNDUP(Z354/20,0),"")</f>
        <v/>
      </c>
      <c r="AL354" s="4" t="n"/>
      <c r="AN354" s="596" t="inlineStr">
        <is>
          <t>Coc</t>
        </is>
      </c>
      <c r="AO354" s="596" t="n">
        <v>25</v>
      </c>
      <c r="AQ354" s="594" t="n"/>
      <c r="AR354" s="595" t="n"/>
    </row>
    <row r="355" ht="19" customHeight="1" s="672">
      <c r="A355" s="4" t="n">
        <v>331</v>
      </c>
      <c r="B355" s="5" t="inlineStr">
        <is>
          <t>Cọc khoan nhồi C1 Mố M2 (D1.2m, L=36.0m)</t>
        </is>
      </c>
      <c r="C355" s="5" t="inlineStr">
        <is>
          <t>Cọc mố M2 L=36m (tr.66)</t>
        </is>
      </c>
      <c r="D355" s="14" t="inlineStr">
        <is>
          <t>P2A</t>
        </is>
      </c>
      <c r="E355" s="15" t="n">
        <v>28</v>
      </c>
      <c r="F355" s="4" t="inlineStr">
        <is>
          <t>CB400-V</t>
        </is>
      </c>
      <c r="G355" s="5" t="inlineStr"/>
      <c r="H355" s="16" t="n">
        <v>2.966</v>
      </c>
      <c r="I355" s="17" t="n">
        <v>5</v>
      </c>
      <c r="J355" s="18" t="n">
        <v>4.834</v>
      </c>
      <c r="K355" s="7">
        <f>ROUND(H355*I355*J355, 2)</f>
        <v/>
      </c>
      <c r="L355" s="19">
        <f>ROUND(K355/1000, 3)</f>
        <v/>
      </c>
      <c r="M355" s="728">
        <f>IF(AO355="","",IF(N(INDEX(Theo_Doi_Tan_Suat_Be_Tong!$C:$C,AO355))&lt;=0,"",INDEX(Theo_Doi_Tan_Suat_Be_Tong!$C:$C,AO355)-VLOOKUP(AN355,$AQ$2:$AR$7,2,FALSE)))</f>
        <v/>
      </c>
      <c r="N355" s="4" t="n"/>
      <c r="O355" s="20">
        <f>IF(ROUNDUP(X355/20,0)&gt;ROUNDUP(X354/20,0),"TN Ø28 (Lần " &amp; ROUNDUP(X355/20,0) &amp; ")","")</f>
        <v/>
      </c>
      <c r="P355" s="16">
        <f>ROUND(P354+IF(AND(E355&lt;=10,F355&lt;&gt;"ASTM A416"),L355,0),3)</f>
        <v/>
      </c>
      <c r="Q355" s="16">
        <f>ROUND(Q354+IF(AND(E355=12,F355&lt;&gt;"ASTM A416"),L355,0),3)</f>
        <v/>
      </c>
      <c r="R355" s="16">
        <f>ROUND(R354+IF(AND(E355=14,F355&lt;&gt;"ASTM A416"),L355,0),3)</f>
        <v/>
      </c>
      <c r="S355" s="16">
        <f>ROUND(S354+IF(AND(E355=16,F355&lt;&gt;"ASTM A416"),L355,0),3)</f>
        <v/>
      </c>
      <c r="T355" s="16">
        <f>ROUND(T354+IF(AND(E355=18,F355&lt;&gt;"ASTM A416"),L355,0),3)</f>
        <v/>
      </c>
      <c r="U355" s="16">
        <f>ROUND(U354+IF(AND(E355=20,F355&lt;&gt;"ASTM A416"),L355,0),3)</f>
        <v/>
      </c>
      <c r="V355" s="16">
        <f>ROUND(V354+IF(AND(E355=22,F355&lt;&gt;"ASTM A416"),L355,0),3)</f>
        <v/>
      </c>
      <c r="W355" s="16">
        <f>ROUND(W354+IF(AND(E355=25,F355&lt;&gt;"ASTM A416"),L355,0),3)</f>
        <v/>
      </c>
      <c r="X355" s="16">
        <f>ROUND(X354+IF(AND(E355=28,F355&lt;&gt;"ASTM A416"),L355,0),3)</f>
        <v/>
      </c>
      <c r="Y355" s="16">
        <f>ROUND(Y354+IF(AND(E355=32,F355&lt;&gt;"ASTM A416"),L355,0),3)</f>
        <v/>
      </c>
      <c r="Z355" s="16">
        <f>ROUND(Z354+IF(F355="ASTM A416",L355,0),3)</f>
        <v/>
      </c>
      <c r="AA355" s="9">
        <f>IF(ROUNDUP(P355/20,0)&gt;ROUNDUP(P354/20,0),"Lần " &amp; ROUNDUP(P355/20,0),"")</f>
        <v/>
      </c>
      <c r="AB355" s="9">
        <f>IF(ROUNDUP(Q355/20,0)&gt;ROUNDUP(Q354/20,0),"Lần " &amp; ROUNDUP(Q355/20,0),"")</f>
        <v/>
      </c>
      <c r="AC355" s="9">
        <f>IF(ROUNDUP(R355/20,0)&gt;ROUNDUP(R354/20,0),"Lần " &amp; ROUNDUP(R355/20,0),"")</f>
        <v/>
      </c>
      <c r="AD355" s="9">
        <f>IF(ROUNDUP(S355/20,0)&gt;ROUNDUP(S354/20,0),"Lần " &amp; ROUNDUP(S355/20,0),"")</f>
        <v/>
      </c>
      <c r="AE355" s="9">
        <f>IF(ROUNDUP(T355/20,0)&gt;ROUNDUP(T354/20,0),"Lần " &amp; ROUNDUP(T355/20,0),"")</f>
        <v/>
      </c>
      <c r="AF355" s="9">
        <f>IF(ROUNDUP(U355/20,0)&gt;ROUNDUP(U354/20,0),"Lần " &amp; ROUNDUP(U355/20,0),"")</f>
        <v/>
      </c>
      <c r="AG355" s="9">
        <f>IF(ROUNDUP(V355/20,0)&gt;ROUNDUP(V354/20,0),"Lần " &amp; ROUNDUP(V355/20,0),"")</f>
        <v/>
      </c>
      <c r="AH355" s="9">
        <f>IF(ROUNDUP(W355/20,0)&gt;ROUNDUP(W354/20,0),"Lần " &amp; ROUNDUP(W355/20,0),"")</f>
        <v/>
      </c>
      <c r="AI355" s="9">
        <f>IF(ROUNDUP(X355/20,0)&gt;ROUNDUP(X354/20,0),"Lần " &amp; ROUNDUP(X355/20,0),"")</f>
        <v/>
      </c>
      <c r="AJ355" s="9">
        <f>IF(ROUNDUP(Y355/20,0)&gt;ROUNDUP(Y354/20,0),"Lần " &amp; ROUNDUP(Y355/20,0),"")</f>
        <v/>
      </c>
      <c r="AK355" s="9">
        <f>IF(ROUNDUP(Z355/20,0)&gt;ROUNDUP(Z354/20,0),"Lần " &amp; ROUNDUP(Z355/20,0),"")</f>
        <v/>
      </c>
      <c r="AL355" s="4" t="n"/>
      <c r="AN355" s="596" t="inlineStr">
        <is>
          <t>Coc</t>
        </is>
      </c>
      <c r="AO355" s="596" t="n">
        <v>25</v>
      </c>
      <c r="AQ355" s="594" t="n"/>
      <c r="AR355" s="595" t="n"/>
    </row>
    <row r="356" ht="19" customHeight="1" s="672">
      <c r="A356" s="4" t="n">
        <v>332</v>
      </c>
      <c r="B356" s="5" t="inlineStr">
        <is>
          <t>Cọc khoan nhồi C1 Mố M2 (D1.2m, L=36.0m)</t>
        </is>
      </c>
      <c r="C356" s="5" t="inlineStr">
        <is>
          <t>Cọc mố M2 L=36m (tr.66)</t>
        </is>
      </c>
      <c r="D356" s="14" t="inlineStr">
        <is>
          <t>P2B</t>
        </is>
      </c>
      <c r="E356" s="15" t="n">
        <v>25</v>
      </c>
      <c r="F356" s="4" t="inlineStr">
        <is>
          <t>CB400-V</t>
        </is>
      </c>
      <c r="G356" s="5" t="inlineStr"/>
      <c r="H356" s="16" t="n">
        <v>2.985</v>
      </c>
      <c r="I356" s="17" t="n">
        <v>10</v>
      </c>
      <c r="J356" s="18" t="n">
        <v>3.853</v>
      </c>
      <c r="K356" s="7">
        <f>ROUND(H356*I356*J356, 2)</f>
        <v/>
      </c>
      <c r="L356" s="19">
        <f>ROUND(K356/1000, 3)</f>
        <v/>
      </c>
      <c r="M356" s="728">
        <f>IF(AO356="","",IF(N(INDEX(Theo_Doi_Tan_Suat_Be_Tong!$C:$C,AO356))&lt;=0,"",INDEX(Theo_Doi_Tan_Suat_Be_Tong!$C:$C,AO356)-VLOOKUP(AN356,$AQ$2:$AR$7,2,FALSE)))</f>
        <v/>
      </c>
      <c r="N356" s="4" t="n"/>
      <c r="O356" s="20">
        <f>IF(ROUNDUP(W356/20,0)&gt;ROUNDUP(W355/20,0),"TN Ø25 (Lần " &amp; ROUNDUP(W356/20,0) &amp; ")","")</f>
        <v/>
      </c>
      <c r="P356" s="16">
        <f>ROUND(P355+IF(AND(E356&lt;=10,F356&lt;&gt;"ASTM A416"),L356,0),3)</f>
        <v/>
      </c>
      <c r="Q356" s="16">
        <f>ROUND(Q355+IF(AND(E356=12,F356&lt;&gt;"ASTM A416"),L356,0),3)</f>
        <v/>
      </c>
      <c r="R356" s="16">
        <f>ROUND(R355+IF(AND(E356=14,F356&lt;&gt;"ASTM A416"),L356,0),3)</f>
        <v/>
      </c>
      <c r="S356" s="16">
        <f>ROUND(S355+IF(AND(E356=16,F356&lt;&gt;"ASTM A416"),L356,0),3)</f>
        <v/>
      </c>
      <c r="T356" s="16">
        <f>ROUND(T355+IF(AND(E356=18,F356&lt;&gt;"ASTM A416"),L356,0),3)</f>
        <v/>
      </c>
      <c r="U356" s="16">
        <f>ROUND(U355+IF(AND(E356=20,F356&lt;&gt;"ASTM A416"),L356,0),3)</f>
        <v/>
      </c>
      <c r="V356" s="16">
        <f>ROUND(V355+IF(AND(E356=22,F356&lt;&gt;"ASTM A416"),L356,0),3)</f>
        <v/>
      </c>
      <c r="W356" s="16">
        <f>ROUND(W355+IF(AND(E356=25,F356&lt;&gt;"ASTM A416"),L356,0),3)</f>
        <v/>
      </c>
      <c r="X356" s="16">
        <f>ROUND(X355+IF(AND(E356=28,F356&lt;&gt;"ASTM A416"),L356,0),3)</f>
        <v/>
      </c>
      <c r="Y356" s="16">
        <f>ROUND(Y355+IF(AND(E356=32,F356&lt;&gt;"ASTM A416"),L356,0),3)</f>
        <v/>
      </c>
      <c r="Z356" s="16">
        <f>ROUND(Z355+IF(F356="ASTM A416",L356,0),3)</f>
        <v/>
      </c>
      <c r="AA356" s="9">
        <f>IF(ROUNDUP(P356/20,0)&gt;ROUNDUP(P355/20,0),"Lần " &amp; ROUNDUP(P356/20,0),"")</f>
        <v/>
      </c>
      <c r="AB356" s="9">
        <f>IF(ROUNDUP(Q356/20,0)&gt;ROUNDUP(Q355/20,0),"Lần " &amp; ROUNDUP(Q356/20,0),"")</f>
        <v/>
      </c>
      <c r="AC356" s="9">
        <f>IF(ROUNDUP(R356/20,0)&gt;ROUNDUP(R355/20,0),"Lần " &amp; ROUNDUP(R356/20,0),"")</f>
        <v/>
      </c>
      <c r="AD356" s="9">
        <f>IF(ROUNDUP(S356/20,0)&gt;ROUNDUP(S355/20,0),"Lần " &amp; ROUNDUP(S356/20,0),"")</f>
        <v/>
      </c>
      <c r="AE356" s="9">
        <f>IF(ROUNDUP(T356/20,0)&gt;ROUNDUP(T355/20,0),"Lần " &amp; ROUNDUP(T356/20,0),"")</f>
        <v/>
      </c>
      <c r="AF356" s="9">
        <f>IF(ROUNDUP(U356/20,0)&gt;ROUNDUP(U355/20,0),"Lần " &amp; ROUNDUP(U356/20,0),"")</f>
        <v/>
      </c>
      <c r="AG356" s="9">
        <f>IF(ROUNDUP(V356/20,0)&gt;ROUNDUP(V355/20,0),"Lần " &amp; ROUNDUP(V356/20,0),"")</f>
        <v/>
      </c>
      <c r="AH356" s="9">
        <f>IF(ROUNDUP(W356/20,0)&gt;ROUNDUP(W355/20,0),"Lần " &amp; ROUNDUP(W356/20,0),"")</f>
        <v/>
      </c>
      <c r="AI356" s="9">
        <f>IF(ROUNDUP(X356/20,0)&gt;ROUNDUP(X355/20,0),"Lần " &amp; ROUNDUP(X356/20,0),"")</f>
        <v/>
      </c>
      <c r="AJ356" s="9">
        <f>IF(ROUNDUP(Y356/20,0)&gt;ROUNDUP(Y355/20,0),"Lần " &amp; ROUNDUP(Y356/20,0),"")</f>
        <v/>
      </c>
      <c r="AK356" s="9">
        <f>IF(ROUNDUP(Z356/20,0)&gt;ROUNDUP(Z355/20,0),"Lần " &amp; ROUNDUP(Z356/20,0),"")</f>
        <v/>
      </c>
      <c r="AL356" s="4" t="n"/>
      <c r="AN356" s="596" t="inlineStr">
        <is>
          <t>Coc</t>
        </is>
      </c>
      <c r="AO356" s="596" t="n">
        <v>25</v>
      </c>
      <c r="AQ356" s="594" t="n"/>
      <c r="AR356" s="595" t="n"/>
    </row>
    <row r="357" ht="19" customHeight="1" s="672">
      <c r="A357" s="4" t="n">
        <v>333</v>
      </c>
      <c r="B357" s="5" t="inlineStr">
        <is>
          <t>Cọc khoan nhồi C1 Mố M2 (D1.2m, L=36.0m)</t>
        </is>
      </c>
      <c r="C357" s="5" t="inlineStr">
        <is>
          <t>Cọc mố M2 L=36m (tr.66)</t>
        </is>
      </c>
      <c r="D357" s="14" t="inlineStr">
        <is>
          <t>P3</t>
        </is>
      </c>
      <c r="E357" s="15" t="n">
        <v>28</v>
      </c>
      <c r="F357" s="4" t="inlineStr">
        <is>
          <t>CB400-V</t>
        </is>
      </c>
      <c r="G357" s="5" t="inlineStr"/>
      <c r="H357" s="16" t="n">
        <v>10.7</v>
      </c>
      <c r="I357" s="17" t="n">
        <v>12</v>
      </c>
      <c r="J357" s="18" t="n">
        <v>4.834</v>
      </c>
      <c r="K357" s="7">
        <f>ROUND(H357*I357*J357, 2)</f>
        <v/>
      </c>
      <c r="L357" s="19">
        <f>ROUND(K357/1000, 3)</f>
        <v/>
      </c>
      <c r="M357" s="728">
        <f>IF(AO357="","",IF(N(INDEX(Theo_Doi_Tan_Suat_Be_Tong!$C:$C,AO357))&lt;=0,"",INDEX(Theo_Doi_Tan_Suat_Be_Tong!$C:$C,AO357)-VLOOKUP(AN357,$AQ$2:$AR$7,2,FALSE)))</f>
        <v/>
      </c>
      <c r="N357" s="4" t="n"/>
      <c r="O357" s="20">
        <f>IF(ROUNDUP(X357/20,0)&gt;ROUNDUP(X356/20,0),"TN Ø28 (Lần " &amp; ROUNDUP(X357/20,0) &amp; ")","")</f>
        <v/>
      </c>
      <c r="P357" s="16">
        <f>ROUND(P356+IF(AND(E357&lt;=10,F357&lt;&gt;"ASTM A416"),L357,0),3)</f>
        <v/>
      </c>
      <c r="Q357" s="16">
        <f>ROUND(Q356+IF(AND(E357=12,F357&lt;&gt;"ASTM A416"),L357,0),3)</f>
        <v/>
      </c>
      <c r="R357" s="16">
        <f>ROUND(R356+IF(AND(E357=14,F357&lt;&gt;"ASTM A416"),L357,0),3)</f>
        <v/>
      </c>
      <c r="S357" s="16">
        <f>ROUND(S356+IF(AND(E357=16,F357&lt;&gt;"ASTM A416"),L357,0),3)</f>
        <v/>
      </c>
      <c r="T357" s="16">
        <f>ROUND(T356+IF(AND(E357=18,F357&lt;&gt;"ASTM A416"),L357,0),3)</f>
        <v/>
      </c>
      <c r="U357" s="16">
        <f>ROUND(U356+IF(AND(E357=20,F357&lt;&gt;"ASTM A416"),L357,0),3)</f>
        <v/>
      </c>
      <c r="V357" s="16">
        <f>ROUND(V356+IF(AND(E357=22,F357&lt;&gt;"ASTM A416"),L357,0),3)</f>
        <v/>
      </c>
      <c r="W357" s="16">
        <f>ROUND(W356+IF(AND(E357=25,F357&lt;&gt;"ASTM A416"),L357,0),3)</f>
        <v/>
      </c>
      <c r="X357" s="16">
        <f>ROUND(X356+IF(AND(E357=28,F357&lt;&gt;"ASTM A416"),L357,0),3)</f>
        <v/>
      </c>
      <c r="Y357" s="16">
        <f>ROUND(Y356+IF(AND(E357=32,F357&lt;&gt;"ASTM A416"),L357,0),3)</f>
        <v/>
      </c>
      <c r="Z357" s="16">
        <f>ROUND(Z356+IF(F357="ASTM A416",L357,0),3)</f>
        <v/>
      </c>
      <c r="AA357" s="9">
        <f>IF(ROUNDUP(P357/20,0)&gt;ROUNDUP(P356/20,0),"Lần " &amp; ROUNDUP(P357/20,0),"")</f>
        <v/>
      </c>
      <c r="AB357" s="9">
        <f>IF(ROUNDUP(Q357/20,0)&gt;ROUNDUP(Q356/20,0),"Lần " &amp; ROUNDUP(Q357/20,0),"")</f>
        <v/>
      </c>
      <c r="AC357" s="9">
        <f>IF(ROUNDUP(R357/20,0)&gt;ROUNDUP(R356/20,0),"Lần " &amp; ROUNDUP(R357/20,0),"")</f>
        <v/>
      </c>
      <c r="AD357" s="9">
        <f>IF(ROUNDUP(S357/20,0)&gt;ROUNDUP(S356/20,0),"Lần " &amp; ROUNDUP(S357/20,0),"")</f>
        <v/>
      </c>
      <c r="AE357" s="9">
        <f>IF(ROUNDUP(T357/20,0)&gt;ROUNDUP(T356/20,0),"Lần " &amp; ROUNDUP(T357/20,0),"")</f>
        <v/>
      </c>
      <c r="AF357" s="9">
        <f>IF(ROUNDUP(U357/20,0)&gt;ROUNDUP(U356/20,0),"Lần " &amp; ROUNDUP(U357/20,0),"")</f>
        <v/>
      </c>
      <c r="AG357" s="9">
        <f>IF(ROUNDUP(V357/20,0)&gt;ROUNDUP(V356/20,0),"Lần " &amp; ROUNDUP(V357/20,0),"")</f>
        <v/>
      </c>
      <c r="AH357" s="9">
        <f>IF(ROUNDUP(W357/20,0)&gt;ROUNDUP(W356/20,0),"Lần " &amp; ROUNDUP(W357/20,0),"")</f>
        <v/>
      </c>
      <c r="AI357" s="9">
        <f>IF(ROUNDUP(X357/20,0)&gt;ROUNDUP(X356/20,0),"Lần " &amp; ROUNDUP(X357/20,0),"")</f>
        <v/>
      </c>
      <c r="AJ357" s="9">
        <f>IF(ROUNDUP(Y357/20,0)&gt;ROUNDUP(Y356/20,0),"Lần " &amp; ROUNDUP(Y357/20,0),"")</f>
        <v/>
      </c>
      <c r="AK357" s="9">
        <f>IF(ROUNDUP(Z357/20,0)&gt;ROUNDUP(Z356/20,0),"Lần " &amp; ROUNDUP(Z357/20,0),"")</f>
        <v/>
      </c>
      <c r="AL357" s="4" t="n"/>
      <c r="AN357" s="596" t="inlineStr">
        <is>
          <t>Coc</t>
        </is>
      </c>
      <c r="AO357" s="596" t="n">
        <v>25</v>
      </c>
      <c r="AQ357" s="594" t="n"/>
      <c r="AR357" s="595" t="n"/>
    </row>
    <row r="358" ht="19" customHeight="1" s="672">
      <c r="A358" s="4" t="n">
        <v>334</v>
      </c>
      <c r="B358" s="5" t="inlineStr">
        <is>
          <t>Cọc khoan nhồi C1 Mố M2 (D1.2m, L=36.0m)</t>
        </is>
      </c>
      <c r="C358" s="5" t="inlineStr">
        <is>
          <t>Cọc mố M2 L=36m (tr.66)</t>
        </is>
      </c>
      <c r="D358" s="14" t="inlineStr">
        <is>
          <t>P4</t>
        </is>
      </c>
      <c r="E358" s="15" t="n">
        <v>28</v>
      </c>
      <c r="F358" s="4" t="inlineStr">
        <is>
          <t>CB400-V</t>
        </is>
      </c>
      <c r="G358" s="5" t="inlineStr"/>
      <c r="H358" s="16" t="n">
        <v>11.7</v>
      </c>
      <c r="I358" s="17" t="n">
        <v>12</v>
      </c>
      <c r="J358" s="18" t="n">
        <v>4.834</v>
      </c>
      <c r="K358" s="7">
        <f>ROUND(H358*I358*J358, 2)</f>
        <v/>
      </c>
      <c r="L358" s="19">
        <f>ROUND(K358/1000, 3)</f>
        <v/>
      </c>
      <c r="M358" s="728">
        <f>IF(AO358="","",IF(N(INDEX(Theo_Doi_Tan_Suat_Be_Tong!$C:$C,AO358))&lt;=0,"",INDEX(Theo_Doi_Tan_Suat_Be_Tong!$C:$C,AO358)-VLOOKUP(AN358,$AQ$2:$AR$7,2,FALSE)))</f>
        <v/>
      </c>
      <c r="N358" s="4" t="n"/>
      <c r="O358" s="20">
        <f>IF(ROUNDUP(X358/20,0)&gt;ROUNDUP(X357/20,0),"TN Ø28 (Lần " &amp; ROUNDUP(X358/20,0) &amp; ")","")</f>
        <v/>
      </c>
      <c r="P358" s="16">
        <f>ROUND(P357+IF(AND(E358&lt;=10,F358&lt;&gt;"ASTM A416"),L358,0),3)</f>
        <v/>
      </c>
      <c r="Q358" s="16">
        <f>ROUND(Q357+IF(AND(E358=12,F358&lt;&gt;"ASTM A416"),L358,0),3)</f>
        <v/>
      </c>
      <c r="R358" s="16">
        <f>ROUND(R357+IF(AND(E358=14,F358&lt;&gt;"ASTM A416"),L358,0),3)</f>
        <v/>
      </c>
      <c r="S358" s="16">
        <f>ROUND(S357+IF(AND(E358=16,F358&lt;&gt;"ASTM A416"),L358,0),3)</f>
        <v/>
      </c>
      <c r="T358" s="16">
        <f>ROUND(T357+IF(AND(E358=18,F358&lt;&gt;"ASTM A416"),L358,0),3)</f>
        <v/>
      </c>
      <c r="U358" s="16">
        <f>ROUND(U357+IF(AND(E358=20,F358&lt;&gt;"ASTM A416"),L358,0),3)</f>
        <v/>
      </c>
      <c r="V358" s="16">
        <f>ROUND(V357+IF(AND(E358=22,F358&lt;&gt;"ASTM A416"),L358,0),3)</f>
        <v/>
      </c>
      <c r="W358" s="16">
        <f>ROUND(W357+IF(AND(E358=25,F358&lt;&gt;"ASTM A416"),L358,0),3)</f>
        <v/>
      </c>
      <c r="X358" s="16">
        <f>ROUND(X357+IF(AND(E358=28,F358&lt;&gt;"ASTM A416"),L358,0),3)</f>
        <v/>
      </c>
      <c r="Y358" s="16">
        <f>ROUND(Y357+IF(AND(E358=32,F358&lt;&gt;"ASTM A416"),L358,0),3)</f>
        <v/>
      </c>
      <c r="Z358" s="16">
        <f>ROUND(Z357+IF(F358="ASTM A416",L358,0),3)</f>
        <v/>
      </c>
      <c r="AA358" s="9">
        <f>IF(ROUNDUP(P358/20,0)&gt;ROUNDUP(P357/20,0),"Lần " &amp; ROUNDUP(P358/20,0),"")</f>
        <v/>
      </c>
      <c r="AB358" s="9">
        <f>IF(ROUNDUP(Q358/20,0)&gt;ROUNDUP(Q357/20,0),"Lần " &amp; ROUNDUP(Q358/20,0),"")</f>
        <v/>
      </c>
      <c r="AC358" s="9">
        <f>IF(ROUNDUP(R358/20,0)&gt;ROUNDUP(R357/20,0),"Lần " &amp; ROUNDUP(R358/20,0),"")</f>
        <v/>
      </c>
      <c r="AD358" s="9">
        <f>IF(ROUNDUP(S358/20,0)&gt;ROUNDUP(S357/20,0),"Lần " &amp; ROUNDUP(S358/20,0),"")</f>
        <v/>
      </c>
      <c r="AE358" s="9">
        <f>IF(ROUNDUP(T358/20,0)&gt;ROUNDUP(T357/20,0),"Lần " &amp; ROUNDUP(T358/20,0),"")</f>
        <v/>
      </c>
      <c r="AF358" s="9">
        <f>IF(ROUNDUP(U358/20,0)&gt;ROUNDUP(U357/20,0),"Lần " &amp; ROUNDUP(U358/20,0),"")</f>
        <v/>
      </c>
      <c r="AG358" s="9">
        <f>IF(ROUNDUP(V358/20,0)&gt;ROUNDUP(V357/20,0),"Lần " &amp; ROUNDUP(V358/20,0),"")</f>
        <v/>
      </c>
      <c r="AH358" s="9">
        <f>IF(ROUNDUP(W358/20,0)&gt;ROUNDUP(W357/20,0),"Lần " &amp; ROUNDUP(W358/20,0),"")</f>
        <v/>
      </c>
      <c r="AI358" s="9">
        <f>IF(ROUNDUP(X358/20,0)&gt;ROUNDUP(X357/20,0),"Lần " &amp; ROUNDUP(X358/20,0),"")</f>
        <v/>
      </c>
      <c r="AJ358" s="9">
        <f>IF(ROUNDUP(Y358/20,0)&gt;ROUNDUP(Y357/20,0),"Lần " &amp; ROUNDUP(Y358/20,0),"")</f>
        <v/>
      </c>
      <c r="AK358" s="9">
        <f>IF(ROUNDUP(Z358/20,0)&gt;ROUNDUP(Z357/20,0),"Lần " &amp; ROUNDUP(Z358/20,0),"")</f>
        <v/>
      </c>
      <c r="AL358" s="4" t="n"/>
      <c r="AN358" s="596" t="inlineStr">
        <is>
          <t>Coc</t>
        </is>
      </c>
      <c r="AO358" s="596" t="n">
        <v>25</v>
      </c>
      <c r="AQ358" s="594" t="n"/>
      <c r="AR358" s="595" t="n"/>
    </row>
    <row r="359" ht="20" customHeight="1" s="672">
      <c r="A359" s="4" t="n">
        <v>335</v>
      </c>
      <c r="B359" s="5" t="inlineStr">
        <is>
          <t>Cọc khoan nhồi C1 Mố M2 (D1.2m, L=36.0m)</t>
        </is>
      </c>
      <c r="C359" s="5" t="inlineStr">
        <is>
          <t>Cọc mố M2 L=36m (tr.66)</t>
        </is>
      </c>
      <c r="D359" s="14" t="inlineStr">
        <is>
          <t>P5</t>
        </is>
      </c>
      <c r="E359" s="15" t="n">
        <v>25</v>
      </c>
      <c r="F359" s="4" t="inlineStr">
        <is>
          <t>CB400-V</t>
        </is>
      </c>
      <c r="G359" s="5" t="inlineStr"/>
      <c r="H359" s="16" t="n">
        <v>11.7</v>
      </c>
      <c r="I359" s="17" t="n">
        <v>48</v>
      </c>
      <c r="J359" s="18" t="n">
        <v>3.853</v>
      </c>
      <c r="K359" s="7">
        <f>ROUND(H359*I359*J359, 2)</f>
        <v/>
      </c>
      <c r="L359" s="19">
        <f>ROUND(K359/1000, 3)</f>
        <v/>
      </c>
      <c r="M359" s="728">
        <f>IF(AO359="","",IF(N(INDEX(Theo_Doi_Tan_Suat_Be_Tong!$C:$C,AO359))&lt;=0,"",INDEX(Theo_Doi_Tan_Suat_Be_Tong!$C:$C,AO359)-VLOOKUP(AN359,$AQ$2:$AR$7,2,FALSE)))</f>
        <v/>
      </c>
      <c r="N359" s="4" t="n"/>
      <c r="O359" s="20">
        <f>IF(ROUNDUP(W359/20,0)&gt;ROUNDUP(W358/20,0),"TN Ø25 (Lần " &amp; ROUNDUP(W359/20,0) &amp; ")","")</f>
        <v/>
      </c>
      <c r="P359" s="16">
        <f>ROUND(P358+IF(AND(E359&lt;=10,F359&lt;&gt;"ASTM A416"),L359,0),3)</f>
        <v/>
      </c>
      <c r="Q359" s="16">
        <f>ROUND(Q358+IF(AND(E359=12,F359&lt;&gt;"ASTM A416"),L359,0),3)</f>
        <v/>
      </c>
      <c r="R359" s="16">
        <f>ROUND(R358+IF(AND(E359=14,F359&lt;&gt;"ASTM A416"),L359,0),3)</f>
        <v/>
      </c>
      <c r="S359" s="16">
        <f>ROUND(S358+IF(AND(E359=16,F359&lt;&gt;"ASTM A416"),L359,0),3)</f>
        <v/>
      </c>
      <c r="T359" s="16">
        <f>ROUND(T358+IF(AND(E359=18,F359&lt;&gt;"ASTM A416"),L359,0),3)</f>
        <v/>
      </c>
      <c r="U359" s="16">
        <f>ROUND(U358+IF(AND(E359=20,F359&lt;&gt;"ASTM A416"),L359,0),3)</f>
        <v/>
      </c>
      <c r="V359" s="16">
        <f>ROUND(V358+IF(AND(E359=22,F359&lt;&gt;"ASTM A416"),L359,0),3)</f>
        <v/>
      </c>
      <c r="W359" s="16">
        <f>ROUND(W358+IF(AND(E359=25,F359&lt;&gt;"ASTM A416"),L359,0),3)</f>
        <v/>
      </c>
      <c r="X359" s="16">
        <f>ROUND(X358+IF(AND(E359=28,F359&lt;&gt;"ASTM A416"),L359,0),3)</f>
        <v/>
      </c>
      <c r="Y359" s="16">
        <f>ROUND(Y358+IF(AND(E359=32,F359&lt;&gt;"ASTM A416"),L359,0),3)</f>
        <v/>
      </c>
      <c r="Z359" s="16">
        <f>ROUND(Z358+IF(F359="ASTM A416",L359,0),3)</f>
        <v/>
      </c>
      <c r="AA359" s="9">
        <f>IF(ROUNDUP(P359/20,0)&gt;ROUNDUP(P358/20,0),"Lần " &amp; ROUNDUP(P359/20,0),"")</f>
        <v/>
      </c>
      <c r="AB359" s="9">
        <f>IF(ROUNDUP(Q359/20,0)&gt;ROUNDUP(Q358/20,0),"Lần " &amp; ROUNDUP(Q359/20,0),"")</f>
        <v/>
      </c>
      <c r="AC359" s="9">
        <f>IF(ROUNDUP(R359/20,0)&gt;ROUNDUP(R358/20,0),"Lần " &amp; ROUNDUP(R359/20,0),"")</f>
        <v/>
      </c>
      <c r="AD359" s="9">
        <f>IF(ROUNDUP(S359/20,0)&gt;ROUNDUP(S358/20,0),"Lần " &amp; ROUNDUP(S359/20,0),"")</f>
        <v/>
      </c>
      <c r="AE359" s="9">
        <f>IF(ROUNDUP(T359/20,0)&gt;ROUNDUP(T358/20,0),"Lần " &amp; ROUNDUP(T359/20,0),"")</f>
        <v/>
      </c>
      <c r="AF359" s="9">
        <f>IF(ROUNDUP(U359/20,0)&gt;ROUNDUP(U358/20,0),"Lần " &amp; ROUNDUP(U359/20,0),"")</f>
        <v/>
      </c>
      <c r="AG359" s="9">
        <f>IF(ROUNDUP(V359/20,0)&gt;ROUNDUP(V358/20,0),"Lần " &amp; ROUNDUP(V359/20,0),"")</f>
        <v/>
      </c>
      <c r="AH359" s="9">
        <f>IF(ROUNDUP(W359/20,0)&gt;ROUNDUP(W358/20,0),"Lần " &amp; ROUNDUP(W359/20,0),"")</f>
        <v/>
      </c>
      <c r="AI359" s="9">
        <f>IF(ROUNDUP(X359/20,0)&gt;ROUNDUP(X358/20,0),"Lần " &amp; ROUNDUP(X359/20,0),"")</f>
        <v/>
      </c>
      <c r="AJ359" s="9">
        <f>IF(ROUNDUP(Y359/20,0)&gt;ROUNDUP(Y358/20,0),"Lần " &amp; ROUNDUP(Y359/20,0),"")</f>
        <v/>
      </c>
      <c r="AK359" s="9">
        <f>IF(ROUNDUP(Z359/20,0)&gt;ROUNDUP(Z358/20,0),"Lần " &amp; ROUNDUP(Z359/20,0),"")</f>
        <v/>
      </c>
      <c r="AL359" s="4" t="n"/>
      <c r="AN359" s="596" t="inlineStr">
        <is>
          <t>Coc</t>
        </is>
      </c>
      <c r="AO359" s="596" t="n">
        <v>25</v>
      </c>
      <c r="AQ359" s="594" t="n"/>
      <c r="AR359" s="595" t="n"/>
    </row>
    <row r="360" ht="19" customHeight="1" s="672">
      <c r="A360" s="4" t="n">
        <v>336</v>
      </c>
      <c r="B360" s="5" t="inlineStr">
        <is>
          <t>Cọc khoan nhồi C1 Mố M2 (D1.2m, L=36.0m)</t>
        </is>
      </c>
      <c r="C360" s="5" t="inlineStr">
        <is>
          <t>Cọc mố M2 L=36m (tr.66)</t>
        </is>
      </c>
      <c r="D360" s="14" t="inlineStr">
        <is>
          <t>P6</t>
        </is>
      </c>
      <c r="E360" s="15" t="n">
        <v>25</v>
      </c>
      <c r="F360" s="4" t="inlineStr">
        <is>
          <t>CB400-V</t>
        </is>
      </c>
      <c r="G360" s="5" t="inlineStr"/>
      <c r="H360" s="16" t="n">
        <v>5.153</v>
      </c>
      <c r="I360" s="17" t="n">
        <v>12</v>
      </c>
      <c r="J360" s="18" t="n">
        <v>3.853</v>
      </c>
      <c r="K360" s="7">
        <f>ROUND(H360*I360*J360, 2)</f>
        <v/>
      </c>
      <c r="L360" s="19">
        <f>ROUND(K360/1000, 3)</f>
        <v/>
      </c>
      <c r="M360" s="728">
        <f>IF(AO360="","",IF(N(INDEX(Theo_Doi_Tan_Suat_Be_Tong!$C:$C,AO360))&lt;=0,"",INDEX(Theo_Doi_Tan_Suat_Be_Tong!$C:$C,AO360)-VLOOKUP(AN360,$AQ$2:$AR$7,2,FALSE)))</f>
        <v/>
      </c>
      <c r="N360" s="4" t="n"/>
      <c r="O360" s="20">
        <f>IF(ROUNDUP(W360/20,0)&gt;ROUNDUP(W359/20,0),"TN Ø25 (Lần " &amp; ROUNDUP(W360/20,0) &amp; ")","")</f>
        <v/>
      </c>
      <c r="P360" s="16">
        <f>ROUND(P359+IF(AND(E360&lt;=10,F360&lt;&gt;"ASTM A416"),L360,0),3)</f>
        <v/>
      </c>
      <c r="Q360" s="16">
        <f>ROUND(Q359+IF(AND(E360=12,F360&lt;&gt;"ASTM A416"),L360,0),3)</f>
        <v/>
      </c>
      <c r="R360" s="16">
        <f>ROUND(R359+IF(AND(E360=14,F360&lt;&gt;"ASTM A416"),L360,0),3)</f>
        <v/>
      </c>
      <c r="S360" s="16">
        <f>ROUND(S359+IF(AND(E360=16,F360&lt;&gt;"ASTM A416"),L360,0),3)</f>
        <v/>
      </c>
      <c r="T360" s="16">
        <f>ROUND(T359+IF(AND(E360=18,F360&lt;&gt;"ASTM A416"),L360,0),3)</f>
        <v/>
      </c>
      <c r="U360" s="16">
        <f>ROUND(U359+IF(AND(E360=20,F360&lt;&gt;"ASTM A416"),L360,0),3)</f>
        <v/>
      </c>
      <c r="V360" s="16">
        <f>ROUND(V359+IF(AND(E360=22,F360&lt;&gt;"ASTM A416"),L360,0),3)</f>
        <v/>
      </c>
      <c r="W360" s="16">
        <f>ROUND(W359+IF(AND(E360=25,F360&lt;&gt;"ASTM A416"),L360,0),3)</f>
        <v/>
      </c>
      <c r="X360" s="16">
        <f>ROUND(X359+IF(AND(E360=28,F360&lt;&gt;"ASTM A416"),L360,0),3)</f>
        <v/>
      </c>
      <c r="Y360" s="16">
        <f>ROUND(Y359+IF(AND(E360=32,F360&lt;&gt;"ASTM A416"),L360,0),3)</f>
        <v/>
      </c>
      <c r="Z360" s="16">
        <f>ROUND(Z359+IF(F360="ASTM A416",L360,0),3)</f>
        <v/>
      </c>
      <c r="AA360" s="9">
        <f>IF(ROUNDUP(P360/20,0)&gt;ROUNDUP(P359/20,0),"Lần " &amp; ROUNDUP(P360/20,0),"")</f>
        <v/>
      </c>
      <c r="AB360" s="9">
        <f>IF(ROUNDUP(Q360/20,0)&gt;ROUNDUP(Q359/20,0),"Lần " &amp; ROUNDUP(Q360/20,0),"")</f>
        <v/>
      </c>
      <c r="AC360" s="9">
        <f>IF(ROUNDUP(R360/20,0)&gt;ROUNDUP(R359/20,0),"Lần " &amp; ROUNDUP(R360/20,0),"")</f>
        <v/>
      </c>
      <c r="AD360" s="9">
        <f>IF(ROUNDUP(S360/20,0)&gt;ROUNDUP(S359/20,0),"Lần " &amp; ROUNDUP(S360/20,0),"")</f>
        <v/>
      </c>
      <c r="AE360" s="9">
        <f>IF(ROUNDUP(T360/20,0)&gt;ROUNDUP(T359/20,0),"Lần " &amp; ROUNDUP(T360/20,0),"")</f>
        <v/>
      </c>
      <c r="AF360" s="9">
        <f>IF(ROUNDUP(U360/20,0)&gt;ROUNDUP(U359/20,0),"Lần " &amp; ROUNDUP(U360/20,0),"")</f>
        <v/>
      </c>
      <c r="AG360" s="9">
        <f>IF(ROUNDUP(V360/20,0)&gt;ROUNDUP(V359/20,0),"Lần " &amp; ROUNDUP(V360/20,0),"")</f>
        <v/>
      </c>
      <c r="AH360" s="9">
        <f>IF(ROUNDUP(W360/20,0)&gt;ROUNDUP(W359/20,0),"Lần " &amp; ROUNDUP(W360/20,0),"")</f>
        <v/>
      </c>
      <c r="AI360" s="9">
        <f>IF(ROUNDUP(X360/20,0)&gt;ROUNDUP(X359/20,0),"Lần " &amp; ROUNDUP(X360/20,0),"")</f>
        <v/>
      </c>
      <c r="AJ360" s="9">
        <f>IF(ROUNDUP(Y360/20,0)&gt;ROUNDUP(Y359/20,0),"Lần " &amp; ROUNDUP(Y360/20,0),"")</f>
        <v/>
      </c>
      <c r="AK360" s="9">
        <f>IF(ROUNDUP(Z360/20,0)&gt;ROUNDUP(Z359/20,0),"Lần " &amp; ROUNDUP(Z360/20,0),"")</f>
        <v/>
      </c>
      <c r="AL360" s="4" t="n"/>
      <c r="AN360" s="596" t="inlineStr">
        <is>
          <t>Coc</t>
        </is>
      </c>
      <c r="AO360" s="596" t="n">
        <v>25</v>
      </c>
      <c r="AQ360" s="594" t="n"/>
      <c r="AR360" s="595" t="n"/>
    </row>
    <row r="361" ht="19" customHeight="1" s="672">
      <c r="A361" s="4" t="n">
        <v>337</v>
      </c>
      <c r="B361" s="5" t="inlineStr">
        <is>
          <t>Cọc khoan nhồi C1 Mố M2 (D1.2m, L=36.0m)</t>
        </is>
      </c>
      <c r="C361" s="5" t="inlineStr">
        <is>
          <t>Cọc mố M2 L=36m (tr.66)</t>
        </is>
      </c>
      <c r="D361" s="14" t="inlineStr">
        <is>
          <t>P7</t>
        </is>
      </c>
      <c r="E361" s="15" t="n">
        <v>25</v>
      </c>
      <c r="F361" s="4" t="inlineStr">
        <is>
          <t>CB400-V</t>
        </is>
      </c>
      <c r="G361" s="5" t="inlineStr"/>
      <c r="H361" s="16" t="n">
        <v>6.153</v>
      </c>
      <c r="I361" s="17" t="n">
        <v>12</v>
      </c>
      <c r="J361" s="18" t="n">
        <v>3.853</v>
      </c>
      <c r="K361" s="7">
        <f>ROUND(H361*I361*J361, 2)</f>
        <v/>
      </c>
      <c r="L361" s="19">
        <f>ROUND(K361/1000, 3)</f>
        <v/>
      </c>
      <c r="M361" s="728">
        <f>IF(AO361="","",IF(N(INDEX(Theo_Doi_Tan_Suat_Be_Tong!$C:$C,AO361))&lt;=0,"",INDEX(Theo_Doi_Tan_Suat_Be_Tong!$C:$C,AO361)-VLOOKUP(AN361,$AQ$2:$AR$7,2,FALSE)))</f>
        <v/>
      </c>
      <c r="N361" s="4" t="n"/>
      <c r="O361" s="20">
        <f>IF(ROUNDUP(W361/20,0)&gt;ROUNDUP(W360/20,0),"TN Ø25 (Lần " &amp; ROUNDUP(W361/20,0) &amp; ")","")</f>
        <v/>
      </c>
      <c r="P361" s="16">
        <f>ROUND(P360+IF(AND(E361&lt;=10,F361&lt;&gt;"ASTM A416"),L361,0),3)</f>
        <v/>
      </c>
      <c r="Q361" s="16">
        <f>ROUND(Q360+IF(AND(E361=12,F361&lt;&gt;"ASTM A416"),L361,0),3)</f>
        <v/>
      </c>
      <c r="R361" s="16">
        <f>ROUND(R360+IF(AND(E361=14,F361&lt;&gt;"ASTM A416"),L361,0),3)</f>
        <v/>
      </c>
      <c r="S361" s="16">
        <f>ROUND(S360+IF(AND(E361=16,F361&lt;&gt;"ASTM A416"),L361,0),3)</f>
        <v/>
      </c>
      <c r="T361" s="16">
        <f>ROUND(T360+IF(AND(E361=18,F361&lt;&gt;"ASTM A416"),L361,0),3)</f>
        <v/>
      </c>
      <c r="U361" s="16">
        <f>ROUND(U360+IF(AND(E361=20,F361&lt;&gt;"ASTM A416"),L361,0),3)</f>
        <v/>
      </c>
      <c r="V361" s="16">
        <f>ROUND(V360+IF(AND(E361=22,F361&lt;&gt;"ASTM A416"),L361,0),3)</f>
        <v/>
      </c>
      <c r="W361" s="16">
        <f>ROUND(W360+IF(AND(E361=25,F361&lt;&gt;"ASTM A416"),L361,0),3)</f>
        <v/>
      </c>
      <c r="X361" s="16">
        <f>ROUND(X360+IF(AND(E361=28,F361&lt;&gt;"ASTM A416"),L361,0),3)</f>
        <v/>
      </c>
      <c r="Y361" s="16">
        <f>ROUND(Y360+IF(AND(E361=32,F361&lt;&gt;"ASTM A416"),L361,0),3)</f>
        <v/>
      </c>
      <c r="Z361" s="16">
        <f>ROUND(Z360+IF(F361="ASTM A416",L361,0),3)</f>
        <v/>
      </c>
      <c r="AA361" s="9">
        <f>IF(ROUNDUP(P361/20,0)&gt;ROUNDUP(P360/20,0),"Lần " &amp; ROUNDUP(P361/20,0),"")</f>
        <v/>
      </c>
      <c r="AB361" s="9">
        <f>IF(ROUNDUP(Q361/20,0)&gt;ROUNDUP(Q360/20,0),"Lần " &amp; ROUNDUP(Q361/20,0),"")</f>
        <v/>
      </c>
      <c r="AC361" s="9">
        <f>IF(ROUNDUP(R361/20,0)&gt;ROUNDUP(R360/20,0),"Lần " &amp; ROUNDUP(R361/20,0),"")</f>
        <v/>
      </c>
      <c r="AD361" s="9">
        <f>IF(ROUNDUP(S361/20,0)&gt;ROUNDUP(S360/20,0),"Lần " &amp; ROUNDUP(S361/20,0),"")</f>
        <v/>
      </c>
      <c r="AE361" s="9">
        <f>IF(ROUNDUP(T361/20,0)&gt;ROUNDUP(T360/20,0),"Lần " &amp; ROUNDUP(T361/20,0),"")</f>
        <v/>
      </c>
      <c r="AF361" s="9">
        <f>IF(ROUNDUP(U361/20,0)&gt;ROUNDUP(U360/20,0),"Lần " &amp; ROUNDUP(U361/20,0),"")</f>
        <v/>
      </c>
      <c r="AG361" s="9">
        <f>IF(ROUNDUP(V361/20,0)&gt;ROUNDUP(V360/20,0),"Lần " &amp; ROUNDUP(V361/20,0),"")</f>
        <v/>
      </c>
      <c r="AH361" s="9">
        <f>IF(ROUNDUP(W361/20,0)&gt;ROUNDUP(W360/20,0),"Lần " &amp; ROUNDUP(W361/20,0),"")</f>
        <v/>
      </c>
      <c r="AI361" s="9">
        <f>IF(ROUNDUP(X361/20,0)&gt;ROUNDUP(X360/20,0),"Lần " &amp; ROUNDUP(X361/20,0),"")</f>
        <v/>
      </c>
      <c r="AJ361" s="9">
        <f>IF(ROUNDUP(Y361/20,0)&gt;ROUNDUP(Y360/20,0),"Lần " &amp; ROUNDUP(Y361/20,0),"")</f>
        <v/>
      </c>
      <c r="AK361" s="9">
        <f>IF(ROUNDUP(Z361/20,0)&gt;ROUNDUP(Z360/20,0),"Lần " &amp; ROUNDUP(Z361/20,0),"")</f>
        <v/>
      </c>
      <c r="AL361" s="4" t="n"/>
      <c r="AN361" s="596" t="inlineStr">
        <is>
          <t>Coc</t>
        </is>
      </c>
      <c r="AO361" s="596" t="n">
        <v>25</v>
      </c>
      <c r="AQ361" s="594" t="n"/>
      <c r="AR361" s="595" t="n"/>
    </row>
    <row r="362" ht="19" customHeight="1" s="672">
      <c r="A362" s="4" t="n">
        <v>338</v>
      </c>
      <c r="B362" s="5" t="inlineStr">
        <is>
          <t>Cọc khoan nhồi C1 Mố M2 (D1.2m, L=36.0m)</t>
        </is>
      </c>
      <c r="C362" s="5" t="inlineStr">
        <is>
          <t>Cọc mố M2 L=36m (tr.66)</t>
        </is>
      </c>
      <c r="D362" s="14" t="inlineStr">
        <is>
          <t>P8</t>
        </is>
      </c>
      <c r="E362" s="15" t="n">
        <v>12</v>
      </c>
      <c r="F362" s="4" t="inlineStr">
        <is>
          <t>CB400-V</t>
        </is>
      </c>
      <c r="G362" s="5" t="inlineStr"/>
      <c r="H362" s="16" t="n">
        <v>0.647</v>
      </c>
      <c r="I362" s="17" t="n">
        <v>15</v>
      </c>
      <c r="J362" s="18" t="n">
        <v>0.888</v>
      </c>
      <c r="K362" s="7">
        <f>ROUND(H362*I362*J362, 2)</f>
        <v/>
      </c>
      <c r="L362" s="19">
        <f>ROUND(K362/1000, 3)</f>
        <v/>
      </c>
      <c r="M362" s="728">
        <f>IF(AO362="","",IF(N(INDEX(Theo_Doi_Tan_Suat_Be_Tong!$C:$C,AO362))&lt;=0,"",INDEX(Theo_Doi_Tan_Suat_Be_Tong!$C:$C,AO362)-VLOOKUP(AN362,$AQ$2:$AR$7,2,FALSE)))</f>
        <v/>
      </c>
      <c r="N362" s="4" t="n"/>
      <c r="O362" s="20">
        <f>IF(ROUNDUP(Q362/20,0)&gt;ROUNDUP(Q361/20,0),"TN Ø12 (Lần " &amp; ROUNDUP(Q362/20,0) &amp; ")","")</f>
        <v/>
      </c>
      <c r="P362" s="16">
        <f>ROUND(P361+IF(AND(E362&lt;=10,F362&lt;&gt;"ASTM A416"),L362,0),3)</f>
        <v/>
      </c>
      <c r="Q362" s="16">
        <f>ROUND(Q361+IF(AND(E362=12,F362&lt;&gt;"ASTM A416"),L362,0),3)</f>
        <v/>
      </c>
      <c r="R362" s="16">
        <f>ROUND(R361+IF(AND(E362=14,F362&lt;&gt;"ASTM A416"),L362,0),3)</f>
        <v/>
      </c>
      <c r="S362" s="16">
        <f>ROUND(S361+IF(AND(E362=16,F362&lt;&gt;"ASTM A416"),L362,0),3)</f>
        <v/>
      </c>
      <c r="T362" s="16">
        <f>ROUND(T361+IF(AND(E362=18,F362&lt;&gt;"ASTM A416"),L362,0),3)</f>
        <v/>
      </c>
      <c r="U362" s="16">
        <f>ROUND(U361+IF(AND(E362=20,F362&lt;&gt;"ASTM A416"),L362,0),3)</f>
        <v/>
      </c>
      <c r="V362" s="16">
        <f>ROUND(V361+IF(AND(E362=22,F362&lt;&gt;"ASTM A416"),L362,0),3)</f>
        <v/>
      </c>
      <c r="W362" s="16">
        <f>ROUND(W361+IF(AND(E362=25,F362&lt;&gt;"ASTM A416"),L362,0),3)</f>
        <v/>
      </c>
      <c r="X362" s="16">
        <f>ROUND(X361+IF(AND(E362=28,F362&lt;&gt;"ASTM A416"),L362,0),3)</f>
        <v/>
      </c>
      <c r="Y362" s="16">
        <f>ROUND(Y361+IF(AND(E362=32,F362&lt;&gt;"ASTM A416"),L362,0),3)</f>
        <v/>
      </c>
      <c r="Z362" s="16">
        <f>ROUND(Z361+IF(F362="ASTM A416",L362,0),3)</f>
        <v/>
      </c>
      <c r="AA362" s="9">
        <f>IF(ROUNDUP(P362/20,0)&gt;ROUNDUP(P361/20,0),"Lần " &amp; ROUNDUP(P362/20,0),"")</f>
        <v/>
      </c>
      <c r="AB362" s="9">
        <f>IF(ROUNDUP(Q362/20,0)&gt;ROUNDUP(Q361/20,0),"Lần " &amp; ROUNDUP(Q362/20,0),"")</f>
        <v/>
      </c>
      <c r="AC362" s="9">
        <f>IF(ROUNDUP(R362/20,0)&gt;ROUNDUP(R361/20,0),"Lần " &amp; ROUNDUP(R362/20,0),"")</f>
        <v/>
      </c>
      <c r="AD362" s="9">
        <f>IF(ROUNDUP(S362/20,0)&gt;ROUNDUP(S361/20,0),"Lần " &amp; ROUNDUP(S362/20,0),"")</f>
        <v/>
      </c>
      <c r="AE362" s="9">
        <f>IF(ROUNDUP(T362/20,0)&gt;ROUNDUP(T361/20,0),"Lần " &amp; ROUNDUP(T362/20,0),"")</f>
        <v/>
      </c>
      <c r="AF362" s="9">
        <f>IF(ROUNDUP(U362/20,0)&gt;ROUNDUP(U361/20,0),"Lần " &amp; ROUNDUP(U362/20,0),"")</f>
        <v/>
      </c>
      <c r="AG362" s="9">
        <f>IF(ROUNDUP(V362/20,0)&gt;ROUNDUP(V361/20,0),"Lần " &amp; ROUNDUP(V362/20,0),"")</f>
        <v/>
      </c>
      <c r="AH362" s="9">
        <f>IF(ROUNDUP(W362/20,0)&gt;ROUNDUP(W361/20,0),"Lần " &amp; ROUNDUP(W362/20,0),"")</f>
        <v/>
      </c>
      <c r="AI362" s="9">
        <f>IF(ROUNDUP(X362/20,0)&gt;ROUNDUP(X361/20,0),"Lần " &amp; ROUNDUP(X362/20,0),"")</f>
        <v/>
      </c>
      <c r="AJ362" s="9">
        <f>IF(ROUNDUP(Y362/20,0)&gt;ROUNDUP(Y361/20,0),"Lần " &amp; ROUNDUP(Y362/20,0),"")</f>
        <v/>
      </c>
      <c r="AK362" s="9">
        <f>IF(ROUNDUP(Z362/20,0)&gt;ROUNDUP(Z361/20,0),"Lần " &amp; ROUNDUP(Z362/20,0),"")</f>
        <v/>
      </c>
      <c r="AL362" s="4" t="n"/>
      <c r="AN362" s="596" t="inlineStr">
        <is>
          <t>Coc</t>
        </is>
      </c>
      <c r="AO362" s="596" t="n">
        <v>25</v>
      </c>
      <c r="AQ362" s="594" t="n"/>
      <c r="AR362" s="595" t="n"/>
    </row>
    <row r="363" ht="19" customHeight="1" s="672">
      <c r="A363" s="4" t="n">
        <v>339</v>
      </c>
      <c r="B363" s="5" t="inlineStr">
        <is>
          <t>Cọc khoan nhồi C1 Mố M2 (D1.2m, L=36.0m)</t>
        </is>
      </c>
      <c r="C363" s="5" t="inlineStr">
        <is>
          <t>Cọc mố M2 L=36m (tr.66)</t>
        </is>
      </c>
      <c r="D363" s="14" t="inlineStr">
        <is>
          <t>P9</t>
        </is>
      </c>
      <c r="E363" s="15" t="n">
        <v>12</v>
      </c>
      <c r="F363" s="4" t="inlineStr">
        <is>
          <t>CB400-V</t>
        </is>
      </c>
      <c r="G363" s="5" t="inlineStr"/>
      <c r="H363" s="16" t="n">
        <v>0.379</v>
      </c>
      <c r="I363" s="17" t="n">
        <v>45</v>
      </c>
      <c r="J363" s="18" t="n">
        <v>0.888</v>
      </c>
      <c r="K363" s="7">
        <f>ROUND(H363*I363*J363, 2)</f>
        <v/>
      </c>
      <c r="L363" s="19">
        <f>ROUND(K363/1000, 3)</f>
        <v/>
      </c>
      <c r="M363" s="728">
        <f>IF(AO363="","",IF(N(INDEX(Theo_Doi_Tan_Suat_Be_Tong!$C:$C,AO363))&lt;=0,"",INDEX(Theo_Doi_Tan_Suat_Be_Tong!$C:$C,AO363)-VLOOKUP(AN363,$AQ$2:$AR$7,2,FALSE)))</f>
        <v/>
      </c>
      <c r="N363" s="4" t="n"/>
      <c r="O363" s="20">
        <f>IF(ROUNDUP(Q363/20,0)&gt;ROUNDUP(Q362/20,0),"TN Ø12 (Lần " &amp; ROUNDUP(Q363/20,0) &amp; ")","")</f>
        <v/>
      </c>
      <c r="P363" s="16">
        <f>ROUND(P362+IF(AND(E363&lt;=10,F363&lt;&gt;"ASTM A416"),L363,0),3)</f>
        <v/>
      </c>
      <c r="Q363" s="16">
        <f>ROUND(Q362+IF(AND(E363=12,F363&lt;&gt;"ASTM A416"),L363,0),3)</f>
        <v/>
      </c>
      <c r="R363" s="16">
        <f>ROUND(R362+IF(AND(E363=14,F363&lt;&gt;"ASTM A416"),L363,0),3)</f>
        <v/>
      </c>
      <c r="S363" s="16">
        <f>ROUND(S362+IF(AND(E363=16,F363&lt;&gt;"ASTM A416"),L363,0),3)</f>
        <v/>
      </c>
      <c r="T363" s="16">
        <f>ROUND(T362+IF(AND(E363=18,F363&lt;&gt;"ASTM A416"),L363,0),3)</f>
        <v/>
      </c>
      <c r="U363" s="16">
        <f>ROUND(U362+IF(AND(E363=20,F363&lt;&gt;"ASTM A416"),L363,0),3)</f>
        <v/>
      </c>
      <c r="V363" s="16">
        <f>ROUND(V362+IF(AND(E363=22,F363&lt;&gt;"ASTM A416"),L363,0),3)</f>
        <v/>
      </c>
      <c r="W363" s="16">
        <f>ROUND(W362+IF(AND(E363=25,F363&lt;&gt;"ASTM A416"),L363,0),3)</f>
        <v/>
      </c>
      <c r="X363" s="16">
        <f>ROUND(X362+IF(AND(E363=28,F363&lt;&gt;"ASTM A416"),L363,0),3)</f>
        <v/>
      </c>
      <c r="Y363" s="16">
        <f>ROUND(Y362+IF(AND(E363=32,F363&lt;&gt;"ASTM A416"),L363,0),3)</f>
        <v/>
      </c>
      <c r="Z363" s="16">
        <f>ROUND(Z362+IF(F363="ASTM A416",L363,0),3)</f>
        <v/>
      </c>
      <c r="AA363" s="9">
        <f>IF(ROUNDUP(P363/20,0)&gt;ROUNDUP(P362/20,0),"Lần " &amp; ROUNDUP(P363/20,0),"")</f>
        <v/>
      </c>
      <c r="AB363" s="9">
        <f>IF(ROUNDUP(Q363/20,0)&gt;ROUNDUP(Q362/20,0),"Lần " &amp; ROUNDUP(Q363/20,0),"")</f>
        <v/>
      </c>
      <c r="AC363" s="9">
        <f>IF(ROUNDUP(R363/20,0)&gt;ROUNDUP(R362/20,0),"Lần " &amp; ROUNDUP(R363/20,0),"")</f>
        <v/>
      </c>
      <c r="AD363" s="9">
        <f>IF(ROUNDUP(S363/20,0)&gt;ROUNDUP(S362/20,0),"Lần " &amp; ROUNDUP(S363/20,0),"")</f>
        <v/>
      </c>
      <c r="AE363" s="9">
        <f>IF(ROUNDUP(T363/20,0)&gt;ROUNDUP(T362/20,0),"Lần " &amp; ROUNDUP(T363/20,0),"")</f>
        <v/>
      </c>
      <c r="AF363" s="9">
        <f>IF(ROUNDUP(U363/20,0)&gt;ROUNDUP(U362/20,0),"Lần " &amp; ROUNDUP(U363/20,0),"")</f>
        <v/>
      </c>
      <c r="AG363" s="9">
        <f>IF(ROUNDUP(V363/20,0)&gt;ROUNDUP(V362/20,0),"Lần " &amp; ROUNDUP(V363/20,0),"")</f>
        <v/>
      </c>
      <c r="AH363" s="9">
        <f>IF(ROUNDUP(W363/20,0)&gt;ROUNDUP(W362/20,0),"Lần " &amp; ROUNDUP(W363/20,0),"")</f>
        <v/>
      </c>
      <c r="AI363" s="9">
        <f>IF(ROUNDUP(X363/20,0)&gt;ROUNDUP(X362/20,0),"Lần " &amp; ROUNDUP(X363/20,0),"")</f>
        <v/>
      </c>
      <c r="AJ363" s="9">
        <f>IF(ROUNDUP(Y363/20,0)&gt;ROUNDUP(Y362/20,0),"Lần " &amp; ROUNDUP(Y363/20,0),"")</f>
        <v/>
      </c>
      <c r="AK363" s="9">
        <f>IF(ROUNDUP(Z363/20,0)&gt;ROUNDUP(Z362/20,0),"Lần " &amp; ROUNDUP(Z363/20,0),"")</f>
        <v/>
      </c>
      <c r="AL363" s="4" t="n"/>
      <c r="AN363" s="596" t="inlineStr">
        <is>
          <t>Coc</t>
        </is>
      </c>
      <c r="AO363" s="596" t="n">
        <v>25</v>
      </c>
      <c r="AQ363" s="594" t="n"/>
      <c r="AR363" s="595" t="n"/>
    </row>
    <row r="364" ht="19" customHeight="1" s="672">
      <c r="A364" s="4" t="n">
        <v>340</v>
      </c>
      <c r="B364" s="5" t="inlineStr">
        <is>
          <t>Cọc khoan nhồi C1 Mố M2 (D1.2m, L=36.0m)</t>
        </is>
      </c>
      <c r="C364" s="5" t="inlineStr">
        <is>
          <t>Cọc mố M2 L=36m (tr.66)</t>
        </is>
      </c>
      <c r="D364" s="14" t="inlineStr">
        <is>
          <t>P10</t>
        </is>
      </c>
      <c r="E364" s="15" t="n">
        <v>20</v>
      </c>
      <c r="F364" s="4" t="inlineStr">
        <is>
          <t>CB400-V</t>
        </is>
      </c>
      <c r="G364" s="5" t="inlineStr"/>
      <c r="H364" s="16" t="n">
        <v>2.057</v>
      </c>
      <c r="I364" s="17" t="n">
        <v>1</v>
      </c>
      <c r="J364" s="18" t="n">
        <v>2.466</v>
      </c>
      <c r="K364" s="7">
        <f>ROUND(H364*I364*J364, 2)</f>
        <v/>
      </c>
      <c r="L364" s="19">
        <f>ROUND(K364/1000, 3)</f>
        <v/>
      </c>
      <c r="M364" s="728">
        <f>IF(AO364="","",IF(N(INDEX(Theo_Doi_Tan_Suat_Be_Tong!$C:$C,AO364))&lt;=0,"",INDEX(Theo_Doi_Tan_Suat_Be_Tong!$C:$C,AO364)-VLOOKUP(AN364,$AQ$2:$AR$7,2,FALSE)))</f>
        <v/>
      </c>
      <c r="N364" s="4" t="n"/>
      <c r="O364" s="20">
        <f>IF(ROUNDUP(U364/20,0)&gt;ROUNDUP(U363/20,0),"TN Ø20 (Lần " &amp; ROUNDUP(U364/20,0) &amp; ")","")</f>
        <v/>
      </c>
      <c r="P364" s="16">
        <f>ROUND(P363+IF(AND(E364&lt;=10,F364&lt;&gt;"ASTM A416"),L364,0),3)</f>
        <v/>
      </c>
      <c r="Q364" s="16">
        <f>ROUND(Q363+IF(AND(E364=12,F364&lt;&gt;"ASTM A416"),L364,0),3)</f>
        <v/>
      </c>
      <c r="R364" s="16">
        <f>ROUND(R363+IF(AND(E364=14,F364&lt;&gt;"ASTM A416"),L364,0),3)</f>
        <v/>
      </c>
      <c r="S364" s="16">
        <f>ROUND(S363+IF(AND(E364=16,F364&lt;&gt;"ASTM A416"),L364,0),3)</f>
        <v/>
      </c>
      <c r="T364" s="16">
        <f>ROUND(T363+IF(AND(E364=18,F364&lt;&gt;"ASTM A416"),L364,0),3)</f>
        <v/>
      </c>
      <c r="U364" s="16">
        <f>ROUND(U363+IF(AND(E364=20,F364&lt;&gt;"ASTM A416"),L364,0),3)</f>
        <v/>
      </c>
      <c r="V364" s="16">
        <f>ROUND(V363+IF(AND(E364=22,F364&lt;&gt;"ASTM A416"),L364,0),3)</f>
        <v/>
      </c>
      <c r="W364" s="16">
        <f>ROUND(W363+IF(AND(E364=25,F364&lt;&gt;"ASTM A416"),L364,0),3)</f>
        <v/>
      </c>
      <c r="X364" s="16">
        <f>ROUND(X363+IF(AND(E364=28,F364&lt;&gt;"ASTM A416"),L364,0),3)</f>
        <v/>
      </c>
      <c r="Y364" s="16">
        <f>ROUND(Y363+IF(AND(E364=32,F364&lt;&gt;"ASTM A416"),L364,0),3)</f>
        <v/>
      </c>
      <c r="Z364" s="16">
        <f>ROUND(Z363+IF(F364="ASTM A416",L364,0),3)</f>
        <v/>
      </c>
      <c r="AA364" s="9">
        <f>IF(ROUNDUP(P364/20,0)&gt;ROUNDUP(P363/20,0),"Lần " &amp; ROUNDUP(P364/20,0),"")</f>
        <v/>
      </c>
      <c r="AB364" s="9">
        <f>IF(ROUNDUP(Q364/20,0)&gt;ROUNDUP(Q363/20,0),"Lần " &amp; ROUNDUP(Q364/20,0),"")</f>
        <v/>
      </c>
      <c r="AC364" s="9">
        <f>IF(ROUNDUP(R364/20,0)&gt;ROUNDUP(R363/20,0),"Lần " &amp; ROUNDUP(R364/20,0),"")</f>
        <v/>
      </c>
      <c r="AD364" s="9">
        <f>IF(ROUNDUP(S364/20,0)&gt;ROUNDUP(S363/20,0),"Lần " &amp; ROUNDUP(S364/20,0),"")</f>
        <v/>
      </c>
      <c r="AE364" s="9">
        <f>IF(ROUNDUP(T364/20,0)&gt;ROUNDUP(T363/20,0),"Lần " &amp; ROUNDUP(T364/20,0),"")</f>
        <v/>
      </c>
      <c r="AF364" s="9">
        <f>IF(ROUNDUP(U364/20,0)&gt;ROUNDUP(U363/20,0),"Lần " &amp; ROUNDUP(U364/20,0),"")</f>
        <v/>
      </c>
      <c r="AG364" s="9">
        <f>IF(ROUNDUP(V364/20,0)&gt;ROUNDUP(V363/20,0),"Lần " &amp; ROUNDUP(V364/20,0),"")</f>
        <v/>
      </c>
      <c r="AH364" s="9">
        <f>IF(ROUNDUP(W364/20,0)&gt;ROUNDUP(W363/20,0),"Lần " &amp; ROUNDUP(W364/20,0),"")</f>
        <v/>
      </c>
      <c r="AI364" s="9">
        <f>IF(ROUNDUP(X364/20,0)&gt;ROUNDUP(X363/20,0),"Lần " &amp; ROUNDUP(X364/20,0),"")</f>
        <v/>
      </c>
      <c r="AJ364" s="9">
        <f>IF(ROUNDUP(Y364/20,0)&gt;ROUNDUP(Y363/20,0),"Lần " &amp; ROUNDUP(Y364/20,0),"")</f>
        <v/>
      </c>
      <c r="AK364" s="9">
        <f>IF(ROUNDUP(Z364/20,0)&gt;ROUNDUP(Z363/20,0),"Lần " &amp; ROUNDUP(Z364/20,0),"")</f>
        <v/>
      </c>
      <c r="AL364" s="4" t="n"/>
      <c r="AN364" s="596" t="inlineStr">
        <is>
          <t>Coc</t>
        </is>
      </c>
      <c r="AO364" s="596" t="n">
        <v>25</v>
      </c>
      <c r="AQ364" s="594" t="n"/>
      <c r="AR364" s="595" t="n"/>
    </row>
    <row r="365" ht="19" customHeight="1" s="672">
      <c r="A365" s="4" t="n">
        <v>341</v>
      </c>
      <c r="B365" s="5" t="inlineStr">
        <is>
          <t>Cọc khoan nhồi C1 Mố M2 (D1.2m, L=36.0m)</t>
        </is>
      </c>
      <c r="C365" s="5" t="inlineStr">
        <is>
          <t>Cọc mố M2 L=36m (tr.66)</t>
        </is>
      </c>
      <c r="D365" s="14" t="inlineStr">
        <is>
          <t>P12</t>
        </is>
      </c>
      <c r="E365" s="15" t="n">
        <v>20</v>
      </c>
      <c r="F365" s="4" t="inlineStr">
        <is>
          <t>CB400-V</t>
        </is>
      </c>
      <c r="G365" s="5" t="inlineStr"/>
      <c r="H365" s="16" t="n">
        <v>0.583</v>
      </c>
      <c r="I365" s="17" t="n">
        <v>60</v>
      </c>
      <c r="J365" s="18" t="n">
        <v>2.466</v>
      </c>
      <c r="K365" s="7">
        <f>ROUND(H365*I365*J365, 2)</f>
        <v/>
      </c>
      <c r="L365" s="19">
        <f>ROUND(K365/1000, 3)</f>
        <v/>
      </c>
      <c r="M365" s="728">
        <f>IF(AO365="","",IF(N(INDEX(Theo_Doi_Tan_Suat_Be_Tong!$C:$C,AO365))&lt;=0,"",INDEX(Theo_Doi_Tan_Suat_Be_Tong!$C:$C,AO365)-VLOOKUP(AN365,$AQ$2:$AR$7,2,FALSE)))</f>
        <v/>
      </c>
      <c r="N365" s="4" t="n"/>
      <c r="O365" s="20">
        <f>IF(ROUNDUP(U365/20,0)&gt;ROUNDUP(U364/20,0),"TN Ø20 (Lần " &amp; ROUNDUP(U365/20,0) &amp; ")","")</f>
        <v/>
      </c>
      <c r="P365" s="16">
        <f>ROUND(P364+IF(AND(E365&lt;=10,F365&lt;&gt;"ASTM A416"),L365,0),3)</f>
        <v/>
      </c>
      <c r="Q365" s="16">
        <f>ROUND(Q364+IF(AND(E365=12,F365&lt;&gt;"ASTM A416"),L365,0),3)</f>
        <v/>
      </c>
      <c r="R365" s="16">
        <f>ROUND(R364+IF(AND(E365=14,F365&lt;&gt;"ASTM A416"),L365,0),3)</f>
        <v/>
      </c>
      <c r="S365" s="16">
        <f>ROUND(S364+IF(AND(E365=16,F365&lt;&gt;"ASTM A416"),L365,0),3)</f>
        <v/>
      </c>
      <c r="T365" s="16">
        <f>ROUND(T364+IF(AND(E365=18,F365&lt;&gt;"ASTM A416"),L365,0),3)</f>
        <v/>
      </c>
      <c r="U365" s="16">
        <f>ROUND(U364+IF(AND(E365=20,F365&lt;&gt;"ASTM A416"),L365,0),3)</f>
        <v/>
      </c>
      <c r="V365" s="16">
        <f>ROUND(V364+IF(AND(E365=22,F365&lt;&gt;"ASTM A416"),L365,0),3)</f>
        <v/>
      </c>
      <c r="W365" s="16">
        <f>ROUND(W364+IF(AND(E365=25,F365&lt;&gt;"ASTM A416"),L365,0),3)</f>
        <v/>
      </c>
      <c r="X365" s="16">
        <f>ROUND(X364+IF(AND(E365=28,F365&lt;&gt;"ASTM A416"),L365,0),3)</f>
        <v/>
      </c>
      <c r="Y365" s="16">
        <f>ROUND(Y364+IF(AND(E365=32,F365&lt;&gt;"ASTM A416"),L365,0),3)</f>
        <v/>
      </c>
      <c r="Z365" s="16">
        <f>ROUND(Z364+IF(F365="ASTM A416",L365,0),3)</f>
        <v/>
      </c>
      <c r="AA365" s="9">
        <f>IF(ROUNDUP(P365/20,0)&gt;ROUNDUP(P364/20,0),"Lần " &amp; ROUNDUP(P365/20,0),"")</f>
        <v/>
      </c>
      <c r="AB365" s="9">
        <f>IF(ROUNDUP(Q365/20,0)&gt;ROUNDUP(Q364/20,0),"Lần " &amp; ROUNDUP(Q365/20,0),"")</f>
        <v/>
      </c>
      <c r="AC365" s="9">
        <f>IF(ROUNDUP(R365/20,0)&gt;ROUNDUP(R364/20,0),"Lần " &amp; ROUNDUP(R365/20,0),"")</f>
        <v/>
      </c>
      <c r="AD365" s="9">
        <f>IF(ROUNDUP(S365/20,0)&gt;ROUNDUP(S364/20,0),"Lần " &amp; ROUNDUP(S365/20,0),"")</f>
        <v/>
      </c>
      <c r="AE365" s="9">
        <f>IF(ROUNDUP(T365/20,0)&gt;ROUNDUP(T364/20,0),"Lần " &amp; ROUNDUP(T365/20,0),"")</f>
        <v/>
      </c>
      <c r="AF365" s="9">
        <f>IF(ROUNDUP(U365/20,0)&gt;ROUNDUP(U364/20,0),"Lần " &amp; ROUNDUP(U365/20,0),"")</f>
        <v/>
      </c>
      <c r="AG365" s="9">
        <f>IF(ROUNDUP(V365/20,0)&gt;ROUNDUP(V364/20,0),"Lần " &amp; ROUNDUP(V365/20,0),"")</f>
        <v/>
      </c>
      <c r="AH365" s="9">
        <f>IF(ROUNDUP(W365/20,0)&gt;ROUNDUP(W364/20,0),"Lần " &amp; ROUNDUP(W365/20,0),"")</f>
        <v/>
      </c>
      <c r="AI365" s="9">
        <f>IF(ROUNDUP(X365/20,0)&gt;ROUNDUP(X364/20,0),"Lần " &amp; ROUNDUP(X365/20,0),"")</f>
        <v/>
      </c>
      <c r="AJ365" s="9">
        <f>IF(ROUNDUP(Y365/20,0)&gt;ROUNDUP(Y364/20,0),"Lần " &amp; ROUNDUP(Y365/20,0),"")</f>
        <v/>
      </c>
      <c r="AK365" s="9">
        <f>IF(ROUNDUP(Z365/20,0)&gt;ROUNDUP(Z364/20,0),"Lần " &amp; ROUNDUP(Z365/20,0),"")</f>
        <v/>
      </c>
      <c r="AL365" s="4" t="n"/>
      <c r="AN365" s="596" t="inlineStr">
        <is>
          <t>Coc</t>
        </is>
      </c>
      <c r="AO365" s="596" t="n">
        <v>25</v>
      </c>
      <c r="AQ365" s="594" t="n"/>
      <c r="AR365" s="595" t="n"/>
    </row>
    <row r="366" ht="19" customHeight="1" s="672">
      <c r="A366" s="4" t="n">
        <v>342</v>
      </c>
      <c r="B366" s="5" t="inlineStr">
        <is>
          <t>Cọc khoan nhồi C1 Mố M2 (D1.2m, L=36.0m)</t>
        </is>
      </c>
      <c r="C366" s="5" t="inlineStr">
        <is>
          <t>Cọc mố M2 L=36m (tr.66)</t>
        </is>
      </c>
      <c r="D366" s="14" t="inlineStr">
        <is>
          <t>P11</t>
        </is>
      </c>
      <c r="E366" s="15" t="n">
        <v>16</v>
      </c>
      <c r="F366" s="4" t="inlineStr">
        <is>
          <t>CB400-V</t>
        </is>
      </c>
      <c r="G366" s="5" t="inlineStr"/>
      <c r="H366" s="16" t="n">
        <v>2.484</v>
      </c>
      <c r="I366" s="17" t="n">
        <v>4</v>
      </c>
      <c r="J366" s="18" t="n">
        <v>1.578</v>
      </c>
      <c r="K366" s="7">
        <f>ROUND(H366*I366*J366, 2)</f>
        <v/>
      </c>
      <c r="L366" s="19">
        <f>ROUND(K366/1000, 3)</f>
        <v/>
      </c>
      <c r="M366" s="728">
        <f>IF(AO366="","",IF(N(INDEX(Theo_Doi_Tan_Suat_Be_Tong!$C:$C,AO366))&lt;=0,"",INDEX(Theo_Doi_Tan_Suat_Be_Tong!$C:$C,AO366)-VLOOKUP(AN366,$AQ$2:$AR$7,2,FALSE)))</f>
        <v/>
      </c>
      <c r="N366" s="4" t="n"/>
      <c r="O366" s="20">
        <f>IF(ROUNDUP(S366/20,0)&gt;ROUNDUP(S365/20,0),"TN Ø16 (Lần " &amp; ROUNDUP(S366/20,0) &amp; ")","")</f>
        <v/>
      </c>
      <c r="P366" s="16">
        <f>ROUND(P365+IF(AND(E366&lt;=10,F366&lt;&gt;"ASTM A416"),L366,0),3)</f>
        <v/>
      </c>
      <c r="Q366" s="16">
        <f>ROUND(Q365+IF(AND(E366=12,F366&lt;&gt;"ASTM A416"),L366,0),3)</f>
        <v/>
      </c>
      <c r="R366" s="16">
        <f>ROUND(R365+IF(AND(E366=14,F366&lt;&gt;"ASTM A416"),L366,0),3)</f>
        <v/>
      </c>
      <c r="S366" s="16">
        <f>ROUND(S365+IF(AND(E366=16,F366&lt;&gt;"ASTM A416"),L366,0),3)</f>
        <v/>
      </c>
      <c r="T366" s="16">
        <f>ROUND(T365+IF(AND(E366=18,F366&lt;&gt;"ASTM A416"),L366,0),3)</f>
        <v/>
      </c>
      <c r="U366" s="16">
        <f>ROUND(U365+IF(AND(E366=20,F366&lt;&gt;"ASTM A416"),L366,0),3)</f>
        <v/>
      </c>
      <c r="V366" s="16">
        <f>ROUND(V365+IF(AND(E366=22,F366&lt;&gt;"ASTM A416"),L366,0),3)</f>
        <v/>
      </c>
      <c r="W366" s="16">
        <f>ROUND(W365+IF(AND(E366=25,F366&lt;&gt;"ASTM A416"),L366,0),3)</f>
        <v/>
      </c>
      <c r="X366" s="16">
        <f>ROUND(X365+IF(AND(E366=28,F366&lt;&gt;"ASTM A416"),L366,0),3)</f>
        <v/>
      </c>
      <c r="Y366" s="16">
        <f>ROUND(Y365+IF(AND(E366=32,F366&lt;&gt;"ASTM A416"),L366,0),3)</f>
        <v/>
      </c>
      <c r="Z366" s="16">
        <f>ROUND(Z365+IF(F366="ASTM A416",L366,0),3)</f>
        <v/>
      </c>
      <c r="AA366" s="9">
        <f>IF(ROUNDUP(P366/20,0)&gt;ROUNDUP(P365/20,0),"Lần " &amp; ROUNDUP(P366/20,0),"")</f>
        <v/>
      </c>
      <c r="AB366" s="9">
        <f>IF(ROUNDUP(Q366/20,0)&gt;ROUNDUP(Q365/20,0),"Lần " &amp; ROUNDUP(Q366/20,0),"")</f>
        <v/>
      </c>
      <c r="AC366" s="9">
        <f>IF(ROUNDUP(R366/20,0)&gt;ROUNDUP(R365/20,0),"Lần " &amp; ROUNDUP(R366/20,0),"")</f>
        <v/>
      </c>
      <c r="AD366" s="9">
        <f>IF(ROUNDUP(S366/20,0)&gt;ROUNDUP(S365/20,0),"Lần " &amp; ROUNDUP(S366/20,0),"")</f>
        <v/>
      </c>
      <c r="AE366" s="9">
        <f>IF(ROUNDUP(T366/20,0)&gt;ROUNDUP(T365/20,0),"Lần " &amp; ROUNDUP(T366/20,0),"")</f>
        <v/>
      </c>
      <c r="AF366" s="9">
        <f>IF(ROUNDUP(U366/20,0)&gt;ROUNDUP(U365/20,0),"Lần " &amp; ROUNDUP(U366/20,0),"")</f>
        <v/>
      </c>
      <c r="AG366" s="9">
        <f>IF(ROUNDUP(V366/20,0)&gt;ROUNDUP(V365/20,0),"Lần " &amp; ROUNDUP(V366/20,0),"")</f>
        <v/>
      </c>
      <c r="AH366" s="9">
        <f>IF(ROUNDUP(W366/20,0)&gt;ROUNDUP(W365/20,0),"Lần " &amp; ROUNDUP(W366/20,0),"")</f>
        <v/>
      </c>
      <c r="AI366" s="9">
        <f>IF(ROUNDUP(X366/20,0)&gt;ROUNDUP(X365/20,0),"Lần " &amp; ROUNDUP(X366/20,0),"")</f>
        <v/>
      </c>
      <c r="AJ366" s="9">
        <f>IF(ROUNDUP(Y366/20,0)&gt;ROUNDUP(Y365/20,0),"Lần " &amp; ROUNDUP(Y366/20,0),"")</f>
        <v/>
      </c>
      <c r="AK366" s="9">
        <f>IF(ROUNDUP(Z366/20,0)&gt;ROUNDUP(Z365/20,0),"Lần " &amp; ROUNDUP(Z366/20,0),"")</f>
        <v/>
      </c>
      <c r="AL366" s="4" t="n"/>
      <c r="AN366" s="596" t="inlineStr">
        <is>
          <t>Coc</t>
        </is>
      </c>
      <c r="AO366" s="596" t="n">
        <v>25</v>
      </c>
      <c r="AQ366" s="594" t="n"/>
      <c r="AR366" s="595" t="n"/>
    </row>
    <row r="367" ht="19" customHeight="1" s="672">
      <c r="A367" s="668" t="inlineStr">
        <is>
          <t>--- CỌC KHOAN NHỒI C2 MỐ M2 (D1.2M, L=36.0M) ---</t>
        </is>
      </c>
      <c r="B367" s="722" t="n"/>
      <c r="C367" s="722" t="n"/>
      <c r="D367" s="722" t="n"/>
      <c r="E367" s="722" t="n"/>
      <c r="F367" s="722" t="n"/>
      <c r="G367" s="722" t="n"/>
      <c r="H367" s="722" t="n"/>
      <c r="I367" s="722" t="n"/>
      <c r="J367" s="722" t="n"/>
      <c r="K367" s="722" t="n"/>
      <c r="L367" s="722" t="n"/>
      <c r="M367" s="722" t="n"/>
      <c r="N367" s="722" t="n"/>
      <c r="O367" s="722" t="n"/>
      <c r="P367" s="722" t="n"/>
      <c r="Q367" s="722" t="n"/>
      <c r="R367" s="722" t="n"/>
      <c r="S367" s="722" t="n"/>
      <c r="T367" s="722" t="n"/>
      <c r="U367" s="722" t="n"/>
      <c r="V367" s="722" t="n"/>
      <c r="W367" s="722" t="n"/>
      <c r="X367" s="722" t="n"/>
      <c r="Y367" s="722" t="n"/>
      <c r="Z367" s="722" t="n"/>
      <c r="AA367" s="722" t="n"/>
      <c r="AB367" s="722" t="n"/>
      <c r="AC367" s="722" t="n"/>
      <c r="AD367" s="722" t="n"/>
      <c r="AE367" s="722" t="n"/>
      <c r="AF367" s="722" t="n"/>
      <c r="AG367" s="722" t="n"/>
      <c r="AH367" s="722" t="n"/>
      <c r="AI367" s="722" t="n"/>
      <c r="AJ367" s="722" t="n"/>
      <c r="AK367" s="722" t="n"/>
      <c r="AL367" s="721" t="n"/>
      <c r="AQ367" s="594" t="n"/>
      <c r="AR367" s="595" t="n"/>
    </row>
    <row r="368" ht="19" customHeight="1" s="672">
      <c r="A368" s="4" t="n">
        <v>343</v>
      </c>
      <c r="B368" s="5" t="inlineStr">
        <is>
          <t>Cọc khoan nhồi C2 Mố M2 (D1.2m, L=36.0m)</t>
        </is>
      </c>
      <c r="C368" s="5" t="inlineStr">
        <is>
          <t>Cọc mố M2 L=36m (tr.66)</t>
        </is>
      </c>
      <c r="D368" s="14" t="inlineStr">
        <is>
          <t>P1</t>
        </is>
      </c>
      <c r="E368" s="15" t="n">
        <v>10</v>
      </c>
      <c r="F368" s="4" t="inlineStr">
        <is>
          <t>CB240-T</t>
        </is>
      </c>
      <c r="G368" s="5" t="inlineStr"/>
      <c r="H368" s="16" t="n">
        <v>96.887</v>
      </c>
      <c r="I368" s="17" t="n">
        <v>1</v>
      </c>
      <c r="J368" s="18" t="n">
        <v>0.617</v>
      </c>
      <c r="K368" s="7">
        <f>ROUND(H368*I368*J368, 2)</f>
        <v/>
      </c>
      <c r="L368" s="19">
        <f>ROUND(K368/1000, 3)</f>
        <v/>
      </c>
      <c r="M368" s="728">
        <f>IF(AO368="","",IF(N(INDEX(Theo_Doi_Tan_Suat_Be_Tong!$C:$C,AO368))&lt;=0,"",INDEX(Theo_Doi_Tan_Suat_Be_Tong!$C:$C,AO368)-VLOOKUP(AN368,$AQ$2:$AR$7,2,FALSE)))</f>
        <v/>
      </c>
      <c r="N368" s="4" t="n"/>
      <c r="O368" s="20">
        <f>IF(ROUNDUP(P368/20,0)&gt;ROUNDUP(P366/20,0),"TN Ø10 (Lần " &amp; ROUNDUP(P368/20,0) &amp; ")","")</f>
        <v/>
      </c>
      <c r="P368" s="16">
        <f>ROUND(P366+IF(AND(E368&lt;=10,F368&lt;&gt;"ASTM A416"),L368,0),3)</f>
        <v/>
      </c>
      <c r="Q368" s="16">
        <f>ROUND(Q366+IF(AND(E368=12,F368&lt;&gt;"ASTM A416"),L368,0),3)</f>
        <v/>
      </c>
      <c r="R368" s="16">
        <f>ROUND(R366+IF(AND(E368=14,F368&lt;&gt;"ASTM A416"),L368,0),3)</f>
        <v/>
      </c>
      <c r="S368" s="16">
        <f>ROUND(S366+IF(AND(E368=16,F368&lt;&gt;"ASTM A416"),L368,0),3)</f>
        <v/>
      </c>
      <c r="T368" s="16">
        <f>ROUND(T366+IF(AND(E368=18,F368&lt;&gt;"ASTM A416"),L368,0),3)</f>
        <v/>
      </c>
      <c r="U368" s="16">
        <f>ROUND(U366+IF(AND(E368=20,F368&lt;&gt;"ASTM A416"),L368,0),3)</f>
        <v/>
      </c>
      <c r="V368" s="16">
        <f>ROUND(V366+IF(AND(E368=22,F368&lt;&gt;"ASTM A416"),L368,0),3)</f>
        <v/>
      </c>
      <c r="W368" s="16">
        <f>ROUND(W366+IF(AND(E368=25,F368&lt;&gt;"ASTM A416"),L368,0),3)</f>
        <v/>
      </c>
      <c r="X368" s="16">
        <f>ROUND(X366+IF(AND(E368=28,F368&lt;&gt;"ASTM A416"),L368,0),3)</f>
        <v/>
      </c>
      <c r="Y368" s="16">
        <f>ROUND(Y366+IF(AND(E368=32,F368&lt;&gt;"ASTM A416"),L368,0),3)</f>
        <v/>
      </c>
      <c r="Z368" s="16">
        <f>ROUND(Z366+IF(F368="ASTM A416",L368,0),3)</f>
        <v/>
      </c>
      <c r="AA368" s="9">
        <f>IF(ROUNDUP(P368/20,0)&gt;ROUNDUP(P366/20,0),"Lần " &amp; ROUNDUP(P368/20,0),"")</f>
        <v/>
      </c>
      <c r="AB368" s="9">
        <f>IF(ROUNDUP(Q368/20,0)&gt;ROUNDUP(Q366/20,0),"Lần " &amp; ROUNDUP(Q368/20,0),"")</f>
        <v/>
      </c>
      <c r="AC368" s="9">
        <f>IF(ROUNDUP(R368/20,0)&gt;ROUNDUP(R366/20,0),"Lần " &amp; ROUNDUP(R368/20,0),"")</f>
        <v/>
      </c>
      <c r="AD368" s="9">
        <f>IF(ROUNDUP(S368/20,0)&gt;ROUNDUP(S366/20,0),"Lần " &amp; ROUNDUP(S368/20,0),"")</f>
        <v/>
      </c>
      <c r="AE368" s="9">
        <f>IF(ROUNDUP(T368/20,0)&gt;ROUNDUP(T366/20,0),"Lần " &amp; ROUNDUP(T368/20,0),"")</f>
        <v/>
      </c>
      <c r="AF368" s="9">
        <f>IF(ROUNDUP(U368/20,0)&gt;ROUNDUP(U366/20,0),"Lần " &amp; ROUNDUP(U368/20,0),"")</f>
        <v/>
      </c>
      <c r="AG368" s="9">
        <f>IF(ROUNDUP(V368/20,0)&gt;ROUNDUP(V366/20,0),"Lần " &amp; ROUNDUP(V368/20,0),"")</f>
        <v/>
      </c>
      <c r="AH368" s="9">
        <f>IF(ROUNDUP(W368/20,0)&gt;ROUNDUP(W366/20,0),"Lần " &amp; ROUNDUP(W368/20,0),"")</f>
        <v/>
      </c>
      <c r="AI368" s="9">
        <f>IF(ROUNDUP(X368/20,0)&gt;ROUNDUP(X366/20,0),"Lần " &amp; ROUNDUP(X368/20,0),"")</f>
        <v/>
      </c>
      <c r="AJ368" s="9">
        <f>IF(ROUNDUP(Y368/20,0)&gt;ROUNDUP(Y366/20,0),"Lần " &amp; ROUNDUP(Y368/20,0),"")</f>
        <v/>
      </c>
      <c r="AK368" s="9">
        <f>IF(ROUNDUP(Z368/20,0)&gt;ROUNDUP(Z366/20,0),"Lần " &amp; ROUNDUP(Z368/20,0),"")</f>
        <v/>
      </c>
      <c r="AL368" s="4" t="n"/>
      <c r="AN368" s="596" t="inlineStr">
        <is>
          <t>Coc</t>
        </is>
      </c>
      <c r="AO368" s="596" t="n">
        <v>26</v>
      </c>
      <c r="AQ368" s="594" t="n"/>
      <c r="AR368" s="595" t="n"/>
    </row>
    <row r="369" ht="19" customHeight="1" s="672">
      <c r="A369" s="4" t="n">
        <v>344</v>
      </c>
      <c r="B369" s="5" t="inlineStr">
        <is>
          <t>Cọc khoan nhồi C2 Mố M2 (D1.2m, L=36.0m)</t>
        </is>
      </c>
      <c r="C369" s="5" t="inlineStr">
        <is>
          <t>Cọc mố M2 L=36m (tr.66)</t>
        </is>
      </c>
      <c r="D369" s="14" t="inlineStr">
        <is>
          <t>P1A</t>
        </is>
      </c>
      <c r="E369" s="15" t="n">
        <v>10</v>
      </c>
      <c r="F369" s="4" t="inlineStr">
        <is>
          <t>CB240-T</t>
        </is>
      </c>
      <c r="G369" s="5" t="inlineStr"/>
      <c r="H369" s="16" t="n">
        <v>390.776</v>
      </c>
      <c r="I369" s="17" t="n">
        <v>1</v>
      </c>
      <c r="J369" s="18" t="n">
        <v>0.617</v>
      </c>
      <c r="K369" s="7">
        <f>ROUND(H369*I369*J369, 2)</f>
        <v/>
      </c>
      <c r="L369" s="19">
        <f>ROUND(K369/1000, 3)</f>
        <v/>
      </c>
      <c r="M369" s="728">
        <f>IF(AO369="","",IF(N(INDEX(Theo_Doi_Tan_Suat_Be_Tong!$C:$C,AO369))&lt;=0,"",INDEX(Theo_Doi_Tan_Suat_Be_Tong!$C:$C,AO369)-VLOOKUP(AN369,$AQ$2:$AR$7,2,FALSE)))</f>
        <v/>
      </c>
      <c r="N369" s="4" t="n"/>
      <c r="O369" s="20">
        <f>IF(ROUNDUP(P369/20,0)&gt;ROUNDUP(P368/20,0),"TN Ø10 (Lần " &amp; ROUNDUP(P369/20,0) &amp; ")","")</f>
        <v/>
      </c>
      <c r="P369" s="16">
        <f>ROUND(P368+IF(AND(E369&lt;=10,F369&lt;&gt;"ASTM A416"),L369,0),3)</f>
        <v/>
      </c>
      <c r="Q369" s="16">
        <f>ROUND(Q368+IF(AND(E369=12,F369&lt;&gt;"ASTM A416"),L369,0),3)</f>
        <v/>
      </c>
      <c r="R369" s="16">
        <f>ROUND(R368+IF(AND(E369=14,F369&lt;&gt;"ASTM A416"),L369,0),3)</f>
        <v/>
      </c>
      <c r="S369" s="16">
        <f>ROUND(S368+IF(AND(E369=16,F369&lt;&gt;"ASTM A416"),L369,0),3)</f>
        <v/>
      </c>
      <c r="T369" s="16">
        <f>ROUND(T368+IF(AND(E369=18,F369&lt;&gt;"ASTM A416"),L369,0),3)</f>
        <v/>
      </c>
      <c r="U369" s="16">
        <f>ROUND(U368+IF(AND(E369=20,F369&lt;&gt;"ASTM A416"),L369,0),3)</f>
        <v/>
      </c>
      <c r="V369" s="16">
        <f>ROUND(V368+IF(AND(E369=22,F369&lt;&gt;"ASTM A416"),L369,0),3)</f>
        <v/>
      </c>
      <c r="W369" s="16">
        <f>ROUND(W368+IF(AND(E369=25,F369&lt;&gt;"ASTM A416"),L369,0),3)</f>
        <v/>
      </c>
      <c r="X369" s="16">
        <f>ROUND(X368+IF(AND(E369=28,F369&lt;&gt;"ASTM A416"),L369,0),3)</f>
        <v/>
      </c>
      <c r="Y369" s="16">
        <f>ROUND(Y368+IF(AND(E369=32,F369&lt;&gt;"ASTM A416"),L369,0),3)</f>
        <v/>
      </c>
      <c r="Z369" s="16">
        <f>ROUND(Z368+IF(F369="ASTM A416",L369,0),3)</f>
        <v/>
      </c>
      <c r="AA369" s="9">
        <f>IF(ROUNDUP(P369/20,0)&gt;ROUNDUP(P368/20,0),"Lần " &amp; ROUNDUP(P369/20,0),"")</f>
        <v/>
      </c>
      <c r="AB369" s="9">
        <f>IF(ROUNDUP(Q369/20,0)&gt;ROUNDUP(Q368/20,0),"Lần " &amp; ROUNDUP(Q369/20,0),"")</f>
        <v/>
      </c>
      <c r="AC369" s="9">
        <f>IF(ROUNDUP(R369/20,0)&gt;ROUNDUP(R368/20,0),"Lần " &amp; ROUNDUP(R369/20,0),"")</f>
        <v/>
      </c>
      <c r="AD369" s="9">
        <f>IF(ROUNDUP(S369/20,0)&gt;ROUNDUP(S368/20,0),"Lần " &amp; ROUNDUP(S369/20,0),"")</f>
        <v/>
      </c>
      <c r="AE369" s="9">
        <f>IF(ROUNDUP(T369/20,0)&gt;ROUNDUP(T368/20,0),"Lần " &amp; ROUNDUP(T369/20,0),"")</f>
        <v/>
      </c>
      <c r="AF369" s="9">
        <f>IF(ROUNDUP(U369/20,0)&gt;ROUNDUP(U368/20,0),"Lần " &amp; ROUNDUP(U369/20,0),"")</f>
        <v/>
      </c>
      <c r="AG369" s="9">
        <f>IF(ROUNDUP(V369/20,0)&gt;ROUNDUP(V368/20,0),"Lần " &amp; ROUNDUP(V369/20,0),"")</f>
        <v/>
      </c>
      <c r="AH369" s="9">
        <f>IF(ROUNDUP(W369/20,0)&gt;ROUNDUP(W368/20,0),"Lần " &amp; ROUNDUP(W369/20,0),"")</f>
        <v/>
      </c>
      <c r="AI369" s="9">
        <f>IF(ROUNDUP(X369/20,0)&gt;ROUNDUP(X368/20,0),"Lần " &amp; ROUNDUP(X369/20,0),"")</f>
        <v/>
      </c>
      <c r="AJ369" s="9">
        <f>IF(ROUNDUP(Y369/20,0)&gt;ROUNDUP(Y368/20,0),"Lần " &amp; ROUNDUP(Y369/20,0),"")</f>
        <v/>
      </c>
      <c r="AK369" s="9">
        <f>IF(ROUNDUP(Z369/20,0)&gt;ROUNDUP(Z368/20,0),"Lần " &amp; ROUNDUP(Z369/20,0),"")</f>
        <v/>
      </c>
      <c r="AL369" s="4" t="n"/>
      <c r="AN369" s="596" t="inlineStr">
        <is>
          <t>Coc</t>
        </is>
      </c>
      <c r="AO369" s="596" t="n">
        <v>26</v>
      </c>
      <c r="AQ369" s="594" t="n"/>
      <c r="AR369" s="595" t="n"/>
    </row>
    <row r="370" ht="19" customHeight="1" s="672">
      <c r="A370" s="4" t="n">
        <v>345</v>
      </c>
      <c r="B370" s="5" t="inlineStr">
        <is>
          <t>Cọc khoan nhồi C2 Mố M2 (D1.2m, L=36.0m)</t>
        </is>
      </c>
      <c r="C370" s="5" t="inlineStr">
        <is>
          <t>Cọc mố M2 L=36m (tr.66)</t>
        </is>
      </c>
      <c r="D370" s="14" t="inlineStr">
        <is>
          <t>P1B</t>
        </is>
      </c>
      <c r="E370" s="15" t="n">
        <v>10</v>
      </c>
      <c r="F370" s="4" t="inlineStr">
        <is>
          <t>CB240-T</t>
        </is>
      </c>
      <c r="G370" s="5" t="inlineStr"/>
      <c r="H370" s="16" t="n">
        <v>164.938</v>
      </c>
      <c r="I370" s="17" t="n">
        <v>1</v>
      </c>
      <c r="J370" s="18" t="n">
        <v>0.617</v>
      </c>
      <c r="K370" s="7">
        <f>ROUND(H370*I370*J370, 2)</f>
        <v/>
      </c>
      <c r="L370" s="19">
        <f>ROUND(K370/1000, 3)</f>
        <v/>
      </c>
      <c r="M370" s="728">
        <f>IF(AO370="","",IF(N(INDEX(Theo_Doi_Tan_Suat_Be_Tong!$C:$C,AO370))&lt;=0,"",INDEX(Theo_Doi_Tan_Suat_Be_Tong!$C:$C,AO370)-VLOOKUP(AN370,$AQ$2:$AR$7,2,FALSE)))</f>
        <v/>
      </c>
      <c r="N370" s="4" t="n"/>
      <c r="O370" s="20">
        <f>IF(ROUNDUP(P370/20,0)&gt;ROUNDUP(P369/20,0),"TN Ø10 (Lần " &amp; ROUNDUP(P370/20,0) &amp; ")","")</f>
        <v/>
      </c>
      <c r="P370" s="16">
        <f>ROUND(P369+IF(AND(E370&lt;=10,F370&lt;&gt;"ASTM A416"),L370,0),3)</f>
        <v/>
      </c>
      <c r="Q370" s="16">
        <f>ROUND(Q369+IF(AND(E370=12,F370&lt;&gt;"ASTM A416"),L370,0),3)</f>
        <v/>
      </c>
      <c r="R370" s="16">
        <f>ROUND(R369+IF(AND(E370=14,F370&lt;&gt;"ASTM A416"),L370,0),3)</f>
        <v/>
      </c>
      <c r="S370" s="16">
        <f>ROUND(S369+IF(AND(E370=16,F370&lt;&gt;"ASTM A416"),L370,0),3)</f>
        <v/>
      </c>
      <c r="T370" s="16">
        <f>ROUND(T369+IF(AND(E370=18,F370&lt;&gt;"ASTM A416"),L370,0),3)</f>
        <v/>
      </c>
      <c r="U370" s="16">
        <f>ROUND(U369+IF(AND(E370=20,F370&lt;&gt;"ASTM A416"),L370,0),3)</f>
        <v/>
      </c>
      <c r="V370" s="16">
        <f>ROUND(V369+IF(AND(E370=22,F370&lt;&gt;"ASTM A416"),L370,0),3)</f>
        <v/>
      </c>
      <c r="W370" s="16">
        <f>ROUND(W369+IF(AND(E370=25,F370&lt;&gt;"ASTM A416"),L370,0),3)</f>
        <v/>
      </c>
      <c r="X370" s="16">
        <f>ROUND(X369+IF(AND(E370=28,F370&lt;&gt;"ASTM A416"),L370,0),3)</f>
        <v/>
      </c>
      <c r="Y370" s="16">
        <f>ROUND(Y369+IF(AND(E370=32,F370&lt;&gt;"ASTM A416"),L370,0),3)</f>
        <v/>
      </c>
      <c r="Z370" s="16">
        <f>ROUND(Z369+IF(F370="ASTM A416",L370,0),3)</f>
        <v/>
      </c>
      <c r="AA370" s="9">
        <f>IF(ROUNDUP(P370/20,0)&gt;ROUNDUP(P369/20,0),"Lần " &amp; ROUNDUP(P370/20,0),"")</f>
        <v/>
      </c>
      <c r="AB370" s="9">
        <f>IF(ROUNDUP(Q370/20,0)&gt;ROUNDUP(Q369/20,0),"Lần " &amp; ROUNDUP(Q370/20,0),"")</f>
        <v/>
      </c>
      <c r="AC370" s="9">
        <f>IF(ROUNDUP(R370/20,0)&gt;ROUNDUP(R369/20,0),"Lần " &amp; ROUNDUP(R370/20,0),"")</f>
        <v/>
      </c>
      <c r="AD370" s="9">
        <f>IF(ROUNDUP(S370/20,0)&gt;ROUNDUP(S369/20,0),"Lần " &amp; ROUNDUP(S370/20,0),"")</f>
        <v/>
      </c>
      <c r="AE370" s="9">
        <f>IF(ROUNDUP(T370/20,0)&gt;ROUNDUP(T369/20,0),"Lần " &amp; ROUNDUP(T370/20,0),"")</f>
        <v/>
      </c>
      <c r="AF370" s="9">
        <f>IF(ROUNDUP(U370/20,0)&gt;ROUNDUP(U369/20,0),"Lần " &amp; ROUNDUP(U370/20,0),"")</f>
        <v/>
      </c>
      <c r="AG370" s="9">
        <f>IF(ROUNDUP(V370/20,0)&gt;ROUNDUP(V369/20,0),"Lần " &amp; ROUNDUP(V370/20,0),"")</f>
        <v/>
      </c>
      <c r="AH370" s="9">
        <f>IF(ROUNDUP(W370/20,0)&gt;ROUNDUP(W369/20,0),"Lần " &amp; ROUNDUP(W370/20,0),"")</f>
        <v/>
      </c>
      <c r="AI370" s="9">
        <f>IF(ROUNDUP(X370/20,0)&gt;ROUNDUP(X369/20,0),"Lần " &amp; ROUNDUP(X370/20,0),"")</f>
        <v/>
      </c>
      <c r="AJ370" s="9">
        <f>IF(ROUNDUP(Y370/20,0)&gt;ROUNDUP(Y369/20,0),"Lần " &amp; ROUNDUP(Y370/20,0),"")</f>
        <v/>
      </c>
      <c r="AK370" s="9">
        <f>IF(ROUNDUP(Z370/20,0)&gt;ROUNDUP(Z369/20,0),"Lần " &amp; ROUNDUP(Z370/20,0),"")</f>
        <v/>
      </c>
      <c r="AL370" s="4" t="n"/>
      <c r="AN370" s="596" t="inlineStr">
        <is>
          <t>Coc</t>
        </is>
      </c>
      <c r="AO370" s="596" t="n">
        <v>26</v>
      </c>
      <c r="AQ370" s="594" t="n"/>
      <c r="AR370" s="595" t="n"/>
    </row>
    <row r="371" ht="19" customHeight="1" s="672">
      <c r="A371" s="4" t="n">
        <v>346</v>
      </c>
      <c r="B371" s="5" t="inlineStr">
        <is>
          <t>Cọc khoan nhồi C2 Mố M2 (D1.2m, L=36.0m)</t>
        </is>
      </c>
      <c r="C371" s="5" t="inlineStr">
        <is>
          <t>Cọc mố M2 L=36m (tr.66)</t>
        </is>
      </c>
      <c r="D371" s="14" t="inlineStr">
        <is>
          <t>P1C</t>
        </is>
      </c>
      <c r="E371" s="15" t="n">
        <v>10</v>
      </c>
      <c r="F371" s="4" t="inlineStr">
        <is>
          <t>CB240-T</t>
        </is>
      </c>
      <c r="G371" s="5" t="inlineStr"/>
      <c r="H371" s="16" t="n">
        <v>3.592</v>
      </c>
      <c r="I371" s="17" t="n">
        <v>2</v>
      </c>
      <c r="J371" s="18" t="n">
        <v>0.617</v>
      </c>
      <c r="K371" s="7">
        <f>ROUND(H371*I371*J371, 2)</f>
        <v/>
      </c>
      <c r="L371" s="19">
        <f>ROUND(K371/1000, 3)</f>
        <v/>
      </c>
      <c r="M371" s="728">
        <f>IF(AO371="","",IF(N(INDEX(Theo_Doi_Tan_Suat_Be_Tong!$C:$C,AO371))&lt;=0,"",INDEX(Theo_Doi_Tan_Suat_Be_Tong!$C:$C,AO371)-VLOOKUP(AN371,$AQ$2:$AR$7,2,FALSE)))</f>
        <v/>
      </c>
      <c r="N371" s="4" t="n"/>
      <c r="O371" s="20">
        <f>IF(ROUNDUP(P371/20,0)&gt;ROUNDUP(P370/20,0),"TN Ø10 (Lần " &amp; ROUNDUP(P371/20,0) &amp; ")","")</f>
        <v/>
      </c>
      <c r="P371" s="16">
        <f>ROUND(P370+IF(AND(E371&lt;=10,F371&lt;&gt;"ASTM A416"),L371,0),3)</f>
        <v/>
      </c>
      <c r="Q371" s="16">
        <f>ROUND(Q370+IF(AND(E371=12,F371&lt;&gt;"ASTM A416"),L371,0),3)</f>
        <v/>
      </c>
      <c r="R371" s="16">
        <f>ROUND(R370+IF(AND(E371=14,F371&lt;&gt;"ASTM A416"),L371,0),3)</f>
        <v/>
      </c>
      <c r="S371" s="16">
        <f>ROUND(S370+IF(AND(E371=16,F371&lt;&gt;"ASTM A416"),L371,0),3)</f>
        <v/>
      </c>
      <c r="T371" s="16">
        <f>ROUND(T370+IF(AND(E371=18,F371&lt;&gt;"ASTM A416"),L371,0),3)</f>
        <v/>
      </c>
      <c r="U371" s="16">
        <f>ROUND(U370+IF(AND(E371=20,F371&lt;&gt;"ASTM A416"),L371,0),3)</f>
        <v/>
      </c>
      <c r="V371" s="16">
        <f>ROUND(V370+IF(AND(E371=22,F371&lt;&gt;"ASTM A416"),L371,0),3)</f>
        <v/>
      </c>
      <c r="W371" s="16">
        <f>ROUND(W370+IF(AND(E371=25,F371&lt;&gt;"ASTM A416"),L371,0),3)</f>
        <v/>
      </c>
      <c r="X371" s="16">
        <f>ROUND(X370+IF(AND(E371=28,F371&lt;&gt;"ASTM A416"),L371,0),3)</f>
        <v/>
      </c>
      <c r="Y371" s="16">
        <f>ROUND(Y370+IF(AND(E371=32,F371&lt;&gt;"ASTM A416"),L371,0),3)</f>
        <v/>
      </c>
      <c r="Z371" s="16">
        <f>ROUND(Z370+IF(F371="ASTM A416",L371,0),3)</f>
        <v/>
      </c>
      <c r="AA371" s="9">
        <f>IF(ROUNDUP(P371/20,0)&gt;ROUNDUP(P370/20,0),"Lần " &amp; ROUNDUP(P371/20,0),"")</f>
        <v/>
      </c>
      <c r="AB371" s="9">
        <f>IF(ROUNDUP(Q371/20,0)&gt;ROUNDUP(Q370/20,0),"Lần " &amp; ROUNDUP(Q371/20,0),"")</f>
        <v/>
      </c>
      <c r="AC371" s="9">
        <f>IF(ROUNDUP(R371/20,0)&gt;ROUNDUP(R370/20,0),"Lần " &amp; ROUNDUP(R371/20,0),"")</f>
        <v/>
      </c>
      <c r="AD371" s="9">
        <f>IF(ROUNDUP(S371/20,0)&gt;ROUNDUP(S370/20,0),"Lần " &amp; ROUNDUP(S371/20,0),"")</f>
        <v/>
      </c>
      <c r="AE371" s="9">
        <f>IF(ROUNDUP(T371/20,0)&gt;ROUNDUP(T370/20,0),"Lần " &amp; ROUNDUP(T371/20,0),"")</f>
        <v/>
      </c>
      <c r="AF371" s="9">
        <f>IF(ROUNDUP(U371/20,0)&gt;ROUNDUP(U370/20,0),"Lần " &amp; ROUNDUP(U371/20,0),"")</f>
        <v/>
      </c>
      <c r="AG371" s="9">
        <f>IF(ROUNDUP(V371/20,0)&gt;ROUNDUP(V370/20,0),"Lần " &amp; ROUNDUP(V371/20,0),"")</f>
        <v/>
      </c>
      <c r="AH371" s="9">
        <f>IF(ROUNDUP(W371/20,0)&gt;ROUNDUP(W370/20,0),"Lần " &amp; ROUNDUP(W371/20,0),"")</f>
        <v/>
      </c>
      <c r="AI371" s="9">
        <f>IF(ROUNDUP(X371/20,0)&gt;ROUNDUP(X370/20,0),"Lần " &amp; ROUNDUP(X371/20,0),"")</f>
        <v/>
      </c>
      <c r="AJ371" s="9">
        <f>IF(ROUNDUP(Y371/20,0)&gt;ROUNDUP(Y370/20,0),"Lần " &amp; ROUNDUP(Y371/20,0),"")</f>
        <v/>
      </c>
      <c r="AK371" s="9">
        <f>IF(ROUNDUP(Z371/20,0)&gt;ROUNDUP(Z370/20,0),"Lần " &amp; ROUNDUP(Z371/20,0),"")</f>
        <v/>
      </c>
      <c r="AL371" s="4" t="n"/>
      <c r="AN371" s="596" t="inlineStr">
        <is>
          <t>Coc</t>
        </is>
      </c>
      <c r="AO371" s="596" t="n">
        <v>26</v>
      </c>
      <c r="AQ371" s="594" t="n"/>
      <c r="AR371" s="595" t="n"/>
    </row>
    <row r="372" ht="19" customHeight="1" s="672">
      <c r="A372" s="4" t="n">
        <v>347</v>
      </c>
      <c r="B372" s="5" t="inlineStr">
        <is>
          <t>Cọc khoan nhồi C2 Mố M2 (D1.2m, L=36.0m)</t>
        </is>
      </c>
      <c r="C372" s="5" t="inlineStr">
        <is>
          <t>Cọc mố M2 L=36m (tr.66)</t>
        </is>
      </c>
      <c r="D372" s="14" t="inlineStr">
        <is>
          <t>P1D</t>
        </is>
      </c>
      <c r="E372" s="15" t="n">
        <v>10</v>
      </c>
      <c r="F372" s="4" t="inlineStr">
        <is>
          <t>CB240-T</t>
        </is>
      </c>
      <c r="G372" s="5" t="inlineStr"/>
      <c r="H372" s="16" t="n">
        <v>23.007</v>
      </c>
      <c r="I372" s="17" t="n">
        <v>1</v>
      </c>
      <c r="J372" s="18" t="n">
        <v>0.617</v>
      </c>
      <c r="K372" s="7">
        <f>ROUND(H372*I372*J372, 2)</f>
        <v/>
      </c>
      <c r="L372" s="19">
        <f>ROUND(K372/1000, 3)</f>
        <v/>
      </c>
      <c r="M372" s="728">
        <f>IF(AO372="","",IF(N(INDEX(Theo_Doi_Tan_Suat_Be_Tong!$C:$C,AO372))&lt;=0,"",INDEX(Theo_Doi_Tan_Suat_Be_Tong!$C:$C,AO372)-VLOOKUP(AN372,$AQ$2:$AR$7,2,FALSE)))</f>
        <v/>
      </c>
      <c r="N372" s="4" t="n"/>
      <c r="O372" s="20">
        <f>IF(ROUNDUP(P372/20,0)&gt;ROUNDUP(P371/20,0),"TN Ø10 (Lần " &amp; ROUNDUP(P372/20,0) &amp; ")","")</f>
        <v/>
      </c>
      <c r="P372" s="16">
        <f>ROUND(P371+IF(AND(E372&lt;=10,F372&lt;&gt;"ASTM A416"),L372,0),3)</f>
        <v/>
      </c>
      <c r="Q372" s="16">
        <f>ROUND(Q371+IF(AND(E372=12,F372&lt;&gt;"ASTM A416"),L372,0),3)</f>
        <v/>
      </c>
      <c r="R372" s="16">
        <f>ROUND(R371+IF(AND(E372=14,F372&lt;&gt;"ASTM A416"),L372,0),3)</f>
        <v/>
      </c>
      <c r="S372" s="16">
        <f>ROUND(S371+IF(AND(E372=16,F372&lt;&gt;"ASTM A416"),L372,0),3)</f>
        <v/>
      </c>
      <c r="T372" s="16">
        <f>ROUND(T371+IF(AND(E372=18,F372&lt;&gt;"ASTM A416"),L372,0),3)</f>
        <v/>
      </c>
      <c r="U372" s="16">
        <f>ROUND(U371+IF(AND(E372=20,F372&lt;&gt;"ASTM A416"),L372,0),3)</f>
        <v/>
      </c>
      <c r="V372" s="16">
        <f>ROUND(V371+IF(AND(E372=22,F372&lt;&gt;"ASTM A416"),L372,0),3)</f>
        <v/>
      </c>
      <c r="W372" s="16">
        <f>ROUND(W371+IF(AND(E372=25,F372&lt;&gt;"ASTM A416"),L372,0),3)</f>
        <v/>
      </c>
      <c r="X372" s="16">
        <f>ROUND(X371+IF(AND(E372=28,F372&lt;&gt;"ASTM A416"),L372,0),3)</f>
        <v/>
      </c>
      <c r="Y372" s="16">
        <f>ROUND(Y371+IF(AND(E372=32,F372&lt;&gt;"ASTM A416"),L372,0),3)</f>
        <v/>
      </c>
      <c r="Z372" s="16">
        <f>ROUND(Z371+IF(F372="ASTM A416",L372,0),3)</f>
        <v/>
      </c>
      <c r="AA372" s="9">
        <f>IF(ROUNDUP(P372/20,0)&gt;ROUNDUP(P371/20,0),"Lần " &amp; ROUNDUP(P372/20,0),"")</f>
        <v/>
      </c>
      <c r="AB372" s="9">
        <f>IF(ROUNDUP(Q372/20,0)&gt;ROUNDUP(Q371/20,0),"Lần " &amp; ROUNDUP(Q372/20,0),"")</f>
        <v/>
      </c>
      <c r="AC372" s="9">
        <f>IF(ROUNDUP(R372/20,0)&gt;ROUNDUP(R371/20,0),"Lần " &amp; ROUNDUP(R372/20,0),"")</f>
        <v/>
      </c>
      <c r="AD372" s="9">
        <f>IF(ROUNDUP(S372/20,0)&gt;ROUNDUP(S371/20,0),"Lần " &amp; ROUNDUP(S372/20,0),"")</f>
        <v/>
      </c>
      <c r="AE372" s="9">
        <f>IF(ROUNDUP(T372/20,0)&gt;ROUNDUP(T371/20,0),"Lần " &amp; ROUNDUP(T372/20,0),"")</f>
        <v/>
      </c>
      <c r="AF372" s="9">
        <f>IF(ROUNDUP(U372/20,0)&gt;ROUNDUP(U371/20,0),"Lần " &amp; ROUNDUP(U372/20,0),"")</f>
        <v/>
      </c>
      <c r="AG372" s="9">
        <f>IF(ROUNDUP(V372/20,0)&gt;ROUNDUP(V371/20,0),"Lần " &amp; ROUNDUP(V372/20,0),"")</f>
        <v/>
      </c>
      <c r="AH372" s="9">
        <f>IF(ROUNDUP(W372/20,0)&gt;ROUNDUP(W371/20,0),"Lần " &amp; ROUNDUP(W372/20,0),"")</f>
        <v/>
      </c>
      <c r="AI372" s="9">
        <f>IF(ROUNDUP(X372/20,0)&gt;ROUNDUP(X371/20,0),"Lần " &amp; ROUNDUP(X372/20,0),"")</f>
        <v/>
      </c>
      <c r="AJ372" s="9">
        <f>IF(ROUNDUP(Y372/20,0)&gt;ROUNDUP(Y371/20,0),"Lần " &amp; ROUNDUP(Y372/20,0),"")</f>
        <v/>
      </c>
      <c r="AK372" s="9">
        <f>IF(ROUNDUP(Z372/20,0)&gt;ROUNDUP(Z371/20,0),"Lần " &amp; ROUNDUP(Z372/20,0),"")</f>
        <v/>
      </c>
      <c r="AL372" s="4" t="n"/>
      <c r="AN372" s="596" t="inlineStr">
        <is>
          <t>Coc</t>
        </is>
      </c>
      <c r="AO372" s="596" t="n">
        <v>26</v>
      </c>
      <c r="AQ372" s="594" t="n"/>
      <c r="AR372" s="595" t="n"/>
    </row>
    <row r="373" ht="19" customHeight="1" s="672">
      <c r="A373" s="4" t="n">
        <v>348</v>
      </c>
      <c r="B373" s="5" t="inlineStr">
        <is>
          <t>Cọc khoan nhồi C2 Mố M2 (D1.2m, L=36.0m)</t>
        </is>
      </c>
      <c r="C373" s="5" t="inlineStr">
        <is>
          <t>Cọc mố M2 L=36m (tr.66)</t>
        </is>
      </c>
      <c r="D373" s="14" t="inlineStr">
        <is>
          <t>P2A</t>
        </is>
      </c>
      <c r="E373" s="15" t="n">
        <v>28</v>
      </c>
      <c r="F373" s="4" t="inlineStr">
        <is>
          <t>CB400-V</t>
        </is>
      </c>
      <c r="G373" s="5" t="inlineStr"/>
      <c r="H373" s="16" t="n">
        <v>2.966</v>
      </c>
      <c r="I373" s="17" t="n">
        <v>5</v>
      </c>
      <c r="J373" s="18" t="n">
        <v>4.834</v>
      </c>
      <c r="K373" s="7">
        <f>ROUND(H373*I373*J373, 2)</f>
        <v/>
      </c>
      <c r="L373" s="19">
        <f>ROUND(K373/1000, 3)</f>
        <v/>
      </c>
      <c r="M373" s="728">
        <f>IF(AO373="","",IF(N(INDEX(Theo_Doi_Tan_Suat_Be_Tong!$C:$C,AO373))&lt;=0,"",INDEX(Theo_Doi_Tan_Suat_Be_Tong!$C:$C,AO373)-VLOOKUP(AN373,$AQ$2:$AR$7,2,FALSE)))</f>
        <v/>
      </c>
      <c r="N373" s="4" t="n"/>
      <c r="O373" s="20">
        <f>IF(ROUNDUP(X373/20,0)&gt;ROUNDUP(X372/20,0),"TN Ø28 (Lần " &amp; ROUNDUP(X373/20,0) &amp; ")","")</f>
        <v/>
      </c>
      <c r="P373" s="16">
        <f>ROUND(P372+IF(AND(E373&lt;=10,F373&lt;&gt;"ASTM A416"),L373,0),3)</f>
        <v/>
      </c>
      <c r="Q373" s="16">
        <f>ROUND(Q372+IF(AND(E373=12,F373&lt;&gt;"ASTM A416"),L373,0),3)</f>
        <v/>
      </c>
      <c r="R373" s="16">
        <f>ROUND(R372+IF(AND(E373=14,F373&lt;&gt;"ASTM A416"),L373,0),3)</f>
        <v/>
      </c>
      <c r="S373" s="16">
        <f>ROUND(S372+IF(AND(E373=16,F373&lt;&gt;"ASTM A416"),L373,0),3)</f>
        <v/>
      </c>
      <c r="T373" s="16">
        <f>ROUND(T372+IF(AND(E373=18,F373&lt;&gt;"ASTM A416"),L373,0),3)</f>
        <v/>
      </c>
      <c r="U373" s="16">
        <f>ROUND(U372+IF(AND(E373=20,F373&lt;&gt;"ASTM A416"),L373,0),3)</f>
        <v/>
      </c>
      <c r="V373" s="16">
        <f>ROUND(V372+IF(AND(E373=22,F373&lt;&gt;"ASTM A416"),L373,0),3)</f>
        <v/>
      </c>
      <c r="W373" s="16">
        <f>ROUND(W372+IF(AND(E373=25,F373&lt;&gt;"ASTM A416"),L373,0),3)</f>
        <v/>
      </c>
      <c r="X373" s="16">
        <f>ROUND(X372+IF(AND(E373=28,F373&lt;&gt;"ASTM A416"),L373,0),3)</f>
        <v/>
      </c>
      <c r="Y373" s="16">
        <f>ROUND(Y372+IF(AND(E373=32,F373&lt;&gt;"ASTM A416"),L373,0),3)</f>
        <v/>
      </c>
      <c r="Z373" s="16">
        <f>ROUND(Z372+IF(F373="ASTM A416",L373,0),3)</f>
        <v/>
      </c>
      <c r="AA373" s="9">
        <f>IF(ROUNDUP(P373/20,0)&gt;ROUNDUP(P372/20,0),"Lần " &amp; ROUNDUP(P373/20,0),"")</f>
        <v/>
      </c>
      <c r="AB373" s="9">
        <f>IF(ROUNDUP(Q373/20,0)&gt;ROUNDUP(Q372/20,0),"Lần " &amp; ROUNDUP(Q373/20,0),"")</f>
        <v/>
      </c>
      <c r="AC373" s="9">
        <f>IF(ROUNDUP(R373/20,0)&gt;ROUNDUP(R372/20,0),"Lần " &amp; ROUNDUP(R373/20,0),"")</f>
        <v/>
      </c>
      <c r="AD373" s="9">
        <f>IF(ROUNDUP(S373/20,0)&gt;ROUNDUP(S372/20,0),"Lần " &amp; ROUNDUP(S373/20,0),"")</f>
        <v/>
      </c>
      <c r="AE373" s="9">
        <f>IF(ROUNDUP(T373/20,0)&gt;ROUNDUP(T372/20,0),"Lần " &amp; ROUNDUP(T373/20,0),"")</f>
        <v/>
      </c>
      <c r="AF373" s="9">
        <f>IF(ROUNDUP(U373/20,0)&gt;ROUNDUP(U372/20,0),"Lần " &amp; ROUNDUP(U373/20,0),"")</f>
        <v/>
      </c>
      <c r="AG373" s="9">
        <f>IF(ROUNDUP(V373/20,0)&gt;ROUNDUP(V372/20,0),"Lần " &amp; ROUNDUP(V373/20,0),"")</f>
        <v/>
      </c>
      <c r="AH373" s="9">
        <f>IF(ROUNDUP(W373/20,0)&gt;ROUNDUP(W372/20,0),"Lần " &amp; ROUNDUP(W373/20,0),"")</f>
        <v/>
      </c>
      <c r="AI373" s="9">
        <f>IF(ROUNDUP(X373/20,0)&gt;ROUNDUP(X372/20,0),"Lần " &amp; ROUNDUP(X373/20,0),"")</f>
        <v/>
      </c>
      <c r="AJ373" s="9">
        <f>IF(ROUNDUP(Y373/20,0)&gt;ROUNDUP(Y372/20,0),"Lần " &amp; ROUNDUP(Y373/20,0),"")</f>
        <v/>
      </c>
      <c r="AK373" s="9">
        <f>IF(ROUNDUP(Z373/20,0)&gt;ROUNDUP(Z372/20,0),"Lần " &amp; ROUNDUP(Z373/20,0),"")</f>
        <v/>
      </c>
      <c r="AL373" s="4" t="n"/>
      <c r="AN373" s="596" t="inlineStr">
        <is>
          <t>Coc</t>
        </is>
      </c>
      <c r="AO373" s="596" t="n">
        <v>26</v>
      </c>
      <c r="AQ373" s="594" t="n"/>
      <c r="AR373" s="595" t="n"/>
    </row>
    <row r="374" ht="19" customHeight="1" s="672">
      <c r="A374" s="4" t="n">
        <v>349</v>
      </c>
      <c r="B374" s="5" t="inlineStr">
        <is>
          <t>Cọc khoan nhồi C2 Mố M2 (D1.2m, L=36.0m)</t>
        </is>
      </c>
      <c r="C374" s="5" t="inlineStr">
        <is>
          <t>Cọc mố M2 L=36m (tr.66)</t>
        </is>
      </c>
      <c r="D374" s="14" t="inlineStr">
        <is>
          <t>P2B</t>
        </is>
      </c>
      <c r="E374" s="15" t="n">
        <v>25</v>
      </c>
      <c r="F374" s="4" t="inlineStr">
        <is>
          <t>CB400-V</t>
        </is>
      </c>
      <c r="G374" s="5" t="inlineStr"/>
      <c r="H374" s="16" t="n">
        <v>2.985</v>
      </c>
      <c r="I374" s="17" t="n">
        <v>10</v>
      </c>
      <c r="J374" s="18" t="n">
        <v>3.853</v>
      </c>
      <c r="K374" s="7">
        <f>ROUND(H374*I374*J374, 2)</f>
        <v/>
      </c>
      <c r="L374" s="19">
        <f>ROUND(K374/1000, 3)</f>
        <v/>
      </c>
      <c r="M374" s="728">
        <f>IF(AO374="","",IF(N(INDEX(Theo_Doi_Tan_Suat_Be_Tong!$C:$C,AO374))&lt;=0,"",INDEX(Theo_Doi_Tan_Suat_Be_Tong!$C:$C,AO374)-VLOOKUP(AN374,$AQ$2:$AR$7,2,FALSE)))</f>
        <v/>
      </c>
      <c r="N374" s="4" t="n"/>
      <c r="O374" s="20">
        <f>IF(ROUNDUP(W374/20,0)&gt;ROUNDUP(W373/20,0),"TN Ø25 (Lần " &amp; ROUNDUP(W374/20,0) &amp; ")","")</f>
        <v/>
      </c>
      <c r="P374" s="16">
        <f>ROUND(P373+IF(AND(E374&lt;=10,F374&lt;&gt;"ASTM A416"),L374,0),3)</f>
        <v/>
      </c>
      <c r="Q374" s="16">
        <f>ROUND(Q373+IF(AND(E374=12,F374&lt;&gt;"ASTM A416"),L374,0),3)</f>
        <v/>
      </c>
      <c r="R374" s="16">
        <f>ROUND(R373+IF(AND(E374=14,F374&lt;&gt;"ASTM A416"),L374,0),3)</f>
        <v/>
      </c>
      <c r="S374" s="16">
        <f>ROUND(S373+IF(AND(E374=16,F374&lt;&gt;"ASTM A416"),L374,0),3)</f>
        <v/>
      </c>
      <c r="T374" s="16">
        <f>ROUND(T373+IF(AND(E374=18,F374&lt;&gt;"ASTM A416"),L374,0),3)</f>
        <v/>
      </c>
      <c r="U374" s="16">
        <f>ROUND(U373+IF(AND(E374=20,F374&lt;&gt;"ASTM A416"),L374,0),3)</f>
        <v/>
      </c>
      <c r="V374" s="16">
        <f>ROUND(V373+IF(AND(E374=22,F374&lt;&gt;"ASTM A416"),L374,0),3)</f>
        <v/>
      </c>
      <c r="W374" s="16">
        <f>ROUND(W373+IF(AND(E374=25,F374&lt;&gt;"ASTM A416"),L374,0),3)</f>
        <v/>
      </c>
      <c r="X374" s="16">
        <f>ROUND(X373+IF(AND(E374=28,F374&lt;&gt;"ASTM A416"),L374,0),3)</f>
        <v/>
      </c>
      <c r="Y374" s="16">
        <f>ROUND(Y373+IF(AND(E374=32,F374&lt;&gt;"ASTM A416"),L374,0),3)</f>
        <v/>
      </c>
      <c r="Z374" s="16">
        <f>ROUND(Z373+IF(F374="ASTM A416",L374,0),3)</f>
        <v/>
      </c>
      <c r="AA374" s="9">
        <f>IF(ROUNDUP(P374/20,0)&gt;ROUNDUP(P373/20,0),"Lần " &amp; ROUNDUP(P374/20,0),"")</f>
        <v/>
      </c>
      <c r="AB374" s="9">
        <f>IF(ROUNDUP(Q374/20,0)&gt;ROUNDUP(Q373/20,0),"Lần " &amp; ROUNDUP(Q374/20,0),"")</f>
        <v/>
      </c>
      <c r="AC374" s="9">
        <f>IF(ROUNDUP(R374/20,0)&gt;ROUNDUP(R373/20,0),"Lần " &amp; ROUNDUP(R374/20,0),"")</f>
        <v/>
      </c>
      <c r="AD374" s="9">
        <f>IF(ROUNDUP(S374/20,0)&gt;ROUNDUP(S373/20,0),"Lần " &amp; ROUNDUP(S374/20,0),"")</f>
        <v/>
      </c>
      <c r="AE374" s="9">
        <f>IF(ROUNDUP(T374/20,0)&gt;ROUNDUP(T373/20,0),"Lần " &amp; ROUNDUP(T374/20,0),"")</f>
        <v/>
      </c>
      <c r="AF374" s="9">
        <f>IF(ROUNDUP(U374/20,0)&gt;ROUNDUP(U373/20,0),"Lần " &amp; ROUNDUP(U374/20,0),"")</f>
        <v/>
      </c>
      <c r="AG374" s="9">
        <f>IF(ROUNDUP(V374/20,0)&gt;ROUNDUP(V373/20,0),"Lần " &amp; ROUNDUP(V374/20,0),"")</f>
        <v/>
      </c>
      <c r="AH374" s="9">
        <f>IF(ROUNDUP(W374/20,0)&gt;ROUNDUP(W373/20,0),"Lần " &amp; ROUNDUP(W374/20,0),"")</f>
        <v/>
      </c>
      <c r="AI374" s="9">
        <f>IF(ROUNDUP(X374/20,0)&gt;ROUNDUP(X373/20,0),"Lần " &amp; ROUNDUP(X374/20,0),"")</f>
        <v/>
      </c>
      <c r="AJ374" s="9">
        <f>IF(ROUNDUP(Y374/20,0)&gt;ROUNDUP(Y373/20,0),"Lần " &amp; ROUNDUP(Y374/20,0),"")</f>
        <v/>
      </c>
      <c r="AK374" s="9">
        <f>IF(ROUNDUP(Z374/20,0)&gt;ROUNDUP(Z373/20,0),"Lần " &amp; ROUNDUP(Z374/20,0),"")</f>
        <v/>
      </c>
      <c r="AL374" s="4" t="n"/>
      <c r="AN374" s="596" t="inlineStr">
        <is>
          <t>Coc</t>
        </is>
      </c>
      <c r="AO374" s="596" t="n">
        <v>26</v>
      </c>
      <c r="AQ374" s="594" t="n"/>
      <c r="AR374" s="595" t="n"/>
    </row>
    <row r="375" ht="19" customHeight="1" s="672">
      <c r="A375" s="4" t="n">
        <v>350</v>
      </c>
      <c r="B375" s="5" t="inlineStr">
        <is>
          <t>Cọc khoan nhồi C2 Mố M2 (D1.2m, L=36.0m)</t>
        </is>
      </c>
      <c r="C375" s="5" t="inlineStr">
        <is>
          <t>Cọc mố M2 L=36m (tr.66)</t>
        </is>
      </c>
      <c r="D375" s="14" t="inlineStr">
        <is>
          <t>P3</t>
        </is>
      </c>
      <c r="E375" s="15" t="n">
        <v>28</v>
      </c>
      <c r="F375" s="4" t="inlineStr">
        <is>
          <t>CB400-V</t>
        </is>
      </c>
      <c r="G375" s="5" t="inlineStr"/>
      <c r="H375" s="16" t="n">
        <v>10.7</v>
      </c>
      <c r="I375" s="17" t="n">
        <v>12</v>
      </c>
      <c r="J375" s="18" t="n">
        <v>4.834</v>
      </c>
      <c r="K375" s="7">
        <f>ROUND(H375*I375*J375, 2)</f>
        <v/>
      </c>
      <c r="L375" s="19">
        <f>ROUND(K375/1000, 3)</f>
        <v/>
      </c>
      <c r="M375" s="728">
        <f>IF(AO375="","",IF(N(INDEX(Theo_Doi_Tan_Suat_Be_Tong!$C:$C,AO375))&lt;=0,"",INDEX(Theo_Doi_Tan_Suat_Be_Tong!$C:$C,AO375)-VLOOKUP(AN375,$AQ$2:$AR$7,2,FALSE)))</f>
        <v/>
      </c>
      <c r="N375" s="4" t="n"/>
      <c r="O375" s="20">
        <f>IF(ROUNDUP(X375/20,0)&gt;ROUNDUP(X374/20,0),"TN Ø28 (Lần " &amp; ROUNDUP(X375/20,0) &amp; ")","")</f>
        <v/>
      </c>
      <c r="P375" s="16">
        <f>ROUND(P374+IF(AND(E375&lt;=10,F375&lt;&gt;"ASTM A416"),L375,0),3)</f>
        <v/>
      </c>
      <c r="Q375" s="16">
        <f>ROUND(Q374+IF(AND(E375=12,F375&lt;&gt;"ASTM A416"),L375,0),3)</f>
        <v/>
      </c>
      <c r="R375" s="16">
        <f>ROUND(R374+IF(AND(E375=14,F375&lt;&gt;"ASTM A416"),L375,0),3)</f>
        <v/>
      </c>
      <c r="S375" s="16">
        <f>ROUND(S374+IF(AND(E375=16,F375&lt;&gt;"ASTM A416"),L375,0),3)</f>
        <v/>
      </c>
      <c r="T375" s="16">
        <f>ROUND(T374+IF(AND(E375=18,F375&lt;&gt;"ASTM A416"),L375,0),3)</f>
        <v/>
      </c>
      <c r="U375" s="16">
        <f>ROUND(U374+IF(AND(E375=20,F375&lt;&gt;"ASTM A416"),L375,0),3)</f>
        <v/>
      </c>
      <c r="V375" s="16">
        <f>ROUND(V374+IF(AND(E375=22,F375&lt;&gt;"ASTM A416"),L375,0),3)</f>
        <v/>
      </c>
      <c r="W375" s="16">
        <f>ROUND(W374+IF(AND(E375=25,F375&lt;&gt;"ASTM A416"),L375,0),3)</f>
        <v/>
      </c>
      <c r="X375" s="16">
        <f>ROUND(X374+IF(AND(E375=28,F375&lt;&gt;"ASTM A416"),L375,0),3)</f>
        <v/>
      </c>
      <c r="Y375" s="16">
        <f>ROUND(Y374+IF(AND(E375=32,F375&lt;&gt;"ASTM A416"),L375,0),3)</f>
        <v/>
      </c>
      <c r="Z375" s="16">
        <f>ROUND(Z374+IF(F375="ASTM A416",L375,0),3)</f>
        <v/>
      </c>
      <c r="AA375" s="9">
        <f>IF(ROUNDUP(P375/20,0)&gt;ROUNDUP(P374/20,0),"Lần " &amp; ROUNDUP(P375/20,0),"")</f>
        <v/>
      </c>
      <c r="AB375" s="9">
        <f>IF(ROUNDUP(Q375/20,0)&gt;ROUNDUP(Q374/20,0),"Lần " &amp; ROUNDUP(Q375/20,0),"")</f>
        <v/>
      </c>
      <c r="AC375" s="9">
        <f>IF(ROUNDUP(R375/20,0)&gt;ROUNDUP(R374/20,0),"Lần " &amp; ROUNDUP(R375/20,0),"")</f>
        <v/>
      </c>
      <c r="AD375" s="9">
        <f>IF(ROUNDUP(S375/20,0)&gt;ROUNDUP(S374/20,0),"Lần " &amp; ROUNDUP(S375/20,0),"")</f>
        <v/>
      </c>
      <c r="AE375" s="9">
        <f>IF(ROUNDUP(T375/20,0)&gt;ROUNDUP(T374/20,0),"Lần " &amp; ROUNDUP(T375/20,0),"")</f>
        <v/>
      </c>
      <c r="AF375" s="9">
        <f>IF(ROUNDUP(U375/20,0)&gt;ROUNDUP(U374/20,0),"Lần " &amp; ROUNDUP(U375/20,0),"")</f>
        <v/>
      </c>
      <c r="AG375" s="9">
        <f>IF(ROUNDUP(V375/20,0)&gt;ROUNDUP(V374/20,0),"Lần " &amp; ROUNDUP(V375/20,0),"")</f>
        <v/>
      </c>
      <c r="AH375" s="9">
        <f>IF(ROUNDUP(W375/20,0)&gt;ROUNDUP(W374/20,0),"Lần " &amp; ROUNDUP(W375/20,0),"")</f>
        <v/>
      </c>
      <c r="AI375" s="9">
        <f>IF(ROUNDUP(X375/20,0)&gt;ROUNDUP(X374/20,0),"Lần " &amp; ROUNDUP(X375/20,0),"")</f>
        <v/>
      </c>
      <c r="AJ375" s="9">
        <f>IF(ROUNDUP(Y375/20,0)&gt;ROUNDUP(Y374/20,0),"Lần " &amp; ROUNDUP(Y375/20,0),"")</f>
        <v/>
      </c>
      <c r="AK375" s="9">
        <f>IF(ROUNDUP(Z375/20,0)&gt;ROUNDUP(Z374/20,0),"Lần " &amp; ROUNDUP(Z375/20,0),"")</f>
        <v/>
      </c>
      <c r="AL375" s="4" t="n"/>
      <c r="AN375" s="596" t="inlineStr">
        <is>
          <t>Coc</t>
        </is>
      </c>
      <c r="AO375" s="596" t="n">
        <v>26</v>
      </c>
      <c r="AQ375" s="594" t="n"/>
      <c r="AR375" s="595" t="n"/>
    </row>
    <row r="376" ht="19" customHeight="1" s="672">
      <c r="A376" s="4" t="n">
        <v>351</v>
      </c>
      <c r="B376" s="5" t="inlineStr">
        <is>
          <t>Cọc khoan nhồi C2 Mố M2 (D1.2m, L=36.0m)</t>
        </is>
      </c>
      <c r="C376" s="5" t="inlineStr">
        <is>
          <t>Cọc mố M2 L=36m (tr.66)</t>
        </is>
      </c>
      <c r="D376" s="14" t="inlineStr">
        <is>
          <t>P4</t>
        </is>
      </c>
      <c r="E376" s="15" t="n">
        <v>28</v>
      </c>
      <c r="F376" s="4" t="inlineStr">
        <is>
          <t>CB400-V</t>
        </is>
      </c>
      <c r="G376" s="5" t="inlineStr"/>
      <c r="H376" s="16" t="n">
        <v>11.7</v>
      </c>
      <c r="I376" s="17" t="n">
        <v>12</v>
      </c>
      <c r="J376" s="18" t="n">
        <v>4.834</v>
      </c>
      <c r="K376" s="7">
        <f>ROUND(H376*I376*J376, 2)</f>
        <v/>
      </c>
      <c r="L376" s="19">
        <f>ROUND(K376/1000, 3)</f>
        <v/>
      </c>
      <c r="M376" s="728">
        <f>IF(AO376="","",IF(N(INDEX(Theo_Doi_Tan_Suat_Be_Tong!$C:$C,AO376))&lt;=0,"",INDEX(Theo_Doi_Tan_Suat_Be_Tong!$C:$C,AO376)-VLOOKUP(AN376,$AQ$2:$AR$7,2,FALSE)))</f>
        <v/>
      </c>
      <c r="N376" s="4" t="n"/>
      <c r="O376" s="20">
        <f>IF(ROUNDUP(X376/20,0)&gt;ROUNDUP(X375/20,0),"TN Ø28 (Lần " &amp; ROUNDUP(X376/20,0) &amp; ")","")</f>
        <v/>
      </c>
      <c r="P376" s="16">
        <f>ROUND(P375+IF(AND(E376&lt;=10,F376&lt;&gt;"ASTM A416"),L376,0),3)</f>
        <v/>
      </c>
      <c r="Q376" s="16">
        <f>ROUND(Q375+IF(AND(E376=12,F376&lt;&gt;"ASTM A416"),L376,0),3)</f>
        <v/>
      </c>
      <c r="R376" s="16">
        <f>ROUND(R375+IF(AND(E376=14,F376&lt;&gt;"ASTM A416"),L376,0),3)</f>
        <v/>
      </c>
      <c r="S376" s="16">
        <f>ROUND(S375+IF(AND(E376=16,F376&lt;&gt;"ASTM A416"),L376,0),3)</f>
        <v/>
      </c>
      <c r="T376" s="16">
        <f>ROUND(T375+IF(AND(E376=18,F376&lt;&gt;"ASTM A416"),L376,0),3)</f>
        <v/>
      </c>
      <c r="U376" s="16">
        <f>ROUND(U375+IF(AND(E376=20,F376&lt;&gt;"ASTM A416"),L376,0),3)</f>
        <v/>
      </c>
      <c r="V376" s="16">
        <f>ROUND(V375+IF(AND(E376=22,F376&lt;&gt;"ASTM A416"),L376,0),3)</f>
        <v/>
      </c>
      <c r="W376" s="16">
        <f>ROUND(W375+IF(AND(E376=25,F376&lt;&gt;"ASTM A416"),L376,0),3)</f>
        <v/>
      </c>
      <c r="X376" s="16">
        <f>ROUND(X375+IF(AND(E376=28,F376&lt;&gt;"ASTM A416"),L376,0),3)</f>
        <v/>
      </c>
      <c r="Y376" s="16">
        <f>ROUND(Y375+IF(AND(E376=32,F376&lt;&gt;"ASTM A416"),L376,0),3)</f>
        <v/>
      </c>
      <c r="Z376" s="16">
        <f>ROUND(Z375+IF(F376="ASTM A416",L376,0),3)</f>
        <v/>
      </c>
      <c r="AA376" s="9">
        <f>IF(ROUNDUP(P376/20,0)&gt;ROUNDUP(P375/20,0),"Lần " &amp; ROUNDUP(P376/20,0),"")</f>
        <v/>
      </c>
      <c r="AB376" s="9">
        <f>IF(ROUNDUP(Q376/20,0)&gt;ROUNDUP(Q375/20,0),"Lần " &amp; ROUNDUP(Q376/20,0),"")</f>
        <v/>
      </c>
      <c r="AC376" s="9">
        <f>IF(ROUNDUP(R376/20,0)&gt;ROUNDUP(R375/20,0),"Lần " &amp; ROUNDUP(R376/20,0),"")</f>
        <v/>
      </c>
      <c r="AD376" s="9">
        <f>IF(ROUNDUP(S376/20,0)&gt;ROUNDUP(S375/20,0),"Lần " &amp; ROUNDUP(S376/20,0),"")</f>
        <v/>
      </c>
      <c r="AE376" s="9">
        <f>IF(ROUNDUP(T376/20,0)&gt;ROUNDUP(T375/20,0),"Lần " &amp; ROUNDUP(T376/20,0),"")</f>
        <v/>
      </c>
      <c r="AF376" s="9">
        <f>IF(ROUNDUP(U376/20,0)&gt;ROUNDUP(U375/20,0),"Lần " &amp; ROUNDUP(U376/20,0),"")</f>
        <v/>
      </c>
      <c r="AG376" s="9">
        <f>IF(ROUNDUP(V376/20,0)&gt;ROUNDUP(V375/20,0),"Lần " &amp; ROUNDUP(V376/20,0),"")</f>
        <v/>
      </c>
      <c r="AH376" s="9">
        <f>IF(ROUNDUP(W376/20,0)&gt;ROUNDUP(W375/20,0),"Lần " &amp; ROUNDUP(W376/20,0),"")</f>
        <v/>
      </c>
      <c r="AI376" s="9">
        <f>IF(ROUNDUP(X376/20,0)&gt;ROUNDUP(X375/20,0),"Lần " &amp; ROUNDUP(X376/20,0),"")</f>
        <v/>
      </c>
      <c r="AJ376" s="9">
        <f>IF(ROUNDUP(Y376/20,0)&gt;ROUNDUP(Y375/20,0),"Lần " &amp; ROUNDUP(Y376/20,0),"")</f>
        <v/>
      </c>
      <c r="AK376" s="9">
        <f>IF(ROUNDUP(Z376/20,0)&gt;ROUNDUP(Z375/20,0),"Lần " &amp; ROUNDUP(Z376/20,0),"")</f>
        <v/>
      </c>
      <c r="AL376" s="4" t="n"/>
      <c r="AN376" s="596" t="inlineStr">
        <is>
          <t>Coc</t>
        </is>
      </c>
      <c r="AO376" s="596" t="n">
        <v>26</v>
      </c>
      <c r="AQ376" s="594" t="n"/>
      <c r="AR376" s="595" t="n"/>
    </row>
    <row r="377" ht="20" customHeight="1" s="672">
      <c r="A377" s="4" t="n">
        <v>352</v>
      </c>
      <c r="B377" s="5" t="inlineStr">
        <is>
          <t>Cọc khoan nhồi C2 Mố M2 (D1.2m, L=36.0m)</t>
        </is>
      </c>
      <c r="C377" s="5" t="inlineStr">
        <is>
          <t>Cọc mố M2 L=36m (tr.66)</t>
        </is>
      </c>
      <c r="D377" s="14" t="inlineStr">
        <is>
          <t>P5</t>
        </is>
      </c>
      <c r="E377" s="15" t="n">
        <v>25</v>
      </c>
      <c r="F377" s="4" t="inlineStr">
        <is>
          <t>CB400-V</t>
        </is>
      </c>
      <c r="G377" s="5" t="inlineStr"/>
      <c r="H377" s="16" t="n">
        <v>11.7</v>
      </c>
      <c r="I377" s="17" t="n">
        <v>48</v>
      </c>
      <c r="J377" s="18" t="n">
        <v>3.853</v>
      </c>
      <c r="K377" s="7">
        <f>ROUND(H377*I377*J377, 2)</f>
        <v/>
      </c>
      <c r="L377" s="19">
        <f>ROUND(K377/1000, 3)</f>
        <v/>
      </c>
      <c r="M377" s="728">
        <f>IF(AO377="","",IF(N(INDEX(Theo_Doi_Tan_Suat_Be_Tong!$C:$C,AO377))&lt;=0,"",INDEX(Theo_Doi_Tan_Suat_Be_Tong!$C:$C,AO377)-VLOOKUP(AN377,$AQ$2:$AR$7,2,FALSE)))</f>
        <v/>
      </c>
      <c r="N377" s="4" t="n"/>
      <c r="O377" s="20">
        <f>IF(ROUNDUP(W377/20,0)&gt;ROUNDUP(W376/20,0),"TN Ø25 (Lần " &amp; ROUNDUP(W377/20,0) &amp; ")","")</f>
        <v/>
      </c>
      <c r="P377" s="16">
        <f>ROUND(P376+IF(AND(E377&lt;=10,F377&lt;&gt;"ASTM A416"),L377,0),3)</f>
        <v/>
      </c>
      <c r="Q377" s="16">
        <f>ROUND(Q376+IF(AND(E377=12,F377&lt;&gt;"ASTM A416"),L377,0),3)</f>
        <v/>
      </c>
      <c r="R377" s="16">
        <f>ROUND(R376+IF(AND(E377=14,F377&lt;&gt;"ASTM A416"),L377,0),3)</f>
        <v/>
      </c>
      <c r="S377" s="16">
        <f>ROUND(S376+IF(AND(E377=16,F377&lt;&gt;"ASTM A416"),L377,0),3)</f>
        <v/>
      </c>
      <c r="T377" s="16">
        <f>ROUND(T376+IF(AND(E377=18,F377&lt;&gt;"ASTM A416"),L377,0),3)</f>
        <v/>
      </c>
      <c r="U377" s="16">
        <f>ROUND(U376+IF(AND(E377=20,F377&lt;&gt;"ASTM A416"),L377,0),3)</f>
        <v/>
      </c>
      <c r="V377" s="16">
        <f>ROUND(V376+IF(AND(E377=22,F377&lt;&gt;"ASTM A416"),L377,0),3)</f>
        <v/>
      </c>
      <c r="W377" s="16">
        <f>ROUND(W376+IF(AND(E377=25,F377&lt;&gt;"ASTM A416"),L377,0),3)</f>
        <v/>
      </c>
      <c r="X377" s="16">
        <f>ROUND(X376+IF(AND(E377=28,F377&lt;&gt;"ASTM A416"),L377,0),3)</f>
        <v/>
      </c>
      <c r="Y377" s="16">
        <f>ROUND(Y376+IF(AND(E377=32,F377&lt;&gt;"ASTM A416"),L377,0),3)</f>
        <v/>
      </c>
      <c r="Z377" s="16">
        <f>ROUND(Z376+IF(F377="ASTM A416",L377,0),3)</f>
        <v/>
      </c>
      <c r="AA377" s="9">
        <f>IF(ROUNDUP(P377/20,0)&gt;ROUNDUP(P376/20,0),"Lần " &amp; ROUNDUP(P377/20,0),"")</f>
        <v/>
      </c>
      <c r="AB377" s="9">
        <f>IF(ROUNDUP(Q377/20,0)&gt;ROUNDUP(Q376/20,0),"Lần " &amp; ROUNDUP(Q377/20,0),"")</f>
        <v/>
      </c>
      <c r="AC377" s="9">
        <f>IF(ROUNDUP(R377/20,0)&gt;ROUNDUP(R376/20,0),"Lần " &amp; ROUNDUP(R377/20,0),"")</f>
        <v/>
      </c>
      <c r="AD377" s="9">
        <f>IF(ROUNDUP(S377/20,0)&gt;ROUNDUP(S376/20,0),"Lần " &amp; ROUNDUP(S377/20,0),"")</f>
        <v/>
      </c>
      <c r="AE377" s="9">
        <f>IF(ROUNDUP(T377/20,0)&gt;ROUNDUP(T376/20,0),"Lần " &amp; ROUNDUP(T377/20,0),"")</f>
        <v/>
      </c>
      <c r="AF377" s="9">
        <f>IF(ROUNDUP(U377/20,0)&gt;ROUNDUP(U376/20,0),"Lần " &amp; ROUNDUP(U377/20,0),"")</f>
        <v/>
      </c>
      <c r="AG377" s="9">
        <f>IF(ROUNDUP(V377/20,0)&gt;ROUNDUP(V376/20,0),"Lần " &amp; ROUNDUP(V377/20,0),"")</f>
        <v/>
      </c>
      <c r="AH377" s="9">
        <f>IF(ROUNDUP(W377/20,0)&gt;ROUNDUP(W376/20,0),"Lần " &amp; ROUNDUP(W377/20,0),"")</f>
        <v/>
      </c>
      <c r="AI377" s="9">
        <f>IF(ROUNDUP(X377/20,0)&gt;ROUNDUP(X376/20,0),"Lần " &amp; ROUNDUP(X377/20,0),"")</f>
        <v/>
      </c>
      <c r="AJ377" s="9">
        <f>IF(ROUNDUP(Y377/20,0)&gt;ROUNDUP(Y376/20,0),"Lần " &amp; ROUNDUP(Y377/20,0),"")</f>
        <v/>
      </c>
      <c r="AK377" s="9">
        <f>IF(ROUNDUP(Z377/20,0)&gt;ROUNDUP(Z376/20,0),"Lần " &amp; ROUNDUP(Z377/20,0),"")</f>
        <v/>
      </c>
      <c r="AL377" s="4" t="n"/>
      <c r="AN377" s="596" t="inlineStr">
        <is>
          <t>Coc</t>
        </is>
      </c>
      <c r="AO377" s="596" t="n">
        <v>26</v>
      </c>
      <c r="AQ377" s="594" t="n"/>
      <c r="AR377" s="595" t="n"/>
    </row>
    <row r="378" ht="19" customHeight="1" s="672">
      <c r="A378" s="4" t="n">
        <v>353</v>
      </c>
      <c r="B378" s="5" t="inlineStr">
        <is>
          <t>Cọc khoan nhồi C2 Mố M2 (D1.2m, L=36.0m)</t>
        </is>
      </c>
      <c r="C378" s="5" t="inlineStr">
        <is>
          <t>Cọc mố M2 L=36m (tr.66)</t>
        </is>
      </c>
      <c r="D378" s="14" t="inlineStr">
        <is>
          <t>P6</t>
        </is>
      </c>
      <c r="E378" s="15" t="n">
        <v>25</v>
      </c>
      <c r="F378" s="4" t="inlineStr">
        <is>
          <t>CB400-V</t>
        </is>
      </c>
      <c r="G378" s="5" t="inlineStr"/>
      <c r="H378" s="16" t="n">
        <v>5.153</v>
      </c>
      <c r="I378" s="17" t="n">
        <v>12</v>
      </c>
      <c r="J378" s="18" t="n">
        <v>3.853</v>
      </c>
      <c r="K378" s="7">
        <f>ROUND(H378*I378*J378, 2)</f>
        <v/>
      </c>
      <c r="L378" s="19">
        <f>ROUND(K378/1000, 3)</f>
        <v/>
      </c>
      <c r="M378" s="728">
        <f>IF(AO378="","",IF(N(INDEX(Theo_Doi_Tan_Suat_Be_Tong!$C:$C,AO378))&lt;=0,"",INDEX(Theo_Doi_Tan_Suat_Be_Tong!$C:$C,AO378)-VLOOKUP(AN378,$AQ$2:$AR$7,2,FALSE)))</f>
        <v/>
      </c>
      <c r="N378" s="4" t="n"/>
      <c r="O378" s="20">
        <f>IF(ROUNDUP(W378/20,0)&gt;ROUNDUP(W377/20,0),"TN Ø25 (Lần " &amp; ROUNDUP(W378/20,0) &amp; ")","")</f>
        <v/>
      </c>
      <c r="P378" s="16">
        <f>ROUND(P377+IF(AND(E378&lt;=10,F378&lt;&gt;"ASTM A416"),L378,0),3)</f>
        <v/>
      </c>
      <c r="Q378" s="16">
        <f>ROUND(Q377+IF(AND(E378=12,F378&lt;&gt;"ASTM A416"),L378,0),3)</f>
        <v/>
      </c>
      <c r="R378" s="16">
        <f>ROUND(R377+IF(AND(E378=14,F378&lt;&gt;"ASTM A416"),L378,0),3)</f>
        <v/>
      </c>
      <c r="S378" s="16">
        <f>ROUND(S377+IF(AND(E378=16,F378&lt;&gt;"ASTM A416"),L378,0),3)</f>
        <v/>
      </c>
      <c r="T378" s="16">
        <f>ROUND(T377+IF(AND(E378=18,F378&lt;&gt;"ASTM A416"),L378,0),3)</f>
        <v/>
      </c>
      <c r="U378" s="16">
        <f>ROUND(U377+IF(AND(E378=20,F378&lt;&gt;"ASTM A416"),L378,0),3)</f>
        <v/>
      </c>
      <c r="V378" s="16">
        <f>ROUND(V377+IF(AND(E378=22,F378&lt;&gt;"ASTM A416"),L378,0),3)</f>
        <v/>
      </c>
      <c r="W378" s="16">
        <f>ROUND(W377+IF(AND(E378=25,F378&lt;&gt;"ASTM A416"),L378,0),3)</f>
        <v/>
      </c>
      <c r="X378" s="16">
        <f>ROUND(X377+IF(AND(E378=28,F378&lt;&gt;"ASTM A416"),L378,0),3)</f>
        <v/>
      </c>
      <c r="Y378" s="16">
        <f>ROUND(Y377+IF(AND(E378=32,F378&lt;&gt;"ASTM A416"),L378,0),3)</f>
        <v/>
      </c>
      <c r="Z378" s="16">
        <f>ROUND(Z377+IF(F378="ASTM A416",L378,0),3)</f>
        <v/>
      </c>
      <c r="AA378" s="9">
        <f>IF(ROUNDUP(P378/20,0)&gt;ROUNDUP(P377/20,0),"Lần " &amp; ROUNDUP(P378/20,0),"")</f>
        <v/>
      </c>
      <c r="AB378" s="9">
        <f>IF(ROUNDUP(Q378/20,0)&gt;ROUNDUP(Q377/20,0),"Lần " &amp; ROUNDUP(Q378/20,0),"")</f>
        <v/>
      </c>
      <c r="AC378" s="9">
        <f>IF(ROUNDUP(R378/20,0)&gt;ROUNDUP(R377/20,0),"Lần " &amp; ROUNDUP(R378/20,0),"")</f>
        <v/>
      </c>
      <c r="AD378" s="9">
        <f>IF(ROUNDUP(S378/20,0)&gt;ROUNDUP(S377/20,0),"Lần " &amp; ROUNDUP(S378/20,0),"")</f>
        <v/>
      </c>
      <c r="AE378" s="9">
        <f>IF(ROUNDUP(T378/20,0)&gt;ROUNDUP(T377/20,0),"Lần " &amp; ROUNDUP(T378/20,0),"")</f>
        <v/>
      </c>
      <c r="AF378" s="9">
        <f>IF(ROUNDUP(U378/20,0)&gt;ROUNDUP(U377/20,0),"Lần " &amp; ROUNDUP(U378/20,0),"")</f>
        <v/>
      </c>
      <c r="AG378" s="9">
        <f>IF(ROUNDUP(V378/20,0)&gt;ROUNDUP(V377/20,0),"Lần " &amp; ROUNDUP(V378/20,0),"")</f>
        <v/>
      </c>
      <c r="AH378" s="9">
        <f>IF(ROUNDUP(W378/20,0)&gt;ROUNDUP(W377/20,0),"Lần " &amp; ROUNDUP(W378/20,0),"")</f>
        <v/>
      </c>
      <c r="AI378" s="9">
        <f>IF(ROUNDUP(X378/20,0)&gt;ROUNDUP(X377/20,0),"Lần " &amp; ROUNDUP(X378/20,0),"")</f>
        <v/>
      </c>
      <c r="AJ378" s="9">
        <f>IF(ROUNDUP(Y378/20,0)&gt;ROUNDUP(Y377/20,0),"Lần " &amp; ROUNDUP(Y378/20,0),"")</f>
        <v/>
      </c>
      <c r="AK378" s="9">
        <f>IF(ROUNDUP(Z378/20,0)&gt;ROUNDUP(Z377/20,0),"Lần " &amp; ROUNDUP(Z378/20,0),"")</f>
        <v/>
      </c>
      <c r="AL378" s="4" t="n"/>
      <c r="AN378" s="596" t="inlineStr">
        <is>
          <t>Coc</t>
        </is>
      </c>
      <c r="AO378" s="596" t="n">
        <v>26</v>
      </c>
      <c r="AQ378" s="594" t="n"/>
      <c r="AR378" s="595" t="n"/>
    </row>
    <row r="379" ht="19" customHeight="1" s="672">
      <c r="A379" s="4" t="n">
        <v>354</v>
      </c>
      <c r="B379" s="5" t="inlineStr">
        <is>
          <t>Cọc khoan nhồi C2 Mố M2 (D1.2m, L=36.0m)</t>
        </is>
      </c>
      <c r="C379" s="5" t="inlineStr">
        <is>
          <t>Cọc mố M2 L=36m (tr.66)</t>
        </is>
      </c>
      <c r="D379" s="14" t="inlineStr">
        <is>
          <t>P7</t>
        </is>
      </c>
      <c r="E379" s="15" t="n">
        <v>25</v>
      </c>
      <c r="F379" s="4" t="inlineStr">
        <is>
          <t>CB400-V</t>
        </is>
      </c>
      <c r="G379" s="5" t="inlineStr"/>
      <c r="H379" s="16" t="n">
        <v>6.153</v>
      </c>
      <c r="I379" s="17" t="n">
        <v>12</v>
      </c>
      <c r="J379" s="18" t="n">
        <v>3.853</v>
      </c>
      <c r="K379" s="7">
        <f>ROUND(H379*I379*J379, 2)</f>
        <v/>
      </c>
      <c r="L379" s="19">
        <f>ROUND(K379/1000, 3)</f>
        <v/>
      </c>
      <c r="M379" s="728">
        <f>IF(AO379="","",IF(N(INDEX(Theo_Doi_Tan_Suat_Be_Tong!$C:$C,AO379))&lt;=0,"",INDEX(Theo_Doi_Tan_Suat_Be_Tong!$C:$C,AO379)-VLOOKUP(AN379,$AQ$2:$AR$7,2,FALSE)))</f>
        <v/>
      </c>
      <c r="N379" s="4" t="n"/>
      <c r="O379" s="20">
        <f>IF(ROUNDUP(W379/20,0)&gt;ROUNDUP(W378/20,0),"TN Ø25 (Lần " &amp; ROUNDUP(W379/20,0) &amp; ")","")</f>
        <v/>
      </c>
      <c r="P379" s="16">
        <f>ROUND(P378+IF(AND(E379&lt;=10,F379&lt;&gt;"ASTM A416"),L379,0),3)</f>
        <v/>
      </c>
      <c r="Q379" s="16">
        <f>ROUND(Q378+IF(AND(E379=12,F379&lt;&gt;"ASTM A416"),L379,0),3)</f>
        <v/>
      </c>
      <c r="R379" s="16">
        <f>ROUND(R378+IF(AND(E379=14,F379&lt;&gt;"ASTM A416"),L379,0),3)</f>
        <v/>
      </c>
      <c r="S379" s="16">
        <f>ROUND(S378+IF(AND(E379=16,F379&lt;&gt;"ASTM A416"),L379,0),3)</f>
        <v/>
      </c>
      <c r="T379" s="16">
        <f>ROUND(T378+IF(AND(E379=18,F379&lt;&gt;"ASTM A416"),L379,0),3)</f>
        <v/>
      </c>
      <c r="U379" s="16">
        <f>ROUND(U378+IF(AND(E379=20,F379&lt;&gt;"ASTM A416"),L379,0),3)</f>
        <v/>
      </c>
      <c r="V379" s="16">
        <f>ROUND(V378+IF(AND(E379=22,F379&lt;&gt;"ASTM A416"),L379,0),3)</f>
        <v/>
      </c>
      <c r="W379" s="16">
        <f>ROUND(W378+IF(AND(E379=25,F379&lt;&gt;"ASTM A416"),L379,0),3)</f>
        <v/>
      </c>
      <c r="X379" s="16">
        <f>ROUND(X378+IF(AND(E379=28,F379&lt;&gt;"ASTM A416"),L379,0),3)</f>
        <v/>
      </c>
      <c r="Y379" s="16">
        <f>ROUND(Y378+IF(AND(E379=32,F379&lt;&gt;"ASTM A416"),L379,0),3)</f>
        <v/>
      </c>
      <c r="Z379" s="16">
        <f>ROUND(Z378+IF(F379="ASTM A416",L379,0),3)</f>
        <v/>
      </c>
      <c r="AA379" s="9">
        <f>IF(ROUNDUP(P379/20,0)&gt;ROUNDUP(P378/20,0),"Lần " &amp; ROUNDUP(P379/20,0),"")</f>
        <v/>
      </c>
      <c r="AB379" s="9">
        <f>IF(ROUNDUP(Q379/20,0)&gt;ROUNDUP(Q378/20,0),"Lần " &amp; ROUNDUP(Q379/20,0),"")</f>
        <v/>
      </c>
      <c r="AC379" s="9">
        <f>IF(ROUNDUP(R379/20,0)&gt;ROUNDUP(R378/20,0),"Lần " &amp; ROUNDUP(R379/20,0),"")</f>
        <v/>
      </c>
      <c r="AD379" s="9">
        <f>IF(ROUNDUP(S379/20,0)&gt;ROUNDUP(S378/20,0),"Lần " &amp; ROUNDUP(S379/20,0),"")</f>
        <v/>
      </c>
      <c r="AE379" s="9">
        <f>IF(ROUNDUP(T379/20,0)&gt;ROUNDUP(T378/20,0),"Lần " &amp; ROUNDUP(T379/20,0),"")</f>
        <v/>
      </c>
      <c r="AF379" s="9">
        <f>IF(ROUNDUP(U379/20,0)&gt;ROUNDUP(U378/20,0),"Lần " &amp; ROUNDUP(U379/20,0),"")</f>
        <v/>
      </c>
      <c r="AG379" s="9">
        <f>IF(ROUNDUP(V379/20,0)&gt;ROUNDUP(V378/20,0),"Lần " &amp; ROUNDUP(V379/20,0),"")</f>
        <v/>
      </c>
      <c r="AH379" s="9">
        <f>IF(ROUNDUP(W379/20,0)&gt;ROUNDUP(W378/20,0),"Lần " &amp; ROUNDUP(W379/20,0),"")</f>
        <v/>
      </c>
      <c r="AI379" s="9">
        <f>IF(ROUNDUP(X379/20,0)&gt;ROUNDUP(X378/20,0),"Lần " &amp; ROUNDUP(X379/20,0),"")</f>
        <v/>
      </c>
      <c r="AJ379" s="9">
        <f>IF(ROUNDUP(Y379/20,0)&gt;ROUNDUP(Y378/20,0),"Lần " &amp; ROUNDUP(Y379/20,0),"")</f>
        <v/>
      </c>
      <c r="AK379" s="9">
        <f>IF(ROUNDUP(Z379/20,0)&gt;ROUNDUP(Z378/20,0),"Lần " &amp; ROUNDUP(Z379/20,0),"")</f>
        <v/>
      </c>
      <c r="AL379" s="4" t="n"/>
      <c r="AN379" s="596" t="inlineStr">
        <is>
          <t>Coc</t>
        </is>
      </c>
      <c r="AO379" s="596" t="n">
        <v>26</v>
      </c>
      <c r="AQ379" s="594" t="n"/>
      <c r="AR379" s="595" t="n"/>
    </row>
    <row r="380" ht="19" customHeight="1" s="672">
      <c r="A380" s="4" t="n">
        <v>355</v>
      </c>
      <c r="B380" s="5" t="inlineStr">
        <is>
          <t>Cọc khoan nhồi C2 Mố M2 (D1.2m, L=36.0m)</t>
        </is>
      </c>
      <c r="C380" s="5" t="inlineStr">
        <is>
          <t>Cọc mố M2 L=36m (tr.66)</t>
        </is>
      </c>
      <c r="D380" s="14" t="inlineStr">
        <is>
          <t>P8</t>
        </is>
      </c>
      <c r="E380" s="15" t="n">
        <v>12</v>
      </c>
      <c r="F380" s="4" t="inlineStr">
        <is>
          <t>CB400-V</t>
        </is>
      </c>
      <c r="G380" s="5" t="inlineStr"/>
      <c r="H380" s="16" t="n">
        <v>0.647</v>
      </c>
      <c r="I380" s="17" t="n">
        <v>15</v>
      </c>
      <c r="J380" s="18" t="n">
        <v>0.888</v>
      </c>
      <c r="K380" s="7">
        <f>ROUND(H380*I380*J380, 2)</f>
        <v/>
      </c>
      <c r="L380" s="19">
        <f>ROUND(K380/1000, 3)</f>
        <v/>
      </c>
      <c r="M380" s="728">
        <f>IF(AO380="","",IF(N(INDEX(Theo_Doi_Tan_Suat_Be_Tong!$C:$C,AO380))&lt;=0,"",INDEX(Theo_Doi_Tan_Suat_Be_Tong!$C:$C,AO380)-VLOOKUP(AN380,$AQ$2:$AR$7,2,FALSE)))</f>
        <v/>
      </c>
      <c r="N380" s="4" t="n"/>
      <c r="O380" s="20">
        <f>IF(ROUNDUP(Q380/20,0)&gt;ROUNDUP(Q379/20,0),"TN Ø12 (Lần " &amp; ROUNDUP(Q380/20,0) &amp; ")","")</f>
        <v/>
      </c>
      <c r="P380" s="16">
        <f>ROUND(P379+IF(AND(E380&lt;=10,F380&lt;&gt;"ASTM A416"),L380,0),3)</f>
        <v/>
      </c>
      <c r="Q380" s="16">
        <f>ROUND(Q379+IF(AND(E380=12,F380&lt;&gt;"ASTM A416"),L380,0),3)</f>
        <v/>
      </c>
      <c r="R380" s="16">
        <f>ROUND(R379+IF(AND(E380=14,F380&lt;&gt;"ASTM A416"),L380,0),3)</f>
        <v/>
      </c>
      <c r="S380" s="16">
        <f>ROUND(S379+IF(AND(E380=16,F380&lt;&gt;"ASTM A416"),L380,0),3)</f>
        <v/>
      </c>
      <c r="T380" s="16">
        <f>ROUND(T379+IF(AND(E380=18,F380&lt;&gt;"ASTM A416"),L380,0),3)</f>
        <v/>
      </c>
      <c r="U380" s="16">
        <f>ROUND(U379+IF(AND(E380=20,F380&lt;&gt;"ASTM A416"),L380,0),3)</f>
        <v/>
      </c>
      <c r="V380" s="16">
        <f>ROUND(V379+IF(AND(E380=22,F380&lt;&gt;"ASTM A416"),L380,0),3)</f>
        <v/>
      </c>
      <c r="W380" s="16">
        <f>ROUND(W379+IF(AND(E380=25,F380&lt;&gt;"ASTM A416"),L380,0),3)</f>
        <v/>
      </c>
      <c r="X380" s="16">
        <f>ROUND(X379+IF(AND(E380=28,F380&lt;&gt;"ASTM A416"),L380,0),3)</f>
        <v/>
      </c>
      <c r="Y380" s="16">
        <f>ROUND(Y379+IF(AND(E380=32,F380&lt;&gt;"ASTM A416"),L380,0),3)</f>
        <v/>
      </c>
      <c r="Z380" s="16">
        <f>ROUND(Z379+IF(F380="ASTM A416",L380,0),3)</f>
        <v/>
      </c>
      <c r="AA380" s="9">
        <f>IF(ROUNDUP(P380/20,0)&gt;ROUNDUP(P379/20,0),"Lần " &amp; ROUNDUP(P380/20,0),"")</f>
        <v/>
      </c>
      <c r="AB380" s="9">
        <f>IF(ROUNDUP(Q380/20,0)&gt;ROUNDUP(Q379/20,0),"Lần " &amp; ROUNDUP(Q380/20,0),"")</f>
        <v/>
      </c>
      <c r="AC380" s="9">
        <f>IF(ROUNDUP(R380/20,0)&gt;ROUNDUP(R379/20,0),"Lần " &amp; ROUNDUP(R380/20,0),"")</f>
        <v/>
      </c>
      <c r="AD380" s="9">
        <f>IF(ROUNDUP(S380/20,0)&gt;ROUNDUP(S379/20,0),"Lần " &amp; ROUNDUP(S380/20,0),"")</f>
        <v/>
      </c>
      <c r="AE380" s="9">
        <f>IF(ROUNDUP(T380/20,0)&gt;ROUNDUP(T379/20,0),"Lần " &amp; ROUNDUP(T380/20,0),"")</f>
        <v/>
      </c>
      <c r="AF380" s="9">
        <f>IF(ROUNDUP(U380/20,0)&gt;ROUNDUP(U379/20,0),"Lần " &amp; ROUNDUP(U380/20,0),"")</f>
        <v/>
      </c>
      <c r="AG380" s="9">
        <f>IF(ROUNDUP(V380/20,0)&gt;ROUNDUP(V379/20,0),"Lần " &amp; ROUNDUP(V380/20,0),"")</f>
        <v/>
      </c>
      <c r="AH380" s="9">
        <f>IF(ROUNDUP(W380/20,0)&gt;ROUNDUP(W379/20,0),"Lần " &amp; ROUNDUP(W380/20,0),"")</f>
        <v/>
      </c>
      <c r="AI380" s="9">
        <f>IF(ROUNDUP(X380/20,0)&gt;ROUNDUP(X379/20,0),"Lần " &amp; ROUNDUP(X380/20,0),"")</f>
        <v/>
      </c>
      <c r="AJ380" s="9">
        <f>IF(ROUNDUP(Y380/20,0)&gt;ROUNDUP(Y379/20,0),"Lần " &amp; ROUNDUP(Y380/20,0),"")</f>
        <v/>
      </c>
      <c r="AK380" s="9">
        <f>IF(ROUNDUP(Z380/20,0)&gt;ROUNDUP(Z379/20,0),"Lần " &amp; ROUNDUP(Z380/20,0),"")</f>
        <v/>
      </c>
      <c r="AL380" s="4" t="n"/>
      <c r="AN380" s="596" t="inlineStr">
        <is>
          <t>Coc</t>
        </is>
      </c>
      <c r="AO380" s="596" t="n">
        <v>26</v>
      </c>
      <c r="AQ380" s="594" t="n"/>
      <c r="AR380" s="595" t="n"/>
    </row>
    <row r="381" ht="19" customHeight="1" s="672">
      <c r="A381" s="4" t="n">
        <v>356</v>
      </c>
      <c r="B381" s="5" t="inlineStr">
        <is>
          <t>Cọc khoan nhồi C2 Mố M2 (D1.2m, L=36.0m)</t>
        </is>
      </c>
      <c r="C381" s="5" t="inlineStr">
        <is>
          <t>Cọc mố M2 L=36m (tr.66)</t>
        </is>
      </c>
      <c r="D381" s="14" t="inlineStr">
        <is>
          <t>P9</t>
        </is>
      </c>
      <c r="E381" s="15" t="n">
        <v>12</v>
      </c>
      <c r="F381" s="4" t="inlineStr">
        <is>
          <t>CB400-V</t>
        </is>
      </c>
      <c r="G381" s="5" t="inlineStr"/>
      <c r="H381" s="16" t="n">
        <v>0.379</v>
      </c>
      <c r="I381" s="17" t="n">
        <v>45</v>
      </c>
      <c r="J381" s="18" t="n">
        <v>0.888</v>
      </c>
      <c r="K381" s="7">
        <f>ROUND(H381*I381*J381, 2)</f>
        <v/>
      </c>
      <c r="L381" s="19">
        <f>ROUND(K381/1000, 3)</f>
        <v/>
      </c>
      <c r="M381" s="728">
        <f>IF(AO381="","",IF(N(INDEX(Theo_Doi_Tan_Suat_Be_Tong!$C:$C,AO381))&lt;=0,"",INDEX(Theo_Doi_Tan_Suat_Be_Tong!$C:$C,AO381)-VLOOKUP(AN381,$AQ$2:$AR$7,2,FALSE)))</f>
        <v/>
      </c>
      <c r="N381" s="4" t="n"/>
      <c r="O381" s="20">
        <f>IF(ROUNDUP(Q381/20,0)&gt;ROUNDUP(Q380/20,0),"TN Ø12 (Lần " &amp; ROUNDUP(Q381/20,0) &amp; ")","")</f>
        <v/>
      </c>
      <c r="P381" s="16">
        <f>ROUND(P380+IF(AND(E381&lt;=10,F381&lt;&gt;"ASTM A416"),L381,0),3)</f>
        <v/>
      </c>
      <c r="Q381" s="16">
        <f>ROUND(Q380+IF(AND(E381=12,F381&lt;&gt;"ASTM A416"),L381,0),3)</f>
        <v/>
      </c>
      <c r="R381" s="16">
        <f>ROUND(R380+IF(AND(E381=14,F381&lt;&gt;"ASTM A416"),L381,0),3)</f>
        <v/>
      </c>
      <c r="S381" s="16">
        <f>ROUND(S380+IF(AND(E381=16,F381&lt;&gt;"ASTM A416"),L381,0),3)</f>
        <v/>
      </c>
      <c r="T381" s="16">
        <f>ROUND(T380+IF(AND(E381=18,F381&lt;&gt;"ASTM A416"),L381,0),3)</f>
        <v/>
      </c>
      <c r="U381" s="16">
        <f>ROUND(U380+IF(AND(E381=20,F381&lt;&gt;"ASTM A416"),L381,0),3)</f>
        <v/>
      </c>
      <c r="V381" s="16">
        <f>ROUND(V380+IF(AND(E381=22,F381&lt;&gt;"ASTM A416"),L381,0),3)</f>
        <v/>
      </c>
      <c r="W381" s="16">
        <f>ROUND(W380+IF(AND(E381=25,F381&lt;&gt;"ASTM A416"),L381,0),3)</f>
        <v/>
      </c>
      <c r="X381" s="16">
        <f>ROUND(X380+IF(AND(E381=28,F381&lt;&gt;"ASTM A416"),L381,0),3)</f>
        <v/>
      </c>
      <c r="Y381" s="16">
        <f>ROUND(Y380+IF(AND(E381=32,F381&lt;&gt;"ASTM A416"),L381,0),3)</f>
        <v/>
      </c>
      <c r="Z381" s="16">
        <f>ROUND(Z380+IF(F381="ASTM A416",L381,0),3)</f>
        <v/>
      </c>
      <c r="AA381" s="9">
        <f>IF(ROUNDUP(P381/20,0)&gt;ROUNDUP(P380/20,0),"Lần " &amp; ROUNDUP(P381/20,0),"")</f>
        <v/>
      </c>
      <c r="AB381" s="9">
        <f>IF(ROUNDUP(Q381/20,0)&gt;ROUNDUP(Q380/20,0),"Lần " &amp; ROUNDUP(Q381/20,0),"")</f>
        <v/>
      </c>
      <c r="AC381" s="9">
        <f>IF(ROUNDUP(R381/20,0)&gt;ROUNDUP(R380/20,0),"Lần " &amp; ROUNDUP(R381/20,0),"")</f>
        <v/>
      </c>
      <c r="AD381" s="9">
        <f>IF(ROUNDUP(S381/20,0)&gt;ROUNDUP(S380/20,0),"Lần " &amp; ROUNDUP(S381/20,0),"")</f>
        <v/>
      </c>
      <c r="AE381" s="9">
        <f>IF(ROUNDUP(T381/20,0)&gt;ROUNDUP(T380/20,0),"Lần " &amp; ROUNDUP(T381/20,0),"")</f>
        <v/>
      </c>
      <c r="AF381" s="9">
        <f>IF(ROUNDUP(U381/20,0)&gt;ROUNDUP(U380/20,0),"Lần " &amp; ROUNDUP(U381/20,0),"")</f>
        <v/>
      </c>
      <c r="AG381" s="9">
        <f>IF(ROUNDUP(V381/20,0)&gt;ROUNDUP(V380/20,0),"Lần " &amp; ROUNDUP(V381/20,0),"")</f>
        <v/>
      </c>
      <c r="AH381" s="9">
        <f>IF(ROUNDUP(W381/20,0)&gt;ROUNDUP(W380/20,0),"Lần " &amp; ROUNDUP(W381/20,0),"")</f>
        <v/>
      </c>
      <c r="AI381" s="9">
        <f>IF(ROUNDUP(X381/20,0)&gt;ROUNDUP(X380/20,0),"Lần " &amp; ROUNDUP(X381/20,0),"")</f>
        <v/>
      </c>
      <c r="AJ381" s="9">
        <f>IF(ROUNDUP(Y381/20,0)&gt;ROUNDUP(Y380/20,0),"Lần " &amp; ROUNDUP(Y381/20,0),"")</f>
        <v/>
      </c>
      <c r="AK381" s="9">
        <f>IF(ROUNDUP(Z381/20,0)&gt;ROUNDUP(Z380/20,0),"Lần " &amp; ROUNDUP(Z381/20,0),"")</f>
        <v/>
      </c>
      <c r="AL381" s="4" t="n"/>
      <c r="AN381" s="596" t="inlineStr">
        <is>
          <t>Coc</t>
        </is>
      </c>
      <c r="AO381" s="596" t="n">
        <v>26</v>
      </c>
      <c r="AQ381" s="594" t="n"/>
      <c r="AR381" s="595" t="n"/>
    </row>
    <row r="382" ht="19" customHeight="1" s="672">
      <c r="A382" s="4" t="n">
        <v>357</v>
      </c>
      <c r="B382" s="5" t="inlineStr">
        <is>
          <t>Cọc khoan nhồi C2 Mố M2 (D1.2m, L=36.0m)</t>
        </is>
      </c>
      <c r="C382" s="5" t="inlineStr">
        <is>
          <t>Cọc mố M2 L=36m (tr.66)</t>
        </is>
      </c>
      <c r="D382" s="14" t="inlineStr">
        <is>
          <t>P10</t>
        </is>
      </c>
      <c r="E382" s="15" t="n">
        <v>20</v>
      </c>
      <c r="F382" s="4" t="inlineStr">
        <is>
          <t>CB400-V</t>
        </is>
      </c>
      <c r="G382" s="5" t="inlineStr"/>
      <c r="H382" s="16" t="n">
        <v>2.057</v>
      </c>
      <c r="I382" s="17" t="n">
        <v>1</v>
      </c>
      <c r="J382" s="18" t="n">
        <v>2.466</v>
      </c>
      <c r="K382" s="7">
        <f>ROUND(H382*I382*J382, 2)</f>
        <v/>
      </c>
      <c r="L382" s="19">
        <f>ROUND(K382/1000, 3)</f>
        <v/>
      </c>
      <c r="M382" s="728">
        <f>IF(AO382="","",IF(N(INDEX(Theo_Doi_Tan_Suat_Be_Tong!$C:$C,AO382))&lt;=0,"",INDEX(Theo_Doi_Tan_Suat_Be_Tong!$C:$C,AO382)-VLOOKUP(AN382,$AQ$2:$AR$7,2,FALSE)))</f>
        <v/>
      </c>
      <c r="N382" s="4" t="n"/>
      <c r="O382" s="20">
        <f>IF(ROUNDUP(U382/20,0)&gt;ROUNDUP(U381/20,0),"TN Ø20 (Lần " &amp; ROUNDUP(U382/20,0) &amp; ")","")</f>
        <v/>
      </c>
      <c r="P382" s="16">
        <f>ROUND(P381+IF(AND(E382&lt;=10,F382&lt;&gt;"ASTM A416"),L382,0),3)</f>
        <v/>
      </c>
      <c r="Q382" s="16">
        <f>ROUND(Q381+IF(AND(E382=12,F382&lt;&gt;"ASTM A416"),L382,0),3)</f>
        <v/>
      </c>
      <c r="R382" s="16">
        <f>ROUND(R381+IF(AND(E382=14,F382&lt;&gt;"ASTM A416"),L382,0),3)</f>
        <v/>
      </c>
      <c r="S382" s="16">
        <f>ROUND(S381+IF(AND(E382=16,F382&lt;&gt;"ASTM A416"),L382,0),3)</f>
        <v/>
      </c>
      <c r="T382" s="16">
        <f>ROUND(T381+IF(AND(E382=18,F382&lt;&gt;"ASTM A416"),L382,0),3)</f>
        <v/>
      </c>
      <c r="U382" s="16">
        <f>ROUND(U381+IF(AND(E382=20,F382&lt;&gt;"ASTM A416"),L382,0),3)</f>
        <v/>
      </c>
      <c r="V382" s="16">
        <f>ROUND(V381+IF(AND(E382=22,F382&lt;&gt;"ASTM A416"),L382,0),3)</f>
        <v/>
      </c>
      <c r="W382" s="16">
        <f>ROUND(W381+IF(AND(E382=25,F382&lt;&gt;"ASTM A416"),L382,0),3)</f>
        <v/>
      </c>
      <c r="X382" s="16">
        <f>ROUND(X381+IF(AND(E382=28,F382&lt;&gt;"ASTM A416"),L382,0),3)</f>
        <v/>
      </c>
      <c r="Y382" s="16">
        <f>ROUND(Y381+IF(AND(E382=32,F382&lt;&gt;"ASTM A416"),L382,0),3)</f>
        <v/>
      </c>
      <c r="Z382" s="16">
        <f>ROUND(Z381+IF(F382="ASTM A416",L382,0),3)</f>
        <v/>
      </c>
      <c r="AA382" s="9">
        <f>IF(ROUNDUP(P382/20,0)&gt;ROUNDUP(P381/20,0),"Lần " &amp; ROUNDUP(P382/20,0),"")</f>
        <v/>
      </c>
      <c r="AB382" s="9">
        <f>IF(ROUNDUP(Q382/20,0)&gt;ROUNDUP(Q381/20,0),"Lần " &amp; ROUNDUP(Q382/20,0),"")</f>
        <v/>
      </c>
      <c r="AC382" s="9">
        <f>IF(ROUNDUP(R382/20,0)&gt;ROUNDUP(R381/20,0),"Lần " &amp; ROUNDUP(R382/20,0),"")</f>
        <v/>
      </c>
      <c r="AD382" s="9">
        <f>IF(ROUNDUP(S382/20,0)&gt;ROUNDUP(S381/20,0),"Lần " &amp; ROUNDUP(S382/20,0),"")</f>
        <v/>
      </c>
      <c r="AE382" s="9">
        <f>IF(ROUNDUP(T382/20,0)&gt;ROUNDUP(T381/20,0),"Lần " &amp; ROUNDUP(T382/20,0),"")</f>
        <v/>
      </c>
      <c r="AF382" s="9">
        <f>IF(ROUNDUP(U382/20,0)&gt;ROUNDUP(U381/20,0),"Lần " &amp; ROUNDUP(U382/20,0),"")</f>
        <v/>
      </c>
      <c r="AG382" s="9">
        <f>IF(ROUNDUP(V382/20,0)&gt;ROUNDUP(V381/20,0),"Lần " &amp; ROUNDUP(V382/20,0),"")</f>
        <v/>
      </c>
      <c r="AH382" s="9">
        <f>IF(ROUNDUP(W382/20,0)&gt;ROUNDUP(W381/20,0),"Lần " &amp; ROUNDUP(W382/20,0),"")</f>
        <v/>
      </c>
      <c r="AI382" s="9">
        <f>IF(ROUNDUP(X382/20,0)&gt;ROUNDUP(X381/20,0),"Lần " &amp; ROUNDUP(X382/20,0),"")</f>
        <v/>
      </c>
      <c r="AJ382" s="9">
        <f>IF(ROUNDUP(Y382/20,0)&gt;ROUNDUP(Y381/20,0),"Lần " &amp; ROUNDUP(Y382/20,0),"")</f>
        <v/>
      </c>
      <c r="AK382" s="9">
        <f>IF(ROUNDUP(Z382/20,0)&gt;ROUNDUP(Z381/20,0),"Lần " &amp; ROUNDUP(Z382/20,0),"")</f>
        <v/>
      </c>
      <c r="AL382" s="4" t="n"/>
      <c r="AN382" s="596" t="inlineStr">
        <is>
          <t>Coc</t>
        </is>
      </c>
      <c r="AO382" s="596" t="n">
        <v>26</v>
      </c>
      <c r="AQ382" s="594" t="n"/>
      <c r="AR382" s="595" t="n"/>
    </row>
    <row r="383" ht="19" customHeight="1" s="672">
      <c r="A383" s="4" t="n">
        <v>358</v>
      </c>
      <c r="B383" s="5" t="inlineStr">
        <is>
          <t>Cọc khoan nhồi C2 Mố M2 (D1.2m, L=36.0m)</t>
        </is>
      </c>
      <c r="C383" s="5" t="inlineStr">
        <is>
          <t>Cọc mố M2 L=36m (tr.66)</t>
        </is>
      </c>
      <c r="D383" s="14" t="inlineStr">
        <is>
          <t>P12</t>
        </is>
      </c>
      <c r="E383" s="15" t="n">
        <v>20</v>
      </c>
      <c r="F383" s="4" t="inlineStr">
        <is>
          <t>CB400-V</t>
        </is>
      </c>
      <c r="G383" s="5" t="inlineStr"/>
      <c r="H383" s="16" t="n">
        <v>0.583</v>
      </c>
      <c r="I383" s="17" t="n">
        <v>60</v>
      </c>
      <c r="J383" s="18" t="n">
        <v>2.466</v>
      </c>
      <c r="K383" s="7">
        <f>ROUND(H383*I383*J383, 2)</f>
        <v/>
      </c>
      <c r="L383" s="19">
        <f>ROUND(K383/1000, 3)</f>
        <v/>
      </c>
      <c r="M383" s="728">
        <f>IF(AO383="","",IF(N(INDEX(Theo_Doi_Tan_Suat_Be_Tong!$C:$C,AO383))&lt;=0,"",INDEX(Theo_Doi_Tan_Suat_Be_Tong!$C:$C,AO383)-VLOOKUP(AN383,$AQ$2:$AR$7,2,FALSE)))</f>
        <v/>
      </c>
      <c r="N383" s="4" t="n"/>
      <c r="O383" s="20">
        <f>IF(ROUNDUP(U383/20,0)&gt;ROUNDUP(U382/20,0),"TN Ø20 (Lần " &amp; ROUNDUP(U383/20,0) &amp; ")","")</f>
        <v/>
      </c>
      <c r="P383" s="16">
        <f>ROUND(P382+IF(AND(E383&lt;=10,F383&lt;&gt;"ASTM A416"),L383,0),3)</f>
        <v/>
      </c>
      <c r="Q383" s="16">
        <f>ROUND(Q382+IF(AND(E383=12,F383&lt;&gt;"ASTM A416"),L383,0),3)</f>
        <v/>
      </c>
      <c r="R383" s="16">
        <f>ROUND(R382+IF(AND(E383=14,F383&lt;&gt;"ASTM A416"),L383,0),3)</f>
        <v/>
      </c>
      <c r="S383" s="16">
        <f>ROUND(S382+IF(AND(E383=16,F383&lt;&gt;"ASTM A416"),L383,0),3)</f>
        <v/>
      </c>
      <c r="T383" s="16">
        <f>ROUND(T382+IF(AND(E383=18,F383&lt;&gt;"ASTM A416"),L383,0),3)</f>
        <v/>
      </c>
      <c r="U383" s="16">
        <f>ROUND(U382+IF(AND(E383=20,F383&lt;&gt;"ASTM A416"),L383,0),3)</f>
        <v/>
      </c>
      <c r="V383" s="16">
        <f>ROUND(V382+IF(AND(E383=22,F383&lt;&gt;"ASTM A416"),L383,0),3)</f>
        <v/>
      </c>
      <c r="W383" s="16">
        <f>ROUND(W382+IF(AND(E383=25,F383&lt;&gt;"ASTM A416"),L383,0),3)</f>
        <v/>
      </c>
      <c r="X383" s="16">
        <f>ROUND(X382+IF(AND(E383=28,F383&lt;&gt;"ASTM A416"),L383,0),3)</f>
        <v/>
      </c>
      <c r="Y383" s="16">
        <f>ROUND(Y382+IF(AND(E383=32,F383&lt;&gt;"ASTM A416"),L383,0),3)</f>
        <v/>
      </c>
      <c r="Z383" s="16">
        <f>ROUND(Z382+IF(F383="ASTM A416",L383,0),3)</f>
        <v/>
      </c>
      <c r="AA383" s="9">
        <f>IF(ROUNDUP(P383/20,0)&gt;ROUNDUP(P382/20,0),"Lần " &amp; ROUNDUP(P383/20,0),"")</f>
        <v/>
      </c>
      <c r="AB383" s="9">
        <f>IF(ROUNDUP(Q383/20,0)&gt;ROUNDUP(Q382/20,0),"Lần " &amp; ROUNDUP(Q383/20,0),"")</f>
        <v/>
      </c>
      <c r="AC383" s="9">
        <f>IF(ROUNDUP(R383/20,0)&gt;ROUNDUP(R382/20,0),"Lần " &amp; ROUNDUP(R383/20,0),"")</f>
        <v/>
      </c>
      <c r="AD383" s="9">
        <f>IF(ROUNDUP(S383/20,0)&gt;ROUNDUP(S382/20,0),"Lần " &amp; ROUNDUP(S383/20,0),"")</f>
        <v/>
      </c>
      <c r="AE383" s="9">
        <f>IF(ROUNDUP(T383/20,0)&gt;ROUNDUP(T382/20,0),"Lần " &amp; ROUNDUP(T383/20,0),"")</f>
        <v/>
      </c>
      <c r="AF383" s="9">
        <f>IF(ROUNDUP(U383/20,0)&gt;ROUNDUP(U382/20,0),"Lần " &amp; ROUNDUP(U383/20,0),"")</f>
        <v/>
      </c>
      <c r="AG383" s="9">
        <f>IF(ROUNDUP(V383/20,0)&gt;ROUNDUP(V382/20,0),"Lần " &amp; ROUNDUP(V383/20,0),"")</f>
        <v/>
      </c>
      <c r="AH383" s="9">
        <f>IF(ROUNDUP(W383/20,0)&gt;ROUNDUP(W382/20,0),"Lần " &amp; ROUNDUP(W383/20,0),"")</f>
        <v/>
      </c>
      <c r="AI383" s="9">
        <f>IF(ROUNDUP(X383/20,0)&gt;ROUNDUP(X382/20,0),"Lần " &amp; ROUNDUP(X383/20,0),"")</f>
        <v/>
      </c>
      <c r="AJ383" s="9">
        <f>IF(ROUNDUP(Y383/20,0)&gt;ROUNDUP(Y382/20,0),"Lần " &amp; ROUNDUP(Y383/20,0),"")</f>
        <v/>
      </c>
      <c r="AK383" s="9">
        <f>IF(ROUNDUP(Z383/20,0)&gt;ROUNDUP(Z382/20,0),"Lần " &amp; ROUNDUP(Z383/20,0),"")</f>
        <v/>
      </c>
      <c r="AL383" s="4" t="n"/>
      <c r="AN383" s="596" t="inlineStr">
        <is>
          <t>Coc</t>
        </is>
      </c>
      <c r="AO383" s="596" t="n">
        <v>26</v>
      </c>
      <c r="AQ383" s="594" t="n"/>
      <c r="AR383" s="595" t="n"/>
    </row>
    <row r="384" ht="19" customHeight="1" s="672">
      <c r="A384" s="4" t="n">
        <v>359</v>
      </c>
      <c r="B384" s="5" t="inlineStr">
        <is>
          <t>Cọc khoan nhồi C2 Mố M2 (D1.2m, L=36.0m)</t>
        </is>
      </c>
      <c r="C384" s="5" t="inlineStr">
        <is>
          <t>Cọc mố M2 L=36m (tr.66)</t>
        </is>
      </c>
      <c r="D384" s="14" t="inlineStr">
        <is>
          <t>P11</t>
        </is>
      </c>
      <c r="E384" s="15" t="n">
        <v>16</v>
      </c>
      <c r="F384" s="4" t="inlineStr">
        <is>
          <t>CB400-V</t>
        </is>
      </c>
      <c r="G384" s="5" t="inlineStr"/>
      <c r="H384" s="16" t="n">
        <v>2.484</v>
      </c>
      <c r="I384" s="17" t="n">
        <v>4</v>
      </c>
      <c r="J384" s="18" t="n">
        <v>1.578</v>
      </c>
      <c r="K384" s="7">
        <f>ROUND(H384*I384*J384, 2)</f>
        <v/>
      </c>
      <c r="L384" s="19">
        <f>ROUND(K384/1000, 3)</f>
        <v/>
      </c>
      <c r="M384" s="728">
        <f>IF(AO384="","",IF(N(INDEX(Theo_Doi_Tan_Suat_Be_Tong!$C:$C,AO384))&lt;=0,"",INDEX(Theo_Doi_Tan_Suat_Be_Tong!$C:$C,AO384)-VLOOKUP(AN384,$AQ$2:$AR$7,2,FALSE)))</f>
        <v/>
      </c>
      <c r="N384" s="4" t="n"/>
      <c r="O384" s="20">
        <f>IF(ROUNDUP(S384/20,0)&gt;ROUNDUP(S383/20,0),"TN Ø16 (Lần " &amp; ROUNDUP(S384/20,0) &amp; ")","")</f>
        <v/>
      </c>
      <c r="P384" s="16">
        <f>ROUND(P383+IF(AND(E384&lt;=10,F384&lt;&gt;"ASTM A416"),L384,0),3)</f>
        <v/>
      </c>
      <c r="Q384" s="16">
        <f>ROUND(Q383+IF(AND(E384=12,F384&lt;&gt;"ASTM A416"),L384,0),3)</f>
        <v/>
      </c>
      <c r="R384" s="16">
        <f>ROUND(R383+IF(AND(E384=14,F384&lt;&gt;"ASTM A416"),L384,0),3)</f>
        <v/>
      </c>
      <c r="S384" s="16">
        <f>ROUND(S383+IF(AND(E384=16,F384&lt;&gt;"ASTM A416"),L384,0),3)</f>
        <v/>
      </c>
      <c r="T384" s="16">
        <f>ROUND(T383+IF(AND(E384=18,F384&lt;&gt;"ASTM A416"),L384,0),3)</f>
        <v/>
      </c>
      <c r="U384" s="16">
        <f>ROUND(U383+IF(AND(E384=20,F384&lt;&gt;"ASTM A416"),L384,0),3)</f>
        <v/>
      </c>
      <c r="V384" s="16">
        <f>ROUND(V383+IF(AND(E384=22,F384&lt;&gt;"ASTM A416"),L384,0),3)</f>
        <v/>
      </c>
      <c r="W384" s="16">
        <f>ROUND(W383+IF(AND(E384=25,F384&lt;&gt;"ASTM A416"),L384,0),3)</f>
        <v/>
      </c>
      <c r="X384" s="16">
        <f>ROUND(X383+IF(AND(E384=28,F384&lt;&gt;"ASTM A416"),L384,0),3)</f>
        <v/>
      </c>
      <c r="Y384" s="16">
        <f>ROUND(Y383+IF(AND(E384=32,F384&lt;&gt;"ASTM A416"),L384,0),3)</f>
        <v/>
      </c>
      <c r="Z384" s="16">
        <f>ROUND(Z383+IF(F384="ASTM A416",L384,0),3)</f>
        <v/>
      </c>
      <c r="AA384" s="9">
        <f>IF(ROUNDUP(P384/20,0)&gt;ROUNDUP(P383/20,0),"Lần " &amp; ROUNDUP(P384/20,0),"")</f>
        <v/>
      </c>
      <c r="AB384" s="9">
        <f>IF(ROUNDUP(Q384/20,0)&gt;ROUNDUP(Q383/20,0),"Lần " &amp; ROUNDUP(Q384/20,0),"")</f>
        <v/>
      </c>
      <c r="AC384" s="9">
        <f>IF(ROUNDUP(R384/20,0)&gt;ROUNDUP(R383/20,0),"Lần " &amp; ROUNDUP(R384/20,0),"")</f>
        <v/>
      </c>
      <c r="AD384" s="9">
        <f>IF(ROUNDUP(S384/20,0)&gt;ROUNDUP(S383/20,0),"Lần " &amp; ROUNDUP(S384/20,0),"")</f>
        <v/>
      </c>
      <c r="AE384" s="9">
        <f>IF(ROUNDUP(T384/20,0)&gt;ROUNDUP(T383/20,0),"Lần " &amp; ROUNDUP(T384/20,0),"")</f>
        <v/>
      </c>
      <c r="AF384" s="9">
        <f>IF(ROUNDUP(U384/20,0)&gt;ROUNDUP(U383/20,0),"Lần " &amp; ROUNDUP(U384/20,0),"")</f>
        <v/>
      </c>
      <c r="AG384" s="9">
        <f>IF(ROUNDUP(V384/20,0)&gt;ROUNDUP(V383/20,0),"Lần " &amp; ROUNDUP(V384/20,0),"")</f>
        <v/>
      </c>
      <c r="AH384" s="9">
        <f>IF(ROUNDUP(W384/20,0)&gt;ROUNDUP(W383/20,0),"Lần " &amp; ROUNDUP(W384/20,0),"")</f>
        <v/>
      </c>
      <c r="AI384" s="9">
        <f>IF(ROUNDUP(X384/20,0)&gt;ROUNDUP(X383/20,0),"Lần " &amp; ROUNDUP(X384/20,0),"")</f>
        <v/>
      </c>
      <c r="AJ384" s="9">
        <f>IF(ROUNDUP(Y384/20,0)&gt;ROUNDUP(Y383/20,0),"Lần " &amp; ROUNDUP(Y384/20,0),"")</f>
        <v/>
      </c>
      <c r="AK384" s="9">
        <f>IF(ROUNDUP(Z384/20,0)&gt;ROUNDUP(Z383/20,0),"Lần " &amp; ROUNDUP(Z384/20,0),"")</f>
        <v/>
      </c>
      <c r="AL384" s="4" t="n"/>
      <c r="AN384" s="596" t="inlineStr">
        <is>
          <t>Coc</t>
        </is>
      </c>
      <c r="AO384" s="596" t="n">
        <v>26</v>
      </c>
      <c r="AQ384" s="594" t="n"/>
      <c r="AR384" s="595" t="n"/>
    </row>
    <row r="385" ht="19" customHeight="1" s="672">
      <c r="A385" s="668" t="inlineStr">
        <is>
          <t>--- CỌC KHOAN NHỒI C3 MỐ M1 (D1.2M, L=20.0M) ---</t>
        </is>
      </c>
      <c r="B385" s="722" t="n"/>
      <c r="C385" s="722" t="n"/>
      <c r="D385" s="722" t="n"/>
      <c r="E385" s="722" t="n"/>
      <c r="F385" s="722" t="n"/>
      <c r="G385" s="722" t="n"/>
      <c r="H385" s="722" t="n"/>
      <c r="I385" s="722" t="n"/>
      <c r="J385" s="722" t="n"/>
      <c r="K385" s="722" t="n"/>
      <c r="L385" s="722" t="n"/>
      <c r="M385" s="722" t="n"/>
      <c r="N385" s="722" t="n"/>
      <c r="O385" s="722" t="n"/>
      <c r="P385" s="722" t="n"/>
      <c r="Q385" s="722" t="n"/>
      <c r="R385" s="722" t="n"/>
      <c r="S385" s="722" t="n"/>
      <c r="T385" s="722" t="n"/>
      <c r="U385" s="722" t="n"/>
      <c r="V385" s="722" t="n"/>
      <c r="W385" s="722" t="n"/>
      <c r="X385" s="722" t="n"/>
      <c r="Y385" s="722" t="n"/>
      <c r="Z385" s="722" t="n"/>
      <c r="AA385" s="722" t="n"/>
      <c r="AB385" s="722" t="n"/>
      <c r="AC385" s="722" t="n"/>
      <c r="AD385" s="722" t="n"/>
      <c r="AE385" s="722" t="n"/>
      <c r="AF385" s="722" t="n"/>
      <c r="AG385" s="722" t="n"/>
      <c r="AH385" s="722" t="n"/>
      <c r="AI385" s="722" t="n"/>
      <c r="AJ385" s="722" t="n"/>
      <c r="AK385" s="722" t="n"/>
      <c r="AL385" s="721" t="n"/>
      <c r="AQ385" s="594" t="n"/>
      <c r="AR385" s="595" t="n"/>
    </row>
    <row r="386" ht="19" customHeight="1" s="672">
      <c r="A386" s="4" t="n">
        <v>360</v>
      </c>
      <c r="B386" s="5" t="inlineStr">
        <is>
          <t>Cọc khoan nhồi C3 Mố M1 (D1.2m, L=20.0m)</t>
        </is>
      </c>
      <c r="C386" s="5" t="inlineStr">
        <is>
          <t>Cọc mố M1 L=20m (tr.64)</t>
        </is>
      </c>
      <c r="D386" s="14" t="inlineStr">
        <is>
          <t>P1</t>
        </is>
      </c>
      <c r="E386" s="15" t="n">
        <v>10</v>
      </c>
      <c r="F386" s="4" t="inlineStr">
        <is>
          <t>CB240-T</t>
        </is>
      </c>
      <c r="G386" s="5" t="inlineStr"/>
      <c r="H386" s="16" t="n">
        <v>96.604</v>
      </c>
      <c r="I386" s="17" t="n">
        <v>1</v>
      </c>
      <c r="J386" s="18" t="n">
        <v>0.617</v>
      </c>
      <c r="K386" s="7">
        <f>ROUND(H386*I386*J386, 2)</f>
        <v/>
      </c>
      <c r="L386" s="19">
        <f>ROUND(K386/1000, 3)</f>
        <v/>
      </c>
      <c r="M386" s="728">
        <f>IF(AO386="","",IF(N(INDEX(Theo_Doi_Tan_Suat_Be_Tong!$C:$C,AO386))&lt;=0,"",INDEX(Theo_Doi_Tan_Suat_Be_Tong!$C:$C,AO386)-VLOOKUP(AN386,$AQ$2:$AR$7,2,FALSE)))</f>
        <v/>
      </c>
      <c r="N386" s="4" t="n"/>
      <c r="O386" s="20">
        <f>IF(ROUNDUP(P386/20,0)&gt;ROUNDUP(P384/20,0),"TN Ø10 (Lần " &amp; ROUNDUP(P386/20,0) &amp; ")","")</f>
        <v/>
      </c>
      <c r="P386" s="16">
        <f>ROUND(P384+IF(AND(E386&lt;=10,F386&lt;&gt;"ASTM A416"),L386,0),3)</f>
        <v/>
      </c>
      <c r="Q386" s="16">
        <f>ROUND(Q384+IF(AND(E386=12,F386&lt;&gt;"ASTM A416"),L386,0),3)</f>
        <v/>
      </c>
      <c r="R386" s="16">
        <f>ROUND(R384+IF(AND(E386=14,F386&lt;&gt;"ASTM A416"),L386,0),3)</f>
        <v/>
      </c>
      <c r="S386" s="16">
        <f>ROUND(S384+IF(AND(E386=16,F386&lt;&gt;"ASTM A416"),L386,0),3)</f>
        <v/>
      </c>
      <c r="T386" s="16">
        <f>ROUND(T384+IF(AND(E386=18,F386&lt;&gt;"ASTM A416"),L386,0),3)</f>
        <v/>
      </c>
      <c r="U386" s="16">
        <f>ROUND(U384+IF(AND(E386=20,F386&lt;&gt;"ASTM A416"),L386,0),3)</f>
        <v/>
      </c>
      <c r="V386" s="16">
        <f>ROUND(V384+IF(AND(E386=22,F386&lt;&gt;"ASTM A416"),L386,0),3)</f>
        <v/>
      </c>
      <c r="W386" s="16">
        <f>ROUND(W384+IF(AND(E386=25,F386&lt;&gt;"ASTM A416"),L386,0),3)</f>
        <v/>
      </c>
      <c r="X386" s="16">
        <f>ROUND(X384+IF(AND(E386=28,F386&lt;&gt;"ASTM A416"),L386,0),3)</f>
        <v/>
      </c>
      <c r="Y386" s="16">
        <f>ROUND(Y384+IF(AND(E386=32,F386&lt;&gt;"ASTM A416"),L386,0),3)</f>
        <v/>
      </c>
      <c r="Z386" s="16">
        <f>ROUND(Z384+IF(F386="ASTM A416",L386,0),3)</f>
        <v/>
      </c>
      <c r="AA386" s="9">
        <f>IF(ROUNDUP(P386/20,0)&gt;ROUNDUP(P384/20,0),"Lần " &amp; ROUNDUP(P386/20,0),"")</f>
        <v/>
      </c>
      <c r="AB386" s="9">
        <f>IF(ROUNDUP(Q386/20,0)&gt;ROUNDUP(Q384/20,0),"Lần " &amp; ROUNDUP(Q386/20,0),"")</f>
        <v/>
      </c>
      <c r="AC386" s="9">
        <f>IF(ROUNDUP(R386/20,0)&gt;ROUNDUP(R384/20,0),"Lần " &amp; ROUNDUP(R386/20,0),"")</f>
        <v/>
      </c>
      <c r="AD386" s="9">
        <f>IF(ROUNDUP(S386/20,0)&gt;ROUNDUP(S384/20,0),"Lần " &amp; ROUNDUP(S386/20,0),"")</f>
        <v/>
      </c>
      <c r="AE386" s="9">
        <f>IF(ROUNDUP(T386/20,0)&gt;ROUNDUP(T384/20,0),"Lần " &amp; ROUNDUP(T386/20,0),"")</f>
        <v/>
      </c>
      <c r="AF386" s="9">
        <f>IF(ROUNDUP(U386/20,0)&gt;ROUNDUP(U384/20,0),"Lần " &amp; ROUNDUP(U386/20,0),"")</f>
        <v/>
      </c>
      <c r="AG386" s="9">
        <f>IF(ROUNDUP(V386/20,0)&gt;ROUNDUP(V384/20,0),"Lần " &amp; ROUNDUP(V386/20,0),"")</f>
        <v/>
      </c>
      <c r="AH386" s="9">
        <f>IF(ROUNDUP(W386/20,0)&gt;ROUNDUP(W384/20,0),"Lần " &amp; ROUNDUP(W386/20,0),"")</f>
        <v/>
      </c>
      <c r="AI386" s="9">
        <f>IF(ROUNDUP(X386/20,0)&gt;ROUNDUP(X384/20,0),"Lần " &amp; ROUNDUP(X386/20,0),"")</f>
        <v/>
      </c>
      <c r="AJ386" s="9">
        <f>IF(ROUNDUP(Y386/20,0)&gt;ROUNDUP(Y384/20,0),"Lần " &amp; ROUNDUP(Y386/20,0),"")</f>
        <v/>
      </c>
      <c r="AK386" s="9">
        <f>IF(ROUNDUP(Z386/20,0)&gt;ROUNDUP(Z384/20,0),"Lần " &amp; ROUNDUP(Z386/20,0),"")</f>
        <v/>
      </c>
      <c r="AL386" s="4" t="n"/>
      <c r="AN386" s="596" t="inlineStr">
        <is>
          <t>Coc</t>
        </is>
      </c>
      <c r="AO386" s="596" t="n">
        <v>27</v>
      </c>
      <c r="AQ386" s="594" t="n"/>
      <c r="AR386" s="595" t="n"/>
    </row>
    <row r="387" ht="19" customHeight="1" s="672">
      <c r="A387" s="4" t="n">
        <v>361</v>
      </c>
      <c r="B387" s="5" t="inlineStr">
        <is>
          <t>Cọc khoan nhồi C3 Mố M1 (D1.2m, L=20.0m)</t>
        </is>
      </c>
      <c r="C387" s="5" t="inlineStr">
        <is>
          <t>Cọc mố M1 L=20m (tr.64)</t>
        </is>
      </c>
      <c r="D387" s="14" t="inlineStr">
        <is>
          <t>P1A</t>
        </is>
      </c>
      <c r="E387" s="15" t="n">
        <v>10</v>
      </c>
      <c r="F387" s="4" t="inlineStr">
        <is>
          <t>CB240-T</t>
        </is>
      </c>
      <c r="G387" s="5" t="inlineStr"/>
      <c r="H387" s="16" t="n">
        <v>373.535</v>
      </c>
      <c r="I387" s="17" t="n">
        <v>1</v>
      </c>
      <c r="J387" s="18" t="n">
        <v>0.617</v>
      </c>
      <c r="K387" s="7">
        <f>ROUND(H387*I387*J387, 2)</f>
        <v/>
      </c>
      <c r="L387" s="19">
        <f>ROUND(K387/1000, 3)</f>
        <v/>
      </c>
      <c r="M387" s="728">
        <f>IF(AO387="","",IF(N(INDEX(Theo_Doi_Tan_Suat_Be_Tong!$C:$C,AO387))&lt;=0,"",INDEX(Theo_Doi_Tan_Suat_Be_Tong!$C:$C,AO387)-VLOOKUP(AN387,$AQ$2:$AR$7,2,FALSE)))</f>
        <v/>
      </c>
      <c r="N387" s="4" t="n"/>
      <c r="O387" s="20">
        <f>IF(ROUNDUP(P387/20,0)&gt;ROUNDUP(P386/20,0),"TN Ø10 (Lần " &amp; ROUNDUP(P387/20,0) &amp; ")","")</f>
        <v/>
      </c>
      <c r="P387" s="16">
        <f>ROUND(P386+IF(AND(E387&lt;=10,F387&lt;&gt;"ASTM A416"),L387,0),3)</f>
        <v/>
      </c>
      <c r="Q387" s="16">
        <f>ROUND(Q386+IF(AND(E387=12,F387&lt;&gt;"ASTM A416"),L387,0),3)</f>
        <v/>
      </c>
      <c r="R387" s="16">
        <f>ROUND(R386+IF(AND(E387=14,F387&lt;&gt;"ASTM A416"),L387,0),3)</f>
        <v/>
      </c>
      <c r="S387" s="16">
        <f>ROUND(S386+IF(AND(E387=16,F387&lt;&gt;"ASTM A416"),L387,0),3)</f>
        <v/>
      </c>
      <c r="T387" s="16">
        <f>ROUND(T386+IF(AND(E387=18,F387&lt;&gt;"ASTM A416"),L387,0),3)</f>
        <v/>
      </c>
      <c r="U387" s="16">
        <f>ROUND(U386+IF(AND(E387=20,F387&lt;&gt;"ASTM A416"),L387,0),3)</f>
        <v/>
      </c>
      <c r="V387" s="16">
        <f>ROUND(V386+IF(AND(E387=22,F387&lt;&gt;"ASTM A416"),L387,0),3)</f>
        <v/>
      </c>
      <c r="W387" s="16">
        <f>ROUND(W386+IF(AND(E387=25,F387&lt;&gt;"ASTM A416"),L387,0),3)</f>
        <v/>
      </c>
      <c r="X387" s="16">
        <f>ROUND(X386+IF(AND(E387=28,F387&lt;&gt;"ASTM A416"),L387,0),3)</f>
        <v/>
      </c>
      <c r="Y387" s="16">
        <f>ROUND(Y386+IF(AND(E387=32,F387&lt;&gt;"ASTM A416"),L387,0),3)</f>
        <v/>
      </c>
      <c r="Z387" s="16">
        <f>ROUND(Z386+IF(F387="ASTM A416",L387,0),3)</f>
        <v/>
      </c>
      <c r="AA387" s="9">
        <f>IF(ROUNDUP(P387/20,0)&gt;ROUNDUP(P386/20,0),"Lần " &amp; ROUNDUP(P387/20,0),"")</f>
        <v/>
      </c>
      <c r="AB387" s="9">
        <f>IF(ROUNDUP(Q387/20,0)&gt;ROUNDUP(Q386/20,0),"Lần " &amp; ROUNDUP(Q387/20,0),"")</f>
        <v/>
      </c>
      <c r="AC387" s="9">
        <f>IF(ROUNDUP(R387/20,0)&gt;ROUNDUP(R386/20,0),"Lần " &amp; ROUNDUP(R387/20,0),"")</f>
        <v/>
      </c>
      <c r="AD387" s="9">
        <f>IF(ROUNDUP(S387/20,0)&gt;ROUNDUP(S386/20,0),"Lần " &amp; ROUNDUP(S387/20,0),"")</f>
        <v/>
      </c>
      <c r="AE387" s="9">
        <f>IF(ROUNDUP(T387/20,0)&gt;ROUNDUP(T386/20,0),"Lần " &amp; ROUNDUP(T387/20,0),"")</f>
        <v/>
      </c>
      <c r="AF387" s="9">
        <f>IF(ROUNDUP(U387/20,0)&gt;ROUNDUP(U386/20,0),"Lần " &amp; ROUNDUP(U387/20,0),"")</f>
        <v/>
      </c>
      <c r="AG387" s="9">
        <f>IF(ROUNDUP(V387/20,0)&gt;ROUNDUP(V386/20,0),"Lần " &amp; ROUNDUP(V387/20,0),"")</f>
        <v/>
      </c>
      <c r="AH387" s="9">
        <f>IF(ROUNDUP(W387/20,0)&gt;ROUNDUP(W386/20,0),"Lần " &amp; ROUNDUP(W387/20,0),"")</f>
        <v/>
      </c>
      <c r="AI387" s="9">
        <f>IF(ROUNDUP(X387/20,0)&gt;ROUNDUP(X386/20,0),"Lần " &amp; ROUNDUP(X387/20,0),"")</f>
        <v/>
      </c>
      <c r="AJ387" s="9">
        <f>IF(ROUNDUP(Y387/20,0)&gt;ROUNDUP(Y386/20,0),"Lần " &amp; ROUNDUP(Y387/20,0),"")</f>
        <v/>
      </c>
      <c r="AK387" s="9">
        <f>IF(ROUNDUP(Z387/20,0)&gt;ROUNDUP(Z386/20,0),"Lần " &amp; ROUNDUP(Z387/20,0),"")</f>
        <v/>
      </c>
      <c r="AL387" s="4" t="n"/>
      <c r="AN387" s="596" t="inlineStr">
        <is>
          <t>Coc</t>
        </is>
      </c>
      <c r="AO387" s="596" t="n">
        <v>27</v>
      </c>
      <c r="AQ387" s="594" t="n"/>
      <c r="AR387" s="595" t="n"/>
    </row>
    <row r="388" ht="19" customHeight="1" s="672">
      <c r="A388" s="4" t="n">
        <v>362</v>
      </c>
      <c r="B388" s="5" t="inlineStr">
        <is>
          <t>Cọc khoan nhồi C3 Mố M1 (D1.2m, L=20.0m)</t>
        </is>
      </c>
      <c r="C388" s="5" t="inlineStr">
        <is>
          <t>Cọc mố M1 L=20m (tr.64)</t>
        </is>
      </c>
      <c r="D388" s="14" t="inlineStr">
        <is>
          <t>P1C</t>
        </is>
      </c>
      <c r="E388" s="15" t="n">
        <v>10</v>
      </c>
      <c r="F388" s="4" t="inlineStr">
        <is>
          <t>CB240-T</t>
        </is>
      </c>
      <c r="G388" s="5" t="inlineStr"/>
      <c r="H388" s="16" t="n">
        <v>3.592</v>
      </c>
      <c r="I388" s="17" t="n">
        <v>2</v>
      </c>
      <c r="J388" s="18" t="n">
        <v>0.617</v>
      </c>
      <c r="K388" s="7">
        <f>ROUND(H388*I388*J388, 2)</f>
        <v/>
      </c>
      <c r="L388" s="19">
        <f>ROUND(K388/1000, 3)</f>
        <v/>
      </c>
      <c r="M388" s="728">
        <f>IF(AO388="","",IF(N(INDEX(Theo_Doi_Tan_Suat_Be_Tong!$C:$C,AO388))&lt;=0,"",INDEX(Theo_Doi_Tan_Suat_Be_Tong!$C:$C,AO388)-VLOOKUP(AN388,$AQ$2:$AR$7,2,FALSE)))</f>
        <v/>
      </c>
      <c r="N388" s="4" t="n"/>
      <c r="O388" s="20">
        <f>IF(ROUNDUP(P388/20,0)&gt;ROUNDUP(P387/20,0),"TN Ø10 (Lần " &amp; ROUNDUP(P388/20,0) &amp; ")","")</f>
        <v/>
      </c>
      <c r="P388" s="16">
        <f>ROUND(P387+IF(AND(E388&lt;=10,F388&lt;&gt;"ASTM A416"),L388,0),3)</f>
        <v/>
      </c>
      <c r="Q388" s="16">
        <f>ROUND(Q387+IF(AND(E388=12,F388&lt;&gt;"ASTM A416"),L388,0),3)</f>
        <v/>
      </c>
      <c r="R388" s="16">
        <f>ROUND(R387+IF(AND(E388=14,F388&lt;&gt;"ASTM A416"),L388,0),3)</f>
        <v/>
      </c>
      <c r="S388" s="16">
        <f>ROUND(S387+IF(AND(E388=16,F388&lt;&gt;"ASTM A416"),L388,0),3)</f>
        <v/>
      </c>
      <c r="T388" s="16">
        <f>ROUND(T387+IF(AND(E388=18,F388&lt;&gt;"ASTM A416"),L388,0),3)</f>
        <v/>
      </c>
      <c r="U388" s="16">
        <f>ROUND(U387+IF(AND(E388=20,F388&lt;&gt;"ASTM A416"),L388,0),3)</f>
        <v/>
      </c>
      <c r="V388" s="16">
        <f>ROUND(V387+IF(AND(E388=22,F388&lt;&gt;"ASTM A416"),L388,0),3)</f>
        <v/>
      </c>
      <c r="W388" s="16">
        <f>ROUND(W387+IF(AND(E388=25,F388&lt;&gt;"ASTM A416"),L388,0),3)</f>
        <v/>
      </c>
      <c r="X388" s="16">
        <f>ROUND(X387+IF(AND(E388=28,F388&lt;&gt;"ASTM A416"),L388,0),3)</f>
        <v/>
      </c>
      <c r="Y388" s="16">
        <f>ROUND(Y387+IF(AND(E388=32,F388&lt;&gt;"ASTM A416"),L388,0),3)</f>
        <v/>
      </c>
      <c r="Z388" s="16">
        <f>ROUND(Z387+IF(F388="ASTM A416",L388,0),3)</f>
        <v/>
      </c>
      <c r="AA388" s="9">
        <f>IF(ROUNDUP(P388/20,0)&gt;ROUNDUP(P387/20,0),"Lần " &amp; ROUNDUP(P388/20,0),"")</f>
        <v/>
      </c>
      <c r="AB388" s="9">
        <f>IF(ROUNDUP(Q388/20,0)&gt;ROUNDUP(Q387/20,0),"Lần " &amp; ROUNDUP(Q388/20,0),"")</f>
        <v/>
      </c>
      <c r="AC388" s="9">
        <f>IF(ROUNDUP(R388/20,0)&gt;ROUNDUP(R387/20,0),"Lần " &amp; ROUNDUP(R388/20,0),"")</f>
        <v/>
      </c>
      <c r="AD388" s="9">
        <f>IF(ROUNDUP(S388/20,0)&gt;ROUNDUP(S387/20,0),"Lần " &amp; ROUNDUP(S388/20,0),"")</f>
        <v/>
      </c>
      <c r="AE388" s="9">
        <f>IF(ROUNDUP(T388/20,0)&gt;ROUNDUP(T387/20,0),"Lần " &amp; ROUNDUP(T388/20,0),"")</f>
        <v/>
      </c>
      <c r="AF388" s="9">
        <f>IF(ROUNDUP(U388/20,0)&gt;ROUNDUP(U387/20,0),"Lần " &amp; ROUNDUP(U388/20,0),"")</f>
        <v/>
      </c>
      <c r="AG388" s="9">
        <f>IF(ROUNDUP(V388/20,0)&gt;ROUNDUP(V387/20,0),"Lần " &amp; ROUNDUP(V388/20,0),"")</f>
        <v/>
      </c>
      <c r="AH388" s="9">
        <f>IF(ROUNDUP(W388/20,0)&gt;ROUNDUP(W387/20,0),"Lần " &amp; ROUNDUP(W388/20,0),"")</f>
        <v/>
      </c>
      <c r="AI388" s="9">
        <f>IF(ROUNDUP(X388/20,0)&gt;ROUNDUP(X387/20,0),"Lần " &amp; ROUNDUP(X388/20,0),"")</f>
        <v/>
      </c>
      <c r="AJ388" s="9">
        <f>IF(ROUNDUP(Y388/20,0)&gt;ROUNDUP(Y387/20,0),"Lần " &amp; ROUNDUP(Y388/20,0),"")</f>
        <v/>
      </c>
      <c r="AK388" s="9">
        <f>IF(ROUNDUP(Z388/20,0)&gt;ROUNDUP(Z387/20,0),"Lần " &amp; ROUNDUP(Z388/20,0),"")</f>
        <v/>
      </c>
      <c r="AL388" s="4" t="n"/>
      <c r="AN388" s="596" t="inlineStr">
        <is>
          <t>Coc</t>
        </is>
      </c>
      <c r="AO388" s="596" t="n">
        <v>27</v>
      </c>
      <c r="AQ388" s="594" t="n"/>
      <c r="AR388" s="595" t="n"/>
    </row>
    <row r="389" ht="19" customHeight="1" s="672">
      <c r="A389" s="4" t="n">
        <v>363</v>
      </c>
      <c r="B389" s="5" t="inlineStr">
        <is>
          <t>Cọc khoan nhồi C3 Mố M1 (D1.2m, L=20.0m)</t>
        </is>
      </c>
      <c r="C389" s="5" t="inlineStr">
        <is>
          <t>Cọc mố M1 L=20m (tr.64)</t>
        </is>
      </c>
      <c r="D389" s="14" t="inlineStr">
        <is>
          <t>P1D</t>
        </is>
      </c>
      <c r="E389" s="15" t="n">
        <v>10</v>
      </c>
      <c r="F389" s="4" t="inlineStr">
        <is>
          <t>CB240-T</t>
        </is>
      </c>
      <c r="G389" s="5" t="inlineStr"/>
      <c r="H389" s="16" t="n">
        <v>19.721</v>
      </c>
      <c r="I389" s="17" t="n">
        <v>1</v>
      </c>
      <c r="J389" s="18" t="n">
        <v>0.617</v>
      </c>
      <c r="K389" s="7">
        <f>ROUND(H389*I389*J389, 2)</f>
        <v/>
      </c>
      <c r="L389" s="19">
        <f>ROUND(K389/1000, 3)</f>
        <v/>
      </c>
      <c r="M389" s="728">
        <f>IF(AO389="","",IF(N(INDEX(Theo_Doi_Tan_Suat_Be_Tong!$C:$C,AO389))&lt;=0,"",INDEX(Theo_Doi_Tan_Suat_Be_Tong!$C:$C,AO389)-VLOOKUP(AN389,$AQ$2:$AR$7,2,FALSE)))</f>
        <v/>
      </c>
      <c r="N389" s="4" t="n"/>
      <c r="O389" s="20">
        <f>IF(ROUNDUP(P389/20,0)&gt;ROUNDUP(P388/20,0),"TN Ø10 (Lần " &amp; ROUNDUP(P389/20,0) &amp; ")","")</f>
        <v/>
      </c>
      <c r="P389" s="16">
        <f>ROUND(P388+IF(AND(E389&lt;=10,F389&lt;&gt;"ASTM A416"),L389,0),3)</f>
        <v/>
      </c>
      <c r="Q389" s="16">
        <f>ROUND(Q388+IF(AND(E389=12,F389&lt;&gt;"ASTM A416"),L389,0),3)</f>
        <v/>
      </c>
      <c r="R389" s="16">
        <f>ROUND(R388+IF(AND(E389=14,F389&lt;&gt;"ASTM A416"),L389,0),3)</f>
        <v/>
      </c>
      <c r="S389" s="16">
        <f>ROUND(S388+IF(AND(E389=16,F389&lt;&gt;"ASTM A416"),L389,0),3)</f>
        <v/>
      </c>
      <c r="T389" s="16">
        <f>ROUND(T388+IF(AND(E389=18,F389&lt;&gt;"ASTM A416"),L389,0),3)</f>
        <v/>
      </c>
      <c r="U389" s="16">
        <f>ROUND(U388+IF(AND(E389=20,F389&lt;&gt;"ASTM A416"),L389,0),3)</f>
        <v/>
      </c>
      <c r="V389" s="16">
        <f>ROUND(V388+IF(AND(E389=22,F389&lt;&gt;"ASTM A416"),L389,0),3)</f>
        <v/>
      </c>
      <c r="W389" s="16">
        <f>ROUND(W388+IF(AND(E389=25,F389&lt;&gt;"ASTM A416"),L389,0),3)</f>
        <v/>
      </c>
      <c r="X389" s="16">
        <f>ROUND(X388+IF(AND(E389=28,F389&lt;&gt;"ASTM A416"),L389,0),3)</f>
        <v/>
      </c>
      <c r="Y389" s="16">
        <f>ROUND(Y388+IF(AND(E389=32,F389&lt;&gt;"ASTM A416"),L389,0),3)</f>
        <v/>
      </c>
      <c r="Z389" s="16">
        <f>ROUND(Z388+IF(F389="ASTM A416",L389,0),3)</f>
        <v/>
      </c>
      <c r="AA389" s="9">
        <f>IF(ROUNDUP(P389/20,0)&gt;ROUNDUP(P388/20,0),"Lần " &amp; ROUNDUP(P389/20,0),"")</f>
        <v/>
      </c>
      <c r="AB389" s="9">
        <f>IF(ROUNDUP(Q389/20,0)&gt;ROUNDUP(Q388/20,0),"Lần " &amp; ROUNDUP(Q389/20,0),"")</f>
        <v/>
      </c>
      <c r="AC389" s="9">
        <f>IF(ROUNDUP(R389/20,0)&gt;ROUNDUP(R388/20,0),"Lần " &amp; ROUNDUP(R389/20,0),"")</f>
        <v/>
      </c>
      <c r="AD389" s="9">
        <f>IF(ROUNDUP(S389/20,0)&gt;ROUNDUP(S388/20,0),"Lần " &amp; ROUNDUP(S389/20,0),"")</f>
        <v/>
      </c>
      <c r="AE389" s="9">
        <f>IF(ROUNDUP(T389/20,0)&gt;ROUNDUP(T388/20,0),"Lần " &amp; ROUNDUP(T389/20,0),"")</f>
        <v/>
      </c>
      <c r="AF389" s="9">
        <f>IF(ROUNDUP(U389/20,0)&gt;ROUNDUP(U388/20,0),"Lần " &amp; ROUNDUP(U389/20,0),"")</f>
        <v/>
      </c>
      <c r="AG389" s="9">
        <f>IF(ROUNDUP(V389/20,0)&gt;ROUNDUP(V388/20,0),"Lần " &amp; ROUNDUP(V389/20,0),"")</f>
        <v/>
      </c>
      <c r="AH389" s="9">
        <f>IF(ROUNDUP(W389/20,0)&gt;ROUNDUP(W388/20,0),"Lần " &amp; ROUNDUP(W389/20,0),"")</f>
        <v/>
      </c>
      <c r="AI389" s="9">
        <f>IF(ROUNDUP(X389/20,0)&gt;ROUNDUP(X388/20,0),"Lần " &amp; ROUNDUP(X389/20,0),"")</f>
        <v/>
      </c>
      <c r="AJ389" s="9">
        <f>IF(ROUNDUP(Y389/20,0)&gt;ROUNDUP(Y388/20,0),"Lần " &amp; ROUNDUP(Y389/20,0),"")</f>
        <v/>
      </c>
      <c r="AK389" s="9">
        <f>IF(ROUNDUP(Z389/20,0)&gt;ROUNDUP(Z388/20,0),"Lần " &amp; ROUNDUP(Z389/20,0),"")</f>
        <v/>
      </c>
      <c r="AL389" s="4" t="n"/>
      <c r="AN389" s="596" t="inlineStr">
        <is>
          <t>Coc</t>
        </is>
      </c>
      <c r="AO389" s="596" t="n">
        <v>27</v>
      </c>
      <c r="AQ389" s="594" t="n"/>
      <c r="AR389" s="595" t="n"/>
    </row>
    <row r="390" ht="19" customHeight="1" s="672">
      <c r="A390" s="4" t="n">
        <v>364</v>
      </c>
      <c r="B390" s="5" t="inlineStr">
        <is>
          <t>Cọc khoan nhồi C3 Mố M1 (D1.2m, L=20.0m)</t>
        </is>
      </c>
      <c r="C390" s="5" t="inlineStr">
        <is>
          <t>Cọc mố M1 L=20m (tr.64)</t>
        </is>
      </c>
      <c r="D390" s="14" t="inlineStr">
        <is>
          <t>P2B</t>
        </is>
      </c>
      <c r="E390" s="15" t="n">
        <v>25</v>
      </c>
      <c r="F390" s="4" t="inlineStr">
        <is>
          <t>CB400-V</t>
        </is>
      </c>
      <c r="G390" s="5" t="inlineStr"/>
      <c r="H390" s="16" t="n">
        <v>2.985</v>
      </c>
      <c r="I390" s="17" t="n">
        <v>8</v>
      </c>
      <c r="J390" s="18" t="n">
        <v>3.853</v>
      </c>
      <c r="K390" s="7">
        <f>ROUND(H390*I390*J390, 2)</f>
        <v/>
      </c>
      <c r="L390" s="19">
        <f>ROUND(K390/1000, 3)</f>
        <v/>
      </c>
      <c r="M390" s="728">
        <f>IF(AO390="","",IF(N(INDEX(Theo_Doi_Tan_Suat_Be_Tong!$C:$C,AO390))&lt;=0,"",INDEX(Theo_Doi_Tan_Suat_Be_Tong!$C:$C,AO390)-VLOOKUP(AN390,$AQ$2:$AR$7,2,FALSE)))</f>
        <v/>
      </c>
      <c r="N390" s="4" t="n"/>
      <c r="O390" s="20">
        <f>IF(ROUNDUP(W390/20,0)&gt;ROUNDUP(W389/20,0),"TN Ø25 (Lần " &amp; ROUNDUP(W390/20,0) &amp; ")","")</f>
        <v/>
      </c>
      <c r="P390" s="16">
        <f>ROUND(P389+IF(AND(E390&lt;=10,F390&lt;&gt;"ASTM A416"),L390,0),3)</f>
        <v/>
      </c>
      <c r="Q390" s="16">
        <f>ROUND(Q389+IF(AND(E390=12,F390&lt;&gt;"ASTM A416"),L390,0),3)</f>
        <v/>
      </c>
      <c r="R390" s="16">
        <f>ROUND(R389+IF(AND(E390=14,F390&lt;&gt;"ASTM A416"),L390,0),3)</f>
        <v/>
      </c>
      <c r="S390" s="16">
        <f>ROUND(S389+IF(AND(E390=16,F390&lt;&gt;"ASTM A416"),L390,0),3)</f>
        <v/>
      </c>
      <c r="T390" s="16">
        <f>ROUND(T389+IF(AND(E390=18,F390&lt;&gt;"ASTM A416"),L390,0),3)</f>
        <v/>
      </c>
      <c r="U390" s="16">
        <f>ROUND(U389+IF(AND(E390=20,F390&lt;&gt;"ASTM A416"),L390,0),3)</f>
        <v/>
      </c>
      <c r="V390" s="16">
        <f>ROUND(V389+IF(AND(E390=22,F390&lt;&gt;"ASTM A416"),L390,0),3)</f>
        <v/>
      </c>
      <c r="W390" s="16">
        <f>ROUND(W389+IF(AND(E390=25,F390&lt;&gt;"ASTM A416"),L390,0),3)</f>
        <v/>
      </c>
      <c r="X390" s="16">
        <f>ROUND(X389+IF(AND(E390=28,F390&lt;&gt;"ASTM A416"),L390,0),3)</f>
        <v/>
      </c>
      <c r="Y390" s="16">
        <f>ROUND(Y389+IF(AND(E390=32,F390&lt;&gt;"ASTM A416"),L390,0),3)</f>
        <v/>
      </c>
      <c r="Z390" s="16">
        <f>ROUND(Z389+IF(F390="ASTM A416",L390,0),3)</f>
        <v/>
      </c>
      <c r="AA390" s="9">
        <f>IF(ROUNDUP(P390/20,0)&gt;ROUNDUP(P389/20,0),"Lần " &amp; ROUNDUP(P390/20,0),"")</f>
        <v/>
      </c>
      <c r="AB390" s="9">
        <f>IF(ROUNDUP(Q390/20,0)&gt;ROUNDUP(Q389/20,0),"Lần " &amp; ROUNDUP(Q390/20,0),"")</f>
        <v/>
      </c>
      <c r="AC390" s="9">
        <f>IF(ROUNDUP(R390/20,0)&gt;ROUNDUP(R389/20,0),"Lần " &amp; ROUNDUP(R390/20,0),"")</f>
        <v/>
      </c>
      <c r="AD390" s="9">
        <f>IF(ROUNDUP(S390/20,0)&gt;ROUNDUP(S389/20,0),"Lần " &amp; ROUNDUP(S390/20,0),"")</f>
        <v/>
      </c>
      <c r="AE390" s="9">
        <f>IF(ROUNDUP(T390/20,0)&gt;ROUNDUP(T389/20,0),"Lần " &amp; ROUNDUP(T390/20,0),"")</f>
        <v/>
      </c>
      <c r="AF390" s="9">
        <f>IF(ROUNDUP(U390/20,0)&gt;ROUNDUP(U389/20,0),"Lần " &amp; ROUNDUP(U390/20,0),"")</f>
        <v/>
      </c>
      <c r="AG390" s="9">
        <f>IF(ROUNDUP(V390/20,0)&gt;ROUNDUP(V389/20,0),"Lần " &amp; ROUNDUP(V390/20,0),"")</f>
        <v/>
      </c>
      <c r="AH390" s="9">
        <f>IF(ROUNDUP(W390/20,0)&gt;ROUNDUP(W389/20,0),"Lần " &amp; ROUNDUP(W390/20,0),"")</f>
        <v/>
      </c>
      <c r="AI390" s="9">
        <f>IF(ROUNDUP(X390/20,0)&gt;ROUNDUP(X389/20,0),"Lần " &amp; ROUNDUP(X390/20,0),"")</f>
        <v/>
      </c>
      <c r="AJ390" s="9">
        <f>IF(ROUNDUP(Y390/20,0)&gt;ROUNDUP(Y389/20,0),"Lần " &amp; ROUNDUP(Y390/20,0),"")</f>
        <v/>
      </c>
      <c r="AK390" s="9">
        <f>IF(ROUNDUP(Z390/20,0)&gt;ROUNDUP(Z389/20,0),"Lần " &amp; ROUNDUP(Z390/20,0),"")</f>
        <v/>
      </c>
      <c r="AL390" s="4" t="n"/>
      <c r="AN390" s="596" t="inlineStr">
        <is>
          <t>Coc</t>
        </is>
      </c>
      <c r="AO390" s="596" t="n">
        <v>27</v>
      </c>
      <c r="AQ390" s="594" t="n"/>
      <c r="AR390" s="595" t="n"/>
    </row>
    <row r="391" ht="19" customHeight="1" s="672">
      <c r="A391" s="4" t="n">
        <v>365</v>
      </c>
      <c r="B391" s="5" t="inlineStr">
        <is>
          <t>Cọc khoan nhồi C3 Mố M1 (D1.2m, L=20.0m)</t>
        </is>
      </c>
      <c r="C391" s="5" t="inlineStr">
        <is>
          <t>Cọc mố M1 L=20m (tr.64)</t>
        </is>
      </c>
      <c r="D391" s="14" t="inlineStr">
        <is>
          <t>P3</t>
        </is>
      </c>
      <c r="E391" s="15" t="n">
        <v>25</v>
      </c>
      <c r="F391" s="4" t="inlineStr">
        <is>
          <t>CB400-V</t>
        </is>
      </c>
      <c r="G391" s="5" t="inlineStr"/>
      <c r="H391" s="16" t="n">
        <v>10.7</v>
      </c>
      <c r="I391" s="17" t="n">
        <v>12</v>
      </c>
      <c r="J391" s="18" t="n">
        <v>3.853</v>
      </c>
      <c r="K391" s="7">
        <f>ROUND(H391*I391*J391, 2)</f>
        <v/>
      </c>
      <c r="L391" s="19">
        <f>ROUND(K391/1000, 3)</f>
        <v/>
      </c>
      <c r="M391" s="728">
        <f>IF(AO391="","",IF(N(INDEX(Theo_Doi_Tan_Suat_Be_Tong!$C:$C,AO391))&lt;=0,"",INDEX(Theo_Doi_Tan_Suat_Be_Tong!$C:$C,AO391)-VLOOKUP(AN391,$AQ$2:$AR$7,2,FALSE)))</f>
        <v/>
      </c>
      <c r="N391" s="4" t="n"/>
      <c r="O391" s="20">
        <f>IF(ROUNDUP(W391/20,0)&gt;ROUNDUP(W390/20,0),"TN Ø25 (Lần " &amp; ROUNDUP(W391/20,0) &amp; ")","")</f>
        <v/>
      </c>
      <c r="P391" s="16">
        <f>ROUND(P390+IF(AND(E391&lt;=10,F391&lt;&gt;"ASTM A416"),L391,0),3)</f>
        <v/>
      </c>
      <c r="Q391" s="16">
        <f>ROUND(Q390+IF(AND(E391=12,F391&lt;&gt;"ASTM A416"),L391,0),3)</f>
        <v/>
      </c>
      <c r="R391" s="16">
        <f>ROUND(R390+IF(AND(E391=14,F391&lt;&gt;"ASTM A416"),L391,0),3)</f>
        <v/>
      </c>
      <c r="S391" s="16">
        <f>ROUND(S390+IF(AND(E391=16,F391&lt;&gt;"ASTM A416"),L391,0),3)</f>
        <v/>
      </c>
      <c r="T391" s="16">
        <f>ROUND(T390+IF(AND(E391=18,F391&lt;&gt;"ASTM A416"),L391,0),3)</f>
        <v/>
      </c>
      <c r="U391" s="16">
        <f>ROUND(U390+IF(AND(E391=20,F391&lt;&gt;"ASTM A416"),L391,0),3)</f>
        <v/>
      </c>
      <c r="V391" s="16">
        <f>ROUND(V390+IF(AND(E391=22,F391&lt;&gt;"ASTM A416"),L391,0),3)</f>
        <v/>
      </c>
      <c r="W391" s="16">
        <f>ROUND(W390+IF(AND(E391=25,F391&lt;&gt;"ASTM A416"),L391,0),3)</f>
        <v/>
      </c>
      <c r="X391" s="16">
        <f>ROUND(X390+IF(AND(E391=28,F391&lt;&gt;"ASTM A416"),L391,0),3)</f>
        <v/>
      </c>
      <c r="Y391" s="16">
        <f>ROUND(Y390+IF(AND(E391=32,F391&lt;&gt;"ASTM A416"),L391,0),3)</f>
        <v/>
      </c>
      <c r="Z391" s="16">
        <f>ROUND(Z390+IF(F391="ASTM A416",L391,0),3)</f>
        <v/>
      </c>
      <c r="AA391" s="9">
        <f>IF(ROUNDUP(P391/20,0)&gt;ROUNDUP(P390/20,0),"Lần " &amp; ROUNDUP(P391/20,0),"")</f>
        <v/>
      </c>
      <c r="AB391" s="9">
        <f>IF(ROUNDUP(Q391/20,0)&gt;ROUNDUP(Q390/20,0),"Lần " &amp; ROUNDUP(Q391/20,0),"")</f>
        <v/>
      </c>
      <c r="AC391" s="9">
        <f>IF(ROUNDUP(R391/20,0)&gt;ROUNDUP(R390/20,0),"Lần " &amp; ROUNDUP(R391/20,0),"")</f>
        <v/>
      </c>
      <c r="AD391" s="9">
        <f>IF(ROUNDUP(S391/20,0)&gt;ROUNDUP(S390/20,0),"Lần " &amp; ROUNDUP(S391/20,0),"")</f>
        <v/>
      </c>
      <c r="AE391" s="9">
        <f>IF(ROUNDUP(T391/20,0)&gt;ROUNDUP(T390/20,0),"Lần " &amp; ROUNDUP(T391/20,0),"")</f>
        <v/>
      </c>
      <c r="AF391" s="9">
        <f>IF(ROUNDUP(U391/20,0)&gt;ROUNDUP(U390/20,0),"Lần " &amp; ROUNDUP(U391/20,0),"")</f>
        <v/>
      </c>
      <c r="AG391" s="9">
        <f>IF(ROUNDUP(V391/20,0)&gt;ROUNDUP(V390/20,0),"Lần " &amp; ROUNDUP(V391/20,0),"")</f>
        <v/>
      </c>
      <c r="AH391" s="9">
        <f>IF(ROUNDUP(W391/20,0)&gt;ROUNDUP(W390/20,0),"Lần " &amp; ROUNDUP(W391/20,0),"")</f>
        <v/>
      </c>
      <c r="AI391" s="9">
        <f>IF(ROUNDUP(X391/20,0)&gt;ROUNDUP(X390/20,0),"Lần " &amp; ROUNDUP(X391/20,0),"")</f>
        <v/>
      </c>
      <c r="AJ391" s="9">
        <f>IF(ROUNDUP(Y391/20,0)&gt;ROUNDUP(Y390/20,0),"Lần " &amp; ROUNDUP(Y391/20,0),"")</f>
        <v/>
      </c>
      <c r="AK391" s="9">
        <f>IF(ROUNDUP(Z391/20,0)&gt;ROUNDUP(Z390/20,0),"Lần " &amp; ROUNDUP(Z391/20,0),"")</f>
        <v/>
      </c>
      <c r="AL391" s="4" t="n"/>
      <c r="AN391" s="596" t="inlineStr">
        <is>
          <t>Coc</t>
        </is>
      </c>
      <c r="AO391" s="596" t="n">
        <v>27</v>
      </c>
      <c r="AQ391" s="594" t="n"/>
      <c r="AR391" s="595" t="n"/>
    </row>
    <row r="392" ht="19" customHeight="1" s="672">
      <c r="A392" s="4" t="n">
        <v>366</v>
      </c>
      <c r="B392" s="5" t="inlineStr">
        <is>
          <t>Cọc khoan nhồi C3 Mố M1 (D1.2m, L=20.0m)</t>
        </is>
      </c>
      <c r="C392" s="5" t="inlineStr">
        <is>
          <t>Cọc mố M1 L=20m (tr.64)</t>
        </is>
      </c>
      <c r="D392" s="14" t="inlineStr">
        <is>
          <t>P4</t>
        </is>
      </c>
      <c r="E392" s="15" t="n">
        <v>25</v>
      </c>
      <c r="F392" s="4" t="inlineStr">
        <is>
          <t>CB400-V</t>
        </is>
      </c>
      <c r="G392" s="5" t="inlineStr"/>
      <c r="H392" s="16" t="n">
        <v>11.7</v>
      </c>
      <c r="I392" s="17" t="n">
        <v>12</v>
      </c>
      <c r="J392" s="18" t="n">
        <v>3.853</v>
      </c>
      <c r="K392" s="7">
        <f>ROUND(H392*I392*J392, 2)</f>
        <v/>
      </c>
      <c r="L392" s="19">
        <f>ROUND(K392/1000, 3)</f>
        <v/>
      </c>
      <c r="M392" s="728">
        <f>IF(AO392="","",IF(N(INDEX(Theo_Doi_Tan_Suat_Be_Tong!$C:$C,AO392))&lt;=0,"",INDEX(Theo_Doi_Tan_Suat_Be_Tong!$C:$C,AO392)-VLOOKUP(AN392,$AQ$2:$AR$7,2,FALSE)))</f>
        <v/>
      </c>
      <c r="N392" s="4" t="n"/>
      <c r="O392" s="20">
        <f>IF(ROUNDUP(W392/20,0)&gt;ROUNDUP(W391/20,0),"TN Ø25 (Lần " &amp; ROUNDUP(W392/20,0) &amp; ")","")</f>
        <v/>
      </c>
      <c r="P392" s="16">
        <f>ROUND(P391+IF(AND(E392&lt;=10,F392&lt;&gt;"ASTM A416"),L392,0),3)</f>
        <v/>
      </c>
      <c r="Q392" s="16">
        <f>ROUND(Q391+IF(AND(E392=12,F392&lt;&gt;"ASTM A416"),L392,0),3)</f>
        <v/>
      </c>
      <c r="R392" s="16">
        <f>ROUND(R391+IF(AND(E392=14,F392&lt;&gt;"ASTM A416"),L392,0),3)</f>
        <v/>
      </c>
      <c r="S392" s="16">
        <f>ROUND(S391+IF(AND(E392=16,F392&lt;&gt;"ASTM A416"),L392,0),3)</f>
        <v/>
      </c>
      <c r="T392" s="16">
        <f>ROUND(T391+IF(AND(E392=18,F392&lt;&gt;"ASTM A416"),L392,0),3)</f>
        <v/>
      </c>
      <c r="U392" s="16">
        <f>ROUND(U391+IF(AND(E392=20,F392&lt;&gt;"ASTM A416"),L392,0),3)</f>
        <v/>
      </c>
      <c r="V392" s="16">
        <f>ROUND(V391+IF(AND(E392=22,F392&lt;&gt;"ASTM A416"),L392,0),3)</f>
        <v/>
      </c>
      <c r="W392" s="16">
        <f>ROUND(W391+IF(AND(E392=25,F392&lt;&gt;"ASTM A416"),L392,0),3)</f>
        <v/>
      </c>
      <c r="X392" s="16">
        <f>ROUND(X391+IF(AND(E392=28,F392&lt;&gt;"ASTM A416"),L392,0),3)</f>
        <v/>
      </c>
      <c r="Y392" s="16">
        <f>ROUND(Y391+IF(AND(E392=32,F392&lt;&gt;"ASTM A416"),L392,0),3)</f>
        <v/>
      </c>
      <c r="Z392" s="16">
        <f>ROUND(Z391+IF(F392="ASTM A416",L392,0),3)</f>
        <v/>
      </c>
      <c r="AA392" s="9">
        <f>IF(ROUNDUP(P392/20,0)&gt;ROUNDUP(P391/20,0),"Lần " &amp; ROUNDUP(P392/20,0),"")</f>
        <v/>
      </c>
      <c r="AB392" s="9">
        <f>IF(ROUNDUP(Q392/20,0)&gt;ROUNDUP(Q391/20,0),"Lần " &amp; ROUNDUP(Q392/20,0),"")</f>
        <v/>
      </c>
      <c r="AC392" s="9">
        <f>IF(ROUNDUP(R392/20,0)&gt;ROUNDUP(R391/20,0),"Lần " &amp; ROUNDUP(R392/20,0),"")</f>
        <v/>
      </c>
      <c r="AD392" s="9">
        <f>IF(ROUNDUP(S392/20,0)&gt;ROUNDUP(S391/20,0),"Lần " &amp; ROUNDUP(S392/20,0),"")</f>
        <v/>
      </c>
      <c r="AE392" s="9">
        <f>IF(ROUNDUP(T392/20,0)&gt;ROUNDUP(T391/20,0),"Lần " &amp; ROUNDUP(T392/20,0),"")</f>
        <v/>
      </c>
      <c r="AF392" s="9">
        <f>IF(ROUNDUP(U392/20,0)&gt;ROUNDUP(U391/20,0),"Lần " &amp; ROUNDUP(U392/20,0),"")</f>
        <v/>
      </c>
      <c r="AG392" s="9">
        <f>IF(ROUNDUP(V392/20,0)&gt;ROUNDUP(V391/20,0),"Lần " &amp; ROUNDUP(V392/20,0),"")</f>
        <v/>
      </c>
      <c r="AH392" s="9">
        <f>IF(ROUNDUP(W392/20,0)&gt;ROUNDUP(W391/20,0),"Lần " &amp; ROUNDUP(W392/20,0),"")</f>
        <v/>
      </c>
      <c r="AI392" s="9">
        <f>IF(ROUNDUP(X392/20,0)&gt;ROUNDUP(X391/20,0),"Lần " &amp; ROUNDUP(X392/20,0),"")</f>
        <v/>
      </c>
      <c r="AJ392" s="9">
        <f>IF(ROUNDUP(Y392/20,0)&gt;ROUNDUP(Y391/20,0),"Lần " &amp; ROUNDUP(Y392/20,0),"")</f>
        <v/>
      </c>
      <c r="AK392" s="9">
        <f>IF(ROUNDUP(Z392/20,0)&gt;ROUNDUP(Z391/20,0),"Lần " &amp; ROUNDUP(Z392/20,0),"")</f>
        <v/>
      </c>
      <c r="AL392" s="4" t="n"/>
      <c r="AN392" s="596" t="inlineStr">
        <is>
          <t>Coc</t>
        </is>
      </c>
      <c r="AO392" s="596" t="n">
        <v>27</v>
      </c>
      <c r="AQ392" s="594" t="n"/>
      <c r="AR392" s="595" t="n"/>
    </row>
    <row r="393" ht="19" customHeight="1" s="672">
      <c r="A393" s="4" t="n">
        <v>367</v>
      </c>
      <c r="B393" s="5" t="inlineStr">
        <is>
          <t>Cọc khoan nhồi C3 Mố M1 (D1.2m, L=20.0m)</t>
        </is>
      </c>
      <c r="C393" s="5" t="inlineStr">
        <is>
          <t>Cọc mố M1 L=20m (tr.64)</t>
        </is>
      </c>
      <c r="D393" s="14" t="inlineStr">
        <is>
          <t>P6</t>
        </is>
      </c>
      <c r="E393" s="15" t="n">
        <v>25</v>
      </c>
      <c r="F393" s="4" t="inlineStr">
        <is>
          <t>CB400-V</t>
        </is>
      </c>
      <c r="G393" s="5" t="inlineStr"/>
      <c r="H393" s="16" t="n">
        <v>10.433</v>
      </c>
      <c r="I393" s="17" t="n">
        <v>12</v>
      </c>
      <c r="J393" s="18" t="n">
        <v>3.853</v>
      </c>
      <c r="K393" s="7">
        <f>ROUND(H393*I393*J393, 2)</f>
        <v/>
      </c>
      <c r="L393" s="19">
        <f>ROUND(K393/1000, 3)</f>
        <v/>
      </c>
      <c r="M393" s="728">
        <f>IF(AO393="","",IF(N(INDEX(Theo_Doi_Tan_Suat_Be_Tong!$C:$C,AO393))&lt;=0,"",INDEX(Theo_Doi_Tan_Suat_Be_Tong!$C:$C,AO393)-VLOOKUP(AN393,$AQ$2:$AR$7,2,FALSE)))</f>
        <v/>
      </c>
      <c r="N393" s="4" t="n"/>
      <c r="O393" s="20">
        <f>IF(ROUNDUP(W393/20,0)&gt;ROUNDUP(W392/20,0),"TN Ø25 (Lần " &amp; ROUNDUP(W393/20,0) &amp; ")","")</f>
        <v/>
      </c>
      <c r="P393" s="16">
        <f>ROUND(P392+IF(AND(E393&lt;=10,F393&lt;&gt;"ASTM A416"),L393,0),3)</f>
        <v/>
      </c>
      <c r="Q393" s="16">
        <f>ROUND(Q392+IF(AND(E393=12,F393&lt;&gt;"ASTM A416"),L393,0),3)</f>
        <v/>
      </c>
      <c r="R393" s="16">
        <f>ROUND(R392+IF(AND(E393=14,F393&lt;&gt;"ASTM A416"),L393,0),3)</f>
        <v/>
      </c>
      <c r="S393" s="16">
        <f>ROUND(S392+IF(AND(E393=16,F393&lt;&gt;"ASTM A416"),L393,0),3)</f>
        <v/>
      </c>
      <c r="T393" s="16">
        <f>ROUND(T392+IF(AND(E393=18,F393&lt;&gt;"ASTM A416"),L393,0),3)</f>
        <v/>
      </c>
      <c r="U393" s="16">
        <f>ROUND(U392+IF(AND(E393=20,F393&lt;&gt;"ASTM A416"),L393,0),3)</f>
        <v/>
      </c>
      <c r="V393" s="16">
        <f>ROUND(V392+IF(AND(E393=22,F393&lt;&gt;"ASTM A416"),L393,0),3)</f>
        <v/>
      </c>
      <c r="W393" s="16">
        <f>ROUND(W392+IF(AND(E393=25,F393&lt;&gt;"ASTM A416"),L393,0),3)</f>
        <v/>
      </c>
      <c r="X393" s="16">
        <f>ROUND(X392+IF(AND(E393=28,F393&lt;&gt;"ASTM A416"),L393,0),3)</f>
        <v/>
      </c>
      <c r="Y393" s="16">
        <f>ROUND(Y392+IF(AND(E393=32,F393&lt;&gt;"ASTM A416"),L393,0),3)</f>
        <v/>
      </c>
      <c r="Z393" s="16">
        <f>ROUND(Z392+IF(F393="ASTM A416",L393,0),3)</f>
        <v/>
      </c>
      <c r="AA393" s="9">
        <f>IF(ROUNDUP(P393/20,0)&gt;ROUNDUP(P392/20,0),"Lần " &amp; ROUNDUP(P393/20,0),"")</f>
        <v/>
      </c>
      <c r="AB393" s="9">
        <f>IF(ROUNDUP(Q393/20,0)&gt;ROUNDUP(Q392/20,0),"Lần " &amp; ROUNDUP(Q393/20,0),"")</f>
        <v/>
      </c>
      <c r="AC393" s="9">
        <f>IF(ROUNDUP(R393/20,0)&gt;ROUNDUP(R392/20,0),"Lần " &amp; ROUNDUP(R393/20,0),"")</f>
        <v/>
      </c>
      <c r="AD393" s="9">
        <f>IF(ROUNDUP(S393/20,0)&gt;ROUNDUP(S392/20,0),"Lần " &amp; ROUNDUP(S393/20,0),"")</f>
        <v/>
      </c>
      <c r="AE393" s="9">
        <f>IF(ROUNDUP(T393/20,0)&gt;ROUNDUP(T392/20,0),"Lần " &amp; ROUNDUP(T393/20,0),"")</f>
        <v/>
      </c>
      <c r="AF393" s="9">
        <f>IF(ROUNDUP(U393/20,0)&gt;ROUNDUP(U392/20,0),"Lần " &amp; ROUNDUP(U393/20,0),"")</f>
        <v/>
      </c>
      <c r="AG393" s="9">
        <f>IF(ROUNDUP(V393/20,0)&gt;ROUNDUP(V392/20,0),"Lần " &amp; ROUNDUP(V393/20,0),"")</f>
        <v/>
      </c>
      <c r="AH393" s="9">
        <f>IF(ROUNDUP(W393/20,0)&gt;ROUNDUP(W392/20,0),"Lần " &amp; ROUNDUP(W393/20,0),"")</f>
        <v/>
      </c>
      <c r="AI393" s="9">
        <f>IF(ROUNDUP(X393/20,0)&gt;ROUNDUP(X392/20,0),"Lần " &amp; ROUNDUP(X393/20,0),"")</f>
        <v/>
      </c>
      <c r="AJ393" s="9">
        <f>IF(ROUNDUP(Y393/20,0)&gt;ROUNDUP(Y392/20,0),"Lần " &amp; ROUNDUP(Y393/20,0),"")</f>
        <v/>
      </c>
      <c r="AK393" s="9">
        <f>IF(ROUNDUP(Z393/20,0)&gt;ROUNDUP(Z392/20,0),"Lần " &amp; ROUNDUP(Z393/20,0),"")</f>
        <v/>
      </c>
      <c r="AL393" s="4" t="n"/>
      <c r="AN393" s="596" t="inlineStr">
        <is>
          <t>Coc</t>
        </is>
      </c>
      <c r="AO393" s="596" t="n">
        <v>27</v>
      </c>
      <c r="AQ393" s="594" t="n"/>
      <c r="AR393" s="595" t="n"/>
    </row>
    <row r="394" ht="19" customHeight="1" s="672">
      <c r="A394" s="4" t="n">
        <v>368</v>
      </c>
      <c r="B394" s="5" t="inlineStr">
        <is>
          <t>Cọc khoan nhồi C3 Mố M1 (D1.2m, L=20.0m)</t>
        </is>
      </c>
      <c r="C394" s="5" t="inlineStr">
        <is>
          <t>Cọc mố M1 L=20m (tr.64)</t>
        </is>
      </c>
      <c r="D394" s="14" t="inlineStr">
        <is>
          <t>P7</t>
        </is>
      </c>
      <c r="E394" s="15" t="n">
        <v>25</v>
      </c>
      <c r="F394" s="4" t="inlineStr">
        <is>
          <t>CB400-V</t>
        </is>
      </c>
      <c r="G394" s="5" t="inlineStr"/>
      <c r="H394" s="16" t="n">
        <v>11.433</v>
      </c>
      <c r="I394" s="17" t="n">
        <v>12</v>
      </c>
      <c r="J394" s="18" t="n">
        <v>3.853</v>
      </c>
      <c r="K394" s="7">
        <f>ROUND(H394*I394*J394, 2)</f>
        <v/>
      </c>
      <c r="L394" s="19">
        <f>ROUND(K394/1000, 3)</f>
        <v/>
      </c>
      <c r="M394" s="728">
        <f>IF(AO394="","",IF(N(INDEX(Theo_Doi_Tan_Suat_Be_Tong!$C:$C,AO394))&lt;=0,"",INDEX(Theo_Doi_Tan_Suat_Be_Tong!$C:$C,AO394)-VLOOKUP(AN394,$AQ$2:$AR$7,2,FALSE)))</f>
        <v/>
      </c>
      <c r="N394" s="4" t="n"/>
      <c r="O394" s="20">
        <f>IF(ROUNDUP(W394/20,0)&gt;ROUNDUP(W393/20,0),"TN Ø25 (Lần " &amp; ROUNDUP(W394/20,0) &amp; ")","")</f>
        <v/>
      </c>
      <c r="P394" s="16">
        <f>ROUND(P393+IF(AND(E394&lt;=10,F394&lt;&gt;"ASTM A416"),L394,0),3)</f>
        <v/>
      </c>
      <c r="Q394" s="16">
        <f>ROUND(Q393+IF(AND(E394=12,F394&lt;&gt;"ASTM A416"),L394,0),3)</f>
        <v/>
      </c>
      <c r="R394" s="16">
        <f>ROUND(R393+IF(AND(E394=14,F394&lt;&gt;"ASTM A416"),L394,0),3)</f>
        <v/>
      </c>
      <c r="S394" s="16">
        <f>ROUND(S393+IF(AND(E394=16,F394&lt;&gt;"ASTM A416"),L394,0),3)</f>
        <v/>
      </c>
      <c r="T394" s="16">
        <f>ROUND(T393+IF(AND(E394=18,F394&lt;&gt;"ASTM A416"),L394,0),3)</f>
        <v/>
      </c>
      <c r="U394" s="16">
        <f>ROUND(U393+IF(AND(E394=20,F394&lt;&gt;"ASTM A416"),L394,0),3)</f>
        <v/>
      </c>
      <c r="V394" s="16">
        <f>ROUND(V393+IF(AND(E394=22,F394&lt;&gt;"ASTM A416"),L394,0),3)</f>
        <v/>
      </c>
      <c r="W394" s="16">
        <f>ROUND(W393+IF(AND(E394=25,F394&lt;&gt;"ASTM A416"),L394,0),3)</f>
        <v/>
      </c>
      <c r="X394" s="16">
        <f>ROUND(X393+IF(AND(E394=28,F394&lt;&gt;"ASTM A416"),L394,0),3)</f>
        <v/>
      </c>
      <c r="Y394" s="16">
        <f>ROUND(Y393+IF(AND(E394=32,F394&lt;&gt;"ASTM A416"),L394,0),3)</f>
        <v/>
      </c>
      <c r="Z394" s="16">
        <f>ROUND(Z393+IF(F394="ASTM A416",L394,0),3)</f>
        <v/>
      </c>
      <c r="AA394" s="9">
        <f>IF(ROUNDUP(P394/20,0)&gt;ROUNDUP(P393/20,0),"Lần " &amp; ROUNDUP(P394/20,0),"")</f>
        <v/>
      </c>
      <c r="AB394" s="9">
        <f>IF(ROUNDUP(Q394/20,0)&gt;ROUNDUP(Q393/20,0),"Lần " &amp; ROUNDUP(Q394/20,0),"")</f>
        <v/>
      </c>
      <c r="AC394" s="9">
        <f>IF(ROUNDUP(R394/20,0)&gt;ROUNDUP(R393/20,0),"Lần " &amp; ROUNDUP(R394/20,0),"")</f>
        <v/>
      </c>
      <c r="AD394" s="9">
        <f>IF(ROUNDUP(S394/20,0)&gt;ROUNDUP(S393/20,0),"Lần " &amp; ROUNDUP(S394/20,0),"")</f>
        <v/>
      </c>
      <c r="AE394" s="9">
        <f>IF(ROUNDUP(T394/20,0)&gt;ROUNDUP(T393/20,0),"Lần " &amp; ROUNDUP(T394/20,0),"")</f>
        <v/>
      </c>
      <c r="AF394" s="9">
        <f>IF(ROUNDUP(U394/20,0)&gt;ROUNDUP(U393/20,0),"Lần " &amp; ROUNDUP(U394/20,0),"")</f>
        <v/>
      </c>
      <c r="AG394" s="9">
        <f>IF(ROUNDUP(V394/20,0)&gt;ROUNDUP(V393/20,0),"Lần " &amp; ROUNDUP(V394/20,0),"")</f>
        <v/>
      </c>
      <c r="AH394" s="9">
        <f>IF(ROUNDUP(W394/20,0)&gt;ROUNDUP(W393/20,0),"Lần " &amp; ROUNDUP(W394/20,0),"")</f>
        <v/>
      </c>
      <c r="AI394" s="9">
        <f>IF(ROUNDUP(X394/20,0)&gt;ROUNDUP(X393/20,0),"Lần " &amp; ROUNDUP(X394/20,0),"")</f>
        <v/>
      </c>
      <c r="AJ394" s="9">
        <f>IF(ROUNDUP(Y394/20,0)&gt;ROUNDUP(Y393/20,0),"Lần " &amp; ROUNDUP(Y394/20,0),"")</f>
        <v/>
      </c>
      <c r="AK394" s="9">
        <f>IF(ROUNDUP(Z394/20,0)&gt;ROUNDUP(Z393/20,0),"Lần " &amp; ROUNDUP(Z394/20,0),"")</f>
        <v/>
      </c>
      <c r="AL394" s="4" t="n"/>
      <c r="AN394" s="596" t="inlineStr">
        <is>
          <t>Coc</t>
        </is>
      </c>
      <c r="AO394" s="596" t="n">
        <v>27</v>
      </c>
      <c r="AQ394" s="594" t="n"/>
      <c r="AR394" s="595" t="n"/>
    </row>
    <row r="395" ht="20" customHeight="1" s="672">
      <c r="A395" s="4" t="n">
        <v>369</v>
      </c>
      <c r="B395" s="5" t="inlineStr">
        <is>
          <t>Cọc khoan nhồi C3 Mố M1 (D1.2m, L=20.0m)</t>
        </is>
      </c>
      <c r="C395" s="5" t="inlineStr">
        <is>
          <t>Cọc mố M1 L=20m (tr.64)</t>
        </is>
      </c>
      <c r="D395" s="14" t="inlineStr">
        <is>
          <t>P8</t>
        </is>
      </c>
      <c r="E395" s="15" t="n">
        <v>12</v>
      </c>
      <c r="F395" s="4" t="inlineStr">
        <is>
          <t>CB400-V</t>
        </is>
      </c>
      <c r="G395" s="5" t="inlineStr"/>
      <c r="H395" s="16" t="n">
        <v>0.647</v>
      </c>
      <c r="I395" s="17" t="n">
        <v>8</v>
      </c>
      <c r="J395" s="18" t="n">
        <v>0.888</v>
      </c>
      <c r="K395" s="7">
        <f>ROUND(H395*I395*J395, 2)</f>
        <v/>
      </c>
      <c r="L395" s="19">
        <f>ROUND(K395/1000, 3)</f>
        <v/>
      </c>
      <c r="M395" s="728">
        <f>IF(AO395="","",IF(N(INDEX(Theo_Doi_Tan_Suat_Be_Tong!$C:$C,AO395))&lt;=0,"",INDEX(Theo_Doi_Tan_Suat_Be_Tong!$C:$C,AO395)-VLOOKUP(AN395,$AQ$2:$AR$7,2,FALSE)))</f>
        <v/>
      </c>
      <c r="N395" s="4" t="n"/>
      <c r="O395" s="20">
        <f>IF(ROUNDUP(Q395/20,0)&gt;ROUNDUP(Q394/20,0),"TN Ø12 (Lần " &amp; ROUNDUP(Q395/20,0) &amp; ")","")</f>
        <v/>
      </c>
      <c r="P395" s="16">
        <f>ROUND(P394+IF(AND(E395&lt;=10,F395&lt;&gt;"ASTM A416"),L395,0),3)</f>
        <v/>
      </c>
      <c r="Q395" s="16">
        <f>ROUND(Q394+IF(AND(E395=12,F395&lt;&gt;"ASTM A416"),L395,0),3)</f>
        <v/>
      </c>
      <c r="R395" s="16">
        <f>ROUND(R394+IF(AND(E395=14,F395&lt;&gt;"ASTM A416"),L395,0),3)</f>
        <v/>
      </c>
      <c r="S395" s="16">
        <f>ROUND(S394+IF(AND(E395=16,F395&lt;&gt;"ASTM A416"),L395,0),3)</f>
        <v/>
      </c>
      <c r="T395" s="16">
        <f>ROUND(T394+IF(AND(E395=18,F395&lt;&gt;"ASTM A416"),L395,0),3)</f>
        <v/>
      </c>
      <c r="U395" s="16">
        <f>ROUND(U394+IF(AND(E395=20,F395&lt;&gt;"ASTM A416"),L395,0),3)</f>
        <v/>
      </c>
      <c r="V395" s="16">
        <f>ROUND(V394+IF(AND(E395=22,F395&lt;&gt;"ASTM A416"),L395,0),3)</f>
        <v/>
      </c>
      <c r="W395" s="16">
        <f>ROUND(W394+IF(AND(E395=25,F395&lt;&gt;"ASTM A416"),L395,0),3)</f>
        <v/>
      </c>
      <c r="X395" s="16">
        <f>ROUND(X394+IF(AND(E395=28,F395&lt;&gt;"ASTM A416"),L395,0),3)</f>
        <v/>
      </c>
      <c r="Y395" s="16">
        <f>ROUND(Y394+IF(AND(E395=32,F395&lt;&gt;"ASTM A416"),L395,0),3)</f>
        <v/>
      </c>
      <c r="Z395" s="16">
        <f>ROUND(Z394+IF(F395="ASTM A416",L395,0),3)</f>
        <v/>
      </c>
      <c r="AA395" s="9">
        <f>IF(ROUNDUP(P395/20,0)&gt;ROUNDUP(P394/20,0),"Lần " &amp; ROUNDUP(P395/20,0),"")</f>
        <v/>
      </c>
      <c r="AB395" s="9">
        <f>IF(ROUNDUP(Q395/20,0)&gt;ROUNDUP(Q394/20,0),"Lần " &amp; ROUNDUP(Q395/20,0),"")</f>
        <v/>
      </c>
      <c r="AC395" s="9">
        <f>IF(ROUNDUP(R395/20,0)&gt;ROUNDUP(R394/20,0),"Lần " &amp; ROUNDUP(R395/20,0),"")</f>
        <v/>
      </c>
      <c r="AD395" s="9">
        <f>IF(ROUNDUP(S395/20,0)&gt;ROUNDUP(S394/20,0),"Lần " &amp; ROUNDUP(S395/20,0),"")</f>
        <v/>
      </c>
      <c r="AE395" s="9">
        <f>IF(ROUNDUP(T395/20,0)&gt;ROUNDUP(T394/20,0),"Lần " &amp; ROUNDUP(T395/20,0),"")</f>
        <v/>
      </c>
      <c r="AF395" s="9">
        <f>IF(ROUNDUP(U395/20,0)&gt;ROUNDUP(U394/20,0),"Lần " &amp; ROUNDUP(U395/20,0),"")</f>
        <v/>
      </c>
      <c r="AG395" s="9">
        <f>IF(ROUNDUP(V395/20,0)&gt;ROUNDUP(V394/20,0),"Lần " &amp; ROUNDUP(V395/20,0),"")</f>
        <v/>
      </c>
      <c r="AH395" s="9">
        <f>IF(ROUNDUP(W395/20,0)&gt;ROUNDUP(W394/20,0),"Lần " &amp; ROUNDUP(W395/20,0),"")</f>
        <v/>
      </c>
      <c r="AI395" s="9">
        <f>IF(ROUNDUP(X395/20,0)&gt;ROUNDUP(X394/20,0),"Lần " &amp; ROUNDUP(X395/20,0),"")</f>
        <v/>
      </c>
      <c r="AJ395" s="9">
        <f>IF(ROUNDUP(Y395/20,0)&gt;ROUNDUP(Y394/20,0),"Lần " &amp; ROUNDUP(Y395/20,0),"")</f>
        <v/>
      </c>
      <c r="AK395" s="9">
        <f>IF(ROUNDUP(Z395/20,0)&gt;ROUNDUP(Z394/20,0),"Lần " &amp; ROUNDUP(Z395/20,0),"")</f>
        <v/>
      </c>
      <c r="AL395" s="4" t="n"/>
      <c r="AN395" s="596" t="inlineStr">
        <is>
          <t>Coc</t>
        </is>
      </c>
      <c r="AO395" s="596" t="n">
        <v>27</v>
      </c>
      <c r="AQ395" s="594" t="n"/>
      <c r="AR395" s="595" t="n"/>
    </row>
    <row r="396" ht="19" customHeight="1" s="672">
      <c r="A396" s="4" t="n">
        <v>370</v>
      </c>
      <c r="B396" s="5" t="inlineStr">
        <is>
          <t>Cọc khoan nhồi C3 Mố M1 (D1.2m, L=20.0m)</t>
        </is>
      </c>
      <c r="C396" s="5" t="inlineStr">
        <is>
          <t>Cọc mố M1 L=20m (tr.64)</t>
        </is>
      </c>
      <c r="D396" s="14" t="inlineStr">
        <is>
          <t>P9</t>
        </is>
      </c>
      <c r="E396" s="15" t="n">
        <v>12</v>
      </c>
      <c r="F396" s="4" t="inlineStr">
        <is>
          <t>CB400-V</t>
        </is>
      </c>
      <c r="G396" s="5" t="inlineStr"/>
      <c r="H396" s="16" t="n">
        <v>0.379</v>
      </c>
      <c r="I396" s="17" t="n">
        <v>24</v>
      </c>
      <c r="J396" s="18" t="n">
        <v>0.888</v>
      </c>
      <c r="K396" s="7">
        <f>ROUND(H396*I396*J396, 2)</f>
        <v/>
      </c>
      <c r="L396" s="19">
        <f>ROUND(K396/1000, 3)</f>
        <v/>
      </c>
      <c r="M396" s="728">
        <f>IF(AO396="","",IF(N(INDEX(Theo_Doi_Tan_Suat_Be_Tong!$C:$C,AO396))&lt;=0,"",INDEX(Theo_Doi_Tan_Suat_Be_Tong!$C:$C,AO396)-VLOOKUP(AN396,$AQ$2:$AR$7,2,FALSE)))</f>
        <v/>
      </c>
      <c r="N396" s="4" t="n"/>
      <c r="O396" s="20">
        <f>IF(ROUNDUP(Q396/20,0)&gt;ROUNDUP(Q395/20,0),"TN Ø12 (Lần " &amp; ROUNDUP(Q396/20,0) &amp; ")","")</f>
        <v/>
      </c>
      <c r="P396" s="16">
        <f>ROUND(P395+IF(AND(E396&lt;=10,F396&lt;&gt;"ASTM A416"),L396,0),3)</f>
        <v/>
      </c>
      <c r="Q396" s="16">
        <f>ROUND(Q395+IF(AND(E396=12,F396&lt;&gt;"ASTM A416"),L396,0),3)</f>
        <v/>
      </c>
      <c r="R396" s="16">
        <f>ROUND(R395+IF(AND(E396=14,F396&lt;&gt;"ASTM A416"),L396,0),3)</f>
        <v/>
      </c>
      <c r="S396" s="16">
        <f>ROUND(S395+IF(AND(E396=16,F396&lt;&gt;"ASTM A416"),L396,0),3)</f>
        <v/>
      </c>
      <c r="T396" s="16">
        <f>ROUND(T395+IF(AND(E396=18,F396&lt;&gt;"ASTM A416"),L396,0),3)</f>
        <v/>
      </c>
      <c r="U396" s="16">
        <f>ROUND(U395+IF(AND(E396=20,F396&lt;&gt;"ASTM A416"),L396,0),3)</f>
        <v/>
      </c>
      <c r="V396" s="16">
        <f>ROUND(V395+IF(AND(E396=22,F396&lt;&gt;"ASTM A416"),L396,0),3)</f>
        <v/>
      </c>
      <c r="W396" s="16">
        <f>ROUND(W395+IF(AND(E396=25,F396&lt;&gt;"ASTM A416"),L396,0),3)</f>
        <v/>
      </c>
      <c r="X396" s="16">
        <f>ROUND(X395+IF(AND(E396=28,F396&lt;&gt;"ASTM A416"),L396,0),3)</f>
        <v/>
      </c>
      <c r="Y396" s="16">
        <f>ROUND(Y395+IF(AND(E396=32,F396&lt;&gt;"ASTM A416"),L396,0),3)</f>
        <v/>
      </c>
      <c r="Z396" s="16">
        <f>ROUND(Z395+IF(F396="ASTM A416",L396,0),3)</f>
        <v/>
      </c>
      <c r="AA396" s="9">
        <f>IF(ROUNDUP(P396/20,0)&gt;ROUNDUP(P395/20,0),"Lần " &amp; ROUNDUP(P396/20,0),"")</f>
        <v/>
      </c>
      <c r="AB396" s="9">
        <f>IF(ROUNDUP(Q396/20,0)&gt;ROUNDUP(Q395/20,0),"Lần " &amp; ROUNDUP(Q396/20,0),"")</f>
        <v/>
      </c>
      <c r="AC396" s="9">
        <f>IF(ROUNDUP(R396/20,0)&gt;ROUNDUP(R395/20,0),"Lần " &amp; ROUNDUP(R396/20,0),"")</f>
        <v/>
      </c>
      <c r="AD396" s="9">
        <f>IF(ROUNDUP(S396/20,0)&gt;ROUNDUP(S395/20,0),"Lần " &amp; ROUNDUP(S396/20,0),"")</f>
        <v/>
      </c>
      <c r="AE396" s="9">
        <f>IF(ROUNDUP(T396/20,0)&gt;ROUNDUP(T395/20,0),"Lần " &amp; ROUNDUP(T396/20,0),"")</f>
        <v/>
      </c>
      <c r="AF396" s="9">
        <f>IF(ROUNDUP(U396/20,0)&gt;ROUNDUP(U395/20,0),"Lần " &amp; ROUNDUP(U396/20,0),"")</f>
        <v/>
      </c>
      <c r="AG396" s="9">
        <f>IF(ROUNDUP(V396/20,0)&gt;ROUNDUP(V395/20,0),"Lần " &amp; ROUNDUP(V396/20,0),"")</f>
        <v/>
      </c>
      <c r="AH396" s="9">
        <f>IF(ROUNDUP(W396/20,0)&gt;ROUNDUP(W395/20,0),"Lần " &amp; ROUNDUP(W396/20,0),"")</f>
        <v/>
      </c>
      <c r="AI396" s="9">
        <f>IF(ROUNDUP(X396/20,0)&gt;ROUNDUP(X395/20,0),"Lần " &amp; ROUNDUP(X396/20,0),"")</f>
        <v/>
      </c>
      <c r="AJ396" s="9">
        <f>IF(ROUNDUP(Y396/20,0)&gt;ROUNDUP(Y395/20,0),"Lần " &amp; ROUNDUP(Y396/20,0),"")</f>
        <v/>
      </c>
      <c r="AK396" s="9">
        <f>IF(ROUNDUP(Z396/20,0)&gt;ROUNDUP(Z395/20,0),"Lần " &amp; ROUNDUP(Z396/20,0),"")</f>
        <v/>
      </c>
      <c r="AL396" s="4" t="n"/>
      <c r="AN396" s="596" t="inlineStr">
        <is>
          <t>Coc</t>
        </is>
      </c>
      <c r="AO396" s="596" t="n">
        <v>27</v>
      </c>
      <c r="AQ396" s="594" t="n"/>
      <c r="AR396" s="595" t="n"/>
    </row>
    <row r="397" ht="19" customHeight="1" s="672">
      <c r="A397" s="4" t="n">
        <v>371</v>
      </c>
      <c r="B397" s="5" t="inlineStr">
        <is>
          <t>Cọc khoan nhồi C3 Mố M1 (D1.2m, L=20.0m)</t>
        </is>
      </c>
      <c r="C397" s="5" t="inlineStr">
        <is>
          <t>Cọc mố M1 L=20m (tr.64)</t>
        </is>
      </c>
      <c r="D397" s="14" t="inlineStr">
        <is>
          <t>P10</t>
        </is>
      </c>
      <c r="E397" s="15" t="n">
        <v>20</v>
      </c>
      <c r="F397" s="4" t="inlineStr">
        <is>
          <t>CB400-V</t>
        </is>
      </c>
      <c r="G397" s="5" t="inlineStr"/>
      <c r="H397" s="16" t="n">
        <v>2.057</v>
      </c>
      <c r="I397" s="17" t="n">
        <v>1</v>
      </c>
      <c r="J397" s="18" t="n">
        <v>2.466</v>
      </c>
      <c r="K397" s="7">
        <f>ROUND(H397*I397*J397, 2)</f>
        <v/>
      </c>
      <c r="L397" s="19">
        <f>ROUND(K397/1000, 3)</f>
        <v/>
      </c>
      <c r="M397" s="728">
        <f>IF(AO397="","",IF(N(INDEX(Theo_Doi_Tan_Suat_Be_Tong!$C:$C,AO397))&lt;=0,"",INDEX(Theo_Doi_Tan_Suat_Be_Tong!$C:$C,AO397)-VLOOKUP(AN397,$AQ$2:$AR$7,2,FALSE)))</f>
        <v/>
      </c>
      <c r="N397" s="4" t="n"/>
      <c r="O397" s="20">
        <f>IF(ROUNDUP(U397/20,0)&gt;ROUNDUP(U396/20,0),"TN Ø20 (Lần " &amp; ROUNDUP(U397/20,0) &amp; ")","")</f>
        <v/>
      </c>
      <c r="P397" s="16">
        <f>ROUND(P396+IF(AND(E397&lt;=10,F397&lt;&gt;"ASTM A416"),L397,0),3)</f>
        <v/>
      </c>
      <c r="Q397" s="16">
        <f>ROUND(Q396+IF(AND(E397=12,F397&lt;&gt;"ASTM A416"),L397,0),3)</f>
        <v/>
      </c>
      <c r="R397" s="16">
        <f>ROUND(R396+IF(AND(E397=14,F397&lt;&gt;"ASTM A416"),L397,0),3)</f>
        <v/>
      </c>
      <c r="S397" s="16">
        <f>ROUND(S396+IF(AND(E397=16,F397&lt;&gt;"ASTM A416"),L397,0),3)</f>
        <v/>
      </c>
      <c r="T397" s="16">
        <f>ROUND(T396+IF(AND(E397=18,F397&lt;&gt;"ASTM A416"),L397,0),3)</f>
        <v/>
      </c>
      <c r="U397" s="16">
        <f>ROUND(U396+IF(AND(E397=20,F397&lt;&gt;"ASTM A416"),L397,0),3)</f>
        <v/>
      </c>
      <c r="V397" s="16">
        <f>ROUND(V396+IF(AND(E397=22,F397&lt;&gt;"ASTM A416"),L397,0),3)</f>
        <v/>
      </c>
      <c r="W397" s="16">
        <f>ROUND(W396+IF(AND(E397=25,F397&lt;&gt;"ASTM A416"),L397,0),3)</f>
        <v/>
      </c>
      <c r="X397" s="16">
        <f>ROUND(X396+IF(AND(E397=28,F397&lt;&gt;"ASTM A416"),L397,0),3)</f>
        <v/>
      </c>
      <c r="Y397" s="16">
        <f>ROUND(Y396+IF(AND(E397=32,F397&lt;&gt;"ASTM A416"),L397,0),3)</f>
        <v/>
      </c>
      <c r="Z397" s="16">
        <f>ROUND(Z396+IF(F397="ASTM A416",L397,0),3)</f>
        <v/>
      </c>
      <c r="AA397" s="9">
        <f>IF(ROUNDUP(P397/20,0)&gt;ROUNDUP(P396/20,0),"Lần " &amp; ROUNDUP(P397/20,0),"")</f>
        <v/>
      </c>
      <c r="AB397" s="9">
        <f>IF(ROUNDUP(Q397/20,0)&gt;ROUNDUP(Q396/20,0),"Lần " &amp; ROUNDUP(Q397/20,0),"")</f>
        <v/>
      </c>
      <c r="AC397" s="9">
        <f>IF(ROUNDUP(R397/20,0)&gt;ROUNDUP(R396/20,0),"Lần " &amp; ROUNDUP(R397/20,0),"")</f>
        <v/>
      </c>
      <c r="AD397" s="9">
        <f>IF(ROUNDUP(S397/20,0)&gt;ROUNDUP(S396/20,0),"Lần " &amp; ROUNDUP(S397/20,0),"")</f>
        <v/>
      </c>
      <c r="AE397" s="9">
        <f>IF(ROUNDUP(T397/20,0)&gt;ROUNDUP(T396/20,0),"Lần " &amp; ROUNDUP(T397/20,0),"")</f>
        <v/>
      </c>
      <c r="AF397" s="9">
        <f>IF(ROUNDUP(U397/20,0)&gt;ROUNDUP(U396/20,0),"Lần " &amp; ROUNDUP(U397/20,0),"")</f>
        <v/>
      </c>
      <c r="AG397" s="9">
        <f>IF(ROUNDUP(V397/20,0)&gt;ROUNDUP(V396/20,0),"Lần " &amp; ROUNDUP(V397/20,0),"")</f>
        <v/>
      </c>
      <c r="AH397" s="9">
        <f>IF(ROUNDUP(W397/20,0)&gt;ROUNDUP(W396/20,0),"Lần " &amp; ROUNDUP(W397/20,0),"")</f>
        <v/>
      </c>
      <c r="AI397" s="9">
        <f>IF(ROUNDUP(X397/20,0)&gt;ROUNDUP(X396/20,0),"Lần " &amp; ROUNDUP(X397/20,0),"")</f>
        <v/>
      </c>
      <c r="AJ397" s="9">
        <f>IF(ROUNDUP(Y397/20,0)&gt;ROUNDUP(Y396/20,0),"Lần " &amp; ROUNDUP(Y397/20,0),"")</f>
        <v/>
      </c>
      <c r="AK397" s="9">
        <f>IF(ROUNDUP(Z397/20,0)&gt;ROUNDUP(Z396/20,0),"Lần " &amp; ROUNDUP(Z397/20,0),"")</f>
        <v/>
      </c>
      <c r="AL397" s="4" t="n"/>
      <c r="AN397" s="596" t="inlineStr">
        <is>
          <t>Coc</t>
        </is>
      </c>
      <c r="AO397" s="596" t="n">
        <v>27</v>
      </c>
      <c r="AQ397" s="594" t="n"/>
      <c r="AR397" s="595" t="n"/>
    </row>
    <row r="398" ht="19" customHeight="1" s="672">
      <c r="A398" s="4" t="n">
        <v>372</v>
      </c>
      <c r="B398" s="5" t="inlineStr">
        <is>
          <t>Cọc khoan nhồi C3 Mố M1 (D1.2m, L=20.0m)</t>
        </is>
      </c>
      <c r="C398" s="5" t="inlineStr">
        <is>
          <t>Cọc mố M1 L=20m (tr.64)</t>
        </is>
      </c>
      <c r="D398" s="14" t="inlineStr">
        <is>
          <t>P12</t>
        </is>
      </c>
      <c r="E398" s="15" t="n">
        <v>20</v>
      </c>
      <c r="F398" s="4" t="inlineStr">
        <is>
          <t>CB400-V</t>
        </is>
      </c>
      <c r="G398" s="5" t="inlineStr"/>
      <c r="H398" s="16" t="n">
        <v>0.583</v>
      </c>
      <c r="I398" s="17" t="n">
        <v>32</v>
      </c>
      <c r="J398" s="18" t="n">
        <v>2.466</v>
      </c>
      <c r="K398" s="7">
        <f>ROUND(H398*I398*J398, 2)</f>
        <v/>
      </c>
      <c r="L398" s="19">
        <f>ROUND(K398/1000, 3)</f>
        <v/>
      </c>
      <c r="M398" s="728">
        <f>IF(AO398="","",IF(N(INDEX(Theo_Doi_Tan_Suat_Be_Tong!$C:$C,AO398))&lt;=0,"",INDEX(Theo_Doi_Tan_Suat_Be_Tong!$C:$C,AO398)-VLOOKUP(AN398,$AQ$2:$AR$7,2,FALSE)))</f>
        <v/>
      </c>
      <c r="N398" s="4" t="n"/>
      <c r="O398" s="20">
        <f>IF(ROUNDUP(U398/20,0)&gt;ROUNDUP(U397/20,0),"TN Ø20 (Lần " &amp; ROUNDUP(U398/20,0) &amp; ")","")</f>
        <v/>
      </c>
      <c r="P398" s="16">
        <f>ROUND(P397+IF(AND(E398&lt;=10,F398&lt;&gt;"ASTM A416"),L398,0),3)</f>
        <v/>
      </c>
      <c r="Q398" s="16">
        <f>ROUND(Q397+IF(AND(E398=12,F398&lt;&gt;"ASTM A416"),L398,0),3)</f>
        <v/>
      </c>
      <c r="R398" s="16">
        <f>ROUND(R397+IF(AND(E398=14,F398&lt;&gt;"ASTM A416"),L398,0),3)</f>
        <v/>
      </c>
      <c r="S398" s="16">
        <f>ROUND(S397+IF(AND(E398=16,F398&lt;&gt;"ASTM A416"),L398,0),3)</f>
        <v/>
      </c>
      <c r="T398" s="16">
        <f>ROUND(T397+IF(AND(E398=18,F398&lt;&gt;"ASTM A416"),L398,0),3)</f>
        <v/>
      </c>
      <c r="U398" s="16">
        <f>ROUND(U397+IF(AND(E398=20,F398&lt;&gt;"ASTM A416"),L398,0),3)</f>
        <v/>
      </c>
      <c r="V398" s="16">
        <f>ROUND(V397+IF(AND(E398=22,F398&lt;&gt;"ASTM A416"),L398,0),3)</f>
        <v/>
      </c>
      <c r="W398" s="16">
        <f>ROUND(W397+IF(AND(E398=25,F398&lt;&gt;"ASTM A416"),L398,0),3)</f>
        <v/>
      </c>
      <c r="X398" s="16">
        <f>ROUND(X397+IF(AND(E398=28,F398&lt;&gt;"ASTM A416"),L398,0),3)</f>
        <v/>
      </c>
      <c r="Y398" s="16">
        <f>ROUND(Y397+IF(AND(E398=32,F398&lt;&gt;"ASTM A416"),L398,0),3)</f>
        <v/>
      </c>
      <c r="Z398" s="16">
        <f>ROUND(Z397+IF(F398="ASTM A416",L398,0),3)</f>
        <v/>
      </c>
      <c r="AA398" s="9">
        <f>IF(ROUNDUP(P398/20,0)&gt;ROUNDUP(P397/20,0),"Lần " &amp; ROUNDUP(P398/20,0),"")</f>
        <v/>
      </c>
      <c r="AB398" s="9">
        <f>IF(ROUNDUP(Q398/20,0)&gt;ROUNDUP(Q397/20,0),"Lần " &amp; ROUNDUP(Q398/20,0),"")</f>
        <v/>
      </c>
      <c r="AC398" s="9">
        <f>IF(ROUNDUP(R398/20,0)&gt;ROUNDUP(R397/20,0),"Lần " &amp; ROUNDUP(R398/20,0),"")</f>
        <v/>
      </c>
      <c r="AD398" s="9">
        <f>IF(ROUNDUP(S398/20,0)&gt;ROUNDUP(S397/20,0),"Lần " &amp; ROUNDUP(S398/20,0),"")</f>
        <v/>
      </c>
      <c r="AE398" s="9">
        <f>IF(ROUNDUP(T398/20,0)&gt;ROUNDUP(T397/20,0),"Lần " &amp; ROUNDUP(T398/20,0),"")</f>
        <v/>
      </c>
      <c r="AF398" s="9">
        <f>IF(ROUNDUP(U398/20,0)&gt;ROUNDUP(U397/20,0),"Lần " &amp; ROUNDUP(U398/20,0),"")</f>
        <v/>
      </c>
      <c r="AG398" s="9">
        <f>IF(ROUNDUP(V398/20,0)&gt;ROUNDUP(V397/20,0),"Lần " &amp; ROUNDUP(V398/20,0),"")</f>
        <v/>
      </c>
      <c r="AH398" s="9">
        <f>IF(ROUNDUP(W398/20,0)&gt;ROUNDUP(W397/20,0),"Lần " &amp; ROUNDUP(W398/20,0),"")</f>
        <v/>
      </c>
      <c r="AI398" s="9">
        <f>IF(ROUNDUP(X398/20,0)&gt;ROUNDUP(X397/20,0),"Lần " &amp; ROUNDUP(X398/20,0),"")</f>
        <v/>
      </c>
      <c r="AJ398" s="9">
        <f>IF(ROUNDUP(Y398/20,0)&gt;ROUNDUP(Y397/20,0),"Lần " &amp; ROUNDUP(Y398/20,0),"")</f>
        <v/>
      </c>
      <c r="AK398" s="9">
        <f>IF(ROUNDUP(Z398/20,0)&gt;ROUNDUP(Z397/20,0),"Lần " &amp; ROUNDUP(Z398/20,0),"")</f>
        <v/>
      </c>
      <c r="AL398" s="4" t="n"/>
      <c r="AN398" s="596" t="inlineStr">
        <is>
          <t>Coc</t>
        </is>
      </c>
      <c r="AO398" s="596" t="n">
        <v>27</v>
      </c>
      <c r="AQ398" s="594" t="n"/>
      <c r="AR398" s="595" t="n"/>
    </row>
    <row r="399" ht="19" customHeight="1" s="672">
      <c r="A399" s="4" t="n">
        <v>373</v>
      </c>
      <c r="B399" s="5" t="inlineStr">
        <is>
          <t>Cọc khoan nhồi C3 Mố M1 (D1.2m, L=20.0m)</t>
        </is>
      </c>
      <c r="C399" s="5" t="inlineStr">
        <is>
          <t>Cọc mố M1 L=20m (tr.64)</t>
        </is>
      </c>
      <c r="D399" s="14" t="inlineStr">
        <is>
          <t>P11</t>
        </is>
      </c>
      <c r="E399" s="15" t="n">
        <v>16</v>
      </c>
      <c r="F399" s="4" t="inlineStr">
        <is>
          <t>CB400-V</t>
        </is>
      </c>
      <c r="G399" s="5" t="inlineStr"/>
      <c r="H399" s="16" t="n">
        <v>2.604</v>
      </c>
      <c r="I399" s="17" t="n">
        <v>4</v>
      </c>
      <c r="J399" s="18" t="n">
        <v>1.578</v>
      </c>
      <c r="K399" s="7">
        <f>ROUND(H399*I399*J399, 2)</f>
        <v/>
      </c>
      <c r="L399" s="19">
        <f>ROUND(K399/1000, 3)</f>
        <v/>
      </c>
      <c r="M399" s="728">
        <f>IF(AO399="","",IF(N(INDEX(Theo_Doi_Tan_Suat_Be_Tong!$C:$C,AO399))&lt;=0,"",INDEX(Theo_Doi_Tan_Suat_Be_Tong!$C:$C,AO399)-VLOOKUP(AN399,$AQ$2:$AR$7,2,FALSE)))</f>
        <v/>
      </c>
      <c r="N399" s="4" t="n"/>
      <c r="O399" s="20">
        <f>IF(ROUNDUP(S399/20,0)&gt;ROUNDUP(S398/20,0),"TN Ø16 (Lần " &amp; ROUNDUP(S399/20,0) &amp; ")","")</f>
        <v/>
      </c>
      <c r="P399" s="16">
        <f>ROUND(P398+IF(AND(E399&lt;=10,F399&lt;&gt;"ASTM A416"),L399,0),3)</f>
        <v/>
      </c>
      <c r="Q399" s="16">
        <f>ROUND(Q398+IF(AND(E399=12,F399&lt;&gt;"ASTM A416"),L399,0),3)</f>
        <v/>
      </c>
      <c r="R399" s="16">
        <f>ROUND(R398+IF(AND(E399=14,F399&lt;&gt;"ASTM A416"),L399,0),3)</f>
        <v/>
      </c>
      <c r="S399" s="16">
        <f>ROUND(S398+IF(AND(E399=16,F399&lt;&gt;"ASTM A416"),L399,0),3)</f>
        <v/>
      </c>
      <c r="T399" s="16">
        <f>ROUND(T398+IF(AND(E399=18,F399&lt;&gt;"ASTM A416"),L399,0),3)</f>
        <v/>
      </c>
      <c r="U399" s="16">
        <f>ROUND(U398+IF(AND(E399=20,F399&lt;&gt;"ASTM A416"),L399,0),3)</f>
        <v/>
      </c>
      <c r="V399" s="16">
        <f>ROUND(V398+IF(AND(E399=22,F399&lt;&gt;"ASTM A416"),L399,0),3)</f>
        <v/>
      </c>
      <c r="W399" s="16">
        <f>ROUND(W398+IF(AND(E399=25,F399&lt;&gt;"ASTM A416"),L399,0),3)</f>
        <v/>
      </c>
      <c r="X399" s="16">
        <f>ROUND(X398+IF(AND(E399=28,F399&lt;&gt;"ASTM A416"),L399,0),3)</f>
        <v/>
      </c>
      <c r="Y399" s="16">
        <f>ROUND(Y398+IF(AND(E399=32,F399&lt;&gt;"ASTM A416"),L399,0),3)</f>
        <v/>
      </c>
      <c r="Z399" s="16">
        <f>ROUND(Z398+IF(F399="ASTM A416",L399,0),3)</f>
        <v/>
      </c>
      <c r="AA399" s="9">
        <f>IF(ROUNDUP(P399/20,0)&gt;ROUNDUP(P398/20,0),"Lần " &amp; ROUNDUP(P399/20,0),"")</f>
        <v/>
      </c>
      <c r="AB399" s="9">
        <f>IF(ROUNDUP(Q399/20,0)&gt;ROUNDUP(Q398/20,0),"Lần " &amp; ROUNDUP(Q399/20,0),"")</f>
        <v/>
      </c>
      <c r="AC399" s="9">
        <f>IF(ROUNDUP(R399/20,0)&gt;ROUNDUP(R398/20,0),"Lần " &amp; ROUNDUP(R399/20,0),"")</f>
        <v/>
      </c>
      <c r="AD399" s="9">
        <f>IF(ROUNDUP(S399/20,0)&gt;ROUNDUP(S398/20,0),"Lần " &amp; ROUNDUP(S399/20,0),"")</f>
        <v/>
      </c>
      <c r="AE399" s="9">
        <f>IF(ROUNDUP(T399/20,0)&gt;ROUNDUP(T398/20,0),"Lần " &amp; ROUNDUP(T399/20,0),"")</f>
        <v/>
      </c>
      <c r="AF399" s="9">
        <f>IF(ROUNDUP(U399/20,0)&gt;ROUNDUP(U398/20,0),"Lần " &amp; ROUNDUP(U399/20,0),"")</f>
        <v/>
      </c>
      <c r="AG399" s="9">
        <f>IF(ROUNDUP(V399/20,0)&gt;ROUNDUP(V398/20,0),"Lần " &amp; ROUNDUP(V399/20,0),"")</f>
        <v/>
      </c>
      <c r="AH399" s="9">
        <f>IF(ROUNDUP(W399/20,0)&gt;ROUNDUP(W398/20,0),"Lần " &amp; ROUNDUP(W399/20,0),"")</f>
        <v/>
      </c>
      <c r="AI399" s="9">
        <f>IF(ROUNDUP(X399/20,0)&gt;ROUNDUP(X398/20,0),"Lần " &amp; ROUNDUP(X399/20,0),"")</f>
        <v/>
      </c>
      <c r="AJ399" s="9">
        <f>IF(ROUNDUP(Y399/20,0)&gt;ROUNDUP(Y398/20,0),"Lần " &amp; ROUNDUP(Y399/20,0),"")</f>
        <v/>
      </c>
      <c r="AK399" s="9">
        <f>IF(ROUNDUP(Z399/20,0)&gt;ROUNDUP(Z398/20,0),"Lần " &amp; ROUNDUP(Z399/20,0),"")</f>
        <v/>
      </c>
      <c r="AL399" s="4" t="n"/>
      <c r="AN399" s="596" t="inlineStr">
        <is>
          <t>Coc</t>
        </is>
      </c>
      <c r="AO399" s="596" t="n">
        <v>27</v>
      </c>
      <c r="AQ399" s="594" t="n"/>
      <c r="AR399" s="595" t="n"/>
    </row>
    <row r="400" ht="19" customHeight="1" s="672">
      <c r="A400" s="668" t="inlineStr">
        <is>
          <t>--- CỌC KHOAN NHỒI C1 MỐ M1 (D1.2M, L=20.0M) ---</t>
        </is>
      </c>
      <c r="B400" s="722" t="n"/>
      <c r="C400" s="722" t="n"/>
      <c r="D400" s="722" t="n"/>
      <c r="E400" s="722" t="n"/>
      <c r="F400" s="722" t="n"/>
      <c r="G400" s="722" t="n"/>
      <c r="H400" s="722" t="n"/>
      <c r="I400" s="722" t="n"/>
      <c r="J400" s="722" t="n"/>
      <c r="K400" s="722" t="n"/>
      <c r="L400" s="722" t="n"/>
      <c r="M400" s="722" t="n"/>
      <c r="N400" s="722" t="n"/>
      <c r="O400" s="722" t="n"/>
      <c r="P400" s="722" t="n"/>
      <c r="Q400" s="722" t="n"/>
      <c r="R400" s="722" t="n"/>
      <c r="S400" s="722" t="n"/>
      <c r="T400" s="722" t="n"/>
      <c r="U400" s="722" t="n"/>
      <c r="V400" s="722" t="n"/>
      <c r="W400" s="722" t="n"/>
      <c r="X400" s="722" t="n"/>
      <c r="Y400" s="722" t="n"/>
      <c r="Z400" s="722" t="n"/>
      <c r="AA400" s="722" t="n"/>
      <c r="AB400" s="722" t="n"/>
      <c r="AC400" s="722" t="n"/>
      <c r="AD400" s="722" t="n"/>
      <c r="AE400" s="722" t="n"/>
      <c r="AF400" s="722" t="n"/>
      <c r="AG400" s="722" t="n"/>
      <c r="AH400" s="722" t="n"/>
      <c r="AI400" s="722" t="n"/>
      <c r="AJ400" s="722" t="n"/>
      <c r="AK400" s="722" t="n"/>
      <c r="AL400" s="721" t="n"/>
      <c r="AQ400" s="594" t="n"/>
      <c r="AR400" s="595" t="n"/>
    </row>
    <row r="401" ht="19" customHeight="1" s="672">
      <c r="A401" s="4" t="n">
        <v>374</v>
      </c>
      <c r="B401" s="5" t="inlineStr">
        <is>
          <t>Cọc khoan nhồi C1 Mố M1 (D1.2m, L=20.0m)</t>
        </is>
      </c>
      <c r="C401" s="5" t="inlineStr">
        <is>
          <t>Cọc mố M1 L=20m (tr.64)</t>
        </is>
      </c>
      <c r="D401" s="14" t="inlineStr">
        <is>
          <t>P1</t>
        </is>
      </c>
      <c r="E401" s="15" t="n">
        <v>10</v>
      </c>
      <c r="F401" s="4" t="inlineStr">
        <is>
          <t>CB240-T</t>
        </is>
      </c>
      <c r="G401" s="5" t="inlineStr"/>
      <c r="H401" s="16" t="n">
        <v>96.604</v>
      </c>
      <c r="I401" s="17" t="n">
        <v>1</v>
      </c>
      <c r="J401" s="18" t="n">
        <v>0.617</v>
      </c>
      <c r="K401" s="7">
        <f>ROUND(H401*I401*J401, 2)</f>
        <v/>
      </c>
      <c r="L401" s="19">
        <f>ROUND(K401/1000, 3)</f>
        <v/>
      </c>
      <c r="M401" s="728">
        <f>IF(AO401="","",IF(N(INDEX(Theo_Doi_Tan_Suat_Be_Tong!$C:$C,AO401))&lt;=0,"",INDEX(Theo_Doi_Tan_Suat_Be_Tong!$C:$C,AO401)-VLOOKUP(AN401,$AQ$2:$AR$7,2,FALSE)))</f>
        <v/>
      </c>
      <c r="N401" s="4" t="n"/>
      <c r="O401" s="20">
        <f>IF(ROUNDUP(P401/20,0)&gt;ROUNDUP(P399/20,0),"TN Ø10 (Lần " &amp; ROUNDUP(P401/20,0) &amp; ")","")</f>
        <v/>
      </c>
      <c r="P401" s="16">
        <f>ROUND(P399+IF(AND(E401&lt;=10,F401&lt;&gt;"ASTM A416"),L401,0),3)</f>
        <v/>
      </c>
      <c r="Q401" s="16">
        <f>ROUND(Q399+IF(AND(E401=12,F401&lt;&gt;"ASTM A416"),L401,0),3)</f>
        <v/>
      </c>
      <c r="R401" s="16">
        <f>ROUND(R399+IF(AND(E401=14,F401&lt;&gt;"ASTM A416"),L401,0),3)</f>
        <v/>
      </c>
      <c r="S401" s="16">
        <f>ROUND(S399+IF(AND(E401=16,F401&lt;&gt;"ASTM A416"),L401,0),3)</f>
        <v/>
      </c>
      <c r="T401" s="16">
        <f>ROUND(T399+IF(AND(E401=18,F401&lt;&gt;"ASTM A416"),L401,0),3)</f>
        <v/>
      </c>
      <c r="U401" s="16">
        <f>ROUND(U399+IF(AND(E401=20,F401&lt;&gt;"ASTM A416"),L401,0),3)</f>
        <v/>
      </c>
      <c r="V401" s="16">
        <f>ROUND(V399+IF(AND(E401=22,F401&lt;&gt;"ASTM A416"),L401,0),3)</f>
        <v/>
      </c>
      <c r="W401" s="16">
        <f>ROUND(W399+IF(AND(E401=25,F401&lt;&gt;"ASTM A416"),L401,0),3)</f>
        <v/>
      </c>
      <c r="X401" s="16">
        <f>ROUND(X399+IF(AND(E401=28,F401&lt;&gt;"ASTM A416"),L401,0),3)</f>
        <v/>
      </c>
      <c r="Y401" s="16">
        <f>ROUND(Y399+IF(AND(E401=32,F401&lt;&gt;"ASTM A416"),L401,0),3)</f>
        <v/>
      </c>
      <c r="Z401" s="16">
        <f>ROUND(Z399+IF(F401="ASTM A416",L401,0),3)</f>
        <v/>
      </c>
      <c r="AA401" s="9">
        <f>IF(ROUNDUP(P401/20,0)&gt;ROUNDUP(P399/20,0),"Lần " &amp; ROUNDUP(P401/20,0),"")</f>
        <v/>
      </c>
      <c r="AB401" s="9">
        <f>IF(ROUNDUP(Q401/20,0)&gt;ROUNDUP(Q399/20,0),"Lần " &amp; ROUNDUP(Q401/20,0),"")</f>
        <v/>
      </c>
      <c r="AC401" s="9">
        <f>IF(ROUNDUP(R401/20,0)&gt;ROUNDUP(R399/20,0),"Lần " &amp; ROUNDUP(R401/20,0),"")</f>
        <v/>
      </c>
      <c r="AD401" s="9">
        <f>IF(ROUNDUP(S401/20,0)&gt;ROUNDUP(S399/20,0),"Lần " &amp; ROUNDUP(S401/20,0),"")</f>
        <v/>
      </c>
      <c r="AE401" s="9">
        <f>IF(ROUNDUP(T401/20,0)&gt;ROUNDUP(T399/20,0),"Lần " &amp; ROUNDUP(T401/20,0),"")</f>
        <v/>
      </c>
      <c r="AF401" s="9">
        <f>IF(ROUNDUP(U401/20,0)&gt;ROUNDUP(U399/20,0),"Lần " &amp; ROUNDUP(U401/20,0),"")</f>
        <v/>
      </c>
      <c r="AG401" s="9">
        <f>IF(ROUNDUP(V401/20,0)&gt;ROUNDUP(V399/20,0),"Lần " &amp; ROUNDUP(V401/20,0),"")</f>
        <v/>
      </c>
      <c r="AH401" s="9">
        <f>IF(ROUNDUP(W401/20,0)&gt;ROUNDUP(W399/20,0),"Lần " &amp; ROUNDUP(W401/20,0),"")</f>
        <v/>
      </c>
      <c r="AI401" s="9">
        <f>IF(ROUNDUP(X401/20,0)&gt;ROUNDUP(X399/20,0),"Lần " &amp; ROUNDUP(X401/20,0),"")</f>
        <v/>
      </c>
      <c r="AJ401" s="9">
        <f>IF(ROUNDUP(Y401/20,0)&gt;ROUNDUP(Y399/20,0),"Lần " &amp; ROUNDUP(Y401/20,0),"")</f>
        <v/>
      </c>
      <c r="AK401" s="9">
        <f>IF(ROUNDUP(Z401/20,0)&gt;ROUNDUP(Z399/20,0),"Lần " &amp; ROUNDUP(Z401/20,0),"")</f>
        <v/>
      </c>
      <c r="AL401" s="4" t="n"/>
      <c r="AN401" s="596" t="inlineStr">
        <is>
          <t>Coc</t>
        </is>
      </c>
      <c r="AO401" s="596" t="n">
        <v>28</v>
      </c>
      <c r="AQ401" s="594" t="n"/>
      <c r="AR401" s="595" t="n"/>
    </row>
    <row r="402" ht="19" customHeight="1" s="672">
      <c r="A402" s="4" t="n">
        <v>375</v>
      </c>
      <c r="B402" s="5" t="inlineStr">
        <is>
          <t>Cọc khoan nhồi C1 Mố M1 (D1.2m, L=20.0m)</t>
        </is>
      </c>
      <c r="C402" s="5" t="inlineStr">
        <is>
          <t>Cọc mố M1 L=20m (tr.64)</t>
        </is>
      </c>
      <c r="D402" s="14" t="inlineStr">
        <is>
          <t>P1A</t>
        </is>
      </c>
      <c r="E402" s="15" t="n">
        <v>10</v>
      </c>
      <c r="F402" s="4" t="inlineStr">
        <is>
          <t>CB240-T</t>
        </is>
      </c>
      <c r="G402" s="5" t="inlineStr"/>
      <c r="H402" s="16" t="n">
        <v>373.535</v>
      </c>
      <c r="I402" s="17" t="n">
        <v>1</v>
      </c>
      <c r="J402" s="18" t="n">
        <v>0.617</v>
      </c>
      <c r="K402" s="7">
        <f>ROUND(H402*I402*J402, 2)</f>
        <v/>
      </c>
      <c r="L402" s="19">
        <f>ROUND(K402/1000, 3)</f>
        <v/>
      </c>
      <c r="M402" s="728">
        <f>IF(AO402="","",IF(N(INDEX(Theo_Doi_Tan_Suat_Be_Tong!$C:$C,AO402))&lt;=0,"",INDEX(Theo_Doi_Tan_Suat_Be_Tong!$C:$C,AO402)-VLOOKUP(AN402,$AQ$2:$AR$7,2,FALSE)))</f>
        <v/>
      </c>
      <c r="N402" s="4" t="n"/>
      <c r="O402" s="20">
        <f>IF(ROUNDUP(P402/20,0)&gt;ROUNDUP(P401/20,0),"TN Ø10 (Lần " &amp; ROUNDUP(P402/20,0) &amp; ")","")</f>
        <v/>
      </c>
      <c r="P402" s="16">
        <f>ROUND(P401+IF(AND(E402&lt;=10,F402&lt;&gt;"ASTM A416"),L402,0),3)</f>
        <v/>
      </c>
      <c r="Q402" s="16">
        <f>ROUND(Q401+IF(AND(E402=12,F402&lt;&gt;"ASTM A416"),L402,0),3)</f>
        <v/>
      </c>
      <c r="R402" s="16">
        <f>ROUND(R401+IF(AND(E402=14,F402&lt;&gt;"ASTM A416"),L402,0),3)</f>
        <v/>
      </c>
      <c r="S402" s="16">
        <f>ROUND(S401+IF(AND(E402=16,F402&lt;&gt;"ASTM A416"),L402,0),3)</f>
        <v/>
      </c>
      <c r="T402" s="16">
        <f>ROUND(T401+IF(AND(E402=18,F402&lt;&gt;"ASTM A416"),L402,0),3)</f>
        <v/>
      </c>
      <c r="U402" s="16">
        <f>ROUND(U401+IF(AND(E402=20,F402&lt;&gt;"ASTM A416"),L402,0),3)</f>
        <v/>
      </c>
      <c r="V402" s="16">
        <f>ROUND(V401+IF(AND(E402=22,F402&lt;&gt;"ASTM A416"),L402,0),3)</f>
        <v/>
      </c>
      <c r="W402" s="16">
        <f>ROUND(W401+IF(AND(E402=25,F402&lt;&gt;"ASTM A416"),L402,0),3)</f>
        <v/>
      </c>
      <c r="X402" s="16">
        <f>ROUND(X401+IF(AND(E402=28,F402&lt;&gt;"ASTM A416"),L402,0),3)</f>
        <v/>
      </c>
      <c r="Y402" s="16">
        <f>ROUND(Y401+IF(AND(E402=32,F402&lt;&gt;"ASTM A416"),L402,0),3)</f>
        <v/>
      </c>
      <c r="Z402" s="16">
        <f>ROUND(Z401+IF(F402="ASTM A416",L402,0),3)</f>
        <v/>
      </c>
      <c r="AA402" s="9">
        <f>IF(ROUNDUP(P402/20,0)&gt;ROUNDUP(P401/20,0),"Lần " &amp; ROUNDUP(P402/20,0),"")</f>
        <v/>
      </c>
      <c r="AB402" s="9">
        <f>IF(ROUNDUP(Q402/20,0)&gt;ROUNDUP(Q401/20,0),"Lần " &amp; ROUNDUP(Q402/20,0),"")</f>
        <v/>
      </c>
      <c r="AC402" s="9">
        <f>IF(ROUNDUP(R402/20,0)&gt;ROUNDUP(R401/20,0),"Lần " &amp; ROUNDUP(R402/20,0),"")</f>
        <v/>
      </c>
      <c r="AD402" s="9">
        <f>IF(ROUNDUP(S402/20,0)&gt;ROUNDUP(S401/20,0),"Lần " &amp; ROUNDUP(S402/20,0),"")</f>
        <v/>
      </c>
      <c r="AE402" s="9">
        <f>IF(ROUNDUP(T402/20,0)&gt;ROUNDUP(T401/20,0),"Lần " &amp; ROUNDUP(T402/20,0),"")</f>
        <v/>
      </c>
      <c r="AF402" s="9">
        <f>IF(ROUNDUP(U402/20,0)&gt;ROUNDUP(U401/20,0),"Lần " &amp; ROUNDUP(U402/20,0),"")</f>
        <v/>
      </c>
      <c r="AG402" s="9">
        <f>IF(ROUNDUP(V402/20,0)&gt;ROUNDUP(V401/20,0),"Lần " &amp; ROUNDUP(V402/20,0),"")</f>
        <v/>
      </c>
      <c r="AH402" s="9">
        <f>IF(ROUNDUP(W402/20,0)&gt;ROUNDUP(W401/20,0),"Lần " &amp; ROUNDUP(W402/20,0),"")</f>
        <v/>
      </c>
      <c r="AI402" s="9">
        <f>IF(ROUNDUP(X402/20,0)&gt;ROUNDUP(X401/20,0),"Lần " &amp; ROUNDUP(X402/20,0),"")</f>
        <v/>
      </c>
      <c r="AJ402" s="9">
        <f>IF(ROUNDUP(Y402/20,0)&gt;ROUNDUP(Y401/20,0),"Lần " &amp; ROUNDUP(Y402/20,0),"")</f>
        <v/>
      </c>
      <c r="AK402" s="9">
        <f>IF(ROUNDUP(Z402/20,0)&gt;ROUNDUP(Z401/20,0),"Lần " &amp; ROUNDUP(Z402/20,0),"")</f>
        <v/>
      </c>
      <c r="AL402" s="4" t="n"/>
      <c r="AN402" s="596" t="inlineStr">
        <is>
          <t>Coc</t>
        </is>
      </c>
      <c r="AO402" s="596" t="n">
        <v>28</v>
      </c>
      <c r="AQ402" s="594" t="n"/>
      <c r="AR402" s="595" t="n"/>
    </row>
    <row r="403" ht="19" customHeight="1" s="672">
      <c r="A403" s="4" t="n">
        <v>376</v>
      </c>
      <c r="B403" s="5" t="inlineStr">
        <is>
          <t>Cọc khoan nhồi C1 Mố M1 (D1.2m, L=20.0m)</t>
        </is>
      </c>
      <c r="C403" s="5" t="inlineStr">
        <is>
          <t>Cọc mố M1 L=20m (tr.64)</t>
        </is>
      </c>
      <c r="D403" s="14" t="inlineStr">
        <is>
          <t>P1C</t>
        </is>
      </c>
      <c r="E403" s="15" t="n">
        <v>10</v>
      </c>
      <c r="F403" s="4" t="inlineStr">
        <is>
          <t>CB240-T</t>
        </is>
      </c>
      <c r="G403" s="5" t="inlineStr"/>
      <c r="H403" s="16" t="n">
        <v>3.592</v>
      </c>
      <c r="I403" s="17" t="n">
        <v>2</v>
      </c>
      <c r="J403" s="18" t="n">
        <v>0.617</v>
      </c>
      <c r="K403" s="7">
        <f>ROUND(H403*I403*J403, 2)</f>
        <v/>
      </c>
      <c r="L403" s="19">
        <f>ROUND(K403/1000, 3)</f>
        <v/>
      </c>
      <c r="M403" s="728">
        <f>IF(AO403="","",IF(N(INDEX(Theo_Doi_Tan_Suat_Be_Tong!$C:$C,AO403))&lt;=0,"",INDEX(Theo_Doi_Tan_Suat_Be_Tong!$C:$C,AO403)-VLOOKUP(AN403,$AQ$2:$AR$7,2,FALSE)))</f>
        <v/>
      </c>
      <c r="N403" s="4" t="n"/>
      <c r="O403" s="20">
        <f>IF(ROUNDUP(P403/20,0)&gt;ROUNDUP(P402/20,0),"TN Ø10 (Lần " &amp; ROUNDUP(P403/20,0) &amp; ")","")</f>
        <v/>
      </c>
      <c r="P403" s="16">
        <f>ROUND(P402+IF(AND(E403&lt;=10,F403&lt;&gt;"ASTM A416"),L403,0),3)</f>
        <v/>
      </c>
      <c r="Q403" s="16">
        <f>ROUND(Q402+IF(AND(E403=12,F403&lt;&gt;"ASTM A416"),L403,0),3)</f>
        <v/>
      </c>
      <c r="R403" s="16">
        <f>ROUND(R402+IF(AND(E403=14,F403&lt;&gt;"ASTM A416"),L403,0),3)</f>
        <v/>
      </c>
      <c r="S403" s="16">
        <f>ROUND(S402+IF(AND(E403=16,F403&lt;&gt;"ASTM A416"),L403,0),3)</f>
        <v/>
      </c>
      <c r="T403" s="16">
        <f>ROUND(T402+IF(AND(E403=18,F403&lt;&gt;"ASTM A416"),L403,0),3)</f>
        <v/>
      </c>
      <c r="U403" s="16">
        <f>ROUND(U402+IF(AND(E403=20,F403&lt;&gt;"ASTM A416"),L403,0),3)</f>
        <v/>
      </c>
      <c r="V403" s="16">
        <f>ROUND(V402+IF(AND(E403=22,F403&lt;&gt;"ASTM A416"),L403,0),3)</f>
        <v/>
      </c>
      <c r="W403" s="16">
        <f>ROUND(W402+IF(AND(E403=25,F403&lt;&gt;"ASTM A416"),L403,0),3)</f>
        <v/>
      </c>
      <c r="X403" s="16">
        <f>ROUND(X402+IF(AND(E403=28,F403&lt;&gt;"ASTM A416"),L403,0),3)</f>
        <v/>
      </c>
      <c r="Y403" s="16">
        <f>ROUND(Y402+IF(AND(E403=32,F403&lt;&gt;"ASTM A416"),L403,0),3)</f>
        <v/>
      </c>
      <c r="Z403" s="16">
        <f>ROUND(Z402+IF(F403="ASTM A416",L403,0),3)</f>
        <v/>
      </c>
      <c r="AA403" s="9">
        <f>IF(ROUNDUP(P403/20,0)&gt;ROUNDUP(P402/20,0),"Lần " &amp; ROUNDUP(P403/20,0),"")</f>
        <v/>
      </c>
      <c r="AB403" s="9">
        <f>IF(ROUNDUP(Q403/20,0)&gt;ROUNDUP(Q402/20,0),"Lần " &amp; ROUNDUP(Q403/20,0),"")</f>
        <v/>
      </c>
      <c r="AC403" s="9">
        <f>IF(ROUNDUP(R403/20,0)&gt;ROUNDUP(R402/20,0),"Lần " &amp; ROUNDUP(R403/20,0),"")</f>
        <v/>
      </c>
      <c r="AD403" s="9">
        <f>IF(ROUNDUP(S403/20,0)&gt;ROUNDUP(S402/20,0),"Lần " &amp; ROUNDUP(S403/20,0),"")</f>
        <v/>
      </c>
      <c r="AE403" s="9">
        <f>IF(ROUNDUP(T403/20,0)&gt;ROUNDUP(T402/20,0),"Lần " &amp; ROUNDUP(T403/20,0),"")</f>
        <v/>
      </c>
      <c r="AF403" s="9">
        <f>IF(ROUNDUP(U403/20,0)&gt;ROUNDUP(U402/20,0),"Lần " &amp; ROUNDUP(U403/20,0),"")</f>
        <v/>
      </c>
      <c r="AG403" s="9">
        <f>IF(ROUNDUP(V403/20,0)&gt;ROUNDUP(V402/20,0),"Lần " &amp; ROUNDUP(V403/20,0),"")</f>
        <v/>
      </c>
      <c r="AH403" s="9">
        <f>IF(ROUNDUP(W403/20,0)&gt;ROUNDUP(W402/20,0),"Lần " &amp; ROUNDUP(W403/20,0),"")</f>
        <v/>
      </c>
      <c r="AI403" s="9">
        <f>IF(ROUNDUP(X403/20,0)&gt;ROUNDUP(X402/20,0),"Lần " &amp; ROUNDUP(X403/20,0),"")</f>
        <v/>
      </c>
      <c r="AJ403" s="9">
        <f>IF(ROUNDUP(Y403/20,0)&gt;ROUNDUP(Y402/20,0),"Lần " &amp; ROUNDUP(Y403/20,0),"")</f>
        <v/>
      </c>
      <c r="AK403" s="9">
        <f>IF(ROUNDUP(Z403/20,0)&gt;ROUNDUP(Z402/20,0),"Lần " &amp; ROUNDUP(Z403/20,0),"")</f>
        <v/>
      </c>
      <c r="AL403" s="4" t="n"/>
      <c r="AN403" s="596" t="inlineStr">
        <is>
          <t>Coc</t>
        </is>
      </c>
      <c r="AO403" s="596" t="n">
        <v>28</v>
      </c>
      <c r="AQ403" s="594" t="n"/>
      <c r="AR403" s="595" t="n"/>
    </row>
    <row r="404" ht="19" customHeight="1" s="672">
      <c r="A404" s="4" t="n">
        <v>377</v>
      </c>
      <c r="B404" s="5" t="inlineStr">
        <is>
          <t>Cọc khoan nhồi C1 Mố M1 (D1.2m, L=20.0m)</t>
        </is>
      </c>
      <c r="C404" s="5" t="inlineStr">
        <is>
          <t>Cọc mố M1 L=20m (tr.64)</t>
        </is>
      </c>
      <c r="D404" s="14" t="inlineStr">
        <is>
          <t>P1D</t>
        </is>
      </c>
      <c r="E404" s="15" t="n">
        <v>10</v>
      </c>
      <c r="F404" s="4" t="inlineStr">
        <is>
          <t>CB240-T</t>
        </is>
      </c>
      <c r="G404" s="5" t="inlineStr"/>
      <c r="H404" s="16" t="n">
        <v>19.721</v>
      </c>
      <c r="I404" s="17" t="n">
        <v>1</v>
      </c>
      <c r="J404" s="18" t="n">
        <v>0.617</v>
      </c>
      <c r="K404" s="7">
        <f>ROUND(H404*I404*J404, 2)</f>
        <v/>
      </c>
      <c r="L404" s="19">
        <f>ROUND(K404/1000, 3)</f>
        <v/>
      </c>
      <c r="M404" s="728">
        <f>IF(AO404="","",IF(N(INDEX(Theo_Doi_Tan_Suat_Be_Tong!$C:$C,AO404))&lt;=0,"",INDEX(Theo_Doi_Tan_Suat_Be_Tong!$C:$C,AO404)-VLOOKUP(AN404,$AQ$2:$AR$7,2,FALSE)))</f>
        <v/>
      </c>
      <c r="N404" s="4" t="n"/>
      <c r="O404" s="20">
        <f>IF(ROUNDUP(P404/20,0)&gt;ROUNDUP(P403/20,0),"TN Ø10 (Lần " &amp; ROUNDUP(P404/20,0) &amp; ")","")</f>
        <v/>
      </c>
      <c r="P404" s="16">
        <f>ROUND(P403+IF(AND(E404&lt;=10,F404&lt;&gt;"ASTM A416"),L404,0),3)</f>
        <v/>
      </c>
      <c r="Q404" s="16">
        <f>ROUND(Q403+IF(AND(E404=12,F404&lt;&gt;"ASTM A416"),L404,0),3)</f>
        <v/>
      </c>
      <c r="R404" s="16">
        <f>ROUND(R403+IF(AND(E404=14,F404&lt;&gt;"ASTM A416"),L404,0),3)</f>
        <v/>
      </c>
      <c r="S404" s="16">
        <f>ROUND(S403+IF(AND(E404=16,F404&lt;&gt;"ASTM A416"),L404,0),3)</f>
        <v/>
      </c>
      <c r="T404" s="16">
        <f>ROUND(T403+IF(AND(E404=18,F404&lt;&gt;"ASTM A416"),L404,0),3)</f>
        <v/>
      </c>
      <c r="U404" s="16">
        <f>ROUND(U403+IF(AND(E404=20,F404&lt;&gt;"ASTM A416"),L404,0),3)</f>
        <v/>
      </c>
      <c r="V404" s="16">
        <f>ROUND(V403+IF(AND(E404=22,F404&lt;&gt;"ASTM A416"),L404,0),3)</f>
        <v/>
      </c>
      <c r="W404" s="16">
        <f>ROUND(W403+IF(AND(E404=25,F404&lt;&gt;"ASTM A416"),L404,0),3)</f>
        <v/>
      </c>
      <c r="X404" s="16">
        <f>ROUND(X403+IF(AND(E404=28,F404&lt;&gt;"ASTM A416"),L404,0),3)</f>
        <v/>
      </c>
      <c r="Y404" s="16">
        <f>ROUND(Y403+IF(AND(E404=32,F404&lt;&gt;"ASTM A416"),L404,0),3)</f>
        <v/>
      </c>
      <c r="Z404" s="16">
        <f>ROUND(Z403+IF(F404="ASTM A416",L404,0),3)</f>
        <v/>
      </c>
      <c r="AA404" s="9">
        <f>IF(ROUNDUP(P404/20,0)&gt;ROUNDUP(P403/20,0),"Lần " &amp; ROUNDUP(P404/20,0),"")</f>
        <v/>
      </c>
      <c r="AB404" s="9">
        <f>IF(ROUNDUP(Q404/20,0)&gt;ROUNDUP(Q403/20,0),"Lần " &amp; ROUNDUP(Q404/20,0),"")</f>
        <v/>
      </c>
      <c r="AC404" s="9">
        <f>IF(ROUNDUP(R404/20,0)&gt;ROUNDUP(R403/20,0),"Lần " &amp; ROUNDUP(R404/20,0),"")</f>
        <v/>
      </c>
      <c r="AD404" s="9">
        <f>IF(ROUNDUP(S404/20,0)&gt;ROUNDUP(S403/20,0),"Lần " &amp; ROUNDUP(S404/20,0),"")</f>
        <v/>
      </c>
      <c r="AE404" s="9">
        <f>IF(ROUNDUP(T404/20,0)&gt;ROUNDUP(T403/20,0),"Lần " &amp; ROUNDUP(T404/20,0),"")</f>
        <v/>
      </c>
      <c r="AF404" s="9">
        <f>IF(ROUNDUP(U404/20,0)&gt;ROUNDUP(U403/20,0),"Lần " &amp; ROUNDUP(U404/20,0),"")</f>
        <v/>
      </c>
      <c r="AG404" s="9">
        <f>IF(ROUNDUP(V404/20,0)&gt;ROUNDUP(V403/20,0),"Lần " &amp; ROUNDUP(V404/20,0),"")</f>
        <v/>
      </c>
      <c r="AH404" s="9">
        <f>IF(ROUNDUP(W404/20,0)&gt;ROUNDUP(W403/20,0),"Lần " &amp; ROUNDUP(W404/20,0),"")</f>
        <v/>
      </c>
      <c r="AI404" s="9">
        <f>IF(ROUNDUP(X404/20,0)&gt;ROUNDUP(X403/20,0),"Lần " &amp; ROUNDUP(X404/20,0),"")</f>
        <v/>
      </c>
      <c r="AJ404" s="9">
        <f>IF(ROUNDUP(Y404/20,0)&gt;ROUNDUP(Y403/20,0),"Lần " &amp; ROUNDUP(Y404/20,0),"")</f>
        <v/>
      </c>
      <c r="AK404" s="9">
        <f>IF(ROUNDUP(Z404/20,0)&gt;ROUNDUP(Z403/20,0),"Lần " &amp; ROUNDUP(Z404/20,0),"")</f>
        <v/>
      </c>
      <c r="AL404" s="4" t="n"/>
      <c r="AN404" s="596" t="inlineStr">
        <is>
          <t>Coc</t>
        </is>
      </c>
      <c r="AO404" s="596" t="n">
        <v>28</v>
      </c>
      <c r="AQ404" s="594" t="n"/>
      <c r="AR404" s="595" t="n"/>
    </row>
    <row r="405" ht="19" customHeight="1" s="672">
      <c r="A405" s="4" t="n">
        <v>378</v>
      </c>
      <c r="B405" s="5" t="inlineStr">
        <is>
          <t>Cọc khoan nhồi C1 Mố M1 (D1.2m, L=20.0m)</t>
        </is>
      </c>
      <c r="C405" s="5" t="inlineStr">
        <is>
          <t>Cọc mố M1 L=20m (tr.64)</t>
        </is>
      </c>
      <c r="D405" s="14" t="inlineStr">
        <is>
          <t>P2B</t>
        </is>
      </c>
      <c r="E405" s="15" t="n">
        <v>25</v>
      </c>
      <c r="F405" s="4" t="inlineStr">
        <is>
          <t>CB400-V</t>
        </is>
      </c>
      <c r="G405" s="5" t="inlineStr"/>
      <c r="H405" s="16" t="n">
        <v>2.985</v>
      </c>
      <c r="I405" s="17" t="n">
        <v>8</v>
      </c>
      <c r="J405" s="18" t="n">
        <v>3.853</v>
      </c>
      <c r="K405" s="7">
        <f>ROUND(H405*I405*J405, 2)</f>
        <v/>
      </c>
      <c r="L405" s="19">
        <f>ROUND(K405/1000, 3)</f>
        <v/>
      </c>
      <c r="M405" s="728">
        <f>IF(AO405="","",IF(N(INDEX(Theo_Doi_Tan_Suat_Be_Tong!$C:$C,AO405))&lt;=0,"",INDEX(Theo_Doi_Tan_Suat_Be_Tong!$C:$C,AO405)-VLOOKUP(AN405,$AQ$2:$AR$7,2,FALSE)))</f>
        <v/>
      </c>
      <c r="N405" s="4" t="n"/>
      <c r="O405" s="20">
        <f>IF(ROUNDUP(W405/20,0)&gt;ROUNDUP(W404/20,0),"TN Ø25 (Lần " &amp; ROUNDUP(W405/20,0) &amp; ")","")</f>
        <v/>
      </c>
      <c r="P405" s="16">
        <f>ROUND(P404+IF(AND(E405&lt;=10,F405&lt;&gt;"ASTM A416"),L405,0),3)</f>
        <v/>
      </c>
      <c r="Q405" s="16">
        <f>ROUND(Q404+IF(AND(E405=12,F405&lt;&gt;"ASTM A416"),L405,0),3)</f>
        <v/>
      </c>
      <c r="R405" s="16">
        <f>ROUND(R404+IF(AND(E405=14,F405&lt;&gt;"ASTM A416"),L405,0),3)</f>
        <v/>
      </c>
      <c r="S405" s="16">
        <f>ROUND(S404+IF(AND(E405=16,F405&lt;&gt;"ASTM A416"),L405,0),3)</f>
        <v/>
      </c>
      <c r="T405" s="16">
        <f>ROUND(T404+IF(AND(E405=18,F405&lt;&gt;"ASTM A416"),L405,0),3)</f>
        <v/>
      </c>
      <c r="U405" s="16">
        <f>ROUND(U404+IF(AND(E405=20,F405&lt;&gt;"ASTM A416"),L405,0),3)</f>
        <v/>
      </c>
      <c r="V405" s="16">
        <f>ROUND(V404+IF(AND(E405=22,F405&lt;&gt;"ASTM A416"),L405,0),3)</f>
        <v/>
      </c>
      <c r="W405" s="16">
        <f>ROUND(W404+IF(AND(E405=25,F405&lt;&gt;"ASTM A416"),L405,0),3)</f>
        <v/>
      </c>
      <c r="X405" s="16">
        <f>ROUND(X404+IF(AND(E405=28,F405&lt;&gt;"ASTM A416"),L405,0),3)</f>
        <v/>
      </c>
      <c r="Y405" s="16">
        <f>ROUND(Y404+IF(AND(E405=32,F405&lt;&gt;"ASTM A416"),L405,0),3)</f>
        <v/>
      </c>
      <c r="Z405" s="16">
        <f>ROUND(Z404+IF(F405="ASTM A416",L405,0),3)</f>
        <v/>
      </c>
      <c r="AA405" s="9">
        <f>IF(ROUNDUP(P405/20,0)&gt;ROUNDUP(P404/20,0),"Lần " &amp; ROUNDUP(P405/20,0),"")</f>
        <v/>
      </c>
      <c r="AB405" s="9">
        <f>IF(ROUNDUP(Q405/20,0)&gt;ROUNDUP(Q404/20,0),"Lần " &amp; ROUNDUP(Q405/20,0),"")</f>
        <v/>
      </c>
      <c r="AC405" s="9">
        <f>IF(ROUNDUP(R405/20,0)&gt;ROUNDUP(R404/20,0),"Lần " &amp; ROUNDUP(R405/20,0),"")</f>
        <v/>
      </c>
      <c r="AD405" s="9">
        <f>IF(ROUNDUP(S405/20,0)&gt;ROUNDUP(S404/20,0),"Lần " &amp; ROUNDUP(S405/20,0),"")</f>
        <v/>
      </c>
      <c r="AE405" s="9">
        <f>IF(ROUNDUP(T405/20,0)&gt;ROUNDUP(T404/20,0),"Lần " &amp; ROUNDUP(T405/20,0),"")</f>
        <v/>
      </c>
      <c r="AF405" s="9">
        <f>IF(ROUNDUP(U405/20,0)&gt;ROUNDUP(U404/20,0),"Lần " &amp; ROUNDUP(U405/20,0),"")</f>
        <v/>
      </c>
      <c r="AG405" s="9">
        <f>IF(ROUNDUP(V405/20,0)&gt;ROUNDUP(V404/20,0),"Lần " &amp; ROUNDUP(V405/20,0),"")</f>
        <v/>
      </c>
      <c r="AH405" s="9">
        <f>IF(ROUNDUP(W405/20,0)&gt;ROUNDUP(W404/20,0),"Lần " &amp; ROUNDUP(W405/20,0),"")</f>
        <v/>
      </c>
      <c r="AI405" s="9">
        <f>IF(ROUNDUP(X405/20,0)&gt;ROUNDUP(X404/20,0),"Lần " &amp; ROUNDUP(X405/20,0),"")</f>
        <v/>
      </c>
      <c r="AJ405" s="9">
        <f>IF(ROUNDUP(Y405/20,0)&gt;ROUNDUP(Y404/20,0),"Lần " &amp; ROUNDUP(Y405/20,0),"")</f>
        <v/>
      </c>
      <c r="AK405" s="9">
        <f>IF(ROUNDUP(Z405/20,0)&gt;ROUNDUP(Z404/20,0),"Lần " &amp; ROUNDUP(Z405/20,0),"")</f>
        <v/>
      </c>
      <c r="AL405" s="4" t="n"/>
      <c r="AN405" s="596" t="inlineStr">
        <is>
          <t>Coc</t>
        </is>
      </c>
      <c r="AO405" s="596" t="n">
        <v>28</v>
      </c>
      <c r="AQ405" s="594" t="n"/>
      <c r="AR405" s="595" t="n"/>
    </row>
    <row r="406" ht="19" customHeight="1" s="672">
      <c r="A406" s="4" t="n">
        <v>379</v>
      </c>
      <c r="B406" s="5" t="inlineStr">
        <is>
          <t>Cọc khoan nhồi C1 Mố M1 (D1.2m, L=20.0m)</t>
        </is>
      </c>
      <c r="C406" s="5" t="inlineStr">
        <is>
          <t>Cọc mố M1 L=20m (tr.64)</t>
        </is>
      </c>
      <c r="D406" s="14" t="inlineStr">
        <is>
          <t>P3</t>
        </is>
      </c>
      <c r="E406" s="15" t="n">
        <v>25</v>
      </c>
      <c r="F406" s="4" t="inlineStr">
        <is>
          <t>CB400-V</t>
        </is>
      </c>
      <c r="G406" s="5" t="inlineStr"/>
      <c r="H406" s="16" t="n">
        <v>10.7</v>
      </c>
      <c r="I406" s="17" t="n">
        <v>12</v>
      </c>
      <c r="J406" s="18" t="n">
        <v>3.853</v>
      </c>
      <c r="K406" s="7">
        <f>ROUND(H406*I406*J406, 2)</f>
        <v/>
      </c>
      <c r="L406" s="19">
        <f>ROUND(K406/1000, 3)</f>
        <v/>
      </c>
      <c r="M406" s="728">
        <f>IF(AO406="","",IF(N(INDEX(Theo_Doi_Tan_Suat_Be_Tong!$C:$C,AO406))&lt;=0,"",INDEX(Theo_Doi_Tan_Suat_Be_Tong!$C:$C,AO406)-VLOOKUP(AN406,$AQ$2:$AR$7,2,FALSE)))</f>
        <v/>
      </c>
      <c r="N406" s="4" t="n"/>
      <c r="O406" s="20">
        <f>IF(ROUNDUP(W406/20,0)&gt;ROUNDUP(W405/20,0),"TN Ø25 (Lần " &amp; ROUNDUP(W406/20,0) &amp; ")","")</f>
        <v/>
      </c>
      <c r="P406" s="16">
        <f>ROUND(P405+IF(AND(E406&lt;=10,F406&lt;&gt;"ASTM A416"),L406,0),3)</f>
        <v/>
      </c>
      <c r="Q406" s="16">
        <f>ROUND(Q405+IF(AND(E406=12,F406&lt;&gt;"ASTM A416"),L406,0),3)</f>
        <v/>
      </c>
      <c r="R406" s="16">
        <f>ROUND(R405+IF(AND(E406=14,F406&lt;&gt;"ASTM A416"),L406,0),3)</f>
        <v/>
      </c>
      <c r="S406" s="16">
        <f>ROUND(S405+IF(AND(E406=16,F406&lt;&gt;"ASTM A416"),L406,0),3)</f>
        <v/>
      </c>
      <c r="T406" s="16">
        <f>ROUND(T405+IF(AND(E406=18,F406&lt;&gt;"ASTM A416"),L406,0),3)</f>
        <v/>
      </c>
      <c r="U406" s="16">
        <f>ROUND(U405+IF(AND(E406=20,F406&lt;&gt;"ASTM A416"),L406,0),3)</f>
        <v/>
      </c>
      <c r="V406" s="16">
        <f>ROUND(V405+IF(AND(E406=22,F406&lt;&gt;"ASTM A416"),L406,0),3)</f>
        <v/>
      </c>
      <c r="W406" s="16">
        <f>ROUND(W405+IF(AND(E406=25,F406&lt;&gt;"ASTM A416"),L406,0),3)</f>
        <v/>
      </c>
      <c r="X406" s="16">
        <f>ROUND(X405+IF(AND(E406=28,F406&lt;&gt;"ASTM A416"),L406,0),3)</f>
        <v/>
      </c>
      <c r="Y406" s="16">
        <f>ROUND(Y405+IF(AND(E406=32,F406&lt;&gt;"ASTM A416"),L406,0),3)</f>
        <v/>
      </c>
      <c r="Z406" s="16">
        <f>ROUND(Z405+IF(F406="ASTM A416",L406,0),3)</f>
        <v/>
      </c>
      <c r="AA406" s="9">
        <f>IF(ROUNDUP(P406/20,0)&gt;ROUNDUP(P405/20,0),"Lần " &amp; ROUNDUP(P406/20,0),"")</f>
        <v/>
      </c>
      <c r="AB406" s="9">
        <f>IF(ROUNDUP(Q406/20,0)&gt;ROUNDUP(Q405/20,0),"Lần " &amp; ROUNDUP(Q406/20,0),"")</f>
        <v/>
      </c>
      <c r="AC406" s="9">
        <f>IF(ROUNDUP(R406/20,0)&gt;ROUNDUP(R405/20,0),"Lần " &amp; ROUNDUP(R406/20,0),"")</f>
        <v/>
      </c>
      <c r="AD406" s="9">
        <f>IF(ROUNDUP(S406/20,0)&gt;ROUNDUP(S405/20,0),"Lần " &amp; ROUNDUP(S406/20,0),"")</f>
        <v/>
      </c>
      <c r="AE406" s="9">
        <f>IF(ROUNDUP(T406/20,0)&gt;ROUNDUP(T405/20,0),"Lần " &amp; ROUNDUP(T406/20,0),"")</f>
        <v/>
      </c>
      <c r="AF406" s="9">
        <f>IF(ROUNDUP(U406/20,0)&gt;ROUNDUP(U405/20,0),"Lần " &amp; ROUNDUP(U406/20,0),"")</f>
        <v/>
      </c>
      <c r="AG406" s="9">
        <f>IF(ROUNDUP(V406/20,0)&gt;ROUNDUP(V405/20,0),"Lần " &amp; ROUNDUP(V406/20,0),"")</f>
        <v/>
      </c>
      <c r="AH406" s="9">
        <f>IF(ROUNDUP(W406/20,0)&gt;ROUNDUP(W405/20,0),"Lần " &amp; ROUNDUP(W406/20,0),"")</f>
        <v/>
      </c>
      <c r="AI406" s="9">
        <f>IF(ROUNDUP(X406/20,0)&gt;ROUNDUP(X405/20,0),"Lần " &amp; ROUNDUP(X406/20,0),"")</f>
        <v/>
      </c>
      <c r="AJ406" s="9">
        <f>IF(ROUNDUP(Y406/20,0)&gt;ROUNDUP(Y405/20,0),"Lần " &amp; ROUNDUP(Y406/20,0),"")</f>
        <v/>
      </c>
      <c r="AK406" s="9">
        <f>IF(ROUNDUP(Z406/20,0)&gt;ROUNDUP(Z405/20,0),"Lần " &amp; ROUNDUP(Z406/20,0),"")</f>
        <v/>
      </c>
      <c r="AL406" s="4" t="n"/>
      <c r="AN406" s="596" t="inlineStr">
        <is>
          <t>Coc</t>
        </is>
      </c>
      <c r="AO406" s="596" t="n">
        <v>28</v>
      </c>
      <c r="AQ406" s="594" t="n"/>
      <c r="AR406" s="595" t="n"/>
    </row>
    <row r="407" ht="19" customHeight="1" s="672">
      <c r="A407" s="4" t="n">
        <v>380</v>
      </c>
      <c r="B407" s="5" t="inlineStr">
        <is>
          <t>Cọc khoan nhồi C1 Mố M1 (D1.2m, L=20.0m)</t>
        </is>
      </c>
      <c r="C407" s="5" t="inlineStr">
        <is>
          <t>Cọc mố M1 L=20m (tr.64)</t>
        </is>
      </c>
      <c r="D407" s="14" t="inlineStr">
        <is>
          <t>P4</t>
        </is>
      </c>
      <c r="E407" s="15" t="n">
        <v>25</v>
      </c>
      <c r="F407" s="4" t="inlineStr">
        <is>
          <t>CB400-V</t>
        </is>
      </c>
      <c r="G407" s="5" t="inlineStr"/>
      <c r="H407" s="16" t="n">
        <v>11.7</v>
      </c>
      <c r="I407" s="17" t="n">
        <v>12</v>
      </c>
      <c r="J407" s="18" t="n">
        <v>3.853</v>
      </c>
      <c r="K407" s="7">
        <f>ROUND(H407*I407*J407, 2)</f>
        <v/>
      </c>
      <c r="L407" s="19">
        <f>ROUND(K407/1000, 3)</f>
        <v/>
      </c>
      <c r="M407" s="728">
        <f>IF(AO407="","",IF(N(INDEX(Theo_Doi_Tan_Suat_Be_Tong!$C:$C,AO407))&lt;=0,"",INDEX(Theo_Doi_Tan_Suat_Be_Tong!$C:$C,AO407)-VLOOKUP(AN407,$AQ$2:$AR$7,2,FALSE)))</f>
        <v/>
      </c>
      <c r="N407" s="4" t="n"/>
      <c r="O407" s="20">
        <f>IF(ROUNDUP(W407/20,0)&gt;ROUNDUP(W406/20,0),"TN Ø25 (Lần " &amp; ROUNDUP(W407/20,0) &amp; ")","")</f>
        <v/>
      </c>
      <c r="P407" s="16">
        <f>ROUND(P406+IF(AND(E407&lt;=10,F407&lt;&gt;"ASTM A416"),L407,0),3)</f>
        <v/>
      </c>
      <c r="Q407" s="16">
        <f>ROUND(Q406+IF(AND(E407=12,F407&lt;&gt;"ASTM A416"),L407,0),3)</f>
        <v/>
      </c>
      <c r="R407" s="16">
        <f>ROUND(R406+IF(AND(E407=14,F407&lt;&gt;"ASTM A416"),L407,0),3)</f>
        <v/>
      </c>
      <c r="S407" s="16">
        <f>ROUND(S406+IF(AND(E407=16,F407&lt;&gt;"ASTM A416"),L407,0),3)</f>
        <v/>
      </c>
      <c r="T407" s="16">
        <f>ROUND(T406+IF(AND(E407=18,F407&lt;&gt;"ASTM A416"),L407,0),3)</f>
        <v/>
      </c>
      <c r="U407" s="16">
        <f>ROUND(U406+IF(AND(E407=20,F407&lt;&gt;"ASTM A416"),L407,0),3)</f>
        <v/>
      </c>
      <c r="V407" s="16">
        <f>ROUND(V406+IF(AND(E407=22,F407&lt;&gt;"ASTM A416"),L407,0),3)</f>
        <v/>
      </c>
      <c r="W407" s="16">
        <f>ROUND(W406+IF(AND(E407=25,F407&lt;&gt;"ASTM A416"),L407,0),3)</f>
        <v/>
      </c>
      <c r="X407" s="16">
        <f>ROUND(X406+IF(AND(E407=28,F407&lt;&gt;"ASTM A416"),L407,0),3)</f>
        <v/>
      </c>
      <c r="Y407" s="16">
        <f>ROUND(Y406+IF(AND(E407=32,F407&lt;&gt;"ASTM A416"),L407,0),3)</f>
        <v/>
      </c>
      <c r="Z407" s="16">
        <f>ROUND(Z406+IF(F407="ASTM A416",L407,0),3)</f>
        <v/>
      </c>
      <c r="AA407" s="9">
        <f>IF(ROUNDUP(P407/20,0)&gt;ROUNDUP(P406/20,0),"Lần " &amp; ROUNDUP(P407/20,0),"")</f>
        <v/>
      </c>
      <c r="AB407" s="9">
        <f>IF(ROUNDUP(Q407/20,0)&gt;ROUNDUP(Q406/20,0),"Lần " &amp; ROUNDUP(Q407/20,0),"")</f>
        <v/>
      </c>
      <c r="AC407" s="9">
        <f>IF(ROUNDUP(R407/20,0)&gt;ROUNDUP(R406/20,0),"Lần " &amp; ROUNDUP(R407/20,0),"")</f>
        <v/>
      </c>
      <c r="AD407" s="9">
        <f>IF(ROUNDUP(S407/20,0)&gt;ROUNDUP(S406/20,0),"Lần " &amp; ROUNDUP(S407/20,0),"")</f>
        <v/>
      </c>
      <c r="AE407" s="9">
        <f>IF(ROUNDUP(T407/20,0)&gt;ROUNDUP(T406/20,0),"Lần " &amp; ROUNDUP(T407/20,0),"")</f>
        <v/>
      </c>
      <c r="AF407" s="9">
        <f>IF(ROUNDUP(U407/20,0)&gt;ROUNDUP(U406/20,0),"Lần " &amp; ROUNDUP(U407/20,0),"")</f>
        <v/>
      </c>
      <c r="AG407" s="9">
        <f>IF(ROUNDUP(V407/20,0)&gt;ROUNDUP(V406/20,0),"Lần " &amp; ROUNDUP(V407/20,0),"")</f>
        <v/>
      </c>
      <c r="AH407" s="9">
        <f>IF(ROUNDUP(W407/20,0)&gt;ROUNDUP(W406/20,0),"Lần " &amp; ROUNDUP(W407/20,0),"")</f>
        <v/>
      </c>
      <c r="AI407" s="9">
        <f>IF(ROUNDUP(X407/20,0)&gt;ROUNDUP(X406/20,0),"Lần " &amp; ROUNDUP(X407/20,0),"")</f>
        <v/>
      </c>
      <c r="AJ407" s="9">
        <f>IF(ROUNDUP(Y407/20,0)&gt;ROUNDUP(Y406/20,0),"Lần " &amp; ROUNDUP(Y407/20,0),"")</f>
        <v/>
      </c>
      <c r="AK407" s="9">
        <f>IF(ROUNDUP(Z407/20,0)&gt;ROUNDUP(Z406/20,0),"Lần " &amp; ROUNDUP(Z407/20,0),"")</f>
        <v/>
      </c>
      <c r="AL407" s="4" t="n"/>
      <c r="AN407" s="596" t="inlineStr">
        <is>
          <t>Coc</t>
        </is>
      </c>
      <c r="AO407" s="596" t="n">
        <v>28</v>
      </c>
      <c r="AQ407" s="594" t="n"/>
      <c r="AR407" s="595" t="n"/>
    </row>
    <row r="408" ht="19" customHeight="1" s="672">
      <c r="A408" s="4" t="n">
        <v>381</v>
      </c>
      <c r="B408" s="5" t="inlineStr">
        <is>
          <t>Cọc khoan nhồi C1 Mố M1 (D1.2m, L=20.0m)</t>
        </is>
      </c>
      <c r="C408" s="5" t="inlineStr">
        <is>
          <t>Cọc mố M1 L=20m (tr.64)</t>
        </is>
      </c>
      <c r="D408" s="14" t="inlineStr">
        <is>
          <t>P6</t>
        </is>
      </c>
      <c r="E408" s="15" t="n">
        <v>25</v>
      </c>
      <c r="F408" s="4" t="inlineStr">
        <is>
          <t>CB400-V</t>
        </is>
      </c>
      <c r="G408" s="5" t="inlineStr"/>
      <c r="H408" s="16" t="n">
        <v>10.433</v>
      </c>
      <c r="I408" s="17" t="n">
        <v>12</v>
      </c>
      <c r="J408" s="18" t="n">
        <v>3.853</v>
      </c>
      <c r="K408" s="7">
        <f>ROUND(H408*I408*J408, 2)</f>
        <v/>
      </c>
      <c r="L408" s="19">
        <f>ROUND(K408/1000, 3)</f>
        <v/>
      </c>
      <c r="M408" s="728">
        <f>IF(AO408="","",IF(N(INDEX(Theo_Doi_Tan_Suat_Be_Tong!$C:$C,AO408))&lt;=0,"",INDEX(Theo_Doi_Tan_Suat_Be_Tong!$C:$C,AO408)-VLOOKUP(AN408,$AQ$2:$AR$7,2,FALSE)))</f>
        <v/>
      </c>
      <c r="N408" s="4" t="n"/>
      <c r="O408" s="20">
        <f>IF(ROUNDUP(W408/20,0)&gt;ROUNDUP(W407/20,0),"TN Ø25 (Lần " &amp; ROUNDUP(W408/20,0) &amp; ")","")</f>
        <v/>
      </c>
      <c r="P408" s="16">
        <f>ROUND(P407+IF(AND(E408&lt;=10,F408&lt;&gt;"ASTM A416"),L408,0),3)</f>
        <v/>
      </c>
      <c r="Q408" s="16">
        <f>ROUND(Q407+IF(AND(E408=12,F408&lt;&gt;"ASTM A416"),L408,0),3)</f>
        <v/>
      </c>
      <c r="R408" s="16">
        <f>ROUND(R407+IF(AND(E408=14,F408&lt;&gt;"ASTM A416"),L408,0),3)</f>
        <v/>
      </c>
      <c r="S408" s="16">
        <f>ROUND(S407+IF(AND(E408=16,F408&lt;&gt;"ASTM A416"),L408,0),3)</f>
        <v/>
      </c>
      <c r="T408" s="16">
        <f>ROUND(T407+IF(AND(E408=18,F408&lt;&gt;"ASTM A416"),L408,0),3)</f>
        <v/>
      </c>
      <c r="U408" s="16">
        <f>ROUND(U407+IF(AND(E408=20,F408&lt;&gt;"ASTM A416"),L408,0),3)</f>
        <v/>
      </c>
      <c r="V408" s="16">
        <f>ROUND(V407+IF(AND(E408=22,F408&lt;&gt;"ASTM A416"),L408,0),3)</f>
        <v/>
      </c>
      <c r="W408" s="16">
        <f>ROUND(W407+IF(AND(E408=25,F408&lt;&gt;"ASTM A416"),L408,0),3)</f>
        <v/>
      </c>
      <c r="X408" s="16">
        <f>ROUND(X407+IF(AND(E408=28,F408&lt;&gt;"ASTM A416"),L408,0),3)</f>
        <v/>
      </c>
      <c r="Y408" s="16">
        <f>ROUND(Y407+IF(AND(E408=32,F408&lt;&gt;"ASTM A416"),L408,0),3)</f>
        <v/>
      </c>
      <c r="Z408" s="16">
        <f>ROUND(Z407+IF(F408="ASTM A416",L408,0),3)</f>
        <v/>
      </c>
      <c r="AA408" s="9">
        <f>IF(ROUNDUP(P408/20,0)&gt;ROUNDUP(P407/20,0),"Lần " &amp; ROUNDUP(P408/20,0),"")</f>
        <v/>
      </c>
      <c r="AB408" s="9">
        <f>IF(ROUNDUP(Q408/20,0)&gt;ROUNDUP(Q407/20,0),"Lần " &amp; ROUNDUP(Q408/20,0),"")</f>
        <v/>
      </c>
      <c r="AC408" s="9">
        <f>IF(ROUNDUP(R408/20,0)&gt;ROUNDUP(R407/20,0),"Lần " &amp; ROUNDUP(R408/20,0),"")</f>
        <v/>
      </c>
      <c r="AD408" s="9">
        <f>IF(ROUNDUP(S408/20,0)&gt;ROUNDUP(S407/20,0),"Lần " &amp; ROUNDUP(S408/20,0),"")</f>
        <v/>
      </c>
      <c r="AE408" s="9">
        <f>IF(ROUNDUP(T408/20,0)&gt;ROUNDUP(T407/20,0),"Lần " &amp; ROUNDUP(T408/20,0),"")</f>
        <v/>
      </c>
      <c r="AF408" s="9">
        <f>IF(ROUNDUP(U408/20,0)&gt;ROUNDUP(U407/20,0),"Lần " &amp; ROUNDUP(U408/20,0),"")</f>
        <v/>
      </c>
      <c r="AG408" s="9">
        <f>IF(ROUNDUP(V408/20,0)&gt;ROUNDUP(V407/20,0),"Lần " &amp; ROUNDUP(V408/20,0),"")</f>
        <v/>
      </c>
      <c r="AH408" s="9">
        <f>IF(ROUNDUP(W408/20,0)&gt;ROUNDUP(W407/20,0),"Lần " &amp; ROUNDUP(W408/20,0),"")</f>
        <v/>
      </c>
      <c r="AI408" s="9">
        <f>IF(ROUNDUP(X408/20,0)&gt;ROUNDUP(X407/20,0),"Lần " &amp; ROUNDUP(X408/20,0),"")</f>
        <v/>
      </c>
      <c r="AJ408" s="9">
        <f>IF(ROUNDUP(Y408/20,0)&gt;ROUNDUP(Y407/20,0),"Lần " &amp; ROUNDUP(Y408/20,0),"")</f>
        <v/>
      </c>
      <c r="AK408" s="9">
        <f>IF(ROUNDUP(Z408/20,0)&gt;ROUNDUP(Z407/20,0),"Lần " &amp; ROUNDUP(Z408/20,0),"")</f>
        <v/>
      </c>
      <c r="AL408" s="4" t="n"/>
      <c r="AN408" s="596" t="inlineStr">
        <is>
          <t>Coc</t>
        </is>
      </c>
      <c r="AO408" s="596" t="n">
        <v>28</v>
      </c>
      <c r="AQ408" s="594" t="n"/>
      <c r="AR408" s="595" t="n"/>
    </row>
    <row r="409" ht="19" customHeight="1" s="672">
      <c r="A409" s="4" t="n">
        <v>382</v>
      </c>
      <c r="B409" s="5" t="inlineStr">
        <is>
          <t>Cọc khoan nhồi C1 Mố M1 (D1.2m, L=20.0m)</t>
        </is>
      </c>
      <c r="C409" s="5" t="inlineStr">
        <is>
          <t>Cọc mố M1 L=20m (tr.64)</t>
        </is>
      </c>
      <c r="D409" s="14" t="inlineStr">
        <is>
          <t>P7</t>
        </is>
      </c>
      <c r="E409" s="15" t="n">
        <v>25</v>
      </c>
      <c r="F409" s="4" t="inlineStr">
        <is>
          <t>CB400-V</t>
        </is>
      </c>
      <c r="G409" s="5" t="inlineStr"/>
      <c r="H409" s="16" t="n">
        <v>11.433</v>
      </c>
      <c r="I409" s="17" t="n">
        <v>12</v>
      </c>
      <c r="J409" s="18" t="n">
        <v>3.853</v>
      </c>
      <c r="K409" s="7">
        <f>ROUND(H409*I409*J409, 2)</f>
        <v/>
      </c>
      <c r="L409" s="19">
        <f>ROUND(K409/1000, 3)</f>
        <v/>
      </c>
      <c r="M409" s="728">
        <f>IF(AO409="","",IF(N(INDEX(Theo_Doi_Tan_Suat_Be_Tong!$C:$C,AO409))&lt;=0,"",INDEX(Theo_Doi_Tan_Suat_Be_Tong!$C:$C,AO409)-VLOOKUP(AN409,$AQ$2:$AR$7,2,FALSE)))</f>
        <v/>
      </c>
      <c r="N409" s="4" t="n"/>
      <c r="O409" s="20">
        <f>IF(ROUNDUP(W409/20,0)&gt;ROUNDUP(W408/20,0),"TN Ø25 (Lần " &amp; ROUNDUP(W409/20,0) &amp; ")","")</f>
        <v/>
      </c>
      <c r="P409" s="16">
        <f>ROUND(P408+IF(AND(E409&lt;=10,F409&lt;&gt;"ASTM A416"),L409,0),3)</f>
        <v/>
      </c>
      <c r="Q409" s="16">
        <f>ROUND(Q408+IF(AND(E409=12,F409&lt;&gt;"ASTM A416"),L409,0),3)</f>
        <v/>
      </c>
      <c r="R409" s="16">
        <f>ROUND(R408+IF(AND(E409=14,F409&lt;&gt;"ASTM A416"),L409,0),3)</f>
        <v/>
      </c>
      <c r="S409" s="16">
        <f>ROUND(S408+IF(AND(E409=16,F409&lt;&gt;"ASTM A416"),L409,0),3)</f>
        <v/>
      </c>
      <c r="T409" s="16">
        <f>ROUND(T408+IF(AND(E409=18,F409&lt;&gt;"ASTM A416"),L409,0),3)</f>
        <v/>
      </c>
      <c r="U409" s="16">
        <f>ROUND(U408+IF(AND(E409=20,F409&lt;&gt;"ASTM A416"),L409,0),3)</f>
        <v/>
      </c>
      <c r="V409" s="16">
        <f>ROUND(V408+IF(AND(E409=22,F409&lt;&gt;"ASTM A416"),L409,0),3)</f>
        <v/>
      </c>
      <c r="W409" s="16">
        <f>ROUND(W408+IF(AND(E409=25,F409&lt;&gt;"ASTM A416"),L409,0),3)</f>
        <v/>
      </c>
      <c r="X409" s="16">
        <f>ROUND(X408+IF(AND(E409=28,F409&lt;&gt;"ASTM A416"),L409,0),3)</f>
        <v/>
      </c>
      <c r="Y409" s="16">
        <f>ROUND(Y408+IF(AND(E409=32,F409&lt;&gt;"ASTM A416"),L409,0),3)</f>
        <v/>
      </c>
      <c r="Z409" s="16">
        <f>ROUND(Z408+IF(F409="ASTM A416",L409,0),3)</f>
        <v/>
      </c>
      <c r="AA409" s="9">
        <f>IF(ROUNDUP(P409/20,0)&gt;ROUNDUP(P408/20,0),"Lần " &amp; ROUNDUP(P409/20,0),"")</f>
        <v/>
      </c>
      <c r="AB409" s="9">
        <f>IF(ROUNDUP(Q409/20,0)&gt;ROUNDUP(Q408/20,0),"Lần " &amp; ROUNDUP(Q409/20,0),"")</f>
        <v/>
      </c>
      <c r="AC409" s="9">
        <f>IF(ROUNDUP(R409/20,0)&gt;ROUNDUP(R408/20,0),"Lần " &amp; ROUNDUP(R409/20,0),"")</f>
        <v/>
      </c>
      <c r="AD409" s="9">
        <f>IF(ROUNDUP(S409/20,0)&gt;ROUNDUP(S408/20,0),"Lần " &amp; ROUNDUP(S409/20,0),"")</f>
        <v/>
      </c>
      <c r="AE409" s="9">
        <f>IF(ROUNDUP(T409/20,0)&gt;ROUNDUP(T408/20,0),"Lần " &amp; ROUNDUP(T409/20,0),"")</f>
        <v/>
      </c>
      <c r="AF409" s="9">
        <f>IF(ROUNDUP(U409/20,0)&gt;ROUNDUP(U408/20,0),"Lần " &amp; ROUNDUP(U409/20,0),"")</f>
        <v/>
      </c>
      <c r="AG409" s="9">
        <f>IF(ROUNDUP(V409/20,0)&gt;ROUNDUP(V408/20,0),"Lần " &amp; ROUNDUP(V409/20,0),"")</f>
        <v/>
      </c>
      <c r="AH409" s="9">
        <f>IF(ROUNDUP(W409/20,0)&gt;ROUNDUP(W408/20,0),"Lần " &amp; ROUNDUP(W409/20,0),"")</f>
        <v/>
      </c>
      <c r="AI409" s="9">
        <f>IF(ROUNDUP(X409/20,0)&gt;ROUNDUP(X408/20,0),"Lần " &amp; ROUNDUP(X409/20,0),"")</f>
        <v/>
      </c>
      <c r="AJ409" s="9">
        <f>IF(ROUNDUP(Y409/20,0)&gt;ROUNDUP(Y408/20,0),"Lần " &amp; ROUNDUP(Y409/20,0),"")</f>
        <v/>
      </c>
      <c r="AK409" s="9">
        <f>IF(ROUNDUP(Z409/20,0)&gt;ROUNDUP(Z408/20,0),"Lần " &amp; ROUNDUP(Z409/20,0),"")</f>
        <v/>
      </c>
      <c r="AL409" s="4" t="n"/>
      <c r="AN409" s="596" t="inlineStr">
        <is>
          <t>Coc</t>
        </is>
      </c>
      <c r="AO409" s="596" t="n">
        <v>28</v>
      </c>
      <c r="AQ409" s="594" t="n"/>
      <c r="AR409" s="595" t="n"/>
    </row>
    <row r="410" ht="19" customHeight="1" s="672">
      <c r="A410" s="4" t="n">
        <v>383</v>
      </c>
      <c r="B410" s="5" t="inlineStr">
        <is>
          <t>Cọc khoan nhồi C1 Mố M1 (D1.2m, L=20.0m)</t>
        </is>
      </c>
      <c r="C410" s="5" t="inlineStr">
        <is>
          <t>Cọc mố M1 L=20m (tr.64)</t>
        </is>
      </c>
      <c r="D410" s="14" t="inlineStr">
        <is>
          <t>P8</t>
        </is>
      </c>
      <c r="E410" s="15" t="n">
        <v>12</v>
      </c>
      <c r="F410" s="4" t="inlineStr">
        <is>
          <t>CB400-V</t>
        </is>
      </c>
      <c r="G410" s="5" t="inlineStr"/>
      <c r="H410" s="16" t="n">
        <v>0.647</v>
      </c>
      <c r="I410" s="17" t="n">
        <v>8</v>
      </c>
      <c r="J410" s="18" t="n">
        <v>0.888</v>
      </c>
      <c r="K410" s="7">
        <f>ROUND(H410*I410*J410, 2)</f>
        <v/>
      </c>
      <c r="L410" s="19">
        <f>ROUND(K410/1000, 3)</f>
        <v/>
      </c>
      <c r="M410" s="728">
        <f>IF(AO410="","",IF(N(INDEX(Theo_Doi_Tan_Suat_Be_Tong!$C:$C,AO410))&lt;=0,"",INDEX(Theo_Doi_Tan_Suat_Be_Tong!$C:$C,AO410)-VLOOKUP(AN410,$AQ$2:$AR$7,2,FALSE)))</f>
        <v/>
      </c>
      <c r="N410" s="4" t="n"/>
      <c r="O410" s="20">
        <f>IF(ROUNDUP(Q410/20,0)&gt;ROUNDUP(Q409/20,0),"TN Ø12 (Lần " &amp; ROUNDUP(Q410/20,0) &amp; ")","")</f>
        <v/>
      </c>
      <c r="P410" s="16">
        <f>ROUND(P409+IF(AND(E410&lt;=10,F410&lt;&gt;"ASTM A416"),L410,0),3)</f>
        <v/>
      </c>
      <c r="Q410" s="16">
        <f>ROUND(Q409+IF(AND(E410=12,F410&lt;&gt;"ASTM A416"),L410,0),3)</f>
        <v/>
      </c>
      <c r="R410" s="16">
        <f>ROUND(R409+IF(AND(E410=14,F410&lt;&gt;"ASTM A416"),L410,0),3)</f>
        <v/>
      </c>
      <c r="S410" s="16">
        <f>ROUND(S409+IF(AND(E410=16,F410&lt;&gt;"ASTM A416"),L410,0),3)</f>
        <v/>
      </c>
      <c r="T410" s="16">
        <f>ROUND(T409+IF(AND(E410=18,F410&lt;&gt;"ASTM A416"),L410,0),3)</f>
        <v/>
      </c>
      <c r="U410" s="16">
        <f>ROUND(U409+IF(AND(E410=20,F410&lt;&gt;"ASTM A416"),L410,0),3)</f>
        <v/>
      </c>
      <c r="V410" s="16">
        <f>ROUND(V409+IF(AND(E410=22,F410&lt;&gt;"ASTM A416"),L410,0),3)</f>
        <v/>
      </c>
      <c r="W410" s="16">
        <f>ROUND(W409+IF(AND(E410=25,F410&lt;&gt;"ASTM A416"),L410,0),3)</f>
        <v/>
      </c>
      <c r="X410" s="16">
        <f>ROUND(X409+IF(AND(E410=28,F410&lt;&gt;"ASTM A416"),L410,0),3)</f>
        <v/>
      </c>
      <c r="Y410" s="16">
        <f>ROUND(Y409+IF(AND(E410=32,F410&lt;&gt;"ASTM A416"),L410,0),3)</f>
        <v/>
      </c>
      <c r="Z410" s="16">
        <f>ROUND(Z409+IF(F410="ASTM A416",L410,0),3)</f>
        <v/>
      </c>
      <c r="AA410" s="9">
        <f>IF(ROUNDUP(P410/20,0)&gt;ROUNDUP(P409/20,0),"Lần " &amp; ROUNDUP(P410/20,0),"")</f>
        <v/>
      </c>
      <c r="AB410" s="9">
        <f>IF(ROUNDUP(Q410/20,0)&gt;ROUNDUP(Q409/20,0),"Lần " &amp; ROUNDUP(Q410/20,0),"")</f>
        <v/>
      </c>
      <c r="AC410" s="9">
        <f>IF(ROUNDUP(R410/20,0)&gt;ROUNDUP(R409/20,0),"Lần " &amp; ROUNDUP(R410/20,0),"")</f>
        <v/>
      </c>
      <c r="AD410" s="9">
        <f>IF(ROUNDUP(S410/20,0)&gt;ROUNDUP(S409/20,0),"Lần " &amp; ROUNDUP(S410/20,0),"")</f>
        <v/>
      </c>
      <c r="AE410" s="9">
        <f>IF(ROUNDUP(T410/20,0)&gt;ROUNDUP(T409/20,0),"Lần " &amp; ROUNDUP(T410/20,0),"")</f>
        <v/>
      </c>
      <c r="AF410" s="9">
        <f>IF(ROUNDUP(U410/20,0)&gt;ROUNDUP(U409/20,0),"Lần " &amp; ROUNDUP(U410/20,0),"")</f>
        <v/>
      </c>
      <c r="AG410" s="9">
        <f>IF(ROUNDUP(V410/20,0)&gt;ROUNDUP(V409/20,0),"Lần " &amp; ROUNDUP(V410/20,0),"")</f>
        <v/>
      </c>
      <c r="AH410" s="9">
        <f>IF(ROUNDUP(W410/20,0)&gt;ROUNDUP(W409/20,0),"Lần " &amp; ROUNDUP(W410/20,0),"")</f>
        <v/>
      </c>
      <c r="AI410" s="9">
        <f>IF(ROUNDUP(X410/20,0)&gt;ROUNDUP(X409/20,0),"Lần " &amp; ROUNDUP(X410/20,0),"")</f>
        <v/>
      </c>
      <c r="AJ410" s="9">
        <f>IF(ROUNDUP(Y410/20,0)&gt;ROUNDUP(Y409/20,0),"Lần " &amp; ROUNDUP(Y410/20,0),"")</f>
        <v/>
      </c>
      <c r="AK410" s="9">
        <f>IF(ROUNDUP(Z410/20,0)&gt;ROUNDUP(Z409/20,0),"Lần " &amp; ROUNDUP(Z410/20,0),"")</f>
        <v/>
      </c>
      <c r="AL410" s="4" t="n"/>
      <c r="AN410" s="596" t="inlineStr">
        <is>
          <t>Coc</t>
        </is>
      </c>
      <c r="AO410" s="596" t="n">
        <v>28</v>
      </c>
      <c r="AQ410" s="594" t="n"/>
      <c r="AR410" s="595" t="n"/>
    </row>
    <row r="411" ht="19" customHeight="1" s="672">
      <c r="A411" s="4" t="n">
        <v>384</v>
      </c>
      <c r="B411" s="5" t="inlineStr">
        <is>
          <t>Cọc khoan nhồi C1 Mố M1 (D1.2m, L=20.0m)</t>
        </is>
      </c>
      <c r="C411" s="5" t="inlineStr">
        <is>
          <t>Cọc mố M1 L=20m (tr.64)</t>
        </is>
      </c>
      <c r="D411" s="14" t="inlineStr">
        <is>
          <t>P9</t>
        </is>
      </c>
      <c r="E411" s="15" t="n">
        <v>12</v>
      </c>
      <c r="F411" s="4" t="inlineStr">
        <is>
          <t>CB400-V</t>
        </is>
      </c>
      <c r="G411" s="5" t="inlineStr"/>
      <c r="H411" s="16" t="n">
        <v>0.379</v>
      </c>
      <c r="I411" s="17" t="n">
        <v>24</v>
      </c>
      <c r="J411" s="18" t="n">
        <v>0.888</v>
      </c>
      <c r="K411" s="7">
        <f>ROUND(H411*I411*J411, 2)</f>
        <v/>
      </c>
      <c r="L411" s="19">
        <f>ROUND(K411/1000, 3)</f>
        <v/>
      </c>
      <c r="M411" s="728">
        <f>IF(AO411="","",IF(N(INDEX(Theo_Doi_Tan_Suat_Be_Tong!$C:$C,AO411))&lt;=0,"",INDEX(Theo_Doi_Tan_Suat_Be_Tong!$C:$C,AO411)-VLOOKUP(AN411,$AQ$2:$AR$7,2,FALSE)))</f>
        <v/>
      </c>
      <c r="N411" s="4" t="n"/>
      <c r="O411" s="20">
        <f>IF(ROUNDUP(Q411/20,0)&gt;ROUNDUP(Q410/20,0),"TN Ø12 (Lần " &amp; ROUNDUP(Q411/20,0) &amp; ")","")</f>
        <v/>
      </c>
      <c r="P411" s="16">
        <f>ROUND(P410+IF(AND(E411&lt;=10,F411&lt;&gt;"ASTM A416"),L411,0),3)</f>
        <v/>
      </c>
      <c r="Q411" s="16">
        <f>ROUND(Q410+IF(AND(E411=12,F411&lt;&gt;"ASTM A416"),L411,0),3)</f>
        <v/>
      </c>
      <c r="R411" s="16">
        <f>ROUND(R410+IF(AND(E411=14,F411&lt;&gt;"ASTM A416"),L411,0),3)</f>
        <v/>
      </c>
      <c r="S411" s="16">
        <f>ROUND(S410+IF(AND(E411=16,F411&lt;&gt;"ASTM A416"),L411,0),3)</f>
        <v/>
      </c>
      <c r="T411" s="16">
        <f>ROUND(T410+IF(AND(E411=18,F411&lt;&gt;"ASTM A416"),L411,0),3)</f>
        <v/>
      </c>
      <c r="U411" s="16">
        <f>ROUND(U410+IF(AND(E411=20,F411&lt;&gt;"ASTM A416"),L411,0),3)</f>
        <v/>
      </c>
      <c r="V411" s="16">
        <f>ROUND(V410+IF(AND(E411=22,F411&lt;&gt;"ASTM A416"),L411,0),3)</f>
        <v/>
      </c>
      <c r="W411" s="16">
        <f>ROUND(W410+IF(AND(E411=25,F411&lt;&gt;"ASTM A416"),L411,0),3)</f>
        <v/>
      </c>
      <c r="X411" s="16">
        <f>ROUND(X410+IF(AND(E411=28,F411&lt;&gt;"ASTM A416"),L411,0),3)</f>
        <v/>
      </c>
      <c r="Y411" s="16">
        <f>ROUND(Y410+IF(AND(E411=32,F411&lt;&gt;"ASTM A416"),L411,0),3)</f>
        <v/>
      </c>
      <c r="Z411" s="16">
        <f>ROUND(Z410+IF(F411="ASTM A416",L411,0),3)</f>
        <v/>
      </c>
      <c r="AA411" s="9">
        <f>IF(ROUNDUP(P411/20,0)&gt;ROUNDUP(P410/20,0),"Lần " &amp; ROUNDUP(P411/20,0),"")</f>
        <v/>
      </c>
      <c r="AB411" s="9">
        <f>IF(ROUNDUP(Q411/20,0)&gt;ROUNDUP(Q410/20,0),"Lần " &amp; ROUNDUP(Q411/20,0),"")</f>
        <v/>
      </c>
      <c r="AC411" s="9">
        <f>IF(ROUNDUP(R411/20,0)&gt;ROUNDUP(R410/20,0),"Lần " &amp; ROUNDUP(R411/20,0),"")</f>
        <v/>
      </c>
      <c r="AD411" s="9">
        <f>IF(ROUNDUP(S411/20,0)&gt;ROUNDUP(S410/20,0),"Lần " &amp; ROUNDUP(S411/20,0),"")</f>
        <v/>
      </c>
      <c r="AE411" s="9">
        <f>IF(ROUNDUP(T411/20,0)&gt;ROUNDUP(T410/20,0),"Lần " &amp; ROUNDUP(T411/20,0),"")</f>
        <v/>
      </c>
      <c r="AF411" s="9">
        <f>IF(ROUNDUP(U411/20,0)&gt;ROUNDUP(U410/20,0),"Lần " &amp; ROUNDUP(U411/20,0),"")</f>
        <v/>
      </c>
      <c r="AG411" s="9">
        <f>IF(ROUNDUP(V411/20,0)&gt;ROUNDUP(V410/20,0),"Lần " &amp; ROUNDUP(V411/20,0),"")</f>
        <v/>
      </c>
      <c r="AH411" s="9">
        <f>IF(ROUNDUP(W411/20,0)&gt;ROUNDUP(W410/20,0),"Lần " &amp; ROUNDUP(W411/20,0),"")</f>
        <v/>
      </c>
      <c r="AI411" s="9">
        <f>IF(ROUNDUP(X411/20,0)&gt;ROUNDUP(X410/20,0),"Lần " &amp; ROUNDUP(X411/20,0),"")</f>
        <v/>
      </c>
      <c r="AJ411" s="9">
        <f>IF(ROUNDUP(Y411/20,0)&gt;ROUNDUP(Y410/20,0),"Lần " &amp; ROUNDUP(Y411/20,0),"")</f>
        <v/>
      </c>
      <c r="AK411" s="9">
        <f>IF(ROUNDUP(Z411/20,0)&gt;ROUNDUP(Z410/20,0),"Lần " &amp; ROUNDUP(Z411/20,0),"")</f>
        <v/>
      </c>
      <c r="AL411" s="4" t="n"/>
      <c r="AN411" s="596" t="inlineStr">
        <is>
          <t>Coc</t>
        </is>
      </c>
      <c r="AO411" s="596" t="n">
        <v>28</v>
      </c>
      <c r="AQ411" s="594" t="n"/>
      <c r="AR411" s="595" t="n"/>
    </row>
    <row r="412" ht="19" customHeight="1" s="672">
      <c r="A412" s="4" t="n">
        <v>385</v>
      </c>
      <c r="B412" s="5" t="inlineStr">
        <is>
          <t>Cọc khoan nhồi C1 Mố M1 (D1.2m, L=20.0m)</t>
        </is>
      </c>
      <c r="C412" s="5" t="inlineStr">
        <is>
          <t>Cọc mố M1 L=20m (tr.64)</t>
        </is>
      </c>
      <c r="D412" s="14" t="inlineStr">
        <is>
          <t>P10</t>
        </is>
      </c>
      <c r="E412" s="15" t="n">
        <v>20</v>
      </c>
      <c r="F412" s="4" t="inlineStr">
        <is>
          <t>CB400-V</t>
        </is>
      </c>
      <c r="G412" s="5" t="inlineStr"/>
      <c r="H412" s="16" t="n">
        <v>2.057</v>
      </c>
      <c r="I412" s="17" t="n">
        <v>1</v>
      </c>
      <c r="J412" s="18" t="n">
        <v>2.466</v>
      </c>
      <c r="K412" s="7">
        <f>ROUND(H412*I412*J412, 2)</f>
        <v/>
      </c>
      <c r="L412" s="19">
        <f>ROUND(K412/1000, 3)</f>
        <v/>
      </c>
      <c r="M412" s="728">
        <f>IF(AO412="","",IF(N(INDEX(Theo_Doi_Tan_Suat_Be_Tong!$C:$C,AO412))&lt;=0,"",INDEX(Theo_Doi_Tan_Suat_Be_Tong!$C:$C,AO412)-VLOOKUP(AN412,$AQ$2:$AR$7,2,FALSE)))</f>
        <v/>
      </c>
      <c r="N412" s="4" t="n"/>
      <c r="O412" s="20">
        <f>IF(ROUNDUP(U412/20,0)&gt;ROUNDUP(U411/20,0),"TN Ø20 (Lần " &amp; ROUNDUP(U412/20,0) &amp; ")","")</f>
        <v/>
      </c>
      <c r="P412" s="16">
        <f>ROUND(P411+IF(AND(E412&lt;=10,F412&lt;&gt;"ASTM A416"),L412,0),3)</f>
        <v/>
      </c>
      <c r="Q412" s="16">
        <f>ROUND(Q411+IF(AND(E412=12,F412&lt;&gt;"ASTM A416"),L412,0),3)</f>
        <v/>
      </c>
      <c r="R412" s="16">
        <f>ROUND(R411+IF(AND(E412=14,F412&lt;&gt;"ASTM A416"),L412,0),3)</f>
        <v/>
      </c>
      <c r="S412" s="16">
        <f>ROUND(S411+IF(AND(E412=16,F412&lt;&gt;"ASTM A416"),L412,0),3)</f>
        <v/>
      </c>
      <c r="T412" s="16">
        <f>ROUND(T411+IF(AND(E412=18,F412&lt;&gt;"ASTM A416"),L412,0),3)</f>
        <v/>
      </c>
      <c r="U412" s="16">
        <f>ROUND(U411+IF(AND(E412=20,F412&lt;&gt;"ASTM A416"),L412,0),3)</f>
        <v/>
      </c>
      <c r="V412" s="16">
        <f>ROUND(V411+IF(AND(E412=22,F412&lt;&gt;"ASTM A416"),L412,0),3)</f>
        <v/>
      </c>
      <c r="W412" s="16">
        <f>ROUND(W411+IF(AND(E412=25,F412&lt;&gt;"ASTM A416"),L412,0),3)</f>
        <v/>
      </c>
      <c r="X412" s="16">
        <f>ROUND(X411+IF(AND(E412=28,F412&lt;&gt;"ASTM A416"),L412,0),3)</f>
        <v/>
      </c>
      <c r="Y412" s="16">
        <f>ROUND(Y411+IF(AND(E412=32,F412&lt;&gt;"ASTM A416"),L412,0),3)</f>
        <v/>
      </c>
      <c r="Z412" s="16">
        <f>ROUND(Z411+IF(F412="ASTM A416",L412,0),3)</f>
        <v/>
      </c>
      <c r="AA412" s="9">
        <f>IF(ROUNDUP(P412/20,0)&gt;ROUNDUP(P411/20,0),"Lần " &amp; ROUNDUP(P412/20,0),"")</f>
        <v/>
      </c>
      <c r="AB412" s="9">
        <f>IF(ROUNDUP(Q412/20,0)&gt;ROUNDUP(Q411/20,0),"Lần " &amp; ROUNDUP(Q412/20,0),"")</f>
        <v/>
      </c>
      <c r="AC412" s="9">
        <f>IF(ROUNDUP(R412/20,0)&gt;ROUNDUP(R411/20,0),"Lần " &amp; ROUNDUP(R412/20,0),"")</f>
        <v/>
      </c>
      <c r="AD412" s="9">
        <f>IF(ROUNDUP(S412/20,0)&gt;ROUNDUP(S411/20,0),"Lần " &amp; ROUNDUP(S412/20,0),"")</f>
        <v/>
      </c>
      <c r="AE412" s="9">
        <f>IF(ROUNDUP(T412/20,0)&gt;ROUNDUP(T411/20,0),"Lần " &amp; ROUNDUP(T412/20,0),"")</f>
        <v/>
      </c>
      <c r="AF412" s="9">
        <f>IF(ROUNDUP(U412/20,0)&gt;ROUNDUP(U411/20,0),"Lần " &amp; ROUNDUP(U412/20,0),"")</f>
        <v/>
      </c>
      <c r="AG412" s="9">
        <f>IF(ROUNDUP(V412/20,0)&gt;ROUNDUP(V411/20,0),"Lần " &amp; ROUNDUP(V412/20,0),"")</f>
        <v/>
      </c>
      <c r="AH412" s="9">
        <f>IF(ROUNDUP(W412/20,0)&gt;ROUNDUP(W411/20,0),"Lần " &amp; ROUNDUP(W412/20,0),"")</f>
        <v/>
      </c>
      <c r="AI412" s="9">
        <f>IF(ROUNDUP(X412/20,0)&gt;ROUNDUP(X411/20,0),"Lần " &amp; ROUNDUP(X412/20,0),"")</f>
        <v/>
      </c>
      <c r="AJ412" s="9">
        <f>IF(ROUNDUP(Y412/20,0)&gt;ROUNDUP(Y411/20,0),"Lần " &amp; ROUNDUP(Y412/20,0),"")</f>
        <v/>
      </c>
      <c r="AK412" s="9">
        <f>IF(ROUNDUP(Z412/20,0)&gt;ROUNDUP(Z411/20,0),"Lần " &amp; ROUNDUP(Z412/20,0),"")</f>
        <v/>
      </c>
      <c r="AL412" s="4" t="n"/>
      <c r="AN412" s="596" t="inlineStr">
        <is>
          <t>Coc</t>
        </is>
      </c>
      <c r="AO412" s="596" t="n">
        <v>28</v>
      </c>
      <c r="AQ412" s="594" t="n"/>
      <c r="AR412" s="595" t="n"/>
    </row>
    <row r="413" ht="20" customHeight="1" s="672">
      <c r="A413" s="4" t="n">
        <v>386</v>
      </c>
      <c r="B413" s="5" t="inlineStr">
        <is>
          <t>Cọc khoan nhồi C1 Mố M1 (D1.2m, L=20.0m)</t>
        </is>
      </c>
      <c r="C413" s="5" t="inlineStr">
        <is>
          <t>Cọc mố M1 L=20m (tr.64)</t>
        </is>
      </c>
      <c r="D413" s="14" t="inlineStr">
        <is>
          <t>P12</t>
        </is>
      </c>
      <c r="E413" s="15" t="n">
        <v>20</v>
      </c>
      <c r="F413" s="4" t="inlineStr">
        <is>
          <t>CB400-V</t>
        </is>
      </c>
      <c r="G413" s="5" t="inlineStr"/>
      <c r="H413" s="16" t="n">
        <v>0.583</v>
      </c>
      <c r="I413" s="17" t="n">
        <v>32</v>
      </c>
      <c r="J413" s="18" t="n">
        <v>2.466</v>
      </c>
      <c r="K413" s="7">
        <f>ROUND(H413*I413*J413, 2)</f>
        <v/>
      </c>
      <c r="L413" s="19">
        <f>ROUND(K413/1000, 3)</f>
        <v/>
      </c>
      <c r="M413" s="728">
        <f>IF(AO413="","",IF(N(INDEX(Theo_Doi_Tan_Suat_Be_Tong!$C:$C,AO413))&lt;=0,"",INDEX(Theo_Doi_Tan_Suat_Be_Tong!$C:$C,AO413)-VLOOKUP(AN413,$AQ$2:$AR$7,2,FALSE)))</f>
        <v/>
      </c>
      <c r="N413" s="4" t="n"/>
      <c r="O413" s="20">
        <f>IF(ROUNDUP(U413/20,0)&gt;ROUNDUP(U412/20,0),"TN Ø20 (Lần " &amp; ROUNDUP(U413/20,0) &amp; ")","")</f>
        <v/>
      </c>
      <c r="P413" s="16">
        <f>ROUND(P412+IF(AND(E413&lt;=10,F413&lt;&gt;"ASTM A416"),L413,0),3)</f>
        <v/>
      </c>
      <c r="Q413" s="16">
        <f>ROUND(Q412+IF(AND(E413=12,F413&lt;&gt;"ASTM A416"),L413,0),3)</f>
        <v/>
      </c>
      <c r="R413" s="16">
        <f>ROUND(R412+IF(AND(E413=14,F413&lt;&gt;"ASTM A416"),L413,0),3)</f>
        <v/>
      </c>
      <c r="S413" s="16">
        <f>ROUND(S412+IF(AND(E413=16,F413&lt;&gt;"ASTM A416"),L413,0),3)</f>
        <v/>
      </c>
      <c r="T413" s="16">
        <f>ROUND(T412+IF(AND(E413=18,F413&lt;&gt;"ASTM A416"),L413,0),3)</f>
        <v/>
      </c>
      <c r="U413" s="16">
        <f>ROUND(U412+IF(AND(E413=20,F413&lt;&gt;"ASTM A416"),L413,0),3)</f>
        <v/>
      </c>
      <c r="V413" s="16">
        <f>ROUND(V412+IF(AND(E413=22,F413&lt;&gt;"ASTM A416"),L413,0),3)</f>
        <v/>
      </c>
      <c r="W413" s="16">
        <f>ROUND(W412+IF(AND(E413=25,F413&lt;&gt;"ASTM A416"),L413,0),3)</f>
        <v/>
      </c>
      <c r="X413" s="16">
        <f>ROUND(X412+IF(AND(E413=28,F413&lt;&gt;"ASTM A416"),L413,0),3)</f>
        <v/>
      </c>
      <c r="Y413" s="16">
        <f>ROUND(Y412+IF(AND(E413=32,F413&lt;&gt;"ASTM A416"),L413,0),3)</f>
        <v/>
      </c>
      <c r="Z413" s="16">
        <f>ROUND(Z412+IF(F413="ASTM A416",L413,0),3)</f>
        <v/>
      </c>
      <c r="AA413" s="9">
        <f>IF(ROUNDUP(P413/20,0)&gt;ROUNDUP(P412/20,0),"Lần " &amp; ROUNDUP(P413/20,0),"")</f>
        <v/>
      </c>
      <c r="AB413" s="9">
        <f>IF(ROUNDUP(Q413/20,0)&gt;ROUNDUP(Q412/20,0),"Lần " &amp; ROUNDUP(Q413/20,0),"")</f>
        <v/>
      </c>
      <c r="AC413" s="9">
        <f>IF(ROUNDUP(R413/20,0)&gt;ROUNDUP(R412/20,0),"Lần " &amp; ROUNDUP(R413/20,0),"")</f>
        <v/>
      </c>
      <c r="AD413" s="9">
        <f>IF(ROUNDUP(S413/20,0)&gt;ROUNDUP(S412/20,0),"Lần " &amp; ROUNDUP(S413/20,0),"")</f>
        <v/>
      </c>
      <c r="AE413" s="9">
        <f>IF(ROUNDUP(T413/20,0)&gt;ROUNDUP(T412/20,0),"Lần " &amp; ROUNDUP(T413/20,0),"")</f>
        <v/>
      </c>
      <c r="AF413" s="9">
        <f>IF(ROUNDUP(U413/20,0)&gt;ROUNDUP(U412/20,0),"Lần " &amp; ROUNDUP(U413/20,0),"")</f>
        <v/>
      </c>
      <c r="AG413" s="9">
        <f>IF(ROUNDUP(V413/20,0)&gt;ROUNDUP(V412/20,0),"Lần " &amp; ROUNDUP(V413/20,0),"")</f>
        <v/>
      </c>
      <c r="AH413" s="9">
        <f>IF(ROUNDUP(W413/20,0)&gt;ROUNDUP(W412/20,0),"Lần " &amp; ROUNDUP(W413/20,0),"")</f>
        <v/>
      </c>
      <c r="AI413" s="9">
        <f>IF(ROUNDUP(X413/20,0)&gt;ROUNDUP(X412/20,0),"Lần " &amp; ROUNDUP(X413/20,0),"")</f>
        <v/>
      </c>
      <c r="AJ413" s="9">
        <f>IF(ROUNDUP(Y413/20,0)&gt;ROUNDUP(Y412/20,0),"Lần " &amp; ROUNDUP(Y413/20,0),"")</f>
        <v/>
      </c>
      <c r="AK413" s="9">
        <f>IF(ROUNDUP(Z413/20,0)&gt;ROUNDUP(Z412/20,0),"Lần " &amp; ROUNDUP(Z413/20,0),"")</f>
        <v/>
      </c>
      <c r="AL413" s="4" t="n"/>
      <c r="AN413" s="596" t="inlineStr">
        <is>
          <t>Coc</t>
        </is>
      </c>
      <c r="AO413" s="596" t="n">
        <v>28</v>
      </c>
      <c r="AQ413" s="594" t="n"/>
      <c r="AR413" s="595" t="n"/>
    </row>
    <row r="414" ht="19" customHeight="1" s="672">
      <c r="A414" s="4" t="n">
        <v>387</v>
      </c>
      <c r="B414" s="5" t="inlineStr">
        <is>
          <t>Cọc khoan nhồi C1 Mố M1 (D1.2m, L=20.0m)</t>
        </is>
      </c>
      <c r="C414" s="5" t="inlineStr">
        <is>
          <t>Cọc mố M1 L=20m (tr.64)</t>
        </is>
      </c>
      <c r="D414" s="14" t="inlineStr">
        <is>
          <t>P11</t>
        </is>
      </c>
      <c r="E414" s="15" t="n">
        <v>16</v>
      </c>
      <c r="F414" s="4" t="inlineStr">
        <is>
          <t>CB400-V</t>
        </is>
      </c>
      <c r="G414" s="5" t="inlineStr"/>
      <c r="H414" s="16" t="n">
        <v>2.604</v>
      </c>
      <c r="I414" s="17" t="n">
        <v>4</v>
      </c>
      <c r="J414" s="18" t="n">
        <v>1.578</v>
      </c>
      <c r="K414" s="7">
        <f>ROUND(H414*I414*J414, 2)</f>
        <v/>
      </c>
      <c r="L414" s="19">
        <f>ROUND(K414/1000, 3)</f>
        <v/>
      </c>
      <c r="M414" s="728">
        <f>IF(AO414="","",IF(N(INDEX(Theo_Doi_Tan_Suat_Be_Tong!$C:$C,AO414))&lt;=0,"",INDEX(Theo_Doi_Tan_Suat_Be_Tong!$C:$C,AO414)-VLOOKUP(AN414,$AQ$2:$AR$7,2,FALSE)))</f>
        <v/>
      </c>
      <c r="N414" s="4" t="n"/>
      <c r="O414" s="20">
        <f>IF(ROUNDUP(S414/20,0)&gt;ROUNDUP(S413/20,0),"TN Ø16 (Lần " &amp; ROUNDUP(S414/20,0) &amp; ")","")</f>
        <v/>
      </c>
      <c r="P414" s="16">
        <f>ROUND(P413+IF(AND(E414&lt;=10,F414&lt;&gt;"ASTM A416"),L414,0),3)</f>
        <v/>
      </c>
      <c r="Q414" s="16">
        <f>ROUND(Q413+IF(AND(E414=12,F414&lt;&gt;"ASTM A416"),L414,0),3)</f>
        <v/>
      </c>
      <c r="R414" s="16">
        <f>ROUND(R413+IF(AND(E414=14,F414&lt;&gt;"ASTM A416"),L414,0),3)</f>
        <v/>
      </c>
      <c r="S414" s="16">
        <f>ROUND(S413+IF(AND(E414=16,F414&lt;&gt;"ASTM A416"),L414,0),3)</f>
        <v/>
      </c>
      <c r="T414" s="16">
        <f>ROUND(T413+IF(AND(E414=18,F414&lt;&gt;"ASTM A416"),L414,0),3)</f>
        <v/>
      </c>
      <c r="U414" s="16">
        <f>ROUND(U413+IF(AND(E414=20,F414&lt;&gt;"ASTM A416"),L414,0),3)</f>
        <v/>
      </c>
      <c r="V414" s="16">
        <f>ROUND(V413+IF(AND(E414=22,F414&lt;&gt;"ASTM A416"),L414,0),3)</f>
        <v/>
      </c>
      <c r="W414" s="16">
        <f>ROUND(W413+IF(AND(E414=25,F414&lt;&gt;"ASTM A416"),L414,0),3)</f>
        <v/>
      </c>
      <c r="X414" s="16">
        <f>ROUND(X413+IF(AND(E414=28,F414&lt;&gt;"ASTM A416"),L414,0),3)</f>
        <v/>
      </c>
      <c r="Y414" s="16">
        <f>ROUND(Y413+IF(AND(E414=32,F414&lt;&gt;"ASTM A416"),L414,0),3)</f>
        <v/>
      </c>
      <c r="Z414" s="16">
        <f>ROUND(Z413+IF(F414="ASTM A416",L414,0),3)</f>
        <v/>
      </c>
      <c r="AA414" s="9">
        <f>IF(ROUNDUP(P414/20,0)&gt;ROUNDUP(P413/20,0),"Lần " &amp; ROUNDUP(P414/20,0),"")</f>
        <v/>
      </c>
      <c r="AB414" s="9">
        <f>IF(ROUNDUP(Q414/20,0)&gt;ROUNDUP(Q413/20,0),"Lần " &amp; ROUNDUP(Q414/20,0),"")</f>
        <v/>
      </c>
      <c r="AC414" s="9">
        <f>IF(ROUNDUP(R414/20,0)&gt;ROUNDUP(R413/20,0),"Lần " &amp; ROUNDUP(R414/20,0),"")</f>
        <v/>
      </c>
      <c r="AD414" s="9">
        <f>IF(ROUNDUP(S414/20,0)&gt;ROUNDUP(S413/20,0),"Lần " &amp; ROUNDUP(S414/20,0),"")</f>
        <v/>
      </c>
      <c r="AE414" s="9">
        <f>IF(ROUNDUP(T414/20,0)&gt;ROUNDUP(T413/20,0),"Lần " &amp; ROUNDUP(T414/20,0),"")</f>
        <v/>
      </c>
      <c r="AF414" s="9">
        <f>IF(ROUNDUP(U414/20,0)&gt;ROUNDUP(U413/20,0),"Lần " &amp; ROUNDUP(U414/20,0),"")</f>
        <v/>
      </c>
      <c r="AG414" s="9">
        <f>IF(ROUNDUP(V414/20,0)&gt;ROUNDUP(V413/20,0),"Lần " &amp; ROUNDUP(V414/20,0),"")</f>
        <v/>
      </c>
      <c r="AH414" s="9">
        <f>IF(ROUNDUP(W414/20,0)&gt;ROUNDUP(W413/20,0),"Lần " &amp; ROUNDUP(W414/20,0),"")</f>
        <v/>
      </c>
      <c r="AI414" s="9">
        <f>IF(ROUNDUP(X414/20,0)&gt;ROUNDUP(X413/20,0),"Lần " &amp; ROUNDUP(X414/20,0),"")</f>
        <v/>
      </c>
      <c r="AJ414" s="9">
        <f>IF(ROUNDUP(Y414/20,0)&gt;ROUNDUP(Y413/20,0),"Lần " &amp; ROUNDUP(Y414/20,0),"")</f>
        <v/>
      </c>
      <c r="AK414" s="9">
        <f>IF(ROUNDUP(Z414/20,0)&gt;ROUNDUP(Z413/20,0),"Lần " &amp; ROUNDUP(Z414/20,0),"")</f>
        <v/>
      </c>
      <c r="AL414" s="4" t="n"/>
      <c r="AN414" s="596" t="inlineStr">
        <is>
          <t>Coc</t>
        </is>
      </c>
      <c r="AO414" s="596" t="n">
        <v>28</v>
      </c>
      <c r="AQ414" s="594" t="n"/>
      <c r="AR414" s="595" t="n"/>
    </row>
    <row r="415" ht="19" customHeight="1" s="672">
      <c r="A415" s="668" t="inlineStr">
        <is>
          <t>--- CỌC KHOAN NHỒI C2 MỐ M1 (D1.2M, L=20.0M) ---</t>
        </is>
      </c>
      <c r="B415" s="722" t="n"/>
      <c r="C415" s="722" t="n"/>
      <c r="D415" s="722" t="n"/>
      <c r="E415" s="722" t="n"/>
      <c r="F415" s="722" t="n"/>
      <c r="G415" s="722" t="n"/>
      <c r="H415" s="722" t="n"/>
      <c r="I415" s="722" t="n"/>
      <c r="J415" s="722" t="n"/>
      <c r="K415" s="722" t="n"/>
      <c r="L415" s="722" t="n"/>
      <c r="M415" s="722" t="n"/>
      <c r="N415" s="722" t="n"/>
      <c r="O415" s="722" t="n"/>
      <c r="P415" s="722" t="n"/>
      <c r="Q415" s="722" t="n"/>
      <c r="R415" s="722" t="n"/>
      <c r="S415" s="722" t="n"/>
      <c r="T415" s="722" t="n"/>
      <c r="U415" s="722" t="n"/>
      <c r="V415" s="722" t="n"/>
      <c r="W415" s="722" t="n"/>
      <c r="X415" s="722" t="n"/>
      <c r="Y415" s="722" t="n"/>
      <c r="Z415" s="722" t="n"/>
      <c r="AA415" s="722" t="n"/>
      <c r="AB415" s="722" t="n"/>
      <c r="AC415" s="722" t="n"/>
      <c r="AD415" s="722" t="n"/>
      <c r="AE415" s="722" t="n"/>
      <c r="AF415" s="722" t="n"/>
      <c r="AG415" s="722" t="n"/>
      <c r="AH415" s="722" t="n"/>
      <c r="AI415" s="722" t="n"/>
      <c r="AJ415" s="722" t="n"/>
      <c r="AK415" s="722" t="n"/>
      <c r="AL415" s="721" t="n"/>
      <c r="AQ415" s="594" t="n"/>
      <c r="AR415" s="595" t="n"/>
    </row>
    <row r="416" ht="19" customHeight="1" s="672">
      <c r="A416" s="4" t="n">
        <v>388</v>
      </c>
      <c r="B416" s="5" t="inlineStr">
        <is>
          <t>Cọc khoan nhồi C2 Mố M1 (D1.2m, L=20.0m)</t>
        </is>
      </c>
      <c r="C416" s="5" t="inlineStr">
        <is>
          <t>Cọc mố M1 L=20m (tr.64)</t>
        </is>
      </c>
      <c r="D416" s="14" t="inlineStr">
        <is>
          <t>P1</t>
        </is>
      </c>
      <c r="E416" s="15" t="n">
        <v>10</v>
      </c>
      <c r="F416" s="4" t="inlineStr">
        <is>
          <t>CB240-T</t>
        </is>
      </c>
      <c r="G416" s="5" t="inlineStr"/>
      <c r="H416" s="16" t="n">
        <v>96.604</v>
      </c>
      <c r="I416" s="17" t="n">
        <v>1</v>
      </c>
      <c r="J416" s="18" t="n">
        <v>0.617</v>
      </c>
      <c r="K416" s="7">
        <f>ROUND(H416*I416*J416, 2)</f>
        <v/>
      </c>
      <c r="L416" s="19">
        <f>ROUND(K416/1000, 3)</f>
        <v/>
      </c>
      <c r="M416" s="728">
        <f>IF(AO416="","",IF(N(INDEX(Theo_Doi_Tan_Suat_Be_Tong!$C:$C,AO416))&lt;=0,"",INDEX(Theo_Doi_Tan_Suat_Be_Tong!$C:$C,AO416)-VLOOKUP(AN416,$AQ$2:$AR$7,2,FALSE)))</f>
        <v/>
      </c>
      <c r="N416" s="4" t="n"/>
      <c r="O416" s="20">
        <f>IF(ROUNDUP(P416/20,0)&gt;ROUNDUP(P414/20,0),"TN Ø10 (Lần " &amp; ROUNDUP(P416/20,0) &amp; ")","")</f>
        <v/>
      </c>
      <c r="P416" s="16">
        <f>ROUND(P414+IF(AND(E416&lt;=10,F416&lt;&gt;"ASTM A416"),L416,0),3)</f>
        <v/>
      </c>
      <c r="Q416" s="16">
        <f>ROUND(Q414+IF(AND(E416=12,F416&lt;&gt;"ASTM A416"),L416,0),3)</f>
        <v/>
      </c>
      <c r="R416" s="16">
        <f>ROUND(R414+IF(AND(E416=14,F416&lt;&gt;"ASTM A416"),L416,0),3)</f>
        <v/>
      </c>
      <c r="S416" s="16">
        <f>ROUND(S414+IF(AND(E416=16,F416&lt;&gt;"ASTM A416"),L416,0),3)</f>
        <v/>
      </c>
      <c r="T416" s="16">
        <f>ROUND(T414+IF(AND(E416=18,F416&lt;&gt;"ASTM A416"),L416,0),3)</f>
        <v/>
      </c>
      <c r="U416" s="16">
        <f>ROUND(U414+IF(AND(E416=20,F416&lt;&gt;"ASTM A416"),L416,0),3)</f>
        <v/>
      </c>
      <c r="V416" s="16">
        <f>ROUND(V414+IF(AND(E416=22,F416&lt;&gt;"ASTM A416"),L416,0),3)</f>
        <v/>
      </c>
      <c r="W416" s="16">
        <f>ROUND(W414+IF(AND(E416=25,F416&lt;&gt;"ASTM A416"),L416,0),3)</f>
        <v/>
      </c>
      <c r="X416" s="16">
        <f>ROUND(X414+IF(AND(E416=28,F416&lt;&gt;"ASTM A416"),L416,0),3)</f>
        <v/>
      </c>
      <c r="Y416" s="16">
        <f>ROUND(Y414+IF(AND(E416=32,F416&lt;&gt;"ASTM A416"),L416,0),3)</f>
        <v/>
      </c>
      <c r="Z416" s="16">
        <f>ROUND(Z414+IF(F416="ASTM A416",L416,0),3)</f>
        <v/>
      </c>
      <c r="AA416" s="9">
        <f>IF(ROUNDUP(P416/20,0)&gt;ROUNDUP(P414/20,0),"Lần " &amp; ROUNDUP(P416/20,0),"")</f>
        <v/>
      </c>
      <c r="AB416" s="9">
        <f>IF(ROUNDUP(Q416/20,0)&gt;ROUNDUP(Q414/20,0),"Lần " &amp; ROUNDUP(Q416/20,0),"")</f>
        <v/>
      </c>
      <c r="AC416" s="9">
        <f>IF(ROUNDUP(R416/20,0)&gt;ROUNDUP(R414/20,0),"Lần " &amp; ROUNDUP(R416/20,0),"")</f>
        <v/>
      </c>
      <c r="AD416" s="9">
        <f>IF(ROUNDUP(S416/20,0)&gt;ROUNDUP(S414/20,0),"Lần " &amp; ROUNDUP(S416/20,0),"")</f>
        <v/>
      </c>
      <c r="AE416" s="9">
        <f>IF(ROUNDUP(T416/20,0)&gt;ROUNDUP(T414/20,0),"Lần " &amp; ROUNDUP(T416/20,0),"")</f>
        <v/>
      </c>
      <c r="AF416" s="9">
        <f>IF(ROUNDUP(U416/20,0)&gt;ROUNDUP(U414/20,0),"Lần " &amp; ROUNDUP(U416/20,0),"")</f>
        <v/>
      </c>
      <c r="AG416" s="9">
        <f>IF(ROUNDUP(V416/20,0)&gt;ROUNDUP(V414/20,0),"Lần " &amp; ROUNDUP(V416/20,0),"")</f>
        <v/>
      </c>
      <c r="AH416" s="9">
        <f>IF(ROUNDUP(W416/20,0)&gt;ROUNDUP(W414/20,0),"Lần " &amp; ROUNDUP(W416/20,0),"")</f>
        <v/>
      </c>
      <c r="AI416" s="9">
        <f>IF(ROUNDUP(X416/20,0)&gt;ROUNDUP(X414/20,0),"Lần " &amp; ROUNDUP(X416/20,0),"")</f>
        <v/>
      </c>
      <c r="AJ416" s="9">
        <f>IF(ROUNDUP(Y416/20,0)&gt;ROUNDUP(Y414/20,0),"Lần " &amp; ROUNDUP(Y416/20,0),"")</f>
        <v/>
      </c>
      <c r="AK416" s="9">
        <f>IF(ROUNDUP(Z416/20,0)&gt;ROUNDUP(Z414/20,0),"Lần " &amp; ROUNDUP(Z416/20,0),"")</f>
        <v/>
      </c>
      <c r="AL416" s="4" t="n"/>
      <c r="AN416" s="596" t="inlineStr">
        <is>
          <t>Coc</t>
        </is>
      </c>
      <c r="AO416" s="596" t="n">
        <v>29</v>
      </c>
      <c r="AQ416" s="594" t="n"/>
      <c r="AR416" s="595" t="n"/>
    </row>
    <row r="417" ht="19" customHeight="1" s="672">
      <c r="A417" s="4" t="n">
        <v>389</v>
      </c>
      <c r="B417" s="5" t="inlineStr">
        <is>
          <t>Cọc khoan nhồi C2 Mố M1 (D1.2m, L=20.0m)</t>
        </is>
      </c>
      <c r="C417" s="5" t="inlineStr">
        <is>
          <t>Cọc mố M1 L=20m (tr.64)</t>
        </is>
      </c>
      <c r="D417" s="14" t="inlineStr">
        <is>
          <t>P1A</t>
        </is>
      </c>
      <c r="E417" s="15" t="n">
        <v>10</v>
      </c>
      <c r="F417" s="4" t="inlineStr">
        <is>
          <t>CB240-T</t>
        </is>
      </c>
      <c r="G417" s="5" t="inlineStr"/>
      <c r="H417" s="16" t="n">
        <v>373.535</v>
      </c>
      <c r="I417" s="17" t="n">
        <v>1</v>
      </c>
      <c r="J417" s="18" t="n">
        <v>0.617</v>
      </c>
      <c r="K417" s="7">
        <f>ROUND(H417*I417*J417, 2)</f>
        <v/>
      </c>
      <c r="L417" s="19">
        <f>ROUND(K417/1000, 3)</f>
        <v/>
      </c>
      <c r="M417" s="728">
        <f>IF(AO417="","",IF(N(INDEX(Theo_Doi_Tan_Suat_Be_Tong!$C:$C,AO417))&lt;=0,"",INDEX(Theo_Doi_Tan_Suat_Be_Tong!$C:$C,AO417)-VLOOKUP(AN417,$AQ$2:$AR$7,2,FALSE)))</f>
        <v/>
      </c>
      <c r="N417" s="4" t="n"/>
      <c r="O417" s="20">
        <f>IF(ROUNDUP(P417/20,0)&gt;ROUNDUP(P416/20,0),"TN Ø10 (Lần " &amp; ROUNDUP(P417/20,0) &amp; ")","")</f>
        <v/>
      </c>
      <c r="P417" s="16">
        <f>ROUND(P416+IF(AND(E417&lt;=10,F417&lt;&gt;"ASTM A416"),L417,0),3)</f>
        <v/>
      </c>
      <c r="Q417" s="16">
        <f>ROUND(Q416+IF(AND(E417=12,F417&lt;&gt;"ASTM A416"),L417,0),3)</f>
        <v/>
      </c>
      <c r="R417" s="16">
        <f>ROUND(R416+IF(AND(E417=14,F417&lt;&gt;"ASTM A416"),L417,0),3)</f>
        <v/>
      </c>
      <c r="S417" s="16">
        <f>ROUND(S416+IF(AND(E417=16,F417&lt;&gt;"ASTM A416"),L417,0),3)</f>
        <v/>
      </c>
      <c r="T417" s="16">
        <f>ROUND(T416+IF(AND(E417=18,F417&lt;&gt;"ASTM A416"),L417,0),3)</f>
        <v/>
      </c>
      <c r="U417" s="16">
        <f>ROUND(U416+IF(AND(E417=20,F417&lt;&gt;"ASTM A416"),L417,0),3)</f>
        <v/>
      </c>
      <c r="V417" s="16">
        <f>ROUND(V416+IF(AND(E417=22,F417&lt;&gt;"ASTM A416"),L417,0),3)</f>
        <v/>
      </c>
      <c r="W417" s="16">
        <f>ROUND(W416+IF(AND(E417=25,F417&lt;&gt;"ASTM A416"),L417,0),3)</f>
        <v/>
      </c>
      <c r="X417" s="16">
        <f>ROUND(X416+IF(AND(E417=28,F417&lt;&gt;"ASTM A416"),L417,0),3)</f>
        <v/>
      </c>
      <c r="Y417" s="16">
        <f>ROUND(Y416+IF(AND(E417=32,F417&lt;&gt;"ASTM A416"),L417,0),3)</f>
        <v/>
      </c>
      <c r="Z417" s="16">
        <f>ROUND(Z416+IF(F417="ASTM A416",L417,0),3)</f>
        <v/>
      </c>
      <c r="AA417" s="9">
        <f>IF(ROUNDUP(P417/20,0)&gt;ROUNDUP(P416/20,0),"Lần " &amp; ROUNDUP(P417/20,0),"")</f>
        <v/>
      </c>
      <c r="AB417" s="9">
        <f>IF(ROUNDUP(Q417/20,0)&gt;ROUNDUP(Q416/20,0),"Lần " &amp; ROUNDUP(Q417/20,0),"")</f>
        <v/>
      </c>
      <c r="AC417" s="9">
        <f>IF(ROUNDUP(R417/20,0)&gt;ROUNDUP(R416/20,0),"Lần " &amp; ROUNDUP(R417/20,0),"")</f>
        <v/>
      </c>
      <c r="AD417" s="9">
        <f>IF(ROUNDUP(S417/20,0)&gt;ROUNDUP(S416/20,0),"Lần " &amp; ROUNDUP(S417/20,0),"")</f>
        <v/>
      </c>
      <c r="AE417" s="9">
        <f>IF(ROUNDUP(T417/20,0)&gt;ROUNDUP(T416/20,0),"Lần " &amp; ROUNDUP(T417/20,0),"")</f>
        <v/>
      </c>
      <c r="AF417" s="9">
        <f>IF(ROUNDUP(U417/20,0)&gt;ROUNDUP(U416/20,0),"Lần " &amp; ROUNDUP(U417/20,0),"")</f>
        <v/>
      </c>
      <c r="AG417" s="9">
        <f>IF(ROUNDUP(V417/20,0)&gt;ROUNDUP(V416/20,0),"Lần " &amp; ROUNDUP(V417/20,0),"")</f>
        <v/>
      </c>
      <c r="AH417" s="9">
        <f>IF(ROUNDUP(W417/20,0)&gt;ROUNDUP(W416/20,0),"Lần " &amp; ROUNDUP(W417/20,0),"")</f>
        <v/>
      </c>
      <c r="AI417" s="9">
        <f>IF(ROUNDUP(X417/20,0)&gt;ROUNDUP(X416/20,0),"Lần " &amp; ROUNDUP(X417/20,0),"")</f>
        <v/>
      </c>
      <c r="AJ417" s="9">
        <f>IF(ROUNDUP(Y417/20,0)&gt;ROUNDUP(Y416/20,0),"Lần " &amp; ROUNDUP(Y417/20,0),"")</f>
        <v/>
      </c>
      <c r="AK417" s="9">
        <f>IF(ROUNDUP(Z417/20,0)&gt;ROUNDUP(Z416/20,0),"Lần " &amp; ROUNDUP(Z417/20,0),"")</f>
        <v/>
      </c>
      <c r="AL417" s="4" t="n"/>
      <c r="AN417" s="596" t="inlineStr">
        <is>
          <t>Coc</t>
        </is>
      </c>
      <c r="AO417" s="596" t="n">
        <v>29</v>
      </c>
      <c r="AQ417" s="594" t="n"/>
      <c r="AR417" s="595" t="n"/>
    </row>
    <row r="418" ht="19" customHeight="1" s="672">
      <c r="A418" s="4" t="n">
        <v>390</v>
      </c>
      <c r="B418" s="5" t="inlineStr">
        <is>
          <t>Cọc khoan nhồi C2 Mố M1 (D1.2m, L=20.0m)</t>
        </is>
      </c>
      <c r="C418" s="5" t="inlineStr">
        <is>
          <t>Cọc mố M1 L=20m (tr.64)</t>
        </is>
      </c>
      <c r="D418" s="14" t="inlineStr">
        <is>
          <t>P1C</t>
        </is>
      </c>
      <c r="E418" s="15" t="n">
        <v>10</v>
      </c>
      <c r="F418" s="4" t="inlineStr">
        <is>
          <t>CB240-T</t>
        </is>
      </c>
      <c r="G418" s="5" t="inlineStr"/>
      <c r="H418" s="16" t="n">
        <v>3.592</v>
      </c>
      <c r="I418" s="17" t="n">
        <v>2</v>
      </c>
      <c r="J418" s="18" t="n">
        <v>0.617</v>
      </c>
      <c r="K418" s="7">
        <f>ROUND(H418*I418*J418, 2)</f>
        <v/>
      </c>
      <c r="L418" s="19">
        <f>ROUND(K418/1000, 3)</f>
        <v/>
      </c>
      <c r="M418" s="728">
        <f>IF(AO418="","",IF(N(INDEX(Theo_Doi_Tan_Suat_Be_Tong!$C:$C,AO418))&lt;=0,"",INDEX(Theo_Doi_Tan_Suat_Be_Tong!$C:$C,AO418)-VLOOKUP(AN418,$AQ$2:$AR$7,2,FALSE)))</f>
        <v/>
      </c>
      <c r="N418" s="4" t="n"/>
      <c r="O418" s="20">
        <f>IF(ROUNDUP(P418/20,0)&gt;ROUNDUP(P417/20,0),"TN Ø10 (Lần " &amp; ROUNDUP(P418/20,0) &amp; ")","")</f>
        <v/>
      </c>
      <c r="P418" s="16">
        <f>ROUND(P417+IF(AND(E418&lt;=10,F418&lt;&gt;"ASTM A416"),L418,0),3)</f>
        <v/>
      </c>
      <c r="Q418" s="16">
        <f>ROUND(Q417+IF(AND(E418=12,F418&lt;&gt;"ASTM A416"),L418,0),3)</f>
        <v/>
      </c>
      <c r="R418" s="16">
        <f>ROUND(R417+IF(AND(E418=14,F418&lt;&gt;"ASTM A416"),L418,0),3)</f>
        <v/>
      </c>
      <c r="S418" s="16">
        <f>ROUND(S417+IF(AND(E418=16,F418&lt;&gt;"ASTM A416"),L418,0),3)</f>
        <v/>
      </c>
      <c r="T418" s="16">
        <f>ROUND(T417+IF(AND(E418=18,F418&lt;&gt;"ASTM A416"),L418,0),3)</f>
        <v/>
      </c>
      <c r="U418" s="16">
        <f>ROUND(U417+IF(AND(E418=20,F418&lt;&gt;"ASTM A416"),L418,0),3)</f>
        <v/>
      </c>
      <c r="V418" s="16">
        <f>ROUND(V417+IF(AND(E418=22,F418&lt;&gt;"ASTM A416"),L418,0),3)</f>
        <v/>
      </c>
      <c r="W418" s="16">
        <f>ROUND(W417+IF(AND(E418=25,F418&lt;&gt;"ASTM A416"),L418,0),3)</f>
        <v/>
      </c>
      <c r="X418" s="16">
        <f>ROUND(X417+IF(AND(E418=28,F418&lt;&gt;"ASTM A416"),L418,0),3)</f>
        <v/>
      </c>
      <c r="Y418" s="16">
        <f>ROUND(Y417+IF(AND(E418=32,F418&lt;&gt;"ASTM A416"),L418,0),3)</f>
        <v/>
      </c>
      <c r="Z418" s="16">
        <f>ROUND(Z417+IF(F418="ASTM A416",L418,0),3)</f>
        <v/>
      </c>
      <c r="AA418" s="9">
        <f>IF(ROUNDUP(P418/20,0)&gt;ROUNDUP(P417/20,0),"Lần " &amp; ROUNDUP(P418/20,0),"")</f>
        <v/>
      </c>
      <c r="AB418" s="9">
        <f>IF(ROUNDUP(Q418/20,0)&gt;ROUNDUP(Q417/20,0),"Lần " &amp; ROUNDUP(Q418/20,0),"")</f>
        <v/>
      </c>
      <c r="AC418" s="9">
        <f>IF(ROUNDUP(R418/20,0)&gt;ROUNDUP(R417/20,0),"Lần " &amp; ROUNDUP(R418/20,0),"")</f>
        <v/>
      </c>
      <c r="AD418" s="9">
        <f>IF(ROUNDUP(S418/20,0)&gt;ROUNDUP(S417/20,0),"Lần " &amp; ROUNDUP(S418/20,0),"")</f>
        <v/>
      </c>
      <c r="AE418" s="9">
        <f>IF(ROUNDUP(T418/20,0)&gt;ROUNDUP(T417/20,0),"Lần " &amp; ROUNDUP(T418/20,0),"")</f>
        <v/>
      </c>
      <c r="AF418" s="9">
        <f>IF(ROUNDUP(U418/20,0)&gt;ROUNDUP(U417/20,0),"Lần " &amp; ROUNDUP(U418/20,0),"")</f>
        <v/>
      </c>
      <c r="AG418" s="9">
        <f>IF(ROUNDUP(V418/20,0)&gt;ROUNDUP(V417/20,0),"Lần " &amp; ROUNDUP(V418/20,0),"")</f>
        <v/>
      </c>
      <c r="AH418" s="9">
        <f>IF(ROUNDUP(W418/20,0)&gt;ROUNDUP(W417/20,0),"Lần " &amp; ROUNDUP(W418/20,0),"")</f>
        <v/>
      </c>
      <c r="AI418" s="9">
        <f>IF(ROUNDUP(X418/20,0)&gt;ROUNDUP(X417/20,0),"Lần " &amp; ROUNDUP(X418/20,0),"")</f>
        <v/>
      </c>
      <c r="AJ418" s="9">
        <f>IF(ROUNDUP(Y418/20,0)&gt;ROUNDUP(Y417/20,0),"Lần " &amp; ROUNDUP(Y418/20,0),"")</f>
        <v/>
      </c>
      <c r="AK418" s="9">
        <f>IF(ROUNDUP(Z418/20,0)&gt;ROUNDUP(Z417/20,0),"Lần " &amp; ROUNDUP(Z418/20,0),"")</f>
        <v/>
      </c>
      <c r="AL418" s="4" t="n"/>
      <c r="AN418" s="596" t="inlineStr">
        <is>
          <t>Coc</t>
        </is>
      </c>
      <c r="AO418" s="596" t="n">
        <v>29</v>
      </c>
      <c r="AQ418" s="594" t="n"/>
      <c r="AR418" s="595" t="n"/>
    </row>
    <row r="419" ht="19" customHeight="1" s="672">
      <c r="A419" s="4" t="n">
        <v>391</v>
      </c>
      <c r="B419" s="5" t="inlineStr">
        <is>
          <t>Cọc khoan nhồi C2 Mố M1 (D1.2m, L=20.0m)</t>
        </is>
      </c>
      <c r="C419" s="5" t="inlineStr">
        <is>
          <t>Cọc mố M1 L=20m (tr.64)</t>
        </is>
      </c>
      <c r="D419" s="14" t="inlineStr">
        <is>
          <t>P1D</t>
        </is>
      </c>
      <c r="E419" s="15" t="n">
        <v>10</v>
      </c>
      <c r="F419" s="4" t="inlineStr">
        <is>
          <t>CB240-T</t>
        </is>
      </c>
      <c r="G419" s="5" t="inlineStr"/>
      <c r="H419" s="16" t="n">
        <v>19.721</v>
      </c>
      <c r="I419" s="17" t="n">
        <v>1</v>
      </c>
      <c r="J419" s="18" t="n">
        <v>0.617</v>
      </c>
      <c r="K419" s="7">
        <f>ROUND(H419*I419*J419, 2)</f>
        <v/>
      </c>
      <c r="L419" s="19">
        <f>ROUND(K419/1000, 3)</f>
        <v/>
      </c>
      <c r="M419" s="728">
        <f>IF(AO419="","",IF(N(INDEX(Theo_Doi_Tan_Suat_Be_Tong!$C:$C,AO419))&lt;=0,"",INDEX(Theo_Doi_Tan_Suat_Be_Tong!$C:$C,AO419)-VLOOKUP(AN419,$AQ$2:$AR$7,2,FALSE)))</f>
        <v/>
      </c>
      <c r="N419" s="4" t="n"/>
      <c r="O419" s="20">
        <f>IF(ROUNDUP(P419/20,0)&gt;ROUNDUP(P418/20,0),"TN Ø10 (Lần " &amp; ROUNDUP(P419/20,0) &amp; ")","")</f>
        <v/>
      </c>
      <c r="P419" s="16">
        <f>ROUND(P418+IF(AND(E419&lt;=10,F419&lt;&gt;"ASTM A416"),L419,0),3)</f>
        <v/>
      </c>
      <c r="Q419" s="16">
        <f>ROUND(Q418+IF(AND(E419=12,F419&lt;&gt;"ASTM A416"),L419,0),3)</f>
        <v/>
      </c>
      <c r="R419" s="16">
        <f>ROUND(R418+IF(AND(E419=14,F419&lt;&gt;"ASTM A416"),L419,0),3)</f>
        <v/>
      </c>
      <c r="S419" s="16">
        <f>ROUND(S418+IF(AND(E419=16,F419&lt;&gt;"ASTM A416"),L419,0),3)</f>
        <v/>
      </c>
      <c r="T419" s="16">
        <f>ROUND(T418+IF(AND(E419=18,F419&lt;&gt;"ASTM A416"),L419,0),3)</f>
        <v/>
      </c>
      <c r="U419" s="16">
        <f>ROUND(U418+IF(AND(E419=20,F419&lt;&gt;"ASTM A416"),L419,0),3)</f>
        <v/>
      </c>
      <c r="V419" s="16">
        <f>ROUND(V418+IF(AND(E419=22,F419&lt;&gt;"ASTM A416"),L419,0),3)</f>
        <v/>
      </c>
      <c r="W419" s="16">
        <f>ROUND(W418+IF(AND(E419=25,F419&lt;&gt;"ASTM A416"),L419,0),3)</f>
        <v/>
      </c>
      <c r="X419" s="16">
        <f>ROUND(X418+IF(AND(E419=28,F419&lt;&gt;"ASTM A416"),L419,0),3)</f>
        <v/>
      </c>
      <c r="Y419" s="16">
        <f>ROUND(Y418+IF(AND(E419=32,F419&lt;&gt;"ASTM A416"),L419,0),3)</f>
        <v/>
      </c>
      <c r="Z419" s="16">
        <f>ROUND(Z418+IF(F419="ASTM A416",L419,0),3)</f>
        <v/>
      </c>
      <c r="AA419" s="9">
        <f>IF(ROUNDUP(P419/20,0)&gt;ROUNDUP(P418/20,0),"Lần " &amp; ROUNDUP(P419/20,0),"")</f>
        <v/>
      </c>
      <c r="AB419" s="9">
        <f>IF(ROUNDUP(Q419/20,0)&gt;ROUNDUP(Q418/20,0),"Lần " &amp; ROUNDUP(Q419/20,0),"")</f>
        <v/>
      </c>
      <c r="AC419" s="9">
        <f>IF(ROUNDUP(R419/20,0)&gt;ROUNDUP(R418/20,0),"Lần " &amp; ROUNDUP(R419/20,0),"")</f>
        <v/>
      </c>
      <c r="AD419" s="9">
        <f>IF(ROUNDUP(S419/20,0)&gt;ROUNDUP(S418/20,0),"Lần " &amp; ROUNDUP(S419/20,0),"")</f>
        <v/>
      </c>
      <c r="AE419" s="9">
        <f>IF(ROUNDUP(T419/20,0)&gt;ROUNDUP(T418/20,0),"Lần " &amp; ROUNDUP(T419/20,0),"")</f>
        <v/>
      </c>
      <c r="AF419" s="9">
        <f>IF(ROUNDUP(U419/20,0)&gt;ROUNDUP(U418/20,0),"Lần " &amp; ROUNDUP(U419/20,0),"")</f>
        <v/>
      </c>
      <c r="AG419" s="9">
        <f>IF(ROUNDUP(V419/20,0)&gt;ROUNDUP(V418/20,0),"Lần " &amp; ROUNDUP(V419/20,0),"")</f>
        <v/>
      </c>
      <c r="AH419" s="9">
        <f>IF(ROUNDUP(W419/20,0)&gt;ROUNDUP(W418/20,0),"Lần " &amp; ROUNDUP(W419/20,0),"")</f>
        <v/>
      </c>
      <c r="AI419" s="9">
        <f>IF(ROUNDUP(X419/20,0)&gt;ROUNDUP(X418/20,0),"Lần " &amp; ROUNDUP(X419/20,0),"")</f>
        <v/>
      </c>
      <c r="AJ419" s="9">
        <f>IF(ROUNDUP(Y419/20,0)&gt;ROUNDUP(Y418/20,0),"Lần " &amp; ROUNDUP(Y419/20,0),"")</f>
        <v/>
      </c>
      <c r="AK419" s="9">
        <f>IF(ROUNDUP(Z419/20,0)&gt;ROUNDUP(Z418/20,0),"Lần " &amp; ROUNDUP(Z419/20,0),"")</f>
        <v/>
      </c>
      <c r="AL419" s="4" t="n"/>
      <c r="AN419" s="596" t="inlineStr">
        <is>
          <t>Coc</t>
        </is>
      </c>
      <c r="AO419" s="596" t="n">
        <v>29</v>
      </c>
      <c r="AQ419" s="594" t="n"/>
      <c r="AR419" s="595" t="n"/>
    </row>
    <row r="420" ht="19" customHeight="1" s="672">
      <c r="A420" s="4" t="n">
        <v>392</v>
      </c>
      <c r="B420" s="5" t="inlineStr">
        <is>
          <t>Cọc khoan nhồi C2 Mố M1 (D1.2m, L=20.0m)</t>
        </is>
      </c>
      <c r="C420" s="5" t="inlineStr">
        <is>
          <t>Cọc mố M1 L=20m (tr.64)</t>
        </is>
      </c>
      <c r="D420" s="14" t="inlineStr">
        <is>
          <t>P2B</t>
        </is>
      </c>
      <c r="E420" s="15" t="n">
        <v>25</v>
      </c>
      <c r="F420" s="4" t="inlineStr">
        <is>
          <t>CB400-V</t>
        </is>
      </c>
      <c r="G420" s="5" t="inlineStr"/>
      <c r="H420" s="16" t="n">
        <v>2.985</v>
      </c>
      <c r="I420" s="17" t="n">
        <v>8</v>
      </c>
      <c r="J420" s="18" t="n">
        <v>3.853</v>
      </c>
      <c r="K420" s="7">
        <f>ROUND(H420*I420*J420, 2)</f>
        <v/>
      </c>
      <c r="L420" s="19">
        <f>ROUND(K420/1000, 3)</f>
        <v/>
      </c>
      <c r="M420" s="728">
        <f>IF(AO420="","",IF(N(INDEX(Theo_Doi_Tan_Suat_Be_Tong!$C:$C,AO420))&lt;=0,"",INDEX(Theo_Doi_Tan_Suat_Be_Tong!$C:$C,AO420)-VLOOKUP(AN420,$AQ$2:$AR$7,2,FALSE)))</f>
        <v/>
      </c>
      <c r="N420" s="4" t="n"/>
      <c r="O420" s="20">
        <f>IF(ROUNDUP(W420/20,0)&gt;ROUNDUP(W419/20,0),"TN Ø25 (Lần " &amp; ROUNDUP(W420/20,0) &amp; ")","")</f>
        <v/>
      </c>
      <c r="P420" s="16">
        <f>ROUND(P419+IF(AND(E420&lt;=10,F420&lt;&gt;"ASTM A416"),L420,0),3)</f>
        <v/>
      </c>
      <c r="Q420" s="16">
        <f>ROUND(Q419+IF(AND(E420=12,F420&lt;&gt;"ASTM A416"),L420,0),3)</f>
        <v/>
      </c>
      <c r="R420" s="16">
        <f>ROUND(R419+IF(AND(E420=14,F420&lt;&gt;"ASTM A416"),L420,0),3)</f>
        <v/>
      </c>
      <c r="S420" s="16">
        <f>ROUND(S419+IF(AND(E420=16,F420&lt;&gt;"ASTM A416"),L420,0),3)</f>
        <v/>
      </c>
      <c r="T420" s="16">
        <f>ROUND(T419+IF(AND(E420=18,F420&lt;&gt;"ASTM A416"),L420,0),3)</f>
        <v/>
      </c>
      <c r="U420" s="16">
        <f>ROUND(U419+IF(AND(E420=20,F420&lt;&gt;"ASTM A416"),L420,0),3)</f>
        <v/>
      </c>
      <c r="V420" s="16">
        <f>ROUND(V419+IF(AND(E420=22,F420&lt;&gt;"ASTM A416"),L420,0),3)</f>
        <v/>
      </c>
      <c r="W420" s="16">
        <f>ROUND(W419+IF(AND(E420=25,F420&lt;&gt;"ASTM A416"),L420,0),3)</f>
        <v/>
      </c>
      <c r="X420" s="16">
        <f>ROUND(X419+IF(AND(E420=28,F420&lt;&gt;"ASTM A416"),L420,0),3)</f>
        <v/>
      </c>
      <c r="Y420" s="16">
        <f>ROUND(Y419+IF(AND(E420=32,F420&lt;&gt;"ASTM A416"),L420,0),3)</f>
        <v/>
      </c>
      <c r="Z420" s="16">
        <f>ROUND(Z419+IF(F420="ASTM A416",L420,0),3)</f>
        <v/>
      </c>
      <c r="AA420" s="9">
        <f>IF(ROUNDUP(P420/20,0)&gt;ROUNDUP(P419/20,0),"Lần " &amp; ROUNDUP(P420/20,0),"")</f>
        <v/>
      </c>
      <c r="AB420" s="9">
        <f>IF(ROUNDUP(Q420/20,0)&gt;ROUNDUP(Q419/20,0),"Lần " &amp; ROUNDUP(Q420/20,0),"")</f>
        <v/>
      </c>
      <c r="AC420" s="9">
        <f>IF(ROUNDUP(R420/20,0)&gt;ROUNDUP(R419/20,0),"Lần " &amp; ROUNDUP(R420/20,0),"")</f>
        <v/>
      </c>
      <c r="AD420" s="9">
        <f>IF(ROUNDUP(S420/20,0)&gt;ROUNDUP(S419/20,0),"Lần " &amp; ROUNDUP(S420/20,0),"")</f>
        <v/>
      </c>
      <c r="AE420" s="9">
        <f>IF(ROUNDUP(T420/20,0)&gt;ROUNDUP(T419/20,0),"Lần " &amp; ROUNDUP(T420/20,0),"")</f>
        <v/>
      </c>
      <c r="AF420" s="9">
        <f>IF(ROUNDUP(U420/20,0)&gt;ROUNDUP(U419/20,0),"Lần " &amp; ROUNDUP(U420/20,0),"")</f>
        <v/>
      </c>
      <c r="AG420" s="9">
        <f>IF(ROUNDUP(V420/20,0)&gt;ROUNDUP(V419/20,0),"Lần " &amp; ROUNDUP(V420/20,0),"")</f>
        <v/>
      </c>
      <c r="AH420" s="9">
        <f>IF(ROUNDUP(W420/20,0)&gt;ROUNDUP(W419/20,0),"Lần " &amp; ROUNDUP(W420/20,0),"")</f>
        <v/>
      </c>
      <c r="AI420" s="9">
        <f>IF(ROUNDUP(X420/20,0)&gt;ROUNDUP(X419/20,0),"Lần " &amp; ROUNDUP(X420/20,0),"")</f>
        <v/>
      </c>
      <c r="AJ420" s="9">
        <f>IF(ROUNDUP(Y420/20,0)&gt;ROUNDUP(Y419/20,0),"Lần " &amp; ROUNDUP(Y420/20,0),"")</f>
        <v/>
      </c>
      <c r="AK420" s="9">
        <f>IF(ROUNDUP(Z420/20,0)&gt;ROUNDUP(Z419/20,0),"Lần " &amp; ROUNDUP(Z420/20,0),"")</f>
        <v/>
      </c>
      <c r="AL420" s="4" t="n"/>
      <c r="AN420" s="596" t="inlineStr">
        <is>
          <t>Coc</t>
        </is>
      </c>
      <c r="AO420" s="596" t="n">
        <v>29</v>
      </c>
      <c r="AQ420" s="594" t="n"/>
      <c r="AR420" s="595" t="n"/>
    </row>
    <row r="421" ht="19" customHeight="1" s="672">
      <c r="A421" s="4" t="n">
        <v>393</v>
      </c>
      <c r="B421" s="5" t="inlineStr">
        <is>
          <t>Cọc khoan nhồi C2 Mố M1 (D1.2m, L=20.0m)</t>
        </is>
      </c>
      <c r="C421" s="5" t="inlineStr">
        <is>
          <t>Cọc mố M1 L=20m (tr.64)</t>
        </is>
      </c>
      <c r="D421" s="14" t="inlineStr">
        <is>
          <t>P3</t>
        </is>
      </c>
      <c r="E421" s="15" t="n">
        <v>25</v>
      </c>
      <c r="F421" s="4" t="inlineStr">
        <is>
          <t>CB400-V</t>
        </is>
      </c>
      <c r="G421" s="5" t="inlineStr"/>
      <c r="H421" s="16" t="n">
        <v>10.7</v>
      </c>
      <c r="I421" s="17" t="n">
        <v>12</v>
      </c>
      <c r="J421" s="18" t="n">
        <v>3.853</v>
      </c>
      <c r="K421" s="7">
        <f>ROUND(H421*I421*J421, 2)</f>
        <v/>
      </c>
      <c r="L421" s="19">
        <f>ROUND(K421/1000, 3)</f>
        <v/>
      </c>
      <c r="M421" s="728">
        <f>IF(AO421="","",IF(N(INDEX(Theo_Doi_Tan_Suat_Be_Tong!$C:$C,AO421))&lt;=0,"",INDEX(Theo_Doi_Tan_Suat_Be_Tong!$C:$C,AO421)-VLOOKUP(AN421,$AQ$2:$AR$7,2,FALSE)))</f>
        <v/>
      </c>
      <c r="N421" s="4" t="n"/>
      <c r="O421" s="20">
        <f>IF(ROUNDUP(W421/20,0)&gt;ROUNDUP(W420/20,0),"TN Ø25 (Lần " &amp; ROUNDUP(W421/20,0) &amp; ")","")</f>
        <v/>
      </c>
      <c r="P421" s="16">
        <f>ROUND(P420+IF(AND(E421&lt;=10,F421&lt;&gt;"ASTM A416"),L421,0),3)</f>
        <v/>
      </c>
      <c r="Q421" s="16">
        <f>ROUND(Q420+IF(AND(E421=12,F421&lt;&gt;"ASTM A416"),L421,0),3)</f>
        <v/>
      </c>
      <c r="R421" s="16">
        <f>ROUND(R420+IF(AND(E421=14,F421&lt;&gt;"ASTM A416"),L421,0),3)</f>
        <v/>
      </c>
      <c r="S421" s="16">
        <f>ROUND(S420+IF(AND(E421=16,F421&lt;&gt;"ASTM A416"),L421,0),3)</f>
        <v/>
      </c>
      <c r="T421" s="16">
        <f>ROUND(T420+IF(AND(E421=18,F421&lt;&gt;"ASTM A416"),L421,0),3)</f>
        <v/>
      </c>
      <c r="U421" s="16">
        <f>ROUND(U420+IF(AND(E421=20,F421&lt;&gt;"ASTM A416"),L421,0),3)</f>
        <v/>
      </c>
      <c r="V421" s="16">
        <f>ROUND(V420+IF(AND(E421=22,F421&lt;&gt;"ASTM A416"),L421,0),3)</f>
        <v/>
      </c>
      <c r="W421" s="16">
        <f>ROUND(W420+IF(AND(E421=25,F421&lt;&gt;"ASTM A416"),L421,0),3)</f>
        <v/>
      </c>
      <c r="X421" s="16">
        <f>ROUND(X420+IF(AND(E421=28,F421&lt;&gt;"ASTM A416"),L421,0),3)</f>
        <v/>
      </c>
      <c r="Y421" s="16">
        <f>ROUND(Y420+IF(AND(E421=32,F421&lt;&gt;"ASTM A416"),L421,0),3)</f>
        <v/>
      </c>
      <c r="Z421" s="16">
        <f>ROUND(Z420+IF(F421="ASTM A416",L421,0),3)</f>
        <v/>
      </c>
      <c r="AA421" s="9">
        <f>IF(ROUNDUP(P421/20,0)&gt;ROUNDUP(P420/20,0),"Lần " &amp; ROUNDUP(P421/20,0),"")</f>
        <v/>
      </c>
      <c r="AB421" s="9">
        <f>IF(ROUNDUP(Q421/20,0)&gt;ROUNDUP(Q420/20,0),"Lần " &amp; ROUNDUP(Q421/20,0),"")</f>
        <v/>
      </c>
      <c r="AC421" s="9">
        <f>IF(ROUNDUP(R421/20,0)&gt;ROUNDUP(R420/20,0),"Lần " &amp; ROUNDUP(R421/20,0),"")</f>
        <v/>
      </c>
      <c r="AD421" s="9">
        <f>IF(ROUNDUP(S421/20,0)&gt;ROUNDUP(S420/20,0),"Lần " &amp; ROUNDUP(S421/20,0),"")</f>
        <v/>
      </c>
      <c r="AE421" s="9">
        <f>IF(ROUNDUP(T421/20,0)&gt;ROUNDUP(T420/20,0),"Lần " &amp; ROUNDUP(T421/20,0),"")</f>
        <v/>
      </c>
      <c r="AF421" s="9">
        <f>IF(ROUNDUP(U421/20,0)&gt;ROUNDUP(U420/20,0),"Lần " &amp; ROUNDUP(U421/20,0),"")</f>
        <v/>
      </c>
      <c r="AG421" s="9">
        <f>IF(ROUNDUP(V421/20,0)&gt;ROUNDUP(V420/20,0),"Lần " &amp; ROUNDUP(V421/20,0),"")</f>
        <v/>
      </c>
      <c r="AH421" s="9">
        <f>IF(ROUNDUP(W421/20,0)&gt;ROUNDUP(W420/20,0),"Lần " &amp; ROUNDUP(W421/20,0),"")</f>
        <v/>
      </c>
      <c r="AI421" s="9">
        <f>IF(ROUNDUP(X421/20,0)&gt;ROUNDUP(X420/20,0),"Lần " &amp; ROUNDUP(X421/20,0),"")</f>
        <v/>
      </c>
      <c r="AJ421" s="9">
        <f>IF(ROUNDUP(Y421/20,0)&gt;ROUNDUP(Y420/20,0),"Lần " &amp; ROUNDUP(Y421/20,0),"")</f>
        <v/>
      </c>
      <c r="AK421" s="9">
        <f>IF(ROUNDUP(Z421/20,0)&gt;ROUNDUP(Z420/20,0),"Lần " &amp; ROUNDUP(Z421/20,0),"")</f>
        <v/>
      </c>
      <c r="AL421" s="4" t="n"/>
      <c r="AN421" s="596" t="inlineStr">
        <is>
          <t>Coc</t>
        </is>
      </c>
      <c r="AO421" s="596" t="n">
        <v>29</v>
      </c>
      <c r="AQ421" s="594" t="n"/>
      <c r="AR421" s="595" t="n"/>
    </row>
    <row r="422" ht="19" customHeight="1" s="672">
      <c r="A422" s="4" t="n">
        <v>394</v>
      </c>
      <c r="B422" s="5" t="inlineStr">
        <is>
          <t>Cọc khoan nhồi C2 Mố M1 (D1.2m, L=20.0m)</t>
        </is>
      </c>
      <c r="C422" s="5" t="inlineStr">
        <is>
          <t>Cọc mố M1 L=20m (tr.64)</t>
        </is>
      </c>
      <c r="D422" s="14" t="inlineStr">
        <is>
          <t>P4</t>
        </is>
      </c>
      <c r="E422" s="15" t="n">
        <v>25</v>
      </c>
      <c r="F422" s="4" t="inlineStr">
        <is>
          <t>CB400-V</t>
        </is>
      </c>
      <c r="G422" s="5" t="inlineStr"/>
      <c r="H422" s="16" t="n">
        <v>11.7</v>
      </c>
      <c r="I422" s="17" t="n">
        <v>12</v>
      </c>
      <c r="J422" s="18" t="n">
        <v>3.853</v>
      </c>
      <c r="K422" s="7">
        <f>ROUND(H422*I422*J422, 2)</f>
        <v/>
      </c>
      <c r="L422" s="19">
        <f>ROUND(K422/1000, 3)</f>
        <v/>
      </c>
      <c r="M422" s="728">
        <f>IF(AO422="","",IF(N(INDEX(Theo_Doi_Tan_Suat_Be_Tong!$C:$C,AO422))&lt;=0,"",INDEX(Theo_Doi_Tan_Suat_Be_Tong!$C:$C,AO422)-VLOOKUP(AN422,$AQ$2:$AR$7,2,FALSE)))</f>
        <v/>
      </c>
      <c r="N422" s="4" t="n"/>
      <c r="O422" s="20">
        <f>IF(ROUNDUP(W422/20,0)&gt;ROUNDUP(W421/20,0),"TN Ø25 (Lần " &amp; ROUNDUP(W422/20,0) &amp; ")","")</f>
        <v/>
      </c>
      <c r="P422" s="16">
        <f>ROUND(P421+IF(AND(E422&lt;=10,F422&lt;&gt;"ASTM A416"),L422,0),3)</f>
        <v/>
      </c>
      <c r="Q422" s="16">
        <f>ROUND(Q421+IF(AND(E422=12,F422&lt;&gt;"ASTM A416"),L422,0),3)</f>
        <v/>
      </c>
      <c r="R422" s="16">
        <f>ROUND(R421+IF(AND(E422=14,F422&lt;&gt;"ASTM A416"),L422,0),3)</f>
        <v/>
      </c>
      <c r="S422" s="16">
        <f>ROUND(S421+IF(AND(E422=16,F422&lt;&gt;"ASTM A416"),L422,0),3)</f>
        <v/>
      </c>
      <c r="T422" s="16">
        <f>ROUND(T421+IF(AND(E422=18,F422&lt;&gt;"ASTM A416"),L422,0),3)</f>
        <v/>
      </c>
      <c r="U422" s="16">
        <f>ROUND(U421+IF(AND(E422=20,F422&lt;&gt;"ASTM A416"),L422,0),3)</f>
        <v/>
      </c>
      <c r="V422" s="16">
        <f>ROUND(V421+IF(AND(E422=22,F422&lt;&gt;"ASTM A416"),L422,0),3)</f>
        <v/>
      </c>
      <c r="W422" s="16">
        <f>ROUND(W421+IF(AND(E422=25,F422&lt;&gt;"ASTM A416"),L422,0),3)</f>
        <v/>
      </c>
      <c r="X422" s="16">
        <f>ROUND(X421+IF(AND(E422=28,F422&lt;&gt;"ASTM A416"),L422,0),3)</f>
        <v/>
      </c>
      <c r="Y422" s="16">
        <f>ROUND(Y421+IF(AND(E422=32,F422&lt;&gt;"ASTM A416"),L422,0),3)</f>
        <v/>
      </c>
      <c r="Z422" s="16">
        <f>ROUND(Z421+IF(F422="ASTM A416",L422,0),3)</f>
        <v/>
      </c>
      <c r="AA422" s="9">
        <f>IF(ROUNDUP(P422/20,0)&gt;ROUNDUP(P421/20,0),"Lần " &amp; ROUNDUP(P422/20,0),"")</f>
        <v/>
      </c>
      <c r="AB422" s="9">
        <f>IF(ROUNDUP(Q422/20,0)&gt;ROUNDUP(Q421/20,0),"Lần " &amp; ROUNDUP(Q422/20,0),"")</f>
        <v/>
      </c>
      <c r="AC422" s="9">
        <f>IF(ROUNDUP(R422/20,0)&gt;ROUNDUP(R421/20,0),"Lần " &amp; ROUNDUP(R422/20,0),"")</f>
        <v/>
      </c>
      <c r="AD422" s="9">
        <f>IF(ROUNDUP(S422/20,0)&gt;ROUNDUP(S421/20,0),"Lần " &amp; ROUNDUP(S422/20,0),"")</f>
        <v/>
      </c>
      <c r="AE422" s="9">
        <f>IF(ROUNDUP(T422/20,0)&gt;ROUNDUP(T421/20,0),"Lần " &amp; ROUNDUP(T422/20,0),"")</f>
        <v/>
      </c>
      <c r="AF422" s="9">
        <f>IF(ROUNDUP(U422/20,0)&gt;ROUNDUP(U421/20,0),"Lần " &amp; ROUNDUP(U422/20,0),"")</f>
        <v/>
      </c>
      <c r="AG422" s="9">
        <f>IF(ROUNDUP(V422/20,0)&gt;ROUNDUP(V421/20,0),"Lần " &amp; ROUNDUP(V422/20,0),"")</f>
        <v/>
      </c>
      <c r="AH422" s="9">
        <f>IF(ROUNDUP(W422/20,0)&gt;ROUNDUP(W421/20,0),"Lần " &amp; ROUNDUP(W422/20,0),"")</f>
        <v/>
      </c>
      <c r="AI422" s="9">
        <f>IF(ROUNDUP(X422/20,0)&gt;ROUNDUP(X421/20,0),"Lần " &amp; ROUNDUP(X422/20,0),"")</f>
        <v/>
      </c>
      <c r="AJ422" s="9">
        <f>IF(ROUNDUP(Y422/20,0)&gt;ROUNDUP(Y421/20,0),"Lần " &amp; ROUNDUP(Y422/20,0),"")</f>
        <v/>
      </c>
      <c r="AK422" s="9">
        <f>IF(ROUNDUP(Z422/20,0)&gt;ROUNDUP(Z421/20,0),"Lần " &amp; ROUNDUP(Z422/20,0),"")</f>
        <v/>
      </c>
      <c r="AL422" s="4" t="n"/>
      <c r="AN422" s="596" t="inlineStr">
        <is>
          <t>Coc</t>
        </is>
      </c>
      <c r="AO422" s="596" t="n">
        <v>29</v>
      </c>
      <c r="AQ422" s="594" t="n"/>
      <c r="AR422" s="595" t="n"/>
    </row>
    <row r="423" ht="19" customHeight="1" s="672">
      <c r="A423" s="4" t="n">
        <v>395</v>
      </c>
      <c r="B423" s="5" t="inlineStr">
        <is>
          <t>Cọc khoan nhồi C2 Mố M1 (D1.2m, L=20.0m)</t>
        </is>
      </c>
      <c r="C423" s="5" t="inlineStr">
        <is>
          <t>Cọc mố M1 L=20m (tr.64)</t>
        </is>
      </c>
      <c r="D423" s="14" t="inlineStr">
        <is>
          <t>P6</t>
        </is>
      </c>
      <c r="E423" s="15" t="n">
        <v>25</v>
      </c>
      <c r="F423" s="4" t="inlineStr">
        <is>
          <t>CB400-V</t>
        </is>
      </c>
      <c r="G423" s="5" t="inlineStr"/>
      <c r="H423" s="16" t="n">
        <v>10.433</v>
      </c>
      <c r="I423" s="17" t="n">
        <v>12</v>
      </c>
      <c r="J423" s="18" t="n">
        <v>3.853</v>
      </c>
      <c r="K423" s="7">
        <f>ROUND(H423*I423*J423, 2)</f>
        <v/>
      </c>
      <c r="L423" s="19">
        <f>ROUND(K423/1000, 3)</f>
        <v/>
      </c>
      <c r="M423" s="728">
        <f>IF(AO423="","",IF(N(INDEX(Theo_Doi_Tan_Suat_Be_Tong!$C:$C,AO423))&lt;=0,"",INDEX(Theo_Doi_Tan_Suat_Be_Tong!$C:$C,AO423)-VLOOKUP(AN423,$AQ$2:$AR$7,2,FALSE)))</f>
        <v/>
      </c>
      <c r="N423" s="4" t="n"/>
      <c r="O423" s="20">
        <f>IF(ROUNDUP(W423/20,0)&gt;ROUNDUP(W422/20,0),"TN Ø25 (Lần " &amp; ROUNDUP(W423/20,0) &amp; ")","")</f>
        <v/>
      </c>
      <c r="P423" s="16">
        <f>ROUND(P422+IF(AND(E423&lt;=10,F423&lt;&gt;"ASTM A416"),L423,0),3)</f>
        <v/>
      </c>
      <c r="Q423" s="16">
        <f>ROUND(Q422+IF(AND(E423=12,F423&lt;&gt;"ASTM A416"),L423,0),3)</f>
        <v/>
      </c>
      <c r="R423" s="16">
        <f>ROUND(R422+IF(AND(E423=14,F423&lt;&gt;"ASTM A416"),L423,0),3)</f>
        <v/>
      </c>
      <c r="S423" s="16">
        <f>ROUND(S422+IF(AND(E423=16,F423&lt;&gt;"ASTM A416"),L423,0),3)</f>
        <v/>
      </c>
      <c r="T423" s="16">
        <f>ROUND(T422+IF(AND(E423=18,F423&lt;&gt;"ASTM A416"),L423,0),3)</f>
        <v/>
      </c>
      <c r="U423" s="16">
        <f>ROUND(U422+IF(AND(E423=20,F423&lt;&gt;"ASTM A416"),L423,0),3)</f>
        <v/>
      </c>
      <c r="V423" s="16">
        <f>ROUND(V422+IF(AND(E423=22,F423&lt;&gt;"ASTM A416"),L423,0),3)</f>
        <v/>
      </c>
      <c r="W423" s="16">
        <f>ROUND(W422+IF(AND(E423=25,F423&lt;&gt;"ASTM A416"),L423,0),3)</f>
        <v/>
      </c>
      <c r="X423" s="16">
        <f>ROUND(X422+IF(AND(E423=28,F423&lt;&gt;"ASTM A416"),L423,0),3)</f>
        <v/>
      </c>
      <c r="Y423" s="16">
        <f>ROUND(Y422+IF(AND(E423=32,F423&lt;&gt;"ASTM A416"),L423,0),3)</f>
        <v/>
      </c>
      <c r="Z423" s="16">
        <f>ROUND(Z422+IF(F423="ASTM A416",L423,0),3)</f>
        <v/>
      </c>
      <c r="AA423" s="9">
        <f>IF(ROUNDUP(P423/20,0)&gt;ROUNDUP(P422/20,0),"Lần " &amp; ROUNDUP(P423/20,0),"")</f>
        <v/>
      </c>
      <c r="AB423" s="9">
        <f>IF(ROUNDUP(Q423/20,0)&gt;ROUNDUP(Q422/20,0),"Lần " &amp; ROUNDUP(Q423/20,0),"")</f>
        <v/>
      </c>
      <c r="AC423" s="9">
        <f>IF(ROUNDUP(R423/20,0)&gt;ROUNDUP(R422/20,0),"Lần " &amp; ROUNDUP(R423/20,0),"")</f>
        <v/>
      </c>
      <c r="AD423" s="9">
        <f>IF(ROUNDUP(S423/20,0)&gt;ROUNDUP(S422/20,0),"Lần " &amp; ROUNDUP(S423/20,0),"")</f>
        <v/>
      </c>
      <c r="AE423" s="9">
        <f>IF(ROUNDUP(T423/20,0)&gt;ROUNDUP(T422/20,0),"Lần " &amp; ROUNDUP(T423/20,0),"")</f>
        <v/>
      </c>
      <c r="AF423" s="9">
        <f>IF(ROUNDUP(U423/20,0)&gt;ROUNDUP(U422/20,0),"Lần " &amp; ROUNDUP(U423/20,0),"")</f>
        <v/>
      </c>
      <c r="AG423" s="9">
        <f>IF(ROUNDUP(V423/20,0)&gt;ROUNDUP(V422/20,0),"Lần " &amp; ROUNDUP(V423/20,0),"")</f>
        <v/>
      </c>
      <c r="AH423" s="9">
        <f>IF(ROUNDUP(W423/20,0)&gt;ROUNDUP(W422/20,0),"Lần " &amp; ROUNDUP(W423/20,0),"")</f>
        <v/>
      </c>
      <c r="AI423" s="9">
        <f>IF(ROUNDUP(X423/20,0)&gt;ROUNDUP(X422/20,0),"Lần " &amp; ROUNDUP(X423/20,0),"")</f>
        <v/>
      </c>
      <c r="AJ423" s="9">
        <f>IF(ROUNDUP(Y423/20,0)&gt;ROUNDUP(Y422/20,0),"Lần " &amp; ROUNDUP(Y423/20,0),"")</f>
        <v/>
      </c>
      <c r="AK423" s="9">
        <f>IF(ROUNDUP(Z423/20,0)&gt;ROUNDUP(Z422/20,0),"Lần " &amp; ROUNDUP(Z423/20,0),"")</f>
        <v/>
      </c>
      <c r="AL423" s="4" t="n"/>
      <c r="AN423" s="596" t="inlineStr">
        <is>
          <t>Coc</t>
        </is>
      </c>
      <c r="AO423" s="596" t="n">
        <v>29</v>
      </c>
      <c r="AQ423" s="594" t="n"/>
      <c r="AR423" s="595" t="n"/>
    </row>
    <row r="424" ht="19" customHeight="1" s="672">
      <c r="A424" s="4" t="n">
        <v>396</v>
      </c>
      <c r="B424" s="5" t="inlineStr">
        <is>
          <t>Cọc khoan nhồi C2 Mố M1 (D1.2m, L=20.0m)</t>
        </is>
      </c>
      <c r="C424" s="5" t="inlineStr">
        <is>
          <t>Cọc mố M1 L=20m (tr.64)</t>
        </is>
      </c>
      <c r="D424" s="14" t="inlineStr">
        <is>
          <t>P7</t>
        </is>
      </c>
      <c r="E424" s="15" t="n">
        <v>25</v>
      </c>
      <c r="F424" s="4" t="inlineStr">
        <is>
          <t>CB400-V</t>
        </is>
      </c>
      <c r="G424" s="5" t="inlineStr"/>
      <c r="H424" s="16" t="n">
        <v>11.433</v>
      </c>
      <c r="I424" s="17" t="n">
        <v>12</v>
      </c>
      <c r="J424" s="18" t="n">
        <v>3.853</v>
      </c>
      <c r="K424" s="7">
        <f>ROUND(H424*I424*J424, 2)</f>
        <v/>
      </c>
      <c r="L424" s="19">
        <f>ROUND(K424/1000, 3)</f>
        <v/>
      </c>
      <c r="M424" s="728">
        <f>IF(AO424="","",IF(N(INDEX(Theo_Doi_Tan_Suat_Be_Tong!$C:$C,AO424))&lt;=0,"",INDEX(Theo_Doi_Tan_Suat_Be_Tong!$C:$C,AO424)-VLOOKUP(AN424,$AQ$2:$AR$7,2,FALSE)))</f>
        <v/>
      </c>
      <c r="N424" s="4" t="n"/>
      <c r="O424" s="20">
        <f>IF(ROUNDUP(W424/20,0)&gt;ROUNDUP(W423/20,0),"TN Ø25 (Lần " &amp; ROUNDUP(W424/20,0) &amp; ")","")</f>
        <v/>
      </c>
      <c r="P424" s="16">
        <f>ROUND(P423+IF(AND(E424&lt;=10,F424&lt;&gt;"ASTM A416"),L424,0),3)</f>
        <v/>
      </c>
      <c r="Q424" s="16">
        <f>ROUND(Q423+IF(AND(E424=12,F424&lt;&gt;"ASTM A416"),L424,0),3)</f>
        <v/>
      </c>
      <c r="R424" s="16">
        <f>ROUND(R423+IF(AND(E424=14,F424&lt;&gt;"ASTM A416"),L424,0),3)</f>
        <v/>
      </c>
      <c r="S424" s="16">
        <f>ROUND(S423+IF(AND(E424=16,F424&lt;&gt;"ASTM A416"),L424,0),3)</f>
        <v/>
      </c>
      <c r="T424" s="16">
        <f>ROUND(T423+IF(AND(E424=18,F424&lt;&gt;"ASTM A416"),L424,0),3)</f>
        <v/>
      </c>
      <c r="U424" s="16">
        <f>ROUND(U423+IF(AND(E424=20,F424&lt;&gt;"ASTM A416"),L424,0),3)</f>
        <v/>
      </c>
      <c r="V424" s="16">
        <f>ROUND(V423+IF(AND(E424=22,F424&lt;&gt;"ASTM A416"),L424,0),3)</f>
        <v/>
      </c>
      <c r="W424" s="16">
        <f>ROUND(W423+IF(AND(E424=25,F424&lt;&gt;"ASTM A416"),L424,0),3)</f>
        <v/>
      </c>
      <c r="X424" s="16">
        <f>ROUND(X423+IF(AND(E424=28,F424&lt;&gt;"ASTM A416"),L424,0),3)</f>
        <v/>
      </c>
      <c r="Y424" s="16">
        <f>ROUND(Y423+IF(AND(E424=32,F424&lt;&gt;"ASTM A416"),L424,0),3)</f>
        <v/>
      </c>
      <c r="Z424" s="16">
        <f>ROUND(Z423+IF(F424="ASTM A416",L424,0),3)</f>
        <v/>
      </c>
      <c r="AA424" s="9">
        <f>IF(ROUNDUP(P424/20,0)&gt;ROUNDUP(P423/20,0),"Lần " &amp; ROUNDUP(P424/20,0),"")</f>
        <v/>
      </c>
      <c r="AB424" s="9">
        <f>IF(ROUNDUP(Q424/20,0)&gt;ROUNDUP(Q423/20,0),"Lần " &amp; ROUNDUP(Q424/20,0),"")</f>
        <v/>
      </c>
      <c r="AC424" s="9">
        <f>IF(ROUNDUP(R424/20,0)&gt;ROUNDUP(R423/20,0),"Lần " &amp; ROUNDUP(R424/20,0),"")</f>
        <v/>
      </c>
      <c r="AD424" s="9">
        <f>IF(ROUNDUP(S424/20,0)&gt;ROUNDUP(S423/20,0),"Lần " &amp; ROUNDUP(S424/20,0),"")</f>
        <v/>
      </c>
      <c r="AE424" s="9">
        <f>IF(ROUNDUP(T424/20,0)&gt;ROUNDUP(T423/20,0),"Lần " &amp; ROUNDUP(T424/20,0),"")</f>
        <v/>
      </c>
      <c r="AF424" s="9">
        <f>IF(ROUNDUP(U424/20,0)&gt;ROUNDUP(U423/20,0),"Lần " &amp; ROUNDUP(U424/20,0),"")</f>
        <v/>
      </c>
      <c r="AG424" s="9">
        <f>IF(ROUNDUP(V424/20,0)&gt;ROUNDUP(V423/20,0),"Lần " &amp; ROUNDUP(V424/20,0),"")</f>
        <v/>
      </c>
      <c r="AH424" s="9">
        <f>IF(ROUNDUP(W424/20,0)&gt;ROUNDUP(W423/20,0),"Lần " &amp; ROUNDUP(W424/20,0),"")</f>
        <v/>
      </c>
      <c r="AI424" s="9">
        <f>IF(ROUNDUP(X424/20,0)&gt;ROUNDUP(X423/20,0),"Lần " &amp; ROUNDUP(X424/20,0),"")</f>
        <v/>
      </c>
      <c r="AJ424" s="9">
        <f>IF(ROUNDUP(Y424/20,0)&gt;ROUNDUP(Y423/20,0),"Lần " &amp; ROUNDUP(Y424/20,0),"")</f>
        <v/>
      </c>
      <c r="AK424" s="9">
        <f>IF(ROUNDUP(Z424/20,0)&gt;ROUNDUP(Z423/20,0),"Lần " &amp; ROUNDUP(Z424/20,0),"")</f>
        <v/>
      </c>
      <c r="AL424" s="4" t="n"/>
      <c r="AN424" s="596" t="inlineStr">
        <is>
          <t>Coc</t>
        </is>
      </c>
      <c r="AO424" s="596" t="n">
        <v>29</v>
      </c>
      <c r="AQ424" s="594" t="n"/>
      <c r="AR424" s="595" t="n"/>
    </row>
    <row r="425" ht="19" customHeight="1" s="672">
      <c r="A425" s="4" t="n">
        <v>397</v>
      </c>
      <c r="B425" s="5" t="inlineStr">
        <is>
          <t>Cọc khoan nhồi C2 Mố M1 (D1.2m, L=20.0m)</t>
        </is>
      </c>
      <c r="C425" s="5" t="inlineStr">
        <is>
          <t>Cọc mố M1 L=20m (tr.64)</t>
        </is>
      </c>
      <c r="D425" s="14" t="inlineStr">
        <is>
          <t>P8</t>
        </is>
      </c>
      <c r="E425" s="15" t="n">
        <v>12</v>
      </c>
      <c r="F425" s="4" t="inlineStr">
        <is>
          <t>CB400-V</t>
        </is>
      </c>
      <c r="G425" s="5" t="inlineStr"/>
      <c r="H425" s="16" t="n">
        <v>0.647</v>
      </c>
      <c r="I425" s="17" t="n">
        <v>8</v>
      </c>
      <c r="J425" s="18" t="n">
        <v>0.888</v>
      </c>
      <c r="K425" s="7">
        <f>ROUND(H425*I425*J425, 2)</f>
        <v/>
      </c>
      <c r="L425" s="19">
        <f>ROUND(K425/1000, 3)</f>
        <v/>
      </c>
      <c r="M425" s="728">
        <f>IF(AO425="","",IF(N(INDEX(Theo_Doi_Tan_Suat_Be_Tong!$C:$C,AO425))&lt;=0,"",INDEX(Theo_Doi_Tan_Suat_Be_Tong!$C:$C,AO425)-VLOOKUP(AN425,$AQ$2:$AR$7,2,FALSE)))</f>
        <v/>
      </c>
      <c r="N425" s="4" t="n"/>
      <c r="O425" s="20">
        <f>IF(ROUNDUP(Q425/20,0)&gt;ROUNDUP(Q424/20,0),"TN Ø12 (Lần " &amp; ROUNDUP(Q425/20,0) &amp; ")","")</f>
        <v/>
      </c>
      <c r="P425" s="16">
        <f>ROUND(P424+IF(AND(E425&lt;=10,F425&lt;&gt;"ASTM A416"),L425,0),3)</f>
        <v/>
      </c>
      <c r="Q425" s="16">
        <f>ROUND(Q424+IF(AND(E425=12,F425&lt;&gt;"ASTM A416"),L425,0),3)</f>
        <v/>
      </c>
      <c r="R425" s="16">
        <f>ROUND(R424+IF(AND(E425=14,F425&lt;&gt;"ASTM A416"),L425,0),3)</f>
        <v/>
      </c>
      <c r="S425" s="16">
        <f>ROUND(S424+IF(AND(E425=16,F425&lt;&gt;"ASTM A416"),L425,0),3)</f>
        <v/>
      </c>
      <c r="T425" s="16">
        <f>ROUND(T424+IF(AND(E425=18,F425&lt;&gt;"ASTM A416"),L425,0),3)</f>
        <v/>
      </c>
      <c r="U425" s="16">
        <f>ROUND(U424+IF(AND(E425=20,F425&lt;&gt;"ASTM A416"),L425,0),3)</f>
        <v/>
      </c>
      <c r="V425" s="16">
        <f>ROUND(V424+IF(AND(E425=22,F425&lt;&gt;"ASTM A416"),L425,0),3)</f>
        <v/>
      </c>
      <c r="W425" s="16">
        <f>ROUND(W424+IF(AND(E425=25,F425&lt;&gt;"ASTM A416"),L425,0),3)</f>
        <v/>
      </c>
      <c r="X425" s="16">
        <f>ROUND(X424+IF(AND(E425=28,F425&lt;&gt;"ASTM A416"),L425,0),3)</f>
        <v/>
      </c>
      <c r="Y425" s="16">
        <f>ROUND(Y424+IF(AND(E425=32,F425&lt;&gt;"ASTM A416"),L425,0),3)</f>
        <v/>
      </c>
      <c r="Z425" s="16">
        <f>ROUND(Z424+IF(F425="ASTM A416",L425,0),3)</f>
        <v/>
      </c>
      <c r="AA425" s="9">
        <f>IF(ROUNDUP(P425/20,0)&gt;ROUNDUP(P424/20,0),"Lần " &amp; ROUNDUP(P425/20,0),"")</f>
        <v/>
      </c>
      <c r="AB425" s="9">
        <f>IF(ROUNDUP(Q425/20,0)&gt;ROUNDUP(Q424/20,0),"Lần " &amp; ROUNDUP(Q425/20,0),"")</f>
        <v/>
      </c>
      <c r="AC425" s="9">
        <f>IF(ROUNDUP(R425/20,0)&gt;ROUNDUP(R424/20,0),"Lần " &amp; ROUNDUP(R425/20,0),"")</f>
        <v/>
      </c>
      <c r="AD425" s="9">
        <f>IF(ROUNDUP(S425/20,0)&gt;ROUNDUP(S424/20,0),"Lần " &amp; ROUNDUP(S425/20,0),"")</f>
        <v/>
      </c>
      <c r="AE425" s="9">
        <f>IF(ROUNDUP(T425/20,0)&gt;ROUNDUP(T424/20,0),"Lần " &amp; ROUNDUP(T425/20,0),"")</f>
        <v/>
      </c>
      <c r="AF425" s="9">
        <f>IF(ROUNDUP(U425/20,0)&gt;ROUNDUP(U424/20,0),"Lần " &amp; ROUNDUP(U425/20,0),"")</f>
        <v/>
      </c>
      <c r="AG425" s="9">
        <f>IF(ROUNDUP(V425/20,0)&gt;ROUNDUP(V424/20,0),"Lần " &amp; ROUNDUP(V425/20,0),"")</f>
        <v/>
      </c>
      <c r="AH425" s="9">
        <f>IF(ROUNDUP(W425/20,0)&gt;ROUNDUP(W424/20,0),"Lần " &amp; ROUNDUP(W425/20,0),"")</f>
        <v/>
      </c>
      <c r="AI425" s="9">
        <f>IF(ROUNDUP(X425/20,0)&gt;ROUNDUP(X424/20,0),"Lần " &amp; ROUNDUP(X425/20,0),"")</f>
        <v/>
      </c>
      <c r="AJ425" s="9">
        <f>IF(ROUNDUP(Y425/20,0)&gt;ROUNDUP(Y424/20,0),"Lần " &amp; ROUNDUP(Y425/20,0),"")</f>
        <v/>
      </c>
      <c r="AK425" s="9">
        <f>IF(ROUNDUP(Z425/20,0)&gt;ROUNDUP(Z424/20,0),"Lần " &amp; ROUNDUP(Z425/20,0),"")</f>
        <v/>
      </c>
      <c r="AL425" s="4" t="n"/>
      <c r="AN425" s="596" t="inlineStr">
        <is>
          <t>Coc</t>
        </is>
      </c>
      <c r="AO425" s="596" t="n">
        <v>29</v>
      </c>
      <c r="AQ425" s="594" t="n"/>
      <c r="AR425" s="595" t="n"/>
    </row>
    <row r="426" ht="19" customHeight="1" s="672">
      <c r="A426" s="4" t="n">
        <v>398</v>
      </c>
      <c r="B426" s="5" t="inlineStr">
        <is>
          <t>Cọc khoan nhồi C2 Mố M1 (D1.2m, L=20.0m)</t>
        </is>
      </c>
      <c r="C426" s="5" t="inlineStr">
        <is>
          <t>Cọc mố M1 L=20m (tr.64)</t>
        </is>
      </c>
      <c r="D426" s="14" t="inlineStr">
        <is>
          <t>P9</t>
        </is>
      </c>
      <c r="E426" s="15" t="n">
        <v>12</v>
      </c>
      <c r="F426" s="4" t="inlineStr">
        <is>
          <t>CB400-V</t>
        </is>
      </c>
      <c r="G426" s="5" t="inlineStr"/>
      <c r="H426" s="16" t="n">
        <v>0.379</v>
      </c>
      <c r="I426" s="17" t="n">
        <v>24</v>
      </c>
      <c r="J426" s="18" t="n">
        <v>0.888</v>
      </c>
      <c r="K426" s="7">
        <f>ROUND(H426*I426*J426, 2)</f>
        <v/>
      </c>
      <c r="L426" s="19">
        <f>ROUND(K426/1000, 3)</f>
        <v/>
      </c>
      <c r="M426" s="728">
        <f>IF(AO426="","",IF(N(INDEX(Theo_Doi_Tan_Suat_Be_Tong!$C:$C,AO426))&lt;=0,"",INDEX(Theo_Doi_Tan_Suat_Be_Tong!$C:$C,AO426)-VLOOKUP(AN426,$AQ$2:$AR$7,2,FALSE)))</f>
        <v/>
      </c>
      <c r="N426" s="4" t="n"/>
      <c r="O426" s="20">
        <f>IF(ROUNDUP(Q426/20,0)&gt;ROUNDUP(Q425/20,0),"TN Ø12 (Lần " &amp; ROUNDUP(Q426/20,0) &amp; ")","")</f>
        <v/>
      </c>
      <c r="P426" s="16">
        <f>ROUND(P425+IF(AND(E426&lt;=10,F426&lt;&gt;"ASTM A416"),L426,0),3)</f>
        <v/>
      </c>
      <c r="Q426" s="16">
        <f>ROUND(Q425+IF(AND(E426=12,F426&lt;&gt;"ASTM A416"),L426,0),3)</f>
        <v/>
      </c>
      <c r="R426" s="16">
        <f>ROUND(R425+IF(AND(E426=14,F426&lt;&gt;"ASTM A416"),L426,0),3)</f>
        <v/>
      </c>
      <c r="S426" s="16">
        <f>ROUND(S425+IF(AND(E426=16,F426&lt;&gt;"ASTM A416"),L426,0),3)</f>
        <v/>
      </c>
      <c r="T426" s="16">
        <f>ROUND(T425+IF(AND(E426=18,F426&lt;&gt;"ASTM A416"),L426,0),3)</f>
        <v/>
      </c>
      <c r="U426" s="16">
        <f>ROUND(U425+IF(AND(E426=20,F426&lt;&gt;"ASTM A416"),L426,0),3)</f>
        <v/>
      </c>
      <c r="V426" s="16">
        <f>ROUND(V425+IF(AND(E426=22,F426&lt;&gt;"ASTM A416"),L426,0),3)</f>
        <v/>
      </c>
      <c r="W426" s="16">
        <f>ROUND(W425+IF(AND(E426=25,F426&lt;&gt;"ASTM A416"),L426,0),3)</f>
        <v/>
      </c>
      <c r="X426" s="16">
        <f>ROUND(X425+IF(AND(E426=28,F426&lt;&gt;"ASTM A416"),L426,0),3)</f>
        <v/>
      </c>
      <c r="Y426" s="16">
        <f>ROUND(Y425+IF(AND(E426=32,F426&lt;&gt;"ASTM A416"),L426,0),3)</f>
        <v/>
      </c>
      <c r="Z426" s="16">
        <f>ROUND(Z425+IF(F426="ASTM A416",L426,0),3)</f>
        <v/>
      </c>
      <c r="AA426" s="9">
        <f>IF(ROUNDUP(P426/20,0)&gt;ROUNDUP(P425/20,0),"Lần " &amp; ROUNDUP(P426/20,0),"")</f>
        <v/>
      </c>
      <c r="AB426" s="9">
        <f>IF(ROUNDUP(Q426/20,0)&gt;ROUNDUP(Q425/20,0),"Lần " &amp; ROUNDUP(Q426/20,0),"")</f>
        <v/>
      </c>
      <c r="AC426" s="9">
        <f>IF(ROUNDUP(R426/20,0)&gt;ROUNDUP(R425/20,0),"Lần " &amp; ROUNDUP(R426/20,0),"")</f>
        <v/>
      </c>
      <c r="AD426" s="9">
        <f>IF(ROUNDUP(S426/20,0)&gt;ROUNDUP(S425/20,0),"Lần " &amp; ROUNDUP(S426/20,0),"")</f>
        <v/>
      </c>
      <c r="AE426" s="9">
        <f>IF(ROUNDUP(T426/20,0)&gt;ROUNDUP(T425/20,0),"Lần " &amp; ROUNDUP(T426/20,0),"")</f>
        <v/>
      </c>
      <c r="AF426" s="9">
        <f>IF(ROUNDUP(U426/20,0)&gt;ROUNDUP(U425/20,0),"Lần " &amp; ROUNDUP(U426/20,0),"")</f>
        <v/>
      </c>
      <c r="AG426" s="9">
        <f>IF(ROUNDUP(V426/20,0)&gt;ROUNDUP(V425/20,0),"Lần " &amp; ROUNDUP(V426/20,0),"")</f>
        <v/>
      </c>
      <c r="AH426" s="9">
        <f>IF(ROUNDUP(W426/20,0)&gt;ROUNDUP(W425/20,0),"Lần " &amp; ROUNDUP(W426/20,0),"")</f>
        <v/>
      </c>
      <c r="AI426" s="9">
        <f>IF(ROUNDUP(X426/20,0)&gt;ROUNDUP(X425/20,0),"Lần " &amp; ROUNDUP(X426/20,0),"")</f>
        <v/>
      </c>
      <c r="AJ426" s="9">
        <f>IF(ROUNDUP(Y426/20,0)&gt;ROUNDUP(Y425/20,0),"Lần " &amp; ROUNDUP(Y426/20,0),"")</f>
        <v/>
      </c>
      <c r="AK426" s="9">
        <f>IF(ROUNDUP(Z426/20,0)&gt;ROUNDUP(Z425/20,0),"Lần " &amp; ROUNDUP(Z426/20,0),"")</f>
        <v/>
      </c>
      <c r="AL426" s="4" t="n"/>
      <c r="AN426" s="596" t="inlineStr">
        <is>
          <t>Coc</t>
        </is>
      </c>
      <c r="AO426" s="596" t="n">
        <v>29</v>
      </c>
      <c r="AQ426" s="594" t="n"/>
      <c r="AR426" s="595" t="n"/>
    </row>
    <row r="427" ht="19" customHeight="1" s="672">
      <c r="A427" s="4" t="n">
        <v>399</v>
      </c>
      <c r="B427" s="5" t="inlineStr">
        <is>
          <t>Cọc khoan nhồi C2 Mố M1 (D1.2m, L=20.0m)</t>
        </is>
      </c>
      <c r="C427" s="5" t="inlineStr">
        <is>
          <t>Cọc mố M1 L=20m (tr.64)</t>
        </is>
      </c>
      <c r="D427" s="14" t="inlineStr">
        <is>
          <t>P10</t>
        </is>
      </c>
      <c r="E427" s="15" t="n">
        <v>20</v>
      </c>
      <c r="F427" s="4" t="inlineStr">
        <is>
          <t>CB400-V</t>
        </is>
      </c>
      <c r="G427" s="5" t="inlineStr"/>
      <c r="H427" s="16" t="n">
        <v>2.057</v>
      </c>
      <c r="I427" s="17" t="n">
        <v>1</v>
      </c>
      <c r="J427" s="18" t="n">
        <v>2.466</v>
      </c>
      <c r="K427" s="7">
        <f>ROUND(H427*I427*J427, 2)</f>
        <v/>
      </c>
      <c r="L427" s="19">
        <f>ROUND(K427/1000, 3)</f>
        <v/>
      </c>
      <c r="M427" s="728">
        <f>IF(AO427="","",IF(N(INDEX(Theo_Doi_Tan_Suat_Be_Tong!$C:$C,AO427))&lt;=0,"",INDEX(Theo_Doi_Tan_Suat_Be_Tong!$C:$C,AO427)-VLOOKUP(AN427,$AQ$2:$AR$7,2,FALSE)))</f>
        <v/>
      </c>
      <c r="N427" s="4" t="n"/>
      <c r="O427" s="20">
        <f>IF(ROUNDUP(U427/20,0)&gt;ROUNDUP(U426/20,0),"TN Ø20 (Lần " &amp; ROUNDUP(U427/20,0) &amp; ")","")</f>
        <v/>
      </c>
      <c r="P427" s="16">
        <f>ROUND(P426+IF(AND(E427&lt;=10,F427&lt;&gt;"ASTM A416"),L427,0),3)</f>
        <v/>
      </c>
      <c r="Q427" s="16">
        <f>ROUND(Q426+IF(AND(E427=12,F427&lt;&gt;"ASTM A416"),L427,0),3)</f>
        <v/>
      </c>
      <c r="R427" s="16">
        <f>ROUND(R426+IF(AND(E427=14,F427&lt;&gt;"ASTM A416"),L427,0),3)</f>
        <v/>
      </c>
      <c r="S427" s="16">
        <f>ROUND(S426+IF(AND(E427=16,F427&lt;&gt;"ASTM A416"),L427,0),3)</f>
        <v/>
      </c>
      <c r="T427" s="16">
        <f>ROUND(T426+IF(AND(E427=18,F427&lt;&gt;"ASTM A416"),L427,0),3)</f>
        <v/>
      </c>
      <c r="U427" s="16">
        <f>ROUND(U426+IF(AND(E427=20,F427&lt;&gt;"ASTM A416"),L427,0),3)</f>
        <v/>
      </c>
      <c r="V427" s="16">
        <f>ROUND(V426+IF(AND(E427=22,F427&lt;&gt;"ASTM A416"),L427,0),3)</f>
        <v/>
      </c>
      <c r="W427" s="16">
        <f>ROUND(W426+IF(AND(E427=25,F427&lt;&gt;"ASTM A416"),L427,0),3)</f>
        <v/>
      </c>
      <c r="X427" s="16">
        <f>ROUND(X426+IF(AND(E427=28,F427&lt;&gt;"ASTM A416"),L427,0),3)</f>
        <v/>
      </c>
      <c r="Y427" s="16">
        <f>ROUND(Y426+IF(AND(E427=32,F427&lt;&gt;"ASTM A416"),L427,0),3)</f>
        <v/>
      </c>
      <c r="Z427" s="16">
        <f>ROUND(Z426+IF(F427="ASTM A416",L427,0),3)</f>
        <v/>
      </c>
      <c r="AA427" s="9">
        <f>IF(ROUNDUP(P427/20,0)&gt;ROUNDUP(P426/20,0),"Lần " &amp; ROUNDUP(P427/20,0),"")</f>
        <v/>
      </c>
      <c r="AB427" s="9">
        <f>IF(ROUNDUP(Q427/20,0)&gt;ROUNDUP(Q426/20,0),"Lần " &amp; ROUNDUP(Q427/20,0),"")</f>
        <v/>
      </c>
      <c r="AC427" s="9">
        <f>IF(ROUNDUP(R427/20,0)&gt;ROUNDUP(R426/20,0),"Lần " &amp; ROUNDUP(R427/20,0),"")</f>
        <v/>
      </c>
      <c r="AD427" s="9">
        <f>IF(ROUNDUP(S427/20,0)&gt;ROUNDUP(S426/20,0),"Lần " &amp; ROUNDUP(S427/20,0),"")</f>
        <v/>
      </c>
      <c r="AE427" s="9">
        <f>IF(ROUNDUP(T427/20,0)&gt;ROUNDUP(T426/20,0),"Lần " &amp; ROUNDUP(T427/20,0),"")</f>
        <v/>
      </c>
      <c r="AF427" s="9">
        <f>IF(ROUNDUP(U427/20,0)&gt;ROUNDUP(U426/20,0),"Lần " &amp; ROUNDUP(U427/20,0),"")</f>
        <v/>
      </c>
      <c r="AG427" s="9">
        <f>IF(ROUNDUP(V427/20,0)&gt;ROUNDUP(V426/20,0),"Lần " &amp; ROUNDUP(V427/20,0),"")</f>
        <v/>
      </c>
      <c r="AH427" s="9">
        <f>IF(ROUNDUP(W427/20,0)&gt;ROUNDUP(W426/20,0),"Lần " &amp; ROUNDUP(W427/20,0),"")</f>
        <v/>
      </c>
      <c r="AI427" s="9">
        <f>IF(ROUNDUP(X427/20,0)&gt;ROUNDUP(X426/20,0),"Lần " &amp; ROUNDUP(X427/20,0),"")</f>
        <v/>
      </c>
      <c r="AJ427" s="9">
        <f>IF(ROUNDUP(Y427/20,0)&gt;ROUNDUP(Y426/20,0),"Lần " &amp; ROUNDUP(Y427/20,0),"")</f>
        <v/>
      </c>
      <c r="AK427" s="9">
        <f>IF(ROUNDUP(Z427/20,0)&gt;ROUNDUP(Z426/20,0),"Lần " &amp; ROUNDUP(Z427/20,0),"")</f>
        <v/>
      </c>
      <c r="AL427" s="4" t="n"/>
      <c r="AN427" s="596" t="inlineStr">
        <is>
          <t>Coc</t>
        </is>
      </c>
      <c r="AO427" s="596" t="n">
        <v>29</v>
      </c>
      <c r="AQ427" s="594" t="n"/>
      <c r="AR427" s="595" t="n"/>
    </row>
    <row r="428" ht="19" customHeight="1" s="672">
      <c r="A428" s="4" t="n">
        <v>400</v>
      </c>
      <c r="B428" s="5" t="inlineStr">
        <is>
          <t>Cọc khoan nhồi C2 Mố M1 (D1.2m, L=20.0m)</t>
        </is>
      </c>
      <c r="C428" s="5" t="inlineStr">
        <is>
          <t>Cọc mố M1 L=20m (tr.64)</t>
        </is>
      </c>
      <c r="D428" s="14" t="inlineStr">
        <is>
          <t>P12</t>
        </is>
      </c>
      <c r="E428" s="15" t="n">
        <v>20</v>
      </c>
      <c r="F428" s="4" t="inlineStr">
        <is>
          <t>CB400-V</t>
        </is>
      </c>
      <c r="G428" s="5" t="inlineStr"/>
      <c r="H428" s="16" t="n">
        <v>0.583</v>
      </c>
      <c r="I428" s="17" t="n">
        <v>32</v>
      </c>
      <c r="J428" s="18" t="n">
        <v>2.466</v>
      </c>
      <c r="K428" s="7">
        <f>ROUND(H428*I428*J428, 2)</f>
        <v/>
      </c>
      <c r="L428" s="19">
        <f>ROUND(K428/1000, 3)</f>
        <v/>
      </c>
      <c r="M428" s="728">
        <f>IF(AO428="","",IF(N(INDEX(Theo_Doi_Tan_Suat_Be_Tong!$C:$C,AO428))&lt;=0,"",INDEX(Theo_Doi_Tan_Suat_Be_Tong!$C:$C,AO428)-VLOOKUP(AN428,$AQ$2:$AR$7,2,FALSE)))</f>
        <v/>
      </c>
      <c r="N428" s="4" t="n"/>
      <c r="O428" s="20">
        <f>IF(ROUNDUP(U428/20,0)&gt;ROUNDUP(U427/20,0),"TN Ø20 (Lần " &amp; ROUNDUP(U428/20,0) &amp; ")","")</f>
        <v/>
      </c>
      <c r="P428" s="16">
        <f>ROUND(P427+IF(AND(E428&lt;=10,F428&lt;&gt;"ASTM A416"),L428,0),3)</f>
        <v/>
      </c>
      <c r="Q428" s="16">
        <f>ROUND(Q427+IF(AND(E428=12,F428&lt;&gt;"ASTM A416"),L428,0),3)</f>
        <v/>
      </c>
      <c r="R428" s="16">
        <f>ROUND(R427+IF(AND(E428=14,F428&lt;&gt;"ASTM A416"),L428,0),3)</f>
        <v/>
      </c>
      <c r="S428" s="16">
        <f>ROUND(S427+IF(AND(E428=16,F428&lt;&gt;"ASTM A416"),L428,0),3)</f>
        <v/>
      </c>
      <c r="T428" s="16">
        <f>ROUND(T427+IF(AND(E428=18,F428&lt;&gt;"ASTM A416"),L428,0),3)</f>
        <v/>
      </c>
      <c r="U428" s="16">
        <f>ROUND(U427+IF(AND(E428=20,F428&lt;&gt;"ASTM A416"),L428,0),3)</f>
        <v/>
      </c>
      <c r="V428" s="16">
        <f>ROUND(V427+IF(AND(E428=22,F428&lt;&gt;"ASTM A416"),L428,0),3)</f>
        <v/>
      </c>
      <c r="W428" s="16">
        <f>ROUND(W427+IF(AND(E428=25,F428&lt;&gt;"ASTM A416"),L428,0),3)</f>
        <v/>
      </c>
      <c r="X428" s="16">
        <f>ROUND(X427+IF(AND(E428=28,F428&lt;&gt;"ASTM A416"),L428,0),3)</f>
        <v/>
      </c>
      <c r="Y428" s="16">
        <f>ROUND(Y427+IF(AND(E428=32,F428&lt;&gt;"ASTM A416"),L428,0),3)</f>
        <v/>
      </c>
      <c r="Z428" s="16">
        <f>ROUND(Z427+IF(F428="ASTM A416",L428,0),3)</f>
        <v/>
      </c>
      <c r="AA428" s="9">
        <f>IF(ROUNDUP(P428/20,0)&gt;ROUNDUP(P427/20,0),"Lần " &amp; ROUNDUP(P428/20,0),"")</f>
        <v/>
      </c>
      <c r="AB428" s="9">
        <f>IF(ROUNDUP(Q428/20,0)&gt;ROUNDUP(Q427/20,0),"Lần " &amp; ROUNDUP(Q428/20,0),"")</f>
        <v/>
      </c>
      <c r="AC428" s="9">
        <f>IF(ROUNDUP(R428/20,0)&gt;ROUNDUP(R427/20,0),"Lần " &amp; ROUNDUP(R428/20,0),"")</f>
        <v/>
      </c>
      <c r="AD428" s="9">
        <f>IF(ROUNDUP(S428/20,0)&gt;ROUNDUP(S427/20,0),"Lần " &amp; ROUNDUP(S428/20,0),"")</f>
        <v/>
      </c>
      <c r="AE428" s="9">
        <f>IF(ROUNDUP(T428/20,0)&gt;ROUNDUP(T427/20,0),"Lần " &amp; ROUNDUP(T428/20,0),"")</f>
        <v/>
      </c>
      <c r="AF428" s="9">
        <f>IF(ROUNDUP(U428/20,0)&gt;ROUNDUP(U427/20,0),"Lần " &amp; ROUNDUP(U428/20,0),"")</f>
        <v/>
      </c>
      <c r="AG428" s="9">
        <f>IF(ROUNDUP(V428/20,0)&gt;ROUNDUP(V427/20,0),"Lần " &amp; ROUNDUP(V428/20,0),"")</f>
        <v/>
      </c>
      <c r="AH428" s="9">
        <f>IF(ROUNDUP(W428/20,0)&gt;ROUNDUP(W427/20,0),"Lần " &amp; ROUNDUP(W428/20,0),"")</f>
        <v/>
      </c>
      <c r="AI428" s="9">
        <f>IF(ROUNDUP(X428/20,0)&gt;ROUNDUP(X427/20,0),"Lần " &amp; ROUNDUP(X428/20,0),"")</f>
        <v/>
      </c>
      <c r="AJ428" s="9">
        <f>IF(ROUNDUP(Y428/20,0)&gt;ROUNDUP(Y427/20,0),"Lần " &amp; ROUNDUP(Y428/20,0),"")</f>
        <v/>
      </c>
      <c r="AK428" s="9">
        <f>IF(ROUNDUP(Z428/20,0)&gt;ROUNDUP(Z427/20,0),"Lần " &amp; ROUNDUP(Z428/20,0),"")</f>
        <v/>
      </c>
      <c r="AL428" s="4" t="n"/>
      <c r="AN428" s="596" t="inlineStr">
        <is>
          <t>Coc</t>
        </is>
      </c>
      <c r="AO428" s="596" t="n">
        <v>29</v>
      </c>
      <c r="AQ428" s="594" t="n"/>
      <c r="AR428" s="595" t="n"/>
    </row>
    <row r="429" ht="19" customHeight="1" s="672">
      <c r="A429" s="4" t="n">
        <v>401</v>
      </c>
      <c r="B429" s="5" t="inlineStr">
        <is>
          <t>Cọc khoan nhồi C2 Mố M1 (D1.2m, L=20.0m)</t>
        </is>
      </c>
      <c r="C429" s="5" t="inlineStr">
        <is>
          <t>Cọc mố M1 L=20m (tr.64)</t>
        </is>
      </c>
      <c r="D429" s="14" t="inlineStr">
        <is>
          <t>P11</t>
        </is>
      </c>
      <c r="E429" s="15" t="n">
        <v>16</v>
      </c>
      <c r="F429" s="4" t="inlineStr">
        <is>
          <t>CB400-V</t>
        </is>
      </c>
      <c r="G429" s="5" t="inlineStr"/>
      <c r="H429" s="16" t="n">
        <v>2.604</v>
      </c>
      <c r="I429" s="17" t="n">
        <v>4</v>
      </c>
      <c r="J429" s="18" t="n">
        <v>1.578</v>
      </c>
      <c r="K429" s="7">
        <f>ROUND(H429*I429*J429, 2)</f>
        <v/>
      </c>
      <c r="L429" s="19">
        <f>ROUND(K429/1000, 3)</f>
        <v/>
      </c>
      <c r="M429" s="728">
        <f>IF(AO429="","",IF(N(INDEX(Theo_Doi_Tan_Suat_Be_Tong!$C:$C,AO429))&lt;=0,"",INDEX(Theo_Doi_Tan_Suat_Be_Tong!$C:$C,AO429)-VLOOKUP(AN429,$AQ$2:$AR$7,2,FALSE)))</f>
        <v/>
      </c>
      <c r="N429" s="4" t="n"/>
      <c r="O429" s="20">
        <f>IF(ROUNDUP(S429/20,0)&gt;ROUNDUP(S428/20,0),"TN Ø16 (Lần " &amp; ROUNDUP(S429/20,0) &amp; ")","")</f>
        <v/>
      </c>
      <c r="P429" s="16">
        <f>ROUND(P428+IF(AND(E429&lt;=10,F429&lt;&gt;"ASTM A416"),L429,0),3)</f>
        <v/>
      </c>
      <c r="Q429" s="16">
        <f>ROUND(Q428+IF(AND(E429=12,F429&lt;&gt;"ASTM A416"),L429,0),3)</f>
        <v/>
      </c>
      <c r="R429" s="16">
        <f>ROUND(R428+IF(AND(E429=14,F429&lt;&gt;"ASTM A416"),L429,0),3)</f>
        <v/>
      </c>
      <c r="S429" s="16">
        <f>ROUND(S428+IF(AND(E429=16,F429&lt;&gt;"ASTM A416"),L429,0),3)</f>
        <v/>
      </c>
      <c r="T429" s="16">
        <f>ROUND(T428+IF(AND(E429=18,F429&lt;&gt;"ASTM A416"),L429,0),3)</f>
        <v/>
      </c>
      <c r="U429" s="16">
        <f>ROUND(U428+IF(AND(E429=20,F429&lt;&gt;"ASTM A416"),L429,0),3)</f>
        <v/>
      </c>
      <c r="V429" s="16">
        <f>ROUND(V428+IF(AND(E429=22,F429&lt;&gt;"ASTM A416"),L429,0),3)</f>
        <v/>
      </c>
      <c r="W429" s="16">
        <f>ROUND(W428+IF(AND(E429=25,F429&lt;&gt;"ASTM A416"),L429,0),3)</f>
        <v/>
      </c>
      <c r="X429" s="16">
        <f>ROUND(X428+IF(AND(E429=28,F429&lt;&gt;"ASTM A416"),L429,0),3)</f>
        <v/>
      </c>
      <c r="Y429" s="16">
        <f>ROUND(Y428+IF(AND(E429=32,F429&lt;&gt;"ASTM A416"),L429,0),3)</f>
        <v/>
      </c>
      <c r="Z429" s="16">
        <f>ROUND(Z428+IF(F429="ASTM A416",L429,0),3)</f>
        <v/>
      </c>
      <c r="AA429" s="9">
        <f>IF(ROUNDUP(P429/20,0)&gt;ROUNDUP(P428/20,0),"Lần " &amp; ROUNDUP(P429/20,0),"")</f>
        <v/>
      </c>
      <c r="AB429" s="9">
        <f>IF(ROUNDUP(Q429/20,0)&gt;ROUNDUP(Q428/20,0),"Lần " &amp; ROUNDUP(Q429/20,0),"")</f>
        <v/>
      </c>
      <c r="AC429" s="9">
        <f>IF(ROUNDUP(R429/20,0)&gt;ROUNDUP(R428/20,0),"Lần " &amp; ROUNDUP(R429/20,0),"")</f>
        <v/>
      </c>
      <c r="AD429" s="9">
        <f>IF(ROUNDUP(S429/20,0)&gt;ROUNDUP(S428/20,0),"Lần " &amp; ROUNDUP(S429/20,0),"")</f>
        <v/>
      </c>
      <c r="AE429" s="9">
        <f>IF(ROUNDUP(T429/20,0)&gt;ROUNDUP(T428/20,0),"Lần " &amp; ROUNDUP(T429/20,0),"")</f>
        <v/>
      </c>
      <c r="AF429" s="9">
        <f>IF(ROUNDUP(U429/20,0)&gt;ROUNDUP(U428/20,0),"Lần " &amp; ROUNDUP(U429/20,0),"")</f>
        <v/>
      </c>
      <c r="AG429" s="9">
        <f>IF(ROUNDUP(V429/20,0)&gt;ROUNDUP(V428/20,0),"Lần " &amp; ROUNDUP(V429/20,0),"")</f>
        <v/>
      </c>
      <c r="AH429" s="9">
        <f>IF(ROUNDUP(W429/20,0)&gt;ROUNDUP(W428/20,0),"Lần " &amp; ROUNDUP(W429/20,0),"")</f>
        <v/>
      </c>
      <c r="AI429" s="9">
        <f>IF(ROUNDUP(X429/20,0)&gt;ROUNDUP(X428/20,0),"Lần " &amp; ROUNDUP(X429/20,0),"")</f>
        <v/>
      </c>
      <c r="AJ429" s="9">
        <f>IF(ROUNDUP(Y429/20,0)&gt;ROUNDUP(Y428/20,0),"Lần " &amp; ROUNDUP(Y429/20,0),"")</f>
        <v/>
      </c>
      <c r="AK429" s="9">
        <f>IF(ROUNDUP(Z429/20,0)&gt;ROUNDUP(Z428/20,0),"Lần " &amp; ROUNDUP(Z429/20,0),"")</f>
        <v/>
      </c>
      <c r="AL429" s="4" t="n"/>
      <c r="AN429" s="596" t="inlineStr">
        <is>
          <t>Coc</t>
        </is>
      </c>
      <c r="AO429" s="596" t="n">
        <v>29</v>
      </c>
      <c r="AQ429" s="594" t="n"/>
      <c r="AR429" s="595" t="n"/>
    </row>
    <row r="430" ht="19" customHeight="1" s="672">
      <c r="A430" s="668" t="inlineStr">
        <is>
          <t>--- TRỤ T1, T2 (BỆ MÓNG) ---</t>
        </is>
      </c>
      <c r="B430" s="722" t="n"/>
      <c r="C430" s="722" t="n"/>
      <c r="D430" s="722" t="n"/>
      <c r="E430" s="722" t="n"/>
      <c r="F430" s="722" t="n"/>
      <c r="G430" s="722" t="n"/>
      <c r="H430" s="722" t="n"/>
      <c r="I430" s="722" t="n"/>
      <c r="J430" s="722" t="n"/>
      <c r="K430" s="722" t="n"/>
      <c r="L430" s="722" t="n"/>
      <c r="M430" s="722" t="n"/>
      <c r="N430" s="722" t="n"/>
      <c r="O430" s="722" t="n"/>
      <c r="P430" s="722" t="n"/>
      <c r="Q430" s="722" t="n"/>
      <c r="R430" s="722" t="n"/>
      <c r="S430" s="722" t="n"/>
      <c r="T430" s="722" t="n"/>
      <c r="U430" s="722" t="n"/>
      <c r="V430" s="722" t="n"/>
      <c r="W430" s="722" t="n"/>
      <c r="X430" s="722" t="n"/>
      <c r="Y430" s="722" t="n"/>
      <c r="Z430" s="722" t="n"/>
      <c r="AA430" s="722" t="n"/>
      <c r="AB430" s="722" t="n"/>
      <c r="AC430" s="722" t="n"/>
      <c r="AD430" s="722" t="n"/>
      <c r="AE430" s="722" t="n"/>
      <c r="AF430" s="722" t="n"/>
      <c r="AG430" s="722" t="n"/>
      <c r="AH430" s="722" t="n"/>
      <c r="AI430" s="722" t="n"/>
      <c r="AJ430" s="722" t="n"/>
      <c r="AK430" s="722" t="n"/>
      <c r="AL430" s="721" t="n"/>
      <c r="AQ430" s="594" t="n"/>
      <c r="AR430" s="595" t="n"/>
    </row>
    <row r="431" ht="20" customHeight="1" s="672">
      <c r="A431" s="4" t="n">
        <v>402</v>
      </c>
      <c r="B431" s="5" t="inlineStr">
        <is>
          <t>Trụ T1, T2 (Bệ móng)</t>
        </is>
      </c>
      <c r="C431" s="5" t="inlineStr">
        <is>
          <t>Bệ trụ T1 (tr.44)</t>
        </is>
      </c>
      <c r="D431" s="14" t="inlineStr">
        <is>
          <t>B1</t>
        </is>
      </c>
      <c r="E431" s="15" t="n">
        <v>32</v>
      </c>
      <c r="F431" s="4" t="inlineStr">
        <is>
          <t>CB400-V</t>
        </is>
      </c>
      <c r="G431" s="5" t="inlineStr"/>
      <c r="H431" s="16" t="n">
        <v>13.512</v>
      </c>
      <c r="I431" s="17" t="n">
        <v>53</v>
      </c>
      <c r="J431" s="18" t="n">
        <v>6.313</v>
      </c>
      <c r="K431" s="7">
        <f>ROUND(H431*I431*J431, 2)</f>
        <v/>
      </c>
      <c r="L431" s="19">
        <f>ROUND(K431/1000, 3)</f>
        <v/>
      </c>
      <c r="M431" s="728">
        <f>IF(AO431="","",IF(N(INDEX(Theo_Doi_Tan_Suat_Be_Tong!$C:$C,AO431))&lt;=0,"",INDEX(Theo_Doi_Tan_Suat_Be_Tong!$C:$C,AO431)-VLOOKUP(AN431,$AQ$2:$AR$7,2,FALSE)))</f>
        <v/>
      </c>
      <c r="N431" s="4" t="n"/>
      <c r="O431" s="20">
        <f>IF(ROUNDUP(Y431/20,0)&gt;ROUNDUP(Y429/20,0),"TN Ø32 (Lần " &amp; ROUNDUP(Y431/20,0) &amp; ")","")</f>
        <v/>
      </c>
      <c r="P431" s="16">
        <f>ROUND(P429+IF(AND(E431&lt;=10,F431&lt;&gt;"ASTM A416"),L431,0),3)</f>
        <v/>
      </c>
      <c r="Q431" s="16">
        <f>ROUND(Q429+IF(AND(E431=12,F431&lt;&gt;"ASTM A416"),L431,0),3)</f>
        <v/>
      </c>
      <c r="R431" s="16">
        <f>ROUND(R429+IF(AND(E431=14,F431&lt;&gt;"ASTM A416"),L431,0),3)</f>
        <v/>
      </c>
      <c r="S431" s="16">
        <f>ROUND(S429+IF(AND(E431=16,F431&lt;&gt;"ASTM A416"),L431,0),3)</f>
        <v/>
      </c>
      <c r="T431" s="16">
        <f>ROUND(T429+IF(AND(E431=18,F431&lt;&gt;"ASTM A416"),L431,0),3)</f>
        <v/>
      </c>
      <c r="U431" s="16">
        <f>ROUND(U429+IF(AND(E431=20,F431&lt;&gt;"ASTM A416"),L431,0),3)</f>
        <v/>
      </c>
      <c r="V431" s="16">
        <f>ROUND(V429+IF(AND(E431=22,F431&lt;&gt;"ASTM A416"),L431,0),3)</f>
        <v/>
      </c>
      <c r="W431" s="16">
        <f>ROUND(W429+IF(AND(E431=25,F431&lt;&gt;"ASTM A416"),L431,0),3)</f>
        <v/>
      </c>
      <c r="X431" s="16">
        <f>ROUND(X429+IF(AND(E431=28,F431&lt;&gt;"ASTM A416"),L431,0),3)</f>
        <v/>
      </c>
      <c r="Y431" s="16">
        <f>ROUND(Y429+IF(AND(E431=32,F431&lt;&gt;"ASTM A416"),L431,0),3)</f>
        <v/>
      </c>
      <c r="Z431" s="16">
        <f>ROUND(Z429+IF(F431="ASTM A416",L431,0),3)</f>
        <v/>
      </c>
      <c r="AA431" s="9">
        <f>IF(ROUNDUP(P431/20,0)&gt;ROUNDUP(P429/20,0),"Lần " &amp; ROUNDUP(P431/20,0),"")</f>
        <v/>
      </c>
      <c r="AB431" s="9">
        <f>IF(ROUNDUP(Q431/20,0)&gt;ROUNDUP(Q429/20,0),"Lần " &amp; ROUNDUP(Q431/20,0),"")</f>
        <v/>
      </c>
      <c r="AC431" s="9">
        <f>IF(ROUNDUP(R431/20,0)&gt;ROUNDUP(R429/20,0),"Lần " &amp; ROUNDUP(R431/20,0),"")</f>
        <v/>
      </c>
      <c r="AD431" s="9">
        <f>IF(ROUNDUP(S431/20,0)&gt;ROUNDUP(S429/20,0),"Lần " &amp; ROUNDUP(S431/20,0),"")</f>
        <v/>
      </c>
      <c r="AE431" s="9">
        <f>IF(ROUNDUP(T431/20,0)&gt;ROUNDUP(T429/20,0),"Lần " &amp; ROUNDUP(T431/20,0),"")</f>
        <v/>
      </c>
      <c r="AF431" s="9">
        <f>IF(ROUNDUP(U431/20,0)&gt;ROUNDUP(U429/20,0),"Lần " &amp; ROUNDUP(U431/20,0),"")</f>
        <v/>
      </c>
      <c r="AG431" s="9">
        <f>IF(ROUNDUP(V431/20,0)&gt;ROUNDUP(V429/20,0),"Lần " &amp; ROUNDUP(V431/20,0),"")</f>
        <v/>
      </c>
      <c r="AH431" s="9">
        <f>IF(ROUNDUP(W431/20,0)&gt;ROUNDUP(W429/20,0),"Lần " &amp; ROUNDUP(W431/20,0),"")</f>
        <v/>
      </c>
      <c r="AI431" s="9">
        <f>IF(ROUNDUP(X431/20,0)&gt;ROUNDUP(X429/20,0),"Lần " &amp; ROUNDUP(X431/20,0),"")</f>
        <v/>
      </c>
      <c r="AJ431" s="9">
        <f>IF(ROUNDUP(Y431/20,0)&gt;ROUNDUP(Y429/20,0),"Lần " &amp; ROUNDUP(Y431/20,0),"")</f>
        <v/>
      </c>
      <c r="AK431" s="9">
        <f>IF(ROUNDUP(Z431/20,0)&gt;ROUNDUP(Z429/20,0),"Lần " &amp; ROUNDUP(Z431/20,0),"")</f>
        <v/>
      </c>
      <c r="AL431" s="4" t="n"/>
      <c r="AN431" s="596" t="inlineStr">
        <is>
          <t>Be</t>
        </is>
      </c>
      <c r="AO431" s="596" t="n">
        <v>34</v>
      </c>
      <c r="AQ431" s="594" t="n"/>
      <c r="AR431" s="595" t="n"/>
    </row>
    <row r="432" ht="19" customHeight="1" s="672">
      <c r="A432" s="4" t="n">
        <v>403</v>
      </c>
      <c r="B432" s="5" t="inlineStr">
        <is>
          <t>Trụ T1, T2 (Bệ móng)</t>
        </is>
      </c>
      <c r="C432" s="5" t="inlineStr">
        <is>
          <t>Bệ trụ T1 (tr.44)</t>
        </is>
      </c>
      <c r="D432" s="14" t="inlineStr">
        <is>
          <t>B2</t>
        </is>
      </c>
      <c r="E432" s="15" t="n">
        <v>18</v>
      </c>
      <c r="F432" s="4" t="inlineStr">
        <is>
          <t>CB400-V</t>
        </is>
      </c>
      <c r="G432" s="5" t="inlineStr"/>
      <c r="H432" s="16" t="n">
        <v>12.606</v>
      </c>
      <c r="I432" s="17" t="n">
        <v>53</v>
      </c>
      <c r="J432" s="18" t="n">
        <v>1.998</v>
      </c>
      <c r="K432" s="7">
        <f>ROUND(H432*I432*J432, 2)</f>
        <v/>
      </c>
      <c r="L432" s="19">
        <f>ROUND(K432/1000, 3)</f>
        <v/>
      </c>
      <c r="M432" s="728">
        <f>IF(AO432="","",IF(N(INDEX(Theo_Doi_Tan_Suat_Be_Tong!$C:$C,AO432))&lt;=0,"",INDEX(Theo_Doi_Tan_Suat_Be_Tong!$C:$C,AO432)-VLOOKUP(AN432,$AQ$2:$AR$7,2,FALSE)))</f>
        <v/>
      </c>
      <c r="N432" s="4" t="n"/>
      <c r="O432" s="20">
        <f>IF(ROUNDUP(T432/20,0)&gt;ROUNDUP(T431/20,0),"TN Ø18 (Lần " &amp; ROUNDUP(T432/20,0) &amp; ")","")</f>
        <v/>
      </c>
      <c r="P432" s="16">
        <f>ROUND(P431+IF(AND(E432&lt;=10,F432&lt;&gt;"ASTM A416"),L432,0),3)</f>
        <v/>
      </c>
      <c r="Q432" s="16">
        <f>ROUND(Q431+IF(AND(E432=12,F432&lt;&gt;"ASTM A416"),L432,0),3)</f>
        <v/>
      </c>
      <c r="R432" s="16">
        <f>ROUND(R431+IF(AND(E432=14,F432&lt;&gt;"ASTM A416"),L432,0),3)</f>
        <v/>
      </c>
      <c r="S432" s="16">
        <f>ROUND(S431+IF(AND(E432=16,F432&lt;&gt;"ASTM A416"),L432,0),3)</f>
        <v/>
      </c>
      <c r="T432" s="16">
        <f>ROUND(T431+IF(AND(E432=18,F432&lt;&gt;"ASTM A416"),L432,0),3)</f>
        <v/>
      </c>
      <c r="U432" s="16">
        <f>ROUND(U431+IF(AND(E432=20,F432&lt;&gt;"ASTM A416"),L432,0),3)</f>
        <v/>
      </c>
      <c r="V432" s="16">
        <f>ROUND(V431+IF(AND(E432=22,F432&lt;&gt;"ASTM A416"),L432,0),3)</f>
        <v/>
      </c>
      <c r="W432" s="16">
        <f>ROUND(W431+IF(AND(E432=25,F432&lt;&gt;"ASTM A416"),L432,0),3)</f>
        <v/>
      </c>
      <c r="X432" s="16">
        <f>ROUND(X431+IF(AND(E432=28,F432&lt;&gt;"ASTM A416"),L432,0),3)</f>
        <v/>
      </c>
      <c r="Y432" s="16">
        <f>ROUND(Y431+IF(AND(E432=32,F432&lt;&gt;"ASTM A416"),L432,0),3)</f>
        <v/>
      </c>
      <c r="Z432" s="16">
        <f>ROUND(Z431+IF(F432="ASTM A416",L432,0),3)</f>
        <v/>
      </c>
      <c r="AA432" s="9">
        <f>IF(ROUNDUP(P432/20,0)&gt;ROUNDUP(P431/20,0),"Lần " &amp; ROUNDUP(P432/20,0),"")</f>
        <v/>
      </c>
      <c r="AB432" s="9">
        <f>IF(ROUNDUP(Q432/20,0)&gt;ROUNDUP(Q431/20,0),"Lần " &amp; ROUNDUP(Q432/20,0),"")</f>
        <v/>
      </c>
      <c r="AC432" s="9">
        <f>IF(ROUNDUP(R432/20,0)&gt;ROUNDUP(R431/20,0),"Lần " &amp; ROUNDUP(R432/20,0),"")</f>
        <v/>
      </c>
      <c r="AD432" s="9">
        <f>IF(ROUNDUP(S432/20,0)&gt;ROUNDUP(S431/20,0),"Lần " &amp; ROUNDUP(S432/20,0),"")</f>
        <v/>
      </c>
      <c r="AE432" s="9">
        <f>IF(ROUNDUP(T432/20,0)&gt;ROUNDUP(T431/20,0),"Lần " &amp; ROUNDUP(T432/20,0),"")</f>
        <v/>
      </c>
      <c r="AF432" s="9">
        <f>IF(ROUNDUP(U432/20,0)&gt;ROUNDUP(U431/20,0),"Lần " &amp; ROUNDUP(U432/20,0),"")</f>
        <v/>
      </c>
      <c r="AG432" s="9">
        <f>IF(ROUNDUP(V432/20,0)&gt;ROUNDUP(V431/20,0),"Lần " &amp; ROUNDUP(V432/20,0),"")</f>
        <v/>
      </c>
      <c r="AH432" s="9">
        <f>IF(ROUNDUP(W432/20,0)&gt;ROUNDUP(W431/20,0),"Lần " &amp; ROUNDUP(W432/20,0),"")</f>
        <v/>
      </c>
      <c r="AI432" s="9">
        <f>IF(ROUNDUP(X432/20,0)&gt;ROUNDUP(X431/20,0),"Lần " &amp; ROUNDUP(X432/20,0),"")</f>
        <v/>
      </c>
      <c r="AJ432" s="9">
        <f>IF(ROUNDUP(Y432/20,0)&gt;ROUNDUP(Y431/20,0),"Lần " &amp; ROUNDUP(Y432/20,0),"")</f>
        <v/>
      </c>
      <c r="AK432" s="9">
        <f>IF(ROUNDUP(Z432/20,0)&gt;ROUNDUP(Z431/20,0),"Lần " &amp; ROUNDUP(Z432/20,0),"")</f>
        <v/>
      </c>
      <c r="AL432" s="4" t="n"/>
      <c r="AN432" s="596" t="inlineStr">
        <is>
          <t>Be</t>
        </is>
      </c>
      <c r="AO432" s="596" t="n">
        <v>34</v>
      </c>
      <c r="AQ432" s="594" t="n"/>
      <c r="AR432" s="595" t="n"/>
    </row>
    <row r="433" ht="19" customHeight="1" s="672">
      <c r="A433" s="4" t="n">
        <v>404</v>
      </c>
      <c r="B433" s="5" t="inlineStr">
        <is>
          <t>Trụ T1, T2 (Bệ móng)</t>
        </is>
      </c>
      <c r="C433" s="5" t="inlineStr">
        <is>
          <t>Bệ trụ T1 (tr.44)</t>
        </is>
      </c>
      <c r="D433" s="14" t="inlineStr">
        <is>
          <t>B3</t>
        </is>
      </c>
      <c r="E433" s="15" t="n">
        <v>32</v>
      </c>
      <c r="F433" s="4" t="inlineStr">
        <is>
          <t>CB400-V</t>
        </is>
      </c>
      <c r="G433" s="5" t="inlineStr"/>
      <c r="H433" s="16" t="n">
        <v>8.632</v>
      </c>
      <c r="I433" s="17" t="n">
        <v>116</v>
      </c>
      <c r="J433" s="18" t="n">
        <v>6.313</v>
      </c>
      <c r="K433" s="7">
        <f>ROUND(H433*I433*J433, 2)</f>
        <v/>
      </c>
      <c r="L433" s="19">
        <f>ROUND(K433/1000, 3)</f>
        <v/>
      </c>
      <c r="M433" s="728">
        <f>IF(AO433="","",IF(N(INDEX(Theo_Doi_Tan_Suat_Be_Tong!$C:$C,AO433))&lt;=0,"",INDEX(Theo_Doi_Tan_Suat_Be_Tong!$C:$C,AO433)-VLOOKUP(AN433,$AQ$2:$AR$7,2,FALSE)))</f>
        <v/>
      </c>
      <c r="N433" s="4" t="n"/>
      <c r="O433" s="20">
        <f>IF(ROUNDUP(Y433/20,0)&gt;ROUNDUP(Y432/20,0),"TN Ø32 (Lần " &amp; ROUNDUP(Y433/20,0) &amp; ")","")</f>
        <v/>
      </c>
      <c r="P433" s="16">
        <f>ROUND(P432+IF(AND(E433&lt;=10,F433&lt;&gt;"ASTM A416"),L433,0),3)</f>
        <v/>
      </c>
      <c r="Q433" s="16">
        <f>ROUND(Q432+IF(AND(E433=12,F433&lt;&gt;"ASTM A416"),L433,0),3)</f>
        <v/>
      </c>
      <c r="R433" s="16">
        <f>ROUND(R432+IF(AND(E433=14,F433&lt;&gt;"ASTM A416"),L433,0),3)</f>
        <v/>
      </c>
      <c r="S433" s="16">
        <f>ROUND(S432+IF(AND(E433=16,F433&lt;&gt;"ASTM A416"),L433,0),3)</f>
        <v/>
      </c>
      <c r="T433" s="16">
        <f>ROUND(T432+IF(AND(E433=18,F433&lt;&gt;"ASTM A416"),L433,0),3)</f>
        <v/>
      </c>
      <c r="U433" s="16">
        <f>ROUND(U432+IF(AND(E433=20,F433&lt;&gt;"ASTM A416"),L433,0),3)</f>
        <v/>
      </c>
      <c r="V433" s="16">
        <f>ROUND(V432+IF(AND(E433=22,F433&lt;&gt;"ASTM A416"),L433,0),3)</f>
        <v/>
      </c>
      <c r="W433" s="16">
        <f>ROUND(W432+IF(AND(E433=25,F433&lt;&gt;"ASTM A416"),L433,0),3)</f>
        <v/>
      </c>
      <c r="X433" s="16">
        <f>ROUND(X432+IF(AND(E433=28,F433&lt;&gt;"ASTM A416"),L433,0),3)</f>
        <v/>
      </c>
      <c r="Y433" s="16">
        <f>ROUND(Y432+IF(AND(E433=32,F433&lt;&gt;"ASTM A416"),L433,0),3)</f>
        <v/>
      </c>
      <c r="Z433" s="16">
        <f>ROUND(Z432+IF(F433="ASTM A416",L433,0),3)</f>
        <v/>
      </c>
      <c r="AA433" s="9">
        <f>IF(ROUNDUP(P433/20,0)&gt;ROUNDUP(P432/20,0),"Lần " &amp; ROUNDUP(P433/20,0),"")</f>
        <v/>
      </c>
      <c r="AB433" s="9">
        <f>IF(ROUNDUP(Q433/20,0)&gt;ROUNDUP(Q432/20,0),"Lần " &amp; ROUNDUP(Q433/20,0),"")</f>
        <v/>
      </c>
      <c r="AC433" s="9">
        <f>IF(ROUNDUP(R433/20,0)&gt;ROUNDUP(R432/20,0),"Lần " &amp; ROUNDUP(R433/20,0),"")</f>
        <v/>
      </c>
      <c r="AD433" s="9">
        <f>IF(ROUNDUP(S433/20,0)&gt;ROUNDUP(S432/20,0),"Lần " &amp; ROUNDUP(S433/20,0),"")</f>
        <v/>
      </c>
      <c r="AE433" s="9">
        <f>IF(ROUNDUP(T433/20,0)&gt;ROUNDUP(T432/20,0),"Lần " &amp; ROUNDUP(T433/20,0),"")</f>
        <v/>
      </c>
      <c r="AF433" s="9">
        <f>IF(ROUNDUP(U433/20,0)&gt;ROUNDUP(U432/20,0),"Lần " &amp; ROUNDUP(U433/20,0),"")</f>
        <v/>
      </c>
      <c r="AG433" s="9">
        <f>IF(ROUNDUP(V433/20,0)&gt;ROUNDUP(V432/20,0),"Lần " &amp; ROUNDUP(V433/20,0),"")</f>
        <v/>
      </c>
      <c r="AH433" s="9">
        <f>IF(ROUNDUP(W433/20,0)&gt;ROUNDUP(W432/20,0),"Lần " &amp; ROUNDUP(W433/20,0),"")</f>
        <v/>
      </c>
      <c r="AI433" s="9">
        <f>IF(ROUNDUP(X433/20,0)&gt;ROUNDUP(X432/20,0),"Lần " &amp; ROUNDUP(X433/20,0),"")</f>
        <v/>
      </c>
      <c r="AJ433" s="9">
        <f>IF(ROUNDUP(Y433/20,0)&gt;ROUNDUP(Y432/20,0),"Lần " &amp; ROUNDUP(Y433/20,0),"")</f>
        <v/>
      </c>
      <c r="AK433" s="9">
        <f>IF(ROUNDUP(Z433/20,0)&gt;ROUNDUP(Z432/20,0),"Lần " &amp; ROUNDUP(Z433/20,0),"")</f>
        <v/>
      </c>
      <c r="AL433" s="4" t="n"/>
      <c r="AN433" s="596" t="inlineStr">
        <is>
          <t>Be</t>
        </is>
      </c>
      <c r="AO433" s="596" t="n">
        <v>34</v>
      </c>
      <c r="AQ433" s="594" t="n"/>
      <c r="AR433" s="595" t="n"/>
    </row>
    <row r="434" ht="19" customHeight="1" s="672">
      <c r="A434" s="4" t="n">
        <v>405</v>
      </c>
      <c r="B434" s="5" t="inlineStr">
        <is>
          <t>Trụ T1, T2 (Bệ móng)</t>
        </is>
      </c>
      <c r="C434" s="5" t="inlineStr">
        <is>
          <t>Bệ trụ T1 (tr.44)</t>
        </is>
      </c>
      <c r="D434" s="14" t="inlineStr">
        <is>
          <t>(?)</t>
        </is>
      </c>
      <c r="E434" s="15" t="n">
        <v>18</v>
      </c>
      <c r="F434" s="4" t="inlineStr">
        <is>
          <t>CB400-V</t>
        </is>
      </c>
      <c r="G434" s="5" t="inlineStr"/>
      <c r="H434" s="16" t="n">
        <v>8.286</v>
      </c>
      <c r="I434" s="17" t="n">
        <v>77</v>
      </c>
      <c r="J434" s="18" t="n">
        <v>1.998</v>
      </c>
      <c r="K434" s="7">
        <f>ROUND(H434*I434*J434, 2)</f>
        <v/>
      </c>
      <c r="L434" s="19">
        <f>ROUND(K434/1000, 3)</f>
        <v/>
      </c>
      <c r="M434" s="728">
        <f>IF(AO434="","",IF(N(INDEX(Theo_Doi_Tan_Suat_Be_Tong!$C:$C,AO434))&lt;=0,"",INDEX(Theo_Doi_Tan_Suat_Be_Tong!$C:$C,AO434)-VLOOKUP(AN434,$AQ$2:$AR$7,2,FALSE)))</f>
        <v/>
      </c>
      <c r="N434" s="4" t="n"/>
      <c r="O434" s="20">
        <f>IF(ROUNDUP(T434/20,0)&gt;ROUNDUP(T433/20,0),"TN Ø18 (Lần " &amp; ROUNDUP(T434/20,0) &amp; ")","")</f>
        <v/>
      </c>
      <c r="P434" s="16">
        <f>ROUND(P433+IF(AND(E434&lt;=10,F434&lt;&gt;"ASTM A416"),L434,0),3)</f>
        <v/>
      </c>
      <c r="Q434" s="16">
        <f>ROUND(Q433+IF(AND(E434=12,F434&lt;&gt;"ASTM A416"),L434,0),3)</f>
        <v/>
      </c>
      <c r="R434" s="16">
        <f>ROUND(R433+IF(AND(E434=14,F434&lt;&gt;"ASTM A416"),L434,0),3)</f>
        <v/>
      </c>
      <c r="S434" s="16">
        <f>ROUND(S433+IF(AND(E434=16,F434&lt;&gt;"ASTM A416"),L434,0),3)</f>
        <v/>
      </c>
      <c r="T434" s="16">
        <f>ROUND(T433+IF(AND(E434=18,F434&lt;&gt;"ASTM A416"),L434,0),3)</f>
        <v/>
      </c>
      <c r="U434" s="16">
        <f>ROUND(U433+IF(AND(E434=20,F434&lt;&gt;"ASTM A416"),L434,0),3)</f>
        <v/>
      </c>
      <c r="V434" s="16">
        <f>ROUND(V433+IF(AND(E434=22,F434&lt;&gt;"ASTM A416"),L434,0),3)</f>
        <v/>
      </c>
      <c r="W434" s="16">
        <f>ROUND(W433+IF(AND(E434=25,F434&lt;&gt;"ASTM A416"),L434,0),3)</f>
        <v/>
      </c>
      <c r="X434" s="16">
        <f>ROUND(X433+IF(AND(E434=28,F434&lt;&gt;"ASTM A416"),L434,0),3)</f>
        <v/>
      </c>
      <c r="Y434" s="16">
        <f>ROUND(Y433+IF(AND(E434=32,F434&lt;&gt;"ASTM A416"),L434,0),3)</f>
        <v/>
      </c>
      <c r="Z434" s="16">
        <f>ROUND(Z433+IF(F434="ASTM A416",L434,0),3)</f>
        <v/>
      </c>
      <c r="AA434" s="9">
        <f>IF(ROUNDUP(P434/20,0)&gt;ROUNDUP(P433/20,0),"Lần " &amp; ROUNDUP(P434/20,0),"")</f>
        <v/>
      </c>
      <c r="AB434" s="9">
        <f>IF(ROUNDUP(Q434/20,0)&gt;ROUNDUP(Q433/20,0),"Lần " &amp; ROUNDUP(Q434/20,0),"")</f>
        <v/>
      </c>
      <c r="AC434" s="9">
        <f>IF(ROUNDUP(R434/20,0)&gt;ROUNDUP(R433/20,0),"Lần " &amp; ROUNDUP(R434/20,0),"")</f>
        <v/>
      </c>
      <c r="AD434" s="9">
        <f>IF(ROUNDUP(S434/20,0)&gt;ROUNDUP(S433/20,0),"Lần " &amp; ROUNDUP(S434/20,0),"")</f>
        <v/>
      </c>
      <c r="AE434" s="9">
        <f>IF(ROUNDUP(T434/20,0)&gt;ROUNDUP(T433/20,0),"Lần " &amp; ROUNDUP(T434/20,0),"")</f>
        <v/>
      </c>
      <c r="AF434" s="9">
        <f>IF(ROUNDUP(U434/20,0)&gt;ROUNDUP(U433/20,0),"Lần " &amp; ROUNDUP(U434/20,0),"")</f>
        <v/>
      </c>
      <c r="AG434" s="9">
        <f>IF(ROUNDUP(V434/20,0)&gt;ROUNDUP(V433/20,0),"Lần " &amp; ROUNDUP(V434/20,0),"")</f>
        <v/>
      </c>
      <c r="AH434" s="9">
        <f>IF(ROUNDUP(W434/20,0)&gt;ROUNDUP(W433/20,0),"Lần " &amp; ROUNDUP(W434/20,0),"")</f>
        <v/>
      </c>
      <c r="AI434" s="9">
        <f>IF(ROUNDUP(X434/20,0)&gt;ROUNDUP(X433/20,0),"Lần " &amp; ROUNDUP(X434/20,0),"")</f>
        <v/>
      </c>
      <c r="AJ434" s="9">
        <f>IF(ROUNDUP(Y434/20,0)&gt;ROUNDUP(Y433/20,0),"Lần " &amp; ROUNDUP(Y434/20,0),"")</f>
        <v/>
      </c>
      <c r="AK434" s="9">
        <f>IF(ROUNDUP(Z434/20,0)&gt;ROUNDUP(Z433/20,0),"Lần " &amp; ROUNDUP(Z434/20,0),"")</f>
        <v/>
      </c>
      <c r="AL434" s="4" t="n"/>
      <c r="AN434" s="596" t="inlineStr">
        <is>
          <t>Be</t>
        </is>
      </c>
      <c r="AO434" s="596" t="n">
        <v>34</v>
      </c>
      <c r="AQ434" s="594" t="n"/>
      <c r="AR434" s="595" t="n"/>
    </row>
    <row r="435" ht="19" customHeight="1" s="672">
      <c r="A435" s="4" t="n">
        <v>406</v>
      </c>
      <c r="B435" s="5" t="inlineStr">
        <is>
          <t>Trụ T1, T2 (Bệ móng)</t>
        </is>
      </c>
      <c r="C435" s="5" t="inlineStr">
        <is>
          <t>Bệ trụ T1 (tr.44)</t>
        </is>
      </c>
      <c r="D435" s="14" t="inlineStr">
        <is>
          <t>B5</t>
        </is>
      </c>
      <c r="E435" s="15" t="n">
        <v>16</v>
      </c>
      <c r="F435" s="4" t="inlineStr">
        <is>
          <t>CB400-V</t>
        </is>
      </c>
      <c r="G435" s="5" t="inlineStr">
        <is>
          <t>S06</t>
        </is>
      </c>
      <c r="H435" s="16" t="n">
        <v>1.99</v>
      </c>
      <c r="I435" s="17" t="n">
        <v>338</v>
      </c>
      <c r="J435" s="18" t="n">
        <v>1.578</v>
      </c>
      <c r="K435" s="7">
        <f>ROUND(H435*I435*J435, 2)</f>
        <v/>
      </c>
      <c r="L435" s="19">
        <f>ROUND(K435/1000, 3)</f>
        <v/>
      </c>
      <c r="M435" s="728">
        <f>IF(AO435="","",IF(N(INDEX(Theo_Doi_Tan_Suat_Be_Tong!$C:$C,AO435))&lt;=0,"",INDEX(Theo_Doi_Tan_Suat_Be_Tong!$C:$C,AO435)-VLOOKUP(AN435,$AQ$2:$AR$7,2,FALSE)))</f>
        <v/>
      </c>
      <c r="N435" s="4" t="n"/>
      <c r="O435" s="20">
        <f>IF(ROUNDUP(S435/20,0)&gt;ROUNDUP(S434/20,0),"TN Ø16 (Lần " &amp; ROUNDUP(S435/20,0) &amp; ")","")</f>
        <v/>
      </c>
      <c r="P435" s="16">
        <f>ROUND(P434+IF(AND(E435&lt;=10,F435&lt;&gt;"ASTM A416"),L435,0),3)</f>
        <v/>
      </c>
      <c r="Q435" s="16">
        <f>ROUND(Q434+IF(AND(E435=12,F435&lt;&gt;"ASTM A416"),L435,0),3)</f>
        <v/>
      </c>
      <c r="R435" s="16">
        <f>ROUND(R434+IF(AND(E435=14,F435&lt;&gt;"ASTM A416"),L435,0),3)</f>
        <v/>
      </c>
      <c r="S435" s="16">
        <f>ROUND(S434+IF(AND(E435=16,F435&lt;&gt;"ASTM A416"),L435,0),3)</f>
        <v/>
      </c>
      <c r="T435" s="16">
        <f>ROUND(T434+IF(AND(E435=18,F435&lt;&gt;"ASTM A416"),L435,0),3)</f>
        <v/>
      </c>
      <c r="U435" s="16">
        <f>ROUND(U434+IF(AND(E435=20,F435&lt;&gt;"ASTM A416"),L435,0),3)</f>
        <v/>
      </c>
      <c r="V435" s="16">
        <f>ROUND(V434+IF(AND(E435=22,F435&lt;&gt;"ASTM A416"),L435,0),3)</f>
        <v/>
      </c>
      <c r="W435" s="16">
        <f>ROUND(W434+IF(AND(E435=25,F435&lt;&gt;"ASTM A416"),L435,0),3)</f>
        <v/>
      </c>
      <c r="X435" s="16">
        <f>ROUND(X434+IF(AND(E435=28,F435&lt;&gt;"ASTM A416"),L435,0),3)</f>
        <v/>
      </c>
      <c r="Y435" s="16">
        <f>ROUND(Y434+IF(AND(E435=32,F435&lt;&gt;"ASTM A416"),L435,0),3)</f>
        <v/>
      </c>
      <c r="Z435" s="16">
        <f>ROUND(Z434+IF(F435="ASTM A416",L435,0),3)</f>
        <v/>
      </c>
      <c r="AA435" s="9">
        <f>IF(ROUNDUP(P435/20,0)&gt;ROUNDUP(P434/20,0),"Lần " &amp; ROUNDUP(P435/20,0),"")</f>
        <v/>
      </c>
      <c r="AB435" s="9">
        <f>IF(ROUNDUP(Q435/20,0)&gt;ROUNDUP(Q434/20,0),"Lần " &amp; ROUNDUP(Q435/20,0),"")</f>
        <v/>
      </c>
      <c r="AC435" s="9">
        <f>IF(ROUNDUP(R435/20,0)&gt;ROUNDUP(R434/20,0),"Lần " &amp; ROUNDUP(R435/20,0),"")</f>
        <v/>
      </c>
      <c r="AD435" s="9">
        <f>IF(ROUNDUP(S435/20,0)&gt;ROUNDUP(S434/20,0),"Lần " &amp; ROUNDUP(S435/20,0),"")</f>
        <v/>
      </c>
      <c r="AE435" s="9">
        <f>IF(ROUNDUP(T435/20,0)&gt;ROUNDUP(T434/20,0),"Lần " &amp; ROUNDUP(T435/20,0),"")</f>
        <v/>
      </c>
      <c r="AF435" s="9">
        <f>IF(ROUNDUP(U435/20,0)&gt;ROUNDUP(U434/20,0),"Lần " &amp; ROUNDUP(U435/20,0),"")</f>
        <v/>
      </c>
      <c r="AG435" s="9">
        <f>IF(ROUNDUP(V435/20,0)&gt;ROUNDUP(V434/20,0),"Lần " &amp; ROUNDUP(V435/20,0),"")</f>
        <v/>
      </c>
      <c r="AH435" s="9">
        <f>IF(ROUNDUP(W435/20,0)&gt;ROUNDUP(W434/20,0),"Lần " &amp; ROUNDUP(W435/20,0),"")</f>
        <v/>
      </c>
      <c r="AI435" s="9">
        <f>IF(ROUNDUP(X435/20,0)&gt;ROUNDUP(X434/20,0),"Lần " &amp; ROUNDUP(X435/20,0),"")</f>
        <v/>
      </c>
      <c r="AJ435" s="9">
        <f>IF(ROUNDUP(Y435/20,0)&gt;ROUNDUP(Y434/20,0),"Lần " &amp; ROUNDUP(Y435/20,0),"")</f>
        <v/>
      </c>
      <c r="AK435" s="9">
        <f>IF(ROUNDUP(Z435/20,0)&gt;ROUNDUP(Z434/20,0),"Lần " &amp; ROUNDUP(Z435/20,0),"")</f>
        <v/>
      </c>
      <c r="AL435" s="4" t="n"/>
      <c r="AN435" s="596" t="inlineStr">
        <is>
          <t>Be</t>
        </is>
      </c>
      <c r="AO435" s="596" t="n">
        <v>34</v>
      </c>
      <c r="AQ435" s="594" t="n"/>
      <c r="AR435" s="595" t="n"/>
    </row>
    <row r="436" ht="19" customHeight="1" s="672">
      <c r="A436" s="4" t="n">
        <v>407</v>
      </c>
      <c r="B436" s="5" t="inlineStr">
        <is>
          <t>Trụ T1, T2 (Bệ móng)</t>
        </is>
      </c>
      <c r="C436" s="5" t="inlineStr">
        <is>
          <t>Bệ trụ T1 (tr.44)</t>
        </is>
      </c>
      <c r="D436" s="14" t="inlineStr">
        <is>
          <t>B6</t>
        </is>
      </c>
      <c r="E436" s="15" t="n">
        <v>16</v>
      </c>
      <c r="F436" s="4" t="inlineStr">
        <is>
          <t>CB400-V</t>
        </is>
      </c>
      <c r="G436" s="5" t="inlineStr"/>
      <c r="H436" s="16" t="n">
        <v>7.8</v>
      </c>
      <c r="I436" s="17" t="n">
        <v>20</v>
      </c>
      <c r="J436" s="18" t="n">
        <v>1.578</v>
      </c>
      <c r="K436" s="7">
        <f>ROUND(H436*I436*J436, 2)</f>
        <v/>
      </c>
      <c r="L436" s="19">
        <f>ROUND(K436/1000, 3)</f>
        <v/>
      </c>
      <c r="M436" s="728">
        <f>IF(AO436="","",IF(N(INDEX(Theo_Doi_Tan_Suat_Be_Tong!$C:$C,AO436))&lt;=0,"",INDEX(Theo_Doi_Tan_Suat_Be_Tong!$C:$C,AO436)-VLOOKUP(AN436,$AQ$2:$AR$7,2,FALSE)))</f>
        <v/>
      </c>
      <c r="N436" s="4" t="n"/>
      <c r="O436" s="20">
        <f>IF(ROUNDUP(S436/20,0)&gt;ROUNDUP(S435/20,0),"TN Ø16 (Lần " &amp; ROUNDUP(S436/20,0) &amp; ")","")</f>
        <v/>
      </c>
      <c r="P436" s="16">
        <f>ROUND(P435+IF(AND(E436&lt;=10,F436&lt;&gt;"ASTM A416"),L436,0),3)</f>
        <v/>
      </c>
      <c r="Q436" s="16">
        <f>ROUND(Q435+IF(AND(E436=12,F436&lt;&gt;"ASTM A416"),L436,0),3)</f>
        <v/>
      </c>
      <c r="R436" s="16">
        <f>ROUND(R435+IF(AND(E436=14,F436&lt;&gt;"ASTM A416"),L436,0),3)</f>
        <v/>
      </c>
      <c r="S436" s="16">
        <f>ROUND(S435+IF(AND(E436=16,F436&lt;&gt;"ASTM A416"),L436,0),3)</f>
        <v/>
      </c>
      <c r="T436" s="16">
        <f>ROUND(T435+IF(AND(E436=18,F436&lt;&gt;"ASTM A416"),L436,0),3)</f>
        <v/>
      </c>
      <c r="U436" s="16">
        <f>ROUND(U435+IF(AND(E436=20,F436&lt;&gt;"ASTM A416"),L436,0),3)</f>
        <v/>
      </c>
      <c r="V436" s="16">
        <f>ROUND(V435+IF(AND(E436=22,F436&lt;&gt;"ASTM A416"),L436,0),3)</f>
        <v/>
      </c>
      <c r="W436" s="16">
        <f>ROUND(W435+IF(AND(E436=25,F436&lt;&gt;"ASTM A416"),L436,0),3)</f>
        <v/>
      </c>
      <c r="X436" s="16">
        <f>ROUND(X435+IF(AND(E436=28,F436&lt;&gt;"ASTM A416"),L436,0),3)</f>
        <v/>
      </c>
      <c r="Y436" s="16">
        <f>ROUND(Y435+IF(AND(E436=32,F436&lt;&gt;"ASTM A416"),L436,0),3)</f>
        <v/>
      </c>
      <c r="Z436" s="16">
        <f>ROUND(Z435+IF(F436="ASTM A416",L436,0),3)</f>
        <v/>
      </c>
      <c r="AA436" s="9">
        <f>IF(ROUNDUP(P436/20,0)&gt;ROUNDUP(P435/20,0),"Lần " &amp; ROUNDUP(P436/20,0),"")</f>
        <v/>
      </c>
      <c r="AB436" s="9">
        <f>IF(ROUNDUP(Q436/20,0)&gt;ROUNDUP(Q435/20,0),"Lần " &amp; ROUNDUP(Q436/20,0),"")</f>
        <v/>
      </c>
      <c r="AC436" s="9">
        <f>IF(ROUNDUP(R436/20,0)&gt;ROUNDUP(R435/20,0),"Lần " &amp; ROUNDUP(R436/20,0),"")</f>
        <v/>
      </c>
      <c r="AD436" s="9">
        <f>IF(ROUNDUP(S436/20,0)&gt;ROUNDUP(S435/20,0),"Lần " &amp; ROUNDUP(S436/20,0),"")</f>
        <v/>
      </c>
      <c r="AE436" s="9">
        <f>IF(ROUNDUP(T436/20,0)&gt;ROUNDUP(T435/20,0),"Lần " &amp; ROUNDUP(T436/20,0),"")</f>
        <v/>
      </c>
      <c r="AF436" s="9">
        <f>IF(ROUNDUP(U436/20,0)&gt;ROUNDUP(U435/20,0),"Lần " &amp; ROUNDUP(U436/20,0),"")</f>
        <v/>
      </c>
      <c r="AG436" s="9">
        <f>IF(ROUNDUP(V436/20,0)&gt;ROUNDUP(V435/20,0),"Lần " &amp; ROUNDUP(V436/20,0),"")</f>
        <v/>
      </c>
      <c r="AH436" s="9">
        <f>IF(ROUNDUP(W436/20,0)&gt;ROUNDUP(W435/20,0),"Lần " &amp; ROUNDUP(W436/20,0),"")</f>
        <v/>
      </c>
      <c r="AI436" s="9">
        <f>IF(ROUNDUP(X436/20,0)&gt;ROUNDUP(X435/20,0),"Lần " &amp; ROUNDUP(X436/20,0),"")</f>
        <v/>
      </c>
      <c r="AJ436" s="9">
        <f>IF(ROUNDUP(Y436/20,0)&gt;ROUNDUP(Y435/20,0),"Lần " &amp; ROUNDUP(Y436/20,0),"")</f>
        <v/>
      </c>
      <c r="AK436" s="9">
        <f>IF(ROUNDUP(Z436/20,0)&gt;ROUNDUP(Z435/20,0),"Lần " &amp; ROUNDUP(Z436/20,0),"")</f>
        <v/>
      </c>
      <c r="AL436" s="4" t="n"/>
      <c r="AN436" s="596" t="inlineStr">
        <is>
          <t>Be</t>
        </is>
      </c>
      <c r="AO436" s="596" t="n">
        <v>34</v>
      </c>
      <c r="AQ436" s="594" t="n"/>
      <c r="AR436" s="595" t="n"/>
    </row>
    <row r="437" ht="19" customHeight="1" s="672">
      <c r="A437" s="4" t="n">
        <v>408</v>
      </c>
      <c r="B437" s="5" t="inlineStr">
        <is>
          <t>Trụ T1, T2 (Bệ móng)</t>
        </is>
      </c>
      <c r="C437" s="5" t="inlineStr">
        <is>
          <t>Bệ trụ T1 (tr.44)</t>
        </is>
      </c>
      <c r="D437" s="14" t="inlineStr">
        <is>
          <t>B7</t>
        </is>
      </c>
      <c r="E437" s="15" t="n">
        <v>16</v>
      </c>
      <c r="F437" s="4" t="inlineStr">
        <is>
          <t>CB400-V</t>
        </is>
      </c>
      <c r="G437" s="5" t="inlineStr"/>
      <c r="H437" s="16" t="n">
        <v>11.4</v>
      </c>
      <c r="I437" s="17" t="n">
        <v>20</v>
      </c>
      <c r="J437" s="18" t="n">
        <v>1.578</v>
      </c>
      <c r="K437" s="7">
        <f>ROUND(H437*I437*J437, 2)</f>
        <v/>
      </c>
      <c r="L437" s="19">
        <f>ROUND(K437/1000, 3)</f>
        <v/>
      </c>
      <c r="M437" s="728">
        <f>IF(AO437="","",IF(N(INDEX(Theo_Doi_Tan_Suat_Be_Tong!$C:$C,AO437))&lt;=0,"",INDEX(Theo_Doi_Tan_Suat_Be_Tong!$C:$C,AO437)-VLOOKUP(AN437,$AQ$2:$AR$7,2,FALSE)))</f>
        <v/>
      </c>
      <c r="N437" s="4" t="n"/>
      <c r="O437" s="20">
        <f>IF(ROUNDUP(S437/20,0)&gt;ROUNDUP(S436/20,0),"TN Ø16 (Lần " &amp; ROUNDUP(S437/20,0) &amp; ")","")</f>
        <v/>
      </c>
      <c r="P437" s="16">
        <f>ROUND(P436+IF(AND(E437&lt;=10,F437&lt;&gt;"ASTM A416"),L437,0),3)</f>
        <v/>
      </c>
      <c r="Q437" s="16">
        <f>ROUND(Q436+IF(AND(E437=12,F437&lt;&gt;"ASTM A416"),L437,0),3)</f>
        <v/>
      </c>
      <c r="R437" s="16">
        <f>ROUND(R436+IF(AND(E437=14,F437&lt;&gt;"ASTM A416"),L437,0),3)</f>
        <v/>
      </c>
      <c r="S437" s="16">
        <f>ROUND(S436+IF(AND(E437=16,F437&lt;&gt;"ASTM A416"),L437,0),3)</f>
        <v/>
      </c>
      <c r="T437" s="16">
        <f>ROUND(T436+IF(AND(E437=18,F437&lt;&gt;"ASTM A416"),L437,0),3)</f>
        <v/>
      </c>
      <c r="U437" s="16">
        <f>ROUND(U436+IF(AND(E437=20,F437&lt;&gt;"ASTM A416"),L437,0),3)</f>
        <v/>
      </c>
      <c r="V437" s="16">
        <f>ROUND(V436+IF(AND(E437=22,F437&lt;&gt;"ASTM A416"),L437,0),3)</f>
        <v/>
      </c>
      <c r="W437" s="16">
        <f>ROUND(W436+IF(AND(E437=25,F437&lt;&gt;"ASTM A416"),L437,0),3)</f>
        <v/>
      </c>
      <c r="X437" s="16">
        <f>ROUND(X436+IF(AND(E437=28,F437&lt;&gt;"ASTM A416"),L437,0),3)</f>
        <v/>
      </c>
      <c r="Y437" s="16">
        <f>ROUND(Y436+IF(AND(E437=32,F437&lt;&gt;"ASTM A416"),L437,0),3)</f>
        <v/>
      </c>
      <c r="Z437" s="16">
        <f>ROUND(Z436+IF(F437="ASTM A416",L437,0),3)</f>
        <v/>
      </c>
      <c r="AA437" s="9">
        <f>IF(ROUNDUP(P437/20,0)&gt;ROUNDUP(P436/20,0),"Lần " &amp; ROUNDUP(P437/20,0),"")</f>
        <v/>
      </c>
      <c r="AB437" s="9">
        <f>IF(ROUNDUP(Q437/20,0)&gt;ROUNDUP(Q436/20,0),"Lần " &amp; ROUNDUP(Q437/20,0),"")</f>
        <v/>
      </c>
      <c r="AC437" s="9">
        <f>IF(ROUNDUP(R437/20,0)&gt;ROUNDUP(R436/20,0),"Lần " &amp; ROUNDUP(R437/20,0),"")</f>
        <v/>
      </c>
      <c r="AD437" s="9">
        <f>IF(ROUNDUP(S437/20,0)&gt;ROUNDUP(S436/20,0),"Lần " &amp; ROUNDUP(S437/20,0),"")</f>
        <v/>
      </c>
      <c r="AE437" s="9">
        <f>IF(ROUNDUP(T437/20,0)&gt;ROUNDUP(T436/20,0),"Lần " &amp; ROUNDUP(T437/20,0),"")</f>
        <v/>
      </c>
      <c r="AF437" s="9">
        <f>IF(ROUNDUP(U437/20,0)&gt;ROUNDUP(U436/20,0),"Lần " &amp; ROUNDUP(U437/20,0),"")</f>
        <v/>
      </c>
      <c r="AG437" s="9">
        <f>IF(ROUNDUP(V437/20,0)&gt;ROUNDUP(V436/20,0),"Lần " &amp; ROUNDUP(V437/20,0),"")</f>
        <v/>
      </c>
      <c r="AH437" s="9">
        <f>IF(ROUNDUP(W437/20,0)&gt;ROUNDUP(W436/20,0),"Lần " &amp; ROUNDUP(W437/20,0),"")</f>
        <v/>
      </c>
      <c r="AI437" s="9">
        <f>IF(ROUNDUP(X437/20,0)&gt;ROUNDUP(X436/20,0),"Lần " &amp; ROUNDUP(X437/20,0),"")</f>
        <v/>
      </c>
      <c r="AJ437" s="9">
        <f>IF(ROUNDUP(Y437/20,0)&gt;ROUNDUP(Y436/20,0),"Lần " &amp; ROUNDUP(Y437/20,0),"")</f>
        <v/>
      </c>
      <c r="AK437" s="9">
        <f>IF(ROUNDUP(Z437/20,0)&gt;ROUNDUP(Z436/20,0),"Lần " &amp; ROUNDUP(Z437/20,0),"")</f>
        <v/>
      </c>
      <c r="AL437" s="4" t="n"/>
      <c r="AN437" s="596" t="inlineStr">
        <is>
          <t>Be</t>
        </is>
      </c>
      <c r="AO437" s="596" t="n">
        <v>34</v>
      </c>
      <c r="AQ437" s="594" t="n"/>
      <c r="AR437" s="595" t="n"/>
    </row>
    <row r="438" ht="23" customHeight="1" s="672">
      <c r="A438" s="4" t="n">
        <v>409</v>
      </c>
      <c r="B438" s="5" t="inlineStr">
        <is>
          <t>Trụ T1, T2 (Bệ móng)</t>
        </is>
      </c>
      <c r="C438" s="5" t="inlineStr">
        <is>
          <t>Bệ trụ T1 (tr.44)</t>
        </is>
      </c>
      <c r="D438" s="14" t="inlineStr">
        <is>
          <t>B8</t>
        </is>
      </c>
      <c r="E438" s="15" t="n">
        <v>16</v>
      </c>
      <c r="F438" s="4" t="inlineStr">
        <is>
          <t>CB400-V</t>
        </is>
      </c>
      <c r="G438" s="5" t="inlineStr">
        <is>
          <t>S06</t>
        </is>
      </c>
      <c r="H438" s="16" t="n">
        <v>1.926</v>
      </c>
      <c r="I438" s="17" t="n">
        <v>348</v>
      </c>
      <c r="J438" s="18" t="n">
        <v>1.578</v>
      </c>
      <c r="K438" s="7">
        <f>ROUND(H438*I438*J438, 2)</f>
        <v/>
      </c>
      <c r="L438" s="19">
        <f>ROUND(K438/1000, 3)</f>
        <v/>
      </c>
      <c r="M438" s="728">
        <f>IF(AO438="","",IF(N(INDEX(Theo_Doi_Tan_Suat_Be_Tong!$C:$C,AO438))&lt;=0,"",INDEX(Theo_Doi_Tan_Suat_Be_Tong!$C:$C,AO438)-VLOOKUP(AN438,$AQ$2:$AR$7,2,FALSE)))</f>
        <v/>
      </c>
      <c r="N438" s="4" t="n"/>
      <c r="O438" s="20">
        <f>IF(ROUNDUP(S438/20,0)&gt;ROUNDUP(S437/20,0),"TN Ø16 (Lần " &amp; ROUNDUP(S438/20,0) &amp; ")","")</f>
        <v/>
      </c>
      <c r="P438" s="16">
        <f>ROUND(P437+IF(AND(E438&lt;=10,F438&lt;&gt;"ASTM A416"),L438,0),3)</f>
        <v/>
      </c>
      <c r="Q438" s="16">
        <f>ROUND(Q437+IF(AND(E438=12,F438&lt;&gt;"ASTM A416"),L438,0),3)</f>
        <v/>
      </c>
      <c r="R438" s="16">
        <f>ROUND(R437+IF(AND(E438=14,F438&lt;&gt;"ASTM A416"),L438,0),3)</f>
        <v/>
      </c>
      <c r="S438" s="16">
        <f>ROUND(S437+IF(AND(E438=16,F438&lt;&gt;"ASTM A416"),L438,0),3)</f>
        <v/>
      </c>
      <c r="T438" s="16">
        <f>ROUND(T437+IF(AND(E438=18,F438&lt;&gt;"ASTM A416"),L438,0),3)</f>
        <v/>
      </c>
      <c r="U438" s="16">
        <f>ROUND(U437+IF(AND(E438=20,F438&lt;&gt;"ASTM A416"),L438,0),3)</f>
        <v/>
      </c>
      <c r="V438" s="16">
        <f>ROUND(V437+IF(AND(E438=22,F438&lt;&gt;"ASTM A416"),L438,0),3)</f>
        <v/>
      </c>
      <c r="W438" s="16">
        <f>ROUND(W437+IF(AND(E438=25,F438&lt;&gt;"ASTM A416"),L438,0),3)</f>
        <v/>
      </c>
      <c r="X438" s="16">
        <f>ROUND(X437+IF(AND(E438=28,F438&lt;&gt;"ASTM A416"),L438,0),3)</f>
        <v/>
      </c>
      <c r="Y438" s="16">
        <f>ROUND(Y437+IF(AND(E438=32,F438&lt;&gt;"ASTM A416"),L438,0),3)</f>
        <v/>
      </c>
      <c r="Z438" s="16">
        <f>ROUND(Z437+IF(F438="ASTM A416",L438,0),3)</f>
        <v/>
      </c>
      <c r="AA438" s="9">
        <f>IF(ROUNDUP(P438/20,0)&gt;ROUNDUP(P437/20,0),"Lần " &amp; ROUNDUP(P438/20,0),"")</f>
        <v/>
      </c>
      <c r="AB438" s="9">
        <f>IF(ROUNDUP(Q438/20,0)&gt;ROUNDUP(Q437/20,0),"Lần " &amp; ROUNDUP(Q438/20,0),"")</f>
        <v/>
      </c>
      <c r="AC438" s="9">
        <f>IF(ROUNDUP(R438/20,0)&gt;ROUNDUP(R437/20,0),"Lần " &amp; ROUNDUP(R438/20,0),"")</f>
        <v/>
      </c>
      <c r="AD438" s="9">
        <f>IF(ROUNDUP(S438/20,0)&gt;ROUNDUP(S437/20,0),"Lần " &amp; ROUNDUP(S438/20,0),"")</f>
        <v/>
      </c>
      <c r="AE438" s="9">
        <f>IF(ROUNDUP(T438/20,0)&gt;ROUNDUP(T437/20,0),"Lần " &amp; ROUNDUP(T438/20,0),"")</f>
        <v/>
      </c>
      <c r="AF438" s="9">
        <f>IF(ROUNDUP(U438/20,0)&gt;ROUNDUP(U437/20,0),"Lần " &amp; ROUNDUP(U438/20,0),"")</f>
        <v/>
      </c>
      <c r="AG438" s="9">
        <f>IF(ROUNDUP(V438/20,0)&gt;ROUNDUP(V437/20,0),"Lần " &amp; ROUNDUP(V438/20,0),"")</f>
        <v/>
      </c>
      <c r="AH438" s="9">
        <f>IF(ROUNDUP(W438/20,0)&gt;ROUNDUP(W437/20,0),"Lần " &amp; ROUNDUP(W438/20,0),"")</f>
        <v/>
      </c>
      <c r="AI438" s="9">
        <f>IF(ROUNDUP(X438/20,0)&gt;ROUNDUP(X437/20,0),"Lần " &amp; ROUNDUP(X438/20,0),"")</f>
        <v/>
      </c>
      <c r="AJ438" s="9">
        <f>IF(ROUNDUP(Y438/20,0)&gt;ROUNDUP(Y437/20,0),"Lần " &amp; ROUNDUP(Y438/20,0),"")</f>
        <v/>
      </c>
      <c r="AK438" s="9">
        <f>IF(ROUNDUP(Z438/20,0)&gt;ROUNDUP(Z437/20,0),"Lần " &amp; ROUNDUP(Z438/20,0),"")</f>
        <v/>
      </c>
      <c r="AL438" s="4" t="n"/>
      <c r="AN438" s="596" t="inlineStr">
        <is>
          <t>Be</t>
        </is>
      </c>
      <c r="AO438" s="596" t="n">
        <v>34</v>
      </c>
      <c r="AQ438" s="594" t="n"/>
      <c r="AR438" s="595" t="n"/>
    </row>
    <row r="439" ht="19" customHeight="1" s="672">
      <c r="A439" s="4" t="n">
        <v>410</v>
      </c>
      <c r="B439" s="5" t="inlineStr">
        <is>
          <t>Trụ T1, T2 (Bệ móng)</t>
        </is>
      </c>
      <c r="C439" s="5" t="inlineStr">
        <is>
          <t>Bệ trụ T2 (tr.55)</t>
        </is>
      </c>
      <c r="D439" s="14" t="inlineStr">
        <is>
          <t>B1</t>
        </is>
      </c>
      <c r="E439" s="15" t="n">
        <v>32</v>
      </c>
      <c r="F439" s="4" t="inlineStr">
        <is>
          <t>CB400-V</t>
        </is>
      </c>
      <c r="G439" s="5" t="inlineStr"/>
      <c r="H439" s="16" t="n">
        <v>13.512</v>
      </c>
      <c r="I439" s="17" t="n">
        <v>53</v>
      </c>
      <c r="J439" s="18" t="n">
        <v>6.313</v>
      </c>
      <c r="K439" s="7">
        <f>ROUND(H439*I439*J439, 2)</f>
        <v/>
      </c>
      <c r="L439" s="19">
        <f>ROUND(K439/1000, 3)</f>
        <v/>
      </c>
      <c r="M439" s="728">
        <f>IF(AO439="","",IF(N(INDEX(Theo_Doi_Tan_Suat_Be_Tong!$C:$C,AO439))&lt;=0,"",INDEX(Theo_Doi_Tan_Suat_Be_Tong!$C:$C,AO439)-VLOOKUP(AN439,$AQ$2:$AR$7,2,FALSE)))</f>
        <v/>
      </c>
      <c r="N439" s="4" t="n"/>
      <c r="O439" s="20">
        <f>IF(ROUNDUP(Y439/20,0)&gt;ROUNDUP(Y438/20,0),"TN Ø32 (Lần " &amp; ROUNDUP(Y439/20,0) &amp; ")","")</f>
        <v/>
      </c>
      <c r="P439" s="16">
        <f>ROUND(P438+IF(AND(E439&lt;=10,F439&lt;&gt;"ASTM A416"),L439,0),3)</f>
        <v/>
      </c>
      <c r="Q439" s="16">
        <f>ROUND(Q438+IF(AND(E439=12,F439&lt;&gt;"ASTM A416"),L439,0),3)</f>
        <v/>
      </c>
      <c r="R439" s="16">
        <f>ROUND(R438+IF(AND(E439=14,F439&lt;&gt;"ASTM A416"),L439,0),3)</f>
        <v/>
      </c>
      <c r="S439" s="16">
        <f>ROUND(S438+IF(AND(E439=16,F439&lt;&gt;"ASTM A416"),L439,0),3)</f>
        <v/>
      </c>
      <c r="T439" s="16">
        <f>ROUND(T438+IF(AND(E439=18,F439&lt;&gt;"ASTM A416"),L439,0),3)</f>
        <v/>
      </c>
      <c r="U439" s="16">
        <f>ROUND(U438+IF(AND(E439=20,F439&lt;&gt;"ASTM A416"),L439,0),3)</f>
        <v/>
      </c>
      <c r="V439" s="16">
        <f>ROUND(V438+IF(AND(E439=22,F439&lt;&gt;"ASTM A416"),L439,0),3)</f>
        <v/>
      </c>
      <c r="W439" s="16">
        <f>ROUND(W438+IF(AND(E439=25,F439&lt;&gt;"ASTM A416"),L439,0),3)</f>
        <v/>
      </c>
      <c r="X439" s="16">
        <f>ROUND(X438+IF(AND(E439=28,F439&lt;&gt;"ASTM A416"),L439,0),3)</f>
        <v/>
      </c>
      <c r="Y439" s="16">
        <f>ROUND(Y438+IF(AND(E439=32,F439&lt;&gt;"ASTM A416"),L439,0),3)</f>
        <v/>
      </c>
      <c r="Z439" s="16">
        <f>ROUND(Z438+IF(F439="ASTM A416",L439,0),3)</f>
        <v/>
      </c>
      <c r="AA439" s="9">
        <f>IF(ROUNDUP(P439/20,0)&gt;ROUNDUP(P438/20,0),"Lần " &amp; ROUNDUP(P439/20,0),"")</f>
        <v/>
      </c>
      <c r="AB439" s="9">
        <f>IF(ROUNDUP(Q439/20,0)&gt;ROUNDUP(Q438/20,0),"Lần " &amp; ROUNDUP(Q439/20,0),"")</f>
        <v/>
      </c>
      <c r="AC439" s="9">
        <f>IF(ROUNDUP(R439/20,0)&gt;ROUNDUP(R438/20,0),"Lần " &amp; ROUNDUP(R439/20,0),"")</f>
        <v/>
      </c>
      <c r="AD439" s="9">
        <f>IF(ROUNDUP(S439/20,0)&gt;ROUNDUP(S438/20,0),"Lần " &amp; ROUNDUP(S439/20,0),"")</f>
        <v/>
      </c>
      <c r="AE439" s="9">
        <f>IF(ROUNDUP(T439/20,0)&gt;ROUNDUP(T438/20,0),"Lần " &amp; ROUNDUP(T439/20,0),"")</f>
        <v/>
      </c>
      <c r="AF439" s="9">
        <f>IF(ROUNDUP(U439/20,0)&gt;ROUNDUP(U438/20,0),"Lần " &amp; ROUNDUP(U439/20,0),"")</f>
        <v/>
      </c>
      <c r="AG439" s="9">
        <f>IF(ROUNDUP(V439/20,0)&gt;ROUNDUP(V438/20,0),"Lần " &amp; ROUNDUP(V439/20,0),"")</f>
        <v/>
      </c>
      <c r="AH439" s="9">
        <f>IF(ROUNDUP(W439/20,0)&gt;ROUNDUP(W438/20,0),"Lần " &amp; ROUNDUP(W439/20,0),"")</f>
        <v/>
      </c>
      <c r="AI439" s="9">
        <f>IF(ROUNDUP(X439/20,0)&gt;ROUNDUP(X438/20,0),"Lần " &amp; ROUNDUP(X439/20,0),"")</f>
        <v/>
      </c>
      <c r="AJ439" s="9">
        <f>IF(ROUNDUP(Y439/20,0)&gt;ROUNDUP(Y438/20,0),"Lần " &amp; ROUNDUP(Y439/20,0),"")</f>
        <v/>
      </c>
      <c r="AK439" s="9">
        <f>IF(ROUNDUP(Z439/20,0)&gt;ROUNDUP(Z438/20,0),"Lần " &amp; ROUNDUP(Z439/20,0),"")</f>
        <v/>
      </c>
      <c r="AL439" s="4" t="n"/>
      <c r="AN439" s="596" t="inlineStr">
        <is>
          <t>Be</t>
        </is>
      </c>
      <c r="AO439" s="596" t="n">
        <v>37</v>
      </c>
      <c r="AQ439" s="594" t="n"/>
      <c r="AR439" s="595" t="n"/>
    </row>
    <row r="440" ht="19" customHeight="1" s="672">
      <c r="A440" s="4" t="n">
        <v>411</v>
      </c>
      <c r="B440" s="5" t="inlineStr">
        <is>
          <t>Trụ T1, T2 (Bệ móng)</t>
        </is>
      </c>
      <c r="C440" s="5" t="inlineStr">
        <is>
          <t>Bệ trụ T2 (tr.55)</t>
        </is>
      </c>
      <c r="D440" s="14" t="inlineStr">
        <is>
          <t>B2</t>
        </is>
      </c>
      <c r="E440" s="15" t="n">
        <v>18</v>
      </c>
      <c r="F440" s="4" t="inlineStr">
        <is>
          <t>CB400-V</t>
        </is>
      </c>
      <c r="G440" s="5" t="inlineStr"/>
      <c r="H440" s="16" t="n">
        <v>12.606</v>
      </c>
      <c r="I440" s="17" t="n">
        <v>53</v>
      </c>
      <c r="J440" s="18" t="n">
        <v>1.998</v>
      </c>
      <c r="K440" s="7">
        <f>ROUND(H440*I440*J440, 2)</f>
        <v/>
      </c>
      <c r="L440" s="19">
        <f>ROUND(K440/1000, 3)</f>
        <v/>
      </c>
      <c r="M440" s="728">
        <f>IF(AO440="","",IF(N(INDEX(Theo_Doi_Tan_Suat_Be_Tong!$C:$C,AO440))&lt;=0,"",INDEX(Theo_Doi_Tan_Suat_Be_Tong!$C:$C,AO440)-VLOOKUP(AN440,$AQ$2:$AR$7,2,FALSE)))</f>
        <v/>
      </c>
      <c r="N440" s="4" t="n"/>
      <c r="O440" s="20">
        <f>IF(ROUNDUP(T440/20,0)&gt;ROUNDUP(T439/20,0),"TN Ø18 (Lần " &amp; ROUNDUP(T440/20,0) &amp; ")","")</f>
        <v/>
      </c>
      <c r="P440" s="16">
        <f>ROUND(P439+IF(AND(E440&lt;=10,F440&lt;&gt;"ASTM A416"),L440,0),3)</f>
        <v/>
      </c>
      <c r="Q440" s="16">
        <f>ROUND(Q439+IF(AND(E440=12,F440&lt;&gt;"ASTM A416"),L440,0),3)</f>
        <v/>
      </c>
      <c r="R440" s="16">
        <f>ROUND(R439+IF(AND(E440=14,F440&lt;&gt;"ASTM A416"),L440,0),3)</f>
        <v/>
      </c>
      <c r="S440" s="16">
        <f>ROUND(S439+IF(AND(E440=16,F440&lt;&gt;"ASTM A416"),L440,0),3)</f>
        <v/>
      </c>
      <c r="T440" s="16">
        <f>ROUND(T439+IF(AND(E440=18,F440&lt;&gt;"ASTM A416"),L440,0),3)</f>
        <v/>
      </c>
      <c r="U440" s="16">
        <f>ROUND(U439+IF(AND(E440=20,F440&lt;&gt;"ASTM A416"),L440,0),3)</f>
        <v/>
      </c>
      <c r="V440" s="16">
        <f>ROUND(V439+IF(AND(E440=22,F440&lt;&gt;"ASTM A416"),L440,0),3)</f>
        <v/>
      </c>
      <c r="W440" s="16">
        <f>ROUND(W439+IF(AND(E440=25,F440&lt;&gt;"ASTM A416"),L440,0),3)</f>
        <v/>
      </c>
      <c r="X440" s="16">
        <f>ROUND(X439+IF(AND(E440=28,F440&lt;&gt;"ASTM A416"),L440,0),3)</f>
        <v/>
      </c>
      <c r="Y440" s="16">
        <f>ROUND(Y439+IF(AND(E440=32,F440&lt;&gt;"ASTM A416"),L440,0),3)</f>
        <v/>
      </c>
      <c r="Z440" s="16">
        <f>ROUND(Z439+IF(F440="ASTM A416",L440,0),3)</f>
        <v/>
      </c>
      <c r="AA440" s="9">
        <f>IF(ROUNDUP(P440/20,0)&gt;ROUNDUP(P439/20,0),"Lần " &amp; ROUNDUP(P440/20,0),"")</f>
        <v/>
      </c>
      <c r="AB440" s="9">
        <f>IF(ROUNDUP(Q440/20,0)&gt;ROUNDUP(Q439/20,0),"Lần " &amp; ROUNDUP(Q440/20,0),"")</f>
        <v/>
      </c>
      <c r="AC440" s="9">
        <f>IF(ROUNDUP(R440/20,0)&gt;ROUNDUP(R439/20,0),"Lần " &amp; ROUNDUP(R440/20,0),"")</f>
        <v/>
      </c>
      <c r="AD440" s="9">
        <f>IF(ROUNDUP(S440/20,0)&gt;ROUNDUP(S439/20,0),"Lần " &amp; ROUNDUP(S440/20,0),"")</f>
        <v/>
      </c>
      <c r="AE440" s="9">
        <f>IF(ROUNDUP(T440/20,0)&gt;ROUNDUP(T439/20,0),"Lần " &amp; ROUNDUP(T440/20,0),"")</f>
        <v/>
      </c>
      <c r="AF440" s="9">
        <f>IF(ROUNDUP(U440/20,0)&gt;ROUNDUP(U439/20,0),"Lần " &amp; ROUNDUP(U440/20,0),"")</f>
        <v/>
      </c>
      <c r="AG440" s="9">
        <f>IF(ROUNDUP(V440/20,0)&gt;ROUNDUP(V439/20,0),"Lần " &amp; ROUNDUP(V440/20,0),"")</f>
        <v/>
      </c>
      <c r="AH440" s="9">
        <f>IF(ROUNDUP(W440/20,0)&gt;ROUNDUP(W439/20,0),"Lần " &amp; ROUNDUP(W440/20,0),"")</f>
        <v/>
      </c>
      <c r="AI440" s="9">
        <f>IF(ROUNDUP(X440/20,0)&gt;ROUNDUP(X439/20,0),"Lần " &amp; ROUNDUP(X440/20,0),"")</f>
        <v/>
      </c>
      <c r="AJ440" s="9">
        <f>IF(ROUNDUP(Y440/20,0)&gt;ROUNDUP(Y439/20,0),"Lần " &amp; ROUNDUP(Y440/20,0),"")</f>
        <v/>
      </c>
      <c r="AK440" s="9">
        <f>IF(ROUNDUP(Z440/20,0)&gt;ROUNDUP(Z439/20,0),"Lần " &amp; ROUNDUP(Z440/20,0),"")</f>
        <v/>
      </c>
      <c r="AL440" s="4" t="n"/>
      <c r="AN440" s="596" t="inlineStr">
        <is>
          <t>Be</t>
        </is>
      </c>
      <c r="AO440" s="596" t="n">
        <v>37</v>
      </c>
      <c r="AQ440" s="594" t="n"/>
      <c r="AR440" s="595" t="n"/>
    </row>
    <row r="441" ht="19" customHeight="1" s="672">
      <c r="A441" s="4" t="n">
        <v>412</v>
      </c>
      <c r="B441" s="5" t="inlineStr">
        <is>
          <t>Trụ T1, T2 (Bệ móng)</t>
        </is>
      </c>
      <c r="C441" s="5" t="inlineStr">
        <is>
          <t>Bệ trụ T2 (tr.55)</t>
        </is>
      </c>
      <c r="D441" s="14" t="inlineStr">
        <is>
          <t>B3</t>
        </is>
      </c>
      <c r="E441" s="15" t="n">
        <v>32</v>
      </c>
      <c r="F441" s="4" t="inlineStr">
        <is>
          <t>CB400-V</t>
        </is>
      </c>
      <c r="G441" s="5" t="inlineStr"/>
      <c r="H441" s="16" t="n">
        <v>8.632</v>
      </c>
      <c r="I441" s="17" t="n">
        <v>116</v>
      </c>
      <c r="J441" s="18" t="n">
        <v>6.313</v>
      </c>
      <c r="K441" s="7">
        <f>ROUND(H441*I441*J441, 2)</f>
        <v/>
      </c>
      <c r="L441" s="19">
        <f>ROUND(K441/1000, 3)</f>
        <v/>
      </c>
      <c r="M441" s="728">
        <f>IF(AO441="","",IF(N(INDEX(Theo_Doi_Tan_Suat_Be_Tong!$C:$C,AO441))&lt;=0,"",INDEX(Theo_Doi_Tan_Suat_Be_Tong!$C:$C,AO441)-VLOOKUP(AN441,$AQ$2:$AR$7,2,FALSE)))</f>
        <v/>
      </c>
      <c r="N441" s="4" t="n"/>
      <c r="O441" s="20">
        <f>IF(ROUNDUP(Y441/20,0)&gt;ROUNDUP(Y440/20,0),"TN Ø32 (Lần " &amp; ROUNDUP(Y441/20,0) &amp; ")","")</f>
        <v/>
      </c>
      <c r="P441" s="16">
        <f>ROUND(P440+IF(AND(E441&lt;=10,F441&lt;&gt;"ASTM A416"),L441,0),3)</f>
        <v/>
      </c>
      <c r="Q441" s="16">
        <f>ROUND(Q440+IF(AND(E441=12,F441&lt;&gt;"ASTM A416"),L441,0),3)</f>
        <v/>
      </c>
      <c r="R441" s="16">
        <f>ROUND(R440+IF(AND(E441=14,F441&lt;&gt;"ASTM A416"),L441,0),3)</f>
        <v/>
      </c>
      <c r="S441" s="16">
        <f>ROUND(S440+IF(AND(E441=16,F441&lt;&gt;"ASTM A416"),L441,0),3)</f>
        <v/>
      </c>
      <c r="T441" s="16">
        <f>ROUND(T440+IF(AND(E441=18,F441&lt;&gt;"ASTM A416"),L441,0),3)</f>
        <v/>
      </c>
      <c r="U441" s="16">
        <f>ROUND(U440+IF(AND(E441=20,F441&lt;&gt;"ASTM A416"),L441,0),3)</f>
        <v/>
      </c>
      <c r="V441" s="16">
        <f>ROUND(V440+IF(AND(E441=22,F441&lt;&gt;"ASTM A416"),L441,0),3)</f>
        <v/>
      </c>
      <c r="W441" s="16">
        <f>ROUND(W440+IF(AND(E441=25,F441&lt;&gt;"ASTM A416"),L441,0),3)</f>
        <v/>
      </c>
      <c r="X441" s="16">
        <f>ROUND(X440+IF(AND(E441=28,F441&lt;&gt;"ASTM A416"),L441,0),3)</f>
        <v/>
      </c>
      <c r="Y441" s="16">
        <f>ROUND(Y440+IF(AND(E441=32,F441&lt;&gt;"ASTM A416"),L441,0),3)</f>
        <v/>
      </c>
      <c r="Z441" s="16">
        <f>ROUND(Z440+IF(F441="ASTM A416",L441,0),3)</f>
        <v/>
      </c>
      <c r="AA441" s="9">
        <f>IF(ROUNDUP(P441/20,0)&gt;ROUNDUP(P440/20,0),"Lần " &amp; ROUNDUP(P441/20,0),"")</f>
        <v/>
      </c>
      <c r="AB441" s="9">
        <f>IF(ROUNDUP(Q441/20,0)&gt;ROUNDUP(Q440/20,0),"Lần " &amp; ROUNDUP(Q441/20,0),"")</f>
        <v/>
      </c>
      <c r="AC441" s="9">
        <f>IF(ROUNDUP(R441/20,0)&gt;ROUNDUP(R440/20,0),"Lần " &amp; ROUNDUP(R441/20,0),"")</f>
        <v/>
      </c>
      <c r="AD441" s="9">
        <f>IF(ROUNDUP(S441/20,0)&gt;ROUNDUP(S440/20,0),"Lần " &amp; ROUNDUP(S441/20,0),"")</f>
        <v/>
      </c>
      <c r="AE441" s="9">
        <f>IF(ROUNDUP(T441/20,0)&gt;ROUNDUP(T440/20,0),"Lần " &amp; ROUNDUP(T441/20,0),"")</f>
        <v/>
      </c>
      <c r="AF441" s="9">
        <f>IF(ROUNDUP(U441/20,0)&gt;ROUNDUP(U440/20,0),"Lần " &amp; ROUNDUP(U441/20,0),"")</f>
        <v/>
      </c>
      <c r="AG441" s="9">
        <f>IF(ROUNDUP(V441/20,0)&gt;ROUNDUP(V440/20,0),"Lần " &amp; ROUNDUP(V441/20,0),"")</f>
        <v/>
      </c>
      <c r="AH441" s="9">
        <f>IF(ROUNDUP(W441/20,0)&gt;ROUNDUP(W440/20,0),"Lần " &amp; ROUNDUP(W441/20,0),"")</f>
        <v/>
      </c>
      <c r="AI441" s="9">
        <f>IF(ROUNDUP(X441/20,0)&gt;ROUNDUP(X440/20,0),"Lần " &amp; ROUNDUP(X441/20,0),"")</f>
        <v/>
      </c>
      <c r="AJ441" s="9">
        <f>IF(ROUNDUP(Y441/20,0)&gt;ROUNDUP(Y440/20,0),"Lần " &amp; ROUNDUP(Y441/20,0),"")</f>
        <v/>
      </c>
      <c r="AK441" s="9">
        <f>IF(ROUNDUP(Z441/20,0)&gt;ROUNDUP(Z440/20,0),"Lần " &amp; ROUNDUP(Z441/20,0),"")</f>
        <v/>
      </c>
      <c r="AL441" s="4" t="n"/>
      <c r="AN441" s="596" t="inlineStr">
        <is>
          <t>Be</t>
        </is>
      </c>
      <c r="AO441" s="596" t="n">
        <v>37</v>
      </c>
      <c r="AQ441" s="594" t="n"/>
      <c r="AR441" s="595" t="n"/>
    </row>
    <row r="442" ht="19" customHeight="1" s="672">
      <c r="A442" s="4" t="n">
        <v>413</v>
      </c>
      <c r="B442" s="5" t="inlineStr">
        <is>
          <t>Trụ T1, T2 (Bệ móng)</t>
        </is>
      </c>
      <c r="C442" s="5" t="inlineStr">
        <is>
          <t>Bệ trụ T2 (tr.55)</t>
        </is>
      </c>
      <c r="D442" s="14" t="inlineStr">
        <is>
          <t>B4</t>
        </is>
      </c>
      <c r="E442" s="15" t="n">
        <v>18</v>
      </c>
      <c r="F442" s="4" t="inlineStr">
        <is>
          <t>CB400-V</t>
        </is>
      </c>
      <c r="G442" s="5" t="inlineStr"/>
      <c r="H442" s="16" t="n">
        <v>8.286</v>
      </c>
      <c r="I442" s="17" t="n">
        <v>77</v>
      </c>
      <c r="J442" s="18" t="n">
        <v>1.998</v>
      </c>
      <c r="K442" s="7">
        <f>ROUND(H442*I442*J442, 2)</f>
        <v/>
      </c>
      <c r="L442" s="19">
        <f>ROUND(K442/1000, 3)</f>
        <v/>
      </c>
      <c r="M442" s="728">
        <f>IF(AO442="","",IF(N(INDEX(Theo_Doi_Tan_Suat_Be_Tong!$C:$C,AO442))&lt;=0,"",INDEX(Theo_Doi_Tan_Suat_Be_Tong!$C:$C,AO442)-VLOOKUP(AN442,$AQ$2:$AR$7,2,FALSE)))</f>
        <v/>
      </c>
      <c r="N442" s="4" t="n"/>
      <c r="O442" s="20">
        <f>IF(ROUNDUP(T442/20,0)&gt;ROUNDUP(T441/20,0),"TN Ø18 (Lần " &amp; ROUNDUP(T442/20,0) &amp; ")","")</f>
        <v/>
      </c>
      <c r="P442" s="16">
        <f>ROUND(P441+IF(AND(E442&lt;=10,F442&lt;&gt;"ASTM A416"),L442,0),3)</f>
        <v/>
      </c>
      <c r="Q442" s="16">
        <f>ROUND(Q441+IF(AND(E442=12,F442&lt;&gt;"ASTM A416"),L442,0),3)</f>
        <v/>
      </c>
      <c r="R442" s="16">
        <f>ROUND(R441+IF(AND(E442=14,F442&lt;&gt;"ASTM A416"),L442,0),3)</f>
        <v/>
      </c>
      <c r="S442" s="16">
        <f>ROUND(S441+IF(AND(E442=16,F442&lt;&gt;"ASTM A416"),L442,0),3)</f>
        <v/>
      </c>
      <c r="T442" s="16">
        <f>ROUND(T441+IF(AND(E442=18,F442&lt;&gt;"ASTM A416"),L442,0),3)</f>
        <v/>
      </c>
      <c r="U442" s="16">
        <f>ROUND(U441+IF(AND(E442=20,F442&lt;&gt;"ASTM A416"),L442,0),3)</f>
        <v/>
      </c>
      <c r="V442" s="16">
        <f>ROUND(V441+IF(AND(E442=22,F442&lt;&gt;"ASTM A416"),L442,0),3)</f>
        <v/>
      </c>
      <c r="W442" s="16">
        <f>ROUND(W441+IF(AND(E442=25,F442&lt;&gt;"ASTM A416"),L442,0),3)</f>
        <v/>
      </c>
      <c r="X442" s="16">
        <f>ROUND(X441+IF(AND(E442=28,F442&lt;&gt;"ASTM A416"),L442,0),3)</f>
        <v/>
      </c>
      <c r="Y442" s="16">
        <f>ROUND(Y441+IF(AND(E442=32,F442&lt;&gt;"ASTM A416"),L442,0),3)</f>
        <v/>
      </c>
      <c r="Z442" s="16">
        <f>ROUND(Z441+IF(F442="ASTM A416",L442,0),3)</f>
        <v/>
      </c>
      <c r="AA442" s="9">
        <f>IF(ROUNDUP(P442/20,0)&gt;ROUNDUP(P441/20,0),"Lần " &amp; ROUNDUP(P442/20,0),"")</f>
        <v/>
      </c>
      <c r="AB442" s="9">
        <f>IF(ROUNDUP(Q442/20,0)&gt;ROUNDUP(Q441/20,0),"Lần " &amp; ROUNDUP(Q442/20,0),"")</f>
        <v/>
      </c>
      <c r="AC442" s="9">
        <f>IF(ROUNDUP(R442/20,0)&gt;ROUNDUP(R441/20,0),"Lần " &amp; ROUNDUP(R442/20,0),"")</f>
        <v/>
      </c>
      <c r="AD442" s="9">
        <f>IF(ROUNDUP(S442/20,0)&gt;ROUNDUP(S441/20,0),"Lần " &amp; ROUNDUP(S442/20,0),"")</f>
        <v/>
      </c>
      <c r="AE442" s="9">
        <f>IF(ROUNDUP(T442/20,0)&gt;ROUNDUP(T441/20,0),"Lần " &amp; ROUNDUP(T442/20,0),"")</f>
        <v/>
      </c>
      <c r="AF442" s="9">
        <f>IF(ROUNDUP(U442/20,0)&gt;ROUNDUP(U441/20,0),"Lần " &amp; ROUNDUP(U442/20,0),"")</f>
        <v/>
      </c>
      <c r="AG442" s="9">
        <f>IF(ROUNDUP(V442/20,0)&gt;ROUNDUP(V441/20,0),"Lần " &amp; ROUNDUP(V442/20,0),"")</f>
        <v/>
      </c>
      <c r="AH442" s="9">
        <f>IF(ROUNDUP(W442/20,0)&gt;ROUNDUP(W441/20,0),"Lần " &amp; ROUNDUP(W442/20,0),"")</f>
        <v/>
      </c>
      <c r="AI442" s="9">
        <f>IF(ROUNDUP(X442/20,0)&gt;ROUNDUP(X441/20,0),"Lần " &amp; ROUNDUP(X442/20,0),"")</f>
        <v/>
      </c>
      <c r="AJ442" s="9">
        <f>IF(ROUNDUP(Y442/20,0)&gt;ROUNDUP(Y441/20,0),"Lần " &amp; ROUNDUP(Y442/20,0),"")</f>
        <v/>
      </c>
      <c r="AK442" s="9">
        <f>IF(ROUNDUP(Z442/20,0)&gt;ROUNDUP(Z441/20,0),"Lần " &amp; ROUNDUP(Z442/20,0),"")</f>
        <v/>
      </c>
      <c r="AL442" s="4" t="n"/>
      <c r="AN442" s="596" t="inlineStr">
        <is>
          <t>Be</t>
        </is>
      </c>
      <c r="AO442" s="596" t="n">
        <v>37</v>
      </c>
      <c r="AQ442" s="594" t="n"/>
      <c r="AR442" s="595" t="n"/>
    </row>
    <row r="443" ht="19" customHeight="1" s="672">
      <c r="A443" s="4" t="n">
        <v>414</v>
      </c>
      <c r="B443" s="5" t="inlineStr">
        <is>
          <t>Trụ T1, T2 (Bệ móng)</t>
        </is>
      </c>
      <c r="C443" s="5" t="inlineStr">
        <is>
          <t>Bệ trụ T2 (tr.55)</t>
        </is>
      </c>
      <c r="D443" s="14" t="inlineStr">
        <is>
          <t>B5</t>
        </is>
      </c>
      <c r="E443" s="15" t="n">
        <v>16</v>
      </c>
      <c r="F443" s="4" t="inlineStr">
        <is>
          <t>CB400-V</t>
        </is>
      </c>
      <c r="G443" s="5" t="inlineStr">
        <is>
          <t>S06</t>
        </is>
      </c>
      <c r="H443" s="16" t="n">
        <v>1.99</v>
      </c>
      <c r="I443" s="17" t="n">
        <v>338</v>
      </c>
      <c r="J443" s="18" t="n">
        <v>1.578</v>
      </c>
      <c r="K443" s="7">
        <f>ROUND(H443*I443*J443, 2)</f>
        <v/>
      </c>
      <c r="L443" s="19">
        <f>ROUND(K443/1000, 3)</f>
        <v/>
      </c>
      <c r="M443" s="728">
        <f>IF(AO443="","",IF(N(INDEX(Theo_Doi_Tan_Suat_Be_Tong!$C:$C,AO443))&lt;=0,"",INDEX(Theo_Doi_Tan_Suat_Be_Tong!$C:$C,AO443)-VLOOKUP(AN443,$AQ$2:$AR$7,2,FALSE)))</f>
        <v/>
      </c>
      <c r="N443" s="4" t="n"/>
      <c r="O443" s="20">
        <f>IF(ROUNDUP(S443/20,0)&gt;ROUNDUP(S442/20,0),"TN Ø16 (Lần " &amp; ROUNDUP(S443/20,0) &amp; ")","")</f>
        <v/>
      </c>
      <c r="P443" s="16">
        <f>ROUND(P442+IF(AND(E443&lt;=10,F443&lt;&gt;"ASTM A416"),L443,0),3)</f>
        <v/>
      </c>
      <c r="Q443" s="16">
        <f>ROUND(Q442+IF(AND(E443=12,F443&lt;&gt;"ASTM A416"),L443,0),3)</f>
        <v/>
      </c>
      <c r="R443" s="16">
        <f>ROUND(R442+IF(AND(E443=14,F443&lt;&gt;"ASTM A416"),L443,0),3)</f>
        <v/>
      </c>
      <c r="S443" s="16">
        <f>ROUND(S442+IF(AND(E443=16,F443&lt;&gt;"ASTM A416"),L443,0),3)</f>
        <v/>
      </c>
      <c r="T443" s="16">
        <f>ROUND(T442+IF(AND(E443=18,F443&lt;&gt;"ASTM A416"),L443,0),3)</f>
        <v/>
      </c>
      <c r="U443" s="16">
        <f>ROUND(U442+IF(AND(E443=20,F443&lt;&gt;"ASTM A416"),L443,0),3)</f>
        <v/>
      </c>
      <c r="V443" s="16">
        <f>ROUND(V442+IF(AND(E443=22,F443&lt;&gt;"ASTM A416"),L443,0),3)</f>
        <v/>
      </c>
      <c r="W443" s="16">
        <f>ROUND(W442+IF(AND(E443=25,F443&lt;&gt;"ASTM A416"),L443,0),3)</f>
        <v/>
      </c>
      <c r="X443" s="16">
        <f>ROUND(X442+IF(AND(E443=28,F443&lt;&gt;"ASTM A416"),L443,0),3)</f>
        <v/>
      </c>
      <c r="Y443" s="16">
        <f>ROUND(Y442+IF(AND(E443=32,F443&lt;&gt;"ASTM A416"),L443,0),3)</f>
        <v/>
      </c>
      <c r="Z443" s="16">
        <f>ROUND(Z442+IF(F443="ASTM A416",L443,0),3)</f>
        <v/>
      </c>
      <c r="AA443" s="9">
        <f>IF(ROUNDUP(P443/20,0)&gt;ROUNDUP(P442/20,0),"Lần " &amp; ROUNDUP(P443/20,0),"")</f>
        <v/>
      </c>
      <c r="AB443" s="9">
        <f>IF(ROUNDUP(Q443/20,0)&gt;ROUNDUP(Q442/20,0),"Lần " &amp; ROUNDUP(Q443/20,0),"")</f>
        <v/>
      </c>
      <c r="AC443" s="9">
        <f>IF(ROUNDUP(R443/20,0)&gt;ROUNDUP(R442/20,0),"Lần " &amp; ROUNDUP(R443/20,0),"")</f>
        <v/>
      </c>
      <c r="AD443" s="9">
        <f>IF(ROUNDUP(S443/20,0)&gt;ROUNDUP(S442/20,0),"Lần " &amp; ROUNDUP(S443/20,0),"")</f>
        <v/>
      </c>
      <c r="AE443" s="9">
        <f>IF(ROUNDUP(T443/20,0)&gt;ROUNDUP(T442/20,0),"Lần " &amp; ROUNDUP(T443/20,0),"")</f>
        <v/>
      </c>
      <c r="AF443" s="9">
        <f>IF(ROUNDUP(U443/20,0)&gt;ROUNDUP(U442/20,0),"Lần " &amp; ROUNDUP(U443/20,0),"")</f>
        <v/>
      </c>
      <c r="AG443" s="9">
        <f>IF(ROUNDUP(V443/20,0)&gt;ROUNDUP(V442/20,0),"Lần " &amp; ROUNDUP(V443/20,0),"")</f>
        <v/>
      </c>
      <c r="AH443" s="9">
        <f>IF(ROUNDUP(W443/20,0)&gt;ROUNDUP(W442/20,0),"Lần " &amp; ROUNDUP(W443/20,0),"")</f>
        <v/>
      </c>
      <c r="AI443" s="9">
        <f>IF(ROUNDUP(X443/20,0)&gt;ROUNDUP(X442/20,0),"Lần " &amp; ROUNDUP(X443/20,0),"")</f>
        <v/>
      </c>
      <c r="AJ443" s="9">
        <f>IF(ROUNDUP(Y443/20,0)&gt;ROUNDUP(Y442/20,0),"Lần " &amp; ROUNDUP(Y443/20,0),"")</f>
        <v/>
      </c>
      <c r="AK443" s="9">
        <f>IF(ROUNDUP(Z443/20,0)&gt;ROUNDUP(Z442/20,0),"Lần " &amp; ROUNDUP(Z443/20,0),"")</f>
        <v/>
      </c>
      <c r="AL443" s="4" t="n"/>
      <c r="AN443" s="596" t="inlineStr">
        <is>
          <t>Be</t>
        </is>
      </c>
      <c r="AO443" s="596" t="n">
        <v>37</v>
      </c>
      <c r="AQ443" s="594" t="n"/>
      <c r="AR443" s="595" t="n"/>
    </row>
    <row r="444" ht="19" customHeight="1" s="672">
      <c r="A444" s="4" t="n">
        <v>415</v>
      </c>
      <c r="B444" s="5" t="inlineStr">
        <is>
          <t>Trụ T1, T2 (Bệ móng)</t>
        </is>
      </c>
      <c r="C444" s="5" t="inlineStr">
        <is>
          <t>Bệ trụ T2 (tr.55)</t>
        </is>
      </c>
      <c r="D444" s="14" t="inlineStr">
        <is>
          <t>B6</t>
        </is>
      </c>
      <c r="E444" s="15" t="n">
        <v>16</v>
      </c>
      <c r="F444" s="4" t="inlineStr">
        <is>
          <t>CB400-V</t>
        </is>
      </c>
      <c r="G444" s="5" t="inlineStr"/>
      <c r="H444" s="16" t="n">
        <v>7.8</v>
      </c>
      <c r="I444" s="17" t="n">
        <v>20</v>
      </c>
      <c r="J444" s="18" t="n">
        <v>1.578</v>
      </c>
      <c r="K444" s="7">
        <f>ROUND(H444*I444*J444, 2)</f>
        <v/>
      </c>
      <c r="L444" s="19">
        <f>ROUND(K444/1000, 3)</f>
        <v/>
      </c>
      <c r="M444" s="728">
        <f>IF(AO444="","",IF(N(INDEX(Theo_Doi_Tan_Suat_Be_Tong!$C:$C,AO444))&lt;=0,"",INDEX(Theo_Doi_Tan_Suat_Be_Tong!$C:$C,AO444)-VLOOKUP(AN444,$AQ$2:$AR$7,2,FALSE)))</f>
        <v/>
      </c>
      <c r="N444" s="4" t="n"/>
      <c r="O444" s="20">
        <f>IF(ROUNDUP(S444/20,0)&gt;ROUNDUP(S443/20,0),"TN Ø16 (Lần " &amp; ROUNDUP(S444/20,0) &amp; ")","")</f>
        <v/>
      </c>
      <c r="P444" s="16">
        <f>ROUND(P443+IF(AND(E444&lt;=10,F444&lt;&gt;"ASTM A416"),L444,0),3)</f>
        <v/>
      </c>
      <c r="Q444" s="16">
        <f>ROUND(Q443+IF(AND(E444=12,F444&lt;&gt;"ASTM A416"),L444,0),3)</f>
        <v/>
      </c>
      <c r="R444" s="16">
        <f>ROUND(R443+IF(AND(E444=14,F444&lt;&gt;"ASTM A416"),L444,0),3)</f>
        <v/>
      </c>
      <c r="S444" s="16">
        <f>ROUND(S443+IF(AND(E444=16,F444&lt;&gt;"ASTM A416"),L444,0),3)</f>
        <v/>
      </c>
      <c r="T444" s="16">
        <f>ROUND(T443+IF(AND(E444=18,F444&lt;&gt;"ASTM A416"),L444,0),3)</f>
        <v/>
      </c>
      <c r="U444" s="16">
        <f>ROUND(U443+IF(AND(E444=20,F444&lt;&gt;"ASTM A416"),L444,0),3)</f>
        <v/>
      </c>
      <c r="V444" s="16">
        <f>ROUND(V443+IF(AND(E444=22,F444&lt;&gt;"ASTM A416"),L444,0),3)</f>
        <v/>
      </c>
      <c r="W444" s="16">
        <f>ROUND(W443+IF(AND(E444=25,F444&lt;&gt;"ASTM A416"),L444,0),3)</f>
        <v/>
      </c>
      <c r="X444" s="16">
        <f>ROUND(X443+IF(AND(E444=28,F444&lt;&gt;"ASTM A416"),L444,0),3)</f>
        <v/>
      </c>
      <c r="Y444" s="16">
        <f>ROUND(Y443+IF(AND(E444=32,F444&lt;&gt;"ASTM A416"),L444,0),3)</f>
        <v/>
      </c>
      <c r="Z444" s="16">
        <f>ROUND(Z443+IF(F444="ASTM A416",L444,0),3)</f>
        <v/>
      </c>
      <c r="AA444" s="9">
        <f>IF(ROUNDUP(P444/20,0)&gt;ROUNDUP(P443/20,0),"Lần " &amp; ROUNDUP(P444/20,0),"")</f>
        <v/>
      </c>
      <c r="AB444" s="9">
        <f>IF(ROUNDUP(Q444/20,0)&gt;ROUNDUP(Q443/20,0),"Lần " &amp; ROUNDUP(Q444/20,0),"")</f>
        <v/>
      </c>
      <c r="AC444" s="9">
        <f>IF(ROUNDUP(R444/20,0)&gt;ROUNDUP(R443/20,0),"Lần " &amp; ROUNDUP(R444/20,0),"")</f>
        <v/>
      </c>
      <c r="AD444" s="9">
        <f>IF(ROUNDUP(S444/20,0)&gt;ROUNDUP(S443/20,0),"Lần " &amp; ROUNDUP(S444/20,0),"")</f>
        <v/>
      </c>
      <c r="AE444" s="9">
        <f>IF(ROUNDUP(T444/20,0)&gt;ROUNDUP(T443/20,0),"Lần " &amp; ROUNDUP(T444/20,0),"")</f>
        <v/>
      </c>
      <c r="AF444" s="9">
        <f>IF(ROUNDUP(U444/20,0)&gt;ROUNDUP(U443/20,0),"Lần " &amp; ROUNDUP(U444/20,0),"")</f>
        <v/>
      </c>
      <c r="AG444" s="9">
        <f>IF(ROUNDUP(V444/20,0)&gt;ROUNDUP(V443/20,0),"Lần " &amp; ROUNDUP(V444/20,0),"")</f>
        <v/>
      </c>
      <c r="AH444" s="9">
        <f>IF(ROUNDUP(W444/20,0)&gt;ROUNDUP(W443/20,0),"Lần " &amp; ROUNDUP(W444/20,0),"")</f>
        <v/>
      </c>
      <c r="AI444" s="9">
        <f>IF(ROUNDUP(X444/20,0)&gt;ROUNDUP(X443/20,0),"Lần " &amp; ROUNDUP(X444/20,0),"")</f>
        <v/>
      </c>
      <c r="AJ444" s="9">
        <f>IF(ROUNDUP(Y444/20,0)&gt;ROUNDUP(Y443/20,0),"Lần " &amp; ROUNDUP(Y444/20,0),"")</f>
        <v/>
      </c>
      <c r="AK444" s="9">
        <f>IF(ROUNDUP(Z444/20,0)&gt;ROUNDUP(Z443/20,0),"Lần " &amp; ROUNDUP(Z444/20,0),"")</f>
        <v/>
      </c>
      <c r="AL444" s="4" t="n"/>
      <c r="AN444" s="596" t="inlineStr">
        <is>
          <t>Be</t>
        </is>
      </c>
      <c r="AO444" s="596" t="n">
        <v>37</v>
      </c>
      <c r="AQ444" s="594" t="n"/>
      <c r="AR444" s="595" t="n"/>
    </row>
    <row r="445" ht="19" customHeight="1" s="672">
      <c r="A445" s="4" t="n">
        <v>416</v>
      </c>
      <c r="B445" s="5" t="inlineStr">
        <is>
          <t>Trụ T1, T2 (Bệ móng)</t>
        </is>
      </c>
      <c r="C445" s="5" t="inlineStr">
        <is>
          <t>Bệ trụ T2 (tr.55)</t>
        </is>
      </c>
      <c r="D445" s="14" t="inlineStr">
        <is>
          <t>B7</t>
        </is>
      </c>
      <c r="E445" s="15" t="n">
        <v>16</v>
      </c>
      <c r="F445" s="4" t="inlineStr">
        <is>
          <t>CB400-V</t>
        </is>
      </c>
      <c r="G445" s="5" t="inlineStr"/>
      <c r="H445" s="16" t="n">
        <v>11.4</v>
      </c>
      <c r="I445" s="17" t="n">
        <v>20</v>
      </c>
      <c r="J445" s="18" t="n">
        <v>1.578</v>
      </c>
      <c r="K445" s="7">
        <f>ROUND(H445*I445*J445, 2)</f>
        <v/>
      </c>
      <c r="L445" s="19">
        <f>ROUND(K445/1000, 3)</f>
        <v/>
      </c>
      <c r="M445" s="728">
        <f>IF(AO445="","",IF(N(INDEX(Theo_Doi_Tan_Suat_Be_Tong!$C:$C,AO445))&lt;=0,"",INDEX(Theo_Doi_Tan_Suat_Be_Tong!$C:$C,AO445)-VLOOKUP(AN445,$AQ$2:$AR$7,2,FALSE)))</f>
        <v/>
      </c>
      <c r="N445" s="4" t="n"/>
      <c r="O445" s="20">
        <f>IF(ROUNDUP(S445/20,0)&gt;ROUNDUP(S444/20,0),"TN Ø16 (Lần " &amp; ROUNDUP(S445/20,0) &amp; ")","")</f>
        <v/>
      </c>
      <c r="P445" s="16">
        <f>ROUND(P444+IF(AND(E445&lt;=10,F445&lt;&gt;"ASTM A416"),L445,0),3)</f>
        <v/>
      </c>
      <c r="Q445" s="16">
        <f>ROUND(Q444+IF(AND(E445=12,F445&lt;&gt;"ASTM A416"),L445,0),3)</f>
        <v/>
      </c>
      <c r="R445" s="16">
        <f>ROUND(R444+IF(AND(E445=14,F445&lt;&gt;"ASTM A416"),L445,0),3)</f>
        <v/>
      </c>
      <c r="S445" s="16">
        <f>ROUND(S444+IF(AND(E445=16,F445&lt;&gt;"ASTM A416"),L445,0),3)</f>
        <v/>
      </c>
      <c r="T445" s="16">
        <f>ROUND(T444+IF(AND(E445=18,F445&lt;&gt;"ASTM A416"),L445,0),3)</f>
        <v/>
      </c>
      <c r="U445" s="16">
        <f>ROUND(U444+IF(AND(E445=20,F445&lt;&gt;"ASTM A416"),L445,0),3)</f>
        <v/>
      </c>
      <c r="V445" s="16">
        <f>ROUND(V444+IF(AND(E445=22,F445&lt;&gt;"ASTM A416"),L445,0),3)</f>
        <v/>
      </c>
      <c r="W445" s="16">
        <f>ROUND(W444+IF(AND(E445=25,F445&lt;&gt;"ASTM A416"),L445,0),3)</f>
        <v/>
      </c>
      <c r="X445" s="16">
        <f>ROUND(X444+IF(AND(E445=28,F445&lt;&gt;"ASTM A416"),L445,0),3)</f>
        <v/>
      </c>
      <c r="Y445" s="16">
        <f>ROUND(Y444+IF(AND(E445=32,F445&lt;&gt;"ASTM A416"),L445,0),3)</f>
        <v/>
      </c>
      <c r="Z445" s="16">
        <f>ROUND(Z444+IF(F445="ASTM A416",L445,0),3)</f>
        <v/>
      </c>
      <c r="AA445" s="9">
        <f>IF(ROUNDUP(P445/20,0)&gt;ROUNDUP(P444/20,0),"Lần " &amp; ROUNDUP(P445/20,0),"")</f>
        <v/>
      </c>
      <c r="AB445" s="9">
        <f>IF(ROUNDUP(Q445/20,0)&gt;ROUNDUP(Q444/20,0),"Lần " &amp; ROUNDUP(Q445/20,0),"")</f>
        <v/>
      </c>
      <c r="AC445" s="9">
        <f>IF(ROUNDUP(R445/20,0)&gt;ROUNDUP(R444/20,0),"Lần " &amp; ROUNDUP(R445/20,0),"")</f>
        <v/>
      </c>
      <c r="AD445" s="9">
        <f>IF(ROUNDUP(S445/20,0)&gt;ROUNDUP(S444/20,0),"Lần " &amp; ROUNDUP(S445/20,0),"")</f>
        <v/>
      </c>
      <c r="AE445" s="9">
        <f>IF(ROUNDUP(T445/20,0)&gt;ROUNDUP(T444/20,0),"Lần " &amp; ROUNDUP(T445/20,0),"")</f>
        <v/>
      </c>
      <c r="AF445" s="9">
        <f>IF(ROUNDUP(U445/20,0)&gt;ROUNDUP(U444/20,0),"Lần " &amp; ROUNDUP(U445/20,0),"")</f>
        <v/>
      </c>
      <c r="AG445" s="9">
        <f>IF(ROUNDUP(V445/20,0)&gt;ROUNDUP(V444/20,0),"Lần " &amp; ROUNDUP(V445/20,0),"")</f>
        <v/>
      </c>
      <c r="AH445" s="9">
        <f>IF(ROUNDUP(W445/20,0)&gt;ROUNDUP(W444/20,0),"Lần " &amp; ROUNDUP(W445/20,0),"")</f>
        <v/>
      </c>
      <c r="AI445" s="9">
        <f>IF(ROUNDUP(X445/20,0)&gt;ROUNDUP(X444/20,0),"Lần " &amp; ROUNDUP(X445/20,0),"")</f>
        <v/>
      </c>
      <c r="AJ445" s="9">
        <f>IF(ROUNDUP(Y445/20,0)&gt;ROUNDUP(Y444/20,0),"Lần " &amp; ROUNDUP(Y445/20,0),"")</f>
        <v/>
      </c>
      <c r="AK445" s="9">
        <f>IF(ROUNDUP(Z445/20,0)&gt;ROUNDUP(Z444/20,0),"Lần " &amp; ROUNDUP(Z445/20,0),"")</f>
        <v/>
      </c>
      <c r="AL445" s="4" t="n"/>
      <c r="AN445" s="596" t="inlineStr">
        <is>
          <t>Be</t>
        </is>
      </c>
      <c r="AO445" s="596" t="n">
        <v>37</v>
      </c>
      <c r="AQ445" s="594" t="n"/>
      <c r="AR445" s="595" t="n"/>
    </row>
    <row r="446" ht="19" customHeight="1" s="672">
      <c r="A446" s="4" t="n">
        <v>417</v>
      </c>
      <c r="B446" s="5" t="inlineStr">
        <is>
          <t>Trụ T1, T2 (Bệ móng)</t>
        </is>
      </c>
      <c r="C446" s="5" t="inlineStr">
        <is>
          <t>Bệ trụ T2 (tr.55)</t>
        </is>
      </c>
      <c r="D446" s="14" t="inlineStr">
        <is>
          <t>B8</t>
        </is>
      </c>
      <c r="E446" s="15" t="n">
        <v>16</v>
      </c>
      <c r="F446" s="4" t="inlineStr">
        <is>
          <t>CB400-V</t>
        </is>
      </c>
      <c r="G446" s="5" t="inlineStr">
        <is>
          <t>S06</t>
        </is>
      </c>
      <c r="H446" s="16" t="n">
        <v>1.926</v>
      </c>
      <c r="I446" s="17" t="n">
        <v>348</v>
      </c>
      <c r="J446" s="18" t="n">
        <v>1.578</v>
      </c>
      <c r="K446" s="7">
        <f>ROUND(H446*I446*J446, 2)</f>
        <v/>
      </c>
      <c r="L446" s="19">
        <f>ROUND(K446/1000, 3)</f>
        <v/>
      </c>
      <c r="M446" s="728">
        <f>IF(AO446="","",IF(N(INDEX(Theo_Doi_Tan_Suat_Be_Tong!$C:$C,AO446))&lt;=0,"",INDEX(Theo_Doi_Tan_Suat_Be_Tong!$C:$C,AO446)-VLOOKUP(AN446,$AQ$2:$AR$7,2,FALSE)))</f>
        <v/>
      </c>
      <c r="N446" s="4" t="n"/>
      <c r="O446" s="20">
        <f>IF(ROUNDUP(S446/20,0)&gt;ROUNDUP(S445/20,0),"TN Ø16 (Lần " &amp; ROUNDUP(S446/20,0) &amp; ")","")</f>
        <v/>
      </c>
      <c r="P446" s="16">
        <f>ROUND(P445+IF(AND(E446&lt;=10,F446&lt;&gt;"ASTM A416"),L446,0),3)</f>
        <v/>
      </c>
      <c r="Q446" s="16">
        <f>ROUND(Q445+IF(AND(E446=12,F446&lt;&gt;"ASTM A416"),L446,0),3)</f>
        <v/>
      </c>
      <c r="R446" s="16">
        <f>ROUND(R445+IF(AND(E446=14,F446&lt;&gt;"ASTM A416"),L446,0),3)</f>
        <v/>
      </c>
      <c r="S446" s="16">
        <f>ROUND(S445+IF(AND(E446=16,F446&lt;&gt;"ASTM A416"),L446,0),3)</f>
        <v/>
      </c>
      <c r="T446" s="16">
        <f>ROUND(T445+IF(AND(E446=18,F446&lt;&gt;"ASTM A416"),L446,0),3)</f>
        <v/>
      </c>
      <c r="U446" s="16">
        <f>ROUND(U445+IF(AND(E446=20,F446&lt;&gt;"ASTM A416"),L446,0),3)</f>
        <v/>
      </c>
      <c r="V446" s="16">
        <f>ROUND(V445+IF(AND(E446=22,F446&lt;&gt;"ASTM A416"),L446,0),3)</f>
        <v/>
      </c>
      <c r="W446" s="16">
        <f>ROUND(W445+IF(AND(E446=25,F446&lt;&gt;"ASTM A416"),L446,0),3)</f>
        <v/>
      </c>
      <c r="X446" s="16">
        <f>ROUND(X445+IF(AND(E446=28,F446&lt;&gt;"ASTM A416"),L446,0),3)</f>
        <v/>
      </c>
      <c r="Y446" s="16">
        <f>ROUND(Y445+IF(AND(E446=32,F446&lt;&gt;"ASTM A416"),L446,0),3)</f>
        <v/>
      </c>
      <c r="Z446" s="16">
        <f>ROUND(Z445+IF(F446="ASTM A416",L446,0),3)</f>
        <v/>
      </c>
      <c r="AA446" s="9">
        <f>IF(ROUNDUP(P446/20,0)&gt;ROUNDUP(P445/20,0),"Lần " &amp; ROUNDUP(P446/20,0),"")</f>
        <v/>
      </c>
      <c r="AB446" s="9">
        <f>IF(ROUNDUP(Q446/20,0)&gt;ROUNDUP(Q445/20,0),"Lần " &amp; ROUNDUP(Q446/20,0),"")</f>
        <v/>
      </c>
      <c r="AC446" s="9">
        <f>IF(ROUNDUP(R446/20,0)&gt;ROUNDUP(R445/20,0),"Lần " &amp; ROUNDUP(R446/20,0),"")</f>
        <v/>
      </c>
      <c r="AD446" s="9">
        <f>IF(ROUNDUP(S446/20,0)&gt;ROUNDUP(S445/20,0),"Lần " &amp; ROUNDUP(S446/20,0),"")</f>
        <v/>
      </c>
      <c r="AE446" s="9">
        <f>IF(ROUNDUP(T446/20,0)&gt;ROUNDUP(T445/20,0),"Lần " &amp; ROUNDUP(T446/20,0),"")</f>
        <v/>
      </c>
      <c r="AF446" s="9">
        <f>IF(ROUNDUP(U446/20,0)&gt;ROUNDUP(U445/20,0),"Lần " &amp; ROUNDUP(U446/20,0),"")</f>
        <v/>
      </c>
      <c r="AG446" s="9">
        <f>IF(ROUNDUP(V446/20,0)&gt;ROUNDUP(V445/20,0),"Lần " &amp; ROUNDUP(V446/20,0),"")</f>
        <v/>
      </c>
      <c r="AH446" s="9">
        <f>IF(ROUNDUP(W446/20,0)&gt;ROUNDUP(W445/20,0),"Lần " &amp; ROUNDUP(W446/20,0),"")</f>
        <v/>
      </c>
      <c r="AI446" s="9">
        <f>IF(ROUNDUP(X446/20,0)&gt;ROUNDUP(X445/20,0),"Lần " &amp; ROUNDUP(X446/20,0),"")</f>
        <v/>
      </c>
      <c r="AJ446" s="9">
        <f>IF(ROUNDUP(Y446/20,0)&gt;ROUNDUP(Y445/20,0),"Lần " &amp; ROUNDUP(Y446/20,0),"")</f>
        <v/>
      </c>
      <c r="AK446" s="9">
        <f>IF(ROUNDUP(Z446/20,0)&gt;ROUNDUP(Z445/20,0),"Lần " &amp; ROUNDUP(Z446/20,0),"")</f>
        <v/>
      </c>
      <c r="AL446" s="4" t="n"/>
      <c r="AN446" s="596" t="inlineStr">
        <is>
          <t>Be</t>
        </is>
      </c>
      <c r="AO446" s="596" t="n">
        <v>37</v>
      </c>
      <c r="AQ446" s="594" t="n"/>
      <c r="AR446" s="595" t="n"/>
    </row>
    <row r="447" ht="19" customHeight="1" s="672">
      <c r="A447" s="668" t="inlineStr">
        <is>
          <t>--- MỐ M2 ---</t>
        </is>
      </c>
      <c r="B447" s="722" t="n"/>
      <c r="C447" s="722" t="n"/>
      <c r="D447" s="722" t="n"/>
      <c r="E447" s="722" t="n"/>
      <c r="F447" s="722" t="n"/>
      <c r="G447" s="722" t="n"/>
      <c r="H447" s="722" t="n"/>
      <c r="I447" s="722" t="n"/>
      <c r="J447" s="722" t="n"/>
      <c r="K447" s="722" t="n"/>
      <c r="L447" s="722" t="n"/>
      <c r="M447" s="722" t="n"/>
      <c r="N447" s="722" t="n"/>
      <c r="O447" s="722" t="n"/>
      <c r="P447" s="722" t="n"/>
      <c r="Q447" s="722" t="n"/>
      <c r="R447" s="722" t="n"/>
      <c r="S447" s="722" t="n"/>
      <c r="T447" s="722" t="n"/>
      <c r="U447" s="722" t="n"/>
      <c r="V447" s="722" t="n"/>
      <c r="W447" s="722" t="n"/>
      <c r="X447" s="722" t="n"/>
      <c r="Y447" s="722" t="n"/>
      <c r="Z447" s="722" t="n"/>
      <c r="AA447" s="722" t="n"/>
      <c r="AB447" s="722" t="n"/>
      <c r="AC447" s="722" t="n"/>
      <c r="AD447" s="722" t="n"/>
      <c r="AE447" s="722" t="n"/>
      <c r="AF447" s="722" t="n"/>
      <c r="AG447" s="722" t="n"/>
      <c r="AH447" s="722" t="n"/>
      <c r="AI447" s="722" t="n"/>
      <c r="AJ447" s="722" t="n"/>
      <c r="AK447" s="722" t="n"/>
      <c r="AL447" s="721" t="n"/>
      <c r="AQ447" s="594" t="n"/>
      <c r="AR447" s="595" t="n"/>
    </row>
    <row r="448" ht="19" customHeight="1" s="672">
      <c r="A448" s="4" t="n">
        <v>418</v>
      </c>
      <c r="B448" s="5" t="inlineStr">
        <is>
          <t>Mố M2</t>
        </is>
      </c>
      <c r="C448" s="5" t="inlineStr">
        <is>
          <t>Mố M2 (tr.40)</t>
        </is>
      </c>
      <c r="D448" s="14" t="inlineStr">
        <is>
          <t>G1</t>
        </is>
      </c>
      <c r="E448" s="15" t="n">
        <v>14</v>
      </c>
      <c r="F448" s="4" t="inlineStr">
        <is>
          <t>CB400-V</t>
        </is>
      </c>
      <c r="G448" s="5" t="inlineStr">
        <is>
          <t>S01</t>
        </is>
      </c>
      <c r="H448" s="16" t="n">
        <v>5.9</v>
      </c>
      <c r="I448" s="17" t="n">
        <v>19</v>
      </c>
      <c r="J448" s="18" t="n">
        <v>1.208</v>
      </c>
      <c r="K448" s="7">
        <f>ROUND(H448*I448*J448, 2)</f>
        <v/>
      </c>
      <c r="L448" s="19">
        <f>ROUND(K448/1000, 3)</f>
        <v/>
      </c>
      <c r="M448" s="728">
        <f>IF(AO448="","",IF(N(INDEX(Theo_Doi_Tan_Suat_Be_Tong!$C:$C,AO448))&lt;=0,"",INDEX(Theo_Doi_Tan_Suat_Be_Tong!$C:$C,AO448)-VLOOKUP(AN448,$AQ$2:$AR$7,2,FALSE)))</f>
        <v/>
      </c>
      <c r="N448" s="4" t="n"/>
      <c r="O448" s="20">
        <f>IF(ROUNDUP(R448/20,0)&gt;ROUNDUP(R446/20,0),"TN Ø14 (Lần " &amp; ROUNDUP(R448/20,0) &amp; ")","")</f>
        <v/>
      </c>
      <c r="P448" s="16">
        <f>ROUND(P446+IF(AND(E448&lt;=10,F448&lt;&gt;"ASTM A416"),L448,0),3)</f>
        <v/>
      </c>
      <c r="Q448" s="16">
        <f>ROUND(Q446+IF(AND(E448=12,F448&lt;&gt;"ASTM A416"),L448,0),3)</f>
        <v/>
      </c>
      <c r="R448" s="16">
        <f>ROUND(R446+IF(AND(E448=14,F448&lt;&gt;"ASTM A416"),L448,0),3)</f>
        <v/>
      </c>
      <c r="S448" s="16">
        <f>ROUND(S446+IF(AND(E448=16,F448&lt;&gt;"ASTM A416"),L448,0),3)</f>
        <v/>
      </c>
      <c r="T448" s="16">
        <f>ROUND(T446+IF(AND(E448=18,F448&lt;&gt;"ASTM A416"),L448,0),3)</f>
        <v/>
      </c>
      <c r="U448" s="16">
        <f>ROUND(U446+IF(AND(E448=20,F448&lt;&gt;"ASTM A416"),L448,0),3)</f>
        <v/>
      </c>
      <c r="V448" s="16">
        <f>ROUND(V446+IF(AND(E448=22,F448&lt;&gt;"ASTM A416"),L448,0),3)</f>
        <v/>
      </c>
      <c r="W448" s="16">
        <f>ROUND(W446+IF(AND(E448=25,F448&lt;&gt;"ASTM A416"),L448,0),3)</f>
        <v/>
      </c>
      <c r="X448" s="16">
        <f>ROUND(X446+IF(AND(E448=28,F448&lt;&gt;"ASTM A416"),L448,0),3)</f>
        <v/>
      </c>
      <c r="Y448" s="16">
        <f>ROUND(Y446+IF(AND(E448=32,F448&lt;&gt;"ASTM A416"),L448,0),3)</f>
        <v/>
      </c>
      <c r="Z448" s="16">
        <f>ROUND(Z446+IF(F448="ASTM A416",L448,0),3)</f>
        <v/>
      </c>
      <c r="AA448" s="9">
        <f>IF(ROUNDUP(P448/20,0)&gt;ROUNDUP(P446/20,0),"Lần " &amp; ROUNDUP(P448/20,0),"")</f>
        <v/>
      </c>
      <c r="AB448" s="9">
        <f>IF(ROUNDUP(Q448/20,0)&gt;ROUNDUP(Q446/20,0),"Lần " &amp; ROUNDUP(Q448/20,0),"")</f>
        <v/>
      </c>
      <c r="AC448" s="9">
        <f>IF(ROUNDUP(R448/20,0)&gt;ROUNDUP(R446/20,0),"Lần " &amp; ROUNDUP(R448/20,0),"")</f>
        <v/>
      </c>
      <c r="AD448" s="9">
        <f>IF(ROUNDUP(S448/20,0)&gt;ROUNDUP(S446/20,0),"Lần " &amp; ROUNDUP(S448/20,0),"")</f>
        <v/>
      </c>
      <c r="AE448" s="9">
        <f>IF(ROUNDUP(T448/20,0)&gt;ROUNDUP(T446/20,0),"Lần " &amp; ROUNDUP(T448/20,0),"")</f>
        <v/>
      </c>
      <c r="AF448" s="9">
        <f>IF(ROUNDUP(U448/20,0)&gt;ROUNDUP(U446/20,0),"Lần " &amp; ROUNDUP(U448/20,0),"")</f>
        <v/>
      </c>
      <c r="AG448" s="9">
        <f>IF(ROUNDUP(V448/20,0)&gt;ROUNDUP(V446/20,0),"Lần " &amp; ROUNDUP(V448/20,0),"")</f>
        <v/>
      </c>
      <c r="AH448" s="9">
        <f>IF(ROUNDUP(W448/20,0)&gt;ROUNDUP(W446/20,0),"Lần " &amp; ROUNDUP(W448/20,0),"")</f>
        <v/>
      </c>
      <c r="AI448" s="9">
        <f>IF(ROUNDUP(X448/20,0)&gt;ROUNDUP(X446/20,0),"Lần " &amp; ROUNDUP(X448/20,0),"")</f>
        <v/>
      </c>
      <c r="AJ448" s="9">
        <f>IF(ROUNDUP(Y448/20,0)&gt;ROUNDUP(Y446/20,0),"Lần " &amp; ROUNDUP(Y448/20,0),"")</f>
        <v/>
      </c>
      <c r="AK448" s="9">
        <f>IF(ROUNDUP(Z448/20,0)&gt;ROUNDUP(Z446/20,0),"Lần " &amp; ROUNDUP(Z448/20,0),"")</f>
        <v/>
      </c>
      <c r="AL448" s="4" t="n"/>
      <c r="AN448" s="596" t="inlineStr">
        <is>
          <t>Than</t>
        </is>
      </c>
      <c r="AO448" s="596" t="n">
        <v>57</v>
      </c>
      <c r="AQ448" s="594" t="n"/>
      <c r="AR448" s="595" t="n"/>
    </row>
    <row r="449" ht="19" customHeight="1" s="672">
      <c r="A449" s="4" t="n">
        <v>419</v>
      </c>
      <c r="B449" s="5" t="inlineStr">
        <is>
          <t>Mố M2</t>
        </is>
      </c>
      <c r="C449" s="5" t="inlineStr">
        <is>
          <t>Mố M2 (tr.40)</t>
        </is>
      </c>
      <c r="D449" s="14" t="inlineStr">
        <is>
          <t>G2</t>
        </is>
      </c>
      <c r="E449" s="15" t="n">
        <v>18</v>
      </c>
      <c r="F449" s="4" t="inlineStr">
        <is>
          <t>CB400-V</t>
        </is>
      </c>
      <c r="G449" s="5" t="inlineStr">
        <is>
          <t>S57</t>
        </is>
      </c>
      <c r="H449" s="16" t="n">
        <v>3.265</v>
      </c>
      <c r="I449" s="17" t="n">
        <v>4</v>
      </c>
      <c r="J449" s="18" t="n">
        <v>1.998</v>
      </c>
      <c r="K449" s="7">
        <f>ROUND(H449*I449*J449, 2)</f>
        <v/>
      </c>
      <c r="L449" s="19">
        <f>ROUND(K449/1000, 3)</f>
        <v/>
      </c>
      <c r="M449" s="728">
        <f>IF(AO449="","",IF(N(INDEX(Theo_Doi_Tan_Suat_Be_Tong!$C:$C,AO449))&lt;=0,"",INDEX(Theo_Doi_Tan_Suat_Be_Tong!$C:$C,AO449)-VLOOKUP(AN449,$AQ$2:$AR$7,2,FALSE)))</f>
        <v/>
      </c>
      <c r="N449" s="4" t="n"/>
      <c r="O449" s="20">
        <f>IF(ROUNDUP(T449/20,0)&gt;ROUNDUP(T448/20,0),"TN Ø18 (Lần " &amp; ROUNDUP(T449/20,0) &amp; ")","")</f>
        <v/>
      </c>
      <c r="P449" s="16">
        <f>ROUND(P448+IF(AND(E449&lt;=10,F449&lt;&gt;"ASTM A416"),L449,0),3)</f>
        <v/>
      </c>
      <c r="Q449" s="16">
        <f>ROUND(Q448+IF(AND(E449=12,F449&lt;&gt;"ASTM A416"),L449,0),3)</f>
        <v/>
      </c>
      <c r="R449" s="16">
        <f>ROUND(R448+IF(AND(E449=14,F449&lt;&gt;"ASTM A416"),L449,0),3)</f>
        <v/>
      </c>
      <c r="S449" s="16">
        <f>ROUND(S448+IF(AND(E449=16,F449&lt;&gt;"ASTM A416"),L449,0),3)</f>
        <v/>
      </c>
      <c r="T449" s="16">
        <f>ROUND(T448+IF(AND(E449=18,F449&lt;&gt;"ASTM A416"),L449,0),3)</f>
        <v/>
      </c>
      <c r="U449" s="16">
        <f>ROUND(U448+IF(AND(E449=20,F449&lt;&gt;"ASTM A416"),L449,0),3)</f>
        <v/>
      </c>
      <c r="V449" s="16">
        <f>ROUND(V448+IF(AND(E449=22,F449&lt;&gt;"ASTM A416"),L449,0),3)</f>
        <v/>
      </c>
      <c r="W449" s="16">
        <f>ROUND(W448+IF(AND(E449=25,F449&lt;&gt;"ASTM A416"),L449,0),3)</f>
        <v/>
      </c>
      <c r="X449" s="16">
        <f>ROUND(X448+IF(AND(E449=28,F449&lt;&gt;"ASTM A416"),L449,0),3)</f>
        <v/>
      </c>
      <c r="Y449" s="16">
        <f>ROUND(Y448+IF(AND(E449=32,F449&lt;&gt;"ASTM A416"),L449,0),3)</f>
        <v/>
      </c>
      <c r="Z449" s="16">
        <f>ROUND(Z448+IF(F449="ASTM A416",L449,0),3)</f>
        <v/>
      </c>
      <c r="AA449" s="9">
        <f>IF(ROUNDUP(P449/20,0)&gt;ROUNDUP(P448/20,0),"Lần " &amp; ROUNDUP(P449/20,0),"")</f>
        <v/>
      </c>
      <c r="AB449" s="9">
        <f>IF(ROUNDUP(Q449/20,0)&gt;ROUNDUP(Q448/20,0),"Lần " &amp; ROUNDUP(Q449/20,0),"")</f>
        <v/>
      </c>
      <c r="AC449" s="9">
        <f>IF(ROUNDUP(R449/20,0)&gt;ROUNDUP(R448/20,0),"Lần " &amp; ROUNDUP(R449/20,0),"")</f>
        <v/>
      </c>
      <c r="AD449" s="9">
        <f>IF(ROUNDUP(S449/20,0)&gt;ROUNDUP(S448/20,0),"Lần " &amp; ROUNDUP(S449/20,0),"")</f>
        <v/>
      </c>
      <c r="AE449" s="9">
        <f>IF(ROUNDUP(T449/20,0)&gt;ROUNDUP(T448/20,0),"Lần " &amp; ROUNDUP(T449/20,0),"")</f>
        <v/>
      </c>
      <c r="AF449" s="9">
        <f>IF(ROUNDUP(U449/20,0)&gt;ROUNDUP(U448/20,0),"Lần " &amp; ROUNDUP(U449/20,0),"")</f>
        <v/>
      </c>
      <c r="AG449" s="9">
        <f>IF(ROUNDUP(V449/20,0)&gt;ROUNDUP(V448/20,0),"Lần " &amp; ROUNDUP(V449/20,0),"")</f>
        <v/>
      </c>
      <c r="AH449" s="9">
        <f>IF(ROUNDUP(W449/20,0)&gt;ROUNDUP(W448/20,0),"Lần " &amp; ROUNDUP(W449/20,0),"")</f>
        <v/>
      </c>
      <c r="AI449" s="9">
        <f>IF(ROUNDUP(X449/20,0)&gt;ROUNDUP(X448/20,0),"Lần " &amp; ROUNDUP(X449/20,0),"")</f>
        <v/>
      </c>
      <c r="AJ449" s="9">
        <f>IF(ROUNDUP(Y449/20,0)&gt;ROUNDUP(Y448/20,0),"Lần " &amp; ROUNDUP(Y449/20,0),"")</f>
        <v/>
      </c>
      <c r="AK449" s="9">
        <f>IF(ROUNDUP(Z449/20,0)&gt;ROUNDUP(Z448/20,0),"Lần " &amp; ROUNDUP(Z449/20,0),"")</f>
        <v/>
      </c>
      <c r="AL449" s="4" t="n"/>
      <c r="AN449" s="596" t="inlineStr">
        <is>
          <t>Than</t>
        </is>
      </c>
      <c r="AO449" s="596" t="n">
        <v>57</v>
      </c>
      <c r="AQ449" s="594" t="n"/>
      <c r="AR449" s="595" t="n"/>
    </row>
    <row r="450" ht="19" customHeight="1" s="672">
      <c r="A450" s="4" t="n">
        <v>420</v>
      </c>
      <c r="B450" s="5" t="inlineStr">
        <is>
          <t>Mố M2</t>
        </is>
      </c>
      <c r="C450" s="5" t="inlineStr">
        <is>
          <t>Mố M2 (tr.40)</t>
        </is>
      </c>
      <c r="D450" s="14" t="inlineStr">
        <is>
          <t>G3</t>
        </is>
      </c>
      <c r="E450" s="15" t="n">
        <v>14</v>
      </c>
      <c r="F450" s="4" t="inlineStr">
        <is>
          <t>CB400-V</t>
        </is>
      </c>
      <c r="G450" s="5" t="inlineStr">
        <is>
          <t>S29</t>
        </is>
      </c>
      <c r="H450" s="16" t="n">
        <v>2.344</v>
      </c>
      <c r="I450" s="17" t="n">
        <v>4</v>
      </c>
      <c r="J450" s="18" t="n">
        <v>1.208</v>
      </c>
      <c r="K450" s="7">
        <f>ROUND(H450*I450*J450, 2)</f>
        <v/>
      </c>
      <c r="L450" s="19">
        <f>ROUND(K450/1000, 3)</f>
        <v/>
      </c>
      <c r="M450" s="728">
        <f>IF(AO450="","",IF(N(INDEX(Theo_Doi_Tan_Suat_Be_Tong!$C:$C,AO450))&lt;=0,"",INDEX(Theo_Doi_Tan_Suat_Be_Tong!$C:$C,AO450)-VLOOKUP(AN450,$AQ$2:$AR$7,2,FALSE)))</f>
        <v/>
      </c>
      <c r="N450" s="4" t="n"/>
      <c r="O450" s="20">
        <f>IF(ROUNDUP(R450/20,0)&gt;ROUNDUP(R449/20,0),"TN Ø14 (Lần " &amp; ROUNDUP(R450/20,0) &amp; ")","")</f>
        <v/>
      </c>
      <c r="P450" s="16">
        <f>ROUND(P449+IF(AND(E450&lt;=10,F450&lt;&gt;"ASTM A416"),L450,0),3)</f>
        <v/>
      </c>
      <c r="Q450" s="16">
        <f>ROUND(Q449+IF(AND(E450=12,F450&lt;&gt;"ASTM A416"),L450,0),3)</f>
        <v/>
      </c>
      <c r="R450" s="16">
        <f>ROUND(R449+IF(AND(E450=14,F450&lt;&gt;"ASTM A416"),L450,0),3)</f>
        <v/>
      </c>
      <c r="S450" s="16">
        <f>ROUND(S449+IF(AND(E450=16,F450&lt;&gt;"ASTM A416"),L450,0),3)</f>
        <v/>
      </c>
      <c r="T450" s="16">
        <f>ROUND(T449+IF(AND(E450=18,F450&lt;&gt;"ASTM A416"),L450,0),3)</f>
        <v/>
      </c>
      <c r="U450" s="16">
        <f>ROUND(U449+IF(AND(E450=20,F450&lt;&gt;"ASTM A416"),L450,0),3)</f>
        <v/>
      </c>
      <c r="V450" s="16">
        <f>ROUND(V449+IF(AND(E450=22,F450&lt;&gt;"ASTM A416"),L450,0),3)</f>
        <v/>
      </c>
      <c r="W450" s="16">
        <f>ROUND(W449+IF(AND(E450=25,F450&lt;&gt;"ASTM A416"),L450,0),3)</f>
        <v/>
      </c>
      <c r="X450" s="16">
        <f>ROUND(X449+IF(AND(E450=28,F450&lt;&gt;"ASTM A416"),L450,0),3)</f>
        <v/>
      </c>
      <c r="Y450" s="16">
        <f>ROUND(Y449+IF(AND(E450=32,F450&lt;&gt;"ASTM A416"),L450,0),3)</f>
        <v/>
      </c>
      <c r="Z450" s="16">
        <f>ROUND(Z449+IF(F450="ASTM A416",L450,0),3)</f>
        <v/>
      </c>
      <c r="AA450" s="9">
        <f>IF(ROUNDUP(P450/20,0)&gt;ROUNDUP(P449/20,0),"Lần " &amp; ROUNDUP(P450/20,0),"")</f>
        <v/>
      </c>
      <c r="AB450" s="9">
        <f>IF(ROUNDUP(Q450/20,0)&gt;ROUNDUP(Q449/20,0),"Lần " &amp; ROUNDUP(Q450/20,0),"")</f>
        <v/>
      </c>
      <c r="AC450" s="9">
        <f>IF(ROUNDUP(R450/20,0)&gt;ROUNDUP(R449/20,0),"Lần " &amp; ROUNDUP(R450/20,0),"")</f>
        <v/>
      </c>
      <c r="AD450" s="9">
        <f>IF(ROUNDUP(S450/20,0)&gt;ROUNDUP(S449/20,0),"Lần " &amp; ROUNDUP(S450/20,0),"")</f>
        <v/>
      </c>
      <c r="AE450" s="9">
        <f>IF(ROUNDUP(T450/20,0)&gt;ROUNDUP(T449/20,0),"Lần " &amp; ROUNDUP(T450/20,0),"")</f>
        <v/>
      </c>
      <c r="AF450" s="9">
        <f>IF(ROUNDUP(U450/20,0)&gt;ROUNDUP(U449/20,0),"Lần " &amp; ROUNDUP(U450/20,0),"")</f>
        <v/>
      </c>
      <c r="AG450" s="9">
        <f>IF(ROUNDUP(V450/20,0)&gt;ROUNDUP(V449/20,0),"Lần " &amp; ROUNDUP(V450/20,0),"")</f>
        <v/>
      </c>
      <c r="AH450" s="9">
        <f>IF(ROUNDUP(W450/20,0)&gt;ROUNDUP(W449/20,0),"Lần " &amp; ROUNDUP(W450/20,0),"")</f>
        <v/>
      </c>
      <c r="AI450" s="9">
        <f>IF(ROUNDUP(X450/20,0)&gt;ROUNDUP(X449/20,0),"Lần " &amp; ROUNDUP(X450/20,0),"")</f>
        <v/>
      </c>
      <c r="AJ450" s="9">
        <f>IF(ROUNDUP(Y450/20,0)&gt;ROUNDUP(Y449/20,0),"Lần " &amp; ROUNDUP(Y450/20,0),"")</f>
        <v/>
      </c>
      <c r="AK450" s="9">
        <f>IF(ROUNDUP(Z450/20,0)&gt;ROUNDUP(Z449/20,0),"Lần " &amp; ROUNDUP(Z450/20,0),"")</f>
        <v/>
      </c>
      <c r="AL450" s="4" t="n"/>
      <c r="AN450" s="596" t="inlineStr">
        <is>
          <t>Than</t>
        </is>
      </c>
      <c r="AO450" s="596" t="n">
        <v>57</v>
      </c>
      <c r="AQ450" s="594" t="n"/>
      <c r="AR450" s="595" t="n"/>
    </row>
    <row r="451" ht="19" customHeight="1" s="672">
      <c r="A451" s="4" t="n">
        <v>421</v>
      </c>
      <c r="B451" s="5" t="inlineStr">
        <is>
          <t>Mố M2</t>
        </is>
      </c>
      <c r="C451" s="5" t="inlineStr">
        <is>
          <t>Mố M2 (tr.40)</t>
        </is>
      </c>
      <c r="D451" s="14" t="inlineStr">
        <is>
          <t>G4A</t>
        </is>
      </c>
      <c r="E451" s="15" t="n">
        <v>12</v>
      </c>
      <c r="F451" s="4" t="inlineStr">
        <is>
          <t>CB400-V</t>
        </is>
      </c>
      <c r="G451" s="5" t="inlineStr">
        <is>
          <t>S06</t>
        </is>
      </c>
      <c r="H451" s="16" t="n">
        <v>0.342</v>
      </c>
      <c r="I451" s="17" t="n">
        <v>2</v>
      </c>
      <c r="J451" s="18" t="n">
        <v>0.888</v>
      </c>
      <c r="K451" s="7">
        <f>ROUND(H451*I451*J451, 2)</f>
        <v/>
      </c>
      <c r="L451" s="19">
        <f>ROUND(K451/1000, 3)</f>
        <v/>
      </c>
      <c r="M451" s="728">
        <f>IF(AO451="","",IF(N(INDEX(Theo_Doi_Tan_Suat_Be_Tong!$C:$C,AO451))&lt;=0,"",INDEX(Theo_Doi_Tan_Suat_Be_Tong!$C:$C,AO451)-VLOOKUP(AN451,$AQ$2:$AR$7,2,FALSE)))</f>
        <v/>
      </c>
      <c r="N451" s="4" t="n"/>
      <c r="O451" s="20">
        <f>IF(ROUNDUP(Q451/20,0)&gt;ROUNDUP(Q450/20,0),"TN Ø12 (Lần " &amp; ROUNDUP(Q451/20,0) &amp; ")","")</f>
        <v/>
      </c>
      <c r="P451" s="16">
        <f>ROUND(P450+IF(AND(E451&lt;=10,F451&lt;&gt;"ASTM A416"),L451,0),3)</f>
        <v/>
      </c>
      <c r="Q451" s="16">
        <f>ROUND(Q450+IF(AND(E451=12,F451&lt;&gt;"ASTM A416"),L451,0),3)</f>
        <v/>
      </c>
      <c r="R451" s="16">
        <f>ROUND(R450+IF(AND(E451=14,F451&lt;&gt;"ASTM A416"),L451,0),3)</f>
        <v/>
      </c>
      <c r="S451" s="16">
        <f>ROUND(S450+IF(AND(E451=16,F451&lt;&gt;"ASTM A416"),L451,0),3)</f>
        <v/>
      </c>
      <c r="T451" s="16">
        <f>ROUND(T450+IF(AND(E451=18,F451&lt;&gt;"ASTM A416"),L451,0),3)</f>
        <v/>
      </c>
      <c r="U451" s="16">
        <f>ROUND(U450+IF(AND(E451=20,F451&lt;&gt;"ASTM A416"),L451,0),3)</f>
        <v/>
      </c>
      <c r="V451" s="16">
        <f>ROUND(V450+IF(AND(E451=22,F451&lt;&gt;"ASTM A416"),L451,0),3)</f>
        <v/>
      </c>
      <c r="W451" s="16">
        <f>ROUND(W450+IF(AND(E451=25,F451&lt;&gt;"ASTM A416"),L451,0),3)</f>
        <v/>
      </c>
      <c r="X451" s="16">
        <f>ROUND(X450+IF(AND(E451=28,F451&lt;&gt;"ASTM A416"),L451,0),3)</f>
        <v/>
      </c>
      <c r="Y451" s="16">
        <f>ROUND(Y450+IF(AND(E451=32,F451&lt;&gt;"ASTM A416"),L451,0),3)</f>
        <v/>
      </c>
      <c r="Z451" s="16">
        <f>ROUND(Z450+IF(F451="ASTM A416",L451,0),3)</f>
        <v/>
      </c>
      <c r="AA451" s="9">
        <f>IF(ROUNDUP(P451/20,0)&gt;ROUNDUP(P450/20,0),"Lần " &amp; ROUNDUP(P451/20,0),"")</f>
        <v/>
      </c>
      <c r="AB451" s="9">
        <f>IF(ROUNDUP(Q451/20,0)&gt;ROUNDUP(Q450/20,0),"Lần " &amp; ROUNDUP(Q451/20,0),"")</f>
        <v/>
      </c>
      <c r="AC451" s="9">
        <f>IF(ROUNDUP(R451/20,0)&gt;ROUNDUP(R450/20,0),"Lần " &amp; ROUNDUP(R451/20,0),"")</f>
        <v/>
      </c>
      <c r="AD451" s="9">
        <f>IF(ROUNDUP(S451/20,0)&gt;ROUNDUP(S450/20,0),"Lần " &amp; ROUNDUP(S451/20,0),"")</f>
        <v/>
      </c>
      <c r="AE451" s="9">
        <f>IF(ROUNDUP(T451/20,0)&gt;ROUNDUP(T450/20,0),"Lần " &amp; ROUNDUP(T451/20,0),"")</f>
        <v/>
      </c>
      <c r="AF451" s="9">
        <f>IF(ROUNDUP(U451/20,0)&gt;ROUNDUP(U450/20,0),"Lần " &amp; ROUNDUP(U451/20,0),"")</f>
        <v/>
      </c>
      <c r="AG451" s="9">
        <f>IF(ROUNDUP(V451/20,0)&gt;ROUNDUP(V450/20,0),"Lần " &amp; ROUNDUP(V451/20,0),"")</f>
        <v/>
      </c>
      <c r="AH451" s="9">
        <f>IF(ROUNDUP(W451/20,0)&gt;ROUNDUP(W450/20,0),"Lần " &amp; ROUNDUP(W451/20,0),"")</f>
        <v/>
      </c>
      <c r="AI451" s="9">
        <f>IF(ROUNDUP(X451/20,0)&gt;ROUNDUP(X450/20,0),"Lần " &amp; ROUNDUP(X451/20,0),"")</f>
        <v/>
      </c>
      <c r="AJ451" s="9">
        <f>IF(ROUNDUP(Y451/20,0)&gt;ROUNDUP(Y450/20,0),"Lần " &amp; ROUNDUP(Y451/20,0),"")</f>
        <v/>
      </c>
      <c r="AK451" s="9">
        <f>IF(ROUNDUP(Z451/20,0)&gt;ROUNDUP(Z450/20,0),"Lần " &amp; ROUNDUP(Z451/20,0),"")</f>
        <v/>
      </c>
      <c r="AL451" s="4" t="n"/>
      <c r="AN451" s="596" t="inlineStr">
        <is>
          <t>Than</t>
        </is>
      </c>
      <c r="AO451" s="596" t="n">
        <v>57</v>
      </c>
      <c r="AQ451" s="594" t="n"/>
      <c r="AR451" s="595" t="n"/>
    </row>
    <row r="452" ht="19" customHeight="1" s="672">
      <c r="A452" s="4" t="n">
        <v>422</v>
      </c>
      <c r="B452" s="5" t="inlineStr">
        <is>
          <t>Mố M2</t>
        </is>
      </c>
      <c r="C452" s="5" t="inlineStr">
        <is>
          <t>Mố M2 (tr.40)</t>
        </is>
      </c>
      <c r="D452" s="14" t="inlineStr">
        <is>
          <t>G4B</t>
        </is>
      </c>
      <c r="E452" s="15" t="n">
        <v>12</v>
      </c>
      <c r="F452" s="4" t="inlineStr">
        <is>
          <t>CB400-V</t>
        </is>
      </c>
      <c r="G452" s="5" t="inlineStr">
        <is>
          <t>S06</t>
        </is>
      </c>
      <c r="H452" s="16" t="n">
        <v>0.388</v>
      </c>
      <c r="I452" s="17" t="n">
        <v>2</v>
      </c>
      <c r="J452" s="18" t="n">
        <v>0.888</v>
      </c>
      <c r="K452" s="7">
        <f>ROUND(H452*I452*J452, 2)</f>
        <v/>
      </c>
      <c r="L452" s="19">
        <f>ROUND(K452/1000, 3)</f>
        <v/>
      </c>
      <c r="M452" s="728">
        <f>IF(AO452="","",IF(N(INDEX(Theo_Doi_Tan_Suat_Be_Tong!$C:$C,AO452))&lt;=0,"",INDEX(Theo_Doi_Tan_Suat_Be_Tong!$C:$C,AO452)-VLOOKUP(AN452,$AQ$2:$AR$7,2,FALSE)))</f>
        <v/>
      </c>
      <c r="N452" s="4" t="n"/>
      <c r="O452" s="20">
        <f>IF(ROUNDUP(Q452/20,0)&gt;ROUNDUP(Q451/20,0),"TN Ø12 (Lần " &amp; ROUNDUP(Q452/20,0) &amp; ")","")</f>
        <v/>
      </c>
      <c r="P452" s="16">
        <f>ROUND(P451+IF(AND(E452&lt;=10,F452&lt;&gt;"ASTM A416"),L452,0),3)</f>
        <v/>
      </c>
      <c r="Q452" s="16">
        <f>ROUND(Q451+IF(AND(E452=12,F452&lt;&gt;"ASTM A416"),L452,0),3)</f>
        <v/>
      </c>
      <c r="R452" s="16">
        <f>ROUND(R451+IF(AND(E452=14,F452&lt;&gt;"ASTM A416"),L452,0),3)</f>
        <v/>
      </c>
      <c r="S452" s="16">
        <f>ROUND(S451+IF(AND(E452=16,F452&lt;&gt;"ASTM A416"),L452,0),3)</f>
        <v/>
      </c>
      <c r="T452" s="16">
        <f>ROUND(T451+IF(AND(E452=18,F452&lt;&gt;"ASTM A416"),L452,0),3)</f>
        <v/>
      </c>
      <c r="U452" s="16">
        <f>ROUND(U451+IF(AND(E452=20,F452&lt;&gt;"ASTM A416"),L452,0),3)</f>
        <v/>
      </c>
      <c r="V452" s="16">
        <f>ROUND(V451+IF(AND(E452=22,F452&lt;&gt;"ASTM A416"),L452,0),3)</f>
        <v/>
      </c>
      <c r="W452" s="16">
        <f>ROUND(W451+IF(AND(E452=25,F452&lt;&gt;"ASTM A416"),L452,0),3)</f>
        <v/>
      </c>
      <c r="X452" s="16">
        <f>ROUND(X451+IF(AND(E452=28,F452&lt;&gt;"ASTM A416"),L452,0),3)</f>
        <v/>
      </c>
      <c r="Y452" s="16">
        <f>ROUND(Y451+IF(AND(E452=32,F452&lt;&gt;"ASTM A416"),L452,0),3)</f>
        <v/>
      </c>
      <c r="Z452" s="16">
        <f>ROUND(Z451+IF(F452="ASTM A416",L452,0),3)</f>
        <v/>
      </c>
      <c r="AA452" s="9">
        <f>IF(ROUNDUP(P452/20,0)&gt;ROUNDUP(P451/20,0),"Lần " &amp; ROUNDUP(P452/20,0),"")</f>
        <v/>
      </c>
      <c r="AB452" s="9">
        <f>IF(ROUNDUP(Q452/20,0)&gt;ROUNDUP(Q451/20,0),"Lần " &amp; ROUNDUP(Q452/20,0),"")</f>
        <v/>
      </c>
      <c r="AC452" s="9">
        <f>IF(ROUNDUP(R452/20,0)&gt;ROUNDUP(R451/20,0),"Lần " &amp; ROUNDUP(R452/20,0),"")</f>
        <v/>
      </c>
      <c r="AD452" s="9">
        <f>IF(ROUNDUP(S452/20,0)&gt;ROUNDUP(S451/20,0),"Lần " &amp; ROUNDUP(S452/20,0),"")</f>
        <v/>
      </c>
      <c r="AE452" s="9">
        <f>IF(ROUNDUP(T452/20,0)&gt;ROUNDUP(T451/20,0),"Lần " &amp; ROUNDUP(T452/20,0),"")</f>
        <v/>
      </c>
      <c r="AF452" s="9">
        <f>IF(ROUNDUP(U452/20,0)&gt;ROUNDUP(U451/20,0),"Lần " &amp; ROUNDUP(U452/20,0),"")</f>
        <v/>
      </c>
      <c r="AG452" s="9">
        <f>IF(ROUNDUP(V452/20,0)&gt;ROUNDUP(V451/20,0),"Lần " &amp; ROUNDUP(V452/20,0),"")</f>
        <v/>
      </c>
      <c r="AH452" s="9">
        <f>IF(ROUNDUP(W452/20,0)&gt;ROUNDUP(W451/20,0),"Lần " &amp; ROUNDUP(W452/20,0),"")</f>
        <v/>
      </c>
      <c r="AI452" s="9">
        <f>IF(ROUNDUP(X452/20,0)&gt;ROUNDUP(X451/20,0),"Lần " &amp; ROUNDUP(X452/20,0),"")</f>
        <v/>
      </c>
      <c r="AJ452" s="9">
        <f>IF(ROUNDUP(Y452/20,0)&gt;ROUNDUP(Y451/20,0),"Lần " &amp; ROUNDUP(Y452/20,0),"")</f>
        <v/>
      </c>
      <c r="AK452" s="9">
        <f>IF(ROUNDUP(Z452/20,0)&gt;ROUNDUP(Z451/20,0),"Lần " &amp; ROUNDUP(Z452/20,0),"")</f>
        <v/>
      </c>
      <c r="AL452" s="4" t="n"/>
      <c r="AN452" s="596" t="inlineStr">
        <is>
          <t>Than</t>
        </is>
      </c>
      <c r="AO452" s="596" t="n">
        <v>57</v>
      </c>
      <c r="AQ452" s="594" t="n"/>
      <c r="AR452" s="595" t="n"/>
    </row>
    <row r="453" ht="19" customHeight="1" s="672">
      <c r="A453" s="4" t="n">
        <v>423</v>
      </c>
      <c r="B453" s="5" t="inlineStr">
        <is>
          <t>Mố M2</t>
        </is>
      </c>
      <c r="C453" s="5" t="inlineStr">
        <is>
          <t>Mố M2 (tr.40)</t>
        </is>
      </c>
      <c r="D453" s="14" t="inlineStr">
        <is>
          <t>G4C</t>
        </is>
      </c>
      <c r="E453" s="15" t="n">
        <v>12</v>
      </c>
      <c r="F453" s="4" t="inlineStr">
        <is>
          <t>CB400-V</t>
        </is>
      </c>
      <c r="G453" s="5" t="inlineStr">
        <is>
          <t>S06</t>
        </is>
      </c>
      <c r="H453" s="16" t="n">
        <v>0.634</v>
      </c>
      <c r="I453" s="17" t="n">
        <v>2</v>
      </c>
      <c r="J453" s="18" t="n">
        <v>0.888</v>
      </c>
      <c r="K453" s="7">
        <f>ROUND(H453*I453*J453, 2)</f>
        <v/>
      </c>
      <c r="L453" s="19">
        <f>ROUND(K453/1000, 3)</f>
        <v/>
      </c>
      <c r="M453" s="728">
        <f>IF(AO453="","",IF(N(INDEX(Theo_Doi_Tan_Suat_Be_Tong!$C:$C,AO453))&lt;=0,"",INDEX(Theo_Doi_Tan_Suat_Be_Tong!$C:$C,AO453)-VLOOKUP(AN453,$AQ$2:$AR$7,2,FALSE)))</f>
        <v/>
      </c>
      <c r="N453" s="4" t="n"/>
      <c r="O453" s="20">
        <f>IF(ROUNDUP(Q453/20,0)&gt;ROUNDUP(Q452/20,0),"TN Ø12 (Lần " &amp; ROUNDUP(Q453/20,0) &amp; ")","")</f>
        <v/>
      </c>
      <c r="P453" s="16">
        <f>ROUND(P452+IF(AND(E453&lt;=10,F453&lt;&gt;"ASTM A416"),L453,0),3)</f>
        <v/>
      </c>
      <c r="Q453" s="16">
        <f>ROUND(Q452+IF(AND(E453=12,F453&lt;&gt;"ASTM A416"),L453,0),3)</f>
        <v/>
      </c>
      <c r="R453" s="16">
        <f>ROUND(R452+IF(AND(E453=14,F453&lt;&gt;"ASTM A416"),L453,0),3)</f>
        <v/>
      </c>
      <c r="S453" s="16">
        <f>ROUND(S452+IF(AND(E453=16,F453&lt;&gt;"ASTM A416"),L453,0),3)</f>
        <v/>
      </c>
      <c r="T453" s="16">
        <f>ROUND(T452+IF(AND(E453=18,F453&lt;&gt;"ASTM A416"),L453,0),3)</f>
        <v/>
      </c>
      <c r="U453" s="16">
        <f>ROUND(U452+IF(AND(E453=20,F453&lt;&gt;"ASTM A416"),L453,0),3)</f>
        <v/>
      </c>
      <c r="V453" s="16">
        <f>ROUND(V452+IF(AND(E453=22,F453&lt;&gt;"ASTM A416"),L453,0),3)</f>
        <v/>
      </c>
      <c r="W453" s="16">
        <f>ROUND(W452+IF(AND(E453=25,F453&lt;&gt;"ASTM A416"),L453,0),3)</f>
        <v/>
      </c>
      <c r="X453" s="16">
        <f>ROUND(X452+IF(AND(E453=28,F453&lt;&gt;"ASTM A416"),L453,0),3)</f>
        <v/>
      </c>
      <c r="Y453" s="16">
        <f>ROUND(Y452+IF(AND(E453=32,F453&lt;&gt;"ASTM A416"),L453,0),3)</f>
        <v/>
      </c>
      <c r="Z453" s="16">
        <f>ROUND(Z452+IF(F453="ASTM A416",L453,0),3)</f>
        <v/>
      </c>
      <c r="AA453" s="9">
        <f>IF(ROUNDUP(P453/20,0)&gt;ROUNDUP(P452/20,0),"Lần " &amp; ROUNDUP(P453/20,0),"")</f>
        <v/>
      </c>
      <c r="AB453" s="9">
        <f>IF(ROUNDUP(Q453/20,0)&gt;ROUNDUP(Q452/20,0),"Lần " &amp; ROUNDUP(Q453/20,0),"")</f>
        <v/>
      </c>
      <c r="AC453" s="9">
        <f>IF(ROUNDUP(R453/20,0)&gt;ROUNDUP(R452/20,0),"Lần " &amp; ROUNDUP(R453/20,0),"")</f>
        <v/>
      </c>
      <c r="AD453" s="9">
        <f>IF(ROUNDUP(S453/20,0)&gt;ROUNDUP(S452/20,0),"Lần " &amp; ROUNDUP(S453/20,0),"")</f>
        <v/>
      </c>
      <c r="AE453" s="9">
        <f>IF(ROUNDUP(T453/20,0)&gt;ROUNDUP(T452/20,0),"Lần " &amp; ROUNDUP(T453/20,0),"")</f>
        <v/>
      </c>
      <c r="AF453" s="9">
        <f>IF(ROUNDUP(U453/20,0)&gt;ROUNDUP(U452/20,0),"Lần " &amp; ROUNDUP(U453/20,0),"")</f>
        <v/>
      </c>
      <c r="AG453" s="9">
        <f>IF(ROUNDUP(V453/20,0)&gt;ROUNDUP(V452/20,0),"Lần " &amp; ROUNDUP(V453/20,0),"")</f>
        <v/>
      </c>
      <c r="AH453" s="9">
        <f>IF(ROUNDUP(W453/20,0)&gt;ROUNDUP(W452/20,0),"Lần " &amp; ROUNDUP(W453/20,0),"")</f>
        <v/>
      </c>
      <c r="AI453" s="9">
        <f>IF(ROUNDUP(X453/20,0)&gt;ROUNDUP(X452/20,0),"Lần " &amp; ROUNDUP(X453/20,0),"")</f>
        <v/>
      </c>
      <c r="AJ453" s="9">
        <f>IF(ROUNDUP(Y453/20,0)&gt;ROUNDUP(Y452/20,0),"Lần " &amp; ROUNDUP(Y453/20,0),"")</f>
        <v/>
      </c>
      <c r="AK453" s="9">
        <f>IF(ROUNDUP(Z453/20,0)&gt;ROUNDUP(Z452/20,0),"Lần " &amp; ROUNDUP(Z453/20,0),"")</f>
        <v/>
      </c>
      <c r="AL453" s="4" t="n"/>
      <c r="AN453" s="596" t="inlineStr">
        <is>
          <t>Than</t>
        </is>
      </c>
      <c r="AO453" s="596" t="n">
        <v>57</v>
      </c>
      <c r="AQ453" s="594" t="n"/>
      <c r="AR453" s="595" t="n"/>
    </row>
    <row r="454" ht="19" customHeight="1" s="672">
      <c r="A454" s="4" t="n">
        <v>424</v>
      </c>
      <c r="B454" s="5" t="inlineStr">
        <is>
          <t>Mố M2</t>
        </is>
      </c>
      <c r="C454" s="5" t="inlineStr">
        <is>
          <t>Mố M2 (tr.40)</t>
        </is>
      </c>
      <c r="D454" s="14" t="inlineStr">
        <is>
          <t>G5</t>
        </is>
      </c>
      <c r="E454" s="15" t="n">
        <v>14</v>
      </c>
      <c r="F454" s="4" t="inlineStr">
        <is>
          <t>CB400-V</t>
        </is>
      </c>
      <c r="G454" s="5" t="inlineStr">
        <is>
          <t>S01</t>
        </is>
      </c>
      <c r="H454" s="16" t="n">
        <v>0.4</v>
      </c>
      <c r="I454" s="17" t="n">
        <v>18</v>
      </c>
      <c r="J454" s="18" t="n">
        <v>1.208</v>
      </c>
      <c r="K454" s="7">
        <f>ROUND(H454*I454*J454, 2)</f>
        <v/>
      </c>
      <c r="L454" s="19">
        <f>ROUND(K454/1000, 3)</f>
        <v/>
      </c>
      <c r="M454" s="728">
        <f>IF(AO454="","",IF(N(INDEX(Theo_Doi_Tan_Suat_Be_Tong!$C:$C,AO454))&lt;=0,"",INDEX(Theo_Doi_Tan_Suat_Be_Tong!$C:$C,AO454)-VLOOKUP(AN454,$AQ$2:$AR$7,2,FALSE)))</f>
        <v/>
      </c>
      <c r="N454" s="4" t="n"/>
      <c r="O454" s="20">
        <f>IF(ROUNDUP(R454/20,0)&gt;ROUNDUP(R453/20,0),"TN Ø14 (Lần " &amp; ROUNDUP(R454/20,0) &amp; ")","")</f>
        <v/>
      </c>
      <c r="P454" s="16">
        <f>ROUND(P453+IF(AND(E454&lt;=10,F454&lt;&gt;"ASTM A416"),L454,0),3)</f>
        <v/>
      </c>
      <c r="Q454" s="16">
        <f>ROUND(Q453+IF(AND(E454=12,F454&lt;&gt;"ASTM A416"),L454,0),3)</f>
        <v/>
      </c>
      <c r="R454" s="16">
        <f>ROUND(R453+IF(AND(E454=14,F454&lt;&gt;"ASTM A416"),L454,0),3)</f>
        <v/>
      </c>
      <c r="S454" s="16">
        <f>ROUND(S453+IF(AND(E454=16,F454&lt;&gt;"ASTM A416"),L454,0),3)</f>
        <v/>
      </c>
      <c r="T454" s="16">
        <f>ROUND(T453+IF(AND(E454=18,F454&lt;&gt;"ASTM A416"),L454,0),3)</f>
        <v/>
      </c>
      <c r="U454" s="16">
        <f>ROUND(U453+IF(AND(E454=20,F454&lt;&gt;"ASTM A416"),L454,0),3)</f>
        <v/>
      </c>
      <c r="V454" s="16">
        <f>ROUND(V453+IF(AND(E454=22,F454&lt;&gt;"ASTM A416"),L454,0),3)</f>
        <v/>
      </c>
      <c r="W454" s="16">
        <f>ROUND(W453+IF(AND(E454=25,F454&lt;&gt;"ASTM A416"),L454,0),3)</f>
        <v/>
      </c>
      <c r="X454" s="16">
        <f>ROUND(X453+IF(AND(E454=28,F454&lt;&gt;"ASTM A416"),L454,0),3)</f>
        <v/>
      </c>
      <c r="Y454" s="16">
        <f>ROUND(Y453+IF(AND(E454=32,F454&lt;&gt;"ASTM A416"),L454,0),3)</f>
        <v/>
      </c>
      <c r="Z454" s="16">
        <f>ROUND(Z453+IF(F454="ASTM A416",L454,0),3)</f>
        <v/>
      </c>
      <c r="AA454" s="9">
        <f>IF(ROUNDUP(P454/20,0)&gt;ROUNDUP(P453/20,0),"Lần " &amp; ROUNDUP(P454/20,0),"")</f>
        <v/>
      </c>
      <c r="AB454" s="9">
        <f>IF(ROUNDUP(Q454/20,0)&gt;ROUNDUP(Q453/20,0),"Lần " &amp; ROUNDUP(Q454/20,0),"")</f>
        <v/>
      </c>
      <c r="AC454" s="9">
        <f>IF(ROUNDUP(R454/20,0)&gt;ROUNDUP(R453/20,0),"Lần " &amp; ROUNDUP(R454/20,0),"")</f>
        <v/>
      </c>
      <c r="AD454" s="9">
        <f>IF(ROUNDUP(S454/20,0)&gt;ROUNDUP(S453/20,0),"Lần " &amp; ROUNDUP(S454/20,0),"")</f>
        <v/>
      </c>
      <c r="AE454" s="9">
        <f>IF(ROUNDUP(T454/20,0)&gt;ROUNDUP(T453/20,0),"Lần " &amp; ROUNDUP(T454/20,0),"")</f>
        <v/>
      </c>
      <c r="AF454" s="9">
        <f>IF(ROUNDUP(U454/20,0)&gt;ROUNDUP(U453/20,0),"Lần " &amp; ROUNDUP(U454/20,0),"")</f>
        <v/>
      </c>
      <c r="AG454" s="9">
        <f>IF(ROUNDUP(V454/20,0)&gt;ROUNDUP(V453/20,0),"Lần " &amp; ROUNDUP(V454/20,0),"")</f>
        <v/>
      </c>
      <c r="AH454" s="9">
        <f>IF(ROUNDUP(W454/20,0)&gt;ROUNDUP(W453/20,0),"Lần " &amp; ROUNDUP(W454/20,0),"")</f>
        <v/>
      </c>
      <c r="AI454" s="9">
        <f>IF(ROUNDUP(X454/20,0)&gt;ROUNDUP(X453/20,0),"Lần " &amp; ROUNDUP(X454/20,0),"")</f>
        <v/>
      </c>
      <c r="AJ454" s="9">
        <f>IF(ROUNDUP(Y454/20,0)&gt;ROUNDUP(Y453/20,0),"Lần " &amp; ROUNDUP(Y454/20,0),"")</f>
        <v/>
      </c>
      <c r="AK454" s="9">
        <f>IF(ROUNDUP(Z454/20,0)&gt;ROUNDUP(Z453/20,0),"Lần " &amp; ROUNDUP(Z454/20,0),"")</f>
        <v/>
      </c>
      <c r="AL454" s="4" t="n"/>
      <c r="AN454" s="596" t="inlineStr">
        <is>
          <t>Than</t>
        </is>
      </c>
      <c r="AO454" s="596" t="n">
        <v>57</v>
      </c>
      <c r="AQ454" s="594" t="n"/>
      <c r="AR454" s="595" t="n"/>
    </row>
    <row r="455" ht="19" customHeight="1" s="672">
      <c r="A455" s="4" t="n">
        <v>425</v>
      </c>
      <c r="B455" s="5" t="inlineStr">
        <is>
          <t>Mố M2</t>
        </is>
      </c>
      <c r="C455" s="5" t="inlineStr">
        <is>
          <t>Mố M2 (tr.40)</t>
        </is>
      </c>
      <c r="D455" s="14" t="inlineStr">
        <is>
          <t>G5A</t>
        </is>
      </c>
      <c r="E455" s="15" t="n">
        <v>14</v>
      </c>
      <c r="F455" s="4" t="inlineStr">
        <is>
          <t>CB400-V</t>
        </is>
      </c>
      <c r="G455" s="5" t="inlineStr">
        <is>
          <t>S01</t>
        </is>
      </c>
      <c r="H455" s="16" t="n">
        <v>5.38</v>
      </c>
      <c r="I455" s="17" t="n">
        <v>22</v>
      </c>
      <c r="J455" s="18" t="n">
        <v>1.208</v>
      </c>
      <c r="K455" s="7">
        <f>ROUND(H455*I455*J455, 2)</f>
        <v/>
      </c>
      <c r="L455" s="19">
        <f>ROUND(K455/1000, 3)</f>
        <v/>
      </c>
      <c r="M455" s="728">
        <f>IF(AO455="","",IF(N(INDEX(Theo_Doi_Tan_Suat_Be_Tong!$C:$C,AO455))&lt;=0,"",INDEX(Theo_Doi_Tan_Suat_Be_Tong!$C:$C,AO455)-VLOOKUP(AN455,$AQ$2:$AR$7,2,FALSE)))</f>
        <v/>
      </c>
      <c r="N455" s="4" t="n"/>
      <c r="O455" s="20">
        <f>IF(ROUNDUP(R455/20,0)&gt;ROUNDUP(R454/20,0),"TN Ø14 (Lần " &amp; ROUNDUP(R455/20,0) &amp; ")","")</f>
        <v/>
      </c>
      <c r="P455" s="16">
        <f>ROUND(P454+IF(AND(E455&lt;=10,F455&lt;&gt;"ASTM A416"),L455,0),3)</f>
        <v/>
      </c>
      <c r="Q455" s="16">
        <f>ROUND(Q454+IF(AND(E455=12,F455&lt;&gt;"ASTM A416"),L455,0),3)</f>
        <v/>
      </c>
      <c r="R455" s="16">
        <f>ROUND(R454+IF(AND(E455=14,F455&lt;&gt;"ASTM A416"),L455,0),3)</f>
        <v/>
      </c>
      <c r="S455" s="16">
        <f>ROUND(S454+IF(AND(E455=16,F455&lt;&gt;"ASTM A416"),L455,0),3)</f>
        <v/>
      </c>
      <c r="T455" s="16">
        <f>ROUND(T454+IF(AND(E455=18,F455&lt;&gt;"ASTM A416"),L455,0),3)</f>
        <v/>
      </c>
      <c r="U455" s="16">
        <f>ROUND(U454+IF(AND(E455=20,F455&lt;&gt;"ASTM A416"),L455,0),3)</f>
        <v/>
      </c>
      <c r="V455" s="16">
        <f>ROUND(V454+IF(AND(E455=22,F455&lt;&gt;"ASTM A416"),L455,0),3)</f>
        <v/>
      </c>
      <c r="W455" s="16">
        <f>ROUND(W454+IF(AND(E455=25,F455&lt;&gt;"ASTM A416"),L455,0),3)</f>
        <v/>
      </c>
      <c r="X455" s="16">
        <f>ROUND(X454+IF(AND(E455=28,F455&lt;&gt;"ASTM A416"),L455,0),3)</f>
        <v/>
      </c>
      <c r="Y455" s="16">
        <f>ROUND(Y454+IF(AND(E455=32,F455&lt;&gt;"ASTM A416"),L455,0),3)</f>
        <v/>
      </c>
      <c r="Z455" s="16">
        <f>ROUND(Z454+IF(F455="ASTM A416",L455,0),3)</f>
        <v/>
      </c>
      <c r="AA455" s="9">
        <f>IF(ROUNDUP(P455/20,0)&gt;ROUNDUP(P454/20,0),"Lần " &amp; ROUNDUP(P455/20,0),"")</f>
        <v/>
      </c>
      <c r="AB455" s="9">
        <f>IF(ROUNDUP(Q455/20,0)&gt;ROUNDUP(Q454/20,0),"Lần " &amp; ROUNDUP(Q455/20,0),"")</f>
        <v/>
      </c>
      <c r="AC455" s="9">
        <f>IF(ROUNDUP(R455/20,0)&gt;ROUNDUP(R454/20,0),"Lần " &amp; ROUNDUP(R455/20,0),"")</f>
        <v/>
      </c>
      <c r="AD455" s="9">
        <f>IF(ROUNDUP(S455/20,0)&gt;ROUNDUP(S454/20,0),"Lần " &amp; ROUNDUP(S455/20,0),"")</f>
        <v/>
      </c>
      <c r="AE455" s="9">
        <f>IF(ROUNDUP(T455/20,0)&gt;ROUNDUP(T454/20,0),"Lần " &amp; ROUNDUP(T455/20,0),"")</f>
        <v/>
      </c>
      <c r="AF455" s="9">
        <f>IF(ROUNDUP(U455/20,0)&gt;ROUNDUP(U454/20,0),"Lần " &amp; ROUNDUP(U455/20,0),"")</f>
        <v/>
      </c>
      <c r="AG455" s="9">
        <f>IF(ROUNDUP(V455/20,0)&gt;ROUNDUP(V454/20,0),"Lần " &amp; ROUNDUP(V455/20,0),"")</f>
        <v/>
      </c>
      <c r="AH455" s="9">
        <f>IF(ROUNDUP(W455/20,0)&gt;ROUNDUP(W454/20,0),"Lần " &amp; ROUNDUP(W455/20,0),"")</f>
        <v/>
      </c>
      <c r="AI455" s="9">
        <f>IF(ROUNDUP(X455/20,0)&gt;ROUNDUP(X454/20,0),"Lần " &amp; ROUNDUP(X455/20,0),"")</f>
        <v/>
      </c>
      <c r="AJ455" s="9">
        <f>IF(ROUNDUP(Y455/20,0)&gt;ROUNDUP(Y454/20,0),"Lần " &amp; ROUNDUP(Y455/20,0),"")</f>
        <v/>
      </c>
      <c r="AK455" s="9">
        <f>IF(ROUNDUP(Z455/20,0)&gt;ROUNDUP(Z454/20,0),"Lần " &amp; ROUNDUP(Z455/20,0),"")</f>
        <v/>
      </c>
      <c r="AL455" s="4" t="n"/>
      <c r="AN455" s="596" t="inlineStr">
        <is>
          <t>Than</t>
        </is>
      </c>
      <c r="AO455" s="596" t="n">
        <v>57</v>
      </c>
      <c r="AQ455" s="594" t="n"/>
      <c r="AR455" s="595" t="n"/>
    </row>
    <row r="456" ht="19" customHeight="1" s="672">
      <c r="A456" s="4" t="n">
        <v>426</v>
      </c>
      <c r="B456" s="5" t="inlineStr">
        <is>
          <t>Mố M2</t>
        </is>
      </c>
      <c r="C456" s="5" t="inlineStr">
        <is>
          <t>Mố M2 (tr.40)</t>
        </is>
      </c>
      <c r="D456" s="14" t="inlineStr">
        <is>
          <t>G6</t>
        </is>
      </c>
      <c r="E456" s="15" t="n">
        <v>20</v>
      </c>
      <c r="F456" s="4" t="inlineStr">
        <is>
          <t>CB400-V</t>
        </is>
      </c>
      <c r="G456" s="5" t="inlineStr">
        <is>
          <t>S57</t>
        </is>
      </c>
      <c r="H456" s="16" t="n">
        <v>3.095</v>
      </c>
      <c r="I456" s="17" t="n">
        <v>39</v>
      </c>
      <c r="J456" s="18" t="n">
        <v>2.466</v>
      </c>
      <c r="K456" s="7">
        <f>ROUND(H456*I456*J456, 2)</f>
        <v/>
      </c>
      <c r="L456" s="19">
        <f>ROUND(K456/1000, 3)</f>
        <v/>
      </c>
      <c r="M456" s="728">
        <f>IF(AO456="","",IF(N(INDEX(Theo_Doi_Tan_Suat_Be_Tong!$C:$C,AO456))&lt;=0,"",INDEX(Theo_Doi_Tan_Suat_Be_Tong!$C:$C,AO456)-VLOOKUP(AN456,$AQ$2:$AR$7,2,FALSE)))</f>
        <v/>
      </c>
      <c r="N456" s="4" t="n"/>
      <c r="O456" s="20">
        <f>IF(ROUNDUP(U456/20,0)&gt;ROUNDUP(U455/20,0),"TN Ø20 (Lần " &amp; ROUNDUP(U456/20,0) &amp; ")","")</f>
        <v/>
      </c>
      <c r="P456" s="16">
        <f>ROUND(P455+IF(AND(E456&lt;=10,F456&lt;&gt;"ASTM A416"),L456,0),3)</f>
        <v/>
      </c>
      <c r="Q456" s="16">
        <f>ROUND(Q455+IF(AND(E456=12,F456&lt;&gt;"ASTM A416"),L456,0),3)</f>
        <v/>
      </c>
      <c r="R456" s="16">
        <f>ROUND(R455+IF(AND(E456=14,F456&lt;&gt;"ASTM A416"),L456,0),3)</f>
        <v/>
      </c>
      <c r="S456" s="16">
        <f>ROUND(S455+IF(AND(E456=16,F456&lt;&gt;"ASTM A416"),L456,0),3)</f>
        <v/>
      </c>
      <c r="T456" s="16">
        <f>ROUND(T455+IF(AND(E456=18,F456&lt;&gt;"ASTM A416"),L456,0),3)</f>
        <v/>
      </c>
      <c r="U456" s="16">
        <f>ROUND(U455+IF(AND(E456=20,F456&lt;&gt;"ASTM A416"),L456,0),3)</f>
        <v/>
      </c>
      <c r="V456" s="16">
        <f>ROUND(V455+IF(AND(E456=22,F456&lt;&gt;"ASTM A416"),L456,0),3)</f>
        <v/>
      </c>
      <c r="W456" s="16">
        <f>ROUND(W455+IF(AND(E456=25,F456&lt;&gt;"ASTM A416"),L456,0),3)</f>
        <v/>
      </c>
      <c r="X456" s="16">
        <f>ROUND(X455+IF(AND(E456=28,F456&lt;&gt;"ASTM A416"),L456,0),3)</f>
        <v/>
      </c>
      <c r="Y456" s="16">
        <f>ROUND(Y455+IF(AND(E456=32,F456&lt;&gt;"ASTM A416"),L456,0),3)</f>
        <v/>
      </c>
      <c r="Z456" s="16">
        <f>ROUND(Z455+IF(F456="ASTM A416",L456,0),3)</f>
        <v/>
      </c>
      <c r="AA456" s="9">
        <f>IF(ROUNDUP(P456/20,0)&gt;ROUNDUP(P455/20,0),"Lần " &amp; ROUNDUP(P456/20,0),"")</f>
        <v/>
      </c>
      <c r="AB456" s="9">
        <f>IF(ROUNDUP(Q456/20,0)&gt;ROUNDUP(Q455/20,0),"Lần " &amp; ROUNDUP(Q456/20,0),"")</f>
        <v/>
      </c>
      <c r="AC456" s="9">
        <f>IF(ROUNDUP(R456/20,0)&gt;ROUNDUP(R455/20,0),"Lần " &amp; ROUNDUP(R456/20,0),"")</f>
        <v/>
      </c>
      <c r="AD456" s="9">
        <f>IF(ROUNDUP(S456/20,0)&gt;ROUNDUP(S455/20,0),"Lần " &amp; ROUNDUP(S456/20,0),"")</f>
        <v/>
      </c>
      <c r="AE456" s="9">
        <f>IF(ROUNDUP(T456/20,0)&gt;ROUNDUP(T455/20,0),"Lần " &amp; ROUNDUP(T456/20,0),"")</f>
        <v/>
      </c>
      <c r="AF456" s="9">
        <f>IF(ROUNDUP(U456/20,0)&gt;ROUNDUP(U455/20,0),"Lần " &amp; ROUNDUP(U456/20,0),"")</f>
        <v/>
      </c>
      <c r="AG456" s="9">
        <f>IF(ROUNDUP(V456/20,0)&gt;ROUNDUP(V455/20,0),"Lần " &amp; ROUNDUP(V456/20,0),"")</f>
        <v/>
      </c>
      <c r="AH456" s="9">
        <f>IF(ROUNDUP(W456/20,0)&gt;ROUNDUP(W455/20,0),"Lần " &amp; ROUNDUP(W456/20,0),"")</f>
        <v/>
      </c>
      <c r="AI456" s="9">
        <f>IF(ROUNDUP(X456/20,0)&gt;ROUNDUP(X455/20,0),"Lần " &amp; ROUNDUP(X456/20,0),"")</f>
        <v/>
      </c>
      <c r="AJ456" s="9">
        <f>IF(ROUNDUP(Y456/20,0)&gt;ROUNDUP(Y455/20,0),"Lần " &amp; ROUNDUP(Y456/20,0),"")</f>
        <v/>
      </c>
      <c r="AK456" s="9">
        <f>IF(ROUNDUP(Z456/20,0)&gt;ROUNDUP(Z455/20,0),"Lần " &amp; ROUNDUP(Z456/20,0),"")</f>
        <v/>
      </c>
      <c r="AL456" s="4" t="n"/>
      <c r="AN456" s="596" t="inlineStr">
        <is>
          <t>Than</t>
        </is>
      </c>
      <c r="AO456" s="596" t="n">
        <v>57</v>
      </c>
      <c r="AQ456" s="594" t="n"/>
      <c r="AR456" s="595" t="n"/>
    </row>
    <row r="457" ht="19" customHeight="1" s="672">
      <c r="A457" s="4" t="n">
        <v>427</v>
      </c>
      <c r="B457" s="5" t="inlineStr">
        <is>
          <t>Mố M2</t>
        </is>
      </c>
      <c r="C457" s="5" t="inlineStr">
        <is>
          <t>Mố M2 (tr.40)</t>
        </is>
      </c>
      <c r="D457" s="14" t="inlineStr">
        <is>
          <t>G7</t>
        </is>
      </c>
      <c r="E457" s="15" t="n">
        <v>14</v>
      </c>
      <c r="F457" s="4" t="inlineStr">
        <is>
          <t>CB400-V</t>
        </is>
      </c>
      <c r="G457" s="5" t="inlineStr">
        <is>
          <t>S29</t>
        </is>
      </c>
      <c r="H457" s="16" t="n">
        <v>1.536</v>
      </c>
      <c r="I457" s="17" t="n">
        <v>39</v>
      </c>
      <c r="J457" s="18" t="n">
        <v>1.208</v>
      </c>
      <c r="K457" s="7">
        <f>ROUND(H457*I457*J457, 2)</f>
        <v/>
      </c>
      <c r="L457" s="19">
        <f>ROUND(K457/1000, 3)</f>
        <v/>
      </c>
      <c r="M457" s="728">
        <f>IF(AO457="","",IF(N(INDEX(Theo_Doi_Tan_Suat_Be_Tong!$C:$C,AO457))&lt;=0,"",INDEX(Theo_Doi_Tan_Suat_Be_Tong!$C:$C,AO457)-VLOOKUP(AN457,$AQ$2:$AR$7,2,FALSE)))</f>
        <v/>
      </c>
      <c r="N457" s="4" t="n"/>
      <c r="O457" s="20">
        <f>IF(ROUNDUP(R457/20,0)&gt;ROUNDUP(R456/20,0),"TN Ø14 (Lần " &amp; ROUNDUP(R457/20,0) &amp; ")","")</f>
        <v/>
      </c>
      <c r="P457" s="16">
        <f>ROUND(P456+IF(AND(E457&lt;=10,F457&lt;&gt;"ASTM A416"),L457,0),3)</f>
        <v/>
      </c>
      <c r="Q457" s="16">
        <f>ROUND(Q456+IF(AND(E457=12,F457&lt;&gt;"ASTM A416"),L457,0),3)</f>
        <v/>
      </c>
      <c r="R457" s="16">
        <f>ROUND(R456+IF(AND(E457=14,F457&lt;&gt;"ASTM A416"),L457,0),3)</f>
        <v/>
      </c>
      <c r="S457" s="16">
        <f>ROUND(S456+IF(AND(E457=16,F457&lt;&gt;"ASTM A416"),L457,0),3)</f>
        <v/>
      </c>
      <c r="T457" s="16">
        <f>ROUND(T456+IF(AND(E457=18,F457&lt;&gt;"ASTM A416"),L457,0),3)</f>
        <v/>
      </c>
      <c r="U457" s="16">
        <f>ROUND(U456+IF(AND(E457=20,F457&lt;&gt;"ASTM A416"),L457,0),3)</f>
        <v/>
      </c>
      <c r="V457" s="16">
        <f>ROUND(V456+IF(AND(E457=22,F457&lt;&gt;"ASTM A416"),L457,0),3)</f>
        <v/>
      </c>
      <c r="W457" s="16">
        <f>ROUND(W456+IF(AND(E457=25,F457&lt;&gt;"ASTM A416"),L457,0),3)</f>
        <v/>
      </c>
      <c r="X457" s="16">
        <f>ROUND(X456+IF(AND(E457=28,F457&lt;&gt;"ASTM A416"),L457,0),3)</f>
        <v/>
      </c>
      <c r="Y457" s="16">
        <f>ROUND(Y456+IF(AND(E457=32,F457&lt;&gt;"ASTM A416"),L457,0),3)</f>
        <v/>
      </c>
      <c r="Z457" s="16">
        <f>ROUND(Z456+IF(F457="ASTM A416",L457,0),3)</f>
        <v/>
      </c>
      <c r="AA457" s="9">
        <f>IF(ROUNDUP(P457/20,0)&gt;ROUNDUP(P456/20,0),"Lần " &amp; ROUNDUP(P457/20,0),"")</f>
        <v/>
      </c>
      <c r="AB457" s="9">
        <f>IF(ROUNDUP(Q457/20,0)&gt;ROUNDUP(Q456/20,0),"Lần " &amp; ROUNDUP(Q457/20,0),"")</f>
        <v/>
      </c>
      <c r="AC457" s="9">
        <f>IF(ROUNDUP(R457/20,0)&gt;ROUNDUP(R456/20,0),"Lần " &amp; ROUNDUP(R457/20,0),"")</f>
        <v/>
      </c>
      <c r="AD457" s="9">
        <f>IF(ROUNDUP(S457/20,0)&gt;ROUNDUP(S456/20,0),"Lần " &amp; ROUNDUP(S457/20,0),"")</f>
        <v/>
      </c>
      <c r="AE457" s="9">
        <f>IF(ROUNDUP(T457/20,0)&gt;ROUNDUP(T456/20,0),"Lần " &amp; ROUNDUP(T457/20,0),"")</f>
        <v/>
      </c>
      <c r="AF457" s="9">
        <f>IF(ROUNDUP(U457/20,0)&gt;ROUNDUP(U456/20,0),"Lần " &amp; ROUNDUP(U457/20,0),"")</f>
        <v/>
      </c>
      <c r="AG457" s="9">
        <f>IF(ROUNDUP(V457/20,0)&gt;ROUNDUP(V456/20,0),"Lần " &amp; ROUNDUP(V457/20,0),"")</f>
        <v/>
      </c>
      <c r="AH457" s="9">
        <f>IF(ROUNDUP(W457/20,0)&gt;ROUNDUP(W456/20,0),"Lần " &amp; ROUNDUP(W457/20,0),"")</f>
        <v/>
      </c>
      <c r="AI457" s="9">
        <f>IF(ROUNDUP(X457/20,0)&gt;ROUNDUP(X456/20,0),"Lần " &amp; ROUNDUP(X457/20,0),"")</f>
        <v/>
      </c>
      <c r="AJ457" s="9">
        <f>IF(ROUNDUP(Y457/20,0)&gt;ROUNDUP(Y456/20,0),"Lần " &amp; ROUNDUP(Y457/20,0),"")</f>
        <v/>
      </c>
      <c r="AK457" s="9">
        <f>IF(ROUNDUP(Z457/20,0)&gt;ROUNDUP(Z456/20,0),"Lần " &amp; ROUNDUP(Z457/20,0),"")</f>
        <v/>
      </c>
      <c r="AL457" s="4" t="n"/>
      <c r="AN457" s="596" t="inlineStr">
        <is>
          <t>Than</t>
        </is>
      </c>
      <c r="AO457" s="596" t="n">
        <v>57</v>
      </c>
      <c r="AQ457" s="594" t="n"/>
      <c r="AR457" s="595" t="n"/>
    </row>
    <row r="458" ht="19" customHeight="1" s="672">
      <c r="A458" s="4" t="n">
        <v>428</v>
      </c>
      <c r="B458" s="5" t="inlineStr">
        <is>
          <t>Mố M2</t>
        </is>
      </c>
      <c r="C458" s="5" t="inlineStr">
        <is>
          <t>Mố M2 (tr.40)</t>
        </is>
      </c>
      <c r="D458" s="14" t="inlineStr">
        <is>
          <t>G7A</t>
        </is>
      </c>
      <c r="E458" s="15" t="n">
        <v>20</v>
      </c>
      <c r="F458" s="4" t="inlineStr">
        <is>
          <t>CB400-V</t>
        </is>
      </c>
      <c r="G458" s="5" t="inlineStr">
        <is>
          <t>S05</t>
        </is>
      </c>
      <c r="H458" s="16" t="n">
        <v>1.182</v>
      </c>
      <c r="I458" s="17" t="n">
        <v>39</v>
      </c>
      <c r="J458" s="18" t="n">
        <v>2.466</v>
      </c>
      <c r="K458" s="7">
        <f>ROUND(H458*I458*J458, 2)</f>
        <v/>
      </c>
      <c r="L458" s="19">
        <f>ROUND(K458/1000, 3)</f>
        <v/>
      </c>
      <c r="M458" s="728">
        <f>IF(AO458="","",IF(N(INDEX(Theo_Doi_Tan_Suat_Be_Tong!$C:$C,AO458))&lt;=0,"",INDEX(Theo_Doi_Tan_Suat_Be_Tong!$C:$C,AO458)-VLOOKUP(AN458,$AQ$2:$AR$7,2,FALSE)))</f>
        <v/>
      </c>
      <c r="N458" s="4" t="n"/>
      <c r="O458" s="20">
        <f>IF(ROUNDUP(U458/20,0)&gt;ROUNDUP(U457/20,0),"TN Ø20 (Lần " &amp; ROUNDUP(U458/20,0) &amp; ")","")</f>
        <v/>
      </c>
      <c r="P458" s="16">
        <f>ROUND(P457+IF(AND(E458&lt;=10,F458&lt;&gt;"ASTM A416"),L458,0),3)</f>
        <v/>
      </c>
      <c r="Q458" s="16">
        <f>ROUND(Q457+IF(AND(E458=12,F458&lt;&gt;"ASTM A416"),L458,0),3)</f>
        <v/>
      </c>
      <c r="R458" s="16">
        <f>ROUND(R457+IF(AND(E458=14,F458&lt;&gt;"ASTM A416"),L458,0),3)</f>
        <v/>
      </c>
      <c r="S458" s="16">
        <f>ROUND(S457+IF(AND(E458=16,F458&lt;&gt;"ASTM A416"),L458,0),3)</f>
        <v/>
      </c>
      <c r="T458" s="16">
        <f>ROUND(T457+IF(AND(E458=18,F458&lt;&gt;"ASTM A416"),L458,0),3)</f>
        <v/>
      </c>
      <c r="U458" s="16">
        <f>ROUND(U457+IF(AND(E458=20,F458&lt;&gt;"ASTM A416"),L458,0),3)</f>
        <v/>
      </c>
      <c r="V458" s="16">
        <f>ROUND(V457+IF(AND(E458=22,F458&lt;&gt;"ASTM A416"),L458,0),3)</f>
        <v/>
      </c>
      <c r="W458" s="16">
        <f>ROUND(W457+IF(AND(E458=25,F458&lt;&gt;"ASTM A416"),L458,0),3)</f>
        <v/>
      </c>
      <c r="X458" s="16">
        <f>ROUND(X457+IF(AND(E458=28,F458&lt;&gt;"ASTM A416"),L458,0),3)</f>
        <v/>
      </c>
      <c r="Y458" s="16">
        <f>ROUND(Y457+IF(AND(E458=32,F458&lt;&gt;"ASTM A416"),L458,0),3)</f>
        <v/>
      </c>
      <c r="Z458" s="16">
        <f>ROUND(Z457+IF(F458="ASTM A416",L458,0),3)</f>
        <v/>
      </c>
      <c r="AA458" s="9">
        <f>IF(ROUNDUP(P458/20,0)&gt;ROUNDUP(P457/20,0),"Lần " &amp; ROUNDUP(P458/20,0),"")</f>
        <v/>
      </c>
      <c r="AB458" s="9">
        <f>IF(ROUNDUP(Q458/20,0)&gt;ROUNDUP(Q457/20,0),"Lần " &amp; ROUNDUP(Q458/20,0),"")</f>
        <v/>
      </c>
      <c r="AC458" s="9">
        <f>IF(ROUNDUP(R458/20,0)&gt;ROUNDUP(R457/20,0),"Lần " &amp; ROUNDUP(R458/20,0),"")</f>
        <v/>
      </c>
      <c r="AD458" s="9">
        <f>IF(ROUNDUP(S458/20,0)&gt;ROUNDUP(S457/20,0),"Lần " &amp; ROUNDUP(S458/20,0),"")</f>
        <v/>
      </c>
      <c r="AE458" s="9">
        <f>IF(ROUNDUP(T458/20,0)&gt;ROUNDUP(T457/20,0),"Lần " &amp; ROUNDUP(T458/20,0),"")</f>
        <v/>
      </c>
      <c r="AF458" s="9">
        <f>IF(ROUNDUP(U458/20,0)&gt;ROUNDUP(U457/20,0),"Lần " &amp; ROUNDUP(U458/20,0),"")</f>
        <v/>
      </c>
      <c r="AG458" s="9">
        <f>IF(ROUNDUP(V458/20,0)&gt;ROUNDUP(V457/20,0),"Lần " &amp; ROUNDUP(V458/20,0),"")</f>
        <v/>
      </c>
      <c r="AH458" s="9">
        <f>IF(ROUNDUP(W458/20,0)&gt;ROUNDUP(W457/20,0),"Lần " &amp; ROUNDUP(W458/20,0),"")</f>
        <v/>
      </c>
      <c r="AI458" s="9">
        <f>IF(ROUNDUP(X458/20,0)&gt;ROUNDUP(X457/20,0),"Lần " &amp; ROUNDUP(X458/20,0),"")</f>
        <v/>
      </c>
      <c r="AJ458" s="9">
        <f>IF(ROUNDUP(Y458/20,0)&gt;ROUNDUP(Y457/20,0),"Lần " &amp; ROUNDUP(Y458/20,0),"")</f>
        <v/>
      </c>
      <c r="AK458" s="9">
        <f>IF(ROUNDUP(Z458/20,0)&gt;ROUNDUP(Z457/20,0),"Lần " &amp; ROUNDUP(Z458/20,0),"")</f>
        <v/>
      </c>
      <c r="AL458" s="4" t="n"/>
      <c r="AN458" s="596" t="inlineStr">
        <is>
          <t>Than</t>
        </is>
      </c>
      <c r="AO458" s="596" t="n">
        <v>57</v>
      </c>
      <c r="AQ458" s="594" t="n"/>
      <c r="AR458" s="595" t="n"/>
    </row>
    <row r="459" ht="19" customHeight="1" s="672">
      <c r="A459" s="4" t="n">
        <v>429</v>
      </c>
      <c r="B459" s="5" t="inlineStr">
        <is>
          <t>Mố M2</t>
        </is>
      </c>
      <c r="C459" s="5" t="inlineStr">
        <is>
          <t>Mố M2 (tr.40)</t>
        </is>
      </c>
      <c r="D459" s="14" t="inlineStr">
        <is>
          <t>G8A</t>
        </is>
      </c>
      <c r="E459" s="15" t="n">
        <v>12</v>
      </c>
      <c r="F459" s="4" t="inlineStr">
        <is>
          <t>CB400-V</t>
        </is>
      </c>
      <c r="G459" s="5" t="inlineStr">
        <is>
          <t>S06</t>
        </is>
      </c>
      <c r="H459" s="16" t="n">
        <v>0.26</v>
      </c>
      <c r="I459" s="17" t="n">
        <v>14</v>
      </c>
      <c r="J459" s="18" t="n">
        <v>0.888</v>
      </c>
      <c r="K459" s="7">
        <f>ROUND(H459*I459*J459, 2)</f>
        <v/>
      </c>
      <c r="L459" s="19">
        <f>ROUND(K459/1000, 3)</f>
        <v/>
      </c>
      <c r="M459" s="728">
        <f>IF(AO459="","",IF(N(INDEX(Theo_Doi_Tan_Suat_Be_Tong!$C:$C,AO459))&lt;=0,"",INDEX(Theo_Doi_Tan_Suat_Be_Tong!$C:$C,AO459)-VLOOKUP(AN459,$AQ$2:$AR$7,2,FALSE)))</f>
        <v/>
      </c>
      <c r="N459" s="4" t="n"/>
      <c r="O459" s="20">
        <f>IF(ROUNDUP(Q459/20,0)&gt;ROUNDUP(Q458/20,0),"TN Ø12 (Lần " &amp; ROUNDUP(Q459/20,0) &amp; ")","")</f>
        <v/>
      </c>
      <c r="P459" s="16">
        <f>ROUND(P458+IF(AND(E459&lt;=10,F459&lt;&gt;"ASTM A416"),L459,0),3)</f>
        <v/>
      </c>
      <c r="Q459" s="16">
        <f>ROUND(Q458+IF(AND(E459=12,F459&lt;&gt;"ASTM A416"),L459,0),3)</f>
        <v/>
      </c>
      <c r="R459" s="16">
        <f>ROUND(R458+IF(AND(E459=14,F459&lt;&gt;"ASTM A416"),L459,0),3)</f>
        <v/>
      </c>
      <c r="S459" s="16">
        <f>ROUND(S458+IF(AND(E459=16,F459&lt;&gt;"ASTM A416"),L459,0),3)</f>
        <v/>
      </c>
      <c r="T459" s="16">
        <f>ROUND(T458+IF(AND(E459=18,F459&lt;&gt;"ASTM A416"),L459,0),3)</f>
        <v/>
      </c>
      <c r="U459" s="16">
        <f>ROUND(U458+IF(AND(E459=20,F459&lt;&gt;"ASTM A416"),L459,0),3)</f>
        <v/>
      </c>
      <c r="V459" s="16">
        <f>ROUND(V458+IF(AND(E459=22,F459&lt;&gt;"ASTM A416"),L459,0),3)</f>
        <v/>
      </c>
      <c r="W459" s="16">
        <f>ROUND(W458+IF(AND(E459=25,F459&lt;&gt;"ASTM A416"),L459,0),3)</f>
        <v/>
      </c>
      <c r="X459" s="16">
        <f>ROUND(X458+IF(AND(E459=28,F459&lt;&gt;"ASTM A416"),L459,0),3)</f>
        <v/>
      </c>
      <c r="Y459" s="16">
        <f>ROUND(Y458+IF(AND(E459=32,F459&lt;&gt;"ASTM A416"),L459,0),3)</f>
        <v/>
      </c>
      <c r="Z459" s="16">
        <f>ROUND(Z458+IF(F459="ASTM A416",L459,0),3)</f>
        <v/>
      </c>
      <c r="AA459" s="9">
        <f>IF(ROUNDUP(P459/20,0)&gt;ROUNDUP(P458/20,0),"Lần " &amp; ROUNDUP(P459/20,0),"")</f>
        <v/>
      </c>
      <c r="AB459" s="9">
        <f>IF(ROUNDUP(Q459/20,0)&gt;ROUNDUP(Q458/20,0),"Lần " &amp; ROUNDUP(Q459/20,0),"")</f>
        <v/>
      </c>
      <c r="AC459" s="9">
        <f>IF(ROUNDUP(R459/20,0)&gt;ROUNDUP(R458/20,0),"Lần " &amp; ROUNDUP(R459/20,0),"")</f>
        <v/>
      </c>
      <c r="AD459" s="9">
        <f>IF(ROUNDUP(S459/20,0)&gt;ROUNDUP(S458/20,0),"Lần " &amp; ROUNDUP(S459/20,0),"")</f>
        <v/>
      </c>
      <c r="AE459" s="9">
        <f>IF(ROUNDUP(T459/20,0)&gt;ROUNDUP(T458/20,0),"Lần " &amp; ROUNDUP(T459/20,0),"")</f>
        <v/>
      </c>
      <c r="AF459" s="9">
        <f>IF(ROUNDUP(U459/20,0)&gt;ROUNDUP(U458/20,0),"Lần " &amp; ROUNDUP(U459/20,0),"")</f>
        <v/>
      </c>
      <c r="AG459" s="9">
        <f>IF(ROUNDUP(V459/20,0)&gt;ROUNDUP(V458/20,0),"Lần " &amp; ROUNDUP(V459/20,0),"")</f>
        <v/>
      </c>
      <c r="AH459" s="9">
        <f>IF(ROUNDUP(W459/20,0)&gt;ROUNDUP(W458/20,0),"Lần " &amp; ROUNDUP(W459/20,0),"")</f>
        <v/>
      </c>
      <c r="AI459" s="9">
        <f>IF(ROUNDUP(X459/20,0)&gt;ROUNDUP(X458/20,0),"Lần " &amp; ROUNDUP(X459/20,0),"")</f>
        <v/>
      </c>
      <c r="AJ459" s="9">
        <f>IF(ROUNDUP(Y459/20,0)&gt;ROUNDUP(Y458/20,0),"Lần " &amp; ROUNDUP(Y459/20,0),"")</f>
        <v/>
      </c>
      <c r="AK459" s="9">
        <f>IF(ROUNDUP(Z459/20,0)&gt;ROUNDUP(Z458/20,0),"Lần " &amp; ROUNDUP(Z459/20,0),"")</f>
        <v/>
      </c>
      <c r="AL459" s="4" t="n"/>
      <c r="AN459" s="596" t="inlineStr">
        <is>
          <t>Than</t>
        </is>
      </c>
      <c r="AO459" s="596" t="n">
        <v>57</v>
      </c>
      <c r="AQ459" s="594" t="n"/>
      <c r="AR459" s="595" t="n"/>
    </row>
    <row r="460" ht="19" customHeight="1" s="672">
      <c r="A460" s="4" t="n">
        <v>430</v>
      </c>
      <c r="B460" s="5" t="inlineStr">
        <is>
          <t>Mố M2</t>
        </is>
      </c>
      <c r="C460" s="5" t="inlineStr">
        <is>
          <t>Mố M2 (tr.40)</t>
        </is>
      </c>
      <c r="D460" s="14" t="inlineStr">
        <is>
          <t>G8B</t>
        </is>
      </c>
      <c r="E460" s="15" t="n">
        <v>12</v>
      </c>
      <c r="F460" s="4" t="inlineStr">
        <is>
          <t>CB400-V</t>
        </is>
      </c>
      <c r="G460" s="5" t="inlineStr">
        <is>
          <t>S06</t>
        </is>
      </c>
      <c r="H460" s="16" t="n">
        <v>0.306</v>
      </c>
      <c r="I460" s="17" t="n">
        <v>14</v>
      </c>
      <c r="J460" s="18" t="n">
        <v>0.888</v>
      </c>
      <c r="K460" s="7">
        <f>ROUND(H460*I460*J460, 2)</f>
        <v/>
      </c>
      <c r="L460" s="19">
        <f>ROUND(K460/1000, 3)</f>
        <v/>
      </c>
      <c r="M460" s="728">
        <f>IF(AO460="","",IF(N(INDEX(Theo_Doi_Tan_Suat_Be_Tong!$C:$C,AO460))&lt;=0,"",INDEX(Theo_Doi_Tan_Suat_Be_Tong!$C:$C,AO460)-VLOOKUP(AN460,$AQ$2:$AR$7,2,FALSE)))</f>
        <v/>
      </c>
      <c r="N460" s="4" t="n"/>
      <c r="O460" s="20">
        <f>IF(ROUNDUP(Q460/20,0)&gt;ROUNDUP(Q459/20,0),"TN Ø12 (Lần " &amp; ROUNDUP(Q460/20,0) &amp; ")","")</f>
        <v/>
      </c>
      <c r="P460" s="16">
        <f>ROUND(P459+IF(AND(E460&lt;=10,F460&lt;&gt;"ASTM A416"),L460,0),3)</f>
        <v/>
      </c>
      <c r="Q460" s="16">
        <f>ROUND(Q459+IF(AND(E460=12,F460&lt;&gt;"ASTM A416"),L460,0),3)</f>
        <v/>
      </c>
      <c r="R460" s="16">
        <f>ROUND(R459+IF(AND(E460=14,F460&lt;&gt;"ASTM A416"),L460,0),3)</f>
        <v/>
      </c>
      <c r="S460" s="16">
        <f>ROUND(S459+IF(AND(E460=16,F460&lt;&gt;"ASTM A416"),L460,0),3)</f>
        <v/>
      </c>
      <c r="T460" s="16">
        <f>ROUND(T459+IF(AND(E460=18,F460&lt;&gt;"ASTM A416"),L460,0),3)</f>
        <v/>
      </c>
      <c r="U460" s="16">
        <f>ROUND(U459+IF(AND(E460=20,F460&lt;&gt;"ASTM A416"),L460,0),3)</f>
        <v/>
      </c>
      <c r="V460" s="16">
        <f>ROUND(V459+IF(AND(E460=22,F460&lt;&gt;"ASTM A416"),L460,0),3)</f>
        <v/>
      </c>
      <c r="W460" s="16">
        <f>ROUND(W459+IF(AND(E460=25,F460&lt;&gt;"ASTM A416"),L460,0),3)</f>
        <v/>
      </c>
      <c r="X460" s="16">
        <f>ROUND(X459+IF(AND(E460=28,F460&lt;&gt;"ASTM A416"),L460,0),3)</f>
        <v/>
      </c>
      <c r="Y460" s="16">
        <f>ROUND(Y459+IF(AND(E460=32,F460&lt;&gt;"ASTM A416"),L460,0),3)</f>
        <v/>
      </c>
      <c r="Z460" s="16">
        <f>ROUND(Z459+IF(F460="ASTM A416",L460,0),3)</f>
        <v/>
      </c>
      <c r="AA460" s="9">
        <f>IF(ROUNDUP(P460/20,0)&gt;ROUNDUP(P459/20,0),"Lần " &amp; ROUNDUP(P460/20,0),"")</f>
        <v/>
      </c>
      <c r="AB460" s="9">
        <f>IF(ROUNDUP(Q460/20,0)&gt;ROUNDUP(Q459/20,0),"Lần " &amp; ROUNDUP(Q460/20,0),"")</f>
        <v/>
      </c>
      <c r="AC460" s="9">
        <f>IF(ROUNDUP(R460/20,0)&gt;ROUNDUP(R459/20,0),"Lần " &amp; ROUNDUP(R460/20,0),"")</f>
        <v/>
      </c>
      <c r="AD460" s="9">
        <f>IF(ROUNDUP(S460/20,0)&gt;ROUNDUP(S459/20,0),"Lần " &amp; ROUNDUP(S460/20,0),"")</f>
        <v/>
      </c>
      <c r="AE460" s="9">
        <f>IF(ROUNDUP(T460/20,0)&gt;ROUNDUP(T459/20,0),"Lần " &amp; ROUNDUP(T460/20,0),"")</f>
        <v/>
      </c>
      <c r="AF460" s="9">
        <f>IF(ROUNDUP(U460/20,0)&gt;ROUNDUP(U459/20,0),"Lần " &amp; ROUNDUP(U460/20,0),"")</f>
        <v/>
      </c>
      <c r="AG460" s="9">
        <f>IF(ROUNDUP(V460/20,0)&gt;ROUNDUP(V459/20,0),"Lần " &amp; ROUNDUP(V460/20,0),"")</f>
        <v/>
      </c>
      <c r="AH460" s="9">
        <f>IF(ROUNDUP(W460/20,0)&gt;ROUNDUP(W459/20,0),"Lần " &amp; ROUNDUP(W460/20,0),"")</f>
        <v/>
      </c>
      <c r="AI460" s="9">
        <f>IF(ROUNDUP(X460/20,0)&gt;ROUNDUP(X459/20,0),"Lần " &amp; ROUNDUP(X460/20,0),"")</f>
        <v/>
      </c>
      <c r="AJ460" s="9">
        <f>IF(ROUNDUP(Y460/20,0)&gt;ROUNDUP(Y459/20,0),"Lần " &amp; ROUNDUP(Y460/20,0),"")</f>
        <v/>
      </c>
      <c r="AK460" s="9">
        <f>IF(ROUNDUP(Z460/20,0)&gt;ROUNDUP(Z459/20,0),"Lần " &amp; ROUNDUP(Z460/20,0),"")</f>
        <v/>
      </c>
      <c r="AL460" s="4" t="n"/>
      <c r="AN460" s="596" t="inlineStr">
        <is>
          <t>Than</t>
        </is>
      </c>
      <c r="AO460" s="596" t="n">
        <v>57</v>
      </c>
      <c r="AQ460" s="594" t="n"/>
      <c r="AR460" s="595" t="n"/>
    </row>
    <row r="461" ht="19" customHeight="1" s="672">
      <c r="A461" s="4" t="n">
        <v>431</v>
      </c>
      <c r="B461" s="5" t="inlineStr">
        <is>
          <t>Mố M2</t>
        </is>
      </c>
      <c r="C461" s="5" t="inlineStr">
        <is>
          <t>Mố M2 (tr.40)</t>
        </is>
      </c>
      <c r="D461" s="14" t="inlineStr">
        <is>
          <t>G8C</t>
        </is>
      </c>
      <c r="E461" s="15" t="n">
        <v>12</v>
      </c>
      <c r="F461" s="4" t="inlineStr">
        <is>
          <t>CB400-V</t>
        </is>
      </c>
      <c r="G461" s="5" t="inlineStr">
        <is>
          <t>S06</t>
        </is>
      </c>
      <c r="H461" s="16" t="n">
        <v>0.417</v>
      </c>
      <c r="I461" s="17" t="n">
        <v>14</v>
      </c>
      <c r="J461" s="18" t="n">
        <v>0.888</v>
      </c>
      <c r="K461" s="7">
        <f>ROUND(H461*I461*J461, 2)</f>
        <v/>
      </c>
      <c r="L461" s="19">
        <f>ROUND(K461/1000, 3)</f>
        <v/>
      </c>
      <c r="M461" s="728">
        <f>IF(AO461="","",IF(N(INDEX(Theo_Doi_Tan_Suat_Be_Tong!$C:$C,AO461))&lt;=0,"",INDEX(Theo_Doi_Tan_Suat_Be_Tong!$C:$C,AO461)-VLOOKUP(AN461,$AQ$2:$AR$7,2,FALSE)))</f>
        <v/>
      </c>
      <c r="N461" s="4" t="n"/>
      <c r="O461" s="20">
        <f>IF(ROUNDUP(Q461/20,0)&gt;ROUNDUP(Q460/20,0),"TN Ø12 (Lần " &amp; ROUNDUP(Q461/20,0) &amp; ")","")</f>
        <v/>
      </c>
      <c r="P461" s="16">
        <f>ROUND(P460+IF(AND(E461&lt;=10,F461&lt;&gt;"ASTM A416"),L461,0),3)</f>
        <v/>
      </c>
      <c r="Q461" s="16">
        <f>ROUND(Q460+IF(AND(E461=12,F461&lt;&gt;"ASTM A416"),L461,0),3)</f>
        <v/>
      </c>
      <c r="R461" s="16">
        <f>ROUND(R460+IF(AND(E461=14,F461&lt;&gt;"ASTM A416"),L461,0),3)</f>
        <v/>
      </c>
      <c r="S461" s="16">
        <f>ROUND(S460+IF(AND(E461=16,F461&lt;&gt;"ASTM A416"),L461,0),3)</f>
        <v/>
      </c>
      <c r="T461" s="16">
        <f>ROUND(T460+IF(AND(E461=18,F461&lt;&gt;"ASTM A416"),L461,0),3)</f>
        <v/>
      </c>
      <c r="U461" s="16">
        <f>ROUND(U460+IF(AND(E461=20,F461&lt;&gt;"ASTM A416"),L461,0),3)</f>
        <v/>
      </c>
      <c r="V461" s="16">
        <f>ROUND(V460+IF(AND(E461=22,F461&lt;&gt;"ASTM A416"),L461,0),3)</f>
        <v/>
      </c>
      <c r="W461" s="16">
        <f>ROUND(W460+IF(AND(E461=25,F461&lt;&gt;"ASTM A416"),L461,0),3)</f>
        <v/>
      </c>
      <c r="X461" s="16">
        <f>ROUND(X460+IF(AND(E461=28,F461&lt;&gt;"ASTM A416"),L461,0),3)</f>
        <v/>
      </c>
      <c r="Y461" s="16">
        <f>ROUND(Y460+IF(AND(E461=32,F461&lt;&gt;"ASTM A416"),L461,0),3)</f>
        <v/>
      </c>
      <c r="Z461" s="16">
        <f>ROUND(Z460+IF(F461="ASTM A416",L461,0),3)</f>
        <v/>
      </c>
      <c r="AA461" s="9">
        <f>IF(ROUNDUP(P461/20,0)&gt;ROUNDUP(P460/20,0),"Lần " &amp; ROUNDUP(P461/20,0),"")</f>
        <v/>
      </c>
      <c r="AB461" s="9">
        <f>IF(ROUNDUP(Q461/20,0)&gt;ROUNDUP(Q460/20,0),"Lần " &amp; ROUNDUP(Q461/20,0),"")</f>
        <v/>
      </c>
      <c r="AC461" s="9">
        <f>IF(ROUNDUP(R461/20,0)&gt;ROUNDUP(R460/20,0),"Lần " &amp; ROUNDUP(R461/20,0),"")</f>
        <v/>
      </c>
      <c r="AD461" s="9">
        <f>IF(ROUNDUP(S461/20,0)&gt;ROUNDUP(S460/20,0),"Lần " &amp; ROUNDUP(S461/20,0),"")</f>
        <v/>
      </c>
      <c r="AE461" s="9">
        <f>IF(ROUNDUP(T461/20,0)&gt;ROUNDUP(T460/20,0),"Lần " &amp; ROUNDUP(T461/20,0),"")</f>
        <v/>
      </c>
      <c r="AF461" s="9">
        <f>IF(ROUNDUP(U461/20,0)&gt;ROUNDUP(U460/20,0),"Lần " &amp; ROUNDUP(U461/20,0),"")</f>
        <v/>
      </c>
      <c r="AG461" s="9">
        <f>IF(ROUNDUP(V461/20,0)&gt;ROUNDUP(V460/20,0),"Lần " &amp; ROUNDUP(V461/20,0),"")</f>
        <v/>
      </c>
      <c r="AH461" s="9">
        <f>IF(ROUNDUP(W461/20,0)&gt;ROUNDUP(W460/20,0),"Lần " &amp; ROUNDUP(W461/20,0),"")</f>
        <v/>
      </c>
      <c r="AI461" s="9">
        <f>IF(ROUNDUP(X461/20,0)&gt;ROUNDUP(X460/20,0),"Lần " &amp; ROUNDUP(X461/20,0),"")</f>
        <v/>
      </c>
      <c r="AJ461" s="9">
        <f>IF(ROUNDUP(Y461/20,0)&gt;ROUNDUP(Y460/20,0),"Lần " &amp; ROUNDUP(Y461/20,0),"")</f>
        <v/>
      </c>
      <c r="AK461" s="9">
        <f>IF(ROUNDUP(Z461/20,0)&gt;ROUNDUP(Z460/20,0),"Lần " &amp; ROUNDUP(Z461/20,0),"")</f>
        <v/>
      </c>
      <c r="AL461" s="4" t="n"/>
      <c r="AN461" s="596" t="inlineStr">
        <is>
          <t>Than</t>
        </is>
      </c>
      <c r="AO461" s="596" t="n">
        <v>57</v>
      </c>
      <c r="AQ461" s="594" t="n"/>
      <c r="AR461" s="595" t="n"/>
    </row>
    <row r="462" ht="19" customHeight="1" s="672">
      <c r="A462" s="4" t="n">
        <v>432</v>
      </c>
      <c r="B462" s="5" t="inlineStr">
        <is>
          <t>Mố M2</t>
        </is>
      </c>
      <c r="C462" s="5" t="inlineStr">
        <is>
          <t>Mố M2 (tr.40)</t>
        </is>
      </c>
      <c r="D462" s="14" t="inlineStr">
        <is>
          <t>G9</t>
        </is>
      </c>
      <c r="E462" s="15" t="n">
        <v>16</v>
      </c>
      <c r="F462" s="4" t="inlineStr">
        <is>
          <t>CB400-V</t>
        </is>
      </c>
      <c r="G462" s="5" t="inlineStr">
        <is>
          <t>S02</t>
        </is>
      </c>
      <c r="H462" s="16" t="n">
        <v>0.625</v>
      </c>
      <c r="I462" s="17" t="n">
        <v>70</v>
      </c>
      <c r="J462" s="18" t="n">
        <v>1.578</v>
      </c>
      <c r="K462" s="7">
        <f>ROUND(H462*I462*J462, 2)</f>
        <v/>
      </c>
      <c r="L462" s="19">
        <f>ROUND(K462/1000, 3)</f>
        <v/>
      </c>
      <c r="M462" s="728">
        <f>IF(AO462="","",IF(N(INDEX(Theo_Doi_Tan_Suat_Be_Tong!$C:$C,AO462))&lt;=0,"",INDEX(Theo_Doi_Tan_Suat_Be_Tong!$C:$C,AO462)-VLOOKUP(AN462,$AQ$2:$AR$7,2,FALSE)))</f>
        <v/>
      </c>
      <c r="N462" s="4" t="n"/>
      <c r="O462" s="20">
        <f>IF(ROUNDUP(S462/20,0)&gt;ROUNDUP(S461/20,0),"TN Ø16 (Lần " &amp; ROUNDUP(S462/20,0) &amp; ")","")</f>
        <v/>
      </c>
      <c r="P462" s="16">
        <f>ROUND(P461+IF(AND(E462&lt;=10,F462&lt;&gt;"ASTM A416"),L462,0),3)</f>
        <v/>
      </c>
      <c r="Q462" s="16">
        <f>ROUND(Q461+IF(AND(E462=12,F462&lt;&gt;"ASTM A416"),L462,0),3)</f>
        <v/>
      </c>
      <c r="R462" s="16">
        <f>ROUND(R461+IF(AND(E462=14,F462&lt;&gt;"ASTM A416"),L462,0),3)</f>
        <v/>
      </c>
      <c r="S462" s="16">
        <f>ROUND(S461+IF(AND(E462=16,F462&lt;&gt;"ASTM A416"),L462,0),3)</f>
        <v/>
      </c>
      <c r="T462" s="16">
        <f>ROUND(T461+IF(AND(E462=18,F462&lt;&gt;"ASTM A416"),L462,0),3)</f>
        <v/>
      </c>
      <c r="U462" s="16">
        <f>ROUND(U461+IF(AND(E462=20,F462&lt;&gt;"ASTM A416"),L462,0),3)</f>
        <v/>
      </c>
      <c r="V462" s="16">
        <f>ROUND(V461+IF(AND(E462=22,F462&lt;&gt;"ASTM A416"),L462,0),3)</f>
        <v/>
      </c>
      <c r="W462" s="16">
        <f>ROUND(W461+IF(AND(E462=25,F462&lt;&gt;"ASTM A416"),L462,0),3)</f>
        <v/>
      </c>
      <c r="X462" s="16">
        <f>ROUND(X461+IF(AND(E462=28,F462&lt;&gt;"ASTM A416"),L462,0),3)</f>
        <v/>
      </c>
      <c r="Y462" s="16">
        <f>ROUND(Y461+IF(AND(E462=32,F462&lt;&gt;"ASTM A416"),L462,0),3)</f>
        <v/>
      </c>
      <c r="Z462" s="16">
        <f>ROUND(Z461+IF(F462="ASTM A416",L462,0),3)</f>
        <v/>
      </c>
      <c r="AA462" s="9">
        <f>IF(ROUNDUP(P462/20,0)&gt;ROUNDUP(P461/20,0),"Lần " &amp; ROUNDUP(P462/20,0),"")</f>
        <v/>
      </c>
      <c r="AB462" s="9">
        <f>IF(ROUNDUP(Q462/20,0)&gt;ROUNDUP(Q461/20,0),"Lần " &amp; ROUNDUP(Q462/20,0),"")</f>
        <v/>
      </c>
      <c r="AC462" s="9">
        <f>IF(ROUNDUP(R462/20,0)&gt;ROUNDUP(R461/20,0),"Lần " &amp; ROUNDUP(R462/20,0),"")</f>
        <v/>
      </c>
      <c r="AD462" s="9">
        <f>IF(ROUNDUP(S462/20,0)&gt;ROUNDUP(S461/20,0),"Lần " &amp; ROUNDUP(S462/20,0),"")</f>
        <v/>
      </c>
      <c r="AE462" s="9">
        <f>IF(ROUNDUP(T462/20,0)&gt;ROUNDUP(T461/20,0),"Lần " &amp; ROUNDUP(T462/20,0),"")</f>
        <v/>
      </c>
      <c r="AF462" s="9">
        <f>IF(ROUNDUP(U462/20,0)&gt;ROUNDUP(U461/20,0),"Lần " &amp; ROUNDUP(U462/20,0),"")</f>
        <v/>
      </c>
      <c r="AG462" s="9">
        <f>IF(ROUNDUP(V462/20,0)&gt;ROUNDUP(V461/20,0),"Lần " &amp; ROUNDUP(V462/20,0),"")</f>
        <v/>
      </c>
      <c r="AH462" s="9">
        <f>IF(ROUNDUP(W462/20,0)&gt;ROUNDUP(W461/20,0),"Lần " &amp; ROUNDUP(W462/20,0),"")</f>
        <v/>
      </c>
      <c r="AI462" s="9">
        <f>IF(ROUNDUP(X462/20,0)&gt;ROUNDUP(X461/20,0),"Lần " &amp; ROUNDUP(X462/20,0),"")</f>
        <v/>
      </c>
      <c r="AJ462" s="9">
        <f>IF(ROUNDUP(Y462/20,0)&gt;ROUNDUP(Y461/20,0),"Lần " &amp; ROUNDUP(Y462/20,0),"")</f>
        <v/>
      </c>
      <c r="AK462" s="9">
        <f>IF(ROUNDUP(Z462/20,0)&gt;ROUNDUP(Z461/20,0),"Lần " &amp; ROUNDUP(Z462/20,0),"")</f>
        <v/>
      </c>
      <c r="AL462" s="4" t="n"/>
      <c r="AN462" s="596" t="inlineStr">
        <is>
          <t>Than</t>
        </is>
      </c>
      <c r="AO462" s="596" t="n">
        <v>57</v>
      </c>
      <c r="AQ462" s="594" t="n"/>
      <c r="AR462" s="595" t="n"/>
    </row>
    <row r="463" ht="19" customHeight="1" s="672">
      <c r="A463" s="4" t="n">
        <v>433</v>
      </c>
      <c r="B463" s="5" t="inlineStr">
        <is>
          <t>Mố M2</t>
        </is>
      </c>
      <c r="C463" s="5" t="inlineStr">
        <is>
          <t>Mố M2 (tr.40)</t>
        </is>
      </c>
      <c r="D463" s="14" t="inlineStr">
        <is>
          <t>F1</t>
        </is>
      </c>
      <c r="E463" s="15" t="n">
        <v>28</v>
      </c>
      <c r="F463" s="4" t="inlineStr">
        <is>
          <t>CB400-V</t>
        </is>
      </c>
      <c r="G463" s="5" t="inlineStr">
        <is>
          <t>S06</t>
        </is>
      </c>
      <c r="H463" s="16" t="n">
        <v>6.578</v>
      </c>
      <c r="I463" s="17" t="n">
        <v>83</v>
      </c>
      <c r="J463" s="18" t="n">
        <v>4.834</v>
      </c>
      <c r="K463" s="7">
        <f>ROUND(H463*I463*J463, 2)</f>
        <v/>
      </c>
      <c r="L463" s="19">
        <f>ROUND(K463/1000, 3)</f>
        <v/>
      </c>
      <c r="M463" s="728">
        <f>IF(AO463="","",IF(N(INDEX(Theo_Doi_Tan_Suat_Be_Tong!$C:$C,AO463))&lt;=0,"",INDEX(Theo_Doi_Tan_Suat_Be_Tong!$C:$C,AO463)-VLOOKUP(AN463,$AQ$2:$AR$7,2,FALSE)))</f>
        <v/>
      </c>
      <c r="N463" s="4" t="n"/>
      <c r="O463" s="20">
        <f>IF(ROUNDUP(X463/20,0)&gt;ROUNDUP(X462/20,0),"TN Ø28 (Lần " &amp; ROUNDUP(X463/20,0) &amp; ")","")</f>
        <v/>
      </c>
      <c r="P463" s="16">
        <f>ROUND(P462+IF(AND(E463&lt;=10,F463&lt;&gt;"ASTM A416"),L463,0),3)</f>
        <v/>
      </c>
      <c r="Q463" s="16">
        <f>ROUND(Q462+IF(AND(E463=12,F463&lt;&gt;"ASTM A416"),L463,0),3)</f>
        <v/>
      </c>
      <c r="R463" s="16">
        <f>ROUND(R462+IF(AND(E463=14,F463&lt;&gt;"ASTM A416"),L463,0),3)</f>
        <v/>
      </c>
      <c r="S463" s="16">
        <f>ROUND(S462+IF(AND(E463=16,F463&lt;&gt;"ASTM A416"),L463,0),3)</f>
        <v/>
      </c>
      <c r="T463" s="16">
        <f>ROUND(T462+IF(AND(E463=18,F463&lt;&gt;"ASTM A416"),L463,0),3)</f>
        <v/>
      </c>
      <c r="U463" s="16">
        <f>ROUND(U462+IF(AND(E463=20,F463&lt;&gt;"ASTM A416"),L463,0),3)</f>
        <v/>
      </c>
      <c r="V463" s="16">
        <f>ROUND(V462+IF(AND(E463=22,F463&lt;&gt;"ASTM A416"),L463,0),3)</f>
        <v/>
      </c>
      <c r="W463" s="16">
        <f>ROUND(W462+IF(AND(E463=25,F463&lt;&gt;"ASTM A416"),L463,0),3)</f>
        <v/>
      </c>
      <c r="X463" s="16">
        <f>ROUND(X462+IF(AND(E463=28,F463&lt;&gt;"ASTM A416"),L463,0),3)</f>
        <v/>
      </c>
      <c r="Y463" s="16">
        <f>ROUND(Y462+IF(AND(E463=32,F463&lt;&gt;"ASTM A416"),L463,0),3)</f>
        <v/>
      </c>
      <c r="Z463" s="16">
        <f>ROUND(Z462+IF(F463="ASTM A416",L463,0),3)</f>
        <v/>
      </c>
      <c r="AA463" s="9">
        <f>IF(ROUNDUP(P463/20,0)&gt;ROUNDUP(P462/20,0),"Lần " &amp; ROUNDUP(P463/20,0),"")</f>
        <v/>
      </c>
      <c r="AB463" s="9">
        <f>IF(ROUNDUP(Q463/20,0)&gt;ROUNDUP(Q462/20,0),"Lần " &amp; ROUNDUP(Q463/20,0),"")</f>
        <v/>
      </c>
      <c r="AC463" s="9">
        <f>IF(ROUNDUP(R463/20,0)&gt;ROUNDUP(R462/20,0),"Lần " &amp; ROUNDUP(R463/20,0),"")</f>
        <v/>
      </c>
      <c r="AD463" s="9">
        <f>IF(ROUNDUP(S463/20,0)&gt;ROUNDUP(S462/20,0),"Lần " &amp; ROUNDUP(S463/20,0),"")</f>
        <v/>
      </c>
      <c r="AE463" s="9">
        <f>IF(ROUNDUP(T463/20,0)&gt;ROUNDUP(T462/20,0),"Lần " &amp; ROUNDUP(T463/20,0),"")</f>
        <v/>
      </c>
      <c r="AF463" s="9">
        <f>IF(ROUNDUP(U463/20,0)&gt;ROUNDUP(U462/20,0),"Lần " &amp; ROUNDUP(U463/20,0),"")</f>
        <v/>
      </c>
      <c r="AG463" s="9">
        <f>IF(ROUNDUP(V463/20,0)&gt;ROUNDUP(V462/20,0),"Lần " &amp; ROUNDUP(V463/20,0),"")</f>
        <v/>
      </c>
      <c r="AH463" s="9">
        <f>IF(ROUNDUP(W463/20,0)&gt;ROUNDUP(W462/20,0),"Lần " &amp; ROUNDUP(W463/20,0),"")</f>
        <v/>
      </c>
      <c r="AI463" s="9">
        <f>IF(ROUNDUP(X463/20,0)&gt;ROUNDUP(X462/20,0),"Lần " &amp; ROUNDUP(X463/20,0),"")</f>
        <v/>
      </c>
      <c r="AJ463" s="9">
        <f>IF(ROUNDUP(Y463/20,0)&gt;ROUNDUP(Y462/20,0),"Lần " &amp; ROUNDUP(Y463/20,0),"")</f>
        <v/>
      </c>
      <c r="AK463" s="9">
        <f>IF(ROUNDUP(Z463/20,0)&gt;ROUNDUP(Z462/20,0),"Lần " &amp; ROUNDUP(Z463/20,0),"")</f>
        <v/>
      </c>
      <c r="AL463" s="4" t="n"/>
      <c r="AN463" s="596" t="inlineStr">
        <is>
          <t>Than</t>
        </is>
      </c>
      <c r="AO463" s="596" t="n">
        <v>39</v>
      </c>
      <c r="AQ463" s="594" t="n"/>
      <c r="AR463" s="595" t="n"/>
    </row>
    <row r="464" ht="19" customHeight="1" s="672">
      <c r="A464" s="4" t="n">
        <v>434</v>
      </c>
      <c r="B464" s="5" t="inlineStr">
        <is>
          <t>Mố M2</t>
        </is>
      </c>
      <c r="C464" s="5" t="inlineStr">
        <is>
          <t>Mố M2 (tr.40)</t>
        </is>
      </c>
      <c r="D464" s="14" t="inlineStr">
        <is>
          <t>F2</t>
        </is>
      </c>
      <c r="E464" s="15" t="n">
        <v>18</v>
      </c>
      <c r="F464" s="4" t="inlineStr">
        <is>
          <t>CB400-V</t>
        </is>
      </c>
      <c r="G464" s="5" t="inlineStr">
        <is>
          <t>S06</t>
        </is>
      </c>
      <c r="H464" s="16" t="n">
        <v>13.571</v>
      </c>
      <c r="I464" s="17" t="n">
        <v>40</v>
      </c>
      <c r="J464" s="18" t="n">
        <v>1.998</v>
      </c>
      <c r="K464" s="7">
        <f>ROUND(H464*I464*J464, 2)</f>
        <v/>
      </c>
      <c r="L464" s="19">
        <f>ROUND(K464/1000, 3)</f>
        <v/>
      </c>
      <c r="M464" s="728">
        <f>IF(AO464="","",IF(N(INDEX(Theo_Doi_Tan_Suat_Be_Tong!$C:$C,AO464))&lt;=0,"",INDEX(Theo_Doi_Tan_Suat_Be_Tong!$C:$C,AO464)-VLOOKUP(AN464,$AQ$2:$AR$7,2,FALSE)))</f>
        <v/>
      </c>
      <c r="N464" s="4" t="n"/>
      <c r="O464" s="20">
        <f>IF(ROUNDUP(T464/20,0)&gt;ROUNDUP(T463/20,0),"TN Ø18 (Lần " &amp; ROUNDUP(T464/20,0) &amp; ")","")</f>
        <v/>
      </c>
      <c r="P464" s="16">
        <f>ROUND(P463+IF(AND(E464&lt;=10,F464&lt;&gt;"ASTM A416"),L464,0),3)</f>
        <v/>
      </c>
      <c r="Q464" s="16">
        <f>ROUND(Q463+IF(AND(E464=12,F464&lt;&gt;"ASTM A416"),L464,0),3)</f>
        <v/>
      </c>
      <c r="R464" s="16">
        <f>ROUND(R463+IF(AND(E464=14,F464&lt;&gt;"ASTM A416"),L464,0),3)</f>
        <v/>
      </c>
      <c r="S464" s="16">
        <f>ROUND(S463+IF(AND(E464=16,F464&lt;&gt;"ASTM A416"),L464,0),3)</f>
        <v/>
      </c>
      <c r="T464" s="16">
        <f>ROUND(T463+IF(AND(E464=18,F464&lt;&gt;"ASTM A416"),L464,0),3)</f>
        <v/>
      </c>
      <c r="U464" s="16">
        <f>ROUND(U463+IF(AND(E464=20,F464&lt;&gt;"ASTM A416"),L464,0),3)</f>
        <v/>
      </c>
      <c r="V464" s="16">
        <f>ROUND(V463+IF(AND(E464=22,F464&lt;&gt;"ASTM A416"),L464,0),3)</f>
        <v/>
      </c>
      <c r="W464" s="16">
        <f>ROUND(W463+IF(AND(E464=25,F464&lt;&gt;"ASTM A416"),L464,0),3)</f>
        <v/>
      </c>
      <c r="X464" s="16">
        <f>ROUND(X463+IF(AND(E464=28,F464&lt;&gt;"ASTM A416"),L464,0),3)</f>
        <v/>
      </c>
      <c r="Y464" s="16">
        <f>ROUND(Y463+IF(AND(E464=32,F464&lt;&gt;"ASTM A416"),L464,0),3)</f>
        <v/>
      </c>
      <c r="Z464" s="16">
        <f>ROUND(Z463+IF(F464="ASTM A416",L464,0),3)</f>
        <v/>
      </c>
      <c r="AA464" s="9">
        <f>IF(ROUNDUP(P464/20,0)&gt;ROUNDUP(P463/20,0),"Lần " &amp; ROUNDUP(P464/20,0),"")</f>
        <v/>
      </c>
      <c r="AB464" s="9">
        <f>IF(ROUNDUP(Q464/20,0)&gt;ROUNDUP(Q463/20,0),"Lần " &amp; ROUNDUP(Q464/20,0),"")</f>
        <v/>
      </c>
      <c r="AC464" s="9">
        <f>IF(ROUNDUP(R464/20,0)&gt;ROUNDUP(R463/20,0),"Lần " &amp; ROUNDUP(R464/20,0),"")</f>
        <v/>
      </c>
      <c r="AD464" s="9">
        <f>IF(ROUNDUP(S464/20,0)&gt;ROUNDUP(S463/20,0),"Lần " &amp; ROUNDUP(S464/20,0),"")</f>
        <v/>
      </c>
      <c r="AE464" s="9">
        <f>IF(ROUNDUP(T464/20,0)&gt;ROUNDUP(T463/20,0),"Lần " &amp; ROUNDUP(T464/20,0),"")</f>
        <v/>
      </c>
      <c r="AF464" s="9">
        <f>IF(ROUNDUP(U464/20,0)&gt;ROUNDUP(U463/20,0),"Lần " &amp; ROUNDUP(U464/20,0),"")</f>
        <v/>
      </c>
      <c r="AG464" s="9">
        <f>IF(ROUNDUP(V464/20,0)&gt;ROUNDUP(V463/20,0),"Lần " &amp; ROUNDUP(V464/20,0),"")</f>
        <v/>
      </c>
      <c r="AH464" s="9">
        <f>IF(ROUNDUP(W464/20,0)&gt;ROUNDUP(W463/20,0),"Lần " &amp; ROUNDUP(W464/20,0),"")</f>
        <v/>
      </c>
      <c r="AI464" s="9">
        <f>IF(ROUNDUP(X464/20,0)&gt;ROUNDUP(X463/20,0),"Lần " &amp; ROUNDUP(X464/20,0),"")</f>
        <v/>
      </c>
      <c r="AJ464" s="9">
        <f>IF(ROUNDUP(Y464/20,0)&gt;ROUNDUP(Y463/20,0),"Lần " &amp; ROUNDUP(Y464/20,0),"")</f>
        <v/>
      </c>
      <c r="AK464" s="9">
        <f>IF(ROUNDUP(Z464/20,0)&gt;ROUNDUP(Z463/20,0),"Lần " &amp; ROUNDUP(Z464/20,0),"")</f>
        <v/>
      </c>
      <c r="AL464" s="4" t="n"/>
      <c r="AN464" s="596" t="inlineStr">
        <is>
          <t>Than</t>
        </is>
      </c>
      <c r="AO464" s="596" t="n">
        <v>39</v>
      </c>
      <c r="AQ464" s="594" t="n"/>
      <c r="AR464" s="595" t="n"/>
    </row>
    <row r="465" ht="19" customHeight="1" s="672">
      <c r="A465" s="4" t="n">
        <v>435</v>
      </c>
      <c r="B465" s="5" t="inlineStr">
        <is>
          <t>Mố M2</t>
        </is>
      </c>
      <c r="C465" s="5" t="inlineStr">
        <is>
          <t>Mố M2 (tr.40)</t>
        </is>
      </c>
      <c r="D465" s="14" t="inlineStr">
        <is>
          <t>F3</t>
        </is>
      </c>
      <c r="E465" s="15" t="n">
        <v>18</v>
      </c>
      <c r="F465" s="4" t="inlineStr">
        <is>
          <t>CB400-V</t>
        </is>
      </c>
      <c r="G465" s="5" t="inlineStr">
        <is>
          <t>S06</t>
        </is>
      </c>
      <c r="H465" s="16" t="n">
        <v>6.336</v>
      </c>
      <c r="I465" s="17" t="n">
        <v>83</v>
      </c>
      <c r="J465" s="18" t="n">
        <v>1.998</v>
      </c>
      <c r="K465" s="7">
        <f>ROUND(H465*I465*J465, 2)</f>
        <v/>
      </c>
      <c r="L465" s="19">
        <f>ROUND(K465/1000, 3)</f>
        <v/>
      </c>
      <c r="M465" s="728">
        <f>IF(AO465="","",IF(N(INDEX(Theo_Doi_Tan_Suat_Be_Tong!$C:$C,AO465))&lt;=0,"",INDEX(Theo_Doi_Tan_Suat_Be_Tong!$C:$C,AO465)-VLOOKUP(AN465,$AQ$2:$AR$7,2,FALSE)))</f>
        <v/>
      </c>
      <c r="N465" s="4" t="n"/>
      <c r="O465" s="20">
        <f>IF(ROUNDUP(T465/20,0)&gt;ROUNDUP(T464/20,0),"TN Ø18 (Lần " &amp; ROUNDUP(T465/20,0) &amp; ")","")</f>
        <v/>
      </c>
      <c r="P465" s="16">
        <f>ROUND(P464+IF(AND(E465&lt;=10,F465&lt;&gt;"ASTM A416"),L465,0),3)</f>
        <v/>
      </c>
      <c r="Q465" s="16">
        <f>ROUND(Q464+IF(AND(E465=12,F465&lt;&gt;"ASTM A416"),L465,0),3)</f>
        <v/>
      </c>
      <c r="R465" s="16">
        <f>ROUND(R464+IF(AND(E465=14,F465&lt;&gt;"ASTM A416"),L465,0),3)</f>
        <v/>
      </c>
      <c r="S465" s="16">
        <f>ROUND(S464+IF(AND(E465=16,F465&lt;&gt;"ASTM A416"),L465,0),3)</f>
        <v/>
      </c>
      <c r="T465" s="16">
        <f>ROUND(T464+IF(AND(E465=18,F465&lt;&gt;"ASTM A416"),L465,0),3)</f>
        <v/>
      </c>
      <c r="U465" s="16">
        <f>ROUND(U464+IF(AND(E465=20,F465&lt;&gt;"ASTM A416"),L465,0),3)</f>
        <v/>
      </c>
      <c r="V465" s="16">
        <f>ROUND(V464+IF(AND(E465=22,F465&lt;&gt;"ASTM A416"),L465,0),3)</f>
        <v/>
      </c>
      <c r="W465" s="16">
        <f>ROUND(W464+IF(AND(E465=25,F465&lt;&gt;"ASTM A416"),L465,0),3)</f>
        <v/>
      </c>
      <c r="X465" s="16">
        <f>ROUND(X464+IF(AND(E465=28,F465&lt;&gt;"ASTM A416"),L465,0),3)</f>
        <v/>
      </c>
      <c r="Y465" s="16">
        <f>ROUND(Y464+IF(AND(E465=32,F465&lt;&gt;"ASTM A416"),L465,0),3)</f>
        <v/>
      </c>
      <c r="Z465" s="16">
        <f>ROUND(Z464+IF(F465="ASTM A416",L465,0),3)</f>
        <v/>
      </c>
      <c r="AA465" s="9">
        <f>IF(ROUNDUP(P465/20,0)&gt;ROUNDUP(P464/20,0),"Lần " &amp; ROUNDUP(P465/20,0),"")</f>
        <v/>
      </c>
      <c r="AB465" s="9">
        <f>IF(ROUNDUP(Q465/20,0)&gt;ROUNDUP(Q464/20,0),"Lần " &amp; ROUNDUP(Q465/20,0),"")</f>
        <v/>
      </c>
      <c r="AC465" s="9">
        <f>IF(ROUNDUP(R465/20,0)&gt;ROUNDUP(R464/20,0),"Lần " &amp; ROUNDUP(R465/20,0),"")</f>
        <v/>
      </c>
      <c r="AD465" s="9">
        <f>IF(ROUNDUP(S465/20,0)&gt;ROUNDUP(S464/20,0),"Lần " &amp; ROUNDUP(S465/20,0),"")</f>
        <v/>
      </c>
      <c r="AE465" s="9">
        <f>IF(ROUNDUP(T465/20,0)&gt;ROUNDUP(T464/20,0),"Lần " &amp; ROUNDUP(T465/20,0),"")</f>
        <v/>
      </c>
      <c r="AF465" s="9">
        <f>IF(ROUNDUP(U465/20,0)&gt;ROUNDUP(U464/20,0),"Lần " &amp; ROUNDUP(U465/20,0),"")</f>
        <v/>
      </c>
      <c r="AG465" s="9">
        <f>IF(ROUNDUP(V465/20,0)&gt;ROUNDUP(V464/20,0),"Lần " &amp; ROUNDUP(V465/20,0),"")</f>
        <v/>
      </c>
      <c r="AH465" s="9">
        <f>IF(ROUNDUP(W465/20,0)&gt;ROUNDUP(W464/20,0),"Lần " &amp; ROUNDUP(W465/20,0),"")</f>
        <v/>
      </c>
      <c r="AI465" s="9">
        <f>IF(ROUNDUP(X465/20,0)&gt;ROUNDUP(X464/20,0),"Lần " &amp; ROUNDUP(X465/20,0),"")</f>
        <v/>
      </c>
      <c r="AJ465" s="9">
        <f>IF(ROUNDUP(Y465/20,0)&gt;ROUNDUP(Y464/20,0),"Lần " &amp; ROUNDUP(Y465/20,0),"")</f>
        <v/>
      </c>
      <c r="AK465" s="9">
        <f>IF(ROUNDUP(Z465/20,0)&gt;ROUNDUP(Z464/20,0),"Lần " &amp; ROUNDUP(Z465/20,0),"")</f>
        <v/>
      </c>
      <c r="AL465" s="4" t="n"/>
      <c r="AN465" s="596" t="inlineStr">
        <is>
          <t>Than</t>
        </is>
      </c>
      <c r="AO465" s="596" t="n">
        <v>39</v>
      </c>
      <c r="AQ465" s="594" t="n"/>
      <c r="AR465" s="595" t="n"/>
    </row>
    <row r="466" ht="19" customHeight="1" s="672">
      <c r="A466" s="4" t="n">
        <v>436</v>
      </c>
      <c r="B466" s="5" t="inlineStr">
        <is>
          <t>Mố M2</t>
        </is>
      </c>
      <c r="C466" s="5" t="inlineStr">
        <is>
          <t>Mố M2 (tr.40)</t>
        </is>
      </c>
      <c r="D466" s="14" t="inlineStr">
        <is>
          <t>F4</t>
        </is>
      </c>
      <c r="E466" s="15" t="n">
        <v>18</v>
      </c>
      <c r="F466" s="4" t="inlineStr">
        <is>
          <t>CB400-V</t>
        </is>
      </c>
      <c r="G466" s="5" t="inlineStr">
        <is>
          <t>S06</t>
        </is>
      </c>
      <c r="H466" s="16" t="n">
        <v>13.571</v>
      </c>
      <c r="I466" s="17" t="n">
        <v>30</v>
      </c>
      <c r="J466" s="18" t="n">
        <v>1.998</v>
      </c>
      <c r="K466" s="7">
        <f>ROUND(H466*I466*J466, 2)</f>
        <v/>
      </c>
      <c r="L466" s="19">
        <f>ROUND(K466/1000, 3)</f>
        <v/>
      </c>
      <c r="M466" s="728">
        <f>IF(AO466="","",IF(N(INDEX(Theo_Doi_Tan_Suat_Be_Tong!$C:$C,AO466))&lt;=0,"",INDEX(Theo_Doi_Tan_Suat_Be_Tong!$C:$C,AO466)-VLOOKUP(AN466,$AQ$2:$AR$7,2,FALSE)))</f>
        <v/>
      </c>
      <c r="N466" s="4" t="n"/>
      <c r="O466" s="20">
        <f>IF(ROUNDUP(T466/20,0)&gt;ROUNDUP(T465/20,0),"TN Ø18 (Lần " &amp; ROUNDUP(T466/20,0) &amp; ")","")</f>
        <v/>
      </c>
      <c r="P466" s="16">
        <f>ROUND(P465+IF(AND(E466&lt;=10,F466&lt;&gt;"ASTM A416"),L466,0),3)</f>
        <v/>
      </c>
      <c r="Q466" s="16">
        <f>ROUND(Q465+IF(AND(E466=12,F466&lt;&gt;"ASTM A416"),L466,0),3)</f>
        <v/>
      </c>
      <c r="R466" s="16">
        <f>ROUND(R465+IF(AND(E466=14,F466&lt;&gt;"ASTM A416"),L466,0),3)</f>
        <v/>
      </c>
      <c r="S466" s="16">
        <f>ROUND(S465+IF(AND(E466=16,F466&lt;&gt;"ASTM A416"),L466,0),3)</f>
        <v/>
      </c>
      <c r="T466" s="16">
        <f>ROUND(T465+IF(AND(E466=18,F466&lt;&gt;"ASTM A416"),L466,0),3)</f>
        <v/>
      </c>
      <c r="U466" s="16">
        <f>ROUND(U465+IF(AND(E466=20,F466&lt;&gt;"ASTM A416"),L466,0),3)</f>
        <v/>
      </c>
      <c r="V466" s="16">
        <f>ROUND(V465+IF(AND(E466=22,F466&lt;&gt;"ASTM A416"),L466,0),3)</f>
        <v/>
      </c>
      <c r="W466" s="16">
        <f>ROUND(W465+IF(AND(E466=25,F466&lt;&gt;"ASTM A416"),L466,0),3)</f>
        <v/>
      </c>
      <c r="X466" s="16">
        <f>ROUND(X465+IF(AND(E466=28,F466&lt;&gt;"ASTM A416"),L466,0),3)</f>
        <v/>
      </c>
      <c r="Y466" s="16">
        <f>ROUND(Y465+IF(AND(E466=32,F466&lt;&gt;"ASTM A416"),L466,0),3)</f>
        <v/>
      </c>
      <c r="Z466" s="16">
        <f>ROUND(Z465+IF(F466="ASTM A416",L466,0),3)</f>
        <v/>
      </c>
      <c r="AA466" s="9">
        <f>IF(ROUNDUP(P466/20,0)&gt;ROUNDUP(P465/20,0),"Lần " &amp; ROUNDUP(P466/20,0),"")</f>
        <v/>
      </c>
      <c r="AB466" s="9">
        <f>IF(ROUNDUP(Q466/20,0)&gt;ROUNDUP(Q465/20,0),"Lần " &amp; ROUNDUP(Q466/20,0),"")</f>
        <v/>
      </c>
      <c r="AC466" s="9">
        <f>IF(ROUNDUP(R466/20,0)&gt;ROUNDUP(R465/20,0),"Lần " &amp; ROUNDUP(R466/20,0),"")</f>
        <v/>
      </c>
      <c r="AD466" s="9">
        <f>IF(ROUNDUP(S466/20,0)&gt;ROUNDUP(S465/20,0),"Lần " &amp; ROUNDUP(S466/20,0),"")</f>
        <v/>
      </c>
      <c r="AE466" s="9">
        <f>IF(ROUNDUP(T466/20,0)&gt;ROUNDUP(T465/20,0),"Lần " &amp; ROUNDUP(T466/20,0),"")</f>
        <v/>
      </c>
      <c r="AF466" s="9">
        <f>IF(ROUNDUP(U466/20,0)&gt;ROUNDUP(U465/20,0),"Lần " &amp; ROUNDUP(U466/20,0),"")</f>
        <v/>
      </c>
      <c r="AG466" s="9">
        <f>IF(ROUNDUP(V466/20,0)&gt;ROUNDUP(V465/20,0),"Lần " &amp; ROUNDUP(V466/20,0),"")</f>
        <v/>
      </c>
      <c r="AH466" s="9">
        <f>IF(ROUNDUP(W466/20,0)&gt;ROUNDUP(W465/20,0),"Lần " &amp; ROUNDUP(W466/20,0),"")</f>
        <v/>
      </c>
      <c r="AI466" s="9">
        <f>IF(ROUNDUP(X466/20,0)&gt;ROUNDUP(X465/20,0),"Lần " &amp; ROUNDUP(X466/20,0),"")</f>
        <v/>
      </c>
      <c r="AJ466" s="9">
        <f>IF(ROUNDUP(Y466/20,0)&gt;ROUNDUP(Y465/20,0),"Lần " &amp; ROUNDUP(Y466/20,0),"")</f>
        <v/>
      </c>
      <c r="AK466" s="9">
        <f>IF(ROUNDUP(Z466/20,0)&gt;ROUNDUP(Z465/20,0),"Lần " &amp; ROUNDUP(Z466/20,0),"")</f>
        <v/>
      </c>
      <c r="AL466" s="4" t="n"/>
      <c r="AN466" s="596" t="inlineStr">
        <is>
          <t>Than</t>
        </is>
      </c>
      <c r="AO466" s="596" t="n">
        <v>39</v>
      </c>
      <c r="AQ466" s="594" t="n"/>
      <c r="AR466" s="595" t="n"/>
    </row>
    <row r="467" ht="19" customHeight="1" s="672">
      <c r="A467" s="4" t="n">
        <v>437</v>
      </c>
      <c r="B467" s="5" t="inlineStr">
        <is>
          <t>Mố M2</t>
        </is>
      </c>
      <c r="C467" s="5" t="inlineStr">
        <is>
          <t>Mố M2 (tr.40)</t>
        </is>
      </c>
      <c r="D467" s="14" t="inlineStr">
        <is>
          <t>F5</t>
        </is>
      </c>
      <c r="E467" s="15" t="n">
        <v>16</v>
      </c>
      <c r="F467" s="4" t="inlineStr">
        <is>
          <t>CB400-V</t>
        </is>
      </c>
      <c r="G467" s="5" t="inlineStr">
        <is>
          <t>S01</t>
        </is>
      </c>
      <c r="H467" s="16" t="n">
        <v>5.85</v>
      </c>
      <c r="I467" s="17" t="n">
        <v>16</v>
      </c>
      <c r="J467" s="18" t="n">
        <v>1.578</v>
      </c>
      <c r="K467" s="7">
        <f>ROUND(H467*I467*J467, 2)</f>
        <v/>
      </c>
      <c r="L467" s="19">
        <f>ROUND(K467/1000, 3)</f>
        <v/>
      </c>
      <c r="M467" s="728">
        <f>IF(AO467="","",IF(N(INDEX(Theo_Doi_Tan_Suat_Be_Tong!$C:$C,AO467))&lt;=0,"",INDEX(Theo_Doi_Tan_Suat_Be_Tong!$C:$C,AO467)-VLOOKUP(AN467,$AQ$2:$AR$7,2,FALSE)))</f>
        <v/>
      </c>
      <c r="N467" s="4" t="n"/>
      <c r="O467" s="20">
        <f>IF(ROUNDUP(S467/20,0)&gt;ROUNDUP(S466/20,0),"TN Ø16 (Lần " &amp; ROUNDUP(S467/20,0) &amp; ")","")</f>
        <v/>
      </c>
      <c r="P467" s="16">
        <f>ROUND(P466+IF(AND(E467&lt;=10,F467&lt;&gt;"ASTM A416"),L467,0),3)</f>
        <v/>
      </c>
      <c r="Q467" s="16">
        <f>ROUND(Q466+IF(AND(E467=12,F467&lt;&gt;"ASTM A416"),L467,0),3)</f>
        <v/>
      </c>
      <c r="R467" s="16">
        <f>ROUND(R466+IF(AND(E467=14,F467&lt;&gt;"ASTM A416"),L467,0),3)</f>
        <v/>
      </c>
      <c r="S467" s="16">
        <f>ROUND(S466+IF(AND(E467=16,F467&lt;&gt;"ASTM A416"),L467,0),3)</f>
        <v/>
      </c>
      <c r="T467" s="16">
        <f>ROUND(T466+IF(AND(E467=18,F467&lt;&gt;"ASTM A416"),L467,0),3)</f>
        <v/>
      </c>
      <c r="U467" s="16">
        <f>ROUND(U466+IF(AND(E467=20,F467&lt;&gt;"ASTM A416"),L467,0),3)</f>
        <v/>
      </c>
      <c r="V467" s="16">
        <f>ROUND(V466+IF(AND(E467=22,F467&lt;&gt;"ASTM A416"),L467,0),3)</f>
        <v/>
      </c>
      <c r="W467" s="16">
        <f>ROUND(W466+IF(AND(E467=25,F467&lt;&gt;"ASTM A416"),L467,0),3)</f>
        <v/>
      </c>
      <c r="X467" s="16">
        <f>ROUND(X466+IF(AND(E467=28,F467&lt;&gt;"ASTM A416"),L467,0),3)</f>
        <v/>
      </c>
      <c r="Y467" s="16">
        <f>ROUND(Y466+IF(AND(E467=32,F467&lt;&gt;"ASTM A416"),L467,0),3)</f>
        <v/>
      </c>
      <c r="Z467" s="16">
        <f>ROUND(Z466+IF(F467="ASTM A416",L467,0),3)</f>
        <v/>
      </c>
      <c r="AA467" s="9">
        <f>IF(ROUNDUP(P467/20,0)&gt;ROUNDUP(P466/20,0),"Lần " &amp; ROUNDUP(P467/20,0),"")</f>
        <v/>
      </c>
      <c r="AB467" s="9">
        <f>IF(ROUNDUP(Q467/20,0)&gt;ROUNDUP(Q466/20,0),"Lần " &amp; ROUNDUP(Q467/20,0),"")</f>
        <v/>
      </c>
      <c r="AC467" s="9">
        <f>IF(ROUNDUP(R467/20,0)&gt;ROUNDUP(R466/20,0),"Lần " &amp; ROUNDUP(R467/20,0),"")</f>
        <v/>
      </c>
      <c r="AD467" s="9">
        <f>IF(ROUNDUP(S467/20,0)&gt;ROUNDUP(S466/20,0),"Lần " &amp; ROUNDUP(S467/20,0),"")</f>
        <v/>
      </c>
      <c r="AE467" s="9">
        <f>IF(ROUNDUP(T467/20,0)&gt;ROUNDUP(T466/20,0),"Lần " &amp; ROUNDUP(T467/20,0),"")</f>
        <v/>
      </c>
      <c r="AF467" s="9">
        <f>IF(ROUNDUP(U467/20,0)&gt;ROUNDUP(U466/20,0),"Lần " &amp; ROUNDUP(U467/20,0),"")</f>
        <v/>
      </c>
      <c r="AG467" s="9">
        <f>IF(ROUNDUP(V467/20,0)&gt;ROUNDUP(V466/20,0),"Lần " &amp; ROUNDUP(V467/20,0),"")</f>
        <v/>
      </c>
      <c r="AH467" s="9">
        <f>IF(ROUNDUP(W467/20,0)&gt;ROUNDUP(W466/20,0),"Lần " &amp; ROUNDUP(W467/20,0),"")</f>
        <v/>
      </c>
      <c r="AI467" s="9">
        <f>IF(ROUNDUP(X467/20,0)&gt;ROUNDUP(X466/20,0),"Lần " &amp; ROUNDUP(X467/20,0),"")</f>
        <v/>
      </c>
      <c r="AJ467" s="9">
        <f>IF(ROUNDUP(Y467/20,0)&gt;ROUNDUP(Y466/20,0),"Lần " &amp; ROUNDUP(Y467/20,0),"")</f>
        <v/>
      </c>
      <c r="AK467" s="9">
        <f>IF(ROUNDUP(Z467/20,0)&gt;ROUNDUP(Z466/20,0),"Lần " &amp; ROUNDUP(Z467/20,0),"")</f>
        <v/>
      </c>
      <c r="AL467" s="4" t="n"/>
      <c r="AN467" s="596" t="inlineStr">
        <is>
          <t>Than</t>
        </is>
      </c>
      <c r="AO467" s="596" t="n">
        <v>39</v>
      </c>
      <c r="AQ467" s="594" t="n"/>
      <c r="AR467" s="595" t="n"/>
    </row>
    <row r="468" ht="19" customHeight="1" s="672">
      <c r="A468" s="4" t="n">
        <v>438</v>
      </c>
      <c r="B468" s="5" t="inlineStr">
        <is>
          <t>Mố M2</t>
        </is>
      </c>
      <c r="C468" s="5" t="inlineStr">
        <is>
          <t>Mố M2 (tr.40)</t>
        </is>
      </c>
      <c r="D468" s="14" t="inlineStr">
        <is>
          <t>F6</t>
        </is>
      </c>
      <c r="E468" s="15" t="n">
        <v>16</v>
      </c>
      <c r="F468" s="4" t="inlineStr">
        <is>
          <t>CB400-V</t>
        </is>
      </c>
      <c r="G468" s="5" t="inlineStr">
        <is>
          <t>S06</t>
        </is>
      </c>
      <c r="H468" s="16" t="n">
        <v>1.99</v>
      </c>
      <c r="I468" s="17" t="n">
        <v>188</v>
      </c>
      <c r="J468" s="18" t="n">
        <v>1.578</v>
      </c>
      <c r="K468" s="7">
        <f>ROUND(H468*I468*J468, 2)</f>
        <v/>
      </c>
      <c r="L468" s="19">
        <f>ROUND(K468/1000, 3)</f>
        <v/>
      </c>
      <c r="M468" s="728">
        <f>IF(AO468="","",IF(N(INDEX(Theo_Doi_Tan_Suat_Be_Tong!$C:$C,AO468))&lt;=0,"",INDEX(Theo_Doi_Tan_Suat_Be_Tong!$C:$C,AO468)-VLOOKUP(AN468,$AQ$2:$AR$7,2,FALSE)))</f>
        <v/>
      </c>
      <c r="N468" s="4" t="n"/>
      <c r="O468" s="20">
        <f>IF(ROUNDUP(S468/20,0)&gt;ROUNDUP(S467/20,0),"TN Ø16 (Lần " &amp; ROUNDUP(S468/20,0) &amp; ")","")</f>
        <v/>
      </c>
      <c r="P468" s="16">
        <f>ROUND(P467+IF(AND(E468&lt;=10,F468&lt;&gt;"ASTM A416"),L468,0),3)</f>
        <v/>
      </c>
      <c r="Q468" s="16">
        <f>ROUND(Q467+IF(AND(E468=12,F468&lt;&gt;"ASTM A416"),L468,0),3)</f>
        <v/>
      </c>
      <c r="R468" s="16">
        <f>ROUND(R467+IF(AND(E468=14,F468&lt;&gt;"ASTM A416"),L468,0),3)</f>
        <v/>
      </c>
      <c r="S468" s="16">
        <f>ROUND(S467+IF(AND(E468=16,F468&lt;&gt;"ASTM A416"),L468,0),3)</f>
        <v/>
      </c>
      <c r="T468" s="16">
        <f>ROUND(T467+IF(AND(E468=18,F468&lt;&gt;"ASTM A416"),L468,0),3)</f>
        <v/>
      </c>
      <c r="U468" s="16">
        <f>ROUND(U467+IF(AND(E468=20,F468&lt;&gt;"ASTM A416"),L468,0),3)</f>
        <v/>
      </c>
      <c r="V468" s="16">
        <f>ROUND(V467+IF(AND(E468=22,F468&lt;&gt;"ASTM A416"),L468,0),3)</f>
        <v/>
      </c>
      <c r="W468" s="16">
        <f>ROUND(W467+IF(AND(E468=25,F468&lt;&gt;"ASTM A416"),L468,0),3)</f>
        <v/>
      </c>
      <c r="X468" s="16">
        <f>ROUND(X467+IF(AND(E468=28,F468&lt;&gt;"ASTM A416"),L468,0),3)</f>
        <v/>
      </c>
      <c r="Y468" s="16">
        <f>ROUND(Y467+IF(AND(E468=32,F468&lt;&gt;"ASTM A416"),L468,0),3)</f>
        <v/>
      </c>
      <c r="Z468" s="16">
        <f>ROUND(Z467+IF(F468="ASTM A416",L468,0),3)</f>
        <v/>
      </c>
      <c r="AA468" s="9">
        <f>IF(ROUNDUP(P468/20,0)&gt;ROUNDUP(P467/20,0),"Lần " &amp; ROUNDUP(P468/20,0),"")</f>
        <v/>
      </c>
      <c r="AB468" s="9">
        <f>IF(ROUNDUP(Q468/20,0)&gt;ROUNDUP(Q467/20,0),"Lần " &amp; ROUNDUP(Q468/20,0),"")</f>
        <v/>
      </c>
      <c r="AC468" s="9">
        <f>IF(ROUNDUP(R468/20,0)&gt;ROUNDUP(R467/20,0),"Lần " &amp; ROUNDUP(R468/20,0),"")</f>
        <v/>
      </c>
      <c r="AD468" s="9">
        <f>IF(ROUNDUP(S468/20,0)&gt;ROUNDUP(S467/20,0),"Lần " &amp; ROUNDUP(S468/20,0),"")</f>
        <v/>
      </c>
      <c r="AE468" s="9">
        <f>IF(ROUNDUP(T468/20,0)&gt;ROUNDUP(T467/20,0),"Lần " &amp; ROUNDUP(T468/20,0),"")</f>
        <v/>
      </c>
      <c r="AF468" s="9">
        <f>IF(ROUNDUP(U468/20,0)&gt;ROUNDUP(U467/20,0),"Lần " &amp; ROUNDUP(U468/20,0),"")</f>
        <v/>
      </c>
      <c r="AG468" s="9">
        <f>IF(ROUNDUP(V468/20,0)&gt;ROUNDUP(V467/20,0),"Lần " &amp; ROUNDUP(V468/20,0),"")</f>
        <v/>
      </c>
      <c r="AH468" s="9">
        <f>IF(ROUNDUP(W468/20,0)&gt;ROUNDUP(W467/20,0),"Lần " &amp; ROUNDUP(W468/20,0),"")</f>
        <v/>
      </c>
      <c r="AI468" s="9">
        <f>IF(ROUNDUP(X468/20,0)&gt;ROUNDUP(X467/20,0),"Lần " &amp; ROUNDUP(X468/20,0),"")</f>
        <v/>
      </c>
      <c r="AJ468" s="9">
        <f>IF(ROUNDUP(Y468/20,0)&gt;ROUNDUP(Y467/20,0),"Lần " &amp; ROUNDUP(Y468/20,0),"")</f>
        <v/>
      </c>
      <c r="AK468" s="9">
        <f>IF(ROUNDUP(Z468/20,0)&gt;ROUNDUP(Z467/20,0),"Lần " &amp; ROUNDUP(Z468/20,0),"")</f>
        <v/>
      </c>
      <c r="AL468" s="4" t="n"/>
      <c r="AN468" s="596" t="inlineStr">
        <is>
          <t>Than</t>
        </is>
      </c>
      <c r="AO468" s="596" t="n">
        <v>39</v>
      </c>
      <c r="AQ468" s="594" t="n"/>
      <c r="AR468" s="595" t="n"/>
    </row>
    <row r="469" ht="19" customHeight="1" s="672">
      <c r="A469" s="4" t="n">
        <v>439</v>
      </c>
      <c r="B469" s="5" t="inlineStr">
        <is>
          <t>Mố M2</t>
        </is>
      </c>
      <c r="C469" s="5" t="inlineStr">
        <is>
          <t>Mố M2 (tr.40)</t>
        </is>
      </c>
      <c r="D469" s="14" t="inlineStr">
        <is>
          <t>F7</t>
        </is>
      </c>
      <c r="E469" s="15" t="n">
        <v>16</v>
      </c>
      <c r="F469" s="4" t="inlineStr">
        <is>
          <t>CB400-V</t>
        </is>
      </c>
      <c r="G469" s="5" t="inlineStr">
        <is>
          <t>S01</t>
        </is>
      </c>
      <c r="H469" s="16" t="n">
        <v>13.005</v>
      </c>
      <c r="I469" s="17" t="n">
        <v>16</v>
      </c>
      <c r="J469" s="18" t="n">
        <v>1.578</v>
      </c>
      <c r="K469" s="7">
        <f>ROUND(H469*I469*J469, 2)</f>
        <v/>
      </c>
      <c r="L469" s="19">
        <f>ROUND(K469/1000, 3)</f>
        <v/>
      </c>
      <c r="M469" s="728">
        <f>IF(AO469="","",IF(N(INDEX(Theo_Doi_Tan_Suat_Be_Tong!$C:$C,AO469))&lt;=0,"",INDEX(Theo_Doi_Tan_Suat_Be_Tong!$C:$C,AO469)-VLOOKUP(AN469,$AQ$2:$AR$7,2,FALSE)))</f>
        <v/>
      </c>
      <c r="N469" s="4" t="n"/>
      <c r="O469" s="20">
        <f>IF(ROUNDUP(S469/20,0)&gt;ROUNDUP(S468/20,0),"TN Ø16 (Lần " &amp; ROUNDUP(S469/20,0) &amp; ")","")</f>
        <v/>
      </c>
      <c r="P469" s="16">
        <f>ROUND(P468+IF(AND(E469&lt;=10,F469&lt;&gt;"ASTM A416"),L469,0),3)</f>
        <v/>
      </c>
      <c r="Q469" s="16">
        <f>ROUND(Q468+IF(AND(E469=12,F469&lt;&gt;"ASTM A416"),L469,0),3)</f>
        <v/>
      </c>
      <c r="R469" s="16">
        <f>ROUND(R468+IF(AND(E469=14,F469&lt;&gt;"ASTM A416"),L469,0),3)</f>
        <v/>
      </c>
      <c r="S469" s="16">
        <f>ROUND(S468+IF(AND(E469=16,F469&lt;&gt;"ASTM A416"),L469,0),3)</f>
        <v/>
      </c>
      <c r="T469" s="16">
        <f>ROUND(T468+IF(AND(E469=18,F469&lt;&gt;"ASTM A416"),L469,0),3)</f>
        <v/>
      </c>
      <c r="U469" s="16">
        <f>ROUND(U468+IF(AND(E469=20,F469&lt;&gt;"ASTM A416"),L469,0),3)</f>
        <v/>
      </c>
      <c r="V469" s="16">
        <f>ROUND(V468+IF(AND(E469=22,F469&lt;&gt;"ASTM A416"),L469,0),3)</f>
        <v/>
      </c>
      <c r="W469" s="16">
        <f>ROUND(W468+IF(AND(E469=25,F469&lt;&gt;"ASTM A416"),L469,0),3)</f>
        <v/>
      </c>
      <c r="X469" s="16">
        <f>ROUND(X468+IF(AND(E469=28,F469&lt;&gt;"ASTM A416"),L469,0),3)</f>
        <v/>
      </c>
      <c r="Y469" s="16">
        <f>ROUND(Y468+IF(AND(E469=32,F469&lt;&gt;"ASTM A416"),L469,0),3)</f>
        <v/>
      </c>
      <c r="Z469" s="16">
        <f>ROUND(Z468+IF(F469="ASTM A416",L469,0),3)</f>
        <v/>
      </c>
      <c r="AA469" s="9">
        <f>IF(ROUNDUP(P469/20,0)&gt;ROUNDUP(P468/20,0),"Lần " &amp; ROUNDUP(P469/20,0),"")</f>
        <v/>
      </c>
      <c r="AB469" s="9">
        <f>IF(ROUNDUP(Q469/20,0)&gt;ROUNDUP(Q468/20,0),"Lần " &amp; ROUNDUP(Q469/20,0),"")</f>
        <v/>
      </c>
      <c r="AC469" s="9">
        <f>IF(ROUNDUP(R469/20,0)&gt;ROUNDUP(R468/20,0),"Lần " &amp; ROUNDUP(R469/20,0),"")</f>
        <v/>
      </c>
      <c r="AD469" s="9">
        <f>IF(ROUNDUP(S469/20,0)&gt;ROUNDUP(S468/20,0),"Lần " &amp; ROUNDUP(S469/20,0),"")</f>
        <v/>
      </c>
      <c r="AE469" s="9">
        <f>IF(ROUNDUP(T469/20,0)&gt;ROUNDUP(T468/20,0),"Lần " &amp; ROUNDUP(T469/20,0),"")</f>
        <v/>
      </c>
      <c r="AF469" s="9">
        <f>IF(ROUNDUP(U469/20,0)&gt;ROUNDUP(U468/20,0),"Lần " &amp; ROUNDUP(U469/20,0),"")</f>
        <v/>
      </c>
      <c r="AG469" s="9">
        <f>IF(ROUNDUP(V469/20,0)&gt;ROUNDUP(V468/20,0),"Lần " &amp; ROUNDUP(V469/20,0),"")</f>
        <v/>
      </c>
      <c r="AH469" s="9">
        <f>IF(ROUNDUP(W469/20,0)&gt;ROUNDUP(W468/20,0),"Lần " &amp; ROUNDUP(W469/20,0),"")</f>
        <v/>
      </c>
      <c r="AI469" s="9">
        <f>IF(ROUNDUP(X469/20,0)&gt;ROUNDUP(X468/20,0),"Lần " &amp; ROUNDUP(X469/20,0),"")</f>
        <v/>
      </c>
      <c r="AJ469" s="9">
        <f>IF(ROUNDUP(Y469/20,0)&gt;ROUNDUP(Y468/20,0),"Lần " &amp; ROUNDUP(Y469/20,0),"")</f>
        <v/>
      </c>
      <c r="AK469" s="9">
        <f>IF(ROUNDUP(Z469/20,0)&gt;ROUNDUP(Z468/20,0),"Lần " &amp; ROUNDUP(Z469/20,0),"")</f>
        <v/>
      </c>
      <c r="AL469" s="4" t="n"/>
      <c r="AN469" s="596" t="inlineStr">
        <is>
          <t>Than</t>
        </is>
      </c>
      <c r="AO469" s="596" t="n">
        <v>39</v>
      </c>
      <c r="AQ469" s="594" t="n"/>
      <c r="AR469" s="595" t="n"/>
    </row>
    <row r="470" ht="19" customHeight="1" s="672">
      <c r="A470" s="4" t="n">
        <v>440</v>
      </c>
      <c r="B470" s="5" t="inlineStr">
        <is>
          <t>Mố M2</t>
        </is>
      </c>
      <c r="C470" s="5" t="inlineStr">
        <is>
          <t>Mố M2 (tr.40)</t>
        </is>
      </c>
      <c r="D470" s="14" t="inlineStr">
        <is>
          <t>F8</t>
        </is>
      </c>
      <c r="E470" s="15" t="n">
        <v>16</v>
      </c>
      <c r="F470" s="4" t="inlineStr">
        <is>
          <t>CB400-V</t>
        </is>
      </c>
      <c r="G470" s="5" t="inlineStr">
        <is>
          <t>S06</t>
        </is>
      </c>
      <c r="H470" s="16" t="n">
        <v>1.99</v>
      </c>
      <c r="I470" s="17" t="n">
        <v>140</v>
      </c>
      <c r="J470" s="18" t="n">
        <v>1.578</v>
      </c>
      <c r="K470" s="7">
        <f>ROUND(H470*I470*J470, 2)</f>
        <v/>
      </c>
      <c r="L470" s="19">
        <f>ROUND(K470/1000, 3)</f>
        <v/>
      </c>
      <c r="M470" s="728">
        <f>IF(AO470="","",IF(N(INDEX(Theo_Doi_Tan_Suat_Be_Tong!$C:$C,AO470))&lt;=0,"",INDEX(Theo_Doi_Tan_Suat_Be_Tong!$C:$C,AO470)-VLOOKUP(AN470,$AQ$2:$AR$7,2,FALSE)))</f>
        <v/>
      </c>
      <c r="N470" s="4" t="n"/>
      <c r="O470" s="20">
        <f>IF(ROUNDUP(S470/20,0)&gt;ROUNDUP(S469/20,0),"TN Ø16 (Lần " &amp; ROUNDUP(S470/20,0) &amp; ")","")</f>
        <v/>
      </c>
      <c r="P470" s="16">
        <f>ROUND(P469+IF(AND(E470&lt;=10,F470&lt;&gt;"ASTM A416"),L470,0),3)</f>
        <v/>
      </c>
      <c r="Q470" s="16">
        <f>ROUND(Q469+IF(AND(E470=12,F470&lt;&gt;"ASTM A416"),L470,0),3)</f>
        <v/>
      </c>
      <c r="R470" s="16">
        <f>ROUND(R469+IF(AND(E470=14,F470&lt;&gt;"ASTM A416"),L470,0),3)</f>
        <v/>
      </c>
      <c r="S470" s="16">
        <f>ROUND(S469+IF(AND(E470=16,F470&lt;&gt;"ASTM A416"),L470,0),3)</f>
        <v/>
      </c>
      <c r="T470" s="16">
        <f>ROUND(T469+IF(AND(E470=18,F470&lt;&gt;"ASTM A416"),L470,0),3)</f>
        <v/>
      </c>
      <c r="U470" s="16">
        <f>ROUND(U469+IF(AND(E470=20,F470&lt;&gt;"ASTM A416"),L470,0),3)</f>
        <v/>
      </c>
      <c r="V470" s="16">
        <f>ROUND(V469+IF(AND(E470=22,F470&lt;&gt;"ASTM A416"),L470,0),3)</f>
        <v/>
      </c>
      <c r="W470" s="16">
        <f>ROUND(W469+IF(AND(E470=25,F470&lt;&gt;"ASTM A416"),L470,0),3)</f>
        <v/>
      </c>
      <c r="X470" s="16">
        <f>ROUND(X469+IF(AND(E470=28,F470&lt;&gt;"ASTM A416"),L470,0),3)</f>
        <v/>
      </c>
      <c r="Y470" s="16">
        <f>ROUND(Y469+IF(AND(E470=32,F470&lt;&gt;"ASTM A416"),L470,0),3)</f>
        <v/>
      </c>
      <c r="Z470" s="16">
        <f>ROUND(Z469+IF(F470="ASTM A416",L470,0),3)</f>
        <v/>
      </c>
      <c r="AA470" s="9">
        <f>IF(ROUNDUP(P470/20,0)&gt;ROUNDUP(P469/20,0),"Lần " &amp; ROUNDUP(P470/20,0),"")</f>
        <v/>
      </c>
      <c r="AB470" s="9">
        <f>IF(ROUNDUP(Q470/20,0)&gt;ROUNDUP(Q469/20,0),"Lần " &amp; ROUNDUP(Q470/20,0),"")</f>
        <v/>
      </c>
      <c r="AC470" s="9">
        <f>IF(ROUNDUP(R470/20,0)&gt;ROUNDUP(R469/20,0),"Lần " &amp; ROUNDUP(R470/20,0),"")</f>
        <v/>
      </c>
      <c r="AD470" s="9">
        <f>IF(ROUNDUP(S470/20,0)&gt;ROUNDUP(S469/20,0),"Lần " &amp; ROUNDUP(S470/20,0),"")</f>
        <v/>
      </c>
      <c r="AE470" s="9">
        <f>IF(ROUNDUP(T470/20,0)&gt;ROUNDUP(T469/20,0),"Lần " &amp; ROUNDUP(T470/20,0),"")</f>
        <v/>
      </c>
      <c r="AF470" s="9">
        <f>IF(ROUNDUP(U470/20,0)&gt;ROUNDUP(U469/20,0),"Lần " &amp; ROUNDUP(U470/20,0),"")</f>
        <v/>
      </c>
      <c r="AG470" s="9">
        <f>IF(ROUNDUP(V470/20,0)&gt;ROUNDUP(V469/20,0),"Lần " &amp; ROUNDUP(V470/20,0),"")</f>
        <v/>
      </c>
      <c r="AH470" s="9">
        <f>IF(ROUNDUP(W470/20,0)&gt;ROUNDUP(W469/20,0),"Lần " &amp; ROUNDUP(W470/20,0),"")</f>
        <v/>
      </c>
      <c r="AI470" s="9">
        <f>IF(ROUNDUP(X470/20,0)&gt;ROUNDUP(X469/20,0),"Lần " &amp; ROUNDUP(X470/20,0),"")</f>
        <v/>
      </c>
      <c r="AJ470" s="9">
        <f>IF(ROUNDUP(Y470/20,0)&gt;ROUNDUP(Y469/20,0),"Lần " &amp; ROUNDUP(Y470/20,0),"")</f>
        <v/>
      </c>
      <c r="AK470" s="9">
        <f>IF(ROUNDUP(Z470/20,0)&gt;ROUNDUP(Z469/20,0),"Lần " &amp; ROUNDUP(Z470/20,0),"")</f>
        <v/>
      </c>
      <c r="AL470" s="4" t="n"/>
      <c r="AN470" s="596" t="inlineStr">
        <is>
          <t>Than</t>
        </is>
      </c>
      <c r="AO470" s="596" t="n">
        <v>39</v>
      </c>
      <c r="AQ470" s="594" t="n"/>
      <c r="AR470" s="595" t="n"/>
    </row>
    <row r="471" ht="19" customHeight="1" s="672">
      <c r="A471" s="4" t="n">
        <v>441</v>
      </c>
      <c r="B471" s="5" t="inlineStr">
        <is>
          <t>Mố M2</t>
        </is>
      </c>
      <c r="C471" s="5" t="inlineStr">
        <is>
          <t>Mố M2 (tr.40)</t>
        </is>
      </c>
      <c r="D471" s="14" t="inlineStr">
        <is>
          <t>A1</t>
        </is>
      </c>
      <c r="E471" s="15" t="n">
        <v>28</v>
      </c>
      <c r="F471" s="4" t="inlineStr">
        <is>
          <t>CB400-V</t>
        </is>
      </c>
      <c r="G471" s="5" t="inlineStr">
        <is>
          <t>S02</t>
        </is>
      </c>
      <c r="H471" s="16" t="n">
        <v>8.319000000000001</v>
      </c>
      <c r="I471" s="17" t="n">
        <v>78</v>
      </c>
      <c r="J471" s="18" t="n">
        <v>4.834</v>
      </c>
      <c r="K471" s="7">
        <f>ROUND(H471*I471*J471, 2)</f>
        <v/>
      </c>
      <c r="L471" s="19">
        <f>ROUND(K471/1000, 3)</f>
        <v/>
      </c>
      <c r="M471" s="728">
        <f>IF(AO471="","",IF(N(INDEX(Theo_Doi_Tan_Suat_Be_Tong!$C:$C,AO471))&lt;=0,"",INDEX(Theo_Doi_Tan_Suat_Be_Tong!$C:$C,AO471)-VLOOKUP(AN471,$AQ$2:$AR$7,2,FALSE)))</f>
        <v/>
      </c>
      <c r="N471" s="4" t="n"/>
      <c r="O471" s="20">
        <f>IF(ROUNDUP(X471/20,0)&gt;ROUNDUP(X470/20,0),"TN Ø28 (Lần " &amp; ROUNDUP(X471/20,0) &amp; ")","")</f>
        <v/>
      </c>
      <c r="P471" s="16">
        <f>ROUND(P470+IF(AND(E471&lt;=10,F471&lt;&gt;"ASTM A416"),L471,0),3)</f>
        <v/>
      </c>
      <c r="Q471" s="16">
        <f>ROUND(Q470+IF(AND(E471=12,F471&lt;&gt;"ASTM A416"),L471,0),3)</f>
        <v/>
      </c>
      <c r="R471" s="16">
        <f>ROUND(R470+IF(AND(E471=14,F471&lt;&gt;"ASTM A416"),L471,0),3)</f>
        <v/>
      </c>
      <c r="S471" s="16">
        <f>ROUND(S470+IF(AND(E471=16,F471&lt;&gt;"ASTM A416"),L471,0),3)</f>
        <v/>
      </c>
      <c r="T471" s="16">
        <f>ROUND(T470+IF(AND(E471=18,F471&lt;&gt;"ASTM A416"),L471,0),3)</f>
        <v/>
      </c>
      <c r="U471" s="16">
        <f>ROUND(U470+IF(AND(E471=20,F471&lt;&gt;"ASTM A416"),L471,0),3)</f>
        <v/>
      </c>
      <c r="V471" s="16">
        <f>ROUND(V470+IF(AND(E471=22,F471&lt;&gt;"ASTM A416"),L471,0),3)</f>
        <v/>
      </c>
      <c r="W471" s="16">
        <f>ROUND(W470+IF(AND(E471=25,F471&lt;&gt;"ASTM A416"),L471,0),3)</f>
        <v/>
      </c>
      <c r="X471" s="16">
        <f>ROUND(X470+IF(AND(E471=28,F471&lt;&gt;"ASTM A416"),L471,0),3)</f>
        <v/>
      </c>
      <c r="Y471" s="16">
        <f>ROUND(Y470+IF(AND(E471=32,F471&lt;&gt;"ASTM A416"),L471,0),3)</f>
        <v/>
      </c>
      <c r="Z471" s="16">
        <f>ROUND(Z470+IF(F471="ASTM A416",L471,0),3)</f>
        <v/>
      </c>
      <c r="AA471" s="9">
        <f>IF(ROUNDUP(P471/20,0)&gt;ROUNDUP(P470/20,0),"Lần " &amp; ROUNDUP(P471/20,0),"")</f>
        <v/>
      </c>
      <c r="AB471" s="9">
        <f>IF(ROUNDUP(Q471/20,0)&gt;ROUNDUP(Q470/20,0),"Lần " &amp; ROUNDUP(Q471/20,0),"")</f>
        <v/>
      </c>
      <c r="AC471" s="9">
        <f>IF(ROUNDUP(R471/20,0)&gt;ROUNDUP(R470/20,0),"Lần " &amp; ROUNDUP(R471/20,0),"")</f>
        <v/>
      </c>
      <c r="AD471" s="9">
        <f>IF(ROUNDUP(S471/20,0)&gt;ROUNDUP(S470/20,0),"Lần " &amp; ROUNDUP(S471/20,0),"")</f>
        <v/>
      </c>
      <c r="AE471" s="9">
        <f>IF(ROUNDUP(T471/20,0)&gt;ROUNDUP(T470/20,0),"Lần " &amp; ROUNDUP(T471/20,0),"")</f>
        <v/>
      </c>
      <c r="AF471" s="9">
        <f>IF(ROUNDUP(U471/20,0)&gt;ROUNDUP(U470/20,0),"Lần " &amp; ROUNDUP(U471/20,0),"")</f>
        <v/>
      </c>
      <c r="AG471" s="9">
        <f>IF(ROUNDUP(V471/20,0)&gt;ROUNDUP(V470/20,0),"Lần " &amp; ROUNDUP(V471/20,0),"")</f>
        <v/>
      </c>
      <c r="AH471" s="9">
        <f>IF(ROUNDUP(W471/20,0)&gt;ROUNDUP(W470/20,0),"Lần " &amp; ROUNDUP(W471/20,0),"")</f>
        <v/>
      </c>
      <c r="AI471" s="9">
        <f>IF(ROUNDUP(X471/20,0)&gt;ROUNDUP(X470/20,0),"Lần " &amp; ROUNDUP(X471/20,0),"")</f>
        <v/>
      </c>
      <c r="AJ471" s="9">
        <f>IF(ROUNDUP(Y471/20,0)&gt;ROUNDUP(Y470/20,0),"Lần " &amp; ROUNDUP(Y471/20,0),"")</f>
        <v/>
      </c>
      <c r="AK471" s="9">
        <f>IF(ROUNDUP(Z471/20,0)&gt;ROUNDUP(Z470/20,0),"Lần " &amp; ROUNDUP(Z471/20,0),"")</f>
        <v/>
      </c>
      <c r="AL471" s="4" t="n"/>
      <c r="AN471" s="596" t="inlineStr">
        <is>
          <t>Than</t>
        </is>
      </c>
      <c r="AO471" s="596" t="n">
        <v>54</v>
      </c>
      <c r="AQ471" s="594" t="n"/>
      <c r="AR471" s="595" t="n"/>
    </row>
    <row r="472" ht="19" customHeight="1" s="672">
      <c r="A472" s="4" t="n">
        <v>442</v>
      </c>
      <c r="B472" s="5" t="inlineStr">
        <is>
          <t>Mố M2</t>
        </is>
      </c>
      <c r="C472" s="5" t="inlineStr">
        <is>
          <t>Mố M2 (tr.40)</t>
        </is>
      </c>
      <c r="D472" s="14" t="inlineStr">
        <is>
          <t>A2</t>
        </is>
      </c>
      <c r="E472" s="15" t="n">
        <v>16</v>
      </c>
      <c r="F472" s="4" t="inlineStr">
        <is>
          <t>CB400-V</t>
        </is>
      </c>
      <c r="G472" s="5" t="inlineStr">
        <is>
          <t>S06</t>
        </is>
      </c>
      <c r="H472" s="16" t="n">
        <v>13.487</v>
      </c>
      <c r="I472" s="17" t="n">
        <v>41</v>
      </c>
      <c r="J472" s="18" t="n">
        <v>1.578</v>
      </c>
      <c r="K472" s="7">
        <f>ROUND(H472*I472*J472, 2)</f>
        <v/>
      </c>
      <c r="L472" s="19">
        <f>ROUND(K472/1000, 3)</f>
        <v/>
      </c>
      <c r="M472" s="728">
        <f>IF(AO472="","",IF(N(INDEX(Theo_Doi_Tan_Suat_Be_Tong!$C:$C,AO472))&lt;=0,"",INDEX(Theo_Doi_Tan_Suat_Be_Tong!$C:$C,AO472)-VLOOKUP(AN472,$AQ$2:$AR$7,2,FALSE)))</f>
        <v/>
      </c>
      <c r="N472" s="4" t="n"/>
      <c r="O472" s="20">
        <f>IF(ROUNDUP(S472/20,0)&gt;ROUNDUP(S471/20,0),"TN Ø16 (Lần " &amp; ROUNDUP(S472/20,0) &amp; ")","")</f>
        <v/>
      </c>
      <c r="P472" s="16">
        <f>ROUND(P471+IF(AND(E472&lt;=10,F472&lt;&gt;"ASTM A416"),L472,0),3)</f>
        <v/>
      </c>
      <c r="Q472" s="16">
        <f>ROUND(Q471+IF(AND(E472=12,F472&lt;&gt;"ASTM A416"),L472,0),3)</f>
        <v/>
      </c>
      <c r="R472" s="16">
        <f>ROUND(R471+IF(AND(E472=14,F472&lt;&gt;"ASTM A416"),L472,0),3)</f>
        <v/>
      </c>
      <c r="S472" s="16">
        <f>ROUND(S471+IF(AND(E472=16,F472&lt;&gt;"ASTM A416"),L472,0),3)</f>
        <v/>
      </c>
      <c r="T472" s="16">
        <f>ROUND(T471+IF(AND(E472=18,F472&lt;&gt;"ASTM A416"),L472,0),3)</f>
        <v/>
      </c>
      <c r="U472" s="16">
        <f>ROUND(U471+IF(AND(E472=20,F472&lt;&gt;"ASTM A416"),L472,0),3)</f>
        <v/>
      </c>
      <c r="V472" s="16">
        <f>ROUND(V471+IF(AND(E472=22,F472&lt;&gt;"ASTM A416"),L472,0),3)</f>
        <v/>
      </c>
      <c r="W472" s="16">
        <f>ROUND(W471+IF(AND(E472=25,F472&lt;&gt;"ASTM A416"),L472,0),3)</f>
        <v/>
      </c>
      <c r="X472" s="16">
        <f>ROUND(X471+IF(AND(E472=28,F472&lt;&gt;"ASTM A416"),L472,0),3)</f>
        <v/>
      </c>
      <c r="Y472" s="16">
        <f>ROUND(Y471+IF(AND(E472=32,F472&lt;&gt;"ASTM A416"),L472,0),3)</f>
        <v/>
      </c>
      <c r="Z472" s="16">
        <f>ROUND(Z471+IF(F472="ASTM A416",L472,0),3)</f>
        <v/>
      </c>
      <c r="AA472" s="9">
        <f>IF(ROUNDUP(P472/20,0)&gt;ROUNDUP(P471/20,0),"Lần " &amp; ROUNDUP(P472/20,0),"")</f>
        <v/>
      </c>
      <c r="AB472" s="9">
        <f>IF(ROUNDUP(Q472/20,0)&gt;ROUNDUP(Q471/20,0),"Lần " &amp; ROUNDUP(Q472/20,0),"")</f>
        <v/>
      </c>
      <c r="AC472" s="9">
        <f>IF(ROUNDUP(R472/20,0)&gt;ROUNDUP(R471/20,0),"Lần " &amp; ROUNDUP(R472/20,0),"")</f>
        <v/>
      </c>
      <c r="AD472" s="9">
        <f>IF(ROUNDUP(S472/20,0)&gt;ROUNDUP(S471/20,0),"Lần " &amp; ROUNDUP(S472/20,0),"")</f>
        <v/>
      </c>
      <c r="AE472" s="9">
        <f>IF(ROUNDUP(T472/20,0)&gt;ROUNDUP(T471/20,0),"Lần " &amp; ROUNDUP(T472/20,0),"")</f>
        <v/>
      </c>
      <c r="AF472" s="9">
        <f>IF(ROUNDUP(U472/20,0)&gt;ROUNDUP(U471/20,0),"Lần " &amp; ROUNDUP(U472/20,0),"")</f>
        <v/>
      </c>
      <c r="AG472" s="9">
        <f>IF(ROUNDUP(V472/20,0)&gt;ROUNDUP(V471/20,0),"Lần " &amp; ROUNDUP(V472/20,0),"")</f>
        <v/>
      </c>
      <c r="AH472" s="9">
        <f>IF(ROUNDUP(W472/20,0)&gt;ROUNDUP(W471/20,0),"Lần " &amp; ROUNDUP(W472/20,0),"")</f>
        <v/>
      </c>
      <c r="AI472" s="9">
        <f>IF(ROUNDUP(X472/20,0)&gt;ROUNDUP(X471/20,0),"Lần " &amp; ROUNDUP(X472/20,0),"")</f>
        <v/>
      </c>
      <c r="AJ472" s="9">
        <f>IF(ROUNDUP(Y472/20,0)&gt;ROUNDUP(Y471/20,0),"Lần " &amp; ROUNDUP(Y472/20,0),"")</f>
        <v/>
      </c>
      <c r="AK472" s="9">
        <f>IF(ROUNDUP(Z472/20,0)&gt;ROUNDUP(Z471/20,0),"Lần " &amp; ROUNDUP(Z472/20,0),"")</f>
        <v/>
      </c>
      <c r="AL472" s="4" t="n"/>
      <c r="AN472" s="596" t="inlineStr">
        <is>
          <t>Than</t>
        </is>
      </c>
      <c r="AO472" s="596" t="n">
        <v>54</v>
      </c>
      <c r="AQ472" s="594" t="n"/>
      <c r="AR472" s="595" t="n"/>
    </row>
    <row r="473" ht="19" customHeight="1" s="672">
      <c r="A473" s="4" t="n">
        <v>443</v>
      </c>
      <c r="B473" s="5" t="inlineStr">
        <is>
          <t>Mố M2</t>
        </is>
      </c>
      <c r="C473" s="5" t="inlineStr">
        <is>
          <t>Mố M2 (tr.40)</t>
        </is>
      </c>
      <c r="D473" s="14" t="inlineStr">
        <is>
          <t>A3</t>
        </is>
      </c>
      <c r="E473" s="15" t="n">
        <v>16</v>
      </c>
      <c r="F473" s="4" t="inlineStr">
        <is>
          <t>CB400-V</t>
        </is>
      </c>
      <c r="G473" s="5" t="inlineStr">
        <is>
          <t>S02</t>
        </is>
      </c>
      <c r="H473" s="16" t="n">
        <v>8.164</v>
      </c>
      <c r="I473" s="17" t="n">
        <v>83</v>
      </c>
      <c r="J473" s="18" t="n">
        <v>1.578</v>
      </c>
      <c r="K473" s="7">
        <f>ROUND(H473*I473*J473, 2)</f>
        <v/>
      </c>
      <c r="L473" s="19">
        <f>ROUND(K473/1000, 3)</f>
        <v/>
      </c>
      <c r="M473" s="728">
        <f>IF(AO473="","",IF(N(INDEX(Theo_Doi_Tan_Suat_Be_Tong!$C:$C,AO473))&lt;=0,"",INDEX(Theo_Doi_Tan_Suat_Be_Tong!$C:$C,AO473)-VLOOKUP(AN473,$AQ$2:$AR$7,2,FALSE)))</f>
        <v/>
      </c>
      <c r="N473" s="4" t="n"/>
      <c r="O473" s="20">
        <f>IF(ROUNDUP(S473/20,0)&gt;ROUNDUP(S472/20,0),"TN Ø16 (Lần " &amp; ROUNDUP(S473/20,0) &amp; ")","")</f>
        <v/>
      </c>
      <c r="P473" s="16">
        <f>ROUND(P472+IF(AND(E473&lt;=10,F473&lt;&gt;"ASTM A416"),L473,0),3)</f>
        <v/>
      </c>
      <c r="Q473" s="16">
        <f>ROUND(Q472+IF(AND(E473=12,F473&lt;&gt;"ASTM A416"),L473,0),3)</f>
        <v/>
      </c>
      <c r="R473" s="16">
        <f>ROUND(R472+IF(AND(E473=14,F473&lt;&gt;"ASTM A416"),L473,0),3)</f>
        <v/>
      </c>
      <c r="S473" s="16">
        <f>ROUND(S472+IF(AND(E473=16,F473&lt;&gt;"ASTM A416"),L473,0),3)</f>
        <v/>
      </c>
      <c r="T473" s="16">
        <f>ROUND(T472+IF(AND(E473=18,F473&lt;&gt;"ASTM A416"),L473,0),3)</f>
        <v/>
      </c>
      <c r="U473" s="16">
        <f>ROUND(U472+IF(AND(E473=20,F473&lt;&gt;"ASTM A416"),L473,0),3)</f>
        <v/>
      </c>
      <c r="V473" s="16">
        <f>ROUND(V472+IF(AND(E473=22,F473&lt;&gt;"ASTM A416"),L473,0),3)</f>
        <v/>
      </c>
      <c r="W473" s="16">
        <f>ROUND(W472+IF(AND(E473=25,F473&lt;&gt;"ASTM A416"),L473,0),3)</f>
        <v/>
      </c>
      <c r="X473" s="16">
        <f>ROUND(X472+IF(AND(E473=28,F473&lt;&gt;"ASTM A416"),L473,0),3)</f>
        <v/>
      </c>
      <c r="Y473" s="16">
        <f>ROUND(Y472+IF(AND(E473=32,F473&lt;&gt;"ASTM A416"),L473,0),3)</f>
        <v/>
      </c>
      <c r="Z473" s="16">
        <f>ROUND(Z472+IF(F473="ASTM A416",L473,0),3)</f>
        <v/>
      </c>
      <c r="AA473" s="9">
        <f>IF(ROUNDUP(P473/20,0)&gt;ROUNDUP(P472/20,0),"Lần " &amp; ROUNDUP(P473/20,0),"")</f>
        <v/>
      </c>
      <c r="AB473" s="9">
        <f>IF(ROUNDUP(Q473/20,0)&gt;ROUNDUP(Q472/20,0),"Lần " &amp; ROUNDUP(Q473/20,0),"")</f>
        <v/>
      </c>
      <c r="AC473" s="9">
        <f>IF(ROUNDUP(R473/20,0)&gt;ROUNDUP(R472/20,0),"Lần " &amp; ROUNDUP(R473/20,0),"")</f>
        <v/>
      </c>
      <c r="AD473" s="9">
        <f>IF(ROUNDUP(S473/20,0)&gt;ROUNDUP(S472/20,0),"Lần " &amp; ROUNDUP(S473/20,0),"")</f>
        <v/>
      </c>
      <c r="AE473" s="9">
        <f>IF(ROUNDUP(T473/20,0)&gt;ROUNDUP(T472/20,0),"Lần " &amp; ROUNDUP(T473/20,0),"")</f>
        <v/>
      </c>
      <c r="AF473" s="9">
        <f>IF(ROUNDUP(U473/20,0)&gt;ROUNDUP(U472/20,0),"Lần " &amp; ROUNDUP(U473/20,0),"")</f>
        <v/>
      </c>
      <c r="AG473" s="9">
        <f>IF(ROUNDUP(V473/20,0)&gt;ROUNDUP(V472/20,0),"Lần " &amp; ROUNDUP(V473/20,0),"")</f>
        <v/>
      </c>
      <c r="AH473" s="9">
        <f>IF(ROUNDUP(W473/20,0)&gt;ROUNDUP(W472/20,0),"Lần " &amp; ROUNDUP(W473/20,0),"")</f>
        <v/>
      </c>
      <c r="AI473" s="9">
        <f>IF(ROUNDUP(X473/20,0)&gt;ROUNDUP(X472/20,0),"Lần " &amp; ROUNDUP(X473/20,0),"")</f>
        <v/>
      </c>
      <c r="AJ473" s="9">
        <f>IF(ROUNDUP(Y473/20,0)&gt;ROUNDUP(Y472/20,0),"Lần " &amp; ROUNDUP(Y473/20,0),"")</f>
        <v/>
      </c>
      <c r="AK473" s="9">
        <f>IF(ROUNDUP(Z473/20,0)&gt;ROUNDUP(Z472/20,0),"Lần " &amp; ROUNDUP(Z473/20,0),"")</f>
        <v/>
      </c>
      <c r="AL473" s="4" t="n"/>
      <c r="AN473" s="596" t="inlineStr">
        <is>
          <t>Than</t>
        </is>
      </c>
      <c r="AO473" s="596" t="n">
        <v>54</v>
      </c>
      <c r="AQ473" s="594" t="n"/>
      <c r="AR473" s="595" t="n"/>
    </row>
    <row r="474" ht="19" customHeight="1" s="672">
      <c r="A474" s="4" t="n">
        <v>444</v>
      </c>
      <c r="B474" s="5" t="inlineStr">
        <is>
          <t>Mố M2</t>
        </is>
      </c>
      <c r="C474" s="5" t="inlineStr">
        <is>
          <t>Mố M2 (tr.40)</t>
        </is>
      </c>
      <c r="D474" s="14" t="inlineStr">
        <is>
          <t>A4</t>
        </is>
      </c>
      <c r="E474" s="15" t="n">
        <v>16</v>
      </c>
      <c r="F474" s="4" t="inlineStr">
        <is>
          <t>CB400-V</t>
        </is>
      </c>
      <c r="G474" s="5" t="inlineStr">
        <is>
          <t>S06</t>
        </is>
      </c>
      <c r="H474" s="16" t="n">
        <v>13.487</v>
      </c>
      <c r="I474" s="17" t="n">
        <v>40</v>
      </c>
      <c r="J474" s="18" t="n">
        <v>1.578</v>
      </c>
      <c r="K474" s="7">
        <f>ROUND(H474*I474*J474, 2)</f>
        <v/>
      </c>
      <c r="L474" s="19">
        <f>ROUND(K474/1000, 3)</f>
        <v/>
      </c>
      <c r="M474" s="728">
        <f>IF(AO474="","",IF(N(INDEX(Theo_Doi_Tan_Suat_Be_Tong!$C:$C,AO474))&lt;=0,"",INDEX(Theo_Doi_Tan_Suat_Be_Tong!$C:$C,AO474)-VLOOKUP(AN474,$AQ$2:$AR$7,2,FALSE)))</f>
        <v/>
      </c>
      <c r="N474" s="4" t="n"/>
      <c r="O474" s="20">
        <f>IF(ROUNDUP(S474/20,0)&gt;ROUNDUP(S473/20,0),"TN Ø16 (Lần " &amp; ROUNDUP(S474/20,0) &amp; ")","")</f>
        <v/>
      </c>
      <c r="P474" s="16">
        <f>ROUND(P473+IF(AND(E474&lt;=10,F474&lt;&gt;"ASTM A416"),L474,0),3)</f>
        <v/>
      </c>
      <c r="Q474" s="16">
        <f>ROUND(Q473+IF(AND(E474=12,F474&lt;&gt;"ASTM A416"),L474,0),3)</f>
        <v/>
      </c>
      <c r="R474" s="16">
        <f>ROUND(R473+IF(AND(E474=14,F474&lt;&gt;"ASTM A416"),L474,0),3)</f>
        <v/>
      </c>
      <c r="S474" s="16">
        <f>ROUND(S473+IF(AND(E474=16,F474&lt;&gt;"ASTM A416"),L474,0),3)</f>
        <v/>
      </c>
      <c r="T474" s="16">
        <f>ROUND(T473+IF(AND(E474=18,F474&lt;&gt;"ASTM A416"),L474,0),3)</f>
        <v/>
      </c>
      <c r="U474" s="16">
        <f>ROUND(U473+IF(AND(E474=20,F474&lt;&gt;"ASTM A416"),L474,0),3)</f>
        <v/>
      </c>
      <c r="V474" s="16">
        <f>ROUND(V473+IF(AND(E474=22,F474&lt;&gt;"ASTM A416"),L474,0),3)</f>
        <v/>
      </c>
      <c r="W474" s="16">
        <f>ROUND(W473+IF(AND(E474=25,F474&lt;&gt;"ASTM A416"),L474,0),3)</f>
        <v/>
      </c>
      <c r="X474" s="16">
        <f>ROUND(X473+IF(AND(E474=28,F474&lt;&gt;"ASTM A416"),L474,0),3)</f>
        <v/>
      </c>
      <c r="Y474" s="16">
        <f>ROUND(Y473+IF(AND(E474=32,F474&lt;&gt;"ASTM A416"),L474,0),3)</f>
        <v/>
      </c>
      <c r="Z474" s="16">
        <f>ROUND(Z473+IF(F474="ASTM A416",L474,0),3)</f>
        <v/>
      </c>
      <c r="AA474" s="9">
        <f>IF(ROUNDUP(P474/20,0)&gt;ROUNDUP(P473/20,0),"Lần " &amp; ROUNDUP(P474/20,0),"")</f>
        <v/>
      </c>
      <c r="AB474" s="9">
        <f>IF(ROUNDUP(Q474/20,0)&gt;ROUNDUP(Q473/20,0),"Lần " &amp; ROUNDUP(Q474/20,0),"")</f>
        <v/>
      </c>
      <c r="AC474" s="9">
        <f>IF(ROUNDUP(R474/20,0)&gt;ROUNDUP(R473/20,0),"Lần " &amp; ROUNDUP(R474/20,0),"")</f>
        <v/>
      </c>
      <c r="AD474" s="9">
        <f>IF(ROUNDUP(S474/20,0)&gt;ROUNDUP(S473/20,0),"Lần " &amp; ROUNDUP(S474/20,0),"")</f>
        <v/>
      </c>
      <c r="AE474" s="9">
        <f>IF(ROUNDUP(T474/20,0)&gt;ROUNDUP(T473/20,0),"Lần " &amp; ROUNDUP(T474/20,0),"")</f>
        <v/>
      </c>
      <c r="AF474" s="9">
        <f>IF(ROUNDUP(U474/20,0)&gt;ROUNDUP(U473/20,0),"Lần " &amp; ROUNDUP(U474/20,0),"")</f>
        <v/>
      </c>
      <c r="AG474" s="9">
        <f>IF(ROUNDUP(V474/20,0)&gt;ROUNDUP(V473/20,0),"Lần " &amp; ROUNDUP(V474/20,0),"")</f>
        <v/>
      </c>
      <c r="AH474" s="9">
        <f>IF(ROUNDUP(W474/20,0)&gt;ROUNDUP(W473/20,0),"Lần " &amp; ROUNDUP(W474/20,0),"")</f>
        <v/>
      </c>
      <c r="AI474" s="9">
        <f>IF(ROUNDUP(X474/20,0)&gt;ROUNDUP(X473/20,0),"Lần " &amp; ROUNDUP(X474/20,0),"")</f>
        <v/>
      </c>
      <c r="AJ474" s="9">
        <f>IF(ROUNDUP(Y474/20,0)&gt;ROUNDUP(Y473/20,0),"Lần " &amp; ROUNDUP(Y474/20,0),"")</f>
        <v/>
      </c>
      <c r="AK474" s="9">
        <f>IF(ROUNDUP(Z474/20,0)&gt;ROUNDUP(Z473/20,0),"Lần " &amp; ROUNDUP(Z474/20,0),"")</f>
        <v/>
      </c>
      <c r="AL474" s="4" t="n"/>
      <c r="AN474" s="596" t="inlineStr">
        <is>
          <t>Than</t>
        </is>
      </c>
      <c r="AO474" s="596" t="n">
        <v>54</v>
      </c>
      <c r="AQ474" s="594" t="n"/>
      <c r="AR474" s="595" t="n"/>
    </row>
    <row r="475" ht="19" customHeight="1" s="672">
      <c r="A475" s="4" t="n">
        <v>445</v>
      </c>
      <c r="B475" s="5" t="inlineStr">
        <is>
          <t>Mố M2</t>
        </is>
      </c>
      <c r="C475" s="5" t="inlineStr">
        <is>
          <t>Mố M2 (tr.40)</t>
        </is>
      </c>
      <c r="D475" s="14" t="inlineStr">
        <is>
          <t>A4A</t>
        </is>
      </c>
      <c r="E475" s="15" t="n">
        <v>16</v>
      </c>
      <c r="F475" s="4" t="inlineStr">
        <is>
          <t>CB400-V</t>
        </is>
      </c>
      <c r="G475" s="5" t="inlineStr">
        <is>
          <t>S06</t>
        </is>
      </c>
      <c r="H475" s="16" t="n">
        <v>6.485</v>
      </c>
      <c r="I475" s="17" t="n">
        <v>1</v>
      </c>
      <c r="J475" s="18" t="n">
        <v>1.578</v>
      </c>
      <c r="K475" s="7">
        <f>ROUND(H475*I475*J475, 2)</f>
        <v/>
      </c>
      <c r="L475" s="19">
        <f>ROUND(K475/1000, 3)</f>
        <v/>
      </c>
      <c r="M475" s="728">
        <f>IF(AO475="","",IF(N(INDEX(Theo_Doi_Tan_Suat_Be_Tong!$C:$C,AO475))&lt;=0,"",INDEX(Theo_Doi_Tan_Suat_Be_Tong!$C:$C,AO475)-VLOOKUP(AN475,$AQ$2:$AR$7,2,FALSE)))</f>
        <v/>
      </c>
      <c r="N475" s="4" t="n"/>
      <c r="O475" s="20">
        <f>IF(ROUNDUP(S475/20,0)&gt;ROUNDUP(S474/20,0),"TN Ø16 (Lần " &amp; ROUNDUP(S475/20,0) &amp; ")","")</f>
        <v/>
      </c>
      <c r="P475" s="16">
        <f>ROUND(P474+IF(AND(E475&lt;=10,F475&lt;&gt;"ASTM A416"),L475,0),3)</f>
        <v/>
      </c>
      <c r="Q475" s="16">
        <f>ROUND(Q474+IF(AND(E475=12,F475&lt;&gt;"ASTM A416"),L475,0),3)</f>
        <v/>
      </c>
      <c r="R475" s="16">
        <f>ROUND(R474+IF(AND(E475=14,F475&lt;&gt;"ASTM A416"),L475,0),3)</f>
        <v/>
      </c>
      <c r="S475" s="16">
        <f>ROUND(S474+IF(AND(E475=16,F475&lt;&gt;"ASTM A416"),L475,0),3)</f>
        <v/>
      </c>
      <c r="T475" s="16">
        <f>ROUND(T474+IF(AND(E475=18,F475&lt;&gt;"ASTM A416"),L475,0),3)</f>
        <v/>
      </c>
      <c r="U475" s="16">
        <f>ROUND(U474+IF(AND(E475=20,F475&lt;&gt;"ASTM A416"),L475,0),3)</f>
        <v/>
      </c>
      <c r="V475" s="16">
        <f>ROUND(V474+IF(AND(E475=22,F475&lt;&gt;"ASTM A416"),L475,0),3)</f>
        <v/>
      </c>
      <c r="W475" s="16">
        <f>ROUND(W474+IF(AND(E475=25,F475&lt;&gt;"ASTM A416"),L475,0),3)</f>
        <v/>
      </c>
      <c r="X475" s="16">
        <f>ROUND(X474+IF(AND(E475=28,F475&lt;&gt;"ASTM A416"),L475,0),3)</f>
        <v/>
      </c>
      <c r="Y475" s="16">
        <f>ROUND(Y474+IF(AND(E475=32,F475&lt;&gt;"ASTM A416"),L475,0),3)</f>
        <v/>
      </c>
      <c r="Z475" s="16">
        <f>ROUND(Z474+IF(F475="ASTM A416",L475,0),3)</f>
        <v/>
      </c>
      <c r="AA475" s="9">
        <f>IF(ROUNDUP(P475/20,0)&gt;ROUNDUP(P474/20,0),"Lần " &amp; ROUNDUP(P475/20,0),"")</f>
        <v/>
      </c>
      <c r="AB475" s="9">
        <f>IF(ROUNDUP(Q475/20,0)&gt;ROUNDUP(Q474/20,0),"Lần " &amp; ROUNDUP(Q475/20,0),"")</f>
        <v/>
      </c>
      <c r="AC475" s="9">
        <f>IF(ROUNDUP(R475/20,0)&gt;ROUNDUP(R474/20,0),"Lần " &amp; ROUNDUP(R475/20,0),"")</f>
        <v/>
      </c>
      <c r="AD475" s="9">
        <f>IF(ROUNDUP(S475/20,0)&gt;ROUNDUP(S474/20,0),"Lần " &amp; ROUNDUP(S475/20,0),"")</f>
        <v/>
      </c>
      <c r="AE475" s="9">
        <f>IF(ROUNDUP(T475/20,0)&gt;ROUNDUP(T474/20,0),"Lần " &amp; ROUNDUP(T475/20,0),"")</f>
        <v/>
      </c>
      <c r="AF475" s="9">
        <f>IF(ROUNDUP(U475/20,0)&gt;ROUNDUP(U474/20,0),"Lần " &amp; ROUNDUP(U475/20,0),"")</f>
        <v/>
      </c>
      <c r="AG475" s="9">
        <f>IF(ROUNDUP(V475/20,0)&gt;ROUNDUP(V474/20,0),"Lần " &amp; ROUNDUP(V475/20,0),"")</f>
        <v/>
      </c>
      <c r="AH475" s="9">
        <f>IF(ROUNDUP(W475/20,0)&gt;ROUNDUP(W474/20,0),"Lần " &amp; ROUNDUP(W475/20,0),"")</f>
        <v/>
      </c>
      <c r="AI475" s="9">
        <f>IF(ROUNDUP(X475/20,0)&gt;ROUNDUP(X474/20,0),"Lần " &amp; ROUNDUP(X475/20,0),"")</f>
        <v/>
      </c>
      <c r="AJ475" s="9">
        <f>IF(ROUNDUP(Y475/20,0)&gt;ROUNDUP(Y474/20,0),"Lần " &amp; ROUNDUP(Y475/20,0),"")</f>
        <v/>
      </c>
      <c r="AK475" s="9">
        <f>IF(ROUNDUP(Z475/20,0)&gt;ROUNDUP(Z474/20,0),"Lần " &amp; ROUNDUP(Z475/20,0),"")</f>
        <v/>
      </c>
      <c r="AL475" s="4" t="n"/>
      <c r="AN475" s="596" t="inlineStr">
        <is>
          <t>Than</t>
        </is>
      </c>
      <c r="AO475" s="596" t="n">
        <v>54</v>
      </c>
      <c r="AQ475" s="594" t="n"/>
      <c r="AR475" s="595" t="n"/>
    </row>
    <row r="476" ht="19" customHeight="1" s="672">
      <c r="A476" s="4" t="n">
        <v>446</v>
      </c>
      <c r="B476" s="5" t="inlineStr">
        <is>
          <t>Mố M2</t>
        </is>
      </c>
      <c r="C476" s="5" t="inlineStr">
        <is>
          <t>Mố M2 (tr.40)</t>
        </is>
      </c>
      <c r="D476" s="14" t="inlineStr">
        <is>
          <t>A5</t>
        </is>
      </c>
      <c r="E476" s="15" t="n">
        <v>16</v>
      </c>
      <c r="F476" s="4" t="inlineStr">
        <is>
          <t>CB400-V</t>
        </is>
      </c>
      <c r="G476" s="5" t="inlineStr">
        <is>
          <t>S06</t>
        </is>
      </c>
      <c r="H476" s="16" t="n">
        <v>13.489</v>
      </c>
      <c r="I476" s="17" t="n">
        <v>7</v>
      </c>
      <c r="J476" s="18" t="n">
        <v>1.578</v>
      </c>
      <c r="K476" s="7">
        <f>ROUND(H476*I476*J476, 2)</f>
        <v/>
      </c>
      <c r="L476" s="19">
        <f>ROUND(K476/1000, 3)</f>
        <v/>
      </c>
      <c r="M476" s="728">
        <f>IF(AO476="","",IF(N(INDEX(Theo_Doi_Tan_Suat_Be_Tong!$C:$C,AO476))&lt;=0,"",INDEX(Theo_Doi_Tan_Suat_Be_Tong!$C:$C,AO476)-VLOOKUP(AN476,$AQ$2:$AR$7,2,FALSE)))</f>
        <v/>
      </c>
      <c r="N476" s="4" t="n"/>
      <c r="O476" s="20">
        <f>IF(ROUNDUP(S476/20,0)&gt;ROUNDUP(S475/20,0),"TN Ø16 (Lần " &amp; ROUNDUP(S476/20,0) &amp; ")","")</f>
        <v/>
      </c>
      <c r="P476" s="16">
        <f>ROUND(P475+IF(AND(E476&lt;=10,F476&lt;&gt;"ASTM A416"),L476,0),3)</f>
        <v/>
      </c>
      <c r="Q476" s="16">
        <f>ROUND(Q475+IF(AND(E476=12,F476&lt;&gt;"ASTM A416"),L476,0),3)</f>
        <v/>
      </c>
      <c r="R476" s="16">
        <f>ROUND(R475+IF(AND(E476=14,F476&lt;&gt;"ASTM A416"),L476,0),3)</f>
        <v/>
      </c>
      <c r="S476" s="16">
        <f>ROUND(S475+IF(AND(E476=16,F476&lt;&gt;"ASTM A416"),L476,0),3)</f>
        <v/>
      </c>
      <c r="T476" s="16">
        <f>ROUND(T475+IF(AND(E476=18,F476&lt;&gt;"ASTM A416"),L476,0),3)</f>
        <v/>
      </c>
      <c r="U476" s="16">
        <f>ROUND(U475+IF(AND(E476=20,F476&lt;&gt;"ASTM A416"),L476,0),3)</f>
        <v/>
      </c>
      <c r="V476" s="16">
        <f>ROUND(V475+IF(AND(E476=22,F476&lt;&gt;"ASTM A416"),L476,0),3)</f>
        <v/>
      </c>
      <c r="W476" s="16">
        <f>ROUND(W475+IF(AND(E476=25,F476&lt;&gt;"ASTM A416"),L476,0),3)</f>
        <v/>
      </c>
      <c r="X476" s="16">
        <f>ROUND(X475+IF(AND(E476=28,F476&lt;&gt;"ASTM A416"),L476,0),3)</f>
        <v/>
      </c>
      <c r="Y476" s="16">
        <f>ROUND(Y475+IF(AND(E476=32,F476&lt;&gt;"ASTM A416"),L476,0),3)</f>
        <v/>
      </c>
      <c r="Z476" s="16">
        <f>ROUND(Z475+IF(F476="ASTM A416",L476,0),3)</f>
        <v/>
      </c>
      <c r="AA476" s="9">
        <f>IF(ROUNDUP(P476/20,0)&gt;ROUNDUP(P475/20,0),"Lần " &amp; ROUNDUP(P476/20,0),"")</f>
        <v/>
      </c>
      <c r="AB476" s="9">
        <f>IF(ROUNDUP(Q476/20,0)&gt;ROUNDUP(Q475/20,0),"Lần " &amp; ROUNDUP(Q476/20,0),"")</f>
        <v/>
      </c>
      <c r="AC476" s="9">
        <f>IF(ROUNDUP(R476/20,0)&gt;ROUNDUP(R475/20,0),"Lần " &amp; ROUNDUP(R476/20,0),"")</f>
        <v/>
      </c>
      <c r="AD476" s="9">
        <f>IF(ROUNDUP(S476/20,0)&gt;ROUNDUP(S475/20,0),"Lần " &amp; ROUNDUP(S476/20,0),"")</f>
        <v/>
      </c>
      <c r="AE476" s="9">
        <f>IF(ROUNDUP(T476/20,0)&gt;ROUNDUP(T475/20,0),"Lần " &amp; ROUNDUP(T476/20,0),"")</f>
        <v/>
      </c>
      <c r="AF476" s="9">
        <f>IF(ROUNDUP(U476/20,0)&gt;ROUNDUP(U475/20,0),"Lần " &amp; ROUNDUP(U476/20,0),"")</f>
        <v/>
      </c>
      <c r="AG476" s="9">
        <f>IF(ROUNDUP(V476/20,0)&gt;ROUNDUP(V475/20,0),"Lần " &amp; ROUNDUP(V476/20,0),"")</f>
        <v/>
      </c>
      <c r="AH476" s="9">
        <f>IF(ROUNDUP(W476/20,0)&gt;ROUNDUP(W475/20,0),"Lần " &amp; ROUNDUP(W476/20,0),"")</f>
        <v/>
      </c>
      <c r="AI476" s="9">
        <f>IF(ROUNDUP(X476/20,0)&gt;ROUNDUP(X475/20,0),"Lần " &amp; ROUNDUP(X476/20,0),"")</f>
        <v/>
      </c>
      <c r="AJ476" s="9">
        <f>IF(ROUNDUP(Y476/20,0)&gt;ROUNDUP(Y475/20,0),"Lần " &amp; ROUNDUP(Y476/20,0),"")</f>
        <v/>
      </c>
      <c r="AK476" s="9">
        <f>IF(ROUNDUP(Z476/20,0)&gt;ROUNDUP(Z475/20,0),"Lần " &amp; ROUNDUP(Z476/20,0),"")</f>
        <v/>
      </c>
      <c r="AL476" s="4" t="n"/>
      <c r="AN476" s="596" t="inlineStr">
        <is>
          <t>Than</t>
        </is>
      </c>
      <c r="AO476" s="596" t="n">
        <v>54</v>
      </c>
      <c r="AQ476" s="594" t="n"/>
      <c r="AR476" s="595" t="n"/>
    </row>
    <row r="477" ht="19" customHeight="1" s="672">
      <c r="A477" s="4" t="n">
        <v>447</v>
      </c>
      <c r="B477" s="5" t="inlineStr">
        <is>
          <t>Mố M2</t>
        </is>
      </c>
      <c r="C477" s="5" t="inlineStr">
        <is>
          <t>Mố M2 (tr.40)</t>
        </is>
      </c>
      <c r="D477" s="14" t="inlineStr">
        <is>
          <t>A6</t>
        </is>
      </c>
      <c r="E477" s="15" t="n">
        <v>16</v>
      </c>
      <c r="F477" s="4" t="inlineStr">
        <is>
          <t>CB400-V</t>
        </is>
      </c>
      <c r="G477" s="5" t="inlineStr">
        <is>
          <t>S06</t>
        </is>
      </c>
      <c r="H477" s="16" t="n">
        <v>1.807</v>
      </c>
      <c r="I477" s="17" t="n">
        <v>78</v>
      </c>
      <c r="J477" s="18" t="n">
        <v>1.578</v>
      </c>
      <c r="K477" s="7">
        <f>ROUND(H477*I477*J477, 2)</f>
        <v/>
      </c>
      <c r="L477" s="19">
        <f>ROUND(K477/1000, 3)</f>
        <v/>
      </c>
      <c r="M477" s="728">
        <f>IF(AO477="","",IF(N(INDEX(Theo_Doi_Tan_Suat_Be_Tong!$C:$C,AO477))&lt;=0,"",INDEX(Theo_Doi_Tan_Suat_Be_Tong!$C:$C,AO477)-VLOOKUP(AN477,$AQ$2:$AR$7,2,FALSE)))</f>
        <v/>
      </c>
      <c r="N477" s="4" t="n"/>
      <c r="O477" s="20">
        <f>IF(ROUNDUP(S477/20,0)&gt;ROUNDUP(S476/20,0),"TN Ø16 (Lần " &amp; ROUNDUP(S477/20,0) &amp; ")","")</f>
        <v/>
      </c>
      <c r="P477" s="16">
        <f>ROUND(P476+IF(AND(E477&lt;=10,F477&lt;&gt;"ASTM A416"),L477,0),3)</f>
        <v/>
      </c>
      <c r="Q477" s="16">
        <f>ROUND(Q476+IF(AND(E477=12,F477&lt;&gt;"ASTM A416"),L477,0),3)</f>
        <v/>
      </c>
      <c r="R477" s="16">
        <f>ROUND(R476+IF(AND(E477=14,F477&lt;&gt;"ASTM A416"),L477,0),3)</f>
        <v/>
      </c>
      <c r="S477" s="16">
        <f>ROUND(S476+IF(AND(E477=16,F477&lt;&gt;"ASTM A416"),L477,0),3)</f>
        <v/>
      </c>
      <c r="T477" s="16">
        <f>ROUND(T476+IF(AND(E477=18,F477&lt;&gt;"ASTM A416"),L477,0),3)</f>
        <v/>
      </c>
      <c r="U477" s="16">
        <f>ROUND(U476+IF(AND(E477=20,F477&lt;&gt;"ASTM A416"),L477,0),3)</f>
        <v/>
      </c>
      <c r="V477" s="16">
        <f>ROUND(V476+IF(AND(E477=22,F477&lt;&gt;"ASTM A416"),L477,0),3)</f>
        <v/>
      </c>
      <c r="W477" s="16">
        <f>ROUND(W476+IF(AND(E477=25,F477&lt;&gt;"ASTM A416"),L477,0),3)</f>
        <v/>
      </c>
      <c r="X477" s="16">
        <f>ROUND(X476+IF(AND(E477=28,F477&lt;&gt;"ASTM A416"),L477,0),3)</f>
        <v/>
      </c>
      <c r="Y477" s="16">
        <f>ROUND(Y476+IF(AND(E477=32,F477&lt;&gt;"ASTM A416"),L477,0),3)</f>
        <v/>
      </c>
      <c r="Z477" s="16">
        <f>ROUND(Z476+IF(F477="ASTM A416",L477,0),3)</f>
        <v/>
      </c>
      <c r="AA477" s="9">
        <f>IF(ROUNDUP(P477/20,0)&gt;ROUNDUP(P476/20,0),"Lần " &amp; ROUNDUP(P477/20,0),"")</f>
        <v/>
      </c>
      <c r="AB477" s="9">
        <f>IF(ROUNDUP(Q477/20,0)&gt;ROUNDUP(Q476/20,0),"Lần " &amp; ROUNDUP(Q477/20,0),"")</f>
        <v/>
      </c>
      <c r="AC477" s="9">
        <f>IF(ROUNDUP(R477/20,0)&gt;ROUNDUP(R476/20,0),"Lần " &amp; ROUNDUP(R477/20,0),"")</f>
        <v/>
      </c>
      <c r="AD477" s="9">
        <f>IF(ROUNDUP(S477/20,0)&gt;ROUNDUP(S476/20,0),"Lần " &amp; ROUNDUP(S477/20,0),"")</f>
        <v/>
      </c>
      <c r="AE477" s="9">
        <f>IF(ROUNDUP(T477/20,0)&gt;ROUNDUP(T476/20,0),"Lần " &amp; ROUNDUP(T477/20,0),"")</f>
        <v/>
      </c>
      <c r="AF477" s="9">
        <f>IF(ROUNDUP(U477/20,0)&gt;ROUNDUP(U476/20,0),"Lần " &amp; ROUNDUP(U477/20,0),"")</f>
        <v/>
      </c>
      <c r="AG477" s="9">
        <f>IF(ROUNDUP(V477/20,0)&gt;ROUNDUP(V476/20,0),"Lần " &amp; ROUNDUP(V477/20,0),"")</f>
        <v/>
      </c>
      <c r="AH477" s="9">
        <f>IF(ROUNDUP(W477/20,0)&gt;ROUNDUP(W476/20,0),"Lần " &amp; ROUNDUP(W477/20,0),"")</f>
        <v/>
      </c>
      <c r="AI477" s="9">
        <f>IF(ROUNDUP(X477/20,0)&gt;ROUNDUP(X476/20,0),"Lần " &amp; ROUNDUP(X477/20,0),"")</f>
        <v/>
      </c>
      <c r="AJ477" s="9">
        <f>IF(ROUNDUP(Y477/20,0)&gt;ROUNDUP(Y476/20,0),"Lần " &amp; ROUNDUP(Y477/20,0),"")</f>
        <v/>
      </c>
      <c r="AK477" s="9">
        <f>IF(ROUNDUP(Z477/20,0)&gt;ROUNDUP(Z476/20,0),"Lần " &amp; ROUNDUP(Z477/20,0),"")</f>
        <v/>
      </c>
      <c r="AL477" s="4" t="n"/>
      <c r="AN477" s="596" t="inlineStr">
        <is>
          <t>Than</t>
        </is>
      </c>
      <c r="AO477" s="596" t="n">
        <v>54</v>
      </c>
      <c r="AQ477" s="594" t="n"/>
      <c r="AR477" s="595" t="n"/>
    </row>
    <row r="478" ht="19" customHeight="1" s="672">
      <c r="A478" s="4" t="n">
        <v>448</v>
      </c>
      <c r="B478" s="5" t="inlineStr">
        <is>
          <t>Mố M2</t>
        </is>
      </c>
      <c r="C478" s="5" t="inlineStr">
        <is>
          <t>Mố M2 (tr.40)</t>
        </is>
      </c>
      <c r="D478" s="14" t="inlineStr">
        <is>
          <t>A7</t>
        </is>
      </c>
      <c r="E478" s="15" t="n">
        <v>14</v>
      </c>
      <c r="F478" s="4" t="inlineStr">
        <is>
          <t>CB400-V</t>
        </is>
      </c>
      <c r="G478" s="5" t="inlineStr">
        <is>
          <t>S06</t>
        </is>
      </c>
      <c r="H478" s="16" t="n">
        <v>1.585</v>
      </c>
      <c r="I478" s="17" t="n">
        <v>200</v>
      </c>
      <c r="J478" s="18" t="n">
        <v>1.208</v>
      </c>
      <c r="K478" s="7">
        <f>ROUND(H478*I478*J478, 2)</f>
        <v/>
      </c>
      <c r="L478" s="19">
        <f>ROUND(K478/1000, 3)</f>
        <v/>
      </c>
      <c r="M478" s="728">
        <f>IF(AO478="","",IF(N(INDEX(Theo_Doi_Tan_Suat_Be_Tong!$C:$C,AO478))&lt;=0,"",INDEX(Theo_Doi_Tan_Suat_Be_Tong!$C:$C,AO478)-VLOOKUP(AN478,$AQ$2:$AR$7,2,FALSE)))</f>
        <v/>
      </c>
      <c r="N478" s="4" t="n"/>
      <c r="O478" s="20">
        <f>IF(ROUNDUP(R478/20,0)&gt;ROUNDUP(R477/20,0),"TN Ø14 (Lần " &amp; ROUNDUP(R478/20,0) &amp; ")","")</f>
        <v/>
      </c>
      <c r="P478" s="16">
        <f>ROUND(P477+IF(AND(E478&lt;=10,F478&lt;&gt;"ASTM A416"),L478,0),3)</f>
        <v/>
      </c>
      <c r="Q478" s="16">
        <f>ROUND(Q477+IF(AND(E478=12,F478&lt;&gt;"ASTM A416"),L478,0),3)</f>
        <v/>
      </c>
      <c r="R478" s="16">
        <f>ROUND(R477+IF(AND(E478=14,F478&lt;&gt;"ASTM A416"),L478,0),3)</f>
        <v/>
      </c>
      <c r="S478" s="16">
        <f>ROUND(S477+IF(AND(E478=16,F478&lt;&gt;"ASTM A416"),L478,0),3)</f>
        <v/>
      </c>
      <c r="T478" s="16">
        <f>ROUND(T477+IF(AND(E478=18,F478&lt;&gt;"ASTM A416"),L478,0),3)</f>
        <v/>
      </c>
      <c r="U478" s="16">
        <f>ROUND(U477+IF(AND(E478=20,F478&lt;&gt;"ASTM A416"),L478,0),3)</f>
        <v/>
      </c>
      <c r="V478" s="16">
        <f>ROUND(V477+IF(AND(E478=22,F478&lt;&gt;"ASTM A416"),L478,0),3)</f>
        <v/>
      </c>
      <c r="W478" s="16">
        <f>ROUND(W477+IF(AND(E478=25,F478&lt;&gt;"ASTM A416"),L478,0),3)</f>
        <v/>
      </c>
      <c r="X478" s="16">
        <f>ROUND(X477+IF(AND(E478=28,F478&lt;&gt;"ASTM A416"),L478,0),3)</f>
        <v/>
      </c>
      <c r="Y478" s="16">
        <f>ROUND(Y477+IF(AND(E478=32,F478&lt;&gt;"ASTM A416"),L478,0),3)</f>
        <v/>
      </c>
      <c r="Z478" s="16">
        <f>ROUND(Z477+IF(F478="ASTM A416",L478,0),3)</f>
        <v/>
      </c>
      <c r="AA478" s="9">
        <f>IF(ROUNDUP(P478/20,0)&gt;ROUNDUP(P477/20,0),"Lần " &amp; ROUNDUP(P478/20,0),"")</f>
        <v/>
      </c>
      <c r="AB478" s="9">
        <f>IF(ROUNDUP(Q478/20,0)&gt;ROUNDUP(Q477/20,0),"Lần " &amp; ROUNDUP(Q478/20,0),"")</f>
        <v/>
      </c>
      <c r="AC478" s="9">
        <f>IF(ROUNDUP(R478/20,0)&gt;ROUNDUP(R477/20,0),"Lần " &amp; ROUNDUP(R478/20,0),"")</f>
        <v/>
      </c>
      <c r="AD478" s="9">
        <f>IF(ROUNDUP(S478/20,0)&gt;ROUNDUP(S477/20,0),"Lần " &amp; ROUNDUP(S478/20,0),"")</f>
        <v/>
      </c>
      <c r="AE478" s="9">
        <f>IF(ROUNDUP(T478/20,0)&gt;ROUNDUP(T477/20,0),"Lần " &amp; ROUNDUP(T478/20,0),"")</f>
        <v/>
      </c>
      <c r="AF478" s="9">
        <f>IF(ROUNDUP(U478/20,0)&gt;ROUNDUP(U477/20,0),"Lần " &amp; ROUNDUP(U478/20,0),"")</f>
        <v/>
      </c>
      <c r="AG478" s="9">
        <f>IF(ROUNDUP(V478/20,0)&gt;ROUNDUP(V477/20,0),"Lần " &amp; ROUNDUP(V478/20,0),"")</f>
        <v/>
      </c>
      <c r="AH478" s="9">
        <f>IF(ROUNDUP(W478/20,0)&gt;ROUNDUP(W477/20,0),"Lần " &amp; ROUNDUP(W478/20,0),"")</f>
        <v/>
      </c>
      <c r="AI478" s="9">
        <f>IF(ROUNDUP(X478/20,0)&gt;ROUNDUP(X477/20,0),"Lần " &amp; ROUNDUP(X478/20,0),"")</f>
        <v/>
      </c>
      <c r="AJ478" s="9">
        <f>IF(ROUNDUP(Y478/20,0)&gt;ROUNDUP(Y477/20,0),"Lần " &amp; ROUNDUP(Y478/20,0),"")</f>
        <v/>
      </c>
      <c r="AK478" s="9">
        <f>IF(ROUNDUP(Z478/20,0)&gt;ROUNDUP(Z477/20,0),"Lần " &amp; ROUNDUP(Z478/20,0),"")</f>
        <v/>
      </c>
      <c r="AL478" s="4" t="n"/>
      <c r="AN478" s="596" t="inlineStr">
        <is>
          <t>Than</t>
        </is>
      </c>
      <c r="AO478" s="596" t="n">
        <v>54</v>
      </c>
      <c r="AQ478" s="594" t="n"/>
      <c r="AR478" s="595" t="n"/>
    </row>
    <row r="479" ht="19" customHeight="1" s="672">
      <c r="A479" s="4" t="n">
        <v>449</v>
      </c>
      <c r="B479" s="5" t="inlineStr">
        <is>
          <t>Mố M2</t>
        </is>
      </c>
      <c r="C479" s="5" t="inlineStr">
        <is>
          <t>Mố M2 (tr.40)</t>
        </is>
      </c>
      <c r="D479" s="14" t="inlineStr">
        <is>
          <t>A8(T)</t>
        </is>
      </c>
      <c r="E479" s="15" t="n">
        <v>16</v>
      </c>
      <c r="F479" s="4" t="inlineStr">
        <is>
          <t>CB400-V</t>
        </is>
      </c>
      <c r="G479" s="5" t="inlineStr">
        <is>
          <t>S02</t>
        </is>
      </c>
      <c r="H479" s="16" t="n">
        <v>8.002000000000001</v>
      </c>
      <c r="I479" s="17" t="n">
        <v>7</v>
      </c>
      <c r="J479" s="18" t="n">
        <v>1.578</v>
      </c>
      <c r="K479" s="7">
        <f>ROUND(H479*I479*J479, 2)</f>
        <v/>
      </c>
      <c r="L479" s="19">
        <f>ROUND(K479/1000, 3)</f>
        <v/>
      </c>
      <c r="M479" s="728">
        <f>IF(AO479="","",IF(N(INDEX(Theo_Doi_Tan_Suat_Be_Tong!$C:$C,AO479))&lt;=0,"",INDEX(Theo_Doi_Tan_Suat_Be_Tong!$C:$C,AO479)-VLOOKUP(AN479,$AQ$2:$AR$7,2,FALSE)))</f>
        <v/>
      </c>
      <c r="N479" s="4" t="n"/>
      <c r="O479" s="20">
        <f>IF(ROUNDUP(S479/20,0)&gt;ROUNDUP(S478/20,0),"TN Ø16 (Lần " &amp; ROUNDUP(S479/20,0) &amp; ")","")</f>
        <v/>
      </c>
      <c r="P479" s="16">
        <f>ROUND(P478+IF(AND(E479&lt;=10,F479&lt;&gt;"ASTM A416"),L479,0),3)</f>
        <v/>
      </c>
      <c r="Q479" s="16">
        <f>ROUND(Q478+IF(AND(E479=12,F479&lt;&gt;"ASTM A416"),L479,0),3)</f>
        <v/>
      </c>
      <c r="R479" s="16">
        <f>ROUND(R478+IF(AND(E479=14,F479&lt;&gt;"ASTM A416"),L479,0),3)</f>
        <v/>
      </c>
      <c r="S479" s="16">
        <f>ROUND(S478+IF(AND(E479=16,F479&lt;&gt;"ASTM A416"),L479,0),3)</f>
        <v/>
      </c>
      <c r="T479" s="16">
        <f>ROUND(T478+IF(AND(E479=18,F479&lt;&gt;"ASTM A416"),L479,0),3)</f>
        <v/>
      </c>
      <c r="U479" s="16">
        <f>ROUND(U478+IF(AND(E479=20,F479&lt;&gt;"ASTM A416"),L479,0),3)</f>
        <v/>
      </c>
      <c r="V479" s="16">
        <f>ROUND(V478+IF(AND(E479=22,F479&lt;&gt;"ASTM A416"),L479,0),3)</f>
        <v/>
      </c>
      <c r="W479" s="16">
        <f>ROUND(W478+IF(AND(E479=25,F479&lt;&gt;"ASTM A416"),L479,0),3)</f>
        <v/>
      </c>
      <c r="X479" s="16">
        <f>ROUND(X478+IF(AND(E479=28,F479&lt;&gt;"ASTM A416"),L479,0),3)</f>
        <v/>
      </c>
      <c r="Y479" s="16">
        <f>ROUND(Y478+IF(AND(E479=32,F479&lt;&gt;"ASTM A416"),L479,0),3)</f>
        <v/>
      </c>
      <c r="Z479" s="16">
        <f>ROUND(Z478+IF(F479="ASTM A416",L479,0),3)</f>
        <v/>
      </c>
      <c r="AA479" s="9">
        <f>IF(ROUNDUP(P479/20,0)&gt;ROUNDUP(P478/20,0),"Lần " &amp; ROUNDUP(P479/20,0),"")</f>
        <v/>
      </c>
      <c r="AB479" s="9">
        <f>IF(ROUNDUP(Q479/20,0)&gt;ROUNDUP(Q478/20,0),"Lần " &amp; ROUNDUP(Q479/20,0),"")</f>
        <v/>
      </c>
      <c r="AC479" s="9">
        <f>IF(ROUNDUP(R479/20,0)&gt;ROUNDUP(R478/20,0),"Lần " &amp; ROUNDUP(R479/20,0),"")</f>
        <v/>
      </c>
      <c r="AD479" s="9">
        <f>IF(ROUNDUP(S479/20,0)&gt;ROUNDUP(S478/20,0),"Lần " &amp; ROUNDUP(S479/20,0),"")</f>
        <v/>
      </c>
      <c r="AE479" s="9">
        <f>IF(ROUNDUP(T479/20,0)&gt;ROUNDUP(T478/20,0),"Lần " &amp; ROUNDUP(T479/20,0),"")</f>
        <v/>
      </c>
      <c r="AF479" s="9">
        <f>IF(ROUNDUP(U479/20,0)&gt;ROUNDUP(U478/20,0),"Lần " &amp; ROUNDUP(U479/20,0),"")</f>
        <v/>
      </c>
      <c r="AG479" s="9">
        <f>IF(ROUNDUP(V479/20,0)&gt;ROUNDUP(V478/20,0),"Lần " &amp; ROUNDUP(V479/20,0),"")</f>
        <v/>
      </c>
      <c r="AH479" s="9">
        <f>IF(ROUNDUP(W479/20,0)&gt;ROUNDUP(W478/20,0),"Lần " &amp; ROUNDUP(W479/20,0),"")</f>
        <v/>
      </c>
      <c r="AI479" s="9">
        <f>IF(ROUNDUP(X479/20,0)&gt;ROUNDUP(X478/20,0),"Lần " &amp; ROUNDUP(X479/20,0),"")</f>
        <v/>
      </c>
      <c r="AJ479" s="9">
        <f>IF(ROUNDUP(Y479/20,0)&gt;ROUNDUP(Y478/20,0),"Lần " &amp; ROUNDUP(Y479/20,0),"")</f>
        <v/>
      </c>
      <c r="AK479" s="9">
        <f>IF(ROUNDUP(Z479/20,0)&gt;ROUNDUP(Z478/20,0),"Lần " &amp; ROUNDUP(Z479/20,0),"")</f>
        <v/>
      </c>
      <c r="AL479" s="4" t="n"/>
      <c r="AN479" s="596" t="inlineStr">
        <is>
          <t>Than</t>
        </is>
      </c>
      <c r="AO479" s="596" t="n">
        <v>54</v>
      </c>
      <c r="AQ479" s="594" t="n"/>
      <c r="AR479" s="595" t="n"/>
    </row>
    <row r="480" ht="19" customHeight="1" s="672">
      <c r="A480" s="4" t="n">
        <v>450</v>
      </c>
      <c r="B480" s="5" t="inlineStr">
        <is>
          <t>Mố M2</t>
        </is>
      </c>
      <c r="C480" s="5" t="inlineStr">
        <is>
          <t>Mố M2 (tr.40)</t>
        </is>
      </c>
      <c r="D480" s="14" t="inlineStr">
        <is>
          <t>P1</t>
        </is>
      </c>
      <c r="E480" s="15" t="n">
        <v>16</v>
      </c>
      <c r="F480" s="4" t="inlineStr">
        <is>
          <t>CB400-V</t>
        </is>
      </c>
      <c r="G480" s="5" t="inlineStr">
        <is>
          <t>S06</t>
        </is>
      </c>
      <c r="H480" s="16" t="n">
        <v>13.487</v>
      </c>
      <c r="I480" s="17" t="n">
        <v>32</v>
      </c>
      <c r="J480" s="18" t="n">
        <v>1.578</v>
      </c>
      <c r="K480" s="7">
        <f>ROUND(H480*I480*J480, 2)</f>
        <v/>
      </c>
      <c r="L480" s="19">
        <f>ROUND(K480/1000, 3)</f>
        <v/>
      </c>
      <c r="M480" s="728">
        <f>IF(AO480="","",IF(N(INDEX(Theo_Doi_Tan_Suat_Be_Tong!$C:$C,AO480))&lt;=0,"",INDEX(Theo_Doi_Tan_Suat_Be_Tong!$C:$C,AO480)-VLOOKUP(AN480,$AQ$2:$AR$7,2,FALSE)))</f>
        <v/>
      </c>
      <c r="N480" s="4" t="n"/>
      <c r="O480" s="20">
        <f>IF(ROUNDUP(S480/20,0)&gt;ROUNDUP(S479/20,0),"TN Ø16 (Lần " &amp; ROUNDUP(S480/20,0) &amp; ")","")</f>
        <v/>
      </c>
      <c r="P480" s="16">
        <f>ROUND(P479+IF(AND(E480&lt;=10,F480&lt;&gt;"ASTM A416"),L480,0),3)</f>
        <v/>
      </c>
      <c r="Q480" s="16">
        <f>ROUND(Q479+IF(AND(E480=12,F480&lt;&gt;"ASTM A416"),L480,0),3)</f>
        <v/>
      </c>
      <c r="R480" s="16">
        <f>ROUND(R479+IF(AND(E480=14,F480&lt;&gt;"ASTM A416"),L480,0),3)</f>
        <v/>
      </c>
      <c r="S480" s="16">
        <f>ROUND(S479+IF(AND(E480=16,F480&lt;&gt;"ASTM A416"),L480,0),3)</f>
        <v/>
      </c>
      <c r="T480" s="16">
        <f>ROUND(T479+IF(AND(E480=18,F480&lt;&gt;"ASTM A416"),L480,0),3)</f>
        <v/>
      </c>
      <c r="U480" s="16">
        <f>ROUND(U479+IF(AND(E480=20,F480&lt;&gt;"ASTM A416"),L480,0),3)</f>
        <v/>
      </c>
      <c r="V480" s="16">
        <f>ROUND(V479+IF(AND(E480=22,F480&lt;&gt;"ASTM A416"),L480,0),3)</f>
        <v/>
      </c>
      <c r="W480" s="16">
        <f>ROUND(W479+IF(AND(E480=25,F480&lt;&gt;"ASTM A416"),L480,0),3)</f>
        <v/>
      </c>
      <c r="X480" s="16">
        <f>ROUND(X479+IF(AND(E480=28,F480&lt;&gt;"ASTM A416"),L480,0),3)</f>
        <v/>
      </c>
      <c r="Y480" s="16">
        <f>ROUND(Y479+IF(AND(E480=32,F480&lt;&gt;"ASTM A416"),L480,0),3)</f>
        <v/>
      </c>
      <c r="Z480" s="16">
        <f>ROUND(Z479+IF(F480="ASTM A416",L480,0),3)</f>
        <v/>
      </c>
      <c r="AA480" s="9">
        <f>IF(ROUNDUP(P480/20,0)&gt;ROUNDUP(P479/20,0),"Lần " &amp; ROUNDUP(P480/20,0),"")</f>
        <v/>
      </c>
      <c r="AB480" s="9">
        <f>IF(ROUNDUP(Q480/20,0)&gt;ROUNDUP(Q479/20,0),"Lần " &amp; ROUNDUP(Q480/20,0),"")</f>
        <v/>
      </c>
      <c r="AC480" s="9">
        <f>IF(ROUNDUP(R480/20,0)&gt;ROUNDUP(R479/20,0),"Lần " &amp; ROUNDUP(R480/20,0),"")</f>
        <v/>
      </c>
      <c r="AD480" s="9">
        <f>IF(ROUNDUP(S480/20,0)&gt;ROUNDUP(S479/20,0),"Lần " &amp; ROUNDUP(S480/20,0),"")</f>
        <v/>
      </c>
      <c r="AE480" s="9">
        <f>IF(ROUNDUP(T480/20,0)&gt;ROUNDUP(T479/20,0),"Lần " &amp; ROUNDUP(T480/20,0),"")</f>
        <v/>
      </c>
      <c r="AF480" s="9">
        <f>IF(ROUNDUP(U480/20,0)&gt;ROUNDUP(U479/20,0),"Lần " &amp; ROUNDUP(U480/20,0),"")</f>
        <v/>
      </c>
      <c r="AG480" s="9">
        <f>IF(ROUNDUP(V480/20,0)&gt;ROUNDUP(V479/20,0),"Lần " &amp; ROUNDUP(V480/20,0),"")</f>
        <v/>
      </c>
      <c r="AH480" s="9">
        <f>IF(ROUNDUP(W480/20,0)&gt;ROUNDUP(W479/20,0),"Lần " &amp; ROUNDUP(W480/20,0),"")</f>
        <v/>
      </c>
      <c r="AI480" s="9">
        <f>IF(ROUNDUP(X480/20,0)&gt;ROUNDUP(X479/20,0),"Lần " &amp; ROUNDUP(X480/20,0),"")</f>
        <v/>
      </c>
      <c r="AJ480" s="9">
        <f>IF(ROUNDUP(Y480/20,0)&gt;ROUNDUP(Y479/20,0),"Lần " &amp; ROUNDUP(Y480/20,0),"")</f>
        <v/>
      </c>
      <c r="AK480" s="9">
        <f>IF(ROUNDUP(Z480/20,0)&gt;ROUNDUP(Z479/20,0),"Lần " &amp; ROUNDUP(Z480/20,0),"")</f>
        <v/>
      </c>
      <c r="AL480" s="4" t="n"/>
      <c r="AN480" s="596" t="inlineStr">
        <is>
          <t>Than</t>
        </is>
      </c>
      <c r="AO480" s="596" t="n">
        <v>54</v>
      </c>
      <c r="AQ480" s="594" t="n"/>
      <c r="AR480" s="595" t="n"/>
    </row>
    <row r="481" ht="19" customHeight="1" s="672">
      <c r="A481" s="4" t="n">
        <v>451</v>
      </c>
      <c r="B481" s="5" t="inlineStr">
        <is>
          <t>Mố M2</t>
        </is>
      </c>
      <c r="C481" s="5" t="inlineStr">
        <is>
          <t>Mố M2 (tr.40)</t>
        </is>
      </c>
      <c r="D481" s="14" t="inlineStr">
        <is>
          <t>P1A</t>
        </is>
      </c>
      <c r="E481" s="15" t="n">
        <v>16</v>
      </c>
      <c r="F481" s="4" t="inlineStr">
        <is>
          <t>CB400-V</t>
        </is>
      </c>
      <c r="G481" s="5" t="inlineStr">
        <is>
          <t>S06</t>
        </is>
      </c>
      <c r="H481" s="16" t="n">
        <v>13.489</v>
      </c>
      <c r="I481" s="17" t="n">
        <v>2</v>
      </c>
      <c r="J481" s="18" t="n">
        <v>1.578</v>
      </c>
      <c r="K481" s="7">
        <f>ROUND(H481*I481*J481, 2)</f>
        <v/>
      </c>
      <c r="L481" s="19">
        <f>ROUND(K481/1000, 3)</f>
        <v/>
      </c>
      <c r="M481" s="728">
        <f>IF(AO481="","",IF(N(INDEX(Theo_Doi_Tan_Suat_Be_Tong!$C:$C,AO481))&lt;=0,"",INDEX(Theo_Doi_Tan_Suat_Be_Tong!$C:$C,AO481)-VLOOKUP(AN481,$AQ$2:$AR$7,2,FALSE)))</f>
        <v/>
      </c>
      <c r="N481" s="4" t="n"/>
      <c r="O481" s="20">
        <f>IF(ROUNDUP(S481/20,0)&gt;ROUNDUP(S480/20,0),"TN Ø16 (Lần " &amp; ROUNDUP(S481/20,0) &amp; ")","")</f>
        <v/>
      </c>
      <c r="P481" s="16">
        <f>ROUND(P480+IF(AND(E481&lt;=10,F481&lt;&gt;"ASTM A416"),L481,0),3)</f>
        <v/>
      </c>
      <c r="Q481" s="16">
        <f>ROUND(Q480+IF(AND(E481=12,F481&lt;&gt;"ASTM A416"),L481,0),3)</f>
        <v/>
      </c>
      <c r="R481" s="16">
        <f>ROUND(R480+IF(AND(E481=14,F481&lt;&gt;"ASTM A416"),L481,0),3)</f>
        <v/>
      </c>
      <c r="S481" s="16">
        <f>ROUND(S480+IF(AND(E481=16,F481&lt;&gt;"ASTM A416"),L481,0),3)</f>
        <v/>
      </c>
      <c r="T481" s="16">
        <f>ROUND(T480+IF(AND(E481=18,F481&lt;&gt;"ASTM A416"),L481,0),3)</f>
        <v/>
      </c>
      <c r="U481" s="16">
        <f>ROUND(U480+IF(AND(E481=20,F481&lt;&gt;"ASTM A416"),L481,0),3)</f>
        <v/>
      </c>
      <c r="V481" s="16">
        <f>ROUND(V480+IF(AND(E481=22,F481&lt;&gt;"ASTM A416"),L481,0),3)</f>
        <v/>
      </c>
      <c r="W481" s="16">
        <f>ROUND(W480+IF(AND(E481=25,F481&lt;&gt;"ASTM A416"),L481,0),3)</f>
        <v/>
      </c>
      <c r="X481" s="16">
        <f>ROUND(X480+IF(AND(E481=28,F481&lt;&gt;"ASTM A416"),L481,0),3)</f>
        <v/>
      </c>
      <c r="Y481" s="16">
        <f>ROUND(Y480+IF(AND(E481=32,F481&lt;&gt;"ASTM A416"),L481,0),3)</f>
        <v/>
      </c>
      <c r="Z481" s="16">
        <f>ROUND(Z480+IF(F481="ASTM A416",L481,0),3)</f>
        <v/>
      </c>
      <c r="AA481" s="9">
        <f>IF(ROUNDUP(P481/20,0)&gt;ROUNDUP(P480/20,0),"Lần " &amp; ROUNDUP(P481/20,0),"")</f>
        <v/>
      </c>
      <c r="AB481" s="9">
        <f>IF(ROUNDUP(Q481/20,0)&gt;ROUNDUP(Q480/20,0),"Lần " &amp; ROUNDUP(Q481/20,0),"")</f>
        <v/>
      </c>
      <c r="AC481" s="9">
        <f>IF(ROUNDUP(R481/20,0)&gt;ROUNDUP(R480/20,0),"Lần " &amp; ROUNDUP(R481/20,0),"")</f>
        <v/>
      </c>
      <c r="AD481" s="9">
        <f>IF(ROUNDUP(S481/20,0)&gt;ROUNDUP(S480/20,0),"Lần " &amp; ROUNDUP(S481/20,0),"")</f>
        <v/>
      </c>
      <c r="AE481" s="9">
        <f>IF(ROUNDUP(T481/20,0)&gt;ROUNDUP(T480/20,0),"Lần " &amp; ROUNDUP(T481/20,0),"")</f>
        <v/>
      </c>
      <c r="AF481" s="9">
        <f>IF(ROUNDUP(U481/20,0)&gt;ROUNDUP(U480/20,0),"Lần " &amp; ROUNDUP(U481/20,0),"")</f>
        <v/>
      </c>
      <c r="AG481" s="9">
        <f>IF(ROUNDUP(V481/20,0)&gt;ROUNDUP(V480/20,0),"Lần " &amp; ROUNDUP(V481/20,0),"")</f>
        <v/>
      </c>
      <c r="AH481" s="9">
        <f>IF(ROUNDUP(W481/20,0)&gt;ROUNDUP(W480/20,0),"Lần " &amp; ROUNDUP(W481/20,0),"")</f>
        <v/>
      </c>
      <c r="AI481" s="9">
        <f>IF(ROUNDUP(X481/20,0)&gt;ROUNDUP(X480/20,0),"Lần " &amp; ROUNDUP(X481/20,0),"")</f>
        <v/>
      </c>
      <c r="AJ481" s="9">
        <f>IF(ROUNDUP(Y481/20,0)&gt;ROUNDUP(Y480/20,0),"Lần " &amp; ROUNDUP(Y481/20,0),"")</f>
        <v/>
      </c>
      <c r="AK481" s="9">
        <f>IF(ROUNDUP(Z481/20,0)&gt;ROUNDUP(Z480/20,0),"Lần " &amp; ROUNDUP(Z481/20,0),"")</f>
        <v/>
      </c>
      <c r="AL481" s="4" t="n"/>
      <c r="AN481" s="596" t="inlineStr">
        <is>
          <t>Than</t>
        </is>
      </c>
      <c r="AO481" s="596" t="n">
        <v>54</v>
      </c>
      <c r="AQ481" s="594" t="n"/>
      <c r="AR481" s="595" t="n"/>
    </row>
    <row r="482" ht="19" customHeight="1" s="672">
      <c r="A482" s="4" t="n">
        <v>452</v>
      </c>
      <c r="B482" s="5" t="inlineStr">
        <is>
          <t>Mố M2</t>
        </is>
      </c>
      <c r="C482" s="5" t="inlineStr">
        <is>
          <t>Mố M2 (tr.40)</t>
        </is>
      </c>
      <c r="D482" s="14" t="inlineStr">
        <is>
          <t>P1B</t>
        </is>
      </c>
      <c r="E482" s="15" t="n">
        <v>16</v>
      </c>
      <c r="F482" s="4" t="inlineStr">
        <is>
          <t>CB400-V</t>
        </is>
      </c>
      <c r="G482" s="5" t="inlineStr">
        <is>
          <t>S06</t>
        </is>
      </c>
      <c r="H482" s="16" t="n">
        <v>11.372</v>
      </c>
      <c r="I482" s="17" t="n">
        <v>2</v>
      </c>
      <c r="J482" s="18" t="n">
        <v>1.578</v>
      </c>
      <c r="K482" s="7">
        <f>ROUND(H482*I482*J482, 2)</f>
        <v/>
      </c>
      <c r="L482" s="19">
        <f>ROUND(K482/1000, 3)</f>
        <v/>
      </c>
      <c r="M482" s="728">
        <f>IF(AO482="","",IF(N(INDEX(Theo_Doi_Tan_Suat_Be_Tong!$C:$C,AO482))&lt;=0,"",INDEX(Theo_Doi_Tan_Suat_Be_Tong!$C:$C,AO482)-VLOOKUP(AN482,$AQ$2:$AR$7,2,FALSE)))</f>
        <v/>
      </c>
      <c r="N482" s="4" t="n"/>
      <c r="O482" s="20">
        <f>IF(ROUNDUP(S482/20,0)&gt;ROUNDUP(S481/20,0),"TN Ø16 (Lần " &amp; ROUNDUP(S482/20,0) &amp; ")","")</f>
        <v/>
      </c>
      <c r="P482" s="16">
        <f>ROUND(P481+IF(AND(E482&lt;=10,F482&lt;&gt;"ASTM A416"),L482,0),3)</f>
        <v/>
      </c>
      <c r="Q482" s="16">
        <f>ROUND(Q481+IF(AND(E482=12,F482&lt;&gt;"ASTM A416"),L482,0),3)</f>
        <v/>
      </c>
      <c r="R482" s="16">
        <f>ROUND(R481+IF(AND(E482=14,F482&lt;&gt;"ASTM A416"),L482,0),3)</f>
        <v/>
      </c>
      <c r="S482" s="16">
        <f>ROUND(S481+IF(AND(E482=16,F482&lt;&gt;"ASTM A416"),L482,0),3)</f>
        <v/>
      </c>
      <c r="T482" s="16">
        <f>ROUND(T481+IF(AND(E482=18,F482&lt;&gt;"ASTM A416"),L482,0),3)</f>
        <v/>
      </c>
      <c r="U482" s="16">
        <f>ROUND(U481+IF(AND(E482=20,F482&lt;&gt;"ASTM A416"),L482,0),3)</f>
        <v/>
      </c>
      <c r="V482" s="16">
        <f>ROUND(V481+IF(AND(E482=22,F482&lt;&gt;"ASTM A416"),L482,0),3)</f>
        <v/>
      </c>
      <c r="W482" s="16">
        <f>ROUND(W481+IF(AND(E482=25,F482&lt;&gt;"ASTM A416"),L482,0),3)</f>
        <v/>
      </c>
      <c r="X482" s="16">
        <f>ROUND(X481+IF(AND(E482=28,F482&lt;&gt;"ASTM A416"),L482,0),3)</f>
        <v/>
      </c>
      <c r="Y482" s="16">
        <f>ROUND(Y481+IF(AND(E482=32,F482&lt;&gt;"ASTM A416"),L482,0),3)</f>
        <v/>
      </c>
      <c r="Z482" s="16">
        <f>ROUND(Z481+IF(F482="ASTM A416",L482,0),3)</f>
        <v/>
      </c>
      <c r="AA482" s="9">
        <f>IF(ROUNDUP(P482/20,0)&gt;ROUNDUP(P481/20,0),"Lần " &amp; ROUNDUP(P482/20,0),"")</f>
        <v/>
      </c>
      <c r="AB482" s="9">
        <f>IF(ROUNDUP(Q482/20,0)&gt;ROUNDUP(Q481/20,0),"Lần " &amp; ROUNDUP(Q482/20,0),"")</f>
        <v/>
      </c>
      <c r="AC482" s="9">
        <f>IF(ROUNDUP(R482/20,0)&gt;ROUNDUP(R481/20,0),"Lần " &amp; ROUNDUP(R482/20,0),"")</f>
        <v/>
      </c>
      <c r="AD482" s="9">
        <f>IF(ROUNDUP(S482/20,0)&gt;ROUNDUP(S481/20,0),"Lần " &amp; ROUNDUP(S482/20,0),"")</f>
        <v/>
      </c>
      <c r="AE482" s="9">
        <f>IF(ROUNDUP(T482/20,0)&gt;ROUNDUP(T481/20,0),"Lần " &amp; ROUNDUP(T482/20,0),"")</f>
        <v/>
      </c>
      <c r="AF482" s="9">
        <f>IF(ROUNDUP(U482/20,0)&gt;ROUNDUP(U481/20,0),"Lần " &amp; ROUNDUP(U482/20,0),"")</f>
        <v/>
      </c>
      <c r="AG482" s="9">
        <f>IF(ROUNDUP(V482/20,0)&gt;ROUNDUP(V481/20,0),"Lần " &amp; ROUNDUP(V482/20,0),"")</f>
        <v/>
      </c>
      <c r="AH482" s="9">
        <f>IF(ROUNDUP(W482/20,0)&gt;ROUNDUP(W481/20,0),"Lần " &amp; ROUNDUP(W482/20,0),"")</f>
        <v/>
      </c>
      <c r="AI482" s="9">
        <f>IF(ROUNDUP(X482/20,0)&gt;ROUNDUP(X481/20,0),"Lần " &amp; ROUNDUP(X482/20,0),"")</f>
        <v/>
      </c>
      <c r="AJ482" s="9">
        <f>IF(ROUNDUP(Y482/20,0)&gt;ROUNDUP(Y481/20,0),"Lần " &amp; ROUNDUP(Y482/20,0),"")</f>
        <v/>
      </c>
      <c r="AK482" s="9">
        <f>IF(ROUNDUP(Z482/20,0)&gt;ROUNDUP(Z481/20,0),"Lần " &amp; ROUNDUP(Z482/20,0),"")</f>
        <v/>
      </c>
      <c r="AL482" s="4" t="n"/>
      <c r="AN482" s="596" t="inlineStr">
        <is>
          <t>Than</t>
        </is>
      </c>
      <c r="AO482" s="596" t="n">
        <v>54</v>
      </c>
      <c r="AQ482" s="594" t="n"/>
      <c r="AR482" s="595" t="n"/>
    </row>
    <row r="483" ht="19" customHeight="1" s="672">
      <c r="A483" s="4" t="n">
        <v>453</v>
      </c>
      <c r="B483" s="5" t="inlineStr">
        <is>
          <t>Mố M2</t>
        </is>
      </c>
      <c r="C483" s="5" t="inlineStr">
        <is>
          <t>Mố M2 (tr.40)</t>
        </is>
      </c>
      <c r="D483" s="14" t="inlineStr">
        <is>
          <t>P2</t>
        </is>
      </c>
      <c r="E483" s="15" t="n">
        <v>16</v>
      </c>
      <c r="F483" s="4" t="inlineStr">
        <is>
          <t>CB400-V</t>
        </is>
      </c>
      <c r="G483" s="5" t="inlineStr">
        <is>
          <t>S06</t>
        </is>
      </c>
      <c r="H483" s="16" t="n">
        <v>5.85</v>
      </c>
      <c r="I483" s="17" t="n">
        <v>83</v>
      </c>
      <c r="J483" s="18" t="n">
        <v>1.578</v>
      </c>
      <c r="K483" s="7">
        <f>ROUND(H483*I483*J483, 2)</f>
        <v/>
      </c>
      <c r="L483" s="19">
        <f>ROUND(K483/1000, 3)</f>
        <v/>
      </c>
      <c r="M483" s="728">
        <f>IF(AO483="","",IF(N(INDEX(Theo_Doi_Tan_Suat_Be_Tong!$C:$C,AO483))&lt;=0,"",INDEX(Theo_Doi_Tan_Suat_Be_Tong!$C:$C,AO483)-VLOOKUP(AN483,$AQ$2:$AR$7,2,FALSE)))</f>
        <v/>
      </c>
      <c r="N483" s="4" t="n"/>
      <c r="O483" s="20">
        <f>IF(ROUNDUP(S483/20,0)&gt;ROUNDUP(S482/20,0),"TN Ø16 (Lần " &amp; ROUNDUP(S483/20,0) &amp; ")","")</f>
        <v/>
      </c>
      <c r="P483" s="16">
        <f>ROUND(P482+IF(AND(E483&lt;=10,F483&lt;&gt;"ASTM A416"),L483,0),3)</f>
        <v/>
      </c>
      <c r="Q483" s="16">
        <f>ROUND(Q482+IF(AND(E483=12,F483&lt;&gt;"ASTM A416"),L483,0),3)</f>
        <v/>
      </c>
      <c r="R483" s="16">
        <f>ROUND(R482+IF(AND(E483=14,F483&lt;&gt;"ASTM A416"),L483,0),3)</f>
        <v/>
      </c>
      <c r="S483" s="16">
        <f>ROUND(S482+IF(AND(E483=16,F483&lt;&gt;"ASTM A416"),L483,0),3)</f>
        <v/>
      </c>
      <c r="T483" s="16">
        <f>ROUND(T482+IF(AND(E483=18,F483&lt;&gt;"ASTM A416"),L483,0),3)</f>
        <v/>
      </c>
      <c r="U483" s="16">
        <f>ROUND(U482+IF(AND(E483=20,F483&lt;&gt;"ASTM A416"),L483,0),3)</f>
        <v/>
      </c>
      <c r="V483" s="16">
        <f>ROUND(V482+IF(AND(E483=22,F483&lt;&gt;"ASTM A416"),L483,0),3)</f>
        <v/>
      </c>
      <c r="W483" s="16">
        <f>ROUND(W482+IF(AND(E483=25,F483&lt;&gt;"ASTM A416"),L483,0),3)</f>
        <v/>
      </c>
      <c r="X483" s="16">
        <f>ROUND(X482+IF(AND(E483=28,F483&lt;&gt;"ASTM A416"),L483,0),3)</f>
        <v/>
      </c>
      <c r="Y483" s="16">
        <f>ROUND(Y482+IF(AND(E483=32,F483&lt;&gt;"ASTM A416"),L483,0),3)</f>
        <v/>
      </c>
      <c r="Z483" s="16">
        <f>ROUND(Z482+IF(F483="ASTM A416",L483,0),3)</f>
        <v/>
      </c>
      <c r="AA483" s="9">
        <f>IF(ROUNDUP(P483/20,0)&gt;ROUNDUP(P482/20,0),"Lần " &amp; ROUNDUP(P483/20,0),"")</f>
        <v/>
      </c>
      <c r="AB483" s="9">
        <f>IF(ROUNDUP(Q483/20,0)&gt;ROUNDUP(Q482/20,0),"Lần " &amp; ROUNDUP(Q483/20,0),"")</f>
        <v/>
      </c>
      <c r="AC483" s="9">
        <f>IF(ROUNDUP(R483/20,0)&gt;ROUNDUP(R482/20,0),"Lần " &amp; ROUNDUP(R483/20,0),"")</f>
        <v/>
      </c>
      <c r="AD483" s="9">
        <f>IF(ROUNDUP(S483/20,0)&gt;ROUNDUP(S482/20,0),"Lần " &amp; ROUNDUP(S483/20,0),"")</f>
        <v/>
      </c>
      <c r="AE483" s="9">
        <f>IF(ROUNDUP(T483/20,0)&gt;ROUNDUP(T482/20,0),"Lần " &amp; ROUNDUP(T483/20,0),"")</f>
        <v/>
      </c>
      <c r="AF483" s="9">
        <f>IF(ROUNDUP(U483/20,0)&gt;ROUNDUP(U482/20,0),"Lần " &amp; ROUNDUP(U483/20,0),"")</f>
        <v/>
      </c>
      <c r="AG483" s="9">
        <f>IF(ROUNDUP(V483/20,0)&gt;ROUNDUP(V482/20,0),"Lần " &amp; ROUNDUP(V483/20,0),"")</f>
        <v/>
      </c>
      <c r="AH483" s="9">
        <f>IF(ROUNDUP(W483/20,0)&gt;ROUNDUP(W482/20,0),"Lần " &amp; ROUNDUP(W483/20,0),"")</f>
        <v/>
      </c>
      <c r="AI483" s="9">
        <f>IF(ROUNDUP(X483/20,0)&gt;ROUNDUP(X482/20,0),"Lần " &amp; ROUNDUP(X483/20,0),"")</f>
        <v/>
      </c>
      <c r="AJ483" s="9">
        <f>IF(ROUNDUP(Y483/20,0)&gt;ROUNDUP(Y482/20,0),"Lần " &amp; ROUNDUP(Y483/20,0),"")</f>
        <v/>
      </c>
      <c r="AK483" s="9">
        <f>IF(ROUNDUP(Z483/20,0)&gt;ROUNDUP(Z482/20,0),"Lần " &amp; ROUNDUP(Z483/20,0),"")</f>
        <v/>
      </c>
      <c r="AL483" s="4" t="n"/>
      <c r="AN483" s="596" t="inlineStr">
        <is>
          <t>Than</t>
        </is>
      </c>
      <c r="AO483" s="596" t="n">
        <v>54</v>
      </c>
      <c r="AQ483" s="594" t="n"/>
      <c r="AR483" s="595" t="n"/>
    </row>
    <row r="484" ht="19" customHeight="1" s="672">
      <c r="A484" s="4" t="n">
        <v>454</v>
      </c>
      <c r="B484" s="5" t="inlineStr">
        <is>
          <t>Mố M2</t>
        </is>
      </c>
      <c r="C484" s="5" t="inlineStr">
        <is>
          <t>Mố M2 (tr.40)</t>
        </is>
      </c>
      <c r="D484" s="14" t="inlineStr">
        <is>
          <t>P3</t>
        </is>
      </c>
      <c r="E484" s="15" t="n">
        <v>16</v>
      </c>
      <c r="F484" s="4" t="inlineStr">
        <is>
          <t>CB400-V</t>
        </is>
      </c>
      <c r="G484" s="5" t="inlineStr">
        <is>
          <t>S57</t>
        </is>
      </c>
      <c r="H484" s="16" t="n">
        <v>2.071</v>
      </c>
      <c r="I484" s="17" t="n">
        <v>83</v>
      </c>
      <c r="J484" s="18" t="n">
        <v>1.578</v>
      </c>
      <c r="K484" s="7">
        <f>ROUND(H484*I484*J484, 2)</f>
        <v/>
      </c>
      <c r="L484" s="19">
        <f>ROUND(K484/1000, 3)</f>
        <v/>
      </c>
      <c r="M484" s="728">
        <f>IF(AO484="","",IF(N(INDEX(Theo_Doi_Tan_Suat_Be_Tong!$C:$C,AO484))&lt;=0,"",INDEX(Theo_Doi_Tan_Suat_Be_Tong!$C:$C,AO484)-VLOOKUP(AN484,$AQ$2:$AR$7,2,FALSE)))</f>
        <v/>
      </c>
      <c r="N484" s="4" t="n"/>
      <c r="O484" s="20">
        <f>IF(ROUNDUP(S484/20,0)&gt;ROUNDUP(S483/20,0),"TN Ø16 (Lần " &amp; ROUNDUP(S484/20,0) &amp; ")","")</f>
        <v/>
      </c>
      <c r="P484" s="16">
        <f>ROUND(P483+IF(AND(E484&lt;=10,F484&lt;&gt;"ASTM A416"),L484,0),3)</f>
        <v/>
      </c>
      <c r="Q484" s="16">
        <f>ROUND(Q483+IF(AND(E484=12,F484&lt;&gt;"ASTM A416"),L484,0),3)</f>
        <v/>
      </c>
      <c r="R484" s="16">
        <f>ROUND(R483+IF(AND(E484=14,F484&lt;&gt;"ASTM A416"),L484,0),3)</f>
        <v/>
      </c>
      <c r="S484" s="16">
        <f>ROUND(S483+IF(AND(E484=16,F484&lt;&gt;"ASTM A416"),L484,0),3)</f>
        <v/>
      </c>
      <c r="T484" s="16">
        <f>ROUND(T483+IF(AND(E484=18,F484&lt;&gt;"ASTM A416"),L484,0),3)</f>
        <v/>
      </c>
      <c r="U484" s="16">
        <f>ROUND(U483+IF(AND(E484=20,F484&lt;&gt;"ASTM A416"),L484,0),3)</f>
        <v/>
      </c>
      <c r="V484" s="16">
        <f>ROUND(V483+IF(AND(E484=22,F484&lt;&gt;"ASTM A416"),L484,0),3)</f>
        <v/>
      </c>
      <c r="W484" s="16">
        <f>ROUND(W483+IF(AND(E484=25,F484&lt;&gt;"ASTM A416"),L484,0),3)</f>
        <v/>
      </c>
      <c r="X484" s="16">
        <f>ROUND(X483+IF(AND(E484=28,F484&lt;&gt;"ASTM A416"),L484,0),3)</f>
        <v/>
      </c>
      <c r="Y484" s="16">
        <f>ROUND(Y483+IF(AND(E484=32,F484&lt;&gt;"ASTM A416"),L484,0),3)</f>
        <v/>
      </c>
      <c r="Z484" s="16">
        <f>ROUND(Z483+IF(F484="ASTM A416",L484,0),3)</f>
        <v/>
      </c>
      <c r="AA484" s="9">
        <f>IF(ROUNDUP(P484/20,0)&gt;ROUNDUP(P483/20,0),"Lần " &amp; ROUNDUP(P484/20,0),"")</f>
        <v/>
      </c>
      <c r="AB484" s="9">
        <f>IF(ROUNDUP(Q484/20,0)&gt;ROUNDUP(Q483/20,0),"Lần " &amp; ROUNDUP(Q484/20,0),"")</f>
        <v/>
      </c>
      <c r="AC484" s="9">
        <f>IF(ROUNDUP(R484/20,0)&gt;ROUNDUP(R483/20,0),"Lần " &amp; ROUNDUP(R484/20,0),"")</f>
        <v/>
      </c>
      <c r="AD484" s="9">
        <f>IF(ROUNDUP(S484/20,0)&gt;ROUNDUP(S483/20,0),"Lần " &amp; ROUNDUP(S484/20,0),"")</f>
        <v/>
      </c>
      <c r="AE484" s="9">
        <f>IF(ROUNDUP(T484/20,0)&gt;ROUNDUP(T483/20,0),"Lần " &amp; ROUNDUP(T484/20,0),"")</f>
        <v/>
      </c>
      <c r="AF484" s="9">
        <f>IF(ROUNDUP(U484/20,0)&gt;ROUNDUP(U483/20,0),"Lần " &amp; ROUNDUP(U484/20,0),"")</f>
        <v/>
      </c>
      <c r="AG484" s="9">
        <f>IF(ROUNDUP(V484/20,0)&gt;ROUNDUP(V483/20,0),"Lần " &amp; ROUNDUP(V484/20,0),"")</f>
        <v/>
      </c>
      <c r="AH484" s="9">
        <f>IF(ROUNDUP(W484/20,0)&gt;ROUNDUP(W483/20,0),"Lần " &amp; ROUNDUP(W484/20,0),"")</f>
        <v/>
      </c>
      <c r="AI484" s="9">
        <f>IF(ROUNDUP(X484/20,0)&gt;ROUNDUP(X483/20,0),"Lần " &amp; ROUNDUP(X484/20,0),"")</f>
        <v/>
      </c>
      <c r="AJ484" s="9">
        <f>IF(ROUNDUP(Y484/20,0)&gt;ROUNDUP(Y483/20,0),"Lần " &amp; ROUNDUP(Y484/20,0),"")</f>
        <v/>
      </c>
      <c r="AK484" s="9">
        <f>IF(ROUNDUP(Z484/20,0)&gt;ROUNDUP(Z483/20,0),"Lần " &amp; ROUNDUP(Z484/20,0),"")</f>
        <v/>
      </c>
      <c r="AL484" s="4" t="n"/>
      <c r="AN484" s="596" t="inlineStr">
        <is>
          <t>Than</t>
        </is>
      </c>
      <c r="AO484" s="596" t="n">
        <v>54</v>
      </c>
      <c r="AQ484" s="594" t="n"/>
      <c r="AR484" s="595" t="n"/>
    </row>
    <row r="485" ht="19" customHeight="1" s="672">
      <c r="A485" s="4" t="n">
        <v>455</v>
      </c>
      <c r="B485" s="5" t="inlineStr">
        <is>
          <t>Mố M2</t>
        </is>
      </c>
      <c r="C485" s="5" t="inlineStr">
        <is>
          <t>Mố M2 (tr.40)</t>
        </is>
      </c>
      <c r="D485" s="14" t="inlineStr">
        <is>
          <t>P4</t>
        </is>
      </c>
      <c r="E485" s="15" t="n">
        <v>14</v>
      </c>
      <c r="F485" s="4" t="inlineStr">
        <is>
          <t>CB400-V</t>
        </is>
      </c>
      <c r="G485" s="5" t="inlineStr">
        <is>
          <t>S06</t>
        </is>
      </c>
      <c r="H485" s="16" t="n">
        <v>0.585</v>
      </c>
      <c r="I485" s="17" t="n">
        <v>60</v>
      </c>
      <c r="J485" s="18" t="n">
        <v>1.208</v>
      </c>
      <c r="K485" s="7">
        <f>ROUND(H485*I485*J485, 2)</f>
        <v/>
      </c>
      <c r="L485" s="19">
        <f>ROUND(K485/1000, 3)</f>
        <v/>
      </c>
      <c r="M485" s="728">
        <f>IF(AO485="","",IF(N(INDEX(Theo_Doi_Tan_Suat_Be_Tong!$C:$C,AO485))&lt;=0,"",INDEX(Theo_Doi_Tan_Suat_Be_Tong!$C:$C,AO485)-VLOOKUP(AN485,$AQ$2:$AR$7,2,FALSE)))</f>
        <v/>
      </c>
      <c r="N485" s="4" t="n"/>
      <c r="O485" s="20">
        <f>IF(ROUNDUP(R485/20,0)&gt;ROUNDUP(R484/20,0),"TN Ø14 (Lần " &amp; ROUNDUP(R485/20,0) &amp; ")","")</f>
        <v/>
      </c>
      <c r="P485" s="16">
        <f>ROUND(P484+IF(AND(E485&lt;=10,F485&lt;&gt;"ASTM A416"),L485,0),3)</f>
        <v/>
      </c>
      <c r="Q485" s="16">
        <f>ROUND(Q484+IF(AND(E485=12,F485&lt;&gt;"ASTM A416"),L485,0),3)</f>
        <v/>
      </c>
      <c r="R485" s="16">
        <f>ROUND(R484+IF(AND(E485=14,F485&lt;&gt;"ASTM A416"),L485,0),3)</f>
        <v/>
      </c>
      <c r="S485" s="16">
        <f>ROUND(S484+IF(AND(E485=16,F485&lt;&gt;"ASTM A416"),L485,0),3)</f>
        <v/>
      </c>
      <c r="T485" s="16">
        <f>ROUND(T484+IF(AND(E485=18,F485&lt;&gt;"ASTM A416"),L485,0),3)</f>
        <v/>
      </c>
      <c r="U485" s="16">
        <f>ROUND(U484+IF(AND(E485=20,F485&lt;&gt;"ASTM A416"),L485,0),3)</f>
        <v/>
      </c>
      <c r="V485" s="16">
        <f>ROUND(V484+IF(AND(E485=22,F485&lt;&gt;"ASTM A416"),L485,0),3)</f>
        <v/>
      </c>
      <c r="W485" s="16">
        <f>ROUND(W484+IF(AND(E485=25,F485&lt;&gt;"ASTM A416"),L485,0),3)</f>
        <v/>
      </c>
      <c r="X485" s="16">
        <f>ROUND(X484+IF(AND(E485=28,F485&lt;&gt;"ASTM A416"),L485,0),3)</f>
        <v/>
      </c>
      <c r="Y485" s="16">
        <f>ROUND(Y484+IF(AND(E485=32,F485&lt;&gt;"ASTM A416"),L485,0),3)</f>
        <v/>
      </c>
      <c r="Z485" s="16">
        <f>ROUND(Z484+IF(F485="ASTM A416",L485,0),3)</f>
        <v/>
      </c>
      <c r="AA485" s="9">
        <f>IF(ROUNDUP(P485/20,0)&gt;ROUNDUP(P484/20,0),"Lần " &amp; ROUNDUP(P485/20,0),"")</f>
        <v/>
      </c>
      <c r="AB485" s="9">
        <f>IF(ROUNDUP(Q485/20,0)&gt;ROUNDUP(Q484/20,0),"Lần " &amp; ROUNDUP(Q485/20,0),"")</f>
        <v/>
      </c>
      <c r="AC485" s="9">
        <f>IF(ROUNDUP(R485/20,0)&gt;ROUNDUP(R484/20,0),"Lần " &amp; ROUNDUP(R485/20,0),"")</f>
        <v/>
      </c>
      <c r="AD485" s="9">
        <f>IF(ROUNDUP(S485/20,0)&gt;ROUNDUP(S484/20,0),"Lần " &amp; ROUNDUP(S485/20,0),"")</f>
        <v/>
      </c>
      <c r="AE485" s="9">
        <f>IF(ROUNDUP(T485/20,0)&gt;ROUNDUP(T484/20,0),"Lần " &amp; ROUNDUP(T485/20,0),"")</f>
        <v/>
      </c>
      <c r="AF485" s="9">
        <f>IF(ROUNDUP(U485/20,0)&gt;ROUNDUP(U484/20,0),"Lần " &amp; ROUNDUP(U485/20,0),"")</f>
        <v/>
      </c>
      <c r="AG485" s="9">
        <f>IF(ROUNDUP(V485/20,0)&gt;ROUNDUP(V484/20,0),"Lần " &amp; ROUNDUP(V485/20,0),"")</f>
        <v/>
      </c>
      <c r="AH485" s="9">
        <f>IF(ROUNDUP(W485/20,0)&gt;ROUNDUP(W484/20,0),"Lần " &amp; ROUNDUP(W485/20,0),"")</f>
        <v/>
      </c>
      <c r="AI485" s="9">
        <f>IF(ROUNDUP(X485/20,0)&gt;ROUNDUP(X484/20,0),"Lần " &amp; ROUNDUP(X485/20,0),"")</f>
        <v/>
      </c>
      <c r="AJ485" s="9">
        <f>IF(ROUNDUP(Y485/20,0)&gt;ROUNDUP(Y484/20,0),"Lần " &amp; ROUNDUP(Y485/20,0),"")</f>
        <v/>
      </c>
      <c r="AK485" s="9">
        <f>IF(ROUNDUP(Z485/20,0)&gt;ROUNDUP(Z484/20,0),"Lần " &amp; ROUNDUP(Z485/20,0),"")</f>
        <v/>
      </c>
      <c r="AL485" s="4" t="n"/>
      <c r="AN485" s="596" t="inlineStr">
        <is>
          <t>Than</t>
        </is>
      </c>
      <c r="AO485" s="596" t="n">
        <v>54</v>
      </c>
      <c r="AQ485" s="594" t="n"/>
      <c r="AR485" s="595" t="n"/>
    </row>
    <row r="486" ht="19" customHeight="1" s="672">
      <c r="A486" s="4" t="n">
        <v>456</v>
      </c>
      <c r="B486" s="5" t="inlineStr">
        <is>
          <t>Mố M2</t>
        </is>
      </c>
      <c r="C486" s="5" t="inlineStr">
        <is>
          <t>Mố M2 (tr.40)</t>
        </is>
      </c>
      <c r="D486" s="14" t="inlineStr">
        <is>
          <t>H1</t>
        </is>
      </c>
      <c r="E486" s="15" t="n">
        <v>25</v>
      </c>
      <c r="F486" s="4" t="inlineStr">
        <is>
          <t>CB240-T</t>
        </is>
      </c>
      <c r="G486" s="5" t="inlineStr">
        <is>
          <t>S05</t>
        </is>
      </c>
      <c r="H486" s="16" t="n">
        <v>1.07</v>
      </c>
      <c r="I486" s="17" t="n">
        <v>23</v>
      </c>
      <c r="J486" s="18" t="n">
        <v>3.853</v>
      </c>
      <c r="K486" s="7">
        <f>ROUND(H486*I486*J486, 2)</f>
        <v/>
      </c>
      <c r="L486" s="19">
        <f>ROUND(K486/1000, 3)</f>
        <v/>
      </c>
      <c r="M486" s="728">
        <f>IF(AO486="","",IF(N(INDEX(Theo_Doi_Tan_Suat_Be_Tong!$C:$C,AO486))&lt;=0,"",INDEX(Theo_Doi_Tan_Suat_Be_Tong!$C:$C,AO486)-VLOOKUP(AN486,$AQ$2:$AR$7,2,FALSE)))</f>
        <v/>
      </c>
      <c r="N486" s="4" t="n"/>
      <c r="O486" s="20">
        <f>IF(ROUNDUP(W486/20,0)&gt;ROUNDUP(W485/20,0),"TN Ø25 (Lần " &amp; ROUNDUP(W486/20,0) &amp; ")","")</f>
        <v/>
      </c>
      <c r="P486" s="16">
        <f>ROUND(P485+IF(AND(E486&lt;=10,F486&lt;&gt;"ASTM A416"),L486,0),3)</f>
        <v/>
      </c>
      <c r="Q486" s="16">
        <f>ROUND(Q485+IF(AND(E486=12,F486&lt;&gt;"ASTM A416"),L486,0),3)</f>
        <v/>
      </c>
      <c r="R486" s="16">
        <f>ROUND(R485+IF(AND(E486=14,F486&lt;&gt;"ASTM A416"),L486,0),3)</f>
        <v/>
      </c>
      <c r="S486" s="16">
        <f>ROUND(S485+IF(AND(E486=16,F486&lt;&gt;"ASTM A416"),L486,0),3)</f>
        <v/>
      </c>
      <c r="T486" s="16">
        <f>ROUND(T485+IF(AND(E486=18,F486&lt;&gt;"ASTM A416"),L486,0),3)</f>
        <v/>
      </c>
      <c r="U486" s="16">
        <f>ROUND(U485+IF(AND(E486=20,F486&lt;&gt;"ASTM A416"),L486,0),3)</f>
        <v/>
      </c>
      <c r="V486" s="16">
        <f>ROUND(V485+IF(AND(E486=22,F486&lt;&gt;"ASTM A416"),L486,0),3)</f>
        <v/>
      </c>
      <c r="W486" s="16">
        <f>ROUND(W485+IF(AND(E486=25,F486&lt;&gt;"ASTM A416"),L486,0),3)</f>
        <v/>
      </c>
      <c r="X486" s="16">
        <f>ROUND(X485+IF(AND(E486=28,F486&lt;&gt;"ASTM A416"),L486,0),3)</f>
        <v/>
      </c>
      <c r="Y486" s="16">
        <f>ROUND(Y485+IF(AND(E486=32,F486&lt;&gt;"ASTM A416"),L486,0),3)</f>
        <v/>
      </c>
      <c r="Z486" s="16">
        <f>ROUND(Z485+IF(F486="ASTM A416",L486,0),3)</f>
        <v/>
      </c>
      <c r="AA486" s="9">
        <f>IF(ROUNDUP(P486/20,0)&gt;ROUNDUP(P485/20,0),"Lần " &amp; ROUNDUP(P486/20,0),"")</f>
        <v/>
      </c>
      <c r="AB486" s="9">
        <f>IF(ROUNDUP(Q486/20,0)&gt;ROUNDUP(Q485/20,0),"Lần " &amp; ROUNDUP(Q486/20,0),"")</f>
        <v/>
      </c>
      <c r="AC486" s="9">
        <f>IF(ROUNDUP(R486/20,0)&gt;ROUNDUP(R485/20,0),"Lần " &amp; ROUNDUP(R486/20,0),"")</f>
        <v/>
      </c>
      <c r="AD486" s="9">
        <f>IF(ROUNDUP(S486/20,0)&gt;ROUNDUP(S485/20,0),"Lần " &amp; ROUNDUP(S486/20,0),"")</f>
        <v/>
      </c>
      <c r="AE486" s="9">
        <f>IF(ROUNDUP(T486/20,0)&gt;ROUNDUP(T485/20,0),"Lần " &amp; ROUNDUP(T486/20,0),"")</f>
        <v/>
      </c>
      <c r="AF486" s="9">
        <f>IF(ROUNDUP(U486/20,0)&gt;ROUNDUP(U485/20,0),"Lần " &amp; ROUNDUP(U486/20,0),"")</f>
        <v/>
      </c>
      <c r="AG486" s="9">
        <f>IF(ROUNDUP(V486/20,0)&gt;ROUNDUP(V485/20,0),"Lần " &amp; ROUNDUP(V486/20,0),"")</f>
        <v/>
      </c>
      <c r="AH486" s="9">
        <f>IF(ROUNDUP(W486/20,0)&gt;ROUNDUP(W485/20,0),"Lần " &amp; ROUNDUP(W486/20,0),"")</f>
        <v/>
      </c>
      <c r="AI486" s="9">
        <f>IF(ROUNDUP(X486/20,0)&gt;ROUNDUP(X485/20,0),"Lần " &amp; ROUNDUP(X486/20,0),"")</f>
        <v/>
      </c>
      <c r="AJ486" s="9">
        <f>IF(ROUNDUP(Y486/20,0)&gt;ROUNDUP(Y485/20,0),"Lần " &amp; ROUNDUP(Y486/20,0),"")</f>
        <v/>
      </c>
      <c r="AK486" s="9">
        <f>IF(ROUNDUP(Z486/20,0)&gt;ROUNDUP(Z485/20,0),"Lần " &amp; ROUNDUP(Z486/20,0),"")</f>
        <v/>
      </c>
      <c r="AL486" s="4" t="n"/>
      <c r="AN486" s="596" t="inlineStr">
        <is>
          <t>Than</t>
        </is>
      </c>
      <c r="AO486" s="596" t="n">
        <v>54</v>
      </c>
      <c r="AQ486" s="594" t="n"/>
      <c r="AR486" s="595" t="n"/>
    </row>
    <row r="487" ht="19" customHeight="1" s="672">
      <c r="A487" s="4" t="n">
        <v>457</v>
      </c>
      <c r="B487" s="5" t="inlineStr">
        <is>
          <t>Mố M2</t>
        </is>
      </c>
      <c r="C487" s="5" t="inlineStr">
        <is>
          <t>Mố M2 (tr.40)</t>
        </is>
      </c>
      <c r="D487" s="14" t="inlineStr">
        <is>
          <t>H2</t>
        </is>
      </c>
      <c r="E487" s="15" t="n">
        <v>8</v>
      </c>
      <c r="F487" s="4" t="inlineStr">
        <is>
          <t>CB240-T</t>
        </is>
      </c>
      <c r="G487" s="5" t="inlineStr">
        <is>
          <t>S32</t>
        </is>
      </c>
      <c r="H487" s="16" t="n">
        <v>2.132</v>
      </c>
      <c r="I487" s="17" t="n">
        <v>23</v>
      </c>
      <c r="J487" s="18" t="n">
        <v>0.395</v>
      </c>
      <c r="K487" s="7">
        <f>ROUND(H487*I487*J487, 2)</f>
        <v/>
      </c>
      <c r="L487" s="19">
        <f>ROUND(K487/1000, 3)</f>
        <v/>
      </c>
      <c r="M487" s="728">
        <f>IF(AO487="","",IF(N(INDEX(Theo_Doi_Tan_Suat_Be_Tong!$C:$C,AO487))&lt;=0,"",INDEX(Theo_Doi_Tan_Suat_Be_Tong!$C:$C,AO487)-VLOOKUP(AN487,$AQ$2:$AR$7,2,FALSE)))</f>
        <v/>
      </c>
      <c r="N487" s="4" t="n"/>
      <c r="O487" s="20">
        <f>IF(ROUNDUP(P487/20,0)&gt;ROUNDUP(P486/20,0),"TN Ø10 (Lần " &amp; ROUNDUP(P487/20,0) &amp; ")","")</f>
        <v/>
      </c>
      <c r="P487" s="16">
        <f>ROUND(P486+IF(AND(E487&lt;=10,F487&lt;&gt;"ASTM A416"),L487,0),3)</f>
        <v/>
      </c>
      <c r="Q487" s="16">
        <f>ROUND(Q486+IF(AND(E487=12,F487&lt;&gt;"ASTM A416"),L487,0),3)</f>
        <v/>
      </c>
      <c r="R487" s="16">
        <f>ROUND(R486+IF(AND(E487=14,F487&lt;&gt;"ASTM A416"),L487,0),3)</f>
        <v/>
      </c>
      <c r="S487" s="16">
        <f>ROUND(S486+IF(AND(E487=16,F487&lt;&gt;"ASTM A416"),L487,0),3)</f>
        <v/>
      </c>
      <c r="T487" s="16">
        <f>ROUND(T486+IF(AND(E487=18,F487&lt;&gt;"ASTM A416"),L487,0),3)</f>
        <v/>
      </c>
      <c r="U487" s="16">
        <f>ROUND(U486+IF(AND(E487=20,F487&lt;&gt;"ASTM A416"),L487,0),3)</f>
        <v/>
      </c>
      <c r="V487" s="16">
        <f>ROUND(V486+IF(AND(E487=22,F487&lt;&gt;"ASTM A416"),L487,0),3)</f>
        <v/>
      </c>
      <c r="W487" s="16">
        <f>ROUND(W486+IF(AND(E487=25,F487&lt;&gt;"ASTM A416"),L487,0),3)</f>
        <v/>
      </c>
      <c r="X487" s="16">
        <f>ROUND(X486+IF(AND(E487=28,F487&lt;&gt;"ASTM A416"),L487,0),3)</f>
        <v/>
      </c>
      <c r="Y487" s="16">
        <f>ROUND(Y486+IF(AND(E487=32,F487&lt;&gt;"ASTM A416"),L487,0),3)</f>
        <v/>
      </c>
      <c r="Z487" s="16">
        <f>ROUND(Z486+IF(F487="ASTM A416",L487,0),3)</f>
        <v/>
      </c>
      <c r="AA487" s="9">
        <f>IF(ROUNDUP(P487/20,0)&gt;ROUNDUP(P486/20,0),"Lần " &amp; ROUNDUP(P487/20,0),"")</f>
        <v/>
      </c>
      <c r="AB487" s="9">
        <f>IF(ROUNDUP(Q487/20,0)&gt;ROUNDUP(Q486/20,0),"Lần " &amp; ROUNDUP(Q487/20,0),"")</f>
        <v/>
      </c>
      <c r="AC487" s="9">
        <f>IF(ROUNDUP(R487/20,0)&gt;ROUNDUP(R486/20,0),"Lần " &amp; ROUNDUP(R487/20,0),"")</f>
        <v/>
      </c>
      <c r="AD487" s="9">
        <f>IF(ROUNDUP(S487/20,0)&gt;ROUNDUP(S486/20,0),"Lần " &amp; ROUNDUP(S487/20,0),"")</f>
        <v/>
      </c>
      <c r="AE487" s="9">
        <f>IF(ROUNDUP(T487/20,0)&gt;ROUNDUP(T486/20,0),"Lần " &amp; ROUNDUP(T487/20,0),"")</f>
        <v/>
      </c>
      <c r="AF487" s="9">
        <f>IF(ROUNDUP(U487/20,0)&gt;ROUNDUP(U486/20,0),"Lần " &amp; ROUNDUP(U487/20,0),"")</f>
        <v/>
      </c>
      <c r="AG487" s="9">
        <f>IF(ROUNDUP(V487/20,0)&gt;ROUNDUP(V486/20,0),"Lần " &amp; ROUNDUP(V487/20,0),"")</f>
        <v/>
      </c>
      <c r="AH487" s="9">
        <f>IF(ROUNDUP(W487/20,0)&gt;ROUNDUP(W486/20,0),"Lần " &amp; ROUNDUP(W487/20,0),"")</f>
        <v/>
      </c>
      <c r="AI487" s="9">
        <f>IF(ROUNDUP(X487/20,0)&gt;ROUNDUP(X486/20,0),"Lần " &amp; ROUNDUP(X487/20,0),"")</f>
        <v/>
      </c>
      <c r="AJ487" s="9">
        <f>IF(ROUNDUP(Y487/20,0)&gt;ROUNDUP(Y486/20,0),"Lần " &amp; ROUNDUP(Y487/20,0),"")</f>
        <v/>
      </c>
      <c r="AK487" s="9">
        <f>IF(ROUNDUP(Z487/20,0)&gt;ROUNDUP(Z486/20,0),"Lần " &amp; ROUNDUP(Z487/20,0),"")</f>
        <v/>
      </c>
      <c r="AL487" s="4" t="n"/>
      <c r="AN487" s="596" t="inlineStr">
        <is>
          <t>Than</t>
        </is>
      </c>
      <c r="AO487" s="596" t="n">
        <v>54</v>
      </c>
      <c r="AQ487" s="594" t="n"/>
      <c r="AR487" s="595" t="n"/>
    </row>
    <row r="488" ht="19" customHeight="1" s="672">
      <c r="A488" s="4" t="n">
        <v>458</v>
      </c>
      <c r="B488" s="5" t="inlineStr">
        <is>
          <t>Mố M2</t>
        </is>
      </c>
      <c r="C488" s="5" t="inlineStr">
        <is>
          <t>Mố M2 (tr.40)</t>
        </is>
      </c>
      <c r="D488" s="14" t="inlineStr">
        <is>
          <t>W1A(T)</t>
        </is>
      </c>
      <c r="E488" s="15" t="n">
        <v>16</v>
      </c>
      <c r="F488" s="4" t="inlineStr">
        <is>
          <t>CB400-V</t>
        </is>
      </c>
      <c r="G488" s="5" t="inlineStr">
        <is>
          <t>S06</t>
        </is>
      </c>
      <c r="H488" s="16" t="n">
        <v>10.287</v>
      </c>
      <c r="I488" s="17" t="n">
        <v>20</v>
      </c>
      <c r="J488" s="18" t="n">
        <v>1.578</v>
      </c>
      <c r="K488" s="7">
        <f>ROUND(H488*I488*J488, 2)</f>
        <v/>
      </c>
      <c r="L488" s="19">
        <f>ROUND(K488/1000, 3)</f>
        <v/>
      </c>
      <c r="M488" s="728">
        <f>IF(AO488="","",IF(N(INDEX(Theo_Doi_Tan_Suat_Be_Tong!$C:$C,AO488))&lt;=0,"",INDEX(Theo_Doi_Tan_Suat_Be_Tong!$C:$C,AO488)-VLOOKUP(AN488,$AQ$2:$AR$7,2,FALSE)))</f>
        <v/>
      </c>
      <c r="N488" s="4" t="n"/>
      <c r="O488" s="20">
        <f>IF(ROUNDUP(S488/20,0)&gt;ROUNDUP(S487/20,0),"TN Ø16 (Lần " &amp; ROUNDUP(S488/20,0) &amp; ")","")</f>
        <v/>
      </c>
      <c r="P488" s="16">
        <f>ROUND(P487+IF(AND(E488&lt;=10,F488&lt;&gt;"ASTM A416"),L488,0),3)</f>
        <v/>
      </c>
      <c r="Q488" s="16">
        <f>ROUND(Q487+IF(AND(E488=12,F488&lt;&gt;"ASTM A416"),L488,0),3)</f>
        <v/>
      </c>
      <c r="R488" s="16">
        <f>ROUND(R487+IF(AND(E488=14,F488&lt;&gt;"ASTM A416"),L488,0),3)</f>
        <v/>
      </c>
      <c r="S488" s="16">
        <f>ROUND(S487+IF(AND(E488=16,F488&lt;&gt;"ASTM A416"),L488,0),3)</f>
        <v/>
      </c>
      <c r="T488" s="16">
        <f>ROUND(T487+IF(AND(E488=18,F488&lt;&gt;"ASTM A416"),L488,0),3)</f>
        <v/>
      </c>
      <c r="U488" s="16">
        <f>ROUND(U487+IF(AND(E488=20,F488&lt;&gt;"ASTM A416"),L488,0),3)</f>
        <v/>
      </c>
      <c r="V488" s="16">
        <f>ROUND(V487+IF(AND(E488=22,F488&lt;&gt;"ASTM A416"),L488,0),3)</f>
        <v/>
      </c>
      <c r="W488" s="16">
        <f>ROUND(W487+IF(AND(E488=25,F488&lt;&gt;"ASTM A416"),L488,0),3)</f>
        <v/>
      </c>
      <c r="X488" s="16">
        <f>ROUND(X487+IF(AND(E488=28,F488&lt;&gt;"ASTM A416"),L488,0),3)</f>
        <v/>
      </c>
      <c r="Y488" s="16">
        <f>ROUND(Y487+IF(AND(E488=32,F488&lt;&gt;"ASTM A416"),L488,0),3)</f>
        <v/>
      </c>
      <c r="Z488" s="16">
        <f>ROUND(Z487+IF(F488="ASTM A416",L488,0),3)</f>
        <v/>
      </c>
      <c r="AA488" s="9">
        <f>IF(ROUNDUP(P488/20,0)&gt;ROUNDUP(P487/20,0),"Lần " &amp; ROUNDUP(P488/20,0),"")</f>
        <v/>
      </c>
      <c r="AB488" s="9">
        <f>IF(ROUNDUP(Q488/20,0)&gt;ROUNDUP(Q487/20,0),"Lần " &amp; ROUNDUP(Q488/20,0),"")</f>
        <v/>
      </c>
      <c r="AC488" s="9">
        <f>IF(ROUNDUP(R488/20,0)&gt;ROUNDUP(R487/20,0),"Lần " &amp; ROUNDUP(R488/20,0),"")</f>
        <v/>
      </c>
      <c r="AD488" s="9">
        <f>IF(ROUNDUP(S488/20,0)&gt;ROUNDUP(S487/20,0),"Lần " &amp; ROUNDUP(S488/20,0),"")</f>
        <v/>
      </c>
      <c r="AE488" s="9">
        <f>IF(ROUNDUP(T488/20,0)&gt;ROUNDUP(T487/20,0),"Lần " &amp; ROUNDUP(T488/20,0),"")</f>
        <v/>
      </c>
      <c r="AF488" s="9">
        <f>IF(ROUNDUP(U488/20,0)&gt;ROUNDUP(U487/20,0),"Lần " &amp; ROUNDUP(U488/20,0),"")</f>
        <v/>
      </c>
      <c r="AG488" s="9">
        <f>IF(ROUNDUP(V488/20,0)&gt;ROUNDUP(V487/20,0),"Lần " &amp; ROUNDUP(V488/20,0),"")</f>
        <v/>
      </c>
      <c r="AH488" s="9">
        <f>IF(ROUNDUP(W488/20,0)&gt;ROUNDUP(W487/20,0),"Lần " &amp; ROUNDUP(W488/20,0),"")</f>
        <v/>
      </c>
      <c r="AI488" s="9">
        <f>IF(ROUNDUP(X488/20,0)&gt;ROUNDUP(X487/20,0),"Lần " &amp; ROUNDUP(X488/20,0),"")</f>
        <v/>
      </c>
      <c r="AJ488" s="9">
        <f>IF(ROUNDUP(Y488/20,0)&gt;ROUNDUP(Y487/20,0),"Lần " &amp; ROUNDUP(Y488/20,0),"")</f>
        <v/>
      </c>
      <c r="AK488" s="9">
        <f>IF(ROUNDUP(Z488/20,0)&gt;ROUNDUP(Z487/20,0),"Lần " &amp; ROUNDUP(Z488/20,0),"")</f>
        <v/>
      </c>
      <c r="AL488" s="4" t="n"/>
      <c r="AN488" s="596" t="inlineStr">
        <is>
          <t>Than</t>
        </is>
      </c>
      <c r="AO488" s="596" t="n">
        <v>54</v>
      </c>
      <c r="AQ488" s="594" t="n"/>
      <c r="AR488" s="595" t="n"/>
    </row>
    <row r="489" ht="19" customHeight="1" s="672">
      <c r="A489" s="4" t="n">
        <v>459</v>
      </c>
      <c r="B489" s="5" t="inlineStr">
        <is>
          <t>Mố M2</t>
        </is>
      </c>
      <c r="C489" s="5" t="inlineStr">
        <is>
          <t>Mố M2 (tr.40)</t>
        </is>
      </c>
      <c r="D489" s="14" t="inlineStr">
        <is>
          <t>W1B(T)</t>
        </is>
      </c>
      <c r="E489" s="15" t="n">
        <v>16</v>
      </c>
      <c r="F489" s="4" t="inlineStr">
        <is>
          <t>CB400-V</t>
        </is>
      </c>
      <c r="G489" s="5" t="inlineStr">
        <is>
          <t>S06</t>
        </is>
      </c>
      <c r="H489" s="16" t="n">
        <v>4.739</v>
      </c>
      <c r="I489" s="17" t="n">
        <v>20</v>
      </c>
      <c r="J489" s="18" t="n">
        <v>1.578</v>
      </c>
      <c r="K489" s="7">
        <f>ROUND(H489*I489*J489, 2)</f>
        <v/>
      </c>
      <c r="L489" s="19">
        <f>ROUND(K489/1000, 3)</f>
        <v/>
      </c>
      <c r="M489" s="728">
        <f>IF(AO489="","",IF(N(INDEX(Theo_Doi_Tan_Suat_Be_Tong!$C:$C,AO489))&lt;=0,"",INDEX(Theo_Doi_Tan_Suat_Be_Tong!$C:$C,AO489)-VLOOKUP(AN489,$AQ$2:$AR$7,2,FALSE)))</f>
        <v/>
      </c>
      <c r="N489" s="4" t="n"/>
      <c r="O489" s="20">
        <f>IF(ROUNDUP(S489/20,0)&gt;ROUNDUP(S488/20,0),"TN Ø16 (Lần " &amp; ROUNDUP(S489/20,0) &amp; ")","")</f>
        <v/>
      </c>
      <c r="P489" s="16">
        <f>ROUND(P488+IF(AND(E489&lt;=10,F489&lt;&gt;"ASTM A416"),L489,0),3)</f>
        <v/>
      </c>
      <c r="Q489" s="16">
        <f>ROUND(Q488+IF(AND(E489=12,F489&lt;&gt;"ASTM A416"),L489,0),3)</f>
        <v/>
      </c>
      <c r="R489" s="16">
        <f>ROUND(R488+IF(AND(E489=14,F489&lt;&gt;"ASTM A416"),L489,0),3)</f>
        <v/>
      </c>
      <c r="S489" s="16">
        <f>ROUND(S488+IF(AND(E489=16,F489&lt;&gt;"ASTM A416"),L489,0),3)</f>
        <v/>
      </c>
      <c r="T489" s="16">
        <f>ROUND(T488+IF(AND(E489=18,F489&lt;&gt;"ASTM A416"),L489,0),3)</f>
        <v/>
      </c>
      <c r="U489" s="16">
        <f>ROUND(U488+IF(AND(E489=20,F489&lt;&gt;"ASTM A416"),L489,0),3)</f>
        <v/>
      </c>
      <c r="V489" s="16">
        <f>ROUND(V488+IF(AND(E489=22,F489&lt;&gt;"ASTM A416"),L489,0),3)</f>
        <v/>
      </c>
      <c r="W489" s="16">
        <f>ROUND(W488+IF(AND(E489=25,F489&lt;&gt;"ASTM A416"),L489,0),3)</f>
        <v/>
      </c>
      <c r="X489" s="16">
        <f>ROUND(X488+IF(AND(E489=28,F489&lt;&gt;"ASTM A416"),L489,0),3)</f>
        <v/>
      </c>
      <c r="Y489" s="16">
        <f>ROUND(Y488+IF(AND(E489=32,F489&lt;&gt;"ASTM A416"),L489,0),3)</f>
        <v/>
      </c>
      <c r="Z489" s="16">
        <f>ROUND(Z488+IF(F489="ASTM A416",L489,0),3)</f>
        <v/>
      </c>
      <c r="AA489" s="9">
        <f>IF(ROUNDUP(P489/20,0)&gt;ROUNDUP(P488/20,0),"Lần " &amp; ROUNDUP(P489/20,0),"")</f>
        <v/>
      </c>
      <c r="AB489" s="9">
        <f>IF(ROUNDUP(Q489/20,0)&gt;ROUNDUP(Q488/20,0),"Lần " &amp; ROUNDUP(Q489/20,0),"")</f>
        <v/>
      </c>
      <c r="AC489" s="9">
        <f>IF(ROUNDUP(R489/20,0)&gt;ROUNDUP(R488/20,0),"Lần " &amp; ROUNDUP(R489/20,0),"")</f>
        <v/>
      </c>
      <c r="AD489" s="9">
        <f>IF(ROUNDUP(S489/20,0)&gt;ROUNDUP(S488/20,0),"Lần " &amp; ROUNDUP(S489/20,0),"")</f>
        <v/>
      </c>
      <c r="AE489" s="9">
        <f>IF(ROUNDUP(T489/20,0)&gt;ROUNDUP(T488/20,0),"Lần " &amp; ROUNDUP(T489/20,0),"")</f>
        <v/>
      </c>
      <c r="AF489" s="9">
        <f>IF(ROUNDUP(U489/20,0)&gt;ROUNDUP(U488/20,0),"Lần " &amp; ROUNDUP(U489/20,0),"")</f>
        <v/>
      </c>
      <c r="AG489" s="9">
        <f>IF(ROUNDUP(V489/20,0)&gt;ROUNDUP(V488/20,0),"Lần " &amp; ROUNDUP(V489/20,0),"")</f>
        <v/>
      </c>
      <c r="AH489" s="9">
        <f>IF(ROUNDUP(W489/20,0)&gt;ROUNDUP(W488/20,0),"Lần " &amp; ROUNDUP(W489/20,0),"")</f>
        <v/>
      </c>
      <c r="AI489" s="9">
        <f>IF(ROUNDUP(X489/20,0)&gt;ROUNDUP(X488/20,0),"Lần " &amp; ROUNDUP(X489/20,0),"")</f>
        <v/>
      </c>
      <c r="AJ489" s="9">
        <f>IF(ROUNDUP(Y489/20,0)&gt;ROUNDUP(Y488/20,0),"Lần " &amp; ROUNDUP(Y489/20,0),"")</f>
        <v/>
      </c>
      <c r="AK489" s="9">
        <f>IF(ROUNDUP(Z489/20,0)&gt;ROUNDUP(Z488/20,0),"Lần " &amp; ROUNDUP(Z489/20,0),"")</f>
        <v/>
      </c>
      <c r="AL489" s="4" t="n"/>
      <c r="AN489" s="596" t="inlineStr">
        <is>
          <t>Than</t>
        </is>
      </c>
      <c r="AO489" s="596" t="n">
        <v>54</v>
      </c>
      <c r="AQ489" s="594" t="n"/>
      <c r="AR489" s="595" t="n"/>
    </row>
    <row r="490" ht="19" customHeight="1" s="672">
      <c r="A490" s="4" t="n">
        <v>460</v>
      </c>
      <c r="B490" s="5" t="inlineStr">
        <is>
          <t>Mố M2</t>
        </is>
      </c>
      <c r="C490" s="5" t="inlineStr">
        <is>
          <t>Mố M2 (tr.40)</t>
        </is>
      </c>
      <c r="D490" s="14" t="inlineStr">
        <is>
          <t>W2A(T)</t>
        </is>
      </c>
      <c r="E490" s="15" t="n">
        <v>22</v>
      </c>
      <c r="F490" s="4" t="inlineStr">
        <is>
          <t>CB400-V</t>
        </is>
      </c>
      <c r="G490" s="5" t="inlineStr">
        <is>
          <t>S06</t>
        </is>
      </c>
      <c r="H490" s="16" t="n">
        <v>10.455</v>
      </c>
      <c r="I490" s="17" t="n">
        <v>15</v>
      </c>
      <c r="J490" s="18" t="n">
        <v>2.984</v>
      </c>
      <c r="K490" s="7">
        <f>ROUND(H490*I490*J490, 2)</f>
        <v/>
      </c>
      <c r="L490" s="19">
        <f>ROUND(K490/1000, 3)</f>
        <v/>
      </c>
      <c r="M490" s="728">
        <f>IF(AO490="","",IF(N(INDEX(Theo_Doi_Tan_Suat_Be_Tong!$C:$C,AO490))&lt;=0,"",INDEX(Theo_Doi_Tan_Suat_Be_Tong!$C:$C,AO490)-VLOOKUP(AN490,$AQ$2:$AR$7,2,FALSE)))</f>
        <v/>
      </c>
      <c r="N490" s="4" t="n"/>
      <c r="O490" s="20">
        <f>IF(ROUNDUP(V490/20,0)&gt;ROUNDUP(V489/20,0),"TN Ø22 (Lần " &amp; ROUNDUP(V490/20,0) &amp; ")","")</f>
        <v/>
      </c>
      <c r="P490" s="16">
        <f>ROUND(P489+IF(AND(E490&lt;=10,F490&lt;&gt;"ASTM A416"),L490,0),3)</f>
        <v/>
      </c>
      <c r="Q490" s="16">
        <f>ROUND(Q489+IF(AND(E490=12,F490&lt;&gt;"ASTM A416"),L490,0),3)</f>
        <v/>
      </c>
      <c r="R490" s="16">
        <f>ROUND(R489+IF(AND(E490=14,F490&lt;&gt;"ASTM A416"),L490,0),3)</f>
        <v/>
      </c>
      <c r="S490" s="16">
        <f>ROUND(S489+IF(AND(E490=16,F490&lt;&gt;"ASTM A416"),L490,0),3)</f>
        <v/>
      </c>
      <c r="T490" s="16">
        <f>ROUND(T489+IF(AND(E490=18,F490&lt;&gt;"ASTM A416"),L490,0),3)</f>
        <v/>
      </c>
      <c r="U490" s="16">
        <f>ROUND(U489+IF(AND(E490=20,F490&lt;&gt;"ASTM A416"),L490,0),3)</f>
        <v/>
      </c>
      <c r="V490" s="16">
        <f>ROUND(V489+IF(AND(E490=22,F490&lt;&gt;"ASTM A416"),L490,0),3)</f>
        <v/>
      </c>
      <c r="W490" s="16">
        <f>ROUND(W489+IF(AND(E490=25,F490&lt;&gt;"ASTM A416"),L490,0),3)</f>
        <v/>
      </c>
      <c r="X490" s="16">
        <f>ROUND(X489+IF(AND(E490=28,F490&lt;&gt;"ASTM A416"),L490,0),3)</f>
        <v/>
      </c>
      <c r="Y490" s="16">
        <f>ROUND(Y489+IF(AND(E490=32,F490&lt;&gt;"ASTM A416"),L490,0),3)</f>
        <v/>
      </c>
      <c r="Z490" s="16">
        <f>ROUND(Z489+IF(F490="ASTM A416",L490,0),3)</f>
        <v/>
      </c>
      <c r="AA490" s="9">
        <f>IF(ROUNDUP(P490/20,0)&gt;ROUNDUP(P489/20,0),"Lần " &amp; ROUNDUP(P490/20,0),"")</f>
        <v/>
      </c>
      <c r="AB490" s="9">
        <f>IF(ROUNDUP(Q490/20,0)&gt;ROUNDUP(Q489/20,0),"Lần " &amp; ROUNDUP(Q490/20,0),"")</f>
        <v/>
      </c>
      <c r="AC490" s="9">
        <f>IF(ROUNDUP(R490/20,0)&gt;ROUNDUP(R489/20,0),"Lần " &amp; ROUNDUP(R490/20,0),"")</f>
        <v/>
      </c>
      <c r="AD490" s="9">
        <f>IF(ROUNDUP(S490/20,0)&gt;ROUNDUP(S489/20,0),"Lần " &amp; ROUNDUP(S490/20,0),"")</f>
        <v/>
      </c>
      <c r="AE490" s="9">
        <f>IF(ROUNDUP(T490/20,0)&gt;ROUNDUP(T489/20,0),"Lần " &amp; ROUNDUP(T490/20,0),"")</f>
        <v/>
      </c>
      <c r="AF490" s="9">
        <f>IF(ROUNDUP(U490/20,0)&gt;ROUNDUP(U489/20,0),"Lần " &amp; ROUNDUP(U490/20,0),"")</f>
        <v/>
      </c>
      <c r="AG490" s="9">
        <f>IF(ROUNDUP(V490/20,0)&gt;ROUNDUP(V489/20,0),"Lần " &amp; ROUNDUP(V490/20,0),"")</f>
        <v/>
      </c>
      <c r="AH490" s="9">
        <f>IF(ROUNDUP(W490/20,0)&gt;ROUNDUP(W489/20,0),"Lần " &amp; ROUNDUP(W490/20,0),"")</f>
        <v/>
      </c>
      <c r="AI490" s="9">
        <f>IF(ROUNDUP(X490/20,0)&gt;ROUNDUP(X489/20,0),"Lần " &amp; ROUNDUP(X490/20,0),"")</f>
        <v/>
      </c>
      <c r="AJ490" s="9">
        <f>IF(ROUNDUP(Y490/20,0)&gt;ROUNDUP(Y489/20,0),"Lần " &amp; ROUNDUP(Y490/20,0),"")</f>
        <v/>
      </c>
      <c r="AK490" s="9">
        <f>IF(ROUNDUP(Z490/20,0)&gt;ROUNDUP(Z489/20,0),"Lần " &amp; ROUNDUP(Z490/20,0),"")</f>
        <v/>
      </c>
      <c r="AL490" s="4" t="n"/>
      <c r="AN490" s="596" t="inlineStr">
        <is>
          <t>Than</t>
        </is>
      </c>
      <c r="AO490" s="596" t="n">
        <v>54</v>
      </c>
      <c r="AQ490" s="594" t="n"/>
      <c r="AR490" s="595" t="n"/>
    </row>
    <row r="491" ht="19" customHeight="1" s="672">
      <c r="A491" s="4" t="n">
        <v>461</v>
      </c>
      <c r="B491" s="5" t="inlineStr">
        <is>
          <t>Mố M2</t>
        </is>
      </c>
      <c r="C491" s="5" t="inlineStr">
        <is>
          <t>Mố M2 (tr.40)</t>
        </is>
      </c>
      <c r="D491" s="14" t="inlineStr">
        <is>
          <t>W2B(T)</t>
        </is>
      </c>
      <c r="E491" s="15" t="n">
        <v>16</v>
      </c>
      <c r="F491" s="4" t="inlineStr">
        <is>
          <t>CB400-V</t>
        </is>
      </c>
      <c r="G491" s="5" t="inlineStr">
        <is>
          <t>S06</t>
        </is>
      </c>
      <c r="H491" s="16" t="n">
        <v>4.739</v>
      </c>
      <c r="I491" s="17" t="n">
        <v>20</v>
      </c>
      <c r="J491" s="18" t="n">
        <v>1.578</v>
      </c>
      <c r="K491" s="7">
        <f>ROUND(H491*I491*J491, 2)</f>
        <v/>
      </c>
      <c r="L491" s="19">
        <f>ROUND(K491/1000, 3)</f>
        <v/>
      </c>
      <c r="M491" s="728">
        <f>IF(AO491="","",IF(N(INDEX(Theo_Doi_Tan_Suat_Be_Tong!$C:$C,AO491))&lt;=0,"",INDEX(Theo_Doi_Tan_Suat_Be_Tong!$C:$C,AO491)-VLOOKUP(AN491,$AQ$2:$AR$7,2,FALSE)))</f>
        <v/>
      </c>
      <c r="N491" s="4" t="n"/>
      <c r="O491" s="20">
        <f>IF(ROUNDUP(S491/20,0)&gt;ROUNDUP(S490/20,0),"TN Ø16 (Lần " &amp; ROUNDUP(S491/20,0) &amp; ")","")</f>
        <v/>
      </c>
      <c r="P491" s="16">
        <f>ROUND(P490+IF(AND(E491&lt;=10,F491&lt;&gt;"ASTM A416"),L491,0),3)</f>
        <v/>
      </c>
      <c r="Q491" s="16">
        <f>ROUND(Q490+IF(AND(E491=12,F491&lt;&gt;"ASTM A416"),L491,0),3)</f>
        <v/>
      </c>
      <c r="R491" s="16">
        <f>ROUND(R490+IF(AND(E491=14,F491&lt;&gt;"ASTM A416"),L491,0),3)</f>
        <v/>
      </c>
      <c r="S491" s="16">
        <f>ROUND(S490+IF(AND(E491=16,F491&lt;&gt;"ASTM A416"),L491,0),3)</f>
        <v/>
      </c>
      <c r="T491" s="16">
        <f>ROUND(T490+IF(AND(E491=18,F491&lt;&gt;"ASTM A416"),L491,0),3)</f>
        <v/>
      </c>
      <c r="U491" s="16">
        <f>ROUND(U490+IF(AND(E491=20,F491&lt;&gt;"ASTM A416"),L491,0),3)</f>
        <v/>
      </c>
      <c r="V491" s="16">
        <f>ROUND(V490+IF(AND(E491=22,F491&lt;&gt;"ASTM A416"),L491,0),3)</f>
        <v/>
      </c>
      <c r="W491" s="16">
        <f>ROUND(W490+IF(AND(E491=25,F491&lt;&gt;"ASTM A416"),L491,0),3)</f>
        <v/>
      </c>
      <c r="X491" s="16">
        <f>ROUND(X490+IF(AND(E491=28,F491&lt;&gt;"ASTM A416"),L491,0),3)</f>
        <v/>
      </c>
      <c r="Y491" s="16">
        <f>ROUND(Y490+IF(AND(E491=32,F491&lt;&gt;"ASTM A416"),L491,0),3)</f>
        <v/>
      </c>
      <c r="Z491" s="16">
        <f>ROUND(Z490+IF(F491="ASTM A416",L491,0),3)</f>
        <v/>
      </c>
      <c r="AA491" s="9">
        <f>IF(ROUNDUP(P491/20,0)&gt;ROUNDUP(P490/20,0),"Lần " &amp; ROUNDUP(P491/20,0),"")</f>
        <v/>
      </c>
      <c r="AB491" s="9">
        <f>IF(ROUNDUP(Q491/20,0)&gt;ROUNDUP(Q490/20,0),"Lần " &amp; ROUNDUP(Q491/20,0),"")</f>
        <v/>
      </c>
      <c r="AC491" s="9">
        <f>IF(ROUNDUP(R491/20,0)&gt;ROUNDUP(R490/20,0),"Lần " &amp; ROUNDUP(R491/20,0),"")</f>
        <v/>
      </c>
      <c r="AD491" s="9">
        <f>IF(ROUNDUP(S491/20,0)&gt;ROUNDUP(S490/20,0),"Lần " &amp; ROUNDUP(S491/20,0),"")</f>
        <v/>
      </c>
      <c r="AE491" s="9">
        <f>IF(ROUNDUP(T491/20,0)&gt;ROUNDUP(T490/20,0),"Lần " &amp; ROUNDUP(T491/20,0),"")</f>
        <v/>
      </c>
      <c r="AF491" s="9">
        <f>IF(ROUNDUP(U491/20,0)&gt;ROUNDUP(U490/20,0),"Lần " &amp; ROUNDUP(U491/20,0),"")</f>
        <v/>
      </c>
      <c r="AG491" s="9">
        <f>IF(ROUNDUP(V491/20,0)&gt;ROUNDUP(V490/20,0),"Lần " &amp; ROUNDUP(V491/20,0),"")</f>
        <v/>
      </c>
      <c r="AH491" s="9">
        <f>IF(ROUNDUP(W491/20,0)&gt;ROUNDUP(W490/20,0),"Lần " &amp; ROUNDUP(W491/20,0),"")</f>
        <v/>
      </c>
      <c r="AI491" s="9">
        <f>IF(ROUNDUP(X491/20,0)&gt;ROUNDUP(X490/20,0),"Lần " &amp; ROUNDUP(X491/20,0),"")</f>
        <v/>
      </c>
      <c r="AJ491" s="9">
        <f>IF(ROUNDUP(Y491/20,0)&gt;ROUNDUP(Y490/20,0),"Lần " &amp; ROUNDUP(Y491/20,0),"")</f>
        <v/>
      </c>
      <c r="AK491" s="9">
        <f>IF(ROUNDUP(Z491/20,0)&gt;ROUNDUP(Z490/20,0),"Lần " &amp; ROUNDUP(Z491/20,0),"")</f>
        <v/>
      </c>
      <c r="AL491" s="4" t="n"/>
      <c r="AN491" s="596" t="inlineStr">
        <is>
          <t>Than</t>
        </is>
      </c>
      <c r="AO491" s="596" t="n">
        <v>54</v>
      </c>
      <c r="AQ491" s="594" t="n"/>
      <c r="AR491" s="595" t="n"/>
    </row>
    <row r="492" ht="19" customHeight="1" s="672">
      <c r="A492" s="4" t="n">
        <v>462</v>
      </c>
      <c r="B492" s="5" t="inlineStr">
        <is>
          <t>Mố M2</t>
        </is>
      </c>
      <c r="C492" s="5" t="inlineStr">
        <is>
          <t>Mố M2 (tr.40)</t>
        </is>
      </c>
      <c r="D492" s="14" t="inlineStr">
        <is>
          <t>W3A(T)</t>
        </is>
      </c>
      <c r="E492" s="15" t="n">
        <v>16</v>
      </c>
      <c r="F492" s="4" t="inlineStr">
        <is>
          <t>CB400-V</t>
        </is>
      </c>
      <c r="G492" s="5" t="inlineStr">
        <is>
          <t>S06</t>
        </is>
      </c>
      <c r="H492" s="16" t="n">
        <v>4.332</v>
      </c>
      <c r="I492" s="17" t="n">
        <v>15</v>
      </c>
      <c r="J492" s="18" t="n">
        <v>1.578</v>
      </c>
      <c r="K492" s="7">
        <f>ROUND(H492*I492*J492, 2)</f>
        <v/>
      </c>
      <c r="L492" s="19">
        <f>ROUND(K492/1000, 3)</f>
        <v/>
      </c>
      <c r="M492" s="728">
        <f>IF(AO492="","",IF(N(INDEX(Theo_Doi_Tan_Suat_Be_Tong!$C:$C,AO492))&lt;=0,"",INDEX(Theo_Doi_Tan_Suat_Be_Tong!$C:$C,AO492)-VLOOKUP(AN492,$AQ$2:$AR$7,2,FALSE)))</f>
        <v/>
      </c>
      <c r="N492" s="4" t="n"/>
      <c r="O492" s="20">
        <f>IF(ROUNDUP(S492/20,0)&gt;ROUNDUP(S491/20,0),"TN Ø16 (Lần " &amp; ROUNDUP(S492/20,0) &amp; ")","")</f>
        <v/>
      </c>
      <c r="P492" s="16">
        <f>ROUND(P491+IF(AND(E492&lt;=10,F492&lt;&gt;"ASTM A416"),L492,0),3)</f>
        <v/>
      </c>
      <c r="Q492" s="16">
        <f>ROUND(Q491+IF(AND(E492=12,F492&lt;&gt;"ASTM A416"),L492,0),3)</f>
        <v/>
      </c>
      <c r="R492" s="16">
        <f>ROUND(R491+IF(AND(E492=14,F492&lt;&gt;"ASTM A416"),L492,0),3)</f>
        <v/>
      </c>
      <c r="S492" s="16">
        <f>ROUND(S491+IF(AND(E492=16,F492&lt;&gt;"ASTM A416"),L492,0),3)</f>
        <v/>
      </c>
      <c r="T492" s="16">
        <f>ROUND(T491+IF(AND(E492=18,F492&lt;&gt;"ASTM A416"),L492,0),3)</f>
        <v/>
      </c>
      <c r="U492" s="16">
        <f>ROUND(U491+IF(AND(E492=20,F492&lt;&gt;"ASTM A416"),L492,0),3)</f>
        <v/>
      </c>
      <c r="V492" s="16">
        <f>ROUND(V491+IF(AND(E492=22,F492&lt;&gt;"ASTM A416"),L492,0),3)</f>
        <v/>
      </c>
      <c r="W492" s="16">
        <f>ROUND(W491+IF(AND(E492=25,F492&lt;&gt;"ASTM A416"),L492,0),3)</f>
        <v/>
      </c>
      <c r="X492" s="16">
        <f>ROUND(X491+IF(AND(E492=28,F492&lt;&gt;"ASTM A416"),L492,0),3)</f>
        <v/>
      </c>
      <c r="Y492" s="16">
        <f>ROUND(Y491+IF(AND(E492=32,F492&lt;&gt;"ASTM A416"),L492,0),3)</f>
        <v/>
      </c>
      <c r="Z492" s="16">
        <f>ROUND(Z491+IF(F492="ASTM A416",L492,0),3)</f>
        <v/>
      </c>
      <c r="AA492" s="9">
        <f>IF(ROUNDUP(P492/20,0)&gt;ROUNDUP(P491/20,0),"Lần " &amp; ROUNDUP(P492/20,0),"")</f>
        <v/>
      </c>
      <c r="AB492" s="9">
        <f>IF(ROUNDUP(Q492/20,0)&gt;ROUNDUP(Q491/20,0),"Lần " &amp; ROUNDUP(Q492/20,0),"")</f>
        <v/>
      </c>
      <c r="AC492" s="9">
        <f>IF(ROUNDUP(R492/20,0)&gt;ROUNDUP(R491/20,0),"Lần " &amp; ROUNDUP(R492/20,0),"")</f>
        <v/>
      </c>
      <c r="AD492" s="9">
        <f>IF(ROUNDUP(S492/20,0)&gt;ROUNDUP(S491/20,0),"Lần " &amp; ROUNDUP(S492/20,0),"")</f>
        <v/>
      </c>
      <c r="AE492" s="9">
        <f>IF(ROUNDUP(T492/20,0)&gt;ROUNDUP(T491/20,0),"Lần " &amp; ROUNDUP(T492/20,0),"")</f>
        <v/>
      </c>
      <c r="AF492" s="9">
        <f>IF(ROUNDUP(U492/20,0)&gt;ROUNDUP(U491/20,0),"Lần " &amp; ROUNDUP(U492/20,0),"")</f>
        <v/>
      </c>
      <c r="AG492" s="9">
        <f>IF(ROUNDUP(V492/20,0)&gt;ROUNDUP(V491/20,0),"Lần " &amp; ROUNDUP(V492/20,0),"")</f>
        <v/>
      </c>
      <c r="AH492" s="9">
        <f>IF(ROUNDUP(W492/20,0)&gt;ROUNDUP(W491/20,0),"Lần " &amp; ROUNDUP(W492/20,0),"")</f>
        <v/>
      </c>
      <c r="AI492" s="9">
        <f>IF(ROUNDUP(X492/20,0)&gt;ROUNDUP(X491/20,0),"Lần " &amp; ROUNDUP(X492/20,0),"")</f>
        <v/>
      </c>
      <c r="AJ492" s="9">
        <f>IF(ROUNDUP(Y492/20,0)&gt;ROUNDUP(Y491/20,0),"Lần " &amp; ROUNDUP(Y492/20,0),"")</f>
        <v/>
      </c>
      <c r="AK492" s="9">
        <f>IF(ROUNDUP(Z492/20,0)&gt;ROUNDUP(Z491/20,0),"Lần " &amp; ROUNDUP(Z492/20,0),"")</f>
        <v/>
      </c>
      <c r="AL492" s="4" t="n"/>
      <c r="AN492" s="596" t="inlineStr">
        <is>
          <t>Than</t>
        </is>
      </c>
      <c r="AO492" s="596" t="n">
        <v>54</v>
      </c>
      <c r="AQ492" s="594" t="n"/>
      <c r="AR492" s="595" t="n"/>
    </row>
    <row r="493" ht="19" customHeight="1" s="672">
      <c r="A493" s="4" t="n">
        <v>463</v>
      </c>
      <c r="B493" s="5" t="inlineStr">
        <is>
          <t>Mố M2</t>
        </is>
      </c>
      <c r="C493" s="5" t="inlineStr">
        <is>
          <t>Mố M2 (tr.40)</t>
        </is>
      </c>
      <c r="D493" s="14" t="inlineStr">
        <is>
          <t>W3B(T)</t>
        </is>
      </c>
      <c r="E493" s="15" t="n">
        <v>16</v>
      </c>
      <c r="F493" s="4" t="inlineStr">
        <is>
          <t>CB400-V</t>
        </is>
      </c>
      <c r="G493" s="5" t="inlineStr">
        <is>
          <t>S06</t>
        </is>
      </c>
      <c r="H493" s="16" t="n">
        <v>5.894</v>
      </c>
      <c r="I493" s="17" t="n">
        <v>20</v>
      </c>
      <c r="J493" s="18" t="n">
        <v>1.578</v>
      </c>
      <c r="K493" s="7">
        <f>ROUND(H493*I493*J493, 2)</f>
        <v/>
      </c>
      <c r="L493" s="19">
        <f>ROUND(K493/1000, 3)</f>
        <v/>
      </c>
      <c r="M493" s="728">
        <f>IF(AO493="","",IF(N(INDEX(Theo_Doi_Tan_Suat_Be_Tong!$C:$C,AO493))&lt;=0,"",INDEX(Theo_Doi_Tan_Suat_Be_Tong!$C:$C,AO493)-VLOOKUP(AN493,$AQ$2:$AR$7,2,FALSE)))</f>
        <v/>
      </c>
      <c r="N493" s="4" t="n"/>
      <c r="O493" s="20">
        <f>IF(ROUNDUP(S493/20,0)&gt;ROUNDUP(S492/20,0),"TN Ø16 (Lần " &amp; ROUNDUP(S493/20,0) &amp; ")","")</f>
        <v/>
      </c>
      <c r="P493" s="16">
        <f>ROUND(P492+IF(AND(E493&lt;=10,F493&lt;&gt;"ASTM A416"),L493,0),3)</f>
        <v/>
      </c>
      <c r="Q493" s="16">
        <f>ROUND(Q492+IF(AND(E493=12,F493&lt;&gt;"ASTM A416"),L493,0),3)</f>
        <v/>
      </c>
      <c r="R493" s="16">
        <f>ROUND(R492+IF(AND(E493=14,F493&lt;&gt;"ASTM A416"),L493,0),3)</f>
        <v/>
      </c>
      <c r="S493" s="16">
        <f>ROUND(S492+IF(AND(E493=16,F493&lt;&gt;"ASTM A416"),L493,0),3)</f>
        <v/>
      </c>
      <c r="T493" s="16">
        <f>ROUND(T492+IF(AND(E493=18,F493&lt;&gt;"ASTM A416"),L493,0),3)</f>
        <v/>
      </c>
      <c r="U493" s="16">
        <f>ROUND(U492+IF(AND(E493=20,F493&lt;&gt;"ASTM A416"),L493,0),3)</f>
        <v/>
      </c>
      <c r="V493" s="16">
        <f>ROUND(V492+IF(AND(E493=22,F493&lt;&gt;"ASTM A416"),L493,0),3)</f>
        <v/>
      </c>
      <c r="W493" s="16">
        <f>ROUND(W492+IF(AND(E493=25,F493&lt;&gt;"ASTM A416"),L493,0),3)</f>
        <v/>
      </c>
      <c r="X493" s="16">
        <f>ROUND(X492+IF(AND(E493=28,F493&lt;&gt;"ASTM A416"),L493,0),3)</f>
        <v/>
      </c>
      <c r="Y493" s="16">
        <f>ROUND(Y492+IF(AND(E493=32,F493&lt;&gt;"ASTM A416"),L493,0),3)</f>
        <v/>
      </c>
      <c r="Z493" s="16">
        <f>ROUND(Z492+IF(F493="ASTM A416",L493,0),3)</f>
        <v/>
      </c>
      <c r="AA493" s="9">
        <f>IF(ROUNDUP(P493/20,0)&gt;ROUNDUP(P492/20,0),"Lần " &amp; ROUNDUP(P493/20,0),"")</f>
        <v/>
      </c>
      <c r="AB493" s="9">
        <f>IF(ROUNDUP(Q493/20,0)&gt;ROUNDUP(Q492/20,0),"Lần " &amp; ROUNDUP(Q493/20,0),"")</f>
        <v/>
      </c>
      <c r="AC493" s="9">
        <f>IF(ROUNDUP(R493/20,0)&gt;ROUNDUP(R492/20,0),"Lần " &amp; ROUNDUP(R493/20,0),"")</f>
        <v/>
      </c>
      <c r="AD493" s="9">
        <f>IF(ROUNDUP(S493/20,0)&gt;ROUNDUP(S492/20,0),"Lần " &amp; ROUNDUP(S493/20,0),"")</f>
        <v/>
      </c>
      <c r="AE493" s="9">
        <f>IF(ROUNDUP(T493/20,0)&gt;ROUNDUP(T492/20,0),"Lần " &amp; ROUNDUP(T493/20,0),"")</f>
        <v/>
      </c>
      <c r="AF493" s="9">
        <f>IF(ROUNDUP(U493/20,0)&gt;ROUNDUP(U492/20,0),"Lần " &amp; ROUNDUP(U493/20,0),"")</f>
        <v/>
      </c>
      <c r="AG493" s="9">
        <f>IF(ROUNDUP(V493/20,0)&gt;ROUNDUP(V492/20,0),"Lần " &amp; ROUNDUP(V493/20,0),"")</f>
        <v/>
      </c>
      <c r="AH493" s="9">
        <f>IF(ROUNDUP(W493/20,0)&gt;ROUNDUP(W492/20,0),"Lần " &amp; ROUNDUP(W493/20,0),"")</f>
        <v/>
      </c>
      <c r="AI493" s="9">
        <f>IF(ROUNDUP(X493/20,0)&gt;ROUNDUP(X492/20,0),"Lần " &amp; ROUNDUP(X493/20,0),"")</f>
        <v/>
      </c>
      <c r="AJ493" s="9">
        <f>IF(ROUNDUP(Y493/20,0)&gt;ROUNDUP(Y492/20,0),"Lần " &amp; ROUNDUP(Y493/20,0),"")</f>
        <v/>
      </c>
      <c r="AK493" s="9">
        <f>IF(ROUNDUP(Z493/20,0)&gt;ROUNDUP(Z492/20,0),"Lần " &amp; ROUNDUP(Z493/20,0),"")</f>
        <v/>
      </c>
      <c r="AL493" s="4" t="n"/>
      <c r="AN493" s="596" t="inlineStr">
        <is>
          <t>Than</t>
        </is>
      </c>
      <c r="AO493" s="596" t="n">
        <v>54</v>
      </c>
      <c r="AQ493" s="594" t="n"/>
      <c r="AR493" s="595" t="n"/>
    </row>
    <row r="494" ht="19" customHeight="1" s="672">
      <c r="A494" s="4" t="n">
        <v>464</v>
      </c>
      <c r="B494" s="5" t="inlineStr">
        <is>
          <t>Mố M2</t>
        </is>
      </c>
      <c r="C494" s="5" t="inlineStr">
        <is>
          <t>Mố M2 (tr.40)</t>
        </is>
      </c>
      <c r="D494" s="14" t="inlineStr">
        <is>
          <t>W3C(T</t>
        </is>
      </c>
      <c r="E494" s="15" t="n">
        <v>16</v>
      </c>
      <c r="F494" s="4" t="inlineStr">
        <is>
          <t>CB400-V</t>
        </is>
      </c>
      <c r="G494" s="5" t="inlineStr"/>
      <c r="H494" s="16" t="n">
        <v>7.307</v>
      </c>
      <c r="I494" s="17" t="n">
        <v>4</v>
      </c>
      <c r="J494" s="18" t="n">
        <v>1.578</v>
      </c>
      <c r="K494" s="7">
        <f>ROUND(H494*I494*J494, 2)</f>
        <v/>
      </c>
      <c r="L494" s="19">
        <f>ROUND(K494/1000, 3)</f>
        <v/>
      </c>
      <c r="M494" s="728">
        <f>IF(AO494="","",IF(N(INDEX(Theo_Doi_Tan_Suat_Be_Tong!$C:$C,AO494))&lt;=0,"",INDEX(Theo_Doi_Tan_Suat_Be_Tong!$C:$C,AO494)-VLOOKUP(AN494,$AQ$2:$AR$7,2,FALSE)))</f>
        <v/>
      </c>
      <c r="N494" s="4" t="n"/>
      <c r="O494" s="20">
        <f>IF(ROUNDUP(S494/20,0)&gt;ROUNDUP(S493/20,0),"TN Ø16 (Lần " &amp; ROUNDUP(S494/20,0) &amp; ")","")</f>
        <v/>
      </c>
      <c r="P494" s="16">
        <f>ROUND(P493+IF(AND(E494&lt;=10,F494&lt;&gt;"ASTM A416"),L494,0),3)</f>
        <v/>
      </c>
      <c r="Q494" s="16">
        <f>ROUND(Q493+IF(AND(E494=12,F494&lt;&gt;"ASTM A416"),L494,0),3)</f>
        <v/>
      </c>
      <c r="R494" s="16">
        <f>ROUND(R493+IF(AND(E494=14,F494&lt;&gt;"ASTM A416"),L494,0),3)</f>
        <v/>
      </c>
      <c r="S494" s="16">
        <f>ROUND(S493+IF(AND(E494=16,F494&lt;&gt;"ASTM A416"),L494,0),3)</f>
        <v/>
      </c>
      <c r="T494" s="16">
        <f>ROUND(T493+IF(AND(E494=18,F494&lt;&gt;"ASTM A416"),L494,0),3)</f>
        <v/>
      </c>
      <c r="U494" s="16">
        <f>ROUND(U493+IF(AND(E494=20,F494&lt;&gt;"ASTM A416"),L494,0),3)</f>
        <v/>
      </c>
      <c r="V494" s="16">
        <f>ROUND(V493+IF(AND(E494=22,F494&lt;&gt;"ASTM A416"),L494,0),3)</f>
        <v/>
      </c>
      <c r="W494" s="16">
        <f>ROUND(W493+IF(AND(E494=25,F494&lt;&gt;"ASTM A416"),L494,0),3)</f>
        <v/>
      </c>
      <c r="X494" s="16">
        <f>ROUND(X493+IF(AND(E494=28,F494&lt;&gt;"ASTM A416"),L494,0),3)</f>
        <v/>
      </c>
      <c r="Y494" s="16">
        <f>ROUND(Y493+IF(AND(E494=32,F494&lt;&gt;"ASTM A416"),L494,0),3)</f>
        <v/>
      </c>
      <c r="Z494" s="16">
        <f>ROUND(Z493+IF(F494="ASTM A416",L494,0),3)</f>
        <v/>
      </c>
      <c r="AA494" s="9">
        <f>IF(ROUNDUP(P494/20,0)&gt;ROUNDUP(P493/20,0),"Lần " &amp; ROUNDUP(P494/20,0),"")</f>
        <v/>
      </c>
      <c r="AB494" s="9">
        <f>IF(ROUNDUP(Q494/20,0)&gt;ROUNDUP(Q493/20,0),"Lần " &amp; ROUNDUP(Q494/20,0),"")</f>
        <v/>
      </c>
      <c r="AC494" s="9">
        <f>IF(ROUNDUP(R494/20,0)&gt;ROUNDUP(R493/20,0),"Lần " &amp; ROUNDUP(R494/20,0),"")</f>
        <v/>
      </c>
      <c r="AD494" s="9">
        <f>IF(ROUNDUP(S494/20,0)&gt;ROUNDUP(S493/20,0),"Lần " &amp; ROUNDUP(S494/20,0),"")</f>
        <v/>
      </c>
      <c r="AE494" s="9">
        <f>IF(ROUNDUP(T494/20,0)&gt;ROUNDUP(T493/20,0),"Lần " &amp; ROUNDUP(T494/20,0),"")</f>
        <v/>
      </c>
      <c r="AF494" s="9">
        <f>IF(ROUNDUP(U494/20,0)&gt;ROUNDUP(U493/20,0),"Lần " &amp; ROUNDUP(U494/20,0),"")</f>
        <v/>
      </c>
      <c r="AG494" s="9">
        <f>IF(ROUNDUP(V494/20,0)&gt;ROUNDUP(V493/20,0),"Lần " &amp; ROUNDUP(V494/20,0),"")</f>
        <v/>
      </c>
      <c r="AH494" s="9">
        <f>IF(ROUNDUP(W494/20,0)&gt;ROUNDUP(W493/20,0),"Lần " &amp; ROUNDUP(W494/20,0),"")</f>
        <v/>
      </c>
      <c r="AI494" s="9">
        <f>IF(ROUNDUP(X494/20,0)&gt;ROUNDUP(X493/20,0),"Lần " &amp; ROUNDUP(X494/20,0),"")</f>
        <v/>
      </c>
      <c r="AJ494" s="9">
        <f>IF(ROUNDUP(Y494/20,0)&gt;ROUNDUP(Y493/20,0),"Lần " &amp; ROUNDUP(Y494/20,0),"")</f>
        <v/>
      </c>
      <c r="AK494" s="9">
        <f>IF(ROUNDUP(Z494/20,0)&gt;ROUNDUP(Z493/20,0),"Lần " &amp; ROUNDUP(Z494/20,0),"")</f>
        <v/>
      </c>
      <c r="AL494" s="4" t="n"/>
      <c r="AN494" s="596" t="inlineStr">
        <is>
          <t>Than</t>
        </is>
      </c>
      <c r="AO494" s="596" t="n">
        <v>54</v>
      </c>
      <c r="AQ494" s="594" t="n"/>
      <c r="AR494" s="595" t="n"/>
    </row>
    <row r="495" ht="19" customHeight="1" s="672">
      <c r="A495" s="4" t="n">
        <v>465</v>
      </c>
      <c r="B495" s="5" t="inlineStr">
        <is>
          <t>Mố M2</t>
        </is>
      </c>
      <c r="C495" s="5" t="inlineStr">
        <is>
          <t>Mố M2 (tr.40)</t>
        </is>
      </c>
      <c r="D495" s="14" t="inlineStr">
        <is>
          <t>W3DXD</t>
        </is>
      </c>
      <c r="E495" s="15" t="n">
        <v>16</v>
      </c>
      <c r="F495" s="4" t="inlineStr">
        <is>
          <t>CB400-V</t>
        </is>
      </c>
      <c r="G495" s="5" t="inlineStr"/>
      <c r="H495" s="16" t="n">
        <v>6.332</v>
      </c>
      <c r="I495" s="17" t="n">
        <v>14</v>
      </c>
      <c r="J495" s="18" t="n">
        <v>1.578</v>
      </c>
      <c r="K495" s="7">
        <f>ROUND(H495*I495*J495, 2)</f>
        <v/>
      </c>
      <c r="L495" s="19">
        <f>ROUND(K495/1000, 3)</f>
        <v/>
      </c>
      <c r="M495" s="728">
        <f>IF(AO495="","",IF(N(INDEX(Theo_Doi_Tan_Suat_Be_Tong!$C:$C,AO495))&lt;=0,"",INDEX(Theo_Doi_Tan_Suat_Be_Tong!$C:$C,AO495)-VLOOKUP(AN495,$AQ$2:$AR$7,2,FALSE)))</f>
        <v/>
      </c>
      <c r="N495" s="4" t="n"/>
      <c r="O495" s="20">
        <f>IF(ROUNDUP(S495/20,0)&gt;ROUNDUP(S494/20,0),"TN Ø16 (Lần " &amp; ROUNDUP(S495/20,0) &amp; ")","")</f>
        <v/>
      </c>
      <c r="P495" s="16">
        <f>ROUND(P494+IF(AND(E495&lt;=10,F495&lt;&gt;"ASTM A416"),L495,0),3)</f>
        <v/>
      </c>
      <c r="Q495" s="16">
        <f>ROUND(Q494+IF(AND(E495=12,F495&lt;&gt;"ASTM A416"),L495,0),3)</f>
        <v/>
      </c>
      <c r="R495" s="16">
        <f>ROUND(R494+IF(AND(E495=14,F495&lt;&gt;"ASTM A416"),L495,0),3)</f>
        <v/>
      </c>
      <c r="S495" s="16">
        <f>ROUND(S494+IF(AND(E495=16,F495&lt;&gt;"ASTM A416"),L495,0),3)</f>
        <v/>
      </c>
      <c r="T495" s="16">
        <f>ROUND(T494+IF(AND(E495=18,F495&lt;&gt;"ASTM A416"),L495,0),3)</f>
        <v/>
      </c>
      <c r="U495" s="16">
        <f>ROUND(U494+IF(AND(E495=20,F495&lt;&gt;"ASTM A416"),L495,0),3)</f>
        <v/>
      </c>
      <c r="V495" s="16">
        <f>ROUND(V494+IF(AND(E495=22,F495&lt;&gt;"ASTM A416"),L495,0),3)</f>
        <v/>
      </c>
      <c r="W495" s="16">
        <f>ROUND(W494+IF(AND(E495=25,F495&lt;&gt;"ASTM A416"),L495,0),3)</f>
        <v/>
      </c>
      <c r="X495" s="16">
        <f>ROUND(X494+IF(AND(E495=28,F495&lt;&gt;"ASTM A416"),L495,0),3)</f>
        <v/>
      </c>
      <c r="Y495" s="16">
        <f>ROUND(Y494+IF(AND(E495=32,F495&lt;&gt;"ASTM A416"),L495,0),3)</f>
        <v/>
      </c>
      <c r="Z495" s="16">
        <f>ROUND(Z494+IF(F495="ASTM A416",L495,0),3)</f>
        <v/>
      </c>
      <c r="AA495" s="9">
        <f>IF(ROUNDUP(P495/20,0)&gt;ROUNDUP(P494/20,0),"Lần " &amp; ROUNDUP(P495/20,0),"")</f>
        <v/>
      </c>
      <c r="AB495" s="9">
        <f>IF(ROUNDUP(Q495/20,0)&gt;ROUNDUP(Q494/20,0),"Lần " &amp; ROUNDUP(Q495/20,0),"")</f>
        <v/>
      </c>
      <c r="AC495" s="9">
        <f>IF(ROUNDUP(R495/20,0)&gt;ROUNDUP(R494/20,0),"Lần " &amp; ROUNDUP(R495/20,0),"")</f>
        <v/>
      </c>
      <c r="AD495" s="9">
        <f>IF(ROUNDUP(S495/20,0)&gt;ROUNDUP(S494/20,0),"Lần " &amp; ROUNDUP(S495/20,0),"")</f>
        <v/>
      </c>
      <c r="AE495" s="9">
        <f>IF(ROUNDUP(T495/20,0)&gt;ROUNDUP(T494/20,0),"Lần " &amp; ROUNDUP(T495/20,0),"")</f>
        <v/>
      </c>
      <c r="AF495" s="9">
        <f>IF(ROUNDUP(U495/20,0)&gt;ROUNDUP(U494/20,0),"Lần " &amp; ROUNDUP(U495/20,0),"")</f>
        <v/>
      </c>
      <c r="AG495" s="9">
        <f>IF(ROUNDUP(V495/20,0)&gt;ROUNDUP(V494/20,0),"Lần " &amp; ROUNDUP(V495/20,0),"")</f>
        <v/>
      </c>
      <c r="AH495" s="9">
        <f>IF(ROUNDUP(W495/20,0)&gt;ROUNDUP(W494/20,0),"Lần " &amp; ROUNDUP(W495/20,0),"")</f>
        <v/>
      </c>
      <c r="AI495" s="9">
        <f>IF(ROUNDUP(X495/20,0)&gt;ROUNDUP(X494/20,0),"Lần " &amp; ROUNDUP(X495/20,0),"")</f>
        <v/>
      </c>
      <c r="AJ495" s="9">
        <f>IF(ROUNDUP(Y495/20,0)&gt;ROUNDUP(Y494/20,0),"Lần " &amp; ROUNDUP(Y495/20,0),"")</f>
        <v/>
      </c>
      <c r="AK495" s="9">
        <f>IF(ROUNDUP(Z495/20,0)&gt;ROUNDUP(Z494/20,0),"Lần " &amp; ROUNDUP(Z495/20,0),"")</f>
        <v/>
      </c>
      <c r="AL495" s="4" t="n"/>
      <c r="AN495" s="596" t="inlineStr">
        <is>
          <t>Than</t>
        </is>
      </c>
      <c r="AO495" s="596" t="n">
        <v>54</v>
      </c>
      <c r="AQ495" s="594" t="n"/>
      <c r="AR495" s="595" t="n"/>
    </row>
    <row r="496" ht="19" customHeight="1" s="672">
      <c r="A496" s="4" t="n">
        <v>466</v>
      </c>
      <c r="B496" s="5" t="inlineStr">
        <is>
          <t>Mố M2</t>
        </is>
      </c>
      <c r="C496" s="5" t="inlineStr">
        <is>
          <t>Mố M2 (tr.40)</t>
        </is>
      </c>
      <c r="D496" s="14" t="inlineStr">
        <is>
          <t>W3F(T</t>
        </is>
      </c>
      <c r="E496" s="15" t="n">
        <v>16</v>
      </c>
      <c r="F496" s="4" t="inlineStr">
        <is>
          <t>CB400-V</t>
        </is>
      </c>
      <c r="G496" s="5" t="inlineStr"/>
      <c r="H496" s="16" t="n">
        <v>6.334</v>
      </c>
      <c r="I496" s="17" t="n">
        <v>1</v>
      </c>
      <c r="J496" s="18" t="n">
        <v>1.578</v>
      </c>
      <c r="K496" s="7">
        <f>ROUND(H496*I496*J496, 2)</f>
        <v/>
      </c>
      <c r="L496" s="19">
        <f>ROUND(K496/1000, 3)</f>
        <v/>
      </c>
      <c r="M496" s="728">
        <f>IF(AO496="","",IF(N(INDEX(Theo_Doi_Tan_Suat_Be_Tong!$C:$C,AO496))&lt;=0,"",INDEX(Theo_Doi_Tan_Suat_Be_Tong!$C:$C,AO496)-VLOOKUP(AN496,$AQ$2:$AR$7,2,FALSE)))</f>
        <v/>
      </c>
      <c r="N496" s="4" t="n"/>
      <c r="O496" s="20">
        <f>IF(ROUNDUP(S496/20,0)&gt;ROUNDUP(S495/20,0),"TN Ø16 (Lần " &amp; ROUNDUP(S496/20,0) &amp; ")","")</f>
        <v/>
      </c>
      <c r="P496" s="16">
        <f>ROUND(P495+IF(AND(E496&lt;=10,F496&lt;&gt;"ASTM A416"),L496,0),3)</f>
        <v/>
      </c>
      <c r="Q496" s="16">
        <f>ROUND(Q495+IF(AND(E496=12,F496&lt;&gt;"ASTM A416"),L496,0),3)</f>
        <v/>
      </c>
      <c r="R496" s="16">
        <f>ROUND(R495+IF(AND(E496=14,F496&lt;&gt;"ASTM A416"),L496,0),3)</f>
        <v/>
      </c>
      <c r="S496" s="16">
        <f>ROUND(S495+IF(AND(E496=16,F496&lt;&gt;"ASTM A416"),L496,0),3)</f>
        <v/>
      </c>
      <c r="T496" s="16">
        <f>ROUND(T495+IF(AND(E496=18,F496&lt;&gt;"ASTM A416"),L496,0),3)</f>
        <v/>
      </c>
      <c r="U496" s="16">
        <f>ROUND(U495+IF(AND(E496=20,F496&lt;&gt;"ASTM A416"),L496,0),3)</f>
        <v/>
      </c>
      <c r="V496" s="16">
        <f>ROUND(V495+IF(AND(E496=22,F496&lt;&gt;"ASTM A416"),L496,0),3)</f>
        <v/>
      </c>
      <c r="W496" s="16">
        <f>ROUND(W495+IF(AND(E496=25,F496&lt;&gt;"ASTM A416"),L496,0),3)</f>
        <v/>
      </c>
      <c r="X496" s="16">
        <f>ROUND(X495+IF(AND(E496=28,F496&lt;&gt;"ASTM A416"),L496,0),3)</f>
        <v/>
      </c>
      <c r="Y496" s="16">
        <f>ROUND(Y495+IF(AND(E496=32,F496&lt;&gt;"ASTM A416"),L496,0),3)</f>
        <v/>
      </c>
      <c r="Z496" s="16">
        <f>ROUND(Z495+IF(F496="ASTM A416",L496,0),3)</f>
        <v/>
      </c>
      <c r="AA496" s="9">
        <f>IF(ROUNDUP(P496/20,0)&gt;ROUNDUP(P495/20,0),"Lần " &amp; ROUNDUP(P496/20,0),"")</f>
        <v/>
      </c>
      <c r="AB496" s="9">
        <f>IF(ROUNDUP(Q496/20,0)&gt;ROUNDUP(Q495/20,0),"Lần " &amp; ROUNDUP(Q496/20,0),"")</f>
        <v/>
      </c>
      <c r="AC496" s="9">
        <f>IF(ROUNDUP(R496/20,0)&gt;ROUNDUP(R495/20,0),"Lần " &amp; ROUNDUP(R496/20,0),"")</f>
        <v/>
      </c>
      <c r="AD496" s="9">
        <f>IF(ROUNDUP(S496/20,0)&gt;ROUNDUP(S495/20,0),"Lần " &amp; ROUNDUP(S496/20,0),"")</f>
        <v/>
      </c>
      <c r="AE496" s="9">
        <f>IF(ROUNDUP(T496/20,0)&gt;ROUNDUP(T495/20,0),"Lần " &amp; ROUNDUP(T496/20,0),"")</f>
        <v/>
      </c>
      <c r="AF496" s="9">
        <f>IF(ROUNDUP(U496/20,0)&gt;ROUNDUP(U495/20,0),"Lần " &amp; ROUNDUP(U496/20,0),"")</f>
        <v/>
      </c>
      <c r="AG496" s="9">
        <f>IF(ROUNDUP(V496/20,0)&gt;ROUNDUP(V495/20,0),"Lần " &amp; ROUNDUP(V496/20,0),"")</f>
        <v/>
      </c>
      <c r="AH496" s="9">
        <f>IF(ROUNDUP(W496/20,0)&gt;ROUNDUP(W495/20,0),"Lần " &amp; ROUNDUP(W496/20,0),"")</f>
        <v/>
      </c>
      <c r="AI496" s="9">
        <f>IF(ROUNDUP(X496/20,0)&gt;ROUNDUP(X495/20,0),"Lần " &amp; ROUNDUP(X496/20,0),"")</f>
        <v/>
      </c>
      <c r="AJ496" s="9">
        <f>IF(ROUNDUP(Y496/20,0)&gt;ROUNDUP(Y495/20,0),"Lần " &amp; ROUNDUP(Y496/20,0),"")</f>
        <v/>
      </c>
      <c r="AK496" s="9">
        <f>IF(ROUNDUP(Z496/20,0)&gt;ROUNDUP(Z495/20,0),"Lần " &amp; ROUNDUP(Z496/20,0),"")</f>
        <v/>
      </c>
      <c r="AL496" s="4" t="n"/>
      <c r="AN496" s="596" t="inlineStr">
        <is>
          <t>Than</t>
        </is>
      </c>
      <c r="AO496" s="596" t="n">
        <v>54</v>
      </c>
      <c r="AQ496" s="594" t="n"/>
      <c r="AR496" s="595" t="n"/>
    </row>
    <row r="497" ht="19" customHeight="1" s="672">
      <c r="A497" s="4" t="n">
        <v>467</v>
      </c>
      <c r="B497" s="5" t="inlineStr">
        <is>
          <t>Mố M2</t>
        </is>
      </c>
      <c r="C497" s="5" t="inlineStr">
        <is>
          <t>Mố M2 (tr.40)</t>
        </is>
      </c>
      <c r="D497" s="14" t="inlineStr">
        <is>
          <t>W4A(T)</t>
        </is>
      </c>
      <c r="E497" s="15" t="n">
        <v>22</v>
      </c>
      <c r="F497" s="4" t="inlineStr">
        <is>
          <t>CB400-V</t>
        </is>
      </c>
      <c r="G497" s="5" t="inlineStr">
        <is>
          <t>S06</t>
        </is>
      </c>
      <c r="H497" s="16" t="n">
        <v>4.494</v>
      </c>
      <c r="I497" s="17" t="n">
        <v>15</v>
      </c>
      <c r="J497" s="18" t="n">
        <v>2.984</v>
      </c>
      <c r="K497" s="7">
        <f>ROUND(H497*I497*J497, 2)</f>
        <v/>
      </c>
      <c r="L497" s="19">
        <f>ROUND(K497/1000, 3)</f>
        <v/>
      </c>
      <c r="M497" s="728">
        <f>IF(AO497="","",IF(N(INDEX(Theo_Doi_Tan_Suat_Be_Tong!$C:$C,AO497))&lt;=0,"",INDEX(Theo_Doi_Tan_Suat_Be_Tong!$C:$C,AO497)-VLOOKUP(AN497,$AQ$2:$AR$7,2,FALSE)))</f>
        <v/>
      </c>
      <c r="N497" s="4" t="n"/>
      <c r="O497" s="20">
        <f>IF(ROUNDUP(V497/20,0)&gt;ROUNDUP(V496/20,0),"TN Ø22 (Lần " &amp; ROUNDUP(V497/20,0) &amp; ")","")</f>
        <v/>
      </c>
      <c r="P497" s="16">
        <f>ROUND(P496+IF(AND(E497&lt;=10,F497&lt;&gt;"ASTM A416"),L497,0),3)</f>
        <v/>
      </c>
      <c r="Q497" s="16">
        <f>ROUND(Q496+IF(AND(E497=12,F497&lt;&gt;"ASTM A416"),L497,0),3)</f>
        <v/>
      </c>
      <c r="R497" s="16">
        <f>ROUND(R496+IF(AND(E497=14,F497&lt;&gt;"ASTM A416"),L497,0),3)</f>
        <v/>
      </c>
      <c r="S497" s="16">
        <f>ROUND(S496+IF(AND(E497=16,F497&lt;&gt;"ASTM A416"),L497,0),3)</f>
        <v/>
      </c>
      <c r="T497" s="16">
        <f>ROUND(T496+IF(AND(E497=18,F497&lt;&gt;"ASTM A416"),L497,0),3)</f>
        <v/>
      </c>
      <c r="U497" s="16">
        <f>ROUND(U496+IF(AND(E497=20,F497&lt;&gt;"ASTM A416"),L497,0),3)</f>
        <v/>
      </c>
      <c r="V497" s="16">
        <f>ROUND(V496+IF(AND(E497=22,F497&lt;&gt;"ASTM A416"),L497,0),3)</f>
        <v/>
      </c>
      <c r="W497" s="16">
        <f>ROUND(W496+IF(AND(E497=25,F497&lt;&gt;"ASTM A416"),L497,0),3)</f>
        <v/>
      </c>
      <c r="X497" s="16">
        <f>ROUND(X496+IF(AND(E497=28,F497&lt;&gt;"ASTM A416"),L497,0),3)</f>
        <v/>
      </c>
      <c r="Y497" s="16">
        <f>ROUND(Y496+IF(AND(E497=32,F497&lt;&gt;"ASTM A416"),L497,0),3)</f>
        <v/>
      </c>
      <c r="Z497" s="16">
        <f>ROUND(Z496+IF(F497="ASTM A416",L497,0),3)</f>
        <v/>
      </c>
      <c r="AA497" s="9">
        <f>IF(ROUNDUP(P497/20,0)&gt;ROUNDUP(P496/20,0),"Lần " &amp; ROUNDUP(P497/20,0),"")</f>
        <v/>
      </c>
      <c r="AB497" s="9">
        <f>IF(ROUNDUP(Q497/20,0)&gt;ROUNDUP(Q496/20,0),"Lần " &amp; ROUNDUP(Q497/20,0),"")</f>
        <v/>
      </c>
      <c r="AC497" s="9">
        <f>IF(ROUNDUP(R497/20,0)&gt;ROUNDUP(R496/20,0),"Lần " &amp; ROUNDUP(R497/20,0),"")</f>
        <v/>
      </c>
      <c r="AD497" s="9">
        <f>IF(ROUNDUP(S497/20,0)&gt;ROUNDUP(S496/20,0),"Lần " &amp; ROUNDUP(S497/20,0),"")</f>
        <v/>
      </c>
      <c r="AE497" s="9">
        <f>IF(ROUNDUP(T497/20,0)&gt;ROUNDUP(T496/20,0),"Lần " &amp; ROUNDUP(T497/20,0),"")</f>
        <v/>
      </c>
      <c r="AF497" s="9">
        <f>IF(ROUNDUP(U497/20,0)&gt;ROUNDUP(U496/20,0),"Lần " &amp; ROUNDUP(U497/20,0),"")</f>
        <v/>
      </c>
      <c r="AG497" s="9">
        <f>IF(ROUNDUP(V497/20,0)&gt;ROUNDUP(V496/20,0),"Lần " &amp; ROUNDUP(V497/20,0),"")</f>
        <v/>
      </c>
      <c r="AH497" s="9">
        <f>IF(ROUNDUP(W497/20,0)&gt;ROUNDUP(W496/20,0),"Lần " &amp; ROUNDUP(W497/20,0),"")</f>
        <v/>
      </c>
      <c r="AI497" s="9">
        <f>IF(ROUNDUP(X497/20,0)&gt;ROUNDUP(X496/20,0),"Lần " &amp; ROUNDUP(X497/20,0),"")</f>
        <v/>
      </c>
      <c r="AJ497" s="9">
        <f>IF(ROUNDUP(Y497/20,0)&gt;ROUNDUP(Y496/20,0),"Lần " &amp; ROUNDUP(Y497/20,0),"")</f>
        <v/>
      </c>
      <c r="AK497" s="9">
        <f>IF(ROUNDUP(Z497/20,0)&gt;ROUNDUP(Z496/20,0),"Lần " &amp; ROUNDUP(Z497/20,0),"")</f>
        <v/>
      </c>
      <c r="AL497" s="4" t="n"/>
      <c r="AN497" s="596" t="inlineStr">
        <is>
          <t>Than</t>
        </is>
      </c>
      <c r="AO497" s="596" t="n">
        <v>54</v>
      </c>
      <c r="AQ497" s="594" t="n"/>
      <c r="AR497" s="595" t="n"/>
    </row>
    <row r="498" ht="19" customHeight="1" s="672">
      <c r="A498" s="4" t="n">
        <v>468</v>
      </c>
      <c r="B498" s="5" t="inlineStr">
        <is>
          <t>Mố M2</t>
        </is>
      </c>
      <c r="C498" s="5" t="inlineStr">
        <is>
          <t>Mố M2 (tr.40)</t>
        </is>
      </c>
      <c r="D498" s="14" t="inlineStr">
        <is>
          <t>W4B(T)</t>
        </is>
      </c>
      <c r="E498" s="15" t="n">
        <v>22</v>
      </c>
      <c r="F498" s="4" t="inlineStr">
        <is>
          <t>CB400-V</t>
        </is>
      </c>
      <c r="G498" s="5" t="inlineStr">
        <is>
          <t>S06</t>
        </is>
      </c>
      <c r="H498" s="16" t="n">
        <v>6.056</v>
      </c>
      <c r="I498" s="17" t="n">
        <v>20</v>
      </c>
      <c r="J498" s="18" t="n">
        <v>2.984</v>
      </c>
      <c r="K498" s="7">
        <f>ROUND(H498*I498*J498, 2)</f>
        <v/>
      </c>
      <c r="L498" s="19">
        <f>ROUND(K498/1000, 3)</f>
        <v/>
      </c>
      <c r="M498" s="728">
        <f>IF(AO498="","",IF(N(INDEX(Theo_Doi_Tan_Suat_Be_Tong!$C:$C,AO498))&lt;=0,"",INDEX(Theo_Doi_Tan_Suat_Be_Tong!$C:$C,AO498)-VLOOKUP(AN498,$AQ$2:$AR$7,2,FALSE)))</f>
        <v/>
      </c>
      <c r="N498" s="4" t="n"/>
      <c r="O498" s="20">
        <f>IF(ROUNDUP(V498/20,0)&gt;ROUNDUP(V497/20,0),"TN Ø22 (Lần " &amp; ROUNDUP(V498/20,0) &amp; ")","")</f>
        <v/>
      </c>
      <c r="P498" s="16">
        <f>ROUND(P497+IF(AND(E498&lt;=10,F498&lt;&gt;"ASTM A416"),L498,0),3)</f>
        <v/>
      </c>
      <c r="Q498" s="16">
        <f>ROUND(Q497+IF(AND(E498=12,F498&lt;&gt;"ASTM A416"),L498,0),3)</f>
        <v/>
      </c>
      <c r="R498" s="16">
        <f>ROUND(R497+IF(AND(E498=14,F498&lt;&gt;"ASTM A416"),L498,0),3)</f>
        <v/>
      </c>
      <c r="S498" s="16">
        <f>ROUND(S497+IF(AND(E498=16,F498&lt;&gt;"ASTM A416"),L498,0),3)</f>
        <v/>
      </c>
      <c r="T498" s="16">
        <f>ROUND(T497+IF(AND(E498=18,F498&lt;&gt;"ASTM A416"),L498,0),3)</f>
        <v/>
      </c>
      <c r="U498" s="16">
        <f>ROUND(U497+IF(AND(E498=20,F498&lt;&gt;"ASTM A416"),L498,0),3)</f>
        <v/>
      </c>
      <c r="V498" s="16">
        <f>ROUND(V497+IF(AND(E498=22,F498&lt;&gt;"ASTM A416"),L498,0),3)</f>
        <v/>
      </c>
      <c r="W498" s="16">
        <f>ROUND(W497+IF(AND(E498=25,F498&lt;&gt;"ASTM A416"),L498,0),3)</f>
        <v/>
      </c>
      <c r="X498" s="16">
        <f>ROUND(X497+IF(AND(E498=28,F498&lt;&gt;"ASTM A416"),L498,0),3)</f>
        <v/>
      </c>
      <c r="Y498" s="16">
        <f>ROUND(Y497+IF(AND(E498=32,F498&lt;&gt;"ASTM A416"),L498,0),3)</f>
        <v/>
      </c>
      <c r="Z498" s="16">
        <f>ROUND(Z497+IF(F498="ASTM A416",L498,0),3)</f>
        <v/>
      </c>
      <c r="AA498" s="9">
        <f>IF(ROUNDUP(P498/20,0)&gt;ROUNDUP(P497/20,0),"Lần " &amp; ROUNDUP(P498/20,0),"")</f>
        <v/>
      </c>
      <c r="AB498" s="9">
        <f>IF(ROUNDUP(Q498/20,0)&gt;ROUNDUP(Q497/20,0),"Lần " &amp; ROUNDUP(Q498/20,0),"")</f>
        <v/>
      </c>
      <c r="AC498" s="9">
        <f>IF(ROUNDUP(R498/20,0)&gt;ROUNDUP(R497/20,0),"Lần " &amp; ROUNDUP(R498/20,0),"")</f>
        <v/>
      </c>
      <c r="AD498" s="9">
        <f>IF(ROUNDUP(S498/20,0)&gt;ROUNDUP(S497/20,0),"Lần " &amp; ROUNDUP(S498/20,0),"")</f>
        <v/>
      </c>
      <c r="AE498" s="9">
        <f>IF(ROUNDUP(T498/20,0)&gt;ROUNDUP(T497/20,0),"Lần " &amp; ROUNDUP(T498/20,0),"")</f>
        <v/>
      </c>
      <c r="AF498" s="9">
        <f>IF(ROUNDUP(U498/20,0)&gt;ROUNDUP(U497/20,0),"Lần " &amp; ROUNDUP(U498/20,0),"")</f>
        <v/>
      </c>
      <c r="AG498" s="9">
        <f>IF(ROUNDUP(V498/20,0)&gt;ROUNDUP(V497/20,0),"Lần " &amp; ROUNDUP(V498/20,0),"")</f>
        <v/>
      </c>
      <c r="AH498" s="9">
        <f>IF(ROUNDUP(W498/20,0)&gt;ROUNDUP(W497/20,0),"Lần " &amp; ROUNDUP(W498/20,0),"")</f>
        <v/>
      </c>
      <c r="AI498" s="9">
        <f>IF(ROUNDUP(X498/20,0)&gt;ROUNDUP(X497/20,0),"Lần " &amp; ROUNDUP(X498/20,0),"")</f>
        <v/>
      </c>
      <c r="AJ498" s="9">
        <f>IF(ROUNDUP(Y498/20,0)&gt;ROUNDUP(Y497/20,0),"Lần " &amp; ROUNDUP(Y498/20,0),"")</f>
        <v/>
      </c>
      <c r="AK498" s="9">
        <f>IF(ROUNDUP(Z498/20,0)&gt;ROUNDUP(Z497/20,0),"Lần " &amp; ROUNDUP(Z498/20,0),"")</f>
        <v/>
      </c>
      <c r="AL498" s="4" t="n"/>
      <c r="AN498" s="596" t="inlineStr">
        <is>
          <t>Than</t>
        </is>
      </c>
      <c r="AO498" s="596" t="n">
        <v>54</v>
      </c>
      <c r="AQ498" s="594" t="n"/>
      <c r="AR498" s="595" t="n"/>
    </row>
    <row r="499" ht="19" customHeight="1" s="672">
      <c r="A499" s="4" t="n">
        <v>469</v>
      </c>
      <c r="B499" s="5" t="inlineStr">
        <is>
          <t>Mố M2</t>
        </is>
      </c>
      <c r="C499" s="5" t="inlineStr">
        <is>
          <t>Mố M2 (tr.40)</t>
        </is>
      </c>
      <c r="D499" s="14" t="inlineStr">
        <is>
          <t>W4C(T</t>
        </is>
      </c>
      <c r="E499" s="15" t="n">
        <v>22</v>
      </c>
      <c r="F499" s="4" t="inlineStr">
        <is>
          <t>CB400-V</t>
        </is>
      </c>
      <c r="G499" s="5" t="inlineStr"/>
      <c r="H499" s="16" t="n">
        <v>7.469</v>
      </c>
      <c r="I499" s="17" t="n">
        <v>4</v>
      </c>
      <c r="J499" s="18" t="n">
        <v>2.984</v>
      </c>
      <c r="K499" s="7">
        <f>ROUND(H499*I499*J499, 2)</f>
        <v/>
      </c>
      <c r="L499" s="19">
        <f>ROUND(K499/1000, 3)</f>
        <v/>
      </c>
      <c r="M499" s="728">
        <f>IF(AO499="","",IF(N(INDEX(Theo_Doi_Tan_Suat_Be_Tong!$C:$C,AO499))&lt;=0,"",INDEX(Theo_Doi_Tan_Suat_Be_Tong!$C:$C,AO499)-VLOOKUP(AN499,$AQ$2:$AR$7,2,FALSE)))</f>
        <v/>
      </c>
      <c r="N499" s="4" t="n"/>
      <c r="O499" s="20">
        <f>IF(ROUNDUP(V499/20,0)&gt;ROUNDUP(V498/20,0),"TN Ø22 (Lần " &amp; ROUNDUP(V499/20,0) &amp; ")","")</f>
        <v/>
      </c>
      <c r="P499" s="16">
        <f>ROUND(P498+IF(AND(E499&lt;=10,F499&lt;&gt;"ASTM A416"),L499,0),3)</f>
        <v/>
      </c>
      <c r="Q499" s="16">
        <f>ROUND(Q498+IF(AND(E499=12,F499&lt;&gt;"ASTM A416"),L499,0),3)</f>
        <v/>
      </c>
      <c r="R499" s="16">
        <f>ROUND(R498+IF(AND(E499=14,F499&lt;&gt;"ASTM A416"),L499,0),3)</f>
        <v/>
      </c>
      <c r="S499" s="16">
        <f>ROUND(S498+IF(AND(E499=16,F499&lt;&gt;"ASTM A416"),L499,0),3)</f>
        <v/>
      </c>
      <c r="T499" s="16">
        <f>ROUND(T498+IF(AND(E499=18,F499&lt;&gt;"ASTM A416"),L499,0),3)</f>
        <v/>
      </c>
      <c r="U499" s="16">
        <f>ROUND(U498+IF(AND(E499=20,F499&lt;&gt;"ASTM A416"),L499,0),3)</f>
        <v/>
      </c>
      <c r="V499" s="16">
        <f>ROUND(V498+IF(AND(E499=22,F499&lt;&gt;"ASTM A416"),L499,0),3)</f>
        <v/>
      </c>
      <c r="W499" s="16">
        <f>ROUND(W498+IF(AND(E499=25,F499&lt;&gt;"ASTM A416"),L499,0),3)</f>
        <v/>
      </c>
      <c r="X499" s="16">
        <f>ROUND(X498+IF(AND(E499=28,F499&lt;&gt;"ASTM A416"),L499,0),3)</f>
        <v/>
      </c>
      <c r="Y499" s="16">
        <f>ROUND(Y498+IF(AND(E499=32,F499&lt;&gt;"ASTM A416"),L499,0),3)</f>
        <v/>
      </c>
      <c r="Z499" s="16">
        <f>ROUND(Z498+IF(F499="ASTM A416",L499,0),3)</f>
        <v/>
      </c>
      <c r="AA499" s="9">
        <f>IF(ROUNDUP(P499/20,0)&gt;ROUNDUP(P498/20,0),"Lần " &amp; ROUNDUP(P499/20,0),"")</f>
        <v/>
      </c>
      <c r="AB499" s="9">
        <f>IF(ROUNDUP(Q499/20,0)&gt;ROUNDUP(Q498/20,0),"Lần " &amp; ROUNDUP(Q499/20,0),"")</f>
        <v/>
      </c>
      <c r="AC499" s="9">
        <f>IF(ROUNDUP(R499/20,0)&gt;ROUNDUP(R498/20,0),"Lần " &amp; ROUNDUP(R499/20,0),"")</f>
        <v/>
      </c>
      <c r="AD499" s="9">
        <f>IF(ROUNDUP(S499/20,0)&gt;ROUNDUP(S498/20,0),"Lần " &amp; ROUNDUP(S499/20,0),"")</f>
        <v/>
      </c>
      <c r="AE499" s="9">
        <f>IF(ROUNDUP(T499/20,0)&gt;ROUNDUP(T498/20,0),"Lần " &amp; ROUNDUP(T499/20,0),"")</f>
        <v/>
      </c>
      <c r="AF499" s="9">
        <f>IF(ROUNDUP(U499/20,0)&gt;ROUNDUP(U498/20,0),"Lần " &amp; ROUNDUP(U499/20,0),"")</f>
        <v/>
      </c>
      <c r="AG499" s="9">
        <f>IF(ROUNDUP(V499/20,0)&gt;ROUNDUP(V498/20,0),"Lần " &amp; ROUNDUP(V499/20,0),"")</f>
        <v/>
      </c>
      <c r="AH499" s="9">
        <f>IF(ROUNDUP(W499/20,0)&gt;ROUNDUP(W498/20,0),"Lần " &amp; ROUNDUP(W499/20,0),"")</f>
        <v/>
      </c>
      <c r="AI499" s="9">
        <f>IF(ROUNDUP(X499/20,0)&gt;ROUNDUP(X498/20,0),"Lần " &amp; ROUNDUP(X499/20,0),"")</f>
        <v/>
      </c>
      <c r="AJ499" s="9">
        <f>IF(ROUNDUP(Y499/20,0)&gt;ROUNDUP(Y498/20,0),"Lần " &amp; ROUNDUP(Y499/20,0),"")</f>
        <v/>
      </c>
      <c r="AK499" s="9">
        <f>IF(ROUNDUP(Z499/20,0)&gt;ROUNDUP(Z498/20,0),"Lần " &amp; ROUNDUP(Z499/20,0),"")</f>
        <v/>
      </c>
      <c r="AL499" s="4" t="n"/>
      <c r="AN499" s="596" t="inlineStr">
        <is>
          <t>Than</t>
        </is>
      </c>
      <c r="AO499" s="596" t="n">
        <v>54</v>
      </c>
      <c r="AQ499" s="594" t="n"/>
      <c r="AR499" s="595" t="n"/>
    </row>
    <row r="500" ht="19" customHeight="1" s="672">
      <c r="A500" s="4" t="n">
        <v>470</v>
      </c>
      <c r="B500" s="5" t="inlineStr">
        <is>
          <t>Mố M2</t>
        </is>
      </c>
      <c r="C500" s="5" t="inlineStr">
        <is>
          <t>Mố M2 (tr.40)</t>
        </is>
      </c>
      <c r="D500" s="14" t="inlineStr">
        <is>
          <t>W4DXT</t>
        </is>
      </c>
      <c r="E500" s="15" t="n">
        <v>22</v>
      </c>
      <c r="F500" s="4" t="inlineStr">
        <is>
          <t>CB400-V</t>
        </is>
      </c>
      <c r="G500" s="5" t="inlineStr"/>
      <c r="H500" s="16" t="n">
        <v>6.494</v>
      </c>
      <c r="I500" s="17" t="n">
        <v>14</v>
      </c>
      <c r="J500" s="18" t="n">
        <v>2.984</v>
      </c>
      <c r="K500" s="7">
        <f>ROUND(H500*I500*J500, 2)</f>
        <v/>
      </c>
      <c r="L500" s="19">
        <f>ROUND(K500/1000, 3)</f>
        <v/>
      </c>
      <c r="M500" s="728">
        <f>IF(AO500="","",IF(N(INDEX(Theo_Doi_Tan_Suat_Be_Tong!$C:$C,AO500))&lt;=0,"",INDEX(Theo_Doi_Tan_Suat_Be_Tong!$C:$C,AO500)-VLOOKUP(AN500,$AQ$2:$AR$7,2,FALSE)))</f>
        <v/>
      </c>
      <c r="N500" s="4" t="n"/>
      <c r="O500" s="20">
        <f>IF(ROUNDUP(V500/20,0)&gt;ROUNDUP(V499/20,0),"TN Ø22 (Lần " &amp; ROUNDUP(V500/20,0) &amp; ")","")</f>
        <v/>
      </c>
      <c r="P500" s="16">
        <f>ROUND(P499+IF(AND(E500&lt;=10,F500&lt;&gt;"ASTM A416"),L500,0),3)</f>
        <v/>
      </c>
      <c r="Q500" s="16">
        <f>ROUND(Q499+IF(AND(E500=12,F500&lt;&gt;"ASTM A416"),L500,0),3)</f>
        <v/>
      </c>
      <c r="R500" s="16">
        <f>ROUND(R499+IF(AND(E500=14,F500&lt;&gt;"ASTM A416"),L500,0),3)</f>
        <v/>
      </c>
      <c r="S500" s="16">
        <f>ROUND(S499+IF(AND(E500=16,F500&lt;&gt;"ASTM A416"),L500,0),3)</f>
        <v/>
      </c>
      <c r="T500" s="16">
        <f>ROUND(T499+IF(AND(E500=18,F500&lt;&gt;"ASTM A416"),L500,0),3)</f>
        <v/>
      </c>
      <c r="U500" s="16">
        <f>ROUND(U499+IF(AND(E500=20,F500&lt;&gt;"ASTM A416"),L500,0),3)</f>
        <v/>
      </c>
      <c r="V500" s="16">
        <f>ROUND(V499+IF(AND(E500=22,F500&lt;&gt;"ASTM A416"),L500,0),3)</f>
        <v/>
      </c>
      <c r="W500" s="16">
        <f>ROUND(W499+IF(AND(E500=25,F500&lt;&gt;"ASTM A416"),L500,0),3)</f>
        <v/>
      </c>
      <c r="X500" s="16">
        <f>ROUND(X499+IF(AND(E500=28,F500&lt;&gt;"ASTM A416"),L500,0),3)</f>
        <v/>
      </c>
      <c r="Y500" s="16">
        <f>ROUND(Y499+IF(AND(E500=32,F500&lt;&gt;"ASTM A416"),L500,0),3)</f>
        <v/>
      </c>
      <c r="Z500" s="16">
        <f>ROUND(Z499+IF(F500="ASTM A416",L500,0),3)</f>
        <v/>
      </c>
      <c r="AA500" s="9">
        <f>IF(ROUNDUP(P500/20,0)&gt;ROUNDUP(P499/20,0),"Lần " &amp; ROUNDUP(P500/20,0),"")</f>
        <v/>
      </c>
      <c r="AB500" s="9">
        <f>IF(ROUNDUP(Q500/20,0)&gt;ROUNDUP(Q499/20,0),"Lần " &amp; ROUNDUP(Q500/20,0),"")</f>
        <v/>
      </c>
      <c r="AC500" s="9">
        <f>IF(ROUNDUP(R500/20,0)&gt;ROUNDUP(R499/20,0),"Lần " &amp; ROUNDUP(R500/20,0),"")</f>
        <v/>
      </c>
      <c r="AD500" s="9">
        <f>IF(ROUNDUP(S500/20,0)&gt;ROUNDUP(S499/20,0),"Lần " &amp; ROUNDUP(S500/20,0),"")</f>
        <v/>
      </c>
      <c r="AE500" s="9">
        <f>IF(ROUNDUP(T500/20,0)&gt;ROUNDUP(T499/20,0),"Lần " &amp; ROUNDUP(T500/20,0),"")</f>
        <v/>
      </c>
      <c r="AF500" s="9">
        <f>IF(ROUNDUP(U500/20,0)&gt;ROUNDUP(U499/20,0),"Lần " &amp; ROUNDUP(U500/20,0),"")</f>
        <v/>
      </c>
      <c r="AG500" s="9">
        <f>IF(ROUNDUP(V500/20,0)&gt;ROUNDUP(V499/20,0),"Lần " &amp; ROUNDUP(V500/20,0),"")</f>
        <v/>
      </c>
      <c r="AH500" s="9">
        <f>IF(ROUNDUP(W500/20,0)&gt;ROUNDUP(W499/20,0),"Lần " &amp; ROUNDUP(W500/20,0),"")</f>
        <v/>
      </c>
      <c r="AI500" s="9">
        <f>IF(ROUNDUP(X500/20,0)&gt;ROUNDUP(X499/20,0),"Lần " &amp; ROUNDUP(X500/20,0),"")</f>
        <v/>
      </c>
      <c r="AJ500" s="9">
        <f>IF(ROUNDUP(Y500/20,0)&gt;ROUNDUP(Y499/20,0),"Lần " &amp; ROUNDUP(Y500/20,0),"")</f>
        <v/>
      </c>
      <c r="AK500" s="9">
        <f>IF(ROUNDUP(Z500/20,0)&gt;ROUNDUP(Z499/20,0),"Lần " &amp; ROUNDUP(Z500/20,0),"")</f>
        <v/>
      </c>
      <c r="AL500" s="4" t="n"/>
      <c r="AN500" s="596" t="inlineStr">
        <is>
          <t>Than</t>
        </is>
      </c>
      <c r="AO500" s="596" t="n">
        <v>54</v>
      </c>
      <c r="AQ500" s="594" t="n"/>
      <c r="AR500" s="595" t="n"/>
    </row>
    <row r="501" ht="19" customHeight="1" s="672">
      <c r="A501" s="4" t="n">
        <v>471</v>
      </c>
      <c r="B501" s="5" t="inlineStr">
        <is>
          <t>Mố M2</t>
        </is>
      </c>
      <c r="C501" s="5" t="inlineStr">
        <is>
          <t>Mố M2 (tr.40)</t>
        </is>
      </c>
      <c r="D501" s="14" t="inlineStr">
        <is>
          <t>W4F(T)</t>
        </is>
      </c>
      <c r="E501" s="15" t="n">
        <v>22</v>
      </c>
      <c r="F501" s="4" t="inlineStr">
        <is>
          <t>CB400-V</t>
        </is>
      </c>
      <c r="G501" s="5" t="inlineStr">
        <is>
          <t>S06</t>
        </is>
      </c>
      <c r="H501" s="16" t="n">
        <v>6.496</v>
      </c>
      <c r="I501" s="17" t="n">
        <v>1</v>
      </c>
      <c r="J501" s="18" t="n">
        <v>2.984</v>
      </c>
      <c r="K501" s="7">
        <f>ROUND(H501*I501*J501, 2)</f>
        <v/>
      </c>
      <c r="L501" s="19">
        <f>ROUND(K501/1000, 3)</f>
        <v/>
      </c>
      <c r="M501" s="728">
        <f>IF(AO501="","",IF(N(INDEX(Theo_Doi_Tan_Suat_Be_Tong!$C:$C,AO501))&lt;=0,"",INDEX(Theo_Doi_Tan_Suat_Be_Tong!$C:$C,AO501)-VLOOKUP(AN501,$AQ$2:$AR$7,2,FALSE)))</f>
        <v/>
      </c>
      <c r="N501" s="4" t="n"/>
      <c r="O501" s="20">
        <f>IF(ROUNDUP(V501/20,0)&gt;ROUNDUP(V500/20,0),"TN Ø22 (Lần " &amp; ROUNDUP(V501/20,0) &amp; ")","")</f>
        <v/>
      </c>
      <c r="P501" s="16">
        <f>ROUND(P500+IF(AND(E501&lt;=10,F501&lt;&gt;"ASTM A416"),L501,0),3)</f>
        <v/>
      </c>
      <c r="Q501" s="16">
        <f>ROUND(Q500+IF(AND(E501=12,F501&lt;&gt;"ASTM A416"),L501,0),3)</f>
        <v/>
      </c>
      <c r="R501" s="16">
        <f>ROUND(R500+IF(AND(E501=14,F501&lt;&gt;"ASTM A416"),L501,0),3)</f>
        <v/>
      </c>
      <c r="S501" s="16">
        <f>ROUND(S500+IF(AND(E501=16,F501&lt;&gt;"ASTM A416"),L501,0),3)</f>
        <v/>
      </c>
      <c r="T501" s="16">
        <f>ROUND(T500+IF(AND(E501=18,F501&lt;&gt;"ASTM A416"),L501,0),3)</f>
        <v/>
      </c>
      <c r="U501" s="16">
        <f>ROUND(U500+IF(AND(E501=20,F501&lt;&gt;"ASTM A416"),L501,0),3)</f>
        <v/>
      </c>
      <c r="V501" s="16">
        <f>ROUND(V500+IF(AND(E501=22,F501&lt;&gt;"ASTM A416"),L501,0),3)</f>
        <v/>
      </c>
      <c r="W501" s="16">
        <f>ROUND(W500+IF(AND(E501=25,F501&lt;&gt;"ASTM A416"),L501,0),3)</f>
        <v/>
      </c>
      <c r="X501" s="16">
        <f>ROUND(X500+IF(AND(E501=28,F501&lt;&gt;"ASTM A416"),L501,0),3)</f>
        <v/>
      </c>
      <c r="Y501" s="16">
        <f>ROUND(Y500+IF(AND(E501=32,F501&lt;&gt;"ASTM A416"),L501,0),3)</f>
        <v/>
      </c>
      <c r="Z501" s="16">
        <f>ROUND(Z500+IF(F501="ASTM A416",L501,0),3)</f>
        <v/>
      </c>
      <c r="AA501" s="9">
        <f>IF(ROUNDUP(P501/20,0)&gt;ROUNDUP(P500/20,0),"Lần " &amp; ROUNDUP(P501/20,0),"")</f>
        <v/>
      </c>
      <c r="AB501" s="9">
        <f>IF(ROUNDUP(Q501/20,0)&gt;ROUNDUP(Q500/20,0),"Lần " &amp; ROUNDUP(Q501/20,0),"")</f>
        <v/>
      </c>
      <c r="AC501" s="9">
        <f>IF(ROUNDUP(R501/20,0)&gt;ROUNDUP(R500/20,0),"Lần " &amp; ROUNDUP(R501/20,0),"")</f>
        <v/>
      </c>
      <c r="AD501" s="9">
        <f>IF(ROUNDUP(S501/20,0)&gt;ROUNDUP(S500/20,0),"Lần " &amp; ROUNDUP(S501/20,0),"")</f>
        <v/>
      </c>
      <c r="AE501" s="9">
        <f>IF(ROUNDUP(T501/20,0)&gt;ROUNDUP(T500/20,0),"Lần " &amp; ROUNDUP(T501/20,0),"")</f>
        <v/>
      </c>
      <c r="AF501" s="9">
        <f>IF(ROUNDUP(U501/20,0)&gt;ROUNDUP(U500/20,0),"Lần " &amp; ROUNDUP(U501/20,0),"")</f>
        <v/>
      </c>
      <c r="AG501" s="9">
        <f>IF(ROUNDUP(V501/20,0)&gt;ROUNDUP(V500/20,0),"Lần " &amp; ROUNDUP(V501/20,0),"")</f>
        <v/>
      </c>
      <c r="AH501" s="9">
        <f>IF(ROUNDUP(W501/20,0)&gt;ROUNDUP(W500/20,0),"Lần " &amp; ROUNDUP(W501/20,0),"")</f>
        <v/>
      </c>
      <c r="AI501" s="9">
        <f>IF(ROUNDUP(X501/20,0)&gt;ROUNDUP(X500/20,0),"Lần " &amp; ROUNDUP(X501/20,0),"")</f>
        <v/>
      </c>
      <c r="AJ501" s="9">
        <f>IF(ROUNDUP(Y501/20,0)&gt;ROUNDUP(Y500/20,0),"Lần " &amp; ROUNDUP(Y501/20,0),"")</f>
        <v/>
      </c>
      <c r="AK501" s="9">
        <f>IF(ROUNDUP(Z501/20,0)&gt;ROUNDUP(Z500/20,0),"Lần " &amp; ROUNDUP(Z501/20,0),"")</f>
        <v/>
      </c>
      <c r="AL501" s="4" t="n"/>
      <c r="AN501" s="596" t="inlineStr">
        <is>
          <t>Than</t>
        </is>
      </c>
      <c r="AO501" s="596" t="n">
        <v>54</v>
      </c>
      <c r="AQ501" s="594" t="n"/>
      <c r="AR501" s="595" t="n"/>
    </row>
    <row r="502" ht="19" customHeight="1" s="672">
      <c r="A502" s="4" t="n">
        <v>472</v>
      </c>
      <c r="B502" s="5" t="inlineStr">
        <is>
          <t>Mố M2</t>
        </is>
      </c>
      <c r="C502" s="5" t="inlineStr">
        <is>
          <t>Mố M2 (tr.40)</t>
        </is>
      </c>
      <c r="D502" s="14" t="inlineStr">
        <is>
          <t>W5A(T)</t>
        </is>
      </c>
      <c r="E502" s="15" t="n">
        <v>16</v>
      </c>
      <c r="F502" s="4" t="inlineStr">
        <is>
          <t>CB400-V</t>
        </is>
      </c>
      <c r="G502" s="5" t="inlineStr">
        <is>
          <t>S05</t>
        </is>
      </c>
      <c r="H502" s="16" t="n">
        <v>7.668</v>
      </c>
      <c r="I502" s="17" t="n">
        <v>1</v>
      </c>
      <c r="J502" s="18" t="n">
        <v>1.578</v>
      </c>
      <c r="K502" s="7">
        <f>ROUND(H502*I502*J502, 2)</f>
        <v/>
      </c>
      <c r="L502" s="19">
        <f>ROUND(K502/1000, 3)</f>
        <v/>
      </c>
      <c r="M502" s="728">
        <f>IF(AO502="","",IF(N(INDEX(Theo_Doi_Tan_Suat_Be_Tong!$C:$C,AO502))&lt;=0,"",INDEX(Theo_Doi_Tan_Suat_Be_Tong!$C:$C,AO502)-VLOOKUP(AN502,$AQ$2:$AR$7,2,FALSE)))</f>
        <v/>
      </c>
      <c r="N502" s="4" t="n"/>
      <c r="O502" s="20">
        <f>IF(ROUNDUP(S502/20,0)&gt;ROUNDUP(S501/20,0),"TN Ø16 (Lần " &amp; ROUNDUP(S502/20,0) &amp; ")","")</f>
        <v/>
      </c>
      <c r="P502" s="16">
        <f>ROUND(P501+IF(AND(E502&lt;=10,F502&lt;&gt;"ASTM A416"),L502,0),3)</f>
        <v/>
      </c>
      <c r="Q502" s="16">
        <f>ROUND(Q501+IF(AND(E502=12,F502&lt;&gt;"ASTM A416"),L502,0),3)</f>
        <v/>
      </c>
      <c r="R502" s="16">
        <f>ROUND(R501+IF(AND(E502=14,F502&lt;&gt;"ASTM A416"),L502,0),3)</f>
        <v/>
      </c>
      <c r="S502" s="16">
        <f>ROUND(S501+IF(AND(E502=16,F502&lt;&gt;"ASTM A416"),L502,0),3)</f>
        <v/>
      </c>
      <c r="T502" s="16">
        <f>ROUND(T501+IF(AND(E502=18,F502&lt;&gt;"ASTM A416"),L502,0),3)</f>
        <v/>
      </c>
      <c r="U502" s="16">
        <f>ROUND(U501+IF(AND(E502=20,F502&lt;&gt;"ASTM A416"),L502,0),3)</f>
        <v/>
      </c>
      <c r="V502" s="16">
        <f>ROUND(V501+IF(AND(E502=22,F502&lt;&gt;"ASTM A416"),L502,0),3)</f>
        <v/>
      </c>
      <c r="W502" s="16">
        <f>ROUND(W501+IF(AND(E502=25,F502&lt;&gt;"ASTM A416"),L502,0),3)</f>
        <v/>
      </c>
      <c r="X502" s="16">
        <f>ROUND(X501+IF(AND(E502=28,F502&lt;&gt;"ASTM A416"),L502,0),3)</f>
        <v/>
      </c>
      <c r="Y502" s="16">
        <f>ROUND(Y501+IF(AND(E502=32,F502&lt;&gt;"ASTM A416"),L502,0),3)</f>
        <v/>
      </c>
      <c r="Z502" s="16">
        <f>ROUND(Z501+IF(F502="ASTM A416",L502,0),3)</f>
        <v/>
      </c>
      <c r="AA502" s="9">
        <f>IF(ROUNDUP(P502/20,0)&gt;ROUNDUP(P501/20,0),"Lần " &amp; ROUNDUP(P502/20,0),"")</f>
        <v/>
      </c>
      <c r="AB502" s="9">
        <f>IF(ROUNDUP(Q502/20,0)&gt;ROUNDUP(Q501/20,0),"Lần " &amp; ROUNDUP(Q502/20,0),"")</f>
        <v/>
      </c>
      <c r="AC502" s="9">
        <f>IF(ROUNDUP(R502/20,0)&gt;ROUNDUP(R501/20,0),"Lần " &amp; ROUNDUP(R502/20,0),"")</f>
        <v/>
      </c>
      <c r="AD502" s="9">
        <f>IF(ROUNDUP(S502/20,0)&gt;ROUNDUP(S501/20,0),"Lần " &amp; ROUNDUP(S502/20,0),"")</f>
        <v/>
      </c>
      <c r="AE502" s="9">
        <f>IF(ROUNDUP(T502/20,0)&gt;ROUNDUP(T501/20,0),"Lần " &amp; ROUNDUP(T502/20,0),"")</f>
        <v/>
      </c>
      <c r="AF502" s="9">
        <f>IF(ROUNDUP(U502/20,0)&gt;ROUNDUP(U501/20,0),"Lần " &amp; ROUNDUP(U502/20,0),"")</f>
        <v/>
      </c>
      <c r="AG502" s="9">
        <f>IF(ROUNDUP(V502/20,0)&gt;ROUNDUP(V501/20,0),"Lần " &amp; ROUNDUP(V502/20,0),"")</f>
        <v/>
      </c>
      <c r="AH502" s="9">
        <f>IF(ROUNDUP(W502/20,0)&gt;ROUNDUP(W501/20,0),"Lần " &amp; ROUNDUP(W502/20,0),"")</f>
        <v/>
      </c>
      <c r="AI502" s="9">
        <f>IF(ROUNDUP(X502/20,0)&gt;ROUNDUP(X501/20,0),"Lần " &amp; ROUNDUP(X502/20,0),"")</f>
        <v/>
      </c>
      <c r="AJ502" s="9">
        <f>IF(ROUNDUP(Y502/20,0)&gt;ROUNDUP(Y501/20,0),"Lần " &amp; ROUNDUP(Y502/20,0),"")</f>
        <v/>
      </c>
      <c r="AK502" s="9">
        <f>IF(ROUNDUP(Z502/20,0)&gt;ROUNDUP(Z501/20,0),"Lần " &amp; ROUNDUP(Z502/20,0),"")</f>
        <v/>
      </c>
      <c r="AL502" s="4" t="n"/>
      <c r="AN502" s="596" t="inlineStr">
        <is>
          <t>Than</t>
        </is>
      </c>
      <c r="AO502" s="596" t="n">
        <v>54</v>
      </c>
      <c r="AQ502" s="594" t="n"/>
      <c r="AR502" s="595" t="n"/>
    </row>
    <row r="503" ht="19" customHeight="1" s="672">
      <c r="A503" s="4" t="n">
        <v>473</v>
      </c>
      <c r="B503" s="5" t="inlineStr">
        <is>
          <t>Mố M2</t>
        </is>
      </c>
      <c r="C503" s="5" t="inlineStr">
        <is>
          <t>Mố M2 (tr.40)</t>
        </is>
      </c>
      <c r="D503" s="14" t="inlineStr">
        <is>
          <t>W5B(T)</t>
        </is>
      </c>
      <c r="E503" s="15" t="n">
        <v>16</v>
      </c>
      <c r="F503" s="4" t="inlineStr">
        <is>
          <t>CB400-V</t>
        </is>
      </c>
      <c r="G503" s="5" t="inlineStr">
        <is>
          <t>S02</t>
        </is>
      </c>
      <c r="H503" s="16" t="n">
        <v>10.092</v>
      </c>
      <c r="I503" s="17" t="n">
        <v>1</v>
      </c>
      <c r="J503" s="18" t="n">
        <v>1.578</v>
      </c>
      <c r="K503" s="7">
        <f>ROUND(H503*I503*J503, 2)</f>
        <v/>
      </c>
      <c r="L503" s="19">
        <f>ROUND(K503/1000, 3)</f>
        <v/>
      </c>
      <c r="M503" s="728">
        <f>IF(AO503="","",IF(N(INDEX(Theo_Doi_Tan_Suat_Be_Tong!$C:$C,AO503))&lt;=0,"",INDEX(Theo_Doi_Tan_Suat_Be_Tong!$C:$C,AO503)-VLOOKUP(AN503,$AQ$2:$AR$7,2,FALSE)))</f>
        <v/>
      </c>
      <c r="N503" s="4" t="n"/>
      <c r="O503" s="20">
        <f>IF(ROUNDUP(S503/20,0)&gt;ROUNDUP(S502/20,0),"TN Ø16 (Lần " &amp; ROUNDUP(S503/20,0) &amp; ")","")</f>
        <v/>
      </c>
      <c r="P503" s="16">
        <f>ROUND(P502+IF(AND(E503&lt;=10,F503&lt;&gt;"ASTM A416"),L503,0),3)</f>
        <v/>
      </c>
      <c r="Q503" s="16">
        <f>ROUND(Q502+IF(AND(E503=12,F503&lt;&gt;"ASTM A416"),L503,0),3)</f>
        <v/>
      </c>
      <c r="R503" s="16">
        <f>ROUND(R502+IF(AND(E503=14,F503&lt;&gt;"ASTM A416"),L503,0),3)</f>
        <v/>
      </c>
      <c r="S503" s="16">
        <f>ROUND(S502+IF(AND(E503=16,F503&lt;&gt;"ASTM A416"),L503,0),3)</f>
        <v/>
      </c>
      <c r="T503" s="16">
        <f>ROUND(T502+IF(AND(E503=18,F503&lt;&gt;"ASTM A416"),L503,0),3)</f>
        <v/>
      </c>
      <c r="U503" s="16">
        <f>ROUND(U502+IF(AND(E503=20,F503&lt;&gt;"ASTM A416"),L503,0),3)</f>
        <v/>
      </c>
      <c r="V503" s="16">
        <f>ROUND(V502+IF(AND(E503=22,F503&lt;&gt;"ASTM A416"),L503,0),3)</f>
        <v/>
      </c>
      <c r="W503" s="16">
        <f>ROUND(W502+IF(AND(E503=25,F503&lt;&gt;"ASTM A416"),L503,0),3)</f>
        <v/>
      </c>
      <c r="X503" s="16">
        <f>ROUND(X502+IF(AND(E503=28,F503&lt;&gt;"ASTM A416"),L503,0),3)</f>
        <v/>
      </c>
      <c r="Y503" s="16">
        <f>ROUND(Y502+IF(AND(E503=32,F503&lt;&gt;"ASTM A416"),L503,0),3)</f>
        <v/>
      </c>
      <c r="Z503" s="16">
        <f>ROUND(Z502+IF(F503="ASTM A416",L503,0),3)</f>
        <v/>
      </c>
      <c r="AA503" s="9">
        <f>IF(ROUNDUP(P503/20,0)&gt;ROUNDUP(P502/20,0),"Lần " &amp; ROUNDUP(P503/20,0),"")</f>
        <v/>
      </c>
      <c r="AB503" s="9">
        <f>IF(ROUNDUP(Q503/20,0)&gt;ROUNDUP(Q502/20,0),"Lần " &amp; ROUNDUP(Q503/20,0),"")</f>
        <v/>
      </c>
      <c r="AC503" s="9">
        <f>IF(ROUNDUP(R503/20,0)&gt;ROUNDUP(R502/20,0),"Lần " &amp; ROUNDUP(R503/20,0),"")</f>
        <v/>
      </c>
      <c r="AD503" s="9">
        <f>IF(ROUNDUP(S503/20,0)&gt;ROUNDUP(S502/20,0),"Lần " &amp; ROUNDUP(S503/20,0),"")</f>
        <v/>
      </c>
      <c r="AE503" s="9">
        <f>IF(ROUNDUP(T503/20,0)&gt;ROUNDUP(T502/20,0),"Lần " &amp; ROUNDUP(T503/20,0),"")</f>
        <v/>
      </c>
      <c r="AF503" s="9">
        <f>IF(ROUNDUP(U503/20,0)&gt;ROUNDUP(U502/20,0),"Lần " &amp; ROUNDUP(U503/20,0),"")</f>
        <v/>
      </c>
      <c r="AG503" s="9">
        <f>IF(ROUNDUP(V503/20,0)&gt;ROUNDUP(V502/20,0),"Lần " &amp; ROUNDUP(V503/20,0),"")</f>
        <v/>
      </c>
      <c r="AH503" s="9">
        <f>IF(ROUNDUP(W503/20,0)&gt;ROUNDUP(W502/20,0),"Lần " &amp; ROUNDUP(W503/20,0),"")</f>
        <v/>
      </c>
      <c r="AI503" s="9">
        <f>IF(ROUNDUP(X503/20,0)&gt;ROUNDUP(X502/20,0),"Lần " &amp; ROUNDUP(X503/20,0),"")</f>
        <v/>
      </c>
      <c r="AJ503" s="9">
        <f>IF(ROUNDUP(Y503/20,0)&gt;ROUNDUP(Y502/20,0),"Lần " &amp; ROUNDUP(Y503/20,0),"")</f>
        <v/>
      </c>
      <c r="AK503" s="9">
        <f>IF(ROUNDUP(Z503/20,0)&gt;ROUNDUP(Z502/20,0),"Lần " &amp; ROUNDUP(Z503/20,0),"")</f>
        <v/>
      </c>
      <c r="AL503" s="4" t="n"/>
      <c r="AN503" s="596" t="inlineStr">
        <is>
          <t>Than</t>
        </is>
      </c>
      <c r="AO503" s="596" t="n">
        <v>54</v>
      </c>
      <c r="AQ503" s="594" t="n"/>
      <c r="AR503" s="595" t="n"/>
    </row>
    <row r="504" ht="19" customHeight="1" s="672">
      <c r="A504" s="4" t="n">
        <v>474</v>
      </c>
      <c r="B504" s="5" t="inlineStr">
        <is>
          <t>Mố M2</t>
        </is>
      </c>
      <c r="C504" s="5" t="inlineStr">
        <is>
          <t>Mố M2 (tr.40)</t>
        </is>
      </c>
      <c r="D504" s="14" t="inlineStr">
        <is>
          <t>W6(T)</t>
        </is>
      </c>
      <c r="E504" s="15" t="n">
        <v>16</v>
      </c>
      <c r="F504" s="4" t="inlineStr">
        <is>
          <t>CB400-V</t>
        </is>
      </c>
      <c r="G504" s="5" t="inlineStr"/>
      <c r="H504" s="16" t="n">
        <v>0.615</v>
      </c>
      <c r="I504" s="17" t="n">
        <v>53</v>
      </c>
      <c r="J504" s="18" t="n">
        <v>1.578</v>
      </c>
      <c r="K504" s="7">
        <f>ROUND(H504*I504*J504, 2)</f>
        <v/>
      </c>
      <c r="L504" s="19">
        <f>ROUND(K504/1000, 3)</f>
        <v/>
      </c>
      <c r="M504" s="728">
        <f>IF(AO504="","",IF(N(INDEX(Theo_Doi_Tan_Suat_Be_Tong!$C:$C,AO504))&lt;=0,"",INDEX(Theo_Doi_Tan_Suat_Be_Tong!$C:$C,AO504)-VLOOKUP(AN504,$AQ$2:$AR$7,2,FALSE)))</f>
        <v/>
      </c>
      <c r="N504" s="4" t="n"/>
      <c r="O504" s="20">
        <f>IF(ROUNDUP(S504/20,0)&gt;ROUNDUP(S503/20,0),"TN Ø16 (Lần " &amp; ROUNDUP(S504/20,0) &amp; ")","")</f>
        <v/>
      </c>
      <c r="P504" s="16">
        <f>ROUND(P503+IF(AND(E504&lt;=10,F504&lt;&gt;"ASTM A416"),L504,0),3)</f>
        <v/>
      </c>
      <c r="Q504" s="16">
        <f>ROUND(Q503+IF(AND(E504=12,F504&lt;&gt;"ASTM A416"),L504,0),3)</f>
        <v/>
      </c>
      <c r="R504" s="16">
        <f>ROUND(R503+IF(AND(E504=14,F504&lt;&gt;"ASTM A416"),L504,0),3)</f>
        <v/>
      </c>
      <c r="S504" s="16">
        <f>ROUND(S503+IF(AND(E504=16,F504&lt;&gt;"ASTM A416"),L504,0),3)</f>
        <v/>
      </c>
      <c r="T504" s="16">
        <f>ROUND(T503+IF(AND(E504=18,F504&lt;&gt;"ASTM A416"),L504,0),3)</f>
        <v/>
      </c>
      <c r="U504" s="16">
        <f>ROUND(U503+IF(AND(E504=20,F504&lt;&gt;"ASTM A416"),L504,0),3)</f>
        <v/>
      </c>
      <c r="V504" s="16">
        <f>ROUND(V503+IF(AND(E504=22,F504&lt;&gt;"ASTM A416"),L504,0),3)</f>
        <v/>
      </c>
      <c r="W504" s="16">
        <f>ROUND(W503+IF(AND(E504=25,F504&lt;&gt;"ASTM A416"),L504,0),3)</f>
        <v/>
      </c>
      <c r="X504" s="16">
        <f>ROUND(X503+IF(AND(E504=28,F504&lt;&gt;"ASTM A416"),L504,0),3)</f>
        <v/>
      </c>
      <c r="Y504" s="16">
        <f>ROUND(Y503+IF(AND(E504=32,F504&lt;&gt;"ASTM A416"),L504,0),3)</f>
        <v/>
      </c>
      <c r="Z504" s="16">
        <f>ROUND(Z503+IF(F504="ASTM A416",L504,0),3)</f>
        <v/>
      </c>
      <c r="AA504" s="9">
        <f>IF(ROUNDUP(P504/20,0)&gt;ROUNDUP(P503/20,0),"Lần " &amp; ROUNDUP(P504/20,0),"")</f>
        <v/>
      </c>
      <c r="AB504" s="9">
        <f>IF(ROUNDUP(Q504/20,0)&gt;ROUNDUP(Q503/20,0),"Lần " &amp; ROUNDUP(Q504/20,0),"")</f>
        <v/>
      </c>
      <c r="AC504" s="9">
        <f>IF(ROUNDUP(R504/20,0)&gt;ROUNDUP(R503/20,0),"Lần " &amp; ROUNDUP(R504/20,0),"")</f>
        <v/>
      </c>
      <c r="AD504" s="9">
        <f>IF(ROUNDUP(S504/20,0)&gt;ROUNDUP(S503/20,0),"Lần " &amp; ROUNDUP(S504/20,0),"")</f>
        <v/>
      </c>
      <c r="AE504" s="9">
        <f>IF(ROUNDUP(T504/20,0)&gt;ROUNDUP(T503/20,0),"Lần " &amp; ROUNDUP(T504/20,0),"")</f>
        <v/>
      </c>
      <c r="AF504" s="9">
        <f>IF(ROUNDUP(U504/20,0)&gt;ROUNDUP(U503/20,0),"Lần " &amp; ROUNDUP(U504/20,0),"")</f>
        <v/>
      </c>
      <c r="AG504" s="9">
        <f>IF(ROUNDUP(V504/20,0)&gt;ROUNDUP(V503/20,0),"Lần " &amp; ROUNDUP(V504/20,0),"")</f>
        <v/>
      </c>
      <c r="AH504" s="9">
        <f>IF(ROUNDUP(W504/20,0)&gt;ROUNDUP(W503/20,0),"Lần " &amp; ROUNDUP(W504/20,0),"")</f>
        <v/>
      </c>
      <c r="AI504" s="9">
        <f>IF(ROUNDUP(X504/20,0)&gt;ROUNDUP(X503/20,0),"Lần " &amp; ROUNDUP(X504/20,0),"")</f>
        <v/>
      </c>
      <c r="AJ504" s="9">
        <f>IF(ROUNDUP(Y504/20,0)&gt;ROUNDUP(Y503/20,0),"Lần " &amp; ROUNDUP(Y504/20,0),"")</f>
        <v/>
      </c>
      <c r="AK504" s="9">
        <f>IF(ROUNDUP(Z504/20,0)&gt;ROUNDUP(Z503/20,0),"Lần " &amp; ROUNDUP(Z504/20,0),"")</f>
        <v/>
      </c>
      <c r="AL504" s="4" t="n"/>
      <c r="AN504" s="596" t="inlineStr">
        <is>
          <t>Than</t>
        </is>
      </c>
      <c r="AO504" s="596" t="n">
        <v>54</v>
      </c>
      <c r="AQ504" s="594" t="n"/>
      <c r="AR504" s="595" t="n"/>
    </row>
    <row r="505" ht="19" customHeight="1" s="672">
      <c r="A505" s="4" t="n">
        <v>475</v>
      </c>
      <c r="B505" s="5" t="inlineStr">
        <is>
          <t>Mố M2</t>
        </is>
      </c>
      <c r="C505" s="5" t="inlineStr">
        <is>
          <t>Mố M2 (tr.40)</t>
        </is>
      </c>
      <c r="D505" s="14" t="inlineStr">
        <is>
          <t>W7(T)</t>
        </is>
      </c>
      <c r="E505" s="15" t="n">
        <v>14</v>
      </c>
      <c r="F505" s="4" t="inlineStr">
        <is>
          <t>CB400-V</t>
        </is>
      </c>
      <c r="G505" s="5" t="inlineStr"/>
      <c r="H505" s="16" t="n">
        <v>0.585</v>
      </c>
      <c r="I505" s="17" t="n">
        <v>69</v>
      </c>
      <c r="J505" s="18" t="n">
        <v>1.208</v>
      </c>
      <c r="K505" s="7">
        <f>ROUND(H505*I505*J505, 2)</f>
        <v/>
      </c>
      <c r="L505" s="19">
        <f>ROUND(K505/1000, 3)</f>
        <v/>
      </c>
      <c r="M505" s="728">
        <f>IF(AO505="","",IF(N(INDEX(Theo_Doi_Tan_Suat_Be_Tong!$C:$C,AO505))&lt;=0,"",INDEX(Theo_Doi_Tan_Suat_Be_Tong!$C:$C,AO505)-VLOOKUP(AN505,$AQ$2:$AR$7,2,FALSE)))</f>
        <v/>
      </c>
      <c r="N505" s="4" t="n"/>
      <c r="O505" s="20">
        <f>IF(ROUNDUP(R505/20,0)&gt;ROUNDUP(R504/20,0),"TN Ø14 (Lần " &amp; ROUNDUP(R505/20,0) &amp; ")","")</f>
        <v/>
      </c>
      <c r="P505" s="16">
        <f>ROUND(P504+IF(AND(E505&lt;=10,F505&lt;&gt;"ASTM A416"),L505,0),3)</f>
        <v/>
      </c>
      <c r="Q505" s="16">
        <f>ROUND(Q504+IF(AND(E505=12,F505&lt;&gt;"ASTM A416"),L505,0),3)</f>
        <v/>
      </c>
      <c r="R505" s="16">
        <f>ROUND(R504+IF(AND(E505=14,F505&lt;&gt;"ASTM A416"),L505,0),3)</f>
        <v/>
      </c>
      <c r="S505" s="16">
        <f>ROUND(S504+IF(AND(E505=16,F505&lt;&gt;"ASTM A416"),L505,0),3)</f>
        <v/>
      </c>
      <c r="T505" s="16">
        <f>ROUND(T504+IF(AND(E505=18,F505&lt;&gt;"ASTM A416"),L505,0),3)</f>
        <v/>
      </c>
      <c r="U505" s="16">
        <f>ROUND(U504+IF(AND(E505=20,F505&lt;&gt;"ASTM A416"),L505,0),3)</f>
        <v/>
      </c>
      <c r="V505" s="16">
        <f>ROUND(V504+IF(AND(E505=22,F505&lt;&gt;"ASTM A416"),L505,0),3)</f>
        <v/>
      </c>
      <c r="W505" s="16">
        <f>ROUND(W504+IF(AND(E505=25,F505&lt;&gt;"ASTM A416"),L505,0),3)</f>
        <v/>
      </c>
      <c r="X505" s="16">
        <f>ROUND(X504+IF(AND(E505=28,F505&lt;&gt;"ASTM A416"),L505,0),3)</f>
        <v/>
      </c>
      <c r="Y505" s="16">
        <f>ROUND(Y504+IF(AND(E505=32,F505&lt;&gt;"ASTM A416"),L505,0),3)</f>
        <v/>
      </c>
      <c r="Z505" s="16">
        <f>ROUND(Z504+IF(F505="ASTM A416",L505,0),3)</f>
        <v/>
      </c>
      <c r="AA505" s="9">
        <f>IF(ROUNDUP(P505/20,0)&gt;ROUNDUP(P504/20,0),"Lần " &amp; ROUNDUP(P505/20,0),"")</f>
        <v/>
      </c>
      <c r="AB505" s="9">
        <f>IF(ROUNDUP(Q505/20,0)&gt;ROUNDUP(Q504/20,0),"Lần " &amp; ROUNDUP(Q505/20,0),"")</f>
        <v/>
      </c>
      <c r="AC505" s="9">
        <f>IF(ROUNDUP(R505/20,0)&gt;ROUNDUP(R504/20,0),"Lần " &amp; ROUNDUP(R505/20,0),"")</f>
        <v/>
      </c>
      <c r="AD505" s="9">
        <f>IF(ROUNDUP(S505/20,0)&gt;ROUNDUP(S504/20,0),"Lần " &amp; ROUNDUP(S505/20,0),"")</f>
        <v/>
      </c>
      <c r="AE505" s="9">
        <f>IF(ROUNDUP(T505/20,0)&gt;ROUNDUP(T504/20,0),"Lần " &amp; ROUNDUP(T505/20,0),"")</f>
        <v/>
      </c>
      <c r="AF505" s="9">
        <f>IF(ROUNDUP(U505/20,0)&gt;ROUNDUP(U504/20,0),"Lần " &amp; ROUNDUP(U505/20,0),"")</f>
        <v/>
      </c>
      <c r="AG505" s="9">
        <f>IF(ROUNDUP(V505/20,0)&gt;ROUNDUP(V504/20,0),"Lần " &amp; ROUNDUP(V505/20,0),"")</f>
        <v/>
      </c>
      <c r="AH505" s="9">
        <f>IF(ROUNDUP(W505/20,0)&gt;ROUNDUP(W504/20,0),"Lần " &amp; ROUNDUP(W505/20,0),"")</f>
        <v/>
      </c>
      <c r="AI505" s="9">
        <f>IF(ROUNDUP(X505/20,0)&gt;ROUNDUP(X504/20,0),"Lần " &amp; ROUNDUP(X505/20,0),"")</f>
        <v/>
      </c>
      <c r="AJ505" s="9">
        <f>IF(ROUNDUP(Y505/20,0)&gt;ROUNDUP(Y504/20,0),"Lần " &amp; ROUNDUP(Y505/20,0),"")</f>
        <v/>
      </c>
      <c r="AK505" s="9">
        <f>IF(ROUNDUP(Z505/20,0)&gt;ROUNDUP(Z504/20,0),"Lần " &amp; ROUNDUP(Z505/20,0),"")</f>
        <v/>
      </c>
      <c r="AL505" s="4" t="n"/>
      <c r="AN505" s="596" t="inlineStr">
        <is>
          <t>Than</t>
        </is>
      </c>
      <c r="AO505" s="596" t="n">
        <v>54</v>
      </c>
      <c r="AQ505" s="594" t="n"/>
      <c r="AR505" s="595" t="n"/>
    </row>
    <row r="506" ht="19" customHeight="1" s="672">
      <c r="A506" s="4" t="n">
        <v>476</v>
      </c>
      <c r="B506" s="5" t="inlineStr">
        <is>
          <t>Mố M2</t>
        </is>
      </c>
      <c r="C506" s="5" t="inlineStr">
        <is>
          <t>Mố M2 (tr.40)</t>
        </is>
      </c>
      <c r="D506" s="14" t="inlineStr">
        <is>
          <t>W8(T)</t>
        </is>
      </c>
      <c r="E506" s="15" t="n">
        <v>16</v>
      </c>
      <c r="F506" s="4" t="inlineStr">
        <is>
          <t>CB400-V</t>
        </is>
      </c>
      <c r="G506" s="5" t="inlineStr">
        <is>
          <t>S02</t>
        </is>
      </c>
      <c r="H506" s="16" t="n">
        <v>9.571</v>
      </c>
      <c r="I506" s="17" t="n">
        <v>2</v>
      </c>
      <c r="J506" s="18" t="n">
        <v>1.578</v>
      </c>
      <c r="K506" s="7">
        <f>ROUND(H506*I506*J506, 2)</f>
        <v/>
      </c>
      <c r="L506" s="19">
        <f>ROUND(K506/1000, 3)</f>
        <v/>
      </c>
      <c r="M506" s="728">
        <f>IF(AO506="","",IF(N(INDEX(Theo_Doi_Tan_Suat_Be_Tong!$C:$C,AO506))&lt;=0,"",INDEX(Theo_Doi_Tan_Suat_Be_Tong!$C:$C,AO506)-VLOOKUP(AN506,$AQ$2:$AR$7,2,FALSE)))</f>
        <v/>
      </c>
      <c r="N506" s="4" t="n"/>
      <c r="O506" s="20">
        <f>IF(ROUNDUP(S506/20,0)&gt;ROUNDUP(S505/20,0),"TN Ø16 (Lần " &amp; ROUNDUP(S506/20,0) &amp; ")","")</f>
        <v/>
      </c>
      <c r="P506" s="16">
        <f>ROUND(P505+IF(AND(E506&lt;=10,F506&lt;&gt;"ASTM A416"),L506,0),3)</f>
        <v/>
      </c>
      <c r="Q506" s="16">
        <f>ROUND(Q505+IF(AND(E506=12,F506&lt;&gt;"ASTM A416"),L506,0),3)</f>
        <v/>
      </c>
      <c r="R506" s="16">
        <f>ROUND(R505+IF(AND(E506=14,F506&lt;&gt;"ASTM A416"),L506,0),3)</f>
        <v/>
      </c>
      <c r="S506" s="16">
        <f>ROUND(S505+IF(AND(E506=16,F506&lt;&gt;"ASTM A416"),L506,0),3)</f>
        <v/>
      </c>
      <c r="T506" s="16">
        <f>ROUND(T505+IF(AND(E506=18,F506&lt;&gt;"ASTM A416"),L506,0),3)</f>
        <v/>
      </c>
      <c r="U506" s="16">
        <f>ROUND(U505+IF(AND(E506=20,F506&lt;&gt;"ASTM A416"),L506,0),3)</f>
        <v/>
      </c>
      <c r="V506" s="16">
        <f>ROUND(V505+IF(AND(E506=22,F506&lt;&gt;"ASTM A416"),L506,0),3)</f>
        <v/>
      </c>
      <c r="W506" s="16">
        <f>ROUND(W505+IF(AND(E506=25,F506&lt;&gt;"ASTM A416"),L506,0),3)</f>
        <v/>
      </c>
      <c r="X506" s="16">
        <f>ROUND(X505+IF(AND(E506=28,F506&lt;&gt;"ASTM A416"),L506,0),3)</f>
        <v/>
      </c>
      <c r="Y506" s="16">
        <f>ROUND(Y505+IF(AND(E506=32,F506&lt;&gt;"ASTM A416"),L506,0),3)</f>
        <v/>
      </c>
      <c r="Z506" s="16">
        <f>ROUND(Z505+IF(F506="ASTM A416",L506,0),3)</f>
        <v/>
      </c>
      <c r="AA506" s="9">
        <f>IF(ROUNDUP(P506/20,0)&gt;ROUNDUP(P505/20,0),"Lần " &amp; ROUNDUP(P506/20,0),"")</f>
        <v/>
      </c>
      <c r="AB506" s="9">
        <f>IF(ROUNDUP(Q506/20,0)&gt;ROUNDUP(Q505/20,0),"Lần " &amp; ROUNDUP(Q506/20,0),"")</f>
        <v/>
      </c>
      <c r="AC506" s="9">
        <f>IF(ROUNDUP(R506/20,0)&gt;ROUNDUP(R505/20,0),"Lần " &amp; ROUNDUP(R506/20,0),"")</f>
        <v/>
      </c>
      <c r="AD506" s="9">
        <f>IF(ROUNDUP(S506/20,0)&gt;ROUNDUP(S505/20,0),"Lần " &amp; ROUNDUP(S506/20,0),"")</f>
        <v/>
      </c>
      <c r="AE506" s="9">
        <f>IF(ROUNDUP(T506/20,0)&gt;ROUNDUP(T505/20,0),"Lần " &amp; ROUNDUP(T506/20,0),"")</f>
        <v/>
      </c>
      <c r="AF506" s="9">
        <f>IF(ROUNDUP(U506/20,0)&gt;ROUNDUP(U505/20,0),"Lần " &amp; ROUNDUP(U506/20,0),"")</f>
        <v/>
      </c>
      <c r="AG506" s="9">
        <f>IF(ROUNDUP(V506/20,0)&gt;ROUNDUP(V505/20,0),"Lần " &amp; ROUNDUP(V506/20,0),"")</f>
        <v/>
      </c>
      <c r="AH506" s="9">
        <f>IF(ROUNDUP(W506/20,0)&gt;ROUNDUP(W505/20,0),"Lần " &amp; ROUNDUP(W506/20,0),"")</f>
        <v/>
      </c>
      <c r="AI506" s="9">
        <f>IF(ROUNDUP(X506/20,0)&gt;ROUNDUP(X505/20,0),"Lần " &amp; ROUNDUP(X506/20,0),"")</f>
        <v/>
      </c>
      <c r="AJ506" s="9">
        <f>IF(ROUNDUP(Y506/20,0)&gt;ROUNDUP(Y505/20,0),"Lần " &amp; ROUNDUP(Y506/20,0),"")</f>
        <v/>
      </c>
      <c r="AK506" s="9">
        <f>IF(ROUNDUP(Z506/20,0)&gt;ROUNDUP(Z505/20,0),"Lần " &amp; ROUNDUP(Z506/20,0),"")</f>
        <v/>
      </c>
      <c r="AL506" s="4" t="n"/>
      <c r="AN506" s="596" t="inlineStr">
        <is>
          <t>Than</t>
        </is>
      </c>
      <c r="AO506" s="596" t="n">
        <v>54</v>
      </c>
      <c r="AQ506" s="594" t="n"/>
      <c r="AR506" s="595" t="n"/>
    </row>
    <row r="507" ht="19" customHeight="1" s="672">
      <c r="A507" s="4" t="n">
        <v>477</v>
      </c>
      <c r="B507" s="5" t="inlineStr">
        <is>
          <t>Mố M2</t>
        </is>
      </c>
      <c r="C507" s="5" t="inlineStr">
        <is>
          <t>Mố M2 (tr.40)</t>
        </is>
      </c>
      <c r="D507" s="14" t="inlineStr">
        <is>
          <t>W9(T)</t>
        </is>
      </c>
      <c r="E507" s="15" t="n">
        <v>16</v>
      </c>
      <c r="F507" s="4" t="inlineStr">
        <is>
          <t>CB400-V</t>
        </is>
      </c>
      <c r="G507" s="5" t="inlineStr"/>
      <c r="H507" s="16" t="n">
        <v>1.881</v>
      </c>
      <c r="I507" s="17" t="n">
        <v>46</v>
      </c>
      <c r="J507" s="18" t="n">
        <v>1.578</v>
      </c>
      <c r="K507" s="7">
        <f>ROUND(H507*I507*J507, 2)</f>
        <v/>
      </c>
      <c r="L507" s="19">
        <f>ROUND(K507/1000, 3)</f>
        <v/>
      </c>
      <c r="M507" s="728">
        <f>IF(AO507="","",IF(N(INDEX(Theo_Doi_Tan_Suat_Be_Tong!$C:$C,AO507))&lt;=0,"",INDEX(Theo_Doi_Tan_Suat_Be_Tong!$C:$C,AO507)-VLOOKUP(AN507,$AQ$2:$AR$7,2,FALSE)))</f>
        <v/>
      </c>
      <c r="N507" s="4" t="n"/>
      <c r="O507" s="20">
        <f>IF(ROUNDUP(S507/20,0)&gt;ROUNDUP(S506/20,0),"TN Ø16 (Lần " &amp; ROUNDUP(S507/20,0) &amp; ")","")</f>
        <v/>
      </c>
      <c r="P507" s="16">
        <f>ROUND(P506+IF(AND(E507&lt;=10,F507&lt;&gt;"ASTM A416"),L507,0),3)</f>
        <v/>
      </c>
      <c r="Q507" s="16">
        <f>ROUND(Q506+IF(AND(E507=12,F507&lt;&gt;"ASTM A416"),L507,0),3)</f>
        <v/>
      </c>
      <c r="R507" s="16">
        <f>ROUND(R506+IF(AND(E507=14,F507&lt;&gt;"ASTM A416"),L507,0),3)</f>
        <v/>
      </c>
      <c r="S507" s="16">
        <f>ROUND(S506+IF(AND(E507=16,F507&lt;&gt;"ASTM A416"),L507,0),3)</f>
        <v/>
      </c>
      <c r="T507" s="16">
        <f>ROUND(T506+IF(AND(E507=18,F507&lt;&gt;"ASTM A416"),L507,0),3)</f>
        <v/>
      </c>
      <c r="U507" s="16">
        <f>ROUND(U506+IF(AND(E507=20,F507&lt;&gt;"ASTM A416"),L507,0),3)</f>
        <v/>
      </c>
      <c r="V507" s="16">
        <f>ROUND(V506+IF(AND(E507=22,F507&lt;&gt;"ASTM A416"),L507,0),3)</f>
        <v/>
      </c>
      <c r="W507" s="16">
        <f>ROUND(W506+IF(AND(E507=25,F507&lt;&gt;"ASTM A416"),L507,0),3)</f>
        <v/>
      </c>
      <c r="X507" s="16">
        <f>ROUND(X506+IF(AND(E507=28,F507&lt;&gt;"ASTM A416"),L507,0),3)</f>
        <v/>
      </c>
      <c r="Y507" s="16">
        <f>ROUND(Y506+IF(AND(E507=32,F507&lt;&gt;"ASTM A416"),L507,0),3)</f>
        <v/>
      </c>
      <c r="Z507" s="16">
        <f>ROUND(Z506+IF(F507="ASTM A416",L507,0),3)</f>
        <v/>
      </c>
      <c r="AA507" s="9">
        <f>IF(ROUNDUP(P507/20,0)&gt;ROUNDUP(P506/20,0),"Lần " &amp; ROUNDUP(P507/20,0),"")</f>
        <v/>
      </c>
      <c r="AB507" s="9">
        <f>IF(ROUNDUP(Q507/20,0)&gt;ROUNDUP(Q506/20,0),"Lần " &amp; ROUNDUP(Q507/20,0),"")</f>
        <v/>
      </c>
      <c r="AC507" s="9">
        <f>IF(ROUNDUP(R507/20,0)&gt;ROUNDUP(R506/20,0),"Lần " &amp; ROUNDUP(R507/20,0),"")</f>
        <v/>
      </c>
      <c r="AD507" s="9">
        <f>IF(ROUNDUP(S507/20,0)&gt;ROUNDUP(S506/20,0),"Lần " &amp; ROUNDUP(S507/20,0),"")</f>
        <v/>
      </c>
      <c r="AE507" s="9">
        <f>IF(ROUNDUP(T507/20,0)&gt;ROUNDUP(T506/20,0),"Lần " &amp; ROUNDUP(T507/20,0),"")</f>
        <v/>
      </c>
      <c r="AF507" s="9">
        <f>IF(ROUNDUP(U507/20,0)&gt;ROUNDUP(U506/20,0),"Lần " &amp; ROUNDUP(U507/20,0),"")</f>
        <v/>
      </c>
      <c r="AG507" s="9">
        <f>IF(ROUNDUP(V507/20,0)&gt;ROUNDUP(V506/20,0),"Lần " &amp; ROUNDUP(V507/20,0),"")</f>
        <v/>
      </c>
      <c r="AH507" s="9">
        <f>IF(ROUNDUP(W507/20,0)&gt;ROUNDUP(W506/20,0),"Lần " &amp; ROUNDUP(W507/20,0),"")</f>
        <v/>
      </c>
      <c r="AI507" s="9">
        <f>IF(ROUNDUP(X507/20,0)&gt;ROUNDUP(X506/20,0),"Lần " &amp; ROUNDUP(X507/20,0),"")</f>
        <v/>
      </c>
      <c r="AJ507" s="9">
        <f>IF(ROUNDUP(Y507/20,0)&gt;ROUNDUP(Y506/20,0),"Lần " &amp; ROUNDUP(Y507/20,0),"")</f>
        <v/>
      </c>
      <c r="AK507" s="9">
        <f>IF(ROUNDUP(Z507/20,0)&gt;ROUNDUP(Z506/20,0),"Lần " &amp; ROUNDUP(Z507/20,0),"")</f>
        <v/>
      </c>
      <c r="AL507" s="4" t="n"/>
      <c r="AN507" s="596" t="inlineStr">
        <is>
          <t>Than</t>
        </is>
      </c>
      <c r="AO507" s="596" t="n">
        <v>54</v>
      </c>
      <c r="AQ507" s="594" t="n"/>
      <c r="AR507" s="595" t="n"/>
    </row>
    <row r="508" ht="19" customHeight="1" s="672">
      <c r="A508" s="4" t="n">
        <v>478</v>
      </c>
      <c r="B508" s="5" t="inlineStr">
        <is>
          <t>Mố M2</t>
        </is>
      </c>
      <c r="C508" s="5" t="inlineStr">
        <is>
          <t>Mố M2 (tr.40)</t>
        </is>
      </c>
      <c r="D508" s="14" t="inlineStr">
        <is>
          <t>U1</t>
        </is>
      </c>
      <c r="E508" s="15" t="n">
        <v>16</v>
      </c>
      <c r="F508" s="4" t="inlineStr">
        <is>
          <t>CB400-V</t>
        </is>
      </c>
      <c r="G508" s="5" t="inlineStr">
        <is>
          <t>S06</t>
        </is>
      </c>
      <c r="H508" s="16" t="n">
        <v>4.192</v>
      </c>
      <c r="I508" s="17" t="n">
        <v>8</v>
      </c>
      <c r="J508" s="18" t="n">
        <v>1.578</v>
      </c>
      <c r="K508" s="7">
        <f>ROUND(H508*I508*J508, 2)</f>
        <v/>
      </c>
      <c r="L508" s="19">
        <f>ROUND(K508/1000, 3)</f>
        <v/>
      </c>
      <c r="M508" s="728">
        <f>IF(AO508="","",IF(N(INDEX(Theo_Doi_Tan_Suat_Be_Tong!$C:$C,AO508))&lt;=0,"",INDEX(Theo_Doi_Tan_Suat_Be_Tong!$C:$C,AO508)-VLOOKUP(AN508,$AQ$2:$AR$7,2,FALSE)))</f>
        <v/>
      </c>
      <c r="N508" s="4" t="n"/>
      <c r="O508" s="20">
        <f>IF(ROUNDUP(S508/20,0)&gt;ROUNDUP(S507/20,0),"TN Ø16 (Lần " &amp; ROUNDUP(S508/20,0) &amp; ")","")</f>
        <v/>
      </c>
      <c r="P508" s="16">
        <f>ROUND(P507+IF(AND(E508&lt;=10,F508&lt;&gt;"ASTM A416"),L508,0),3)</f>
        <v/>
      </c>
      <c r="Q508" s="16">
        <f>ROUND(Q507+IF(AND(E508=12,F508&lt;&gt;"ASTM A416"),L508,0),3)</f>
        <v/>
      </c>
      <c r="R508" s="16">
        <f>ROUND(R507+IF(AND(E508=14,F508&lt;&gt;"ASTM A416"),L508,0),3)</f>
        <v/>
      </c>
      <c r="S508" s="16">
        <f>ROUND(S507+IF(AND(E508=16,F508&lt;&gt;"ASTM A416"),L508,0),3)</f>
        <v/>
      </c>
      <c r="T508" s="16">
        <f>ROUND(T507+IF(AND(E508=18,F508&lt;&gt;"ASTM A416"),L508,0),3)</f>
        <v/>
      </c>
      <c r="U508" s="16">
        <f>ROUND(U507+IF(AND(E508=20,F508&lt;&gt;"ASTM A416"),L508,0),3)</f>
        <v/>
      </c>
      <c r="V508" s="16">
        <f>ROUND(V507+IF(AND(E508=22,F508&lt;&gt;"ASTM A416"),L508,0),3)</f>
        <v/>
      </c>
      <c r="W508" s="16">
        <f>ROUND(W507+IF(AND(E508=25,F508&lt;&gt;"ASTM A416"),L508,0),3)</f>
        <v/>
      </c>
      <c r="X508" s="16">
        <f>ROUND(X507+IF(AND(E508=28,F508&lt;&gt;"ASTM A416"),L508,0),3)</f>
        <v/>
      </c>
      <c r="Y508" s="16">
        <f>ROUND(Y507+IF(AND(E508=32,F508&lt;&gt;"ASTM A416"),L508,0),3)</f>
        <v/>
      </c>
      <c r="Z508" s="16">
        <f>ROUND(Z507+IF(F508="ASTM A416",L508,0),3)</f>
        <v/>
      </c>
      <c r="AA508" s="9">
        <f>IF(ROUNDUP(P508/20,0)&gt;ROUNDUP(P507/20,0),"Lần " &amp; ROUNDUP(P508/20,0),"")</f>
        <v/>
      </c>
      <c r="AB508" s="9">
        <f>IF(ROUNDUP(Q508/20,0)&gt;ROUNDUP(Q507/20,0),"Lần " &amp; ROUNDUP(Q508/20,0),"")</f>
        <v/>
      </c>
      <c r="AC508" s="9">
        <f>IF(ROUNDUP(R508/20,0)&gt;ROUNDUP(R507/20,0),"Lần " &amp; ROUNDUP(R508/20,0),"")</f>
        <v/>
      </c>
      <c r="AD508" s="9">
        <f>IF(ROUNDUP(S508/20,0)&gt;ROUNDUP(S507/20,0),"Lần " &amp; ROUNDUP(S508/20,0),"")</f>
        <v/>
      </c>
      <c r="AE508" s="9">
        <f>IF(ROUNDUP(T508/20,0)&gt;ROUNDUP(T507/20,0),"Lần " &amp; ROUNDUP(T508/20,0),"")</f>
        <v/>
      </c>
      <c r="AF508" s="9">
        <f>IF(ROUNDUP(U508/20,0)&gt;ROUNDUP(U507/20,0),"Lần " &amp; ROUNDUP(U508/20,0),"")</f>
        <v/>
      </c>
      <c r="AG508" s="9">
        <f>IF(ROUNDUP(V508/20,0)&gt;ROUNDUP(V507/20,0),"Lần " &amp; ROUNDUP(V508/20,0),"")</f>
        <v/>
      </c>
      <c r="AH508" s="9">
        <f>IF(ROUNDUP(W508/20,0)&gt;ROUNDUP(W507/20,0),"Lần " &amp; ROUNDUP(W508/20,0),"")</f>
        <v/>
      </c>
      <c r="AI508" s="9">
        <f>IF(ROUNDUP(X508/20,0)&gt;ROUNDUP(X507/20,0),"Lần " &amp; ROUNDUP(X508/20,0),"")</f>
        <v/>
      </c>
      <c r="AJ508" s="9">
        <f>IF(ROUNDUP(Y508/20,0)&gt;ROUNDUP(Y507/20,0),"Lần " &amp; ROUNDUP(Y508/20,0),"")</f>
        <v/>
      </c>
      <c r="AK508" s="9">
        <f>IF(ROUNDUP(Z508/20,0)&gt;ROUNDUP(Z507/20,0),"Lần " &amp; ROUNDUP(Z508/20,0),"")</f>
        <v/>
      </c>
      <c r="AL508" s="4" t="n"/>
      <c r="AN508" s="596" t="inlineStr">
        <is>
          <t>Than</t>
        </is>
      </c>
      <c r="AO508" s="596" t="n">
        <v>54</v>
      </c>
      <c r="AQ508" s="594" t="n"/>
      <c r="AR508" s="595" t="n"/>
    </row>
    <row r="509" ht="19" customHeight="1" s="672">
      <c r="A509" s="4" t="n">
        <v>479</v>
      </c>
      <c r="B509" s="5" t="inlineStr">
        <is>
          <t>Mố M2</t>
        </is>
      </c>
      <c r="C509" s="5" t="inlineStr">
        <is>
          <t>Mố M2 (tr.40)</t>
        </is>
      </c>
      <c r="D509" s="14" t="inlineStr">
        <is>
          <t>U2</t>
        </is>
      </c>
      <c r="E509" s="15" t="n">
        <v>16</v>
      </c>
      <c r="F509" s="4" t="inlineStr">
        <is>
          <t>CB400-V</t>
        </is>
      </c>
      <c r="G509" s="5" t="inlineStr">
        <is>
          <t>S06</t>
        </is>
      </c>
      <c r="H509" s="16" t="n">
        <v>3.892</v>
      </c>
      <c r="I509" s="17" t="n">
        <v>14</v>
      </c>
      <c r="J509" s="18" t="n">
        <v>1.578</v>
      </c>
      <c r="K509" s="7">
        <f>ROUND(H509*I509*J509, 2)</f>
        <v/>
      </c>
      <c r="L509" s="19">
        <f>ROUND(K509/1000, 3)</f>
        <v/>
      </c>
      <c r="M509" s="728">
        <f>IF(AO509="","",IF(N(INDEX(Theo_Doi_Tan_Suat_Be_Tong!$C:$C,AO509))&lt;=0,"",INDEX(Theo_Doi_Tan_Suat_Be_Tong!$C:$C,AO509)-VLOOKUP(AN509,$AQ$2:$AR$7,2,FALSE)))</f>
        <v/>
      </c>
      <c r="N509" s="4" t="n"/>
      <c r="O509" s="20">
        <f>IF(ROUNDUP(S509/20,0)&gt;ROUNDUP(S508/20,0),"TN Ø16 (Lần " &amp; ROUNDUP(S509/20,0) &amp; ")","")</f>
        <v/>
      </c>
      <c r="P509" s="16">
        <f>ROUND(P508+IF(AND(E509&lt;=10,F509&lt;&gt;"ASTM A416"),L509,0),3)</f>
        <v/>
      </c>
      <c r="Q509" s="16">
        <f>ROUND(Q508+IF(AND(E509=12,F509&lt;&gt;"ASTM A416"),L509,0),3)</f>
        <v/>
      </c>
      <c r="R509" s="16">
        <f>ROUND(R508+IF(AND(E509=14,F509&lt;&gt;"ASTM A416"),L509,0),3)</f>
        <v/>
      </c>
      <c r="S509" s="16">
        <f>ROUND(S508+IF(AND(E509=16,F509&lt;&gt;"ASTM A416"),L509,0),3)</f>
        <v/>
      </c>
      <c r="T509" s="16">
        <f>ROUND(T508+IF(AND(E509=18,F509&lt;&gt;"ASTM A416"),L509,0),3)</f>
        <v/>
      </c>
      <c r="U509" s="16">
        <f>ROUND(U508+IF(AND(E509=20,F509&lt;&gt;"ASTM A416"),L509,0),3)</f>
        <v/>
      </c>
      <c r="V509" s="16">
        <f>ROUND(V508+IF(AND(E509=22,F509&lt;&gt;"ASTM A416"),L509,0),3)</f>
        <v/>
      </c>
      <c r="W509" s="16">
        <f>ROUND(W508+IF(AND(E509=25,F509&lt;&gt;"ASTM A416"),L509,0),3)</f>
        <v/>
      </c>
      <c r="X509" s="16">
        <f>ROUND(X508+IF(AND(E509=28,F509&lt;&gt;"ASTM A416"),L509,0),3)</f>
        <v/>
      </c>
      <c r="Y509" s="16">
        <f>ROUND(Y508+IF(AND(E509=32,F509&lt;&gt;"ASTM A416"),L509,0),3)</f>
        <v/>
      </c>
      <c r="Z509" s="16">
        <f>ROUND(Z508+IF(F509="ASTM A416",L509,0),3)</f>
        <v/>
      </c>
      <c r="AA509" s="9">
        <f>IF(ROUNDUP(P509/20,0)&gt;ROUNDUP(P508/20,0),"Lần " &amp; ROUNDUP(P509/20,0),"")</f>
        <v/>
      </c>
      <c r="AB509" s="9">
        <f>IF(ROUNDUP(Q509/20,0)&gt;ROUNDUP(Q508/20,0),"Lần " &amp; ROUNDUP(Q509/20,0),"")</f>
        <v/>
      </c>
      <c r="AC509" s="9">
        <f>IF(ROUNDUP(R509/20,0)&gt;ROUNDUP(R508/20,0),"Lần " &amp; ROUNDUP(R509/20,0),"")</f>
        <v/>
      </c>
      <c r="AD509" s="9">
        <f>IF(ROUNDUP(S509/20,0)&gt;ROUNDUP(S508/20,0),"Lần " &amp; ROUNDUP(S509/20,0),"")</f>
        <v/>
      </c>
      <c r="AE509" s="9">
        <f>IF(ROUNDUP(T509/20,0)&gt;ROUNDUP(T508/20,0),"Lần " &amp; ROUNDUP(T509/20,0),"")</f>
        <v/>
      </c>
      <c r="AF509" s="9">
        <f>IF(ROUNDUP(U509/20,0)&gt;ROUNDUP(U508/20,0),"Lần " &amp; ROUNDUP(U509/20,0),"")</f>
        <v/>
      </c>
      <c r="AG509" s="9">
        <f>IF(ROUNDUP(V509/20,0)&gt;ROUNDUP(V508/20,0),"Lần " &amp; ROUNDUP(V509/20,0),"")</f>
        <v/>
      </c>
      <c r="AH509" s="9">
        <f>IF(ROUNDUP(W509/20,0)&gt;ROUNDUP(W508/20,0),"Lần " &amp; ROUNDUP(W509/20,0),"")</f>
        <v/>
      </c>
      <c r="AI509" s="9">
        <f>IF(ROUNDUP(X509/20,0)&gt;ROUNDUP(X508/20,0),"Lần " &amp; ROUNDUP(X509/20,0),"")</f>
        <v/>
      </c>
      <c r="AJ509" s="9">
        <f>IF(ROUNDUP(Y509/20,0)&gt;ROUNDUP(Y508/20,0),"Lần " &amp; ROUNDUP(Y509/20,0),"")</f>
        <v/>
      </c>
      <c r="AK509" s="9">
        <f>IF(ROUNDUP(Z509/20,0)&gt;ROUNDUP(Z508/20,0),"Lần " &amp; ROUNDUP(Z509/20,0),"")</f>
        <v/>
      </c>
      <c r="AL509" s="4" t="n"/>
      <c r="AN509" s="596" t="inlineStr">
        <is>
          <t>Than</t>
        </is>
      </c>
      <c r="AO509" s="596" t="n">
        <v>54</v>
      </c>
      <c r="AQ509" s="594" t="n"/>
      <c r="AR509" s="595" t="n"/>
    </row>
    <row r="510" ht="19" customHeight="1" s="672">
      <c r="A510" s="4" t="n">
        <v>480</v>
      </c>
      <c r="B510" s="5" t="inlineStr">
        <is>
          <t>Mố M2</t>
        </is>
      </c>
      <c r="C510" s="5" t="inlineStr">
        <is>
          <t>Mố M2 (tr.40)</t>
        </is>
      </c>
      <c r="D510" s="14" t="inlineStr">
        <is>
          <t>U3</t>
        </is>
      </c>
      <c r="E510" s="15" t="n">
        <v>16</v>
      </c>
      <c r="F510" s="4" t="inlineStr">
        <is>
          <t>CB400-V</t>
        </is>
      </c>
      <c r="G510" s="5" t="inlineStr">
        <is>
          <t>S51</t>
        </is>
      </c>
      <c r="H510" s="16" t="n">
        <v>3.256</v>
      </c>
      <c r="I510" s="17" t="n">
        <v>24</v>
      </c>
      <c r="J510" s="18" t="n">
        <v>1.578</v>
      </c>
      <c r="K510" s="7">
        <f>ROUND(H510*I510*J510, 2)</f>
        <v/>
      </c>
      <c r="L510" s="19">
        <f>ROUND(K510/1000, 3)</f>
        <v/>
      </c>
      <c r="M510" s="728">
        <f>IF(AO510="","",IF(N(INDEX(Theo_Doi_Tan_Suat_Be_Tong!$C:$C,AO510))&lt;=0,"",INDEX(Theo_Doi_Tan_Suat_Be_Tong!$C:$C,AO510)-VLOOKUP(AN510,$AQ$2:$AR$7,2,FALSE)))</f>
        <v/>
      </c>
      <c r="N510" s="4" t="n"/>
      <c r="O510" s="20">
        <f>IF(ROUNDUP(S510/20,0)&gt;ROUNDUP(S509/20,0),"TN Ø16 (Lần " &amp; ROUNDUP(S510/20,0) &amp; ")","")</f>
        <v/>
      </c>
      <c r="P510" s="16">
        <f>ROUND(P509+IF(AND(E510&lt;=10,F510&lt;&gt;"ASTM A416"),L510,0),3)</f>
        <v/>
      </c>
      <c r="Q510" s="16">
        <f>ROUND(Q509+IF(AND(E510=12,F510&lt;&gt;"ASTM A416"),L510,0),3)</f>
        <v/>
      </c>
      <c r="R510" s="16">
        <f>ROUND(R509+IF(AND(E510=14,F510&lt;&gt;"ASTM A416"),L510,0),3)</f>
        <v/>
      </c>
      <c r="S510" s="16">
        <f>ROUND(S509+IF(AND(E510=16,F510&lt;&gt;"ASTM A416"),L510,0),3)</f>
        <v/>
      </c>
      <c r="T510" s="16">
        <f>ROUND(T509+IF(AND(E510=18,F510&lt;&gt;"ASTM A416"),L510,0),3)</f>
        <v/>
      </c>
      <c r="U510" s="16">
        <f>ROUND(U509+IF(AND(E510=20,F510&lt;&gt;"ASTM A416"),L510,0),3)</f>
        <v/>
      </c>
      <c r="V510" s="16">
        <f>ROUND(V509+IF(AND(E510=22,F510&lt;&gt;"ASTM A416"),L510,0),3)</f>
        <v/>
      </c>
      <c r="W510" s="16">
        <f>ROUND(W509+IF(AND(E510=25,F510&lt;&gt;"ASTM A416"),L510,0),3)</f>
        <v/>
      </c>
      <c r="X510" s="16">
        <f>ROUND(X509+IF(AND(E510=28,F510&lt;&gt;"ASTM A416"),L510,0),3)</f>
        <v/>
      </c>
      <c r="Y510" s="16">
        <f>ROUND(Y509+IF(AND(E510=32,F510&lt;&gt;"ASTM A416"),L510,0),3)</f>
        <v/>
      </c>
      <c r="Z510" s="16">
        <f>ROUND(Z509+IF(F510="ASTM A416",L510,0),3)</f>
        <v/>
      </c>
      <c r="AA510" s="9">
        <f>IF(ROUNDUP(P510/20,0)&gt;ROUNDUP(P509/20,0),"Lần " &amp; ROUNDUP(P510/20,0),"")</f>
        <v/>
      </c>
      <c r="AB510" s="9">
        <f>IF(ROUNDUP(Q510/20,0)&gt;ROUNDUP(Q509/20,0),"Lần " &amp; ROUNDUP(Q510/20,0),"")</f>
        <v/>
      </c>
      <c r="AC510" s="9">
        <f>IF(ROUNDUP(R510/20,0)&gt;ROUNDUP(R509/20,0),"Lần " &amp; ROUNDUP(R510/20,0),"")</f>
        <v/>
      </c>
      <c r="AD510" s="9">
        <f>IF(ROUNDUP(S510/20,0)&gt;ROUNDUP(S509/20,0),"Lần " &amp; ROUNDUP(S510/20,0),"")</f>
        <v/>
      </c>
      <c r="AE510" s="9">
        <f>IF(ROUNDUP(T510/20,0)&gt;ROUNDUP(T509/20,0),"Lần " &amp; ROUNDUP(T510/20,0),"")</f>
        <v/>
      </c>
      <c r="AF510" s="9">
        <f>IF(ROUNDUP(U510/20,0)&gt;ROUNDUP(U509/20,0),"Lần " &amp; ROUNDUP(U510/20,0),"")</f>
        <v/>
      </c>
      <c r="AG510" s="9">
        <f>IF(ROUNDUP(V510/20,0)&gt;ROUNDUP(V509/20,0),"Lần " &amp; ROUNDUP(V510/20,0),"")</f>
        <v/>
      </c>
      <c r="AH510" s="9">
        <f>IF(ROUNDUP(W510/20,0)&gt;ROUNDUP(W509/20,0),"Lần " &amp; ROUNDUP(W510/20,0),"")</f>
        <v/>
      </c>
      <c r="AI510" s="9">
        <f>IF(ROUNDUP(X510/20,0)&gt;ROUNDUP(X509/20,0),"Lần " &amp; ROUNDUP(X510/20,0),"")</f>
        <v/>
      </c>
      <c r="AJ510" s="9">
        <f>IF(ROUNDUP(Y510/20,0)&gt;ROUNDUP(Y509/20,0),"Lần " &amp; ROUNDUP(Y510/20,0),"")</f>
        <v/>
      </c>
      <c r="AK510" s="9">
        <f>IF(ROUNDUP(Z510/20,0)&gt;ROUNDUP(Z509/20,0),"Lần " &amp; ROUNDUP(Z510/20,0),"")</f>
        <v/>
      </c>
      <c r="AL510" s="4" t="n"/>
      <c r="AN510" s="596" t="inlineStr">
        <is>
          <t>Than</t>
        </is>
      </c>
      <c r="AO510" s="596" t="n">
        <v>54</v>
      </c>
      <c r="AQ510" s="594" t="n"/>
      <c r="AR510" s="595" t="n"/>
    </row>
    <row r="511" ht="19" customHeight="1" s="672">
      <c r="A511" s="4" t="n">
        <v>481</v>
      </c>
      <c r="B511" s="5" t="inlineStr">
        <is>
          <t>Mố M2</t>
        </is>
      </c>
      <c r="C511" s="5" t="inlineStr">
        <is>
          <t>Mố M2 (tr.40)</t>
        </is>
      </c>
      <c r="D511" s="14" t="inlineStr">
        <is>
          <t>n</t>
        </is>
      </c>
      <c r="E511" s="15" t="n">
        <v>16</v>
      </c>
      <c r="F511" s="4" t="inlineStr">
        <is>
          <t>CB400-V</t>
        </is>
      </c>
      <c r="G511" s="5" t="inlineStr"/>
      <c r="H511" s="16" t="n">
        <v>1.64</v>
      </c>
      <c r="I511" s="17" t="n">
        <v>4</v>
      </c>
      <c r="J511" s="18" t="n">
        <v>1.578</v>
      </c>
      <c r="K511" s="7">
        <f>ROUND(H511*I511*J511, 2)</f>
        <v/>
      </c>
      <c r="L511" s="19">
        <f>ROUND(K511/1000, 3)</f>
        <v/>
      </c>
      <c r="M511" s="728">
        <f>IF(AO511="","",IF(N(INDEX(Theo_Doi_Tan_Suat_Be_Tong!$C:$C,AO511))&lt;=0,"",INDEX(Theo_Doi_Tan_Suat_Be_Tong!$C:$C,AO511)-VLOOKUP(AN511,$AQ$2:$AR$7,2,FALSE)))</f>
        <v/>
      </c>
      <c r="N511" s="4" t="n"/>
      <c r="O511" s="20">
        <f>IF(ROUNDUP(S511/20,0)&gt;ROUNDUP(S510/20,0),"TN Ø16 (Lần " &amp; ROUNDUP(S511/20,0) &amp; ")","")</f>
        <v/>
      </c>
      <c r="P511" s="16">
        <f>ROUND(P510+IF(AND(E511&lt;=10,F511&lt;&gt;"ASTM A416"),L511,0),3)</f>
        <v/>
      </c>
      <c r="Q511" s="16">
        <f>ROUND(Q510+IF(AND(E511=12,F511&lt;&gt;"ASTM A416"),L511,0),3)</f>
        <v/>
      </c>
      <c r="R511" s="16">
        <f>ROUND(R510+IF(AND(E511=14,F511&lt;&gt;"ASTM A416"),L511,0),3)</f>
        <v/>
      </c>
      <c r="S511" s="16">
        <f>ROUND(S510+IF(AND(E511=16,F511&lt;&gt;"ASTM A416"),L511,0),3)</f>
        <v/>
      </c>
      <c r="T511" s="16">
        <f>ROUND(T510+IF(AND(E511=18,F511&lt;&gt;"ASTM A416"),L511,0),3)</f>
        <v/>
      </c>
      <c r="U511" s="16">
        <f>ROUND(U510+IF(AND(E511=20,F511&lt;&gt;"ASTM A416"),L511,0),3)</f>
        <v/>
      </c>
      <c r="V511" s="16">
        <f>ROUND(V510+IF(AND(E511=22,F511&lt;&gt;"ASTM A416"),L511,0),3)</f>
        <v/>
      </c>
      <c r="W511" s="16">
        <f>ROUND(W510+IF(AND(E511=25,F511&lt;&gt;"ASTM A416"),L511,0),3)</f>
        <v/>
      </c>
      <c r="X511" s="16">
        <f>ROUND(X510+IF(AND(E511=28,F511&lt;&gt;"ASTM A416"),L511,0),3)</f>
        <v/>
      </c>
      <c r="Y511" s="16">
        <f>ROUND(Y510+IF(AND(E511=32,F511&lt;&gt;"ASTM A416"),L511,0),3)</f>
        <v/>
      </c>
      <c r="Z511" s="16">
        <f>ROUND(Z510+IF(F511="ASTM A416",L511,0),3)</f>
        <v/>
      </c>
      <c r="AA511" s="9">
        <f>IF(ROUNDUP(P511/20,0)&gt;ROUNDUP(P510/20,0),"Lần " &amp; ROUNDUP(P511/20,0),"")</f>
        <v/>
      </c>
      <c r="AB511" s="9">
        <f>IF(ROUNDUP(Q511/20,0)&gt;ROUNDUP(Q510/20,0),"Lần " &amp; ROUNDUP(Q511/20,0),"")</f>
        <v/>
      </c>
      <c r="AC511" s="9">
        <f>IF(ROUNDUP(R511/20,0)&gt;ROUNDUP(R510/20,0),"Lần " &amp; ROUNDUP(R511/20,0),"")</f>
        <v/>
      </c>
      <c r="AD511" s="9">
        <f>IF(ROUNDUP(S511/20,0)&gt;ROUNDUP(S510/20,0),"Lần " &amp; ROUNDUP(S511/20,0),"")</f>
        <v/>
      </c>
      <c r="AE511" s="9">
        <f>IF(ROUNDUP(T511/20,0)&gt;ROUNDUP(T510/20,0),"Lần " &amp; ROUNDUP(T511/20,0),"")</f>
        <v/>
      </c>
      <c r="AF511" s="9">
        <f>IF(ROUNDUP(U511/20,0)&gt;ROUNDUP(U510/20,0),"Lần " &amp; ROUNDUP(U511/20,0),"")</f>
        <v/>
      </c>
      <c r="AG511" s="9">
        <f>IF(ROUNDUP(V511/20,0)&gt;ROUNDUP(V510/20,0),"Lần " &amp; ROUNDUP(V511/20,0),"")</f>
        <v/>
      </c>
      <c r="AH511" s="9">
        <f>IF(ROUNDUP(W511/20,0)&gt;ROUNDUP(W510/20,0),"Lần " &amp; ROUNDUP(W511/20,0),"")</f>
        <v/>
      </c>
      <c r="AI511" s="9">
        <f>IF(ROUNDUP(X511/20,0)&gt;ROUNDUP(X510/20,0),"Lần " &amp; ROUNDUP(X511/20,0),"")</f>
        <v/>
      </c>
      <c r="AJ511" s="9">
        <f>IF(ROUNDUP(Y511/20,0)&gt;ROUNDUP(Y510/20,0),"Lần " &amp; ROUNDUP(Y511/20,0),"")</f>
        <v/>
      </c>
      <c r="AK511" s="9">
        <f>IF(ROUNDUP(Z511/20,0)&gt;ROUNDUP(Z510/20,0),"Lần " &amp; ROUNDUP(Z511/20,0),"")</f>
        <v/>
      </c>
      <c r="AL511" s="4" t="n"/>
      <c r="AN511" s="596" t="inlineStr">
        <is>
          <t>Than</t>
        </is>
      </c>
      <c r="AO511" s="596" t="n">
        <v>54</v>
      </c>
      <c r="AQ511" s="594" t="n"/>
      <c r="AR511" s="595" t="n"/>
    </row>
    <row r="512" ht="19" customHeight="1" s="672">
      <c r="A512" s="4" t="n">
        <v>482</v>
      </c>
      <c r="B512" s="5" t="inlineStr">
        <is>
          <t>Mố M2</t>
        </is>
      </c>
      <c r="C512" s="5" t="inlineStr">
        <is>
          <t>Mố M2 (tr.40)</t>
        </is>
      </c>
      <c r="D512" s="14" t="inlineStr">
        <is>
          <t>B1</t>
        </is>
      </c>
      <c r="E512" s="15" t="n">
        <v>8</v>
      </c>
      <c r="F512" s="4" t="inlineStr">
        <is>
          <t>CB240-T</t>
        </is>
      </c>
      <c r="G512" s="5" t="inlineStr">
        <is>
          <t>S01</t>
        </is>
      </c>
      <c r="H512" s="16" t="n">
        <v>0.64</v>
      </c>
      <c r="I512" s="17" t="n">
        <v>50</v>
      </c>
      <c r="J512" s="18" t="n">
        <v>0.395</v>
      </c>
      <c r="K512" s="7">
        <f>ROUND(H512*I512*J512, 2)</f>
        <v/>
      </c>
      <c r="L512" s="19">
        <f>ROUND(K512/1000, 3)</f>
        <v/>
      </c>
      <c r="M512" s="728">
        <f>IF(AO512="","",IF(N(INDEX(Theo_Doi_Tan_Suat_Be_Tong!$C:$C,AO512))&lt;=0,"",INDEX(Theo_Doi_Tan_Suat_Be_Tong!$C:$C,AO512)-VLOOKUP(AN512,$AQ$2:$AR$7,2,FALSE)))</f>
        <v/>
      </c>
      <c r="N512" s="4" t="n"/>
      <c r="O512" s="20">
        <f>IF(ROUNDUP(P512/20,0)&gt;ROUNDUP(P511/20,0),"TN Ø10 (Lần " &amp; ROUNDUP(P512/20,0) &amp; ")","")</f>
        <v/>
      </c>
      <c r="P512" s="16">
        <f>ROUND(P511+IF(AND(E512&lt;=10,F512&lt;&gt;"ASTM A416"),L512,0),3)</f>
        <v/>
      </c>
      <c r="Q512" s="16">
        <f>ROUND(Q511+IF(AND(E512=12,F512&lt;&gt;"ASTM A416"),L512,0),3)</f>
        <v/>
      </c>
      <c r="R512" s="16">
        <f>ROUND(R511+IF(AND(E512=14,F512&lt;&gt;"ASTM A416"),L512,0),3)</f>
        <v/>
      </c>
      <c r="S512" s="16">
        <f>ROUND(S511+IF(AND(E512=16,F512&lt;&gt;"ASTM A416"),L512,0),3)</f>
        <v/>
      </c>
      <c r="T512" s="16">
        <f>ROUND(T511+IF(AND(E512=18,F512&lt;&gt;"ASTM A416"),L512,0),3)</f>
        <v/>
      </c>
      <c r="U512" s="16">
        <f>ROUND(U511+IF(AND(E512=20,F512&lt;&gt;"ASTM A416"),L512,0),3)</f>
        <v/>
      </c>
      <c r="V512" s="16">
        <f>ROUND(V511+IF(AND(E512=22,F512&lt;&gt;"ASTM A416"),L512,0),3)</f>
        <v/>
      </c>
      <c r="W512" s="16">
        <f>ROUND(W511+IF(AND(E512=25,F512&lt;&gt;"ASTM A416"),L512,0),3)</f>
        <v/>
      </c>
      <c r="X512" s="16">
        <f>ROUND(X511+IF(AND(E512=28,F512&lt;&gt;"ASTM A416"),L512,0),3)</f>
        <v/>
      </c>
      <c r="Y512" s="16">
        <f>ROUND(Y511+IF(AND(E512=32,F512&lt;&gt;"ASTM A416"),L512,0),3)</f>
        <v/>
      </c>
      <c r="Z512" s="16">
        <f>ROUND(Z511+IF(F512="ASTM A416",L512,0),3)</f>
        <v/>
      </c>
      <c r="AA512" s="9">
        <f>IF(ROUNDUP(P512/20,0)&gt;ROUNDUP(P511/20,0),"Lần " &amp; ROUNDUP(P512/20,0),"")</f>
        <v/>
      </c>
      <c r="AB512" s="9">
        <f>IF(ROUNDUP(Q512/20,0)&gt;ROUNDUP(Q511/20,0),"Lần " &amp; ROUNDUP(Q512/20,0),"")</f>
        <v/>
      </c>
      <c r="AC512" s="9">
        <f>IF(ROUNDUP(R512/20,0)&gt;ROUNDUP(R511/20,0),"Lần " &amp; ROUNDUP(R512/20,0),"")</f>
        <v/>
      </c>
      <c r="AD512" s="9">
        <f>IF(ROUNDUP(S512/20,0)&gt;ROUNDUP(S511/20,0),"Lần " &amp; ROUNDUP(S512/20,0),"")</f>
        <v/>
      </c>
      <c r="AE512" s="9">
        <f>IF(ROUNDUP(T512/20,0)&gt;ROUNDUP(T511/20,0),"Lần " &amp; ROUNDUP(T512/20,0),"")</f>
        <v/>
      </c>
      <c r="AF512" s="9">
        <f>IF(ROUNDUP(U512/20,0)&gt;ROUNDUP(U511/20,0),"Lần " &amp; ROUNDUP(U512/20,0),"")</f>
        <v/>
      </c>
      <c r="AG512" s="9">
        <f>IF(ROUNDUP(V512/20,0)&gt;ROUNDUP(V511/20,0),"Lần " &amp; ROUNDUP(V512/20,0),"")</f>
        <v/>
      </c>
      <c r="AH512" s="9">
        <f>IF(ROUNDUP(W512/20,0)&gt;ROUNDUP(W511/20,0),"Lần " &amp; ROUNDUP(W512/20,0),"")</f>
        <v/>
      </c>
      <c r="AI512" s="9">
        <f>IF(ROUNDUP(X512/20,0)&gt;ROUNDUP(X511/20,0),"Lần " &amp; ROUNDUP(X512/20,0),"")</f>
        <v/>
      </c>
      <c r="AJ512" s="9">
        <f>IF(ROUNDUP(Y512/20,0)&gt;ROUNDUP(Y511/20,0),"Lần " &amp; ROUNDUP(Y512/20,0),"")</f>
        <v/>
      </c>
      <c r="AK512" s="9">
        <f>IF(ROUNDUP(Z512/20,0)&gt;ROUNDUP(Z511/20,0),"Lần " &amp; ROUNDUP(Z512/20,0),"")</f>
        <v/>
      </c>
      <c r="AL512" s="4" t="n"/>
      <c r="AN512" s="596" t="inlineStr">
        <is>
          <t>Than</t>
        </is>
      </c>
      <c r="AO512" s="596" t="n">
        <v>54</v>
      </c>
      <c r="AQ512" s="594" t="n"/>
      <c r="AR512" s="595" t="n"/>
    </row>
    <row r="513" ht="19" customHeight="1" s="672">
      <c r="A513" s="4" t="n">
        <v>483</v>
      </c>
      <c r="B513" s="5" t="inlineStr">
        <is>
          <t>Mố M2</t>
        </is>
      </c>
      <c r="C513" s="5" t="inlineStr">
        <is>
          <t>Mố M2 (tr.40)</t>
        </is>
      </c>
      <c r="D513" s="14" t="inlineStr">
        <is>
          <t>B2</t>
        </is>
      </c>
      <c r="E513" s="15" t="n">
        <v>8</v>
      </c>
      <c r="F513" s="4" t="inlineStr">
        <is>
          <t>CB240-T</t>
        </is>
      </c>
      <c r="G513" s="5" t="inlineStr">
        <is>
          <t>S01</t>
        </is>
      </c>
      <c r="H513" s="16" t="n">
        <v>0.48</v>
      </c>
      <c r="I513" s="17" t="n">
        <v>65</v>
      </c>
      <c r="J513" s="18" t="n">
        <v>0.395</v>
      </c>
      <c r="K513" s="7">
        <f>ROUND(H513*I513*J513, 2)</f>
        <v/>
      </c>
      <c r="L513" s="19">
        <f>ROUND(K513/1000, 3)</f>
        <v/>
      </c>
      <c r="M513" s="728">
        <f>IF(AO513="","",IF(N(INDEX(Theo_Doi_Tan_Suat_Be_Tong!$C:$C,AO513))&lt;=0,"",INDEX(Theo_Doi_Tan_Suat_Be_Tong!$C:$C,AO513)-VLOOKUP(AN513,$AQ$2:$AR$7,2,FALSE)))</f>
        <v/>
      </c>
      <c r="N513" s="4" t="n"/>
      <c r="O513" s="20">
        <f>IF(ROUNDUP(P513/20,0)&gt;ROUNDUP(P512/20,0),"TN Ø10 (Lần " &amp; ROUNDUP(P513/20,0) &amp; ")","")</f>
        <v/>
      </c>
      <c r="P513" s="16">
        <f>ROUND(P512+IF(AND(E513&lt;=10,F513&lt;&gt;"ASTM A416"),L513,0),3)</f>
        <v/>
      </c>
      <c r="Q513" s="16">
        <f>ROUND(Q512+IF(AND(E513=12,F513&lt;&gt;"ASTM A416"),L513,0),3)</f>
        <v/>
      </c>
      <c r="R513" s="16">
        <f>ROUND(R512+IF(AND(E513=14,F513&lt;&gt;"ASTM A416"),L513,0),3)</f>
        <v/>
      </c>
      <c r="S513" s="16">
        <f>ROUND(S512+IF(AND(E513=16,F513&lt;&gt;"ASTM A416"),L513,0),3)</f>
        <v/>
      </c>
      <c r="T513" s="16">
        <f>ROUND(T512+IF(AND(E513=18,F513&lt;&gt;"ASTM A416"),L513,0),3)</f>
        <v/>
      </c>
      <c r="U513" s="16">
        <f>ROUND(U512+IF(AND(E513=20,F513&lt;&gt;"ASTM A416"),L513,0),3)</f>
        <v/>
      </c>
      <c r="V513" s="16">
        <f>ROUND(V512+IF(AND(E513=22,F513&lt;&gt;"ASTM A416"),L513,0),3)</f>
        <v/>
      </c>
      <c r="W513" s="16">
        <f>ROUND(W512+IF(AND(E513=25,F513&lt;&gt;"ASTM A416"),L513,0),3)</f>
        <v/>
      </c>
      <c r="X513" s="16">
        <f>ROUND(X512+IF(AND(E513=28,F513&lt;&gt;"ASTM A416"),L513,0),3)</f>
        <v/>
      </c>
      <c r="Y513" s="16">
        <f>ROUND(Y512+IF(AND(E513=32,F513&lt;&gt;"ASTM A416"),L513,0),3)</f>
        <v/>
      </c>
      <c r="Z513" s="16">
        <f>ROUND(Z512+IF(F513="ASTM A416",L513,0),3)</f>
        <v/>
      </c>
      <c r="AA513" s="9">
        <f>IF(ROUNDUP(P513/20,0)&gt;ROUNDUP(P512/20,0),"Lần " &amp; ROUNDUP(P513/20,0),"")</f>
        <v/>
      </c>
      <c r="AB513" s="9">
        <f>IF(ROUNDUP(Q513/20,0)&gt;ROUNDUP(Q512/20,0),"Lần " &amp; ROUNDUP(Q513/20,0),"")</f>
        <v/>
      </c>
      <c r="AC513" s="9">
        <f>IF(ROUNDUP(R513/20,0)&gt;ROUNDUP(R512/20,0),"Lần " &amp; ROUNDUP(R513/20,0),"")</f>
        <v/>
      </c>
      <c r="AD513" s="9">
        <f>IF(ROUNDUP(S513/20,0)&gt;ROUNDUP(S512/20,0),"Lần " &amp; ROUNDUP(S513/20,0),"")</f>
        <v/>
      </c>
      <c r="AE513" s="9">
        <f>IF(ROUNDUP(T513/20,0)&gt;ROUNDUP(T512/20,0),"Lần " &amp; ROUNDUP(T513/20,0),"")</f>
        <v/>
      </c>
      <c r="AF513" s="9">
        <f>IF(ROUNDUP(U513/20,0)&gt;ROUNDUP(U512/20,0),"Lần " &amp; ROUNDUP(U513/20,0),"")</f>
        <v/>
      </c>
      <c r="AG513" s="9">
        <f>IF(ROUNDUP(V513/20,0)&gt;ROUNDUP(V512/20,0),"Lần " &amp; ROUNDUP(V513/20,0),"")</f>
        <v/>
      </c>
      <c r="AH513" s="9">
        <f>IF(ROUNDUP(W513/20,0)&gt;ROUNDUP(W512/20,0),"Lần " &amp; ROUNDUP(W513/20,0),"")</f>
        <v/>
      </c>
      <c r="AI513" s="9">
        <f>IF(ROUNDUP(X513/20,0)&gt;ROUNDUP(X512/20,0),"Lần " &amp; ROUNDUP(X513/20,0),"")</f>
        <v/>
      </c>
      <c r="AJ513" s="9">
        <f>IF(ROUNDUP(Y513/20,0)&gt;ROUNDUP(Y512/20,0),"Lần " &amp; ROUNDUP(Y513/20,0),"")</f>
        <v/>
      </c>
      <c r="AK513" s="9">
        <f>IF(ROUNDUP(Z513/20,0)&gt;ROUNDUP(Z512/20,0),"Lần " &amp; ROUNDUP(Z513/20,0),"")</f>
        <v/>
      </c>
      <c r="AL513" s="4" t="n"/>
      <c r="AN513" s="596" t="inlineStr">
        <is>
          <t>Than</t>
        </is>
      </c>
      <c r="AO513" s="596" t="n">
        <v>54</v>
      </c>
      <c r="AQ513" s="594" t="n"/>
      <c r="AR513" s="595" t="n"/>
    </row>
    <row r="514" ht="19" customHeight="1" s="672">
      <c r="A514" s="4" t="n">
        <v>484</v>
      </c>
      <c r="B514" s="5" t="inlineStr">
        <is>
          <t>Mố M2</t>
        </is>
      </c>
      <c r="C514" s="5" t="inlineStr">
        <is>
          <t>Mố M2 (tr.40)</t>
        </is>
      </c>
      <c r="D514" s="14" t="inlineStr">
        <is>
          <t>T1</t>
        </is>
      </c>
      <c r="E514" s="15" t="n">
        <v>16</v>
      </c>
      <c r="F514" s="4" t="inlineStr">
        <is>
          <t>CB400-V</t>
        </is>
      </c>
      <c r="G514" s="5" t="inlineStr">
        <is>
          <t>S01</t>
        </is>
      </c>
      <c r="H514" s="16" t="n">
        <v>1.89</v>
      </c>
      <c r="I514" s="17" t="n">
        <v>7</v>
      </c>
      <c r="J514" s="18" t="n">
        <v>1.578</v>
      </c>
      <c r="K514" s="7">
        <f>ROUND(H514*I514*J514, 2)</f>
        <v/>
      </c>
      <c r="L514" s="19">
        <f>ROUND(K514/1000, 3)</f>
        <v/>
      </c>
      <c r="M514" s="728">
        <f>IF(AO514="","",IF(N(INDEX(Theo_Doi_Tan_Suat_Be_Tong!$C:$C,AO514))&lt;=0,"",INDEX(Theo_Doi_Tan_Suat_Be_Tong!$C:$C,AO514)-VLOOKUP(AN514,$AQ$2:$AR$7,2,FALSE)))</f>
        <v/>
      </c>
      <c r="N514" s="4" t="n"/>
      <c r="O514" s="20">
        <f>IF(ROUNDUP(S514/20,0)&gt;ROUNDUP(S513/20,0),"TN Ø16 (Lần " &amp; ROUNDUP(S514/20,0) &amp; ")","")</f>
        <v/>
      </c>
      <c r="P514" s="16">
        <f>ROUND(P513+IF(AND(E514&lt;=10,F514&lt;&gt;"ASTM A416"),L514,0),3)</f>
        <v/>
      </c>
      <c r="Q514" s="16">
        <f>ROUND(Q513+IF(AND(E514=12,F514&lt;&gt;"ASTM A416"),L514,0),3)</f>
        <v/>
      </c>
      <c r="R514" s="16">
        <f>ROUND(R513+IF(AND(E514=14,F514&lt;&gt;"ASTM A416"),L514,0),3)</f>
        <v/>
      </c>
      <c r="S514" s="16">
        <f>ROUND(S513+IF(AND(E514=16,F514&lt;&gt;"ASTM A416"),L514,0),3)</f>
        <v/>
      </c>
      <c r="T514" s="16">
        <f>ROUND(T513+IF(AND(E514=18,F514&lt;&gt;"ASTM A416"),L514,0),3)</f>
        <v/>
      </c>
      <c r="U514" s="16">
        <f>ROUND(U513+IF(AND(E514=20,F514&lt;&gt;"ASTM A416"),L514,0),3)</f>
        <v/>
      </c>
      <c r="V514" s="16">
        <f>ROUND(V513+IF(AND(E514=22,F514&lt;&gt;"ASTM A416"),L514,0),3)</f>
        <v/>
      </c>
      <c r="W514" s="16">
        <f>ROUND(W513+IF(AND(E514=25,F514&lt;&gt;"ASTM A416"),L514,0),3)</f>
        <v/>
      </c>
      <c r="X514" s="16">
        <f>ROUND(X513+IF(AND(E514=28,F514&lt;&gt;"ASTM A416"),L514,0),3)</f>
        <v/>
      </c>
      <c r="Y514" s="16">
        <f>ROUND(Y513+IF(AND(E514=32,F514&lt;&gt;"ASTM A416"),L514,0),3)</f>
        <v/>
      </c>
      <c r="Z514" s="16">
        <f>ROUND(Z513+IF(F514="ASTM A416",L514,0),3)</f>
        <v/>
      </c>
      <c r="AA514" s="9">
        <f>IF(ROUNDUP(P514/20,0)&gt;ROUNDUP(P513/20,0),"Lần " &amp; ROUNDUP(P514/20,0),"")</f>
        <v/>
      </c>
      <c r="AB514" s="9">
        <f>IF(ROUNDUP(Q514/20,0)&gt;ROUNDUP(Q513/20,0),"Lần " &amp; ROUNDUP(Q514/20,0),"")</f>
        <v/>
      </c>
      <c r="AC514" s="9">
        <f>IF(ROUNDUP(R514/20,0)&gt;ROUNDUP(R513/20,0),"Lần " &amp; ROUNDUP(R514/20,0),"")</f>
        <v/>
      </c>
      <c r="AD514" s="9">
        <f>IF(ROUNDUP(S514/20,0)&gt;ROUNDUP(S513/20,0),"Lần " &amp; ROUNDUP(S514/20,0),"")</f>
        <v/>
      </c>
      <c r="AE514" s="9">
        <f>IF(ROUNDUP(T514/20,0)&gt;ROUNDUP(T513/20,0),"Lần " &amp; ROUNDUP(T514/20,0),"")</f>
        <v/>
      </c>
      <c r="AF514" s="9">
        <f>IF(ROUNDUP(U514/20,0)&gt;ROUNDUP(U513/20,0),"Lần " &amp; ROUNDUP(U514/20,0),"")</f>
        <v/>
      </c>
      <c r="AG514" s="9">
        <f>IF(ROUNDUP(V514/20,0)&gt;ROUNDUP(V513/20,0),"Lần " &amp; ROUNDUP(V514/20,0),"")</f>
        <v/>
      </c>
      <c r="AH514" s="9">
        <f>IF(ROUNDUP(W514/20,0)&gt;ROUNDUP(W513/20,0),"Lần " &amp; ROUNDUP(W514/20,0),"")</f>
        <v/>
      </c>
      <c r="AI514" s="9">
        <f>IF(ROUNDUP(X514/20,0)&gt;ROUNDUP(X513/20,0),"Lần " &amp; ROUNDUP(X514/20,0),"")</f>
        <v/>
      </c>
      <c r="AJ514" s="9">
        <f>IF(ROUNDUP(Y514/20,0)&gt;ROUNDUP(Y513/20,0),"Lần " &amp; ROUNDUP(Y514/20,0),"")</f>
        <v/>
      </c>
      <c r="AK514" s="9">
        <f>IF(ROUNDUP(Z514/20,0)&gt;ROUNDUP(Z513/20,0),"Lần " &amp; ROUNDUP(Z514/20,0),"")</f>
        <v/>
      </c>
      <c r="AL514" s="4" t="n"/>
      <c r="AN514" s="596" t="inlineStr">
        <is>
          <t>Than</t>
        </is>
      </c>
      <c r="AO514" s="596" t="n">
        <v>54</v>
      </c>
      <c r="AQ514" s="594" t="n"/>
      <c r="AR514" s="595" t="n"/>
    </row>
    <row r="515" ht="19" customFormat="1" customHeight="1" s="612">
      <c r="A515" s="4" t="n">
        <v>485</v>
      </c>
      <c r="B515" s="5" t="inlineStr">
        <is>
          <t>Mố M2</t>
        </is>
      </c>
      <c r="C515" s="5" t="inlineStr">
        <is>
          <t>Mố M2 (tr.40)</t>
        </is>
      </c>
      <c r="D515" s="14" t="inlineStr">
        <is>
          <t>T2</t>
        </is>
      </c>
      <c r="E515" s="15" t="n">
        <v>16</v>
      </c>
      <c r="F515" s="4" t="inlineStr">
        <is>
          <t>CB400-V</t>
        </is>
      </c>
      <c r="G515" s="5" t="inlineStr">
        <is>
          <t>S01</t>
        </is>
      </c>
      <c r="H515" s="16" t="n">
        <v>1.59</v>
      </c>
      <c r="I515" s="17" t="n">
        <v>9</v>
      </c>
      <c r="J515" s="18" t="n">
        <v>1.578</v>
      </c>
      <c r="K515" s="7">
        <f>ROUND(H515*I515*J515, 2)</f>
        <v/>
      </c>
      <c r="L515" s="19">
        <f>ROUND(K515/1000, 3)</f>
        <v/>
      </c>
      <c r="M515" s="728">
        <f>IF(AO515="","",IF(N(INDEX(Theo_Doi_Tan_Suat_Be_Tong!$C:$C,AO515))&lt;=0,"",INDEX(Theo_Doi_Tan_Suat_Be_Tong!$C:$C,AO515)-VLOOKUP(AN515,$AQ$2:$AR$7,2,FALSE)))</f>
        <v/>
      </c>
      <c r="N515" s="4" t="n"/>
      <c r="O515" s="20">
        <f>IF(ROUNDUP(S515/20,0)&gt;ROUNDUP(S514/20,0),"TN Ø16 (Lần " &amp; ROUNDUP(S515/20,0) &amp; ")","")</f>
        <v/>
      </c>
      <c r="P515" s="16">
        <f>ROUND(P514+IF(AND(E515&lt;=10,F515&lt;&gt;"ASTM A416"),L515,0),3)</f>
        <v/>
      </c>
      <c r="Q515" s="16">
        <f>ROUND(Q514+IF(AND(E515=12,F515&lt;&gt;"ASTM A416"),L515,0),3)</f>
        <v/>
      </c>
      <c r="R515" s="16">
        <f>ROUND(R514+IF(AND(E515=14,F515&lt;&gt;"ASTM A416"),L515,0),3)</f>
        <v/>
      </c>
      <c r="S515" s="16">
        <f>ROUND(S514+IF(AND(E515=16,F515&lt;&gt;"ASTM A416"),L515,0),3)</f>
        <v/>
      </c>
      <c r="T515" s="16">
        <f>ROUND(T514+IF(AND(E515=18,F515&lt;&gt;"ASTM A416"),L515,0),3)</f>
        <v/>
      </c>
      <c r="U515" s="16">
        <f>ROUND(U514+IF(AND(E515=20,F515&lt;&gt;"ASTM A416"),L515,0),3)</f>
        <v/>
      </c>
      <c r="V515" s="16">
        <f>ROUND(V514+IF(AND(E515=22,F515&lt;&gt;"ASTM A416"),L515,0),3)</f>
        <v/>
      </c>
      <c r="W515" s="16">
        <f>ROUND(W514+IF(AND(E515=25,F515&lt;&gt;"ASTM A416"),L515,0),3)</f>
        <v/>
      </c>
      <c r="X515" s="16">
        <f>ROUND(X514+IF(AND(E515=28,F515&lt;&gt;"ASTM A416"),L515,0),3)</f>
        <v/>
      </c>
      <c r="Y515" s="16">
        <f>ROUND(Y514+IF(AND(E515=32,F515&lt;&gt;"ASTM A416"),L515,0),3)</f>
        <v/>
      </c>
      <c r="Z515" s="16">
        <f>ROUND(Z514+IF(F515="ASTM A416",L515,0),3)</f>
        <v/>
      </c>
      <c r="AA515" s="9">
        <f>IF(ROUNDUP(P515/20,0)&gt;ROUNDUP(P514/20,0),"Lần " &amp; ROUNDUP(P515/20,0),"")</f>
        <v/>
      </c>
      <c r="AB515" s="9">
        <f>IF(ROUNDUP(Q515/20,0)&gt;ROUNDUP(Q514/20,0),"Lần " &amp; ROUNDUP(Q515/20,0),"")</f>
        <v/>
      </c>
      <c r="AC515" s="9">
        <f>IF(ROUNDUP(R515/20,0)&gt;ROUNDUP(R514/20,0),"Lần " &amp; ROUNDUP(R515/20,0),"")</f>
        <v/>
      </c>
      <c r="AD515" s="9">
        <f>IF(ROUNDUP(S515/20,0)&gt;ROUNDUP(S514/20,0),"Lần " &amp; ROUNDUP(S515/20,0),"")</f>
        <v/>
      </c>
      <c r="AE515" s="9">
        <f>IF(ROUNDUP(T515/20,0)&gt;ROUNDUP(T514/20,0),"Lần " &amp; ROUNDUP(T515/20,0),"")</f>
        <v/>
      </c>
      <c r="AF515" s="9">
        <f>IF(ROUNDUP(U515/20,0)&gt;ROUNDUP(U514/20,0),"Lần " &amp; ROUNDUP(U515/20,0),"")</f>
        <v/>
      </c>
      <c r="AG515" s="9">
        <f>IF(ROUNDUP(V515/20,0)&gt;ROUNDUP(V514/20,0),"Lần " &amp; ROUNDUP(V515/20,0),"")</f>
        <v/>
      </c>
      <c r="AH515" s="9">
        <f>IF(ROUNDUP(W515/20,0)&gt;ROUNDUP(W514/20,0),"Lần " &amp; ROUNDUP(W515/20,0),"")</f>
        <v/>
      </c>
      <c r="AI515" s="9">
        <f>IF(ROUNDUP(X515/20,0)&gt;ROUNDUP(X514/20,0),"Lần " &amp; ROUNDUP(X515/20,0),"")</f>
        <v/>
      </c>
      <c r="AJ515" s="9">
        <f>IF(ROUNDUP(Y515/20,0)&gt;ROUNDUP(Y514/20,0),"Lần " &amp; ROUNDUP(Y515/20,0),"")</f>
        <v/>
      </c>
      <c r="AK515" s="9">
        <f>IF(ROUNDUP(Z515/20,0)&gt;ROUNDUP(Z514/20,0),"Lần " &amp; ROUNDUP(Z515/20,0),"")</f>
        <v/>
      </c>
      <c r="AL515" s="4" t="n"/>
      <c r="AN515" s="596" t="inlineStr">
        <is>
          <t>Than</t>
        </is>
      </c>
      <c r="AO515" s="596" t="n">
        <v>54</v>
      </c>
      <c r="AQ515" s="594" t="n"/>
      <c r="AR515" s="595" t="n"/>
    </row>
    <row r="516" ht="19" customFormat="1" customHeight="1" s="612">
      <c r="A516" s="668" t="inlineStr">
        <is>
          <t>--- TRỤ T1 (THÂN TRỤ) ---</t>
        </is>
      </c>
      <c r="B516" s="722" t="n"/>
      <c r="C516" s="722" t="n"/>
      <c r="D516" s="722" t="n"/>
      <c r="E516" s="722" t="n"/>
      <c r="F516" s="722" t="n"/>
      <c r="G516" s="722" t="n"/>
      <c r="H516" s="722" t="n"/>
      <c r="I516" s="722" t="n"/>
      <c r="J516" s="722" t="n"/>
      <c r="K516" s="722" t="n"/>
      <c r="L516" s="722" t="n"/>
      <c r="M516" s="722" t="n"/>
      <c r="N516" s="722" t="n"/>
      <c r="O516" s="722" t="n"/>
      <c r="P516" s="722" t="n"/>
      <c r="Q516" s="722" t="n"/>
      <c r="R516" s="722" t="n"/>
      <c r="S516" s="722" t="n"/>
      <c r="T516" s="722" t="n"/>
      <c r="U516" s="722" t="n"/>
      <c r="V516" s="722" t="n"/>
      <c r="W516" s="722" t="n"/>
      <c r="X516" s="722" t="n"/>
      <c r="Y516" s="722" t="n"/>
      <c r="Z516" s="722" t="n"/>
      <c r="AA516" s="722" t="n"/>
      <c r="AB516" s="722" t="n"/>
      <c r="AC516" s="722" t="n"/>
      <c r="AD516" s="722" t="n"/>
      <c r="AE516" s="722" t="n"/>
      <c r="AF516" s="722" t="n"/>
      <c r="AG516" s="722" t="n"/>
      <c r="AH516" s="722" t="n"/>
      <c r="AI516" s="722" t="n"/>
      <c r="AJ516" s="722" t="n"/>
      <c r="AK516" s="722" t="n"/>
      <c r="AL516" s="721" t="n"/>
      <c r="AQ516" s="594" t="n"/>
      <c r="AR516" s="595" t="n"/>
    </row>
    <row r="517" ht="19" customFormat="1" customHeight="1" s="612">
      <c r="A517" s="4" t="n">
        <v>486</v>
      </c>
      <c r="B517" s="5" t="inlineStr">
        <is>
          <t>Trụ T1 (Thân trụ)</t>
        </is>
      </c>
      <c r="C517" s="5" t="inlineStr">
        <is>
          <t>th©n trô ®o¹n 1</t>
        </is>
      </c>
      <c r="D517" s="14" t="inlineStr">
        <is>
          <t>T1a</t>
        </is>
      </c>
      <c r="E517" s="15" t="n">
        <v>32</v>
      </c>
      <c r="F517" s="4" t="inlineStr">
        <is>
          <t>CB400-V</t>
        </is>
      </c>
      <c r="G517" s="5" t="inlineStr">
        <is>
          <t>S02</t>
        </is>
      </c>
      <c r="H517" s="16" t="n">
        <v>14.256</v>
      </c>
      <c r="I517" s="17" t="n">
        <v>90</v>
      </c>
      <c r="J517" s="18" t="n">
        <v>6.313</v>
      </c>
      <c r="K517" s="7">
        <f>ROUND(H517*I517*J517, 2)</f>
        <v/>
      </c>
      <c r="L517" s="19">
        <f>ROUND(K517/1000, 3)</f>
        <v/>
      </c>
      <c r="M517" s="728">
        <f>IF(AO517="","",IF(N(INDEX(Theo_Doi_Tan_Suat_Be_Tong!$C:$C,AO517))&lt;=0,"",INDEX(Theo_Doi_Tan_Suat_Be_Tong!$C:$C,AO517)-VLOOKUP(AN517,$AQ$2:$AR$7,2,FALSE)))</f>
        <v/>
      </c>
      <c r="N517" s="4" t="n"/>
      <c r="O517" s="20">
        <f>IF(ROUNDUP(Y517/20,0)&gt;ROUNDUP(Y515/20,0),"TN Ø32 (Lần " &amp; ROUNDUP(Y517/20,0) &amp; ")","")</f>
        <v/>
      </c>
      <c r="P517" s="16">
        <f>ROUND(P515+IF(AND(E517&lt;=10,F517&lt;&gt;"ASTM A416"),L517,0),3)</f>
        <v/>
      </c>
      <c r="Q517" s="16">
        <f>ROUND(Q515+IF(AND(E517=12,F517&lt;&gt;"ASTM A416"),L517,0),3)</f>
        <v/>
      </c>
      <c r="R517" s="16">
        <f>ROUND(R515+IF(AND(E517=14,F517&lt;&gt;"ASTM A416"),L517,0),3)</f>
        <v/>
      </c>
      <c r="S517" s="16">
        <f>ROUND(S515+IF(AND(E517=16,F517&lt;&gt;"ASTM A416"),L517,0),3)</f>
        <v/>
      </c>
      <c r="T517" s="16">
        <f>ROUND(T515+IF(AND(E517=18,F517&lt;&gt;"ASTM A416"),L517,0),3)</f>
        <v/>
      </c>
      <c r="U517" s="16">
        <f>ROUND(U515+IF(AND(E517=20,F517&lt;&gt;"ASTM A416"),L517,0),3)</f>
        <v/>
      </c>
      <c r="V517" s="16">
        <f>ROUND(V515+IF(AND(E517=22,F517&lt;&gt;"ASTM A416"),L517,0),3)</f>
        <v/>
      </c>
      <c r="W517" s="16">
        <f>ROUND(W515+IF(AND(E517=25,F517&lt;&gt;"ASTM A416"),L517,0),3)</f>
        <v/>
      </c>
      <c r="X517" s="16">
        <f>ROUND(X515+IF(AND(E517=28,F517&lt;&gt;"ASTM A416"),L517,0),3)</f>
        <v/>
      </c>
      <c r="Y517" s="16">
        <f>ROUND(Y515+IF(AND(E517=32,F517&lt;&gt;"ASTM A416"),L517,0),3)</f>
        <v/>
      </c>
      <c r="Z517" s="16">
        <f>ROUND(Z515+IF(F517="ASTM A416",L517,0),3)</f>
        <v/>
      </c>
      <c r="AA517" s="9">
        <f>IF(ROUNDUP(P517/20,0)&gt;ROUNDUP(P515/20,0),"Lần " &amp; ROUNDUP(P517/20,0),"")</f>
        <v/>
      </c>
      <c r="AB517" s="9">
        <f>IF(ROUNDUP(Q517/20,0)&gt;ROUNDUP(Q515/20,0),"Lần " &amp; ROUNDUP(Q517/20,0),"")</f>
        <v/>
      </c>
      <c r="AC517" s="9">
        <f>IF(ROUNDUP(R517/20,0)&gt;ROUNDUP(R515/20,0),"Lần " &amp; ROUNDUP(R517/20,0),"")</f>
        <v/>
      </c>
      <c r="AD517" s="9">
        <f>IF(ROUNDUP(S517/20,0)&gt;ROUNDUP(S515/20,0),"Lần " &amp; ROUNDUP(S517/20,0),"")</f>
        <v/>
      </c>
      <c r="AE517" s="9">
        <f>IF(ROUNDUP(T517/20,0)&gt;ROUNDUP(T515/20,0),"Lần " &amp; ROUNDUP(T517/20,0),"")</f>
        <v/>
      </c>
      <c r="AF517" s="9">
        <f>IF(ROUNDUP(U517/20,0)&gt;ROUNDUP(U515/20,0),"Lần " &amp; ROUNDUP(U517/20,0),"")</f>
        <v/>
      </c>
      <c r="AG517" s="9">
        <f>IF(ROUNDUP(V517/20,0)&gt;ROUNDUP(V515/20,0),"Lần " &amp; ROUNDUP(V517/20,0),"")</f>
        <v/>
      </c>
      <c r="AH517" s="9">
        <f>IF(ROUNDUP(W517/20,0)&gt;ROUNDUP(W515/20,0),"Lần " &amp; ROUNDUP(W517/20,0),"")</f>
        <v/>
      </c>
      <c r="AI517" s="9">
        <f>IF(ROUNDUP(X517/20,0)&gt;ROUNDUP(X515/20,0),"Lần " &amp; ROUNDUP(X517/20,0),"")</f>
        <v/>
      </c>
      <c r="AJ517" s="9">
        <f>IF(ROUNDUP(Y517/20,0)&gt;ROUNDUP(Y515/20,0),"Lần " &amp; ROUNDUP(Y517/20,0),"")</f>
        <v/>
      </c>
      <c r="AK517" s="9">
        <f>IF(ROUNDUP(Z517/20,0)&gt;ROUNDUP(Z515/20,0),"Lần " &amp; ROUNDUP(Z517/20,0),"")</f>
        <v/>
      </c>
      <c r="AL517" s="4" t="n"/>
      <c r="AN517" s="596" t="inlineStr">
        <is>
          <t>Than</t>
        </is>
      </c>
      <c r="AO517" s="596" t="n">
        <v>42</v>
      </c>
      <c r="AQ517" s="594" t="n"/>
      <c r="AR517" s="595" t="n"/>
    </row>
    <row r="518" ht="19" customFormat="1" customHeight="1" s="612">
      <c r="A518" s="4" t="n">
        <v>487</v>
      </c>
      <c r="B518" s="5" t="inlineStr">
        <is>
          <t>Trụ T1 (Thân trụ)</t>
        </is>
      </c>
      <c r="C518" s="5" t="inlineStr">
        <is>
          <t>Thân trụ đặc</t>
        </is>
      </c>
      <c r="D518" s="14" t="inlineStr">
        <is>
          <t>T2a</t>
        </is>
      </c>
      <c r="E518" s="15" t="n">
        <v>16</v>
      </c>
      <c r="F518" s="4" t="inlineStr">
        <is>
          <t>CB400-V</t>
        </is>
      </c>
      <c r="G518" s="5" t="inlineStr">
        <is>
          <t>S07</t>
        </is>
      </c>
      <c r="H518" s="16" t="n">
        <v>5.352</v>
      </c>
      <c r="I518" s="17" t="n">
        <v>176</v>
      </c>
      <c r="J518" s="18" t="n">
        <v>1.578</v>
      </c>
      <c r="K518" s="7">
        <f>ROUND(H518*I518*J518, 2)</f>
        <v/>
      </c>
      <c r="L518" s="19">
        <f>ROUND(K518/1000, 3)</f>
        <v/>
      </c>
      <c r="M518" s="728">
        <f>IF(AO518="","",IF(N(INDEX(Theo_Doi_Tan_Suat_Be_Tong!$C:$C,AO518))&lt;=0,"",INDEX(Theo_Doi_Tan_Suat_Be_Tong!$C:$C,AO518)-VLOOKUP(AN518,$AQ$2:$AR$7,2,FALSE)))</f>
        <v/>
      </c>
      <c r="N518" s="4" t="n"/>
      <c r="O518" s="20">
        <f>IF(ROUNDUP(S518/20,0)&gt;ROUNDUP(S517/20,0),"TN Ø16 (Lần " &amp; ROUNDUP(S518/20,0) &amp; ")","")</f>
        <v/>
      </c>
      <c r="P518" s="16">
        <f>ROUND(P517+IF(AND(E518&lt;=10,F518&lt;&gt;"ASTM A416"),L518,0),3)</f>
        <v/>
      </c>
      <c r="Q518" s="16">
        <f>ROUND(Q517+IF(AND(E518=12,F518&lt;&gt;"ASTM A416"),L518,0),3)</f>
        <v/>
      </c>
      <c r="R518" s="16">
        <f>ROUND(R517+IF(AND(E518=14,F518&lt;&gt;"ASTM A416"),L518,0),3)</f>
        <v/>
      </c>
      <c r="S518" s="16">
        <f>ROUND(S517+IF(AND(E518=16,F518&lt;&gt;"ASTM A416"),L518,0),3)</f>
        <v/>
      </c>
      <c r="T518" s="16">
        <f>ROUND(T517+IF(AND(E518=18,F518&lt;&gt;"ASTM A416"),L518,0),3)</f>
        <v/>
      </c>
      <c r="U518" s="16">
        <f>ROUND(U517+IF(AND(E518=20,F518&lt;&gt;"ASTM A416"),L518,0),3)</f>
        <v/>
      </c>
      <c r="V518" s="16">
        <f>ROUND(V517+IF(AND(E518=22,F518&lt;&gt;"ASTM A416"),L518,0),3)</f>
        <v/>
      </c>
      <c r="W518" s="16">
        <f>ROUND(W517+IF(AND(E518=25,F518&lt;&gt;"ASTM A416"),L518,0),3)</f>
        <v/>
      </c>
      <c r="X518" s="16">
        <f>ROUND(X517+IF(AND(E518=28,F518&lt;&gt;"ASTM A416"),L518,0),3)</f>
        <v/>
      </c>
      <c r="Y518" s="16">
        <f>ROUND(Y517+IF(AND(E518=32,F518&lt;&gt;"ASTM A416"),L518,0),3)</f>
        <v/>
      </c>
      <c r="Z518" s="16">
        <f>ROUND(Z517+IF(F518="ASTM A416",L518,0),3)</f>
        <v/>
      </c>
      <c r="AA518" s="9">
        <f>IF(ROUNDUP(P518/20,0)&gt;ROUNDUP(P517/20,0),"Lần " &amp; ROUNDUP(P518/20,0),"")</f>
        <v/>
      </c>
      <c r="AB518" s="9">
        <f>IF(ROUNDUP(Q518/20,0)&gt;ROUNDUP(Q517/20,0),"Lần " &amp; ROUNDUP(Q518/20,0),"")</f>
        <v/>
      </c>
      <c r="AC518" s="9">
        <f>IF(ROUNDUP(R518/20,0)&gt;ROUNDUP(R517/20,0),"Lần " &amp; ROUNDUP(R518/20,0),"")</f>
        <v/>
      </c>
      <c r="AD518" s="9">
        <f>IF(ROUNDUP(S518/20,0)&gt;ROUNDUP(S517/20,0),"Lần " &amp; ROUNDUP(S518/20,0),"")</f>
        <v/>
      </c>
      <c r="AE518" s="9">
        <f>IF(ROUNDUP(T518/20,0)&gt;ROUNDUP(T517/20,0),"Lần " &amp; ROUNDUP(T518/20,0),"")</f>
        <v/>
      </c>
      <c r="AF518" s="9">
        <f>IF(ROUNDUP(U518/20,0)&gt;ROUNDUP(U517/20,0),"Lần " &amp; ROUNDUP(U518/20,0),"")</f>
        <v/>
      </c>
      <c r="AG518" s="9">
        <f>IF(ROUNDUP(V518/20,0)&gt;ROUNDUP(V517/20,0),"Lần " &amp; ROUNDUP(V518/20,0),"")</f>
        <v/>
      </c>
      <c r="AH518" s="9">
        <f>IF(ROUNDUP(W518/20,0)&gt;ROUNDUP(W517/20,0),"Lần " &amp; ROUNDUP(W518/20,0),"")</f>
        <v/>
      </c>
      <c r="AI518" s="9">
        <f>IF(ROUNDUP(X518/20,0)&gt;ROUNDUP(X517/20,0),"Lần " &amp; ROUNDUP(X518/20,0),"")</f>
        <v/>
      </c>
      <c r="AJ518" s="9">
        <f>IF(ROUNDUP(Y518/20,0)&gt;ROUNDUP(Y517/20,0),"Lần " &amp; ROUNDUP(Y518/20,0),"")</f>
        <v/>
      </c>
      <c r="AK518" s="9">
        <f>IF(ROUNDUP(Z518/20,0)&gt;ROUNDUP(Z517/20,0),"Lần " &amp; ROUNDUP(Z518/20,0),"")</f>
        <v/>
      </c>
      <c r="AL518" s="4" t="n"/>
      <c r="AN518" s="596" t="inlineStr">
        <is>
          <t>Than</t>
        </is>
      </c>
      <c r="AO518" s="596" t="n">
        <v>42</v>
      </c>
      <c r="AQ518" s="594" t="n"/>
      <c r="AR518" s="595" t="n"/>
    </row>
    <row r="519" ht="19" customFormat="1" customHeight="1" s="612">
      <c r="A519" s="4" t="n">
        <v>488</v>
      </c>
      <c r="B519" s="5" t="inlineStr">
        <is>
          <t>Trụ T1 (Thân trụ)</t>
        </is>
      </c>
      <c r="C519" s="5" t="inlineStr">
        <is>
          <t>Thân trụ đặc</t>
        </is>
      </c>
      <c r="D519" s="14" t="inlineStr">
        <is>
          <t>T3a</t>
        </is>
      </c>
      <c r="E519" s="15" t="n">
        <v>16</v>
      </c>
      <c r="F519" s="4" t="inlineStr">
        <is>
          <t>CB400-V</t>
        </is>
      </c>
      <c r="G519" s="5" t="inlineStr">
        <is>
          <t>S51</t>
        </is>
      </c>
      <c r="H519" s="16" t="n">
        <v>6.806</v>
      </c>
      <c r="I519" s="17" t="n">
        <v>176</v>
      </c>
      <c r="J519" s="18" t="n">
        <v>1.578</v>
      </c>
      <c r="K519" s="7">
        <f>ROUND(H519*I519*J519, 2)</f>
        <v/>
      </c>
      <c r="L519" s="19">
        <f>ROUND(K519/1000, 3)</f>
        <v/>
      </c>
      <c r="M519" s="728">
        <f>IF(AO519="","",IF(N(INDEX(Theo_Doi_Tan_Suat_Be_Tong!$C:$C,AO519))&lt;=0,"",INDEX(Theo_Doi_Tan_Suat_Be_Tong!$C:$C,AO519)-VLOOKUP(AN519,$AQ$2:$AR$7,2,FALSE)))</f>
        <v/>
      </c>
      <c r="N519" s="4" t="n"/>
      <c r="O519" s="20">
        <f>IF(ROUNDUP(S519/20,0)&gt;ROUNDUP(S518/20,0),"TN Ø16 (Lần " &amp; ROUNDUP(S519/20,0) &amp; ")","")</f>
        <v/>
      </c>
      <c r="P519" s="16">
        <f>ROUND(P518+IF(AND(E519&lt;=10,F519&lt;&gt;"ASTM A416"),L519,0),3)</f>
        <v/>
      </c>
      <c r="Q519" s="16">
        <f>ROUND(Q518+IF(AND(E519=12,F519&lt;&gt;"ASTM A416"),L519,0),3)</f>
        <v/>
      </c>
      <c r="R519" s="16">
        <f>ROUND(R518+IF(AND(E519=14,F519&lt;&gt;"ASTM A416"),L519,0),3)</f>
        <v/>
      </c>
      <c r="S519" s="16">
        <f>ROUND(S518+IF(AND(E519=16,F519&lt;&gt;"ASTM A416"),L519,0),3)</f>
        <v/>
      </c>
      <c r="T519" s="16">
        <f>ROUND(T518+IF(AND(E519=18,F519&lt;&gt;"ASTM A416"),L519,0),3)</f>
        <v/>
      </c>
      <c r="U519" s="16">
        <f>ROUND(U518+IF(AND(E519=20,F519&lt;&gt;"ASTM A416"),L519,0),3)</f>
        <v/>
      </c>
      <c r="V519" s="16">
        <f>ROUND(V518+IF(AND(E519=22,F519&lt;&gt;"ASTM A416"),L519,0),3)</f>
        <v/>
      </c>
      <c r="W519" s="16">
        <f>ROUND(W518+IF(AND(E519=25,F519&lt;&gt;"ASTM A416"),L519,0),3)</f>
        <v/>
      </c>
      <c r="X519" s="16">
        <f>ROUND(X518+IF(AND(E519=28,F519&lt;&gt;"ASTM A416"),L519,0),3)</f>
        <v/>
      </c>
      <c r="Y519" s="16">
        <f>ROUND(Y518+IF(AND(E519=32,F519&lt;&gt;"ASTM A416"),L519,0),3)</f>
        <v/>
      </c>
      <c r="Z519" s="16">
        <f>ROUND(Z518+IF(F519="ASTM A416",L519,0),3)</f>
        <v/>
      </c>
      <c r="AA519" s="9">
        <f>IF(ROUNDUP(P519/20,0)&gt;ROUNDUP(P518/20,0),"Lần " &amp; ROUNDUP(P519/20,0),"")</f>
        <v/>
      </c>
      <c r="AB519" s="9">
        <f>IF(ROUNDUP(Q519/20,0)&gt;ROUNDUP(Q518/20,0),"Lần " &amp; ROUNDUP(Q519/20,0),"")</f>
        <v/>
      </c>
      <c r="AC519" s="9">
        <f>IF(ROUNDUP(R519/20,0)&gt;ROUNDUP(R518/20,0),"Lần " &amp; ROUNDUP(R519/20,0),"")</f>
        <v/>
      </c>
      <c r="AD519" s="9">
        <f>IF(ROUNDUP(S519/20,0)&gt;ROUNDUP(S518/20,0),"Lần " &amp; ROUNDUP(S519/20,0),"")</f>
        <v/>
      </c>
      <c r="AE519" s="9">
        <f>IF(ROUNDUP(T519/20,0)&gt;ROUNDUP(T518/20,0),"Lần " &amp; ROUNDUP(T519/20,0),"")</f>
        <v/>
      </c>
      <c r="AF519" s="9">
        <f>IF(ROUNDUP(U519/20,0)&gt;ROUNDUP(U518/20,0),"Lần " &amp; ROUNDUP(U519/20,0),"")</f>
        <v/>
      </c>
      <c r="AG519" s="9">
        <f>IF(ROUNDUP(V519/20,0)&gt;ROUNDUP(V518/20,0),"Lần " &amp; ROUNDUP(V519/20,0),"")</f>
        <v/>
      </c>
      <c r="AH519" s="9">
        <f>IF(ROUNDUP(W519/20,0)&gt;ROUNDUP(W518/20,0),"Lần " &amp; ROUNDUP(W519/20,0),"")</f>
        <v/>
      </c>
      <c r="AI519" s="9">
        <f>IF(ROUNDUP(X519/20,0)&gt;ROUNDUP(X518/20,0),"Lần " &amp; ROUNDUP(X519/20,0),"")</f>
        <v/>
      </c>
      <c r="AJ519" s="9">
        <f>IF(ROUNDUP(Y519/20,0)&gt;ROUNDUP(Y518/20,0),"Lần " &amp; ROUNDUP(Y519/20,0),"")</f>
        <v/>
      </c>
      <c r="AK519" s="9">
        <f>IF(ROUNDUP(Z519/20,0)&gt;ROUNDUP(Z518/20,0),"Lần " &amp; ROUNDUP(Z519/20,0),"")</f>
        <v/>
      </c>
      <c r="AL519" s="4" t="n"/>
      <c r="AN519" s="596" t="inlineStr">
        <is>
          <t>Than</t>
        </is>
      </c>
      <c r="AO519" s="596" t="n">
        <v>42</v>
      </c>
      <c r="AQ519" s="594" t="n"/>
      <c r="AR519" s="595" t="n"/>
    </row>
    <row r="520" ht="19" customFormat="1" customHeight="1" s="612">
      <c r="A520" s="4" t="n">
        <v>489</v>
      </c>
      <c r="B520" s="5" t="inlineStr">
        <is>
          <t>Trụ T1 (Thân trụ)</t>
        </is>
      </c>
      <c r="C520" s="5" t="inlineStr">
        <is>
          <t>Thân trụ đặc</t>
        </is>
      </c>
      <c r="D520" s="14" t="inlineStr">
        <is>
          <t>T4a</t>
        </is>
      </c>
      <c r="E520" s="15" t="n">
        <v>16</v>
      </c>
      <c r="F520" s="4" t="inlineStr">
        <is>
          <t>CB400-V</t>
        </is>
      </c>
      <c r="G520" s="5" t="inlineStr">
        <is>
          <t>S06</t>
        </is>
      </c>
      <c r="H520" s="16" t="n">
        <v>5.332</v>
      </c>
      <c r="I520" s="17" t="n">
        <v>20</v>
      </c>
      <c r="J520" s="18" t="n">
        <v>1.578</v>
      </c>
      <c r="K520" s="7">
        <f>ROUND(H520*I520*J520, 2)</f>
        <v/>
      </c>
      <c r="L520" s="19">
        <f>ROUND(K520/1000, 3)</f>
        <v/>
      </c>
      <c r="M520" s="728">
        <f>IF(AO520="","",IF(N(INDEX(Theo_Doi_Tan_Suat_Be_Tong!$C:$C,AO520))&lt;=0,"",INDEX(Theo_Doi_Tan_Suat_Be_Tong!$C:$C,AO520)-VLOOKUP(AN520,$AQ$2:$AR$7,2,FALSE)))</f>
        <v/>
      </c>
      <c r="N520" s="4" t="n"/>
      <c r="O520" s="20">
        <f>IF(ROUNDUP(S520/20,0)&gt;ROUNDUP(S519/20,0),"TN Ø16 (Lần " &amp; ROUNDUP(S520/20,0) &amp; ")","")</f>
        <v/>
      </c>
      <c r="P520" s="16">
        <f>ROUND(P519+IF(AND(E520&lt;=10,F520&lt;&gt;"ASTM A416"),L520,0),3)</f>
        <v/>
      </c>
      <c r="Q520" s="16">
        <f>ROUND(Q519+IF(AND(E520=12,F520&lt;&gt;"ASTM A416"),L520,0),3)</f>
        <v/>
      </c>
      <c r="R520" s="16">
        <f>ROUND(R519+IF(AND(E520=14,F520&lt;&gt;"ASTM A416"),L520,0),3)</f>
        <v/>
      </c>
      <c r="S520" s="16">
        <f>ROUND(S519+IF(AND(E520=16,F520&lt;&gt;"ASTM A416"),L520,0),3)</f>
        <v/>
      </c>
      <c r="T520" s="16">
        <f>ROUND(T519+IF(AND(E520=18,F520&lt;&gt;"ASTM A416"),L520,0),3)</f>
        <v/>
      </c>
      <c r="U520" s="16">
        <f>ROUND(U519+IF(AND(E520=20,F520&lt;&gt;"ASTM A416"),L520,0),3)</f>
        <v/>
      </c>
      <c r="V520" s="16">
        <f>ROUND(V519+IF(AND(E520=22,F520&lt;&gt;"ASTM A416"),L520,0),3)</f>
        <v/>
      </c>
      <c r="W520" s="16">
        <f>ROUND(W519+IF(AND(E520=25,F520&lt;&gt;"ASTM A416"),L520,0),3)</f>
        <v/>
      </c>
      <c r="X520" s="16">
        <f>ROUND(X519+IF(AND(E520=28,F520&lt;&gt;"ASTM A416"),L520,0),3)</f>
        <v/>
      </c>
      <c r="Y520" s="16">
        <f>ROUND(Y519+IF(AND(E520=32,F520&lt;&gt;"ASTM A416"),L520,0),3)</f>
        <v/>
      </c>
      <c r="Z520" s="16">
        <f>ROUND(Z519+IF(F520="ASTM A416",L520,0),3)</f>
        <v/>
      </c>
      <c r="AA520" s="9">
        <f>IF(ROUNDUP(P520/20,0)&gt;ROUNDUP(P519/20,0),"Lần " &amp; ROUNDUP(P520/20,0),"")</f>
        <v/>
      </c>
      <c r="AB520" s="9">
        <f>IF(ROUNDUP(Q520/20,0)&gt;ROUNDUP(Q519/20,0),"Lần " &amp; ROUNDUP(Q520/20,0),"")</f>
        <v/>
      </c>
      <c r="AC520" s="9">
        <f>IF(ROUNDUP(R520/20,0)&gt;ROUNDUP(R519/20,0),"Lần " &amp; ROUNDUP(R520/20,0),"")</f>
        <v/>
      </c>
      <c r="AD520" s="9">
        <f>IF(ROUNDUP(S520/20,0)&gt;ROUNDUP(S519/20,0),"Lần " &amp; ROUNDUP(S520/20,0),"")</f>
        <v/>
      </c>
      <c r="AE520" s="9">
        <f>IF(ROUNDUP(T520/20,0)&gt;ROUNDUP(T519/20,0),"Lần " &amp; ROUNDUP(T520/20,0),"")</f>
        <v/>
      </c>
      <c r="AF520" s="9">
        <f>IF(ROUNDUP(U520/20,0)&gt;ROUNDUP(U519/20,0),"Lần " &amp; ROUNDUP(U520/20,0),"")</f>
        <v/>
      </c>
      <c r="AG520" s="9">
        <f>IF(ROUNDUP(V520/20,0)&gt;ROUNDUP(V519/20,0),"Lần " &amp; ROUNDUP(V520/20,0),"")</f>
        <v/>
      </c>
      <c r="AH520" s="9">
        <f>IF(ROUNDUP(W520/20,0)&gt;ROUNDUP(W519/20,0),"Lần " &amp; ROUNDUP(W520/20,0),"")</f>
        <v/>
      </c>
      <c r="AI520" s="9">
        <f>IF(ROUNDUP(X520/20,0)&gt;ROUNDUP(X519/20,0),"Lần " &amp; ROUNDUP(X520/20,0),"")</f>
        <v/>
      </c>
      <c r="AJ520" s="9">
        <f>IF(ROUNDUP(Y520/20,0)&gt;ROUNDUP(Y519/20,0),"Lần " &amp; ROUNDUP(Y520/20,0),"")</f>
        <v/>
      </c>
      <c r="AK520" s="9">
        <f>IF(ROUNDUP(Z520/20,0)&gt;ROUNDUP(Z519/20,0),"Lần " &amp; ROUNDUP(Z520/20,0),"")</f>
        <v/>
      </c>
      <c r="AL520" s="4" t="n"/>
      <c r="AN520" s="596" t="inlineStr">
        <is>
          <t>Than</t>
        </is>
      </c>
      <c r="AO520" s="596" t="n">
        <v>42</v>
      </c>
      <c r="AQ520" s="594" t="n"/>
      <c r="AR520" s="595" t="n"/>
    </row>
    <row r="521" ht="19" customFormat="1" customHeight="1" s="612">
      <c r="A521" s="4" t="n">
        <v>490</v>
      </c>
      <c r="B521" s="5" t="inlineStr">
        <is>
          <t>Trụ T1 (Thân trụ)</t>
        </is>
      </c>
      <c r="C521" s="5" t="inlineStr">
        <is>
          <t>Thân trụ đặc</t>
        </is>
      </c>
      <c r="D521" s="14" t="inlineStr">
        <is>
          <t>T4a1</t>
        </is>
      </c>
      <c r="E521" s="15" t="n">
        <v>16</v>
      </c>
      <c r="F521" s="4" t="inlineStr">
        <is>
          <t>CB400-V</t>
        </is>
      </c>
      <c r="G521" s="5" t="inlineStr">
        <is>
          <t>S06</t>
        </is>
      </c>
      <c r="H521" s="16" t="n">
        <v>5.102</v>
      </c>
      <c r="I521" s="17" t="n">
        <v>40</v>
      </c>
      <c r="J521" s="18" t="n">
        <v>1.578</v>
      </c>
      <c r="K521" s="7">
        <f>ROUND(H521*I521*J521, 2)</f>
        <v/>
      </c>
      <c r="L521" s="19">
        <f>ROUND(K521/1000, 3)</f>
        <v/>
      </c>
      <c r="M521" s="728">
        <f>IF(AO521="","",IF(N(INDEX(Theo_Doi_Tan_Suat_Be_Tong!$C:$C,AO521))&lt;=0,"",INDEX(Theo_Doi_Tan_Suat_Be_Tong!$C:$C,AO521)-VLOOKUP(AN521,$AQ$2:$AR$7,2,FALSE)))</f>
        <v/>
      </c>
      <c r="N521" s="4" t="n"/>
      <c r="O521" s="20">
        <f>IF(ROUNDUP(S521/20,0)&gt;ROUNDUP(S520/20,0),"TN Ø16 (Lần " &amp; ROUNDUP(S521/20,0) &amp; ")","")</f>
        <v/>
      </c>
      <c r="P521" s="16">
        <f>ROUND(P520+IF(AND(E521&lt;=10,F521&lt;&gt;"ASTM A416"),L521,0),3)</f>
        <v/>
      </c>
      <c r="Q521" s="16">
        <f>ROUND(Q520+IF(AND(E521=12,F521&lt;&gt;"ASTM A416"),L521,0),3)</f>
        <v/>
      </c>
      <c r="R521" s="16">
        <f>ROUND(R520+IF(AND(E521=14,F521&lt;&gt;"ASTM A416"),L521,0),3)</f>
        <v/>
      </c>
      <c r="S521" s="16">
        <f>ROUND(S520+IF(AND(E521=16,F521&lt;&gt;"ASTM A416"),L521,0),3)</f>
        <v/>
      </c>
      <c r="T521" s="16">
        <f>ROUND(T520+IF(AND(E521=18,F521&lt;&gt;"ASTM A416"),L521,0),3)</f>
        <v/>
      </c>
      <c r="U521" s="16">
        <f>ROUND(U520+IF(AND(E521=20,F521&lt;&gt;"ASTM A416"),L521,0),3)</f>
        <v/>
      </c>
      <c r="V521" s="16">
        <f>ROUND(V520+IF(AND(E521=22,F521&lt;&gt;"ASTM A416"),L521,0),3)</f>
        <v/>
      </c>
      <c r="W521" s="16">
        <f>ROUND(W520+IF(AND(E521=25,F521&lt;&gt;"ASTM A416"),L521,0),3)</f>
        <v/>
      </c>
      <c r="X521" s="16">
        <f>ROUND(X520+IF(AND(E521=28,F521&lt;&gt;"ASTM A416"),L521,0),3)</f>
        <v/>
      </c>
      <c r="Y521" s="16">
        <f>ROUND(Y520+IF(AND(E521=32,F521&lt;&gt;"ASTM A416"),L521,0),3)</f>
        <v/>
      </c>
      <c r="Z521" s="16">
        <f>ROUND(Z520+IF(F521="ASTM A416",L521,0),3)</f>
        <v/>
      </c>
      <c r="AA521" s="9">
        <f>IF(ROUNDUP(P521/20,0)&gt;ROUNDUP(P520/20,0),"Lần " &amp; ROUNDUP(P521/20,0),"")</f>
        <v/>
      </c>
      <c r="AB521" s="9">
        <f>IF(ROUNDUP(Q521/20,0)&gt;ROUNDUP(Q520/20,0),"Lần " &amp; ROUNDUP(Q521/20,0),"")</f>
        <v/>
      </c>
      <c r="AC521" s="9">
        <f>IF(ROUNDUP(R521/20,0)&gt;ROUNDUP(R520/20,0),"Lần " &amp; ROUNDUP(R521/20,0),"")</f>
        <v/>
      </c>
      <c r="AD521" s="9">
        <f>IF(ROUNDUP(S521/20,0)&gt;ROUNDUP(S520/20,0),"Lần " &amp; ROUNDUP(S521/20,0),"")</f>
        <v/>
      </c>
      <c r="AE521" s="9">
        <f>IF(ROUNDUP(T521/20,0)&gt;ROUNDUP(T520/20,0),"Lần " &amp; ROUNDUP(T521/20,0),"")</f>
        <v/>
      </c>
      <c r="AF521" s="9">
        <f>IF(ROUNDUP(U521/20,0)&gt;ROUNDUP(U520/20,0),"Lần " &amp; ROUNDUP(U521/20,0),"")</f>
        <v/>
      </c>
      <c r="AG521" s="9">
        <f>IF(ROUNDUP(V521/20,0)&gt;ROUNDUP(V520/20,0),"Lần " &amp; ROUNDUP(V521/20,0),"")</f>
        <v/>
      </c>
      <c r="AH521" s="9">
        <f>IF(ROUNDUP(W521/20,0)&gt;ROUNDUP(W520/20,0),"Lần " &amp; ROUNDUP(W521/20,0),"")</f>
        <v/>
      </c>
      <c r="AI521" s="9">
        <f>IF(ROUNDUP(X521/20,0)&gt;ROUNDUP(X520/20,0),"Lần " &amp; ROUNDUP(X521/20,0),"")</f>
        <v/>
      </c>
      <c r="AJ521" s="9">
        <f>IF(ROUNDUP(Y521/20,0)&gt;ROUNDUP(Y520/20,0),"Lần " &amp; ROUNDUP(Y521/20,0),"")</f>
        <v/>
      </c>
      <c r="AK521" s="9">
        <f>IF(ROUNDUP(Z521/20,0)&gt;ROUNDUP(Z520/20,0),"Lần " &amp; ROUNDUP(Z521/20,0),"")</f>
        <v/>
      </c>
      <c r="AL521" s="4" t="n"/>
      <c r="AN521" s="596" t="inlineStr">
        <is>
          <t>Than</t>
        </is>
      </c>
      <c r="AO521" s="596" t="n">
        <v>42</v>
      </c>
      <c r="AQ521" s="594" t="n"/>
      <c r="AR521" s="595" t="n"/>
    </row>
    <row r="522" ht="19" customFormat="1" customHeight="1" s="612">
      <c r="A522" s="4" t="n">
        <v>491</v>
      </c>
      <c r="B522" s="5" t="inlineStr">
        <is>
          <t>Trụ T1 (Thân trụ)</t>
        </is>
      </c>
      <c r="C522" s="5" t="inlineStr">
        <is>
          <t>th©n trô ®o¹n 2</t>
        </is>
      </c>
      <c r="D522" s="14" t="inlineStr">
        <is>
          <t>T1b</t>
        </is>
      </c>
      <c r="E522" s="15" t="n">
        <v>32</v>
      </c>
      <c r="F522" s="4" t="inlineStr">
        <is>
          <t>CB400-V</t>
        </is>
      </c>
      <c r="G522" s="5" t="inlineStr">
        <is>
          <t>S28</t>
        </is>
      </c>
      <c r="H522" s="16" t="n">
        <v>13.616</v>
      </c>
      <c r="I522" s="17" t="n">
        <v>106</v>
      </c>
      <c r="J522" s="18" t="n">
        <v>6.313</v>
      </c>
      <c r="K522" s="7">
        <f>ROUND(H522*I522*J522, 2)</f>
        <v/>
      </c>
      <c r="L522" s="19">
        <f>ROUND(K522/1000, 3)</f>
        <v/>
      </c>
      <c r="M522" s="728">
        <f>IF(AO522="","",IF(N(INDEX(Theo_Doi_Tan_Suat_Be_Tong!$C:$C,AO522))&lt;=0,"",INDEX(Theo_Doi_Tan_Suat_Be_Tong!$C:$C,AO522)-VLOOKUP(AN522,$AQ$2:$AR$7,2,FALSE)))</f>
        <v/>
      </c>
      <c r="N522" s="4" t="n"/>
      <c r="O522" s="20">
        <f>IF(ROUNDUP(Y522/20,0)&gt;ROUNDUP(Y521/20,0),"TN Ø32 (Lần " &amp; ROUNDUP(Y522/20,0) &amp; ")","")</f>
        <v/>
      </c>
      <c r="P522" s="16">
        <f>ROUND(P521+IF(AND(E522&lt;=10,F522&lt;&gt;"ASTM A416"),L522,0),3)</f>
        <v/>
      </c>
      <c r="Q522" s="16">
        <f>ROUND(Q521+IF(AND(E522=12,F522&lt;&gt;"ASTM A416"),L522,0),3)</f>
        <v/>
      </c>
      <c r="R522" s="16">
        <f>ROUND(R521+IF(AND(E522=14,F522&lt;&gt;"ASTM A416"),L522,0),3)</f>
        <v/>
      </c>
      <c r="S522" s="16">
        <f>ROUND(S521+IF(AND(E522=16,F522&lt;&gt;"ASTM A416"),L522,0),3)</f>
        <v/>
      </c>
      <c r="T522" s="16">
        <f>ROUND(T521+IF(AND(E522=18,F522&lt;&gt;"ASTM A416"),L522,0),3)</f>
        <v/>
      </c>
      <c r="U522" s="16">
        <f>ROUND(U521+IF(AND(E522=20,F522&lt;&gt;"ASTM A416"),L522,0),3)</f>
        <v/>
      </c>
      <c r="V522" s="16">
        <f>ROUND(V521+IF(AND(E522=22,F522&lt;&gt;"ASTM A416"),L522,0),3)</f>
        <v/>
      </c>
      <c r="W522" s="16">
        <f>ROUND(W521+IF(AND(E522=25,F522&lt;&gt;"ASTM A416"),L522,0),3)</f>
        <v/>
      </c>
      <c r="X522" s="16">
        <f>ROUND(X521+IF(AND(E522=28,F522&lt;&gt;"ASTM A416"),L522,0),3)</f>
        <v/>
      </c>
      <c r="Y522" s="16">
        <f>ROUND(Y521+IF(AND(E522=32,F522&lt;&gt;"ASTM A416"),L522,0),3)</f>
        <v/>
      </c>
      <c r="Z522" s="16">
        <f>ROUND(Z521+IF(F522="ASTM A416",L522,0),3)</f>
        <v/>
      </c>
      <c r="AA522" s="9">
        <f>IF(ROUNDUP(P522/20,0)&gt;ROUNDUP(P521/20,0),"Lần " &amp; ROUNDUP(P522/20,0),"")</f>
        <v/>
      </c>
      <c r="AB522" s="9">
        <f>IF(ROUNDUP(Q522/20,0)&gt;ROUNDUP(Q521/20,0),"Lần " &amp; ROUNDUP(Q522/20,0),"")</f>
        <v/>
      </c>
      <c r="AC522" s="9">
        <f>IF(ROUNDUP(R522/20,0)&gt;ROUNDUP(R521/20,0),"Lần " &amp; ROUNDUP(R522/20,0),"")</f>
        <v/>
      </c>
      <c r="AD522" s="9">
        <f>IF(ROUNDUP(S522/20,0)&gt;ROUNDUP(S521/20,0),"Lần " &amp; ROUNDUP(S522/20,0),"")</f>
        <v/>
      </c>
      <c r="AE522" s="9">
        <f>IF(ROUNDUP(T522/20,0)&gt;ROUNDUP(T521/20,0),"Lần " &amp; ROUNDUP(T522/20,0),"")</f>
        <v/>
      </c>
      <c r="AF522" s="9">
        <f>IF(ROUNDUP(U522/20,0)&gt;ROUNDUP(U521/20,0),"Lần " &amp; ROUNDUP(U522/20,0),"")</f>
        <v/>
      </c>
      <c r="AG522" s="9">
        <f>IF(ROUNDUP(V522/20,0)&gt;ROUNDUP(V521/20,0),"Lần " &amp; ROUNDUP(V522/20,0),"")</f>
        <v/>
      </c>
      <c r="AH522" s="9">
        <f>IF(ROUNDUP(W522/20,0)&gt;ROUNDUP(W521/20,0),"Lần " &amp; ROUNDUP(W522/20,0),"")</f>
        <v/>
      </c>
      <c r="AI522" s="9">
        <f>IF(ROUNDUP(X522/20,0)&gt;ROUNDUP(X521/20,0),"Lần " &amp; ROUNDUP(X522/20,0),"")</f>
        <v/>
      </c>
      <c r="AJ522" s="9">
        <f>IF(ROUNDUP(Y522/20,0)&gt;ROUNDUP(Y521/20,0),"Lần " &amp; ROUNDUP(Y522/20,0),"")</f>
        <v/>
      </c>
      <c r="AK522" s="9">
        <f>IF(ROUNDUP(Z522/20,0)&gt;ROUNDUP(Z521/20,0),"Lần " &amp; ROUNDUP(Z522/20,0),"")</f>
        <v/>
      </c>
      <c r="AL522" s="4" t="n"/>
      <c r="AN522" s="596" t="inlineStr">
        <is>
          <t>Than</t>
        </is>
      </c>
      <c r="AO522" s="596" t="n">
        <v>43</v>
      </c>
      <c r="AQ522" s="594" t="n"/>
      <c r="AR522" s="595" t="n"/>
    </row>
    <row r="523" ht="19" customFormat="1" customHeight="1" s="612">
      <c r="A523" s="4" t="n">
        <v>492</v>
      </c>
      <c r="B523" s="5" t="inlineStr">
        <is>
          <t>Trụ T1 (Thân trụ)</t>
        </is>
      </c>
      <c r="C523" s="5" t="inlineStr">
        <is>
          <t>Thân trụ đặc</t>
        </is>
      </c>
      <c r="D523" s="14" t="inlineStr">
        <is>
          <t>T2b</t>
        </is>
      </c>
      <c r="E523" s="15" t="n">
        <v>16</v>
      </c>
      <c r="F523" s="4" t="inlineStr">
        <is>
          <t>CB400-V</t>
        </is>
      </c>
      <c r="G523" s="5" t="inlineStr">
        <is>
          <t>S07</t>
        </is>
      </c>
      <c r="H523" s="16" t="n">
        <v>6.894</v>
      </c>
      <c r="I523" s="17" t="n">
        <v>150</v>
      </c>
      <c r="J523" s="18" t="n">
        <v>1.578</v>
      </c>
      <c r="K523" s="7">
        <f>ROUND(H523*I523*J523, 2)</f>
        <v/>
      </c>
      <c r="L523" s="19">
        <f>ROUND(K523/1000, 3)</f>
        <v/>
      </c>
      <c r="M523" s="728">
        <f>IF(AO523="","",IF(N(INDEX(Theo_Doi_Tan_Suat_Be_Tong!$C:$C,AO523))&lt;=0,"",INDEX(Theo_Doi_Tan_Suat_Be_Tong!$C:$C,AO523)-VLOOKUP(AN523,$AQ$2:$AR$7,2,FALSE)))</f>
        <v/>
      </c>
      <c r="N523" s="4" t="n"/>
      <c r="O523" s="20">
        <f>IF(ROUNDUP(S523/20,0)&gt;ROUNDUP(S522/20,0),"TN Ø16 (Lần " &amp; ROUNDUP(S523/20,0) &amp; ")","")</f>
        <v/>
      </c>
      <c r="P523" s="16">
        <f>ROUND(P522+IF(AND(E523&lt;=10,F523&lt;&gt;"ASTM A416"),L523,0),3)</f>
        <v/>
      </c>
      <c r="Q523" s="16">
        <f>ROUND(Q522+IF(AND(E523=12,F523&lt;&gt;"ASTM A416"),L523,0),3)</f>
        <v/>
      </c>
      <c r="R523" s="16">
        <f>ROUND(R522+IF(AND(E523=14,F523&lt;&gt;"ASTM A416"),L523,0),3)</f>
        <v/>
      </c>
      <c r="S523" s="16">
        <f>ROUND(S522+IF(AND(E523=16,F523&lt;&gt;"ASTM A416"),L523,0),3)</f>
        <v/>
      </c>
      <c r="T523" s="16">
        <f>ROUND(T522+IF(AND(E523=18,F523&lt;&gt;"ASTM A416"),L523,0),3)</f>
        <v/>
      </c>
      <c r="U523" s="16">
        <f>ROUND(U522+IF(AND(E523=20,F523&lt;&gt;"ASTM A416"),L523,0),3)</f>
        <v/>
      </c>
      <c r="V523" s="16">
        <f>ROUND(V522+IF(AND(E523=22,F523&lt;&gt;"ASTM A416"),L523,0),3)</f>
        <v/>
      </c>
      <c r="W523" s="16">
        <f>ROUND(W522+IF(AND(E523=25,F523&lt;&gt;"ASTM A416"),L523,0),3)</f>
        <v/>
      </c>
      <c r="X523" s="16">
        <f>ROUND(X522+IF(AND(E523=28,F523&lt;&gt;"ASTM A416"),L523,0),3)</f>
        <v/>
      </c>
      <c r="Y523" s="16">
        <f>ROUND(Y522+IF(AND(E523=32,F523&lt;&gt;"ASTM A416"),L523,0),3)</f>
        <v/>
      </c>
      <c r="Z523" s="16">
        <f>ROUND(Z522+IF(F523="ASTM A416",L523,0),3)</f>
        <v/>
      </c>
      <c r="AA523" s="9">
        <f>IF(ROUNDUP(P523/20,0)&gt;ROUNDUP(P522/20,0),"Lần " &amp; ROUNDUP(P523/20,0),"")</f>
        <v/>
      </c>
      <c r="AB523" s="9">
        <f>IF(ROUNDUP(Q523/20,0)&gt;ROUNDUP(Q522/20,0),"Lần " &amp; ROUNDUP(Q523/20,0),"")</f>
        <v/>
      </c>
      <c r="AC523" s="9">
        <f>IF(ROUNDUP(R523/20,0)&gt;ROUNDUP(R522/20,0),"Lần " &amp; ROUNDUP(R523/20,0),"")</f>
        <v/>
      </c>
      <c r="AD523" s="9">
        <f>IF(ROUNDUP(S523/20,0)&gt;ROUNDUP(S522/20,0),"Lần " &amp; ROUNDUP(S523/20,0),"")</f>
        <v/>
      </c>
      <c r="AE523" s="9">
        <f>IF(ROUNDUP(T523/20,0)&gt;ROUNDUP(T522/20,0),"Lần " &amp; ROUNDUP(T523/20,0),"")</f>
        <v/>
      </c>
      <c r="AF523" s="9">
        <f>IF(ROUNDUP(U523/20,0)&gt;ROUNDUP(U522/20,0),"Lần " &amp; ROUNDUP(U523/20,0),"")</f>
        <v/>
      </c>
      <c r="AG523" s="9">
        <f>IF(ROUNDUP(V523/20,0)&gt;ROUNDUP(V522/20,0),"Lần " &amp; ROUNDUP(V523/20,0),"")</f>
        <v/>
      </c>
      <c r="AH523" s="9">
        <f>IF(ROUNDUP(W523/20,0)&gt;ROUNDUP(W522/20,0),"Lần " &amp; ROUNDUP(W523/20,0),"")</f>
        <v/>
      </c>
      <c r="AI523" s="9">
        <f>IF(ROUNDUP(X523/20,0)&gt;ROUNDUP(X522/20,0),"Lần " &amp; ROUNDUP(X523/20,0),"")</f>
        <v/>
      </c>
      <c r="AJ523" s="9">
        <f>IF(ROUNDUP(Y523/20,0)&gt;ROUNDUP(Y522/20,0),"Lần " &amp; ROUNDUP(Y523/20,0),"")</f>
        <v/>
      </c>
      <c r="AK523" s="9">
        <f>IF(ROUNDUP(Z523/20,0)&gt;ROUNDUP(Z522/20,0),"Lần " &amp; ROUNDUP(Z523/20,0),"")</f>
        <v/>
      </c>
      <c r="AL523" s="4" t="n"/>
      <c r="AN523" s="596" t="inlineStr">
        <is>
          <t>Than</t>
        </is>
      </c>
      <c r="AO523" s="596" t="n">
        <v>42</v>
      </c>
      <c r="AQ523" s="594" t="n"/>
      <c r="AR523" s="595" t="n"/>
    </row>
    <row r="524" ht="19" customFormat="1" customHeight="1" s="612">
      <c r="A524" s="4" t="n">
        <v>493</v>
      </c>
      <c r="B524" s="5" t="inlineStr">
        <is>
          <t>Trụ T1 (Thân trụ)</t>
        </is>
      </c>
      <c r="C524" s="5" t="inlineStr">
        <is>
          <t>Thân trụ đặc</t>
        </is>
      </c>
      <c r="D524" s="14" t="inlineStr">
        <is>
          <t>T3b</t>
        </is>
      </c>
      <c r="E524" s="15" t="n">
        <v>16</v>
      </c>
      <c r="F524" s="4" t="inlineStr">
        <is>
          <t>CB400-V</t>
        </is>
      </c>
      <c r="G524" s="5" t="inlineStr">
        <is>
          <t>S51</t>
        </is>
      </c>
      <c r="H524" s="16" t="n">
        <v>8.006</v>
      </c>
      <c r="I524" s="17" t="n">
        <v>150</v>
      </c>
      <c r="J524" s="18" t="n">
        <v>1.578</v>
      </c>
      <c r="K524" s="7">
        <f>ROUND(H524*I524*J524, 2)</f>
        <v/>
      </c>
      <c r="L524" s="19">
        <f>ROUND(K524/1000, 3)</f>
        <v/>
      </c>
      <c r="M524" s="728">
        <f>IF(AO524="","",IF(N(INDEX(Theo_Doi_Tan_Suat_Be_Tong!$C:$C,AO524))&lt;=0,"",INDEX(Theo_Doi_Tan_Suat_Be_Tong!$C:$C,AO524)-VLOOKUP(AN524,$AQ$2:$AR$7,2,FALSE)))</f>
        <v/>
      </c>
      <c r="N524" s="4" t="n"/>
      <c r="O524" s="20">
        <f>IF(ROUNDUP(S524/20,0)&gt;ROUNDUP(S523/20,0),"TN Ø16 (Lần " &amp; ROUNDUP(S524/20,0) &amp; ")","")</f>
        <v/>
      </c>
      <c r="P524" s="16">
        <f>ROUND(P523+IF(AND(E524&lt;=10,F524&lt;&gt;"ASTM A416"),L524,0),3)</f>
        <v/>
      </c>
      <c r="Q524" s="16">
        <f>ROUND(Q523+IF(AND(E524=12,F524&lt;&gt;"ASTM A416"),L524,0),3)</f>
        <v/>
      </c>
      <c r="R524" s="16">
        <f>ROUND(R523+IF(AND(E524=14,F524&lt;&gt;"ASTM A416"),L524,0),3)</f>
        <v/>
      </c>
      <c r="S524" s="16">
        <f>ROUND(S523+IF(AND(E524=16,F524&lt;&gt;"ASTM A416"),L524,0),3)</f>
        <v/>
      </c>
      <c r="T524" s="16">
        <f>ROUND(T523+IF(AND(E524=18,F524&lt;&gt;"ASTM A416"),L524,0),3)</f>
        <v/>
      </c>
      <c r="U524" s="16">
        <f>ROUND(U523+IF(AND(E524=20,F524&lt;&gt;"ASTM A416"),L524,0),3)</f>
        <v/>
      </c>
      <c r="V524" s="16">
        <f>ROUND(V523+IF(AND(E524=22,F524&lt;&gt;"ASTM A416"),L524,0),3)</f>
        <v/>
      </c>
      <c r="W524" s="16">
        <f>ROUND(W523+IF(AND(E524=25,F524&lt;&gt;"ASTM A416"),L524,0),3)</f>
        <v/>
      </c>
      <c r="X524" s="16">
        <f>ROUND(X523+IF(AND(E524=28,F524&lt;&gt;"ASTM A416"),L524,0),3)</f>
        <v/>
      </c>
      <c r="Y524" s="16">
        <f>ROUND(Y523+IF(AND(E524=32,F524&lt;&gt;"ASTM A416"),L524,0),3)</f>
        <v/>
      </c>
      <c r="Z524" s="16">
        <f>ROUND(Z523+IF(F524="ASTM A416",L524,0),3)</f>
        <v/>
      </c>
      <c r="AA524" s="9">
        <f>IF(ROUNDUP(P524/20,0)&gt;ROUNDUP(P523/20,0),"Lần " &amp; ROUNDUP(P524/20,0),"")</f>
        <v/>
      </c>
      <c r="AB524" s="9">
        <f>IF(ROUNDUP(Q524/20,0)&gt;ROUNDUP(Q523/20,0),"Lần " &amp; ROUNDUP(Q524/20,0),"")</f>
        <v/>
      </c>
      <c r="AC524" s="9">
        <f>IF(ROUNDUP(R524/20,0)&gt;ROUNDUP(R523/20,0),"Lần " &amp; ROUNDUP(R524/20,0),"")</f>
        <v/>
      </c>
      <c r="AD524" s="9">
        <f>IF(ROUNDUP(S524/20,0)&gt;ROUNDUP(S523/20,0),"Lần " &amp; ROUNDUP(S524/20,0),"")</f>
        <v/>
      </c>
      <c r="AE524" s="9">
        <f>IF(ROUNDUP(T524/20,0)&gt;ROUNDUP(T523/20,0),"Lần " &amp; ROUNDUP(T524/20,0),"")</f>
        <v/>
      </c>
      <c r="AF524" s="9">
        <f>IF(ROUNDUP(U524/20,0)&gt;ROUNDUP(U523/20,0),"Lần " &amp; ROUNDUP(U524/20,0),"")</f>
        <v/>
      </c>
      <c r="AG524" s="9">
        <f>IF(ROUNDUP(V524/20,0)&gt;ROUNDUP(V523/20,0),"Lần " &amp; ROUNDUP(V524/20,0),"")</f>
        <v/>
      </c>
      <c r="AH524" s="9">
        <f>IF(ROUNDUP(W524/20,0)&gt;ROUNDUP(W523/20,0),"Lần " &amp; ROUNDUP(W524/20,0),"")</f>
        <v/>
      </c>
      <c r="AI524" s="9">
        <f>IF(ROUNDUP(X524/20,0)&gt;ROUNDUP(X523/20,0),"Lần " &amp; ROUNDUP(X524/20,0),"")</f>
        <v/>
      </c>
      <c r="AJ524" s="9">
        <f>IF(ROUNDUP(Y524/20,0)&gt;ROUNDUP(Y523/20,0),"Lần " &amp; ROUNDUP(Y524/20,0),"")</f>
        <v/>
      </c>
      <c r="AK524" s="9">
        <f>IF(ROUNDUP(Z524/20,0)&gt;ROUNDUP(Z523/20,0),"Lần " &amp; ROUNDUP(Z524/20,0),"")</f>
        <v/>
      </c>
      <c r="AL524" s="4" t="n"/>
      <c r="AN524" s="596" t="inlineStr">
        <is>
          <t>Than</t>
        </is>
      </c>
      <c r="AO524" s="596" t="n">
        <v>42</v>
      </c>
      <c r="AQ524" s="594" t="n"/>
      <c r="AR524" s="595" t="n"/>
    </row>
    <row r="525" ht="19" customFormat="1" customHeight="1" s="612">
      <c r="A525" s="4" t="n">
        <v>494</v>
      </c>
      <c r="B525" s="5" t="inlineStr">
        <is>
          <t>Trụ T1 (Thân trụ)</t>
        </is>
      </c>
      <c r="C525" s="5" t="inlineStr">
        <is>
          <t>Thân trụ đặc</t>
        </is>
      </c>
      <c r="D525" s="14" t="inlineStr">
        <is>
          <t>T4b</t>
        </is>
      </c>
      <c r="E525" s="15" t="n">
        <v>16</v>
      </c>
      <c r="F525" s="4" t="inlineStr">
        <is>
          <t>CB400-V</t>
        </is>
      </c>
      <c r="G525" s="5" t="inlineStr">
        <is>
          <t>S06</t>
        </is>
      </c>
      <c r="H525" s="16" t="n">
        <v>5.932</v>
      </c>
      <c r="I525" s="17" t="n">
        <v>19</v>
      </c>
      <c r="J525" s="18" t="n">
        <v>1.578</v>
      </c>
      <c r="K525" s="7">
        <f>ROUND(H525*I525*J525, 2)</f>
        <v/>
      </c>
      <c r="L525" s="19">
        <f>ROUND(K525/1000, 3)</f>
        <v/>
      </c>
      <c r="M525" s="728">
        <f>IF(AO525="","",IF(N(INDEX(Theo_Doi_Tan_Suat_Be_Tong!$C:$C,AO525))&lt;=0,"",INDEX(Theo_Doi_Tan_Suat_Be_Tong!$C:$C,AO525)-VLOOKUP(AN525,$AQ$2:$AR$7,2,FALSE)))</f>
        <v/>
      </c>
      <c r="N525" s="4" t="n"/>
      <c r="O525" s="20">
        <f>IF(ROUNDUP(S525/20,0)&gt;ROUNDUP(S524/20,0),"TN Ø16 (Lần " &amp; ROUNDUP(S525/20,0) &amp; ")","")</f>
        <v/>
      </c>
      <c r="P525" s="16">
        <f>ROUND(P524+IF(AND(E525&lt;=10,F525&lt;&gt;"ASTM A416"),L525,0),3)</f>
        <v/>
      </c>
      <c r="Q525" s="16">
        <f>ROUND(Q524+IF(AND(E525=12,F525&lt;&gt;"ASTM A416"),L525,0),3)</f>
        <v/>
      </c>
      <c r="R525" s="16">
        <f>ROUND(R524+IF(AND(E525=14,F525&lt;&gt;"ASTM A416"),L525,0),3)</f>
        <v/>
      </c>
      <c r="S525" s="16">
        <f>ROUND(S524+IF(AND(E525=16,F525&lt;&gt;"ASTM A416"),L525,0),3)</f>
        <v/>
      </c>
      <c r="T525" s="16">
        <f>ROUND(T524+IF(AND(E525=18,F525&lt;&gt;"ASTM A416"),L525,0),3)</f>
        <v/>
      </c>
      <c r="U525" s="16">
        <f>ROUND(U524+IF(AND(E525=20,F525&lt;&gt;"ASTM A416"),L525,0),3)</f>
        <v/>
      </c>
      <c r="V525" s="16">
        <f>ROUND(V524+IF(AND(E525=22,F525&lt;&gt;"ASTM A416"),L525,0),3)</f>
        <v/>
      </c>
      <c r="W525" s="16">
        <f>ROUND(W524+IF(AND(E525=25,F525&lt;&gt;"ASTM A416"),L525,0),3)</f>
        <v/>
      </c>
      <c r="X525" s="16">
        <f>ROUND(X524+IF(AND(E525=28,F525&lt;&gt;"ASTM A416"),L525,0),3)</f>
        <v/>
      </c>
      <c r="Y525" s="16">
        <f>ROUND(Y524+IF(AND(E525=32,F525&lt;&gt;"ASTM A416"),L525,0),3)</f>
        <v/>
      </c>
      <c r="Z525" s="16">
        <f>ROUND(Z524+IF(F525="ASTM A416",L525,0),3)</f>
        <v/>
      </c>
      <c r="AA525" s="9">
        <f>IF(ROUNDUP(P525/20,0)&gt;ROUNDUP(P524/20,0),"Lần " &amp; ROUNDUP(P525/20,0),"")</f>
        <v/>
      </c>
      <c r="AB525" s="9">
        <f>IF(ROUNDUP(Q525/20,0)&gt;ROUNDUP(Q524/20,0),"Lần " &amp; ROUNDUP(Q525/20,0),"")</f>
        <v/>
      </c>
      <c r="AC525" s="9">
        <f>IF(ROUNDUP(R525/20,0)&gt;ROUNDUP(R524/20,0),"Lần " &amp; ROUNDUP(R525/20,0),"")</f>
        <v/>
      </c>
      <c r="AD525" s="9">
        <f>IF(ROUNDUP(S525/20,0)&gt;ROUNDUP(S524/20,0),"Lần " &amp; ROUNDUP(S525/20,0),"")</f>
        <v/>
      </c>
      <c r="AE525" s="9">
        <f>IF(ROUNDUP(T525/20,0)&gt;ROUNDUP(T524/20,0),"Lần " &amp; ROUNDUP(T525/20,0),"")</f>
        <v/>
      </c>
      <c r="AF525" s="9">
        <f>IF(ROUNDUP(U525/20,0)&gt;ROUNDUP(U524/20,0),"Lần " &amp; ROUNDUP(U525/20,0),"")</f>
        <v/>
      </c>
      <c r="AG525" s="9">
        <f>IF(ROUNDUP(V525/20,0)&gt;ROUNDUP(V524/20,0),"Lần " &amp; ROUNDUP(V525/20,0),"")</f>
        <v/>
      </c>
      <c r="AH525" s="9">
        <f>IF(ROUNDUP(W525/20,0)&gt;ROUNDUP(W524/20,0),"Lần " &amp; ROUNDUP(W525/20,0),"")</f>
        <v/>
      </c>
      <c r="AI525" s="9">
        <f>IF(ROUNDUP(X525/20,0)&gt;ROUNDUP(X524/20,0),"Lần " &amp; ROUNDUP(X525/20,0),"")</f>
        <v/>
      </c>
      <c r="AJ525" s="9">
        <f>IF(ROUNDUP(Y525/20,0)&gt;ROUNDUP(Y524/20,0),"Lần " &amp; ROUNDUP(Y525/20,0),"")</f>
        <v/>
      </c>
      <c r="AK525" s="9">
        <f>IF(ROUNDUP(Z525/20,0)&gt;ROUNDUP(Z524/20,0),"Lần " &amp; ROUNDUP(Z525/20,0),"")</f>
        <v/>
      </c>
      <c r="AL525" s="4" t="n"/>
      <c r="AN525" s="596" t="inlineStr">
        <is>
          <t>Than</t>
        </is>
      </c>
      <c r="AO525" s="596" t="n">
        <v>42</v>
      </c>
      <c r="AQ525" s="594" t="n"/>
      <c r="AR525" s="595" t="n"/>
    </row>
    <row r="526" ht="19" customFormat="1" customHeight="1" s="612">
      <c r="A526" s="4" t="n">
        <v>495</v>
      </c>
      <c r="B526" s="5" t="inlineStr">
        <is>
          <t>Trụ T1 (Thân trụ)</t>
        </is>
      </c>
      <c r="C526" s="5" t="inlineStr">
        <is>
          <t>Thân trụ đặc</t>
        </is>
      </c>
      <c r="D526" s="14" t="inlineStr">
        <is>
          <t>T4b1</t>
        </is>
      </c>
      <c r="E526" s="15" t="n">
        <v>16</v>
      </c>
      <c r="F526" s="4" t="inlineStr">
        <is>
          <t>CB400-V</t>
        </is>
      </c>
      <c r="G526" s="5" t="inlineStr">
        <is>
          <t>S06</t>
        </is>
      </c>
      <c r="H526" s="16" t="n">
        <v>5.652</v>
      </c>
      <c r="I526" s="17" t="n">
        <v>38</v>
      </c>
      <c r="J526" s="18" t="n">
        <v>1.578</v>
      </c>
      <c r="K526" s="7">
        <f>ROUND(H526*I526*J526, 2)</f>
        <v/>
      </c>
      <c r="L526" s="19">
        <f>ROUND(K526/1000, 3)</f>
        <v/>
      </c>
      <c r="M526" s="728">
        <f>IF(AO526="","",IF(N(INDEX(Theo_Doi_Tan_Suat_Be_Tong!$C:$C,AO526))&lt;=0,"",INDEX(Theo_Doi_Tan_Suat_Be_Tong!$C:$C,AO526)-VLOOKUP(AN526,$AQ$2:$AR$7,2,FALSE)))</f>
        <v/>
      </c>
      <c r="N526" s="4" t="n"/>
      <c r="O526" s="20">
        <f>IF(ROUNDUP(S526/20,0)&gt;ROUNDUP(S525/20,0),"TN Ø16 (Lần " &amp; ROUNDUP(S526/20,0) &amp; ")","")</f>
        <v/>
      </c>
      <c r="P526" s="16">
        <f>ROUND(P525+IF(AND(E526&lt;=10,F526&lt;&gt;"ASTM A416"),L526,0),3)</f>
        <v/>
      </c>
      <c r="Q526" s="16">
        <f>ROUND(Q525+IF(AND(E526=12,F526&lt;&gt;"ASTM A416"),L526,0),3)</f>
        <v/>
      </c>
      <c r="R526" s="16">
        <f>ROUND(R525+IF(AND(E526=14,F526&lt;&gt;"ASTM A416"),L526,0),3)</f>
        <v/>
      </c>
      <c r="S526" s="16">
        <f>ROUND(S525+IF(AND(E526=16,F526&lt;&gt;"ASTM A416"),L526,0),3)</f>
        <v/>
      </c>
      <c r="T526" s="16">
        <f>ROUND(T525+IF(AND(E526=18,F526&lt;&gt;"ASTM A416"),L526,0),3)</f>
        <v/>
      </c>
      <c r="U526" s="16">
        <f>ROUND(U525+IF(AND(E526=20,F526&lt;&gt;"ASTM A416"),L526,0),3)</f>
        <v/>
      </c>
      <c r="V526" s="16">
        <f>ROUND(V525+IF(AND(E526=22,F526&lt;&gt;"ASTM A416"),L526,0),3)</f>
        <v/>
      </c>
      <c r="W526" s="16">
        <f>ROUND(W525+IF(AND(E526=25,F526&lt;&gt;"ASTM A416"),L526,0),3)</f>
        <v/>
      </c>
      <c r="X526" s="16">
        <f>ROUND(X525+IF(AND(E526=28,F526&lt;&gt;"ASTM A416"),L526,0),3)</f>
        <v/>
      </c>
      <c r="Y526" s="16">
        <f>ROUND(Y525+IF(AND(E526=32,F526&lt;&gt;"ASTM A416"),L526,0),3)</f>
        <v/>
      </c>
      <c r="Z526" s="16">
        <f>ROUND(Z525+IF(F526="ASTM A416",L526,0),3)</f>
        <v/>
      </c>
      <c r="AA526" s="9">
        <f>IF(ROUNDUP(P526/20,0)&gt;ROUNDUP(P525/20,0),"Lần " &amp; ROUNDUP(P526/20,0),"")</f>
        <v/>
      </c>
      <c r="AB526" s="9">
        <f>IF(ROUNDUP(Q526/20,0)&gt;ROUNDUP(Q525/20,0),"Lần " &amp; ROUNDUP(Q526/20,0),"")</f>
        <v/>
      </c>
      <c r="AC526" s="9">
        <f>IF(ROUNDUP(R526/20,0)&gt;ROUNDUP(R525/20,0),"Lần " &amp; ROUNDUP(R526/20,0),"")</f>
        <v/>
      </c>
      <c r="AD526" s="9">
        <f>IF(ROUNDUP(S526/20,0)&gt;ROUNDUP(S525/20,0),"Lần " &amp; ROUNDUP(S526/20,0),"")</f>
        <v/>
      </c>
      <c r="AE526" s="9">
        <f>IF(ROUNDUP(T526/20,0)&gt;ROUNDUP(T525/20,0),"Lần " &amp; ROUNDUP(T526/20,0),"")</f>
        <v/>
      </c>
      <c r="AF526" s="9">
        <f>IF(ROUNDUP(U526/20,0)&gt;ROUNDUP(U525/20,0),"Lần " &amp; ROUNDUP(U526/20,0),"")</f>
        <v/>
      </c>
      <c r="AG526" s="9">
        <f>IF(ROUNDUP(V526/20,0)&gt;ROUNDUP(V525/20,0),"Lần " &amp; ROUNDUP(V526/20,0),"")</f>
        <v/>
      </c>
      <c r="AH526" s="9">
        <f>IF(ROUNDUP(W526/20,0)&gt;ROUNDUP(W525/20,0),"Lần " &amp; ROUNDUP(W526/20,0),"")</f>
        <v/>
      </c>
      <c r="AI526" s="9">
        <f>IF(ROUNDUP(X526/20,0)&gt;ROUNDUP(X525/20,0),"Lần " &amp; ROUNDUP(X526/20,0),"")</f>
        <v/>
      </c>
      <c r="AJ526" s="9">
        <f>IF(ROUNDUP(Y526/20,0)&gt;ROUNDUP(Y525/20,0),"Lần " &amp; ROUNDUP(Y526/20,0),"")</f>
        <v/>
      </c>
      <c r="AK526" s="9">
        <f>IF(ROUNDUP(Z526/20,0)&gt;ROUNDUP(Z525/20,0),"Lần " &amp; ROUNDUP(Z526/20,0),"")</f>
        <v/>
      </c>
      <c r="AL526" s="4" t="n"/>
      <c r="AN526" s="596" t="inlineStr">
        <is>
          <t>Than</t>
        </is>
      </c>
      <c r="AO526" s="596" t="n">
        <v>42</v>
      </c>
      <c r="AQ526" s="594" t="n"/>
      <c r="AR526" s="595" t="n"/>
    </row>
    <row r="527" ht="19" customFormat="1" customHeight="1" s="612">
      <c r="A527" s="4" t="n">
        <v>496</v>
      </c>
      <c r="B527" s="5" t="inlineStr">
        <is>
          <t>Trụ T1 (Thân trụ)</t>
        </is>
      </c>
      <c r="C527" s="5" t="inlineStr">
        <is>
          <t>th©n trô ®o¹n 3</t>
        </is>
      </c>
      <c r="D527" s="14" t="inlineStr">
        <is>
          <t>T1c</t>
        </is>
      </c>
      <c r="E527" s="15" t="n">
        <v>32</v>
      </c>
      <c r="F527" s="4" t="inlineStr">
        <is>
          <t>CB400-V</t>
        </is>
      </c>
      <c r="G527" s="5" t="inlineStr">
        <is>
          <t>S28</t>
        </is>
      </c>
      <c r="H527" s="16" t="n">
        <v>6.556</v>
      </c>
      <c r="I527" s="17" t="n">
        <v>122</v>
      </c>
      <c r="J527" s="18" t="n">
        <v>6.313</v>
      </c>
      <c r="K527" s="7">
        <f>ROUND(H527*I527*J527, 2)</f>
        <v/>
      </c>
      <c r="L527" s="19">
        <f>ROUND(K527/1000, 3)</f>
        <v/>
      </c>
      <c r="M527" s="728">
        <f>IF(AO527="","",IF(N(INDEX(Theo_Doi_Tan_Suat_Be_Tong!$C:$C,AO527))&lt;=0,"",INDEX(Theo_Doi_Tan_Suat_Be_Tong!$C:$C,AO527)-VLOOKUP(AN527,$AQ$2:$AR$7,2,FALSE)))</f>
        <v/>
      </c>
      <c r="N527" s="4" t="n"/>
      <c r="O527" s="20">
        <f>IF(ROUNDUP(Y527/20,0)&gt;ROUNDUP(Y526/20,0),"TN Ø32 (Lần " &amp; ROUNDUP(Y527/20,0) &amp; ")","")</f>
        <v/>
      </c>
      <c r="P527" s="16">
        <f>ROUND(P526+IF(AND(E527&lt;=10,F527&lt;&gt;"ASTM A416"),L527,0),3)</f>
        <v/>
      </c>
      <c r="Q527" s="16">
        <f>ROUND(Q526+IF(AND(E527=12,F527&lt;&gt;"ASTM A416"),L527,0),3)</f>
        <v/>
      </c>
      <c r="R527" s="16">
        <f>ROUND(R526+IF(AND(E527=14,F527&lt;&gt;"ASTM A416"),L527,0),3)</f>
        <v/>
      </c>
      <c r="S527" s="16">
        <f>ROUND(S526+IF(AND(E527=16,F527&lt;&gt;"ASTM A416"),L527,0),3)</f>
        <v/>
      </c>
      <c r="T527" s="16">
        <f>ROUND(T526+IF(AND(E527=18,F527&lt;&gt;"ASTM A416"),L527,0),3)</f>
        <v/>
      </c>
      <c r="U527" s="16">
        <f>ROUND(U526+IF(AND(E527=20,F527&lt;&gt;"ASTM A416"),L527,0),3)</f>
        <v/>
      </c>
      <c r="V527" s="16">
        <f>ROUND(V526+IF(AND(E527=22,F527&lt;&gt;"ASTM A416"),L527,0),3)</f>
        <v/>
      </c>
      <c r="W527" s="16">
        <f>ROUND(W526+IF(AND(E527=25,F527&lt;&gt;"ASTM A416"),L527,0),3)</f>
        <v/>
      </c>
      <c r="X527" s="16">
        <f>ROUND(X526+IF(AND(E527=28,F527&lt;&gt;"ASTM A416"),L527,0),3)</f>
        <v/>
      </c>
      <c r="Y527" s="16">
        <f>ROUND(Y526+IF(AND(E527=32,F527&lt;&gt;"ASTM A416"),L527,0),3)</f>
        <v/>
      </c>
      <c r="Z527" s="16">
        <f>ROUND(Z526+IF(F527="ASTM A416",L527,0),3)</f>
        <v/>
      </c>
      <c r="AA527" s="9">
        <f>IF(ROUNDUP(P527/20,0)&gt;ROUNDUP(P526/20,0),"Lần " &amp; ROUNDUP(P527/20,0),"")</f>
        <v/>
      </c>
      <c r="AB527" s="9">
        <f>IF(ROUNDUP(Q527/20,0)&gt;ROUNDUP(Q526/20,0),"Lần " &amp; ROUNDUP(Q527/20,0),"")</f>
        <v/>
      </c>
      <c r="AC527" s="9">
        <f>IF(ROUNDUP(R527/20,0)&gt;ROUNDUP(R526/20,0),"Lần " &amp; ROUNDUP(R527/20,0),"")</f>
        <v/>
      </c>
      <c r="AD527" s="9">
        <f>IF(ROUNDUP(S527/20,0)&gt;ROUNDUP(S526/20,0),"Lần " &amp; ROUNDUP(S527/20,0),"")</f>
        <v/>
      </c>
      <c r="AE527" s="9">
        <f>IF(ROUNDUP(T527/20,0)&gt;ROUNDUP(T526/20,0),"Lần " &amp; ROUNDUP(T527/20,0),"")</f>
        <v/>
      </c>
      <c r="AF527" s="9">
        <f>IF(ROUNDUP(U527/20,0)&gt;ROUNDUP(U526/20,0),"Lần " &amp; ROUNDUP(U527/20,0),"")</f>
        <v/>
      </c>
      <c r="AG527" s="9">
        <f>IF(ROUNDUP(V527/20,0)&gt;ROUNDUP(V526/20,0),"Lần " &amp; ROUNDUP(V527/20,0),"")</f>
        <v/>
      </c>
      <c r="AH527" s="9">
        <f>IF(ROUNDUP(W527/20,0)&gt;ROUNDUP(W526/20,0),"Lần " &amp; ROUNDUP(W527/20,0),"")</f>
        <v/>
      </c>
      <c r="AI527" s="9">
        <f>IF(ROUNDUP(X527/20,0)&gt;ROUNDUP(X526/20,0),"Lần " &amp; ROUNDUP(X527/20,0),"")</f>
        <v/>
      </c>
      <c r="AJ527" s="9">
        <f>IF(ROUNDUP(Y527/20,0)&gt;ROUNDUP(Y526/20,0),"Lần " &amp; ROUNDUP(Y527/20,0),"")</f>
        <v/>
      </c>
      <c r="AK527" s="9">
        <f>IF(ROUNDUP(Z527/20,0)&gt;ROUNDUP(Z526/20,0),"Lần " &amp; ROUNDUP(Z527/20,0),"")</f>
        <v/>
      </c>
      <c r="AL527" s="4" t="n"/>
      <c r="AN527" s="596" t="inlineStr">
        <is>
          <t>Than</t>
        </is>
      </c>
      <c r="AO527" s="596" t="n">
        <v>44</v>
      </c>
      <c r="AQ527" s="594" t="n"/>
      <c r="AR527" s="595" t="n"/>
    </row>
    <row r="528" ht="19" customHeight="1" s="672">
      <c r="A528" s="4" t="n">
        <v>497</v>
      </c>
      <c r="B528" s="5" t="inlineStr">
        <is>
          <t>Trụ T1 (Thân trụ)</t>
        </is>
      </c>
      <c r="C528" s="5" t="inlineStr">
        <is>
          <t>Thân trụ đặc</t>
        </is>
      </c>
      <c r="D528" s="14" t="inlineStr">
        <is>
          <t>T2c</t>
        </is>
      </c>
      <c r="E528" s="15" t="n">
        <v>16</v>
      </c>
      <c r="F528" s="4" t="inlineStr">
        <is>
          <t>CB400-V</t>
        </is>
      </c>
      <c r="G528" s="5" t="inlineStr">
        <is>
          <t>S07</t>
        </is>
      </c>
      <c r="H528" s="16" t="n">
        <v>8.436999999999999</v>
      </c>
      <c r="I528" s="17" t="n">
        <v>76</v>
      </c>
      <c r="J528" s="18" t="n">
        <v>1.578</v>
      </c>
      <c r="K528" s="7">
        <f>ROUND(H528*I528*J528, 2)</f>
        <v/>
      </c>
      <c r="L528" s="19">
        <f>ROUND(K528/1000, 3)</f>
        <v/>
      </c>
      <c r="M528" s="728">
        <f>IF(AO528="","",IF(N(INDEX(Theo_Doi_Tan_Suat_Be_Tong!$C:$C,AO528))&lt;=0,"",INDEX(Theo_Doi_Tan_Suat_Be_Tong!$C:$C,AO528)-VLOOKUP(AN528,$AQ$2:$AR$7,2,FALSE)))</f>
        <v/>
      </c>
      <c r="N528" s="4" t="n"/>
      <c r="O528" s="20">
        <f>IF(ROUNDUP(S528/20,0)&gt;ROUNDUP(S527/20,0),"TN Ø16 (Lần " &amp; ROUNDUP(S528/20,0) &amp; ")","")</f>
        <v/>
      </c>
      <c r="P528" s="16">
        <f>ROUND(P527+IF(AND(E528&lt;=10,F528&lt;&gt;"ASTM A416"),L528,0),3)</f>
        <v/>
      </c>
      <c r="Q528" s="16">
        <f>ROUND(Q527+IF(AND(E528=12,F528&lt;&gt;"ASTM A416"),L528,0),3)</f>
        <v/>
      </c>
      <c r="R528" s="16">
        <f>ROUND(R527+IF(AND(E528=14,F528&lt;&gt;"ASTM A416"),L528,0),3)</f>
        <v/>
      </c>
      <c r="S528" s="16">
        <f>ROUND(S527+IF(AND(E528=16,F528&lt;&gt;"ASTM A416"),L528,0),3)</f>
        <v/>
      </c>
      <c r="T528" s="16">
        <f>ROUND(T527+IF(AND(E528=18,F528&lt;&gt;"ASTM A416"),L528,0),3)</f>
        <v/>
      </c>
      <c r="U528" s="16">
        <f>ROUND(U527+IF(AND(E528=20,F528&lt;&gt;"ASTM A416"),L528,0),3)</f>
        <v/>
      </c>
      <c r="V528" s="16">
        <f>ROUND(V527+IF(AND(E528=22,F528&lt;&gt;"ASTM A416"),L528,0),3)</f>
        <v/>
      </c>
      <c r="W528" s="16">
        <f>ROUND(W527+IF(AND(E528=25,F528&lt;&gt;"ASTM A416"),L528,0),3)</f>
        <v/>
      </c>
      <c r="X528" s="16">
        <f>ROUND(X527+IF(AND(E528=28,F528&lt;&gt;"ASTM A416"),L528,0),3)</f>
        <v/>
      </c>
      <c r="Y528" s="16">
        <f>ROUND(Y527+IF(AND(E528=32,F528&lt;&gt;"ASTM A416"),L528,0),3)</f>
        <v/>
      </c>
      <c r="Z528" s="16">
        <f>ROUND(Z527+IF(F528="ASTM A416",L528,0),3)</f>
        <v/>
      </c>
      <c r="AA528" s="9">
        <f>IF(ROUNDUP(P528/20,0)&gt;ROUNDUP(P527/20,0),"Lần " &amp; ROUNDUP(P528/20,0),"")</f>
        <v/>
      </c>
      <c r="AB528" s="9">
        <f>IF(ROUNDUP(Q528/20,0)&gt;ROUNDUP(Q527/20,0),"Lần " &amp; ROUNDUP(Q528/20,0),"")</f>
        <v/>
      </c>
      <c r="AC528" s="9">
        <f>IF(ROUNDUP(R528/20,0)&gt;ROUNDUP(R527/20,0),"Lần " &amp; ROUNDUP(R528/20,0),"")</f>
        <v/>
      </c>
      <c r="AD528" s="9">
        <f>IF(ROUNDUP(S528/20,0)&gt;ROUNDUP(S527/20,0),"Lần " &amp; ROUNDUP(S528/20,0),"")</f>
        <v/>
      </c>
      <c r="AE528" s="9">
        <f>IF(ROUNDUP(T528/20,0)&gt;ROUNDUP(T527/20,0),"Lần " &amp; ROUNDUP(T528/20,0),"")</f>
        <v/>
      </c>
      <c r="AF528" s="9">
        <f>IF(ROUNDUP(U528/20,0)&gt;ROUNDUP(U527/20,0),"Lần " &amp; ROUNDUP(U528/20,0),"")</f>
        <v/>
      </c>
      <c r="AG528" s="9">
        <f>IF(ROUNDUP(V528/20,0)&gt;ROUNDUP(V527/20,0),"Lần " &amp; ROUNDUP(V528/20,0),"")</f>
        <v/>
      </c>
      <c r="AH528" s="9">
        <f>IF(ROUNDUP(W528/20,0)&gt;ROUNDUP(W527/20,0),"Lần " &amp; ROUNDUP(W528/20,0),"")</f>
        <v/>
      </c>
      <c r="AI528" s="9">
        <f>IF(ROUNDUP(X528/20,0)&gt;ROUNDUP(X527/20,0),"Lần " &amp; ROUNDUP(X528/20,0),"")</f>
        <v/>
      </c>
      <c r="AJ528" s="9">
        <f>IF(ROUNDUP(Y528/20,0)&gt;ROUNDUP(Y527/20,0),"Lần " &amp; ROUNDUP(Y528/20,0),"")</f>
        <v/>
      </c>
      <c r="AK528" s="9">
        <f>IF(ROUNDUP(Z528/20,0)&gt;ROUNDUP(Z527/20,0),"Lần " &amp; ROUNDUP(Z528/20,0),"")</f>
        <v/>
      </c>
      <c r="AL528" s="4" t="n"/>
      <c r="AN528" s="596" t="inlineStr">
        <is>
          <t>Than</t>
        </is>
      </c>
      <c r="AO528" s="596" t="n">
        <v>42</v>
      </c>
      <c r="AQ528" s="594" t="n"/>
      <c r="AR528" s="595" t="n"/>
    </row>
    <row r="529" ht="19" customHeight="1" s="672">
      <c r="A529" s="4" t="n">
        <v>498</v>
      </c>
      <c r="B529" s="5" t="inlineStr">
        <is>
          <t>Trụ T1 (Thân trụ)</t>
        </is>
      </c>
      <c r="C529" s="5" t="inlineStr">
        <is>
          <t>Thân trụ đặc</t>
        </is>
      </c>
      <c r="D529" s="14" t="inlineStr">
        <is>
          <t>T3c</t>
        </is>
      </c>
      <c r="E529" s="15" t="n">
        <v>16</v>
      </c>
      <c r="F529" s="4" t="inlineStr">
        <is>
          <t>CB400-V</t>
        </is>
      </c>
      <c r="G529" s="5" t="inlineStr">
        <is>
          <t>S51</t>
        </is>
      </c>
      <c r="H529" s="16" t="n">
        <v>9.206</v>
      </c>
      <c r="I529" s="17" t="n">
        <v>76</v>
      </c>
      <c r="J529" s="18" t="n">
        <v>1.578</v>
      </c>
      <c r="K529" s="7">
        <f>ROUND(H529*I529*J529, 2)</f>
        <v/>
      </c>
      <c r="L529" s="19">
        <f>ROUND(K529/1000, 3)</f>
        <v/>
      </c>
      <c r="M529" s="728">
        <f>IF(AO529="","",IF(N(INDEX(Theo_Doi_Tan_Suat_Be_Tong!$C:$C,AO529))&lt;=0,"",INDEX(Theo_Doi_Tan_Suat_Be_Tong!$C:$C,AO529)-VLOOKUP(AN529,$AQ$2:$AR$7,2,FALSE)))</f>
        <v/>
      </c>
      <c r="N529" s="4" t="n"/>
      <c r="O529" s="20">
        <f>IF(ROUNDUP(S529/20,0)&gt;ROUNDUP(S528/20,0),"TN Ø16 (Lần " &amp; ROUNDUP(S529/20,0) &amp; ")","")</f>
        <v/>
      </c>
      <c r="P529" s="16">
        <f>ROUND(P528+IF(AND(E529&lt;=10,F529&lt;&gt;"ASTM A416"),L529,0),3)</f>
        <v/>
      </c>
      <c r="Q529" s="16">
        <f>ROUND(Q528+IF(AND(E529=12,F529&lt;&gt;"ASTM A416"),L529,0),3)</f>
        <v/>
      </c>
      <c r="R529" s="16">
        <f>ROUND(R528+IF(AND(E529=14,F529&lt;&gt;"ASTM A416"),L529,0),3)</f>
        <v/>
      </c>
      <c r="S529" s="16">
        <f>ROUND(S528+IF(AND(E529=16,F529&lt;&gt;"ASTM A416"),L529,0),3)</f>
        <v/>
      </c>
      <c r="T529" s="16">
        <f>ROUND(T528+IF(AND(E529=18,F529&lt;&gt;"ASTM A416"),L529,0),3)</f>
        <v/>
      </c>
      <c r="U529" s="16">
        <f>ROUND(U528+IF(AND(E529=20,F529&lt;&gt;"ASTM A416"),L529,0),3)</f>
        <v/>
      </c>
      <c r="V529" s="16">
        <f>ROUND(V528+IF(AND(E529=22,F529&lt;&gt;"ASTM A416"),L529,0),3)</f>
        <v/>
      </c>
      <c r="W529" s="16">
        <f>ROUND(W528+IF(AND(E529=25,F529&lt;&gt;"ASTM A416"),L529,0),3)</f>
        <v/>
      </c>
      <c r="X529" s="16">
        <f>ROUND(X528+IF(AND(E529=28,F529&lt;&gt;"ASTM A416"),L529,0),3)</f>
        <v/>
      </c>
      <c r="Y529" s="16">
        <f>ROUND(Y528+IF(AND(E529=32,F529&lt;&gt;"ASTM A416"),L529,0),3)</f>
        <v/>
      </c>
      <c r="Z529" s="16">
        <f>ROUND(Z528+IF(F529="ASTM A416",L529,0),3)</f>
        <v/>
      </c>
      <c r="AA529" s="9">
        <f>IF(ROUNDUP(P529/20,0)&gt;ROUNDUP(P528/20,0),"Lần " &amp; ROUNDUP(P529/20,0),"")</f>
        <v/>
      </c>
      <c r="AB529" s="9">
        <f>IF(ROUNDUP(Q529/20,0)&gt;ROUNDUP(Q528/20,0),"Lần " &amp; ROUNDUP(Q529/20,0),"")</f>
        <v/>
      </c>
      <c r="AC529" s="9">
        <f>IF(ROUNDUP(R529/20,0)&gt;ROUNDUP(R528/20,0),"Lần " &amp; ROUNDUP(R529/20,0),"")</f>
        <v/>
      </c>
      <c r="AD529" s="9">
        <f>IF(ROUNDUP(S529/20,0)&gt;ROUNDUP(S528/20,0),"Lần " &amp; ROUNDUP(S529/20,0),"")</f>
        <v/>
      </c>
      <c r="AE529" s="9">
        <f>IF(ROUNDUP(T529/20,0)&gt;ROUNDUP(T528/20,0),"Lần " &amp; ROUNDUP(T529/20,0),"")</f>
        <v/>
      </c>
      <c r="AF529" s="9">
        <f>IF(ROUNDUP(U529/20,0)&gt;ROUNDUP(U528/20,0),"Lần " &amp; ROUNDUP(U529/20,0),"")</f>
        <v/>
      </c>
      <c r="AG529" s="9">
        <f>IF(ROUNDUP(V529/20,0)&gt;ROUNDUP(V528/20,0),"Lần " &amp; ROUNDUP(V529/20,0),"")</f>
        <v/>
      </c>
      <c r="AH529" s="9">
        <f>IF(ROUNDUP(W529/20,0)&gt;ROUNDUP(W528/20,0),"Lần " &amp; ROUNDUP(W529/20,0),"")</f>
        <v/>
      </c>
      <c r="AI529" s="9">
        <f>IF(ROUNDUP(X529/20,0)&gt;ROUNDUP(X528/20,0),"Lần " &amp; ROUNDUP(X529/20,0),"")</f>
        <v/>
      </c>
      <c r="AJ529" s="9">
        <f>IF(ROUNDUP(Y529/20,0)&gt;ROUNDUP(Y528/20,0),"Lần " &amp; ROUNDUP(Y529/20,0),"")</f>
        <v/>
      </c>
      <c r="AK529" s="9">
        <f>IF(ROUNDUP(Z529/20,0)&gt;ROUNDUP(Z528/20,0),"Lần " &amp; ROUNDUP(Z529/20,0),"")</f>
        <v/>
      </c>
      <c r="AL529" s="4" t="n"/>
      <c r="AN529" s="596" t="inlineStr">
        <is>
          <t>Than</t>
        </is>
      </c>
      <c r="AO529" s="596" t="n">
        <v>42</v>
      </c>
      <c r="AQ529" s="594" t="n"/>
      <c r="AR529" s="595" t="n"/>
    </row>
    <row r="530" ht="19" customHeight="1" s="672">
      <c r="A530" s="4" t="n">
        <v>499</v>
      </c>
      <c r="B530" s="5" t="inlineStr">
        <is>
          <t>Trụ T1 (Thân trụ)</t>
        </is>
      </c>
      <c r="C530" s="5" t="inlineStr">
        <is>
          <t>Thân trụ đặc</t>
        </is>
      </c>
      <c r="D530" s="14" t="inlineStr">
        <is>
          <t>T4c</t>
        </is>
      </c>
      <c r="E530" s="15" t="n">
        <v>16</v>
      </c>
      <c r="F530" s="4" t="inlineStr">
        <is>
          <t>CB400-V</t>
        </is>
      </c>
      <c r="G530" s="5" t="inlineStr">
        <is>
          <t>S06</t>
        </is>
      </c>
      <c r="H530" s="16" t="n">
        <v>6.532</v>
      </c>
      <c r="I530" s="17" t="n">
        <v>9</v>
      </c>
      <c r="J530" s="18" t="n">
        <v>1.578</v>
      </c>
      <c r="K530" s="7">
        <f>ROUND(H530*I530*J530, 2)</f>
        <v/>
      </c>
      <c r="L530" s="19">
        <f>ROUND(K530/1000, 3)</f>
        <v/>
      </c>
      <c r="M530" s="728">
        <f>IF(AO530="","",IF(N(INDEX(Theo_Doi_Tan_Suat_Be_Tong!$C:$C,AO530))&lt;=0,"",INDEX(Theo_Doi_Tan_Suat_Be_Tong!$C:$C,AO530)-VLOOKUP(AN530,$AQ$2:$AR$7,2,FALSE)))</f>
        <v/>
      </c>
      <c r="N530" s="4" t="n"/>
      <c r="O530" s="20">
        <f>IF(ROUNDUP(S530/20,0)&gt;ROUNDUP(S529/20,0),"TN Ø16 (Lần " &amp; ROUNDUP(S530/20,0) &amp; ")","")</f>
        <v/>
      </c>
      <c r="P530" s="16">
        <f>ROUND(P529+IF(AND(E530&lt;=10,F530&lt;&gt;"ASTM A416"),L530,0),3)</f>
        <v/>
      </c>
      <c r="Q530" s="16">
        <f>ROUND(Q529+IF(AND(E530=12,F530&lt;&gt;"ASTM A416"),L530,0),3)</f>
        <v/>
      </c>
      <c r="R530" s="16">
        <f>ROUND(R529+IF(AND(E530=14,F530&lt;&gt;"ASTM A416"),L530,0),3)</f>
        <v/>
      </c>
      <c r="S530" s="16">
        <f>ROUND(S529+IF(AND(E530=16,F530&lt;&gt;"ASTM A416"),L530,0),3)</f>
        <v/>
      </c>
      <c r="T530" s="16">
        <f>ROUND(T529+IF(AND(E530=18,F530&lt;&gt;"ASTM A416"),L530,0),3)</f>
        <v/>
      </c>
      <c r="U530" s="16">
        <f>ROUND(U529+IF(AND(E530=20,F530&lt;&gt;"ASTM A416"),L530,0),3)</f>
        <v/>
      </c>
      <c r="V530" s="16">
        <f>ROUND(V529+IF(AND(E530=22,F530&lt;&gt;"ASTM A416"),L530,0),3)</f>
        <v/>
      </c>
      <c r="W530" s="16">
        <f>ROUND(W529+IF(AND(E530=25,F530&lt;&gt;"ASTM A416"),L530,0),3)</f>
        <v/>
      </c>
      <c r="X530" s="16">
        <f>ROUND(X529+IF(AND(E530=28,F530&lt;&gt;"ASTM A416"),L530,0),3)</f>
        <v/>
      </c>
      <c r="Y530" s="16">
        <f>ROUND(Y529+IF(AND(E530=32,F530&lt;&gt;"ASTM A416"),L530,0),3)</f>
        <v/>
      </c>
      <c r="Z530" s="16">
        <f>ROUND(Z529+IF(F530="ASTM A416",L530,0),3)</f>
        <v/>
      </c>
      <c r="AA530" s="9">
        <f>IF(ROUNDUP(P530/20,0)&gt;ROUNDUP(P529/20,0),"Lần " &amp; ROUNDUP(P530/20,0),"")</f>
        <v/>
      </c>
      <c r="AB530" s="9">
        <f>IF(ROUNDUP(Q530/20,0)&gt;ROUNDUP(Q529/20,0),"Lần " &amp; ROUNDUP(Q530/20,0),"")</f>
        <v/>
      </c>
      <c r="AC530" s="9">
        <f>IF(ROUNDUP(R530/20,0)&gt;ROUNDUP(R529/20,0),"Lần " &amp; ROUNDUP(R530/20,0),"")</f>
        <v/>
      </c>
      <c r="AD530" s="9">
        <f>IF(ROUNDUP(S530/20,0)&gt;ROUNDUP(S529/20,0),"Lần " &amp; ROUNDUP(S530/20,0),"")</f>
        <v/>
      </c>
      <c r="AE530" s="9">
        <f>IF(ROUNDUP(T530/20,0)&gt;ROUNDUP(T529/20,0),"Lần " &amp; ROUNDUP(T530/20,0),"")</f>
        <v/>
      </c>
      <c r="AF530" s="9">
        <f>IF(ROUNDUP(U530/20,0)&gt;ROUNDUP(U529/20,0),"Lần " &amp; ROUNDUP(U530/20,0),"")</f>
        <v/>
      </c>
      <c r="AG530" s="9">
        <f>IF(ROUNDUP(V530/20,0)&gt;ROUNDUP(V529/20,0),"Lần " &amp; ROUNDUP(V530/20,0),"")</f>
        <v/>
      </c>
      <c r="AH530" s="9">
        <f>IF(ROUNDUP(W530/20,0)&gt;ROUNDUP(W529/20,0),"Lần " &amp; ROUNDUP(W530/20,0),"")</f>
        <v/>
      </c>
      <c r="AI530" s="9">
        <f>IF(ROUNDUP(X530/20,0)&gt;ROUNDUP(X529/20,0),"Lần " &amp; ROUNDUP(X530/20,0),"")</f>
        <v/>
      </c>
      <c r="AJ530" s="9">
        <f>IF(ROUNDUP(Y530/20,0)&gt;ROUNDUP(Y529/20,0),"Lần " &amp; ROUNDUP(Y530/20,0),"")</f>
        <v/>
      </c>
      <c r="AK530" s="9">
        <f>IF(ROUNDUP(Z530/20,0)&gt;ROUNDUP(Z529/20,0),"Lần " &amp; ROUNDUP(Z530/20,0),"")</f>
        <v/>
      </c>
      <c r="AL530" s="4" t="n"/>
      <c r="AN530" s="596" t="inlineStr">
        <is>
          <t>Than</t>
        </is>
      </c>
      <c r="AO530" s="596" t="n">
        <v>42</v>
      </c>
      <c r="AQ530" s="594" t="n"/>
      <c r="AR530" s="595" t="n"/>
    </row>
    <row r="531" ht="19" customHeight="1" s="672">
      <c r="A531" s="4" t="n">
        <v>500</v>
      </c>
      <c r="B531" s="5" t="inlineStr">
        <is>
          <t>Trụ T1 (Thân trụ)</t>
        </is>
      </c>
      <c r="C531" s="5" t="inlineStr">
        <is>
          <t>Thân trụ đặc</t>
        </is>
      </c>
      <c r="D531" s="14" t="inlineStr">
        <is>
          <t>T4c1</t>
        </is>
      </c>
      <c r="E531" s="15" t="n">
        <v>16</v>
      </c>
      <c r="F531" s="4" t="inlineStr">
        <is>
          <t>CB400-V</t>
        </is>
      </c>
      <c r="G531" s="5" t="inlineStr">
        <is>
          <t>S06</t>
        </is>
      </c>
      <c r="H531" s="16" t="n">
        <v>6.202</v>
      </c>
      <c r="I531" s="17" t="n">
        <v>18</v>
      </c>
      <c r="J531" s="18" t="n">
        <v>1.578</v>
      </c>
      <c r="K531" s="7">
        <f>ROUND(H531*I531*J531, 2)</f>
        <v/>
      </c>
      <c r="L531" s="19">
        <f>ROUND(K531/1000, 3)</f>
        <v/>
      </c>
      <c r="M531" s="728">
        <f>IF(AO531="","",IF(N(INDEX(Theo_Doi_Tan_Suat_Be_Tong!$C:$C,AO531))&lt;=0,"",INDEX(Theo_Doi_Tan_Suat_Be_Tong!$C:$C,AO531)-VLOOKUP(AN531,$AQ$2:$AR$7,2,FALSE)))</f>
        <v/>
      </c>
      <c r="N531" s="4" t="n"/>
      <c r="O531" s="20">
        <f>IF(ROUNDUP(S531/20,0)&gt;ROUNDUP(S530/20,0),"TN Ø16 (Lần " &amp; ROUNDUP(S531/20,0) &amp; ")","")</f>
        <v/>
      </c>
      <c r="P531" s="16">
        <f>ROUND(P530+IF(AND(E531&lt;=10,F531&lt;&gt;"ASTM A416"),L531,0),3)</f>
        <v/>
      </c>
      <c r="Q531" s="16">
        <f>ROUND(Q530+IF(AND(E531=12,F531&lt;&gt;"ASTM A416"),L531,0),3)</f>
        <v/>
      </c>
      <c r="R531" s="16">
        <f>ROUND(R530+IF(AND(E531=14,F531&lt;&gt;"ASTM A416"),L531,0),3)</f>
        <v/>
      </c>
      <c r="S531" s="16">
        <f>ROUND(S530+IF(AND(E531=16,F531&lt;&gt;"ASTM A416"),L531,0),3)</f>
        <v/>
      </c>
      <c r="T531" s="16">
        <f>ROUND(T530+IF(AND(E531=18,F531&lt;&gt;"ASTM A416"),L531,0),3)</f>
        <v/>
      </c>
      <c r="U531" s="16">
        <f>ROUND(U530+IF(AND(E531=20,F531&lt;&gt;"ASTM A416"),L531,0),3)</f>
        <v/>
      </c>
      <c r="V531" s="16">
        <f>ROUND(V530+IF(AND(E531=22,F531&lt;&gt;"ASTM A416"),L531,0),3)</f>
        <v/>
      </c>
      <c r="W531" s="16">
        <f>ROUND(W530+IF(AND(E531=25,F531&lt;&gt;"ASTM A416"),L531,0),3)</f>
        <v/>
      </c>
      <c r="X531" s="16">
        <f>ROUND(X530+IF(AND(E531=28,F531&lt;&gt;"ASTM A416"),L531,0),3)</f>
        <v/>
      </c>
      <c r="Y531" s="16">
        <f>ROUND(Y530+IF(AND(E531=32,F531&lt;&gt;"ASTM A416"),L531,0),3)</f>
        <v/>
      </c>
      <c r="Z531" s="16">
        <f>ROUND(Z530+IF(F531="ASTM A416",L531,0),3)</f>
        <v/>
      </c>
      <c r="AA531" s="9">
        <f>IF(ROUNDUP(P531/20,0)&gt;ROUNDUP(P530/20,0),"Lần " &amp; ROUNDUP(P531/20,0),"")</f>
        <v/>
      </c>
      <c r="AB531" s="9">
        <f>IF(ROUNDUP(Q531/20,0)&gt;ROUNDUP(Q530/20,0),"Lần " &amp; ROUNDUP(Q531/20,0),"")</f>
        <v/>
      </c>
      <c r="AC531" s="9">
        <f>IF(ROUNDUP(R531/20,0)&gt;ROUNDUP(R530/20,0),"Lần " &amp; ROUNDUP(R531/20,0),"")</f>
        <v/>
      </c>
      <c r="AD531" s="9">
        <f>IF(ROUNDUP(S531/20,0)&gt;ROUNDUP(S530/20,0),"Lần " &amp; ROUNDUP(S531/20,0),"")</f>
        <v/>
      </c>
      <c r="AE531" s="9">
        <f>IF(ROUNDUP(T531/20,0)&gt;ROUNDUP(T530/20,0),"Lần " &amp; ROUNDUP(T531/20,0),"")</f>
        <v/>
      </c>
      <c r="AF531" s="9">
        <f>IF(ROUNDUP(U531/20,0)&gt;ROUNDUP(U530/20,0),"Lần " &amp; ROUNDUP(U531/20,0),"")</f>
        <v/>
      </c>
      <c r="AG531" s="9">
        <f>IF(ROUNDUP(V531/20,0)&gt;ROUNDUP(V530/20,0),"Lần " &amp; ROUNDUP(V531/20,0),"")</f>
        <v/>
      </c>
      <c r="AH531" s="9">
        <f>IF(ROUNDUP(W531/20,0)&gt;ROUNDUP(W530/20,0),"Lần " &amp; ROUNDUP(W531/20,0),"")</f>
        <v/>
      </c>
      <c r="AI531" s="9">
        <f>IF(ROUNDUP(X531/20,0)&gt;ROUNDUP(X530/20,0),"Lần " &amp; ROUNDUP(X531/20,0),"")</f>
        <v/>
      </c>
      <c r="AJ531" s="9">
        <f>IF(ROUNDUP(Y531/20,0)&gt;ROUNDUP(Y530/20,0),"Lần " &amp; ROUNDUP(Y531/20,0),"")</f>
        <v/>
      </c>
      <c r="AK531" s="9">
        <f>IF(ROUNDUP(Z531/20,0)&gt;ROUNDUP(Z530/20,0),"Lần " &amp; ROUNDUP(Z531/20,0),"")</f>
        <v/>
      </c>
      <c r="AL531" s="4" t="n"/>
      <c r="AN531" s="596" t="inlineStr">
        <is>
          <t>Than</t>
        </is>
      </c>
      <c r="AO531" s="596" t="n">
        <v>42</v>
      </c>
      <c r="AQ531" s="594" t="n"/>
      <c r="AR531" s="595" t="n"/>
    </row>
    <row r="532" ht="19" customHeight="1" s="672">
      <c r="A532" s="668" t="inlineStr">
        <is>
          <t>--- MỐ M1 ---</t>
        </is>
      </c>
      <c r="B532" s="722" t="n"/>
      <c r="C532" s="722" t="n"/>
      <c r="D532" s="722" t="n"/>
      <c r="E532" s="722" t="n"/>
      <c r="F532" s="722" t="n"/>
      <c r="G532" s="722" t="n"/>
      <c r="H532" s="722" t="n"/>
      <c r="I532" s="722" t="n"/>
      <c r="J532" s="722" t="n"/>
      <c r="K532" s="722" t="n"/>
      <c r="L532" s="722" t="n"/>
      <c r="M532" s="722" t="n"/>
      <c r="N532" s="722" t="n"/>
      <c r="O532" s="722" t="n"/>
      <c r="P532" s="722" t="n"/>
      <c r="Q532" s="722" t="n"/>
      <c r="R532" s="722" t="n"/>
      <c r="S532" s="722" t="n"/>
      <c r="T532" s="722" t="n"/>
      <c r="U532" s="722" t="n"/>
      <c r="V532" s="722" t="n"/>
      <c r="W532" s="722" t="n"/>
      <c r="X532" s="722" t="n"/>
      <c r="Y532" s="722" t="n"/>
      <c r="Z532" s="722" t="n"/>
      <c r="AA532" s="722" t="n"/>
      <c r="AB532" s="722" t="n"/>
      <c r="AC532" s="722" t="n"/>
      <c r="AD532" s="722" t="n"/>
      <c r="AE532" s="722" t="n"/>
      <c r="AF532" s="722" t="n"/>
      <c r="AG532" s="722" t="n"/>
      <c r="AH532" s="722" t="n"/>
      <c r="AI532" s="722" t="n"/>
      <c r="AJ532" s="722" t="n"/>
      <c r="AK532" s="722" t="n"/>
      <c r="AL532" s="721" t="n"/>
      <c r="AQ532" s="594" t="n"/>
      <c r="AR532" s="595" t="n"/>
    </row>
    <row r="533" ht="19" customHeight="1" s="672">
      <c r="A533" s="4" t="n">
        <v>501</v>
      </c>
      <c r="B533" s="5" t="inlineStr">
        <is>
          <t>Mố M1</t>
        </is>
      </c>
      <c r="C533" s="5" t="inlineStr">
        <is>
          <t>Mố M1 (tr.31)</t>
        </is>
      </c>
      <c r="D533" s="14" t="inlineStr">
        <is>
          <t>M1</t>
        </is>
      </c>
      <c r="E533" s="15" t="n">
        <v>28</v>
      </c>
      <c r="F533" s="4" t="inlineStr">
        <is>
          <t>CB400-V</t>
        </is>
      </c>
      <c r="G533" s="5" t="inlineStr"/>
      <c r="H533" s="16" t="n">
        <v>14.213</v>
      </c>
      <c r="I533" s="17" t="n">
        <v>13</v>
      </c>
      <c r="J533" s="18" t="n">
        <v>4.834</v>
      </c>
      <c r="K533" s="7">
        <f>ROUND(H533*I533*J533, 2)</f>
        <v/>
      </c>
      <c r="L533" s="19">
        <f>ROUND(K533/1000, 3)</f>
        <v/>
      </c>
      <c r="M533" s="728">
        <f>IF(AO533="","",IF(N(INDEX(Theo_Doi_Tan_Suat_Be_Tong!$C:$C,AO533))&lt;=0,"",INDEX(Theo_Doi_Tan_Suat_Be_Tong!$C:$C,AO533)-VLOOKUP(AN533,$AQ$2:$AR$7,2,FALSE)))</f>
        <v/>
      </c>
      <c r="N533" s="4" t="n"/>
      <c r="O533" s="20">
        <f>IF(ROUNDUP(X533/20,0)&gt;ROUNDUP(X531/20,0),"TN Ø28 (Lần " &amp; ROUNDUP(X533/20,0) &amp; ")","")</f>
        <v/>
      </c>
      <c r="P533" s="16">
        <f>ROUND(P531+IF(AND(E533&lt;=10,F533&lt;&gt;"ASTM A416"),L533,0),3)</f>
        <v/>
      </c>
      <c r="Q533" s="16">
        <f>ROUND(Q531+IF(AND(E533=12,F533&lt;&gt;"ASTM A416"),L533,0),3)</f>
        <v/>
      </c>
      <c r="R533" s="16">
        <f>ROUND(R531+IF(AND(E533=14,F533&lt;&gt;"ASTM A416"),L533,0),3)</f>
        <v/>
      </c>
      <c r="S533" s="16">
        <f>ROUND(S531+IF(AND(E533=16,F533&lt;&gt;"ASTM A416"),L533,0),3)</f>
        <v/>
      </c>
      <c r="T533" s="16">
        <f>ROUND(T531+IF(AND(E533=18,F533&lt;&gt;"ASTM A416"),L533,0),3)</f>
        <v/>
      </c>
      <c r="U533" s="16">
        <f>ROUND(U531+IF(AND(E533=20,F533&lt;&gt;"ASTM A416"),L533,0),3)</f>
        <v/>
      </c>
      <c r="V533" s="16">
        <f>ROUND(V531+IF(AND(E533=22,F533&lt;&gt;"ASTM A416"),L533,0),3)</f>
        <v/>
      </c>
      <c r="W533" s="16">
        <f>ROUND(W531+IF(AND(E533=25,F533&lt;&gt;"ASTM A416"),L533,0),3)</f>
        <v/>
      </c>
      <c r="X533" s="16">
        <f>ROUND(X531+IF(AND(E533=28,F533&lt;&gt;"ASTM A416"),L533,0),3)</f>
        <v/>
      </c>
      <c r="Y533" s="16">
        <f>ROUND(Y531+IF(AND(E533=32,F533&lt;&gt;"ASTM A416"),L533,0),3)</f>
        <v/>
      </c>
      <c r="Z533" s="16">
        <f>ROUND(Z531+IF(F533="ASTM A416",L533,0),3)</f>
        <v/>
      </c>
      <c r="AA533" s="9">
        <f>IF(ROUNDUP(P533/20,0)&gt;ROUNDUP(P531/20,0),"Lần " &amp; ROUNDUP(P533/20,0),"")</f>
        <v/>
      </c>
      <c r="AB533" s="9">
        <f>IF(ROUNDUP(Q533/20,0)&gt;ROUNDUP(Q531/20,0),"Lần " &amp; ROUNDUP(Q533/20,0),"")</f>
        <v/>
      </c>
      <c r="AC533" s="9">
        <f>IF(ROUNDUP(R533/20,0)&gt;ROUNDUP(R531/20,0),"Lần " &amp; ROUNDUP(R533/20,0),"")</f>
        <v/>
      </c>
      <c r="AD533" s="9">
        <f>IF(ROUNDUP(S533/20,0)&gt;ROUNDUP(S531/20,0),"Lần " &amp; ROUNDUP(S533/20,0),"")</f>
        <v/>
      </c>
      <c r="AE533" s="9">
        <f>IF(ROUNDUP(T533/20,0)&gt;ROUNDUP(T531/20,0),"Lần " &amp; ROUNDUP(T533/20,0),"")</f>
        <v/>
      </c>
      <c r="AF533" s="9">
        <f>IF(ROUNDUP(U533/20,0)&gt;ROUNDUP(U531/20,0),"Lần " &amp; ROUNDUP(U533/20,0),"")</f>
        <v/>
      </c>
      <c r="AG533" s="9">
        <f>IF(ROUNDUP(V533/20,0)&gt;ROUNDUP(V531/20,0),"Lần " &amp; ROUNDUP(V533/20,0),"")</f>
        <v/>
      </c>
      <c r="AH533" s="9">
        <f>IF(ROUNDUP(W533/20,0)&gt;ROUNDUP(W531/20,0),"Lần " &amp; ROUNDUP(W533/20,0),"")</f>
        <v/>
      </c>
      <c r="AI533" s="9">
        <f>IF(ROUNDUP(X533/20,0)&gt;ROUNDUP(X531/20,0),"Lần " &amp; ROUNDUP(X533/20,0),"")</f>
        <v/>
      </c>
      <c r="AJ533" s="9">
        <f>IF(ROUNDUP(Y533/20,0)&gt;ROUNDUP(Y531/20,0),"Lần " &amp; ROUNDUP(Y533/20,0),"")</f>
        <v/>
      </c>
      <c r="AK533" s="9">
        <f>IF(ROUNDUP(Z533/20,0)&gt;ROUNDUP(Z531/20,0),"Lần " &amp; ROUNDUP(Z533/20,0),"")</f>
        <v/>
      </c>
      <c r="AL533" s="4" t="n"/>
      <c r="AN533" s="596" t="inlineStr">
        <is>
          <t>Than</t>
        </is>
      </c>
      <c r="AO533" s="596" t="n">
        <v>32</v>
      </c>
      <c r="AQ533" s="594" t="n"/>
      <c r="AR533" s="595" t="n"/>
    </row>
    <row r="534" ht="19" customHeight="1" s="672">
      <c r="A534" s="4" t="n">
        <v>502</v>
      </c>
      <c r="B534" s="5" t="inlineStr">
        <is>
          <t>Mố M1</t>
        </is>
      </c>
      <c r="C534" s="5" t="inlineStr">
        <is>
          <t>Mố M1 (tr.31)</t>
        </is>
      </c>
      <c r="D534" s="14" t="inlineStr">
        <is>
          <t>A1</t>
        </is>
      </c>
      <c r="E534" s="15" t="n">
        <v>16</v>
      </c>
      <c r="F534" s="4" t="inlineStr">
        <is>
          <t>CB400-V</t>
        </is>
      </c>
      <c r="G534" s="5" t="inlineStr"/>
      <c r="H534" s="16" t="n">
        <v>7.857</v>
      </c>
      <c r="I534" s="17" t="n">
        <v>166</v>
      </c>
      <c r="J534" s="18" t="n">
        <v>1.578</v>
      </c>
      <c r="K534" s="7">
        <f>ROUND(H534*I534*J534, 2)</f>
        <v/>
      </c>
      <c r="L534" s="19">
        <f>ROUND(K534/1000, 3)</f>
        <v/>
      </c>
      <c r="M534" s="728">
        <f>IF(AO534="","",IF(N(INDEX(Theo_Doi_Tan_Suat_Be_Tong!$C:$C,AO534))&lt;=0,"",INDEX(Theo_Doi_Tan_Suat_Be_Tong!$C:$C,AO534)-VLOOKUP(AN534,$AQ$2:$AR$7,2,FALSE)))</f>
        <v/>
      </c>
      <c r="N534" s="4" t="n"/>
      <c r="O534" s="20">
        <f>IF(ROUNDUP(S534/20,0)&gt;ROUNDUP(S533/20,0),"TN Ø16 (Lần " &amp; ROUNDUP(S534/20,0) &amp; ")","")</f>
        <v/>
      </c>
      <c r="P534" s="16">
        <f>ROUND(P533+IF(AND(E534&lt;=10,F534&lt;&gt;"ASTM A416"),L534,0),3)</f>
        <v/>
      </c>
      <c r="Q534" s="16">
        <f>ROUND(Q533+IF(AND(E534=12,F534&lt;&gt;"ASTM A416"),L534,0),3)</f>
        <v/>
      </c>
      <c r="R534" s="16">
        <f>ROUND(R533+IF(AND(E534=14,F534&lt;&gt;"ASTM A416"),L534,0),3)</f>
        <v/>
      </c>
      <c r="S534" s="16">
        <f>ROUND(S533+IF(AND(E534=16,F534&lt;&gt;"ASTM A416"),L534,0),3)</f>
        <v/>
      </c>
      <c r="T534" s="16">
        <f>ROUND(T533+IF(AND(E534=18,F534&lt;&gt;"ASTM A416"),L534,0),3)</f>
        <v/>
      </c>
      <c r="U534" s="16">
        <f>ROUND(U533+IF(AND(E534=20,F534&lt;&gt;"ASTM A416"),L534,0),3)</f>
        <v/>
      </c>
      <c r="V534" s="16">
        <f>ROUND(V533+IF(AND(E534=22,F534&lt;&gt;"ASTM A416"),L534,0),3)</f>
        <v/>
      </c>
      <c r="W534" s="16">
        <f>ROUND(W533+IF(AND(E534=25,F534&lt;&gt;"ASTM A416"),L534,0),3)</f>
        <v/>
      </c>
      <c r="X534" s="16">
        <f>ROUND(X533+IF(AND(E534=28,F534&lt;&gt;"ASTM A416"),L534,0),3)</f>
        <v/>
      </c>
      <c r="Y534" s="16">
        <f>ROUND(Y533+IF(AND(E534=32,F534&lt;&gt;"ASTM A416"),L534,0),3)</f>
        <v/>
      </c>
      <c r="Z534" s="16">
        <f>ROUND(Z533+IF(F534="ASTM A416",L534,0),3)</f>
        <v/>
      </c>
      <c r="AA534" s="9">
        <f>IF(ROUNDUP(P534/20,0)&gt;ROUNDUP(P533/20,0),"Lần " &amp; ROUNDUP(P534/20,0),"")</f>
        <v/>
      </c>
      <c r="AB534" s="9">
        <f>IF(ROUNDUP(Q534/20,0)&gt;ROUNDUP(Q533/20,0),"Lần " &amp; ROUNDUP(Q534/20,0),"")</f>
        <v/>
      </c>
      <c r="AC534" s="9">
        <f>IF(ROUNDUP(R534/20,0)&gt;ROUNDUP(R533/20,0),"Lần " &amp; ROUNDUP(R534/20,0),"")</f>
        <v/>
      </c>
      <c r="AD534" s="9">
        <f>IF(ROUNDUP(S534/20,0)&gt;ROUNDUP(S533/20,0),"Lần " &amp; ROUNDUP(S534/20,0),"")</f>
        <v/>
      </c>
      <c r="AE534" s="9">
        <f>IF(ROUNDUP(T534/20,0)&gt;ROUNDUP(T533/20,0),"Lần " &amp; ROUNDUP(T534/20,0),"")</f>
        <v/>
      </c>
      <c r="AF534" s="9">
        <f>IF(ROUNDUP(U534/20,0)&gt;ROUNDUP(U533/20,0),"Lần " &amp; ROUNDUP(U534/20,0),"")</f>
        <v/>
      </c>
      <c r="AG534" s="9">
        <f>IF(ROUNDUP(V534/20,0)&gt;ROUNDUP(V533/20,0),"Lần " &amp; ROUNDUP(V534/20,0),"")</f>
        <v/>
      </c>
      <c r="AH534" s="9">
        <f>IF(ROUNDUP(W534/20,0)&gt;ROUNDUP(W533/20,0),"Lần " &amp; ROUNDUP(W534/20,0),"")</f>
        <v/>
      </c>
      <c r="AI534" s="9">
        <f>IF(ROUNDUP(X534/20,0)&gt;ROUNDUP(X533/20,0),"Lần " &amp; ROUNDUP(X534/20,0),"")</f>
        <v/>
      </c>
      <c r="AJ534" s="9">
        <f>IF(ROUNDUP(Y534/20,0)&gt;ROUNDUP(Y533/20,0),"Lần " &amp; ROUNDUP(Y534/20,0),"")</f>
        <v/>
      </c>
      <c r="AK534" s="9">
        <f>IF(ROUNDUP(Z534/20,0)&gt;ROUNDUP(Z533/20,0),"Lần " &amp; ROUNDUP(Z534/20,0),"")</f>
        <v/>
      </c>
      <c r="AL534" s="4" t="n"/>
      <c r="AN534" s="596" t="inlineStr">
        <is>
          <t>Than</t>
        </is>
      </c>
      <c r="AO534" s="596" t="n">
        <v>32</v>
      </c>
      <c r="AQ534" s="594" t="n"/>
      <c r="AR534" s="595" t="n"/>
    </row>
    <row r="535" ht="19" customHeight="1" s="672">
      <c r="A535" s="4" t="n">
        <v>503</v>
      </c>
      <c r="B535" s="5" t="inlineStr">
        <is>
          <t>Mố M1</t>
        </is>
      </c>
      <c r="C535" s="5" t="inlineStr">
        <is>
          <t>Mố M1 (tr.31)</t>
        </is>
      </c>
      <c r="D535" s="14" t="inlineStr">
        <is>
          <t>A2</t>
        </is>
      </c>
      <c r="E535" s="15" t="n">
        <v>16</v>
      </c>
      <c r="F535" s="4" t="inlineStr">
        <is>
          <t>CB400-V</t>
        </is>
      </c>
      <c r="G535" s="5" t="inlineStr"/>
      <c r="H535" s="16" t="n">
        <v>13.437</v>
      </c>
      <c r="I535" s="17" t="n">
        <v>12</v>
      </c>
      <c r="J535" s="18" t="n">
        <v>1.578</v>
      </c>
      <c r="K535" s="7">
        <f>ROUND(H535*I535*J535, 2)</f>
        <v/>
      </c>
      <c r="L535" s="19">
        <f>ROUND(K535/1000, 3)</f>
        <v/>
      </c>
      <c r="M535" s="728">
        <f>IF(AO535="","",IF(N(INDEX(Theo_Doi_Tan_Suat_Be_Tong!$C:$C,AO535))&lt;=0,"",INDEX(Theo_Doi_Tan_Suat_Be_Tong!$C:$C,AO535)-VLOOKUP(AN535,$AQ$2:$AR$7,2,FALSE)))</f>
        <v/>
      </c>
      <c r="N535" s="4" t="n"/>
      <c r="O535" s="20">
        <f>IF(ROUNDUP(S535/20,0)&gt;ROUNDUP(S534/20,0),"TN Ø16 (Lần " &amp; ROUNDUP(S535/20,0) &amp; ")","")</f>
        <v/>
      </c>
      <c r="P535" s="16">
        <f>ROUND(P534+IF(AND(E535&lt;=10,F535&lt;&gt;"ASTM A416"),L535,0),3)</f>
        <v/>
      </c>
      <c r="Q535" s="16">
        <f>ROUND(Q534+IF(AND(E535=12,F535&lt;&gt;"ASTM A416"),L535,0),3)</f>
        <v/>
      </c>
      <c r="R535" s="16">
        <f>ROUND(R534+IF(AND(E535=14,F535&lt;&gt;"ASTM A416"),L535,0),3)</f>
        <v/>
      </c>
      <c r="S535" s="16">
        <f>ROUND(S534+IF(AND(E535=16,F535&lt;&gt;"ASTM A416"),L535,0),3)</f>
        <v/>
      </c>
      <c r="T535" s="16">
        <f>ROUND(T534+IF(AND(E535=18,F535&lt;&gt;"ASTM A416"),L535,0),3)</f>
        <v/>
      </c>
      <c r="U535" s="16">
        <f>ROUND(U534+IF(AND(E535=20,F535&lt;&gt;"ASTM A416"),L535,0),3)</f>
        <v/>
      </c>
      <c r="V535" s="16">
        <f>ROUND(V534+IF(AND(E535=22,F535&lt;&gt;"ASTM A416"),L535,0),3)</f>
        <v/>
      </c>
      <c r="W535" s="16">
        <f>ROUND(W534+IF(AND(E535=25,F535&lt;&gt;"ASTM A416"),L535,0),3)</f>
        <v/>
      </c>
      <c r="X535" s="16">
        <f>ROUND(X534+IF(AND(E535=28,F535&lt;&gt;"ASTM A416"),L535,0),3)</f>
        <v/>
      </c>
      <c r="Y535" s="16">
        <f>ROUND(Y534+IF(AND(E535=32,F535&lt;&gt;"ASTM A416"),L535,0),3)</f>
        <v/>
      </c>
      <c r="Z535" s="16">
        <f>ROUND(Z534+IF(F535="ASTM A416",L535,0),3)</f>
        <v/>
      </c>
      <c r="AA535" s="9">
        <f>IF(ROUNDUP(P535/20,0)&gt;ROUNDUP(P534/20,0),"Lần " &amp; ROUNDUP(P535/20,0),"")</f>
        <v/>
      </c>
      <c r="AB535" s="9">
        <f>IF(ROUNDUP(Q535/20,0)&gt;ROUNDUP(Q534/20,0),"Lần " &amp; ROUNDUP(Q535/20,0),"")</f>
        <v/>
      </c>
      <c r="AC535" s="9">
        <f>IF(ROUNDUP(R535/20,0)&gt;ROUNDUP(R534/20,0),"Lần " &amp; ROUNDUP(R535/20,0),"")</f>
        <v/>
      </c>
      <c r="AD535" s="9">
        <f>IF(ROUNDUP(S535/20,0)&gt;ROUNDUP(S534/20,0),"Lần " &amp; ROUNDUP(S535/20,0),"")</f>
        <v/>
      </c>
      <c r="AE535" s="9">
        <f>IF(ROUNDUP(T535/20,0)&gt;ROUNDUP(T534/20,0),"Lần " &amp; ROUNDUP(T535/20,0),"")</f>
        <v/>
      </c>
      <c r="AF535" s="9">
        <f>IF(ROUNDUP(U535/20,0)&gt;ROUNDUP(U534/20,0),"Lần " &amp; ROUNDUP(U535/20,0),"")</f>
        <v/>
      </c>
      <c r="AG535" s="9">
        <f>IF(ROUNDUP(V535/20,0)&gt;ROUNDUP(V534/20,0),"Lần " &amp; ROUNDUP(V535/20,0),"")</f>
        <v/>
      </c>
      <c r="AH535" s="9">
        <f>IF(ROUNDUP(W535/20,0)&gt;ROUNDUP(W534/20,0),"Lần " &amp; ROUNDUP(W535/20,0),"")</f>
        <v/>
      </c>
      <c r="AI535" s="9">
        <f>IF(ROUNDUP(X535/20,0)&gt;ROUNDUP(X534/20,0),"Lần " &amp; ROUNDUP(X535/20,0),"")</f>
        <v/>
      </c>
      <c r="AJ535" s="9">
        <f>IF(ROUNDUP(Y535/20,0)&gt;ROUNDUP(Y534/20,0),"Lần " &amp; ROUNDUP(Y535/20,0),"")</f>
        <v/>
      </c>
      <c r="AK535" s="9">
        <f>IF(ROUNDUP(Z535/20,0)&gt;ROUNDUP(Z534/20,0),"Lần " &amp; ROUNDUP(Z535/20,0),"")</f>
        <v/>
      </c>
      <c r="AL535" s="4" t="n"/>
      <c r="AN535" s="596" t="inlineStr">
        <is>
          <t>Than</t>
        </is>
      </c>
      <c r="AO535" s="596" t="n">
        <v>32</v>
      </c>
      <c r="AQ535" s="594" t="n"/>
      <c r="AR535" s="595" t="n"/>
    </row>
    <row r="536" ht="19" customHeight="1" s="672">
      <c r="A536" s="4" t="n">
        <v>504</v>
      </c>
      <c r="B536" s="5" t="inlineStr">
        <is>
          <t>Mố M1</t>
        </is>
      </c>
      <c r="C536" s="5" t="inlineStr">
        <is>
          <t>Mố M1 (tr.31)</t>
        </is>
      </c>
      <c r="D536" s="14" t="inlineStr">
        <is>
          <t>A2A</t>
        </is>
      </c>
      <c r="E536" s="15" t="n">
        <v>16</v>
      </c>
      <c r="F536" s="4" t="inlineStr">
        <is>
          <t>CB400-V</t>
        </is>
      </c>
      <c r="G536" s="5" t="inlineStr"/>
      <c r="H536" s="16" t="n">
        <v>5.371</v>
      </c>
      <c r="I536" s="17" t="n">
        <v>1</v>
      </c>
      <c r="J536" s="18" t="n">
        <v>1.578</v>
      </c>
      <c r="K536" s="7">
        <f>ROUND(H536*I536*J536, 2)</f>
        <v/>
      </c>
      <c r="L536" s="19">
        <f>ROUND(K536/1000, 3)</f>
        <v/>
      </c>
      <c r="M536" s="728">
        <f>IF(AO536="","",IF(N(INDEX(Theo_Doi_Tan_Suat_Be_Tong!$C:$C,AO536))&lt;=0,"",INDEX(Theo_Doi_Tan_Suat_Be_Tong!$C:$C,AO536)-VLOOKUP(AN536,$AQ$2:$AR$7,2,FALSE)))</f>
        <v/>
      </c>
      <c r="N536" s="4" t="n"/>
      <c r="O536" s="20">
        <f>IF(ROUNDUP(S536/20,0)&gt;ROUNDUP(S535/20,0),"TN Ø16 (Lần " &amp; ROUNDUP(S536/20,0) &amp; ")","")</f>
        <v/>
      </c>
      <c r="P536" s="16">
        <f>ROUND(P535+IF(AND(E536&lt;=10,F536&lt;&gt;"ASTM A416"),L536,0),3)</f>
        <v/>
      </c>
      <c r="Q536" s="16">
        <f>ROUND(Q535+IF(AND(E536=12,F536&lt;&gt;"ASTM A416"),L536,0),3)</f>
        <v/>
      </c>
      <c r="R536" s="16">
        <f>ROUND(R535+IF(AND(E536=14,F536&lt;&gt;"ASTM A416"),L536,0),3)</f>
        <v/>
      </c>
      <c r="S536" s="16">
        <f>ROUND(S535+IF(AND(E536=16,F536&lt;&gt;"ASTM A416"),L536,0),3)</f>
        <v/>
      </c>
      <c r="T536" s="16">
        <f>ROUND(T535+IF(AND(E536=18,F536&lt;&gt;"ASTM A416"),L536,0),3)</f>
        <v/>
      </c>
      <c r="U536" s="16">
        <f>ROUND(U535+IF(AND(E536=20,F536&lt;&gt;"ASTM A416"),L536,0),3)</f>
        <v/>
      </c>
      <c r="V536" s="16">
        <f>ROUND(V535+IF(AND(E536=22,F536&lt;&gt;"ASTM A416"),L536,0),3)</f>
        <v/>
      </c>
      <c r="W536" s="16">
        <f>ROUND(W535+IF(AND(E536=25,F536&lt;&gt;"ASTM A416"),L536,0),3)</f>
        <v/>
      </c>
      <c r="X536" s="16">
        <f>ROUND(X535+IF(AND(E536=28,F536&lt;&gt;"ASTM A416"),L536,0),3)</f>
        <v/>
      </c>
      <c r="Y536" s="16">
        <f>ROUND(Y535+IF(AND(E536=32,F536&lt;&gt;"ASTM A416"),L536,0),3)</f>
        <v/>
      </c>
      <c r="Z536" s="16">
        <f>ROUND(Z535+IF(F536="ASTM A416",L536,0),3)</f>
        <v/>
      </c>
      <c r="AA536" s="9">
        <f>IF(ROUNDUP(P536/20,0)&gt;ROUNDUP(P535/20,0),"Lần " &amp; ROUNDUP(P536/20,0),"")</f>
        <v/>
      </c>
      <c r="AB536" s="9">
        <f>IF(ROUNDUP(Q536/20,0)&gt;ROUNDUP(Q535/20,0),"Lần " &amp; ROUNDUP(Q536/20,0),"")</f>
        <v/>
      </c>
      <c r="AC536" s="9">
        <f>IF(ROUNDUP(R536/20,0)&gt;ROUNDUP(R535/20,0),"Lần " &amp; ROUNDUP(R536/20,0),"")</f>
        <v/>
      </c>
      <c r="AD536" s="9">
        <f>IF(ROUNDUP(S536/20,0)&gt;ROUNDUP(S535/20,0),"Lần " &amp; ROUNDUP(S536/20,0),"")</f>
        <v/>
      </c>
      <c r="AE536" s="9">
        <f>IF(ROUNDUP(T536/20,0)&gt;ROUNDUP(T535/20,0),"Lần " &amp; ROUNDUP(T536/20,0),"")</f>
        <v/>
      </c>
      <c r="AF536" s="9">
        <f>IF(ROUNDUP(U536/20,0)&gt;ROUNDUP(U535/20,0),"Lần " &amp; ROUNDUP(U536/20,0),"")</f>
        <v/>
      </c>
      <c r="AG536" s="9">
        <f>IF(ROUNDUP(V536/20,0)&gt;ROUNDUP(V535/20,0),"Lần " &amp; ROUNDUP(V536/20,0),"")</f>
        <v/>
      </c>
      <c r="AH536" s="9">
        <f>IF(ROUNDUP(W536/20,0)&gt;ROUNDUP(W535/20,0),"Lần " &amp; ROUNDUP(W536/20,0),"")</f>
        <v/>
      </c>
      <c r="AI536" s="9">
        <f>IF(ROUNDUP(X536/20,0)&gt;ROUNDUP(X535/20,0),"Lần " &amp; ROUNDUP(X536/20,0),"")</f>
        <v/>
      </c>
      <c r="AJ536" s="9">
        <f>IF(ROUNDUP(Y536/20,0)&gt;ROUNDUP(Y535/20,0),"Lần " &amp; ROUNDUP(Y536/20,0),"")</f>
        <v/>
      </c>
      <c r="AK536" s="9">
        <f>IF(ROUNDUP(Z536/20,0)&gt;ROUNDUP(Z535/20,0),"Lần " &amp; ROUNDUP(Z536/20,0),"")</f>
        <v/>
      </c>
      <c r="AL536" s="4" t="n"/>
      <c r="AN536" s="596" t="inlineStr">
        <is>
          <t>Than</t>
        </is>
      </c>
      <c r="AO536" s="596" t="n">
        <v>32</v>
      </c>
      <c r="AQ536" s="594" t="n"/>
      <c r="AR536" s="595" t="n"/>
    </row>
    <row r="537" ht="19" customHeight="1" s="672">
      <c r="A537" s="4" t="n">
        <v>505</v>
      </c>
      <c r="B537" s="5" t="inlineStr">
        <is>
          <t>Mố M1</t>
        </is>
      </c>
      <c r="C537" s="5" t="inlineStr">
        <is>
          <t>Mố M1 (tr.31)</t>
        </is>
      </c>
      <c r="D537" s="14" t="inlineStr">
        <is>
          <t>A3</t>
        </is>
      </c>
      <c r="E537" s="15" t="n">
        <v>16</v>
      </c>
      <c r="F537" s="4" t="inlineStr">
        <is>
          <t>CB400-V</t>
        </is>
      </c>
      <c r="G537" s="5" t="inlineStr"/>
      <c r="H537" s="16" t="n">
        <v>13.437</v>
      </c>
      <c r="I537" s="17" t="n">
        <v>12</v>
      </c>
      <c r="J537" s="18" t="n">
        <v>1.578</v>
      </c>
      <c r="K537" s="7">
        <f>ROUND(H537*I537*J537, 2)</f>
        <v/>
      </c>
      <c r="L537" s="19">
        <f>ROUND(K537/1000, 3)</f>
        <v/>
      </c>
      <c r="M537" s="728">
        <f>IF(AO537="","",IF(N(INDEX(Theo_Doi_Tan_Suat_Be_Tong!$C:$C,AO537))&lt;=0,"",INDEX(Theo_Doi_Tan_Suat_Be_Tong!$C:$C,AO537)-VLOOKUP(AN537,$AQ$2:$AR$7,2,FALSE)))</f>
        <v/>
      </c>
      <c r="N537" s="4" t="n"/>
      <c r="O537" s="20">
        <f>IF(ROUNDUP(S537/20,0)&gt;ROUNDUP(S536/20,0),"TN Ø16 (Lần " &amp; ROUNDUP(S537/20,0) &amp; ")","")</f>
        <v/>
      </c>
      <c r="P537" s="16">
        <f>ROUND(P536+IF(AND(E537&lt;=10,F537&lt;&gt;"ASTM A416"),L537,0),3)</f>
        <v/>
      </c>
      <c r="Q537" s="16">
        <f>ROUND(Q536+IF(AND(E537=12,F537&lt;&gt;"ASTM A416"),L537,0),3)</f>
        <v/>
      </c>
      <c r="R537" s="16">
        <f>ROUND(R536+IF(AND(E537=14,F537&lt;&gt;"ASTM A416"),L537,0),3)</f>
        <v/>
      </c>
      <c r="S537" s="16">
        <f>ROUND(S536+IF(AND(E537=16,F537&lt;&gt;"ASTM A416"),L537,0),3)</f>
        <v/>
      </c>
      <c r="T537" s="16">
        <f>ROUND(T536+IF(AND(E537=18,F537&lt;&gt;"ASTM A416"),L537,0),3)</f>
        <v/>
      </c>
      <c r="U537" s="16">
        <f>ROUND(U536+IF(AND(E537=20,F537&lt;&gt;"ASTM A416"),L537,0),3)</f>
        <v/>
      </c>
      <c r="V537" s="16">
        <f>ROUND(V536+IF(AND(E537=22,F537&lt;&gt;"ASTM A416"),L537,0),3)</f>
        <v/>
      </c>
      <c r="W537" s="16">
        <f>ROUND(W536+IF(AND(E537=25,F537&lt;&gt;"ASTM A416"),L537,0),3)</f>
        <v/>
      </c>
      <c r="X537" s="16">
        <f>ROUND(X536+IF(AND(E537=28,F537&lt;&gt;"ASTM A416"),L537,0),3)</f>
        <v/>
      </c>
      <c r="Y537" s="16">
        <f>ROUND(Y536+IF(AND(E537=32,F537&lt;&gt;"ASTM A416"),L537,0),3)</f>
        <v/>
      </c>
      <c r="Z537" s="16">
        <f>ROUND(Z536+IF(F537="ASTM A416",L537,0),3)</f>
        <v/>
      </c>
      <c r="AA537" s="9">
        <f>IF(ROUNDUP(P537/20,0)&gt;ROUNDUP(P536/20,0),"Lần " &amp; ROUNDUP(P537/20,0),"")</f>
        <v/>
      </c>
      <c r="AB537" s="9">
        <f>IF(ROUNDUP(Q537/20,0)&gt;ROUNDUP(Q536/20,0),"Lần " &amp; ROUNDUP(Q537/20,0),"")</f>
        <v/>
      </c>
      <c r="AC537" s="9">
        <f>IF(ROUNDUP(R537/20,0)&gt;ROUNDUP(R536/20,0),"Lần " &amp; ROUNDUP(R537/20,0),"")</f>
        <v/>
      </c>
      <c r="AD537" s="9">
        <f>IF(ROUNDUP(S537/20,0)&gt;ROUNDUP(S536/20,0),"Lần " &amp; ROUNDUP(S537/20,0),"")</f>
        <v/>
      </c>
      <c r="AE537" s="9">
        <f>IF(ROUNDUP(T537/20,0)&gt;ROUNDUP(T536/20,0),"Lần " &amp; ROUNDUP(T537/20,0),"")</f>
        <v/>
      </c>
      <c r="AF537" s="9">
        <f>IF(ROUNDUP(U537/20,0)&gt;ROUNDUP(U536/20,0),"Lần " &amp; ROUNDUP(U537/20,0),"")</f>
        <v/>
      </c>
      <c r="AG537" s="9">
        <f>IF(ROUNDUP(V537/20,0)&gt;ROUNDUP(V536/20,0),"Lần " &amp; ROUNDUP(V537/20,0),"")</f>
        <v/>
      </c>
      <c r="AH537" s="9">
        <f>IF(ROUNDUP(W537/20,0)&gt;ROUNDUP(W536/20,0),"Lần " &amp; ROUNDUP(W537/20,0),"")</f>
        <v/>
      </c>
      <c r="AI537" s="9">
        <f>IF(ROUNDUP(X537/20,0)&gt;ROUNDUP(X536/20,0),"Lần " &amp; ROUNDUP(X537/20,0),"")</f>
        <v/>
      </c>
      <c r="AJ537" s="9">
        <f>IF(ROUNDUP(Y537/20,0)&gt;ROUNDUP(Y536/20,0),"Lần " &amp; ROUNDUP(Y537/20,0),"")</f>
        <v/>
      </c>
      <c r="AK537" s="9">
        <f>IF(ROUNDUP(Z537/20,0)&gt;ROUNDUP(Z536/20,0),"Lần " &amp; ROUNDUP(Z537/20,0),"")</f>
        <v/>
      </c>
      <c r="AL537" s="4" t="n"/>
      <c r="AN537" s="596" t="inlineStr">
        <is>
          <t>Than</t>
        </is>
      </c>
      <c r="AO537" s="596" t="n">
        <v>32</v>
      </c>
      <c r="AQ537" s="594" t="n"/>
      <c r="AR537" s="595" t="n"/>
    </row>
    <row r="538" ht="19" customHeight="1" s="672">
      <c r="A538" s="4" t="n">
        <v>506</v>
      </c>
      <c r="B538" s="5" t="inlineStr">
        <is>
          <t>Mố M1</t>
        </is>
      </c>
      <c r="C538" s="5" t="inlineStr">
        <is>
          <t>Mố M1 (tr.31)</t>
        </is>
      </c>
      <c r="D538" s="14" t="inlineStr">
        <is>
          <t>A4</t>
        </is>
      </c>
      <c r="E538" s="15" t="n">
        <v>28</v>
      </c>
      <c r="F538" s="4" t="inlineStr">
        <is>
          <t>CB400-V</t>
        </is>
      </c>
      <c r="G538" s="5" t="inlineStr"/>
      <c r="H538" s="16" t="n">
        <v>14.216</v>
      </c>
      <c r="I538" s="17" t="n">
        <v>10</v>
      </c>
      <c r="J538" s="18" t="n">
        <v>4.834</v>
      </c>
      <c r="K538" s="7">
        <f>ROUND(H538*I538*J538, 2)</f>
        <v/>
      </c>
      <c r="L538" s="19">
        <f>ROUND(K538/1000, 3)</f>
        <v/>
      </c>
      <c r="M538" s="728">
        <f>IF(AO538="","",IF(N(INDEX(Theo_Doi_Tan_Suat_Be_Tong!$C:$C,AO538))&lt;=0,"",INDEX(Theo_Doi_Tan_Suat_Be_Tong!$C:$C,AO538)-VLOOKUP(AN538,$AQ$2:$AR$7,2,FALSE)))</f>
        <v/>
      </c>
      <c r="N538" s="4" t="n"/>
      <c r="O538" s="20">
        <f>IF(ROUNDUP(X538/20,0)&gt;ROUNDUP(X537/20,0),"TN Ø28 (Lần " &amp; ROUNDUP(X538/20,0) &amp; ")","")</f>
        <v/>
      </c>
      <c r="P538" s="16">
        <f>ROUND(P537+IF(AND(E538&lt;=10,F538&lt;&gt;"ASTM A416"),L538,0),3)</f>
        <v/>
      </c>
      <c r="Q538" s="16">
        <f>ROUND(Q537+IF(AND(E538=12,F538&lt;&gt;"ASTM A416"),L538,0),3)</f>
        <v/>
      </c>
      <c r="R538" s="16">
        <f>ROUND(R537+IF(AND(E538=14,F538&lt;&gt;"ASTM A416"),L538,0),3)</f>
        <v/>
      </c>
      <c r="S538" s="16">
        <f>ROUND(S537+IF(AND(E538=16,F538&lt;&gt;"ASTM A416"),L538,0),3)</f>
        <v/>
      </c>
      <c r="T538" s="16">
        <f>ROUND(T537+IF(AND(E538=18,F538&lt;&gt;"ASTM A416"),L538,0),3)</f>
        <v/>
      </c>
      <c r="U538" s="16">
        <f>ROUND(U537+IF(AND(E538=20,F538&lt;&gt;"ASTM A416"),L538,0),3)</f>
        <v/>
      </c>
      <c r="V538" s="16">
        <f>ROUND(V537+IF(AND(E538=22,F538&lt;&gt;"ASTM A416"),L538,0),3)</f>
        <v/>
      </c>
      <c r="W538" s="16">
        <f>ROUND(W537+IF(AND(E538=25,F538&lt;&gt;"ASTM A416"),L538,0),3)</f>
        <v/>
      </c>
      <c r="X538" s="16">
        <f>ROUND(X537+IF(AND(E538=28,F538&lt;&gt;"ASTM A416"),L538,0),3)</f>
        <v/>
      </c>
      <c r="Y538" s="16">
        <f>ROUND(Y537+IF(AND(E538=32,F538&lt;&gt;"ASTM A416"),L538,0),3)</f>
        <v/>
      </c>
      <c r="Z538" s="16">
        <f>ROUND(Z537+IF(F538="ASTM A416",L538,0),3)</f>
        <v/>
      </c>
      <c r="AA538" s="9">
        <f>IF(ROUNDUP(P538/20,0)&gt;ROUNDUP(P537/20,0),"Lần " &amp; ROUNDUP(P538/20,0),"")</f>
        <v/>
      </c>
      <c r="AB538" s="9">
        <f>IF(ROUNDUP(Q538/20,0)&gt;ROUNDUP(Q537/20,0),"Lần " &amp; ROUNDUP(Q538/20,0),"")</f>
        <v/>
      </c>
      <c r="AC538" s="9">
        <f>IF(ROUNDUP(R538/20,0)&gt;ROUNDUP(R537/20,0),"Lần " &amp; ROUNDUP(R538/20,0),"")</f>
        <v/>
      </c>
      <c r="AD538" s="9">
        <f>IF(ROUNDUP(S538/20,0)&gt;ROUNDUP(S537/20,0),"Lần " &amp; ROUNDUP(S538/20,0),"")</f>
        <v/>
      </c>
      <c r="AE538" s="9">
        <f>IF(ROUNDUP(T538/20,0)&gt;ROUNDUP(T537/20,0),"Lần " &amp; ROUNDUP(T538/20,0),"")</f>
        <v/>
      </c>
      <c r="AF538" s="9">
        <f>IF(ROUNDUP(U538/20,0)&gt;ROUNDUP(U537/20,0),"Lần " &amp; ROUNDUP(U538/20,0),"")</f>
        <v/>
      </c>
      <c r="AG538" s="9">
        <f>IF(ROUNDUP(V538/20,0)&gt;ROUNDUP(V537/20,0),"Lần " &amp; ROUNDUP(V538/20,0),"")</f>
        <v/>
      </c>
      <c r="AH538" s="9">
        <f>IF(ROUNDUP(W538/20,0)&gt;ROUNDUP(W537/20,0),"Lần " &amp; ROUNDUP(W538/20,0),"")</f>
        <v/>
      </c>
      <c r="AI538" s="9">
        <f>IF(ROUNDUP(X538/20,0)&gt;ROUNDUP(X537/20,0),"Lần " &amp; ROUNDUP(X538/20,0),"")</f>
        <v/>
      </c>
      <c r="AJ538" s="9">
        <f>IF(ROUNDUP(Y538/20,0)&gt;ROUNDUP(Y537/20,0),"Lần " &amp; ROUNDUP(Y538/20,0),"")</f>
        <v/>
      </c>
      <c r="AK538" s="9">
        <f>IF(ROUNDUP(Z538/20,0)&gt;ROUNDUP(Z537/20,0),"Lần " &amp; ROUNDUP(Z538/20,0),"")</f>
        <v/>
      </c>
      <c r="AL538" s="4" t="n"/>
      <c r="AN538" s="596" t="inlineStr">
        <is>
          <t>Than</t>
        </is>
      </c>
      <c r="AO538" s="596" t="n">
        <v>32</v>
      </c>
      <c r="AQ538" s="594" t="n"/>
      <c r="AR538" s="595" t="n"/>
    </row>
    <row r="539" ht="19" customHeight="1" s="672">
      <c r="A539" s="4" t="n">
        <v>507</v>
      </c>
      <c r="B539" s="5" t="inlineStr">
        <is>
          <t>Mố M1</t>
        </is>
      </c>
      <c r="C539" s="5" t="inlineStr">
        <is>
          <t>Mố M1 (tr.31)</t>
        </is>
      </c>
      <c r="D539" s="14" t="inlineStr">
        <is>
          <t>A5(P)</t>
        </is>
      </c>
      <c r="E539" s="15" t="n">
        <v>16</v>
      </c>
      <c r="F539" s="4" t="inlineStr">
        <is>
          <t>CB400-V</t>
        </is>
      </c>
      <c r="G539" s="5" t="inlineStr"/>
      <c r="H539" s="16" t="n">
        <v>2.282</v>
      </c>
      <c r="I539" s="17" t="n">
        <v>10</v>
      </c>
      <c r="J539" s="18" t="n">
        <v>1.578</v>
      </c>
      <c r="K539" s="7">
        <f>ROUND(H539*I539*J539, 2)</f>
        <v/>
      </c>
      <c r="L539" s="19">
        <f>ROUND(K539/1000, 3)</f>
        <v/>
      </c>
      <c r="M539" s="728">
        <f>IF(AO539="","",IF(N(INDEX(Theo_Doi_Tan_Suat_Be_Tong!$C:$C,AO539))&lt;=0,"",INDEX(Theo_Doi_Tan_Suat_Be_Tong!$C:$C,AO539)-VLOOKUP(AN539,$AQ$2:$AR$7,2,FALSE)))</f>
        <v/>
      </c>
      <c r="N539" s="4" t="n"/>
      <c r="O539" s="20">
        <f>IF(ROUNDUP(S539/20,0)&gt;ROUNDUP(S538/20,0),"TN Ø16 (Lần " &amp; ROUNDUP(S539/20,0) &amp; ")","")</f>
        <v/>
      </c>
      <c r="P539" s="16">
        <f>ROUND(P538+IF(AND(E539&lt;=10,F539&lt;&gt;"ASTM A416"),L539,0),3)</f>
        <v/>
      </c>
      <c r="Q539" s="16">
        <f>ROUND(Q538+IF(AND(E539=12,F539&lt;&gt;"ASTM A416"),L539,0),3)</f>
        <v/>
      </c>
      <c r="R539" s="16">
        <f>ROUND(R538+IF(AND(E539=14,F539&lt;&gt;"ASTM A416"),L539,0),3)</f>
        <v/>
      </c>
      <c r="S539" s="16">
        <f>ROUND(S538+IF(AND(E539=16,F539&lt;&gt;"ASTM A416"),L539,0),3)</f>
        <v/>
      </c>
      <c r="T539" s="16">
        <f>ROUND(T538+IF(AND(E539=18,F539&lt;&gt;"ASTM A416"),L539,0),3)</f>
        <v/>
      </c>
      <c r="U539" s="16">
        <f>ROUND(U538+IF(AND(E539=20,F539&lt;&gt;"ASTM A416"),L539,0),3)</f>
        <v/>
      </c>
      <c r="V539" s="16">
        <f>ROUND(V538+IF(AND(E539=22,F539&lt;&gt;"ASTM A416"),L539,0),3)</f>
        <v/>
      </c>
      <c r="W539" s="16">
        <f>ROUND(W538+IF(AND(E539=25,F539&lt;&gt;"ASTM A416"),L539,0),3)</f>
        <v/>
      </c>
      <c r="X539" s="16">
        <f>ROUND(X538+IF(AND(E539=28,F539&lt;&gt;"ASTM A416"),L539,0),3)</f>
        <v/>
      </c>
      <c r="Y539" s="16">
        <f>ROUND(Y538+IF(AND(E539=32,F539&lt;&gt;"ASTM A416"),L539,0),3)</f>
        <v/>
      </c>
      <c r="Z539" s="16">
        <f>ROUND(Z538+IF(F539="ASTM A416",L539,0),3)</f>
        <v/>
      </c>
      <c r="AA539" s="9">
        <f>IF(ROUNDUP(P539/20,0)&gt;ROUNDUP(P538/20,0),"Lần " &amp; ROUNDUP(P539/20,0),"")</f>
        <v/>
      </c>
      <c r="AB539" s="9">
        <f>IF(ROUNDUP(Q539/20,0)&gt;ROUNDUP(Q538/20,0),"Lần " &amp; ROUNDUP(Q539/20,0),"")</f>
        <v/>
      </c>
      <c r="AC539" s="9">
        <f>IF(ROUNDUP(R539/20,0)&gt;ROUNDUP(R538/20,0),"Lần " &amp; ROUNDUP(R539/20,0),"")</f>
        <v/>
      </c>
      <c r="AD539" s="9">
        <f>IF(ROUNDUP(S539/20,0)&gt;ROUNDUP(S538/20,0),"Lần " &amp; ROUNDUP(S539/20,0),"")</f>
        <v/>
      </c>
      <c r="AE539" s="9">
        <f>IF(ROUNDUP(T539/20,0)&gt;ROUNDUP(T538/20,0),"Lần " &amp; ROUNDUP(T539/20,0),"")</f>
        <v/>
      </c>
      <c r="AF539" s="9">
        <f>IF(ROUNDUP(U539/20,0)&gt;ROUNDUP(U538/20,0),"Lần " &amp; ROUNDUP(U539/20,0),"")</f>
        <v/>
      </c>
      <c r="AG539" s="9">
        <f>IF(ROUNDUP(V539/20,0)&gt;ROUNDUP(V538/20,0),"Lần " &amp; ROUNDUP(V539/20,0),"")</f>
        <v/>
      </c>
      <c r="AH539" s="9">
        <f>IF(ROUNDUP(W539/20,0)&gt;ROUNDUP(W538/20,0),"Lần " &amp; ROUNDUP(W539/20,0),"")</f>
        <v/>
      </c>
      <c r="AI539" s="9">
        <f>IF(ROUNDUP(X539/20,0)&gt;ROUNDUP(X538/20,0),"Lần " &amp; ROUNDUP(X539/20,0),"")</f>
        <v/>
      </c>
      <c r="AJ539" s="9">
        <f>IF(ROUNDUP(Y539/20,0)&gt;ROUNDUP(Y538/20,0),"Lần " &amp; ROUNDUP(Y539/20,0),"")</f>
        <v/>
      </c>
      <c r="AK539" s="9">
        <f>IF(ROUNDUP(Z539/20,0)&gt;ROUNDUP(Z538/20,0),"Lần " &amp; ROUNDUP(Z539/20,0),"")</f>
        <v/>
      </c>
      <c r="AL539" s="4" t="n"/>
      <c r="AN539" s="596" t="inlineStr">
        <is>
          <t>Than</t>
        </is>
      </c>
      <c r="AO539" s="596" t="n">
        <v>32</v>
      </c>
      <c r="AQ539" s="594" t="n"/>
      <c r="AR539" s="595" t="n"/>
    </row>
    <row r="540" ht="19" customHeight="1" s="672">
      <c r="A540" s="4" t="n">
        <v>508</v>
      </c>
      <c r="B540" s="5" t="inlineStr">
        <is>
          <t>Mố M1</t>
        </is>
      </c>
      <c r="C540" s="5" t="inlineStr">
        <is>
          <t>Mố M1 (tr.31)</t>
        </is>
      </c>
      <c r="D540" s="14" t="inlineStr">
        <is>
          <t>A5（T)</t>
        </is>
      </c>
      <c r="E540" s="15" t="n">
        <v>16</v>
      </c>
      <c r="F540" s="4" t="inlineStr">
        <is>
          <t>CB400-V</t>
        </is>
      </c>
      <c r="G540" s="5" t="inlineStr"/>
      <c r="H540" s="16" t="n">
        <v>2.032</v>
      </c>
      <c r="I540" s="17" t="n">
        <v>10</v>
      </c>
      <c r="J540" s="18" t="n">
        <v>1.578</v>
      </c>
      <c r="K540" s="7">
        <f>ROUND(H540*I540*J540, 2)</f>
        <v/>
      </c>
      <c r="L540" s="19">
        <f>ROUND(K540/1000, 3)</f>
        <v/>
      </c>
      <c r="M540" s="728">
        <f>IF(AO540="","",IF(N(INDEX(Theo_Doi_Tan_Suat_Be_Tong!$C:$C,AO540))&lt;=0,"",INDEX(Theo_Doi_Tan_Suat_Be_Tong!$C:$C,AO540)-VLOOKUP(AN540,$AQ$2:$AR$7,2,FALSE)))</f>
        <v/>
      </c>
      <c r="N540" s="4" t="n"/>
      <c r="O540" s="20">
        <f>IF(ROUNDUP(S540/20,0)&gt;ROUNDUP(S539/20,0),"TN Ø16 (Lần " &amp; ROUNDUP(S540/20,0) &amp; ")","")</f>
        <v/>
      </c>
      <c r="P540" s="16">
        <f>ROUND(P539+IF(AND(E540&lt;=10,F540&lt;&gt;"ASTM A416"),L540,0),3)</f>
        <v/>
      </c>
      <c r="Q540" s="16">
        <f>ROUND(Q539+IF(AND(E540=12,F540&lt;&gt;"ASTM A416"),L540,0),3)</f>
        <v/>
      </c>
      <c r="R540" s="16">
        <f>ROUND(R539+IF(AND(E540=14,F540&lt;&gt;"ASTM A416"),L540,0),3)</f>
        <v/>
      </c>
      <c r="S540" s="16">
        <f>ROUND(S539+IF(AND(E540=16,F540&lt;&gt;"ASTM A416"),L540,0),3)</f>
        <v/>
      </c>
      <c r="T540" s="16">
        <f>ROUND(T539+IF(AND(E540=18,F540&lt;&gt;"ASTM A416"),L540,0),3)</f>
        <v/>
      </c>
      <c r="U540" s="16">
        <f>ROUND(U539+IF(AND(E540=20,F540&lt;&gt;"ASTM A416"),L540,0),3)</f>
        <v/>
      </c>
      <c r="V540" s="16">
        <f>ROUND(V539+IF(AND(E540=22,F540&lt;&gt;"ASTM A416"),L540,0),3)</f>
        <v/>
      </c>
      <c r="W540" s="16">
        <f>ROUND(W539+IF(AND(E540=25,F540&lt;&gt;"ASTM A416"),L540,0),3)</f>
        <v/>
      </c>
      <c r="X540" s="16">
        <f>ROUND(X539+IF(AND(E540=28,F540&lt;&gt;"ASTM A416"),L540,0),3)</f>
        <v/>
      </c>
      <c r="Y540" s="16">
        <f>ROUND(Y539+IF(AND(E540=32,F540&lt;&gt;"ASTM A416"),L540,0),3)</f>
        <v/>
      </c>
      <c r="Z540" s="16">
        <f>ROUND(Z539+IF(F540="ASTM A416",L540,0),3)</f>
        <v/>
      </c>
      <c r="AA540" s="9">
        <f>IF(ROUNDUP(P540/20,0)&gt;ROUNDUP(P539/20,0),"Lần " &amp; ROUNDUP(P540/20,0),"")</f>
        <v/>
      </c>
      <c r="AB540" s="9">
        <f>IF(ROUNDUP(Q540/20,0)&gt;ROUNDUP(Q539/20,0),"Lần " &amp; ROUNDUP(Q540/20,0),"")</f>
        <v/>
      </c>
      <c r="AC540" s="9">
        <f>IF(ROUNDUP(R540/20,0)&gt;ROUNDUP(R539/20,0),"Lần " &amp; ROUNDUP(R540/20,0),"")</f>
        <v/>
      </c>
      <c r="AD540" s="9">
        <f>IF(ROUNDUP(S540/20,0)&gt;ROUNDUP(S539/20,0),"Lần " &amp; ROUNDUP(S540/20,0),"")</f>
        <v/>
      </c>
      <c r="AE540" s="9">
        <f>IF(ROUNDUP(T540/20,0)&gt;ROUNDUP(T539/20,0),"Lần " &amp; ROUNDUP(T540/20,0),"")</f>
        <v/>
      </c>
      <c r="AF540" s="9">
        <f>IF(ROUNDUP(U540/20,0)&gt;ROUNDUP(U539/20,0),"Lần " &amp; ROUNDUP(U540/20,0),"")</f>
        <v/>
      </c>
      <c r="AG540" s="9">
        <f>IF(ROUNDUP(V540/20,0)&gt;ROUNDUP(V539/20,0),"Lần " &amp; ROUNDUP(V540/20,0),"")</f>
        <v/>
      </c>
      <c r="AH540" s="9">
        <f>IF(ROUNDUP(W540/20,0)&gt;ROUNDUP(W539/20,0),"Lần " &amp; ROUNDUP(W540/20,0),"")</f>
        <v/>
      </c>
      <c r="AI540" s="9">
        <f>IF(ROUNDUP(X540/20,0)&gt;ROUNDUP(X539/20,0),"Lần " &amp; ROUNDUP(X540/20,0),"")</f>
        <v/>
      </c>
      <c r="AJ540" s="9">
        <f>IF(ROUNDUP(Y540/20,0)&gt;ROUNDUP(Y539/20,0),"Lần " &amp; ROUNDUP(Y540/20,0),"")</f>
        <v/>
      </c>
      <c r="AK540" s="9">
        <f>IF(ROUNDUP(Z540/20,0)&gt;ROUNDUP(Z539/20,0),"Lần " &amp; ROUNDUP(Z540/20,0),"")</f>
        <v/>
      </c>
      <c r="AL540" s="4" t="n"/>
      <c r="AN540" s="596" t="inlineStr">
        <is>
          <t>Than</t>
        </is>
      </c>
      <c r="AO540" s="596" t="n">
        <v>32</v>
      </c>
      <c r="AQ540" s="594" t="n"/>
      <c r="AR540" s="595" t="n"/>
    </row>
    <row r="541" ht="19" customHeight="1" s="672">
      <c r="A541" s="4" t="n">
        <v>509</v>
      </c>
      <c r="B541" s="5" t="inlineStr">
        <is>
          <t>Mố M1</t>
        </is>
      </c>
      <c r="C541" s="5" t="inlineStr">
        <is>
          <t>Mố M1 (tr.31)</t>
        </is>
      </c>
      <c r="D541" s="14" t="inlineStr">
        <is>
          <t>P1</t>
        </is>
      </c>
      <c r="E541" s="15" t="n">
        <v>16</v>
      </c>
      <c r="F541" s="4" t="inlineStr">
        <is>
          <t>CB400-V</t>
        </is>
      </c>
      <c r="G541" s="5" t="inlineStr"/>
      <c r="H541" s="16" t="n">
        <v>13.437</v>
      </c>
      <c r="I541" s="17" t="n">
        <v>30</v>
      </c>
      <c r="J541" s="18" t="n">
        <v>1.578</v>
      </c>
      <c r="K541" s="7">
        <f>ROUND(H541*I541*J541, 2)</f>
        <v/>
      </c>
      <c r="L541" s="19">
        <f>ROUND(K541/1000, 3)</f>
        <v/>
      </c>
      <c r="M541" s="728">
        <f>IF(AO541="","",IF(N(INDEX(Theo_Doi_Tan_Suat_Be_Tong!$C:$C,AO541))&lt;=0,"",INDEX(Theo_Doi_Tan_Suat_Be_Tong!$C:$C,AO541)-VLOOKUP(AN541,$AQ$2:$AR$7,2,FALSE)))</f>
        <v/>
      </c>
      <c r="N541" s="4" t="n"/>
      <c r="O541" s="20">
        <f>IF(ROUNDUP(S541/20,0)&gt;ROUNDUP(S540/20,0),"TN Ø16 (Lần " &amp; ROUNDUP(S541/20,0) &amp; ")","")</f>
        <v/>
      </c>
      <c r="P541" s="16">
        <f>ROUND(P540+IF(AND(E541&lt;=10,F541&lt;&gt;"ASTM A416"),L541,0),3)</f>
        <v/>
      </c>
      <c r="Q541" s="16">
        <f>ROUND(Q540+IF(AND(E541=12,F541&lt;&gt;"ASTM A416"),L541,0),3)</f>
        <v/>
      </c>
      <c r="R541" s="16">
        <f>ROUND(R540+IF(AND(E541=14,F541&lt;&gt;"ASTM A416"),L541,0),3)</f>
        <v/>
      </c>
      <c r="S541" s="16">
        <f>ROUND(S540+IF(AND(E541=16,F541&lt;&gt;"ASTM A416"),L541,0),3)</f>
        <v/>
      </c>
      <c r="T541" s="16">
        <f>ROUND(T540+IF(AND(E541=18,F541&lt;&gt;"ASTM A416"),L541,0),3)</f>
        <v/>
      </c>
      <c r="U541" s="16">
        <f>ROUND(U540+IF(AND(E541=20,F541&lt;&gt;"ASTM A416"),L541,0),3)</f>
        <v/>
      </c>
      <c r="V541" s="16">
        <f>ROUND(V540+IF(AND(E541=22,F541&lt;&gt;"ASTM A416"),L541,0),3)</f>
        <v/>
      </c>
      <c r="W541" s="16">
        <f>ROUND(W540+IF(AND(E541=25,F541&lt;&gt;"ASTM A416"),L541,0),3)</f>
        <v/>
      </c>
      <c r="X541" s="16">
        <f>ROUND(X540+IF(AND(E541=28,F541&lt;&gt;"ASTM A416"),L541,0),3)</f>
        <v/>
      </c>
      <c r="Y541" s="16">
        <f>ROUND(Y540+IF(AND(E541=32,F541&lt;&gt;"ASTM A416"),L541,0),3)</f>
        <v/>
      </c>
      <c r="Z541" s="16">
        <f>ROUND(Z540+IF(F541="ASTM A416",L541,0),3)</f>
        <v/>
      </c>
      <c r="AA541" s="9">
        <f>IF(ROUNDUP(P541/20,0)&gt;ROUNDUP(P540/20,0),"Lần " &amp; ROUNDUP(P541/20,0),"")</f>
        <v/>
      </c>
      <c r="AB541" s="9">
        <f>IF(ROUNDUP(Q541/20,0)&gt;ROUNDUP(Q540/20,0),"Lần " &amp; ROUNDUP(Q541/20,0),"")</f>
        <v/>
      </c>
      <c r="AC541" s="9">
        <f>IF(ROUNDUP(R541/20,0)&gt;ROUNDUP(R540/20,0),"Lần " &amp; ROUNDUP(R541/20,0),"")</f>
        <v/>
      </c>
      <c r="AD541" s="9">
        <f>IF(ROUNDUP(S541/20,0)&gt;ROUNDUP(S540/20,0),"Lần " &amp; ROUNDUP(S541/20,0),"")</f>
        <v/>
      </c>
      <c r="AE541" s="9">
        <f>IF(ROUNDUP(T541/20,0)&gt;ROUNDUP(T540/20,0),"Lần " &amp; ROUNDUP(T541/20,0),"")</f>
        <v/>
      </c>
      <c r="AF541" s="9">
        <f>IF(ROUNDUP(U541/20,0)&gt;ROUNDUP(U540/20,0),"Lần " &amp; ROUNDUP(U541/20,0),"")</f>
        <v/>
      </c>
      <c r="AG541" s="9">
        <f>IF(ROUNDUP(V541/20,0)&gt;ROUNDUP(V540/20,0),"Lần " &amp; ROUNDUP(V541/20,0),"")</f>
        <v/>
      </c>
      <c r="AH541" s="9">
        <f>IF(ROUNDUP(W541/20,0)&gt;ROUNDUP(W540/20,0),"Lần " &amp; ROUNDUP(W541/20,0),"")</f>
        <v/>
      </c>
      <c r="AI541" s="9">
        <f>IF(ROUNDUP(X541/20,0)&gt;ROUNDUP(X540/20,0),"Lần " &amp; ROUNDUP(X541/20,0),"")</f>
        <v/>
      </c>
      <c r="AJ541" s="9">
        <f>IF(ROUNDUP(Y541/20,0)&gt;ROUNDUP(Y540/20,0),"Lần " &amp; ROUNDUP(Y541/20,0),"")</f>
        <v/>
      </c>
      <c r="AK541" s="9">
        <f>IF(ROUNDUP(Z541/20,0)&gt;ROUNDUP(Z540/20,0),"Lần " &amp; ROUNDUP(Z541/20,0),"")</f>
        <v/>
      </c>
      <c r="AL541" s="4" t="n"/>
      <c r="AN541" s="596" t="inlineStr">
        <is>
          <t>Than</t>
        </is>
      </c>
      <c r="AO541" s="596" t="n">
        <v>32</v>
      </c>
      <c r="AQ541" s="594" t="n"/>
      <c r="AR541" s="595" t="n"/>
    </row>
    <row r="542" ht="19" customHeight="1" s="672">
      <c r="A542" s="4" t="n">
        <v>510</v>
      </c>
      <c r="B542" s="5" t="inlineStr">
        <is>
          <t>Mố M1</t>
        </is>
      </c>
      <c r="C542" s="5" t="inlineStr">
        <is>
          <t>Mố M1 (tr.31)</t>
        </is>
      </c>
      <c r="D542" s="14" t="inlineStr">
        <is>
          <t>PIA</t>
        </is>
      </c>
      <c r="E542" s="15" t="n">
        <v>16</v>
      </c>
      <c r="F542" s="4" t="inlineStr">
        <is>
          <t>CB400-V</t>
        </is>
      </c>
      <c r="G542" s="5" t="inlineStr"/>
      <c r="H542" s="16" t="n">
        <v>13.44</v>
      </c>
      <c r="I542" s="17" t="n">
        <v>2</v>
      </c>
      <c r="J542" s="18" t="n">
        <v>1.578</v>
      </c>
      <c r="K542" s="7">
        <f>ROUND(H542*I542*J542, 2)</f>
        <v/>
      </c>
      <c r="L542" s="19">
        <f>ROUND(K542/1000, 3)</f>
        <v/>
      </c>
      <c r="M542" s="728">
        <f>IF(AO542="","",IF(N(INDEX(Theo_Doi_Tan_Suat_Be_Tong!$C:$C,AO542))&lt;=0,"",INDEX(Theo_Doi_Tan_Suat_Be_Tong!$C:$C,AO542)-VLOOKUP(AN542,$AQ$2:$AR$7,2,FALSE)))</f>
        <v/>
      </c>
      <c r="N542" s="4" t="n"/>
      <c r="O542" s="20">
        <f>IF(ROUNDUP(S542/20,0)&gt;ROUNDUP(S541/20,0),"TN Ø16 (Lần " &amp; ROUNDUP(S542/20,0) &amp; ")","")</f>
        <v/>
      </c>
      <c r="P542" s="16">
        <f>ROUND(P541+IF(AND(E542&lt;=10,F542&lt;&gt;"ASTM A416"),L542,0),3)</f>
        <v/>
      </c>
      <c r="Q542" s="16">
        <f>ROUND(Q541+IF(AND(E542=12,F542&lt;&gt;"ASTM A416"),L542,0),3)</f>
        <v/>
      </c>
      <c r="R542" s="16">
        <f>ROUND(R541+IF(AND(E542=14,F542&lt;&gt;"ASTM A416"),L542,0),3)</f>
        <v/>
      </c>
      <c r="S542" s="16">
        <f>ROUND(S541+IF(AND(E542=16,F542&lt;&gt;"ASTM A416"),L542,0),3)</f>
        <v/>
      </c>
      <c r="T542" s="16">
        <f>ROUND(T541+IF(AND(E542=18,F542&lt;&gt;"ASTM A416"),L542,0),3)</f>
        <v/>
      </c>
      <c r="U542" s="16">
        <f>ROUND(U541+IF(AND(E542=20,F542&lt;&gt;"ASTM A416"),L542,0),3)</f>
        <v/>
      </c>
      <c r="V542" s="16">
        <f>ROUND(V541+IF(AND(E542=22,F542&lt;&gt;"ASTM A416"),L542,0),3)</f>
        <v/>
      </c>
      <c r="W542" s="16">
        <f>ROUND(W541+IF(AND(E542=25,F542&lt;&gt;"ASTM A416"),L542,0),3)</f>
        <v/>
      </c>
      <c r="X542" s="16">
        <f>ROUND(X541+IF(AND(E542=28,F542&lt;&gt;"ASTM A416"),L542,0),3)</f>
        <v/>
      </c>
      <c r="Y542" s="16">
        <f>ROUND(Y541+IF(AND(E542=32,F542&lt;&gt;"ASTM A416"),L542,0),3)</f>
        <v/>
      </c>
      <c r="Z542" s="16">
        <f>ROUND(Z541+IF(F542="ASTM A416",L542,0),3)</f>
        <v/>
      </c>
      <c r="AA542" s="9">
        <f>IF(ROUNDUP(P542/20,0)&gt;ROUNDUP(P541/20,0),"Lần " &amp; ROUNDUP(P542/20,0),"")</f>
        <v/>
      </c>
      <c r="AB542" s="9">
        <f>IF(ROUNDUP(Q542/20,0)&gt;ROUNDUP(Q541/20,0),"Lần " &amp; ROUNDUP(Q542/20,0),"")</f>
        <v/>
      </c>
      <c r="AC542" s="9">
        <f>IF(ROUNDUP(R542/20,0)&gt;ROUNDUP(R541/20,0),"Lần " &amp; ROUNDUP(R542/20,0),"")</f>
        <v/>
      </c>
      <c r="AD542" s="9">
        <f>IF(ROUNDUP(S542/20,0)&gt;ROUNDUP(S541/20,0),"Lần " &amp; ROUNDUP(S542/20,0),"")</f>
        <v/>
      </c>
      <c r="AE542" s="9">
        <f>IF(ROUNDUP(T542/20,0)&gt;ROUNDUP(T541/20,0),"Lần " &amp; ROUNDUP(T542/20,0),"")</f>
        <v/>
      </c>
      <c r="AF542" s="9">
        <f>IF(ROUNDUP(U542/20,0)&gt;ROUNDUP(U541/20,0),"Lần " &amp; ROUNDUP(U542/20,0),"")</f>
        <v/>
      </c>
      <c r="AG542" s="9">
        <f>IF(ROUNDUP(V542/20,0)&gt;ROUNDUP(V541/20,0),"Lần " &amp; ROUNDUP(V542/20,0),"")</f>
        <v/>
      </c>
      <c r="AH542" s="9">
        <f>IF(ROUNDUP(W542/20,0)&gt;ROUNDUP(W541/20,0),"Lần " &amp; ROUNDUP(W542/20,0),"")</f>
        <v/>
      </c>
      <c r="AI542" s="9">
        <f>IF(ROUNDUP(X542/20,0)&gt;ROUNDUP(X541/20,0),"Lần " &amp; ROUNDUP(X542/20,0),"")</f>
        <v/>
      </c>
      <c r="AJ542" s="9">
        <f>IF(ROUNDUP(Y542/20,0)&gt;ROUNDUP(Y541/20,0),"Lần " &amp; ROUNDUP(Y542/20,0),"")</f>
        <v/>
      </c>
      <c r="AK542" s="9">
        <f>IF(ROUNDUP(Z542/20,0)&gt;ROUNDUP(Z541/20,0),"Lần " &amp; ROUNDUP(Z542/20,0),"")</f>
        <v/>
      </c>
      <c r="AL542" s="4" t="n"/>
      <c r="AN542" s="596" t="inlineStr">
        <is>
          <t>Than</t>
        </is>
      </c>
      <c r="AO542" s="596" t="n">
        <v>32</v>
      </c>
      <c r="AQ542" s="594" t="n"/>
      <c r="AR542" s="595" t="n"/>
    </row>
    <row r="543" ht="19" customHeight="1" s="672">
      <c r="A543" s="4" t="n">
        <v>511</v>
      </c>
      <c r="B543" s="5" t="inlineStr">
        <is>
          <t>Mố M1</t>
        </is>
      </c>
      <c r="C543" s="5" t="inlineStr">
        <is>
          <t>Mố M1 (tr.31)</t>
        </is>
      </c>
      <c r="D543" s="14" t="inlineStr">
        <is>
          <t>P1B</t>
        </is>
      </c>
      <c r="E543" s="15" t="n">
        <v>16</v>
      </c>
      <c r="F543" s="4" t="inlineStr">
        <is>
          <t>CB400-V</t>
        </is>
      </c>
      <c r="G543" s="5" t="inlineStr"/>
      <c r="H543" s="16" t="n">
        <v>10.084</v>
      </c>
      <c r="I543" s="17" t="n">
        <v>2</v>
      </c>
      <c r="J543" s="18" t="n">
        <v>1.578</v>
      </c>
      <c r="K543" s="7">
        <f>ROUND(H543*I543*J543, 2)</f>
        <v/>
      </c>
      <c r="L543" s="19">
        <f>ROUND(K543/1000, 3)</f>
        <v/>
      </c>
      <c r="M543" s="728">
        <f>IF(AO543="","",IF(N(INDEX(Theo_Doi_Tan_Suat_Be_Tong!$C:$C,AO543))&lt;=0,"",INDEX(Theo_Doi_Tan_Suat_Be_Tong!$C:$C,AO543)-VLOOKUP(AN543,$AQ$2:$AR$7,2,FALSE)))</f>
        <v/>
      </c>
      <c r="N543" s="4" t="n"/>
      <c r="O543" s="20">
        <f>IF(ROUNDUP(S543/20,0)&gt;ROUNDUP(S542/20,0),"TN Ø16 (Lần " &amp; ROUNDUP(S543/20,0) &amp; ")","")</f>
        <v/>
      </c>
      <c r="P543" s="16">
        <f>ROUND(P542+IF(AND(E543&lt;=10,F543&lt;&gt;"ASTM A416"),L543,0),3)</f>
        <v/>
      </c>
      <c r="Q543" s="16">
        <f>ROUND(Q542+IF(AND(E543=12,F543&lt;&gt;"ASTM A416"),L543,0),3)</f>
        <v/>
      </c>
      <c r="R543" s="16">
        <f>ROUND(R542+IF(AND(E543=14,F543&lt;&gt;"ASTM A416"),L543,0),3)</f>
        <v/>
      </c>
      <c r="S543" s="16">
        <f>ROUND(S542+IF(AND(E543=16,F543&lt;&gt;"ASTM A416"),L543,0),3)</f>
        <v/>
      </c>
      <c r="T543" s="16">
        <f>ROUND(T542+IF(AND(E543=18,F543&lt;&gt;"ASTM A416"),L543,0),3)</f>
        <v/>
      </c>
      <c r="U543" s="16">
        <f>ROUND(U542+IF(AND(E543=20,F543&lt;&gt;"ASTM A416"),L543,0),3)</f>
        <v/>
      </c>
      <c r="V543" s="16">
        <f>ROUND(V542+IF(AND(E543=22,F543&lt;&gt;"ASTM A416"),L543,0),3)</f>
        <v/>
      </c>
      <c r="W543" s="16">
        <f>ROUND(W542+IF(AND(E543=25,F543&lt;&gt;"ASTM A416"),L543,0),3)</f>
        <v/>
      </c>
      <c r="X543" s="16">
        <f>ROUND(X542+IF(AND(E543=28,F543&lt;&gt;"ASTM A416"),L543,0),3)</f>
        <v/>
      </c>
      <c r="Y543" s="16">
        <f>ROUND(Y542+IF(AND(E543=32,F543&lt;&gt;"ASTM A416"),L543,0),3)</f>
        <v/>
      </c>
      <c r="Z543" s="16">
        <f>ROUND(Z542+IF(F543="ASTM A416",L543,0),3)</f>
        <v/>
      </c>
      <c r="AA543" s="9">
        <f>IF(ROUNDUP(P543/20,0)&gt;ROUNDUP(P542/20,0),"Lần " &amp; ROUNDUP(P543/20,0),"")</f>
        <v/>
      </c>
      <c r="AB543" s="9">
        <f>IF(ROUNDUP(Q543/20,0)&gt;ROUNDUP(Q542/20,0),"Lần " &amp; ROUNDUP(Q543/20,0),"")</f>
        <v/>
      </c>
      <c r="AC543" s="9">
        <f>IF(ROUNDUP(R543/20,0)&gt;ROUNDUP(R542/20,0),"Lần " &amp; ROUNDUP(R543/20,0),"")</f>
        <v/>
      </c>
      <c r="AD543" s="9">
        <f>IF(ROUNDUP(S543/20,0)&gt;ROUNDUP(S542/20,0),"Lần " &amp; ROUNDUP(S543/20,0),"")</f>
        <v/>
      </c>
      <c r="AE543" s="9">
        <f>IF(ROUNDUP(T543/20,0)&gt;ROUNDUP(T542/20,0),"Lần " &amp; ROUNDUP(T543/20,0),"")</f>
        <v/>
      </c>
      <c r="AF543" s="9">
        <f>IF(ROUNDUP(U543/20,0)&gt;ROUNDUP(U542/20,0),"Lần " &amp; ROUNDUP(U543/20,0),"")</f>
        <v/>
      </c>
      <c r="AG543" s="9">
        <f>IF(ROUNDUP(V543/20,0)&gt;ROUNDUP(V542/20,0),"Lần " &amp; ROUNDUP(V543/20,0),"")</f>
        <v/>
      </c>
      <c r="AH543" s="9">
        <f>IF(ROUNDUP(W543/20,0)&gt;ROUNDUP(W542/20,0),"Lần " &amp; ROUNDUP(W543/20,0),"")</f>
        <v/>
      </c>
      <c r="AI543" s="9">
        <f>IF(ROUNDUP(X543/20,0)&gt;ROUNDUP(X542/20,0),"Lần " &amp; ROUNDUP(X543/20,0),"")</f>
        <v/>
      </c>
      <c r="AJ543" s="9">
        <f>IF(ROUNDUP(Y543/20,0)&gt;ROUNDUP(Y542/20,0),"Lần " &amp; ROUNDUP(Y543/20,0),"")</f>
        <v/>
      </c>
      <c r="AK543" s="9">
        <f>IF(ROUNDUP(Z543/20,0)&gt;ROUNDUP(Z542/20,0),"Lần " &amp; ROUNDUP(Z543/20,0),"")</f>
        <v/>
      </c>
      <c r="AL543" s="4" t="n"/>
      <c r="AN543" s="596" t="inlineStr">
        <is>
          <t>Than</t>
        </is>
      </c>
      <c r="AO543" s="596" t="n">
        <v>32</v>
      </c>
      <c r="AQ543" s="594" t="n"/>
      <c r="AR543" s="595" t="n"/>
    </row>
    <row r="544" ht="19" customHeight="1" s="672">
      <c r="A544" s="4" t="n">
        <v>512</v>
      </c>
      <c r="B544" s="5" t="inlineStr">
        <is>
          <t>Mố M1</t>
        </is>
      </c>
      <c r="C544" s="5" t="inlineStr">
        <is>
          <t>Mố M1 (tr.31)</t>
        </is>
      </c>
      <c r="D544" s="14" t="inlineStr">
        <is>
          <t>P2</t>
        </is>
      </c>
      <c r="E544" s="15" t="n">
        <v>16</v>
      </c>
      <c r="F544" s="4" t="inlineStr">
        <is>
          <t>CB400-V</t>
        </is>
      </c>
      <c r="G544" s="5" t="inlineStr"/>
      <c r="H544" s="16" t="n">
        <v>5.504</v>
      </c>
      <c r="I544" s="17" t="n">
        <v>83</v>
      </c>
      <c r="J544" s="18" t="n">
        <v>1.578</v>
      </c>
      <c r="K544" s="7">
        <f>ROUND(H544*I544*J544, 2)</f>
        <v/>
      </c>
      <c r="L544" s="19">
        <f>ROUND(K544/1000, 3)</f>
        <v/>
      </c>
      <c r="M544" s="728">
        <f>IF(AO544="","",IF(N(INDEX(Theo_Doi_Tan_Suat_Be_Tong!$C:$C,AO544))&lt;=0,"",INDEX(Theo_Doi_Tan_Suat_Be_Tong!$C:$C,AO544)-VLOOKUP(AN544,$AQ$2:$AR$7,2,FALSE)))</f>
        <v/>
      </c>
      <c r="N544" s="4" t="n"/>
      <c r="O544" s="20">
        <f>IF(ROUNDUP(S544/20,0)&gt;ROUNDUP(S543/20,0),"TN Ø16 (Lần " &amp; ROUNDUP(S544/20,0) &amp; ")","")</f>
        <v/>
      </c>
      <c r="P544" s="16">
        <f>ROUND(P543+IF(AND(E544&lt;=10,F544&lt;&gt;"ASTM A416"),L544,0),3)</f>
        <v/>
      </c>
      <c r="Q544" s="16">
        <f>ROUND(Q543+IF(AND(E544=12,F544&lt;&gt;"ASTM A416"),L544,0),3)</f>
        <v/>
      </c>
      <c r="R544" s="16">
        <f>ROUND(R543+IF(AND(E544=14,F544&lt;&gt;"ASTM A416"),L544,0),3)</f>
        <v/>
      </c>
      <c r="S544" s="16">
        <f>ROUND(S543+IF(AND(E544=16,F544&lt;&gt;"ASTM A416"),L544,0),3)</f>
        <v/>
      </c>
      <c r="T544" s="16">
        <f>ROUND(T543+IF(AND(E544=18,F544&lt;&gt;"ASTM A416"),L544,0),3)</f>
        <v/>
      </c>
      <c r="U544" s="16">
        <f>ROUND(U543+IF(AND(E544=20,F544&lt;&gt;"ASTM A416"),L544,0),3)</f>
        <v/>
      </c>
      <c r="V544" s="16">
        <f>ROUND(V543+IF(AND(E544=22,F544&lt;&gt;"ASTM A416"),L544,0),3)</f>
        <v/>
      </c>
      <c r="W544" s="16">
        <f>ROUND(W543+IF(AND(E544=25,F544&lt;&gt;"ASTM A416"),L544,0),3)</f>
        <v/>
      </c>
      <c r="X544" s="16">
        <f>ROUND(X543+IF(AND(E544=28,F544&lt;&gt;"ASTM A416"),L544,0),3)</f>
        <v/>
      </c>
      <c r="Y544" s="16">
        <f>ROUND(Y543+IF(AND(E544=32,F544&lt;&gt;"ASTM A416"),L544,0),3)</f>
        <v/>
      </c>
      <c r="Z544" s="16">
        <f>ROUND(Z543+IF(F544="ASTM A416",L544,0),3)</f>
        <v/>
      </c>
      <c r="AA544" s="9">
        <f>IF(ROUNDUP(P544/20,0)&gt;ROUNDUP(P543/20,0),"Lần " &amp; ROUNDUP(P544/20,0),"")</f>
        <v/>
      </c>
      <c r="AB544" s="9">
        <f>IF(ROUNDUP(Q544/20,0)&gt;ROUNDUP(Q543/20,0),"Lần " &amp; ROUNDUP(Q544/20,0),"")</f>
        <v/>
      </c>
      <c r="AC544" s="9">
        <f>IF(ROUNDUP(R544/20,0)&gt;ROUNDUP(R543/20,0),"Lần " &amp; ROUNDUP(R544/20,0),"")</f>
        <v/>
      </c>
      <c r="AD544" s="9">
        <f>IF(ROUNDUP(S544/20,0)&gt;ROUNDUP(S543/20,0),"Lần " &amp; ROUNDUP(S544/20,0),"")</f>
        <v/>
      </c>
      <c r="AE544" s="9">
        <f>IF(ROUNDUP(T544/20,0)&gt;ROUNDUP(T543/20,0),"Lần " &amp; ROUNDUP(T544/20,0),"")</f>
        <v/>
      </c>
      <c r="AF544" s="9">
        <f>IF(ROUNDUP(U544/20,0)&gt;ROUNDUP(U543/20,0),"Lần " &amp; ROUNDUP(U544/20,0),"")</f>
        <v/>
      </c>
      <c r="AG544" s="9">
        <f>IF(ROUNDUP(V544/20,0)&gt;ROUNDUP(V543/20,0),"Lần " &amp; ROUNDUP(V544/20,0),"")</f>
        <v/>
      </c>
      <c r="AH544" s="9">
        <f>IF(ROUNDUP(W544/20,0)&gt;ROUNDUP(W543/20,0),"Lần " &amp; ROUNDUP(W544/20,0),"")</f>
        <v/>
      </c>
      <c r="AI544" s="9">
        <f>IF(ROUNDUP(X544/20,0)&gt;ROUNDUP(X543/20,0),"Lần " &amp; ROUNDUP(X544/20,0),"")</f>
        <v/>
      </c>
      <c r="AJ544" s="9">
        <f>IF(ROUNDUP(Y544/20,0)&gt;ROUNDUP(Y543/20,0),"Lần " &amp; ROUNDUP(Y544/20,0),"")</f>
        <v/>
      </c>
      <c r="AK544" s="9">
        <f>IF(ROUNDUP(Z544/20,0)&gt;ROUNDUP(Z543/20,0),"Lần " &amp; ROUNDUP(Z544/20,0),"")</f>
        <v/>
      </c>
      <c r="AL544" s="4" t="n"/>
      <c r="AN544" s="596" t="inlineStr">
        <is>
          <t>Than</t>
        </is>
      </c>
      <c r="AO544" s="596" t="n">
        <v>32</v>
      </c>
      <c r="AQ544" s="594" t="n"/>
      <c r="AR544" s="595" t="n"/>
    </row>
    <row r="545" ht="19" customHeight="1" s="672">
      <c r="A545" s="4" t="n">
        <v>513</v>
      </c>
      <c r="B545" s="5" t="inlineStr">
        <is>
          <t>Mố M1</t>
        </is>
      </c>
      <c r="C545" s="5" t="inlineStr">
        <is>
          <t>Mố M1 (tr.31)</t>
        </is>
      </c>
      <c r="D545" s="14" t="inlineStr">
        <is>
          <t>P3</t>
        </is>
      </c>
      <c r="E545" s="15" t="n">
        <v>16</v>
      </c>
      <c r="F545" s="4" t="inlineStr">
        <is>
          <t>CB400-V</t>
        </is>
      </c>
      <c r="G545" s="5" t="inlineStr">
        <is>
          <t>S57</t>
        </is>
      </c>
      <c r="H545" s="16" t="n">
        <v>2.071</v>
      </c>
      <c r="I545" s="17" t="n">
        <v>77</v>
      </c>
      <c r="J545" s="18" t="n">
        <v>1.578</v>
      </c>
      <c r="K545" s="7">
        <f>ROUND(H545*I545*J545, 2)</f>
        <v/>
      </c>
      <c r="L545" s="19">
        <f>ROUND(K545/1000, 3)</f>
        <v/>
      </c>
      <c r="M545" s="728">
        <f>IF(AO545="","",IF(N(INDEX(Theo_Doi_Tan_Suat_Be_Tong!$C:$C,AO545))&lt;=0,"",INDEX(Theo_Doi_Tan_Suat_Be_Tong!$C:$C,AO545)-VLOOKUP(AN545,$AQ$2:$AR$7,2,FALSE)))</f>
        <v/>
      </c>
      <c r="N545" s="4" t="n"/>
      <c r="O545" s="20">
        <f>IF(ROUNDUP(S545/20,0)&gt;ROUNDUP(S544/20,0),"TN Ø16 (Lần " &amp; ROUNDUP(S545/20,0) &amp; ")","")</f>
        <v/>
      </c>
      <c r="P545" s="16">
        <f>ROUND(P544+IF(AND(E545&lt;=10,F545&lt;&gt;"ASTM A416"),L545,0),3)</f>
        <v/>
      </c>
      <c r="Q545" s="16">
        <f>ROUND(Q544+IF(AND(E545=12,F545&lt;&gt;"ASTM A416"),L545,0),3)</f>
        <v/>
      </c>
      <c r="R545" s="16">
        <f>ROUND(R544+IF(AND(E545=14,F545&lt;&gt;"ASTM A416"),L545,0),3)</f>
        <v/>
      </c>
      <c r="S545" s="16">
        <f>ROUND(S544+IF(AND(E545=16,F545&lt;&gt;"ASTM A416"),L545,0),3)</f>
        <v/>
      </c>
      <c r="T545" s="16">
        <f>ROUND(T544+IF(AND(E545=18,F545&lt;&gt;"ASTM A416"),L545,0),3)</f>
        <v/>
      </c>
      <c r="U545" s="16">
        <f>ROUND(U544+IF(AND(E545=20,F545&lt;&gt;"ASTM A416"),L545,0),3)</f>
        <v/>
      </c>
      <c r="V545" s="16">
        <f>ROUND(V544+IF(AND(E545=22,F545&lt;&gt;"ASTM A416"),L545,0),3)</f>
        <v/>
      </c>
      <c r="W545" s="16">
        <f>ROUND(W544+IF(AND(E545=25,F545&lt;&gt;"ASTM A416"),L545,0),3)</f>
        <v/>
      </c>
      <c r="X545" s="16">
        <f>ROUND(X544+IF(AND(E545=28,F545&lt;&gt;"ASTM A416"),L545,0),3)</f>
        <v/>
      </c>
      <c r="Y545" s="16">
        <f>ROUND(Y544+IF(AND(E545=32,F545&lt;&gt;"ASTM A416"),L545,0),3)</f>
        <v/>
      </c>
      <c r="Z545" s="16">
        <f>ROUND(Z544+IF(F545="ASTM A416",L545,0),3)</f>
        <v/>
      </c>
      <c r="AA545" s="9">
        <f>IF(ROUNDUP(P545/20,0)&gt;ROUNDUP(P544/20,0),"Lần " &amp; ROUNDUP(P545/20,0),"")</f>
        <v/>
      </c>
      <c r="AB545" s="9">
        <f>IF(ROUNDUP(Q545/20,0)&gt;ROUNDUP(Q544/20,0),"Lần " &amp; ROUNDUP(Q545/20,0),"")</f>
        <v/>
      </c>
      <c r="AC545" s="9">
        <f>IF(ROUNDUP(R545/20,0)&gt;ROUNDUP(R544/20,0),"Lần " &amp; ROUNDUP(R545/20,0),"")</f>
        <v/>
      </c>
      <c r="AD545" s="9">
        <f>IF(ROUNDUP(S545/20,0)&gt;ROUNDUP(S544/20,0),"Lần " &amp; ROUNDUP(S545/20,0),"")</f>
        <v/>
      </c>
      <c r="AE545" s="9">
        <f>IF(ROUNDUP(T545/20,0)&gt;ROUNDUP(T544/20,0),"Lần " &amp; ROUNDUP(T545/20,0),"")</f>
        <v/>
      </c>
      <c r="AF545" s="9">
        <f>IF(ROUNDUP(U545/20,0)&gt;ROUNDUP(U544/20,0),"Lần " &amp; ROUNDUP(U545/20,0),"")</f>
        <v/>
      </c>
      <c r="AG545" s="9">
        <f>IF(ROUNDUP(V545/20,0)&gt;ROUNDUP(V544/20,0),"Lần " &amp; ROUNDUP(V545/20,0),"")</f>
        <v/>
      </c>
      <c r="AH545" s="9">
        <f>IF(ROUNDUP(W545/20,0)&gt;ROUNDUP(W544/20,0),"Lần " &amp; ROUNDUP(W545/20,0),"")</f>
        <v/>
      </c>
      <c r="AI545" s="9">
        <f>IF(ROUNDUP(X545/20,0)&gt;ROUNDUP(X544/20,0),"Lần " &amp; ROUNDUP(X545/20,0),"")</f>
        <v/>
      </c>
      <c r="AJ545" s="9">
        <f>IF(ROUNDUP(Y545/20,0)&gt;ROUNDUP(Y544/20,0),"Lần " &amp; ROUNDUP(Y545/20,0),"")</f>
        <v/>
      </c>
      <c r="AK545" s="9">
        <f>IF(ROUNDUP(Z545/20,0)&gt;ROUNDUP(Z544/20,0),"Lần " &amp; ROUNDUP(Z545/20,0),"")</f>
        <v/>
      </c>
      <c r="AL545" s="4" t="n"/>
      <c r="AN545" s="596" t="inlineStr">
        <is>
          <t>Than</t>
        </is>
      </c>
      <c r="AO545" s="596" t="n">
        <v>32</v>
      </c>
      <c r="AQ545" s="594" t="n"/>
      <c r="AR545" s="595" t="n"/>
    </row>
    <row r="546" ht="19" customHeight="1" s="672">
      <c r="A546" s="4" t="n">
        <v>514</v>
      </c>
      <c r="B546" s="5" t="inlineStr">
        <is>
          <t>Mố M1</t>
        </is>
      </c>
      <c r="C546" s="5" t="inlineStr">
        <is>
          <t>Mố M1 (tr.31)</t>
        </is>
      </c>
      <c r="D546" s="14" t="inlineStr">
        <is>
          <t>P4</t>
        </is>
      </c>
      <c r="E546" s="15" t="n">
        <v>12</v>
      </c>
      <c r="F546" s="4" t="inlineStr">
        <is>
          <t>CB400-V</t>
        </is>
      </c>
      <c r="G546" s="5" t="inlineStr"/>
      <c r="H546" s="16" t="n">
        <v>0.555</v>
      </c>
      <c r="I546" s="17" t="n">
        <v>95</v>
      </c>
      <c r="J546" s="18" t="n">
        <v>0.888</v>
      </c>
      <c r="K546" s="7">
        <f>ROUND(H546*I546*J546, 2)</f>
        <v/>
      </c>
      <c r="L546" s="19">
        <f>ROUND(K546/1000, 3)</f>
        <v/>
      </c>
      <c r="M546" s="728">
        <f>IF(AO546="","",IF(N(INDEX(Theo_Doi_Tan_Suat_Be_Tong!$C:$C,AO546))&lt;=0,"",INDEX(Theo_Doi_Tan_Suat_Be_Tong!$C:$C,AO546)-VLOOKUP(AN546,$AQ$2:$AR$7,2,FALSE)))</f>
        <v/>
      </c>
      <c r="N546" s="4" t="n"/>
      <c r="O546" s="20">
        <f>IF(ROUNDUP(Q546/20,0)&gt;ROUNDUP(Q545/20,0),"TN Ø12 (Lần " &amp; ROUNDUP(Q546/20,0) &amp; ")","")</f>
        <v/>
      </c>
      <c r="P546" s="16">
        <f>ROUND(P545+IF(AND(E546&lt;=10,F546&lt;&gt;"ASTM A416"),L546,0),3)</f>
        <v/>
      </c>
      <c r="Q546" s="16">
        <f>ROUND(Q545+IF(AND(E546=12,F546&lt;&gt;"ASTM A416"),L546,0),3)</f>
        <v/>
      </c>
      <c r="R546" s="16">
        <f>ROUND(R545+IF(AND(E546=14,F546&lt;&gt;"ASTM A416"),L546,0),3)</f>
        <v/>
      </c>
      <c r="S546" s="16">
        <f>ROUND(S545+IF(AND(E546=16,F546&lt;&gt;"ASTM A416"),L546,0),3)</f>
        <v/>
      </c>
      <c r="T546" s="16">
        <f>ROUND(T545+IF(AND(E546=18,F546&lt;&gt;"ASTM A416"),L546,0),3)</f>
        <v/>
      </c>
      <c r="U546" s="16">
        <f>ROUND(U545+IF(AND(E546=20,F546&lt;&gt;"ASTM A416"),L546,0),3)</f>
        <v/>
      </c>
      <c r="V546" s="16">
        <f>ROUND(V545+IF(AND(E546=22,F546&lt;&gt;"ASTM A416"),L546,0),3)</f>
        <v/>
      </c>
      <c r="W546" s="16">
        <f>ROUND(W545+IF(AND(E546=25,F546&lt;&gt;"ASTM A416"),L546,0),3)</f>
        <v/>
      </c>
      <c r="X546" s="16">
        <f>ROUND(X545+IF(AND(E546=28,F546&lt;&gt;"ASTM A416"),L546,0),3)</f>
        <v/>
      </c>
      <c r="Y546" s="16">
        <f>ROUND(Y545+IF(AND(E546=32,F546&lt;&gt;"ASTM A416"),L546,0),3)</f>
        <v/>
      </c>
      <c r="Z546" s="16">
        <f>ROUND(Z545+IF(F546="ASTM A416",L546,0),3)</f>
        <v/>
      </c>
      <c r="AA546" s="9">
        <f>IF(ROUNDUP(P546/20,0)&gt;ROUNDUP(P545/20,0),"Lần " &amp; ROUNDUP(P546/20,0),"")</f>
        <v/>
      </c>
      <c r="AB546" s="9">
        <f>IF(ROUNDUP(Q546/20,0)&gt;ROUNDUP(Q545/20,0),"Lần " &amp; ROUNDUP(Q546/20,0),"")</f>
        <v/>
      </c>
      <c r="AC546" s="9">
        <f>IF(ROUNDUP(R546/20,0)&gt;ROUNDUP(R545/20,0),"Lần " &amp; ROUNDUP(R546/20,0),"")</f>
        <v/>
      </c>
      <c r="AD546" s="9">
        <f>IF(ROUNDUP(S546/20,0)&gt;ROUNDUP(S545/20,0),"Lần " &amp; ROUNDUP(S546/20,0),"")</f>
        <v/>
      </c>
      <c r="AE546" s="9">
        <f>IF(ROUNDUP(T546/20,0)&gt;ROUNDUP(T545/20,0),"Lần " &amp; ROUNDUP(T546/20,0),"")</f>
        <v/>
      </c>
      <c r="AF546" s="9">
        <f>IF(ROUNDUP(U546/20,0)&gt;ROUNDUP(U545/20,0),"Lần " &amp; ROUNDUP(U546/20,0),"")</f>
        <v/>
      </c>
      <c r="AG546" s="9">
        <f>IF(ROUNDUP(V546/20,0)&gt;ROUNDUP(V545/20,0),"Lần " &amp; ROUNDUP(V546/20,0),"")</f>
        <v/>
      </c>
      <c r="AH546" s="9">
        <f>IF(ROUNDUP(W546/20,0)&gt;ROUNDUP(W545/20,0),"Lần " &amp; ROUNDUP(W546/20,0),"")</f>
        <v/>
      </c>
      <c r="AI546" s="9">
        <f>IF(ROUNDUP(X546/20,0)&gt;ROUNDUP(X545/20,0),"Lần " &amp; ROUNDUP(X546/20,0),"")</f>
        <v/>
      </c>
      <c r="AJ546" s="9">
        <f>IF(ROUNDUP(Y546/20,0)&gt;ROUNDUP(Y545/20,0),"Lần " &amp; ROUNDUP(Y546/20,0),"")</f>
        <v/>
      </c>
      <c r="AK546" s="9">
        <f>IF(ROUNDUP(Z546/20,0)&gt;ROUNDUP(Z545/20,0),"Lần " &amp; ROUNDUP(Z546/20,0),"")</f>
        <v/>
      </c>
      <c r="AL546" s="4" t="n"/>
      <c r="AN546" s="596" t="inlineStr">
        <is>
          <t>Than</t>
        </is>
      </c>
      <c r="AO546" s="596" t="n">
        <v>32</v>
      </c>
      <c r="AQ546" s="594" t="n"/>
      <c r="AR546" s="595" t="n"/>
    </row>
    <row r="547" ht="19" customHeight="1" s="672">
      <c r="A547" s="4" t="n">
        <v>515</v>
      </c>
      <c r="B547" s="5" t="inlineStr">
        <is>
          <t>Mố M1</t>
        </is>
      </c>
      <c r="C547" s="5" t="inlineStr">
        <is>
          <t>Mố M1 (tr.31)</t>
        </is>
      </c>
      <c r="D547" s="14" t="inlineStr">
        <is>
          <t>H1</t>
        </is>
      </c>
      <c r="E547" s="15" t="n">
        <v>25</v>
      </c>
      <c r="F547" s="4" t="inlineStr">
        <is>
          <t>CB240-T</t>
        </is>
      </c>
      <c r="G547" s="5" t="inlineStr">
        <is>
          <t>S05</t>
        </is>
      </c>
      <c r="H547" s="16" t="n">
        <v>1.07</v>
      </c>
      <c r="I547" s="17" t="n">
        <v>23</v>
      </c>
      <c r="J547" s="18" t="n">
        <v>3.853</v>
      </c>
      <c r="K547" s="7">
        <f>ROUND(H547*I547*J547, 2)</f>
        <v/>
      </c>
      <c r="L547" s="19">
        <f>ROUND(K547/1000, 3)</f>
        <v/>
      </c>
      <c r="M547" s="728">
        <f>IF(AO547="","",IF(N(INDEX(Theo_Doi_Tan_Suat_Be_Tong!$C:$C,AO547))&lt;=0,"",INDEX(Theo_Doi_Tan_Suat_Be_Tong!$C:$C,AO547)-VLOOKUP(AN547,$AQ$2:$AR$7,2,FALSE)))</f>
        <v/>
      </c>
      <c r="N547" s="4" t="n"/>
      <c r="O547" s="20">
        <f>IF(ROUNDUP(W547/20,0)&gt;ROUNDUP(W546/20,0),"TN Ø25 (Lần " &amp; ROUNDUP(W547/20,0) &amp; ")","")</f>
        <v/>
      </c>
      <c r="P547" s="16">
        <f>ROUND(P546+IF(AND(E547&lt;=10,F547&lt;&gt;"ASTM A416"),L547,0),3)</f>
        <v/>
      </c>
      <c r="Q547" s="16">
        <f>ROUND(Q546+IF(AND(E547=12,F547&lt;&gt;"ASTM A416"),L547,0),3)</f>
        <v/>
      </c>
      <c r="R547" s="16">
        <f>ROUND(R546+IF(AND(E547=14,F547&lt;&gt;"ASTM A416"),L547,0),3)</f>
        <v/>
      </c>
      <c r="S547" s="16">
        <f>ROUND(S546+IF(AND(E547=16,F547&lt;&gt;"ASTM A416"),L547,0),3)</f>
        <v/>
      </c>
      <c r="T547" s="16">
        <f>ROUND(T546+IF(AND(E547=18,F547&lt;&gt;"ASTM A416"),L547,0),3)</f>
        <v/>
      </c>
      <c r="U547" s="16">
        <f>ROUND(U546+IF(AND(E547=20,F547&lt;&gt;"ASTM A416"),L547,0),3)</f>
        <v/>
      </c>
      <c r="V547" s="16">
        <f>ROUND(V546+IF(AND(E547=22,F547&lt;&gt;"ASTM A416"),L547,0),3)</f>
        <v/>
      </c>
      <c r="W547" s="16">
        <f>ROUND(W546+IF(AND(E547=25,F547&lt;&gt;"ASTM A416"),L547,0),3)</f>
        <v/>
      </c>
      <c r="X547" s="16">
        <f>ROUND(X546+IF(AND(E547=28,F547&lt;&gt;"ASTM A416"),L547,0),3)</f>
        <v/>
      </c>
      <c r="Y547" s="16">
        <f>ROUND(Y546+IF(AND(E547=32,F547&lt;&gt;"ASTM A416"),L547,0),3)</f>
        <v/>
      </c>
      <c r="Z547" s="16">
        <f>ROUND(Z546+IF(F547="ASTM A416",L547,0),3)</f>
        <v/>
      </c>
      <c r="AA547" s="9">
        <f>IF(ROUNDUP(P547/20,0)&gt;ROUNDUP(P546/20,0),"Lần " &amp; ROUNDUP(P547/20,0),"")</f>
        <v/>
      </c>
      <c r="AB547" s="9">
        <f>IF(ROUNDUP(Q547/20,0)&gt;ROUNDUP(Q546/20,0),"Lần " &amp; ROUNDUP(Q547/20,0),"")</f>
        <v/>
      </c>
      <c r="AC547" s="9">
        <f>IF(ROUNDUP(R547/20,0)&gt;ROUNDUP(R546/20,0),"Lần " &amp; ROUNDUP(R547/20,0),"")</f>
        <v/>
      </c>
      <c r="AD547" s="9">
        <f>IF(ROUNDUP(S547/20,0)&gt;ROUNDUP(S546/20,0),"Lần " &amp; ROUNDUP(S547/20,0),"")</f>
        <v/>
      </c>
      <c r="AE547" s="9">
        <f>IF(ROUNDUP(T547/20,0)&gt;ROUNDUP(T546/20,0),"Lần " &amp; ROUNDUP(T547/20,0),"")</f>
        <v/>
      </c>
      <c r="AF547" s="9">
        <f>IF(ROUNDUP(U547/20,0)&gt;ROUNDUP(U546/20,0),"Lần " &amp; ROUNDUP(U547/20,0),"")</f>
        <v/>
      </c>
      <c r="AG547" s="9">
        <f>IF(ROUNDUP(V547/20,0)&gt;ROUNDUP(V546/20,0),"Lần " &amp; ROUNDUP(V547/20,0),"")</f>
        <v/>
      </c>
      <c r="AH547" s="9">
        <f>IF(ROUNDUP(W547/20,0)&gt;ROUNDUP(W546/20,0),"Lần " &amp; ROUNDUP(W547/20,0),"")</f>
        <v/>
      </c>
      <c r="AI547" s="9">
        <f>IF(ROUNDUP(X547/20,0)&gt;ROUNDUP(X546/20,0),"Lần " &amp; ROUNDUP(X547/20,0),"")</f>
        <v/>
      </c>
      <c r="AJ547" s="9">
        <f>IF(ROUNDUP(Y547/20,0)&gt;ROUNDUP(Y546/20,0),"Lần " &amp; ROUNDUP(Y547/20,0),"")</f>
        <v/>
      </c>
      <c r="AK547" s="9">
        <f>IF(ROUNDUP(Z547/20,0)&gt;ROUNDUP(Z546/20,0),"Lần " &amp; ROUNDUP(Z547/20,0),"")</f>
        <v/>
      </c>
      <c r="AL547" s="4" t="n"/>
      <c r="AN547" s="596" t="inlineStr">
        <is>
          <t>Than</t>
        </is>
      </c>
      <c r="AO547" s="596" t="n">
        <v>32</v>
      </c>
      <c r="AQ547" s="594" t="n"/>
      <c r="AR547" s="595" t="n"/>
    </row>
    <row r="548" ht="19" customHeight="1" s="672">
      <c r="A548" s="4" t="n">
        <v>516</v>
      </c>
      <c r="B548" s="5" t="inlineStr">
        <is>
          <t>Mố M1</t>
        </is>
      </c>
      <c r="C548" s="5" t="inlineStr">
        <is>
          <t>Mố M1 (tr.31)</t>
        </is>
      </c>
      <c r="D548" s="14" t="inlineStr">
        <is>
          <t>H2</t>
        </is>
      </c>
      <c r="E548" s="15" t="n">
        <v>8</v>
      </c>
      <c r="F548" s="4" t="inlineStr">
        <is>
          <t>CB240-T</t>
        </is>
      </c>
      <c r="G548" s="5" t="inlineStr">
        <is>
          <t>S32</t>
        </is>
      </c>
      <c r="H548" s="16" t="n">
        <v>2.132</v>
      </c>
      <c r="I548" s="17" t="n">
        <v>23</v>
      </c>
      <c r="J548" s="18" t="n">
        <v>0.395</v>
      </c>
      <c r="K548" s="7">
        <f>ROUND(H548*I548*J548, 2)</f>
        <v/>
      </c>
      <c r="L548" s="19">
        <f>ROUND(K548/1000, 3)</f>
        <v/>
      </c>
      <c r="M548" s="728">
        <f>IF(AO548="","",IF(N(INDEX(Theo_Doi_Tan_Suat_Be_Tong!$C:$C,AO548))&lt;=0,"",INDEX(Theo_Doi_Tan_Suat_Be_Tong!$C:$C,AO548)-VLOOKUP(AN548,$AQ$2:$AR$7,2,FALSE)))</f>
        <v/>
      </c>
      <c r="N548" s="4" t="n"/>
      <c r="O548" s="20">
        <f>IF(ROUNDUP(P548/20,0)&gt;ROUNDUP(P547/20,0),"TN Ø10 (Lần " &amp; ROUNDUP(P548/20,0) &amp; ")","")</f>
        <v/>
      </c>
      <c r="P548" s="16">
        <f>ROUND(P547+IF(AND(E548&lt;=10,F548&lt;&gt;"ASTM A416"),L548,0),3)</f>
        <v/>
      </c>
      <c r="Q548" s="16">
        <f>ROUND(Q547+IF(AND(E548=12,F548&lt;&gt;"ASTM A416"),L548,0),3)</f>
        <v/>
      </c>
      <c r="R548" s="16">
        <f>ROUND(R547+IF(AND(E548=14,F548&lt;&gt;"ASTM A416"),L548,0),3)</f>
        <v/>
      </c>
      <c r="S548" s="16">
        <f>ROUND(S547+IF(AND(E548=16,F548&lt;&gt;"ASTM A416"),L548,0),3)</f>
        <v/>
      </c>
      <c r="T548" s="16">
        <f>ROUND(T547+IF(AND(E548=18,F548&lt;&gt;"ASTM A416"),L548,0),3)</f>
        <v/>
      </c>
      <c r="U548" s="16">
        <f>ROUND(U547+IF(AND(E548=20,F548&lt;&gt;"ASTM A416"),L548,0),3)</f>
        <v/>
      </c>
      <c r="V548" s="16">
        <f>ROUND(V547+IF(AND(E548=22,F548&lt;&gt;"ASTM A416"),L548,0),3)</f>
        <v/>
      </c>
      <c r="W548" s="16">
        <f>ROUND(W547+IF(AND(E548=25,F548&lt;&gt;"ASTM A416"),L548,0),3)</f>
        <v/>
      </c>
      <c r="X548" s="16">
        <f>ROUND(X547+IF(AND(E548=28,F548&lt;&gt;"ASTM A416"),L548,0),3)</f>
        <v/>
      </c>
      <c r="Y548" s="16">
        <f>ROUND(Y547+IF(AND(E548=32,F548&lt;&gt;"ASTM A416"),L548,0),3)</f>
        <v/>
      </c>
      <c r="Z548" s="16">
        <f>ROUND(Z547+IF(F548="ASTM A416",L548,0),3)</f>
        <v/>
      </c>
      <c r="AA548" s="9">
        <f>IF(ROUNDUP(P548/20,0)&gt;ROUNDUP(P547/20,0),"Lần " &amp; ROUNDUP(P548/20,0),"")</f>
        <v/>
      </c>
      <c r="AB548" s="9">
        <f>IF(ROUNDUP(Q548/20,0)&gt;ROUNDUP(Q547/20,0),"Lần " &amp; ROUNDUP(Q548/20,0),"")</f>
        <v/>
      </c>
      <c r="AC548" s="9">
        <f>IF(ROUNDUP(R548/20,0)&gt;ROUNDUP(R547/20,0),"Lần " &amp; ROUNDUP(R548/20,0),"")</f>
        <v/>
      </c>
      <c r="AD548" s="9">
        <f>IF(ROUNDUP(S548/20,0)&gt;ROUNDUP(S547/20,0),"Lần " &amp; ROUNDUP(S548/20,0),"")</f>
        <v/>
      </c>
      <c r="AE548" s="9">
        <f>IF(ROUNDUP(T548/20,0)&gt;ROUNDUP(T547/20,0),"Lần " &amp; ROUNDUP(T548/20,0),"")</f>
        <v/>
      </c>
      <c r="AF548" s="9">
        <f>IF(ROUNDUP(U548/20,0)&gt;ROUNDUP(U547/20,0),"Lần " &amp; ROUNDUP(U548/20,0),"")</f>
        <v/>
      </c>
      <c r="AG548" s="9">
        <f>IF(ROUNDUP(V548/20,0)&gt;ROUNDUP(V547/20,0),"Lần " &amp; ROUNDUP(V548/20,0),"")</f>
        <v/>
      </c>
      <c r="AH548" s="9">
        <f>IF(ROUNDUP(W548/20,0)&gt;ROUNDUP(W547/20,0),"Lần " &amp; ROUNDUP(W548/20,0),"")</f>
        <v/>
      </c>
      <c r="AI548" s="9">
        <f>IF(ROUNDUP(X548/20,0)&gt;ROUNDUP(X547/20,0),"Lần " &amp; ROUNDUP(X548/20,0),"")</f>
        <v/>
      </c>
      <c r="AJ548" s="9">
        <f>IF(ROUNDUP(Y548/20,0)&gt;ROUNDUP(Y547/20,0),"Lần " &amp; ROUNDUP(Y548/20,0),"")</f>
        <v/>
      </c>
      <c r="AK548" s="9">
        <f>IF(ROUNDUP(Z548/20,0)&gt;ROUNDUP(Z547/20,0),"Lần " &amp; ROUNDUP(Z548/20,0),"")</f>
        <v/>
      </c>
      <c r="AL548" s="4" t="n"/>
      <c r="AN548" s="596" t="inlineStr">
        <is>
          <t>Than</t>
        </is>
      </c>
      <c r="AO548" s="596" t="n">
        <v>32</v>
      </c>
      <c r="AQ548" s="594" t="n"/>
      <c r="AR548" s="595" t="n"/>
    </row>
    <row r="549" ht="19" customHeight="1" s="672">
      <c r="A549" s="4" t="n">
        <v>517</v>
      </c>
      <c r="B549" s="5" t="inlineStr">
        <is>
          <t>Mố M1</t>
        </is>
      </c>
      <c r="C549" s="5" t="inlineStr">
        <is>
          <t>Mố M1 (tr.31)</t>
        </is>
      </c>
      <c r="D549" s="14" t="inlineStr">
        <is>
          <t>W1A(T)</t>
        </is>
      </c>
      <c r="E549" s="15" t="n">
        <v>16</v>
      </c>
      <c r="F549" s="4" t="inlineStr">
        <is>
          <t>CB400-V</t>
        </is>
      </c>
      <c r="G549" s="5" t="inlineStr"/>
      <c r="H549" s="16" t="n">
        <v>3.436</v>
      </c>
      <c r="I549" s="17" t="n">
        <v>12</v>
      </c>
      <c r="J549" s="18" t="n">
        <v>1.578</v>
      </c>
      <c r="K549" s="7">
        <f>ROUND(H549*I549*J549, 2)</f>
        <v/>
      </c>
      <c r="L549" s="19">
        <f>ROUND(K549/1000, 3)</f>
        <v/>
      </c>
      <c r="M549" s="728">
        <f>IF(AO549="","",IF(N(INDEX(Theo_Doi_Tan_Suat_Be_Tong!$C:$C,AO549))&lt;=0,"",INDEX(Theo_Doi_Tan_Suat_Be_Tong!$C:$C,AO549)-VLOOKUP(AN549,$AQ$2:$AR$7,2,FALSE)))</f>
        <v/>
      </c>
      <c r="N549" s="4" t="n"/>
      <c r="O549" s="20">
        <f>IF(ROUNDUP(S549/20,0)&gt;ROUNDUP(S548/20,0),"TN Ø16 (Lần " &amp; ROUNDUP(S549/20,0) &amp; ")","")</f>
        <v/>
      </c>
      <c r="P549" s="16">
        <f>ROUND(P548+IF(AND(E549&lt;=10,F549&lt;&gt;"ASTM A416"),L549,0),3)</f>
        <v/>
      </c>
      <c r="Q549" s="16">
        <f>ROUND(Q548+IF(AND(E549=12,F549&lt;&gt;"ASTM A416"),L549,0),3)</f>
        <v/>
      </c>
      <c r="R549" s="16">
        <f>ROUND(R548+IF(AND(E549=14,F549&lt;&gt;"ASTM A416"),L549,0),3)</f>
        <v/>
      </c>
      <c r="S549" s="16">
        <f>ROUND(S548+IF(AND(E549=16,F549&lt;&gt;"ASTM A416"),L549,0),3)</f>
        <v/>
      </c>
      <c r="T549" s="16">
        <f>ROUND(T548+IF(AND(E549=18,F549&lt;&gt;"ASTM A416"),L549,0),3)</f>
        <v/>
      </c>
      <c r="U549" s="16">
        <f>ROUND(U548+IF(AND(E549=20,F549&lt;&gt;"ASTM A416"),L549,0),3)</f>
        <v/>
      </c>
      <c r="V549" s="16">
        <f>ROUND(V548+IF(AND(E549=22,F549&lt;&gt;"ASTM A416"),L549,0),3)</f>
        <v/>
      </c>
      <c r="W549" s="16">
        <f>ROUND(W548+IF(AND(E549=25,F549&lt;&gt;"ASTM A416"),L549,0),3)</f>
        <v/>
      </c>
      <c r="X549" s="16">
        <f>ROUND(X548+IF(AND(E549=28,F549&lt;&gt;"ASTM A416"),L549,0),3)</f>
        <v/>
      </c>
      <c r="Y549" s="16">
        <f>ROUND(Y548+IF(AND(E549=32,F549&lt;&gt;"ASTM A416"),L549,0),3)</f>
        <v/>
      </c>
      <c r="Z549" s="16">
        <f>ROUND(Z548+IF(F549="ASTM A416",L549,0),3)</f>
        <v/>
      </c>
      <c r="AA549" s="9">
        <f>IF(ROUNDUP(P549/20,0)&gt;ROUNDUP(P548/20,0),"Lần " &amp; ROUNDUP(P549/20,0),"")</f>
        <v/>
      </c>
      <c r="AB549" s="9">
        <f>IF(ROUNDUP(Q549/20,0)&gt;ROUNDUP(Q548/20,0),"Lần " &amp; ROUNDUP(Q549/20,0),"")</f>
        <v/>
      </c>
      <c r="AC549" s="9">
        <f>IF(ROUNDUP(R549/20,0)&gt;ROUNDUP(R548/20,0),"Lần " &amp; ROUNDUP(R549/20,0),"")</f>
        <v/>
      </c>
      <c r="AD549" s="9">
        <f>IF(ROUNDUP(S549/20,0)&gt;ROUNDUP(S548/20,0),"Lần " &amp; ROUNDUP(S549/20,0),"")</f>
        <v/>
      </c>
      <c r="AE549" s="9">
        <f>IF(ROUNDUP(T549/20,0)&gt;ROUNDUP(T548/20,0),"Lần " &amp; ROUNDUP(T549/20,0),"")</f>
        <v/>
      </c>
      <c r="AF549" s="9">
        <f>IF(ROUNDUP(U549/20,0)&gt;ROUNDUP(U548/20,0),"Lần " &amp; ROUNDUP(U549/20,0),"")</f>
        <v/>
      </c>
      <c r="AG549" s="9">
        <f>IF(ROUNDUP(V549/20,0)&gt;ROUNDUP(V548/20,0),"Lần " &amp; ROUNDUP(V549/20,0),"")</f>
        <v/>
      </c>
      <c r="AH549" s="9">
        <f>IF(ROUNDUP(W549/20,0)&gt;ROUNDUP(W548/20,0),"Lần " &amp; ROUNDUP(W549/20,0),"")</f>
        <v/>
      </c>
      <c r="AI549" s="9">
        <f>IF(ROUNDUP(X549/20,0)&gt;ROUNDUP(X548/20,0),"Lần " &amp; ROUNDUP(X549/20,0),"")</f>
        <v/>
      </c>
      <c r="AJ549" s="9">
        <f>IF(ROUNDUP(Y549/20,0)&gt;ROUNDUP(Y548/20,0),"Lần " &amp; ROUNDUP(Y549/20,0),"")</f>
        <v/>
      </c>
      <c r="AK549" s="9">
        <f>IF(ROUNDUP(Z549/20,0)&gt;ROUNDUP(Z548/20,0),"Lần " &amp; ROUNDUP(Z549/20,0),"")</f>
        <v/>
      </c>
      <c r="AL549" s="4" t="n"/>
      <c r="AN549" s="596" t="inlineStr">
        <is>
          <t>Than</t>
        </is>
      </c>
      <c r="AO549" s="596" t="n">
        <v>32</v>
      </c>
      <c r="AQ549" s="594" t="n"/>
      <c r="AR549" s="595" t="n"/>
    </row>
    <row r="550" ht="19" customHeight="1" s="672">
      <c r="A550" s="4" t="n">
        <v>518</v>
      </c>
      <c r="B550" s="5" t="inlineStr">
        <is>
          <t>Mố M1</t>
        </is>
      </c>
      <c r="C550" s="5" t="inlineStr">
        <is>
          <t>Mố M1 (tr.31)</t>
        </is>
      </c>
      <c r="D550" s="14" t="inlineStr">
        <is>
          <t>W1B(T</t>
        </is>
      </c>
      <c r="E550" s="15" t="n">
        <v>16</v>
      </c>
      <c r="F550" s="4" t="inlineStr">
        <is>
          <t>CB400-V</t>
        </is>
      </c>
      <c r="G550" s="5" t="inlineStr"/>
      <c r="H550" s="16" t="n">
        <v>3.061</v>
      </c>
      <c r="I550" s="17" t="n">
        <v>3</v>
      </c>
      <c r="J550" s="18" t="n">
        <v>1.578</v>
      </c>
      <c r="K550" s="7">
        <f>ROUND(H550*I550*J550, 2)</f>
        <v/>
      </c>
      <c r="L550" s="19">
        <f>ROUND(K550/1000, 3)</f>
        <v/>
      </c>
      <c r="M550" s="728">
        <f>IF(AO550="","",IF(N(INDEX(Theo_Doi_Tan_Suat_Be_Tong!$C:$C,AO550))&lt;=0,"",INDEX(Theo_Doi_Tan_Suat_Be_Tong!$C:$C,AO550)-VLOOKUP(AN550,$AQ$2:$AR$7,2,FALSE)))</f>
        <v/>
      </c>
      <c r="N550" s="4" t="n"/>
      <c r="O550" s="20">
        <f>IF(ROUNDUP(S550/20,0)&gt;ROUNDUP(S549/20,0),"TN Ø16 (Lần " &amp; ROUNDUP(S550/20,0) &amp; ")","")</f>
        <v/>
      </c>
      <c r="P550" s="16">
        <f>ROUND(P549+IF(AND(E550&lt;=10,F550&lt;&gt;"ASTM A416"),L550,0),3)</f>
        <v/>
      </c>
      <c r="Q550" s="16">
        <f>ROUND(Q549+IF(AND(E550=12,F550&lt;&gt;"ASTM A416"),L550,0),3)</f>
        <v/>
      </c>
      <c r="R550" s="16">
        <f>ROUND(R549+IF(AND(E550=14,F550&lt;&gt;"ASTM A416"),L550,0),3)</f>
        <v/>
      </c>
      <c r="S550" s="16">
        <f>ROUND(S549+IF(AND(E550=16,F550&lt;&gt;"ASTM A416"),L550,0),3)</f>
        <v/>
      </c>
      <c r="T550" s="16">
        <f>ROUND(T549+IF(AND(E550=18,F550&lt;&gt;"ASTM A416"),L550,0),3)</f>
        <v/>
      </c>
      <c r="U550" s="16">
        <f>ROUND(U549+IF(AND(E550=20,F550&lt;&gt;"ASTM A416"),L550,0),3)</f>
        <v/>
      </c>
      <c r="V550" s="16">
        <f>ROUND(V549+IF(AND(E550=22,F550&lt;&gt;"ASTM A416"),L550,0),3)</f>
        <v/>
      </c>
      <c r="W550" s="16">
        <f>ROUND(W549+IF(AND(E550=25,F550&lt;&gt;"ASTM A416"),L550,0),3)</f>
        <v/>
      </c>
      <c r="X550" s="16">
        <f>ROUND(X549+IF(AND(E550=28,F550&lt;&gt;"ASTM A416"),L550,0),3)</f>
        <v/>
      </c>
      <c r="Y550" s="16">
        <f>ROUND(Y549+IF(AND(E550=32,F550&lt;&gt;"ASTM A416"),L550,0),3)</f>
        <v/>
      </c>
      <c r="Z550" s="16">
        <f>ROUND(Z549+IF(F550="ASTM A416",L550,0),3)</f>
        <v/>
      </c>
      <c r="AA550" s="9">
        <f>IF(ROUNDUP(P550/20,0)&gt;ROUNDUP(P549/20,0),"Lần " &amp; ROUNDUP(P550/20,0),"")</f>
        <v/>
      </c>
      <c r="AB550" s="9">
        <f>IF(ROUNDUP(Q550/20,0)&gt;ROUNDUP(Q549/20,0),"Lần " &amp; ROUNDUP(Q550/20,0),"")</f>
        <v/>
      </c>
      <c r="AC550" s="9">
        <f>IF(ROUNDUP(R550/20,0)&gt;ROUNDUP(R549/20,0),"Lần " &amp; ROUNDUP(R550/20,0),"")</f>
        <v/>
      </c>
      <c r="AD550" s="9">
        <f>IF(ROUNDUP(S550/20,0)&gt;ROUNDUP(S549/20,0),"Lần " &amp; ROUNDUP(S550/20,0),"")</f>
        <v/>
      </c>
      <c r="AE550" s="9">
        <f>IF(ROUNDUP(T550/20,0)&gt;ROUNDUP(T549/20,0),"Lần " &amp; ROUNDUP(T550/20,0),"")</f>
        <v/>
      </c>
      <c r="AF550" s="9">
        <f>IF(ROUNDUP(U550/20,0)&gt;ROUNDUP(U549/20,0),"Lần " &amp; ROUNDUP(U550/20,0),"")</f>
        <v/>
      </c>
      <c r="AG550" s="9">
        <f>IF(ROUNDUP(V550/20,0)&gt;ROUNDUP(V549/20,0),"Lần " &amp; ROUNDUP(V550/20,0),"")</f>
        <v/>
      </c>
      <c r="AH550" s="9">
        <f>IF(ROUNDUP(W550/20,0)&gt;ROUNDUP(W549/20,0),"Lần " &amp; ROUNDUP(W550/20,0),"")</f>
        <v/>
      </c>
      <c r="AI550" s="9">
        <f>IF(ROUNDUP(X550/20,0)&gt;ROUNDUP(X549/20,0),"Lần " &amp; ROUNDUP(X550/20,0),"")</f>
        <v/>
      </c>
      <c r="AJ550" s="9">
        <f>IF(ROUNDUP(Y550/20,0)&gt;ROUNDUP(Y549/20,0),"Lần " &amp; ROUNDUP(Y550/20,0),"")</f>
        <v/>
      </c>
      <c r="AK550" s="9">
        <f>IF(ROUNDUP(Z550/20,0)&gt;ROUNDUP(Z549/20,0),"Lần " &amp; ROUNDUP(Z550/20,0),"")</f>
        <v/>
      </c>
      <c r="AL550" s="4" t="n"/>
      <c r="AN550" s="596" t="inlineStr">
        <is>
          <t>Than</t>
        </is>
      </c>
      <c r="AO550" s="596" t="n">
        <v>32</v>
      </c>
      <c r="AQ550" s="594" t="n"/>
      <c r="AR550" s="595" t="n"/>
    </row>
    <row r="551" ht="19" customHeight="1" s="672">
      <c r="A551" s="4" t="n">
        <v>519</v>
      </c>
      <c r="B551" s="5" t="inlineStr">
        <is>
          <t>Mố M1</t>
        </is>
      </c>
      <c r="C551" s="5" t="inlineStr">
        <is>
          <t>Mố M1 (tr.31)</t>
        </is>
      </c>
      <c r="D551" s="14" t="inlineStr">
        <is>
          <t>W1C(T</t>
        </is>
      </c>
      <c r="E551" s="15" t="n">
        <v>16</v>
      </c>
      <c r="F551" s="4" t="inlineStr">
        <is>
          <t>CB400-V</t>
        </is>
      </c>
      <c r="G551" s="5" t="inlineStr"/>
      <c r="H551" s="16" t="n">
        <v>3.332</v>
      </c>
      <c r="I551" s="17" t="n">
        <v>10</v>
      </c>
      <c r="J551" s="18" t="n">
        <v>1.578</v>
      </c>
      <c r="K551" s="7">
        <f>ROUND(H551*I551*J551, 2)</f>
        <v/>
      </c>
      <c r="L551" s="19">
        <f>ROUND(K551/1000, 3)</f>
        <v/>
      </c>
      <c r="M551" s="728">
        <f>IF(AO551="","",IF(N(INDEX(Theo_Doi_Tan_Suat_Be_Tong!$C:$C,AO551))&lt;=0,"",INDEX(Theo_Doi_Tan_Suat_Be_Tong!$C:$C,AO551)-VLOOKUP(AN551,$AQ$2:$AR$7,2,FALSE)))</f>
        <v/>
      </c>
      <c r="N551" s="4" t="n"/>
      <c r="O551" s="20">
        <f>IF(ROUNDUP(S551/20,0)&gt;ROUNDUP(S550/20,0),"TN Ø16 (Lần " &amp; ROUNDUP(S551/20,0) &amp; ")","")</f>
        <v/>
      </c>
      <c r="P551" s="16">
        <f>ROUND(P550+IF(AND(E551&lt;=10,F551&lt;&gt;"ASTM A416"),L551,0),3)</f>
        <v/>
      </c>
      <c r="Q551" s="16">
        <f>ROUND(Q550+IF(AND(E551=12,F551&lt;&gt;"ASTM A416"),L551,0),3)</f>
        <v/>
      </c>
      <c r="R551" s="16">
        <f>ROUND(R550+IF(AND(E551=14,F551&lt;&gt;"ASTM A416"),L551,0),3)</f>
        <v/>
      </c>
      <c r="S551" s="16">
        <f>ROUND(S550+IF(AND(E551=16,F551&lt;&gt;"ASTM A416"),L551,0),3)</f>
        <v/>
      </c>
      <c r="T551" s="16">
        <f>ROUND(T550+IF(AND(E551=18,F551&lt;&gt;"ASTM A416"),L551,0),3)</f>
        <v/>
      </c>
      <c r="U551" s="16">
        <f>ROUND(U550+IF(AND(E551=20,F551&lt;&gt;"ASTM A416"),L551,0),3)</f>
        <v/>
      </c>
      <c r="V551" s="16">
        <f>ROUND(V550+IF(AND(E551=22,F551&lt;&gt;"ASTM A416"),L551,0),3)</f>
        <v/>
      </c>
      <c r="W551" s="16">
        <f>ROUND(W550+IF(AND(E551=25,F551&lt;&gt;"ASTM A416"),L551,0),3)</f>
        <v/>
      </c>
      <c r="X551" s="16">
        <f>ROUND(X550+IF(AND(E551=28,F551&lt;&gt;"ASTM A416"),L551,0),3)</f>
        <v/>
      </c>
      <c r="Y551" s="16">
        <f>ROUND(Y550+IF(AND(E551=32,F551&lt;&gt;"ASTM A416"),L551,0),3)</f>
        <v/>
      </c>
      <c r="Z551" s="16">
        <f>ROUND(Z550+IF(F551="ASTM A416",L551,0),3)</f>
        <v/>
      </c>
      <c r="AA551" s="9">
        <f>IF(ROUNDUP(P551/20,0)&gt;ROUNDUP(P550/20,0),"Lần " &amp; ROUNDUP(P551/20,0),"")</f>
        <v/>
      </c>
      <c r="AB551" s="9">
        <f>IF(ROUNDUP(Q551/20,0)&gt;ROUNDUP(Q550/20,0),"Lần " &amp; ROUNDUP(Q551/20,0),"")</f>
        <v/>
      </c>
      <c r="AC551" s="9">
        <f>IF(ROUNDUP(R551/20,0)&gt;ROUNDUP(R550/20,0),"Lần " &amp; ROUNDUP(R551/20,0),"")</f>
        <v/>
      </c>
      <c r="AD551" s="9">
        <f>IF(ROUNDUP(S551/20,0)&gt;ROUNDUP(S550/20,0),"Lần " &amp; ROUNDUP(S551/20,0),"")</f>
        <v/>
      </c>
      <c r="AE551" s="9">
        <f>IF(ROUNDUP(T551/20,0)&gt;ROUNDUP(T550/20,0),"Lần " &amp; ROUNDUP(T551/20,0),"")</f>
        <v/>
      </c>
      <c r="AF551" s="9">
        <f>IF(ROUNDUP(U551/20,0)&gt;ROUNDUP(U550/20,0),"Lần " &amp; ROUNDUP(U551/20,0),"")</f>
        <v/>
      </c>
      <c r="AG551" s="9">
        <f>IF(ROUNDUP(V551/20,0)&gt;ROUNDUP(V550/20,0),"Lần " &amp; ROUNDUP(V551/20,0),"")</f>
        <v/>
      </c>
      <c r="AH551" s="9">
        <f>IF(ROUNDUP(W551/20,0)&gt;ROUNDUP(W550/20,0),"Lần " &amp; ROUNDUP(W551/20,0),"")</f>
        <v/>
      </c>
      <c r="AI551" s="9">
        <f>IF(ROUNDUP(X551/20,0)&gt;ROUNDUP(X550/20,0),"Lần " &amp; ROUNDUP(X551/20,0),"")</f>
        <v/>
      </c>
      <c r="AJ551" s="9">
        <f>IF(ROUNDUP(Y551/20,0)&gt;ROUNDUP(Y550/20,0),"Lần " &amp; ROUNDUP(Y551/20,0),"")</f>
        <v/>
      </c>
      <c r="AK551" s="9">
        <f>IF(ROUNDUP(Z551/20,0)&gt;ROUNDUP(Z550/20,0),"Lần " &amp; ROUNDUP(Z551/20,0),"")</f>
        <v/>
      </c>
      <c r="AL551" s="4" t="n"/>
      <c r="AN551" s="596" t="inlineStr">
        <is>
          <t>Than</t>
        </is>
      </c>
      <c r="AO551" s="596" t="n">
        <v>32</v>
      </c>
      <c r="AQ551" s="594" t="n"/>
      <c r="AR551" s="595" t="n"/>
    </row>
    <row r="552" ht="19" customHeight="1" s="672">
      <c r="A552" s="4" t="n">
        <v>520</v>
      </c>
      <c r="B552" s="5" t="inlineStr">
        <is>
          <t>Mố M1</t>
        </is>
      </c>
      <c r="C552" s="5" t="inlineStr">
        <is>
          <t>Mố M1 (tr.31)</t>
        </is>
      </c>
      <c r="D552" s="14" t="inlineStr">
        <is>
          <t>W1DXD</t>
        </is>
      </c>
      <c r="E552" s="15" t="n">
        <v>16</v>
      </c>
      <c r="F552" s="4" t="inlineStr">
        <is>
          <t>CB400-V</t>
        </is>
      </c>
      <c r="G552" s="5" t="inlineStr"/>
      <c r="H552" s="16" t="n">
        <v>3.333</v>
      </c>
      <c r="I552" s="17" t="n">
        <v>1</v>
      </c>
      <c r="J552" s="18" t="n">
        <v>1.578</v>
      </c>
      <c r="K552" s="7">
        <f>ROUND(H552*I552*J552, 2)</f>
        <v/>
      </c>
      <c r="L552" s="19">
        <f>ROUND(K552/1000, 3)</f>
        <v/>
      </c>
      <c r="M552" s="728">
        <f>IF(AO552="","",IF(N(INDEX(Theo_Doi_Tan_Suat_Be_Tong!$C:$C,AO552))&lt;=0,"",INDEX(Theo_Doi_Tan_Suat_Be_Tong!$C:$C,AO552)-VLOOKUP(AN552,$AQ$2:$AR$7,2,FALSE)))</f>
        <v/>
      </c>
      <c r="N552" s="4" t="n"/>
      <c r="O552" s="20">
        <f>IF(ROUNDUP(S552/20,0)&gt;ROUNDUP(S551/20,0),"TN Ø16 (Lần " &amp; ROUNDUP(S552/20,0) &amp; ")","")</f>
        <v/>
      </c>
      <c r="P552" s="16">
        <f>ROUND(P551+IF(AND(E552&lt;=10,F552&lt;&gt;"ASTM A416"),L552,0),3)</f>
        <v/>
      </c>
      <c r="Q552" s="16">
        <f>ROUND(Q551+IF(AND(E552=12,F552&lt;&gt;"ASTM A416"),L552,0),3)</f>
        <v/>
      </c>
      <c r="R552" s="16">
        <f>ROUND(R551+IF(AND(E552=14,F552&lt;&gt;"ASTM A416"),L552,0),3)</f>
        <v/>
      </c>
      <c r="S552" s="16">
        <f>ROUND(S551+IF(AND(E552=16,F552&lt;&gt;"ASTM A416"),L552,0),3)</f>
        <v/>
      </c>
      <c r="T552" s="16">
        <f>ROUND(T551+IF(AND(E552=18,F552&lt;&gt;"ASTM A416"),L552,0),3)</f>
        <v/>
      </c>
      <c r="U552" s="16">
        <f>ROUND(U551+IF(AND(E552=20,F552&lt;&gt;"ASTM A416"),L552,0),3)</f>
        <v/>
      </c>
      <c r="V552" s="16">
        <f>ROUND(V551+IF(AND(E552=22,F552&lt;&gt;"ASTM A416"),L552,0),3)</f>
        <v/>
      </c>
      <c r="W552" s="16">
        <f>ROUND(W551+IF(AND(E552=25,F552&lt;&gt;"ASTM A416"),L552,0),3)</f>
        <v/>
      </c>
      <c r="X552" s="16">
        <f>ROUND(X551+IF(AND(E552=28,F552&lt;&gt;"ASTM A416"),L552,0),3)</f>
        <v/>
      </c>
      <c r="Y552" s="16">
        <f>ROUND(Y551+IF(AND(E552=32,F552&lt;&gt;"ASTM A416"),L552,0),3)</f>
        <v/>
      </c>
      <c r="Z552" s="16">
        <f>ROUND(Z551+IF(F552="ASTM A416",L552,0),3)</f>
        <v/>
      </c>
      <c r="AA552" s="9">
        <f>IF(ROUNDUP(P552/20,0)&gt;ROUNDUP(P551/20,0),"Lần " &amp; ROUNDUP(P552/20,0),"")</f>
        <v/>
      </c>
      <c r="AB552" s="9">
        <f>IF(ROUNDUP(Q552/20,0)&gt;ROUNDUP(Q551/20,0),"Lần " &amp; ROUNDUP(Q552/20,0),"")</f>
        <v/>
      </c>
      <c r="AC552" s="9">
        <f>IF(ROUNDUP(R552/20,0)&gt;ROUNDUP(R551/20,0),"Lần " &amp; ROUNDUP(R552/20,0),"")</f>
        <v/>
      </c>
      <c r="AD552" s="9">
        <f>IF(ROUNDUP(S552/20,0)&gt;ROUNDUP(S551/20,0),"Lần " &amp; ROUNDUP(S552/20,0),"")</f>
        <v/>
      </c>
      <c r="AE552" s="9">
        <f>IF(ROUNDUP(T552/20,0)&gt;ROUNDUP(T551/20,0),"Lần " &amp; ROUNDUP(T552/20,0),"")</f>
        <v/>
      </c>
      <c r="AF552" s="9">
        <f>IF(ROUNDUP(U552/20,0)&gt;ROUNDUP(U551/20,0),"Lần " &amp; ROUNDUP(U552/20,0),"")</f>
        <v/>
      </c>
      <c r="AG552" s="9">
        <f>IF(ROUNDUP(V552/20,0)&gt;ROUNDUP(V551/20,0),"Lần " &amp; ROUNDUP(V552/20,0),"")</f>
        <v/>
      </c>
      <c r="AH552" s="9">
        <f>IF(ROUNDUP(W552/20,0)&gt;ROUNDUP(W551/20,0),"Lần " &amp; ROUNDUP(W552/20,0),"")</f>
        <v/>
      </c>
      <c r="AI552" s="9">
        <f>IF(ROUNDUP(X552/20,0)&gt;ROUNDUP(X551/20,0),"Lần " &amp; ROUNDUP(X552/20,0),"")</f>
        <v/>
      </c>
      <c r="AJ552" s="9">
        <f>IF(ROUNDUP(Y552/20,0)&gt;ROUNDUP(Y551/20,0),"Lần " &amp; ROUNDUP(Y552/20,0),"")</f>
        <v/>
      </c>
      <c r="AK552" s="9">
        <f>IF(ROUNDUP(Z552/20,0)&gt;ROUNDUP(Z551/20,0),"Lần " &amp; ROUNDUP(Z552/20,0),"")</f>
        <v/>
      </c>
      <c r="AL552" s="4" t="n"/>
      <c r="AN552" s="596" t="inlineStr">
        <is>
          <t>Than</t>
        </is>
      </c>
      <c r="AO552" s="596" t="n">
        <v>32</v>
      </c>
      <c r="AQ552" s="594" t="n"/>
      <c r="AR552" s="595" t="n"/>
    </row>
    <row r="553" ht="19" customHeight="1" s="672">
      <c r="A553" s="4" t="n">
        <v>521</v>
      </c>
      <c r="B553" s="5" t="inlineStr">
        <is>
          <t>Mố M1</t>
        </is>
      </c>
      <c r="C553" s="5" t="inlineStr">
        <is>
          <t>Mố M1 (tr.31)</t>
        </is>
      </c>
      <c r="D553" s="14" t="inlineStr">
        <is>
          <t>W2A(T)</t>
        </is>
      </c>
      <c r="E553" s="15" t="n">
        <v>16</v>
      </c>
      <c r="F553" s="4" t="inlineStr">
        <is>
          <t>CB400-V</t>
        </is>
      </c>
      <c r="G553" s="5" t="inlineStr"/>
      <c r="H553" s="16" t="n">
        <v>4.023</v>
      </c>
      <c r="I553" s="17" t="n">
        <v>5</v>
      </c>
      <c r="J553" s="18" t="n">
        <v>1.578</v>
      </c>
      <c r="K553" s="7">
        <f>ROUND(H553*I553*J553, 2)</f>
        <v/>
      </c>
      <c r="L553" s="19">
        <f>ROUND(K553/1000, 3)</f>
        <v/>
      </c>
      <c r="M553" s="728">
        <f>IF(AO553="","",IF(N(INDEX(Theo_Doi_Tan_Suat_Be_Tong!$C:$C,AO553))&lt;=0,"",INDEX(Theo_Doi_Tan_Suat_Be_Tong!$C:$C,AO553)-VLOOKUP(AN553,$AQ$2:$AR$7,2,FALSE)))</f>
        <v/>
      </c>
      <c r="N553" s="4" t="n"/>
      <c r="O553" s="20">
        <f>IF(ROUNDUP(S553/20,0)&gt;ROUNDUP(S552/20,0),"TN Ø16 (Lần " &amp; ROUNDUP(S553/20,0) &amp; ")","")</f>
        <v/>
      </c>
      <c r="P553" s="16">
        <f>ROUND(P552+IF(AND(E553&lt;=10,F553&lt;&gt;"ASTM A416"),L553,0),3)</f>
        <v/>
      </c>
      <c r="Q553" s="16">
        <f>ROUND(Q552+IF(AND(E553=12,F553&lt;&gt;"ASTM A416"),L553,0),3)</f>
        <v/>
      </c>
      <c r="R553" s="16">
        <f>ROUND(R552+IF(AND(E553=14,F553&lt;&gt;"ASTM A416"),L553,0),3)</f>
        <v/>
      </c>
      <c r="S553" s="16">
        <f>ROUND(S552+IF(AND(E553=16,F553&lt;&gt;"ASTM A416"),L553,0),3)</f>
        <v/>
      </c>
      <c r="T553" s="16">
        <f>ROUND(T552+IF(AND(E553=18,F553&lt;&gt;"ASTM A416"),L553,0),3)</f>
        <v/>
      </c>
      <c r="U553" s="16">
        <f>ROUND(U552+IF(AND(E553=20,F553&lt;&gt;"ASTM A416"),L553,0),3)</f>
        <v/>
      </c>
      <c r="V553" s="16">
        <f>ROUND(V552+IF(AND(E553=22,F553&lt;&gt;"ASTM A416"),L553,0),3)</f>
        <v/>
      </c>
      <c r="W553" s="16">
        <f>ROUND(W552+IF(AND(E553=25,F553&lt;&gt;"ASTM A416"),L553,0),3)</f>
        <v/>
      </c>
      <c r="X553" s="16">
        <f>ROUND(X552+IF(AND(E553=28,F553&lt;&gt;"ASTM A416"),L553,0),3)</f>
        <v/>
      </c>
      <c r="Y553" s="16">
        <f>ROUND(Y552+IF(AND(E553=32,F553&lt;&gt;"ASTM A416"),L553,0),3)</f>
        <v/>
      </c>
      <c r="Z553" s="16">
        <f>ROUND(Z552+IF(F553="ASTM A416",L553,0),3)</f>
        <v/>
      </c>
      <c r="AA553" s="9">
        <f>IF(ROUNDUP(P553/20,0)&gt;ROUNDUP(P552/20,0),"Lần " &amp; ROUNDUP(P553/20,0),"")</f>
        <v/>
      </c>
      <c r="AB553" s="9">
        <f>IF(ROUNDUP(Q553/20,0)&gt;ROUNDUP(Q552/20,0),"Lần " &amp; ROUNDUP(Q553/20,0),"")</f>
        <v/>
      </c>
      <c r="AC553" s="9">
        <f>IF(ROUNDUP(R553/20,0)&gt;ROUNDUP(R552/20,0),"Lần " &amp; ROUNDUP(R553/20,0),"")</f>
        <v/>
      </c>
      <c r="AD553" s="9">
        <f>IF(ROUNDUP(S553/20,0)&gt;ROUNDUP(S552/20,0),"Lần " &amp; ROUNDUP(S553/20,0),"")</f>
        <v/>
      </c>
      <c r="AE553" s="9">
        <f>IF(ROUNDUP(T553/20,0)&gt;ROUNDUP(T552/20,0),"Lần " &amp; ROUNDUP(T553/20,0),"")</f>
        <v/>
      </c>
      <c r="AF553" s="9">
        <f>IF(ROUNDUP(U553/20,0)&gt;ROUNDUP(U552/20,0),"Lần " &amp; ROUNDUP(U553/20,0),"")</f>
        <v/>
      </c>
      <c r="AG553" s="9">
        <f>IF(ROUNDUP(V553/20,0)&gt;ROUNDUP(V552/20,0),"Lần " &amp; ROUNDUP(V553/20,0),"")</f>
        <v/>
      </c>
      <c r="AH553" s="9">
        <f>IF(ROUNDUP(W553/20,0)&gt;ROUNDUP(W552/20,0),"Lần " &amp; ROUNDUP(W553/20,0),"")</f>
        <v/>
      </c>
      <c r="AI553" s="9">
        <f>IF(ROUNDUP(X553/20,0)&gt;ROUNDUP(X552/20,0),"Lần " &amp; ROUNDUP(X553/20,0),"")</f>
        <v/>
      </c>
      <c r="AJ553" s="9">
        <f>IF(ROUNDUP(Y553/20,0)&gt;ROUNDUP(Y552/20,0),"Lần " &amp; ROUNDUP(Y553/20,0),"")</f>
        <v/>
      </c>
      <c r="AK553" s="9">
        <f>IF(ROUNDUP(Z553/20,0)&gt;ROUNDUP(Z552/20,0),"Lần " &amp; ROUNDUP(Z553/20,0),"")</f>
        <v/>
      </c>
      <c r="AL553" s="4" t="n"/>
      <c r="AN553" s="596" t="inlineStr">
        <is>
          <t>Than</t>
        </is>
      </c>
      <c r="AO553" s="596" t="n">
        <v>32</v>
      </c>
      <c r="AQ553" s="594" t="n"/>
      <c r="AR553" s="595" t="n"/>
    </row>
    <row r="554" ht="19" customHeight="1" s="672">
      <c r="A554" s="4" t="n">
        <v>522</v>
      </c>
      <c r="B554" s="5" t="inlineStr">
        <is>
          <t>Mố M1</t>
        </is>
      </c>
      <c r="C554" s="5" t="inlineStr">
        <is>
          <t>Mố M1 (tr.31)</t>
        </is>
      </c>
      <c r="D554" s="14" t="inlineStr">
        <is>
          <t>W2B(T)</t>
        </is>
      </c>
      <c r="E554" s="15" t="n">
        <v>16</v>
      </c>
      <c r="F554" s="4" t="inlineStr">
        <is>
          <t>CB400-V</t>
        </is>
      </c>
      <c r="G554" s="5" t="inlineStr"/>
      <c r="H554" s="16" t="n">
        <v>2.795</v>
      </c>
      <c r="I554" s="17" t="n">
        <v>16</v>
      </c>
      <c r="J554" s="18" t="n">
        <v>1.578</v>
      </c>
      <c r="K554" s="7">
        <f>ROUND(H554*I554*J554, 2)</f>
        <v/>
      </c>
      <c r="L554" s="19">
        <f>ROUND(K554/1000, 3)</f>
        <v/>
      </c>
      <c r="M554" s="728">
        <f>IF(AO554="","",IF(N(INDEX(Theo_Doi_Tan_Suat_Be_Tong!$C:$C,AO554))&lt;=0,"",INDEX(Theo_Doi_Tan_Suat_Be_Tong!$C:$C,AO554)-VLOOKUP(AN554,$AQ$2:$AR$7,2,FALSE)))</f>
        <v/>
      </c>
      <c r="N554" s="4" t="n"/>
      <c r="O554" s="20">
        <f>IF(ROUNDUP(S554/20,0)&gt;ROUNDUP(S553/20,0),"TN Ø16 (Lần " &amp; ROUNDUP(S554/20,0) &amp; ")","")</f>
        <v/>
      </c>
      <c r="P554" s="16">
        <f>ROUND(P553+IF(AND(E554&lt;=10,F554&lt;&gt;"ASTM A416"),L554,0),3)</f>
        <v/>
      </c>
      <c r="Q554" s="16">
        <f>ROUND(Q553+IF(AND(E554=12,F554&lt;&gt;"ASTM A416"),L554,0),3)</f>
        <v/>
      </c>
      <c r="R554" s="16">
        <f>ROUND(R553+IF(AND(E554=14,F554&lt;&gt;"ASTM A416"),L554,0),3)</f>
        <v/>
      </c>
      <c r="S554" s="16">
        <f>ROUND(S553+IF(AND(E554=16,F554&lt;&gt;"ASTM A416"),L554,0),3)</f>
        <v/>
      </c>
      <c r="T554" s="16">
        <f>ROUND(T553+IF(AND(E554=18,F554&lt;&gt;"ASTM A416"),L554,0),3)</f>
        <v/>
      </c>
      <c r="U554" s="16">
        <f>ROUND(U553+IF(AND(E554=20,F554&lt;&gt;"ASTM A416"),L554,0),3)</f>
        <v/>
      </c>
      <c r="V554" s="16">
        <f>ROUND(V553+IF(AND(E554=22,F554&lt;&gt;"ASTM A416"),L554,0),3)</f>
        <v/>
      </c>
      <c r="W554" s="16">
        <f>ROUND(W553+IF(AND(E554=25,F554&lt;&gt;"ASTM A416"),L554,0),3)</f>
        <v/>
      </c>
      <c r="X554" s="16">
        <f>ROUND(X553+IF(AND(E554=28,F554&lt;&gt;"ASTM A416"),L554,0),3)</f>
        <v/>
      </c>
      <c r="Y554" s="16">
        <f>ROUND(Y553+IF(AND(E554=32,F554&lt;&gt;"ASTM A416"),L554,0),3)</f>
        <v/>
      </c>
      <c r="Z554" s="16">
        <f>ROUND(Z553+IF(F554="ASTM A416",L554,0),3)</f>
        <v/>
      </c>
      <c r="AA554" s="9">
        <f>IF(ROUNDUP(P554/20,0)&gt;ROUNDUP(P553/20,0),"Lần " &amp; ROUNDUP(P554/20,0),"")</f>
        <v/>
      </c>
      <c r="AB554" s="9">
        <f>IF(ROUNDUP(Q554/20,0)&gt;ROUNDUP(Q553/20,0),"Lần " &amp; ROUNDUP(Q554/20,0),"")</f>
        <v/>
      </c>
      <c r="AC554" s="9">
        <f>IF(ROUNDUP(R554/20,0)&gt;ROUNDUP(R553/20,0),"Lần " &amp; ROUNDUP(R554/20,0),"")</f>
        <v/>
      </c>
      <c r="AD554" s="9">
        <f>IF(ROUNDUP(S554/20,0)&gt;ROUNDUP(S553/20,0),"Lần " &amp; ROUNDUP(S554/20,0),"")</f>
        <v/>
      </c>
      <c r="AE554" s="9">
        <f>IF(ROUNDUP(T554/20,0)&gt;ROUNDUP(T553/20,0),"Lần " &amp; ROUNDUP(T554/20,0),"")</f>
        <v/>
      </c>
      <c r="AF554" s="9">
        <f>IF(ROUNDUP(U554/20,0)&gt;ROUNDUP(U553/20,0),"Lần " &amp; ROUNDUP(U554/20,0),"")</f>
        <v/>
      </c>
      <c r="AG554" s="9">
        <f>IF(ROUNDUP(V554/20,0)&gt;ROUNDUP(V553/20,0),"Lần " &amp; ROUNDUP(V554/20,0),"")</f>
        <v/>
      </c>
      <c r="AH554" s="9">
        <f>IF(ROUNDUP(W554/20,0)&gt;ROUNDUP(W553/20,0),"Lần " &amp; ROUNDUP(W554/20,0),"")</f>
        <v/>
      </c>
      <c r="AI554" s="9">
        <f>IF(ROUNDUP(X554/20,0)&gt;ROUNDUP(X553/20,0),"Lần " &amp; ROUNDUP(X554/20,0),"")</f>
        <v/>
      </c>
      <c r="AJ554" s="9">
        <f>IF(ROUNDUP(Y554/20,0)&gt;ROUNDUP(Y553/20,0),"Lần " &amp; ROUNDUP(Y554/20,0),"")</f>
        <v/>
      </c>
      <c r="AK554" s="9">
        <f>IF(ROUNDUP(Z554/20,0)&gt;ROUNDUP(Z553/20,0),"Lần " &amp; ROUNDUP(Z554/20,0),"")</f>
        <v/>
      </c>
      <c r="AL554" s="4" t="n"/>
      <c r="AN554" s="596" t="inlineStr">
        <is>
          <t>Than</t>
        </is>
      </c>
      <c r="AO554" s="596" t="n">
        <v>32</v>
      </c>
      <c r="AQ554" s="594" t="n"/>
      <c r="AR554" s="595" t="n"/>
    </row>
    <row r="555" ht="19" customHeight="1" s="672">
      <c r="A555" s="4" t="n">
        <v>523</v>
      </c>
      <c r="B555" s="5" t="inlineStr">
        <is>
          <t>Mố M1</t>
        </is>
      </c>
      <c r="C555" s="5" t="inlineStr">
        <is>
          <t>Mố M1 (tr.31)</t>
        </is>
      </c>
      <c r="D555" s="14" t="inlineStr">
        <is>
          <t>W3A(T)</t>
        </is>
      </c>
      <c r="E555" s="15" t="n">
        <v>16</v>
      </c>
      <c r="F555" s="4" t="inlineStr">
        <is>
          <t>CB400-V</t>
        </is>
      </c>
      <c r="G555" s="5" t="inlineStr"/>
      <c r="H555" s="16" t="n">
        <v>3.436</v>
      </c>
      <c r="I555" s="17" t="n">
        <v>12</v>
      </c>
      <c r="J555" s="18" t="n">
        <v>1.578</v>
      </c>
      <c r="K555" s="7">
        <f>ROUND(H555*I555*J555, 2)</f>
        <v/>
      </c>
      <c r="L555" s="19">
        <f>ROUND(K555/1000, 3)</f>
        <v/>
      </c>
      <c r="M555" s="728">
        <f>IF(AO555="","",IF(N(INDEX(Theo_Doi_Tan_Suat_Be_Tong!$C:$C,AO555))&lt;=0,"",INDEX(Theo_Doi_Tan_Suat_Be_Tong!$C:$C,AO555)-VLOOKUP(AN555,$AQ$2:$AR$7,2,FALSE)))</f>
        <v/>
      </c>
      <c r="N555" s="4" t="n"/>
      <c r="O555" s="20">
        <f>IF(ROUNDUP(S555/20,0)&gt;ROUNDUP(S554/20,0),"TN Ø16 (Lần " &amp; ROUNDUP(S555/20,0) &amp; ")","")</f>
        <v/>
      </c>
      <c r="P555" s="16">
        <f>ROUND(P554+IF(AND(E555&lt;=10,F555&lt;&gt;"ASTM A416"),L555,0),3)</f>
        <v/>
      </c>
      <c r="Q555" s="16">
        <f>ROUND(Q554+IF(AND(E555=12,F555&lt;&gt;"ASTM A416"),L555,0),3)</f>
        <v/>
      </c>
      <c r="R555" s="16">
        <f>ROUND(R554+IF(AND(E555=14,F555&lt;&gt;"ASTM A416"),L555,0),3)</f>
        <v/>
      </c>
      <c r="S555" s="16">
        <f>ROUND(S554+IF(AND(E555=16,F555&lt;&gt;"ASTM A416"),L555,0),3)</f>
        <v/>
      </c>
      <c r="T555" s="16">
        <f>ROUND(T554+IF(AND(E555=18,F555&lt;&gt;"ASTM A416"),L555,0),3)</f>
        <v/>
      </c>
      <c r="U555" s="16">
        <f>ROUND(U554+IF(AND(E555=20,F555&lt;&gt;"ASTM A416"),L555,0),3)</f>
        <v/>
      </c>
      <c r="V555" s="16">
        <f>ROUND(V554+IF(AND(E555=22,F555&lt;&gt;"ASTM A416"),L555,0),3)</f>
        <v/>
      </c>
      <c r="W555" s="16">
        <f>ROUND(W554+IF(AND(E555=25,F555&lt;&gt;"ASTM A416"),L555,0),3)</f>
        <v/>
      </c>
      <c r="X555" s="16">
        <f>ROUND(X554+IF(AND(E555=28,F555&lt;&gt;"ASTM A416"),L555,0),3)</f>
        <v/>
      </c>
      <c r="Y555" s="16">
        <f>ROUND(Y554+IF(AND(E555=32,F555&lt;&gt;"ASTM A416"),L555,0),3)</f>
        <v/>
      </c>
      <c r="Z555" s="16">
        <f>ROUND(Z554+IF(F555="ASTM A416",L555,0),3)</f>
        <v/>
      </c>
      <c r="AA555" s="9">
        <f>IF(ROUNDUP(P555/20,0)&gt;ROUNDUP(P554/20,0),"Lần " &amp; ROUNDUP(P555/20,0),"")</f>
        <v/>
      </c>
      <c r="AB555" s="9">
        <f>IF(ROUNDUP(Q555/20,0)&gt;ROUNDUP(Q554/20,0),"Lần " &amp; ROUNDUP(Q555/20,0),"")</f>
        <v/>
      </c>
      <c r="AC555" s="9">
        <f>IF(ROUNDUP(R555/20,0)&gt;ROUNDUP(R554/20,0),"Lần " &amp; ROUNDUP(R555/20,0),"")</f>
        <v/>
      </c>
      <c r="AD555" s="9">
        <f>IF(ROUNDUP(S555/20,0)&gt;ROUNDUP(S554/20,0),"Lần " &amp; ROUNDUP(S555/20,0),"")</f>
        <v/>
      </c>
      <c r="AE555" s="9">
        <f>IF(ROUNDUP(T555/20,0)&gt;ROUNDUP(T554/20,0),"Lần " &amp; ROUNDUP(T555/20,0),"")</f>
        <v/>
      </c>
      <c r="AF555" s="9">
        <f>IF(ROUNDUP(U555/20,0)&gt;ROUNDUP(U554/20,0),"Lần " &amp; ROUNDUP(U555/20,0),"")</f>
        <v/>
      </c>
      <c r="AG555" s="9">
        <f>IF(ROUNDUP(V555/20,0)&gt;ROUNDUP(V554/20,0),"Lần " &amp; ROUNDUP(V555/20,0),"")</f>
        <v/>
      </c>
      <c r="AH555" s="9">
        <f>IF(ROUNDUP(W555/20,0)&gt;ROUNDUP(W554/20,0),"Lần " &amp; ROUNDUP(W555/20,0),"")</f>
        <v/>
      </c>
      <c r="AI555" s="9">
        <f>IF(ROUNDUP(X555/20,0)&gt;ROUNDUP(X554/20,0),"Lần " &amp; ROUNDUP(X555/20,0),"")</f>
        <v/>
      </c>
      <c r="AJ555" s="9">
        <f>IF(ROUNDUP(Y555/20,0)&gt;ROUNDUP(Y554/20,0),"Lần " &amp; ROUNDUP(Y555/20,0),"")</f>
        <v/>
      </c>
      <c r="AK555" s="9">
        <f>IF(ROUNDUP(Z555/20,0)&gt;ROUNDUP(Z554/20,0),"Lần " &amp; ROUNDUP(Z555/20,0),"")</f>
        <v/>
      </c>
      <c r="AL555" s="4" t="n"/>
      <c r="AN555" s="596" t="inlineStr">
        <is>
          <t>Than</t>
        </is>
      </c>
      <c r="AO555" s="596" t="n">
        <v>32</v>
      </c>
      <c r="AQ555" s="594" t="n"/>
      <c r="AR555" s="595" t="n"/>
    </row>
    <row r="556" ht="19" customHeight="1" s="672">
      <c r="A556" s="4" t="n">
        <v>524</v>
      </c>
      <c r="B556" s="5" t="inlineStr">
        <is>
          <t>Mố M1</t>
        </is>
      </c>
      <c r="C556" s="5" t="inlineStr">
        <is>
          <t>Mố M1 (tr.31)</t>
        </is>
      </c>
      <c r="D556" s="14" t="inlineStr">
        <is>
          <t>W3B(T)</t>
        </is>
      </c>
      <c r="E556" s="15" t="n">
        <v>16</v>
      </c>
      <c r="F556" s="4" t="inlineStr">
        <is>
          <t>CB400-V</t>
        </is>
      </c>
      <c r="G556" s="5" t="inlineStr"/>
      <c r="H556" s="16" t="n">
        <v>3.061</v>
      </c>
      <c r="I556" s="17" t="n">
        <v>3</v>
      </c>
      <c r="J556" s="18" t="n">
        <v>1.578</v>
      </c>
      <c r="K556" s="7">
        <f>ROUND(H556*I556*J556, 2)</f>
        <v/>
      </c>
      <c r="L556" s="19">
        <f>ROUND(K556/1000, 3)</f>
        <v/>
      </c>
      <c r="M556" s="728">
        <f>IF(AO556="","",IF(N(INDEX(Theo_Doi_Tan_Suat_Be_Tong!$C:$C,AO556))&lt;=0,"",INDEX(Theo_Doi_Tan_Suat_Be_Tong!$C:$C,AO556)-VLOOKUP(AN556,$AQ$2:$AR$7,2,FALSE)))</f>
        <v/>
      </c>
      <c r="N556" s="4" t="n"/>
      <c r="O556" s="20">
        <f>IF(ROUNDUP(S556/20,0)&gt;ROUNDUP(S555/20,0),"TN Ø16 (Lần " &amp; ROUNDUP(S556/20,0) &amp; ")","")</f>
        <v/>
      </c>
      <c r="P556" s="16">
        <f>ROUND(P555+IF(AND(E556&lt;=10,F556&lt;&gt;"ASTM A416"),L556,0),3)</f>
        <v/>
      </c>
      <c r="Q556" s="16">
        <f>ROUND(Q555+IF(AND(E556=12,F556&lt;&gt;"ASTM A416"),L556,0),3)</f>
        <v/>
      </c>
      <c r="R556" s="16">
        <f>ROUND(R555+IF(AND(E556=14,F556&lt;&gt;"ASTM A416"),L556,0),3)</f>
        <v/>
      </c>
      <c r="S556" s="16">
        <f>ROUND(S555+IF(AND(E556=16,F556&lt;&gt;"ASTM A416"),L556,0),3)</f>
        <v/>
      </c>
      <c r="T556" s="16">
        <f>ROUND(T555+IF(AND(E556=18,F556&lt;&gt;"ASTM A416"),L556,0),3)</f>
        <v/>
      </c>
      <c r="U556" s="16">
        <f>ROUND(U555+IF(AND(E556=20,F556&lt;&gt;"ASTM A416"),L556,0),3)</f>
        <v/>
      </c>
      <c r="V556" s="16">
        <f>ROUND(V555+IF(AND(E556=22,F556&lt;&gt;"ASTM A416"),L556,0),3)</f>
        <v/>
      </c>
      <c r="W556" s="16">
        <f>ROUND(W555+IF(AND(E556=25,F556&lt;&gt;"ASTM A416"),L556,0),3)</f>
        <v/>
      </c>
      <c r="X556" s="16">
        <f>ROUND(X555+IF(AND(E556=28,F556&lt;&gt;"ASTM A416"),L556,0),3)</f>
        <v/>
      </c>
      <c r="Y556" s="16">
        <f>ROUND(Y555+IF(AND(E556=32,F556&lt;&gt;"ASTM A416"),L556,0),3)</f>
        <v/>
      </c>
      <c r="Z556" s="16">
        <f>ROUND(Z555+IF(F556="ASTM A416",L556,0),3)</f>
        <v/>
      </c>
      <c r="AA556" s="9">
        <f>IF(ROUNDUP(P556/20,0)&gt;ROUNDUP(P555/20,0),"Lần " &amp; ROUNDUP(P556/20,0),"")</f>
        <v/>
      </c>
      <c r="AB556" s="9">
        <f>IF(ROUNDUP(Q556/20,0)&gt;ROUNDUP(Q555/20,0),"Lần " &amp; ROUNDUP(Q556/20,0),"")</f>
        <v/>
      </c>
      <c r="AC556" s="9">
        <f>IF(ROUNDUP(R556/20,0)&gt;ROUNDUP(R555/20,0),"Lần " &amp; ROUNDUP(R556/20,0),"")</f>
        <v/>
      </c>
      <c r="AD556" s="9">
        <f>IF(ROUNDUP(S556/20,0)&gt;ROUNDUP(S555/20,0),"Lần " &amp; ROUNDUP(S556/20,0),"")</f>
        <v/>
      </c>
      <c r="AE556" s="9">
        <f>IF(ROUNDUP(T556/20,0)&gt;ROUNDUP(T555/20,0),"Lần " &amp; ROUNDUP(T556/20,0),"")</f>
        <v/>
      </c>
      <c r="AF556" s="9">
        <f>IF(ROUNDUP(U556/20,0)&gt;ROUNDUP(U555/20,0),"Lần " &amp; ROUNDUP(U556/20,0),"")</f>
        <v/>
      </c>
      <c r="AG556" s="9">
        <f>IF(ROUNDUP(V556/20,0)&gt;ROUNDUP(V555/20,0),"Lần " &amp; ROUNDUP(V556/20,0),"")</f>
        <v/>
      </c>
      <c r="AH556" s="9">
        <f>IF(ROUNDUP(W556/20,0)&gt;ROUNDUP(W555/20,0),"Lần " &amp; ROUNDUP(W556/20,0),"")</f>
        <v/>
      </c>
      <c r="AI556" s="9">
        <f>IF(ROUNDUP(X556/20,0)&gt;ROUNDUP(X555/20,0),"Lần " &amp; ROUNDUP(X556/20,0),"")</f>
        <v/>
      </c>
      <c r="AJ556" s="9">
        <f>IF(ROUNDUP(Y556/20,0)&gt;ROUNDUP(Y555/20,0),"Lần " &amp; ROUNDUP(Y556/20,0),"")</f>
        <v/>
      </c>
      <c r="AK556" s="9">
        <f>IF(ROUNDUP(Z556/20,0)&gt;ROUNDUP(Z555/20,0),"Lần " &amp; ROUNDUP(Z556/20,0),"")</f>
        <v/>
      </c>
      <c r="AL556" s="4" t="n"/>
      <c r="AN556" s="596" t="inlineStr">
        <is>
          <t>Than</t>
        </is>
      </c>
      <c r="AO556" s="596" t="n">
        <v>32</v>
      </c>
      <c r="AQ556" s="594" t="n"/>
      <c r="AR556" s="595" t="n"/>
    </row>
    <row r="557" ht="19" customHeight="1" s="672">
      <c r="A557" s="4" t="n">
        <v>525</v>
      </c>
      <c r="B557" s="5" t="inlineStr">
        <is>
          <t>Mố M1</t>
        </is>
      </c>
      <c r="C557" s="5" t="inlineStr">
        <is>
          <t>Mố M1 (tr.31)</t>
        </is>
      </c>
      <c r="D557" s="14" t="inlineStr">
        <is>
          <t>W3C(T</t>
        </is>
      </c>
      <c r="E557" s="15" t="n">
        <v>16</v>
      </c>
      <c r="F557" s="4" t="inlineStr">
        <is>
          <t>CB400-V</t>
        </is>
      </c>
      <c r="G557" s="5" t="inlineStr"/>
      <c r="H557" s="16" t="n">
        <v>3.332</v>
      </c>
      <c r="I557" s="17" t="n">
        <v>10</v>
      </c>
      <c r="J557" s="18" t="n">
        <v>1.578</v>
      </c>
      <c r="K557" s="7">
        <f>ROUND(H557*I557*J557, 2)</f>
        <v/>
      </c>
      <c r="L557" s="19">
        <f>ROUND(K557/1000, 3)</f>
        <v/>
      </c>
      <c r="M557" s="728">
        <f>IF(AO557="","",IF(N(INDEX(Theo_Doi_Tan_Suat_Be_Tong!$C:$C,AO557))&lt;=0,"",INDEX(Theo_Doi_Tan_Suat_Be_Tong!$C:$C,AO557)-VLOOKUP(AN557,$AQ$2:$AR$7,2,FALSE)))</f>
        <v/>
      </c>
      <c r="N557" s="4" t="n"/>
      <c r="O557" s="20">
        <f>IF(ROUNDUP(S557/20,0)&gt;ROUNDUP(S556/20,0),"TN Ø16 (Lần " &amp; ROUNDUP(S557/20,0) &amp; ")","")</f>
        <v/>
      </c>
      <c r="P557" s="16">
        <f>ROUND(P556+IF(AND(E557&lt;=10,F557&lt;&gt;"ASTM A416"),L557,0),3)</f>
        <v/>
      </c>
      <c r="Q557" s="16">
        <f>ROUND(Q556+IF(AND(E557=12,F557&lt;&gt;"ASTM A416"),L557,0),3)</f>
        <v/>
      </c>
      <c r="R557" s="16">
        <f>ROUND(R556+IF(AND(E557=14,F557&lt;&gt;"ASTM A416"),L557,0),3)</f>
        <v/>
      </c>
      <c r="S557" s="16">
        <f>ROUND(S556+IF(AND(E557=16,F557&lt;&gt;"ASTM A416"),L557,0),3)</f>
        <v/>
      </c>
      <c r="T557" s="16">
        <f>ROUND(T556+IF(AND(E557=18,F557&lt;&gt;"ASTM A416"),L557,0),3)</f>
        <v/>
      </c>
      <c r="U557" s="16">
        <f>ROUND(U556+IF(AND(E557=20,F557&lt;&gt;"ASTM A416"),L557,0),3)</f>
        <v/>
      </c>
      <c r="V557" s="16">
        <f>ROUND(V556+IF(AND(E557=22,F557&lt;&gt;"ASTM A416"),L557,0),3)</f>
        <v/>
      </c>
      <c r="W557" s="16">
        <f>ROUND(W556+IF(AND(E557=25,F557&lt;&gt;"ASTM A416"),L557,0),3)</f>
        <v/>
      </c>
      <c r="X557" s="16">
        <f>ROUND(X556+IF(AND(E557=28,F557&lt;&gt;"ASTM A416"),L557,0),3)</f>
        <v/>
      </c>
      <c r="Y557" s="16">
        <f>ROUND(Y556+IF(AND(E557=32,F557&lt;&gt;"ASTM A416"),L557,0),3)</f>
        <v/>
      </c>
      <c r="Z557" s="16">
        <f>ROUND(Z556+IF(F557="ASTM A416",L557,0),3)</f>
        <v/>
      </c>
      <c r="AA557" s="9">
        <f>IF(ROUNDUP(P557/20,0)&gt;ROUNDUP(P556/20,0),"Lần " &amp; ROUNDUP(P557/20,0),"")</f>
        <v/>
      </c>
      <c r="AB557" s="9">
        <f>IF(ROUNDUP(Q557/20,0)&gt;ROUNDUP(Q556/20,0),"Lần " &amp; ROUNDUP(Q557/20,0),"")</f>
        <v/>
      </c>
      <c r="AC557" s="9">
        <f>IF(ROUNDUP(R557/20,0)&gt;ROUNDUP(R556/20,0),"Lần " &amp; ROUNDUP(R557/20,0),"")</f>
        <v/>
      </c>
      <c r="AD557" s="9">
        <f>IF(ROUNDUP(S557/20,0)&gt;ROUNDUP(S556/20,0),"Lần " &amp; ROUNDUP(S557/20,0),"")</f>
        <v/>
      </c>
      <c r="AE557" s="9">
        <f>IF(ROUNDUP(T557/20,0)&gt;ROUNDUP(T556/20,0),"Lần " &amp; ROUNDUP(T557/20,0),"")</f>
        <v/>
      </c>
      <c r="AF557" s="9">
        <f>IF(ROUNDUP(U557/20,0)&gt;ROUNDUP(U556/20,0),"Lần " &amp; ROUNDUP(U557/20,0),"")</f>
        <v/>
      </c>
      <c r="AG557" s="9">
        <f>IF(ROUNDUP(V557/20,0)&gt;ROUNDUP(V556/20,0),"Lần " &amp; ROUNDUP(V557/20,0),"")</f>
        <v/>
      </c>
      <c r="AH557" s="9">
        <f>IF(ROUNDUP(W557/20,0)&gt;ROUNDUP(W556/20,0),"Lần " &amp; ROUNDUP(W557/20,0),"")</f>
        <v/>
      </c>
      <c r="AI557" s="9">
        <f>IF(ROUNDUP(X557/20,0)&gt;ROUNDUP(X556/20,0),"Lần " &amp; ROUNDUP(X557/20,0),"")</f>
        <v/>
      </c>
      <c r="AJ557" s="9">
        <f>IF(ROUNDUP(Y557/20,0)&gt;ROUNDUP(Y556/20,0),"Lần " &amp; ROUNDUP(Y557/20,0),"")</f>
        <v/>
      </c>
      <c r="AK557" s="9">
        <f>IF(ROUNDUP(Z557/20,0)&gt;ROUNDUP(Z556/20,0),"Lần " &amp; ROUNDUP(Z557/20,0),"")</f>
        <v/>
      </c>
      <c r="AL557" s="4" t="n"/>
      <c r="AN557" s="596" t="inlineStr">
        <is>
          <t>Than</t>
        </is>
      </c>
      <c r="AO557" s="596" t="n">
        <v>32</v>
      </c>
      <c r="AQ557" s="594" t="n"/>
      <c r="AR557" s="595" t="n"/>
    </row>
    <row r="558" ht="19" customHeight="1" s="672">
      <c r="A558" s="4" t="n">
        <v>526</v>
      </c>
      <c r="B558" s="5" t="inlineStr">
        <is>
          <t>Mố M1</t>
        </is>
      </c>
      <c r="C558" s="5" t="inlineStr">
        <is>
          <t>Mố M1 (tr.31)</t>
        </is>
      </c>
      <c r="D558" s="14" t="inlineStr">
        <is>
          <t>W3D(T</t>
        </is>
      </c>
      <c r="E558" s="15" t="n">
        <v>16</v>
      </c>
      <c r="F558" s="4" t="inlineStr">
        <is>
          <t>CB400-V</t>
        </is>
      </c>
      <c r="G558" s="5" t="inlineStr"/>
      <c r="H558" s="16" t="n">
        <v>3.333</v>
      </c>
      <c r="I558" s="17" t="n">
        <v>1</v>
      </c>
      <c r="J558" s="18" t="n">
        <v>1.578</v>
      </c>
      <c r="K558" s="7">
        <f>ROUND(H558*I558*J558, 2)</f>
        <v/>
      </c>
      <c r="L558" s="19">
        <f>ROUND(K558/1000, 3)</f>
        <v/>
      </c>
      <c r="M558" s="728">
        <f>IF(AO558="","",IF(N(INDEX(Theo_Doi_Tan_Suat_Be_Tong!$C:$C,AO558))&lt;=0,"",INDEX(Theo_Doi_Tan_Suat_Be_Tong!$C:$C,AO558)-VLOOKUP(AN558,$AQ$2:$AR$7,2,FALSE)))</f>
        <v/>
      </c>
      <c r="N558" s="4" t="n"/>
      <c r="O558" s="20">
        <f>IF(ROUNDUP(S558/20,0)&gt;ROUNDUP(S557/20,0),"TN Ø16 (Lần " &amp; ROUNDUP(S558/20,0) &amp; ")","")</f>
        <v/>
      </c>
      <c r="P558" s="16">
        <f>ROUND(P557+IF(AND(E558&lt;=10,F558&lt;&gt;"ASTM A416"),L558,0),3)</f>
        <v/>
      </c>
      <c r="Q558" s="16">
        <f>ROUND(Q557+IF(AND(E558=12,F558&lt;&gt;"ASTM A416"),L558,0),3)</f>
        <v/>
      </c>
      <c r="R558" s="16">
        <f>ROUND(R557+IF(AND(E558=14,F558&lt;&gt;"ASTM A416"),L558,0),3)</f>
        <v/>
      </c>
      <c r="S558" s="16">
        <f>ROUND(S557+IF(AND(E558=16,F558&lt;&gt;"ASTM A416"),L558,0),3)</f>
        <v/>
      </c>
      <c r="T558" s="16">
        <f>ROUND(T557+IF(AND(E558=18,F558&lt;&gt;"ASTM A416"),L558,0),3)</f>
        <v/>
      </c>
      <c r="U558" s="16">
        <f>ROUND(U557+IF(AND(E558=20,F558&lt;&gt;"ASTM A416"),L558,0),3)</f>
        <v/>
      </c>
      <c r="V558" s="16">
        <f>ROUND(V557+IF(AND(E558=22,F558&lt;&gt;"ASTM A416"),L558,0),3)</f>
        <v/>
      </c>
      <c r="W558" s="16">
        <f>ROUND(W557+IF(AND(E558=25,F558&lt;&gt;"ASTM A416"),L558,0),3)</f>
        <v/>
      </c>
      <c r="X558" s="16">
        <f>ROUND(X557+IF(AND(E558=28,F558&lt;&gt;"ASTM A416"),L558,0),3)</f>
        <v/>
      </c>
      <c r="Y558" s="16">
        <f>ROUND(Y557+IF(AND(E558=32,F558&lt;&gt;"ASTM A416"),L558,0),3)</f>
        <v/>
      </c>
      <c r="Z558" s="16">
        <f>ROUND(Z557+IF(F558="ASTM A416",L558,0),3)</f>
        <v/>
      </c>
      <c r="AA558" s="9">
        <f>IF(ROUNDUP(P558/20,0)&gt;ROUNDUP(P557/20,0),"Lần " &amp; ROUNDUP(P558/20,0),"")</f>
        <v/>
      </c>
      <c r="AB558" s="9">
        <f>IF(ROUNDUP(Q558/20,0)&gt;ROUNDUP(Q557/20,0),"Lần " &amp; ROUNDUP(Q558/20,0),"")</f>
        <v/>
      </c>
      <c r="AC558" s="9">
        <f>IF(ROUNDUP(R558/20,0)&gt;ROUNDUP(R557/20,0),"Lần " &amp; ROUNDUP(R558/20,0),"")</f>
        <v/>
      </c>
      <c r="AD558" s="9">
        <f>IF(ROUNDUP(S558/20,0)&gt;ROUNDUP(S557/20,0),"Lần " &amp; ROUNDUP(S558/20,0),"")</f>
        <v/>
      </c>
      <c r="AE558" s="9">
        <f>IF(ROUNDUP(T558/20,0)&gt;ROUNDUP(T557/20,0),"Lần " &amp; ROUNDUP(T558/20,0),"")</f>
        <v/>
      </c>
      <c r="AF558" s="9">
        <f>IF(ROUNDUP(U558/20,0)&gt;ROUNDUP(U557/20,0),"Lần " &amp; ROUNDUP(U558/20,0),"")</f>
        <v/>
      </c>
      <c r="AG558" s="9">
        <f>IF(ROUNDUP(V558/20,0)&gt;ROUNDUP(V557/20,0),"Lần " &amp; ROUNDUP(V558/20,0),"")</f>
        <v/>
      </c>
      <c r="AH558" s="9">
        <f>IF(ROUNDUP(W558/20,0)&gt;ROUNDUP(W557/20,0),"Lần " &amp; ROUNDUP(W558/20,0),"")</f>
        <v/>
      </c>
      <c r="AI558" s="9">
        <f>IF(ROUNDUP(X558/20,0)&gt;ROUNDUP(X557/20,0),"Lần " &amp; ROUNDUP(X558/20,0),"")</f>
        <v/>
      </c>
      <c r="AJ558" s="9">
        <f>IF(ROUNDUP(Y558/20,0)&gt;ROUNDUP(Y557/20,0),"Lần " &amp; ROUNDUP(Y558/20,0),"")</f>
        <v/>
      </c>
      <c r="AK558" s="9">
        <f>IF(ROUNDUP(Z558/20,0)&gt;ROUNDUP(Z557/20,0),"Lần " &amp; ROUNDUP(Z558/20,0),"")</f>
        <v/>
      </c>
      <c r="AL558" s="4" t="n"/>
      <c r="AN558" s="596" t="inlineStr">
        <is>
          <t>Than</t>
        </is>
      </c>
      <c r="AO558" s="596" t="n">
        <v>32</v>
      </c>
      <c r="AQ558" s="594" t="n"/>
      <c r="AR558" s="595" t="n"/>
    </row>
    <row r="559" ht="19" customHeight="1" s="672">
      <c r="A559" s="4" t="n">
        <v>527</v>
      </c>
      <c r="B559" s="5" t="inlineStr">
        <is>
          <t>Mố M1</t>
        </is>
      </c>
      <c r="C559" s="5" t="inlineStr">
        <is>
          <t>Mố M1 (tr.31)</t>
        </is>
      </c>
      <c r="D559" s="14" t="inlineStr">
        <is>
          <t>W4A(T)</t>
        </is>
      </c>
      <c r="E559" s="15" t="n">
        <v>16</v>
      </c>
      <c r="F559" s="4" t="inlineStr">
        <is>
          <t>CB400-V</t>
        </is>
      </c>
      <c r="G559" s="5" t="inlineStr"/>
      <c r="H559" s="16" t="n">
        <v>4.052</v>
      </c>
      <c r="I559" s="17" t="n">
        <v>1</v>
      </c>
      <c r="J559" s="18" t="n">
        <v>1.578</v>
      </c>
      <c r="K559" s="7">
        <f>ROUND(H559*I559*J559, 2)</f>
        <v/>
      </c>
      <c r="L559" s="19">
        <f>ROUND(K559/1000, 3)</f>
        <v/>
      </c>
      <c r="M559" s="728">
        <f>IF(AO559="","",IF(N(INDEX(Theo_Doi_Tan_Suat_Be_Tong!$C:$C,AO559))&lt;=0,"",INDEX(Theo_Doi_Tan_Suat_Be_Tong!$C:$C,AO559)-VLOOKUP(AN559,$AQ$2:$AR$7,2,FALSE)))</f>
        <v/>
      </c>
      <c r="N559" s="4" t="n"/>
      <c r="O559" s="20">
        <f>IF(ROUNDUP(S559/20,0)&gt;ROUNDUP(S558/20,0),"TN Ø16 (Lần " &amp; ROUNDUP(S559/20,0) &amp; ")","")</f>
        <v/>
      </c>
      <c r="P559" s="16">
        <f>ROUND(P558+IF(AND(E559&lt;=10,F559&lt;&gt;"ASTM A416"),L559,0),3)</f>
        <v/>
      </c>
      <c r="Q559" s="16">
        <f>ROUND(Q558+IF(AND(E559=12,F559&lt;&gt;"ASTM A416"),L559,0),3)</f>
        <v/>
      </c>
      <c r="R559" s="16">
        <f>ROUND(R558+IF(AND(E559=14,F559&lt;&gt;"ASTM A416"),L559,0),3)</f>
        <v/>
      </c>
      <c r="S559" s="16">
        <f>ROUND(S558+IF(AND(E559=16,F559&lt;&gt;"ASTM A416"),L559,0),3)</f>
        <v/>
      </c>
      <c r="T559" s="16">
        <f>ROUND(T558+IF(AND(E559=18,F559&lt;&gt;"ASTM A416"),L559,0),3)</f>
        <v/>
      </c>
      <c r="U559" s="16">
        <f>ROUND(U558+IF(AND(E559=20,F559&lt;&gt;"ASTM A416"),L559,0),3)</f>
        <v/>
      </c>
      <c r="V559" s="16">
        <f>ROUND(V558+IF(AND(E559=22,F559&lt;&gt;"ASTM A416"),L559,0),3)</f>
        <v/>
      </c>
      <c r="W559" s="16">
        <f>ROUND(W558+IF(AND(E559=25,F559&lt;&gt;"ASTM A416"),L559,0),3)</f>
        <v/>
      </c>
      <c r="X559" s="16">
        <f>ROUND(X558+IF(AND(E559=28,F559&lt;&gt;"ASTM A416"),L559,0),3)</f>
        <v/>
      </c>
      <c r="Y559" s="16">
        <f>ROUND(Y558+IF(AND(E559=32,F559&lt;&gt;"ASTM A416"),L559,0),3)</f>
        <v/>
      </c>
      <c r="Z559" s="16">
        <f>ROUND(Z558+IF(F559="ASTM A416",L559,0),3)</f>
        <v/>
      </c>
      <c r="AA559" s="9">
        <f>IF(ROUNDUP(P559/20,0)&gt;ROUNDUP(P558/20,0),"Lần " &amp; ROUNDUP(P559/20,0),"")</f>
        <v/>
      </c>
      <c r="AB559" s="9">
        <f>IF(ROUNDUP(Q559/20,0)&gt;ROUNDUP(Q558/20,0),"Lần " &amp; ROUNDUP(Q559/20,0),"")</f>
        <v/>
      </c>
      <c r="AC559" s="9">
        <f>IF(ROUNDUP(R559/20,0)&gt;ROUNDUP(R558/20,0),"Lần " &amp; ROUNDUP(R559/20,0),"")</f>
        <v/>
      </c>
      <c r="AD559" s="9">
        <f>IF(ROUNDUP(S559/20,0)&gt;ROUNDUP(S558/20,0),"Lần " &amp; ROUNDUP(S559/20,0),"")</f>
        <v/>
      </c>
      <c r="AE559" s="9">
        <f>IF(ROUNDUP(T559/20,0)&gt;ROUNDUP(T558/20,0),"Lần " &amp; ROUNDUP(T559/20,0),"")</f>
        <v/>
      </c>
      <c r="AF559" s="9">
        <f>IF(ROUNDUP(U559/20,0)&gt;ROUNDUP(U558/20,0),"Lần " &amp; ROUNDUP(U559/20,0),"")</f>
        <v/>
      </c>
      <c r="AG559" s="9">
        <f>IF(ROUNDUP(V559/20,0)&gt;ROUNDUP(V558/20,0),"Lần " &amp; ROUNDUP(V559/20,0),"")</f>
        <v/>
      </c>
      <c r="AH559" s="9">
        <f>IF(ROUNDUP(W559/20,0)&gt;ROUNDUP(W558/20,0),"Lần " &amp; ROUNDUP(W559/20,0),"")</f>
        <v/>
      </c>
      <c r="AI559" s="9">
        <f>IF(ROUNDUP(X559/20,0)&gt;ROUNDUP(X558/20,0),"Lần " &amp; ROUNDUP(X559/20,0),"")</f>
        <v/>
      </c>
      <c r="AJ559" s="9">
        <f>IF(ROUNDUP(Y559/20,0)&gt;ROUNDUP(Y558/20,0),"Lần " &amp; ROUNDUP(Y559/20,0),"")</f>
        <v/>
      </c>
      <c r="AK559" s="9">
        <f>IF(ROUNDUP(Z559/20,0)&gt;ROUNDUP(Z558/20,0),"Lần " &amp; ROUNDUP(Z559/20,0),"")</f>
        <v/>
      </c>
      <c r="AL559" s="4" t="n"/>
      <c r="AN559" s="596" t="inlineStr">
        <is>
          <t>Than</t>
        </is>
      </c>
      <c r="AO559" s="596" t="n">
        <v>32</v>
      </c>
      <c r="AQ559" s="594" t="n"/>
      <c r="AR559" s="595" t="n"/>
    </row>
    <row r="560" ht="19" customHeight="1" s="672">
      <c r="A560" s="4" t="n">
        <v>528</v>
      </c>
      <c r="B560" s="5" t="inlineStr">
        <is>
          <t>Mố M1</t>
        </is>
      </c>
      <c r="C560" s="5" t="inlineStr">
        <is>
          <t>Mố M1 (tr.31)</t>
        </is>
      </c>
      <c r="D560" s="14" t="inlineStr">
        <is>
          <t>W4B(T)</t>
        </is>
      </c>
      <c r="E560" s="15" t="n">
        <v>16</v>
      </c>
      <c r="F560" s="4" t="inlineStr">
        <is>
          <t>CB400-V</t>
        </is>
      </c>
      <c r="G560" s="5" t="inlineStr"/>
      <c r="H560" s="16" t="n">
        <v>2.795</v>
      </c>
      <c r="I560" s="17" t="n">
        <v>16</v>
      </c>
      <c r="J560" s="18" t="n">
        <v>1.578</v>
      </c>
      <c r="K560" s="7">
        <f>ROUND(H560*I560*J560, 2)</f>
        <v/>
      </c>
      <c r="L560" s="19">
        <f>ROUND(K560/1000, 3)</f>
        <v/>
      </c>
      <c r="M560" s="728">
        <f>IF(AO560="","",IF(N(INDEX(Theo_Doi_Tan_Suat_Be_Tong!$C:$C,AO560))&lt;=0,"",INDEX(Theo_Doi_Tan_Suat_Be_Tong!$C:$C,AO560)-VLOOKUP(AN560,$AQ$2:$AR$7,2,FALSE)))</f>
        <v/>
      </c>
      <c r="N560" s="4" t="n"/>
      <c r="O560" s="20">
        <f>IF(ROUNDUP(S560/20,0)&gt;ROUNDUP(S559/20,0),"TN Ø16 (Lần " &amp; ROUNDUP(S560/20,0) &amp; ")","")</f>
        <v/>
      </c>
      <c r="P560" s="16">
        <f>ROUND(P559+IF(AND(E560&lt;=10,F560&lt;&gt;"ASTM A416"),L560,0),3)</f>
        <v/>
      </c>
      <c r="Q560" s="16">
        <f>ROUND(Q559+IF(AND(E560=12,F560&lt;&gt;"ASTM A416"),L560,0),3)</f>
        <v/>
      </c>
      <c r="R560" s="16">
        <f>ROUND(R559+IF(AND(E560=14,F560&lt;&gt;"ASTM A416"),L560,0),3)</f>
        <v/>
      </c>
      <c r="S560" s="16">
        <f>ROUND(S559+IF(AND(E560=16,F560&lt;&gt;"ASTM A416"),L560,0),3)</f>
        <v/>
      </c>
      <c r="T560" s="16">
        <f>ROUND(T559+IF(AND(E560=18,F560&lt;&gt;"ASTM A416"),L560,0),3)</f>
        <v/>
      </c>
      <c r="U560" s="16">
        <f>ROUND(U559+IF(AND(E560=20,F560&lt;&gt;"ASTM A416"),L560,0),3)</f>
        <v/>
      </c>
      <c r="V560" s="16">
        <f>ROUND(V559+IF(AND(E560=22,F560&lt;&gt;"ASTM A416"),L560,0),3)</f>
        <v/>
      </c>
      <c r="W560" s="16">
        <f>ROUND(W559+IF(AND(E560=25,F560&lt;&gt;"ASTM A416"),L560,0),3)</f>
        <v/>
      </c>
      <c r="X560" s="16">
        <f>ROUND(X559+IF(AND(E560=28,F560&lt;&gt;"ASTM A416"),L560,0),3)</f>
        <v/>
      </c>
      <c r="Y560" s="16">
        <f>ROUND(Y559+IF(AND(E560=32,F560&lt;&gt;"ASTM A416"),L560,0),3)</f>
        <v/>
      </c>
      <c r="Z560" s="16">
        <f>ROUND(Z559+IF(F560="ASTM A416",L560,0),3)</f>
        <v/>
      </c>
      <c r="AA560" s="9">
        <f>IF(ROUNDUP(P560/20,0)&gt;ROUNDUP(P559/20,0),"Lần " &amp; ROUNDUP(P560/20,0),"")</f>
        <v/>
      </c>
      <c r="AB560" s="9">
        <f>IF(ROUNDUP(Q560/20,0)&gt;ROUNDUP(Q559/20,0),"Lần " &amp; ROUNDUP(Q560/20,0),"")</f>
        <v/>
      </c>
      <c r="AC560" s="9">
        <f>IF(ROUNDUP(R560/20,0)&gt;ROUNDUP(R559/20,0),"Lần " &amp; ROUNDUP(R560/20,0),"")</f>
        <v/>
      </c>
      <c r="AD560" s="9">
        <f>IF(ROUNDUP(S560/20,0)&gt;ROUNDUP(S559/20,0),"Lần " &amp; ROUNDUP(S560/20,0),"")</f>
        <v/>
      </c>
      <c r="AE560" s="9">
        <f>IF(ROUNDUP(T560/20,0)&gt;ROUNDUP(T559/20,0),"Lần " &amp; ROUNDUP(T560/20,0),"")</f>
        <v/>
      </c>
      <c r="AF560" s="9">
        <f>IF(ROUNDUP(U560/20,0)&gt;ROUNDUP(U559/20,0),"Lần " &amp; ROUNDUP(U560/20,0),"")</f>
        <v/>
      </c>
      <c r="AG560" s="9">
        <f>IF(ROUNDUP(V560/20,0)&gt;ROUNDUP(V559/20,0),"Lần " &amp; ROUNDUP(V560/20,0),"")</f>
        <v/>
      </c>
      <c r="AH560" s="9">
        <f>IF(ROUNDUP(W560/20,0)&gt;ROUNDUP(W559/20,0),"Lần " &amp; ROUNDUP(W560/20,0),"")</f>
        <v/>
      </c>
      <c r="AI560" s="9">
        <f>IF(ROUNDUP(X560/20,0)&gt;ROUNDUP(X559/20,0),"Lần " &amp; ROUNDUP(X560/20,0),"")</f>
        <v/>
      </c>
      <c r="AJ560" s="9">
        <f>IF(ROUNDUP(Y560/20,0)&gt;ROUNDUP(Y559/20,0),"Lần " &amp; ROUNDUP(Y560/20,0),"")</f>
        <v/>
      </c>
      <c r="AK560" s="9">
        <f>IF(ROUNDUP(Z560/20,0)&gt;ROUNDUP(Z559/20,0),"Lần " &amp; ROUNDUP(Z560/20,0),"")</f>
        <v/>
      </c>
      <c r="AL560" s="4" t="n"/>
      <c r="AN560" s="596" t="inlineStr">
        <is>
          <t>Than</t>
        </is>
      </c>
      <c r="AO560" s="596" t="n">
        <v>32</v>
      </c>
      <c r="AQ560" s="594" t="n"/>
      <c r="AR560" s="595" t="n"/>
    </row>
    <row r="561" ht="19" customHeight="1" s="672">
      <c r="A561" s="4" t="n">
        <v>529</v>
      </c>
      <c r="B561" s="5" t="inlineStr">
        <is>
          <t>Mố M1</t>
        </is>
      </c>
      <c r="C561" s="5" t="inlineStr">
        <is>
          <t>Mố M1 (tr.31)</t>
        </is>
      </c>
      <c r="D561" s="14" t="inlineStr">
        <is>
          <t>W5(T)</t>
        </is>
      </c>
      <c r="E561" s="15" t="n">
        <v>16</v>
      </c>
      <c r="F561" s="4" t="inlineStr">
        <is>
          <t>CB400-V</t>
        </is>
      </c>
      <c r="G561" s="5" t="inlineStr"/>
      <c r="H561" s="16" t="n">
        <v>4.816</v>
      </c>
      <c r="I561" s="17" t="n">
        <v>1</v>
      </c>
      <c r="J561" s="18" t="n">
        <v>1.578</v>
      </c>
      <c r="K561" s="7">
        <f>ROUND(H561*I561*J561, 2)</f>
        <v/>
      </c>
      <c r="L561" s="19">
        <f>ROUND(K561/1000, 3)</f>
        <v/>
      </c>
      <c r="M561" s="728">
        <f>IF(AO561="","",IF(N(INDEX(Theo_Doi_Tan_Suat_Be_Tong!$C:$C,AO561))&lt;=0,"",INDEX(Theo_Doi_Tan_Suat_Be_Tong!$C:$C,AO561)-VLOOKUP(AN561,$AQ$2:$AR$7,2,FALSE)))</f>
        <v/>
      </c>
      <c r="N561" s="4" t="n"/>
      <c r="O561" s="20">
        <f>IF(ROUNDUP(S561/20,0)&gt;ROUNDUP(S560/20,0),"TN Ø16 (Lần " &amp; ROUNDUP(S561/20,0) &amp; ")","")</f>
        <v/>
      </c>
      <c r="P561" s="16">
        <f>ROUND(P560+IF(AND(E561&lt;=10,F561&lt;&gt;"ASTM A416"),L561,0),3)</f>
        <v/>
      </c>
      <c r="Q561" s="16">
        <f>ROUND(Q560+IF(AND(E561=12,F561&lt;&gt;"ASTM A416"),L561,0),3)</f>
        <v/>
      </c>
      <c r="R561" s="16">
        <f>ROUND(R560+IF(AND(E561=14,F561&lt;&gt;"ASTM A416"),L561,0),3)</f>
        <v/>
      </c>
      <c r="S561" s="16">
        <f>ROUND(S560+IF(AND(E561=16,F561&lt;&gt;"ASTM A416"),L561,0),3)</f>
        <v/>
      </c>
      <c r="T561" s="16">
        <f>ROUND(T560+IF(AND(E561=18,F561&lt;&gt;"ASTM A416"),L561,0),3)</f>
        <v/>
      </c>
      <c r="U561" s="16">
        <f>ROUND(U560+IF(AND(E561=20,F561&lt;&gt;"ASTM A416"),L561,0),3)</f>
        <v/>
      </c>
      <c r="V561" s="16">
        <f>ROUND(V560+IF(AND(E561=22,F561&lt;&gt;"ASTM A416"),L561,0),3)</f>
        <v/>
      </c>
      <c r="W561" s="16">
        <f>ROUND(W560+IF(AND(E561=25,F561&lt;&gt;"ASTM A416"),L561,0),3)</f>
        <v/>
      </c>
      <c r="X561" s="16">
        <f>ROUND(X560+IF(AND(E561=28,F561&lt;&gt;"ASTM A416"),L561,0),3)</f>
        <v/>
      </c>
      <c r="Y561" s="16">
        <f>ROUND(Y560+IF(AND(E561=32,F561&lt;&gt;"ASTM A416"),L561,0),3)</f>
        <v/>
      </c>
      <c r="Z561" s="16">
        <f>ROUND(Z560+IF(F561="ASTM A416",L561,0),3)</f>
        <v/>
      </c>
      <c r="AA561" s="9">
        <f>IF(ROUNDUP(P561/20,0)&gt;ROUNDUP(P560/20,0),"Lần " &amp; ROUNDUP(P561/20,0),"")</f>
        <v/>
      </c>
      <c r="AB561" s="9">
        <f>IF(ROUNDUP(Q561/20,0)&gt;ROUNDUP(Q560/20,0),"Lần " &amp; ROUNDUP(Q561/20,0),"")</f>
        <v/>
      </c>
      <c r="AC561" s="9">
        <f>IF(ROUNDUP(R561/20,0)&gt;ROUNDUP(R560/20,0),"Lần " &amp; ROUNDUP(R561/20,0),"")</f>
        <v/>
      </c>
      <c r="AD561" s="9">
        <f>IF(ROUNDUP(S561/20,0)&gt;ROUNDUP(S560/20,0),"Lần " &amp; ROUNDUP(S561/20,0),"")</f>
        <v/>
      </c>
      <c r="AE561" s="9">
        <f>IF(ROUNDUP(T561/20,0)&gt;ROUNDUP(T560/20,0),"Lần " &amp; ROUNDUP(T561/20,0),"")</f>
        <v/>
      </c>
      <c r="AF561" s="9">
        <f>IF(ROUNDUP(U561/20,0)&gt;ROUNDUP(U560/20,0),"Lần " &amp; ROUNDUP(U561/20,0),"")</f>
        <v/>
      </c>
      <c r="AG561" s="9">
        <f>IF(ROUNDUP(V561/20,0)&gt;ROUNDUP(V560/20,0),"Lần " &amp; ROUNDUP(V561/20,0),"")</f>
        <v/>
      </c>
      <c r="AH561" s="9">
        <f>IF(ROUNDUP(W561/20,0)&gt;ROUNDUP(W560/20,0),"Lần " &amp; ROUNDUP(W561/20,0),"")</f>
        <v/>
      </c>
      <c r="AI561" s="9">
        <f>IF(ROUNDUP(X561/20,0)&gt;ROUNDUP(X560/20,0),"Lần " &amp; ROUNDUP(X561/20,0),"")</f>
        <v/>
      </c>
      <c r="AJ561" s="9">
        <f>IF(ROUNDUP(Y561/20,0)&gt;ROUNDUP(Y560/20,0),"Lần " &amp; ROUNDUP(Y561/20,0),"")</f>
        <v/>
      </c>
      <c r="AK561" s="9">
        <f>IF(ROUNDUP(Z561/20,0)&gt;ROUNDUP(Z560/20,0),"Lần " &amp; ROUNDUP(Z561/20,0),"")</f>
        <v/>
      </c>
      <c r="AL561" s="4" t="n"/>
      <c r="AN561" s="596" t="inlineStr">
        <is>
          <t>Than</t>
        </is>
      </c>
      <c r="AO561" s="596" t="n">
        <v>32</v>
      </c>
      <c r="AQ561" s="594" t="n"/>
      <c r="AR561" s="595" t="n"/>
    </row>
    <row r="562" ht="19" customHeight="1" s="672">
      <c r="A562" s="4" t="n">
        <v>530</v>
      </c>
      <c r="B562" s="5" t="inlineStr">
        <is>
          <t>Mố M1</t>
        </is>
      </c>
      <c r="C562" s="5" t="inlineStr">
        <is>
          <t>Mố M1 (tr.31)</t>
        </is>
      </c>
      <c r="D562" s="14" t="inlineStr">
        <is>
          <t>W6(T)</t>
        </is>
      </c>
      <c r="E562" s="15" t="n">
        <v>14</v>
      </c>
      <c r="F562" s="4" t="inlineStr">
        <is>
          <t>CB400-V</t>
        </is>
      </c>
      <c r="G562" s="5" t="inlineStr"/>
      <c r="H562" s="16" t="n">
        <v>0.61</v>
      </c>
      <c r="I562" s="17" t="n">
        <v>18</v>
      </c>
      <c r="J562" s="18" t="n">
        <v>1.208</v>
      </c>
      <c r="K562" s="7">
        <f>ROUND(H562*I562*J562, 2)</f>
        <v/>
      </c>
      <c r="L562" s="19">
        <f>ROUND(K562/1000, 3)</f>
        <v/>
      </c>
      <c r="M562" s="728">
        <f>IF(AO562="","",IF(N(INDEX(Theo_Doi_Tan_Suat_Be_Tong!$C:$C,AO562))&lt;=0,"",INDEX(Theo_Doi_Tan_Suat_Be_Tong!$C:$C,AO562)-VLOOKUP(AN562,$AQ$2:$AR$7,2,FALSE)))</f>
        <v/>
      </c>
      <c r="N562" s="4" t="n"/>
      <c r="O562" s="20">
        <f>IF(ROUNDUP(R562/20,0)&gt;ROUNDUP(R561/20,0),"TN Ø14 (Lần " &amp; ROUNDUP(R562/20,0) &amp; ")","")</f>
        <v/>
      </c>
      <c r="P562" s="16">
        <f>ROUND(P561+IF(AND(E562&lt;=10,F562&lt;&gt;"ASTM A416"),L562,0),3)</f>
        <v/>
      </c>
      <c r="Q562" s="16">
        <f>ROUND(Q561+IF(AND(E562=12,F562&lt;&gt;"ASTM A416"),L562,0),3)</f>
        <v/>
      </c>
      <c r="R562" s="16">
        <f>ROUND(R561+IF(AND(E562=14,F562&lt;&gt;"ASTM A416"),L562,0),3)</f>
        <v/>
      </c>
      <c r="S562" s="16">
        <f>ROUND(S561+IF(AND(E562=16,F562&lt;&gt;"ASTM A416"),L562,0),3)</f>
        <v/>
      </c>
      <c r="T562" s="16">
        <f>ROUND(T561+IF(AND(E562=18,F562&lt;&gt;"ASTM A416"),L562,0),3)</f>
        <v/>
      </c>
      <c r="U562" s="16">
        <f>ROUND(U561+IF(AND(E562=20,F562&lt;&gt;"ASTM A416"),L562,0),3)</f>
        <v/>
      </c>
      <c r="V562" s="16">
        <f>ROUND(V561+IF(AND(E562=22,F562&lt;&gt;"ASTM A416"),L562,0),3)</f>
        <v/>
      </c>
      <c r="W562" s="16">
        <f>ROUND(W561+IF(AND(E562=25,F562&lt;&gt;"ASTM A416"),L562,0),3)</f>
        <v/>
      </c>
      <c r="X562" s="16">
        <f>ROUND(X561+IF(AND(E562=28,F562&lt;&gt;"ASTM A416"),L562,0),3)</f>
        <v/>
      </c>
      <c r="Y562" s="16">
        <f>ROUND(Y561+IF(AND(E562=32,F562&lt;&gt;"ASTM A416"),L562,0),3)</f>
        <v/>
      </c>
      <c r="Z562" s="16">
        <f>ROUND(Z561+IF(F562="ASTM A416",L562,0),3)</f>
        <v/>
      </c>
      <c r="AA562" s="9">
        <f>IF(ROUNDUP(P562/20,0)&gt;ROUNDUP(P561/20,0),"Lần " &amp; ROUNDUP(P562/20,0),"")</f>
        <v/>
      </c>
      <c r="AB562" s="9">
        <f>IF(ROUNDUP(Q562/20,0)&gt;ROUNDUP(Q561/20,0),"Lần " &amp; ROUNDUP(Q562/20,0),"")</f>
        <v/>
      </c>
      <c r="AC562" s="9">
        <f>IF(ROUNDUP(R562/20,0)&gt;ROUNDUP(R561/20,0),"Lần " &amp; ROUNDUP(R562/20,0),"")</f>
        <v/>
      </c>
      <c r="AD562" s="9">
        <f>IF(ROUNDUP(S562/20,0)&gt;ROUNDUP(S561/20,0),"Lần " &amp; ROUNDUP(S562/20,0),"")</f>
        <v/>
      </c>
      <c r="AE562" s="9">
        <f>IF(ROUNDUP(T562/20,0)&gt;ROUNDUP(T561/20,0),"Lần " &amp; ROUNDUP(T562/20,0),"")</f>
        <v/>
      </c>
      <c r="AF562" s="9">
        <f>IF(ROUNDUP(U562/20,0)&gt;ROUNDUP(U561/20,0),"Lần " &amp; ROUNDUP(U562/20,0),"")</f>
        <v/>
      </c>
      <c r="AG562" s="9">
        <f>IF(ROUNDUP(V562/20,0)&gt;ROUNDUP(V561/20,0),"Lần " &amp; ROUNDUP(V562/20,0),"")</f>
        <v/>
      </c>
      <c r="AH562" s="9">
        <f>IF(ROUNDUP(W562/20,0)&gt;ROUNDUP(W561/20,0),"Lần " &amp; ROUNDUP(W562/20,0),"")</f>
        <v/>
      </c>
      <c r="AI562" s="9">
        <f>IF(ROUNDUP(X562/20,0)&gt;ROUNDUP(X561/20,0),"Lần " &amp; ROUNDUP(X562/20,0),"")</f>
        <v/>
      </c>
      <c r="AJ562" s="9">
        <f>IF(ROUNDUP(Y562/20,0)&gt;ROUNDUP(Y561/20,0),"Lần " &amp; ROUNDUP(Y562/20,0),"")</f>
        <v/>
      </c>
      <c r="AK562" s="9">
        <f>IF(ROUNDUP(Z562/20,0)&gt;ROUNDUP(Z561/20,0),"Lần " &amp; ROUNDUP(Z562/20,0),"")</f>
        <v/>
      </c>
      <c r="AL562" s="4" t="n"/>
      <c r="AN562" s="596" t="inlineStr">
        <is>
          <t>Than</t>
        </is>
      </c>
      <c r="AO562" s="596" t="n">
        <v>32</v>
      </c>
      <c r="AQ562" s="594" t="n"/>
      <c r="AR562" s="595" t="n"/>
    </row>
    <row r="563" ht="19" customHeight="1" s="672">
      <c r="A563" s="4" t="n">
        <v>531</v>
      </c>
      <c r="B563" s="5" t="inlineStr">
        <is>
          <t>Mố M1</t>
        </is>
      </c>
      <c r="C563" s="5" t="inlineStr">
        <is>
          <t>Mố M1 (tr.31)</t>
        </is>
      </c>
      <c r="D563" s="14" t="inlineStr">
        <is>
          <t>W7(D</t>
        </is>
      </c>
      <c r="E563" s="15" t="n">
        <v>16</v>
      </c>
      <c r="F563" s="4" t="inlineStr">
        <is>
          <t>CB400-V</t>
        </is>
      </c>
      <c r="G563" s="5" t="inlineStr"/>
      <c r="H563" s="16" t="n">
        <v>0.64</v>
      </c>
      <c r="I563" s="17" t="n">
        <v>26</v>
      </c>
      <c r="J563" s="18" t="n">
        <v>1.578</v>
      </c>
      <c r="K563" s="7">
        <f>ROUND(H563*I563*J563, 2)</f>
        <v/>
      </c>
      <c r="L563" s="19">
        <f>ROUND(K563/1000, 3)</f>
        <v/>
      </c>
      <c r="M563" s="728">
        <f>IF(AO563="","",IF(N(INDEX(Theo_Doi_Tan_Suat_Be_Tong!$C:$C,AO563))&lt;=0,"",INDEX(Theo_Doi_Tan_Suat_Be_Tong!$C:$C,AO563)-VLOOKUP(AN563,$AQ$2:$AR$7,2,FALSE)))</f>
        <v/>
      </c>
      <c r="N563" s="4" t="n"/>
      <c r="O563" s="20">
        <f>IF(ROUNDUP(S563/20,0)&gt;ROUNDUP(S562/20,0),"TN Ø16 (Lần " &amp; ROUNDUP(S563/20,0) &amp; ")","")</f>
        <v/>
      </c>
      <c r="P563" s="16">
        <f>ROUND(P562+IF(AND(E563&lt;=10,F563&lt;&gt;"ASTM A416"),L563,0),3)</f>
        <v/>
      </c>
      <c r="Q563" s="16">
        <f>ROUND(Q562+IF(AND(E563=12,F563&lt;&gt;"ASTM A416"),L563,0),3)</f>
        <v/>
      </c>
      <c r="R563" s="16">
        <f>ROUND(R562+IF(AND(E563=14,F563&lt;&gt;"ASTM A416"),L563,0),3)</f>
        <v/>
      </c>
      <c r="S563" s="16">
        <f>ROUND(S562+IF(AND(E563=16,F563&lt;&gt;"ASTM A416"),L563,0),3)</f>
        <v/>
      </c>
      <c r="T563" s="16">
        <f>ROUND(T562+IF(AND(E563=18,F563&lt;&gt;"ASTM A416"),L563,0),3)</f>
        <v/>
      </c>
      <c r="U563" s="16">
        <f>ROUND(U562+IF(AND(E563=20,F563&lt;&gt;"ASTM A416"),L563,0),3)</f>
        <v/>
      </c>
      <c r="V563" s="16">
        <f>ROUND(V562+IF(AND(E563=22,F563&lt;&gt;"ASTM A416"),L563,0),3)</f>
        <v/>
      </c>
      <c r="W563" s="16">
        <f>ROUND(W562+IF(AND(E563=25,F563&lt;&gt;"ASTM A416"),L563,0),3)</f>
        <v/>
      </c>
      <c r="X563" s="16">
        <f>ROUND(X562+IF(AND(E563=28,F563&lt;&gt;"ASTM A416"),L563,0),3)</f>
        <v/>
      </c>
      <c r="Y563" s="16">
        <f>ROUND(Y562+IF(AND(E563=32,F563&lt;&gt;"ASTM A416"),L563,0),3)</f>
        <v/>
      </c>
      <c r="Z563" s="16">
        <f>ROUND(Z562+IF(F563="ASTM A416",L563,0),3)</f>
        <v/>
      </c>
      <c r="AA563" s="9">
        <f>IF(ROUNDUP(P563/20,0)&gt;ROUNDUP(P562/20,0),"Lần " &amp; ROUNDUP(P563/20,0),"")</f>
        <v/>
      </c>
      <c r="AB563" s="9">
        <f>IF(ROUNDUP(Q563/20,0)&gt;ROUNDUP(Q562/20,0),"Lần " &amp; ROUNDUP(Q563/20,0),"")</f>
        <v/>
      </c>
      <c r="AC563" s="9">
        <f>IF(ROUNDUP(R563/20,0)&gt;ROUNDUP(R562/20,0),"Lần " &amp; ROUNDUP(R563/20,0),"")</f>
        <v/>
      </c>
      <c r="AD563" s="9">
        <f>IF(ROUNDUP(S563/20,0)&gt;ROUNDUP(S562/20,0),"Lần " &amp; ROUNDUP(S563/20,0),"")</f>
        <v/>
      </c>
      <c r="AE563" s="9">
        <f>IF(ROUNDUP(T563/20,0)&gt;ROUNDUP(T562/20,0),"Lần " &amp; ROUNDUP(T563/20,0),"")</f>
        <v/>
      </c>
      <c r="AF563" s="9">
        <f>IF(ROUNDUP(U563/20,0)&gt;ROUNDUP(U562/20,0),"Lần " &amp; ROUNDUP(U563/20,0),"")</f>
        <v/>
      </c>
      <c r="AG563" s="9">
        <f>IF(ROUNDUP(V563/20,0)&gt;ROUNDUP(V562/20,0),"Lần " &amp; ROUNDUP(V563/20,0),"")</f>
        <v/>
      </c>
      <c r="AH563" s="9">
        <f>IF(ROUNDUP(W563/20,0)&gt;ROUNDUP(W562/20,0),"Lần " &amp; ROUNDUP(W563/20,0),"")</f>
        <v/>
      </c>
      <c r="AI563" s="9">
        <f>IF(ROUNDUP(X563/20,0)&gt;ROUNDUP(X562/20,0),"Lần " &amp; ROUNDUP(X563/20,0),"")</f>
        <v/>
      </c>
      <c r="AJ563" s="9">
        <f>IF(ROUNDUP(Y563/20,0)&gt;ROUNDUP(Y562/20,0),"Lần " &amp; ROUNDUP(Y563/20,0),"")</f>
        <v/>
      </c>
      <c r="AK563" s="9">
        <f>IF(ROUNDUP(Z563/20,0)&gt;ROUNDUP(Z562/20,0),"Lần " &amp; ROUNDUP(Z563/20,0),"")</f>
        <v/>
      </c>
      <c r="AL563" s="4" t="n"/>
      <c r="AN563" s="596" t="inlineStr">
        <is>
          <t>Than</t>
        </is>
      </c>
      <c r="AO563" s="596" t="n">
        <v>32</v>
      </c>
      <c r="AQ563" s="594" t="n"/>
      <c r="AR563" s="595" t="n"/>
    </row>
    <row r="564" ht="19" customHeight="1" s="672">
      <c r="A564" s="4" t="n">
        <v>532</v>
      </c>
      <c r="B564" s="5" t="inlineStr">
        <is>
          <t>Mố M1</t>
        </is>
      </c>
      <c r="C564" s="5" t="inlineStr">
        <is>
          <t>Mố M1 (tr.31)</t>
        </is>
      </c>
      <c r="D564" s="14" t="inlineStr">
        <is>
          <t>W8(T)</t>
        </is>
      </c>
      <c r="E564" s="15" t="n">
        <v>16</v>
      </c>
      <c r="F564" s="4" t="inlineStr">
        <is>
          <t>CB400-V</t>
        </is>
      </c>
      <c r="G564" s="5" t="inlineStr"/>
      <c r="H564" s="16" t="n">
        <v>3.493</v>
      </c>
      <c r="I564" s="17" t="n">
        <v>2</v>
      </c>
      <c r="J564" s="18" t="n">
        <v>1.578</v>
      </c>
      <c r="K564" s="7">
        <f>ROUND(H564*I564*J564, 2)</f>
        <v/>
      </c>
      <c r="L564" s="19">
        <f>ROUND(K564/1000, 3)</f>
        <v/>
      </c>
      <c r="M564" s="728">
        <f>IF(AO564="","",IF(N(INDEX(Theo_Doi_Tan_Suat_Be_Tong!$C:$C,AO564))&lt;=0,"",INDEX(Theo_Doi_Tan_Suat_Be_Tong!$C:$C,AO564)-VLOOKUP(AN564,$AQ$2:$AR$7,2,FALSE)))</f>
        <v/>
      </c>
      <c r="N564" s="4" t="n"/>
      <c r="O564" s="20">
        <f>IF(ROUNDUP(S564/20,0)&gt;ROUNDUP(S563/20,0),"TN Ø16 (Lần " &amp; ROUNDUP(S564/20,0) &amp; ")","")</f>
        <v/>
      </c>
      <c r="P564" s="16">
        <f>ROUND(P563+IF(AND(E564&lt;=10,F564&lt;&gt;"ASTM A416"),L564,0),3)</f>
        <v/>
      </c>
      <c r="Q564" s="16">
        <f>ROUND(Q563+IF(AND(E564=12,F564&lt;&gt;"ASTM A416"),L564,0),3)</f>
        <v/>
      </c>
      <c r="R564" s="16">
        <f>ROUND(R563+IF(AND(E564=14,F564&lt;&gt;"ASTM A416"),L564,0),3)</f>
        <v/>
      </c>
      <c r="S564" s="16">
        <f>ROUND(S563+IF(AND(E564=16,F564&lt;&gt;"ASTM A416"),L564,0),3)</f>
        <v/>
      </c>
      <c r="T564" s="16">
        <f>ROUND(T563+IF(AND(E564=18,F564&lt;&gt;"ASTM A416"),L564,0),3)</f>
        <v/>
      </c>
      <c r="U564" s="16">
        <f>ROUND(U563+IF(AND(E564=20,F564&lt;&gt;"ASTM A416"),L564,0),3)</f>
        <v/>
      </c>
      <c r="V564" s="16">
        <f>ROUND(V563+IF(AND(E564=22,F564&lt;&gt;"ASTM A416"),L564,0),3)</f>
        <v/>
      </c>
      <c r="W564" s="16">
        <f>ROUND(W563+IF(AND(E564=25,F564&lt;&gt;"ASTM A416"),L564,0),3)</f>
        <v/>
      </c>
      <c r="X564" s="16">
        <f>ROUND(X563+IF(AND(E564=28,F564&lt;&gt;"ASTM A416"),L564,0),3)</f>
        <v/>
      </c>
      <c r="Y564" s="16">
        <f>ROUND(Y563+IF(AND(E564=32,F564&lt;&gt;"ASTM A416"),L564,0),3)</f>
        <v/>
      </c>
      <c r="Z564" s="16">
        <f>ROUND(Z563+IF(F564="ASTM A416",L564,0),3)</f>
        <v/>
      </c>
      <c r="AA564" s="9">
        <f>IF(ROUNDUP(P564/20,0)&gt;ROUNDUP(P563/20,0),"Lần " &amp; ROUNDUP(P564/20,0),"")</f>
        <v/>
      </c>
      <c r="AB564" s="9">
        <f>IF(ROUNDUP(Q564/20,0)&gt;ROUNDUP(Q563/20,0),"Lần " &amp; ROUNDUP(Q564/20,0),"")</f>
        <v/>
      </c>
      <c r="AC564" s="9">
        <f>IF(ROUNDUP(R564/20,0)&gt;ROUNDUP(R563/20,0),"Lần " &amp; ROUNDUP(R564/20,0),"")</f>
        <v/>
      </c>
      <c r="AD564" s="9">
        <f>IF(ROUNDUP(S564/20,0)&gt;ROUNDUP(S563/20,0),"Lần " &amp; ROUNDUP(S564/20,0),"")</f>
        <v/>
      </c>
      <c r="AE564" s="9">
        <f>IF(ROUNDUP(T564/20,0)&gt;ROUNDUP(T563/20,0),"Lần " &amp; ROUNDUP(T564/20,0),"")</f>
        <v/>
      </c>
      <c r="AF564" s="9">
        <f>IF(ROUNDUP(U564/20,0)&gt;ROUNDUP(U563/20,0),"Lần " &amp; ROUNDUP(U564/20,0),"")</f>
        <v/>
      </c>
      <c r="AG564" s="9">
        <f>IF(ROUNDUP(V564/20,0)&gt;ROUNDUP(V563/20,0),"Lần " &amp; ROUNDUP(V564/20,0),"")</f>
        <v/>
      </c>
      <c r="AH564" s="9">
        <f>IF(ROUNDUP(W564/20,0)&gt;ROUNDUP(W563/20,0),"Lần " &amp; ROUNDUP(W564/20,0),"")</f>
        <v/>
      </c>
      <c r="AI564" s="9">
        <f>IF(ROUNDUP(X564/20,0)&gt;ROUNDUP(X563/20,0),"Lần " &amp; ROUNDUP(X564/20,0),"")</f>
        <v/>
      </c>
      <c r="AJ564" s="9">
        <f>IF(ROUNDUP(Y564/20,0)&gt;ROUNDUP(Y563/20,0),"Lần " &amp; ROUNDUP(Y564/20,0),"")</f>
        <v/>
      </c>
      <c r="AK564" s="9">
        <f>IF(ROUNDUP(Z564/20,0)&gt;ROUNDUP(Z563/20,0),"Lần " &amp; ROUNDUP(Z564/20,0),"")</f>
        <v/>
      </c>
      <c r="AL564" s="4" t="n"/>
      <c r="AN564" s="596" t="inlineStr">
        <is>
          <t>Than</t>
        </is>
      </c>
      <c r="AO564" s="596" t="n">
        <v>32</v>
      </c>
      <c r="AQ564" s="594" t="n"/>
      <c r="AR564" s="595" t="n"/>
    </row>
    <row r="565" ht="19" customHeight="1" s="672">
      <c r="A565" s="4" t="n">
        <v>533</v>
      </c>
      <c r="B565" s="5" t="inlineStr">
        <is>
          <t>Mố M1</t>
        </is>
      </c>
      <c r="C565" s="5" t="inlineStr">
        <is>
          <t>Mố M1 (tr.31)</t>
        </is>
      </c>
      <c r="D565" s="14" t="inlineStr">
        <is>
          <t>W9(T)</t>
        </is>
      </c>
      <c r="E565" s="15" t="n">
        <v>16</v>
      </c>
      <c r="F565" s="4" t="inlineStr">
        <is>
          <t>CB400-V</t>
        </is>
      </c>
      <c r="G565" s="5" t="inlineStr"/>
      <c r="H565" s="16" t="n">
        <v>1.906</v>
      </c>
      <c r="I565" s="17" t="n">
        <v>15</v>
      </c>
      <c r="J565" s="18" t="n">
        <v>1.578</v>
      </c>
      <c r="K565" s="7">
        <f>ROUND(H565*I565*J565, 2)</f>
        <v/>
      </c>
      <c r="L565" s="19">
        <f>ROUND(K565/1000, 3)</f>
        <v/>
      </c>
      <c r="M565" s="728">
        <f>IF(AO565="","",IF(N(INDEX(Theo_Doi_Tan_Suat_Be_Tong!$C:$C,AO565))&lt;=0,"",INDEX(Theo_Doi_Tan_Suat_Be_Tong!$C:$C,AO565)-VLOOKUP(AN565,$AQ$2:$AR$7,2,FALSE)))</f>
        <v/>
      </c>
      <c r="N565" s="4" t="n"/>
      <c r="O565" s="20">
        <f>IF(ROUNDUP(S565/20,0)&gt;ROUNDUP(S564/20,0),"TN Ø16 (Lần " &amp; ROUNDUP(S565/20,0) &amp; ")","")</f>
        <v/>
      </c>
      <c r="P565" s="16">
        <f>ROUND(P564+IF(AND(E565&lt;=10,F565&lt;&gt;"ASTM A416"),L565,0),3)</f>
        <v/>
      </c>
      <c r="Q565" s="16">
        <f>ROUND(Q564+IF(AND(E565=12,F565&lt;&gt;"ASTM A416"),L565,0),3)</f>
        <v/>
      </c>
      <c r="R565" s="16">
        <f>ROUND(R564+IF(AND(E565=14,F565&lt;&gt;"ASTM A416"),L565,0),3)</f>
        <v/>
      </c>
      <c r="S565" s="16">
        <f>ROUND(S564+IF(AND(E565=16,F565&lt;&gt;"ASTM A416"),L565,0),3)</f>
        <v/>
      </c>
      <c r="T565" s="16">
        <f>ROUND(T564+IF(AND(E565=18,F565&lt;&gt;"ASTM A416"),L565,0),3)</f>
        <v/>
      </c>
      <c r="U565" s="16">
        <f>ROUND(U564+IF(AND(E565=20,F565&lt;&gt;"ASTM A416"),L565,0),3)</f>
        <v/>
      </c>
      <c r="V565" s="16">
        <f>ROUND(V564+IF(AND(E565=22,F565&lt;&gt;"ASTM A416"),L565,0),3)</f>
        <v/>
      </c>
      <c r="W565" s="16">
        <f>ROUND(W564+IF(AND(E565=25,F565&lt;&gt;"ASTM A416"),L565,0),3)</f>
        <v/>
      </c>
      <c r="X565" s="16">
        <f>ROUND(X564+IF(AND(E565=28,F565&lt;&gt;"ASTM A416"),L565,0),3)</f>
        <v/>
      </c>
      <c r="Y565" s="16">
        <f>ROUND(Y564+IF(AND(E565=32,F565&lt;&gt;"ASTM A416"),L565,0),3)</f>
        <v/>
      </c>
      <c r="Z565" s="16">
        <f>ROUND(Z564+IF(F565="ASTM A416",L565,0),3)</f>
        <v/>
      </c>
      <c r="AA565" s="9">
        <f>IF(ROUNDUP(P565/20,0)&gt;ROUNDUP(P564/20,0),"Lần " &amp; ROUNDUP(P565/20,0),"")</f>
        <v/>
      </c>
      <c r="AB565" s="9">
        <f>IF(ROUNDUP(Q565/20,0)&gt;ROUNDUP(Q564/20,0),"Lần " &amp; ROUNDUP(Q565/20,0),"")</f>
        <v/>
      </c>
      <c r="AC565" s="9">
        <f>IF(ROUNDUP(R565/20,0)&gt;ROUNDUP(R564/20,0),"Lần " &amp; ROUNDUP(R565/20,0),"")</f>
        <v/>
      </c>
      <c r="AD565" s="9">
        <f>IF(ROUNDUP(S565/20,0)&gt;ROUNDUP(S564/20,0),"Lần " &amp; ROUNDUP(S565/20,0),"")</f>
        <v/>
      </c>
      <c r="AE565" s="9">
        <f>IF(ROUNDUP(T565/20,0)&gt;ROUNDUP(T564/20,0),"Lần " &amp; ROUNDUP(T565/20,0),"")</f>
        <v/>
      </c>
      <c r="AF565" s="9">
        <f>IF(ROUNDUP(U565/20,0)&gt;ROUNDUP(U564/20,0),"Lần " &amp; ROUNDUP(U565/20,0),"")</f>
        <v/>
      </c>
      <c r="AG565" s="9">
        <f>IF(ROUNDUP(V565/20,0)&gt;ROUNDUP(V564/20,0),"Lần " &amp; ROUNDUP(V565/20,0),"")</f>
        <v/>
      </c>
      <c r="AH565" s="9">
        <f>IF(ROUNDUP(W565/20,0)&gt;ROUNDUP(W564/20,0),"Lần " &amp; ROUNDUP(W565/20,0),"")</f>
        <v/>
      </c>
      <c r="AI565" s="9">
        <f>IF(ROUNDUP(X565/20,0)&gt;ROUNDUP(X564/20,0),"Lần " &amp; ROUNDUP(X565/20,0),"")</f>
        <v/>
      </c>
      <c r="AJ565" s="9">
        <f>IF(ROUNDUP(Y565/20,0)&gt;ROUNDUP(Y564/20,0),"Lần " &amp; ROUNDUP(Y565/20,0),"")</f>
        <v/>
      </c>
      <c r="AK565" s="9">
        <f>IF(ROUNDUP(Z565/20,0)&gt;ROUNDUP(Z564/20,0),"Lần " &amp; ROUNDUP(Z565/20,0),"")</f>
        <v/>
      </c>
      <c r="AL565" s="4" t="n"/>
      <c r="AN565" s="596" t="inlineStr">
        <is>
          <t>Than</t>
        </is>
      </c>
      <c r="AO565" s="596" t="n">
        <v>32</v>
      </c>
      <c r="AQ565" s="594" t="n"/>
      <c r="AR565" s="595" t="n"/>
    </row>
    <row r="566" ht="19" customHeight="1" s="672">
      <c r="A566" s="4" t="n">
        <v>534</v>
      </c>
      <c r="B566" s="5" t="inlineStr">
        <is>
          <t>Mố M1</t>
        </is>
      </c>
      <c r="C566" s="5" t="inlineStr">
        <is>
          <t>Mố M1 (tr.31)</t>
        </is>
      </c>
      <c r="D566" s="14" t="inlineStr">
        <is>
          <t>U1</t>
        </is>
      </c>
      <c r="E566" s="15" t="n">
        <v>16</v>
      </c>
      <c r="F566" s="4" t="inlineStr">
        <is>
          <t>CB400-V</t>
        </is>
      </c>
      <c r="G566" s="5" t="inlineStr">
        <is>
          <t>S06</t>
        </is>
      </c>
      <c r="H566" s="16" t="n">
        <v>4.192</v>
      </c>
      <c r="I566" s="17" t="n">
        <v>8</v>
      </c>
      <c r="J566" s="18" t="n">
        <v>1.578</v>
      </c>
      <c r="K566" s="7">
        <f>ROUND(H566*I566*J566, 2)</f>
        <v/>
      </c>
      <c r="L566" s="19">
        <f>ROUND(K566/1000, 3)</f>
        <v/>
      </c>
      <c r="M566" s="728">
        <f>IF(AO566="","",IF(N(INDEX(Theo_Doi_Tan_Suat_Be_Tong!$C:$C,AO566))&lt;=0,"",INDEX(Theo_Doi_Tan_Suat_Be_Tong!$C:$C,AO566)-VLOOKUP(AN566,$AQ$2:$AR$7,2,FALSE)))</f>
        <v/>
      </c>
      <c r="N566" s="4" t="n"/>
      <c r="O566" s="20">
        <f>IF(ROUNDUP(S566/20,0)&gt;ROUNDUP(S565/20,0),"TN Ø16 (Lần " &amp; ROUNDUP(S566/20,0) &amp; ")","")</f>
        <v/>
      </c>
      <c r="P566" s="16">
        <f>ROUND(P565+IF(AND(E566&lt;=10,F566&lt;&gt;"ASTM A416"),L566,0),3)</f>
        <v/>
      </c>
      <c r="Q566" s="16">
        <f>ROUND(Q565+IF(AND(E566=12,F566&lt;&gt;"ASTM A416"),L566,0),3)</f>
        <v/>
      </c>
      <c r="R566" s="16">
        <f>ROUND(R565+IF(AND(E566=14,F566&lt;&gt;"ASTM A416"),L566,0),3)</f>
        <v/>
      </c>
      <c r="S566" s="16">
        <f>ROUND(S565+IF(AND(E566=16,F566&lt;&gt;"ASTM A416"),L566,0),3)</f>
        <v/>
      </c>
      <c r="T566" s="16">
        <f>ROUND(T565+IF(AND(E566=18,F566&lt;&gt;"ASTM A416"),L566,0),3)</f>
        <v/>
      </c>
      <c r="U566" s="16">
        <f>ROUND(U565+IF(AND(E566=20,F566&lt;&gt;"ASTM A416"),L566,0),3)</f>
        <v/>
      </c>
      <c r="V566" s="16">
        <f>ROUND(V565+IF(AND(E566=22,F566&lt;&gt;"ASTM A416"),L566,0),3)</f>
        <v/>
      </c>
      <c r="W566" s="16">
        <f>ROUND(W565+IF(AND(E566=25,F566&lt;&gt;"ASTM A416"),L566,0),3)</f>
        <v/>
      </c>
      <c r="X566" s="16">
        <f>ROUND(X565+IF(AND(E566=28,F566&lt;&gt;"ASTM A416"),L566,0),3)</f>
        <v/>
      </c>
      <c r="Y566" s="16">
        <f>ROUND(Y565+IF(AND(E566=32,F566&lt;&gt;"ASTM A416"),L566,0),3)</f>
        <v/>
      </c>
      <c r="Z566" s="16">
        <f>ROUND(Z565+IF(F566="ASTM A416",L566,0),3)</f>
        <v/>
      </c>
      <c r="AA566" s="9">
        <f>IF(ROUNDUP(P566/20,0)&gt;ROUNDUP(P565/20,0),"Lần " &amp; ROUNDUP(P566/20,0),"")</f>
        <v/>
      </c>
      <c r="AB566" s="9">
        <f>IF(ROUNDUP(Q566/20,0)&gt;ROUNDUP(Q565/20,0),"Lần " &amp; ROUNDUP(Q566/20,0),"")</f>
        <v/>
      </c>
      <c r="AC566" s="9">
        <f>IF(ROUNDUP(R566/20,0)&gt;ROUNDUP(R565/20,0),"Lần " &amp; ROUNDUP(R566/20,0),"")</f>
        <v/>
      </c>
      <c r="AD566" s="9">
        <f>IF(ROUNDUP(S566/20,0)&gt;ROUNDUP(S565/20,0),"Lần " &amp; ROUNDUP(S566/20,0),"")</f>
        <v/>
      </c>
      <c r="AE566" s="9">
        <f>IF(ROUNDUP(T566/20,0)&gt;ROUNDUP(T565/20,0),"Lần " &amp; ROUNDUP(T566/20,0),"")</f>
        <v/>
      </c>
      <c r="AF566" s="9">
        <f>IF(ROUNDUP(U566/20,0)&gt;ROUNDUP(U565/20,0),"Lần " &amp; ROUNDUP(U566/20,0),"")</f>
        <v/>
      </c>
      <c r="AG566" s="9">
        <f>IF(ROUNDUP(V566/20,0)&gt;ROUNDUP(V565/20,0),"Lần " &amp; ROUNDUP(V566/20,0),"")</f>
        <v/>
      </c>
      <c r="AH566" s="9">
        <f>IF(ROUNDUP(W566/20,0)&gt;ROUNDUP(W565/20,0),"Lần " &amp; ROUNDUP(W566/20,0),"")</f>
        <v/>
      </c>
      <c r="AI566" s="9">
        <f>IF(ROUNDUP(X566/20,0)&gt;ROUNDUP(X565/20,0),"Lần " &amp; ROUNDUP(X566/20,0),"")</f>
        <v/>
      </c>
      <c r="AJ566" s="9">
        <f>IF(ROUNDUP(Y566/20,0)&gt;ROUNDUP(Y565/20,0),"Lần " &amp; ROUNDUP(Y566/20,0),"")</f>
        <v/>
      </c>
      <c r="AK566" s="9">
        <f>IF(ROUNDUP(Z566/20,0)&gt;ROUNDUP(Z565/20,0),"Lần " &amp; ROUNDUP(Z566/20,0),"")</f>
        <v/>
      </c>
      <c r="AL566" s="4" t="n"/>
      <c r="AN566" s="596" t="inlineStr">
        <is>
          <t>Than</t>
        </is>
      </c>
      <c r="AO566" s="596" t="n">
        <v>32</v>
      </c>
      <c r="AQ566" s="594" t="n"/>
      <c r="AR566" s="595" t="n"/>
    </row>
    <row r="567" ht="19" customHeight="1" s="672">
      <c r="A567" s="4" t="n">
        <v>535</v>
      </c>
      <c r="B567" s="5" t="inlineStr">
        <is>
          <t>Mố M1</t>
        </is>
      </c>
      <c r="C567" s="5" t="inlineStr">
        <is>
          <t>Mố M1 (tr.31)</t>
        </is>
      </c>
      <c r="D567" s="14" t="inlineStr">
        <is>
          <t>U2</t>
        </is>
      </c>
      <c r="E567" s="15" t="n">
        <v>16</v>
      </c>
      <c r="F567" s="4" t="inlineStr">
        <is>
          <t>CB400-V</t>
        </is>
      </c>
      <c r="G567" s="5" t="inlineStr">
        <is>
          <t>S06</t>
        </is>
      </c>
      <c r="H567" s="16" t="n">
        <v>3.892</v>
      </c>
      <c r="I567" s="17" t="n">
        <v>14</v>
      </c>
      <c r="J567" s="18" t="n">
        <v>1.578</v>
      </c>
      <c r="K567" s="7">
        <f>ROUND(H567*I567*J567, 2)</f>
        <v/>
      </c>
      <c r="L567" s="19">
        <f>ROUND(K567/1000, 3)</f>
        <v/>
      </c>
      <c r="M567" s="728">
        <f>IF(AO567="","",IF(N(INDEX(Theo_Doi_Tan_Suat_Be_Tong!$C:$C,AO567))&lt;=0,"",INDEX(Theo_Doi_Tan_Suat_Be_Tong!$C:$C,AO567)-VLOOKUP(AN567,$AQ$2:$AR$7,2,FALSE)))</f>
        <v/>
      </c>
      <c r="N567" s="4" t="n"/>
      <c r="O567" s="20">
        <f>IF(ROUNDUP(S567/20,0)&gt;ROUNDUP(S566/20,0),"TN Ø16 (Lần " &amp; ROUNDUP(S567/20,0) &amp; ")","")</f>
        <v/>
      </c>
      <c r="P567" s="16">
        <f>ROUND(P566+IF(AND(E567&lt;=10,F567&lt;&gt;"ASTM A416"),L567,0),3)</f>
        <v/>
      </c>
      <c r="Q567" s="16">
        <f>ROUND(Q566+IF(AND(E567=12,F567&lt;&gt;"ASTM A416"),L567,0),3)</f>
        <v/>
      </c>
      <c r="R567" s="16">
        <f>ROUND(R566+IF(AND(E567=14,F567&lt;&gt;"ASTM A416"),L567,0),3)</f>
        <v/>
      </c>
      <c r="S567" s="16">
        <f>ROUND(S566+IF(AND(E567=16,F567&lt;&gt;"ASTM A416"),L567,0),3)</f>
        <v/>
      </c>
      <c r="T567" s="16">
        <f>ROUND(T566+IF(AND(E567=18,F567&lt;&gt;"ASTM A416"),L567,0),3)</f>
        <v/>
      </c>
      <c r="U567" s="16">
        <f>ROUND(U566+IF(AND(E567=20,F567&lt;&gt;"ASTM A416"),L567,0),3)</f>
        <v/>
      </c>
      <c r="V567" s="16">
        <f>ROUND(V566+IF(AND(E567=22,F567&lt;&gt;"ASTM A416"),L567,0),3)</f>
        <v/>
      </c>
      <c r="W567" s="16">
        <f>ROUND(W566+IF(AND(E567=25,F567&lt;&gt;"ASTM A416"),L567,0),3)</f>
        <v/>
      </c>
      <c r="X567" s="16">
        <f>ROUND(X566+IF(AND(E567=28,F567&lt;&gt;"ASTM A416"),L567,0),3)</f>
        <v/>
      </c>
      <c r="Y567" s="16">
        <f>ROUND(Y566+IF(AND(E567=32,F567&lt;&gt;"ASTM A416"),L567,0),3)</f>
        <v/>
      </c>
      <c r="Z567" s="16">
        <f>ROUND(Z566+IF(F567="ASTM A416",L567,0),3)</f>
        <v/>
      </c>
      <c r="AA567" s="9">
        <f>IF(ROUNDUP(P567/20,0)&gt;ROUNDUP(P566/20,0),"Lần " &amp; ROUNDUP(P567/20,0),"")</f>
        <v/>
      </c>
      <c r="AB567" s="9">
        <f>IF(ROUNDUP(Q567/20,0)&gt;ROUNDUP(Q566/20,0),"Lần " &amp; ROUNDUP(Q567/20,0),"")</f>
        <v/>
      </c>
      <c r="AC567" s="9">
        <f>IF(ROUNDUP(R567/20,0)&gt;ROUNDUP(R566/20,0),"Lần " &amp; ROUNDUP(R567/20,0),"")</f>
        <v/>
      </c>
      <c r="AD567" s="9">
        <f>IF(ROUNDUP(S567/20,0)&gt;ROUNDUP(S566/20,0),"Lần " &amp; ROUNDUP(S567/20,0),"")</f>
        <v/>
      </c>
      <c r="AE567" s="9">
        <f>IF(ROUNDUP(T567/20,0)&gt;ROUNDUP(T566/20,0),"Lần " &amp; ROUNDUP(T567/20,0),"")</f>
        <v/>
      </c>
      <c r="AF567" s="9">
        <f>IF(ROUNDUP(U567/20,0)&gt;ROUNDUP(U566/20,0),"Lần " &amp; ROUNDUP(U567/20,0),"")</f>
        <v/>
      </c>
      <c r="AG567" s="9">
        <f>IF(ROUNDUP(V567/20,0)&gt;ROUNDUP(V566/20,0),"Lần " &amp; ROUNDUP(V567/20,0),"")</f>
        <v/>
      </c>
      <c r="AH567" s="9">
        <f>IF(ROUNDUP(W567/20,0)&gt;ROUNDUP(W566/20,0),"Lần " &amp; ROUNDUP(W567/20,0),"")</f>
        <v/>
      </c>
      <c r="AI567" s="9">
        <f>IF(ROUNDUP(X567/20,0)&gt;ROUNDUP(X566/20,0),"Lần " &amp; ROUNDUP(X567/20,0),"")</f>
        <v/>
      </c>
      <c r="AJ567" s="9">
        <f>IF(ROUNDUP(Y567/20,0)&gt;ROUNDUP(Y566/20,0),"Lần " &amp; ROUNDUP(Y567/20,0),"")</f>
        <v/>
      </c>
      <c r="AK567" s="9">
        <f>IF(ROUNDUP(Z567/20,0)&gt;ROUNDUP(Z566/20,0),"Lần " &amp; ROUNDUP(Z567/20,0),"")</f>
        <v/>
      </c>
      <c r="AL567" s="4" t="n"/>
      <c r="AN567" s="596" t="inlineStr">
        <is>
          <t>Than</t>
        </is>
      </c>
      <c r="AO567" s="596" t="n">
        <v>32</v>
      </c>
      <c r="AQ567" s="594" t="n"/>
      <c r="AR567" s="595" t="n"/>
    </row>
    <row r="568" ht="19" customHeight="1" s="672">
      <c r="A568" s="4" t="n">
        <v>536</v>
      </c>
      <c r="B568" s="5" t="inlineStr">
        <is>
          <t>Mố M1</t>
        </is>
      </c>
      <c r="C568" s="5" t="inlineStr">
        <is>
          <t>Mố M1 (tr.31)</t>
        </is>
      </c>
      <c r="D568" s="14" t="inlineStr">
        <is>
          <t>U3</t>
        </is>
      </c>
      <c r="E568" s="15" t="n">
        <v>16</v>
      </c>
      <c r="F568" s="4" t="inlineStr">
        <is>
          <t>CB400-V</t>
        </is>
      </c>
      <c r="G568" s="5" t="inlineStr">
        <is>
          <t>S51</t>
        </is>
      </c>
      <c r="H568" s="16" t="n">
        <v>3.256</v>
      </c>
      <c r="I568" s="17" t="n">
        <v>22</v>
      </c>
      <c r="J568" s="18" t="n">
        <v>1.578</v>
      </c>
      <c r="K568" s="7">
        <f>ROUND(H568*I568*J568, 2)</f>
        <v/>
      </c>
      <c r="L568" s="19">
        <f>ROUND(K568/1000, 3)</f>
        <v/>
      </c>
      <c r="M568" s="728">
        <f>IF(AO568="","",IF(N(INDEX(Theo_Doi_Tan_Suat_Be_Tong!$C:$C,AO568))&lt;=0,"",INDEX(Theo_Doi_Tan_Suat_Be_Tong!$C:$C,AO568)-VLOOKUP(AN568,$AQ$2:$AR$7,2,FALSE)))</f>
        <v/>
      </c>
      <c r="N568" s="4" t="n"/>
      <c r="O568" s="20">
        <f>IF(ROUNDUP(S568/20,0)&gt;ROUNDUP(S567/20,0),"TN Ø16 (Lần " &amp; ROUNDUP(S568/20,0) &amp; ")","")</f>
        <v/>
      </c>
      <c r="P568" s="16">
        <f>ROUND(P567+IF(AND(E568&lt;=10,F568&lt;&gt;"ASTM A416"),L568,0),3)</f>
        <v/>
      </c>
      <c r="Q568" s="16">
        <f>ROUND(Q567+IF(AND(E568=12,F568&lt;&gt;"ASTM A416"),L568,0),3)</f>
        <v/>
      </c>
      <c r="R568" s="16">
        <f>ROUND(R567+IF(AND(E568=14,F568&lt;&gt;"ASTM A416"),L568,0),3)</f>
        <v/>
      </c>
      <c r="S568" s="16">
        <f>ROUND(S567+IF(AND(E568=16,F568&lt;&gt;"ASTM A416"),L568,0),3)</f>
        <v/>
      </c>
      <c r="T568" s="16">
        <f>ROUND(T567+IF(AND(E568=18,F568&lt;&gt;"ASTM A416"),L568,0),3)</f>
        <v/>
      </c>
      <c r="U568" s="16">
        <f>ROUND(U567+IF(AND(E568=20,F568&lt;&gt;"ASTM A416"),L568,0),3)</f>
        <v/>
      </c>
      <c r="V568" s="16">
        <f>ROUND(V567+IF(AND(E568=22,F568&lt;&gt;"ASTM A416"),L568,0),3)</f>
        <v/>
      </c>
      <c r="W568" s="16">
        <f>ROUND(W567+IF(AND(E568=25,F568&lt;&gt;"ASTM A416"),L568,0),3)</f>
        <v/>
      </c>
      <c r="X568" s="16">
        <f>ROUND(X567+IF(AND(E568=28,F568&lt;&gt;"ASTM A416"),L568,0),3)</f>
        <v/>
      </c>
      <c r="Y568" s="16">
        <f>ROUND(Y567+IF(AND(E568=32,F568&lt;&gt;"ASTM A416"),L568,0),3)</f>
        <v/>
      </c>
      <c r="Z568" s="16">
        <f>ROUND(Z567+IF(F568="ASTM A416",L568,0),3)</f>
        <v/>
      </c>
      <c r="AA568" s="9">
        <f>IF(ROUNDUP(P568/20,0)&gt;ROUNDUP(P567/20,0),"Lần " &amp; ROUNDUP(P568/20,0),"")</f>
        <v/>
      </c>
      <c r="AB568" s="9">
        <f>IF(ROUNDUP(Q568/20,0)&gt;ROUNDUP(Q567/20,0),"Lần " &amp; ROUNDUP(Q568/20,0),"")</f>
        <v/>
      </c>
      <c r="AC568" s="9">
        <f>IF(ROUNDUP(R568/20,0)&gt;ROUNDUP(R567/20,0),"Lần " &amp; ROUNDUP(R568/20,0),"")</f>
        <v/>
      </c>
      <c r="AD568" s="9">
        <f>IF(ROUNDUP(S568/20,0)&gt;ROUNDUP(S567/20,0),"Lần " &amp; ROUNDUP(S568/20,0),"")</f>
        <v/>
      </c>
      <c r="AE568" s="9">
        <f>IF(ROUNDUP(T568/20,0)&gt;ROUNDUP(T567/20,0),"Lần " &amp; ROUNDUP(T568/20,0),"")</f>
        <v/>
      </c>
      <c r="AF568" s="9">
        <f>IF(ROUNDUP(U568/20,0)&gt;ROUNDUP(U567/20,0),"Lần " &amp; ROUNDUP(U568/20,0),"")</f>
        <v/>
      </c>
      <c r="AG568" s="9">
        <f>IF(ROUNDUP(V568/20,0)&gt;ROUNDUP(V567/20,0),"Lần " &amp; ROUNDUP(V568/20,0),"")</f>
        <v/>
      </c>
      <c r="AH568" s="9">
        <f>IF(ROUNDUP(W568/20,0)&gt;ROUNDUP(W567/20,0),"Lần " &amp; ROUNDUP(W568/20,0),"")</f>
        <v/>
      </c>
      <c r="AI568" s="9">
        <f>IF(ROUNDUP(X568/20,0)&gt;ROUNDUP(X567/20,0),"Lần " &amp; ROUNDUP(X568/20,0),"")</f>
        <v/>
      </c>
      <c r="AJ568" s="9">
        <f>IF(ROUNDUP(Y568/20,0)&gt;ROUNDUP(Y567/20,0),"Lần " &amp; ROUNDUP(Y568/20,0),"")</f>
        <v/>
      </c>
      <c r="AK568" s="9">
        <f>IF(ROUNDUP(Z568/20,0)&gt;ROUNDUP(Z567/20,0),"Lần " &amp; ROUNDUP(Z568/20,0),"")</f>
        <v/>
      </c>
      <c r="AL568" s="4" t="n"/>
      <c r="AN568" s="596" t="inlineStr">
        <is>
          <t>Than</t>
        </is>
      </c>
      <c r="AO568" s="596" t="n">
        <v>32</v>
      </c>
      <c r="AQ568" s="594" t="n"/>
      <c r="AR568" s="595" t="n"/>
    </row>
    <row r="569" ht="19" customHeight="1" s="672">
      <c r="A569" s="4" t="n">
        <v>537</v>
      </c>
      <c r="B569" s="5" t="inlineStr">
        <is>
          <t>Mố M1</t>
        </is>
      </c>
      <c r="C569" s="5" t="inlineStr">
        <is>
          <t>Mố M1 (tr.31)</t>
        </is>
      </c>
      <c r="D569" s="14" t="inlineStr">
        <is>
          <t>U4</t>
        </is>
      </c>
      <c r="E569" s="15" t="n">
        <v>16</v>
      </c>
      <c r="F569" s="4" t="inlineStr">
        <is>
          <t>CB400-V</t>
        </is>
      </c>
      <c r="G569" s="5" t="inlineStr">
        <is>
          <t>S32</t>
        </is>
      </c>
      <c r="H569" s="16" t="n">
        <v>1.64</v>
      </c>
      <c r="I569" s="17" t="n">
        <v>4</v>
      </c>
      <c r="J569" s="18" t="n">
        <v>1.578</v>
      </c>
      <c r="K569" s="7">
        <f>ROUND(H569*I569*J569, 2)</f>
        <v/>
      </c>
      <c r="L569" s="19">
        <f>ROUND(K569/1000, 3)</f>
        <v/>
      </c>
      <c r="M569" s="728">
        <f>IF(AO569="","",IF(N(INDEX(Theo_Doi_Tan_Suat_Be_Tong!$C:$C,AO569))&lt;=0,"",INDEX(Theo_Doi_Tan_Suat_Be_Tong!$C:$C,AO569)-VLOOKUP(AN569,$AQ$2:$AR$7,2,FALSE)))</f>
        <v/>
      </c>
      <c r="N569" s="4" t="n"/>
      <c r="O569" s="20">
        <f>IF(ROUNDUP(S569/20,0)&gt;ROUNDUP(S568/20,0),"TN Ø16 (Lần " &amp; ROUNDUP(S569/20,0) &amp; ")","")</f>
        <v/>
      </c>
      <c r="P569" s="16">
        <f>ROUND(P568+IF(AND(E569&lt;=10,F569&lt;&gt;"ASTM A416"),L569,0),3)</f>
        <v/>
      </c>
      <c r="Q569" s="16">
        <f>ROUND(Q568+IF(AND(E569=12,F569&lt;&gt;"ASTM A416"),L569,0),3)</f>
        <v/>
      </c>
      <c r="R569" s="16">
        <f>ROUND(R568+IF(AND(E569=14,F569&lt;&gt;"ASTM A416"),L569,0),3)</f>
        <v/>
      </c>
      <c r="S569" s="16">
        <f>ROUND(S568+IF(AND(E569=16,F569&lt;&gt;"ASTM A416"),L569,0),3)</f>
        <v/>
      </c>
      <c r="T569" s="16">
        <f>ROUND(T568+IF(AND(E569=18,F569&lt;&gt;"ASTM A416"),L569,0),3)</f>
        <v/>
      </c>
      <c r="U569" s="16">
        <f>ROUND(U568+IF(AND(E569=20,F569&lt;&gt;"ASTM A416"),L569,0),3)</f>
        <v/>
      </c>
      <c r="V569" s="16">
        <f>ROUND(V568+IF(AND(E569=22,F569&lt;&gt;"ASTM A416"),L569,0),3)</f>
        <v/>
      </c>
      <c r="W569" s="16">
        <f>ROUND(W568+IF(AND(E569=25,F569&lt;&gt;"ASTM A416"),L569,0),3)</f>
        <v/>
      </c>
      <c r="X569" s="16">
        <f>ROUND(X568+IF(AND(E569=28,F569&lt;&gt;"ASTM A416"),L569,0),3)</f>
        <v/>
      </c>
      <c r="Y569" s="16">
        <f>ROUND(Y568+IF(AND(E569=32,F569&lt;&gt;"ASTM A416"),L569,0),3)</f>
        <v/>
      </c>
      <c r="Z569" s="16">
        <f>ROUND(Z568+IF(F569="ASTM A416",L569,0),3)</f>
        <v/>
      </c>
      <c r="AA569" s="9">
        <f>IF(ROUNDUP(P569/20,0)&gt;ROUNDUP(P568/20,0),"Lần " &amp; ROUNDUP(P569/20,0),"")</f>
        <v/>
      </c>
      <c r="AB569" s="9">
        <f>IF(ROUNDUP(Q569/20,0)&gt;ROUNDUP(Q568/20,0),"Lần " &amp; ROUNDUP(Q569/20,0),"")</f>
        <v/>
      </c>
      <c r="AC569" s="9">
        <f>IF(ROUNDUP(R569/20,0)&gt;ROUNDUP(R568/20,0),"Lần " &amp; ROUNDUP(R569/20,0),"")</f>
        <v/>
      </c>
      <c r="AD569" s="9">
        <f>IF(ROUNDUP(S569/20,0)&gt;ROUNDUP(S568/20,0),"Lần " &amp; ROUNDUP(S569/20,0),"")</f>
        <v/>
      </c>
      <c r="AE569" s="9">
        <f>IF(ROUNDUP(T569/20,0)&gt;ROUNDUP(T568/20,0),"Lần " &amp; ROUNDUP(T569/20,0),"")</f>
        <v/>
      </c>
      <c r="AF569" s="9">
        <f>IF(ROUNDUP(U569/20,0)&gt;ROUNDUP(U568/20,0),"Lần " &amp; ROUNDUP(U569/20,0),"")</f>
        <v/>
      </c>
      <c r="AG569" s="9">
        <f>IF(ROUNDUP(V569/20,0)&gt;ROUNDUP(V568/20,0),"Lần " &amp; ROUNDUP(V569/20,0),"")</f>
        <v/>
      </c>
      <c r="AH569" s="9">
        <f>IF(ROUNDUP(W569/20,0)&gt;ROUNDUP(W568/20,0),"Lần " &amp; ROUNDUP(W569/20,0),"")</f>
        <v/>
      </c>
      <c r="AI569" s="9">
        <f>IF(ROUNDUP(X569/20,0)&gt;ROUNDUP(X568/20,0),"Lần " &amp; ROUNDUP(X569/20,0),"")</f>
        <v/>
      </c>
      <c r="AJ569" s="9">
        <f>IF(ROUNDUP(Y569/20,0)&gt;ROUNDUP(Y568/20,0),"Lần " &amp; ROUNDUP(Y569/20,0),"")</f>
        <v/>
      </c>
      <c r="AK569" s="9">
        <f>IF(ROUNDUP(Z569/20,0)&gt;ROUNDUP(Z568/20,0),"Lần " &amp; ROUNDUP(Z569/20,0),"")</f>
        <v/>
      </c>
      <c r="AL569" s="4" t="n"/>
      <c r="AN569" s="596" t="inlineStr">
        <is>
          <t>Than</t>
        </is>
      </c>
      <c r="AO569" s="596" t="n">
        <v>32</v>
      </c>
      <c r="AQ569" s="594" t="n"/>
      <c r="AR569" s="595" t="n"/>
    </row>
    <row r="570" ht="19" customHeight="1" s="672">
      <c r="A570" s="4" t="n">
        <v>538</v>
      </c>
      <c r="B570" s="5" t="inlineStr">
        <is>
          <t>Mố M1</t>
        </is>
      </c>
      <c r="C570" s="5" t="inlineStr">
        <is>
          <t>Mố M1 (tr.31)</t>
        </is>
      </c>
      <c r="D570" s="14" t="inlineStr">
        <is>
          <t>B1</t>
        </is>
      </c>
      <c r="E570" s="15" t="n">
        <v>8</v>
      </c>
      <c r="F570" s="4" t="inlineStr">
        <is>
          <t>CB240-T</t>
        </is>
      </c>
      <c r="G570" s="5" t="inlineStr">
        <is>
          <t>S01</t>
        </is>
      </c>
      <c r="H570" s="16" t="n">
        <v>0.64</v>
      </c>
      <c r="I570" s="17" t="n">
        <v>50</v>
      </c>
      <c r="J570" s="18" t="n">
        <v>0.395</v>
      </c>
      <c r="K570" s="7">
        <f>ROUND(H570*I570*J570, 2)</f>
        <v/>
      </c>
      <c r="L570" s="19">
        <f>ROUND(K570/1000, 3)</f>
        <v/>
      </c>
      <c r="M570" s="728">
        <f>IF(AO570="","",IF(N(INDEX(Theo_Doi_Tan_Suat_Be_Tong!$C:$C,AO570))&lt;=0,"",INDEX(Theo_Doi_Tan_Suat_Be_Tong!$C:$C,AO570)-VLOOKUP(AN570,$AQ$2:$AR$7,2,FALSE)))</f>
        <v/>
      </c>
      <c r="N570" s="4" t="n"/>
      <c r="O570" s="20">
        <f>IF(ROUNDUP(P570/20,0)&gt;ROUNDUP(P569/20,0),"TN Ø10 (Lần " &amp; ROUNDUP(P570/20,0) &amp; ")","")</f>
        <v/>
      </c>
      <c r="P570" s="16">
        <f>ROUND(P569+IF(AND(E570&lt;=10,F570&lt;&gt;"ASTM A416"),L570,0),3)</f>
        <v/>
      </c>
      <c r="Q570" s="16">
        <f>ROUND(Q569+IF(AND(E570=12,F570&lt;&gt;"ASTM A416"),L570,0),3)</f>
        <v/>
      </c>
      <c r="R570" s="16">
        <f>ROUND(R569+IF(AND(E570=14,F570&lt;&gt;"ASTM A416"),L570,0),3)</f>
        <v/>
      </c>
      <c r="S570" s="16">
        <f>ROUND(S569+IF(AND(E570=16,F570&lt;&gt;"ASTM A416"),L570,0),3)</f>
        <v/>
      </c>
      <c r="T570" s="16">
        <f>ROUND(T569+IF(AND(E570=18,F570&lt;&gt;"ASTM A416"),L570,0),3)</f>
        <v/>
      </c>
      <c r="U570" s="16">
        <f>ROUND(U569+IF(AND(E570=20,F570&lt;&gt;"ASTM A416"),L570,0),3)</f>
        <v/>
      </c>
      <c r="V570" s="16">
        <f>ROUND(V569+IF(AND(E570=22,F570&lt;&gt;"ASTM A416"),L570,0),3)</f>
        <v/>
      </c>
      <c r="W570" s="16">
        <f>ROUND(W569+IF(AND(E570=25,F570&lt;&gt;"ASTM A416"),L570,0),3)</f>
        <v/>
      </c>
      <c r="X570" s="16">
        <f>ROUND(X569+IF(AND(E570=28,F570&lt;&gt;"ASTM A416"),L570,0),3)</f>
        <v/>
      </c>
      <c r="Y570" s="16">
        <f>ROUND(Y569+IF(AND(E570=32,F570&lt;&gt;"ASTM A416"),L570,0),3)</f>
        <v/>
      </c>
      <c r="Z570" s="16">
        <f>ROUND(Z569+IF(F570="ASTM A416",L570,0),3)</f>
        <v/>
      </c>
      <c r="AA570" s="9">
        <f>IF(ROUNDUP(P570/20,0)&gt;ROUNDUP(P569/20,0),"Lần " &amp; ROUNDUP(P570/20,0),"")</f>
        <v/>
      </c>
      <c r="AB570" s="9">
        <f>IF(ROUNDUP(Q570/20,0)&gt;ROUNDUP(Q569/20,0),"Lần " &amp; ROUNDUP(Q570/20,0),"")</f>
        <v/>
      </c>
      <c r="AC570" s="9">
        <f>IF(ROUNDUP(R570/20,0)&gt;ROUNDUP(R569/20,0),"Lần " &amp; ROUNDUP(R570/20,0),"")</f>
        <v/>
      </c>
      <c r="AD570" s="9">
        <f>IF(ROUNDUP(S570/20,0)&gt;ROUNDUP(S569/20,0),"Lần " &amp; ROUNDUP(S570/20,0),"")</f>
        <v/>
      </c>
      <c r="AE570" s="9">
        <f>IF(ROUNDUP(T570/20,0)&gt;ROUNDUP(T569/20,0),"Lần " &amp; ROUNDUP(T570/20,0),"")</f>
        <v/>
      </c>
      <c r="AF570" s="9">
        <f>IF(ROUNDUP(U570/20,0)&gt;ROUNDUP(U569/20,0),"Lần " &amp; ROUNDUP(U570/20,0),"")</f>
        <v/>
      </c>
      <c r="AG570" s="9">
        <f>IF(ROUNDUP(V570/20,0)&gt;ROUNDUP(V569/20,0),"Lần " &amp; ROUNDUP(V570/20,0),"")</f>
        <v/>
      </c>
      <c r="AH570" s="9">
        <f>IF(ROUNDUP(W570/20,0)&gt;ROUNDUP(W569/20,0),"Lần " &amp; ROUNDUP(W570/20,0),"")</f>
        <v/>
      </c>
      <c r="AI570" s="9">
        <f>IF(ROUNDUP(X570/20,0)&gt;ROUNDUP(X569/20,0),"Lần " &amp; ROUNDUP(X570/20,0),"")</f>
        <v/>
      </c>
      <c r="AJ570" s="9">
        <f>IF(ROUNDUP(Y570/20,0)&gt;ROUNDUP(Y569/20,0),"Lần " &amp; ROUNDUP(Y570/20,0),"")</f>
        <v/>
      </c>
      <c r="AK570" s="9">
        <f>IF(ROUNDUP(Z570/20,0)&gt;ROUNDUP(Z569/20,0),"Lần " &amp; ROUNDUP(Z570/20,0),"")</f>
        <v/>
      </c>
      <c r="AL570" s="4" t="n"/>
      <c r="AN570" s="596" t="inlineStr">
        <is>
          <t>Than</t>
        </is>
      </c>
      <c r="AO570" s="596" t="n">
        <v>32</v>
      </c>
      <c r="AQ570" s="594" t="n"/>
      <c r="AR570" s="595" t="n"/>
    </row>
    <row r="571" ht="19" customHeight="1" s="672">
      <c r="A571" s="4" t="n">
        <v>539</v>
      </c>
      <c r="B571" s="5" t="inlineStr">
        <is>
          <t>Mố M1</t>
        </is>
      </c>
      <c r="C571" s="5" t="inlineStr">
        <is>
          <t>Mố M1 (tr.31)</t>
        </is>
      </c>
      <c r="D571" s="14" t="inlineStr">
        <is>
          <t>B2</t>
        </is>
      </c>
      <c r="E571" s="15" t="n">
        <v>8</v>
      </c>
      <c r="F571" s="4" t="inlineStr">
        <is>
          <t>CB240-T</t>
        </is>
      </c>
      <c r="G571" s="5" t="inlineStr">
        <is>
          <t>S01</t>
        </is>
      </c>
      <c r="H571" s="16" t="n">
        <v>0.48</v>
      </c>
      <c r="I571" s="17" t="n">
        <v>65</v>
      </c>
      <c r="J571" s="18" t="n">
        <v>0.395</v>
      </c>
      <c r="K571" s="7">
        <f>ROUND(H571*I571*J571, 2)</f>
        <v/>
      </c>
      <c r="L571" s="19">
        <f>ROUND(K571/1000, 3)</f>
        <v/>
      </c>
      <c r="M571" s="728">
        <f>IF(AO571="","",IF(N(INDEX(Theo_Doi_Tan_Suat_Be_Tong!$C:$C,AO571))&lt;=0,"",INDEX(Theo_Doi_Tan_Suat_Be_Tong!$C:$C,AO571)-VLOOKUP(AN571,$AQ$2:$AR$7,2,FALSE)))</f>
        <v/>
      </c>
      <c r="N571" s="4" t="n"/>
      <c r="O571" s="20">
        <f>IF(ROUNDUP(P571/20,0)&gt;ROUNDUP(P570/20,0),"TN Ø10 (Lần " &amp; ROUNDUP(P571/20,0) &amp; ")","")</f>
        <v/>
      </c>
      <c r="P571" s="16">
        <f>ROUND(P570+IF(AND(E571&lt;=10,F571&lt;&gt;"ASTM A416"),L571,0),3)</f>
        <v/>
      </c>
      <c r="Q571" s="16">
        <f>ROUND(Q570+IF(AND(E571=12,F571&lt;&gt;"ASTM A416"),L571,0),3)</f>
        <v/>
      </c>
      <c r="R571" s="16">
        <f>ROUND(R570+IF(AND(E571=14,F571&lt;&gt;"ASTM A416"),L571,0),3)</f>
        <v/>
      </c>
      <c r="S571" s="16">
        <f>ROUND(S570+IF(AND(E571=16,F571&lt;&gt;"ASTM A416"),L571,0),3)</f>
        <v/>
      </c>
      <c r="T571" s="16">
        <f>ROUND(T570+IF(AND(E571=18,F571&lt;&gt;"ASTM A416"),L571,0),3)</f>
        <v/>
      </c>
      <c r="U571" s="16">
        <f>ROUND(U570+IF(AND(E571=20,F571&lt;&gt;"ASTM A416"),L571,0),3)</f>
        <v/>
      </c>
      <c r="V571" s="16">
        <f>ROUND(V570+IF(AND(E571=22,F571&lt;&gt;"ASTM A416"),L571,0),3)</f>
        <v/>
      </c>
      <c r="W571" s="16">
        <f>ROUND(W570+IF(AND(E571=25,F571&lt;&gt;"ASTM A416"),L571,0),3)</f>
        <v/>
      </c>
      <c r="X571" s="16">
        <f>ROUND(X570+IF(AND(E571=28,F571&lt;&gt;"ASTM A416"),L571,0),3)</f>
        <v/>
      </c>
      <c r="Y571" s="16">
        <f>ROUND(Y570+IF(AND(E571=32,F571&lt;&gt;"ASTM A416"),L571,0),3)</f>
        <v/>
      </c>
      <c r="Z571" s="16">
        <f>ROUND(Z570+IF(F571="ASTM A416",L571,0),3)</f>
        <v/>
      </c>
      <c r="AA571" s="9">
        <f>IF(ROUNDUP(P571/20,0)&gt;ROUNDUP(P570/20,0),"Lần " &amp; ROUNDUP(P571/20,0),"")</f>
        <v/>
      </c>
      <c r="AB571" s="9">
        <f>IF(ROUNDUP(Q571/20,0)&gt;ROUNDUP(Q570/20,0),"Lần " &amp; ROUNDUP(Q571/20,0),"")</f>
        <v/>
      </c>
      <c r="AC571" s="9">
        <f>IF(ROUNDUP(R571/20,0)&gt;ROUNDUP(R570/20,0),"Lần " &amp; ROUNDUP(R571/20,0),"")</f>
        <v/>
      </c>
      <c r="AD571" s="9">
        <f>IF(ROUNDUP(S571/20,0)&gt;ROUNDUP(S570/20,0),"Lần " &amp; ROUNDUP(S571/20,0),"")</f>
        <v/>
      </c>
      <c r="AE571" s="9">
        <f>IF(ROUNDUP(T571/20,0)&gt;ROUNDUP(T570/20,0),"Lần " &amp; ROUNDUP(T571/20,0),"")</f>
        <v/>
      </c>
      <c r="AF571" s="9">
        <f>IF(ROUNDUP(U571/20,0)&gt;ROUNDUP(U570/20,0),"Lần " &amp; ROUNDUP(U571/20,0),"")</f>
        <v/>
      </c>
      <c r="AG571" s="9">
        <f>IF(ROUNDUP(V571/20,0)&gt;ROUNDUP(V570/20,0),"Lần " &amp; ROUNDUP(V571/20,0),"")</f>
        <v/>
      </c>
      <c r="AH571" s="9">
        <f>IF(ROUNDUP(W571/20,0)&gt;ROUNDUP(W570/20,0),"Lần " &amp; ROUNDUP(W571/20,0),"")</f>
        <v/>
      </c>
      <c r="AI571" s="9">
        <f>IF(ROUNDUP(X571/20,0)&gt;ROUNDUP(X570/20,0),"Lần " &amp; ROUNDUP(X571/20,0),"")</f>
        <v/>
      </c>
      <c r="AJ571" s="9">
        <f>IF(ROUNDUP(Y571/20,0)&gt;ROUNDUP(Y570/20,0),"Lần " &amp; ROUNDUP(Y571/20,0),"")</f>
        <v/>
      </c>
      <c r="AK571" s="9">
        <f>IF(ROUNDUP(Z571/20,0)&gt;ROUNDUP(Z570/20,0),"Lần " &amp; ROUNDUP(Z571/20,0),"")</f>
        <v/>
      </c>
      <c r="AL571" s="4" t="n"/>
      <c r="AN571" s="596" t="inlineStr">
        <is>
          <t>Than</t>
        </is>
      </c>
      <c r="AO571" s="596" t="n">
        <v>32</v>
      </c>
      <c r="AQ571" s="594" t="n"/>
      <c r="AR571" s="595" t="n"/>
    </row>
    <row r="572" ht="19" customHeight="1" s="672">
      <c r="A572" s="4" t="n">
        <v>540</v>
      </c>
      <c r="B572" s="5" t="inlineStr">
        <is>
          <t>Mố M1</t>
        </is>
      </c>
      <c r="C572" s="5" t="inlineStr">
        <is>
          <t>Mố M1 (tr.31)</t>
        </is>
      </c>
      <c r="D572" s="14" t="inlineStr">
        <is>
          <t>T1</t>
        </is>
      </c>
      <c r="E572" s="15" t="n">
        <v>16</v>
      </c>
      <c r="F572" s="4" t="inlineStr">
        <is>
          <t>CB400-V</t>
        </is>
      </c>
      <c r="G572" s="5" t="inlineStr">
        <is>
          <t>S01</t>
        </is>
      </c>
      <c r="H572" s="16" t="n">
        <v>1.89</v>
      </c>
      <c r="I572" s="17" t="n">
        <v>10</v>
      </c>
      <c r="J572" s="18" t="n">
        <v>1.578</v>
      </c>
      <c r="K572" s="7">
        <f>ROUND(H572*I572*J572, 2)</f>
        <v/>
      </c>
      <c r="L572" s="19">
        <f>ROUND(K572/1000, 3)</f>
        <v/>
      </c>
      <c r="M572" s="728">
        <f>IF(AO572="","",IF(N(INDEX(Theo_Doi_Tan_Suat_Be_Tong!$C:$C,AO572))&lt;=0,"",INDEX(Theo_Doi_Tan_Suat_Be_Tong!$C:$C,AO572)-VLOOKUP(AN572,$AQ$2:$AR$7,2,FALSE)))</f>
        <v/>
      </c>
      <c r="N572" s="4" t="n"/>
      <c r="O572" s="20">
        <f>IF(ROUNDUP(S572/20,0)&gt;ROUNDUP(S571/20,0),"TN Ø16 (Lần " &amp; ROUNDUP(S572/20,0) &amp; ")","")</f>
        <v/>
      </c>
      <c r="P572" s="16">
        <f>ROUND(P571+IF(AND(E572&lt;=10,F572&lt;&gt;"ASTM A416"),L572,0),3)</f>
        <v/>
      </c>
      <c r="Q572" s="16">
        <f>ROUND(Q571+IF(AND(E572=12,F572&lt;&gt;"ASTM A416"),L572,0),3)</f>
        <v/>
      </c>
      <c r="R572" s="16">
        <f>ROUND(R571+IF(AND(E572=14,F572&lt;&gt;"ASTM A416"),L572,0),3)</f>
        <v/>
      </c>
      <c r="S572" s="16">
        <f>ROUND(S571+IF(AND(E572=16,F572&lt;&gt;"ASTM A416"),L572,0),3)</f>
        <v/>
      </c>
      <c r="T572" s="16">
        <f>ROUND(T571+IF(AND(E572=18,F572&lt;&gt;"ASTM A416"),L572,0),3)</f>
        <v/>
      </c>
      <c r="U572" s="16">
        <f>ROUND(U571+IF(AND(E572=20,F572&lt;&gt;"ASTM A416"),L572,0),3)</f>
        <v/>
      </c>
      <c r="V572" s="16">
        <f>ROUND(V571+IF(AND(E572=22,F572&lt;&gt;"ASTM A416"),L572,0),3)</f>
        <v/>
      </c>
      <c r="W572" s="16">
        <f>ROUND(W571+IF(AND(E572=25,F572&lt;&gt;"ASTM A416"),L572,0),3)</f>
        <v/>
      </c>
      <c r="X572" s="16">
        <f>ROUND(X571+IF(AND(E572=28,F572&lt;&gt;"ASTM A416"),L572,0),3)</f>
        <v/>
      </c>
      <c r="Y572" s="16">
        <f>ROUND(Y571+IF(AND(E572=32,F572&lt;&gt;"ASTM A416"),L572,0),3)</f>
        <v/>
      </c>
      <c r="Z572" s="16">
        <f>ROUND(Z571+IF(F572="ASTM A416",L572,0),3)</f>
        <v/>
      </c>
      <c r="AA572" s="9">
        <f>IF(ROUNDUP(P572/20,0)&gt;ROUNDUP(P571/20,0),"Lần " &amp; ROUNDUP(P572/20,0),"")</f>
        <v/>
      </c>
      <c r="AB572" s="9">
        <f>IF(ROUNDUP(Q572/20,0)&gt;ROUNDUP(Q571/20,0),"Lần " &amp; ROUNDUP(Q572/20,0),"")</f>
        <v/>
      </c>
      <c r="AC572" s="9">
        <f>IF(ROUNDUP(R572/20,0)&gt;ROUNDUP(R571/20,0),"Lần " &amp; ROUNDUP(R572/20,0),"")</f>
        <v/>
      </c>
      <c r="AD572" s="9">
        <f>IF(ROUNDUP(S572/20,0)&gt;ROUNDUP(S571/20,0),"Lần " &amp; ROUNDUP(S572/20,0),"")</f>
        <v/>
      </c>
      <c r="AE572" s="9">
        <f>IF(ROUNDUP(T572/20,0)&gt;ROUNDUP(T571/20,0),"Lần " &amp; ROUNDUP(T572/20,0),"")</f>
        <v/>
      </c>
      <c r="AF572" s="9">
        <f>IF(ROUNDUP(U572/20,0)&gt;ROUNDUP(U571/20,0),"Lần " &amp; ROUNDUP(U572/20,0),"")</f>
        <v/>
      </c>
      <c r="AG572" s="9">
        <f>IF(ROUNDUP(V572/20,0)&gt;ROUNDUP(V571/20,0),"Lần " &amp; ROUNDUP(V572/20,0),"")</f>
        <v/>
      </c>
      <c r="AH572" s="9">
        <f>IF(ROUNDUP(W572/20,0)&gt;ROUNDUP(W571/20,0),"Lần " &amp; ROUNDUP(W572/20,0),"")</f>
        <v/>
      </c>
      <c r="AI572" s="9">
        <f>IF(ROUNDUP(X572/20,0)&gt;ROUNDUP(X571/20,0),"Lần " &amp; ROUNDUP(X572/20,0),"")</f>
        <v/>
      </c>
      <c r="AJ572" s="9">
        <f>IF(ROUNDUP(Y572/20,0)&gt;ROUNDUP(Y571/20,0),"Lần " &amp; ROUNDUP(Y572/20,0),"")</f>
        <v/>
      </c>
      <c r="AK572" s="9">
        <f>IF(ROUNDUP(Z572/20,0)&gt;ROUNDUP(Z571/20,0),"Lần " &amp; ROUNDUP(Z572/20,0),"")</f>
        <v/>
      </c>
      <c r="AL572" s="4" t="n"/>
      <c r="AN572" s="596" t="inlineStr">
        <is>
          <t>Than</t>
        </is>
      </c>
      <c r="AO572" s="596" t="n">
        <v>32</v>
      </c>
      <c r="AQ572" s="594" t="n"/>
      <c r="AR572" s="595" t="n"/>
    </row>
    <row r="573" ht="19" customHeight="1" s="672">
      <c r="A573" s="4" t="n">
        <v>541</v>
      </c>
      <c r="B573" s="5" t="inlineStr">
        <is>
          <t>Mố M1</t>
        </is>
      </c>
      <c r="C573" s="5" t="inlineStr">
        <is>
          <t>Mố M1 (tr.31)</t>
        </is>
      </c>
      <c r="D573" s="14" t="inlineStr">
        <is>
          <t>T2</t>
        </is>
      </c>
      <c r="E573" s="15" t="n">
        <v>16</v>
      </c>
      <c r="F573" s="4" t="inlineStr">
        <is>
          <t>CB400-V</t>
        </is>
      </c>
      <c r="G573" s="5" t="inlineStr"/>
      <c r="H573" s="16" t="n">
        <v>2.09</v>
      </c>
      <c r="I573" s="17" t="n">
        <v>9</v>
      </c>
      <c r="J573" s="18" t="n">
        <v>1.578</v>
      </c>
      <c r="K573" s="7">
        <f>ROUND(H573*I573*J573, 2)</f>
        <v/>
      </c>
      <c r="L573" s="19">
        <f>ROUND(K573/1000, 3)</f>
        <v/>
      </c>
      <c r="M573" s="728">
        <f>IF(AO573="","",IF(N(INDEX(Theo_Doi_Tan_Suat_Be_Tong!$C:$C,AO573))&lt;=0,"",INDEX(Theo_Doi_Tan_Suat_Be_Tong!$C:$C,AO573)-VLOOKUP(AN573,$AQ$2:$AR$7,2,FALSE)))</f>
        <v/>
      </c>
      <c r="N573" s="4" t="n"/>
      <c r="O573" s="20">
        <f>IF(ROUNDUP(S573/20,0)&gt;ROUNDUP(S572/20,0),"TN Ø16 (Lần " &amp; ROUNDUP(S573/20,0) &amp; ")","")</f>
        <v/>
      </c>
      <c r="P573" s="16">
        <f>ROUND(P572+IF(AND(E573&lt;=10,F573&lt;&gt;"ASTM A416"),L573,0),3)</f>
        <v/>
      </c>
      <c r="Q573" s="16">
        <f>ROUND(Q572+IF(AND(E573=12,F573&lt;&gt;"ASTM A416"),L573,0),3)</f>
        <v/>
      </c>
      <c r="R573" s="16">
        <f>ROUND(R572+IF(AND(E573=14,F573&lt;&gt;"ASTM A416"),L573,0),3)</f>
        <v/>
      </c>
      <c r="S573" s="16">
        <f>ROUND(S572+IF(AND(E573=16,F573&lt;&gt;"ASTM A416"),L573,0),3)</f>
        <v/>
      </c>
      <c r="T573" s="16">
        <f>ROUND(T572+IF(AND(E573=18,F573&lt;&gt;"ASTM A416"),L573,0),3)</f>
        <v/>
      </c>
      <c r="U573" s="16">
        <f>ROUND(U572+IF(AND(E573=20,F573&lt;&gt;"ASTM A416"),L573,0),3)</f>
        <v/>
      </c>
      <c r="V573" s="16">
        <f>ROUND(V572+IF(AND(E573=22,F573&lt;&gt;"ASTM A416"),L573,0),3)</f>
        <v/>
      </c>
      <c r="W573" s="16">
        <f>ROUND(W572+IF(AND(E573=25,F573&lt;&gt;"ASTM A416"),L573,0),3)</f>
        <v/>
      </c>
      <c r="X573" s="16">
        <f>ROUND(X572+IF(AND(E573=28,F573&lt;&gt;"ASTM A416"),L573,0),3)</f>
        <v/>
      </c>
      <c r="Y573" s="16">
        <f>ROUND(Y572+IF(AND(E573=32,F573&lt;&gt;"ASTM A416"),L573,0),3)</f>
        <v/>
      </c>
      <c r="Z573" s="16">
        <f>ROUND(Z572+IF(F573="ASTM A416",L573,0),3)</f>
        <v/>
      </c>
      <c r="AA573" s="9">
        <f>IF(ROUNDUP(P573/20,0)&gt;ROUNDUP(P572/20,0),"Lần " &amp; ROUNDUP(P573/20,0),"")</f>
        <v/>
      </c>
      <c r="AB573" s="9">
        <f>IF(ROUNDUP(Q573/20,0)&gt;ROUNDUP(Q572/20,0),"Lần " &amp; ROUNDUP(Q573/20,0),"")</f>
        <v/>
      </c>
      <c r="AC573" s="9">
        <f>IF(ROUNDUP(R573/20,0)&gt;ROUNDUP(R572/20,0),"Lần " &amp; ROUNDUP(R573/20,0),"")</f>
        <v/>
      </c>
      <c r="AD573" s="9">
        <f>IF(ROUNDUP(S573/20,0)&gt;ROUNDUP(S572/20,0),"Lần " &amp; ROUNDUP(S573/20,0),"")</f>
        <v/>
      </c>
      <c r="AE573" s="9">
        <f>IF(ROUNDUP(T573/20,0)&gt;ROUNDUP(T572/20,0),"Lần " &amp; ROUNDUP(T573/20,0),"")</f>
        <v/>
      </c>
      <c r="AF573" s="9">
        <f>IF(ROUNDUP(U573/20,0)&gt;ROUNDUP(U572/20,0),"Lần " &amp; ROUNDUP(U573/20,0),"")</f>
        <v/>
      </c>
      <c r="AG573" s="9">
        <f>IF(ROUNDUP(V573/20,0)&gt;ROUNDUP(V572/20,0),"Lần " &amp; ROUNDUP(V573/20,0),"")</f>
        <v/>
      </c>
      <c r="AH573" s="9">
        <f>IF(ROUNDUP(W573/20,0)&gt;ROUNDUP(W572/20,0),"Lần " &amp; ROUNDUP(W573/20,0),"")</f>
        <v/>
      </c>
      <c r="AI573" s="9">
        <f>IF(ROUNDUP(X573/20,0)&gt;ROUNDUP(X572/20,0),"Lần " &amp; ROUNDUP(X573/20,0),"")</f>
        <v/>
      </c>
      <c r="AJ573" s="9">
        <f>IF(ROUNDUP(Y573/20,0)&gt;ROUNDUP(Y572/20,0),"Lần " &amp; ROUNDUP(Y573/20,0),"")</f>
        <v/>
      </c>
      <c r="AK573" s="9">
        <f>IF(ROUNDUP(Z573/20,0)&gt;ROUNDUP(Z572/20,0),"Lần " &amp; ROUNDUP(Z573/20,0),"")</f>
        <v/>
      </c>
      <c r="AL573" s="4" t="n"/>
      <c r="AN573" s="596" t="inlineStr">
        <is>
          <t>Than</t>
        </is>
      </c>
      <c r="AO573" s="596" t="n">
        <v>32</v>
      </c>
      <c r="AQ573" s="594" t="n"/>
      <c r="AR573" s="595" t="n"/>
    </row>
    <row r="574" ht="19" customHeight="1" s="672">
      <c r="A574" s="4" t="n">
        <v>542</v>
      </c>
      <c r="B574" s="5" t="inlineStr">
        <is>
          <t>Mố M1</t>
        </is>
      </c>
      <c r="C574" s="5" t="inlineStr">
        <is>
          <t>Mố M1 (tr.31)</t>
        </is>
      </c>
      <c r="D574" s="14" t="inlineStr">
        <is>
          <t>G1</t>
        </is>
      </c>
      <c r="E574" s="15" t="n">
        <v>14</v>
      </c>
      <c r="F574" s="4" t="inlineStr">
        <is>
          <t>CB400-V</t>
        </is>
      </c>
      <c r="G574" s="5" t="inlineStr"/>
      <c r="H574" s="16" t="n">
        <v>2.9</v>
      </c>
      <c r="I574" s="17" t="n">
        <v>19</v>
      </c>
      <c r="J574" s="18" t="n">
        <v>1.208</v>
      </c>
      <c r="K574" s="7">
        <f>ROUND(H574*I574*J574, 2)</f>
        <v/>
      </c>
      <c r="L574" s="19">
        <f>ROUND(K574/1000, 3)</f>
        <v/>
      </c>
      <c r="M574" s="728">
        <f>IF(AO574="","",IF(N(INDEX(Theo_Doi_Tan_Suat_Be_Tong!$C:$C,AO574))&lt;=0,"",INDEX(Theo_Doi_Tan_Suat_Be_Tong!$C:$C,AO574)-VLOOKUP(AN574,$AQ$2:$AR$7,2,FALSE)))</f>
        <v/>
      </c>
      <c r="N574" s="4" t="n"/>
      <c r="O574" s="20">
        <f>IF(ROUNDUP(R574/20,0)&gt;ROUNDUP(R573/20,0),"TN Ø14 (Lần " &amp; ROUNDUP(R574/20,0) &amp; ")","")</f>
        <v/>
      </c>
      <c r="P574" s="16">
        <f>ROUND(P573+IF(AND(E574&lt;=10,F574&lt;&gt;"ASTM A416"),L574,0),3)</f>
        <v/>
      </c>
      <c r="Q574" s="16">
        <f>ROUND(Q573+IF(AND(E574=12,F574&lt;&gt;"ASTM A416"),L574,0),3)</f>
        <v/>
      </c>
      <c r="R574" s="16">
        <f>ROUND(R573+IF(AND(E574=14,F574&lt;&gt;"ASTM A416"),L574,0),3)</f>
        <v/>
      </c>
      <c r="S574" s="16">
        <f>ROUND(S573+IF(AND(E574=16,F574&lt;&gt;"ASTM A416"),L574,0),3)</f>
        <v/>
      </c>
      <c r="T574" s="16">
        <f>ROUND(T573+IF(AND(E574=18,F574&lt;&gt;"ASTM A416"),L574,0),3)</f>
        <v/>
      </c>
      <c r="U574" s="16">
        <f>ROUND(U573+IF(AND(E574=20,F574&lt;&gt;"ASTM A416"),L574,0),3)</f>
        <v/>
      </c>
      <c r="V574" s="16">
        <f>ROUND(V573+IF(AND(E574=22,F574&lt;&gt;"ASTM A416"),L574,0),3)</f>
        <v/>
      </c>
      <c r="W574" s="16">
        <f>ROUND(W573+IF(AND(E574=25,F574&lt;&gt;"ASTM A416"),L574,0),3)</f>
        <v/>
      </c>
      <c r="X574" s="16">
        <f>ROUND(X573+IF(AND(E574=28,F574&lt;&gt;"ASTM A416"),L574,0),3)</f>
        <v/>
      </c>
      <c r="Y574" s="16">
        <f>ROUND(Y573+IF(AND(E574=32,F574&lt;&gt;"ASTM A416"),L574,0),3)</f>
        <v/>
      </c>
      <c r="Z574" s="16">
        <f>ROUND(Z573+IF(F574="ASTM A416",L574,0),3)</f>
        <v/>
      </c>
      <c r="AA574" s="9">
        <f>IF(ROUNDUP(P574/20,0)&gt;ROUNDUP(P573/20,0),"Lần " &amp; ROUNDUP(P574/20,0),"")</f>
        <v/>
      </c>
      <c r="AB574" s="9">
        <f>IF(ROUNDUP(Q574/20,0)&gt;ROUNDUP(Q573/20,0),"Lần " &amp; ROUNDUP(Q574/20,0),"")</f>
        <v/>
      </c>
      <c r="AC574" s="9">
        <f>IF(ROUNDUP(R574/20,0)&gt;ROUNDUP(R573/20,0),"Lần " &amp; ROUNDUP(R574/20,0),"")</f>
        <v/>
      </c>
      <c r="AD574" s="9">
        <f>IF(ROUNDUP(S574/20,0)&gt;ROUNDUP(S573/20,0),"Lần " &amp; ROUNDUP(S574/20,0),"")</f>
        <v/>
      </c>
      <c r="AE574" s="9">
        <f>IF(ROUNDUP(T574/20,0)&gt;ROUNDUP(T573/20,0),"Lần " &amp; ROUNDUP(T574/20,0),"")</f>
        <v/>
      </c>
      <c r="AF574" s="9">
        <f>IF(ROUNDUP(U574/20,0)&gt;ROUNDUP(U573/20,0),"Lần " &amp; ROUNDUP(U574/20,0),"")</f>
        <v/>
      </c>
      <c r="AG574" s="9">
        <f>IF(ROUNDUP(V574/20,0)&gt;ROUNDUP(V573/20,0),"Lần " &amp; ROUNDUP(V574/20,0),"")</f>
        <v/>
      </c>
      <c r="AH574" s="9">
        <f>IF(ROUNDUP(W574/20,0)&gt;ROUNDUP(W573/20,0),"Lần " &amp; ROUNDUP(W574/20,0),"")</f>
        <v/>
      </c>
      <c r="AI574" s="9">
        <f>IF(ROUNDUP(X574/20,0)&gt;ROUNDUP(X573/20,0),"Lần " &amp; ROUNDUP(X574/20,0),"")</f>
        <v/>
      </c>
      <c r="AJ574" s="9">
        <f>IF(ROUNDUP(Y574/20,0)&gt;ROUNDUP(Y573/20,0),"Lần " &amp; ROUNDUP(Y574/20,0),"")</f>
        <v/>
      </c>
      <c r="AK574" s="9">
        <f>IF(ROUNDUP(Z574/20,0)&gt;ROUNDUP(Z573/20,0),"Lần " &amp; ROUNDUP(Z574/20,0),"")</f>
        <v/>
      </c>
      <c r="AL574" s="4" t="n"/>
      <c r="AN574" s="596" t="inlineStr">
        <is>
          <t>Than</t>
        </is>
      </c>
      <c r="AO574" s="596" t="n">
        <v>53</v>
      </c>
      <c r="AQ574" s="594" t="n"/>
      <c r="AR574" s="595" t="n"/>
    </row>
    <row r="575" ht="19" customHeight="1" s="672">
      <c r="A575" s="4" t="n">
        <v>543</v>
      </c>
      <c r="B575" s="5" t="inlineStr">
        <is>
          <t>Mố M1</t>
        </is>
      </c>
      <c r="C575" s="5" t="inlineStr">
        <is>
          <t>Mố M1 (tr.31)</t>
        </is>
      </c>
      <c r="D575" s="14" t="inlineStr">
        <is>
          <t>G2</t>
        </is>
      </c>
      <c r="E575" s="15" t="n">
        <v>18</v>
      </c>
      <c r="F575" s="4" t="inlineStr">
        <is>
          <t>CB400-V</t>
        </is>
      </c>
      <c r="G575" s="5" t="inlineStr">
        <is>
          <t>S57</t>
        </is>
      </c>
      <c r="H575" s="16" t="n">
        <v>3.265</v>
      </c>
      <c r="I575" s="17" t="n">
        <v>20</v>
      </c>
      <c r="J575" s="18" t="n">
        <v>1.998</v>
      </c>
      <c r="K575" s="7">
        <f>ROUND(H575*I575*J575, 2)</f>
        <v/>
      </c>
      <c r="L575" s="19">
        <f>ROUND(K575/1000, 3)</f>
        <v/>
      </c>
      <c r="M575" s="728">
        <f>IF(AO575="","",IF(N(INDEX(Theo_Doi_Tan_Suat_Be_Tong!$C:$C,AO575))&lt;=0,"",INDEX(Theo_Doi_Tan_Suat_Be_Tong!$C:$C,AO575)-VLOOKUP(AN575,$AQ$2:$AR$7,2,FALSE)))</f>
        <v/>
      </c>
      <c r="N575" s="4" t="n"/>
      <c r="O575" s="20">
        <f>IF(ROUNDUP(T575/20,0)&gt;ROUNDUP(T574/20,0),"TN Ø18 (Lần " &amp; ROUNDUP(T575/20,0) &amp; ")","")</f>
        <v/>
      </c>
      <c r="P575" s="16">
        <f>ROUND(P574+IF(AND(E575&lt;=10,F575&lt;&gt;"ASTM A416"),L575,0),3)</f>
        <v/>
      </c>
      <c r="Q575" s="16">
        <f>ROUND(Q574+IF(AND(E575=12,F575&lt;&gt;"ASTM A416"),L575,0),3)</f>
        <v/>
      </c>
      <c r="R575" s="16">
        <f>ROUND(R574+IF(AND(E575=14,F575&lt;&gt;"ASTM A416"),L575,0),3)</f>
        <v/>
      </c>
      <c r="S575" s="16">
        <f>ROUND(S574+IF(AND(E575=16,F575&lt;&gt;"ASTM A416"),L575,0),3)</f>
        <v/>
      </c>
      <c r="T575" s="16">
        <f>ROUND(T574+IF(AND(E575=18,F575&lt;&gt;"ASTM A416"),L575,0),3)</f>
        <v/>
      </c>
      <c r="U575" s="16">
        <f>ROUND(U574+IF(AND(E575=20,F575&lt;&gt;"ASTM A416"),L575,0),3)</f>
        <v/>
      </c>
      <c r="V575" s="16">
        <f>ROUND(V574+IF(AND(E575=22,F575&lt;&gt;"ASTM A416"),L575,0),3)</f>
        <v/>
      </c>
      <c r="W575" s="16">
        <f>ROUND(W574+IF(AND(E575=25,F575&lt;&gt;"ASTM A416"),L575,0),3)</f>
        <v/>
      </c>
      <c r="X575" s="16">
        <f>ROUND(X574+IF(AND(E575=28,F575&lt;&gt;"ASTM A416"),L575,0),3)</f>
        <v/>
      </c>
      <c r="Y575" s="16">
        <f>ROUND(Y574+IF(AND(E575=32,F575&lt;&gt;"ASTM A416"),L575,0),3)</f>
        <v/>
      </c>
      <c r="Z575" s="16">
        <f>ROUND(Z574+IF(F575="ASTM A416",L575,0),3)</f>
        <v/>
      </c>
      <c r="AA575" s="9">
        <f>IF(ROUNDUP(P575/20,0)&gt;ROUNDUP(P574/20,0),"Lần " &amp; ROUNDUP(P575/20,0),"")</f>
        <v/>
      </c>
      <c r="AB575" s="9">
        <f>IF(ROUNDUP(Q575/20,0)&gt;ROUNDUP(Q574/20,0),"Lần " &amp; ROUNDUP(Q575/20,0),"")</f>
        <v/>
      </c>
      <c r="AC575" s="9">
        <f>IF(ROUNDUP(R575/20,0)&gt;ROUNDUP(R574/20,0),"Lần " &amp; ROUNDUP(R575/20,0),"")</f>
        <v/>
      </c>
      <c r="AD575" s="9">
        <f>IF(ROUNDUP(S575/20,0)&gt;ROUNDUP(S574/20,0),"Lần " &amp; ROUNDUP(S575/20,0),"")</f>
        <v/>
      </c>
      <c r="AE575" s="9">
        <f>IF(ROUNDUP(T575/20,0)&gt;ROUNDUP(T574/20,0),"Lần " &amp; ROUNDUP(T575/20,0),"")</f>
        <v/>
      </c>
      <c r="AF575" s="9">
        <f>IF(ROUNDUP(U575/20,0)&gt;ROUNDUP(U574/20,0),"Lần " &amp; ROUNDUP(U575/20,0),"")</f>
        <v/>
      </c>
      <c r="AG575" s="9">
        <f>IF(ROUNDUP(V575/20,0)&gt;ROUNDUP(V574/20,0),"Lần " &amp; ROUNDUP(V575/20,0),"")</f>
        <v/>
      </c>
      <c r="AH575" s="9">
        <f>IF(ROUNDUP(W575/20,0)&gt;ROUNDUP(W574/20,0),"Lần " &amp; ROUNDUP(W575/20,0),"")</f>
        <v/>
      </c>
      <c r="AI575" s="9">
        <f>IF(ROUNDUP(X575/20,0)&gt;ROUNDUP(X574/20,0),"Lần " &amp; ROUNDUP(X575/20,0),"")</f>
        <v/>
      </c>
      <c r="AJ575" s="9">
        <f>IF(ROUNDUP(Y575/20,0)&gt;ROUNDUP(Y574/20,0),"Lần " &amp; ROUNDUP(Y575/20,0),"")</f>
        <v/>
      </c>
      <c r="AK575" s="9">
        <f>IF(ROUNDUP(Z575/20,0)&gt;ROUNDUP(Z574/20,0),"Lần " &amp; ROUNDUP(Z575/20,0),"")</f>
        <v/>
      </c>
      <c r="AL575" s="4" t="n"/>
      <c r="AN575" s="596" t="inlineStr">
        <is>
          <t>Than</t>
        </is>
      </c>
      <c r="AO575" s="596" t="n">
        <v>53</v>
      </c>
      <c r="AQ575" s="594" t="n"/>
      <c r="AR575" s="595" t="n"/>
    </row>
    <row r="576" ht="19" customHeight="1" s="672">
      <c r="A576" s="4" t="n">
        <v>544</v>
      </c>
      <c r="B576" s="5" t="inlineStr">
        <is>
          <t>Mố M1</t>
        </is>
      </c>
      <c r="C576" s="5" t="inlineStr">
        <is>
          <t>Mố M1 (tr.31)</t>
        </is>
      </c>
      <c r="D576" s="14" t="inlineStr">
        <is>
          <t>G3</t>
        </is>
      </c>
      <c r="E576" s="15" t="n">
        <v>14</v>
      </c>
      <c r="F576" s="4" t="inlineStr">
        <is>
          <t>CB400-V</t>
        </is>
      </c>
      <c r="G576" s="5" t="inlineStr">
        <is>
          <t>S29</t>
        </is>
      </c>
      <c r="H576" s="16" t="n">
        <v>2.344</v>
      </c>
      <c r="I576" s="17" t="n">
        <v>20</v>
      </c>
      <c r="J576" s="18" t="n">
        <v>1.208</v>
      </c>
      <c r="K576" s="7">
        <f>ROUND(H576*I576*J576, 2)</f>
        <v/>
      </c>
      <c r="L576" s="19">
        <f>ROUND(K576/1000, 3)</f>
        <v/>
      </c>
      <c r="M576" s="728">
        <f>IF(AO576="","",IF(N(INDEX(Theo_Doi_Tan_Suat_Be_Tong!$C:$C,AO576))&lt;=0,"",INDEX(Theo_Doi_Tan_Suat_Be_Tong!$C:$C,AO576)-VLOOKUP(AN576,$AQ$2:$AR$7,2,FALSE)))</f>
        <v/>
      </c>
      <c r="N576" s="4" t="n"/>
      <c r="O576" s="20">
        <f>IF(ROUNDUP(R576/20,0)&gt;ROUNDUP(R575/20,0),"TN Ø14 (Lần " &amp; ROUNDUP(R576/20,0) &amp; ")","")</f>
        <v/>
      </c>
      <c r="P576" s="16">
        <f>ROUND(P575+IF(AND(E576&lt;=10,F576&lt;&gt;"ASTM A416"),L576,0),3)</f>
        <v/>
      </c>
      <c r="Q576" s="16">
        <f>ROUND(Q575+IF(AND(E576=12,F576&lt;&gt;"ASTM A416"),L576,0),3)</f>
        <v/>
      </c>
      <c r="R576" s="16">
        <f>ROUND(R575+IF(AND(E576=14,F576&lt;&gt;"ASTM A416"),L576,0),3)</f>
        <v/>
      </c>
      <c r="S576" s="16">
        <f>ROUND(S575+IF(AND(E576=16,F576&lt;&gt;"ASTM A416"),L576,0),3)</f>
        <v/>
      </c>
      <c r="T576" s="16">
        <f>ROUND(T575+IF(AND(E576=18,F576&lt;&gt;"ASTM A416"),L576,0),3)</f>
        <v/>
      </c>
      <c r="U576" s="16">
        <f>ROUND(U575+IF(AND(E576=20,F576&lt;&gt;"ASTM A416"),L576,0),3)</f>
        <v/>
      </c>
      <c r="V576" s="16">
        <f>ROUND(V575+IF(AND(E576=22,F576&lt;&gt;"ASTM A416"),L576,0),3)</f>
        <v/>
      </c>
      <c r="W576" s="16">
        <f>ROUND(W575+IF(AND(E576=25,F576&lt;&gt;"ASTM A416"),L576,0),3)</f>
        <v/>
      </c>
      <c r="X576" s="16">
        <f>ROUND(X575+IF(AND(E576=28,F576&lt;&gt;"ASTM A416"),L576,0),3)</f>
        <v/>
      </c>
      <c r="Y576" s="16">
        <f>ROUND(Y575+IF(AND(E576=32,F576&lt;&gt;"ASTM A416"),L576,0),3)</f>
        <v/>
      </c>
      <c r="Z576" s="16">
        <f>ROUND(Z575+IF(F576="ASTM A416",L576,0),3)</f>
        <v/>
      </c>
      <c r="AA576" s="9">
        <f>IF(ROUNDUP(P576/20,0)&gt;ROUNDUP(P575/20,0),"Lần " &amp; ROUNDUP(P576/20,0),"")</f>
        <v/>
      </c>
      <c r="AB576" s="9">
        <f>IF(ROUNDUP(Q576/20,0)&gt;ROUNDUP(Q575/20,0),"Lần " &amp; ROUNDUP(Q576/20,0),"")</f>
        <v/>
      </c>
      <c r="AC576" s="9">
        <f>IF(ROUNDUP(R576/20,0)&gt;ROUNDUP(R575/20,0),"Lần " &amp; ROUNDUP(R576/20,0),"")</f>
        <v/>
      </c>
      <c r="AD576" s="9">
        <f>IF(ROUNDUP(S576/20,0)&gt;ROUNDUP(S575/20,0),"Lần " &amp; ROUNDUP(S576/20,0),"")</f>
        <v/>
      </c>
      <c r="AE576" s="9">
        <f>IF(ROUNDUP(T576/20,0)&gt;ROUNDUP(T575/20,0),"Lần " &amp; ROUNDUP(T576/20,0),"")</f>
        <v/>
      </c>
      <c r="AF576" s="9">
        <f>IF(ROUNDUP(U576/20,0)&gt;ROUNDUP(U575/20,0),"Lần " &amp; ROUNDUP(U576/20,0),"")</f>
        <v/>
      </c>
      <c r="AG576" s="9">
        <f>IF(ROUNDUP(V576/20,0)&gt;ROUNDUP(V575/20,0),"Lần " &amp; ROUNDUP(V576/20,0),"")</f>
        <v/>
      </c>
      <c r="AH576" s="9">
        <f>IF(ROUNDUP(W576/20,0)&gt;ROUNDUP(W575/20,0),"Lần " &amp; ROUNDUP(W576/20,0),"")</f>
        <v/>
      </c>
      <c r="AI576" s="9">
        <f>IF(ROUNDUP(X576/20,0)&gt;ROUNDUP(X575/20,0),"Lần " &amp; ROUNDUP(X576/20,0),"")</f>
        <v/>
      </c>
      <c r="AJ576" s="9">
        <f>IF(ROUNDUP(Y576/20,0)&gt;ROUNDUP(Y575/20,0),"Lần " &amp; ROUNDUP(Y576/20,0),"")</f>
        <v/>
      </c>
      <c r="AK576" s="9">
        <f>IF(ROUNDUP(Z576/20,0)&gt;ROUNDUP(Z575/20,0),"Lần " &amp; ROUNDUP(Z576/20,0),"")</f>
        <v/>
      </c>
      <c r="AL576" s="4" t="n"/>
      <c r="AN576" s="596" t="inlineStr">
        <is>
          <t>Than</t>
        </is>
      </c>
      <c r="AO576" s="596" t="n">
        <v>53</v>
      </c>
      <c r="AQ576" s="594" t="n"/>
      <c r="AR576" s="595" t="n"/>
    </row>
    <row r="577" ht="19" customHeight="1" s="672">
      <c r="A577" s="4" t="n">
        <v>545</v>
      </c>
      <c r="B577" s="5" t="inlineStr">
        <is>
          <t>Mố M1</t>
        </is>
      </c>
      <c r="C577" s="5" t="inlineStr">
        <is>
          <t>Mố M1 (tr.31)</t>
        </is>
      </c>
      <c r="D577" s="14" t="inlineStr">
        <is>
          <t>G4A</t>
        </is>
      </c>
      <c r="E577" s="15" t="n">
        <v>12</v>
      </c>
      <c r="F577" s="4" t="inlineStr">
        <is>
          <t>CB400-V</t>
        </is>
      </c>
      <c r="G577" s="5" t="inlineStr">
        <is>
          <t>S06</t>
        </is>
      </c>
      <c r="H577" s="16" t="n">
        <v>0.342</v>
      </c>
      <c r="I577" s="17" t="n">
        <v>8</v>
      </c>
      <c r="J577" s="18" t="n">
        <v>0.888</v>
      </c>
      <c r="K577" s="7">
        <f>ROUND(H577*I577*J577, 2)</f>
        <v/>
      </c>
      <c r="L577" s="19">
        <f>ROUND(K577/1000, 3)</f>
        <v/>
      </c>
      <c r="M577" s="728">
        <f>IF(AO577="","",IF(N(INDEX(Theo_Doi_Tan_Suat_Be_Tong!$C:$C,AO577))&lt;=0,"",INDEX(Theo_Doi_Tan_Suat_Be_Tong!$C:$C,AO577)-VLOOKUP(AN577,$AQ$2:$AR$7,2,FALSE)))</f>
        <v/>
      </c>
      <c r="N577" s="4" t="n"/>
      <c r="O577" s="20">
        <f>IF(ROUNDUP(Q577/20,0)&gt;ROUNDUP(Q576/20,0),"TN Ø12 (Lần " &amp; ROUNDUP(Q577/20,0) &amp; ")","")</f>
        <v/>
      </c>
      <c r="P577" s="16">
        <f>ROUND(P576+IF(AND(E577&lt;=10,F577&lt;&gt;"ASTM A416"),L577,0),3)</f>
        <v/>
      </c>
      <c r="Q577" s="16">
        <f>ROUND(Q576+IF(AND(E577=12,F577&lt;&gt;"ASTM A416"),L577,0),3)</f>
        <v/>
      </c>
      <c r="R577" s="16">
        <f>ROUND(R576+IF(AND(E577=14,F577&lt;&gt;"ASTM A416"),L577,0),3)</f>
        <v/>
      </c>
      <c r="S577" s="16">
        <f>ROUND(S576+IF(AND(E577=16,F577&lt;&gt;"ASTM A416"),L577,0),3)</f>
        <v/>
      </c>
      <c r="T577" s="16">
        <f>ROUND(T576+IF(AND(E577=18,F577&lt;&gt;"ASTM A416"),L577,0),3)</f>
        <v/>
      </c>
      <c r="U577" s="16">
        <f>ROUND(U576+IF(AND(E577=20,F577&lt;&gt;"ASTM A416"),L577,0),3)</f>
        <v/>
      </c>
      <c r="V577" s="16">
        <f>ROUND(V576+IF(AND(E577=22,F577&lt;&gt;"ASTM A416"),L577,0),3)</f>
        <v/>
      </c>
      <c r="W577" s="16">
        <f>ROUND(W576+IF(AND(E577=25,F577&lt;&gt;"ASTM A416"),L577,0),3)</f>
        <v/>
      </c>
      <c r="X577" s="16">
        <f>ROUND(X576+IF(AND(E577=28,F577&lt;&gt;"ASTM A416"),L577,0),3)</f>
        <v/>
      </c>
      <c r="Y577" s="16">
        <f>ROUND(Y576+IF(AND(E577=32,F577&lt;&gt;"ASTM A416"),L577,0),3)</f>
        <v/>
      </c>
      <c r="Z577" s="16">
        <f>ROUND(Z576+IF(F577="ASTM A416",L577,0),3)</f>
        <v/>
      </c>
      <c r="AA577" s="9">
        <f>IF(ROUNDUP(P577/20,0)&gt;ROUNDUP(P576/20,0),"Lần " &amp; ROUNDUP(P577/20,0),"")</f>
        <v/>
      </c>
      <c r="AB577" s="9">
        <f>IF(ROUNDUP(Q577/20,0)&gt;ROUNDUP(Q576/20,0),"Lần " &amp; ROUNDUP(Q577/20,0),"")</f>
        <v/>
      </c>
      <c r="AC577" s="9">
        <f>IF(ROUNDUP(R577/20,0)&gt;ROUNDUP(R576/20,0),"Lần " &amp; ROUNDUP(R577/20,0),"")</f>
        <v/>
      </c>
      <c r="AD577" s="9">
        <f>IF(ROUNDUP(S577/20,0)&gt;ROUNDUP(S576/20,0),"Lần " &amp; ROUNDUP(S577/20,0),"")</f>
        <v/>
      </c>
      <c r="AE577" s="9">
        <f>IF(ROUNDUP(T577/20,0)&gt;ROUNDUP(T576/20,0),"Lần " &amp; ROUNDUP(T577/20,0),"")</f>
        <v/>
      </c>
      <c r="AF577" s="9">
        <f>IF(ROUNDUP(U577/20,0)&gt;ROUNDUP(U576/20,0),"Lần " &amp; ROUNDUP(U577/20,0),"")</f>
        <v/>
      </c>
      <c r="AG577" s="9">
        <f>IF(ROUNDUP(V577/20,0)&gt;ROUNDUP(V576/20,0),"Lần " &amp; ROUNDUP(V577/20,0),"")</f>
        <v/>
      </c>
      <c r="AH577" s="9">
        <f>IF(ROUNDUP(W577/20,0)&gt;ROUNDUP(W576/20,0),"Lần " &amp; ROUNDUP(W577/20,0),"")</f>
        <v/>
      </c>
      <c r="AI577" s="9">
        <f>IF(ROUNDUP(X577/20,0)&gt;ROUNDUP(X576/20,0),"Lần " &amp; ROUNDUP(X577/20,0),"")</f>
        <v/>
      </c>
      <c r="AJ577" s="9">
        <f>IF(ROUNDUP(Y577/20,0)&gt;ROUNDUP(Y576/20,0),"Lần " &amp; ROUNDUP(Y577/20,0),"")</f>
        <v/>
      </c>
      <c r="AK577" s="9">
        <f>IF(ROUNDUP(Z577/20,0)&gt;ROUNDUP(Z576/20,0),"Lần " &amp; ROUNDUP(Z577/20,0),"")</f>
        <v/>
      </c>
      <c r="AL577" s="4" t="n"/>
      <c r="AN577" s="596" t="inlineStr">
        <is>
          <t>Than</t>
        </is>
      </c>
      <c r="AO577" s="596" t="n">
        <v>53</v>
      </c>
      <c r="AQ577" s="594" t="n"/>
      <c r="AR577" s="595" t="n"/>
    </row>
    <row r="578" ht="19" customHeight="1" s="672">
      <c r="A578" s="4" t="n">
        <v>546</v>
      </c>
      <c r="B578" s="5" t="inlineStr">
        <is>
          <t>Mố M1</t>
        </is>
      </c>
      <c r="C578" s="5" t="inlineStr">
        <is>
          <t>Mố M1 (tr.31)</t>
        </is>
      </c>
      <c r="D578" s="14" t="inlineStr">
        <is>
          <t>G4B</t>
        </is>
      </c>
      <c r="E578" s="15" t="n">
        <v>12</v>
      </c>
      <c r="F578" s="4" t="inlineStr">
        <is>
          <t>CB400-V</t>
        </is>
      </c>
      <c r="G578" s="5" t="inlineStr">
        <is>
          <t>S06</t>
        </is>
      </c>
      <c r="H578" s="16" t="n">
        <v>0.388</v>
      </c>
      <c r="I578" s="17" t="n">
        <v>8</v>
      </c>
      <c r="J578" s="18" t="n">
        <v>0.888</v>
      </c>
      <c r="K578" s="7">
        <f>ROUND(H578*I578*J578, 2)</f>
        <v/>
      </c>
      <c r="L578" s="19">
        <f>ROUND(K578/1000, 3)</f>
        <v/>
      </c>
      <c r="M578" s="728">
        <f>IF(AO578="","",IF(N(INDEX(Theo_Doi_Tan_Suat_Be_Tong!$C:$C,AO578))&lt;=0,"",INDEX(Theo_Doi_Tan_Suat_Be_Tong!$C:$C,AO578)-VLOOKUP(AN578,$AQ$2:$AR$7,2,FALSE)))</f>
        <v/>
      </c>
      <c r="N578" s="4" t="n"/>
      <c r="O578" s="20">
        <f>IF(ROUNDUP(Q578/20,0)&gt;ROUNDUP(Q577/20,0),"TN Ø12 (Lần " &amp; ROUNDUP(Q578/20,0) &amp; ")","")</f>
        <v/>
      </c>
      <c r="P578" s="16">
        <f>ROUND(P577+IF(AND(E578&lt;=10,F578&lt;&gt;"ASTM A416"),L578,0),3)</f>
        <v/>
      </c>
      <c r="Q578" s="16">
        <f>ROUND(Q577+IF(AND(E578=12,F578&lt;&gt;"ASTM A416"),L578,0),3)</f>
        <v/>
      </c>
      <c r="R578" s="16">
        <f>ROUND(R577+IF(AND(E578=14,F578&lt;&gt;"ASTM A416"),L578,0),3)</f>
        <v/>
      </c>
      <c r="S578" s="16">
        <f>ROUND(S577+IF(AND(E578=16,F578&lt;&gt;"ASTM A416"),L578,0),3)</f>
        <v/>
      </c>
      <c r="T578" s="16">
        <f>ROUND(T577+IF(AND(E578=18,F578&lt;&gt;"ASTM A416"),L578,0),3)</f>
        <v/>
      </c>
      <c r="U578" s="16">
        <f>ROUND(U577+IF(AND(E578=20,F578&lt;&gt;"ASTM A416"),L578,0),3)</f>
        <v/>
      </c>
      <c r="V578" s="16">
        <f>ROUND(V577+IF(AND(E578=22,F578&lt;&gt;"ASTM A416"),L578,0),3)</f>
        <v/>
      </c>
      <c r="W578" s="16">
        <f>ROUND(W577+IF(AND(E578=25,F578&lt;&gt;"ASTM A416"),L578,0),3)</f>
        <v/>
      </c>
      <c r="X578" s="16">
        <f>ROUND(X577+IF(AND(E578=28,F578&lt;&gt;"ASTM A416"),L578,0),3)</f>
        <v/>
      </c>
      <c r="Y578" s="16">
        <f>ROUND(Y577+IF(AND(E578=32,F578&lt;&gt;"ASTM A416"),L578,0),3)</f>
        <v/>
      </c>
      <c r="Z578" s="16">
        <f>ROUND(Z577+IF(F578="ASTM A416",L578,0),3)</f>
        <v/>
      </c>
      <c r="AA578" s="9">
        <f>IF(ROUNDUP(P578/20,0)&gt;ROUNDUP(P577/20,0),"Lần " &amp; ROUNDUP(P578/20,0),"")</f>
        <v/>
      </c>
      <c r="AB578" s="9">
        <f>IF(ROUNDUP(Q578/20,0)&gt;ROUNDUP(Q577/20,0),"Lần " &amp; ROUNDUP(Q578/20,0),"")</f>
        <v/>
      </c>
      <c r="AC578" s="9">
        <f>IF(ROUNDUP(R578/20,0)&gt;ROUNDUP(R577/20,0),"Lần " &amp; ROUNDUP(R578/20,0),"")</f>
        <v/>
      </c>
      <c r="AD578" s="9">
        <f>IF(ROUNDUP(S578/20,0)&gt;ROUNDUP(S577/20,0),"Lần " &amp; ROUNDUP(S578/20,0),"")</f>
        <v/>
      </c>
      <c r="AE578" s="9">
        <f>IF(ROUNDUP(T578/20,0)&gt;ROUNDUP(T577/20,0),"Lần " &amp; ROUNDUP(T578/20,0),"")</f>
        <v/>
      </c>
      <c r="AF578" s="9">
        <f>IF(ROUNDUP(U578/20,0)&gt;ROUNDUP(U577/20,0),"Lần " &amp; ROUNDUP(U578/20,0),"")</f>
        <v/>
      </c>
      <c r="AG578" s="9">
        <f>IF(ROUNDUP(V578/20,0)&gt;ROUNDUP(V577/20,0),"Lần " &amp; ROUNDUP(V578/20,0),"")</f>
        <v/>
      </c>
      <c r="AH578" s="9">
        <f>IF(ROUNDUP(W578/20,0)&gt;ROUNDUP(W577/20,0),"Lần " &amp; ROUNDUP(W578/20,0),"")</f>
        <v/>
      </c>
      <c r="AI578" s="9">
        <f>IF(ROUNDUP(X578/20,0)&gt;ROUNDUP(X577/20,0),"Lần " &amp; ROUNDUP(X578/20,0),"")</f>
        <v/>
      </c>
      <c r="AJ578" s="9">
        <f>IF(ROUNDUP(Y578/20,0)&gt;ROUNDUP(Y577/20,0),"Lần " &amp; ROUNDUP(Y578/20,0),"")</f>
        <v/>
      </c>
      <c r="AK578" s="9">
        <f>IF(ROUNDUP(Z578/20,0)&gt;ROUNDUP(Z577/20,0),"Lần " &amp; ROUNDUP(Z578/20,0),"")</f>
        <v/>
      </c>
      <c r="AL578" s="4" t="n"/>
      <c r="AN578" s="596" t="inlineStr">
        <is>
          <t>Than</t>
        </is>
      </c>
      <c r="AO578" s="596" t="n">
        <v>53</v>
      </c>
      <c r="AQ578" s="594" t="n"/>
      <c r="AR578" s="595" t="n"/>
    </row>
    <row r="579" ht="19" customHeight="1" s="672">
      <c r="A579" s="4" t="n">
        <v>547</v>
      </c>
      <c r="B579" s="5" t="inlineStr">
        <is>
          <t>Mố M1</t>
        </is>
      </c>
      <c r="C579" s="5" t="inlineStr">
        <is>
          <t>Mố M1 (tr.31)</t>
        </is>
      </c>
      <c r="D579" s="14" t="inlineStr">
        <is>
          <t>G4C</t>
        </is>
      </c>
      <c r="E579" s="15" t="n">
        <v>12</v>
      </c>
      <c r="F579" s="4" t="inlineStr">
        <is>
          <t>CB400-V</t>
        </is>
      </c>
      <c r="G579" s="5" t="inlineStr">
        <is>
          <t>S06</t>
        </is>
      </c>
      <c r="H579" s="16" t="n">
        <v>0.634</v>
      </c>
      <c r="I579" s="17" t="n">
        <v>8</v>
      </c>
      <c r="J579" s="18" t="n">
        <v>0.888</v>
      </c>
      <c r="K579" s="7">
        <f>ROUND(H579*I579*J579, 2)</f>
        <v/>
      </c>
      <c r="L579" s="19">
        <f>ROUND(K579/1000, 3)</f>
        <v/>
      </c>
      <c r="M579" s="728">
        <f>IF(AO579="","",IF(N(INDEX(Theo_Doi_Tan_Suat_Be_Tong!$C:$C,AO579))&lt;=0,"",INDEX(Theo_Doi_Tan_Suat_Be_Tong!$C:$C,AO579)-VLOOKUP(AN579,$AQ$2:$AR$7,2,FALSE)))</f>
        <v/>
      </c>
      <c r="N579" s="4" t="n"/>
      <c r="O579" s="20">
        <f>IF(ROUNDUP(Q579/20,0)&gt;ROUNDUP(Q578/20,0),"TN Ø12 (Lần " &amp; ROUNDUP(Q579/20,0) &amp; ")","")</f>
        <v/>
      </c>
      <c r="P579" s="16">
        <f>ROUND(P578+IF(AND(E579&lt;=10,F579&lt;&gt;"ASTM A416"),L579,0),3)</f>
        <v/>
      </c>
      <c r="Q579" s="16">
        <f>ROUND(Q578+IF(AND(E579=12,F579&lt;&gt;"ASTM A416"),L579,0),3)</f>
        <v/>
      </c>
      <c r="R579" s="16">
        <f>ROUND(R578+IF(AND(E579=14,F579&lt;&gt;"ASTM A416"),L579,0),3)</f>
        <v/>
      </c>
      <c r="S579" s="16">
        <f>ROUND(S578+IF(AND(E579=16,F579&lt;&gt;"ASTM A416"),L579,0),3)</f>
        <v/>
      </c>
      <c r="T579" s="16">
        <f>ROUND(T578+IF(AND(E579=18,F579&lt;&gt;"ASTM A416"),L579,0),3)</f>
        <v/>
      </c>
      <c r="U579" s="16">
        <f>ROUND(U578+IF(AND(E579=20,F579&lt;&gt;"ASTM A416"),L579,0),3)</f>
        <v/>
      </c>
      <c r="V579" s="16">
        <f>ROUND(V578+IF(AND(E579=22,F579&lt;&gt;"ASTM A416"),L579,0),3)</f>
        <v/>
      </c>
      <c r="W579" s="16">
        <f>ROUND(W578+IF(AND(E579=25,F579&lt;&gt;"ASTM A416"),L579,0),3)</f>
        <v/>
      </c>
      <c r="X579" s="16">
        <f>ROUND(X578+IF(AND(E579=28,F579&lt;&gt;"ASTM A416"),L579,0),3)</f>
        <v/>
      </c>
      <c r="Y579" s="16">
        <f>ROUND(Y578+IF(AND(E579=32,F579&lt;&gt;"ASTM A416"),L579,0),3)</f>
        <v/>
      </c>
      <c r="Z579" s="16">
        <f>ROUND(Z578+IF(F579="ASTM A416",L579,0),3)</f>
        <v/>
      </c>
      <c r="AA579" s="9">
        <f>IF(ROUNDUP(P579/20,0)&gt;ROUNDUP(P578/20,0),"Lần " &amp; ROUNDUP(P579/20,0),"")</f>
        <v/>
      </c>
      <c r="AB579" s="9">
        <f>IF(ROUNDUP(Q579/20,0)&gt;ROUNDUP(Q578/20,0),"Lần " &amp; ROUNDUP(Q579/20,0),"")</f>
        <v/>
      </c>
      <c r="AC579" s="9">
        <f>IF(ROUNDUP(R579/20,0)&gt;ROUNDUP(R578/20,0),"Lần " &amp; ROUNDUP(R579/20,0),"")</f>
        <v/>
      </c>
      <c r="AD579" s="9">
        <f>IF(ROUNDUP(S579/20,0)&gt;ROUNDUP(S578/20,0),"Lần " &amp; ROUNDUP(S579/20,0),"")</f>
        <v/>
      </c>
      <c r="AE579" s="9">
        <f>IF(ROUNDUP(T579/20,0)&gt;ROUNDUP(T578/20,0),"Lần " &amp; ROUNDUP(T579/20,0),"")</f>
        <v/>
      </c>
      <c r="AF579" s="9">
        <f>IF(ROUNDUP(U579/20,0)&gt;ROUNDUP(U578/20,0),"Lần " &amp; ROUNDUP(U579/20,0),"")</f>
        <v/>
      </c>
      <c r="AG579" s="9">
        <f>IF(ROUNDUP(V579/20,0)&gt;ROUNDUP(V578/20,0),"Lần " &amp; ROUNDUP(V579/20,0),"")</f>
        <v/>
      </c>
      <c r="AH579" s="9">
        <f>IF(ROUNDUP(W579/20,0)&gt;ROUNDUP(W578/20,0),"Lần " &amp; ROUNDUP(W579/20,0),"")</f>
        <v/>
      </c>
      <c r="AI579" s="9">
        <f>IF(ROUNDUP(X579/20,0)&gt;ROUNDUP(X578/20,0),"Lần " &amp; ROUNDUP(X579/20,0),"")</f>
        <v/>
      </c>
      <c r="AJ579" s="9">
        <f>IF(ROUNDUP(Y579/20,0)&gt;ROUNDUP(Y578/20,0),"Lần " &amp; ROUNDUP(Y579/20,0),"")</f>
        <v/>
      </c>
      <c r="AK579" s="9">
        <f>IF(ROUNDUP(Z579/20,0)&gt;ROUNDUP(Z578/20,0),"Lần " &amp; ROUNDUP(Z579/20,0),"")</f>
        <v/>
      </c>
      <c r="AL579" s="4" t="n"/>
      <c r="AN579" s="596" t="inlineStr">
        <is>
          <t>Than</t>
        </is>
      </c>
      <c r="AO579" s="596" t="n">
        <v>53</v>
      </c>
      <c r="AQ579" s="594" t="n"/>
      <c r="AR579" s="595" t="n"/>
    </row>
    <row r="580" ht="19" customFormat="1" customHeight="1" s="612">
      <c r="A580" s="4" t="n">
        <v>548</v>
      </c>
      <c r="B580" s="5" t="inlineStr">
        <is>
          <t>Mố M1</t>
        </is>
      </c>
      <c r="C580" s="5" t="inlineStr">
        <is>
          <t>Mố M1 (tr.31)</t>
        </is>
      </c>
      <c r="D580" s="14" t="inlineStr">
        <is>
          <t>G5</t>
        </is>
      </c>
      <c r="E580" s="15" t="n">
        <v>14</v>
      </c>
      <c r="F580" s="4" t="inlineStr">
        <is>
          <t>CB400-V</t>
        </is>
      </c>
      <c r="G580" s="5" t="inlineStr"/>
      <c r="H580" s="16" t="n">
        <v>0.4</v>
      </c>
      <c r="I580" s="17" t="n">
        <v>18</v>
      </c>
      <c r="J580" s="18" t="n">
        <v>1.208</v>
      </c>
      <c r="K580" s="7">
        <f>ROUND(H580*I580*J580, 2)</f>
        <v/>
      </c>
      <c r="L580" s="19">
        <f>ROUND(K580/1000, 3)</f>
        <v/>
      </c>
      <c r="M580" s="728">
        <f>IF(AO580="","",IF(N(INDEX(Theo_Doi_Tan_Suat_Be_Tong!$C:$C,AO580))&lt;=0,"",INDEX(Theo_Doi_Tan_Suat_Be_Tong!$C:$C,AO580)-VLOOKUP(AN580,$AQ$2:$AR$7,2,FALSE)))</f>
        <v/>
      </c>
      <c r="N580" s="4" t="n"/>
      <c r="O580" s="20">
        <f>IF(ROUNDUP(R580/20,0)&gt;ROUNDUP(R579/20,0),"TN Ø14 (Lần " &amp; ROUNDUP(R580/20,0) &amp; ")","")</f>
        <v/>
      </c>
      <c r="P580" s="16">
        <f>ROUND(P579+IF(AND(E580&lt;=10,F580&lt;&gt;"ASTM A416"),L580,0),3)</f>
        <v/>
      </c>
      <c r="Q580" s="16">
        <f>ROUND(Q579+IF(AND(E580=12,F580&lt;&gt;"ASTM A416"),L580,0),3)</f>
        <v/>
      </c>
      <c r="R580" s="16">
        <f>ROUND(R579+IF(AND(E580=14,F580&lt;&gt;"ASTM A416"),L580,0),3)</f>
        <v/>
      </c>
      <c r="S580" s="16">
        <f>ROUND(S579+IF(AND(E580=16,F580&lt;&gt;"ASTM A416"),L580,0),3)</f>
        <v/>
      </c>
      <c r="T580" s="16">
        <f>ROUND(T579+IF(AND(E580=18,F580&lt;&gt;"ASTM A416"),L580,0),3)</f>
        <v/>
      </c>
      <c r="U580" s="16">
        <f>ROUND(U579+IF(AND(E580=20,F580&lt;&gt;"ASTM A416"),L580,0),3)</f>
        <v/>
      </c>
      <c r="V580" s="16">
        <f>ROUND(V579+IF(AND(E580=22,F580&lt;&gt;"ASTM A416"),L580,0),3)</f>
        <v/>
      </c>
      <c r="W580" s="16">
        <f>ROUND(W579+IF(AND(E580=25,F580&lt;&gt;"ASTM A416"),L580,0),3)</f>
        <v/>
      </c>
      <c r="X580" s="16">
        <f>ROUND(X579+IF(AND(E580=28,F580&lt;&gt;"ASTM A416"),L580,0),3)</f>
        <v/>
      </c>
      <c r="Y580" s="16">
        <f>ROUND(Y579+IF(AND(E580=32,F580&lt;&gt;"ASTM A416"),L580,0),3)</f>
        <v/>
      </c>
      <c r="Z580" s="16">
        <f>ROUND(Z579+IF(F580="ASTM A416",L580,0),3)</f>
        <v/>
      </c>
      <c r="AA580" s="9">
        <f>IF(ROUNDUP(P580/20,0)&gt;ROUNDUP(P579/20,0),"Lần " &amp; ROUNDUP(P580/20,0),"")</f>
        <v/>
      </c>
      <c r="AB580" s="9">
        <f>IF(ROUNDUP(Q580/20,0)&gt;ROUNDUP(Q579/20,0),"Lần " &amp; ROUNDUP(Q580/20,0),"")</f>
        <v/>
      </c>
      <c r="AC580" s="9">
        <f>IF(ROUNDUP(R580/20,0)&gt;ROUNDUP(R579/20,0),"Lần " &amp; ROUNDUP(R580/20,0),"")</f>
        <v/>
      </c>
      <c r="AD580" s="9">
        <f>IF(ROUNDUP(S580/20,0)&gt;ROUNDUP(S579/20,0),"Lần " &amp; ROUNDUP(S580/20,0),"")</f>
        <v/>
      </c>
      <c r="AE580" s="9">
        <f>IF(ROUNDUP(T580/20,0)&gt;ROUNDUP(T579/20,0),"Lần " &amp; ROUNDUP(T580/20,0),"")</f>
        <v/>
      </c>
      <c r="AF580" s="9">
        <f>IF(ROUNDUP(U580/20,0)&gt;ROUNDUP(U579/20,0),"Lần " &amp; ROUNDUP(U580/20,0),"")</f>
        <v/>
      </c>
      <c r="AG580" s="9">
        <f>IF(ROUNDUP(V580/20,0)&gt;ROUNDUP(V579/20,0),"Lần " &amp; ROUNDUP(V580/20,0),"")</f>
        <v/>
      </c>
      <c r="AH580" s="9">
        <f>IF(ROUNDUP(W580/20,0)&gt;ROUNDUP(W579/20,0),"Lần " &amp; ROUNDUP(W580/20,0),"")</f>
        <v/>
      </c>
      <c r="AI580" s="9">
        <f>IF(ROUNDUP(X580/20,0)&gt;ROUNDUP(X579/20,0),"Lần " &amp; ROUNDUP(X580/20,0),"")</f>
        <v/>
      </c>
      <c r="AJ580" s="9">
        <f>IF(ROUNDUP(Y580/20,0)&gt;ROUNDUP(Y579/20,0),"Lần " &amp; ROUNDUP(Y580/20,0),"")</f>
        <v/>
      </c>
      <c r="AK580" s="9">
        <f>IF(ROUNDUP(Z580/20,0)&gt;ROUNDUP(Z579/20,0),"Lần " &amp; ROUNDUP(Z580/20,0),"")</f>
        <v/>
      </c>
      <c r="AL580" s="4" t="n"/>
      <c r="AN580" s="596" t="inlineStr">
        <is>
          <t>Than</t>
        </is>
      </c>
      <c r="AO580" s="596" t="n">
        <v>53</v>
      </c>
      <c r="AQ580" s="594" t="n"/>
      <c r="AR580" s="595" t="n"/>
    </row>
    <row r="581" ht="19" customFormat="1" customHeight="1" s="612">
      <c r="A581" s="4" t="n">
        <v>549</v>
      </c>
      <c r="B581" s="5" t="inlineStr">
        <is>
          <t>Mố M1</t>
        </is>
      </c>
      <c r="C581" s="5" t="inlineStr">
        <is>
          <t>Mố M1 (tr.31)</t>
        </is>
      </c>
      <c r="D581" s="14" t="inlineStr">
        <is>
          <t>G5A</t>
        </is>
      </c>
      <c r="E581" s="15" t="n">
        <v>14</v>
      </c>
      <c r="F581" s="4" t="inlineStr">
        <is>
          <t>CB400-V</t>
        </is>
      </c>
      <c r="G581" s="5" t="inlineStr"/>
      <c r="H581" s="16" t="n">
        <v>5.38</v>
      </c>
      <c r="I581" s="17" t="n">
        <v>22</v>
      </c>
      <c r="J581" s="18" t="n">
        <v>1.208</v>
      </c>
      <c r="K581" s="7">
        <f>ROUND(H581*I581*J581, 2)</f>
        <v/>
      </c>
      <c r="L581" s="19">
        <f>ROUND(K581/1000, 3)</f>
        <v/>
      </c>
      <c r="M581" s="728">
        <f>IF(AO581="","",IF(N(INDEX(Theo_Doi_Tan_Suat_Be_Tong!$C:$C,AO581))&lt;=0,"",INDEX(Theo_Doi_Tan_Suat_Be_Tong!$C:$C,AO581)-VLOOKUP(AN581,$AQ$2:$AR$7,2,FALSE)))</f>
        <v/>
      </c>
      <c r="N581" s="4" t="n"/>
      <c r="O581" s="20">
        <f>IF(ROUNDUP(R581/20,0)&gt;ROUNDUP(R580/20,0),"TN Ø14 (Lần " &amp; ROUNDUP(R581/20,0) &amp; ")","")</f>
        <v/>
      </c>
      <c r="P581" s="16">
        <f>ROUND(P580+IF(AND(E581&lt;=10,F581&lt;&gt;"ASTM A416"),L581,0),3)</f>
        <v/>
      </c>
      <c r="Q581" s="16">
        <f>ROUND(Q580+IF(AND(E581=12,F581&lt;&gt;"ASTM A416"),L581,0),3)</f>
        <v/>
      </c>
      <c r="R581" s="16">
        <f>ROUND(R580+IF(AND(E581=14,F581&lt;&gt;"ASTM A416"),L581,0),3)</f>
        <v/>
      </c>
      <c r="S581" s="16">
        <f>ROUND(S580+IF(AND(E581=16,F581&lt;&gt;"ASTM A416"),L581,0),3)</f>
        <v/>
      </c>
      <c r="T581" s="16">
        <f>ROUND(T580+IF(AND(E581=18,F581&lt;&gt;"ASTM A416"),L581,0),3)</f>
        <v/>
      </c>
      <c r="U581" s="16">
        <f>ROUND(U580+IF(AND(E581=20,F581&lt;&gt;"ASTM A416"),L581,0),3)</f>
        <v/>
      </c>
      <c r="V581" s="16">
        <f>ROUND(V580+IF(AND(E581=22,F581&lt;&gt;"ASTM A416"),L581,0),3)</f>
        <v/>
      </c>
      <c r="W581" s="16">
        <f>ROUND(W580+IF(AND(E581=25,F581&lt;&gt;"ASTM A416"),L581,0),3)</f>
        <v/>
      </c>
      <c r="X581" s="16">
        <f>ROUND(X580+IF(AND(E581=28,F581&lt;&gt;"ASTM A416"),L581,0),3)</f>
        <v/>
      </c>
      <c r="Y581" s="16">
        <f>ROUND(Y580+IF(AND(E581=32,F581&lt;&gt;"ASTM A416"),L581,0),3)</f>
        <v/>
      </c>
      <c r="Z581" s="16">
        <f>ROUND(Z580+IF(F581="ASTM A416",L581,0),3)</f>
        <v/>
      </c>
      <c r="AA581" s="9">
        <f>IF(ROUNDUP(P581/20,0)&gt;ROUNDUP(P580/20,0),"Lần " &amp; ROUNDUP(P581/20,0),"")</f>
        <v/>
      </c>
      <c r="AB581" s="9">
        <f>IF(ROUNDUP(Q581/20,0)&gt;ROUNDUP(Q580/20,0),"Lần " &amp; ROUNDUP(Q581/20,0),"")</f>
        <v/>
      </c>
      <c r="AC581" s="9">
        <f>IF(ROUNDUP(R581/20,0)&gt;ROUNDUP(R580/20,0),"Lần " &amp; ROUNDUP(R581/20,0),"")</f>
        <v/>
      </c>
      <c r="AD581" s="9">
        <f>IF(ROUNDUP(S581/20,0)&gt;ROUNDUP(S580/20,0),"Lần " &amp; ROUNDUP(S581/20,0),"")</f>
        <v/>
      </c>
      <c r="AE581" s="9">
        <f>IF(ROUNDUP(T581/20,0)&gt;ROUNDUP(T580/20,0),"Lần " &amp; ROUNDUP(T581/20,0),"")</f>
        <v/>
      </c>
      <c r="AF581" s="9">
        <f>IF(ROUNDUP(U581/20,0)&gt;ROUNDUP(U580/20,0),"Lần " &amp; ROUNDUP(U581/20,0),"")</f>
        <v/>
      </c>
      <c r="AG581" s="9">
        <f>IF(ROUNDUP(V581/20,0)&gt;ROUNDUP(V580/20,0),"Lần " &amp; ROUNDUP(V581/20,0),"")</f>
        <v/>
      </c>
      <c r="AH581" s="9">
        <f>IF(ROUNDUP(W581/20,0)&gt;ROUNDUP(W580/20,0),"Lần " &amp; ROUNDUP(W581/20,0),"")</f>
        <v/>
      </c>
      <c r="AI581" s="9">
        <f>IF(ROUNDUP(X581/20,0)&gt;ROUNDUP(X580/20,0),"Lần " &amp; ROUNDUP(X581/20,0),"")</f>
        <v/>
      </c>
      <c r="AJ581" s="9">
        <f>IF(ROUNDUP(Y581/20,0)&gt;ROUNDUP(Y580/20,0),"Lần " &amp; ROUNDUP(Y581/20,0),"")</f>
        <v/>
      </c>
      <c r="AK581" s="9">
        <f>IF(ROUNDUP(Z581/20,0)&gt;ROUNDUP(Z580/20,0),"Lần " &amp; ROUNDUP(Z581/20,0),"")</f>
        <v/>
      </c>
      <c r="AL581" s="4" t="n"/>
      <c r="AN581" s="596" t="inlineStr">
        <is>
          <t>Than</t>
        </is>
      </c>
      <c r="AO581" s="596" t="n">
        <v>53</v>
      </c>
      <c r="AQ581" s="594" t="n"/>
      <c r="AR581" s="595" t="n"/>
    </row>
    <row r="582" ht="19" customFormat="1" customHeight="1" s="612">
      <c r="A582" s="4" t="n">
        <v>550</v>
      </c>
      <c r="B582" s="5" t="inlineStr">
        <is>
          <t>Mố M1</t>
        </is>
      </c>
      <c r="C582" s="5" t="inlineStr">
        <is>
          <t>Mố M1 (tr.31)</t>
        </is>
      </c>
      <c r="D582" s="14" t="inlineStr">
        <is>
          <t>G6</t>
        </is>
      </c>
      <c r="E582" s="15" t="n">
        <v>20</v>
      </c>
      <c r="F582" s="4" t="inlineStr">
        <is>
          <t>CB400-V</t>
        </is>
      </c>
      <c r="G582" s="5" t="inlineStr"/>
      <c r="H582" s="16" t="n">
        <v>3.095</v>
      </c>
      <c r="I582" s="17" t="n">
        <v>39</v>
      </c>
      <c r="J582" s="18" t="n">
        <v>2.466</v>
      </c>
      <c r="K582" s="7">
        <f>ROUND(H582*I582*J582, 2)</f>
        <v/>
      </c>
      <c r="L582" s="19">
        <f>ROUND(K582/1000, 3)</f>
        <v/>
      </c>
      <c r="M582" s="728">
        <f>IF(AO582="","",IF(N(INDEX(Theo_Doi_Tan_Suat_Be_Tong!$C:$C,AO582))&lt;=0,"",INDEX(Theo_Doi_Tan_Suat_Be_Tong!$C:$C,AO582)-VLOOKUP(AN582,$AQ$2:$AR$7,2,FALSE)))</f>
        <v/>
      </c>
      <c r="N582" s="4" t="n"/>
      <c r="O582" s="20">
        <f>IF(ROUNDUP(U582/20,0)&gt;ROUNDUP(U581/20,0),"TN Ø20 (Lần " &amp; ROUNDUP(U582/20,0) &amp; ")","")</f>
        <v/>
      </c>
      <c r="P582" s="16">
        <f>ROUND(P581+IF(AND(E582&lt;=10,F582&lt;&gt;"ASTM A416"),L582,0),3)</f>
        <v/>
      </c>
      <c r="Q582" s="16">
        <f>ROUND(Q581+IF(AND(E582=12,F582&lt;&gt;"ASTM A416"),L582,0),3)</f>
        <v/>
      </c>
      <c r="R582" s="16">
        <f>ROUND(R581+IF(AND(E582=14,F582&lt;&gt;"ASTM A416"),L582,0),3)</f>
        <v/>
      </c>
      <c r="S582" s="16">
        <f>ROUND(S581+IF(AND(E582=16,F582&lt;&gt;"ASTM A416"),L582,0),3)</f>
        <v/>
      </c>
      <c r="T582" s="16">
        <f>ROUND(T581+IF(AND(E582=18,F582&lt;&gt;"ASTM A416"),L582,0),3)</f>
        <v/>
      </c>
      <c r="U582" s="16">
        <f>ROUND(U581+IF(AND(E582=20,F582&lt;&gt;"ASTM A416"),L582,0),3)</f>
        <v/>
      </c>
      <c r="V582" s="16">
        <f>ROUND(V581+IF(AND(E582=22,F582&lt;&gt;"ASTM A416"),L582,0),3)</f>
        <v/>
      </c>
      <c r="W582" s="16">
        <f>ROUND(W581+IF(AND(E582=25,F582&lt;&gt;"ASTM A416"),L582,0),3)</f>
        <v/>
      </c>
      <c r="X582" s="16">
        <f>ROUND(X581+IF(AND(E582=28,F582&lt;&gt;"ASTM A416"),L582,0),3)</f>
        <v/>
      </c>
      <c r="Y582" s="16">
        <f>ROUND(Y581+IF(AND(E582=32,F582&lt;&gt;"ASTM A416"),L582,0),3)</f>
        <v/>
      </c>
      <c r="Z582" s="16">
        <f>ROUND(Z581+IF(F582="ASTM A416",L582,0),3)</f>
        <v/>
      </c>
      <c r="AA582" s="9">
        <f>IF(ROUNDUP(P582/20,0)&gt;ROUNDUP(P581/20,0),"Lần " &amp; ROUNDUP(P582/20,0),"")</f>
        <v/>
      </c>
      <c r="AB582" s="9">
        <f>IF(ROUNDUP(Q582/20,0)&gt;ROUNDUP(Q581/20,0),"Lần " &amp; ROUNDUP(Q582/20,0),"")</f>
        <v/>
      </c>
      <c r="AC582" s="9">
        <f>IF(ROUNDUP(R582/20,0)&gt;ROUNDUP(R581/20,0),"Lần " &amp; ROUNDUP(R582/20,0),"")</f>
        <v/>
      </c>
      <c r="AD582" s="9">
        <f>IF(ROUNDUP(S582/20,0)&gt;ROUNDUP(S581/20,0),"Lần " &amp; ROUNDUP(S582/20,0),"")</f>
        <v/>
      </c>
      <c r="AE582" s="9">
        <f>IF(ROUNDUP(T582/20,0)&gt;ROUNDUP(T581/20,0),"Lần " &amp; ROUNDUP(T582/20,0),"")</f>
        <v/>
      </c>
      <c r="AF582" s="9">
        <f>IF(ROUNDUP(U582/20,0)&gt;ROUNDUP(U581/20,0),"Lần " &amp; ROUNDUP(U582/20,0),"")</f>
        <v/>
      </c>
      <c r="AG582" s="9">
        <f>IF(ROUNDUP(V582/20,0)&gt;ROUNDUP(V581/20,0),"Lần " &amp; ROUNDUP(V582/20,0),"")</f>
        <v/>
      </c>
      <c r="AH582" s="9">
        <f>IF(ROUNDUP(W582/20,0)&gt;ROUNDUP(W581/20,0),"Lần " &amp; ROUNDUP(W582/20,0),"")</f>
        <v/>
      </c>
      <c r="AI582" s="9">
        <f>IF(ROUNDUP(X582/20,0)&gt;ROUNDUP(X581/20,0),"Lần " &amp; ROUNDUP(X582/20,0),"")</f>
        <v/>
      </c>
      <c r="AJ582" s="9">
        <f>IF(ROUNDUP(Y582/20,0)&gt;ROUNDUP(Y581/20,0),"Lần " &amp; ROUNDUP(Y582/20,0),"")</f>
        <v/>
      </c>
      <c r="AK582" s="9">
        <f>IF(ROUNDUP(Z582/20,0)&gt;ROUNDUP(Z581/20,0),"Lần " &amp; ROUNDUP(Z582/20,0),"")</f>
        <v/>
      </c>
      <c r="AL582" s="4" t="n"/>
      <c r="AN582" s="596" t="inlineStr">
        <is>
          <t>Than</t>
        </is>
      </c>
      <c r="AO582" s="596" t="n">
        <v>53</v>
      </c>
      <c r="AQ582" s="594" t="n"/>
      <c r="AR582" s="595" t="n"/>
    </row>
    <row r="583" ht="19" customFormat="1" customHeight="1" s="612">
      <c r="A583" s="4" t="n">
        <v>551</v>
      </c>
      <c r="B583" s="5" t="inlineStr">
        <is>
          <t>Mố M1</t>
        </is>
      </c>
      <c r="C583" s="5" t="inlineStr">
        <is>
          <t>Mố M1 (tr.31)</t>
        </is>
      </c>
      <c r="D583" s="14" t="inlineStr">
        <is>
          <t>G7</t>
        </is>
      </c>
      <c r="E583" s="15" t="n">
        <v>14</v>
      </c>
      <c r="F583" s="4" t="inlineStr">
        <is>
          <t>CB400-V</t>
        </is>
      </c>
      <c r="G583" s="5" t="inlineStr">
        <is>
          <t>S29</t>
        </is>
      </c>
      <c r="H583" s="16" t="n">
        <v>1.536</v>
      </c>
      <c r="I583" s="17" t="n">
        <v>39</v>
      </c>
      <c r="J583" s="18" t="n">
        <v>1.208</v>
      </c>
      <c r="K583" s="7">
        <f>ROUND(H583*I583*J583, 2)</f>
        <v/>
      </c>
      <c r="L583" s="19">
        <f>ROUND(K583/1000, 3)</f>
        <v/>
      </c>
      <c r="M583" s="728">
        <f>IF(AO583="","",IF(N(INDEX(Theo_Doi_Tan_Suat_Be_Tong!$C:$C,AO583))&lt;=0,"",INDEX(Theo_Doi_Tan_Suat_Be_Tong!$C:$C,AO583)-VLOOKUP(AN583,$AQ$2:$AR$7,2,FALSE)))</f>
        <v/>
      </c>
      <c r="N583" s="4" t="n"/>
      <c r="O583" s="20">
        <f>IF(ROUNDUP(R583/20,0)&gt;ROUNDUP(R582/20,0),"TN Ø14 (Lần " &amp; ROUNDUP(R583/20,0) &amp; ")","")</f>
        <v/>
      </c>
      <c r="P583" s="16">
        <f>ROUND(P582+IF(AND(E583&lt;=10,F583&lt;&gt;"ASTM A416"),L583,0),3)</f>
        <v/>
      </c>
      <c r="Q583" s="16">
        <f>ROUND(Q582+IF(AND(E583=12,F583&lt;&gt;"ASTM A416"),L583,0),3)</f>
        <v/>
      </c>
      <c r="R583" s="16">
        <f>ROUND(R582+IF(AND(E583=14,F583&lt;&gt;"ASTM A416"),L583,0),3)</f>
        <v/>
      </c>
      <c r="S583" s="16">
        <f>ROUND(S582+IF(AND(E583=16,F583&lt;&gt;"ASTM A416"),L583,0),3)</f>
        <v/>
      </c>
      <c r="T583" s="16">
        <f>ROUND(T582+IF(AND(E583=18,F583&lt;&gt;"ASTM A416"),L583,0),3)</f>
        <v/>
      </c>
      <c r="U583" s="16">
        <f>ROUND(U582+IF(AND(E583=20,F583&lt;&gt;"ASTM A416"),L583,0),3)</f>
        <v/>
      </c>
      <c r="V583" s="16">
        <f>ROUND(V582+IF(AND(E583=22,F583&lt;&gt;"ASTM A416"),L583,0),3)</f>
        <v/>
      </c>
      <c r="W583" s="16">
        <f>ROUND(W582+IF(AND(E583=25,F583&lt;&gt;"ASTM A416"),L583,0),3)</f>
        <v/>
      </c>
      <c r="X583" s="16">
        <f>ROUND(X582+IF(AND(E583=28,F583&lt;&gt;"ASTM A416"),L583,0),3)</f>
        <v/>
      </c>
      <c r="Y583" s="16">
        <f>ROUND(Y582+IF(AND(E583=32,F583&lt;&gt;"ASTM A416"),L583,0),3)</f>
        <v/>
      </c>
      <c r="Z583" s="16">
        <f>ROUND(Z582+IF(F583="ASTM A416",L583,0),3)</f>
        <v/>
      </c>
      <c r="AA583" s="9">
        <f>IF(ROUNDUP(P583/20,0)&gt;ROUNDUP(P582/20,0),"Lần " &amp; ROUNDUP(P583/20,0),"")</f>
        <v/>
      </c>
      <c r="AB583" s="9">
        <f>IF(ROUNDUP(Q583/20,0)&gt;ROUNDUP(Q582/20,0),"Lần " &amp; ROUNDUP(Q583/20,0),"")</f>
        <v/>
      </c>
      <c r="AC583" s="9">
        <f>IF(ROUNDUP(R583/20,0)&gt;ROUNDUP(R582/20,0),"Lần " &amp; ROUNDUP(R583/20,0),"")</f>
        <v/>
      </c>
      <c r="AD583" s="9">
        <f>IF(ROUNDUP(S583/20,0)&gt;ROUNDUP(S582/20,0),"Lần " &amp; ROUNDUP(S583/20,0),"")</f>
        <v/>
      </c>
      <c r="AE583" s="9">
        <f>IF(ROUNDUP(T583/20,0)&gt;ROUNDUP(T582/20,0),"Lần " &amp; ROUNDUP(T583/20,0),"")</f>
        <v/>
      </c>
      <c r="AF583" s="9">
        <f>IF(ROUNDUP(U583/20,0)&gt;ROUNDUP(U582/20,0),"Lần " &amp; ROUNDUP(U583/20,0),"")</f>
        <v/>
      </c>
      <c r="AG583" s="9">
        <f>IF(ROUNDUP(V583/20,0)&gt;ROUNDUP(V582/20,0),"Lần " &amp; ROUNDUP(V583/20,0),"")</f>
        <v/>
      </c>
      <c r="AH583" s="9">
        <f>IF(ROUNDUP(W583/20,0)&gt;ROUNDUP(W582/20,0),"Lần " &amp; ROUNDUP(W583/20,0),"")</f>
        <v/>
      </c>
      <c r="AI583" s="9">
        <f>IF(ROUNDUP(X583/20,0)&gt;ROUNDUP(X582/20,0),"Lần " &amp; ROUNDUP(X583/20,0),"")</f>
        <v/>
      </c>
      <c r="AJ583" s="9">
        <f>IF(ROUNDUP(Y583/20,0)&gt;ROUNDUP(Y582/20,0),"Lần " &amp; ROUNDUP(Y583/20,0),"")</f>
        <v/>
      </c>
      <c r="AK583" s="9">
        <f>IF(ROUNDUP(Z583/20,0)&gt;ROUNDUP(Z582/20,0),"Lần " &amp; ROUNDUP(Z583/20,0),"")</f>
        <v/>
      </c>
      <c r="AL583" s="4" t="n"/>
      <c r="AN583" s="596" t="inlineStr">
        <is>
          <t>Than</t>
        </is>
      </c>
      <c r="AO583" s="596" t="n">
        <v>53</v>
      </c>
      <c r="AQ583" s="594" t="n"/>
      <c r="AR583" s="595" t="n"/>
    </row>
    <row r="584" ht="19" customFormat="1" customHeight="1" s="612">
      <c r="A584" s="4" t="n">
        <v>552</v>
      </c>
      <c r="B584" s="5" t="inlineStr">
        <is>
          <t>Mố M1</t>
        </is>
      </c>
      <c r="C584" s="5" t="inlineStr">
        <is>
          <t>Mố M1 (tr.31)</t>
        </is>
      </c>
      <c r="D584" s="14" t="inlineStr">
        <is>
          <t>G7A</t>
        </is>
      </c>
      <c r="E584" s="15" t="n">
        <v>20</v>
      </c>
      <c r="F584" s="4" t="inlineStr">
        <is>
          <t>CB400-V</t>
        </is>
      </c>
      <c r="G584" s="5" t="inlineStr">
        <is>
          <t>S05</t>
        </is>
      </c>
      <c r="H584" s="16" t="n">
        <v>1.182</v>
      </c>
      <c r="I584" s="17" t="n">
        <v>39</v>
      </c>
      <c r="J584" s="18" t="n">
        <v>2.466</v>
      </c>
      <c r="K584" s="7">
        <f>ROUND(H584*I584*J584, 2)</f>
        <v/>
      </c>
      <c r="L584" s="19">
        <f>ROUND(K584/1000, 3)</f>
        <v/>
      </c>
      <c r="M584" s="728">
        <f>IF(AO584="","",IF(N(INDEX(Theo_Doi_Tan_Suat_Be_Tong!$C:$C,AO584))&lt;=0,"",INDEX(Theo_Doi_Tan_Suat_Be_Tong!$C:$C,AO584)-VLOOKUP(AN584,$AQ$2:$AR$7,2,FALSE)))</f>
        <v/>
      </c>
      <c r="N584" s="4" t="n"/>
      <c r="O584" s="20">
        <f>IF(ROUNDUP(U584/20,0)&gt;ROUNDUP(U583/20,0),"TN Ø20 (Lần " &amp; ROUNDUP(U584/20,0) &amp; ")","")</f>
        <v/>
      </c>
      <c r="P584" s="16">
        <f>ROUND(P583+IF(AND(E584&lt;=10,F584&lt;&gt;"ASTM A416"),L584,0),3)</f>
        <v/>
      </c>
      <c r="Q584" s="16">
        <f>ROUND(Q583+IF(AND(E584=12,F584&lt;&gt;"ASTM A416"),L584,0),3)</f>
        <v/>
      </c>
      <c r="R584" s="16">
        <f>ROUND(R583+IF(AND(E584=14,F584&lt;&gt;"ASTM A416"),L584,0),3)</f>
        <v/>
      </c>
      <c r="S584" s="16">
        <f>ROUND(S583+IF(AND(E584=16,F584&lt;&gt;"ASTM A416"),L584,0),3)</f>
        <v/>
      </c>
      <c r="T584" s="16">
        <f>ROUND(T583+IF(AND(E584=18,F584&lt;&gt;"ASTM A416"),L584,0),3)</f>
        <v/>
      </c>
      <c r="U584" s="16">
        <f>ROUND(U583+IF(AND(E584=20,F584&lt;&gt;"ASTM A416"),L584,0),3)</f>
        <v/>
      </c>
      <c r="V584" s="16">
        <f>ROUND(V583+IF(AND(E584=22,F584&lt;&gt;"ASTM A416"),L584,0),3)</f>
        <v/>
      </c>
      <c r="W584" s="16">
        <f>ROUND(W583+IF(AND(E584=25,F584&lt;&gt;"ASTM A416"),L584,0),3)</f>
        <v/>
      </c>
      <c r="X584" s="16">
        <f>ROUND(X583+IF(AND(E584=28,F584&lt;&gt;"ASTM A416"),L584,0),3)</f>
        <v/>
      </c>
      <c r="Y584" s="16">
        <f>ROUND(Y583+IF(AND(E584=32,F584&lt;&gt;"ASTM A416"),L584,0),3)</f>
        <v/>
      </c>
      <c r="Z584" s="16">
        <f>ROUND(Z583+IF(F584="ASTM A416",L584,0),3)</f>
        <v/>
      </c>
      <c r="AA584" s="9">
        <f>IF(ROUNDUP(P584/20,0)&gt;ROUNDUP(P583/20,0),"Lần " &amp; ROUNDUP(P584/20,0),"")</f>
        <v/>
      </c>
      <c r="AB584" s="9">
        <f>IF(ROUNDUP(Q584/20,0)&gt;ROUNDUP(Q583/20,0),"Lần " &amp; ROUNDUP(Q584/20,0),"")</f>
        <v/>
      </c>
      <c r="AC584" s="9">
        <f>IF(ROUNDUP(R584/20,0)&gt;ROUNDUP(R583/20,0),"Lần " &amp; ROUNDUP(R584/20,0),"")</f>
        <v/>
      </c>
      <c r="AD584" s="9">
        <f>IF(ROUNDUP(S584/20,0)&gt;ROUNDUP(S583/20,0),"Lần " &amp; ROUNDUP(S584/20,0),"")</f>
        <v/>
      </c>
      <c r="AE584" s="9">
        <f>IF(ROUNDUP(T584/20,0)&gt;ROUNDUP(T583/20,0),"Lần " &amp; ROUNDUP(T584/20,0),"")</f>
        <v/>
      </c>
      <c r="AF584" s="9">
        <f>IF(ROUNDUP(U584/20,0)&gt;ROUNDUP(U583/20,0),"Lần " &amp; ROUNDUP(U584/20,0),"")</f>
        <v/>
      </c>
      <c r="AG584" s="9">
        <f>IF(ROUNDUP(V584/20,0)&gt;ROUNDUP(V583/20,0),"Lần " &amp; ROUNDUP(V584/20,0),"")</f>
        <v/>
      </c>
      <c r="AH584" s="9">
        <f>IF(ROUNDUP(W584/20,0)&gt;ROUNDUP(W583/20,0),"Lần " &amp; ROUNDUP(W584/20,0),"")</f>
        <v/>
      </c>
      <c r="AI584" s="9">
        <f>IF(ROUNDUP(X584/20,0)&gt;ROUNDUP(X583/20,0),"Lần " &amp; ROUNDUP(X584/20,0),"")</f>
        <v/>
      </c>
      <c r="AJ584" s="9">
        <f>IF(ROUNDUP(Y584/20,0)&gt;ROUNDUP(Y583/20,0),"Lần " &amp; ROUNDUP(Y584/20,0),"")</f>
        <v/>
      </c>
      <c r="AK584" s="9">
        <f>IF(ROUNDUP(Z584/20,0)&gt;ROUNDUP(Z583/20,0),"Lần " &amp; ROUNDUP(Z584/20,0),"")</f>
        <v/>
      </c>
      <c r="AL584" s="4" t="n"/>
      <c r="AN584" s="596" t="inlineStr">
        <is>
          <t>Than</t>
        </is>
      </c>
      <c r="AO584" s="596" t="n">
        <v>53</v>
      </c>
      <c r="AQ584" s="594" t="n"/>
      <c r="AR584" s="595" t="n"/>
    </row>
    <row r="585" ht="19" customFormat="1" customHeight="1" s="612">
      <c r="A585" s="4" t="n">
        <v>553</v>
      </c>
      <c r="B585" s="5" t="inlineStr">
        <is>
          <t>Mố M1</t>
        </is>
      </c>
      <c r="C585" s="5" t="inlineStr">
        <is>
          <t>Mố M1 (tr.31)</t>
        </is>
      </c>
      <c r="D585" s="14" t="inlineStr">
        <is>
          <t>G8A</t>
        </is>
      </c>
      <c r="E585" s="15" t="n">
        <v>12</v>
      </c>
      <c r="F585" s="4" t="inlineStr">
        <is>
          <t>CB400-V</t>
        </is>
      </c>
      <c r="G585" s="5" t="inlineStr">
        <is>
          <t>S06</t>
        </is>
      </c>
      <c r="H585" s="16" t="n">
        <v>0.26</v>
      </c>
      <c r="I585" s="17" t="n">
        <v>14</v>
      </c>
      <c r="J585" s="18" t="n">
        <v>0.888</v>
      </c>
      <c r="K585" s="7">
        <f>ROUND(H585*I585*J585, 2)</f>
        <v/>
      </c>
      <c r="L585" s="19">
        <f>ROUND(K585/1000, 3)</f>
        <v/>
      </c>
      <c r="M585" s="728">
        <f>IF(AO585="","",IF(N(INDEX(Theo_Doi_Tan_Suat_Be_Tong!$C:$C,AO585))&lt;=0,"",INDEX(Theo_Doi_Tan_Suat_Be_Tong!$C:$C,AO585)-VLOOKUP(AN585,$AQ$2:$AR$7,2,FALSE)))</f>
        <v/>
      </c>
      <c r="N585" s="4" t="n"/>
      <c r="O585" s="20">
        <f>IF(ROUNDUP(Q585/20,0)&gt;ROUNDUP(Q584/20,0),"TN Ø12 (Lần " &amp; ROUNDUP(Q585/20,0) &amp; ")","")</f>
        <v/>
      </c>
      <c r="P585" s="16">
        <f>ROUND(P584+IF(AND(E585&lt;=10,F585&lt;&gt;"ASTM A416"),L585,0),3)</f>
        <v/>
      </c>
      <c r="Q585" s="16">
        <f>ROUND(Q584+IF(AND(E585=12,F585&lt;&gt;"ASTM A416"),L585,0),3)</f>
        <v/>
      </c>
      <c r="R585" s="16">
        <f>ROUND(R584+IF(AND(E585=14,F585&lt;&gt;"ASTM A416"),L585,0),3)</f>
        <v/>
      </c>
      <c r="S585" s="16">
        <f>ROUND(S584+IF(AND(E585=16,F585&lt;&gt;"ASTM A416"),L585,0),3)</f>
        <v/>
      </c>
      <c r="T585" s="16">
        <f>ROUND(T584+IF(AND(E585=18,F585&lt;&gt;"ASTM A416"),L585,0),3)</f>
        <v/>
      </c>
      <c r="U585" s="16">
        <f>ROUND(U584+IF(AND(E585=20,F585&lt;&gt;"ASTM A416"),L585,0),3)</f>
        <v/>
      </c>
      <c r="V585" s="16">
        <f>ROUND(V584+IF(AND(E585=22,F585&lt;&gt;"ASTM A416"),L585,0),3)</f>
        <v/>
      </c>
      <c r="W585" s="16">
        <f>ROUND(W584+IF(AND(E585=25,F585&lt;&gt;"ASTM A416"),L585,0),3)</f>
        <v/>
      </c>
      <c r="X585" s="16">
        <f>ROUND(X584+IF(AND(E585=28,F585&lt;&gt;"ASTM A416"),L585,0),3)</f>
        <v/>
      </c>
      <c r="Y585" s="16">
        <f>ROUND(Y584+IF(AND(E585=32,F585&lt;&gt;"ASTM A416"),L585,0),3)</f>
        <v/>
      </c>
      <c r="Z585" s="16">
        <f>ROUND(Z584+IF(F585="ASTM A416",L585,0),3)</f>
        <v/>
      </c>
      <c r="AA585" s="9">
        <f>IF(ROUNDUP(P585/20,0)&gt;ROUNDUP(P584/20,0),"Lần " &amp; ROUNDUP(P585/20,0),"")</f>
        <v/>
      </c>
      <c r="AB585" s="9">
        <f>IF(ROUNDUP(Q585/20,0)&gt;ROUNDUP(Q584/20,0),"Lần " &amp; ROUNDUP(Q585/20,0),"")</f>
        <v/>
      </c>
      <c r="AC585" s="9">
        <f>IF(ROUNDUP(R585/20,0)&gt;ROUNDUP(R584/20,0),"Lần " &amp; ROUNDUP(R585/20,0),"")</f>
        <v/>
      </c>
      <c r="AD585" s="9">
        <f>IF(ROUNDUP(S585/20,0)&gt;ROUNDUP(S584/20,0),"Lần " &amp; ROUNDUP(S585/20,0),"")</f>
        <v/>
      </c>
      <c r="AE585" s="9">
        <f>IF(ROUNDUP(T585/20,0)&gt;ROUNDUP(T584/20,0),"Lần " &amp; ROUNDUP(T585/20,0),"")</f>
        <v/>
      </c>
      <c r="AF585" s="9">
        <f>IF(ROUNDUP(U585/20,0)&gt;ROUNDUP(U584/20,0),"Lần " &amp; ROUNDUP(U585/20,0),"")</f>
        <v/>
      </c>
      <c r="AG585" s="9">
        <f>IF(ROUNDUP(V585/20,0)&gt;ROUNDUP(V584/20,0),"Lần " &amp; ROUNDUP(V585/20,0),"")</f>
        <v/>
      </c>
      <c r="AH585" s="9">
        <f>IF(ROUNDUP(W585/20,0)&gt;ROUNDUP(W584/20,0),"Lần " &amp; ROUNDUP(W585/20,0),"")</f>
        <v/>
      </c>
      <c r="AI585" s="9">
        <f>IF(ROUNDUP(X585/20,0)&gt;ROUNDUP(X584/20,0),"Lần " &amp; ROUNDUP(X585/20,0),"")</f>
        <v/>
      </c>
      <c r="AJ585" s="9">
        <f>IF(ROUNDUP(Y585/20,0)&gt;ROUNDUP(Y584/20,0),"Lần " &amp; ROUNDUP(Y585/20,0),"")</f>
        <v/>
      </c>
      <c r="AK585" s="9">
        <f>IF(ROUNDUP(Z585/20,0)&gt;ROUNDUP(Z584/20,0),"Lần " &amp; ROUNDUP(Z585/20,0),"")</f>
        <v/>
      </c>
      <c r="AL585" s="4" t="n"/>
      <c r="AN585" s="596" t="inlineStr">
        <is>
          <t>Than</t>
        </is>
      </c>
      <c r="AO585" s="596" t="n">
        <v>53</v>
      </c>
      <c r="AQ585" s="594" t="n"/>
      <c r="AR585" s="595" t="n"/>
    </row>
    <row r="586" ht="19" customFormat="1" customHeight="1" s="612">
      <c r="A586" s="4" t="n">
        <v>554</v>
      </c>
      <c r="B586" s="5" t="inlineStr">
        <is>
          <t>Mố M1</t>
        </is>
      </c>
      <c r="C586" s="5" t="inlineStr">
        <is>
          <t>Mố M1 (tr.31)</t>
        </is>
      </c>
      <c r="D586" s="14" t="inlineStr">
        <is>
          <t>G8B</t>
        </is>
      </c>
      <c r="E586" s="15" t="n">
        <v>12</v>
      </c>
      <c r="F586" s="4" t="inlineStr">
        <is>
          <t>CB400-V</t>
        </is>
      </c>
      <c r="G586" s="5" t="inlineStr">
        <is>
          <t>S06</t>
        </is>
      </c>
      <c r="H586" s="16" t="n">
        <v>0.306</v>
      </c>
      <c r="I586" s="17" t="n">
        <v>14</v>
      </c>
      <c r="J586" s="18" t="n">
        <v>0.888</v>
      </c>
      <c r="K586" s="7">
        <f>ROUND(H586*I586*J586, 2)</f>
        <v/>
      </c>
      <c r="L586" s="19">
        <f>ROUND(K586/1000, 3)</f>
        <v/>
      </c>
      <c r="M586" s="728">
        <f>IF(AO586="","",IF(N(INDEX(Theo_Doi_Tan_Suat_Be_Tong!$C:$C,AO586))&lt;=0,"",INDEX(Theo_Doi_Tan_Suat_Be_Tong!$C:$C,AO586)-VLOOKUP(AN586,$AQ$2:$AR$7,2,FALSE)))</f>
        <v/>
      </c>
      <c r="N586" s="4" t="n"/>
      <c r="O586" s="20">
        <f>IF(ROUNDUP(Q586/20,0)&gt;ROUNDUP(Q585/20,0),"TN Ø12 (Lần " &amp; ROUNDUP(Q586/20,0) &amp; ")","")</f>
        <v/>
      </c>
      <c r="P586" s="16">
        <f>ROUND(P585+IF(AND(E586&lt;=10,F586&lt;&gt;"ASTM A416"),L586,0),3)</f>
        <v/>
      </c>
      <c r="Q586" s="16">
        <f>ROUND(Q585+IF(AND(E586=12,F586&lt;&gt;"ASTM A416"),L586,0),3)</f>
        <v/>
      </c>
      <c r="R586" s="16">
        <f>ROUND(R585+IF(AND(E586=14,F586&lt;&gt;"ASTM A416"),L586,0),3)</f>
        <v/>
      </c>
      <c r="S586" s="16">
        <f>ROUND(S585+IF(AND(E586=16,F586&lt;&gt;"ASTM A416"),L586,0),3)</f>
        <v/>
      </c>
      <c r="T586" s="16">
        <f>ROUND(T585+IF(AND(E586=18,F586&lt;&gt;"ASTM A416"),L586,0),3)</f>
        <v/>
      </c>
      <c r="U586" s="16">
        <f>ROUND(U585+IF(AND(E586=20,F586&lt;&gt;"ASTM A416"),L586,0),3)</f>
        <v/>
      </c>
      <c r="V586" s="16">
        <f>ROUND(V585+IF(AND(E586=22,F586&lt;&gt;"ASTM A416"),L586,0),3)</f>
        <v/>
      </c>
      <c r="W586" s="16">
        <f>ROUND(W585+IF(AND(E586=25,F586&lt;&gt;"ASTM A416"),L586,0),3)</f>
        <v/>
      </c>
      <c r="X586" s="16">
        <f>ROUND(X585+IF(AND(E586=28,F586&lt;&gt;"ASTM A416"),L586,0),3)</f>
        <v/>
      </c>
      <c r="Y586" s="16">
        <f>ROUND(Y585+IF(AND(E586=32,F586&lt;&gt;"ASTM A416"),L586,0),3)</f>
        <v/>
      </c>
      <c r="Z586" s="16">
        <f>ROUND(Z585+IF(F586="ASTM A416",L586,0),3)</f>
        <v/>
      </c>
      <c r="AA586" s="9">
        <f>IF(ROUNDUP(P586/20,0)&gt;ROUNDUP(P585/20,0),"Lần " &amp; ROUNDUP(P586/20,0),"")</f>
        <v/>
      </c>
      <c r="AB586" s="9">
        <f>IF(ROUNDUP(Q586/20,0)&gt;ROUNDUP(Q585/20,0),"Lần " &amp; ROUNDUP(Q586/20,0),"")</f>
        <v/>
      </c>
      <c r="AC586" s="9">
        <f>IF(ROUNDUP(R586/20,0)&gt;ROUNDUP(R585/20,0),"Lần " &amp; ROUNDUP(R586/20,0),"")</f>
        <v/>
      </c>
      <c r="AD586" s="9">
        <f>IF(ROUNDUP(S586/20,0)&gt;ROUNDUP(S585/20,0),"Lần " &amp; ROUNDUP(S586/20,0),"")</f>
        <v/>
      </c>
      <c r="AE586" s="9">
        <f>IF(ROUNDUP(T586/20,0)&gt;ROUNDUP(T585/20,0),"Lần " &amp; ROUNDUP(T586/20,0),"")</f>
        <v/>
      </c>
      <c r="AF586" s="9">
        <f>IF(ROUNDUP(U586/20,0)&gt;ROUNDUP(U585/20,0),"Lần " &amp; ROUNDUP(U586/20,0),"")</f>
        <v/>
      </c>
      <c r="AG586" s="9">
        <f>IF(ROUNDUP(V586/20,0)&gt;ROUNDUP(V585/20,0),"Lần " &amp; ROUNDUP(V586/20,0),"")</f>
        <v/>
      </c>
      <c r="AH586" s="9">
        <f>IF(ROUNDUP(W586/20,0)&gt;ROUNDUP(W585/20,0),"Lần " &amp; ROUNDUP(W586/20,0),"")</f>
        <v/>
      </c>
      <c r="AI586" s="9">
        <f>IF(ROUNDUP(X586/20,0)&gt;ROUNDUP(X585/20,0),"Lần " &amp; ROUNDUP(X586/20,0),"")</f>
        <v/>
      </c>
      <c r="AJ586" s="9">
        <f>IF(ROUNDUP(Y586/20,0)&gt;ROUNDUP(Y585/20,0),"Lần " &amp; ROUNDUP(Y586/20,0),"")</f>
        <v/>
      </c>
      <c r="AK586" s="9">
        <f>IF(ROUNDUP(Z586/20,0)&gt;ROUNDUP(Z585/20,0),"Lần " &amp; ROUNDUP(Z586/20,0),"")</f>
        <v/>
      </c>
      <c r="AL586" s="4" t="n"/>
      <c r="AN586" s="596" t="inlineStr">
        <is>
          <t>Than</t>
        </is>
      </c>
      <c r="AO586" s="596" t="n">
        <v>53</v>
      </c>
      <c r="AQ586" s="594" t="n"/>
      <c r="AR586" s="595" t="n"/>
    </row>
    <row r="587" ht="19" customFormat="1" customHeight="1" s="612">
      <c r="A587" s="4" t="n">
        <v>555</v>
      </c>
      <c r="B587" s="5" t="inlineStr">
        <is>
          <t>Mố M1</t>
        </is>
      </c>
      <c r="C587" s="5" t="inlineStr">
        <is>
          <t>Mố M1 (tr.31)</t>
        </is>
      </c>
      <c r="D587" s="14" t="inlineStr">
        <is>
          <t>G8C</t>
        </is>
      </c>
      <c r="E587" s="15" t="n">
        <v>12</v>
      </c>
      <c r="F587" s="4" t="inlineStr">
        <is>
          <t>CB400-V</t>
        </is>
      </c>
      <c r="G587" s="5" t="inlineStr">
        <is>
          <t>S06</t>
        </is>
      </c>
      <c r="H587" s="16" t="n">
        <v>0.417</v>
      </c>
      <c r="I587" s="17" t="n">
        <v>14</v>
      </c>
      <c r="J587" s="18" t="n">
        <v>0.888</v>
      </c>
      <c r="K587" s="7">
        <f>ROUND(H587*I587*J587, 2)</f>
        <v/>
      </c>
      <c r="L587" s="19">
        <f>ROUND(K587/1000, 3)</f>
        <v/>
      </c>
      <c r="M587" s="728">
        <f>IF(AO587="","",IF(N(INDEX(Theo_Doi_Tan_Suat_Be_Tong!$C:$C,AO587))&lt;=0,"",INDEX(Theo_Doi_Tan_Suat_Be_Tong!$C:$C,AO587)-VLOOKUP(AN587,$AQ$2:$AR$7,2,FALSE)))</f>
        <v/>
      </c>
      <c r="N587" s="4" t="n"/>
      <c r="O587" s="20">
        <f>IF(ROUNDUP(Q587/20,0)&gt;ROUNDUP(Q586/20,0),"TN Ø12 (Lần " &amp; ROUNDUP(Q587/20,0) &amp; ")","")</f>
        <v/>
      </c>
      <c r="P587" s="16">
        <f>ROUND(P586+IF(AND(E587&lt;=10,F587&lt;&gt;"ASTM A416"),L587,0),3)</f>
        <v/>
      </c>
      <c r="Q587" s="16">
        <f>ROUND(Q586+IF(AND(E587=12,F587&lt;&gt;"ASTM A416"),L587,0),3)</f>
        <v/>
      </c>
      <c r="R587" s="16">
        <f>ROUND(R586+IF(AND(E587=14,F587&lt;&gt;"ASTM A416"),L587,0),3)</f>
        <v/>
      </c>
      <c r="S587" s="16">
        <f>ROUND(S586+IF(AND(E587=16,F587&lt;&gt;"ASTM A416"),L587,0),3)</f>
        <v/>
      </c>
      <c r="T587" s="16">
        <f>ROUND(T586+IF(AND(E587=18,F587&lt;&gt;"ASTM A416"),L587,0),3)</f>
        <v/>
      </c>
      <c r="U587" s="16">
        <f>ROUND(U586+IF(AND(E587=20,F587&lt;&gt;"ASTM A416"),L587,0),3)</f>
        <v/>
      </c>
      <c r="V587" s="16">
        <f>ROUND(V586+IF(AND(E587=22,F587&lt;&gt;"ASTM A416"),L587,0),3)</f>
        <v/>
      </c>
      <c r="W587" s="16">
        <f>ROUND(W586+IF(AND(E587=25,F587&lt;&gt;"ASTM A416"),L587,0),3)</f>
        <v/>
      </c>
      <c r="X587" s="16">
        <f>ROUND(X586+IF(AND(E587=28,F587&lt;&gt;"ASTM A416"),L587,0),3)</f>
        <v/>
      </c>
      <c r="Y587" s="16">
        <f>ROUND(Y586+IF(AND(E587=32,F587&lt;&gt;"ASTM A416"),L587,0),3)</f>
        <v/>
      </c>
      <c r="Z587" s="16">
        <f>ROUND(Z586+IF(F587="ASTM A416",L587,0),3)</f>
        <v/>
      </c>
      <c r="AA587" s="9">
        <f>IF(ROUNDUP(P587/20,0)&gt;ROUNDUP(P586/20,0),"Lần " &amp; ROUNDUP(P587/20,0),"")</f>
        <v/>
      </c>
      <c r="AB587" s="9">
        <f>IF(ROUNDUP(Q587/20,0)&gt;ROUNDUP(Q586/20,0),"Lần " &amp; ROUNDUP(Q587/20,0),"")</f>
        <v/>
      </c>
      <c r="AC587" s="9">
        <f>IF(ROUNDUP(R587/20,0)&gt;ROUNDUP(R586/20,0),"Lần " &amp; ROUNDUP(R587/20,0),"")</f>
        <v/>
      </c>
      <c r="AD587" s="9">
        <f>IF(ROUNDUP(S587/20,0)&gt;ROUNDUP(S586/20,0),"Lần " &amp; ROUNDUP(S587/20,0),"")</f>
        <v/>
      </c>
      <c r="AE587" s="9">
        <f>IF(ROUNDUP(T587/20,0)&gt;ROUNDUP(T586/20,0),"Lần " &amp; ROUNDUP(T587/20,0),"")</f>
        <v/>
      </c>
      <c r="AF587" s="9">
        <f>IF(ROUNDUP(U587/20,0)&gt;ROUNDUP(U586/20,0),"Lần " &amp; ROUNDUP(U587/20,0),"")</f>
        <v/>
      </c>
      <c r="AG587" s="9">
        <f>IF(ROUNDUP(V587/20,0)&gt;ROUNDUP(V586/20,0),"Lần " &amp; ROUNDUP(V587/20,0),"")</f>
        <v/>
      </c>
      <c r="AH587" s="9">
        <f>IF(ROUNDUP(W587/20,0)&gt;ROUNDUP(W586/20,0),"Lần " &amp; ROUNDUP(W587/20,0),"")</f>
        <v/>
      </c>
      <c r="AI587" s="9">
        <f>IF(ROUNDUP(X587/20,0)&gt;ROUNDUP(X586/20,0),"Lần " &amp; ROUNDUP(X587/20,0),"")</f>
        <v/>
      </c>
      <c r="AJ587" s="9">
        <f>IF(ROUNDUP(Y587/20,0)&gt;ROUNDUP(Y586/20,0),"Lần " &amp; ROUNDUP(Y587/20,0),"")</f>
        <v/>
      </c>
      <c r="AK587" s="9">
        <f>IF(ROUNDUP(Z587/20,0)&gt;ROUNDUP(Z586/20,0),"Lần " &amp; ROUNDUP(Z587/20,0),"")</f>
        <v/>
      </c>
      <c r="AL587" s="4" t="n"/>
      <c r="AN587" s="596" t="inlineStr">
        <is>
          <t>Than</t>
        </is>
      </c>
      <c r="AO587" s="596" t="n">
        <v>53</v>
      </c>
      <c r="AQ587" s="594" t="n"/>
      <c r="AR587" s="595" t="n"/>
    </row>
    <row r="588" ht="19" customFormat="1" customHeight="1" s="612">
      <c r="A588" s="4" t="n">
        <v>556</v>
      </c>
      <c r="B588" s="5" t="inlineStr">
        <is>
          <t>Mố M1</t>
        </is>
      </c>
      <c r="C588" s="5" t="inlineStr">
        <is>
          <t>Mố M1 (tr.31)</t>
        </is>
      </c>
      <c r="D588" s="14" t="inlineStr">
        <is>
          <t>G9</t>
        </is>
      </c>
      <c r="E588" s="15" t="n">
        <v>16</v>
      </c>
      <c r="F588" s="4" t="inlineStr">
        <is>
          <t>CB400-V</t>
        </is>
      </c>
      <c r="G588" s="5" t="inlineStr"/>
      <c r="H588" s="16" t="n">
        <v>0.625</v>
      </c>
      <c r="I588" s="17" t="n">
        <v>70</v>
      </c>
      <c r="J588" s="18" t="n">
        <v>1.578</v>
      </c>
      <c r="K588" s="7">
        <f>ROUND(H588*I588*J588, 2)</f>
        <v/>
      </c>
      <c r="L588" s="19">
        <f>ROUND(K588/1000, 3)</f>
        <v/>
      </c>
      <c r="M588" s="728">
        <f>IF(AO588="","",IF(N(INDEX(Theo_Doi_Tan_Suat_Be_Tong!$C:$C,AO588))&lt;=0,"",INDEX(Theo_Doi_Tan_Suat_Be_Tong!$C:$C,AO588)-VLOOKUP(AN588,$AQ$2:$AR$7,2,FALSE)))</f>
        <v/>
      </c>
      <c r="N588" s="4" t="n"/>
      <c r="O588" s="20">
        <f>IF(ROUNDUP(S588/20,0)&gt;ROUNDUP(S587/20,0),"TN Ø16 (Lần " &amp; ROUNDUP(S588/20,0) &amp; ")","")</f>
        <v/>
      </c>
      <c r="P588" s="16">
        <f>ROUND(P587+IF(AND(E588&lt;=10,F588&lt;&gt;"ASTM A416"),L588,0),3)</f>
        <v/>
      </c>
      <c r="Q588" s="16">
        <f>ROUND(Q587+IF(AND(E588=12,F588&lt;&gt;"ASTM A416"),L588,0),3)</f>
        <v/>
      </c>
      <c r="R588" s="16">
        <f>ROUND(R587+IF(AND(E588=14,F588&lt;&gt;"ASTM A416"),L588,0),3)</f>
        <v/>
      </c>
      <c r="S588" s="16">
        <f>ROUND(S587+IF(AND(E588=16,F588&lt;&gt;"ASTM A416"),L588,0),3)</f>
        <v/>
      </c>
      <c r="T588" s="16">
        <f>ROUND(T587+IF(AND(E588=18,F588&lt;&gt;"ASTM A416"),L588,0),3)</f>
        <v/>
      </c>
      <c r="U588" s="16">
        <f>ROUND(U587+IF(AND(E588=20,F588&lt;&gt;"ASTM A416"),L588,0),3)</f>
        <v/>
      </c>
      <c r="V588" s="16">
        <f>ROUND(V587+IF(AND(E588=22,F588&lt;&gt;"ASTM A416"),L588,0),3)</f>
        <v/>
      </c>
      <c r="W588" s="16">
        <f>ROUND(W587+IF(AND(E588=25,F588&lt;&gt;"ASTM A416"),L588,0),3)</f>
        <v/>
      </c>
      <c r="X588" s="16">
        <f>ROUND(X587+IF(AND(E588=28,F588&lt;&gt;"ASTM A416"),L588,0),3)</f>
        <v/>
      </c>
      <c r="Y588" s="16">
        <f>ROUND(Y587+IF(AND(E588=32,F588&lt;&gt;"ASTM A416"),L588,0),3)</f>
        <v/>
      </c>
      <c r="Z588" s="16">
        <f>ROUND(Z587+IF(F588="ASTM A416",L588,0),3)</f>
        <v/>
      </c>
      <c r="AA588" s="9">
        <f>IF(ROUNDUP(P588/20,0)&gt;ROUNDUP(P587/20,0),"Lần " &amp; ROUNDUP(P588/20,0),"")</f>
        <v/>
      </c>
      <c r="AB588" s="9">
        <f>IF(ROUNDUP(Q588/20,0)&gt;ROUNDUP(Q587/20,0),"Lần " &amp; ROUNDUP(Q588/20,0),"")</f>
        <v/>
      </c>
      <c r="AC588" s="9">
        <f>IF(ROUNDUP(R588/20,0)&gt;ROUNDUP(R587/20,0),"Lần " &amp; ROUNDUP(R588/20,0),"")</f>
        <v/>
      </c>
      <c r="AD588" s="9">
        <f>IF(ROUNDUP(S588/20,0)&gt;ROUNDUP(S587/20,0),"Lần " &amp; ROUNDUP(S588/20,0),"")</f>
        <v/>
      </c>
      <c r="AE588" s="9">
        <f>IF(ROUNDUP(T588/20,0)&gt;ROUNDUP(T587/20,0),"Lần " &amp; ROUNDUP(T588/20,0),"")</f>
        <v/>
      </c>
      <c r="AF588" s="9">
        <f>IF(ROUNDUP(U588/20,0)&gt;ROUNDUP(U587/20,0),"Lần " &amp; ROUNDUP(U588/20,0),"")</f>
        <v/>
      </c>
      <c r="AG588" s="9">
        <f>IF(ROUNDUP(V588/20,0)&gt;ROUNDUP(V587/20,0),"Lần " &amp; ROUNDUP(V588/20,0),"")</f>
        <v/>
      </c>
      <c r="AH588" s="9">
        <f>IF(ROUNDUP(W588/20,0)&gt;ROUNDUP(W587/20,0),"Lần " &amp; ROUNDUP(W588/20,0),"")</f>
        <v/>
      </c>
      <c r="AI588" s="9">
        <f>IF(ROUNDUP(X588/20,0)&gt;ROUNDUP(X587/20,0),"Lần " &amp; ROUNDUP(X588/20,0),"")</f>
        <v/>
      </c>
      <c r="AJ588" s="9">
        <f>IF(ROUNDUP(Y588/20,0)&gt;ROUNDUP(Y587/20,0),"Lần " &amp; ROUNDUP(Y588/20,0),"")</f>
        <v/>
      </c>
      <c r="AK588" s="9">
        <f>IF(ROUNDUP(Z588/20,0)&gt;ROUNDUP(Z587/20,0),"Lần " &amp; ROUNDUP(Z588/20,0),"")</f>
        <v/>
      </c>
      <c r="AL588" s="4" t="n"/>
      <c r="AN588" s="596" t="inlineStr">
        <is>
          <t>Than</t>
        </is>
      </c>
      <c r="AO588" s="596" t="n">
        <v>53</v>
      </c>
      <c r="AQ588" s="594" t="n"/>
      <c r="AR588" s="595" t="n"/>
    </row>
    <row r="589" ht="19" customFormat="1" customHeight="1" s="612">
      <c r="A589" s="668" t="inlineStr">
        <is>
          <t>--- TRỤ T2 (THÂN TRỤ) ---</t>
        </is>
      </c>
      <c r="B589" s="722" t="n"/>
      <c r="C589" s="722" t="n"/>
      <c r="D589" s="722" t="n"/>
      <c r="E589" s="722" t="n"/>
      <c r="F589" s="722" t="n"/>
      <c r="G589" s="722" t="n"/>
      <c r="H589" s="722" t="n"/>
      <c r="I589" s="722" t="n"/>
      <c r="J589" s="722" t="n"/>
      <c r="K589" s="722" t="n"/>
      <c r="L589" s="722" t="n"/>
      <c r="M589" s="722" t="n"/>
      <c r="N589" s="722" t="n"/>
      <c r="O589" s="722" t="n"/>
      <c r="P589" s="722" t="n"/>
      <c r="Q589" s="722" t="n"/>
      <c r="R589" s="722" t="n"/>
      <c r="S589" s="722" t="n"/>
      <c r="T589" s="722" t="n"/>
      <c r="U589" s="722" t="n"/>
      <c r="V589" s="722" t="n"/>
      <c r="W589" s="722" t="n"/>
      <c r="X589" s="722" t="n"/>
      <c r="Y589" s="722" t="n"/>
      <c r="Z589" s="722" t="n"/>
      <c r="AA589" s="722" t="n"/>
      <c r="AB589" s="722" t="n"/>
      <c r="AC589" s="722" t="n"/>
      <c r="AD589" s="722" t="n"/>
      <c r="AE589" s="722" t="n"/>
      <c r="AF589" s="722" t="n"/>
      <c r="AG589" s="722" t="n"/>
      <c r="AH589" s="722" t="n"/>
      <c r="AI589" s="722" t="n"/>
      <c r="AJ589" s="722" t="n"/>
      <c r="AK589" s="722" t="n"/>
      <c r="AL589" s="721" t="n"/>
      <c r="AQ589" s="594" t="n"/>
      <c r="AR589" s="595" t="n"/>
    </row>
    <row r="590" ht="19" customFormat="1" customHeight="1" s="612">
      <c r="A590" s="4" t="n">
        <v>557</v>
      </c>
      <c r="B590" s="5" t="inlineStr">
        <is>
          <t>Trụ T2 (Thân trụ)</t>
        </is>
      </c>
      <c r="C590" s="5" t="inlineStr">
        <is>
          <t>th©n trô ®o¹n 1</t>
        </is>
      </c>
      <c r="D590" s="14" t="inlineStr">
        <is>
          <t>T1a</t>
        </is>
      </c>
      <c r="E590" s="15" t="n">
        <v>32</v>
      </c>
      <c r="F590" s="4" t="inlineStr">
        <is>
          <t>CB400-V</t>
        </is>
      </c>
      <c r="G590" s="5" t="inlineStr">
        <is>
          <t>S02</t>
        </is>
      </c>
      <c r="H590" s="16" t="n">
        <v>14.256</v>
      </c>
      <c r="I590" s="17" t="n">
        <v>90</v>
      </c>
      <c r="J590" s="18" t="n">
        <v>6.313</v>
      </c>
      <c r="K590" s="7">
        <f>ROUND(H590*I590*J590, 2)</f>
        <v/>
      </c>
      <c r="L590" s="19">
        <f>ROUND(K590/1000, 3)</f>
        <v/>
      </c>
      <c r="M590" s="728">
        <f>IF(AO590="","",IF(N(INDEX(Theo_Doi_Tan_Suat_Be_Tong!$C:$C,AO590))&lt;=0,"",INDEX(Theo_Doi_Tan_Suat_Be_Tong!$C:$C,AO590)-VLOOKUP(AN590,$AQ$2:$AR$7,2,FALSE)))</f>
        <v/>
      </c>
      <c r="N590" s="4" t="n"/>
      <c r="O590" s="20">
        <f>IF(ROUNDUP(Y590/20,0)&gt;ROUNDUP(Y588/20,0),"TN Ø32 (Lần " &amp; ROUNDUP(Y590/20,0) &amp; ")","")</f>
        <v/>
      </c>
      <c r="P590" s="16">
        <f>ROUND(P588+IF(AND(E590&lt;=10,F590&lt;&gt;"ASTM A416"),L590,0),3)</f>
        <v/>
      </c>
      <c r="Q590" s="16">
        <f>ROUND(Q588+IF(AND(E590=12,F590&lt;&gt;"ASTM A416"),L590,0),3)</f>
        <v/>
      </c>
      <c r="R590" s="16">
        <f>ROUND(R588+IF(AND(E590=14,F590&lt;&gt;"ASTM A416"),L590,0),3)</f>
        <v/>
      </c>
      <c r="S590" s="16">
        <f>ROUND(S588+IF(AND(E590=16,F590&lt;&gt;"ASTM A416"),L590,0),3)</f>
        <v/>
      </c>
      <c r="T590" s="16">
        <f>ROUND(T588+IF(AND(E590=18,F590&lt;&gt;"ASTM A416"),L590,0),3)</f>
        <v/>
      </c>
      <c r="U590" s="16">
        <f>ROUND(U588+IF(AND(E590=20,F590&lt;&gt;"ASTM A416"),L590,0),3)</f>
        <v/>
      </c>
      <c r="V590" s="16">
        <f>ROUND(V588+IF(AND(E590=22,F590&lt;&gt;"ASTM A416"),L590,0),3)</f>
        <v/>
      </c>
      <c r="W590" s="16">
        <f>ROUND(W588+IF(AND(E590=25,F590&lt;&gt;"ASTM A416"),L590,0),3)</f>
        <v/>
      </c>
      <c r="X590" s="16">
        <f>ROUND(X588+IF(AND(E590=28,F590&lt;&gt;"ASTM A416"),L590,0),3)</f>
        <v/>
      </c>
      <c r="Y590" s="16">
        <f>ROUND(Y588+IF(AND(E590=32,F590&lt;&gt;"ASTM A416"),L590,0),3)</f>
        <v/>
      </c>
      <c r="Z590" s="16">
        <f>ROUND(Z588+IF(F590="ASTM A416",L590,0),3)</f>
        <v/>
      </c>
      <c r="AA590" s="9">
        <f>IF(ROUNDUP(P590/20,0)&gt;ROUNDUP(P588/20,0),"Lần " &amp; ROUNDUP(P590/20,0),"")</f>
        <v/>
      </c>
      <c r="AB590" s="9">
        <f>IF(ROUNDUP(Q590/20,0)&gt;ROUNDUP(Q588/20,0),"Lần " &amp; ROUNDUP(Q590/20,0),"")</f>
        <v/>
      </c>
      <c r="AC590" s="9">
        <f>IF(ROUNDUP(R590/20,0)&gt;ROUNDUP(R588/20,0),"Lần " &amp; ROUNDUP(R590/20,0),"")</f>
        <v/>
      </c>
      <c r="AD590" s="9">
        <f>IF(ROUNDUP(S590/20,0)&gt;ROUNDUP(S588/20,0),"Lần " &amp; ROUNDUP(S590/20,0),"")</f>
        <v/>
      </c>
      <c r="AE590" s="9">
        <f>IF(ROUNDUP(T590/20,0)&gt;ROUNDUP(T588/20,0),"Lần " &amp; ROUNDUP(T590/20,0),"")</f>
        <v/>
      </c>
      <c r="AF590" s="9">
        <f>IF(ROUNDUP(U590/20,0)&gt;ROUNDUP(U588/20,0),"Lần " &amp; ROUNDUP(U590/20,0),"")</f>
        <v/>
      </c>
      <c r="AG590" s="9">
        <f>IF(ROUNDUP(V590/20,0)&gt;ROUNDUP(V588/20,0),"Lần " &amp; ROUNDUP(V590/20,0),"")</f>
        <v/>
      </c>
      <c r="AH590" s="9">
        <f>IF(ROUNDUP(W590/20,0)&gt;ROUNDUP(W588/20,0),"Lần " &amp; ROUNDUP(W590/20,0),"")</f>
        <v/>
      </c>
      <c r="AI590" s="9">
        <f>IF(ROUNDUP(X590/20,0)&gt;ROUNDUP(X588/20,0),"Lần " &amp; ROUNDUP(X590/20,0),"")</f>
        <v/>
      </c>
      <c r="AJ590" s="9">
        <f>IF(ROUNDUP(Y590/20,0)&gt;ROUNDUP(Y588/20,0),"Lần " &amp; ROUNDUP(Y590/20,0),"")</f>
        <v/>
      </c>
      <c r="AK590" s="9">
        <f>IF(ROUNDUP(Z590/20,0)&gt;ROUNDUP(Z588/20,0),"Lần " &amp; ROUNDUP(Z590/20,0),"")</f>
        <v/>
      </c>
      <c r="AL590" s="4" t="n"/>
      <c r="AN590" s="596" t="inlineStr">
        <is>
          <t>Than</t>
        </is>
      </c>
      <c r="AO590" s="596" t="n">
        <v>46</v>
      </c>
      <c r="AQ590" s="594" t="n"/>
      <c r="AR590" s="595" t="n"/>
    </row>
    <row r="591" ht="19" customFormat="1" customHeight="1" s="612">
      <c r="A591" s="4" t="n">
        <v>558</v>
      </c>
      <c r="B591" s="5" t="inlineStr">
        <is>
          <t>Trụ T2 (Thân trụ)</t>
        </is>
      </c>
      <c r="C591" s="5" t="inlineStr">
        <is>
          <t>Thân trụ đặc</t>
        </is>
      </c>
      <c r="D591" s="14" t="inlineStr">
        <is>
          <t>T2a</t>
        </is>
      </c>
      <c r="E591" s="15" t="n">
        <v>16</v>
      </c>
      <c r="F591" s="4" t="inlineStr">
        <is>
          <t>CB400-V</t>
        </is>
      </c>
      <c r="G591" s="5" t="inlineStr">
        <is>
          <t>S07</t>
        </is>
      </c>
      <c r="H591" s="16" t="n">
        <v>5.352</v>
      </c>
      <c r="I591" s="17" t="n">
        <v>176</v>
      </c>
      <c r="J591" s="18" t="n">
        <v>1.578</v>
      </c>
      <c r="K591" s="7">
        <f>ROUND(H591*I591*J591, 2)</f>
        <v/>
      </c>
      <c r="L591" s="19">
        <f>ROUND(K591/1000, 3)</f>
        <v/>
      </c>
      <c r="M591" s="728">
        <f>IF(AO591="","",IF(N(INDEX(Theo_Doi_Tan_Suat_Be_Tong!$C:$C,AO591))&lt;=0,"",INDEX(Theo_Doi_Tan_Suat_Be_Tong!$C:$C,AO591)-VLOOKUP(AN591,$AQ$2:$AR$7,2,FALSE)))</f>
        <v/>
      </c>
      <c r="N591" s="4" t="n"/>
      <c r="O591" s="20">
        <f>IF(ROUNDUP(S591/20,0)&gt;ROUNDUP(S590/20,0),"TN Ø16 (Lần " &amp; ROUNDUP(S591/20,0) &amp; ")","")</f>
        <v/>
      </c>
      <c r="P591" s="16">
        <f>ROUND(P590+IF(AND(E591&lt;=10,F591&lt;&gt;"ASTM A416"),L591,0),3)</f>
        <v/>
      </c>
      <c r="Q591" s="16">
        <f>ROUND(Q590+IF(AND(E591=12,F591&lt;&gt;"ASTM A416"),L591,0),3)</f>
        <v/>
      </c>
      <c r="R591" s="16">
        <f>ROUND(R590+IF(AND(E591=14,F591&lt;&gt;"ASTM A416"),L591,0),3)</f>
        <v/>
      </c>
      <c r="S591" s="16">
        <f>ROUND(S590+IF(AND(E591=16,F591&lt;&gt;"ASTM A416"),L591,0),3)</f>
        <v/>
      </c>
      <c r="T591" s="16">
        <f>ROUND(T590+IF(AND(E591=18,F591&lt;&gt;"ASTM A416"),L591,0),3)</f>
        <v/>
      </c>
      <c r="U591" s="16">
        <f>ROUND(U590+IF(AND(E591=20,F591&lt;&gt;"ASTM A416"),L591,0),3)</f>
        <v/>
      </c>
      <c r="V591" s="16">
        <f>ROUND(V590+IF(AND(E591=22,F591&lt;&gt;"ASTM A416"),L591,0),3)</f>
        <v/>
      </c>
      <c r="W591" s="16">
        <f>ROUND(W590+IF(AND(E591=25,F591&lt;&gt;"ASTM A416"),L591,0),3)</f>
        <v/>
      </c>
      <c r="X591" s="16">
        <f>ROUND(X590+IF(AND(E591=28,F591&lt;&gt;"ASTM A416"),L591,0),3)</f>
        <v/>
      </c>
      <c r="Y591" s="16">
        <f>ROUND(Y590+IF(AND(E591=32,F591&lt;&gt;"ASTM A416"),L591,0),3)</f>
        <v/>
      </c>
      <c r="Z591" s="16">
        <f>ROUND(Z590+IF(F591="ASTM A416",L591,0),3)</f>
        <v/>
      </c>
      <c r="AA591" s="9">
        <f>IF(ROUNDUP(P591/20,0)&gt;ROUNDUP(P590/20,0),"Lần " &amp; ROUNDUP(P591/20,0),"")</f>
        <v/>
      </c>
      <c r="AB591" s="9">
        <f>IF(ROUNDUP(Q591/20,0)&gt;ROUNDUP(Q590/20,0),"Lần " &amp; ROUNDUP(Q591/20,0),"")</f>
        <v/>
      </c>
      <c r="AC591" s="9">
        <f>IF(ROUNDUP(R591/20,0)&gt;ROUNDUP(R590/20,0),"Lần " &amp; ROUNDUP(R591/20,0),"")</f>
        <v/>
      </c>
      <c r="AD591" s="9">
        <f>IF(ROUNDUP(S591/20,0)&gt;ROUNDUP(S590/20,0),"Lần " &amp; ROUNDUP(S591/20,0),"")</f>
        <v/>
      </c>
      <c r="AE591" s="9">
        <f>IF(ROUNDUP(T591/20,0)&gt;ROUNDUP(T590/20,0),"Lần " &amp; ROUNDUP(T591/20,0),"")</f>
        <v/>
      </c>
      <c r="AF591" s="9">
        <f>IF(ROUNDUP(U591/20,0)&gt;ROUNDUP(U590/20,0),"Lần " &amp; ROUNDUP(U591/20,0),"")</f>
        <v/>
      </c>
      <c r="AG591" s="9">
        <f>IF(ROUNDUP(V591/20,0)&gt;ROUNDUP(V590/20,0),"Lần " &amp; ROUNDUP(V591/20,0),"")</f>
        <v/>
      </c>
      <c r="AH591" s="9">
        <f>IF(ROUNDUP(W591/20,0)&gt;ROUNDUP(W590/20,0),"Lần " &amp; ROUNDUP(W591/20,0),"")</f>
        <v/>
      </c>
      <c r="AI591" s="9">
        <f>IF(ROUNDUP(X591/20,0)&gt;ROUNDUP(X590/20,0),"Lần " &amp; ROUNDUP(X591/20,0),"")</f>
        <v/>
      </c>
      <c r="AJ591" s="9">
        <f>IF(ROUNDUP(Y591/20,0)&gt;ROUNDUP(Y590/20,0),"Lần " &amp; ROUNDUP(Y591/20,0),"")</f>
        <v/>
      </c>
      <c r="AK591" s="9">
        <f>IF(ROUNDUP(Z591/20,0)&gt;ROUNDUP(Z590/20,0),"Lần " &amp; ROUNDUP(Z591/20,0),"")</f>
        <v/>
      </c>
      <c r="AL591" s="4" t="n"/>
      <c r="AN591" s="596" t="inlineStr">
        <is>
          <t>Than</t>
        </is>
      </c>
      <c r="AO591" s="596" t="n">
        <v>46</v>
      </c>
      <c r="AQ591" s="594" t="n"/>
      <c r="AR591" s="595" t="n"/>
    </row>
    <row r="592" ht="19" customFormat="1" customHeight="1" s="612">
      <c r="A592" s="4" t="n">
        <v>559</v>
      </c>
      <c r="B592" s="5" t="inlineStr">
        <is>
          <t>Trụ T2 (Thân trụ)</t>
        </is>
      </c>
      <c r="C592" s="5" t="inlineStr">
        <is>
          <t>Thân trụ đặc</t>
        </is>
      </c>
      <c r="D592" s="14" t="inlineStr">
        <is>
          <t>T3a</t>
        </is>
      </c>
      <c r="E592" s="15" t="n">
        <v>16</v>
      </c>
      <c r="F592" s="4" t="inlineStr">
        <is>
          <t>CB400-V</t>
        </is>
      </c>
      <c r="G592" s="5" t="inlineStr">
        <is>
          <t>S51</t>
        </is>
      </c>
      <c r="H592" s="16" t="n">
        <v>6.806</v>
      </c>
      <c r="I592" s="17" t="n">
        <v>176</v>
      </c>
      <c r="J592" s="18" t="n">
        <v>1.578</v>
      </c>
      <c r="K592" s="7">
        <f>ROUND(H592*I592*J592, 2)</f>
        <v/>
      </c>
      <c r="L592" s="19">
        <f>ROUND(K592/1000, 3)</f>
        <v/>
      </c>
      <c r="M592" s="728">
        <f>IF(AO592="","",IF(N(INDEX(Theo_Doi_Tan_Suat_Be_Tong!$C:$C,AO592))&lt;=0,"",INDEX(Theo_Doi_Tan_Suat_Be_Tong!$C:$C,AO592)-VLOOKUP(AN592,$AQ$2:$AR$7,2,FALSE)))</f>
        <v/>
      </c>
      <c r="N592" s="4" t="n"/>
      <c r="O592" s="20">
        <f>IF(ROUNDUP(S592/20,0)&gt;ROUNDUP(S591/20,0),"TN Ø16 (Lần " &amp; ROUNDUP(S592/20,0) &amp; ")","")</f>
        <v/>
      </c>
      <c r="P592" s="16">
        <f>ROUND(P591+IF(AND(E592&lt;=10,F592&lt;&gt;"ASTM A416"),L592,0),3)</f>
        <v/>
      </c>
      <c r="Q592" s="16">
        <f>ROUND(Q591+IF(AND(E592=12,F592&lt;&gt;"ASTM A416"),L592,0),3)</f>
        <v/>
      </c>
      <c r="R592" s="16">
        <f>ROUND(R591+IF(AND(E592=14,F592&lt;&gt;"ASTM A416"),L592,0),3)</f>
        <v/>
      </c>
      <c r="S592" s="16">
        <f>ROUND(S591+IF(AND(E592=16,F592&lt;&gt;"ASTM A416"),L592,0),3)</f>
        <v/>
      </c>
      <c r="T592" s="16">
        <f>ROUND(T591+IF(AND(E592=18,F592&lt;&gt;"ASTM A416"),L592,0),3)</f>
        <v/>
      </c>
      <c r="U592" s="16">
        <f>ROUND(U591+IF(AND(E592=20,F592&lt;&gt;"ASTM A416"),L592,0),3)</f>
        <v/>
      </c>
      <c r="V592" s="16">
        <f>ROUND(V591+IF(AND(E592=22,F592&lt;&gt;"ASTM A416"),L592,0),3)</f>
        <v/>
      </c>
      <c r="W592" s="16">
        <f>ROUND(W591+IF(AND(E592=25,F592&lt;&gt;"ASTM A416"),L592,0),3)</f>
        <v/>
      </c>
      <c r="X592" s="16">
        <f>ROUND(X591+IF(AND(E592=28,F592&lt;&gt;"ASTM A416"),L592,0),3)</f>
        <v/>
      </c>
      <c r="Y592" s="16">
        <f>ROUND(Y591+IF(AND(E592=32,F592&lt;&gt;"ASTM A416"),L592,0),3)</f>
        <v/>
      </c>
      <c r="Z592" s="16">
        <f>ROUND(Z591+IF(F592="ASTM A416",L592,0),3)</f>
        <v/>
      </c>
      <c r="AA592" s="9">
        <f>IF(ROUNDUP(P592/20,0)&gt;ROUNDUP(P591/20,0),"Lần " &amp; ROUNDUP(P592/20,0),"")</f>
        <v/>
      </c>
      <c r="AB592" s="9">
        <f>IF(ROUNDUP(Q592/20,0)&gt;ROUNDUP(Q591/20,0),"Lần " &amp; ROUNDUP(Q592/20,0),"")</f>
        <v/>
      </c>
      <c r="AC592" s="9">
        <f>IF(ROUNDUP(R592/20,0)&gt;ROUNDUP(R591/20,0),"Lần " &amp; ROUNDUP(R592/20,0),"")</f>
        <v/>
      </c>
      <c r="AD592" s="9">
        <f>IF(ROUNDUP(S592/20,0)&gt;ROUNDUP(S591/20,0),"Lần " &amp; ROUNDUP(S592/20,0),"")</f>
        <v/>
      </c>
      <c r="AE592" s="9">
        <f>IF(ROUNDUP(T592/20,0)&gt;ROUNDUP(T591/20,0),"Lần " &amp; ROUNDUP(T592/20,0),"")</f>
        <v/>
      </c>
      <c r="AF592" s="9">
        <f>IF(ROUNDUP(U592/20,0)&gt;ROUNDUP(U591/20,0),"Lần " &amp; ROUNDUP(U592/20,0),"")</f>
        <v/>
      </c>
      <c r="AG592" s="9">
        <f>IF(ROUNDUP(V592/20,0)&gt;ROUNDUP(V591/20,0),"Lần " &amp; ROUNDUP(V592/20,0),"")</f>
        <v/>
      </c>
      <c r="AH592" s="9">
        <f>IF(ROUNDUP(W592/20,0)&gt;ROUNDUP(W591/20,0),"Lần " &amp; ROUNDUP(W592/20,0),"")</f>
        <v/>
      </c>
      <c r="AI592" s="9">
        <f>IF(ROUNDUP(X592/20,0)&gt;ROUNDUP(X591/20,0),"Lần " &amp; ROUNDUP(X592/20,0),"")</f>
        <v/>
      </c>
      <c r="AJ592" s="9">
        <f>IF(ROUNDUP(Y592/20,0)&gt;ROUNDUP(Y591/20,0),"Lần " &amp; ROUNDUP(Y592/20,0),"")</f>
        <v/>
      </c>
      <c r="AK592" s="9">
        <f>IF(ROUNDUP(Z592/20,0)&gt;ROUNDUP(Z591/20,0),"Lần " &amp; ROUNDUP(Z592/20,0),"")</f>
        <v/>
      </c>
      <c r="AL592" s="4" t="n"/>
      <c r="AN592" s="596" t="inlineStr">
        <is>
          <t>Than</t>
        </is>
      </c>
      <c r="AO592" s="596" t="n">
        <v>46</v>
      </c>
      <c r="AQ592" s="594" t="n"/>
      <c r="AR592" s="595" t="n"/>
    </row>
    <row r="593" ht="19" customFormat="1" customHeight="1" s="612">
      <c r="A593" s="4" t="n">
        <v>560</v>
      </c>
      <c r="B593" s="5" t="inlineStr">
        <is>
          <t>Trụ T2 (Thân trụ)</t>
        </is>
      </c>
      <c r="C593" s="5" t="inlineStr">
        <is>
          <t>Thân trụ đặc</t>
        </is>
      </c>
      <c r="D593" s="14" t="inlineStr">
        <is>
          <t>T4a</t>
        </is>
      </c>
      <c r="E593" s="15" t="n">
        <v>16</v>
      </c>
      <c r="F593" s="4" t="inlineStr">
        <is>
          <t>CB400-V</t>
        </is>
      </c>
      <c r="G593" s="5" t="inlineStr">
        <is>
          <t>S06</t>
        </is>
      </c>
      <c r="H593" s="16" t="n">
        <v>5.332</v>
      </c>
      <c r="I593" s="17" t="n">
        <v>20</v>
      </c>
      <c r="J593" s="18" t="n">
        <v>1.578</v>
      </c>
      <c r="K593" s="7">
        <f>ROUND(H593*I593*J593, 2)</f>
        <v/>
      </c>
      <c r="L593" s="19">
        <f>ROUND(K593/1000, 3)</f>
        <v/>
      </c>
      <c r="M593" s="728">
        <f>IF(AO593="","",IF(N(INDEX(Theo_Doi_Tan_Suat_Be_Tong!$C:$C,AO593))&lt;=0,"",INDEX(Theo_Doi_Tan_Suat_Be_Tong!$C:$C,AO593)-VLOOKUP(AN593,$AQ$2:$AR$7,2,FALSE)))</f>
        <v/>
      </c>
      <c r="N593" s="4" t="n"/>
      <c r="O593" s="20">
        <f>IF(ROUNDUP(S593/20,0)&gt;ROUNDUP(S592/20,0),"TN Ø16 (Lần " &amp; ROUNDUP(S593/20,0) &amp; ")","")</f>
        <v/>
      </c>
      <c r="P593" s="16">
        <f>ROUND(P592+IF(AND(E593&lt;=10,F593&lt;&gt;"ASTM A416"),L593,0),3)</f>
        <v/>
      </c>
      <c r="Q593" s="16">
        <f>ROUND(Q592+IF(AND(E593=12,F593&lt;&gt;"ASTM A416"),L593,0),3)</f>
        <v/>
      </c>
      <c r="R593" s="16">
        <f>ROUND(R592+IF(AND(E593=14,F593&lt;&gt;"ASTM A416"),L593,0),3)</f>
        <v/>
      </c>
      <c r="S593" s="16">
        <f>ROUND(S592+IF(AND(E593=16,F593&lt;&gt;"ASTM A416"),L593,0),3)</f>
        <v/>
      </c>
      <c r="T593" s="16">
        <f>ROUND(T592+IF(AND(E593=18,F593&lt;&gt;"ASTM A416"),L593,0),3)</f>
        <v/>
      </c>
      <c r="U593" s="16">
        <f>ROUND(U592+IF(AND(E593=20,F593&lt;&gt;"ASTM A416"),L593,0),3)</f>
        <v/>
      </c>
      <c r="V593" s="16">
        <f>ROUND(V592+IF(AND(E593=22,F593&lt;&gt;"ASTM A416"),L593,0),3)</f>
        <v/>
      </c>
      <c r="W593" s="16">
        <f>ROUND(W592+IF(AND(E593=25,F593&lt;&gt;"ASTM A416"),L593,0),3)</f>
        <v/>
      </c>
      <c r="X593" s="16">
        <f>ROUND(X592+IF(AND(E593=28,F593&lt;&gt;"ASTM A416"),L593,0),3)</f>
        <v/>
      </c>
      <c r="Y593" s="16">
        <f>ROUND(Y592+IF(AND(E593=32,F593&lt;&gt;"ASTM A416"),L593,0),3)</f>
        <v/>
      </c>
      <c r="Z593" s="16">
        <f>ROUND(Z592+IF(F593="ASTM A416",L593,0),3)</f>
        <v/>
      </c>
      <c r="AA593" s="9">
        <f>IF(ROUNDUP(P593/20,0)&gt;ROUNDUP(P592/20,0),"Lần " &amp; ROUNDUP(P593/20,0),"")</f>
        <v/>
      </c>
      <c r="AB593" s="9">
        <f>IF(ROUNDUP(Q593/20,0)&gt;ROUNDUP(Q592/20,0),"Lần " &amp; ROUNDUP(Q593/20,0),"")</f>
        <v/>
      </c>
      <c r="AC593" s="9">
        <f>IF(ROUNDUP(R593/20,0)&gt;ROUNDUP(R592/20,0),"Lần " &amp; ROUNDUP(R593/20,0),"")</f>
        <v/>
      </c>
      <c r="AD593" s="9">
        <f>IF(ROUNDUP(S593/20,0)&gt;ROUNDUP(S592/20,0),"Lần " &amp; ROUNDUP(S593/20,0),"")</f>
        <v/>
      </c>
      <c r="AE593" s="9">
        <f>IF(ROUNDUP(T593/20,0)&gt;ROUNDUP(T592/20,0),"Lần " &amp; ROUNDUP(T593/20,0),"")</f>
        <v/>
      </c>
      <c r="AF593" s="9">
        <f>IF(ROUNDUP(U593/20,0)&gt;ROUNDUP(U592/20,0),"Lần " &amp; ROUNDUP(U593/20,0),"")</f>
        <v/>
      </c>
      <c r="AG593" s="9">
        <f>IF(ROUNDUP(V593/20,0)&gt;ROUNDUP(V592/20,0),"Lần " &amp; ROUNDUP(V593/20,0),"")</f>
        <v/>
      </c>
      <c r="AH593" s="9">
        <f>IF(ROUNDUP(W593/20,0)&gt;ROUNDUP(W592/20,0),"Lần " &amp; ROUNDUP(W593/20,0),"")</f>
        <v/>
      </c>
      <c r="AI593" s="9">
        <f>IF(ROUNDUP(X593/20,0)&gt;ROUNDUP(X592/20,0),"Lần " &amp; ROUNDUP(X593/20,0),"")</f>
        <v/>
      </c>
      <c r="AJ593" s="9">
        <f>IF(ROUNDUP(Y593/20,0)&gt;ROUNDUP(Y592/20,0),"Lần " &amp; ROUNDUP(Y593/20,0),"")</f>
        <v/>
      </c>
      <c r="AK593" s="9">
        <f>IF(ROUNDUP(Z593/20,0)&gt;ROUNDUP(Z592/20,0),"Lần " &amp; ROUNDUP(Z593/20,0),"")</f>
        <v/>
      </c>
      <c r="AL593" s="4" t="n"/>
      <c r="AN593" s="596" t="inlineStr">
        <is>
          <t>Than</t>
        </is>
      </c>
      <c r="AO593" s="596" t="n">
        <v>46</v>
      </c>
      <c r="AQ593" s="594" t="n"/>
      <c r="AR593" s="595" t="n"/>
    </row>
    <row r="594" ht="19" customHeight="1" s="672">
      <c r="A594" s="4" t="n">
        <v>561</v>
      </c>
      <c r="B594" s="5" t="inlineStr">
        <is>
          <t>Trụ T2 (Thân trụ)</t>
        </is>
      </c>
      <c r="C594" s="5" t="inlineStr">
        <is>
          <t>Thân trụ đặc</t>
        </is>
      </c>
      <c r="D594" s="14" t="inlineStr">
        <is>
          <t>T4a1</t>
        </is>
      </c>
      <c r="E594" s="15" t="n">
        <v>16</v>
      </c>
      <c r="F594" s="4" t="inlineStr">
        <is>
          <t>CB400-V</t>
        </is>
      </c>
      <c r="G594" s="5" t="inlineStr">
        <is>
          <t>S06</t>
        </is>
      </c>
      <c r="H594" s="16" t="n">
        <v>5.102</v>
      </c>
      <c r="I594" s="17" t="n">
        <v>40</v>
      </c>
      <c r="J594" s="18" t="n">
        <v>1.578</v>
      </c>
      <c r="K594" s="7">
        <f>ROUND(H594*I594*J594, 2)</f>
        <v/>
      </c>
      <c r="L594" s="19">
        <f>ROUND(K594/1000, 3)</f>
        <v/>
      </c>
      <c r="M594" s="728">
        <f>IF(AO594="","",IF(N(INDEX(Theo_Doi_Tan_Suat_Be_Tong!$C:$C,AO594))&lt;=0,"",INDEX(Theo_Doi_Tan_Suat_Be_Tong!$C:$C,AO594)-VLOOKUP(AN594,$AQ$2:$AR$7,2,FALSE)))</f>
        <v/>
      </c>
      <c r="N594" s="4" t="n"/>
      <c r="O594" s="20">
        <f>IF(ROUNDUP(S594/20,0)&gt;ROUNDUP(S593/20,0),"TN Ø16 (Lần " &amp; ROUNDUP(S594/20,0) &amp; ")","")</f>
        <v/>
      </c>
      <c r="P594" s="16">
        <f>ROUND(P593+IF(AND(E594&lt;=10,F594&lt;&gt;"ASTM A416"),L594,0),3)</f>
        <v/>
      </c>
      <c r="Q594" s="16">
        <f>ROUND(Q593+IF(AND(E594=12,F594&lt;&gt;"ASTM A416"),L594,0),3)</f>
        <v/>
      </c>
      <c r="R594" s="16">
        <f>ROUND(R593+IF(AND(E594=14,F594&lt;&gt;"ASTM A416"),L594,0),3)</f>
        <v/>
      </c>
      <c r="S594" s="16">
        <f>ROUND(S593+IF(AND(E594=16,F594&lt;&gt;"ASTM A416"),L594,0),3)</f>
        <v/>
      </c>
      <c r="T594" s="16">
        <f>ROUND(T593+IF(AND(E594=18,F594&lt;&gt;"ASTM A416"),L594,0),3)</f>
        <v/>
      </c>
      <c r="U594" s="16">
        <f>ROUND(U593+IF(AND(E594=20,F594&lt;&gt;"ASTM A416"),L594,0),3)</f>
        <v/>
      </c>
      <c r="V594" s="16">
        <f>ROUND(V593+IF(AND(E594=22,F594&lt;&gt;"ASTM A416"),L594,0),3)</f>
        <v/>
      </c>
      <c r="W594" s="16">
        <f>ROUND(W593+IF(AND(E594=25,F594&lt;&gt;"ASTM A416"),L594,0),3)</f>
        <v/>
      </c>
      <c r="X594" s="16">
        <f>ROUND(X593+IF(AND(E594=28,F594&lt;&gt;"ASTM A416"),L594,0),3)</f>
        <v/>
      </c>
      <c r="Y594" s="16">
        <f>ROUND(Y593+IF(AND(E594=32,F594&lt;&gt;"ASTM A416"),L594,0),3)</f>
        <v/>
      </c>
      <c r="Z594" s="16">
        <f>ROUND(Z593+IF(F594="ASTM A416",L594,0),3)</f>
        <v/>
      </c>
      <c r="AA594" s="9">
        <f>IF(ROUNDUP(P594/20,0)&gt;ROUNDUP(P593/20,0),"Lần " &amp; ROUNDUP(P594/20,0),"")</f>
        <v/>
      </c>
      <c r="AB594" s="9">
        <f>IF(ROUNDUP(Q594/20,0)&gt;ROUNDUP(Q593/20,0),"Lần " &amp; ROUNDUP(Q594/20,0),"")</f>
        <v/>
      </c>
      <c r="AC594" s="9">
        <f>IF(ROUNDUP(R594/20,0)&gt;ROUNDUP(R593/20,0),"Lần " &amp; ROUNDUP(R594/20,0),"")</f>
        <v/>
      </c>
      <c r="AD594" s="9">
        <f>IF(ROUNDUP(S594/20,0)&gt;ROUNDUP(S593/20,0),"Lần " &amp; ROUNDUP(S594/20,0),"")</f>
        <v/>
      </c>
      <c r="AE594" s="9">
        <f>IF(ROUNDUP(T594/20,0)&gt;ROUNDUP(T593/20,0),"Lần " &amp; ROUNDUP(T594/20,0),"")</f>
        <v/>
      </c>
      <c r="AF594" s="9">
        <f>IF(ROUNDUP(U594/20,0)&gt;ROUNDUP(U593/20,0),"Lần " &amp; ROUNDUP(U594/20,0),"")</f>
        <v/>
      </c>
      <c r="AG594" s="9">
        <f>IF(ROUNDUP(V594/20,0)&gt;ROUNDUP(V593/20,0),"Lần " &amp; ROUNDUP(V594/20,0),"")</f>
        <v/>
      </c>
      <c r="AH594" s="9">
        <f>IF(ROUNDUP(W594/20,0)&gt;ROUNDUP(W593/20,0),"Lần " &amp; ROUNDUP(W594/20,0),"")</f>
        <v/>
      </c>
      <c r="AI594" s="9">
        <f>IF(ROUNDUP(X594/20,0)&gt;ROUNDUP(X593/20,0),"Lần " &amp; ROUNDUP(X594/20,0),"")</f>
        <v/>
      </c>
      <c r="AJ594" s="9">
        <f>IF(ROUNDUP(Y594/20,0)&gt;ROUNDUP(Y593/20,0),"Lần " &amp; ROUNDUP(Y594/20,0),"")</f>
        <v/>
      </c>
      <c r="AK594" s="9">
        <f>IF(ROUNDUP(Z594/20,0)&gt;ROUNDUP(Z593/20,0),"Lần " &amp; ROUNDUP(Z594/20,0),"")</f>
        <v/>
      </c>
      <c r="AL594" s="4" t="n"/>
      <c r="AN594" s="596" t="inlineStr">
        <is>
          <t>Than</t>
        </is>
      </c>
      <c r="AO594" s="596" t="n">
        <v>46</v>
      </c>
      <c r="AQ594" s="594" t="n"/>
      <c r="AR594" s="595" t="n"/>
    </row>
    <row r="595" ht="19" customHeight="1" s="672">
      <c r="A595" s="4" t="n">
        <v>562</v>
      </c>
      <c r="B595" s="5" t="inlineStr">
        <is>
          <t>Trụ T2 (Thân trụ)</t>
        </is>
      </c>
      <c r="C595" s="5" t="inlineStr">
        <is>
          <t>th©n trô ®o¹n 2</t>
        </is>
      </c>
      <c r="D595" s="14" t="inlineStr">
        <is>
          <t>T1b</t>
        </is>
      </c>
      <c r="E595" s="15" t="n">
        <v>32</v>
      </c>
      <c r="F595" s="4" t="inlineStr">
        <is>
          <t>CB400-V</t>
        </is>
      </c>
      <c r="G595" s="5" t="inlineStr">
        <is>
          <t>S28</t>
        </is>
      </c>
      <c r="H595" s="16" t="n">
        <v>13.616</v>
      </c>
      <c r="I595" s="17" t="n">
        <v>106</v>
      </c>
      <c r="J595" s="18" t="n">
        <v>6.313</v>
      </c>
      <c r="K595" s="7">
        <f>ROUND(H595*I595*J595, 2)</f>
        <v/>
      </c>
      <c r="L595" s="19">
        <f>ROUND(K595/1000, 3)</f>
        <v/>
      </c>
      <c r="M595" s="728">
        <f>IF(AO595="","",IF(N(INDEX(Theo_Doi_Tan_Suat_Be_Tong!$C:$C,AO595))&lt;=0,"",INDEX(Theo_Doi_Tan_Suat_Be_Tong!$C:$C,AO595)-VLOOKUP(AN595,$AQ$2:$AR$7,2,FALSE)))</f>
        <v/>
      </c>
      <c r="N595" s="4" t="n"/>
      <c r="O595" s="20">
        <f>IF(ROUNDUP(Y595/20,0)&gt;ROUNDUP(Y594/20,0),"TN Ø32 (Lần " &amp; ROUNDUP(Y595/20,0) &amp; ")","")</f>
        <v/>
      </c>
      <c r="P595" s="16">
        <f>ROUND(P594+IF(AND(E595&lt;=10,F595&lt;&gt;"ASTM A416"),L595,0),3)</f>
        <v/>
      </c>
      <c r="Q595" s="16">
        <f>ROUND(Q594+IF(AND(E595=12,F595&lt;&gt;"ASTM A416"),L595,0),3)</f>
        <v/>
      </c>
      <c r="R595" s="16">
        <f>ROUND(R594+IF(AND(E595=14,F595&lt;&gt;"ASTM A416"),L595,0),3)</f>
        <v/>
      </c>
      <c r="S595" s="16">
        <f>ROUND(S594+IF(AND(E595=16,F595&lt;&gt;"ASTM A416"),L595,0),3)</f>
        <v/>
      </c>
      <c r="T595" s="16">
        <f>ROUND(T594+IF(AND(E595=18,F595&lt;&gt;"ASTM A416"),L595,0),3)</f>
        <v/>
      </c>
      <c r="U595" s="16">
        <f>ROUND(U594+IF(AND(E595=20,F595&lt;&gt;"ASTM A416"),L595,0),3)</f>
        <v/>
      </c>
      <c r="V595" s="16">
        <f>ROUND(V594+IF(AND(E595=22,F595&lt;&gt;"ASTM A416"),L595,0),3)</f>
        <v/>
      </c>
      <c r="W595" s="16">
        <f>ROUND(W594+IF(AND(E595=25,F595&lt;&gt;"ASTM A416"),L595,0),3)</f>
        <v/>
      </c>
      <c r="X595" s="16">
        <f>ROUND(X594+IF(AND(E595=28,F595&lt;&gt;"ASTM A416"),L595,0),3)</f>
        <v/>
      </c>
      <c r="Y595" s="16">
        <f>ROUND(Y594+IF(AND(E595=32,F595&lt;&gt;"ASTM A416"),L595,0),3)</f>
        <v/>
      </c>
      <c r="Z595" s="16">
        <f>ROUND(Z594+IF(F595="ASTM A416",L595,0),3)</f>
        <v/>
      </c>
      <c r="AA595" s="9">
        <f>IF(ROUNDUP(P595/20,0)&gt;ROUNDUP(P594/20,0),"Lần " &amp; ROUNDUP(P595/20,0),"")</f>
        <v/>
      </c>
      <c r="AB595" s="9">
        <f>IF(ROUNDUP(Q595/20,0)&gt;ROUNDUP(Q594/20,0),"Lần " &amp; ROUNDUP(Q595/20,0),"")</f>
        <v/>
      </c>
      <c r="AC595" s="9">
        <f>IF(ROUNDUP(R595/20,0)&gt;ROUNDUP(R594/20,0),"Lần " &amp; ROUNDUP(R595/20,0),"")</f>
        <v/>
      </c>
      <c r="AD595" s="9">
        <f>IF(ROUNDUP(S595/20,0)&gt;ROUNDUP(S594/20,0),"Lần " &amp; ROUNDUP(S595/20,0),"")</f>
        <v/>
      </c>
      <c r="AE595" s="9">
        <f>IF(ROUNDUP(T595/20,0)&gt;ROUNDUP(T594/20,0),"Lần " &amp; ROUNDUP(T595/20,0),"")</f>
        <v/>
      </c>
      <c r="AF595" s="9">
        <f>IF(ROUNDUP(U595/20,0)&gt;ROUNDUP(U594/20,0),"Lần " &amp; ROUNDUP(U595/20,0),"")</f>
        <v/>
      </c>
      <c r="AG595" s="9">
        <f>IF(ROUNDUP(V595/20,0)&gt;ROUNDUP(V594/20,0),"Lần " &amp; ROUNDUP(V595/20,0),"")</f>
        <v/>
      </c>
      <c r="AH595" s="9">
        <f>IF(ROUNDUP(W595/20,0)&gt;ROUNDUP(W594/20,0),"Lần " &amp; ROUNDUP(W595/20,0),"")</f>
        <v/>
      </c>
      <c r="AI595" s="9">
        <f>IF(ROUNDUP(X595/20,0)&gt;ROUNDUP(X594/20,0),"Lần " &amp; ROUNDUP(X595/20,0),"")</f>
        <v/>
      </c>
      <c r="AJ595" s="9">
        <f>IF(ROUNDUP(Y595/20,0)&gt;ROUNDUP(Y594/20,0),"Lần " &amp; ROUNDUP(Y595/20,0),"")</f>
        <v/>
      </c>
      <c r="AK595" s="9">
        <f>IF(ROUNDUP(Z595/20,0)&gt;ROUNDUP(Z594/20,0),"Lần " &amp; ROUNDUP(Z595/20,0),"")</f>
        <v/>
      </c>
      <c r="AL595" s="4" t="n"/>
      <c r="AN595" s="596" t="inlineStr">
        <is>
          <t>Than</t>
        </is>
      </c>
      <c r="AO595" s="596" t="n">
        <v>47</v>
      </c>
      <c r="AQ595" s="594" t="n"/>
      <c r="AR595" s="595" t="n"/>
    </row>
    <row r="596" ht="19" customHeight="1" s="672">
      <c r="A596" s="4" t="n">
        <v>563</v>
      </c>
      <c r="B596" s="5" t="inlineStr">
        <is>
          <t>Trụ T2 (Thân trụ)</t>
        </is>
      </c>
      <c r="C596" s="5" t="inlineStr">
        <is>
          <t>Thân trụ đặc</t>
        </is>
      </c>
      <c r="D596" s="14" t="inlineStr">
        <is>
          <t>T2b</t>
        </is>
      </c>
      <c r="E596" s="15" t="n">
        <v>16</v>
      </c>
      <c r="F596" s="4" t="inlineStr">
        <is>
          <t>CB400-V</t>
        </is>
      </c>
      <c r="G596" s="5" t="inlineStr">
        <is>
          <t>S07</t>
        </is>
      </c>
      <c r="H596" s="16" t="n">
        <v>6.894</v>
      </c>
      <c r="I596" s="17" t="n">
        <v>150</v>
      </c>
      <c r="J596" s="18" t="n">
        <v>1.578</v>
      </c>
      <c r="K596" s="7">
        <f>ROUND(H596*I596*J596, 2)</f>
        <v/>
      </c>
      <c r="L596" s="19">
        <f>ROUND(K596/1000, 3)</f>
        <v/>
      </c>
      <c r="M596" s="728">
        <f>IF(AO596="","",IF(N(INDEX(Theo_Doi_Tan_Suat_Be_Tong!$C:$C,AO596))&lt;=0,"",INDEX(Theo_Doi_Tan_Suat_Be_Tong!$C:$C,AO596)-VLOOKUP(AN596,$AQ$2:$AR$7,2,FALSE)))</f>
        <v/>
      </c>
      <c r="N596" s="4" t="n"/>
      <c r="O596" s="20">
        <f>IF(ROUNDUP(S596/20,0)&gt;ROUNDUP(S595/20,0),"TN Ø16 (Lần " &amp; ROUNDUP(S596/20,0) &amp; ")","")</f>
        <v/>
      </c>
      <c r="P596" s="16">
        <f>ROUND(P595+IF(AND(E596&lt;=10,F596&lt;&gt;"ASTM A416"),L596,0),3)</f>
        <v/>
      </c>
      <c r="Q596" s="16">
        <f>ROUND(Q595+IF(AND(E596=12,F596&lt;&gt;"ASTM A416"),L596,0),3)</f>
        <v/>
      </c>
      <c r="R596" s="16">
        <f>ROUND(R595+IF(AND(E596=14,F596&lt;&gt;"ASTM A416"),L596,0),3)</f>
        <v/>
      </c>
      <c r="S596" s="16">
        <f>ROUND(S595+IF(AND(E596=16,F596&lt;&gt;"ASTM A416"),L596,0),3)</f>
        <v/>
      </c>
      <c r="T596" s="16">
        <f>ROUND(T595+IF(AND(E596=18,F596&lt;&gt;"ASTM A416"),L596,0),3)</f>
        <v/>
      </c>
      <c r="U596" s="16">
        <f>ROUND(U595+IF(AND(E596=20,F596&lt;&gt;"ASTM A416"),L596,0),3)</f>
        <v/>
      </c>
      <c r="V596" s="16">
        <f>ROUND(V595+IF(AND(E596=22,F596&lt;&gt;"ASTM A416"),L596,0),3)</f>
        <v/>
      </c>
      <c r="W596" s="16">
        <f>ROUND(W595+IF(AND(E596=25,F596&lt;&gt;"ASTM A416"),L596,0),3)</f>
        <v/>
      </c>
      <c r="X596" s="16">
        <f>ROUND(X595+IF(AND(E596=28,F596&lt;&gt;"ASTM A416"),L596,0),3)</f>
        <v/>
      </c>
      <c r="Y596" s="16">
        <f>ROUND(Y595+IF(AND(E596=32,F596&lt;&gt;"ASTM A416"),L596,0),3)</f>
        <v/>
      </c>
      <c r="Z596" s="16">
        <f>ROUND(Z595+IF(F596="ASTM A416",L596,0),3)</f>
        <v/>
      </c>
      <c r="AA596" s="9">
        <f>IF(ROUNDUP(P596/20,0)&gt;ROUNDUP(P595/20,0),"Lần " &amp; ROUNDUP(P596/20,0),"")</f>
        <v/>
      </c>
      <c r="AB596" s="9">
        <f>IF(ROUNDUP(Q596/20,0)&gt;ROUNDUP(Q595/20,0),"Lần " &amp; ROUNDUP(Q596/20,0),"")</f>
        <v/>
      </c>
      <c r="AC596" s="9">
        <f>IF(ROUNDUP(R596/20,0)&gt;ROUNDUP(R595/20,0),"Lần " &amp; ROUNDUP(R596/20,0),"")</f>
        <v/>
      </c>
      <c r="AD596" s="9">
        <f>IF(ROUNDUP(S596/20,0)&gt;ROUNDUP(S595/20,0),"Lần " &amp; ROUNDUP(S596/20,0),"")</f>
        <v/>
      </c>
      <c r="AE596" s="9">
        <f>IF(ROUNDUP(T596/20,0)&gt;ROUNDUP(T595/20,0),"Lần " &amp; ROUNDUP(T596/20,0),"")</f>
        <v/>
      </c>
      <c r="AF596" s="9">
        <f>IF(ROUNDUP(U596/20,0)&gt;ROUNDUP(U595/20,0),"Lần " &amp; ROUNDUP(U596/20,0),"")</f>
        <v/>
      </c>
      <c r="AG596" s="9">
        <f>IF(ROUNDUP(V596/20,0)&gt;ROUNDUP(V595/20,0),"Lần " &amp; ROUNDUP(V596/20,0),"")</f>
        <v/>
      </c>
      <c r="AH596" s="9">
        <f>IF(ROUNDUP(W596/20,0)&gt;ROUNDUP(W595/20,0),"Lần " &amp; ROUNDUP(W596/20,0),"")</f>
        <v/>
      </c>
      <c r="AI596" s="9">
        <f>IF(ROUNDUP(X596/20,0)&gt;ROUNDUP(X595/20,0),"Lần " &amp; ROUNDUP(X596/20,0),"")</f>
        <v/>
      </c>
      <c r="AJ596" s="9">
        <f>IF(ROUNDUP(Y596/20,0)&gt;ROUNDUP(Y595/20,0),"Lần " &amp; ROUNDUP(Y596/20,0),"")</f>
        <v/>
      </c>
      <c r="AK596" s="9">
        <f>IF(ROUNDUP(Z596/20,0)&gt;ROUNDUP(Z595/20,0),"Lần " &amp; ROUNDUP(Z596/20,0),"")</f>
        <v/>
      </c>
      <c r="AL596" s="4" t="n"/>
      <c r="AN596" s="596" t="inlineStr">
        <is>
          <t>Than</t>
        </is>
      </c>
      <c r="AO596" s="596" t="n">
        <v>46</v>
      </c>
      <c r="AQ596" s="594" t="n"/>
      <c r="AR596" s="595" t="n"/>
    </row>
    <row r="597" ht="19" customHeight="1" s="672">
      <c r="A597" s="4" t="n">
        <v>564</v>
      </c>
      <c r="B597" s="5" t="inlineStr">
        <is>
          <t>Trụ T2 (Thân trụ)</t>
        </is>
      </c>
      <c r="C597" s="5" t="inlineStr">
        <is>
          <t>Thân trụ đặc</t>
        </is>
      </c>
      <c r="D597" s="14" t="inlineStr">
        <is>
          <t>T3b</t>
        </is>
      </c>
      <c r="E597" s="15" t="n">
        <v>16</v>
      </c>
      <c r="F597" s="4" t="inlineStr">
        <is>
          <t>CB400-V</t>
        </is>
      </c>
      <c r="G597" s="5" t="inlineStr">
        <is>
          <t>S51</t>
        </is>
      </c>
      <c r="H597" s="16" t="n">
        <v>8.006</v>
      </c>
      <c r="I597" s="17" t="n">
        <v>150</v>
      </c>
      <c r="J597" s="18" t="n">
        <v>1.578</v>
      </c>
      <c r="K597" s="7">
        <f>ROUND(H597*I597*J597, 2)</f>
        <v/>
      </c>
      <c r="L597" s="19">
        <f>ROUND(K597/1000, 3)</f>
        <v/>
      </c>
      <c r="M597" s="728">
        <f>IF(AO597="","",IF(N(INDEX(Theo_Doi_Tan_Suat_Be_Tong!$C:$C,AO597))&lt;=0,"",INDEX(Theo_Doi_Tan_Suat_Be_Tong!$C:$C,AO597)-VLOOKUP(AN597,$AQ$2:$AR$7,2,FALSE)))</f>
        <v/>
      </c>
      <c r="N597" s="4" t="n"/>
      <c r="O597" s="20">
        <f>IF(ROUNDUP(S597/20,0)&gt;ROUNDUP(S596/20,0),"TN Ø16 (Lần " &amp; ROUNDUP(S597/20,0) &amp; ")","")</f>
        <v/>
      </c>
      <c r="P597" s="16">
        <f>ROUND(P596+IF(AND(E597&lt;=10,F597&lt;&gt;"ASTM A416"),L597,0),3)</f>
        <v/>
      </c>
      <c r="Q597" s="16">
        <f>ROUND(Q596+IF(AND(E597=12,F597&lt;&gt;"ASTM A416"),L597,0),3)</f>
        <v/>
      </c>
      <c r="R597" s="16">
        <f>ROUND(R596+IF(AND(E597=14,F597&lt;&gt;"ASTM A416"),L597,0),3)</f>
        <v/>
      </c>
      <c r="S597" s="16">
        <f>ROUND(S596+IF(AND(E597=16,F597&lt;&gt;"ASTM A416"),L597,0),3)</f>
        <v/>
      </c>
      <c r="T597" s="16">
        <f>ROUND(T596+IF(AND(E597=18,F597&lt;&gt;"ASTM A416"),L597,0),3)</f>
        <v/>
      </c>
      <c r="U597" s="16">
        <f>ROUND(U596+IF(AND(E597=20,F597&lt;&gt;"ASTM A416"),L597,0),3)</f>
        <v/>
      </c>
      <c r="V597" s="16">
        <f>ROUND(V596+IF(AND(E597=22,F597&lt;&gt;"ASTM A416"),L597,0),3)</f>
        <v/>
      </c>
      <c r="W597" s="16">
        <f>ROUND(W596+IF(AND(E597=25,F597&lt;&gt;"ASTM A416"),L597,0),3)</f>
        <v/>
      </c>
      <c r="X597" s="16">
        <f>ROUND(X596+IF(AND(E597=28,F597&lt;&gt;"ASTM A416"),L597,0),3)</f>
        <v/>
      </c>
      <c r="Y597" s="16">
        <f>ROUND(Y596+IF(AND(E597=32,F597&lt;&gt;"ASTM A416"),L597,0),3)</f>
        <v/>
      </c>
      <c r="Z597" s="16">
        <f>ROUND(Z596+IF(F597="ASTM A416",L597,0),3)</f>
        <v/>
      </c>
      <c r="AA597" s="9">
        <f>IF(ROUNDUP(P597/20,0)&gt;ROUNDUP(P596/20,0),"Lần " &amp; ROUNDUP(P597/20,0),"")</f>
        <v/>
      </c>
      <c r="AB597" s="9">
        <f>IF(ROUNDUP(Q597/20,0)&gt;ROUNDUP(Q596/20,0),"Lần " &amp; ROUNDUP(Q597/20,0),"")</f>
        <v/>
      </c>
      <c r="AC597" s="9">
        <f>IF(ROUNDUP(R597/20,0)&gt;ROUNDUP(R596/20,0),"Lần " &amp; ROUNDUP(R597/20,0),"")</f>
        <v/>
      </c>
      <c r="AD597" s="9">
        <f>IF(ROUNDUP(S597/20,0)&gt;ROUNDUP(S596/20,0),"Lần " &amp; ROUNDUP(S597/20,0),"")</f>
        <v/>
      </c>
      <c r="AE597" s="9">
        <f>IF(ROUNDUP(T597/20,0)&gt;ROUNDUP(T596/20,0),"Lần " &amp; ROUNDUP(T597/20,0),"")</f>
        <v/>
      </c>
      <c r="AF597" s="9">
        <f>IF(ROUNDUP(U597/20,0)&gt;ROUNDUP(U596/20,0),"Lần " &amp; ROUNDUP(U597/20,0),"")</f>
        <v/>
      </c>
      <c r="AG597" s="9">
        <f>IF(ROUNDUP(V597/20,0)&gt;ROUNDUP(V596/20,0),"Lần " &amp; ROUNDUP(V597/20,0),"")</f>
        <v/>
      </c>
      <c r="AH597" s="9">
        <f>IF(ROUNDUP(W597/20,0)&gt;ROUNDUP(W596/20,0),"Lần " &amp; ROUNDUP(W597/20,0),"")</f>
        <v/>
      </c>
      <c r="AI597" s="9">
        <f>IF(ROUNDUP(X597/20,0)&gt;ROUNDUP(X596/20,0),"Lần " &amp; ROUNDUP(X597/20,0),"")</f>
        <v/>
      </c>
      <c r="AJ597" s="9">
        <f>IF(ROUNDUP(Y597/20,0)&gt;ROUNDUP(Y596/20,0),"Lần " &amp; ROUNDUP(Y597/20,0),"")</f>
        <v/>
      </c>
      <c r="AK597" s="9">
        <f>IF(ROUNDUP(Z597/20,0)&gt;ROUNDUP(Z596/20,0),"Lần " &amp; ROUNDUP(Z597/20,0),"")</f>
        <v/>
      </c>
      <c r="AL597" s="4" t="n"/>
      <c r="AN597" s="596" t="inlineStr">
        <is>
          <t>Than</t>
        </is>
      </c>
      <c r="AO597" s="596" t="n">
        <v>46</v>
      </c>
      <c r="AQ597" s="594" t="n"/>
      <c r="AR597" s="595" t="n"/>
    </row>
    <row r="598" ht="19" customHeight="1" s="672">
      <c r="A598" s="4" t="n">
        <v>565</v>
      </c>
      <c r="B598" s="5" t="inlineStr">
        <is>
          <t>Trụ T2 (Thân trụ)</t>
        </is>
      </c>
      <c r="C598" s="5" t="inlineStr">
        <is>
          <t>Thân trụ đặc</t>
        </is>
      </c>
      <c r="D598" s="14" t="inlineStr">
        <is>
          <t>T4b</t>
        </is>
      </c>
      <c r="E598" s="15" t="n">
        <v>16</v>
      </c>
      <c r="F598" s="4" t="inlineStr">
        <is>
          <t>CB400-V</t>
        </is>
      </c>
      <c r="G598" s="5" t="inlineStr">
        <is>
          <t>S06</t>
        </is>
      </c>
      <c r="H598" s="16" t="n">
        <v>5.932</v>
      </c>
      <c r="I598" s="17" t="n">
        <v>19</v>
      </c>
      <c r="J598" s="18" t="n">
        <v>1.578</v>
      </c>
      <c r="K598" s="7">
        <f>ROUND(H598*I598*J598, 2)</f>
        <v/>
      </c>
      <c r="L598" s="19">
        <f>ROUND(K598/1000, 3)</f>
        <v/>
      </c>
      <c r="M598" s="728">
        <f>IF(AO598="","",IF(N(INDEX(Theo_Doi_Tan_Suat_Be_Tong!$C:$C,AO598))&lt;=0,"",INDEX(Theo_Doi_Tan_Suat_Be_Tong!$C:$C,AO598)-VLOOKUP(AN598,$AQ$2:$AR$7,2,FALSE)))</f>
        <v/>
      </c>
      <c r="N598" s="4" t="n"/>
      <c r="O598" s="20">
        <f>IF(ROUNDUP(S598/20,0)&gt;ROUNDUP(S597/20,0),"TN Ø16 (Lần " &amp; ROUNDUP(S598/20,0) &amp; ")","")</f>
        <v/>
      </c>
      <c r="P598" s="16">
        <f>ROUND(P597+IF(AND(E598&lt;=10,F598&lt;&gt;"ASTM A416"),L598,0),3)</f>
        <v/>
      </c>
      <c r="Q598" s="16">
        <f>ROUND(Q597+IF(AND(E598=12,F598&lt;&gt;"ASTM A416"),L598,0),3)</f>
        <v/>
      </c>
      <c r="R598" s="16">
        <f>ROUND(R597+IF(AND(E598=14,F598&lt;&gt;"ASTM A416"),L598,0),3)</f>
        <v/>
      </c>
      <c r="S598" s="16">
        <f>ROUND(S597+IF(AND(E598=16,F598&lt;&gt;"ASTM A416"),L598,0),3)</f>
        <v/>
      </c>
      <c r="T598" s="16">
        <f>ROUND(T597+IF(AND(E598=18,F598&lt;&gt;"ASTM A416"),L598,0),3)</f>
        <v/>
      </c>
      <c r="U598" s="16">
        <f>ROUND(U597+IF(AND(E598=20,F598&lt;&gt;"ASTM A416"),L598,0),3)</f>
        <v/>
      </c>
      <c r="V598" s="16">
        <f>ROUND(V597+IF(AND(E598=22,F598&lt;&gt;"ASTM A416"),L598,0),3)</f>
        <v/>
      </c>
      <c r="W598" s="16">
        <f>ROUND(W597+IF(AND(E598=25,F598&lt;&gt;"ASTM A416"),L598,0),3)</f>
        <v/>
      </c>
      <c r="X598" s="16">
        <f>ROUND(X597+IF(AND(E598=28,F598&lt;&gt;"ASTM A416"),L598,0),3)</f>
        <v/>
      </c>
      <c r="Y598" s="16">
        <f>ROUND(Y597+IF(AND(E598=32,F598&lt;&gt;"ASTM A416"),L598,0),3)</f>
        <v/>
      </c>
      <c r="Z598" s="16">
        <f>ROUND(Z597+IF(F598="ASTM A416",L598,0),3)</f>
        <v/>
      </c>
      <c r="AA598" s="9">
        <f>IF(ROUNDUP(P598/20,0)&gt;ROUNDUP(P597/20,0),"Lần " &amp; ROUNDUP(P598/20,0),"")</f>
        <v/>
      </c>
      <c r="AB598" s="9">
        <f>IF(ROUNDUP(Q598/20,0)&gt;ROUNDUP(Q597/20,0),"Lần " &amp; ROUNDUP(Q598/20,0),"")</f>
        <v/>
      </c>
      <c r="AC598" s="9">
        <f>IF(ROUNDUP(R598/20,0)&gt;ROUNDUP(R597/20,0),"Lần " &amp; ROUNDUP(R598/20,0),"")</f>
        <v/>
      </c>
      <c r="AD598" s="9">
        <f>IF(ROUNDUP(S598/20,0)&gt;ROUNDUP(S597/20,0),"Lần " &amp; ROUNDUP(S598/20,0),"")</f>
        <v/>
      </c>
      <c r="AE598" s="9">
        <f>IF(ROUNDUP(T598/20,0)&gt;ROUNDUP(T597/20,0),"Lần " &amp; ROUNDUP(T598/20,0),"")</f>
        <v/>
      </c>
      <c r="AF598" s="9">
        <f>IF(ROUNDUP(U598/20,0)&gt;ROUNDUP(U597/20,0),"Lần " &amp; ROUNDUP(U598/20,0),"")</f>
        <v/>
      </c>
      <c r="AG598" s="9">
        <f>IF(ROUNDUP(V598/20,0)&gt;ROUNDUP(V597/20,0),"Lần " &amp; ROUNDUP(V598/20,0),"")</f>
        <v/>
      </c>
      <c r="AH598" s="9">
        <f>IF(ROUNDUP(W598/20,0)&gt;ROUNDUP(W597/20,0),"Lần " &amp; ROUNDUP(W598/20,0),"")</f>
        <v/>
      </c>
      <c r="AI598" s="9">
        <f>IF(ROUNDUP(X598/20,0)&gt;ROUNDUP(X597/20,0),"Lần " &amp; ROUNDUP(X598/20,0),"")</f>
        <v/>
      </c>
      <c r="AJ598" s="9">
        <f>IF(ROUNDUP(Y598/20,0)&gt;ROUNDUP(Y597/20,0),"Lần " &amp; ROUNDUP(Y598/20,0),"")</f>
        <v/>
      </c>
      <c r="AK598" s="9">
        <f>IF(ROUNDUP(Z598/20,0)&gt;ROUNDUP(Z597/20,0),"Lần " &amp; ROUNDUP(Z598/20,0),"")</f>
        <v/>
      </c>
      <c r="AL598" s="4" t="n"/>
      <c r="AN598" s="596" t="inlineStr">
        <is>
          <t>Than</t>
        </is>
      </c>
      <c r="AO598" s="596" t="n">
        <v>46</v>
      </c>
      <c r="AQ598" s="594" t="n"/>
      <c r="AR598" s="595" t="n"/>
    </row>
    <row r="599" ht="19" customHeight="1" s="672">
      <c r="A599" s="4" t="n">
        <v>566</v>
      </c>
      <c r="B599" s="5" t="inlineStr">
        <is>
          <t>Trụ T2 (Thân trụ)</t>
        </is>
      </c>
      <c r="C599" s="5" t="inlineStr">
        <is>
          <t>Thân trụ đặc</t>
        </is>
      </c>
      <c r="D599" s="14" t="inlineStr">
        <is>
          <t>T4b1</t>
        </is>
      </c>
      <c r="E599" s="15" t="n">
        <v>16</v>
      </c>
      <c r="F599" s="4" t="inlineStr">
        <is>
          <t>CB400-V</t>
        </is>
      </c>
      <c r="G599" s="5" t="inlineStr">
        <is>
          <t>S06</t>
        </is>
      </c>
      <c r="H599" s="16" t="n">
        <v>5.652</v>
      </c>
      <c r="I599" s="17" t="n">
        <v>38</v>
      </c>
      <c r="J599" s="18" t="n">
        <v>1.578</v>
      </c>
      <c r="K599" s="7">
        <f>ROUND(H599*I599*J599, 2)</f>
        <v/>
      </c>
      <c r="L599" s="19">
        <f>ROUND(K599/1000, 3)</f>
        <v/>
      </c>
      <c r="M599" s="728">
        <f>IF(AO599="","",IF(N(INDEX(Theo_Doi_Tan_Suat_Be_Tong!$C:$C,AO599))&lt;=0,"",INDEX(Theo_Doi_Tan_Suat_Be_Tong!$C:$C,AO599)-VLOOKUP(AN599,$AQ$2:$AR$7,2,FALSE)))</f>
        <v/>
      </c>
      <c r="N599" s="4" t="n"/>
      <c r="O599" s="20">
        <f>IF(ROUNDUP(S599/20,0)&gt;ROUNDUP(S598/20,0),"TN Ø16 (Lần " &amp; ROUNDUP(S599/20,0) &amp; ")","")</f>
        <v/>
      </c>
      <c r="P599" s="16">
        <f>ROUND(P598+IF(AND(E599&lt;=10,F599&lt;&gt;"ASTM A416"),L599,0),3)</f>
        <v/>
      </c>
      <c r="Q599" s="16">
        <f>ROUND(Q598+IF(AND(E599=12,F599&lt;&gt;"ASTM A416"),L599,0),3)</f>
        <v/>
      </c>
      <c r="R599" s="16">
        <f>ROUND(R598+IF(AND(E599=14,F599&lt;&gt;"ASTM A416"),L599,0),3)</f>
        <v/>
      </c>
      <c r="S599" s="16">
        <f>ROUND(S598+IF(AND(E599=16,F599&lt;&gt;"ASTM A416"),L599,0),3)</f>
        <v/>
      </c>
      <c r="T599" s="16">
        <f>ROUND(T598+IF(AND(E599=18,F599&lt;&gt;"ASTM A416"),L599,0),3)</f>
        <v/>
      </c>
      <c r="U599" s="16">
        <f>ROUND(U598+IF(AND(E599=20,F599&lt;&gt;"ASTM A416"),L599,0),3)</f>
        <v/>
      </c>
      <c r="V599" s="16">
        <f>ROUND(V598+IF(AND(E599=22,F599&lt;&gt;"ASTM A416"),L599,0),3)</f>
        <v/>
      </c>
      <c r="W599" s="16">
        <f>ROUND(W598+IF(AND(E599=25,F599&lt;&gt;"ASTM A416"),L599,0),3)</f>
        <v/>
      </c>
      <c r="X599" s="16">
        <f>ROUND(X598+IF(AND(E599=28,F599&lt;&gt;"ASTM A416"),L599,0),3)</f>
        <v/>
      </c>
      <c r="Y599" s="16">
        <f>ROUND(Y598+IF(AND(E599=32,F599&lt;&gt;"ASTM A416"),L599,0),3)</f>
        <v/>
      </c>
      <c r="Z599" s="16">
        <f>ROUND(Z598+IF(F599="ASTM A416",L599,0),3)</f>
        <v/>
      </c>
      <c r="AA599" s="9">
        <f>IF(ROUNDUP(P599/20,0)&gt;ROUNDUP(P598/20,0),"Lần " &amp; ROUNDUP(P599/20,0),"")</f>
        <v/>
      </c>
      <c r="AB599" s="9">
        <f>IF(ROUNDUP(Q599/20,0)&gt;ROUNDUP(Q598/20,0),"Lần " &amp; ROUNDUP(Q599/20,0),"")</f>
        <v/>
      </c>
      <c r="AC599" s="9">
        <f>IF(ROUNDUP(R599/20,0)&gt;ROUNDUP(R598/20,0),"Lần " &amp; ROUNDUP(R599/20,0),"")</f>
        <v/>
      </c>
      <c r="AD599" s="9">
        <f>IF(ROUNDUP(S599/20,0)&gt;ROUNDUP(S598/20,0),"Lần " &amp; ROUNDUP(S599/20,0),"")</f>
        <v/>
      </c>
      <c r="AE599" s="9">
        <f>IF(ROUNDUP(T599/20,0)&gt;ROUNDUP(T598/20,0),"Lần " &amp; ROUNDUP(T599/20,0),"")</f>
        <v/>
      </c>
      <c r="AF599" s="9">
        <f>IF(ROUNDUP(U599/20,0)&gt;ROUNDUP(U598/20,0),"Lần " &amp; ROUNDUP(U599/20,0),"")</f>
        <v/>
      </c>
      <c r="AG599" s="9">
        <f>IF(ROUNDUP(V599/20,0)&gt;ROUNDUP(V598/20,0),"Lần " &amp; ROUNDUP(V599/20,0),"")</f>
        <v/>
      </c>
      <c r="AH599" s="9">
        <f>IF(ROUNDUP(W599/20,0)&gt;ROUNDUP(W598/20,0),"Lần " &amp; ROUNDUP(W599/20,0),"")</f>
        <v/>
      </c>
      <c r="AI599" s="9">
        <f>IF(ROUNDUP(X599/20,0)&gt;ROUNDUP(X598/20,0),"Lần " &amp; ROUNDUP(X599/20,0),"")</f>
        <v/>
      </c>
      <c r="AJ599" s="9">
        <f>IF(ROUNDUP(Y599/20,0)&gt;ROUNDUP(Y598/20,0),"Lần " &amp; ROUNDUP(Y599/20,0),"")</f>
        <v/>
      </c>
      <c r="AK599" s="9">
        <f>IF(ROUNDUP(Z599/20,0)&gt;ROUNDUP(Z598/20,0),"Lần " &amp; ROUNDUP(Z599/20,0),"")</f>
        <v/>
      </c>
      <c r="AL599" s="4" t="n"/>
      <c r="AN599" s="596" t="inlineStr">
        <is>
          <t>Than</t>
        </is>
      </c>
      <c r="AO599" s="596" t="n">
        <v>46</v>
      </c>
      <c r="AQ599" s="594" t="n"/>
      <c r="AR599" s="595" t="n"/>
    </row>
    <row r="600" ht="19" customHeight="1" s="672">
      <c r="A600" s="4" t="n">
        <v>567</v>
      </c>
      <c r="B600" s="5" t="inlineStr">
        <is>
          <t>Trụ T2 (Thân trụ)</t>
        </is>
      </c>
      <c r="C600" s="5" t="inlineStr">
        <is>
          <t>th©n trô ®o¹n 3</t>
        </is>
      </c>
      <c r="D600" s="14" t="inlineStr">
        <is>
          <t>T1c</t>
        </is>
      </c>
      <c r="E600" s="15" t="n">
        <v>32</v>
      </c>
      <c r="F600" s="4" t="inlineStr">
        <is>
          <t>CB400-V</t>
        </is>
      </c>
      <c r="G600" s="5" t="inlineStr">
        <is>
          <t>S28</t>
        </is>
      </c>
      <c r="H600" s="16" t="n">
        <v>8.656000000000001</v>
      </c>
      <c r="I600" s="17" t="n">
        <v>122</v>
      </c>
      <c r="J600" s="18" t="n">
        <v>6.313</v>
      </c>
      <c r="K600" s="7">
        <f>ROUND(H600*I600*J600, 2)</f>
        <v/>
      </c>
      <c r="L600" s="19">
        <f>ROUND(K600/1000, 3)</f>
        <v/>
      </c>
      <c r="M600" s="728">
        <f>IF(AO600="","",IF(N(INDEX(Theo_Doi_Tan_Suat_Be_Tong!$C:$C,AO600))&lt;=0,"",INDEX(Theo_Doi_Tan_Suat_Be_Tong!$C:$C,AO600)-VLOOKUP(AN600,$AQ$2:$AR$7,2,FALSE)))</f>
        <v/>
      </c>
      <c r="N600" s="4" t="n"/>
      <c r="O600" s="20">
        <f>IF(ROUNDUP(Y600/20,0)&gt;ROUNDUP(Y599/20,0),"TN Ø32 (Lần " &amp; ROUNDUP(Y600/20,0) &amp; ")","")</f>
        <v/>
      </c>
      <c r="P600" s="16">
        <f>ROUND(P599+IF(AND(E600&lt;=10,F600&lt;&gt;"ASTM A416"),L600,0),3)</f>
        <v/>
      </c>
      <c r="Q600" s="16">
        <f>ROUND(Q599+IF(AND(E600=12,F600&lt;&gt;"ASTM A416"),L600,0),3)</f>
        <v/>
      </c>
      <c r="R600" s="16">
        <f>ROUND(R599+IF(AND(E600=14,F600&lt;&gt;"ASTM A416"),L600,0),3)</f>
        <v/>
      </c>
      <c r="S600" s="16">
        <f>ROUND(S599+IF(AND(E600=16,F600&lt;&gt;"ASTM A416"),L600,0),3)</f>
        <v/>
      </c>
      <c r="T600" s="16">
        <f>ROUND(T599+IF(AND(E600=18,F600&lt;&gt;"ASTM A416"),L600,0),3)</f>
        <v/>
      </c>
      <c r="U600" s="16">
        <f>ROUND(U599+IF(AND(E600=20,F600&lt;&gt;"ASTM A416"),L600,0),3)</f>
        <v/>
      </c>
      <c r="V600" s="16">
        <f>ROUND(V599+IF(AND(E600=22,F600&lt;&gt;"ASTM A416"),L600,0),3)</f>
        <v/>
      </c>
      <c r="W600" s="16">
        <f>ROUND(W599+IF(AND(E600=25,F600&lt;&gt;"ASTM A416"),L600,0),3)</f>
        <v/>
      </c>
      <c r="X600" s="16">
        <f>ROUND(X599+IF(AND(E600=28,F600&lt;&gt;"ASTM A416"),L600,0),3)</f>
        <v/>
      </c>
      <c r="Y600" s="16">
        <f>ROUND(Y599+IF(AND(E600=32,F600&lt;&gt;"ASTM A416"),L600,0),3)</f>
        <v/>
      </c>
      <c r="Z600" s="16">
        <f>ROUND(Z599+IF(F600="ASTM A416",L600,0),3)</f>
        <v/>
      </c>
      <c r="AA600" s="9">
        <f>IF(ROUNDUP(P600/20,0)&gt;ROUNDUP(P599/20,0),"Lần " &amp; ROUNDUP(P600/20,0),"")</f>
        <v/>
      </c>
      <c r="AB600" s="9">
        <f>IF(ROUNDUP(Q600/20,0)&gt;ROUNDUP(Q599/20,0),"Lần " &amp; ROUNDUP(Q600/20,0),"")</f>
        <v/>
      </c>
      <c r="AC600" s="9">
        <f>IF(ROUNDUP(R600/20,0)&gt;ROUNDUP(R599/20,0),"Lần " &amp; ROUNDUP(R600/20,0),"")</f>
        <v/>
      </c>
      <c r="AD600" s="9">
        <f>IF(ROUNDUP(S600/20,0)&gt;ROUNDUP(S599/20,0),"Lần " &amp; ROUNDUP(S600/20,0),"")</f>
        <v/>
      </c>
      <c r="AE600" s="9">
        <f>IF(ROUNDUP(T600/20,0)&gt;ROUNDUP(T599/20,0),"Lần " &amp; ROUNDUP(T600/20,0),"")</f>
        <v/>
      </c>
      <c r="AF600" s="9">
        <f>IF(ROUNDUP(U600/20,0)&gt;ROUNDUP(U599/20,0),"Lần " &amp; ROUNDUP(U600/20,0),"")</f>
        <v/>
      </c>
      <c r="AG600" s="9">
        <f>IF(ROUNDUP(V600/20,0)&gt;ROUNDUP(V599/20,0),"Lần " &amp; ROUNDUP(V600/20,0),"")</f>
        <v/>
      </c>
      <c r="AH600" s="9">
        <f>IF(ROUNDUP(W600/20,0)&gt;ROUNDUP(W599/20,0),"Lần " &amp; ROUNDUP(W600/20,0),"")</f>
        <v/>
      </c>
      <c r="AI600" s="9">
        <f>IF(ROUNDUP(X600/20,0)&gt;ROUNDUP(X599/20,0),"Lần " &amp; ROUNDUP(X600/20,0),"")</f>
        <v/>
      </c>
      <c r="AJ600" s="9">
        <f>IF(ROUNDUP(Y600/20,0)&gt;ROUNDUP(Y599/20,0),"Lần " &amp; ROUNDUP(Y600/20,0),"")</f>
        <v/>
      </c>
      <c r="AK600" s="9">
        <f>IF(ROUNDUP(Z600/20,0)&gt;ROUNDUP(Z599/20,0),"Lần " &amp; ROUNDUP(Z600/20,0),"")</f>
        <v/>
      </c>
      <c r="AL600" s="4" t="n"/>
      <c r="AN600" s="596" t="inlineStr">
        <is>
          <t>Than</t>
        </is>
      </c>
      <c r="AO600" s="596" t="n">
        <v>48</v>
      </c>
      <c r="AQ600" s="594" t="n"/>
      <c r="AR600" s="595" t="n"/>
    </row>
    <row r="601" ht="19" customHeight="1" s="672">
      <c r="A601" s="4" t="n">
        <v>568</v>
      </c>
      <c r="B601" s="5" t="inlineStr">
        <is>
          <t>Trụ T2 (Thân trụ)</t>
        </is>
      </c>
      <c r="C601" s="5" t="inlineStr">
        <is>
          <t>Thân trụ đặc</t>
        </is>
      </c>
      <c r="D601" s="14" t="inlineStr">
        <is>
          <t>T2c</t>
        </is>
      </c>
      <c r="E601" s="15" t="n">
        <v>16</v>
      </c>
      <c r="F601" s="4" t="inlineStr">
        <is>
          <t>CB400-V</t>
        </is>
      </c>
      <c r="G601" s="5" t="inlineStr">
        <is>
          <t>S07</t>
        </is>
      </c>
      <c r="H601" s="16" t="n">
        <v>8.436999999999999</v>
      </c>
      <c r="I601" s="17" t="n">
        <v>108</v>
      </c>
      <c r="J601" s="18" t="n">
        <v>1.578</v>
      </c>
      <c r="K601" s="7">
        <f>ROUND(H601*I601*J601, 2)</f>
        <v/>
      </c>
      <c r="L601" s="19">
        <f>ROUND(K601/1000, 3)</f>
        <v/>
      </c>
      <c r="M601" s="728">
        <f>IF(AO601="","",IF(N(INDEX(Theo_Doi_Tan_Suat_Be_Tong!$C:$C,AO601))&lt;=0,"",INDEX(Theo_Doi_Tan_Suat_Be_Tong!$C:$C,AO601)-VLOOKUP(AN601,$AQ$2:$AR$7,2,FALSE)))</f>
        <v/>
      </c>
      <c r="N601" s="4" t="n"/>
      <c r="O601" s="20">
        <f>IF(ROUNDUP(S601/20,0)&gt;ROUNDUP(S600/20,0),"TN Ø16 (Lần " &amp; ROUNDUP(S601/20,0) &amp; ")","")</f>
        <v/>
      </c>
      <c r="P601" s="16">
        <f>ROUND(P600+IF(AND(E601&lt;=10,F601&lt;&gt;"ASTM A416"),L601,0),3)</f>
        <v/>
      </c>
      <c r="Q601" s="16">
        <f>ROUND(Q600+IF(AND(E601=12,F601&lt;&gt;"ASTM A416"),L601,0),3)</f>
        <v/>
      </c>
      <c r="R601" s="16">
        <f>ROUND(R600+IF(AND(E601=14,F601&lt;&gt;"ASTM A416"),L601,0),3)</f>
        <v/>
      </c>
      <c r="S601" s="16">
        <f>ROUND(S600+IF(AND(E601=16,F601&lt;&gt;"ASTM A416"),L601,0),3)</f>
        <v/>
      </c>
      <c r="T601" s="16">
        <f>ROUND(T600+IF(AND(E601=18,F601&lt;&gt;"ASTM A416"),L601,0),3)</f>
        <v/>
      </c>
      <c r="U601" s="16">
        <f>ROUND(U600+IF(AND(E601=20,F601&lt;&gt;"ASTM A416"),L601,0),3)</f>
        <v/>
      </c>
      <c r="V601" s="16">
        <f>ROUND(V600+IF(AND(E601=22,F601&lt;&gt;"ASTM A416"),L601,0),3)</f>
        <v/>
      </c>
      <c r="W601" s="16">
        <f>ROUND(W600+IF(AND(E601=25,F601&lt;&gt;"ASTM A416"),L601,0),3)</f>
        <v/>
      </c>
      <c r="X601" s="16">
        <f>ROUND(X600+IF(AND(E601=28,F601&lt;&gt;"ASTM A416"),L601,0),3)</f>
        <v/>
      </c>
      <c r="Y601" s="16">
        <f>ROUND(Y600+IF(AND(E601=32,F601&lt;&gt;"ASTM A416"),L601,0),3)</f>
        <v/>
      </c>
      <c r="Z601" s="16">
        <f>ROUND(Z600+IF(F601="ASTM A416",L601,0),3)</f>
        <v/>
      </c>
      <c r="AA601" s="9">
        <f>IF(ROUNDUP(P601/20,0)&gt;ROUNDUP(P600/20,0),"Lần " &amp; ROUNDUP(P601/20,0),"")</f>
        <v/>
      </c>
      <c r="AB601" s="9">
        <f>IF(ROUNDUP(Q601/20,0)&gt;ROUNDUP(Q600/20,0),"Lần " &amp; ROUNDUP(Q601/20,0),"")</f>
        <v/>
      </c>
      <c r="AC601" s="9">
        <f>IF(ROUNDUP(R601/20,0)&gt;ROUNDUP(R600/20,0),"Lần " &amp; ROUNDUP(R601/20,0),"")</f>
        <v/>
      </c>
      <c r="AD601" s="9">
        <f>IF(ROUNDUP(S601/20,0)&gt;ROUNDUP(S600/20,0),"Lần " &amp; ROUNDUP(S601/20,0),"")</f>
        <v/>
      </c>
      <c r="AE601" s="9">
        <f>IF(ROUNDUP(T601/20,0)&gt;ROUNDUP(T600/20,0),"Lần " &amp; ROUNDUP(T601/20,0),"")</f>
        <v/>
      </c>
      <c r="AF601" s="9">
        <f>IF(ROUNDUP(U601/20,0)&gt;ROUNDUP(U600/20,0),"Lần " &amp; ROUNDUP(U601/20,0),"")</f>
        <v/>
      </c>
      <c r="AG601" s="9">
        <f>IF(ROUNDUP(V601/20,0)&gt;ROUNDUP(V600/20,0),"Lần " &amp; ROUNDUP(V601/20,0),"")</f>
        <v/>
      </c>
      <c r="AH601" s="9">
        <f>IF(ROUNDUP(W601/20,0)&gt;ROUNDUP(W600/20,0),"Lần " &amp; ROUNDUP(W601/20,0),"")</f>
        <v/>
      </c>
      <c r="AI601" s="9">
        <f>IF(ROUNDUP(X601/20,0)&gt;ROUNDUP(X600/20,0),"Lần " &amp; ROUNDUP(X601/20,0),"")</f>
        <v/>
      </c>
      <c r="AJ601" s="9">
        <f>IF(ROUNDUP(Y601/20,0)&gt;ROUNDUP(Y600/20,0),"Lần " &amp; ROUNDUP(Y601/20,0),"")</f>
        <v/>
      </c>
      <c r="AK601" s="9">
        <f>IF(ROUNDUP(Z601/20,0)&gt;ROUNDUP(Z600/20,0),"Lần " &amp; ROUNDUP(Z601/20,0),"")</f>
        <v/>
      </c>
      <c r="AL601" s="4" t="n"/>
      <c r="AN601" s="596" t="inlineStr">
        <is>
          <t>Than</t>
        </is>
      </c>
      <c r="AO601" s="596" t="n">
        <v>46</v>
      </c>
      <c r="AQ601" s="594" t="n"/>
      <c r="AR601" s="595" t="n"/>
    </row>
    <row r="602" ht="19" customHeight="1" s="672">
      <c r="A602" s="4" t="n">
        <v>569</v>
      </c>
      <c r="B602" s="5" t="inlineStr">
        <is>
          <t>Trụ T2 (Thân trụ)</t>
        </is>
      </c>
      <c r="C602" s="5" t="inlineStr">
        <is>
          <t>Thân trụ đặc</t>
        </is>
      </c>
      <c r="D602" s="14" t="inlineStr">
        <is>
          <t>T3c</t>
        </is>
      </c>
      <c r="E602" s="15" t="n">
        <v>16</v>
      </c>
      <c r="F602" s="4" t="inlineStr">
        <is>
          <t>CB400-V</t>
        </is>
      </c>
      <c r="G602" s="5" t="inlineStr">
        <is>
          <t>S51</t>
        </is>
      </c>
      <c r="H602" s="16" t="n">
        <v>9.206</v>
      </c>
      <c r="I602" s="17" t="n">
        <v>108</v>
      </c>
      <c r="J602" s="18" t="n">
        <v>1.578</v>
      </c>
      <c r="K602" s="7">
        <f>ROUND(H602*I602*J602, 2)</f>
        <v/>
      </c>
      <c r="L602" s="19">
        <f>ROUND(K602/1000, 3)</f>
        <v/>
      </c>
      <c r="M602" s="728">
        <f>IF(AO602="","",IF(N(INDEX(Theo_Doi_Tan_Suat_Be_Tong!$C:$C,AO602))&lt;=0,"",INDEX(Theo_Doi_Tan_Suat_Be_Tong!$C:$C,AO602)-VLOOKUP(AN602,$AQ$2:$AR$7,2,FALSE)))</f>
        <v/>
      </c>
      <c r="N602" s="4" t="n"/>
      <c r="O602" s="20">
        <f>IF(ROUNDUP(S602/20,0)&gt;ROUNDUP(S601/20,0),"TN Ø16 (Lần " &amp; ROUNDUP(S602/20,0) &amp; ")","")</f>
        <v/>
      </c>
      <c r="P602" s="16">
        <f>ROUND(P601+IF(AND(E602&lt;=10,F602&lt;&gt;"ASTM A416"),L602,0),3)</f>
        <v/>
      </c>
      <c r="Q602" s="16">
        <f>ROUND(Q601+IF(AND(E602=12,F602&lt;&gt;"ASTM A416"),L602,0),3)</f>
        <v/>
      </c>
      <c r="R602" s="16">
        <f>ROUND(R601+IF(AND(E602=14,F602&lt;&gt;"ASTM A416"),L602,0),3)</f>
        <v/>
      </c>
      <c r="S602" s="16">
        <f>ROUND(S601+IF(AND(E602=16,F602&lt;&gt;"ASTM A416"),L602,0),3)</f>
        <v/>
      </c>
      <c r="T602" s="16">
        <f>ROUND(T601+IF(AND(E602=18,F602&lt;&gt;"ASTM A416"),L602,0),3)</f>
        <v/>
      </c>
      <c r="U602" s="16">
        <f>ROUND(U601+IF(AND(E602=20,F602&lt;&gt;"ASTM A416"),L602,0),3)</f>
        <v/>
      </c>
      <c r="V602" s="16">
        <f>ROUND(V601+IF(AND(E602=22,F602&lt;&gt;"ASTM A416"),L602,0),3)</f>
        <v/>
      </c>
      <c r="W602" s="16">
        <f>ROUND(W601+IF(AND(E602=25,F602&lt;&gt;"ASTM A416"),L602,0),3)</f>
        <v/>
      </c>
      <c r="X602" s="16">
        <f>ROUND(X601+IF(AND(E602=28,F602&lt;&gt;"ASTM A416"),L602,0),3)</f>
        <v/>
      </c>
      <c r="Y602" s="16">
        <f>ROUND(Y601+IF(AND(E602=32,F602&lt;&gt;"ASTM A416"),L602,0),3)</f>
        <v/>
      </c>
      <c r="Z602" s="16">
        <f>ROUND(Z601+IF(F602="ASTM A416",L602,0),3)</f>
        <v/>
      </c>
      <c r="AA602" s="9">
        <f>IF(ROUNDUP(P602/20,0)&gt;ROUNDUP(P601/20,0),"Lần " &amp; ROUNDUP(P602/20,0),"")</f>
        <v/>
      </c>
      <c r="AB602" s="9">
        <f>IF(ROUNDUP(Q602/20,0)&gt;ROUNDUP(Q601/20,0),"Lần " &amp; ROUNDUP(Q602/20,0),"")</f>
        <v/>
      </c>
      <c r="AC602" s="9">
        <f>IF(ROUNDUP(R602/20,0)&gt;ROUNDUP(R601/20,0),"Lần " &amp; ROUNDUP(R602/20,0),"")</f>
        <v/>
      </c>
      <c r="AD602" s="9">
        <f>IF(ROUNDUP(S602/20,0)&gt;ROUNDUP(S601/20,0),"Lần " &amp; ROUNDUP(S602/20,0),"")</f>
        <v/>
      </c>
      <c r="AE602" s="9">
        <f>IF(ROUNDUP(T602/20,0)&gt;ROUNDUP(T601/20,0),"Lần " &amp; ROUNDUP(T602/20,0),"")</f>
        <v/>
      </c>
      <c r="AF602" s="9">
        <f>IF(ROUNDUP(U602/20,0)&gt;ROUNDUP(U601/20,0),"Lần " &amp; ROUNDUP(U602/20,0),"")</f>
        <v/>
      </c>
      <c r="AG602" s="9">
        <f>IF(ROUNDUP(V602/20,0)&gt;ROUNDUP(V601/20,0),"Lần " &amp; ROUNDUP(V602/20,0),"")</f>
        <v/>
      </c>
      <c r="AH602" s="9">
        <f>IF(ROUNDUP(W602/20,0)&gt;ROUNDUP(W601/20,0),"Lần " &amp; ROUNDUP(W602/20,0),"")</f>
        <v/>
      </c>
      <c r="AI602" s="9">
        <f>IF(ROUNDUP(X602/20,0)&gt;ROUNDUP(X601/20,0),"Lần " &amp; ROUNDUP(X602/20,0),"")</f>
        <v/>
      </c>
      <c r="AJ602" s="9">
        <f>IF(ROUNDUP(Y602/20,0)&gt;ROUNDUP(Y601/20,0),"Lần " &amp; ROUNDUP(Y602/20,0),"")</f>
        <v/>
      </c>
      <c r="AK602" s="9">
        <f>IF(ROUNDUP(Z602/20,0)&gt;ROUNDUP(Z601/20,0),"Lần " &amp; ROUNDUP(Z602/20,0),"")</f>
        <v/>
      </c>
      <c r="AL602" s="4" t="n"/>
      <c r="AN602" s="596" t="inlineStr">
        <is>
          <t>Than</t>
        </is>
      </c>
      <c r="AO602" s="596" t="n">
        <v>46</v>
      </c>
      <c r="AQ602" s="594" t="n"/>
      <c r="AR602" s="595" t="n"/>
    </row>
    <row r="603" ht="19" customHeight="1" s="672">
      <c r="A603" s="4" t="n">
        <v>570</v>
      </c>
      <c r="B603" s="5" t="inlineStr">
        <is>
          <t>Trụ T2 (Thân trụ)</t>
        </is>
      </c>
      <c r="C603" s="5" t="inlineStr">
        <is>
          <t>Thân trụ đặc</t>
        </is>
      </c>
      <c r="D603" s="14" t="inlineStr">
        <is>
          <t>T4c</t>
        </is>
      </c>
      <c r="E603" s="15" t="n">
        <v>16</v>
      </c>
      <c r="F603" s="4" t="inlineStr">
        <is>
          <t>CB400-V</t>
        </is>
      </c>
      <c r="G603" s="5" t="inlineStr">
        <is>
          <t>S06</t>
        </is>
      </c>
      <c r="H603" s="16" t="n">
        <v>6.532</v>
      </c>
      <c r="I603" s="17" t="n">
        <v>13</v>
      </c>
      <c r="J603" s="18" t="n">
        <v>1.578</v>
      </c>
      <c r="K603" s="7">
        <f>ROUND(H603*I603*J603, 2)</f>
        <v/>
      </c>
      <c r="L603" s="19">
        <f>ROUND(K603/1000, 3)</f>
        <v/>
      </c>
      <c r="M603" s="728">
        <f>IF(AO603="","",IF(N(INDEX(Theo_Doi_Tan_Suat_Be_Tong!$C:$C,AO603))&lt;=0,"",INDEX(Theo_Doi_Tan_Suat_Be_Tong!$C:$C,AO603)-VLOOKUP(AN603,$AQ$2:$AR$7,2,FALSE)))</f>
        <v/>
      </c>
      <c r="N603" s="4" t="n"/>
      <c r="O603" s="20">
        <f>IF(ROUNDUP(S603/20,0)&gt;ROUNDUP(S602/20,0),"TN Ø16 (Lần " &amp; ROUNDUP(S603/20,0) &amp; ")","")</f>
        <v/>
      </c>
      <c r="P603" s="16">
        <f>ROUND(P602+IF(AND(E603&lt;=10,F603&lt;&gt;"ASTM A416"),L603,0),3)</f>
        <v/>
      </c>
      <c r="Q603" s="16">
        <f>ROUND(Q602+IF(AND(E603=12,F603&lt;&gt;"ASTM A416"),L603,0),3)</f>
        <v/>
      </c>
      <c r="R603" s="16">
        <f>ROUND(R602+IF(AND(E603=14,F603&lt;&gt;"ASTM A416"),L603,0),3)</f>
        <v/>
      </c>
      <c r="S603" s="16">
        <f>ROUND(S602+IF(AND(E603=16,F603&lt;&gt;"ASTM A416"),L603,0),3)</f>
        <v/>
      </c>
      <c r="T603" s="16">
        <f>ROUND(T602+IF(AND(E603=18,F603&lt;&gt;"ASTM A416"),L603,0),3)</f>
        <v/>
      </c>
      <c r="U603" s="16">
        <f>ROUND(U602+IF(AND(E603=20,F603&lt;&gt;"ASTM A416"),L603,0),3)</f>
        <v/>
      </c>
      <c r="V603" s="16">
        <f>ROUND(V602+IF(AND(E603=22,F603&lt;&gt;"ASTM A416"),L603,0),3)</f>
        <v/>
      </c>
      <c r="W603" s="16">
        <f>ROUND(W602+IF(AND(E603=25,F603&lt;&gt;"ASTM A416"),L603,0),3)</f>
        <v/>
      </c>
      <c r="X603" s="16">
        <f>ROUND(X602+IF(AND(E603=28,F603&lt;&gt;"ASTM A416"),L603,0),3)</f>
        <v/>
      </c>
      <c r="Y603" s="16">
        <f>ROUND(Y602+IF(AND(E603=32,F603&lt;&gt;"ASTM A416"),L603,0),3)</f>
        <v/>
      </c>
      <c r="Z603" s="16">
        <f>ROUND(Z602+IF(F603="ASTM A416",L603,0),3)</f>
        <v/>
      </c>
      <c r="AA603" s="9">
        <f>IF(ROUNDUP(P603/20,0)&gt;ROUNDUP(P602/20,0),"Lần " &amp; ROUNDUP(P603/20,0),"")</f>
        <v/>
      </c>
      <c r="AB603" s="9">
        <f>IF(ROUNDUP(Q603/20,0)&gt;ROUNDUP(Q602/20,0),"Lần " &amp; ROUNDUP(Q603/20,0),"")</f>
        <v/>
      </c>
      <c r="AC603" s="9">
        <f>IF(ROUNDUP(R603/20,0)&gt;ROUNDUP(R602/20,0),"Lần " &amp; ROUNDUP(R603/20,0),"")</f>
        <v/>
      </c>
      <c r="AD603" s="9">
        <f>IF(ROUNDUP(S603/20,0)&gt;ROUNDUP(S602/20,0),"Lần " &amp; ROUNDUP(S603/20,0),"")</f>
        <v/>
      </c>
      <c r="AE603" s="9">
        <f>IF(ROUNDUP(T603/20,0)&gt;ROUNDUP(T602/20,0),"Lần " &amp; ROUNDUP(T603/20,0),"")</f>
        <v/>
      </c>
      <c r="AF603" s="9">
        <f>IF(ROUNDUP(U603/20,0)&gt;ROUNDUP(U602/20,0),"Lần " &amp; ROUNDUP(U603/20,0),"")</f>
        <v/>
      </c>
      <c r="AG603" s="9">
        <f>IF(ROUNDUP(V603/20,0)&gt;ROUNDUP(V602/20,0),"Lần " &amp; ROUNDUP(V603/20,0),"")</f>
        <v/>
      </c>
      <c r="AH603" s="9">
        <f>IF(ROUNDUP(W603/20,0)&gt;ROUNDUP(W602/20,0),"Lần " &amp; ROUNDUP(W603/20,0),"")</f>
        <v/>
      </c>
      <c r="AI603" s="9">
        <f>IF(ROUNDUP(X603/20,0)&gt;ROUNDUP(X602/20,0),"Lần " &amp; ROUNDUP(X603/20,0),"")</f>
        <v/>
      </c>
      <c r="AJ603" s="9">
        <f>IF(ROUNDUP(Y603/20,0)&gt;ROUNDUP(Y602/20,0),"Lần " &amp; ROUNDUP(Y603/20,0),"")</f>
        <v/>
      </c>
      <c r="AK603" s="9">
        <f>IF(ROUNDUP(Z603/20,0)&gt;ROUNDUP(Z602/20,0),"Lần " &amp; ROUNDUP(Z603/20,0),"")</f>
        <v/>
      </c>
      <c r="AL603" s="4" t="n"/>
      <c r="AN603" s="596" t="inlineStr">
        <is>
          <t>Than</t>
        </is>
      </c>
      <c r="AO603" s="596" t="n">
        <v>46</v>
      </c>
      <c r="AQ603" s="594" t="n"/>
      <c r="AR603" s="595" t="n"/>
    </row>
    <row r="604" ht="19" customHeight="1" s="672">
      <c r="A604" s="4" t="n">
        <v>571</v>
      </c>
      <c r="B604" s="5" t="inlineStr">
        <is>
          <t>Trụ T2 (Thân trụ)</t>
        </is>
      </c>
      <c r="C604" s="5" t="inlineStr">
        <is>
          <t>Thân trụ đặc</t>
        </is>
      </c>
      <c r="D604" s="14" t="inlineStr">
        <is>
          <t>T4c1</t>
        </is>
      </c>
      <c r="E604" s="15" t="n">
        <v>16</v>
      </c>
      <c r="F604" s="4" t="inlineStr">
        <is>
          <t>CB400-V</t>
        </is>
      </c>
      <c r="G604" s="5" t="inlineStr">
        <is>
          <t>S06</t>
        </is>
      </c>
      <c r="H604" s="16" t="n">
        <v>6.202</v>
      </c>
      <c r="I604" s="17" t="n">
        <v>26</v>
      </c>
      <c r="J604" s="18" t="n">
        <v>1.578</v>
      </c>
      <c r="K604" s="7">
        <f>ROUND(H604*I604*J604, 2)</f>
        <v/>
      </c>
      <c r="L604" s="19">
        <f>ROUND(K604/1000, 3)</f>
        <v/>
      </c>
      <c r="M604" s="728">
        <f>IF(AO604="","",IF(N(INDEX(Theo_Doi_Tan_Suat_Be_Tong!$C:$C,AO604))&lt;=0,"",INDEX(Theo_Doi_Tan_Suat_Be_Tong!$C:$C,AO604)-VLOOKUP(AN604,$AQ$2:$AR$7,2,FALSE)))</f>
        <v/>
      </c>
      <c r="N604" s="4" t="n"/>
      <c r="O604" s="20">
        <f>IF(ROUNDUP(S604/20,0)&gt;ROUNDUP(S603/20,0),"TN Ø16 (Lần " &amp; ROUNDUP(S604/20,0) &amp; ")","")</f>
        <v/>
      </c>
      <c r="P604" s="16">
        <f>ROUND(P603+IF(AND(E604&lt;=10,F604&lt;&gt;"ASTM A416"),L604,0),3)</f>
        <v/>
      </c>
      <c r="Q604" s="16">
        <f>ROUND(Q603+IF(AND(E604=12,F604&lt;&gt;"ASTM A416"),L604,0),3)</f>
        <v/>
      </c>
      <c r="R604" s="16">
        <f>ROUND(R603+IF(AND(E604=14,F604&lt;&gt;"ASTM A416"),L604,0),3)</f>
        <v/>
      </c>
      <c r="S604" s="16">
        <f>ROUND(S603+IF(AND(E604=16,F604&lt;&gt;"ASTM A416"),L604,0),3)</f>
        <v/>
      </c>
      <c r="T604" s="16">
        <f>ROUND(T603+IF(AND(E604=18,F604&lt;&gt;"ASTM A416"),L604,0),3)</f>
        <v/>
      </c>
      <c r="U604" s="16">
        <f>ROUND(U603+IF(AND(E604=20,F604&lt;&gt;"ASTM A416"),L604,0),3)</f>
        <v/>
      </c>
      <c r="V604" s="16">
        <f>ROUND(V603+IF(AND(E604=22,F604&lt;&gt;"ASTM A416"),L604,0),3)</f>
        <v/>
      </c>
      <c r="W604" s="16">
        <f>ROUND(W603+IF(AND(E604=25,F604&lt;&gt;"ASTM A416"),L604,0),3)</f>
        <v/>
      </c>
      <c r="X604" s="16">
        <f>ROUND(X603+IF(AND(E604=28,F604&lt;&gt;"ASTM A416"),L604,0),3)</f>
        <v/>
      </c>
      <c r="Y604" s="16">
        <f>ROUND(Y603+IF(AND(E604=32,F604&lt;&gt;"ASTM A416"),L604,0),3)</f>
        <v/>
      </c>
      <c r="Z604" s="16">
        <f>ROUND(Z603+IF(F604="ASTM A416",L604,0),3)</f>
        <v/>
      </c>
      <c r="AA604" s="9">
        <f>IF(ROUNDUP(P604/20,0)&gt;ROUNDUP(P603/20,0),"Lần " &amp; ROUNDUP(P604/20,0),"")</f>
        <v/>
      </c>
      <c r="AB604" s="9">
        <f>IF(ROUNDUP(Q604/20,0)&gt;ROUNDUP(Q603/20,0),"Lần " &amp; ROUNDUP(Q604/20,0),"")</f>
        <v/>
      </c>
      <c r="AC604" s="9">
        <f>IF(ROUNDUP(R604/20,0)&gt;ROUNDUP(R603/20,0),"Lần " &amp; ROUNDUP(R604/20,0),"")</f>
        <v/>
      </c>
      <c r="AD604" s="9">
        <f>IF(ROUNDUP(S604/20,0)&gt;ROUNDUP(S603/20,0),"Lần " &amp; ROUNDUP(S604/20,0),"")</f>
        <v/>
      </c>
      <c r="AE604" s="9">
        <f>IF(ROUNDUP(T604/20,0)&gt;ROUNDUP(T603/20,0),"Lần " &amp; ROUNDUP(T604/20,0),"")</f>
        <v/>
      </c>
      <c r="AF604" s="9">
        <f>IF(ROUNDUP(U604/20,0)&gt;ROUNDUP(U603/20,0),"Lần " &amp; ROUNDUP(U604/20,0),"")</f>
        <v/>
      </c>
      <c r="AG604" s="9">
        <f>IF(ROUNDUP(V604/20,0)&gt;ROUNDUP(V603/20,0),"Lần " &amp; ROUNDUP(V604/20,0),"")</f>
        <v/>
      </c>
      <c r="AH604" s="9">
        <f>IF(ROUNDUP(W604/20,0)&gt;ROUNDUP(W603/20,0),"Lần " &amp; ROUNDUP(W604/20,0),"")</f>
        <v/>
      </c>
      <c r="AI604" s="9">
        <f>IF(ROUNDUP(X604/20,0)&gt;ROUNDUP(X603/20,0),"Lần " &amp; ROUNDUP(X604/20,0),"")</f>
        <v/>
      </c>
      <c r="AJ604" s="9">
        <f>IF(ROUNDUP(Y604/20,0)&gt;ROUNDUP(Y603/20,0),"Lần " &amp; ROUNDUP(Y604/20,0),"")</f>
        <v/>
      </c>
      <c r="AK604" s="9">
        <f>IF(ROUNDUP(Z604/20,0)&gt;ROUNDUP(Z603/20,0),"Lần " &amp; ROUNDUP(Z604/20,0),"")</f>
        <v/>
      </c>
      <c r="AL604" s="4" t="n"/>
      <c r="AN604" s="596" t="inlineStr">
        <is>
          <t>Than</t>
        </is>
      </c>
      <c r="AO604" s="596" t="n">
        <v>46</v>
      </c>
      <c r="AQ604" s="594" t="n"/>
      <c r="AR604" s="595" t="n"/>
    </row>
    <row r="605" ht="19" customHeight="1" s="672">
      <c r="A605" s="668" t="inlineStr">
        <is>
          <t>--- BẢN QUÁ ĐỘ MỐ M1 ---</t>
        </is>
      </c>
      <c r="B605" s="722" t="n"/>
      <c r="C605" s="722" t="n"/>
      <c r="D605" s="722" t="n"/>
      <c r="E605" s="722" t="n"/>
      <c r="F605" s="722" t="n"/>
      <c r="G605" s="722" t="n"/>
      <c r="H605" s="722" t="n"/>
      <c r="I605" s="722" t="n"/>
      <c r="J605" s="722" t="n"/>
      <c r="K605" s="722" t="n"/>
      <c r="L605" s="722" t="n"/>
      <c r="M605" s="722" t="n"/>
      <c r="N605" s="722" t="n"/>
      <c r="O605" s="722" t="n"/>
      <c r="P605" s="722" t="n"/>
      <c r="Q605" s="722" t="n"/>
      <c r="R605" s="722" t="n"/>
      <c r="S605" s="722" t="n"/>
      <c r="T605" s="722" t="n"/>
      <c r="U605" s="722" t="n"/>
      <c r="V605" s="722" t="n"/>
      <c r="W605" s="722" t="n"/>
      <c r="X605" s="722" t="n"/>
      <c r="Y605" s="722" t="n"/>
      <c r="Z605" s="722" t="n"/>
      <c r="AA605" s="722" t="n"/>
      <c r="AB605" s="722" t="n"/>
      <c r="AC605" s="722" t="n"/>
      <c r="AD605" s="722" t="n"/>
      <c r="AE605" s="722" t="n"/>
      <c r="AF605" s="722" t="n"/>
      <c r="AG605" s="722" t="n"/>
      <c r="AH605" s="722" t="n"/>
      <c r="AI605" s="722" t="n"/>
      <c r="AJ605" s="722" t="n"/>
      <c r="AK605" s="722" t="n"/>
      <c r="AL605" s="721" t="n"/>
      <c r="AQ605" s="594" t="n"/>
      <c r="AR605" s="595" t="n"/>
    </row>
    <row r="606" ht="19" customHeight="1" s="672">
      <c r="A606" s="4" t="n">
        <v>572</v>
      </c>
      <c r="B606" s="5" t="inlineStr">
        <is>
          <t>Bản quá độ Mố M1</t>
        </is>
      </c>
      <c r="C606" s="5" t="inlineStr">
        <is>
          <t>Bản quá độ tiếp giáp mố</t>
        </is>
      </c>
      <c r="D606" s="14" t="inlineStr">
        <is>
          <t>A1</t>
        </is>
      </c>
      <c r="E606" s="15" t="n">
        <v>16</v>
      </c>
      <c r="F606" s="4" t="inlineStr">
        <is>
          <t>CB400-V</t>
        </is>
      </c>
      <c r="G606" s="5" t="inlineStr">
        <is>
          <t>S06</t>
        </is>
      </c>
      <c r="H606" s="16" t="n">
        <v>6.332</v>
      </c>
      <c r="I606" s="17" t="n">
        <v>57</v>
      </c>
      <c r="J606" s="18" t="n">
        <v>1.578</v>
      </c>
      <c r="K606" s="7">
        <f>ROUND(H606*I606*J606, 2)</f>
        <v/>
      </c>
      <c r="L606" s="19">
        <f>ROUND(K606/1000, 3)</f>
        <v/>
      </c>
      <c r="M606" s="728">
        <f>IF(AO606="","",IF(N(INDEX(Theo_Doi_Tan_Suat_Be_Tong!$C:$C,AO606))&lt;=0,"",INDEX(Theo_Doi_Tan_Suat_Be_Tong!$C:$C,AO606)-VLOOKUP(AN606,$AQ$2:$AR$7,2,FALSE)))</f>
        <v/>
      </c>
      <c r="N606" s="4" t="n"/>
      <c r="O606" s="20">
        <f>IF(ROUNDUP(S606/20,0)&gt;ROUNDUP(S604/20,0),"TN Ø16 (Lần " &amp; ROUNDUP(S606/20,0) &amp; ")","")</f>
        <v/>
      </c>
      <c r="P606" s="16">
        <f>ROUND(P604+IF(AND(E606&lt;=10,F606&lt;&gt;"ASTM A416"),L606,0),3)</f>
        <v/>
      </c>
      <c r="Q606" s="16">
        <f>ROUND(Q604+IF(AND(E606=12,F606&lt;&gt;"ASTM A416"),L606,0),3)</f>
        <v/>
      </c>
      <c r="R606" s="16">
        <f>ROUND(R604+IF(AND(E606=14,F606&lt;&gt;"ASTM A416"),L606,0),3)</f>
        <v/>
      </c>
      <c r="S606" s="16">
        <f>ROUND(S604+IF(AND(E606=16,F606&lt;&gt;"ASTM A416"),L606,0),3)</f>
        <v/>
      </c>
      <c r="T606" s="16">
        <f>ROUND(T604+IF(AND(E606=18,F606&lt;&gt;"ASTM A416"),L606,0),3)</f>
        <v/>
      </c>
      <c r="U606" s="16">
        <f>ROUND(U604+IF(AND(E606=20,F606&lt;&gt;"ASTM A416"),L606,0),3)</f>
        <v/>
      </c>
      <c r="V606" s="16">
        <f>ROUND(V604+IF(AND(E606=22,F606&lt;&gt;"ASTM A416"),L606,0),3)</f>
        <v/>
      </c>
      <c r="W606" s="16">
        <f>ROUND(W604+IF(AND(E606=25,F606&lt;&gt;"ASTM A416"),L606,0),3)</f>
        <v/>
      </c>
      <c r="X606" s="16">
        <f>ROUND(X604+IF(AND(E606=28,F606&lt;&gt;"ASTM A416"),L606,0),3)</f>
        <v/>
      </c>
      <c r="Y606" s="16">
        <f>ROUND(Y604+IF(AND(E606=32,F606&lt;&gt;"ASTM A416"),L606,0),3)</f>
        <v/>
      </c>
      <c r="Z606" s="16">
        <f>ROUND(Z604+IF(F606="ASTM A416",L606,0),3)</f>
        <v/>
      </c>
      <c r="AA606" s="9">
        <f>IF(ROUNDUP(P606/20,0)&gt;ROUNDUP(P604/20,0),"Lần " &amp; ROUNDUP(P606/20,0),"")</f>
        <v/>
      </c>
      <c r="AB606" s="9">
        <f>IF(ROUNDUP(Q606/20,0)&gt;ROUNDUP(Q604/20,0),"Lần " &amp; ROUNDUP(Q606/20,0),"")</f>
        <v/>
      </c>
      <c r="AC606" s="9">
        <f>IF(ROUNDUP(R606/20,0)&gt;ROUNDUP(R604/20,0),"Lần " &amp; ROUNDUP(R606/20,0),"")</f>
        <v/>
      </c>
      <c r="AD606" s="9">
        <f>IF(ROUNDUP(S606/20,0)&gt;ROUNDUP(S604/20,0),"Lần " &amp; ROUNDUP(S606/20,0),"")</f>
        <v/>
      </c>
      <c r="AE606" s="9">
        <f>IF(ROUNDUP(T606/20,0)&gt;ROUNDUP(T604/20,0),"Lần " &amp; ROUNDUP(T606/20,0),"")</f>
        <v/>
      </c>
      <c r="AF606" s="9">
        <f>IF(ROUNDUP(U606/20,0)&gt;ROUNDUP(U604/20,0),"Lần " &amp; ROUNDUP(U606/20,0),"")</f>
        <v/>
      </c>
      <c r="AG606" s="9">
        <f>IF(ROUNDUP(V606/20,0)&gt;ROUNDUP(V604/20,0),"Lần " &amp; ROUNDUP(V606/20,0),"")</f>
        <v/>
      </c>
      <c r="AH606" s="9">
        <f>IF(ROUNDUP(W606/20,0)&gt;ROUNDUP(W604/20,0),"Lần " &amp; ROUNDUP(W606/20,0),"")</f>
        <v/>
      </c>
      <c r="AI606" s="9">
        <f>IF(ROUNDUP(X606/20,0)&gt;ROUNDUP(X604/20,0),"Lần " &amp; ROUNDUP(X606/20,0),"")</f>
        <v/>
      </c>
      <c r="AJ606" s="9">
        <f>IF(ROUNDUP(Y606/20,0)&gt;ROUNDUP(Y604/20,0),"Lần " &amp; ROUNDUP(Y606/20,0),"")</f>
        <v/>
      </c>
      <c r="AK606" s="9">
        <f>IF(ROUNDUP(Z606/20,0)&gt;ROUNDUP(Z604/20,0),"Lần " &amp; ROUNDUP(Z606/20,0),"")</f>
        <v/>
      </c>
      <c r="AL606" s="4" t="n"/>
      <c r="AN606" s="596" t="inlineStr">
        <is>
          <t>Than</t>
        </is>
      </c>
      <c r="AO606" s="596" t="n">
        <v>32</v>
      </c>
      <c r="AQ606" s="594" t="n"/>
      <c r="AR606" s="595" t="n"/>
    </row>
    <row r="607" ht="19" customHeight="1" s="672">
      <c r="A607" s="4" t="n">
        <v>573</v>
      </c>
      <c r="B607" s="5" t="inlineStr">
        <is>
          <t>Bản quá độ Mố M1</t>
        </is>
      </c>
      <c r="C607" s="5" t="inlineStr">
        <is>
          <t>Bản quá độ tiếp giáp mố</t>
        </is>
      </c>
      <c r="D607" s="14" t="inlineStr">
        <is>
          <t>A2</t>
        </is>
      </c>
      <c r="E607" s="15" t="n">
        <v>16</v>
      </c>
      <c r="F607" s="4" t="inlineStr">
        <is>
          <t>CB400-V</t>
        </is>
      </c>
      <c r="G607" s="5" t="inlineStr">
        <is>
          <t>S06</t>
        </is>
      </c>
      <c r="H607" s="16" t="n">
        <v>12.447</v>
      </c>
      <c r="I607" s="17" t="n">
        <v>30</v>
      </c>
      <c r="J607" s="18" t="n">
        <v>1.578</v>
      </c>
      <c r="K607" s="7">
        <f>ROUND(H607*I607*J607, 2)</f>
        <v/>
      </c>
      <c r="L607" s="19">
        <f>ROUND(K607/1000, 3)</f>
        <v/>
      </c>
      <c r="M607" s="728">
        <f>IF(AO607="","",IF(N(INDEX(Theo_Doi_Tan_Suat_Be_Tong!$C:$C,AO607))&lt;=0,"",INDEX(Theo_Doi_Tan_Suat_Be_Tong!$C:$C,AO607)-VLOOKUP(AN607,$AQ$2:$AR$7,2,FALSE)))</f>
        <v/>
      </c>
      <c r="N607" s="4" t="n"/>
      <c r="O607" s="20">
        <f>IF(ROUNDUP(S607/20,0)&gt;ROUNDUP(S606/20,0),"TN Ø16 (Lần " &amp; ROUNDUP(S607/20,0) &amp; ")","")</f>
        <v/>
      </c>
      <c r="P607" s="16">
        <f>ROUND(P606+IF(AND(E607&lt;=10,F607&lt;&gt;"ASTM A416"),L607,0),3)</f>
        <v/>
      </c>
      <c r="Q607" s="16">
        <f>ROUND(Q606+IF(AND(E607=12,F607&lt;&gt;"ASTM A416"),L607,0),3)</f>
        <v/>
      </c>
      <c r="R607" s="16">
        <f>ROUND(R606+IF(AND(E607=14,F607&lt;&gt;"ASTM A416"),L607,0),3)</f>
        <v/>
      </c>
      <c r="S607" s="16">
        <f>ROUND(S606+IF(AND(E607=16,F607&lt;&gt;"ASTM A416"),L607,0),3)</f>
        <v/>
      </c>
      <c r="T607" s="16">
        <f>ROUND(T606+IF(AND(E607=18,F607&lt;&gt;"ASTM A416"),L607,0),3)</f>
        <v/>
      </c>
      <c r="U607" s="16">
        <f>ROUND(U606+IF(AND(E607=20,F607&lt;&gt;"ASTM A416"),L607,0),3)</f>
        <v/>
      </c>
      <c r="V607" s="16">
        <f>ROUND(V606+IF(AND(E607=22,F607&lt;&gt;"ASTM A416"),L607,0),3)</f>
        <v/>
      </c>
      <c r="W607" s="16">
        <f>ROUND(W606+IF(AND(E607=25,F607&lt;&gt;"ASTM A416"),L607,0),3)</f>
        <v/>
      </c>
      <c r="X607" s="16">
        <f>ROUND(X606+IF(AND(E607=28,F607&lt;&gt;"ASTM A416"),L607,0),3)</f>
        <v/>
      </c>
      <c r="Y607" s="16">
        <f>ROUND(Y606+IF(AND(E607=32,F607&lt;&gt;"ASTM A416"),L607,0),3)</f>
        <v/>
      </c>
      <c r="Z607" s="16">
        <f>ROUND(Z606+IF(F607="ASTM A416",L607,0),3)</f>
        <v/>
      </c>
      <c r="AA607" s="9">
        <f>IF(ROUNDUP(P607/20,0)&gt;ROUNDUP(P606/20,0),"Lần " &amp; ROUNDUP(P607/20,0),"")</f>
        <v/>
      </c>
      <c r="AB607" s="9">
        <f>IF(ROUNDUP(Q607/20,0)&gt;ROUNDUP(Q606/20,0),"Lần " &amp; ROUNDUP(Q607/20,0),"")</f>
        <v/>
      </c>
      <c r="AC607" s="9">
        <f>IF(ROUNDUP(R607/20,0)&gt;ROUNDUP(R606/20,0),"Lần " &amp; ROUNDUP(R607/20,0),"")</f>
        <v/>
      </c>
      <c r="AD607" s="9">
        <f>IF(ROUNDUP(S607/20,0)&gt;ROUNDUP(S606/20,0),"Lần " &amp; ROUNDUP(S607/20,0),"")</f>
        <v/>
      </c>
      <c r="AE607" s="9">
        <f>IF(ROUNDUP(T607/20,0)&gt;ROUNDUP(T606/20,0),"Lần " &amp; ROUNDUP(T607/20,0),"")</f>
        <v/>
      </c>
      <c r="AF607" s="9">
        <f>IF(ROUNDUP(U607/20,0)&gt;ROUNDUP(U606/20,0),"Lần " &amp; ROUNDUP(U607/20,0),"")</f>
        <v/>
      </c>
      <c r="AG607" s="9">
        <f>IF(ROUNDUP(V607/20,0)&gt;ROUNDUP(V606/20,0),"Lần " &amp; ROUNDUP(V607/20,0),"")</f>
        <v/>
      </c>
      <c r="AH607" s="9">
        <f>IF(ROUNDUP(W607/20,0)&gt;ROUNDUP(W606/20,0),"Lần " &amp; ROUNDUP(W607/20,0),"")</f>
        <v/>
      </c>
      <c r="AI607" s="9">
        <f>IF(ROUNDUP(X607/20,0)&gt;ROUNDUP(X606/20,0),"Lần " &amp; ROUNDUP(X607/20,0),"")</f>
        <v/>
      </c>
      <c r="AJ607" s="9">
        <f>IF(ROUNDUP(Y607/20,0)&gt;ROUNDUP(Y606/20,0),"Lần " &amp; ROUNDUP(Y607/20,0),"")</f>
        <v/>
      </c>
      <c r="AK607" s="9">
        <f>IF(ROUNDUP(Z607/20,0)&gt;ROUNDUP(Z606/20,0),"Lần " &amp; ROUNDUP(Z607/20,0),"")</f>
        <v/>
      </c>
      <c r="AL607" s="4" t="n"/>
      <c r="AN607" s="596" t="inlineStr">
        <is>
          <t>Than</t>
        </is>
      </c>
      <c r="AO607" s="596" t="n">
        <v>32</v>
      </c>
      <c r="AQ607" s="594" t="n"/>
      <c r="AR607" s="595" t="n"/>
    </row>
    <row r="608" ht="19" customHeight="1" s="672">
      <c r="A608" s="4" t="n">
        <v>574</v>
      </c>
      <c r="B608" s="5" t="inlineStr">
        <is>
          <t>Bản quá độ Mố M1</t>
        </is>
      </c>
      <c r="C608" s="5" t="inlineStr">
        <is>
          <t>Bản quá độ tiếp giáp mố</t>
        </is>
      </c>
      <c r="D608" s="14" t="inlineStr">
        <is>
          <t>A3</t>
        </is>
      </c>
      <c r="E608" s="15" t="n">
        <v>20</v>
      </c>
      <c r="F608" s="4" t="inlineStr">
        <is>
          <t>CB400-V</t>
        </is>
      </c>
      <c r="G608" s="5" t="inlineStr">
        <is>
          <t>S06</t>
        </is>
      </c>
      <c r="H608" s="16" t="n">
        <v>6.3</v>
      </c>
      <c r="I608" s="17" t="n">
        <v>113</v>
      </c>
      <c r="J608" s="18" t="n">
        <v>2.466</v>
      </c>
      <c r="K608" s="7">
        <f>ROUND(H608*I608*J608, 2)</f>
        <v/>
      </c>
      <c r="L608" s="19">
        <f>ROUND(K608/1000, 3)</f>
        <v/>
      </c>
      <c r="M608" s="728">
        <f>IF(AO608="","",IF(N(INDEX(Theo_Doi_Tan_Suat_Be_Tong!$C:$C,AO608))&lt;=0,"",INDEX(Theo_Doi_Tan_Suat_Be_Tong!$C:$C,AO608)-VLOOKUP(AN608,$AQ$2:$AR$7,2,FALSE)))</f>
        <v/>
      </c>
      <c r="N608" s="4" t="n"/>
      <c r="O608" s="20">
        <f>IF(ROUNDUP(U608/20,0)&gt;ROUNDUP(U607/20,0),"TN Ø20 (Lần " &amp; ROUNDUP(U608/20,0) &amp; ")","")</f>
        <v/>
      </c>
      <c r="P608" s="16">
        <f>ROUND(P607+IF(AND(E608&lt;=10,F608&lt;&gt;"ASTM A416"),L608,0),3)</f>
        <v/>
      </c>
      <c r="Q608" s="16">
        <f>ROUND(Q607+IF(AND(E608=12,F608&lt;&gt;"ASTM A416"),L608,0),3)</f>
        <v/>
      </c>
      <c r="R608" s="16">
        <f>ROUND(R607+IF(AND(E608=14,F608&lt;&gt;"ASTM A416"),L608,0),3)</f>
        <v/>
      </c>
      <c r="S608" s="16">
        <f>ROUND(S607+IF(AND(E608=16,F608&lt;&gt;"ASTM A416"),L608,0),3)</f>
        <v/>
      </c>
      <c r="T608" s="16">
        <f>ROUND(T607+IF(AND(E608=18,F608&lt;&gt;"ASTM A416"),L608,0),3)</f>
        <v/>
      </c>
      <c r="U608" s="16">
        <f>ROUND(U607+IF(AND(E608=20,F608&lt;&gt;"ASTM A416"),L608,0),3)</f>
        <v/>
      </c>
      <c r="V608" s="16">
        <f>ROUND(V607+IF(AND(E608=22,F608&lt;&gt;"ASTM A416"),L608,0),3)</f>
        <v/>
      </c>
      <c r="W608" s="16">
        <f>ROUND(W607+IF(AND(E608=25,F608&lt;&gt;"ASTM A416"),L608,0),3)</f>
        <v/>
      </c>
      <c r="X608" s="16">
        <f>ROUND(X607+IF(AND(E608=28,F608&lt;&gt;"ASTM A416"),L608,0),3)</f>
        <v/>
      </c>
      <c r="Y608" s="16">
        <f>ROUND(Y607+IF(AND(E608=32,F608&lt;&gt;"ASTM A416"),L608,0),3)</f>
        <v/>
      </c>
      <c r="Z608" s="16">
        <f>ROUND(Z607+IF(F608="ASTM A416",L608,0),3)</f>
        <v/>
      </c>
      <c r="AA608" s="9">
        <f>IF(ROUNDUP(P608/20,0)&gt;ROUNDUP(P607/20,0),"Lần " &amp; ROUNDUP(P608/20,0),"")</f>
        <v/>
      </c>
      <c r="AB608" s="9">
        <f>IF(ROUNDUP(Q608/20,0)&gt;ROUNDUP(Q607/20,0),"Lần " &amp; ROUNDUP(Q608/20,0),"")</f>
        <v/>
      </c>
      <c r="AC608" s="9">
        <f>IF(ROUNDUP(R608/20,0)&gt;ROUNDUP(R607/20,0),"Lần " &amp; ROUNDUP(R608/20,0),"")</f>
        <v/>
      </c>
      <c r="AD608" s="9">
        <f>IF(ROUNDUP(S608/20,0)&gt;ROUNDUP(S607/20,0),"Lần " &amp; ROUNDUP(S608/20,0),"")</f>
        <v/>
      </c>
      <c r="AE608" s="9">
        <f>IF(ROUNDUP(T608/20,0)&gt;ROUNDUP(T607/20,0),"Lần " &amp; ROUNDUP(T608/20,0),"")</f>
        <v/>
      </c>
      <c r="AF608" s="9">
        <f>IF(ROUNDUP(U608/20,0)&gt;ROUNDUP(U607/20,0),"Lần " &amp; ROUNDUP(U608/20,0),"")</f>
        <v/>
      </c>
      <c r="AG608" s="9">
        <f>IF(ROUNDUP(V608/20,0)&gt;ROUNDUP(V607/20,0),"Lần " &amp; ROUNDUP(V608/20,0),"")</f>
        <v/>
      </c>
      <c r="AH608" s="9">
        <f>IF(ROUNDUP(W608/20,0)&gt;ROUNDUP(W607/20,0),"Lần " &amp; ROUNDUP(W608/20,0),"")</f>
        <v/>
      </c>
      <c r="AI608" s="9">
        <f>IF(ROUNDUP(X608/20,0)&gt;ROUNDUP(X607/20,0),"Lần " &amp; ROUNDUP(X608/20,0),"")</f>
        <v/>
      </c>
      <c r="AJ608" s="9">
        <f>IF(ROUNDUP(Y608/20,0)&gt;ROUNDUP(Y607/20,0),"Lần " &amp; ROUNDUP(Y608/20,0),"")</f>
        <v/>
      </c>
      <c r="AK608" s="9">
        <f>IF(ROUNDUP(Z608/20,0)&gt;ROUNDUP(Z607/20,0),"Lần " &amp; ROUNDUP(Z608/20,0),"")</f>
        <v/>
      </c>
      <c r="AL608" s="4" t="n"/>
      <c r="AN608" s="596" t="inlineStr">
        <is>
          <t>Than</t>
        </is>
      </c>
      <c r="AO608" s="596" t="n">
        <v>32</v>
      </c>
      <c r="AQ608" s="594" t="n"/>
      <c r="AR608" s="595" t="n"/>
    </row>
    <row r="609" ht="19" customHeight="1" s="672">
      <c r="A609" s="4" t="n">
        <v>575</v>
      </c>
      <c r="B609" s="5" t="inlineStr">
        <is>
          <t>Bản quá độ Mố M1</t>
        </is>
      </c>
      <c r="C609" s="5" t="inlineStr">
        <is>
          <t>Bản quá độ tiếp giáp mố</t>
        </is>
      </c>
      <c r="D609" s="14" t="inlineStr">
        <is>
          <t>A4</t>
        </is>
      </c>
      <c r="E609" s="15" t="n">
        <v>16</v>
      </c>
      <c r="F609" s="4" t="inlineStr">
        <is>
          <t>CB400-V</t>
        </is>
      </c>
      <c r="G609" s="5" t="inlineStr">
        <is>
          <t>S06</t>
        </is>
      </c>
      <c r="H609" s="16" t="n">
        <v>12.447</v>
      </c>
      <c r="I609" s="17" t="n">
        <v>30</v>
      </c>
      <c r="J609" s="18" t="n">
        <v>1.578</v>
      </c>
      <c r="K609" s="7">
        <f>ROUND(H609*I609*J609, 2)</f>
        <v/>
      </c>
      <c r="L609" s="19">
        <f>ROUND(K609/1000, 3)</f>
        <v/>
      </c>
      <c r="M609" s="728">
        <f>IF(AO609="","",IF(N(INDEX(Theo_Doi_Tan_Suat_Be_Tong!$C:$C,AO609))&lt;=0,"",INDEX(Theo_Doi_Tan_Suat_Be_Tong!$C:$C,AO609)-VLOOKUP(AN609,$AQ$2:$AR$7,2,FALSE)))</f>
        <v/>
      </c>
      <c r="N609" s="4" t="n"/>
      <c r="O609" s="20">
        <f>IF(ROUNDUP(S609/20,0)&gt;ROUNDUP(S608/20,0),"TN Ø16 (Lần " &amp; ROUNDUP(S609/20,0) &amp; ")","")</f>
        <v/>
      </c>
      <c r="P609" s="16">
        <f>ROUND(P608+IF(AND(E609&lt;=10,F609&lt;&gt;"ASTM A416"),L609,0),3)</f>
        <v/>
      </c>
      <c r="Q609" s="16">
        <f>ROUND(Q608+IF(AND(E609=12,F609&lt;&gt;"ASTM A416"),L609,0),3)</f>
        <v/>
      </c>
      <c r="R609" s="16">
        <f>ROUND(R608+IF(AND(E609=14,F609&lt;&gt;"ASTM A416"),L609,0),3)</f>
        <v/>
      </c>
      <c r="S609" s="16">
        <f>ROUND(S608+IF(AND(E609=16,F609&lt;&gt;"ASTM A416"),L609,0),3)</f>
        <v/>
      </c>
      <c r="T609" s="16">
        <f>ROUND(T608+IF(AND(E609=18,F609&lt;&gt;"ASTM A416"),L609,0),3)</f>
        <v/>
      </c>
      <c r="U609" s="16">
        <f>ROUND(U608+IF(AND(E609=20,F609&lt;&gt;"ASTM A416"),L609,0),3)</f>
        <v/>
      </c>
      <c r="V609" s="16">
        <f>ROUND(V608+IF(AND(E609=22,F609&lt;&gt;"ASTM A416"),L609,0),3)</f>
        <v/>
      </c>
      <c r="W609" s="16">
        <f>ROUND(W608+IF(AND(E609=25,F609&lt;&gt;"ASTM A416"),L609,0),3)</f>
        <v/>
      </c>
      <c r="X609" s="16">
        <f>ROUND(X608+IF(AND(E609=28,F609&lt;&gt;"ASTM A416"),L609,0),3)</f>
        <v/>
      </c>
      <c r="Y609" s="16">
        <f>ROUND(Y608+IF(AND(E609=32,F609&lt;&gt;"ASTM A416"),L609,0),3)</f>
        <v/>
      </c>
      <c r="Z609" s="16">
        <f>ROUND(Z608+IF(F609="ASTM A416",L609,0),3)</f>
        <v/>
      </c>
      <c r="AA609" s="9">
        <f>IF(ROUNDUP(P609/20,0)&gt;ROUNDUP(P608/20,0),"Lần " &amp; ROUNDUP(P609/20,0),"")</f>
        <v/>
      </c>
      <c r="AB609" s="9">
        <f>IF(ROUNDUP(Q609/20,0)&gt;ROUNDUP(Q608/20,0),"Lần " &amp; ROUNDUP(Q609/20,0),"")</f>
        <v/>
      </c>
      <c r="AC609" s="9">
        <f>IF(ROUNDUP(R609/20,0)&gt;ROUNDUP(R608/20,0),"Lần " &amp; ROUNDUP(R609/20,0),"")</f>
        <v/>
      </c>
      <c r="AD609" s="9">
        <f>IF(ROUNDUP(S609/20,0)&gt;ROUNDUP(S608/20,0),"Lần " &amp; ROUNDUP(S609/20,0),"")</f>
        <v/>
      </c>
      <c r="AE609" s="9">
        <f>IF(ROUNDUP(T609/20,0)&gt;ROUNDUP(T608/20,0),"Lần " &amp; ROUNDUP(T609/20,0),"")</f>
        <v/>
      </c>
      <c r="AF609" s="9">
        <f>IF(ROUNDUP(U609/20,0)&gt;ROUNDUP(U608/20,0),"Lần " &amp; ROUNDUP(U609/20,0),"")</f>
        <v/>
      </c>
      <c r="AG609" s="9">
        <f>IF(ROUNDUP(V609/20,0)&gt;ROUNDUP(V608/20,0),"Lần " &amp; ROUNDUP(V609/20,0),"")</f>
        <v/>
      </c>
      <c r="AH609" s="9">
        <f>IF(ROUNDUP(W609/20,0)&gt;ROUNDUP(W608/20,0),"Lần " &amp; ROUNDUP(W609/20,0),"")</f>
        <v/>
      </c>
      <c r="AI609" s="9">
        <f>IF(ROUNDUP(X609/20,0)&gt;ROUNDUP(X608/20,0),"Lần " &amp; ROUNDUP(X609/20,0),"")</f>
        <v/>
      </c>
      <c r="AJ609" s="9">
        <f>IF(ROUNDUP(Y609/20,0)&gt;ROUNDUP(Y608/20,0),"Lần " &amp; ROUNDUP(Y609/20,0),"")</f>
        <v/>
      </c>
      <c r="AK609" s="9">
        <f>IF(ROUNDUP(Z609/20,0)&gt;ROUNDUP(Z608/20,0),"Lần " &amp; ROUNDUP(Z609/20,0),"")</f>
        <v/>
      </c>
      <c r="AL609" s="4" t="n"/>
      <c r="AN609" s="596" t="inlineStr">
        <is>
          <t>Than</t>
        </is>
      </c>
      <c r="AO609" s="596" t="n">
        <v>32</v>
      </c>
      <c r="AQ609" s="594" t="n"/>
      <c r="AR609" s="595" t="n"/>
    </row>
    <row r="610" ht="19" customHeight="1" s="672">
      <c r="A610" s="4" t="n">
        <v>576</v>
      </c>
      <c r="B610" s="5" t="inlineStr">
        <is>
          <t>Bản quá độ Mố M1</t>
        </is>
      </c>
      <c r="C610" s="5" t="inlineStr">
        <is>
          <t>Bản quá độ tiếp giáp mố</t>
        </is>
      </c>
      <c r="D610" s="14" t="inlineStr">
        <is>
          <t>A5</t>
        </is>
      </c>
      <c r="E610" s="15" t="n">
        <v>18</v>
      </c>
      <c r="F610" s="4" t="inlineStr">
        <is>
          <t>CB400-V</t>
        </is>
      </c>
      <c r="G610" s="5" t="inlineStr">
        <is>
          <t>S29</t>
        </is>
      </c>
      <c r="H610" s="16" t="n">
        <v>1.629</v>
      </c>
      <c r="I610" s="17" t="n">
        <v>113</v>
      </c>
      <c r="J610" s="18" t="n">
        <v>1.998</v>
      </c>
      <c r="K610" s="7">
        <f>ROUND(H610*I610*J610, 2)</f>
        <v/>
      </c>
      <c r="L610" s="19">
        <f>ROUND(K610/1000, 3)</f>
        <v/>
      </c>
      <c r="M610" s="728">
        <f>IF(AO610="","",IF(N(INDEX(Theo_Doi_Tan_Suat_Be_Tong!$C:$C,AO610))&lt;=0,"",INDEX(Theo_Doi_Tan_Suat_Be_Tong!$C:$C,AO610)-VLOOKUP(AN610,$AQ$2:$AR$7,2,FALSE)))</f>
        <v/>
      </c>
      <c r="N610" s="4" t="n"/>
      <c r="O610" s="20">
        <f>IF(ROUNDUP(T610/20,0)&gt;ROUNDUP(T609/20,0),"TN Ø18 (Lần " &amp; ROUNDUP(T610/20,0) &amp; ")","")</f>
        <v/>
      </c>
      <c r="P610" s="16">
        <f>ROUND(P609+IF(AND(E610&lt;=10,F610&lt;&gt;"ASTM A416"),L610,0),3)</f>
        <v/>
      </c>
      <c r="Q610" s="16">
        <f>ROUND(Q609+IF(AND(E610=12,F610&lt;&gt;"ASTM A416"),L610,0),3)</f>
        <v/>
      </c>
      <c r="R610" s="16">
        <f>ROUND(R609+IF(AND(E610=14,F610&lt;&gt;"ASTM A416"),L610,0),3)</f>
        <v/>
      </c>
      <c r="S610" s="16">
        <f>ROUND(S609+IF(AND(E610=16,F610&lt;&gt;"ASTM A416"),L610,0),3)</f>
        <v/>
      </c>
      <c r="T610" s="16">
        <f>ROUND(T609+IF(AND(E610=18,F610&lt;&gt;"ASTM A416"),L610,0),3)</f>
        <v/>
      </c>
      <c r="U610" s="16">
        <f>ROUND(U609+IF(AND(E610=20,F610&lt;&gt;"ASTM A416"),L610,0),3)</f>
        <v/>
      </c>
      <c r="V610" s="16">
        <f>ROUND(V609+IF(AND(E610=22,F610&lt;&gt;"ASTM A416"),L610,0),3)</f>
        <v/>
      </c>
      <c r="W610" s="16">
        <f>ROUND(W609+IF(AND(E610=25,F610&lt;&gt;"ASTM A416"),L610,0),3)</f>
        <v/>
      </c>
      <c r="X610" s="16">
        <f>ROUND(X609+IF(AND(E610=28,F610&lt;&gt;"ASTM A416"),L610,0),3)</f>
        <v/>
      </c>
      <c r="Y610" s="16">
        <f>ROUND(Y609+IF(AND(E610=32,F610&lt;&gt;"ASTM A416"),L610,0),3)</f>
        <v/>
      </c>
      <c r="Z610" s="16">
        <f>ROUND(Z609+IF(F610="ASTM A416",L610,0),3)</f>
        <v/>
      </c>
      <c r="AA610" s="9">
        <f>IF(ROUNDUP(P610/20,0)&gt;ROUNDUP(P609/20,0),"Lần " &amp; ROUNDUP(P610/20,0),"")</f>
        <v/>
      </c>
      <c r="AB610" s="9">
        <f>IF(ROUNDUP(Q610/20,0)&gt;ROUNDUP(Q609/20,0),"Lần " &amp; ROUNDUP(Q610/20,0),"")</f>
        <v/>
      </c>
      <c r="AC610" s="9">
        <f>IF(ROUNDUP(R610/20,0)&gt;ROUNDUP(R609/20,0),"Lần " &amp; ROUNDUP(R610/20,0),"")</f>
        <v/>
      </c>
      <c r="AD610" s="9">
        <f>IF(ROUNDUP(S610/20,0)&gt;ROUNDUP(S609/20,0),"Lần " &amp; ROUNDUP(S610/20,0),"")</f>
        <v/>
      </c>
      <c r="AE610" s="9">
        <f>IF(ROUNDUP(T610/20,0)&gt;ROUNDUP(T609/20,0),"Lần " &amp; ROUNDUP(T610/20,0),"")</f>
        <v/>
      </c>
      <c r="AF610" s="9">
        <f>IF(ROUNDUP(U610/20,0)&gt;ROUNDUP(U609/20,0),"Lần " &amp; ROUNDUP(U610/20,0),"")</f>
        <v/>
      </c>
      <c r="AG610" s="9">
        <f>IF(ROUNDUP(V610/20,0)&gt;ROUNDUP(V609/20,0),"Lần " &amp; ROUNDUP(V610/20,0),"")</f>
        <v/>
      </c>
      <c r="AH610" s="9">
        <f>IF(ROUNDUP(W610/20,0)&gt;ROUNDUP(W609/20,0),"Lần " &amp; ROUNDUP(W610/20,0),"")</f>
        <v/>
      </c>
      <c r="AI610" s="9">
        <f>IF(ROUNDUP(X610/20,0)&gt;ROUNDUP(X609/20,0),"Lần " &amp; ROUNDUP(X610/20,0),"")</f>
        <v/>
      </c>
      <c r="AJ610" s="9">
        <f>IF(ROUNDUP(Y610/20,0)&gt;ROUNDUP(Y609/20,0),"Lần " &amp; ROUNDUP(Y610/20,0),"")</f>
        <v/>
      </c>
      <c r="AK610" s="9">
        <f>IF(ROUNDUP(Z610/20,0)&gt;ROUNDUP(Z609/20,0),"Lần " &amp; ROUNDUP(Z610/20,0),"")</f>
        <v/>
      </c>
      <c r="AL610" s="4" t="n"/>
      <c r="AN610" s="596" t="inlineStr">
        <is>
          <t>Than</t>
        </is>
      </c>
      <c r="AO610" s="596" t="n">
        <v>32</v>
      </c>
      <c r="AQ610" s="594" t="n"/>
      <c r="AR610" s="595" t="n"/>
    </row>
    <row r="611" ht="19" customHeight="1" s="672">
      <c r="A611" s="4" t="n">
        <v>577</v>
      </c>
      <c r="B611" s="5" t="inlineStr">
        <is>
          <t>Bản quá độ Mố M1</t>
        </is>
      </c>
      <c r="C611" s="5" t="inlineStr">
        <is>
          <t>Bản quá độ tiếp giáp mố</t>
        </is>
      </c>
      <c r="D611" s="14" t="inlineStr">
        <is>
          <t>A6</t>
        </is>
      </c>
      <c r="E611" s="15" t="n">
        <v>12</v>
      </c>
      <c r="F611" s="4" t="inlineStr">
        <is>
          <t>CB400-V</t>
        </is>
      </c>
      <c r="G611" s="5" t="inlineStr">
        <is>
          <t>S06</t>
        </is>
      </c>
      <c r="H611" s="16" t="n">
        <v>0.396</v>
      </c>
      <c r="I611" s="17" t="n">
        <v>222</v>
      </c>
      <c r="J611" s="18" t="n">
        <v>0.888</v>
      </c>
      <c r="K611" s="7">
        <f>ROUND(H611*I611*J611, 2)</f>
        <v/>
      </c>
      <c r="L611" s="19">
        <f>ROUND(K611/1000, 3)</f>
        <v/>
      </c>
      <c r="M611" s="728">
        <f>IF(AO611="","",IF(N(INDEX(Theo_Doi_Tan_Suat_Be_Tong!$C:$C,AO611))&lt;=0,"",INDEX(Theo_Doi_Tan_Suat_Be_Tong!$C:$C,AO611)-VLOOKUP(AN611,$AQ$2:$AR$7,2,FALSE)))</f>
        <v/>
      </c>
      <c r="N611" s="4" t="n"/>
      <c r="O611" s="20">
        <f>IF(ROUNDUP(Q611/20,0)&gt;ROUNDUP(Q610/20,0),"TN Ø12 (Lần " &amp; ROUNDUP(Q611/20,0) &amp; ")","")</f>
        <v/>
      </c>
      <c r="P611" s="16">
        <f>ROUND(P610+IF(AND(E611&lt;=10,F611&lt;&gt;"ASTM A416"),L611,0),3)</f>
        <v/>
      </c>
      <c r="Q611" s="16">
        <f>ROUND(Q610+IF(AND(E611=12,F611&lt;&gt;"ASTM A416"),L611,0),3)</f>
        <v/>
      </c>
      <c r="R611" s="16">
        <f>ROUND(R610+IF(AND(E611=14,F611&lt;&gt;"ASTM A416"),L611,0),3)</f>
        <v/>
      </c>
      <c r="S611" s="16">
        <f>ROUND(S610+IF(AND(E611=16,F611&lt;&gt;"ASTM A416"),L611,0),3)</f>
        <v/>
      </c>
      <c r="T611" s="16">
        <f>ROUND(T610+IF(AND(E611=18,F611&lt;&gt;"ASTM A416"),L611,0),3)</f>
        <v/>
      </c>
      <c r="U611" s="16">
        <f>ROUND(U610+IF(AND(E611=20,F611&lt;&gt;"ASTM A416"),L611,0),3)</f>
        <v/>
      </c>
      <c r="V611" s="16">
        <f>ROUND(V610+IF(AND(E611=22,F611&lt;&gt;"ASTM A416"),L611,0),3)</f>
        <v/>
      </c>
      <c r="W611" s="16">
        <f>ROUND(W610+IF(AND(E611=25,F611&lt;&gt;"ASTM A416"),L611,0),3)</f>
        <v/>
      </c>
      <c r="X611" s="16">
        <f>ROUND(X610+IF(AND(E611=28,F611&lt;&gt;"ASTM A416"),L611,0),3)</f>
        <v/>
      </c>
      <c r="Y611" s="16">
        <f>ROUND(Y610+IF(AND(E611=32,F611&lt;&gt;"ASTM A416"),L611,0),3)</f>
        <v/>
      </c>
      <c r="Z611" s="16">
        <f>ROUND(Z610+IF(F611="ASTM A416",L611,0),3)</f>
        <v/>
      </c>
      <c r="AA611" s="9">
        <f>IF(ROUNDUP(P611/20,0)&gt;ROUNDUP(P610/20,0),"Lần " &amp; ROUNDUP(P611/20,0),"")</f>
        <v/>
      </c>
      <c r="AB611" s="9">
        <f>IF(ROUNDUP(Q611/20,0)&gt;ROUNDUP(Q610/20,0),"Lần " &amp; ROUNDUP(Q611/20,0),"")</f>
        <v/>
      </c>
      <c r="AC611" s="9">
        <f>IF(ROUNDUP(R611/20,0)&gt;ROUNDUP(R610/20,0),"Lần " &amp; ROUNDUP(R611/20,0),"")</f>
        <v/>
      </c>
      <c r="AD611" s="9">
        <f>IF(ROUNDUP(S611/20,0)&gt;ROUNDUP(S610/20,0),"Lần " &amp; ROUNDUP(S611/20,0),"")</f>
        <v/>
      </c>
      <c r="AE611" s="9">
        <f>IF(ROUNDUP(T611/20,0)&gt;ROUNDUP(T610/20,0),"Lần " &amp; ROUNDUP(T611/20,0),"")</f>
        <v/>
      </c>
      <c r="AF611" s="9">
        <f>IF(ROUNDUP(U611/20,0)&gt;ROUNDUP(U610/20,0),"Lần " &amp; ROUNDUP(U611/20,0),"")</f>
        <v/>
      </c>
      <c r="AG611" s="9">
        <f>IF(ROUNDUP(V611/20,0)&gt;ROUNDUP(V610/20,0),"Lần " &amp; ROUNDUP(V611/20,0),"")</f>
        <v/>
      </c>
      <c r="AH611" s="9">
        <f>IF(ROUNDUP(W611/20,0)&gt;ROUNDUP(W610/20,0),"Lần " &amp; ROUNDUP(W611/20,0),"")</f>
        <v/>
      </c>
      <c r="AI611" s="9">
        <f>IF(ROUNDUP(X611/20,0)&gt;ROUNDUP(X610/20,0),"Lần " &amp; ROUNDUP(X611/20,0),"")</f>
        <v/>
      </c>
      <c r="AJ611" s="9">
        <f>IF(ROUNDUP(Y611/20,0)&gt;ROUNDUP(Y610/20,0),"Lần " &amp; ROUNDUP(Y611/20,0),"")</f>
        <v/>
      </c>
      <c r="AK611" s="9">
        <f>IF(ROUNDUP(Z611/20,0)&gt;ROUNDUP(Z610/20,0),"Lần " &amp; ROUNDUP(Z611/20,0),"")</f>
        <v/>
      </c>
      <c r="AL611" s="4" t="n"/>
      <c r="AN611" s="596" t="inlineStr">
        <is>
          <t>Than</t>
        </is>
      </c>
      <c r="AO611" s="596" t="n">
        <v>32</v>
      </c>
      <c r="AQ611" s="594" t="n"/>
      <c r="AR611" s="595" t="n"/>
    </row>
    <row r="612" ht="19" customHeight="1" s="672">
      <c r="A612" s="4" t="n">
        <v>578</v>
      </c>
      <c r="B612" s="5" t="inlineStr">
        <is>
          <t>Bản quá độ Mố M1</t>
        </is>
      </c>
      <c r="C612" s="5" t="inlineStr">
        <is>
          <t>Bản quá độ tiếp giáp mố</t>
        </is>
      </c>
      <c r="D612" s="14" t="inlineStr">
        <is>
          <t>A7</t>
        </is>
      </c>
      <c r="E612" s="15" t="n">
        <v>10</v>
      </c>
      <c r="F612" s="4" t="inlineStr">
        <is>
          <t>CB240-T</t>
        </is>
      </c>
      <c r="G612" s="5" t="inlineStr">
        <is>
          <t>S32</t>
        </is>
      </c>
      <c r="H612" s="16" t="n">
        <v>0.676</v>
      </c>
      <c r="I612" s="17" t="n">
        <v>23</v>
      </c>
      <c r="J612" s="18" t="n">
        <v>0.617</v>
      </c>
      <c r="K612" s="7">
        <f>ROUND(H612*I612*J612, 2)</f>
        <v/>
      </c>
      <c r="L612" s="19">
        <f>ROUND(K612/1000, 3)</f>
        <v/>
      </c>
      <c r="M612" s="728">
        <f>IF(AO612="","",IF(N(INDEX(Theo_Doi_Tan_Suat_Be_Tong!$C:$C,AO612))&lt;=0,"",INDEX(Theo_Doi_Tan_Suat_Be_Tong!$C:$C,AO612)-VLOOKUP(AN612,$AQ$2:$AR$7,2,FALSE)))</f>
        <v/>
      </c>
      <c r="N612" s="4" t="n"/>
      <c r="O612" s="20">
        <f>IF(ROUNDUP(P612/20,0)&gt;ROUNDUP(P611/20,0),"TN Ø10 (Lần " &amp; ROUNDUP(P612/20,0) &amp; ")","")</f>
        <v/>
      </c>
      <c r="P612" s="16">
        <f>ROUND(P611+IF(AND(E612&lt;=10,F612&lt;&gt;"ASTM A416"),L612,0),3)</f>
        <v/>
      </c>
      <c r="Q612" s="16">
        <f>ROUND(Q611+IF(AND(E612=12,F612&lt;&gt;"ASTM A416"),L612,0),3)</f>
        <v/>
      </c>
      <c r="R612" s="16">
        <f>ROUND(R611+IF(AND(E612=14,F612&lt;&gt;"ASTM A416"),L612,0),3)</f>
        <v/>
      </c>
      <c r="S612" s="16">
        <f>ROUND(S611+IF(AND(E612=16,F612&lt;&gt;"ASTM A416"),L612,0),3)</f>
        <v/>
      </c>
      <c r="T612" s="16">
        <f>ROUND(T611+IF(AND(E612=18,F612&lt;&gt;"ASTM A416"),L612,0),3)</f>
        <v/>
      </c>
      <c r="U612" s="16">
        <f>ROUND(U611+IF(AND(E612=20,F612&lt;&gt;"ASTM A416"),L612,0),3)</f>
        <v/>
      </c>
      <c r="V612" s="16">
        <f>ROUND(V611+IF(AND(E612=22,F612&lt;&gt;"ASTM A416"),L612,0),3)</f>
        <v/>
      </c>
      <c r="W612" s="16">
        <f>ROUND(W611+IF(AND(E612=25,F612&lt;&gt;"ASTM A416"),L612,0),3)</f>
        <v/>
      </c>
      <c r="X612" s="16">
        <f>ROUND(X611+IF(AND(E612=28,F612&lt;&gt;"ASTM A416"),L612,0),3)</f>
        <v/>
      </c>
      <c r="Y612" s="16">
        <f>ROUND(Y611+IF(AND(E612=32,F612&lt;&gt;"ASTM A416"),L612,0),3)</f>
        <v/>
      </c>
      <c r="Z612" s="16">
        <f>ROUND(Z611+IF(F612="ASTM A416",L612,0),3)</f>
        <v/>
      </c>
      <c r="AA612" s="9">
        <f>IF(ROUNDUP(P612/20,0)&gt;ROUNDUP(P611/20,0),"Lần " &amp; ROUNDUP(P612/20,0),"")</f>
        <v/>
      </c>
      <c r="AB612" s="9">
        <f>IF(ROUNDUP(Q612/20,0)&gt;ROUNDUP(Q611/20,0),"Lần " &amp; ROUNDUP(Q612/20,0),"")</f>
        <v/>
      </c>
      <c r="AC612" s="9">
        <f>IF(ROUNDUP(R612/20,0)&gt;ROUNDUP(R611/20,0),"Lần " &amp; ROUNDUP(R612/20,0),"")</f>
        <v/>
      </c>
      <c r="AD612" s="9">
        <f>IF(ROUNDUP(S612/20,0)&gt;ROUNDUP(S611/20,0),"Lần " &amp; ROUNDUP(S612/20,0),"")</f>
        <v/>
      </c>
      <c r="AE612" s="9">
        <f>IF(ROUNDUP(T612/20,0)&gt;ROUNDUP(T611/20,0),"Lần " &amp; ROUNDUP(T612/20,0),"")</f>
        <v/>
      </c>
      <c r="AF612" s="9">
        <f>IF(ROUNDUP(U612/20,0)&gt;ROUNDUP(U611/20,0),"Lần " &amp; ROUNDUP(U612/20,0),"")</f>
        <v/>
      </c>
      <c r="AG612" s="9">
        <f>IF(ROUNDUP(V612/20,0)&gt;ROUNDUP(V611/20,0),"Lần " &amp; ROUNDUP(V612/20,0),"")</f>
        <v/>
      </c>
      <c r="AH612" s="9">
        <f>IF(ROUNDUP(W612/20,0)&gt;ROUNDUP(W611/20,0),"Lần " &amp; ROUNDUP(W612/20,0),"")</f>
        <v/>
      </c>
      <c r="AI612" s="9">
        <f>IF(ROUNDUP(X612/20,0)&gt;ROUNDUP(X611/20,0),"Lần " &amp; ROUNDUP(X612/20,0),"")</f>
        <v/>
      </c>
      <c r="AJ612" s="9">
        <f>IF(ROUNDUP(Y612/20,0)&gt;ROUNDUP(Y611/20,0),"Lần " &amp; ROUNDUP(Y612/20,0),"")</f>
        <v/>
      </c>
      <c r="AK612" s="9">
        <f>IF(ROUNDUP(Z612/20,0)&gt;ROUNDUP(Z611/20,0),"Lần " &amp; ROUNDUP(Z612/20,0),"")</f>
        <v/>
      </c>
      <c r="AL612" s="4" t="n"/>
      <c r="AN612" s="596" t="inlineStr">
        <is>
          <t>Than</t>
        </is>
      </c>
      <c r="AO612" s="596" t="n">
        <v>32</v>
      </c>
      <c r="AQ612" s="594" t="n"/>
      <c r="AR612" s="595" t="n"/>
    </row>
    <row r="613" ht="19" customHeight="1" s="672">
      <c r="A613" s="668" t="inlineStr">
        <is>
          <t>--- BẢN QUÁ ĐỘ MỐ M2 ---</t>
        </is>
      </c>
      <c r="B613" s="722" t="n"/>
      <c r="C613" s="722" t="n"/>
      <c r="D613" s="722" t="n"/>
      <c r="E613" s="722" t="n"/>
      <c r="F613" s="722" t="n"/>
      <c r="G613" s="722" t="n"/>
      <c r="H613" s="722" t="n"/>
      <c r="I613" s="722" t="n"/>
      <c r="J613" s="722" t="n"/>
      <c r="K613" s="722" t="n"/>
      <c r="L613" s="722" t="n"/>
      <c r="M613" s="722" t="n"/>
      <c r="N613" s="722" t="n"/>
      <c r="O613" s="722" t="n"/>
      <c r="P613" s="722" t="n"/>
      <c r="Q613" s="722" t="n"/>
      <c r="R613" s="722" t="n"/>
      <c r="S613" s="722" t="n"/>
      <c r="T613" s="722" t="n"/>
      <c r="U613" s="722" t="n"/>
      <c r="V613" s="722" t="n"/>
      <c r="W613" s="722" t="n"/>
      <c r="X613" s="722" t="n"/>
      <c r="Y613" s="722" t="n"/>
      <c r="Z613" s="722" t="n"/>
      <c r="AA613" s="722" t="n"/>
      <c r="AB613" s="722" t="n"/>
      <c r="AC613" s="722" t="n"/>
      <c r="AD613" s="722" t="n"/>
      <c r="AE613" s="722" t="n"/>
      <c r="AF613" s="722" t="n"/>
      <c r="AG613" s="722" t="n"/>
      <c r="AH613" s="722" t="n"/>
      <c r="AI613" s="722" t="n"/>
      <c r="AJ613" s="722" t="n"/>
      <c r="AK613" s="722" t="n"/>
      <c r="AL613" s="721" t="n"/>
      <c r="AQ613" s="594" t="n"/>
      <c r="AR613" s="595" t="n"/>
    </row>
    <row r="614" ht="19" customHeight="1" s="672">
      <c r="A614" s="4" t="n">
        <v>579</v>
      </c>
      <c r="B614" s="5" t="inlineStr">
        <is>
          <t>Bản quá độ Mố M2</t>
        </is>
      </c>
      <c r="C614" s="5" t="inlineStr">
        <is>
          <t>Bản quá độ tiếp giáp mố</t>
        </is>
      </c>
      <c r="D614" s="14" t="inlineStr">
        <is>
          <t>A1</t>
        </is>
      </c>
      <c r="E614" s="15" t="n">
        <v>16</v>
      </c>
      <c r="F614" s="4" t="inlineStr">
        <is>
          <t>CB400-V</t>
        </is>
      </c>
      <c r="G614" s="5" t="inlineStr">
        <is>
          <t>S06</t>
        </is>
      </c>
      <c r="H614" s="16" t="n">
        <v>8.332000000000001</v>
      </c>
      <c r="I614" s="17" t="n">
        <v>57</v>
      </c>
      <c r="J614" s="18" t="n">
        <v>1.578</v>
      </c>
      <c r="K614" s="7">
        <f>ROUND(H614*I614*J614, 2)</f>
        <v/>
      </c>
      <c r="L614" s="19">
        <f>ROUND(K614/1000, 3)</f>
        <v/>
      </c>
      <c r="M614" s="728">
        <f>IF(AO614="","",IF(N(INDEX(Theo_Doi_Tan_Suat_Be_Tong!$C:$C,AO614))&lt;=0,"",INDEX(Theo_Doi_Tan_Suat_Be_Tong!$C:$C,AO614)-VLOOKUP(AN614,$AQ$2:$AR$7,2,FALSE)))</f>
        <v/>
      </c>
      <c r="N614" s="4" t="n"/>
      <c r="O614" s="20">
        <f>IF(ROUNDUP(S614/20,0)&gt;ROUNDUP(S612/20,0),"TN Ø16 (Lần " &amp; ROUNDUP(S614/20,0) &amp; ")","")</f>
        <v/>
      </c>
      <c r="P614" s="16">
        <f>ROUND(P612+IF(AND(E614&lt;=10,F614&lt;&gt;"ASTM A416"),L614,0),3)</f>
        <v/>
      </c>
      <c r="Q614" s="16">
        <f>ROUND(Q612+IF(AND(E614=12,F614&lt;&gt;"ASTM A416"),L614,0),3)</f>
        <v/>
      </c>
      <c r="R614" s="16">
        <f>ROUND(R612+IF(AND(E614=14,F614&lt;&gt;"ASTM A416"),L614,0),3)</f>
        <v/>
      </c>
      <c r="S614" s="16">
        <f>ROUND(S612+IF(AND(E614=16,F614&lt;&gt;"ASTM A416"),L614,0),3)</f>
        <v/>
      </c>
      <c r="T614" s="16">
        <f>ROUND(T612+IF(AND(E614=18,F614&lt;&gt;"ASTM A416"),L614,0),3)</f>
        <v/>
      </c>
      <c r="U614" s="16">
        <f>ROUND(U612+IF(AND(E614=20,F614&lt;&gt;"ASTM A416"),L614,0),3)</f>
        <v/>
      </c>
      <c r="V614" s="16">
        <f>ROUND(V612+IF(AND(E614=22,F614&lt;&gt;"ASTM A416"),L614,0),3)</f>
        <v/>
      </c>
      <c r="W614" s="16">
        <f>ROUND(W612+IF(AND(E614=25,F614&lt;&gt;"ASTM A416"),L614,0),3)</f>
        <v/>
      </c>
      <c r="X614" s="16">
        <f>ROUND(X612+IF(AND(E614=28,F614&lt;&gt;"ASTM A416"),L614,0),3)</f>
        <v/>
      </c>
      <c r="Y614" s="16">
        <f>ROUND(Y612+IF(AND(E614=32,F614&lt;&gt;"ASTM A416"),L614,0),3)</f>
        <v/>
      </c>
      <c r="Z614" s="16">
        <f>ROUND(Z612+IF(F614="ASTM A416",L614,0),3)</f>
        <v/>
      </c>
      <c r="AA614" s="9">
        <f>IF(ROUNDUP(P614/20,0)&gt;ROUNDUP(P612/20,0),"Lần " &amp; ROUNDUP(P614/20,0),"")</f>
        <v/>
      </c>
      <c r="AB614" s="9">
        <f>IF(ROUNDUP(Q614/20,0)&gt;ROUNDUP(Q612/20,0),"Lần " &amp; ROUNDUP(Q614/20,0),"")</f>
        <v/>
      </c>
      <c r="AC614" s="9">
        <f>IF(ROUNDUP(R614/20,0)&gt;ROUNDUP(R612/20,0),"Lần " &amp; ROUNDUP(R614/20,0),"")</f>
        <v/>
      </c>
      <c r="AD614" s="9">
        <f>IF(ROUNDUP(S614/20,0)&gt;ROUNDUP(S612/20,0),"Lần " &amp; ROUNDUP(S614/20,0),"")</f>
        <v/>
      </c>
      <c r="AE614" s="9">
        <f>IF(ROUNDUP(T614/20,0)&gt;ROUNDUP(T612/20,0),"Lần " &amp; ROUNDUP(T614/20,0),"")</f>
        <v/>
      </c>
      <c r="AF614" s="9">
        <f>IF(ROUNDUP(U614/20,0)&gt;ROUNDUP(U612/20,0),"Lần " &amp; ROUNDUP(U614/20,0),"")</f>
        <v/>
      </c>
      <c r="AG614" s="9">
        <f>IF(ROUNDUP(V614/20,0)&gt;ROUNDUP(V612/20,0),"Lần " &amp; ROUNDUP(V614/20,0),"")</f>
        <v/>
      </c>
      <c r="AH614" s="9">
        <f>IF(ROUNDUP(W614/20,0)&gt;ROUNDUP(W612/20,0),"Lần " &amp; ROUNDUP(W614/20,0),"")</f>
        <v/>
      </c>
      <c r="AI614" s="9">
        <f>IF(ROUNDUP(X614/20,0)&gt;ROUNDUP(X612/20,0),"Lần " &amp; ROUNDUP(X614/20,0),"")</f>
        <v/>
      </c>
      <c r="AJ614" s="9">
        <f>IF(ROUNDUP(Y614/20,0)&gt;ROUNDUP(Y612/20,0),"Lần " &amp; ROUNDUP(Y614/20,0),"")</f>
        <v/>
      </c>
      <c r="AK614" s="9">
        <f>IF(ROUNDUP(Z614/20,0)&gt;ROUNDUP(Z612/20,0),"Lần " &amp; ROUNDUP(Z614/20,0),"")</f>
        <v/>
      </c>
      <c r="AL614" s="4" t="n"/>
      <c r="AN614" s="596" t="inlineStr">
        <is>
          <t>Than</t>
        </is>
      </c>
      <c r="AO614" s="596" t="n">
        <v>54</v>
      </c>
      <c r="AQ614" s="594" t="n"/>
      <c r="AR614" s="595" t="n"/>
    </row>
    <row r="615" ht="19" customHeight="1" s="672">
      <c r="A615" s="4" t="n">
        <v>580</v>
      </c>
      <c r="B615" s="5" t="inlineStr">
        <is>
          <t>Bản quá độ Mố M2</t>
        </is>
      </c>
      <c r="C615" s="5" t="inlineStr">
        <is>
          <t>Bản quá độ tiếp giáp mố</t>
        </is>
      </c>
      <c r="D615" s="14" t="inlineStr">
        <is>
          <t>A2</t>
        </is>
      </c>
      <c r="E615" s="15" t="n">
        <v>16</v>
      </c>
      <c r="F615" s="4" t="inlineStr">
        <is>
          <t>CB400-V</t>
        </is>
      </c>
      <c r="G615" s="5" t="inlineStr">
        <is>
          <t>S06</t>
        </is>
      </c>
      <c r="H615" s="16" t="n">
        <v>12.447</v>
      </c>
      <c r="I615" s="17" t="n">
        <v>40</v>
      </c>
      <c r="J615" s="18" t="n">
        <v>1.578</v>
      </c>
      <c r="K615" s="7">
        <f>ROUND(H615*I615*J615, 2)</f>
        <v/>
      </c>
      <c r="L615" s="19">
        <f>ROUND(K615/1000, 3)</f>
        <v/>
      </c>
      <c r="M615" s="728">
        <f>IF(AO615="","",IF(N(INDEX(Theo_Doi_Tan_Suat_Be_Tong!$C:$C,AO615))&lt;=0,"",INDEX(Theo_Doi_Tan_Suat_Be_Tong!$C:$C,AO615)-VLOOKUP(AN615,$AQ$2:$AR$7,2,FALSE)))</f>
        <v/>
      </c>
      <c r="N615" s="4" t="n"/>
      <c r="O615" s="20">
        <f>IF(ROUNDUP(S615/20,0)&gt;ROUNDUP(S614/20,0),"TN Ø16 (Lần " &amp; ROUNDUP(S615/20,0) &amp; ")","")</f>
        <v/>
      </c>
      <c r="P615" s="16">
        <f>ROUND(P614+IF(AND(E615&lt;=10,F615&lt;&gt;"ASTM A416"),L615,0),3)</f>
        <v/>
      </c>
      <c r="Q615" s="16">
        <f>ROUND(Q614+IF(AND(E615=12,F615&lt;&gt;"ASTM A416"),L615,0),3)</f>
        <v/>
      </c>
      <c r="R615" s="16">
        <f>ROUND(R614+IF(AND(E615=14,F615&lt;&gt;"ASTM A416"),L615,0),3)</f>
        <v/>
      </c>
      <c r="S615" s="16">
        <f>ROUND(S614+IF(AND(E615=16,F615&lt;&gt;"ASTM A416"),L615,0),3)</f>
        <v/>
      </c>
      <c r="T615" s="16">
        <f>ROUND(T614+IF(AND(E615=18,F615&lt;&gt;"ASTM A416"),L615,0),3)</f>
        <v/>
      </c>
      <c r="U615" s="16">
        <f>ROUND(U614+IF(AND(E615=20,F615&lt;&gt;"ASTM A416"),L615,0),3)</f>
        <v/>
      </c>
      <c r="V615" s="16">
        <f>ROUND(V614+IF(AND(E615=22,F615&lt;&gt;"ASTM A416"),L615,0),3)</f>
        <v/>
      </c>
      <c r="W615" s="16">
        <f>ROUND(W614+IF(AND(E615=25,F615&lt;&gt;"ASTM A416"),L615,0),3)</f>
        <v/>
      </c>
      <c r="X615" s="16">
        <f>ROUND(X614+IF(AND(E615=28,F615&lt;&gt;"ASTM A416"),L615,0),3)</f>
        <v/>
      </c>
      <c r="Y615" s="16">
        <f>ROUND(Y614+IF(AND(E615=32,F615&lt;&gt;"ASTM A416"),L615,0),3)</f>
        <v/>
      </c>
      <c r="Z615" s="16">
        <f>ROUND(Z614+IF(F615="ASTM A416",L615,0),3)</f>
        <v/>
      </c>
      <c r="AA615" s="9">
        <f>IF(ROUNDUP(P615/20,0)&gt;ROUNDUP(P614/20,0),"Lần " &amp; ROUNDUP(P615/20,0),"")</f>
        <v/>
      </c>
      <c r="AB615" s="9">
        <f>IF(ROUNDUP(Q615/20,0)&gt;ROUNDUP(Q614/20,0),"Lần " &amp; ROUNDUP(Q615/20,0),"")</f>
        <v/>
      </c>
      <c r="AC615" s="9">
        <f>IF(ROUNDUP(R615/20,0)&gt;ROUNDUP(R614/20,0),"Lần " &amp; ROUNDUP(R615/20,0),"")</f>
        <v/>
      </c>
      <c r="AD615" s="9">
        <f>IF(ROUNDUP(S615/20,0)&gt;ROUNDUP(S614/20,0),"Lần " &amp; ROUNDUP(S615/20,0),"")</f>
        <v/>
      </c>
      <c r="AE615" s="9">
        <f>IF(ROUNDUP(T615/20,0)&gt;ROUNDUP(T614/20,0),"Lần " &amp; ROUNDUP(T615/20,0),"")</f>
        <v/>
      </c>
      <c r="AF615" s="9">
        <f>IF(ROUNDUP(U615/20,0)&gt;ROUNDUP(U614/20,0),"Lần " &amp; ROUNDUP(U615/20,0),"")</f>
        <v/>
      </c>
      <c r="AG615" s="9">
        <f>IF(ROUNDUP(V615/20,0)&gt;ROUNDUP(V614/20,0),"Lần " &amp; ROUNDUP(V615/20,0),"")</f>
        <v/>
      </c>
      <c r="AH615" s="9">
        <f>IF(ROUNDUP(W615/20,0)&gt;ROUNDUP(W614/20,0),"Lần " &amp; ROUNDUP(W615/20,0),"")</f>
        <v/>
      </c>
      <c r="AI615" s="9">
        <f>IF(ROUNDUP(X615/20,0)&gt;ROUNDUP(X614/20,0),"Lần " &amp; ROUNDUP(X615/20,0),"")</f>
        <v/>
      </c>
      <c r="AJ615" s="9">
        <f>IF(ROUNDUP(Y615/20,0)&gt;ROUNDUP(Y614/20,0),"Lần " &amp; ROUNDUP(Y615/20,0),"")</f>
        <v/>
      </c>
      <c r="AK615" s="9">
        <f>IF(ROUNDUP(Z615/20,0)&gt;ROUNDUP(Z614/20,0),"Lần " &amp; ROUNDUP(Z615/20,0),"")</f>
        <v/>
      </c>
      <c r="AL615" s="4" t="n"/>
      <c r="AN615" s="596" t="inlineStr">
        <is>
          <t>Than</t>
        </is>
      </c>
      <c r="AO615" s="596" t="n">
        <v>54</v>
      </c>
      <c r="AQ615" s="594" t="n"/>
      <c r="AR615" s="595" t="n"/>
    </row>
    <row r="616" ht="19" customHeight="1" s="672">
      <c r="A616" s="4" t="n">
        <v>581</v>
      </c>
      <c r="B616" s="5" t="inlineStr">
        <is>
          <t>Bản quá độ Mố M2</t>
        </is>
      </c>
      <c r="C616" s="5" t="inlineStr">
        <is>
          <t>Bản quá độ tiếp giáp mố</t>
        </is>
      </c>
      <c r="D616" s="14" t="inlineStr">
        <is>
          <t>A3</t>
        </is>
      </c>
      <c r="E616" s="15" t="n">
        <v>22</v>
      </c>
      <c r="F616" s="4" t="inlineStr">
        <is>
          <t>CB400-V</t>
        </is>
      </c>
      <c r="G616" s="5" t="inlineStr">
        <is>
          <t>S06</t>
        </is>
      </c>
      <c r="H616" s="16" t="n">
        <v>8.289999999999999</v>
      </c>
      <c r="I616" s="17" t="n">
        <v>113</v>
      </c>
      <c r="J616" s="18" t="n">
        <v>2.984</v>
      </c>
      <c r="K616" s="7">
        <f>ROUND(H616*I616*J616, 2)</f>
        <v/>
      </c>
      <c r="L616" s="19">
        <f>ROUND(K616/1000, 3)</f>
        <v/>
      </c>
      <c r="M616" s="728">
        <f>IF(AO616="","",IF(N(INDEX(Theo_Doi_Tan_Suat_Be_Tong!$C:$C,AO616))&lt;=0,"",INDEX(Theo_Doi_Tan_Suat_Be_Tong!$C:$C,AO616)-VLOOKUP(AN616,$AQ$2:$AR$7,2,FALSE)))</f>
        <v/>
      </c>
      <c r="N616" s="4" t="n"/>
      <c r="O616" s="20">
        <f>IF(ROUNDUP(V616/20,0)&gt;ROUNDUP(V615/20,0),"TN Ø22 (Lần " &amp; ROUNDUP(V616/20,0) &amp; ")","")</f>
        <v/>
      </c>
      <c r="P616" s="16">
        <f>ROUND(P615+IF(AND(E616&lt;=10,F616&lt;&gt;"ASTM A416"),L616,0),3)</f>
        <v/>
      </c>
      <c r="Q616" s="16">
        <f>ROUND(Q615+IF(AND(E616=12,F616&lt;&gt;"ASTM A416"),L616,0),3)</f>
        <v/>
      </c>
      <c r="R616" s="16">
        <f>ROUND(R615+IF(AND(E616=14,F616&lt;&gt;"ASTM A416"),L616,0),3)</f>
        <v/>
      </c>
      <c r="S616" s="16">
        <f>ROUND(S615+IF(AND(E616=16,F616&lt;&gt;"ASTM A416"),L616,0),3)</f>
        <v/>
      </c>
      <c r="T616" s="16">
        <f>ROUND(T615+IF(AND(E616=18,F616&lt;&gt;"ASTM A416"),L616,0),3)</f>
        <v/>
      </c>
      <c r="U616" s="16">
        <f>ROUND(U615+IF(AND(E616=20,F616&lt;&gt;"ASTM A416"),L616,0),3)</f>
        <v/>
      </c>
      <c r="V616" s="16">
        <f>ROUND(V615+IF(AND(E616=22,F616&lt;&gt;"ASTM A416"),L616,0),3)</f>
        <v/>
      </c>
      <c r="W616" s="16">
        <f>ROUND(W615+IF(AND(E616=25,F616&lt;&gt;"ASTM A416"),L616,0),3)</f>
        <v/>
      </c>
      <c r="X616" s="16">
        <f>ROUND(X615+IF(AND(E616=28,F616&lt;&gt;"ASTM A416"),L616,0),3)</f>
        <v/>
      </c>
      <c r="Y616" s="16">
        <f>ROUND(Y615+IF(AND(E616=32,F616&lt;&gt;"ASTM A416"),L616,0),3)</f>
        <v/>
      </c>
      <c r="Z616" s="16">
        <f>ROUND(Z615+IF(F616="ASTM A416",L616,0),3)</f>
        <v/>
      </c>
      <c r="AA616" s="9">
        <f>IF(ROUNDUP(P616/20,0)&gt;ROUNDUP(P615/20,0),"Lần " &amp; ROUNDUP(P616/20,0),"")</f>
        <v/>
      </c>
      <c r="AB616" s="9">
        <f>IF(ROUNDUP(Q616/20,0)&gt;ROUNDUP(Q615/20,0),"Lần " &amp; ROUNDUP(Q616/20,0),"")</f>
        <v/>
      </c>
      <c r="AC616" s="9">
        <f>IF(ROUNDUP(R616/20,0)&gt;ROUNDUP(R615/20,0),"Lần " &amp; ROUNDUP(R616/20,0),"")</f>
        <v/>
      </c>
      <c r="AD616" s="9">
        <f>IF(ROUNDUP(S616/20,0)&gt;ROUNDUP(S615/20,0),"Lần " &amp; ROUNDUP(S616/20,0),"")</f>
        <v/>
      </c>
      <c r="AE616" s="9">
        <f>IF(ROUNDUP(T616/20,0)&gt;ROUNDUP(T615/20,0),"Lần " &amp; ROUNDUP(T616/20,0),"")</f>
        <v/>
      </c>
      <c r="AF616" s="9">
        <f>IF(ROUNDUP(U616/20,0)&gt;ROUNDUP(U615/20,0),"Lần " &amp; ROUNDUP(U616/20,0),"")</f>
        <v/>
      </c>
      <c r="AG616" s="9">
        <f>IF(ROUNDUP(V616/20,0)&gt;ROUNDUP(V615/20,0),"Lần " &amp; ROUNDUP(V616/20,0),"")</f>
        <v/>
      </c>
      <c r="AH616" s="9">
        <f>IF(ROUNDUP(W616/20,0)&gt;ROUNDUP(W615/20,0),"Lần " &amp; ROUNDUP(W616/20,0),"")</f>
        <v/>
      </c>
      <c r="AI616" s="9">
        <f>IF(ROUNDUP(X616/20,0)&gt;ROUNDUP(X615/20,0),"Lần " &amp; ROUNDUP(X616/20,0),"")</f>
        <v/>
      </c>
      <c r="AJ616" s="9">
        <f>IF(ROUNDUP(Y616/20,0)&gt;ROUNDUP(Y615/20,0),"Lần " &amp; ROUNDUP(Y616/20,0),"")</f>
        <v/>
      </c>
      <c r="AK616" s="9">
        <f>IF(ROUNDUP(Z616/20,0)&gt;ROUNDUP(Z615/20,0),"Lần " &amp; ROUNDUP(Z616/20,0),"")</f>
        <v/>
      </c>
      <c r="AL616" s="4" t="n"/>
      <c r="AN616" s="596" t="inlineStr">
        <is>
          <t>Than</t>
        </is>
      </c>
      <c r="AO616" s="596" t="n">
        <v>54</v>
      </c>
      <c r="AQ616" s="594" t="n"/>
      <c r="AR616" s="595" t="n"/>
    </row>
    <row r="617" ht="19" customHeight="1" s="672">
      <c r="A617" s="4" t="n">
        <v>582</v>
      </c>
      <c r="B617" s="5" t="inlineStr">
        <is>
          <t>Bản quá độ Mố M2</t>
        </is>
      </c>
      <c r="C617" s="5" t="inlineStr">
        <is>
          <t>Bản quá độ tiếp giáp mố</t>
        </is>
      </c>
      <c r="D617" s="14" t="inlineStr">
        <is>
          <t>A4</t>
        </is>
      </c>
      <c r="E617" s="15" t="n">
        <v>16</v>
      </c>
      <c r="F617" s="4" t="inlineStr">
        <is>
          <t>CB400-V</t>
        </is>
      </c>
      <c r="G617" s="5" t="inlineStr">
        <is>
          <t>S06</t>
        </is>
      </c>
      <c r="H617" s="16" t="n">
        <v>12.447</v>
      </c>
      <c r="I617" s="17" t="n">
        <v>40</v>
      </c>
      <c r="J617" s="18" t="n">
        <v>1.578</v>
      </c>
      <c r="K617" s="7">
        <f>ROUND(H617*I617*J617, 2)</f>
        <v/>
      </c>
      <c r="L617" s="19">
        <f>ROUND(K617/1000, 3)</f>
        <v/>
      </c>
      <c r="M617" s="728">
        <f>IF(AO617="","",IF(N(INDEX(Theo_Doi_Tan_Suat_Be_Tong!$C:$C,AO617))&lt;=0,"",INDEX(Theo_Doi_Tan_Suat_Be_Tong!$C:$C,AO617)-VLOOKUP(AN617,$AQ$2:$AR$7,2,FALSE)))</f>
        <v/>
      </c>
      <c r="N617" s="4" t="n"/>
      <c r="O617" s="20">
        <f>IF(ROUNDUP(S617/20,0)&gt;ROUNDUP(S616/20,0),"TN Ø16 (Lần " &amp; ROUNDUP(S617/20,0) &amp; ")","")</f>
        <v/>
      </c>
      <c r="P617" s="16">
        <f>ROUND(P616+IF(AND(E617&lt;=10,F617&lt;&gt;"ASTM A416"),L617,0),3)</f>
        <v/>
      </c>
      <c r="Q617" s="16">
        <f>ROUND(Q616+IF(AND(E617=12,F617&lt;&gt;"ASTM A416"),L617,0),3)</f>
        <v/>
      </c>
      <c r="R617" s="16">
        <f>ROUND(R616+IF(AND(E617=14,F617&lt;&gt;"ASTM A416"),L617,0),3)</f>
        <v/>
      </c>
      <c r="S617" s="16">
        <f>ROUND(S616+IF(AND(E617=16,F617&lt;&gt;"ASTM A416"),L617,0),3)</f>
        <v/>
      </c>
      <c r="T617" s="16">
        <f>ROUND(T616+IF(AND(E617=18,F617&lt;&gt;"ASTM A416"),L617,0),3)</f>
        <v/>
      </c>
      <c r="U617" s="16">
        <f>ROUND(U616+IF(AND(E617=20,F617&lt;&gt;"ASTM A416"),L617,0),3)</f>
        <v/>
      </c>
      <c r="V617" s="16">
        <f>ROUND(V616+IF(AND(E617=22,F617&lt;&gt;"ASTM A416"),L617,0),3)</f>
        <v/>
      </c>
      <c r="W617" s="16">
        <f>ROUND(W616+IF(AND(E617=25,F617&lt;&gt;"ASTM A416"),L617,0),3)</f>
        <v/>
      </c>
      <c r="X617" s="16">
        <f>ROUND(X616+IF(AND(E617=28,F617&lt;&gt;"ASTM A416"),L617,0),3)</f>
        <v/>
      </c>
      <c r="Y617" s="16">
        <f>ROUND(Y616+IF(AND(E617=32,F617&lt;&gt;"ASTM A416"),L617,0),3)</f>
        <v/>
      </c>
      <c r="Z617" s="16">
        <f>ROUND(Z616+IF(F617="ASTM A416",L617,0),3)</f>
        <v/>
      </c>
      <c r="AA617" s="9">
        <f>IF(ROUNDUP(P617/20,0)&gt;ROUNDUP(P616/20,0),"Lần " &amp; ROUNDUP(P617/20,0),"")</f>
        <v/>
      </c>
      <c r="AB617" s="9">
        <f>IF(ROUNDUP(Q617/20,0)&gt;ROUNDUP(Q616/20,0),"Lần " &amp; ROUNDUP(Q617/20,0),"")</f>
        <v/>
      </c>
      <c r="AC617" s="9">
        <f>IF(ROUNDUP(R617/20,0)&gt;ROUNDUP(R616/20,0),"Lần " &amp; ROUNDUP(R617/20,0),"")</f>
        <v/>
      </c>
      <c r="AD617" s="9">
        <f>IF(ROUNDUP(S617/20,0)&gt;ROUNDUP(S616/20,0),"Lần " &amp; ROUNDUP(S617/20,0),"")</f>
        <v/>
      </c>
      <c r="AE617" s="9">
        <f>IF(ROUNDUP(T617/20,0)&gt;ROUNDUP(T616/20,0),"Lần " &amp; ROUNDUP(T617/20,0),"")</f>
        <v/>
      </c>
      <c r="AF617" s="9">
        <f>IF(ROUNDUP(U617/20,0)&gt;ROUNDUP(U616/20,0),"Lần " &amp; ROUNDUP(U617/20,0),"")</f>
        <v/>
      </c>
      <c r="AG617" s="9">
        <f>IF(ROUNDUP(V617/20,0)&gt;ROUNDUP(V616/20,0),"Lần " &amp; ROUNDUP(V617/20,0),"")</f>
        <v/>
      </c>
      <c r="AH617" s="9">
        <f>IF(ROUNDUP(W617/20,0)&gt;ROUNDUP(W616/20,0),"Lần " &amp; ROUNDUP(W617/20,0),"")</f>
        <v/>
      </c>
      <c r="AI617" s="9">
        <f>IF(ROUNDUP(X617/20,0)&gt;ROUNDUP(X616/20,0),"Lần " &amp; ROUNDUP(X617/20,0),"")</f>
        <v/>
      </c>
      <c r="AJ617" s="9">
        <f>IF(ROUNDUP(Y617/20,0)&gt;ROUNDUP(Y616/20,0),"Lần " &amp; ROUNDUP(Y617/20,0),"")</f>
        <v/>
      </c>
      <c r="AK617" s="9">
        <f>IF(ROUNDUP(Z617/20,0)&gt;ROUNDUP(Z616/20,0),"Lần " &amp; ROUNDUP(Z617/20,0),"")</f>
        <v/>
      </c>
      <c r="AL617" s="4" t="n"/>
      <c r="AN617" s="596" t="inlineStr">
        <is>
          <t>Than</t>
        </is>
      </c>
      <c r="AO617" s="596" t="n">
        <v>54</v>
      </c>
      <c r="AQ617" s="594" t="n"/>
      <c r="AR617" s="595" t="n"/>
    </row>
    <row r="618" ht="19" customHeight="1" s="672">
      <c r="A618" s="4" t="n">
        <v>583</v>
      </c>
      <c r="B618" s="5" t="inlineStr">
        <is>
          <t>Bản quá độ Mố M2</t>
        </is>
      </c>
      <c r="C618" s="5" t="inlineStr">
        <is>
          <t>Bản quá độ tiếp giáp mố</t>
        </is>
      </c>
      <c r="D618" s="14" t="inlineStr">
        <is>
          <t>A5</t>
        </is>
      </c>
      <c r="E618" s="15" t="n">
        <v>18</v>
      </c>
      <c r="F618" s="4" t="inlineStr">
        <is>
          <t>CB400-V</t>
        </is>
      </c>
      <c r="G618" s="5" t="inlineStr">
        <is>
          <t>S29</t>
        </is>
      </c>
      <c r="H618" s="16" t="n">
        <v>1.629</v>
      </c>
      <c r="I618" s="17" t="n">
        <v>113</v>
      </c>
      <c r="J618" s="18" t="n">
        <v>1.998</v>
      </c>
      <c r="K618" s="7">
        <f>ROUND(H618*I618*J618, 2)</f>
        <v/>
      </c>
      <c r="L618" s="19">
        <f>ROUND(K618/1000, 3)</f>
        <v/>
      </c>
      <c r="M618" s="728">
        <f>IF(AO618="","",IF(N(INDEX(Theo_Doi_Tan_Suat_Be_Tong!$C:$C,AO618))&lt;=0,"",INDEX(Theo_Doi_Tan_Suat_Be_Tong!$C:$C,AO618)-VLOOKUP(AN618,$AQ$2:$AR$7,2,FALSE)))</f>
        <v/>
      </c>
      <c r="N618" s="4" t="n"/>
      <c r="O618" s="20">
        <f>IF(ROUNDUP(T618/20,0)&gt;ROUNDUP(T617/20,0),"TN Ø18 (Lần " &amp; ROUNDUP(T618/20,0) &amp; ")","")</f>
        <v/>
      </c>
      <c r="P618" s="16">
        <f>ROUND(P617+IF(AND(E618&lt;=10,F618&lt;&gt;"ASTM A416"),L618,0),3)</f>
        <v/>
      </c>
      <c r="Q618" s="16">
        <f>ROUND(Q617+IF(AND(E618=12,F618&lt;&gt;"ASTM A416"),L618,0),3)</f>
        <v/>
      </c>
      <c r="R618" s="16">
        <f>ROUND(R617+IF(AND(E618=14,F618&lt;&gt;"ASTM A416"),L618,0),3)</f>
        <v/>
      </c>
      <c r="S618" s="16">
        <f>ROUND(S617+IF(AND(E618=16,F618&lt;&gt;"ASTM A416"),L618,0),3)</f>
        <v/>
      </c>
      <c r="T618" s="16">
        <f>ROUND(T617+IF(AND(E618=18,F618&lt;&gt;"ASTM A416"),L618,0),3)</f>
        <v/>
      </c>
      <c r="U618" s="16">
        <f>ROUND(U617+IF(AND(E618=20,F618&lt;&gt;"ASTM A416"),L618,0),3)</f>
        <v/>
      </c>
      <c r="V618" s="16">
        <f>ROUND(V617+IF(AND(E618=22,F618&lt;&gt;"ASTM A416"),L618,0),3)</f>
        <v/>
      </c>
      <c r="W618" s="16">
        <f>ROUND(W617+IF(AND(E618=25,F618&lt;&gt;"ASTM A416"),L618,0),3)</f>
        <v/>
      </c>
      <c r="X618" s="16">
        <f>ROUND(X617+IF(AND(E618=28,F618&lt;&gt;"ASTM A416"),L618,0),3)</f>
        <v/>
      </c>
      <c r="Y618" s="16">
        <f>ROUND(Y617+IF(AND(E618=32,F618&lt;&gt;"ASTM A416"),L618,0),3)</f>
        <v/>
      </c>
      <c r="Z618" s="16">
        <f>ROUND(Z617+IF(F618="ASTM A416",L618,0),3)</f>
        <v/>
      </c>
      <c r="AA618" s="9">
        <f>IF(ROUNDUP(P618/20,0)&gt;ROUNDUP(P617/20,0),"Lần " &amp; ROUNDUP(P618/20,0),"")</f>
        <v/>
      </c>
      <c r="AB618" s="9">
        <f>IF(ROUNDUP(Q618/20,0)&gt;ROUNDUP(Q617/20,0),"Lần " &amp; ROUNDUP(Q618/20,0),"")</f>
        <v/>
      </c>
      <c r="AC618" s="9">
        <f>IF(ROUNDUP(R618/20,0)&gt;ROUNDUP(R617/20,0),"Lần " &amp; ROUNDUP(R618/20,0),"")</f>
        <v/>
      </c>
      <c r="AD618" s="9">
        <f>IF(ROUNDUP(S618/20,0)&gt;ROUNDUP(S617/20,0),"Lần " &amp; ROUNDUP(S618/20,0),"")</f>
        <v/>
      </c>
      <c r="AE618" s="9">
        <f>IF(ROUNDUP(T618/20,0)&gt;ROUNDUP(T617/20,0),"Lần " &amp; ROUNDUP(T618/20,0),"")</f>
        <v/>
      </c>
      <c r="AF618" s="9">
        <f>IF(ROUNDUP(U618/20,0)&gt;ROUNDUP(U617/20,0),"Lần " &amp; ROUNDUP(U618/20,0),"")</f>
        <v/>
      </c>
      <c r="AG618" s="9">
        <f>IF(ROUNDUP(V618/20,0)&gt;ROUNDUP(V617/20,0),"Lần " &amp; ROUNDUP(V618/20,0),"")</f>
        <v/>
      </c>
      <c r="AH618" s="9">
        <f>IF(ROUNDUP(W618/20,0)&gt;ROUNDUP(W617/20,0),"Lần " &amp; ROUNDUP(W618/20,0),"")</f>
        <v/>
      </c>
      <c r="AI618" s="9">
        <f>IF(ROUNDUP(X618/20,0)&gt;ROUNDUP(X617/20,0),"Lần " &amp; ROUNDUP(X618/20,0),"")</f>
        <v/>
      </c>
      <c r="AJ618" s="9">
        <f>IF(ROUNDUP(Y618/20,0)&gt;ROUNDUP(Y617/20,0),"Lần " &amp; ROUNDUP(Y618/20,0),"")</f>
        <v/>
      </c>
      <c r="AK618" s="9">
        <f>IF(ROUNDUP(Z618/20,0)&gt;ROUNDUP(Z617/20,0),"Lần " &amp; ROUNDUP(Z618/20,0),"")</f>
        <v/>
      </c>
      <c r="AL618" s="4" t="n"/>
      <c r="AN618" s="596" t="inlineStr">
        <is>
          <t>Than</t>
        </is>
      </c>
      <c r="AO618" s="596" t="n">
        <v>54</v>
      </c>
      <c r="AQ618" s="594" t="n"/>
      <c r="AR618" s="595" t="n"/>
    </row>
    <row r="619" ht="19" customHeight="1" s="672">
      <c r="A619" s="4" t="n">
        <v>584</v>
      </c>
      <c r="B619" s="5" t="inlineStr">
        <is>
          <t>Bản quá độ Mố M2</t>
        </is>
      </c>
      <c r="C619" s="5" t="inlineStr">
        <is>
          <t>Bản quá độ tiếp giáp mố</t>
        </is>
      </c>
      <c r="D619" s="14" t="inlineStr">
        <is>
          <t>A6</t>
        </is>
      </c>
      <c r="E619" s="15" t="n">
        <v>12</v>
      </c>
      <c r="F619" s="4" t="inlineStr">
        <is>
          <t>CB400-V</t>
        </is>
      </c>
      <c r="G619" s="5" t="inlineStr">
        <is>
          <t>S06</t>
        </is>
      </c>
      <c r="H619" s="16" t="n">
        <v>0.396</v>
      </c>
      <c r="I619" s="17" t="n">
        <v>216</v>
      </c>
      <c r="J619" s="18" t="n">
        <v>0.888</v>
      </c>
      <c r="K619" s="7">
        <f>ROUND(H619*I619*J619, 2)</f>
        <v/>
      </c>
      <c r="L619" s="19">
        <f>ROUND(K619/1000, 3)</f>
        <v/>
      </c>
      <c r="M619" s="728">
        <f>IF(AO619="","",IF(N(INDEX(Theo_Doi_Tan_Suat_Be_Tong!$C:$C,AO619))&lt;=0,"",INDEX(Theo_Doi_Tan_Suat_Be_Tong!$C:$C,AO619)-VLOOKUP(AN619,$AQ$2:$AR$7,2,FALSE)))</f>
        <v/>
      </c>
      <c r="N619" s="4" t="n"/>
      <c r="O619" s="20">
        <f>IF(ROUNDUP(Q619/20,0)&gt;ROUNDUP(Q618/20,0),"TN Ø12 (Lần " &amp; ROUNDUP(Q619/20,0) &amp; ")","")</f>
        <v/>
      </c>
      <c r="P619" s="16">
        <f>ROUND(P618+IF(AND(E619&lt;=10,F619&lt;&gt;"ASTM A416"),L619,0),3)</f>
        <v/>
      </c>
      <c r="Q619" s="16">
        <f>ROUND(Q618+IF(AND(E619=12,F619&lt;&gt;"ASTM A416"),L619,0),3)</f>
        <v/>
      </c>
      <c r="R619" s="16">
        <f>ROUND(R618+IF(AND(E619=14,F619&lt;&gt;"ASTM A416"),L619,0),3)</f>
        <v/>
      </c>
      <c r="S619" s="16">
        <f>ROUND(S618+IF(AND(E619=16,F619&lt;&gt;"ASTM A416"),L619,0),3)</f>
        <v/>
      </c>
      <c r="T619" s="16">
        <f>ROUND(T618+IF(AND(E619=18,F619&lt;&gt;"ASTM A416"),L619,0),3)</f>
        <v/>
      </c>
      <c r="U619" s="16">
        <f>ROUND(U618+IF(AND(E619=20,F619&lt;&gt;"ASTM A416"),L619,0),3)</f>
        <v/>
      </c>
      <c r="V619" s="16">
        <f>ROUND(V618+IF(AND(E619=22,F619&lt;&gt;"ASTM A416"),L619,0),3)</f>
        <v/>
      </c>
      <c r="W619" s="16">
        <f>ROUND(W618+IF(AND(E619=25,F619&lt;&gt;"ASTM A416"),L619,0),3)</f>
        <v/>
      </c>
      <c r="X619" s="16">
        <f>ROUND(X618+IF(AND(E619=28,F619&lt;&gt;"ASTM A416"),L619,0),3)</f>
        <v/>
      </c>
      <c r="Y619" s="16">
        <f>ROUND(Y618+IF(AND(E619=32,F619&lt;&gt;"ASTM A416"),L619,0),3)</f>
        <v/>
      </c>
      <c r="Z619" s="16">
        <f>ROUND(Z618+IF(F619="ASTM A416",L619,0),3)</f>
        <v/>
      </c>
      <c r="AA619" s="9">
        <f>IF(ROUNDUP(P619/20,0)&gt;ROUNDUP(P618/20,0),"Lần " &amp; ROUNDUP(P619/20,0),"")</f>
        <v/>
      </c>
      <c r="AB619" s="9">
        <f>IF(ROUNDUP(Q619/20,0)&gt;ROUNDUP(Q618/20,0),"Lần " &amp; ROUNDUP(Q619/20,0),"")</f>
        <v/>
      </c>
      <c r="AC619" s="9">
        <f>IF(ROUNDUP(R619/20,0)&gt;ROUNDUP(R618/20,0),"Lần " &amp; ROUNDUP(R619/20,0),"")</f>
        <v/>
      </c>
      <c r="AD619" s="9">
        <f>IF(ROUNDUP(S619/20,0)&gt;ROUNDUP(S618/20,0),"Lần " &amp; ROUNDUP(S619/20,0),"")</f>
        <v/>
      </c>
      <c r="AE619" s="9">
        <f>IF(ROUNDUP(T619/20,0)&gt;ROUNDUP(T618/20,0),"Lần " &amp; ROUNDUP(T619/20,0),"")</f>
        <v/>
      </c>
      <c r="AF619" s="9">
        <f>IF(ROUNDUP(U619/20,0)&gt;ROUNDUP(U618/20,0),"Lần " &amp; ROUNDUP(U619/20,0),"")</f>
        <v/>
      </c>
      <c r="AG619" s="9">
        <f>IF(ROUNDUP(V619/20,0)&gt;ROUNDUP(V618/20,0),"Lần " &amp; ROUNDUP(V619/20,0),"")</f>
        <v/>
      </c>
      <c r="AH619" s="9">
        <f>IF(ROUNDUP(W619/20,0)&gt;ROUNDUP(W618/20,0),"Lần " &amp; ROUNDUP(W619/20,0),"")</f>
        <v/>
      </c>
      <c r="AI619" s="9">
        <f>IF(ROUNDUP(X619/20,0)&gt;ROUNDUP(X618/20,0),"Lần " &amp; ROUNDUP(X619/20,0),"")</f>
        <v/>
      </c>
      <c r="AJ619" s="9">
        <f>IF(ROUNDUP(Y619/20,0)&gt;ROUNDUP(Y618/20,0),"Lần " &amp; ROUNDUP(Y619/20,0),"")</f>
        <v/>
      </c>
      <c r="AK619" s="9">
        <f>IF(ROUNDUP(Z619/20,0)&gt;ROUNDUP(Z618/20,0),"Lần " &amp; ROUNDUP(Z619/20,0),"")</f>
        <v/>
      </c>
      <c r="AL619" s="4" t="n"/>
      <c r="AN619" s="596" t="inlineStr">
        <is>
          <t>Than</t>
        </is>
      </c>
      <c r="AO619" s="596" t="n">
        <v>54</v>
      </c>
      <c r="AQ619" s="594" t="n"/>
      <c r="AR619" s="595" t="n"/>
    </row>
    <row r="620" ht="19" customHeight="1" s="672">
      <c r="A620" s="4" t="n">
        <v>585</v>
      </c>
      <c r="B620" s="5" t="inlineStr">
        <is>
          <t>Bản quá độ Mố M2</t>
        </is>
      </c>
      <c r="C620" s="5" t="inlineStr">
        <is>
          <t>Bản quá độ tiếp giáp mố</t>
        </is>
      </c>
      <c r="D620" s="14" t="inlineStr">
        <is>
          <t>A7</t>
        </is>
      </c>
      <c r="E620" s="15" t="n">
        <v>10</v>
      </c>
      <c r="F620" s="4" t="inlineStr">
        <is>
          <t>CB240-T</t>
        </is>
      </c>
      <c r="G620" s="5" t="inlineStr">
        <is>
          <t>S32</t>
        </is>
      </c>
      <c r="H620" s="16" t="n">
        <v>0.676</v>
      </c>
      <c r="I620" s="17" t="n">
        <v>23</v>
      </c>
      <c r="J620" s="18" t="n">
        <v>0.617</v>
      </c>
      <c r="K620" s="7">
        <f>ROUND(H620*I620*J620, 2)</f>
        <v/>
      </c>
      <c r="L620" s="19">
        <f>ROUND(K620/1000, 3)</f>
        <v/>
      </c>
      <c r="M620" s="728">
        <f>IF(AO620="","",IF(N(INDEX(Theo_Doi_Tan_Suat_Be_Tong!$C:$C,AO620))&lt;=0,"",INDEX(Theo_Doi_Tan_Suat_Be_Tong!$C:$C,AO620)-VLOOKUP(AN620,$AQ$2:$AR$7,2,FALSE)))</f>
        <v/>
      </c>
      <c r="N620" s="4" t="n"/>
      <c r="O620" s="20">
        <f>IF(ROUNDUP(P620/20,0)&gt;ROUNDUP(P619/20,0),"TN Ø10 (Lần " &amp; ROUNDUP(P620/20,0) &amp; ")","")</f>
        <v/>
      </c>
      <c r="P620" s="16">
        <f>ROUND(P619+IF(AND(E620&lt;=10,F620&lt;&gt;"ASTM A416"),L620,0),3)</f>
        <v/>
      </c>
      <c r="Q620" s="16">
        <f>ROUND(Q619+IF(AND(E620=12,F620&lt;&gt;"ASTM A416"),L620,0),3)</f>
        <v/>
      </c>
      <c r="R620" s="16">
        <f>ROUND(R619+IF(AND(E620=14,F620&lt;&gt;"ASTM A416"),L620,0),3)</f>
        <v/>
      </c>
      <c r="S620" s="16">
        <f>ROUND(S619+IF(AND(E620=16,F620&lt;&gt;"ASTM A416"),L620,0),3)</f>
        <v/>
      </c>
      <c r="T620" s="16">
        <f>ROUND(T619+IF(AND(E620=18,F620&lt;&gt;"ASTM A416"),L620,0),3)</f>
        <v/>
      </c>
      <c r="U620" s="16">
        <f>ROUND(U619+IF(AND(E620=20,F620&lt;&gt;"ASTM A416"),L620,0),3)</f>
        <v/>
      </c>
      <c r="V620" s="16">
        <f>ROUND(V619+IF(AND(E620=22,F620&lt;&gt;"ASTM A416"),L620,0),3)</f>
        <v/>
      </c>
      <c r="W620" s="16">
        <f>ROUND(W619+IF(AND(E620=25,F620&lt;&gt;"ASTM A416"),L620,0),3)</f>
        <v/>
      </c>
      <c r="X620" s="16">
        <f>ROUND(X619+IF(AND(E620=28,F620&lt;&gt;"ASTM A416"),L620,0),3)</f>
        <v/>
      </c>
      <c r="Y620" s="16">
        <f>ROUND(Y619+IF(AND(E620=32,F620&lt;&gt;"ASTM A416"),L620,0),3)</f>
        <v/>
      </c>
      <c r="Z620" s="16">
        <f>ROUND(Z619+IF(F620="ASTM A416",L620,0),3)</f>
        <v/>
      </c>
      <c r="AA620" s="9">
        <f>IF(ROUNDUP(P620/20,0)&gt;ROUNDUP(P619/20,0),"Lần " &amp; ROUNDUP(P620/20,0),"")</f>
        <v/>
      </c>
      <c r="AB620" s="9">
        <f>IF(ROUNDUP(Q620/20,0)&gt;ROUNDUP(Q619/20,0),"Lần " &amp; ROUNDUP(Q620/20,0),"")</f>
        <v/>
      </c>
      <c r="AC620" s="9">
        <f>IF(ROUNDUP(R620/20,0)&gt;ROUNDUP(R619/20,0),"Lần " &amp; ROUNDUP(R620/20,0),"")</f>
        <v/>
      </c>
      <c r="AD620" s="9">
        <f>IF(ROUNDUP(S620/20,0)&gt;ROUNDUP(S619/20,0),"Lần " &amp; ROUNDUP(S620/20,0),"")</f>
        <v/>
      </c>
      <c r="AE620" s="9">
        <f>IF(ROUNDUP(T620/20,0)&gt;ROUNDUP(T619/20,0),"Lần " &amp; ROUNDUP(T620/20,0),"")</f>
        <v/>
      </c>
      <c r="AF620" s="9">
        <f>IF(ROUNDUP(U620/20,0)&gt;ROUNDUP(U619/20,0),"Lần " &amp; ROUNDUP(U620/20,0),"")</f>
        <v/>
      </c>
      <c r="AG620" s="9">
        <f>IF(ROUNDUP(V620/20,0)&gt;ROUNDUP(V619/20,0),"Lần " &amp; ROUNDUP(V620/20,0),"")</f>
        <v/>
      </c>
      <c r="AH620" s="9">
        <f>IF(ROUNDUP(W620/20,0)&gt;ROUNDUP(W619/20,0),"Lần " &amp; ROUNDUP(W620/20,0),"")</f>
        <v/>
      </c>
      <c r="AI620" s="9">
        <f>IF(ROUNDUP(X620/20,0)&gt;ROUNDUP(X619/20,0),"Lần " &amp; ROUNDUP(X620/20,0),"")</f>
        <v/>
      </c>
      <c r="AJ620" s="9">
        <f>IF(ROUNDUP(Y620/20,0)&gt;ROUNDUP(Y619/20,0),"Lần " &amp; ROUNDUP(Y620/20,0),"")</f>
        <v/>
      </c>
      <c r="AK620" s="9">
        <f>IF(ROUNDUP(Z620/20,0)&gt;ROUNDUP(Z619/20,0),"Lần " &amp; ROUNDUP(Z620/20,0),"")</f>
        <v/>
      </c>
      <c r="AL620" s="4" t="n"/>
      <c r="AN620" s="596" t="inlineStr">
        <is>
          <t>Than</t>
        </is>
      </c>
      <c r="AO620" s="596" t="n">
        <v>54</v>
      </c>
      <c r="AQ620" s="594" t="n"/>
      <c r="AR620" s="595" t="n"/>
    </row>
    <row r="621" ht="19" customHeight="1" s="672">
      <c r="A621" s="668" t="inlineStr">
        <is>
          <t>--- TRỤ T1, T2 (XÀ MŨ TRỤ) ---</t>
        </is>
      </c>
      <c r="B621" s="722" t="n"/>
      <c r="C621" s="722" t="n"/>
      <c r="D621" s="722" t="n"/>
      <c r="E621" s="722" t="n"/>
      <c r="F621" s="722" t="n"/>
      <c r="G621" s="722" t="n"/>
      <c r="H621" s="722" t="n"/>
      <c r="I621" s="722" t="n"/>
      <c r="J621" s="722" t="n"/>
      <c r="K621" s="722" t="n"/>
      <c r="L621" s="722" t="n"/>
      <c r="M621" s="722" t="n"/>
      <c r="N621" s="722" t="n"/>
      <c r="O621" s="722" t="n"/>
      <c r="P621" s="722" t="n"/>
      <c r="Q621" s="722" t="n"/>
      <c r="R621" s="722" t="n"/>
      <c r="S621" s="722" t="n"/>
      <c r="T621" s="722" t="n"/>
      <c r="U621" s="722" t="n"/>
      <c r="V621" s="722" t="n"/>
      <c r="W621" s="722" t="n"/>
      <c r="X621" s="722" t="n"/>
      <c r="Y621" s="722" t="n"/>
      <c r="Z621" s="722" t="n"/>
      <c r="AA621" s="722" t="n"/>
      <c r="AB621" s="722" t="n"/>
      <c r="AC621" s="722" t="n"/>
      <c r="AD621" s="722" t="n"/>
      <c r="AE621" s="722" t="n"/>
      <c r="AF621" s="722" t="n"/>
      <c r="AG621" s="722" t="n"/>
      <c r="AH621" s="722" t="n"/>
      <c r="AI621" s="722" t="n"/>
      <c r="AJ621" s="722" t="n"/>
      <c r="AK621" s="722" t="n"/>
      <c r="AL621" s="721" t="n"/>
      <c r="AQ621" s="594" t="n"/>
      <c r="AR621" s="595" t="n"/>
    </row>
    <row r="622" ht="19" customHeight="1" s="672">
      <c r="A622" s="4" t="n">
        <v>586</v>
      </c>
      <c r="B622" s="5" t="inlineStr">
        <is>
          <t>Trụ T1, T2 (Xà mũ trụ)</t>
        </is>
      </c>
      <c r="C622" s="5" t="inlineStr">
        <is>
          <t>Xà mũ trụ T1 (tr.51)</t>
        </is>
      </c>
      <c r="D622" s="14" t="inlineStr">
        <is>
          <t>X1</t>
        </is>
      </c>
      <c r="E622" s="15" t="n">
        <v>32</v>
      </c>
      <c r="F622" s="4" t="inlineStr">
        <is>
          <t>CB400-V</t>
        </is>
      </c>
      <c r="G622" s="5" t="inlineStr"/>
      <c r="H622" s="16" t="n">
        <v>14.312</v>
      </c>
      <c r="I622" s="17" t="n">
        <v>15</v>
      </c>
      <c r="J622" s="18" t="n">
        <v>6.313</v>
      </c>
      <c r="K622" s="7">
        <f>ROUND(H622*I622*J622, 2)</f>
        <v/>
      </c>
      <c r="L622" s="19">
        <f>ROUND(K622/1000, 3)</f>
        <v/>
      </c>
      <c r="M622" s="728">
        <f>IF(AO622="","",IF(N(INDEX(Theo_Doi_Tan_Suat_Be_Tong!$C:$C,AO622))&lt;=0,"",INDEX(Theo_Doi_Tan_Suat_Be_Tong!$C:$C,AO622)-VLOOKUP(AN622,$AQ$2:$AR$7,2,FALSE)))</f>
        <v/>
      </c>
      <c r="N622" s="4" t="n"/>
      <c r="O622" s="20">
        <f>IF(ROUNDUP(Y622/20,0)&gt;ROUNDUP(Y620/20,0),"TN Ø32 (Lần " &amp; ROUNDUP(Y622/20,0) &amp; ")","")</f>
        <v/>
      </c>
      <c r="P622" s="16">
        <f>ROUND(P620+IF(AND(E622&lt;=10,F622&lt;&gt;"ASTM A416"),L622,0),3)</f>
        <v/>
      </c>
      <c r="Q622" s="16">
        <f>ROUND(Q620+IF(AND(E622=12,F622&lt;&gt;"ASTM A416"),L622,0),3)</f>
        <v/>
      </c>
      <c r="R622" s="16">
        <f>ROUND(R620+IF(AND(E622=14,F622&lt;&gt;"ASTM A416"),L622,0),3)</f>
        <v/>
      </c>
      <c r="S622" s="16">
        <f>ROUND(S620+IF(AND(E622=16,F622&lt;&gt;"ASTM A416"),L622,0),3)</f>
        <v/>
      </c>
      <c r="T622" s="16">
        <f>ROUND(T620+IF(AND(E622=18,F622&lt;&gt;"ASTM A416"),L622,0),3)</f>
        <v/>
      </c>
      <c r="U622" s="16">
        <f>ROUND(U620+IF(AND(E622=20,F622&lt;&gt;"ASTM A416"),L622,0),3)</f>
        <v/>
      </c>
      <c r="V622" s="16">
        <f>ROUND(V620+IF(AND(E622=22,F622&lt;&gt;"ASTM A416"),L622,0),3)</f>
        <v/>
      </c>
      <c r="W622" s="16">
        <f>ROUND(W620+IF(AND(E622=25,F622&lt;&gt;"ASTM A416"),L622,0),3)</f>
        <v/>
      </c>
      <c r="X622" s="16">
        <f>ROUND(X620+IF(AND(E622=28,F622&lt;&gt;"ASTM A416"),L622,0),3)</f>
        <v/>
      </c>
      <c r="Y622" s="16">
        <f>ROUND(Y620+IF(AND(E622=32,F622&lt;&gt;"ASTM A416"),L622,0),3)</f>
        <v/>
      </c>
      <c r="Z622" s="16">
        <f>ROUND(Z620+IF(F622="ASTM A416",L622,0),3)</f>
        <v/>
      </c>
      <c r="AA622" s="9">
        <f>IF(ROUNDUP(P622/20,0)&gt;ROUNDUP(P620/20,0),"Lần " &amp; ROUNDUP(P622/20,0),"")</f>
        <v/>
      </c>
      <c r="AB622" s="9">
        <f>IF(ROUNDUP(Q622/20,0)&gt;ROUNDUP(Q620/20,0),"Lần " &amp; ROUNDUP(Q622/20,0),"")</f>
        <v/>
      </c>
      <c r="AC622" s="9">
        <f>IF(ROUNDUP(R622/20,0)&gt;ROUNDUP(R620/20,0),"Lần " &amp; ROUNDUP(R622/20,0),"")</f>
        <v/>
      </c>
      <c r="AD622" s="9">
        <f>IF(ROUNDUP(S622/20,0)&gt;ROUNDUP(S620/20,0),"Lần " &amp; ROUNDUP(S622/20,0),"")</f>
        <v/>
      </c>
      <c r="AE622" s="9">
        <f>IF(ROUNDUP(T622/20,0)&gt;ROUNDUP(T620/20,0),"Lần " &amp; ROUNDUP(T622/20,0),"")</f>
        <v/>
      </c>
      <c r="AF622" s="9">
        <f>IF(ROUNDUP(U622/20,0)&gt;ROUNDUP(U620/20,0),"Lần " &amp; ROUNDUP(U622/20,0),"")</f>
        <v/>
      </c>
      <c r="AG622" s="9">
        <f>IF(ROUNDUP(V622/20,0)&gt;ROUNDUP(V620/20,0),"Lần " &amp; ROUNDUP(V622/20,0),"")</f>
        <v/>
      </c>
      <c r="AH622" s="9">
        <f>IF(ROUNDUP(W622/20,0)&gt;ROUNDUP(W620/20,0),"Lần " &amp; ROUNDUP(W622/20,0),"")</f>
        <v/>
      </c>
      <c r="AI622" s="9">
        <f>IF(ROUNDUP(X622/20,0)&gt;ROUNDUP(X620/20,0),"Lần " &amp; ROUNDUP(X622/20,0),"")</f>
        <v/>
      </c>
      <c r="AJ622" s="9">
        <f>IF(ROUNDUP(Y622/20,0)&gt;ROUNDUP(Y620/20,0),"Lần " &amp; ROUNDUP(Y622/20,0),"")</f>
        <v/>
      </c>
      <c r="AK622" s="9">
        <f>IF(ROUNDUP(Z622/20,0)&gt;ROUNDUP(Z620/20,0),"Lần " &amp; ROUNDUP(Z622/20,0),"")</f>
        <v/>
      </c>
      <c r="AL622" s="4" t="n"/>
      <c r="AN622" s="596" t="inlineStr">
        <is>
          <t>Than</t>
        </is>
      </c>
      <c r="AO622" s="596" t="n">
        <v>45</v>
      </c>
      <c r="AQ622" s="594" t="n"/>
      <c r="AR622" s="595" t="n"/>
    </row>
    <row r="623" ht="19" customHeight="1" s="672">
      <c r="A623" s="4" t="n">
        <v>587</v>
      </c>
      <c r="B623" s="5" t="inlineStr">
        <is>
          <t>Trụ T1, T2 (Xà mũ trụ)</t>
        </is>
      </c>
      <c r="C623" s="5" t="inlineStr">
        <is>
          <t>Xà mũ trụ T1 (tr.51)</t>
        </is>
      </c>
      <c r="D623" s="14" t="inlineStr">
        <is>
          <t>X1A</t>
        </is>
      </c>
      <c r="E623" s="15" t="n">
        <v>32</v>
      </c>
      <c r="F623" s="4" t="inlineStr">
        <is>
          <t>CB400-V</t>
        </is>
      </c>
      <c r="G623" s="5" t="inlineStr"/>
      <c r="H623" s="16" t="n">
        <v>13.48</v>
      </c>
      <c r="I623" s="17" t="n">
        <v>15</v>
      </c>
      <c r="J623" s="18" t="n">
        <v>6.313</v>
      </c>
      <c r="K623" s="7">
        <f>ROUND(H623*I623*J623, 2)</f>
        <v/>
      </c>
      <c r="L623" s="19">
        <f>ROUND(K623/1000, 3)</f>
        <v/>
      </c>
      <c r="M623" s="728">
        <f>IF(AO623="","",IF(N(INDEX(Theo_Doi_Tan_Suat_Be_Tong!$C:$C,AO623))&lt;=0,"",INDEX(Theo_Doi_Tan_Suat_Be_Tong!$C:$C,AO623)-VLOOKUP(AN623,$AQ$2:$AR$7,2,FALSE)))</f>
        <v/>
      </c>
      <c r="N623" s="4" t="n"/>
      <c r="O623" s="20">
        <f>IF(ROUNDUP(Y623/20,0)&gt;ROUNDUP(Y622/20,0),"TN Ø32 (Lần " &amp; ROUNDUP(Y623/20,0) &amp; ")","")</f>
        <v/>
      </c>
      <c r="P623" s="16">
        <f>ROUND(P622+IF(AND(E623&lt;=10,F623&lt;&gt;"ASTM A416"),L623,0),3)</f>
        <v/>
      </c>
      <c r="Q623" s="16">
        <f>ROUND(Q622+IF(AND(E623=12,F623&lt;&gt;"ASTM A416"),L623,0),3)</f>
        <v/>
      </c>
      <c r="R623" s="16">
        <f>ROUND(R622+IF(AND(E623=14,F623&lt;&gt;"ASTM A416"),L623,0),3)</f>
        <v/>
      </c>
      <c r="S623" s="16">
        <f>ROUND(S622+IF(AND(E623=16,F623&lt;&gt;"ASTM A416"),L623,0),3)</f>
        <v/>
      </c>
      <c r="T623" s="16">
        <f>ROUND(T622+IF(AND(E623=18,F623&lt;&gt;"ASTM A416"),L623,0),3)</f>
        <v/>
      </c>
      <c r="U623" s="16">
        <f>ROUND(U622+IF(AND(E623=20,F623&lt;&gt;"ASTM A416"),L623,0),3)</f>
        <v/>
      </c>
      <c r="V623" s="16">
        <f>ROUND(V622+IF(AND(E623=22,F623&lt;&gt;"ASTM A416"),L623,0),3)</f>
        <v/>
      </c>
      <c r="W623" s="16">
        <f>ROUND(W622+IF(AND(E623=25,F623&lt;&gt;"ASTM A416"),L623,0),3)</f>
        <v/>
      </c>
      <c r="X623" s="16">
        <f>ROUND(X622+IF(AND(E623=28,F623&lt;&gt;"ASTM A416"),L623,0),3)</f>
        <v/>
      </c>
      <c r="Y623" s="16">
        <f>ROUND(Y622+IF(AND(E623=32,F623&lt;&gt;"ASTM A416"),L623,0),3)</f>
        <v/>
      </c>
      <c r="Z623" s="16">
        <f>ROUND(Z622+IF(F623="ASTM A416",L623,0),3)</f>
        <v/>
      </c>
      <c r="AA623" s="9">
        <f>IF(ROUNDUP(P623/20,0)&gt;ROUNDUP(P622/20,0),"Lần " &amp; ROUNDUP(P623/20,0),"")</f>
        <v/>
      </c>
      <c r="AB623" s="9">
        <f>IF(ROUNDUP(Q623/20,0)&gt;ROUNDUP(Q622/20,0),"Lần " &amp; ROUNDUP(Q623/20,0),"")</f>
        <v/>
      </c>
      <c r="AC623" s="9">
        <f>IF(ROUNDUP(R623/20,0)&gt;ROUNDUP(R622/20,0),"Lần " &amp; ROUNDUP(R623/20,0),"")</f>
        <v/>
      </c>
      <c r="AD623" s="9">
        <f>IF(ROUNDUP(S623/20,0)&gt;ROUNDUP(S622/20,0),"Lần " &amp; ROUNDUP(S623/20,0),"")</f>
        <v/>
      </c>
      <c r="AE623" s="9">
        <f>IF(ROUNDUP(T623/20,0)&gt;ROUNDUP(T622/20,0),"Lần " &amp; ROUNDUP(T623/20,0),"")</f>
        <v/>
      </c>
      <c r="AF623" s="9">
        <f>IF(ROUNDUP(U623/20,0)&gt;ROUNDUP(U622/20,0),"Lần " &amp; ROUNDUP(U623/20,0),"")</f>
        <v/>
      </c>
      <c r="AG623" s="9">
        <f>IF(ROUNDUP(V623/20,0)&gt;ROUNDUP(V622/20,0),"Lần " &amp; ROUNDUP(V623/20,0),"")</f>
        <v/>
      </c>
      <c r="AH623" s="9">
        <f>IF(ROUNDUP(W623/20,0)&gt;ROUNDUP(W622/20,0),"Lần " &amp; ROUNDUP(W623/20,0),"")</f>
        <v/>
      </c>
      <c r="AI623" s="9">
        <f>IF(ROUNDUP(X623/20,0)&gt;ROUNDUP(X622/20,0),"Lần " &amp; ROUNDUP(X623/20,0),"")</f>
        <v/>
      </c>
      <c r="AJ623" s="9">
        <f>IF(ROUNDUP(Y623/20,0)&gt;ROUNDUP(Y622/20,0),"Lần " &amp; ROUNDUP(Y623/20,0),"")</f>
        <v/>
      </c>
      <c r="AK623" s="9">
        <f>IF(ROUNDUP(Z623/20,0)&gt;ROUNDUP(Z622/20,0),"Lần " &amp; ROUNDUP(Z623/20,0),"")</f>
        <v/>
      </c>
      <c r="AL623" s="4" t="n"/>
      <c r="AN623" s="596" t="inlineStr">
        <is>
          <t>Than</t>
        </is>
      </c>
      <c r="AO623" s="596" t="n">
        <v>45</v>
      </c>
      <c r="AQ623" s="594" t="n"/>
      <c r="AR623" s="595" t="n"/>
    </row>
    <row r="624" ht="19" customHeight="1" s="672">
      <c r="A624" s="4" t="n">
        <v>588</v>
      </c>
      <c r="B624" s="5" t="inlineStr">
        <is>
          <t>Trụ T1, T2 (Xà mũ trụ)</t>
        </is>
      </c>
      <c r="C624" s="5" t="inlineStr">
        <is>
          <t>Xà mũ trụ T1 (tr.51)</t>
        </is>
      </c>
      <c r="D624" s="14" t="inlineStr">
        <is>
          <t>X2</t>
        </is>
      </c>
      <c r="E624" s="15" t="n">
        <v>16</v>
      </c>
      <c r="F624" s="4" t="inlineStr">
        <is>
          <t>CB400-V</t>
        </is>
      </c>
      <c r="G624" s="5" t="inlineStr"/>
      <c r="H624" s="16" t="n">
        <v>13.139</v>
      </c>
      <c r="I624" s="17" t="n">
        <v>24</v>
      </c>
      <c r="J624" s="18" t="n">
        <v>1.578</v>
      </c>
      <c r="K624" s="7">
        <f>ROUND(H624*I624*J624, 2)</f>
        <v/>
      </c>
      <c r="L624" s="19">
        <f>ROUND(K624/1000, 3)</f>
        <v/>
      </c>
      <c r="M624" s="728">
        <f>IF(AO624="","",IF(N(INDEX(Theo_Doi_Tan_Suat_Be_Tong!$C:$C,AO624))&lt;=0,"",INDEX(Theo_Doi_Tan_Suat_Be_Tong!$C:$C,AO624)-VLOOKUP(AN624,$AQ$2:$AR$7,2,FALSE)))</f>
        <v/>
      </c>
      <c r="N624" s="4" t="n"/>
      <c r="O624" s="20">
        <f>IF(ROUNDUP(S624/20,0)&gt;ROUNDUP(S623/20,0),"TN Ø16 (Lần " &amp; ROUNDUP(S624/20,0) &amp; ")","")</f>
        <v/>
      </c>
      <c r="P624" s="16">
        <f>ROUND(P623+IF(AND(E624&lt;=10,F624&lt;&gt;"ASTM A416"),L624,0),3)</f>
        <v/>
      </c>
      <c r="Q624" s="16">
        <f>ROUND(Q623+IF(AND(E624=12,F624&lt;&gt;"ASTM A416"),L624,0),3)</f>
        <v/>
      </c>
      <c r="R624" s="16">
        <f>ROUND(R623+IF(AND(E624=14,F624&lt;&gt;"ASTM A416"),L624,0),3)</f>
        <v/>
      </c>
      <c r="S624" s="16">
        <f>ROUND(S623+IF(AND(E624=16,F624&lt;&gt;"ASTM A416"),L624,0),3)</f>
        <v/>
      </c>
      <c r="T624" s="16">
        <f>ROUND(T623+IF(AND(E624=18,F624&lt;&gt;"ASTM A416"),L624,0),3)</f>
        <v/>
      </c>
      <c r="U624" s="16">
        <f>ROUND(U623+IF(AND(E624=20,F624&lt;&gt;"ASTM A416"),L624,0),3)</f>
        <v/>
      </c>
      <c r="V624" s="16">
        <f>ROUND(V623+IF(AND(E624=22,F624&lt;&gt;"ASTM A416"),L624,0),3)</f>
        <v/>
      </c>
      <c r="W624" s="16">
        <f>ROUND(W623+IF(AND(E624=25,F624&lt;&gt;"ASTM A416"),L624,0),3)</f>
        <v/>
      </c>
      <c r="X624" s="16">
        <f>ROUND(X623+IF(AND(E624=28,F624&lt;&gt;"ASTM A416"),L624,0),3)</f>
        <v/>
      </c>
      <c r="Y624" s="16">
        <f>ROUND(Y623+IF(AND(E624=32,F624&lt;&gt;"ASTM A416"),L624,0),3)</f>
        <v/>
      </c>
      <c r="Z624" s="16">
        <f>ROUND(Z623+IF(F624="ASTM A416",L624,0),3)</f>
        <v/>
      </c>
      <c r="AA624" s="9">
        <f>IF(ROUNDUP(P624/20,0)&gt;ROUNDUP(P623/20,0),"Lần " &amp; ROUNDUP(P624/20,0),"")</f>
        <v/>
      </c>
      <c r="AB624" s="9">
        <f>IF(ROUNDUP(Q624/20,0)&gt;ROUNDUP(Q623/20,0),"Lần " &amp; ROUNDUP(Q624/20,0),"")</f>
        <v/>
      </c>
      <c r="AC624" s="9">
        <f>IF(ROUNDUP(R624/20,0)&gt;ROUNDUP(R623/20,0),"Lần " &amp; ROUNDUP(R624/20,0),"")</f>
        <v/>
      </c>
      <c r="AD624" s="9">
        <f>IF(ROUNDUP(S624/20,0)&gt;ROUNDUP(S623/20,0),"Lần " &amp; ROUNDUP(S624/20,0),"")</f>
        <v/>
      </c>
      <c r="AE624" s="9">
        <f>IF(ROUNDUP(T624/20,0)&gt;ROUNDUP(T623/20,0),"Lần " &amp; ROUNDUP(T624/20,0),"")</f>
        <v/>
      </c>
      <c r="AF624" s="9">
        <f>IF(ROUNDUP(U624/20,0)&gt;ROUNDUP(U623/20,0),"Lần " &amp; ROUNDUP(U624/20,0),"")</f>
        <v/>
      </c>
      <c r="AG624" s="9">
        <f>IF(ROUNDUP(V624/20,0)&gt;ROUNDUP(V623/20,0),"Lần " &amp; ROUNDUP(V624/20,0),"")</f>
        <v/>
      </c>
      <c r="AH624" s="9">
        <f>IF(ROUNDUP(W624/20,0)&gt;ROUNDUP(W623/20,0),"Lần " &amp; ROUNDUP(W624/20,0),"")</f>
        <v/>
      </c>
      <c r="AI624" s="9">
        <f>IF(ROUNDUP(X624/20,0)&gt;ROUNDUP(X623/20,0),"Lần " &amp; ROUNDUP(X624/20,0),"")</f>
        <v/>
      </c>
      <c r="AJ624" s="9">
        <f>IF(ROUNDUP(Y624/20,0)&gt;ROUNDUP(Y623/20,0),"Lần " &amp; ROUNDUP(Y624/20,0),"")</f>
        <v/>
      </c>
      <c r="AK624" s="9">
        <f>IF(ROUNDUP(Z624/20,0)&gt;ROUNDUP(Z623/20,0),"Lần " &amp; ROUNDUP(Z624/20,0),"")</f>
        <v/>
      </c>
      <c r="AL624" s="4" t="n"/>
      <c r="AN624" s="596" t="inlineStr">
        <is>
          <t>Than</t>
        </is>
      </c>
      <c r="AO624" s="596" t="n">
        <v>45</v>
      </c>
      <c r="AQ624" s="594" t="n"/>
      <c r="AR624" s="595" t="n"/>
    </row>
    <row r="625" ht="19" customHeight="1" s="672">
      <c r="A625" s="4" t="n">
        <v>589</v>
      </c>
      <c r="B625" s="5" t="inlineStr">
        <is>
          <t>Trụ T1, T2 (Xà mũ trụ)</t>
        </is>
      </c>
      <c r="C625" s="5" t="inlineStr">
        <is>
          <t>Xà mũ trụ T1 (tr.51)</t>
        </is>
      </c>
      <c r="D625" s="14" t="inlineStr">
        <is>
          <t>X3</t>
        </is>
      </c>
      <c r="E625" s="15" t="n">
        <v>25</v>
      </c>
      <c r="F625" s="4" t="inlineStr">
        <is>
          <t>CB400-V</t>
        </is>
      </c>
      <c r="G625" s="5" t="inlineStr"/>
      <c r="H625" s="16" t="n">
        <v>7.468</v>
      </c>
      <c r="I625" s="17" t="n">
        <v>158</v>
      </c>
      <c r="J625" s="18" t="n">
        <v>3.853</v>
      </c>
      <c r="K625" s="7">
        <f>ROUND(H625*I625*J625, 2)</f>
        <v/>
      </c>
      <c r="L625" s="19">
        <f>ROUND(K625/1000, 3)</f>
        <v/>
      </c>
      <c r="M625" s="728">
        <f>IF(AO625="","",IF(N(INDEX(Theo_Doi_Tan_Suat_Be_Tong!$C:$C,AO625))&lt;=0,"",INDEX(Theo_Doi_Tan_Suat_Be_Tong!$C:$C,AO625)-VLOOKUP(AN625,$AQ$2:$AR$7,2,FALSE)))</f>
        <v/>
      </c>
      <c r="N625" s="4" t="n"/>
      <c r="O625" s="20">
        <f>IF(ROUNDUP(W625/20,0)&gt;ROUNDUP(W624/20,0),"TN Ø25 (Lần " &amp; ROUNDUP(W625/20,0) &amp; ")","")</f>
        <v/>
      </c>
      <c r="P625" s="16">
        <f>ROUND(P624+IF(AND(E625&lt;=10,F625&lt;&gt;"ASTM A416"),L625,0),3)</f>
        <v/>
      </c>
      <c r="Q625" s="16">
        <f>ROUND(Q624+IF(AND(E625=12,F625&lt;&gt;"ASTM A416"),L625,0),3)</f>
        <v/>
      </c>
      <c r="R625" s="16">
        <f>ROUND(R624+IF(AND(E625=14,F625&lt;&gt;"ASTM A416"),L625,0),3)</f>
        <v/>
      </c>
      <c r="S625" s="16">
        <f>ROUND(S624+IF(AND(E625=16,F625&lt;&gt;"ASTM A416"),L625,0),3)</f>
        <v/>
      </c>
      <c r="T625" s="16">
        <f>ROUND(T624+IF(AND(E625=18,F625&lt;&gt;"ASTM A416"),L625,0),3)</f>
        <v/>
      </c>
      <c r="U625" s="16">
        <f>ROUND(U624+IF(AND(E625=20,F625&lt;&gt;"ASTM A416"),L625,0),3)</f>
        <v/>
      </c>
      <c r="V625" s="16">
        <f>ROUND(V624+IF(AND(E625=22,F625&lt;&gt;"ASTM A416"),L625,0),3)</f>
        <v/>
      </c>
      <c r="W625" s="16">
        <f>ROUND(W624+IF(AND(E625=25,F625&lt;&gt;"ASTM A416"),L625,0),3)</f>
        <v/>
      </c>
      <c r="X625" s="16">
        <f>ROUND(X624+IF(AND(E625=28,F625&lt;&gt;"ASTM A416"),L625,0),3)</f>
        <v/>
      </c>
      <c r="Y625" s="16">
        <f>ROUND(Y624+IF(AND(E625=32,F625&lt;&gt;"ASTM A416"),L625,0),3)</f>
        <v/>
      </c>
      <c r="Z625" s="16">
        <f>ROUND(Z624+IF(F625="ASTM A416",L625,0),3)</f>
        <v/>
      </c>
      <c r="AA625" s="9">
        <f>IF(ROUNDUP(P625/20,0)&gt;ROUNDUP(P624/20,0),"Lần " &amp; ROUNDUP(P625/20,0),"")</f>
        <v/>
      </c>
      <c r="AB625" s="9">
        <f>IF(ROUNDUP(Q625/20,0)&gt;ROUNDUP(Q624/20,0),"Lần " &amp; ROUNDUP(Q625/20,0),"")</f>
        <v/>
      </c>
      <c r="AC625" s="9">
        <f>IF(ROUNDUP(R625/20,0)&gt;ROUNDUP(R624/20,0),"Lần " &amp; ROUNDUP(R625/20,0),"")</f>
        <v/>
      </c>
      <c r="AD625" s="9">
        <f>IF(ROUNDUP(S625/20,0)&gt;ROUNDUP(S624/20,0),"Lần " &amp; ROUNDUP(S625/20,0),"")</f>
        <v/>
      </c>
      <c r="AE625" s="9">
        <f>IF(ROUNDUP(T625/20,0)&gt;ROUNDUP(T624/20,0),"Lần " &amp; ROUNDUP(T625/20,0),"")</f>
        <v/>
      </c>
      <c r="AF625" s="9">
        <f>IF(ROUNDUP(U625/20,0)&gt;ROUNDUP(U624/20,0),"Lần " &amp; ROUNDUP(U625/20,0),"")</f>
        <v/>
      </c>
      <c r="AG625" s="9">
        <f>IF(ROUNDUP(V625/20,0)&gt;ROUNDUP(V624/20,0),"Lần " &amp; ROUNDUP(V625/20,0),"")</f>
        <v/>
      </c>
      <c r="AH625" s="9">
        <f>IF(ROUNDUP(W625/20,0)&gt;ROUNDUP(W624/20,0),"Lần " &amp; ROUNDUP(W625/20,0),"")</f>
        <v/>
      </c>
      <c r="AI625" s="9">
        <f>IF(ROUNDUP(X625/20,0)&gt;ROUNDUP(X624/20,0),"Lần " &amp; ROUNDUP(X625/20,0),"")</f>
        <v/>
      </c>
      <c r="AJ625" s="9">
        <f>IF(ROUNDUP(Y625/20,0)&gt;ROUNDUP(Y624/20,0),"Lần " &amp; ROUNDUP(Y625/20,0),"")</f>
        <v/>
      </c>
      <c r="AK625" s="9">
        <f>IF(ROUNDUP(Z625/20,0)&gt;ROUNDUP(Z624/20,0),"Lần " &amp; ROUNDUP(Z625/20,0),"")</f>
        <v/>
      </c>
      <c r="AL625" s="4" t="n"/>
      <c r="AN625" s="596" t="inlineStr">
        <is>
          <t>Than</t>
        </is>
      </c>
      <c r="AO625" s="596" t="n">
        <v>45</v>
      </c>
      <c r="AQ625" s="594" t="n"/>
      <c r="AR625" s="595" t="n"/>
    </row>
    <row r="626" ht="19" customHeight="1" s="672">
      <c r="A626" s="4" t="n">
        <v>590</v>
      </c>
      <c r="B626" s="5" t="inlineStr">
        <is>
          <t>Trụ T1, T2 (Xà mũ trụ)</t>
        </is>
      </c>
      <c r="C626" s="5" t="inlineStr">
        <is>
          <t>Xà mũ trụ T1 (tr.51)</t>
        </is>
      </c>
      <c r="D626" s="14" t="inlineStr">
        <is>
          <t>(?)</t>
        </is>
      </c>
      <c r="E626" s="15" t="n">
        <v>16</v>
      </c>
      <c r="F626" s="4" t="inlineStr">
        <is>
          <t>CB400-V</t>
        </is>
      </c>
      <c r="G626" s="5" t="inlineStr"/>
      <c r="H626" s="16" t="n">
        <v>3.6</v>
      </c>
      <c r="I626" s="17" t="n">
        <v>158</v>
      </c>
      <c r="J626" s="18" t="n">
        <v>1.578</v>
      </c>
      <c r="K626" s="7">
        <f>ROUND(H626*I626*J626, 2)</f>
        <v/>
      </c>
      <c r="L626" s="19">
        <f>ROUND(K626/1000, 3)</f>
        <v/>
      </c>
      <c r="M626" s="728">
        <f>IF(AO626="","",IF(N(INDEX(Theo_Doi_Tan_Suat_Be_Tong!$C:$C,AO626))&lt;=0,"",INDEX(Theo_Doi_Tan_Suat_Be_Tong!$C:$C,AO626)-VLOOKUP(AN626,$AQ$2:$AR$7,2,FALSE)))</f>
        <v/>
      </c>
      <c r="N626" s="4" t="n"/>
      <c r="O626" s="20">
        <f>IF(ROUNDUP(S626/20,0)&gt;ROUNDUP(S625/20,0),"TN Ø16 (Lần " &amp; ROUNDUP(S626/20,0) &amp; ")","")</f>
        <v/>
      </c>
      <c r="P626" s="16">
        <f>ROUND(P625+IF(AND(E626&lt;=10,F626&lt;&gt;"ASTM A416"),L626,0),3)</f>
        <v/>
      </c>
      <c r="Q626" s="16">
        <f>ROUND(Q625+IF(AND(E626=12,F626&lt;&gt;"ASTM A416"),L626,0),3)</f>
        <v/>
      </c>
      <c r="R626" s="16">
        <f>ROUND(R625+IF(AND(E626=14,F626&lt;&gt;"ASTM A416"),L626,0),3)</f>
        <v/>
      </c>
      <c r="S626" s="16">
        <f>ROUND(S625+IF(AND(E626=16,F626&lt;&gt;"ASTM A416"),L626,0),3)</f>
        <v/>
      </c>
      <c r="T626" s="16">
        <f>ROUND(T625+IF(AND(E626=18,F626&lt;&gt;"ASTM A416"),L626,0),3)</f>
        <v/>
      </c>
      <c r="U626" s="16">
        <f>ROUND(U625+IF(AND(E626=20,F626&lt;&gt;"ASTM A416"),L626,0),3)</f>
        <v/>
      </c>
      <c r="V626" s="16">
        <f>ROUND(V625+IF(AND(E626=22,F626&lt;&gt;"ASTM A416"),L626,0),3)</f>
        <v/>
      </c>
      <c r="W626" s="16">
        <f>ROUND(W625+IF(AND(E626=25,F626&lt;&gt;"ASTM A416"),L626,0),3)</f>
        <v/>
      </c>
      <c r="X626" s="16">
        <f>ROUND(X625+IF(AND(E626=28,F626&lt;&gt;"ASTM A416"),L626,0),3)</f>
        <v/>
      </c>
      <c r="Y626" s="16">
        <f>ROUND(Y625+IF(AND(E626=32,F626&lt;&gt;"ASTM A416"),L626,0),3)</f>
        <v/>
      </c>
      <c r="Z626" s="16">
        <f>ROUND(Z625+IF(F626="ASTM A416",L626,0),3)</f>
        <v/>
      </c>
      <c r="AA626" s="9">
        <f>IF(ROUNDUP(P626/20,0)&gt;ROUNDUP(P625/20,0),"Lần " &amp; ROUNDUP(P626/20,0),"")</f>
        <v/>
      </c>
      <c r="AB626" s="9">
        <f>IF(ROUNDUP(Q626/20,0)&gt;ROUNDUP(Q625/20,0),"Lần " &amp; ROUNDUP(Q626/20,0),"")</f>
        <v/>
      </c>
      <c r="AC626" s="9">
        <f>IF(ROUNDUP(R626/20,0)&gt;ROUNDUP(R625/20,0),"Lần " &amp; ROUNDUP(R626/20,0),"")</f>
        <v/>
      </c>
      <c r="AD626" s="9">
        <f>IF(ROUNDUP(S626/20,0)&gt;ROUNDUP(S625/20,0),"Lần " &amp; ROUNDUP(S626/20,0),"")</f>
        <v/>
      </c>
      <c r="AE626" s="9">
        <f>IF(ROUNDUP(T626/20,0)&gt;ROUNDUP(T625/20,0),"Lần " &amp; ROUNDUP(T626/20,0),"")</f>
        <v/>
      </c>
      <c r="AF626" s="9">
        <f>IF(ROUNDUP(U626/20,0)&gt;ROUNDUP(U625/20,0),"Lần " &amp; ROUNDUP(U626/20,0),"")</f>
        <v/>
      </c>
      <c r="AG626" s="9">
        <f>IF(ROUNDUP(V626/20,0)&gt;ROUNDUP(V625/20,0),"Lần " &amp; ROUNDUP(V626/20,0),"")</f>
        <v/>
      </c>
      <c r="AH626" s="9">
        <f>IF(ROUNDUP(W626/20,0)&gt;ROUNDUP(W625/20,0),"Lần " &amp; ROUNDUP(W626/20,0),"")</f>
        <v/>
      </c>
      <c r="AI626" s="9">
        <f>IF(ROUNDUP(X626/20,0)&gt;ROUNDUP(X625/20,0),"Lần " &amp; ROUNDUP(X626/20,0),"")</f>
        <v/>
      </c>
      <c r="AJ626" s="9">
        <f>IF(ROUNDUP(Y626/20,0)&gt;ROUNDUP(Y625/20,0),"Lần " &amp; ROUNDUP(Y626/20,0),"")</f>
        <v/>
      </c>
      <c r="AK626" s="9">
        <f>IF(ROUNDUP(Z626/20,0)&gt;ROUNDUP(Z625/20,0),"Lần " &amp; ROUNDUP(Z626/20,0),"")</f>
        <v/>
      </c>
      <c r="AL626" s="4" t="n"/>
      <c r="AN626" s="596" t="inlineStr">
        <is>
          <t>Than</t>
        </is>
      </c>
      <c r="AO626" s="596" t="n">
        <v>45</v>
      </c>
      <c r="AQ626" s="594" t="n"/>
      <c r="AR626" s="595" t="n"/>
    </row>
    <row r="627" ht="19" customHeight="1" s="672">
      <c r="A627" s="4" t="n">
        <v>591</v>
      </c>
      <c r="B627" s="5" t="inlineStr">
        <is>
          <t>Trụ T1, T2 (Xà mũ trụ)</t>
        </is>
      </c>
      <c r="C627" s="5" t="inlineStr">
        <is>
          <t>Xà mũ trụ T1 (tr.51)</t>
        </is>
      </c>
      <c r="D627" s="14" t="inlineStr">
        <is>
          <t>X5</t>
        </is>
      </c>
      <c r="E627" s="15" t="n">
        <v>25</v>
      </c>
      <c r="F627" s="4" t="inlineStr">
        <is>
          <t>CB400-V</t>
        </is>
      </c>
      <c r="G627" s="5" t="inlineStr"/>
      <c r="H627" s="16" t="n">
        <v>13.608</v>
      </c>
      <c r="I627" s="17" t="n">
        <v>12</v>
      </c>
      <c r="J627" s="18" t="n">
        <v>3.853</v>
      </c>
      <c r="K627" s="7">
        <f>ROUND(H627*I627*J627, 2)</f>
        <v/>
      </c>
      <c r="L627" s="19">
        <f>ROUND(K627/1000, 3)</f>
        <v/>
      </c>
      <c r="M627" s="728">
        <f>IF(AO627="","",IF(N(INDEX(Theo_Doi_Tan_Suat_Be_Tong!$C:$C,AO627))&lt;=0,"",INDEX(Theo_Doi_Tan_Suat_Be_Tong!$C:$C,AO627)-VLOOKUP(AN627,$AQ$2:$AR$7,2,FALSE)))</f>
        <v/>
      </c>
      <c r="N627" s="4" t="n"/>
      <c r="O627" s="20">
        <f>IF(ROUNDUP(W627/20,0)&gt;ROUNDUP(W626/20,0),"TN Ø25 (Lần " &amp; ROUNDUP(W627/20,0) &amp; ")","")</f>
        <v/>
      </c>
      <c r="P627" s="16">
        <f>ROUND(P626+IF(AND(E627&lt;=10,F627&lt;&gt;"ASTM A416"),L627,0),3)</f>
        <v/>
      </c>
      <c r="Q627" s="16">
        <f>ROUND(Q626+IF(AND(E627=12,F627&lt;&gt;"ASTM A416"),L627,0),3)</f>
        <v/>
      </c>
      <c r="R627" s="16">
        <f>ROUND(R626+IF(AND(E627=14,F627&lt;&gt;"ASTM A416"),L627,0),3)</f>
        <v/>
      </c>
      <c r="S627" s="16">
        <f>ROUND(S626+IF(AND(E627=16,F627&lt;&gt;"ASTM A416"),L627,0),3)</f>
        <v/>
      </c>
      <c r="T627" s="16">
        <f>ROUND(T626+IF(AND(E627=18,F627&lt;&gt;"ASTM A416"),L627,0),3)</f>
        <v/>
      </c>
      <c r="U627" s="16">
        <f>ROUND(U626+IF(AND(E627=20,F627&lt;&gt;"ASTM A416"),L627,0),3)</f>
        <v/>
      </c>
      <c r="V627" s="16">
        <f>ROUND(V626+IF(AND(E627=22,F627&lt;&gt;"ASTM A416"),L627,0),3)</f>
        <v/>
      </c>
      <c r="W627" s="16">
        <f>ROUND(W626+IF(AND(E627=25,F627&lt;&gt;"ASTM A416"),L627,0),3)</f>
        <v/>
      </c>
      <c r="X627" s="16">
        <f>ROUND(X626+IF(AND(E627=28,F627&lt;&gt;"ASTM A416"),L627,0),3)</f>
        <v/>
      </c>
      <c r="Y627" s="16">
        <f>ROUND(Y626+IF(AND(E627=32,F627&lt;&gt;"ASTM A416"),L627,0),3)</f>
        <v/>
      </c>
      <c r="Z627" s="16">
        <f>ROUND(Z626+IF(F627="ASTM A416",L627,0),3)</f>
        <v/>
      </c>
      <c r="AA627" s="9">
        <f>IF(ROUNDUP(P627/20,0)&gt;ROUNDUP(P626/20,0),"Lần " &amp; ROUNDUP(P627/20,0),"")</f>
        <v/>
      </c>
      <c r="AB627" s="9">
        <f>IF(ROUNDUP(Q627/20,0)&gt;ROUNDUP(Q626/20,0),"Lần " &amp; ROUNDUP(Q627/20,0),"")</f>
        <v/>
      </c>
      <c r="AC627" s="9">
        <f>IF(ROUNDUP(R627/20,0)&gt;ROUNDUP(R626/20,0),"Lần " &amp; ROUNDUP(R627/20,0),"")</f>
        <v/>
      </c>
      <c r="AD627" s="9">
        <f>IF(ROUNDUP(S627/20,0)&gt;ROUNDUP(S626/20,0),"Lần " &amp; ROUNDUP(S627/20,0),"")</f>
        <v/>
      </c>
      <c r="AE627" s="9">
        <f>IF(ROUNDUP(T627/20,0)&gt;ROUNDUP(T626/20,0),"Lần " &amp; ROUNDUP(T627/20,0),"")</f>
        <v/>
      </c>
      <c r="AF627" s="9">
        <f>IF(ROUNDUP(U627/20,0)&gt;ROUNDUP(U626/20,0),"Lần " &amp; ROUNDUP(U627/20,0),"")</f>
        <v/>
      </c>
      <c r="AG627" s="9">
        <f>IF(ROUNDUP(V627/20,0)&gt;ROUNDUP(V626/20,0),"Lần " &amp; ROUNDUP(V627/20,0),"")</f>
        <v/>
      </c>
      <c r="AH627" s="9">
        <f>IF(ROUNDUP(W627/20,0)&gt;ROUNDUP(W626/20,0),"Lần " &amp; ROUNDUP(W627/20,0),"")</f>
        <v/>
      </c>
      <c r="AI627" s="9">
        <f>IF(ROUNDUP(X627/20,0)&gt;ROUNDUP(X626/20,0),"Lần " &amp; ROUNDUP(X627/20,0),"")</f>
        <v/>
      </c>
      <c r="AJ627" s="9">
        <f>IF(ROUNDUP(Y627/20,0)&gt;ROUNDUP(Y626/20,0),"Lần " &amp; ROUNDUP(Y627/20,0),"")</f>
        <v/>
      </c>
      <c r="AK627" s="9">
        <f>IF(ROUNDUP(Z627/20,0)&gt;ROUNDUP(Z626/20,0),"Lần " &amp; ROUNDUP(Z627/20,0),"")</f>
        <v/>
      </c>
      <c r="AL627" s="4" t="n"/>
      <c r="AN627" s="596" t="inlineStr">
        <is>
          <t>Than</t>
        </is>
      </c>
      <c r="AO627" s="596" t="n">
        <v>45</v>
      </c>
      <c r="AQ627" s="594" t="n"/>
      <c r="AR627" s="595" t="n"/>
    </row>
    <row r="628" ht="19" customHeight="1" s="672">
      <c r="A628" s="4" t="n">
        <v>592</v>
      </c>
      <c r="B628" s="5" t="inlineStr">
        <is>
          <t>Trụ T1, T2 (Xà mũ trụ)</t>
        </is>
      </c>
      <c r="C628" s="5" t="inlineStr">
        <is>
          <t>Xà mũ trụ T1 (tr.51)</t>
        </is>
      </c>
      <c r="D628" s="14" t="inlineStr">
        <is>
          <t>X5A</t>
        </is>
      </c>
      <c r="E628" s="15" t="n">
        <v>16</v>
      </c>
      <c r="F628" s="4" t="inlineStr">
        <is>
          <t>CB400-V</t>
        </is>
      </c>
      <c r="G628" s="5" t="inlineStr"/>
      <c r="H628" s="16" t="n">
        <v>13.005</v>
      </c>
      <c r="I628" s="17" t="n">
        <v>10</v>
      </c>
      <c r="J628" s="18" t="n">
        <v>1.578</v>
      </c>
      <c r="K628" s="7">
        <f>ROUND(H628*I628*J628, 2)</f>
        <v/>
      </c>
      <c r="L628" s="19">
        <f>ROUND(K628/1000, 3)</f>
        <v/>
      </c>
      <c r="M628" s="728">
        <f>IF(AO628="","",IF(N(INDEX(Theo_Doi_Tan_Suat_Be_Tong!$C:$C,AO628))&lt;=0,"",INDEX(Theo_Doi_Tan_Suat_Be_Tong!$C:$C,AO628)-VLOOKUP(AN628,$AQ$2:$AR$7,2,FALSE)))</f>
        <v/>
      </c>
      <c r="N628" s="4" t="n"/>
      <c r="O628" s="20">
        <f>IF(ROUNDUP(S628/20,0)&gt;ROUNDUP(S627/20,0),"TN Ø16 (Lần " &amp; ROUNDUP(S628/20,0) &amp; ")","")</f>
        <v/>
      </c>
      <c r="P628" s="16">
        <f>ROUND(P627+IF(AND(E628&lt;=10,F628&lt;&gt;"ASTM A416"),L628,0),3)</f>
        <v/>
      </c>
      <c r="Q628" s="16">
        <f>ROUND(Q627+IF(AND(E628=12,F628&lt;&gt;"ASTM A416"),L628,0),3)</f>
        <v/>
      </c>
      <c r="R628" s="16">
        <f>ROUND(R627+IF(AND(E628=14,F628&lt;&gt;"ASTM A416"),L628,0),3)</f>
        <v/>
      </c>
      <c r="S628" s="16">
        <f>ROUND(S627+IF(AND(E628=16,F628&lt;&gt;"ASTM A416"),L628,0),3)</f>
        <v/>
      </c>
      <c r="T628" s="16">
        <f>ROUND(T627+IF(AND(E628=18,F628&lt;&gt;"ASTM A416"),L628,0),3)</f>
        <v/>
      </c>
      <c r="U628" s="16">
        <f>ROUND(U627+IF(AND(E628=20,F628&lt;&gt;"ASTM A416"),L628,0),3)</f>
        <v/>
      </c>
      <c r="V628" s="16">
        <f>ROUND(V627+IF(AND(E628=22,F628&lt;&gt;"ASTM A416"),L628,0),3)</f>
        <v/>
      </c>
      <c r="W628" s="16">
        <f>ROUND(W627+IF(AND(E628=25,F628&lt;&gt;"ASTM A416"),L628,0),3)</f>
        <v/>
      </c>
      <c r="X628" s="16">
        <f>ROUND(X627+IF(AND(E628=28,F628&lt;&gt;"ASTM A416"),L628,0),3)</f>
        <v/>
      </c>
      <c r="Y628" s="16">
        <f>ROUND(Y627+IF(AND(E628=32,F628&lt;&gt;"ASTM A416"),L628,0),3)</f>
        <v/>
      </c>
      <c r="Z628" s="16">
        <f>ROUND(Z627+IF(F628="ASTM A416",L628,0),3)</f>
        <v/>
      </c>
      <c r="AA628" s="9">
        <f>IF(ROUNDUP(P628/20,0)&gt;ROUNDUP(P627/20,0),"Lần " &amp; ROUNDUP(P628/20,0),"")</f>
        <v/>
      </c>
      <c r="AB628" s="9">
        <f>IF(ROUNDUP(Q628/20,0)&gt;ROUNDUP(Q627/20,0),"Lần " &amp; ROUNDUP(Q628/20,0),"")</f>
        <v/>
      </c>
      <c r="AC628" s="9">
        <f>IF(ROUNDUP(R628/20,0)&gt;ROUNDUP(R627/20,0),"Lần " &amp; ROUNDUP(R628/20,0),"")</f>
        <v/>
      </c>
      <c r="AD628" s="9">
        <f>IF(ROUNDUP(S628/20,0)&gt;ROUNDUP(S627/20,0),"Lần " &amp; ROUNDUP(S628/20,0),"")</f>
        <v/>
      </c>
      <c r="AE628" s="9">
        <f>IF(ROUNDUP(T628/20,0)&gt;ROUNDUP(T627/20,0),"Lần " &amp; ROUNDUP(T628/20,0),"")</f>
        <v/>
      </c>
      <c r="AF628" s="9">
        <f>IF(ROUNDUP(U628/20,0)&gt;ROUNDUP(U627/20,0),"Lần " &amp; ROUNDUP(U628/20,0),"")</f>
        <v/>
      </c>
      <c r="AG628" s="9">
        <f>IF(ROUNDUP(V628/20,0)&gt;ROUNDUP(V627/20,0),"Lần " &amp; ROUNDUP(V628/20,0),"")</f>
        <v/>
      </c>
      <c r="AH628" s="9">
        <f>IF(ROUNDUP(W628/20,0)&gt;ROUNDUP(W627/20,0),"Lần " &amp; ROUNDUP(W628/20,0),"")</f>
        <v/>
      </c>
      <c r="AI628" s="9">
        <f>IF(ROUNDUP(X628/20,0)&gt;ROUNDUP(X627/20,0),"Lần " &amp; ROUNDUP(X628/20,0),"")</f>
        <v/>
      </c>
      <c r="AJ628" s="9">
        <f>IF(ROUNDUP(Y628/20,0)&gt;ROUNDUP(Y627/20,0),"Lần " &amp; ROUNDUP(Y628/20,0),"")</f>
        <v/>
      </c>
      <c r="AK628" s="9">
        <f>IF(ROUNDUP(Z628/20,0)&gt;ROUNDUP(Z627/20,0),"Lần " &amp; ROUNDUP(Z628/20,0),"")</f>
        <v/>
      </c>
      <c r="AL628" s="4" t="n"/>
      <c r="AN628" s="596" t="inlineStr">
        <is>
          <t>Than</t>
        </is>
      </c>
      <c r="AO628" s="596" t="n">
        <v>45</v>
      </c>
      <c r="AQ628" s="594" t="n"/>
      <c r="AR628" s="595" t="n"/>
    </row>
    <row r="629" ht="19" customHeight="1" s="672">
      <c r="A629" s="4" t="n">
        <v>593</v>
      </c>
      <c r="B629" s="5" t="inlineStr">
        <is>
          <t>Trụ T1, T2 (Xà mũ trụ)</t>
        </is>
      </c>
      <c r="C629" s="5" t="inlineStr">
        <is>
          <t>Xà mũ trụ T1 (tr.51)</t>
        </is>
      </c>
      <c r="D629" s="14" t="inlineStr">
        <is>
          <t>X6</t>
        </is>
      </c>
      <c r="E629" s="15" t="n">
        <v>25</v>
      </c>
      <c r="F629" s="4" t="inlineStr">
        <is>
          <t>CB400-V</t>
        </is>
      </c>
      <c r="G629" s="5" t="inlineStr"/>
      <c r="H629" s="16" t="n">
        <v>3.825</v>
      </c>
      <c r="I629" s="17" t="n">
        <v>79</v>
      </c>
      <c r="J629" s="18" t="n">
        <v>3.853</v>
      </c>
      <c r="K629" s="7">
        <f>ROUND(H629*I629*J629, 2)</f>
        <v/>
      </c>
      <c r="L629" s="19">
        <f>ROUND(K629/1000, 3)</f>
        <v/>
      </c>
      <c r="M629" s="728">
        <f>IF(AO629="","",IF(N(INDEX(Theo_Doi_Tan_Suat_Be_Tong!$C:$C,AO629))&lt;=0,"",INDEX(Theo_Doi_Tan_Suat_Be_Tong!$C:$C,AO629)-VLOOKUP(AN629,$AQ$2:$AR$7,2,FALSE)))</f>
        <v/>
      </c>
      <c r="N629" s="4" t="n"/>
      <c r="O629" s="20">
        <f>IF(ROUNDUP(W629/20,0)&gt;ROUNDUP(W628/20,0),"TN Ø25 (Lần " &amp; ROUNDUP(W629/20,0) &amp; ")","")</f>
        <v/>
      </c>
      <c r="P629" s="16">
        <f>ROUND(P628+IF(AND(E629&lt;=10,F629&lt;&gt;"ASTM A416"),L629,0),3)</f>
        <v/>
      </c>
      <c r="Q629" s="16">
        <f>ROUND(Q628+IF(AND(E629=12,F629&lt;&gt;"ASTM A416"),L629,0),3)</f>
        <v/>
      </c>
      <c r="R629" s="16">
        <f>ROUND(R628+IF(AND(E629=14,F629&lt;&gt;"ASTM A416"),L629,0),3)</f>
        <v/>
      </c>
      <c r="S629" s="16">
        <f>ROUND(S628+IF(AND(E629=16,F629&lt;&gt;"ASTM A416"),L629,0),3)</f>
        <v/>
      </c>
      <c r="T629" s="16">
        <f>ROUND(T628+IF(AND(E629=18,F629&lt;&gt;"ASTM A416"),L629,0),3)</f>
        <v/>
      </c>
      <c r="U629" s="16">
        <f>ROUND(U628+IF(AND(E629=20,F629&lt;&gt;"ASTM A416"),L629,0),3)</f>
        <v/>
      </c>
      <c r="V629" s="16">
        <f>ROUND(V628+IF(AND(E629=22,F629&lt;&gt;"ASTM A416"),L629,0),3)</f>
        <v/>
      </c>
      <c r="W629" s="16">
        <f>ROUND(W628+IF(AND(E629=25,F629&lt;&gt;"ASTM A416"),L629,0),3)</f>
        <v/>
      </c>
      <c r="X629" s="16">
        <f>ROUND(X628+IF(AND(E629=28,F629&lt;&gt;"ASTM A416"),L629,0),3)</f>
        <v/>
      </c>
      <c r="Y629" s="16">
        <f>ROUND(Y628+IF(AND(E629=32,F629&lt;&gt;"ASTM A416"),L629,0),3)</f>
        <v/>
      </c>
      <c r="Z629" s="16">
        <f>ROUND(Z628+IF(F629="ASTM A416",L629,0),3)</f>
        <v/>
      </c>
      <c r="AA629" s="9">
        <f>IF(ROUNDUP(P629/20,0)&gt;ROUNDUP(P628/20,0),"Lần " &amp; ROUNDUP(P629/20,0),"")</f>
        <v/>
      </c>
      <c r="AB629" s="9">
        <f>IF(ROUNDUP(Q629/20,0)&gt;ROUNDUP(Q628/20,0),"Lần " &amp; ROUNDUP(Q629/20,0),"")</f>
        <v/>
      </c>
      <c r="AC629" s="9">
        <f>IF(ROUNDUP(R629/20,0)&gt;ROUNDUP(R628/20,0),"Lần " &amp; ROUNDUP(R629/20,0),"")</f>
        <v/>
      </c>
      <c r="AD629" s="9">
        <f>IF(ROUNDUP(S629/20,0)&gt;ROUNDUP(S628/20,0),"Lần " &amp; ROUNDUP(S629/20,0),"")</f>
        <v/>
      </c>
      <c r="AE629" s="9">
        <f>IF(ROUNDUP(T629/20,0)&gt;ROUNDUP(T628/20,0),"Lần " &amp; ROUNDUP(T629/20,0),"")</f>
        <v/>
      </c>
      <c r="AF629" s="9">
        <f>IF(ROUNDUP(U629/20,0)&gt;ROUNDUP(U628/20,0),"Lần " &amp; ROUNDUP(U629/20,0),"")</f>
        <v/>
      </c>
      <c r="AG629" s="9">
        <f>IF(ROUNDUP(V629/20,0)&gt;ROUNDUP(V628/20,0),"Lần " &amp; ROUNDUP(V629/20,0),"")</f>
        <v/>
      </c>
      <c r="AH629" s="9">
        <f>IF(ROUNDUP(W629/20,0)&gt;ROUNDUP(W628/20,0),"Lần " &amp; ROUNDUP(W629/20,0),"")</f>
        <v/>
      </c>
      <c r="AI629" s="9">
        <f>IF(ROUNDUP(X629/20,0)&gt;ROUNDUP(X628/20,0),"Lần " &amp; ROUNDUP(X629/20,0),"")</f>
        <v/>
      </c>
      <c r="AJ629" s="9">
        <f>IF(ROUNDUP(Y629/20,0)&gt;ROUNDUP(Y628/20,0),"Lần " &amp; ROUNDUP(Y629/20,0),"")</f>
        <v/>
      </c>
      <c r="AK629" s="9">
        <f>IF(ROUNDUP(Z629/20,0)&gt;ROUNDUP(Z628/20,0),"Lần " &amp; ROUNDUP(Z629/20,0),"")</f>
        <v/>
      </c>
      <c r="AL629" s="4" t="n"/>
      <c r="AN629" s="596" t="inlineStr">
        <is>
          <t>Than</t>
        </is>
      </c>
      <c r="AO629" s="596" t="n">
        <v>45</v>
      </c>
      <c r="AQ629" s="594" t="n"/>
      <c r="AR629" s="595" t="n"/>
    </row>
    <row r="630" ht="19" customHeight="1" s="672">
      <c r="A630" s="4" t="n">
        <v>594</v>
      </c>
      <c r="B630" s="5" t="inlineStr">
        <is>
          <t>Trụ T1, T2 (Xà mũ trụ)</t>
        </is>
      </c>
      <c r="C630" s="5" t="inlineStr">
        <is>
          <t>Xà mũ trụ T1 (tr.51)</t>
        </is>
      </c>
      <c r="D630" s="14" t="inlineStr">
        <is>
          <t>X6A</t>
        </is>
      </c>
      <c r="E630" s="15" t="n">
        <v>16</v>
      </c>
      <c r="F630" s="4" t="inlineStr">
        <is>
          <t>CB400-V</t>
        </is>
      </c>
      <c r="G630" s="5" t="inlineStr"/>
      <c r="H630" s="16" t="n">
        <v>3.582</v>
      </c>
      <c r="I630" s="17" t="n">
        <v>158</v>
      </c>
      <c r="J630" s="18" t="n">
        <v>1.578</v>
      </c>
      <c r="K630" s="7">
        <f>ROUND(H630*I630*J630, 2)</f>
        <v/>
      </c>
      <c r="L630" s="19">
        <f>ROUND(K630/1000, 3)</f>
        <v/>
      </c>
      <c r="M630" s="728">
        <f>IF(AO630="","",IF(N(INDEX(Theo_Doi_Tan_Suat_Be_Tong!$C:$C,AO630))&lt;=0,"",INDEX(Theo_Doi_Tan_Suat_Be_Tong!$C:$C,AO630)-VLOOKUP(AN630,$AQ$2:$AR$7,2,FALSE)))</f>
        <v/>
      </c>
      <c r="N630" s="4" t="n"/>
      <c r="O630" s="20">
        <f>IF(ROUNDUP(S630/20,0)&gt;ROUNDUP(S629/20,0),"TN Ø16 (Lần " &amp; ROUNDUP(S630/20,0) &amp; ")","")</f>
        <v/>
      </c>
      <c r="P630" s="16">
        <f>ROUND(P629+IF(AND(E630&lt;=10,F630&lt;&gt;"ASTM A416"),L630,0),3)</f>
        <v/>
      </c>
      <c r="Q630" s="16">
        <f>ROUND(Q629+IF(AND(E630=12,F630&lt;&gt;"ASTM A416"),L630,0),3)</f>
        <v/>
      </c>
      <c r="R630" s="16">
        <f>ROUND(R629+IF(AND(E630=14,F630&lt;&gt;"ASTM A416"),L630,0),3)</f>
        <v/>
      </c>
      <c r="S630" s="16">
        <f>ROUND(S629+IF(AND(E630=16,F630&lt;&gt;"ASTM A416"),L630,0),3)</f>
        <v/>
      </c>
      <c r="T630" s="16">
        <f>ROUND(T629+IF(AND(E630=18,F630&lt;&gt;"ASTM A416"),L630,0),3)</f>
        <v/>
      </c>
      <c r="U630" s="16">
        <f>ROUND(U629+IF(AND(E630=20,F630&lt;&gt;"ASTM A416"),L630,0),3)</f>
        <v/>
      </c>
      <c r="V630" s="16">
        <f>ROUND(V629+IF(AND(E630=22,F630&lt;&gt;"ASTM A416"),L630,0),3)</f>
        <v/>
      </c>
      <c r="W630" s="16">
        <f>ROUND(W629+IF(AND(E630=25,F630&lt;&gt;"ASTM A416"),L630,0),3)</f>
        <v/>
      </c>
      <c r="X630" s="16">
        <f>ROUND(X629+IF(AND(E630=28,F630&lt;&gt;"ASTM A416"),L630,0),3)</f>
        <v/>
      </c>
      <c r="Y630" s="16">
        <f>ROUND(Y629+IF(AND(E630=32,F630&lt;&gt;"ASTM A416"),L630,0),3)</f>
        <v/>
      </c>
      <c r="Z630" s="16">
        <f>ROUND(Z629+IF(F630="ASTM A416",L630,0),3)</f>
        <v/>
      </c>
      <c r="AA630" s="9">
        <f>IF(ROUNDUP(P630/20,0)&gt;ROUNDUP(P629/20,0),"Lần " &amp; ROUNDUP(P630/20,0),"")</f>
        <v/>
      </c>
      <c r="AB630" s="9">
        <f>IF(ROUNDUP(Q630/20,0)&gt;ROUNDUP(Q629/20,0),"Lần " &amp; ROUNDUP(Q630/20,0),"")</f>
        <v/>
      </c>
      <c r="AC630" s="9">
        <f>IF(ROUNDUP(R630/20,0)&gt;ROUNDUP(R629/20,0),"Lần " &amp; ROUNDUP(R630/20,0),"")</f>
        <v/>
      </c>
      <c r="AD630" s="9">
        <f>IF(ROUNDUP(S630/20,0)&gt;ROUNDUP(S629/20,0),"Lần " &amp; ROUNDUP(S630/20,0),"")</f>
        <v/>
      </c>
      <c r="AE630" s="9">
        <f>IF(ROUNDUP(T630/20,0)&gt;ROUNDUP(T629/20,0),"Lần " &amp; ROUNDUP(T630/20,0),"")</f>
        <v/>
      </c>
      <c r="AF630" s="9">
        <f>IF(ROUNDUP(U630/20,0)&gt;ROUNDUP(U629/20,0),"Lần " &amp; ROUNDUP(U630/20,0),"")</f>
        <v/>
      </c>
      <c r="AG630" s="9">
        <f>IF(ROUNDUP(V630/20,0)&gt;ROUNDUP(V629/20,0),"Lần " &amp; ROUNDUP(V630/20,0),"")</f>
        <v/>
      </c>
      <c r="AH630" s="9">
        <f>IF(ROUNDUP(W630/20,0)&gt;ROUNDUP(W629/20,0),"Lần " &amp; ROUNDUP(W630/20,0),"")</f>
        <v/>
      </c>
      <c r="AI630" s="9">
        <f>IF(ROUNDUP(X630/20,0)&gt;ROUNDUP(X629/20,0),"Lần " &amp; ROUNDUP(X630/20,0),"")</f>
        <v/>
      </c>
      <c r="AJ630" s="9">
        <f>IF(ROUNDUP(Y630/20,0)&gt;ROUNDUP(Y629/20,0),"Lần " &amp; ROUNDUP(Y630/20,0),"")</f>
        <v/>
      </c>
      <c r="AK630" s="9">
        <f>IF(ROUNDUP(Z630/20,0)&gt;ROUNDUP(Z629/20,0),"Lần " &amp; ROUNDUP(Z630/20,0),"")</f>
        <v/>
      </c>
      <c r="AL630" s="4" t="n"/>
      <c r="AN630" s="596" t="inlineStr">
        <is>
          <t>Than</t>
        </is>
      </c>
      <c r="AO630" s="596" t="n">
        <v>45</v>
      </c>
      <c r="AQ630" s="594" t="n"/>
      <c r="AR630" s="595" t="n"/>
    </row>
    <row r="631" ht="19" customHeight="1" s="672">
      <c r="A631" s="4" t="n">
        <v>595</v>
      </c>
      <c r="B631" s="5" t="inlineStr">
        <is>
          <t>Trụ T1, T2 (Xà mũ trụ)</t>
        </is>
      </c>
      <c r="C631" s="5" t="inlineStr">
        <is>
          <t>Xà mũ trụ T1 (tr.51)</t>
        </is>
      </c>
      <c r="D631" s="14" t="inlineStr">
        <is>
          <t>X</t>
        </is>
      </c>
      <c r="E631" s="15" t="n">
        <v>16</v>
      </c>
      <c r="F631" s="4" t="inlineStr">
        <is>
          <t>CB400-V</t>
        </is>
      </c>
      <c r="G631" s="5" t="inlineStr"/>
      <c r="H631" s="16" t="n">
        <v>17.474</v>
      </c>
      <c r="I631" s="17" t="n">
        <v>10</v>
      </c>
      <c r="J631" s="18" t="n">
        <v>1.578</v>
      </c>
      <c r="K631" s="7">
        <f>ROUND(H631*I631*J631, 2)</f>
        <v/>
      </c>
      <c r="L631" s="19">
        <f>ROUND(K631/1000, 3)</f>
        <v/>
      </c>
      <c r="M631" s="728">
        <f>IF(AO631="","",IF(N(INDEX(Theo_Doi_Tan_Suat_Be_Tong!$C:$C,AO631))&lt;=0,"",INDEX(Theo_Doi_Tan_Suat_Be_Tong!$C:$C,AO631)-VLOOKUP(AN631,$AQ$2:$AR$7,2,FALSE)))</f>
        <v/>
      </c>
      <c r="N631" s="4" t="n"/>
      <c r="O631" s="20">
        <f>IF(ROUNDUP(S631/20,0)&gt;ROUNDUP(S630/20,0),"TN Ø16 (Lần " &amp; ROUNDUP(S631/20,0) &amp; ")","")</f>
        <v/>
      </c>
      <c r="P631" s="16">
        <f>ROUND(P630+IF(AND(E631&lt;=10,F631&lt;&gt;"ASTM A416"),L631,0),3)</f>
        <v/>
      </c>
      <c r="Q631" s="16">
        <f>ROUND(Q630+IF(AND(E631=12,F631&lt;&gt;"ASTM A416"),L631,0),3)</f>
        <v/>
      </c>
      <c r="R631" s="16">
        <f>ROUND(R630+IF(AND(E631=14,F631&lt;&gt;"ASTM A416"),L631,0),3)</f>
        <v/>
      </c>
      <c r="S631" s="16">
        <f>ROUND(S630+IF(AND(E631=16,F631&lt;&gt;"ASTM A416"),L631,0),3)</f>
        <v/>
      </c>
      <c r="T631" s="16">
        <f>ROUND(T630+IF(AND(E631=18,F631&lt;&gt;"ASTM A416"),L631,0),3)</f>
        <v/>
      </c>
      <c r="U631" s="16">
        <f>ROUND(U630+IF(AND(E631=20,F631&lt;&gt;"ASTM A416"),L631,0),3)</f>
        <v/>
      </c>
      <c r="V631" s="16">
        <f>ROUND(V630+IF(AND(E631=22,F631&lt;&gt;"ASTM A416"),L631,0),3)</f>
        <v/>
      </c>
      <c r="W631" s="16">
        <f>ROUND(W630+IF(AND(E631=25,F631&lt;&gt;"ASTM A416"),L631,0),3)</f>
        <v/>
      </c>
      <c r="X631" s="16">
        <f>ROUND(X630+IF(AND(E631=28,F631&lt;&gt;"ASTM A416"),L631,0),3)</f>
        <v/>
      </c>
      <c r="Y631" s="16">
        <f>ROUND(Y630+IF(AND(E631=32,F631&lt;&gt;"ASTM A416"),L631,0),3)</f>
        <v/>
      </c>
      <c r="Z631" s="16">
        <f>ROUND(Z630+IF(F631="ASTM A416",L631,0),3)</f>
        <v/>
      </c>
      <c r="AA631" s="9">
        <f>IF(ROUNDUP(P631/20,0)&gt;ROUNDUP(P630/20,0),"Lần " &amp; ROUNDUP(P631/20,0),"")</f>
        <v/>
      </c>
      <c r="AB631" s="9">
        <f>IF(ROUNDUP(Q631/20,0)&gt;ROUNDUP(Q630/20,0),"Lần " &amp; ROUNDUP(Q631/20,0),"")</f>
        <v/>
      </c>
      <c r="AC631" s="9">
        <f>IF(ROUNDUP(R631/20,0)&gt;ROUNDUP(R630/20,0),"Lần " &amp; ROUNDUP(R631/20,0),"")</f>
        <v/>
      </c>
      <c r="AD631" s="9">
        <f>IF(ROUNDUP(S631/20,0)&gt;ROUNDUP(S630/20,0),"Lần " &amp; ROUNDUP(S631/20,0),"")</f>
        <v/>
      </c>
      <c r="AE631" s="9">
        <f>IF(ROUNDUP(T631/20,0)&gt;ROUNDUP(T630/20,0),"Lần " &amp; ROUNDUP(T631/20,0),"")</f>
        <v/>
      </c>
      <c r="AF631" s="9">
        <f>IF(ROUNDUP(U631/20,0)&gt;ROUNDUP(U630/20,0),"Lần " &amp; ROUNDUP(U631/20,0),"")</f>
        <v/>
      </c>
      <c r="AG631" s="9">
        <f>IF(ROUNDUP(V631/20,0)&gt;ROUNDUP(V630/20,0),"Lần " &amp; ROUNDUP(V631/20,0),"")</f>
        <v/>
      </c>
      <c r="AH631" s="9">
        <f>IF(ROUNDUP(W631/20,0)&gt;ROUNDUP(W630/20,0),"Lần " &amp; ROUNDUP(W631/20,0),"")</f>
        <v/>
      </c>
      <c r="AI631" s="9">
        <f>IF(ROUNDUP(X631/20,0)&gt;ROUNDUP(X630/20,0),"Lần " &amp; ROUNDUP(X631/20,0),"")</f>
        <v/>
      </c>
      <c r="AJ631" s="9">
        <f>IF(ROUNDUP(Y631/20,0)&gt;ROUNDUP(Y630/20,0),"Lần " &amp; ROUNDUP(Y631/20,0),"")</f>
        <v/>
      </c>
      <c r="AK631" s="9">
        <f>IF(ROUNDUP(Z631/20,0)&gt;ROUNDUP(Z630/20,0),"Lần " &amp; ROUNDUP(Z631/20,0),"")</f>
        <v/>
      </c>
      <c r="AL631" s="4" t="n"/>
      <c r="AN631" s="596" t="inlineStr">
        <is>
          <t>Than</t>
        </is>
      </c>
      <c r="AO631" s="596" t="n">
        <v>45</v>
      </c>
      <c r="AQ631" s="594" t="n"/>
      <c r="AR631" s="595" t="n"/>
    </row>
    <row r="632" ht="19" customHeight="1" s="672">
      <c r="A632" s="4" t="n">
        <v>596</v>
      </c>
      <c r="B632" s="5" t="inlineStr">
        <is>
          <t>Trụ T1, T2 (Xà mũ trụ)</t>
        </is>
      </c>
      <c r="C632" s="5" t="inlineStr">
        <is>
          <t>Xà mũ trụ T1 (tr.51)</t>
        </is>
      </c>
      <c r="D632" s="14" t="inlineStr">
        <is>
          <t>VLX</t>
        </is>
      </c>
      <c r="E632" s="15" t="n">
        <v>16</v>
      </c>
      <c r="F632" s="4" t="inlineStr">
        <is>
          <t>CB400-V</t>
        </is>
      </c>
      <c r="G632" s="5" t="inlineStr"/>
      <c r="H632" s="16" t="n">
        <v>16.854</v>
      </c>
      <c r="I632" s="17" t="n">
        <v>12</v>
      </c>
      <c r="J632" s="18" t="n">
        <v>1.578</v>
      </c>
      <c r="K632" s="7">
        <f>ROUND(H632*I632*J632, 2)</f>
        <v/>
      </c>
      <c r="L632" s="19">
        <f>ROUND(K632/1000, 3)</f>
        <v/>
      </c>
      <c r="M632" s="728">
        <f>IF(AO632="","",IF(N(INDEX(Theo_Doi_Tan_Suat_Be_Tong!$C:$C,AO632))&lt;=0,"",INDEX(Theo_Doi_Tan_Suat_Be_Tong!$C:$C,AO632)-VLOOKUP(AN632,$AQ$2:$AR$7,2,FALSE)))</f>
        <v/>
      </c>
      <c r="N632" s="4" t="n"/>
      <c r="O632" s="20">
        <f>IF(ROUNDUP(S632/20,0)&gt;ROUNDUP(S631/20,0),"TN Ø16 (Lần " &amp; ROUNDUP(S632/20,0) &amp; ")","")</f>
        <v/>
      </c>
      <c r="P632" s="16">
        <f>ROUND(P631+IF(AND(E632&lt;=10,F632&lt;&gt;"ASTM A416"),L632,0),3)</f>
        <v/>
      </c>
      <c r="Q632" s="16">
        <f>ROUND(Q631+IF(AND(E632=12,F632&lt;&gt;"ASTM A416"),L632,0),3)</f>
        <v/>
      </c>
      <c r="R632" s="16">
        <f>ROUND(R631+IF(AND(E632=14,F632&lt;&gt;"ASTM A416"),L632,0),3)</f>
        <v/>
      </c>
      <c r="S632" s="16">
        <f>ROUND(S631+IF(AND(E632=16,F632&lt;&gt;"ASTM A416"),L632,0),3)</f>
        <v/>
      </c>
      <c r="T632" s="16">
        <f>ROUND(T631+IF(AND(E632=18,F632&lt;&gt;"ASTM A416"),L632,0),3)</f>
        <v/>
      </c>
      <c r="U632" s="16">
        <f>ROUND(U631+IF(AND(E632=20,F632&lt;&gt;"ASTM A416"),L632,0),3)</f>
        <v/>
      </c>
      <c r="V632" s="16">
        <f>ROUND(V631+IF(AND(E632=22,F632&lt;&gt;"ASTM A416"),L632,0),3)</f>
        <v/>
      </c>
      <c r="W632" s="16">
        <f>ROUND(W631+IF(AND(E632=25,F632&lt;&gt;"ASTM A416"),L632,0),3)</f>
        <v/>
      </c>
      <c r="X632" s="16">
        <f>ROUND(X631+IF(AND(E632=28,F632&lt;&gt;"ASTM A416"),L632,0),3)</f>
        <v/>
      </c>
      <c r="Y632" s="16">
        <f>ROUND(Y631+IF(AND(E632=32,F632&lt;&gt;"ASTM A416"),L632,0),3)</f>
        <v/>
      </c>
      <c r="Z632" s="16">
        <f>ROUND(Z631+IF(F632="ASTM A416",L632,0),3)</f>
        <v/>
      </c>
      <c r="AA632" s="9">
        <f>IF(ROUNDUP(P632/20,0)&gt;ROUNDUP(P631/20,0),"Lần " &amp; ROUNDUP(P632/20,0),"")</f>
        <v/>
      </c>
      <c r="AB632" s="9">
        <f>IF(ROUNDUP(Q632/20,0)&gt;ROUNDUP(Q631/20,0),"Lần " &amp; ROUNDUP(Q632/20,0),"")</f>
        <v/>
      </c>
      <c r="AC632" s="9">
        <f>IF(ROUNDUP(R632/20,0)&gt;ROUNDUP(R631/20,0),"Lần " &amp; ROUNDUP(R632/20,0),"")</f>
        <v/>
      </c>
      <c r="AD632" s="9">
        <f>IF(ROUNDUP(S632/20,0)&gt;ROUNDUP(S631/20,0),"Lần " &amp; ROUNDUP(S632/20,0),"")</f>
        <v/>
      </c>
      <c r="AE632" s="9">
        <f>IF(ROUNDUP(T632/20,0)&gt;ROUNDUP(T631/20,0),"Lần " &amp; ROUNDUP(T632/20,0),"")</f>
        <v/>
      </c>
      <c r="AF632" s="9">
        <f>IF(ROUNDUP(U632/20,0)&gt;ROUNDUP(U631/20,0),"Lần " &amp; ROUNDUP(U632/20,0),"")</f>
        <v/>
      </c>
      <c r="AG632" s="9">
        <f>IF(ROUNDUP(V632/20,0)&gt;ROUNDUP(V631/20,0),"Lần " &amp; ROUNDUP(V632/20,0),"")</f>
        <v/>
      </c>
      <c r="AH632" s="9">
        <f>IF(ROUNDUP(W632/20,0)&gt;ROUNDUP(W631/20,0),"Lần " &amp; ROUNDUP(W632/20,0),"")</f>
        <v/>
      </c>
      <c r="AI632" s="9">
        <f>IF(ROUNDUP(X632/20,0)&gt;ROUNDUP(X631/20,0),"Lần " &amp; ROUNDUP(X632/20,0),"")</f>
        <v/>
      </c>
      <c r="AJ632" s="9">
        <f>IF(ROUNDUP(Y632/20,0)&gt;ROUNDUP(Y631/20,0),"Lần " &amp; ROUNDUP(Y632/20,0),"")</f>
        <v/>
      </c>
      <c r="AK632" s="9">
        <f>IF(ROUNDUP(Z632/20,0)&gt;ROUNDUP(Z631/20,0),"Lần " &amp; ROUNDUP(Z632/20,0),"")</f>
        <v/>
      </c>
      <c r="AL632" s="4" t="n"/>
      <c r="AN632" s="596" t="inlineStr">
        <is>
          <t>Than</t>
        </is>
      </c>
      <c r="AO632" s="596" t="n">
        <v>45</v>
      </c>
      <c r="AQ632" s="594" t="n"/>
      <c r="AR632" s="595" t="n"/>
    </row>
    <row r="633" ht="19" customHeight="1" s="672">
      <c r="A633" s="4" t="n">
        <v>597</v>
      </c>
      <c r="B633" s="5" t="inlineStr">
        <is>
          <t>Trụ T1, T2 (Xà mũ trụ)</t>
        </is>
      </c>
      <c r="C633" s="5" t="inlineStr">
        <is>
          <t>Xà mũ trụ T1 (tr.51)</t>
        </is>
      </c>
      <c r="D633" s="14" t="inlineStr">
        <is>
          <t>X8</t>
        </is>
      </c>
      <c r="E633" s="15" t="n">
        <v>16</v>
      </c>
      <c r="F633" s="4" t="inlineStr">
        <is>
          <t>CB400-V</t>
        </is>
      </c>
      <c r="G633" s="5" t="inlineStr"/>
      <c r="H633" s="16" t="n">
        <v>12.866</v>
      </c>
      <c r="I633" s="17" t="n">
        <v>8</v>
      </c>
      <c r="J633" s="18" t="n">
        <v>1.578</v>
      </c>
      <c r="K633" s="7">
        <f>ROUND(H633*I633*J633, 2)</f>
        <v/>
      </c>
      <c r="L633" s="19">
        <f>ROUND(K633/1000, 3)</f>
        <v/>
      </c>
      <c r="M633" s="728">
        <f>IF(AO633="","",IF(N(INDEX(Theo_Doi_Tan_Suat_Be_Tong!$C:$C,AO633))&lt;=0,"",INDEX(Theo_Doi_Tan_Suat_Be_Tong!$C:$C,AO633)-VLOOKUP(AN633,$AQ$2:$AR$7,2,FALSE)))</f>
        <v/>
      </c>
      <c r="N633" s="4" t="n"/>
      <c r="O633" s="20">
        <f>IF(ROUNDUP(S633/20,0)&gt;ROUNDUP(S632/20,0),"TN Ø16 (Lần " &amp; ROUNDUP(S633/20,0) &amp; ")","")</f>
        <v/>
      </c>
      <c r="P633" s="16">
        <f>ROUND(P632+IF(AND(E633&lt;=10,F633&lt;&gt;"ASTM A416"),L633,0),3)</f>
        <v/>
      </c>
      <c r="Q633" s="16">
        <f>ROUND(Q632+IF(AND(E633=12,F633&lt;&gt;"ASTM A416"),L633,0),3)</f>
        <v/>
      </c>
      <c r="R633" s="16">
        <f>ROUND(R632+IF(AND(E633=14,F633&lt;&gt;"ASTM A416"),L633,0),3)</f>
        <v/>
      </c>
      <c r="S633" s="16">
        <f>ROUND(S632+IF(AND(E633=16,F633&lt;&gt;"ASTM A416"),L633,0),3)</f>
        <v/>
      </c>
      <c r="T633" s="16">
        <f>ROUND(T632+IF(AND(E633=18,F633&lt;&gt;"ASTM A416"),L633,0),3)</f>
        <v/>
      </c>
      <c r="U633" s="16">
        <f>ROUND(U632+IF(AND(E633=20,F633&lt;&gt;"ASTM A416"),L633,0),3)</f>
        <v/>
      </c>
      <c r="V633" s="16">
        <f>ROUND(V632+IF(AND(E633=22,F633&lt;&gt;"ASTM A416"),L633,0),3)</f>
        <v/>
      </c>
      <c r="W633" s="16">
        <f>ROUND(W632+IF(AND(E633=25,F633&lt;&gt;"ASTM A416"),L633,0),3)</f>
        <v/>
      </c>
      <c r="X633" s="16">
        <f>ROUND(X632+IF(AND(E633=28,F633&lt;&gt;"ASTM A416"),L633,0),3)</f>
        <v/>
      </c>
      <c r="Y633" s="16">
        <f>ROUND(Y632+IF(AND(E633=32,F633&lt;&gt;"ASTM A416"),L633,0),3)</f>
        <v/>
      </c>
      <c r="Z633" s="16">
        <f>ROUND(Z632+IF(F633="ASTM A416",L633,0),3)</f>
        <v/>
      </c>
      <c r="AA633" s="9">
        <f>IF(ROUNDUP(P633/20,0)&gt;ROUNDUP(P632/20,0),"Lần " &amp; ROUNDUP(P633/20,0),"")</f>
        <v/>
      </c>
      <c r="AB633" s="9">
        <f>IF(ROUNDUP(Q633/20,0)&gt;ROUNDUP(Q632/20,0),"Lần " &amp; ROUNDUP(Q633/20,0),"")</f>
        <v/>
      </c>
      <c r="AC633" s="9">
        <f>IF(ROUNDUP(R633/20,0)&gt;ROUNDUP(R632/20,0),"Lần " &amp; ROUNDUP(R633/20,0),"")</f>
        <v/>
      </c>
      <c r="AD633" s="9">
        <f>IF(ROUNDUP(S633/20,0)&gt;ROUNDUP(S632/20,0),"Lần " &amp; ROUNDUP(S633/20,0),"")</f>
        <v/>
      </c>
      <c r="AE633" s="9">
        <f>IF(ROUNDUP(T633/20,0)&gt;ROUNDUP(T632/20,0),"Lần " &amp; ROUNDUP(T633/20,0),"")</f>
        <v/>
      </c>
      <c r="AF633" s="9">
        <f>IF(ROUNDUP(U633/20,0)&gt;ROUNDUP(U632/20,0),"Lần " &amp; ROUNDUP(U633/20,0),"")</f>
        <v/>
      </c>
      <c r="AG633" s="9">
        <f>IF(ROUNDUP(V633/20,0)&gt;ROUNDUP(V632/20,0),"Lần " &amp; ROUNDUP(V633/20,0),"")</f>
        <v/>
      </c>
      <c r="AH633" s="9">
        <f>IF(ROUNDUP(W633/20,0)&gt;ROUNDUP(W632/20,0),"Lần " &amp; ROUNDUP(W633/20,0),"")</f>
        <v/>
      </c>
      <c r="AI633" s="9">
        <f>IF(ROUNDUP(X633/20,0)&gt;ROUNDUP(X632/20,0),"Lần " &amp; ROUNDUP(X633/20,0),"")</f>
        <v/>
      </c>
      <c r="AJ633" s="9">
        <f>IF(ROUNDUP(Y633/20,0)&gt;ROUNDUP(Y632/20,0),"Lần " &amp; ROUNDUP(Y633/20,0),"")</f>
        <v/>
      </c>
      <c r="AK633" s="9">
        <f>IF(ROUNDUP(Z633/20,0)&gt;ROUNDUP(Z632/20,0),"Lần " &amp; ROUNDUP(Z633/20,0),"")</f>
        <v/>
      </c>
      <c r="AL633" s="4" t="n"/>
      <c r="AN633" s="596" t="inlineStr">
        <is>
          <t>Than</t>
        </is>
      </c>
      <c r="AO633" s="596" t="n">
        <v>45</v>
      </c>
      <c r="AQ633" s="594" t="n"/>
      <c r="AR633" s="595" t="n"/>
    </row>
    <row r="634" ht="19" customHeight="1" s="672">
      <c r="A634" s="4" t="n">
        <v>598</v>
      </c>
      <c r="B634" s="5" t="inlineStr">
        <is>
          <t>Trụ T1, T2 (Xà mũ trụ)</t>
        </is>
      </c>
      <c r="C634" s="5" t="inlineStr">
        <is>
          <t>Xà mũ trụ T1 (tr.51)</t>
        </is>
      </c>
      <c r="D634" s="14" t="inlineStr">
        <is>
          <t>6X</t>
        </is>
      </c>
      <c r="E634" s="15" t="n">
        <v>16</v>
      </c>
      <c r="F634" s="4" t="inlineStr">
        <is>
          <t>CB400-V</t>
        </is>
      </c>
      <c r="G634" s="5" t="inlineStr"/>
      <c r="H634" s="16" t="n">
        <v>1.132</v>
      </c>
      <c r="I634" s="17" t="n">
        <v>40</v>
      </c>
      <c r="J634" s="18" t="n">
        <v>1.578</v>
      </c>
      <c r="K634" s="7">
        <f>ROUND(H634*I634*J634, 2)</f>
        <v/>
      </c>
      <c r="L634" s="19">
        <f>ROUND(K634/1000, 3)</f>
        <v/>
      </c>
      <c r="M634" s="728">
        <f>IF(AO634="","",IF(N(INDEX(Theo_Doi_Tan_Suat_Be_Tong!$C:$C,AO634))&lt;=0,"",INDEX(Theo_Doi_Tan_Suat_Be_Tong!$C:$C,AO634)-VLOOKUP(AN634,$AQ$2:$AR$7,2,FALSE)))</f>
        <v/>
      </c>
      <c r="N634" s="4" t="n"/>
      <c r="O634" s="20">
        <f>IF(ROUNDUP(S634/20,0)&gt;ROUNDUP(S633/20,0),"TN Ø16 (Lần " &amp; ROUNDUP(S634/20,0) &amp; ")","")</f>
        <v/>
      </c>
      <c r="P634" s="16">
        <f>ROUND(P633+IF(AND(E634&lt;=10,F634&lt;&gt;"ASTM A416"),L634,0),3)</f>
        <v/>
      </c>
      <c r="Q634" s="16">
        <f>ROUND(Q633+IF(AND(E634=12,F634&lt;&gt;"ASTM A416"),L634,0),3)</f>
        <v/>
      </c>
      <c r="R634" s="16">
        <f>ROUND(R633+IF(AND(E634=14,F634&lt;&gt;"ASTM A416"),L634,0),3)</f>
        <v/>
      </c>
      <c r="S634" s="16">
        <f>ROUND(S633+IF(AND(E634=16,F634&lt;&gt;"ASTM A416"),L634,0),3)</f>
        <v/>
      </c>
      <c r="T634" s="16">
        <f>ROUND(T633+IF(AND(E634=18,F634&lt;&gt;"ASTM A416"),L634,0),3)</f>
        <v/>
      </c>
      <c r="U634" s="16">
        <f>ROUND(U633+IF(AND(E634=20,F634&lt;&gt;"ASTM A416"),L634,0),3)</f>
        <v/>
      </c>
      <c r="V634" s="16">
        <f>ROUND(V633+IF(AND(E634=22,F634&lt;&gt;"ASTM A416"),L634,0),3)</f>
        <v/>
      </c>
      <c r="W634" s="16">
        <f>ROUND(W633+IF(AND(E634=25,F634&lt;&gt;"ASTM A416"),L634,0),3)</f>
        <v/>
      </c>
      <c r="X634" s="16">
        <f>ROUND(X633+IF(AND(E634=28,F634&lt;&gt;"ASTM A416"),L634,0),3)</f>
        <v/>
      </c>
      <c r="Y634" s="16">
        <f>ROUND(Y633+IF(AND(E634=32,F634&lt;&gt;"ASTM A416"),L634,0),3)</f>
        <v/>
      </c>
      <c r="Z634" s="16">
        <f>ROUND(Z633+IF(F634="ASTM A416",L634,0),3)</f>
        <v/>
      </c>
      <c r="AA634" s="9">
        <f>IF(ROUNDUP(P634/20,0)&gt;ROUNDUP(P633/20,0),"Lần " &amp; ROUNDUP(P634/20,0),"")</f>
        <v/>
      </c>
      <c r="AB634" s="9">
        <f>IF(ROUNDUP(Q634/20,0)&gt;ROUNDUP(Q633/20,0),"Lần " &amp; ROUNDUP(Q634/20,0),"")</f>
        <v/>
      </c>
      <c r="AC634" s="9">
        <f>IF(ROUNDUP(R634/20,0)&gt;ROUNDUP(R633/20,0),"Lần " &amp; ROUNDUP(R634/20,0),"")</f>
        <v/>
      </c>
      <c r="AD634" s="9">
        <f>IF(ROUNDUP(S634/20,0)&gt;ROUNDUP(S633/20,0),"Lần " &amp; ROUNDUP(S634/20,0),"")</f>
        <v/>
      </c>
      <c r="AE634" s="9">
        <f>IF(ROUNDUP(T634/20,0)&gt;ROUNDUP(T633/20,0),"Lần " &amp; ROUNDUP(T634/20,0),"")</f>
        <v/>
      </c>
      <c r="AF634" s="9">
        <f>IF(ROUNDUP(U634/20,0)&gt;ROUNDUP(U633/20,0),"Lần " &amp; ROUNDUP(U634/20,0),"")</f>
        <v/>
      </c>
      <c r="AG634" s="9">
        <f>IF(ROUNDUP(V634/20,0)&gt;ROUNDUP(V633/20,0),"Lần " &amp; ROUNDUP(V634/20,0),"")</f>
        <v/>
      </c>
      <c r="AH634" s="9">
        <f>IF(ROUNDUP(W634/20,0)&gt;ROUNDUP(W633/20,0),"Lần " &amp; ROUNDUP(W634/20,0),"")</f>
        <v/>
      </c>
      <c r="AI634" s="9">
        <f>IF(ROUNDUP(X634/20,0)&gt;ROUNDUP(X633/20,0),"Lần " &amp; ROUNDUP(X634/20,0),"")</f>
        <v/>
      </c>
      <c r="AJ634" s="9">
        <f>IF(ROUNDUP(Y634/20,0)&gt;ROUNDUP(Y633/20,0),"Lần " &amp; ROUNDUP(Y634/20,0),"")</f>
        <v/>
      </c>
      <c r="AK634" s="9">
        <f>IF(ROUNDUP(Z634/20,0)&gt;ROUNDUP(Z633/20,0),"Lần " &amp; ROUNDUP(Z634/20,0),"")</f>
        <v/>
      </c>
      <c r="AL634" s="4" t="n"/>
      <c r="AN634" s="596" t="inlineStr">
        <is>
          <t>Than</t>
        </is>
      </c>
      <c r="AO634" s="596" t="n">
        <v>45</v>
      </c>
      <c r="AQ634" s="594" t="n"/>
      <c r="AR634" s="595" t="n"/>
    </row>
    <row r="635" ht="19" customHeight="1" s="672">
      <c r="A635" s="4" t="n">
        <v>599</v>
      </c>
      <c r="B635" s="5" t="inlineStr">
        <is>
          <t>Trụ T1, T2 (Xà mũ trụ)</t>
        </is>
      </c>
      <c r="C635" s="5" t="inlineStr">
        <is>
          <t>Xà mũ trụ T1 (tr.51)</t>
        </is>
      </c>
      <c r="D635" s="14" t="inlineStr">
        <is>
          <t>X10</t>
        </is>
      </c>
      <c r="E635" s="15" t="n">
        <v>16</v>
      </c>
      <c r="F635" s="4" t="inlineStr">
        <is>
          <t>CB400-V</t>
        </is>
      </c>
      <c r="G635" s="5" t="inlineStr"/>
      <c r="H635" s="16" t="n">
        <v>3.2</v>
      </c>
      <c r="I635" s="17" t="n">
        <v>30</v>
      </c>
      <c r="J635" s="18" t="n">
        <v>1.578</v>
      </c>
      <c r="K635" s="7">
        <f>ROUND(H635*I635*J635, 2)</f>
        <v/>
      </c>
      <c r="L635" s="19">
        <f>ROUND(K635/1000, 3)</f>
        <v/>
      </c>
      <c r="M635" s="728">
        <f>IF(AO635="","",IF(N(INDEX(Theo_Doi_Tan_Suat_Be_Tong!$C:$C,AO635))&lt;=0,"",INDEX(Theo_Doi_Tan_Suat_Be_Tong!$C:$C,AO635)-VLOOKUP(AN635,$AQ$2:$AR$7,2,FALSE)))</f>
        <v/>
      </c>
      <c r="N635" s="4" t="n"/>
      <c r="O635" s="20">
        <f>IF(ROUNDUP(S635/20,0)&gt;ROUNDUP(S634/20,0),"TN Ø16 (Lần " &amp; ROUNDUP(S635/20,0) &amp; ")","")</f>
        <v/>
      </c>
      <c r="P635" s="16">
        <f>ROUND(P634+IF(AND(E635&lt;=10,F635&lt;&gt;"ASTM A416"),L635,0),3)</f>
        <v/>
      </c>
      <c r="Q635" s="16">
        <f>ROUND(Q634+IF(AND(E635=12,F635&lt;&gt;"ASTM A416"),L635,0),3)</f>
        <v/>
      </c>
      <c r="R635" s="16">
        <f>ROUND(R634+IF(AND(E635=14,F635&lt;&gt;"ASTM A416"),L635,0),3)</f>
        <v/>
      </c>
      <c r="S635" s="16">
        <f>ROUND(S634+IF(AND(E635=16,F635&lt;&gt;"ASTM A416"),L635,0),3)</f>
        <v/>
      </c>
      <c r="T635" s="16">
        <f>ROUND(T634+IF(AND(E635=18,F635&lt;&gt;"ASTM A416"),L635,0),3)</f>
        <v/>
      </c>
      <c r="U635" s="16">
        <f>ROUND(U634+IF(AND(E635=20,F635&lt;&gt;"ASTM A416"),L635,0),3)</f>
        <v/>
      </c>
      <c r="V635" s="16">
        <f>ROUND(V634+IF(AND(E635=22,F635&lt;&gt;"ASTM A416"),L635,0),3)</f>
        <v/>
      </c>
      <c r="W635" s="16">
        <f>ROUND(W634+IF(AND(E635=25,F635&lt;&gt;"ASTM A416"),L635,0),3)</f>
        <v/>
      </c>
      <c r="X635" s="16">
        <f>ROUND(X634+IF(AND(E635=28,F635&lt;&gt;"ASTM A416"),L635,0),3)</f>
        <v/>
      </c>
      <c r="Y635" s="16">
        <f>ROUND(Y634+IF(AND(E635=32,F635&lt;&gt;"ASTM A416"),L635,0),3)</f>
        <v/>
      </c>
      <c r="Z635" s="16">
        <f>ROUND(Z634+IF(F635="ASTM A416",L635,0),3)</f>
        <v/>
      </c>
      <c r="AA635" s="9">
        <f>IF(ROUNDUP(P635/20,0)&gt;ROUNDUP(P634/20,0),"Lần " &amp; ROUNDUP(P635/20,0),"")</f>
        <v/>
      </c>
      <c r="AB635" s="9">
        <f>IF(ROUNDUP(Q635/20,0)&gt;ROUNDUP(Q634/20,0),"Lần " &amp; ROUNDUP(Q635/20,0),"")</f>
        <v/>
      </c>
      <c r="AC635" s="9">
        <f>IF(ROUNDUP(R635/20,0)&gt;ROUNDUP(R634/20,0),"Lần " &amp; ROUNDUP(R635/20,0),"")</f>
        <v/>
      </c>
      <c r="AD635" s="9">
        <f>IF(ROUNDUP(S635/20,0)&gt;ROUNDUP(S634/20,0),"Lần " &amp; ROUNDUP(S635/20,0),"")</f>
        <v/>
      </c>
      <c r="AE635" s="9">
        <f>IF(ROUNDUP(T635/20,0)&gt;ROUNDUP(T634/20,0),"Lần " &amp; ROUNDUP(T635/20,0),"")</f>
        <v/>
      </c>
      <c r="AF635" s="9">
        <f>IF(ROUNDUP(U635/20,0)&gt;ROUNDUP(U634/20,0),"Lần " &amp; ROUNDUP(U635/20,0),"")</f>
        <v/>
      </c>
      <c r="AG635" s="9">
        <f>IF(ROUNDUP(V635/20,0)&gt;ROUNDUP(V634/20,0),"Lần " &amp; ROUNDUP(V635/20,0),"")</f>
        <v/>
      </c>
      <c r="AH635" s="9">
        <f>IF(ROUNDUP(W635/20,0)&gt;ROUNDUP(W634/20,0),"Lần " &amp; ROUNDUP(W635/20,0),"")</f>
        <v/>
      </c>
      <c r="AI635" s="9">
        <f>IF(ROUNDUP(X635/20,0)&gt;ROUNDUP(X634/20,0),"Lần " &amp; ROUNDUP(X635/20,0),"")</f>
        <v/>
      </c>
      <c r="AJ635" s="9">
        <f>IF(ROUNDUP(Y635/20,0)&gt;ROUNDUP(Y634/20,0),"Lần " &amp; ROUNDUP(Y635/20,0),"")</f>
        <v/>
      </c>
      <c r="AK635" s="9">
        <f>IF(ROUNDUP(Z635/20,0)&gt;ROUNDUP(Z634/20,0),"Lần " &amp; ROUNDUP(Z635/20,0),"")</f>
        <v/>
      </c>
      <c r="AL635" s="4" t="n"/>
      <c r="AN635" s="596" t="inlineStr">
        <is>
          <t>Than</t>
        </is>
      </c>
      <c r="AO635" s="596" t="n">
        <v>45</v>
      </c>
      <c r="AQ635" s="594" t="n"/>
      <c r="AR635" s="595" t="n"/>
    </row>
    <row r="636" ht="19" customHeight="1" s="672">
      <c r="A636" s="4" t="n">
        <v>600</v>
      </c>
      <c r="B636" s="5" t="inlineStr">
        <is>
          <t>Trụ T1, T2 (Xà mũ trụ)</t>
        </is>
      </c>
      <c r="C636" s="5" t="inlineStr">
        <is>
          <t>Xà mũ trụ T1 (tr.51)</t>
        </is>
      </c>
      <c r="D636" s="14" t="inlineStr">
        <is>
          <t>X10A</t>
        </is>
      </c>
      <c r="E636" s="15" t="n">
        <v>16</v>
      </c>
      <c r="F636" s="4" t="inlineStr">
        <is>
          <t>CB400-V</t>
        </is>
      </c>
      <c r="G636" s="5" t="inlineStr"/>
      <c r="H636" s="16" t="n">
        <v>1.5</v>
      </c>
      <c r="I636" s="17" t="n">
        <v>4</v>
      </c>
      <c r="J636" s="18" t="n">
        <v>1.578</v>
      </c>
      <c r="K636" s="7">
        <f>ROUND(H636*I636*J636, 2)</f>
        <v/>
      </c>
      <c r="L636" s="19">
        <f>ROUND(K636/1000, 3)</f>
        <v/>
      </c>
      <c r="M636" s="728">
        <f>IF(AO636="","",IF(N(INDEX(Theo_Doi_Tan_Suat_Be_Tong!$C:$C,AO636))&lt;=0,"",INDEX(Theo_Doi_Tan_Suat_Be_Tong!$C:$C,AO636)-VLOOKUP(AN636,$AQ$2:$AR$7,2,FALSE)))</f>
        <v/>
      </c>
      <c r="N636" s="4" t="n"/>
      <c r="O636" s="20">
        <f>IF(ROUNDUP(S636/20,0)&gt;ROUNDUP(S635/20,0),"TN Ø16 (Lần " &amp; ROUNDUP(S636/20,0) &amp; ")","")</f>
        <v/>
      </c>
      <c r="P636" s="16">
        <f>ROUND(P635+IF(AND(E636&lt;=10,F636&lt;&gt;"ASTM A416"),L636,0),3)</f>
        <v/>
      </c>
      <c r="Q636" s="16">
        <f>ROUND(Q635+IF(AND(E636=12,F636&lt;&gt;"ASTM A416"),L636,0),3)</f>
        <v/>
      </c>
      <c r="R636" s="16">
        <f>ROUND(R635+IF(AND(E636=14,F636&lt;&gt;"ASTM A416"),L636,0),3)</f>
        <v/>
      </c>
      <c r="S636" s="16">
        <f>ROUND(S635+IF(AND(E636=16,F636&lt;&gt;"ASTM A416"),L636,0),3)</f>
        <v/>
      </c>
      <c r="T636" s="16">
        <f>ROUND(T635+IF(AND(E636=18,F636&lt;&gt;"ASTM A416"),L636,0),3)</f>
        <v/>
      </c>
      <c r="U636" s="16">
        <f>ROUND(U635+IF(AND(E636=20,F636&lt;&gt;"ASTM A416"),L636,0),3)</f>
        <v/>
      </c>
      <c r="V636" s="16">
        <f>ROUND(V635+IF(AND(E636=22,F636&lt;&gt;"ASTM A416"),L636,0),3)</f>
        <v/>
      </c>
      <c r="W636" s="16">
        <f>ROUND(W635+IF(AND(E636=25,F636&lt;&gt;"ASTM A416"),L636,0),3)</f>
        <v/>
      </c>
      <c r="X636" s="16">
        <f>ROUND(X635+IF(AND(E636=28,F636&lt;&gt;"ASTM A416"),L636,0),3)</f>
        <v/>
      </c>
      <c r="Y636" s="16">
        <f>ROUND(Y635+IF(AND(E636=32,F636&lt;&gt;"ASTM A416"),L636,0),3)</f>
        <v/>
      </c>
      <c r="Z636" s="16">
        <f>ROUND(Z635+IF(F636="ASTM A416",L636,0),3)</f>
        <v/>
      </c>
      <c r="AA636" s="9">
        <f>IF(ROUNDUP(P636/20,0)&gt;ROUNDUP(P635/20,0),"Lần " &amp; ROUNDUP(P636/20,0),"")</f>
        <v/>
      </c>
      <c r="AB636" s="9">
        <f>IF(ROUNDUP(Q636/20,0)&gt;ROUNDUP(Q635/20,0),"Lần " &amp; ROUNDUP(Q636/20,0),"")</f>
        <v/>
      </c>
      <c r="AC636" s="9">
        <f>IF(ROUNDUP(R636/20,0)&gt;ROUNDUP(R635/20,0),"Lần " &amp; ROUNDUP(R636/20,0),"")</f>
        <v/>
      </c>
      <c r="AD636" s="9">
        <f>IF(ROUNDUP(S636/20,0)&gt;ROUNDUP(S635/20,0),"Lần " &amp; ROUNDUP(S636/20,0),"")</f>
        <v/>
      </c>
      <c r="AE636" s="9">
        <f>IF(ROUNDUP(T636/20,0)&gt;ROUNDUP(T635/20,0),"Lần " &amp; ROUNDUP(T636/20,0),"")</f>
        <v/>
      </c>
      <c r="AF636" s="9">
        <f>IF(ROUNDUP(U636/20,0)&gt;ROUNDUP(U635/20,0),"Lần " &amp; ROUNDUP(U636/20,0),"")</f>
        <v/>
      </c>
      <c r="AG636" s="9">
        <f>IF(ROUNDUP(V636/20,0)&gt;ROUNDUP(V635/20,0),"Lần " &amp; ROUNDUP(V636/20,0),"")</f>
        <v/>
      </c>
      <c r="AH636" s="9">
        <f>IF(ROUNDUP(W636/20,0)&gt;ROUNDUP(W635/20,0),"Lần " &amp; ROUNDUP(W636/20,0),"")</f>
        <v/>
      </c>
      <c r="AI636" s="9">
        <f>IF(ROUNDUP(X636/20,0)&gt;ROUNDUP(X635/20,0),"Lần " &amp; ROUNDUP(X636/20,0),"")</f>
        <v/>
      </c>
      <c r="AJ636" s="9">
        <f>IF(ROUNDUP(Y636/20,0)&gt;ROUNDUP(Y635/20,0),"Lần " &amp; ROUNDUP(Y636/20,0),"")</f>
        <v/>
      </c>
      <c r="AK636" s="9">
        <f>IF(ROUNDUP(Z636/20,0)&gt;ROUNDUP(Z635/20,0),"Lần " &amp; ROUNDUP(Z636/20,0),"")</f>
        <v/>
      </c>
      <c r="AL636" s="4" t="n"/>
      <c r="AN636" s="596" t="inlineStr">
        <is>
          <t>Than</t>
        </is>
      </c>
      <c r="AO636" s="596" t="n">
        <v>45</v>
      </c>
      <c r="AQ636" s="594" t="n"/>
      <c r="AR636" s="595" t="n"/>
    </row>
    <row r="637" ht="19" customHeight="1" s="672">
      <c r="A637" s="4" t="n">
        <v>601</v>
      </c>
      <c r="B637" s="5" t="inlineStr">
        <is>
          <t>Trụ T1, T2 (Xà mũ trụ)</t>
        </is>
      </c>
      <c r="C637" s="5" t="inlineStr">
        <is>
          <t>Xà mũ trụ T1 (tr.51)</t>
        </is>
      </c>
      <c r="D637" s="14" t="inlineStr">
        <is>
          <t>U1</t>
        </is>
      </c>
      <c r="E637" s="15" t="n">
        <v>16</v>
      </c>
      <c r="F637" s="4" t="inlineStr">
        <is>
          <t>CB400-V</t>
        </is>
      </c>
      <c r="G637" s="5" t="inlineStr"/>
      <c r="H637" s="16" t="n">
        <v>4.192</v>
      </c>
      <c r="I637" s="17" t="n">
        <v>16</v>
      </c>
      <c r="J637" s="18" t="n">
        <v>1.578</v>
      </c>
      <c r="K637" s="7">
        <f>ROUND(H637*I637*J637, 2)</f>
        <v/>
      </c>
      <c r="L637" s="19">
        <f>ROUND(K637/1000, 3)</f>
        <v/>
      </c>
      <c r="M637" s="728">
        <f>IF(AO637="","",IF(N(INDEX(Theo_Doi_Tan_Suat_Be_Tong!$C:$C,AO637))&lt;=0,"",INDEX(Theo_Doi_Tan_Suat_Be_Tong!$C:$C,AO637)-VLOOKUP(AN637,$AQ$2:$AR$7,2,FALSE)))</f>
        <v/>
      </c>
      <c r="N637" s="4" t="n"/>
      <c r="O637" s="20">
        <f>IF(ROUNDUP(S637/20,0)&gt;ROUNDUP(S636/20,0),"TN Ø16 (Lần " &amp; ROUNDUP(S637/20,0) &amp; ")","")</f>
        <v/>
      </c>
      <c r="P637" s="16">
        <f>ROUND(P636+IF(AND(E637&lt;=10,F637&lt;&gt;"ASTM A416"),L637,0),3)</f>
        <v/>
      </c>
      <c r="Q637" s="16">
        <f>ROUND(Q636+IF(AND(E637=12,F637&lt;&gt;"ASTM A416"),L637,0),3)</f>
        <v/>
      </c>
      <c r="R637" s="16">
        <f>ROUND(R636+IF(AND(E637=14,F637&lt;&gt;"ASTM A416"),L637,0),3)</f>
        <v/>
      </c>
      <c r="S637" s="16">
        <f>ROUND(S636+IF(AND(E637=16,F637&lt;&gt;"ASTM A416"),L637,0),3)</f>
        <v/>
      </c>
      <c r="T637" s="16">
        <f>ROUND(T636+IF(AND(E637=18,F637&lt;&gt;"ASTM A416"),L637,0),3)</f>
        <v/>
      </c>
      <c r="U637" s="16">
        <f>ROUND(U636+IF(AND(E637=20,F637&lt;&gt;"ASTM A416"),L637,0),3)</f>
        <v/>
      </c>
      <c r="V637" s="16">
        <f>ROUND(V636+IF(AND(E637=22,F637&lt;&gt;"ASTM A416"),L637,0),3)</f>
        <v/>
      </c>
      <c r="W637" s="16">
        <f>ROUND(W636+IF(AND(E637=25,F637&lt;&gt;"ASTM A416"),L637,0),3)</f>
        <v/>
      </c>
      <c r="X637" s="16">
        <f>ROUND(X636+IF(AND(E637=28,F637&lt;&gt;"ASTM A416"),L637,0),3)</f>
        <v/>
      </c>
      <c r="Y637" s="16">
        <f>ROUND(Y636+IF(AND(E637=32,F637&lt;&gt;"ASTM A416"),L637,0),3)</f>
        <v/>
      </c>
      <c r="Z637" s="16">
        <f>ROUND(Z636+IF(F637="ASTM A416",L637,0),3)</f>
        <v/>
      </c>
      <c r="AA637" s="9">
        <f>IF(ROUNDUP(P637/20,0)&gt;ROUNDUP(P636/20,0),"Lần " &amp; ROUNDUP(P637/20,0),"")</f>
        <v/>
      </c>
      <c r="AB637" s="9">
        <f>IF(ROUNDUP(Q637/20,0)&gt;ROUNDUP(Q636/20,0),"Lần " &amp; ROUNDUP(Q637/20,0),"")</f>
        <v/>
      </c>
      <c r="AC637" s="9">
        <f>IF(ROUNDUP(R637/20,0)&gt;ROUNDUP(R636/20,0),"Lần " &amp; ROUNDUP(R637/20,0),"")</f>
        <v/>
      </c>
      <c r="AD637" s="9">
        <f>IF(ROUNDUP(S637/20,0)&gt;ROUNDUP(S636/20,0),"Lần " &amp; ROUNDUP(S637/20,0),"")</f>
        <v/>
      </c>
      <c r="AE637" s="9">
        <f>IF(ROUNDUP(T637/20,0)&gt;ROUNDUP(T636/20,0),"Lần " &amp; ROUNDUP(T637/20,0),"")</f>
        <v/>
      </c>
      <c r="AF637" s="9">
        <f>IF(ROUNDUP(U637/20,0)&gt;ROUNDUP(U636/20,0),"Lần " &amp; ROUNDUP(U637/20,0),"")</f>
        <v/>
      </c>
      <c r="AG637" s="9">
        <f>IF(ROUNDUP(V637/20,0)&gt;ROUNDUP(V636/20,0),"Lần " &amp; ROUNDUP(V637/20,0),"")</f>
        <v/>
      </c>
      <c r="AH637" s="9">
        <f>IF(ROUNDUP(W637/20,0)&gt;ROUNDUP(W636/20,0),"Lần " &amp; ROUNDUP(W637/20,0),"")</f>
        <v/>
      </c>
      <c r="AI637" s="9">
        <f>IF(ROUNDUP(X637/20,0)&gt;ROUNDUP(X636/20,0),"Lần " &amp; ROUNDUP(X637/20,0),"")</f>
        <v/>
      </c>
      <c r="AJ637" s="9">
        <f>IF(ROUNDUP(Y637/20,0)&gt;ROUNDUP(Y636/20,0),"Lần " &amp; ROUNDUP(Y637/20,0),"")</f>
        <v/>
      </c>
      <c r="AK637" s="9">
        <f>IF(ROUNDUP(Z637/20,0)&gt;ROUNDUP(Z636/20,0),"Lần " &amp; ROUNDUP(Z637/20,0),"")</f>
        <v/>
      </c>
      <c r="AL637" s="4" t="n"/>
      <c r="AN637" s="596" t="inlineStr">
        <is>
          <t>Than</t>
        </is>
      </c>
      <c r="AO637" s="596" t="n">
        <v>45</v>
      </c>
      <c r="AQ637" s="594" t="n"/>
      <c r="AR637" s="595" t="n"/>
    </row>
    <row r="638" ht="19" customHeight="1" s="672">
      <c r="A638" s="4" t="n">
        <v>602</v>
      </c>
      <c r="B638" s="5" t="inlineStr">
        <is>
          <t>Trụ T1, T2 (Xà mũ trụ)</t>
        </is>
      </c>
      <c r="C638" s="5" t="inlineStr">
        <is>
          <t>Xà mũ trụ T1 (tr.51)</t>
        </is>
      </c>
      <c r="D638" s="14" t="inlineStr">
        <is>
          <t>U2</t>
        </is>
      </c>
      <c r="E638" s="15" t="n">
        <v>16</v>
      </c>
      <c r="F638" s="4" t="inlineStr">
        <is>
          <t>CB400-V</t>
        </is>
      </c>
      <c r="G638" s="5" t="inlineStr"/>
      <c r="H638" s="16" t="n">
        <v>3.892</v>
      </c>
      <c r="I638" s="17" t="n">
        <v>28</v>
      </c>
      <c r="J638" s="18" t="n">
        <v>1.578</v>
      </c>
      <c r="K638" s="7">
        <f>ROUND(H638*I638*J638, 2)</f>
        <v/>
      </c>
      <c r="L638" s="19">
        <f>ROUND(K638/1000, 3)</f>
        <v/>
      </c>
      <c r="M638" s="728">
        <f>IF(AO638="","",IF(N(INDEX(Theo_Doi_Tan_Suat_Be_Tong!$C:$C,AO638))&lt;=0,"",INDEX(Theo_Doi_Tan_Suat_Be_Tong!$C:$C,AO638)-VLOOKUP(AN638,$AQ$2:$AR$7,2,FALSE)))</f>
        <v/>
      </c>
      <c r="N638" s="4" t="n"/>
      <c r="O638" s="20">
        <f>IF(ROUNDUP(S638/20,0)&gt;ROUNDUP(S637/20,0),"TN Ø16 (Lần " &amp; ROUNDUP(S638/20,0) &amp; ")","")</f>
        <v/>
      </c>
      <c r="P638" s="16">
        <f>ROUND(P637+IF(AND(E638&lt;=10,F638&lt;&gt;"ASTM A416"),L638,0),3)</f>
        <v/>
      </c>
      <c r="Q638" s="16">
        <f>ROUND(Q637+IF(AND(E638=12,F638&lt;&gt;"ASTM A416"),L638,0),3)</f>
        <v/>
      </c>
      <c r="R638" s="16">
        <f>ROUND(R637+IF(AND(E638=14,F638&lt;&gt;"ASTM A416"),L638,0),3)</f>
        <v/>
      </c>
      <c r="S638" s="16">
        <f>ROUND(S637+IF(AND(E638=16,F638&lt;&gt;"ASTM A416"),L638,0),3)</f>
        <v/>
      </c>
      <c r="T638" s="16">
        <f>ROUND(T637+IF(AND(E638=18,F638&lt;&gt;"ASTM A416"),L638,0),3)</f>
        <v/>
      </c>
      <c r="U638" s="16">
        <f>ROUND(U637+IF(AND(E638=20,F638&lt;&gt;"ASTM A416"),L638,0),3)</f>
        <v/>
      </c>
      <c r="V638" s="16">
        <f>ROUND(V637+IF(AND(E638=22,F638&lt;&gt;"ASTM A416"),L638,0),3)</f>
        <v/>
      </c>
      <c r="W638" s="16">
        <f>ROUND(W637+IF(AND(E638=25,F638&lt;&gt;"ASTM A416"),L638,0),3)</f>
        <v/>
      </c>
      <c r="X638" s="16">
        <f>ROUND(X637+IF(AND(E638=28,F638&lt;&gt;"ASTM A416"),L638,0),3)</f>
        <v/>
      </c>
      <c r="Y638" s="16">
        <f>ROUND(Y637+IF(AND(E638=32,F638&lt;&gt;"ASTM A416"),L638,0),3)</f>
        <v/>
      </c>
      <c r="Z638" s="16">
        <f>ROUND(Z637+IF(F638="ASTM A416",L638,0),3)</f>
        <v/>
      </c>
      <c r="AA638" s="9">
        <f>IF(ROUNDUP(P638/20,0)&gt;ROUNDUP(P637/20,0),"Lần " &amp; ROUNDUP(P638/20,0),"")</f>
        <v/>
      </c>
      <c r="AB638" s="9">
        <f>IF(ROUNDUP(Q638/20,0)&gt;ROUNDUP(Q637/20,0),"Lần " &amp; ROUNDUP(Q638/20,0),"")</f>
        <v/>
      </c>
      <c r="AC638" s="9">
        <f>IF(ROUNDUP(R638/20,0)&gt;ROUNDUP(R637/20,0),"Lần " &amp; ROUNDUP(R638/20,0),"")</f>
        <v/>
      </c>
      <c r="AD638" s="9">
        <f>IF(ROUNDUP(S638/20,0)&gt;ROUNDUP(S637/20,0),"Lần " &amp; ROUNDUP(S638/20,0),"")</f>
        <v/>
      </c>
      <c r="AE638" s="9">
        <f>IF(ROUNDUP(T638/20,0)&gt;ROUNDUP(T637/20,0),"Lần " &amp; ROUNDUP(T638/20,0),"")</f>
        <v/>
      </c>
      <c r="AF638" s="9">
        <f>IF(ROUNDUP(U638/20,0)&gt;ROUNDUP(U637/20,0),"Lần " &amp; ROUNDUP(U638/20,0),"")</f>
        <v/>
      </c>
      <c r="AG638" s="9">
        <f>IF(ROUNDUP(V638/20,0)&gt;ROUNDUP(V637/20,0),"Lần " &amp; ROUNDUP(V638/20,0),"")</f>
        <v/>
      </c>
      <c r="AH638" s="9">
        <f>IF(ROUNDUP(W638/20,0)&gt;ROUNDUP(W637/20,0),"Lần " &amp; ROUNDUP(W638/20,0),"")</f>
        <v/>
      </c>
      <c r="AI638" s="9">
        <f>IF(ROUNDUP(X638/20,0)&gt;ROUNDUP(X637/20,0),"Lần " &amp; ROUNDUP(X638/20,0),"")</f>
        <v/>
      </c>
      <c r="AJ638" s="9">
        <f>IF(ROUNDUP(Y638/20,0)&gt;ROUNDUP(Y637/20,0),"Lần " &amp; ROUNDUP(Y638/20,0),"")</f>
        <v/>
      </c>
      <c r="AK638" s="9">
        <f>IF(ROUNDUP(Z638/20,0)&gt;ROUNDUP(Z637/20,0),"Lần " &amp; ROUNDUP(Z638/20,0),"")</f>
        <v/>
      </c>
      <c r="AL638" s="4" t="n"/>
      <c r="AN638" s="596" t="inlineStr">
        <is>
          <t>Than</t>
        </is>
      </c>
      <c r="AO638" s="596" t="n">
        <v>45</v>
      </c>
      <c r="AQ638" s="594" t="n"/>
      <c r="AR638" s="595" t="n"/>
    </row>
    <row r="639" ht="19" customHeight="1" s="672">
      <c r="A639" s="4" t="n">
        <v>603</v>
      </c>
      <c r="B639" s="5" t="inlineStr">
        <is>
          <t>Trụ T1, T2 (Xà mũ trụ)</t>
        </is>
      </c>
      <c r="C639" s="5" t="inlineStr">
        <is>
          <t>Xà mũ trụ T1 (tr.51)</t>
        </is>
      </c>
      <c r="D639" s="14" t="inlineStr">
        <is>
          <t>U3</t>
        </is>
      </c>
      <c r="E639" s="15" t="n">
        <v>16</v>
      </c>
      <c r="F639" s="4" t="inlineStr">
        <is>
          <t>CB400-V</t>
        </is>
      </c>
      <c r="G639" s="5" t="inlineStr">
        <is>
          <t>S51</t>
        </is>
      </c>
      <c r="H639" s="16" t="n">
        <v>3.256</v>
      </c>
      <c r="I639" s="17" t="n">
        <v>48</v>
      </c>
      <c r="J639" s="18" t="n">
        <v>1.578</v>
      </c>
      <c r="K639" s="7">
        <f>ROUND(H639*I639*J639, 2)</f>
        <v/>
      </c>
      <c r="L639" s="19">
        <f>ROUND(K639/1000, 3)</f>
        <v/>
      </c>
      <c r="M639" s="728">
        <f>IF(AO639="","",IF(N(INDEX(Theo_Doi_Tan_Suat_Be_Tong!$C:$C,AO639))&lt;=0,"",INDEX(Theo_Doi_Tan_Suat_Be_Tong!$C:$C,AO639)-VLOOKUP(AN639,$AQ$2:$AR$7,2,FALSE)))</f>
        <v/>
      </c>
      <c r="N639" s="4" t="n"/>
      <c r="O639" s="20">
        <f>IF(ROUNDUP(S639/20,0)&gt;ROUNDUP(S638/20,0),"TN Ø16 (Lần " &amp; ROUNDUP(S639/20,0) &amp; ")","")</f>
        <v/>
      </c>
      <c r="P639" s="16">
        <f>ROUND(P638+IF(AND(E639&lt;=10,F639&lt;&gt;"ASTM A416"),L639,0),3)</f>
        <v/>
      </c>
      <c r="Q639" s="16">
        <f>ROUND(Q638+IF(AND(E639=12,F639&lt;&gt;"ASTM A416"),L639,0),3)</f>
        <v/>
      </c>
      <c r="R639" s="16">
        <f>ROUND(R638+IF(AND(E639=14,F639&lt;&gt;"ASTM A416"),L639,0),3)</f>
        <v/>
      </c>
      <c r="S639" s="16">
        <f>ROUND(S638+IF(AND(E639=16,F639&lt;&gt;"ASTM A416"),L639,0),3)</f>
        <v/>
      </c>
      <c r="T639" s="16">
        <f>ROUND(T638+IF(AND(E639=18,F639&lt;&gt;"ASTM A416"),L639,0),3)</f>
        <v/>
      </c>
      <c r="U639" s="16">
        <f>ROUND(U638+IF(AND(E639=20,F639&lt;&gt;"ASTM A416"),L639,0),3)</f>
        <v/>
      </c>
      <c r="V639" s="16">
        <f>ROUND(V638+IF(AND(E639=22,F639&lt;&gt;"ASTM A416"),L639,0),3)</f>
        <v/>
      </c>
      <c r="W639" s="16">
        <f>ROUND(W638+IF(AND(E639=25,F639&lt;&gt;"ASTM A416"),L639,0),3)</f>
        <v/>
      </c>
      <c r="X639" s="16">
        <f>ROUND(X638+IF(AND(E639=28,F639&lt;&gt;"ASTM A416"),L639,0),3)</f>
        <v/>
      </c>
      <c r="Y639" s="16">
        <f>ROUND(Y638+IF(AND(E639=32,F639&lt;&gt;"ASTM A416"),L639,0),3)</f>
        <v/>
      </c>
      <c r="Z639" s="16">
        <f>ROUND(Z638+IF(F639="ASTM A416",L639,0),3)</f>
        <v/>
      </c>
      <c r="AA639" s="9">
        <f>IF(ROUNDUP(P639/20,0)&gt;ROUNDUP(P638/20,0),"Lần " &amp; ROUNDUP(P639/20,0),"")</f>
        <v/>
      </c>
      <c r="AB639" s="9">
        <f>IF(ROUNDUP(Q639/20,0)&gt;ROUNDUP(Q638/20,0),"Lần " &amp; ROUNDUP(Q639/20,0),"")</f>
        <v/>
      </c>
      <c r="AC639" s="9">
        <f>IF(ROUNDUP(R639/20,0)&gt;ROUNDUP(R638/20,0),"Lần " &amp; ROUNDUP(R639/20,0),"")</f>
        <v/>
      </c>
      <c r="AD639" s="9">
        <f>IF(ROUNDUP(S639/20,0)&gt;ROUNDUP(S638/20,0),"Lần " &amp; ROUNDUP(S639/20,0),"")</f>
        <v/>
      </c>
      <c r="AE639" s="9">
        <f>IF(ROUNDUP(T639/20,0)&gt;ROUNDUP(T638/20,0),"Lần " &amp; ROUNDUP(T639/20,0),"")</f>
        <v/>
      </c>
      <c r="AF639" s="9">
        <f>IF(ROUNDUP(U639/20,0)&gt;ROUNDUP(U638/20,0),"Lần " &amp; ROUNDUP(U639/20,0),"")</f>
        <v/>
      </c>
      <c r="AG639" s="9">
        <f>IF(ROUNDUP(V639/20,0)&gt;ROUNDUP(V638/20,0),"Lần " &amp; ROUNDUP(V639/20,0),"")</f>
        <v/>
      </c>
      <c r="AH639" s="9">
        <f>IF(ROUNDUP(W639/20,0)&gt;ROUNDUP(W638/20,0),"Lần " &amp; ROUNDUP(W639/20,0),"")</f>
        <v/>
      </c>
      <c r="AI639" s="9">
        <f>IF(ROUNDUP(X639/20,0)&gt;ROUNDUP(X638/20,0),"Lần " &amp; ROUNDUP(X639/20,0),"")</f>
        <v/>
      </c>
      <c r="AJ639" s="9">
        <f>IF(ROUNDUP(Y639/20,0)&gt;ROUNDUP(Y638/20,0),"Lần " &amp; ROUNDUP(Y639/20,0),"")</f>
        <v/>
      </c>
      <c r="AK639" s="9">
        <f>IF(ROUNDUP(Z639/20,0)&gt;ROUNDUP(Z638/20,0),"Lần " &amp; ROUNDUP(Z639/20,0),"")</f>
        <v/>
      </c>
      <c r="AL639" s="4" t="n"/>
      <c r="AN639" s="596" t="inlineStr">
        <is>
          <t>Than</t>
        </is>
      </c>
      <c r="AO639" s="596" t="n">
        <v>45</v>
      </c>
      <c r="AQ639" s="594" t="n"/>
      <c r="AR639" s="595" t="n"/>
    </row>
    <row r="640" ht="19" customHeight="1" s="672">
      <c r="A640" s="4" t="n">
        <v>604</v>
      </c>
      <c r="B640" s="5" t="inlineStr">
        <is>
          <t>Trụ T1, T2 (Xà mũ trụ)</t>
        </is>
      </c>
      <c r="C640" s="5" t="inlineStr">
        <is>
          <t>Xà mũ trụ T1 (tr.51)</t>
        </is>
      </c>
      <c r="D640" s="14" t="inlineStr">
        <is>
          <t>U4</t>
        </is>
      </c>
      <c r="E640" s="15" t="n">
        <v>8</v>
      </c>
      <c r="F640" s="4" t="inlineStr">
        <is>
          <t>CB240-T</t>
        </is>
      </c>
      <c r="G640" s="5" t="inlineStr">
        <is>
          <t>S32</t>
        </is>
      </c>
      <c r="H640" s="16" t="n">
        <v>1.837</v>
      </c>
      <c r="I640" s="17" t="n">
        <v>8</v>
      </c>
      <c r="J640" s="18" t="n">
        <v>0.395</v>
      </c>
      <c r="K640" s="7">
        <f>ROUND(H640*I640*J640, 2)</f>
        <v/>
      </c>
      <c r="L640" s="19">
        <f>ROUND(K640/1000, 3)</f>
        <v/>
      </c>
      <c r="M640" s="728">
        <f>IF(AO640="","",IF(N(INDEX(Theo_Doi_Tan_Suat_Be_Tong!$C:$C,AO640))&lt;=0,"",INDEX(Theo_Doi_Tan_Suat_Be_Tong!$C:$C,AO640)-VLOOKUP(AN640,$AQ$2:$AR$7,2,FALSE)))</f>
        <v/>
      </c>
      <c r="N640" s="4" t="n"/>
      <c r="O640" s="20">
        <f>IF(ROUNDUP(P640/20,0)&gt;ROUNDUP(P639/20,0),"TN Ø10 (Lần " &amp; ROUNDUP(P640/20,0) &amp; ")","")</f>
        <v/>
      </c>
      <c r="P640" s="16">
        <f>ROUND(P639+IF(AND(E640&lt;=10,F640&lt;&gt;"ASTM A416"),L640,0),3)</f>
        <v/>
      </c>
      <c r="Q640" s="16">
        <f>ROUND(Q639+IF(AND(E640=12,F640&lt;&gt;"ASTM A416"),L640,0),3)</f>
        <v/>
      </c>
      <c r="R640" s="16">
        <f>ROUND(R639+IF(AND(E640=14,F640&lt;&gt;"ASTM A416"),L640,0),3)</f>
        <v/>
      </c>
      <c r="S640" s="16">
        <f>ROUND(S639+IF(AND(E640=16,F640&lt;&gt;"ASTM A416"),L640,0),3)</f>
        <v/>
      </c>
      <c r="T640" s="16">
        <f>ROUND(T639+IF(AND(E640=18,F640&lt;&gt;"ASTM A416"),L640,0),3)</f>
        <v/>
      </c>
      <c r="U640" s="16">
        <f>ROUND(U639+IF(AND(E640=20,F640&lt;&gt;"ASTM A416"),L640,0),3)</f>
        <v/>
      </c>
      <c r="V640" s="16">
        <f>ROUND(V639+IF(AND(E640=22,F640&lt;&gt;"ASTM A416"),L640,0),3)</f>
        <v/>
      </c>
      <c r="W640" s="16">
        <f>ROUND(W639+IF(AND(E640=25,F640&lt;&gt;"ASTM A416"),L640,0),3)</f>
        <v/>
      </c>
      <c r="X640" s="16">
        <f>ROUND(X639+IF(AND(E640=28,F640&lt;&gt;"ASTM A416"),L640,0),3)</f>
        <v/>
      </c>
      <c r="Y640" s="16">
        <f>ROUND(Y639+IF(AND(E640=32,F640&lt;&gt;"ASTM A416"),L640,0),3)</f>
        <v/>
      </c>
      <c r="Z640" s="16">
        <f>ROUND(Z639+IF(F640="ASTM A416",L640,0),3)</f>
        <v/>
      </c>
      <c r="AA640" s="9">
        <f>IF(ROUNDUP(P640/20,0)&gt;ROUNDUP(P639/20,0),"Lần " &amp; ROUNDUP(P640/20,0),"")</f>
        <v/>
      </c>
      <c r="AB640" s="9">
        <f>IF(ROUNDUP(Q640/20,0)&gt;ROUNDUP(Q639/20,0),"Lần " &amp; ROUNDUP(Q640/20,0),"")</f>
        <v/>
      </c>
      <c r="AC640" s="9">
        <f>IF(ROUNDUP(R640/20,0)&gt;ROUNDUP(R639/20,0),"Lần " &amp; ROUNDUP(R640/20,0),"")</f>
        <v/>
      </c>
      <c r="AD640" s="9">
        <f>IF(ROUNDUP(S640/20,0)&gt;ROUNDUP(S639/20,0),"Lần " &amp; ROUNDUP(S640/20,0),"")</f>
        <v/>
      </c>
      <c r="AE640" s="9">
        <f>IF(ROUNDUP(T640/20,0)&gt;ROUNDUP(T639/20,0),"Lần " &amp; ROUNDUP(T640/20,0),"")</f>
        <v/>
      </c>
      <c r="AF640" s="9">
        <f>IF(ROUNDUP(U640/20,0)&gt;ROUNDUP(U639/20,0),"Lần " &amp; ROUNDUP(U640/20,0),"")</f>
        <v/>
      </c>
      <c r="AG640" s="9">
        <f>IF(ROUNDUP(V640/20,0)&gt;ROUNDUP(V639/20,0),"Lần " &amp; ROUNDUP(V640/20,0),"")</f>
        <v/>
      </c>
      <c r="AH640" s="9">
        <f>IF(ROUNDUP(W640/20,0)&gt;ROUNDUP(W639/20,0),"Lần " &amp; ROUNDUP(W640/20,0),"")</f>
        <v/>
      </c>
      <c r="AI640" s="9">
        <f>IF(ROUNDUP(X640/20,0)&gt;ROUNDUP(X639/20,0),"Lần " &amp; ROUNDUP(X640/20,0),"")</f>
        <v/>
      </c>
      <c r="AJ640" s="9">
        <f>IF(ROUNDUP(Y640/20,0)&gt;ROUNDUP(Y639/20,0),"Lần " &amp; ROUNDUP(Y640/20,0),"")</f>
        <v/>
      </c>
      <c r="AK640" s="9">
        <f>IF(ROUNDUP(Z640/20,0)&gt;ROUNDUP(Z639/20,0),"Lần " &amp; ROUNDUP(Z640/20,0),"")</f>
        <v/>
      </c>
      <c r="AL640" s="4" t="n"/>
      <c r="AN640" s="596" t="inlineStr">
        <is>
          <t>Than</t>
        </is>
      </c>
      <c r="AO640" s="596" t="n">
        <v>45</v>
      </c>
      <c r="AQ640" s="594" t="n"/>
      <c r="AR640" s="595" t="n"/>
    </row>
    <row r="641" ht="19" customHeight="1" s="672">
      <c r="A641" s="4" t="n">
        <v>605</v>
      </c>
      <c r="B641" s="5" t="inlineStr">
        <is>
          <t>Trụ T1, T2 (Xà mũ trụ)</t>
        </is>
      </c>
      <c r="C641" s="5" t="inlineStr">
        <is>
          <t>Xà mũ trụ T1 (tr.51)</t>
        </is>
      </c>
      <c r="D641" s="14" t="inlineStr">
        <is>
          <t>G1</t>
        </is>
      </c>
      <c r="E641" s="15" t="n">
        <v>6</v>
      </c>
      <c r="F641" s="4" t="inlineStr">
        <is>
          <t>CB240-T</t>
        </is>
      </c>
      <c r="G641" s="5" t="inlineStr"/>
      <c r="H641" s="16" t="n">
        <v>0.46</v>
      </c>
      <c r="I641" s="17" t="n">
        <v>130</v>
      </c>
      <c r="J641" s="18" t="n">
        <v>0.222</v>
      </c>
      <c r="K641" s="7">
        <f>ROUND(H641*I641*J641, 2)</f>
        <v/>
      </c>
      <c r="L641" s="19">
        <f>ROUND(K641/1000, 3)</f>
        <v/>
      </c>
      <c r="M641" s="728">
        <f>IF(AO641="","",IF(N(INDEX(Theo_Doi_Tan_Suat_Be_Tong!$C:$C,AO641))&lt;=0,"",INDEX(Theo_Doi_Tan_Suat_Be_Tong!$C:$C,AO641)-VLOOKUP(AN641,$AQ$2:$AR$7,2,FALSE)))</f>
        <v/>
      </c>
      <c r="N641" s="4" t="n"/>
      <c r="O641" s="20">
        <f>IF(ROUNDUP(P641/20,0)&gt;ROUNDUP(P640/20,0),"TN Ø10 (Lần " &amp; ROUNDUP(P641/20,0) &amp; ")","")</f>
        <v/>
      </c>
      <c r="P641" s="16">
        <f>ROUND(P640+IF(AND(E641&lt;=10,F641&lt;&gt;"ASTM A416"),L641,0),3)</f>
        <v/>
      </c>
      <c r="Q641" s="16">
        <f>ROUND(Q640+IF(AND(E641=12,F641&lt;&gt;"ASTM A416"),L641,0),3)</f>
        <v/>
      </c>
      <c r="R641" s="16">
        <f>ROUND(R640+IF(AND(E641=14,F641&lt;&gt;"ASTM A416"),L641,0),3)</f>
        <v/>
      </c>
      <c r="S641" s="16">
        <f>ROUND(S640+IF(AND(E641=16,F641&lt;&gt;"ASTM A416"),L641,0),3)</f>
        <v/>
      </c>
      <c r="T641" s="16">
        <f>ROUND(T640+IF(AND(E641=18,F641&lt;&gt;"ASTM A416"),L641,0),3)</f>
        <v/>
      </c>
      <c r="U641" s="16">
        <f>ROUND(U640+IF(AND(E641=20,F641&lt;&gt;"ASTM A416"),L641,0),3)</f>
        <v/>
      </c>
      <c r="V641" s="16">
        <f>ROUND(V640+IF(AND(E641=22,F641&lt;&gt;"ASTM A416"),L641,0),3)</f>
        <v/>
      </c>
      <c r="W641" s="16">
        <f>ROUND(W640+IF(AND(E641=25,F641&lt;&gt;"ASTM A416"),L641,0),3)</f>
        <v/>
      </c>
      <c r="X641" s="16">
        <f>ROUND(X640+IF(AND(E641=28,F641&lt;&gt;"ASTM A416"),L641,0),3)</f>
        <v/>
      </c>
      <c r="Y641" s="16">
        <f>ROUND(Y640+IF(AND(E641=32,F641&lt;&gt;"ASTM A416"),L641,0),3)</f>
        <v/>
      </c>
      <c r="Z641" s="16">
        <f>ROUND(Z640+IF(F641="ASTM A416",L641,0),3)</f>
        <v/>
      </c>
      <c r="AA641" s="9">
        <f>IF(ROUNDUP(P641/20,0)&gt;ROUNDUP(P640/20,0),"Lần " &amp; ROUNDUP(P641/20,0),"")</f>
        <v/>
      </c>
      <c r="AB641" s="9">
        <f>IF(ROUNDUP(Q641/20,0)&gt;ROUNDUP(Q640/20,0),"Lần " &amp; ROUNDUP(Q641/20,0),"")</f>
        <v/>
      </c>
      <c r="AC641" s="9">
        <f>IF(ROUNDUP(R641/20,0)&gt;ROUNDUP(R640/20,0),"Lần " &amp; ROUNDUP(R641/20,0),"")</f>
        <v/>
      </c>
      <c r="AD641" s="9">
        <f>IF(ROUNDUP(S641/20,0)&gt;ROUNDUP(S640/20,0),"Lần " &amp; ROUNDUP(S641/20,0),"")</f>
        <v/>
      </c>
      <c r="AE641" s="9">
        <f>IF(ROUNDUP(T641/20,0)&gt;ROUNDUP(T640/20,0),"Lần " &amp; ROUNDUP(T641/20,0),"")</f>
        <v/>
      </c>
      <c r="AF641" s="9">
        <f>IF(ROUNDUP(U641/20,0)&gt;ROUNDUP(U640/20,0),"Lần " &amp; ROUNDUP(U641/20,0),"")</f>
        <v/>
      </c>
      <c r="AG641" s="9">
        <f>IF(ROUNDUP(V641/20,0)&gt;ROUNDUP(V640/20,0),"Lần " &amp; ROUNDUP(V641/20,0),"")</f>
        <v/>
      </c>
      <c r="AH641" s="9">
        <f>IF(ROUNDUP(W641/20,0)&gt;ROUNDUP(W640/20,0),"Lần " &amp; ROUNDUP(W641/20,0),"")</f>
        <v/>
      </c>
      <c r="AI641" s="9">
        <f>IF(ROUNDUP(X641/20,0)&gt;ROUNDUP(X640/20,0),"Lần " &amp; ROUNDUP(X641/20,0),"")</f>
        <v/>
      </c>
      <c r="AJ641" s="9">
        <f>IF(ROUNDUP(Y641/20,0)&gt;ROUNDUP(Y640/20,0),"Lần " &amp; ROUNDUP(Y641/20,0),"")</f>
        <v/>
      </c>
      <c r="AK641" s="9">
        <f>IF(ROUNDUP(Z641/20,0)&gt;ROUNDUP(Z640/20,0),"Lần " &amp; ROUNDUP(Z641/20,0),"")</f>
        <v/>
      </c>
      <c r="AL641" s="4" t="n"/>
      <c r="AN641" s="596" t="inlineStr">
        <is>
          <t>Than</t>
        </is>
      </c>
      <c r="AO641" s="596" t="n">
        <v>45</v>
      </c>
      <c r="AQ641" s="594" t="n"/>
      <c r="AR641" s="595" t="n"/>
    </row>
    <row r="642" ht="19" customHeight="1" s="672">
      <c r="A642" s="4" t="n">
        <v>606</v>
      </c>
      <c r="B642" s="5" t="inlineStr">
        <is>
          <t>Trụ T1, T2 (Xà mũ trụ)</t>
        </is>
      </c>
      <c r="C642" s="5" t="inlineStr">
        <is>
          <t>Xà mũ trụ T1 (tr.51)</t>
        </is>
      </c>
      <c r="D642" s="14" t="inlineStr">
        <is>
          <t>G2</t>
        </is>
      </c>
      <c r="E642" s="15" t="n">
        <v>6</v>
      </c>
      <c r="F642" s="4" t="inlineStr">
        <is>
          <t>CB240-T</t>
        </is>
      </c>
      <c r="G642" s="5" t="inlineStr"/>
      <c r="H642" s="16" t="n">
        <v>0.72</v>
      </c>
      <c r="I642" s="17" t="n">
        <v>100</v>
      </c>
      <c r="J642" s="18" t="n">
        <v>0.222</v>
      </c>
      <c r="K642" s="7">
        <f>ROUND(H642*I642*J642, 2)</f>
        <v/>
      </c>
      <c r="L642" s="19">
        <f>ROUND(K642/1000, 3)</f>
        <v/>
      </c>
      <c r="M642" s="728">
        <f>IF(AO642="","",IF(N(INDEX(Theo_Doi_Tan_Suat_Be_Tong!$C:$C,AO642))&lt;=0,"",INDEX(Theo_Doi_Tan_Suat_Be_Tong!$C:$C,AO642)-VLOOKUP(AN642,$AQ$2:$AR$7,2,FALSE)))</f>
        <v/>
      </c>
      <c r="N642" s="4" t="n"/>
      <c r="O642" s="20">
        <f>IF(ROUNDUP(P642/20,0)&gt;ROUNDUP(P641/20,0),"TN Ø10 (Lần " &amp; ROUNDUP(P642/20,0) &amp; ")","")</f>
        <v/>
      </c>
      <c r="P642" s="16">
        <f>ROUND(P641+IF(AND(E642&lt;=10,F642&lt;&gt;"ASTM A416"),L642,0),3)</f>
        <v/>
      </c>
      <c r="Q642" s="16">
        <f>ROUND(Q641+IF(AND(E642=12,F642&lt;&gt;"ASTM A416"),L642,0),3)</f>
        <v/>
      </c>
      <c r="R642" s="16">
        <f>ROUND(R641+IF(AND(E642=14,F642&lt;&gt;"ASTM A416"),L642,0),3)</f>
        <v/>
      </c>
      <c r="S642" s="16">
        <f>ROUND(S641+IF(AND(E642=16,F642&lt;&gt;"ASTM A416"),L642,0),3)</f>
        <v/>
      </c>
      <c r="T642" s="16">
        <f>ROUND(T641+IF(AND(E642=18,F642&lt;&gt;"ASTM A416"),L642,0),3)</f>
        <v/>
      </c>
      <c r="U642" s="16">
        <f>ROUND(U641+IF(AND(E642=20,F642&lt;&gt;"ASTM A416"),L642,0),3)</f>
        <v/>
      </c>
      <c r="V642" s="16">
        <f>ROUND(V641+IF(AND(E642=22,F642&lt;&gt;"ASTM A416"),L642,0),3)</f>
        <v/>
      </c>
      <c r="W642" s="16">
        <f>ROUND(W641+IF(AND(E642=25,F642&lt;&gt;"ASTM A416"),L642,0),3)</f>
        <v/>
      </c>
      <c r="X642" s="16">
        <f>ROUND(X641+IF(AND(E642=28,F642&lt;&gt;"ASTM A416"),L642,0),3)</f>
        <v/>
      </c>
      <c r="Y642" s="16">
        <f>ROUND(Y641+IF(AND(E642=32,F642&lt;&gt;"ASTM A416"),L642,0),3)</f>
        <v/>
      </c>
      <c r="Z642" s="16">
        <f>ROUND(Z641+IF(F642="ASTM A416",L642,0),3)</f>
        <v/>
      </c>
      <c r="AA642" s="9">
        <f>IF(ROUNDUP(P642/20,0)&gt;ROUNDUP(P641/20,0),"Lần " &amp; ROUNDUP(P642/20,0),"")</f>
        <v/>
      </c>
      <c r="AB642" s="9">
        <f>IF(ROUNDUP(Q642/20,0)&gt;ROUNDUP(Q641/20,0),"Lần " &amp; ROUNDUP(Q642/20,0),"")</f>
        <v/>
      </c>
      <c r="AC642" s="9">
        <f>IF(ROUNDUP(R642/20,0)&gt;ROUNDUP(R641/20,0),"Lần " &amp; ROUNDUP(R642/20,0),"")</f>
        <v/>
      </c>
      <c r="AD642" s="9">
        <f>IF(ROUNDUP(S642/20,0)&gt;ROUNDUP(S641/20,0),"Lần " &amp; ROUNDUP(S642/20,0),"")</f>
        <v/>
      </c>
      <c r="AE642" s="9">
        <f>IF(ROUNDUP(T642/20,0)&gt;ROUNDUP(T641/20,0),"Lần " &amp; ROUNDUP(T642/20,0),"")</f>
        <v/>
      </c>
      <c r="AF642" s="9">
        <f>IF(ROUNDUP(U642/20,0)&gt;ROUNDUP(U641/20,0),"Lần " &amp; ROUNDUP(U642/20,0),"")</f>
        <v/>
      </c>
      <c r="AG642" s="9">
        <f>IF(ROUNDUP(V642/20,0)&gt;ROUNDUP(V641/20,0),"Lần " &amp; ROUNDUP(V642/20,0),"")</f>
        <v/>
      </c>
      <c r="AH642" s="9">
        <f>IF(ROUNDUP(W642/20,0)&gt;ROUNDUP(W641/20,0),"Lần " &amp; ROUNDUP(W642/20,0),"")</f>
        <v/>
      </c>
      <c r="AI642" s="9">
        <f>IF(ROUNDUP(X642/20,0)&gt;ROUNDUP(X641/20,0),"Lần " &amp; ROUNDUP(X642/20,0),"")</f>
        <v/>
      </c>
      <c r="AJ642" s="9">
        <f>IF(ROUNDUP(Y642/20,0)&gt;ROUNDUP(Y641/20,0),"Lần " &amp; ROUNDUP(Y642/20,0),"")</f>
        <v/>
      </c>
      <c r="AK642" s="9">
        <f>IF(ROUNDUP(Z642/20,0)&gt;ROUNDUP(Z641/20,0),"Lần " &amp; ROUNDUP(Z642/20,0),"")</f>
        <v/>
      </c>
      <c r="AL642" s="4" t="n"/>
      <c r="AN642" s="596" t="inlineStr">
        <is>
          <t>Than</t>
        </is>
      </c>
      <c r="AO642" s="596" t="n">
        <v>45</v>
      </c>
      <c r="AQ642" s="594" t="n"/>
      <c r="AR642" s="595" t="n"/>
    </row>
    <row r="643" ht="19" customHeight="1" s="672">
      <c r="A643" s="4" t="n">
        <v>607</v>
      </c>
      <c r="B643" s="5" t="inlineStr">
        <is>
          <t>Trụ T1, T2 (Xà mũ trụ)</t>
        </is>
      </c>
      <c r="C643" s="5" t="inlineStr">
        <is>
          <t>Xà mũ trụ T2 (tr.62)</t>
        </is>
      </c>
      <c r="D643" s="14" t="inlineStr">
        <is>
          <t>X1</t>
        </is>
      </c>
      <c r="E643" s="15" t="n">
        <v>32</v>
      </c>
      <c r="F643" s="4" t="inlineStr">
        <is>
          <t>CB400-V</t>
        </is>
      </c>
      <c r="G643" s="5" t="inlineStr"/>
      <c r="H643" s="16" t="n">
        <v>14.312</v>
      </c>
      <c r="I643" s="17" t="n">
        <v>15</v>
      </c>
      <c r="J643" s="18" t="n">
        <v>6.313</v>
      </c>
      <c r="K643" s="7">
        <f>ROUND(H643*I643*J643, 2)</f>
        <v/>
      </c>
      <c r="L643" s="19">
        <f>ROUND(K643/1000, 3)</f>
        <v/>
      </c>
      <c r="M643" s="728">
        <f>IF(AO643="","",IF(N(INDEX(Theo_Doi_Tan_Suat_Be_Tong!$C:$C,AO643))&lt;=0,"",INDEX(Theo_Doi_Tan_Suat_Be_Tong!$C:$C,AO643)-VLOOKUP(AN643,$AQ$2:$AR$7,2,FALSE)))</f>
        <v/>
      </c>
      <c r="N643" s="4" t="n"/>
      <c r="O643" s="20">
        <f>IF(ROUNDUP(Y643/20,0)&gt;ROUNDUP(Y642/20,0),"TN Ø32 (Lần " &amp; ROUNDUP(Y643/20,0) &amp; ")","")</f>
        <v/>
      </c>
      <c r="P643" s="16">
        <f>ROUND(P642+IF(AND(E643&lt;=10,F643&lt;&gt;"ASTM A416"),L643,0),3)</f>
        <v/>
      </c>
      <c r="Q643" s="16">
        <f>ROUND(Q642+IF(AND(E643=12,F643&lt;&gt;"ASTM A416"),L643,0),3)</f>
        <v/>
      </c>
      <c r="R643" s="16">
        <f>ROUND(R642+IF(AND(E643=14,F643&lt;&gt;"ASTM A416"),L643,0),3)</f>
        <v/>
      </c>
      <c r="S643" s="16">
        <f>ROUND(S642+IF(AND(E643=16,F643&lt;&gt;"ASTM A416"),L643,0),3)</f>
        <v/>
      </c>
      <c r="T643" s="16">
        <f>ROUND(T642+IF(AND(E643=18,F643&lt;&gt;"ASTM A416"),L643,0),3)</f>
        <v/>
      </c>
      <c r="U643" s="16">
        <f>ROUND(U642+IF(AND(E643=20,F643&lt;&gt;"ASTM A416"),L643,0),3)</f>
        <v/>
      </c>
      <c r="V643" s="16">
        <f>ROUND(V642+IF(AND(E643=22,F643&lt;&gt;"ASTM A416"),L643,0),3)</f>
        <v/>
      </c>
      <c r="W643" s="16">
        <f>ROUND(W642+IF(AND(E643=25,F643&lt;&gt;"ASTM A416"),L643,0),3)</f>
        <v/>
      </c>
      <c r="X643" s="16">
        <f>ROUND(X642+IF(AND(E643=28,F643&lt;&gt;"ASTM A416"),L643,0),3)</f>
        <v/>
      </c>
      <c r="Y643" s="16">
        <f>ROUND(Y642+IF(AND(E643=32,F643&lt;&gt;"ASTM A416"),L643,0),3)</f>
        <v/>
      </c>
      <c r="Z643" s="16">
        <f>ROUND(Z642+IF(F643="ASTM A416",L643,0),3)</f>
        <v/>
      </c>
      <c r="AA643" s="9">
        <f>IF(ROUNDUP(P643/20,0)&gt;ROUNDUP(P642/20,0),"Lần " &amp; ROUNDUP(P643/20,0),"")</f>
        <v/>
      </c>
      <c r="AB643" s="9">
        <f>IF(ROUNDUP(Q643/20,0)&gt;ROUNDUP(Q642/20,0),"Lần " &amp; ROUNDUP(Q643/20,0),"")</f>
        <v/>
      </c>
      <c r="AC643" s="9">
        <f>IF(ROUNDUP(R643/20,0)&gt;ROUNDUP(R642/20,0),"Lần " &amp; ROUNDUP(R643/20,0),"")</f>
        <v/>
      </c>
      <c r="AD643" s="9">
        <f>IF(ROUNDUP(S643/20,0)&gt;ROUNDUP(S642/20,0),"Lần " &amp; ROUNDUP(S643/20,0),"")</f>
        <v/>
      </c>
      <c r="AE643" s="9">
        <f>IF(ROUNDUP(T643/20,0)&gt;ROUNDUP(T642/20,0),"Lần " &amp; ROUNDUP(T643/20,0),"")</f>
        <v/>
      </c>
      <c r="AF643" s="9">
        <f>IF(ROUNDUP(U643/20,0)&gt;ROUNDUP(U642/20,0),"Lần " &amp; ROUNDUP(U643/20,0),"")</f>
        <v/>
      </c>
      <c r="AG643" s="9">
        <f>IF(ROUNDUP(V643/20,0)&gt;ROUNDUP(V642/20,0),"Lần " &amp; ROUNDUP(V643/20,0),"")</f>
        <v/>
      </c>
      <c r="AH643" s="9">
        <f>IF(ROUNDUP(W643/20,0)&gt;ROUNDUP(W642/20,0),"Lần " &amp; ROUNDUP(W643/20,0),"")</f>
        <v/>
      </c>
      <c r="AI643" s="9">
        <f>IF(ROUNDUP(X643/20,0)&gt;ROUNDUP(X642/20,0),"Lần " &amp; ROUNDUP(X643/20,0),"")</f>
        <v/>
      </c>
      <c r="AJ643" s="9">
        <f>IF(ROUNDUP(Y643/20,0)&gt;ROUNDUP(Y642/20,0),"Lần " &amp; ROUNDUP(Y643/20,0),"")</f>
        <v/>
      </c>
      <c r="AK643" s="9">
        <f>IF(ROUNDUP(Z643/20,0)&gt;ROUNDUP(Z642/20,0),"Lần " &amp; ROUNDUP(Z643/20,0),"")</f>
        <v/>
      </c>
      <c r="AL643" s="4" t="n"/>
      <c r="AN643" s="596" t="inlineStr">
        <is>
          <t>Than</t>
        </is>
      </c>
      <c r="AO643" s="596" t="n">
        <v>49</v>
      </c>
      <c r="AQ643" s="594" t="n"/>
      <c r="AR643" s="595" t="n"/>
    </row>
    <row r="644" ht="19" customHeight="1" s="672">
      <c r="A644" s="4" t="n">
        <v>608</v>
      </c>
      <c r="B644" s="5" t="inlineStr">
        <is>
          <t>Trụ T1, T2 (Xà mũ trụ)</t>
        </is>
      </c>
      <c r="C644" s="5" t="inlineStr">
        <is>
          <t>Xà mũ trụ T2 (tr.62)</t>
        </is>
      </c>
      <c r="D644" s="14" t="inlineStr">
        <is>
          <t>X1A</t>
        </is>
      </c>
      <c r="E644" s="15" t="n">
        <v>32</v>
      </c>
      <c r="F644" s="4" t="inlineStr">
        <is>
          <t>CB400-V</t>
        </is>
      </c>
      <c r="G644" s="5" t="inlineStr"/>
      <c r="H644" s="16" t="n">
        <v>13.48</v>
      </c>
      <c r="I644" s="17" t="n">
        <v>15</v>
      </c>
      <c r="J644" s="18" t="n">
        <v>6.313</v>
      </c>
      <c r="K644" s="7">
        <f>ROUND(H644*I644*J644, 2)</f>
        <v/>
      </c>
      <c r="L644" s="19">
        <f>ROUND(K644/1000, 3)</f>
        <v/>
      </c>
      <c r="M644" s="728">
        <f>IF(AO644="","",IF(N(INDEX(Theo_Doi_Tan_Suat_Be_Tong!$C:$C,AO644))&lt;=0,"",INDEX(Theo_Doi_Tan_Suat_Be_Tong!$C:$C,AO644)-VLOOKUP(AN644,$AQ$2:$AR$7,2,FALSE)))</f>
        <v/>
      </c>
      <c r="N644" s="4" t="n"/>
      <c r="O644" s="20">
        <f>IF(ROUNDUP(Y644/20,0)&gt;ROUNDUP(Y643/20,0),"TN Ø32 (Lần " &amp; ROUNDUP(Y644/20,0) &amp; ")","")</f>
        <v/>
      </c>
      <c r="P644" s="16">
        <f>ROUND(P643+IF(AND(E644&lt;=10,F644&lt;&gt;"ASTM A416"),L644,0),3)</f>
        <v/>
      </c>
      <c r="Q644" s="16">
        <f>ROUND(Q643+IF(AND(E644=12,F644&lt;&gt;"ASTM A416"),L644,0),3)</f>
        <v/>
      </c>
      <c r="R644" s="16">
        <f>ROUND(R643+IF(AND(E644=14,F644&lt;&gt;"ASTM A416"),L644,0),3)</f>
        <v/>
      </c>
      <c r="S644" s="16">
        <f>ROUND(S643+IF(AND(E644=16,F644&lt;&gt;"ASTM A416"),L644,0),3)</f>
        <v/>
      </c>
      <c r="T644" s="16">
        <f>ROUND(T643+IF(AND(E644=18,F644&lt;&gt;"ASTM A416"),L644,0),3)</f>
        <v/>
      </c>
      <c r="U644" s="16">
        <f>ROUND(U643+IF(AND(E644=20,F644&lt;&gt;"ASTM A416"),L644,0),3)</f>
        <v/>
      </c>
      <c r="V644" s="16">
        <f>ROUND(V643+IF(AND(E644=22,F644&lt;&gt;"ASTM A416"),L644,0),3)</f>
        <v/>
      </c>
      <c r="W644" s="16">
        <f>ROUND(W643+IF(AND(E644=25,F644&lt;&gt;"ASTM A416"),L644,0),3)</f>
        <v/>
      </c>
      <c r="X644" s="16">
        <f>ROUND(X643+IF(AND(E644=28,F644&lt;&gt;"ASTM A416"),L644,0),3)</f>
        <v/>
      </c>
      <c r="Y644" s="16">
        <f>ROUND(Y643+IF(AND(E644=32,F644&lt;&gt;"ASTM A416"),L644,0),3)</f>
        <v/>
      </c>
      <c r="Z644" s="16">
        <f>ROUND(Z643+IF(F644="ASTM A416",L644,0),3)</f>
        <v/>
      </c>
      <c r="AA644" s="9">
        <f>IF(ROUNDUP(P644/20,0)&gt;ROUNDUP(P643/20,0),"Lần " &amp; ROUNDUP(P644/20,0),"")</f>
        <v/>
      </c>
      <c r="AB644" s="9">
        <f>IF(ROUNDUP(Q644/20,0)&gt;ROUNDUP(Q643/20,0),"Lần " &amp; ROUNDUP(Q644/20,0),"")</f>
        <v/>
      </c>
      <c r="AC644" s="9">
        <f>IF(ROUNDUP(R644/20,0)&gt;ROUNDUP(R643/20,0),"Lần " &amp; ROUNDUP(R644/20,0),"")</f>
        <v/>
      </c>
      <c r="AD644" s="9">
        <f>IF(ROUNDUP(S644/20,0)&gt;ROUNDUP(S643/20,0),"Lần " &amp; ROUNDUP(S644/20,0),"")</f>
        <v/>
      </c>
      <c r="AE644" s="9">
        <f>IF(ROUNDUP(T644/20,0)&gt;ROUNDUP(T643/20,0),"Lần " &amp; ROUNDUP(T644/20,0),"")</f>
        <v/>
      </c>
      <c r="AF644" s="9">
        <f>IF(ROUNDUP(U644/20,0)&gt;ROUNDUP(U643/20,0),"Lần " &amp; ROUNDUP(U644/20,0),"")</f>
        <v/>
      </c>
      <c r="AG644" s="9">
        <f>IF(ROUNDUP(V644/20,0)&gt;ROUNDUP(V643/20,0),"Lần " &amp; ROUNDUP(V644/20,0),"")</f>
        <v/>
      </c>
      <c r="AH644" s="9">
        <f>IF(ROUNDUP(W644/20,0)&gt;ROUNDUP(W643/20,0),"Lần " &amp; ROUNDUP(W644/20,0),"")</f>
        <v/>
      </c>
      <c r="AI644" s="9">
        <f>IF(ROUNDUP(X644/20,0)&gt;ROUNDUP(X643/20,0),"Lần " &amp; ROUNDUP(X644/20,0),"")</f>
        <v/>
      </c>
      <c r="AJ644" s="9">
        <f>IF(ROUNDUP(Y644/20,0)&gt;ROUNDUP(Y643/20,0),"Lần " &amp; ROUNDUP(Y644/20,0),"")</f>
        <v/>
      </c>
      <c r="AK644" s="9">
        <f>IF(ROUNDUP(Z644/20,0)&gt;ROUNDUP(Z643/20,0),"Lần " &amp; ROUNDUP(Z644/20,0),"")</f>
        <v/>
      </c>
      <c r="AL644" s="4" t="n"/>
      <c r="AN644" s="596" t="inlineStr">
        <is>
          <t>Than</t>
        </is>
      </c>
      <c r="AO644" s="596" t="n">
        <v>49</v>
      </c>
      <c r="AQ644" s="594" t="n"/>
      <c r="AR644" s="595" t="n"/>
    </row>
    <row r="645" ht="19" customHeight="1" s="672">
      <c r="A645" s="4" t="n">
        <v>609</v>
      </c>
      <c r="B645" s="5" t="inlineStr">
        <is>
          <t>Trụ T1, T2 (Xà mũ trụ)</t>
        </is>
      </c>
      <c r="C645" s="5" t="inlineStr">
        <is>
          <t>Xà mũ trụ T2 (tr.62)</t>
        </is>
      </c>
      <c r="D645" s="14" t="inlineStr">
        <is>
          <t>X2</t>
        </is>
      </c>
      <c r="E645" s="15" t="n">
        <v>16</v>
      </c>
      <c r="F645" s="4" t="inlineStr">
        <is>
          <t>CB400-V</t>
        </is>
      </c>
      <c r="G645" s="5" t="inlineStr"/>
      <c r="H645" s="16" t="n">
        <v>13.139</v>
      </c>
      <c r="I645" s="17" t="n">
        <v>24</v>
      </c>
      <c r="J645" s="18" t="n">
        <v>1.578</v>
      </c>
      <c r="K645" s="7">
        <f>ROUND(H645*I645*J645, 2)</f>
        <v/>
      </c>
      <c r="L645" s="19">
        <f>ROUND(K645/1000, 3)</f>
        <v/>
      </c>
      <c r="M645" s="728">
        <f>IF(AO645="","",IF(N(INDEX(Theo_Doi_Tan_Suat_Be_Tong!$C:$C,AO645))&lt;=0,"",INDEX(Theo_Doi_Tan_Suat_Be_Tong!$C:$C,AO645)-VLOOKUP(AN645,$AQ$2:$AR$7,2,FALSE)))</f>
        <v/>
      </c>
      <c r="N645" s="4" t="n"/>
      <c r="O645" s="20">
        <f>IF(ROUNDUP(S645/20,0)&gt;ROUNDUP(S644/20,0),"TN Ø16 (Lần " &amp; ROUNDUP(S645/20,0) &amp; ")","")</f>
        <v/>
      </c>
      <c r="P645" s="16">
        <f>ROUND(P644+IF(AND(E645&lt;=10,F645&lt;&gt;"ASTM A416"),L645,0),3)</f>
        <v/>
      </c>
      <c r="Q645" s="16">
        <f>ROUND(Q644+IF(AND(E645=12,F645&lt;&gt;"ASTM A416"),L645,0),3)</f>
        <v/>
      </c>
      <c r="R645" s="16">
        <f>ROUND(R644+IF(AND(E645=14,F645&lt;&gt;"ASTM A416"),L645,0),3)</f>
        <v/>
      </c>
      <c r="S645" s="16">
        <f>ROUND(S644+IF(AND(E645=16,F645&lt;&gt;"ASTM A416"),L645,0),3)</f>
        <v/>
      </c>
      <c r="T645" s="16">
        <f>ROUND(T644+IF(AND(E645=18,F645&lt;&gt;"ASTM A416"),L645,0),3)</f>
        <v/>
      </c>
      <c r="U645" s="16">
        <f>ROUND(U644+IF(AND(E645=20,F645&lt;&gt;"ASTM A416"),L645,0),3)</f>
        <v/>
      </c>
      <c r="V645" s="16">
        <f>ROUND(V644+IF(AND(E645=22,F645&lt;&gt;"ASTM A416"),L645,0),3)</f>
        <v/>
      </c>
      <c r="W645" s="16">
        <f>ROUND(W644+IF(AND(E645=25,F645&lt;&gt;"ASTM A416"),L645,0),3)</f>
        <v/>
      </c>
      <c r="X645" s="16">
        <f>ROUND(X644+IF(AND(E645=28,F645&lt;&gt;"ASTM A416"),L645,0),3)</f>
        <v/>
      </c>
      <c r="Y645" s="16">
        <f>ROUND(Y644+IF(AND(E645=32,F645&lt;&gt;"ASTM A416"),L645,0),3)</f>
        <v/>
      </c>
      <c r="Z645" s="16">
        <f>ROUND(Z644+IF(F645="ASTM A416",L645,0),3)</f>
        <v/>
      </c>
      <c r="AA645" s="9">
        <f>IF(ROUNDUP(P645/20,0)&gt;ROUNDUP(P644/20,0),"Lần " &amp; ROUNDUP(P645/20,0),"")</f>
        <v/>
      </c>
      <c r="AB645" s="9">
        <f>IF(ROUNDUP(Q645/20,0)&gt;ROUNDUP(Q644/20,0),"Lần " &amp; ROUNDUP(Q645/20,0),"")</f>
        <v/>
      </c>
      <c r="AC645" s="9">
        <f>IF(ROUNDUP(R645/20,0)&gt;ROUNDUP(R644/20,0),"Lần " &amp; ROUNDUP(R645/20,0),"")</f>
        <v/>
      </c>
      <c r="AD645" s="9">
        <f>IF(ROUNDUP(S645/20,0)&gt;ROUNDUP(S644/20,0),"Lần " &amp; ROUNDUP(S645/20,0),"")</f>
        <v/>
      </c>
      <c r="AE645" s="9">
        <f>IF(ROUNDUP(T645/20,0)&gt;ROUNDUP(T644/20,0),"Lần " &amp; ROUNDUP(T645/20,0),"")</f>
        <v/>
      </c>
      <c r="AF645" s="9">
        <f>IF(ROUNDUP(U645/20,0)&gt;ROUNDUP(U644/20,0),"Lần " &amp; ROUNDUP(U645/20,0),"")</f>
        <v/>
      </c>
      <c r="AG645" s="9">
        <f>IF(ROUNDUP(V645/20,0)&gt;ROUNDUP(V644/20,0),"Lần " &amp; ROUNDUP(V645/20,0),"")</f>
        <v/>
      </c>
      <c r="AH645" s="9">
        <f>IF(ROUNDUP(W645/20,0)&gt;ROUNDUP(W644/20,0),"Lần " &amp; ROUNDUP(W645/20,0),"")</f>
        <v/>
      </c>
      <c r="AI645" s="9">
        <f>IF(ROUNDUP(X645/20,0)&gt;ROUNDUP(X644/20,0),"Lần " &amp; ROUNDUP(X645/20,0),"")</f>
        <v/>
      </c>
      <c r="AJ645" s="9">
        <f>IF(ROUNDUP(Y645/20,0)&gt;ROUNDUP(Y644/20,0),"Lần " &amp; ROUNDUP(Y645/20,0),"")</f>
        <v/>
      </c>
      <c r="AK645" s="9">
        <f>IF(ROUNDUP(Z645/20,0)&gt;ROUNDUP(Z644/20,0),"Lần " &amp; ROUNDUP(Z645/20,0),"")</f>
        <v/>
      </c>
      <c r="AL645" s="4" t="n"/>
      <c r="AN645" s="596" t="inlineStr">
        <is>
          <t>Than</t>
        </is>
      </c>
      <c r="AO645" s="596" t="n">
        <v>49</v>
      </c>
      <c r="AQ645" s="594" t="n"/>
      <c r="AR645" s="595" t="n"/>
    </row>
    <row r="646" ht="19" customHeight="1" s="672">
      <c r="A646" s="4" t="n">
        <v>610</v>
      </c>
      <c r="B646" s="5" t="inlineStr">
        <is>
          <t>Trụ T1, T2 (Xà mũ trụ)</t>
        </is>
      </c>
      <c r="C646" s="5" t="inlineStr">
        <is>
          <t>Xà mũ trụ T2 (tr.62)</t>
        </is>
      </c>
      <c r="D646" s="14" t="inlineStr">
        <is>
          <t>EX</t>
        </is>
      </c>
      <c r="E646" s="15" t="n">
        <v>25</v>
      </c>
      <c r="F646" s="4" t="inlineStr">
        <is>
          <t>CB400-V</t>
        </is>
      </c>
      <c r="G646" s="5" t="inlineStr"/>
      <c r="H646" s="16" t="n">
        <v>7.468</v>
      </c>
      <c r="I646" s="17" t="n">
        <v>158</v>
      </c>
      <c r="J646" s="18" t="n">
        <v>3.853</v>
      </c>
      <c r="K646" s="7">
        <f>ROUND(H646*I646*J646, 2)</f>
        <v/>
      </c>
      <c r="L646" s="19">
        <f>ROUND(K646/1000, 3)</f>
        <v/>
      </c>
      <c r="M646" s="728">
        <f>IF(AO646="","",IF(N(INDEX(Theo_Doi_Tan_Suat_Be_Tong!$C:$C,AO646))&lt;=0,"",INDEX(Theo_Doi_Tan_Suat_Be_Tong!$C:$C,AO646)-VLOOKUP(AN646,$AQ$2:$AR$7,2,FALSE)))</f>
        <v/>
      </c>
      <c r="N646" s="4" t="n"/>
      <c r="O646" s="20">
        <f>IF(ROUNDUP(W646/20,0)&gt;ROUNDUP(W645/20,0),"TN Ø25 (Lần " &amp; ROUNDUP(W646/20,0) &amp; ")","")</f>
        <v/>
      </c>
      <c r="P646" s="16">
        <f>ROUND(P645+IF(AND(E646&lt;=10,F646&lt;&gt;"ASTM A416"),L646,0),3)</f>
        <v/>
      </c>
      <c r="Q646" s="16">
        <f>ROUND(Q645+IF(AND(E646=12,F646&lt;&gt;"ASTM A416"),L646,0),3)</f>
        <v/>
      </c>
      <c r="R646" s="16">
        <f>ROUND(R645+IF(AND(E646=14,F646&lt;&gt;"ASTM A416"),L646,0),3)</f>
        <v/>
      </c>
      <c r="S646" s="16">
        <f>ROUND(S645+IF(AND(E646=16,F646&lt;&gt;"ASTM A416"),L646,0),3)</f>
        <v/>
      </c>
      <c r="T646" s="16">
        <f>ROUND(T645+IF(AND(E646=18,F646&lt;&gt;"ASTM A416"),L646,0),3)</f>
        <v/>
      </c>
      <c r="U646" s="16">
        <f>ROUND(U645+IF(AND(E646=20,F646&lt;&gt;"ASTM A416"),L646,0),3)</f>
        <v/>
      </c>
      <c r="V646" s="16">
        <f>ROUND(V645+IF(AND(E646=22,F646&lt;&gt;"ASTM A416"),L646,0),3)</f>
        <v/>
      </c>
      <c r="W646" s="16">
        <f>ROUND(W645+IF(AND(E646=25,F646&lt;&gt;"ASTM A416"),L646,0),3)</f>
        <v/>
      </c>
      <c r="X646" s="16">
        <f>ROUND(X645+IF(AND(E646=28,F646&lt;&gt;"ASTM A416"),L646,0),3)</f>
        <v/>
      </c>
      <c r="Y646" s="16">
        <f>ROUND(Y645+IF(AND(E646=32,F646&lt;&gt;"ASTM A416"),L646,0),3)</f>
        <v/>
      </c>
      <c r="Z646" s="16">
        <f>ROUND(Z645+IF(F646="ASTM A416",L646,0),3)</f>
        <v/>
      </c>
      <c r="AA646" s="9">
        <f>IF(ROUNDUP(P646/20,0)&gt;ROUNDUP(P645/20,0),"Lần " &amp; ROUNDUP(P646/20,0),"")</f>
        <v/>
      </c>
      <c r="AB646" s="9">
        <f>IF(ROUNDUP(Q646/20,0)&gt;ROUNDUP(Q645/20,0),"Lần " &amp; ROUNDUP(Q646/20,0),"")</f>
        <v/>
      </c>
      <c r="AC646" s="9">
        <f>IF(ROUNDUP(R646/20,0)&gt;ROUNDUP(R645/20,0),"Lần " &amp; ROUNDUP(R646/20,0),"")</f>
        <v/>
      </c>
      <c r="AD646" s="9">
        <f>IF(ROUNDUP(S646/20,0)&gt;ROUNDUP(S645/20,0),"Lần " &amp; ROUNDUP(S646/20,0),"")</f>
        <v/>
      </c>
      <c r="AE646" s="9">
        <f>IF(ROUNDUP(T646/20,0)&gt;ROUNDUP(T645/20,0),"Lần " &amp; ROUNDUP(T646/20,0),"")</f>
        <v/>
      </c>
      <c r="AF646" s="9">
        <f>IF(ROUNDUP(U646/20,0)&gt;ROUNDUP(U645/20,0),"Lần " &amp; ROUNDUP(U646/20,0),"")</f>
        <v/>
      </c>
      <c r="AG646" s="9">
        <f>IF(ROUNDUP(V646/20,0)&gt;ROUNDUP(V645/20,0),"Lần " &amp; ROUNDUP(V646/20,0),"")</f>
        <v/>
      </c>
      <c r="AH646" s="9">
        <f>IF(ROUNDUP(W646/20,0)&gt;ROUNDUP(W645/20,0),"Lần " &amp; ROUNDUP(W646/20,0),"")</f>
        <v/>
      </c>
      <c r="AI646" s="9">
        <f>IF(ROUNDUP(X646/20,0)&gt;ROUNDUP(X645/20,0),"Lần " &amp; ROUNDUP(X646/20,0),"")</f>
        <v/>
      </c>
      <c r="AJ646" s="9">
        <f>IF(ROUNDUP(Y646/20,0)&gt;ROUNDUP(Y645/20,0),"Lần " &amp; ROUNDUP(Y646/20,0),"")</f>
        <v/>
      </c>
      <c r="AK646" s="9">
        <f>IF(ROUNDUP(Z646/20,0)&gt;ROUNDUP(Z645/20,0),"Lần " &amp; ROUNDUP(Z646/20,0),"")</f>
        <v/>
      </c>
      <c r="AL646" s="4" t="n"/>
      <c r="AN646" s="596" t="inlineStr">
        <is>
          <t>Than</t>
        </is>
      </c>
      <c r="AO646" s="596" t="n">
        <v>49</v>
      </c>
      <c r="AQ646" s="594" t="n"/>
      <c r="AR646" s="595" t="n"/>
    </row>
    <row r="647" ht="19" customHeight="1" s="672">
      <c r="A647" s="4" t="n">
        <v>611</v>
      </c>
      <c r="B647" s="5" t="inlineStr">
        <is>
          <t>Trụ T1, T2 (Xà mũ trụ)</t>
        </is>
      </c>
      <c r="C647" s="5" t="inlineStr">
        <is>
          <t>Xà mũ trụ T2 (tr.62)</t>
        </is>
      </c>
      <c r="D647" s="14" t="inlineStr">
        <is>
          <t>(?)</t>
        </is>
      </c>
      <c r="E647" s="15" t="n">
        <v>16</v>
      </c>
      <c r="F647" s="4" t="inlineStr">
        <is>
          <t>CB400-V</t>
        </is>
      </c>
      <c r="G647" s="5" t="inlineStr"/>
      <c r="H647" s="16" t="n">
        <v>3.6</v>
      </c>
      <c r="I647" s="17" t="n">
        <v>158</v>
      </c>
      <c r="J647" s="18" t="n">
        <v>1.578</v>
      </c>
      <c r="K647" s="7">
        <f>ROUND(H647*I647*J647, 2)</f>
        <v/>
      </c>
      <c r="L647" s="19">
        <f>ROUND(K647/1000, 3)</f>
        <v/>
      </c>
      <c r="M647" s="728">
        <f>IF(AO647="","",IF(N(INDEX(Theo_Doi_Tan_Suat_Be_Tong!$C:$C,AO647))&lt;=0,"",INDEX(Theo_Doi_Tan_Suat_Be_Tong!$C:$C,AO647)-VLOOKUP(AN647,$AQ$2:$AR$7,2,FALSE)))</f>
        <v/>
      </c>
      <c r="N647" s="4" t="n"/>
      <c r="O647" s="20">
        <f>IF(ROUNDUP(S647/20,0)&gt;ROUNDUP(S646/20,0),"TN Ø16 (Lần " &amp; ROUNDUP(S647/20,0) &amp; ")","")</f>
        <v/>
      </c>
      <c r="P647" s="16">
        <f>ROUND(P646+IF(AND(E647&lt;=10,F647&lt;&gt;"ASTM A416"),L647,0),3)</f>
        <v/>
      </c>
      <c r="Q647" s="16">
        <f>ROUND(Q646+IF(AND(E647=12,F647&lt;&gt;"ASTM A416"),L647,0),3)</f>
        <v/>
      </c>
      <c r="R647" s="16">
        <f>ROUND(R646+IF(AND(E647=14,F647&lt;&gt;"ASTM A416"),L647,0),3)</f>
        <v/>
      </c>
      <c r="S647" s="16">
        <f>ROUND(S646+IF(AND(E647=16,F647&lt;&gt;"ASTM A416"),L647,0),3)</f>
        <v/>
      </c>
      <c r="T647" s="16">
        <f>ROUND(T646+IF(AND(E647=18,F647&lt;&gt;"ASTM A416"),L647,0),3)</f>
        <v/>
      </c>
      <c r="U647" s="16">
        <f>ROUND(U646+IF(AND(E647=20,F647&lt;&gt;"ASTM A416"),L647,0),3)</f>
        <v/>
      </c>
      <c r="V647" s="16">
        <f>ROUND(V646+IF(AND(E647=22,F647&lt;&gt;"ASTM A416"),L647,0),3)</f>
        <v/>
      </c>
      <c r="W647" s="16">
        <f>ROUND(W646+IF(AND(E647=25,F647&lt;&gt;"ASTM A416"),L647,0),3)</f>
        <v/>
      </c>
      <c r="X647" s="16">
        <f>ROUND(X646+IF(AND(E647=28,F647&lt;&gt;"ASTM A416"),L647,0),3)</f>
        <v/>
      </c>
      <c r="Y647" s="16">
        <f>ROUND(Y646+IF(AND(E647=32,F647&lt;&gt;"ASTM A416"),L647,0),3)</f>
        <v/>
      </c>
      <c r="Z647" s="16">
        <f>ROUND(Z646+IF(F647="ASTM A416",L647,0),3)</f>
        <v/>
      </c>
      <c r="AA647" s="9">
        <f>IF(ROUNDUP(P647/20,0)&gt;ROUNDUP(P646/20,0),"Lần " &amp; ROUNDUP(P647/20,0),"")</f>
        <v/>
      </c>
      <c r="AB647" s="9">
        <f>IF(ROUNDUP(Q647/20,0)&gt;ROUNDUP(Q646/20,0),"Lần " &amp; ROUNDUP(Q647/20,0),"")</f>
        <v/>
      </c>
      <c r="AC647" s="9">
        <f>IF(ROUNDUP(R647/20,0)&gt;ROUNDUP(R646/20,0),"Lần " &amp; ROUNDUP(R647/20,0),"")</f>
        <v/>
      </c>
      <c r="AD647" s="9">
        <f>IF(ROUNDUP(S647/20,0)&gt;ROUNDUP(S646/20,0),"Lần " &amp; ROUNDUP(S647/20,0),"")</f>
        <v/>
      </c>
      <c r="AE647" s="9">
        <f>IF(ROUNDUP(T647/20,0)&gt;ROUNDUP(T646/20,0),"Lần " &amp; ROUNDUP(T647/20,0),"")</f>
        <v/>
      </c>
      <c r="AF647" s="9">
        <f>IF(ROUNDUP(U647/20,0)&gt;ROUNDUP(U646/20,0),"Lần " &amp; ROUNDUP(U647/20,0),"")</f>
        <v/>
      </c>
      <c r="AG647" s="9">
        <f>IF(ROUNDUP(V647/20,0)&gt;ROUNDUP(V646/20,0),"Lần " &amp; ROUNDUP(V647/20,0),"")</f>
        <v/>
      </c>
      <c r="AH647" s="9">
        <f>IF(ROUNDUP(W647/20,0)&gt;ROUNDUP(W646/20,0),"Lần " &amp; ROUNDUP(W647/20,0),"")</f>
        <v/>
      </c>
      <c r="AI647" s="9">
        <f>IF(ROUNDUP(X647/20,0)&gt;ROUNDUP(X646/20,0),"Lần " &amp; ROUNDUP(X647/20,0),"")</f>
        <v/>
      </c>
      <c r="AJ647" s="9">
        <f>IF(ROUNDUP(Y647/20,0)&gt;ROUNDUP(Y646/20,0),"Lần " &amp; ROUNDUP(Y647/20,0),"")</f>
        <v/>
      </c>
      <c r="AK647" s="9">
        <f>IF(ROUNDUP(Z647/20,0)&gt;ROUNDUP(Z646/20,0),"Lần " &amp; ROUNDUP(Z647/20,0),"")</f>
        <v/>
      </c>
      <c r="AL647" s="4" t="n"/>
      <c r="AN647" s="596" t="inlineStr">
        <is>
          <t>Than</t>
        </is>
      </c>
      <c r="AO647" s="596" t="n">
        <v>49</v>
      </c>
      <c r="AQ647" s="594" t="n"/>
      <c r="AR647" s="595" t="n"/>
    </row>
    <row r="648" ht="19" customHeight="1" s="672">
      <c r="A648" s="4" t="n">
        <v>612</v>
      </c>
      <c r="B648" s="5" t="inlineStr">
        <is>
          <t>Trụ T1, T2 (Xà mũ trụ)</t>
        </is>
      </c>
      <c r="C648" s="5" t="inlineStr">
        <is>
          <t>Xà mũ trụ T2 (tr.62)</t>
        </is>
      </c>
      <c r="D648" s="14" t="inlineStr">
        <is>
          <t>X5</t>
        </is>
      </c>
      <c r="E648" s="15" t="n">
        <v>25</v>
      </c>
      <c r="F648" s="4" t="inlineStr">
        <is>
          <t>CB400-V</t>
        </is>
      </c>
      <c r="G648" s="5" t="inlineStr"/>
      <c r="H648" s="16" t="n">
        <v>13.608</v>
      </c>
      <c r="I648" s="17" t="n">
        <v>12</v>
      </c>
      <c r="J648" s="18" t="n">
        <v>3.853</v>
      </c>
      <c r="K648" s="7">
        <f>ROUND(H648*I648*J648, 2)</f>
        <v/>
      </c>
      <c r="L648" s="19">
        <f>ROUND(K648/1000, 3)</f>
        <v/>
      </c>
      <c r="M648" s="728">
        <f>IF(AO648="","",IF(N(INDEX(Theo_Doi_Tan_Suat_Be_Tong!$C:$C,AO648))&lt;=0,"",INDEX(Theo_Doi_Tan_Suat_Be_Tong!$C:$C,AO648)-VLOOKUP(AN648,$AQ$2:$AR$7,2,FALSE)))</f>
        <v/>
      </c>
      <c r="N648" s="4" t="n"/>
      <c r="O648" s="20">
        <f>IF(ROUNDUP(W648/20,0)&gt;ROUNDUP(W647/20,0),"TN Ø25 (Lần " &amp; ROUNDUP(W648/20,0) &amp; ")","")</f>
        <v/>
      </c>
      <c r="P648" s="16">
        <f>ROUND(P647+IF(AND(E648&lt;=10,F648&lt;&gt;"ASTM A416"),L648,0),3)</f>
        <v/>
      </c>
      <c r="Q648" s="16">
        <f>ROUND(Q647+IF(AND(E648=12,F648&lt;&gt;"ASTM A416"),L648,0),3)</f>
        <v/>
      </c>
      <c r="R648" s="16">
        <f>ROUND(R647+IF(AND(E648=14,F648&lt;&gt;"ASTM A416"),L648,0),3)</f>
        <v/>
      </c>
      <c r="S648" s="16">
        <f>ROUND(S647+IF(AND(E648=16,F648&lt;&gt;"ASTM A416"),L648,0),3)</f>
        <v/>
      </c>
      <c r="T648" s="16">
        <f>ROUND(T647+IF(AND(E648=18,F648&lt;&gt;"ASTM A416"),L648,0),3)</f>
        <v/>
      </c>
      <c r="U648" s="16">
        <f>ROUND(U647+IF(AND(E648=20,F648&lt;&gt;"ASTM A416"),L648,0),3)</f>
        <v/>
      </c>
      <c r="V648" s="16">
        <f>ROUND(V647+IF(AND(E648=22,F648&lt;&gt;"ASTM A416"),L648,0),3)</f>
        <v/>
      </c>
      <c r="W648" s="16">
        <f>ROUND(W647+IF(AND(E648=25,F648&lt;&gt;"ASTM A416"),L648,0),3)</f>
        <v/>
      </c>
      <c r="X648" s="16">
        <f>ROUND(X647+IF(AND(E648=28,F648&lt;&gt;"ASTM A416"),L648,0),3)</f>
        <v/>
      </c>
      <c r="Y648" s="16">
        <f>ROUND(Y647+IF(AND(E648=32,F648&lt;&gt;"ASTM A416"),L648,0),3)</f>
        <v/>
      </c>
      <c r="Z648" s="16">
        <f>ROUND(Z647+IF(F648="ASTM A416",L648,0),3)</f>
        <v/>
      </c>
      <c r="AA648" s="9">
        <f>IF(ROUNDUP(P648/20,0)&gt;ROUNDUP(P647/20,0),"Lần " &amp; ROUNDUP(P648/20,0),"")</f>
        <v/>
      </c>
      <c r="AB648" s="9">
        <f>IF(ROUNDUP(Q648/20,0)&gt;ROUNDUP(Q647/20,0),"Lần " &amp; ROUNDUP(Q648/20,0),"")</f>
        <v/>
      </c>
      <c r="AC648" s="9">
        <f>IF(ROUNDUP(R648/20,0)&gt;ROUNDUP(R647/20,0),"Lần " &amp; ROUNDUP(R648/20,0),"")</f>
        <v/>
      </c>
      <c r="AD648" s="9">
        <f>IF(ROUNDUP(S648/20,0)&gt;ROUNDUP(S647/20,0),"Lần " &amp; ROUNDUP(S648/20,0),"")</f>
        <v/>
      </c>
      <c r="AE648" s="9">
        <f>IF(ROUNDUP(T648/20,0)&gt;ROUNDUP(T647/20,0),"Lần " &amp; ROUNDUP(T648/20,0),"")</f>
        <v/>
      </c>
      <c r="AF648" s="9">
        <f>IF(ROUNDUP(U648/20,0)&gt;ROUNDUP(U647/20,0),"Lần " &amp; ROUNDUP(U648/20,0),"")</f>
        <v/>
      </c>
      <c r="AG648" s="9">
        <f>IF(ROUNDUP(V648/20,0)&gt;ROUNDUP(V647/20,0),"Lần " &amp; ROUNDUP(V648/20,0),"")</f>
        <v/>
      </c>
      <c r="AH648" s="9">
        <f>IF(ROUNDUP(W648/20,0)&gt;ROUNDUP(W647/20,0),"Lần " &amp; ROUNDUP(W648/20,0),"")</f>
        <v/>
      </c>
      <c r="AI648" s="9">
        <f>IF(ROUNDUP(X648/20,0)&gt;ROUNDUP(X647/20,0),"Lần " &amp; ROUNDUP(X648/20,0),"")</f>
        <v/>
      </c>
      <c r="AJ648" s="9">
        <f>IF(ROUNDUP(Y648/20,0)&gt;ROUNDUP(Y647/20,0),"Lần " &amp; ROUNDUP(Y648/20,0),"")</f>
        <v/>
      </c>
      <c r="AK648" s="9">
        <f>IF(ROUNDUP(Z648/20,0)&gt;ROUNDUP(Z647/20,0),"Lần " &amp; ROUNDUP(Z648/20,0),"")</f>
        <v/>
      </c>
      <c r="AL648" s="4" t="n"/>
      <c r="AN648" s="596" t="inlineStr">
        <is>
          <t>Than</t>
        </is>
      </c>
      <c r="AO648" s="596" t="n">
        <v>49</v>
      </c>
      <c r="AQ648" s="594" t="n"/>
      <c r="AR648" s="595" t="n"/>
    </row>
    <row r="649" ht="19" customHeight="1" s="672">
      <c r="A649" s="4" t="n">
        <v>613</v>
      </c>
      <c r="B649" s="5" t="inlineStr">
        <is>
          <t>Trụ T1, T2 (Xà mũ trụ)</t>
        </is>
      </c>
      <c r="C649" s="5" t="inlineStr">
        <is>
          <t>Xà mũ trụ T2 (tr.62)</t>
        </is>
      </c>
      <c r="D649" s="14" t="inlineStr">
        <is>
          <t>X5A</t>
        </is>
      </c>
      <c r="E649" s="15" t="n">
        <v>16</v>
      </c>
      <c r="F649" s="4" t="inlineStr">
        <is>
          <t>CB400-V</t>
        </is>
      </c>
      <c r="G649" s="5" t="inlineStr"/>
      <c r="H649" s="16" t="n">
        <v>13.005</v>
      </c>
      <c r="I649" s="17" t="n">
        <v>10</v>
      </c>
      <c r="J649" s="18" t="n">
        <v>1.578</v>
      </c>
      <c r="K649" s="7">
        <f>ROUND(H649*I649*J649, 2)</f>
        <v/>
      </c>
      <c r="L649" s="19">
        <f>ROUND(K649/1000, 3)</f>
        <v/>
      </c>
      <c r="M649" s="728">
        <f>IF(AO649="","",IF(N(INDEX(Theo_Doi_Tan_Suat_Be_Tong!$C:$C,AO649))&lt;=0,"",INDEX(Theo_Doi_Tan_Suat_Be_Tong!$C:$C,AO649)-VLOOKUP(AN649,$AQ$2:$AR$7,2,FALSE)))</f>
        <v/>
      </c>
      <c r="N649" s="4" t="n"/>
      <c r="O649" s="20">
        <f>IF(ROUNDUP(S649/20,0)&gt;ROUNDUP(S648/20,0),"TN Ø16 (Lần " &amp; ROUNDUP(S649/20,0) &amp; ")","")</f>
        <v/>
      </c>
      <c r="P649" s="16">
        <f>ROUND(P648+IF(AND(E649&lt;=10,F649&lt;&gt;"ASTM A416"),L649,0),3)</f>
        <v/>
      </c>
      <c r="Q649" s="16">
        <f>ROUND(Q648+IF(AND(E649=12,F649&lt;&gt;"ASTM A416"),L649,0),3)</f>
        <v/>
      </c>
      <c r="R649" s="16">
        <f>ROUND(R648+IF(AND(E649=14,F649&lt;&gt;"ASTM A416"),L649,0),3)</f>
        <v/>
      </c>
      <c r="S649" s="16">
        <f>ROUND(S648+IF(AND(E649=16,F649&lt;&gt;"ASTM A416"),L649,0),3)</f>
        <v/>
      </c>
      <c r="T649" s="16">
        <f>ROUND(T648+IF(AND(E649=18,F649&lt;&gt;"ASTM A416"),L649,0),3)</f>
        <v/>
      </c>
      <c r="U649" s="16">
        <f>ROUND(U648+IF(AND(E649=20,F649&lt;&gt;"ASTM A416"),L649,0),3)</f>
        <v/>
      </c>
      <c r="V649" s="16">
        <f>ROUND(V648+IF(AND(E649=22,F649&lt;&gt;"ASTM A416"),L649,0),3)</f>
        <v/>
      </c>
      <c r="W649" s="16">
        <f>ROUND(W648+IF(AND(E649=25,F649&lt;&gt;"ASTM A416"),L649,0),3)</f>
        <v/>
      </c>
      <c r="X649" s="16">
        <f>ROUND(X648+IF(AND(E649=28,F649&lt;&gt;"ASTM A416"),L649,0),3)</f>
        <v/>
      </c>
      <c r="Y649" s="16">
        <f>ROUND(Y648+IF(AND(E649=32,F649&lt;&gt;"ASTM A416"),L649,0),3)</f>
        <v/>
      </c>
      <c r="Z649" s="16">
        <f>ROUND(Z648+IF(F649="ASTM A416",L649,0),3)</f>
        <v/>
      </c>
      <c r="AA649" s="9">
        <f>IF(ROUNDUP(P649/20,0)&gt;ROUNDUP(P648/20,0),"Lần " &amp; ROUNDUP(P649/20,0),"")</f>
        <v/>
      </c>
      <c r="AB649" s="9">
        <f>IF(ROUNDUP(Q649/20,0)&gt;ROUNDUP(Q648/20,0),"Lần " &amp; ROUNDUP(Q649/20,0),"")</f>
        <v/>
      </c>
      <c r="AC649" s="9">
        <f>IF(ROUNDUP(R649/20,0)&gt;ROUNDUP(R648/20,0),"Lần " &amp; ROUNDUP(R649/20,0),"")</f>
        <v/>
      </c>
      <c r="AD649" s="9">
        <f>IF(ROUNDUP(S649/20,0)&gt;ROUNDUP(S648/20,0),"Lần " &amp; ROUNDUP(S649/20,0),"")</f>
        <v/>
      </c>
      <c r="AE649" s="9">
        <f>IF(ROUNDUP(T649/20,0)&gt;ROUNDUP(T648/20,0),"Lần " &amp; ROUNDUP(T649/20,0),"")</f>
        <v/>
      </c>
      <c r="AF649" s="9">
        <f>IF(ROUNDUP(U649/20,0)&gt;ROUNDUP(U648/20,0),"Lần " &amp; ROUNDUP(U649/20,0),"")</f>
        <v/>
      </c>
      <c r="AG649" s="9">
        <f>IF(ROUNDUP(V649/20,0)&gt;ROUNDUP(V648/20,0),"Lần " &amp; ROUNDUP(V649/20,0),"")</f>
        <v/>
      </c>
      <c r="AH649" s="9">
        <f>IF(ROUNDUP(W649/20,0)&gt;ROUNDUP(W648/20,0),"Lần " &amp; ROUNDUP(W649/20,0),"")</f>
        <v/>
      </c>
      <c r="AI649" s="9">
        <f>IF(ROUNDUP(X649/20,0)&gt;ROUNDUP(X648/20,0),"Lần " &amp; ROUNDUP(X649/20,0),"")</f>
        <v/>
      </c>
      <c r="AJ649" s="9">
        <f>IF(ROUNDUP(Y649/20,0)&gt;ROUNDUP(Y648/20,0),"Lần " &amp; ROUNDUP(Y649/20,0),"")</f>
        <v/>
      </c>
      <c r="AK649" s="9">
        <f>IF(ROUNDUP(Z649/20,0)&gt;ROUNDUP(Z648/20,0),"Lần " &amp; ROUNDUP(Z649/20,0),"")</f>
        <v/>
      </c>
      <c r="AL649" s="4" t="n"/>
      <c r="AN649" s="596" t="inlineStr">
        <is>
          <t>Than</t>
        </is>
      </c>
      <c r="AO649" s="596" t="n">
        <v>49</v>
      </c>
      <c r="AQ649" s="594" t="n"/>
      <c r="AR649" s="595" t="n"/>
    </row>
    <row r="650" ht="19" customHeight="1" s="672">
      <c r="A650" s="4" t="n">
        <v>614</v>
      </c>
      <c r="B650" s="5" t="inlineStr">
        <is>
          <t>Trụ T1, T2 (Xà mũ trụ)</t>
        </is>
      </c>
      <c r="C650" s="5" t="inlineStr">
        <is>
          <t>Xà mũ trụ T2 (tr.62)</t>
        </is>
      </c>
      <c r="D650" s="14" t="inlineStr">
        <is>
          <t>9X</t>
        </is>
      </c>
      <c r="E650" s="15" t="n">
        <v>25</v>
      </c>
      <c r="F650" s="4" t="inlineStr">
        <is>
          <t>CB400-V</t>
        </is>
      </c>
      <c r="G650" s="5" t="inlineStr"/>
      <c r="H650" s="16" t="n">
        <v>3.825</v>
      </c>
      <c r="I650" s="17" t="n">
        <v>79</v>
      </c>
      <c r="J650" s="18" t="n">
        <v>3.853</v>
      </c>
      <c r="K650" s="7">
        <f>ROUND(H650*I650*J650, 2)</f>
        <v/>
      </c>
      <c r="L650" s="19">
        <f>ROUND(K650/1000, 3)</f>
        <v/>
      </c>
      <c r="M650" s="728">
        <f>IF(AO650="","",IF(N(INDEX(Theo_Doi_Tan_Suat_Be_Tong!$C:$C,AO650))&lt;=0,"",INDEX(Theo_Doi_Tan_Suat_Be_Tong!$C:$C,AO650)-VLOOKUP(AN650,$AQ$2:$AR$7,2,FALSE)))</f>
        <v/>
      </c>
      <c r="N650" s="4" t="n"/>
      <c r="O650" s="20">
        <f>IF(ROUNDUP(W650/20,0)&gt;ROUNDUP(W649/20,0),"TN Ø25 (Lần " &amp; ROUNDUP(W650/20,0) &amp; ")","")</f>
        <v/>
      </c>
      <c r="P650" s="16">
        <f>ROUND(P649+IF(AND(E650&lt;=10,F650&lt;&gt;"ASTM A416"),L650,0),3)</f>
        <v/>
      </c>
      <c r="Q650" s="16">
        <f>ROUND(Q649+IF(AND(E650=12,F650&lt;&gt;"ASTM A416"),L650,0),3)</f>
        <v/>
      </c>
      <c r="R650" s="16">
        <f>ROUND(R649+IF(AND(E650=14,F650&lt;&gt;"ASTM A416"),L650,0),3)</f>
        <v/>
      </c>
      <c r="S650" s="16">
        <f>ROUND(S649+IF(AND(E650=16,F650&lt;&gt;"ASTM A416"),L650,0),3)</f>
        <v/>
      </c>
      <c r="T650" s="16">
        <f>ROUND(T649+IF(AND(E650=18,F650&lt;&gt;"ASTM A416"),L650,0),3)</f>
        <v/>
      </c>
      <c r="U650" s="16">
        <f>ROUND(U649+IF(AND(E650=20,F650&lt;&gt;"ASTM A416"),L650,0),3)</f>
        <v/>
      </c>
      <c r="V650" s="16">
        <f>ROUND(V649+IF(AND(E650=22,F650&lt;&gt;"ASTM A416"),L650,0),3)</f>
        <v/>
      </c>
      <c r="W650" s="16">
        <f>ROUND(W649+IF(AND(E650=25,F650&lt;&gt;"ASTM A416"),L650,0),3)</f>
        <v/>
      </c>
      <c r="X650" s="16">
        <f>ROUND(X649+IF(AND(E650=28,F650&lt;&gt;"ASTM A416"),L650,0),3)</f>
        <v/>
      </c>
      <c r="Y650" s="16">
        <f>ROUND(Y649+IF(AND(E650=32,F650&lt;&gt;"ASTM A416"),L650,0),3)</f>
        <v/>
      </c>
      <c r="Z650" s="16">
        <f>ROUND(Z649+IF(F650="ASTM A416",L650,0),3)</f>
        <v/>
      </c>
      <c r="AA650" s="9">
        <f>IF(ROUNDUP(P650/20,0)&gt;ROUNDUP(P649/20,0),"Lần " &amp; ROUNDUP(P650/20,0),"")</f>
        <v/>
      </c>
      <c r="AB650" s="9">
        <f>IF(ROUNDUP(Q650/20,0)&gt;ROUNDUP(Q649/20,0),"Lần " &amp; ROUNDUP(Q650/20,0),"")</f>
        <v/>
      </c>
      <c r="AC650" s="9">
        <f>IF(ROUNDUP(R650/20,0)&gt;ROUNDUP(R649/20,0),"Lần " &amp; ROUNDUP(R650/20,0),"")</f>
        <v/>
      </c>
      <c r="AD650" s="9">
        <f>IF(ROUNDUP(S650/20,0)&gt;ROUNDUP(S649/20,0),"Lần " &amp; ROUNDUP(S650/20,0),"")</f>
        <v/>
      </c>
      <c r="AE650" s="9">
        <f>IF(ROUNDUP(T650/20,0)&gt;ROUNDUP(T649/20,0),"Lần " &amp; ROUNDUP(T650/20,0),"")</f>
        <v/>
      </c>
      <c r="AF650" s="9">
        <f>IF(ROUNDUP(U650/20,0)&gt;ROUNDUP(U649/20,0),"Lần " &amp; ROUNDUP(U650/20,0),"")</f>
        <v/>
      </c>
      <c r="AG650" s="9">
        <f>IF(ROUNDUP(V650/20,0)&gt;ROUNDUP(V649/20,0),"Lần " &amp; ROUNDUP(V650/20,0),"")</f>
        <v/>
      </c>
      <c r="AH650" s="9">
        <f>IF(ROUNDUP(W650/20,0)&gt;ROUNDUP(W649/20,0),"Lần " &amp; ROUNDUP(W650/20,0),"")</f>
        <v/>
      </c>
      <c r="AI650" s="9">
        <f>IF(ROUNDUP(X650/20,0)&gt;ROUNDUP(X649/20,0),"Lần " &amp; ROUNDUP(X650/20,0),"")</f>
        <v/>
      </c>
      <c r="AJ650" s="9">
        <f>IF(ROUNDUP(Y650/20,0)&gt;ROUNDUP(Y649/20,0),"Lần " &amp; ROUNDUP(Y650/20,0),"")</f>
        <v/>
      </c>
      <c r="AK650" s="9">
        <f>IF(ROUNDUP(Z650/20,0)&gt;ROUNDUP(Z649/20,0),"Lần " &amp; ROUNDUP(Z650/20,0),"")</f>
        <v/>
      </c>
      <c r="AL650" s="4" t="n"/>
      <c r="AN650" s="596" t="inlineStr">
        <is>
          <t>Than</t>
        </is>
      </c>
      <c r="AO650" s="596" t="n">
        <v>49</v>
      </c>
      <c r="AQ650" s="594" t="n"/>
      <c r="AR650" s="595" t="n"/>
    </row>
    <row r="651" ht="19" customHeight="1" s="672">
      <c r="A651" s="4" t="n">
        <v>615</v>
      </c>
      <c r="B651" s="5" t="inlineStr">
        <is>
          <t>Trụ T1, T2 (Xà mũ trụ)</t>
        </is>
      </c>
      <c r="C651" s="5" t="inlineStr">
        <is>
          <t>Xà mũ trụ T2 (tr.62)</t>
        </is>
      </c>
      <c r="D651" s="14" t="inlineStr">
        <is>
          <t>X6A</t>
        </is>
      </c>
      <c r="E651" s="15" t="n">
        <v>16</v>
      </c>
      <c r="F651" s="4" t="inlineStr">
        <is>
          <t>CB400-V</t>
        </is>
      </c>
      <c r="G651" s="5" t="inlineStr"/>
      <c r="H651" s="16" t="n">
        <v>3.582</v>
      </c>
      <c r="I651" s="17" t="n">
        <v>158</v>
      </c>
      <c r="J651" s="18" t="n">
        <v>1.578</v>
      </c>
      <c r="K651" s="7">
        <f>ROUND(H651*I651*J651, 2)</f>
        <v/>
      </c>
      <c r="L651" s="19">
        <f>ROUND(K651/1000, 3)</f>
        <v/>
      </c>
      <c r="M651" s="728">
        <f>IF(AO651="","",IF(N(INDEX(Theo_Doi_Tan_Suat_Be_Tong!$C:$C,AO651))&lt;=0,"",INDEX(Theo_Doi_Tan_Suat_Be_Tong!$C:$C,AO651)-VLOOKUP(AN651,$AQ$2:$AR$7,2,FALSE)))</f>
        <v/>
      </c>
      <c r="N651" s="4" t="n"/>
      <c r="O651" s="20">
        <f>IF(ROUNDUP(S651/20,0)&gt;ROUNDUP(S650/20,0),"TN Ø16 (Lần " &amp; ROUNDUP(S651/20,0) &amp; ")","")</f>
        <v/>
      </c>
      <c r="P651" s="16">
        <f>ROUND(P650+IF(AND(E651&lt;=10,F651&lt;&gt;"ASTM A416"),L651,0),3)</f>
        <v/>
      </c>
      <c r="Q651" s="16">
        <f>ROUND(Q650+IF(AND(E651=12,F651&lt;&gt;"ASTM A416"),L651,0),3)</f>
        <v/>
      </c>
      <c r="R651" s="16">
        <f>ROUND(R650+IF(AND(E651=14,F651&lt;&gt;"ASTM A416"),L651,0),3)</f>
        <v/>
      </c>
      <c r="S651" s="16">
        <f>ROUND(S650+IF(AND(E651=16,F651&lt;&gt;"ASTM A416"),L651,0),3)</f>
        <v/>
      </c>
      <c r="T651" s="16">
        <f>ROUND(T650+IF(AND(E651=18,F651&lt;&gt;"ASTM A416"),L651,0),3)</f>
        <v/>
      </c>
      <c r="U651" s="16">
        <f>ROUND(U650+IF(AND(E651=20,F651&lt;&gt;"ASTM A416"),L651,0),3)</f>
        <v/>
      </c>
      <c r="V651" s="16">
        <f>ROUND(V650+IF(AND(E651=22,F651&lt;&gt;"ASTM A416"),L651,0),3)</f>
        <v/>
      </c>
      <c r="W651" s="16">
        <f>ROUND(W650+IF(AND(E651=25,F651&lt;&gt;"ASTM A416"),L651,0),3)</f>
        <v/>
      </c>
      <c r="X651" s="16">
        <f>ROUND(X650+IF(AND(E651=28,F651&lt;&gt;"ASTM A416"),L651,0),3)</f>
        <v/>
      </c>
      <c r="Y651" s="16">
        <f>ROUND(Y650+IF(AND(E651=32,F651&lt;&gt;"ASTM A416"),L651,0),3)</f>
        <v/>
      </c>
      <c r="Z651" s="16">
        <f>ROUND(Z650+IF(F651="ASTM A416",L651,0),3)</f>
        <v/>
      </c>
      <c r="AA651" s="9">
        <f>IF(ROUNDUP(P651/20,0)&gt;ROUNDUP(P650/20,0),"Lần " &amp; ROUNDUP(P651/20,0),"")</f>
        <v/>
      </c>
      <c r="AB651" s="9">
        <f>IF(ROUNDUP(Q651/20,0)&gt;ROUNDUP(Q650/20,0),"Lần " &amp; ROUNDUP(Q651/20,0),"")</f>
        <v/>
      </c>
      <c r="AC651" s="9">
        <f>IF(ROUNDUP(R651/20,0)&gt;ROUNDUP(R650/20,0),"Lần " &amp; ROUNDUP(R651/20,0),"")</f>
        <v/>
      </c>
      <c r="AD651" s="9">
        <f>IF(ROUNDUP(S651/20,0)&gt;ROUNDUP(S650/20,0),"Lần " &amp; ROUNDUP(S651/20,0),"")</f>
        <v/>
      </c>
      <c r="AE651" s="9">
        <f>IF(ROUNDUP(T651/20,0)&gt;ROUNDUP(T650/20,0),"Lần " &amp; ROUNDUP(T651/20,0),"")</f>
        <v/>
      </c>
      <c r="AF651" s="9">
        <f>IF(ROUNDUP(U651/20,0)&gt;ROUNDUP(U650/20,0),"Lần " &amp; ROUNDUP(U651/20,0),"")</f>
        <v/>
      </c>
      <c r="AG651" s="9">
        <f>IF(ROUNDUP(V651/20,0)&gt;ROUNDUP(V650/20,0),"Lần " &amp; ROUNDUP(V651/20,0),"")</f>
        <v/>
      </c>
      <c r="AH651" s="9">
        <f>IF(ROUNDUP(W651/20,0)&gt;ROUNDUP(W650/20,0),"Lần " &amp; ROUNDUP(W651/20,0),"")</f>
        <v/>
      </c>
      <c r="AI651" s="9">
        <f>IF(ROUNDUP(X651/20,0)&gt;ROUNDUP(X650/20,0),"Lần " &amp; ROUNDUP(X651/20,0),"")</f>
        <v/>
      </c>
      <c r="AJ651" s="9">
        <f>IF(ROUNDUP(Y651/20,0)&gt;ROUNDUP(Y650/20,0),"Lần " &amp; ROUNDUP(Y651/20,0),"")</f>
        <v/>
      </c>
      <c r="AK651" s="9">
        <f>IF(ROUNDUP(Z651/20,0)&gt;ROUNDUP(Z650/20,0),"Lần " &amp; ROUNDUP(Z651/20,0),"")</f>
        <v/>
      </c>
      <c r="AL651" s="4" t="n"/>
      <c r="AN651" s="596" t="inlineStr">
        <is>
          <t>Than</t>
        </is>
      </c>
      <c r="AO651" s="596" t="n">
        <v>49</v>
      </c>
      <c r="AQ651" s="594" t="n"/>
      <c r="AR651" s="595" t="n"/>
    </row>
    <row r="652" ht="19" customHeight="1" s="672">
      <c r="A652" s="4" t="n">
        <v>616</v>
      </c>
      <c r="B652" s="5" t="inlineStr">
        <is>
          <t>Trụ T1, T2 (Xà mũ trụ)</t>
        </is>
      </c>
      <c r="C652" s="5" t="inlineStr">
        <is>
          <t>Xà mũ trụ T2 (tr.62)</t>
        </is>
      </c>
      <c r="D652" s="14" t="inlineStr">
        <is>
          <t>LX</t>
        </is>
      </c>
      <c r="E652" s="15" t="n">
        <v>16</v>
      </c>
      <c r="F652" s="4" t="inlineStr">
        <is>
          <t>CB400-V</t>
        </is>
      </c>
      <c r="G652" s="5" t="inlineStr"/>
      <c r="H652" s="16" t="n">
        <v>17.474</v>
      </c>
      <c r="I652" s="17" t="n">
        <v>10</v>
      </c>
      <c r="J652" s="18" t="n">
        <v>1.578</v>
      </c>
      <c r="K652" s="7">
        <f>ROUND(H652*I652*J652, 2)</f>
        <v/>
      </c>
      <c r="L652" s="19">
        <f>ROUND(K652/1000, 3)</f>
        <v/>
      </c>
      <c r="M652" s="728">
        <f>IF(AO652="","",IF(N(INDEX(Theo_Doi_Tan_Suat_Be_Tong!$C:$C,AO652))&lt;=0,"",INDEX(Theo_Doi_Tan_Suat_Be_Tong!$C:$C,AO652)-VLOOKUP(AN652,$AQ$2:$AR$7,2,FALSE)))</f>
        <v/>
      </c>
      <c r="N652" s="4" t="n"/>
      <c r="O652" s="20">
        <f>IF(ROUNDUP(S652/20,0)&gt;ROUNDUP(S651/20,0),"TN Ø16 (Lần " &amp; ROUNDUP(S652/20,0) &amp; ")","")</f>
        <v/>
      </c>
      <c r="P652" s="16">
        <f>ROUND(P651+IF(AND(E652&lt;=10,F652&lt;&gt;"ASTM A416"),L652,0),3)</f>
        <v/>
      </c>
      <c r="Q652" s="16">
        <f>ROUND(Q651+IF(AND(E652=12,F652&lt;&gt;"ASTM A416"),L652,0),3)</f>
        <v/>
      </c>
      <c r="R652" s="16">
        <f>ROUND(R651+IF(AND(E652=14,F652&lt;&gt;"ASTM A416"),L652,0),3)</f>
        <v/>
      </c>
      <c r="S652" s="16">
        <f>ROUND(S651+IF(AND(E652=16,F652&lt;&gt;"ASTM A416"),L652,0),3)</f>
        <v/>
      </c>
      <c r="T652" s="16">
        <f>ROUND(T651+IF(AND(E652=18,F652&lt;&gt;"ASTM A416"),L652,0),3)</f>
        <v/>
      </c>
      <c r="U652" s="16">
        <f>ROUND(U651+IF(AND(E652=20,F652&lt;&gt;"ASTM A416"),L652,0),3)</f>
        <v/>
      </c>
      <c r="V652" s="16">
        <f>ROUND(V651+IF(AND(E652=22,F652&lt;&gt;"ASTM A416"),L652,0),3)</f>
        <v/>
      </c>
      <c r="W652" s="16">
        <f>ROUND(W651+IF(AND(E652=25,F652&lt;&gt;"ASTM A416"),L652,0),3)</f>
        <v/>
      </c>
      <c r="X652" s="16">
        <f>ROUND(X651+IF(AND(E652=28,F652&lt;&gt;"ASTM A416"),L652,0),3)</f>
        <v/>
      </c>
      <c r="Y652" s="16">
        <f>ROUND(Y651+IF(AND(E652=32,F652&lt;&gt;"ASTM A416"),L652,0),3)</f>
        <v/>
      </c>
      <c r="Z652" s="16">
        <f>ROUND(Z651+IF(F652="ASTM A416",L652,0),3)</f>
        <v/>
      </c>
      <c r="AA652" s="9">
        <f>IF(ROUNDUP(P652/20,0)&gt;ROUNDUP(P651/20,0),"Lần " &amp; ROUNDUP(P652/20,0),"")</f>
        <v/>
      </c>
      <c r="AB652" s="9">
        <f>IF(ROUNDUP(Q652/20,0)&gt;ROUNDUP(Q651/20,0),"Lần " &amp; ROUNDUP(Q652/20,0),"")</f>
        <v/>
      </c>
      <c r="AC652" s="9">
        <f>IF(ROUNDUP(R652/20,0)&gt;ROUNDUP(R651/20,0),"Lần " &amp; ROUNDUP(R652/20,0),"")</f>
        <v/>
      </c>
      <c r="AD652" s="9">
        <f>IF(ROUNDUP(S652/20,0)&gt;ROUNDUP(S651/20,0),"Lần " &amp; ROUNDUP(S652/20,0),"")</f>
        <v/>
      </c>
      <c r="AE652" s="9">
        <f>IF(ROUNDUP(T652/20,0)&gt;ROUNDUP(T651/20,0),"Lần " &amp; ROUNDUP(T652/20,0),"")</f>
        <v/>
      </c>
      <c r="AF652" s="9">
        <f>IF(ROUNDUP(U652/20,0)&gt;ROUNDUP(U651/20,0),"Lần " &amp; ROUNDUP(U652/20,0),"")</f>
        <v/>
      </c>
      <c r="AG652" s="9">
        <f>IF(ROUNDUP(V652/20,0)&gt;ROUNDUP(V651/20,0),"Lần " &amp; ROUNDUP(V652/20,0),"")</f>
        <v/>
      </c>
      <c r="AH652" s="9">
        <f>IF(ROUNDUP(W652/20,0)&gt;ROUNDUP(W651/20,0),"Lần " &amp; ROUNDUP(W652/20,0),"")</f>
        <v/>
      </c>
      <c r="AI652" s="9">
        <f>IF(ROUNDUP(X652/20,0)&gt;ROUNDUP(X651/20,0),"Lần " &amp; ROUNDUP(X652/20,0),"")</f>
        <v/>
      </c>
      <c r="AJ652" s="9">
        <f>IF(ROUNDUP(Y652/20,0)&gt;ROUNDUP(Y651/20,0),"Lần " &amp; ROUNDUP(Y652/20,0),"")</f>
        <v/>
      </c>
      <c r="AK652" s="9">
        <f>IF(ROUNDUP(Z652/20,0)&gt;ROUNDUP(Z651/20,0),"Lần " &amp; ROUNDUP(Z652/20,0),"")</f>
        <v/>
      </c>
      <c r="AL652" s="4" t="n"/>
      <c r="AN652" s="596" t="inlineStr">
        <is>
          <t>Than</t>
        </is>
      </c>
      <c r="AO652" s="596" t="n">
        <v>49</v>
      </c>
      <c r="AQ652" s="594" t="n"/>
      <c r="AR652" s="595" t="n"/>
    </row>
    <row r="653" ht="19" customHeight="1" s="672">
      <c r="A653" s="4" t="n">
        <v>617</v>
      </c>
      <c r="B653" s="5" t="inlineStr">
        <is>
          <t>Trụ T1, T2 (Xà mũ trụ)</t>
        </is>
      </c>
      <c r="C653" s="5" t="inlineStr">
        <is>
          <t>Xà mũ trụ T2 (tr.62)</t>
        </is>
      </c>
      <c r="D653" s="14" t="inlineStr">
        <is>
          <t>VLX</t>
        </is>
      </c>
      <c r="E653" s="15" t="n">
        <v>16</v>
      </c>
      <c r="F653" s="4" t="inlineStr">
        <is>
          <t>CB400-V</t>
        </is>
      </c>
      <c r="G653" s="5" t="inlineStr"/>
      <c r="H653" s="16" t="n">
        <v>16.854</v>
      </c>
      <c r="I653" s="17" t="n">
        <v>12</v>
      </c>
      <c r="J653" s="18" t="n">
        <v>1.578</v>
      </c>
      <c r="K653" s="7">
        <f>ROUND(H653*I653*J653, 2)</f>
        <v/>
      </c>
      <c r="L653" s="19">
        <f>ROUND(K653/1000, 3)</f>
        <v/>
      </c>
      <c r="M653" s="728">
        <f>IF(AO653="","",IF(N(INDEX(Theo_Doi_Tan_Suat_Be_Tong!$C:$C,AO653))&lt;=0,"",INDEX(Theo_Doi_Tan_Suat_Be_Tong!$C:$C,AO653)-VLOOKUP(AN653,$AQ$2:$AR$7,2,FALSE)))</f>
        <v/>
      </c>
      <c r="N653" s="4" t="n"/>
      <c r="O653" s="20">
        <f>IF(ROUNDUP(S653/20,0)&gt;ROUNDUP(S652/20,0),"TN Ø16 (Lần " &amp; ROUNDUP(S653/20,0) &amp; ")","")</f>
        <v/>
      </c>
      <c r="P653" s="16">
        <f>ROUND(P652+IF(AND(E653&lt;=10,F653&lt;&gt;"ASTM A416"),L653,0),3)</f>
        <v/>
      </c>
      <c r="Q653" s="16">
        <f>ROUND(Q652+IF(AND(E653=12,F653&lt;&gt;"ASTM A416"),L653,0),3)</f>
        <v/>
      </c>
      <c r="R653" s="16">
        <f>ROUND(R652+IF(AND(E653=14,F653&lt;&gt;"ASTM A416"),L653,0),3)</f>
        <v/>
      </c>
      <c r="S653" s="16">
        <f>ROUND(S652+IF(AND(E653=16,F653&lt;&gt;"ASTM A416"),L653,0),3)</f>
        <v/>
      </c>
      <c r="T653" s="16">
        <f>ROUND(T652+IF(AND(E653=18,F653&lt;&gt;"ASTM A416"),L653,0),3)</f>
        <v/>
      </c>
      <c r="U653" s="16">
        <f>ROUND(U652+IF(AND(E653=20,F653&lt;&gt;"ASTM A416"),L653,0),3)</f>
        <v/>
      </c>
      <c r="V653" s="16">
        <f>ROUND(V652+IF(AND(E653=22,F653&lt;&gt;"ASTM A416"),L653,0),3)</f>
        <v/>
      </c>
      <c r="W653" s="16">
        <f>ROUND(W652+IF(AND(E653=25,F653&lt;&gt;"ASTM A416"),L653,0),3)</f>
        <v/>
      </c>
      <c r="X653" s="16">
        <f>ROUND(X652+IF(AND(E653=28,F653&lt;&gt;"ASTM A416"),L653,0),3)</f>
        <v/>
      </c>
      <c r="Y653" s="16">
        <f>ROUND(Y652+IF(AND(E653=32,F653&lt;&gt;"ASTM A416"),L653,0),3)</f>
        <v/>
      </c>
      <c r="Z653" s="16">
        <f>ROUND(Z652+IF(F653="ASTM A416",L653,0),3)</f>
        <v/>
      </c>
      <c r="AA653" s="9">
        <f>IF(ROUNDUP(P653/20,0)&gt;ROUNDUP(P652/20,0),"Lần " &amp; ROUNDUP(P653/20,0),"")</f>
        <v/>
      </c>
      <c r="AB653" s="9">
        <f>IF(ROUNDUP(Q653/20,0)&gt;ROUNDUP(Q652/20,0),"Lần " &amp; ROUNDUP(Q653/20,0),"")</f>
        <v/>
      </c>
      <c r="AC653" s="9">
        <f>IF(ROUNDUP(R653/20,0)&gt;ROUNDUP(R652/20,0),"Lần " &amp; ROUNDUP(R653/20,0),"")</f>
        <v/>
      </c>
      <c r="AD653" s="9">
        <f>IF(ROUNDUP(S653/20,0)&gt;ROUNDUP(S652/20,0),"Lần " &amp; ROUNDUP(S653/20,0),"")</f>
        <v/>
      </c>
      <c r="AE653" s="9">
        <f>IF(ROUNDUP(T653/20,0)&gt;ROUNDUP(T652/20,0),"Lần " &amp; ROUNDUP(T653/20,0),"")</f>
        <v/>
      </c>
      <c r="AF653" s="9">
        <f>IF(ROUNDUP(U653/20,0)&gt;ROUNDUP(U652/20,0),"Lần " &amp; ROUNDUP(U653/20,0),"")</f>
        <v/>
      </c>
      <c r="AG653" s="9">
        <f>IF(ROUNDUP(V653/20,0)&gt;ROUNDUP(V652/20,0),"Lần " &amp; ROUNDUP(V653/20,0),"")</f>
        <v/>
      </c>
      <c r="AH653" s="9">
        <f>IF(ROUNDUP(W653/20,0)&gt;ROUNDUP(W652/20,0),"Lần " &amp; ROUNDUP(W653/20,0),"")</f>
        <v/>
      </c>
      <c r="AI653" s="9">
        <f>IF(ROUNDUP(X653/20,0)&gt;ROUNDUP(X652/20,0),"Lần " &amp; ROUNDUP(X653/20,0),"")</f>
        <v/>
      </c>
      <c r="AJ653" s="9">
        <f>IF(ROUNDUP(Y653/20,0)&gt;ROUNDUP(Y652/20,0),"Lần " &amp; ROUNDUP(Y653/20,0),"")</f>
        <v/>
      </c>
      <c r="AK653" s="9">
        <f>IF(ROUNDUP(Z653/20,0)&gt;ROUNDUP(Z652/20,0),"Lần " &amp; ROUNDUP(Z653/20,0),"")</f>
        <v/>
      </c>
      <c r="AL653" s="4" t="n"/>
      <c r="AN653" s="596" t="inlineStr">
        <is>
          <t>Than</t>
        </is>
      </c>
      <c r="AO653" s="596" t="n">
        <v>49</v>
      </c>
      <c r="AQ653" s="594" t="n"/>
      <c r="AR653" s="595" t="n"/>
    </row>
    <row r="654" ht="19" customHeight="1" s="672">
      <c r="A654" s="4" t="n">
        <v>618</v>
      </c>
      <c r="B654" s="5" t="inlineStr">
        <is>
          <t>Trụ T1, T2 (Xà mũ trụ)</t>
        </is>
      </c>
      <c r="C654" s="5" t="inlineStr">
        <is>
          <t>Xà mũ trụ T2 (tr.62)</t>
        </is>
      </c>
      <c r="D654" s="14" t="inlineStr">
        <is>
          <t>X8</t>
        </is>
      </c>
      <c r="E654" s="15" t="n">
        <v>16</v>
      </c>
      <c r="F654" s="4" t="inlineStr">
        <is>
          <t>CB400-V</t>
        </is>
      </c>
      <c r="G654" s="5" t="inlineStr"/>
      <c r="H654" s="16" t="n">
        <v>12.866</v>
      </c>
      <c r="I654" s="17" t="n">
        <v>8</v>
      </c>
      <c r="J654" s="18" t="n">
        <v>1.578</v>
      </c>
      <c r="K654" s="7">
        <f>ROUND(H654*I654*J654, 2)</f>
        <v/>
      </c>
      <c r="L654" s="19">
        <f>ROUND(K654/1000, 3)</f>
        <v/>
      </c>
      <c r="M654" s="728">
        <f>IF(AO654="","",IF(N(INDEX(Theo_Doi_Tan_Suat_Be_Tong!$C:$C,AO654))&lt;=0,"",INDEX(Theo_Doi_Tan_Suat_Be_Tong!$C:$C,AO654)-VLOOKUP(AN654,$AQ$2:$AR$7,2,FALSE)))</f>
        <v/>
      </c>
      <c r="N654" s="4" t="n"/>
      <c r="O654" s="20">
        <f>IF(ROUNDUP(S654/20,0)&gt;ROUNDUP(S653/20,0),"TN Ø16 (Lần " &amp; ROUNDUP(S654/20,0) &amp; ")","")</f>
        <v/>
      </c>
      <c r="P654" s="16">
        <f>ROUND(P653+IF(AND(E654&lt;=10,F654&lt;&gt;"ASTM A416"),L654,0),3)</f>
        <v/>
      </c>
      <c r="Q654" s="16">
        <f>ROUND(Q653+IF(AND(E654=12,F654&lt;&gt;"ASTM A416"),L654,0),3)</f>
        <v/>
      </c>
      <c r="R654" s="16">
        <f>ROUND(R653+IF(AND(E654=14,F654&lt;&gt;"ASTM A416"),L654,0),3)</f>
        <v/>
      </c>
      <c r="S654" s="16">
        <f>ROUND(S653+IF(AND(E654=16,F654&lt;&gt;"ASTM A416"),L654,0),3)</f>
        <v/>
      </c>
      <c r="T654" s="16">
        <f>ROUND(T653+IF(AND(E654=18,F654&lt;&gt;"ASTM A416"),L654,0),3)</f>
        <v/>
      </c>
      <c r="U654" s="16">
        <f>ROUND(U653+IF(AND(E654=20,F654&lt;&gt;"ASTM A416"),L654,0),3)</f>
        <v/>
      </c>
      <c r="V654" s="16">
        <f>ROUND(V653+IF(AND(E654=22,F654&lt;&gt;"ASTM A416"),L654,0),3)</f>
        <v/>
      </c>
      <c r="W654" s="16">
        <f>ROUND(W653+IF(AND(E654=25,F654&lt;&gt;"ASTM A416"),L654,0),3)</f>
        <v/>
      </c>
      <c r="X654" s="16">
        <f>ROUND(X653+IF(AND(E654=28,F654&lt;&gt;"ASTM A416"),L654,0),3)</f>
        <v/>
      </c>
      <c r="Y654" s="16">
        <f>ROUND(Y653+IF(AND(E654=32,F654&lt;&gt;"ASTM A416"),L654,0),3)</f>
        <v/>
      </c>
      <c r="Z654" s="16">
        <f>ROUND(Z653+IF(F654="ASTM A416",L654,0),3)</f>
        <v/>
      </c>
      <c r="AA654" s="9">
        <f>IF(ROUNDUP(P654/20,0)&gt;ROUNDUP(P653/20,0),"Lần " &amp; ROUNDUP(P654/20,0),"")</f>
        <v/>
      </c>
      <c r="AB654" s="9">
        <f>IF(ROUNDUP(Q654/20,0)&gt;ROUNDUP(Q653/20,0),"Lần " &amp; ROUNDUP(Q654/20,0),"")</f>
        <v/>
      </c>
      <c r="AC654" s="9">
        <f>IF(ROUNDUP(R654/20,0)&gt;ROUNDUP(R653/20,0),"Lần " &amp; ROUNDUP(R654/20,0),"")</f>
        <v/>
      </c>
      <c r="AD654" s="9">
        <f>IF(ROUNDUP(S654/20,0)&gt;ROUNDUP(S653/20,0),"Lần " &amp; ROUNDUP(S654/20,0),"")</f>
        <v/>
      </c>
      <c r="AE654" s="9">
        <f>IF(ROUNDUP(T654/20,0)&gt;ROUNDUP(T653/20,0),"Lần " &amp; ROUNDUP(T654/20,0),"")</f>
        <v/>
      </c>
      <c r="AF654" s="9">
        <f>IF(ROUNDUP(U654/20,0)&gt;ROUNDUP(U653/20,0),"Lần " &amp; ROUNDUP(U654/20,0),"")</f>
        <v/>
      </c>
      <c r="AG654" s="9">
        <f>IF(ROUNDUP(V654/20,0)&gt;ROUNDUP(V653/20,0),"Lần " &amp; ROUNDUP(V654/20,0),"")</f>
        <v/>
      </c>
      <c r="AH654" s="9">
        <f>IF(ROUNDUP(W654/20,0)&gt;ROUNDUP(W653/20,0),"Lần " &amp; ROUNDUP(W654/20,0),"")</f>
        <v/>
      </c>
      <c r="AI654" s="9">
        <f>IF(ROUNDUP(X654/20,0)&gt;ROUNDUP(X653/20,0),"Lần " &amp; ROUNDUP(X654/20,0),"")</f>
        <v/>
      </c>
      <c r="AJ654" s="9">
        <f>IF(ROUNDUP(Y654/20,0)&gt;ROUNDUP(Y653/20,0),"Lần " &amp; ROUNDUP(Y654/20,0),"")</f>
        <v/>
      </c>
      <c r="AK654" s="9">
        <f>IF(ROUNDUP(Z654/20,0)&gt;ROUNDUP(Z653/20,0),"Lần " &amp; ROUNDUP(Z654/20,0),"")</f>
        <v/>
      </c>
      <c r="AL654" s="4" t="n"/>
      <c r="AN654" s="596" t="inlineStr">
        <is>
          <t>Than</t>
        </is>
      </c>
      <c r="AO654" s="596" t="n">
        <v>49</v>
      </c>
      <c r="AQ654" s="594" t="n"/>
      <c r="AR654" s="595" t="n"/>
    </row>
    <row r="655" ht="19" customHeight="1" s="672">
      <c r="A655" s="4" t="n">
        <v>619</v>
      </c>
      <c r="B655" s="5" t="inlineStr">
        <is>
          <t>Trụ T1, T2 (Xà mũ trụ)</t>
        </is>
      </c>
      <c r="C655" s="5" t="inlineStr">
        <is>
          <t>Xà mũ trụ T2 (tr.62)</t>
        </is>
      </c>
      <c r="D655" s="14" t="inlineStr">
        <is>
          <t>X9</t>
        </is>
      </c>
      <c r="E655" s="15" t="n">
        <v>16</v>
      </c>
      <c r="F655" s="4" t="inlineStr">
        <is>
          <t>CB400-V</t>
        </is>
      </c>
      <c r="G655" s="5" t="inlineStr"/>
      <c r="H655" s="16" t="n">
        <v>1.132</v>
      </c>
      <c r="I655" s="17" t="n">
        <v>40</v>
      </c>
      <c r="J655" s="18" t="n">
        <v>1.578</v>
      </c>
      <c r="K655" s="7">
        <f>ROUND(H655*I655*J655, 2)</f>
        <v/>
      </c>
      <c r="L655" s="19">
        <f>ROUND(K655/1000, 3)</f>
        <v/>
      </c>
      <c r="M655" s="728">
        <f>IF(AO655="","",IF(N(INDEX(Theo_Doi_Tan_Suat_Be_Tong!$C:$C,AO655))&lt;=0,"",INDEX(Theo_Doi_Tan_Suat_Be_Tong!$C:$C,AO655)-VLOOKUP(AN655,$AQ$2:$AR$7,2,FALSE)))</f>
        <v/>
      </c>
      <c r="N655" s="4" t="n"/>
      <c r="O655" s="20">
        <f>IF(ROUNDUP(S655/20,0)&gt;ROUNDUP(S654/20,0),"TN Ø16 (Lần " &amp; ROUNDUP(S655/20,0) &amp; ")","")</f>
        <v/>
      </c>
      <c r="P655" s="16">
        <f>ROUND(P654+IF(AND(E655&lt;=10,F655&lt;&gt;"ASTM A416"),L655,0),3)</f>
        <v/>
      </c>
      <c r="Q655" s="16">
        <f>ROUND(Q654+IF(AND(E655=12,F655&lt;&gt;"ASTM A416"),L655,0),3)</f>
        <v/>
      </c>
      <c r="R655" s="16">
        <f>ROUND(R654+IF(AND(E655=14,F655&lt;&gt;"ASTM A416"),L655,0),3)</f>
        <v/>
      </c>
      <c r="S655" s="16">
        <f>ROUND(S654+IF(AND(E655=16,F655&lt;&gt;"ASTM A416"),L655,0),3)</f>
        <v/>
      </c>
      <c r="T655" s="16">
        <f>ROUND(T654+IF(AND(E655=18,F655&lt;&gt;"ASTM A416"),L655,0),3)</f>
        <v/>
      </c>
      <c r="U655" s="16">
        <f>ROUND(U654+IF(AND(E655=20,F655&lt;&gt;"ASTM A416"),L655,0),3)</f>
        <v/>
      </c>
      <c r="V655" s="16">
        <f>ROUND(V654+IF(AND(E655=22,F655&lt;&gt;"ASTM A416"),L655,0),3)</f>
        <v/>
      </c>
      <c r="W655" s="16">
        <f>ROUND(W654+IF(AND(E655=25,F655&lt;&gt;"ASTM A416"),L655,0),3)</f>
        <v/>
      </c>
      <c r="X655" s="16">
        <f>ROUND(X654+IF(AND(E655=28,F655&lt;&gt;"ASTM A416"),L655,0),3)</f>
        <v/>
      </c>
      <c r="Y655" s="16">
        <f>ROUND(Y654+IF(AND(E655=32,F655&lt;&gt;"ASTM A416"),L655,0),3)</f>
        <v/>
      </c>
      <c r="Z655" s="16">
        <f>ROUND(Z654+IF(F655="ASTM A416",L655,0),3)</f>
        <v/>
      </c>
      <c r="AA655" s="9">
        <f>IF(ROUNDUP(P655/20,0)&gt;ROUNDUP(P654/20,0),"Lần " &amp; ROUNDUP(P655/20,0),"")</f>
        <v/>
      </c>
      <c r="AB655" s="9">
        <f>IF(ROUNDUP(Q655/20,0)&gt;ROUNDUP(Q654/20,0),"Lần " &amp; ROUNDUP(Q655/20,0),"")</f>
        <v/>
      </c>
      <c r="AC655" s="9">
        <f>IF(ROUNDUP(R655/20,0)&gt;ROUNDUP(R654/20,0),"Lần " &amp; ROUNDUP(R655/20,0),"")</f>
        <v/>
      </c>
      <c r="AD655" s="9">
        <f>IF(ROUNDUP(S655/20,0)&gt;ROUNDUP(S654/20,0),"Lần " &amp; ROUNDUP(S655/20,0),"")</f>
        <v/>
      </c>
      <c r="AE655" s="9">
        <f>IF(ROUNDUP(T655/20,0)&gt;ROUNDUP(T654/20,0),"Lần " &amp; ROUNDUP(T655/20,0),"")</f>
        <v/>
      </c>
      <c r="AF655" s="9">
        <f>IF(ROUNDUP(U655/20,0)&gt;ROUNDUP(U654/20,0),"Lần " &amp; ROUNDUP(U655/20,0),"")</f>
        <v/>
      </c>
      <c r="AG655" s="9">
        <f>IF(ROUNDUP(V655/20,0)&gt;ROUNDUP(V654/20,0),"Lần " &amp; ROUNDUP(V655/20,0),"")</f>
        <v/>
      </c>
      <c r="AH655" s="9">
        <f>IF(ROUNDUP(W655/20,0)&gt;ROUNDUP(W654/20,0),"Lần " &amp; ROUNDUP(W655/20,0),"")</f>
        <v/>
      </c>
      <c r="AI655" s="9">
        <f>IF(ROUNDUP(X655/20,0)&gt;ROUNDUP(X654/20,0),"Lần " &amp; ROUNDUP(X655/20,0),"")</f>
        <v/>
      </c>
      <c r="AJ655" s="9">
        <f>IF(ROUNDUP(Y655/20,0)&gt;ROUNDUP(Y654/20,0),"Lần " &amp; ROUNDUP(Y655/20,0),"")</f>
        <v/>
      </c>
      <c r="AK655" s="9">
        <f>IF(ROUNDUP(Z655/20,0)&gt;ROUNDUP(Z654/20,0),"Lần " &amp; ROUNDUP(Z655/20,0),"")</f>
        <v/>
      </c>
      <c r="AL655" s="4" t="n"/>
      <c r="AN655" s="596" t="inlineStr">
        <is>
          <t>Than</t>
        </is>
      </c>
      <c r="AO655" s="596" t="n">
        <v>49</v>
      </c>
      <c r="AQ655" s="594" t="n"/>
      <c r="AR655" s="595" t="n"/>
    </row>
    <row r="656" ht="19" customHeight="1" s="672">
      <c r="A656" s="4" t="n">
        <v>620</v>
      </c>
      <c r="B656" s="5" t="inlineStr">
        <is>
          <t>Trụ T1, T2 (Xà mũ trụ)</t>
        </is>
      </c>
      <c r="C656" s="5" t="inlineStr">
        <is>
          <t>Xà mũ trụ T2 (tr.62)</t>
        </is>
      </c>
      <c r="D656" s="14" t="inlineStr">
        <is>
          <t>X10</t>
        </is>
      </c>
      <c r="E656" s="15" t="n">
        <v>16</v>
      </c>
      <c r="F656" s="4" t="inlineStr">
        <is>
          <t>CB400-V</t>
        </is>
      </c>
      <c r="G656" s="5" t="inlineStr"/>
      <c r="H656" s="16" t="n">
        <v>3.2</v>
      </c>
      <c r="I656" s="17" t="n">
        <v>30</v>
      </c>
      <c r="J656" s="18" t="n">
        <v>1.578</v>
      </c>
      <c r="K656" s="7">
        <f>ROUND(H656*I656*J656, 2)</f>
        <v/>
      </c>
      <c r="L656" s="19">
        <f>ROUND(K656/1000, 3)</f>
        <v/>
      </c>
      <c r="M656" s="728">
        <f>IF(AO656="","",IF(N(INDEX(Theo_Doi_Tan_Suat_Be_Tong!$C:$C,AO656))&lt;=0,"",INDEX(Theo_Doi_Tan_Suat_Be_Tong!$C:$C,AO656)-VLOOKUP(AN656,$AQ$2:$AR$7,2,FALSE)))</f>
        <v/>
      </c>
      <c r="N656" s="4" t="n"/>
      <c r="O656" s="20">
        <f>IF(ROUNDUP(S656/20,0)&gt;ROUNDUP(S655/20,0),"TN Ø16 (Lần " &amp; ROUNDUP(S656/20,0) &amp; ")","")</f>
        <v/>
      </c>
      <c r="P656" s="16">
        <f>ROUND(P655+IF(AND(E656&lt;=10,F656&lt;&gt;"ASTM A416"),L656,0),3)</f>
        <v/>
      </c>
      <c r="Q656" s="16">
        <f>ROUND(Q655+IF(AND(E656=12,F656&lt;&gt;"ASTM A416"),L656,0),3)</f>
        <v/>
      </c>
      <c r="R656" s="16">
        <f>ROUND(R655+IF(AND(E656=14,F656&lt;&gt;"ASTM A416"),L656,0),3)</f>
        <v/>
      </c>
      <c r="S656" s="16">
        <f>ROUND(S655+IF(AND(E656=16,F656&lt;&gt;"ASTM A416"),L656,0),3)</f>
        <v/>
      </c>
      <c r="T656" s="16">
        <f>ROUND(T655+IF(AND(E656=18,F656&lt;&gt;"ASTM A416"),L656,0),3)</f>
        <v/>
      </c>
      <c r="U656" s="16">
        <f>ROUND(U655+IF(AND(E656=20,F656&lt;&gt;"ASTM A416"),L656,0),3)</f>
        <v/>
      </c>
      <c r="V656" s="16">
        <f>ROUND(V655+IF(AND(E656=22,F656&lt;&gt;"ASTM A416"),L656,0),3)</f>
        <v/>
      </c>
      <c r="W656" s="16">
        <f>ROUND(W655+IF(AND(E656=25,F656&lt;&gt;"ASTM A416"),L656,0),3)</f>
        <v/>
      </c>
      <c r="X656" s="16">
        <f>ROUND(X655+IF(AND(E656=28,F656&lt;&gt;"ASTM A416"),L656,0),3)</f>
        <v/>
      </c>
      <c r="Y656" s="16">
        <f>ROUND(Y655+IF(AND(E656=32,F656&lt;&gt;"ASTM A416"),L656,0),3)</f>
        <v/>
      </c>
      <c r="Z656" s="16">
        <f>ROUND(Z655+IF(F656="ASTM A416",L656,0),3)</f>
        <v/>
      </c>
      <c r="AA656" s="9">
        <f>IF(ROUNDUP(P656/20,0)&gt;ROUNDUP(P655/20,0),"Lần " &amp; ROUNDUP(P656/20,0),"")</f>
        <v/>
      </c>
      <c r="AB656" s="9">
        <f>IF(ROUNDUP(Q656/20,0)&gt;ROUNDUP(Q655/20,0),"Lần " &amp; ROUNDUP(Q656/20,0),"")</f>
        <v/>
      </c>
      <c r="AC656" s="9">
        <f>IF(ROUNDUP(R656/20,0)&gt;ROUNDUP(R655/20,0),"Lần " &amp; ROUNDUP(R656/20,0),"")</f>
        <v/>
      </c>
      <c r="AD656" s="9">
        <f>IF(ROUNDUP(S656/20,0)&gt;ROUNDUP(S655/20,0),"Lần " &amp; ROUNDUP(S656/20,0),"")</f>
        <v/>
      </c>
      <c r="AE656" s="9">
        <f>IF(ROUNDUP(T656/20,0)&gt;ROUNDUP(T655/20,0),"Lần " &amp; ROUNDUP(T656/20,0),"")</f>
        <v/>
      </c>
      <c r="AF656" s="9">
        <f>IF(ROUNDUP(U656/20,0)&gt;ROUNDUP(U655/20,0),"Lần " &amp; ROUNDUP(U656/20,0),"")</f>
        <v/>
      </c>
      <c r="AG656" s="9">
        <f>IF(ROUNDUP(V656/20,0)&gt;ROUNDUP(V655/20,0),"Lần " &amp; ROUNDUP(V656/20,0),"")</f>
        <v/>
      </c>
      <c r="AH656" s="9">
        <f>IF(ROUNDUP(W656/20,0)&gt;ROUNDUP(W655/20,0),"Lần " &amp; ROUNDUP(W656/20,0),"")</f>
        <v/>
      </c>
      <c r="AI656" s="9">
        <f>IF(ROUNDUP(X656/20,0)&gt;ROUNDUP(X655/20,0),"Lần " &amp; ROUNDUP(X656/20,0),"")</f>
        <v/>
      </c>
      <c r="AJ656" s="9">
        <f>IF(ROUNDUP(Y656/20,0)&gt;ROUNDUP(Y655/20,0),"Lần " &amp; ROUNDUP(Y656/20,0),"")</f>
        <v/>
      </c>
      <c r="AK656" s="9">
        <f>IF(ROUNDUP(Z656/20,0)&gt;ROUNDUP(Z655/20,0),"Lần " &amp; ROUNDUP(Z656/20,0),"")</f>
        <v/>
      </c>
      <c r="AL656" s="4" t="n"/>
      <c r="AN656" s="596" t="inlineStr">
        <is>
          <t>Than</t>
        </is>
      </c>
      <c r="AO656" s="596" t="n">
        <v>49</v>
      </c>
      <c r="AQ656" s="594" t="n"/>
      <c r="AR656" s="595" t="n"/>
    </row>
    <row r="657" ht="19" customHeight="1" s="672">
      <c r="A657" s="4" t="n">
        <v>621</v>
      </c>
      <c r="B657" s="5" t="inlineStr">
        <is>
          <t>Trụ T1, T2 (Xà mũ trụ)</t>
        </is>
      </c>
      <c r="C657" s="5" t="inlineStr">
        <is>
          <t>Xà mũ trụ T2 (tr.62)</t>
        </is>
      </c>
      <c r="D657" s="14" t="inlineStr">
        <is>
          <t>X10A</t>
        </is>
      </c>
      <c r="E657" s="15" t="n">
        <v>16</v>
      </c>
      <c r="F657" s="4" t="inlineStr">
        <is>
          <t>CB400-V</t>
        </is>
      </c>
      <c r="G657" s="5" t="inlineStr"/>
      <c r="H657" s="16" t="n">
        <v>1.5</v>
      </c>
      <c r="I657" s="17" t="n">
        <v>4</v>
      </c>
      <c r="J657" s="18" t="n">
        <v>1.578</v>
      </c>
      <c r="K657" s="7">
        <f>ROUND(H657*I657*J657, 2)</f>
        <v/>
      </c>
      <c r="L657" s="19">
        <f>ROUND(K657/1000, 3)</f>
        <v/>
      </c>
      <c r="M657" s="728">
        <f>IF(AO657="","",IF(N(INDEX(Theo_Doi_Tan_Suat_Be_Tong!$C:$C,AO657))&lt;=0,"",INDEX(Theo_Doi_Tan_Suat_Be_Tong!$C:$C,AO657)-VLOOKUP(AN657,$AQ$2:$AR$7,2,FALSE)))</f>
        <v/>
      </c>
      <c r="N657" s="4" t="n"/>
      <c r="O657" s="20">
        <f>IF(ROUNDUP(S657/20,0)&gt;ROUNDUP(S656/20,0),"TN Ø16 (Lần " &amp; ROUNDUP(S657/20,0) &amp; ")","")</f>
        <v/>
      </c>
      <c r="P657" s="16">
        <f>ROUND(P656+IF(AND(E657&lt;=10,F657&lt;&gt;"ASTM A416"),L657,0),3)</f>
        <v/>
      </c>
      <c r="Q657" s="16">
        <f>ROUND(Q656+IF(AND(E657=12,F657&lt;&gt;"ASTM A416"),L657,0),3)</f>
        <v/>
      </c>
      <c r="R657" s="16">
        <f>ROUND(R656+IF(AND(E657=14,F657&lt;&gt;"ASTM A416"),L657,0),3)</f>
        <v/>
      </c>
      <c r="S657" s="16">
        <f>ROUND(S656+IF(AND(E657=16,F657&lt;&gt;"ASTM A416"),L657,0),3)</f>
        <v/>
      </c>
      <c r="T657" s="16">
        <f>ROUND(T656+IF(AND(E657=18,F657&lt;&gt;"ASTM A416"),L657,0),3)</f>
        <v/>
      </c>
      <c r="U657" s="16">
        <f>ROUND(U656+IF(AND(E657=20,F657&lt;&gt;"ASTM A416"),L657,0),3)</f>
        <v/>
      </c>
      <c r="V657" s="16">
        <f>ROUND(V656+IF(AND(E657=22,F657&lt;&gt;"ASTM A416"),L657,0),3)</f>
        <v/>
      </c>
      <c r="W657" s="16">
        <f>ROUND(W656+IF(AND(E657=25,F657&lt;&gt;"ASTM A416"),L657,0),3)</f>
        <v/>
      </c>
      <c r="X657" s="16">
        <f>ROUND(X656+IF(AND(E657=28,F657&lt;&gt;"ASTM A416"),L657,0),3)</f>
        <v/>
      </c>
      <c r="Y657" s="16">
        <f>ROUND(Y656+IF(AND(E657=32,F657&lt;&gt;"ASTM A416"),L657,0),3)</f>
        <v/>
      </c>
      <c r="Z657" s="16">
        <f>ROUND(Z656+IF(F657="ASTM A416",L657,0),3)</f>
        <v/>
      </c>
      <c r="AA657" s="9">
        <f>IF(ROUNDUP(P657/20,0)&gt;ROUNDUP(P656/20,0),"Lần " &amp; ROUNDUP(P657/20,0),"")</f>
        <v/>
      </c>
      <c r="AB657" s="9">
        <f>IF(ROUNDUP(Q657/20,0)&gt;ROUNDUP(Q656/20,0),"Lần " &amp; ROUNDUP(Q657/20,0),"")</f>
        <v/>
      </c>
      <c r="AC657" s="9">
        <f>IF(ROUNDUP(R657/20,0)&gt;ROUNDUP(R656/20,0),"Lần " &amp; ROUNDUP(R657/20,0),"")</f>
        <v/>
      </c>
      <c r="AD657" s="9">
        <f>IF(ROUNDUP(S657/20,0)&gt;ROUNDUP(S656/20,0),"Lần " &amp; ROUNDUP(S657/20,0),"")</f>
        <v/>
      </c>
      <c r="AE657" s="9">
        <f>IF(ROUNDUP(T657/20,0)&gt;ROUNDUP(T656/20,0),"Lần " &amp; ROUNDUP(T657/20,0),"")</f>
        <v/>
      </c>
      <c r="AF657" s="9">
        <f>IF(ROUNDUP(U657/20,0)&gt;ROUNDUP(U656/20,0),"Lần " &amp; ROUNDUP(U657/20,0),"")</f>
        <v/>
      </c>
      <c r="AG657" s="9">
        <f>IF(ROUNDUP(V657/20,0)&gt;ROUNDUP(V656/20,0),"Lần " &amp; ROUNDUP(V657/20,0),"")</f>
        <v/>
      </c>
      <c r="AH657" s="9">
        <f>IF(ROUNDUP(W657/20,0)&gt;ROUNDUP(W656/20,0),"Lần " &amp; ROUNDUP(W657/20,0),"")</f>
        <v/>
      </c>
      <c r="AI657" s="9">
        <f>IF(ROUNDUP(X657/20,0)&gt;ROUNDUP(X656/20,0),"Lần " &amp; ROUNDUP(X657/20,0),"")</f>
        <v/>
      </c>
      <c r="AJ657" s="9">
        <f>IF(ROUNDUP(Y657/20,0)&gt;ROUNDUP(Y656/20,0),"Lần " &amp; ROUNDUP(Y657/20,0),"")</f>
        <v/>
      </c>
      <c r="AK657" s="9">
        <f>IF(ROUNDUP(Z657/20,0)&gt;ROUNDUP(Z656/20,0),"Lần " &amp; ROUNDUP(Z657/20,0),"")</f>
        <v/>
      </c>
      <c r="AL657" s="4" t="n"/>
      <c r="AN657" s="596" t="inlineStr">
        <is>
          <t>Than</t>
        </is>
      </c>
      <c r="AO657" s="596" t="n">
        <v>49</v>
      </c>
      <c r="AQ657" s="594" t="n"/>
      <c r="AR657" s="595" t="n"/>
    </row>
    <row r="658" ht="19" customHeight="1" s="672">
      <c r="A658" s="4" t="n">
        <v>622</v>
      </c>
      <c r="B658" s="5" t="inlineStr">
        <is>
          <t>Trụ T1, T2 (Xà mũ trụ)</t>
        </is>
      </c>
      <c r="C658" s="5" t="inlineStr">
        <is>
          <t>Xà mũ trụ T2 (tr.62)</t>
        </is>
      </c>
      <c r="D658" s="14" t="inlineStr">
        <is>
          <t>U1</t>
        </is>
      </c>
      <c r="E658" s="15" t="n">
        <v>16</v>
      </c>
      <c r="F658" s="4" t="inlineStr">
        <is>
          <t>CB400-V</t>
        </is>
      </c>
      <c r="G658" s="5" t="inlineStr"/>
      <c r="H658" s="16" t="n">
        <v>4.192</v>
      </c>
      <c r="I658" s="17" t="n">
        <v>16</v>
      </c>
      <c r="J658" s="18" t="n">
        <v>1.578</v>
      </c>
      <c r="K658" s="7">
        <f>ROUND(H658*I658*J658, 2)</f>
        <v/>
      </c>
      <c r="L658" s="19">
        <f>ROUND(K658/1000, 3)</f>
        <v/>
      </c>
      <c r="M658" s="728">
        <f>IF(AO658="","",IF(N(INDEX(Theo_Doi_Tan_Suat_Be_Tong!$C:$C,AO658))&lt;=0,"",INDEX(Theo_Doi_Tan_Suat_Be_Tong!$C:$C,AO658)-VLOOKUP(AN658,$AQ$2:$AR$7,2,FALSE)))</f>
        <v/>
      </c>
      <c r="N658" s="4" t="n"/>
      <c r="O658" s="20">
        <f>IF(ROUNDUP(S658/20,0)&gt;ROUNDUP(S657/20,0),"TN Ø16 (Lần " &amp; ROUNDUP(S658/20,0) &amp; ")","")</f>
        <v/>
      </c>
      <c r="P658" s="16">
        <f>ROUND(P657+IF(AND(E658&lt;=10,F658&lt;&gt;"ASTM A416"),L658,0),3)</f>
        <v/>
      </c>
      <c r="Q658" s="16">
        <f>ROUND(Q657+IF(AND(E658=12,F658&lt;&gt;"ASTM A416"),L658,0),3)</f>
        <v/>
      </c>
      <c r="R658" s="16">
        <f>ROUND(R657+IF(AND(E658=14,F658&lt;&gt;"ASTM A416"),L658,0),3)</f>
        <v/>
      </c>
      <c r="S658" s="16">
        <f>ROUND(S657+IF(AND(E658=16,F658&lt;&gt;"ASTM A416"),L658,0),3)</f>
        <v/>
      </c>
      <c r="T658" s="16">
        <f>ROUND(T657+IF(AND(E658=18,F658&lt;&gt;"ASTM A416"),L658,0),3)</f>
        <v/>
      </c>
      <c r="U658" s="16">
        <f>ROUND(U657+IF(AND(E658=20,F658&lt;&gt;"ASTM A416"),L658,0),3)</f>
        <v/>
      </c>
      <c r="V658" s="16">
        <f>ROUND(V657+IF(AND(E658=22,F658&lt;&gt;"ASTM A416"),L658,0),3)</f>
        <v/>
      </c>
      <c r="W658" s="16">
        <f>ROUND(W657+IF(AND(E658=25,F658&lt;&gt;"ASTM A416"),L658,0),3)</f>
        <v/>
      </c>
      <c r="X658" s="16">
        <f>ROUND(X657+IF(AND(E658=28,F658&lt;&gt;"ASTM A416"),L658,0),3)</f>
        <v/>
      </c>
      <c r="Y658" s="16">
        <f>ROUND(Y657+IF(AND(E658=32,F658&lt;&gt;"ASTM A416"),L658,0),3)</f>
        <v/>
      </c>
      <c r="Z658" s="16">
        <f>ROUND(Z657+IF(F658="ASTM A416",L658,0),3)</f>
        <v/>
      </c>
      <c r="AA658" s="9">
        <f>IF(ROUNDUP(P658/20,0)&gt;ROUNDUP(P657/20,0),"Lần " &amp; ROUNDUP(P658/20,0),"")</f>
        <v/>
      </c>
      <c r="AB658" s="9">
        <f>IF(ROUNDUP(Q658/20,0)&gt;ROUNDUP(Q657/20,0),"Lần " &amp; ROUNDUP(Q658/20,0),"")</f>
        <v/>
      </c>
      <c r="AC658" s="9">
        <f>IF(ROUNDUP(R658/20,0)&gt;ROUNDUP(R657/20,0),"Lần " &amp; ROUNDUP(R658/20,0),"")</f>
        <v/>
      </c>
      <c r="AD658" s="9">
        <f>IF(ROUNDUP(S658/20,0)&gt;ROUNDUP(S657/20,0),"Lần " &amp; ROUNDUP(S658/20,0),"")</f>
        <v/>
      </c>
      <c r="AE658" s="9">
        <f>IF(ROUNDUP(T658/20,0)&gt;ROUNDUP(T657/20,0),"Lần " &amp; ROUNDUP(T658/20,0),"")</f>
        <v/>
      </c>
      <c r="AF658" s="9">
        <f>IF(ROUNDUP(U658/20,0)&gt;ROUNDUP(U657/20,0),"Lần " &amp; ROUNDUP(U658/20,0),"")</f>
        <v/>
      </c>
      <c r="AG658" s="9">
        <f>IF(ROUNDUP(V658/20,0)&gt;ROUNDUP(V657/20,0),"Lần " &amp; ROUNDUP(V658/20,0),"")</f>
        <v/>
      </c>
      <c r="AH658" s="9">
        <f>IF(ROUNDUP(W658/20,0)&gt;ROUNDUP(W657/20,0),"Lần " &amp; ROUNDUP(W658/20,0),"")</f>
        <v/>
      </c>
      <c r="AI658" s="9">
        <f>IF(ROUNDUP(X658/20,0)&gt;ROUNDUP(X657/20,0),"Lần " &amp; ROUNDUP(X658/20,0),"")</f>
        <v/>
      </c>
      <c r="AJ658" s="9">
        <f>IF(ROUNDUP(Y658/20,0)&gt;ROUNDUP(Y657/20,0),"Lần " &amp; ROUNDUP(Y658/20,0),"")</f>
        <v/>
      </c>
      <c r="AK658" s="9">
        <f>IF(ROUNDUP(Z658/20,0)&gt;ROUNDUP(Z657/20,0),"Lần " &amp; ROUNDUP(Z658/20,0),"")</f>
        <v/>
      </c>
      <c r="AL658" s="4" t="n"/>
      <c r="AN658" s="596" t="inlineStr">
        <is>
          <t>Than</t>
        </is>
      </c>
      <c r="AO658" s="596" t="n">
        <v>49</v>
      </c>
      <c r="AQ658" s="594" t="n"/>
      <c r="AR658" s="595" t="n"/>
    </row>
    <row r="659" ht="19" customHeight="1" s="672">
      <c r="A659" s="4" t="n">
        <v>623</v>
      </c>
      <c r="B659" s="5" t="inlineStr">
        <is>
          <t>Trụ T1, T2 (Xà mũ trụ)</t>
        </is>
      </c>
      <c r="C659" s="5" t="inlineStr">
        <is>
          <t>Xà mũ trụ T2 (tr.62)</t>
        </is>
      </c>
      <c r="D659" s="14" t="inlineStr">
        <is>
          <t>U2</t>
        </is>
      </c>
      <c r="E659" s="15" t="n">
        <v>16</v>
      </c>
      <c r="F659" s="4" t="inlineStr">
        <is>
          <t>CB400-V</t>
        </is>
      </c>
      <c r="G659" s="5" t="inlineStr"/>
      <c r="H659" s="16" t="n">
        <v>3.892</v>
      </c>
      <c r="I659" s="17" t="n">
        <v>28</v>
      </c>
      <c r="J659" s="18" t="n">
        <v>1.578</v>
      </c>
      <c r="K659" s="7">
        <f>ROUND(H659*I659*J659, 2)</f>
        <v/>
      </c>
      <c r="L659" s="19">
        <f>ROUND(K659/1000, 3)</f>
        <v/>
      </c>
      <c r="M659" s="728">
        <f>IF(AO659="","",IF(N(INDEX(Theo_Doi_Tan_Suat_Be_Tong!$C:$C,AO659))&lt;=0,"",INDEX(Theo_Doi_Tan_Suat_Be_Tong!$C:$C,AO659)-VLOOKUP(AN659,$AQ$2:$AR$7,2,FALSE)))</f>
        <v/>
      </c>
      <c r="N659" s="4" t="n"/>
      <c r="O659" s="20">
        <f>IF(ROUNDUP(S659/20,0)&gt;ROUNDUP(S658/20,0),"TN Ø16 (Lần " &amp; ROUNDUP(S659/20,0) &amp; ")","")</f>
        <v/>
      </c>
      <c r="P659" s="16">
        <f>ROUND(P658+IF(AND(E659&lt;=10,F659&lt;&gt;"ASTM A416"),L659,0),3)</f>
        <v/>
      </c>
      <c r="Q659" s="16">
        <f>ROUND(Q658+IF(AND(E659=12,F659&lt;&gt;"ASTM A416"),L659,0),3)</f>
        <v/>
      </c>
      <c r="R659" s="16">
        <f>ROUND(R658+IF(AND(E659=14,F659&lt;&gt;"ASTM A416"),L659,0),3)</f>
        <v/>
      </c>
      <c r="S659" s="16">
        <f>ROUND(S658+IF(AND(E659=16,F659&lt;&gt;"ASTM A416"),L659,0),3)</f>
        <v/>
      </c>
      <c r="T659" s="16">
        <f>ROUND(T658+IF(AND(E659=18,F659&lt;&gt;"ASTM A416"),L659,0),3)</f>
        <v/>
      </c>
      <c r="U659" s="16">
        <f>ROUND(U658+IF(AND(E659=20,F659&lt;&gt;"ASTM A416"),L659,0),3)</f>
        <v/>
      </c>
      <c r="V659" s="16">
        <f>ROUND(V658+IF(AND(E659=22,F659&lt;&gt;"ASTM A416"),L659,0),3)</f>
        <v/>
      </c>
      <c r="W659" s="16">
        <f>ROUND(W658+IF(AND(E659=25,F659&lt;&gt;"ASTM A416"),L659,0),3)</f>
        <v/>
      </c>
      <c r="X659" s="16">
        <f>ROUND(X658+IF(AND(E659=28,F659&lt;&gt;"ASTM A416"),L659,0),3)</f>
        <v/>
      </c>
      <c r="Y659" s="16">
        <f>ROUND(Y658+IF(AND(E659=32,F659&lt;&gt;"ASTM A416"),L659,0),3)</f>
        <v/>
      </c>
      <c r="Z659" s="16">
        <f>ROUND(Z658+IF(F659="ASTM A416",L659,0),3)</f>
        <v/>
      </c>
      <c r="AA659" s="9">
        <f>IF(ROUNDUP(P659/20,0)&gt;ROUNDUP(P658/20,0),"Lần " &amp; ROUNDUP(P659/20,0),"")</f>
        <v/>
      </c>
      <c r="AB659" s="9">
        <f>IF(ROUNDUP(Q659/20,0)&gt;ROUNDUP(Q658/20,0),"Lần " &amp; ROUNDUP(Q659/20,0),"")</f>
        <v/>
      </c>
      <c r="AC659" s="9">
        <f>IF(ROUNDUP(R659/20,0)&gt;ROUNDUP(R658/20,0),"Lần " &amp; ROUNDUP(R659/20,0),"")</f>
        <v/>
      </c>
      <c r="AD659" s="9">
        <f>IF(ROUNDUP(S659/20,0)&gt;ROUNDUP(S658/20,0),"Lần " &amp; ROUNDUP(S659/20,0),"")</f>
        <v/>
      </c>
      <c r="AE659" s="9">
        <f>IF(ROUNDUP(T659/20,0)&gt;ROUNDUP(T658/20,0),"Lần " &amp; ROUNDUP(T659/20,0),"")</f>
        <v/>
      </c>
      <c r="AF659" s="9">
        <f>IF(ROUNDUP(U659/20,0)&gt;ROUNDUP(U658/20,0),"Lần " &amp; ROUNDUP(U659/20,0),"")</f>
        <v/>
      </c>
      <c r="AG659" s="9">
        <f>IF(ROUNDUP(V659/20,0)&gt;ROUNDUP(V658/20,0),"Lần " &amp; ROUNDUP(V659/20,0),"")</f>
        <v/>
      </c>
      <c r="AH659" s="9">
        <f>IF(ROUNDUP(W659/20,0)&gt;ROUNDUP(W658/20,0),"Lần " &amp; ROUNDUP(W659/20,0),"")</f>
        <v/>
      </c>
      <c r="AI659" s="9">
        <f>IF(ROUNDUP(X659/20,0)&gt;ROUNDUP(X658/20,0),"Lần " &amp; ROUNDUP(X659/20,0),"")</f>
        <v/>
      </c>
      <c r="AJ659" s="9">
        <f>IF(ROUNDUP(Y659/20,0)&gt;ROUNDUP(Y658/20,0),"Lần " &amp; ROUNDUP(Y659/20,0),"")</f>
        <v/>
      </c>
      <c r="AK659" s="9">
        <f>IF(ROUNDUP(Z659/20,0)&gt;ROUNDUP(Z658/20,0),"Lần " &amp; ROUNDUP(Z659/20,0),"")</f>
        <v/>
      </c>
      <c r="AL659" s="4" t="n"/>
      <c r="AN659" s="596" t="inlineStr">
        <is>
          <t>Than</t>
        </is>
      </c>
      <c r="AO659" s="596" t="n">
        <v>49</v>
      </c>
      <c r="AQ659" s="594" t="n"/>
      <c r="AR659" s="595" t="n"/>
    </row>
    <row r="660" ht="19" customHeight="1" s="672">
      <c r="A660" s="4" t="n">
        <v>624</v>
      </c>
      <c r="B660" s="5" t="inlineStr">
        <is>
          <t>Trụ T1, T2 (Xà mũ trụ)</t>
        </is>
      </c>
      <c r="C660" s="5" t="inlineStr">
        <is>
          <t>Xà mũ trụ T2 (tr.62)</t>
        </is>
      </c>
      <c r="D660" s="14" t="inlineStr">
        <is>
          <t>U3</t>
        </is>
      </c>
      <c r="E660" s="15" t="n">
        <v>16</v>
      </c>
      <c r="F660" s="4" t="inlineStr">
        <is>
          <t>CB400-V</t>
        </is>
      </c>
      <c r="G660" s="5" t="inlineStr">
        <is>
          <t>S51</t>
        </is>
      </c>
      <c r="H660" s="16" t="n">
        <v>3.256</v>
      </c>
      <c r="I660" s="17" t="n">
        <v>48</v>
      </c>
      <c r="J660" s="18" t="n">
        <v>1.578</v>
      </c>
      <c r="K660" s="7">
        <f>ROUND(H660*I660*J660, 2)</f>
        <v/>
      </c>
      <c r="L660" s="19">
        <f>ROUND(K660/1000, 3)</f>
        <v/>
      </c>
      <c r="M660" s="728">
        <f>IF(AO660="","",IF(N(INDEX(Theo_Doi_Tan_Suat_Be_Tong!$C:$C,AO660))&lt;=0,"",INDEX(Theo_Doi_Tan_Suat_Be_Tong!$C:$C,AO660)-VLOOKUP(AN660,$AQ$2:$AR$7,2,FALSE)))</f>
        <v/>
      </c>
      <c r="N660" s="4" t="n"/>
      <c r="O660" s="20">
        <f>IF(ROUNDUP(S660/20,0)&gt;ROUNDUP(S659/20,0),"TN Ø16 (Lần " &amp; ROUNDUP(S660/20,0) &amp; ")","")</f>
        <v/>
      </c>
      <c r="P660" s="16">
        <f>ROUND(P659+IF(AND(E660&lt;=10,F660&lt;&gt;"ASTM A416"),L660,0),3)</f>
        <v/>
      </c>
      <c r="Q660" s="16">
        <f>ROUND(Q659+IF(AND(E660=12,F660&lt;&gt;"ASTM A416"),L660,0),3)</f>
        <v/>
      </c>
      <c r="R660" s="16">
        <f>ROUND(R659+IF(AND(E660=14,F660&lt;&gt;"ASTM A416"),L660,0),3)</f>
        <v/>
      </c>
      <c r="S660" s="16">
        <f>ROUND(S659+IF(AND(E660=16,F660&lt;&gt;"ASTM A416"),L660,0),3)</f>
        <v/>
      </c>
      <c r="T660" s="16">
        <f>ROUND(T659+IF(AND(E660=18,F660&lt;&gt;"ASTM A416"),L660,0),3)</f>
        <v/>
      </c>
      <c r="U660" s="16">
        <f>ROUND(U659+IF(AND(E660=20,F660&lt;&gt;"ASTM A416"),L660,0),3)</f>
        <v/>
      </c>
      <c r="V660" s="16">
        <f>ROUND(V659+IF(AND(E660=22,F660&lt;&gt;"ASTM A416"),L660,0),3)</f>
        <v/>
      </c>
      <c r="W660" s="16">
        <f>ROUND(W659+IF(AND(E660=25,F660&lt;&gt;"ASTM A416"),L660,0),3)</f>
        <v/>
      </c>
      <c r="X660" s="16">
        <f>ROUND(X659+IF(AND(E660=28,F660&lt;&gt;"ASTM A416"),L660,0),3)</f>
        <v/>
      </c>
      <c r="Y660" s="16">
        <f>ROUND(Y659+IF(AND(E660=32,F660&lt;&gt;"ASTM A416"),L660,0),3)</f>
        <v/>
      </c>
      <c r="Z660" s="16">
        <f>ROUND(Z659+IF(F660="ASTM A416",L660,0),3)</f>
        <v/>
      </c>
      <c r="AA660" s="9">
        <f>IF(ROUNDUP(P660/20,0)&gt;ROUNDUP(P659/20,0),"Lần " &amp; ROUNDUP(P660/20,0),"")</f>
        <v/>
      </c>
      <c r="AB660" s="9">
        <f>IF(ROUNDUP(Q660/20,0)&gt;ROUNDUP(Q659/20,0),"Lần " &amp; ROUNDUP(Q660/20,0),"")</f>
        <v/>
      </c>
      <c r="AC660" s="9">
        <f>IF(ROUNDUP(R660/20,0)&gt;ROUNDUP(R659/20,0),"Lần " &amp; ROUNDUP(R660/20,0),"")</f>
        <v/>
      </c>
      <c r="AD660" s="9">
        <f>IF(ROUNDUP(S660/20,0)&gt;ROUNDUP(S659/20,0),"Lần " &amp; ROUNDUP(S660/20,0),"")</f>
        <v/>
      </c>
      <c r="AE660" s="9">
        <f>IF(ROUNDUP(T660/20,0)&gt;ROUNDUP(T659/20,0),"Lần " &amp; ROUNDUP(T660/20,0),"")</f>
        <v/>
      </c>
      <c r="AF660" s="9">
        <f>IF(ROUNDUP(U660/20,0)&gt;ROUNDUP(U659/20,0),"Lần " &amp; ROUNDUP(U660/20,0),"")</f>
        <v/>
      </c>
      <c r="AG660" s="9">
        <f>IF(ROUNDUP(V660/20,0)&gt;ROUNDUP(V659/20,0),"Lần " &amp; ROUNDUP(V660/20,0),"")</f>
        <v/>
      </c>
      <c r="AH660" s="9">
        <f>IF(ROUNDUP(W660/20,0)&gt;ROUNDUP(W659/20,0),"Lần " &amp; ROUNDUP(W660/20,0),"")</f>
        <v/>
      </c>
      <c r="AI660" s="9">
        <f>IF(ROUNDUP(X660/20,0)&gt;ROUNDUP(X659/20,0),"Lần " &amp; ROUNDUP(X660/20,0),"")</f>
        <v/>
      </c>
      <c r="AJ660" s="9">
        <f>IF(ROUNDUP(Y660/20,0)&gt;ROUNDUP(Y659/20,0),"Lần " &amp; ROUNDUP(Y660/20,0),"")</f>
        <v/>
      </c>
      <c r="AK660" s="9">
        <f>IF(ROUNDUP(Z660/20,0)&gt;ROUNDUP(Z659/20,0),"Lần " &amp; ROUNDUP(Z660/20,0),"")</f>
        <v/>
      </c>
      <c r="AL660" s="4" t="n"/>
      <c r="AN660" s="596" t="inlineStr">
        <is>
          <t>Than</t>
        </is>
      </c>
      <c r="AO660" s="596" t="n">
        <v>49</v>
      </c>
      <c r="AQ660" s="594" t="n"/>
      <c r="AR660" s="595" t="n"/>
    </row>
    <row r="661" ht="19" customHeight="1" s="672">
      <c r="A661" s="4" t="n">
        <v>625</v>
      </c>
      <c r="B661" s="5" t="inlineStr">
        <is>
          <t>Trụ T1, T2 (Xà mũ trụ)</t>
        </is>
      </c>
      <c r="C661" s="5" t="inlineStr">
        <is>
          <t>Xà mũ trụ T2 (tr.62)</t>
        </is>
      </c>
      <c r="D661" s="14" t="inlineStr">
        <is>
          <t>U4</t>
        </is>
      </c>
      <c r="E661" s="15" t="n">
        <v>8</v>
      </c>
      <c r="F661" s="4" t="inlineStr">
        <is>
          <t>CB240-T</t>
        </is>
      </c>
      <c r="G661" s="5" t="inlineStr">
        <is>
          <t>S32</t>
        </is>
      </c>
      <c r="H661" s="16" t="n">
        <v>1.837</v>
      </c>
      <c r="I661" s="17" t="n">
        <v>8</v>
      </c>
      <c r="J661" s="18" t="n">
        <v>0.395</v>
      </c>
      <c r="K661" s="7">
        <f>ROUND(H661*I661*J661, 2)</f>
        <v/>
      </c>
      <c r="L661" s="19">
        <f>ROUND(K661/1000, 3)</f>
        <v/>
      </c>
      <c r="M661" s="728">
        <f>IF(AO661="","",IF(N(INDEX(Theo_Doi_Tan_Suat_Be_Tong!$C:$C,AO661))&lt;=0,"",INDEX(Theo_Doi_Tan_Suat_Be_Tong!$C:$C,AO661)-VLOOKUP(AN661,$AQ$2:$AR$7,2,FALSE)))</f>
        <v/>
      </c>
      <c r="N661" s="4" t="n"/>
      <c r="O661" s="20">
        <f>IF(ROUNDUP(P661/20,0)&gt;ROUNDUP(P660/20,0),"TN Ø10 (Lần " &amp; ROUNDUP(P661/20,0) &amp; ")","")</f>
        <v/>
      </c>
      <c r="P661" s="16">
        <f>ROUND(P660+IF(AND(E661&lt;=10,F661&lt;&gt;"ASTM A416"),L661,0),3)</f>
        <v/>
      </c>
      <c r="Q661" s="16">
        <f>ROUND(Q660+IF(AND(E661=12,F661&lt;&gt;"ASTM A416"),L661,0),3)</f>
        <v/>
      </c>
      <c r="R661" s="16">
        <f>ROUND(R660+IF(AND(E661=14,F661&lt;&gt;"ASTM A416"),L661,0),3)</f>
        <v/>
      </c>
      <c r="S661" s="16">
        <f>ROUND(S660+IF(AND(E661=16,F661&lt;&gt;"ASTM A416"),L661,0),3)</f>
        <v/>
      </c>
      <c r="T661" s="16">
        <f>ROUND(T660+IF(AND(E661=18,F661&lt;&gt;"ASTM A416"),L661,0),3)</f>
        <v/>
      </c>
      <c r="U661" s="16">
        <f>ROUND(U660+IF(AND(E661=20,F661&lt;&gt;"ASTM A416"),L661,0),3)</f>
        <v/>
      </c>
      <c r="V661" s="16">
        <f>ROUND(V660+IF(AND(E661=22,F661&lt;&gt;"ASTM A416"),L661,0),3)</f>
        <v/>
      </c>
      <c r="W661" s="16">
        <f>ROUND(W660+IF(AND(E661=25,F661&lt;&gt;"ASTM A416"),L661,0),3)</f>
        <v/>
      </c>
      <c r="X661" s="16">
        <f>ROUND(X660+IF(AND(E661=28,F661&lt;&gt;"ASTM A416"),L661,0),3)</f>
        <v/>
      </c>
      <c r="Y661" s="16">
        <f>ROUND(Y660+IF(AND(E661=32,F661&lt;&gt;"ASTM A416"),L661,0),3)</f>
        <v/>
      </c>
      <c r="Z661" s="16">
        <f>ROUND(Z660+IF(F661="ASTM A416",L661,0),3)</f>
        <v/>
      </c>
      <c r="AA661" s="9">
        <f>IF(ROUNDUP(P661/20,0)&gt;ROUNDUP(P660/20,0),"Lần " &amp; ROUNDUP(P661/20,0),"")</f>
        <v/>
      </c>
      <c r="AB661" s="9">
        <f>IF(ROUNDUP(Q661/20,0)&gt;ROUNDUP(Q660/20,0),"Lần " &amp; ROUNDUP(Q661/20,0),"")</f>
        <v/>
      </c>
      <c r="AC661" s="9">
        <f>IF(ROUNDUP(R661/20,0)&gt;ROUNDUP(R660/20,0),"Lần " &amp; ROUNDUP(R661/20,0),"")</f>
        <v/>
      </c>
      <c r="AD661" s="9">
        <f>IF(ROUNDUP(S661/20,0)&gt;ROUNDUP(S660/20,0),"Lần " &amp; ROUNDUP(S661/20,0),"")</f>
        <v/>
      </c>
      <c r="AE661" s="9">
        <f>IF(ROUNDUP(T661/20,0)&gt;ROUNDUP(T660/20,0),"Lần " &amp; ROUNDUP(T661/20,0),"")</f>
        <v/>
      </c>
      <c r="AF661" s="9">
        <f>IF(ROUNDUP(U661/20,0)&gt;ROUNDUP(U660/20,0),"Lần " &amp; ROUNDUP(U661/20,0),"")</f>
        <v/>
      </c>
      <c r="AG661" s="9">
        <f>IF(ROUNDUP(V661/20,0)&gt;ROUNDUP(V660/20,0),"Lần " &amp; ROUNDUP(V661/20,0),"")</f>
        <v/>
      </c>
      <c r="AH661" s="9">
        <f>IF(ROUNDUP(W661/20,0)&gt;ROUNDUP(W660/20,0),"Lần " &amp; ROUNDUP(W661/20,0),"")</f>
        <v/>
      </c>
      <c r="AI661" s="9">
        <f>IF(ROUNDUP(X661/20,0)&gt;ROUNDUP(X660/20,0),"Lần " &amp; ROUNDUP(X661/20,0),"")</f>
        <v/>
      </c>
      <c r="AJ661" s="9">
        <f>IF(ROUNDUP(Y661/20,0)&gt;ROUNDUP(Y660/20,0),"Lần " &amp; ROUNDUP(Y661/20,0),"")</f>
        <v/>
      </c>
      <c r="AK661" s="9">
        <f>IF(ROUNDUP(Z661/20,0)&gt;ROUNDUP(Z660/20,0),"Lần " &amp; ROUNDUP(Z661/20,0),"")</f>
        <v/>
      </c>
      <c r="AL661" s="4" t="n"/>
      <c r="AN661" s="596" t="inlineStr">
        <is>
          <t>Than</t>
        </is>
      </c>
      <c r="AO661" s="596" t="n">
        <v>49</v>
      </c>
      <c r="AQ661" s="594" t="n"/>
      <c r="AR661" s="595" t="n"/>
    </row>
    <row r="662" ht="23" customHeight="1" s="672">
      <c r="A662" s="4" t="n">
        <v>626</v>
      </c>
      <c r="B662" s="5" t="inlineStr">
        <is>
          <t>Trụ T1, T2 (Xà mũ trụ)</t>
        </is>
      </c>
      <c r="C662" s="5" t="inlineStr">
        <is>
          <t>Xà mũ trụ T2 (tr.62)</t>
        </is>
      </c>
      <c r="D662" s="14" t="inlineStr">
        <is>
          <t>G1</t>
        </is>
      </c>
      <c r="E662" s="15" t="n">
        <v>6</v>
      </c>
      <c r="F662" s="4" t="inlineStr">
        <is>
          <t>CB240-T</t>
        </is>
      </c>
      <c r="G662" s="5" t="inlineStr"/>
      <c r="H662" s="16" t="n">
        <v>0.46</v>
      </c>
      <c r="I662" s="17" t="n">
        <v>130</v>
      </c>
      <c r="J662" s="18" t="n">
        <v>0.222</v>
      </c>
      <c r="K662" s="7">
        <f>ROUND(H662*I662*J662, 2)</f>
        <v/>
      </c>
      <c r="L662" s="19">
        <f>ROUND(K662/1000, 3)</f>
        <v/>
      </c>
      <c r="M662" s="728">
        <f>IF(AO662="","",IF(N(INDEX(Theo_Doi_Tan_Suat_Be_Tong!$C:$C,AO662))&lt;=0,"",INDEX(Theo_Doi_Tan_Suat_Be_Tong!$C:$C,AO662)-VLOOKUP(AN662,$AQ$2:$AR$7,2,FALSE)))</f>
        <v/>
      </c>
      <c r="N662" s="4" t="n"/>
      <c r="O662" s="20">
        <f>IF(ROUNDUP(P662/20,0)&gt;ROUNDUP(P661/20,0),"TN Ø10 (Lần " &amp; ROUNDUP(P662/20,0) &amp; ")","")</f>
        <v/>
      </c>
      <c r="P662" s="16">
        <f>ROUND(P661+IF(AND(E662&lt;=10,F662&lt;&gt;"ASTM A416"),L662,0),3)</f>
        <v/>
      </c>
      <c r="Q662" s="16">
        <f>ROUND(Q661+IF(AND(E662=12,F662&lt;&gt;"ASTM A416"),L662,0),3)</f>
        <v/>
      </c>
      <c r="R662" s="16">
        <f>ROUND(R661+IF(AND(E662=14,F662&lt;&gt;"ASTM A416"),L662,0),3)</f>
        <v/>
      </c>
      <c r="S662" s="16">
        <f>ROUND(S661+IF(AND(E662=16,F662&lt;&gt;"ASTM A416"),L662,0),3)</f>
        <v/>
      </c>
      <c r="T662" s="16">
        <f>ROUND(T661+IF(AND(E662=18,F662&lt;&gt;"ASTM A416"),L662,0),3)</f>
        <v/>
      </c>
      <c r="U662" s="16">
        <f>ROUND(U661+IF(AND(E662=20,F662&lt;&gt;"ASTM A416"),L662,0),3)</f>
        <v/>
      </c>
      <c r="V662" s="16">
        <f>ROUND(V661+IF(AND(E662=22,F662&lt;&gt;"ASTM A416"),L662,0),3)</f>
        <v/>
      </c>
      <c r="W662" s="16">
        <f>ROUND(W661+IF(AND(E662=25,F662&lt;&gt;"ASTM A416"),L662,0),3)</f>
        <v/>
      </c>
      <c r="X662" s="16">
        <f>ROUND(X661+IF(AND(E662=28,F662&lt;&gt;"ASTM A416"),L662,0),3)</f>
        <v/>
      </c>
      <c r="Y662" s="16">
        <f>ROUND(Y661+IF(AND(E662=32,F662&lt;&gt;"ASTM A416"),L662,0),3)</f>
        <v/>
      </c>
      <c r="Z662" s="16">
        <f>ROUND(Z661+IF(F662="ASTM A416",L662,0),3)</f>
        <v/>
      </c>
      <c r="AA662" s="9">
        <f>IF(ROUNDUP(P662/20,0)&gt;ROUNDUP(P661/20,0),"Lần " &amp; ROUNDUP(P662/20,0),"")</f>
        <v/>
      </c>
      <c r="AB662" s="9">
        <f>IF(ROUNDUP(Q662/20,0)&gt;ROUNDUP(Q661/20,0),"Lần " &amp; ROUNDUP(Q662/20,0),"")</f>
        <v/>
      </c>
      <c r="AC662" s="9">
        <f>IF(ROUNDUP(R662/20,0)&gt;ROUNDUP(R661/20,0),"Lần " &amp; ROUNDUP(R662/20,0),"")</f>
        <v/>
      </c>
      <c r="AD662" s="9">
        <f>IF(ROUNDUP(S662/20,0)&gt;ROUNDUP(S661/20,0),"Lần " &amp; ROUNDUP(S662/20,0),"")</f>
        <v/>
      </c>
      <c r="AE662" s="9">
        <f>IF(ROUNDUP(T662/20,0)&gt;ROUNDUP(T661/20,0),"Lần " &amp; ROUNDUP(T662/20,0),"")</f>
        <v/>
      </c>
      <c r="AF662" s="9">
        <f>IF(ROUNDUP(U662/20,0)&gt;ROUNDUP(U661/20,0),"Lần " &amp; ROUNDUP(U662/20,0),"")</f>
        <v/>
      </c>
      <c r="AG662" s="9">
        <f>IF(ROUNDUP(V662/20,0)&gt;ROUNDUP(V661/20,0),"Lần " &amp; ROUNDUP(V662/20,0),"")</f>
        <v/>
      </c>
      <c r="AH662" s="9">
        <f>IF(ROUNDUP(W662/20,0)&gt;ROUNDUP(W661/20,0),"Lần " &amp; ROUNDUP(W662/20,0),"")</f>
        <v/>
      </c>
      <c r="AI662" s="9">
        <f>IF(ROUNDUP(X662/20,0)&gt;ROUNDUP(X661/20,0),"Lần " &amp; ROUNDUP(X662/20,0),"")</f>
        <v/>
      </c>
      <c r="AJ662" s="9">
        <f>IF(ROUNDUP(Y662/20,0)&gt;ROUNDUP(Y661/20,0),"Lần " &amp; ROUNDUP(Y662/20,0),"")</f>
        <v/>
      </c>
      <c r="AK662" s="9">
        <f>IF(ROUNDUP(Z662/20,0)&gt;ROUNDUP(Z661/20,0),"Lần " &amp; ROUNDUP(Z662/20,0),"")</f>
        <v/>
      </c>
      <c r="AL662" s="4" t="n"/>
      <c r="AN662" s="596" t="inlineStr">
        <is>
          <t>Than</t>
        </is>
      </c>
      <c r="AO662" s="596" t="n">
        <v>49</v>
      </c>
      <c r="AQ662" s="594" t="n"/>
      <c r="AR662" s="595" t="n"/>
    </row>
    <row r="663" ht="19" customHeight="1" s="672">
      <c r="A663" s="4" t="n">
        <v>627</v>
      </c>
      <c r="B663" s="5" t="inlineStr">
        <is>
          <t>Trụ T1, T2 (Xà mũ trụ)</t>
        </is>
      </c>
      <c r="C663" s="5" t="inlineStr">
        <is>
          <t>Xà mũ trụ T2 (tr.62)</t>
        </is>
      </c>
      <c r="D663" s="14" t="inlineStr">
        <is>
          <t>G2</t>
        </is>
      </c>
      <c r="E663" s="15" t="n">
        <v>6</v>
      </c>
      <c r="F663" s="4" t="inlineStr">
        <is>
          <t>CB240-T</t>
        </is>
      </c>
      <c r="G663" s="5" t="inlineStr"/>
      <c r="H663" s="16" t="n">
        <v>0.72</v>
      </c>
      <c r="I663" s="17" t="n">
        <v>100</v>
      </c>
      <c r="J663" s="18" t="n">
        <v>0.222</v>
      </c>
      <c r="K663" s="7">
        <f>ROUND(H663*I663*J663, 2)</f>
        <v/>
      </c>
      <c r="L663" s="19">
        <f>ROUND(K663/1000, 3)</f>
        <v/>
      </c>
      <c r="M663" s="728">
        <f>IF(AO663="","",IF(N(INDEX(Theo_Doi_Tan_Suat_Be_Tong!$C:$C,AO663))&lt;=0,"",INDEX(Theo_Doi_Tan_Suat_Be_Tong!$C:$C,AO663)-VLOOKUP(AN663,$AQ$2:$AR$7,2,FALSE)))</f>
        <v/>
      </c>
      <c r="N663" s="4" t="n"/>
      <c r="O663" s="20">
        <f>IF(ROUNDUP(P663/20,0)&gt;ROUNDUP(P662/20,0),"TN Ø10 (Lần " &amp; ROUNDUP(P663/20,0) &amp; ")","")</f>
        <v/>
      </c>
      <c r="P663" s="16">
        <f>ROUND(P662+IF(AND(E663&lt;=10,F663&lt;&gt;"ASTM A416"),L663,0),3)</f>
        <v/>
      </c>
      <c r="Q663" s="16">
        <f>ROUND(Q662+IF(AND(E663=12,F663&lt;&gt;"ASTM A416"),L663,0),3)</f>
        <v/>
      </c>
      <c r="R663" s="16">
        <f>ROUND(R662+IF(AND(E663=14,F663&lt;&gt;"ASTM A416"),L663,0),3)</f>
        <v/>
      </c>
      <c r="S663" s="16">
        <f>ROUND(S662+IF(AND(E663=16,F663&lt;&gt;"ASTM A416"),L663,0),3)</f>
        <v/>
      </c>
      <c r="T663" s="16">
        <f>ROUND(T662+IF(AND(E663=18,F663&lt;&gt;"ASTM A416"),L663,0),3)</f>
        <v/>
      </c>
      <c r="U663" s="16">
        <f>ROUND(U662+IF(AND(E663=20,F663&lt;&gt;"ASTM A416"),L663,0),3)</f>
        <v/>
      </c>
      <c r="V663" s="16">
        <f>ROUND(V662+IF(AND(E663=22,F663&lt;&gt;"ASTM A416"),L663,0),3)</f>
        <v/>
      </c>
      <c r="W663" s="16">
        <f>ROUND(W662+IF(AND(E663=25,F663&lt;&gt;"ASTM A416"),L663,0),3)</f>
        <v/>
      </c>
      <c r="X663" s="16">
        <f>ROUND(X662+IF(AND(E663=28,F663&lt;&gt;"ASTM A416"),L663,0),3)</f>
        <v/>
      </c>
      <c r="Y663" s="16">
        <f>ROUND(Y662+IF(AND(E663=32,F663&lt;&gt;"ASTM A416"),L663,0),3)</f>
        <v/>
      </c>
      <c r="Z663" s="16">
        <f>ROUND(Z662+IF(F663="ASTM A416",L663,0),3)</f>
        <v/>
      </c>
      <c r="AA663" s="9">
        <f>IF(ROUNDUP(P663/20,0)&gt;ROUNDUP(P662/20,0),"Lần " &amp; ROUNDUP(P663/20,0),"")</f>
        <v/>
      </c>
      <c r="AB663" s="9">
        <f>IF(ROUNDUP(Q663/20,0)&gt;ROUNDUP(Q662/20,0),"Lần " &amp; ROUNDUP(Q663/20,0),"")</f>
        <v/>
      </c>
      <c r="AC663" s="9">
        <f>IF(ROUNDUP(R663/20,0)&gt;ROUNDUP(R662/20,0),"Lần " &amp; ROUNDUP(R663/20,0),"")</f>
        <v/>
      </c>
      <c r="AD663" s="9">
        <f>IF(ROUNDUP(S663/20,0)&gt;ROUNDUP(S662/20,0),"Lần " &amp; ROUNDUP(S663/20,0),"")</f>
        <v/>
      </c>
      <c r="AE663" s="9">
        <f>IF(ROUNDUP(T663/20,0)&gt;ROUNDUP(T662/20,0),"Lần " &amp; ROUNDUP(T663/20,0),"")</f>
        <v/>
      </c>
      <c r="AF663" s="9">
        <f>IF(ROUNDUP(U663/20,0)&gt;ROUNDUP(U662/20,0),"Lần " &amp; ROUNDUP(U663/20,0),"")</f>
        <v/>
      </c>
      <c r="AG663" s="9">
        <f>IF(ROUNDUP(V663/20,0)&gt;ROUNDUP(V662/20,0),"Lần " &amp; ROUNDUP(V663/20,0),"")</f>
        <v/>
      </c>
      <c r="AH663" s="9">
        <f>IF(ROUNDUP(W663/20,0)&gt;ROUNDUP(W662/20,0),"Lần " &amp; ROUNDUP(W663/20,0),"")</f>
        <v/>
      </c>
      <c r="AI663" s="9">
        <f>IF(ROUNDUP(X663/20,0)&gt;ROUNDUP(X662/20,0),"Lần " &amp; ROUNDUP(X663/20,0),"")</f>
        <v/>
      </c>
      <c r="AJ663" s="9">
        <f>IF(ROUNDUP(Y663/20,0)&gt;ROUNDUP(Y662/20,0),"Lần " &amp; ROUNDUP(Y663/20,0),"")</f>
        <v/>
      </c>
      <c r="AK663" s="9">
        <f>IF(ROUNDUP(Z663/20,0)&gt;ROUNDUP(Z662/20,0),"Lần " &amp; ROUNDUP(Z663/20,0),"")</f>
        <v/>
      </c>
      <c r="AL663" s="4" t="n"/>
      <c r="AN663" s="596" t="inlineStr">
        <is>
          <t>Than</t>
        </is>
      </c>
      <c r="AO663" s="596" t="n">
        <v>49</v>
      </c>
      <c r="AQ663" s="594" t="n"/>
      <c r="AR663" s="595" t="n"/>
    </row>
    <row r="664" ht="19" customHeight="1" s="672">
      <c r="A664" s="668" t="inlineStr">
        <is>
          <t>--- DẦM CHỦ SUPER-T (15 PHIẾN L=38.2M) ---</t>
        </is>
      </c>
      <c r="B664" s="722" t="n"/>
      <c r="C664" s="722" t="n"/>
      <c r="D664" s="722" t="n"/>
      <c r="E664" s="722" t="n"/>
      <c r="F664" s="722" t="n"/>
      <c r="G664" s="722" t="n"/>
      <c r="H664" s="722" t="n"/>
      <c r="I664" s="722" t="n"/>
      <c r="J664" s="722" t="n"/>
      <c r="K664" s="722" t="n"/>
      <c r="L664" s="722" t="n"/>
      <c r="M664" s="722" t="n"/>
      <c r="N664" s="722" t="n"/>
      <c r="O664" s="722" t="n"/>
      <c r="P664" s="722" t="n"/>
      <c r="Q664" s="722" t="n"/>
      <c r="R664" s="722" t="n"/>
      <c r="S664" s="722" t="n"/>
      <c r="T664" s="722" t="n"/>
      <c r="U664" s="722" t="n"/>
      <c r="V664" s="722" t="n"/>
      <c r="W664" s="722" t="n"/>
      <c r="X664" s="722" t="n"/>
      <c r="Y664" s="722" t="n"/>
      <c r="Z664" s="722" t="n"/>
      <c r="AA664" s="722" t="n"/>
      <c r="AB664" s="722" t="n"/>
      <c r="AC664" s="722" t="n"/>
      <c r="AD664" s="722" t="n"/>
      <c r="AE664" s="722" t="n"/>
      <c r="AF664" s="722" t="n"/>
      <c r="AG664" s="722" t="n"/>
      <c r="AH664" s="722" t="n"/>
      <c r="AI664" s="722" t="n"/>
      <c r="AJ664" s="722" t="n"/>
      <c r="AK664" s="722" t="n"/>
      <c r="AL664" s="721" t="n"/>
      <c r="AQ664" s="594" t="n"/>
      <c r="AR664" s="595" t="n"/>
    </row>
    <row r="665" ht="19" customHeight="1" s="672">
      <c r="A665" s="4" t="n">
        <v>628</v>
      </c>
      <c r="B665" s="5" t="inlineStr">
        <is>
          <t>Dầm chủ Super-T (15 phiến L=38.2m)</t>
        </is>
      </c>
      <c r="C665" s="5" t="inlineStr">
        <is>
          <t>Dầm S1B1 (tr.88)</t>
        </is>
      </c>
      <c r="D665" s="14" t="inlineStr">
        <is>
          <t>G1a</t>
        </is>
      </c>
      <c r="E665" s="15" t="n">
        <v>16</v>
      </c>
      <c r="F665" s="4" t="inlineStr">
        <is>
          <t>CB400-V</t>
        </is>
      </c>
      <c r="G665" s="5" t="inlineStr">
        <is>
          <t>S06</t>
        </is>
      </c>
      <c r="H665" s="16" t="n">
        <v>5.056</v>
      </c>
      <c r="I665" s="17" t="n">
        <v>288</v>
      </c>
      <c r="J665" s="18" t="n">
        <v>1.578</v>
      </c>
      <c r="K665" s="7">
        <f>ROUND(H665*I665*J665, 2)</f>
        <v/>
      </c>
      <c r="L665" s="19">
        <f>ROUND(K665/1000, 3)</f>
        <v/>
      </c>
      <c r="M665" s="728">
        <f>IF(AO665="","",IF(N(INDEX(Theo_Doi_Tan_Suat_Be_Tong!$C:$C,AO665))&lt;=0,"",INDEX(Theo_Doi_Tan_Suat_Be_Tong!$C:$C,AO665)-VLOOKUP(AN665,$AQ$2:$AR$7,2,FALSE)))</f>
        <v/>
      </c>
      <c r="N665" s="4" t="n"/>
      <c r="O665" s="20">
        <f>IF(ROUNDUP(S665/20,0)&gt;ROUNDUP(S663/20,0),"TN Ø16 (Lần " &amp; ROUNDUP(S665/20,0) &amp; ")","")</f>
        <v/>
      </c>
      <c r="P665" s="16">
        <f>ROUND(P663+IF(AND(E665&lt;=10,F665&lt;&gt;"ASTM A416"),L665,0),3)</f>
        <v/>
      </c>
      <c r="Q665" s="16">
        <f>ROUND(Q663+IF(AND(E665=12,F665&lt;&gt;"ASTM A416"),L665,0),3)</f>
        <v/>
      </c>
      <c r="R665" s="16">
        <f>ROUND(R663+IF(AND(E665=14,F665&lt;&gt;"ASTM A416"),L665,0),3)</f>
        <v/>
      </c>
      <c r="S665" s="16">
        <f>ROUND(S663+IF(AND(E665=16,F665&lt;&gt;"ASTM A416"),L665,0),3)</f>
        <v/>
      </c>
      <c r="T665" s="16">
        <f>ROUND(T663+IF(AND(E665=18,F665&lt;&gt;"ASTM A416"),L665,0),3)</f>
        <v/>
      </c>
      <c r="U665" s="16">
        <f>ROUND(U663+IF(AND(E665=20,F665&lt;&gt;"ASTM A416"),L665,0),3)</f>
        <v/>
      </c>
      <c r="V665" s="16">
        <f>ROUND(V663+IF(AND(E665=22,F665&lt;&gt;"ASTM A416"),L665,0),3)</f>
        <v/>
      </c>
      <c r="W665" s="16">
        <f>ROUND(W663+IF(AND(E665=25,F665&lt;&gt;"ASTM A416"),L665,0),3)</f>
        <v/>
      </c>
      <c r="X665" s="16">
        <f>ROUND(X663+IF(AND(E665=28,F665&lt;&gt;"ASTM A416"),L665,0),3)</f>
        <v/>
      </c>
      <c r="Y665" s="16">
        <f>ROUND(Y663+IF(AND(E665=32,F665&lt;&gt;"ASTM A416"),L665,0),3)</f>
        <v/>
      </c>
      <c r="Z665" s="16">
        <f>ROUND(Z663+IF(F665="ASTM A416",L665,0),3)</f>
        <v/>
      </c>
      <c r="AA665" s="9">
        <f>IF(ROUNDUP(P665/20,0)&gt;ROUNDUP(P663/20,0),"Lần " &amp; ROUNDUP(P665/20,0),"")</f>
        <v/>
      </c>
      <c r="AB665" s="9">
        <f>IF(ROUNDUP(Q665/20,0)&gt;ROUNDUP(Q663/20,0),"Lần " &amp; ROUNDUP(Q665/20,0),"")</f>
        <v/>
      </c>
      <c r="AC665" s="9">
        <f>IF(ROUNDUP(R665/20,0)&gt;ROUNDUP(R663/20,0),"Lần " &amp; ROUNDUP(R665/20,0),"")</f>
        <v/>
      </c>
      <c r="AD665" s="9">
        <f>IF(ROUNDUP(S665/20,0)&gt;ROUNDUP(S663/20,0),"Lần " &amp; ROUNDUP(S665/20,0),"")</f>
        <v/>
      </c>
      <c r="AE665" s="9">
        <f>IF(ROUNDUP(T665/20,0)&gt;ROUNDUP(T663/20,0),"Lần " &amp; ROUNDUP(T665/20,0),"")</f>
        <v/>
      </c>
      <c r="AF665" s="9">
        <f>IF(ROUNDUP(U665/20,0)&gt;ROUNDUP(U663/20,0),"Lần " &amp; ROUNDUP(U665/20,0),"")</f>
        <v/>
      </c>
      <c r="AG665" s="9">
        <f>IF(ROUNDUP(V665/20,0)&gt;ROUNDUP(V663/20,0),"Lần " &amp; ROUNDUP(V665/20,0),"")</f>
        <v/>
      </c>
      <c r="AH665" s="9">
        <f>IF(ROUNDUP(W665/20,0)&gt;ROUNDUP(W663/20,0),"Lần " &amp; ROUNDUP(W665/20,0),"")</f>
        <v/>
      </c>
      <c r="AI665" s="9">
        <f>IF(ROUNDUP(X665/20,0)&gt;ROUNDUP(X663/20,0),"Lần " &amp; ROUNDUP(X665/20,0),"")</f>
        <v/>
      </c>
      <c r="AJ665" s="9">
        <f>IF(ROUNDUP(Y665/20,0)&gt;ROUNDUP(Y663/20,0),"Lần " &amp; ROUNDUP(Y665/20,0),"")</f>
        <v/>
      </c>
      <c r="AK665" s="9">
        <f>IF(ROUNDUP(Z665/20,0)&gt;ROUNDUP(Z663/20,0),"Lần " &amp; ROUNDUP(Z665/20,0),"")</f>
        <v/>
      </c>
      <c r="AL665" s="4" t="n"/>
      <c r="AN665" s="596" t="inlineStr">
        <is>
          <t>Dam</t>
        </is>
      </c>
      <c r="AO665" s="596" t="n">
        <v>59</v>
      </c>
      <c r="AQ665" s="594" t="n"/>
      <c r="AR665" s="595" t="n"/>
    </row>
    <row r="666" ht="19" customHeight="1" s="672">
      <c r="A666" s="4" t="n">
        <v>629</v>
      </c>
      <c r="B666" s="5" t="inlineStr">
        <is>
          <t>Dầm chủ Super-T (15 phiến L=38.2m)</t>
        </is>
      </c>
      <c r="C666" s="5" t="inlineStr">
        <is>
          <t>Dầm S1B1 (tr.88)</t>
        </is>
      </c>
      <c r="D666" s="14" t="inlineStr">
        <is>
          <t>G1b</t>
        </is>
      </c>
      <c r="E666" s="15" t="n">
        <v>12</v>
      </c>
      <c r="F666" s="4" t="inlineStr">
        <is>
          <t>CB400-V</t>
        </is>
      </c>
      <c r="G666" s="5" t="inlineStr">
        <is>
          <t>S06</t>
        </is>
      </c>
      <c r="H666" s="16" t="n">
        <v>5.075</v>
      </c>
      <c r="I666" s="17" t="n">
        <v>250</v>
      </c>
      <c r="J666" s="18" t="n">
        <v>0.888</v>
      </c>
      <c r="K666" s="7">
        <f>ROUND(H666*I666*J666, 2)</f>
        <v/>
      </c>
      <c r="L666" s="19">
        <f>ROUND(K666/1000, 3)</f>
        <v/>
      </c>
      <c r="M666" s="728">
        <f>IF(AO666="","",IF(N(INDEX(Theo_Doi_Tan_Suat_Be_Tong!$C:$C,AO666))&lt;=0,"",INDEX(Theo_Doi_Tan_Suat_Be_Tong!$C:$C,AO666)-VLOOKUP(AN666,$AQ$2:$AR$7,2,FALSE)))</f>
        <v/>
      </c>
      <c r="N666" s="4" t="n"/>
      <c r="O666" s="20">
        <f>IF(ROUNDUP(Q666/20,0)&gt;ROUNDUP(Q665/20,0),"TN Ø12 (Lần " &amp; ROUNDUP(Q666/20,0) &amp; ")","")</f>
        <v/>
      </c>
      <c r="P666" s="16">
        <f>ROUND(P665+IF(AND(E666&lt;=10,F666&lt;&gt;"ASTM A416"),L666,0),3)</f>
        <v/>
      </c>
      <c r="Q666" s="16">
        <f>ROUND(Q665+IF(AND(E666=12,F666&lt;&gt;"ASTM A416"),L666,0),3)</f>
        <v/>
      </c>
      <c r="R666" s="16">
        <f>ROUND(R665+IF(AND(E666=14,F666&lt;&gt;"ASTM A416"),L666,0),3)</f>
        <v/>
      </c>
      <c r="S666" s="16">
        <f>ROUND(S665+IF(AND(E666=16,F666&lt;&gt;"ASTM A416"),L666,0),3)</f>
        <v/>
      </c>
      <c r="T666" s="16">
        <f>ROUND(T665+IF(AND(E666=18,F666&lt;&gt;"ASTM A416"),L666,0),3)</f>
        <v/>
      </c>
      <c r="U666" s="16">
        <f>ROUND(U665+IF(AND(E666=20,F666&lt;&gt;"ASTM A416"),L666,0),3)</f>
        <v/>
      </c>
      <c r="V666" s="16">
        <f>ROUND(V665+IF(AND(E666=22,F666&lt;&gt;"ASTM A416"),L666,0),3)</f>
        <v/>
      </c>
      <c r="W666" s="16">
        <f>ROUND(W665+IF(AND(E666=25,F666&lt;&gt;"ASTM A416"),L666,0),3)</f>
        <v/>
      </c>
      <c r="X666" s="16">
        <f>ROUND(X665+IF(AND(E666=28,F666&lt;&gt;"ASTM A416"),L666,0),3)</f>
        <v/>
      </c>
      <c r="Y666" s="16">
        <f>ROUND(Y665+IF(AND(E666=32,F666&lt;&gt;"ASTM A416"),L666,0),3)</f>
        <v/>
      </c>
      <c r="Z666" s="16">
        <f>ROUND(Z665+IF(F666="ASTM A416",L666,0),3)</f>
        <v/>
      </c>
      <c r="AA666" s="9">
        <f>IF(ROUNDUP(P666/20,0)&gt;ROUNDUP(P665/20,0),"Lần " &amp; ROUNDUP(P666/20,0),"")</f>
        <v/>
      </c>
      <c r="AB666" s="9">
        <f>IF(ROUNDUP(Q666/20,0)&gt;ROUNDUP(Q665/20,0),"Lần " &amp; ROUNDUP(Q666/20,0),"")</f>
        <v/>
      </c>
      <c r="AC666" s="9">
        <f>IF(ROUNDUP(R666/20,0)&gt;ROUNDUP(R665/20,0),"Lần " &amp; ROUNDUP(R666/20,0),"")</f>
        <v/>
      </c>
      <c r="AD666" s="9">
        <f>IF(ROUNDUP(S666/20,0)&gt;ROUNDUP(S665/20,0),"Lần " &amp; ROUNDUP(S666/20,0),"")</f>
        <v/>
      </c>
      <c r="AE666" s="9">
        <f>IF(ROUNDUP(T666/20,0)&gt;ROUNDUP(T665/20,0),"Lần " &amp; ROUNDUP(T666/20,0),"")</f>
        <v/>
      </c>
      <c r="AF666" s="9">
        <f>IF(ROUNDUP(U666/20,0)&gt;ROUNDUP(U665/20,0),"Lần " &amp; ROUNDUP(U666/20,0),"")</f>
        <v/>
      </c>
      <c r="AG666" s="9">
        <f>IF(ROUNDUP(V666/20,0)&gt;ROUNDUP(V665/20,0),"Lần " &amp; ROUNDUP(V666/20,0),"")</f>
        <v/>
      </c>
      <c r="AH666" s="9">
        <f>IF(ROUNDUP(W666/20,0)&gt;ROUNDUP(W665/20,0),"Lần " &amp; ROUNDUP(W666/20,0),"")</f>
        <v/>
      </c>
      <c r="AI666" s="9">
        <f>IF(ROUNDUP(X666/20,0)&gt;ROUNDUP(X665/20,0),"Lần " &amp; ROUNDUP(X666/20,0),"")</f>
        <v/>
      </c>
      <c r="AJ666" s="9">
        <f>IF(ROUNDUP(Y666/20,0)&gt;ROUNDUP(Y665/20,0),"Lần " &amp; ROUNDUP(Y666/20,0),"")</f>
        <v/>
      </c>
      <c r="AK666" s="9">
        <f>IF(ROUNDUP(Z666/20,0)&gt;ROUNDUP(Z665/20,0),"Lần " &amp; ROUNDUP(Z666/20,0),"")</f>
        <v/>
      </c>
      <c r="AL666" s="4" t="n"/>
      <c r="AN666" s="596" t="inlineStr">
        <is>
          <t>Dam</t>
        </is>
      </c>
      <c r="AO666" s="596" t="n">
        <v>59</v>
      </c>
      <c r="AQ666" s="594" t="n"/>
      <c r="AR666" s="595" t="n"/>
    </row>
    <row r="667" ht="19" customHeight="1" s="672">
      <c r="A667" s="4" t="n">
        <v>630</v>
      </c>
      <c r="B667" s="5" t="inlineStr">
        <is>
          <t>Dầm chủ Super-T (15 phiến L=38.2m)</t>
        </is>
      </c>
      <c r="C667" s="5" t="inlineStr">
        <is>
          <t>Dầm S1B1 (tr.88)</t>
        </is>
      </c>
      <c r="D667" s="14" t="inlineStr">
        <is>
          <t>G2</t>
        </is>
      </c>
      <c r="E667" s="15" t="n">
        <v>12</v>
      </c>
      <c r="F667" s="4" t="inlineStr">
        <is>
          <t>CB400-V</t>
        </is>
      </c>
      <c r="G667" s="5" t="inlineStr">
        <is>
          <t>S06</t>
        </is>
      </c>
      <c r="H667" s="16" t="n">
        <v>1.184</v>
      </c>
      <c r="I667" s="17" t="n">
        <v>510</v>
      </c>
      <c r="J667" s="18" t="n">
        <v>0.888</v>
      </c>
      <c r="K667" s="7">
        <f>ROUND(H667*I667*J667, 2)</f>
        <v/>
      </c>
      <c r="L667" s="19">
        <f>ROUND(K667/1000, 3)</f>
        <v/>
      </c>
      <c r="M667" s="728">
        <f>IF(AO667="","",IF(N(INDEX(Theo_Doi_Tan_Suat_Be_Tong!$C:$C,AO667))&lt;=0,"",INDEX(Theo_Doi_Tan_Suat_Be_Tong!$C:$C,AO667)-VLOOKUP(AN667,$AQ$2:$AR$7,2,FALSE)))</f>
        <v/>
      </c>
      <c r="N667" s="4" t="n"/>
      <c r="O667" s="20">
        <f>IF(ROUNDUP(Q667/20,0)&gt;ROUNDUP(Q666/20,0),"TN Ø12 (Lần " &amp; ROUNDUP(Q667/20,0) &amp; ")","")</f>
        <v/>
      </c>
      <c r="P667" s="16">
        <f>ROUND(P666+IF(AND(E667&lt;=10,F667&lt;&gt;"ASTM A416"),L667,0),3)</f>
        <v/>
      </c>
      <c r="Q667" s="16">
        <f>ROUND(Q666+IF(AND(E667=12,F667&lt;&gt;"ASTM A416"),L667,0),3)</f>
        <v/>
      </c>
      <c r="R667" s="16">
        <f>ROUND(R666+IF(AND(E667=14,F667&lt;&gt;"ASTM A416"),L667,0),3)</f>
        <v/>
      </c>
      <c r="S667" s="16">
        <f>ROUND(S666+IF(AND(E667=16,F667&lt;&gt;"ASTM A416"),L667,0),3)</f>
        <v/>
      </c>
      <c r="T667" s="16">
        <f>ROUND(T666+IF(AND(E667=18,F667&lt;&gt;"ASTM A416"),L667,0),3)</f>
        <v/>
      </c>
      <c r="U667" s="16">
        <f>ROUND(U666+IF(AND(E667=20,F667&lt;&gt;"ASTM A416"),L667,0),3)</f>
        <v/>
      </c>
      <c r="V667" s="16">
        <f>ROUND(V666+IF(AND(E667=22,F667&lt;&gt;"ASTM A416"),L667,0),3)</f>
        <v/>
      </c>
      <c r="W667" s="16">
        <f>ROUND(W666+IF(AND(E667=25,F667&lt;&gt;"ASTM A416"),L667,0),3)</f>
        <v/>
      </c>
      <c r="X667" s="16">
        <f>ROUND(X666+IF(AND(E667=28,F667&lt;&gt;"ASTM A416"),L667,0),3)</f>
        <v/>
      </c>
      <c r="Y667" s="16">
        <f>ROUND(Y666+IF(AND(E667=32,F667&lt;&gt;"ASTM A416"),L667,0),3)</f>
        <v/>
      </c>
      <c r="Z667" s="16">
        <f>ROUND(Z666+IF(F667="ASTM A416",L667,0),3)</f>
        <v/>
      </c>
      <c r="AA667" s="9">
        <f>IF(ROUNDUP(P667/20,0)&gt;ROUNDUP(P666/20,0),"Lần " &amp; ROUNDUP(P667/20,0),"")</f>
        <v/>
      </c>
      <c r="AB667" s="9">
        <f>IF(ROUNDUP(Q667/20,0)&gt;ROUNDUP(Q666/20,0),"Lần " &amp; ROUNDUP(Q667/20,0),"")</f>
        <v/>
      </c>
      <c r="AC667" s="9">
        <f>IF(ROUNDUP(R667/20,0)&gt;ROUNDUP(R666/20,0),"Lần " &amp; ROUNDUP(R667/20,0),"")</f>
        <v/>
      </c>
      <c r="AD667" s="9">
        <f>IF(ROUNDUP(S667/20,0)&gt;ROUNDUP(S666/20,0),"Lần " &amp; ROUNDUP(S667/20,0),"")</f>
        <v/>
      </c>
      <c r="AE667" s="9">
        <f>IF(ROUNDUP(T667/20,0)&gt;ROUNDUP(T666/20,0),"Lần " &amp; ROUNDUP(T667/20,0),"")</f>
        <v/>
      </c>
      <c r="AF667" s="9">
        <f>IF(ROUNDUP(U667/20,0)&gt;ROUNDUP(U666/20,0),"Lần " &amp; ROUNDUP(U667/20,0),"")</f>
        <v/>
      </c>
      <c r="AG667" s="9">
        <f>IF(ROUNDUP(V667/20,0)&gt;ROUNDUP(V666/20,0),"Lần " &amp; ROUNDUP(V667/20,0),"")</f>
        <v/>
      </c>
      <c r="AH667" s="9">
        <f>IF(ROUNDUP(W667/20,0)&gt;ROUNDUP(W666/20,0),"Lần " &amp; ROUNDUP(W667/20,0),"")</f>
        <v/>
      </c>
      <c r="AI667" s="9">
        <f>IF(ROUNDUP(X667/20,0)&gt;ROUNDUP(X666/20,0),"Lần " &amp; ROUNDUP(X667/20,0),"")</f>
        <v/>
      </c>
      <c r="AJ667" s="9">
        <f>IF(ROUNDUP(Y667/20,0)&gt;ROUNDUP(Y666/20,0),"Lần " &amp; ROUNDUP(Y667/20,0),"")</f>
        <v/>
      </c>
      <c r="AK667" s="9">
        <f>IF(ROUNDUP(Z667/20,0)&gt;ROUNDUP(Z666/20,0),"Lần " &amp; ROUNDUP(Z667/20,0),"")</f>
        <v/>
      </c>
      <c r="AL667" s="4" t="n"/>
      <c r="AN667" s="596" t="inlineStr">
        <is>
          <t>Dam</t>
        </is>
      </c>
      <c r="AO667" s="596" t="n">
        <v>59</v>
      </c>
      <c r="AQ667" s="594" t="n"/>
      <c r="AR667" s="595" t="n"/>
    </row>
    <row r="668" ht="19" customHeight="1" s="672">
      <c r="A668" s="4" t="n">
        <v>631</v>
      </c>
      <c r="B668" s="5" t="inlineStr">
        <is>
          <t>Dầm chủ Super-T (15 phiến L=38.2m)</t>
        </is>
      </c>
      <c r="C668" s="5" t="inlineStr">
        <is>
          <t>Dầm S1B1 (tr.88)</t>
        </is>
      </c>
      <c r="D668" s="14" t="inlineStr">
        <is>
          <t>G2a</t>
        </is>
      </c>
      <c r="E668" s="15" t="n">
        <v>12</v>
      </c>
      <c r="F668" s="4" t="inlineStr">
        <is>
          <t>CB400-V</t>
        </is>
      </c>
      <c r="G668" s="5" t="inlineStr">
        <is>
          <t>S06</t>
        </is>
      </c>
      <c r="H668" s="16" t="n">
        <v>1.309</v>
      </c>
      <c r="I668" s="17" t="n">
        <v>538</v>
      </c>
      <c r="J668" s="18" t="n">
        <v>0.888</v>
      </c>
      <c r="K668" s="7">
        <f>ROUND(H668*I668*J668, 2)</f>
        <v/>
      </c>
      <c r="L668" s="19">
        <f>ROUND(K668/1000, 3)</f>
        <v/>
      </c>
      <c r="M668" s="728">
        <f>IF(AO668="","",IF(N(INDEX(Theo_Doi_Tan_Suat_Be_Tong!$C:$C,AO668))&lt;=0,"",INDEX(Theo_Doi_Tan_Suat_Be_Tong!$C:$C,AO668)-VLOOKUP(AN668,$AQ$2:$AR$7,2,FALSE)))</f>
        <v/>
      </c>
      <c r="N668" s="4" t="n"/>
      <c r="O668" s="20">
        <f>IF(ROUNDUP(Q668/20,0)&gt;ROUNDUP(Q667/20,0),"TN Ø12 (Lần " &amp; ROUNDUP(Q668/20,0) &amp; ")","")</f>
        <v/>
      </c>
      <c r="P668" s="16">
        <f>ROUND(P667+IF(AND(E668&lt;=10,F668&lt;&gt;"ASTM A416"),L668,0),3)</f>
        <v/>
      </c>
      <c r="Q668" s="16">
        <f>ROUND(Q667+IF(AND(E668=12,F668&lt;&gt;"ASTM A416"),L668,0),3)</f>
        <v/>
      </c>
      <c r="R668" s="16">
        <f>ROUND(R667+IF(AND(E668=14,F668&lt;&gt;"ASTM A416"),L668,0),3)</f>
        <v/>
      </c>
      <c r="S668" s="16">
        <f>ROUND(S667+IF(AND(E668=16,F668&lt;&gt;"ASTM A416"),L668,0),3)</f>
        <v/>
      </c>
      <c r="T668" s="16">
        <f>ROUND(T667+IF(AND(E668=18,F668&lt;&gt;"ASTM A416"),L668,0),3)</f>
        <v/>
      </c>
      <c r="U668" s="16">
        <f>ROUND(U667+IF(AND(E668=20,F668&lt;&gt;"ASTM A416"),L668,0),3)</f>
        <v/>
      </c>
      <c r="V668" s="16">
        <f>ROUND(V667+IF(AND(E668=22,F668&lt;&gt;"ASTM A416"),L668,0),3)</f>
        <v/>
      </c>
      <c r="W668" s="16">
        <f>ROUND(W667+IF(AND(E668=25,F668&lt;&gt;"ASTM A416"),L668,0),3)</f>
        <v/>
      </c>
      <c r="X668" s="16">
        <f>ROUND(X667+IF(AND(E668=28,F668&lt;&gt;"ASTM A416"),L668,0),3)</f>
        <v/>
      </c>
      <c r="Y668" s="16">
        <f>ROUND(Y667+IF(AND(E668=32,F668&lt;&gt;"ASTM A416"),L668,0),3)</f>
        <v/>
      </c>
      <c r="Z668" s="16">
        <f>ROUND(Z667+IF(F668="ASTM A416",L668,0),3)</f>
        <v/>
      </c>
      <c r="AA668" s="9">
        <f>IF(ROUNDUP(P668/20,0)&gt;ROUNDUP(P667/20,0),"Lần " &amp; ROUNDUP(P668/20,0),"")</f>
        <v/>
      </c>
      <c r="AB668" s="9">
        <f>IF(ROUNDUP(Q668/20,0)&gt;ROUNDUP(Q667/20,0),"Lần " &amp; ROUNDUP(Q668/20,0),"")</f>
        <v/>
      </c>
      <c r="AC668" s="9">
        <f>IF(ROUNDUP(R668/20,0)&gt;ROUNDUP(R667/20,0),"Lần " &amp; ROUNDUP(R668/20,0),"")</f>
        <v/>
      </c>
      <c r="AD668" s="9">
        <f>IF(ROUNDUP(S668/20,0)&gt;ROUNDUP(S667/20,0),"Lần " &amp; ROUNDUP(S668/20,0),"")</f>
        <v/>
      </c>
      <c r="AE668" s="9">
        <f>IF(ROUNDUP(T668/20,0)&gt;ROUNDUP(T667/20,0),"Lần " &amp; ROUNDUP(T668/20,0),"")</f>
        <v/>
      </c>
      <c r="AF668" s="9">
        <f>IF(ROUNDUP(U668/20,0)&gt;ROUNDUP(U667/20,0),"Lần " &amp; ROUNDUP(U668/20,0),"")</f>
        <v/>
      </c>
      <c r="AG668" s="9">
        <f>IF(ROUNDUP(V668/20,0)&gt;ROUNDUP(V667/20,0),"Lần " &amp; ROUNDUP(V668/20,0),"")</f>
        <v/>
      </c>
      <c r="AH668" s="9">
        <f>IF(ROUNDUP(W668/20,0)&gt;ROUNDUP(W667/20,0),"Lần " &amp; ROUNDUP(W668/20,0),"")</f>
        <v/>
      </c>
      <c r="AI668" s="9">
        <f>IF(ROUNDUP(X668/20,0)&gt;ROUNDUP(X667/20,0),"Lần " &amp; ROUNDUP(X668/20,0),"")</f>
        <v/>
      </c>
      <c r="AJ668" s="9">
        <f>IF(ROUNDUP(Y668/20,0)&gt;ROUNDUP(Y667/20,0),"Lần " &amp; ROUNDUP(Y668/20,0),"")</f>
        <v/>
      </c>
      <c r="AK668" s="9">
        <f>IF(ROUNDUP(Z668/20,0)&gt;ROUNDUP(Z667/20,0),"Lần " &amp; ROUNDUP(Z668/20,0),"")</f>
        <v/>
      </c>
      <c r="AL668" s="4" t="n"/>
      <c r="AN668" s="596" t="inlineStr">
        <is>
          <t>Dam</t>
        </is>
      </c>
      <c r="AO668" s="596" t="n">
        <v>59</v>
      </c>
      <c r="AQ668" s="594" t="n"/>
      <c r="AR668" s="595" t="n"/>
    </row>
    <row r="669" ht="19" customHeight="1" s="672">
      <c r="A669" s="4" t="n">
        <v>632</v>
      </c>
      <c r="B669" s="5" t="inlineStr">
        <is>
          <t>Dầm chủ Super-T (15 phiến L=38.2m)</t>
        </is>
      </c>
      <c r="C669" s="5" t="inlineStr">
        <is>
          <t>Dầm S1B1 (tr.88)</t>
        </is>
      </c>
      <c r="D669" s="14" t="inlineStr">
        <is>
          <t>G3</t>
        </is>
      </c>
      <c r="E669" s="15" t="n">
        <v>12</v>
      </c>
      <c r="F669" s="4" t="inlineStr">
        <is>
          <t>CB400-V</t>
        </is>
      </c>
      <c r="G669" s="5" t="inlineStr">
        <is>
          <t>S06</t>
        </is>
      </c>
      <c r="H669" s="16" t="n">
        <v>1.259</v>
      </c>
      <c r="I669" s="17" t="n">
        <v>538</v>
      </c>
      <c r="J669" s="18" t="n">
        <v>0.888</v>
      </c>
      <c r="K669" s="7">
        <f>ROUND(H669*I669*J669, 2)</f>
        <v/>
      </c>
      <c r="L669" s="19">
        <f>ROUND(K669/1000, 3)</f>
        <v/>
      </c>
      <c r="M669" s="728">
        <f>IF(AO669="","",IF(N(INDEX(Theo_Doi_Tan_Suat_Be_Tong!$C:$C,AO669))&lt;=0,"",INDEX(Theo_Doi_Tan_Suat_Be_Tong!$C:$C,AO669)-VLOOKUP(AN669,$AQ$2:$AR$7,2,FALSE)))</f>
        <v/>
      </c>
      <c r="N669" s="4" t="n"/>
      <c r="O669" s="20">
        <f>IF(ROUNDUP(Q669/20,0)&gt;ROUNDUP(Q668/20,0),"TN Ø12 (Lần " &amp; ROUNDUP(Q669/20,0) &amp; ")","")</f>
        <v/>
      </c>
      <c r="P669" s="16">
        <f>ROUND(P668+IF(AND(E669&lt;=10,F669&lt;&gt;"ASTM A416"),L669,0),3)</f>
        <v/>
      </c>
      <c r="Q669" s="16">
        <f>ROUND(Q668+IF(AND(E669=12,F669&lt;&gt;"ASTM A416"),L669,0),3)</f>
        <v/>
      </c>
      <c r="R669" s="16">
        <f>ROUND(R668+IF(AND(E669=14,F669&lt;&gt;"ASTM A416"),L669,0),3)</f>
        <v/>
      </c>
      <c r="S669" s="16">
        <f>ROUND(S668+IF(AND(E669=16,F669&lt;&gt;"ASTM A416"),L669,0),3)</f>
        <v/>
      </c>
      <c r="T669" s="16">
        <f>ROUND(T668+IF(AND(E669=18,F669&lt;&gt;"ASTM A416"),L669,0),3)</f>
        <v/>
      </c>
      <c r="U669" s="16">
        <f>ROUND(U668+IF(AND(E669=20,F669&lt;&gt;"ASTM A416"),L669,0),3)</f>
        <v/>
      </c>
      <c r="V669" s="16">
        <f>ROUND(V668+IF(AND(E669=22,F669&lt;&gt;"ASTM A416"),L669,0),3)</f>
        <v/>
      </c>
      <c r="W669" s="16">
        <f>ROUND(W668+IF(AND(E669=25,F669&lt;&gt;"ASTM A416"),L669,0),3)</f>
        <v/>
      </c>
      <c r="X669" s="16">
        <f>ROUND(X668+IF(AND(E669=28,F669&lt;&gt;"ASTM A416"),L669,0),3)</f>
        <v/>
      </c>
      <c r="Y669" s="16">
        <f>ROUND(Y668+IF(AND(E669=32,F669&lt;&gt;"ASTM A416"),L669,0),3)</f>
        <v/>
      </c>
      <c r="Z669" s="16">
        <f>ROUND(Z668+IF(F669="ASTM A416",L669,0),3)</f>
        <v/>
      </c>
      <c r="AA669" s="9">
        <f>IF(ROUNDUP(P669/20,0)&gt;ROUNDUP(P668/20,0),"Lần " &amp; ROUNDUP(P669/20,0),"")</f>
        <v/>
      </c>
      <c r="AB669" s="9">
        <f>IF(ROUNDUP(Q669/20,0)&gt;ROUNDUP(Q668/20,0),"Lần " &amp; ROUNDUP(Q669/20,0),"")</f>
        <v/>
      </c>
      <c r="AC669" s="9">
        <f>IF(ROUNDUP(R669/20,0)&gt;ROUNDUP(R668/20,0),"Lần " &amp; ROUNDUP(R669/20,0),"")</f>
        <v/>
      </c>
      <c r="AD669" s="9">
        <f>IF(ROUNDUP(S669/20,0)&gt;ROUNDUP(S668/20,0),"Lần " &amp; ROUNDUP(S669/20,0),"")</f>
        <v/>
      </c>
      <c r="AE669" s="9">
        <f>IF(ROUNDUP(T669/20,0)&gt;ROUNDUP(T668/20,0),"Lần " &amp; ROUNDUP(T669/20,0),"")</f>
        <v/>
      </c>
      <c r="AF669" s="9">
        <f>IF(ROUNDUP(U669/20,0)&gt;ROUNDUP(U668/20,0),"Lần " &amp; ROUNDUP(U669/20,0),"")</f>
        <v/>
      </c>
      <c r="AG669" s="9">
        <f>IF(ROUNDUP(V669/20,0)&gt;ROUNDUP(V668/20,0),"Lần " &amp; ROUNDUP(V669/20,0),"")</f>
        <v/>
      </c>
      <c r="AH669" s="9">
        <f>IF(ROUNDUP(W669/20,0)&gt;ROUNDUP(W668/20,0),"Lần " &amp; ROUNDUP(W669/20,0),"")</f>
        <v/>
      </c>
      <c r="AI669" s="9">
        <f>IF(ROUNDUP(X669/20,0)&gt;ROUNDUP(X668/20,0),"Lần " &amp; ROUNDUP(X669/20,0),"")</f>
        <v/>
      </c>
      <c r="AJ669" s="9">
        <f>IF(ROUNDUP(Y669/20,0)&gt;ROUNDUP(Y668/20,0),"Lần " &amp; ROUNDUP(Y669/20,0),"")</f>
        <v/>
      </c>
      <c r="AK669" s="9">
        <f>IF(ROUNDUP(Z669/20,0)&gt;ROUNDUP(Z668/20,0),"Lần " &amp; ROUNDUP(Z669/20,0),"")</f>
        <v/>
      </c>
      <c r="AL669" s="4" t="n"/>
      <c r="AN669" s="596" t="inlineStr">
        <is>
          <t>Dam</t>
        </is>
      </c>
      <c r="AO669" s="596" t="n">
        <v>59</v>
      </c>
      <c r="AQ669" s="594" t="n"/>
      <c r="AR669" s="595" t="n"/>
    </row>
    <row r="670" ht="19" customHeight="1" s="672">
      <c r="A670" s="4" t="n">
        <v>633</v>
      </c>
      <c r="B670" s="5" t="inlineStr">
        <is>
          <t>Dầm chủ Super-T (15 phiến L=38.2m)</t>
        </is>
      </c>
      <c r="C670" s="5" t="inlineStr">
        <is>
          <t>Dầm S1B1 (tr.88)</t>
        </is>
      </c>
      <c r="D670" s="14" t="inlineStr">
        <is>
          <t>G4a1</t>
        </is>
      </c>
      <c r="E670" s="15" t="n">
        <v>12</v>
      </c>
      <c r="F670" s="4" t="inlineStr">
        <is>
          <t>CB400-V</t>
        </is>
      </c>
      <c r="G670" s="5" t="inlineStr">
        <is>
          <t>S01</t>
        </is>
      </c>
      <c r="H670" s="16" t="n">
        <v>11.7</v>
      </c>
      <c r="I670" s="17" t="n">
        <v>42</v>
      </c>
      <c r="J670" s="18" t="n">
        <v>0.888</v>
      </c>
      <c r="K670" s="7">
        <f>ROUND(H670*I670*J670, 2)</f>
        <v/>
      </c>
      <c r="L670" s="19">
        <f>ROUND(K670/1000, 3)</f>
        <v/>
      </c>
      <c r="M670" s="728">
        <f>IF(AO670="","",IF(N(INDEX(Theo_Doi_Tan_Suat_Be_Tong!$C:$C,AO670))&lt;=0,"",INDEX(Theo_Doi_Tan_Suat_Be_Tong!$C:$C,AO670)-VLOOKUP(AN670,$AQ$2:$AR$7,2,FALSE)))</f>
        <v/>
      </c>
      <c r="N670" s="4" t="n"/>
      <c r="O670" s="20">
        <f>IF(ROUNDUP(Q670/20,0)&gt;ROUNDUP(Q669/20,0),"TN Ø12 (Lần " &amp; ROUNDUP(Q670/20,0) &amp; ")","")</f>
        <v/>
      </c>
      <c r="P670" s="16">
        <f>ROUND(P669+IF(AND(E670&lt;=10,F670&lt;&gt;"ASTM A416"),L670,0),3)</f>
        <v/>
      </c>
      <c r="Q670" s="16">
        <f>ROUND(Q669+IF(AND(E670=12,F670&lt;&gt;"ASTM A416"),L670,0),3)</f>
        <v/>
      </c>
      <c r="R670" s="16">
        <f>ROUND(R669+IF(AND(E670=14,F670&lt;&gt;"ASTM A416"),L670,0),3)</f>
        <v/>
      </c>
      <c r="S670" s="16">
        <f>ROUND(S669+IF(AND(E670=16,F670&lt;&gt;"ASTM A416"),L670,0),3)</f>
        <v/>
      </c>
      <c r="T670" s="16">
        <f>ROUND(T669+IF(AND(E670=18,F670&lt;&gt;"ASTM A416"),L670,0),3)</f>
        <v/>
      </c>
      <c r="U670" s="16">
        <f>ROUND(U669+IF(AND(E670=20,F670&lt;&gt;"ASTM A416"),L670,0),3)</f>
        <v/>
      </c>
      <c r="V670" s="16">
        <f>ROUND(V669+IF(AND(E670=22,F670&lt;&gt;"ASTM A416"),L670,0),3)</f>
        <v/>
      </c>
      <c r="W670" s="16">
        <f>ROUND(W669+IF(AND(E670=25,F670&lt;&gt;"ASTM A416"),L670,0),3)</f>
        <v/>
      </c>
      <c r="X670" s="16">
        <f>ROUND(X669+IF(AND(E670=28,F670&lt;&gt;"ASTM A416"),L670,0),3)</f>
        <v/>
      </c>
      <c r="Y670" s="16">
        <f>ROUND(Y669+IF(AND(E670=32,F670&lt;&gt;"ASTM A416"),L670,0),3)</f>
        <v/>
      </c>
      <c r="Z670" s="16">
        <f>ROUND(Z669+IF(F670="ASTM A416",L670,0),3)</f>
        <v/>
      </c>
      <c r="AA670" s="9">
        <f>IF(ROUNDUP(P670/20,0)&gt;ROUNDUP(P669/20,0),"Lần " &amp; ROUNDUP(P670/20,0),"")</f>
        <v/>
      </c>
      <c r="AB670" s="9">
        <f>IF(ROUNDUP(Q670/20,0)&gt;ROUNDUP(Q669/20,0),"Lần " &amp; ROUNDUP(Q670/20,0),"")</f>
        <v/>
      </c>
      <c r="AC670" s="9">
        <f>IF(ROUNDUP(R670/20,0)&gt;ROUNDUP(R669/20,0),"Lần " &amp; ROUNDUP(R670/20,0),"")</f>
        <v/>
      </c>
      <c r="AD670" s="9">
        <f>IF(ROUNDUP(S670/20,0)&gt;ROUNDUP(S669/20,0),"Lần " &amp; ROUNDUP(S670/20,0),"")</f>
        <v/>
      </c>
      <c r="AE670" s="9">
        <f>IF(ROUNDUP(T670/20,0)&gt;ROUNDUP(T669/20,0),"Lần " &amp; ROUNDUP(T670/20,0),"")</f>
        <v/>
      </c>
      <c r="AF670" s="9">
        <f>IF(ROUNDUP(U670/20,0)&gt;ROUNDUP(U669/20,0),"Lần " &amp; ROUNDUP(U670/20,0),"")</f>
        <v/>
      </c>
      <c r="AG670" s="9">
        <f>IF(ROUNDUP(V670/20,0)&gt;ROUNDUP(V669/20,0),"Lần " &amp; ROUNDUP(V670/20,0),"")</f>
        <v/>
      </c>
      <c r="AH670" s="9">
        <f>IF(ROUNDUP(W670/20,0)&gt;ROUNDUP(W669/20,0),"Lần " &amp; ROUNDUP(W670/20,0),"")</f>
        <v/>
      </c>
      <c r="AI670" s="9">
        <f>IF(ROUNDUP(X670/20,0)&gt;ROUNDUP(X669/20,0),"Lần " &amp; ROUNDUP(X670/20,0),"")</f>
        <v/>
      </c>
      <c r="AJ670" s="9">
        <f>IF(ROUNDUP(Y670/20,0)&gt;ROUNDUP(Y669/20,0),"Lần " &amp; ROUNDUP(Y670/20,0),"")</f>
        <v/>
      </c>
      <c r="AK670" s="9">
        <f>IF(ROUNDUP(Z670/20,0)&gt;ROUNDUP(Z669/20,0),"Lần " &amp; ROUNDUP(Z670/20,0),"")</f>
        <v/>
      </c>
      <c r="AL670" s="4" t="n"/>
      <c r="AN670" s="596" t="inlineStr">
        <is>
          <t>Dam</t>
        </is>
      </c>
      <c r="AO670" s="596" t="n">
        <v>59</v>
      </c>
      <c r="AQ670" s="594" t="n"/>
      <c r="AR670" s="595" t="n"/>
    </row>
    <row r="671" ht="19" customHeight="1" s="672">
      <c r="A671" s="4" t="n">
        <v>634</v>
      </c>
      <c r="B671" s="5" t="inlineStr">
        <is>
          <t>Dầm chủ Super-T (15 phiến L=38.2m)</t>
        </is>
      </c>
      <c r="C671" s="5" t="inlineStr">
        <is>
          <t>Dầm S1B1 (tr.88)</t>
        </is>
      </c>
      <c r="D671" s="14" t="inlineStr">
        <is>
          <t>G4a2</t>
        </is>
      </c>
      <c r="E671" s="15" t="n">
        <v>12</v>
      </c>
      <c r="F671" s="4" t="inlineStr">
        <is>
          <t>CB400-V</t>
        </is>
      </c>
      <c r="G671" s="5" t="inlineStr">
        <is>
          <t>S06</t>
        </is>
      </c>
      <c r="H671" s="16" t="n">
        <v>4.46</v>
      </c>
      <c r="I671" s="17" t="n">
        <v>14</v>
      </c>
      <c r="J671" s="18" t="n">
        <v>0.888</v>
      </c>
      <c r="K671" s="7">
        <f>ROUND(H671*I671*J671, 2)</f>
        <v/>
      </c>
      <c r="L671" s="19">
        <f>ROUND(K671/1000, 3)</f>
        <v/>
      </c>
      <c r="M671" s="728">
        <f>IF(AO671="","",IF(N(INDEX(Theo_Doi_Tan_Suat_Be_Tong!$C:$C,AO671))&lt;=0,"",INDEX(Theo_Doi_Tan_Suat_Be_Tong!$C:$C,AO671)-VLOOKUP(AN671,$AQ$2:$AR$7,2,FALSE)))</f>
        <v/>
      </c>
      <c r="N671" s="4" t="n"/>
      <c r="O671" s="20">
        <f>IF(ROUNDUP(Q671/20,0)&gt;ROUNDUP(Q670/20,0),"TN Ø12 (Lần " &amp; ROUNDUP(Q671/20,0) &amp; ")","")</f>
        <v/>
      </c>
      <c r="P671" s="16">
        <f>ROUND(P670+IF(AND(E671&lt;=10,F671&lt;&gt;"ASTM A416"),L671,0),3)</f>
        <v/>
      </c>
      <c r="Q671" s="16">
        <f>ROUND(Q670+IF(AND(E671=12,F671&lt;&gt;"ASTM A416"),L671,0),3)</f>
        <v/>
      </c>
      <c r="R671" s="16">
        <f>ROUND(R670+IF(AND(E671=14,F671&lt;&gt;"ASTM A416"),L671,0),3)</f>
        <v/>
      </c>
      <c r="S671" s="16">
        <f>ROUND(S670+IF(AND(E671=16,F671&lt;&gt;"ASTM A416"),L671,0),3)</f>
        <v/>
      </c>
      <c r="T671" s="16">
        <f>ROUND(T670+IF(AND(E671=18,F671&lt;&gt;"ASTM A416"),L671,0),3)</f>
        <v/>
      </c>
      <c r="U671" s="16">
        <f>ROUND(U670+IF(AND(E671=20,F671&lt;&gt;"ASTM A416"),L671,0),3)</f>
        <v/>
      </c>
      <c r="V671" s="16">
        <f>ROUND(V670+IF(AND(E671=22,F671&lt;&gt;"ASTM A416"),L671,0),3)</f>
        <v/>
      </c>
      <c r="W671" s="16">
        <f>ROUND(W670+IF(AND(E671=25,F671&lt;&gt;"ASTM A416"),L671,0),3)</f>
        <v/>
      </c>
      <c r="X671" s="16">
        <f>ROUND(X670+IF(AND(E671=28,F671&lt;&gt;"ASTM A416"),L671,0),3)</f>
        <v/>
      </c>
      <c r="Y671" s="16">
        <f>ROUND(Y670+IF(AND(E671=32,F671&lt;&gt;"ASTM A416"),L671,0),3)</f>
        <v/>
      </c>
      <c r="Z671" s="16">
        <f>ROUND(Z670+IF(F671="ASTM A416",L671,0),3)</f>
        <v/>
      </c>
      <c r="AA671" s="9">
        <f>IF(ROUNDUP(P671/20,0)&gt;ROUNDUP(P670/20,0),"Lần " &amp; ROUNDUP(P671/20,0),"")</f>
        <v/>
      </c>
      <c r="AB671" s="9">
        <f>IF(ROUNDUP(Q671/20,0)&gt;ROUNDUP(Q670/20,0),"Lần " &amp; ROUNDUP(Q671/20,0),"")</f>
        <v/>
      </c>
      <c r="AC671" s="9">
        <f>IF(ROUNDUP(R671/20,0)&gt;ROUNDUP(R670/20,0),"Lần " &amp; ROUNDUP(R671/20,0),"")</f>
        <v/>
      </c>
      <c r="AD671" s="9">
        <f>IF(ROUNDUP(S671/20,0)&gt;ROUNDUP(S670/20,0),"Lần " &amp; ROUNDUP(S671/20,0),"")</f>
        <v/>
      </c>
      <c r="AE671" s="9">
        <f>IF(ROUNDUP(T671/20,0)&gt;ROUNDUP(T670/20,0),"Lần " &amp; ROUNDUP(T671/20,0),"")</f>
        <v/>
      </c>
      <c r="AF671" s="9">
        <f>IF(ROUNDUP(U671/20,0)&gt;ROUNDUP(U670/20,0),"Lần " &amp; ROUNDUP(U671/20,0),"")</f>
        <v/>
      </c>
      <c r="AG671" s="9">
        <f>IF(ROUNDUP(V671/20,0)&gt;ROUNDUP(V670/20,0),"Lần " &amp; ROUNDUP(V671/20,0),"")</f>
        <v/>
      </c>
      <c r="AH671" s="9">
        <f>IF(ROUNDUP(W671/20,0)&gt;ROUNDUP(W670/20,0),"Lần " &amp; ROUNDUP(W671/20,0),"")</f>
        <v/>
      </c>
      <c r="AI671" s="9">
        <f>IF(ROUNDUP(X671/20,0)&gt;ROUNDUP(X670/20,0),"Lần " &amp; ROUNDUP(X671/20,0),"")</f>
        <v/>
      </c>
      <c r="AJ671" s="9">
        <f>IF(ROUNDUP(Y671/20,0)&gt;ROUNDUP(Y670/20,0),"Lần " &amp; ROUNDUP(Y671/20,0),"")</f>
        <v/>
      </c>
      <c r="AK671" s="9">
        <f>IF(ROUNDUP(Z671/20,0)&gt;ROUNDUP(Z670/20,0),"Lần " &amp; ROUNDUP(Z671/20,0),"")</f>
        <v/>
      </c>
      <c r="AL671" s="4" t="n"/>
      <c r="AN671" s="596" t="inlineStr">
        <is>
          <t>Dam</t>
        </is>
      </c>
      <c r="AO671" s="596" t="n">
        <v>59</v>
      </c>
      <c r="AQ671" s="594" t="n"/>
      <c r="AR671" s="595" t="n"/>
    </row>
    <row r="672" ht="19" customHeight="1" s="672">
      <c r="A672" s="4" t="n">
        <v>635</v>
      </c>
      <c r="B672" s="5" t="inlineStr">
        <is>
          <t>Dầm chủ Super-T (15 phiến L=38.2m)</t>
        </is>
      </c>
      <c r="C672" s="5" t="inlineStr">
        <is>
          <t>Dầm S1B1 (tr.88)</t>
        </is>
      </c>
      <c r="D672" s="14" t="inlineStr">
        <is>
          <t>G4b1</t>
        </is>
      </c>
      <c r="E672" s="15" t="n">
        <v>12</v>
      </c>
      <c r="F672" s="4" t="inlineStr">
        <is>
          <t>CB400-V</t>
        </is>
      </c>
      <c r="G672" s="5" t="inlineStr">
        <is>
          <t>S01</t>
        </is>
      </c>
      <c r="H672" s="16" t="n">
        <v>11.7</v>
      </c>
      <c r="I672" s="17" t="n">
        <v>24</v>
      </c>
      <c r="J672" s="18" t="n">
        <v>0.888</v>
      </c>
      <c r="K672" s="7">
        <f>ROUND(H672*I672*J672, 2)</f>
        <v/>
      </c>
      <c r="L672" s="19">
        <f>ROUND(K672/1000, 3)</f>
        <v/>
      </c>
      <c r="M672" s="728">
        <f>IF(AO672="","",IF(N(INDEX(Theo_Doi_Tan_Suat_Be_Tong!$C:$C,AO672))&lt;=0,"",INDEX(Theo_Doi_Tan_Suat_Be_Tong!$C:$C,AO672)-VLOOKUP(AN672,$AQ$2:$AR$7,2,FALSE)))</f>
        <v/>
      </c>
      <c r="N672" s="4" t="n"/>
      <c r="O672" s="20">
        <f>IF(ROUNDUP(Q672/20,0)&gt;ROUNDUP(Q671/20,0),"TN Ø12 (Lần " &amp; ROUNDUP(Q672/20,0) &amp; ")","")</f>
        <v/>
      </c>
      <c r="P672" s="16">
        <f>ROUND(P671+IF(AND(E672&lt;=10,F672&lt;&gt;"ASTM A416"),L672,0),3)</f>
        <v/>
      </c>
      <c r="Q672" s="16">
        <f>ROUND(Q671+IF(AND(E672=12,F672&lt;&gt;"ASTM A416"),L672,0),3)</f>
        <v/>
      </c>
      <c r="R672" s="16">
        <f>ROUND(R671+IF(AND(E672=14,F672&lt;&gt;"ASTM A416"),L672,0),3)</f>
        <v/>
      </c>
      <c r="S672" s="16">
        <f>ROUND(S671+IF(AND(E672=16,F672&lt;&gt;"ASTM A416"),L672,0),3)</f>
        <v/>
      </c>
      <c r="T672" s="16">
        <f>ROUND(T671+IF(AND(E672=18,F672&lt;&gt;"ASTM A416"),L672,0),3)</f>
        <v/>
      </c>
      <c r="U672" s="16">
        <f>ROUND(U671+IF(AND(E672=20,F672&lt;&gt;"ASTM A416"),L672,0),3)</f>
        <v/>
      </c>
      <c r="V672" s="16">
        <f>ROUND(V671+IF(AND(E672=22,F672&lt;&gt;"ASTM A416"),L672,0),3)</f>
        <v/>
      </c>
      <c r="W672" s="16">
        <f>ROUND(W671+IF(AND(E672=25,F672&lt;&gt;"ASTM A416"),L672,0),3)</f>
        <v/>
      </c>
      <c r="X672" s="16">
        <f>ROUND(X671+IF(AND(E672=28,F672&lt;&gt;"ASTM A416"),L672,0),3)</f>
        <v/>
      </c>
      <c r="Y672" s="16">
        <f>ROUND(Y671+IF(AND(E672=32,F672&lt;&gt;"ASTM A416"),L672,0),3)</f>
        <v/>
      </c>
      <c r="Z672" s="16">
        <f>ROUND(Z671+IF(F672="ASTM A416",L672,0),3)</f>
        <v/>
      </c>
      <c r="AA672" s="9">
        <f>IF(ROUNDUP(P672/20,0)&gt;ROUNDUP(P671/20,0),"Lần " &amp; ROUNDUP(P672/20,0),"")</f>
        <v/>
      </c>
      <c r="AB672" s="9">
        <f>IF(ROUNDUP(Q672/20,0)&gt;ROUNDUP(Q671/20,0),"Lần " &amp; ROUNDUP(Q672/20,0),"")</f>
        <v/>
      </c>
      <c r="AC672" s="9">
        <f>IF(ROUNDUP(R672/20,0)&gt;ROUNDUP(R671/20,0),"Lần " &amp; ROUNDUP(R672/20,0),"")</f>
        <v/>
      </c>
      <c r="AD672" s="9">
        <f>IF(ROUNDUP(S672/20,0)&gt;ROUNDUP(S671/20,0),"Lần " &amp; ROUNDUP(S672/20,0),"")</f>
        <v/>
      </c>
      <c r="AE672" s="9">
        <f>IF(ROUNDUP(T672/20,0)&gt;ROUNDUP(T671/20,0),"Lần " &amp; ROUNDUP(T672/20,0),"")</f>
        <v/>
      </c>
      <c r="AF672" s="9">
        <f>IF(ROUNDUP(U672/20,0)&gt;ROUNDUP(U671/20,0),"Lần " &amp; ROUNDUP(U672/20,0),"")</f>
        <v/>
      </c>
      <c r="AG672" s="9">
        <f>IF(ROUNDUP(V672/20,0)&gt;ROUNDUP(V671/20,0),"Lần " &amp; ROUNDUP(V672/20,0),"")</f>
        <v/>
      </c>
      <c r="AH672" s="9">
        <f>IF(ROUNDUP(W672/20,0)&gt;ROUNDUP(W671/20,0),"Lần " &amp; ROUNDUP(W672/20,0),"")</f>
        <v/>
      </c>
      <c r="AI672" s="9">
        <f>IF(ROUNDUP(X672/20,0)&gt;ROUNDUP(X671/20,0),"Lần " &amp; ROUNDUP(X672/20,0),"")</f>
        <v/>
      </c>
      <c r="AJ672" s="9">
        <f>IF(ROUNDUP(Y672/20,0)&gt;ROUNDUP(Y671/20,0),"Lần " &amp; ROUNDUP(Y672/20,0),"")</f>
        <v/>
      </c>
      <c r="AK672" s="9">
        <f>IF(ROUNDUP(Z672/20,0)&gt;ROUNDUP(Z671/20,0),"Lần " &amp; ROUNDUP(Z672/20,0),"")</f>
        <v/>
      </c>
      <c r="AL672" s="4" t="n"/>
      <c r="AN672" s="596" t="inlineStr">
        <is>
          <t>Dam</t>
        </is>
      </c>
      <c r="AO672" s="596" t="n">
        <v>59</v>
      </c>
      <c r="AQ672" s="594" t="n"/>
      <c r="AR672" s="595" t="n"/>
    </row>
    <row r="673" ht="19" customHeight="1" s="672">
      <c r="A673" s="4" t="n">
        <v>636</v>
      </c>
      <c r="B673" s="5" t="inlineStr">
        <is>
          <t>Dầm chủ Super-T (15 phiến L=38.2m)</t>
        </is>
      </c>
      <c r="C673" s="5" t="inlineStr">
        <is>
          <t>Dầm S1B1 (tr.88)</t>
        </is>
      </c>
      <c r="D673" s="14" t="inlineStr">
        <is>
          <t>G4b2</t>
        </is>
      </c>
      <c r="E673" s="15" t="n">
        <v>12</v>
      </c>
      <c r="F673" s="4" t="inlineStr">
        <is>
          <t>CB400-V</t>
        </is>
      </c>
      <c r="G673" s="5" t="inlineStr">
        <is>
          <t>S06</t>
        </is>
      </c>
      <c r="H673" s="16" t="n">
        <v>3.06</v>
      </c>
      <c r="I673" s="17" t="n">
        <v>8</v>
      </c>
      <c r="J673" s="18" t="n">
        <v>0.888</v>
      </c>
      <c r="K673" s="7">
        <f>ROUND(H673*I673*J673, 2)</f>
        <v/>
      </c>
      <c r="L673" s="19">
        <f>ROUND(K673/1000, 3)</f>
        <v/>
      </c>
      <c r="M673" s="728">
        <f>IF(AO673="","",IF(N(INDEX(Theo_Doi_Tan_Suat_Be_Tong!$C:$C,AO673))&lt;=0,"",INDEX(Theo_Doi_Tan_Suat_Be_Tong!$C:$C,AO673)-VLOOKUP(AN673,$AQ$2:$AR$7,2,FALSE)))</f>
        <v/>
      </c>
      <c r="N673" s="4" t="n"/>
      <c r="O673" s="20">
        <f>IF(ROUNDUP(Q673/20,0)&gt;ROUNDUP(Q672/20,0),"TN Ø12 (Lần " &amp; ROUNDUP(Q673/20,0) &amp; ")","")</f>
        <v/>
      </c>
      <c r="P673" s="16">
        <f>ROUND(P672+IF(AND(E673&lt;=10,F673&lt;&gt;"ASTM A416"),L673,0),3)</f>
        <v/>
      </c>
      <c r="Q673" s="16">
        <f>ROUND(Q672+IF(AND(E673=12,F673&lt;&gt;"ASTM A416"),L673,0),3)</f>
        <v/>
      </c>
      <c r="R673" s="16">
        <f>ROUND(R672+IF(AND(E673=14,F673&lt;&gt;"ASTM A416"),L673,0),3)</f>
        <v/>
      </c>
      <c r="S673" s="16">
        <f>ROUND(S672+IF(AND(E673=16,F673&lt;&gt;"ASTM A416"),L673,0),3)</f>
        <v/>
      </c>
      <c r="T673" s="16">
        <f>ROUND(T672+IF(AND(E673=18,F673&lt;&gt;"ASTM A416"),L673,0),3)</f>
        <v/>
      </c>
      <c r="U673" s="16">
        <f>ROUND(U672+IF(AND(E673=20,F673&lt;&gt;"ASTM A416"),L673,0),3)</f>
        <v/>
      </c>
      <c r="V673" s="16">
        <f>ROUND(V672+IF(AND(E673=22,F673&lt;&gt;"ASTM A416"),L673,0),3)</f>
        <v/>
      </c>
      <c r="W673" s="16">
        <f>ROUND(W672+IF(AND(E673=25,F673&lt;&gt;"ASTM A416"),L673,0),3)</f>
        <v/>
      </c>
      <c r="X673" s="16">
        <f>ROUND(X672+IF(AND(E673=28,F673&lt;&gt;"ASTM A416"),L673,0),3)</f>
        <v/>
      </c>
      <c r="Y673" s="16">
        <f>ROUND(Y672+IF(AND(E673=32,F673&lt;&gt;"ASTM A416"),L673,0),3)</f>
        <v/>
      </c>
      <c r="Z673" s="16">
        <f>ROUND(Z672+IF(F673="ASTM A416",L673,0),3)</f>
        <v/>
      </c>
      <c r="AA673" s="9">
        <f>IF(ROUNDUP(P673/20,0)&gt;ROUNDUP(P672/20,0),"Lần " &amp; ROUNDUP(P673/20,0),"")</f>
        <v/>
      </c>
      <c r="AB673" s="9">
        <f>IF(ROUNDUP(Q673/20,0)&gt;ROUNDUP(Q672/20,0),"Lần " &amp; ROUNDUP(Q673/20,0),"")</f>
        <v/>
      </c>
      <c r="AC673" s="9">
        <f>IF(ROUNDUP(R673/20,0)&gt;ROUNDUP(R672/20,0),"Lần " &amp; ROUNDUP(R673/20,0),"")</f>
        <v/>
      </c>
      <c r="AD673" s="9">
        <f>IF(ROUNDUP(S673/20,0)&gt;ROUNDUP(S672/20,0),"Lần " &amp; ROUNDUP(S673/20,0),"")</f>
        <v/>
      </c>
      <c r="AE673" s="9">
        <f>IF(ROUNDUP(T673/20,0)&gt;ROUNDUP(T672/20,0),"Lần " &amp; ROUNDUP(T673/20,0),"")</f>
        <v/>
      </c>
      <c r="AF673" s="9">
        <f>IF(ROUNDUP(U673/20,0)&gt;ROUNDUP(U672/20,0),"Lần " &amp; ROUNDUP(U673/20,0),"")</f>
        <v/>
      </c>
      <c r="AG673" s="9">
        <f>IF(ROUNDUP(V673/20,0)&gt;ROUNDUP(V672/20,0),"Lần " &amp; ROUNDUP(V673/20,0),"")</f>
        <v/>
      </c>
      <c r="AH673" s="9">
        <f>IF(ROUNDUP(W673/20,0)&gt;ROUNDUP(W672/20,0),"Lần " &amp; ROUNDUP(W673/20,0),"")</f>
        <v/>
      </c>
      <c r="AI673" s="9">
        <f>IF(ROUNDUP(X673/20,0)&gt;ROUNDUP(X672/20,0),"Lần " &amp; ROUNDUP(X673/20,0),"")</f>
        <v/>
      </c>
      <c r="AJ673" s="9">
        <f>IF(ROUNDUP(Y673/20,0)&gt;ROUNDUP(Y672/20,0),"Lần " &amp; ROUNDUP(Y673/20,0),"")</f>
        <v/>
      </c>
      <c r="AK673" s="9">
        <f>IF(ROUNDUP(Z673/20,0)&gt;ROUNDUP(Z672/20,0),"Lần " &amp; ROUNDUP(Z673/20,0),"")</f>
        <v/>
      </c>
      <c r="AL673" s="4" t="n"/>
      <c r="AN673" s="596" t="inlineStr">
        <is>
          <t>Dam</t>
        </is>
      </c>
      <c r="AO673" s="596" t="n">
        <v>59</v>
      </c>
      <c r="AQ673" s="594" t="n"/>
      <c r="AR673" s="595" t="n"/>
    </row>
    <row r="674" ht="19" customHeight="1" s="672">
      <c r="A674" s="4" t="n">
        <v>637</v>
      </c>
      <c r="B674" s="5" t="inlineStr">
        <is>
          <t>Dầm chủ Super-T (15 phiến L=38.2m)</t>
        </is>
      </c>
      <c r="C674" s="5" t="inlineStr">
        <is>
          <t>Dầm S1B1 (tr.88)</t>
        </is>
      </c>
      <c r="D674" s="14" t="inlineStr">
        <is>
          <t>G5a</t>
        </is>
      </c>
      <c r="E674" s="15" t="n">
        <v>16</v>
      </c>
      <c r="F674" s="4" t="inlineStr">
        <is>
          <t>CB400-V</t>
        </is>
      </c>
      <c r="G674" s="5" t="inlineStr">
        <is>
          <t>S01</t>
        </is>
      </c>
      <c r="H674" s="16" t="n">
        <v>11.7</v>
      </c>
      <c r="I674" s="17" t="n">
        <v>56</v>
      </c>
      <c r="J674" s="18" t="n">
        <v>1.578</v>
      </c>
      <c r="K674" s="7">
        <f>ROUND(H674*I674*J674, 2)</f>
        <v/>
      </c>
      <c r="L674" s="19">
        <f>ROUND(K674/1000, 3)</f>
        <v/>
      </c>
      <c r="M674" s="728">
        <f>IF(AO674="","",IF(N(INDEX(Theo_Doi_Tan_Suat_Be_Tong!$C:$C,AO674))&lt;=0,"",INDEX(Theo_Doi_Tan_Suat_Be_Tong!$C:$C,AO674)-VLOOKUP(AN674,$AQ$2:$AR$7,2,FALSE)))</f>
        <v/>
      </c>
      <c r="N674" s="4" t="n"/>
      <c r="O674" s="20">
        <f>IF(ROUNDUP(S674/20,0)&gt;ROUNDUP(S673/20,0),"TN Ø16 (Lần " &amp; ROUNDUP(S674/20,0) &amp; ")","")</f>
        <v/>
      </c>
      <c r="P674" s="16">
        <f>ROUND(P673+IF(AND(E674&lt;=10,F674&lt;&gt;"ASTM A416"),L674,0),3)</f>
        <v/>
      </c>
      <c r="Q674" s="16">
        <f>ROUND(Q673+IF(AND(E674=12,F674&lt;&gt;"ASTM A416"),L674,0),3)</f>
        <v/>
      </c>
      <c r="R674" s="16">
        <f>ROUND(R673+IF(AND(E674=14,F674&lt;&gt;"ASTM A416"),L674,0),3)</f>
        <v/>
      </c>
      <c r="S674" s="16">
        <f>ROUND(S673+IF(AND(E674=16,F674&lt;&gt;"ASTM A416"),L674,0),3)</f>
        <v/>
      </c>
      <c r="T674" s="16">
        <f>ROUND(T673+IF(AND(E674=18,F674&lt;&gt;"ASTM A416"),L674,0),3)</f>
        <v/>
      </c>
      <c r="U674" s="16">
        <f>ROUND(U673+IF(AND(E674=20,F674&lt;&gt;"ASTM A416"),L674,0),3)</f>
        <v/>
      </c>
      <c r="V674" s="16">
        <f>ROUND(V673+IF(AND(E674=22,F674&lt;&gt;"ASTM A416"),L674,0),3)</f>
        <v/>
      </c>
      <c r="W674" s="16">
        <f>ROUND(W673+IF(AND(E674=25,F674&lt;&gt;"ASTM A416"),L674,0),3)</f>
        <v/>
      </c>
      <c r="X674" s="16">
        <f>ROUND(X673+IF(AND(E674=28,F674&lt;&gt;"ASTM A416"),L674,0),3)</f>
        <v/>
      </c>
      <c r="Y674" s="16">
        <f>ROUND(Y673+IF(AND(E674=32,F674&lt;&gt;"ASTM A416"),L674,0),3)</f>
        <v/>
      </c>
      <c r="Z674" s="16">
        <f>ROUND(Z673+IF(F674="ASTM A416",L674,0),3)</f>
        <v/>
      </c>
      <c r="AA674" s="9">
        <f>IF(ROUNDUP(P674/20,0)&gt;ROUNDUP(P673/20,0),"Lần " &amp; ROUNDUP(P674/20,0),"")</f>
        <v/>
      </c>
      <c r="AB674" s="9">
        <f>IF(ROUNDUP(Q674/20,0)&gt;ROUNDUP(Q673/20,0),"Lần " &amp; ROUNDUP(Q674/20,0),"")</f>
        <v/>
      </c>
      <c r="AC674" s="9">
        <f>IF(ROUNDUP(R674/20,0)&gt;ROUNDUP(R673/20,0),"Lần " &amp; ROUNDUP(R674/20,0),"")</f>
        <v/>
      </c>
      <c r="AD674" s="9">
        <f>IF(ROUNDUP(S674/20,0)&gt;ROUNDUP(S673/20,0),"Lần " &amp; ROUNDUP(S674/20,0),"")</f>
        <v/>
      </c>
      <c r="AE674" s="9">
        <f>IF(ROUNDUP(T674/20,0)&gt;ROUNDUP(T673/20,0),"Lần " &amp; ROUNDUP(T674/20,0),"")</f>
        <v/>
      </c>
      <c r="AF674" s="9">
        <f>IF(ROUNDUP(U674/20,0)&gt;ROUNDUP(U673/20,0),"Lần " &amp; ROUNDUP(U674/20,0),"")</f>
        <v/>
      </c>
      <c r="AG674" s="9">
        <f>IF(ROUNDUP(V674/20,0)&gt;ROUNDUP(V673/20,0),"Lần " &amp; ROUNDUP(V674/20,0),"")</f>
        <v/>
      </c>
      <c r="AH674" s="9">
        <f>IF(ROUNDUP(W674/20,0)&gt;ROUNDUP(W673/20,0),"Lần " &amp; ROUNDUP(W674/20,0),"")</f>
        <v/>
      </c>
      <c r="AI674" s="9">
        <f>IF(ROUNDUP(X674/20,0)&gt;ROUNDUP(X673/20,0),"Lần " &amp; ROUNDUP(X674/20,0),"")</f>
        <v/>
      </c>
      <c r="AJ674" s="9">
        <f>IF(ROUNDUP(Y674/20,0)&gt;ROUNDUP(Y673/20,0),"Lần " &amp; ROUNDUP(Y674/20,0),"")</f>
        <v/>
      </c>
      <c r="AK674" s="9">
        <f>IF(ROUNDUP(Z674/20,0)&gt;ROUNDUP(Z673/20,0),"Lần " &amp; ROUNDUP(Z674/20,0),"")</f>
        <v/>
      </c>
      <c r="AL674" s="4" t="n"/>
      <c r="AN674" s="596" t="inlineStr">
        <is>
          <t>Dam</t>
        </is>
      </c>
      <c r="AO674" s="596" t="n">
        <v>59</v>
      </c>
      <c r="AQ674" s="594" t="n"/>
      <c r="AR674" s="595" t="n"/>
    </row>
    <row r="675" ht="19" customHeight="1" s="672">
      <c r="A675" s="4" t="n">
        <v>638</v>
      </c>
      <c r="B675" s="5" t="inlineStr">
        <is>
          <t>Dầm chủ Super-T (15 phiến L=38.2m)</t>
        </is>
      </c>
      <c r="C675" s="5" t="inlineStr">
        <is>
          <t>Dầm S1B1 (tr.88)</t>
        </is>
      </c>
      <c r="D675" s="14" t="inlineStr">
        <is>
          <t>G5b</t>
        </is>
      </c>
      <c r="E675" s="15" t="n">
        <v>18</v>
      </c>
      <c r="F675" s="4" t="inlineStr">
        <is>
          <t>CB400-V</t>
        </is>
      </c>
      <c r="G675" s="5" t="inlineStr">
        <is>
          <t>S06</t>
        </is>
      </c>
      <c r="H675" s="16" t="n">
        <v>2.86</v>
      </c>
      <c r="I675" s="17" t="n">
        <v>28</v>
      </c>
      <c r="J675" s="18" t="n">
        <v>1.998</v>
      </c>
      <c r="K675" s="7">
        <f>ROUND(H675*I675*J675, 2)</f>
        <v/>
      </c>
      <c r="L675" s="19">
        <f>ROUND(K675/1000, 3)</f>
        <v/>
      </c>
      <c r="M675" s="728">
        <f>IF(AO675="","",IF(N(INDEX(Theo_Doi_Tan_Suat_Be_Tong!$C:$C,AO675))&lt;=0,"",INDEX(Theo_Doi_Tan_Suat_Be_Tong!$C:$C,AO675)-VLOOKUP(AN675,$AQ$2:$AR$7,2,FALSE)))</f>
        <v/>
      </c>
      <c r="N675" s="4" t="n"/>
      <c r="O675" s="20">
        <f>IF(ROUNDUP(T675/20,0)&gt;ROUNDUP(T674/20,0),"TN Ø18 (Lần " &amp; ROUNDUP(T675/20,0) &amp; ")","")</f>
        <v/>
      </c>
      <c r="P675" s="16">
        <f>ROUND(P674+IF(AND(E675&lt;=10,F675&lt;&gt;"ASTM A416"),L675,0),3)</f>
        <v/>
      </c>
      <c r="Q675" s="16">
        <f>ROUND(Q674+IF(AND(E675=12,F675&lt;&gt;"ASTM A416"),L675,0),3)</f>
        <v/>
      </c>
      <c r="R675" s="16">
        <f>ROUND(R674+IF(AND(E675=14,F675&lt;&gt;"ASTM A416"),L675,0),3)</f>
        <v/>
      </c>
      <c r="S675" s="16">
        <f>ROUND(S674+IF(AND(E675=16,F675&lt;&gt;"ASTM A416"),L675,0),3)</f>
        <v/>
      </c>
      <c r="T675" s="16">
        <f>ROUND(T674+IF(AND(E675=18,F675&lt;&gt;"ASTM A416"),L675,0),3)</f>
        <v/>
      </c>
      <c r="U675" s="16">
        <f>ROUND(U674+IF(AND(E675=20,F675&lt;&gt;"ASTM A416"),L675,0),3)</f>
        <v/>
      </c>
      <c r="V675" s="16">
        <f>ROUND(V674+IF(AND(E675=22,F675&lt;&gt;"ASTM A416"),L675,0),3)</f>
        <v/>
      </c>
      <c r="W675" s="16">
        <f>ROUND(W674+IF(AND(E675=25,F675&lt;&gt;"ASTM A416"),L675,0),3)</f>
        <v/>
      </c>
      <c r="X675" s="16">
        <f>ROUND(X674+IF(AND(E675=28,F675&lt;&gt;"ASTM A416"),L675,0),3)</f>
        <v/>
      </c>
      <c r="Y675" s="16">
        <f>ROUND(Y674+IF(AND(E675=32,F675&lt;&gt;"ASTM A416"),L675,0),3)</f>
        <v/>
      </c>
      <c r="Z675" s="16">
        <f>ROUND(Z674+IF(F675="ASTM A416",L675,0),3)</f>
        <v/>
      </c>
      <c r="AA675" s="9">
        <f>IF(ROUNDUP(P675/20,0)&gt;ROUNDUP(P674/20,0),"Lần " &amp; ROUNDUP(P675/20,0),"")</f>
        <v/>
      </c>
      <c r="AB675" s="9">
        <f>IF(ROUNDUP(Q675/20,0)&gt;ROUNDUP(Q674/20,0),"Lần " &amp; ROUNDUP(Q675/20,0),"")</f>
        <v/>
      </c>
      <c r="AC675" s="9">
        <f>IF(ROUNDUP(R675/20,0)&gt;ROUNDUP(R674/20,0),"Lần " &amp; ROUNDUP(R675/20,0),"")</f>
        <v/>
      </c>
      <c r="AD675" s="9">
        <f>IF(ROUNDUP(S675/20,0)&gt;ROUNDUP(S674/20,0),"Lần " &amp; ROUNDUP(S675/20,0),"")</f>
        <v/>
      </c>
      <c r="AE675" s="9">
        <f>IF(ROUNDUP(T675/20,0)&gt;ROUNDUP(T674/20,0),"Lần " &amp; ROUNDUP(T675/20,0),"")</f>
        <v/>
      </c>
      <c r="AF675" s="9">
        <f>IF(ROUNDUP(U675/20,0)&gt;ROUNDUP(U674/20,0),"Lần " &amp; ROUNDUP(U675/20,0),"")</f>
        <v/>
      </c>
      <c r="AG675" s="9">
        <f>IF(ROUNDUP(V675/20,0)&gt;ROUNDUP(V674/20,0),"Lần " &amp; ROUNDUP(V675/20,0),"")</f>
        <v/>
      </c>
      <c r="AH675" s="9">
        <f>IF(ROUNDUP(W675/20,0)&gt;ROUNDUP(W674/20,0),"Lần " &amp; ROUNDUP(W675/20,0),"")</f>
        <v/>
      </c>
      <c r="AI675" s="9">
        <f>IF(ROUNDUP(X675/20,0)&gt;ROUNDUP(X674/20,0),"Lần " &amp; ROUNDUP(X675/20,0),"")</f>
        <v/>
      </c>
      <c r="AJ675" s="9">
        <f>IF(ROUNDUP(Y675/20,0)&gt;ROUNDUP(Y674/20,0),"Lần " &amp; ROUNDUP(Y675/20,0),"")</f>
        <v/>
      </c>
      <c r="AK675" s="9">
        <f>IF(ROUNDUP(Z675/20,0)&gt;ROUNDUP(Z674/20,0),"Lần " &amp; ROUNDUP(Z675/20,0),"")</f>
        <v/>
      </c>
      <c r="AL675" s="4" t="n"/>
      <c r="AN675" s="596" t="inlineStr">
        <is>
          <t>Dam</t>
        </is>
      </c>
      <c r="AO675" s="596" t="n">
        <v>59</v>
      </c>
      <c r="AQ675" s="594" t="n"/>
      <c r="AR675" s="595" t="n"/>
    </row>
    <row r="676" ht="19" customHeight="1" s="672">
      <c r="A676" s="4" t="n">
        <v>639</v>
      </c>
      <c r="B676" s="5" t="inlineStr">
        <is>
          <t>Dầm chủ Super-T (15 phiến L=38.2m)</t>
        </is>
      </c>
      <c r="C676" s="5" t="inlineStr">
        <is>
          <t>Dầm S1B1 (tr.88)</t>
        </is>
      </c>
      <c r="D676" s="14" t="inlineStr">
        <is>
          <t>G5c</t>
        </is>
      </c>
      <c r="E676" s="15" t="n">
        <v>16</v>
      </c>
      <c r="F676" s="4" t="inlineStr">
        <is>
          <t>CB400-V</t>
        </is>
      </c>
      <c r="G676" s="5" t="inlineStr">
        <is>
          <t>S01</t>
        </is>
      </c>
      <c r="H676" s="16" t="n">
        <v>10.68</v>
      </c>
      <c r="I676" s="17" t="n">
        <v>28</v>
      </c>
      <c r="J676" s="18" t="n">
        <v>1.578</v>
      </c>
      <c r="K676" s="7">
        <f>ROUND(H676*I676*J676, 2)</f>
        <v/>
      </c>
      <c r="L676" s="19">
        <f>ROUND(K676/1000, 3)</f>
        <v/>
      </c>
      <c r="M676" s="728">
        <f>IF(AO676="","",IF(N(INDEX(Theo_Doi_Tan_Suat_Be_Tong!$C:$C,AO676))&lt;=0,"",INDEX(Theo_Doi_Tan_Suat_Be_Tong!$C:$C,AO676)-VLOOKUP(AN676,$AQ$2:$AR$7,2,FALSE)))</f>
        <v/>
      </c>
      <c r="N676" s="4" t="n"/>
      <c r="O676" s="20">
        <f>IF(ROUNDUP(S676/20,0)&gt;ROUNDUP(S675/20,0),"TN Ø16 (Lần " &amp; ROUNDUP(S676/20,0) &amp; ")","")</f>
        <v/>
      </c>
      <c r="P676" s="16">
        <f>ROUND(P675+IF(AND(E676&lt;=10,F676&lt;&gt;"ASTM A416"),L676,0),3)</f>
        <v/>
      </c>
      <c r="Q676" s="16">
        <f>ROUND(Q675+IF(AND(E676=12,F676&lt;&gt;"ASTM A416"),L676,0),3)</f>
        <v/>
      </c>
      <c r="R676" s="16">
        <f>ROUND(R675+IF(AND(E676=14,F676&lt;&gt;"ASTM A416"),L676,0),3)</f>
        <v/>
      </c>
      <c r="S676" s="16">
        <f>ROUND(S675+IF(AND(E676=16,F676&lt;&gt;"ASTM A416"),L676,0),3)</f>
        <v/>
      </c>
      <c r="T676" s="16">
        <f>ROUND(T675+IF(AND(E676=18,F676&lt;&gt;"ASTM A416"),L676,0),3)</f>
        <v/>
      </c>
      <c r="U676" s="16">
        <f>ROUND(U675+IF(AND(E676=20,F676&lt;&gt;"ASTM A416"),L676,0),3)</f>
        <v/>
      </c>
      <c r="V676" s="16">
        <f>ROUND(V675+IF(AND(E676=22,F676&lt;&gt;"ASTM A416"),L676,0),3)</f>
        <v/>
      </c>
      <c r="W676" s="16">
        <f>ROUND(W675+IF(AND(E676=25,F676&lt;&gt;"ASTM A416"),L676,0),3)</f>
        <v/>
      </c>
      <c r="X676" s="16">
        <f>ROUND(X675+IF(AND(E676=28,F676&lt;&gt;"ASTM A416"),L676,0),3)</f>
        <v/>
      </c>
      <c r="Y676" s="16">
        <f>ROUND(Y675+IF(AND(E676=32,F676&lt;&gt;"ASTM A416"),L676,0),3)</f>
        <v/>
      </c>
      <c r="Z676" s="16">
        <f>ROUND(Z675+IF(F676="ASTM A416",L676,0),3)</f>
        <v/>
      </c>
      <c r="AA676" s="9">
        <f>IF(ROUNDUP(P676/20,0)&gt;ROUNDUP(P675/20,0),"Lần " &amp; ROUNDUP(P676/20,0),"")</f>
        <v/>
      </c>
      <c r="AB676" s="9">
        <f>IF(ROUNDUP(Q676/20,0)&gt;ROUNDUP(Q675/20,0),"Lần " &amp; ROUNDUP(Q676/20,0),"")</f>
        <v/>
      </c>
      <c r="AC676" s="9">
        <f>IF(ROUNDUP(R676/20,0)&gt;ROUNDUP(R675/20,0),"Lần " &amp; ROUNDUP(R676/20,0),"")</f>
        <v/>
      </c>
      <c r="AD676" s="9">
        <f>IF(ROUNDUP(S676/20,0)&gt;ROUNDUP(S675/20,0),"Lần " &amp; ROUNDUP(S676/20,0),"")</f>
        <v/>
      </c>
      <c r="AE676" s="9">
        <f>IF(ROUNDUP(T676/20,0)&gt;ROUNDUP(T675/20,0),"Lần " &amp; ROUNDUP(T676/20,0),"")</f>
        <v/>
      </c>
      <c r="AF676" s="9">
        <f>IF(ROUNDUP(U676/20,0)&gt;ROUNDUP(U675/20,0),"Lần " &amp; ROUNDUP(U676/20,0),"")</f>
        <v/>
      </c>
      <c r="AG676" s="9">
        <f>IF(ROUNDUP(V676/20,0)&gt;ROUNDUP(V675/20,0),"Lần " &amp; ROUNDUP(V676/20,0),"")</f>
        <v/>
      </c>
      <c r="AH676" s="9">
        <f>IF(ROUNDUP(W676/20,0)&gt;ROUNDUP(W675/20,0),"Lần " &amp; ROUNDUP(W676/20,0),"")</f>
        <v/>
      </c>
      <c r="AI676" s="9">
        <f>IF(ROUNDUP(X676/20,0)&gt;ROUNDUP(X675/20,0),"Lần " &amp; ROUNDUP(X676/20,0),"")</f>
        <v/>
      </c>
      <c r="AJ676" s="9">
        <f>IF(ROUNDUP(Y676/20,0)&gt;ROUNDUP(Y675/20,0),"Lần " &amp; ROUNDUP(Y676/20,0),"")</f>
        <v/>
      </c>
      <c r="AK676" s="9">
        <f>IF(ROUNDUP(Z676/20,0)&gt;ROUNDUP(Z675/20,0),"Lần " &amp; ROUNDUP(Z676/20,0),"")</f>
        <v/>
      </c>
      <c r="AL676" s="4" t="n"/>
      <c r="AN676" s="596" t="inlineStr">
        <is>
          <t>Dam</t>
        </is>
      </c>
      <c r="AO676" s="596" t="n">
        <v>59</v>
      </c>
      <c r="AQ676" s="594" t="n"/>
      <c r="AR676" s="595" t="n"/>
    </row>
    <row r="677" ht="19" customHeight="1" s="672">
      <c r="A677" s="4" t="n">
        <v>640</v>
      </c>
      <c r="B677" s="5" t="inlineStr">
        <is>
          <t>Dầm chủ Super-T (15 phiến L=38.2m)</t>
        </is>
      </c>
      <c r="C677" s="5" t="inlineStr">
        <is>
          <t>Dầm S1B1 (tr.88)</t>
        </is>
      </c>
      <c r="D677" s="14" t="inlineStr">
        <is>
          <t>G5d</t>
        </is>
      </c>
      <c r="E677" s="15" t="n">
        <v>18</v>
      </c>
      <c r="F677" s="4" t="inlineStr">
        <is>
          <t>CB400-V</t>
        </is>
      </c>
      <c r="G677" s="5" t="inlineStr">
        <is>
          <t>S06</t>
        </is>
      </c>
      <c r="H677" s="16" t="n">
        <v>3.9</v>
      </c>
      <c r="I677" s="17" t="n">
        <v>28</v>
      </c>
      <c r="J677" s="18" t="n">
        <v>1.998</v>
      </c>
      <c r="K677" s="7">
        <f>ROUND(H677*I677*J677, 2)</f>
        <v/>
      </c>
      <c r="L677" s="19">
        <f>ROUND(K677/1000, 3)</f>
        <v/>
      </c>
      <c r="M677" s="728">
        <f>IF(AO677="","",IF(N(INDEX(Theo_Doi_Tan_Suat_Be_Tong!$C:$C,AO677))&lt;=0,"",INDEX(Theo_Doi_Tan_Suat_Be_Tong!$C:$C,AO677)-VLOOKUP(AN677,$AQ$2:$AR$7,2,FALSE)))</f>
        <v/>
      </c>
      <c r="N677" s="4" t="n"/>
      <c r="O677" s="20">
        <f>IF(ROUNDUP(T677/20,0)&gt;ROUNDUP(T676/20,0),"TN Ø18 (Lần " &amp; ROUNDUP(T677/20,0) &amp; ")","")</f>
        <v/>
      </c>
      <c r="P677" s="16">
        <f>ROUND(P676+IF(AND(E677&lt;=10,F677&lt;&gt;"ASTM A416"),L677,0),3)</f>
        <v/>
      </c>
      <c r="Q677" s="16">
        <f>ROUND(Q676+IF(AND(E677=12,F677&lt;&gt;"ASTM A416"),L677,0),3)</f>
        <v/>
      </c>
      <c r="R677" s="16">
        <f>ROUND(R676+IF(AND(E677=14,F677&lt;&gt;"ASTM A416"),L677,0),3)</f>
        <v/>
      </c>
      <c r="S677" s="16">
        <f>ROUND(S676+IF(AND(E677=16,F677&lt;&gt;"ASTM A416"),L677,0),3)</f>
        <v/>
      </c>
      <c r="T677" s="16">
        <f>ROUND(T676+IF(AND(E677=18,F677&lt;&gt;"ASTM A416"),L677,0),3)</f>
        <v/>
      </c>
      <c r="U677" s="16">
        <f>ROUND(U676+IF(AND(E677=20,F677&lt;&gt;"ASTM A416"),L677,0),3)</f>
        <v/>
      </c>
      <c r="V677" s="16">
        <f>ROUND(V676+IF(AND(E677=22,F677&lt;&gt;"ASTM A416"),L677,0),3)</f>
        <v/>
      </c>
      <c r="W677" s="16">
        <f>ROUND(W676+IF(AND(E677=25,F677&lt;&gt;"ASTM A416"),L677,0),3)</f>
        <v/>
      </c>
      <c r="X677" s="16">
        <f>ROUND(X676+IF(AND(E677=28,F677&lt;&gt;"ASTM A416"),L677,0),3)</f>
        <v/>
      </c>
      <c r="Y677" s="16">
        <f>ROUND(Y676+IF(AND(E677=32,F677&lt;&gt;"ASTM A416"),L677,0),3)</f>
        <v/>
      </c>
      <c r="Z677" s="16">
        <f>ROUND(Z676+IF(F677="ASTM A416",L677,0),3)</f>
        <v/>
      </c>
      <c r="AA677" s="9">
        <f>IF(ROUNDUP(P677/20,0)&gt;ROUNDUP(P676/20,0),"Lần " &amp; ROUNDUP(P677/20,0),"")</f>
        <v/>
      </c>
      <c r="AB677" s="9">
        <f>IF(ROUNDUP(Q677/20,0)&gt;ROUNDUP(Q676/20,0),"Lần " &amp; ROUNDUP(Q677/20,0),"")</f>
        <v/>
      </c>
      <c r="AC677" s="9">
        <f>IF(ROUNDUP(R677/20,0)&gt;ROUNDUP(R676/20,0),"Lần " &amp; ROUNDUP(R677/20,0),"")</f>
        <v/>
      </c>
      <c r="AD677" s="9">
        <f>IF(ROUNDUP(S677/20,0)&gt;ROUNDUP(S676/20,0),"Lần " &amp; ROUNDUP(S677/20,0),"")</f>
        <v/>
      </c>
      <c r="AE677" s="9">
        <f>IF(ROUNDUP(T677/20,0)&gt;ROUNDUP(T676/20,0),"Lần " &amp; ROUNDUP(T677/20,0),"")</f>
        <v/>
      </c>
      <c r="AF677" s="9">
        <f>IF(ROUNDUP(U677/20,0)&gt;ROUNDUP(U676/20,0),"Lần " &amp; ROUNDUP(U677/20,0),"")</f>
        <v/>
      </c>
      <c r="AG677" s="9">
        <f>IF(ROUNDUP(V677/20,0)&gt;ROUNDUP(V676/20,0),"Lần " &amp; ROUNDUP(V677/20,0),"")</f>
        <v/>
      </c>
      <c r="AH677" s="9">
        <f>IF(ROUNDUP(W677/20,0)&gt;ROUNDUP(W676/20,0),"Lần " &amp; ROUNDUP(W677/20,0),"")</f>
        <v/>
      </c>
      <c r="AI677" s="9">
        <f>IF(ROUNDUP(X677/20,0)&gt;ROUNDUP(X676/20,0),"Lần " &amp; ROUNDUP(X677/20,0),"")</f>
        <v/>
      </c>
      <c r="AJ677" s="9">
        <f>IF(ROUNDUP(Y677/20,0)&gt;ROUNDUP(Y676/20,0),"Lần " &amp; ROUNDUP(Y677/20,0),"")</f>
        <v/>
      </c>
      <c r="AK677" s="9">
        <f>IF(ROUNDUP(Z677/20,0)&gt;ROUNDUP(Z676/20,0),"Lần " &amp; ROUNDUP(Z677/20,0),"")</f>
        <v/>
      </c>
      <c r="AL677" s="4" t="n"/>
      <c r="AN677" s="596" t="inlineStr">
        <is>
          <t>Dam</t>
        </is>
      </c>
      <c r="AO677" s="596" t="n">
        <v>59</v>
      </c>
      <c r="AQ677" s="594" t="n"/>
      <c r="AR677" s="595" t="n"/>
    </row>
    <row r="678" ht="19" customHeight="1" s="672">
      <c r="A678" s="4" t="n">
        <v>641</v>
      </c>
      <c r="B678" s="5" t="inlineStr">
        <is>
          <t>Dầm chủ Super-T (15 phiến L=38.2m)</t>
        </is>
      </c>
      <c r="C678" s="5" t="inlineStr">
        <is>
          <t>Dầm S1B1 (tr.88)</t>
        </is>
      </c>
      <c r="D678" s="14" t="inlineStr">
        <is>
          <t>G6a</t>
        </is>
      </c>
      <c r="E678" s="15" t="n">
        <v>32</v>
      </c>
      <c r="F678" s="4" t="inlineStr">
        <is>
          <t>CB400-V</t>
        </is>
      </c>
      <c r="G678" s="5" t="inlineStr">
        <is>
          <t>S01</t>
        </is>
      </c>
      <c r="H678" s="16" t="n">
        <v>11.7</v>
      </c>
      <c r="I678" s="17" t="n">
        <v>18</v>
      </c>
      <c r="J678" s="18" t="n">
        <v>6.313</v>
      </c>
      <c r="K678" s="7">
        <f>ROUND(H678*I678*J678, 2)</f>
        <v/>
      </c>
      <c r="L678" s="19">
        <f>ROUND(K678/1000, 3)</f>
        <v/>
      </c>
      <c r="M678" s="728">
        <f>IF(AO678="","",IF(N(INDEX(Theo_Doi_Tan_Suat_Be_Tong!$C:$C,AO678))&lt;=0,"",INDEX(Theo_Doi_Tan_Suat_Be_Tong!$C:$C,AO678)-VLOOKUP(AN678,$AQ$2:$AR$7,2,FALSE)))</f>
        <v/>
      </c>
      <c r="N678" s="4" t="n"/>
      <c r="O678" s="20">
        <f>IF(ROUNDUP(Y678/20,0)&gt;ROUNDUP(Y677/20,0),"TN Ø32 (Lần " &amp; ROUNDUP(Y678/20,0) &amp; ")","")</f>
        <v/>
      </c>
      <c r="P678" s="16">
        <f>ROUND(P677+IF(AND(E678&lt;=10,F678&lt;&gt;"ASTM A416"),L678,0),3)</f>
        <v/>
      </c>
      <c r="Q678" s="16">
        <f>ROUND(Q677+IF(AND(E678=12,F678&lt;&gt;"ASTM A416"),L678,0),3)</f>
        <v/>
      </c>
      <c r="R678" s="16">
        <f>ROUND(R677+IF(AND(E678=14,F678&lt;&gt;"ASTM A416"),L678,0),3)</f>
        <v/>
      </c>
      <c r="S678" s="16">
        <f>ROUND(S677+IF(AND(E678=16,F678&lt;&gt;"ASTM A416"),L678,0),3)</f>
        <v/>
      </c>
      <c r="T678" s="16">
        <f>ROUND(T677+IF(AND(E678=18,F678&lt;&gt;"ASTM A416"),L678,0),3)</f>
        <v/>
      </c>
      <c r="U678" s="16">
        <f>ROUND(U677+IF(AND(E678=20,F678&lt;&gt;"ASTM A416"),L678,0),3)</f>
        <v/>
      </c>
      <c r="V678" s="16">
        <f>ROUND(V677+IF(AND(E678=22,F678&lt;&gt;"ASTM A416"),L678,0),3)</f>
        <v/>
      </c>
      <c r="W678" s="16">
        <f>ROUND(W677+IF(AND(E678=25,F678&lt;&gt;"ASTM A416"),L678,0),3)</f>
        <v/>
      </c>
      <c r="X678" s="16">
        <f>ROUND(X677+IF(AND(E678=28,F678&lt;&gt;"ASTM A416"),L678,0),3)</f>
        <v/>
      </c>
      <c r="Y678" s="16">
        <f>ROUND(Y677+IF(AND(E678=32,F678&lt;&gt;"ASTM A416"),L678,0),3)</f>
        <v/>
      </c>
      <c r="Z678" s="16">
        <f>ROUND(Z677+IF(F678="ASTM A416",L678,0),3)</f>
        <v/>
      </c>
      <c r="AA678" s="9">
        <f>IF(ROUNDUP(P678/20,0)&gt;ROUNDUP(P677/20,0),"Lần " &amp; ROUNDUP(P678/20,0),"")</f>
        <v/>
      </c>
      <c r="AB678" s="9">
        <f>IF(ROUNDUP(Q678/20,0)&gt;ROUNDUP(Q677/20,0),"Lần " &amp; ROUNDUP(Q678/20,0),"")</f>
        <v/>
      </c>
      <c r="AC678" s="9">
        <f>IF(ROUNDUP(R678/20,0)&gt;ROUNDUP(R677/20,0),"Lần " &amp; ROUNDUP(R678/20,0),"")</f>
        <v/>
      </c>
      <c r="AD678" s="9">
        <f>IF(ROUNDUP(S678/20,0)&gt;ROUNDUP(S677/20,0),"Lần " &amp; ROUNDUP(S678/20,0),"")</f>
        <v/>
      </c>
      <c r="AE678" s="9">
        <f>IF(ROUNDUP(T678/20,0)&gt;ROUNDUP(T677/20,0),"Lần " &amp; ROUNDUP(T678/20,0),"")</f>
        <v/>
      </c>
      <c r="AF678" s="9">
        <f>IF(ROUNDUP(U678/20,0)&gt;ROUNDUP(U677/20,0),"Lần " &amp; ROUNDUP(U678/20,0),"")</f>
        <v/>
      </c>
      <c r="AG678" s="9">
        <f>IF(ROUNDUP(V678/20,0)&gt;ROUNDUP(V677/20,0),"Lần " &amp; ROUNDUP(V678/20,0),"")</f>
        <v/>
      </c>
      <c r="AH678" s="9">
        <f>IF(ROUNDUP(W678/20,0)&gt;ROUNDUP(W677/20,0),"Lần " &amp; ROUNDUP(W678/20,0),"")</f>
        <v/>
      </c>
      <c r="AI678" s="9">
        <f>IF(ROUNDUP(X678/20,0)&gt;ROUNDUP(X677/20,0),"Lần " &amp; ROUNDUP(X678/20,0),"")</f>
        <v/>
      </c>
      <c r="AJ678" s="9">
        <f>IF(ROUNDUP(Y678/20,0)&gt;ROUNDUP(Y677/20,0),"Lần " &amp; ROUNDUP(Y678/20,0),"")</f>
        <v/>
      </c>
      <c r="AK678" s="9">
        <f>IF(ROUNDUP(Z678/20,0)&gt;ROUNDUP(Z677/20,0),"Lần " &amp; ROUNDUP(Z678/20,0),"")</f>
        <v/>
      </c>
      <c r="AL678" s="4" t="n"/>
      <c r="AN678" s="596" t="inlineStr">
        <is>
          <t>Dam</t>
        </is>
      </c>
      <c r="AO678" s="596" t="n">
        <v>59</v>
      </c>
      <c r="AQ678" s="594" t="n"/>
      <c r="AR678" s="595" t="n"/>
    </row>
    <row r="679" ht="19" customHeight="1" s="672">
      <c r="A679" s="4" t="n">
        <v>642</v>
      </c>
      <c r="B679" s="5" t="inlineStr">
        <is>
          <t>Dầm chủ Super-T (15 phiến L=38.2m)</t>
        </is>
      </c>
      <c r="C679" s="5" t="inlineStr">
        <is>
          <t>Dầm S1B1 (tr.88)</t>
        </is>
      </c>
      <c r="D679" s="14" t="inlineStr">
        <is>
          <t>G6b</t>
        </is>
      </c>
      <c r="E679" s="15" t="n">
        <v>32</v>
      </c>
      <c r="F679" s="4" t="inlineStr">
        <is>
          <t>CB400-V</t>
        </is>
      </c>
      <c r="G679" s="5" t="inlineStr">
        <is>
          <t>S06</t>
        </is>
      </c>
      <c r="H679" s="16" t="n">
        <v>6.86</v>
      </c>
      <c r="I679" s="17" t="n">
        <v>6</v>
      </c>
      <c r="J679" s="18" t="n">
        <v>6.313</v>
      </c>
      <c r="K679" s="7">
        <f>ROUND(H679*I679*J679, 2)</f>
        <v/>
      </c>
      <c r="L679" s="19">
        <f>ROUND(K679/1000, 3)</f>
        <v/>
      </c>
      <c r="M679" s="728">
        <f>IF(AO679="","",IF(N(INDEX(Theo_Doi_Tan_Suat_Be_Tong!$C:$C,AO679))&lt;=0,"",INDEX(Theo_Doi_Tan_Suat_Be_Tong!$C:$C,AO679)-VLOOKUP(AN679,$AQ$2:$AR$7,2,FALSE)))</f>
        <v/>
      </c>
      <c r="N679" s="4" t="n"/>
      <c r="O679" s="20">
        <f>IF(ROUNDUP(Y679/20,0)&gt;ROUNDUP(Y678/20,0),"TN Ø32 (Lần " &amp; ROUNDUP(Y679/20,0) &amp; ")","")</f>
        <v/>
      </c>
      <c r="P679" s="16">
        <f>ROUND(P678+IF(AND(E679&lt;=10,F679&lt;&gt;"ASTM A416"),L679,0),3)</f>
        <v/>
      </c>
      <c r="Q679" s="16">
        <f>ROUND(Q678+IF(AND(E679=12,F679&lt;&gt;"ASTM A416"),L679,0),3)</f>
        <v/>
      </c>
      <c r="R679" s="16">
        <f>ROUND(R678+IF(AND(E679=14,F679&lt;&gt;"ASTM A416"),L679,0),3)</f>
        <v/>
      </c>
      <c r="S679" s="16">
        <f>ROUND(S678+IF(AND(E679=16,F679&lt;&gt;"ASTM A416"),L679,0),3)</f>
        <v/>
      </c>
      <c r="T679" s="16">
        <f>ROUND(T678+IF(AND(E679=18,F679&lt;&gt;"ASTM A416"),L679,0),3)</f>
        <v/>
      </c>
      <c r="U679" s="16">
        <f>ROUND(U678+IF(AND(E679=20,F679&lt;&gt;"ASTM A416"),L679,0),3)</f>
        <v/>
      </c>
      <c r="V679" s="16">
        <f>ROUND(V678+IF(AND(E679=22,F679&lt;&gt;"ASTM A416"),L679,0),3)</f>
        <v/>
      </c>
      <c r="W679" s="16">
        <f>ROUND(W678+IF(AND(E679=25,F679&lt;&gt;"ASTM A416"),L679,0),3)</f>
        <v/>
      </c>
      <c r="X679" s="16">
        <f>ROUND(X678+IF(AND(E679=28,F679&lt;&gt;"ASTM A416"),L679,0),3)</f>
        <v/>
      </c>
      <c r="Y679" s="16">
        <f>ROUND(Y678+IF(AND(E679=32,F679&lt;&gt;"ASTM A416"),L679,0),3)</f>
        <v/>
      </c>
      <c r="Z679" s="16">
        <f>ROUND(Z678+IF(F679="ASTM A416",L679,0),3)</f>
        <v/>
      </c>
      <c r="AA679" s="9">
        <f>IF(ROUNDUP(P679/20,0)&gt;ROUNDUP(P678/20,0),"Lần " &amp; ROUNDUP(P679/20,0),"")</f>
        <v/>
      </c>
      <c r="AB679" s="9">
        <f>IF(ROUNDUP(Q679/20,0)&gt;ROUNDUP(Q678/20,0),"Lần " &amp; ROUNDUP(Q679/20,0),"")</f>
        <v/>
      </c>
      <c r="AC679" s="9">
        <f>IF(ROUNDUP(R679/20,0)&gt;ROUNDUP(R678/20,0),"Lần " &amp; ROUNDUP(R679/20,0),"")</f>
        <v/>
      </c>
      <c r="AD679" s="9">
        <f>IF(ROUNDUP(S679/20,0)&gt;ROUNDUP(S678/20,0),"Lần " &amp; ROUNDUP(S679/20,0),"")</f>
        <v/>
      </c>
      <c r="AE679" s="9">
        <f>IF(ROUNDUP(T679/20,0)&gt;ROUNDUP(T678/20,0),"Lần " &amp; ROUNDUP(T679/20,0),"")</f>
        <v/>
      </c>
      <c r="AF679" s="9">
        <f>IF(ROUNDUP(U679/20,0)&gt;ROUNDUP(U678/20,0),"Lần " &amp; ROUNDUP(U679/20,0),"")</f>
        <v/>
      </c>
      <c r="AG679" s="9">
        <f>IF(ROUNDUP(V679/20,0)&gt;ROUNDUP(V678/20,0),"Lần " &amp; ROUNDUP(V679/20,0),"")</f>
        <v/>
      </c>
      <c r="AH679" s="9">
        <f>IF(ROUNDUP(W679/20,0)&gt;ROUNDUP(W678/20,0),"Lần " &amp; ROUNDUP(W679/20,0),"")</f>
        <v/>
      </c>
      <c r="AI679" s="9">
        <f>IF(ROUNDUP(X679/20,0)&gt;ROUNDUP(X678/20,0),"Lần " &amp; ROUNDUP(X679/20,0),"")</f>
        <v/>
      </c>
      <c r="AJ679" s="9">
        <f>IF(ROUNDUP(Y679/20,0)&gt;ROUNDUP(Y678/20,0),"Lần " &amp; ROUNDUP(Y679/20,0),"")</f>
        <v/>
      </c>
      <c r="AK679" s="9">
        <f>IF(ROUNDUP(Z679/20,0)&gt;ROUNDUP(Z678/20,0),"Lần " &amp; ROUNDUP(Z679/20,0),"")</f>
        <v/>
      </c>
      <c r="AL679" s="4" t="n"/>
      <c r="AN679" s="596" t="inlineStr">
        <is>
          <t>Dam</t>
        </is>
      </c>
      <c r="AO679" s="596" t="n">
        <v>59</v>
      </c>
      <c r="AQ679" s="594" t="n"/>
      <c r="AR679" s="595" t="n"/>
    </row>
    <row r="680" ht="19" customHeight="1" s="672">
      <c r="A680" s="4" t="n">
        <v>643</v>
      </c>
      <c r="B680" s="5" t="inlineStr">
        <is>
          <t>Dầm chủ Super-T (15 phiến L=38.2m)</t>
        </is>
      </c>
      <c r="C680" s="5" t="inlineStr">
        <is>
          <t>Dầm S1B1 (tr.88)</t>
        </is>
      </c>
      <c r="D680" s="14" t="inlineStr">
        <is>
          <t>N1a</t>
        </is>
      </c>
      <c r="E680" s="15" t="n">
        <v>12</v>
      </c>
      <c r="F680" s="4" t="inlineStr">
        <is>
          <t>CB400-V</t>
        </is>
      </c>
      <c r="G680" s="5" t="inlineStr">
        <is>
          <t>S06</t>
        </is>
      </c>
      <c r="H680" s="16" t="n">
        <v>1.185</v>
      </c>
      <c r="I680" s="17" t="n">
        <v>74</v>
      </c>
      <c r="J680" s="18" t="n">
        <v>0.888</v>
      </c>
      <c r="K680" s="7">
        <f>ROUND(H680*I680*J680, 2)</f>
        <v/>
      </c>
      <c r="L680" s="19">
        <f>ROUND(K680/1000, 3)</f>
        <v/>
      </c>
      <c r="M680" s="728">
        <f>IF(AO680="","",IF(N(INDEX(Theo_Doi_Tan_Suat_Be_Tong!$C:$C,AO680))&lt;=0,"",INDEX(Theo_Doi_Tan_Suat_Be_Tong!$C:$C,AO680)-VLOOKUP(AN680,$AQ$2:$AR$7,2,FALSE)))</f>
        <v/>
      </c>
      <c r="N680" s="4" t="n"/>
      <c r="O680" s="20">
        <f>IF(ROUNDUP(Q680/20,0)&gt;ROUNDUP(Q679/20,0),"TN Ø12 (Lần " &amp; ROUNDUP(Q680/20,0) &amp; ")","")</f>
        <v/>
      </c>
      <c r="P680" s="16">
        <f>ROUND(P679+IF(AND(E680&lt;=10,F680&lt;&gt;"ASTM A416"),L680,0),3)</f>
        <v/>
      </c>
      <c r="Q680" s="16">
        <f>ROUND(Q679+IF(AND(E680=12,F680&lt;&gt;"ASTM A416"),L680,0),3)</f>
        <v/>
      </c>
      <c r="R680" s="16">
        <f>ROUND(R679+IF(AND(E680=14,F680&lt;&gt;"ASTM A416"),L680,0),3)</f>
        <v/>
      </c>
      <c r="S680" s="16">
        <f>ROUND(S679+IF(AND(E680=16,F680&lt;&gt;"ASTM A416"),L680,0),3)</f>
        <v/>
      </c>
      <c r="T680" s="16">
        <f>ROUND(T679+IF(AND(E680=18,F680&lt;&gt;"ASTM A416"),L680,0),3)</f>
        <v/>
      </c>
      <c r="U680" s="16">
        <f>ROUND(U679+IF(AND(E680=20,F680&lt;&gt;"ASTM A416"),L680,0),3)</f>
        <v/>
      </c>
      <c r="V680" s="16">
        <f>ROUND(V679+IF(AND(E680=22,F680&lt;&gt;"ASTM A416"),L680,0),3)</f>
        <v/>
      </c>
      <c r="W680" s="16">
        <f>ROUND(W679+IF(AND(E680=25,F680&lt;&gt;"ASTM A416"),L680,0),3)</f>
        <v/>
      </c>
      <c r="X680" s="16">
        <f>ROUND(X679+IF(AND(E680=28,F680&lt;&gt;"ASTM A416"),L680,0),3)</f>
        <v/>
      </c>
      <c r="Y680" s="16">
        <f>ROUND(Y679+IF(AND(E680=32,F680&lt;&gt;"ASTM A416"),L680,0),3)</f>
        <v/>
      </c>
      <c r="Z680" s="16">
        <f>ROUND(Z679+IF(F680="ASTM A416",L680,0),3)</f>
        <v/>
      </c>
      <c r="AA680" s="9">
        <f>IF(ROUNDUP(P680/20,0)&gt;ROUNDUP(P679/20,0),"Lần " &amp; ROUNDUP(P680/20,0),"")</f>
        <v/>
      </c>
      <c r="AB680" s="9">
        <f>IF(ROUNDUP(Q680/20,0)&gt;ROUNDUP(Q679/20,0),"Lần " &amp; ROUNDUP(Q680/20,0),"")</f>
        <v/>
      </c>
      <c r="AC680" s="9">
        <f>IF(ROUNDUP(R680/20,0)&gt;ROUNDUP(R679/20,0),"Lần " &amp; ROUNDUP(R680/20,0),"")</f>
        <v/>
      </c>
      <c r="AD680" s="9">
        <f>IF(ROUNDUP(S680/20,0)&gt;ROUNDUP(S679/20,0),"Lần " &amp; ROUNDUP(S680/20,0),"")</f>
        <v/>
      </c>
      <c r="AE680" s="9">
        <f>IF(ROUNDUP(T680/20,0)&gt;ROUNDUP(T679/20,0),"Lần " &amp; ROUNDUP(T680/20,0),"")</f>
        <v/>
      </c>
      <c r="AF680" s="9">
        <f>IF(ROUNDUP(U680/20,0)&gt;ROUNDUP(U679/20,0),"Lần " &amp; ROUNDUP(U680/20,0),"")</f>
        <v/>
      </c>
      <c r="AG680" s="9">
        <f>IF(ROUNDUP(V680/20,0)&gt;ROUNDUP(V679/20,0),"Lần " &amp; ROUNDUP(V680/20,0),"")</f>
        <v/>
      </c>
      <c r="AH680" s="9">
        <f>IF(ROUNDUP(W680/20,0)&gt;ROUNDUP(W679/20,0),"Lần " &amp; ROUNDUP(W680/20,0),"")</f>
        <v/>
      </c>
      <c r="AI680" s="9">
        <f>IF(ROUNDUP(X680/20,0)&gt;ROUNDUP(X679/20,0),"Lần " &amp; ROUNDUP(X680/20,0),"")</f>
        <v/>
      </c>
      <c r="AJ680" s="9">
        <f>IF(ROUNDUP(Y680/20,0)&gt;ROUNDUP(Y679/20,0),"Lần " &amp; ROUNDUP(Y680/20,0),"")</f>
        <v/>
      </c>
      <c r="AK680" s="9">
        <f>IF(ROUNDUP(Z680/20,0)&gt;ROUNDUP(Z679/20,0),"Lần " &amp; ROUNDUP(Z680/20,0),"")</f>
        <v/>
      </c>
      <c r="AL680" s="4" t="n"/>
      <c r="AN680" s="596" t="inlineStr">
        <is>
          <t>Dam</t>
        </is>
      </c>
      <c r="AO680" s="596" t="n">
        <v>59</v>
      </c>
      <c r="AQ680" s="594" t="n"/>
      <c r="AR680" s="595" t="n"/>
    </row>
    <row r="681" ht="19" customHeight="1" s="672">
      <c r="A681" s="4" t="n">
        <v>644</v>
      </c>
      <c r="B681" s="5" t="inlineStr">
        <is>
          <t>Dầm chủ Super-T (15 phiến L=38.2m)</t>
        </is>
      </c>
      <c r="C681" s="5" t="inlineStr">
        <is>
          <t>Dầm S1B1 (tr.88)</t>
        </is>
      </c>
      <c r="D681" s="14" t="inlineStr">
        <is>
          <t>N1b</t>
        </is>
      </c>
      <c r="E681" s="15" t="n">
        <v>12</v>
      </c>
      <c r="F681" s="4" t="inlineStr">
        <is>
          <t>CB400-V</t>
        </is>
      </c>
      <c r="G681" s="5" t="inlineStr">
        <is>
          <t>S06</t>
        </is>
      </c>
      <c r="H681" s="16" t="n">
        <v>0.93</v>
      </c>
      <c r="I681" s="17" t="n">
        <v>518</v>
      </c>
      <c r="J681" s="18" t="n">
        <v>0.888</v>
      </c>
      <c r="K681" s="7">
        <f>ROUND(H681*I681*J681, 2)</f>
        <v/>
      </c>
      <c r="L681" s="19">
        <f>ROUND(K681/1000, 3)</f>
        <v/>
      </c>
      <c r="M681" s="728">
        <f>IF(AO681="","",IF(N(INDEX(Theo_Doi_Tan_Suat_Be_Tong!$C:$C,AO681))&lt;=0,"",INDEX(Theo_Doi_Tan_Suat_Be_Tong!$C:$C,AO681)-VLOOKUP(AN681,$AQ$2:$AR$7,2,FALSE)))</f>
        <v/>
      </c>
      <c r="N681" s="4" t="n"/>
      <c r="O681" s="20">
        <f>IF(ROUNDUP(Q681/20,0)&gt;ROUNDUP(Q680/20,0),"TN Ø12 (Lần " &amp; ROUNDUP(Q681/20,0) &amp; ")","")</f>
        <v/>
      </c>
      <c r="P681" s="16">
        <f>ROUND(P680+IF(AND(E681&lt;=10,F681&lt;&gt;"ASTM A416"),L681,0),3)</f>
        <v/>
      </c>
      <c r="Q681" s="16">
        <f>ROUND(Q680+IF(AND(E681=12,F681&lt;&gt;"ASTM A416"),L681,0),3)</f>
        <v/>
      </c>
      <c r="R681" s="16">
        <f>ROUND(R680+IF(AND(E681=14,F681&lt;&gt;"ASTM A416"),L681,0),3)</f>
        <v/>
      </c>
      <c r="S681" s="16">
        <f>ROUND(S680+IF(AND(E681=16,F681&lt;&gt;"ASTM A416"),L681,0),3)</f>
        <v/>
      </c>
      <c r="T681" s="16">
        <f>ROUND(T680+IF(AND(E681=18,F681&lt;&gt;"ASTM A416"),L681,0),3)</f>
        <v/>
      </c>
      <c r="U681" s="16">
        <f>ROUND(U680+IF(AND(E681=20,F681&lt;&gt;"ASTM A416"),L681,0),3)</f>
        <v/>
      </c>
      <c r="V681" s="16">
        <f>ROUND(V680+IF(AND(E681=22,F681&lt;&gt;"ASTM A416"),L681,0),3)</f>
        <v/>
      </c>
      <c r="W681" s="16">
        <f>ROUND(W680+IF(AND(E681=25,F681&lt;&gt;"ASTM A416"),L681,0),3)</f>
        <v/>
      </c>
      <c r="X681" s="16">
        <f>ROUND(X680+IF(AND(E681=28,F681&lt;&gt;"ASTM A416"),L681,0),3)</f>
        <v/>
      </c>
      <c r="Y681" s="16">
        <f>ROUND(Y680+IF(AND(E681=32,F681&lt;&gt;"ASTM A416"),L681,0),3)</f>
        <v/>
      </c>
      <c r="Z681" s="16">
        <f>ROUND(Z680+IF(F681="ASTM A416",L681,0),3)</f>
        <v/>
      </c>
      <c r="AA681" s="9">
        <f>IF(ROUNDUP(P681/20,0)&gt;ROUNDUP(P680/20,0),"Lần " &amp; ROUNDUP(P681/20,0),"")</f>
        <v/>
      </c>
      <c r="AB681" s="9">
        <f>IF(ROUNDUP(Q681/20,0)&gt;ROUNDUP(Q680/20,0),"Lần " &amp; ROUNDUP(Q681/20,0),"")</f>
        <v/>
      </c>
      <c r="AC681" s="9">
        <f>IF(ROUNDUP(R681/20,0)&gt;ROUNDUP(R680/20,0),"Lần " &amp; ROUNDUP(R681/20,0),"")</f>
        <v/>
      </c>
      <c r="AD681" s="9">
        <f>IF(ROUNDUP(S681/20,0)&gt;ROUNDUP(S680/20,0),"Lần " &amp; ROUNDUP(S681/20,0),"")</f>
        <v/>
      </c>
      <c r="AE681" s="9">
        <f>IF(ROUNDUP(T681/20,0)&gt;ROUNDUP(T680/20,0),"Lần " &amp; ROUNDUP(T681/20,0),"")</f>
        <v/>
      </c>
      <c r="AF681" s="9">
        <f>IF(ROUNDUP(U681/20,0)&gt;ROUNDUP(U680/20,0),"Lần " &amp; ROUNDUP(U681/20,0),"")</f>
        <v/>
      </c>
      <c r="AG681" s="9">
        <f>IF(ROUNDUP(V681/20,0)&gt;ROUNDUP(V680/20,0),"Lần " &amp; ROUNDUP(V681/20,0),"")</f>
        <v/>
      </c>
      <c r="AH681" s="9">
        <f>IF(ROUNDUP(W681/20,0)&gt;ROUNDUP(W680/20,0),"Lần " &amp; ROUNDUP(W681/20,0),"")</f>
        <v/>
      </c>
      <c r="AI681" s="9">
        <f>IF(ROUNDUP(X681/20,0)&gt;ROUNDUP(X680/20,0),"Lần " &amp; ROUNDUP(X681/20,0),"")</f>
        <v/>
      </c>
      <c r="AJ681" s="9">
        <f>IF(ROUNDUP(Y681/20,0)&gt;ROUNDUP(Y680/20,0),"Lần " &amp; ROUNDUP(Y681/20,0),"")</f>
        <v/>
      </c>
      <c r="AK681" s="9">
        <f>IF(ROUNDUP(Z681/20,0)&gt;ROUNDUP(Z680/20,0),"Lần " &amp; ROUNDUP(Z681/20,0),"")</f>
        <v/>
      </c>
      <c r="AL681" s="4" t="n"/>
      <c r="AN681" s="596" t="inlineStr">
        <is>
          <t>Dam</t>
        </is>
      </c>
      <c r="AO681" s="596" t="n">
        <v>59</v>
      </c>
      <c r="AQ681" s="594" t="n"/>
      <c r="AR681" s="595" t="n"/>
    </row>
    <row r="682" ht="19" customHeight="1" s="672">
      <c r="A682" s="4" t="n">
        <v>645</v>
      </c>
      <c r="B682" s="5" t="inlineStr">
        <is>
          <t>Dầm chủ Super-T (15 phiến L=38.2m)</t>
        </is>
      </c>
      <c r="C682" s="5" t="inlineStr">
        <is>
          <t>Dầm S1B1 (tr.88)</t>
        </is>
      </c>
      <c r="D682" s="14" t="inlineStr">
        <is>
          <t>N2</t>
        </is>
      </c>
      <c r="E682" s="15" t="n">
        <v>12</v>
      </c>
      <c r="F682" s="4" t="inlineStr">
        <is>
          <t>CB400-V</t>
        </is>
      </c>
      <c r="G682" s="5" t="inlineStr">
        <is>
          <t>S06</t>
        </is>
      </c>
      <c r="H682" s="16" t="n">
        <v>3.664</v>
      </c>
      <c r="I682" s="17" t="n">
        <v>6</v>
      </c>
      <c r="J682" s="18" t="n">
        <v>0.888</v>
      </c>
      <c r="K682" s="7">
        <f>ROUND(H682*I682*J682, 2)</f>
        <v/>
      </c>
      <c r="L682" s="19">
        <f>ROUND(K682/1000, 3)</f>
        <v/>
      </c>
      <c r="M682" s="728">
        <f>IF(AO682="","",IF(N(INDEX(Theo_Doi_Tan_Suat_Be_Tong!$C:$C,AO682))&lt;=0,"",INDEX(Theo_Doi_Tan_Suat_Be_Tong!$C:$C,AO682)-VLOOKUP(AN682,$AQ$2:$AR$7,2,FALSE)))</f>
        <v/>
      </c>
      <c r="N682" s="4" t="n"/>
      <c r="O682" s="20">
        <f>IF(ROUNDUP(Q682/20,0)&gt;ROUNDUP(Q681/20,0),"TN Ø12 (Lần " &amp; ROUNDUP(Q682/20,0) &amp; ")","")</f>
        <v/>
      </c>
      <c r="P682" s="16">
        <f>ROUND(P681+IF(AND(E682&lt;=10,F682&lt;&gt;"ASTM A416"),L682,0),3)</f>
        <v/>
      </c>
      <c r="Q682" s="16">
        <f>ROUND(Q681+IF(AND(E682=12,F682&lt;&gt;"ASTM A416"),L682,0),3)</f>
        <v/>
      </c>
      <c r="R682" s="16">
        <f>ROUND(R681+IF(AND(E682=14,F682&lt;&gt;"ASTM A416"),L682,0),3)</f>
        <v/>
      </c>
      <c r="S682" s="16">
        <f>ROUND(S681+IF(AND(E682=16,F682&lt;&gt;"ASTM A416"),L682,0),3)</f>
        <v/>
      </c>
      <c r="T682" s="16">
        <f>ROUND(T681+IF(AND(E682=18,F682&lt;&gt;"ASTM A416"),L682,0),3)</f>
        <v/>
      </c>
      <c r="U682" s="16">
        <f>ROUND(U681+IF(AND(E682=20,F682&lt;&gt;"ASTM A416"),L682,0),3)</f>
        <v/>
      </c>
      <c r="V682" s="16">
        <f>ROUND(V681+IF(AND(E682=22,F682&lt;&gt;"ASTM A416"),L682,0),3)</f>
        <v/>
      </c>
      <c r="W682" s="16">
        <f>ROUND(W681+IF(AND(E682=25,F682&lt;&gt;"ASTM A416"),L682,0),3)</f>
        <v/>
      </c>
      <c r="X682" s="16">
        <f>ROUND(X681+IF(AND(E682=28,F682&lt;&gt;"ASTM A416"),L682,0),3)</f>
        <v/>
      </c>
      <c r="Y682" s="16">
        <f>ROUND(Y681+IF(AND(E682=32,F682&lt;&gt;"ASTM A416"),L682,0),3)</f>
        <v/>
      </c>
      <c r="Z682" s="16">
        <f>ROUND(Z681+IF(F682="ASTM A416",L682,0),3)</f>
        <v/>
      </c>
      <c r="AA682" s="9">
        <f>IF(ROUNDUP(P682/20,0)&gt;ROUNDUP(P681/20,0),"Lần " &amp; ROUNDUP(P682/20,0),"")</f>
        <v/>
      </c>
      <c r="AB682" s="9">
        <f>IF(ROUNDUP(Q682/20,0)&gt;ROUNDUP(Q681/20,0),"Lần " &amp; ROUNDUP(Q682/20,0),"")</f>
        <v/>
      </c>
      <c r="AC682" s="9">
        <f>IF(ROUNDUP(R682/20,0)&gt;ROUNDUP(R681/20,0),"Lần " &amp; ROUNDUP(R682/20,0),"")</f>
        <v/>
      </c>
      <c r="AD682" s="9">
        <f>IF(ROUNDUP(S682/20,0)&gt;ROUNDUP(S681/20,0),"Lần " &amp; ROUNDUP(S682/20,0),"")</f>
        <v/>
      </c>
      <c r="AE682" s="9">
        <f>IF(ROUNDUP(T682/20,0)&gt;ROUNDUP(T681/20,0),"Lần " &amp; ROUNDUP(T682/20,0),"")</f>
        <v/>
      </c>
      <c r="AF682" s="9">
        <f>IF(ROUNDUP(U682/20,0)&gt;ROUNDUP(U681/20,0),"Lần " &amp; ROUNDUP(U682/20,0),"")</f>
        <v/>
      </c>
      <c r="AG682" s="9">
        <f>IF(ROUNDUP(V682/20,0)&gt;ROUNDUP(V681/20,0),"Lần " &amp; ROUNDUP(V682/20,0),"")</f>
        <v/>
      </c>
      <c r="AH682" s="9">
        <f>IF(ROUNDUP(W682/20,0)&gt;ROUNDUP(W681/20,0),"Lần " &amp; ROUNDUP(W682/20,0),"")</f>
        <v/>
      </c>
      <c r="AI682" s="9">
        <f>IF(ROUNDUP(X682/20,0)&gt;ROUNDUP(X681/20,0),"Lần " &amp; ROUNDUP(X682/20,0),"")</f>
        <v/>
      </c>
      <c r="AJ682" s="9">
        <f>IF(ROUNDUP(Y682/20,0)&gt;ROUNDUP(Y681/20,0),"Lần " &amp; ROUNDUP(Y682/20,0),"")</f>
        <v/>
      </c>
      <c r="AK682" s="9">
        <f>IF(ROUNDUP(Z682/20,0)&gt;ROUNDUP(Z681/20,0),"Lần " &amp; ROUNDUP(Z682/20,0),"")</f>
        <v/>
      </c>
      <c r="AL682" s="4" t="n"/>
      <c r="AN682" s="596" t="inlineStr">
        <is>
          <t>Dam</t>
        </is>
      </c>
      <c r="AO682" s="596" t="n">
        <v>59</v>
      </c>
      <c r="AQ682" s="594" t="n"/>
      <c r="AR682" s="595" t="n"/>
    </row>
    <row r="683" ht="19" customHeight="1" s="672">
      <c r="A683" s="4" t="n">
        <v>646</v>
      </c>
      <c r="B683" s="5" t="inlineStr">
        <is>
          <t>Dầm chủ Super-T (15 phiến L=38.2m)</t>
        </is>
      </c>
      <c r="C683" s="5" t="inlineStr">
        <is>
          <t>Dầm S1B1 (tr.88)</t>
        </is>
      </c>
      <c r="D683" s="14" t="inlineStr">
        <is>
          <t>E1</t>
        </is>
      </c>
      <c r="E683" s="15" t="n">
        <v>16</v>
      </c>
      <c r="F683" s="4" t="inlineStr">
        <is>
          <t>CB400-V</t>
        </is>
      </c>
      <c r="G683" s="5" t="inlineStr">
        <is>
          <t>S06</t>
        </is>
      </c>
      <c r="H683" s="16" t="n">
        <v>2.376</v>
      </c>
      <c r="I683" s="17" t="n">
        <v>504</v>
      </c>
      <c r="J683" s="18" t="n">
        <v>1.578</v>
      </c>
      <c r="K683" s="7">
        <f>ROUND(H683*I683*J683, 2)</f>
        <v/>
      </c>
      <c r="L683" s="19">
        <f>ROUND(K683/1000, 3)</f>
        <v/>
      </c>
      <c r="M683" s="728">
        <f>IF(AO683="","",IF(N(INDEX(Theo_Doi_Tan_Suat_Be_Tong!$C:$C,AO683))&lt;=0,"",INDEX(Theo_Doi_Tan_Suat_Be_Tong!$C:$C,AO683)-VLOOKUP(AN683,$AQ$2:$AR$7,2,FALSE)))</f>
        <v/>
      </c>
      <c r="N683" s="4" t="n"/>
      <c r="O683" s="20">
        <f>IF(ROUNDUP(S683/20,0)&gt;ROUNDUP(S682/20,0),"TN Ø16 (Lần " &amp; ROUNDUP(S683/20,0) &amp; ")","")</f>
        <v/>
      </c>
      <c r="P683" s="16">
        <f>ROUND(P682+IF(AND(E683&lt;=10,F683&lt;&gt;"ASTM A416"),L683,0),3)</f>
        <v/>
      </c>
      <c r="Q683" s="16">
        <f>ROUND(Q682+IF(AND(E683=12,F683&lt;&gt;"ASTM A416"),L683,0),3)</f>
        <v/>
      </c>
      <c r="R683" s="16">
        <f>ROUND(R682+IF(AND(E683=14,F683&lt;&gt;"ASTM A416"),L683,0),3)</f>
        <v/>
      </c>
      <c r="S683" s="16">
        <f>ROUND(S682+IF(AND(E683=16,F683&lt;&gt;"ASTM A416"),L683,0),3)</f>
        <v/>
      </c>
      <c r="T683" s="16">
        <f>ROUND(T682+IF(AND(E683=18,F683&lt;&gt;"ASTM A416"),L683,0),3)</f>
        <v/>
      </c>
      <c r="U683" s="16">
        <f>ROUND(U682+IF(AND(E683=20,F683&lt;&gt;"ASTM A416"),L683,0),3)</f>
        <v/>
      </c>
      <c r="V683" s="16">
        <f>ROUND(V682+IF(AND(E683=22,F683&lt;&gt;"ASTM A416"),L683,0),3)</f>
        <v/>
      </c>
      <c r="W683" s="16">
        <f>ROUND(W682+IF(AND(E683=25,F683&lt;&gt;"ASTM A416"),L683,0),3)</f>
        <v/>
      </c>
      <c r="X683" s="16">
        <f>ROUND(X682+IF(AND(E683=28,F683&lt;&gt;"ASTM A416"),L683,0),3)</f>
        <v/>
      </c>
      <c r="Y683" s="16">
        <f>ROUND(Y682+IF(AND(E683=32,F683&lt;&gt;"ASTM A416"),L683,0),3)</f>
        <v/>
      </c>
      <c r="Z683" s="16">
        <f>ROUND(Z682+IF(F683="ASTM A416",L683,0),3)</f>
        <v/>
      </c>
      <c r="AA683" s="9">
        <f>IF(ROUNDUP(P683/20,0)&gt;ROUNDUP(P682/20,0),"Lần " &amp; ROUNDUP(P683/20,0),"")</f>
        <v/>
      </c>
      <c r="AB683" s="9">
        <f>IF(ROUNDUP(Q683/20,0)&gt;ROUNDUP(Q682/20,0),"Lần " &amp; ROUNDUP(Q683/20,0),"")</f>
        <v/>
      </c>
      <c r="AC683" s="9">
        <f>IF(ROUNDUP(R683/20,0)&gt;ROUNDUP(R682/20,0),"Lần " &amp; ROUNDUP(R683/20,0),"")</f>
        <v/>
      </c>
      <c r="AD683" s="9">
        <f>IF(ROUNDUP(S683/20,0)&gt;ROUNDUP(S682/20,0),"Lần " &amp; ROUNDUP(S683/20,0),"")</f>
        <v/>
      </c>
      <c r="AE683" s="9">
        <f>IF(ROUNDUP(T683/20,0)&gt;ROUNDUP(T682/20,0),"Lần " &amp; ROUNDUP(T683/20,0),"")</f>
        <v/>
      </c>
      <c r="AF683" s="9">
        <f>IF(ROUNDUP(U683/20,0)&gt;ROUNDUP(U682/20,0),"Lần " &amp; ROUNDUP(U683/20,0),"")</f>
        <v/>
      </c>
      <c r="AG683" s="9">
        <f>IF(ROUNDUP(V683/20,0)&gt;ROUNDUP(V682/20,0),"Lần " &amp; ROUNDUP(V683/20,0),"")</f>
        <v/>
      </c>
      <c r="AH683" s="9">
        <f>IF(ROUNDUP(W683/20,0)&gt;ROUNDUP(W682/20,0),"Lần " &amp; ROUNDUP(W683/20,0),"")</f>
        <v/>
      </c>
      <c r="AI683" s="9">
        <f>IF(ROUNDUP(X683/20,0)&gt;ROUNDUP(X682/20,0),"Lần " &amp; ROUNDUP(X683/20,0),"")</f>
        <v/>
      </c>
      <c r="AJ683" s="9">
        <f>IF(ROUNDUP(Y683/20,0)&gt;ROUNDUP(Y682/20,0),"Lần " &amp; ROUNDUP(Y683/20,0),"")</f>
        <v/>
      </c>
      <c r="AK683" s="9">
        <f>IF(ROUNDUP(Z683/20,0)&gt;ROUNDUP(Z682/20,0),"Lần " &amp; ROUNDUP(Z683/20,0),"")</f>
        <v/>
      </c>
      <c r="AL683" s="4" t="n"/>
      <c r="AN683" s="596" t="inlineStr">
        <is>
          <t>Dam</t>
        </is>
      </c>
      <c r="AO683" s="596" t="n">
        <v>59</v>
      </c>
      <c r="AQ683" s="594" t="n"/>
      <c r="AR683" s="595" t="n"/>
    </row>
    <row r="684" ht="19" customHeight="1" s="672">
      <c r="A684" s="4" t="n">
        <v>647</v>
      </c>
      <c r="B684" s="5" t="inlineStr">
        <is>
          <t>Dầm chủ Super-T (15 phiến L=38.2m)</t>
        </is>
      </c>
      <c r="C684" s="5" t="inlineStr">
        <is>
          <t>Dầm S1B1 (tr.88)</t>
        </is>
      </c>
      <c r="D684" s="14" t="inlineStr">
        <is>
          <t>E2</t>
        </is>
      </c>
      <c r="E684" s="15" t="n">
        <v>16</v>
      </c>
      <c r="F684" s="4" t="inlineStr">
        <is>
          <t>CB400-V</t>
        </is>
      </c>
      <c r="G684" s="5" t="inlineStr">
        <is>
          <t>S06</t>
        </is>
      </c>
      <c r="H684" s="16" t="n">
        <v>3.932</v>
      </c>
      <c r="I684" s="17" t="n">
        <v>40</v>
      </c>
      <c r="J684" s="18" t="n">
        <v>1.578</v>
      </c>
      <c r="K684" s="7">
        <f>ROUND(H684*I684*J684, 2)</f>
        <v/>
      </c>
      <c r="L684" s="19">
        <f>ROUND(K684/1000, 3)</f>
        <v/>
      </c>
      <c r="M684" s="728">
        <f>IF(AO684="","",IF(N(INDEX(Theo_Doi_Tan_Suat_Be_Tong!$C:$C,AO684))&lt;=0,"",INDEX(Theo_Doi_Tan_Suat_Be_Tong!$C:$C,AO684)-VLOOKUP(AN684,$AQ$2:$AR$7,2,FALSE)))</f>
        <v/>
      </c>
      <c r="N684" s="4" t="n"/>
      <c r="O684" s="20">
        <f>IF(ROUNDUP(S684/20,0)&gt;ROUNDUP(S683/20,0),"TN Ø16 (Lần " &amp; ROUNDUP(S684/20,0) &amp; ")","")</f>
        <v/>
      </c>
      <c r="P684" s="16">
        <f>ROUND(P683+IF(AND(E684&lt;=10,F684&lt;&gt;"ASTM A416"),L684,0),3)</f>
        <v/>
      </c>
      <c r="Q684" s="16">
        <f>ROUND(Q683+IF(AND(E684=12,F684&lt;&gt;"ASTM A416"),L684,0),3)</f>
        <v/>
      </c>
      <c r="R684" s="16">
        <f>ROUND(R683+IF(AND(E684=14,F684&lt;&gt;"ASTM A416"),L684,0),3)</f>
        <v/>
      </c>
      <c r="S684" s="16">
        <f>ROUND(S683+IF(AND(E684=16,F684&lt;&gt;"ASTM A416"),L684,0),3)</f>
        <v/>
      </c>
      <c r="T684" s="16">
        <f>ROUND(T683+IF(AND(E684=18,F684&lt;&gt;"ASTM A416"),L684,0),3)</f>
        <v/>
      </c>
      <c r="U684" s="16">
        <f>ROUND(U683+IF(AND(E684=20,F684&lt;&gt;"ASTM A416"),L684,0),3)</f>
        <v/>
      </c>
      <c r="V684" s="16">
        <f>ROUND(V683+IF(AND(E684=22,F684&lt;&gt;"ASTM A416"),L684,0),3)</f>
        <v/>
      </c>
      <c r="W684" s="16">
        <f>ROUND(W683+IF(AND(E684=25,F684&lt;&gt;"ASTM A416"),L684,0),3)</f>
        <v/>
      </c>
      <c r="X684" s="16">
        <f>ROUND(X683+IF(AND(E684=28,F684&lt;&gt;"ASTM A416"),L684,0),3)</f>
        <v/>
      </c>
      <c r="Y684" s="16">
        <f>ROUND(Y683+IF(AND(E684=32,F684&lt;&gt;"ASTM A416"),L684,0),3)</f>
        <v/>
      </c>
      <c r="Z684" s="16">
        <f>ROUND(Z683+IF(F684="ASTM A416",L684,0),3)</f>
        <v/>
      </c>
      <c r="AA684" s="9">
        <f>IF(ROUNDUP(P684/20,0)&gt;ROUNDUP(P683/20,0),"Lần " &amp; ROUNDUP(P684/20,0),"")</f>
        <v/>
      </c>
      <c r="AB684" s="9">
        <f>IF(ROUNDUP(Q684/20,0)&gt;ROUNDUP(Q683/20,0),"Lần " &amp; ROUNDUP(Q684/20,0),"")</f>
        <v/>
      </c>
      <c r="AC684" s="9">
        <f>IF(ROUNDUP(R684/20,0)&gt;ROUNDUP(R683/20,0),"Lần " &amp; ROUNDUP(R684/20,0),"")</f>
        <v/>
      </c>
      <c r="AD684" s="9">
        <f>IF(ROUNDUP(S684/20,0)&gt;ROUNDUP(S683/20,0),"Lần " &amp; ROUNDUP(S684/20,0),"")</f>
        <v/>
      </c>
      <c r="AE684" s="9">
        <f>IF(ROUNDUP(T684/20,0)&gt;ROUNDUP(T683/20,0),"Lần " &amp; ROUNDUP(T684/20,0),"")</f>
        <v/>
      </c>
      <c r="AF684" s="9">
        <f>IF(ROUNDUP(U684/20,0)&gt;ROUNDUP(U683/20,0),"Lần " &amp; ROUNDUP(U684/20,0),"")</f>
        <v/>
      </c>
      <c r="AG684" s="9">
        <f>IF(ROUNDUP(V684/20,0)&gt;ROUNDUP(V683/20,0),"Lần " &amp; ROUNDUP(V684/20,0),"")</f>
        <v/>
      </c>
      <c r="AH684" s="9">
        <f>IF(ROUNDUP(W684/20,0)&gt;ROUNDUP(W683/20,0),"Lần " &amp; ROUNDUP(W684/20,0),"")</f>
        <v/>
      </c>
      <c r="AI684" s="9">
        <f>IF(ROUNDUP(X684/20,0)&gt;ROUNDUP(X683/20,0),"Lần " &amp; ROUNDUP(X684/20,0),"")</f>
        <v/>
      </c>
      <c r="AJ684" s="9">
        <f>IF(ROUNDUP(Y684/20,0)&gt;ROUNDUP(Y683/20,0),"Lần " &amp; ROUNDUP(Y684/20,0),"")</f>
        <v/>
      </c>
      <c r="AK684" s="9">
        <f>IF(ROUNDUP(Z684/20,0)&gt;ROUNDUP(Z683/20,0),"Lần " &amp; ROUNDUP(Z684/20,0),"")</f>
        <v/>
      </c>
      <c r="AL684" s="4" t="n"/>
      <c r="AN684" s="596" t="inlineStr">
        <is>
          <t>Dam</t>
        </is>
      </c>
      <c r="AO684" s="596" t="n">
        <v>59</v>
      </c>
      <c r="AQ684" s="594" t="n"/>
      <c r="AR684" s="595" t="n"/>
    </row>
    <row r="685" ht="19" customHeight="1" s="672">
      <c r="A685" s="4" t="n">
        <v>648</v>
      </c>
      <c r="B685" s="5" t="inlineStr">
        <is>
          <t>Dầm chủ Super-T (15 phiến L=38.2m)</t>
        </is>
      </c>
      <c r="C685" s="5" t="inlineStr">
        <is>
          <t>Dầm S1B1 (tr.88)</t>
        </is>
      </c>
      <c r="D685" s="14" t="inlineStr">
        <is>
          <t>Thanh neo</t>
        </is>
      </c>
      <c r="E685" s="15" t="n">
        <v>20</v>
      </c>
      <c r="F685" s="4" t="inlineStr">
        <is>
          <t>CB400-V</t>
        </is>
      </c>
      <c r="G685" s="5" t="inlineStr">
        <is>
          <t>S06</t>
        </is>
      </c>
      <c r="H685" s="16" t="n">
        <v>0.11</v>
      </c>
      <c r="I685" s="17" t="n">
        <v>16</v>
      </c>
      <c r="J685" s="18" t="n">
        <v>2.466</v>
      </c>
      <c r="K685" s="7">
        <f>ROUND(H685*I685*J685, 2)</f>
        <v/>
      </c>
      <c r="L685" s="19">
        <f>ROUND(K685/1000, 3)</f>
        <v/>
      </c>
      <c r="M685" s="728">
        <f>IF(AO685="","",IF(N(INDEX(Theo_Doi_Tan_Suat_Be_Tong!$C:$C,AO685))&lt;=0,"",INDEX(Theo_Doi_Tan_Suat_Be_Tong!$C:$C,AO685)-VLOOKUP(AN685,$AQ$2:$AR$7,2,FALSE)))</f>
        <v/>
      </c>
      <c r="N685" s="4" t="n"/>
      <c r="O685" s="20">
        <f>IF(ROUNDUP(U685/20,0)&gt;ROUNDUP(U684/20,0),"TN Ø20 (Lần " &amp; ROUNDUP(U685/20,0) &amp; ")","")</f>
        <v/>
      </c>
      <c r="P685" s="16">
        <f>ROUND(P684+IF(AND(E685&lt;=10,F685&lt;&gt;"ASTM A416"),L685,0),3)</f>
        <v/>
      </c>
      <c r="Q685" s="16">
        <f>ROUND(Q684+IF(AND(E685=12,F685&lt;&gt;"ASTM A416"),L685,0),3)</f>
        <v/>
      </c>
      <c r="R685" s="16">
        <f>ROUND(R684+IF(AND(E685=14,F685&lt;&gt;"ASTM A416"),L685,0),3)</f>
        <v/>
      </c>
      <c r="S685" s="16">
        <f>ROUND(S684+IF(AND(E685=16,F685&lt;&gt;"ASTM A416"),L685,0),3)</f>
        <v/>
      </c>
      <c r="T685" s="16">
        <f>ROUND(T684+IF(AND(E685=18,F685&lt;&gt;"ASTM A416"),L685,0),3)</f>
        <v/>
      </c>
      <c r="U685" s="16">
        <f>ROUND(U684+IF(AND(E685=20,F685&lt;&gt;"ASTM A416"),L685,0),3)</f>
        <v/>
      </c>
      <c r="V685" s="16">
        <f>ROUND(V684+IF(AND(E685=22,F685&lt;&gt;"ASTM A416"),L685,0),3)</f>
        <v/>
      </c>
      <c r="W685" s="16">
        <f>ROUND(W684+IF(AND(E685=25,F685&lt;&gt;"ASTM A416"),L685,0),3)</f>
        <v/>
      </c>
      <c r="X685" s="16">
        <f>ROUND(X684+IF(AND(E685=28,F685&lt;&gt;"ASTM A416"),L685,0),3)</f>
        <v/>
      </c>
      <c r="Y685" s="16">
        <f>ROUND(Y684+IF(AND(E685=32,F685&lt;&gt;"ASTM A416"),L685,0),3)</f>
        <v/>
      </c>
      <c r="Z685" s="16">
        <f>ROUND(Z684+IF(F685="ASTM A416",L685,0),3)</f>
        <v/>
      </c>
      <c r="AA685" s="9">
        <f>IF(ROUNDUP(P685/20,0)&gt;ROUNDUP(P684/20,0),"Lần " &amp; ROUNDUP(P685/20,0),"")</f>
        <v/>
      </c>
      <c r="AB685" s="9">
        <f>IF(ROUNDUP(Q685/20,0)&gt;ROUNDUP(Q684/20,0),"Lần " &amp; ROUNDUP(Q685/20,0),"")</f>
        <v/>
      </c>
      <c r="AC685" s="9">
        <f>IF(ROUNDUP(R685/20,0)&gt;ROUNDUP(R684/20,0),"Lần " &amp; ROUNDUP(R685/20,0),"")</f>
        <v/>
      </c>
      <c r="AD685" s="9">
        <f>IF(ROUNDUP(S685/20,0)&gt;ROUNDUP(S684/20,0),"Lần " &amp; ROUNDUP(S685/20,0),"")</f>
        <v/>
      </c>
      <c r="AE685" s="9">
        <f>IF(ROUNDUP(T685/20,0)&gt;ROUNDUP(T684/20,0),"Lần " &amp; ROUNDUP(T685/20,0),"")</f>
        <v/>
      </c>
      <c r="AF685" s="9">
        <f>IF(ROUNDUP(U685/20,0)&gt;ROUNDUP(U684/20,0),"Lần " &amp; ROUNDUP(U685/20,0),"")</f>
        <v/>
      </c>
      <c r="AG685" s="9">
        <f>IF(ROUNDUP(V685/20,0)&gt;ROUNDUP(V684/20,0),"Lần " &amp; ROUNDUP(V685/20,0),"")</f>
        <v/>
      </c>
      <c r="AH685" s="9">
        <f>IF(ROUNDUP(W685/20,0)&gt;ROUNDUP(W684/20,0),"Lần " &amp; ROUNDUP(W685/20,0),"")</f>
        <v/>
      </c>
      <c r="AI685" s="9">
        <f>IF(ROUNDUP(X685/20,0)&gt;ROUNDUP(X684/20,0),"Lần " &amp; ROUNDUP(X685/20,0),"")</f>
        <v/>
      </c>
      <c r="AJ685" s="9">
        <f>IF(ROUNDUP(Y685/20,0)&gt;ROUNDUP(Y684/20,0),"Lần " &amp; ROUNDUP(Y685/20,0),"")</f>
        <v/>
      </c>
      <c r="AK685" s="9">
        <f>IF(ROUNDUP(Z685/20,0)&gt;ROUNDUP(Z684/20,0),"Lần " &amp; ROUNDUP(Z685/20,0),"")</f>
        <v/>
      </c>
      <c r="AL685" s="4" t="n"/>
      <c r="AN685" s="596" t="inlineStr">
        <is>
          <t>Dam</t>
        </is>
      </c>
      <c r="AO685" s="596" t="n">
        <v>59</v>
      </c>
      <c r="AQ685" s="594" t="n"/>
      <c r="AR685" s="595" t="n"/>
    </row>
    <row r="686" ht="19" customHeight="1" s="672">
      <c r="A686" s="4" t="n">
        <v>649</v>
      </c>
      <c r="B686" s="5" t="inlineStr">
        <is>
          <t>Dầm chủ Super-T (15 phiến L=38.2m)</t>
        </is>
      </c>
      <c r="C686" s="5" t="inlineStr">
        <is>
          <t>Dầm S1B1 (tr.88)</t>
        </is>
      </c>
      <c r="D686" s="14" t="inlineStr">
        <is>
          <t>K1a</t>
        </is>
      </c>
      <c r="E686" s="15" t="n">
        <v>16</v>
      </c>
      <c r="F686" s="4" t="inlineStr">
        <is>
          <t>CB400-V</t>
        </is>
      </c>
      <c r="G686" s="5" t="inlineStr">
        <is>
          <t>S06</t>
        </is>
      </c>
      <c r="H686" s="16" t="n">
        <v>0.976</v>
      </c>
      <c r="I686" s="17" t="n">
        <v>16</v>
      </c>
      <c r="J686" s="18" t="n">
        <v>1.578</v>
      </c>
      <c r="K686" s="7">
        <f>ROUND(H686*I686*J686, 2)</f>
        <v/>
      </c>
      <c r="L686" s="19">
        <f>ROUND(K686/1000, 3)</f>
        <v/>
      </c>
      <c r="M686" s="728">
        <f>IF(AO686="","",IF(N(INDEX(Theo_Doi_Tan_Suat_Be_Tong!$C:$C,AO686))&lt;=0,"",INDEX(Theo_Doi_Tan_Suat_Be_Tong!$C:$C,AO686)-VLOOKUP(AN686,$AQ$2:$AR$7,2,FALSE)))</f>
        <v/>
      </c>
      <c r="N686" s="4" t="n"/>
      <c r="O686" s="20">
        <f>IF(ROUNDUP(S686/20,0)&gt;ROUNDUP(S685/20,0),"TN Ø16 (Lần " &amp; ROUNDUP(S686/20,0) &amp; ")","")</f>
        <v/>
      </c>
      <c r="P686" s="16">
        <f>ROUND(P685+IF(AND(E686&lt;=10,F686&lt;&gt;"ASTM A416"),L686,0),3)</f>
        <v/>
      </c>
      <c r="Q686" s="16">
        <f>ROUND(Q685+IF(AND(E686=12,F686&lt;&gt;"ASTM A416"),L686,0),3)</f>
        <v/>
      </c>
      <c r="R686" s="16">
        <f>ROUND(R685+IF(AND(E686=14,F686&lt;&gt;"ASTM A416"),L686,0),3)</f>
        <v/>
      </c>
      <c r="S686" s="16">
        <f>ROUND(S685+IF(AND(E686=16,F686&lt;&gt;"ASTM A416"),L686,0),3)</f>
        <v/>
      </c>
      <c r="T686" s="16">
        <f>ROUND(T685+IF(AND(E686=18,F686&lt;&gt;"ASTM A416"),L686,0),3)</f>
        <v/>
      </c>
      <c r="U686" s="16">
        <f>ROUND(U685+IF(AND(E686=20,F686&lt;&gt;"ASTM A416"),L686,0),3)</f>
        <v/>
      </c>
      <c r="V686" s="16">
        <f>ROUND(V685+IF(AND(E686=22,F686&lt;&gt;"ASTM A416"),L686,0),3)</f>
        <v/>
      </c>
      <c r="W686" s="16">
        <f>ROUND(W685+IF(AND(E686=25,F686&lt;&gt;"ASTM A416"),L686,0),3)</f>
        <v/>
      </c>
      <c r="X686" s="16">
        <f>ROUND(X685+IF(AND(E686=28,F686&lt;&gt;"ASTM A416"),L686,0),3)</f>
        <v/>
      </c>
      <c r="Y686" s="16">
        <f>ROUND(Y685+IF(AND(E686=32,F686&lt;&gt;"ASTM A416"),L686,0),3)</f>
        <v/>
      </c>
      <c r="Z686" s="16">
        <f>ROUND(Z685+IF(F686="ASTM A416",L686,0),3)</f>
        <v/>
      </c>
      <c r="AA686" s="9">
        <f>IF(ROUNDUP(P686/20,0)&gt;ROUNDUP(P685/20,0),"Lần " &amp; ROUNDUP(P686/20,0),"")</f>
        <v/>
      </c>
      <c r="AB686" s="9">
        <f>IF(ROUNDUP(Q686/20,0)&gt;ROUNDUP(Q685/20,0),"Lần " &amp; ROUNDUP(Q686/20,0),"")</f>
        <v/>
      </c>
      <c r="AC686" s="9">
        <f>IF(ROUNDUP(R686/20,0)&gt;ROUNDUP(R685/20,0),"Lần " &amp; ROUNDUP(R686/20,0),"")</f>
        <v/>
      </c>
      <c r="AD686" s="9">
        <f>IF(ROUNDUP(S686/20,0)&gt;ROUNDUP(S685/20,0),"Lần " &amp; ROUNDUP(S686/20,0),"")</f>
        <v/>
      </c>
      <c r="AE686" s="9">
        <f>IF(ROUNDUP(T686/20,0)&gt;ROUNDUP(T685/20,0),"Lần " &amp; ROUNDUP(T686/20,0),"")</f>
        <v/>
      </c>
      <c r="AF686" s="9">
        <f>IF(ROUNDUP(U686/20,0)&gt;ROUNDUP(U685/20,0),"Lần " &amp; ROUNDUP(U686/20,0),"")</f>
        <v/>
      </c>
      <c r="AG686" s="9">
        <f>IF(ROUNDUP(V686/20,0)&gt;ROUNDUP(V685/20,0),"Lần " &amp; ROUNDUP(V686/20,0),"")</f>
        <v/>
      </c>
      <c r="AH686" s="9">
        <f>IF(ROUNDUP(W686/20,0)&gt;ROUNDUP(W685/20,0),"Lần " &amp; ROUNDUP(W686/20,0),"")</f>
        <v/>
      </c>
      <c r="AI686" s="9">
        <f>IF(ROUNDUP(X686/20,0)&gt;ROUNDUP(X685/20,0),"Lần " &amp; ROUNDUP(X686/20,0),"")</f>
        <v/>
      </c>
      <c r="AJ686" s="9">
        <f>IF(ROUNDUP(Y686/20,0)&gt;ROUNDUP(Y685/20,0),"Lần " &amp; ROUNDUP(Y686/20,0),"")</f>
        <v/>
      </c>
      <c r="AK686" s="9">
        <f>IF(ROUNDUP(Z686/20,0)&gt;ROUNDUP(Z685/20,0),"Lần " &amp; ROUNDUP(Z686/20,0),"")</f>
        <v/>
      </c>
      <c r="AL686" s="4" t="n"/>
      <c r="AN686" s="596" t="inlineStr">
        <is>
          <t>Dam</t>
        </is>
      </c>
      <c r="AO686" s="596" t="n">
        <v>59</v>
      </c>
      <c r="AQ686" s="594" t="n"/>
      <c r="AR686" s="595" t="n"/>
    </row>
    <row r="687" ht="19" customHeight="1" s="672">
      <c r="A687" s="4" t="n">
        <v>650</v>
      </c>
      <c r="B687" s="5" t="inlineStr">
        <is>
          <t>Dầm chủ Super-T (15 phiến L=38.2m)</t>
        </is>
      </c>
      <c r="C687" s="5" t="inlineStr">
        <is>
          <t>Dầm S1B1 (tr.88)</t>
        </is>
      </c>
      <c r="D687" s="14" t="inlineStr">
        <is>
          <t>K1b</t>
        </is>
      </c>
      <c r="E687" s="15" t="n">
        <v>16</v>
      </c>
      <c r="F687" s="4" t="inlineStr">
        <is>
          <t>CB400-V</t>
        </is>
      </c>
      <c r="G687" s="5" t="inlineStr">
        <is>
          <t>S06</t>
        </is>
      </c>
      <c r="H687" s="16" t="n">
        <v>0.776</v>
      </c>
      <c r="I687" s="17" t="n">
        <v>16</v>
      </c>
      <c r="J687" s="18" t="n">
        <v>1.578</v>
      </c>
      <c r="K687" s="7">
        <f>ROUND(H687*I687*J687, 2)</f>
        <v/>
      </c>
      <c r="L687" s="19">
        <f>ROUND(K687/1000, 3)</f>
        <v/>
      </c>
      <c r="M687" s="728">
        <f>IF(AO687="","",IF(N(INDEX(Theo_Doi_Tan_Suat_Be_Tong!$C:$C,AO687))&lt;=0,"",INDEX(Theo_Doi_Tan_Suat_Be_Tong!$C:$C,AO687)-VLOOKUP(AN687,$AQ$2:$AR$7,2,FALSE)))</f>
        <v/>
      </c>
      <c r="N687" s="4" t="n"/>
      <c r="O687" s="20">
        <f>IF(ROUNDUP(S687/20,0)&gt;ROUNDUP(S686/20,0),"TN Ø16 (Lần " &amp; ROUNDUP(S687/20,0) &amp; ")","")</f>
        <v/>
      </c>
      <c r="P687" s="16">
        <f>ROUND(P686+IF(AND(E687&lt;=10,F687&lt;&gt;"ASTM A416"),L687,0),3)</f>
        <v/>
      </c>
      <c r="Q687" s="16">
        <f>ROUND(Q686+IF(AND(E687=12,F687&lt;&gt;"ASTM A416"),L687,0),3)</f>
        <v/>
      </c>
      <c r="R687" s="16">
        <f>ROUND(R686+IF(AND(E687=14,F687&lt;&gt;"ASTM A416"),L687,0),3)</f>
        <v/>
      </c>
      <c r="S687" s="16">
        <f>ROUND(S686+IF(AND(E687=16,F687&lt;&gt;"ASTM A416"),L687,0),3)</f>
        <v/>
      </c>
      <c r="T687" s="16">
        <f>ROUND(T686+IF(AND(E687=18,F687&lt;&gt;"ASTM A416"),L687,0),3)</f>
        <v/>
      </c>
      <c r="U687" s="16">
        <f>ROUND(U686+IF(AND(E687=20,F687&lt;&gt;"ASTM A416"),L687,0),3)</f>
        <v/>
      </c>
      <c r="V687" s="16">
        <f>ROUND(V686+IF(AND(E687=22,F687&lt;&gt;"ASTM A416"),L687,0),3)</f>
        <v/>
      </c>
      <c r="W687" s="16">
        <f>ROUND(W686+IF(AND(E687=25,F687&lt;&gt;"ASTM A416"),L687,0),3)</f>
        <v/>
      </c>
      <c r="X687" s="16">
        <f>ROUND(X686+IF(AND(E687=28,F687&lt;&gt;"ASTM A416"),L687,0),3)</f>
        <v/>
      </c>
      <c r="Y687" s="16">
        <f>ROUND(Y686+IF(AND(E687=32,F687&lt;&gt;"ASTM A416"),L687,0),3)</f>
        <v/>
      </c>
      <c r="Z687" s="16">
        <f>ROUND(Z686+IF(F687="ASTM A416",L687,0),3)</f>
        <v/>
      </c>
      <c r="AA687" s="9">
        <f>IF(ROUNDUP(P687/20,0)&gt;ROUNDUP(P686/20,0),"Lần " &amp; ROUNDUP(P687/20,0),"")</f>
        <v/>
      </c>
      <c r="AB687" s="9">
        <f>IF(ROUNDUP(Q687/20,0)&gt;ROUNDUP(Q686/20,0),"Lần " &amp; ROUNDUP(Q687/20,0),"")</f>
        <v/>
      </c>
      <c r="AC687" s="9">
        <f>IF(ROUNDUP(R687/20,0)&gt;ROUNDUP(R686/20,0),"Lần " &amp; ROUNDUP(R687/20,0),"")</f>
        <v/>
      </c>
      <c r="AD687" s="9">
        <f>IF(ROUNDUP(S687/20,0)&gt;ROUNDUP(S686/20,0),"Lần " &amp; ROUNDUP(S687/20,0),"")</f>
        <v/>
      </c>
      <c r="AE687" s="9">
        <f>IF(ROUNDUP(T687/20,0)&gt;ROUNDUP(T686/20,0),"Lần " &amp; ROUNDUP(T687/20,0),"")</f>
        <v/>
      </c>
      <c r="AF687" s="9">
        <f>IF(ROUNDUP(U687/20,0)&gt;ROUNDUP(U686/20,0),"Lần " &amp; ROUNDUP(U687/20,0),"")</f>
        <v/>
      </c>
      <c r="AG687" s="9">
        <f>IF(ROUNDUP(V687/20,0)&gt;ROUNDUP(V686/20,0),"Lần " &amp; ROUNDUP(V687/20,0),"")</f>
        <v/>
      </c>
      <c r="AH687" s="9">
        <f>IF(ROUNDUP(W687/20,0)&gt;ROUNDUP(W686/20,0),"Lần " &amp; ROUNDUP(W687/20,0),"")</f>
        <v/>
      </c>
      <c r="AI687" s="9">
        <f>IF(ROUNDUP(X687/20,0)&gt;ROUNDUP(X686/20,0),"Lần " &amp; ROUNDUP(X687/20,0),"")</f>
        <v/>
      </c>
      <c r="AJ687" s="9">
        <f>IF(ROUNDUP(Y687/20,0)&gt;ROUNDUP(Y686/20,0),"Lần " &amp; ROUNDUP(Y687/20,0),"")</f>
        <v/>
      </c>
      <c r="AK687" s="9">
        <f>IF(ROUNDUP(Z687/20,0)&gt;ROUNDUP(Z686/20,0),"Lần " &amp; ROUNDUP(Z687/20,0),"")</f>
        <v/>
      </c>
      <c r="AL687" s="4" t="n"/>
      <c r="AN687" s="596" t="inlineStr">
        <is>
          <t>Dam</t>
        </is>
      </c>
      <c r="AO687" s="596" t="n">
        <v>59</v>
      </c>
      <c r="AQ687" s="594" t="n"/>
      <c r="AR687" s="595" t="n"/>
    </row>
    <row r="688" ht="19" customHeight="1" s="672">
      <c r="A688" s="4" t="n">
        <v>651</v>
      </c>
      <c r="B688" s="5" t="inlineStr">
        <is>
          <t>Dầm chủ Super-T (15 phiến L=38.2m)</t>
        </is>
      </c>
      <c r="C688" s="5" t="inlineStr">
        <is>
          <t>Dầm S1B2 (tr.91)</t>
        </is>
      </c>
      <c r="D688" s="14" t="inlineStr">
        <is>
          <t>G1a</t>
        </is>
      </c>
      <c r="E688" s="15" t="n">
        <v>16</v>
      </c>
      <c r="F688" s="4" t="inlineStr">
        <is>
          <t>CB400-V</t>
        </is>
      </c>
      <c r="G688" s="5" t="inlineStr">
        <is>
          <t>S06</t>
        </is>
      </c>
      <c r="H688" s="16" t="n">
        <v>5.056</v>
      </c>
      <c r="I688" s="17" t="n">
        <v>432</v>
      </c>
      <c r="J688" s="18" t="n">
        <v>1.578</v>
      </c>
      <c r="K688" s="7">
        <f>ROUND(H688*I688*J688, 2)</f>
        <v/>
      </c>
      <c r="L688" s="19">
        <f>ROUND(K688/1000, 3)</f>
        <v/>
      </c>
      <c r="M688" s="728">
        <f>IF(AO688="","",IF(N(INDEX(Theo_Doi_Tan_Suat_Be_Tong!$C:$C,AO688))&lt;=0,"",INDEX(Theo_Doi_Tan_Suat_Be_Tong!$C:$C,AO688)-VLOOKUP(AN688,$AQ$2:$AR$7,2,FALSE)))</f>
        <v/>
      </c>
      <c r="N688" s="4" t="n"/>
      <c r="O688" s="20">
        <f>IF(ROUNDUP(S688/20,0)&gt;ROUNDUP(S687/20,0),"TN Ø16 (Lần " &amp; ROUNDUP(S688/20,0) &amp; ")","")</f>
        <v/>
      </c>
      <c r="P688" s="16">
        <f>ROUND(P687+IF(AND(E688&lt;=10,F688&lt;&gt;"ASTM A416"),L688,0),3)</f>
        <v/>
      </c>
      <c r="Q688" s="16">
        <f>ROUND(Q687+IF(AND(E688=12,F688&lt;&gt;"ASTM A416"),L688,0),3)</f>
        <v/>
      </c>
      <c r="R688" s="16">
        <f>ROUND(R687+IF(AND(E688=14,F688&lt;&gt;"ASTM A416"),L688,0),3)</f>
        <v/>
      </c>
      <c r="S688" s="16">
        <f>ROUND(S687+IF(AND(E688=16,F688&lt;&gt;"ASTM A416"),L688,0),3)</f>
        <v/>
      </c>
      <c r="T688" s="16">
        <f>ROUND(T687+IF(AND(E688=18,F688&lt;&gt;"ASTM A416"),L688,0),3)</f>
        <v/>
      </c>
      <c r="U688" s="16">
        <f>ROUND(U687+IF(AND(E688=20,F688&lt;&gt;"ASTM A416"),L688,0),3)</f>
        <v/>
      </c>
      <c r="V688" s="16">
        <f>ROUND(V687+IF(AND(E688=22,F688&lt;&gt;"ASTM A416"),L688,0),3)</f>
        <v/>
      </c>
      <c r="W688" s="16">
        <f>ROUND(W687+IF(AND(E688=25,F688&lt;&gt;"ASTM A416"),L688,0),3)</f>
        <v/>
      </c>
      <c r="X688" s="16">
        <f>ROUND(X687+IF(AND(E688=28,F688&lt;&gt;"ASTM A416"),L688,0),3)</f>
        <v/>
      </c>
      <c r="Y688" s="16">
        <f>ROUND(Y687+IF(AND(E688=32,F688&lt;&gt;"ASTM A416"),L688,0),3)</f>
        <v/>
      </c>
      <c r="Z688" s="16">
        <f>ROUND(Z687+IF(F688="ASTM A416",L688,0),3)</f>
        <v/>
      </c>
      <c r="AA688" s="9">
        <f>IF(ROUNDUP(P688/20,0)&gt;ROUNDUP(P687/20,0),"Lần " &amp; ROUNDUP(P688/20,0),"")</f>
        <v/>
      </c>
      <c r="AB688" s="9">
        <f>IF(ROUNDUP(Q688/20,0)&gt;ROUNDUP(Q687/20,0),"Lần " &amp; ROUNDUP(Q688/20,0),"")</f>
        <v/>
      </c>
      <c r="AC688" s="9">
        <f>IF(ROUNDUP(R688/20,0)&gt;ROUNDUP(R687/20,0),"Lần " &amp; ROUNDUP(R688/20,0),"")</f>
        <v/>
      </c>
      <c r="AD688" s="9">
        <f>IF(ROUNDUP(S688/20,0)&gt;ROUNDUP(S687/20,0),"Lần " &amp; ROUNDUP(S688/20,0),"")</f>
        <v/>
      </c>
      <c r="AE688" s="9">
        <f>IF(ROUNDUP(T688/20,0)&gt;ROUNDUP(T687/20,0),"Lần " &amp; ROUNDUP(T688/20,0),"")</f>
        <v/>
      </c>
      <c r="AF688" s="9">
        <f>IF(ROUNDUP(U688/20,0)&gt;ROUNDUP(U687/20,0),"Lần " &amp; ROUNDUP(U688/20,0),"")</f>
        <v/>
      </c>
      <c r="AG688" s="9">
        <f>IF(ROUNDUP(V688/20,0)&gt;ROUNDUP(V687/20,0),"Lần " &amp; ROUNDUP(V688/20,0),"")</f>
        <v/>
      </c>
      <c r="AH688" s="9">
        <f>IF(ROUNDUP(W688/20,0)&gt;ROUNDUP(W687/20,0),"Lần " &amp; ROUNDUP(W688/20,0),"")</f>
        <v/>
      </c>
      <c r="AI688" s="9">
        <f>IF(ROUNDUP(X688/20,0)&gt;ROUNDUP(X687/20,0),"Lần " &amp; ROUNDUP(X688/20,0),"")</f>
        <v/>
      </c>
      <c r="AJ688" s="9">
        <f>IF(ROUNDUP(Y688/20,0)&gt;ROUNDUP(Y687/20,0),"Lần " &amp; ROUNDUP(Y688/20,0),"")</f>
        <v/>
      </c>
      <c r="AK688" s="9">
        <f>IF(ROUNDUP(Z688/20,0)&gt;ROUNDUP(Z687/20,0),"Lần " &amp; ROUNDUP(Z688/20,0),"")</f>
        <v/>
      </c>
      <c r="AL688" s="4" t="n"/>
      <c r="AN688" s="596" t="inlineStr">
        <is>
          <t>Dam</t>
        </is>
      </c>
      <c r="AO688" s="596" t="n">
        <v>59</v>
      </c>
      <c r="AQ688" s="594" t="n"/>
      <c r="AR688" s="595" t="n"/>
    </row>
    <row r="689" ht="19" customHeight="1" s="672">
      <c r="A689" s="4" t="n">
        <v>652</v>
      </c>
      <c r="B689" s="5" t="inlineStr">
        <is>
          <t>Dầm chủ Super-T (15 phiến L=38.2m)</t>
        </is>
      </c>
      <c r="C689" s="5" t="inlineStr">
        <is>
          <t>Dầm S1B2 (tr.91)</t>
        </is>
      </c>
      <c r="D689" s="14" t="inlineStr">
        <is>
          <t>G1b</t>
        </is>
      </c>
      <c r="E689" s="15" t="n">
        <v>12</v>
      </c>
      <c r="F689" s="4" t="inlineStr">
        <is>
          <t>CB400-V</t>
        </is>
      </c>
      <c r="G689" s="5" t="inlineStr">
        <is>
          <t>S06</t>
        </is>
      </c>
      <c r="H689" s="16" t="n">
        <v>5.075</v>
      </c>
      <c r="I689" s="17" t="n">
        <v>375</v>
      </c>
      <c r="J689" s="18" t="n">
        <v>0.888</v>
      </c>
      <c r="K689" s="7">
        <f>ROUND(H689*I689*J689, 2)</f>
        <v/>
      </c>
      <c r="L689" s="19">
        <f>ROUND(K689/1000, 3)</f>
        <v/>
      </c>
      <c r="M689" s="728">
        <f>IF(AO689="","",IF(N(INDEX(Theo_Doi_Tan_Suat_Be_Tong!$C:$C,AO689))&lt;=0,"",INDEX(Theo_Doi_Tan_Suat_Be_Tong!$C:$C,AO689)-VLOOKUP(AN689,$AQ$2:$AR$7,2,FALSE)))</f>
        <v/>
      </c>
      <c r="N689" s="4" t="n"/>
      <c r="O689" s="20">
        <f>IF(ROUNDUP(Q689/20,0)&gt;ROUNDUP(Q688/20,0),"TN Ø12 (Lần " &amp; ROUNDUP(Q689/20,0) &amp; ")","")</f>
        <v/>
      </c>
      <c r="P689" s="16">
        <f>ROUND(P688+IF(AND(E689&lt;=10,F689&lt;&gt;"ASTM A416"),L689,0),3)</f>
        <v/>
      </c>
      <c r="Q689" s="16">
        <f>ROUND(Q688+IF(AND(E689=12,F689&lt;&gt;"ASTM A416"),L689,0),3)</f>
        <v/>
      </c>
      <c r="R689" s="16">
        <f>ROUND(R688+IF(AND(E689=14,F689&lt;&gt;"ASTM A416"),L689,0),3)</f>
        <v/>
      </c>
      <c r="S689" s="16">
        <f>ROUND(S688+IF(AND(E689=16,F689&lt;&gt;"ASTM A416"),L689,0),3)</f>
        <v/>
      </c>
      <c r="T689" s="16">
        <f>ROUND(T688+IF(AND(E689=18,F689&lt;&gt;"ASTM A416"),L689,0),3)</f>
        <v/>
      </c>
      <c r="U689" s="16">
        <f>ROUND(U688+IF(AND(E689=20,F689&lt;&gt;"ASTM A416"),L689,0),3)</f>
        <v/>
      </c>
      <c r="V689" s="16">
        <f>ROUND(V688+IF(AND(E689=22,F689&lt;&gt;"ASTM A416"),L689,0),3)</f>
        <v/>
      </c>
      <c r="W689" s="16">
        <f>ROUND(W688+IF(AND(E689=25,F689&lt;&gt;"ASTM A416"),L689,0),3)</f>
        <v/>
      </c>
      <c r="X689" s="16">
        <f>ROUND(X688+IF(AND(E689=28,F689&lt;&gt;"ASTM A416"),L689,0),3)</f>
        <v/>
      </c>
      <c r="Y689" s="16">
        <f>ROUND(Y688+IF(AND(E689=32,F689&lt;&gt;"ASTM A416"),L689,0),3)</f>
        <v/>
      </c>
      <c r="Z689" s="16">
        <f>ROUND(Z688+IF(F689="ASTM A416",L689,0),3)</f>
        <v/>
      </c>
      <c r="AA689" s="9">
        <f>IF(ROUNDUP(P689/20,0)&gt;ROUNDUP(P688/20,0),"Lần " &amp; ROUNDUP(P689/20,0),"")</f>
        <v/>
      </c>
      <c r="AB689" s="9">
        <f>IF(ROUNDUP(Q689/20,0)&gt;ROUNDUP(Q688/20,0),"Lần " &amp; ROUNDUP(Q689/20,0),"")</f>
        <v/>
      </c>
      <c r="AC689" s="9">
        <f>IF(ROUNDUP(R689/20,0)&gt;ROUNDUP(R688/20,0),"Lần " &amp; ROUNDUP(R689/20,0),"")</f>
        <v/>
      </c>
      <c r="AD689" s="9">
        <f>IF(ROUNDUP(S689/20,0)&gt;ROUNDUP(S688/20,0),"Lần " &amp; ROUNDUP(S689/20,0),"")</f>
        <v/>
      </c>
      <c r="AE689" s="9">
        <f>IF(ROUNDUP(T689/20,0)&gt;ROUNDUP(T688/20,0),"Lần " &amp; ROUNDUP(T689/20,0),"")</f>
        <v/>
      </c>
      <c r="AF689" s="9">
        <f>IF(ROUNDUP(U689/20,0)&gt;ROUNDUP(U688/20,0),"Lần " &amp; ROUNDUP(U689/20,0),"")</f>
        <v/>
      </c>
      <c r="AG689" s="9">
        <f>IF(ROUNDUP(V689/20,0)&gt;ROUNDUP(V688/20,0),"Lần " &amp; ROUNDUP(V689/20,0),"")</f>
        <v/>
      </c>
      <c r="AH689" s="9">
        <f>IF(ROUNDUP(W689/20,0)&gt;ROUNDUP(W688/20,0),"Lần " &amp; ROUNDUP(W689/20,0),"")</f>
        <v/>
      </c>
      <c r="AI689" s="9">
        <f>IF(ROUNDUP(X689/20,0)&gt;ROUNDUP(X688/20,0),"Lần " &amp; ROUNDUP(X689/20,0),"")</f>
        <v/>
      </c>
      <c r="AJ689" s="9">
        <f>IF(ROUNDUP(Y689/20,0)&gt;ROUNDUP(Y688/20,0),"Lần " &amp; ROUNDUP(Y689/20,0),"")</f>
        <v/>
      </c>
      <c r="AK689" s="9">
        <f>IF(ROUNDUP(Z689/20,0)&gt;ROUNDUP(Z688/20,0),"Lần " &amp; ROUNDUP(Z689/20,0),"")</f>
        <v/>
      </c>
      <c r="AL689" s="4" t="n"/>
      <c r="AN689" s="596" t="inlineStr">
        <is>
          <t>Dam</t>
        </is>
      </c>
      <c r="AO689" s="596" t="n">
        <v>59</v>
      </c>
      <c r="AQ689" s="594" t="n"/>
      <c r="AR689" s="595" t="n"/>
    </row>
    <row r="690" ht="19" customHeight="1" s="672">
      <c r="A690" s="4" t="n">
        <v>653</v>
      </c>
      <c r="B690" s="5" t="inlineStr">
        <is>
          <t>Dầm chủ Super-T (15 phiến L=38.2m)</t>
        </is>
      </c>
      <c r="C690" s="5" t="inlineStr">
        <is>
          <t>Dầm S1B2 (tr.91)</t>
        </is>
      </c>
      <c r="D690" s="14" t="inlineStr">
        <is>
          <t>G2</t>
        </is>
      </c>
      <c r="E690" s="15" t="n">
        <v>12</v>
      </c>
      <c r="F690" s="4" t="inlineStr">
        <is>
          <t>CB400-V</t>
        </is>
      </c>
      <c r="G690" s="5" t="inlineStr">
        <is>
          <t>S06</t>
        </is>
      </c>
      <c r="H690" s="16" t="n">
        <v>1.184</v>
      </c>
      <c r="I690" s="17" t="n">
        <v>765</v>
      </c>
      <c r="J690" s="18" t="n">
        <v>0.888</v>
      </c>
      <c r="K690" s="7">
        <f>ROUND(H690*I690*J690, 2)</f>
        <v/>
      </c>
      <c r="L690" s="19">
        <f>ROUND(K690/1000, 3)</f>
        <v/>
      </c>
      <c r="M690" s="728">
        <f>IF(AO690="","",IF(N(INDEX(Theo_Doi_Tan_Suat_Be_Tong!$C:$C,AO690))&lt;=0,"",INDEX(Theo_Doi_Tan_Suat_Be_Tong!$C:$C,AO690)-VLOOKUP(AN690,$AQ$2:$AR$7,2,FALSE)))</f>
        <v/>
      </c>
      <c r="N690" s="4" t="n"/>
      <c r="O690" s="20">
        <f>IF(ROUNDUP(Q690/20,0)&gt;ROUNDUP(Q689/20,0),"TN Ø12 (Lần " &amp; ROUNDUP(Q690/20,0) &amp; ")","")</f>
        <v/>
      </c>
      <c r="P690" s="16">
        <f>ROUND(P689+IF(AND(E690&lt;=10,F690&lt;&gt;"ASTM A416"),L690,0),3)</f>
        <v/>
      </c>
      <c r="Q690" s="16">
        <f>ROUND(Q689+IF(AND(E690=12,F690&lt;&gt;"ASTM A416"),L690,0),3)</f>
        <v/>
      </c>
      <c r="R690" s="16">
        <f>ROUND(R689+IF(AND(E690=14,F690&lt;&gt;"ASTM A416"),L690,0),3)</f>
        <v/>
      </c>
      <c r="S690" s="16">
        <f>ROUND(S689+IF(AND(E690=16,F690&lt;&gt;"ASTM A416"),L690,0),3)</f>
        <v/>
      </c>
      <c r="T690" s="16">
        <f>ROUND(T689+IF(AND(E690=18,F690&lt;&gt;"ASTM A416"),L690,0),3)</f>
        <v/>
      </c>
      <c r="U690" s="16">
        <f>ROUND(U689+IF(AND(E690=20,F690&lt;&gt;"ASTM A416"),L690,0),3)</f>
        <v/>
      </c>
      <c r="V690" s="16">
        <f>ROUND(V689+IF(AND(E690=22,F690&lt;&gt;"ASTM A416"),L690,0),3)</f>
        <v/>
      </c>
      <c r="W690" s="16">
        <f>ROUND(W689+IF(AND(E690=25,F690&lt;&gt;"ASTM A416"),L690,0),3)</f>
        <v/>
      </c>
      <c r="X690" s="16">
        <f>ROUND(X689+IF(AND(E690=28,F690&lt;&gt;"ASTM A416"),L690,0),3)</f>
        <v/>
      </c>
      <c r="Y690" s="16">
        <f>ROUND(Y689+IF(AND(E690=32,F690&lt;&gt;"ASTM A416"),L690,0),3)</f>
        <v/>
      </c>
      <c r="Z690" s="16">
        <f>ROUND(Z689+IF(F690="ASTM A416",L690,0),3)</f>
        <v/>
      </c>
      <c r="AA690" s="9">
        <f>IF(ROUNDUP(P690/20,0)&gt;ROUNDUP(P689/20,0),"Lần " &amp; ROUNDUP(P690/20,0),"")</f>
        <v/>
      </c>
      <c r="AB690" s="9">
        <f>IF(ROUNDUP(Q690/20,0)&gt;ROUNDUP(Q689/20,0),"Lần " &amp; ROUNDUP(Q690/20,0),"")</f>
        <v/>
      </c>
      <c r="AC690" s="9">
        <f>IF(ROUNDUP(R690/20,0)&gt;ROUNDUP(R689/20,0),"Lần " &amp; ROUNDUP(R690/20,0),"")</f>
        <v/>
      </c>
      <c r="AD690" s="9">
        <f>IF(ROUNDUP(S690/20,0)&gt;ROUNDUP(S689/20,0),"Lần " &amp; ROUNDUP(S690/20,0),"")</f>
        <v/>
      </c>
      <c r="AE690" s="9">
        <f>IF(ROUNDUP(T690/20,0)&gt;ROUNDUP(T689/20,0),"Lần " &amp; ROUNDUP(T690/20,0),"")</f>
        <v/>
      </c>
      <c r="AF690" s="9">
        <f>IF(ROUNDUP(U690/20,0)&gt;ROUNDUP(U689/20,0),"Lần " &amp; ROUNDUP(U690/20,0),"")</f>
        <v/>
      </c>
      <c r="AG690" s="9">
        <f>IF(ROUNDUP(V690/20,0)&gt;ROUNDUP(V689/20,0),"Lần " &amp; ROUNDUP(V690/20,0),"")</f>
        <v/>
      </c>
      <c r="AH690" s="9">
        <f>IF(ROUNDUP(W690/20,0)&gt;ROUNDUP(W689/20,0),"Lần " &amp; ROUNDUP(W690/20,0),"")</f>
        <v/>
      </c>
      <c r="AI690" s="9">
        <f>IF(ROUNDUP(X690/20,0)&gt;ROUNDUP(X689/20,0),"Lần " &amp; ROUNDUP(X690/20,0),"")</f>
        <v/>
      </c>
      <c r="AJ690" s="9">
        <f>IF(ROUNDUP(Y690/20,0)&gt;ROUNDUP(Y689/20,0),"Lần " &amp; ROUNDUP(Y690/20,0),"")</f>
        <v/>
      </c>
      <c r="AK690" s="9">
        <f>IF(ROUNDUP(Z690/20,0)&gt;ROUNDUP(Z689/20,0),"Lần " &amp; ROUNDUP(Z690/20,0),"")</f>
        <v/>
      </c>
      <c r="AL690" s="4" t="n"/>
      <c r="AN690" s="596" t="inlineStr">
        <is>
          <t>Dam</t>
        </is>
      </c>
      <c r="AO690" s="596" t="n">
        <v>59</v>
      </c>
      <c r="AQ690" s="594" t="n"/>
      <c r="AR690" s="595" t="n"/>
    </row>
    <row r="691" ht="19" customHeight="1" s="672">
      <c r="A691" s="4" t="n">
        <v>654</v>
      </c>
      <c r="B691" s="5" t="inlineStr">
        <is>
          <t>Dầm chủ Super-T (15 phiến L=38.2m)</t>
        </is>
      </c>
      <c r="C691" s="5" t="inlineStr">
        <is>
          <t>Dầm S1B2 (tr.91)</t>
        </is>
      </c>
      <c r="D691" s="14" t="inlineStr">
        <is>
          <t>G2a</t>
        </is>
      </c>
      <c r="E691" s="15" t="n">
        <v>12</v>
      </c>
      <c r="F691" s="4" t="inlineStr">
        <is>
          <t>CB400-V</t>
        </is>
      </c>
      <c r="G691" s="5" t="inlineStr">
        <is>
          <t>S06</t>
        </is>
      </c>
      <c r="H691" s="16" t="n">
        <v>1.284</v>
      </c>
      <c r="I691" s="17" t="n">
        <v>807</v>
      </c>
      <c r="J691" s="18" t="n">
        <v>0.888</v>
      </c>
      <c r="K691" s="7">
        <f>ROUND(H691*I691*J691, 2)</f>
        <v/>
      </c>
      <c r="L691" s="19">
        <f>ROUND(K691/1000, 3)</f>
        <v/>
      </c>
      <c r="M691" s="728">
        <f>IF(AO691="","",IF(N(INDEX(Theo_Doi_Tan_Suat_Be_Tong!$C:$C,AO691))&lt;=0,"",INDEX(Theo_Doi_Tan_Suat_Be_Tong!$C:$C,AO691)-VLOOKUP(AN691,$AQ$2:$AR$7,2,FALSE)))</f>
        <v/>
      </c>
      <c r="N691" s="4" t="n"/>
      <c r="O691" s="20">
        <f>IF(ROUNDUP(Q691/20,0)&gt;ROUNDUP(Q690/20,0),"TN Ø12 (Lần " &amp; ROUNDUP(Q691/20,0) &amp; ")","")</f>
        <v/>
      </c>
      <c r="P691" s="16">
        <f>ROUND(P690+IF(AND(E691&lt;=10,F691&lt;&gt;"ASTM A416"),L691,0),3)</f>
        <v/>
      </c>
      <c r="Q691" s="16">
        <f>ROUND(Q690+IF(AND(E691=12,F691&lt;&gt;"ASTM A416"),L691,0),3)</f>
        <v/>
      </c>
      <c r="R691" s="16">
        <f>ROUND(R690+IF(AND(E691=14,F691&lt;&gt;"ASTM A416"),L691,0),3)</f>
        <v/>
      </c>
      <c r="S691" s="16">
        <f>ROUND(S690+IF(AND(E691=16,F691&lt;&gt;"ASTM A416"),L691,0),3)</f>
        <v/>
      </c>
      <c r="T691" s="16">
        <f>ROUND(T690+IF(AND(E691=18,F691&lt;&gt;"ASTM A416"),L691,0),3)</f>
        <v/>
      </c>
      <c r="U691" s="16">
        <f>ROUND(U690+IF(AND(E691=20,F691&lt;&gt;"ASTM A416"),L691,0),3)</f>
        <v/>
      </c>
      <c r="V691" s="16">
        <f>ROUND(V690+IF(AND(E691=22,F691&lt;&gt;"ASTM A416"),L691,0),3)</f>
        <v/>
      </c>
      <c r="W691" s="16">
        <f>ROUND(W690+IF(AND(E691=25,F691&lt;&gt;"ASTM A416"),L691,0),3)</f>
        <v/>
      </c>
      <c r="X691" s="16">
        <f>ROUND(X690+IF(AND(E691=28,F691&lt;&gt;"ASTM A416"),L691,0),3)</f>
        <v/>
      </c>
      <c r="Y691" s="16">
        <f>ROUND(Y690+IF(AND(E691=32,F691&lt;&gt;"ASTM A416"),L691,0),3)</f>
        <v/>
      </c>
      <c r="Z691" s="16">
        <f>ROUND(Z690+IF(F691="ASTM A416",L691,0),3)</f>
        <v/>
      </c>
      <c r="AA691" s="9">
        <f>IF(ROUNDUP(P691/20,0)&gt;ROUNDUP(P690/20,0),"Lần " &amp; ROUNDUP(P691/20,0),"")</f>
        <v/>
      </c>
      <c r="AB691" s="9">
        <f>IF(ROUNDUP(Q691/20,0)&gt;ROUNDUP(Q690/20,0),"Lần " &amp; ROUNDUP(Q691/20,0),"")</f>
        <v/>
      </c>
      <c r="AC691" s="9">
        <f>IF(ROUNDUP(R691/20,0)&gt;ROUNDUP(R690/20,0),"Lần " &amp; ROUNDUP(R691/20,0),"")</f>
        <v/>
      </c>
      <c r="AD691" s="9">
        <f>IF(ROUNDUP(S691/20,0)&gt;ROUNDUP(S690/20,0),"Lần " &amp; ROUNDUP(S691/20,0),"")</f>
        <v/>
      </c>
      <c r="AE691" s="9">
        <f>IF(ROUNDUP(T691/20,0)&gt;ROUNDUP(T690/20,0),"Lần " &amp; ROUNDUP(T691/20,0),"")</f>
        <v/>
      </c>
      <c r="AF691" s="9">
        <f>IF(ROUNDUP(U691/20,0)&gt;ROUNDUP(U690/20,0),"Lần " &amp; ROUNDUP(U691/20,0),"")</f>
        <v/>
      </c>
      <c r="AG691" s="9">
        <f>IF(ROUNDUP(V691/20,0)&gt;ROUNDUP(V690/20,0),"Lần " &amp; ROUNDUP(V691/20,0),"")</f>
        <v/>
      </c>
      <c r="AH691" s="9">
        <f>IF(ROUNDUP(W691/20,0)&gt;ROUNDUP(W690/20,0),"Lần " &amp; ROUNDUP(W691/20,0),"")</f>
        <v/>
      </c>
      <c r="AI691" s="9">
        <f>IF(ROUNDUP(X691/20,0)&gt;ROUNDUP(X690/20,0),"Lần " &amp; ROUNDUP(X691/20,0),"")</f>
        <v/>
      </c>
      <c r="AJ691" s="9">
        <f>IF(ROUNDUP(Y691/20,0)&gt;ROUNDUP(Y690/20,0),"Lần " &amp; ROUNDUP(Y691/20,0),"")</f>
        <v/>
      </c>
      <c r="AK691" s="9">
        <f>IF(ROUNDUP(Z691/20,0)&gt;ROUNDUP(Z690/20,0),"Lần " &amp; ROUNDUP(Z691/20,0),"")</f>
        <v/>
      </c>
      <c r="AL691" s="4" t="n"/>
      <c r="AN691" s="596" t="inlineStr">
        <is>
          <t>Dam</t>
        </is>
      </c>
      <c r="AO691" s="596" t="n">
        <v>59</v>
      </c>
      <c r="AQ691" s="594" t="n"/>
      <c r="AR691" s="595" t="n"/>
    </row>
    <row r="692" ht="19" customHeight="1" s="672">
      <c r="A692" s="4" t="n">
        <v>655</v>
      </c>
      <c r="B692" s="5" t="inlineStr">
        <is>
          <t>Dầm chủ Super-T (15 phiến L=38.2m)</t>
        </is>
      </c>
      <c r="C692" s="5" t="inlineStr">
        <is>
          <t>Dầm S1B2 (tr.91)</t>
        </is>
      </c>
      <c r="D692" s="14" t="inlineStr">
        <is>
          <t>G3</t>
        </is>
      </c>
      <c r="E692" s="15" t="n">
        <v>12</v>
      </c>
      <c r="F692" s="4" t="inlineStr">
        <is>
          <t>CB400-V</t>
        </is>
      </c>
      <c r="G692" s="5" t="inlineStr">
        <is>
          <t>S06</t>
        </is>
      </c>
      <c r="H692" s="16" t="n">
        <v>1.259</v>
      </c>
      <c r="I692" s="17" t="n">
        <v>807</v>
      </c>
      <c r="J692" s="18" t="n">
        <v>0.888</v>
      </c>
      <c r="K692" s="7">
        <f>ROUND(H692*I692*J692, 2)</f>
        <v/>
      </c>
      <c r="L692" s="19">
        <f>ROUND(K692/1000, 3)</f>
        <v/>
      </c>
      <c r="M692" s="728">
        <f>IF(AO692="","",IF(N(INDEX(Theo_Doi_Tan_Suat_Be_Tong!$C:$C,AO692))&lt;=0,"",INDEX(Theo_Doi_Tan_Suat_Be_Tong!$C:$C,AO692)-VLOOKUP(AN692,$AQ$2:$AR$7,2,FALSE)))</f>
        <v/>
      </c>
      <c r="N692" s="4" t="n"/>
      <c r="O692" s="20">
        <f>IF(ROUNDUP(Q692/20,0)&gt;ROUNDUP(Q691/20,0),"TN Ø12 (Lần " &amp; ROUNDUP(Q692/20,0) &amp; ")","")</f>
        <v/>
      </c>
      <c r="P692" s="16">
        <f>ROUND(P691+IF(AND(E692&lt;=10,F692&lt;&gt;"ASTM A416"),L692,0),3)</f>
        <v/>
      </c>
      <c r="Q692" s="16">
        <f>ROUND(Q691+IF(AND(E692=12,F692&lt;&gt;"ASTM A416"),L692,0),3)</f>
        <v/>
      </c>
      <c r="R692" s="16">
        <f>ROUND(R691+IF(AND(E692=14,F692&lt;&gt;"ASTM A416"),L692,0),3)</f>
        <v/>
      </c>
      <c r="S692" s="16">
        <f>ROUND(S691+IF(AND(E692=16,F692&lt;&gt;"ASTM A416"),L692,0),3)</f>
        <v/>
      </c>
      <c r="T692" s="16">
        <f>ROUND(T691+IF(AND(E692=18,F692&lt;&gt;"ASTM A416"),L692,0),3)</f>
        <v/>
      </c>
      <c r="U692" s="16">
        <f>ROUND(U691+IF(AND(E692=20,F692&lt;&gt;"ASTM A416"),L692,0),3)</f>
        <v/>
      </c>
      <c r="V692" s="16">
        <f>ROUND(V691+IF(AND(E692=22,F692&lt;&gt;"ASTM A416"),L692,0),3)</f>
        <v/>
      </c>
      <c r="W692" s="16">
        <f>ROUND(W691+IF(AND(E692=25,F692&lt;&gt;"ASTM A416"),L692,0),3)</f>
        <v/>
      </c>
      <c r="X692" s="16">
        <f>ROUND(X691+IF(AND(E692=28,F692&lt;&gt;"ASTM A416"),L692,0),3)</f>
        <v/>
      </c>
      <c r="Y692" s="16">
        <f>ROUND(Y691+IF(AND(E692=32,F692&lt;&gt;"ASTM A416"),L692,0),3)</f>
        <v/>
      </c>
      <c r="Z692" s="16">
        <f>ROUND(Z691+IF(F692="ASTM A416",L692,0),3)</f>
        <v/>
      </c>
      <c r="AA692" s="9">
        <f>IF(ROUNDUP(P692/20,0)&gt;ROUNDUP(P691/20,0),"Lần " &amp; ROUNDUP(P692/20,0),"")</f>
        <v/>
      </c>
      <c r="AB692" s="9">
        <f>IF(ROUNDUP(Q692/20,0)&gt;ROUNDUP(Q691/20,0),"Lần " &amp; ROUNDUP(Q692/20,0),"")</f>
        <v/>
      </c>
      <c r="AC692" s="9">
        <f>IF(ROUNDUP(R692/20,0)&gt;ROUNDUP(R691/20,0),"Lần " &amp; ROUNDUP(R692/20,0),"")</f>
        <v/>
      </c>
      <c r="AD692" s="9">
        <f>IF(ROUNDUP(S692/20,0)&gt;ROUNDUP(S691/20,0),"Lần " &amp; ROUNDUP(S692/20,0),"")</f>
        <v/>
      </c>
      <c r="AE692" s="9">
        <f>IF(ROUNDUP(T692/20,0)&gt;ROUNDUP(T691/20,0),"Lần " &amp; ROUNDUP(T692/20,0),"")</f>
        <v/>
      </c>
      <c r="AF692" s="9">
        <f>IF(ROUNDUP(U692/20,0)&gt;ROUNDUP(U691/20,0),"Lần " &amp; ROUNDUP(U692/20,0),"")</f>
        <v/>
      </c>
      <c r="AG692" s="9">
        <f>IF(ROUNDUP(V692/20,0)&gt;ROUNDUP(V691/20,0),"Lần " &amp; ROUNDUP(V692/20,0),"")</f>
        <v/>
      </c>
      <c r="AH692" s="9">
        <f>IF(ROUNDUP(W692/20,0)&gt;ROUNDUP(W691/20,0),"Lần " &amp; ROUNDUP(W692/20,0),"")</f>
        <v/>
      </c>
      <c r="AI692" s="9">
        <f>IF(ROUNDUP(X692/20,0)&gt;ROUNDUP(X691/20,0),"Lần " &amp; ROUNDUP(X692/20,0),"")</f>
        <v/>
      </c>
      <c r="AJ692" s="9">
        <f>IF(ROUNDUP(Y692/20,0)&gt;ROUNDUP(Y691/20,0),"Lần " &amp; ROUNDUP(Y692/20,0),"")</f>
        <v/>
      </c>
      <c r="AK692" s="9">
        <f>IF(ROUNDUP(Z692/20,0)&gt;ROUNDUP(Z691/20,0),"Lần " &amp; ROUNDUP(Z692/20,0),"")</f>
        <v/>
      </c>
      <c r="AL692" s="4" t="n"/>
      <c r="AN692" s="596" t="inlineStr">
        <is>
          <t>Dam</t>
        </is>
      </c>
      <c r="AO692" s="596" t="n">
        <v>59</v>
      </c>
      <c r="AQ692" s="594" t="n"/>
      <c r="AR692" s="595" t="n"/>
    </row>
    <row r="693" ht="19" customHeight="1" s="672">
      <c r="A693" s="4" t="n">
        <v>656</v>
      </c>
      <c r="B693" s="5" t="inlineStr">
        <is>
          <t>Dầm chủ Super-T (15 phiến L=38.2m)</t>
        </is>
      </c>
      <c r="C693" s="5" t="inlineStr">
        <is>
          <t>Dầm S1B2 (tr.91)</t>
        </is>
      </c>
      <c r="D693" s="14" t="inlineStr">
        <is>
          <t>G4a1</t>
        </is>
      </c>
      <c r="E693" s="15" t="n">
        <v>12</v>
      </c>
      <c r="F693" s="4" t="inlineStr">
        <is>
          <t>CB400-V</t>
        </is>
      </c>
      <c r="G693" s="5" t="inlineStr">
        <is>
          <t>S01</t>
        </is>
      </c>
      <c r="H693" s="16" t="n">
        <v>11.7</v>
      </c>
      <c r="I693" s="17" t="n">
        <v>63</v>
      </c>
      <c r="J693" s="18" t="n">
        <v>0.888</v>
      </c>
      <c r="K693" s="7">
        <f>ROUND(H693*I693*J693, 2)</f>
        <v/>
      </c>
      <c r="L693" s="19">
        <f>ROUND(K693/1000, 3)</f>
        <v/>
      </c>
      <c r="M693" s="728">
        <f>IF(AO693="","",IF(N(INDEX(Theo_Doi_Tan_Suat_Be_Tong!$C:$C,AO693))&lt;=0,"",INDEX(Theo_Doi_Tan_Suat_Be_Tong!$C:$C,AO693)-VLOOKUP(AN693,$AQ$2:$AR$7,2,FALSE)))</f>
        <v/>
      </c>
      <c r="N693" s="4" t="n"/>
      <c r="O693" s="20">
        <f>IF(ROUNDUP(Q693/20,0)&gt;ROUNDUP(Q692/20,0),"TN Ø12 (Lần " &amp; ROUNDUP(Q693/20,0) &amp; ")","")</f>
        <v/>
      </c>
      <c r="P693" s="16">
        <f>ROUND(P692+IF(AND(E693&lt;=10,F693&lt;&gt;"ASTM A416"),L693,0),3)</f>
        <v/>
      </c>
      <c r="Q693" s="16">
        <f>ROUND(Q692+IF(AND(E693=12,F693&lt;&gt;"ASTM A416"),L693,0),3)</f>
        <v/>
      </c>
      <c r="R693" s="16">
        <f>ROUND(R692+IF(AND(E693=14,F693&lt;&gt;"ASTM A416"),L693,0),3)</f>
        <v/>
      </c>
      <c r="S693" s="16">
        <f>ROUND(S692+IF(AND(E693=16,F693&lt;&gt;"ASTM A416"),L693,0),3)</f>
        <v/>
      </c>
      <c r="T693" s="16">
        <f>ROUND(T692+IF(AND(E693=18,F693&lt;&gt;"ASTM A416"),L693,0),3)</f>
        <v/>
      </c>
      <c r="U693" s="16">
        <f>ROUND(U692+IF(AND(E693=20,F693&lt;&gt;"ASTM A416"),L693,0),3)</f>
        <v/>
      </c>
      <c r="V693" s="16">
        <f>ROUND(V692+IF(AND(E693=22,F693&lt;&gt;"ASTM A416"),L693,0),3)</f>
        <v/>
      </c>
      <c r="W693" s="16">
        <f>ROUND(W692+IF(AND(E693=25,F693&lt;&gt;"ASTM A416"),L693,0),3)</f>
        <v/>
      </c>
      <c r="X693" s="16">
        <f>ROUND(X692+IF(AND(E693=28,F693&lt;&gt;"ASTM A416"),L693,0),3)</f>
        <v/>
      </c>
      <c r="Y693" s="16">
        <f>ROUND(Y692+IF(AND(E693=32,F693&lt;&gt;"ASTM A416"),L693,0),3)</f>
        <v/>
      </c>
      <c r="Z693" s="16">
        <f>ROUND(Z692+IF(F693="ASTM A416",L693,0),3)</f>
        <v/>
      </c>
      <c r="AA693" s="9">
        <f>IF(ROUNDUP(P693/20,0)&gt;ROUNDUP(P692/20,0),"Lần " &amp; ROUNDUP(P693/20,0),"")</f>
        <v/>
      </c>
      <c r="AB693" s="9">
        <f>IF(ROUNDUP(Q693/20,0)&gt;ROUNDUP(Q692/20,0),"Lần " &amp; ROUNDUP(Q693/20,0),"")</f>
        <v/>
      </c>
      <c r="AC693" s="9">
        <f>IF(ROUNDUP(R693/20,0)&gt;ROUNDUP(R692/20,0),"Lần " &amp; ROUNDUP(R693/20,0),"")</f>
        <v/>
      </c>
      <c r="AD693" s="9">
        <f>IF(ROUNDUP(S693/20,0)&gt;ROUNDUP(S692/20,0),"Lần " &amp; ROUNDUP(S693/20,0),"")</f>
        <v/>
      </c>
      <c r="AE693" s="9">
        <f>IF(ROUNDUP(T693/20,0)&gt;ROUNDUP(T692/20,0),"Lần " &amp; ROUNDUP(T693/20,0),"")</f>
        <v/>
      </c>
      <c r="AF693" s="9">
        <f>IF(ROUNDUP(U693/20,0)&gt;ROUNDUP(U692/20,0),"Lần " &amp; ROUNDUP(U693/20,0),"")</f>
        <v/>
      </c>
      <c r="AG693" s="9">
        <f>IF(ROUNDUP(V693/20,0)&gt;ROUNDUP(V692/20,0),"Lần " &amp; ROUNDUP(V693/20,0),"")</f>
        <v/>
      </c>
      <c r="AH693" s="9">
        <f>IF(ROUNDUP(W693/20,0)&gt;ROUNDUP(W692/20,0),"Lần " &amp; ROUNDUP(W693/20,0),"")</f>
        <v/>
      </c>
      <c r="AI693" s="9">
        <f>IF(ROUNDUP(X693/20,0)&gt;ROUNDUP(X692/20,0),"Lần " &amp; ROUNDUP(X693/20,0),"")</f>
        <v/>
      </c>
      <c r="AJ693" s="9">
        <f>IF(ROUNDUP(Y693/20,0)&gt;ROUNDUP(Y692/20,0),"Lần " &amp; ROUNDUP(Y693/20,0),"")</f>
        <v/>
      </c>
      <c r="AK693" s="9">
        <f>IF(ROUNDUP(Z693/20,0)&gt;ROUNDUP(Z692/20,0),"Lần " &amp; ROUNDUP(Z693/20,0),"")</f>
        <v/>
      </c>
      <c r="AL693" s="4" t="n"/>
      <c r="AN693" s="596" t="inlineStr">
        <is>
          <t>Dam</t>
        </is>
      </c>
      <c r="AO693" s="596" t="n">
        <v>59</v>
      </c>
      <c r="AQ693" s="594" t="n"/>
      <c r="AR693" s="595" t="n"/>
    </row>
    <row r="694" ht="19" customHeight="1" s="672">
      <c r="A694" s="4" t="n">
        <v>657</v>
      </c>
      <c r="B694" s="5" t="inlineStr">
        <is>
          <t>Dầm chủ Super-T (15 phiến L=38.2m)</t>
        </is>
      </c>
      <c r="C694" s="5" t="inlineStr">
        <is>
          <t>Dầm S1B2 (tr.91)</t>
        </is>
      </c>
      <c r="D694" s="14" t="inlineStr">
        <is>
          <t>G4a2</t>
        </is>
      </c>
      <c r="E694" s="15" t="n">
        <v>12</v>
      </c>
      <c r="F694" s="4" t="inlineStr">
        <is>
          <t>CB400-V</t>
        </is>
      </c>
      <c r="G694" s="5" t="inlineStr">
        <is>
          <t>S06</t>
        </is>
      </c>
      <c r="H694" s="16" t="n">
        <v>4.46</v>
      </c>
      <c r="I694" s="17" t="n">
        <v>21</v>
      </c>
      <c r="J694" s="18" t="n">
        <v>0.888</v>
      </c>
      <c r="K694" s="7">
        <f>ROUND(H694*I694*J694, 2)</f>
        <v/>
      </c>
      <c r="L694" s="19">
        <f>ROUND(K694/1000, 3)</f>
        <v/>
      </c>
      <c r="M694" s="728">
        <f>IF(AO694="","",IF(N(INDEX(Theo_Doi_Tan_Suat_Be_Tong!$C:$C,AO694))&lt;=0,"",INDEX(Theo_Doi_Tan_Suat_Be_Tong!$C:$C,AO694)-VLOOKUP(AN694,$AQ$2:$AR$7,2,FALSE)))</f>
        <v/>
      </c>
      <c r="N694" s="4" t="n"/>
      <c r="O694" s="20">
        <f>IF(ROUNDUP(Q694/20,0)&gt;ROUNDUP(Q693/20,0),"TN Ø12 (Lần " &amp; ROUNDUP(Q694/20,0) &amp; ")","")</f>
        <v/>
      </c>
      <c r="P694" s="16">
        <f>ROUND(P693+IF(AND(E694&lt;=10,F694&lt;&gt;"ASTM A416"),L694,0),3)</f>
        <v/>
      </c>
      <c r="Q694" s="16">
        <f>ROUND(Q693+IF(AND(E694=12,F694&lt;&gt;"ASTM A416"),L694,0),3)</f>
        <v/>
      </c>
      <c r="R694" s="16">
        <f>ROUND(R693+IF(AND(E694=14,F694&lt;&gt;"ASTM A416"),L694,0),3)</f>
        <v/>
      </c>
      <c r="S694" s="16">
        <f>ROUND(S693+IF(AND(E694=16,F694&lt;&gt;"ASTM A416"),L694,0),3)</f>
        <v/>
      </c>
      <c r="T694" s="16">
        <f>ROUND(T693+IF(AND(E694=18,F694&lt;&gt;"ASTM A416"),L694,0),3)</f>
        <v/>
      </c>
      <c r="U694" s="16">
        <f>ROUND(U693+IF(AND(E694=20,F694&lt;&gt;"ASTM A416"),L694,0),3)</f>
        <v/>
      </c>
      <c r="V694" s="16">
        <f>ROUND(V693+IF(AND(E694=22,F694&lt;&gt;"ASTM A416"),L694,0),3)</f>
        <v/>
      </c>
      <c r="W694" s="16">
        <f>ROUND(W693+IF(AND(E694=25,F694&lt;&gt;"ASTM A416"),L694,0),3)</f>
        <v/>
      </c>
      <c r="X694" s="16">
        <f>ROUND(X693+IF(AND(E694=28,F694&lt;&gt;"ASTM A416"),L694,0),3)</f>
        <v/>
      </c>
      <c r="Y694" s="16">
        <f>ROUND(Y693+IF(AND(E694=32,F694&lt;&gt;"ASTM A416"),L694,0),3)</f>
        <v/>
      </c>
      <c r="Z694" s="16">
        <f>ROUND(Z693+IF(F694="ASTM A416",L694,0),3)</f>
        <v/>
      </c>
      <c r="AA694" s="9">
        <f>IF(ROUNDUP(P694/20,0)&gt;ROUNDUP(P693/20,0),"Lần " &amp; ROUNDUP(P694/20,0),"")</f>
        <v/>
      </c>
      <c r="AB694" s="9">
        <f>IF(ROUNDUP(Q694/20,0)&gt;ROUNDUP(Q693/20,0),"Lần " &amp; ROUNDUP(Q694/20,0),"")</f>
        <v/>
      </c>
      <c r="AC694" s="9">
        <f>IF(ROUNDUP(R694/20,0)&gt;ROUNDUP(R693/20,0),"Lần " &amp; ROUNDUP(R694/20,0),"")</f>
        <v/>
      </c>
      <c r="AD694" s="9">
        <f>IF(ROUNDUP(S694/20,0)&gt;ROUNDUP(S693/20,0),"Lần " &amp; ROUNDUP(S694/20,0),"")</f>
        <v/>
      </c>
      <c r="AE694" s="9">
        <f>IF(ROUNDUP(T694/20,0)&gt;ROUNDUP(T693/20,0),"Lần " &amp; ROUNDUP(T694/20,0),"")</f>
        <v/>
      </c>
      <c r="AF694" s="9">
        <f>IF(ROUNDUP(U694/20,0)&gt;ROUNDUP(U693/20,0),"Lần " &amp; ROUNDUP(U694/20,0),"")</f>
        <v/>
      </c>
      <c r="AG694" s="9">
        <f>IF(ROUNDUP(V694/20,0)&gt;ROUNDUP(V693/20,0),"Lần " &amp; ROUNDUP(V694/20,0),"")</f>
        <v/>
      </c>
      <c r="AH694" s="9">
        <f>IF(ROUNDUP(W694/20,0)&gt;ROUNDUP(W693/20,0),"Lần " &amp; ROUNDUP(W694/20,0),"")</f>
        <v/>
      </c>
      <c r="AI694" s="9">
        <f>IF(ROUNDUP(X694/20,0)&gt;ROUNDUP(X693/20,0),"Lần " &amp; ROUNDUP(X694/20,0),"")</f>
        <v/>
      </c>
      <c r="AJ694" s="9">
        <f>IF(ROUNDUP(Y694/20,0)&gt;ROUNDUP(Y693/20,0),"Lần " &amp; ROUNDUP(Y694/20,0),"")</f>
        <v/>
      </c>
      <c r="AK694" s="9">
        <f>IF(ROUNDUP(Z694/20,0)&gt;ROUNDUP(Z693/20,0),"Lần " &amp; ROUNDUP(Z694/20,0),"")</f>
        <v/>
      </c>
      <c r="AL694" s="4" t="n"/>
      <c r="AN694" s="596" t="inlineStr">
        <is>
          <t>Dam</t>
        </is>
      </c>
      <c r="AO694" s="596" t="n">
        <v>59</v>
      </c>
      <c r="AQ694" s="594" t="n"/>
      <c r="AR694" s="595" t="n"/>
    </row>
    <row r="695" ht="19" customHeight="1" s="672">
      <c r="A695" s="4" t="n">
        <v>658</v>
      </c>
      <c r="B695" s="5" t="inlineStr">
        <is>
          <t>Dầm chủ Super-T (15 phiến L=38.2m)</t>
        </is>
      </c>
      <c r="C695" s="5" t="inlineStr">
        <is>
          <t>Dầm S1B2 (tr.91)</t>
        </is>
      </c>
      <c r="D695" s="14" t="inlineStr">
        <is>
          <t>G4b1</t>
        </is>
      </c>
      <c r="E695" s="15" t="n">
        <v>12</v>
      </c>
      <c r="F695" s="4" t="inlineStr">
        <is>
          <t>CB400-V</t>
        </is>
      </c>
      <c r="G695" s="5" t="inlineStr">
        <is>
          <t>S01</t>
        </is>
      </c>
      <c r="H695" s="16" t="n">
        <v>11.7</v>
      </c>
      <c r="I695" s="17" t="n">
        <v>36</v>
      </c>
      <c r="J695" s="18" t="n">
        <v>0.888</v>
      </c>
      <c r="K695" s="7">
        <f>ROUND(H695*I695*J695, 2)</f>
        <v/>
      </c>
      <c r="L695" s="19">
        <f>ROUND(K695/1000, 3)</f>
        <v/>
      </c>
      <c r="M695" s="728">
        <f>IF(AO695="","",IF(N(INDEX(Theo_Doi_Tan_Suat_Be_Tong!$C:$C,AO695))&lt;=0,"",INDEX(Theo_Doi_Tan_Suat_Be_Tong!$C:$C,AO695)-VLOOKUP(AN695,$AQ$2:$AR$7,2,FALSE)))</f>
        <v/>
      </c>
      <c r="N695" s="4" t="n"/>
      <c r="O695" s="20">
        <f>IF(ROUNDUP(Q695/20,0)&gt;ROUNDUP(Q694/20,0),"TN Ø12 (Lần " &amp; ROUNDUP(Q695/20,0) &amp; ")","")</f>
        <v/>
      </c>
      <c r="P695" s="16">
        <f>ROUND(P694+IF(AND(E695&lt;=10,F695&lt;&gt;"ASTM A416"),L695,0),3)</f>
        <v/>
      </c>
      <c r="Q695" s="16">
        <f>ROUND(Q694+IF(AND(E695=12,F695&lt;&gt;"ASTM A416"),L695,0),3)</f>
        <v/>
      </c>
      <c r="R695" s="16">
        <f>ROUND(R694+IF(AND(E695=14,F695&lt;&gt;"ASTM A416"),L695,0),3)</f>
        <v/>
      </c>
      <c r="S695" s="16">
        <f>ROUND(S694+IF(AND(E695=16,F695&lt;&gt;"ASTM A416"),L695,0),3)</f>
        <v/>
      </c>
      <c r="T695" s="16">
        <f>ROUND(T694+IF(AND(E695=18,F695&lt;&gt;"ASTM A416"),L695,0),3)</f>
        <v/>
      </c>
      <c r="U695" s="16">
        <f>ROUND(U694+IF(AND(E695=20,F695&lt;&gt;"ASTM A416"),L695,0),3)</f>
        <v/>
      </c>
      <c r="V695" s="16">
        <f>ROUND(V694+IF(AND(E695=22,F695&lt;&gt;"ASTM A416"),L695,0),3)</f>
        <v/>
      </c>
      <c r="W695" s="16">
        <f>ROUND(W694+IF(AND(E695=25,F695&lt;&gt;"ASTM A416"),L695,0),3)</f>
        <v/>
      </c>
      <c r="X695" s="16">
        <f>ROUND(X694+IF(AND(E695=28,F695&lt;&gt;"ASTM A416"),L695,0),3)</f>
        <v/>
      </c>
      <c r="Y695" s="16">
        <f>ROUND(Y694+IF(AND(E695=32,F695&lt;&gt;"ASTM A416"),L695,0),3)</f>
        <v/>
      </c>
      <c r="Z695" s="16">
        <f>ROUND(Z694+IF(F695="ASTM A416",L695,0),3)</f>
        <v/>
      </c>
      <c r="AA695" s="9">
        <f>IF(ROUNDUP(P695/20,0)&gt;ROUNDUP(P694/20,0),"Lần " &amp; ROUNDUP(P695/20,0),"")</f>
        <v/>
      </c>
      <c r="AB695" s="9">
        <f>IF(ROUNDUP(Q695/20,0)&gt;ROUNDUP(Q694/20,0),"Lần " &amp; ROUNDUP(Q695/20,0),"")</f>
        <v/>
      </c>
      <c r="AC695" s="9">
        <f>IF(ROUNDUP(R695/20,0)&gt;ROUNDUP(R694/20,0),"Lần " &amp; ROUNDUP(R695/20,0),"")</f>
        <v/>
      </c>
      <c r="AD695" s="9">
        <f>IF(ROUNDUP(S695/20,0)&gt;ROUNDUP(S694/20,0),"Lần " &amp; ROUNDUP(S695/20,0),"")</f>
        <v/>
      </c>
      <c r="AE695" s="9">
        <f>IF(ROUNDUP(T695/20,0)&gt;ROUNDUP(T694/20,0),"Lần " &amp; ROUNDUP(T695/20,0),"")</f>
        <v/>
      </c>
      <c r="AF695" s="9">
        <f>IF(ROUNDUP(U695/20,0)&gt;ROUNDUP(U694/20,0),"Lần " &amp; ROUNDUP(U695/20,0),"")</f>
        <v/>
      </c>
      <c r="AG695" s="9">
        <f>IF(ROUNDUP(V695/20,0)&gt;ROUNDUP(V694/20,0),"Lần " &amp; ROUNDUP(V695/20,0),"")</f>
        <v/>
      </c>
      <c r="AH695" s="9">
        <f>IF(ROUNDUP(W695/20,0)&gt;ROUNDUP(W694/20,0),"Lần " &amp; ROUNDUP(W695/20,0),"")</f>
        <v/>
      </c>
      <c r="AI695" s="9">
        <f>IF(ROUNDUP(X695/20,0)&gt;ROUNDUP(X694/20,0),"Lần " &amp; ROUNDUP(X695/20,0),"")</f>
        <v/>
      </c>
      <c r="AJ695" s="9">
        <f>IF(ROUNDUP(Y695/20,0)&gt;ROUNDUP(Y694/20,0),"Lần " &amp; ROUNDUP(Y695/20,0),"")</f>
        <v/>
      </c>
      <c r="AK695" s="9">
        <f>IF(ROUNDUP(Z695/20,0)&gt;ROUNDUP(Z694/20,0),"Lần " &amp; ROUNDUP(Z695/20,0),"")</f>
        <v/>
      </c>
      <c r="AL695" s="4" t="n"/>
      <c r="AN695" s="596" t="inlineStr">
        <is>
          <t>Dam</t>
        </is>
      </c>
      <c r="AO695" s="596" t="n">
        <v>59</v>
      </c>
      <c r="AQ695" s="594" t="n"/>
      <c r="AR695" s="595" t="n"/>
    </row>
    <row r="696" ht="19" customHeight="1" s="672">
      <c r="A696" s="4" t="n">
        <v>659</v>
      </c>
      <c r="B696" s="5" t="inlineStr">
        <is>
          <t>Dầm chủ Super-T (15 phiến L=38.2m)</t>
        </is>
      </c>
      <c r="C696" s="5" t="inlineStr">
        <is>
          <t>Dầm S1B2 (tr.91)</t>
        </is>
      </c>
      <c r="D696" s="14" t="inlineStr">
        <is>
          <t>G4b2</t>
        </is>
      </c>
      <c r="E696" s="15" t="n">
        <v>12</v>
      </c>
      <c r="F696" s="4" t="inlineStr">
        <is>
          <t>CB400-V</t>
        </is>
      </c>
      <c r="G696" s="5" t="inlineStr">
        <is>
          <t>S06</t>
        </is>
      </c>
      <c r="H696" s="16" t="n">
        <v>3.06</v>
      </c>
      <c r="I696" s="17" t="n">
        <v>12</v>
      </c>
      <c r="J696" s="18" t="n">
        <v>0.888</v>
      </c>
      <c r="K696" s="7">
        <f>ROUND(H696*I696*J696, 2)</f>
        <v/>
      </c>
      <c r="L696" s="19">
        <f>ROUND(K696/1000, 3)</f>
        <v/>
      </c>
      <c r="M696" s="728">
        <f>IF(AO696="","",IF(N(INDEX(Theo_Doi_Tan_Suat_Be_Tong!$C:$C,AO696))&lt;=0,"",INDEX(Theo_Doi_Tan_Suat_Be_Tong!$C:$C,AO696)-VLOOKUP(AN696,$AQ$2:$AR$7,2,FALSE)))</f>
        <v/>
      </c>
      <c r="N696" s="4" t="n"/>
      <c r="O696" s="20">
        <f>IF(ROUNDUP(Q696/20,0)&gt;ROUNDUP(Q695/20,0),"TN Ø12 (Lần " &amp; ROUNDUP(Q696/20,0) &amp; ")","")</f>
        <v/>
      </c>
      <c r="P696" s="16">
        <f>ROUND(P695+IF(AND(E696&lt;=10,F696&lt;&gt;"ASTM A416"),L696,0),3)</f>
        <v/>
      </c>
      <c r="Q696" s="16">
        <f>ROUND(Q695+IF(AND(E696=12,F696&lt;&gt;"ASTM A416"),L696,0),3)</f>
        <v/>
      </c>
      <c r="R696" s="16">
        <f>ROUND(R695+IF(AND(E696=14,F696&lt;&gt;"ASTM A416"),L696,0),3)</f>
        <v/>
      </c>
      <c r="S696" s="16">
        <f>ROUND(S695+IF(AND(E696=16,F696&lt;&gt;"ASTM A416"),L696,0),3)</f>
        <v/>
      </c>
      <c r="T696" s="16">
        <f>ROUND(T695+IF(AND(E696=18,F696&lt;&gt;"ASTM A416"),L696,0),3)</f>
        <v/>
      </c>
      <c r="U696" s="16">
        <f>ROUND(U695+IF(AND(E696=20,F696&lt;&gt;"ASTM A416"),L696,0),3)</f>
        <v/>
      </c>
      <c r="V696" s="16">
        <f>ROUND(V695+IF(AND(E696=22,F696&lt;&gt;"ASTM A416"),L696,0),3)</f>
        <v/>
      </c>
      <c r="W696" s="16">
        <f>ROUND(W695+IF(AND(E696=25,F696&lt;&gt;"ASTM A416"),L696,0),3)</f>
        <v/>
      </c>
      <c r="X696" s="16">
        <f>ROUND(X695+IF(AND(E696=28,F696&lt;&gt;"ASTM A416"),L696,0),3)</f>
        <v/>
      </c>
      <c r="Y696" s="16">
        <f>ROUND(Y695+IF(AND(E696=32,F696&lt;&gt;"ASTM A416"),L696,0),3)</f>
        <v/>
      </c>
      <c r="Z696" s="16">
        <f>ROUND(Z695+IF(F696="ASTM A416",L696,0),3)</f>
        <v/>
      </c>
      <c r="AA696" s="9">
        <f>IF(ROUNDUP(P696/20,0)&gt;ROUNDUP(P695/20,0),"Lần " &amp; ROUNDUP(P696/20,0),"")</f>
        <v/>
      </c>
      <c r="AB696" s="9">
        <f>IF(ROUNDUP(Q696/20,0)&gt;ROUNDUP(Q695/20,0),"Lần " &amp; ROUNDUP(Q696/20,0),"")</f>
        <v/>
      </c>
      <c r="AC696" s="9">
        <f>IF(ROUNDUP(R696/20,0)&gt;ROUNDUP(R695/20,0),"Lần " &amp; ROUNDUP(R696/20,0),"")</f>
        <v/>
      </c>
      <c r="AD696" s="9">
        <f>IF(ROUNDUP(S696/20,0)&gt;ROUNDUP(S695/20,0),"Lần " &amp; ROUNDUP(S696/20,0),"")</f>
        <v/>
      </c>
      <c r="AE696" s="9">
        <f>IF(ROUNDUP(T696/20,0)&gt;ROUNDUP(T695/20,0),"Lần " &amp; ROUNDUP(T696/20,0),"")</f>
        <v/>
      </c>
      <c r="AF696" s="9">
        <f>IF(ROUNDUP(U696/20,0)&gt;ROUNDUP(U695/20,0),"Lần " &amp; ROUNDUP(U696/20,0),"")</f>
        <v/>
      </c>
      <c r="AG696" s="9">
        <f>IF(ROUNDUP(V696/20,0)&gt;ROUNDUP(V695/20,0),"Lần " &amp; ROUNDUP(V696/20,0),"")</f>
        <v/>
      </c>
      <c r="AH696" s="9">
        <f>IF(ROUNDUP(W696/20,0)&gt;ROUNDUP(W695/20,0),"Lần " &amp; ROUNDUP(W696/20,0),"")</f>
        <v/>
      </c>
      <c r="AI696" s="9">
        <f>IF(ROUNDUP(X696/20,0)&gt;ROUNDUP(X695/20,0),"Lần " &amp; ROUNDUP(X696/20,0),"")</f>
        <v/>
      </c>
      <c r="AJ696" s="9">
        <f>IF(ROUNDUP(Y696/20,0)&gt;ROUNDUP(Y695/20,0),"Lần " &amp; ROUNDUP(Y696/20,0),"")</f>
        <v/>
      </c>
      <c r="AK696" s="9">
        <f>IF(ROUNDUP(Z696/20,0)&gt;ROUNDUP(Z695/20,0),"Lần " &amp; ROUNDUP(Z696/20,0),"")</f>
        <v/>
      </c>
      <c r="AL696" s="4" t="n"/>
      <c r="AN696" s="596" t="inlineStr">
        <is>
          <t>Dam</t>
        </is>
      </c>
      <c r="AO696" s="596" t="n">
        <v>59</v>
      </c>
      <c r="AQ696" s="594" t="n"/>
      <c r="AR696" s="595" t="n"/>
    </row>
    <row r="697" ht="19" customHeight="1" s="672">
      <c r="A697" s="4" t="n">
        <v>660</v>
      </c>
      <c r="B697" s="5" t="inlineStr">
        <is>
          <t>Dầm chủ Super-T (15 phiến L=38.2m)</t>
        </is>
      </c>
      <c r="C697" s="5" t="inlineStr">
        <is>
          <t>Dầm S1B2 (tr.91)</t>
        </is>
      </c>
      <c r="D697" s="14" t="inlineStr">
        <is>
          <t>G5a</t>
        </is>
      </c>
      <c r="E697" s="15" t="n">
        <v>16</v>
      </c>
      <c r="F697" s="4" t="inlineStr">
        <is>
          <t>CB400-V</t>
        </is>
      </c>
      <c r="G697" s="5" t="inlineStr">
        <is>
          <t>S01</t>
        </is>
      </c>
      <c r="H697" s="16" t="n">
        <v>11.7</v>
      </c>
      <c r="I697" s="17" t="n">
        <v>84</v>
      </c>
      <c r="J697" s="18" t="n">
        <v>1.578</v>
      </c>
      <c r="K697" s="7">
        <f>ROUND(H697*I697*J697, 2)</f>
        <v/>
      </c>
      <c r="L697" s="19">
        <f>ROUND(K697/1000, 3)</f>
        <v/>
      </c>
      <c r="M697" s="728">
        <f>IF(AO697="","",IF(N(INDEX(Theo_Doi_Tan_Suat_Be_Tong!$C:$C,AO697))&lt;=0,"",INDEX(Theo_Doi_Tan_Suat_Be_Tong!$C:$C,AO697)-VLOOKUP(AN697,$AQ$2:$AR$7,2,FALSE)))</f>
        <v/>
      </c>
      <c r="N697" s="4" t="n"/>
      <c r="O697" s="20">
        <f>IF(ROUNDUP(S697/20,0)&gt;ROUNDUP(S696/20,0),"TN Ø16 (Lần " &amp; ROUNDUP(S697/20,0) &amp; ")","")</f>
        <v/>
      </c>
      <c r="P697" s="16">
        <f>ROUND(P696+IF(AND(E697&lt;=10,F697&lt;&gt;"ASTM A416"),L697,0),3)</f>
        <v/>
      </c>
      <c r="Q697" s="16">
        <f>ROUND(Q696+IF(AND(E697=12,F697&lt;&gt;"ASTM A416"),L697,0),3)</f>
        <v/>
      </c>
      <c r="R697" s="16">
        <f>ROUND(R696+IF(AND(E697=14,F697&lt;&gt;"ASTM A416"),L697,0),3)</f>
        <v/>
      </c>
      <c r="S697" s="16">
        <f>ROUND(S696+IF(AND(E697=16,F697&lt;&gt;"ASTM A416"),L697,0),3)</f>
        <v/>
      </c>
      <c r="T697" s="16">
        <f>ROUND(T696+IF(AND(E697=18,F697&lt;&gt;"ASTM A416"),L697,0),3)</f>
        <v/>
      </c>
      <c r="U697" s="16">
        <f>ROUND(U696+IF(AND(E697=20,F697&lt;&gt;"ASTM A416"),L697,0),3)</f>
        <v/>
      </c>
      <c r="V697" s="16">
        <f>ROUND(V696+IF(AND(E697=22,F697&lt;&gt;"ASTM A416"),L697,0),3)</f>
        <v/>
      </c>
      <c r="W697" s="16">
        <f>ROUND(W696+IF(AND(E697=25,F697&lt;&gt;"ASTM A416"),L697,0),3)</f>
        <v/>
      </c>
      <c r="X697" s="16">
        <f>ROUND(X696+IF(AND(E697=28,F697&lt;&gt;"ASTM A416"),L697,0),3)</f>
        <v/>
      </c>
      <c r="Y697" s="16">
        <f>ROUND(Y696+IF(AND(E697=32,F697&lt;&gt;"ASTM A416"),L697,0),3)</f>
        <v/>
      </c>
      <c r="Z697" s="16">
        <f>ROUND(Z696+IF(F697="ASTM A416",L697,0),3)</f>
        <v/>
      </c>
      <c r="AA697" s="9">
        <f>IF(ROUNDUP(P697/20,0)&gt;ROUNDUP(P696/20,0),"Lần " &amp; ROUNDUP(P697/20,0),"")</f>
        <v/>
      </c>
      <c r="AB697" s="9">
        <f>IF(ROUNDUP(Q697/20,0)&gt;ROUNDUP(Q696/20,0),"Lần " &amp; ROUNDUP(Q697/20,0),"")</f>
        <v/>
      </c>
      <c r="AC697" s="9">
        <f>IF(ROUNDUP(R697/20,0)&gt;ROUNDUP(R696/20,0),"Lần " &amp; ROUNDUP(R697/20,0),"")</f>
        <v/>
      </c>
      <c r="AD697" s="9">
        <f>IF(ROUNDUP(S697/20,0)&gt;ROUNDUP(S696/20,0),"Lần " &amp; ROUNDUP(S697/20,0),"")</f>
        <v/>
      </c>
      <c r="AE697" s="9">
        <f>IF(ROUNDUP(T697/20,0)&gt;ROUNDUP(T696/20,0),"Lần " &amp; ROUNDUP(T697/20,0),"")</f>
        <v/>
      </c>
      <c r="AF697" s="9">
        <f>IF(ROUNDUP(U697/20,0)&gt;ROUNDUP(U696/20,0),"Lần " &amp; ROUNDUP(U697/20,0),"")</f>
        <v/>
      </c>
      <c r="AG697" s="9">
        <f>IF(ROUNDUP(V697/20,0)&gt;ROUNDUP(V696/20,0),"Lần " &amp; ROUNDUP(V697/20,0),"")</f>
        <v/>
      </c>
      <c r="AH697" s="9">
        <f>IF(ROUNDUP(W697/20,0)&gt;ROUNDUP(W696/20,0),"Lần " &amp; ROUNDUP(W697/20,0),"")</f>
        <v/>
      </c>
      <c r="AI697" s="9">
        <f>IF(ROUNDUP(X697/20,0)&gt;ROUNDUP(X696/20,0),"Lần " &amp; ROUNDUP(X697/20,0),"")</f>
        <v/>
      </c>
      <c r="AJ697" s="9">
        <f>IF(ROUNDUP(Y697/20,0)&gt;ROUNDUP(Y696/20,0),"Lần " &amp; ROUNDUP(Y697/20,0),"")</f>
        <v/>
      </c>
      <c r="AK697" s="9">
        <f>IF(ROUNDUP(Z697/20,0)&gt;ROUNDUP(Z696/20,0),"Lần " &amp; ROUNDUP(Z697/20,0),"")</f>
        <v/>
      </c>
      <c r="AL697" s="4" t="n"/>
      <c r="AN697" s="596" t="inlineStr">
        <is>
          <t>Dam</t>
        </is>
      </c>
      <c r="AO697" s="596" t="n">
        <v>59</v>
      </c>
      <c r="AQ697" s="594" t="n"/>
      <c r="AR697" s="595" t="n"/>
    </row>
    <row r="698" ht="19" customHeight="1" s="672">
      <c r="A698" s="4" t="n">
        <v>661</v>
      </c>
      <c r="B698" s="5" t="inlineStr">
        <is>
          <t>Dầm chủ Super-T (15 phiến L=38.2m)</t>
        </is>
      </c>
      <c r="C698" s="5" t="inlineStr">
        <is>
          <t>Dầm S1B2 (tr.91)</t>
        </is>
      </c>
      <c r="D698" s="14" t="inlineStr">
        <is>
          <t>G5b</t>
        </is>
      </c>
      <c r="E698" s="15" t="n">
        <v>18</v>
      </c>
      <c r="F698" s="4" t="inlineStr">
        <is>
          <t>CB400-V</t>
        </is>
      </c>
      <c r="G698" s="5" t="inlineStr">
        <is>
          <t>S06</t>
        </is>
      </c>
      <c r="H698" s="16" t="n">
        <v>2.86</v>
      </c>
      <c r="I698" s="17" t="n">
        <v>42</v>
      </c>
      <c r="J698" s="18" t="n">
        <v>1.998</v>
      </c>
      <c r="K698" s="7">
        <f>ROUND(H698*I698*J698, 2)</f>
        <v/>
      </c>
      <c r="L698" s="19">
        <f>ROUND(K698/1000, 3)</f>
        <v/>
      </c>
      <c r="M698" s="728">
        <f>IF(AO698="","",IF(N(INDEX(Theo_Doi_Tan_Suat_Be_Tong!$C:$C,AO698))&lt;=0,"",INDEX(Theo_Doi_Tan_Suat_Be_Tong!$C:$C,AO698)-VLOOKUP(AN698,$AQ$2:$AR$7,2,FALSE)))</f>
        <v/>
      </c>
      <c r="N698" s="4" t="n"/>
      <c r="O698" s="20">
        <f>IF(ROUNDUP(T698/20,0)&gt;ROUNDUP(T697/20,0),"TN Ø18 (Lần " &amp; ROUNDUP(T698/20,0) &amp; ")","")</f>
        <v/>
      </c>
      <c r="P698" s="16">
        <f>ROUND(P697+IF(AND(E698&lt;=10,F698&lt;&gt;"ASTM A416"),L698,0),3)</f>
        <v/>
      </c>
      <c r="Q698" s="16">
        <f>ROUND(Q697+IF(AND(E698=12,F698&lt;&gt;"ASTM A416"),L698,0),3)</f>
        <v/>
      </c>
      <c r="R698" s="16">
        <f>ROUND(R697+IF(AND(E698=14,F698&lt;&gt;"ASTM A416"),L698,0),3)</f>
        <v/>
      </c>
      <c r="S698" s="16">
        <f>ROUND(S697+IF(AND(E698=16,F698&lt;&gt;"ASTM A416"),L698,0),3)</f>
        <v/>
      </c>
      <c r="T698" s="16">
        <f>ROUND(T697+IF(AND(E698=18,F698&lt;&gt;"ASTM A416"),L698,0),3)</f>
        <v/>
      </c>
      <c r="U698" s="16">
        <f>ROUND(U697+IF(AND(E698=20,F698&lt;&gt;"ASTM A416"),L698,0),3)</f>
        <v/>
      </c>
      <c r="V698" s="16">
        <f>ROUND(V697+IF(AND(E698=22,F698&lt;&gt;"ASTM A416"),L698,0),3)</f>
        <v/>
      </c>
      <c r="W698" s="16">
        <f>ROUND(W697+IF(AND(E698=25,F698&lt;&gt;"ASTM A416"),L698,0),3)</f>
        <v/>
      </c>
      <c r="X698" s="16">
        <f>ROUND(X697+IF(AND(E698=28,F698&lt;&gt;"ASTM A416"),L698,0),3)</f>
        <v/>
      </c>
      <c r="Y698" s="16">
        <f>ROUND(Y697+IF(AND(E698=32,F698&lt;&gt;"ASTM A416"),L698,0),3)</f>
        <v/>
      </c>
      <c r="Z698" s="16">
        <f>ROUND(Z697+IF(F698="ASTM A416",L698,0),3)</f>
        <v/>
      </c>
      <c r="AA698" s="9">
        <f>IF(ROUNDUP(P698/20,0)&gt;ROUNDUP(P697/20,0),"Lần " &amp; ROUNDUP(P698/20,0),"")</f>
        <v/>
      </c>
      <c r="AB698" s="9">
        <f>IF(ROUNDUP(Q698/20,0)&gt;ROUNDUP(Q697/20,0),"Lần " &amp; ROUNDUP(Q698/20,0),"")</f>
        <v/>
      </c>
      <c r="AC698" s="9">
        <f>IF(ROUNDUP(R698/20,0)&gt;ROUNDUP(R697/20,0),"Lần " &amp; ROUNDUP(R698/20,0),"")</f>
        <v/>
      </c>
      <c r="AD698" s="9">
        <f>IF(ROUNDUP(S698/20,0)&gt;ROUNDUP(S697/20,0),"Lần " &amp; ROUNDUP(S698/20,0),"")</f>
        <v/>
      </c>
      <c r="AE698" s="9">
        <f>IF(ROUNDUP(T698/20,0)&gt;ROUNDUP(T697/20,0),"Lần " &amp; ROUNDUP(T698/20,0),"")</f>
        <v/>
      </c>
      <c r="AF698" s="9">
        <f>IF(ROUNDUP(U698/20,0)&gt;ROUNDUP(U697/20,0),"Lần " &amp; ROUNDUP(U698/20,0),"")</f>
        <v/>
      </c>
      <c r="AG698" s="9">
        <f>IF(ROUNDUP(V698/20,0)&gt;ROUNDUP(V697/20,0),"Lần " &amp; ROUNDUP(V698/20,0),"")</f>
        <v/>
      </c>
      <c r="AH698" s="9">
        <f>IF(ROUNDUP(W698/20,0)&gt;ROUNDUP(W697/20,0),"Lần " &amp; ROUNDUP(W698/20,0),"")</f>
        <v/>
      </c>
      <c r="AI698" s="9">
        <f>IF(ROUNDUP(X698/20,0)&gt;ROUNDUP(X697/20,0),"Lần " &amp; ROUNDUP(X698/20,0),"")</f>
        <v/>
      </c>
      <c r="AJ698" s="9">
        <f>IF(ROUNDUP(Y698/20,0)&gt;ROUNDUP(Y697/20,0),"Lần " &amp; ROUNDUP(Y698/20,0),"")</f>
        <v/>
      </c>
      <c r="AK698" s="9">
        <f>IF(ROUNDUP(Z698/20,0)&gt;ROUNDUP(Z697/20,0),"Lần " &amp; ROUNDUP(Z698/20,0),"")</f>
        <v/>
      </c>
      <c r="AL698" s="4" t="n"/>
      <c r="AN698" s="596" t="inlineStr">
        <is>
          <t>Dam</t>
        </is>
      </c>
      <c r="AO698" s="596" t="n">
        <v>59</v>
      </c>
      <c r="AQ698" s="594" t="n"/>
      <c r="AR698" s="595" t="n"/>
    </row>
    <row r="699" ht="19" customHeight="1" s="672">
      <c r="A699" s="4" t="n">
        <v>662</v>
      </c>
      <c r="B699" s="5" t="inlineStr">
        <is>
          <t>Dầm chủ Super-T (15 phiến L=38.2m)</t>
        </is>
      </c>
      <c r="C699" s="5" t="inlineStr">
        <is>
          <t>Dầm S1B2 (tr.91)</t>
        </is>
      </c>
      <c r="D699" s="14" t="inlineStr">
        <is>
          <t>G5c</t>
        </is>
      </c>
      <c r="E699" s="15" t="n">
        <v>16</v>
      </c>
      <c r="F699" s="4" t="inlineStr">
        <is>
          <t>CB400-V</t>
        </is>
      </c>
      <c r="G699" s="5" t="inlineStr">
        <is>
          <t>S01</t>
        </is>
      </c>
      <c r="H699" s="16" t="n">
        <v>10.68</v>
      </c>
      <c r="I699" s="17" t="n">
        <v>42</v>
      </c>
      <c r="J699" s="18" t="n">
        <v>1.578</v>
      </c>
      <c r="K699" s="7">
        <f>ROUND(H699*I699*J699, 2)</f>
        <v/>
      </c>
      <c r="L699" s="19">
        <f>ROUND(K699/1000, 3)</f>
        <v/>
      </c>
      <c r="M699" s="728">
        <f>IF(AO699="","",IF(N(INDEX(Theo_Doi_Tan_Suat_Be_Tong!$C:$C,AO699))&lt;=0,"",INDEX(Theo_Doi_Tan_Suat_Be_Tong!$C:$C,AO699)-VLOOKUP(AN699,$AQ$2:$AR$7,2,FALSE)))</f>
        <v/>
      </c>
      <c r="N699" s="4" t="n"/>
      <c r="O699" s="20">
        <f>IF(ROUNDUP(S699/20,0)&gt;ROUNDUP(S698/20,0),"TN Ø16 (Lần " &amp; ROUNDUP(S699/20,0) &amp; ")","")</f>
        <v/>
      </c>
      <c r="P699" s="16">
        <f>ROUND(P698+IF(AND(E699&lt;=10,F699&lt;&gt;"ASTM A416"),L699,0),3)</f>
        <v/>
      </c>
      <c r="Q699" s="16">
        <f>ROUND(Q698+IF(AND(E699=12,F699&lt;&gt;"ASTM A416"),L699,0),3)</f>
        <v/>
      </c>
      <c r="R699" s="16">
        <f>ROUND(R698+IF(AND(E699=14,F699&lt;&gt;"ASTM A416"),L699,0),3)</f>
        <v/>
      </c>
      <c r="S699" s="16">
        <f>ROUND(S698+IF(AND(E699=16,F699&lt;&gt;"ASTM A416"),L699,0),3)</f>
        <v/>
      </c>
      <c r="T699" s="16">
        <f>ROUND(T698+IF(AND(E699=18,F699&lt;&gt;"ASTM A416"),L699,0),3)</f>
        <v/>
      </c>
      <c r="U699" s="16">
        <f>ROUND(U698+IF(AND(E699=20,F699&lt;&gt;"ASTM A416"),L699,0),3)</f>
        <v/>
      </c>
      <c r="V699" s="16">
        <f>ROUND(V698+IF(AND(E699=22,F699&lt;&gt;"ASTM A416"),L699,0),3)</f>
        <v/>
      </c>
      <c r="W699" s="16">
        <f>ROUND(W698+IF(AND(E699=25,F699&lt;&gt;"ASTM A416"),L699,0),3)</f>
        <v/>
      </c>
      <c r="X699" s="16">
        <f>ROUND(X698+IF(AND(E699=28,F699&lt;&gt;"ASTM A416"),L699,0),3)</f>
        <v/>
      </c>
      <c r="Y699" s="16">
        <f>ROUND(Y698+IF(AND(E699=32,F699&lt;&gt;"ASTM A416"),L699,0),3)</f>
        <v/>
      </c>
      <c r="Z699" s="16">
        <f>ROUND(Z698+IF(F699="ASTM A416",L699,0),3)</f>
        <v/>
      </c>
      <c r="AA699" s="9">
        <f>IF(ROUNDUP(P699/20,0)&gt;ROUNDUP(P698/20,0),"Lần " &amp; ROUNDUP(P699/20,0),"")</f>
        <v/>
      </c>
      <c r="AB699" s="9">
        <f>IF(ROUNDUP(Q699/20,0)&gt;ROUNDUP(Q698/20,0),"Lần " &amp; ROUNDUP(Q699/20,0),"")</f>
        <v/>
      </c>
      <c r="AC699" s="9">
        <f>IF(ROUNDUP(R699/20,0)&gt;ROUNDUP(R698/20,0),"Lần " &amp; ROUNDUP(R699/20,0),"")</f>
        <v/>
      </c>
      <c r="AD699" s="9">
        <f>IF(ROUNDUP(S699/20,0)&gt;ROUNDUP(S698/20,0),"Lần " &amp; ROUNDUP(S699/20,0),"")</f>
        <v/>
      </c>
      <c r="AE699" s="9">
        <f>IF(ROUNDUP(T699/20,0)&gt;ROUNDUP(T698/20,0),"Lần " &amp; ROUNDUP(T699/20,0),"")</f>
        <v/>
      </c>
      <c r="AF699" s="9">
        <f>IF(ROUNDUP(U699/20,0)&gt;ROUNDUP(U698/20,0),"Lần " &amp; ROUNDUP(U699/20,0),"")</f>
        <v/>
      </c>
      <c r="AG699" s="9">
        <f>IF(ROUNDUP(V699/20,0)&gt;ROUNDUP(V698/20,0),"Lần " &amp; ROUNDUP(V699/20,0),"")</f>
        <v/>
      </c>
      <c r="AH699" s="9">
        <f>IF(ROUNDUP(W699/20,0)&gt;ROUNDUP(W698/20,0),"Lần " &amp; ROUNDUP(W699/20,0),"")</f>
        <v/>
      </c>
      <c r="AI699" s="9">
        <f>IF(ROUNDUP(X699/20,0)&gt;ROUNDUP(X698/20,0),"Lần " &amp; ROUNDUP(X699/20,0),"")</f>
        <v/>
      </c>
      <c r="AJ699" s="9">
        <f>IF(ROUNDUP(Y699/20,0)&gt;ROUNDUP(Y698/20,0),"Lần " &amp; ROUNDUP(Y699/20,0),"")</f>
        <v/>
      </c>
      <c r="AK699" s="9">
        <f>IF(ROUNDUP(Z699/20,0)&gt;ROUNDUP(Z698/20,0),"Lần " &amp; ROUNDUP(Z699/20,0),"")</f>
        <v/>
      </c>
      <c r="AL699" s="4" t="n"/>
      <c r="AN699" s="596" t="inlineStr">
        <is>
          <t>Dam</t>
        </is>
      </c>
      <c r="AO699" s="596" t="n">
        <v>59</v>
      </c>
      <c r="AQ699" s="594" t="n"/>
      <c r="AR699" s="595" t="n"/>
    </row>
    <row r="700" ht="19" customHeight="1" s="672">
      <c r="A700" s="4" t="n">
        <v>663</v>
      </c>
      <c r="B700" s="5" t="inlineStr">
        <is>
          <t>Dầm chủ Super-T (15 phiến L=38.2m)</t>
        </is>
      </c>
      <c r="C700" s="5" t="inlineStr">
        <is>
          <t>Dầm S1B2 (tr.91)</t>
        </is>
      </c>
      <c r="D700" s="14" t="inlineStr">
        <is>
          <t>G5d</t>
        </is>
      </c>
      <c r="E700" s="15" t="n">
        <v>18</v>
      </c>
      <c r="F700" s="4" t="inlineStr">
        <is>
          <t>CB400-V</t>
        </is>
      </c>
      <c r="G700" s="5" t="inlineStr">
        <is>
          <t>S06</t>
        </is>
      </c>
      <c r="H700" s="16" t="n">
        <v>3.9</v>
      </c>
      <c r="I700" s="17" t="n">
        <v>42</v>
      </c>
      <c r="J700" s="18" t="n">
        <v>1.998</v>
      </c>
      <c r="K700" s="7">
        <f>ROUND(H700*I700*J700, 2)</f>
        <v/>
      </c>
      <c r="L700" s="19">
        <f>ROUND(K700/1000, 3)</f>
        <v/>
      </c>
      <c r="M700" s="728">
        <f>IF(AO700="","",IF(N(INDEX(Theo_Doi_Tan_Suat_Be_Tong!$C:$C,AO700))&lt;=0,"",INDEX(Theo_Doi_Tan_Suat_Be_Tong!$C:$C,AO700)-VLOOKUP(AN700,$AQ$2:$AR$7,2,FALSE)))</f>
        <v/>
      </c>
      <c r="N700" s="4" t="n"/>
      <c r="O700" s="20">
        <f>IF(ROUNDUP(T700/20,0)&gt;ROUNDUP(T699/20,0),"TN Ø18 (Lần " &amp; ROUNDUP(T700/20,0) &amp; ")","")</f>
        <v/>
      </c>
      <c r="P700" s="16">
        <f>ROUND(P699+IF(AND(E700&lt;=10,F700&lt;&gt;"ASTM A416"),L700,0),3)</f>
        <v/>
      </c>
      <c r="Q700" s="16">
        <f>ROUND(Q699+IF(AND(E700=12,F700&lt;&gt;"ASTM A416"),L700,0),3)</f>
        <v/>
      </c>
      <c r="R700" s="16">
        <f>ROUND(R699+IF(AND(E700=14,F700&lt;&gt;"ASTM A416"),L700,0),3)</f>
        <v/>
      </c>
      <c r="S700" s="16">
        <f>ROUND(S699+IF(AND(E700=16,F700&lt;&gt;"ASTM A416"),L700,0),3)</f>
        <v/>
      </c>
      <c r="T700" s="16">
        <f>ROUND(T699+IF(AND(E700=18,F700&lt;&gt;"ASTM A416"),L700,0),3)</f>
        <v/>
      </c>
      <c r="U700" s="16">
        <f>ROUND(U699+IF(AND(E700=20,F700&lt;&gt;"ASTM A416"),L700,0),3)</f>
        <v/>
      </c>
      <c r="V700" s="16">
        <f>ROUND(V699+IF(AND(E700=22,F700&lt;&gt;"ASTM A416"),L700,0),3)</f>
        <v/>
      </c>
      <c r="W700" s="16">
        <f>ROUND(W699+IF(AND(E700=25,F700&lt;&gt;"ASTM A416"),L700,0),3)</f>
        <v/>
      </c>
      <c r="X700" s="16">
        <f>ROUND(X699+IF(AND(E700=28,F700&lt;&gt;"ASTM A416"),L700,0),3)</f>
        <v/>
      </c>
      <c r="Y700" s="16">
        <f>ROUND(Y699+IF(AND(E700=32,F700&lt;&gt;"ASTM A416"),L700,0),3)</f>
        <v/>
      </c>
      <c r="Z700" s="16">
        <f>ROUND(Z699+IF(F700="ASTM A416",L700,0),3)</f>
        <v/>
      </c>
      <c r="AA700" s="9">
        <f>IF(ROUNDUP(P700/20,0)&gt;ROUNDUP(P699/20,0),"Lần " &amp; ROUNDUP(P700/20,0),"")</f>
        <v/>
      </c>
      <c r="AB700" s="9">
        <f>IF(ROUNDUP(Q700/20,0)&gt;ROUNDUP(Q699/20,0),"Lần " &amp; ROUNDUP(Q700/20,0),"")</f>
        <v/>
      </c>
      <c r="AC700" s="9">
        <f>IF(ROUNDUP(R700/20,0)&gt;ROUNDUP(R699/20,0),"Lần " &amp; ROUNDUP(R700/20,0),"")</f>
        <v/>
      </c>
      <c r="AD700" s="9">
        <f>IF(ROUNDUP(S700/20,0)&gt;ROUNDUP(S699/20,0),"Lần " &amp; ROUNDUP(S700/20,0),"")</f>
        <v/>
      </c>
      <c r="AE700" s="9">
        <f>IF(ROUNDUP(T700/20,0)&gt;ROUNDUP(T699/20,0),"Lần " &amp; ROUNDUP(T700/20,0),"")</f>
        <v/>
      </c>
      <c r="AF700" s="9">
        <f>IF(ROUNDUP(U700/20,0)&gt;ROUNDUP(U699/20,0),"Lần " &amp; ROUNDUP(U700/20,0),"")</f>
        <v/>
      </c>
      <c r="AG700" s="9">
        <f>IF(ROUNDUP(V700/20,0)&gt;ROUNDUP(V699/20,0),"Lần " &amp; ROUNDUP(V700/20,0),"")</f>
        <v/>
      </c>
      <c r="AH700" s="9">
        <f>IF(ROUNDUP(W700/20,0)&gt;ROUNDUP(W699/20,0),"Lần " &amp; ROUNDUP(W700/20,0),"")</f>
        <v/>
      </c>
      <c r="AI700" s="9">
        <f>IF(ROUNDUP(X700/20,0)&gt;ROUNDUP(X699/20,0),"Lần " &amp; ROUNDUP(X700/20,0),"")</f>
        <v/>
      </c>
      <c r="AJ700" s="9">
        <f>IF(ROUNDUP(Y700/20,0)&gt;ROUNDUP(Y699/20,0),"Lần " &amp; ROUNDUP(Y700/20,0),"")</f>
        <v/>
      </c>
      <c r="AK700" s="9">
        <f>IF(ROUNDUP(Z700/20,0)&gt;ROUNDUP(Z699/20,0),"Lần " &amp; ROUNDUP(Z700/20,0),"")</f>
        <v/>
      </c>
      <c r="AL700" s="4" t="n"/>
      <c r="AN700" s="596" t="inlineStr">
        <is>
          <t>Dam</t>
        </is>
      </c>
      <c r="AO700" s="596" t="n">
        <v>59</v>
      </c>
      <c r="AQ700" s="594" t="n"/>
      <c r="AR700" s="595" t="n"/>
    </row>
    <row r="701" ht="19" customHeight="1" s="672">
      <c r="A701" s="4" t="n">
        <v>664</v>
      </c>
      <c r="B701" s="5" t="inlineStr">
        <is>
          <t>Dầm chủ Super-T (15 phiến L=38.2m)</t>
        </is>
      </c>
      <c r="C701" s="5" t="inlineStr">
        <is>
          <t>Dầm S1B2 (tr.91)</t>
        </is>
      </c>
      <c r="D701" s="14" t="inlineStr">
        <is>
          <t>G6a</t>
        </is>
      </c>
      <c r="E701" s="15" t="n">
        <v>32</v>
      </c>
      <c r="F701" s="4" t="inlineStr">
        <is>
          <t>CB400-V</t>
        </is>
      </c>
      <c r="G701" s="5" t="inlineStr">
        <is>
          <t>S01</t>
        </is>
      </c>
      <c r="H701" s="16" t="n">
        <v>11.7</v>
      </c>
      <c r="I701" s="17" t="n">
        <v>27</v>
      </c>
      <c r="J701" s="18" t="n">
        <v>6.313</v>
      </c>
      <c r="K701" s="7">
        <f>ROUND(H701*I701*J701, 2)</f>
        <v/>
      </c>
      <c r="L701" s="19">
        <f>ROUND(K701/1000, 3)</f>
        <v/>
      </c>
      <c r="M701" s="728">
        <f>IF(AO701="","",IF(N(INDEX(Theo_Doi_Tan_Suat_Be_Tong!$C:$C,AO701))&lt;=0,"",INDEX(Theo_Doi_Tan_Suat_Be_Tong!$C:$C,AO701)-VLOOKUP(AN701,$AQ$2:$AR$7,2,FALSE)))</f>
        <v/>
      </c>
      <c r="N701" s="4" t="n"/>
      <c r="O701" s="20">
        <f>IF(ROUNDUP(Y701/20,0)&gt;ROUNDUP(Y700/20,0),"TN Ø32 (Lần " &amp; ROUNDUP(Y701/20,0) &amp; ")","")</f>
        <v/>
      </c>
      <c r="P701" s="16">
        <f>ROUND(P700+IF(AND(E701&lt;=10,F701&lt;&gt;"ASTM A416"),L701,0),3)</f>
        <v/>
      </c>
      <c r="Q701" s="16">
        <f>ROUND(Q700+IF(AND(E701=12,F701&lt;&gt;"ASTM A416"),L701,0),3)</f>
        <v/>
      </c>
      <c r="R701" s="16">
        <f>ROUND(R700+IF(AND(E701=14,F701&lt;&gt;"ASTM A416"),L701,0),3)</f>
        <v/>
      </c>
      <c r="S701" s="16">
        <f>ROUND(S700+IF(AND(E701=16,F701&lt;&gt;"ASTM A416"),L701,0),3)</f>
        <v/>
      </c>
      <c r="T701" s="16">
        <f>ROUND(T700+IF(AND(E701=18,F701&lt;&gt;"ASTM A416"),L701,0),3)</f>
        <v/>
      </c>
      <c r="U701" s="16">
        <f>ROUND(U700+IF(AND(E701=20,F701&lt;&gt;"ASTM A416"),L701,0),3)</f>
        <v/>
      </c>
      <c r="V701" s="16">
        <f>ROUND(V700+IF(AND(E701=22,F701&lt;&gt;"ASTM A416"),L701,0),3)</f>
        <v/>
      </c>
      <c r="W701" s="16">
        <f>ROUND(W700+IF(AND(E701=25,F701&lt;&gt;"ASTM A416"),L701,0),3)</f>
        <v/>
      </c>
      <c r="X701" s="16">
        <f>ROUND(X700+IF(AND(E701=28,F701&lt;&gt;"ASTM A416"),L701,0),3)</f>
        <v/>
      </c>
      <c r="Y701" s="16">
        <f>ROUND(Y700+IF(AND(E701=32,F701&lt;&gt;"ASTM A416"),L701,0),3)</f>
        <v/>
      </c>
      <c r="Z701" s="16">
        <f>ROUND(Z700+IF(F701="ASTM A416",L701,0),3)</f>
        <v/>
      </c>
      <c r="AA701" s="9">
        <f>IF(ROUNDUP(P701/20,0)&gt;ROUNDUP(P700/20,0),"Lần " &amp; ROUNDUP(P701/20,0),"")</f>
        <v/>
      </c>
      <c r="AB701" s="9">
        <f>IF(ROUNDUP(Q701/20,0)&gt;ROUNDUP(Q700/20,0),"Lần " &amp; ROUNDUP(Q701/20,0),"")</f>
        <v/>
      </c>
      <c r="AC701" s="9">
        <f>IF(ROUNDUP(R701/20,0)&gt;ROUNDUP(R700/20,0),"Lần " &amp; ROUNDUP(R701/20,0),"")</f>
        <v/>
      </c>
      <c r="AD701" s="9">
        <f>IF(ROUNDUP(S701/20,0)&gt;ROUNDUP(S700/20,0),"Lần " &amp; ROUNDUP(S701/20,0),"")</f>
        <v/>
      </c>
      <c r="AE701" s="9">
        <f>IF(ROUNDUP(T701/20,0)&gt;ROUNDUP(T700/20,0),"Lần " &amp; ROUNDUP(T701/20,0),"")</f>
        <v/>
      </c>
      <c r="AF701" s="9">
        <f>IF(ROUNDUP(U701/20,0)&gt;ROUNDUP(U700/20,0),"Lần " &amp; ROUNDUP(U701/20,0),"")</f>
        <v/>
      </c>
      <c r="AG701" s="9">
        <f>IF(ROUNDUP(V701/20,0)&gt;ROUNDUP(V700/20,0),"Lần " &amp; ROUNDUP(V701/20,0),"")</f>
        <v/>
      </c>
      <c r="AH701" s="9">
        <f>IF(ROUNDUP(W701/20,0)&gt;ROUNDUP(W700/20,0),"Lần " &amp; ROUNDUP(W701/20,0),"")</f>
        <v/>
      </c>
      <c r="AI701" s="9">
        <f>IF(ROUNDUP(X701/20,0)&gt;ROUNDUP(X700/20,0),"Lần " &amp; ROUNDUP(X701/20,0),"")</f>
        <v/>
      </c>
      <c r="AJ701" s="9">
        <f>IF(ROUNDUP(Y701/20,0)&gt;ROUNDUP(Y700/20,0),"Lần " &amp; ROUNDUP(Y701/20,0),"")</f>
        <v/>
      </c>
      <c r="AK701" s="9">
        <f>IF(ROUNDUP(Z701/20,0)&gt;ROUNDUP(Z700/20,0),"Lần " &amp; ROUNDUP(Z701/20,0),"")</f>
        <v/>
      </c>
      <c r="AL701" s="4" t="n"/>
      <c r="AN701" s="596" t="inlineStr">
        <is>
          <t>Dam</t>
        </is>
      </c>
      <c r="AO701" s="596" t="n">
        <v>59</v>
      </c>
      <c r="AQ701" s="594" t="n"/>
      <c r="AR701" s="595" t="n"/>
    </row>
    <row r="702" ht="19" customHeight="1" s="672">
      <c r="A702" s="4" t="n">
        <v>665</v>
      </c>
      <c r="B702" s="5" t="inlineStr">
        <is>
          <t>Dầm chủ Super-T (15 phiến L=38.2m)</t>
        </is>
      </c>
      <c r="C702" s="5" t="inlineStr">
        <is>
          <t>Dầm S1B2 (tr.91)</t>
        </is>
      </c>
      <c r="D702" s="14" t="inlineStr">
        <is>
          <t>G6b</t>
        </is>
      </c>
      <c r="E702" s="15" t="n">
        <v>32</v>
      </c>
      <c r="F702" s="4" t="inlineStr">
        <is>
          <t>CB400-V</t>
        </is>
      </c>
      <c r="G702" s="5" t="inlineStr">
        <is>
          <t>S06</t>
        </is>
      </c>
      <c r="H702" s="16" t="n">
        <v>6.86</v>
      </c>
      <c r="I702" s="17" t="n">
        <v>9</v>
      </c>
      <c r="J702" s="18" t="n">
        <v>6.313</v>
      </c>
      <c r="K702" s="7">
        <f>ROUND(H702*I702*J702, 2)</f>
        <v/>
      </c>
      <c r="L702" s="19">
        <f>ROUND(K702/1000, 3)</f>
        <v/>
      </c>
      <c r="M702" s="728">
        <f>IF(AO702="","",IF(N(INDEX(Theo_Doi_Tan_Suat_Be_Tong!$C:$C,AO702))&lt;=0,"",INDEX(Theo_Doi_Tan_Suat_Be_Tong!$C:$C,AO702)-VLOOKUP(AN702,$AQ$2:$AR$7,2,FALSE)))</f>
        <v/>
      </c>
      <c r="N702" s="4" t="n"/>
      <c r="O702" s="20">
        <f>IF(ROUNDUP(Y702/20,0)&gt;ROUNDUP(Y701/20,0),"TN Ø32 (Lần " &amp; ROUNDUP(Y702/20,0) &amp; ")","")</f>
        <v/>
      </c>
      <c r="P702" s="16">
        <f>ROUND(P701+IF(AND(E702&lt;=10,F702&lt;&gt;"ASTM A416"),L702,0),3)</f>
        <v/>
      </c>
      <c r="Q702" s="16">
        <f>ROUND(Q701+IF(AND(E702=12,F702&lt;&gt;"ASTM A416"),L702,0),3)</f>
        <v/>
      </c>
      <c r="R702" s="16">
        <f>ROUND(R701+IF(AND(E702=14,F702&lt;&gt;"ASTM A416"),L702,0),3)</f>
        <v/>
      </c>
      <c r="S702" s="16">
        <f>ROUND(S701+IF(AND(E702=16,F702&lt;&gt;"ASTM A416"),L702,0),3)</f>
        <v/>
      </c>
      <c r="T702" s="16">
        <f>ROUND(T701+IF(AND(E702=18,F702&lt;&gt;"ASTM A416"),L702,0),3)</f>
        <v/>
      </c>
      <c r="U702" s="16">
        <f>ROUND(U701+IF(AND(E702=20,F702&lt;&gt;"ASTM A416"),L702,0),3)</f>
        <v/>
      </c>
      <c r="V702" s="16">
        <f>ROUND(V701+IF(AND(E702=22,F702&lt;&gt;"ASTM A416"),L702,0),3)</f>
        <v/>
      </c>
      <c r="W702" s="16">
        <f>ROUND(W701+IF(AND(E702=25,F702&lt;&gt;"ASTM A416"),L702,0),3)</f>
        <v/>
      </c>
      <c r="X702" s="16">
        <f>ROUND(X701+IF(AND(E702=28,F702&lt;&gt;"ASTM A416"),L702,0),3)</f>
        <v/>
      </c>
      <c r="Y702" s="16">
        <f>ROUND(Y701+IF(AND(E702=32,F702&lt;&gt;"ASTM A416"),L702,0),3)</f>
        <v/>
      </c>
      <c r="Z702" s="16">
        <f>ROUND(Z701+IF(F702="ASTM A416",L702,0),3)</f>
        <v/>
      </c>
      <c r="AA702" s="9">
        <f>IF(ROUNDUP(P702/20,0)&gt;ROUNDUP(P701/20,0),"Lần " &amp; ROUNDUP(P702/20,0),"")</f>
        <v/>
      </c>
      <c r="AB702" s="9">
        <f>IF(ROUNDUP(Q702/20,0)&gt;ROUNDUP(Q701/20,0),"Lần " &amp; ROUNDUP(Q702/20,0),"")</f>
        <v/>
      </c>
      <c r="AC702" s="9">
        <f>IF(ROUNDUP(R702/20,0)&gt;ROUNDUP(R701/20,0),"Lần " &amp; ROUNDUP(R702/20,0),"")</f>
        <v/>
      </c>
      <c r="AD702" s="9">
        <f>IF(ROUNDUP(S702/20,0)&gt;ROUNDUP(S701/20,0),"Lần " &amp; ROUNDUP(S702/20,0),"")</f>
        <v/>
      </c>
      <c r="AE702" s="9">
        <f>IF(ROUNDUP(T702/20,0)&gt;ROUNDUP(T701/20,0),"Lần " &amp; ROUNDUP(T702/20,0),"")</f>
        <v/>
      </c>
      <c r="AF702" s="9">
        <f>IF(ROUNDUP(U702/20,0)&gt;ROUNDUP(U701/20,0),"Lần " &amp; ROUNDUP(U702/20,0),"")</f>
        <v/>
      </c>
      <c r="AG702" s="9">
        <f>IF(ROUNDUP(V702/20,0)&gt;ROUNDUP(V701/20,0),"Lần " &amp; ROUNDUP(V702/20,0),"")</f>
        <v/>
      </c>
      <c r="AH702" s="9">
        <f>IF(ROUNDUP(W702/20,0)&gt;ROUNDUP(W701/20,0),"Lần " &amp; ROUNDUP(W702/20,0),"")</f>
        <v/>
      </c>
      <c r="AI702" s="9">
        <f>IF(ROUNDUP(X702/20,0)&gt;ROUNDUP(X701/20,0),"Lần " &amp; ROUNDUP(X702/20,0),"")</f>
        <v/>
      </c>
      <c r="AJ702" s="9">
        <f>IF(ROUNDUP(Y702/20,0)&gt;ROUNDUP(Y701/20,0),"Lần " &amp; ROUNDUP(Y702/20,0),"")</f>
        <v/>
      </c>
      <c r="AK702" s="9">
        <f>IF(ROUNDUP(Z702/20,0)&gt;ROUNDUP(Z701/20,0),"Lần " &amp; ROUNDUP(Z702/20,0),"")</f>
        <v/>
      </c>
      <c r="AL702" s="4" t="n"/>
      <c r="AN702" s="596" t="inlineStr">
        <is>
          <t>Dam</t>
        </is>
      </c>
      <c r="AO702" s="596" t="n">
        <v>59</v>
      </c>
      <c r="AQ702" s="594" t="n"/>
      <c r="AR702" s="595" t="n"/>
    </row>
    <row r="703" ht="19" customHeight="1" s="672">
      <c r="A703" s="4" t="n">
        <v>666</v>
      </c>
      <c r="B703" s="5" t="inlineStr">
        <is>
          <t>Dầm chủ Super-T (15 phiến L=38.2m)</t>
        </is>
      </c>
      <c r="C703" s="5" t="inlineStr">
        <is>
          <t>Dầm S1B2 (tr.91)</t>
        </is>
      </c>
      <c r="D703" s="14" t="inlineStr">
        <is>
          <t>N1a</t>
        </is>
      </c>
      <c r="E703" s="15" t="n">
        <v>12</v>
      </c>
      <c r="F703" s="4" t="inlineStr">
        <is>
          <t>CB400-V</t>
        </is>
      </c>
      <c r="G703" s="5" t="inlineStr">
        <is>
          <t>S06</t>
        </is>
      </c>
      <c r="H703" s="16" t="n">
        <v>1.185</v>
      </c>
      <c r="I703" s="17" t="n">
        <v>111</v>
      </c>
      <c r="J703" s="18" t="n">
        <v>0.888</v>
      </c>
      <c r="K703" s="7">
        <f>ROUND(H703*I703*J703, 2)</f>
        <v/>
      </c>
      <c r="L703" s="19">
        <f>ROUND(K703/1000, 3)</f>
        <v/>
      </c>
      <c r="M703" s="728">
        <f>IF(AO703="","",IF(N(INDEX(Theo_Doi_Tan_Suat_Be_Tong!$C:$C,AO703))&lt;=0,"",INDEX(Theo_Doi_Tan_Suat_Be_Tong!$C:$C,AO703)-VLOOKUP(AN703,$AQ$2:$AR$7,2,FALSE)))</f>
        <v/>
      </c>
      <c r="N703" s="4" t="n"/>
      <c r="O703" s="20">
        <f>IF(ROUNDUP(Q703/20,0)&gt;ROUNDUP(Q702/20,0),"TN Ø12 (Lần " &amp; ROUNDUP(Q703/20,0) &amp; ")","")</f>
        <v/>
      </c>
      <c r="P703" s="16">
        <f>ROUND(P702+IF(AND(E703&lt;=10,F703&lt;&gt;"ASTM A416"),L703,0),3)</f>
        <v/>
      </c>
      <c r="Q703" s="16">
        <f>ROUND(Q702+IF(AND(E703=12,F703&lt;&gt;"ASTM A416"),L703,0),3)</f>
        <v/>
      </c>
      <c r="R703" s="16">
        <f>ROUND(R702+IF(AND(E703=14,F703&lt;&gt;"ASTM A416"),L703,0),3)</f>
        <v/>
      </c>
      <c r="S703" s="16">
        <f>ROUND(S702+IF(AND(E703=16,F703&lt;&gt;"ASTM A416"),L703,0),3)</f>
        <v/>
      </c>
      <c r="T703" s="16">
        <f>ROUND(T702+IF(AND(E703=18,F703&lt;&gt;"ASTM A416"),L703,0),3)</f>
        <v/>
      </c>
      <c r="U703" s="16">
        <f>ROUND(U702+IF(AND(E703=20,F703&lt;&gt;"ASTM A416"),L703,0),3)</f>
        <v/>
      </c>
      <c r="V703" s="16">
        <f>ROUND(V702+IF(AND(E703=22,F703&lt;&gt;"ASTM A416"),L703,0),3)</f>
        <v/>
      </c>
      <c r="W703" s="16">
        <f>ROUND(W702+IF(AND(E703=25,F703&lt;&gt;"ASTM A416"),L703,0),3)</f>
        <v/>
      </c>
      <c r="X703" s="16">
        <f>ROUND(X702+IF(AND(E703=28,F703&lt;&gt;"ASTM A416"),L703,0),3)</f>
        <v/>
      </c>
      <c r="Y703" s="16">
        <f>ROUND(Y702+IF(AND(E703=32,F703&lt;&gt;"ASTM A416"),L703,0),3)</f>
        <v/>
      </c>
      <c r="Z703" s="16">
        <f>ROUND(Z702+IF(F703="ASTM A416",L703,0),3)</f>
        <v/>
      </c>
      <c r="AA703" s="9">
        <f>IF(ROUNDUP(P703/20,0)&gt;ROUNDUP(P702/20,0),"Lần " &amp; ROUNDUP(P703/20,0),"")</f>
        <v/>
      </c>
      <c r="AB703" s="9">
        <f>IF(ROUNDUP(Q703/20,0)&gt;ROUNDUP(Q702/20,0),"Lần " &amp; ROUNDUP(Q703/20,0),"")</f>
        <v/>
      </c>
      <c r="AC703" s="9">
        <f>IF(ROUNDUP(R703/20,0)&gt;ROUNDUP(R702/20,0),"Lần " &amp; ROUNDUP(R703/20,0),"")</f>
        <v/>
      </c>
      <c r="AD703" s="9">
        <f>IF(ROUNDUP(S703/20,0)&gt;ROUNDUP(S702/20,0),"Lần " &amp; ROUNDUP(S703/20,0),"")</f>
        <v/>
      </c>
      <c r="AE703" s="9">
        <f>IF(ROUNDUP(T703/20,0)&gt;ROUNDUP(T702/20,0),"Lần " &amp; ROUNDUP(T703/20,0),"")</f>
        <v/>
      </c>
      <c r="AF703" s="9">
        <f>IF(ROUNDUP(U703/20,0)&gt;ROUNDUP(U702/20,0),"Lần " &amp; ROUNDUP(U703/20,0),"")</f>
        <v/>
      </c>
      <c r="AG703" s="9">
        <f>IF(ROUNDUP(V703/20,0)&gt;ROUNDUP(V702/20,0),"Lần " &amp; ROUNDUP(V703/20,0),"")</f>
        <v/>
      </c>
      <c r="AH703" s="9">
        <f>IF(ROUNDUP(W703/20,0)&gt;ROUNDUP(W702/20,0),"Lần " &amp; ROUNDUP(W703/20,0),"")</f>
        <v/>
      </c>
      <c r="AI703" s="9">
        <f>IF(ROUNDUP(X703/20,0)&gt;ROUNDUP(X702/20,0),"Lần " &amp; ROUNDUP(X703/20,0),"")</f>
        <v/>
      </c>
      <c r="AJ703" s="9">
        <f>IF(ROUNDUP(Y703/20,0)&gt;ROUNDUP(Y702/20,0),"Lần " &amp; ROUNDUP(Y703/20,0),"")</f>
        <v/>
      </c>
      <c r="AK703" s="9">
        <f>IF(ROUNDUP(Z703/20,0)&gt;ROUNDUP(Z702/20,0),"Lần " &amp; ROUNDUP(Z703/20,0),"")</f>
        <v/>
      </c>
      <c r="AL703" s="4" t="n"/>
      <c r="AN703" s="596" t="inlineStr">
        <is>
          <t>Dam</t>
        </is>
      </c>
      <c r="AO703" s="596" t="n">
        <v>59</v>
      </c>
      <c r="AQ703" s="594" t="n"/>
      <c r="AR703" s="595" t="n"/>
    </row>
    <row r="704" ht="19" customHeight="1" s="672">
      <c r="A704" s="4" t="n">
        <v>667</v>
      </c>
      <c r="B704" s="5" t="inlineStr">
        <is>
          <t>Dầm chủ Super-T (15 phiến L=38.2m)</t>
        </is>
      </c>
      <c r="C704" s="5" t="inlineStr">
        <is>
          <t>Dầm S1B2 (tr.91)</t>
        </is>
      </c>
      <c r="D704" s="14" t="inlineStr">
        <is>
          <t>N1b</t>
        </is>
      </c>
      <c r="E704" s="15" t="n">
        <v>12</v>
      </c>
      <c r="F704" s="4" t="inlineStr">
        <is>
          <t>CB400-V</t>
        </is>
      </c>
      <c r="G704" s="5" t="inlineStr">
        <is>
          <t>S06</t>
        </is>
      </c>
      <c r="H704" s="16" t="n">
        <v>0.93</v>
      </c>
      <c r="I704" s="17" t="n">
        <v>777</v>
      </c>
      <c r="J704" s="18" t="n">
        <v>0.888</v>
      </c>
      <c r="K704" s="7">
        <f>ROUND(H704*I704*J704, 2)</f>
        <v/>
      </c>
      <c r="L704" s="19">
        <f>ROUND(K704/1000, 3)</f>
        <v/>
      </c>
      <c r="M704" s="728">
        <f>IF(AO704="","",IF(N(INDEX(Theo_Doi_Tan_Suat_Be_Tong!$C:$C,AO704))&lt;=0,"",INDEX(Theo_Doi_Tan_Suat_Be_Tong!$C:$C,AO704)-VLOOKUP(AN704,$AQ$2:$AR$7,2,FALSE)))</f>
        <v/>
      </c>
      <c r="N704" s="4" t="n"/>
      <c r="O704" s="20">
        <f>IF(ROUNDUP(Q704/20,0)&gt;ROUNDUP(Q703/20,0),"TN Ø12 (Lần " &amp; ROUNDUP(Q704/20,0) &amp; ")","")</f>
        <v/>
      </c>
      <c r="P704" s="16">
        <f>ROUND(P703+IF(AND(E704&lt;=10,F704&lt;&gt;"ASTM A416"),L704,0),3)</f>
        <v/>
      </c>
      <c r="Q704" s="16">
        <f>ROUND(Q703+IF(AND(E704=12,F704&lt;&gt;"ASTM A416"),L704,0),3)</f>
        <v/>
      </c>
      <c r="R704" s="16">
        <f>ROUND(R703+IF(AND(E704=14,F704&lt;&gt;"ASTM A416"),L704,0),3)</f>
        <v/>
      </c>
      <c r="S704" s="16">
        <f>ROUND(S703+IF(AND(E704=16,F704&lt;&gt;"ASTM A416"),L704,0),3)</f>
        <v/>
      </c>
      <c r="T704" s="16">
        <f>ROUND(T703+IF(AND(E704=18,F704&lt;&gt;"ASTM A416"),L704,0),3)</f>
        <v/>
      </c>
      <c r="U704" s="16">
        <f>ROUND(U703+IF(AND(E704=20,F704&lt;&gt;"ASTM A416"),L704,0),3)</f>
        <v/>
      </c>
      <c r="V704" s="16">
        <f>ROUND(V703+IF(AND(E704=22,F704&lt;&gt;"ASTM A416"),L704,0),3)</f>
        <v/>
      </c>
      <c r="W704" s="16">
        <f>ROUND(W703+IF(AND(E704=25,F704&lt;&gt;"ASTM A416"),L704,0),3)</f>
        <v/>
      </c>
      <c r="X704" s="16">
        <f>ROUND(X703+IF(AND(E704=28,F704&lt;&gt;"ASTM A416"),L704,0),3)</f>
        <v/>
      </c>
      <c r="Y704" s="16">
        <f>ROUND(Y703+IF(AND(E704=32,F704&lt;&gt;"ASTM A416"),L704,0),3)</f>
        <v/>
      </c>
      <c r="Z704" s="16">
        <f>ROUND(Z703+IF(F704="ASTM A416",L704,0),3)</f>
        <v/>
      </c>
      <c r="AA704" s="9">
        <f>IF(ROUNDUP(P704/20,0)&gt;ROUNDUP(P703/20,0),"Lần " &amp; ROUNDUP(P704/20,0),"")</f>
        <v/>
      </c>
      <c r="AB704" s="9">
        <f>IF(ROUNDUP(Q704/20,0)&gt;ROUNDUP(Q703/20,0),"Lần " &amp; ROUNDUP(Q704/20,0),"")</f>
        <v/>
      </c>
      <c r="AC704" s="9">
        <f>IF(ROUNDUP(R704/20,0)&gt;ROUNDUP(R703/20,0),"Lần " &amp; ROUNDUP(R704/20,0),"")</f>
        <v/>
      </c>
      <c r="AD704" s="9">
        <f>IF(ROUNDUP(S704/20,0)&gt;ROUNDUP(S703/20,0),"Lần " &amp; ROUNDUP(S704/20,0),"")</f>
        <v/>
      </c>
      <c r="AE704" s="9">
        <f>IF(ROUNDUP(T704/20,0)&gt;ROUNDUP(T703/20,0),"Lần " &amp; ROUNDUP(T704/20,0),"")</f>
        <v/>
      </c>
      <c r="AF704" s="9">
        <f>IF(ROUNDUP(U704/20,0)&gt;ROUNDUP(U703/20,0),"Lần " &amp; ROUNDUP(U704/20,0),"")</f>
        <v/>
      </c>
      <c r="AG704" s="9">
        <f>IF(ROUNDUP(V704/20,0)&gt;ROUNDUP(V703/20,0),"Lần " &amp; ROUNDUP(V704/20,0),"")</f>
        <v/>
      </c>
      <c r="AH704" s="9">
        <f>IF(ROUNDUP(W704/20,0)&gt;ROUNDUP(W703/20,0),"Lần " &amp; ROUNDUP(W704/20,0),"")</f>
        <v/>
      </c>
      <c r="AI704" s="9">
        <f>IF(ROUNDUP(X704/20,0)&gt;ROUNDUP(X703/20,0),"Lần " &amp; ROUNDUP(X704/20,0),"")</f>
        <v/>
      </c>
      <c r="AJ704" s="9">
        <f>IF(ROUNDUP(Y704/20,0)&gt;ROUNDUP(Y703/20,0),"Lần " &amp; ROUNDUP(Y704/20,0),"")</f>
        <v/>
      </c>
      <c r="AK704" s="9">
        <f>IF(ROUNDUP(Z704/20,0)&gt;ROUNDUP(Z703/20,0),"Lần " &amp; ROUNDUP(Z704/20,0),"")</f>
        <v/>
      </c>
      <c r="AL704" s="4" t="n"/>
      <c r="AN704" s="596" t="inlineStr">
        <is>
          <t>Dam</t>
        </is>
      </c>
      <c r="AO704" s="596" t="n">
        <v>59</v>
      </c>
      <c r="AQ704" s="594" t="n"/>
      <c r="AR704" s="595" t="n"/>
    </row>
    <row r="705" ht="19" customHeight="1" s="672">
      <c r="A705" s="4" t="n">
        <v>668</v>
      </c>
      <c r="B705" s="5" t="inlineStr">
        <is>
          <t>Dầm chủ Super-T (15 phiến L=38.2m)</t>
        </is>
      </c>
      <c r="C705" s="5" t="inlineStr">
        <is>
          <t>Dầm S1B2 (tr.91)</t>
        </is>
      </c>
      <c r="D705" s="14" t="inlineStr">
        <is>
          <t>N2</t>
        </is>
      </c>
      <c r="E705" s="15" t="n">
        <v>12</v>
      </c>
      <c r="F705" s="4" t="inlineStr">
        <is>
          <t>CB400-V</t>
        </is>
      </c>
      <c r="G705" s="5" t="inlineStr">
        <is>
          <t>S06</t>
        </is>
      </c>
      <c r="H705" s="16" t="n">
        <v>3.664</v>
      </c>
      <c r="I705" s="17" t="n">
        <v>9</v>
      </c>
      <c r="J705" s="18" t="n">
        <v>0.888</v>
      </c>
      <c r="K705" s="7">
        <f>ROUND(H705*I705*J705, 2)</f>
        <v/>
      </c>
      <c r="L705" s="19">
        <f>ROUND(K705/1000, 3)</f>
        <v/>
      </c>
      <c r="M705" s="728">
        <f>IF(AO705="","",IF(N(INDEX(Theo_Doi_Tan_Suat_Be_Tong!$C:$C,AO705))&lt;=0,"",INDEX(Theo_Doi_Tan_Suat_Be_Tong!$C:$C,AO705)-VLOOKUP(AN705,$AQ$2:$AR$7,2,FALSE)))</f>
        <v/>
      </c>
      <c r="N705" s="4" t="n"/>
      <c r="O705" s="20">
        <f>IF(ROUNDUP(Q705/20,0)&gt;ROUNDUP(Q704/20,0),"TN Ø12 (Lần " &amp; ROUNDUP(Q705/20,0) &amp; ")","")</f>
        <v/>
      </c>
      <c r="P705" s="16">
        <f>ROUND(P704+IF(AND(E705&lt;=10,F705&lt;&gt;"ASTM A416"),L705,0),3)</f>
        <v/>
      </c>
      <c r="Q705" s="16">
        <f>ROUND(Q704+IF(AND(E705=12,F705&lt;&gt;"ASTM A416"),L705,0),3)</f>
        <v/>
      </c>
      <c r="R705" s="16">
        <f>ROUND(R704+IF(AND(E705=14,F705&lt;&gt;"ASTM A416"),L705,0),3)</f>
        <v/>
      </c>
      <c r="S705" s="16">
        <f>ROUND(S704+IF(AND(E705=16,F705&lt;&gt;"ASTM A416"),L705,0),3)</f>
        <v/>
      </c>
      <c r="T705" s="16">
        <f>ROUND(T704+IF(AND(E705=18,F705&lt;&gt;"ASTM A416"),L705,0),3)</f>
        <v/>
      </c>
      <c r="U705" s="16">
        <f>ROUND(U704+IF(AND(E705=20,F705&lt;&gt;"ASTM A416"),L705,0),3)</f>
        <v/>
      </c>
      <c r="V705" s="16">
        <f>ROUND(V704+IF(AND(E705=22,F705&lt;&gt;"ASTM A416"),L705,0),3)</f>
        <v/>
      </c>
      <c r="W705" s="16">
        <f>ROUND(W704+IF(AND(E705=25,F705&lt;&gt;"ASTM A416"),L705,0),3)</f>
        <v/>
      </c>
      <c r="X705" s="16">
        <f>ROUND(X704+IF(AND(E705=28,F705&lt;&gt;"ASTM A416"),L705,0),3)</f>
        <v/>
      </c>
      <c r="Y705" s="16">
        <f>ROUND(Y704+IF(AND(E705=32,F705&lt;&gt;"ASTM A416"),L705,0),3)</f>
        <v/>
      </c>
      <c r="Z705" s="16">
        <f>ROUND(Z704+IF(F705="ASTM A416",L705,0),3)</f>
        <v/>
      </c>
      <c r="AA705" s="9">
        <f>IF(ROUNDUP(P705/20,0)&gt;ROUNDUP(P704/20,0),"Lần " &amp; ROUNDUP(P705/20,0),"")</f>
        <v/>
      </c>
      <c r="AB705" s="9">
        <f>IF(ROUNDUP(Q705/20,0)&gt;ROUNDUP(Q704/20,0),"Lần " &amp; ROUNDUP(Q705/20,0),"")</f>
        <v/>
      </c>
      <c r="AC705" s="9">
        <f>IF(ROUNDUP(R705/20,0)&gt;ROUNDUP(R704/20,0),"Lần " &amp; ROUNDUP(R705/20,0),"")</f>
        <v/>
      </c>
      <c r="AD705" s="9">
        <f>IF(ROUNDUP(S705/20,0)&gt;ROUNDUP(S704/20,0),"Lần " &amp; ROUNDUP(S705/20,0),"")</f>
        <v/>
      </c>
      <c r="AE705" s="9">
        <f>IF(ROUNDUP(T705/20,0)&gt;ROUNDUP(T704/20,0),"Lần " &amp; ROUNDUP(T705/20,0),"")</f>
        <v/>
      </c>
      <c r="AF705" s="9">
        <f>IF(ROUNDUP(U705/20,0)&gt;ROUNDUP(U704/20,0),"Lần " &amp; ROUNDUP(U705/20,0),"")</f>
        <v/>
      </c>
      <c r="AG705" s="9">
        <f>IF(ROUNDUP(V705/20,0)&gt;ROUNDUP(V704/20,0),"Lần " &amp; ROUNDUP(V705/20,0),"")</f>
        <v/>
      </c>
      <c r="AH705" s="9">
        <f>IF(ROUNDUP(W705/20,0)&gt;ROUNDUP(W704/20,0),"Lần " &amp; ROUNDUP(W705/20,0),"")</f>
        <v/>
      </c>
      <c r="AI705" s="9">
        <f>IF(ROUNDUP(X705/20,0)&gt;ROUNDUP(X704/20,0),"Lần " &amp; ROUNDUP(X705/20,0),"")</f>
        <v/>
      </c>
      <c r="AJ705" s="9">
        <f>IF(ROUNDUP(Y705/20,0)&gt;ROUNDUP(Y704/20,0),"Lần " &amp; ROUNDUP(Y705/20,0),"")</f>
        <v/>
      </c>
      <c r="AK705" s="9">
        <f>IF(ROUNDUP(Z705/20,0)&gt;ROUNDUP(Z704/20,0),"Lần " &amp; ROUNDUP(Z705/20,0),"")</f>
        <v/>
      </c>
      <c r="AL705" s="4" t="n"/>
      <c r="AN705" s="596" t="inlineStr">
        <is>
          <t>Dam</t>
        </is>
      </c>
      <c r="AO705" s="596" t="n">
        <v>59</v>
      </c>
      <c r="AQ705" s="594" t="n"/>
      <c r="AR705" s="595" t="n"/>
    </row>
    <row r="706" ht="19" customHeight="1" s="672">
      <c r="A706" s="4" t="n">
        <v>669</v>
      </c>
      <c r="B706" s="5" t="inlineStr">
        <is>
          <t>Dầm chủ Super-T (15 phiến L=38.2m)</t>
        </is>
      </c>
      <c r="C706" s="5" t="inlineStr">
        <is>
          <t>Dầm S1B2 (tr.91)</t>
        </is>
      </c>
      <c r="D706" s="14" t="inlineStr">
        <is>
          <t>E1</t>
        </is>
      </c>
      <c r="E706" s="15" t="n">
        <v>16</v>
      </c>
      <c r="F706" s="4" t="inlineStr">
        <is>
          <t>CB400-V</t>
        </is>
      </c>
      <c r="G706" s="5" t="inlineStr">
        <is>
          <t>S06</t>
        </is>
      </c>
      <c r="H706" s="16" t="n">
        <v>2.376</v>
      </c>
      <c r="I706" s="17" t="n">
        <v>756</v>
      </c>
      <c r="J706" s="18" t="n">
        <v>1.578</v>
      </c>
      <c r="K706" s="7">
        <f>ROUND(H706*I706*J706, 2)</f>
        <v/>
      </c>
      <c r="L706" s="19">
        <f>ROUND(K706/1000, 3)</f>
        <v/>
      </c>
      <c r="M706" s="728">
        <f>IF(AO706="","",IF(N(INDEX(Theo_Doi_Tan_Suat_Be_Tong!$C:$C,AO706))&lt;=0,"",INDEX(Theo_Doi_Tan_Suat_Be_Tong!$C:$C,AO706)-VLOOKUP(AN706,$AQ$2:$AR$7,2,FALSE)))</f>
        <v/>
      </c>
      <c r="N706" s="4" t="n"/>
      <c r="O706" s="20">
        <f>IF(ROUNDUP(S706/20,0)&gt;ROUNDUP(S705/20,0),"TN Ø16 (Lần " &amp; ROUNDUP(S706/20,0) &amp; ")","")</f>
        <v/>
      </c>
      <c r="P706" s="16">
        <f>ROUND(P705+IF(AND(E706&lt;=10,F706&lt;&gt;"ASTM A416"),L706,0),3)</f>
        <v/>
      </c>
      <c r="Q706" s="16">
        <f>ROUND(Q705+IF(AND(E706=12,F706&lt;&gt;"ASTM A416"),L706,0),3)</f>
        <v/>
      </c>
      <c r="R706" s="16">
        <f>ROUND(R705+IF(AND(E706=14,F706&lt;&gt;"ASTM A416"),L706,0),3)</f>
        <v/>
      </c>
      <c r="S706" s="16">
        <f>ROUND(S705+IF(AND(E706=16,F706&lt;&gt;"ASTM A416"),L706,0),3)</f>
        <v/>
      </c>
      <c r="T706" s="16">
        <f>ROUND(T705+IF(AND(E706=18,F706&lt;&gt;"ASTM A416"),L706,0),3)</f>
        <v/>
      </c>
      <c r="U706" s="16">
        <f>ROUND(U705+IF(AND(E706=20,F706&lt;&gt;"ASTM A416"),L706,0),3)</f>
        <v/>
      </c>
      <c r="V706" s="16">
        <f>ROUND(V705+IF(AND(E706=22,F706&lt;&gt;"ASTM A416"),L706,0),3)</f>
        <v/>
      </c>
      <c r="W706" s="16">
        <f>ROUND(W705+IF(AND(E706=25,F706&lt;&gt;"ASTM A416"),L706,0),3)</f>
        <v/>
      </c>
      <c r="X706" s="16">
        <f>ROUND(X705+IF(AND(E706=28,F706&lt;&gt;"ASTM A416"),L706,0),3)</f>
        <v/>
      </c>
      <c r="Y706" s="16">
        <f>ROUND(Y705+IF(AND(E706=32,F706&lt;&gt;"ASTM A416"),L706,0),3)</f>
        <v/>
      </c>
      <c r="Z706" s="16">
        <f>ROUND(Z705+IF(F706="ASTM A416",L706,0),3)</f>
        <v/>
      </c>
      <c r="AA706" s="9">
        <f>IF(ROUNDUP(P706/20,0)&gt;ROUNDUP(P705/20,0),"Lần " &amp; ROUNDUP(P706/20,0),"")</f>
        <v/>
      </c>
      <c r="AB706" s="9">
        <f>IF(ROUNDUP(Q706/20,0)&gt;ROUNDUP(Q705/20,0),"Lần " &amp; ROUNDUP(Q706/20,0),"")</f>
        <v/>
      </c>
      <c r="AC706" s="9">
        <f>IF(ROUNDUP(R706/20,0)&gt;ROUNDUP(R705/20,0),"Lần " &amp; ROUNDUP(R706/20,0),"")</f>
        <v/>
      </c>
      <c r="AD706" s="9">
        <f>IF(ROUNDUP(S706/20,0)&gt;ROUNDUP(S705/20,0),"Lần " &amp; ROUNDUP(S706/20,0),"")</f>
        <v/>
      </c>
      <c r="AE706" s="9">
        <f>IF(ROUNDUP(T706/20,0)&gt;ROUNDUP(T705/20,0),"Lần " &amp; ROUNDUP(T706/20,0),"")</f>
        <v/>
      </c>
      <c r="AF706" s="9">
        <f>IF(ROUNDUP(U706/20,0)&gt;ROUNDUP(U705/20,0),"Lần " &amp; ROUNDUP(U706/20,0),"")</f>
        <v/>
      </c>
      <c r="AG706" s="9">
        <f>IF(ROUNDUP(V706/20,0)&gt;ROUNDUP(V705/20,0),"Lần " &amp; ROUNDUP(V706/20,0),"")</f>
        <v/>
      </c>
      <c r="AH706" s="9">
        <f>IF(ROUNDUP(W706/20,0)&gt;ROUNDUP(W705/20,0),"Lần " &amp; ROUNDUP(W706/20,0),"")</f>
        <v/>
      </c>
      <c r="AI706" s="9">
        <f>IF(ROUNDUP(X706/20,0)&gt;ROUNDUP(X705/20,0),"Lần " &amp; ROUNDUP(X706/20,0),"")</f>
        <v/>
      </c>
      <c r="AJ706" s="9">
        <f>IF(ROUNDUP(Y706/20,0)&gt;ROUNDUP(Y705/20,0),"Lần " &amp; ROUNDUP(Y706/20,0),"")</f>
        <v/>
      </c>
      <c r="AK706" s="9">
        <f>IF(ROUNDUP(Z706/20,0)&gt;ROUNDUP(Z705/20,0),"Lần " &amp; ROUNDUP(Z706/20,0),"")</f>
        <v/>
      </c>
      <c r="AL706" s="4" t="n"/>
      <c r="AN706" s="596" t="inlineStr">
        <is>
          <t>Dam</t>
        </is>
      </c>
      <c r="AO706" s="596" t="n">
        <v>59</v>
      </c>
      <c r="AQ706" s="594" t="n"/>
      <c r="AR706" s="595" t="n"/>
    </row>
    <row r="707" ht="19" customHeight="1" s="672">
      <c r="A707" s="4" t="n">
        <v>670</v>
      </c>
      <c r="B707" s="5" t="inlineStr">
        <is>
          <t>Dầm chủ Super-T (15 phiến L=38.2m)</t>
        </is>
      </c>
      <c r="C707" s="5" t="inlineStr">
        <is>
          <t>Dầm S1B2 (tr.91)</t>
        </is>
      </c>
      <c r="D707" s="14" t="inlineStr">
        <is>
          <t>E2</t>
        </is>
      </c>
      <c r="E707" s="15" t="n">
        <v>16</v>
      </c>
      <c r="F707" s="4" t="inlineStr">
        <is>
          <t>CB400-V</t>
        </is>
      </c>
      <c r="G707" s="5" t="inlineStr">
        <is>
          <t>S06</t>
        </is>
      </c>
      <c r="H707" s="16" t="n">
        <v>3.932</v>
      </c>
      <c r="I707" s="17" t="n">
        <v>60</v>
      </c>
      <c r="J707" s="18" t="n">
        <v>1.578</v>
      </c>
      <c r="K707" s="7">
        <f>ROUND(H707*I707*J707, 2)</f>
        <v/>
      </c>
      <c r="L707" s="19">
        <f>ROUND(K707/1000, 3)</f>
        <v/>
      </c>
      <c r="M707" s="728">
        <f>IF(AO707="","",IF(N(INDEX(Theo_Doi_Tan_Suat_Be_Tong!$C:$C,AO707))&lt;=0,"",INDEX(Theo_Doi_Tan_Suat_Be_Tong!$C:$C,AO707)-VLOOKUP(AN707,$AQ$2:$AR$7,2,FALSE)))</f>
        <v/>
      </c>
      <c r="N707" s="4" t="n"/>
      <c r="O707" s="20">
        <f>IF(ROUNDUP(S707/20,0)&gt;ROUNDUP(S706/20,0),"TN Ø16 (Lần " &amp; ROUNDUP(S707/20,0) &amp; ")","")</f>
        <v/>
      </c>
      <c r="P707" s="16">
        <f>ROUND(P706+IF(AND(E707&lt;=10,F707&lt;&gt;"ASTM A416"),L707,0),3)</f>
        <v/>
      </c>
      <c r="Q707" s="16">
        <f>ROUND(Q706+IF(AND(E707=12,F707&lt;&gt;"ASTM A416"),L707,0),3)</f>
        <v/>
      </c>
      <c r="R707" s="16">
        <f>ROUND(R706+IF(AND(E707=14,F707&lt;&gt;"ASTM A416"),L707,0),3)</f>
        <v/>
      </c>
      <c r="S707" s="16">
        <f>ROUND(S706+IF(AND(E707=16,F707&lt;&gt;"ASTM A416"),L707,0),3)</f>
        <v/>
      </c>
      <c r="T707" s="16">
        <f>ROUND(T706+IF(AND(E707=18,F707&lt;&gt;"ASTM A416"),L707,0),3)</f>
        <v/>
      </c>
      <c r="U707" s="16">
        <f>ROUND(U706+IF(AND(E707=20,F707&lt;&gt;"ASTM A416"),L707,0),3)</f>
        <v/>
      </c>
      <c r="V707" s="16">
        <f>ROUND(V706+IF(AND(E707=22,F707&lt;&gt;"ASTM A416"),L707,0),3)</f>
        <v/>
      </c>
      <c r="W707" s="16">
        <f>ROUND(W706+IF(AND(E707=25,F707&lt;&gt;"ASTM A416"),L707,0),3)</f>
        <v/>
      </c>
      <c r="X707" s="16">
        <f>ROUND(X706+IF(AND(E707=28,F707&lt;&gt;"ASTM A416"),L707,0),3)</f>
        <v/>
      </c>
      <c r="Y707" s="16">
        <f>ROUND(Y706+IF(AND(E707=32,F707&lt;&gt;"ASTM A416"),L707,0),3)</f>
        <v/>
      </c>
      <c r="Z707" s="16">
        <f>ROUND(Z706+IF(F707="ASTM A416",L707,0),3)</f>
        <v/>
      </c>
      <c r="AA707" s="9">
        <f>IF(ROUNDUP(P707/20,0)&gt;ROUNDUP(P706/20,0),"Lần " &amp; ROUNDUP(P707/20,0),"")</f>
        <v/>
      </c>
      <c r="AB707" s="9">
        <f>IF(ROUNDUP(Q707/20,0)&gt;ROUNDUP(Q706/20,0),"Lần " &amp; ROUNDUP(Q707/20,0),"")</f>
        <v/>
      </c>
      <c r="AC707" s="9">
        <f>IF(ROUNDUP(R707/20,0)&gt;ROUNDUP(R706/20,0),"Lần " &amp; ROUNDUP(R707/20,0),"")</f>
        <v/>
      </c>
      <c r="AD707" s="9">
        <f>IF(ROUNDUP(S707/20,0)&gt;ROUNDUP(S706/20,0),"Lần " &amp; ROUNDUP(S707/20,0),"")</f>
        <v/>
      </c>
      <c r="AE707" s="9">
        <f>IF(ROUNDUP(T707/20,0)&gt;ROUNDUP(T706/20,0),"Lần " &amp; ROUNDUP(T707/20,0),"")</f>
        <v/>
      </c>
      <c r="AF707" s="9">
        <f>IF(ROUNDUP(U707/20,0)&gt;ROUNDUP(U706/20,0),"Lần " &amp; ROUNDUP(U707/20,0),"")</f>
        <v/>
      </c>
      <c r="AG707" s="9">
        <f>IF(ROUNDUP(V707/20,0)&gt;ROUNDUP(V706/20,0),"Lần " &amp; ROUNDUP(V707/20,0),"")</f>
        <v/>
      </c>
      <c r="AH707" s="9">
        <f>IF(ROUNDUP(W707/20,0)&gt;ROUNDUP(W706/20,0),"Lần " &amp; ROUNDUP(W707/20,0),"")</f>
        <v/>
      </c>
      <c r="AI707" s="9">
        <f>IF(ROUNDUP(X707/20,0)&gt;ROUNDUP(X706/20,0),"Lần " &amp; ROUNDUP(X707/20,0),"")</f>
        <v/>
      </c>
      <c r="AJ707" s="9">
        <f>IF(ROUNDUP(Y707/20,0)&gt;ROUNDUP(Y706/20,0),"Lần " &amp; ROUNDUP(Y707/20,0),"")</f>
        <v/>
      </c>
      <c r="AK707" s="9">
        <f>IF(ROUNDUP(Z707/20,0)&gt;ROUNDUP(Z706/20,0),"Lần " &amp; ROUNDUP(Z707/20,0),"")</f>
        <v/>
      </c>
      <c r="AL707" s="4" t="n"/>
      <c r="AN707" s="596" t="inlineStr">
        <is>
          <t>Dam</t>
        </is>
      </c>
      <c r="AO707" s="596" t="n">
        <v>59</v>
      </c>
      <c r="AQ707" s="594" t="n"/>
      <c r="AR707" s="595" t="n"/>
    </row>
    <row r="708" ht="19" customHeight="1" s="672">
      <c r="A708" s="4" t="n">
        <v>671</v>
      </c>
      <c r="B708" s="5" t="inlineStr">
        <is>
          <t>Dầm chủ Super-T (15 phiến L=38.2m)</t>
        </is>
      </c>
      <c r="C708" s="5" t="inlineStr">
        <is>
          <t>Dầm S1B2 (tr.91)</t>
        </is>
      </c>
      <c r="D708" s="14" t="inlineStr">
        <is>
          <t>Thanh neo</t>
        </is>
      </c>
      <c r="E708" s="15" t="n">
        <v>20</v>
      </c>
      <c r="F708" s="4" t="inlineStr">
        <is>
          <t>CB400-V</t>
        </is>
      </c>
      <c r="G708" s="5" t="inlineStr">
        <is>
          <t>S06</t>
        </is>
      </c>
      <c r="H708" s="16" t="n">
        <v>0.11</v>
      </c>
      <c r="I708" s="17" t="n">
        <v>24</v>
      </c>
      <c r="J708" s="18" t="n">
        <v>2.466</v>
      </c>
      <c r="K708" s="7">
        <f>ROUND(H708*I708*J708, 2)</f>
        <v/>
      </c>
      <c r="L708" s="19">
        <f>ROUND(K708/1000, 3)</f>
        <v/>
      </c>
      <c r="M708" s="728">
        <f>IF(AO708="","",IF(N(INDEX(Theo_Doi_Tan_Suat_Be_Tong!$C:$C,AO708))&lt;=0,"",INDEX(Theo_Doi_Tan_Suat_Be_Tong!$C:$C,AO708)-VLOOKUP(AN708,$AQ$2:$AR$7,2,FALSE)))</f>
        <v/>
      </c>
      <c r="N708" s="4" t="n"/>
      <c r="O708" s="20">
        <f>IF(ROUNDUP(U708/20,0)&gt;ROUNDUP(U707/20,0),"TN Ø20 (Lần " &amp; ROUNDUP(U708/20,0) &amp; ")","")</f>
        <v/>
      </c>
      <c r="P708" s="16">
        <f>ROUND(P707+IF(AND(E708&lt;=10,F708&lt;&gt;"ASTM A416"),L708,0),3)</f>
        <v/>
      </c>
      <c r="Q708" s="16">
        <f>ROUND(Q707+IF(AND(E708=12,F708&lt;&gt;"ASTM A416"),L708,0),3)</f>
        <v/>
      </c>
      <c r="R708" s="16">
        <f>ROUND(R707+IF(AND(E708=14,F708&lt;&gt;"ASTM A416"),L708,0),3)</f>
        <v/>
      </c>
      <c r="S708" s="16">
        <f>ROUND(S707+IF(AND(E708=16,F708&lt;&gt;"ASTM A416"),L708,0),3)</f>
        <v/>
      </c>
      <c r="T708" s="16">
        <f>ROUND(T707+IF(AND(E708=18,F708&lt;&gt;"ASTM A416"),L708,0),3)</f>
        <v/>
      </c>
      <c r="U708" s="16">
        <f>ROUND(U707+IF(AND(E708=20,F708&lt;&gt;"ASTM A416"),L708,0),3)</f>
        <v/>
      </c>
      <c r="V708" s="16">
        <f>ROUND(V707+IF(AND(E708=22,F708&lt;&gt;"ASTM A416"),L708,0),3)</f>
        <v/>
      </c>
      <c r="W708" s="16">
        <f>ROUND(W707+IF(AND(E708=25,F708&lt;&gt;"ASTM A416"),L708,0),3)</f>
        <v/>
      </c>
      <c r="X708" s="16">
        <f>ROUND(X707+IF(AND(E708=28,F708&lt;&gt;"ASTM A416"),L708,0),3)</f>
        <v/>
      </c>
      <c r="Y708" s="16">
        <f>ROUND(Y707+IF(AND(E708=32,F708&lt;&gt;"ASTM A416"),L708,0),3)</f>
        <v/>
      </c>
      <c r="Z708" s="16">
        <f>ROUND(Z707+IF(F708="ASTM A416",L708,0),3)</f>
        <v/>
      </c>
      <c r="AA708" s="9">
        <f>IF(ROUNDUP(P708/20,0)&gt;ROUNDUP(P707/20,0),"Lần " &amp; ROUNDUP(P708/20,0),"")</f>
        <v/>
      </c>
      <c r="AB708" s="9">
        <f>IF(ROUNDUP(Q708/20,0)&gt;ROUNDUP(Q707/20,0),"Lần " &amp; ROUNDUP(Q708/20,0),"")</f>
        <v/>
      </c>
      <c r="AC708" s="9">
        <f>IF(ROUNDUP(R708/20,0)&gt;ROUNDUP(R707/20,0),"Lần " &amp; ROUNDUP(R708/20,0),"")</f>
        <v/>
      </c>
      <c r="AD708" s="9">
        <f>IF(ROUNDUP(S708/20,0)&gt;ROUNDUP(S707/20,0),"Lần " &amp; ROUNDUP(S708/20,0),"")</f>
        <v/>
      </c>
      <c r="AE708" s="9">
        <f>IF(ROUNDUP(T708/20,0)&gt;ROUNDUP(T707/20,0),"Lần " &amp; ROUNDUP(T708/20,0),"")</f>
        <v/>
      </c>
      <c r="AF708" s="9">
        <f>IF(ROUNDUP(U708/20,0)&gt;ROUNDUP(U707/20,0),"Lần " &amp; ROUNDUP(U708/20,0),"")</f>
        <v/>
      </c>
      <c r="AG708" s="9">
        <f>IF(ROUNDUP(V708/20,0)&gt;ROUNDUP(V707/20,0),"Lần " &amp; ROUNDUP(V708/20,0),"")</f>
        <v/>
      </c>
      <c r="AH708" s="9">
        <f>IF(ROUNDUP(W708/20,0)&gt;ROUNDUP(W707/20,0),"Lần " &amp; ROUNDUP(W708/20,0),"")</f>
        <v/>
      </c>
      <c r="AI708" s="9">
        <f>IF(ROUNDUP(X708/20,0)&gt;ROUNDUP(X707/20,0),"Lần " &amp; ROUNDUP(X708/20,0),"")</f>
        <v/>
      </c>
      <c r="AJ708" s="9">
        <f>IF(ROUNDUP(Y708/20,0)&gt;ROUNDUP(Y707/20,0),"Lần " &amp; ROUNDUP(Y708/20,0),"")</f>
        <v/>
      </c>
      <c r="AK708" s="9">
        <f>IF(ROUNDUP(Z708/20,0)&gt;ROUNDUP(Z707/20,0),"Lần " &amp; ROUNDUP(Z708/20,0),"")</f>
        <v/>
      </c>
      <c r="AL708" s="4" t="n"/>
      <c r="AN708" s="596" t="inlineStr">
        <is>
          <t>Dam</t>
        </is>
      </c>
      <c r="AO708" s="596" t="n">
        <v>59</v>
      </c>
      <c r="AQ708" s="594" t="n"/>
      <c r="AR708" s="595" t="n"/>
    </row>
    <row r="709" ht="19" customHeight="1" s="672">
      <c r="A709" s="4" t="n">
        <v>672</v>
      </c>
      <c r="B709" s="5" t="inlineStr">
        <is>
          <t>Dầm chủ Super-T (15 phiến L=38.2m)</t>
        </is>
      </c>
      <c r="C709" s="5" t="inlineStr">
        <is>
          <t>Dầm S1B2 (tr.91)</t>
        </is>
      </c>
      <c r="D709" s="14" t="inlineStr">
        <is>
          <t>K1a</t>
        </is>
      </c>
      <c r="E709" s="15" t="n">
        <v>16</v>
      </c>
      <c r="F709" s="4" t="inlineStr">
        <is>
          <t>CB400-V</t>
        </is>
      </c>
      <c r="G709" s="5" t="inlineStr">
        <is>
          <t>S06</t>
        </is>
      </c>
      <c r="H709" s="16" t="n">
        <v>0.976</v>
      </c>
      <c r="I709" s="17" t="n">
        <v>24</v>
      </c>
      <c r="J709" s="18" t="n">
        <v>1.578</v>
      </c>
      <c r="K709" s="7">
        <f>ROUND(H709*I709*J709, 2)</f>
        <v/>
      </c>
      <c r="L709" s="19">
        <f>ROUND(K709/1000, 3)</f>
        <v/>
      </c>
      <c r="M709" s="728">
        <f>IF(AO709="","",IF(N(INDEX(Theo_Doi_Tan_Suat_Be_Tong!$C:$C,AO709))&lt;=0,"",INDEX(Theo_Doi_Tan_Suat_Be_Tong!$C:$C,AO709)-VLOOKUP(AN709,$AQ$2:$AR$7,2,FALSE)))</f>
        <v/>
      </c>
      <c r="N709" s="4" t="n"/>
      <c r="O709" s="20">
        <f>IF(ROUNDUP(S709/20,0)&gt;ROUNDUP(S708/20,0),"TN Ø16 (Lần " &amp; ROUNDUP(S709/20,0) &amp; ")","")</f>
        <v/>
      </c>
      <c r="P709" s="16">
        <f>ROUND(P708+IF(AND(E709&lt;=10,F709&lt;&gt;"ASTM A416"),L709,0),3)</f>
        <v/>
      </c>
      <c r="Q709" s="16">
        <f>ROUND(Q708+IF(AND(E709=12,F709&lt;&gt;"ASTM A416"),L709,0),3)</f>
        <v/>
      </c>
      <c r="R709" s="16">
        <f>ROUND(R708+IF(AND(E709=14,F709&lt;&gt;"ASTM A416"),L709,0),3)</f>
        <v/>
      </c>
      <c r="S709" s="16">
        <f>ROUND(S708+IF(AND(E709=16,F709&lt;&gt;"ASTM A416"),L709,0),3)</f>
        <v/>
      </c>
      <c r="T709" s="16">
        <f>ROUND(T708+IF(AND(E709=18,F709&lt;&gt;"ASTM A416"),L709,0),3)</f>
        <v/>
      </c>
      <c r="U709" s="16">
        <f>ROUND(U708+IF(AND(E709=20,F709&lt;&gt;"ASTM A416"),L709,0),3)</f>
        <v/>
      </c>
      <c r="V709" s="16">
        <f>ROUND(V708+IF(AND(E709=22,F709&lt;&gt;"ASTM A416"),L709,0),3)</f>
        <v/>
      </c>
      <c r="W709" s="16">
        <f>ROUND(W708+IF(AND(E709=25,F709&lt;&gt;"ASTM A416"),L709,0),3)</f>
        <v/>
      </c>
      <c r="X709" s="16">
        <f>ROUND(X708+IF(AND(E709=28,F709&lt;&gt;"ASTM A416"),L709,0),3)</f>
        <v/>
      </c>
      <c r="Y709" s="16">
        <f>ROUND(Y708+IF(AND(E709=32,F709&lt;&gt;"ASTM A416"),L709,0),3)</f>
        <v/>
      </c>
      <c r="Z709" s="16">
        <f>ROUND(Z708+IF(F709="ASTM A416",L709,0),3)</f>
        <v/>
      </c>
      <c r="AA709" s="9">
        <f>IF(ROUNDUP(P709/20,0)&gt;ROUNDUP(P708/20,0),"Lần " &amp; ROUNDUP(P709/20,0),"")</f>
        <v/>
      </c>
      <c r="AB709" s="9">
        <f>IF(ROUNDUP(Q709/20,0)&gt;ROUNDUP(Q708/20,0),"Lần " &amp; ROUNDUP(Q709/20,0),"")</f>
        <v/>
      </c>
      <c r="AC709" s="9">
        <f>IF(ROUNDUP(R709/20,0)&gt;ROUNDUP(R708/20,0),"Lần " &amp; ROUNDUP(R709/20,0),"")</f>
        <v/>
      </c>
      <c r="AD709" s="9">
        <f>IF(ROUNDUP(S709/20,0)&gt;ROUNDUP(S708/20,0),"Lần " &amp; ROUNDUP(S709/20,0),"")</f>
        <v/>
      </c>
      <c r="AE709" s="9">
        <f>IF(ROUNDUP(T709/20,0)&gt;ROUNDUP(T708/20,0),"Lần " &amp; ROUNDUP(T709/20,0),"")</f>
        <v/>
      </c>
      <c r="AF709" s="9">
        <f>IF(ROUNDUP(U709/20,0)&gt;ROUNDUP(U708/20,0),"Lần " &amp; ROUNDUP(U709/20,0),"")</f>
        <v/>
      </c>
      <c r="AG709" s="9">
        <f>IF(ROUNDUP(V709/20,0)&gt;ROUNDUP(V708/20,0),"Lần " &amp; ROUNDUP(V709/20,0),"")</f>
        <v/>
      </c>
      <c r="AH709" s="9">
        <f>IF(ROUNDUP(W709/20,0)&gt;ROUNDUP(W708/20,0),"Lần " &amp; ROUNDUP(W709/20,0),"")</f>
        <v/>
      </c>
      <c r="AI709" s="9">
        <f>IF(ROUNDUP(X709/20,0)&gt;ROUNDUP(X708/20,0),"Lần " &amp; ROUNDUP(X709/20,0),"")</f>
        <v/>
      </c>
      <c r="AJ709" s="9">
        <f>IF(ROUNDUP(Y709/20,0)&gt;ROUNDUP(Y708/20,0),"Lần " &amp; ROUNDUP(Y709/20,0),"")</f>
        <v/>
      </c>
      <c r="AK709" s="9">
        <f>IF(ROUNDUP(Z709/20,0)&gt;ROUNDUP(Z708/20,0),"Lần " &amp; ROUNDUP(Z709/20,0),"")</f>
        <v/>
      </c>
      <c r="AL709" s="4" t="n"/>
      <c r="AN709" s="596" t="inlineStr">
        <is>
          <t>Dam</t>
        </is>
      </c>
      <c r="AO709" s="596" t="n">
        <v>59</v>
      </c>
      <c r="AQ709" s="594" t="n"/>
      <c r="AR709" s="595" t="n"/>
    </row>
    <row r="710" ht="19" customHeight="1" s="672">
      <c r="A710" s="4" t="n">
        <v>673</v>
      </c>
      <c r="B710" s="5" t="inlineStr">
        <is>
          <t>Dầm chủ Super-T (15 phiến L=38.2m)</t>
        </is>
      </c>
      <c r="C710" s="5" t="inlineStr">
        <is>
          <t>Dầm S1B2 (tr.91)</t>
        </is>
      </c>
      <c r="D710" s="14" t="inlineStr">
        <is>
          <t>K1b</t>
        </is>
      </c>
      <c r="E710" s="15" t="n">
        <v>16</v>
      </c>
      <c r="F710" s="4" t="inlineStr">
        <is>
          <t>CB400-V</t>
        </is>
      </c>
      <c r="G710" s="5" t="inlineStr">
        <is>
          <t>S06</t>
        </is>
      </c>
      <c r="H710" s="16" t="n">
        <v>0.776</v>
      </c>
      <c r="I710" s="17" t="n">
        <v>24</v>
      </c>
      <c r="J710" s="18" t="n">
        <v>1.578</v>
      </c>
      <c r="K710" s="7">
        <f>ROUND(H710*I710*J710, 2)</f>
        <v/>
      </c>
      <c r="L710" s="19">
        <f>ROUND(K710/1000, 3)</f>
        <v/>
      </c>
      <c r="M710" s="728">
        <f>IF(AO710="","",IF(N(INDEX(Theo_Doi_Tan_Suat_Be_Tong!$C:$C,AO710))&lt;=0,"",INDEX(Theo_Doi_Tan_Suat_Be_Tong!$C:$C,AO710)-VLOOKUP(AN710,$AQ$2:$AR$7,2,FALSE)))</f>
        <v/>
      </c>
      <c r="N710" s="4" t="n"/>
      <c r="O710" s="20">
        <f>IF(ROUNDUP(S710/20,0)&gt;ROUNDUP(S709/20,0),"TN Ø16 (Lần " &amp; ROUNDUP(S710/20,0) &amp; ")","")</f>
        <v/>
      </c>
      <c r="P710" s="16">
        <f>ROUND(P709+IF(AND(E710&lt;=10,F710&lt;&gt;"ASTM A416"),L710,0),3)</f>
        <v/>
      </c>
      <c r="Q710" s="16">
        <f>ROUND(Q709+IF(AND(E710=12,F710&lt;&gt;"ASTM A416"),L710,0),3)</f>
        <v/>
      </c>
      <c r="R710" s="16">
        <f>ROUND(R709+IF(AND(E710=14,F710&lt;&gt;"ASTM A416"),L710,0),3)</f>
        <v/>
      </c>
      <c r="S710" s="16">
        <f>ROUND(S709+IF(AND(E710=16,F710&lt;&gt;"ASTM A416"),L710,0),3)</f>
        <v/>
      </c>
      <c r="T710" s="16">
        <f>ROUND(T709+IF(AND(E710=18,F710&lt;&gt;"ASTM A416"),L710,0),3)</f>
        <v/>
      </c>
      <c r="U710" s="16">
        <f>ROUND(U709+IF(AND(E710=20,F710&lt;&gt;"ASTM A416"),L710,0),3)</f>
        <v/>
      </c>
      <c r="V710" s="16">
        <f>ROUND(V709+IF(AND(E710=22,F710&lt;&gt;"ASTM A416"),L710,0),3)</f>
        <v/>
      </c>
      <c r="W710" s="16">
        <f>ROUND(W709+IF(AND(E710=25,F710&lt;&gt;"ASTM A416"),L710,0),3)</f>
        <v/>
      </c>
      <c r="X710" s="16">
        <f>ROUND(X709+IF(AND(E710=28,F710&lt;&gt;"ASTM A416"),L710,0),3)</f>
        <v/>
      </c>
      <c r="Y710" s="16">
        <f>ROUND(Y709+IF(AND(E710=32,F710&lt;&gt;"ASTM A416"),L710,0),3)</f>
        <v/>
      </c>
      <c r="Z710" s="16">
        <f>ROUND(Z709+IF(F710="ASTM A416",L710,0),3)</f>
        <v/>
      </c>
      <c r="AA710" s="9">
        <f>IF(ROUNDUP(P710/20,0)&gt;ROUNDUP(P709/20,0),"Lần " &amp; ROUNDUP(P710/20,0),"")</f>
        <v/>
      </c>
      <c r="AB710" s="9">
        <f>IF(ROUNDUP(Q710/20,0)&gt;ROUNDUP(Q709/20,0),"Lần " &amp; ROUNDUP(Q710/20,0),"")</f>
        <v/>
      </c>
      <c r="AC710" s="9">
        <f>IF(ROUNDUP(R710/20,0)&gt;ROUNDUP(R709/20,0),"Lần " &amp; ROUNDUP(R710/20,0),"")</f>
        <v/>
      </c>
      <c r="AD710" s="9">
        <f>IF(ROUNDUP(S710/20,0)&gt;ROUNDUP(S709/20,0),"Lần " &amp; ROUNDUP(S710/20,0),"")</f>
        <v/>
      </c>
      <c r="AE710" s="9">
        <f>IF(ROUNDUP(T710/20,0)&gt;ROUNDUP(T709/20,0),"Lần " &amp; ROUNDUP(T710/20,0),"")</f>
        <v/>
      </c>
      <c r="AF710" s="9">
        <f>IF(ROUNDUP(U710/20,0)&gt;ROUNDUP(U709/20,0),"Lần " &amp; ROUNDUP(U710/20,0),"")</f>
        <v/>
      </c>
      <c r="AG710" s="9">
        <f>IF(ROUNDUP(V710/20,0)&gt;ROUNDUP(V709/20,0),"Lần " &amp; ROUNDUP(V710/20,0),"")</f>
        <v/>
      </c>
      <c r="AH710" s="9">
        <f>IF(ROUNDUP(W710/20,0)&gt;ROUNDUP(W709/20,0),"Lần " &amp; ROUNDUP(W710/20,0),"")</f>
        <v/>
      </c>
      <c r="AI710" s="9">
        <f>IF(ROUNDUP(X710/20,0)&gt;ROUNDUP(X709/20,0),"Lần " &amp; ROUNDUP(X710/20,0),"")</f>
        <v/>
      </c>
      <c r="AJ710" s="9">
        <f>IF(ROUNDUP(Y710/20,0)&gt;ROUNDUP(Y709/20,0),"Lần " &amp; ROUNDUP(Y710/20,0),"")</f>
        <v/>
      </c>
      <c r="AK710" s="9">
        <f>IF(ROUNDUP(Z710/20,0)&gt;ROUNDUP(Z709/20,0),"Lần " &amp; ROUNDUP(Z710/20,0),"")</f>
        <v/>
      </c>
      <c r="AL710" s="4" t="n"/>
      <c r="AN710" s="596" t="inlineStr">
        <is>
          <t>Dam</t>
        </is>
      </c>
      <c r="AO710" s="596" t="n">
        <v>59</v>
      </c>
      <c r="AQ710" s="594" t="n"/>
      <c r="AR710" s="595" t="n"/>
    </row>
    <row r="711" ht="19" customHeight="1" s="672">
      <c r="A711" s="4" t="n">
        <v>674</v>
      </c>
      <c r="B711" s="5" t="inlineStr">
        <is>
          <t>Dầm chủ Super-T (15 phiến L=38.2m)</t>
        </is>
      </c>
      <c r="C711" s="5" t="inlineStr">
        <is>
          <t>Dầm S1B3 (bảng thép như S1B1) (tr.88)</t>
        </is>
      </c>
      <c r="D711" s="14" t="inlineStr">
        <is>
          <t>G1a</t>
        </is>
      </c>
      <c r="E711" s="15" t="n">
        <v>16</v>
      </c>
      <c r="F711" s="4" t="inlineStr">
        <is>
          <t>CB400-V</t>
        </is>
      </c>
      <c r="G711" s="5" t="inlineStr">
        <is>
          <t>S06</t>
        </is>
      </c>
      <c r="H711" s="16" t="n">
        <v>5.056</v>
      </c>
      <c r="I711" s="17" t="n">
        <v>144</v>
      </c>
      <c r="J711" s="18" t="n">
        <v>1.578</v>
      </c>
      <c r="K711" s="7">
        <f>ROUND(H711*I711*J711, 2)</f>
        <v/>
      </c>
      <c r="L711" s="19">
        <f>ROUND(K711/1000, 3)</f>
        <v/>
      </c>
      <c r="M711" s="728">
        <f>IF(AO711="","",IF(N(INDEX(Theo_Doi_Tan_Suat_Be_Tong!$C:$C,AO711))&lt;=0,"",INDEX(Theo_Doi_Tan_Suat_Be_Tong!$C:$C,AO711)-VLOOKUP(AN711,$AQ$2:$AR$7,2,FALSE)))</f>
        <v/>
      </c>
      <c r="N711" s="4" t="n"/>
      <c r="O711" s="20">
        <f>IF(ROUNDUP(S711/20,0)&gt;ROUNDUP(S710/20,0),"TN Ø16 (Lần " &amp; ROUNDUP(S711/20,0) &amp; ")","")</f>
        <v/>
      </c>
      <c r="P711" s="16">
        <f>ROUND(P710+IF(AND(E711&lt;=10,F711&lt;&gt;"ASTM A416"),L711,0),3)</f>
        <v/>
      </c>
      <c r="Q711" s="16">
        <f>ROUND(Q710+IF(AND(E711=12,F711&lt;&gt;"ASTM A416"),L711,0),3)</f>
        <v/>
      </c>
      <c r="R711" s="16">
        <f>ROUND(R710+IF(AND(E711=14,F711&lt;&gt;"ASTM A416"),L711,0),3)</f>
        <v/>
      </c>
      <c r="S711" s="16">
        <f>ROUND(S710+IF(AND(E711=16,F711&lt;&gt;"ASTM A416"),L711,0),3)</f>
        <v/>
      </c>
      <c r="T711" s="16">
        <f>ROUND(T710+IF(AND(E711=18,F711&lt;&gt;"ASTM A416"),L711,0),3)</f>
        <v/>
      </c>
      <c r="U711" s="16">
        <f>ROUND(U710+IF(AND(E711=20,F711&lt;&gt;"ASTM A416"),L711,0),3)</f>
        <v/>
      </c>
      <c r="V711" s="16">
        <f>ROUND(V710+IF(AND(E711=22,F711&lt;&gt;"ASTM A416"),L711,0),3)</f>
        <v/>
      </c>
      <c r="W711" s="16">
        <f>ROUND(W710+IF(AND(E711=25,F711&lt;&gt;"ASTM A416"),L711,0),3)</f>
        <v/>
      </c>
      <c r="X711" s="16">
        <f>ROUND(X710+IF(AND(E711=28,F711&lt;&gt;"ASTM A416"),L711,0),3)</f>
        <v/>
      </c>
      <c r="Y711" s="16">
        <f>ROUND(Y710+IF(AND(E711=32,F711&lt;&gt;"ASTM A416"),L711,0),3)</f>
        <v/>
      </c>
      <c r="Z711" s="16">
        <f>ROUND(Z710+IF(F711="ASTM A416",L711,0),3)</f>
        <v/>
      </c>
      <c r="AA711" s="9">
        <f>IF(ROUNDUP(P711/20,0)&gt;ROUNDUP(P710/20,0),"Lần " &amp; ROUNDUP(P711/20,0),"")</f>
        <v/>
      </c>
      <c r="AB711" s="9">
        <f>IF(ROUNDUP(Q711/20,0)&gt;ROUNDUP(Q710/20,0),"Lần " &amp; ROUNDUP(Q711/20,0),"")</f>
        <v/>
      </c>
      <c r="AC711" s="9">
        <f>IF(ROUNDUP(R711/20,0)&gt;ROUNDUP(R710/20,0),"Lần " &amp; ROUNDUP(R711/20,0),"")</f>
        <v/>
      </c>
      <c r="AD711" s="9">
        <f>IF(ROUNDUP(S711/20,0)&gt;ROUNDUP(S710/20,0),"Lần " &amp; ROUNDUP(S711/20,0),"")</f>
        <v/>
      </c>
      <c r="AE711" s="9">
        <f>IF(ROUNDUP(T711/20,0)&gt;ROUNDUP(T710/20,0),"Lần " &amp; ROUNDUP(T711/20,0),"")</f>
        <v/>
      </c>
      <c r="AF711" s="9">
        <f>IF(ROUNDUP(U711/20,0)&gt;ROUNDUP(U710/20,0),"Lần " &amp; ROUNDUP(U711/20,0),"")</f>
        <v/>
      </c>
      <c r="AG711" s="9">
        <f>IF(ROUNDUP(V711/20,0)&gt;ROUNDUP(V710/20,0),"Lần " &amp; ROUNDUP(V711/20,0),"")</f>
        <v/>
      </c>
      <c r="AH711" s="9">
        <f>IF(ROUNDUP(W711/20,0)&gt;ROUNDUP(W710/20,0),"Lần " &amp; ROUNDUP(W711/20,0),"")</f>
        <v/>
      </c>
      <c r="AI711" s="9">
        <f>IF(ROUNDUP(X711/20,0)&gt;ROUNDUP(X710/20,0),"Lần " &amp; ROUNDUP(X711/20,0),"")</f>
        <v/>
      </c>
      <c r="AJ711" s="9">
        <f>IF(ROUNDUP(Y711/20,0)&gt;ROUNDUP(Y710/20,0),"Lần " &amp; ROUNDUP(Y711/20,0),"")</f>
        <v/>
      </c>
      <c r="AK711" s="9">
        <f>IF(ROUNDUP(Z711/20,0)&gt;ROUNDUP(Z710/20,0),"Lần " &amp; ROUNDUP(Z711/20,0),"")</f>
        <v/>
      </c>
      <c r="AL711" s="4" t="n"/>
      <c r="AN711" s="596" t="inlineStr">
        <is>
          <t>Dam</t>
        </is>
      </c>
      <c r="AO711" s="596" t="n">
        <v>59</v>
      </c>
      <c r="AQ711" s="594" t="n"/>
      <c r="AR711" s="595" t="n"/>
    </row>
    <row r="712" ht="19" customHeight="1" s="672">
      <c r="A712" s="4" t="n">
        <v>675</v>
      </c>
      <c r="B712" s="5" t="inlineStr">
        <is>
          <t>Dầm chủ Super-T (15 phiến L=38.2m)</t>
        </is>
      </c>
      <c r="C712" s="5" t="inlineStr">
        <is>
          <t>Dầm S1B3 (bảng thép như S1B1) (tr.88)</t>
        </is>
      </c>
      <c r="D712" s="14" t="inlineStr">
        <is>
          <t>G1b</t>
        </is>
      </c>
      <c r="E712" s="15" t="n">
        <v>12</v>
      </c>
      <c r="F712" s="4" t="inlineStr">
        <is>
          <t>CB400-V</t>
        </is>
      </c>
      <c r="G712" s="5" t="inlineStr">
        <is>
          <t>S06</t>
        </is>
      </c>
      <c r="H712" s="16" t="n">
        <v>5.075</v>
      </c>
      <c r="I712" s="17" t="n">
        <v>125</v>
      </c>
      <c r="J712" s="18" t="n">
        <v>0.888</v>
      </c>
      <c r="K712" s="7">
        <f>ROUND(H712*I712*J712, 2)</f>
        <v/>
      </c>
      <c r="L712" s="19">
        <f>ROUND(K712/1000, 3)</f>
        <v/>
      </c>
      <c r="M712" s="728">
        <f>IF(AO712="","",IF(N(INDEX(Theo_Doi_Tan_Suat_Be_Tong!$C:$C,AO712))&lt;=0,"",INDEX(Theo_Doi_Tan_Suat_Be_Tong!$C:$C,AO712)-VLOOKUP(AN712,$AQ$2:$AR$7,2,FALSE)))</f>
        <v/>
      </c>
      <c r="N712" s="4" t="n"/>
      <c r="O712" s="20">
        <f>IF(ROUNDUP(Q712/20,0)&gt;ROUNDUP(Q711/20,0),"TN Ø12 (Lần " &amp; ROUNDUP(Q712/20,0) &amp; ")","")</f>
        <v/>
      </c>
      <c r="P712" s="16">
        <f>ROUND(P711+IF(AND(E712&lt;=10,F712&lt;&gt;"ASTM A416"),L712,0),3)</f>
        <v/>
      </c>
      <c r="Q712" s="16">
        <f>ROUND(Q711+IF(AND(E712=12,F712&lt;&gt;"ASTM A416"),L712,0),3)</f>
        <v/>
      </c>
      <c r="R712" s="16">
        <f>ROUND(R711+IF(AND(E712=14,F712&lt;&gt;"ASTM A416"),L712,0),3)</f>
        <v/>
      </c>
      <c r="S712" s="16">
        <f>ROUND(S711+IF(AND(E712=16,F712&lt;&gt;"ASTM A416"),L712,0),3)</f>
        <v/>
      </c>
      <c r="T712" s="16">
        <f>ROUND(T711+IF(AND(E712=18,F712&lt;&gt;"ASTM A416"),L712,0),3)</f>
        <v/>
      </c>
      <c r="U712" s="16">
        <f>ROUND(U711+IF(AND(E712=20,F712&lt;&gt;"ASTM A416"),L712,0),3)</f>
        <v/>
      </c>
      <c r="V712" s="16">
        <f>ROUND(V711+IF(AND(E712=22,F712&lt;&gt;"ASTM A416"),L712,0),3)</f>
        <v/>
      </c>
      <c r="W712" s="16">
        <f>ROUND(W711+IF(AND(E712=25,F712&lt;&gt;"ASTM A416"),L712,0),3)</f>
        <v/>
      </c>
      <c r="X712" s="16">
        <f>ROUND(X711+IF(AND(E712=28,F712&lt;&gt;"ASTM A416"),L712,0),3)</f>
        <v/>
      </c>
      <c r="Y712" s="16">
        <f>ROUND(Y711+IF(AND(E712=32,F712&lt;&gt;"ASTM A416"),L712,0),3)</f>
        <v/>
      </c>
      <c r="Z712" s="16">
        <f>ROUND(Z711+IF(F712="ASTM A416",L712,0),3)</f>
        <v/>
      </c>
      <c r="AA712" s="9">
        <f>IF(ROUNDUP(P712/20,0)&gt;ROUNDUP(P711/20,0),"Lần " &amp; ROUNDUP(P712/20,0),"")</f>
        <v/>
      </c>
      <c r="AB712" s="9">
        <f>IF(ROUNDUP(Q712/20,0)&gt;ROUNDUP(Q711/20,0),"Lần " &amp; ROUNDUP(Q712/20,0),"")</f>
        <v/>
      </c>
      <c r="AC712" s="9">
        <f>IF(ROUNDUP(R712/20,0)&gt;ROUNDUP(R711/20,0),"Lần " &amp; ROUNDUP(R712/20,0),"")</f>
        <v/>
      </c>
      <c r="AD712" s="9">
        <f>IF(ROUNDUP(S712/20,0)&gt;ROUNDUP(S711/20,0),"Lần " &amp; ROUNDUP(S712/20,0),"")</f>
        <v/>
      </c>
      <c r="AE712" s="9">
        <f>IF(ROUNDUP(T712/20,0)&gt;ROUNDUP(T711/20,0),"Lần " &amp; ROUNDUP(T712/20,0),"")</f>
        <v/>
      </c>
      <c r="AF712" s="9">
        <f>IF(ROUNDUP(U712/20,0)&gt;ROUNDUP(U711/20,0),"Lần " &amp; ROUNDUP(U712/20,0),"")</f>
        <v/>
      </c>
      <c r="AG712" s="9">
        <f>IF(ROUNDUP(V712/20,0)&gt;ROUNDUP(V711/20,0),"Lần " &amp; ROUNDUP(V712/20,0),"")</f>
        <v/>
      </c>
      <c r="AH712" s="9">
        <f>IF(ROUNDUP(W712/20,0)&gt;ROUNDUP(W711/20,0),"Lần " &amp; ROUNDUP(W712/20,0),"")</f>
        <v/>
      </c>
      <c r="AI712" s="9">
        <f>IF(ROUNDUP(X712/20,0)&gt;ROUNDUP(X711/20,0),"Lần " &amp; ROUNDUP(X712/20,0),"")</f>
        <v/>
      </c>
      <c r="AJ712" s="9">
        <f>IF(ROUNDUP(Y712/20,0)&gt;ROUNDUP(Y711/20,0),"Lần " &amp; ROUNDUP(Y712/20,0),"")</f>
        <v/>
      </c>
      <c r="AK712" s="9">
        <f>IF(ROUNDUP(Z712/20,0)&gt;ROUNDUP(Z711/20,0),"Lần " &amp; ROUNDUP(Z712/20,0),"")</f>
        <v/>
      </c>
      <c r="AL712" s="4" t="n"/>
      <c r="AN712" s="596" t="inlineStr">
        <is>
          <t>Dam</t>
        </is>
      </c>
      <c r="AO712" s="596" t="n">
        <v>59</v>
      </c>
      <c r="AQ712" s="594" t="n"/>
      <c r="AR712" s="595" t="n"/>
    </row>
    <row r="713" ht="19" customHeight="1" s="672">
      <c r="A713" s="4" t="n">
        <v>676</v>
      </c>
      <c r="B713" s="5" t="inlineStr">
        <is>
          <t>Dầm chủ Super-T (15 phiến L=38.2m)</t>
        </is>
      </c>
      <c r="C713" s="5" t="inlineStr">
        <is>
          <t>Dầm S1B3 (bảng thép như S1B1) (tr.88)</t>
        </is>
      </c>
      <c r="D713" s="14" t="inlineStr">
        <is>
          <t>G2</t>
        </is>
      </c>
      <c r="E713" s="15" t="n">
        <v>12</v>
      </c>
      <c r="F713" s="4" t="inlineStr">
        <is>
          <t>CB400-V</t>
        </is>
      </c>
      <c r="G713" s="5" t="inlineStr">
        <is>
          <t>S06</t>
        </is>
      </c>
      <c r="H713" s="16" t="n">
        <v>1.184</v>
      </c>
      <c r="I713" s="17" t="n">
        <v>255</v>
      </c>
      <c r="J713" s="18" t="n">
        <v>0.888</v>
      </c>
      <c r="K713" s="7">
        <f>ROUND(H713*I713*J713, 2)</f>
        <v/>
      </c>
      <c r="L713" s="19">
        <f>ROUND(K713/1000, 3)</f>
        <v/>
      </c>
      <c r="M713" s="728">
        <f>IF(AO713="","",IF(N(INDEX(Theo_Doi_Tan_Suat_Be_Tong!$C:$C,AO713))&lt;=0,"",INDEX(Theo_Doi_Tan_Suat_Be_Tong!$C:$C,AO713)-VLOOKUP(AN713,$AQ$2:$AR$7,2,FALSE)))</f>
        <v/>
      </c>
      <c r="N713" s="4" t="n"/>
      <c r="O713" s="20">
        <f>IF(ROUNDUP(Q713/20,0)&gt;ROUNDUP(Q712/20,0),"TN Ø12 (Lần " &amp; ROUNDUP(Q713/20,0) &amp; ")","")</f>
        <v/>
      </c>
      <c r="P713" s="16">
        <f>ROUND(P712+IF(AND(E713&lt;=10,F713&lt;&gt;"ASTM A416"),L713,0),3)</f>
        <v/>
      </c>
      <c r="Q713" s="16">
        <f>ROUND(Q712+IF(AND(E713=12,F713&lt;&gt;"ASTM A416"),L713,0),3)</f>
        <v/>
      </c>
      <c r="R713" s="16">
        <f>ROUND(R712+IF(AND(E713=14,F713&lt;&gt;"ASTM A416"),L713,0),3)</f>
        <v/>
      </c>
      <c r="S713" s="16">
        <f>ROUND(S712+IF(AND(E713=16,F713&lt;&gt;"ASTM A416"),L713,0),3)</f>
        <v/>
      </c>
      <c r="T713" s="16">
        <f>ROUND(T712+IF(AND(E713=18,F713&lt;&gt;"ASTM A416"),L713,0),3)</f>
        <v/>
      </c>
      <c r="U713" s="16">
        <f>ROUND(U712+IF(AND(E713=20,F713&lt;&gt;"ASTM A416"),L713,0),3)</f>
        <v/>
      </c>
      <c r="V713" s="16">
        <f>ROUND(V712+IF(AND(E713=22,F713&lt;&gt;"ASTM A416"),L713,0),3)</f>
        <v/>
      </c>
      <c r="W713" s="16">
        <f>ROUND(W712+IF(AND(E713=25,F713&lt;&gt;"ASTM A416"),L713,0),3)</f>
        <v/>
      </c>
      <c r="X713" s="16">
        <f>ROUND(X712+IF(AND(E713=28,F713&lt;&gt;"ASTM A416"),L713,0),3)</f>
        <v/>
      </c>
      <c r="Y713" s="16">
        <f>ROUND(Y712+IF(AND(E713=32,F713&lt;&gt;"ASTM A416"),L713,0),3)</f>
        <v/>
      </c>
      <c r="Z713" s="16">
        <f>ROUND(Z712+IF(F713="ASTM A416",L713,0),3)</f>
        <v/>
      </c>
      <c r="AA713" s="9">
        <f>IF(ROUNDUP(P713/20,0)&gt;ROUNDUP(P712/20,0),"Lần " &amp; ROUNDUP(P713/20,0),"")</f>
        <v/>
      </c>
      <c r="AB713" s="9">
        <f>IF(ROUNDUP(Q713/20,0)&gt;ROUNDUP(Q712/20,0),"Lần " &amp; ROUNDUP(Q713/20,0),"")</f>
        <v/>
      </c>
      <c r="AC713" s="9">
        <f>IF(ROUNDUP(R713/20,0)&gt;ROUNDUP(R712/20,0),"Lần " &amp; ROUNDUP(R713/20,0),"")</f>
        <v/>
      </c>
      <c r="AD713" s="9">
        <f>IF(ROUNDUP(S713/20,0)&gt;ROUNDUP(S712/20,0),"Lần " &amp; ROUNDUP(S713/20,0),"")</f>
        <v/>
      </c>
      <c r="AE713" s="9">
        <f>IF(ROUNDUP(T713/20,0)&gt;ROUNDUP(T712/20,0),"Lần " &amp; ROUNDUP(T713/20,0),"")</f>
        <v/>
      </c>
      <c r="AF713" s="9">
        <f>IF(ROUNDUP(U713/20,0)&gt;ROUNDUP(U712/20,0),"Lần " &amp; ROUNDUP(U713/20,0),"")</f>
        <v/>
      </c>
      <c r="AG713" s="9">
        <f>IF(ROUNDUP(V713/20,0)&gt;ROUNDUP(V712/20,0),"Lần " &amp; ROUNDUP(V713/20,0),"")</f>
        <v/>
      </c>
      <c r="AH713" s="9">
        <f>IF(ROUNDUP(W713/20,0)&gt;ROUNDUP(W712/20,0),"Lần " &amp; ROUNDUP(W713/20,0),"")</f>
        <v/>
      </c>
      <c r="AI713" s="9">
        <f>IF(ROUNDUP(X713/20,0)&gt;ROUNDUP(X712/20,0),"Lần " &amp; ROUNDUP(X713/20,0),"")</f>
        <v/>
      </c>
      <c r="AJ713" s="9">
        <f>IF(ROUNDUP(Y713/20,0)&gt;ROUNDUP(Y712/20,0),"Lần " &amp; ROUNDUP(Y713/20,0),"")</f>
        <v/>
      </c>
      <c r="AK713" s="9">
        <f>IF(ROUNDUP(Z713/20,0)&gt;ROUNDUP(Z712/20,0),"Lần " &amp; ROUNDUP(Z713/20,0),"")</f>
        <v/>
      </c>
      <c r="AL713" s="4" t="n"/>
      <c r="AN713" s="596" t="inlineStr">
        <is>
          <t>Dam</t>
        </is>
      </c>
      <c r="AO713" s="596" t="n">
        <v>59</v>
      </c>
      <c r="AQ713" s="594" t="n"/>
      <c r="AR713" s="595" t="n"/>
    </row>
    <row r="714" ht="19" customHeight="1" s="672">
      <c r="A714" s="4" t="n">
        <v>677</v>
      </c>
      <c r="B714" s="5" t="inlineStr">
        <is>
          <t>Dầm chủ Super-T (15 phiến L=38.2m)</t>
        </is>
      </c>
      <c r="C714" s="5" t="inlineStr">
        <is>
          <t>Dầm S1B3 (bảng thép như S1B1) (tr.88)</t>
        </is>
      </c>
      <c r="D714" s="14" t="inlineStr">
        <is>
          <t>G2a</t>
        </is>
      </c>
      <c r="E714" s="15" t="n">
        <v>12</v>
      </c>
      <c r="F714" s="4" t="inlineStr">
        <is>
          <t>CB400-V</t>
        </is>
      </c>
      <c r="G714" s="5" t="inlineStr">
        <is>
          <t>S06</t>
        </is>
      </c>
      <c r="H714" s="16" t="n">
        <v>1.309</v>
      </c>
      <c r="I714" s="17" t="n">
        <v>269</v>
      </c>
      <c r="J714" s="18" t="n">
        <v>0.888</v>
      </c>
      <c r="K714" s="7">
        <f>ROUND(H714*I714*J714, 2)</f>
        <v/>
      </c>
      <c r="L714" s="19">
        <f>ROUND(K714/1000, 3)</f>
        <v/>
      </c>
      <c r="M714" s="728">
        <f>IF(AO714="","",IF(N(INDEX(Theo_Doi_Tan_Suat_Be_Tong!$C:$C,AO714))&lt;=0,"",INDEX(Theo_Doi_Tan_Suat_Be_Tong!$C:$C,AO714)-VLOOKUP(AN714,$AQ$2:$AR$7,2,FALSE)))</f>
        <v/>
      </c>
      <c r="N714" s="4" t="n"/>
      <c r="O714" s="20">
        <f>IF(ROUNDUP(Q714/20,0)&gt;ROUNDUP(Q713/20,0),"TN Ø12 (Lần " &amp; ROUNDUP(Q714/20,0) &amp; ")","")</f>
        <v/>
      </c>
      <c r="P714" s="16">
        <f>ROUND(P713+IF(AND(E714&lt;=10,F714&lt;&gt;"ASTM A416"),L714,0),3)</f>
        <v/>
      </c>
      <c r="Q714" s="16">
        <f>ROUND(Q713+IF(AND(E714=12,F714&lt;&gt;"ASTM A416"),L714,0),3)</f>
        <v/>
      </c>
      <c r="R714" s="16">
        <f>ROUND(R713+IF(AND(E714=14,F714&lt;&gt;"ASTM A416"),L714,0),3)</f>
        <v/>
      </c>
      <c r="S714" s="16">
        <f>ROUND(S713+IF(AND(E714=16,F714&lt;&gt;"ASTM A416"),L714,0),3)</f>
        <v/>
      </c>
      <c r="T714" s="16">
        <f>ROUND(T713+IF(AND(E714=18,F714&lt;&gt;"ASTM A416"),L714,0),3)</f>
        <v/>
      </c>
      <c r="U714" s="16">
        <f>ROUND(U713+IF(AND(E714=20,F714&lt;&gt;"ASTM A416"),L714,0),3)</f>
        <v/>
      </c>
      <c r="V714" s="16">
        <f>ROUND(V713+IF(AND(E714=22,F714&lt;&gt;"ASTM A416"),L714,0),3)</f>
        <v/>
      </c>
      <c r="W714" s="16">
        <f>ROUND(W713+IF(AND(E714=25,F714&lt;&gt;"ASTM A416"),L714,0),3)</f>
        <v/>
      </c>
      <c r="X714" s="16">
        <f>ROUND(X713+IF(AND(E714=28,F714&lt;&gt;"ASTM A416"),L714,0),3)</f>
        <v/>
      </c>
      <c r="Y714" s="16">
        <f>ROUND(Y713+IF(AND(E714=32,F714&lt;&gt;"ASTM A416"),L714,0),3)</f>
        <v/>
      </c>
      <c r="Z714" s="16">
        <f>ROUND(Z713+IF(F714="ASTM A416",L714,0),3)</f>
        <v/>
      </c>
      <c r="AA714" s="9">
        <f>IF(ROUNDUP(P714/20,0)&gt;ROUNDUP(P713/20,0),"Lần " &amp; ROUNDUP(P714/20,0),"")</f>
        <v/>
      </c>
      <c r="AB714" s="9">
        <f>IF(ROUNDUP(Q714/20,0)&gt;ROUNDUP(Q713/20,0),"Lần " &amp; ROUNDUP(Q714/20,0),"")</f>
        <v/>
      </c>
      <c r="AC714" s="9">
        <f>IF(ROUNDUP(R714/20,0)&gt;ROUNDUP(R713/20,0),"Lần " &amp; ROUNDUP(R714/20,0),"")</f>
        <v/>
      </c>
      <c r="AD714" s="9">
        <f>IF(ROUNDUP(S714/20,0)&gt;ROUNDUP(S713/20,0),"Lần " &amp; ROUNDUP(S714/20,0),"")</f>
        <v/>
      </c>
      <c r="AE714" s="9">
        <f>IF(ROUNDUP(T714/20,0)&gt;ROUNDUP(T713/20,0),"Lần " &amp; ROUNDUP(T714/20,0),"")</f>
        <v/>
      </c>
      <c r="AF714" s="9">
        <f>IF(ROUNDUP(U714/20,0)&gt;ROUNDUP(U713/20,0),"Lần " &amp; ROUNDUP(U714/20,0),"")</f>
        <v/>
      </c>
      <c r="AG714" s="9">
        <f>IF(ROUNDUP(V714/20,0)&gt;ROUNDUP(V713/20,0),"Lần " &amp; ROUNDUP(V714/20,0),"")</f>
        <v/>
      </c>
      <c r="AH714" s="9">
        <f>IF(ROUNDUP(W714/20,0)&gt;ROUNDUP(W713/20,0),"Lần " &amp; ROUNDUP(W714/20,0),"")</f>
        <v/>
      </c>
      <c r="AI714" s="9">
        <f>IF(ROUNDUP(X714/20,0)&gt;ROUNDUP(X713/20,0),"Lần " &amp; ROUNDUP(X714/20,0),"")</f>
        <v/>
      </c>
      <c r="AJ714" s="9">
        <f>IF(ROUNDUP(Y714/20,0)&gt;ROUNDUP(Y713/20,0),"Lần " &amp; ROUNDUP(Y714/20,0),"")</f>
        <v/>
      </c>
      <c r="AK714" s="9">
        <f>IF(ROUNDUP(Z714/20,0)&gt;ROUNDUP(Z713/20,0),"Lần " &amp; ROUNDUP(Z714/20,0),"")</f>
        <v/>
      </c>
      <c r="AL714" s="4" t="n"/>
      <c r="AN714" s="596" t="inlineStr">
        <is>
          <t>Dam</t>
        </is>
      </c>
      <c r="AO714" s="596" t="n">
        <v>59</v>
      </c>
      <c r="AQ714" s="594" t="n"/>
      <c r="AR714" s="595" t="n"/>
    </row>
    <row r="715" ht="19" customHeight="1" s="672">
      <c r="A715" s="4" t="n">
        <v>678</v>
      </c>
      <c r="B715" s="5" t="inlineStr">
        <is>
          <t>Dầm chủ Super-T (15 phiến L=38.2m)</t>
        </is>
      </c>
      <c r="C715" s="5" t="inlineStr">
        <is>
          <t>Dầm S1B3 (bảng thép như S1B1) (tr.88)</t>
        </is>
      </c>
      <c r="D715" s="14" t="inlineStr">
        <is>
          <t>G3</t>
        </is>
      </c>
      <c r="E715" s="15" t="n">
        <v>12</v>
      </c>
      <c r="F715" s="4" t="inlineStr">
        <is>
          <t>CB400-V</t>
        </is>
      </c>
      <c r="G715" s="5" t="inlineStr">
        <is>
          <t>S06</t>
        </is>
      </c>
      <c r="H715" s="16" t="n">
        <v>1.259</v>
      </c>
      <c r="I715" s="17" t="n">
        <v>269</v>
      </c>
      <c r="J715" s="18" t="n">
        <v>0.888</v>
      </c>
      <c r="K715" s="7">
        <f>ROUND(H715*I715*J715, 2)</f>
        <v/>
      </c>
      <c r="L715" s="19">
        <f>ROUND(K715/1000, 3)</f>
        <v/>
      </c>
      <c r="M715" s="728">
        <f>IF(AO715="","",IF(N(INDEX(Theo_Doi_Tan_Suat_Be_Tong!$C:$C,AO715))&lt;=0,"",INDEX(Theo_Doi_Tan_Suat_Be_Tong!$C:$C,AO715)-VLOOKUP(AN715,$AQ$2:$AR$7,2,FALSE)))</f>
        <v/>
      </c>
      <c r="N715" s="4" t="n"/>
      <c r="O715" s="20">
        <f>IF(ROUNDUP(Q715/20,0)&gt;ROUNDUP(Q714/20,0),"TN Ø12 (Lần " &amp; ROUNDUP(Q715/20,0) &amp; ")","")</f>
        <v/>
      </c>
      <c r="P715" s="16">
        <f>ROUND(P714+IF(AND(E715&lt;=10,F715&lt;&gt;"ASTM A416"),L715,0),3)</f>
        <v/>
      </c>
      <c r="Q715" s="16">
        <f>ROUND(Q714+IF(AND(E715=12,F715&lt;&gt;"ASTM A416"),L715,0),3)</f>
        <v/>
      </c>
      <c r="R715" s="16">
        <f>ROUND(R714+IF(AND(E715=14,F715&lt;&gt;"ASTM A416"),L715,0),3)</f>
        <v/>
      </c>
      <c r="S715" s="16">
        <f>ROUND(S714+IF(AND(E715=16,F715&lt;&gt;"ASTM A416"),L715,0),3)</f>
        <v/>
      </c>
      <c r="T715" s="16">
        <f>ROUND(T714+IF(AND(E715=18,F715&lt;&gt;"ASTM A416"),L715,0),3)</f>
        <v/>
      </c>
      <c r="U715" s="16">
        <f>ROUND(U714+IF(AND(E715=20,F715&lt;&gt;"ASTM A416"),L715,0),3)</f>
        <v/>
      </c>
      <c r="V715" s="16">
        <f>ROUND(V714+IF(AND(E715=22,F715&lt;&gt;"ASTM A416"),L715,0),3)</f>
        <v/>
      </c>
      <c r="W715" s="16">
        <f>ROUND(W714+IF(AND(E715=25,F715&lt;&gt;"ASTM A416"),L715,0),3)</f>
        <v/>
      </c>
      <c r="X715" s="16">
        <f>ROUND(X714+IF(AND(E715=28,F715&lt;&gt;"ASTM A416"),L715,0),3)</f>
        <v/>
      </c>
      <c r="Y715" s="16">
        <f>ROUND(Y714+IF(AND(E715=32,F715&lt;&gt;"ASTM A416"),L715,0),3)</f>
        <v/>
      </c>
      <c r="Z715" s="16">
        <f>ROUND(Z714+IF(F715="ASTM A416",L715,0),3)</f>
        <v/>
      </c>
      <c r="AA715" s="9">
        <f>IF(ROUNDUP(P715/20,0)&gt;ROUNDUP(P714/20,0),"Lần " &amp; ROUNDUP(P715/20,0),"")</f>
        <v/>
      </c>
      <c r="AB715" s="9">
        <f>IF(ROUNDUP(Q715/20,0)&gt;ROUNDUP(Q714/20,0),"Lần " &amp; ROUNDUP(Q715/20,0),"")</f>
        <v/>
      </c>
      <c r="AC715" s="9">
        <f>IF(ROUNDUP(R715/20,0)&gt;ROUNDUP(R714/20,0),"Lần " &amp; ROUNDUP(R715/20,0),"")</f>
        <v/>
      </c>
      <c r="AD715" s="9">
        <f>IF(ROUNDUP(S715/20,0)&gt;ROUNDUP(S714/20,0),"Lần " &amp; ROUNDUP(S715/20,0),"")</f>
        <v/>
      </c>
      <c r="AE715" s="9">
        <f>IF(ROUNDUP(T715/20,0)&gt;ROUNDUP(T714/20,0),"Lần " &amp; ROUNDUP(T715/20,0),"")</f>
        <v/>
      </c>
      <c r="AF715" s="9">
        <f>IF(ROUNDUP(U715/20,0)&gt;ROUNDUP(U714/20,0),"Lần " &amp; ROUNDUP(U715/20,0),"")</f>
        <v/>
      </c>
      <c r="AG715" s="9">
        <f>IF(ROUNDUP(V715/20,0)&gt;ROUNDUP(V714/20,0),"Lần " &amp; ROUNDUP(V715/20,0),"")</f>
        <v/>
      </c>
      <c r="AH715" s="9">
        <f>IF(ROUNDUP(W715/20,0)&gt;ROUNDUP(W714/20,0),"Lần " &amp; ROUNDUP(W715/20,0),"")</f>
        <v/>
      </c>
      <c r="AI715" s="9">
        <f>IF(ROUNDUP(X715/20,0)&gt;ROUNDUP(X714/20,0),"Lần " &amp; ROUNDUP(X715/20,0),"")</f>
        <v/>
      </c>
      <c r="AJ715" s="9">
        <f>IF(ROUNDUP(Y715/20,0)&gt;ROUNDUP(Y714/20,0),"Lần " &amp; ROUNDUP(Y715/20,0),"")</f>
        <v/>
      </c>
      <c r="AK715" s="9">
        <f>IF(ROUNDUP(Z715/20,0)&gt;ROUNDUP(Z714/20,0),"Lần " &amp; ROUNDUP(Z715/20,0),"")</f>
        <v/>
      </c>
      <c r="AL715" s="4" t="n"/>
      <c r="AN715" s="596" t="inlineStr">
        <is>
          <t>Dam</t>
        </is>
      </c>
      <c r="AO715" s="596" t="n">
        <v>59</v>
      </c>
      <c r="AQ715" s="594" t="n"/>
      <c r="AR715" s="595" t="n"/>
    </row>
    <row r="716" ht="19" customHeight="1" s="672">
      <c r="A716" s="4" t="n">
        <v>679</v>
      </c>
      <c r="B716" s="5" t="inlineStr">
        <is>
          <t>Dầm chủ Super-T (15 phiến L=38.2m)</t>
        </is>
      </c>
      <c r="C716" s="5" t="inlineStr">
        <is>
          <t>Dầm S1B3 (bảng thép như S1B1) (tr.88)</t>
        </is>
      </c>
      <c r="D716" s="14" t="inlineStr">
        <is>
          <t>G4a1</t>
        </is>
      </c>
      <c r="E716" s="15" t="n">
        <v>12</v>
      </c>
      <c r="F716" s="4" t="inlineStr">
        <is>
          <t>CB400-V</t>
        </is>
      </c>
      <c r="G716" s="5" t="inlineStr">
        <is>
          <t>S01</t>
        </is>
      </c>
      <c r="H716" s="16" t="n">
        <v>11.7</v>
      </c>
      <c r="I716" s="17" t="n">
        <v>21</v>
      </c>
      <c r="J716" s="18" t="n">
        <v>0.888</v>
      </c>
      <c r="K716" s="7">
        <f>ROUND(H716*I716*J716, 2)</f>
        <v/>
      </c>
      <c r="L716" s="19">
        <f>ROUND(K716/1000, 3)</f>
        <v/>
      </c>
      <c r="M716" s="728">
        <f>IF(AO716="","",IF(N(INDEX(Theo_Doi_Tan_Suat_Be_Tong!$C:$C,AO716))&lt;=0,"",INDEX(Theo_Doi_Tan_Suat_Be_Tong!$C:$C,AO716)-VLOOKUP(AN716,$AQ$2:$AR$7,2,FALSE)))</f>
        <v/>
      </c>
      <c r="N716" s="4" t="n"/>
      <c r="O716" s="20">
        <f>IF(ROUNDUP(Q716/20,0)&gt;ROUNDUP(Q715/20,0),"TN Ø12 (Lần " &amp; ROUNDUP(Q716/20,0) &amp; ")","")</f>
        <v/>
      </c>
      <c r="P716" s="16">
        <f>ROUND(P715+IF(AND(E716&lt;=10,F716&lt;&gt;"ASTM A416"),L716,0),3)</f>
        <v/>
      </c>
      <c r="Q716" s="16">
        <f>ROUND(Q715+IF(AND(E716=12,F716&lt;&gt;"ASTM A416"),L716,0),3)</f>
        <v/>
      </c>
      <c r="R716" s="16">
        <f>ROUND(R715+IF(AND(E716=14,F716&lt;&gt;"ASTM A416"),L716,0),3)</f>
        <v/>
      </c>
      <c r="S716" s="16">
        <f>ROUND(S715+IF(AND(E716=16,F716&lt;&gt;"ASTM A416"),L716,0),3)</f>
        <v/>
      </c>
      <c r="T716" s="16">
        <f>ROUND(T715+IF(AND(E716=18,F716&lt;&gt;"ASTM A416"),L716,0),3)</f>
        <v/>
      </c>
      <c r="U716" s="16">
        <f>ROUND(U715+IF(AND(E716=20,F716&lt;&gt;"ASTM A416"),L716,0),3)</f>
        <v/>
      </c>
      <c r="V716" s="16">
        <f>ROUND(V715+IF(AND(E716=22,F716&lt;&gt;"ASTM A416"),L716,0),3)</f>
        <v/>
      </c>
      <c r="W716" s="16">
        <f>ROUND(W715+IF(AND(E716=25,F716&lt;&gt;"ASTM A416"),L716,0),3)</f>
        <v/>
      </c>
      <c r="X716" s="16">
        <f>ROUND(X715+IF(AND(E716=28,F716&lt;&gt;"ASTM A416"),L716,0),3)</f>
        <v/>
      </c>
      <c r="Y716" s="16">
        <f>ROUND(Y715+IF(AND(E716=32,F716&lt;&gt;"ASTM A416"),L716,0),3)</f>
        <v/>
      </c>
      <c r="Z716" s="16">
        <f>ROUND(Z715+IF(F716="ASTM A416",L716,0),3)</f>
        <v/>
      </c>
      <c r="AA716" s="9">
        <f>IF(ROUNDUP(P716/20,0)&gt;ROUNDUP(P715/20,0),"Lần " &amp; ROUNDUP(P716/20,0),"")</f>
        <v/>
      </c>
      <c r="AB716" s="9">
        <f>IF(ROUNDUP(Q716/20,0)&gt;ROUNDUP(Q715/20,0),"Lần " &amp; ROUNDUP(Q716/20,0),"")</f>
        <v/>
      </c>
      <c r="AC716" s="9">
        <f>IF(ROUNDUP(R716/20,0)&gt;ROUNDUP(R715/20,0),"Lần " &amp; ROUNDUP(R716/20,0),"")</f>
        <v/>
      </c>
      <c r="AD716" s="9">
        <f>IF(ROUNDUP(S716/20,0)&gt;ROUNDUP(S715/20,0),"Lần " &amp; ROUNDUP(S716/20,0),"")</f>
        <v/>
      </c>
      <c r="AE716" s="9">
        <f>IF(ROUNDUP(T716/20,0)&gt;ROUNDUP(T715/20,0),"Lần " &amp; ROUNDUP(T716/20,0),"")</f>
        <v/>
      </c>
      <c r="AF716" s="9">
        <f>IF(ROUNDUP(U716/20,0)&gt;ROUNDUP(U715/20,0),"Lần " &amp; ROUNDUP(U716/20,0),"")</f>
        <v/>
      </c>
      <c r="AG716" s="9">
        <f>IF(ROUNDUP(V716/20,0)&gt;ROUNDUP(V715/20,0),"Lần " &amp; ROUNDUP(V716/20,0),"")</f>
        <v/>
      </c>
      <c r="AH716" s="9">
        <f>IF(ROUNDUP(W716/20,0)&gt;ROUNDUP(W715/20,0),"Lần " &amp; ROUNDUP(W716/20,0),"")</f>
        <v/>
      </c>
      <c r="AI716" s="9">
        <f>IF(ROUNDUP(X716/20,0)&gt;ROUNDUP(X715/20,0),"Lần " &amp; ROUNDUP(X716/20,0),"")</f>
        <v/>
      </c>
      <c r="AJ716" s="9">
        <f>IF(ROUNDUP(Y716/20,0)&gt;ROUNDUP(Y715/20,0),"Lần " &amp; ROUNDUP(Y716/20,0),"")</f>
        <v/>
      </c>
      <c r="AK716" s="9">
        <f>IF(ROUNDUP(Z716/20,0)&gt;ROUNDUP(Z715/20,0),"Lần " &amp; ROUNDUP(Z716/20,0),"")</f>
        <v/>
      </c>
      <c r="AL716" s="4" t="n"/>
      <c r="AN716" s="596" t="inlineStr">
        <is>
          <t>Dam</t>
        </is>
      </c>
      <c r="AO716" s="596" t="n">
        <v>59</v>
      </c>
      <c r="AQ716" s="594" t="n"/>
      <c r="AR716" s="595" t="n"/>
    </row>
    <row r="717" ht="19" customHeight="1" s="672">
      <c r="A717" s="4" t="n">
        <v>680</v>
      </c>
      <c r="B717" s="5" t="inlineStr">
        <is>
          <t>Dầm chủ Super-T (15 phiến L=38.2m)</t>
        </is>
      </c>
      <c r="C717" s="5" t="inlineStr">
        <is>
          <t>Dầm S1B3 (bảng thép như S1B1) (tr.88)</t>
        </is>
      </c>
      <c r="D717" s="14" t="inlineStr">
        <is>
          <t>G4a2</t>
        </is>
      </c>
      <c r="E717" s="15" t="n">
        <v>12</v>
      </c>
      <c r="F717" s="4" t="inlineStr">
        <is>
          <t>CB400-V</t>
        </is>
      </c>
      <c r="G717" s="5" t="inlineStr">
        <is>
          <t>S06</t>
        </is>
      </c>
      <c r="H717" s="16" t="n">
        <v>4.46</v>
      </c>
      <c r="I717" s="17" t="n">
        <v>7</v>
      </c>
      <c r="J717" s="18" t="n">
        <v>0.888</v>
      </c>
      <c r="K717" s="7">
        <f>ROUND(H717*I717*J717, 2)</f>
        <v/>
      </c>
      <c r="L717" s="19">
        <f>ROUND(K717/1000, 3)</f>
        <v/>
      </c>
      <c r="M717" s="728">
        <f>IF(AO717="","",IF(N(INDEX(Theo_Doi_Tan_Suat_Be_Tong!$C:$C,AO717))&lt;=0,"",INDEX(Theo_Doi_Tan_Suat_Be_Tong!$C:$C,AO717)-VLOOKUP(AN717,$AQ$2:$AR$7,2,FALSE)))</f>
        <v/>
      </c>
      <c r="N717" s="4" t="n"/>
      <c r="O717" s="20">
        <f>IF(ROUNDUP(Q717/20,0)&gt;ROUNDUP(Q716/20,0),"TN Ø12 (Lần " &amp; ROUNDUP(Q717/20,0) &amp; ")","")</f>
        <v/>
      </c>
      <c r="P717" s="16">
        <f>ROUND(P716+IF(AND(E717&lt;=10,F717&lt;&gt;"ASTM A416"),L717,0),3)</f>
        <v/>
      </c>
      <c r="Q717" s="16">
        <f>ROUND(Q716+IF(AND(E717=12,F717&lt;&gt;"ASTM A416"),L717,0),3)</f>
        <v/>
      </c>
      <c r="R717" s="16">
        <f>ROUND(R716+IF(AND(E717=14,F717&lt;&gt;"ASTM A416"),L717,0),3)</f>
        <v/>
      </c>
      <c r="S717" s="16">
        <f>ROUND(S716+IF(AND(E717=16,F717&lt;&gt;"ASTM A416"),L717,0),3)</f>
        <v/>
      </c>
      <c r="T717" s="16">
        <f>ROUND(T716+IF(AND(E717=18,F717&lt;&gt;"ASTM A416"),L717,0),3)</f>
        <v/>
      </c>
      <c r="U717" s="16">
        <f>ROUND(U716+IF(AND(E717=20,F717&lt;&gt;"ASTM A416"),L717,0),3)</f>
        <v/>
      </c>
      <c r="V717" s="16">
        <f>ROUND(V716+IF(AND(E717=22,F717&lt;&gt;"ASTM A416"),L717,0),3)</f>
        <v/>
      </c>
      <c r="W717" s="16">
        <f>ROUND(W716+IF(AND(E717=25,F717&lt;&gt;"ASTM A416"),L717,0),3)</f>
        <v/>
      </c>
      <c r="X717" s="16">
        <f>ROUND(X716+IF(AND(E717=28,F717&lt;&gt;"ASTM A416"),L717,0),3)</f>
        <v/>
      </c>
      <c r="Y717" s="16">
        <f>ROUND(Y716+IF(AND(E717=32,F717&lt;&gt;"ASTM A416"),L717,0),3)</f>
        <v/>
      </c>
      <c r="Z717" s="16">
        <f>ROUND(Z716+IF(F717="ASTM A416",L717,0),3)</f>
        <v/>
      </c>
      <c r="AA717" s="9">
        <f>IF(ROUNDUP(P717/20,0)&gt;ROUNDUP(P716/20,0),"Lần " &amp; ROUNDUP(P717/20,0),"")</f>
        <v/>
      </c>
      <c r="AB717" s="9">
        <f>IF(ROUNDUP(Q717/20,0)&gt;ROUNDUP(Q716/20,0),"Lần " &amp; ROUNDUP(Q717/20,0),"")</f>
        <v/>
      </c>
      <c r="AC717" s="9">
        <f>IF(ROUNDUP(R717/20,0)&gt;ROUNDUP(R716/20,0),"Lần " &amp; ROUNDUP(R717/20,0),"")</f>
        <v/>
      </c>
      <c r="AD717" s="9">
        <f>IF(ROUNDUP(S717/20,0)&gt;ROUNDUP(S716/20,0),"Lần " &amp; ROUNDUP(S717/20,0),"")</f>
        <v/>
      </c>
      <c r="AE717" s="9">
        <f>IF(ROUNDUP(T717/20,0)&gt;ROUNDUP(T716/20,0),"Lần " &amp; ROUNDUP(T717/20,0),"")</f>
        <v/>
      </c>
      <c r="AF717" s="9">
        <f>IF(ROUNDUP(U717/20,0)&gt;ROUNDUP(U716/20,0),"Lần " &amp; ROUNDUP(U717/20,0),"")</f>
        <v/>
      </c>
      <c r="AG717" s="9">
        <f>IF(ROUNDUP(V717/20,0)&gt;ROUNDUP(V716/20,0),"Lần " &amp; ROUNDUP(V717/20,0),"")</f>
        <v/>
      </c>
      <c r="AH717" s="9">
        <f>IF(ROUNDUP(W717/20,0)&gt;ROUNDUP(W716/20,0),"Lần " &amp; ROUNDUP(W717/20,0),"")</f>
        <v/>
      </c>
      <c r="AI717" s="9">
        <f>IF(ROUNDUP(X717/20,0)&gt;ROUNDUP(X716/20,0),"Lần " &amp; ROUNDUP(X717/20,0),"")</f>
        <v/>
      </c>
      <c r="AJ717" s="9">
        <f>IF(ROUNDUP(Y717/20,0)&gt;ROUNDUP(Y716/20,0),"Lần " &amp; ROUNDUP(Y717/20,0),"")</f>
        <v/>
      </c>
      <c r="AK717" s="9">
        <f>IF(ROUNDUP(Z717/20,0)&gt;ROUNDUP(Z716/20,0),"Lần " &amp; ROUNDUP(Z717/20,0),"")</f>
        <v/>
      </c>
      <c r="AL717" s="4" t="n"/>
      <c r="AN717" s="596" t="inlineStr">
        <is>
          <t>Dam</t>
        </is>
      </c>
      <c r="AO717" s="596" t="n">
        <v>59</v>
      </c>
      <c r="AQ717" s="594" t="n"/>
      <c r="AR717" s="595" t="n"/>
    </row>
    <row r="718" ht="19" customHeight="1" s="672">
      <c r="A718" s="4" t="n">
        <v>681</v>
      </c>
      <c r="B718" s="5" t="inlineStr">
        <is>
          <t>Dầm chủ Super-T (15 phiến L=38.2m)</t>
        </is>
      </c>
      <c r="C718" s="5" t="inlineStr">
        <is>
          <t>Dầm S1B3 (bảng thép như S1B1) (tr.88)</t>
        </is>
      </c>
      <c r="D718" s="14" t="inlineStr">
        <is>
          <t>G4b1</t>
        </is>
      </c>
      <c r="E718" s="15" t="n">
        <v>12</v>
      </c>
      <c r="F718" s="4" t="inlineStr">
        <is>
          <t>CB400-V</t>
        </is>
      </c>
      <c r="G718" s="5" t="inlineStr">
        <is>
          <t>S01</t>
        </is>
      </c>
      <c r="H718" s="16" t="n">
        <v>11.7</v>
      </c>
      <c r="I718" s="17" t="n">
        <v>12</v>
      </c>
      <c r="J718" s="18" t="n">
        <v>0.888</v>
      </c>
      <c r="K718" s="7">
        <f>ROUND(H718*I718*J718, 2)</f>
        <v/>
      </c>
      <c r="L718" s="19">
        <f>ROUND(K718/1000, 3)</f>
        <v/>
      </c>
      <c r="M718" s="728">
        <f>IF(AO718="","",IF(N(INDEX(Theo_Doi_Tan_Suat_Be_Tong!$C:$C,AO718))&lt;=0,"",INDEX(Theo_Doi_Tan_Suat_Be_Tong!$C:$C,AO718)-VLOOKUP(AN718,$AQ$2:$AR$7,2,FALSE)))</f>
        <v/>
      </c>
      <c r="N718" s="4" t="n"/>
      <c r="O718" s="20">
        <f>IF(ROUNDUP(Q718/20,0)&gt;ROUNDUP(Q717/20,0),"TN Ø12 (Lần " &amp; ROUNDUP(Q718/20,0) &amp; ")","")</f>
        <v/>
      </c>
      <c r="P718" s="16">
        <f>ROUND(P717+IF(AND(E718&lt;=10,F718&lt;&gt;"ASTM A416"),L718,0),3)</f>
        <v/>
      </c>
      <c r="Q718" s="16">
        <f>ROUND(Q717+IF(AND(E718=12,F718&lt;&gt;"ASTM A416"),L718,0),3)</f>
        <v/>
      </c>
      <c r="R718" s="16">
        <f>ROUND(R717+IF(AND(E718=14,F718&lt;&gt;"ASTM A416"),L718,0),3)</f>
        <v/>
      </c>
      <c r="S718" s="16">
        <f>ROUND(S717+IF(AND(E718=16,F718&lt;&gt;"ASTM A416"),L718,0),3)</f>
        <v/>
      </c>
      <c r="T718" s="16">
        <f>ROUND(T717+IF(AND(E718=18,F718&lt;&gt;"ASTM A416"),L718,0),3)</f>
        <v/>
      </c>
      <c r="U718" s="16">
        <f>ROUND(U717+IF(AND(E718=20,F718&lt;&gt;"ASTM A416"),L718,0),3)</f>
        <v/>
      </c>
      <c r="V718" s="16">
        <f>ROUND(V717+IF(AND(E718=22,F718&lt;&gt;"ASTM A416"),L718,0),3)</f>
        <v/>
      </c>
      <c r="W718" s="16">
        <f>ROUND(W717+IF(AND(E718=25,F718&lt;&gt;"ASTM A416"),L718,0),3)</f>
        <v/>
      </c>
      <c r="X718" s="16">
        <f>ROUND(X717+IF(AND(E718=28,F718&lt;&gt;"ASTM A416"),L718,0),3)</f>
        <v/>
      </c>
      <c r="Y718" s="16">
        <f>ROUND(Y717+IF(AND(E718=32,F718&lt;&gt;"ASTM A416"),L718,0),3)</f>
        <v/>
      </c>
      <c r="Z718" s="16">
        <f>ROUND(Z717+IF(F718="ASTM A416",L718,0),3)</f>
        <v/>
      </c>
      <c r="AA718" s="9">
        <f>IF(ROUNDUP(P718/20,0)&gt;ROUNDUP(P717/20,0),"Lần " &amp; ROUNDUP(P718/20,0),"")</f>
        <v/>
      </c>
      <c r="AB718" s="9">
        <f>IF(ROUNDUP(Q718/20,0)&gt;ROUNDUP(Q717/20,0),"Lần " &amp; ROUNDUP(Q718/20,0),"")</f>
        <v/>
      </c>
      <c r="AC718" s="9">
        <f>IF(ROUNDUP(R718/20,0)&gt;ROUNDUP(R717/20,0),"Lần " &amp; ROUNDUP(R718/20,0),"")</f>
        <v/>
      </c>
      <c r="AD718" s="9">
        <f>IF(ROUNDUP(S718/20,0)&gt;ROUNDUP(S717/20,0),"Lần " &amp; ROUNDUP(S718/20,0),"")</f>
        <v/>
      </c>
      <c r="AE718" s="9">
        <f>IF(ROUNDUP(T718/20,0)&gt;ROUNDUP(T717/20,0),"Lần " &amp; ROUNDUP(T718/20,0),"")</f>
        <v/>
      </c>
      <c r="AF718" s="9">
        <f>IF(ROUNDUP(U718/20,0)&gt;ROUNDUP(U717/20,0),"Lần " &amp; ROUNDUP(U718/20,0),"")</f>
        <v/>
      </c>
      <c r="AG718" s="9">
        <f>IF(ROUNDUP(V718/20,0)&gt;ROUNDUP(V717/20,0),"Lần " &amp; ROUNDUP(V718/20,0),"")</f>
        <v/>
      </c>
      <c r="AH718" s="9">
        <f>IF(ROUNDUP(W718/20,0)&gt;ROUNDUP(W717/20,0),"Lần " &amp; ROUNDUP(W718/20,0),"")</f>
        <v/>
      </c>
      <c r="AI718" s="9">
        <f>IF(ROUNDUP(X718/20,0)&gt;ROUNDUP(X717/20,0),"Lần " &amp; ROUNDUP(X718/20,0),"")</f>
        <v/>
      </c>
      <c r="AJ718" s="9">
        <f>IF(ROUNDUP(Y718/20,0)&gt;ROUNDUP(Y717/20,0),"Lần " &amp; ROUNDUP(Y718/20,0),"")</f>
        <v/>
      </c>
      <c r="AK718" s="9">
        <f>IF(ROUNDUP(Z718/20,0)&gt;ROUNDUP(Z717/20,0),"Lần " &amp; ROUNDUP(Z718/20,0),"")</f>
        <v/>
      </c>
      <c r="AL718" s="4" t="n"/>
      <c r="AN718" s="596" t="inlineStr">
        <is>
          <t>Dam</t>
        </is>
      </c>
      <c r="AO718" s="596" t="n">
        <v>59</v>
      </c>
      <c r="AQ718" s="594" t="n"/>
      <c r="AR718" s="595" t="n"/>
    </row>
    <row r="719" ht="19" customHeight="1" s="672">
      <c r="A719" s="4" t="n">
        <v>682</v>
      </c>
      <c r="B719" s="5" t="inlineStr">
        <is>
          <t>Dầm chủ Super-T (15 phiến L=38.2m)</t>
        </is>
      </c>
      <c r="C719" s="5" t="inlineStr">
        <is>
          <t>Dầm S1B3 (bảng thép như S1B1) (tr.88)</t>
        </is>
      </c>
      <c r="D719" s="14" t="inlineStr">
        <is>
          <t>G4b2</t>
        </is>
      </c>
      <c r="E719" s="15" t="n">
        <v>12</v>
      </c>
      <c r="F719" s="4" t="inlineStr">
        <is>
          <t>CB400-V</t>
        </is>
      </c>
      <c r="G719" s="5" t="inlineStr">
        <is>
          <t>S06</t>
        </is>
      </c>
      <c r="H719" s="16" t="n">
        <v>3.06</v>
      </c>
      <c r="I719" s="17" t="n">
        <v>4</v>
      </c>
      <c r="J719" s="18" t="n">
        <v>0.888</v>
      </c>
      <c r="K719" s="7">
        <f>ROUND(H719*I719*J719, 2)</f>
        <v/>
      </c>
      <c r="L719" s="19">
        <f>ROUND(K719/1000, 3)</f>
        <v/>
      </c>
      <c r="M719" s="728">
        <f>IF(AO719="","",IF(N(INDEX(Theo_Doi_Tan_Suat_Be_Tong!$C:$C,AO719))&lt;=0,"",INDEX(Theo_Doi_Tan_Suat_Be_Tong!$C:$C,AO719)-VLOOKUP(AN719,$AQ$2:$AR$7,2,FALSE)))</f>
        <v/>
      </c>
      <c r="N719" s="4" t="n"/>
      <c r="O719" s="20">
        <f>IF(ROUNDUP(Q719/20,0)&gt;ROUNDUP(Q718/20,0),"TN Ø12 (Lần " &amp; ROUNDUP(Q719/20,0) &amp; ")","")</f>
        <v/>
      </c>
      <c r="P719" s="16">
        <f>ROUND(P718+IF(AND(E719&lt;=10,F719&lt;&gt;"ASTM A416"),L719,0),3)</f>
        <v/>
      </c>
      <c r="Q719" s="16">
        <f>ROUND(Q718+IF(AND(E719=12,F719&lt;&gt;"ASTM A416"),L719,0),3)</f>
        <v/>
      </c>
      <c r="R719" s="16">
        <f>ROUND(R718+IF(AND(E719=14,F719&lt;&gt;"ASTM A416"),L719,0),3)</f>
        <v/>
      </c>
      <c r="S719" s="16">
        <f>ROUND(S718+IF(AND(E719=16,F719&lt;&gt;"ASTM A416"),L719,0),3)</f>
        <v/>
      </c>
      <c r="T719" s="16">
        <f>ROUND(T718+IF(AND(E719=18,F719&lt;&gt;"ASTM A416"),L719,0),3)</f>
        <v/>
      </c>
      <c r="U719" s="16">
        <f>ROUND(U718+IF(AND(E719=20,F719&lt;&gt;"ASTM A416"),L719,0),3)</f>
        <v/>
      </c>
      <c r="V719" s="16">
        <f>ROUND(V718+IF(AND(E719=22,F719&lt;&gt;"ASTM A416"),L719,0),3)</f>
        <v/>
      </c>
      <c r="W719" s="16">
        <f>ROUND(W718+IF(AND(E719=25,F719&lt;&gt;"ASTM A416"),L719,0),3)</f>
        <v/>
      </c>
      <c r="X719" s="16">
        <f>ROUND(X718+IF(AND(E719=28,F719&lt;&gt;"ASTM A416"),L719,0),3)</f>
        <v/>
      </c>
      <c r="Y719" s="16">
        <f>ROUND(Y718+IF(AND(E719=32,F719&lt;&gt;"ASTM A416"),L719,0),3)</f>
        <v/>
      </c>
      <c r="Z719" s="16">
        <f>ROUND(Z718+IF(F719="ASTM A416",L719,0),3)</f>
        <v/>
      </c>
      <c r="AA719" s="9">
        <f>IF(ROUNDUP(P719/20,0)&gt;ROUNDUP(P718/20,0),"Lần " &amp; ROUNDUP(P719/20,0),"")</f>
        <v/>
      </c>
      <c r="AB719" s="9">
        <f>IF(ROUNDUP(Q719/20,0)&gt;ROUNDUP(Q718/20,0),"Lần " &amp; ROUNDUP(Q719/20,0),"")</f>
        <v/>
      </c>
      <c r="AC719" s="9">
        <f>IF(ROUNDUP(R719/20,0)&gt;ROUNDUP(R718/20,0),"Lần " &amp; ROUNDUP(R719/20,0),"")</f>
        <v/>
      </c>
      <c r="AD719" s="9">
        <f>IF(ROUNDUP(S719/20,0)&gt;ROUNDUP(S718/20,0),"Lần " &amp; ROUNDUP(S719/20,0),"")</f>
        <v/>
      </c>
      <c r="AE719" s="9">
        <f>IF(ROUNDUP(T719/20,0)&gt;ROUNDUP(T718/20,0),"Lần " &amp; ROUNDUP(T719/20,0),"")</f>
        <v/>
      </c>
      <c r="AF719" s="9">
        <f>IF(ROUNDUP(U719/20,0)&gt;ROUNDUP(U718/20,0),"Lần " &amp; ROUNDUP(U719/20,0),"")</f>
        <v/>
      </c>
      <c r="AG719" s="9">
        <f>IF(ROUNDUP(V719/20,0)&gt;ROUNDUP(V718/20,0),"Lần " &amp; ROUNDUP(V719/20,0),"")</f>
        <v/>
      </c>
      <c r="AH719" s="9">
        <f>IF(ROUNDUP(W719/20,0)&gt;ROUNDUP(W718/20,0),"Lần " &amp; ROUNDUP(W719/20,0),"")</f>
        <v/>
      </c>
      <c r="AI719" s="9">
        <f>IF(ROUNDUP(X719/20,0)&gt;ROUNDUP(X718/20,0),"Lần " &amp; ROUNDUP(X719/20,0),"")</f>
        <v/>
      </c>
      <c r="AJ719" s="9">
        <f>IF(ROUNDUP(Y719/20,0)&gt;ROUNDUP(Y718/20,0),"Lần " &amp; ROUNDUP(Y719/20,0),"")</f>
        <v/>
      </c>
      <c r="AK719" s="9">
        <f>IF(ROUNDUP(Z719/20,0)&gt;ROUNDUP(Z718/20,0),"Lần " &amp; ROUNDUP(Z719/20,0),"")</f>
        <v/>
      </c>
      <c r="AL719" s="4" t="n"/>
      <c r="AN719" s="596" t="inlineStr">
        <is>
          <t>Dam</t>
        </is>
      </c>
      <c r="AO719" s="596" t="n">
        <v>59</v>
      </c>
      <c r="AQ719" s="594" t="n"/>
      <c r="AR719" s="595" t="n"/>
    </row>
    <row r="720" ht="19" customHeight="1" s="672">
      <c r="A720" s="4" t="n">
        <v>683</v>
      </c>
      <c r="B720" s="5" t="inlineStr">
        <is>
          <t>Dầm chủ Super-T (15 phiến L=38.2m)</t>
        </is>
      </c>
      <c r="C720" s="5" t="inlineStr">
        <is>
          <t>Dầm S1B3 (bảng thép như S1B1) (tr.88)</t>
        </is>
      </c>
      <c r="D720" s="14" t="inlineStr">
        <is>
          <t>G5a</t>
        </is>
      </c>
      <c r="E720" s="15" t="n">
        <v>16</v>
      </c>
      <c r="F720" s="4" t="inlineStr">
        <is>
          <t>CB400-V</t>
        </is>
      </c>
      <c r="G720" s="5" t="inlineStr">
        <is>
          <t>S01</t>
        </is>
      </c>
      <c r="H720" s="16" t="n">
        <v>11.7</v>
      </c>
      <c r="I720" s="17" t="n">
        <v>28</v>
      </c>
      <c r="J720" s="18" t="n">
        <v>1.578</v>
      </c>
      <c r="K720" s="7">
        <f>ROUND(H720*I720*J720, 2)</f>
        <v/>
      </c>
      <c r="L720" s="19">
        <f>ROUND(K720/1000, 3)</f>
        <v/>
      </c>
      <c r="M720" s="728">
        <f>IF(AO720="","",IF(N(INDEX(Theo_Doi_Tan_Suat_Be_Tong!$C:$C,AO720))&lt;=0,"",INDEX(Theo_Doi_Tan_Suat_Be_Tong!$C:$C,AO720)-VLOOKUP(AN720,$AQ$2:$AR$7,2,FALSE)))</f>
        <v/>
      </c>
      <c r="N720" s="4" t="n"/>
      <c r="O720" s="20">
        <f>IF(ROUNDUP(S720/20,0)&gt;ROUNDUP(S719/20,0),"TN Ø16 (Lần " &amp; ROUNDUP(S720/20,0) &amp; ")","")</f>
        <v/>
      </c>
      <c r="P720" s="16">
        <f>ROUND(P719+IF(AND(E720&lt;=10,F720&lt;&gt;"ASTM A416"),L720,0),3)</f>
        <v/>
      </c>
      <c r="Q720" s="16">
        <f>ROUND(Q719+IF(AND(E720=12,F720&lt;&gt;"ASTM A416"),L720,0),3)</f>
        <v/>
      </c>
      <c r="R720" s="16">
        <f>ROUND(R719+IF(AND(E720=14,F720&lt;&gt;"ASTM A416"),L720,0),3)</f>
        <v/>
      </c>
      <c r="S720" s="16">
        <f>ROUND(S719+IF(AND(E720=16,F720&lt;&gt;"ASTM A416"),L720,0),3)</f>
        <v/>
      </c>
      <c r="T720" s="16">
        <f>ROUND(T719+IF(AND(E720=18,F720&lt;&gt;"ASTM A416"),L720,0),3)</f>
        <v/>
      </c>
      <c r="U720" s="16">
        <f>ROUND(U719+IF(AND(E720=20,F720&lt;&gt;"ASTM A416"),L720,0),3)</f>
        <v/>
      </c>
      <c r="V720" s="16">
        <f>ROUND(V719+IF(AND(E720=22,F720&lt;&gt;"ASTM A416"),L720,0),3)</f>
        <v/>
      </c>
      <c r="W720" s="16">
        <f>ROUND(W719+IF(AND(E720=25,F720&lt;&gt;"ASTM A416"),L720,0),3)</f>
        <v/>
      </c>
      <c r="X720" s="16">
        <f>ROUND(X719+IF(AND(E720=28,F720&lt;&gt;"ASTM A416"),L720,0),3)</f>
        <v/>
      </c>
      <c r="Y720" s="16">
        <f>ROUND(Y719+IF(AND(E720=32,F720&lt;&gt;"ASTM A416"),L720,0),3)</f>
        <v/>
      </c>
      <c r="Z720" s="16">
        <f>ROUND(Z719+IF(F720="ASTM A416",L720,0),3)</f>
        <v/>
      </c>
      <c r="AA720" s="9">
        <f>IF(ROUNDUP(P720/20,0)&gt;ROUNDUP(P719/20,0),"Lần " &amp; ROUNDUP(P720/20,0),"")</f>
        <v/>
      </c>
      <c r="AB720" s="9">
        <f>IF(ROUNDUP(Q720/20,0)&gt;ROUNDUP(Q719/20,0),"Lần " &amp; ROUNDUP(Q720/20,0),"")</f>
        <v/>
      </c>
      <c r="AC720" s="9">
        <f>IF(ROUNDUP(R720/20,0)&gt;ROUNDUP(R719/20,0),"Lần " &amp; ROUNDUP(R720/20,0),"")</f>
        <v/>
      </c>
      <c r="AD720" s="9">
        <f>IF(ROUNDUP(S720/20,0)&gt;ROUNDUP(S719/20,0),"Lần " &amp; ROUNDUP(S720/20,0),"")</f>
        <v/>
      </c>
      <c r="AE720" s="9">
        <f>IF(ROUNDUP(T720/20,0)&gt;ROUNDUP(T719/20,0),"Lần " &amp; ROUNDUP(T720/20,0),"")</f>
        <v/>
      </c>
      <c r="AF720" s="9">
        <f>IF(ROUNDUP(U720/20,0)&gt;ROUNDUP(U719/20,0),"Lần " &amp; ROUNDUP(U720/20,0),"")</f>
        <v/>
      </c>
      <c r="AG720" s="9">
        <f>IF(ROUNDUP(V720/20,0)&gt;ROUNDUP(V719/20,0),"Lần " &amp; ROUNDUP(V720/20,0),"")</f>
        <v/>
      </c>
      <c r="AH720" s="9">
        <f>IF(ROUNDUP(W720/20,0)&gt;ROUNDUP(W719/20,0),"Lần " &amp; ROUNDUP(W720/20,0),"")</f>
        <v/>
      </c>
      <c r="AI720" s="9">
        <f>IF(ROUNDUP(X720/20,0)&gt;ROUNDUP(X719/20,0),"Lần " &amp; ROUNDUP(X720/20,0),"")</f>
        <v/>
      </c>
      <c r="AJ720" s="9">
        <f>IF(ROUNDUP(Y720/20,0)&gt;ROUNDUP(Y719/20,0),"Lần " &amp; ROUNDUP(Y720/20,0),"")</f>
        <v/>
      </c>
      <c r="AK720" s="9">
        <f>IF(ROUNDUP(Z720/20,0)&gt;ROUNDUP(Z719/20,0),"Lần " &amp; ROUNDUP(Z720/20,0),"")</f>
        <v/>
      </c>
      <c r="AL720" s="4" t="n"/>
      <c r="AN720" s="596" t="inlineStr">
        <is>
          <t>Dam</t>
        </is>
      </c>
      <c r="AO720" s="596" t="n">
        <v>59</v>
      </c>
      <c r="AQ720" s="594" t="n"/>
      <c r="AR720" s="595" t="n"/>
    </row>
    <row r="721" ht="19" customHeight="1" s="672">
      <c r="A721" s="4" t="n">
        <v>684</v>
      </c>
      <c r="B721" s="5" t="inlineStr">
        <is>
          <t>Dầm chủ Super-T (15 phiến L=38.2m)</t>
        </is>
      </c>
      <c r="C721" s="5" t="inlineStr">
        <is>
          <t>Dầm S1B3 (bảng thép như S1B1) (tr.88)</t>
        </is>
      </c>
      <c r="D721" s="14" t="inlineStr">
        <is>
          <t>G5b</t>
        </is>
      </c>
      <c r="E721" s="15" t="n">
        <v>18</v>
      </c>
      <c r="F721" s="4" t="inlineStr">
        <is>
          <t>CB400-V</t>
        </is>
      </c>
      <c r="G721" s="5" t="inlineStr">
        <is>
          <t>S06</t>
        </is>
      </c>
      <c r="H721" s="16" t="n">
        <v>2.86</v>
      </c>
      <c r="I721" s="17" t="n">
        <v>14</v>
      </c>
      <c r="J721" s="18" t="n">
        <v>1.998</v>
      </c>
      <c r="K721" s="7">
        <f>ROUND(H721*I721*J721, 2)</f>
        <v/>
      </c>
      <c r="L721" s="19">
        <f>ROUND(K721/1000, 3)</f>
        <v/>
      </c>
      <c r="M721" s="728">
        <f>IF(AO721="","",IF(N(INDEX(Theo_Doi_Tan_Suat_Be_Tong!$C:$C,AO721))&lt;=0,"",INDEX(Theo_Doi_Tan_Suat_Be_Tong!$C:$C,AO721)-VLOOKUP(AN721,$AQ$2:$AR$7,2,FALSE)))</f>
        <v/>
      </c>
      <c r="N721" s="4" t="n"/>
      <c r="O721" s="20">
        <f>IF(ROUNDUP(T721/20,0)&gt;ROUNDUP(T720/20,0),"TN Ø18 (Lần " &amp; ROUNDUP(T721/20,0) &amp; ")","")</f>
        <v/>
      </c>
      <c r="P721" s="16">
        <f>ROUND(P720+IF(AND(E721&lt;=10,F721&lt;&gt;"ASTM A416"),L721,0),3)</f>
        <v/>
      </c>
      <c r="Q721" s="16">
        <f>ROUND(Q720+IF(AND(E721=12,F721&lt;&gt;"ASTM A416"),L721,0),3)</f>
        <v/>
      </c>
      <c r="R721" s="16">
        <f>ROUND(R720+IF(AND(E721=14,F721&lt;&gt;"ASTM A416"),L721,0),3)</f>
        <v/>
      </c>
      <c r="S721" s="16">
        <f>ROUND(S720+IF(AND(E721=16,F721&lt;&gt;"ASTM A416"),L721,0),3)</f>
        <v/>
      </c>
      <c r="T721" s="16">
        <f>ROUND(T720+IF(AND(E721=18,F721&lt;&gt;"ASTM A416"),L721,0),3)</f>
        <v/>
      </c>
      <c r="U721" s="16">
        <f>ROUND(U720+IF(AND(E721=20,F721&lt;&gt;"ASTM A416"),L721,0),3)</f>
        <v/>
      </c>
      <c r="V721" s="16">
        <f>ROUND(V720+IF(AND(E721=22,F721&lt;&gt;"ASTM A416"),L721,0),3)</f>
        <v/>
      </c>
      <c r="W721" s="16">
        <f>ROUND(W720+IF(AND(E721=25,F721&lt;&gt;"ASTM A416"),L721,0),3)</f>
        <v/>
      </c>
      <c r="X721" s="16">
        <f>ROUND(X720+IF(AND(E721=28,F721&lt;&gt;"ASTM A416"),L721,0),3)</f>
        <v/>
      </c>
      <c r="Y721" s="16">
        <f>ROUND(Y720+IF(AND(E721=32,F721&lt;&gt;"ASTM A416"),L721,0),3)</f>
        <v/>
      </c>
      <c r="Z721" s="16">
        <f>ROUND(Z720+IF(F721="ASTM A416",L721,0),3)</f>
        <v/>
      </c>
      <c r="AA721" s="9">
        <f>IF(ROUNDUP(P721/20,0)&gt;ROUNDUP(P720/20,0),"Lần " &amp; ROUNDUP(P721/20,0),"")</f>
        <v/>
      </c>
      <c r="AB721" s="9">
        <f>IF(ROUNDUP(Q721/20,0)&gt;ROUNDUP(Q720/20,0),"Lần " &amp; ROUNDUP(Q721/20,0),"")</f>
        <v/>
      </c>
      <c r="AC721" s="9">
        <f>IF(ROUNDUP(R721/20,0)&gt;ROUNDUP(R720/20,0),"Lần " &amp; ROUNDUP(R721/20,0),"")</f>
        <v/>
      </c>
      <c r="AD721" s="9">
        <f>IF(ROUNDUP(S721/20,0)&gt;ROUNDUP(S720/20,0),"Lần " &amp; ROUNDUP(S721/20,0),"")</f>
        <v/>
      </c>
      <c r="AE721" s="9">
        <f>IF(ROUNDUP(T721/20,0)&gt;ROUNDUP(T720/20,0),"Lần " &amp; ROUNDUP(T721/20,0),"")</f>
        <v/>
      </c>
      <c r="AF721" s="9">
        <f>IF(ROUNDUP(U721/20,0)&gt;ROUNDUP(U720/20,0),"Lần " &amp; ROUNDUP(U721/20,0),"")</f>
        <v/>
      </c>
      <c r="AG721" s="9">
        <f>IF(ROUNDUP(V721/20,0)&gt;ROUNDUP(V720/20,0),"Lần " &amp; ROUNDUP(V721/20,0),"")</f>
        <v/>
      </c>
      <c r="AH721" s="9">
        <f>IF(ROUNDUP(W721/20,0)&gt;ROUNDUP(W720/20,0),"Lần " &amp; ROUNDUP(W721/20,0),"")</f>
        <v/>
      </c>
      <c r="AI721" s="9">
        <f>IF(ROUNDUP(X721/20,0)&gt;ROUNDUP(X720/20,0),"Lần " &amp; ROUNDUP(X721/20,0),"")</f>
        <v/>
      </c>
      <c r="AJ721" s="9">
        <f>IF(ROUNDUP(Y721/20,0)&gt;ROUNDUP(Y720/20,0),"Lần " &amp; ROUNDUP(Y721/20,0),"")</f>
        <v/>
      </c>
      <c r="AK721" s="9">
        <f>IF(ROUNDUP(Z721/20,0)&gt;ROUNDUP(Z720/20,0),"Lần " &amp; ROUNDUP(Z721/20,0),"")</f>
        <v/>
      </c>
      <c r="AL721" s="4" t="n"/>
      <c r="AN721" s="596" t="inlineStr">
        <is>
          <t>Dam</t>
        </is>
      </c>
      <c r="AO721" s="596" t="n">
        <v>59</v>
      </c>
      <c r="AQ721" s="594" t="n"/>
      <c r="AR721" s="595" t="n"/>
    </row>
    <row r="722" ht="19" customHeight="1" s="672">
      <c r="A722" s="4" t="n">
        <v>685</v>
      </c>
      <c r="B722" s="5" t="inlineStr">
        <is>
          <t>Dầm chủ Super-T (15 phiến L=38.2m)</t>
        </is>
      </c>
      <c r="C722" s="5" t="inlineStr">
        <is>
          <t>Dầm S1B3 (bảng thép như S1B1) (tr.88)</t>
        </is>
      </c>
      <c r="D722" s="14" t="inlineStr">
        <is>
          <t>G5c</t>
        </is>
      </c>
      <c r="E722" s="15" t="n">
        <v>16</v>
      </c>
      <c r="F722" s="4" t="inlineStr">
        <is>
          <t>CB400-V</t>
        </is>
      </c>
      <c r="G722" s="5" t="inlineStr">
        <is>
          <t>S01</t>
        </is>
      </c>
      <c r="H722" s="16" t="n">
        <v>10.68</v>
      </c>
      <c r="I722" s="17" t="n">
        <v>14</v>
      </c>
      <c r="J722" s="18" t="n">
        <v>1.578</v>
      </c>
      <c r="K722" s="7">
        <f>ROUND(H722*I722*J722, 2)</f>
        <v/>
      </c>
      <c r="L722" s="19">
        <f>ROUND(K722/1000, 3)</f>
        <v/>
      </c>
      <c r="M722" s="728">
        <f>IF(AO722="","",IF(N(INDEX(Theo_Doi_Tan_Suat_Be_Tong!$C:$C,AO722))&lt;=0,"",INDEX(Theo_Doi_Tan_Suat_Be_Tong!$C:$C,AO722)-VLOOKUP(AN722,$AQ$2:$AR$7,2,FALSE)))</f>
        <v/>
      </c>
      <c r="N722" s="4" t="n"/>
      <c r="O722" s="20">
        <f>IF(ROUNDUP(S722/20,0)&gt;ROUNDUP(S721/20,0),"TN Ø16 (Lần " &amp; ROUNDUP(S722/20,0) &amp; ")","")</f>
        <v/>
      </c>
      <c r="P722" s="16">
        <f>ROUND(P721+IF(AND(E722&lt;=10,F722&lt;&gt;"ASTM A416"),L722,0),3)</f>
        <v/>
      </c>
      <c r="Q722" s="16">
        <f>ROUND(Q721+IF(AND(E722=12,F722&lt;&gt;"ASTM A416"),L722,0),3)</f>
        <v/>
      </c>
      <c r="R722" s="16">
        <f>ROUND(R721+IF(AND(E722=14,F722&lt;&gt;"ASTM A416"),L722,0),3)</f>
        <v/>
      </c>
      <c r="S722" s="16">
        <f>ROUND(S721+IF(AND(E722=16,F722&lt;&gt;"ASTM A416"),L722,0),3)</f>
        <v/>
      </c>
      <c r="T722" s="16">
        <f>ROUND(T721+IF(AND(E722=18,F722&lt;&gt;"ASTM A416"),L722,0),3)</f>
        <v/>
      </c>
      <c r="U722" s="16">
        <f>ROUND(U721+IF(AND(E722=20,F722&lt;&gt;"ASTM A416"),L722,0),3)</f>
        <v/>
      </c>
      <c r="V722" s="16">
        <f>ROUND(V721+IF(AND(E722=22,F722&lt;&gt;"ASTM A416"),L722,0),3)</f>
        <v/>
      </c>
      <c r="W722" s="16">
        <f>ROUND(W721+IF(AND(E722=25,F722&lt;&gt;"ASTM A416"),L722,0),3)</f>
        <v/>
      </c>
      <c r="X722" s="16">
        <f>ROUND(X721+IF(AND(E722=28,F722&lt;&gt;"ASTM A416"),L722,0),3)</f>
        <v/>
      </c>
      <c r="Y722" s="16">
        <f>ROUND(Y721+IF(AND(E722=32,F722&lt;&gt;"ASTM A416"),L722,0),3)</f>
        <v/>
      </c>
      <c r="Z722" s="16">
        <f>ROUND(Z721+IF(F722="ASTM A416",L722,0),3)</f>
        <v/>
      </c>
      <c r="AA722" s="9">
        <f>IF(ROUNDUP(P722/20,0)&gt;ROUNDUP(P721/20,0),"Lần " &amp; ROUNDUP(P722/20,0),"")</f>
        <v/>
      </c>
      <c r="AB722" s="9">
        <f>IF(ROUNDUP(Q722/20,0)&gt;ROUNDUP(Q721/20,0),"Lần " &amp; ROUNDUP(Q722/20,0),"")</f>
        <v/>
      </c>
      <c r="AC722" s="9">
        <f>IF(ROUNDUP(R722/20,0)&gt;ROUNDUP(R721/20,0),"Lần " &amp; ROUNDUP(R722/20,0),"")</f>
        <v/>
      </c>
      <c r="AD722" s="9">
        <f>IF(ROUNDUP(S722/20,0)&gt;ROUNDUP(S721/20,0),"Lần " &amp; ROUNDUP(S722/20,0),"")</f>
        <v/>
      </c>
      <c r="AE722" s="9">
        <f>IF(ROUNDUP(T722/20,0)&gt;ROUNDUP(T721/20,0),"Lần " &amp; ROUNDUP(T722/20,0),"")</f>
        <v/>
      </c>
      <c r="AF722" s="9">
        <f>IF(ROUNDUP(U722/20,0)&gt;ROUNDUP(U721/20,0),"Lần " &amp; ROUNDUP(U722/20,0),"")</f>
        <v/>
      </c>
      <c r="AG722" s="9">
        <f>IF(ROUNDUP(V722/20,0)&gt;ROUNDUP(V721/20,0),"Lần " &amp; ROUNDUP(V722/20,0),"")</f>
        <v/>
      </c>
      <c r="AH722" s="9">
        <f>IF(ROUNDUP(W722/20,0)&gt;ROUNDUP(W721/20,0),"Lần " &amp; ROUNDUP(W722/20,0),"")</f>
        <v/>
      </c>
      <c r="AI722" s="9">
        <f>IF(ROUNDUP(X722/20,0)&gt;ROUNDUP(X721/20,0),"Lần " &amp; ROUNDUP(X722/20,0),"")</f>
        <v/>
      </c>
      <c r="AJ722" s="9">
        <f>IF(ROUNDUP(Y722/20,0)&gt;ROUNDUP(Y721/20,0),"Lần " &amp; ROUNDUP(Y722/20,0),"")</f>
        <v/>
      </c>
      <c r="AK722" s="9">
        <f>IF(ROUNDUP(Z722/20,0)&gt;ROUNDUP(Z721/20,0),"Lần " &amp; ROUNDUP(Z722/20,0),"")</f>
        <v/>
      </c>
      <c r="AL722" s="4" t="n"/>
      <c r="AN722" s="596" t="inlineStr">
        <is>
          <t>Dam</t>
        </is>
      </c>
      <c r="AO722" s="596" t="n">
        <v>59</v>
      </c>
      <c r="AQ722" s="594" t="n"/>
      <c r="AR722" s="595" t="n"/>
    </row>
    <row r="723" ht="19" customHeight="1" s="672">
      <c r="A723" s="4" t="n">
        <v>686</v>
      </c>
      <c r="B723" s="5" t="inlineStr">
        <is>
          <t>Dầm chủ Super-T (15 phiến L=38.2m)</t>
        </is>
      </c>
      <c r="C723" s="5" t="inlineStr">
        <is>
          <t>Dầm S1B3 (bảng thép như S1B1) (tr.88)</t>
        </is>
      </c>
      <c r="D723" s="14" t="inlineStr">
        <is>
          <t>G5d</t>
        </is>
      </c>
      <c r="E723" s="15" t="n">
        <v>18</v>
      </c>
      <c r="F723" s="4" t="inlineStr">
        <is>
          <t>CB400-V</t>
        </is>
      </c>
      <c r="G723" s="5" t="inlineStr">
        <is>
          <t>S06</t>
        </is>
      </c>
      <c r="H723" s="16" t="n">
        <v>3.9</v>
      </c>
      <c r="I723" s="17" t="n">
        <v>14</v>
      </c>
      <c r="J723" s="18" t="n">
        <v>1.998</v>
      </c>
      <c r="K723" s="7">
        <f>ROUND(H723*I723*J723, 2)</f>
        <v/>
      </c>
      <c r="L723" s="19">
        <f>ROUND(K723/1000, 3)</f>
        <v/>
      </c>
      <c r="M723" s="728">
        <f>IF(AO723="","",IF(N(INDEX(Theo_Doi_Tan_Suat_Be_Tong!$C:$C,AO723))&lt;=0,"",INDEX(Theo_Doi_Tan_Suat_Be_Tong!$C:$C,AO723)-VLOOKUP(AN723,$AQ$2:$AR$7,2,FALSE)))</f>
        <v/>
      </c>
      <c r="N723" s="4" t="n"/>
      <c r="O723" s="20">
        <f>IF(ROUNDUP(T723/20,0)&gt;ROUNDUP(T722/20,0),"TN Ø18 (Lần " &amp; ROUNDUP(T723/20,0) &amp; ")","")</f>
        <v/>
      </c>
      <c r="P723" s="16">
        <f>ROUND(P722+IF(AND(E723&lt;=10,F723&lt;&gt;"ASTM A416"),L723,0),3)</f>
        <v/>
      </c>
      <c r="Q723" s="16">
        <f>ROUND(Q722+IF(AND(E723=12,F723&lt;&gt;"ASTM A416"),L723,0),3)</f>
        <v/>
      </c>
      <c r="R723" s="16">
        <f>ROUND(R722+IF(AND(E723=14,F723&lt;&gt;"ASTM A416"),L723,0),3)</f>
        <v/>
      </c>
      <c r="S723" s="16">
        <f>ROUND(S722+IF(AND(E723=16,F723&lt;&gt;"ASTM A416"),L723,0),3)</f>
        <v/>
      </c>
      <c r="T723" s="16">
        <f>ROUND(T722+IF(AND(E723=18,F723&lt;&gt;"ASTM A416"),L723,0),3)</f>
        <v/>
      </c>
      <c r="U723" s="16">
        <f>ROUND(U722+IF(AND(E723=20,F723&lt;&gt;"ASTM A416"),L723,0),3)</f>
        <v/>
      </c>
      <c r="V723" s="16">
        <f>ROUND(V722+IF(AND(E723=22,F723&lt;&gt;"ASTM A416"),L723,0),3)</f>
        <v/>
      </c>
      <c r="W723" s="16">
        <f>ROUND(W722+IF(AND(E723=25,F723&lt;&gt;"ASTM A416"),L723,0),3)</f>
        <v/>
      </c>
      <c r="X723" s="16">
        <f>ROUND(X722+IF(AND(E723=28,F723&lt;&gt;"ASTM A416"),L723,0),3)</f>
        <v/>
      </c>
      <c r="Y723" s="16">
        <f>ROUND(Y722+IF(AND(E723=32,F723&lt;&gt;"ASTM A416"),L723,0),3)</f>
        <v/>
      </c>
      <c r="Z723" s="16">
        <f>ROUND(Z722+IF(F723="ASTM A416",L723,0),3)</f>
        <v/>
      </c>
      <c r="AA723" s="9">
        <f>IF(ROUNDUP(P723/20,0)&gt;ROUNDUP(P722/20,0),"Lần " &amp; ROUNDUP(P723/20,0),"")</f>
        <v/>
      </c>
      <c r="AB723" s="9">
        <f>IF(ROUNDUP(Q723/20,0)&gt;ROUNDUP(Q722/20,0),"Lần " &amp; ROUNDUP(Q723/20,0),"")</f>
        <v/>
      </c>
      <c r="AC723" s="9">
        <f>IF(ROUNDUP(R723/20,0)&gt;ROUNDUP(R722/20,0),"Lần " &amp; ROUNDUP(R723/20,0),"")</f>
        <v/>
      </c>
      <c r="AD723" s="9">
        <f>IF(ROUNDUP(S723/20,0)&gt;ROUNDUP(S722/20,0),"Lần " &amp; ROUNDUP(S723/20,0),"")</f>
        <v/>
      </c>
      <c r="AE723" s="9">
        <f>IF(ROUNDUP(T723/20,0)&gt;ROUNDUP(T722/20,0),"Lần " &amp; ROUNDUP(T723/20,0),"")</f>
        <v/>
      </c>
      <c r="AF723" s="9">
        <f>IF(ROUNDUP(U723/20,0)&gt;ROUNDUP(U722/20,0),"Lần " &amp; ROUNDUP(U723/20,0),"")</f>
        <v/>
      </c>
      <c r="AG723" s="9">
        <f>IF(ROUNDUP(V723/20,0)&gt;ROUNDUP(V722/20,0),"Lần " &amp; ROUNDUP(V723/20,0),"")</f>
        <v/>
      </c>
      <c r="AH723" s="9">
        <f>IF(ROUNDUP(W723/20,0)&gt;ROUNDUP(W722/20,0),"Lần " &amp; ROUNDUP(W723/20,0),"")</f>
        <v/>
      </c>
      <c r="AI723" s="9">
        <f>IF(ROUNDUP(X723/20,0)&gt;ROUNDUP(X722/20,0),"Lần " &amp; ROUNDUP(X723/20,0),"")</f>
        <v/>
      </c>
      <c r="AJ723" s="9">
        <f>IF(ROUNDUP(Y723/20,0)&gt;ROUNDUP(Y722/20,0),"Lần " &amp; ROUNDUP(Y723/20,0),"")</f>
        <v/>
      </c>
      <c r="AK723" s="9">
        <f>IF(ROUNDUP(Z723/20,0)&gt;ROUNDUP(Z722/20,0),"Lần " &amp; ROUNDUP(Z723/20,0),"")</f>
        <v/>
      </c>
      <c r="AL723" s="4" t="n"/>
      <c r="AN723" s="596" t="inlineStr">
        <is>
          <t>Dam</t>
        </is>
      </c>
      <c r="AO723" s="596" t="n">
        <v>59</v>
      </c>
      <c r="AQ723" s="594" t="n"/>
      <c r="AR723" s="595" t="n"/>
    </row>
    <row r="724" ht="19" customHeight="1" s="672">
      <c r="A724" s="4" t="n">
        <v>687</v>
      </c>
      <c r="B724" s="5" t="inlineStr">
        <is>
          <t>Dầm chủ Super-T (15 phiến L=38.2m)</t>
        </is>
      </c>
      <c r="C724" s="5" t="inlineStr">
        <is>
          <t>Dầm S1B3 (bảng thép như S1B1) (tr.88)</t>
        </is>
      </c>
      <c r="D724" s="14" t="inlineStr">
        <is>
          <t>G6a</t>
        </is>
      </c>
      <c r="E724" s="15" t="n">
        <v>32</v>
      </c>
      <c r="F724" s="4" t="inlineStr">
        <is>
          <t>CB400-V</t>
        </is>
      </c>
      <c r="G724" s="5" t="inlineStr">
        <is>
          <t>S01</t>
        </is>
      </c>
      <c r="H724" s="16" t="n">
        <v>11.7</v>
      </c>
      <c r="I724" s="17" t="n">
        <v>9</v>
      </c>
      <c r="J724" s="18" t="n">
        <v>6.313</v>
      </c>
      <c r="K724" s="7">
        <f>ROUND(H724*I724*J724, 2)</f>
        <v/>
      </c>
      <c r="L724" s="19">
        <f>ROUND(K724/1000, 3)</f>
        <v/>
      </c>
      <c r="M724" s="728">
        <f>IF(AO724="","",IF(N(INDEX(Theo_Doi_Tan_Suat_Be_Tong!$C:$C,AO724))&lt;=0,"",INDEX(Theo_Doi_Tan_Suat_Be_Tong!$C:$C,AO724)-VLOOKUP(AN724,$AQ$2:$AR$7,2,FALSE)))</f>
        <v/>
      </c>
      <c r="N724" s="4" t="n"/>
      <c r="O724" s="20">
        <f>IF(ROUNDUP(Y724/20,0)&gt;ROUNDUP(Y723/20,0),"TN Ø32 (Lần " &amp; ROUNDUP(Y724/20,0) &amp; ")","")</f>
        <v/>
      </c>
      <c r="P724" s="16">
        <f>ROUND(P723+IF(AND(E724&lt;=10,F724&lt;&gt;"ASTM A416"),L724,0),3)</f>
        <v/>
      </c>
      <c r="Q724" s="16">
        <f>ROUND(Q723+IF(AND(E724=12,F724&lt;&gt;"ASTM A416"),L724,0),3)</f>
        <v/>
      </c>
      <c r="R724" s="16">
        <f>ROUND(R723+IF(AND(E724=14,F724&lt;&gt;"ASTM A416"),L724,0),3)</f>
        <v/>
      </c>
      <c r="S724" s="16">
        <f>ROUND(S723+IF(AND(E724=16,F724&lt;&gt;"ASTM A416"),L724,0),3)</f>
        <v/>
      </c>
      <c r="T724" s="16">
        <f>ROUND(T723+IF(AND(E724=18,F724&lt;&gt;"ASTM A416"),L724,0),3)</f>
        <v/>
      </c>
      <c r="U724" s="16">
        <f>ROUND(U723+IF(AND(E724=20,F724&lt;&gt;"ASTM A416"),L724,0),3)</f>
        <v/>
      </c>
      <c r="V724" s="16">
        <f>ROUND(V723+IF(AND(E724=22,F724&lt;&gt;"ASTM A416"),L724,0),3)</f>
        <v/>
      </c>
      <c r="W724" s="16">
        <f>ROUND(W723+IF(AND(E724=25,F724&lt;&gt;"ASTM A416"),L724,0),3)</f>
        <v/>
      </c>
      <c r="X724" s="16">
        <f>ROUND(X723+IF(AND(E724=28,F724&lt;&gt;"ASTM A416"),L724,0),3)</f>
        <v/>
      </c>
      <c r="Y724" s="16">
        <f>ROUND(Y723+IF(AND(E724=32,F724&lt;&gt;"ASTM A416"),L724,0),3)</f>
        <v/>
      </c>
      <c r="Z724" s="16">
        <f>ROUND(Z723+IF(F724="ASTM A416",L724,0),3)</f>
        <v/>
      </c>
      <c r="AA724" s="9">
        <f>IF(ROUNDUP(P724/20,0)&gt;ROUNDUP(P723/20,0),"Lần " &amp; ROUNDUP(P724/20,0),"")</f>
        <v/>
      </c>
      <c r="AB724" s="9">
        <f>IF(ROUNDUP(Q724/20,0)&gt;ROUNDUP(Q723/20,0),"Lần " &amp; ROUNDUP(Q724/20,0),"")</f>
        <v/>
      </c>
      <c r="AC724" s="9">
        <f>IF(ROUNDUP(R724/20,0)&gt;ROUNDUP(R723/20,0),"Lần " &amp; ROUNDUP(R724/20,0),"")</f>
        <v/>
      </c>
      <c r="AD724" s="9">
        <f>IF(ROUNDUP(S724/20,0)&gt;ROUNDUP(S723/20,0),"Lần " &amp; ROUNDUP(S724/20,0),"")</f>
        <v/>
      </c>
      <c r="AE724" s="9">
        <f>IF(ROUNDUP(T724/20,0)&gt;ROUNDUP(T723/20,0),"Lần " &amp; ROUNDUP(T724/20,0),"")</f>
        <v/>
      </c>
      <c r="AF724" s="9">
        <f>IF(ROUNDUP(U724/20,0)&gt;ROUNDUP(U723/20,0),"Lần " &amp; ROUNDUP(U724/20,0),"")</f>
        <v/>
      </c>
      <c r="AG724" s="9">
        <f>IF(ROUNDUP(V724/20,0)&gt;ROUNDUP(V723/20,0),"Lần " &amp; ROUNDUP(V724/20,0),"")</f>
        <v/>
      </c>
      <c r="AH724" s="9">
        <f>IF(ROUNDUP(W724/20,0)&gt;ROUNDUP(W723/20,0),"Lần " &amp; ROUNDUP(W724/20,0),"")</f>
        <v/>
      </c>
      <c r="AI724" s="9">
        <f>IF(ROUNDUP(X724/20,0)&gt;ROUNDUP(X723/20,0),"Lần " &amp; ROUNDUP(X724/20,0),"")</f>
        <v/>
      </c>
      <c r="AJ724" s="9">
        <f>IF(ROUNDUP(Y724/20,0)&gt;ROUNDUP(Y723/20,0),"Lần " &amp; ROUNDUP(Y724/20,0),"")</f>
        <v/>
      </c>
      <c r="AK724" s="9">
        <f>IF(ROUNDUP(Z724/20,0)&gt;ROUNDUP(Z723/20,0),"Lần " &amp; ROUNDUP(Z724/20,0),"")</f>
        <v/>
      </c>
      <c r="AL724" s="4" t="n"/>
      <c r="AN724" s="596" t="inlineStr">
        <is>
          <t>Dam</t>
        </is>
      </c>
      <c r="AO724" s="596" t="n">
        <v>59</v>
      </c>
      <c r="AQ724" s="594" t="n"/>
      <c r="AR724" s="595" t="n"/>
    </row>
    <row r="725" ht="19" customHeight="1" s="672">
      <c r="A725" s="4" t="n">
        <v>688</v>
      </c>
      <c r="B725" s="5" t="inlineStr">
        <is>
          <t>Dầm chủ Super-T (15 phiến L=38.2m)</t>
        </is>
      </c>
      <c r="C725" s="5" t="inlineStr">
        <is>
          <t>Dầm S1B3 (bảng thép như S1B1) (tr.88)</t>
        </is>
      </c>
      <c r="D725" s="14" t="inlineStr">
        <is>
          <t>G6b</t>
        </is>
      </c>
      <c r="E725" s="15" t="n">
        <v>32</v>
      </c>
      <c r="F725" s="4" t="inlineStr">
        <is>
          <t>CB400-V</t>
        </is>
      </c>
      <c r="G725" s="5" t="inlineStr">
        <is>
          <t>S06</t>
        </is>
      </c>
      <c r="H725" s="16" t="n">
        <v>6.86</v>
      </c>
      <c r="I725" s="17" t="n">
        <v>3</v>
      </c>
      <c r="J725" s="18" t="n">
        <v>6.313</v>
      </c>
      <c r="K725" s="7">
        <f>ROUND(H725*I725*J725, 2)</f>
        <v/>
      </c>
      <c r="L725" s="19">
        <f>ROUND(K725/1000, 3)</f>
        <v/>
      </c>
      <c r="M725" s="728">
        <f>IF(AO725="","",IF(N(INDEX(Theo_Doi_Tan_Suat_Be_Tong!$C:$C,AO725))&lt;=0,"",INDEX(Theo_Doi_Tan_Suat_Be_Tong!$C:$C,AO725)-VLOOKUP(AN725,$AQ$2:$AR$7,2,FALSE)))</f>
        <v/>
      </c>
      <c r="N725" s="4" t="n"/>
      <c r="O725" s="20">
        <f>IF(ROUNDUP(Y725/20,0)&gt;ROUNDUP(Y724/20,0),"TN Ø32 (Lần " &amp; ROUNDUP(Y725/20,0) &amp; ")","")</f>
        <v/>
      </c>
      <c r="P725" s="16">
        <f>ROUND(P724+IF(AND(E725&lt;=10,F725&lt;&gt;"ASTM A416"),L725,0),3)</f>
        <v/>
      </c>
      <c r="Q725" s="16">
        <f>ROUND(Q724+IF(AND(E725=12,F725&lt;&gt;"ASTM A416"),L725,0),3)</f>
        <v/>
      </c>
      <c r="R725" s="16">
        <f>ROUND(R724+IF(AND(E725=14,F725&lt;&gt;"ASTM A416"),L725,0),3)</f>
        <v/>
      </c>
      <c r="S725" s="16">
        <f>ROUND(S724+IF(AND(E725=16,F725&lt;&gt;"ASTM A416"),L725,0),3)</f>
        <v/>
      </c>
      <c r="T725" s="16">
        <f>ROUND(T724+IF(AND(E725=18,F725&lt;&gt;"ASTM A416"),L725,0),3)</f>
        <v/>
      </c>
      <c r="U725" s="16">
        <f>ROUND(U724+IF(AND(E725=20,F725&lt;&gt;"ASTM A416"),L725,0),3)</f>
        <v/>
      </c>
      <c r="V725" s="16">
        <f>ROUND(V724+IF(AND(E725=22,F725&lt;&gt;"ASTM A416"),L725,0),3)</f>
        <v/>
      </c>
      <c r="W725" s="16">
        <f>ROUND(W724+IF(AND(E725=25,F725&lt;&gt;"ASTM A416"),L725,0),3)</f>
        <v/>
      </c>
      <c r="X725" s="16">
        <f>ROUND(X724+IF(AND(E725=28,F725&lt;&gt;"ASTM A416"),L725,0),3)</f>
        <v/>
      </c>
      <c r="Y725" s="16">
        <f>ROUND(Y724+IF(AND(E725=32,F725&lt;&gt;"ASTM A416"),L725,0),3)</f>
        <v/>
      </c>
      <c r="Z725" s="16">
        <f>ROUND(Z724+IF(F725="ASTM A416",L725,0),3)</f>
        <v/>
      </c>
      <c r="AA725" s="9">
        <f>IF(ROUNDUP(P725/20,0)&gt;ROUNDUP(P724/20,0),"Lần " &amp; ROUNDUP(P725/20,0),"")</f>
        <v/>
      </c>
      <c r="AB725" s="9">
        <f>IF(ROUNDUP(Q725/20,0)&gt;ROUNDUP(Q724/20,0),"Lần " &amp; ROUNDUP(Q725/20,0),"")</f>
        <v/>
      </c>
      <c r="AC725" s="9">
        <f>IF(ROUNDUP(R725/20,0)&gt;ROUNDUP(R724/20,0),"Lần " &amp; ROUNDUP(R725/20,0),"")</f>
        <v/>
      </c>
      <c r="AD725" s="9">
        <f>IF(ROUNDUP(S725/20,0)&gt;ROUNDUP(S724/20,0),"Lần " &amp; ROUNDUP(S725/20,0),"")</f>
        <v/>
      </c>
      <c r="AE725" s="9">
        <f>IF(ROUNDUP(T725/20,0)&gt;ROUNDUP(T724/20,0),"Lần " &amp; ROUNDUP(T725/20,0),"")</f>
        <v/>
      </c>
      <c r="AF725" s="9">
        <f>IF(ROUNDUP(U725/20,0)&gt;ROUNDUP(U724/20,0),"Lần " &amp; ROUNDUP(U725/20,0),"")</f>
        <v/>
      </c>
      <c r="AG725" s="9">
        <f>IF(ROUNDUP(V725/20,0)&gt;ROUNDUP(V724/20,0),"Lần " &amp; ROUNDUP(V725/20,0),"")</f>
        <v/>
      </c>
      <c r="AH725" s="9">
        <f>IF(ROUNDUP(W725/20,0)&gt;ROUNDUP(W724/20,0),"Lần " &amp; ROUNDUP(W725/20,0),"")</f>
        <v/>
      </c>
      <c r="AI725" s="9">
        <f>IF(ROUNDUP(X725/20,0)&gt;ROUNDUP(X724/20,0),"Lần " &amp; ROUNDUP(X725/20,0),"")</f>
        <v/>
      </c>
      <c r="AJ725" s="9">
        <f>IF(ROUNDUP(Y725/20,0)&gt;ROUNDUP(Y724/20,0),"Lần " &amp; ROUNDUP(Y725/20,0),"")</f>
        <v/>
      </c>
      <c r="AK725" s="9">
        <f>IF(ROUNDUP(Z725/20,0)&gt;ROUNDUP(Z724/20,0),"Lần " &amp; ROUNDUP(Z725/20,0),"")</f>
        <v/>
      </c>
      <c r="AL725" s="4" t="n"/>
      <c r="AN725" s="596" t="inlineStr">
        <is>
          <t>Dam</t>
        </is>
      </c>
      <c r="AO725" s="596" t="n">
        <v>59</v>
      </c>
      <c r="AQ725" s="594" t="n"/>
      <c r="AR725" s="595" t="n"/>
    </row>
    <row r="726" ht="19" customHeight="1" s="672">
      <c r="A726" s="4" t="n">
        <v>689</v>
      </c>
      <c r="B726" s="5" t="inlineStr">
        <is>
          <t>Dầm chủ Super-T (15 phiến L=38.2m)</t>
        </is>
      </c>
      <c r="C726" s="5" t="inlineStr">
        <is>
          <t>Dầm S1B3 (bảng thép như S1B1) (tr.88)</t>
        </is>
      </c>
      <c r="D726" s="14" t="inlineStr">
        <is>
          <t>N1a</t>
        </is>
      </c>
      <c r="E726" s="15" t="n">
        <v>12</v>
      </c>
      <c r="F726" s="4" t="inlineStr">
        <is>
          <t>CB400-V</t>
        </is>
      </c>
      <c r="G726" s="5" t="inlineStr">
        <is>
          <t>S06</t>
        </is>
      </c>
      <c r="H726" s="16" t="n">
        <v>1.185</v>
      </c>
      <c r="I726" s="17" t="n">
        <v>37</v>
      </c>
      <c r="J726" s="18" t="n">
        <v>0.888</v>
      </c>
      <c r="K726" s="7">
        <f>ROUND(H726*I726*J726, 2)</f>
        <v/>
      </c>
      <c r="L726" s="19">
        <f>ROUND(K726/1000, 3)</f>
        <v/>
      </c>
      <c r="M726" s="728">
        <f>IF(AO726="","",IF(N(INDEX(Theo_Doi_Tan_Suat_Be_Tong!$C:$C,AO726))&lt;=0,"",INDEX(Theo_Doi_Tan_Suat_Be_Tong!$C:$C,AO726)-VLOOKUP(AN726,$AQ$2:$AR$7,2,FALSE)))</f>
        <v/>
      </c>
      <c r="N726" s="4" t="n"/>
      <c r="O726" s="20">
        <f>IF(ROUNDUP(Q726/20,0)&gt;ROUNDUP(Q725/20,0),"TN Ø12 (Lần " &amp; ROUNDUP(Q726/20,0) &amp; ")","")</f>
        <v/>
      </c>
      <c r="P726" s="16">
        <f>ROUND(P725+IF(AND(E726&lt;=10,F726&lt;&gt;"ASTM A416"),L726,0),3)</f>
        <v/>
      </c>
      <c r="Q726" s="16">
        <f>ROUND(Q725+IF(AND(E726=12,F726&lt;&gt;"ASTM A416"),L726,0),3)</f>
        <v/>
      </c>
      <c r="R726" s="16">
        <f>ROUND(R725+IF(AND(E726=14,F726&lt;&gt;"ASTM A416"),L726,0),3)</f>
        <v/>
      </c>
      <c r="S726" s="16">
        <f>ROUND(S725+IF(AND(E726=16,F726&lt;&gt;"ASTM A416"),L726,0),3)</f>
        <v/>
      </c>
      <c r="T726" s="16">
        <f>ROUND(T725+IF(AND(E726=18,F726&lt;&gt;"ASTM A416"),L726,0),3)</f>
        <v/>
      </c>
      <c r="U726" s="16">
        <f>ROUND(U725+IF(AND(E726=20,F726&lt;&gt;"ASTM A416"),L726,0),3)</f>
        <v/>
      </c>
      <c r="V726" s="16">
        <f>ROUND(V725+IF(AND(E726=22,F726&lt;&gt;"ASTM A416"),L726,0),3)</f>
        <v/>
      </c>
      <c r="W726" s="16">
        <f>ROUND(W725+IF(AND(E726=25,F726&lt;&gt;"ASTM A416"),L726,0),3)</f>
        <v/>
      </c>
      <c r="X726" s="16">
        <f>ROUND(X725+IF(AND(E726=28,F726&lt;&gt;"ASTM A416"),L726,0),3)</f>
        <v/>
      </c>
      <c r="Y726" s="16">
        <f>ROUND(Y725+IF(AND(E726=32,F726&lt;&gt;"ASTM A416"),L726,0),3)</f>
        <v/>
      </c>
      <c r="Z726" s="16">
        <f>ROUND(Z725+IF(F726="ASTM A416",L726,0),3)</f>
        <v/>
      </c>
      <c r="AA726" s="9">
        <f>IF(ROUNDUP(P726/20,0)&gt;ROUNDUP(P725/20,0),"Lần " &amp; ROUNDUP(P726/20,0),"")</f>
        <v/>
      </c>
      <c r="AB726" s="9">
        <f>IF(ROUNDUP(Q726/20,0)&gt;ROUNDUP(Q725/20,0),"Lần " &amp; ROUNDUP(Q726/20,0),"")</f>
        <v/>
      </c>
      <c r="AC726" s="9">
        <f>IF(ROUNDUP(R726/20,0)&gt;ROUNDUP(R725/20,0),"Lần " &amp; ROUNDUP(R726/20,0),"")</f>
        <v/>
      </c>
      <c r="AD726" s="9">
        <f>IF(ROUNDUP(S726/20,0)&gt;ROUNDUP(S725/20,0),"Lần " &amp; ROUNDUP(S726/20,0),"")</f>
        <v/>
      </c>
      <c r="AE726" s="9">
        <f>IF(ROUNDUP(T726/20,0)&gt;ROUNDUP(T725/20,0),"Lần " &amp; ROUNDUP(T726/20,0),"")</f>
        <v/>
      </c>
      <c r="AF726" s="9">
        <f>IF(ROUNDUP(U726/20,0)&gt;ROUNDUP(U725/20,0),"Lần " &amp; ROUNDUP(U726/20,0),"")</f>
        <v/>
      </c>
      <c r="AG726" s="9">
        <f>IF(ROUNDUP(V726/20,0)&gt;ROUNDUP(V725/20,0),"Lần " &amp; ROUNDUP(V726/20,0),"")</f>
        <v/>
      </c>
      <c r="AH726" s="9">
        <f>IF(ROUNDUP(W726/20,0)&gt;ROUNDUP(W725/20,0),"Lần " &amp; ROUNDUP(W726/20,0),"")</f>
        <v/>
      </c>
      <c r="AI726" s="9">
        <f>IF(ROUNDUP(X726/20,0)&gt;ROUNDUP(X725/20,0),"Lần " &amp; ROUNDUP(X726/20,0),"")</f>
        <v/>
      </c>
      <c r="AJ726" s="9">
        <f>IF(ROUNDUP(Y726/20,0)&gt;ROUNDUP(Y725/20,0),"Lần " &amp; ROUNDUP(Y726/20,0),"")</f>
        <v/>
      </c>
      <c r="AK726" s="9">
        <f>IF(ROUNDUP(Z726/20,0)&gt;ROUNDUP(Z725/20,0),"Lần " &amp; ROUNDUP(Z726/20,0),"")</f>
        <v/>
      </c>
      <c r="AL726" s="4" t="n"/>
      <c r="AN726" s="596" t="inlineStr">
        <is>
          <t>Dam</t>
        </is>
      </c>
      <c r="AO726" s="596" t="n">
        <v>59</v>
      </c>
      <c r="AQ726" s="594" t="n"/>
      <c r="AR726" s="595" t="n"/>
    </row>
    <row r="727" ht="19" customHeight="1" s="672">
      <c r="A727" s="4" t="n">
        <v>690</v>
      </c>
      <c r="B727" s="5" t="inlineStr">
        <is>
          <t>Dầm chủ Super-T (15 phiến L=38.2m)</t>
        </is>
      </c>
      <c r="C727" s="5" t="inlineStr">
        <is>
          <t>Dầm S1B3 (bảng thép như S1B1) (tr.88)</t>
        </is>
      </c>
      <c r="D727" s="14" t="inlineStr">
        <is>
          <t>N1b</t>
        </is>
      </c>
      <c r="E727" s="15" t="n">
        <v>12</v>
      </c>
      <c r="F727" s="4" t="inlineStr">
        <is>
          <t>CB400-V</t>
        </is>
      </c>
      <c r="G727" s="5" t="inlineStr">
        <is>
          <t>S06</t>
        </is>
      </c>
      <c r="H727" s="16" t="n">
        <v>0.93</v>
      </c>
      <c r="I727" s="17" t="n">
        <v>259</v>
      </c>
      <c r="J727" s="18" t="n">
        <v>0.888</v>
      </c>
      <c r="K727" s="7">
        <f>ROUND(H727*I727*J727, 2)</f>
        <v/>
      </c>
      <c r="L727" s="19">
        <f>ROUND(K727/1000, 3)</f>
        <v/>
      </c>
      <c r="M727" s="728">
        <f>IF(AO727="","",IF(N(INDEX(Theo_Doi_Tan_Suat_Be_Tong!$C:$C,AO727))&lt;=0,"",INDEX(Theo_Doi_Tan_Suat_Be_Tong!$C:$C,AO727)-VLOOKUP(AN727,$AQ$2:$AR$7,2,FALSE)))</f>
        <v/>
      </c>
      <c r="N727" s="4" t="n"/>
      <c r="O727" s="20">
        <f>IF(ROUNDUP(Q727/20,0)&gt;ROUNDUP(Q726/20,0),"TN Ø12 (Lần " &amp; ROUNDUP(Q727/20,0) &amp; ")","")</f>
        <v/>
      </c>
      <c r="P727" s="16">
        <f>ROUND(P726+IF(AND(E727&lt;=10,F727&lt;&gt;"ASTM A416"),L727,0),3)</f>
        <v/>
      </c>
      <c r="Q727" s="16">
        <f>ROUND(Q726+IF(AND(E727=12,F727&lt;&gt;"ASTM A416"),L727,0),3)</f>
        <v/>
      </c>
      <c r="R727" s="16">
        <f>ROUND(R726+IF(AND(E727=14,F727&lt;&gt;"ASTM A416"),L727,0),3)</f>
        <v/>
      </c>
      <c r="S727" s="16">
        <f>ROUND(S726+IF(AND(E727=16,F727&lt;&gt;"ASTM A416"),L727,0),3)</f>
        <v/>
      </c>
      <c r="T727" s="16">
        <f>ROUND(T726+IF(AND(E727=18,F727&lt;&gt;"ASTM A416"),L727,0),3)</f>
        <v/>
      </c>
      <c r="U727" s="16">
        <f>ROUND(U726+IF(AND(E727=20,F727&lt;&gt;"ASTM A416"),L727,0),3)</f>
        <v/>
      </c>
      <c r="V727" s="16">
        <f>ROUND(V726+IF(AND(E727=22,F727&lt;&gt;"ASTM A416"),L727,0),3)</f>
        <v/>
      </c>
      <c r="W727" s="16">
        <f>ROUND(W726+IF(AND(E727=25,F727&lt;&gt;"ASTM A416"),L727,0),3)</f>
        <v/>
      </c>
      <c r="X727" s="16">
        <f>ROUND(X726+IF(AND(E727=28,F727&lt;&gt;"ASTM A416"),L727,0),3)</f>
        <v/>
      </c>
      <c r="Y727" s="16">
        <f>ROUND(Y726+IF(AND(E727=32,F727&lt;&gt;"ASTM A416"),L727,0),3)</f>
        <v/>
      </c>
      <c r="Z727" s="16">
        <f>ROUND(Z726+IF(F727="ASTM A416",L727,0),3)</f>
        <v/>
      </c>
      <c r="AA727" s="9">
        <f>IF(ROUNDUP(P727/20,0)&gt;ROUNDUP(P726/20,0),"Lần " &amp; ROUNDUP(P727/20,0),"")</f>
        <v/>
      </c>
      <c r="AB727" s="9">
        <f>IF(ROUNDUP(Q727/20,0)&gt;ROUNDUP(Q726/20,0),"Lần " &amp; ROUNDUP(Q727/20,0),"")</f>
        <v/>
      </c>
      <c r="AC727" s="9">
        <f>IF(ROUNDUP(R727/20,0)&gt;ROUNDUP(R726/20,0),"Lần " &amp; ROUNDUP(R727/20,0),"")</f>
        <v/>
      </c>
      <c r="AD727" s="9">
        <f>IF(ROUNDUP(S727/20,0)&gt;ROUNDUP(S726/20,0),"Lần " &amp; ROUNDUP(S727/20,0),"")</f>
        <v/>
      </c>
      <c r="AE727" s="9">
        <f>IF(ROUNDUP(T727/20,0)&gt;ROUNDUP(T726/20,0),"Lần " &amp; ROUNDUP(T727/20,0),"")</f>
        <v/>
      </c>
      <c r="AF727" s="9">
        <f>IF(ROUNDUP(U727/20,0)&gt;ROUNDUP(U726/20,0),"Lần " &amp; ROUNDUP(U727/20,0),"")</f>
        <v/>
      </c>
      <c r="AG727" s="9">
        <f>IF(ROUNDUP(V727/20,0)&gt;ROUNDUP(V726/20,0),"Lần " &amp; ROUNDUP(V727/20,0),"")</f>
        <v/>
      </c>
      <c r="AH727" s="9">
        <f>IF(ROUNDUP(W727/20,0)&gt;ROUNDUP(W726/20,0),"Lần " &amp; ROUNDUP(W727/20,0),"")</f>
        <v/>
      </c>
      <c r="AI727" s="9">
        <f>IF(ROUNDUP(X727/20,0)&gt;ROUNDUP(X726/20,0),"Lần " &amp; ROUNDUP(X727/20,0),"")</f>
        <v/>
      </c>
      <c r="AJ727" s="9">
        <f>IF(ROUNDUP(Y727/20,0)&gt;ROUNDUP(Y726/20,0),"Lần " &amp; ROUNDUP(Y727/20,0),"")</f>
        <v/>
      </c>
      <c r="AK727" s="9">
        <f>IF(ROUNDUP(Z727/20,0)&gt;ROUNDUP(Z726/20,0),"Lần " &amp; ROUNDUP(Z727/20,0),"")</f>
        <v/>
      </c>
      <c r="AL727" s="4" t="n"/>
      <c r="AN727" s="596" t="inlineStr">
        <is>
          <t>Dam</t>
        </is>
      </c>
      <c r="AO727" s="596" t="n">
        <v>59</v>
      </c>
      <c r="AQ727" s="594" t="n"/>
      <c r="AR727" s="595" t="n"/>
    </row>
    <row r="728" ht="19" customHeight="1" s="672">
      <c r="A728" s="4" t="n">
        <v>691</v>
      </c>
      <c r="B728" s="5" t="inlineStr">
        <is>
          <t>Dầm chủ Super-T (15 phiến L=38.2m)</t>
        </is>
      </c>
      <c r="C728" s="5" t="inlineStr">
        <is>
          <t>Dầm S1B3 (bảng thép như S1B1) (tr.88)</t>
        </is>
      </c>
      <c r="D728" s="14" t="inlineStr">
        <is>
          <t>N2</t>
        </is>
      </c>
      <c r="E728" s="15" t="n">
        <v>12</v>
      </c>
      <c r="F728" s="4" t="inlineStr">
        <is>
          <t>CB400-V</t>
        </is>
      </c>
      <c r="G728" s="5" t="inlineStr">
        <is>
          <t>S06</t>
        </is>
      </c>
      <c r="H728" s="16" t="n">
        <v>3.664</v>
      </c>
      <c r="I728" s="17" t="n">
        <v>3</v>
      </c>
      <c r="J728" s="18" t="n">
        <v>0.888</v>
      </c>
      <c r="K728" s="7">
        <f>ROUND(H728*I728*J728, 2)</f>
        <v/>
      </c>
      <c r="L728" s="19">
        <f>ROUND(K728/1000, 3)</f>
        <v/>
      </c>
      <c r="M728" s="728">
        <f>IF(AO728="","",IF(N(INDEX(Theo_Doi_Tan_Suat_Be_Tong!$C:$C,AO728))&lt;=0,"",INDEX(Theo_Doi_Tan_Suat_Be_Tong!$C:$C,AO728)-VLOOKUP(AN728,$AQ$2:$AR$7,2,FALSE)))</f>
        <v/>
      </c>
      <c r="N728" s="4" t="n"/>
      <c r="O728" s="20">
        <f>IF(ROUNDUP(Q728/20,0)&gt;ROUNDUP(Q727/20,0),"TN Ø12 (Lần " &amp; ROUNDUP(Q728/20,0) &amp; ")","")</f>
        <v/>
      </c>
      <c r="P728" s="16">
        <f>ROUND(P727+IF(AND(E728&lt;=10,F728&lt;&gt;"ASTM A416"),L728,0),3)</f>
        <v/>
      </c>
      <c r="Q728" s="16">
        <f>ROUND(Q727+IF(AND(E728=12,F728&lt;&gt;"ASTM A416"),L728,0),3)</f>
        <v/>
      </c>
      <c r="R728" s="16">
        <f>ROUND(R727+IF(AND(E728=14,F728&lt;&gt;"ASTM A416"),L728,0),3)</f>
        <v/>
      </c>
      <c r="S728" s="16">
        <f>ROUND(S727+IF(AND(E728=16,F728&lt;&gt;"ASTM A416"),L728,0),3)</f>
        <v/>
      </c>
      <c r="T728" s="16">
        <f>ROUND(T727+IF(AND(E728=18,F728&lt;&gt;"ASTM A416"),L728,0),3)</f>
        <v/>
      </c>
      <c r="U728" s="16">
        <f>ROUND(U727+IF(AND(E728=20,F728&lt;&gt;"ASTM A416"),L728,0),3)</f>
        <v/>
      </c>
      <c r="V728" s="16">
        <f>ROUND(V727+IF(AND(E728=22,F728&lt;&gt;"ASTM A416"),L728,0),3)</f>
        <v/>
      </c>
      <c r="W728" s="16">
        <f>ROUND(W727+IF(AND(E728=25,F728&lt;&gt;"ASTM A416"),L728,0),3)</f>
        <v/>
      </c>
      <c r="X728" s="16">
        <f>ROUND(X727+IF(AND(E728=28,F728&lt;&gt;"ASTM A416"),L728,0),3)</f>
        <v/>
      </c>
      <c r="Y728" s="16">
        <f>ROUND(Y727+IF(AND(E728=32,F728&lt;&gt;"ASTM A416"),L728,0),3)</f>
        <v/>
      </c>
      <c r="Z728" s="16">
        <f>ROUND(Z727+IF(F728="ASTM A416",L728,0),3)</f>
        <v/>
      </c>
      <c r="AA728" s="9">
        <f>IF(ROUNDUP(P728/20,0)&gt;ROUNDUP(P727/20,0),"Lần " &amp; ROUNDUP(P728/20,0),"")</f>
        <v/>
      </c>
      <c r="AB728" s="9">
        <f>IF(ROUNDUP(Q728/20,0)&gt;ROUNDUP(Q727/20,0),"Lần " &amp; ROUNDUP(Q728/20,0),"")</f>
        <v/>
      </c>
      <c r="AC728" s="9">
        <f>IF(ROUNDUP(R728/20,0)&gt;ROUNDUP(R727/20,0),"Lần " &amp; ROUNDUP(R728/20,0),"")</f>
        <v/>
      </c>
      <c r="AD728" s="9">
        <f>IF(ROUNDUP(S728/20,0)&gt;ROUNDUP(S727/20,0),"Lần " &amp; ROUNDUP(S728/20,0),"")</f>
        <v/>
      </c>
      <c r="AE728" s="9">
        <f>IF(ROUNDUP(T728/20,0)&gt;ROUNDUP(T727/20,0),"Lần " &amp; ROUNDUP(T728/20,0),"")</f>
        <v/>
      </c>
      <c r="AF728" s="9">
        <f>IF(ROUNDUP(U728/20,0)&gt;ROUNDUP(U727/20,0),"Lần " &amp; ROUNDUP(U728/20,0),"")</f>
        <v/>
      </c>
      <c r="AG728" s="9">
        <f>IF(ROUNDUP(V728/20,0)&gt;ROUNDUP(V727/20,0),"Lần " &amp; ROUNDUP(V728/20,0),"")</f>
        <v/>
      </c>
      <c r="AH728" s="9">
        <f>IF(ROUNDUP(W728/20,0)&gt;ROUNDUP(W727/20,0),"Lần " &amp; ROUNDUP(W728/20,0),"")</f>
        <v/>
      </c>
      <c r="AI728" s="9">
        <f>IF(ROUNDUP(X728/20,0)&gt;ROUNDUP(X727/20,0),"Lần " &amp; ROUNDUP(X728/20,0),"")</f>
        <v/>
      </c>
      <c r="AJ728" s="9">
        <f>IF(ROUNDUP(Y728/20,0)&gt;ROUNDUP(Y727/20,0),"Lần " &amp; ROUNDUP(Y728/20,0),"")</f>
        <v/>
      </c>
      <c r="AK728" s="9">
        <f>IF(ROUNDUP(Z728/20,0)&gt;ROUNDUP(Z727/20,0),"Lần " &amp; ROUNDUP(Z728/20,0),"")</f>
        <v/>
      </c>
      <c r="AL728" s="4" t="n"/>
      <c r="AN728" s="596" t="inlineStr">
        <is>
          <t>Dam</t>
        </is>
      </c>
      <c r="AO728" s="596" t="n">
        <v>59</v>
      </c>
      <c r="AQ728" s="594" t="n"/>
      <c r="AR728" s="595" t="n"/>
    </row>
    <row r="729" ht="19" customHeight="1" s="672">
      <c r="A729" s="4" t="n">
        <v>692</v>
      </c>
      <c r="B729" s="5" t="inlineStr">
        <is>
          <t>Dầm chủ Super-T (15 phiến L=38.2m)</t>
        </is>
      </c>
      <c r="C729" s="5" t="inlineStr">
        <is>
          <t>Dầm S1B3 (bảng thép như S1B1) (tr.88)</t>
        </is>
      </c>
      <c r="D729" s="14" t="inlineStr">
        <is>
          <t>E1</t>
        </is>
      </c>
      <c r="E729" s="15" t="n">
        <v>16</v>
      </c>
      <c r="F729" s="4" t="inlineStr">
        <is>
          <t>CB400-V</t>
        </is>
      </c>
      <c r="G729" s="5" t="inlineStr">
        <is>
          <t>S06</t>
        </is>
      </c>
      <c r="H729" s="16" t="n">
        <v>2.376</v>
      </c>
      <c r="I729" s="17" t="n">
        <v>252</v>
      </c>
      <c r="J729" s="18" t="n">
        <v>1.578</v>
      </c>
      <c r="K729" s="7">
        <f>ROUND(H729*I729*J729, 2)</f>
        <v/>
      </c>
      <c r="L729" s="19">
        <f>ROUND(K729/1000, 3)</f>
        <v/>
      </c>
      <c r="M729" s="728">
        <f>IF(AO729="","",IF(N(INDEX(Theo_Doi_Tan_Suat_Be_Tong!$C:$C,AO729))&lt;=0,"",INDEX(Theo_Doi_Tan_Suat_Be_Tong!$C:$C,AO729)-VLOOKUP(AN729,$AQ$2:$AR$7,2,FALSE)))</f>
        <v/>
      </c>
      <c r="N729" s="4" t="n"/>
      <c r="O729" s="20">
        <f>IF(ROUNDUP(S729/20,0)&gt;ROUNDUP(S728/20,0),"TN Ø16 (Lần " &amp; ROUNDUP(S729/20,0) &amp; ")","")</f>
        <v/>
      </c>
      <c r="P729" s="16">
        <f>ROUND(P728+IF(AND(E729&lt;=10,F729&lt;&gt;"ASTM A416"),L729,0),3)</f>
        <v/>
      </c>
      <c r="Q729" s="16">
        <f>ROUND(Q728+IF(AND(E729=12,F729&lt;&gt;"ASTM A416"),L729,0),3)</f>
        <v/>
      </c>
      <c r="R729" s="16">
        <f>ROUND(R728+IF(AND(E729=14,F729&lt;&gt;"ASTM A416"),L729,0),3)</f>
        <v/>
      </c>
      <c r="S729" s="16">
        <f>ROUND(S728+IF(AND(E729=16,F729&lt;&gt;"ASTM A416"),L729,0),3)</f>
        <v/>
      </c>
      <c r="T729" s="16">
        <f>ROUND(T728+IF(AND(E729=18,F729&lt;&gt;"ASTM A416"),L729,0),3)</f>
        <v/>
      </c>
      <c r="U729" s="16">
        <f>ROUND(U728+IF(AND(E729=20,F729&lt;&gt;"ASTM A416"),L729,0),3)</f>
        <v/>
      </c>
      <c r="V729" s="16">
        <f>ROUND(V728+IF(AND(E729=22,F729&lt;&gt;"ASTM A416"),L729,0),3)</f>
        <v/>
      </c>
      <c r="W729" s="16">
        <f>ROUND(W728+IF(AND(E729=25,F729&lt;&gt;"ASTM A416"),L729,0),3)</f>
        <v/>
      </c>
      <c r="X729" s="16">
        <f>ROUND(X728+IF(AND(E729=28,F729&lt;&gt;"ASTM A416"),L729,0),3)</f>
        <v/>
      </c>
      <c r="Y729" s="16">
        <f>ROUND(Y728+IF(AND(E729=32,F729&lt;&gt;"ASTM A416"),L729,0),3)</f>
        <v/>
      </c>
      <c r="Z729" s="16">
        <f>ROUND(Z728+IF(F729="ASTM A416",L729,0),3)</f>
        <v/>
      </c>
      <c r="AA729" s="9">
        <f>IF(ROUNDUP(P729/20,0)&gt;ROUNDUP(P728/20,0),"Lần " &amp; ROUNDUP(P729/20,0),"")</f>
        <v/>
      </c>
      <c r="AB729" s="9">
        <f>IF(ROUNDUP(Q729/20,0)&gt;ROUNDUP(Q728/20,0),"Lần " &amp; ROUNDUP(Q729/20,0),"")</f>
        <v/>
      </c>
      <c r="AC729" s="9">
        <f>IF(ROUNDUP(R729/20,0)&gt;ROUNDUP(R728/20,0),"Lần " &amp; ROUNDUP(R729/20,0),"")</f>
        <v/>
      </c>
      <c r="AD729" s="9">
        <f>IF(ROUNDUP(S729/20,0)&gt;ROUNDUP(S728/20,0),"Lần " &amp; ROUNDUP(S729/20,0),"")</f>
        <v/>
      </c>
      <c r="AE729" s="9">
        <f>IF(ROUNDUP(T729/20,0)&gt;ROUNDUP(T728/20,0),"Lần " &amp; ROUNDUP(T729/20,0),"")</f>
        <v/>
      </c>
      <c r="AF729" s="9">
        <f>IF(ROUNDUP(U729/20,0)&gt;ROUNDUP(U728/20,0),"Lần " &amp; ROUNDUP(U729/20,0),"")</f>
        <v/>
      </c>
      <c r="AG729" s="9">
        <f>IF(ROUNDUP(V729/20,0)&gt;ROUNDUP(V728/20,0),"Lần " &amp; ROUNDUP(V729/20,0),"")</f>
        <v/>
      </c>
      <c r="AH729" s="9">
        <f>IF(ROUNDUP(W729/20,0)&gt;ROUNDUP(W728/20,0),"Lần " &amp; ROUNDUP(W729/20,0),"")</f>
        <v/>
      </c>
      <c r="AI729" s="9">
        <f>IF(ROUNDUP(X729/20,0)&gt;ROUNDUP(X728/20,0),"Lần " &amp; ROUNDUP(X729/20,0),"")</f>
        <v/>
      </c>
      <c r="AJ729" s="9">
        <f>IF(ROUNDUP(Y729/20,0)&gt;ROUNDUP(Y728/20,0),"Lần " &amp; ROUNDUP(Y729/20,0),"")</f>
        <v/>
      </c>
      <c r="AK729" s="9">
        <f>IF(ROUNDUP(Z729/20,0)&gt;ROUNDUP(Z728/20,0),"Lần " &amp; ROUNDUP(Z729/20,0),"")</f>
        <v/>
      </c>
      <c r="AL729" s="4" t="n"/>
      <c r="AN729" s="596" t="inlineStr">
        <is>
          <t>Dam</t>
        </is>
      </c>
      <c r="AO729" s="596" t="n">
        <v>59</v>
      </c>
      <c r="AQ729" s="594" t="n"/>
      <c r="AR729" s="595" t="n"/>
    </row>
    <row r="730" ht="19" customHeight="1" s="672">
      <c r="A730" s="4" t="n">
        <v>693</v>
      </c>
      <c r="B730" s="5" t="inlineStr">
        <is>
          <t>Dầm chủ Super-T (15 phiến L=38.2m)</t>
        </is>
      </c>
      <c r="C730" s="5" t="inlineStr">
        <is>
          <t>Dầm S1B3 (bảng thép như S1B1) (tr.88)</t>
        </is>
      </c>
      <c r="D730" s="14" t="inlineStr">
        <is>
          <t>E2</t>
        </is>
      </c>
      <c r="E730" s="15" t="n">
        <v>16</v>
      </c>
      <c r="F730" s="4" t="inlineStr">
        <is>
          <t>CB400-V</t>
        </is>
      </c>
      <c r="G730" s="5" t="inlineStr">
        <is>
          <t>S06</t>
        </is>
      </c>
      <c r="H730" s="16" t="n">
        <v>3.932</v>
      </c>
      <c r="I730" s="17" t="n">
        <v>20</v>
      </c>
      <c r="J730" s="18" t="n">
        <v>1.578</v>
      </c>
      <c r="K730" s="7">
        <f>ROUND(H730*I730*J730, 2)</f>
        <v/>
      </c>
      <c r="L730" s="19">
        <f>ROUND(K730/1000, 3)</f>
        <v/>
      </c>
      <c r="M730" s="728">
        <f>IF(AO730="","",IF(N(INDEX(Theo_Doi_Tan_Suat_Be_Tong!$C:$C,AO730))&lt;=0,"",INDEX(Theo_Doi_Tan_Suat_Be_Tong!$C:$C,AO730)-VLOOKUP(AN730,$AQ$2:$AR$7,2,FALSE)))</f>
        <v/>
      </c>
      <c r="N730" s="4" t="n"/>
      <c r="O730" s="20">
        <f>IF(ROUNDUP(S730/20,0)&gt;ROUNDUP(S729/20,0),"TN Ø16 (Lần " &amp; ROUNDUP(S730/20,0) &amp; ")","")</f>
        <v/>
      </c>
      <c r="P730" s="16">
        <f>ROUND(P729+IF(AND(E730&lt;=10,F730&lt;&gt;"ASTM A416"),L730,0),3)</f>
        <v/>
      </c>
      <c r="Q730" s="16">
        <f>ROUND(Q729+IF(AND(E730=12,F730&lt;&gt;"ASTM A416"),L730,0),3)</f>
        <v/>
      </c>
      <c r="R730" s="16">
        <f>ROUND(R729+IF(AND(E730=14,F730&lt;&gt;"ASTM A416"),L730,0),3)</f>
        <v/>
      </c>
      <c r="S730" s="16">
        <f>ROUND(S729+IF(AND(E730=16,F730&lt;&gt;"ASTM A416"),L730,0),3)</f>
        <v/>
      </c>
      <c r="T730" s="16">
        <f>ROUND(T729+IF(AND(E730=18,F730&lt;&gt;"ASTM A416"),L730,0),3)</f>
        <v/>
      </c>
      <c r="U730" s="16">
        <f>ROUND(U729+IF(AND(E730=20,F730&lt;&gt;"ASTM A416"),L730,0),3)</f>
        <v/>
      </c>
      <c r="V730" s="16">
        <f>ROUND(V729+IF(AND(E730=22,F730&lt;&gt;"ASTM A416"),L730,0),3)</f>
        <v/>
      </c>
      <c r="W730" s="16">
        <f>ROUND(W729+IF(AND(E730=25,F730&lt;&gt;"ASTM A416"),L730,0),3)</f>
        <v/>
      </c>
      <c r="X730" s="16">
        <f>ROUND(X729+IF(AND(E730=28,F730&lt;&gt;"ASTM A416"),L730,0),3)</f>
        <v/>
      </c>
      <c r="Y730" s="16">
        <f>ROUND(Y729+IF(AND(E730=32,F730&lt;&gt;"ASTM A416"),L730,0),3)</f>
        <v/>
      </c>
      <c r="Z730" s="16">
        <f>ROUND(Z729+IF(F730="ASTM A416",L730,0),3)</f>
        <v/>
      </c>
      <c r="AA730" s="9">
        <f>IF(ROUNDUP(P730/20,0)&gt;ROUNDUP(P729/20,0),"Lần " &amp; ROUNDUP(P730/20,0),"")</f>
        <v/>
      </c>
      <c r="AB730" s="9">
        <f>IF(ROUNDUP(Q730/20,0)&gt;ROUNDUP(Q729/20,0),"Lần " &amp; ROUNDUP(Q730/20,0),"")</f>
        <v/>
      </c>
      <c r="AC730" s="9">
        <f>IF(ROUNDUP(R730/20,0)&gt;ROUNDUP(R729/20,0),"Lần " &amp; ROUNDUP(R730/20,0),"")</f>
        <v/>
      </c>
      <c r="AD730" s="9">
        <f>IF(ROUNDUP(S730/20,0)&gt;ROUNDUP(S729/20,0),"Lần " &amp; ROUNDUP(S730/20,0),"")</f>
        <v/>
      </c>
      <c r="AE730" s="9">
        <f>IF(ROUNDUP(T730/20,0)&gt;ROUNDUP(T729/20,0),"Lần " &amp; ROUNDUP(T730/20,0),"")</f>
        <v/>
      </c>
      <c r="AF730" s="9">
        <f>IF(ROUNDUP(U730/20,0)&gt;ROUNDUP(U729/20,0),"Lần " &amp; ROUNDUP(U730/20,0),"")</f>
        <v/>
      </c>
      <c r="AG730" s="9">
        <f>IF(ROUNDUP(V730/20,0)&gt;ROUNDUP(V729/20,0),"Lần " &amp; ROUNDUP(V730/20,0),"")</f>
        <v/>
      </c>
      <c r="AH730" s="9">
        <f>IF(ROUNDUP(W730/20,0)&gt;ROUNDUP(W729/20,0),"Lần " &amp; ROUNDUP(W730/20,0),"")</f>
        <v/>
      </c>
      <c r="AI730" s="9">
        <f>IF(ROUNDUP(X730/20,0)&gt;ROUNDUP(X729/20,0),"Lần " &amp; ROUNDUP(X730/20,0),"")</f>
        <v/>
      </c>
      <c r="AJ730" s="9">
        <f>IF(ROUNDUP(Y730/20,0)&gt;ROUNDUP(Y729/20,0),"Lần " &amp; ROUNDUP(Y730/20,0),"")</f>
        <v/>
      </c>
      <c r="AK730" s="9">
        <f>IF(ROUNDUP(Z730/20,0)&gt;ROUNDUP(Z729/20,0),"Lần " &amp; ROUNDUP(Z730/20,0),"")</f>
        <v/>
      </c>
      <c r="AL730" s="4" t="n"/>
      <c r="AN730" s="596" t="inlineStr">
        <is>
          <t>Dam</t>
        </is>
      </c>
      <c r="AO730" s="596" t="n">
        <v>59</v>
      </c>
      <c r="AQ730" s="594" t="n"/>
      <c r="AR730" s="595" t="n"/>
    </row>
    <row r="731" ht="19" customHeight="1" s="672">
      <c r="A731" s="4" t="n">
        <v>694</v>
      </c>
      <c r="B731" s="5" t="inlineStr">
        <is>
          <t>Dầm chủ Super-T (15 phiến L=38.2m)</t>
        </is>
      </c>
      <c r="C731" s="5" t="inlineStr">
        <is>
          <t>Dầm S1B3 (bảng thép như S1B1) (tr.88)</t>
        </is>
      </c>
      <c r="D731" s="14" t="inlineStr">
        <is>
          <t>Thanh neo</t>
        </is>
      </c>
      <c r="E731" s="15" t="n">
        <v>20</v>
      </c>
      <c r="F731" s="4" t="inlineStr">
        <is>
          <t>CB400-V</t>
        </is>
      </c>
      <c r="G731" s="5" t="inlineStr">
        <is>
          <t>S06</t>
        </is>
      </c>
      <c r="H731" s="16" t="n">
        <v>0.11</v>
      </c>
      <c r="I731" s="17" t="n">
        <v>8</v>
      </c>
      <c r="J731" s="18" t="n">
        <v>2.466</v>
      </c>
      <c r="K731" s="7">
        <f>ROUND(H731*I731*J731, 2)</f>
        <v/>
      </c>
      <c r="L731" s="19">
        <f>ROUND(K731/1000, 3)</f>
        <v/>
      </c>
      <c r="M731" s="728">
        <f>IF(AO731="","",IF(N(INDEX(Theo_Doi_Tan_Suat_Be_Tong!$C:$C,AO731))&lt;=0,"",INDEX(Theo_Doi_Tan_Suat_Be_Tong!$C:$C,AO731)-VLOOKUP(AN731,$AQ$2:$AR$7,2,FALSE)))</f>
        <v/>
      </c>
      <c r="N731" s="4" t="n"/>
      <c r="O731" s="20">
        <f>IF(ROUNDUP(U731/20,0)&gt;ROUNDUP(U730/20,0),"TN Ø20 (Lần " &amp; ROUNDUP(U731/20,0) &amp; ")","")</f>
        <v/>
      </c>
      <c r="P731" s="16">
        <f>ROUND(P730+IF(AND(E731&lt;=10,F731&lt;&gt;"ASTM A416"),L731,0),3)</f>
        <v/>
      </c>
      <c r="Q731" s="16">
        <f>ROUND(Q730+IF(AND(E731=12,F731&lt;&gt;"ASTM A416"),L731,0),3)</f>
        <v/>
      </c>
      <c r="R731" s="16">
        <f>ROUND(R730+IF(AND(E731=14,F731&lt;&gt;"ASTM A416"),L731,0),3)</f>
        <v/>
      </c>
      <c r="S731" s="16">
        <f>ROUND(S730+IF(AND(E731=16,F731&lt;&gt;"ASTM A416"),L731,0),3)</f>
        <v/>
      </c>
      <c r="T731" s="16">
        <f>ROUND(T730+IF(AND(E731=18,F731&lt;&gt;"ASTM A416"),L731,0),3)</f>
        <v/>
      </c>
      <c r="U731" s="16">
        <f>ROUND(U730+IF(AND(E731=20,F731&lt;&gt;"ASTM A416"),L731,0),3)</f>
        <v/>
      </c>
      <c r="V731" s="16">
        <f>ROUND(V730+IF(AND(E731=22,F731&lt;&gt;"ASTM A416"),L731,0),3)</f>
        <v/>
      </c>
      <c r="W731" s="16">
        <f>ROUND(W730+IF(AND(E731=25,F731&lt;&gt;"ASTM A416"),L731,0),3)</f>
        <v/>
      </c>
      <c r="X731" s="16">
        <f>ROUND(X730+IF(AND(E731=28,F731&lt;&gt;"ASTM A416"),L731,0),3)</f>
        <v/>
      </c>
      <c r="Y731" s="16">
        <f>ROUND(Y730+IF(AND(E731=32,F731&lt;&gt;"ASTM A416"),L731,0),3)</f>
        <v/>
      </c>
      <c r="Z731" s="16">
        <f>ROUND(Z730+IF(F731="ASTM A416",L731,0),3)</f>
        <v/>
      </c>
      <c r="AA731" s="9">
        <f>IF(ROUNDUP(P731/20,0)&gt;ROUNDUP(P730/20,0),"Lần " &amp; ROUNDUP(P731/20,0),"")</f>
        <v/>
      </c>
      <c r="AB731" s="9">
        <f>IF(ROUNDUP(Q731/20,0)&gt;ROUNDUP(Q730/20,0),"Lần " &amp; ROUNDUP(Q731/20,0),"")</f>
        <v/>
      </c>
      <c r="AC731" s="9">
        <f>IF(ROUNDUP(R731/20,0)&gt;ROUNDUP(R730/20,0),"Lần " &amp; ROUNDUP(R731/20,0),"")</f>
        <v/>
      </c>
      <c r="AD731" s="9">
        <f>IF(ROUNDUP(S731/20,0)&gt;ROUNDUP(S730/20,0),"Lần " &amp; ROUNDUP(S731/20,0),"")</f>
        <v/>
      </c>
      <c r="AE731" s="9">
        <f>IF(ROUNDUP(T731/20,0)&gt;ROUNDUP(T730/20,0),"Lần " &amp; ROUNDUP(T731/20,0),"")</f>
        <v/>
      </c>
      <c r="AF731" s="9">
        <f>IF(ROUNDUP(U731/20,0)&gt;ROUNDUP(U730/20,0),"Lần " &amp; ROUNDUP(U731/20,0),"")</f>
        <v/>
      </c>
      <c r="AG731" s="9">
        <f>IF(ROUNDUP(V731/20,0)&gt;ROUNDUP(V730/20,0),"Lần " &amp; ROUNDUP(V731/20,0),"")</f>
        <v/>
      </c>
      <c r="AH731" s="9">
        <f>IF(ROUNDUP(W731/20,0)&gt;ROUNDUP(W730/20,0),"Lần " &amp; ROUNDUP(W731/20,0),"")</f>
        <v/>
      </c>
      <c r="AI731" s="9">
        <f>IF(ROUNDUP(X731/20,0)&gt;ROUNDUP(X730/20,0),"Lần " &amp; ROUNDUP(X731/20,0),"")</f>
        <v/>
      </c>
      <c r="AJ731" s="9">
        <f>IF(ROUNDUP(Y731/20,0)&gt;ROUNDUP(Y730/20,0),"Lần " &amp; ROUNDUP(Y731/20,0),"")</f>
        <v/>
      </c>
      <c r="AK731" s="9">
        <f>IF(ROUNDUP(Z731/20,0)&gt;ROUNDUP(Z730/20,0),"Lần " &amp; ROUNDUP(Z731/20,0),"")</f>
        <v/>
      </c>
      <c r="AL731" s="4" t="n"/>
      <c r="AN731" s="596" t="inlineStr">
        <is>
          <t>Dam</t>
        </is>
      </c>
      <c r="AO731" s="596" t="n">
        <v>59</v>
      </c>
      <c r="AQ731" s="594" t="n"/>
      <c r="AR731" s="595" t="n"/>
    </row>
    <row r="732" ht="19" customHeight="1" s="672">
      <c r="A732" s="4" t="n">
        <v>695</v>
      </c>
      <c r="B732" s="5" t="inlineStr">
        <is>
          <t>Dầm chủ Super-T (15 phiến L=38.2m)</t>
        </is>
      </c>
      <c r="C732" s="5" t="inlineStr">
        <is>
          <t>Dầm S1B3 (bảng thép như S1B1) (tr.88)</t>
        </is>
      </c>
      <c r="D732" s="14" t="inlineStr">
        <is>
          <t>K1a</t>
        </is>
      </c>
      <c r="E732" s="15" t="n">
        <v>16</v>
      </c>
      <c r="F732" s="4" t="inlineStr">
        <is>
          <t>CB400-V</t>
        </is>
      </c>
      <c r="G732" s="5" t="inlineStr">
        <is>
          <t>S06</t>
        </is>
      </c>
      <c r="H732" s="16" t="n">
        <v>0.976</v>
      </c>
      <c r="I732" s="17" t="n">
        <v>8</v>
      </c>
      <c r="J732" s="18" t="n">
        <v>1.578</v>
      </c>
      <c r="K732" s="7">
        <f>ROUND(H732*I732*J732, 2)</f>
        <v/>
      </c>
      <c r="L732" s="19">
        <f>ROUND(K732/1000, 3)</f>
        <v/>
      </c>
      <c r="M732" s="728">
        <f>IF(AO732="","",IF(N(INDEX(Theo_Doi_Tan_Suat_Be_Tong!$C:$C,AO732))&lt;=0,"",INDEX(Theo_Doi_Tan_Suat_Be_Tong!$C:$C,AO732)-VLOOKUP(AN732,$AQ$2:$AR$7,2,FALSE)))</f>
        <v/>
      </c>
      <c r="N732" s="4" t="n"/>
      <c r="O732" s="20">
        <f>IF(ROUNDUP(S732/20,0)&gt;ROUNDUP(S731/20,0),"TN Ø16 (Lần " &amp; ROUNDUP(S732/20,0) &amp; ")","")</f>
        <v/>
      </c>
      <c r="P732" s="16">
        <f>ROUND(P731+IF(AND(E732&lt;=10,F732&lt;&gt;"ASTM A416"),L732,0),3)</f>
        <v/>
      </c>
      <c r="Q732" s="16">
        <f>ROUND(Q731+IF(AND(E732=12,F732&lt;&gt;"ASTM A416"),L732,0),3)</f>
        <v/>
      </c>
      <c r="R732" s="16">
        <f>ROUND(R731+IF(AND(E732=14,F732&lt;&gt;"ASTM A416"),L732,0),3)</f>
        <v/>
      </c>
      <c r="S732" s="16">
        <f>ROUND(S731+IF(AND(E732=16,F732&lt;&gt;"ASTM A416"),L732,0),3)</f>
        <v/>
      </c>
      <c r="T732" s="16">
        <f>ROUND(T731+IF(AND(E732=18,F732&lt;&gt;"ASTM A416"),L732,0),3)</f>
        <v/>
      </c>
      <c r="U732" s="16">
        <f>ROUND(U731+IF(AND(E732=20,F732&lt;&gt;"ASTM A416"),L732,0),3)</f>
        <v/>
      </c>
      <c r="V732" s="16">
        <f>ROUND(V731+IF(AND(E732=22,F732&lt;&gt;"ASTM A416"),L732,0),3)</f>
        <v/>
      </c>
      <c r="W732" s="16">
        <f>ROUND(W731+IF(AND(E732=25,F732&lt;&gt;"ASTM A416"),L732,0),3)</f>
        <v/>
      </c>
      <c r="X732" s="16">
        <f>ROUND(X731+IF(AND(E732=28,F732&lt;&gt;"ASTM A416"),L732,0),3)</f>
        <v/>
      </c>
      <c r="Y732" s="16">
        <f>ROUND(Y731+IF(AND(E732=32,F732&lt;&gt;"ASTM A416"),L732,0),3)</f>
        <v/>
      </c>
      <c r="Z732" s="16">
        <f>ROUND(Z731+IF(F732="ASTM A416",L732,0),3)</f>
        <v/>
      </c>
      <c r="AA732" s="9">
        <f>IF(ROUNDUP(P732/20,0)&gt;ROUNDUP(P731/20,0),"Lần " &amp; ROUNDUP(P732/20,0),"")</f>
        <v/>
      </c>
      <c r="AB732" s="9">
        <f>IF(ROUNDUP(Q732/20,0)&gt;ROUNDUP(Q731/20,0),"Lần " &amp; ROUNDUP(Q732/20,0),"")</f>
        <v/>
      </c>
      <c r="AC732" s="9">
        <f>IF(ROUNDUP(R732/20,0)&gt;ROUNDUP(R731/20,0),"Lần " &amp; ROUNDUP(R732/20,0),"")</f>
        <v/>
      </c>
      <c r="AD732" s="9">
        <f>IF(ROUNDUP(S732/20,0)&gt;ROUNDUP(S731/20,0),"Lần " &amp; ROUNDUP(S732/20,0),"")</f>
        <v/>
      </c>
      <c r="AE732" s="9">
        <f>IF(ROUNDUP(T732/20,0)&gt;ROUNDUP(T731/20,0),"Lần " &amp; ROUNDUP(T732/20,0),"")</f>
        <v/>
      </c>
      <c r="AF732" s="9">
        <f>IF(ROUNDUP(U732/20,0)&gt;ROUNDUP(U731/20,0),"Lần " &amp; ROUNDUP(U732/20,0),"")</f>
        <v/>
      </c>
      <c r="AG732" s="9">
        <f>IF(ROUNDUP(V732/20,0)&gt;ROUNDUP(V731/20,0),"Lần " &amp; ROUNDUP(V732/20,0),"")</f>
        <v/>
      </c>
      <c r="AH732" s="9">
        <f>IF(ROUNDUP(W732/20,0)&gt;ROUNDUP(W731/20,0),"Lần " &amp; ROUNDUP(W732/20,0),"")</f>
        <v/>
      </c>
      <c r="AI732" s="9">
        <f>IF(ROUNDUP(X732/20,0)&gt;ROUNDUP(X731/20,0),"Lần " &amp; ROUNDUP(X732/20,0),"")</f>
        <v/>
      </c>
      <c r="AJ732" s="9">
        <f>IF(ROUNDUP(Y732/20,0)&gt;ROUNDUP(Y731/20,0),"Lần " &amp; ROUNDUP(Y732/20,0),"")</f>
        <v/>
      </c>
      <c r="AK732" s="9">
        <f>IF(ROUNDUP(Z732/20,0)&gt;ROUNDUP(Z731/20,0),"Lần " &amp; ROUNDUP(Z732/20,0),"")</f>
        <v/>
      </c>
      <c r="AL732" s="4" t="n"/>
      <c r="AN732" s="596" t="inlineStr">
        <is>
          <t>Dam</t>
        </is>
      </c>
      <c r="AO732" s="596" t="n">
        <v>59</v>
      </c>
      <c r="AQ732" s="594" t="n"/>
      <c r="AR732" s="595" t="n"/>
    </row>
    <row r="733" ht="19" customHeight="1" s="672">
      <c r="A733" s="4" t="n">
        <v>696</v>
      </c>
      <c r="B733" s="5" t="inlineStr">
        <is>
          <t>Dầm chủ Super-T (15 phiến L=38.2m)</t>
        </is>
      </c>
      <c r="C733" s="5" t="inlineStr">
        <is>
          <t>Dầm S1B3 (bảng thép như S1B1) (tr.88)</t>
        </is>
      </c>
      <c r="D733" s="14" t="inlineStr">
        <is>
          <t>K1b</t>
        </is>
      </c>
      <c r="E733" s="15" t="n">
        <v>16</v>
      </c>
      <c r="F733" s="4" t="inlineStr">
        <is>
          <t>CB400-V</t>
        </is>
      </c>
      <c r="G733" s="5" t="inlineStr">
        <is>
          <t>S06</t>
        </is>
      </c>
      <c r="H733" s="16" t="n">
        <v>0.776</v>
      </c>
      <c r="I733" s="17" t="n">
        <v>8</v>
      </c>
      <c r="J733" s="18" t="n">
        <v>1.578</v>
      </c>
      <c r="K733" s="7">
        <f>ROUND(H733*I733*J733, 2)</f>
        <v/>
      </c>
      <c r="L733" s="19">
        <f>ROUND(K733/1000, 3)</f>
        <v/>
      </c>
      <c r="M733" s="728">
        <f>IF(AO733="","",IF(N(INDEX(Theo_Doi_Tan_Suat_Be_Tong!$C:$C,AO733))&lt;=0,"",INDEX(Theo_Doi_Tan_Suat_Be_Tong!$C:$C,AO733)-VLOOKUP(AN733,$AQ$2:$AR$7,2,FALSE)))</f>
        <v/>
      </c>
      <c r="N733" s="4" t="n"/>
      <c r="O733" s="20">
        <f>IF(ROUNDUP(S733/20,0)&gt;ROUNDUP(S732/20,0),"TN Ø16 (Lần " &amp; ROUNDUP(S733/20,0) &amp; ")","")</f>
        <v/>
      </c>
      <c r="P733" s="16">
        <f>ROUND(P732+IF(AND(E733&lt;=10,F733&lt;&gt;"ASTM A416"),L733,0),3)</f>
        <v/>
      </c>
      <c r="Q733" s="16">
        <f>ROUND(Q732+IF(AND(E733=12,F733&lt;&gt;"ASTM A416"),L733,0),3)</f>
        <v/>
      </c>
      <c r="R733" s="16">
        <f>ROUND(R732+IF(AND(E733=14,F733&lt;&gt;"ASTM A416"),L733,0),3)</f>
        <v/>
      </c>
      <c r="S733" s="16">
        <f>ROUND(S732+IF(AND(E733=16,F733&lt;&gt;"ASTM A416"),L733,0),3)</f>
        <v/>
      </c>
      <c r="T733" s="16">
        <f>ROUND(T732+IF(AND(E733=18,F733&lt;&gt;"ASTM A416"),L733,0),3)</f>
        <v/>
      </c>
      <c r="U733" s="16">
        <f>ROUND(U732+IF(AND(E733=20,F733&lt;&gt;"ASTM A416"),L733,0),3)</f>
        <v/>
      </c>
      <c r="V733" s="16">
        <f>ROUND(V732+IF(AND(E733=22,F733&lt;&gt;"ASTM A416"),L733,0),3)</f>
        <v/>
      </c>
      <c r="W733" s="16">
        <f>ROUND(W732+IF(AND(E733=25,F733&lt;&gt;"ASTM A416"),L733,0),3)</f>
        <v/>
      </c>
      <c r="X733" s="16">
        <f>ROUND(X732+IF(AND(E733=28,F733&lt;&gt;"ASTM A416"),L733,0),3)</f>
        <v/>
      </c>
      <c r="Y733" s="16">
        <f>ROUND(Y732+IF(AND(E733=32,F733&lt;&gt;"ASTM A416"),L733,0),3)</f>
        <v/>
      </c>
      <c r="Z733" s="16">
        <f>ROUND(Z732+IF(F733="ASTM A416",L733,0),3)</f>
        <v/>
      </c>
      <c r="AA733" s="9">
        <f>IF(ROUNDUP(P733/20,0)&gt;ROUNDUP(P732/20,0),"Lần " &amp; ROUNDUP(P733/20,0),"")</f>
        <v/>
      </c>
      <c r="AB733" s="9">
        <f>IF(ROUNDUP(Q733/20,0)&gt;ROUNDUP(Q732/20,0),"Lần " &amp; ROUNDUP(Q733/20,0),"")</f>
        <v/>
      </c>
      <c r="AC733" s="9">
        <f>IF(ROUNDUP(R733/20,0)&gt;ROUNDUP(R732/20,0),"Lần " &amp; ROUNDUP(R733/20,0),"")</f>
        <v/>
      </c>
      <c r="AD733" s="9">
        <f>IF(ROUNDUP(S733/20,0)&gt;ROUNDUP(S732/20,0),"Lần " &amp; ROUNDUP(S733/20,0),"")</f>
        <v/>
      </c>
      <c r="AE733" s="9">
        <f>IF(ROUNDUP(T733/20,0)&gt;ROUNDUP(T732/20,0),"Lần " &amp; ROUNDUP(T733/20,0),"")</f>
        <v/>
      </c>
      <c r="AF733" s="9">
        <f>IF(ROUNDUP(U733/20,0)&gt;ROUNDUP(U732/20,0),"Lần " &amp; ROUNDUP(U733/20,0),"")</f>
        <v/>
      </c>
      <c r="AG733" s="9">
        <f>IF(ROUNDUP(V733/20,0)&gt;ROUNDUP(V732/20,0),"Lần " &amp; ROUNDUP(V733/20,0),"")</f>
        <v/>
      </c>
      <c r="AH733" s="9">
        <f>IF(ROUNDUP(W733/20,0)&gt;ROUNDUP(W732/20,0),"Lần " &amp; ROUNDUP(W733/20,0),"")</f>
        <v/>
      </c>
      <c r="AI733" s="9">
        <f>IF(ROUNDUP(X733/20,0)&gt;ROUNDUP(X732/20,0),"Lần " &amp; ROUNDUP(X733/20,0),"")</f>
        <v/>
      </c>
      <c r="AJ733" s="9">
        <f>IF(ROUNDUP(Y733/20,0)&gt;ROUNDUP(Y732/20,0),"Lần " &amp; ROUNDUP(Y733/20,0),"")</f>
        <v/>
      </c>
      <c r="AK733" s="9">
        <f>IF(ROUNDUP(Z733/20,0)&gt;ROUNDUP(Z732/20,0),"Lần " &amp; ROUNDUP(Z733/20,0),"")</f>
        <v/>
      </c>
      <c r="AL733" s="4" t="n"/>
      <c r="AN733" s="596" t="inlineStr">
        <is>
          <t>Dam</t>
        </is>
      </c>
      <c r="AO733" s="596" t="n">
        <v>59</v>
      </c>
      <c r="AQ733" s="594" t="n"/>
      <c r="AR733" s="595" t="n"/>
    </row>
    <row r="734" ht="19" customHeight="1" s="672">
      <c r="A734" s="4" t="n">
        <v>697</v>
      </c>
      <c r="B734" s="5" t="inlineStr">
        <is>
          <t>Dầm chủ Super-T (15 phiến L=38.2m)</t>
        </is>
      </c>
      <c r="C734" s="5" t="inlineStr">
        <is>
          <t>Dầm S1G (tr.94)</t>
        </is>
      </c>
      <c r="D734" s="14" t="inlineStr">
        <is>
          <t>G1a</t>
        </is>
      </c>
      <c r="E734" s="15" t="n">
        <v>16</v>
      </c>
      <c r="F734" s="4" t="inlineStr">
        <is>
          <t>CB400-V</t>
        </is>
      </c>
      <c r="G734" s="5" t="inlineStr">
        <is>
          <t>S06</t>
        </is>
      </c>
      <c r="H734" s="16" t="n">
        <v>5.056</v>
      </c>
      <c r="I734" s="17" t="n">
        <v>1296</v>
      </c>
      <c r="J734" s="18" t="n">
        <v>1.578</v>
      </c>
      <c r="K734" s="7">
        <f>ROUND(H734*I734*J734, 2)</f>
        <v/>
      </c>
      <c r="L734" s="19">
        <f>ROUND(K734/1000, 3)</f>
        <v/>
      </c>
      <c r="M734" s="728">
        <f>IF(AO734="","",IF(N(INDEX(Theo_Doi_Tan_Suat_Be_Tong!$C:$C,AO734))&lt;=0,"",INDEX(Theo_Doi_Tan_Suat_Be_Tong!$C:$C,AO734)-VLOOKUP(AN734,$AQ$2:$AR$7,2,FALSE)))</f>
        <v/>
      </c>
      <c r="N734" s="4" t="n"/>
      <c r="O734" s="20">
        <f>IF(ROUNDUP(S734/20,0)&gt;ROUNDUP(S733/20,0),"TN Ø16 (Lần " &amp; ROUNDUP(S734/20,0) &amp; ")","")</f>
        <v/>
      </c>
      <c r="P734" s="16">
        <f>ROUND(P733+IF(AND(E734&lt;=10,F734&lt;&gt;"ASTM A416"),L734,0),3)</f>
        <v/>
      </c>
      <c r="Q734" s="16">
        <f>ROUND(Q733+IF(AND(E734=12,F734&lt;&gt;"ASTM A416"),L734,0),3)</f>
        <v/>
      </c>
      <c r="R734" s="16">
        <f>ROUND(R733+IF(AND(E734=14,F734&lt;&gt;"ASTM A416"),L734,0),3)</f>
        <v/>
      </c>
      <c r="S734" s="16">
        <f>ROUND(S733+IF(AND(E734=16,F734&lt;&gt;"ASTM A416"),L734,0),3)</f>
        <v/>
      </c>
      <c r="T734" s="16">
        <f>ROUND(T733+IF(AND(E734=18,F734&lt;&gt;"ASTM A416"),L734,0),3)</f>
        <v/>
      </c>
      <c r="U734" s="16">
        <f>ROUND(U733+IF(AND(E734=20,F734&lt;&gt;"ASTM A416"),L734,0),3)</f>
        <v/>
      </c>
      <c r="V734" s="16">
        <f>ROUND(V733+IF(AND(E734=22,F734&lt;&gt;"ASTM A416"),L734,0),3)</f>
        <v/>
      </c>
      <c r="W734" s="16">
        <f>ROUND(W733+IF(AND(E734=25,F734&lt;&gt;"ASTM A416"),L734,0),3)</f>
        <v/>
      </c>
      <c r="X734" s="16">
        <f>ROUND(X733+IF(AND(E734=28,F734&lt;&gt;"ASTM A416"),L734,0),3)</f>
        <v/>
      </c>
      <c r="Y734" s="16">
        <f>ROUND(Y733+IF(AND(E734=32,F734&lt;&gt;"ASTM A416"),L734,0),3)</f>
        <v/>
      </c>
      <c r="Z734" s="16">
        <f>ROUND(Z733+IF(F734="ASTM A416",L734,0),3)</f>
        <v/>
      </c>
      <c r="AA734" s="9">
        <f>IF(ROUNDUP(P734/20,0)&gt;ROUNDUP(P733/20,0),"Lần " &amp; ROUNDUP(P734/20,0),"")</f>
        <v/>
      </c>
      <c r="AB734" s="9">
        <f>IF(ROUNDUP(Q734/20,0)&gt;ROUNDUP(Q733/20,0),"Lần " &amp; ROUNDUP(Q734/20,0),"")</f>
        <v/>
      </c>
      <c r="AC734" s="9">
        <f>IF(ROUNDUP(R734/20,0)&gt;ROUNDUP(R733/20,0),"Lần " &amp; ROUNDUP(R734/20,0),"")</f>
        <v/>
      </c>
      <c r="AD734" s="9">
        <f>IF(ROUNDUP(S734/20,0)&gt;ROUNDUP(S733/20,0),"Lần " &amp; ROUNDUP(S734/20,0),"")</f>
        <v/>
      </c>
      <c r="AE734" s="9">
        <f>IF(ROUNDUP(T734/20,0)&gt;ROUNDUP(T733/20,0),"Lần " &amp; ROUNDUP(T734/20,0),"")</f>
        <v/>
      </c>
      <c r="AF734" s="9">
        <f>IF(ROUNDUP(U734/20,0)&gt;ROUNDUP(U733/20,0),"Lần " &amp; ROUNDUP(U734/20,0),"")</f>
        <v/>
      </c>
      <c r="AG734" s="9">
        <f>IF(ROUNDUP(V734/20,0)&gt;ROUNDUP(V733/20,0),"Lần " &amp; ROUNDUP(V734/20,0),"")</f>
        <v/>
      </c>
      <c r="AH734" s="9">
        <f>IF(ROUNDUP(W734/20,0)&gt;ROUNDUP(W733/20,0),"Lần " &amp; ROUNDUP(W734/20,0),"")</f>
        <v/>
      </c>
      <c r="AI734" s="9">
        <f>IF(ROUNDUP(X734/20,0)&gt;ROUNDUP(X733/20,0),"Lần " &amp; ROUNDUP(X734/20,0),"")</f>
        <v/>
      </c>
      <c r="AJ734" s="9">
        <f>IF(ROUNDUP(Y734/20,0)&gt;ROUNDUP(Y733/20,0),"Lần " &amp; ROUNDUP(Y734/20,0),"")</f>
        <v/>
      </c>
      <c r="AK734" s="9">
        <f>IF(ROUNDUP(Z734/20,0)&gt;ROUNDUP(Z733/20,0),"Lần " &amp; ROUNDUP(Z734/20,0),"")</f>
        <v/>
      </c>
      <c r="AL734" s="4" t="n"/>
      <c r="AN734" s="596" t="inlineStr">
        <is>
          <t>Dam</t>
        </is>
      </c>
      <c r="AO734" s="596" t="n">
        <v>59</v>
      </c>
      <c r="AQ734" s="594" t="n"/>
      <c r="AR734" s="595" t="n"/>
    </row>
    <row r="735" ht="19" customHeight="1" s="672">
      <c r="A735" s="4" t="n">
        <v>698</v>
      </c>
      <c r="B735" s="5" t="inlineStr">
        <is>
          <t>Dầm chủ Super-T (15 phiến L=38.2m)</t>
        </is>
      </c>
      <c r="C735" s="5" t="inlineStr">
        <is>
          <t>Dầm S1G (tr.94)</t>
        </is>
      </c>
      <c r="D735" s="14" t="inlineStr">
        <is>
          <t>G1b</t>
        </is>
      </c>
      <c r="E735" s="15" t="n">
        <v>12</v>
      </c>
      <c r="F735" s="4" t="inlineStr">
        <is>
          <t>CB400-V</t>
        </is>
      </c>
      <c r="G735" s="5" t="inlineStr">
        <is>
          <t>S06</t>
        </is>
      </c>
      <c r="H735" s="16" t="n">
        <v>5.075</v>
      </c>
      <c r="I735" s="17" t="n">
        <v>1125</v>
      </c>
      <c r="J735" s="18" t="n">
        <v>0.888</v>
      </c>
      <c r="K735" s="7">
        <f>ROUND(H735*I735*J735, 2)</f>
        <v/>
      </c>
      <c r="L735" s="19">
        <f>ROUND(K735/1000, 3)</f>
        <v/>
      </c>
      <c r="M735" s="728">
        <f>IF(AO735="","",IF(N(INDEX(Theo_Doi_Tan_Suat_Be_Tong!$C:$C,AO735))&lt;=0,"",INDEX(Theo_Doi_Tan_Suat_Be_Tong!$C:$C,AO735)-VLOOKUP(AN735,$AQ$2:$AR$7,2,FALSE)))</f>
        <v/>
      </c>
      <c r="N735" s="4" t="n"/>
      <c r="O735" s="20">
        <f>IF(ROUNDUP(Q735/20,0)&gt;ROUNDUP(Q734/20,0),"TN Ø12 (Lần " &amp; ROUNDUP(Q735/20,0) &amp; ")","")</f>
        <v/>
      </c>
      <c r="P735" s="16">
        <f>ROUND(P734+IF(AND(E735&lt;=10,F735&lt;&gt;"ASTM A416"),L735,0),3)</f>
        <v/>
      </c>
      <c r="Q735" s="16">
        <f>ROUND(Q734+IF(AND(E735=12,F735&lt;&gt;"ASTM A416"),L735,0),3)</f>
        <v/>
      </c>
      <c r="R735" s="16">
        <f>ROUND(R734+IF(AND(E735=14,F735&lt;&gt;"ASTM A416"),L735,0),3)</f>
        <v/>
      </c>
      <c r="S735" s="16">
        <f>ROUND(S734+IF(AND(E735=16,F735&lt;&gt;"ASTM A416"),L735,0),3)</f>
        <v/>
      </c>
      <c r="T735" s="16">
        <f>ROUND(T734+IF(AND(E735=18,F735&lt;&gt;"ASTM A416"),L735,0),3)</f>
        <v/>
      </c>
      <c r="U735" s="16">
        <f>ROUND(U734+IF(AND(E735=20,F735&lt;&gt;"ASTM A416"),L735,0),3)</f>
        <v/>
      </c>
      <c r="V735" s="16">
        <f>ROUND(V734+IF(AND(E735=22,F735&lt;&gt;"ASTM A416"),L735,0),3)</f>
        <v/>
      </c>
      <c r="W735" s="16">
        <f>ROUND(W734+IF(AND(E735=25,F735&lt;&gt;"ASTM A416"),L735,0),3)</f>
        <v/>
      </c>
      <c r="X735" s="16">
        <f>ROUND(X734+IF(AND(E735=28,F735&lt;&gt;"ASTM A416"),L735,0),3)</f>
        <v/>
      </c>
      <c r="Y735" s="16">
        <f>ROUND(Y734+IF(AND(E735=32,F735&lt;&gt;"ASTM A416"),L735,0),3)</f>
        <v/>
      </c>
      <c r="Z735" s="16">
        <f>ROUND(Z734+IF(F735="ASTM A416",L735,0),3)</f>
        <v/>
      </c>
      <c r="AA735" s="9">
        <f>IF(ROUNDUP(P735/20,0)&gt;ROUNDUP(P734/20,0),"Lần " &amp; ROUNDUP(P735/20,0),"")</f>
        <v/>
      </c>
      <c r="AB735" s="9">
        <f>IF(ROUNDUP(Q735/20,0)&gt;ROUNDUP(Q734/20,0),"Lần " &amp; ROUNDUP(Q735/20,0),"")</f>
        <v/>
      </c>
      <c r="AC735" s="9">
        <f>IF(ROUNDUP(R735/20,0)&gt;ROUNDUP(R734/20,0),"Lần " &amp; ROUNDUP(R735/20,0),"")</f>
        <v/>
      </c>
      <c r="AD735" s="9">
        <f>IF(ROUNDUP(S735/20,0)&gt;ROUNDUP(S734/20,0),"Lần " &amp; ROUNDUP(S735/20,0),"")</f>
        <v/>
      </c>
      <c r="AE735" s="9">
        <f>IF(ROUNDUP(T735/20,0)&gt;ROUNDUP(T734/20,0),"Lần " &amp; ROUNDUP(T735/20,0),"")</f>
        <v/>
      </c>
      <c r="AF735" s="9">
        <f>IF(ROUNDUP(U735/20,0)&gt;ROUNDUP(U734/20,0),"Lần " &amp; ROUNDUP(U735/20,0),"")</f>
        <v/>
      </c>
      <c r="AG735" s="9">
        <f>IF(ROUNDUP(V735/20,0)&gt;ROUNDUP(V734/20,0),"Lần " &amp; ROUNDUP(V735/20,0),"")</f>
        <v/>
      </c>
      <c r="AH735" s="9">
        <f>IF(ROUNDUP(W735/20,0)&gt;ROUNDUP(W734/20,0),"Lần " &amp; ROUNDUP(W735/20,0),"")</f>
        <v/>
      </c>
      <c r="AI735" s="9">
        <f>IF(ROUNDUP(X735/20,0)&gt;ROUNDUP(X734/20,0),"Lần " &amp; ROUNDUP(X735/20,0),"")</f>
        <v/>
      </c>
      <c r="AJ735" s="9">
        <f>IF(ROUNDUP(Y735/20,0)&gt;ROUNDUP(Y734/20,0),"Lần " &amp; ROUNDUP(Y735/20,0),"")</f>
        <v/>
      </c>
      <c r="AK735" s="9">
        <f>IF(ROUNDUP(Z735/20,0)&gt;ROUNDUP(Z734/20,0),"Lần " &amp; ROUNDUP(Z735/20,0),"")</f>
        <v/>
      </c>
      <c r="AL735" s="4" t="n"/>
      <c r="AN735" s="596" t="inlineStr">
        <is>
          <t>Dam</t>
        </is>
      </c>
      <c r="AO735" s="596" t="n">
        <v>59</v>
      </c>
      <c r="AQ735" s="594" t="n"/>
      <c r="AR735" s="595" t="n"/>
    </row>
    <row r="736" ht="19" customHeight="1" s="672">
      <c r="A736" s="4" t="n">
        <v>699</v>
      </c>
      <c r="B736" s="5" t="inlineStr">
        <is>
          <t>Dầm chủ Super-T (15 phiến L=38.2m)</t>
        </is>
      </c>
      <c r="C736" s="5" t="inlineStr">
        <is>
          <t>Dầm S1G (tr.94)</t>
        </is>
      </c>
      <c r="D736" s="14" t="inlineStr">
        <is>
          <t>G2</t>
        </is>
      </c>
      <c r="E736" s="15" t="n">
        <v>12</v>
      </c>
      <c r="F736" s="4" t="inlineStr">
        <is>
          <t>CB400-V</t>
        </is>
      </c>
      <c r="G736" s="5" t="inlineStr">
        <is>
          <t>S06</t>
        </is>
      </c>
      <c r="H736" s="16" t="n">
        <v>1.025</v>
      </c>
      <c r="I736" s="17" t="n">
        <v>4554</v>
      </c>
      <c r="J736" s="18" t="n">
        <v>0.888</v>
      </c>
      <c r="K736" s="7">
        <f>ROUND(H736*I736*J736, 2)</f>
        <v/>
      </c>
      <c r="L736" s="19">
        <f>ROUND(K736/1000, 3)</f>
        <v/>
      </c>
      <c r="M736" s="728">
        <f>IF(AO736="","",IF(N(INDEX(Theo_Doi_Tan_Suat_Be_Tong!$C:$C,AO736))&lt;=0,"",INDEX(Theo_Doi_Tan_Suat_Be_Tong!$C:$C,AO736)-VLOOKUP(AN736,$AQ$2:$AR$7,2,FALSE)))</f>
        <v/>
      </c>
      <c r="N736" s="4" t="n"/>
      <c r="O736" s="20">
        <f>IF(ROUNDUP(Q736/20,0)&gt;ROUNDUP(Q735/20,0),"TN Ø12 (Lần " &amp; ROUNDUP(Q736/20,0) &amp; ")","")</f>
        <v/>
      </c>
      <c r="P736" s="16">
        <f>ROUND(P735+IF(AND(E736&lt;=10,F736&lt;&gt;"ASTM A416"),L736,0),3)</f>
        <v/>
      </c>
      <c r="Q736" s="16">
        <f>ROUND(Q735+IF(AND(E736=12,F736&lt;&gt;"ASTM A416"),L736,0),3)</f>
        <v/>
      </c>
      <c r="R736" s="16">
        <f>ROUND(R735+IF(AND(E736=14,F736&lt;&gt;"ASTM A416"),L736,0),3)</f>
        <v/>
      </c>
      <c r="S736" s="16">
        <f>ROUND(S735+IF(AND(E736=16,F736&lt;&gt;"ASTM A416"),L736,0),3)</f>
        <v/>
      </c>
      <c r="T736" s="16">
        <f>ROUND(T735+IF(AND(E736=18,F736&lt;&gt;"ASTM A416"),L736,0),3)</f>
        <v/>
      </c>
      <c r="U736" s="16">
        <f>ROUND(U735+IF(AND(E736=20,F736&lt;&gt;"ASTM A416"),L736,0),3)</f>
        <v/>
      </c>
      <c r="V736" s="16">
        <f>ROUND(V735+IF(AND(E736=22,F736&lt;&gt;"ASTM A416"),L736,0),3)</f>
        <v/>
      </c>
      <c r="W736" s="16">
        <f>ROUND(W735+IF(AND(E736=25,F736&lt;&gt;"ASTM A416"),L736,0),3)</f>
        <v/>
      </c>
      <c r="X736" s="16">
        <f>ROUND(X735+IF(AND(E736=28,F736&lt;&gt;"ASTM A416"),L736,0),3)</f>
        <v/>
      </c>
      <c r="Y736" s="16">
        <f>ROUND(Y735+IF(AND(E736=32,F736&lt;&gt;"ASTM A416"),L736,0),3)</f>
        <v/>
      </c>
      <c r="Z736" s="16">
        <f>ROUND(Z735+IF(F736="ASTM A416",L736,0),3)</f>
        <v/>
      </c>
      <c r="AA736" s="9">
        <f>IF(ROUNDUP(P736/20,0)&gt;ROUNDUP(P735/20,0),"Lần " &amp; ROUNDUP(P736/20,0),"")</f>
        <v/>
      </c>
      <c r="AB736" s="9">
        <f>IF(ROUNDUP(Q736/20,0)&gt;ROUNDUP(Q735/20,0),"Lần " &amp; ROUNDUP(Q736/20,0),"")</f>
        <v/>
      </c>
      <c r="AC736" s="9">
        <f>IF(ROUNDUP(R736/20,0)&gt;ROUNDUP(R735/20,0),"Lần " &amp; ROUNDUP(R736/20,0),"")</f>
        <v/>
      </c>
      <c r="AD736" s="9">
        <f>IF(ROUNDUP(S736/20,0)&gt;ROUNDUP(S735/20,0),"Lần " &amp; ROUNDUP(S736/20,0),"")</f>
        <v/>
      </c>
      <c r="AE736" s="9">
        <f>IF(ROUNDUP(T736/20,0)&gt;ROUNDUP(T735/20,0),"Lần " &amp; ROUNDUP(T736/20,0),"")</f>
        <v/>
      </c>
      <c r="AF736" s="9">
        <f>IF(ROUNDUP(U736/20,0)&gt;ROUNDUP(U735/20,0),"Lần " &amp; ROUNDUP(U736/20,0),"")</f>
        <v/>
      </c>
      <c r="AG736" s="9">
        <f>IF(ROUNDUP(V736/20,0)&gt;ROUNDUP(V735/20,0),"Lần " &amp; ROUNDUP(V736/20,0),"")</f>
        <v/>
      </c>
      <c r="AH736" s="9">
        <f>IF(ROUNDUP(W736/20,0)&gt;ROUNDUP(W735/20,0),"Lần " &amp; ROUNDUP(W736/20,0),"")</f>
        <v/>
      </c>
      <c r="AI736" s="9">
        <f>IF(ROUNDUP(X736/20,0)&gt;ROUNDUP(X735/20,0),"Lần " &amp; ROUNDUP(X736/20,0),"")</f>
        <v/>
      </c>
      <c r="AJ736" s="9">
        <f>IF(ROUNDUP(Y736/20,0)&gt;ROUNDUP(Y735/20,0),"Lần " &amp; ROUNDUP(Y736/20,0),"")</f>
        <v/>
      </c>
      <c r="AK736" s="9">
        <f>IF(ROUNDUP(Z736/20,0)&gt;ROUNDUP(Z735/20,0),"Lần " &amp; ROUNDUP(Z736/20,0),"")</f>
        <v/>
      </c>
      <c r="AL736" s="4" t="n"/>
      <c r="AN736" s="596" t="inlineStr">
        <is>
          <t>Dam</t>
        </is>
      </c>
      <c r="AO736" s="596" t="n">
        <v>59</v>
      </c>
      <c r="AQ736" s="594" t="n"/>
      <c r="AR736" s="595" t="n"/>
    </row>
    <row r="737" ht="19" customHeight="1" s="672">
      <c r="A737" s="4" t="n">
        <v>700</v>
      </c>
      <c r="B737" s="5" t="inlineStr">
        <is>
          <t>Dầm chủ Super-T (15 phiến L=38.2m)</t>
        </is>
      </c>
      <c r="C737" s="5" t="inlineStr">
        <is>
          <t>Dầm S1G (tr.94)</t>
        </is>
      </c>
      <c r="D737" s="14" t="inlineStr">
        <is>
          <t>G3</t>
        </is>
      </c>
      <c r="E737" s="15" t="n">
        <v>12</v>
      </c>
      <c r="F737" s="4" t="inlineStr">
        <is>
          <t>CB400-V</t>
        </is>
      </c>
      <c r="G737" s="5" t="inlineStr">
        <is>
          <t>S06</t>
        </is>
      </c>
      <c r="H737" s="16" t="n">
        <v>1.259</v>
      </c>
      <c r="I737" s="17" t="n">
        <v>2421</v>
      </c>
      <c r="J737" s="18" t="n">
        <v>0.888</v>
      </c>
      <c r="K737" s="7">
        <f>ROUND(H737*I737*J737, 2)</f>
        <v/>
      </c>
      <c r="L737" s="19">
        <f>ROUND(K737/1000, 3)</f>
        <v/>
      </c>
      <c r="M737" s="728">
        <f>IF(AO737="","",IF(N(INDEX(Theo_Doi_Tan_Suat_Be_Tong!$C:$C,AO737))&lt;=0,"",INDEX(Theo_Doi_Tan_Suat_Be_Tong!$C:$C,AO737)-VLOOKUP(AN737,$AQ$2:$AR$7,2,FALSE)))</f>
        <v/>
      </c>
      <c r="N737" s="4" t="n"/>
      <c r="O737" s="20">
        <f>IF(ROUNDUP(Q737/20,0)&gt;ROUNDUP(Q736/20,0),"TN Ø12 (Lần " &amp; ROUNDUP(Q737/20,0) &amp; ")","")</f>
        <v/>
      </c>
      <c r="P737" s="16">
        <f>ROUND(P736+IF(AND(E737&lt;=10,F737&lt;&gt;"ASTM A416"),L737,0),3)</f>
        <v/>
      </c>
      <c r="Q737" s="16">
        <f>ROUND(Q736+IF(AND(E737=12,F737&lt;&gt;"ASTM A416"),L737,0),3)</f>
        <v/>
      </c>
      <c r="R737" s="16">
        <f>ROUND(R736+IF(AND(E737=14,F737&lt;&gt;"ASTM A416"),L737,0),3)</f>
        <v/>
      </c>
      <c r="S737" s="16">
        <f>ROUND(S736+IF(AND(E737=16,F737&lt;&gt;"ASTM A416"),L737,0),3)</f>
        <v/>
      </c>
      <c r="T737" s="16">
        <f>ROUND(T736+IF(AND(E737=18,F737&lt;&gt;"ASTM A416"),L737,0),3)</f>
        <v/>
      </c>
      <c r="U737" s="16">
        <f>ROUND(U736+IF(AND(E737=20,F737&lt;&gt;"ASTM A416"),L737,0),3)</f>
        <v/>
      </c>
      <c r="V737" s="16">
        <f>ROUND(V736+IF(AND(E737=22,F737&lt;&gt;"ASTM A416"),L737,0),3)</f>
        <v/>
      </c>
      <c r="W737" s="16">
        <f>ROUND(W736+IF(AND(E737=25,F737&lt;&gt;"ASTM A416"),L737,0),3)</f>
        <v/>
      </c>
      <c r="X737" s="16">
        <f>ROUND(X736+IF(AND(E737=28,F737&lt;&gt;"ASTM A416"),L737,0),3)</f>
        <v/>
      </c>
      <c r="Y737" s="16">
        <f>ROUND(Y736+IF(AND(E737=32,F737&lt;&gt;"ASTM A416"),L737,0),3)</f>
        <v/>
      </c>
      <c r="Z737" s="16">
        <f>ROUND(Z736+IF(F737="ASTM A416",L737,0),3)</f>
        <v/>
      </c>
      <c r="AA737" s="9">
        <f>IF(ROUNDUP(P737/20,0)&gt;ROUNDUP(P736/20,0),"Lần " &amp; ROUNDUP(P737/20,0),"")</f>
        <v/>
      </c>
      <c r="AB737" s="9">
        <f>IF(ROUNDUP(Q737/20,0)&gt;ROUNDUP(Q736/20,0),"Lần " &amp; ROUNDUP(Q737/20,0),"")</f>
        <v/>
      </c>
      <c r="AC737" s="9">
        <f>IF(ROUNDUP(R737/20,0)&gt;ROUNDUP(R736/20,0),"Lần " &amp; ROUNDUP(R737/20,0),"")</f>
        <v/>
      </c>
      <c r="AD737" s="9">
        <f>IF(ROUNDUP(S737/20,0)&gt;ROUNDUP(S736/20,0),"Lần " &amp; ROUNDUP(S737/20,0),"")</f>
        <v/>
      </c>
      <c r="AE737" s="9">
        <f>IF(ROUNDUP(T737/20,0)&gt;ROUNDUP(T736/20,0),"Lần " &amp; ROUNDUP(T737/20,0),"")</f>
        <v/>
      </c>
      <c r="AF737" s="9">
        <f>IF(ROUNDUP(U737/20,0)&gt;ROUNDUP(U736/20,0),"Lần " &amp; ROUNDUP(U737/20,0),"")</f>
        <v/>
      </c>
      <c r="AG737" s="9">
        <f>IF(ROUNDUP(V737/20,0)&gt;ROUNDUP(V736/20,0),"Lần " &amp; ROUNDUP(V737/20,0),"")</f>
        <v/>
      </c>
      <c r="AH737" s="9">
        <f>IF(ROUNDUP(W737/20,0)&gt;ROUNDUP(W736/20,0),"Lần " &amp; ROUNDUP(W737/20,0),"")</f>
        <v/>
      </c>
      <c r="AI737" s="9">
        <f>IF(ROUNDUP(X737/20,0)&gt;ROUNDUP(X736/20,0),"Lần " &amp; ROUNDUP(X737/20,0),"")</f>
        <v/>
      </c>
      <c r="AJ737" s="9">
        <f>IF(ROUNDUP(Y737/20,0)&gt;ROUNDUP(Y736/20,0),"Lần " &amp; ROUNDUP(Y737/20,0),"")</f>
        <v/>
      </c>
      <c r="AK737" s="9">
        <f>IF(ROUNDUP(Z737/20,0)&gt;ROUNDUP(Z736/20,0),"Lần " &amp; ROUNDUP(Z737/20,0),"")</f>
        <v/>
      </c>
      <c r="AL737" s="4" t="n"/>
      <c r="AN737" s="596" t="inlineStr">
        <is>
          <t>Dam</t>
        </is>
      </c>
      <c r="AO737" s="596" t="n">
        <v>59</v>
      </c>
      <c r="AQ737" s="594" t="n"/>
      <c r="AR737" s="595" t="n"/>
    </row>
    <row r="738" ht="19" customHeight="1" s="672">
      <c r="A738" s="4" t="n">
        <v>701</v>
      </c>
      <c r="B738" s="5" t="inlineStr">
        <is>
          <t>Dầm chủ Super-T (15 phiến L=38.2m)</t>
        </is>
      </c>
      <c r="C738" s="5" t="inlineStr">
        <is>
          <t>Dầm S1G (tr.94)</t>
        </is>
      </c>
      <c r="D738" s="14" t="inlineStr">
        <is>
          <t>G4a1</t>
        </is>
      </c>
      <c r="E738" s="15" t="n">
        <v>12</v>
      </c>
      <c r="F738" s="4" t="inlineStr">
        <is>
          <t>CB400-V</t>
        </is>
      </c>
      <c r="G738" s="5" t="inlineStr">
        <is>
          <t>S01</t>
        </is>
      </c>
      <c r="H738" s="16" t="n">
        <v>11.7</v>
      </c>
      <c r="I738" s="17" t="n">
        <v>54</v>
      </c>
      <c r="J738" s="18" t="n">
        <v>0.888</v>
      </c>
      <c r="K738" s="7">
        <f>ROUND(H738*I738*J738, 2)</f>
        <v/>
      </c>
      <c r="L738" s="19">
        <f>ROUND(K738/1000, 3)</f>
        <v/>
      </c>
      <c r="M738" s="728">
        <f>IF(AO738="","",IF(N(INDEX(Theo_Doi_Tan_Suat_Be_Tong!$C:$C,AO738))&lt;=0,"",INDEX(Theo_Doi_Tan_Suat_Be_Tong!$C:$C,AO738)-VLOOKUP(AN738,$AQ$2:$AR$7,2,FALSE)))</f>
        <v/>
      </c>
      <c r="N738" s="4" t="n"/>
      <c r="O738" s="20">
        <f>IF(ROUNDUP(Q738/20,0)&gt;ROUNDUP(Q737/20,0),"TN Ø12 (Lần " &amp; ROUNDUP(Q738/20,0) &amp; ")","")</f>
        <v/>
      </c>
      <c r="P738" s="16">
        <f>ROUND(P737+IF(AND(E738&lt;=10,F738&lt;&gt;"ASTM A416"),L738,0),3)</f>
        <v/>
      </c>
      <c r="Q738" s="16">
        <f>ROUND(Q737+IF(AND(E738=12,F738&lt;&gt;"ASTM A416"),L738,0),3)</f>
        <v/>
      </c>
      <c r="R738" s="16">
        <f>ROUND(R737+IF(AND(E738=14,F738&lt;&gt;"ASTM A416"),L738,0),3)</f>
        <v/>
      </c>
      <c r="S738" s="16">
        <f>ROUND(S737+IF(AND(E738=16,F738&lt;&gt;"ASTM A416"),L738,0),3)</f>
        <v/>
      </c>
      <c r="T738" s="16">
        <f>ROUND(T737+IF(AND(E738=18,F738&lt;&gt;"ASTM A416"),L738,0),3)</f>
        <v/>
      </c>
      <c r="U738" s="16">
        <f>ROUND(U737+IF(AND(E738=20,F738&lt;&gt;"ASTM A416"),L738,0),3)</f>
        <v/>
      </c>
      <c r="V738" s="16">
        <f>ROUND(V737+IF(AND(E738=22,F738&lt;&gt;"ASTM A416"),L738,0),3)</f>
        <v/>
      </c>
      <c r="W738" s="16">
        <f>ROUND(W737+IF(AND(E738=25,F738&lt;&gt;"ASTM A416"),L738,0),3)</f>
        <v/>
      </c>
      <c r="X738" s="16">
        <f>ROUND(X737+IF(AND(E738=28,F738&lt;&gt;"ASTM A416"),L738,0),3)</f>
        <v/>
      </c>
      <c r="Y738" s="16">
        <f>ROUND(Y737+IF(AND(E738=32,F738&lt;&gt;"ASTM A416"),L738,0),3)</f>
        <v/>
      </c>
      <c r="Z738" s="16">
        <f>ROUND(Z737+IF(F738="ASTM A416",L738,0),3)</f>
        <v/>
      </c>
      <c r="AA738" s="9">
        <f>IF(ROUNDUP(P738/20,0)&gt;ROUNDUP(P737/20,0),"Lần " &amp; ROUNDUP(P738/20,0),"")</f>
        <v/>
      </c>
      <c r="AB738" s="9">
        <f>IF(ROUNDUP(Q738/20,0)&gt;ROUNDUP(Q737/20,0),"Lần " &amp; ROUNDUP(Q738/20,0),"")</f>
        <v/>
      </c>
      <c r="AC738" s="9">
        <f>IF(ROUNDUP(R738/20,0)&gt;ROUNDUP(R737/20,0),"Lần " &amp; ROUNDUP(R738/20,0),"")</f>
        <v/>
      </c>
      <c r="AD738" s="9">
        <f>IF(ROUNDUP(S738/20,0)&gt;ROUNDUP(S737/20,0),"Lần " &amp; ROUNDUP(S738/20,0),"")</f>
        <v/>
      </c>
      <c r="AE738" s="9">
        <f>IF(ROUNDUP(T738/20,0)&gt;ROUNDUP(T737/20,0),"Lần " &amp; ROUNDUP(T738/20,0),"")</f>
        <v/>
      </c>
      <c r="AF738" s="9">
        <f>IF(ROUNDUP(U738/20,0)&gt;ROUNDUP(U737/20,0),"Lần " &amp; ROUNDUP(U738/20,0),"")</f>
        <v/>
      </c>
      <c r="AG738" s="9">
        <f>IF(ROUNDUP(V738/20,0)&gt;ROUNDUP(V737/20,0),"Lần " &amp; ROUNDUP(V738/20,0),"")</f>
        <v/>
      </c>
      <c r="AH738" s="9">
        <f>IF(ROUNDUP(W738/20,0)&gt;ROUNDUP(W737/20,0),"Lần " &amp; ROUNDUP(W738/20,0),"")</f>
        <v/>
      </c>
      <c r="AI738" s="9">
        <f>IF(ROUNDUP(X738/20,0)&gt;ROUNDUP(X737/20,0),"Lần " &amp; ROUNDUP(X738/20,0),"")</f>
        <v/>
      </c>
      <c r="AJ738" s="9">
        <f>IF(ROUNDUP(Y738/20,0)&gt;ROUNDUP(Y737/20,0),"Lần " &amp; ROUNDUP(Y738/20,0),"")</f>
        <v/>
      </c>
      <c r="AK738" s="9">
        <f>IF(ROUNDUP(Z738/20,0)&gt;ROUNDUP(Z737/20,0),"Lần " &amp; ROUNDUP(Z738/20,0),"")</f>
        <v/>
      </c>
      <c r="AL738" s="4" t="n"/>
      <c r="AN738" s="596" t="inlineStr">
        <is>
          <t>Dam</t>
        </is>
      </c>
      <c r="AO738" s="596" t="n">
        <v>59</v>
      </c>
      <c r="AQ738" s="594" t="n"/>
      <c r="AR738" s="595" t="n"/>
    </row>
    <row r="739" ht="19" customHeight="1" s="672">
      <c r="A739" s="4" t="n">
        <v>702</v>
      </c>
      <c r="B739" s="5" t="inlineStr">
        <is>
          <t>Dầm chủ Super-T (15 phiến L=38.2m)</t>
        </is>
      </c>
      <c r="C739" s="5" t="inlineStr">
        <is>
          <t>Dầm S1G (tr.94)</t>
        </is>
      </c>
      <c r="D739" s="14" t="inlineStr">
        <is>
          <t>G4a2</t>
        </is>
      </c>
      <c r="E739" s="15" t="n">
        <v>12</v>
      </c>
      <c r="F739" s="4" t="inlineStr">
        <is>
          <t>CB400-V</t>
        </is>
      </c>
      <c r="G739" s="5" t="inlineStr">
        <is>
          <t>S06</t>
        </is>
      </c>
      <c r="H739" s="16" t="n">
        <v>4.46</v>
      </c>
      <c r="I739" s="17" t="n">
        <v>18</v>
      </c>
      <c r="J739" s="18" t="n">
        <v>0.888</v>
      </c>
      <c r="K739" s="7">
        <f>ROUND(H739*I739*J739, 2)</f>
        <v/>
      </c>
      <c r="L739" s="19">
        <f>ROUND(K739/1000, 3)</f>
        <v/>
      </c>
      <c r="M739" s="728">
        <f>IF(AO739="","",IF(N(INDEX(Theo_Doi_Tan_Suat_Be_Tong!$C:$C,AO739))&lt;=0,"",INDEX(Theo_Doi_Tan_Suat_Be_Tong!$C:$C,AO739)-VLOOKUP(AN739,$AQ$2:$AR$7,2,FALSE)))</f>
        <v/>
      </c>
      <c r="N739" s="4" t="n"/>
      <c r="O739" s="20">
        <f>IF(ROUNDUP(Q739/20,0)&gt;ROUNDUP(Q738/20,0),"TN Ø12 (Lần " &amp; ROUNDUP(Q739/20,0) &amp; ")","")</f>
        <v/>
      </c>
      <c r="P739" s="16">
        <f>ROUND(P738+IF(AND(E739&lt;=10,F739&lt;&gt;"ASTM A416"),L739,0),3)</f>
        <v/>
      </c>
      <c r="Q739" s="16">
        <f>ROUND(Q738+IF(AND(E739=12,F739&lt;&gt;"ASTM A416"),L739,0),3)</f>
        <v/>
      </c>
      <c r="R739" s="16">
        <f>ROUND(R738+IF(AND(E739=14,F739&lt;&gt;"ASTM A416"),L739,0),3)</f>
        <v/>
      </c>
      <c r="S739" s="16">
        <f>ROUND(S738+IF(AND(E739=16,F739&lt;&gt;"ASTM A416"),L739,0),3)</f>
        <v/>
      </c>
      <c r="T739" s="16">
        <f>ROUND(T738+IF(AND(E739=18,F739&lt;&gt;"ASTM A416"),L739,0),3)</f>
        <v/>
      </c>
      <c r="U739" s="16">
        <f>ROUND(U738+IF(AND(E739=20,F739&lt;&gt;"ASTM A416"),L739,0),3)</f>
        <v/>
      </c>
      <c r="V739" s="16">
        <f>ROUND(V738+IF(AND(E739=22,F739&lt;&gt;"ASTM A416"),L739,0),3)</f>
        <v/>
      </c>
      <c r="W739" s="16">
        <f>ROUND(W738+IF(AND(E739=25,F739&lt;&gt;"ASTM A416"),L739,0),3)</f>
        <v/>
      </c>
      <c r="X739" s="16">
        <f>ROUND(X738+IF(AND(E739=28,F739&lt;&gt;"ASTM A416"),L739,0),3)</f>
        <v/>
      </c>
      <c r="Y739" s="16">
        <f>ROUND(Y738+IF(AND(E739=32,F739&lt;&gt;"ASTM A416"),L739,0),3)</f>
        <v/>
      </c>
      <c r="Z739" s="16">
        <f>ROUND(Z738+IF(F739="ASTM A416",L739,0),3)</f>
        <v/>
      </c>
      <c r="AA739" s="9">
        <f>IF(ROUNDUP(P739/20,0)&gt;ROUNDUP(P738/20,0),"Lần " &amp; ROUNDUP(P739/20,0),"")</f>
        <v/>
      </c>
      <c r="AB739" s="9">
        <f>IF(ROUNDUP(Q739/20,0)&gt;ROUNDUP(Q738/20,0),"Lần " &amp; ROUNDUP(Q739/20,0),"")</f>
        <v/>
      </c>
      <c r="AC739" s="9">
        <f>IF(ROUNDUP(R739/20,0)&gt;ROUNDUP(R738/20,0),"Lần " &amp; ROUNDUP(R739/20,0),"")</f>
        <v/>
      </c>
      <c r="AD739" s="9">
        <f>IF(ROUNDUP(S739/20,0)&gt;ROUNDUP(S738/20,0),"Lần " &amp; ROUNDUP(S739/20,0),"")</f>
        <v/>
      </c>
      <c r="AE739" s="9">
        <f>IF(ROUNDUP(T739/20,0)&gt;ROUNDUP(T738/20,0),"Lần " &amp; ROUNDUP(T739/20,0),"")</f>
        <v/>
      </c>
      <c r="AF739" s="9">
        <f>IF(ROUNDUP(U739/20,0)&gt;ROUNDUP(U738/20,0),"Lần " &amp; ROUNDUP(U739/20,0),"")</f>
        <v/>
      </c>
      <c r="AG739" s="9">
        <f>IF(ROUNDUP(V739/20,0)&gt;ROUNDUP(V738/20,0),"Lần " &amp; ROUNDUP(V739/20,0),"")</f>
        <v/>
      </c>
      <c r="AH739" s="9">
        <f>IF(ROUNDUP(W739/20,0)&gt;ROUNDUP(W738/20,0),"Lần " &amp; ROUNDUP(W739/20,0),"")</f>
        <v/>
      </c>
      <c r="AI739" s="9">
        <f>IF(ROUNDUP(X739/20,0)&gt;ROUNDUP(X738/20,0),"Lần " &amp; ROUNDUP(X739/20,0),"")</f>
        <v/>
      </c>
      <c r="AJ739" s="9">
        <f>IF(ROUNDUP(Y739/20,0)&gt;ROUNDUP(Y738/20,0),"Lần " &amp; ROUNDUP(Y739/20,0),"")</f>
        <v/>
      </c>
      <c r="AK739" s="9">
        <f>IF(ROUNDUP(Z739/20,0)&gt;ROUNDUP(Z738/20,0),"Lần " &amp; ROUNDUP(Z739/20,0),"")</f>
        <v/>
      </c>
      <c r="AL739" s="4" t="n"/>
      <c r="AN739" s="596" t="inlineStr">
        <is>
          <t>Dam</t>
        </is>
      </c>
      <c r="AO739" s="596" t="n">
        <v>59</v>
      </c>
      <c r="AQ739" s="594" t="n"/>
      <c r="AR739" s="595" t="n"/>
    </row>
    <row r="740" ht="19" customHeight="1" s="672">
      <c r="A740" s="4" t="n">
        <v>703</v>
      </c>
      <c r="B740" s="5" t="inlineStr">
        <is>
          <t>Dầm chủ Super-T (15 phiến L=38.2m)</t>
        </is>
      </c>
      <c r="C740" s="5" t="inlineStr">
        <is>
          <t>Dầm S1G (tr.94)</t>
        </is>
      </c>
      <c r="D740" s="14" t="inlineStr">
        <is>
          <t>G4b1</t>
        </is>
      </c>
      <c r="E740" s="15" t="n">
        <v>12</v>
      </c>
      <c r="F740" s="4" t="inlineStr">
        <is>
          <t>CB400-V</t>
        </is>
      </c>
      <c r="G740" s="5" t="inlineStr">
        <is>
          <t>S01</t>
        </is>
      </c>
      <c r="H740" s="16" t="n">
        <v>11.7</v>
      </c>
      <c r="I740" s="17" t="n">
        <v>216</v>
      </c>
      <c r="J740" s="18" t="n">
        <v>0.888</v>
      </c>
      <c r="K740" s="7">
        <f>ROUND(H740*I740*J740, 2)</f>
        <v/>
      </c>
      <c r="L740" s="19">
        <f>ROUND(K740/1000, 3)</f>
        <v/>
      </c>
      <c r="M740" s="728">
        <f>IF(AO740="","",IF(N(INDEX(Theo_Doi_Tan_Suat_Be_Tong!$C:$C,AO740))&lt;=0,"",INDEX(Theo_Doi_Tan_Suat_Be_Tong!$C:$C,AO740)-VLOOKUP(AN740,$AQ$2:$AR$7,2,FALSE)))</f>
        <v/>
      </c>
      <c r="N740" s="4" t="n"/>
      <c r="O740" s="20">
        <f>IF(ROUNDUP(Q740/20,0)&gt;ROUNDUP(Q739/20,0),"TN Ø12 (Lần " &amp; ROUNDUP(Q740/20,0) &amp; ")","")</f>
        <v/>
      </c>
      <c r="P740" s="16">
        <f>ROUND(P739+IF(AND(E740&lt;=10,F740&lt;&gt;"ASTM A416"),L740,0),3)</f>
        <v/>
      </c>
      <c r="Q740" s="16">
        <f>ROUND(Q739+IF(AND(E740=12,F740&lt;&gt;"ASTM A416"),L740,0),3)</f>
        <v/>
      </c>
      <c r="R740" s="16">
        <f>ROUND(R739+IF(AND(E740=14,F740&lt;&gt;"ASTM A416"),L740,0),3)</f>
        <v/>
      </c>
      <c r="S740" s="16">
        <f>ROUND(S739+IF(AND(E740=16,F740&lt;&gt;"ASTM A416"),L740,0),3)</f>
        <v/>
      </c>
      <c r="T740" s="16">
        <f>ROUND(T739+IF(AND(E740=18,F740&lt;&gt;"ASTM A416"),L740,0),3)</f>
        <v/>
      </c>
      <c r="U740" s="16">
        <f>ROUND(U739+IF(AND(E740=20,F740&lt;&gt;"ASTM A416"),L740,0),3)</f>
        <v/>
      </c>
      <c r="V740" s="16">
        <f>ROUND(V739+IF(AND(E740=22,F740&lt;&gt;"ASTM A416"),L740,0),3)</f>
        <v/>
      </c>
      <c r="W740" s="16">
        <f>ROUND(W739+IF(AND(E740=25,F740&lt;&gt;"ASTM A416"),L740,0),3)</f>
        <v/>
      </c>
      <c r="X740" s="16">
        <f>ROUND(X739+IF(AND(E740=28,F740&lt;&gt;"ASTM A416"),L740,0),3)</f>
        <v/>
      </c>
      <c r="Y740" s="16">
        <f>ROUND(Y739+IF(AND(E740=32,F740&lt;&gt;"ASTM A416"),L740,0),3)</f>
        <v/>
      </c>
      <c r="Z740" s="16">
        <f>ROUND(Z739+IF(F740="ASTM A416",L740,0),3)</f>
        <v/>
      </c>
      <c r="AA740" s="9">
        <f>IF(ROUNDUP(P740/20,0)&gt;ROUNDUP(P739/20,0),"Lần " &amp; ROUNDUP(P740/20,0),"")</f>
        <v/>
      </c>
      <c r="AB740" s="9">
        <f>IF(ROUNDUP(Q740/20,0)&gt;ROUNDUP(Q739/20,0),"Lần " &amp; ROUNDUP(Q740/20,0),"")</f>
        <v/>
      </c>
      <c r="AC740" s="9">
        <f>IF(ROUNDUP(R740/20,0)&gt;ROUNDUP(R739/20,0),"Lần " &amp; ROUNDUP(R740/20,0),"")</f>
        <v/>
      </c>
      <c r="AD740" s="9">
        <f>IF(ROUNDUP(S740/20,0)&gt;ROUNDUP(S739/20,0),"Lần " &amp; ROUNDUP(S740/20,0),"")</f>
        <v/>
      </c>
      <c r="AE740" s="9">
        <f>IF(ROUNDUP(T740/20,0)&gt;ROUNDUP(T739/20,0),"Lần " &amp; ROUNDUP(T740/20,0),"")</f>
        <v/>
      </c>
      <c r="AF740" s="9">
        <f>IF(ROUNDUP(U740/20,0)&gt;ROUNDUP(U739/20,0),"Lần " &amp; ROUNDUP(U740/20,0),"")</f>
        <v/>
      </c>
      <c r="AG740" s="9">
        <f>IF(ROUNDUP(V740/20,0)&gt;ROUNDUP(V739/20,0),"Lần " &amp; ROUNDUP(V740/20,0),"")</f>
        <v/>
      </c>
      <c r="AH740" s="9">
        <f>IF(ROUNDUP(W740/20,0)&gt;ROUNDUP(W739/20,0),"Lần " &amp; ROUNDUP(W740/20,0),"")</f>
        <v/>
      </c>
      <c r="AI740" s="9">
        <f>IF(ROUNDUP(X740/20,0)&gt;ROUNDUP(X739/20,0),"Lần " &amp; ROUNDUP(X740/20,0),"")</f>
        <v/>
      </c>
      <c r="AJ740" s="9">
        <f>IF(ROUNDUP(Y740/20,0)&gt;ROUNDUP(Y739/20,0),"Lần " &amp; ROUNDUP(Y740/20,0),"")</f>
        <v/>
      </c>
      <c r="AK740" s="9">
        <f>IF(ROUNDUP(Z740/20,0)&gt;ROUNDUP(Z739/20,0),"Lần " &amp; ROUNDUP(Z740/20,0),"")</f>
        <v/>
      </c>
      <c r="AL740" s="4" t="n"/>
      <c r="AN740" s="596" t="inlineStr">
        <is>
          <t>Dam</t>
        </is>
      </c>
      <c r="AO740" s="596" t="n">
        <v>59</v>
      </c>
      <c r="AQ740" s="594" t="n"/>
      <c r="AR740" s="595" t="n"/>
    </row>
    <row r="741" ht="19" customHeight="1" s="672">
      <c r="A741" s="4" t="n">
        <v>704</v>
      </c>
      <c r="B741" s="5" t="inlineStr">
        <is>
          <t>Dầm chủ Super-T (15 phiến L=38.2m)</t>
        </is>
      </c>
      <c r="C741" s="5" t="inlineStr">
        <is>
          <t>Dầm S1G (tr.94)</t>
        </is>
      </c>
      <c r="D741" s="14" t="inlineStr">
        <is>
          <t>G4b2</t>
        </is>
      </c>
      <c r="E741" s="15" t="n">
        <v>12</v>
      </c>
      <c r="F741" s="4" t="inlineStr">
        <is>
          <t>CB400-V</t>
        </is>
      </c>
      <c r="G741" s="5" t="inlineStr">
        <is>
          <t>S06</t>
        </is>
      </c>
      <c r="H741" s="16" t="n">
        <v>3.06</v>
      </c>
      <c r="I741" s="17" t="n">
        <v>72</v>
      </c>
      <c r="J741" s="18" t="n">
        <v>0.888</v>
      </c>
      <c r="K741" s="7">
        <f>ROUND(H741*I741*J741, 2)</f>
        <v/>
      </c>
      <c r="L741" s="19">
        <f>ROUND(K741/1000, 3)</f>
        <v/>
      </c>
      <c r="M741" s="728">
        <f>IF(AO741="","",IF(N(INDEX(Theo_Doi_Tan_Suat_Be_Tong!$C:$C,AO741))&lt;=0,"",INDEX(Theo_Doi_Tan_Suat_Be_Tong!$C:$C,AO741)-VLOOKUP(AN741,$AQ$2:$AR$7,2,FALSE)))</f>
        <v/>
      </c>
      <c r="N741" s="4" t="n"/>
      <c r="O741" s="20">
        <f>IF(ROUNDUP(Q741/20,0)&gt;ROUNDUP(Q740/20,0),"TN Ø12 (Lần " &amp; ROUNDUP(Q741/20,0) &amp; ")","")</f>
        <v/>
      </c>
      <c r="P741" s="16">
        <f>ROUND(P740+IF(AND(E741&lt;=10,F741&lt;&gt;"ASTM A416"),L741,0),3)</f>
        <v/>
      </c>
      <c r="Q741" s="16">
        <f>ROUND(Q740+IF(AND(E741=12,F741&lt;&gt;"ASTM A416"),L741,0),3)</f>
        <v/>
      </c>
      <c r="R741" s="16">
        <f>ROUND(R740+IF(AND(E741=14,F741&lt;&gt;"ASTM A416"),L741,0),3)</f>
        <v/>
      </c>
      <c r="S741" s="16">
        <f>ROUND(S740+IF(AND(E741=16,F741&lt;&gt;"ASTM A416"),L741,0),3)</f>
        <v/>
      </c>
      <c r="T741" s="16">
        <f>ROUND(T740+IF(AND(E741=18,F741&lt;&gt;"ASTM A416"),L741,0),3)</f>
        <v/>
      </c>
      <c r="U741" s="16">
        <f>ROUND(U740+IF(AND(E741=20,F741&lt;&gt;"ASTM A416"),L741,0),3)</f>
        <v/>
      </c>
      <c r="V741" s="16">
        <f>ROUND(V740+IF(AND(E741=22,F741&lt;&gt;"ASTM A416"),L741,0),3)</f>
        <v/>
      </c>
      <c r="W741" s="16">
        <f>ROUND(W740+IF(AND(E741=25,F741&lt;&gt;"ASTM A416"),L741,0),3)</f>
        <v/>
      </c>
      <c r="X741" s="16">
        <f>ROUND(X740+IF(AND(E741=28,F741&lt;&gt;"ASTM A416"),L741,0),3)</f>
        <v/>
      </c>
      <c r="Y741" s="16">
        <f>ROUND(Y740+IF(AND(E741=32,F741&lt;&gt;"ASTM A416"),L741,0),3)</f>
        <v/>
      </c>
      <c r="Z741" s="16">
        <f>ROUND(Z740+IF(F741="ASTM A416",L741,0),3)</f>
        <v/>
      </c>
      <c r="AA741" s="9">
        <f>IF(ROUNDUP(P741/20,0)&gt;ROUNDUP(P740/20,0),"Lần " &amp; ROUNDUP(P741/20,0),"")</f>
        <v/>
      </c>
      <c r="AB741" s="9">
        <f>IF(ROUNDUP(Q741/20,0)&gt;ROUNDUP(Q740/20,0),"Lần " &amp; ROUNDUP(Q741/20,0),"")</f>
        <v/>
      </c>
      <c r="AC741" s="9">
        <f>IF(ROUNDUP(R741/20,0)&gt;ROUNDUP(R740/20,0),"Lần " &amp; ROUNDUP(R741/20,0),"")</f>
        <v/>
      </c>
      <c r="AD741" s="9">
        <f>IF(ROUNDUP(S741/20,0)&gt;ROUNDUP(S740/20,0),"Lần " &amp; ROUNDUP(S741/20,0),"")</f>
        <v/>
      </c>
      <c r="AE741" s="9">
        <f>IF(ROUNDUP(T741/20,0)&gt;ROUNDUP(T740/20,0),"Lần " &amp; ROUNDUP(T741/20,0),"")</f>
        <v/>
      </c>
      <c r="AF741" s="9">
        <f>IF(ROUNDUP(U741/20,0)&gt;ROUNDUP(U740/20,0),"Lần " &amp; ROUNDUP(U741/20,0),"")</f>
        <v/>
      </c>
      <c r="AG741" s="9">
        <f>IF(ROUNDUP(V741/20,0)&gt;ROUNDUP(V740/20,0),"Lần " &amp; ROUNDUP(V741/20,0),"")</f>
        <v/>
      </c>
      <c r="AH741" s="9">
        <f>IF(ROUNDUP(W741/20,0)&gt;ROUNDUP(W740/20,0),"Lần " &amp; ROUNDUP(W741/20,0),"")</f>
        <v/>
      </c>
      <c r="AI741" s="9">
        <f>IF(ROUNDUP(X741/20,0)&gt;ROUNDUP(X740/20,0),"Lần " &amp; ROUNDUP(X741/20,0),"")</f>
        <v/>
      </c>
      <c r="AJ741" s="9">
        <f>IF(ROUNDUP(Y741/20,0)&gt;ROUNDUP(Y740/20,0),"Lần " &amp; ROUNDUP(Y741/20,0),"")</f>
        <v/>
      </c>
      <c r="AK741" s="9">
        <f>IF(ROUNDUP(Z741/20,0)&gt;ROUNDUP(Z740/20,0),"Lần " &amp; ROUNDUP(Z741/20,0),"")</f>
        <v/>
      </c>
      <c r="AL741" s="4" t="n"/>
      <c r="AN741" s="596" t="inlineStr">
        <is>
          <t>Dam</t>
        </is>
      </c>
      <c r="AO741" s="596" t="n">
        <v>59</v>
      </c>
      <c r="AQ741" s="594" t="n"/>
      <c r="AR741" s="595" t="n"/>
    </row>
    <row r="742" ht="19" customHeight="1" s="672">
      <c r="A742" s="4" t="n">
        <v>705</v>
      </c>
      <c r="B742" s="5" t="inlineStr">
        <is>
          <t>Dầm chủ Super-T (15 phiến L=38.2m)</t>
        </is>
      </c>
      <c r="C742" s="5" t="inlineStr">
        <is>
          <t>Dầm S1G (tr.94)</t>
        </is>
      </c>
      <c r="D742" s="14" t="inlineStr">
        <is>
          <t>G5a</t>
        </is>
      </c>
      <c r="E742" s="15" t="n">
        <v>16</v>
      </c>
      <c r="F742" s="4" t="inlineStr">
        <is>
          <t>CB400-V</t>
        </is>
      </c>
      <c r="G742" s="5" t="inlineStr">
        <is>
          <t>S01</t>
        </is>
      </c>
      <c r="H742" s="16" t="n">
        <v>11.7</v>
      </c>
      <c r="I742" s="17" t="n">
        <v>252</v>
      </c>
      <c r="J742" s="18" t="n">
        <v>1.578</v>
      </c>
      <c r="K742" s="7">
        <f>ROUND(H742*I742*J742, 2)</f>
        <v/>
      </c>
      <c r="L742" s="19">
        <f>ROUND(K742/1000, 3)</f>
        <v/>
      </c>
      <c r="M742" s="728">
        <f>IF(AO742="","",IF(N(INDEX(Theo_Doi_Tan_Suat_Be_Tong!$C:$C,AO742))&lt;=0,"",INDEX(Theo_Doi_Tan_Suat_Be_Tong!$C:$C,AO742)-VLOOKUP(AN742,$AQ$2:$AR$7,2,FALSE)))</f>
        <v/>
      </c>
      <c r="N742" s="4" t="n"/>
      <c r="O742" s="20">
        <f>IF(ROUNDUP(S742/20,0)&gt;ROUNDUP(S741/20,0),"TN Ø16 (Lần " &amp; ROUNDUP(S742/20,0) &amp; ")","")</f>
        <v/>
      </c>
      <c r="P742" s="16">
        <f>ROUND(P741+IF(AND(E742&lt;=10,F742&lt;&gt;"ASTM A416"),L742,0),3)</f>
        <v/>
      </c>
      <c r="Q742" s="16">
        <f>ROUND(Q741+IF(AND(E742=12,F742&lt;&gt;"ASTM A416"),L742,0),3)</f>
        <v/>
      </c>
      <c r="R742" s="16">
        <f>ROUND(R741+IF(AND(E742=14,F742&lt;&gt;"ASTM A416"),L742,0),3)</f>
        <v/>
      </c>
      <c r="S742" s="16">
        <f>ROUND(S741+IF(AND(E742=16,F742&lt;&gt;"ASTM A416"),L742,0),3)</f>
        <v/>
      </c>
      <c r="T742" s="16">
        <f>ROUND(T741+IF(AND(E742=18,F742&lt;&gt;"ASTM A416"),L742,0),3)</f>
        <v/>
      </c>
      <c r="U742" s="16">
        <f>ROUND(U741+IF(AND(E742=20,F742&lt;&gt;"ASTM A416"),L742,0),3)</f>
        <v/>
      </c>
      <c r="V742" s="16">
        <f>ROUND(V741+IF(AND(E742=22,F742&lt;&gt;"ASTM A416"),L742,0),3)</f>
        <v/>
      </c>
      <c r="W742" s="16">
        <f>ROUND(W741+IF(AND(E742=25,F742&lt;&gt;"ASTM A416"),L742,0),3)</f>
        <v/>
      </c>
      <c r="X742" s="16">
        <f>ROUND(X741+IF(AND(E742=28,F742&lt;&gt;"ASTM A416"),L742,0),3)</f>
        <v/>
      </c>
      <c r="Y742" s="16">
        <f>ROUND(Y741+IF(AND(E742=32,F742&lt;&gt;"ASTM A416"),L742,0),3)</f>
        <v/>
      </c>
      <c r="Z742" s="16">
        <f>ROUND(Z741+IF(F742="ASTM A416",L742,0),3)</f>
        <v/>
      </c>
      <c r="AA742" s="9">
        <f>IF(ROUNDUP(P742/20,0)&gt;ROUNDUP(P741/20,0),"Lần " &amp; ROUNDUP(P742/20,0),"")</f>
        <v/>
      </c>
      <c r="AB742" s="9">
        <f>IF(ROUNDUP(Q742/20,0)&gt;ROUNDUP(Q741/20,0),"Lần " &amp; ROUNDUP(Q742/20,0),"")</f>
        <v/>
      </c>
      <c r="AC742" s="9">
        <f>IF(ROUNDUP(R742/20,0)&gt;ROUNDUP(R741/20,0),"Lần " &amp; ROUNDUP(R742/20,0),"")</f>
        <v/>
      </c>
      <c r="AD742" s="9">
        <f>IF(ROUNDUP(S742/20,0)&gt;ROUNDUP(S741/20,0),"Lần " &amp; ROUNDUP(S742/20,0),"")</f>
        <v/>
      </c>
      <c r="AE742" s="9">
        <f>IF(ROUNDUP(T742/20,0)&gt;ROUNDUP(T741/20,0),"Lần " &amp; ROUNDUP(T742/20,0),"")</f>
        <v/>
      </c>
      <c r="AF742" s="9">
        <f>IF(ROUNDUP(U742/20,0)&gt;ROUNDUP(U741/20,0),"Lần " &amp; ROUNDUP(U742/20,0),"")</f>
        <v/>
      </c>
      <c r="AG742" s="9">
        <f>IF(ROUNDUP(V742/20,0)&gt;ROUNDUP(V741/20,0),"Lần " &amp; ROUNDUP(V742/20,0),"")</f>
        <v/>
      </c>
      <c r="AH742" s="9">
        <f>IF(ROUNDUP(W742/20,0)&gt;ROUNDUP(W741/20,0),"Lần " &amp; ROUNDUP(W742/20,0),"")</f>
        <v/>
      </c>
      <c r="AI742" s="9">
        <f>IF(ROUNDUP(X742/20,0)&gt;ROUNDUP(X741/20,0),"Lần " &amp; ROUNDUP(X742/20,0),"")</f>
        <v/>
      </c>
      <c r="AJ742" s="9">
        <f>IF(ROUNDUP(Y742/20,0)&gt;ROUNDUP(Y741/20,0),"Lần " &amp; ROUNDUP(Y742/20,0),"")</f>
        <v/>
      </c>
      <c r="AK742" s="9">
        <f>IF(ROUNDUP(Z742/20,0)&gt;ROUNDUP(Z741/20,0),"Lần " &amp; ROUNDUP(Z742/20,0),"")</f>
        <v/>
      </c>
      <c r="AL742" s="4" t="n"/>
      <c r="AN742" s="596" t="inlineStr">
        <is>
          <t>Dam</t>
        </is>
      </c>
      <c r="AO742" s="596" t="n">
        <v>59</v>
      </c>
      <c r="AQ742" s="594" t="n"/>
      <c r="AR742" s="595" t="n"/>
    </row>
    <row r="743" ht="19" customHeight="1" s="672">
      <c r="A743" s="4" t="n">
        <v>706</v>
      </c>
      <c r="B743" s="5" t="inlineStr">
        <is>
          <t>Dầm chủ Super-T (15 phiến L=38.2m)</t>
        </is>
      </c>
      <c r="C743" s="5" t="inlineStr">
        <is>
          <t>Dầm S1G (tr.94)</t>
        </is>
      </c>
      <c r="D743" s="14" t="inlineStr">
        <is>
          <t>G5b</t>
        </is>
      </c>
      <c r="E743" s="15" t="n">
        <v>18</v>
      </c>
      <c r="F743" s="4" t="inlineStr">
        <is>
          <t>CB400-V</t>
        </is>
      </c>
      <c r="G743" s="5" t="inlineStr">
        <is>
          <t>S06</t>
        </is>
      </c>
      <c r="H743" s="16" t="n">
        <v>2.86</v>
      </c>
      <c r="I743" s="17" t="n">
        <v>126</v>
      </c>
      <c r="J743" s="18" t="n">
        <v>1.998</v>
      </c>
      <c r="K743" s="7">
        <f>ROUND(H743*I743*J743, 2)</f>
        <v/>
      </c>
      <c r="L743" s="19">
        <f>ROUND(K743/1000, 3)</f>
        <v/>
      </c>
      <c r="M743" s="728">
        <f>IF(AO743="","",IF(N(INDEX(Theo_Doi_Tan_Suat_Be_Tong!$C:$C,AO743))&lt;=0,"",INDEX(Theo_Doi_Tan_Suat_Be_Tong!$C:$C,AO743)-VLOOKUP(AN743,$AQ$2:$AR$7,2,FALSE)))</f>
        <v/>
      </c>
      <c r="N743" s="4" t="n"/>
      <c r="O743" s="20">
        <f>IF(ROUNDUP(T743/20,0)&gt;ROUNDUP(T742/20,0),"TN Ø18 (Lần " &amp; ROUNDUP(T743/20,0) &amp; ")","")</f>
        <v/>
      </c>
      <c r="P743" s="16">
        <f>ROUND(P742+IF(AND(E743&lt;=10,F743&lt;&gt;"ASTM A416"),L743,0),3)</f>
        <v/>
      </c>
      <c r="Q743" s="16">
        <f>ROUND(Q742+IF(AND(E743=12,F743&lt;&gt;"ASTM A416"),L743,0),3)</f>
        <v/>
      </c>
      <c r="R743" s="16">
        <f>ROUND(R742+IF(AND(E743=14,F743&lt;&gt;"ASTM A416"),L743,0),3)</f>
        <v/>
      </c>
      <c r="S743" s="16">
        <f>ROUND(S742+IF(AND(E743=16,F743&lt;&gt;"ASTM A416"),L743,0),3)</f>
        <v/>
      </c>
      <c r="T743" s="16">
        <f>ROUND(T742+IF(AND(E743=18,F743&lt;&gt;"ASTM A416"),L743,0),3)</f>
        <v/>
      </c>
      <c r="U743" s="16">
        <f>ROUND(U742+IF(AND(E743=20,F743&lt;&gt;"ASTM A416"),L743,0),3)</f>
        <v/>
      </c>
      <c r="V743" s="16">
        <f>ROUND(V742+IF(AND(E743=22,F743&lt;&gt;"ASTM A416"),L743,0),3)</f>
        <v/>
      </c>
      <c r="W743" s="16">
        <f>ROUND(W742+IF(AND(E743=25,F743&lt;&gt;"ASTM A416"),L743,0),3)</f>
        <v/>
      </c>
      <c r="X743" s="16">
        <f>ROUND(X742+IF(AND(E743=28,F743&lt;&gt;"ASTM A416"),L743,0),3)</f>
        <v/>
      </c>
      <c r="Y743" s="16">
        <f>ROUND(Y742+IF(AND(E743=32,F743&lt;&gt;"ASTM A416"),L743,0),3)</f>
        <v/>
      </c>
      <c r="Z743" s="16">
        <f>ROUND(Z742+IF(F743="ASTM A416",L743,0),3)</f>
        <v/>
      </c>
      <c r="AA743" s="9">
        <f>IF(ROUNDUP(P743/20,0)&gt;ROUNDUP(P742/20,0),"Lần " &amp; ROUNDUP(P743/20,0),"")</f>
        <v/>
      </c>
      <c r="AB743" s="9">
        <f>IF(ROUNDUP(Q743/20,0)&gt;ROUNDUP(Q742/20,0),"Lần " &amp; ROUNDUP(Q743/20,0),"")</f>
        <v/>
      </c>
      <c r="AC743" s="9">
        <f>IF(ROUNDUP(R743/20,0)&gt;ROUNDUP(R742/20,0),"Lần " &amp; ROUNDUP(R743/20,0),"")</f>
        <v/>
      </c>
      <c r="AD743" s="9">
        <f>IF(ROUNDUP(S743/20,0)&gt;ROUNDUP(S742/20,0),"Lần " &amp; ROUNDUP(S743/20,0),"")</f>
        <v/>
      </c>
      <c r="AE743" s="9">
        <f>IF(ROUNDUP(T743/20,0)&gt;ROUNDUP(T742/20,0),"Lần " &amp; ROUNDUP(T743/20,0),"")</f>
        <v/>
      </c>
      <c r="AF743" s="9">
        <f>IF(ROUNDUP(U743/20,0)&gt;ROUNDUP(U742/20,0),"Lần " &amp; ROUNDUP(U743/20,0),"")</f>
        <v/>
      </c>
      <c r="AG743" s="9">
        <f>IF(ROUNDUP(V743/20,0)&gt;ROUNDUP(V742/20,0),"Lần " &amp; ROUNDUP(V743/20,0),"")</f>
        <v/>
      </c>
      <c r="AH743" s="9">
        <f>IF(ROUNDUP(W743/20,0)&gt;ROUNDUP(W742/20,0),"Lần " &amp; ROUNDUP(W743/20,0),"")</f>
        <v/>
      </c>
      <c r="AI743" s="9">
        <f>IF(ROUNDUP(X743/20,0)&gt;ROUNDUP(X742/20,0),"Lần " &amp; ROUNDUP(X743/20,0),"")</f>
        <v/>
      </c>
      <c r="AJ743" s="9">
        <f>IF(ROUNDUP(Y743/20,0)&gt;ROUNDUP(Y742/20,0),"Lần " &amp; ROUNDUP(Y743/20,0),"")</f>
        <v/>
      </c>
      <c r="AK743" s="9">
        <f>IF(ROUNDUP(Z743/20,0)&gt;ROUNDUP(Z742/20,0),"Lần " &amp; ROUNDUP(Z743/20,0),"")</f>
        <v/>
      </c>
      <c r="AL743" s="4" t="n"/>
      <c r="AN743" s="596" t="inlineStr">
        <is>
          <t>Dam</t>
        </is>
      </c>
      <c r="AO743" s="596" t="n">
        <v>59</v>
      </c>
      <c r="AQ743" s="594" t="n"/>
      <c r="AR743" s="595" t="n"/>
    </row>
    <row r="744" ht="19" customHeight="1" s="672">
      <c r="A744" s="4" t="n">
        <v>707</v>
      </c>
      <c r="B744" s="5" t="inlineStr">
        <is>
          <t>Dầm chủ Super-T (15 phiến L=38.2m)</t>
        </is>
      </c>
      <c r="C744" s="5" t="inlineStr">
        <is>
          <t>Dầm S1G (tr.94)</t>
        </is>
      </c>
      <c r="D744" s="14" t="inlineStr">
        <is>
          <t>G5c</t>
        </is>
      </c>
      <c r="E744" s="15" t="n">
        <v>16</v>
      </c>
      <c r="F744" s="4" t="inlineStr">
        <is>
          <t>CB400-V</t>
        </is>
      </c>
      <c r="G744" s="5" t="inlineStr">
        <is>
          <t>S01</t>
        </is>
      </c>
      <c r="H744" s="16" t="n">
        <v>10.68</v>
      </c>
      <c r="I744" s="17" t="n">
        <v>126</v>
      </c>
      <c r="J744" s="18" t="n">
        <v>1.578</v>
      </c>
      <c r="K744" s="7">
        <f>ROUND(H744*I744*J744, 2)</f>
        <v/>
      </c>
      <c r="L744" s="19">
        <f>ROUND(K744/1000, 3)</f>
        <v/>
      </c>
      <c r="M744" s="728">
        <f>IF(AO744="","",IF(N(INDEX(Theo_Doi_Tan_Suat_Be_Tong!$C:$C,AO744))&lt;=0,"",INDEX(Theo_Doi_Tan_Suat_Be_Tong!$C:$C,AO744)-VLOOKUP(AN744,$AQ$2:$AR$7,2,FALSE)))</f>
        <v/>
      </c>
      <c r="N744" s="4" t="n"/>
      <c r="O744" s="20">
        <f>IF(ROUNDUP(S744/20,0)&gt;ROUNDUP(S743/20,0),"TN Ø16 (Lần " &amp; ROUNDUP(S744/20,0) &amp; ")","")</f>
        <v/>
      </c>
      <c r="P744" s="16">
        <f>ROUND(P743+IF(AND(E744&lt;=10,F744&lt;&gt;"ASTM A416"),L744,0),3)</f>
        <v/>
      </c>
      <c r="Q744" s="16">
        <f>ROUND(Q743+IF(AND(E744=12,F744&lt;&gt;"ASTM A416"),L744,0),3)</f>
        <v/>
      </c>
      <c r="R744" s="16">
        <f>ROUND(R743+IF(AND(E744=14,F744&lt;&gt;"ASTM A416"),L744,0),3)</f>
        <v/>
      </c>
      <c r="S744" s="16">
        <f>ROUND(S743+IF(AND(E744=16,F744&lt;&gt;"ASTM A416"),L744,0),3)</f>
        <v/>
      </c>
      <c r="T744" s="16">
        <f>ROUND(T743+IF(AND(E744=18,F744&lt;&gt;"ASTM A416"),L744,0),3)</f>
        <v/>
      </c>
      <c r="U744" s="16">
        <f>ROUND(U743+IF(AND(E744=20,F744&lt;&gt;"ASTM A416"),L744,0),3)</f>
        <v/>
      </c>
      <c r="V744" s="16">
        <f>ROUND(V743+IF(AND(E744=22,F744&lt;&gt;"ASTM A416"),L744,0),3)</f>
        <v/>
      </c>
      <c r="W744" s="16">
        <f>ROUND(W743+IF(AND(E744=25,F744&lt;&gt;"ASTM A416"),L744,0),3)</f>
        <v/>
      </c>
      <c r="X744" s="16">
        <f>ROUND(X743+IF(AND(E744=28,F744&lt;&gt;"ASTM A416"),L744,0),3)</f>
        <v/>
      </c>
      <c r="Y744" s="16">
        <f>ROUND(Y743+IF(AND(E744=32,F744&lt;&gt;"ASTM A416"),L744,0),3)</f>
        <v/>
      </c>
      <c r="Z744" s="16">
        <f>ROUND(Z743+IF(F744="ASTM A416",L744,0),3)</f>
        <v/>
      </c>
      <c r="AA744" s="9">
        <f>IF(ROUNDUP(P744/20,0)&gt;ROUNDUP(P743/20,0),"Lần " &amp; ROUNDUP(P744/20,0),"")</f>
        <v/>
      </c>
      <c r="AB744" s="9">
        <f>IF(ROUNDUP(Q744/20,0)&gt;ROUNDUP(Q743/20,0),"Lần " &amp; ROUNDUP(Q744/20,0),"")</f>
        <v/>
      </c>
      <c r="AC744" s="9">
        <f>IF(ROUNDUP(R744/20,0)&gt;ROUNDUP(R743/20,0),"Lần " &amp; ROUNDUP(R744/20,0),"")</f>
        <v/>
      </c>
      <c r="AD744" s="9">
        <f>IF(ROUNDUP(S744/20,0)&gt;ROUNDUP(S743/20,0),"Lần " &amp; ROUNDUP(S744/20,0),"")</f>
        <v/>
      </c>
      <c r="AE744" s="9">
        <f>IF(ROUNDUP(T744/20,0)&gt;ROUNDUP(T743/20,0),"Lần " &amp; ROUNDUP(T744/20,0),"")</f>
        <v/>
      </c>
      <c r="AF744" s="9">
        <f>IF(ROUNDUP(U744/20,0)&gt;ROUNDUP(U743/20,0),"Lần " &amp; ROUNDUP(U744/20,0),"")</f>
        <v/>
      </c>
      <c r="AG744" s="9">
        <f>IF(ROUNDUP(V744/20,0)&gt;ROUNDUP(V743/20,0),"Lần " &amp; ROUNDUP(V744/20,0),"")</f>
        <v/>
      </c>
      <c r="AH744" s="9">
        <f>IF(ROUNDUP(W744/20,0)&gt;ROUNDUP(W743/20,0),"Lần " &amp; ROUNDUP(W744/20,0),"")</f>
        <v/>
      </c>
      <c r="AI744" s="9">
        <f>IF(ROUNDUP(X744/20,0)&gt;ROUNDUP(X743/20,0),"Lần " &amp; ROUNDUP(X744/20,0),"")</f>
        <v/>
      </c>
      <c r="AJ744" s="9">
        <f>IF(ROUNDUP(Y744/20,0)&gt;ROUNDUP(Y743/20,0),"Lần " &amp; ROUNDUP(Y744/20,0),"")</f>
        <v/>
      </c>
      <c r="AK744" s="9">
        <f>IF(ROUNDUP(Z744/20,0)&gt;ROUNDUP(Z743/20,0),"Lần " &amp; ROUNDUP(Z744/20,0),"")</f>
        <v/>
      </c>
      <c r="AL744" s="4" t="n"/>
      <c r="AN744" s="596" t="inlineStr">
        <is>
          <t>Dam</t>
        </is>
      </c>
      <c r="AO744" s="596" t="n">
        <v>59</v>
      </c>
      <c r="AQ744" s="594" t="n"/>
      <c r="AR744" s="595" t="n"/>
    </row>
    <row r="745" ht="19" customHeight="1" s="672">
      <c r="A745" s="4" t="n">
        <v>708</v>
      </c>
      <c r="B745" s="5" t="inlineStr">
        <is>
          <t>Dầm chủ Super-T (15 phiến L=38.2m)</t>
        </is>
      </c>
      <c r="C745" s="5" t="inlineStr">
        <is>
          <t>Dầm S1G (tr.94)</t>
        </is>
      </c>
      <c r="D745" s="14" t="inlineStr">
        <is>
          <t>(?)</t>
        </is>
      </c>
      <c r="E745" s="15" t="n">
        <v>18</v>
      </c>
      <c r="F745" s="4" t="inlineStr">
        <is>
          <t>CB400-V</t>
        </is>
      </c>
      <c r="G745" s="5" t="inlineStr"/>
      <c r="H745" s="16" t="n">
        <v>3.9</v>
      </c>
      <c r="I745" s="17" t="n">
        <v>126</v>
      </c>
      <c r="J745" s="18" t="n">
        <v>1.998</v>
      </c>
      <c r="K745" s="7">
        <f>ROUND(H745*I745*J745, 2)</f>
        <v/>
      </c>
      <c r="L745" s="19">
        <f>ROUND(K745/1000, 3)</f>
        <v/>
      </c>
      <c r="M745" s="728">
        <f>IF(AO745="","",IF(N(INDEX(Theo_Doi_Tan_Suat_Be_Tong!$C:$C,AO745))&lt;=0,"",INDEX(Theo_Doi_Tan_Suat_Be_Tong!$C:$C,AO745)-VLOOKUP(AN745,$AQ$2:$AR$7,2,FALSE)))</f>
        <v/>
      </c>
      <c r="N745" s="4" t="n"/>
      <c r="O745" s="20">
        <f>IF(ROUNDUP(T745/20,0)&gt;ROUNDUP(T744/20,0),"TN Ø18 (Lần " &amp; ROUNDUP(T745/20,0) &amp; ")","")</f>
        <v/>
      </c>
      <c r="P745" s="16">
        <f>ROUND(P744+IF(AND(E745&lt;=10,F745&lt;&gt;"ASTM A416"),L745,0),3)</f>
        <v/>
      </c>
      <c r="Q745" s="16">
        <f>ROUND(Q744+IF(AND(E745=12,F745&lt;&gt;"ASTM A416"),L745,0),3)</f>
        <v/>
      </c>
      <c r="R745" s="16">
        <f>ROUND(R744+IF(AND(E745=14,F745&lt;&gt;"ASTM A416"),L745,0),3)</f>
        <v/>
      </c>
      <c r="S745" s="16">
        <f>ROUND(S744+IF(AND(E745=16,F745&lt;&gt;"ASTM A416"),L745,0),3)</f>
        <v/>
      </c>
      <c r="T745" s="16">
        <f>ROUND(T744+IF(AND(E745=18,F745&lt;&gt;"ASTM A416"),L745,0),3)</f>
        <v/>
      </c>
      <c r="U745" s="16">
        <f>ROUND(U744+IF(AND(E745=20,F745&lt;&gt;"ASTM A416"),L745,0),3)</f>
        <v/>
      </c>
      <c r="V745" s="16">
        <f>ROUND(V744+IF(AND(E745=22,F745&lt;&gt;"ASTM A416"),L745,0),3)</f>
        <v/>
      </c>
      <c r="W745" s="16">
        <f>ROUND(W744+IF(AND(E745=25,F745&lt;&gt;"ASTM A416"),L745,0),3)</f>
        <v/>
      </c>
      <c r="X745" s="16">
        <f>ROUND(X744+IF(AND(E745=28,F745&lt;&gt;"ASTM A416"),L745,0),3)</f>
        <v/>
      </c>
      <c r="Y745" s="16">
        <f>ROUND(Y744+IF(AND(E745=32,F745&lt;&gt;"ASTM A416"),L745,0),3)</f>
        <v/>
      </c>
      <c r="Z745" s="16">
        <f>ROUND(Z744+IF(F745="ASTM A416",L745,0),3)</f>
        <v/>
      </c>
      <c r="AA745" s="9">
        <f>IF(ROUNDUP(P745/20,0)&gt;ROUNDUP(P744/20,0),"Lần " &amp; ROUNDUP(P745/20,0),"")</f>
        <v/>
      </c>
      <c r="AB745" s="9">
        <f>IF(ROUNDUP(Q745/20,0)&gt;ROUNDUP(Q744/20,0),"Lần " &amp; ROUNDUP(Q745/20,0),"")</f>
        <v/>
      </c>
      <c r="AC745" s="9">
        <f>IF(ROUNDUP(R745/20,0)&gt;ROUNDUP(R744/20,0),"Lần " &amp; ROUNDUP(R745/20,0),"")</f>
        <v/>
      </c>
      <c r="AD745" s="9">
        <f>IF(ROUNDUP(S745/20,0)&gt;ROUNDUP(S744/20,0),"Lần " &amp; ROUNDUP(S745/20,0),"")</f>
        <v/>
      </c>
      <c r="AE745" s="9">
        <f>IF(ROUNDUP(T745/20,0)&gt;ROUNDUP(T744/20,0),"Lần " &amp; ROUNDUP(T745/20,0),"")</f>
        <v/>
      </c>
      <c r="AF745" s="9">
        <f>IF(ROUNDUP(U745/20,0)&gt;ROUNDUP(U744/20,0),"Lần " &amp; ROUNDUP(U745/20,0),"")</f>
        <v/>
      </c>
      <c r="AG745" s="9">
        <f>IF(ROUNDUP(V745/20,0)&gt;ROUNDUP(V744/20,0),"Lần " &amp; ROUNDUP(V745/20,0),"")</f>
        <v/>
      </c>
      <c r="AH745" s="9">
        <f>IF(ROUNDUP(W745/20,0)&gt;ROUNDUP(W744/20,0),"Lần " &amp; ROUNDUP(W745/20,0),"")</f>
        <v/>
      </c>
      <c r="AI745" s="9">
        <f>IF(ROUNDUP(X745/20,0)&gt;ROUNDUP(X744/20,0),"Lần " &amp; ROUNDUP(X745/20,0),"")</f>
        <v/>
      </c>
      <c r="AJ745" s="9">
        <f>IF(ROUNDUP(Y745/20,0)&gt;ROUNDUP(Y744/20,0),"Lần " &amp; ROUNDUP(Y745/20,0),"")</f>
        <v/>
      </c>
      <c r="AK745" s="9">
        <f>IF(ROUNDUP(Z745/20,0)&gt;ROUNDUP(Z744/20,0),"Lần " &amp; ROUNDUP(Z745/20,0),"")</f>
        <v/>
      </c>
      <c r="AL745" s="4" t="n"/>
      <c r="AN745" s="596" t="inlineStr">
        <is>
          <t>Dam</t>
        </is>
      </c>
      <c r="AO745" s="596" t="n">
        <v>59</v>
      </c>
      <c r="AQ745" s="594" t="n"/>
      <c r="AR745" s="595" t="n"/>
    </row>
    <row r="746" ht="19" customHeight="1" s="672">
      <c r="A746" s="4" t="n">
        <v>709</v>
      </c>
      <c r="B746" s="5" t="inlineStr">
        <is>
          <t>Dầm chủ Super-T (15 phiến L=38.2m)</t>
        </is>
      </c>
      <c r="C746" s="5" t="inlineStr">
        <is>
          <t>Dầm S1G (tr.94)</t>
        </is>
      </c>
      <c r="D746" s="14" t="inlineStr">
        <is>
          <t>G6a</t>
        </is>
      </c>
      <c r="E746" s="15" t="n">
        <v>32</v>
      </c>
      <c r="F746" s="4" t="inlineStr">
        <is>
          <t>CB400-V</t>
        </is>
      </c>
      <c r="G746" s="5" t="inlineStr">
        <is>
          <t>S01</t>
        </is>
      </c>
      <c r="H746" s="16" t="n">
        <v>11.7</v>
      </c>
      <c r="I746" s="17" t="n">
        <v>81</v>
      </c>
      <c r="J746" s="18" t="n">
        <v>6.313</v>
      </c>
      <c r="K746" s="7">
        <f>ROUND(H746*I746*J746, 2)</f>
        <v/>
      </c>
      <c r="L746" s="19">
        <f>ROUND(K746/1000, 3)</f>
        <v/>
      </c>
      <c r="M746" s="728">
        <f>IF(AO746="","",IF(N(INDEX(Theo_Doi_Tan_Suat_Be_Tong!$C:$C,AO746))&lt;=0,"",INDEX(Theo_Doi_Tan_Suat_Be_Tong!$C:$C,AO746)-VLOOKUP(AN746,$AQ$2:$AR$7,2,FALSE)))</f>
        <v/>
      </c>
      <c r="N746" s="4" t="n"/>
      <c r="O746" s="20">
        <f>IF(ROUNDUP(Y746/20,0)&gt;ROUNDUP(Y745/20,0),"TN Ø32 (Lần " &amp; ROUNDUP(Y746/20,0) &amp; ")","")</f>
        <v/>
      </c>
      <c r="P746" s="16">
        <f>ROUND(P745+IF(AND(E746&lt;=10,F746&lt;&gt;"ASTM A416"),L746,0),3)</f>
        <v/>
      </c>
      <c r="Q746" s="16">
        <f>ROUND(Q745+IF(AND(E746=12,F746&lt;&gt;"ASTM A416"),L746,0),3)</f>
        <v/>
      </c>
      <c r="R746" s="16">
        <f>ROUND(R745+IF(AND(E746=14,F746&lt;&gt;"ASTM A416"),L746,0),3)</f>
        <v/>
      </c>
      <c r="S746" s="16">
        <f>ROUND(S745+IF(AND(E746=16,F746&lt;&gt;"ASTM A416"),L746,0),3)</f>
        <v/>
      </c>
      <c r="T746" s="16">
        <f>ROUND(T745+IF(AND(E746=18,F746&lt;&gt;"ASTM A416"),L746,0),3)</f>
        <v/>
      </c>
      <c r="U746" s="16">
        <f>ROUND(U745+IF(AND(E746=20,F746&lt;&gt;"ASTM A416"),L746,0),3)</f>
        <v/>
      </c>
      <c r="V746" s="16">
        <f>ROUND(V745+IF(AND(E746=22,F746&lt;&gt;"ASTM A416"),L746,0),3)</f>
        <v/>
      </c>
      <c r="W746" s="16">
        <f>ROUND(W745+IF(AND(E746=25,F746&lt;&gt;"ASTM A416"),L746,0),3)</f>
        <v/>
      </c>
      <c r="X746" s="16">
        <f>ROUND(X745+IF(AND(E746=28,F746&lt;&gt;"ASTM A416"),L746,0),3)</f>
        <v/>
      </c>
      <c r="Y746" s="16">
        <f>ROUND(Y745+IF(AND(E746=32,F746&lt;&gt;"ASTM A416"),L746,0),3)</f>
        <v/>
      </c>
      <c r="Z746" s="16">
        <f>ROUND(Z745+IF(F746="ASTM A416",L746,0),3)</f>
        <v/>
      </c>
      <c r="AA746" s="9">
        <f>IF(ROUNDUP(P746/20,0)&gt;ROUNDUP(P745/20,0),"Lần " &amp; ROUNDUP(P746/20,0),"")</f>
        <v/>
      </c>
      <c r="AB746" s="9">
        <f>IF(ROUNDUP(Q746/20,0)&gt;ROUNDUP(Q745/20,0),"Lần " &amp; ROUNDUP(Q746/20,0),"")</f>
        <v/>
      </c>
      <c r="AC746" s="9">
        <f>IF(ROUNDUP(R746/20,0)&gt;ROUNDUP(R745/20,0),"Lần " &amp; ROUNDUP(R746/20,0),"")</f>
        <v/>
      </c>
      <c r="AD746" s="9">
        <f>IF(ROUNDUP(S746/20,0)&gt;ROUNDUP(S745/20,0),"Lần " &amp; ROUNDUP(S746/20,0),"")</f>
        <v/>
      </c>
      <c r="AE746" s="9">
        <f>IF(ROUNDUP(T746/20,0)&gt;ROUNDUP(T745/20,0),"Lần " &amp; ROUNDUP(T746/20,0),"")</f>
        <v/>
      </c>
      <c r="AF746" s="9">
        <f>IF(ROUNDUP(U746/20,0)&gt;ROUNDUP(U745/20,0),"Lần " &amp; ROUNDUP(U746/20,0),"")</f>
        <v/>
      </c>
      <c r="AG746" s="9">
        <f>IF(ROUNDUP(V746/20,0)&gt;ROUNDUP(V745/20,0),"Lần " &amp; ROUNDUP(V746/20,0),"")</f>
        <v/>
      </c>
      <c r="AH746" s="9">
        <f>IF(ROUNDUP(W746/20,0)&gt;ROUNDUP(W745/20,0),"Lần " &amp; ROUNDUP(W746/20,0),"")</f>
        <v/>
      </c>
      <c r="AI746" s="9">
        <f>IF(ROUNDUP(X746/20,0)&gt;ROUNDUP(X745/20,0),"Lần " &amp; ROUNDUP(X746/20,0),"")</f>
        <v/>
      </c>
      <c r="AJ746" s="9">
        <f>IF(ROUNDUP(Y746/20,0)&gt;ROUNDUP(Y745/20,0),"Lần " &amp; ROUNDUP(Y746/20,0),"")</f>
        <v/>
      </c>
      <c r="AK746" s="9">
        <f>IF(ROUNDUP(Z746/20,0)&gt;ROUNDUP(Z745/20,0),"Lần " &amp; ROUNDUP(Z746/20,0),"")</f>
        <v/>
      </c>
      <c r="AL746" s="4" t="n"/>
      <c r="AN746" s="596" t="inlineStr">
        <is>
          <t>Dam</t>
        </is>
      </c>
      <c r="AO746" s="596" t="n">
        <v>59</v>
      </c>
      <c r="AQ746" s="594" t="n"/>
      <c r="AR746" s="595" t="n"/>
    </row>
    <row r="747" ht="19" customHeight="1" s="672">
      <c r="A747" s="4" t="n">
        <v>710</v>
      </c>
      <c r="B747" s="5" t="inlineStr">
        <is>
          <t>Dầm chủ Super-T (15 phiến L=38.2m)</t>
        </is>
      </c>
      <c r="C747" s="5" t="inlineStr">
        <is>
          <t>Dầm S1G (tr.94)</t>
        </is>
      </c>
      <c r="D747" s="14" t="inlineStr">
        <is>
          <t>G6b</t>
        </is>
      </c>
      <c r="E747" s="15" t="n">
        <v>32</v>
      </c>
      <c r="F747" s="4" t="inlineStr">
        <is>
          <t>CB400-V</t>
        </is>
      </c>
      <c r="G747" s="5" t="inlineStr">
        <is>
          <t>S06</t>
        </is>
      </c>
      <c r="H747" s="16" t="n">
        <v>6.86</v>
      </c>
      <c r="I747" s="17" t="n">
        <v>27</v>
      </c>
      <c r="J747" s="18" t="n">
        <v>6.313</v>
      </c>
      <c r="K747" s="7">
        <f>ROUND(H747*I747*J747, 2)</f>
        <v/>
      </c>
      <c r="L747" s="19">
        <f>ROUND(K747/1000, 3)</f>
        <v/>
      </c>
      <c r="M747" s="728">
        <f>IF(AO747="","",IF(N(INDEX(Theo_Doi_Tan_Suat_Be_Tong!$C:$C,AO747))&lt;=0,"",INDEX(Theo_Doi_Tan_Suat_Be_Tong!$C:$C,AO747)-VLOOKUP(AN747,$AQ$2:$AR$7,2,FALSE)))</f>
        <v/>
      </c>
      <c r="N747" s="4" t="n"/>
      <c r="O747" s="20">
        <f>IF(ROUNDUP(Y747/20,0)&gt;ROUNDUP(Y746/20,0),"TN Ø32 (Lần " &amp; ROUNDUP(Y747/20,0) &amp; ")","")</f>
        <v/>
      </c>
      <c r="P747" s="16">
        <f>ROUND(P746+IF(AND(E747&lt;=10,F747&lt;&gt;"ASTM A416"),L747,0),3)</f>
        <v/>
      </c>
      <c r="Q747" s="16">
        <f>ROUND(Q746+IF(AND(E747=12,F747&lt;&gt;"ASTM A416"),L747,0),3)</f>
        <v/>
      </c>
      <c r="R747" s="16">
        <f>ROUND(R746+IF(AND(E747=14,F747&lt;&gt;"ASTM A416"),L747,0),3)</f>
        <v/>
      </c>
      <c r="S747" s="16">
        <f>ROUND(S746+IF(AND(E747=16,F747&lt;&gt;"ASTM A416"),L747,0),3)</f>
        <v/>
      </c>
      <c r="T747" s="16">
        <f>ROUND(T746+IF(AND(E747=18,F747&lt;&gt;"ASTM A416"),L747,0),3)</f>
        <v/>
      </c>
      <c r="U747" s="16">
        <f>ROUND(U746+IF(AND(E747=20,F747&lt;&gt;"ASTM A416"),L747,0),3)</f>
        <v/>
      </c>
      <c r="V747" s="16">
        <f>ROUND(V746+IF(AND(E747=22,F747&lt;&gt;"ASTM A416"),L747,0),3)</f>
        <v/>
      </c>
      <c r="W747" s="16">
        <f>ROUND(W746+IF(AND(E747=25,F747&lt;&gt;"ASTM A416"),L747,0),3)</f>
        <v/>
      </c>
      <c r="X747" s="16">
        <f>ROUND(X746+IF(AND(E747=28,F747&lt;&gt;"ASTM A416"),L747,0),3)</f>
        <v/>
      </c>
      <c r="Y747" s="16">
        <f>ROUND(Y746+IF(AND(E747=32,F747&lt;&gt;"ASTM A416"),L747,0),3)</f>
        <v/>
      </c>
      <c r="Z747" s="16">
        <f>ROUND(Z746+IF(F747="ASTM A416",L747,0),3)</f>
        <v/>
      </c>
      <c r="AA747" s="9">
        <f>IF(ROUNDUP(P747/20,0)&gt;ROUNDUP(P746/20,0),"Lần " &amp; ROUNDUP(P747/20,0),"")</f>
        <v/>
      </c>
      <c r="AB747" s="9">
        <f>IF(ROUNDUP(Q747/20,0)&gt;ROUNDUP(Q746/20,0),"Lần " &amp; ROUNDUP(Q747/20,0),"")</f>
        <v/>
      </c>
      <c r="AC747" s="9">
        <f>IF(ROUNDUP(R747/20,0)&gt;ROUNDUP(R746/20,0),"Lần " &amp; ROUNDUP(R747/20,0),"")</f>
        <v/>
      </c>
      <c r="AD747" s="9">
        <f>IF(ROUNDUP(S747/20,0)&gt;ROUNDUP(S746/20,0),"Lần " &amp; ROUNDUP(S747/20,0),"")</f>
        <v/>
      </c>
      <c r="AE747" s="9">
        <f>IF(ROUNDUP(T747/20,0)&gt;ROUNDUP(T746/20,0),"Lần " &amp; ROUNDUP(T747/20,0),"")</f>
        <v/>
      </c>
      <c r="AF747" s="9">
        <f>IF(ROUNDUP(U747/20,0)&gt;ROUNDUP(U746/20,0),"Lần " &amp; ROUNDUP(U747/20,0),"")</f>
        <v/>
      </c>
      <c r="AG747" s="9">
        <f>IF(ROUNDUP(V747/20,0)&gt;ROUNDUP(V746/20,0),"Lần " &amp; ROUNDUP(V747/20,0),"")</f>
        <v/>
      </c>
      <c r="AH747" s="9">
        <f>IF(ROUNDUP(W747/20,0)&gt;ROUNDUP(W746/20,0),"Lần " &amp; ROUNDUP(W747/20,0),"")</f>
        <v/>
      </c>
      <c r="AI747" s="9">
        <f>IF(ROUNDUP(X747/20,0)&gt;ROUNDUP(X746/20,0),"Lần " &amp; ROUNDUP(X747/20,0),"")</f>
        <v/>
      </c>
      <c r="AJ747" s="9">
        <f>IF(ROUNDUP(Y747/20,0)&gt;ROUNDUP(Y746/20,0),"Lần " &amp; ROUNDUP(Y747/20,0),"")</f>
        <v/>
      </c>
      <c r="AK747" s="9">
        <f>IF(ROUNDUP(Z747/20,0)&gt;ROUNDUP(Z746/20,0),"Lần " &amp; ROUNDUP(Z747/20,0),"")</f>
        <v/>
      </c>
      <c r="AL747" s="4" t="n"/>
      <c r="AN747" s="596" t="inlineStr">
        <is>
          <t>Dam</t>
        </is>
      </c>
      <c r="AO747" s="596" t="n">
        <v>59</v>
      </c>
      <c r="AQ747" s="594" t="n"/>
      <c r="AR747" s="595" t="n"/>
    </row>
    <row r="748" ht="19" customHeight="1" s="672">
      <c r="A748" s="4" t="n">
        <v>711</v>
      </c>
      <c r="B748" s="5" t="inlineStr">
        <is>
          <t>Dầm chủ Super-T (15 phiến L=38.2m)</t>
        </is>
      </c>
      <c r="C748" s="5" t="inlineStr">
        <is>
          <t>Dầm S1G (tr.94)</t>
        </is>
      </c>
      <c r="D748" s="14" t="inlineStr">
        <is>
          <t>N1a</t>
        </is>
      </c>
      <c r="E748" s="15" t="n">
        <v>12</v>
      </c>
      <c r="F748" s="4" t="inlineStr">
        <is>
          <t>CB400-V</t>
        </is>
      </c>
      <c r="G748" s="5" t="inlineStr">
        <is>
          <t>S06</t>
        </is>
      </c>
      <c r="H748" s="16" t="n">
        <v>1.185</v>
      </c>
      <c r="I748" s="17" t="n">
        <v>333</v>
      </c>
      <c r="J748" s="18" t="n">
        <v>0.888</v>
      </c>
      <c r="K748" s="7">
        <f>ROUND(H748*I748*J748, 2)</f>
        <v/>
      </c>
      <c r="L748" s="19">
        <f>ROUND(K748/1000, 3)</f>
        <v/>
      </c>
      <c r="M748" s="728">
        <f>IF(AO748="","",IF(N(INDEX(Theo_Doi_Tan_Suat_Be_Tong!$C:$C,AO748))&lt;=0,"",INDEX(Theo_Doi_Tan_Suat_Be_Tong!$C:$C,AO748)-VLOOKUP(AN748,$AQ$2:$AR$7,2,FALSE)))</f>
        <v/>
      </c>
      <c r="N748" s="4" t="n"/>
      <c r="O748" s="20">
        <f>IF(ROUNDUP(Q748/20,0)&gt;ROUNDUP(Q747/20,0),"TN Ø12 (Lần " &amp; ROUNDUP(Q748/20,0) &amp; ")","")</f>
        <v/>
      </c>
      <c r="P748" s="16">
        <f>ROUND(P747+IF(AND(E748&lt;=10,F748&lt;&gt;"ASTM A416"),L748,0),3)</f>
        <v/>
      </c>
      <c r="Q748" s="16">
        <f>ROUND(Q747+IF(AND(E748=12,F748&lt;&gt;"ASTM A416"),L748,0),3)</f>
        <v/>
      </c>
      <c r="R748" s="16">
        <f>ROUND(R747+IF(AND(E748=14,F748&lt;&gt;"ASTM A416"),L748,0),3)</f>
        <v/>
      </c>
      <c r="S748" s="16">
        <f>ROUND(S747+IF(AND(E748=16,F748&lt;&gt;"ASTM A416"),L748,0),3)</f>
        <v/>
      </c>
      <c r="T748" s="16">
        <f>ROUND(T747+IF(AND(E748=18,F748&lt;&gt;"ASTM A416"),L748,0),3)</f>
        <v/>
      </c>
      <c r="U748" s="16">
        <f>ROUND(U747+IF(AND(E748=20,F748&lt;&gt;"ASTM A416"),L748,0),3)</f>
        <v/>
      </c>
      <c r="V748" s="16">
        <f>ROUND(V747+IF(AND(E748=22,F748&lt;&gt;"ASTM A416"),L748,0),3)</f>
        <v/>
      </c>
      <c r="W748" s="16">
        <f>ROUND(W747+IF(AND(E748=25,F748&lt;&gt;"ASTM A416"),L748,0),3)</f>
        <v/>
      </c>
      <c r="X748" s="16">
        <f>ROUND(X747+IF(AND(E748=28,F748&lt;&gt;"ASTM A416"),L748,0),3)</f>
        <v/>
      </c>
      <c r="Y748" s="16">
        <f>ROUND(Y747+IF(AND(E748=32,F748&lt;&gt;"ASTM A416"),L748,0),3)</f>
        <v/>
      </c>
      <c r="Z748" s="16">
        <f>ROUND(Z747+IF(F748="ASTM A416",L748,0),3)</f>
        <v/>
      </c>
      <c r="AA748" s="9">
        <f>IF(ROUNDUP(P748/20,0)&gt;ROUNDUP(P747/20,0),"Lần " &amp; ROUNDUP(P748/20,0),"")</f>
        <v/>
      </c>
      <c r="AB748" s="9">
        <f>IF(ROUNDUP(Q748/20,0)&gt;ROUNDUP(Q747/20,0),"Lần " &amp; ROUNDUP(Q748/20,0),"")</f>
        <v/>
      </c>
      <c r="AC748" s="9">
        <f>IF(ROUNDUP(R748/20,0)&gt;ROUNDUP(R747/20,0),"Lần " &amp; ROUNDUP(R748/20,0),"")</f>
        <v/>
      </c>
      <c r="AD748" s="9">
        <f>IF(ROUNDUP(S748/20,0)&gt;ROUNDUP(S747/20,0),"Lần " &amp; ROUNDUP(S748/20,0),"")</f>
        <v/>
      </c>
      <c r="AE748" s="9">
        <f>IF(ROUNDUP(T748/20,0)&gt;ROUNDUP(T747/20,0),"Lần " &amp; ROUNDUP(T748/20,0),"")</f>
        <v/>
      </c>
      <c r="AF748" s="9">
        <f>IF(ROUNDUP(U748/20,0)&gt;ROUNDUP(U747/20,0),"Lần " &amp; ROUNDUP(U748/20,0),"")</f>
        <v/>
      </c>
      <c r="AG748" s="9">
        <f>IF(ROUNDUP(V748/20,0)&gt;ROUNDUP(V747/20,0),"Lần " &amp; ROUNDUP(V748/20,0),"")</f>
        <v/>
      </c>
      <c r="AH748" s="9">
        <f>IF(ROUNDUP(W748/20,0)&gt;ROUNDUP(W747/20,0),"Lần " &amp; ROUNDUP(W748/20,0),"")</f>
        <v/>
      </c>
      <c r="AI748" s="9">
        <f>IF(ROUNDUP(X748/20,0)&gt;ROUNDUP(X747/20,0),"Lần " &amp; ROUNDUP(X748/20,0),"")</f>
        <v/>
      </c>
      <c r="AJ748" s="9">
        <f>IF(ROUNDUP(Y748/20,0)&gt;ROUNDUP(Y747/20,0),"Lần " &amp; ROUNDUP(Y748/20,0),"")</f>
        <v/>
      </c>
      <c r="AK748" s="9">
        <f>IF(ROUNDUP(Z748/20,0)&gt;ROUNDUP(Z747/20,0),"Lần " &amp; ROUNDUP(Z748/20,0),"")</f>
        <v/>
      </c>
      <c r="AL748" s="4" t="n"/>
      <c r="AN748" s="596" t="inlineStr">
        <is>
          <t>Dam</t>
        </is>
      </c>
      <c r="AO748" s="596" t="n">
        <v>59</v>
      </c>
      <c r="AQ748" s="594" t="n"/>
      <c r="AR748" s="595" t="n"/>
    </row>
    <row r="749" ht="19" customHeight="1" s="672">
      <c r="A749" s="4" t="n">
        <v>712</v>
      </c>
      <c r="B749" s="5" t="inlineStr">
        <is>
          <t>Dầm chủ Super-T (15 phiến L=38.2m)</t>
        </is>
      </c>
      <c r="C749" s="5" t="inlineStr">
        <is>
          <t>Dầm S1G (tr.94)</t>
        </is>
      </c>
      <c r="D749" s="14" t="inlineStr">
        <is>
          <t>N1b</t>
        </is>
      </c>
      <c r="E749" s="15" t="n">
        <v>12</v>
      </c>
      <c r="F749" s="4" t="inlineStr">
        <is>
          <t>CB400-V</t>
        </is>
      </c>
      <c r="G749" s="5" t="inlineStr">
        <is>
          <t>S06</t>
        </is>
      </c>
      <c r="H749" s="16" t="n">
        <v>0.93</v>
      </c>
      <c r="I749" s="17" t="n">
        <v>2331</v>
      </c>
      <c r="J749" s="18" t="n">
        <v>0.888</v>
      </c>
      <c r="K749" s="7">
        <f>ROUND(H749*I749*J749, 2)</f>
        <v/>
      </c>
      <c r="L749" s="19">
        <f>ROUND(K749/1000, 3)</f>
        <v/>
      </c>
      <c r="M749" s="728">
        <f>IF(AO749="","",IF(N(INDEX(Theo_Doi_Tan_Suat_Be_Tong!$C:$C,AO749))&lt;=0,"",INDEX(Theo_Doi_Tan_Suat_Be_Tong!$C:$C,AO749)-VLOOKUP(AN749,$AQ$2:$AR$7,2,FALSE)))</f>
        <v/>
      </c>
      <c r="N749" s="4" t="n"/>
      <c r="O749" s="20">
        <f>IF(ROUNDUP(Q749/20,0)&gt;ROUNDUP(Q748/20,0),"TN Ø12 (Lần " &amp; ROUNDUP(Q749/20,0) &amp; ")","")</f>
        <v/>
      </c>
      <c r="P749" s="16">
        <f>ROUND(P748+IF(AND(E749&lt;=10,F749&lt;&gt;"ASTM A416"),L749,0),3)</f>
        <v/>
      </c>
      <c r="Q749" s="16">
        <f>ROUND(Q748+IF(AND(E749=12,F749&lt;&gt;"ASTM A416"),L749,0),3)</f>
        <v/>
      </c>
      <c r="R749" s="16">
        <f>ROUND(R748+IF(AND(E749=14,F749&lt;&gt;"ASTM A416"),L749,0),3)</f>
        <v/>
      </c>
      <c r="S749" s="16">
        <f>ROUND(S748+IF(AND(E749=16,F749&lt;&gt;"ASTM A416"),L749,0),3)</f>
        <v/>
      </c>
      <c r="T749" s="16">
        <f>ROUND(T748+IF(AND(E749=18,F749&lt;&gt;"ASTM A416"),L749,0),3)</f>
        <v/>
      </c>
      <c r="U749" s="16">
        <f>ROUND(U748+IF(AND(E749=20,F749&lt;&gt;"ASTM A416"),L749,0),3)</f>
        <v/>
      </c>
      <c r="V749" s="16">
        <f>ROUND(V748+IF(AND(E749=22,F749&lt;&gt;"ASTM A416"),L749,0),3)</f>
        <v/>
      </c>
      <c r="W749" s="16">
        <f>ROUND(W748+IF(AND(E749=25,F749&lt;&gt;"ASTM A416"),L749,0),3)</f>
        <v/>
      </c>
      <c r="X749" s="16">
        <f>ROUND(X748+IF(AND(E749=28,F749&lt;&gt;"ASTM A416"),L749,0),3)</f>
        <v/>
      </c>
      <c r="Y749" s="16">
        <f>ROUND(Y748+IF(AND(E749=32,F749&lt;&gt;"ASTM A416"),L749,0),3)</f>
        <v/>
      </c>
      <c r="Z749" s="16">
        <f>ROUND(Z748+IF(F749="ASTM A416",L749,0),3)</f>
        <v/>
      </c>
      <c r="AA749" s="9">
        <f>IF(ROUNDUP(P749/20,0)&gt;ROUNDUP(P748/20,0),"Lần " &amp; ROUNDUP(P749/20,0),"")</f>
        <v/>
      </c>
      <c r="AB749" s="9">
        <f>IF(ROUNDUP(Q749/20,0)&gt;ROUNDUP(Q748/20,0),"Lần " &amp; ROUNDUP(Q749/20,0),"")</f>
        <v/>
      </c>
      <c r="AC749" s="9">
        <f>IF(ROUNDUP(R749/20,0)&gt;ROUNDUP(R748/20,0),"Lần " &amp; ROUNDUP(R749/20,0),"")</f>
        <v/>
      </c>
      <c r="AD749" s="9">
        <f>IF(ROUNDUP(S749/20,0)&gt;ROUNDUP(S748/20,0),"Lần " &amp; ROUNDUP(S749/20,0),"")</f>
        <v/>
      </c>
      <c r="AE749" s="9">
        <f>IF(ROUNDUP(T749/20,0)&gt;ROUNDUP(T748/20,0),"Lần " &amp; ROUNDUP(T749/20,0),"")</f>
        <v/>
      </c>
      <c r="AF749" s="9">
        <f>IF(ROUNDUP(U749/20,0)&gt;ROUNDUP(U748/20,0),"Lần " &amp; ROUNDUP(U749/20,0),"")</f>
        <v/>
      </c>
      <c r="AG749" s="9">
        <f>IF(ROUNDUP(V749/20,0)&gt;ROUNDUP(V748/20,0),"Lần " &amp; ROUNDUP(V749/20,0),"")</f>
        <v/>
      </c>
      <c r="AH749" s="9">
        <f>IF(ROUNDUP(W749/20,0)&gt;ROUNDUP(W748/20,0),"Lần " &amp; ROUNDUP(W749/20,0),"")</f>
        <v/>
      </c>
      <c r="AI749" s="9">
        <f>IF(ROUNDUP(X749/20,0)&gt;ROUNDUP(X748/20,0),"Lần " &amp; ROUNDUP(X749/20,0),"")</f>
        <v/>
      </c>
      <c r="AJ749" s="9">
        <f>IF(ROUNDUP(Y749/20,0)&gt;ROUNDUP(Y748/20,0),"Lần " &amp; ROUNDUP(Y749/20,0),"")</f>
        <v/>
      </c>
      <c r="AK749" s="9">
        <f>IF(ROUNDUP(Z749/20,0)&gt;ROUNDUP(Z748/20,0),"Lần " &amp; ROUNDUP(Z749/20,0),"")</f>
        <v/>
      </c>
      <c r="AL749" s="4" t="n"/>
      <c r="AN749" s="596" t="inlineStr">
        <is>
          <t>Dam</t>
        </is>
      </c>
      <c r="AO749" s="596" t="n">
        <v>59</v>
      </c>
      <c r="AQ749" s="594" t="n"/>
      <c r="AR749" s="595" t="n"/>
    </row>
    <row r="750" ht="19" customHeight="1" s="672">
      <c r="A750" s="4" t="n">
        <v>713</v>
      </c>
      <c r="B750" s="5" t="inlineStr">
        <is>
          <t>Dầm chủ Super-T (15 phiến L=38.2m)</t>
        </is>
      </c>
      <c r="C750" s="5" t="inlineStr">
        <is>
          <t>Dầm S1G (tr.94)</t>
        </is>
      </c>
      <c r="D750" s="14" t="inlineStr">
        <is>
          <t>N2</t>
        </is>
      </c>
      <c r="E750" s="15" t="n">
        <v>12</v>
      </c>
      <c r="F750" s="4" t="inlineStr">
        <is>
          <t>CB400-V</t>
        </is>
      </c>
      <c r="G750" s="5" t="inlineStr">
        <is>
          <t>S06</t>
        </is>
      </c>
      <c r="H750" s="16" t="n">
        <v>3.664</v>
      </c>
      <c r="I750" s="17" t="n">
        <v>27</v>
      </c>
      <c r="J750" s="18" t="n">
        <v>0.888</v>
      </c>
      <c r="K750" s="7">
        <f>ROUND(H750*I750*J750, 2)</f>
        <v/>
      </c>
      <c r="L750" s="19">
        <f>ROUND(K750/1000, 3)</f>
        <v/>
      </c>
      <c r="M750" s="728">
        <f>IF(AO750="","",IF(N(INDEX(Theo_Doi_Tan_Suat_Be_Tong!$C:$C,AO750))&lt;=0,"",INDEX(Theo_Doi_Tan_Suat_Be_Tong!$C:$C,AO750)-VLOOKUP(AN750,$AQ$2:$AR$7,2,FALSE)))</f>
        <v/>
      </c>
      <c r="N750" s="4" t="n"/>
      <c r="O750" s="20">
        <f>IF(ROUNDUP(Q750/20,0)&gt;ROUNDUP(Q749/20,0),"TN Ø12 (Lần " &amp; ROUNDUP(Q750/20,0) &amp; ")","")</f>
        <v/>
      </c>
      <c r="P750" s="16">
        <f>ROUND(P749+IF(AND(E750&lt;=10,F750&lt;&gt;"ASTM A416"),L750,0),3)</f>
        <v/>
      </c>
      <c r="Q750" s="16">
        <f>ROUND(Q749+IF(AND(E750=12,F750&lt;&gt;"ASTM A416"),L750,0),3)</f>
        <v/>
      </c>
      <c r="R750" s="16">
        <f>ROUND(R749+IF(AND(E750=14,F750&lt;&gt;"ASTM A416"),L750,0),3)</f>
        <v/>
      </c>
      <c r="S750" s="16">
        <f>ROUND(S749+IF(AND(E750=16,F750&lt;&gt;"ASTM A416"),L750,0),3)</f>
        <v/>
      </c>
      <c r="T750" s="16">
        <f>ROUND(T749+IF(AND(E750=18,F750&lt;&gt;"ASTM A416"),L750,0),3)</f>
        <v/>
      </c>
      <c r="U750" s="16">
        <f>ROUND(U749+IF(AND(E750=20,F750&lt;&gt;"ASTM A416"),L750,0),3)</f>
        <v/>
      </c>
      <c r="V750" s="16">
        <f>ROUND(V749+IF(AND(E750=22,F750&lt;&gt;"ASTM A416"),L750,0),3)</f>
        <v/>
      </c>
      <c r="W750" s="16">
        <f>ROUND(W749+IF(AND(E750=25,F750&lt;&gt;"ASTM A416"),L750,0),3)</f>
        <v/>
      </c>
      <c r="X750" s="16">
        <f>ROUND(X749+IF(AND(E750=28,F750&lt;&gt;"ASTM A416"),L750,0),3)</f>
        <v/>
      </c>
      <c r="Y750" s="16">
        <f>ROUND(Y749+IF(AND(E750=32,F750&lt;&gt;"ASTM A416"),L750,0),3)</f>
        <v/>
      </c>
      <c r="Z750" s="16">
        <f>ROUND(Z749+IF(F750="ASTM A416",L750,0),3)</f>
        <v/>
      </c>
      <c r="AA750" s="9">
        <f>IF(ROUNDUP(P750/20,0)&gt;ROUNDUP(P749/20,0),"Lần " &amp; ROUNDUP(P750/20,0),"")</f>
        <v/>
      </c>
      <c r="AB750" s="9">
        <f>IF(ROUNDUP(Q750/20,0)&gt;ROUNDUP(Q749/20,0),"Lần " &amp; ROUNDUP(Q750/20,0),"")</f>
        <v/>
      </c>
      <c r="AC750" s="9">
        <f>IF(ROUNDUP(R750/20,0)&gt;ROUNDUP(R749/20,0),"Lần " &amp; ROUNDUP(R750/20,0),"")</f>
        <v/>
      </c>
      <c r="AD750" s="9">
        <f>IF(ROUNDUP(S750/20,0)&gt;ROUNDUP(S749/20,0),"Lần " &amp; ROUNDUP(S750/20,0),"")</f>
        <v/>
      </c>
      <c r="AE750" s="9">
        <f>IF(ROUNDUP(T750/20,0)&gt;ROUNDUP(T749/20,0),"Lần " &amp; ROUNDUP(T750/20,0),"")</f>
        <v/>
      </c>
      <c r="AF750" s="9">
        <f>IF(ROUNDUP(U750/20,0)&gt;ROUNDUP(U749/20,0),"Lần " &amp; ROUNDUP(U750/20,0),"")</f>
        <v/>
      </c>
      <c r="AG750" s="9">
        <f>IF(ROUNDUP(V750/20,0)&gt;ROUNDUP(V749/20,0),"Lần " &amp; ROUNDUP(V750/20,0),"")</f>
        <v/>
      </c>
      <c r="AH750" s="9">
        <f>IF(ROUNDUP(W750/20,0)&gt;ROUNDUP(W749/20,0),"Lần " &amp; ROUNDUP(W750/20,0),"")</f>
        <v/>
      </c>
      <c r="AI750" s="9">
        <f>IF(ROUNDUP(X750/20,0)&gt;ROUNDUP(X749/20,0),"Lần " &amp; ROUNDUP(X750/20,0),"")</f>
        <v/>
      </c>
      <c r="AJ750" s="9">
        <f>IF(ROUNDUP(Y750/20,0)&gt;ROUNDUP(Y749/20,0),"Lần " &amp; ROUNDUP(Y750/20,0),"")</f>
        <v/>
      </c>
      <c r="AK750" s="9">
        <f>IF(ROUNDUP(Z750/20,0)&gt;ROUNDUP(Z749/20,0),"Lần " &amp; ROUNDUP(Z750/20,0),"")</f>
        <v/>
      </c>
      <c r="AL750" s="4" t="n"/>
      <c r="AN750" s="596" t="inlineStr">
        <is>
          <t>Dam</t>
        </is>
      </c>
      <c r="AO750" s="596" t="n">
        <v>59</v>
      </c>
      <c r="AQ750" s="594" t="n"/>
      <c r="AR750" s="595" t="n"/>
    </row>
    <row r="751" ht="19" customHeight="1" s="672">
      <c r="A751" s="4" t="n">
        <v>714</v>
      </c>
      <c r="B751" s="5" t="inlineStr">
        <is>
          <t>Dầm chủ Super-T (15 phiến L=38.2m)</t>
        </is>
      </c>
      <c r="C751" s="5" t="inlineStr">
        <is>
          <t>Dầm S1G (tr.94)</t>
        </is>
      </c>
      <c r="D751" s="14" t="inlineStr">
        <is>
          <t>E1</t>
        </is>
      </c>
      <c r="E751" s="15" t="n">
        <v>16</v>
      </c>
      <c r="F751" s="4" t="inlineStr">
        <is>
          <t>CB400-V</t>
        </is>
      </c>
      <c r="G751" s="5" t="inlineStr">
        <is>
          <t>S06</t>
        </is>
      </c>
      <c r="H751" s="16" t="n">
        <v>2.391</v>
      </c>
      <c r="I751" s="17" t="n">
        <v>2268</v>
      </c>
      <c r="J751" s="18" t="n">
        <v>1.578</v>
      </c>
      <c r="K751" s="7">
        <f>ROUND(H751*I751*J751, 2)</f>
        <v/>
      </c>
      <c r="L751" s="19">
        <f>ROUND(K751/1000, 3)</f>
        <v/>
      </c>
      <c r="M751" s="728">
        <f>IF(AO751="","",IF(N(INDEX(Theo_Doi_Tan_Suat_Be_Tong!$C:$C,AO751))&lt;=0,"",INDEX(Theo_Doi_Tan_Suat_Be_Tong!$C:$C,AO751)-VLOOKUP(AN751,$AQ$2:$AR$7,2,FALSE)))</f>
        <v/>
      </c>
      <c r="N751" s="4" t="n"/>
      <c r="O751" s="20">
        <f>IF(ROUNDUP(S751/20,0)&gt;ROUNDUP(S750/20,0),"TN Ø16 (Lần " &amp; ROUNDUP(S751/20,0) &amp; ")","")</f>
        <v/>
      </c>
      <c r="P751" s="16">
        <f>ROUND(P750+IF(AND(E751&lt;=10,F751&lt;&gt;"ASTM A416"),L751,0),3)</f>
        <v/>
      </c>
      <c r="Q751" s="16">
        <f>ROUND(Q750+IF(AND(E751=12,F751&lt;&gt;"ASTM A416"),L751,0),3)</f>
        <v/>
      </c>
      <c r="R751" s="16">
        <f>ROUND(R750+IF(AND(E751=14,F751&lt;&gt;"ASTM A416"),L751,0),3)</f>
        <v/>
      </c>
      <c r="S751" s="16">
        <f>ROUND(S750+IF(AND(E751=16,F751&lt;&gt;"ASTM A416"),L751,0),3)</f>
        <v/>
      </c>
      <c r="T751" s="16">
        <f>ROUND(T750+IF(AND(E751=18,F751&lt;&gt;"ASTM A416"),L751,0),3)</f>
        <v/>
      </c>
      <c r="U751" s="16">
        <f>ROUND(U750+IF(AND(E751=20,F751&lt;&gt;"ASTM A416"),L751,0),3)</f>
        <v/>
      </c>
      <c r="V751" s="16">
        <f>ROUND(V750+IF(AND(E751=22,F751&lt;&gt;"ASTM A416"),L751,0),3)</f>
        <v/>
      </c>
      <c r="W751" s="16">
        <f>ROUND(W750+IF(AND(E751=25,F751&lt;&gt;"ASTM A416"),L751,0),3)</f>
        <v/>
      </c>
      <c r="X751" s="16">
        <f>ROUND(X750+IF(AND(E751=28,F751&lt;&gt;"ASTM A416"),L751,0),3)</f>
        <v/>
      </c>
      <c r="Y751" s="16">
        <f>ROUND(Y750+IF(AND(E751=32,F751&lt;&gt;"ASTM A416"),L751,0),3)</f>
        <v/>
      </c>
      <c r="Z751" s="16">
        <f>ROUND(Z750+IF(F751="ASTM A416",L751,0),3)</f>
        <v/>
      </c>
      <c r="AA751" s="9">
        <f>IF(ROUNDUP(P751/20,0)&gt;ROUNDUP(P750/20,0),"Lần " &amp; ROUNDUP(P751/20,0),"")</f>
        <v/>
      </c>
      <c r="AB751" s="9">
        <f>IF(ROUNDUP(Q751/20,0)&gt;ROUNDUP(Q750/20,0),"Lần " &amp; ROUNDUP(Q751/20,0),"")</f>
        <v/>
      </c>
      <c r="AC751" s="9">
        <f>IF(ROUNDUP(R751/20,0)&gt;ROUNDUP(R750/20,0),"Lần " &amp; ROUNDUP(R751/20,0),"")</f>
        <v/>
      </c>
      <c r="AD751" s="9">
        <f>IF(ROUNDUP(S751/20,0)&gt;ROUNDUP(S750/20,0),"Lần " &amp; ROUNDUP(S751/20,0),"")</f>
        <v/>
      </c>
      <c r="AE751" s="9">
        <f>IF(ROUNDUP(T751/20,0)&gt;ROUNDUP(T750/20,0),"Lần " &amp; ROUNDUP(T751/20,0),"")</f>
        <v/>
      </c>
      <c r="AF751" s="9">
        <f>IF(ROUNDUP(U751/20,0)&gt;ROUNDUP(U750/20,0),"Lần " &amp; ROUNDUP(U751/20,0),"")</f>
        <v/>
      </c>
      <c r="AG751" s="9">
        <f>IF(ROUNDUP(V751/20,0)&gt;ROUNDUP(V750/20,0),"Lần " &amp; ROUNDUP(V751/20,0),"")</f>
        <v/>
      </c>
      <c r="AH751" s="9">
        <f>IF(ROUNDUP(W751/20,0)&gt;ROUNDUP(W750/20,0),"Lần " &amp; ROUNDUP(W751/20,0),"")</f>
        <v/>
      </c>
      <c r="AI751" s="9">
        <f>IF(ROUNDUP(X751/20,0)&gt;ROUNDUP(X750/20,0),"Lần " &amp; ROUNDUP(X751/20,0),"")</f>
        <v/>
      </c>
      <c r="AJ751" s="9">
        <f>IF(ROUNDUP(Y751/20,0)&gt;ROUNDUP(Y750/20,0),"Lần " &amp; ROUNDUP(Y751/20,0),"")</f>
        <v/>
      </c>
      <c r="AK751" s="9">
        <f>IF(ROUNDUP(Z751/20,0)&gt;ROUNDUP(Z750/20,0),"Lần " &amp; ROUNDUP(Z751/20,0),"")</f>
        <v/>
      </c>
      <c r="AL751" s="4" t="n"/>
      <c r="AN751" s="596" t="inlineStr">
        <is>
          <t>Dam</t>
        </is>
      </c>
      <c r="AO751" s="596" t="n">
        <v>59</v>
      </c>
      <c r="AQ751" s="594" t="n"/>
      <c r="AR751" s="595" t="n"/>
    </row>
    <row r="752" ht="19" customHeight="1" s="672">
      <c r="A752" s="4" t="n">
        <v>715</v>
      </c>
      <c r="B752" s="5" t="inlineStr">
        <is>
          <t>Dầm chủ Super-T (15 phiến L=38.2m)</t>
        </is>
      </c>
      <c r="C752" s="5" t="inlineStr">
        <is>
          <t>Dầm S1G (tr.94)</t>
        </is>
      </c>
      <c r="D752" s="14" t="inlineStr">
        <is>
          <t>E2</t>
        </is>
      </c>
      <c r="E752" s="15" t="n">
        <v>16</v>
      </c>
      <c r="F752" s="4" t="inlineStr">
        <is>
          <t>CB400-V</t>
        </is>
      </c>
      <c r="G752" s="5" t="inlineStr">
        <is>
          <t>S06</t>
        </is>
      </c>
      <c r="H752" s="16" t="n">
        <v>3.932</v>
      </c>
      <c r="I752" s="17" t="n">
        <v>180</v>
      </c>
      <c r="J752" s="18" t="n">
        <v>1.578</v>
      </c>
      <c r="K752" s="7">
        <f>ROUND(H752*I752*J752, 2)</f>
        <v/>
      </c>
      <c r="L752" s="19">
        <f>ROUND(K752/1000, 3)</f>
        <v/>
      </c>
      <c r="M752" s="728">
        <f>IF(AO752="","",IF(N(INDEX(Theo_Doi_Tan_Suat_Be_Tong!$C:$C,AO752))&lt;=0,"",INDEX(Theo_Doi_Tan_Suat_Be_Tong!$C:$C,AO752)-VLOOKUP(AN752,$AQ$2:$AR$7,2,FALSE)))</f>
        <v/>
      </c>
      <c r="N752" s="4" t="n"/>
      <c r="O752" s="20">
        <f>IF(ROUNDUP(S752/20,0)&gt;ROUNDUP(S751/20,0),"TN Ø16 (Lần " &amp; ROUNDUP(S752/20,0) &amp; ")","")</f>
        <v/>
      </c>
      <c r="P752" s="16">
        <f>ROUND(P751+IF(AND(E752&lt;=10,F752&lt;&gt;"ASTM A416"),L752,0),3)</f>
        <v/>
      </c>
      <c r="Q752" s="16">
        <f>ROUND(Q751+IF(AND(E752=12,F752&lt;&gt;"ASTM A416"),L752,0),3)</f>
        <v/>
      </c>
      <c r="R752" s="16">
        <f>ROUND(R751+IF(AND(E752=14,F752&lt;&gt;"ASTM A416"),L752,0),3)</f>
        <v/>
      </c>
      <c r="S752" s="16">
        <f>ROUND(S751+IF(AND(E752=16,F752&lt;&gt;"ASTM A416"),L752,0),3)</f>
        <v/>
      </c>
      <c r="T752" s="16">
        <f>ROUND(T751+IF(AND(E752=18,F752&lt;&gt;"ASTM A416"),L752,0),3)</f>
        <v/>
      </c>
      <c r="U752" s="16">
        <f>ROUND(U751+IF(AND(E752=20,F752&lt;&gt;"ASTM A416"),L752,0),3)</f>
        <v/>
      </c>
      <c r="V752" s="16">
        <f>ROUND(V751+IF(AND(E752=22,F752&lt;&gt;"ASTM A416"),L752,0),3)</f>
        <v/>
      </c>
      <c r="W752" s="16">
        <f>ROUND(W751+IF(AND(E752=25,F752&lt;&gt;"ASTM A416"),L752,0),3)</f>
        <v/>
      </c>
      <c r="X752" s="16">
        <f>ROUND(X751+IF(AND(E752=28,F752&lt;&gt;"ASTM A416"),L752,0),3)</f>
        <v/>
      </c>
      <c r="Y752" s="16">
        <f>ROUND(Y751+IF(AND(E752=32,F752&lt;&gt;"ASTM A416"),L752,0),3)</f>
        <v/>
      </c>
      <c r="Z752" s="16">
        <f>ROUND(Z751+IF(F752="ASTM A416",L752,0),3)</f>
        <v/>
      </c>
      <c r="AA752" s="9">
        <f>IF(ROUNDUP(P752/20,0)&gt;ROUNDUP(P751/20,0),"Lần " &amp; ROUNDUP(P752/20,0),"")</f>
        <v/>
      </c>
      <c r="AB752" s="9">
        <f>IF(ROUNDUP(Q752/20,0)&gt;ROUNDUP(Q751/20,0),"Lần " &amp; ROUNDUP(Q752/20,0),"")</f>
        <v/>
      </c>
      <c r="AC752" s="9">
        <f>IF(ROUNDUP(R752/20,0)&gt;ROUNDUP(R751/20,0),"Lần " &amp; ROUNDUP(R752/20,0),"")</f>
        <v/>
      </c>
      <c r="AD752" s="9">
        <f>IF(ROUNDUP(S752/20,0)&gt;ROUNDUP(S751/20,0),"Lần " &amp; ROUNDUP(S752/20,0),"")</f>
        <v/>
      </c>
      <c r="AE752" s="9">
        <f>IF(ROUNDUP(T752/20,0)&gt;ROUNDUP(T751/20,0),"Lần " &amp; ROUNDUP(T752/20,0),"")</f>
        <v/>
      </c>
      <c r="AF752" s="9">
        <f>IF(ROUNDUP(U752/20,0)&gt;ROUNDUP(U751/20,0),"Lần " &amp; ROUNDUP(U752/20,0),"")</f>
        <v/>
      </c>
      <c r="AG752" s="9">
        <f>IF(ROUNDUP(V752/20,0)&gt;ROUNDUP(V751/20,0),"Lần " &amp; ROUNDUP(V752/20,0),"")</f>
        <v/>
      </c>
      <c r="AH752" s="9">
        <f>IF(ROUNDUP(W752/20,0)&gt;ROUNDUP(W751/20,0),"Lần " &amp; ROUNDUP(W752/20,0),"")</f>
        <v/>
      </c>
      <c r="AI752" s="9">
        <f>IF(ROUNDUP(X752/20,0)&gt;ROUNDUP(X751/20,0),"Lần " &amp; ROUNDUP(X752/20,0),"")</f>
        <v/>
      </c>
      <c r="AJ752" s="9">
        <f>IF(ROUNDUP(Y752/20,0)&gt;ROUNDUP(Y751/20,0),"Lần " &amp; ROUNDUP(Y752/20,0),"")</f>
        <v/>
      </c>
      <c r="AK752" s="9">
        <f>IF(ROUNDUP(Z752/20,0)&gt;ROUNDUP(Z751/20,0),"Lần " &amp; ROUNDUP(Z752/20,0),"")</f>
        <v/>
      </c>
      <c r="AL752" s="4" t="n"/>
      <c r="AN752" s="596" t="inlineStr">
        <is>
          <t>Dam</t>
        </is>
      </c>
      <c r="AO752" s="596" t="n">
        <v>59</v>
      </c>
      <c r="AQ752" s="594" t="n"/>
      <c r="AR752" s="595" t="n"/>
    </row>
    <row r="753" ht="19" customHeight="1" s="672">
      <c r="A753" s="4" t="n">
        <v>716</v>
      </c>
      <c r="B753" s="5" t="inlineStr">
        <is>
          <t>Dầm chủ Super-T (15 phiến L=38.2m)</t>
        </is>
      </c>
      <c r="C753" s="5" t="inlineStr">
        <is>
          <t>Dầm S1G (tr.94)</t>
        </is>
      </c>
      <c r="D753" s="14" t="inlineStr">
        <is>
          <t>Thanh neo</t>
        </is>
      </c>
      <c r="E753" s="15" t="n">
        <v>20</v>
      </c>
      <c r="F753" s="4" t="inlineStr">
        <is>
          <t>CB400-V</t>
        </is>
      </c>
      <c r="G753" s="5" t="inlineStr">
        <is>
          <t>S06</t>
        </is>
      </c>
      <c r="H753" s="16" t="n">
        <v>0.11</v>
      </c>
      <c r="I753" s="17" t="n">
        <v>72</v>
      </c>
      <c r="J753" s="18" t="n">
        <v>2.466</v>
      </c>
      <c r="K753" s="7">
        <f>ROUND(H753*I753*J753, 2)</f>
        <v/>
      </c>
      <c r="L753" s="19">
        <f>ROUND(K753/1000, 3)</f>
        <v/>
      </c>
      <c r="M753" s="728">
        <f>IF(AO753="","",IF(N(INDEX(Theo_Doi_Tan_Suat_Be_Tong!$C:$C,AO753))&lt;=0,"",INDEX(Theo_Doi_Tan_Suat_Be_Tong!$C:$C,AO753)-VLOOKUP(AN753,$AQ$2:$AR$7,2,FALSE)))</f>
        <v/>
      </c>
      <c r="N753" s="4" t="n"/>
      <c r="O753" s="20">
        <f>IF(ROUNDUP(U753/20,0)&gt;ROUNDUP(U752/20,0),"TN Ø20 (Lần " &amp; ROUNDUP(U753/20,0) &amp; ")","")</f>
        <v/>
      </c>
      <c r="P753" s="16">
        <f>ROUND(P752+IF(AND(E753&lt;=10,F753&lt;&gt;"ASTM A416"),L753,0),3)</f>
        <v/>
      </c>
      <c r="Q753" s="16">
        <f>ROUND(Q752+IF(AND(E753=12,F753&lt;&gt;"ASTM A416"),L753,0),3)</f>
        <v/>
      </c>
      <c r="R753" s="16">
        <f>ROUND(R752+IF(AND(E753=14,F753&lt;&gt;"ASTM A416"),L753,0),3)</f>
        <v/>
      </c>
      <c r="S753" s="16">
        <f>ROUND(S752+IF(AND(E753=16,F753&lt;&gt;"ASTM A416"),L753,0),3)</f>
        <v/>
      </c>
      <c r="T753" s="16">
        <f>ROUND(T752+IF(AND(E753=18,F753&lt;&gt;"ASTM A416"),L753,0),3)</f>
        <v/>
      </c>
      <c r="U753" s="16">
        <f>ROUND(U752+IF(AND(E753=20,F753&lt;&gt;"ASTM A416"),L753,0),3)</f>
        <v/>
      </c>
      <c r="V753" s="16">
        <f>ROUND(V752+IF(AND(E753=22,F753&lt;&gt;"ASTM A416"),L753,0),3)</f>
        <v/>
      </c>
      <c r="W753" s="16">
        <f>ROUND(W752+IF(AND(E753=25,F753&lt;&gt;"ASTM A416"),L753,0),3)</f>
        <v/>
      </c>
      <c r="X753" s="16">
        <f>ROUND(X752+IF(AND(E753=28,F753&lt;&gt;"ASTM A416"),L753,0),3)</f>
        <v/>
      </c>
      <c r="Y753" s="16">
        <f>ROUND(Y752+IF(AND(E753=32,F753&lt;&gt;"ASTM A416"),L753,0),3)</f>
        <v/>
      </c>
      <c r="Z753" s="16">
        <f>ROUND(Z752+IF(F753="ASTM A416",L753,0),3)</f>
        <v/>
      </c>
      <c r="AA753" s="9">
        <f>IF(ROUNDUP(P753/20,0)&gt;ROUNDUP(P752/20,0),"Lần " &amp; ROUNDUP(P753/20,0),"")</f>
        <v/>
      </c>
      <c r="AB753" s="9">
        <f>IF(ROUNDUP(Q753/20,0)&gt;ROUNDUP(Q752/20,0),"Lần " &amp; ROUNDUP(Q753/20,0),"")</f>
        <v/>
      </c>
      <c r="AC753" s="9">
        <f>IF(ROUNDUP(R753/20,0)&gt;ROUNDUP(R752/20,0),"Lần " &amp; ROUNDUP(R753/20,0),"")</f>
        <v/>
      </c>
      <c r="AD753" s="9">
        <f>IF(ROUNDUP(S753/20,0)&gt;ROUNDUP(S752/20,0),"Lần " &amp; ROUNDUP(S753/20,0),"")</f>
        <v/>
      </c>
      <c r="AE753" s="9">
        <f>IF(ROUNDUP(T753/20,0)&gt;ROUNDUP(T752/20,0),"Lần " &amp; ROUNDUP(T753/20,0),"")</f>
        <v/>
      </c>
      <c r="AF753" s="9">
        <f>IF(ROUNDUP(U753/20,0)&gt;ROUNDUP(U752/20,0),"Lần " &amp; ROUNDUP(U753/20,0),"")</f>
        <v/>
      </c>
      <c r="AG753" s="9">
        <f>IF(ROUNDUP(V753/20,0)&gt;ROUNDUP(V752/20,0),"Lần " &amp; ROUNDUP(V753/20,0),"")</f>
        <v/>
      </c>
      <c r="AH753" s="9">
        <f>IF(ROUNDUP(W753/20,0)&gt;ROUNDUP(W752/20,0),"Lần " &amp; ROUNDUP(W753/20,0),"")</f>
        <v/>
      </c>
      <c r="AI753" s="9">
        <f>IF(ROUNDUP(X753/20,0)&gt;ROUNDUP(X752/20,0),"Lần " &amp; ROUNDUP(X753/20,0),"")</f>
        <v/>
      </c>
      <c r="AJ753" s="9">
        <f>IF(ROUNDUP(Y753/20,0)&gt;ROUNDUP(Y752/20,0),"Lần " &amp; ROUNDUP(Y753/20,0),"")</f>
        <v/>
      </c>
      <c r="AK753" s="9">
        <f>IF(ROUNDUP(Z753/20,0)&gt;ROUNDUP(Z752/20,0),"Lần " &amp; ROUNDUP(Z753/20,0),"")</f>
        <v/>
      </c>
      <c r="AL753" s="4" t="n"/>
      <c r="AN753" s="596" t="inlineStr">
        <is>
          <t>Dam</t>
        </is>
      </c>
      <c r="AO753" s="596" t="n">
        <v>59</v>
      </c>
      <c r="AQ753" s="594" t="n"/>
      <c r="AR753" s="595" t="n"/>
    </row>
    <row r="754" ht="19" customHeight="1" s="672">
      <c r="A754" s="4" t="n">
        <v>717</v>
      </c>
      <c r="B754" s="5" t="inlineStr">
        <is>
          <t>Dầm chủ Super-T (15 phiến L=38.2m)</t>
        </is>
      </c>
      <c r="C754" s="5" t="inlineStr">
        <is>
          <t>Dầm S1G (tr.94)</t>
        </is>
      </c>
      <c r="D754" s="14" t="inlineStr">
        <is>
          <t>K1a</t>
        </is>
      </c>
      <c r="E754" s="15" t="n">
        <v>16</v>
      </c>
      <c r="F754" s="4" t="inlineStr">
        <is>
          <t>CB400-V</t>
        </is>
      </c>
      <c r="G754" s="5" t="inlineStr">
        <is>
          <t>S06</t>
        </is>
      </c>
      <c r="H754" s="16" t="n">
        <v>1.14</v>
      </c>
      <c r="I754" s="17" t="n">
        <v>72</v>
      </c>
      <c r="J754" s="18" t="n">
        <v>1.578</v>
      </c>
      <c r="K754" s="7">
        <f>ROUND(H754*I754*J754, 2)</f>
        <v/>
      </c>
      <c r="L754" s="19">
        <f>ROUND(K754/1000, 3)</f>
        <v/>
      </c>
      <c r="M754" s="728">
        <f>IF(AO754="","",IF(N(INDEX(Theo_Doi_Tan_Suat_Be_Tong!$C:$C,AO754))&lt;=0,"",INDEX(Theo_Doi_Tan_Suat_Be_Tong!$C:$C,AO754)-VLOOKUP(AN754,$AQ$2:$AR$7,2,FALSE)))</f>
        <v/>
      </c>
      <c r="N754" s="4" t="n"/>
      <c r="O754" s="20">
        <f>IF(ROUNDUP(S754/20,0)&gt;ROUNDUP(S753/20,0),"TN Ø16 (Lần " &amp; ROUNDUP(S754/20,0) &amp; ")","")</f>
        <v/>
      </c>
      <c r="P754" s="16">
        <f>ROUND(P753+IF(AND(E754&lt;=10,F754&lt;&gt;"ASTM A416"),L754,0),3)</f>
        <v/>
      </c>
      <c r="Q754" s="16">
        <f>ROUND(Q753+IF(AND(E754=12,F754&lt;&gt;"ASTM A416"),L754,0),3)</f>
        <v/>
      </c>
      <c r="R754" s="16">
        <f>ROUND(R753+IF(AND(E754=14,F754&lt;&gt;"ASTM A416"),L754,0),3)</f>
        <v/>
      </c>
      <c r="S754" s="16">
        <f>ROUND(S753+IF(AND(E754=16,F754&lt;&gt;"ASTM A416"),L754,0),3)</f>
        <v/>
      </c>
      <c r="T754" s="16">
        <f>ROUND(T753+IF(AND(E754=18,F754&lt;&gt;"ASTM A416"),L754,0),3)</f>
        <v/>
      </c>
      <c r="U754" s="16">
        <f>ROUND(U753+IF(AND(E754=20,F754&lt;&gt;"ASTM A416"),L754,0),3)</f>
        <v/>
      </c>
      <c r="V754" s="16">
        <f>ROUND(V753+IF(AND(E754=22,F754&lt;&gt;"ASTM A416"),L754,0),3)</f>
        <v/>
      </c>
      <c r="W754" s="16">
        <f>ROUND(W753+IF(AND(E754=25,F754&lt;&gt;"ASTM A416"),L754,0),3)</f>
        <v/>
      </c>
      <c r="X754" s="16">
        <f>ROUND(X753+IF(AND(E754=28,F754&lt;&gt;"ASTM A416"),L754,0),3)</f>
        <v/>
      </c>
      <c r="Y754" s="16">
        <f>ROUND(Y753+IF(AND(E754=32,F754&lt;&gt;"ASTM A416"),L754,0),3)</f>
        <v/>
      </c>
      <c r="Z754" s="16">
        <f>ROUND(Z753+IF(F754="ASTM A416",L754,0),3)</f>
        <v/>
      </c>
      <c r="AA754" s="9">
        <f>IF(ROUNDUP(P754/20,0)&gt;ROUNDUP(P753/20,0),"Lần " &amp; ROUNDUP(P754/20,0),"")</f>
        <v/>
      </c>
      <c r="AB754" s="9">
        <f>IF(ROUNDUP(Q754/20,0)&gt;ROUNDUP(Q753/20,0),"Lần " &amp; ROUNDUP(Q754/20,0),"")</f>
        <v/>
      </c>
      <c r="AC754" s="9">
        <f>IF(ROUNDUP(R754/20,0)&gt;ROUNDUP(R753/20,0),"Lần " &amp; ROUNDUP(R754/20,0),"")</f>
        <v/>
      </c>
      <c r="AD754" s="9">
        <f>IF(ROUNDUP(S754/20,0)&gt;ROUNDUP(S753/20,0),"Lần " &amp; ROUNDUP(S754/20,0),"")</f>
        <v/>
      </c>
      <c r="AE754" s="9">
        <f>IF(ROUNDUP(T754/20,0)&gt;ROUNDUP(T753/20,0),"Lần " &amp; ROUNDUP(T754/20,0),"")</f>
        <v/>
      </c>
      <c r="AF754" s="9">
        <f>IF(ROUNDUP(U754/20,0)&gt;ROUNDUP(U753/20,0),"Lần " &amp; ROUNDUP(U754/20,0),"")</f>
        <v/>
      </c>
      <c r="AG754" s="9">
        <f>IF(ROUNDUP(V754/20,0)&gt;ROUNDUP(V753/20,0),"Lần " &amp; ROUNDUP(V754/20,0),"")</f>
        <v/>
      </c>
      <c r="AH754" s="9">
        <f>IF(ROUNDUP(W754/20,0)&gt;ROUNDUP(W753/20,0),"Lần " &amp; ROUNDUP(W754/20,0),"")</f>
        <v/>
      </c>
      <c r="AI754" s="9">
        <f>IF(ROUNDUP(X754/20,0)&gt;ROUNDUP(X753/20,0),"Lần " &amp; ROUNDUP(X754/20,0),"")</f>
        <v/>
      </c>
      <c r="AJ754" s="9">
        <f>IF(ROUNDUP(Y754/20,0)&gt;ROUNDUP(Y753/20,0),"Lần " &amp; ROUNDUP(Y754/20,0),"")</f>
        <v/>
      </c>
      <c r="AK754" s="9">
        <f>IF(ROUNDUP(Z754/20,0)&gt;ROUNDUP(Z753/20,0),"Lần " &amp; ROUNDUP(Z754/20,0),"")</f>
        <v/>
      </c>
      <c r="AL754" s="4" t="n"/>
      <c r="AN754" s="596" t="inlineStr">
        <is>
          <t>Dam</t>
        </is>
      </c>
      <c r="AO754" s="596" t="n">
        <v>59</v>
      </c>
      <c r="AQ754" s="594" t="n"/>
      <c r="AR754" s="595" t="n"/>
    </row>
    <row r="755" ht="19" customHeight="1" s="672">
      <c r="A755" s="4" t="n">
        <v>718</v>
      </c>
      <c r="B755" s="5" t="inlineStr">
        <is>
          <t>Dầm chủ Super-T (15 phiến L=38.2m)</t>
        </is>
      </c>
      <c r="C755" s="5" t="inlineStr">
        <is>
          <t>Dầm S1G (tr.94)</t>
        </is>
      </c>
      <c r="D755" s="14" t="inlineStr">
        <is>
          <t>K1b</t>
        </is>
      </c>
      <c r="E755" s="15" t="n">
        <v>16</v>
      </c>
      <c r="F755" s="4" t="inlineStr">
        <is>
          <t>CB400-V</t>
        </is>
      </c>
      <c r="G755" s="5" t="inlineStr">
        <is>
          <t>S06</t>
        </is>
      </c>
      <c r="H755" s="16" t="n">
        <v>0.864</v>
      </c>
      <c r="I755" s="17" t="n">
        <v>72</v>
      </c>
      <c r="J755" s="18" t="n">
        <v>1.578</v>
      </c>
      <c r="K755" s="7">
        <f>ROUND(H755*I755*J755, 2)</f>
        <v/>
      </c>
      <c r="L755" s="19">
        <f>ROUND(K755/1000, 3)</f>
        <v/>
      </c>
      <c r="M755" s="728">
        <f>IF(AO755="","",IF(N(INDEX(Theo_Doi_Tan_Suat_Be_Tong!$C:$C,AO755))&lt;=0,"",INDEX(Theo_Doi_Tan_Suat_Be_Tong!$C:$C,AO755)-VLOOKUP(AN755,$AQ$2:$AR$7,2,FALSE)))</f>
        <v/>
      </c>
      <c r="N755" s="4" t="n"/>
      <c r="O755" s="20">
        <f>IF(ROUNDUP(S755/20,0)&gt;ROUNDUP(S754/20,0),"TN Ø16 (Lần " &amp; ROUNDUP(S755/20,0) &amp; ")","")</f>
        <v/>
      </c>
      <c r="P755" s="16">
        <f>ROUND(P754+IF(AND(E755&lt;=10,F755&lt;&gt;"ASTM A416"),L755,0),3)</f>
        <v/>
      </c>
      <c r="Q755" s="16">
        <f>ROUND(Q754+IF(AND(E755=12,F755&lt;&gt;"ASTM A416"),L755,0),3)</f>
        <v/>
      </c>
      <c r="R755" s="16">
        <f>ROUND(R754+IF(AND(E755=14,F755&lt;&gt;"ASTM A416"),L755,0),3)</f>
        <v/>
      </c>
      <c r="S755" s="16">
        <f>ROUND(S754+IF(AND(E755=16,F755&lt;&gt;"ASTM A416"),L755,0),3)</f>
        <v/>
      </c>
      <c r="T755" s="16">
        <f>ROUND(T754+IF(AND(E755=18,F755&lt;&gt;"ASTM A416"),L755,0),3)</f>
        <v/>
      </c>
      <c r="U755" s="16">
        <f>ROUND(U754+IF(AND(E755=20,F755&lt;&gt;"ASTM A416"),L755,0),3)</f>
        <v/>
      </c>
      <c r="V755" s="16">
        <f>ROUND(V754+IF(AND(E755=22,F755&lt;&gt;"ASTM A416"),L755,0),3)</f>
        <v/>
      </c>
      <c r="W755" s="16">
        <f>ROUND(W754+IF(AND(E755=25,F755&lt;&gt;"ASTM A416"),L755,0),3)</f>
        <v/>
      </c>
      <c r="X755" s="16">
        <f>ROUND(X754+IF(AND(E755=28,F755&lt;&gt;"ASTM A416"),L755,0),3)</f>
        <v/>
      </c>
      <c r="Y755" s="16">
        <f>ROUND(Y754+IF(AND(E755=32,F755&lt;&gt;"ASTM A416"),L755,0),3)</f>
        <v/>
      </c>
      <c r="Z755" s="16">
        <f>ROUND(Z754+IF(F755="ASTM A416",L755,0),3)</f>
        <v/>
      </c>
      <c r="AA755" s="9">
        <f>IF(ROUNDUP(P755/20,0)&gt;ROUNDUP(P754/20,0),"Lần " &amp; ROUNDUP(P755/20,0),"")</f>
        <v/>
      </c>
      <c r="AB755" s="9">
        <f>IF(ROUNDUP(Q755/20,0)&gt;ROUNDUP(Q754/20,0),"Lần " &amp; ROUNDUP(Q755/20,0),"")</f>
        <v/>
      </c>
      <c r="AC755" s="9">
        <f>IF(ROUNDUP(R755/20,0)&gt;ROUNDUP(R754/20,0),"Lần " &amp; ROUNDUP(R755/20,0),"")</f>
        <v/>
      </c>
      <c r="AD755" s="9">
        <f>IF(ROUNDUP(S755/20,0)&gt;ROUNDUP(S754/20,0),"Lần " &amp; ROUNDUP(S755/20,0),"")</f>
        <v/>
      </c>
      <c r="AE755" s="9">
        <f>IF(ROUNDUP(T755/20,0)&gt;ROUNDUP(T754/20,0),"Lần " &amp; ROUNDUP(T755/20,0),"")</f>
        <v/>
      </c>
      <c r="AF755" s="9">
        <f>IF(ROUNDUP(U755/20,0)&gt;ROUNDUP(U754/20,0),"Lần " &amp; ROUNDUP(U755/20,0),"")</f>
        <v/>
      </c>
      <c r="AG755" s="9">
        <f>IF(ROUNDUP(V755/20,0)&gt;ROUNDUP(V754/20,0),"Lần " &amp; ROUNDUP(V755/20,0),"")</f>
        <v/>
      </c>
      <c r="AH755" s="9">
        <f>IF(ROUNDUP(W755/20,0)&gt;ROUNDUP(W754/20,0),"Lần " &amp; ROUNDUP(W755/20,0),"")</f>
        <v/>
      </c>
      <c r="AI755" s="9">
        <f>IF(ROUNDUP(X755/20,0)&gt;ROUNDUP(X754/20,0),"Lần " &amp; ROUNDUP(X755/20,0),"")</f>
        <v/>
      </c>
      <c r="AJ755" s="9">
        <f>IF(ROUNDUP(Y755/20,0)&gt;ROUNDUP(Y754/20,0),"Lần " &amp; ROUNDUP(Y755/20,0),"")</f>
        <v/>
      </c>
      <c r="AK755" s="9">
        <f>IF(ROUNDUP(Z755/20,0)&gt;ROUNDUP(Z754/20,0),"Lần " &amp; ROUNDUP(Z755/20,0),"")</f>
        <v/>
      </c>
      <c r="AL755" s="4" t="n"/>
      <c r="AN755" s="596" t="inlineStr">
        <is>
          <t>Dam</t>
        </is>
      </c>
      <c r="AO755" s="596" t="n">
        <v>59</v>
      </c>
      <c r="AQ755" s="594" t="n"/>
      <c r="AR755" s="595" t="n"/>
    </row>
    <row r="756" ht="19" customHeight="1" s="672">
      <c r="A756" s="4" t="n">
        <v>719</v>
      </c>
      <c r="B756" s="5" t="inlineStr">
        <is>
          <t>Dầm chủ Super-T (15 phiến L=38.2m)</t>
        </is>
      </c>
      <c r="C756" s="5" t="inlineStr">
        <is>
          <t>Cáp DƯL 7 sợi cường độ cao</t>
        </is>
      </c>
      <c r="D756" s="14" t="inlineStr">
        <is>
          <t>CABLE-15.2</t>
        </is>
      </c>
      <c r="E756" s="15" t="n">
        <v>15.2</v>
      </c>
      <c r="F756" s="4" t="inlineStr">
        <is>
          <t>ASTM A416</t>
        </is>
      </c>
      <c r="G756" s="5" t="inlineStr">
        <is>
          <t>Tao cáp xoắn 7 sợi</t>
        </is>
      </c>
      <c r="H756" s="16" t="n">
        <v>38.2</v>
      </c>
      <c r="I756" s="17" t="n">
        <v>660</v>
      </c>
      <c r="J756" s="18" t="n">
        <v>1.102</v>
      </c>
      <c r="K756" s="7">
        <f>ROUND(H756*I756*J756, 2)</f>
        <v/>
      </c>
      <c r="L756" s="19">
        <f>ROUND(K756/1000, 3)</f>
        <v/>
      </c>
      <c r="M756" s="728">
        <f>IF(AO756="","",IF(N(INDEX(Theo_Doi_Tan_Suat_Be_Tong!$C:$C,AO756))&lt;=0,"",INDEX(Theo_Doi_Tan_Suat_Be_Tong!$C:$C,AO756)-VLOOKUP(AN756,$AQ$2:$AR$7,2,FALSE)))</f>
        <v/>
      </c>
      <c r="N756" s="4" t="n"/>
      <c r="O756" s="20">
        <f>IF(ROUNDUP(Z756/20,0)&gt;ROUNDUP(Z755/20,0),"TN Cáp 15.2 (Lần " &amp; ROUNDUP(Z756/20,0) &amp; ")","")</f>
        <v/>
      </c>
      <c r="P756" s="16">
        <f>ROUND(P755+IF(AND(E756&lt;=10,F756&lt;&gt;"ASTM A416"),L756,0),3)</f>
        <v/>
      </c>
      <c r="Q756" s="16">
        <f>ROUND(Q755+IF(AND(E756=12,F756&lt;&gt;"ASTM A416"),L756,0),3)</f>
        <v/>
      </c>
      <c r="R756" s="16">
        <f>ROUND(R755+IF(AND(E756=14,F756&lt;&gt;"ASTM A416"),L756,0),3)</f>
        <v/>
      </c>
      <c r="S756" s="16">
        <f>ROUND(S755+IF(AND(E756=16,F756&lt;&gt;"ASTM A416"),L756,0),3)</f>
        <v/>
      </c>
      <c r="T756" s="16">
        <f>ROUND(T755+IF(AND(E756=18,F756&lt;&gt;"ASTM A416"),L756,0),3)</f>
        <v/>
      </c>
      <c r="U756" s="16">
        <f>ROUND(U755+IF(AND(E756=20,F756&lt;&gt;"ASTM A416"),L756,0),3)</f>
        <v/>
      </c>
      <c r="V756" s="16">
        <f>ROUND(V755+IF(AND(E756=22,F756&lt;&gt;"ASTM A416"),L756,0),3)</f>
        <v/>
      </c>
      <c r="W756" s="16">
        <f>ROUND(W755+IF(AND(E756=25,F756&lt;&gt;"ASTM A416"),L756,0),3)</f>
        <v/>
      </c>
      <c r="X756" s="16">
        <f>ROUND(X755+IF(AND(E756=28,F756&lt;&gt;"ASTM A416"),L756,0),3)</f>
        <v/>
      </c>
      <c r="Y756" s="16">
        <f>ROUND(Y755+IF(AND(E756=32,F756&lt;&gt;"ASTM A416"),L756,0),3)</f>
        <v/>
      </c>
      <c r="Z756" s="16">
        <f>ROUND(Z755+IF(F756="ASTM A416",L756,0),3)</f>
        <v/>
      </c>
      <c r="AA756" s="9">
        <f>IF(ROUNDUP(P756/20,0)&gt;ROUNDUP(P755/20,0),"Lần " &amp; ROUNDUP(P756/20,0),"")</f>
        <v/>
      </c>
      <c r="AB756" s="9">
        <f>IF(ROUNDUP(Q756/20,0)&gt;ROUNDUP(Q755/20,0),"Lần " &amp; ROUNDUP(Q756/20,0),"")</f>
        <v/>
      </c>
      <c r="AC756" s="9">
        <f>IF(ROUNDUP(R756/20,0)&gt;ROUNDUP(R755/20,0),"Lần " &amp; ROUNDUP(R756/20,0),"")</f>
        <v/>
      </c>
      <c r="AD756" s="9">
        <f>IF(ROUNDUP(S756/20,0)&gt;ROUNDUP(S755/20,0),"Lần " &amp; ROUNDUP(S756/20,0),"")</f>
        <v/>
      </c>
      <c r="AE756" s="9">
        <f>IF(ROUNDUP(T756/20,0)&gt;ROUNDUP(T755/20,0),"Lần " &amp; ROUNDUP(T756/20,0),"")</f>
        <v/>
      </c>
      <c r="AF756" s="9">
        <f>IF(ROUNDUP(U756/20,0)&gt;ROUNDUP(U755/20,0),"Lần " &amp; ROUNDUP(U756/20,0),"")</f>
        <v/>
      </c>
      <c r="AG756" s="9">
        <f>IF(ROUNDUP(V756/20,0)&gt;ROUNDUP(V755/20,0),"Lần " &amp; ROUNDUP(V756/20,0),"")</f>
        <v/>
      </c>
      <c r="AH756" s="9">
        <f>IF(ROUNDUP(W756/20,0)&gt;ROUNDUP(W755/20,0),"Lần " &amp; ROUNDUP(W756/20,0),"")</f>
        <v/>
      </c>
      <c r="AI756" s="9">
        <f>IF(ROUNDUP(X756/20,0)&gt;ROUNDUP(X755/20,0),"Lần " &amp; ROUNDUP(X756/20,0),"")</f>
        <v/>
      </c>
      <c r="AJ756" s="9">
        <f>IF(ROUNDUP(Y756/20,0)&gt;ROUNDUP(Y755/20,0),"Lần " &amp; ROUNDUP(Y756/20,0),"")</f>
        <v/>
      </c>
      <c r="AK756" s="9">
        <f>IF(ROUNDUP(Z756/20,0)&gt;ROUNDUP(Z755/20,0),"Lần " &amp; ROUNDUP(Z756/20,0),"")</f>
        <v/>
      </c>
      <c r="AL756" s="4" t="n"/>
      <c r="AN756" s="596" t="inlineStr">
        <is>
          <t>Dam</t>
        </is>
      </c>
      <c r="AO756" s="596" t="n">
        <v>59</v>
      </c>
      <c r="AQ756" s="594" t="n"/>
      <c r="AR756" s="595" t="n"/>
    </row>
    <row r="757" ht="19" customHeight="1" s="672">
      <c r="A757" s="668" t="inlineStr">
        <is>
          <t>--- DẦM NGANG (DIAPHRAGM) ---</t>
        </is>
      </c>
      <c r="B757" s="722" t="n"/>
      <c r="C757" s="722" t="n"/>
      <c r="D757" s="722" t="n"/>
      <c r="E757" s="722" t="n"/>
      <c r="F757" s="722" t="n"/>
      <c r="G757" s="722" t="n"/>
      <c r="H757" s="722" t="n"/>
      <c r="I757" s="722" t="n"/>
      <c r="J757" s="722" t="n"/>
      <c r="K757" s="722" t="n"/>
      <c r="L757" s="722" t="n"/>
      <c r="M757" s="722" t="n"/>
      <c r="N757" s="722" t="n"/>
      <c r="O757" s="722" t="n"/>
      <c r="P757" s="722" t="n"/>
      <c r="Q757" s="722" t="n"/>
      <c r="R757" s="722" t="n"/>
      <c r="S757" s="722" t="n"/>
      <c r="T757" s="722" t="n"/>
      <c r="U757" s="722" t="n"/>
      <c r="V757" s="722" t="n"/>
      <c r="W757" s="722" t="n"/>
      <c r="X757" s="722" t="n"/>
      <c r="Y757" s="722" t="n"/>
      <c r="Z757" s="722" t="n"/>
      <c r="AA757" s="722" t="n"/>
      <c r="AB757" s="722" t="n"/>
      <c r="AC757" s="722" t="n"/>
      <c r="AD757" s="722" t="n"/>
      <c r="AE757" s="722" t="n"/>
      <c r="AF757" s="722" t="n"/>
      <c r="AG757" s="722" t="n"/>
      <c r="AH757" s="722" t="n"/>
      <c r="AI757" s="722" t="n"/>
      <c r="AJ757" s="722" t="n"/>
      <c r="AK757" s="722" t="n"/>
      <c r="AL757" s="721" t="n"/>
      <c r="AQ757" s="594" t="n"/>
      <c r="AR757" s="595" t="n"/>
    </row>
    <row r="758" ht="19" customHeight="1" s="672">
      <c r="A758" s="4" t="n">
        <v>720</v>
      </c>
      <c r="B758" s="5" t="inlineStr">
        <is>
          <t>Dầm ngang (Diaphragm)</t>
        </is>
      </c>
      <c r="C758" s="5" t="inlineStr">
        <is>
          <t>Dầm ngang (tr.96)</t>
        </is>
      </c>
      <c r="D758" s="14" t="inlineStr">
        <is>
          <t>A1</t>
        </is>
      </c>
      <c r="E758" s="15" t="n">
        <v>16</v>
      </c>
      <c r="F758" s="4" t="inlineStr">
        <is>
          <t>CB400-V</t>
        </is>
      </c>
      <c r="G758" s="5" t="inlineStr"/>
      <c r="H758" s="16" t="n">
        <v>0.525</v>
      </c>
      <c r="I758" s="17" t="n">
        <v>384</v>
      </c>
      <c r="J758" s="18" t="n">
        <v>1.578</v>
      </c>
      <c r="K758" s="7">
        <f>ROUND(H758*I758*J758, 2)</f>
        <v/>
      </c>
      <c r="L758" s="19">
        <f>ROUND(K758/1000, 3)</f>
        <v/>
      </c>
      <c r="M758" s="728">
        <f>IF(AO758="","",IF(N(INDEX(Theo_Doi_Tan_Suat_Be_Tong!$C:$C,AO758))&lt;=0,"",INDEX(Theo_Doi_Tan_Suat_Be_Tong!$C:$C,AO758)-VLOOKUP(AN758,$AQ$2:$AR$7,2,FALSE)))</f>
        <v/>
      </c>
      <c r="N758" s="4" t="n"/>
      <c r="O758" s="20">
        <f>IF(ROUNDUP(S758/20,0)&gt;ROUNDUP(S756/20,0),"TN Ø16 (Lần " &amp; ROUNDUP(S758/20,0) &amp; ")","")</f>
        <v/>
      </c>
      <c r="P758" s="16">
        <f>ROUND(P756+IF(AND(E758&lt;=10,F758&lt;&gt;"ASTM A416"),L758,0),3)</f>
        <v/>
      </c>
      <c r="Q758" s="16">
        <f>ROUND(Q756+IF(AND(E758=12,F758&lt;&gt;"ASTM A416"),L758,0),3)</f>
        <v/>
      </c>
      <c r="R758" s="16">
        <f>ROUND(R756+IF(AND(E758=14,F758&lt;&gt;"ASTM A416"),L758,0),3)</f>
        <v/>
      </c>
      <c r="S758" s="16">
        <f>ROUND(S756+IF(AND(E758=16,F758&lt;&gt;"ASTM A416"),L758,0),3)</f>
        <v/>
      </c>
      <c r="T758" s="16">
        <f>ROUND(T756+IF(AND(E758=18,F758&lt;&gt;"ASTM A416"),L758,0),3)</f>
        <v/>
      </c>
      <c r="U758" s="16">
        <f>ROUND(U756+IF(AND(E758=20,F758&lt;&gt;"ASTM A416"),L758,0),3)</f>
        <v/>
      </c>
      <c r="V758" s="16">
        <f>ROUND(V756+IF(AND(E758=22,F758&lt;&gt;"ASTM A416"),L758,0),3)</f>
        <v/>
      </c>
      <c r="W758" s="16">
        <f>ROUND(W756+IF(AND(E758=25,F758&lt;&gt;"ASTM A416"),L758,0),3)</f>
        <v/>
      </c>
      <c r="X758" s="16">
        <f>ROUND(X756+IF(AND(E758=28,F758&lt;&gt;"ASTM A416"),L758,0),3)</f>
        <v/>
      </c>
      <c r="Y758" s="16">
        <f>ROUND(Y756+IF(AND(E758=32,F758&lt;&gt;"ASTM A416"),L758,0),3)</f>
        <v/>
      </c>
      <c r="Z758" s="16">
        <f>ROUND(Z756+IF(F758="ASTM A416",L758,0),3)</f>
        <v/>
      </c>
      <c r="AA758" s="9">
        <f>IF(ROUNDUP(P758/20,0)&gt;ROUNDUP(P756/20,0),"Lần " &amp; ROUNDUP(P758/20,0),"")</f>
        <v/>
      </c>
      <c r="AB758" s="9">
        <f>IF(ROUNDUP(Q758/20,0)&gt;ROUNDUP(Q756/20,0),"Lần " &amp; ROUNDUP(Q758/20,0),"")</f>
        <v/>
      </c>
      <c r="AC758" s="9">
        <f>IF(ROUNDUP(R758/20,0)&gt;ROUNDUP(R756/20,0),"Lần " &amp; ROUNDUP(R758/20,0),"")</f>
        <v/>
      </c>
      <c r="AD758" s="9">
        <f>IF(ROUNDUP(S758/20,0)&gt;ROUNDUP(S756/20,0),"Lần " &amp; ROUNDUP(S758/20,0),"")</f>
        <v/>
      </c>
      <c r="AE758" s="9">
        <f>IF(ROUNDUP(T758/20,0)&gt;ROUNDUP(T756/20,0),"Lần " &amp; ROUNDUP(T758/20,0),"")</f>
        <v/>
      </c>
      <c r="AF758" s="9">
        <f>IF(ROUNDUP(U758/20,0)&gt;ROUNDUP(U756/20,0),"Lần " &amp; ROUNDUP(U758/20,0),"")</f>
        <v/>
      </c>
      <c r="AG758" s="9">
        <f>IF(ROUNDUP(V758/20,0)&gt;ROUNDUP(V756/20,0),"Lần " &amp; ROUNDUP(V758/20,0),"")</f>
        <v/>
      </c>
      <c r="AH758" s="9">
        <f>IF(ROUNDUP(W758/20,0)&gt;ROUNDUP(W756/20,0),"Lần " &amp; ROUNDUP(W758/20,0),"")</f>
        <v/>
      </c>
      <c r="AI758" s="9">
        <f>IF(ROUNDUP(X758/20,0)&gt;ROUNDUP(X756/20,0),"Lần " &amp; ROUNDUP(X758/20,0),"")</f>
        <v/>
      </c>
      <c r="AJ758" s="9">
        <f>IF(ROUNDUP(Y758/20,0)&gt;ROUNDUP(Y756/20,0),"Lần " &amp; ROUNDUP(Y758/20,0),"")</f>
        <v/>
      </c>
      <c r="AK758" s="9">
        <f>IF(ROUNDUP(Z758/20,0)&gt;ROUNDUP(Z756/20,0),"Lần " &amp; ROUNDUP(Z758/20,0),"")</f>
        <v/>
      </c>
      <c r="AL758" s="4" t="n"/>
      <c r="AN758" s="596" t="inlineStr">
        <is>
          <t>HoanThien</t>
        </is>
      </c>
      <c r="AO758" s="596" t="n">
        <v>75</v>
      </c>
      <c r="AQ758" s="594" t="n"/>
      <c r="AR758" s="595" t="n"/>
    </row>
    <row r="759" ht="19" customHeight="1" s="672">
      <c r="A759" s="4" t="n">
        <v>721</v>
      </c>
      <c r="B759" s="5" t="inlineStr">
        <is>
          <t>Dầm ngang (Diaphragm)</t>
        </is>
      </c>
      <c r="C759" s="5" t="inlineStr">
        <is>
          <t>Dầm ngang (tr.96)</t>
        </is>
      </c>
      <c r="D759" s="14" t="inlineStr">
        <is>
          <t>A2</t>
        </is>
      </c>
      <c r="E759" s="15" t="n">
        <v>20</v>
      </c>
      <c r="F759" s="4" t="inlineStr">
        <is>
          <t>CB400-V</t>
        </is>
      </c>
      <c r="G759" s="5" t="inlineStr"/>
      <c r="H759" s="16" t="n">
        <v>1.45</v>
      </c>
      <c r="I759" s="17" t="n">
        <v>96</v>
      </c>
      <c r="J759" s="18" t="n">
        <v>2.466</v>
      </c>
      <c r="K759" s="7">
        <f>ROUND(H759*I759*J759, 2)</f>
        <v/>
      </c>
      <c r="L759" s="19">
        <f>ROUND(K759/1000, 3)</f>
        <v/>
      </c>
      <c r="M759" s="728">
        <f>IF(AO759="","",IF(N(INDEX(Theo_Doi_Tan_Suat_Be_Tong!$C:$C,AO759))&lt;=0,"",INDEX(Theo_Doi_Tan_Suat_Be_Tong!$C:$C,AO759)-VLOOKUP(AN759,$AQ$2:$AR$7,2,FALSE)))</f>
        <v/>
      </c>
      <c r="N759" s="4" t="n"/>
      <c r="O759" s="20">
        <f>IF(ROUNDUP(U759/20,0)&gt;ROUNDUP(U758/20,0),"TN Ø20 (Lần " &amp; ROUNDUP(U759/20,0) &amp; ")","")</f>
        <v/>
      </c>
      <c r="P759" s="16">
        <f>ROUND(P758+IF(AND(E759&lt;=10,F759&lt;&gt;"ASTM A416"),L759,0),3)</f>
        <v/>
      </c>
      <c r="Q759" s="16">
        <f>ROUND(Q758+IF(AND(E759=12,F759&lt;&gt;"ASTM A416"),L759,0),3)</f>
        <v/>
      </c>
      <c r="R759" s="16">
        <f>ROUND(R758+IF(AND(E759=14,F759&lt;&gt;"ASTM A416"),L759,0),3)</f>
        <v/>
      </c>
      <c r="S759" s="16">
        <f>ROUND(S758+IF(AND(E759=16,F759&lt;&gt;"ASTM A416"),L759,0),3)</f>
        <v/>
      </c>
      <c r="T759" s="16">
        <f>ROUND(T758+IF(AND(E759=18,F759&lt;&gt;"ASTM A416"),L759,0),3)</f>
        <v/>
      </c>
      <c r="U759" s="16">
        <f>ROUND(U758+IF(AND(E759=20,F759&lt;&gt;"ASTM A416"),L759,0),3)</f>
        <v/>
      </c>
      <c r="V759" s="16">
        <f>ROUND(V758+IF(AND(E759=22,F759&lt;&gt;"ASTM A416"),L759,0),3)</f>
        <v/>
      </c>
      <c r="W759" s="16">
        <f>ROUND(W758+IF(AND(E759=25,F759&lt;&gt;"ASTM A416"),L759,0),3)</f>
        <v/>
      </c>
      <c r="X759" s="16">
        <f>ROUND(X758+IF(AND(E759=28,F759&lt;&gt;"ASTM A416"),L759,0),3)</f>
        <v/>
      </c>
      <c r="Y759" s="16">
        <f>ROUND(Y758+IF(AND(E759=32,F759&lt;&gt;"ASTM A416"),L759,0),3)</f>
        <v/>
      </c>
      <c r="Z759" s="16">
        <f>ROUND(Z758+IF(F759="ASTM A416",L759,0),3)</f>
        <v/>
      </c>
      <c r="AA759" s="9">
        <f>IF(ROUNDUP(P759/20,0)&gt;ROUNDUP(P758/20,0),"Lần " &amp; ROUNDUP(P759/20,0),"")</f>
        <v/>
      </c>
      <c r="AB759" s="9">
        <f>IF(ROUNDUP(Q759/20,0)&gt;ROUNDUP(Q758/20,0),"Lần " &amp; ROUNDUP(Q759/20,0),"")</f>
        <v/>
      </c>
      <c r="AC759" s="9">
        <f>IF(ROUNDUP(R759/20,0)&gt;ROUNDUP(R758/20,0),"Lần " &amp; ROUNDUP(R759/20,0),"")</f>
        <v/>
      </c>
      <c r="AD759" s="9">
        <f>IF(ROUNDUP(S759/20,0)&gt;ROUNDUP(S758/20,0),"Lần " &amp; ROUNDUP(S759/20,0),"")</f>
        <v/>
      </c>
      <c r="AE759" s="9">
        <f>IF(ROUNDUP(T759/20,0)&gt;ROUNDUP(T758/20,0),"Lần " &amp; ROUNDUP(T759/20,0),"")</f>
        <v/>
      </c>
      <c r="AF759" s="9">
        <f>IF(ROUNDUP(U759/20,0)&gt;ROUNDUP(U758/20,0),"Lần " &amp; ROUNDUP(U759/20,0),"")</f>
        <v/>
      </c>
      <c r="AG759" s="9">
        <f>IF(ROUNDUP(V759/20,0)&gt;ROUNDUP(V758/20,0),"Lần " &amp; ROUNDUP(V759/20,0),"")</f>
        <v/>
      </c>
      <c r="AH759" s="9">
        <f>IF(ROUNDUP(W759/20,0)&gt;ROUNDUP(W758/20,0),"Lần " &amp; ROUNDUP(W759/20,0),"")</f>
        <v/>
      </c>
      <c r="AI759" s="9">
        <f>IF(ROUNDUP(X759/20,0)&gt;ROUNDUP(X758/20,0),"Lần " &amp; ROUNDUP(X759/20,0),"")</f>
        <v/>
      </c>
      <c r="AJ759" s="9">
        <f>IF(ROUNDUP(Y759/20,0)&gt;ROUNDUP(Y758/20,0),"Lần " &amp; ROUNDUP(Y759/20,0),"")</f>
        <v/>
      </c>
      <c r="AK759" s="9">
        <f>IF(ROUNDUP(Z759/20,0)&gt;ROUNDUP(Z758/20,0),"Lần " &amp; ROUNDUP(Z759/20,0),"")</f>
        <v/>
      </c>
      <c r="AL759" s="4" t="n"/>
      <c r="AN759" s="596" t="inlineStr">
        <is>
          <t>HoanThien</t>
        </is>
      </c>
      <c r="AO759" s="596" t="n">
        <v>75</v>
      </c>
      <c r="AQ759" s="594" t="n"/>
      <c r="AR759" s="595" t="n"/>
    </row>
    <row r="760" ht="19" customHeight="1" s="672">
      <c r="A760" s="4" t="n">
        <v>722</v>
      </c>
      <c r="B760" s="5" t="inlineStr">
        <is>
          <t>Dầm ngang (Diaphragm)</t>
        </is>
      </c>
      <c r="C760" s="5" t="inlineStr">
        <is>
          <t>Dầm ngang (tr.96)</t>
        </is>
      </c>
      <c r="D760" s="14" t="inlineStr">
        <is>
          <t>A3</t>
        </is>
      </c>
      <c r="E760" s="15" t="n">
        <v>16</v>
      </c>
      <c r="F760" s="4" t="inlineStr">
        <is>
          <t>CB400-V</t>
        </is>
      </c>
      <c r="G760" s="5" t="inlineStr"/>
      <c r="H760" s="16" t="n">
        <v>1.39</v>
      </c>
      <c r="I760" s="17" t="n">
        <v>336</v>
      </c>
      <c r="J760" s="18" t="n">
        <v>1.578</v>
      </c>
      <c r="K760" s="7">
        <f>ROUND(H760*I760*J760, 2)</f>
        <v/>
      </c>
      <c r="L760" s="19">
        <f>ROUND(K760/1000, 3)</f>
        <v/>
      </c>
      <c r="M760" s="728">
        <f>IF(AO760="","",IF(N(INDEX(Theo_Doi_Tan_Suat_Be_Tong!$C:$C,AO760))&lt;=0,"",INDEX(Theo_Doi_Tan_Suat_Be_Tong!$C:$C,AO760)-VLOOKUP(AN760,$AQ$2:$AR$7,2,FALSE)))</f>
        <v/>
      </c>
      <c r="N760" s="4" t="n"/>
      <c r="O760" s="20">
        <f>IF(ROUNDUP(S760/20,0)&gt;ROUNDUP(S759/20,0),"TN Ø16 (Lần " &amp; ROUNDUP(S760/20,0) &amp; ")","")</f>
        <v/>
      </c>
      <c r="P760" s="16">
        <f>ROUND(P759+IF(AND(E760&lt;=10,F760&lt;&gt;"ASTM A416"),L760,0),3)</f>
        <v/>
      </c>
      <c r="Q760" s="16">
        <f>ROUND(Q759+IF(AND(E760=12,F760&lt;&gt;"ASTM A416"),L760,0),3)</f>
        <v/>
      </c>
      <c r="R760" s="16">
        <f>ROUND(R759+IF(AND(E760=14,F760&lt;&gt;"ASTM A416"),L760,0),3)</f>
        <v/>
      </c>
      <c r="S760" s="16">
        <f>ROUND(S759+IF(AND(E760=16,F760&lt;&gt;"ASTM A416"),L760,0),3)</f>
        <v/>
      </c>
      <c r="T760" s="16">
        <f>ROUND(T759+IF(AND(E760=18,F760&lt;&gt;"ASTM A416"),L760,0),3)</f>
        <v/>
      </c>
      <c r="U760" s="16">
        <f>ROUND(U759+IF(AND(E760=20,F760&lt;&gt;"ASTM A416"),L760,0),3)</f>
        <v/>
      </c>
      <c r="V760" s="16">
        <f>ROUND(V759+IF(AND(E760=22,F760&lt;&gt;"ASTM A416"),L760,0),3)</f>
        <v/>
      </c>
      <c r="W760" s="16">
        <f>ROUND(W759+IF(AND(E760=25,F760&lt;&gt;"ASTM A416"),L760,0),3)</f>
        <v/>
      </c>
      <c r="X760" s="16">
        <f>ROUND(X759+IF(AND(E760=28,F760&lt;&gt;"ASTM A416"),L760,0),3)</f>
        <v/>
      </c>
      <c r="Y760" s="16">
        <f>ROUND(Y759+IF(AND(E760=32,F760&lt;&gt;"ASTM A416"),L760,0),3)</f>
        <v/>
      </c>
      <c r="Z760" s="16">
        <f>ROUND(Z759+IF(F760="ASTM A416",L760,0),3)</f>
        <v/>
      </c>
      <c r="AA760" s="9">
        <f>IF(ROUNDUP(P760/20,0)&gt;ROUNDUP(P759/20,0),"Lần " &amp; ROUNDUP(P760/20,0),"")</f>
        <v/>
      </c>
      <c r="AB760" s="9">
        <f>IF(ROUNDUP(Q760/20,0)&gt;ROUNDUP(Q759/20,0),"Lần " &amp; ROUNDUP(Q760/20,0),"")</f>
        <v/>
      </c>
      <c r="AC760" s="9">
        <f>IF(ROUNDUP(R760/20,0)&gt;ROUNDUP(R759/20,0),"Lần " &amp; ROUNDUP(R760/20,0),"")</f>
        <v/>
      </c>
      <c r="AD760" s="9">
        <f>IF(ROUNDUP(S760/20,0)&gt;ROUNDUP(S759/20,0),"Lần " &amp; ROUNDUP(S760/20,0),"")</f>
        <v/>
      </c>
      <c r="AE760" s="9">
        <f>IF(ROUNDUP(T760/20,0)&gt;ROUNDUP(T759/20,0),"Lần " &amp; ROUNDUP(T760/20,0),"")</f>
        <v/>
      </c>
      <c r="AF760" s="9">
        <f>IF(ROUNDUP(U760/20,0)&gt;ROUNDUP(U759/20,0),"Lần " &amp; ROUNDUP(U760/20,0),"")</f>
        <v/>
      </c>
      <c r="AG760" s="9">
        <f>IF(ROUNDUP(V760/20,0)&gt;ROUNDUP(V759/20,0),"Lần " &amp; ROUNDUP(V760/20,0),"")</f>
        <v/>
      </c>
      <c r="AH760" s="9">
        <f>IF(ROUNDUP(W760/20,0)&gt;ROUNDUP(W759/20,0),"Lần " &amp; ROUNDUP(W760/20,0),"")</f>
        <v/>
      </c>
      <c r="AI760" s="9">
        <f>IF(ROUNDUP(X760/20,0)&gt;ROUNDUP(X759/20,0),"Lần " &amp; ROUNDUP(X760/20,0),"")</f>
        <v/>
      </c>
      <c r="AJ760" s="9">
        <f>IF(ROUNDUP(Y760/20,0)&gt;ROUNDUP(Y759/20,0),"Lần " &amp; ROUNDUP(Y760/20,0),"")</f>
        <v/>
      </c>
      <c r="AK760" s="9">
        <f>IF(ROUNDUP(Z760/20,0)&gt;ROUNDUP(Z759/20,0),"Lần " &amp; ROUNDUP(Z760/20,0),"")</f>
        <v/>
      </c>
      <c r="AL760" s="4" t="n"/>
      <c r="AN760" s="596" t="inlineStr">
        <is>
          <t>HoanThien</t>
        </is>
      </c>
      <c r="AO760" s="596" t="n">
        <v>75</v>
      </c>
      <c r="AQ760" s="594" t="n"/>
      <c r="AR760" s="595" t="n"/>
    </row>
    <row r="761" ht="19" customHeight="1" s="672">
      <c r="A761" s="4" t="n">
        <v>723</v>
      </c>
      <c r="B761" s="5" t="inlineStr">
        <is>
          <t>Dầm ngang (Diaphragm)</t>
        </is>
      </c>
      <c r="C761" s="5" t="inlineStr">
        <is>
          <t>Dầm ngang (tr.96)</t>
        </is>
      </c>
      <c r="D761" s="14" t="inlineStr">
        <is>
          <t>A4</t>
        </is>
      </c>
      <c r="E761" s="15" t="n">
        <v>16</v>
      </c>
      <c r="F761" s="4" t="inlineStr">
        <is>
          <t>CB400-V</t>
        </is>
      </c>
      <c r="G761" s="5" t="inlineStr"/>
      <c r="H761" s="16" t="n">
        <v>1.14</v>
      </c>
      <c r="I761" s="17" t="n">
        <v>96</v>
      </c>
      <c r="J761" s="18" t="n">
        <v>1.578</v>
      </c>
      <c r="K761" s="7">
        <f>ROUND(H761*I761*J761, 2)</f>
        <v/>
      </c>
      <c r="L761" s="19">
        <f>ROUND(K761/1000, 3)</f>
        <v/>
      </c>
      <c r="M761" s="728">
        <f>IF(AO761="","",IF(N(INDEX(Theo_Doi_Tan_Suat_Be_Tong!$C:$C,AO761))&lt;=0,"",INDEX(Theo_Doi_Tan_Suat_Be_Tong!$C:$C,AO761)-VLOOKUP(AN761,$AQ$2:$AR$7,2,FALSE)))</f>
        <v/>
      </c>
      <c r="N761" s="4" t="n"/>
      <c r="O761" s="20">
        <f>IF(ROUNDUP(S761/20,0)&gt;ROUNDUP(S760/20,0),"TN Ø16 (Lần " &amp; ROUNDUP(S761/20,0) &amp; ")","")</f>
        <v/>
      </c>
      <c r="P761" s="16">
        <f>ROUND(P760+IF(AND(E761&lt;=10,F761&lt;&gt;"ASTM A416"),L761,0),3)</f>
        <v/>
      </c>
      <c r="Q761" s="16">
        <f>ROUND(Q760+IF(AND(E761=12,F761&lt;&gt;"ASTM A416"),L761,0),3)</f>
        <v/>
      </c>
      <c r="R761" s="16">
        <f>ROUND(R760+IF(AND(E761=14,F761&lt;&gt;"ASTM A416"),L761,0),3)</f>
        <v/>
      </c>
      <c r="S761" s="16">
        <f>ROUND(S760+IF(AND(E761=16,F761&lt;&gt;"ASTM A416"),L761,0),3)</f>
        <v/>
      </c>
      <c r="T761" s="16">
        <f>ROUND(T760+IF(AND(E761=18,F761&lt;&gt;"ASTM A416"),L761,0),3)</f>
        <v/>
      </c>
      <c r="U761" s="16">
        <f>ROUND(U760+IF(AND(E761=20,F761&lt;&gt;"ASTM A416"),L761,0),3)</f>
        <v/>
      </c>
      <c r="V761" s="16">
        <f>ROUND(V760+IF(AND(E761=22,F761&lt;&gt;"ASTM A416"),L761,0),3)</f>
        <v/>
      </c>
      <c r="W761" s="16">
        <f>ROUND(W760+IF(AND(E761=25,F761&lt;&gt;"ASTM A416"),L761,0),3)</f>
        <v/>
      </c>
      <c r="X761" s="16">
        <f>ROUND(X760+IF(AND(E761=28,F761&lt;&gt;"ASTM A416"),L761,0),3)</f>
        <v/>
      </c>
      <c r="Y761" s="16">
        <f>ROUND(Y760+IF(AND(E761=32,F761&lt;&gt;"ASTM A416"),L761,0),3)</f>
        <v/>
      </c>
      <c r="Z761" s="16">
        <f>ROUND(Z760+IF(F761="ASTM A416",L761,0),3)</f>
        <v/>
      </c>
      <c r="AA761" s="9">
        <f>IF(ROUNDUP(P761/20,0)&gt;ROUNDUP(P760/20,0),"Lần " &amp; ROUNDUP(P761/20,0),"")</f>
        <v/>
      </c>
      <c r="AB761" s="9">
        <f>IF(ROUNDUP(Q761/20,0)&gt;ROUNDUP(Q760/20,0),"Lần " &amp; ROUNDUP(Q761/20,0),"")</f>
        <v/>
      </c>
      <c r="AC761" s="9">
        <f>IF(ROUNDUP(R761/20,0)&gt;ROUNDUP(R760/20,0),"Lần " &amp; ROUNDUP(R761/20,0),"")</f>
        <v/>
      </c>
      <c r="AD761" s="9">
        <f>IF(ROUNDUP(S761/20,0)&gt;ROUNDUP(S760/20,0),"Lần " &amp; ROUNDUP(S761/20,0),"")</f>
        <v/>
      </c>
      <c r="AE761" s="9">
        <f>IF(ROUNDUP(T761/20,0)&gt;ROUNDUP(T760/20,0),"Lần " &amp; ROUNDUP(T761/20,0),"")</f>
        <v/>
      </c>
      <c r="AF761" s="9">
        <f>IF(ROUNDUP(U761/20,0)&gt;ROUNDUP(U760/20,0),"Lần " &amp; ROUNDUP(U761/20,0),"")</f>
        <v/>
      </c>
      <c r="AG761" s="9">
        <f>IF(ROUNDUP(V761/20,0)&gt;ROUNDUP(V760/20,0),"Lần " &amp; ROUNDUP(V761/20,0),"")</f>
        <v/>
      </c>
      <c r="AH761" s="9">
        <f>IF(ROUNDUP(W761/20,0)&gt;ROUNDUP(W760/20,0),"Lần " &amp; ROUNDUP(W761/20,0),"")</f>
        <v/>
      </c>
      <c r="AI761" s="9">
        <f>IF(ROUNDUP(X761/20,0)&gt;ROUNDUP(X760/20,0),"Lần " &amp; ROUNDUP(X761/20,0),"")</f>
        <v/>
      </c>
      <c r="AJ761" s="9">
        <f>IF(ROUNDUP(Y761/20,0)&gt;ROUNDUP(Y760/20,0),"Lần " &amp; ROUNDUP(Y761/20,0),"")</f>
        <v/>
      </c>
      <c r="AK761" s="9">
        <f>IF(ROUNDUP(Z761/20,0)&gt;ROUNDUP(Z760/20,0),"Lần " &amp; ROUNDUP(Z761/20,0),"")</f>
        <v/>
      </c>
      <c r="AL761" s="4" t="n"/>
      <c r="AN761" s="596" t="inlineStr">
        <is>
          <t>HoanThien</t>
        </is>
      </c>
      <c r="AO761" s="596" t="n">
        <v>75</v>
      </c>
      <c r="AQ761" s="594" t="n"/>
      <c r="AR761" s="595" t="n"/>
    </row>
    <row r="762" ht="19" customHeight="1" s="672">
      <c r="A762" s="4" t="n">
        <v>724</v>
      </c>
      <c r="B762" s="5" t="inlineStr">
        <is>
          <t>Dầm ngang (Diaphragm)</t>
        </is>
      </c>
      <c r="C762" s="5" t="inlineStr">
        <is>
          <t>Dầm ngang (tr.96)</t>
        </is>
      </c>
      <c r="D762" s="14" t="inlineStr">
        <is>
          <t>A5</t>
        </is>
      </c>
      <c r="E762" s="15" t="n">
        <v>16</v>
      </c>
      <c r="F762" s="4" t="inlineStr">
        <is>
          <t>CB400-V</t>
        </is>
      </c>
      <c r="G762" s="5" t="inlineStr"/>
      <c r="H762" s="16" t="n">
        <v>3.262</v>
      </c>
      <c r="I762" s="17" t="n">
        <v>192</v>
      </c>
      <c r="J762" s="18" t="n">
        <v>1.578</v>
      </c>
      <c r="K762" s="7">
        <f>ROUND(H762*I762*J762, 2)</f>
        <v/>
      </c>
      <c r="L762" s="19">
        <f>ROUND(K762/1000, 3)</f>
        <v/>
      </c>
      <c r="M762" s="728">
        <f>IF(AO762="","",IF(N(INDEX(Theo_Doi_Tan_Suat_Be_Tong!$C:$C,AO762))&lt;=0,"",INDEX(Theo_Doi_Tan_Suat_Be_Tong!$C:$C,AO762)-VLOOKUP(AN762,$AQ$2:$AR$7,2,FALSE)))</f>
        <v/>
      </c>
      <c r="N762" s="4" t="n"/>
      <c r="O762" s="20">
        <f>IF(ROUNDUP(S762/20,0)&gt;ROUNDUP(S761/20,0),"TN Ø16 (Lần " &amp; ROUNDUP(S762/20,0) &amp; ")","")</f>
        <v/>
      </c>
      <c r="P762" s="16">
        <f>ROUND(P761+IF(AND(E762&lt;=10,F762&lt;&gt;"ASTM A416"),L762,0),3)</f>
        <v/>
      </c>
      <c r="Q762" s="16">
        <f>ROUND(Q761+IF(AND(E762=12,F762&lt;&gt;"ASTM A416"),L762,0),3)</f>
        <v/>
      </c>
      <c r="R762" s="16">
        <f>ROUND(R761+IF(AND(E762=14,F762&lt;&gt;"ASTM A416"),L762,0),3)</f>
        <v/>
      </c>
      <c r="S762" s="16">
        <f>ROUND(S761+IF(AND(E762=16,F762&lt;&gt;"ASTM A416"),L762,0),3)</f>
        <v/>
      </c>
      <c r="T762" s="16">
        <f>ROUND(T761+IF(AND(E762=18,F762&lt;&gt;"ASTM A416"),L762,0),3)</f>
        <v/>
      </c>
      <c r="U762" s="16">
        <f>ROUND(U761+IF(AND(E762=20,F762&lt;&gt;"ASTM A416"),L762,0),3)</f>
        <v/>
      </c>
      <c r="V762" s="16">
        <f>ROUND(V761+IF(AND(E762=22,F762&lt;&gt;"ASTM A416"),L762,0),3)</f>
        <v/>
      </c>
      <c r="W762" s="16">
        <f>ROUND(W761+IF(AND(E762=25,F762&lt;&gt;"ASTM A416"),L762,0),3)</f>
        <v/>
      </c>
      <c r="X762" s="16">
        <f>ROUND(X761+IF(AND(E762=28,F762&lt;&gt;"ASTM A416"),L762,0),3)</f>
        <v/>
      </c>
      <c r="Y762" s="16">
        <f>ROUND(Y761+IF(AND(E762=32,F762&lt;&gt;"ASTM A416"),L762,0),3)</f>
        <v/>
      </c>
      <c r="Z762" s="16">
        <f>ROUND(Z761+IF(F762="ASTM A416",L762,0),3)</f>
        <v/>
      </c>
      <c r="AA762" s="9">
        <f>IF(ROUNDUP(P762/20,0)&gt;ROUNDUP(P761/20,0),"Lần " &amp; ROUNDUP(P762/20,0),"")</f>
        <v/>
      </c>
      <c r="AB762" s="9">
        <f>IF(ROUNDUP(Q762/20,0)&gt;ROUNDUP(Q761/20,0),"Lần " &amp; ROUNDUP(Q762/20,0),"")</f>
        <v/>
      </c>
      <c r="AC762" s="9">
        <f>IF(ROUNDUP(R762/20,0)&gt;ROUNDUP(R761/20,0),"Lần " &amp; ROUNDUP(R762/20,0),"")</f>
        <v/>
      </c>
      <c r="AD762" s="9">
        <f>IF(ROUNDUP(S762/20,0)&gt;ROUNDUP(S761/20,0),"Lần " &amp; ROUNDUP(S762/20,0),"")</f>
        <v/>
      </c>
      <c r="AE762" s="9">
        <f>IF(ROUNDUP(T762/20,0)&gt;ROUNDUP(T761/20,0),"Lần " &amp; ROUNDUP(T762/20,0),"")</f>
        <v/>
      </c>
      <c r="AF762" s="9">
        <f>IF(ROUNDUP(U762/20,0)&gt;ROUNDUP(U761/20,0),"Lần " &amp; ROUNDUP(U762/20,0),"")</f>
        <v/>
      </c>
      <c r="AG762" s="9">
        <f>IF(ROUNDUP(V762/20,0)&gt;ROUNDUP(V761/20,0),"Lần " &amp; ROUNDUP(V762/20,0),"")</f>
        <v/>
      </c>
      <c r="AH762" s="9">
        <f>IF(ROUNDUP(W762/20,0)&gt;ROUNDUP(W761/20,0),"Lần " &amp; ROUNDUP(W762/20,0),"")</f>
        <v/>
      </c>
      <c r="AI762" s="9">
        <f>IF(ROUNDUP(X762/20,0)&gt;ROUNDUP(X761/20,0),"Lần " &amp; ROUNDUP(X762/20,0),"")</f>
        <v/>
      </c>
      <c r="AJ762" s="9">
        <f>IF(ROUNDUP(Y762/20,0)&gt;ROUNDUP(Y761/20,0),"Lần " &amp; ROUNDUP(Y762/20,0),"")</f>
        <v/>
      </c>
      <c r="AK762" s="9">
        <f>IF(ROUNDUP(Z762/20,0)&gt;ROUNDUP(Z761/20,0),"Lần " &amp; ROUNDUP(Z762/20,0),"")</f>
        <v/>
      </c>
      <c r="AL762" s="4" t="n"/>
      <c r="AN762" s="596" t="inlineStr">
        <is>
          <t>HoanThien</t>
        </is>
      </c>
      <c r="AO762" s="596" t="n">
        <v>75</v>
      </c>
      <c r="AQ762" s="594" t="n"/>
      <c r="AR762" s="595" t="n"/>
    </row>
    <row r="763" ht="19" customHeight="1" s="672">
      <c r="A763" s="4" t="n">
        <v>725</v>
      </c>
      <c r="B763" s="5" t="inlineStr">
        <is>
          <t>Dầm ngang (Diaphragm)</t>
        </is>
      </c>
      <c r="C763" s="5" t="inlineStr">
        <is>
          <t>Dầm ngang (tr.96)</t>
        </is>
      </c>
      <c r="D763" s="14" t="inlineStr">
        <is>
          <t>A6</t>
        </is>
      </c>
      <c r="E763" s="15" t="n">
        <v>16</v>
      </c>
      <c r="F763" s="4" t="inlineStr">
        <is>
          <t>CB400-V</t>
        </is>
      </c>
      <c r="G763" s="5" t="inlineStr"/>
      <c r="H763" s="16" t="n">
        <v>2.642</v>
      </c>
      <c r="I763" s="17" t="n">
        <v>48</v>
      </c>
      <c r="J763" s="18" t="n">
        <v>1.578</v>
      </c>
      <c r="K763" s="7">
        <f>ROUND(H763*I763*J763, 2)</f>
        <v/>
      </c>
      <c r="L763" s="19">
        <f>ROUND(K763/1000, 3)</f>
        <v/>
      </c>
      <c r="M763" s="728">
        <f>IF(AO763="","",IF(N(INDEX(Theo_Doi_Tan_Suat_Be_Tong!$C:$C,AO763))&lt;=0,"",INDEX(Theo_Doi_Tan_Suat_Be_Tong!$C:$C,AO763)-VLOOKUP(AN763,$AQ$2:$AR$7,2,FALSE)))</f>
        <v/>
      </c>
      <c r="N763" s="4" t="n"/>
      <c r="O763" s="20">
        <f>IF(ROUNDUP(S763/20,0)&gt;ROUNDUP(S762/20,0),"TN Ø16 (Lần " &amp; ROUNDUP(S763/20,0) &amp; ")","")</f>
        <v/>
      </c>
      <c r="P763" s="16">
        <f>ROUND(P762+IF(AND(E763&lt;=10,F763&lt;&gt;"ASTM A416"),L763,0),3)</f>
        <v/>
      </c>
      <c r="Q763" s="16">
        <f>ROUND(Q762+IF(AND(E763=12,F763&lt;&gt;"ASTM A416"),L763,0),3)</f>
        <v/>
      </c>
      <c r="R763" s="16">
        <f>ROUND(R762+IF(AND(E763=14,F763&lt;&gt;"ASTM A416"),L763,0),3)</f>
        <v/>
      </c>
      <c r="S763" s="16">
        <f>ROUND(S762+IF(AND(E763=16,F763&lt;&gt;"ASTM A416"),L763,0),3)</f>
        <v/>
      </c>
      <c r="T763" s="16">
        <f>ROUND(T762+IF(AND(E763=18,F763&lt;&gt;"ASTM A416"),L763,0),3)</f>
        <v/>
      </c>
      <c r="U763" s="16">
        <f>ROUND(U762+IF(AND(E763=20,F763&lt;&gt;"ASTM A416"),L763,0),3)</f>
        <v/>
      </c>
      <c r="V763" s="16">
        <f>ROUND(V762+IF(AND(E763=22,F763&lt;&gt;"ASTM A416"),L763,0),3)</f>
        <v/>
      </c>
      <c r="W763" s="16">
        <f>ROUND(W762+IF(AND(E763=25,F763&lt;&gt;"ASTM A416"),L763,0),3)</f>
        <v/>
      </c>
      <c r="X763" s="16">
        <f>ROUND(X762+IF(AND(E763=28,F763&lt;&gt;"ASTM A416"),L763,0),3)</f>
        <v/>
      </c>
      <c r="Y763" s="16">
        <f>ROUND(Y762+IF(AND(E763=32,F763&lt;&gt;"ASTM A416"),L763,0),3)</f>
        <v/>
      </c>
      <c r="Z763" s="16">
        <f>ROUND(Z762+IF(F763="ASTM A416",L763,0),3)</f>
        <v/>
      </c>
      <c r="AA763" s="9">
        <f>IF(ROUNDUP(P763/20,0)&gt;ROUNDUP(P762/20,0),"Lần " &amp; ROUNDUP(P763/20,0),"")</f>
        <v/>
      </c>
      <c r="AB763" s="9">
        <f>IF(ROUNDUP(Q763/20,0)&gt;ROUNDUP(Q762/20,0),"Lần " &amp; ROUNDUP(Q763/20,0),"")</f>
        <v/>
      </c>
      <c r="AC763" s="9">
        <f>IF(ROUNDUP(R763/20,0)&gt;ROUNDUP(R762/20,0),"Lần " &amp; ROUNDUP(R763/20,0),"")</f>
        <v/>
      </c>
      <c r="AD763" s="9">
        <f>IF(ROUNDUP(S763/20,0)&gt;ROUNDUP(S762/20,0),"Lần " &amp; ROUNDUP(S763/20,0),"")</f>
        <v/>
      </c>
      <c r="AE763" s="9">
        <f>IF(ROUNDUP(T763/20,0)&gt;ROUNDUP(T762/20,0),"Lần " &amp; ROUNDUP(T763/20,0),"")</f>
        <v/>
      </c>
      <c r="AF763" s="9">
        <f>IF(ROUNDUP(U763/20,0)&gt;ROUNDUP(U762/20,0),"Lần " &amp; ROUNDUP(U763/20,0),"")</f>
        <v/>
      </c>
      <c r="AG763" s="9">
        <f>IF(ROUNDUP(V763/20,0)&gt;ROUNDUP(V762/20,0),"Lần " &amp; ROUNDUP(V763/20,0),"")</f>
        <v/>
      </c>
      <c r="AH763" s="9">
        <f>IF(ROUNDUP(W763/20,0)&gt;ROUNDUP(W762/20,0),"Lần " &amp; ROUNDUP(W763/20,0),"")</f>
        <v/>
      </c>
      <c r="AI763" s="9">
        <f>IF(ROUNDUP(X763/20,0)&gt;ROUNDUP(X762/20,0),"Lần " &amp; ROUNDUP(X763/20,0),"")</f>
        <v/>
      </c>
      <c r="AJ763" s="9">
        <f>IF(ROUNDUP(Y763/20,0)&gt;ROUNDUP(Y762/20,0),"Lần " &amp; ROUNDUP(Y763/20,0),"")</f>
        <v/>
      </c>
      <c r="AK763" s="9">
        <f>IF(ROUNDUP(Z763/20,0)&gt;ROUNDUP(Z762/20,0),"Lần " &amp; ROUNDUP(Z763/20,0),"")</f>
        <v/>
      </c>
      <c r="AL763" s="4" t="n"/>
      <c r="AN763" s="596" t="inlineStr">
        <is>
          <t>HoanThien</t>
        </is>
      </c>
      <c r="AO763" s="596" t="n">
        <v>75</v>
      </c>
      <c r="AQ763" s="594" t="n"/>
      <c r="AR763" s="595" t="n"/>
    </row>
    <row r="764" ht="19" customHeight="1" s="672">
      <c r="A764" s="668" t="inlineStr">
        <is>
          <t>--- BẢN MẶT CẦU (DECK SLAB) ---</t>
        </is>
      </c>
      <c r="B764" s="722" t="n"/>
      <c r="C764" s="722" t="n"/>
      <c r="D764" s="722" t="n"/>
      <c r="E764" s="722" t="n"/>
      <c r="F764" s="722" t="n"/>
      <c r="G764" s="722" t="n"/>
      <c r="H764" s="722" t="n"/>
      <c r="I764" s="722" t="n"/>
      <c r="J764" s="722" t="n"/>
      <c r="K764" s="722" t="n"/>
      <c r="L764" s="722" t="n"/>
      <c r="M764" s="722" t="n"/>
      <c r="N764" s="722" t="n"/>
      <c r="O764" s="722" t="n"/>
      <c r="P764" s="722" t="n"/>
      <c r="Q764" s="722" t="n"/>
      <c r="R764" s="722" t="n"/>
      <c r="S764" s="722" t="n"/>
      <c r="T764" s="722" t="n"/>
      <c r="U764" s="722" t="n"/>
      <c r="V764" s="722" t="n"/>
      <c r="W764" s="722" t="n"/>
      <c r="X764" s="722" t="n"/>
      <c r="Y764" s="722" t="n"/>
      <c r="Z764" s="722" t="n"/>
      <c r="AA764" s="722" t="n"/>
      <c r="AB764" s="722" t="n"/>
      <c r="AC764" s="722" t="n"/>
      <c r="AD764" s="722" t="n"/>
      <c r="AE764" s="722" t="n"/>
      <c r="AF764" s="722" t="n"/>
      <c r="AG764" s="722" t="n"/>
      <c r="AH764" s="722" t="n"/>
      <c r="AI764" s="722" t="n"/>
      <c r="AJ764" s="722" t="n"/>
      <c r="AK764" s="722" t="n"/>
      <c r="AL764" s="721" t="n"/>
      <c r="AQ764" s="594" t="n"/>
      <c r="AR764" s="595" t="n"/>
    </row>
    <row r="765" ht="19" customHeight="1" s="672">
      <c r="A765" s="4" t="n">
        <v>726</v>
      </c>
      <c r="B765" s="5" t="inlineStr">
        <is>
          <t>Bản mặt cầu (Deck Slab)</t>
        </is>
      </c>
      <c r="C765" s="5" t="inlineStr">
        <is>
          <t>Lưới thép BMC đổ bù</t>
        </is>
      </c>
      <c r="D765" s="14" t="inlineStr">
        <is>
          <t>S1</t>
        </is>
      </c>
      <c r="E765" s="15" t="n">
        <v>14</v>
      </c>
      <c r="F765" s="4" t="inlineStr">
        <is>
          <t>CB400-V</t>
        </is>
      </c>
      <c r="G765" s="5" t="inlineStr">
        <is>
          <t>S01</t>
        </is>
      </c>
      <c r="H765" s="16" t="n">
        <v>39.85</v>
      </c>
      <c r="I765" s="17" t="n">
        <v>84</v>
      </c>
      <c r="J765" s="18" t="n">
        <v>1.208</v>
      </c>
      <c r="K765" s="7">
        <f>ROUND(H765*I765*J765, 2)</f>
        <v/>
      </c>
      <c r="L765" s="19">
        <f>ROUND(K765/1000, 3)</f>
        <v/>
      </c>
      <c r="M765" s="728">
        <f>IF(AO765="","",IF(N(INDEX(Theo_Doi_Tan_Suat_Be_Tong!$C:$C,AO765))&lt;=0,"",INDEX(Theo_Doi_Tan_Suat_Be_Tong!$C:$C,AO765)-VLOOKUP(AN765,$AQ$2:$AR$7,2,FALSE)))</f>
        <v/>
      </c>
      <c r="N765" s="4" t="n"/>
      <c r="O765" s="20">
        <f>IF(ROUNDUP(R765/20,0)&gt;ROUNDUP(R763/20,0),"TN Ø14 (Lần " &amp; ROUNDUP(R765/20,0) &amp; ")","")</f>
        <v/>
      </c>
      <c r="P765" s="16">
        <f>ROUND(P763+IF(AND(E765&lt;=10,F765&lt;&gt;"ASTM A416"),L765,0),3)</f>
        <v/>
      </c>
      <c r="Q765" s="16">
        <f>ROUND(Q763+IF(AND(E765=12,F765&lt;&gt;"ASTM A416"),L765,0),3)</f>
        <v/>
      </c>
      <c r="R765" s="16">
        <f>ROUND(R763+IF(AND(E765=14,F765&lt;&gt;"ASTM A416"),L765,0),3)</f>
        <v/>
      </c>
      <c r="S765" s="16">
        <f>ROUND(S763+IF(AND(E765=16,F765&lt;&gt;"ASTM A416"),L765,0),3)</f>
        <v/>
      </c>
      <c r="T765" s="16">
        <f>ROUND(T763+IF(AND(E765=18,F765&lt;&gt;"ASTM A416"),L765,0),3)</f>
        <v/>
      </c>
      <c r="U765" s="16">
        <f>ROUND(U763+IF(AND(E765=20,F765&lt;&gt;"ASTM A416"),L765,0),3)</f>
        <v/>
      </c>
      <c r="V765" s="16">
        <f>ROUND(V763+IF(AND(E765=22,F765&lt;&gt;"ASTM A416"),L765,0),3)</f>
        <v/>
      </c>
      <c r="W765" s="16">
        <f>ROUND(W763+IF(AND(E765=25,F765&lt;&gt;"ASTM A416"),L765,0),3)</f>
        <v/>
      </c>
      <c r="X765" s="16">
        <f>ROUND(X763+IF(AND(E765=28,F765&lt;&gt;"ASTM A416"),L765,0),3)</f>
        <v/>
      </c>
      <c r="Y765" s="16">
        <f>ROUND(Y763+IF(AND(E765=32,F765&lt;&gt;"ASTM A416"),L765,0),3)</f>
        <v/>
      </c>
      <c r="Z765" s="16">
        <f>ROUND(Z763+IF(F765="ASTM A416",L765,0),3)</f>
        <v/>
      </c>
      <c r="AA765" s="9">
        <f>IF(ROUNDUP(P765/20,0)&gt;ROUNDUP(P763/20,0),"Lần " &amp; ROUNDUP(P765/20,0),"")</f>
        <v/>
      </c>
      <c r="AB765" s="9">
        <f>IF(ROUNDUP(Q765/20,0)&gt;ROUNDUP(Q763/20,0),"Lần " &amp; ROUNDUP(Q765/20,0),"")</f>
        <v/>
      </c>
      <c r="AC765" s="9">
        <f>IF(ROUNDUP(R765/20,0)&gt;ROUNDUP(R763/20,0),"Lần " &amp; ROUNDUP(R765/20,0),"")</f>
        <v/>
      </c>
      <c r="AD765" s="9">
        <f>IF(ROUNDUP(S765/20,0)&gt;ROUNDUP(S763/20,0),"Lần " &amp; ROUNDUP(S765/20,0),"")</f>
        <v/>
      </c>
      <c r="AE765" s="9">
        <f>IF(ROUNDUP(T765/20,0)&gt;ROUNDUP(T763/20,0),"Lần " &amp; ROUNDUP(T765/20,0),"")</f>
        <v/>
      </c>
      <c r="AF765" s="9">
        <f>IF(ROUNDUP(U765/20,0)&gt;ROUNDUP(U763/20,0),"Lần " &amp; ROUNDUP(U765/20,0),"")</f>
        <v/>
      </c>
      <c r="AG765" s="9">
        <f>IF(ROUNDUP(V765/20,0)&gt;ROUNDUP(V763/20,0),"Lần " &amp; ROUNDUP(V765/20,0),"")</f>
        <v/>
      </c>
      <c r="AH765" s="9">
        <f>IF(ROUNDUP(W765/20,0)&gt;ROUNDUP(W763/20,0),"Lần " &amp; ROUNDUP(W765/20,0),"")</f>
        <v/>
      </c>
      <c r="AI765" s="9">
        <f>IF(ROUNDUP(X765/20,0)&gt;ROUNDUP(X763/20,0),"Lần " &amp; ROUNDUP(X765/20,0),"")</f>
        <v/>
      </c>
      <c r="AJ765" s="9">
        <f>IF(ROUNDUP(Y765/20,0)&gt;ROUNDUP(Y763/20,0),"Lần " &amp; ROUNDUP(Y765/20,0),"")</f>
        <v/>
      </c>
      <c r="AK765" s="9">
        <f>IF(ROUNDUP(Z765/20,0)&gt;ROUNDUP(Z763/20,0),"Lần " &amp; ROUNDUP(Z765/20,0),"")</f>
        <v/>
      </c>
      <c r="AL765" s="4" t="n"/>
      <c r="AN765" s="596" t="inlineStr">
        <is>
          <t>HoanThien</t>
        </is>
      </c>
      <c r="AO765" s="596" t="n">
        <v>79</v>
      </c>
      <c r="AQ765" s="594" t="n"/>
      <c r="AR765" s="595" t="n"/>
    </row>
    <row r="766" ht="19" customHeight="1" s="672">
      <c r="A766" s="4" t="n">
        <v>727</v>
      </c>
      <c r="B766" s="5" t="inlineStr">
        <is>
          <t>Bản mặt cầu (Deck Slab)</t>
        </is>
      </c>
      <c r="C766" s="5" t="inlineStr">
        <is>
          <t>Lưới thép BMC đổ bù</t>
        </is>
      </c>
      <c r="D766" s="14" t="inlineStr">
        <is>
          <t>S1a</t>
        </is>
      </c>
      <c r="E766" s="15" t="n">
        <v>14</v>
      </c>
      <c r="F766" s="4" t="inlineStr">
        <is>
          <t>CB400-V</t>
        </is>
      </c>
      <c r="G766" s="5" t="inlineStr">
        <is>
          <t>S01</t>
        </is>
      </c>
      <c r="H766" s="16" t="n">
        <v>39.29</v>
      </c>
      <c r="I766" s="17" t="n">
        <v>84</v>
      </c>
      <c r="J766" s="18" t="n">
        <v>1.208</v>
      </c>
      <c r="K766" s="7">
        <f>ROUND(H766*I766*J766, 2)</f>
        <v/>
      </c>
      <c r="L766" s="19">
        <f>ROUND(K766/1000, 3)</f>
        <v/>
      </c>
      <c r="M766" s="728">
        <f>IF(AO766="","",IF(N(INDEX(Theo_Doi_Tan_Suat_Be_Tong!$C:$C,AO766))&lt;=0,"",INDEX(Theo_Doi_Tan_Suat_Be_Tong!$C:$C,AO766)-VLOOKUP(AN766,$AQ$2:$AR$7,2,FALSE)))</f>
        <v/>
      </c>
      <c r="N766" s="4" t="n"/>
      <c r="O766" s="20">
        <f>IF(ROUNDUP(R766/20,0)&gt;ROUNDUP(R765/20,0),"TN Ø14 (Lần " &amp; ROUNDUP(R766/20,0) &amp; ")","")</f>
        <v/>
      </c>
      <c r="P766" s="16">
        <f>ROUND(P765+IF(AND(E766&lt;=10,F766&lt;&gt;"ASTM A416"),L766,0),3)</f>
        <v/>
      </c>
      <c r="Q766" s="16">
        <f>ROUND(Q765+IF(AND(E766=12,F766&lt;&gt;"ASTM A416"),L766,0),3)</f>
        <v/>
      </c>
      <c r="R766" s="16">
        <f>ROUND(R765+IF(AND(E766=14,F766&lt;&gt;"ASTM A416"),L766,0),3)</f>
        <v/>
      </c>
      <c r="S766" s="16">
        <f>ROUND(S765+IF(AND(E766=16,F766&lt;&gt;"ASTM A416"),L766,0),3)</f>
        <v/>
      </c>
      <c r="T766" s="16">
        <f>ROUND(T765+IF(AND(E766=18,F766&lt;&gt;"ASTM A416"),L766,0),3)</f>
        <v/>
      </c>
      <c r="U766" s="16">
        <f>ROUND(U765+IF(AND(E766=20,F766&lt;&gt;"ASTM A416"),L766,0),3)</f>
        <v/>
      </c>
      <c r="V766" s="16">
        <f>ROUND(V765+IF(AND(E766=22,F766&lt;&gt;"ASTM A416"),L766,0),3)</f>
        <v/>
      </c>
      <c r="W766" s="16">
        <f>ROUND(W765+IF(AND(E766=25,F766&lt;&gt;"ASTM A416"),L766,0),3)</f>
        <v/>
      </c>
      <c r="X766" s="16">
        <f>ROUND(X765+IF(AND(E766=28,F766&lt;&gt;"ASTM A416"),L766,0),3)</f>
        <v/>
      </c>
      <c r="Y766" s="16">
        <f>ROUND(Y765+IF(AND(E766=32,F766&lt;&gt;"ASTM A416"),L766,0),3)</f>
        <v/>
      </c>
      <c r="Z766" s="16">
        <f>ROUND(Z765+IF(F766="ASTM A416",L766,0),3)</f>
        <v/>
      </c>
      <c r="AA766" s="9">
        <f>IF(ROUNDUP(P766/20,0)&gt;ROUNDUP(P765/20,0),"Lần " &amp; ROUNDUP(P766/20,0),"")</f>
        <v/>
      </c>
      <c r="AB766" s="9">
        <f>IF(ROUNDUP(Q766/20,0)&gt;ROUNDUP(Q765/20,0),"Lần " &amp; ROUNDUP(Q766/20,0),"")</f>
        <v/>
      </c>
      <c r="AC766" s="9">
        <f>IF(ROUNDUP(R766/20,0)&gt;ROUNDUP(R765/20,0),"Lần " &amp; ROUNDUP(R766/20,0),"")</f>
        <v/>
      </c>
      <c r="AD766" s="9">
        <f>IF(ROUNDUP(S766/20,0)&gt;ROUNDUP(S765/20,0),"Lần " &amp; ROUNDUP(S766/20,0),"")</f>
        <v/>
      </c>
      <c r="AE766" s="9">
        <f>IF(ROUNDUP(T766/20,0)&gt;ROUNDUP(T765/20,0),"Lần " &amp; ROUNDUP(T766/20,0),"")</f>
        <v/>
      </c>
      <c r="AF766" s="9">
        <f>IF(ROUNDUP(U766/20,0)&gt;ROUNDUP(U765/20,0),"Lần " &amp; ROUNDUP(U766/20,0),"")</f>
        <v/>
      </c>
      <c r="AG766" s="9">
        <f>IF(ROUNDUP(V766/20,0)&gt;ROUNDUP(V765/20,0),"Lần " &amp; ROUNDUP(V766/20,0),"")</f>
        <v/>
      </c>
      <c r="AH766" s="9">
        <f>IF(ROUNDUP(W766/20,0)&gt;ROUNDUP(W765/20,0),"Lần " &amp; ROUNDUP(W766/20,0),"")</f>
        <v/>
      </c>
      <c r="AI766" s="9">
        <f>IF(ROUNDUP(X766/20,0)&gt;ROUNDUP(X765/20,0),"Lần " &amp; ROUNDUP(X766/20,0),"")</f>
        <v/>
      </c>
      <c r="AJ766" s="9">
        <f>IF(ROUNDUP(Y766/20,0)&gt;ROUNDUP(Y765/20,0),"Lần " &amp; ROUNDUP(Y766/20,0),"")</f>
        <v/>
      </c>
      <c r="AK766" s="9">
        <f>IF(ROUNDUP(Z766/20,0)&gt;ROUNDUP(Z765/20,0),"Lần " &amp; ROUNDUP(Z766/20,0),"")</f>
        <v/>
      </c>
      <c r="AL766" s="4" t="n"/>
      <c r="AN766" s="596" t="inlineStr">
        <is>
          <t>HoanThien</t>
        </is>
      </c>
      <c r="AO766" s="596" t="n">
        <v>79</v>
      </c>
      <c r="AQ766" s="594" t="n"/>
      <c r="AR766" s="595" t="n"/>
    </row>
    <row r="767" ht="19" customHeight="1" s="672">
      <c r="A767" s="4" t="n">
        <v>728</v>
      </c>
      <c r="B767" s="5" t="inlineStr">
        <is>
          <t>Bản mặt cầu (Deck Slab)</t>
        </is>
      </c>
      <c r="C767" s="5" t="inlineStr">
        <is>
          <t>Lưới thép BMC đổ bù</t>
        </is>
      </c>
      <c r="D767" s="14" t="inlineStr">
        <is>
          <t>S2</t>
        </is>
      </c>
      <c r="E767" s="15" t="n">
        <v>18</v>
      </c>
      <c r="F767" s="4" t="inlineStr">
        <is>
          <t>CB400-V</t>
        </is>
      </c>
      <c r="G767" s="5" t="inlineStr">
        <is>
          <t>S01</t>
        </is>
      </c>
      <c r="H767" s="16" t="n">
        <v>13.135</v>
      </c>
      <c r="I767" s="17" t="n">
        <v>490</v>
      </c>
      <c r="J767" s="18" t="n">
        <v>1.998</v>
      </c>
      <c r="K767" s="7">
        <f>ROUND(H767*I767*J767, 2)</f>
        <v/>
      </c>
      <c r="L767" s="19">
        <f>ROUND(K767/1000, 3)</f>
        <v/>
      </c>
      <c r="M767" s="728">
        <f>IF(AO767="","",IF(N(INDEX(Theo_Doi_Tan_Suat_Be_Tong!$C:$C,AO767))&lt;=0,"",INDEX(Theo_Doi_Tan_Suat_Be_Tong!$C:$C,AO767)-VLOOKUP(AN767,$AQ$2:$AR$7,2,FALSE)))</f>
        <v/>
      </c>
      <c r="N767" s="4" t="n"/>
      <c r="O767" s="20">
        <f>IF(ROUNDUP(T767/20,0)&gt;ROUNDUP(T766/20,0),"TN Ø18 (Lần " &amp; ROUNDUP(T767/20,0) &amp; ")","")</f>
        <v/>
      </c>
      <c r="P767" s="16">
        <f>ROUND(P766+IF(AND(E767&lt;=10,F767&lt;&gt;"ASTM A416"),L767,0),3)</f>
        <v/>
      </c>
      <c r="Q767" s="16">
        <f>ROUND(Q766+IF(AND(E767=12,F767&lt;&gt;"ASTM A416"),L767,0),3)</f>
        <v/>
      </c>
      <c r="R767" s="16">
        <f>ROUND(R766+IF(AND(E767=14,F767&lt;&gt;"ASTM A416"),L767,0),3)</f>
        <v/>
      </c>
      <c r="S767" s="16">
        <f>ROUND(S766+IF(AND(E767=16,F767&lt;&gt;"ASTM A416"),L767,0),3)</f>
        <v/>
      </c>
      <c r="T767" s="16">
        <f>ROUND(T766+IF(AND(E767=18,F767&lt;&gt;"ASTM A416"),L767,0),3)</f>
        <v/>
      </c>
      <c r="U767" s="16">
        <f>ROUND(U766+IF(AND(E767=20,F767&lt;&gt;"ASTM A416"),L767,0),3)</f>
        <v/>
      </c>
      <c r="V767" s="16">
        <f>ROUND(V766+IF(AND(E767=22,F767&lt;&gt;"ASTM A416"),L767,0),3)</f>
        <v/>
      </c>
      <c r="W767" s="16">
        <f>ROUND(W766+IF(AND(E767=25,F767&lt;&gt;"ASTM A416"),L767,0),3)</f>
        <v/>
      </c>
      <c r="X767" s="16">
        <f>ROUND(X766+IF(AND(E767=28,F767&lt;&gt;"ASTM A416"),L767,0),3)</f>
        <v/>
      </c>
      <c r="Y767" s="16">
        <f>ROUND(Y766+IF(AND(E767=32,F767&lt;&gt;"ASTM A416"),L767,0),3)</f>
        <v/>
      </c>
      <c r="Z767" s="16">
        <f>ROUND(Z766+IF(F767="ASTM A416",L767,0),3)</f>
        <v/>
      </c>
      <c r="AA767" s="9">
        <f>IF(ROUNDUP(P767/20,0)&gt;ROUNDUP(P766/20,0),"Lần " &amp; ROUNDUP(P767/20,0),"")</f>
        <v/>
      </c>
      <c r="AB767" s="9">
        <f>IF(ROUNDUP(Q767/20,0)&gt;ROUNDUP(Q766/20,0),"Lần " &amp; ROUNDUP(Q767/20,0),"")</f>
        <v/>
      </c>
      <c r="AC767" s="9">
        <f>IF(ROUNDUP(R767/20,0)&gt;ROUNDUP(R766/20,0),"Lần " &amp; ROUNDUP(R767/20,0),"")</f>
        <v/>
      </c>
      <c r="AD767" s="9">
        <f>IF(ROUNDUP(S767/20,0)&gt;ROUNDUP(S766/20,0),"Lần " &amp; ROUNDUP(S767/20,0),"")</f>
        <v/>
      </c>
      <c r="AE767" s="9">
        <f>IF(ROUNDUP(T767/20,0)&gt;ROUNDUP(T766/20,0),"Lần " &amp; ROUNDUP(T767/20,0),"")</f>
        <v/>
      </c>
      <c r="AF767" s="9">
        <f>IF(ROUNDUP(U767/20,0)&gt;ROUNDUP(U766/20,0),"Lần " &amp; ROUNDUP(U767/20,0),"")</f>
        <v/>
      </c>
      <c r="AG767" s="9">
        <f>IF(ROUNDUP(V767/20,0)&gt;ROUNDUP(V766/20,0),"Lần " &amp; ROUNDUP(V767/20,0),"")</f>
        <v/>
      </c>
      <c r="AH767" s="9">
        <f>IF(ROUNDUP(W767/20,0)&gt;ROUNDUP(W766/20,0),"Lần " &amp; ROUNDUP(W767/20,0),"")</f>
        <v/>
      </c>
      <c r="AI767" s="9">
        <f>IF(ROUNDUP(X767/20,0)&gt;ROUNDUP(X766/20,0),"Lần " &amp; ROUNDUP(X767/20,0),"")</f>
        <v/>
      </c>
      <c r="AJ767" s="9">
        <f>IF(ROUNDUP(Y767/20,0)&gt;ROUNDUP(Y766/20,0),"Lần " &amp; ROUNDUP(Y767/20,0),"")</f>
        <v/>
      </c>
      <c r="AK767" s="9">
        <f>IF(ROUNDUP(Z767/20,0)&gt;ROUNDUP(Z766/20,0),"Lần " &amp; ROUNDUP(Z767/20,0),"")</f>
        <v/>
      </c>
      <c r="AL767" s="4" t="n"/>
      <c r="AN767" s="596" t="inlineStr">
        <is>
          <t>HoanThien</t>
        </is>
      </c>
      <c r="AO767" s="596" t="n">
        <v>79</v>
      </c>
      <c r="AQ767" s="594" t="n"/>
      <c r="AR767" s="595" t="n"/>
    </row>
    <row r="768" ht="19" customHeight="1" s="672">
      <c r="A768" s="4" t="n">
        <v>729</v>
      </c>
      <c r="B768" s="5" t="inlineStr">
        <is>
          <t>Bản mặt cầu (Deck Slab)</t>
        </is>
      </c>
      <c r="C768" s="5" t="inlineStr">
        <is>
          <t>Lưới thép BMC đổ bù</t>
        </is>
      </c>
      <c r="D768" s="14" t="inlineStr">
        <is>
          <t>S3</t>
        </is>
      </c>
      <c r="E768" s="15" t="n">
        <v>10</v>
      </c>
      <c r="F768" s="4" t="inlineStr">
        <is>
          <t>CB240-T</t>
        </is>
      </c>
      <c r="G768" s="5" t="inlineStr">
        <is>
          <t>S01</t>
        </is>
      </c>
      <c r="H768" s="16" t="n">
        <v>0.33</v>
      </c>
      <c r="I768" s="17" t="n">
        <v>2420</v>
      </c>
      <c r="J768" s="18" t="n">
        <v>0.617</v>
      </c>
      <c r="K768" s="7">
        <f>ROUND(H768*I768*J768, 2)</f>
        <v/>
      </c>
      <c r="L768" s="19">
        <f>ROUND(K768/1000, 3)</f>
        <v/>
      </c>
      <c r="M768" s="728">
        <f>IF(AO768="","",IF(N(INDEX(Theo_Doi_Tan_Suat_Be_Tong!$C:$C,AO768))&lt;=0,"",INDEX(Theo_Doi_Tan_Suat_Be_Tong!$C:$C,AO768)-VLOOKUP(AN768,$AQ$2:$AR$7,2,FALSE)))</f>
        <v/>
      </c>
      <c r="N768" s="4" t="n"/>
      <c r="O768" s="20">
        <f>IF(ROUNDUP(P768/20,0)&gt;ROUNDUP(P767/20,0),"TN Ø10 (Lần " &amp; ROUNDUP(P768/20,0) &amp; ")","")</f>
        <v/>
      </c>
      <c r="P768" s="16">
        <f>ROUND(P767+IF(AND(E768&lt;=10,F768&lt;&gt;"ASTM A416"),L768,0),3)</f>
        <v/>
      </c>
      <c r="Q768" s="16">
        <f>ROUND(Q767+IF(AND(E768=12,F768&lt;&gt;"ASTM A416"),L768,0),3)</f>
        <v/>
      </c>
      <c r="R768" s="16">
        <f>ROUND(R767+IF(AND(E768=14,F768&lt;&gt;"ASTM A416"),L768,0),3)</f>
        <v/>
      </c>
      <c r="S768" s="16">
        <f>ROUND(S767+IF(AND(E768=16,F768&lt;&gt;"ASTM A416"),L768,0),3)</f>
        <v/>
      </c>
      <c r="T768" s="16">
        <f>ROUND(T767+IF(AND(E768=18,F768&lt;&gt;"ASTM A416"),L768,0),3)</f>
        <v/>
      </c>
      <c r="U768" s="16">
        <f>ROUND(U767+IF(AND(E768=20,F768&lt;&gt;"ASTM A416"),L768,0),3)</f>
        <v/>
      </c>
      <c r="V768" s="16">
        <f>ROUND(V767+IF(AND(E768=22,F768&lt;&gt;"ASTM A416"),L768,0),3)</f>
        <v/>
      </c>
      <c r="W768" s="16">
        <f>ROUND(W767+IF(AND(E768=25,F768&lt;&gt;"ASTM A416"),L768,0),3)</f>
        <v/>
      </c>
      <c r="X768" s="16">
        <f>ROUND(X767+IF(AND(E768=28,F768&lt;&gt;"ASTM A416"),L768,0),3)</f>
        <v/>
      </c>
      <c r="Y768" s="16">
        <f>ROUND(Y767+IF(AND(E768=32,F768&lt;&gt;"ASTM A416"),L768,0),3)</f>
        <v/>
      </c>
      <c r="Z768" s="16">
        <f>ROUND(Z767+IF(F768="ASTM A416",L768,0),3)</f>
        <v/>
      </c>
      <c r="AA768" s="9">
        <f>IF(ROUNDUP(P768/20,0)&gt;ROUNDUP(P767/20,0),"Lần " &amp; ROUNDUP(P768/20,0),"")</f>
        <v/>
      </c>
      <c r="AB768" s="9">
        <f>IF(ROUNDUP(Q768/20,0)&gt;ROUNDUP(Q767/20,0),"Lần " &amp; ROUNDUP(Q768/20,0),"")</f>
        <v/>
      </c>
      <c r="AC768" s="9">
        <f>IF(ROUNDUP(R768/20,0)&gt;ROUNDUP(R767/20,0),"Lần " &amp; ROUNDUP(R768/20,0),"")</f>
        <v/>
      </c>
      <c r="AD768" s="9">
        <f>IF(ROUNDUP(S768/20,0)&gt;ROUNDUP(S767/20,0),"Lần " &amp; ROUNDUP(S768/20,0),"")</f>
        <v/>
      </c>
      <c r="AE768" s="9">
        <f>IF(ROUNDUP(T768/20,0)&gt;ROUNDUP(T767/20,0),"Lần " &amp; ROUNDUP(T768/20,0),"")</f>
        <v/>
      </c>
      <c r="AF768" s="9">
        <f>IF(ROUNDUP(U768/20,0)&gt;ROUNDUP(U767/20,0),"Lần " &amp; ROUNDUP(U768/20,0),"")</f>
        <v/>
      </c>
      <c r="AG768" s="9">
        <f>IF(ROUNDUP(V768/20,0)&gt;ROUNDUP(V767/20,0),"Lần " &amp; ROUNDUP(V768/20,0),"")</f>
        <v/>
      </c>
      <c r="AH768" s="9">
        <f>IF(ROUNDUP(W768/20,0)&gt;ROUNDUP(W767/20,0),"Lần " &amp; ROUNDUP(W768/20,0),"")</f>
        <v/>
      </c>
      <c r="AI768" s="9">
        <f>IF(ROUNDUP(X768/20,0)&gt;ROUNDUP(X767/20,0),"Lần " &amp; ROUNDUP(X768/20,0),"")</f>
        <v/>
      </c>
      <c r="AJ768" s="9">
        <f>IF(ROUNDUP(Y768/20,0)&gt;ROUNDUP(Y767/20,0),"Lần " &amp; ROUNDUP(Y768/20,0),"")</f>
        <v/>
      </c>
      <c r="AK768" s="9">
        <f>IF(ROUNDUP(Z768/20,0)&gt;ROUNDUP(Z767/20,0),"Lần " &amp; ROUNDUP(Z768/20,0),"")</f>
        <v/>
      </c>
      <c r="AL768" s="4" t="n"/>
      <c r="AN768" s="596" t="inlineStr">
        <is>
          <t>HoanThien</t>
        </is>
      </c>
      <c r="AO768" s="596" t="n">
        <v>79</v>
      </c>
      <c r="AQ768" s="594" t="n"/>
      <c r="AR768" s="595" t="n"/>
    </row>
    <row r="769" ht="19" customHeight="1" s="672">
      <c r="A769" s="4" t="n">
        <v>730</v>
      </c>
      <c r="B769" s="5" t="inlineStr">
        <is>
          <t>Bản mặt cầu (Deck Slab)</t>
        </is>
      </c>
      <c r="C769" s="5" t="inlineStr">
        <is>
          <t>Lưới thép BMC đổ bù</t>
        </is>
      </c>
      <c r="D769" s="14" t="inlineStr">
        <is>
          <t>S4</t>
        </is>
      </c>
      <c r="E769" s="15" t="n">
        <v>18</v>
      </c>
      <c r="F769" s="4" t="inlineStr">
        <is>
          <t>CB400-V</t>
        </is>
      </c>
      <c r="G769" s="5" t="inlineStr">
        <is>
          <t>S01</t>
        </is>
      </c>
      <c r="H769" s="16" t="n">
        <v>2.1</v>
      </c>
      <c r="I769" s="17" t="n">
        <v>980</v>
      </c>
      <c r="J769" s="18" t="n">
        <v>1.998</v>
      </c>
      <c r="K769" s="7">
        <f>ROUND(H769*I769*J769, 2)</f>
        <v/>
      </c>
      <c r="L769" s="19">
        <f>ROUND(K769/1000, 3)</f>
        <v/>
      </c>
      <c r="M769" s="728">
        <f>IF(AO769="","",IF(N(INDEX(Theo_Doi_Tan_Suat_Be_Tong!$C:$C,AO769))&lt;=0,"",INDEX(Theo_Doi_Tan_Suat_Be_Tong!$C:$C,AO769)-VLOOKUP(AN769,$AQ$2:$AR$7,2,FALSE)))</f>
        <v/>
      </c>
      <c r="N769" s="4" t="n"/>
      <c r="O769" s="20">
        <f>IF(ROUNDUP(T769/20,0)&gt;ROUNDUP(T768/20,0),"TN Ø18 (Lần " &amp; ROUNDUP(T769/20,0) &amp; ")","")</f>
        <v/>
      </c>
      <c r="P769" s="16">
        <f>ROUND(P768+IF(AND(E769&lt;=10,F769&lt;&gt;"ASTM A416"),L769,0),3)</f>
        <v/>
      </c>
      <c r="Q769" s="16">
        <f>ROUND(Q768+IF(AND(E769=12,F769&lt;&gt;"ASTM A416"),L769,0),3)</f>
        <v/>
      </c>
      <c r="R769" s="16">
        <f>ROUND(R768+IF(AND(E769=14,F769&lt;&gt;"ASTM A416"),L769,0),3)</f>
        <v/>
      </c>
      <c r="S769" s="16">
        <f>ROUND(S768+IF(AND(E769=16,F769&lt;&gt;"ASTM A416"),L769,0),3)</f>
        <v/>
      </c>
      <c r="T769" s="16">
        <f>ROUND(T768+IF(AND(E769=18,F769&lt;&gt;"ASTM A416"),L769,0),3)</f>
        <v/>
      </c>
      <c r="U769" s="16">
        <f>ROUND(U768+IF(AND(E769=20,F769&lt;&gt;"ASTM A416"),L769,0),3)</f>
        <v/>
      </c>
      <c r="V769" s="16">
        <f>ROUND(V768+IF(AND(E769=22,F769&lt;&gt;"ASTM A416"),L769,0),3)</f>
        <v/>
      </c>
      <c r="W769" s="16">
        <f>ROUND(W768+IF(AND(E769=25,F769&lt;&gt;"ASTM A416"),L769,0),3)</f>
        <v/>
      </c>
      <c r="X769" s="16">
        <f>ROUND(X768+IF(AND(E769=28,F769&lt;&gt;"ASTM A416"),L769,0),3)</f>
        <v/>
      </c>
      <c r="Y769" s="16">
        <f>ROUND(Y768+IF(AND(E769=32,F769&lt;&gt;"ASTM A416"),L769,0),3)</f>
        <v/>
      </c>
      <c r="Z769" s="16">
        <f>ROUND(Z768+IF(F769="ASTM A416",L769,0),3)</f>
        <v/>
      </c>
      <c r="AA769" s="9">
        <f>IF(ROUNDUP(P769/20,0)&gt;ROUNDUP(P768/20,0),"Lần " &amp; ROUNDUP(P769/20,0),"")</f>
        <v/>
      </c>
      <c r="AB769" s="9">
        <f>IF(ROUNDUP(Q769/20,0)&gt;ROUNDUP(Q768/20,0),"Lần " &amp; ROUNDUP(Q769/20,0),"")</f>
        <v/>
      </c>
      <c r="AC769" s="9">
        <f>IF(ROUNDUP(R769/20,0)&gt;ROUNDUP(R768/20,0),"Lần " &amp; ROUNDUP(R769/20,0),"")</f>
        <v/>
      </c>
      <c r="AD769" s="9">
        <f>IF(ROUNDUP(S769/20,0)&gt;ROUNDUP(S768/20,0),"Lần " &amp; ROUNDUP(S769/20,0),"")</f>
        <v/>
      </c>
      <c r="AE769" s="9">
        <f>IF(ROUNDUP(T769/20,0)&gt;ROUNDUP(T768/20,0),"Lần " &amp; ROUNDUP(T769/20,0),"")</f>
        <v/>
      </c>
      <c r="AF769" s="9">
        <f>IF(ROUNDUP(U769/20,0)&gt;ROUNDUP(U768/20,0),"Lần " &amp; ROUNDUP(U769/20,0),"")</f>
        <v/>
      </c>
      <c r="AG769" s="9">
        <f>IF(ROUNDUP(V769/20,0)&gt;ROUNDUP(V768/20,0),"Lần " &amp; ROUNDUP(V769/20,0),"")</f>
        <v/>
      </c>
      <c r="AH769" s="9">
        <f>IF(ROUNDUP(W769/20,0)&gt;ROUNDUP(W768/20,0),"Lần " &amp; ROUNDUP(W769/20,0),"")</f>
        <v/>
      </c>
      <c r="AI769" s="9">
        <f>IF(ROUNDUP(X769/20,0)&gt;ROUNDUP(X768/20,0),"Lần " &amp; ROUNDUP(X769/20,0),"")</f>
        <v/>
      </c>
      <c r="AJ769" s="9">
        <f>IF(ROUNDUP(Y769/20,0)&gt;ROUNDUP(Y768/20,0),"Lần " &amp; ROUNDUP(Y769/20,0),"")</f>
        <v/>
      </c>
      <c r="AK769" s="9">
        <f>IF(ROUNDUP(Z769/20,0)&gt;ROUNDUP(Z768/20,0),"Lần " &amp; ROUNDUP(Z769/20,0),"")</f>
        <v/>
      </c>
      <c r="AL769" s="4" t="n"/>
      <c r="AN769" s="596" t="inlineStr">
        <is>
          <t>HoanThien</t>
        </is>
      </c>
      <c r="AO769" s="596" t="n">
        <v>79</v>
      </c>
      <c r="AQ769" s="594" t="n"/>
      <c r="AR769" s="595" t="n"/>
    </row>
    <row r="770" ht="19" customHeight="1" s="672">
      <c r="A770" s="4" t="n">
        <v>731</v>
      </c>
      <c r="B770" s="5" t="inlineStr">
        <is>
          <t>Bản mặt cầu (Deck Slab)</t>
        </is>
      </c>
      <c r="C770" s="5" t="inlineStr">
        <is>
          <t>Lưới thép BMC đổ bù</t>
        </is>
      </c>
      <c r="D770" s="14" t="inlineStr">
        <is>
          <t>DR1</t>
        </is>
      </c>
      <c r="E770" s="15" t="n">
        <v>14</v>
      </c>
      <c r="F770" s="4" t="inlineStr">
        <is>
          <t>CB400-V</t>
        </is>
      </c>
      <c r="G770" s="5" t="inlineStr">
        <is>
          <t>S01</t>
        </is>
      </c>
      <c r="H770" s="16" t="n">
        <v>0.6</v>
      </c>
      <c r="I770" s="17" t="n">
        <v>64</v>
      </c>
      <c r="J770" s="18" t="n">
        <v>1.208</v>
      </c>
      <c r="K770" s="7">
        <f>ROUND(H770*I770*J770, 2)</f>
        <v/>
      </c>
      <c r="L770" s="19">
        <f>ROUND(K770/1000, 3)</f>
        <v/>
      </c>
      <c r="M770" s="728">
        <f>IF(AO770="","",IF(N(INDEX(Theo_Doi_Tan_Suat_Be_Tong!$C:$C,AO770))&lt;=0,"",INDEX(Theo_Doi_Tan_Suat_Be_Tong!$C:$C,AO770)-VLOOKUP(AN770,$AQ$2:$AR$7,2,FALSE)))</f>
        <v/>
      </c>
      <c r="N770" s="4" t="n"/>
      <c r="O770" s="20">
        <f>IF(ROUNDUP(R770/20,0)&gt;ROUNDUP(R769/20,0),"TN Ø14 (Lần " &amp; ROUNDUP(R770/20,0) &amp; ")","")</f>
        <v/>
      </c>
      <c r="P770" s="16">
        <f>ROUND(P769+IF(AND(E770&lt;=10,F770&lt;&gt;"ASTM A416"),L770,0),3)</f>
        <v/>
      </c>
      <c r="Q770" s="16">
        <f>ROUND(Q769+IF(AND(E770=12,F770&lt;&gt;"ASTM A416"),L770,0),3)</f>
        <v/>
      </c>
      <c r="R770" s="16">
        <f>ROUND(R769+IF(AND(E770=14,F770&lt;&gt;"ASTM A416"),L770,0),3)</f>
        <v/>
      </c>
      <c r="S770" s="16">
        <f>ROUND(S769+IF(AND(E770=16,F770&lt;&gt;"ASTM A416"),L770,0),3)</f>
        <v/>
      </c>
      <c r="T770" s="16">
        <f>ROUND(T769+IF(AND(E770=18,F770&lt;&gt;"ASTM A416"),L770,0),3)</f>
        <v/>
      </c>
      <c r="U770" s="16">
        <f>ROUND(U769+IF(AND(E770=20,F770&lt;&gt;"ASTM A416"),L770,0),3)</f>
        <v/>
      </c>
      <c r="V770" s="16">
        <f>ROUND(V769+IF(AND(E770=22,F770&lt;&gt;"ASTM A416"),L770,0),3)</f>
        <v/>
      </c>
      <c r="W770" s="16">
        <f>ROUND(W769+IF(AND(E770=25,F770&lt;&gt;"ASTM A416"),L770,0),3)</f>
        <v/>
      </c>
      <c r="X770" s="16">
        <f>ROUND(X769+IF(AND(E770=28,F770&lt;&gt;"ASTM A416"),L770,0),3)</f>
        <v/>
      </c>
      <c r="Y770" s="16">
        <f>ROUND(Y769+IF(AND(E770=32,F770&lt;&gt;"ASTM A416"),L770,0),3)</f>
        <v/>
      </c>
      <c r="Z770" s="16">
        <f>ROUND(Z769+IF(F770="ASTM A416",L770,0),3)</f>
        <v/>
      </c>
      <c r="AA770" s="9">
        <f>IF(ROUNDUP(P770/20,0)&gt;ROUNDUP(P769/20,0),"Lần " &amp; ROUNDUP(P770/20,0),"")</f>
        <v/>
      </c>
      <c r="AB770" s="9">
        <f>IF(ROUNDUP(Q770/20,0)&gt;ROUNDUP(Q769/20,0),"Lần " &amp; ROUNDUP(Q770/20,0),"")</f>
        <v/>
      </c>
      <c r="AC770" s="9">
        <f>IF(ROUNDUP(R770/20,0)&gt;ROUNDUP(R769/20,0),"Lần " &amp; ROUNDUP(R770/20,0),"")</f>
        <v/>
      </c>
      <c r="AD770" s="9">
        <f>IF(ROUNDUP(S770/20,0)&gt;ROUNDUP(S769/20,0),"Lần " &amp; ROUNDUP(S770/20,0),"")</f>
        <v/>
      </c>
      <c r="AE770" s="9">
        <f>IF(ROUNDUP(T770/20,0)&gt;ROUNDUP(T769/20,0),"Lần " &amp; ROUNDUP(T770/20,0),"")</f>
        <v/>
      </c>
      <c r="AF770" s="9">
        <f>IF(ROUNDUP(U770/20,0)&gt;ROUNDUP(U769/20,0),"Lần " &amp; ROUNDUP(U770/20,0),"")</f>
        <v/>
      </c>
      <c r="AG770" s="9">
        <f>IF(ROUNDUP(V770/20,0)&gt;ROUNDUP(V769/20,0),"Lần " &amp; ROUNDUP(V770/20,0),"")</f>
        <v/>
      </c>
      <c r="AH770" s="9">
        <f>IF(ROUNDUP(W770/20,0)&gt;ROUNDUP(W769/20,0),"Lần " &amp; ROUNDUP(W770/20,0),"")</f>
        <v/>
      </c>
      <c r="AI770" s="9">
        <f>IF(ROUNDUP(X770/20,0)&gt;ROUNDUP(X769/20,0),"Lần " &amp; ROUNDUP(X770/20,0),"")</f>
        <v/>
      </c>
      <c r="AJ770" s="9">
        <f>IF(ROUNDUP(Y770/20,0)&gt;ROUNDUP(Y769/20,0),"Lần " &amp; ROUNDUP(Y770/20,0),"")</f>
        <v/>
      </c>
      <c r="AK770" s="9">
        <f>IF(ROUNDUP(Z770/20,0)&gt;ROUNDUP(Z769/20,0),"Lần " &amp; ROUNDUP(Z770/20,0),"")</f>
        <v/>
      </c>
      <c r="AL770" s="4" t="n"/>
      <c r="AN770" s="596" t="inlineStr">
        <is>
          <t>HoanThien</t>
        </is>
      </c>
      <c r="AO770" s="596" t="n">
        <v>79</v>
      </c>
      <c r="AQ770" s="594" t="n"/>
      <c r="AR770" s="595" t="n"/>
    </row>
    <row r="771" ht="19" customHeight="1" s="672">
      <c r="A771" s="4" t="n">
        <v>732</v>
      </c>
      <c r="B771" s="5" t="inlineStr">
        <is>
          <t>Bản mặt cầu (Deck Slab)</t>
        </is>
      </c>
      <c r="C771" s="5" t="inlineStr">
        <is>
          <t>Lưới thép BMC đổ bù</t>
        </is>
      </c>
      <c r="D771" s="14" t="inlineStr">
        <is>
          <t>DR2</t>
        </is>
      </c>
      <c r="E771" s="15" t="n">
        <v>14</v>
      </c>
      <c r="F771" s="4" t="inlineStr">
        <is>
          <t>CB400-V</t>
        </is>
      </c>
      <c r="G771" s="5" t="inlineStr">
        <is>
          <t>S01</t>
        </is>
      </c>
      <c r="H771" s="16" t="n">
        <v>1.3</v>
      </c>
      <c r="I771" s="17" t="n">
        <v>32</v>
      </c>
      <c r="J771" s="18" t="n">
        <v>1.208</v>
      </c>
      <c r="K771" s="7">
        <f>ROUND(H771*I771*J771, 2)</f>
        <v/>
      </c>
      <c r="L771" s="19">
        <f>ROUND(K771/1000, 3)</f>
        <v/>
      </c>
      <c r="M771" s="728">
        <f>IF(AO771="","",IF(N(INDEX(Theo_Doi_Tan_Suat_Be_Tong!$C:$C,AO771))&lt;=0,"",INDEX(Theo_Doi_Tan_Suat_Be_Tong!$C:$C,AO771)-VLOOKUP(AN771,$AQ$2:$AR$7,2,FALSE)))</f>
        <v/>
      </c>
      <c r="N771" s="4" t="n"/>
      <c r="O771" s="20">
        <f>IF(ROUNDUP(R771/20,0)&gt;ROUNDUP(R770/20,0),"TN Ø14 (Lần " &amp; ROUNDUP(R771/20,0) &amp; ")","")</f>
        <v/>
      </c>
      <c r="P771" s="16">
        <f>ROUND(P770+IF(AND(E771&lt;=10,F771&lt;&gt;"ASTM A416"),L771,0),3)</f>
        <v/>
      </c>
      <c r="Q771" s="16">
        <f>ROUND(Q770+IF(AND(E771=12,F771&lt;&gt;"ASTM A416"),L771,0),3)</f>
        <v/>
      </c>
      <c r="R771" s="16">
        <f>ROUND(R770+IF(AND(E771=14,F771&lt;&gt;"ASTM A416"),L771,0),3)</f>
        <v/>
      </c>
      <c r="S771" s="16">
        <f>ROUND(S770+IF(AND(E771=16,F771&lt;&gt;"ASTM A416"),L771,0),3)</f>
        <v/>
      </c>
      <c r="T771" s="16">
        <f>ROUND(T770+IF(AND(E771=18,F771&lt;&gt;"ASTM A416"),L771,0),3)</f>
        <v/>
      </c>
      <c r="U771" s="16">
        <f>ROUND(U770+IF(AND(E771=20,F771&lt;&gt;"ASTM A416"),L771,0),3)</f>
        <v/>
      </c>
      <c r="V771" s="16">
        <f>ROUND(V770+IF(AND(E771=22,F771&lt;&gt;"ASTM A416"),L771,0),3)</f>
        <v/>
      </c>
      <c r="W771" s="16">
        <f>ROUND(W770+IF(AND(E771=25,F771&lt;&gt;"ASTM A416"),L771,0),3)</f>
        <v/>
      </c>
      <c r="X771" s="16">
        <f>ROUND(X770+IF(AND(E771=28,F771&lt;&gt;"ASTM A416"),L771,0),3)</f>
        <v/>
      </c>
      <c r="Y771" s="16">
        <f>ROUND(Y770+IF(AND(E771=32,F771&lt;&gt;"ASTM A416"),L771,0),3)</f>
        <v/>
      </c>
      <c r="Z771" s="16">
        <f>ROUND(Z770+IF(F771="ASTM A416",L771,0),3)</f>
        <v/>
      </c>
      <c r="AA771" s="9">
        <f>IF(ROUNDUP(P771/20,0)&gt;ROUNDUP(P770/20,0),"Lần " &amp; ROUNDUP(P771/20,0),"")</f>
        <v/>
      </c>
      <c r="AB771" s="9">
        <f>IF(ROUNDUP(Q771/20,0)&gt;ROUNDUP(Q770/20,0),"Lần " &amp; ROUNDUP(Q771/20,0),"")</f>
        <v/>
      </c>
      <c r="AC771" s="9">
        <f>IF(ROUNDUP(R771/20,0)&gt;ROUNDUP(R770/20,0),"Lần " &amp; ROUNDUP(R771/20,0),"")</f>
        <v/>
      </c>
      <c r="AD771" s="9">
        <f>IF(ROUNDUP(S771/20,0)&gt;ROUNDUP(S770/20,0),"Lần " &amp; ROUNDUP(S771/20,0),"")</f>
        <v/>
      </c>
      <c r="AE771" s="9">
        <f>IF(ROUNDUP(T771/20,0)&gt;ROUNDUP(T770/20,0),"Lần " &amp; ROUNDUP(T771/20,0),"")</f>
        <v/>
      </c>
      <c r="AF771" s="9">
        <f>IF(ROUNDUP(U771/20,0)&gt;ROUNDUP(U770/20,0),"Lần " &amp; ROUNDUP(U771/20,0),"")</f>
        <v/>
      </c>
      <c r="AG771" s="9">
        <f>IF(ROUNDUP(V771/20,0)&gt;ROUNDUP(V770/20,0),"Lần " &amp; ROUNDUP(V771/20,0),"")</f>
        <v/>
      </c>
      <c r="AH771" s="9">
        <f>IF(ROUNDUP(W771/20,0)&gt;ROUNDUP(W770/20,0),"Lần " &amp; ROUNDUP(W771/20,0),"")</f>
        <v/>
      </c>
      <c r="AI771" s="9">
        <f>IF(ROUNDUP(X771/20,0)&gt;ROUNDUP(X770/20,0),"Lần " &amp; ROUNDUP(X771/20,0),"")</f>
        <v/>
      </c>
      <c r="AJ771" s="9">
        <f>IF(ROUNDUP(Y771/20,0)&gt;ROUNDUP(Y770/20,0),"Lần " &amp; ROUNDUP(Y771/20,0),"")</f>
        <v/>
      </c>
      <c r="AK771" s="9">
        <f>IF(ROUNDUP(Z771/20,0)&gt;ROUNDUP(Z770/20,0),"Lần " &amp; ROUNDUP(Z771/20,0),"")</f>
        <v/>
      </c>
      <c r="AL771" s="4" t="n"/>
      <c r="AN771" s="596" t="inlineStr">
        <is>
          <t>HoanThien</t>
        </is>
      </c>
      <c r="AO771" s="596" t="n">
        <v>79</v>
      </c>
      <c r="AQ771" s="594" t="n"/>
      <c r="AR771" s="595" t="n"/>
    </row>
    <row r="772" ht="19" customHeight="1" s="672">
      <c r="A772" s="4" t="n">
        <v>733</v>
      </c>
      <c r="B772" s="5" t="inlineStr">
        <is>
          <t>Bản mặt cầu (Deck Slab)</t>
        </is>
      </c>
      <c r="C772" s="5" t="inlineStr">
        <is>
          <t>Lưới thép BMC đổ bù</t>
        </is>
      </c>
      <c r="D772" s="14" t="inlineStr">
        <is>
          <t>DR3</t>
        </is>
      </c>
      <c r="E772" s="15" t="n">
        <v>14</v>
      </c>
      <c r="F772" s="4" t="inlineStr">
        <is>
          <t>CB400-V</t>
        </is>
      </c>
      <c r="G772" s="5" t="inlineStr">
        <is>
          <t>S01</t>
        </is>
      </c>
      <c r="H772" s="16" t="n">
        <v>0.9</v>
      </c>
      <c r="I772" s="17" t="n">
        <v>64</v>
      </c>
      <c r="J772" s="18" t="n">
        <v>1.208</v>
      </c>
      <c r="K772" s="7">
        <f>ROUND(H772*I772*J772, 2)</f>
        <v/>
      </c>
      <c r="L772" s="19">
        <f>ROUND(K772/1000, 3)</f>
        <v/>
      </c>
      <c r="M772" s="728">
        <f>IF(AO772="","",IF(N(INDEX(Theo_Doi_Tan_Suat_Be_Tong!$C:$C,AO772))&lt;=0,"",INDEX(Theo_Doi_Tan_Suat_Be_Tong!$C:$C,AO772)-VLOOKUP(AN772,$AQ$2:$AR$7,2,FALSE)))</f>
        <v/>
      </c>
      <c r="N772" s="4" t="n"/>
      <c r="O772" s="20">
        <f>IF(ROUNDUP(R772/20,0)&gt;ROUNDUP(R771/20,0),"TN Ø14 (Lần " &amp; ROUNDUP(R772/20,0) &amp; ")","")</f>
        <v/>
      </c>
      <c r="P772" s="16">
        <f>ROUND(P771+IF(AND(E772&lt;=10,F772&lt;&gt;"ASTM A416"),L772,0),3)</f>
        <v/>
      </c>
      <c r="Q772" s="16">
        <f>ROUND(Q771+IF(AND(E772=12,F772&lt;&gt;"ASTM A416"),L772,0),3)</f>
        <v/>
      </c>
      <c r="R772" s="16">
        <f>ROUND(R771+IF(AND(E772=14,F772&lt;&gt;"ASTM A416"),L772,0),3)</f>
        <v/>
      </c>
      <c r="S772" s="16">
        <f>ROUND(S771+IF(AND(E772=16,F772&lt;&gt;"ASTM A416"),L772,0),3)</f>
        <v/>
      </c>
      <c r="T772" s="16">
        <f>ROUND(T771+IF(AND(E772=18,F772&lt;&gt;"ASTM A416"),L772,0),3)</f>
        <v/>
      </c>
      <c r="U772" s="16">
        <f>ROUND(U771+IF(AND(E772=20,F772&lt;&gt;"ASTM A416"),L772,0),3)</f>
        <v/>
      </c>
      <c r="V772" s="16">
        <f>ROUND(V771+IF(AND(E772=22,F772&lt;&gt;"ASTM A416"),L772,0),3)</f>
        <v/>
      </c>
      <c r="W772" s="16">
        <f>ROUND(W771+IF(AND(E772=25,F772&lt;&gt;"ASTM A416"),L772,0),3)</f>
        <v/>
      </c>
      <c r="X772" s="16">
        <f>ROUND(X771+IF(AND(E772=28,F772&lt;&gt;"ASTM A416"),L772,0),3)</f>
        <v/>
      </c>
      <c r="Y772" s="16">
        <f>ROUND(Y771+IF(AND(E772=32,F772&lt;&gt;"ASTM A416"),L772,0),3)</f>
        <v/>
      </c>
      <c r="Z772" s="16">
        <f>ROUND(Z771+IF(F772="ASTM A416",L772,0),3)</f>
        <v/>
      </c>
      <c r="AA772" s="9">
        <f>IF(ROUNDUP(P772/20,0)&gt;ROUNDUP(P771/20,0),"Lần " &amp; ROUNDUP(P772/20,0),"")</f>
        <v/>
      </c>
      <c r="AB772" s="9">
        <f>IF(ROUNDUP(Q772/20,0)&gt;ROUNDUP(Q771/20,0),"Lần " &amp; ROUNDUP(Q772/20,0),"")</f>
        <v/>
      </c>
      <c r="AC772" s="9">
        <f>IF(ROUNDUP(R772/20,0)&gt;ROUNDUP(R771/20,0),"Lần " &amp; ROUNDUP(R772/20,0),"")</f>
        <v/>
      </c>
      <c r="AD772" s="9">
        <f>IF(ROUNDUP(S772/20,0)&gt;ROUNDUP(S771/20,0),"Lần " &amp; ROUNDUP(S772/20,0),"")</f>
        <v/>
      </c>
      <c r="AE772" s="9">
        <f>IF(ROUNDUP(T772/20,0)&gt;ROUNDUP(T771/20,0),"Lần " &amp; ROUNDUP(T772/20,0),"")</f>
        <v/>
      </c>
      <c r="AF772" s="9">
        <f>IF(ROUNDUP(U772/20,0)&gt;ROUNDUP(U771/20,0),"Lần " &amp; ROUNDUP(U772/20,0),"")</f>
        <v/>
      </c>
      <c r="AG772" s="9">
        <f>IF(ROUNDUP(V772/20,0)&gt;ROUNDUP(V771/20,0),"Lần " &amp; ROUNDUP(V772/20,0),"")</f>
        <v/>
      </c>
      <c r="AH772" s="9">
        <f>IF(ROUNDUP(W772/20,0)&gt;ROUNDUP(W771/20,0),"Lần " &amp; ROUNDUP(W772/20,0),"")</f>
        <v/>
      </c>
      <c r="AI772" s="9">
        <f>IF(ROUNDUP(X772/20,0)&gt;ROUNDUP(X771/20,0),"Lần " &amp; ROUNDUP(X772/20,0),"")</f>
        <v/>
      </c>
      <c r="AJ772" s="9">
        <f>IF(ROUNDUP(Y772/20,0)&gt;ROUNDUP(Y771/20,0),"Lần " &amp; ROUNDUP(Y772/20,0),"")</f>
        <v/>
      </c>
      <c r="AK772" s="9">
        <f>IF(ROUNDUP(Z772/20,0)&gt;ROUNDUP(Z771/20,0),"Lần " &amp; ROUNDUP(Z772/20,0),"")</f>
        <v/>
      </c>
      <c r="AL772" s="4" t="n"/>
      <c r="AN772" s="596" t="inlineStr">
        <is>
          <t>HoanThien</t>
        </is>
      </c>
      <c r="AO772" s="596" t="n">
        <v>79</v>
      </c>
      <c r="AQ772" s="594" t="n"/>
      <c r="AR772" s="595" t="n"/>
    </row>
    <row r="773" ht="19" customHeight="1" s="672">
      <c r="A773" s="4" t="n">
        <v>734</v>
      </c>
      <c r="B773" s="5" t="inlineStr">
        <is>
          <t>Bản mặt cầu (Deck Slab)</t>
        </is>
      </c>
      <c r="C773" s="5" t="inlineStr">
        <is>
          <t>Lưới thép BMC đổ bù</t>
        </is>
      </c>
      <c r="D773" s="14" t="inlineStr">
        <is>
          <t>S1</t>
        </is>
      </c>
      <c r="E773" s="15" t="n">
        <v>14</v>
      </c>
      <c r="F773" s="4" t="inlineStr">
        <is>
          <t>CB400-V</t>
        </is>
      </c>
      <c r="G773" s="5" t="inlineStr">
        <is>
          <t>S01</t>
        </is>
      </c>
      <c r="H773" s="16" t="n">
        <v>39.36</v>
      </c>
      <c r="I773" s="17" t="n">
        <v>168</v>
      </c>
      <c r="J773" s="18" t="n">
        <v>1.208</v>
      </c>
      <c r="K773" s="7">
        <f>ROUND(H773*I773*J773, 2)</f>
        <v/>
      </c>
      <c r="L773" s="19">
        <f>ROUND(K773/1000, 3)</f>
        <v/>
      </c>
      <c r="M773" s="728">
        <f>IF(AO773="","",IF(N(INDEX(Theo_Doi_Tan_Suat_Be_Tong!$C:$C,AO773))&lt;=0,"",INDEX(Theo_Doi_Tan_Suat_Be_Tong!$C:$C,AO773)-VLOOKUP(AN773,$AQ$2:$AR$7,2,FALSE)))</f>
        <v/>
      </c>
      <c r="N773" s="4" t="n"/>
      <c r="O773" s="20">
        <f>IF(ROUNDUP(R773/20,0)&gt;ROUNDUP(R772/20,0),"TN Ø14 (Lần " &amp; ROUNDUP(R773/20,0) &amp; ")","")</f>
        <v/>
      </c>
      <c r="P773" s="16">
        <f>ROUND(P772+IF(AND(E773&lt;=10,F773&lt;&gt;"ASTM A416"),L773,0),3)</f>
        <v/>
      </c>
      <c r="Q773" s="16">
        <f>ROUND(Q772+IF(AND(E773=12,F773&lt;&gt;"ASTM A416"),L773,0),3)</f>
        <v/>
      </c>
      <c r="R773" s="16">
        <f>ROUND(R772+IF(AND(E773=14,F773&lt;&gt;"ASTM A416"),L773,0),3)</f>
        <v/>
      </c>
      <c r="S773" s="16">
        <f>ROUND(S772+IF(AND(E773=16,F773&lt;&gt;"ASTM A416"),L773,0),3)</f>
        <v/>
      </c>
      <c r="T773" s="16">
        <f>ROUND(T772+IF(AND(E773=18,F773&lt;&gt;"ASTM A416"),L773,0),3)</f>
        <v/>
      </c>
      <c r="U773" s="16">
        <f>ROUND(U772+IF(AND(E773=20,F773&lt;&gt;"ASTM A416"),L773,0),3)</f>
        <v/>
      </c>
      <c r="V773" s="16">
        <f>ROUND(V772+IF(AND(E773=22,F773&lt;&gt;"ASTM A416"),L773,0),3)</f>
        <v/>
      </c>
      <c r="W773" s="16">
        <f>ROUND(W772+IF(AND(E773=25,F773&lt;&gt;"ASTM A416"),L773,0),3)</f>
        <v/>
      </c>
      <c r="X773" s="16">
        <f>ROUND(X772+IF(AND(E773=28,F773&lt;&gt;"ASTM A416"),L773,0),3)</f>
        <v/>
      </c>
      <c r="Y773" s="16">
        <f>ROUND(Y772+IF(AND(E773=32,F773&lt;&gt;"ASTM A416"),L773,0),3)</f>
        <v/>
      </c>
      <c r="Z773" s="16">
        <f>ROUND(Z772+IF(F773="ASTM A416",L773,0),3)</f>
        <v/>
      </c>
      <c r="AA773" s="9">
        <f>IF(ROUNDUP(P773/20,0)&gt;ROUNDUP(P772/20,0),"Lần " &amp; ROUNDUP(P773/20,0),"")</f>
        <v/>
      </c>
      <c r="AB773" s="9">
        <f>IF(ROUNDUP(Q773/20,0)&gt;ROUNDUP(Q772/20,0),"Lần " &amp; ROUNDUP(Q773/20,0),"")</f>
        <v/>
      </c>
      <c r="AC773" s="9">
        <f>IF(ROUNDUP(R773/20,0)&gt;ROUNDUP(R772/20,0),"Lần " &amp; ROUNDUP(R773/20,0),"")</f>
        <v/>
      </c>
      <c r="AD773" s="9">
        <f>IF(ROUNDUP(S773/20,0)&gt;ROUNDUP(S772/20,0),"Lần " &amp; ROUNDUP(S773/20,0),"")</f>
        <v/>
      </c>
      <c r="AE773" s="9">
        <f>IF(ROUNDUP(T773/20,0)&gt;ROUNDUP(T772/20,0),"Lần " &amp; ROUNDUP(T773/20,0),"")</f>
        <v/>
      </c>
      <c r="AF773" s="9">
        <f>IF(ROUNDUP(U773/20,0)&gt;ROUNDUP(U772/20,0),"Lần " &amp; ROUNDUP(U773/20,0),"")</f>
        <v/>
      </c>
      <c r="AG773" s="9">
        <f>IF(ROUNDUP(V773/20,0)&gt;ROUNDUP(V772/20,0),"Lần " &amp; ROUNDUP(V773/20,0),"")</f>
        <v/>
      </c>
      <c r="AH773" s="9">
        <f>IF(ROUNDUP(W773/20,0)&gt;ROUNDUP(W772/20,0),"Lần " &amp; ROUNDUP(W773/20,0),"")</f>
        <v/>
      </c>
      <c r="AI773" s="9">
        <f>IF(ROUNDUP(X773/20,0)&gt;ROUNDUP(X772/20,0),"Lần " &amp; ROUNDUP(X773/20,0),"")</f>
        <v/>
      </c>
      <c r="AJ773" s="9">
        <f>IF(ROUNDUP(Y773/20,0)&gt;ROUNDUP(Y772/20,0),"Lần " &amp; ROUNDUP(Y773/20,0),"")</f>
        <v/>
      </c>
      <c r="AK773" s="9">
        <f>IF(ROUNDUP(Z773/20,0)&gt;ROUNDUP(Z772/20,0),"Lần " &amp; ROUNDUP(Z773/20,0),"")</f>
        <v/>
      </c>
      <c r="AL773" s="4" t="n"/>
      <c r="AN773" s="596" t="inlineStr">
        <is>
          <t>HoanThien</t>
        </is>
      </c>
      <c r="AO773" s="596" t="n">
        <v>79</v>
      </c>
      <c r="AQ773" s="594" t="n"/>
      <c r="AR773" s="595" t="n"/>
    </row>
    <row r="774" ht="19" customHeight="1" s="672">
      <c r="A774" s="4" t="n">
        <v>735</v>
      </c>
      <c r="B774" s="5" t="inlineStr">
        <is>
          <t>Bản mặt cầu (Deck Slab)</t>
        </is>
      </c>
      <c r="C774" s="5" t="inlineStr">
        <is>
          <t>Lưới thép BMC đổ bù</t>
        </is>
      </c>
      <c r="D774" s="14" t="inlineStr">
        <is>
          <t>S2</t>
        </is>
      </c>
      <c r="E774" s="15" t="n">
        <v>18</v>
      </c>
      <c r="F774" s="4" t="inlineStr">
        <is>
          <t>CB400-V</t>
        </is>
      </c>
      <c r="G774" s="5" t="inlineStr">
        <is>
          <t>S01</t>
        </is>
      </c>
      <c r="H774" s="16" t="n">
        <v>13.135</v>
      </c>
      <c r="I774" s="17" t="n">
        <v>480</v>
      </c>
      <c r="J774" s="18" t="n">
        <v>1.998</v>
      </c>
      <c r="K774" s="7">
        <f>ROUND(H774*I774*J774, 2)</f>
        <v/>
      </c>
      <c r="L774" s="19">
        <f>ROUND(K774/1000, 3)</f>
        <v/>
      </c>
      <c r="M774" s="728">
        <f>IF(AO774="","",IF(N(INDEX(Theo_Doi_Tan_Suat_Be_Tong!$C:$C,AO774))&lt;=0,"",INDEX(Theo_Doi_Tan_Suat_Be_Tong!$C:$C,AO774)-VLOOKUP(AN774,$AQ$2:$AR$7,2,FALSE)))</f>
        <v/>
      </c>
      <c r="N774" s="4" t="n"/>
      <c r="O774" s="20">
        <f>IF(ROUNDUP(T774/20,0)&gt;ROUNDUP(T773/20,0),"TN Ø18 (Lần " &amp; ROUNDUP(T774/20,0) &amp; ")","")</f>
        <v/>
      </c>
      <c r="P774" s="16">
        <f>ROUND(P773+IF(AND(E774&lt;=10,F774&lt;&gt;"ASTM A416"),L774,0),3)</f>
        <v/>
      </c>
      <c r="Q774" s="16">
        <f>ROUND(Q773+IF(AND(E774=12,F774&lt;&gt;"ASTM A416"),L774,0),3)</f>
        <v/>
      </c>
      <c r="R774" s="16">
        <f>ROUND(R773+IF(AND(E774=14,F774&lt;&gt;"ASTM A416"),L774,0),3)</f>
        <v/>
      </c>
      <c r="S774" s="16">
        <f>ROUND(S773+IF(AND(E774=16,F774&lt;&gt;"ASTM A416"),L774,0),3)</f>
        <v/>
      </c>
      <c r="T774" s="16">
        <f>ROUND(T773+IF(AND(E774=18,F774&lt;&gt;"ASTM A416"),L774,0),3)</f>
        <v/>
      </c>
      <c r="U774" s="16">
        <f>ROUND(U773+IF(AND(E774=20,F774&lt;&gt;"ASTM A416"),L774,0),3)</f>
        <v/>
      </c>
      <c r="V774" s="16">
        <f>ROUND(V773+IF(AND(E774=22,F774&lt;&gt;"ASTM A416"),L774,0),3)</f>
        <v/>
      </c>
      <c r="W774" s="16">
        <f>ROUND(W773+IF(AND(E774=25,F774&lt;&gt;"ASTM A416"),L774,0),3)</f>
        <v/>
      </c>
      <c r="X774" s="16">
        <f>ROUND(X773+IF(AND(E774=28,F774&lt;&gt;"ASTM A416"),L774,0),3)</f>
        <v/>
      </c>
      <c r="Y774" s="16">
        <f>ROUND(Y773+IF(AND(E774=32,F774&lt;&gt;"ASTM A416"),L774,0),3)</f>
        <v/>
      </c>
      <c r="Z774" s="16">
        <f>ROUND(Z773+IF(F774="ASTM A416",L774,0),3)</f>
        <v/>
      </c>
      <c r="AA774" s="9">
        <f>IF(ROUNDUP(P774/20,0)&gt;ROUNDUP(P773/20,0),"Lần " &amp; ROUNDUP(P774/20,0),"")</f>
        <v/>
      </c>
      <c r="AB774" s="9">
        <f>IF(ROUNDUP(Q774/20,0)&gt;ROUNDUP(Q773/20,0),"Lần " &amp; ROUNDUP(Q774/20,0),"")</f>
        <v/>
      </c>
      <c r="AC774" s="9">
        <f>IF(ROUNDUP(R774/20,0)&gt;ROUNDUP(R773/20,0),"Lần " &amp; ROUNDUP(R774/20,0),"")</f>
        <v/>
      </c>
      <c r="AD774" s="9">
        <f>IF(ROUNDUP(S774/20,0)&gt;ROUNDUP(S773/20,0),"Lần " &amp; ROUNDUP(S774/20,0),"")</f>
        <v/>
      </c>
      <c r="AE774" s="9">
        <f>IF(ROUNDUP(T774/20,0)&gt;ROUNDUP(T773/20,0),"Lần " &amp; ROUNDUP(T774/20,0),"")</f>
        <v/>
      </c>
      <c r="AF774" s="9">
        <f>IF(ROUNDUP(U774/20,0)&gt;ROUNDUP(U773/20,0),"Lần " &amp; ROUNDUP(U774/20,0),"")</f>
        <v/>
      </c>
      <c r="AG774" s="9">
        <f>IF(ROUNDUP(V774/20,0)&gt;ROUNDUP(V773/20,0),"Lần " &amp; ROUNDUP(V774/20,0),"")</f>
        <v/>
      </c>
      <c r="AH774" s="9">
        <f>IF(ROUNDUP(W774/20,0)&gt;ROUNDUP(W773/20,0),"Lần " &amp; ROUNDUP(W774/20,0),"")</f>
        <v/>
      </c>
      <c r="AI774" s="9">
        <f>IF(ROUNDUP(X774/20,0)&gt;ROUNDUP(X773/20,0),"Lần " &amp; ROUNDUP(X774/20,0),"")</f>
        <v/>
      </c>
      <c r="AJ774" s="9">
        <f>IF(ROUNDUP(Y774/20,0)&gt;ROUNDUP(Y773/20,0),"Lần " &amp; ROUNDUP(Y774/20,0),"")</f>
        <v/>
      </c>
      <c r="AK774" s="9">
        <f>IF(ROUNDUP(Z774/20,0)&gt;ROUNDUP(Z773/20,0),"Lần " &amp; ROUNDUP(Z774/20,0),"")</f>
        <v/>
      </c>
      <c r="AL774" s="4" t="n"/>
      <c r="AN774" s="596" t="inlineStr">
        <is>
          <t>HoanThien</t>
        </is>
      </c>
      <c r="AO774" s="596" t="n">
        <v>79</v>
      </c>
      <c r="AQ774" s="594" t="n"/>
      <c r="AR774" s="595" t="n"/>
    </row>
    <row r="775" ht="19" customHeight="1" s="672">
      <c r="A775" s="4" t="n">
        <v>736</v>
      </c>
      <c r="B775" s="5" t="inlineStr">
        <is>
          <t>Bản mặt cầu (Deck Slab)</t>
        </is>
      </c>
      <c r="C775" s="5" t="inlineStr">
        <is>
          <t>Lưới thép BMC đổ bù</t>
        </is>
      </c>
      <c r="D775" s="14" t="inlineStr">
        <is>
          <t>S3</t>
        </is>
      </c>
      <c r="E775" s="15" t="n">
        <v>10</v>
      </c>
      <c r="F775" s="4" t="inlineStr">
        <is>
          <t>CB240-T</t>
        </is>
      </c>
      <c r="G775" s="5" t="inlineStr">
        <is>
          <t>S01</t>
        </is>
      </c>
      <c r="H775" s="16" t="n">
        <v>0.33</v>
      </c>
      <c r="I775" s="17" t="n">
        <v>2380</v>
      </c>
      <c r="J775" s="18" t="n">
        <v>0.617</v>
      </c>
      <c r="K775" s="7">
        <f>ROUND(H775*I775*J775, 2)</f>
        <v/>
      </c>
      <c r="L775" s="19">
        <f>ROUND(K775/1000, 3)</f>
        <v/>
      </c>
      <c r="M775" s="728">
        <f>IF(AO775="","",IF(N(INDEX(Theo_Doi_Tan_Suat_Be_Tong!$C:$C,AO775))&lt;=0,"",INDEX(Theo_Doi_Tan_Suat_Be_Tong!$C:$C,AO775)-VLOOKUP(AN775,$AQ$2:$AR$7,2,FALSE)))</f>
        <v/>
      </c>
      <c r="N775" s="4" t="n"/>
      <c r="O775" s="20">
        <f>IF(ROUNDUP(P775/20,0)&gt;ROUNDUP(P774/20,0),"TN Ø10 (Lần " &amp; ROUNDUP(P775/20,0) &amp; ")","")</f>
        <v/>
      </c>
      <c r="P775" s="16">
        <f>ROUND(P774+IF(AND(E775&lt;=10,F775&lt;&gt;"ASTM A416"),L775,0),3)</f>
        <v/>
      </c>
      <c r="Q775" s="16">
        <f>ROUND(Q774+IF(AND(E775=12,F775&lt;&gt;"ASTM A416"),L775,0),3)</f>
        <v/>
      </c>
      <c r="R775" s="16">
        <f>ROUND(R774+IF(AND(E775=14,F775&lt;&gt;"ASTM A416"),L775,0),3)</f>
        <v/>
      </c>
      <c r="S775" s="16">
        <f>ROUND(S774+IF(AND(E775=16,F775&lt;&gt;"ASTM A416"),L775,0),3)</f>
        <v/>
      </c>
      <c r="T775" s="16">
        <f>ROUND(T774+IF(AND(E775=18,F775&lt;&gt;"ASTM A416"),L775,0),3)</f>
        <v/>
      </c>
      <c r="U775" s="16">
        <f>ROUND(U774+IF(AND(E775=20,F775&lt;&gt;"ASTM A416"),L775,0),3)</f>
        <v/>
      </c>
      <c r="V775" s="16">
        <f>ROUND(V774+IF(AND(E775=22,F775&lt;&gt;"ASTM A416"),L775,0),3)</f>
        <v/>
      </c>
      <c r="W775" s="16">
        <f>ROUND(W774+IF(AND(E775=25,F775&lt;&gt;"ASTM A416"),L775,0),3)</f>
        <v/>
      </c>
      <c r="X775" s="16">
        <f>ROUND(X774+IF(AND(E775=28,F775&lt;&gt;"ASTM A416"),L775,0),3)</f>
        <v/>
      </c>
      <c r="Y775" s="16">
        <f>ROUND(Y774+IF(AND(E775=32,F775&lt;&gt;"ASTM A416"),L775,0),3)</f>
        <v/>
      </c>
      <c r="Z775" s="16">
        <f>ROUND(Z774+IF(F775="ASTM A416",L775,0),3)</f>
        <v/>
      </c>
      <c r="AA775" s="9">
        <f>IF(ROUNDUP(P775/20,0)&gt;ROUNDUP(P774/20,0),"Lần " &amp; ROUNDUP(P775/20,0),"")</f>
        <v/>
      </c>
      <c r="AB775" s="9">
        <f>IF(ROUNDUP(Q775/20,0)&gt;ROUNDUP(Q774/20,0),"Lần " &amp; ROUNDUP(Q775/20,0),"")</f>
        <v/>
      </c>
      <c r="AC775" s="9">
        <f>IF(ROUNDUP(R775/20,0)&gt;ROUNDUP(R774/20,0),"Lần " &amp; ROUNDUP(R775/20,0),"")</f>
        <v/>
      </c>
      <c r="AD775" s="9">
        <f>IF(ROUNDUP(S775/20,0)&gt;ROUNDUP(S774/20,0),"Lần " &amp; ROUNDUP(S775/20,0),"")</f>
        <v/>
      </c>
      <c r="AE775" s="9">
        <f>IF(ROUNDUP(T775/20,0)&gt;ROUNDUP(T774/20,0),"Lần " &amp; ROUNDUP(T775/20,0),"")</f>
        <v/>
      </c>
      <c r="AF775" s="9">
        <f>IF(ROUNDUP(U775/20,0)&gt;ROUNDUP(U774/20,0),"Lần " &amp; ROUNDUP(U775/20,0),"")</f>
        <v/>
      </c>
      <c r="AG775" s="9">
        <f>IF(ROUNDUP(V775/20,0)&gt;ROUNDUP(V774/20,0),"Lần " &amp; ROUNDUP(V775/20,0),"")</f>
        <v/>
      </c>
      <c r="AH775" s="9">
        <f>IF(ROUNDUP(W775/20,0)&gt;ROUNDUP(W774/20,0),"Lần " &amp; ROUNDUP(W775/20,0),"")</f>
        <v/>
      </c>
      <c r="AI775" s="9">
        <f>IF(ROUNDUP(X775/20,0)&gt;ROUNDUP(X774/20,0),"Lần " &amp; ROUNDUP(X775/20,0),"")</f>
        <v/>
      </c>
      <c r="AJ775" s="9">
        <f>IF(ROUNDUP(Y775/20,0)&gt;ROUNDUP(Y774/20,0),"Lần " &amp; ROUNDUP(Y775/20,0),"")</f>
        <v/>
      </c>
      <c r="AK775" s="9">
        <f>IF(ROUNDUP(Z775/20,0)&gt;ROUNDUP(Z774/20,0),"Lần " &amp; ROUNDUP(Z775/20,0),"")</f>
        <v/>
      </c>
      <c r="AL775" s="4" t="n"/>
      <c r="AN775" s="596" t="inlineStr">
        <is>
          <t>HoanThien</t>
        </is>
      </c>
      <c r="AO775" s="596" t="n">
        <v>79</v>
      </c>
      <c r="AQ775" s="594" t="n"/>
      <c r="AR775" s="595" t="n"/>
    </row>
    <row r="776" ht="19" customHeight="1" s="672">
      <c r="A776" s="4" t="n">
        <v>737</v>
      </c>
      <c r="B776" s="5" t="inlineStr">
        <is>
          <t>Bản mặt cầu (Deck Slab)</t>
        </is>
      </c>
      <c r="C776" s="5" t="inlineStr">
        <is>
          <t>Lưới thép BMC đổ bù</t>
        </is>
      </c>
      <c r="D776" s="14" t="inlineStr">
        <is>
          <t>S4</t>
        </is>
      </c>
      <c r="E776" s="15" t="n">
        <v>18</v>
      </c>
      <c r="F776" s="4" t="inlineStr">
        <is>
          <t>CB400-V</t>
        </is>
      </c>
      <c r="G776" s="5" t="inlineStr">
        <is>
          <t>S01</t>
        </is>
      </c>
      <c r="H776" s="16" t="n">
        <v>2.1</v>
      </c>
      <c r="I776" s="17" t="n">
        <v>960</v>
      </c>
      <c r="J776" s="18" t="n">
        <v>1.998</v>
      </c>
      <c r="K776" s="7">
        <f>ROUND(H776*I776*J776, 2)</f>
        <v/>
      </c>
      <c r="L776" s="19">
        <f>ROUND(K776/1000, 3)</f>
        <v/>
      </c>
      <c r="M776" s="728">
        <f>IF(AO776="","",IF(N(INDEX(Theo_Doi_Tan_Suat_Be_Tong!$C:$C,AO776))&lt;=0,"",INDEX(Theo_Doi_Tan_Suat_Be_Tong!$C:$C,AO776)-VLOOKUP(AN776,$AQ$2:$AR$7,2,FALSE)))</f>
        <v/>
      </c>
      <c r="N776" s="4" t="n"/>
      <c r="O776" s="20">
        <f>IF(ROUNDUP(T776/20,0)&gt;ROUNDUP(T775/20,0),"TN Ø18 (Lần " &amp; ROUNDUP(T776/20,0) &amp; ")","")</f>
        <v/>
      </c>
      <c r="P776" s="16">
        <f>ROUND(P775+IF(AND(E776&lt;=10,F776&lt;&gt;"ASTM A416"),L776,0),3)</f>
        <v/>
      </c>
      <c r="Q776" s="16">
        <f>ROUND(Q775+IF(AND(E776=12,F776&lt;&gt;"ASTM A416"),L776,0),3)</f>
        <v/>
      </c>
      <c r="R776" s="16">
        <f>ROUND(R775+IF(AND(E776=14,F776&lt;&gt;"ASTM A416"),L776,0),3)</f>
        <v/>
      </c>
      <c r="S776" s="16">
        <f>ROUND(S775+IF(AND(E776=16,F776&lt;&gt;"ASTM A416"),L776,0),3)</f>
        <v/>
      </c>
      <c r="T776" s="16">
        <f>ROUND(T775+IF(AND(E776=18,F776&lt;&gt;"ASTM A416"),L776,0),3)</f>
        <v/>
      </c>
      <c r="U776" s="16">
        <f>ROUND(U775+IF(AND(E776=20,F776&lt;&gt;"ASTM A416"),L776,0),3)</f>
        <v/>
      </c>
      <c r="V776" s="16">
        <f>ROUND(V775+IF(AND(E776=22,F776&lt;&gt;"ASTM A416"),L776,0),3)</f>
        <v/>
      </c>
      <c r="W776" s="16">
        <f>ROUND(W775+IF(AND(E776=25,F776&lt;&gt;"ASTM A416"),L776,0),3)</f>
        <v/>
      </c>
      <c r="X776" s="16">
        <f>ROUND(X775+IF(AND(E776=28,F776&lt;&gt;"ASTM A416"),L776,0),3)</f>
        <v/>
      </c>
      <c r="Y776" s="16">
        <f>ROUND(Y775+IF(AND(E776=32,F776&lt;&gt;"ASTM A416"),L776,0),3)</f>
        <v/>
      </c>
      <c r="Z776" s="16">
        <f>ROUND(Z775+IF(F776="ASTM A416",L776,0),3)</f>
        <v/>
      </c>
      <c r="AA776" s="9">
        <f>IF(ROUNDUP(P776/20,0)&gt;ROUNDUP(P775/20,0),"Lần " &amp; ROUNDUP(P776/20,0),"")</f>
        <v/>
      </c>
      <c r="AB776" s="9">
        <f>IF(ROUNDUP(Q776/20,0)&gt;ROUNDUP(Q775/20,0),"Lần " &amp; ROUNDUP(Q776/20,0),"")</f>
        <v/>
      </c>
      <c r="AC776" s="9">
        <f>IF(ROUNDUP(R776/20,0)&gt;ROUNDUP(R775/20,0),"Lần " &amp; ROUNDUP(R776/20,0),"")</f>
        <v/>
      </c>
      <c r="AD776" s="9">
        <f>IF(ROUNDUP(S776/20,0)&gt;ROUNDUP(S775/20,0),"Lần " &amp; ROUNDUP(S776/20,0),"")</f>
        <v/>
      </c>
      <c r="AE776" s="9">
        <f>IF(ROUNDUP(T776/20,0)&gt;ROUNDUP(T775/20,0),"Lần " &amp; ROUNDUP(T776/20,0),"")</f>
        <v/>
      </c>
      <c r="AF776" s="9">
        <f>IF(ROUNDUP(U776/20,0)&gt;ROUNDUP(U775/20,0),"Lần " &amp; ROUNDUP(U776/20,0),"")</f>
        <v/>
      </c>
      <c r="AG776" s="9">
        <f>IF(ROUNDUP(V776/20,0)&gt;ROUNDUP(V775/20,0),"Lần " &amp; ROUNDUP(V776/20,0),"")</f>
        <v/>
      </c>
      <c r="AH776" s="9">
        <f>IF(ROUNDUP(W776/20,0)&gt;ROUNDUP(W775/20,0),"Lần " &amp; ROUNDUP(W776/20,0),"")</f>
        <v/>
      </c>
      <c r="AI776" s="9">
        <f>IF(ROUNDUP(X776/20,0)&gt;ROUNDUP(X775/20,0),"Lần " &amp; ROUNDUP(X776/20,0),"")</f>
        <v/>
      </c>
      <c r="AJ776" s="9">
        <f>IF(ROUNDUP(Y776/20,0)&gt;ROUNDUP(Y775/20,0),"Lần " &amp; ROUNDUP(Y776/20,0),"")</f>
        <v/>
      </c>
      <c r="AK776" s="9">
        <f>IF(ROUNDUP(Z776/20,0)&gt;ROUNDUP(Z775/20,0),"Lần " &amp; ROUNDUP(Z776/20,0),"")</f>
        <v/>
      </c>
      <c r="AL776" s="4" t="n"/>
      <c r="AN776" s="596" t="inlineStr">
        <is>
          <t>HoanThien</t>
        </is>
      </c>
      <c r="AO776" s="596" t="n">
        <v>79</v>
      </c>
      <c r="AQ776" s="594" t="n"/>
      <c r="AR776" s="595" t="n"/>
    </row>
    <row r="777" ht="19" customHeight="1" s="672">
      <c r="A777" s="4" t="n">
        <v>738</v>
      </c>
      <c r="B777" s="5" t="inlineStr">
        <is>
          <t>Bản mặt cầu (Deck Slab)</t>
        </is>
      </c>
      <c r="C777" s="5" t="inlineStr">
        <is>
          <t>Lưới thép BMC đổ bù</t>
        </is>
      </c>
      <c r="D777" s="14" t="inlineStr">
        <is>
          <t>DR1</t>
        </is>
      </c>
      <c r="E777" s="15" t="n">
        <v>14</v>
      </c>
      <c r="F777" s="4" t="inlineStr">
        <is>
          <t>CB400-V</t>
        </is>
      </c>
      <c r="G777" s="5" t="inlineStr">
        <is>
          <t>S01</t>
        </is>
      </c>
      <c r="H777" s="16" t="n">
        <v>0.6</v>
      </c>
      <c r="I777" s="17" t="n">
        <v>64</v>
      </c>
      <c r="J777" s="18" t="n">
        <v>1.208</v>
      </c>
      <c r="K777" s="7">
        <f>ROUND(H777*I777*J777, 2)</f>
        <v/>
      </c>
      <c r="L777" s="19">
        <f>ROUND(K777/1000, 3)</f>
        <v/>
      </c>
      <c r="M777" s="728">
        <f>IF(AO777="","",IF(N(INDEX(Theo_Doi_Tan_Suat_Be_Tong!$C:$C,AO777))&lt;=0,"",INDEX(Theo_Doi_Tan_Suat_Be_Tong!$C:$C,AO777)-VLOOKUP(AN777,$AQ$2:$AR$7,2,FALSE)))</f>
        <v/>
      </c>
      <c r="N777" s="4" t="n"/>
      <c r="O777" s="20">
        <f>IF(ROUNDUP(R777/20,0)&gt;ROUNDUP(R776/20,0),"TN Ø14 (Lần " &amp; ROUNDUP(R777/20,0) &amp; ")","")</f>
        <v/>
      </c>
      <c r="P777" s="16">
        <f>ROUND(P776+IF(AND(E777&lt;=10,F777&lt;&gt;"ASTM A416"),L777,0),3)</f>
        <v/>
      </c>
      <c r="Q777" s="16">
        <f>ROUND(Q776+IF(AND(E777=12,F777&lt;&gt;"ASTM A416"),L777,0),3)</f>
        <v/>
      </c>
      <c r="R777" s="16">
        <f>ROUND(R776+IF(AND(E777=14,F777&lt;&gt;"ASTM A416"),L777,0),3)</f>
        <v/>
      </c>
      <c r="S777" s="16">
        <f>ROUND(S776+IF(AND(E777=16,F777&lt;&gt;"ASTM A416"),L777,0),3)</f>
        <v/>
      </c>
      <c r="T777" s="16">
        <f>ROUND(T776+IF(AND(E777=18,F777&lt;&gt;"ASTM A416"),L777,0),3)</f>
        <v/>
      </c>
      <c r="U777" s="16">
        <f>ROUND(U776+IF(AND(E777=20,F777&lt;&gt;"ASTM A416"),L777,0),3)</f>
        <v/>
      </c>
      <c r="V777" s="16">
        <f>ROUND(V776+IF(AND(E777=22,F777&lt;&gt;"ASTM A416"),L777,0),3)</f>
        <v/>
      </c>
      <c r="W777" s="16">
        <f>ROUND(W776+IF(AND(E777=25,F777&lt;&gt;"ASTM A416"),L777,0),3)</f>
        <v/>
      </c>
      <c r="X777" s="16">
        <f>ROUND(X776+IF(AND(E777=28,F777&lt;&gt;"ASTM A416"),L777,0),3)</f>
        <v/>
      </c>
      <c r="Y777" s="16">
        <f>ROUND(Y776+IF(AND(E777=32,F777&lt;&gt;"ASTM A416"),L777,0),3)</f>
        <v/>
      </c>
      <c r="Z777" s="16">
        <f>ROUND(Z776+IF(F777="ASTM A416",L777,0),3)</f>
        <v/>
      </c>
      <c r="AA777" s="9">
        <f>IF(ROUNDUP(P777/20,0)&gt;ROUNDUP(P776/20,0),"Lần " &amp; ROUNDUP(P777/20,0),"")</f>
        <v/>
      </c>
      <c r="AB777" s="9">
        <f>IF(ROUNDUP(Q777/20,0)&gt;ROUNDUP(Q776/20,0),"Lần " &amp; ROUNDUP(Q777/20,0),"")</f>
        <v/>
      </c>
      <c r="AC777" s="9">
        <f>IF(ROUNDUP(R777/20,0)&gt;ROUNDUP(R776/20,0),"Lần " &amp; ROUNDUP(R777/20,0),"")</f>
        <v/>
      </c>
      <c r="AD777" s="9">
        <f>IF(ROUNDUP(S777/20,0)&gt;ROUNDUP(S776/20,0),"Lần " &amp; ROUNDUP(S777/20,0),"")</f>
        <v/>
      </c>
      <c r="AE777" s="9">
        <f>IF(ROUNDUP(T777/20,0)&gt;ROUNDUP(T776/20,0),"Lần " &amp; ROUNDUP(T777/20,0),"")</f>
        <v/>
      </c>
      <c r="AF777" s="9">
        <f>IF(ROUNDUP(U777/20,0)&gt;ROUNDUP(U776/20,0),"Lần " &amp; ROUNDUP(U777/20,0),"")</f>
        <v/>
      </c>
      <c r="AG777" s="9">
        <f>IF(ROUNDUP(V777/20,0)&gt;ROUNDUP(V776/20,0),"Lần " &amp; ROUNDUP(V777/20,0),"")</f>
        <v/>
      </c>
      <c r="AH777" s="9">
        <f>IF(ROUNDUP(W777/20,0)&gt;ROUNDUP(W776/20,0),"Lần " &amp; ROUNDUP(W777/20,0),"")</f>
        <v/>
      </c>
      <c r="AI777" s="9">
        <f>IF(ROUNDUP(X777/20,0)&gt;ROUNDUP(X776/20,0),"Lần " &amp; ROUNDUP(X777/20,0),"")</f>
        <v/>
      </c>
      <c r="AJ777" s="9">
        <f>IF(ROUNDUP(Y777/20,0)&gt;ROUNDUP(Y776/20,0),"Lần " &amp; ROUNDUP(Y777/20,0),"")</f>
        <v/>
      </c>
      <c r="AK777" s="9">
        <f>IF(ROUNDUP(Z777/20,0)&gt;ROUNDUP(Z776/20,0),"Lần " &amp; ROUNDUP(Z777/20,0),"")</f>
        <v/>
      </c>
      <c r="AL777" s="4" t="n"/>
      <c r="AN777" s="596" t="inlineStr">
        <is>
          <t>HoanThien</t>
        </is>
      </c>
      <c r="AO777" s="596" t="n">
        <v>79</v>
      </c>
      <c r="AQ777" s="594" t="n"/>
      <c r="AR777" s="595" t="n"/>
    </row>
    <row r="778" ht="19" customHeight="1" s="672">
      <c r="A778" s="4" t="n">
        <v>739</v>
      </c>
      <c r="B778" s="5" t="inlineStr">
        <is>
          <t>Bản mặt cầu (Deck Slab)</t>
        </is>
      </c>
      <c r="C778" s="5" t="inlineStr">
        <is>
          <t>Lưới thép BMC đổ bù</t>
        </is>
      </c>
      <c r="D778" s="14" t="inlineStr">
        <is>
          <t>DR2</t>
        </is>
      </c>
      <c r="E778" s="15" t="n">
        <v>14</v>
      </c>
      <c r="F778" s="4" t="inlineStr">
        <is>
          <t>CB400-V</t>
        </is>
      </c>
      <c r="G778" s="5" t="inlineStr">
        <is>
          <t>S01</t>
        </is>
      </c>
      <c r="H778" s="16" t="n">
        <v>1.3</v>
      </c>
      <c r="I778" s="17" t="n">
        <v>32</v>
      </c>
      <c r="J778" s="18" t="n">
        <v>1.208</v>
      </c>
      <c r="K778" s="7">
        <f>ROUND(H778*I778*J778, 2)</f>
        <v/>
      </c>
      <c r="L778" s="19">
        <f>ROUND(K778/1000, 3)</f>
        <v/>
      </c>
      <c r="M778" s="728">
        <f>IF(AO778="","",IF(N(INDEX(Theo_Doi_Tan_Suat_Be_Tong!$C:$C,AO778))&lt;=0,"",INDEX(Theo_Doi_Tan_Suat_Be_Tong!$C:$C,AO778)-VLOOKUP(AN778,$AQ$2:$AR$7,2,FALSE)))</f>
        <v/>
      </c>
      <c r="N778" s="4" t="n"/>
      <c r="O778" s="20">
        <f>IF(ROUNDUP(R778/20,0)&gt;ROUNDUP(R777/20,0),"TN Ø14 (Lần " &amp; ROUNDUP(R778/20,0) &amp; ")","")</f>
        <v/>
      </c>
      <c r="P778" s="16">
        <f>ROUND(P777+IF(AND(E778&lt;=10,F778&lt;&gt;"ASTM A416"),L778,0),3)</f>
        <v/>
      </c>
      <c r="Q778" s="16">
        <f>ROUND(Q777+IF(AND(E778=12,F778&lt;&gt;"ASTM A416"),L778,0),3)</f>
        <v/>
      </c>
      <c r="R778" s="16">
        <f>ROUND(R777+IF(AND(E778=14,F778&lt;&gt;"ASTM A416"),L778,0),3)</f>
        <v/>
      </c>
      <c r="S778" s="16">
        <f>ROUND(S777+IF(AND(E778=16,F778&lt;&gt;"ASTM A416"),L778,0),3)</f>
        <v/>
      </c>
      <c r="T778" s="16">
        <f>ROUND(T777+IF(AND(E778=18,F778&lt;&gt;"ASTM A416"),L778,0),3)</f>
        <v/>
      </c>
      <c r="U778" s="16">
        <f>ROUND(U777+IF(AND(E778=20,F778&lt;&gt;"ASTM A416"),L778,0),3)</f>
        <v/>
      </c>
      <c r="V778" s="16">
        <f>ROUND(V777+IF(AND(E778=22,F778&lt;&gt;"ASTM A416"),L778,0),3)</f>
        <v/>
      </c>
      <c r="W778" s="16">
        <f>ROUND(W777+IF(AND(E778=25,F778&lt;&gt;"ASTM A416"),L778,0),3)</f>
        <v/>
      </c>
      <c r="X778" s="16">
        <f>ROUND(X777+IF(AND(E778=28,F778&lt;&gt;"ASTM A416"),L778,0),3)</f>
        <v/>
      </c>
      <c r="Y778" s="16">
        <f>ROUND(Y777+IF(AND(E778=32,F778&lt;&gt;"ASTM A416"),L778,0),3)</f>
        <v/>
      </c>
      <c r="Z778" s="16">
        <f>ROUND(Z777+IF(F778="ASTM A416",L778,0),3)</f>
        <v/>
      </c>
      <c r="AA778" s="9">
        <f>IF(ROUNDUP(P778/20,0)&gt;ROUNDUP(P777/20,0),"Lần " &amp; ROUNDUP(P778/20,0),"")</f>
        <v/>
      </c>
      <c r="AB778" s="9">
        <f>IF(ROUNDUP(Q778/20,0)&gt;ROUNDUP(Q777/20,0),"Lần " &amp; ROUNDUP(Q778/20,0),"")</f>
        <v/>
      </c>
      <c r="AC778" s="9">
        <f>IF(ROUNDUP(R778/20,0)&gt;ROUNDUP(R777/20,0),"Lần " &amp; ROUNDUP(R778/20,0),"")</f>
        <v/>
      </c>
      <c r="AD778" s="9">
        <f>IF(ROUNDUP(S778/20,0)&gt;ROUNDUP(S777/20,0),"Lần " &amp; ROUNDUP(S778/20,0),"")</f>
        <v/>
      </c>
      <c r="AE778" s="9">
        <f>IF(ROUNDUP(T778/20,0)&gt;ROUNDUP(T777/20,0),"Lần " &amp; ROUNDUP(T778/20,0),"")</f>
        <v/>
      </c>
      <c r="AF778" s="9">
        <f>IF(ROUNDUP(U778/20,0)&gt;ROUNDUP(U777/20,0),"Lần " &amp; ROUNDUP(U778/20,0),"")</f>
        <v/>
      </c>
      <c r="AG778" s="9">
        <f>IF(ROUNDUP(V778/20,0)&gt;ROUNDUP(V777/20,0),"Lần " &amp; ROUNDUP(V778/20,0),"")</f>
        <v/>
      </c>
      <c r="AH778" s="9">
        <f>IF(ROUNDUP(W778/20,0)&gt;ROUNDUP(W777/20,0),"Lần " &amp; ROUNDUP(W778/20,0),"")</f>
        <v/>
      </c>
      <c r="AI778" s="9">
        <f>IF(ROUNDUP(X778/20,0)&gt;ROUNDUP(X777/20,0),"Lần " &amp; ROUNDUP(X778/20,0),"")</f>
        <v/>
      </c>
      <c r="AJ778" s="9">
        <f>IF(ROUNDUP(Y778/20,0)&gt;ROUNDUP(Y777/20,0),"Lần " &amp; ROUNDUP(Y778/20,0),"")</f>
        <v/>
      </c>
      <c r="AK778" s="9">
        <f>IF(ROUNDUP(Z778/20,0)&gt;ROUNDUP(Z777/20,0),"Lần " &amp; ROUNDUP(Z778/20,0),"")</f>
        <v/>
      </c>
      <c r="AL778" s="4" t="n"/>
      <c r="AN778" s="596" t="inlineStr">
        <is>
          <t>HoanThien</t>
        </is>
      </c>
      <c r="AO778" s="596" t="n">
        <v>79</v>
      </c>
      <c r="AQ778" s="594" t="n"/>
      <c r="AR778" s="595" t="n"/>
    </row>
    <row r="779" ht="19" customHeight="1" s="672">
      <c r="A779" s="4" t="n">
        <v>740</v>
      </c>
      <c r="B779" s="5" t="inlineStr">
        <is>
          <t>Bản mặt cầu (Deck Slab)</t>
        </is>
      </c>
      <c r="C779" s="5" t="inlineStr">
        <is>
          <t>Lưới thép BMC đổ bù</t>
        </is>
      </c>
      <c r="D779" s="14" t="inlineStr">
        <is>
          <t>DR3</t>
        </is>
      </c>
      <c r="E779" s="15" t="n">
        <v>14</v>
      </c>
      <c r="F779" s="4" t="inlineStr">
        <is>
          <t>CB400-V</t>
        </is>
      </c>
      <c r="G779" s="5" t="inlineStr">
        <is>
          <t>S01</t>
        </is>
      </c>
      <c r="H779" s="16" t="n">
        <v>0.9</v>
      </c>
      <c r="I779" s="17" t="n">
        <v>64</v>
      </c>
      <c r="J779" s="18" t="n">
        <v>1.208</v>
      </c>
      <c r="K779" s="7">
        <f>ROUND(H779*I779*J779, 2)</f>
        <v/>
      </c>
      <c r="L779" s="19">
        <f>ROUND(K779/1000, 3)</f>
        <v/>
      </c>
      <c r="M779" s="728">
        <f>IF(AO779="","",IF(N(INDEX(Theo_Doi_Tan_Suat_Be_Tong!$C:$C,AO779))&lt;=0,"",INDEX(Theo_Doi_Tan_Suat_Be_Tong!$C:$C,AO779)-VLOOKUP(AN779,$AQ$2:$AR$7,2,FALSE)))</f>
        <v/>
      </c>
      <c r="N779" s="4" t="n"/>
      <c r="O779" s="20">
        <f>IF(ROUNDUP(R779/20,0)&gt;ROUNDUP(R778/20,0),"TN Ø14 (Lần " &amp; ROUNDUP(R779/20,0) &amp; ")","")</f>
        <v/>
      </c>
      <c r="P779" s="16">
        <f>ROUND(P778+IF(AND(E779&lt;=10,F779&lt;&gt;"ASTM A416"),L779,0),3)</f>
        <v/>
      </c>
      <c r="Q779" s="16">
        <f>ROUND(Q778+IF(AND(E779=12,F779&lt;&gt;"ASTM A416"),L779,0),3)</f>
        <v/>
      </c>
      <c r="R779" s="16">
        <f>ROUND(R778+IF(AND(E779=14,F779&lt;&gt;"ASTM A416"),L779,0),3)</f>
        <v/>
      </c>
      <c r="S779" s="16">
        <f>ROUND(S778+IF(AND(E779=16,F779&lt;&gt;"ASTM A416"),L779,0),3)</f>
        <v/>
      </c>
      <c r="T779" s="16">
        <f>ROUND(T778+IF(AND(E779=18,F779&lt;&gt;"ASTM A416"),L779,0),3)</f>
        <v/>
      </c>
      <c r="U779" s="16">
        <f>ROUND(U778+IF(AND(E779=20,F779&lt;&gt;"ASTM A416"),L779,0),3)</f>
        <v/>
      </c>
      <c r="V779" s="16">
        <f>ROUND(V778+IF(AND(E779=22,F779&lt;&gt;"ASTM A416"),L779,0),3)</f>
        <v/>
      </c>
      <c r="W779" s="16">
        <f>ROUND(W778+IF(AND(E779=25,F779&lt;&gt;"ASTM A416"),L779,0),3)</f>
        <v/>
      </c>
      <c r="X779" s="16">
        <f>ROUND(X778+IF(AND(E779=28,F779&lt;&gt;"ASTM A416"),L779,0),3)</f>
        <v/>
      </c>
      <c r="Y779" s="16">
        <f>ROUND(Y778+IF(AND(E779=32,F779&lt;&gt;"ASTM A416"),L779,0),3)</f>
        <v/>
      </c>
      <c r="Z779" s="16">
        <f>ROUND(Z778+IF(F779="ASTM A416",L779,0),3)</f>
        <v/>
      </c>
      <c r="AA779" s="9">
        <f>IF(ROUNDUP(P779/20,0)&gt;ROUNDUP(P778/20,0),"Lần " &amp; ROUNDUP(P779/20,0),"")</f>
        <v/>
      </c>
      <c r="AB779" s="9">
        <f>IF(ROUNDUP(Q779/20,0)&gt;ROUNDUP(Q778/20,0),"Lần " &amp; ROUNDUP(Q779/20,0),"")</f>
        <v/>
      </c>
      <c r="AC779" s="9">
        <f>IF(ROUNDUP(R779/20,0)&gt;ROUNDUP(R778/20,0),"Lần " &amp; ROUNDUP(R779/20,0),"")</f>
        <v/>
      </c>
      <c r="AD779" s="9">
        <f>IF(ROUNDUP(S779/20,0)&gt;ROUNDUP(S778/20,0),"Lần " &amp; ROUNDUP(S779/20,0),"")</f>
        <v/>
      </c>
      <c r="AE779" s="9">
        <f>IF(ROUNDUP(T779/20,0)&gt;ROUNDUP(T778/20,0),"Lần " &amp; ROUNDUP(T779/20,0),"")</f>
        <v/>
      </c>
      <c r="AF779" s="9">
        <f>IF(ROUNDUP(U779/20,0)&gt;ROUNDUP(U778/20,0),"Lần " &amp; ROUNDUP(U779/20,0),"")</f>
        <v/>
      </c>
      <c r="AG779" s="9">
        <f>IF(ROUNDUP(V779/20,0)&gt;ROUNDUP(V778/20,0),"Lần " &amp; ROUNDUP(V779/20,0),"")</f>
        <v/>
      </c>
      <c r="AH779" s="9">
        <f>IF(ROUNDUP(W779/20,0)&gt;ROUNDUP(W778/20,0),"Lần " &amp; ROUNDUP(W779/20,0),"")</f>
        <v/>
      </c>
      <c r="AI779" s="9">
        <f>IF(ROUNDUP(X779/20,0)&gt;ROUNDUP(X778/20,0),"Lần " &amp; ROUNDUP(X779/20,0),"")</f>
        <v/>
      </c>
      <c r="AJ779" s="9">
        <f>IF(ROUNDUP(Y779/20,0)&gt;ROUNDUP(Y778/20,0),"Lần " &amp; ROUNDUP(Y779/20,0),"")</f>
        <v/>
      </c>
      <c r="AK779" s="9">
        <f>IF(ROUNDUP(Z779/20,0)&gt;ROUNDUP(Z778/20,0),"Lần " &amp; ROUNDUP(Z779/20,0),"")</f>
        <v/>
      </c>
      <c r="AL779" s="4" t="n"/>
      <c r="AN779" s="596" t="inlineStr">
        <is>
          <t>HoanThien</t>
        </is>
      </c>
      <c r="AO779" s="596" t="n">
        <v>79</v>
      </c>
      <c r="AQ779" s="594" t="n"/>
      <c r="AR779" s="595" t="n"/>
    </row>
    <row r="780" ht="19" customHeight="1" s="672">
      <c r="A780" s="4" t="n">
        <v>741</v>
      </c>
      <c r="B780" s="5" t="inlineStr">
        <is>
          <t>Bản mặt cầu (Deck Slab)</t>
        </is>
      </c>
      <c r="C780" s="5" t="inlineStr">
        <is>
          <t>Lưới thép BMC đổ bù</t>
        </is>
      </c>
      <c r="D780" s="14" t="inlineStr">
        <is>
          <t>S1</t>
        </is>
      </c>
      <c r="E780" s="15" t="n">
        <v>14</v>
      </c>
      <c r="F780" s="4" t="inlineStr">
        <is>
          <t>CB400-V</t>
        </is>
      </c>
      <c r="G780" s="5" t="inlineStr">
        <is>
          <t>S01</t>
        </is>
      </c>
      <c r="H780" s="16" t="n">
        <v>39.85</v>
      </c>
      <c r="I780" s="17" t="n">
        <v>84</v>
      </c>
      <c r="J780" s="18" t="n">
        <v>1.208</v>
      </c>
      <c r="K780" s="7">
        <f>ROUND(H780*I780*J780, 2)</f>
        <v/>
      </c>
      <c r="L780" s="19">
        <f>ROUND(K780/1000, 3)</f>
        <v/>
      </c>
      <c r="M780" s="728">
        <f>IF(AO780="","",IF(N(INDEX(Theo_Doi_Tan_Suat_Be_Tong!$C:$C,AO780))&lt;=0,"",INDEX(Theo_Doi_Tan_Suat_Be_Tong!$C:$C,AO780)-VLOOKUP(AN780,$AQ$2:$AR$7,2,FALSE)))</f>
        <v/>
      </c>
      <c r="N780" s="4" t="n"/>
      <c r="O780" s="20">
        <f>IF(ROUNDUP(R780/20,0)&gt;ROUNDUP(R779/20,0),"TN Ø14 (Lần " &amp; ROUNDUP(R780/20,0) &amp; ")","")</f>
        <v/>
      </c>
      <c r="P780" s="16">
        <f>ROUND(P779+IF(AND(E780&lt;=10,F780&lt;&gt;"ASTM A416"),L780,0),3)</f>
        <v/>
      </c>
      <c r="Q780" s="16">
        <f>ROUND(Q779+IF(AND(E780=12,F780&lt;&gt;"ASTM A416"),L780,0),3)</f>
        <v/>
      </c>
      <c r="R780" s="16">
        <f>ROUND(R779+IF(AND(E780=14,F780&lt;&gt;"ASTM A416"),L780,0),3)</f>
        <v/>
      </c>
      <c r="S780" s="16">
        <f>ROUND(S779+IF(AND(E780=16,F780&lt;&gt;"ASTM A416"),L780,0),3)</f>
        <v/>
      </c>
      <c r="T780" s="16">
        <f>ROUND(T779+IF(AND(E780=18,F780&lt;&gt;"ASTM A416"),L780,0),3)</f>
        <v/>
      </c>
      <c r="U780" s="16">
        <f>ROUND(U779+IF(AND(E780=20,F780&lt;&gt;"ASTM A416"),L780,0),3)</f>
        <v/>
      </c>
      <c r="V780" s="16">
        <f>ROUND(V779+IF(AND(E780=22,F780&lt;&gt;"ASTM A416"),L780,0),3)</f>
        <v/>
      </c>
      <c r="W780" s="16">
        <f>ROUND(W779+IF(AND(E780=25,F780&lt;&gt;"ASTM A416"),L780,0),3)</f>
        <v/>
      </c>
      <c r="X780" s="16">
        <f>ROUND(X779+IF(AND(E780=28,F780&lt;&gt;"ASTM A416"),L780,0),3)</f>
        <v/>
      </c>
      <c r="Y780" s="16">
        <f>ROUND(Y779+IF(AND(E780=32,F780&lt;&gt;"ASTM A416"),L780,0),3)</f>
        <v/>
      </c>
      <c r="Z780" s="16">
        <f>ROUND(Z779+IF(F780="ASTM A416",L780,0),3)</f>
        <v/>
      </c>
      <c r="AA780" s="9">
        <f>IF(ROUNDUP(P780/20,0)&gt;ROUNDUP(P779/20,0),"Lần " &amp; ROUNDUP(P780/20,0),"")</f>
        <v/>
      </c>
      <c r="AB780" s="9">
        <f>IF(ROUNDUP(Q780/20,0)&gt;ROUNDUP(Q779/20,0),"Lần " &amp; ROUNDUP(Q780/20,0),"")</f>
        <v/>
      </c>
      <c r="AC780" s="9">
        <f>IF(ROUNDUP(R780/20,0)&gt;ROUNDUP(R779/20,0),"Lần " &amp; ROUNDUP(R780/20,0),"")</f>
        <v/>
      </c>
      <c r="AD780" s="9">
        <f>IF(ROUNDUP(S780/20,0)&gt;ROUNDUP(S779/20,0),"Lần " &amp; ROUNDUP(S780/20,0),"")</f>
        <v/>
      </c>
      <c r="AE780" s="9">
        <f>IF(ROUNDUP(T780/20,0)&gt;ROUNDUP(T779/20,0),"Lần " &amp; ROUNDUP(T780/20,0),"")</f>
        <v/>
      </c>
      <c r="AF780" s="9">
        <f>IF(ROUNDUP(U780/20,0)&gt;ROUNDUP(U779/20,0),"Lần " &amp; ROUNDUP(U780/20,0),"")</f>
        <v/>
      </c>
      <c r="AG780" s="9">
        <f>IF(ROUNDUP(V780/20,0)&gt;ROUNDUP(V779/20,0),"Lần " &amp; ROUNDUP(V780/20,0),"")</f>
        <v/>
      </c>
      <c r="AH780" s="9">
        <f>IF(ROUNDUP(W780/20,0)&gt;ROUNDUP(W779/20,0),"Lần " &amp; ROUNDUP(W780/20,0),"")</f>
        <v/>
      </c>
      <c r="AI780" s="9">
        <f>IF(ROUNDUP(X780/20,0)&gt;ROUNDUP(X779/20,0),"Lần " &amp; ROUNDUP(X780/20,0),"")</f>
        <v/>
      </c>
      <c r="AJ780" s="9">
        <f>IF(ROUNDUP(Y780/20,0)&gt;ROUNDUP(Y779/20,0),"Lần " &amp; ROUNDUP(Y780/20,0),"")</f>
        <v/>
      </c>
      <c r="AK780" s="9">
        <f>IF(ROUNDUP(Z780/20,0)&gt;ROUNDUP(Z779/20,0),"Lần " &amp; ROUNDUP(Z780/20,0),"")</f>
        <v/>
      </c>
      <c r="AL780" s="4" t="n"/>
      <c r="AN780" s="596" t="inlineStr">
        <is>
          <t>HoanThien</t>
        </is>
      </c>
      <c r="AO780" s="596" t="n">
        <v>79</v>
      </c>
      <c r="AQ780" s="594" t="n"/>
      <c r="AR780" s="595" t="n"/>
    </row>
    <row r="781" ht="19" customHeight="1" s="672">
      <c r="A781" s="4" t="n">
        <v>742</v>
      </c>
      <c r="B781" s="5" t="inlineStr">
        <is>
          <t>Bản mặt cầu (Deck Slab)</t>
        </is>
      </c>
      <c r="C781" s="5" t="inlineStr">
        <is>
          <t>Lưới thép BMC đổ bù</t>
        </is>
      </c>
      <c r="D781" s="14" t="inlineStr">
        <is>
          <t>S1a</t>
        </is>
      </c>
      <c r="E781" s="15" t="n">
        <v>14</v>
      </c>
      <c r="F781" s="4" t="inlineStr">
        <is>
          <t>CB400-V</t>
        </is>
      </c>
      <c r="G781" s="5" t="inlineStr">
        <is>
          <t>S01</t>
        </is>
      </c>
      <c r="H781" s="16" t="n">
        <v>39.29</v>
      </c>
      <c r="I781" s="17" t="n">
        <v>84</v>
      </c>
      <c r="J781" s="18" t="n">
        <v>1.208</v>
      </c>
      <c r="K781" s="7">
        <f>ROUND(H781*I781*J781, 2)</f>
        <v/>
      </c>
      <c r="L781" s="19">
        <f>ROUND(K781/1000, 3)</f>
        <v/>
      </c>
      <c r="M781" s="728">
        <f>IF(AO781="","",IF(N(INDEX(Theo_Doi_Tan_Suat_Be_Tong!$C:$C,AO781))&lt;=0,"",INDEX(Theo_Doi_Tan_Suat_Be_Tong!$C:$C,AO781)-VLOOKUP(AN781,$AQ$2:$AR$7,2,FALSE)))</f>
        <v/>
      </c>
      <c r="N781" s="4" t="n"/>
      <c r="O781" s="20">
        <f>IF(ROUNDUP(R781/20,0)&gt;ROUNDUP(R780/20,0),"TN Ø14 (Lần " &amp; ROUNDUP(R781/20,0) &amp; ")","")</f>
        <v/>
      </c>
      <c r="P781" s="16">
        <f>ROUND(P780+IF(AND(E781&lt;=10,F781&lt;&gt;"ASTM A416"),L781,0),3)</f>
        <v/>
      </c>
      <c r="Q781" s="16">
        <f>ROUND(Q780+IF(AND(E781=12,F781&lt;&gt;"ASTM A416"),L781,0),3)</f>
        <v/>
      </c>
      <c r="R781" s="16">
        <f>ROUND(R780+IF(AND(E781=14,F781&lt;&gt;"ASTM A416"),L781,0),3)</f>
        <v/>
      </c>
      <c r="S781" s="16">
        <f>ROUND(S780+IF(AND(E781=16,F781&lt;&gt;"ASTM A416"),L781,0),3)</f>
        <v/>
      </c>
      <c r="T781" s="16">
        <f>ROUND(T780+IF(AND(E781=18,F781&lt;&gt;"ASTM A416"),L781,0),3)</f>
        <v/>
      </c>
      <c r="U781" s="16">
        <f>ROUND(U780+IF(AND(E781=20,F781&lt;&gt;"ASTM A416"),L781,0),3)</f>
        <v/>
      </c>
      <c r="V781" s="16">
        <f>ROUND(V780+IF(AND(E781=22,F781&lt;&gt;"ASTM A416"),L781,0),3)</f>
        <v/>
      </c>
      <c r="W781" s="16">
        <f>ROUND(W780+IF(AND(E781=25,F781&lt;&gt;"ASTM A416"),L781,0),3)</f>
        <v/>
      </c>
      <c r="X781" s="16">
        <f>ROUND(X780+IF(AND(E781=28,F781&lt;&gt;"ASTM A416"),L781,0),3)</f>
        <v/>
      </c>
      <c r="Y781" s="16">
        <f>ROUND(Y780+IF(AND(E781=32,F781&lt;&gt;"ASTM A416"),L781,0),3)</f>
        <v/>
      </c>
      <c r="Z781" s="16">
        <f>ROUND(Z780+IF(F781="ASTM A416",L781,0),3)</f>
        <v/>
      </c>
      <c r="AA781" s="9">
        <f>IF(ROUNDUP(P781/20,0)&gt;ROUNDUP(P780/20,0),"Lần " &amp; ROUNDUP(P781/20,0),"")</f>
        <v/>
      </c>
      <c r="AB781" s="9">
        <f>IF(ROUNDUP(Q781/20,0)&gt;ROUNDUP(Q780/20,0),"Lần " &amp; ROUNDUP(Q781/20,0),"")</f>
        <v/>
      </c>
      <c r="AC781" s="9">
        <f>IF(ROUNDUP(R781/20,0)&gt;ROUNDUP(R780/20,0),"Lần " &amp; ROUNDUP(R781/20,0),"")</f>
        <v/>
      </c>
      <c r="AD781" s="9">
        <f>IF(ROUNDUP(S781/20,0)&gt;ROUNDUP(S780/20,0),"Lần " &amp; ROUNDUP(S781/20,0),"")</f>
        <v/>
      </c>
      <c r="AE781" s="9">
        <f>IF(ROUNDUP(T781/20,0)&gt;ROUNDUP(T780/20,0),"Lần " &amp; ROUNDUP(T781/20,0),"")</f>
        <v/>
      </c>
      <c r="AF781" s="9">
        <f>IF(ROUNDUP(U781/20,0)&gt;ROUNDUP(U780/20,0),"Lần " &amp; ROUNDUP(U781/20,0),"")</f>
        <v/>
      </c>
      <c r="AG781" s="9">
        <f>IF(ROUNDUP(V781/20,0)&gt;ROUNDUP(V780/20,0),"Lần " &amp; ROUNDUP(V781/20,0),"")</f>
        <v/>
      </c>
      <c r="AH781" s="9">
        <f>IF(ROUNDUP(W781/20,0)&gt;ROUNDUP(W780/20,0),"Lần " &amp; ROUNDUP(W781/20,0),"")</f>
        <v/>
      </c>
      <c r="AI781" s="9">
        <f>IF(ROUNDUP(X781/20,0)&gt;ROUNDUP(X780/20,0),"Lần " &amp; ROUNDUP(X781/20,0),"")</f>
        <v/>
      </c>
      <c r="AJ781" s="9">
        <f>IF(ROUNDUP(Y781/20,0)&gt;ROUNDUP(Y780/20,0),"Lần " &amp; ROUNDUP(Y781/20,0),"")</f>
        <v/>
      </c>
      <c r="AK781" s="9">
        <f>IF(ROUNDUP(Z781/20,0)&gt;ROUNDUP(Z780/20,0),"Lần " &amp; ROUNDUP(Z781/20,0),"")</f>
        <v/>
      </c>
      <c r="AL781" s="4" t="n"/>
      <c r="AN781" s="596" t="inlineStr">
        <is>
          <t>HoanThien</t>
        </is>
      </c>
      <c r="AO781" s="596" t="n">
        <v>79</v>
      </c>
      <c r="AQ781" s="594" t="n"/>
      <c r="AR781" s="595" t="n"/>
    </row>
    <row r="782" ht="19" customHeight="1" s="672">
      <c r="A782" s="4" t="n">
        <v>743</v>
      </c>
      <c r="B782" s="5" t="inlineStr">
        <is>
          <t>Bản mặt cầu (Deck Slab)</t>
        </is>
      </c>
      <c r="C782" s="5" t="inlineStr">
        <is>
          <t>Lưới thép BMC đổ bù</t>
        </is>
      </c>
      <c r="D782" s="14" t="inlineStr">
        <is>
          <t>S2</t>
        </is>
      </c>
      <c r="E782" s="15" t="n">
        <v>18</v>
      </c>
      <c r="F782" s="4" t="inlineStr">
        <is>
          <t>CB400-V</t>
        </is>
      </c>
      <c r="G782" s="5" t="inlineStr">
        <is>
          <t>S01</t>
        </is>
      </c>
      <c r="H782" s="16" t="n">
        <v>13.135</v>
      </c>
      <c r="I782" s="17" t="n">
        <v>490</v>
      </c>
      <c r="J782" s="18" t="n">
        <v>1.998</v>
      </c>
      <c r="K782" s="7">
        <f>ROUND(H782*I782*J782, 2)</f>
        <v/>
      </c>
      <c r="L782" s="19">
        <f>ROUND(K782/1000, 3)</f>
        <v/>
      </c>
      <c r="M782" s="728">
        <f>IF(AO782="","",IF(N(INDEX(Theo_Doi_Tan_Suat_Be_Tong!$C:$C,AO782))&lt;=0,"",INDEX(Theo_Doi_Tan_Suat_Be_Tong!$C:$C,AO782)-VLOOKUP(AN782,$AQ$2:$AR$7,2,FALSE)))</f>
        <v/>
      </c>
      <c r="N782" s="4" t="n"/>
      <c r="O782" s="20">
        <f>IF(ROUNDUP(T782/20,0)&gt;ROUNDUP(T781/20,0),"TN Ø18 (Lần " &amp; ROUNDUP(T782/20,0) &amp; ")","")</f>
        <v/>
      </c>
      <c r="P782" s="16">
        <f>ROUND(P781+IF(AND(E782&lt;=10,F782&lt;&gt;"ASTM A416"),L782,0),3)</f>
        <v/>
      </c>
      <c r="Q782" s="16">
        <f>ROUND(Q781+IF(AND(E782=12,F782&lt;&gt;"ASTM A416"),L782,0),3)</f>
        <v/>
      </c>
      <c r="R782" s="16">
        <f>ROUND(R781+IF(AND(E782=14,F782&lt;&gt;"ASTM A416"),L782,0),3)</f>
        <v/>
      </c>
      <c r="S782" s="16">
        <f>ROUND(S781+IF(AND(E782=16,F782&lt;&gt;"ASTM A416"),L782,0),3)</f>
        <v/>
      </c>
      <c r="T782" s="16">
        <f>ROUND(T781+IF(AND(E782=18,F782&lt;&gt;"ASTM A416"),L782,0),3)</f>
        <v/>
      </c>
      <c r="U782" s="16">
        <f>ROUND(U781+IF(AND(E782=20,F782&lt;&gt;"ASTM A416"),L782,0),3)</f>
        <v/>
      </c>
      <c r="V782" s="16">
        <f>ROUND(V781+IF(AND(E782=22,F782&lt;&gt;"ASTM A416"),L782,0),3)</f>
        <v/>
      </c>
      <c r="W782" s="16">
        <f>ROUND(W781+IF(AND(E782=25,F782&lt;&gt;"ASTM A416"),L782,0),3)</f>
        <v/>
      </c>
      <c r="X782" s="16">
        <f>ROUND(X781+IF(AND(E782=28,F782&lt;&gt;"ASTM A416"),L782,0),3)</f>
        <v/>
      </c>
      <c r="Y782" s="16">
        <f>ROUND(Y781+IF(AND(E782=32,F782&lt;&gt;"ASTM A416"),L782,0),3)</f>
        <v/>
      </c>
      <c r="Z782" s="16">
        <f>ROUND(Z781+IF(F782="ASTM A416",L782,0),3)</f>
        <v/>
      </c>
      <c r="AA782" s="9">
        <f>IF(ROUNDUP(P782/20,0)&gt;ROUNDUP(P781/20,0),"Lần " &amp; ROUNDUP(P782/20,0),"")</f>
        <v/>
      </c>
      <c r="AB782" s="9">
        <f>IF(ROUNDUP(Q782/20,0)&gt;ROUNDUP(Q781/20,0),"Lần " &amp; ROUNDUP(Q782/20,0),"")</f>
        <v/>
      </c>
      <c r="AC782" s="9">
        <f>IF(ROUNDUP(R782/20,0)&gt;ROUNDUP(R781/20,0),"Lần " &amp; ROUNDUP(R782/20,0),"")</f>
        <v/>
      </c>
      <c r="AD782" s="9">
        <f>IF(ROUNDUP(S782/20,0)&gt;ROUNDUP(S781/20,0),"Lần " &amp; ROUNDUP(S782/20,0),"")</f>
        <v/>
      </c>
      <c r="AE782" s="9">
        <f>IF(ROUNDUP(T782/20,0)&gt;ROUNDUP(T781/20,0),"Lần " &amp; ROUNDUP(T782/20,0),"")</f>
        <v/>
      </c>
      <c r="AF782" s="9">
        <f>IF(ROUNDUP(U782/20,0)&gt;ROUNDUP(U781/20,0),"Lần " &amp; ROUNDUP(U782/20,0),"")</f>
        <v/>
      </c>
      <c r="AG782" s="9">
        <f>IF(ROUNDUP(V782/20,0)&gt;ROUNDUP(V781/20,0),"Lần " &amp; ROUNDUP(V782/20,0),"")</f>
        <v/>
      </c>
      <c r="AH782" s="9">
        <f>IF(ROUNDUP(W782/20,0)&gt;ROUNDUP(W781/20,0),"Lần " &amp; ROUNDUP(W782/20,0),"")</f>
        <v/>
      </c>
      <c r="AI782" s="9">
        <f>IF(ROUNDUP(X782/20,0)&gt;ROUNDUP(X781/20,0),"Lần " &amp; ROUNDUP(X782/20,0),"")</f>
        <v/>
      </c>
      <c r="AJ782" s="9">
        <f>IF(ROUNDUP(Y782/20,0)&gt;ROUNDUP(Y781/20,0),"Lần " &amp; ROUNDUP(Y782/20,0),"")</f>
        <v/>
      </c>
      <c r="AK782" s="9">
        <f>IF(ROUNDUP(Z782/20,0)&gt;ROUNDUP(Z781/20,0),"Lần " &amp; ROUNDUP(Z782/20,0),"")</f>
        <v/>
      </c>
      <c r="AL782" s="4" t="n"/>
      <c r="AN782" s="596" t="inlineStr">
        <is>
          <t>HoanThien</t>
        </is>
      </c>
      <c r="AO782" s="596" t="n">
        <v>79</v>
      </c>
      <c r="AQ782" s="594" t="n"/>
      <c r="AR782" s="595" t="n"/>
    </row>
    <row r="783" ht="19" customHeight="1" s="672">
      <c r="A783" s="4" t="n">
        <v>744</v>
      </c>
      <c r="B783" s="5" t="inlineStr">
        <is>
          <t>Bản mặt cầu (Deck Slab)</t>
        </is>
      </c>
      <c r="C783" s="5" t="inlineStr">
        <is>
          <t>Lưới thép BMC đổ bù</t>
        </is>
      </c>
      <c r="D783" s="14" t="inlineStr">
        <is>
          <t>S3</t>
        </is>
      </c>
      <c r="E783" s="15" t="n">
        <v>10</v>
      </c>
      <c r="F783" s="4" t="inlineStr">
        <is>
          <t>CB240-T</t>
        </is>
      </c>
      <c r="G783" s="5" t="inlineStr">
        <is>
          <t>S01</t>
        </is>
      </c>
      <c r="H783" s="16" t="n">
        <v>0.33</v>
      </c>
      <c r="I783" s="17" t="n">
        <v>2420</v>
      </c>
      <c r="J783" s="18" t="n">
        <v>0.617</v>
      </c>
      <c r="K783" s="7">
        <f>ROUND(H783*I783*J783, 2)</f>
        <v/>
      </c>
      <c r="L783" s="19">
        <f>ROUND(K783/1000, 3)</f>
        <v/>
      </c>
      <c r="M783" s="728">
        <f>IF(AO783="","",IF(N(INDEX(Theo_Doi_Tan_Suat_Be_Tong!$C:$C,AO783))&lt;=0,"",INDEX(Theo_Doi_Tan_Suat_Be_Tong!$C:$C,AO783)-VLOOKUP(AN783,$AQ$2:$AR$7,2,FALSE)))</f>
        <v/>
      </c>
      <c r="N783" s="4" t="n"/>
      <c r="O783" s="20">
        <f>IF(ROUNDUP(P783/20,0)&gt;ROUNDUP(P782/20,0),"TN Ø10 (Lần " &amp; ROUNDUP(P783/20,0) &amp; ")","")</f>
        <v/>
      </c>
      <c r="P783" s="16">
        <f>ROUND(P782+IF(AND(E783&lt;=10,F783&lt;&gt;"ASTM A416"),L783,0),3)</f>
        <v/>
      </c>
      <c r="Q783" s="16">
        <f>ROUND(Q782+IF(AND(E783=12,F783&lt;&gt;"ASTM A416"),L783,0),3)</f>
        <v/>
      </c>
      <c r="R783" s="16">
        <f>ROUND(R782+IF(AND(E783=14,F783&lt;&gt;"ASTM A416"),L783,0),3)</f>
        <v/>
      </c>
      <c r="S783" s="16">
        <f>ROUND(S782+IF(AND(E783=16,F783&lt;&gt;"ASTM A416"),L783,0),3)</f>
        <v/>
      </c>
      <c r="T783" s="16">
        <f>ROUND(T782+IF(AND(E783=18,F783&lt;&gt;"ASTM A416"),L783,0),3)</f>
        <v/>
      </c>
      <c r="U783" s="16">
        <f>ROUND(U782+IF(AND(E783=20,F783&lt;&gt;"ASTM A416"),L783,0),3)</f>
        <v/>
      </c>
      <c r="V783" s="16">
        <f>ROUND(V782+IF(AND(E783=22,F783&lt;&gt;"ASTM A416"),L783,0),3)</f>
        <v/>
      </c>
      <c r="W783" s="16">
        <f>ROUND(W782+IF(AND(E783=25,F783&lt;&gt;"ASTM A416"),L783,0),3)</f>
        <v/>
      </c>
      <c r="X783" s="16">
        <f>ROUND(X782+IF(AND(E783=28,F783&lt;&gt;"ASTM A416"),L783,0),3)</f>
        <v/>
      </c>
      <c r="Y783" s="16">
        <f>ROUND(Y782+IF(AND(E783=32,F783&lt;&gt;"ASTM A416"),L783,0),3)</f>
        <v/>
      </c>
      <c r="Z783" s="16">
        <f>ROUND(Z782+IF(F783="ASTM A416",L783,0),3)</f>
        <v/>
      </c>
      <c r="AA783" s="9">
        <f>IF(ROUNDUP(P783/20,0)&gt;ROUNDUP(P782/20,0),"Lần " &amp; ROUNDUP(P783/20,0),"")</f>
        <v/>
      </c>
      <c r="AB783" s="9">
        <f>IF(ROUNDUP(Q783/20,0)&gt;ROUNDUP(Q782/20,0),"Lần " &amp; ROUNDUP(Q783/20,0),"")</f>
        <v/>
      </c>
      <c r="AC783" s="9">
        <f>IF(ROUNDUP(R783/20,0)&gt;ROUNDUP(R782/20,0),"Lần " &amp; ROUNDUP(R783/20,0),"")</f>
        <v/>
      </c>
      <c r="AD783" s="9">
        <f>IF(ROUNDUP(S783/20,0)&gt;ROUNDUP(S782/20,0),"Lần " &amp; ROUNDUP(S783/20,0),"")</f>
        <v/>
      </c>
      <c r="AE783" s="9">
        <f>IF(ROUNDUP(T783/20,0)&gt;ROUNDUP(T782/20,0),"Lần " &amp; ROUNDUP(T783/20,0),"")</f>
        <v/>
      </c>
      <c r="AF783" s="9">
        <f>IF(ROUNDUP(U783/20,0)&gt;ROUNDUP(U782/20,0),"Lần " &amp; ROUNDUP(U783/20,0),"")</f>
        <v/>
      </c>
      <c r="AG783" s="9">
        <f>IF(ROUNDUP(V783/20,0)&gt;ROUNDUP(V782/20,0),"Lần " &amp; ROUNDUP(V783/20,0),"")</f>
        <v/>
      </c>
      <c r="AH783" s="9">
        <f>IF(ROUNDUP(W783/20,0)&gt;ROUNDUP(W782/20,0),"Lần " &amp; ROUNDUP(W783/20,0),"")</f>
        <v/>
      </c>
      <c r="AI783" s="9">
        <f>IF(ROUNDUP(X783/20,0)&gt;ROUNDUP(X782/20,0),"Lần " &amp; ROUNDUP(X783/20,0),"")</f>
        <v/>
      </c>
      <c r="AJ783" s="9">
        <f>IF(ROUNDUP(Y783/20,0)&gt;ROUNDUP(Y782/20,0),"Lần " &amp; ROUNDUP(Y783/20,0),"")</f>
        <v/>
      </c>
      <c r="AK783" s="9">
        <f>IF(ROUNDUP(Z783/20,0)&gt;ROUNDUP(Z782/20,0),"Lần " &amp; ROUNDUP(Z783/20,0),"")</f>
        <v/>
      </c>
      <c r="AL783" s="4" t="n"/>
      <c r="AN783" s="596" t="inlineStr">
        <is>
          <t>HoanThien</t>
        </is>
      </c>
      <c r="AO783" s="596" t="n">
        <v>79</v>
      </c>
      <c r="AQ783" s="594" t="n"/>
      <c r="AR783" s="595" t="n"/>
    </row>
    <row r="784" ht="19" customHeight="1" s="672">
      <c r="A784" s="4" t="n">
        <v>745</v>
      </c>
      <c r="B784" s="5" t="inlineStr">
        <is>
          <t>Bản mặt cầu (Deck Slab)</t>
        </is>
      </c>
      <c r="C784" s="5" t="inlineStr">
        <is>
          <t>Lưới thép BMC đổ bù</t>
        </is>
      </c>
      <c r="D784" s="14" t="inlineStr">
        <is>
          <t>S4</t>
        </is>
      </c>
      <c r="E784" s="15" t="n">
        <v>18</v>
      </c>
      <c r="F784" s="4" t="inlineStr">
        <is>
          <t>CB400-V</t>
        </is>
      </c>
      <c r="G784" s="5" t="inlineStr">
        <is>
          <t>S01</t>
        </is>
      </c>
      <c r="H784" s="16" t="n">
        <v>2.1</v>
      </c>
      <c r="I784" s="17" t="n">
        <v>980</v>
      </c>
      <c r="J784" s="18" t="n">
        <v>1.998</v>
      </c>
      <c r="K784" s="7">
        <f>ROUND(H784*I784*J784, 2)</f>
        <v/>
      </c>
      <c r="L784" s="19">
        <f>ROUND(K784/1000, 3)</f>
        <v/>
      </c>
      <c r="M784" s="728">
        <f>IF(AO784="","",IF(N(INDEX(Theo_Doi_Tan_Suat_Be_Tong!$C:$C,AO784))&lt;=0,"",INDEX(Theo_Doi_Tan_Suat_Be_Tong!$C:$C,AO784)-VLOOKUP(AN784,$AQ$2:$AR$7,2,FALSE)))</f>
        <v/>
      </c>
      <c r="N784" s="4" t="n"/>
      <c r="O784" s="20">
        <f>IF(ROUNDUP(T784/20,0)&gt;ROUNDUP(T783/20,0),"TN Ø18 (Lần " &amp; ROUNDUP(T784/20,0) &amp; ")","")</f>
        <v/>
      </c>
      <c r="P784" s="16">
        <f>ROUND(P783+IF(AND(E784&lt;=10,F784&lt;&gt;"ASTM A416"),L784,0),3)</f>
        <v/>
      </c>
      <c r="Q784" s="16">
        <f>ROUND(Q783+IF(AND(E784=12,F784&lt;&gt;"ASTM A416"),L784,0),3)</f>
        <v/>
      </c>
      <c r="R784" s="16">
        <f>ROUND(R783+IF(AND(E784=14,F784&lt;&gt;"ASTM A416"),L784,0),3)</f>
        <v/>
      </c>
      <c r="S784" s="16">
        <f>ROUND(S783+IF(AND(E784=16,F784&lt;&gt;"ASTM A416"),L784,0),3)</f>
        <v/>
      </c>
      <c r="T784" s="16">
        <f>ROUND(T783+IF(AND(E784=18,F784&lt;&gt;"ASTM A416"),L784,0),3)</f>
        <v/>
      </c>
      <c r="U784" s="16">
        <f>ROUND(U783+IF(AND(E784=20,F784&lt;&gt;"ASTM A416"),L784,0),3)</f>
        <v/>
      </c>
      <c r="V784" s="16">
        <f>ROUND(V783+IF(AND(E784=22,F784&lt;&gt;"ASTM A416"),L784,0),3)</f>
        <v/>
      </c>
      <c r="W784" s="16">
        <f>ROUND(W783+IF(AND(E784=25,F784&lt;&gt;"ASTM A416"),L784,0),3)</f>
        <v/>
      </c>
      <c r="X784" s="16">
        <f>ROUND(X783+IF(AND(E784=28,F784&lt;&gt;"ASTM A416"),L784,0),3)</f>
        <v/>
      </c>
      <c r="Y784" s="16">
        <f>ROUND(Y783+IF(AND(E784=32,F784&lt;&gt;"ASTM A416"),L784,0),3)</f>
        <v/>
      </c>
      <c r="Z784" s="16">
        <f>ROUND(Z783+IF(F784="ASTM A416",L784,0),3)</f>
        <v/>
      </c>
      <c r="AA784" s="9">
        <f>IF(ROUNDUP(P784/20,0)&gt;ROUNDUP(P783/20,0),"Lần " &amp; ROUNDUP(P784/20,0),"")</f>
        <v/>
      </c>
      <c r="AB784" s="9">
        <f>IF(ROUNDUP(Q784/20,0)&gt;ROUNDUP(Q783/20,0),"Lần " &amp; ROUNDUP(Q784/20,0),"")</f>
        <v/>
      </c>
      <c r="AC784" s="9">
        <f>IF(ROUNDUP(R784/20,0)&gt;ROUNDUP(R783/20,0),"Lần " &amp; ROUNDUP(R784/20,0),"")</f>
        <v/>
      </c>
      <c r="AD784" s="9">
        <f>IF(ROUNDUP(S784/20,0)&gt;ROUNDUP(S783/20,0),"Lần " &amp; ROUNDUP(S784/20,0),"")</f>
        <v/>
      </c>
      <c r="AE784" s="9">
        <f>IF(ROUNDUP(T784/20,0)&gt;ROUNDUP(T783/20,0),"Lần " &amp; ROUNDUP(T784/20,0),"")</f>
        <v/>
      </c>
      <c r="AF784" s="9">
        <f>IF(ROUNDUP(U784/20,0)&gt;ROUNDUP(U783/20,0),"Lần " &amp; ROUNDUP(U784/20,0),"")</f>
        <v/>
      </c>
      <c r="AG784" s="9">
        <f>IF(ROUNDUP(V784/20,0)&gt;ROUNDUP(V783/20,0),"Lần " &amp; ROUNDUP(V784/20,0),"")</f>
        <v/>
      </c>
      <c r="AH784" s="9">
        <f>IF(ROUNDUP(W784/20,0)&gt;ROUNDUP(W783/20,0),"Lần " &amp; ROUNDUP(W784/20,0),"")</f>
        <v/>
      </c>
      <c r="AI784" s="9">
        <f>IF(ROUNDUP(X784/20,0)&gt;ROUNDUP(X783/20,0),"Lần " &amp; ROUNDUP(X784/20,0),"")</f>
        <v/>
      </c>
      <c r="AJ784" s="9">
        <f>IF(ROUNDUP(Y784/20,0)&gt;ROUNDUP(Y783/20,0),"Lần " &amp; ROUNDUP(Y784/20,0),"")</f>
        <v/>
      </c>
      <c r="AK784" s="9">
        <f>IF(ROUNDUP(Z784/20,0)&gt;ROUNDUP(Z783/20,0),"Lần " &amp; ROUNDUP(Z784/20,0),"")</f>
        <v/>
      </c>
      <c r="AL784" s="4" t="n"/>
      <c r="AN784" s="596" t="inlineStr">
        <is>
          <t>HoanThien</t>
        </is>
      </c>
      <c r="AO784" s="596" t="n">
        <v>79</v>
      </c>
      <c r="AQ784" s="594" t="n"/>
      <c r="AR784" s="595" t="n"/>
    </row>
    <row r="785" ht="19" customHeight="1" s="672">
      <c r="A785" s="4" t="n">
        <v>746</v>
      </c>
      <c r="B785" s="5" t="inlineStr">
        <is>
          <t>Bản mặt cầu (Deck Slab)</t>
        </is>
      </c>
      <c r="C785" s="5" t="inlineStr">
        <is>
          <t>Lưới thép BMC đổ bù</t>
        </is>
      </c>
      <c r="D785" s="14" t="inlineStr">
        <is>
          <t>DR1</t>
        </is>
      </c>
      <c r="E785" s="15" t="n">
        <v>14</v>
      </c>
      <c r="F785" s="4" t="inlineStr">
        <is>
          <t>CB400-V</t>
        </is>
      </c>
      <c r="G785" s="5" t="inlineStr">
        <is>
          <t>S01</t>
        </is>
      </c>
      <c r="H785" s="16" t="n">
        <v>0.6</v>
      </c>
      <c r="I785" s="17" t="n">
        <v>64</v>
      </c>
      <c r="J785" s="18" t="n">
        <v>1.208</v>
      </c>
      <c r="K785" s="7">
        <f>ROUND(H785*I785*J785, 2)</f>
        <v/>
      </c>
      <c r="L785" s="19">
        <f>ROUND(K785/1000, 3)</f>
        <v/>
      </c>
      <c r="M785" s="728">
        <f>IF(AO785="","",IF(N(INDEX(Theo_Doi_Tan_Suat_Be_Tong!$C:$C,AO785))&lt;=0,"",INDEX(Theo_Doi_Tan_Suat_Be_Tong!$C:$C,AO785)-VLOOKUP(AN785,$AQ$2:$AR$7,2,FALSE)))</f>
        <v/>
      </c>
      <c r="N785" s="4" t="n"/>
      <c r="O785" s="20">
        <f>IF(ROUNDUP(R785/20,0)&gt;ROUNDUP(R784/20,0),"TN Ø14 (Lần " &amp; ROUNDUP(R785/20,0) &amp; ")","")</f>
        <v/>
      </c>
      <c r="P785" s="16">
        <f>ROUND(P784+IF(AND(E785&lt;=10,F785&lt;&gt;"ASTM A416"),L785,0),3)</f>
        <v/>
      </c>
      <c r="Q785" s="16">
        <f>ROUND(Q784+IF(AND(E785=12,F785&lt;&gt;"ASTM A416"),L785,0),3)</f>
        <v/>
      </c>
      <c r="R785" s="16">
        <f>ROUND(R784+IF(AND(E785=14,F785&lt;&gt;"ASTM A416"),L785,0),3)</f>
        <v/>
      </c>
      <c r="S785" s="16">
        <f>ROUND(S784+IF(AND(E785=16,F785&lt;&gt;"ASTM A416"),L785,0),3)</f>
        <v/>
      </c>
      <c r="T785" s="16">
        <f>ROUND(T784+IF(AND(E785=18,F785&lt;&gt;"ASTM A416"),L785,0),3)</f>
        <v/>
      </c>
      <c r="U785" s="16">
        <f>ROUND(U784+IF(AND(E785=20,F785&lt;&gt;"ASTM A416"),L785,0),3)</f>
        <v/>
      </c>
      <c r="V785" s="16">
        <f>ROUND(V784+IF(AND(E785=22,F785&lt;&gt;"ASTM A416"),L785,0),3)</f>
        <v/>
      </c>
      <c r="W785" s="16">
        <f>ROUND(W784+IF(AND(E785=25,F785&lt;&gt;"ASTM A416"),L785,0),3)</f>
        <v/>
      </c>
      <c r="X785" s="16">
        <f>ROUND(X784+IF(AND(E785=28,F785&lt;&gt;"ASTM A416"),L785,0),3)</f>
        <v/>
      </c>
      <c r="Y785" s="16">
        <f>ROUND(Y784+IF(AND(E785=32,F785&lt;&gt;"ASTM A416"),L785,0),3)</f>
        <v/>
      </c>
      <c r="Z785" s="16">
        <f>ROUND(Z784+IF(F785="ASTM A416",L785,0),3)</f>
        <v/>
      </c>
      <c r="AA785" s="9">
        <f>IF(ROUNDUP(P785/20,0)&gt;ROUNDUP(P784/20,0),"Lần " &amp; ROUNDUP(P785/20,0),"")</f>
        <v/>
      </c>
      <c r="AB785" s="9">
        <f>IF(ROUNDUP(Q785/20,0)&gt;ROUNDUP(Q784/20,0),"Lần " &amp; ROUNDUP(Q785/20,0),"")</f>
        <v/>
      </c>
      <c r="AC785" s="9">
        <f>IF(ROUNDUP(R785/20,0)&gt;ROUNDUP(R784/20,0),"Lần " &amp; ROUNDUP(R785/20,0),"")</f>
        <v/>
      </c>
      <c r="AD785" s="9">
        <f>IF(ROUNDUP(S785/20,0)&gt;ROUNDUP(S784/20,0),"Lần " &amp; ROUNDUP(S785/20,0),"")</f>
        <v/>
      </c>
      <c r="AE785" s="9">
        <f>IF(ROUNDUP(T785/20,0)&gt;ROUNDUP(T784/20,0),"Lần " &amp; ROUNDUP(T785/20,0),"")</f>
        <v/>
      </c>
      <c r="AF785" s="9">
        <f>IF(ROUNDUP(U785/20,0)&gt;ROUNDUP(U784/20,0),"Lần " &amp; ROUNDUP(U785/20,0),"")</f>
        <v/>
      </c>
      <c r="AG785" s="9">
        <f>IF(ROUNDUP(V785/20,0)&gt;ROUNDUP(V784/20,0),"Lần " &amp; ROUNDUP(V785/20,0),"")</f>
        <v/>
      </c>
      <c r="AH785" s="9">
        <f>IF(ROUNDUP(W785/20,0)&gt;ROUNDUP(W784/20,0),"Lần " &amp; ROUNDUP(W785/20,0),"")</f>
        <v/>
      </c>
      <c r="AI785" s="9">
        <f>IF(ROUNDUP(X785/20,0)&gt;ROUNDUP(X784/20,0),"Lần " &amp; ROUNDUP(X785/20,0),"")</f>
        <v/>
      </c>
      <c r="AJ785" s="9">
        <f>IF(ROUNDUP(Y785/20,0)&gt;ROUNDUP(Y784/20,0),"Lần " &amp; ROUNDUP(Y785/20,0),"")</f>
        <v/>
      </c>
      <c r="AK785" s="9">
        <f>IF(ROUNDUP(Z785/20,0)&gt;ROUNDUP(Z784/20,0),"Lần " &amp; ROUNDUP(Z785/20,0),"")</f>
        <v/>
      </c>
      <c r="AL785" s="4" t="n"/>
      <c r="AN785" s="596" t="inlineStr">
        <is>
          <t>HoanThien</t>
        </is>
      </c>
      <c r="AO785" s="596" t="n">
        <v>79</v>
      </c>
      <c r="AQ785" s="594" t="n"/>
      <c r="AR785" s="595" t="n"/>
    </row>
    <row r="786" ht="19" customHeight="1" s="672">
      <c r="A786" s="4" t="n">
        <v>747</v>
      </c>
      <c r="B786" s="5" t="inlineStr">
        <is>
          <t>Bản mặt cầu (Deck Slab)</t>
        </is>
      </c>
      <c r="C786" s="5" t="inlineStr">
        <is>
          <t>Lưới thép BMC đổ bù</t>
        </is>
      </c>
      <c r="D786" s="14" t="inlineStr">
        <is>
          <t>DR2</t>
        </is>
      </c>
      <c r="E786" s="15" t="n">
        <v>14</v>
      </c>
      <c r="F786" s="4" t="inlineStr">
        <is>
          <t>CB400-V</t>
        </is>
      </c>
      <c r="G786" s="5" t="inlineStr">
        <is>
          <t>S01</t>
        </is>
      </c>
      <c r="H786" s="16" t="n">
        <v>1.3</v>
      </c>
      <c r="I786" s="17" t="n">
        <v>32</v>
      </c>
      <c r="J786" s="18" t="n">
        <v>1.208</v>
      </c>
      <c r="K786" s="7">
        <f>ROUND(H786*I786*J786, 2)</f>
        <v/>
      </c>
      <c r="L786" s="19">
        <f>ROUND(K786/1000, 3)</f>
        <v/>
      </c>
      <c r="M786" s="728">
        <f>IF(AO786="","",IF(N(INDEX(Theo_Doi_Tan_Suat_Be_Tong!$C:$C,AO786))&lt;=0,"",INDEX(Theo_Doi_Tan_Suat_Be_Tong!$C:$C,AO786)-VLOOKUP(AN786,$AQ$2:$AR$7,2,FALSE)))</f>
        <v/>
      </c>
      <c r="N786" s="4" t="n"/>
      <c r="O786" s="20">
        <f>IF(ROUNDUP(R786/20,0)&gt;ROUNDUP(R785/20,0),"TN Ø14 (Lần " &amp; ROUNDUP(R786/20,0) &amp; ")","")</f>
        <v/>
      </c>
      <c r="P786" s="16">
        <f>ROUND(P785+IF(AND(E786&lt;=10,F786&lt;&gt;"ASTM A416"),L786,0),3)</f>
        <v/>
      </c>
      <c r="Q786" s="16">
        <f>ROUND(Q785+IF(AND(E786=12,F786&lt;&gt;"ASTM A416"),L786,0),3)</f>
        <v/>
      </c>
      <c r="R786" s="16">
        <f>ROUND(R785+IF(AND(E786=14,F786&lt;&gt;"ASTM A416"),L786,0),3)</f>
        <v/>
      </c>
      <c r="S786" s="16">
        <f>ROUND(S785+IF(AND(E786=16,F786&lt;&gt;"ASTM A416"),L786,0),3)</f>
        <v/>
      </c>
      <c r="T786" s="16">
        <f>ROUND(T785+IF(AND(E786=18,F786&lt;&gt;"ASTM A416"),L786,0),3)</f>
        <v/>
      </c>
      <c r="U786" s="16">
        <f>ROUND(U785+IF(AND(E786=20,F786&lt;&gt;"ASTM A416"),L786,0),3)</f>
        <v/>
      </c>
      <c r="V786" s="16">
        <f>ROUND(V785+IF(AND(E786=22,F786&lt;&gt;"ASTM A416"),L786,0),3)</f>
        <v/>
      </c>
      <c r="W786" s="16">
        <f>ROUND(W785+IF(AND(E786=25,F786&lt;&gt;"ASTM A416"),L786,0),3)</f>
        <v/>
      </c>
      <c r="X786" s="16">
        <f>ROUND(X785+IF(AND(E786=28,F786&lt;&gt;"ASTM A416"),L786,0),3)</f>
        <v/>
      </c>
      <c r="Y786" s="16">
        <f>ROUND(Y785+IF(AND(E786=32,F786&lt;&gt;"ASTM A416"),L786,0),3)</f>
        <v/>
      </c>
      <c r="Z786" s="16">
        <f>ROUND(Z785+IF(F786="ASTM A416",L786,0),3)</f>
        <v/>
      </c>
      <c r="AA786" s="9">
        <f>IF(ROUNDUP(P786/20,0)&gt;ROUNDUP(P785/20,0),"Lần " &amp; ROUNDUP(P786/20,0),"")</f>
        <v/>
      </c>
      <c r="AB786" s="9">
        <f>IF(ROUNDUP(Q786/20,0)&gt;ROUNDUP(Q785/20,0),"Lần " &amp; ROUNDUP(Q786/20,0),"")</f>
        <v/>
      </c>
      <c r="AC786" s="9">
        <f>IF(ROUNDUP(R786/20,0)&gt;ROUNDUP(R785/20,0),"Lần " &amp; ROUNDUP(R786/20,0),"")</f>
        <v/>
      </c>
      <c r="AD786" s="9">
        <f>IF(ROUNDUP(S786/20,0)&gt;ROUNDUP(S785/20,0),"Lần " &amp; ROUNDUP(S786/20,0),"")</f>
        <v/>
      </c>
      <c r="AE786" s="9">
        <f>IF(ROUNDUP(T786/20,0)&gt;ROUNDUP(T785/20,0),"Lần " &amp; ROUNDUP(T786/20,0),"")</f>
        <v/>
      </c>
      <c r="AF786" s="9">
        <f>IF(ROUNDUP(U786/20,0)&gt;ROUNDUP(U785/20,0),"Lần " &amp; ROUNDUP(U786/20,0),"")</f>
        <v/>
      </c>
      <c r="AG786" s="9">
        <f>IF(ROUNDUP(V786/20,0)&gt;ROUNDUP(V785/20,0),"Lần " &amp; ROUNDUP(V786/20,0),"")</f>
        <v/>
      </c>
      <c r="AH786" s="9">
        <f>IF(ROUNDUP(W786/20,0)&gt;ROUNDUP(W785/20,0),"Lần " &amp; ROUNDUP(W786/20,0),"")</f>
        <v/>
      </c>
      <c r="AI786" s="9">
        <f>IF(ROUNDUP(X786/20,0)&gt;ROUNDUP(X785/20,0),"Lần " &amp; ROUNDUP(X786/20,0),"")</f>
        <v/>
      </c>
      <c r="AJ786" s="9">
        <f>IF(ROUNDUP(Y786/20,0)&gt;ROUNDUP(Y785/20,0),"Lần " &amp; ROUNDUP(Y786/20,0),"")</f>
        <v/>
      </c>
      <c r="AK786" s="9">
        <f>IF(ROUNDUP(Z786/20,0)&gt;ROUNDUP(Z785/20,0),"Lần " &amp; ROUNDUP(Z786/20,0),"")</f>
        <v/>
      </c>
      <c r="AL786" s="4" t="n"/>
      <c r="AN786" s="596" t="inlineStr">
        <is>
          <t>HoanThien</t>
        </is>
      </c>
      <c r="AO786" s="596" t="n">
        <v>79</v>
      </c>
      <c r="AQ786" s="594" t="n"/>
      <c r="AR786" s="595" t="n"/>
    </row>
    <row r="787" ht="19" customHeight="1" s="672">
      <c r="A787" s="4" t="n">
        <v>748</v>
      </c>
      <c r="B787" s="5" t="inlineStr">
        <is>
          <t>Bản mặt cầu (Deck Slab)</t>
        </is>
      </c>
      <c r="C787" s="5" t="inlineStr">
        <is>
          <t>Lưới thép BMC đổ bù</t>
        </is>
      </c>
      <c r="D787" s="14" t="inlineStr">
        <is>
          <t>DR3</t>
        </is>
      </c>
      <c r="E787" s="15" t="n">
        <v>14</v>
      </c>
      <c r="F787" s="4" t="inlineStr">
        <is>
          <t>CB400-V</t>
        </is>
      </c>
      <c r="G787" s="5" t="inlineStr">
        <is>
          <t>S01</t>
        </is>
      </c>
      <c r="H787" s="16" t="n">
        <v>0.9</v>
      </c>
      <c r="I787" s="17" t="n">
        <v>64</v>
      </c>
      <c r="J787" s="18" t="n">
        <v>1.208</v>
      </c>
      <c r="K787" s="7">
        <f>ROUND(H787*I787*J787, 2)</f>
        <v/>
      </c>
      <c r="L787" s="19">
        <f>ROUND(K787/1000, 3)</f>
        <v/>
      </c>
      <c r="M787" s="728">
        <f>IF(AO787="","",IF(N(INDEX(Theo_Doi_Tan_Suat_Be_Tong!$C:$C,AO787))&lt;=0,"",INDEX(Theo_Doi_Tan_Suat_Be_Tong!$C:$C,AO787)-VLOOKUP(AN787,$AQ$2:$AR$7,2,FALSE)))</f>
        <v/>
      </c>
      <c r="N787" s="4" t="n"/>
      <c r="O787" s="20">
        <f>IF(ROUNDUP(R787/20,0)&gt;ROUNDUP(R786/20,0),"TN Ø14 (Lần " &amp; ROUNDUP(R787/20,0) &amp; ")","")</f>
        <v/>
      </c>
      <c r="P787" s="16">
        <f>ROUND(P786+IF(AND(E787&lt;=10,F787&lt;&gt;"ASTM A416"),L787,0),3)</f>
        <v/>
      </c>
      <c r="Q787" s="16">
        <f>ROUND(Q786+IF(AND(E787=12,F787&lt;&gt;"ASTM A416"),L787,0),3)</f>
        <v/>
      </c>
      <c r="R787" s="16">
        <f>ROUND(R786+IF(AND(E787=14,F787&lt;&gt;"ASTM A416"),L787,0),3)</f>
        <v/>
      </c>
      <c r="S787" s="16">
        <f>ROUND(S786+IF(AND(E787=16,F787&lt;&gt;"ASTM A416"),L787,0),3)</f>
        <v/>
      </c>
      <c r="T787" s="16">
        <f>ROUND(T786+IF(AND(E787=18,F787&lt;&gt;"ASTM A416"),L787,0),3)</f>
        <v/>
      </c>
      <c r="U787" s="16">
        <f>ROUND(U786+IF(AND(E787=20,F787&lt;&gt;"ASTM A416"),L787,0),3)</f>
        <v/>
      </c>
      <c r="V787" s="16">
        <f>ROUND(V786+IF(AND(E787=22,F787&lt;&gt;"ASTM A416"),L787,0),3)</f>
        <v/>
      </c>
      <c r="W787" s="16">
        <f>ROUND(W786+IF(AND(E787=25,F787&lt;&gt;"ASTM A416"),L787,0),3)</f>
        <v/>
      </c>
      <c r="X787" s="16">
        <f>ROUND(X786+IF(AND(E787=28,F787&lt;&gt;"ASTM A416"),L787,0),3)</f>
        <v/>
      </c>
      <c r="Y787" s="16">
        <f>ROUND(Y786+IF(AND(E787=32,F787&lt;&gt;"ASTM A416"),L787,0),3)</f>
        <v/>
      </c>
      <c r="Z787" s="16">
        <f>ROUND(Z786+IF(F787="ASTM A416",L787,0),3)</f>
        <v/>
      </c>
      <c r="AA787" s="9">
        <f>IF(ROUNDUP(P787/20,0)&gt;ROUNDUP(P786/20,0),"Lần " &amp; ROUNDUP(P787/20,0),"")</f>
        <v/>
      </c>
      <c r="AB787" s="9">
        <f>IF(ROUNDUP(Q787/20,0)&gt;ROUNDUP(Q786/20,0),"Lần " &amp; ROUNDUP(Q787/20,0),"")</f>
        <v/>
      </c>
      <c r="AC787" s="9">
        <f>IF(ROUNDUP(R787/20,0)&gt;ROUNDUP(R786/20,0),"Lần " &amp; ROUNDUP(R787/20,0),"")</f>
        <v/>
      </c>
      <c r="AD787" s="9">
        <f>IF(ROUNDUP(S787/20,0)&gt;ROUNDUP(S786/20,0),"Lần " &amp; ROUNDUP(S787/20,0),"")</f>
        <v/>
      </c>
      <c r="AE787" s="9">
        <f>IF(ROUNDUP(T787/20,0)&gt;ROUNDUP(T786/20,0),"Lần " &amp; ROUNDUP(T787/20,0),"")</f>
        <v/>
      </c>
      <c r="AF787" s="9">
        <f>IF(ROUNDUP(U787/20,0)&gt;ROUNDUP(U786/20,0),"Lần " &amp; ROUNDUP(U787/20,0),"")</f>
        <v/>
      </c>
      <c r="AG787" s="9">
        <f>IF(ROUNDUP(V787/20,0)&gt;ROUNDUP(V786/20,0),"Lần " &amp; ROUNDUP(V787/20,0),"")</f>
        <v/>
      </c>
      <c r="AH787" s="9">
        <f>IF(ROUNDUP(W787/20,0)&gt;ROUNDUP(W786/20,0),"Lần " &amp; ROUNDUP(W787/20,0),"")</f>
        <v/>
      </c>
      <c r="AI787" s="9">
        <f>IF(ROUNDUP(X787/20,0)&gt;ROUNDUP(X786/20,0),"Lần " &amp; ROUNDUP(X787/20,0),"")</f>
        <v/>
      </c>
      <c r="AJ787" s="9">
        <f>IF(ROUNDUP(Y787/20,0)&gt;ROUNDUP(Y786/20,0),"Lần " &amp; ROUNDUP(Y787/20,0),"")</f>
        <v/>
      </c>
      <c r="AK787" s="9">
        <f>IF(ROUNDUP(Z787/20,0)&gt;ROUNDUP(Z786/20,0),"Lần " &amp; ROUNDUP(Z787/20,0),"")</f>
        <v/>
      </c>
      <c r="AL787" s="4" t="n"/>
      <c r="AN787" s="596" t="inlineStr">
        <is>
          <t>HoanThien</t>
        </is>
      </c>
      <c r="AO787" s="596" t="n">
        <v>79</v>
      </c>
      <c r="AQ787" s="594" t="n"/>
      <c r="AR787" s="595" t="n"/>
    </row>
    <row r="788" ht="23" customHeight="1" s="672">
      <c r="A788" s="668" t="inlineStr">
        <is>
          <t>--- BẢN LIÊN TỤC NHIỆT (LINK SLAB) ---</t>
        </is>
      </c>
      <c r="B788" s="722" t="n"/>
      <c r="C788" s="722" t="n"/>
      <c r="D788" s="722" t="n"/>
      <c r="E788" s="722" t="n"/>
      <c r="F788" s="722" t="n"/>
      <c r="G788" s="722" t="n"/>
      <c r="H788" s="722" t="n"/>
      <c r="I788" s="722" t="n"/>
      <c r="J788" s="722" t="n"/>
      <c r="K788" s="722" t="n"/>
      <c r="L788" s="722" t="n"/>
      <c r="M788" s="722" t="n"/>
      <c r="N788" s="722" t="n"/>
      <c r="O788" s="722" t="n"/>
      <c r="P788" s="722" t="n"/>
      <c r="Q788" s="722" t="n"/>
      <c r="R788" s="722" t="n"/>
      <c r="S788" s="722" t="n"/>
      <c r="T788" s="722" t="n"/>
      <c r="U788" s="722" t="n"/>
      <c r="V788" s="722" t="n"/>
      <c r="W788" s="722" t="n"/>
      <c r="X788" s="722" t="n"/>
      <c r="Y788" s="722" t="n"/>
      <c r="Z788" s="722" t="n"/>
      <c r="AA788" s="722" t="n"/>
      <c r="AB788" s="722" t="n"/>
      <c r="AC788" s="722" t="n"/>
      <c r="AD788" s="722" t="n"/>
      <c r="AE788" s="722" t="n"/>
      <c r="AF788" s="722" t="n"/>
      <c r="AG788" s="722" t="n"/>
      <c r="AH788" s="722" t="n"/>
      <c r="AI788" s="722" t="n"/>
      <c r="AJ788" s="722" t="n"/>
      <c r="AK788" s="722" t="n"/>
      <c r="AL788" s="721" t="n"/>
      <c r="AQ788" s="594" t="n"/>
      <c r="AR788" s="595" t="n"/>
    </row>
    <row r="789" ht="19" customHeight="1" s="672">
      <c r="A789" s="4" t="n">
        <v>749</v>
      </c>
      <c r="B789" s="5" t="inlineStr">
        <is>
          <t>Bản liên tục nhiệt (Link Slab)</t>
        </is>
      </c>
      <c r="C789" s="5" t="inlineStr">
        <is>
          <t>Liên tục nhiệt T1, T2 (tr.112)</t>
        </is>
      </c>
      <c r="D789" s="14" t="inlineStr">
        <is>
          <t>L1</t>
        </is>
      </c>
      <c r="E789" s="15" t="n">
        <v>18</v>
      </c>
      <c r="F789" s="4" t="inlineStr">
        <is>
          <t>CB400-V</t>
        </is>
      </c>
      <c r="G789" s="5" t="inlineStr"/>
      <c r="H789" s="16" t="n">
        <v>13.135</v>
      </c>
      <c r="I789" s="17" t="n">
        <v>108</v>
      </c>
      <c r="J789" s="18" t="n">
        <v>1.998</v>
      </c>
      <c r="K789" s="7">
        <f>ROUND(H789*I789*J789, 2)</f>
        <v/>
      </c>
      <c r="L789" s="19">
        <f>ROUND(K789/1000, 3)</f>
        <v/>
      </c>
      <c r="M789" s="728">
        <f>IF(AO789="","",IF(N(INDEX(Theo_Doi_Tan_Suat_Be_Tong!$C:$C,AO789))&lt;=0,"",INDEX(Theo_Doi_Tan_Suat_Be_Tong!$C:$C,AO789)-VLOOKUP(AN789,$AQ$2:$AR$7,2,FALSE)))</f>
        <v/>
      </c>
      <c r="N789" s="4" t="n"/>
      <c r="O789" s="20">
        <f>IF(ROUNDUP(T789/20,0)&gt;ROUNDUP(T787/20,0),"TN Ø18 (Lần " &amp; ROUNDUP(T789/20,0) &amp; ")","")</f>
        <v/>
      </c>
      <c r="P789" s="16">
        <f>ROUND(P787+IF(AND(E789&lt;=10,F789&lt;&gt;"ASTM A416"),L789,0),3)</f>
        <v/>
      </c>
      <c r="Q789" s="16">
        <f>ROUND(Q787+IF(AND(E789=12,F789&lt;&gt;"ASTM A416"),L789,0),3)</f>
        <v/>
      </c>
      <c r="R789" s="16">
        <f>ROUND(R787+IF(AND(E789=14,F789&lt;&gt;"ASTM A416"),L789,0),3)</f>
        <v/>
      </c>
      <c r="S789" s="16">
        <f>ROUND(S787+IF(AND(E789=16,F789&lt;&gt;"ASTM A416"),L789,0),3)</f>
        <v/>
      </c>
      <c r="T789" s="16">
        <f>ROUND(T787+IF(AND(E789=18,F789&lt;&gt;"ASTM A416"),L789,0),3)</f>
        <v/>
      </c>
      <c r="U789" s="16">
        <f>ROUND(U787+IF(AND(E789=20,F789&lt;&gt;"ASTM A416"),L789,0),3)</f>
        <v/>
      </c>
      <c r="V789" s="16">
        <f>ROUND(V787+IF(AND(E789=22,F789&lt;&gt;"ASTM A416"),L789,0),3)</f>
        <v/>
      </c>
      <c r="W789" s="16">
        <f>ROUND(W787+IF(AND(E789=25,F789&lt;&gt;"ASTM A416"),L789,0),3)</f>
        <v/>
      </c>
      <c r="X789" s="16">
        <f>ROUND(X787+IF(AND(E789=28,F789&lt;&gt;"ASTM A416"),L789,0),3)</f>
        <v/>
      </c>
      <c r="Y789" s="16">
        <f>ROUND(Y787+IF(AND(E789=32,F789&lt;&gt;"ASTM A416"),L789,0),3)</f>
        <v/>
      </c>
      <c r="Z789" s="16">
        <f>ROUND(Z787+IF(F789="ASTM A416",L789,0),3)</f>
        <v/>
      </c>
      <c r="AA789" s="9">
        <f>IF(ROUNDUP(P789/20,0)&gt;ROUNDUP(P787/20,0),"Lần " &amp; ROUNDUP(P789/20,0),"")</f>
        <v/>
      </c>
      <c r="AB789" s="9">
        <f>IF(ROUNDUP(Q789/20,0)&gt;ROUNDUP(Q787/20,0),"Lần " &amp; ROUNDUP(Q789/20,0),"")</f>
        <v/>
      </c>
      <c r="AC789" s="9">
        <f>IF(ROUNDUP(R789/20,0)&gt;ROUNDUP(R787/20,0),"Lần " &amp; ROUNDUP(R789/20,0),"")</f>
        <v/>
      </c>
      <c r="AD789" s="9">
        <f>IF(ROUNDUP(S789/20,0)&gt;ROUNDUP(S787/20,0),"Lần " &amp; ROUNDUP(S789/20,0),"")</f>
        <v/>
      </c>
      <c r="AE789" s="9">
        <f>IF(ROUNDUP(T789/20,0)&gt;ROUNDUP(T787/20,0),"Lần " &amp; ROUNDUP(T789/20,0),"")</f>
        <v/>
      </c>
      <c r="AF789" s="9">
        <f>IF(ROUNDUP(U789/20,0)&gt;ROUNDUP(U787/20,0),"Lần " &amp; ROUNDUP(U789/20,0),"")</f>
        <v/>
      </c>
      <c r="AG789" s="9">
        <f>IF(ROUNDUP(V789/20,0)&gt;ROUNDUP(V787/20,0),"Lần " &amp; ROUNDUP(V789/20,0),"")</f>
        <v/>
      </c>
      <c r="AH789" s="9">
        <f>IF(ROUNDUP(W789/20,0)&gt;ROUNDUP(W787/20,0),"Lần " &amp; ROUNDUP(W789/20,0),"")</f>
        <v/>
      </c>
      <c r="AI789" s="9">
        <f>IF(ROUNDUP(X789/20,0)&gt;ROUNDUP(X787/20,0),"Lần " &amp; ROUNDUP(X789/20,0),"")</f>
        <v/>
      </c>
      <c r="AJ789" s="9">
        <f>IF(ROUNDUP(Y789/20,0)&gt;ROUNDUP(Y787/20,0),"Lần " &amp; ROUNDUP(Y789/20,0),"")</f>
        <v/>
      </c>
      <c r="AK789" s="9">
        <f>IF(ROUNDUP(Z789/20,0)&gt;ROUNDUP(Z787/20,0),"Lần " &amp; ROUNDUP(Z789/20,0),"")</f>
        <v/>
      </c>
      <c r="AL789" s="4" t="n"/>
      <c r="AN789" s="596" t="inlineStr">
        <is>
          <t>HoanThien</t>
        </is>
      </c>
      <c r="AO789" s="596" t="n">
        <v>78</v>
      </c>
      <c r="AQ789" s="594" t="n"/>
      <c r="AR789" s="595" t="n"/>
    </row>
    <row r="790" ht="19" customHeight="1" s="672">
      <c r="A790" s="4" t="n">
        <v>750</v>
      </c>
      <c r="B790" s="5" t="inlineStr">
        <is>
          <t>Bản liên tục nhiệt (Link Slab)</t>
        </is>
      </c>
      <c r="C790" s="5" t="inlineStr">
        <is>
          <t>Liên tục nhiệt T1, T2 (tr.112)</t>
        </is>
      </c>
      <c r="D790" s="14" t="inlineStr">
        <is>
          <t>L2</t>
        </is>
      </c>
      <c r="E790" s="15" t="n">
        <v>25</v>
      </c>
      <c r="F790" s="4" t="inlineStr">
        <is>
          <t>CB400-V</t>
        </is>
      </c>
      <c r="G790" s="5" t="inlineStr"/>
      <c r="H790" s="16" t="n">
        <v>3.92</v>
      </c>
      <c r="I790" s="17" t="n">
        <v>336</v>
      </c>
      <c r="J790" s="18" t="n">
        <v>3.853</v>
      </c>
      <c r="K790" s="7">
        <f>ROUND(H790*I790*J790, 2)</f>
        <v/>
      </c>
      <c r="L790" s="19">
        <f>ROUND(K790/1000, 3)</f>
        <v/>
      </c>
      <c r="M790" s="728">
        <f>IF(AO790="","",IF(N(INDEX(Theo_Doi_Tan_Suat_Be_Tong!$C:$C,AO790))&lt;=0,"",INDEX(Theo_Doi_Tan_Suat_Be_Tong!$C:$C,AO790)-VLOOKUP(AN790,$AQ$2:$AR$7,2,FALSE)))</f>
        <v/>
      </c>
      <c r="N790" s="4" t="n"/>
      <c r="O790" s="20">
        <f>IF(ROUNDUP(W790/20,0)&gt;ROUNDUP(W789/20,0),"TN Ø25 (Lần " &amp; ROUNDUP(W790/20,0) &amp; ")","")</f>
        <v/>
      </c>
      <c r="P790" s="16">
        <f>ROUND(P789+IF(AND(E790&lt;=10,F790&lt;&gt;"ASTM A416"),L790,0),3)</f>
        <v/>
      </c>
      <c r="Q790" s="16">
        <f>ROUND(Q789+IF(AND(E790=12,F790&lt;&gt;"ASTM A416"),L790,0),3)</f>
        <v/>
      </c>
      <c r="R790" s="16">
        <f>ROUND(R789+IF(AND(E790=14,F790&lt;&gt;"ASTM A416"),L790,0),3)</f>
        <v/>
      </c>
      <c r="S790" s="16">
        <f>ROUND(S789+IF(AND(E790=16,F790&lt;&gt;"ASTM A416"),L790,0),3)</f>
        <v/>
      </c>
      <c r="T790" s="16">
        <f>ROUND(T789+IF(AND(E790=18,F790&lt;&gt;"ASTM A416"),L790,0),3)</f>
        <v/>
      </c>
      <c r="U790" s="16">
        <f>ROUND(U789+IF(AND(E790=20,F790&lt;&gt;"ASTM A416"),L790,0),3)</f>
        <v/>
      </c>
      <c r="V790" s="16">
        <f>ROUND(V789+IF(AND(E790=22,F790&lt;&gt;"ASTM A416"),L790,0),3)</f>
        <v/>
      </c>
      <c r="W790" s="16">
        <f>ROUND(W789+IF(AND(E790=25,F790&lt;&gt;"ASTM A416"),L790,0),3)</f>
        <v/>
      </c>
      <c r="X790" s="16">
        <f>ROUND(X789+IF(AND(E790=28,F790&lt;&gt;"ASTM A416"),L790,0),3)</f>
        <v/>
      </c>
      <c r="Y790" s="16">
        <f>ROUND(Y789+IF(AND(E790=32,F790&lt;&gt;"ASTM A416"),L790,0),3)</f>
        <v/>
      </c>
      <c r="Z790" s="16">
        <f>ROUND(Z789+IF(F790="ASTM A416",L790,0),3)</f>
        <v/>
      </c>
      <c r="AA790" s="9">
        <f>IF(ROUNDUP(P790/20,0)&gt;ROUNDUP(P789/20,0),"Lần " &amp; ROUNDUP(P790/20,0),"")</f>
        <v/>
      </c>
      <c r="AB790" s="9">
        <f>IF(ROUNDUP(Q790/20,0)&gt;ROUNDUP(Q789/20,0),"Lần " &amp; ROUNDUP(Q790/20,0),"")</f>
        <v/>
      </c>
      <c r="AC790" s="9">
        <f>IF(ROUNDUP(R790/20,0)&gt;ROUNDUP(R789/20,0),"Lần " &amp; ROUNDUP(R790/20,0),"")</f>
        <v/>
      </c>
      <c r="AD790" s="9">
        <f>IF(ROUNDUP(S790/20,0)&gt;ROUNDUP(S789/20,0),"Lần " &amp; ROUNDUP(S790/20,0),"")</f>
        <v/>
      </c>
      <c r="AE790" s="9">
        <f>IF(ROUNDUP(T790/20,0)&gt;ROUNDUP(T789/20,0),"Lần " &amp; ROUNDUP(T790/20,0),"")</f>
        <v/>
      </c>
      <c r="AF790" s="9">
        <f>IF(ROUNDUP(U790/20,0)&gt;ROUNDUP(U789/20,0),"Lần " &amp; ROUNDUP(U790/20,0),"")</f>
        <v/>
      </c>
      <c r="AG790" s="9">
        <f>IF(ROUNDUP(V790/20,0)&gt;ROUNDUP(V789/20,0),"Lần " &amp; ROUNDUP(V790/20,0),"")</f>
        <v/>
      </c>
      <c r="AH790" s="9">
        <f>IF(ROUNDUP(W790/20,0)&gt;ROUNDUP(W789/20,0),"Lần " &amp; ROUNDUP(W790/20,0),"")</f>
        <v/>
      </c>
      <c r="AI790" s="9">
        <f>IF(ROUNDUP(X790/20,0)&gt;ROUNDUP(X789/20,0),"Lần " &amp; ROUNDUP(X790/20,0),"")</f>
        <v/>
      </c>
      <c r="AJ790" s="9">
        <f>IF(ROUNDUP(Y790/20,0)&gt;ROUNDUP(Y789/20,0),"Lần " &amp; ROUNDUP(Y790/20,0),"")</f>
        <v/>
      </c>
      <c r="AK790" s="9">
        <f>IF(ROUNDUP(Z790/20,0)&gt;ROUNDUP(Z789/20,0),"Lần " &amp; ROUNDUP(Z790/20,0),"")</f>
        <v/>
      </c>
      <c r="AL790" s="4" t="n"/>
      <c r="AN790" s="596" t="inlineStr">
        <is>
          <t>HoanThien</t>
        </is>
      </c>
      <c r="AO790" s="596" t="n">
        <v>78</v>
      </c>
      <c r="AQ790" s="594" t="n"/>
      <c r="AR790" s="595" t="n"/>
    </row>
    <row r="791" ht="19" customHeight="1" s="672">
      <c r="A791" s="4" t="n">
        <v>751</v>
      </c>
      <c r="B791" s="5" t="inlineStr">
        <is>
          <t>Bản liên tục nhiệt (Link Slab)</t>
        </is>
      </c>
      <c r="C791" s="5" t="inlineStr">
        <is>
          <t>Liên tục nhiệt T1, T2 (tr.112)</t>
        </is>
      </c>
      <c r="D791" s="14" t="inlineStr">
        <is>
          <t>L3</t>
        </is>
      </c>
      <c r="E791" s="15" t="n">
        <v>10</v>
      </c>
      <c r="F791" s="4" t="inlineStr">
        <is>
          <t>CB240-T</t>
        </is>
      </c>
      <c r="G791" s="5" t="inlineStr"/>
      <c r="H791" s="16" t="n">
        <v>0.32</v>
      </c>
      <c r="I791" s="17" t="n">
        <v>520</v>
      </c>
      <c r="J791" s="18" t="n">
        <v>0.617</v>
      </c>
      <c r="K791" s="7">
        <f>ROUND(H791*I791*J791, 2)</f>
        <v/>
      </c>
      <c r="L791" s="19">
        <f>ROUND(K791/1000, 3)</f>
        <v/>
      </c>
      <c r="M791" s="728">
        <f>IF(AO791="","",IF(N(INDEX(Theo_Doi_Tan_Suat_Be_Tong!$C:$C,AO791))&lt;=0,"",INDEX(Theo_Doi_Tan_Suat_Be_Tong!$C:$C,AO791)-VLOOKUP(AN791,$AQ$2:$AR$7,2,FALSE)))</f>
        <v/>
      </c>
      <c r="N791" s="4" t="n"/>
      <c r="O791" s="20">
        <f>IF(ROUNDUP(P791/20,0)&gt;ROUNDUP(P790/20,0),"TN Ø10 (Lần " &amp; ROUNDUP(P791/20,0) &amp; ")","")</f>
        <v/>
      </c>
      <c r="P791" s="16">
        <f>ROUND(P790+IF(AND(E791&lt;=10,F791&lt;&gt;"ASTM A416"),L791,0),3)</f>
        <v/>
      </c>
      <c r="Q791" s="16">
        <f>ROUND(Q790+IF(AND(E791=12,F791&lt;&gt;"ASTM A416"),L791,0),3)</f>
        <v/>
      </c>
      <c r="R791" s="16">
        <f>ROUND(R790+IF(AND(E791=14,F791&lt;&gt;"ASTM A416"),L791,0),3)</f>
        <v/>
      </c>
      <c r="S791" s="16">
        <f>ROUND(S790+IF(AND(E791=16,F791&lt;&gt;"ASTM A416"),L791,0),3)</f>
        <v/>
      </c>
      <c r="T791" s="16">
        <f>ROUND(T790+IF(AND(E791=18,F791&lt;&gt;"ASTM A416"),L791,0),3)</f>
        <v/>
      </c>
      <c r="U791" s="16">
        <f>ROUND(U790+IF(AND(E791=20,F791&lt;&gt;"ASTM A416"),L791,0),3)</f>
        <v/>
      </c>
      <c r="V791" s="16">
        <f>ROUND(V790+IF(AND(E791=22,F791&lt;&gt;"ASTM A416"),L791,0),3)</f>
        <v/>
      </c>
      <c r="W791" s="16">
        <f>ROUND(W790+IF(AND(E791=25,F791&lt;&gt;"ASTM A416"),L791,0),3)</f>
        <v/>
      </c>
      <c r="X791" s="16">
        <f>ROUND(X790+IF(AND(E791=28,F791&lt;&gt;"ASTM A416"),L791,0),3)</f>
        <v/>
      </c>
      <c r="Y791" s="16">
        <f>ROUND(Y790+IF(AND(E791=32,F791&lt;&gt;"ASTM A416"),L791,0),3)</f>
        <v/>
      </c>
      <c r="Z791" s="16">
        <f>ROUND(Z790+IF(F791="ASTM A416",L791,0),3)</f>
        <v/>
      </c>
      <c r="AA791" s="9">
        <f>IF(ROUNDUP(P791/20,0)&gt;ROUNDUP(P790/20,0),"Lần " &amp; ROUNDUP(P791/20,0),"")</f>
        <v/>
      </c>
      <c r="AB791" s="9">
        <f>IF(ROUNDUP(Q791/20,0)&gt;ROUNDUP(Q790/20,0),"Lần " &amp; ROUNDUP(Q791/20,0),"")</f>
        <v/>
      </c>
      <c r="AC791" s="9">
        <f>IF(ROUNDUP(R791/20,0)&gt;ROUNDUP(R790/20,0),"Lần " &amp; ROUNDUP(R791/20,0),"")</f>
        <v/>
      </c>
      <c r="AD791" s="9">
        <f>IF(ROUNDUP(S791/20,0)&gt;ROUNDUP(S790/20,0),"Lần " &amp; ROUNDUP(S791/20,0),"")</f>
        <v/>
      </c>
      <c r="AE791" s="9">
        <f>IF(ROUNDUP(T791/20,0)&gt;ROUNDUP(T790/20,0),"Lần " &amp; ROUNDUP(T791/20,0),"")</f>
        <v/>
      </c>
      <c r="AF791" s="9">
        <f>IF(ROUNDUP(U791/20,0)&gt;ROUNDUP(U790/20,0),"Lần " &amp; ROUNDUP(U791/20,0),"")</f>
        <v/>
      </c>
      <c r="AG791" s="9">
        <f>IF(ROUNDUP(V791/20,0)&gt;ROUNDUP(V790/20,0),"Lần " &amp; ROUNDUP(V791/20,0),"")</f>
        <v/>
      </c>
      <c r="AH791" s="9">
        <f>IF(ROUNDUP(W791/20,0)&gt;ROUNDUP(W790/20,0),"Lần " &amp; ROUNDUP(W791/20,0),"")</f>
        <v/>
      </c>
      <c r="AI791" s="9">
        <f>IF(ROUNDUP(X791/20,0)&gt;ROUNDUP(X790/20,0),"Lần " &amp; ROUNDUP(X791/20,0),"")</f>
        <v/>
      </c>
      <c r="AJ791" s="9">
        <f>IF(ROUNDUP(Y791/20,0)&gt;ROUNDUP(Y790/20,0),"Lần " &amp; ROUNDUP(Y791/20,0),"")</f>
        <v/>
      </c>
      <c r="AK791" s="9">
        <f>IF(ROUNDUP(Z791/20,0)&gt;ROUNDUP(Z790/20,0),"Lần " &amp; ROUNDUP(Z791/20,0),"")</f>
        <v/>
      </c>
      <c r="AL791" s="4" t="n"/>
      <c r="AN791" s="596" t="inlineStr">
        <is>
          <t>HoanThien</t>
        </is>
      </c>
      <c r="AO791" s="596" t="n">
        <v>78</v>
      </c>
      <c r="AQ791" s="594" t="n"/>
      <c r="AR791" s="595" t="n"/>
    </row>
    <row r="792" ht="19" customHeight="1" s="672">
      <c r="A792" s="4" t="n">
        <v>752</v>
      </c>
      <c r="B792" s="5" t="inlineStr">
        <is>
          <t>Bản liên tục nhiệt (Link Slab)</t>
        </is>
      </c>
      <c r="C792" s="5" t="inlineStr">
        <is>
          <t>Liên tục nhiệt T1, T2 (tr.112)</t>
        </is>
      </c>
      <c r="D792" s="14" t="inlineStr">
        <is>
          <t>S4</t>
        </is>
      </c>
      <c r="E792" s="15" t="n">
        <v>18</v>
      </c>
      <c r="F792" s="4" t="inlineStr">
        <is>
          <t>CB400-V</t>
        </is>
      </c>
      <c r="G792" s="5" t="inlineStr"/>
      <c r="H792" s="16" t="n">
        <v>2.1</v>
      </c>
      <c r="I792" s="17" t="n">
        <v>216</v>
      </c>
      <c r="J792" s="18" t="n">
        <v>1.998</v>
      </c>
      <c r="K792" s="7">
        <f>ROUND(H792*I792*J792, 2)</f>
        <v/>
      </c>
      <c r="L792" s="19">
        <f>ROUND(K792/1000, 3)</f>
        <v/>
      </c>
      <c r="M792" s="728">
        <f>IF(AO792="","",IF(N(INDEX(Theo_Doi_Tan_Suat_Be_Tong!$C:$C,AO792))&lt;=0,"",INDEX(Theo_Doi_Tan_Suat_Be_Tong!$C:$C,AO792)-VLOOKUP(AN792,$AQ$2:$AR$7,2,FALSE)))</f>
        <v/>
      </c>
      <c r="N792" s="4" t="n"/>
      <c r="O792" s="20">
        <f>IF(ROUNDUP(T792/20,0)&gt;ROUNDUP(T791/20,0),"TN Ø18 (Lần " &amp; ROUNDUP(T792/20,0) &amp; ")","")</f>
        <v/>
      </c>
      <c r="P792" s="16">
        <f>ROUND(P791+IF(AND(E792&lt;=10,F792&lt;&gt;"ASTM A416"),L792,0),3)</f>
        <v/>
      </c>
      <c r="Q792" s="16">
        <f>ROUND(Q791+IF(AND(E792=12,F792&lt;&gt;"ASTM A416"),L792,0),3)</f>
        <v/>
      </c>
      <c r="R792" s="16">
        <f>ROUND(R791+IF(AND(E792=14,F792&lt;&gt;"ASTM A416"),L792,0),3)</f>
        <v/>
      </c>
      <c r="S792" s="16">
        <f>ROUND(S791+IF(AND(E792=16,F792&lt;&gt;"ASTM A416"),L792,0),3)</f>
        <v/>
      </c>
      <c r="T792" s="16">
        <f>ROUND(T791+IF(AND(E792=18,F792&lt;&gt;"ASTM A416"),L792,0),3)</f>
        <v/>
      </c>
      <c r="U792" s="16">
        <f>ROUND(U791+IF(AND(E792=20,F792&lt;&gt;"ASTM A416"),L792,0),3)</f>
        <v/>
      </c>
      <c r="V792" s="16">
        <f>ROUND(V791+IF(AND(E792=22,F792&lt;&gt;"ASTM A416"),L792,0),3)</f>
        <v/>
      </c>
      <c r="W792" s="16">
        <f>ROUND(W791+IF(AND(E792=25,F792&lt;&gt;"ASTM A416"),L792,0),3)</f>
        <v/>
      </c>
      <c r="X792" s="16">
        <f>ROUND(X791+IF(AND(E792=28,F792&lt;&gt;"ASTM A416"),L792,0),3)</f>
        <v/>
      </c>
      <c r="Y792" s="16">
        <f>ROUND(Y791+IF(AND(E792=32,F792&lt;&gt;"ASTM A416"),L792,0),3)</f>
        <v/>
      </c>
      <c r="Z792" s="16">
        <f>ROUND(Z791+IF(F792="ASTM A416",L792,0),3)</f>
        <v/>
      </c>
      <c r="AA792" s="9">
        <f>IF(ROUNDUP(P792/20,0)&gt;ROUNDUP(P791/20,0),"Lần " &amp; ROUNDUP(P792/20,0),"")</f>
        <v/>
      </c>
      <c r="AB792" s="9">
        <f>IF(ROUNDUP(Q792/20,0)&gt;ROUNDUP(Q791/20,0),"Lần " &amp; ROUNDUP(Q792/20,0),"")</f>
        <v/>
      </c>
      <c r="AC792" s="9">
        <f>IF(ROUNDUP(R792/20,0)&gt;ROUNDUP(R791/20,0),"Lần " &amp; ROUNDUP(R792/20,0),"")</f>
        <v/>
      </c>
      <c r="AD792" s="9">
        <f>IF(ROUNDUP(S792/20,0)&gt;ROUNDUP(S791/20,0),"Lần " &amp; ROUNDUP(S792/20,0),"")</f>
        <v/>
      </c>
      <c r="AE792" s="9">
        <f>IF(ROUNDUP(T792/20,0)&gt;ROUNDUP(T791/20,0),"Lần " &amp; ROUNDUP(T792/20,0),"")</f>
        <v/>
      </c>
      <c r="AF792" s="9">
        <f>IF(ROUNDUP(U792/20,0)&gt;ROUNDUP(U791/20,0),"Lần " &amp; ROUNDUP(U792/20,0),"")</f>
        <v/>
      </c>
      <c r="AG792" s="9">
        <f>IF(ROUNDUP(V792/20,0)&gt;ROUNDUP(V791/20,0),"Lần " &amp; ROUNDUP(V792/20,0),"")</f>
        <v/>
      </c>
      <c r="AH792" s="9">
        <f>IF(ROUNDUP(W792/20,0)&gt;ROUNDUP(W791/20,0),"Lần " &amp; ROUNDUP(W792/20,0),"")</f>
        <v/>
      </c>
      <c r="AI792" s="9">
        <f>IF(ROUNDUP(X792/20,0)&gt;ROUNDUP(X791/20,0),"Lần " &amp; ROUNDUP(X792/20,0),"")</f>
        <v/>
      </c>
      <c r="AJ792" s="9">
        <f>IF(ROUNDUP(Y792/20,0)&gt;ROUNDUP(Y791/20,0),"Lần " &amp; ROUNDUP(Y792/20,0),"")</f>
        <v/>
      </c>
      <c r="AK792" s="9">
        <f>IF(ROUNDUP(Z792/20,0)&gt;ROUNDUP(Z791/20,0),"Lần " &amp; ROUNDUP(Z792/20,0),"")</f>
        <v/>
      </c>
      <c r="AL792" s="4" t="n"/>
      <c r="AN792" s="596" t="inlineStr">
        <is>
          <t>HoanThien</t>
        </is>
      </c>
      <c r="AO792" s="596" t="n">
        <v>78</v>
      </c>
      <c r="AQ792" s="594" t="n"/>
      <c r="AR792" s="595" t="n"/>
    </row>
    <row r="793" ht="19" customHeight="1" s="672">
      <c r="A793" s="668" t="inlineStr">
        <is>
          <t>--- GỜ LAN CAN BTCT ---</t>
        </is>
      </c>
      <c r="B793" s="722" t="n"/>
      <c r="C793" s="722" t="n"/>
      <c r="D793" s="722" t="n"/>
      <c r="E793" s="722" t="n"/>
      <c r="F793" s="722" t="n"/>
      <c r="G793" s="722" t="n"/>
      <c r="H793" s="722" t="n"/>
      <c r="I793" s="722" t="n"/>
      <c r="J793" s="722" t="n"/>
      <c r="K793" s="722" t="n"/>
      <c r="L793" s="722" t="n"/>
      <c r="M793" s="722" t="n"/>
      <c r="N793" s="722" t="n"/>
      <c r="O793" s="722" t="n"/>
      <c r="P793" s="722" t="n"/>
      <c r="Q793" s="722" t="n"/>
      <c r="R793" s="722" t="n"/>
      <c r="S793" s="722" t="n"/>
      <c r="T793" s="722" t="n"/>
      <c r="U793" s="722" t="n"/>
      <c r="V793" s="722" t="n"/>
      <c r="W793" s="722" t="n"/>
      <c r="X793" s="722" t="n"/>
      <c r="Y793" s="722" t="n"/>
      <c r="Z793" s="722" t="n"/>
      <c r="AA793" s="722" t="n"/>
      <c r="AB793" s="722" t="n"/>
      <c r="AC793" s="722" t="n"/>
      <c r="AD793" s="722" t="n"/>
      <c r="AE793" s="722" t="n"/>
      <c r="AF793" s="722" t="n"/>
      <c r="AG793" s="722" t="n"/>
      <c r="AH793" s="722" t="n"/>
      <c r="AI793" s="722" t="n"/>
      <c r="AJ793" s="722" t="n"/>
      <c r="AK793" s="722" t="n"/>
      <c r="AL793" s="721" t="n"/>
      <c r="AQ793" s="594" t="n"/>
      <c r="AR793" s="595" t="n"/>
    </row>
    <row r="794" ht="19" customHeight="1" s="672">
      <c r="A794" s="4" t="n">
        <v>753</v>
      </c>
      <c r="B794" s="5" t="inlineStr">
        <is>
          <t>Gờ lan can BTCT</t>
        </is>
      </c>
      <c r="C794" s="5" t="inlineStr">
        <is>
          <t>Gờ lan can (tr.119)</t>
        </is>
      </c>
      <c r="D794" s="14" t="inlineStr">
        <is>
          <t>G1</t>
        </is>
      </c>
      <c r="E794" s="15" t="n">
        <v>14</v>
      </c>
      <c r="F794" s="4" t="inlineStr">
        <is>
          <t>CB400-V</t>
        </is>
      </c>
      <c r="G794" s="5" t="inlineStr">
        <is>
          <t>S01</t>
        </is>
      </c>
      <c r="H794" s="16" t="n">
        <v>5.91</v>
      </c>
      <c r="I794" s="17" t="n">
        <v>361</v>
      </c>
      <c r="J794" s="18" t="n">
        <v>1.208</v>
      </c>
      <c r="K794" s="7">
        <f>ROUND(H794*I794*J794, 2)</f>
        <v/>
      </c>
      <c r="L794" s="19">
        <f>ROUND(K794/1000, 3)</f>
        <v/>
      </c>
      <c r="M794" s="728">
        <f>IF(AO794="","",IF(N(INDEX(Theo_Doi_Tan_Suat_Be_Tong!$C:$C,AO794))&lt;=0,"",INDEX(Theo_Doi_Tan_Suat_Be_Tong!$C:$C,AO794)-VLOOKUP(AN794,$AQ$2:$AR$7,2,FALSE)))</f>
        <v/>
      </c>
      <c r="N794" s="4" t="n"/>
      <c r="O794" s="20">
        <f>IF(ROUNDUP(R794/20,0)&gt;ROUNDUP(R792/20,0),"TN Ø14 (Lần " &amp; ROUNDUP(R794/20,0) &amp; ")","")</f>
        <v/>
      </c>
      <c r="P794" s="16">
        <f>ROUND(P792+IF(AND(E794&lt;=10,F794&lt;&gt;"ASTM A416"),L794,0),3)</f>
        <v/>
      </c>
      <c r="Q794" s="16">
        <f>ROUND(Q792+IF(AND(E794=12,F794&lt;&gt;"ASTM A416"),L794,0),3)</f>
        <v/>
      </c>
      <c r="R794" s="16">
        <f>ROUND(R792+IF(AND(E794=14,F794&lt;&gt;"ASTM A416"),L794,0),3)</f>
        <v/>
      </c>
      <c r="S794" s="16">
        <f>ROUND(S792+IF(AND(E794=16,F794&lt;&gt;"ASTM A416"),L794,0),3)</f>
        <v/>
      </c>
      <c r="T794" s="16">
        <f>ROUND(T792+IF(AND(E794=18,F794&lt;&gt;"ASTM A416"),L794,0),3)</f>
        <v/>
      </c>
      <c r="U794" s="16">
        <f>ROUND(U792+IF(AND(E794=20,F794&lt;&gt;"ASTM A416"),L794,0),3)</f>
        <v/>
      </c>
      <c r="V794" s="16">
        <f>ROUND(V792+IF(AND(E794=22,F794&lt;&gt;"ASTM A416"),L794,0),3)</f>
        <v/>
      </c>
      <c r="W794" s="16">
        <f>ROUND(W792+IF(AND(E794=25,F794&lt;&gt;"ASTM A416"),L794,0),3)</f>
        <v/>
      </c>
      <c r="X794" s="16">
        <f>ROUND(X792+IF(AND(E794=28,F794&lt;&gt;"ASTM A416"),L794,0),3)</f>
        <v/>
      </c>
      <c r="Y794" s="16">
        <f>ROUND(Y792+IF(AND(E794=32,F794&lt;&gt;"ASTM A416"),L794,0),3)</f>
        <v/>
      </c>
      <c r="Z794" s="16">
        <f>ROUND(Z792+IF(F794="ASTM A416",L794,0),3)</f>
        <v/>
      </c>
      <c r="AA794" s="9">
        <f>IF(ROUNDUP(P794/20,0)&gt;ROUNDUP(P792/20,0),"Lần " &amp; ROUNDUP(P794/20,0),"")</f>
        <v/>
      </c>
      <c r="AB794" s="9">
        <f>IF(ROUNDUP(Q794/20,0)&gt;ROUNDUP(Q792/20,0),"Lần " &amp; ROUNDUP(Q794/20,0),"")</f>
        <v/>
      </c>
      <c r="AC794" s="9">
        <f>IF(ROUNDUP(R794/20,0)&gt;ROUNDUP(R792/20,0),"Lần " &amp; ROUNDUP(R794/20,0),"")</f>
        <v/>
      </c>
      <c r="AD794" s="9">
        <f>IF(ROUNDUP(S794/20,0)&gt;ROUNDUP(S792/20,0),"Lần " &amp; ROUNDUP(S794/20,0),"")</f>
        <v/>
      </c>
      <c r="AE794" s="9">
        <f>IF(ROUNDUP(T794/20,0)&gt;ROUNDUP(T792/20,0),"Lần " &amp; ROUNDUP(T794/20,0),"")</f>
        <v/>
      </c>
      <c r="AF794" s="9">
        <f>IF(ROUNDUP(U794/20,0)&gt;ROUNDUP(U792/20,0),"Lần " &amp; ROUNDUP(U794/20,0),"")</f>
        <v/>
      </c>
      <c r="AG794" s="9">
        <f>IF(ROUNDUP(V794/20,0)&gt;ROUNDUP(V792/20,0),"Lần " &amp; ROUNDUP(V794/20,0),"")</f>
        <v/>
      </c>
      <c r="AH794" s="9">
        <f>IF(ROUNDUP(W794/20,0)&gt;ROUNDUP(W792/20,0),"Lần " &amp; ROUNDUP(W794/20,0),"")</f>
        <v/>
      </c>
      <c r="AI794" s="9">
        <f>IF(ROUNDUP(X794/20,0)&gt;ROUNDUP(X792/20,0),"Lần " &amp; ROUNDUP(X794/20,0),"")</f>
        <v/>
      </c>
      <c r="AJ794" s="9">
        <f>IF(ROUNDUP(Y794/20,0)&gt;ROUNDUP(Y792/20,0),"Lần " &amp; ROUNDUP(Y794/20,0),"")</f>
        <v/>
      </c>
      <c r="AK794" s="9">
        <f>IF(ROUNDUP(Z794/20,0)&gt;ROUNDUP(Z792/20,0),"Lần " &amp; ROUNDUP(Z794/20,0),"")</f>
        <v/>
      </c>
      <c r="AL794" s="4" t="n"/>
      <c r="AN794" s="596" t="inlineStr">
        <is>
          <t>HoanThien</t>
        </is>
      </c>
      <c r="AO794" s="596" t="n">
        <v>53</v>
      </c>
      <c r="AQ794" s="594" t="n"/>
      <c r="AR794" s="595" t="n"/>
    </row>
    <row r="795" ht="19" customHeight="1" s="672">
      <c r="A795" s="4" t="n">
        <v>754</v>
      </c>
      <c r="B795" s="5" t="inlineStr">
        <is>
          <t>Gờ lan can BTCT</t>
        </is>
      </c>
      <c r="C795" s="5" t="inlineStr">
        <is>
          <t>Gờ lan can (tr.119)</t>
        </is>
      </c>
      <c r="D795" s="14" t="inlineStr">
        <is>
          <t>G2</t>
        </is>
      </c>
      <c r="E795" s="15" t="n">
        <v>18</v>
      </c>
      <c r="F795" s="4" t="inlineStr">
        <is>
          <t>CB400-V</t>
        </is>
      </c>
      <c r="G795" s="5" t="inlineStr">
        <is>
          <t>S57</t>
        </is>
      </c>
      <c r="H795" s="16" t="n">
        <v>2.578</v>
      </c>
      <c r="I795" s="17" t="n">
        <v>779</v>
      </c>
      <c r="J795" s="18" t="n">
        <v>1.998</v>
      </c>
      <c r="K795" s="7">
        <f>ROUND(H795*I795*J795, 2)</f>
        <v/>
      </c>
      <c r="L795" s="19">
        <f>ROUND(K795/1000, 3)</f>
        <v/>
      </c>
      <c r="M795" s="728">
        <f>IF(AO795="","",IF(N(INDEX(Theo_Doi_Tan_Suat_Be_Tong!$C:$C,AO795))&lt;=0,"",INDEX(Theo_Doi_Tan_Suat_Be_Tong!$C:$C,AO795)-VLOOKUP(AN795,$AQ$2:$AR$7,2,FALSE)))</f>
        <v/>
      </c>
      <c r="N795" s="4" t="n"/>
      <c r="O795" s="20">
        <f>IF(ROUNDUP(T795/20,0)&gt;ROUNDUP(T794/20,0),"TN Ø18 (Lần " &amp; ROUNDUP(T795/20,0) &amp; ")","")</f>
        <v/>
      </c>
      <c r="P795" s="16">
        <f>ROUND(P794+IF(AND(E795&lt;=10,F795&lt;&gt;"ASTM A416"),L795,0),3)</f>
        <v/>
      </c>
      <c r="Q795" s="16">
        <f>ROUND(Q794+IF(AND(E795=12,F795&lt;&gt;"ASTM A416"),L795,0),3)</f>
        <v/>
      </c>
      <c r="R795" s="16">
        <f>ROUND(R794+IF(AND(E795=14,F795&lt;&gt;"ASTM A416"),L795,0),3)</f>
        <v/>
      </c>
      <c r="S795" s="16">
        <f>ROUND(S794+IF(AND(E795=16,F795&lt;&gt;"ASTM A416"),L795,0),3)</f>
        <v/>
      </c>
      <c r="T795" s="16">
        <f>ROUND(T794+IF(AND(E795=18,F795&lt;&gt;"ASTM A416"),L795,0),3)</f>
        <v/>
      </c>
      <c r="U795" s="16">
        <f>ROUND(U794+IF(AND(E795=20,F795&lt;&gt;"ASTM A416"),L795,0),3)</f>
        <v/>
      </c>
      <c r="V795" s="16">
        <f>ROUND(V794+IF(AND(E795=22,F795&lt;&gt;"ASTM A416"),L795,0),3)</f>
        <v/>
      </c>
      <c r="W795" s="16">
        <f>ROUND(W794+IF(AND(E795=25,F795&lt;&gt;"ASTM A416"),L795,0),3)</f>
        <v/>
      </c>
      <c r="X795" s="16">
        <f>ROUND(X794+IF(AND(E795=28,F795&lt;&gt;"ASTM A416"),L795,0),3)</f>
        <v/>
      </c>
      <c r="Y795" s="16">
        <f>ROUND(Y794+IF(AND(E795=32,F795&lt;&gt;"ASTM A416"),L795,0),3)</f>
        <v/>
      </c>
      <c r="Z795" s="16">
        <f>ROUND(Z794+IF(F795="ASTM A416",L795,0),3)</f>
        <v/>
      </c>
      <c r="AA795" s="9">
        <f>IF(ROUNDUP(P795/20,0)&gt;ROUNDUP(P794/20,0),"Lần " &amp; ROUNDUP(P795/20,0),"")</f>
        <v/>
      </c>
      <c r="AB795" s="9">
        <f>IF(ROUNDUP(Q795/20,0)&gt;ROUNDUP(Q794/20,0),"Lần " &amp; ROUNDUP(Q795/20,0),"")</f>
        <v/>
      </c>
      <c r="AC795" s="9">
        <f>IF(ROUNDUP(R795/20,0)&gt;ROUNDUP(R794/20,0),"Lần " &amp; ROUNDUP(R795/20,0),"")</f>
        <v/>
      </c>
      <c r="AD795" s="9">
        <f>IF(ROUNDUP(S795/20,0)&gt;ROUNDUP(S794/20,0),"Lần " &amp; ROUNDUP(S795/20,0),"")</f>
        <v/>
      </c>
      <c r="AE795" s="9">
        <f>IF(ROUNDUP(T795/20,0)&gt;ROUNDUP(T794/20,0),"Lần " &amp; ROUNDUP(T795/20,0),"")</f>
        <v/>
      </c>
      <c r="AF795" s="9">
        <f>IF(ROUNDUP(U795/20,0)&gt;ROUNDUP(U794/20,0),"Lần " &amp; ROUNDUP(U795/20,0),"")</f>
        <v/>
      </c>
      <c r="AG795" s="9">
        <f>IF(ROUNDUP(V795/20,0)&gt;ROUNDUP(V794/20,0),"Lần " &amp; ROUNDUP(V795/20,0),"")</f>
        <v/>
      </c>
      <c r="AH795" s="9">
        <f>IF(ROUNDUP(W795/20,0)&gt;ROUNDUP(W794/20,0),"Lần " &amp; ROUNDUP(W795/20,0),"")</f>
        <v/>
      </c>
      <c r="AI795" s="9">
        <f>IF(ROUNDUP(X795/20,0)&gt;ROUNDUP(X794/20,0),"Lần " &amp; ROUNDUP(X795/20,0),"")</f>
        <v/>
      </c>
      <c r="AJ795" s="9">
        <f>IF(ROUNDUP(Y795/20,0)&gt;ROUNDUP(Y794/20,0),"Lần " &amp; ROUNDUP(Y795/20,0),"")</f>
        <v/>
      </c>
      <c r="AK795" s="9">
        <f>IF(ROUNDUP(Z795/20,0)&gt;ROUNDUP(Z794/20,0),"Lần " &amp; ROUNDUP(Z795/20,0),"")</f>
        <v/>
      </c>
      <c r="AL795" s="4" t="n"/>
      <c r="AN795" s="596" t="inlineStr">
        <is>
          <t>HoanThien</t>
        </is>
      </c>
      <c r="AO795" s="596" t="n">
        <v>53</v>
      </c>
      <c r="AQ795" s="594" t="n"/>
      <c r="AR795" s="595" t="n"/>
    </row>
    <row r="796" ht="19" customHeight="1" s="672">
      <c r="A796" s="4" t="n">
        <v>755</v>
      </c>
      <c r="B796" s="5" t="inlineStr">
        <is>
          <t>Gờ lan can BTCT</t>
        </is>
      </c>
      <c r="C796" s="5" t="inlineStr">
        <is>
          <t>Gờ lan can (tr.119)</t>
        </is>
      </c>
      <c r="D796" s="14" t="inlineStr">
        <is>
          <t>G3</t>
        </is>
      </c>
      <c r="E796" s="15" t="n">
        <v>14</v>
      </c>
      <c r="F796" s="4" t="inlineStr">
        <is>
          <t>CB400-V</t>
        </is>
      </c>
      <c r="G796" s="5" t="inlineStr">
        <is>
          <t>S29</t>
        </is>
      </c>
      <c r="H796" s="16" t="n">
        <v>2.344</v>
      </c>
      <c r="I796" s="17" t="n">
        <v>779</v>
      </c>
      <c r="J796" s="18" t="n">
        <v>1.208</v>
      </c>
      <c r="K796" s="7">
        <f>ROUND(H796*I796*J796, 2)</f>
        <v/>
      </c>
      <c r="L796" s="19">
        <f>ROUND(K796/1000, 3)</f>
        <v/>
      </c>
      <c r="M796" s="728">
        <f>IF(AO796="","",IF(N(INDEX(Theo_Doi_Tan_Suat_Be_Tong!$C:$C,AO796))&lt;=0,"",INDEX(Theo_Doi_Tan_Suat_Be_Tong!$C:$C,AO796)-VLOOKUP(AN796,$AQ$2:$AR$7,2,FALSE)))</f>
        <v/>
      </c>
      <c r="N796" s="4" t="n"/>
      <c r="O796" s="20">
        <f>IF(ROUNDUP(R796/20,0)&gt;ROUNDUP(R795/20,0),"TN Ø14 (Lần " &amp; ROUNDUP(R796/20,0) &amp; ")","")</f>
        <v/>
      </c>
      <c r="P796" s="16">
        <f>ROUND(P795+IF(AND(E796&lt;=10,F796&lt;&gt;"ASTM A416"),L796,0),3)</f>
        <v/>
      </c>
      <c r="Q796" s="16">
        <f>ROUND(Q795+IF(AND(E796=12,F796&lt;&gt;"ASTM A416"),L796,0),3)</f>
        <v/>
      </c>
      <c r="R796" s="16">
        <f>ROUND(R795+IF(AND(E796=14,F796&lt;&gt;"ASTM A416"),L796,0),3)</f>
        <v/>
      </c>
      <c r="S796" s="16">
        <f>ROUND(S795+IF(AND(E796=16,F796&lt;&gt;"ASTM A416"),L796,0),3)</f>
        <v/>
      </c>
      <c r="T796" s="16">
        <f>ROUND(T795+IF(AND(E796=18,F796&lt;&gt;"ASTM A416"),L796,0),3)</f>
        <v/>
      </c>
      <c r="U796" s="16">
        <f>ROUND(U795+IF(AND(E796=20,F796&lt;&gt;"ASTM A416"),L796,0),3)</f>
        <v/>
      </c>
      <c r="V796" s="16">
        <f>ROUND(V795+IF(AND(E796=22,F796&lt;&gt;"ASTM A416"),L796,0),3)</f>
        <v/>
      </c>
      <c r="W796" s="16">
        <f>ROUND(W795+IF(AND(E796=25,F796&lt;&gt;"ASTM A416"),L796,0),3)</f>
        <v/>
      </c>
      <c r="X796" s="16">
        <f>ROUND(X795+IF(AND(E796=28,F796&lt;&gt;"ASTM A416"),L796,0),3)</f>
        <v/>
      </c>
      <c r="Y796" s="16">
        <f>ROUND(Y795+IF(AND(E796=32,F796&lt;&gt;"ASTM A416"),L796,0),3)</f>
        <v/>
      </c>
      <c r="Z796" s="16">
        <f>ROUND(Z795+IF(F796="ASTM A416",L796,0),3)</f>
        <v/>
      </c>
      <c r="AA796" s="9">
        <f>IF(ROUNDUP(P796/20,0)&gt;ROUNDUP(P795/20,0),"Lần " &amp; ROUNDUP(P796/20,0),"")</f>
        <v/>
      </c>
      <c r="AB796" s="9">
        <f>IF(ROUNDUP(Q796/20,0)&gt;ROUNDUP(Q795/20,0),"Lần " &amp; ROUNDUP(Q796/20,0),"")</f>
        <v/>
      </c>
      <c r="AC796" s="9">
        <f>IF(ROUNDUP(R796/20,0)&gt;ROUNDUP(R795/20,0),"Lần " &amp; ROUNDUP(R796/20,0),"")</f>
        <v/>
      </c>
      <c r="AD796" s="9">
        <f>IF(ROUNDUP(S796/20,0)&gt;ROUNDUP(S795/20,0),"Lần " &amp; ROUNDUP(S796/20,0),"")</f>
        <v/>
      </c>
      <c r="AE796" s="9">
        <f>IF(ROUNDUP(T796/20,0)&gt;ROUNDUP(T795/20,0),"Lần " &amp; ROUNDUP(T796/20,0),"")</f>
        <v/>
      </c>
      <c r="AF796" s="9">
        <f>IF(ROUNDUP(U796/20,0)&gt;ROUNDUP(U795/20,0),"Lần " &amp; ROUNDUP(U796/20,0),"")</f>
        <v/>
      </c>
      <c r="AG796" s="9">
        <f>IF(ROUNDUP(V796/20,0)&gt;ROUNDUP(V795/20,0),"Lần " &amp; ROUNDUP(V796/20,0),"")</f>
        <v/>
      </c>
      <c r="AH796" s="9">
        <f>IF(ROUNDUP(W796/20,0)&gt;ROUNDUP(W795/20,0),"Lần " &amp; ROUNDUP(W796/20,0),"")</f>
        <v/>
      </c>
      <c r="AI796" s="9">
        <f>IF(ROUNDUP(X796/20,0)&gt;ROUNDUP(X795/20,0),"Lần " &amp; ROUNDUP(X796/20,0),"")</f>
        <v/>
      </c>
      <c r="AJ796" s="9">
        <f>IF(ROUNDUP(Y796/20,0)&gt;ROUNDUP(Y795/20,0),"Lần " &amp; ROUNDUP(Y796/20,0),"")</f>
        <v/>
      </c>
      <c r="AK796" s="9">
        <f>IF(ROUNDUP(Z796/20,0)&gt;ROUNDUP(Z795/20,0),"Lần " &amp; ROUNDUP(Z796/20,0),"")</f>
        <v/>
      </c>
      <c r="AL796" s="4" t="n"/>
      <c r="AN796" s="596" t="inlineStr">
        <is>
          <t>HoanThien</t>
        </is>
      </c>
      <c r="AO796" s="596" t="n">
        <v>53</v>
      </c>
      <c r="AQ796" s="594" t="n"/>
      <c r="AR796" s="595" t="n"/>
    </row>
    <row r="797" ht="19" customHeight="1" s="672">
      <c r="A797" s="4" t="n">
        <v>756</v>
      </c>
      <c r="B797" s="5" t="inlineStr">
        <is>
          <t>Gờ lan can BTCT</t>
        </is>
      </c>
      <c r="C797" s="5" t="inlineStr">
        <is>
          <t>Gờ lan can (tr.119)</t>
        </is>
      </c>
      <c r="D797" s="14" t="inlineStr">
        <is>
          <t>G4A</t>
        </is>
      </c>
      <c r="E797" s="15" t="n">
        <v>12</v>
      </c>
      <c r="F797" s="4" t="inlineStr">
        <is>
          <t>CB400-V</t>
        </is>
      </c>
      <c r="G797" s="5" t="inlineStr">
        <is>
          <t>S06</t>
        </is>
      </c>
      <c r="H797" s="16" t="n">
        <v>0.342</v>
      </c>
      <c r="I797" s="17" t="n">
        <v>247</v>
      </c>
      <c r="J797" s="18" t="n">
        <v>0.888</v>
      </c>
      <c r="K797" s="7">
        <f>ROUND(H797*I797*J797, 2)</f>
        <v/>
      </c>
      <c r="L797" s="19">
        <f>ROUND(K797/1000, 3)</f>
        <v/>
      </c>
      <c r="M797" s="728">
        <f>IF(AO797="","",IF(N(INDEX(Theo_Doi_Tan_Suat_Be_Tong!$C:$C,AO797))&lt;=0,"",INDEX(Theo_Doi_Tan_Suat_Be_Tong!$C:$C,AO797)-VLOOKUP(AN797,$AQ$2:$AR$7,2,FALSE)))</f>
        <v/>
      </c>
      <c r="N797" s="4" t="n"/>
      <c r="O797" s="20">
        <f>IF(ROUNDUP(Q797/20,0)&gt;ROUNDUP(Q796/20,0),"TN Ø12 (Lần " &amp; ROUNDUP(Q797/20,0) &amp; ")","")</f>
        <v/>
      </c>
      <c r="P797" s="16">
        <f>ROUND(P796+IF(AND(E797&lt;=10,F797&lt;&gt;"ASTM A416"),L797,0),3)</f>
        <v/>
      </c>
      <c r="Q797" s="16">
        <f>ROUND(Q796+IF(AND(E797=12,F797&lt;&gt;"ASTM A416"),L797,0),3)</f>
        <v/>
      </c>
      <c r="R797" s="16">
        <f>ROUND(R796+IF(AND(E797=14,F797&lt;&gt;"ASTM A416"),L797,0),3)</f>
        <v/>
      </c>
      <c r="S797" s="16">
        <f>ROUND(S796+IF(AND(E797=16,F797&lt;&gt;"ASTM A416"),L797,0),3)</f>
        <v/>
      </c>
      <c r="T797" s="16">
        <f>ROUND(T796+IF(AND(E797=18,F797&lt;&gt;"ASTM A416"),L797,0),3)</f>
        <v/>
      </c>
      <c r="U797" s="16">
        <f>ROUND(U796+IF(AND(E797=20,F797&lt;&gt;"ASTM A416"),L797,0),3)</f>
        <v/>
      </c>
      <c r="V797" s="16">
        <f>ROUND(V796+IF(AND(E797=22,F797&lt;&gt;"ASTM A416"),L797,0),3)</f>
        <v/>
      </c>
      <c r="W797" s="16">
        <f>ROUND(W796+IF(AND(E797=25,F797&lt;&gt;"ASTM A416"),L797,0),3)</f>
        <v/>
      </c>
      <c r="X797" s="16">
        <f>ROUND(X796+IF(AND(E797=28,F797&lt;&gt;"ASTM A416"),L797,0),3)</f>
        <v/>
      </c>
      <c r="Y797" s="16">
        <f>ROUND(Y796+IF(AND(E797=32,F797&lt;&gt;"ASTM A416"),L797,0),3)</f>
        <v/>
      </c>
      <c r="Z797" s="16">
        <f>ROUND(Z796+IF(F797="ASTM A416",L797,0),3)</f>
        <v/>
      </c>
      <c r="AA797" s="9">
        <f>IF(ROUNDUP(P797/20,0)&gt;ROUNDUP(P796/20,0),"Lần " &amp; ROUNDUP(P797/20,0),"")</f>
        <v/>
      </c>
      <c r="AB797" s="9">
        <f>IF(ROUNDUP(Q797/20,0)&gt;ROUNDUP(Q796/20,0),"Lần " &amp; ROUNDUP(Q797/20,0),"")</f>
        <v/>
      </c>
      <c r="AC797" s="9">
        <f>IF(ROUNDUP(R797/20,0)&gt;ROUNDUP(R796/20,0),"Lần " &amp; ROUNDUP(R797/20,0),"")</f>
        <v/>
      </c>
      <c r="AD797" s="9">
        <f>IF(ROUNDUP(S797/20,0)&gt;ROUNDUP(S796/20,0),"Lần " &amp; ROUNDUP(S797/20,0),"")</f>
        <v/>
      </c>
      <c r="AE797" s="9">
        <f>IF(ROUNDUP(T797/20,0)&gt;ROUNDUP(T796/20,0),"Lần " &amp; ROUNDUP(T797/20,0),"")</f>
        <v/>
      </c>
      <c r="AF797" s="9">
        <f>IF(ROUNDUP(U797/20,0)&gt;ROUNDUP(U796/20,0),"Lần " &amp; ROUNDUP(U797/20,0),"")</f>
        <v/>
      </c>
      <c r="AG797" s="9">
        <f>IF(ROUNDUP(V797/20,0)&gt;ROUNDUP(V796/20,0),"Lần " &amp; ROUNDUP(V797/20,0),"")</f>
        <v/>
      </c>
      <c r="AH797" s="9">
        <f>IF(ROUNDUP(W797/20,0)&gt;ROUNDUP(W796/20,0),"Lần " &amp; ROUNDUP(W797/20,0),"")</f>
        <v/>
      </c>
      <c r="AI797" s="9">
        <f>IF(ROUNDUP(X797/20,0)&gt;ROUNDUP(X796/20,0),"Lần " &amp; ROUNDUP(X797/20,0),"")</f>
        <v/>
      </c>
      <c r="AJ797" s="9">
        <f>IF(ROUNDUP(Y797/20,0)&gt;ROUNDUP(Y796/20,0),"Lần " &amp; ROUNDUP(Y797/20,0),"")</f>
        <v/>
      </c>
      <c r="AK797" s="9">
        <f>IF(ROUNDUP(Z797/20,0)&gt;ROUNDUP(Z796/20,0),"Lần " &amp; ROUNDUP(Z797/20,0),"")</f>
        <v/>
      </c>
      <c r="AL797" s="4" t="n"/>
      <c r="AN797" s="596" t="inlineStr">
        <is>
          <t>HoanThien</t>
        </is>
      </c>
      <c r="AO797" s="596" t="n">
        <v>53</v>
      </c>
      <c r="AQ797" s="594" t="n"/>
      <c r="AR797" s="595" t="n"/>
    </row>
    <row r="798" ht="19" customHeight="1" s="672">
      <c r="A798" s="4" t="n">
        <v>757</v>
      </c>
      <c r="B798" s="5" t="inlineStr">
        <is>
          <t>Gờ lan can BTCT</t>
        </is>
      </c>
      <c r="C798" s="5" t="inlineStr">
        <is>
          <t>Gờ lan can (tr.119)</t>
        </is>
      </c>
      <c r="D798" s="14" t="inlineStr">
        <is>
          <t>G4B</t>
        </is>
      </c>
      <c r="E798" s="15" t="n">
        <v>12</v>
      </c>
      <c r="F798" s="4" t="inlineStr">
        <is>
          <t>CB400-V</t>
        </is>
      </c>
      <c r="G798" s="5" t="inlineStr">
        <is>
          <t>S06</t>
        </is>
      </c>
      <c r="H798" s="16" t="n">
        <v>0.388</v>
      </c>
      <c r="I798" s="17" t="n">
        <v>247</v>
      </c>
      <c r="J798" s="18" t="n">
        <v>0.888</v>
      </c>
      <c r="K798" s="7">
        <f>ROUND(H798*I798*J798, 2)</f>
        <v/>
      </c>
      <c r="L798" s="19">
        <f>ROUND(K798/1000, 3)</f>
        <v/>
      </c>
      <c r="M798" s="728">
        <f>IF(AO798="","",IF(N(INDEX(Theo_Doi_Tan_Suat_Be_Tong!$C:$C,AO798))&lt;=0,"",INDEX(Theo_Doi_Tan_Suat_Be_Tong!$C:$C,AO798)-VLOOKUP(AN798,$AQ$2:$AR$7,2,FALSE)))</f>
        <v/>
      </c>
      <c r="N798" s="4" t="n"/>
      <c r="O798" s="20">
        <f>IF(ROUNDUP(Q798/20,0)&gt;ROUNDUP(Q797/20,0),"TN Ø12 (Lần " &amp; ROUNDUP(Q798/20,0) &amp; ")","")</f>
        <v/>
      </c>
      <c r="P798" s="16">
        <f>ROUND(P797+IF(AND(E798&lt;=10,F798&lt;&gt;"ASTM A416"),L798,0),3)</f>
        <v/>
      </c>
      <c r="Q798" s="16">
        <f>ROUND(Q797+IF(AND(E798=12,F798&lt;&gt;"ASTM A416"),L798,0),3)</f>
        <v/>
      </c>
      <c r="R798" s="16">
        <f>ROUND(R797+IF(AND(E798=14,F798&lt;&gt;"ASTM A416"),L798,0),3)</f>
        <v/>
      </c>
      <c r="S798" s="16">
        <f>ROUND(S797+IF(AND(E798=16,F798&lt;&gt;"ASTM A416"),L798,0),3)</f>
        <v/>
      </c>
      <c r="T798" s="16">
        <f>ROUND(T797+IF(AND(E798=18,F798&lt;&gt;"ASTM A416"),L798,0),3)</f>
        <v/>
      </c>
      <c r="U798" s="16">
        <f>ROUND(U797+IF(AND(E798=20,F798&lt;&gt;"ASTM A416"),L798,0),3)</f>
        <v/>
      </c>
      <c r="V798" s="16">
        <f>ROUND(V797+IF(AND(E798=22,F798&lt;&gt;"ASTM A416"),L798,0),3)</f>
        <v/>
      </c>
      <c r="W798" s="16">
        <f>ROUND(W797+IF(AND(E798=25,F798&lt;&gt;"ASTM A416"),L798,0),3)</f>
        <v/>
      </c>
      <c r="X798" s="16">
        <f>ROUND(X797+IF(AND(E798=28,F798&lt;&gt;"ASTM A416"),L798,0),3)</f>
        <v/>
      </c>
      <c r="Y798" s="16">
        <f>ROUND(Y797+IF(AND(E798=32,F798&lt;&gt;"ASTM A416"),L798,0),3)</f>
        <v/>
      </c>
      <c r="Z798" s="16">
        <f>ROUND(Z797+IF(F798="ASTM A416",L798,0),3)</f>
        <v/>
      </c>
      <c r="AA798" s="9">
        <f>IF(ROUNDUP(P798/20,0)&gt;ROUNDUP(P797/20,0),"Lần " &amp; ROUNDUP(P798/20,0),"")</f>
        <v/>
      </c>
      <c r="AB798" s="9">
        <f>IF(ROUNDUP(Q798/20,0)&gt;ROUNDUP(Q797/20,0),"Lần " &amp; ROUNDUP(Q798/20,0),"")</f>
        <v/>
      </c>
      <c r="AC798" s="9">
        <f>IF(ROUNDUP(R798/20,0)&gt;ROUNDUP(R797/20,0),"Lần " &amp; ROUNDUP(R798/20,0),"")</f>
        <v/>
      </c>
      <c r="AD798" s="9">
        <f>IF(ROUNDUP(S798/20,0)&gt;ROUNDUP(S797/20,0),"Lần " &amp; ROUNDUP(S798/20,0),"")</f>
        <v/>
      </c>
      <c r="AE798" s="9">
        <f>IF(ROUNDUP(T798/20,0)&gt;ROUNDUP(T797/20,0),"Lần " &amp; ROUNDUP(T798/20,0),"")</f>
        <v/>
      </c>
      <c r="AF798" s="9">
        <f>IF(ROUNDUP(U798/20,0)&gt;ROUNDUP(U797/20,0),"Lần " &amp; ROUNDUP(U798/20,0),"")</f>
        <v/>
      </c>
      <c r="AG798" s="9">
        <f>IF(ROUNDUP(V798/20,0)&gt;ROUNDUP(V797/20,0),"Lần " &amp; ROUNDUP(V798/20,0),"")</f>
        <v/>
      </c>
      <c r="AH798" s="9">
        <f>IF(ROUNDUP(W798/20,0)&gt;ROUNDUP(W797/20,0),"Lần " &amp; ROUNDUP(W798/20,0),"")</f>
        <v/>
      </c>
      <c r="AI798" s="9">
        <f>IF(ROUNDUP(X798/20,0)&gt;ROUNDUP(X797/20,0),"Lần " &amp; ROUNDUP(X798/20,0),"")</f>
        <v/>
      </c>
      <c r="AJ798" s="9">
        <f>IF(ROUNDUP(Y798/20,0)&gt;ROUNDUP(Y797/20,0),"Lần " &amp; ROUNDUP(Y798/20,0),"")</f>
        <v/>
      </c>
      <c r="AK798" s="9">
        <f>IF(ROUNDUP(Z798/20,0)&gt;ROUNDUP(Z797/20,0),"Lần " &amp; ROUNDUP(Z798/20,0),"")</f>
        <v/>
      </c>
      <c r="AL798" s="4" t="n"/>
      <c r="AN798" s="596" t="inlineStr">
        <is>
          <t>HoanThien</t>
        </is>
      </c>
      <c r="AO798" s="596" t="n">
        <v>53</v>
      </c>
      <c r="AQ798" s="594" t="n"/>
      <c r="AR798" s="595" t="n"/>
    </row>
    <row r="799" ht="19" customHeight="1" s="672">
      <c r="A799" s="4" t="n">
        <v>758</v>
      </c>
      <c r="B799" s="5" t="inlineStr">
        <is>
          <t>Gờ lan can BTCT</t>
        </is>
      </c>
      <c r="C799" s="5" t="inlineStr">
        <is>
          <t>Gờ lan can (tr.119)</t>
        </is>
      </c>
      <c r="D799" s="14" t="inlineStr">
        <is>
          <t>G4C</t>
        </is>
      </c>
      <c r="E799" s="15" t="n">
        <v>12</v>
      </c>
      <c r="F799" s="4" t="inlineStr">
        <is>
          <t>CB400-V</t>
        </is>
      </c>
      <c r="G799" s="5" t="inlineStr">
        <is>
          <t>S06</t>
        </is>
      </c>
      <c r="H799" s="16" t="n">
        <v>0.634</v>
      </c>
      <c r="I799" s="17" t="n">
        <v>247</v>
      </c>
      <c r="J799" s="18" t="n">
        <v>0.888</v>
      </c>
      <c r="K799" s="7">
        <f>ROUND(H799*I799*J799, 2)</f>
        <v/>
      </c>
      <c r="L799" s="19">
        <f>ROUND(K799/1000, 3)</f>
        <v/>
      </c>
      <c r="M799" s="728">
        <f>IF(AO799="","",IF(N(INDEX(Theo_Doi_Tan_Suat_Be_Tong!$C:$C,AO799))&lt;=0,"",INDEX(Theo_Doi_Tan_Suat_Be_Tong!$C:$C,AO799)-VLOOKUP(AN799,$AQ$2:$AR$7,2,FALSE)))</f>
        <v/>
      </c>
      <c r="N799" s="4" t="n"/>
      <c r="O799" s="20">
        <f>IF(ROUNDUP(Q799/20,0)&gt;ROUNDUP(Q798/20,0),"TN Ø12 (Lần " &amp; ROUNDUP(Q799/20,0) &amp; ")","")</f>
        <v/>
      </c>
      <c r="P799" s="16">
        <f>ROUND(P798+IF(AND(E799&lt;=10,F799&lt;&gt;"ASTM A416"),L799,0),3)</f>
        <v/>
      </c>
      <c r="Q799" s="16">
        <f>ROUND(Q798+IF(AND(E799=12,F799&lt;&gt;"ASTM A416"),L799,0),3)</f>
        <v/>
      </c>
      <c r="R799" s="16">
        <f>ROUND(R798+IF(AND(E799=14,F799&lt;&gt;"ASTM A416"),L799,0),3)</f>
        <v/>
      </c>
      <c r="S799" s="16">
        <f>ROUND(S798+IF(AND(E799=16,F799&lt;&gt;"ASTM A416"),L799,0),3)</f>
        <v/>
      </c>
      <c r="T799" s="16">
        <f>ROUND(T798+IF(AND(E799=18,F799&lt;&gt;"ASTM A416"),L799,0),3)</f>
        <v/>
      </c>
      <c r="U799" s="16">
        <f>ROUND(U798+IF(AND(E799=20,F799&lt;&gt;"ASTM A416"),L799,0),3)</f>
        <v/>
      </c>
      <c r="V799" s="16">
        <f>ROUND(V798+IF(AND(E799=22,F799&lt;&gt;"ASTM A416"),L799,0),3)</f>
        <v/>
      </c>
      <c r="W799" s="16">
        <f>ROUND(W798+IF(AND(E799=25,F799&lt;&gt;"ASTM A416"),L799,0),3)</f>
        <v/>
      </c>
      <c r="X799" s="16">
        <f>ROUND(X798+IF(AND(E799=28,F799&lt;&gt;"ASTM A416"),L799,0),3)</f>
        <v/>
      </c>
      <c r="Y799" s="16">
        <f>ROUND(Y798+IF(AND(E799=32,F799&lt;&gt;"ASTM A416"),L799,0),3)</f>
        <v/>
      </c>
      <c r="Z799" s="16">
        <f>ROUND(Z798+IF(F799="ASTM A416",L799,0),3)</f>
        <v/>
      </c>
      <c r="AA799" s="9">
        <f>IF(ROUNDUP(P799/20,0)&gt;ROUNDUP(P798/20,0),"Lần " &amp; ROUNDUP(P799/20,0),"")</f>
        <v/>
      </c>
      <c r="AB799" s="9">
        <f>IF(ROUNDUP(Q799/20,0)&gt;ROUNDUP(Q798/20,0),"Lần " &amp; ROUNDUP(Q799/20,0),"")</f>
        <v/>
      </c>
      <c r="AC799" s="9">
        <f>IF(ROUNDUP(R799/20,0)&gt;ROUNDUP(R798/20,0),"Lần " &amp; ROUNDUP(R799/20,0),"")</f>
        <v/>
      </c>
      <c r="AD799" s="9">
        <f>IF(ROUNDUP(S799/20,0)&gt;ROUNDUP(S798/20,0),"Lần " &amp; ROUNDUP(S799/20,0),"")</f>
        <v/>
      </c>
      <c r="AE799" s="9">
        <f>IF(ROUNDUP(T799/20,0)&gt;ROUNDUP(T798/20,0),"Lần " &amp; ROUNDUP(T799/20,0),"")</f>
        <v/>
      </c>
      <c r="AF799" s="9">
        <f>IF(ROUNDUP(U799/20,0)&gt;ROUNDUP(U798/20,0),"Lần " &amp; ROUNDUP(U799/20,0),"")</f>
        <v/>
      </c>
      <c r="AG799" s="9">
        <f>IF(ROUNDUP(V799/20,0)&gt;ROUNDUP(V798/20,0),"Lần " &amp; ROUNDUP(V799/20,0),"")</f>
        <v/>
      </c>
      <c r="AH799" s="9">
        <f>IF(ROUNDUP(W799/20,0)&gt;ROUNDUP(W798/20,0),"Lần " &amp; ROUNDUP(W799/20,0),"")</f>
        <v/>
      </c>
      <c r="AI799" s="9">
        <f>IF(ROUNDUP(X799/20,0)&gt;ROUNDUP(X798/20,0),"Lần " &amp; ROUNDUP(X799/20,0),"")</f>
        <v/>
      </c>
      <c r="AJ799" s="9">
        <f>IF(ROUNDUP(Y799/20,0)&gt;ROUNDUP(Y798/20,0),"Lần " &amp; ROUNDUP(Y799/20,0),"")</f>
        <v/>
      </c>
      <c r="AK799" s="9">
        <f>IF(ROUNDUP(Z799/20,0)&gt;ROUNDUP(Z798/20,0),"Lần " &amp; ROUNDUP(Z799/20,0),"")</f>
        <v/>
      </c>
      <c r="AL799" s="4" t="n"/>
      <c r="AN799" s="596" t="inlineStr">
        <is>
          <t>HoanThien</t>
        </is>
      </c>
      <c r="AO799" s="596" t="n">
        <v>53</v>
      </c>
      <c r="AQ799" s="594" t="n"/>
      <c r="AR799" s="595" t="n"/>
    </row>
    <row r="800" ht="19" customHeight="1" s="672">
      <c r="A800" s="4" t="n">
        <v>759</v>
      </c>
      <c r="B800" s="5" t="inlineStr">
        <is>
          <t>Gờ lan can BTCT</t>
        </is>
      </c>
      <c r="C800" s="5" t="inlineStr">
        <is>
          <t>Gờ lan can (tr.119)</t>
        </is>
      </c>
      <c r="D800" s="14" t="inlineStr">
        <is>
          <t>G1A</t>
        </is>
      </c>
      <c r="E800" s="15" t="n">
        <v>14</v>
      </c>
      <c r="F800" s="4" t="inlineStr">
        <is>
          <t>CB400-V</t>
        </is>
      </c>
      <c r="G800" s="5" t="inlineStr">
        <is>
          <t>S01</t>
        </is>
      </c>
      <c r="H800" s="16" t="n">
        <v>4.12</v>
      </c>
      <c r="I800" s="17" t="n">
        <v>19</v>
      </c>
      <c r="J800" s="18" t="n">
        <v>1.208</v>
      </c>
      <c r="K800" s="7">
        <f>ROUND(H800*I800*J800, 2)</f>
        <v/>
      </c>
      <c r="L800" s="19">
        <f>ROUND(K800/1000, 3)</f>
        <v/>
      </c>
      <c r="M800" s="728">
        <f>IF(AO800="","",IF(N(INDEX(Theo_Doi_Tan_Suat_Be_Tong!$C:$C,AO800))&lt;=0,"",INDEX(Theo_Doi_Tan_Suat_Be_Tong!$C:$C,AO800)-VLOOKUP(AN800,$AQ$2:$AR$7,2,FALSE)))</f>
        <v/>
      </c>
      <c r="N800" s="4" t="n"/>
      <c r="O800" s="20">
        <f>IF(ROUNDUP(R800/20,0)&gt;ROUNDUP(R799/20,0),"TN Ø14 (Lần " &amp; ROUNDUP(R800/20,0) &amp; ")","")</f>
        <v/>
      </c>
      <c r="P800" s="16">
        <f>ROUND(P799+IF(AND(E800&lt;=10,F800&lt;&gt;"ASTM A416"),L800,0),3)</f>
        <v/>
      </c>
      <c r="Q800" s="16">
        <f>ROUND(Q799+IF(AND(E800=12,F800&lt;&gt;"ASTM A416"),L800,0),3)</f>
        <v/>
      </c>
      <c r="R800" s="16">
        <f>ROUND(R799+IF(AND(E800=14,F800&lt;&gt;"ASTM A416"),L800,0),3)</f>
        <v/>
      </c>
      <c r="S800" s="16">
        <f>ROUND(S799+IF(AND(E800=16,F800&lt;&gt;"ASTM A416"),L800,0),3)</f>
        <v/>
      </c>
      <c r="T800" s="16">
        <f>ROUND(T799+IF(AND(E800=18,F800&lt;&gt;"ASTM A416"),L800,0),3)</f>
        <v/>
      </c>
      <c r="U800" s="16">
        <f>ROUND(U799+IF(AND(E800=20,F800&lt;&gt;"ASTM A416"),L800,0),3)</f>
        <v/>
      </c>
      <c r="V800" s="16">
        <f>ROUND(V799+IF(AND(E800=22,F800&lt;&gt;"ASTM A416"),L800,0),3)</f>
        <v/>
      </c>
      <c r="W800" s="16">
        <f>ROUND(W799+IF(AND(E800=25,F800&lt;&gt;"ASTM A416"),L800,0),3)</f>
        <v/>
      </c>
      <c r="X800" s="16">
        <f>ROUND(X799+IF(AND(E800=28,F800&lt;&gt;"ASTM A416"),L800,0),3)</f>
        <v/>
      </c>
      <c r="Y800" s="16">
        <f>ROUND(Y799+IF(AND(E800=32,F800&lt;&gt;"ASTM A416"),L800,0),3)</f>
        <v/>
      </c>
      <c r="Z800" s="16">
        <f>ROUND(Z799+IF(F800="ASTM A416",L800,0),3)</f>
        <v/>
      </c>
      <c r="AA800" s="9">
        <f>IF(ROUNDUP(P800/20,0)&gt;ROUNDUP(P799/20,0),"Lần " &amp; ROUNDUP(P800/20,0),"")</f>
        <v/>
      </c>
      <c r="AB800" s="9">
        <f>IF(ROUNDUP(Q800/20,0)&gt;ROUNDUP(Q799/20,0),"Lần " &amp; ROUNDUP(Q800/20,0),"")</f>
        <v/>
      </c>
      <c r="AC800" s="9">
        <f>IF(ROUNDUP(R800/20,0)&gt;ROUNDUP(R799/20,0),"Lần " &amp; ROUNDUP(R800/20,0),"")</f>
        <v/>
      </c>
      <c r="AD800" s="9">
        <f>IF(ROUNDUP(S800/20,0)&gt;ROUNDUP(S799/20,0),"Lần " &amp; ROUNDUP(S800/20,0),"")</f>
        <v/>
      </c>
      <c r="AE800" s="9">
        <f>IF(ROUNDUP(T800/20,0)&gt;ROUNDUP(T799/20,0),"Lần " &amp; ROUNDUP(T800/20,0),"")</f>
        <v/>
      </c>
      <c r="AF800" s="9">
        <f>IF(ROUNDUP(U800/20,0)&gt;ROUNDUP(U799/20,0),"Lần " &amp; ROUNDUP(U800/20,0),"")</f>
        <v/>
      </c>
      <c r="AG800" s="9">
        <f>IF(ROUNDUP(V800/20,0)&gt;ROUNDUP(V799/20,0),"Lần " &amp; ROUNDUP(V800/20,0),"")</f>
        <v/>
      </c>
      <c r="AH800" s="9">
        <f>IF(ROUNDUP(W800/20,0)&gt;ROUNDUP(W799/20,0),"Lần " &amp; ROUNDUP(W800/20,0),"")</f>
        <v/>
      </c>
      <c r="AI800" s="9">
        <f>IF(ROUNDUP(X800/20,0)&gt;ROUNDUP(X799/20,0),"Lần " &amp; ROUNDUP(X800/20,0),"")</f>
        <v/>
      </c>
      <c r="AJ800" s="9">
        <f>IF(ROUNDUP(Y800/20,0)&gt;ROUNDUP(Y799/20,0),"Lần " &amp; ROUNDUP(Y800/20,0),"")</f>
        <v/>
      </c>
      <c r="AK800" s="9">
        <f>IF(ROUNDUP(Z800/20,0)&gt;ROUNDUP(Z799/20,0),"Lần " &amp; ROUNDUP(Z800/20,0),"")</f>
        <v/>
      </c>
      <c r="AL800" s="4" t="n"/>
      <c r="AN800" s="596" t="inlineStr">
        <is>
          <t>HoanThien</t>
        </is>
      </c>
      <c r="AO800" s="596" t="n">
        <v>53</v>
      </c>
      <c r="AQ800" s="594" t="n"/>
      <c r="AR800" s="595" t="n"/>
    </row>
    <row r="801" ht="19" customHeight="1" s="672">
      <c r="A801" s="4" t="n">
        <v>760</v>
      </c>
      <c r="B801" s="5" t="inlineStr">
        <is>
          <t>Gờ lan can BTCT</t>
        </is>
      </c>
      <c r="C801" s="5" t="inlineStr">
        <is>
          <t>Gờ lan can (tr.119)</t>
        </is>
      </c>
      <c r="D801" s="14" t="inlineStr">
        <is>
          <t>G2</t>
        </is>
      </c>
      <c r="E801" s="15" t="n">
        <v>18</v>
      </c>
      <c r="F801" s="4" t="inlineStr">
        <is>
          <t>CB400-V</t>
        </is>
      </c>
      <c r="G801" s="5" t="inlineStr">
        <is>
          <t>S57</t>
        </is>
      </c>
      <c r="H801" s="16" t="n">
        <v>2.578</v>
      </c>
      <c r="I801" s="17" t="n">
        <v>28</v>
      </c>
      <c r="J801" s="18" t="n">
        <v>1.998</v>
      </c>
      <c r="K801" s="7">
        <f>ROUND(H801*I801*J801, 2)</f>
        <v/>
      </c>
      <c r="L801" s="19">
        <f>ROUND(K801/1000, 3)</f>
        <v/>
      </c>
      <c r="M801" s="728">
        <f>IF(AO801="","",IF(N(INDEX(Theo_Doi_Tan_Suat_Be_Tong!$C:$C,AO801))&lt;=0,"",INDEX(Theo_Doi_Tan_Suat_Be_Tong!$C:$C,AO801)-VLOOKUP(AN801,$AQ$2:$AR$7,2,FALSE)))</f>
        <v/>
      </c>
      <c r="N801" s="4" t="n"/>
      <c r="O801" s="20">
        <f>IF(ROUNDUP(T801/20,0)&gt;ROUNDUP(T800/20,0),"TN Ø18 (Lần " &amp; ROUNDUP(T801/20,0) &amp; ")","")</f>
        <v/>
      </c>
      <c r="P801" s="16">
        <f>ROUND(P800+IF(AND(E801&lt;=10,F801&lt;&gt;"ASTM A416"),L801,0),3)</f>
        <v/>
      </c>
      <c r="Q801" s="16">
        <f>ROUND(Q800+IF(AND(E801=12,F801&lt;&gt;"ASTM A416"),L801,0),3)</f>
        <v/>
      </c>
      <c r="R801" s="16">
        <f>ROUND(R800+IF(AND(E801=14,F801&lt;&gt;"ASTM A416"),L801,0),3)</f>
        <v/>
      </c>
      <c r="S801" s="16">
        <f>ROUND(S800+IF(AND(E801=16,F801&lt;&gt;"ASTM A416"),L801,0),3)</f>
        <v/>
      </c>
      <c r="T801" s="16">
        <f>ROUND(T800+IF(AND(E801=18,F801&lt;&gt;"ASTM A416"),L801,0),3)</f>
        <v/>
      </c>
      <c r="U801" s="16">
        <f>ROUND(U800+IF(AND(E801=20,F801&lt;&gt;"ASTM A416"),L801,0),3)</f>
        <v/>
      </c>
      <c r="V801" s="16">
        <f>ROUND(V800+IF(AND(E801=22,F801&lt;&gt;"ASTM A416"),L801,0),3)</f>
        <v/>
      </c>
      <c r="W801" s="16">
        <f>ROUND(W800+IF(AND(E801=25,F801&lt;&gt;"ASTM A416"),L801,0),3)</f>
        <v/>
      </c>
      <c r="X801" s="16">
        <f>ROUND(X800+IF(AND(E801=28,F801&lt;&gt;"ASTM A416"),L801,0),3)</f>
        <v/>
      </c>
      <c r="Y801" s="16">
        <f>ROUND(Y800+IF(AND(E801=32,F801&lt;&gt;"ASTM A416"),L801,0),3)</f>
        <v/>
      </c>
      <c r="Z801" s="16">
        <f>ROUND(Z800+IF(F801="ASTM A416",L801,0),3)</f>
        <v/>
      </c>
      <c r="AA801" s="9">
        <f>IF(ROUNDUP(P801/20,0)&gt;ROUNDUP(P800/20,0),"Lần " &amp; ROUNDUP(P801/20,0),"")</f>
        <v/>
      </c>
      <c r="AB801" s="9">
        <f>IF(ROUNDUP(Q801/20,0)&gt;ROUNDUP(Q800/20,0),"Lần " &amp; ROUNDUP(Q801/20,0),"")</f>
        <v/>
      </c>
      <c r="AC801" s="9">
        <f>IF(ROUNDUP(R801/20,0)&gt;ROUNDUP(R800/20,0),"Lần " &amp; ROUNDUP(R801/20,0),"")</f>
        <v/>
      </c>
      <c r="AD801" s="9">
        <f>IF(ROUNDUP(S801/20,0)&gt;ROUNDUP(S800/20,0),"Lần " &amp; ROUNDUP(S801/20,0),"")</f>
        <v/>
      </c>
      <c r="AE801" s="9">
        <f>IF(ROUNDUP(T801/20,0)&gt;ROUNDUP(T800/20,0),"Lần " &amp; ROUNDUP(T801/20,0),"")</f>
        <v/>
      </c>
      <c r="AF801" s="9">
        <f>IF(ROUNDUP(U801/20,0)&gt;ROUNDUP(U800/20,0),"Lần " &amp; ROUNDUP(U801/20,0),"")</f>
        <v/>
      </c>
      <c r="AG801" s="9">
        <f>IF(ROUNDUP(V801/20,0)&gt;ROUNDUP(V800/20,0),"Lần " &amp; ROUNDUP(V801/20,0),"")</f>
        <v/>
      </c>
      <c r="AH801" s="9">
        <f>IF(ROUNDUP(W801/20,0)&gt;ROUNDUP(W800/20,0),"Lần " &amp; ROUNDUP(W801/20,0),"")</f>
        <v/>
      </c>
      <c r="AI801" s="9">
        <f>IF(ROUNDUP(X801/20,0)&gt;ROUNDUP(X800/20,0),"Lần " &amp; ROUNDUP(X801/20,0),"")</f>
        <v/>
      </c>
      <c r="AJ801" s="9">
        <f>IF(ROUNDUP(Y801/20,0)&gt;ROUNDUP(Y800/20,0),"Lần " &amp; ROUNDUP(Y801/20,0),"")</f>
        <v/>
      </c>
      <c r="AK801" s="9">
        <f>IF(ROUNDUP(Z801/20,0)&gt;ROUNDUP(Z800/20,0),"Lần " &amp; ROUNDUP(Z801/20,0),"")</f>
        <v/>
      </c>
      <c r="AL801" s="4" t="n"/>
      <c r="AN801" s="596" t="inlineStr">
        <is>
          <t>HoanThien</t>
        </is>
      </c>
      <c r="AO801" s="596" t="n">
        <v>53</v>
      </c>
      <c r="AQ801" s="594" t="n"/>
      <c r="AR801" s="595" t="n"/>
    </row>
    <row r="802" ht="19" customHeight="1" s="672">
      <c r="A802" s="4" t="n">
        <v>761</v>
      </c>
      <c r="B802" s="5" t="inlineStr">
        <is>
          <t>Gờ lan can BTCT</t>
        </is>
      </c>
      <c r="C802" s="5" t="inlineStr">
        <is>
          <t>Gờ lan can (tr.119)</t>
        </is>
      </c>
      <c r="D802" s="14" t="inlineStr">
        <is>
          <t>G3</t>
        </is>
      </c>
      <c r="E802" s="15" t="n">
        <v>14</v>
      </c>
      <c r="F802" s="4" t="inlineStr">
        <is>
          <t>CB400-V</t>
        </is>
      </c>
      <c r="G802" s="5" t="inlineStr">
        <is>
          <t>S29</t>
        </is>
      </c>
      <c r="H802" s="16" t="n">
        <v>2.344</v>
      </c>
      <c r="I802" s="17" t="n">
        <v>28</v>
      </c>
      <c r="J802" s="18" t="n">
        <v>1.208</v>
      </c>
      <c r="K802" s="7">
        <f>ROUND(H802*I802*J802, 2)</f>
        <v/>
      </c>
      <c r="L802" s="19">
        <f>ROUND(K802/1000, 3)</f>
        <v/>
      </c>
      <c r="M802" s="728">
        <f>IF(AO802="","",IF(N(INDEX(Theo_Doi_Tan_Suat_Be_Tong!$C:$C,AO802))&lt;=0,"",INDEX(Theo_Doi_Tan_Suat_Be_Tong!$C:$C,AO802)-VLOOKUP(AN802,$AQ$2:$AR$7,2,FALSE)))</f>
        <v/>
      </c>
      <c r="N802" s="4" t="n"/>
      <c r="O802" s="20">
        <f>IF(ROUNDUP(R802/20,0)&gt;ROUNDUP(R801/20,0),"TN Ø14 (Lần " &amp; ROUNDUP(R802/20,0) &amp; ")","")</f>
        <v/>
      </c>
      <c r="P802" s="16">
        <f>ROUND(P801+IF(AND(E802&lt;=10,F802&lt;&gt;"ASTM A416"),L802,0),3)</f>
        <v/>
      </c>
      <c r="Q802" s="16">
        <f>ROUND(Q801+IF(AND(E802=12,F802&lt;&gt;"ASTM A416"),L802,0),3)</f>
        <v/>
      </c>
      <c r="R802" s="16">
        <f>ROUND(R801+IF(AND(E802=14,F802&lt;&gt;"ASTM A416"),L802,0),3)</f>
        <v/>
      </c>
      <c r="S802" s="16">
        <f>ROUND(S801+IF(AND(E802=16,F802&lt;&gt;"ASTM A416"),L802,0),3)</f>
        <v/>
      </c>
      <c r="T802" s="16">
        <f>ROUND(T801+IF(AND(E802=18,F802&lt;&gt;"ASTM A416"),L802,0),3)</f>
        <v/>
      </c>
      <c r="U802" s="16">
        <f>ROUND(U801+IF(AND(E802=20,F802&lt;&gt;"ASTM A416"),L802,0),3)</f>
        <v/>
      </c>
      <c r="V802" s="16">
        <f>ROUND(V801+IF(AND(E802=22,F802&lt;&gt;"ASTM A416"),L802,0),3)</f>
        <v/>
      </c>
      <c r="W802" s="16">
        <f>ROUND(W801+IF(AND(E802=25,F802&lt;&gt;"ASTM A416"),L802,0),3)</f>
        <v/>
      </c>
      <c r="X802" s="16">
        <f>ROUND(X801+IF(AND(E802=28,F802&lt;&gt;"ASTM A416"),L802,0),3)</f>
        <v/>
      </c>
      <c r="Y802" s="16">
        <f>ROUND(Y801+IF(AND(E802=32,F802&lt;&gt;"ASTM A416"),L802,0),3)</f>
        <v/>
      </c>
      <c r="Z802" s="16">
        <f>ROUND(Z801+IF(F802="ASTM A416",L802,0),3)</f>
        <v/>
      </c>
      <c r="AA802" s="9">
        <f>IF(ROUNDUP(P802/20,0)&gt;ROUNDUP(P801/20,0),"Lần " &amp; ROUNDUP(P802/20,0),"")</f>
        <v/>
      </c>
      <c r="AB802" s="9">
        <f>IF(ROUNDUP(Q802/20,0)&gt;ROUNDUP(Q801/20,0),"Lần " &amp; ROUNDUP(Q802/20,0),"")</f>
        <v/>
      </c>
      <c r="AC802" s="9">
        <f>IF(ROUNDUP(R802/20,0)&gt;ROUNDUP(R801/20,0),"Lần " &amp; ROUNDUP(R802/20,0),"")</f>
        <v/>
      </c>
      <c r="AD802" s="9">
        <f>IF(ROUNDUP(S802/20,0)&gt;ROUNDUP(S801/20,0),"Lần " &amp; ROUNDUP(S802/20,0),"")</f>
        <v/>
      </c>
      <c r="AE802" s="9">
        <f>IF(ROUNDUP(T802/20,0)&gt;ROUNDUP(T801/20,0),"Lần " &amp; ROUNDUP(T802/20,0),"")</f>
        <v/>
      </c>
      <c r="AF802" s="9">
        <f>IF(ROUNDUP(U802/20,0)&gt;ROUNDUP(U801/20,0),"Lần " &amp; ROUNDUP(U802/20,0),"")</f>
        <v/>
      </c>
      <c r="AG802" s="9">
        <f>IF(ROUNDUP(V802/20,0)&gt;ROUNDUP(V801/20,0),"Lần " &amp; ROUNDUP(V802/20,0),"")</f>
        <v/>
      </c>
      <c r="AH802" s="9">
        <f>IF(ROUNDUP(W802/20,0)&gt;ROUNDUP(W801/20,0),"Lần " &amp; ROUNDUP(W802/20,0),"")</f>
        <v/>
      </c>
      <c r="AI802" s="9">
        <f>IF(ROUNDUP(X802/20,0)&gt;ROUNDUP(X801/20,0),"Lần " &amp; ROUNDUP(X802/20,0),"")</f>
        <v/>
      </c>
      <c r="AJ802" s="9">
        <f>IF(ROUNDUP(Y802/20,0)&gt;ROUNDUP(Y801/20,0),"Lần " &amp; ROUNDUP(Y802/20,0),"")</f>
        <v/>
      </c>
      <c r="AK802" s="9">
        <f>IF(ROUNDUP(Z802/20,0)&gt;ROUNDUP(Z801/20,0),"Lần " &amp; ROUNDUP(Z802/20,0),"")</f>
        <v/>
      </c>
      <c r="AL802" s="4" t="n"/>
      <c r="AN802" s="596" t="inlineStr">
        <is>
          <t>HoanThien</t>
        </is>
      </c>
      <c r="AO802" s="596" t="n">
        <v>53</v>
      </c>
      <c r="AQ802" s="594" t="n"/>
      <c r="AR802" s="595" t="n"/>
    </row>
    <row r="803" ht="19" customHeight="1" s="672">
      <c r="A803" s="4" t="n">
        <v>762</v>
      </c>
      <c r="B803" s="5" t="inlineStr">
        <is>
          <t>Gờ lan can BTCT</t>
        </is>
      </c>
      <c r="C803" s="5" t="inlineStr">
        <is>
          <t>Gờ lan can (tr.119)</t>
        </is>
      </c>
      <c r="D803" s="14" t="inlineStr">
        <is>
          <t>G4A</t>
        </is>
      </c>
      <c r="E803" s="15" t="n">
        <v>12</v>
      </c>
      <c r="F803" s="4" t="inlineStr">
        <is>
          <t>CB400-V</t>
        </is>
      </c>
      <c r="G803" s="5" t="inlineStr">
        <is>
          <t>S06</t>
        </is>
      </c>
      <c r="H803" s="16" t="n">
        <v>0.342</v>
      </c>
      <c r="I803" s="17" t="n">
        <v>9</v>
      </c>
      <c r="J803" s="18" t="n">
        <v>0.888</v>
      </c>
      <c r="K803" s="7">
        <f>ROUND(H803*I803*J803, 2)</f>
        <v/>
      </c>
      <c r="L803" s="19">
        <f>ROUND(K803/1000, 3)</f>
        <v/>
      </c>
      <c r="M803" s="728">
        <f>IF(AO803="","",IF(N(INDEX(Theo_Doi_Tan_Suat_Be_Tong!$C:$C,AO803))&lt;=0,"",INDEX(Theo_Doi_Tan_Suat_Be_Tong!$C:$C,AO803)-VLOOKUP(AN803,$AQ$2:$AR$7,2,FALSE)))</f>
        <v/>
      </c>
      <c r="N803" s="4" t="n"/>
      <c r="O803" s="20">
        <f>IF(ROUNDUP(Q803/20,0)&gt;ROUNDUP(Q802/20,0),"TN Ø12 (Lần " &amp; ROUNDUP(Q803/20,0) &amp; ")","")</f>
        <v/>
      </c>
      <c r="P803" s="16">
        <f>ROUND(P802+IF(AND(E803&lt;=10,F803&lt;&gt;"ASTM A416"),L803,0),3)</f>
        <v/>
      </c>
      <c r="Q803" s="16">
        <f>ROUND(Q802+IF(AND(E803=12,F803&lt;&gt;"ASTM A416"),L803,0),3)</f>
        <v/>
      </c>
      <c r="R803" s="16">
        <f>ROUND(R802+IF(AND(E803=14,F803&lt;&gt;"ASTM A416"),L803,0),3)</f>
        <v/>
      </c>
      <c r="S803" s="16">
        <f>ROUND(S802+IF(AND(E803=16,F803&lt;&gt;"ASTM A416"),L803,0),3)</f>
        <v/>
      </c>
      <c r="T803" s="16">
        <f>ROUND(T802+IF(AND(E803=18,F803&lt;&gt;"ASTM A416"),L803,0),3)</f>
        <v/>
      </c>
      <c r="U803" s="16">
        <f>ROUND(U802+IF(AND(E803=20,F803&lt;&gt;"ASTM A416"),L803,0),3)</f>
        <v/>
      </c>
      <c r="V803" s="16">
        <f>ROUND(V802+IF(AND(E803=22,F803&lt;&gt;"ASTM A416"),L803,0),3)</f>
        <v/>
      </c>
      <c r="W803" s="16">
        <f>ROUND(W802+IF(AND(E803=25,F803&lt;&gt;"ASTM A416"),L803,0),3)</f>
        <v/>
      </c>
      <c r="X803" s="16">
        <f>ROUND(X802+IF(AND(E803=28,F803&lt;&gt;"ASTM A416"),L803,0),3)</f>
        <v/>
      </c>
      <c r="Y803" s="16">
        <f>ROUND(Y802+IF(AND(E803=32,F803&lt;&gt;"ASTM A416"),L803,0),3)</f>
        <v/>
      </c>
      <c r="Z803" s="16">
        <f>ROUND(Z802+IF(F803="ASTM A416",L803,0),3)</f>
        <v/>
      </c>
      <c r="AA803" s="9">
        <f>IF(ROUNDUP(P803/20,0)&gt;ROUNDUP(P802/20,0),"Lần " &amp; ROUNDUP(P803/20,0),"")</f>
        <v/>
      </c>
      <c r="AB803" s="9">
        <f>IF(ROUNDUP(Q803/20,0)&gt;ROUNDUP(Q802/20,0),"Lần " &amp; ROUNDUP(Q803/20,0),"")</f>
        <v/>
      </c>
      <c r="AC803" s="9">
        <f>IF(ROUNDUP(R803/20,0)&gt;ROUNDUP(R802/20,0),"Lần " &amp; ROUNDUP(R803/20,0),"")</f>
        <v/>
      </c>
      <c r="AD803" s="9">
        <f>IF(ROUNDUP(S803/20,0)&gt;ROUNDUP(S802/20,0),"Lần " &amp; ROUNDUP(S803/20,0),"")</f>
        <v/>
      </c>
      <c r="AE803" s="9">
        <f>IF(ROUNDUP(T803/20,0)&gt;ROUNDUP(T802/20,0),"Lần " &amp; ROUNDUP(T803/20,0),"")</f>
        <v/>
      </c>
      <c r="AF803" s="9">
        <f>IF(ROUNDUP(U803/20,0)&gt;ROUNDUP(U802/20,0),"Lần " &amp; ROUNDUP(U803/20,0),"")</f>
        <v/>
      </c>
      <c r="AG803" s="9">
        <f>IF(ROUNDUP(V803/20,0)&gt;ROUNDUP(V802/20,0),"Lần " &amp; ROUNDUP(V803/20,0),"")</f>
        <v/>
      </c>
      <c r="AH803" s="9">
        <f>IF(ROUNDUP(W803/20,0)&gt;ROUNDUP(W802/20,0),"Lần " &amp; ROUNDUP(W803/20,0),"")</f>
        <v/>
      </c>
      <c r="AI803" s="9">
        <f>IF(ROUNDUP(X803/20,0)&gt;ROUNDUP(X802/20,0),"Lần " &amp; ROUNDUP(X803/20,0),"")</f>
        <v/>
      </c>
      <c r="AJ803" s="9">
        <f>IF(ROUNDUP(Y803/20,0)&gt;ROUNDUP(Y802/20,0),"Lần " &amp; ROUNDUP(Y803/20,0),"")</f>
        <v/>
      </c>
      <c r="AK803" s="9">
        <f>IF(ROUNDUP(Z803/20,0)&gt;ROUNDUP(Z802/20,0),"Lần " &amp; ROUNDUP(Z803/20,0),"")</f>
        <v/>
      </c>
      <c r="AL803" s="4" t="n"/>
      <c r="AN803" s="596" t="inlineStr">
        <is>
          <t>HoanThien</t>
        </is>
      </c>
      <c r="AO803" s="596" t="n">
        <v>53</v>
      </c>
      <c r="AQ803" s="594" t="n"/>
      <c r="AR803" s="595" t="n"/>
    </row>
    <row r="804" ht="19" customHeight="1" s="672">
      <c r="A804" s="4" t="n">
        <v>763</v>
      </c>
      <c r="B804" s="5" t="inlineStr">
        <is>
          <t>Gờ lan can BTCT</t>
        </is>
      </c>
      <c r="C804" s="5" t="inlineStr">
        <is>
          <t>Gờ lan can (tr.119)</t>
        </is>
      </c>
      <c r="D804" s="14" t="inlineStr">
        <is>
          <t>G4B</t>
        </is>
      </c>
      <c r="E804" s="15" t="n">
        <v>12</v>
      </c>
      <c r="F804" s="4" t="inlineStr">
        <is>
          <t>CB400-V</t>
        </is>
      </c>
      <c r="G804" s="5" t="inlineStr">
        <is>
          <t>S06</t>
        </is>
      </c>
      <c r="H804" s="16" t="n">
        <v>0.388</v>
      </c>
      <c r="I804" s="17" t="n">
        <v>9</v>
      </c>
      <c r="J804" s="18" t="n">
        <v>0.888</v>
      </c>
      <c r="K804" s="7">
        <f>ROUND(H804*I804*J804, 2)</f>
        <v/>
      </c>
      <c r="L804" s="19">
        <f>ROUND(K804/1000, 3)</f>
        <v/>
      </c>
      <c r="M804" s="728">
        <f>IF(AO804="","",IF(N(INDEX(Theo_Doi_Tan_Suat_Be_Tong!$C:$C,AO804))&lt;=0,"",INDEX(Theo_Doi_Tan_Suat_Be_Tong!$C:$C,AO804)-VLOOKUP(AN804,$AQ$2:$AR$7,2,FALSE)))</f>
        <v/>
      </c>
      <c r="N804" s="4" t="n"/>
      <c r="O804" s="20">
        <f>IF(ROUNDUP(Q804/20,0)&gt;ROUNDUP(Q803/20,0),"TN Ø12 (Lần " &amp; ROUNDUP(Q804/20,0) &amp; ")","")</f>
        <v/>
      </c>
      <c r="P804" s="16">
        <f>ROUND(P803+IF(AND(E804&lt;=10,F804&lt;&gt;"ASTM A416"),L804,0),3)</f>
        <v/>
      </c>
      <c r="Q804" s="16">
        <f>ROUND(Q803+IF(AND(E804=12,F804&lt;&gt;"ASTM A416"),L804,0),3)</f>
        <v/>
      </c>
      <c r="R804" s="16">
        <f>ROUND(R803+IF(AND(E804=14,F804&lt;&gt;"ASTM A416"),L804,0),3)</f>
        <v/>
      </c>
      <c r="S804" s="16">
        <f>ROUND(S803+IF(AND(E804=16,F804&lt;&gt;"ASTM A416"),L804,0),3)</f>
        <v/>
      </c>
      <c r="T804" s="16">
        <f>ROUND(T803+IF(AND(E804=18,F804&lt;&gt;"ASTM A416"),L804,0),3)</f>
        <v/>
      </c>
      <c r="U804" s="16">
        <f>ROUND(U803+IF(AND(E804=20,F804&lt;&gt;"ASTM A416"),L804,0),3)</f>
        <v/>
      </c>
      <c r="V804" s="16">
        <f>ROUND(V803+IF(AND(E804=22,F804&lt;&gt;"ASTM A416"),L804,0),3)</f>
        <v/>
      </c>
      <c r="W804" s="16">
        <f>ROUND(W803+IF(AND(E804=25,F804&lt;&gt;"ASTM A416"),L804,0),3)</f>
        <v/>
      </c>
      <c r="X804" s="16">
        <f>ROUND(X803+IF(AND(E804=28,F804&lt;&gt;"ASTM A416"),L804,0),3)</f>
        <v/>
      </c>
      <c r="Y804" s="16">
        <f>ROUND(Y803+IF(AND(E804=32,F804&lt;&gt;"ASTM A416"),L804,0),3)</f>
        <v/>
      </c>
      <c r="Z804" s="16">
        <f>ROUND(Z803+IF(F804="ASTM A416",L804,0),3)</f>
        <v/>
      </c>
      <c r="AA804" s="9">
        <f>IF(ROUNDUP(P804/20,0)&gt;ROUNDUP(P803/20,0),"Lần " &amp; ROUNDUP(P804/20,0),"")</f>
        <v/>
      </c>
      <c r="AB804" s="9">
        <f>IF(ROUNDUP(Q804/20,0)&gt;ROUNDUP(Q803/20,0),"Lần " &amp; ROUNDUP(Q804/20,0),"")</f>
        <v/>
      </c>
      <c r="AC804" s="9">
        <f>IF(ROUNDUP(R804/20,0)&gt;ROUNDUP(R803/20,0),"Lần " &amp; ROUNDUP(R804/20,0),"")</f>
        <v/>
      </c>
      <c r="AD804" s="9">
        <f>IF(ROUNDUP(S804/20,0)&gt;ROUNDUP(S803/20,0),"Lần " &amp; ROUNDUP(S804/20,0),"")</f>
        <v/>
      </c>
      <c r="AE804" s="9">
        <f>IF(ROUNDUP(T804/20,0)&gt;ROUNDUP(T803/20,0),"Lần " &amp; ROUNDUP(T804/20,0),"")</f>
        <v/>
      </c>
      <c r="AF804" s="9">
        <f>IF(ROUNDUP(U804/20,0)&gt;ROUNDUP(U803/20,0),"Lần " &amp; ROUNDUP(U804/20,0),"")</f>
        <v/>
      </c>
      <c r="AG804" s="9">
        <f>IF(ROUNDUP(V804/20,0)&gt;ROUNDUP(V803/20,0),"Lần " &amp; ROUNDUP(V804/20,0),"")</f>
        <v/>
      </c>
      <c r="AH804" s="9">
        <f>IF(ROUNDUP(W804/20,0)&gt;ROUNDUP(W803/20,0),"Lần " &amp; ROUNDUP(W804/20,0),"")</f>
        <v/>
      </c>
      <c r="AI804" s="9">
        <f>IF(ROUNDUP(X804/20,0)&gt;ROUNDUP(X803/20,0),"Lần " &amp; ROUNDUP(X804/20,0),"")</f>
        <v/>
      </c>
      <c r="AJ804" s="9">
        <f>IF(ROUNDUP(Y804/20,0)&gt;ROUNDUP(Y803/20,0),"Lần " &amp; ROUNDUP(Y804/20,0),"")</f>
        <v/>
      </c>
      <c r="AK804" s="9">
        <f>IF(ROUNDUP(Z804/20,0)&gt;ROUNDUP(Z803/20,0),"Lần " &amp; ROUNDUP(Z804/20,0),"")</f>
        <v/>
      </c>
      <c r="AL804" s="4" t="n"/>
      <c r="AN804" s="596" t="inlineStr">
        <is>
          <t>HoanThien</t>
        </is>
      </c>
      <c r="AO804" s="596" t="n">
        <v>53</v>
      </c>
      <c r="AQ804" s="594" t="n"/>
      <c r="AR804" s="595" t="n"/>
    </row>
    <row r="805" ht="19" customHeight="1" s="672">
      <c r="A805" s="4" t="n">
        <v>764</v>
      </c>
      <c r="B805" s="5" t="inlineStr">
        <is>
          <t>Gờ lan can BTCT</t>
        </is>
      </c>
      <c r="C805" s="5" t="inlineStr">
        <is>
          <t>Gờ lan can (tr.119)</t>
        </is>
      </c>
      <c r="D805" s="14" t="inlineStr">
        <is>
          <t>G4C</t>
        </is>
      </c>
      <c r="E805" s="15" t="n">
        <v>12</v>
      </c>
      <c r="F805" s="4" t="inlineStr">
        <is>
          <t>CB400-V</t>
        </is>
      </c>
      <c r="G805" s="5" t="inlineStr">
        <is>
          <t>S06</t>
        </is>
      </c>
      <c r="H805" s="16" t="n">
        <v>0.634</v>
      </c>
      <c r="I805" s="17" t="n">
        <v>9</v>
      </c>
      <c r="J805" s="18" t="n">
        <v>0.888</v>
      </c>
      <c r="K805" s="7">
        <f>ROUND(H805*I805*J805, 2)</f>
        <v/>
      </c>
      <c r="L805" s="19">
        <f>ROUND(K805/1000, 3)</f>
        <v/>
      </c>
      <c r="M805" s="728">
        <f>IF(AO805="","",IF(N(INDEX(Theo_Doi_Tan_Suat_Be_Tong!$C:$C,AO805))&lt;=0,"",INDEX(Theo_Doi_Tan_Suat_Be_Tong!$C:$C,AO805)-VLOOKUP(AN805,$AQ$2:$AR$7,2,FALSE)))</f>
        <v/>
      </c>
      <c r="N805" s="4" t="n"/>
      <c r="O805" s="20">
        <f>IF(ROUNDUP(Q805/20,0)&gt;ROUNDUP(Q804/20,0),"TN Ø12 (Lần " &amp; ROUNDUP(Q805/20,0) &amp; ")","")</f>
        <v/>
      </c>
      <c r="P805" s="16">
        <f>ROUND(P804+IF(AND(E805&lt;=10,F805&lt;&gt;"ASTM A416"),L805,0),3)</f>
        <v/>
      </c>
      <c r="Q805" s="16">
        <f>ROUND(Q804+IF(AND(E805=12,F805&lt;&gt;"ASTM A416"),L805,0),3)</f>
        <v/>
      </c>
      <c r="R805" s="16">
        <f>ROUND(R804+IF(AND(E805=14,F805&lt;&gt;"ASTM A416"),L805,0),3)</f>
        <v/>
      </c>
      <c r="S805" s="16">
        <f>ROUND(S804+IF(AND(E805=16,F805&lt;&gt;"ASTM A416"),L805,0),3)</f>
        <v/>
      </c>
      <c r="T805" s="16">
        <f>ROUND(T804+IF(AND(E805=18,F805&lt;&gt;"ASTM A416"),L805,0),3)</f>
        <v/>
      </c>
      <c r="U805" s="16">
        <f>ROUND(U804+IF(AND(E805=20,F805&lt;&gt;"ASTM A416"),L805,0),3)</f>
        <v/>
      </c>
      <c r="V805" s="16">
        <f>ROUND(V804+IF(AND(E805=22,F805&lt;&gt;"ASTM A416"),L805,0),3)</f>
        <v/>
      </c>
      <c r="W805" s="16">
        <f>ROUND(W804+IF(AND(E805=25,F805&lt;&gt;"ASTM A416"),L805,0),3)</f>
        <v/>
      </c>
      <c r="X805" s="16">
        <f>ROUND(X804+IF(AND(E805=28,F805&lt;&gt;"ASTM A416"),L805,0),3)</f>
        <v/>
      </c>
      <c r="Y805" s="16">
        <f>ROUND(Y804+IF(AND(E805=32,F805&lt;&gt;"ASTM A416"),L805,0),3)</f>
        <v/>
      </c>
      <c r="Z805" s="16">
        <f>ROUND(Z804+IF(F805="ASTM A416",L805,0),3)</f>
        <v/>
      </c>
      <c r="AA805" s="9">
        <f>IF(ROUNDUP(P805/20,0)&gt;ROUNDUP(P804/20,0),"Lần " &amp; ROUNDUP(P805/20,0),"")</f>
        <v/>
      </c>
      <c r="AB805" s="9">
        <f>IF(ROUNDUP(Q805/20,0)&gt;ROUNDUP(Q804/20,0),"Lần " &amp; ROUNDUP(Q805/20,0),"")</f>
        <v/>
      </c>
      <c r="AC805" s="9">
        <f>IF(ROUNDUP(R805/20,0)&gt;ROUNDUP(R804/20,0),"Lần " &amp; ROUNDUP(R805/20,0),"")</f>
        <v/>
      </c>
      <c r="AD805" s="9">
        <f>IF(ROUNDUP(S805/20,0)&gt;ROUNDUP(S804/20,0),"Lần " &amp; ROUNDUP(S805/20,0),"")</f>
        <v/>
      </c>
      <c r="AE805" s="9">
        <f>IF(ROUNDUP(T805/20,0)&gt;ROUNDUP(T804/20,0),"Lần " &amp; ROUNDUP(T805/20,0),"")</f>
        <v/>
      </c>
      <c r="AF805" s="9">
        <f>IF(ROUNDUP(U805/20,0)&gt;ROUNDUP(U804/20,0),"Lần " &amp; ROUNDUP(U805/20,0),"")</f>
        <v/>
      </c>
      <c r="AG805" s="9">
        <f>IF(ROUNDUP(V805/20,0)&gt;ROUNDUP(V804/20,0),"Lần " &amp; ROUNDUP(V805/20,0),"")</f>
        <v/>
      </c>
      <c r="AH805" s="9">
        <f>IF(ROUNDUP(W805/20,0)&gt;ROUNDUP(W804/20,0),"Lần " &amp; ROUNDUP(W805/20,0),"")</f>
        <v/>
      </c>
      <c r="AI805" s="9">
        <f>IF(ROUNDUP(X805/20,0)&gt;ROUNDUP(X804/20,0),"Lần " &amp; ROUNDUP(X805/20,0),"")</f>
        <v/>
      </c>
      <c r="AJ805" s="9">
        <f>IF(ROUNDUP(Y805/20,0)&gt;ROUNDUP(Y804/20,0),"Lần " &amp; ROUNDUP(Y805/20,0),"")</f>
        <v/>
      </c>
      <c r="AK805" s="9">
        <f>IF(ROUNDUP(Z805/20,0)&gt;ROUNDUP(Z804/20,0),"Lần " &amp; ROUNDUP(Z805/20,0),"")</f>
        <v/>
      </c>
      <c r="AL805" s="4" t="n"/>
      <c r="AN805" s="596" t="inlineStr">
        <is>
          <t>HoanThien</t>
        </is>
      </c>
      <c r="AO805" s="596" t="n">
        <v>53</v>
      </c>
      <c r="AQ805" s="594" t="n"/>
      <c r="AR805" s="595" t="n"/>
    </row>
    <row r="806" ht="19" customHeight="1" s="672">
      <c r="A806" s="4" t="n">
        <v>765</v>
      </c>
      <c r="B806" s="5" t="inlineStr">
        <is>
          <t>Gờ lan can BTCT</t>
        </is>
      </c>
      <c r="C806" s="5" t="inlineStr">
        <is>
          <t>Gờ lan can (tr.119)</t>
        </is>
      </c>
      <c r="D806" s="14" t="inlineStr">
        <is>
          <t>G5</t>
        </is>
      </c>
      <c r="E806" s="15" t="n">
        <v>14</v>
      </c>
      <c r="F806" s="4" t="inlineStr">
        <is>
          <t>CB400-V</t>
        </is>
      </c>
      <c r="G806" s="5" t="inlineStr">
        <is>
          <t>S01</t>
        </is>
      </c>
      <c r="H806" s="16" t="n">
        <v>5.91</v>
      </c>
      <c r="I806" s="17" t="n">
        <v>361</v>
      </c>
      <c r="J806" s="18" t="n">
        <v>1.208</v>
      </c>
      <c r="K806" s="7">
        <f>ROUND(H806*I806*J806, 2)</f>
        <v/>
      </c>
      <c r="L806" s="19">
        <f>ROUND(K806/1000, 3)</f>
        <v/>
      </c>
      <c r="M806" s="728">
        <f>IF(AO806="","",IF(N(INDEX(Theo_Doi_Tan_Suat_Be_Tong!$C:$C,AO806))&lt;=0,"",INDEX(Theo_Doi_Tan_Suat_Be_Tong!$C:$C,AO806)-VLOOKUP(AN806,$AQ$2:$AR$7,2,FALSE)))</f>
        <v/>
      </c>
      <c r="N806" s="4" t="n"/>
      <c r="O806" s="20">
        <f>IF(ROUNDUP(R806/20,0)&gt;ROUNDUP(R805/20,0),"TN Ø14 (Lần " &amp; ROUNDUP(R806/20,0) &amp; ")","")</f>
        <v/>
      </c>
      <c r="P806" s="16">
        <f>ROUND(P805+IF(AND(E806&lt;=10,F806&lt;&gt;"ASTM A416"),L806,0),3)</f>
        <v/>
      </c>
      <c r="Q806" s="16">
        <f>ROUND(Q805+IF(AND(E806=12,F806&lt;&gt;"ASTM A416"),L806,0),3)</f>
        <v/>
      </c>
      <c r="R806" s="16">
        <f>ROUND(R805+IF(AND(E806=14,F806&lt;&gt;"ASTM A416"),L806,0),3)</f>
        <v/>
      </c>
      <c r="S806" s="16">
        <f>ROUND(S805+IF(AND(E806=16,F806&lt;&gt;"ASTM A416"),L806,0),3)</f>
        <v/>
      </c>
      <c r="T806" s="16">
        <f>ROUND(T805+IF(AND(E806=18,F806&lt;&gt;"ASTM A416"),L806,0),3)</f>
        <v/>
      </c>
      <c r="U806" s="16">
        <f>ROUND(U805+IF(AND(E806=20,F806&lt;&gt;"ASTM A416"),L806,0),3)</f>
        <v/>
      </c>
      <c r="V806" s="16">
        <f>ROUND(V805+IF(AND(E806=22,F806&lt;&gt;"ASTM A416"),L806,0),3)</f>
        <v/>
      </c>
      <c r="W806" s="16">
        <f>ROUND(W805+IF(AND(E806=25,F806&lt;&gt;"ASTM A416"),L806,0),3)</f>
        <v/>
      </c>
      <c r="X806" s="16">
        <f>ROUND(X805+IF(AND(E806=28,F806&lt;&gt;"ASTM A416"),L806,0),3)</f>
        <v/>
      </c>
      <c r="Y806" s="16">
        <f>ROUND(Y805+IF(AND(E806=32,F806&lt;&gt;"ASTM A416"),L806,0),3)</f>
        <v/>
      </c>
      <c r="Z806" s="16">
        <f>ROUND(Z805+IF(F806="ASTM A416",L806,0),3)</f>
        <v/>
      </c>
      <c r="AA806" s="9">
        <f>IF(ROUNDUP(P806/20,0)&gt;ROUNDUP(P805/20,0),"Lần " &amp; ROUNDUP(P806/20,0),"")</f>
        <v/>
      </c>
      <c r="AB806" s="9">
        <f>IF(ROUNDUP(Q806/20,0)&gt;ROUNDUP(Q805/20,0),"Lần " &amp; ROUNDUP(Q806/20,0),"")</f>
        <v/>
      </c>
      <c r="AC806" s="9">
        <f>IF(ROUNDUP(R806/20,0)&gt;ROUNDUP(R805/20,0),"Lần " &amp; ROUNDUP(R806/20,0),"")</f>
        <v/>
      </c>
      <c r="AD806" s="9">
        <f>IF(ROUNDUP(S806/20,0)&gt;ROUNDUP(S805/20,0),"Lần " &amp; ROUNDUP(S806/20,0),"")</f>
        <v/>
      </c>
      <c r="AE806" s="9">
        <f>IF(ROUNDUP(T806/20,0)&gt;ROUNDUP(T805/20,0),"Lần " &amp; ROUNDUP(T806/20,0),"")</f>
        <v/>
      </c>
      <c r="AF806" s="9">
        <f>IF(ROUNDUP(U806/20,0)&gt;ROUNDUP(U805/20,0),"Lần " &amp; ROUNDUP(U806/20,0),"")</f>
        <v/>
      </c>
      <c r="AG806" s="9">
        <f>IF(ROUNDUP(V806/20,0)&gt;ROUNDUP(V805/20,0),"Lần " &amp; ROUNDUP(V806/20,0),"")</f>
        <v/>
      </c>
      <c r="AH806" s="9">
        <f>IF(ROUNDUP(W806/20,0)&gt;ROUNDUP(W805/20,0),"Lần " &amp; ROUNDUP(W806/20,0),"")</f>
        <v/>
      </c>
      <c r="AI806" s="9">
        <f>IF(ROUNDUP(X806/20,0)&gt;ROUNDUP(X805/20,0),"Lần " &amp; ROUNDUP(X806/20,0),"")</f>
        <v/>
      </c>
      <c r="AJ806" s="9">
        <f>IF(ROUNDUP(Y806/20,0)&gt;ROUNDUP(Y805/20,0),"Lần " &amp; ROUNDUP(Y806/20,0),"")</f>
        <v/>
      </c>
      <c r="AK806" s="9">
        <f>IF(ROUNDUP(Z806/20,0)&gt;ROUNDUP(Z805/20,0),"Lần " &amp; ROUNDUP(Z806/20,0),"")</f>
        <v/>
      </c>
      <c r="AL806" s="4" t="n"/>
      <c r="AN806" s="596" t="inlineStr">
        <is>
          <t>HoanThien</t>
        </is>
      </c>
      <c r="AO806" s="596" t="n">
        <v>53</v>
      </c>
      <c r="AQ806" s="594" t="n"/>
      <c r="AR806" s="595" t="n"/>
    </row>
    <row r="807" ht="19" customHeight="1" s="672">
      <c r="A807" s="4" t="n">
        <v>766</v>
      </c>
      <c r="B807" s="5" t="inlineStr">
        <is>
          <t>Gờ lan can BTCT</t>
        </is>
      </c>
      <c r="C807" s="5" t="inlineStr">
        <is>
          <t>Gờ lan can (tr.119)</t>
        </is>
      </c>
      <c r="D807" s="14" t="inlineStr">
        <is>
          <t>G6</t>
        </is>
      </c>
      <c r="E807" s="15" t="n">
        <v>20</v>
      </c>
      <c r="F807" s="4" t="inlineStr">
        <is>
          <t>CB400-V</t>
        </is>
      </c>
      <c r="G807" s="5" t="inlineStr">
        <is>
          <t>S57</t>
        </is>
      </c>
      <c r="H807" s="16" t="n">
        <v>2.026</v>
      </c>
      <c r="I807" s="17" t="n">
        <v>779</v>
      </c>
      <c r="J807" s="18" t="n">
        <v>2.466</v>
      </c>
      <c r="K807" s="7">
        <f>ROUND(H807*I807*J807, 2)</f>
        <v/>
      </c>
      <c r="L807" s="19">
        <f>ROUND(K807/1000, 3)</f>
        <v/>
      </c>
      <c r="M807" s="728">
        <f>IF(AO807="","",IF(N(INDEX(Theo_Doi_Tan_Suat_Be_Tong!$C:$C,AO807))&lt;=0,"",INDEX(Theo_Doi_Tan_Suat_Be_Tong!$C:$C,AO807)-VLOOKUP(AN807,$AQ$2:$AR$7,2,FALSE)))</f>
        <v/>
      </c>
      <c r="N807" s="4" t="n"/>
      <c r="O807" s="20">
        <f>IF(ROUNDUP(U807/20,0)&gt;ROUNDUP(U806/20,0),"TN Ø20 (Lần " &amp; ROUNDUP(U807/20,0) &amp; ")","")</f>
        <v/>
      </c>
      <c r="P807" s="16">
        <f>ROUND(P806+IF(AND(E807&lt;=10,F807&lt;&gt;"ASTM A416"),L807,0),3)</f>
        <v/>
      </c>
      <c r="Q807" s="16">
        <f>ROUND(Q806+IF(AND(E807=12,F807&lt;&gt;"ASTM A416"),L807,0),3)</f>
        <v/>
      </c>
      <c r="R807" s="16">
        <f>ROUND(R806+IF(AND(E807=14,F807&lt;&gt;"ASTM A416"),L807,0),3)</f>
        <v/>
      </c>
      <c r="S807" s="16">
        <f>ROUND(S806+IF(AND(E807=16,F807&lt;&gt;"ASTM A416"),L807,0),3)</f>
        <v/>
      </c>
      <c r="T807" s="16">
        <f>ROUND(T806+IF(AND(E807=18,F807&lt;&gt;"ASTM A416"),L807,0),3)</f>
        <v/>
      </c>
      <c r="U807" s="16">
        <f>ROUND(U806+IF(AND(E807=20,F807&lt;&gt;"ASTM A416"),L807,0),3)</f>
        <v/>
      </c>
      <c r="V807" s="16">
        <f>ROUND(V806+IF(AND(E807=22,F807&lt;&gt;"ASTM A416"),L807,0),3)</f>
        <v/>
      </c>
      <c r="W807" s="16">
        <f>ROUND(W806+IF(AND(E807=25,F807&lt;&gt;"ASTM A416"),L807,0),3)</f>
        <v/>
      </c>
      <c r="X807" s="16">
        <f>ROUND(X806+IF(AND(E807=28,F807&lt;&gt;"ASTM A416"),L807,0),3)</f>
        <v/>
      </c>
      <c r="Y807" s="16">
        <f>ROUND(Y806+IF(AND(E807=32,F807&lt;&gt;"ASTM A416"),L807,0),3)</f>
        <v/>
      </c>
      <c r="Z807" s="16">
        <f>ROUND(Z806+IF(F807="ASTM A416",L807,0),3)</f>
        <v/>
      </c>
      <c r="AA807" s="9">
        <f>IF(ROUNDUP(P807/20,0)&gt;ROUNDUP(P806/20,0),"Lần " &amp; ROUNDUP(P807/20,0),"")</f>
        <v/>
      </c>
      <c r="AB807" s="9">
        <f>IF(ROUNDUP(Q807/20,0)&gt;ROUNDUP(Q806/20,0),"Lần " &amp; ROUNDUP(Q807/20,0),"")</f>
        <v/>
      </c>
      <c r="AC807" s="9">
        <f>IF(ROUNDUP(R807/20,0)&gt;ROUNDUP(R806/20,0),"Lần " &amp; ROUNDUP(R807/20,0),"")</f>
        <v/>
      </c>
      <c r="AD807" s="9">
        <f>IF(ROUNDUP(S807/20,0)&gt;ROUNDUP(S806/20,0),"Lần " &amp; ROUNDUP(S807/20,0),"")</f>
        <v/>
      </c>
      <c r="AE807" s="9">
        <f>IF(ROUNDUP(T807/20,0)&gt;ROUNDUP(T806/20,0),"Lần " &amp; ROUNDUP(T807/20,0),"")</f>
        <v/>
      </c>
      <c r="AF807" s="9">
        <f>IF(ROUNDUP(U807/20,0)&gt;ROUNDUP(U806/20,0),"Lần " &amp; ROUNDUP(U807/20,0),"")</f>
        <v/>
      </c>
      <c r="AG807" s="9">
        <f>IF(ROUNDUP(V807/20,0)&gt;ROUNDUP(V806/20,0),"Lần " &amp; ROUNDUP(V807/20,0),"")</f>
        <v/>
      </c>
      <c r="AH807" s="9">
        <f>IF(ROUNDUP(W807/20,0)&gt;ROUNDUP(W806/20,0),"Lần " &amp; ROUNDUP(W807/20,0),"")</f>
        <v/>
      </c>
      <c r="AI807" s="9">
        <f>IF(ROUNDUP(X807/20,0)&gt;ROUNDUP(X806/20,0),"Lần " &amp; ROUNDUP(X807/20,0),"")</f>
        <v/>
      </c>
      <c r="AJ807" s="9">
        <f>IF(ROUNDUP(Y807/20,0)&gt;ROUNDUP(Y806/20,0),"Lần " &amp; ROUNDUP(Y807/20,0),"")</f>
        <v/>
      </c>
      <c r="AK807" s="9">
        <f>IF(ROUNDUP(Z807/20,0)&gt;ROUNDUP(Z806/20,0),"Lần " &amp; ROUNDUP(Z807/20,0),"")</f>
        <v/>
      </c>
      <c r="AL807" s="4" t="n"/>
      <c r="AN807" s="596" t="inlineStr">
        <is>
          <t>HoanThien</t>
        </is>
      </c>
      <c r="AO807" s="596" t="n">
        <v>53</v>
      </c>
      <c r="AQ807" s="594" t="n"/>
      <c r="AR807" s="595" t="n"/>
    </row>
    <row r="808" ht="19" customHeight="1" s="672">
      <c r="A808" s="4" t="n">
        <v>767</v>
      </c>
      <c r="B808" s="5" t="inlineStr">
        <is>
          <t>Gờ lan can BTCT</t>
        </is>
      </c>
      <c r="C808" s="5" t="inlineStr">
        <is>
          <t>Gờ lan can (tr.119)</t>
        </is>
      </c>
      <c r="D808" s="14" t="inlineStr">
        <is>
          <t>G7</t>
        </is>
      </c>
      <c r="E808" s="15" t="n">
        <v>14</v>
      </c>
      <c r="F808" s="4" t="inlineStr">
        <is>
          <t>CB400-V</t>
        </is>
      </c>
      <c r="G808" s="5" t="inlineStr">
        <is>
          <t>S29</t>
        </is>
      </c>
      <c r="H808" s="16" t="n">
        <v>1.371</v>
      </c>
      <c r="I808" s="17" t="n">
        <v>779</v>
      </c>
      <c r="J808" s="18" t="n">
        <v>1.208</v>
      </c>
      <c r="K808" s="7">
        <f>ROUND(H808*I808*J808, 2)</f>
        <v/>
      </c>
      <c r="L808" s="19">
        <f>ROUND(K808/1000, 3)</f>
        <v/>
      </c>
      <c r="M808" s="728">
        <f>IF(AO808="","",IF(N(INDEX(Theo_Doi_Tan_Suat_Be_Tong!$C:$C,AO808))&lt;=0,"",INDEX(Theo_Doi_Tan_Suat_Be_Tong!$C:$C,AO808)-VLOOKUP(AN808,$AQ$2:$AR$7,2,FALSE)))</f>
        <v/>
      </c>
      <c r="N808" s="4" t="n"/>
      <c r="O808" s="20">
        <f>IF(ROUNDUP(R808/20,0)&gt;ROUNDUP(R807/20,0),"TN Ø14 (Lần " &amp; ROUNDUP(R808/20,0) &amp; ")","")</f>
        <v/>
      </c>
      <c r="P808" s="16">
        <f>ROUND(P807+IF(AND(E808&lt;=10,F808&lt;&gt;"ASTM A416"),L808,0),3)</f>
        <v/>
      </c>
      <c r="Q808" s="16">
        <f>ROUND(Q807+IF(AND(E808=12,F808&lt;&gt;"ASTM A416"),L808,0),3)</f>
        <v/>
      </c>
      <c r="R808" s="16">
        <f>ROUND(R807+IF(AND(E808=14,F808&lt;&gt;"ASTM A416"),L808,0),3)</f>
        <v/>
      </c>
      <c r="S808" s="16">
        <f>ROUND(S807+IF(AND(E808=16,F808&lt;&gt;"ASTM A416"),L808,0),3)</f>
        <v/>
      </c>
      <c r="T808" s="16">
        <f>ROUND(T807+IF(AND(E808=18,F808&lt;&gt;"ASTM A416"),L808,0),3)</f>
        <v/>
      </c>
      <c r="U808" s="16">
        <f>ROUND(U807+IF(AND(E808=20,F808&lt;&gt;"ASTM A416"),L808,0),3)</f>
        <v/>
      </c>
      <c r="V808" s="16">
        <f>ROUND(V807+IF(AND(E808=22,F808&lt;&gt;"ASTM A416"),L808,0),3)</f>
        <v/>
      </c>
      <c r="W808" s="16">
        <f>ROUND(W807+IF(AND(E808=25,F808&lt;&gt;"ASTM A416"),L808,0),3)</f>
        <v/>
      </c>
      <c r="X808" s="16">
        <f>ROUND(X807+IF(AND(E808=28,F808&lt;&gt;"ASTM A416"),L808,0),3)</f>
        <v/>
      </c>
      <c r="Y808" s="16">
        <f>ROUND(Y807+IF(AND(E808=32,F808&lt;&gt;"ASTM A416"),L808,0),3)</f>
        <v/>
      </c>
      <c r="Z808" s="16">
        <f>ROUND(Z807+IF(F808="ASTM A416",L808,0),3)</f>
        <v/>
      </c>
      <c r="AA808" s="9">
        <f>IF(ROUNDUP(P808/20,0)&gt;ROUNDUP(P807/20,0),"Lần " &amp; ROUNDUP(P808/20,0),"")</f>
        <v/>
      </c>
      <c r="AB808" s="9">
        <f>IF(ROUNDUP(Q808/20,0)&gt;ROUNDUP(Q807/20,0),"Lần " &amp; ROUNDUP(Q808/20,0),"")</f>
        <v/>
      </c>
      <c r="AC808" s="9">
        <f>IF(ROUNDUP(R808/20,0)&gt;ROUNDUP(R807/20,0),"Lần " &amp; ROUNDUP(R808/20,0),"")</f>
        <v/>
      </c>
      <c r="AD808" s="9">
        <f>IF(ROUNDUP(S808/20,0)&gt;ROUNDUP(S807/20,0),"Lần " &amp; ROUNDUP(S808/20,0),"")</f>
        <v/>
      </c>
      <c r="AE808" s="9">
        <f>IF(ROUNDUP(T808/20,0)&gt;ROUNDUP(T807/20,0),"Lần " &amp; ROUNDUP(T808/20,0),"")</f>
        <v/>
      </c>
      <c r="AF808" s="9">
        <f>IF(ROUNDUP(U808/20,0)&gt;ROUNDUP(U807/20,0),"Lần " &amp; ROUNDUP(U808/20,0),"")</f>
        <v/>
      </c>
      <c r="AG808" s="9">
        <f>IF(ROUNDUP(V808/20,0)&gt;ROUNDUP(V807/20,0),"Lần " &amp; ROUNDUP(V808/20,0),"")</f>
        <v/>
      </c>
      <c r="AH808" s="9">
        <f>IF(ROUNDUP(W808/20,0)&gt;ROUNDUP(W807/20,0),"Lần " &amp; ROUNDUP(W808/20,0),"")</f>
        <v/>
      </c>
      <c r="AI808" s="9">
        <f>IF(ROUNDUP(X808/20,0)&gt;ROUNDUP(X807/20,0),"Lần " &amp; ROUNDUP(X808/20,0),"")</f>
        <v/>
      </c>
      <c r="AJ808" s="9">
        <f>IF(ROUNDUP(Y808/20,0)&gt;ROUNDUP(Y807/20,0),"Lần " &amp; ROUNDUP(Y808/20,0),"")</f>
        <v/>
      </c>
      <c r="AK808" s="9">
        <f>IF(ROUNDUP(Z808/20,0)&gt;ROUNDUP(Z807/20,0),"Lần " &amp; ROUNDUP(Z808/20,0),"")</f>
        <v/>
      </c>
      <c r="AL808" s="4" t="n"/>
      <c r="AN808" s="596" t="inlineStr">
        <is>
          <t>HoanThien</t>
        </is>
      </c>
      <c r="AO808" s="596" t="n">
        <v>53</v>
      </c>
      <c r="AQ808" s="594" t="n"/>
      <c r="AR808" s="595" t="n"/>
    </row>
    <row r="809" ht="19" customHeight="1" s="672">
      <c r="A809" s="4" t="n">
        <v>768</v>
      </c>
      <c r="B809" s="5" t="inlineStr">
        <is>
          <t>Gờ lan can BTCT</t>
        </is>
      </c>
      <c r="C809" s="5" t="inlineStr">
        <is>
          <t>Gờ lan can (tr.119)</t>
        </is>
      </c>
      <c r="D809" s="14" t="inlineStr">
        <is>
          <t>G7A</t>
        </is>
      </c>
      <c r="E809" s="15" t="n">
        <v>20</v>
      </c>
      <c r="F809" s="4" t="inlineStr">
        <is>
          <t>CB400-V</t>
        </is>
      </c>
      <c r="G809" s="5" t="inlineStr">
        <is>
          <t>S05</t>
        </is>
      </c>
      <c r="H809" s="16" t="n">
        <v>1.182</v>
      </c>
      <c r="I809" s="17" t="n">
        <v>779</v>
      </c>
      <c r="J809" s="18" t="n">
        <v>2.466</v>
      </c>
      <c r="K809" s="7">
        <f>ROUND(H809*I809*J809, 2)</f>
        <v/>
      </c>
      <c r="L809" s="19">
        <f>ROUND(K809/1000, 3)</f>
        <v/>
      </c>
      <c r="M809" s="728">
        <f>IF(AO809="","",IF(N(INDEX(Theo_Doi_Tan_Suat_Be_Tong!$C:$C,AO809))&lt;=0,"",INDEX(Theo_Doi_Tan_Suat_Be_Tong!$C:$C,AO809)-VLOOKUP(AN809,$AQ$2:$AR$7,2,FALSE)))</f>
        <v/>
      </c>
      <c r="N809" s="4" t="n"/>
      <c r="O809" s="20">
        <f>IF(ROUNDUP(U809/20,0)&gt;ROUNDUP(U808/20,0),"TN Ø20 (Lần " &amp; ROUNDUP(U809/20,0) &amp; ")","")</f>
        <v/>
      </c>
      <c r="P809" s="16">
        <f>ROUND(P808+IF(AND(E809&lt;=10,F809&lt;&gt;"ASTM A416"),L809,0),3)</f>
        <v/>
      </c>
      <c r="Q809" s="16">
        <f>ROUND(Q808+IF(AND(E809=12,F809&lt;&gt;"ASTM A416"),L809,0),3)</f>
        <v/>
      </c>
      <c r="R809" s="16">
        <f>ROUND(R808+IF(AND(E809=14,F809&lt;&gt;"ASTM A416"),L809,0),3)</f>
        <v/>
      </c>
      <c r="S809" s="16">
        <f>ROUND(S808+IF(AND(E809=16,F809&lt;&gt;"ASTM A416"),L809,0),3)</f>
        <v/>
      </c>
      <c r="T809" s="16">
        <f>ROUND(T808+IF(AND(E809=18,F809&lt;&gt;"ASTM A416"),L809,0),3)</f>
        <v/>
      </c>
      <c r="U809" s="16">
        <f>ROUND(U808+IF(AND(E809=20,F809&lt;&gt;"ASTM A416"),L809,0),3)</f>
        <v/>
      </c>
      <c r="V809" s="16">
        <f>ROUND(V808+IF(AND(E809=22,F809&lt;&gt;"ASTM A416"),L809,0),3)</f>
        <v/>
      </c>
      <c r="W809" s="16">
        <f>ROUND(W808+IF(AND(E809=25,F809&lt;&gt;"ASTM A416"),L809,0),3)</f>
        <v/>
      </c>
      <c r="X809" s="16">
        <f>ROUND(X808+IF(AND(E809=28,F809&lt;&gt;"ASTM A416"),L809,0),3)</f>
        <v/>
      </c>
      <c r="Y809" s="16">
        <f>ROUND(Y808+IF(AND(E809=32,F809&lt;&gt;"ASTM A416"),L809,0),3)</f>
        <v/>
      </c>
      <c r="Z809" s="16">
        <f>ROUND(Z808+IF(F809="ASTM A416",L809,0),3)</f>
        <v/>
      </c>
      <c r="AA809" s="9">
        <f>IF(ROUNDUP(P809/20,0)&gt;ROUNDUP(P808/20,0),"Lần " &amp; ROUNDUP(P809/20,0),"")</f>
        <v/>
      </c>
      <c r="AB809" s="9">
        <f>IF(ROUNDUP(Q809/20,0)&gt;ROUNDUP(Q808/20,0),"Lần " &amp; ROUNDUP(Q809/20,0),"")</f>
        <v/>
      </c>
      <c r="AC809" s="9">
        <f>IF(ROUNDUP(R809/20,0)&gt;ROUNDUP(R808/20,0),"Lần " &amp; ROUNDUP(R809/20,0),"")</f>
        <v/>
      </c>
      <c r="AD809" s="9">
        <f>IF(ROUNDUP(S809/20,0)&gt;ROUNDUP(S808/20,0),"Lần " &amp; ROUNDUP(S809/20,0),"")</f>
        <v/>
      </c>
      <c r="AE809" s="9">
        <f>IF(ROUNDUP(T809/20,0)&gt;ROUNDUP(T808/20,0),"Lần " &amp; ROUNDUP(T809/20,0),"")</f>
        <v/>
      </c>
      <c r="AF809" s="9">
        <f>IF(ROUNDUP(U809/20,0)&gt;ROUNDUP(U808/20,0),"Lần " &amp; ROUNDUP(U809/20,0),"")</f>
        <v/>
      </c>
      <c r="AG809" s="9">
        <f>IF(ROUNDUP(V809/20,0)&gt;ROUNDUP(V808/20,0),"Lần " &amp; ROUNDUP(V809/20,0),"")</f>
        <v/>
      </c>
      <c r="AH809" s="9">
        <f>IF(ROUNDUP(W809/20,0)&gt;ROUNDUP(W808/20,0),"Lần " &amp; ROUNDUP(W809/20,0),"")</f>
        <v/>
      </c>
      <c r="AI809" s="9">
        <f>IF(ROUNDUP(X809/20,0)&gt;ROUNDUP(X808/20,0),"Lần " &amp; ROUNDUP(X809/20,0),"")</f>
        <v/>
      </c>
      <c r="AJ809" s="9">
        <f>IF(ROUNDUP(Y809/20,0)&gt;ROUNDUP(Y808/20,0),"Lần " &amp; ROUNDUP(Y809/20,0),"")</f>
        <v/>
      </c>
      <c r="AK809" s="9">
        <f>IF(ROUNDUP(Z809/20,0)&gt;ROUNDUP(Z808/20,0),"Lần " &amp; ROUNDUP(Z809/20,0),"")</f>
        <v/>
      </c>
      <c r="AL809" s="4" t="n"/>
      <c r="AN809" s="596" t="inlineStr">
        <is>
          <t>HoanThien</t>
        </is>
      </c>
      <c r="AO809" s="596" t="n">
        <v>53</v>
      </c>
      <c r="AQ809" s="594" t="n"/>
      <c r="AR809" s="595" t="n"/>
    </row>
    <row r="810" ht="19" customHeight="1" s="672">
      <c r="A810" s="4" t="n">
        <v>769</v>
      </c>
      <c r="B810" s="5" t="inlineStr">
        <is>
          <t>Gờ lan can BTCT</t>
        </is>
      </c>
      <c r="C810" s="5" t="inlineStr">
        <is>
          <t>Gờ lan can (tr.119)</t>
        </is>
      </c>
      <c r="D810" s="14" t="inlineStr">
        <is>
          <t>G8A</t>
        </is>
      </c>
      <c r="E810" s="15" t="n">
        <v>12</v>
      </c>
      <c r="F810" s="4" t="inlineStr">
        <is>
          <t>CB400-V</t>
        </is>
      </c>
      <c r="G810" s="5" t="inlineStr">
        <is>
          <t>S06</t>
        </is>
      </c>
      <c r="H810" s="16" t="n">
        <v>0.26</v>
      </c>
      <c r="I810" s="17" t="n">
        <v>247</v>
      </c>
      <c r="J810" s="18" t="n">
        <v>0.888</v>
      </c>
      <c r="K810" s="7">
        <f>ROUND(H810*I810*J810, 2)</f>
        <v/>
      </c>
      <c r="L810" s="19">
        <f>ROUND(K810/1000, 3)</f>
        <v/>
      </c>
      <c r="M810" s="728">
        <f>IF(AO810="","",IF(N(INDEX(Theo_Doi_Tan_Suat_Be_Tong!$C:$C,AO810))&lt;=0,"",INDEX(Theo_Doi_Tan_Suat_Be_Tong!$C:$C,AO810)-VLOOKUP(AN810,$AQ$2:$AR$7,2,FALSE)))</f>
        <v/>
      </c>
      <c r="N810" s="4" t="n"/>
      <c r="O810" s="20">
        <f>IF(ROUNDUP(Q810/20,0)&gt;ROUNDUP(Q809/20,0),"TN Ø12 (Lần " &amp; ROUNDUP(Q810/20,0) &amp; ")","")</f>
        <v/>
      </c>
      <c r="P810" s="16">
        <f>ROUND(P809+IF(AND(E810&lt;=10,F810&lt;&gt;"ASTM A416"),L810,0),3)</f>
        <v/>
      </c>
      <c r="Q810" s="16">
        <f>ROUND(Q809+IF(AND(E810=12,F810&lt;&gt;"ASTM A416"),L810,0),3)</f>
        <v/>
      </c>
      <c r="R810" s="16">
        <f>ROUND(R809+IF(AND(E810=14,F810&lt;&gt;"ASTM A416"),L810,0),3)</f>
        <v/>
      </c>
      <c r="S810" s="16">
        <f>ROUND(S809+IF(AND(E810=16,F810&lt;&gt;"ASTM A416"),L810,0),3)</f>
        <v/>
      </c>
      <c r="T810" s="16">
        <f>ROUND(T809+IF(AND(E810=18,F810&lt;&gt;"ASTM A416"),L810,0),3)</f>
        <v/>
      </c>
      <c r="U810" s="16">
        <f>ROUND(U809+IF(AND(E810=20,F810&lt;&gt;"ASTM A416"),L810,0),3)</f>
        <v/>
      </c>
      <c r="V810" s="16">
        <f>ROUND(V809+IF(AND(E810=22,F810&lt;&gt;"ASTM A416"),L810,0),3)</f>
        <v/>
      </c>
      <c r="W810" s="16">
        <f>ROUND(W809+IF(AND(E810=25,F810&lt;&gt;"ASTM A416"),L810,0),3)</f>
        <v/>
      </c>
      <c r="X810" s="16">
        <f>ROUND(X809+IF(AND(E810=28,F810&lt;&gt;"ASTM A416"),L810,0),3)</f>
        <v/>
      </c>
      <c r="Y810" s="16">
        <f>ROUND(Y809+IF(AND(E810=32,F810&lt;&gt;"ASTM A416"),L810,0),3)</f>
        <v/>
      </c>
      <c r="Z810" s="16">
        <f>ROUND(Z809+IF(F810="ASTM A416",L810,0),3)</f>
        <v/>
      </c>
      <c r="AA810" s="9">
        <f>IF(ROUNDUP(P810/20,0)&gt;ROUNDUP(P809/20,0),"Lần " &amp; ROUNDUP(P810/20,0),"")</f>
        <v/>
      </c>
      <c r="AB810" s="9">
        <f>IF(ROUNDUP(Q810/20,0)&gt;ROUNDUP(Q809/20,0),"Lần " &amp; ROUNDUP(Q810/20,0),"")</f>
        <v/>
      </c>
      <c r="AC810" s="9">
        <f>IF(ROUNDUP(R810/20,0)&gt;ROUNDUP(R809/20,0),"Lần " &amp; ROUNDUP(R810/20,0),"")</f>
        <v/>
      </c>
      <c r="AD810" s="9">
        <f>IF(ROUNDUP(S810/20,0)&gt;ROUNDUP(S809/20,0),"Lần " &amp; ROUNDUP(S810/20,0),"")</f>
        <v/>
      </c>
      <c r="AE810" s="9">
        <f>IF(ROUNDUP(T810/20,0)&gt;ROUNDUP(T809/20,0),"Lần " &amp; ROUNDUP(T810/20,0),"")</f>
        <v/>
      </c>
      <c r="AF810" s="9">
        <f>IF(ROUNDUP(U810/20,0)&gt;ROUNDUP(U809/20,0),"Lần " &amp; ROUNDUP(U810/20,0),"")</f>
        <v/>
      </c>
      <c r="AG810" s="9">
        <f>IF(ROUNDUP(V810/20,0)&gt;ROUNDUP(V809/20,0),"Lần " &amp; ROUNDUP(V810/20,0),"")</f>
        <v/>
      </c>
      <c r="AH810" s="9">
        <f>IF(ROUNDUP(W810/20,0)&gt;ROUNDUP(W809/20,0),"Lần " &amp; ROUNDUP(W810/20,0),"")</f>
        <v/>
      </c>
      <c r="AI810" s="9">
        <f>IF(ROUNDUP(X810/20,0)&gt;ROUNDUP(X809/20,0),"Lần " &amp; ROUNDUP(X810/20,0),"")</f>
        <v/>
      </c>
      <c r="AJ810" s="9">
        <f>IF(ROUNDUP(Y810/20,0)&gt;ROUNDUP(Y809/20,0),"Lần " &amp; ROUNDUP(Y810/20,0),"")</f>
        <v/>
      </c>
      <c r="AK810" s="9">
        <f>IF(ROUNDUP(Z810/20,0)&gt;ROUNDUP(Z809/20,0),"Lần " &amp; ROUNDUP(Z810/20,0),"")</f>
        <v/>
      </c>
      <c r="AL810" s="4" t="n"/>
      <c r="AN810" s="596" t="inlineStr">
        <is>
          <t>HoanThien</t>
        </is>
      </c>
      <c r="AO810" s="596" t="n">
        <v>53</v>
      </c>
      <c r="AQ810" s="594" t="n"/>
      <c r="AR810" s="595" t="n"/>
    </row>
    <row r="811" ht="19" customHeight="1" s="672">
      <c r="A811" s="4" t="n">
        <v>770</v>
      </c>
      <c r="B811" s="5" t="inlineStr">
        <is>
          <t>Gờ lan can BTCT</t>
        </is>
      </c>
      <c r="C811" s="5" t="inlineStr">
        <is>
          <t>Gờ lan can (tr.119)</t>
        </is>
      </c>
      <c r="D811" s="14" t="inlineStr">
        <is>
          <t>G8B</t>
        </is>
      </c>
      <c r="E811" s="15" t="n">
        <v>12</v>
      </c>
      <c r="F811" s="4" t="inlineStr">
        <is>
          <t>CB400-V</t>
        </is>
      </c>
      <c r="G811" s="5" t="inlineStr">
        <is>
          <t>S06</t>
        </is>
      </c>
      <c r="H811" s="16" t="n">
        <v>0.306</v>
      </c>
      <c r="I811" s="17" t="n">
        <v>247</v>
      </c>
      <c r="J811" s="18" t="n">
        <v>0.888</v>
      </c>
      <c r="K811" s="7">
        <f>ROUND(H811*I811*J811, 2)</f>
        <v/>
      </c>
      <c r="L811" s="19">
        <f>ROUND(K811/1000, 3)</f>
        <v/>
      </c>
      <c r="M811" s="728">
        <f>IF(AO811="","",IF(N(INDEX(Theo_Doi_Tan_Suat_Be_Tong!$C:$C,AO811))&lt;=0,"",INDEX(Theo_Doi_Tan_Suat_Be_Tong!$C:$C,AO811)-VLOOKUP(AN811,$AQ$2:$AR$7,2,FALSE)))</f>
        <v/>
      </c>
      <c r="N811" s="4" t="n"/>
      <c r="O811" s="20">
        <f>IF(ROUNDUP(Q811/20,0)&gt;ROUNDUP(Q810/20,0),"TN Ø12 (Lần " &amp; ROUNDUP(Q811/20,0) &amp; ")","")</f>
        <v/>
      </c>
      <c r="P811" s="16">
        <f>ROUND(P810+IF(AND(E811&lt;=10,F811&lt;&gt;"ASTM A416"),L811,0),3)</f>
        <v/>
      </c>
      <c r="Q811" s="16">
        <f>ROUND(Q810+IF(AND(E811=12,F811&lt;&gt;"ASTM A416"),L811,0),3)</f>
        <v/>
      </c>
      <c r="R811" s="16">
        <f>ROUND(R810+IF(AND(E811=14,F811&lt;&gt;"ASTM A416"),L811,0),3)</f>
        <v/>
      </c>
      <c r="S811" s="16">
        <f>ROUND(S810+IF(AND(E811=16,F811&lt;&gt;"ASTM A416"),L811,0),3)</f>
        <v/>
      </c>
      <c r="T811" s="16">
        <f>ROUND(T810+IF(AND(E811=18,F811&lt;&gt;"ASTM A416"),L811,0),3)</f>
        <v/>
      </c>
      <c r="U811" s="16">
        <f>ROUND(U810+IF(AND(E811=20,F811&lt;&gt;"ASTM A416"),L811,0),3)</f>
        <v/>
      </c>
      <c r="V811" s="16">
        <f>ROUND(V810+IF(AND(E811=22,F811&lt;&gt;"ASTM A416"),L811,0),3)</f>
        <v/>
      </c>
      <c r="W811" s="16">
        <f>ROUND(W810+IF(AND(E811=25,F811&lt;&gt;"ASTM A416"),L811,0),3)</f>
        <v/>
      </c>
      <c r="X811" s="16">
        <f>ROUND(X810+IF(AND(E811=28,F811&lt;&gt;"ASTM A416"),L811,0),3)</f>
        <v/>
      </c>
      <c r="Y811" s="16">
        <f>ROUND(Y810+IF(AND(E811=32,F811&lt;&gt;"ASTM A416"),L811,0),3)</f>
        <v/>
      </c>
      <c r="Z811" s="16">
        <f>ROUND(Z810+IF(F811="ASTM A416",L811,0),3)</f>
        <v/>
      </c>
      <c r="AA811" s="9">
        <f>IF(ROUNDUP(P811/20,0)&gt;ROUNDUP(P810/20,0),"Lần " &amp; ROUNDUP(P811/20,0),"")</f>
        <v/>
      </c>
      <c r="AB811" s="9">
        <f>IF(ROUNDUP(Q811/20,0)&gt;ROUNDUP(Q810/20,0),"Lần " &amp; ROUNDUP(Q811/20,0),"")</f>
        <v/>
      </c>
      <c r="AC811" s="9">
        <f>IF(ROUNDUP(R811/20,0)&gt;ROUNDUP(R810/20,0),"Lần " &amp; ROUNDUP(R811/20,0),"")</f>
        <v/>
      </c>
      <c r="AD811" s="9">
        <f>IF(ROUNDUP(S811/20,0)&gt;ROUNDUP(S810/20,0),"Lần " &amp; ROUNDUP(S811/20,0),"")</f>
        <v/>
      </c>
      <c r="AE811" s="9">
        <f>IF(ROUNDUP(T811/20,0)&gt;ROUNDUP(T810/20,0),"Lần " &amp; ROUNDUP(T811/20,0),"")</f>
        <v/>
      </c>
      <c r="AF811" s="9">
        <f>IF(ROUNDUP(U811/20,0)&gt;ROUNDUP(U810/20,0),"Lần " &amp; ROUNDUP(U811/20,0),"")</f>
        <v/>
      </c>
      <c r="AG811" s="9">
        <f>IF(ROUNDUP(V811/20,0)&gt;ROUNDUP(V810/20,0),"Lần " &amp; ROUNDUP(V811/20,0),"")</f>
        <v/>
      </c>
      <c r="AH811" s="9">
        <f>IF(ROUNDUP(W811/20,0)&gt;ROUNDUP(W810/20,0),"Lần " &amp; ROUNDUP(W811/20,0),"")</f>
        <v/>
      </c>
      <c r="AI811" s="9">
        <f>IF(ROUNDUP(X811/20,0)&gt;ROUNDUP(X810/20,0),"Lần " &amp; ROUNDUP(X811/20,0),"")</f>
        <v/>
      </c>
      <c r="AJ811" s="9">
        <f>IF(ROUNDUP(Y811/20,0)&gt;ROUNDUP(Y810/20,0),"Lần " &amp; ROUNDUP(Y811/20,0),"")</f>
        <v/>
      </c>
      <c r="AK811" s="9">
        <f>IF(ROUNDUP(Z811/20,0)&gt;ROUNDUP(Z810/20,0),"Lần " &amp; ROUNDUP(Z811/20,0),"")</f>
        <v/>
      </c>
      <c r="AL811" s="4" t="n"/>
      <c r="AN811" s="596" t="inlineStr">
        <is>
          <t>HoanThien</t>
        </is>
      </c>
      <c r="AO811" s="596" t="n">
        <v>53</v>
      </c>
      <c r="AQ811" s="594" t="n"/>
      <c r="AR811" s="595" t="n"/>
    </row>
    <row r="812" ht="19" customHeight="1" s="672">
      <c r="A812" s="4" t="n">
        <v>771</v>
      </c>
      <c r="B812" s="5" t="inlineStr">
        <is>
          <t>Gờ lan can BTCT</t>
        </is>
      </c>
      <c r="C812" s="5" t="inlineStr">
        <is>
          <t>Gờ lan can (tr.119)</t>
        </is>
      </c>
      <c r="D812" s="14" t="inlineStr">
        <is>
          <t>G8C</t>
        </is>
      </c>
      <c r="E812" s="15" t="n">
        <v>12</v>
      </c>
      <c r="F812" s="4" t="inlineStr">
        <is>
          <t>CB400-V</t>
        </is>
      </c>
      <c r="G812" s="5" t="inlineStr">
        <is>
          <t>S06</t>
        </is>
      </c>
      <c r="H812" s="16" t="n">
        <v>0.417</v>
      </c>
      <c r="I812" s="17" t="n">
        <v>247</v>
      </c>
      <c r="J812" s="18" t="n">
        <v>0.888</v>
      </c>
      <c r="K812" s="7">
        <f>ROUND(H812*I812*J812, 2)</f>
        <v/>
      </c>
      <c r="L812" s="19">
        <f>ROUND(K812/1000, 3)</f>
        <v/>
      </c>
      <c r="M812" s="728">
        <f>IF(AO812="","",IF(N(INDEX(Theo_Doi_Tan_Suat_Be_Tong!$C:$C,AO812))&lt;=0,"",INDEX(Theo_Doi_Tan_Suat_Be_Tong!$C:$C,AO812)-VLOOKUP(AN812,$AQ$2:$AR$7,2,FALSE)))</f>
        <v/>
      </c>
      <c r="N812" s="4" t="n"/>
      <c r="O812" s="20">
        <f>IF(ROUNDUP(Q812/20,0)&gt;ROUNDUP(Q811/20,0),"TN Ø12 (Lần " &amp; ROUNDUP(Q812/20,0) &amp; ")","")</f>
        <v/>
      </c>
      <c r="P812" s="16">
        <f>ROUND(P811+IF(AND(E812&lt;=10,F812&lt;&gt;"ASTM A416"),L812,0),3)</f>
        <v/>
      </c>
      <c r="Q812" s="16">
        <f>ROUND(Q811+IF(AND(E812=12,F812&lt;&gt;"ASTM A416"),L812,0),3)</f>
        <v/>
      </c>
      <c r="R812" s="16">
        <f>ROUND(R811+IF(AND(E812=14,F812&lt;&gt;"ASTM A416"),L812,0),3)</f>
        <v/>
      </c>
      <c r="S812" s="16">
        <f>ROUND(S811+IF(AND(E812=16,F812&lt;&gt;"ASTM A416"),L812,0),3)</f>
        <v/>
      </c>
      <c r="T812" s="16">
        <f>ROUND(T811+IF(AND(E812=18,F812&lt;&gt;"ASTM A416"),L812,0),3)</f>
        <v/>
      </c>
      <c r="U812" s="16">
        <f>ROUND(U811+IF(AND(E812=20,F812&lt;&gt;"ASTM A416"),L812,0),3)</f>
        <v/>
      </c>
      <c r="V812" s="16">
        <f>ROUND(V811+IF(AND(E812=22,F812&lt;&gt;"ASTM A416"),L812,0),3)</f>
        <v/>
      </c>
      <c r="W812" s="16">
        <f>ROUND(W811+IF(AND(E812=25,F812&lt;&gt;"ASTM A416"),L812,0),3)</f>
        <v/>
      </c>
      <c r="X812" s="16">
        <f>ROUND(X811+IF(AND(E812=28,F812&lt;&gt;"ASTM A416"),L812,0),3)</f>
        <v/>
      </c>
      <c r="Y812" s="16">
        <f>ROUND(Y811+IF(AND(E812=32,F812&lt;&gt;"ASTM A416"),L812,0),3)</f>
        <v/>
      </c>
      <c r="Z812" s="16">
        <f>ROUND(Z811+IF(F812="ASTM A416",L812,0),3)</f>
        <v/>
      </c>
      <c r="AA812" s="9">
        <f>IF(ROUNDUP(P812/20,0)&gt;ROUNDUP(P811/20,0),"Lần " &amp; ROUNDUP(P812/20,0),"")</f>
        <v/>
      </c>
      <c r="AB812" s="9">
        <f>IF(ROUNDUP(Q812/20,0)&gt;ROUNDUP(Q811/20,0),"Lần " &amp; ROUNDUP(Q812/20,0),"")</f>
        <v/>
      </c>
      <c r="AC812" s="9">
        <f>IF(ROUNDUP(R812/20,0)&gt;ROUNDUP(R811/20,0),"Lần " &amp; ROUNDUP(R812/20,0),"")</f>
        <v/>
      </c>
      <c r="AD812" s="9">
        <f>IF(ROUNDUP(S812/20,0)&gt;ROUNDUP(S811/20,0),"Lần " &amp; ROUNDUP(S812/20,0),"")</f>
        <v/>
      </c>
      <c r="AE812" s="9">
        <f>IF(ROUNDUP(T812/20,0)&gt;ROUNDUP(T811/20,0),"Lần " &amp; ROUNDUP(T812/20,0),"")</f>
        <v/>
      </c>
      <c r="AF812" s="9">
        <f>IF(ROUNDUP(U812/20,0)&gt;ROUNDUP(U811/20,0),"Lần " &amp; ROUNDUP(U812/20,0),"")</f>
        <v/>
      </c>
      <c r="AG812" s="9">
        <f>IF(ROUNDUP(V812/20,0)&gt;ROUNDUP(V811/20,0),"Lần " &amp; ROUNDUP(V812/20,0),"")</f>
        <v/>
      </c>
      <c r="AH812" s="9">
        <f>IF(ROUNDUP(W812/20,0)&gt;ROUNDUP(W811/20,0),"Lần " &amp; ROUNDUP(W812/20,0),"")</f>
        <v/>
      </c>
      <c r="AI812" s="9">
        <f>IF(ROUNDUP(X812/20,0)&gt;ROUNDUP(X811/20,0),"Lần " &amp; ROUNDUP(X812/20,0),"")</f>
        <v/>
      </c>
      <c r="AJ812" s="9">
        <f>IF(ROUNDUP(Y812/20,0)&gt;ROUNDUP(Y811/20,0),"Lần " &amp; ROUNDUP(Y812/20,0),"")</f>
        <v/>
      </c>
      <c r="AK812" s="9">
        <f>IF(ROUNDUP(Z812/20,0)&gt;ROUNDUP(Z811/20,0),"Lần " &amp; ROUNDUP(Z812/20,0),"")</f>
        <v/>
      </c>
      <c r="AL812" s="4" t="n"/>
      <c r="AN812" s="596" t="inlineStr">
        <is>
          <t>HoanThien</t>
        </is>
      </c>
      <c r="AO812" s="596" t="n">
        <v>53</v>
      </c>
      <c r="AQ812" s="594" t="n"/>
      <c r="AR812" s="595" t="n"/>
    </row>
    <row r="813" ht="19" customHeight="1" s="672">
      <c r="A813" s="4" t="n">
        <v>772</v>
      </c>
      <c r="B813" s="5" t="inlineStr">
        <is>
          <t>Gờ lan can BTCT</t>
        </is>
      </c>
      <c r="C813" s="5" t="inlineStr">
        <is>
          <t>Gờ lan can (tr.119)</t>
        </is>
      </c>
      <c r="D813" s="14" t="inlineStr">
        <is>
          <t>G5A</t>
        </is>
      </c>
      <c r="E813" s="15" t="n">
        <v>14</v>
      </c>
      <c r="F813" s="4" t="inlineStr">
        <is>
          <t>CB400-V</t>
        </is>
      </c>
      <c r="G813" s="5" t="inlineStr">
        <is>
          <t>S01</t>
        </is>
      </c>
      <c r="H813" s="16" t="n">
        <v>4.12</v>
      </c>
      <c r="I813" s="17" t="n">
        <v>19</v>
      </c>
      <c r="J813" s="18" t="n">
        <v>1.208</v>
      </c>
      <c r="K813" s="7">
        <f>ROUND(H813*I813*J813, 2)</f>
        <v/>
      </c>
      <c r="L813" s="19">
        <f>ROUND(K813/1000, 3)</f>
        <v/>
      </c>
      <c r="M813" s="728">
        <f>IF(AO813="","",IF(N(INDEX(Theo_Doi_Tan_Suat_Be_Tong!$C:$C,AO813))&lt;=0,"",INDEX(Theo_Doi_Tan_Suat_Be_Tong!$C:$C,AO813)-VLOOKUP(AN813,$AQ$2:$AR$7,2,FALSE)))</f>
        <v/>
      </c>
      <c r="N813" s="4" t="n"/>
      <c r="O813" s="20">
        <f>IF(ROUNDUP(R813/20,0)&gt;ROUNDUP(R812/20,0),"TN Ø14 (Lần " &amp; ROUNDUP(R813/20,0) &amp; ")","")</f>
        <v/>
      </c>
      <c r="P813" s="16">
        <f>ROUND(P812+IF(AND(E813&lt;=10,F813&lt;&gt;"ASTM A416"),L813,0),3)</f>
        <v/>
      </c>
      <c r="Q813" s="16">
        <f>ROUND(Q812+IF(AND(E813=12,F813&lt;&gt;"ASTM A416"),L813,0),3)</f>
        <v/>
      </c>
      <c r="R813" s="16">
        <f>ROUND(R812+IF(AND(E813=14,F813&lt;&gt;"ASTM A416"),L813,0),3)</f>
        <v/>
      </c>
      <c r="S813" s="16">
        <f>ROUND(S812+IF(AND(E813=16,F813&lt;&gt;"ASTM A416"),L813,0),3)</f>
        <v/>
      </c>
      <c r="T813" s="16">
        <f>ROUND(T812+IF(AND(E813=18,F813&lt;&gt;"ASTM A416"),L813,0),3)</f>
        <v/>
      </c>
      <c r="U813" s="16">
        <f>ROUND(U812+IF(AND(E813=20,F813&lt;&gt;"ASTM A416"),L813,0),3)</f>
        <v/>
      </c>
      <c r="V813" s="16">
        <f>ROUND(V812+IF(AND(E813=22,F813&lt;&gt;"ASTM A416"),L813,0),3)</f>
        <v/>
      </c>
      <c r="W813" s="16">
        <f>ROUND(W812+IF(AND(E813=25,F813&lt;&gt;"ASTM A416"),L813,0),3)</f>
        <v/>
      </c>
      <c r="X813" s="16">
        <f>ROUND(X812+IF(AND(E813=28,F813&lt;&gt;"ASTM A416"),L813,0),3)</f>
        <v/>
      </c>
      <c r="Y813" s="16">
        <f>ROUND(Y812+IF(AND(E813=32,F813&lt;&gt;"ASTM A416"),L813,0),3)</f>
        <v/>
      </c>
      <c r="Z813" s="16">
        <f>ROUND(Z812+IF(F813="ASTM A416",L813,0),3)</f>
        <v/>
      </c>
      <c r="AA813" s="9">
        <f>IF(ROUNDUP(P813/20,0)&gt;ROUNDUP(P812/20,0),"Lần " &amp; ROUNDUP(P813/20,0),"")</f>
        <v/>
      </c>
      <c r="AB813" s="9">
        <f>IF(ROUNDUP(Q813/20,0)&gt;ROUNDUP(Q812/20,0),"Lần " &amp; ROUNDUP(Q813/20,0),"")</f>
        <v/>
      </c>
      <c r="AC813" s="9">
        <f>IF(ROUNDUP(R813/20,0)&gt;ROUNDUP(R812/20,0),"Lần " &amp; ROUNDUP(R813/20,0),"")</f>
        <v/>
      </c>
      <c r="AD813" s="9">
        <f>IF(ROUNDUP(S813/20,0)&gt;ROUNDUP(S812/20,0),"Lần " &amp; ROUNDUP(S813/20,0),"")</f>
        <v/>
      </c>
      <c r="AE813" s="9">
        <f>IF(ROUNDUP(T813/20,0)&gt;ROUNDUP(T812/20,0),"Lần " &amp; ROUNDUP(T813/20,0),"")</f>
        <v/>
      </c>
      <c r="AF813" s="9">
        <f>IF(ROUNDUP(U813/20,0)&gt;ROUNDUP(U812/20,0),"Lần " &amp; ROUNDUP(U813/20,0),"")</f>
        <v/>
      </c>
      <c r="AG813" s="9">
        <f>IF(ROUNDUP(V813/20,0)&gt;ROUNDUP(V812/20,0),"Lần " &amp; ROUNDUP(V813/20,0),"")</f>
        <v/>
      </c>
      <c r="AH813" s="9">
        <f>IF(ROUNDUP(W813/20,0)&gt;ROUNDUP(W812/20,0),"Lần " &amp; ROUNDUP(W813/20,0),"")</f>
        <v/>
      </c>
      <c r="AI813" s="9">
        <f>IF(ROUNDUP(X813/20,0)&gt;ROUNDUP(X812/20,0),"Lần " &amp; ROUNDUP(X813/20,0),"")</f>
        <v/>
      </c>
      <c r="AJ813" s="9">
        <f>IF(ROUNDUP(Y813/20,0)&gt;ROUNDUP(Y812/20,0),"Lần " &amp; ROUNDUP(Y813/20,0),"")</f>
        <v/>
      </c>
      <c r="AK813" s="9">
        <f>IF(ROUNDUP(Z813/20,0)&gt;ROUNDUP(Z812/20,0),"Lần " &amp; ROUNDUP(Z813/20,0),"")</f>
        <v/>
      </c>
      <c r="AL813" s="4" t="n"/>
      <c r="AN813" s="596" t="inlineStr">
        <is>
          <t>HoanThien</t>
        </is>
      </c>
      <c r="AO813" s="596" t="n">
        <v>53</v>
      </c>
      <c r="AQ813" s="594" t="n"/>
      <c r="AR813" s="595" t="n"/>
    </row>
    <row r="814" ht="19" customHeight="1" s="672">
      <c r="A814" s="4" t="n">
        <v>773</v>
      </c>
      <c r="B814" s="5" t="inlineStr">
        <is>
          <t>Gờ lan can BTCT</t>
        </is>
      </c>
      <c r="C814" s="5" t="inlineStr">
        <is>
          <t>Gờ lan can (tr.119)</t>
        </is>
      </c>
      <c r="D814" s="14" t="inlineStr">
        <is>
          <t>G6</t>
        </is>
      </c>
      <c r="E814" s="15" t="n">
        <v>20</v>
      </c>
      <c r="F814" s="4" t="inlineStr">
        <is>
          <t>CB400-V</t>
        </is>
      </c>
      <c r="G814" s="5" t="inlineStr">
        <is>
          <t>S57</t>
        </is>
      </c>
      <c r="H814" s="16" t="n">
        <v>2.026</v>
      </c>
      <c r="I814" s="17" t="n">
        <v>28</v>
      </c>
      <c r="J814" s="18" t="n">
        <v>2.466</v>
      </c>
      <c r="K814" s="7">
        <f>ROUND(H814*I814*J814, 2)</f>
        <v/>
      </c>
      <c r="L814" s="19">
        <f>ROUND(K814/1000, 3)</f>
        <v/>
      </c>
      <c r="M814" s="728">
        <f>IF(AO814="","",IF(N(INDEX(Theo_Doi_Tan_Suat_Be_Tong!$C:$C,AO814))&lt;=0,"",INDEX(Theo_Doi_Tan_Suat_Be_Tong!$C:$C,AO814)-VLOOKUP(AN814,$AQ$2:$AR$7,2,FALSE)))</f>
        <v/>
      </c>
      <c r="N814" s="4" t="n"/>
      <c r="O814" s="20">
        <f>IF(ROUNDUP(U814/20,0)&gt;ROUNDUP(U813/20,0),"TN Ø20 (Lần " &amp; ROUNDUP(U814/20,0) &amp; ")","")</f>
        <v/>
      </c>
      <c r="P814" s="16">
        <f>ROUND(P813+IF(AND(E814&lt;=10,F814&lt;&gt;"ASTM A416"),L814,0),3)</f>
        <v/>
      </c>
      <c r="Q814" s="16">
        <f>ROUND(Q813+IF(AND(E814=12,F814&lt;&gt;"ASTM A416"),L814,0),3)</f>
        <v/>
      </c>
      <c r="R814" s="16">
        <f>ROUND(R813+IF(AND(E814=14,F814&lt;&gt;"ASTM A416"),L814,0),3)</f>
        <v/>
      </c>
      <c r="S814" s="16">
        <f>ROUND(S813+IF(AND(E814=16,F814&lt;&gt;"ASTM A416"),L814,0),3)</f>
        <v/>
      </c>
      <c r="T814" s="16">
        <f>ROUND(T813+IF(AND(E814=18,F814&lt;&gt;"ASTM A416"),L814,0),3)</f>
        <v/>
      </c>
      <c r="U814" s="16">
        <f>ROUND(U813+IF(AND(E814=20,F814&lt;&gt;"ASTM A416"),L814,0),3)</f>
        <v/>
      </c>
      <c r="V814" s="16">
        <f>ROUND(V813+IF(AND(E814=22,F814&lt;&gt;"ASTM A416"),L814,0),3)</f>
        <v/>
      </c>
      <c r="W814" s="16">
        <f>ROUND(W813+IF(AND(E814=25,F814&lt;&gt;"ASTM A416"),L814,0),3)</f>
        <v/>
      </c>
      <c r="X814" s="16">
        <f>ROUND(X813+IF(AND(E814=28,F814&lt;&gt;"ASTM A416"),L814,0),3)</f>
        <v/>
      </c>
      <c r="Y814" s="16">
        <f>ROUND(Y813+IF(AND(E814=32,F814&lt;&gt;"ASTM A416"),L814,0),3)</f>
        <v/>
      </c>
      <c r="Z814" s="16">
        <f>ROUND(Z813+IF(F814="ASTM A416",L814,0),3)</f>
        <v/>
      </c>
      <c r="AA814" s="9">
        <f>IF(ROUNDUP(P814/20,0)&gt;ROUNDUP(P813/20,0),"Lần " &amp; ROUNDUP(P814/20,0),"")</f>
        <v/>
      </c>
      <c r="AB814" s="9">
        <f>IF(ROUNDUP(Q814/20,0)&gt;ROUNDUP(Q813/20,0),"Lần " &amp; ROUNDUP(Q814/20,0),"")</f>
        <v/>
      </c>
      <c r="AC814" s="9">
        <f>IF(ROUNDUP(R814/20,0)&gt;ROUNDUP(R813/20,0),"Lần " &amp; ROUNDUP(R814/20,0),"")</f>
        <v/>
      </c>
      <c r="AD814" s="9">
        <f>IF(ROUNDUP(S814/20,0)&gt;ROUNDUP(S813/20,0),"Lần " &amp; ROUNDUP(S814/20,0),"")</f>
        <v/>
      </c>
      <c r="AE814" s="9">
        <f>IF(ROUNDUP(T814/20,0)&gt;ROUNDUP(T813/20,0),"Lần " &amp; ROUNDUP(T814/20,0),"")</f>
        <v/>
      </c>
      <c r="AF814" s="9">
        <f>IF(ROUNDUP(U814/20,0)&gt;ROUNDUP(U813/20,0),"Lần " &amp; ROUNDUP(U814/20,0),"")</f>
        <v/>
      </c>
      <c r="AG814" s="9">
        <f>IF(ROUNDUP(V814/20,0)&gt;ROUNDUP(V813/20,0),"Lần " &amp; ROUNDUP(V814/20,0),"")</f>
        <v/>
      </c>
      <c r="AH814" s="9">
        <f>IF(ROUNDUP(W814/20,0)&gt;ROUNDUP(W813/20,0),"Lần " &amp; ROUNDUP(W814/20,0),"")</f>
        <v/>
      </c>
      <c r="AI814" s="9">
        <f>IF(ROUNDUP(X814/20,0)&gt;ROUNDUP(X813/20,0),"Lần " &amp; ROUNDUP(X814/20,0),"")</f>
        <v/>
      </c>
      <c r="AJ814" s="9">
        <f>IF(ROUNDUP(Y814/20,0)&gt;ROUNDUP(Y813/20,0),"Lần " &amp; ROUNDUP(Y814/20,0),"")</f>
        <v/>
      </c>
      <c r="AK814" s="9">
        <f>IF(ROUNDUP(Z814/20,0)&gt;ROUNDUP(Z813/20,0),"Lần " &amp; ROUNDUP(Z814/20,0),"")</f>
        <v/>
      </c>
      <c r="AL814" s="4" t="n"/>
      <c r="AN814" s="596" t="inlineStr">
        <is>
          <t>HoanThien</t>
        </is>
      </c>
      <c r="AO814" s="596" t="n">
        <v>53</v>
      </c>
      <c r="AQ814" s="594" t="n"/>
      <c r="AR814" s="595" t="n"/>
    </row>
    <row r="815" ht="19" customHeight="1" s="672">
      <c r="A815" s="4" t="n">
        <v>774</v>
      </c>
      <c r="B815" s="5" t="inlineStr">
        <is>
          <t>Gờ lan can BTCT</t>
        </is>
      </c>
      <c r="C815" s="5" t="inlineStr">
        <is>
          <t>Gờ lan can (tr.119)</t>
        </is>
      </c>
      <c r="D815" s="14" t="inlineStr">
        <is>
          <t>G7</t>
        </is>
      </c>
      <c r="E815" s="15" t="n">
        <v>14</v>
      </c>
      <c r="F815" s="4" t="inlineStr">
        <is>
          <t>CB400-V</t>
        </is>
      </c>
      <c r="G815" s="5" t="inlineStr">
        <is>
          <t>S29</t>
        </is>
      </c>
      <c r="H815" s="16" t="n">
        <v>1.371</v>
      </c>
      <c r="I815" s="17" t="n">
        <v>28</v>
      </c>
      <c r="J815" s="18" t="n">
        <v>1.208</v>
      </c>
      <c r="K815" s="7">
        <f>ROUND(H815*I815*J815, 2)</f>
        <v/>
      </c>
      <c r="L815" s="19">
        <f>ROUND(K815/1000, 3)</f>
        <v/>
      </c>
      <c r="M815" s="728">
        <f>IF(AO815="","",IF(N(INDEX(Theo_Doi_Tan_Suat_Be_Tong!$C:$C,AO815))&lt;=0,"",INDEX(Theo_Doi_Tan_Suat_Be_Tong!$C:$C,AO815)-VLOOKUP(AN815,$AQ$2:$AR$7,2,FALSE)))</f>
        <v/>
      </c>
      <c r="N815" s="4" t="n"/>
      <c r="O815" s="20">
        <f>IF(ROUNDUP(R815/20,0)&gt;ROUNDUP(R814/20,0),"TN Ø14 (Lần " &amp; ROUNDUP(R815/20,0) &amp; ")","")</f>
        <v/>
      </c>
      <c r="P815" s="16">
        <f>ROUND(P814+IF(AND(E815&lt;=10,F815&lt;&gt;"ASTM A416"),L815,0),3)</f>
        <v/>
      </c>
      <c r="Q815" s="16">
        <f>ROUND(Q814+IF(AND(E815=12,F815&lt;&gt;"ASTM A416"),L815,0),3)</f>
        <v/>
      </c>
      <c r="R815" s="16">
        <f>ROUND(R814+IF(AND(E815=14,F815&lt;&gt;"ASTM A416"),L815,0),3)</f>
        <v/>
      </c>
      <c r="S815" s="16">
        <f>ROUND(S814+IF(AND(E815=16,F815&lt;&gt;"ASTM A416"),L815,0),3)</f>
        <v/>
      </c>
      <c r="T815" s="16">
        <f>ROUND(T814+IF(AND(E815=18,F815&lt;&gt;"ASTM A416"),L815,0),3)</f>
        <v/>
      </c>
      <c r="U815" s="16">
        <f>ROUND(U814+IF(AND(E815=20,F815&lt;&gt;"ASTM A416"),L815,0),3)</f>
        <v/>
      </c>
      <c r="V815" s="16">
        <f>ROUND(V814+IF(AND(E815=22,F815&lt;&gt;"ASTM A416"),L815,0),3)</f>
        <v/>
      </c>
      <c r="W815" s="16">
        <f>ROUND(W814+IF(AND(E815=25,F815&lt;&gt;"ASTM A416"),L815,0),3)</f>
        <v/>
      </c>
      <c r="X815" s="16">
        <f>ROUND(X814+IF(AND(E815=28,F815&lt;&gt;"ASTM A416"),L815,0),3)</f>
        <v/>
      </c>
      <c r="Y815" s="16">
        <f>ROUND(Y814+IF(AND(E815=32,F815&lt;&gt;"ASTM A416"),L815,0),3)</f>
        <v/>
      </c>
      <c r="Z815" s="16">
        <f>ROUND(Z814+IF(F815="ASTM A416",L815,0),3)</f>
        <v/>
      </c>
      <c r="AA815" s="9">
        <f>IF(ROUNDUP(P815/20,0)&gt;ROUNDUP(P814/20,0),"Lần " &amp; ROUNDUP(P815/20,0),"")</f>
        <v/>
      </c>
      <c r="AB815" s="9">
        <f>IF(ROUNDUP(Q815/20,0)&gt;ROUNDUP(Q814/20,0),"Lần " &amp; ROUNDUP(Q815/20,0),"")</f>
        <v/>
      </c>
      <c r="AC815" s="9">
        <f>IF(ROUNDUP(R815/20,0)&gt;ROUNDUP(R814/20,0),"Lần " &amp; ROUNDUP(R815/20,0),"")</f>
        <v/>
      </c>
      <c r="AD815" s="9">
        <f>IF(ROUNDUP(S815/20,0)&gt;ROUNDUP(S814/20,0),"Lần " &amp; ROUNDUP(S815/20,0),"")</f>
        <v/>
      </c>
      <c r="AE815" s="9">
        <f>IF(ROUNDUP(T815/20,0)&gt;ROUNDUP(T814/20,0),"Lần " &amp; ROUNDUP(T815/20,0),"")</f>
        <v/>
      </c>
      <c r="AF815" s="9">
        <f>IF(ROUNDUP(U815/20,0)&gt;ROUNDUP(U814/20,0),"Lần " &amp; ROUNDUP(U815/20,0),"")</f>
        <v/>
      </c>
      <c r="AG815" s="9">
        <f>IF(ROUNDUP(V815/20,0)&gt;ROUNDUP(V814/20,0),"Lần " &amp; ROUNDUP(V815/20,0),"")</f>
        <v/>
      </c>
      <c r="AH815" s="9">
        <f>IF(ROUNDUP(W815/20,0)&gt;ROUNDUP(W814/20,0),"Lần " &amp; ROUNDUP(W815/20,0),"")</f>
        <v/>
      </c>
      <c r="AI815" s="9">
        <f>IF(ROUNDUP(X815/20,0)&gt;ROUNDUP(X814/20,0),"Lần " &amp; ROUNDUP(X815/20,0),"")</f>
        <v/>
      </c>
      <c r="AJ815" s="9">
        <f>IF(ROUNDUP(Y815/20,0)&gt;ROUNDUP(Y814/20,0),"Lần " &amp; ROUNDUP(Y815/20,0),"")</f>
        <v/>
      </c>
      <c r="AK815" s="9">
        <f>IF(ROUNDUP(Z815/20,0)&gt;ROUNDUP(Z814/20,0),"Lần " &amp; ROUNDUP(Z815/20,0),"")</f>
        <v/>
      </c>
      <c r="AL815" s="4" t="n"/>
      <c r="AN815" s="596" t="inlineStr">
        <is>
          <t>HoanThien</t>
        </is>
      </c>
      <c r="AO815" s="596" t="n">
        <v>53</v>
      </c>
      <c r="AQ815" s="594" t="n"/>
      <c r="AR815" s="595" t="n"/>
    </row>
    <row r="816" ht="19" customHeight="1" s="672">
      <c r="A816" s="4" t="n">
        <v>775</v>
      </c>
      <c r="B816" s="5" t="inlineStr">
        <is>
          <t>Gờ lan can BTCT</t>
        </is>
      </c>
      <c r="C816" s="5" t="inlineStr">
        <is>
          <t>Gờ lan can (tr.119)</t>
        </is>
      </c>
      <c r="D816" s="14" t="inlineStr">
        <is>
          <t>G7A</t>
        </is>
      </c>
      <c r="E816" s="15" t="n">
        <v>20</v>
      </c>
      <c r="F816" s="4" t="inlineStr">
        <is>
          <t>CB400-V</t>
        </is>
      </c>
      <c r="G816" s="5" t="inlineStr">
        <is>
          <t>S05</t>
        </is>
      </c>
      <c r="H816" s="16" t="n">
        <v>1.182</v>
      </c>
      <c r="I816" s="17" t="n">
        <v>28</v>
      </c>
      <c r="J816" s="18" t="n">
        <v>2.466</v>
      </c>
      <c r="K816" s="7">
        <f>ROUND(H816*I816*J816, 2)</f>
        <v/>
      </c>
      <c r="L816" s="19">
        <f>ROUND(K816/1000, 3)</f>
        <v/>
      </c>
      <c r="M816" s="728">
        <f>IF(AO816="","",IF(N(INDEX(Theo_Doi_Tan_Suat_Be_Tong!$C:$C,AO816))&lt;=0,"",INDEX(Theo_Doi_Tan_Suat_Be_Tong!$C:$C,AO816)-VLOOKUP(AN816,$AQ$2:$AR$7,2,FALSE)))</f>
        <v/>
      </c>
      <c r="N816" s="4" t="n"/>
      <c r="O816" s="20">
        <f>IF(ROUNDUP(U816/20,0)&gt;ROUNDUP(U815/20,0),"TN Ø20 (Lần " &amp; ROUNDUP(U816/20,0) &amp; ")","")</f>
        <v/>
      </c>
      <c r="P816" s="16">
        <f>ROUND(P815+IF(AND(E816&lt;=10,F816&lt;&gt;"ASTM A416"),L816,0),3)</f>
        <v/>
      </c>
      <c r="Q816" s="16">
        <f>ROUND(Q815+IF(AND(E816=12,F816&lt;&gt;"ASTM A416"),L816,0),3)</f>
        <v/>
      </c>
      <c r="R816" s="16">
        <f>ROUND(R815+IF(AND(E816=14,F816&lt;&gt;"ASTM A416"),L816,0),3)</f>
        <v/>
      </c>
      <c r="S816" s="16">
        <f>ROUND(S815+IF(AND(E816=16,F816&lt;&gt;"ASTM A416"),L816,0),3)</f>
        <v/>
      </c>
      <c r="T816" s="16">
        <f>ROUND(T815+IF(AND(E816=18,F816&lt;&gt;"ASTM A416"),L816,0),3)</f>
        <v/>
      </c>
      <c r="U816" s="16">
        <f>ROUND(U815+IF(AND(E816=20,F816&lt;&gt;"ASTM A416"),L816,0),3)</f>
        <v/>
      </c>
      <c r="V816" s="16">
        <f>ROUND(V815+IF(AND(E816=22,F816&lt;&gt;"ASTM A416"),L816,0),3)</f>
        <v/>
      </c>
      <c r="W816" s="16">
        <f>ROUND(W815+IF(AND(E816=25,F816&lt;&gt;"ASTM A416"),L816,0),3)</f>
        <v/>
      </c>
      <c r="X816" s="16">
        <f>ROUND(X815+IF(AND(E816=28,F816&lt;&gt;"ASTM A416"),L816,0),3)</f>
        <v/>
      </c>
      <c r="Y816" s="16">
        <f>ROUND(Y815+IF(AND(E816=32,F816&lt;&gt;"ASTM A416"),L816,0),3)</f>
        <v/>
      </c>
      <c r="Z816" s="16">
        <f>ROUND(Z815+IF(F816="ASTM A416",L816,0),3)</f>
        <v/>
      </c>
      <c r="AA816" s="9">
        <f>IF(ROUNDUP(P816/20,0)&gt;ROUNDUP(P815/20,0),"Lần " &amp; ROUNDUP(P816/20,0),"")</f>
        <v/>
      </c>
      <c r="AB816" s="9">
        <f>IF(ROUNDUP(Q816/20,0)&gt;ROUNDUP(Q815/20,0),"Lần " &amp; ROUNDUP(Q816/20,0),"")</f>
        <v/>
      </c>
      <c r="AC816" s="9">
        <f>IF(ROUNDUP(R816/20,0)&gt;ROUNDUP(R815/20,0),"Lần " &amp; ROUNDUP(R816/20,0),"")</f>
        <v/>
      </c>
      <c r="AD816" s="9">
        <f>IF(ROUNDUP(S816/20,0)&gt;ROUNDUP(S815/20,0),"Lần " &amp; ROUNDUP(S816/20,0),"")</f>
        <v/>
      </c>
      <c r="AE816" s="9">
        <f>IF(ROUNDUP(T816/20,0)&gt;ROUNDUP(T815/20,0),"Lần " &amp; ROUNDUP(T816/20,0),"")</f>
        <v/>
      </c>
      <c r="AF816" s="9">
        <f>IF(ROUNDUP(U816/20,0)&gt;ROUNDUP(U815/20,0),"Lần " &amp; ROUNDUP(U816/20,0),"")</f>
        <v/>
      </c>
      <c r="AG816" s="9">
        <f>IF(ROUNDUP(V816/20,0)&gt;ROUNDUP(V815/20,0),"Lần " &amp; ROUNDUP(V816/20,0),"")</f>
        <v/>
      </c>
      <c r="AH816" s="9">
        <f>IF(ROUNDUP(W816/20,0)&gt;ROUNDUP(W815/20,0),"Lần " &amp; ROUNDUP(W816/20,0),"")</f>
        <v/>
      </c>
      <c r="AI816" s="9">
        <f>IF(ROUNDUP(X816/20,0)&gt;ROUNDUP(X815/20,0),"Lần " &amp; ROUNDUP(X816/20,0),"")</f>
        <v/>
      </c>
      <c r="AJ816" s="9">
        <f>IF(ROUNDUP(Y816/20,0)&gt;ROUNDUP(Y815/20,0),"Lần " &amp; ROUNDUP(Y816/20,0),"")</f>
        <v/>
      </c>
      <c r="AK816" s="9">
        <f>IF(ROUNDUP(Z816/20,0)&gt;ROUNDUP(Z815/20,0),"Lần " &amp; ROUNDUP(Z816/20,0),"")</f>
        <v/>
      </c>
      <c r="AL816" s="4" t="n"/>
      <c r="AN816" s="596" t="inlineStr">
        <is>
          <t>HoanThien</t>
        </is>
      </c>
      <c r="AO816" s="596" t="n">
        <v>53</v>
      </c>
      <c r="AQ816" s="594" t="n"/>
      <c r="AR816" s="595" t="n"/>
    </row>
    <row r="817" ht="19" customHeight="1" s="672">
      <c r="A817" s="4" t="n">
        <v>776</v>
      </c>
      <c r="B817" s="5" t="inlineStr">
        <is>
          <t>Gờ lan can BTCT</t>
        </is>
      </c>
      <c r="C817" s="5" t="inlineStr">
        <is>
          <t>Gờ lan can (tr.119)</t>
        </is>
      </c>
      <c r="D817" s="14" t="inlineStr">
        <is>
          <t>G8A</t>
        </is>
      </c>
      <c r="E817" s="15" t="n">
        <v>12</v>
      </c>
      <c r="F817" s="4" t="inlineStr">
        <is>
          <t>CB400-V</t>
        </is>
      </c>
      <c r="G817" s="5" t="inlineStr">
        <is>
          <t>S06</t>
        </is>
      </c>
      <c r="H817" s="16" t="n">
        <v>0.26</v>
      </c>
      <c r="I817" s="17" t="n">
        <v>9</v>
      </c>
      <c r="J817" s="18" t="n">
        <v>0.888</v>
      </c>
      <c r="K817" s="7">
        <f>ROUND(H817*I817*J817, 2)</f>
        <v/>
      </c>
      <c r="L817" s="19">
        <f>ROUND(K817/1000, 3)</f>
        <v/>
      </c>
      <c r="M817" s="728">
        <f>IF(AO817="","",IF(N(INDEX(Theo_Doi_Tan_Suat_Be_Tong!$C:$C,AO817))&lt;=0,"",INDEX(Theo_Doi_Tan_Suat_Be_Tong!$C:$C,AO817)-VLOOKUP(AN817,$AQ$2:$AR$7,2,FALSE)))</f>
        <v/>
      </c>
      <c r="N817" s="4" t="n"/>
      <c r="O817" s="20">
        <f>IF(ROUNDUP(Q817/20,0)&gt;ROUNDUP(Q816/20,0),"TN Ø12 (Lần " &amp; ROUNDUP(Q817/20,0) &amp; ")","")</f>
        <v/>
      </c>
      <c r="P817" s="16">
        <f>ROUND(P816+IF(AND(E817&lt;=10,F817&lt;&gt;"ASTM A416"),L817,0),3)</f>
        <v/>
      </c>
      <c r="Q817" s="16">
        <f>ROUND(Q816+IF(AND(E817=12,F817&lt;&gt;"ASTM A416"),L817,0),3)</f>
        <v/>
      </c>
      <c r="R817" s="16">
        <f>ROUND(R816+IF(AND(E817=14,F817&lt;&gt;"ASTM A416"),L817,0),3)</f>
        <v/>
      </c>
      <c r="S817" s="16">
        <f>ROUND(S816+IF(AND(E817=16,F817&lt;&gt;"ASTM A416"),L817,0),3)</f>
        <v/>
      </c>
      <c r="T817" s="16">
        <f>ROUND(T816+IF(AND(E817=18,F817&lt;&gt;"ASTM A416"),L817,0),3)</f>
        <v/>
      </c>
      <c r="U817" s="16">
        <f>ROUND(U816+IF(AND(E817=20,F817&lt;&gt;"ASTM A416"),L817,0),3)</f>
        <v/>
      </c>
      <c r="V817" s="16">
        <f>ROUND(V816+IF(AND(E817=22,F817&lt;&gt;"ASTM A416"),L817,0),3)</f>
        <v/>
      </c>
      <c r="W817" s="16">
        <f>ROUND(W816+IF(AND(E817=25,F817&lt;&gt;"ASTM A416"),L817,0),3)</f>
        <v/>
      </c>
      <c r="X817" s="16">
        <f>ROUND(X816+IF(AND(E817=28,F817&lt;&gt;"ASTM A416"),L817,0),3)</f>
        <v/>
      </c>
      <c r="Y817" s="16">
        <f>ROUND(Y816+IF(AND(E817=32,F817&lt;&gt;"ASTM A416"),L817,0),3)</f>
        <v/>
      </c>
      <c r="Z817" s="16">
        <f>ROUND(Z816+IF(F817="ASTM A416",L817,0),3)</f>
        <v/>
      </c>
      <c r="AA817" s="9">
        <f>IF(ROUNDUP(P817/20,0)&gt;ROUNDUP(P816/20,0),"Lần " &amp; ROUNDUP(P817/20,0),"")</f>
        <v/>
      </c>
      <c r="AB817" s="9">
        <f>IF(ROUNDUP(Q817/20,0)&gt;ROUNDUP(Q816/20,0),"Lần " &amp; ROUNDUP(Q817/20,0),"")</f>
        <v/>
      </c>
      <c r="AC817" s="9">
        <f>IF(ROUNDUP(R817/20,0)&gt;ROUNDUP(R816/20,0),"Lần " &amp; ROUNDUP(R817/20,0),"")</f>
        <v/>
      </c>
      <c r="AD817" s="9">
        <f>IF(ROUNDUP(S817/20,0)&gt;ROUNDUP(S816/20,0),"Lần " &amp; ROUNDUP(S817/20,0),"")</f>
        <v/>
      </c>
      <c r="AE817" s="9">
        <f>IF(ROUNDUP(T817/20,0)&gt;ROUNDUP(T816/20,0),"Lần " &amp; ROUNDUP(T817/20,0),"")</f>
        <v/>
      </c>
      <c r="AF817" s="9">
        <f>IF(ROUNDUP(U817/20,0)&gt;ROUNDUP(U816/20,0),"Lần " &amp; ROUNDUP(U817/20,0),"")</f>
        <v/>
      </c>
      <c r="AG817" s="9">
        <f>IF(ROUNDUP(V817/20,0)&gt;ROUNDUP(V816/20,0),"Lần " &amp; ROUNDUP(V817/20,0),"")</f>
        <v/>
      </c>
      <c r="AH817" s="9">
        <f>IF(ROUNDUP(W817/20,0)&gt;ROUNDUP(W816/20,0),"Lần " &amp; ROUNDUP(W817/20,0),"")</f>
        <v/>
      </c>
      <c r="AI817" s="9">
        <f>IF(ROUNDUP(X817/20,0)&gt;ROUNDUP(X816/20,0),"Lần " &amp; ROUNDUP(X817/20,0),"")</f>
        <v/>
      </c>
      <c r="AJ817" s="9">
        <f>IF(ROUNDUP(Y817/20,0)&gt;ROUNDUP(Y816/20,0),"Lần " &amp; ROUNDUP(Y817/20,0),"")</f>
        <v/>
      </c>
      <c r="AK817" s="9">
        <f>IF(ROUNDUP(Z817/20,0)&gt;ROUNDUP(Z816/20,0),"Lần " &amp; ROUNDUP(Z817/20,0),"")</f>
        <v/>
      </c>
      <c r="AL817" s="4" t="n"/>
      <c r="AN817" s="596" t="inlineStr">
        <is>
          <t>HoanThien</t>
        </is>
      </c>
      <c r="AO817" s="596" t="n">
        <v>53</v>
      </c>
      <c r="AQ817" s="594" t="n"/>
      <c r="AR817" s="595" t="n"/>
    </row>
    <row r="818" ht="19" customHeight="1" s="672">
      <c r="A818" s="4" t="n">
        <v>777</v>
      </c>
      <c r="B818" s="5" t="inlineStr">
        <is>
          <t>Gờ lan can BTCT</t>
        </is>
      </c>
      <c r="C818" s="5" t="inlineStr">
        <is>
          <t>Gờ lan can (tr.119)</t>
        </is>
      </c>
      <c r="D818" s="14" t="inlineStr">
        <is>
          <t>G8B</t>
        </is>
      </c>
      <c r="E818" s="15" t="n">
        <v>12</v>
      </c>
      <c r="F818" s="4" t="inlineStr">
        <is>
          <t>CB400-V</t>
        </is>
      </c>
      <c r="G818" s="5" t="inlineStr">
        <is>
          <t>S06</t>
        </is>
      </c>
      <c r="H818" s="16" t="n">
        <v>0.306</v>
      </c>
      <c r="I818" s="17" t="n">
        <v>9</v>
      </c>
      <c r="J818" s="18" t="n">
        <v>0.888</v>
      </c>
      <c r="K818" s="7">
        <f>ROUND(H818*I818*J818, 2)</f>
        <v/>
      </c>
      <c r="L818" s="19">
        <f>ROUND(K818/1000, 3)</f>
        <v/>
      </c>
      <c r="M818" s="728">
        <f>IF(AO818="","",IF(N(INDEX(Theo_Doi_Tan_Suat_Be_Tong!$C:$C,AO818))&lt;=0,"",INDEX(Theo_Doi_Tan_Suat_Be_Tong!$C:$C,AO818)-VLOOKUP(AN818,$AQ$2:$AR$7,2,FALSE)))</f>
        <v/>
      </c>
      <c r="N818" s="4" t="n"/>
      <c r="O818" s="20">
        <f>IF(ROUNDUP(Q818/20,0)&gt;ROUNDUP(Q817/20,0),"TN Ø12 (Lần " &amp; ROUNDUP(Q818/20,0) &amp; ")","")</f>
        <v/>
      </c>
      <c r="P818" s="16">
        <f>ROUND(P817+IF(AND(E818&lt;=10,F818&lt;&gt;"ASTM A416"),L818,0),3)</f>
        <v/>
      </c>
      <c r="Q818" s="16">
        <f>ROUND(Q817+IF(AND(E818=12,F818&lt;&gt;"ASTM A416"),L818,0),3)</f>
        <v/>
      </c>
      <c r="R818" s="16">
        <f>ROUND(R817+IF(AND(E818=14,F818&lt;&gt;"ASTM A416"),L818,0),3)</f>
        <v/>
      </c>
      <c r="S818" s="16">
        <f>ROUND(S817+IF(AND(E818=16,F818&lt;&gt;"ASTM A416"),L818,0),3)</f>
        <v/>
      </c>
      <c r="T818" s="16">
        <f>ROUND(T817+IF(AND(E818=18,F818&lt;&gt;"ASTM A416"),L818,0),3)</f>
        <v/>
      </c>
      <c r="U818" s="16">
        <f>ROUND(U817+IF(AND(E818=20,F818&lt;&gt;"ASTM A416"),L818,0),3)</f>
        <v/>
      </c>
      <c r="V818" s="16">
        <f>ROUND(V817+IF(AND(E818=22,F818&lt;&gt;"ASTM A416"),L818,0),3)</f>
        <v/>
      </c>
      <c r="W818" s="16">
        <f>ROUND(W817+IF(AND(E818=25,F818&lt;&gt;"ASTM A416"),L818,0),3)</f>
        <v/>
      </c>
      <c r="X818" s="16">
        <f>ROUND(X817+IF(AND(E818=28,F818&lt;&gt;"ASTM A416"),L818,0),3)</f>
        <v/>
      </c>
      <c r="Y818" s="16">
        <f>ROUND(Y817+IF(AND(E818=32,F818&lt;&gt;"ASTM A416"),L818,0),3)</f>
        <v/>
      </c>
      <c r="Z818" s="16">
        <f>ROUND(Z817+IF(F818="ASTM A416",L818,0),3)</f>
        <v/>
      </c>
      <c r="AA818" s="9">
        <f>IF(ROUNDUP(P818/20,0)&gt;ROUNDUP(P817/20,0),"Lần " &amp; ROUNDUP(P818/20,0),"")</f>
        <v/>
      </c>
      <c r="AB818" s="9">
        <f>IF(ROUNDUP(Q818/20,0)&gt;ROUNDUP(Q817/20,0),"Lần " &amp; ROUNDUP(Q818/20,0),"")</f>
        <v/>
      </c>
      <c r="AC818" s="9">
        <f>IF(ROUNDUP(R818/20,0)&gt;ROUNDUP(R817/20,0),"Lần " &amp; ROUNDUP(R818/20,0),"")</f>
        <v/>
      </c>
      <c r="AD818" s="9">
        <f>IF(ROUNDUP(S818/20,0)&gt;ROUNDUP(S817/20,0),"Lần " &amp; ROUNDUP(S818/20,0),"")</f>
        <v/>
      </c>
      <c r="AE818" s="9">
        <f>IF(ROUNDUP(T818/20,0)&gt;ROUNDUP(T817/20,0),"Lần " &amp; ROUNDUP(T818/20,0),"")</f>
        <v/>
      </c>
      <c r="AF818" s="9">
        <f>IF(ROUNDUP(U818/20,0)&gt;ROUNDUP(U817/20,0),"Lần " &amp; ROUNDUP(U818/20,0),"")</f>
        <v/>
      </c>
      <c r="AG818" s="9">
        <f>IF(ROUNDUP(V818/20,0)&gt;ROUNDUP(V817/20,0),"Lần " &amp; ROUNDUP(V818/20,0),"")</f>
        <v/>
      </c>
      <c r="AH818" s="9">
        <f>IF(ROUNDUP(W818/20,0)&gt;ROUNDUP(W817/20,0),"Lần " &amp; ROUNDUP(W818/20,0),"")</f>
        <v/>
      </c>
      <c r="AI818" s="9">
        <f>IF(ROUNDUP(X818/20,0)&gt;ROUNDUP(X817/20,0),"Lần " &amp; ROUNDUP(X818/20,0),"")</f>
        <v/>
      </c>
      <c r="AJ818" s="9">
        <f>IF(ROUNDUP(Y818/20,0)&gt;ROUNDUP(Y817/20,0),"Lần " &amp; ROUNDUP(Y818/20,0),"")</f>
        <v/>
      </c>
      <c r="AK818" s="9">
        <f>IF(ROUNDUP(Z818/20,0)&gt;ROUNDUP(Z817/20,0),"Lần " &amp; ROUNDUP(Z818/20,0),"")</f>
        <v/>
      </c>
      <c r="AL818" s="4" t="n"/>
      <c r="AN818" s="596" t="inlineStr">
        <is>
          <t>HoanThien</t>
        </is>
      </c>
      <c r="AO818" s="596" t="n">
        <v>53</v>
      </c>
      <c r="AQ818" s="594" t="n"/>
      <c r="AR818" s="595" t="n"/>
    </row>
    <row r="819" ht="19" customHeight="1" s="672">
      <c r="A819" s="4" t="n">
        <v>778</v>
      </c>
      <c r="B819" s="5" t="inlineStr">
        <is>
          <t>Gờ lan can BTCT</t>
        </is>
      </c>
      <c r="C819" s="5" t="inlineStr">
        <is>
          <t>Gờ lan can (tr.119)</t>
        </is>
      </c>
      <c r="D819" s="14" t="inlineStr">
        <is>
          <t>G8C</t>
        </is>
      </c>
      <c r="E819" s="15" t="n">
        <v>12</v>
      </c>
      <c r="F819" s="4" t="inlineStr">
        <is>
          <t>CB400-V</t>
        </is>
      </c>
      <c r="G819" s="5" t="inlineStr">
        <is>
          <t>S06</t>
        </is>
      </c>
      <c r="H819" s="16" t="n">
        <v>0.417</v>
      </c>
      <c r="I819" s="17" t="n">
        <v>9</v>
      </c>
      <c r="J819" s="18" t="n">
        <v>0.888</v>
      </c>
      <c r="K819" s="7">
        <f>ROUND(H819*I819*J819, 2)</f>
        <v/>
      </c>
      <c r="L819" s="19">
        <f>ROUND(K819/1000, 3)</f>
        <v/>
      </c>
      <c r="M819" s="728">
        <f>IF(AO819="","",IF(N(INDEX(Theo_Doi_Tan_Suat_Be_Tong!$C:$C,AO819))&lt;=0,"",INDEX(Theo_Doi_Tan_Suat_Be_Tong!$C:$C,AO819)-VLOOKUP(AN819,$AQ$2:$AR$7,2,FALSE)))</f>
        <v/>
      </c>
      <c r="N819" s="4" t="n"/>
      <c r="O819" s="20">
        <f>IF(ROUNDUP(Q819/20,0)&gt;ROUNDUP(Q818/20,0),"TN Ø12 (Lần " &amp; ROUNDUP(Q819/20,0) &amp; ")","")</f>
        <v/>
      </c>
      <c r="P819" s="16">
        <f>ROUND(P818+IF(AND(E819&lt;=10,F819&lt;&gt;"ASTM A416"),L819,0),3)</f>
        <v/>
      </c>
      <c r="Q819" s="16">
        <f>ROUND(Q818+IF(AND(E819=12,F819&lt;&gt;"ASTM A416"),L819,0),3)</f>
        <v/>
      </c>
      <c r="R819" s="16">
        <f>ROUND(R818+IF(AND(E819=14,F819&lt;&gt;"ASTM A416"),L819,0),3)</f>
        <v/>
      </c>
      <c r="S819" s="16">
        <f>ROUND(S818+IF(AND(E819=16,F819&lt;&gt;"ASTM A416"),L819,0),3)</f>
        <v/>
      </c>
      <c r="T819" s="16">
        <f>ROUND(T818+IF(AND(E819=18,F819&lt;&gt;"ASTM A416"),L819,0),3)</f>
        <v/>
      </c>
      <c r="U819" s="16">
        <f>ROUND(U818+IF(AND(E819=20,F819&lt;&gt;"ASTM A416"),L819,0),3)</f>
        <v/>
      </c>
      <c r="V819" s="16">
        <f>ROUND(V818+IF(AND(E819=22,F819&lt;&gt;"ASTM A416"),L819,0),3)</f>
        <v/>
      </c>
      <c r="W819" s="16">
        <f>ROUND(W818+IF(AND(E819=25,F819&lt;&gt;"ASTM A416"),L819,0),3)</f>
        <v/>
      </c>
      <c r="X819" s="16">
        <f>ROUND(X818+IF(AND(E819=28,F819&lt;&gt;"ASTM A416"),L819,0),3)</f>
        <v/>
      </c>
      <c r="Y819" s="16">
        <f>ROUND(Y818+IF(AND(E819=32,F819&lt;&gt;"ASTM A416"),L819,0),3)</f>
        <v/>
      </c>
      <c r="Z819" s="16">
        <f>ROUND(Z818+IF(F819="ASTM A416",L819,0),3)</f>
        <v/>
      </c>
      <c r="AA819" s="9">
        <f>IF(ROUNDUP(P819/20,0)&gt;ROUNDUP(P818/20,0),"Lần " &amp; ROUNDUP(P819/20,0),"")</f>
        <v/>
      </c>
      <c r="AB819" s="9">
        <f>IF(ROUNDUP(Q819/20,0)&gt;ROUNDUP(Q818/20,0),"Lần " &amp; ROUNDUP(Q819/20,0),"")</f>
        <v/>
      </c>
      <c r="AC819" s="9">
        <f>IF(ROUNDUP(R819/20,0)&gt;ROUNDUP(R818/20,0),"Lần " &amp; ROUNDUP(R819/20,0),"")</f>
        <v/>
      </c>
      <c r="AD819" s="9">
        <f>IF(ROUNDUP(S819/20,0)&gt;ROUNDUP(S818/20,0),"Lần " &amp; ROUNDUP(S819/20,0),"")</f>
        <v/>
      </c>
      <c r="AE819" s="9">
        <f>IF(ROUNDUP(T819/20,0)&gt;ROUNDUP(T818/20,0),"Lần " &amp; ROUNDUP(T819/20,0),"")</f>
        <v/>
      </c>
      <c r="AF819" s="9">
        <f>IF(ROUNDUP(U819/20,0)&gt;ROUNDUP(U818/20,0),"Lần " &amp; ROUNDUP(U819/20,0),"")</f>
        <v/>
      </c>
      <c r="AG819" s="9">
        <f>IF(ROUNDUP(V819/20,0)&gt;ROUNDUP(V818/20,0),"Lần " &amp; ROUNDUP(V819/20,0),"")</f>
        <v/>
      </c>
      <c r="AH819" s="9">
        <f>IF(ROUNDUP(W819/20,0)&gt;ROUNDUP(W818/20,0),"Lần " &amp; ROUNDUP(W819/20,0),"")</f>
        <v/>
      </c>
      <c r="AI819" s="9">
        <f>IF(ROUNDUP(X819/20,0)&gt;ROUNDUP(X818/20,0),"Lần " &amp; ROUNDUP(X819/20,0),"")</f>
        <v/>
      </c>
      <c r="AJ819" s="9">
        <f>IF(ROUNDUP(Y819/20,0)&gt;ROUNDUP(Y818/20,0),"Lần " &amp; ROUNDUP(Y819/20,0),"")</f>
        <v/>
      </c>
      <c r="AK819" s="9">
        <f>IF(ROUNDUP(Z819/20,0)&gt;ROUNDUP(Z818/20,0),"Lần " &amp; ROUNDUP(Z819/20,0),"")</f>
        <v/>
      </c>
      <c r="AL819" s="4" t="n"/>
      <c r="AN819" s="596" t="inlineStr">
        <is>
          <t>HoanThien</t>
        </is>
      </c>
      <c r="AO819" s="596" t="n">
        <v>53</v>
      </c>
      <c r="AQ819" s="594" t="n"/>
      <c r="AR819" s="595" t="n"/>
    </row>
    <row r="820" ht="19" customHeight="1" s="672">
      <c r="A820" s="668" t="inlineStr">
        <is>
          <t>--- KHE CO GIÃN ---</t>
        </is>
      </c>
      <c r="B820" s="722" t="n"/>
      <c r="C820" s="722" t="n"/>
      <c r="D820" s="722" t="n"/>
      <c r="E820" s="722" t="n"/>
      <c r="F820" s="722" t="n"/>
      <c r="G820" s="722" t="n"/>
      <c r="H820" s="722" t="n"/>
      <c r="I820" s="722" t="n"/>
      <c r="J820" s="722" t="n"/>
      <c r="K820" s="722" t="n"/>
      <c r="L820" s="722" t="n"/>
      <c r="M820" s="722" t="n"/>
      <c r="N820" s="722" t="n"/>
      <c r="O820" s="722" t="n"/>
      <c r="P820" s="722" t="n"/>
      <c r="Q820" s="722" t="n"/>
      <c r="R820" s="722" t="n"/>
      <c r="S820" s="722" t="n"/>
      <c r="T820" s="722" t="n"/>
      <c r="U820" s="722" t="n"/>
      <c r="V820" s="722" t="n"/>
      <c r="W820" s="722" t="n"/>
      <c r="X820" s="722" t="n"/>
      <c r="Y820" s="722" t="n"/>
      <c r="Z820" s="722" t="n"/>
      <c r="AA820" s="722" t="n"/>
      <c r="AB820" s="722" t="n"/>
      <c r="AC820" s="722" t="n"/>
      <c r="AD820" s="722" t="n"/>
      <c r="AE820" s="722" t="n"/>
      <c r="AF820" s="722" t="n"/>
      <c r="AG820" s="722" t="n"/>
      <c r="AH820" s="722" t="n"/>
      <c r="AI820" s="722" t="n"/>
      <c r="AJ820" s="722" t="n"/>
      <c r="AK820" s="722" t="n"/>
      <c r="AL820" s="721" t="n"/>
      <c r="AQ820" s="594" t="n"/>
      <c r="AR820" s="595" t="n"/>
    </row>
    <row r="821" ht="19" customHeight="1" s="672">
      <c r="A821" s="4" t="n">
        <v>779</v>
      </c>
      <c r="B821" s="5" t="inlineStr">
        <is>
          <t>Khe co giãn</t>
        </is>
      </c>
      <c r="C821" s="5" t="inlineStr">
        <is>
          <t>Khe co giãn (tr.121)</t>
        </is>
      </c>
      <c r="D821" s="14" t="inlineStr">
        <is>
          <t>K1</t>
        </is>
      </c>
      <c r="E821" s="15" t="n">
        <v>16</v>
      </c>
      <c r="F821" s="4" t="inlineStr">
        <is>
          <t>CB400-V</t>
        </is>
      </c>
      <c r="G821" s="5" t="inlineStr"/>
      <c r="H821" s="16" t="n">
        <v>12.39</v>
      </c>
      <c r="I821" s="17" t="n">
        <v>30</v>
      </c>
      <c r="J821" s="18" t="n">
        <v>1.578</v>
      </c>
      <c r="K821" s="7">
        <f>ROUND(H821*I821*J821, 2)</f>
        <v/>
      </c>
      <c r="L821" s="19">
        <f>ROUND(K821/1000, 3)</f>
        <v/>
      </c>
      <c r="M821" s="728">
        <f>IF(AO821="","",IF(N(INDEX(Theo_Doi_Tan_Suat_Be_Tong!$C:$C,AO821))&lt;=0,"",INDEX(Theo_Doi_Tan_Suat_Be_Tong!$C:$C,AO821)-VLOOKUP(AN821,$AQ$2:$AR$7,2,FALSE)))</f>
        <v/>
      </c>
      <c r="N821" s="4" t="n"/>
      <c r="O821" s="20">
        <f>IF(ROUNDUP(S821/20,0)&gt;ROUNDUP(S819/20,0),"TN Ø16 (Lần " &amp; ROUNDUP(S821/20,0) &amp; ")","")</f>
        <v/>
      </c>
      <c r="P821" s="16">
        <f>ROUND(P819+IF(AND(E821&lt;=10,F821&lt;&gt;"ASTM A416"),L821,0),3)</f>
        <v/>
      </c>
      <c r="Q821" s="16">
        <f>ROUND(Q819+IF(AND(E821=12,F821&lt;&gt;"ASTM A416"),L821,0),3)</f>
        <v/>
      </c>
      <c r="R821" s="16">
        <f>ROUND(R819+IF(AND(E821=14,F821&lt;&gt;"ASTM A416"),L821,0),3)</f>
        <v/>
      </c>
      <c r="S821" s="16">
        <f>ROUND(S819+IF(AND(E821=16,F821&lt;&gt;"ASTM A416"),L821,0),3)</f>
        <v/>
      </c>
      <c r="T821" s="16">
        <f>ROUND(T819+IF(AND(E821=18,F821&lt;&gt;"ASTM A416"),L821,0),3)</f>
        <v/>
      </c>
      <c r="U821" s="16">
        <f>ROUND(U819+IF(AND(E821=20,F821&lt;&gt;"ASTM A416"),L821,0),3)</f>
        <v/>
      </c>
      <c r="V821" s="16">
        <f>ROUND(V819+IF(AND(E821=22,F821&lt;&gt;"ASTM A416"),L821,0),3)</f>
        <v/>
      </c>
      <c r="W821" s="16">
        <f>ROUND(W819+IF(AND(E821=25,F821&lt;&gt;"ASTM A416"),L821,0),3)</f>
        <v/>
      </c>
      <c r="X821" s="16">
        <f>ROUND(X819+IF(AND(E821=28,F821&lt;&gt;"ASTM A416"),L821,0),3)</f>
        <v/>
      </c>
      <c r="Y821" s="16">
        <f>ROUND(Y819+IF(AND(E821=32,F821&lt;&gt;"ASTM A416"),L821,0),3)</f>
        <v/>
      </c>
      <c r="Z821" s="16">
        <f>ROUND(Z819+IF(F821="ASTM A416",L821,0),3)</f>
        <v/>
      </c>
      <c r="AA821" s="9">
        <f>IF(ROUNDUP(P821/20,0)&gt;ROUNDUP(P819/20,0),"Lần " &amp; ROUNDUP(P821/20,0),"")</f>
        <v/>
      </c>
      <c r="AB821" s="9">
        <f>IF(ROUNDUP(Q821/20,0)&gt;ROUNDUP(Q819/20,0),"Lần " &amp; ROUNDUP(Q821/20,0),"")</f>
        <v/>
      </c>
      <c r="AC821" s="9">
        <f>IF(ROUNDUP(R821/20,0)&gt;ROUNDUP(R819/20,0),"Lần " &amp; ROUNDUP(R821/20,0),"")</f>
        <v/>
      </c>
      <c r="AD821" s="9">
        <f>IF(ROUNDUP(S821/20,0)&gt;ROUNDUP(S819/20,0),"Lần " &amp; ROUNDUP(S821/20,0),"")</f>
        <v/>
      </c>
      <c r="AE821" s="9">
        <f>IF(ROUNDUP(T821/20,0)&gt;ROUNDUP(T819/20,0),"Lần " &amp; ROUNDUP(T821/20,0),"")</f>
        <v/>
      </c>
      <c r="AF821" s="9">
        <f>IF(ROUNDUP(U821/20,0)&gt;ROUNDUP(U819/20,0),"Lần " &amp; ROUNDUP(U821/20,0),"")</f>
        <v/>
      </c>
      <c r="AG821" s="9">
        <f>IF(ROUNDUP(V821/20,0)&gt;ROUNDUP(V819/20,0),"Lần " &amp; ROUNDUP(V821/20,0),"")</f>
        <v/>
      </c>
      <c r="AH821" s="9">
        <f>IF(ROUNDUP(W821/20,0)&gt;ROUNDUP(W819/20,0),"Lần " &amp; ROUNDUP(W821/20,0),"")</f>
        <v/>
      </c>
      <c r="AI821" s="9">
        <f>IF(ROUNDUP(X821/20,0)&gt;ROUNDUP(X819/20,0),"Lần " &amp; ROUNDUP(X821/20,0),"")</f>
        <v/>
      </c>
      <c r="AJ821" s="9">
        <f>IF(ROUNDUP(Y821/20,0)&gt;ROUNDUP(Y819/20,0),"Lần " &amp; ROUNDUP(Y821/20,0),"")</f>
        <v/>
      </c>
      <c r="AK821" s="9">
        <f>IF(ROUNDUP(Z821/20,0)&gt;ROUNDUP(Z819/20,0),"Lần " &amp; ROUNDUP(Z821/20,0),"")</f>
        <v/>
      </c>
      <c r="AL821" s="4" t="n"/>
      <c r="AN821" s="596" t="inlineStr">
        <is>
          <t>HoanThien</t>
        </is>
      </c>
      <c r="AO821" s="596" t="n">
        <v>86</v>
      </c>
      <c r="AQ821" s="594" t="n"/>
      <c r="AR821" s="595" t="n"/>
    </row>
    <row r="822" ht="19" customHeight="1" s="672">
      <c r="A822" s="4" t="n">
        <v>780</v>
      </c>
      <c r="B822" s="5" t="inlineStr">
        <is>
          <t>Khe co giãn</t>
        </is>
      </c>
      <c r="C822" s="5" t="inlineStr">
        <is>
          <t>Khe co giãn (tr.121)</t>
        </is>
      </c>
      <c r="D822" s="14" t="inlineStr">
        <is>
          <t>K2</t>
        </is>
      </c>
      <c r="E822" s="15" t="n">
        <v>16</v>
      </c>
      <c r="F822" s="4" t="inlineStr">
        <is>
          <t>CB400-V</t>
        </is>
      </c>
      <c r="G822" s="5" t="inlineStr"/>
      <c r="H822" s="16" t="n">
        <v>1.06</v>
      </c>
      <c r="I822" s="17" t="n">
        <v>312</v>
      </c>
      <c r="J822" s="18" t="n">
        <v>1.578</v>
      </c>
      <c r="K822" s="7">
        <f>ROUND(H822*I822*J822, 2)</f>
        <v/>
      </c>
      <c r="L822" s="19">
        <f>ROUND(K822/1000, 3)</f>
        <v/>
      </c>
      <c r="M822" s="728">
        <f>IF(AO822="","",IF(N(INDEX(Theo_Doi_Tan_Suat_Be_Tong!$C:$C,AO822))&lt;=0,"",INDEX(Theo_Doi_Tan_Suat_Be_Tong!$C:$C,AO822)-VLOOKUP(AN822,$AQ$2:$AR$7,2,FALSE)))</f>
        <v/>
      </c>
      <c r="N822" s="4" t="n"/>
      <c r="O822" s="20">
        <f>IF(ROUNDUP(S822/20,0)&gt;ROUNDUP(S821/20,0),"TN Ø16 (Lần " &amp; ROUNDUP(S822/20,0) &amp; ")","")</f>
        <v/>
      </c>
      <c r="P822" s="16">
        <f>ROUND(P821+IF(AND(E822&lt;=10,F822&lt;&gt;"ASTM A416"),L822,0),3)</f>
        <v/>
      </c>
      <c r="Q822" s="16">
        <f>ROUND(Q821+IF(AND(E822=12,F822&lt;&gt;"ASTM A416"),L822,0),3)</f>
        <v/>
      </c>
      <c r="R822" s="16">
        <f>ROUND(R821+IF(AND(E822=14,F822&lt;&gt;"ASTM A416"),L822,0),3)</f>
        <v/>
      </c>
      <c r="S822" s="16">
        <f>ROUND(S821+IF(AND(E822=16,F822&lt;&gt;"ASTM A416"),L822,0),3)</f>
        <v/>
      </c>
      <c r="T822" s="16">
        <f>ROUND(T821+IF(AND(E822=18,F822&lt;&gt;"ASTM A416"),L822,0),3)</f>
        <v/>
      </c>
      <c r="U822" s="16">
        <f>ROUND(U821+IF(AND(E822=20,F822&lt;&gt;"ASTM A416"),L822,0),3)</f>
        <v/>
      </c>
      <c r="V822" s="16">
        <f>ROUND(V821+IF(AND(E822=22,F822&lt;&gt;"ASTM A416"),L822,0),3)</f>
        <v/>
      </c>
      <c r="W822" s="16">
        <f>ROUND(W821+IF(AND(E822=25,F822&lt;&gt;"ASTM A416"),L822,0),3)</f>
        <v/>
      </c>
      <c r="X822" s="16">
        <f>ROUND(X821+IF(AND(E822=28,F822&lt;&gt;"ASTM A416"),L822,0),3)</f>
        <v/>
      </c>
      <c r="Y822" s="16">
        <f>ROUND(Y821+IF(AND(E822=32,F822&lt;&gt;"ASTM A416"),L822,0),3)</f>
        <v/>
      </c>
      <c r="Z822" s="16">
        <f>ROUND(Z821+IF(F822="ASTM A416",L822,0),3)</f>
        <v/>
      </c>
      <c r="AA822" s="9">
        <f>IF(ROUNDUP(P822/20,0)&gt;ROUNDUP(P821/20,0),"Lần " &amp; ROUNDUP(P822/20,0),"")</f>
        <v/>
      </c>
      <c r="AB822" s="9">
        <f>IF(ROUNDUP(Q822/20,0)&gt;ROUNDUP(Q821/20,0),"Lần " &amp; ROUNDUP(Q822/20,0),"")</f>
        <v/>
      </c>
      <c r="AC822" s="9">
        <f>IF(ROUNDUP(R822/20,0)&gt;ROUNDUP(R821/20,0),"Lần " &amp; ROUNDUP(R822/20,0),"")</f>
        <v/>
      </c>
      <c r="AD822" s="9">
        <f>IF(ROUNDUP(S822/20,0)&gt;ROUNDUP(S821/20,0),"Lần " &amp; ROUNDUP(S822/20,0),"")</f>
        <v/>
      </c>
      <c r="AE822" s="9">
        <f>IF(ROUNDUP(T822/20,0)&gt;ROUNDUP(T821/20,0),"Lần " &amp; ROUNDUP(T822/20,0),"")</f>
        <v/>
      </c>
      <c r="AF822" s="9">
        <f>IF(ROUNDUP(U822/20,0)&gt;ROUNDUP(U821/20,0),"Lần " &amp; ROUNDUP(U822/20,0),"")</f>
        <v/>
      </c>
      <c r="AG822" s="9">
        <f>IF(ROUNDUP(V822/20,0)&gt;ROUNDUP(V821/20,0),"Lần " &amp; ROUNDUP(V822/20,0),"")</f>
        <v/>
      </c>
      <c r="AH822" s="9">
        <f>IF(ROUNDUP(W822/20,0)&gt;ROUNDUP(W821/20,0),"Lần " &amp; ROUNDUP(W822/20,0),"")</f>
        <v/>
      </c>
      <c r="AI822" s="9">
        <f>IF(ROUNDUP(X822/20,0)&gt;ROUNDUP(X821/20,0),"Lần " &amp; ROUNDUP(X822/20,0),"")</f>
        <v/>
      </c>
      <c r="AJ822" s="9">
        <f>IF(ROUNDUP(Y822/20,0)&gt;ROUNDUP(Y821/20,0),"Lần " &amp; ROUNDUP(Y822/20,0),"")</f>
        <v/>
      </c>
      <c r="AK822" s="9">
        <f>IF(ROUNDUP(Z822/20,0)&gt;ROUNDUP(Z821/20,0),"Lần " &amp; ROUNDUP(Z822/20,0),"")</f>
        <v/>
      </c>
      <c r="AL822" s="4" t="n"/>
      <c r="AN822" s="596" t="inlineStr">
        <is>
          <t>HoanThien</t>
        </is>
      </c>
      <c r="AO822" s="596" t="n">
        <v>86</v>
      </c>
      <c r="AQ822" s="594" t="n"/>
      <c r="AR822" s="595" t="n"/>
    </row>
    <row r="823" ht="19" customHeight="1" s="672">
      <c r="A823" s="4" t="n">
        <v>781</v>
      </c>
      <c r="B823" s="5" t="inlineStr">
        <is>
          <t>Khe co giãn</t>
        </is>
      </c>
      <c r="C823" s="5" t="inlineStr">
        <is>
          <t>Khe co giãn (tr.121)</t>
        </is>
      </c>
      <c r="D823" s="14" t="inlineStr">
        <is>
          <t>K3</t>
        </is>
      </c>
      <c r="E823" s="15" t="n">
        <v>16</v>
      </c>
      <c r="F823" s="4" t="inlineStr">
        <is>
          <t>CB400-V</t>
        </is>
      </c>
      <c r="G823" s="5" t="inlineStr"/>
      <c r="H823" s="16" t="n">
        <v>1.02</v>
      </c>
      <c r="I823" s="17" t="n">
        <v>156</v>
      </c>
      <c r="J823" s="18" t="n">
        <v>1.578</v>
      </c>
      <c r="K823" s="7">
        <f>ROUND(H823*I823*J823, 2)</f>
        <v/>
      </c>
      <c r="L823" s="19">
        <f>ROUND(K823/1000, 3)</f>
        <v/>
      </c>
      <c r="M823" s="728">
        <f>IF(AO823="","",IF(N(INDEX(Theo_Doi_Tan_Suat_Be_Tong!$C:$C,AO823))&lt;=0,"",INDEX(Theo_Doi_Tan_Suat_Be_Tong!$C:$C,AO823)-VLOOKUP(AN823,$AQ$2:$AR$7,2,FALSE)))</f>
        <v/>
      </c>
      <c r="N823" s="4" t="n"/>
      <c r="O823" s="20">
        <f>IF(ROUNDUP(S823/20,0)&gt;ROUNDUP(S822/20,0),"TN Ø16 (Lần " &amp; ROUNDUP(S823/20,0) &amp; ")","")</f>
        <v/>
      </c>
      <c r="P823" s="16">
        <f>ROUND(P822+IF(AND(E823&lt;=10,F823&lt;&gt;"ASTM A416"),L823,0),3)</f>
        <v/>
      </c>
      <c r="Q823" s="16">
        <f>ROUND(Q822+IF(AND(E823=12,F823&lt;&gt;"ASTM A416"),L823,0),3)</f>
        <v/>
      </c>
      <c r="R823" s="16">
        <f>ROUND(R822+IF(AND(E823=14,F823&lt;&gt;"ASTM A416"),L823,0),3)</f>
        <v/>
      </c>
      <c r="S823" s="16">
        <f>ROUND(S822+IF(AND(E823=16,F823&lt;&gt;"ASTM A416"),L823,0),3)</f>
        <v/>
      </c>
      <c r="T823" s="16">
        <f>ROUND(T822+IF(AND(E823=18,F823&lt;&gt;"ASTM A416"),L823,0),3)</f>
        <v/>
      </c>
      <c r="U823" s="16">
        <f>ROUND(U822+IF(AND(E823=20,F823&lt;&gt;"ASTM A416"),L823,0),3)</f>
        <v/>
      </c>
      <c r="V823" s="16">
        <f>ROUND(V822+IF(AND(E823=22,F823&lt;&gt;"ASTM A416"),L823,0),3)</f>
        <v/>
      </c>
      <c r="W823" s="16">
        <f>ROUND(W822+IF(AND(E823=25,F823&lt;&gt;"ASTM A416"),L823,0),3)</f>
        <v/>
      </c>
      <c r="X823" s="16">
        <f>ROUND(X822+IF(AND(E823=28,F823&lt;&gt;"ASTM A416"),L823,0),3)</f>
        <v/>
      </c>
      <c r="Y823" s="16">
        <f>ROUND(Y822+IF(AND(E823=32,F823&lt;&gt;"ASTM A416"),L823,0),3)</f>
        <v/>
      </c>
      <c r="Z823" s="16">
        <f>ROUND(Z822+IF(F823="ASTM A416",L823,0),3)</f>
        <v/>
      </c>
      <c r="AA823" s="9">
        <f>IF(ROUNDUP(P823/20,0)&gt;ROUNDUP(P822/20,0),"Lần " &amp; ROUNDUP(P823/20,0),"")</f>
        <v/>
      </c>
      <c r="AB823" s="9">
        <f>IF(ROUNDUP(Q823/20,0)&gt;ROUNDUP(Q822/20,0),"Lần " &amp; ROUNDUP(Q823/20,0),"")</f>
        <v/>
      </c>
      <c r="AC823" s="9">
        <f>IF(ROUNDUP(R823/20,0)&gt;ROUNDUP(R822/20,0),"Lần " &amp; ROUNDUP(R823/20,0),"")</f>
        <v/>
      </c>
      <c r="AD823" s="9">
        <f>IF(ROUNDUP(S823/20,0)&gt;ROUNDUP(S822/20,0),"Lần " &amp; ROUNDUP(S823/20,0),"")</f>
        <v/>
      </c>
      <c r="AE823" s="9">
        <f>IF(ROUNDUP(T823/20,0)&gt;ROUNDUP(T822/20,0),"Lần " &amp; ROUNDUP(T823/20,0),"")</f>
        <v/>
      </c>
      <c r="AF823" s="9">
        <f>IF(ROUNDUP(U823/20,0)&gt;ROUNDUP(U822/20,0),"Lần " &amp; ROUNDUP(U823/20,0),"")</f>
        <v/>
      </c>
      <c r="AG823" s="9">
        <f>IF(ROUNDUP(V823/20,0)&gt;ROUNDUP(V822/20,0),"Lần " &amp; ROUNDUP(V823/20,0),"")</f>
        <v/>
      </c>
      <c r="AH823" s="9">
        <f>IF(ROUNDUP(W823/20,0)&gt;ROUNDUP(W822/20,0),"Lần " &amp; ROUNDUP(W823/20,0),"")</f>
        <v/>
      </c>
      <c r="AI823" s="9">
        <f>IF(ROUNDUP(X823/20,0)&gt;ROUNDUP(X822/20,0),"Lần " &amp; ROUNDUP(X823/20,0),"")</f>
        <v/>
      </c>
      <c r="AJ823" s="9">
        <f>IF(ROUNDUP(Y823/20,0)&gt;ROUNDUP(Y822/20,0),"Lần " &amp; ROUNDUP(Y823/20,0),"")</f>
        <v/>
      </c>
      <c r="AK823" s="9">
        <f>IF(ROUNDUP(Z823/20,0)&gt;ROUNDUP(Z822/20,0),"Lần " &amp; ROUNDUP(Z823/20,0),"")</f>
        <v/>
      </c>
      <c r="AL823" s="4" t="n"/>
      <c r="AN823" s="596" t="inlineStr">
        <is>
          <t>HoanThien</t>
        </is>
      </c>
      <c r="AO823" s="596" t="n">
        <v>86</v>
      </c>
      <c r="AQ823" s="594" t="n"/>
      <c r="AR823" s="595" t="n"/>
    </row>
    <row r="824" ht="19" customHeight="1" s="672">
      <c r="A824" s="668" t="inlineStr">
        <is>
          <t>TỔNG CỘNG KHỐI LƯỢNG CỐT THÉP &amp; CÁP DƯL TOÀN BỘ CÔNG TRÌNH (theo BBS đã sửa theo bản vẽ)</t>
        </is>
      </c>
      <c r="B824" s="722" t="n"/>
      <c r="C824" s="722" t="n"/>
      <c r="D824" s="722" t="n"/>
      <c r="E824" s="722" t="n"/>
      <c r="F824" s="722" t="n"/>
      <c r="G824" s="722" t="n"/>
      <c r="H824" s="722" t="n"/>
      <c r="I824" s="722" t="n"/>
      <c r="J824" s="722" t="n"/>
      <c r="K824" s="722">
        <f>SUM(K4:K823)</f>
        <v/>
      </c>
      <c r="L824" s="722">
        <f>SUM(L4:L823)</f>
        <v/>
      </c>
      <c r="M824" s="722" t="n"/>
      <c r="N824" s="722" t="n"/>
      <c r="O824" s="722" t="n"/>
      <c r="P824" s="722">
        <f>P823</f>
        <v/>
      </c>
      <c r="Q824" s="722">
        <f>Q823</f>
        <v/>
      </c>
      <c r="R824" s="722">
        <f>R823</f>
        <v/>
      </c>
      <c r="S824" s="722">
        <f>S823</f>
        <v/>
      </c>
      <c r="T824" s="722">
        <f>T823</f>
        <v/>
      </c>
      <c r="U824" s="722">
        <f>U823</f>
        <v/>
      </c>
      <c r="V824" s="722">
        <f>V823</f>
        <v/>
      </c>
      <c r="W824" s="722">
        <f>W823</f>
        <v/>
      </c>
      <c r="X824" s="722">
        <f>X823</f>
        <v/>
      </c>
      <c r="Y824" s="722">
        <f>Y823</f>
        <v/>
      </c>
      <c r="Z824" s="722">
        <f>Z823</f>
        <v/>
      </c>
      <c r="AA824" s="722">
        <f>"Tổng: " &amp; ROUNDUP(P823/20,0) &amp; " lần"</f>
        <v/>
      </c>
      <c r="AB824" s="722">
        <f>"Tổng: " &amp; ROUNDUP(Q823/20,0) &amp; " lần"</f>
        <v/>
      </c>
      <c r="AC824" s="722">
        <f>"Tổng: " &amp; ROUNDUP(R823/20,0) &amp; " lần"</f>
        <v/>
      </c>
      <c r="AD824" s="722">
        <f>"Tổng: " &amp; ROUNDUP(S823/20,0) &amp; " lần"</f>
        <v/>
      </c>
      <c r="AE824" s="722">
        <f>"Tổng: " &amp; ROUNDUP(T823/20,0) &amp; " lần"</f>
        <v/>
      </c>
      <c r="AF824" s="722">
        <f>"Tổng: " &amp; ROUNDUP(U823/20,0) &amp; " lần"</f>
        <v/>
      </c>
      <c r="AG824" s="722">
        <f>"Tổng: " &amp; ROUNDUP(V823/20,0) &amp; " lần"</f>
        <v/>
      </c>
      <c r="AH824" s="722">
        <f>"Tổng: " &amp; ROUNDUP(W823/20,0) &amp; " lần"</f>
        <v/>
      </c>
      <c r="AI824" s="722">
        <f>"Tổng: " &amp; ROUNDUP(X823/20,0) &amp; " lần"</f>
        <v/>
      </c>
      <c r="AJ824" s="722">
        <f>"Tổng: " &amp; ROUNDUP(Y823/20,0) &amp; " lần"</f>
        <v/>
      </c>
      <c r="AK824" s="722">
        <f>"Tổng: " &amp; ROUNDUP(Z823/20,0) &amp; " lần"</f>
        <v/>
      </c>
      <c r="AL824" s="721" t="n"/>
      <c r="AQ824" s="594" t="n"/>
      <c r="AR824" s="595" t="n"/>
    </row>
    <row r="825" ht="19" customHeight="1" s="672"/>
    <row r="826" ht="19" customHeight="1" s="672"/>
    <row r="827" ht="19" customHeight="1" s="672"/>
    <row r="828" ht="19" customHeight="1" s="672"/>
    <row r="829" ht="20" customHeight="1" s="672"/>
    <row r="830" ht="19" customHeight="1" s="672"/>
    <row r="831" ht="19" customHeight="1" s="672"/>
    <row r="832" ht="26" customHeight="1" s="672"/>
  </sheetData>
  <autoFilter ref="A2:AL832"/>
  <mergeCells count="58">
    <mergeCell ref="A147:AL147"/>
    <mergeCell ref="A621:AL621"/>
    <mergeCell ref="A19:AL19"/>
    <mergeCell ref="A115:AL115"/>
    <mergeCell ref="A295:AL295"/>
    <mergeCell ref="A211:AL211"/>
    <mergeCell ref="C1:C2"/>
    <mergeCell ref="A67:AL67"/>
    <mergeCell ref="E1:E2"/>
    <mergeCell ref="P1:Z1"/>
    <mergeCell ref="K1:K2"/>
    <mergeCell ref="AA1:AK1"/>
    <mergeCell ref="A83:AL83"/>
    <mergeCell ref="M1:M2"/>
    <mergeCell ref="O1:O2"/>
    <mergeCell ref="A605:AL605"/>
    <mergeCell ref="A820:AL820"/>
    <mergeCell ref="A757:AL757"/>
    <mergeCell ref="A51:AL51"/>
    <mergeCell ref="A349:AL349"/>
    <mergeCell ref="A430:AL430"/>
    <mergeCell ref="A589:AL589"/>
    <mergeCell ref="B1:B2"/>
    <mergeCell ref="A532:AL532"/>
    <mergeCell ref="L1:L2"/>
    <mergeCell ref="A367:AL367"/>
    <mergeCell ref="N1:N2"/>
    <mergeCell ref="A516:AL516"/>
    <mergeCell ref="A227:AL227"/>
    <mergeCell ref="A243:AL243"/>
    <mergeCell ref="A99:AL99"/>
    <mergeCell ref="A277:AL277"/>
    <mergeCell ref="A664:AL664"/>
    <mergeCell ref="A400:AL400"/>
    <mergeCell ref="A447:AL447"/>
    <mergeCell ref="G1:G2"/>
    <mergeCell ref="A385:AL385"/>
    <mergeCell ref="A3:AL3"/>
    <mergeCell ref="I1:I2"/>
    <mergeCell ref="A1:A2"/>
    <mergeCell ref="A163:AL163"/>
    <mergeCell ref="AL1:AL2"/>
    <mergeCell ref="A179:AL179"/>
    <mergeCell ref="A195:AL195"/>
    <mergeCell ref="A331:AL331"/>
    <mergeCell ref="A788:AL788"/>
    <mergeCell ref="A764:AL764"/>
    <mergeCell ref="A415:AL415"/>
    <mergeCell ref="A313:AL313"/>
    <mergeCell ref="A793:AL793"/>
    <mergeCell ref="A259:AL259"/>
    <mergeCell ref="D1:D2"/>
    <mergeCell ref="F1:F2"/>
    <mergeCell ref="H1:H2"/>
    <mergeCell ref="A35:AL35"/>
    <mergeCell ref="J1:J2"/>
    <mergeCell ref="A131:AL131"/>
    <mergeCell ref="A613:AL61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8"/>
  <sheetViews>
    <sheetView workbookViewId="0">
      <pane xSplit="2" ySplit="4" topLeftCell="C21" activePane="bottomRight" state="frozen"/>
      <selection pane="topRight" activeCell="A1" sqref="A1"/>
      <selection pane="bottomLeft" activeCell="A1" sqref="A1"/>
      <selection pane="bottomRight" activeCell="G23" sqref="G23"/>
    </sheetView>
  </sheetViews>
  <sheetFormatPr baseColWidth="8" defaultRowHeight="14"/>
  <cols>
    <col width="6" customWidth="1" style="672" min="1" max="1"/>
    <col width="42" customWidth="1" style="672" min="2" max="2"/>
    <col width="22" customWidth="1" style="672" min="3" max="3"/>
    <col width="26" customWidth="1" style="672" min="4" max="4"/>
    <col width="12" customWidth="1" style="672" min="5" max="5"/>
    <col width="22" customWidth="1" style="672" min="6" max="6"/>
    <col width="24" customWidth="1" style="672" min="7" max="7"/>
    <col width="36" customWidth="1" style="672" min="8" max="8"/>
    <col width="30" customWidth="1" style="672" min="9" max="9"/>
  </cols>
  <sheetData>
    <row r="1">
      <c r="A1" s="673" t="inlineStr">
        <is>
          <t>BẢNG TỔNG HỢP KẾ HOẠCH &amp; TẦN SUẤT THÍ NGHIỆM VẬT LIỆU ĐẦU VÀO TOÀN DỰ ÁN</t>
        </is>
      </c>
    </row>
    <row r="2">
      <c r="A2" s="671" t="inlineStr">
        <is>
          <t>Dự án: Cầu Km19+529.080 | Tiêu chuẩn: Luật Xây dựng 135/2025/QH15, NĐ 207/2026/NĐ-CP, TCVN 1651:2018, TCVN 4453:1995</t>
        </is>
      </c>
    </row>
    <row r="3"/>
    <row r="4" ht="28" customHeight="1" s="672">
      <c r="A4" s="663" t="inlineStr">
        <is>
          <t>STT</t>
        </is>
      </c>
      <c r="B4" s="663" t="inlineStr">
        <is>
          <t>DANH MỤC VẬT LIỆU / CÔNG VIỆC THÍ NGHIỆM</t>
        </is>
      </c>
      <c r="C4" s="663" t="inlineStr">
        <is>
          <t>TIÊU CHUẨN ÁP DỤNG</t>
        </is>
      </c>
      <c r="D4" s="663" t="inlineStr">
        <is>
          <t>QUY ĐỊNH TẦN SUẤT LẤY MẪU</t>
        </is>
      </c>
      <c r="E4" s="663" t="inlineStr">
        <is>
          <t>ĐƠN VỊ TÍNH</t>
        </is>
      </c>
      <c r="F4" s="663" t="inlineStr">
        <is>
          <t>TỔNG KHỐI LƯỢNG DỰ ÁN</t>
        </is>
      </c>
      <c r="G4" s="663" t="inlineStr">
        <is>
          <t>SỐ LẦN THÍ NGHIỆM DỰ KIẾN</t>
        </is>
      </c>
      <c r="H4" s="663" t="inlineStr">
        <is>
          <t>CHỈ TIÊU CƠ LÝ KIỂM TRA CHÍNH</t>
        </is>
      </c>
      <c r="I4" s="663" t="inlineStr">
        <is>
          <t>GHI CHÚ / QUY ĐỊNH PHÁP LÝ</t>
        </is>
      </c>
    </row>
    <row r="5" ht="22" customHeight="1" s="672">
      <c r="A5" s="664" t="inlineStr">
        <is>
          <t>I. NHÓM VẬT LIỆU ĐẦU VÀO BÊ TÔNG XI MĂNG</t>
        </is>
      </c>
      <c r="B5" s="722" t="n"/>
      <c r="C5" s="722" t="n"/>
      <c r="D5" s="722" t="n"/>
      <c r="E5" s="722" t="n"/>
      <c r="F5" s="722" t="n"/>
      <c r="G5" s="722" t="n"/>
      <c r="H5" s="722" t="n"/>
      <c r="I5" s="721" t="n"/>
    </row>
    <row r="6" ht="20" customHeight="1" s="672">
      <c r="A6" s="4" t="n">
        <v>1</v>
      </c>
      <c r="B6" s="24" t="inlineStr">
        <is>
          <t>Xi măng Vicem PCB40 Hải Phòng</t>
        </is>
      </c>
      <c r="C6" s="4" t="inlineStr">
        <is>
          <t>TCVN 6260:2020</t>
        </is>
      </c>
      <c r="D6" s="5" t="inlineStr">
        <is>
          <t>50 Tấn / lần lấy mẫu</t>
        </is>
      </c>
      <c r="E6" s="4" t="inlineStr">
        <is>
          <t>Tấn</t>
        </is>
      </c>
      <c r="F6" s="25">
        <f>Theo_Doi_Tan_Suat_Be_Tong!N87</f>
        <v/>
      </c>
      <c r="G6" s="9">
        <f>IF(F6="","",IF(F6=0,"1 lần",ROUNDUP(F6/50,0) &amp; " lần"))</f>
        <v/>
      </c>
      <c r="H6" s="5" t="inlineStr">
        <is>
          <t>Độ mịn, thời gian đông kết, giới hạn bền nén, độ ổn định thể tích</t>
        </is>
      </c>
      <c r="I6" s="5" t="inlineStr">
        <is>
          <t>TCVN 2682/6260, NĐ 207/2026</t>
        </is>
      </c>
    </row>
    <row r="7" ht="20" customHeight="1" s="672">
      <c r="A7" s="4" t="n">
        <v>2</v>
      </c>
      <c r="B7" s="24" t="inlineStr">
        <is>
          <t>Cát vàng Sông Lô</t>
        </is>
      </c>
      <c r="C7" s="4" t="inlineStr">
        <is>
          <t>TCVN 7570:2006</t>
        </is>
      </c>
      <c r="D7" s="5" t="inlineStr">
        <is>
          <t>200 m3 / lần lấy mẫu</t>
        </is>
      </c>
      <c r="E7" s="4" t="inlineStr">
        <is>
          <t>m3</t>
        </is>
      </c>
      <c r="F7" s="25">
        <f>Theo_Doi_Tan_Suat_Be_Tong!O87</f>
        <v/>
      </c>
      <c r="G7" s="9">
        <f>IF(F7="","",IF(F7=0,"1 lần",ROUNDUP(F7/200,0) &amp; " lần"))</f>
        <v/>
      </c>
      <c r="H7" s="5" t="inlineStr">
        <is>
          <t>Thành phần hạt, hàm lượng bùn bụi sét, tạp chất hữu cơ, khối lượng thể tích</t>
        </is>
      </c>
      <c r="I7" s="5" t="inlineStr">
        <is>
          <t>TCVN 7570, Chỉ dẫn kỹ thuật</t>
        </is>
      </c>
    </row>
    <row r="8" ht="20" customHeight="1" s="672">
      <c r="A8" s="4" t="n">
        <v>3</v>
      </c>
      <c r="B8" s="24" t="inlineStr">
        <is>
          <t>Đá dăm 5-20mm (Nguồn gốc: Mỏ đá Thạch Bàn - Hùng An - Tuyên Quang)</t>
        </is>
      </c>
      <c r="C8" s="4" t="inlineStr">
        <is>
          <t>TCVN 7570:2006</t>
        </is>
      </c>
      <c r="D8" s="5" t="inlineStr">
        <is>
          <t>350 m3 / lần lấy mẫu</t>
        </is>
      </c>
      <c r="E8" s="4" t="inlineStr">
        <is>
          <t>m3</t>
        </is>
      </c>
      <c r="F8" s="25">
        <f>Theo_Doi_Tan_Suat_Be_Tong!P87</f>
        <v/>
      </c>
      <c r="G8" s="9">
        <f>IF(F8="","",IF(F8=0,"1 lần",ROUNDUP(F8/350,0) &amp; " lần"))</f>
        <v/>
      </c>
      <c r="H8" s="5" t="inlineStr">
        <is>
          <t>Thành phần hạt, hàm lượng thoi dẹt, độ nén dập trong ống hình trụ, độ hút nước</t>
        </is>
      </c>
      <c r="I8" s="5" t="inlineStr">
        <is>
          <t>TCVN 7570, TCVN 1771</t>
        </is>
      </c>
    </row>
    <row r="9" ht="20" customHeight="1" s="672">
      <c r="A9" s="4" t="n">
        <v>4</v>
      </c>
      <c r="B9" s="24" t="inlineStr">
        <is>
          <t>Nước trộn bê tông</t>
        </is>
      </c>
      <c r="C9" s="4" t="inlineStr">
        <is>
          <t>TCVN 4506:2012</t>
        </is>
      </c>
      <c r="D9" s="5" t="inlineStr">
        <is>
          <t>1 nguồn cấp / toàn dự án</t>
        </is>
      </c>
      <c r="E9" s="4" t="inlineStr">
        <is>
          <t>Nguồn</t>
        </is>
      </c>
      <c r="F9" s="26" t="n">
        <v>1</v>
      </c>
      <c r="G9" s="9" t="inlineStr">
        <is>
          <t>1 lần (định kỳ 6 tháng)</t>
        </is>
      </c>
      <c r="H9" s="5" t="inlineStr">
        <is>
          <t>Độ pH, hàm lượng muối hòa tan, ion Cl-, SO4(2-), cặn không tan</t>
        </is>
      </c>
      <c r="I9" s="5" t="inlineStr">
        <is>
          <t>Kiểm tra trước khi thi công</t>
        </is>
      </c>
    </row>
    <row r="10" ht="20" customHeight="1" s="672">
      <c r="A10" s="4" t="n">
        <v>5</v>
      </c>
      <c r="B10" s="24" t="inlineStr">
        <is>
          <t>Phụ gia giảm nước / siêu dẻo bê tông</t>
        </is>
      </c>
      <c r="C10" s="4" t="inlineStr">
        <is>
          <t>TCVN 8826:2011</t>
        </is>
      </c>
      <c r="D10" s="5" t="inlineStr">
        <is>
          <t>5 Tấn / lô vật liệu</t>
        </is>
      </c>
      <c r="E10" s="4" t="inlineStr">
        <is>
          <t>Tấn</t>
        </is>
      </c>
      <c r="F10" s="27" t="n">
        <v>12.5</v>
      </c>
      <c r="G10" s="9" t="inlineStr">
        <is>
          <t>3 lần</t>
        </is>
      </c>
      <c r="H10" s="5" t="inlineStr">
        <is>
          <t>Khả năng giảm nước, độ chảy xòe, độ pH, hàm lượng chất rắn</t>
        </is>
      </c>
      <c r="I10" s="5" t="inlineStr">
        <is>
          <t>Chứng chỉ xuất xưởng + thử nghiệm</t>
        </is>
      </c>
    </row>
    <row r="11" ht="22" customHeight="1" s="672">
      <c r="A11" s="664" t="inlineStr">
        <is>
          <t>II. NHÓM CỐT THÉP VÀ CÁP DỰ ỨNG LỰC (BÓC TÁCH CHI TIẾT RIÊNG TỪNG LOẠI Ø)</t>
        </is>
      </c>
      <c r="B11" s="722" t="n"/>
      <c r="C11" s="722" t="n"/>
      <c r="D11" s="722" t="n"/>
      <c r="E11" s="722" t="n"/>
      <c r="F11" s="722" t="n"/>
      <c r="G11" s="722" t="n"/>
      <c r="H11" s="722" t="n"/>
      <c r="I11" s="721" t="n"/>
    </row>
    <row r="12" ht="20" customHeight="1" s="672">
      <c r="A12" s="4" t="n">
        <v>6</v>
      </c>
      <c r="B12" s="24" t="inlineStr">
        <is>
          <t>Cốt thép tròn trơn Ø10 (CB240-T, kèm Ø8)</t>
        </is>
      </c>
      <c r="C12" s="4" t="inlineStr">
        <is>
          <t>TCVN 1651-1:2018</t>
        </is>
      </c>
      <c r="D12" s="5" t="inlineStr">
        <is>
          <t>20 Tấn / lô xuất xưởng</t>
        </is>
      </c>
      <c r="E12" s="4" t="inlineStr">
        <is>
          <t>Tấn</t>
        </is>
      </c>
      <c r="F12" s="25">
        <f>Theo_Doi_Tan_Suat_Cot_Thep!P824</f>
        <v/>
      </c>
      <c r="G12" s="9">
        <f>IF(F12="","",IF(F12=0,"1 lần",ROUNDUP(F12/20,0) &amp; " lần"))</f>
        <v/>
      </c>
      <c r="H12" s="5" t="inlineStr">
        <is>
          <t>Giới hạn chảy, độ bền kéo, độ giãn dài, uốn nguội 180°</t>
        </is>
      </c>
      <c r="I12" s="5" t="inlineStr">
        <is>
          <t>1 tổ 3 kéo + 3 uốn / lô 20T, số lô CO-CQ riêng</t>
        </is>
      </c>
    </row>
    <row r="13" ht="20" customHeight="1" s="672">
      <c r="A13" s="4" t="n">
        <v>7</v>
      </c>
      <c r="B13" s="24" t="inlineStr">
        <is>
          <t>Cốt thép thanh vằn Ø12 (CB400-V)</t>
        </is>
      </c>
      <c r="C13" s="4" t="inlineStr">
        <is>
          <t>TCVN 1651-2:2018</t>
        </is>
      </c>
      <c r="D13" s="5" t="inlineStr">
        <is>
          <t>20 Tấn / lô xuất xưởng</t>
        </is>
      </c>
      <c r="E13" s="4" t="inlineStr">
        <is>
          <t>Tấn</t>
        </is>
      </c>
      <c r="F13" s="25">
        <f>Theo_Doi_Tan_Suat_Cot_Thep!Q824</f>
        <v/>
      </c>
      <c r="G13" s="9">
        <f>IF(F13="","",IF(F13=0,"1 lần",ROUNDUP(F13/20,0) &amp; " lần"))</f>
        <v/>
      </c>
      <c r="H13" s="5" t="inlineStr">
        <is>
          <t>Giới hạn chảy, độ bền kéo, độ giãn dài, uốn nguội 180°</t>
        </is>
      </c>
      <c r="I13" s="5" t="inlineStr">
        <is>
          <t>Thép đai dầm Super-T, đai cọc, số lô CO-CQ riêng</t>
        </is>
      </c>
    </row>
    <row r="14" ht="20" customHeight="1" s="672">
      <c r="A14" s="4" t="n">
        <v>8</v>
      </c>
      <c r="B14" s="24" t="inlineStr">
        <is>
          <t>Cốt thép thanh vằn Ø14 (CB400-V)</t>
        </is>
      </c>
      <c r="C14" s="4" t="inlineStr">
        <is>
          <t>TCVN 1651-2:2018</t>
        </is>
      </c>
      <c r="D14" s="5" t="inlineStr">
        <is>
          <t>20 Tấn / lô xuất xưởng</t>
        </is>
      </c>
      <c r="E14" s="4" t="inlineStr">
        <is>
          <t>Tấn</t>
        </is>
      </c>
      <c r="F14" s="25">
        <f>Theo_Doi_Tan_Suat_Cot_Thep!R824</f>
        <v/>
      </c>
      <c r="G14" s="9">
        <f>IF(F14="","",IF(F14=0,"1 lần",ROUNDUP(F14/20,0) &amp; " lần"))</f>
        <v/>
      </c>
      <c r="H14" s="5" t="inlineStr">
        <is>
          <t>Giới hạn chảy, độ bền kéo, độ giãn dài, uốn nguội 180°</t>
        </is>
      </c>
      <c r="I14" s="5" t="inlineStr">
        <is>
          <t>Thép sườn dầm, lưới BMC, gờ lan can, số lô riêng</t>
        </is>
      </c>
    </row>
    <row r="15" ht="20" customHeight="1" s="672">
      <c r="A15" s="4" t="n">
        <v>9</v>
      </c>
      <c r="B15" s="24" t="inlineStr">
        <is>
          <t>Cốt thép thanh vằn Ø16 (CB400-V)</t>
        </is>
      </c>
      <c r="C15" s="4" t="inlineStr">
        <is>
          <t>TCVN 1651-2:2018</t>
        </is>
      </c>
      <c r="D15" s="5" t="inlineStr">
        <is>
          <t>20 Tấn / lô xuất xưởng</t>
        </is>
      </c>
      <c r="E15" s="4" t="inlineStr">
        <is>
          <t>Tấn</t>
        </is>
      </c>
      <c r="F15" s="25">
        <f>Theo_Doi_Tan_Suat_Cot_Thep!S824</f>
        <v/>
      </c>
      <c r="G15" s="9">
        <f>IF(F15="","",IF(F15=0,"1 lần",ROUNDUP(F15/20,0) &amp; " lần"))</f>
        <v/>
      </c>
      <c r="H15" s="5" t="inlineStr">
        <is>
          <t>Giới hạn chảy, độ bền kéo, độ giãn dài, uốn nguội 180°</t>
        </is>
      </c>
      <c r="I15" s="5" t="inlineStr">
        <is>
          <t>Thép lưới BMC, bản quá độ, đai cọc, xà mũ, số lô riêng</t>
        </is>
      </c>
    </row>
    <row r="16" ht="20" customHeight="1" s="672">
      <c r="A16" s="4" t="n">
        <v>10</v>
      </c>
      <c r="B16" s="24" t="inlineStr">
        <is>
          <t>Cốt thép thanh vằn Ø18 (CB400-V)</t>
        </is>
      </c>
      <c r="C16" s="4" t="inlineStr">
        <is>
          <t>TCVN 1651-2:2018</t>
        </is>
      </c>
      <c r="D16" s="5" t="inlineStr">
        <is>
          <t>20 Tấn / lô xuất xưởng</t>
        </is>
      </c>
      <c r="E16" s="4" t="inlineStr">
        <is>
          <t>Tấn</t>
        </is>
      </c>
      <c r="F16" s="25">
        <f>Theo_Doi_Tan_Suat_Cot_Thep!T824</f>
        <v/>
      </c>
      <c r="G16" s="9">
        <f>IF(F16="","",IF(F16=0,"1 lần",ROUNDUP(F16/20,0) &amp; " lần"))</f>
        <v/>
      </c>
      <c r="H16" s="5" t="inlineStr">
        <is>
          <t>Giới hạn chảy, độ bền kéo, độ giãn dài, uốn nguội 180°</t>
        </is>
      </c>
      <c r="I16" s="5" t="inlineStr">
        <is>
          <t>Thép phân bố bệ, thân, mố, số lô CO-CQ riêng</t>
        </is>
      </c>
    </row>
    <row r="17" ht="20" customHeight="1" s="672">
      <c r="A17" s="4" t="n">
        <v>11</v>
      </c>
      <c r="B17" s="24" t="inlineStr">
        <is>
          <t>Cốt thép thanh vằn Ø20 (CB400-V)</t>
        </is>
      </c>
      <c r="C17" s="4" t="inlineStr">
        <is>
          <t>TCVN 1651-2:2018</t>
        </is>
      </c>
      <c r="D17" s="5" t="inlineStr">
        <is>
          <t>20 Tấn / lô xuất xưởng</t>
        </is>
      </c>
      <c r="E17" s="4" t="inlineStr">
        <is>
          <t>Tấn</t>
        </is>
      </c>
      <c r="F17" s="25">
        <f>Theo_Doi_Tan_Suat_Cot_Thep!U824</f>
        <v/>
      </c>
      <c r="G17" s="9">
        <f>IF(F17="","",IF(F17=0,"1 lần",ROUNDUP(F17/20,0) &amp; " lần"))</f>
        <v/>
      </c>
      <c r="H17" s="5" t="inlineStr">
        <is>
          <t>Giới hạn chảy, độ bền kéo, độ giãn dài, uốn nguội 180°</t>
        </is>
      </c>
      <c r="I17" s="5" t="inlineStr">
        <is>
          <t>Thép con kê bảo vệ, đai tăng cường, số lô riêng</t>
        </is>
      </c>
    </row>
    <row r="18" ht="20" customHeight="1" s="672">
      <c r="A18" s="4" t="n">
        <v>12</v>
      </c>
      <c r="B18" s="24" t="inlineStr">
        <is>
          <t>Cốt thép thanh vằn Ø22 (CB400-V)</t>
        </is>
      </c>
      <c r="C18" s="4" t="inlineStr">
        <is>
          <t>TCVN 1651-2:2018</t>
        </is>
      </c>
      <c r="D18" s="5" t="inlineStr">
        <is>
          <t>20 Tấn / lô xuất xưởng</t>
        </is>
      </c>
      <c r="E18" s="4" t="inlineStr">
        <is>
          <t>Tấn</t>
        </is>
      </c>
      <c r="F18" s="25">
        <f>Theo_Doi_Tan_Suat_Cot_Thep!V824</f>
        <v/>
      </c>
      <c r="G18" s="9">
        <f>IF(F18="","",IF(F18=0,"1 lần",ROUNDUP(F18/20,0) &amp; " lần"))</f>
        <v/>
      </c>
      <c r="H18" s="5" t="inlineStr">
        <is>
          <t>Giới hạn chảy, độ bền kéo, độ giãn dài, uốn nguội 180°</t>
        </is>
      </c>
      <c r="I18" s="5" t="inlineStr">
        <is>
          <t>Thép bản quá độ mố A2, cọc nối PDA, số lô riêng</t>
        </is>
      </c>
    </row>
    <row r="19" ht="20" customHeight="1" s="672">
      <c r="A19" s="4" t="n">
        <v>13</v>
      </c>
      <c r="B19" s="24" t="inlineStr">
        <is>
          <t>Cốt thép thanh vằn Ø25 (CB400-V)</t>
        </is>
      </c>
      <c r="C19" s="4" t="inlineStr">
        <is>
          <t>TCVN 1651-2:2018</t>
        </is>
      </c>
      <c r="D19" s="5" t="inlineStr">
        <is>
          <t>20 Tấn / lô xuất xưởng</t>
        </is>
      </c>
      <c r="E19" s="4" t="inlineStr">
        <is>
          <t>Tấn</t>
        </is>
      </c>
      <c r="F19" s="25">
        <f>Theo_Doi_Tan_Suat_Cot_Thep!W824</f>
        <v/>
      </c>
      <c r="G19" s="9">
        <f>IF(F19="","",IF(F19=0,"1 lần",ROUNDUP(F19/20,0) &amp; " lần"))</f>
        <v/>
      </c>
      <c r="H19" s="5" t="inlineStr">
        <is>
          <t>Giới hạn chảy, độ bền kéo, độ giãn dài, uốn nguội 180°</t>
        </is>
      </c>
      <c r="I19" s="5" t="inlineStr">
        <is>
          <t>Thép chủ cọc khoan nhồi M1, T1, T2, M2, số lô riêng</t>
        </is>
      </c>
    </row>
    <row r="20" ht="20" customHeight="1" s="672">
      <c r="A20" s="4" t="n">
        <v>14</v>
      </c>
      <c r="B20" s="24" t="inlineStr">
        <is>
          <t>Cốt thép thanh vằn Ø28 (CB400-V)</t>
        </is>
      </c>
      <c r="C20" s="4" t="inlineStr">
        <is>
          <t>TCVN 1651-2:2018</t>
        </is>
      </c>
      <c r="D20" s="5" t="inlineStr">
        <is>
          <t>20 Tấn / lô xuất xưởng</t>
        </is>
      </c>
      <c r="E20" s="4" t="inlineStr">
        <is>
          <t>Tấn</t>
        </is>
      </c>
      <c r="F20" s="25">
        <f>Theo_Doi_Tan_Suat_Cot_Thep!X824</f>
        <v/>
      </c>
      <c r="G20" s="9">
        <f>IF(F20="","",IF(F20=0,"1 lần",ROUNDUP(F20/20,0) &amp; " lần"))</f>
        <v/>
      </c>
      <c r="H20" s="5" t="inlineStr">
        <is>
          <t>Giới hạn chảy, độ bền kéo, độ giãn dài, uốn nguội 180°</t>
        </is>
      </c>
      <c r="I20" s="5" t="inlineStr">
        <is>
          <t>Thép chủ mố M1, M2, xà mũ, cọc M2, số lô riêng</t>
        </is>
      </c>
    </row>
    <row r="21" ht="20" customHeight="1" s="672">
      <c r="A21" s="4" t="n">
        <v>15</v>
      </c>
      <c r="B21" s="24" t="inlineStr">
        <is>
          <t>Cốt thép thanh vằn Ø32 (CB400-V)</t>
        </is>
      </c>
      <c r="C21" s="4" t="inlineStr">
        <is>
          <t>TCVN 1651-2:2018</t>
        </is>
      </c>
      <c r="D21" s="5" t="inlineStr">
        <is>
          <t>20 Tấn / lô xuất xưởng</t>
        </is>
      </c>
      <c r="E21" s="4" t="inlineStr">
        <is>
          <t>Tấn</t>
        </is>
      </c>
      <c r="F21" s="25">
        <f>Theo_Doi_Tan_Suat_Cot_Thep!Y824</f>
        <v/>
      </c>
      <c r="G21" s="9">
        <f>IF(F21="","",IF(F21=0,"1 lần",ROUNDUP(F21/20,0) &amp; " lần"))</f>
        <v/>
      </c>
      <c r="H21" s="5" t="inlineStr">
        <is>
          <t>Giới hạn chảy, độ bền kéo, độ giãn dài, uốn nguội 180°</t>
        </is>
      </c>
      <c r="I21" s="5" t="inlineStr">
        <is>
          <t>Thép chủ bệ trụ T1, T2, thân trụ, xà mũ, số lô riêng</t>
        </is>
      </c>
    </row>
    <row r="22" ht="20" customHeight="1" s="672">
      <c r="A22" s="4" t="n">
        <v>16</v>
      </c>
      <c r="B22" s="24" t="inlineStr">
        <is>
          <t>Cáp dự ứng lực 15.2mm 7 sợi xoắn</t>
        </is>
      </c>
      <c r="C22" s="4" t="inlineStr">
        <is>
          <t>ASTM A416 Gr270</t>
        </is>
      </c>
      <c r="D22" s="5" t="inlineStr">
        <is>
          <t>20 Tấn / lô kéo rút</t>
        </is>
      </c>
      <c r="E22" s="4" t="inlineStr">
        <is>
          <t>Tấn</t>
        </is>
      </c>
      <c r="F22" s="25">
        <f>Theo_Doi_Tan_Suat_Cot_Thep!Z824</f>
        <v/>
      </c>
      <c r="G22" s="9">
        <f>IF(F22="","",IF(F22=0,"1 lần",ROUNDUP(F22/20,0) &amp; " lần"))</f>
        <v/>
      </c>
      <c r="H22" s="5" t="inlineStr">
        <is>
          <t>Giới hạn bền kéo đứt, độ giãn dài, mô đun Ep</t>
        </is>
      </c>
      <c r="I22" s="5" t="inlineStr">
        <is>
          <t>Cáp kéo trước dầm Super-T L=38.2m, chứng chỉ cuộn riêng</t>
        </is>
      </c>
    </row>
    <row r="23" ht="20" customHeight="1" s="672">
      <c r="A23" s="4" t="n">
        <v>17</v>
      </c>
      <c r="B23" s="24" t="inlineStr">
        <is>
          <t>Mối nối cóc nối ren coupler / hàn đối đầu</t>
        </is>
      </c>
      <c r="C23" s="4" t="inlineStr">
        <is>
          <t>TCVN 8163:2009</t>
        </is>
      </c>
      <c r="D23" s="5" t="inlineStr">
        <is>
          <t>500 mối nối / lô</t>
        </is>
      </c>
      <c r="E23" s="4" t="inlineStr">
        <is>
          <t>Mối nối</t>
        </is>
      </c>
      <c r="F23" s="26" t="n">
        <v>1840</v>
      </c>
      <c r="G23" s="9" t="inlineStr">
        <is>
          <t>4 lần (mỗi lô 3 mẫu kéo)</t>
        </is>
      </c>
      <c r="H23" s="5" t="inlineStr">
        <is>
          <t>Độ bền kéo mối nối, độ dãn dư, khả năng biến dạng</t>
        </is>
      </c>
      <c r="I23" s="5" t="inlineStr">
        <is>
          <t>Mối nối thép chủ cọc khoan nhồi (mỗi lô 3 kéo)</t>
        </is>
      </c>
    </row>
    <row r="24" ht="22" customHeight="1" s="672">
      <c r="A24" s="664" t="inlineStr">
        <is>
          <t>III. KIỂM ĐỊNH HIỆN TRƯỜNG &amp; NGHIỆM THU CHẤT LƯỢNG</t>
        </is>
      </c>
      <c r="B24" s="722" t="n"/>
      <c r="C24" s="722" t="n"/>
      <c r="D24" s="722" t="n"/>
      <c r="E24" s="722" t="n"/>
      <c r="F24" s="722" t="n"/>
      <c r="G24" s="722" t="n"/>
      <c r="H24" s="722" t="n"/>
      <c r="I24" s="721" t="n"/>
    </row>
    <row r="25" ht="20" customHeight="1" s="672">
      <c r="A25" s="4" t="n">
        <v>18</v>
      </c>
      <c r="B25" s="24" t="inlineStr">
        <is>
          <t>Thí nghiệm nén mẫu bê tông hiện trường R7, R28</t>
        </is>
      </c>
      <c r="C25" s="4" t="inlineStr">
        <is>
          <t>TCVN 3118:2022</t>
        </is>
      </c>
      <c r="D25" s="5" t="inlineStr">
        <is>
          <t>1 tổ 3 mẫu / cấu kiện &lt;=20m3</t>
        </is>
      </c>
      <c r="E25" s="4" t="inlineStr">
        <is>
          <t>Tổ mẫu</t>
        </is>
      </c>
      <c r="F25" s="26" t="n">
        <v>79</v>
      </c>
      <c r="G25" s="9" t="inlineStr">
        <is>
          <t>79 tổ mẫu (237 viên)</t>
        </is>
      </c>
      <c r="H25" s="5" t="inlineStr">
        <is>
          <t>Cường độ chịu nén R7 ngày và R28 ngày (MPa)</t>
        </is>
      </c>
      <c r="I25" s="5" t="inlineStr">
        <is>
          <t>Kèm biên bản nghiệm thu KCS (237 viên mẫu)</t>
        </is>
      </c>
    </row>
    <row r="26" ht="20" customHeight="1" s="672">
      <c r="A26" s="4" t="n">
        <v>19</v>
      </c>
      <c r="B26" s="24" t="inlineStr">
        <is>
          <t>Thí nghiệm siêu âm cọc khoan nhồi D1.2m</t>
        </is>
      </c>
      <c r="C26" s="4" t="inlineStr">
        <is>
          <t>TCVN 9395:2012</t>
        </is>
      </c>
      <c r="D26" s="5" t="inlineStr">
        <is>
          <t>100% các cọc khoan nhồi</t>
        </is>
      </c>
      <c r="E26" s="4" t="inlineStr">
        <is>
          <t>Mặt cắt</t>
        </is>
      </c>
      <c r="F26" s="26" t="n">
        <v>156</v>
      </c>
      <c r="G26" s="9" t="inlineStr">
        <is>
          <t>156 mặt cắt siêu âm (26 cọc)</t>
        </is>
      </c>
      <c r="H26" s="5" t="inlineStr">
        <is>
          <t>Độ đồng nhất, vận tốc truyền sóng, khuyết tật thân cọc</t>
        </is>
      </c>
      <c r="I26" s="5" t="inlineStr">
        <is>
          <t>4 ống siêu âm / cọc (156 mặt cắt / 26 cọc)</t>
        </is>
      </c>
    </row>
    <row r="27" ht="20" customHeight="1" s="672">
      <c r="A27" s="4" t="n">
        <v>20</v>
      </c>
      <c r="B27" s="24" t="inlineStr">
        <is>
          <t>Thử động biến dạng lớn PDA (Sức chịu tải cọc)</t>
        </is>
      </c>
      <c r="C27" s="4" t="inlineStr">
        <is>
          <t>ASTM D4945</t>
        </is>
      </c>
      <c r="D27" s="5" t="inlineStr">
        <is>
          <t>Tối thiểu 2 cọc đại diện</t>
        </is>
      </c>
      <c r="E27" s="4" t="inlineStr">
        <is>
          <t>Cọc</t>
        </is>
      </c>
      <c r="F27" s="26" t="n">
        <v>1</v>
      </c>
      <c r="G27" s="9" t="inlineStr">
        <is>
          <t>1 cọc (T1-C5)</t>
        </is>
      </c>
      <c r="H27" s="5" t="inlineStr">
        <is>
          <t>Sức chịu tải giới hạn cọc, ứng suất nén/kéo khi đóng</t>
        </is>
      </c>
      <c r="I27" s="5" t="inlineStr">
        <is>
          <t>Đơn vị kiểm định độc lập (M1-C1 và T1-C1)</t>
        </is>
      </c>
    </row>
    <row r="28" ht="20" customHeight="1" s="672">
      <c r="A28" s="4" t="n">
        <v>21</v>
      </c>
      <c r="B28" s="24" t="inlineStr">
        <is>
          <t>Thí nghiệm độ sụt bê tông tươi tại hiện trường</t>
        </is>
      </c>
      <c r="C28" s="4" t="inlineStr">
        <is>
          <t>TCVN 3106:2022</t>
        </is>
      </c>
      <c r="D28" s="5" t="inlineStr">
        <is>
          <t>100% các xe bê tông trạm trộn</t>
        </is>
      </c>
      <c r="E28" s="4" t="inlineStr">
        <is>
          <t>Xe bồn</t>
        </is>
      </c>
      <c r="F28" s="26" t="n">
        <v>285</v>
      </c>
      <c r="G28" s="9" t="inlineStr">
        <is>
          <t>285 xe (mỗi xe 1 lần)</t>
        </is>
      </c>
      <c r="H28" s="5" t="inlineStr">
        <is>
          <t>Độ sụt cọc nhồi (18±2cm), độ sụt kết cấu (14±2cm)</t>
        </is>
      </c>
      <c r="I28" s="5" t="inlineStr">
        <is>
          <t>Kiểm tra trước khi đổ (285 lượt xe)</t>
        </is>
      </c>
    </row>
  </sheetData>
  <mergeCells count="5">
    <mergeCell ref="A2:I2"/>
    <mergeCell ref="A11:I11"/>
    <mergeCell ref="A5:I5"/>
    <mergeCell ref="A1:I1"/>
    <mergeCell ref="A24:I2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91"/>
  <sheetViews>
    <sheetView view="pageBreakPreview" zoomScale="85" zoomScaleNormal="85" zoomScaleSheetLayoutView="85" workbookViewId="0">
      <selection activeCell="H18" sqref="H18"/>
    </sheetView>
  </sheetViews>
  <sheetFormatPr baseColWidth="8" defaultColWidth="9.1640625" defaultRowHeight="14"/>
  <cols>
    <col width="4.83203125" customWidth="1" style="513" min="1" max="1"/>
    <col width="15.58203125" customWidth="1" style="513" min="2" max="2"/>
    <col width="30.58203125" customWidth="1" style="513" min="3" max="3"/>
    <col width="8.58203125" customWidth="1" style="513" min="4" max="5"/>
    <col width="11.58203125" customWidth="1" style="513" min="6" max="7"/>
    <col width="30.58203125" customWidth="1" style="513" min="8" max="9"/>
    <col width="10.58203125" customWidth="1" style="513" min="10" max="10"/>
    <col width="20.58203125" customWidth="1" style="527" min="11" max="11"/>
    <col width="13" customWidth="1" style="513" min="12" max="12"/>
    <col width="15.33203125" customWidth="1" style="513" min="13" max="13"/>
    <col width="15.4140625" bestFit="1" customWidth="1" style="513" min="14" max="14"/>
    <col width="9.1640625" customWidth="1" style="513" min="15" max="16384"/>
  </cols>
  <sheetData>
    <row r="1" ht="18.75" customHeight="1" s="672">
      <c r="A1" s="674" t="inlineStr">
        <is>
          <t>UBND TỈNH TUYÊN QUANG</t>
        </is>
      </c>
      <c r="G1" s="675" t="inlineStr">
        <is>
          <t>CỘNG HÒA XÃ HỘI CHỦ NGHĨA VIỆT NAM</t>
        </is>
      </c>
      <c r="L1" s="512" t="n"/>
      <c r="M1" s="512" t="n"/>
    </row>
    <row r="2" ht="18.75" customHeight="1" s="672">
      <c r="A2" s="676" t="inlineStr">
        <is>
          <t>BAN QLDA ĐTXD CT TỈNH TUYÊN QUANG</t>
        </is>
      </c>
      <c r="G2" s="677" t="inlineStr">
        <is>
          <t>Độc lập - Tự do - Hạnh phúc</t>
        </is>
      </c>
      <c r="L2" s="514" t="n"/>
      <c r="M2" s="514" t="n"/>
    </row>
    <row r="3" ht="10.5" customHeight="1" s="672">
      <c r="A3" s="515" t="n"/>
      <c r="B3" s="515" t="n"/>
      <c r="C3" s="515" t="n"/>
      <c r="D3" s="515" t="n"/>
      <c r="E3" s="515" t="n"/>
      <c r="F3" s="515" t="n"/>
      <c r="G3" s="515" t="n"/>
      <c r="H3" s="516" t="n"/>
      <c r="I3" s="516" t="n"/>
      <c r="J3" s="516" t="n"/>
      <c r="K3" s="516" t="n"/>
      <c r="L3" s="516" t="n"/>
      <c r="M3" s="516" t="n"/>
    </row>
    <row r="4" ht="34.5" customHeight="1" s="672">
      <c r="A4" s="678" t="inlineStr">
        <is>
          <t>DANH MỤC TẦN SUẤT VẬT LIỆU</t>
        </is>
      </c>
      <c r="L4" s="516" t="n"/>
      <c r="M4" s="516" t="n"/>
    </row>
    <row r="5" ht="22.5" customHeight="1" s="672">
      <c r="A5" s="518" t="inlineStr">
        <is>
          <t xml:space="preserve">Dự án: </t>
        </is>
      </c>
      <c r="B5" s="678" t="n"/>
      <c r="C5" s="519" t="inlineStr">
        <is>
          <t>Cao tốc Tuyên Quang - Hà Giang (giai đoạn 1), đoạn qua tỉnh Hà Giang</t>
        </is>
      </c>
      <c r="D5" s="520" t="n"/>
      <c r="E5" s="520" t="n"/>
      <c r="F5" s="520" t="n"/>
      <c r="G5" s="520" t="n"/>
      <c r="H5" s="520" t="n"/>
      <c r="I5" s="678" t="n"/>
      <c r="J5" s="678" t="n"/>
      <c r="K5" s="678" t="n"/>
      <c r="L5" s="516" t="n"/>
      <c r="M5" s="516" t="n"/>
    </row>
    <row r="6" ht="18" customHeight="1" s="672">
      <c r="A6" s="521" t="inlineStr">
        <is>
          <t>Gói thầu số 09-XL:</t>
        </is>
      </c>
      <c r="B6" s="678" t="n"/>
      <c r="C6" s="519" t="inlineStr">
        <is>
          <t xml:space="preserve">Gói thầu số 09-XL: Thi công xây dựng hoàn chỉnh 4 làn xe đoạn Km19+120 đến Km27+480 </t>
        </is>
      </c>
      <c r="D6" s="520" t="n"/>
      <c r="E6" s="520" t="n"/>
      <c r="F6" s="520" t="n"/>
      <c r="G6" s="520" t="n"/>
      <c r="H6" s="520" t="n"/>
      <c r="I6" s="678" t="n"/>
      <c r="J6" s="678" t="n"/>
      <c r="K6" s="678" t="n"/>
      <c r="L6" s="516" t="n"/>
      <c r="M6" s="516" t="n"/>
    </row>
    <row r="7" ht="18" customHeight="1" s="672">
      <c r="A7" s="522" t="inlineStr">
        <is>
          <t>Phân đoạn:</t>
        </is>
      </c>
      <c r="B7" s="678" t="n"/>
      <c r="C7" s="519" t="inlineStr">
        <is>
          <t>Km19+120 - Km20+840</t>
        </is>
      </c>
      <c r="D7" s="520" t="n"/>
      <c r="E7" s="520" t="n"/>
      <c r="F7" s="520" t="n"/>
      <c r="G7" s="520" t="n"/>
      <c r="H7" s="520" t="n"/>
      <c r="I7" s="678" t="n"/>
      <c r="J7" s="678" t="n"/>
      <c r="K7" s="678" t="n"/>
      <c r="L7" s="516" t="n"/>
      <c r="M7" s="516" t="n"/>
    </row>
    <row r="8" ht="18" customHeight="1" s="672">
      <c r="A8" s="522" t="inlineStr">
        <is>
          <t>Hạng mục:</t>
        </is>
      </c>
      <c r="B8" s="678" t="n"/>
      <c r="C8" s="523" t="inlineStr">
        <is>
          <t>Phần cầu - Cầu Km19+529,080</t>
        </is>
      </c>
      <c r="D8" s="520" t="n"/>
      <c r="E8" s="520" t="n"/>
      <c r="F8" s="520" t="n"/>
      <c r="G8" s="520" t="n"/>
      <c r="H8" s="520" t="n"/>
      <c r="I8" s="678" t="n"/>
      <c r="J8" s="678" t="n"/>
      <c r="K8" s="678" t="n"/>
      <c r="L8" s="516" t="n"/>
      <c r="M8" s="516" t="n"/>
    </row>
    <row r="9" ht="18" customHeight="1" s="672">
      <c r="A9" s="521" t="inlineStr">
        <is>
          <t>Lý trình:</t>
        </is>
      </c>
      <c r="B9" s="678" t="n"/>
      <c r="C9" s="519" t="inlineStr">
        <is>
          <t>Trạm Trộn Bê Tông Phúc Lâm</t>
        </is>
      </c>
      <c r="D9" s="520" t="n"/>
      <c r="E9" s="520" t="n"/>
      <c r="F9" s="520" t="n"/>
      <c r="G9" s="520" t="n"/>
      <c r="H9" s="520" t="n"/>
      <c r="I9" s="678" t="n"/>
      <c r="J9" s="678" t="n"/>
      <c r="K9" s="678" t="n"/>
      <c r="L9" s="516" t="n"/>
      <c r="M9" s="516" t="n"/>
    </row>
    <row r="10" ht="18" customHeight="1" s="672">
      <c r="A10" s="521" t="inlineStr">
        <is>
          <t xml:space="preserve">Địa điểm xây dựng: </t>
        </is>
      </c>
      <c r="B10" s="678" t="n"/>
      <c r="C10" s="519" t="inlineStr">
        <is>
          <t>xã Bắc Quang, tỉnh Tuyên Quang</t>
        </is>
      </c>
      <c r="D10" s="520" t="n"/>
      <c r="E10" s="520" t="n"/>
      <c r="F10" s="520" t="n"/>
      <c r="G10" s="520" t="n"/>
      <c r="H10" s="520" t="n"/>
      <c r="I10" s="678" t="n"/>
      <c r="J10" s="678" t="n"/>
      <c r="K10" s="678" t="n"/>
    </row>
    <row r="11" hidden="1" customFormat="1" s="524">
      <c r="B11" s="524" t="n">
        <v>1</v>
      </c>
      <c r="C11" s="524" t="n">
        <v>2</v>
      </c>
      <c r="D11" s="524" t="n">
        <v>3</v>
      </c>
      <c r="F11" s="524" t="n">
        <v>3</v>
      </c>
      <c r="G11" s="524" t="n">
        <v>4</v>
      </c>
      <c r="H11" s="524" t="n">
        <v>5</v>
      </c>
      <c r="I11" s="524" t="n">
        <v>6</v>
      </c>
      <c r="K11" s="525" t="n">
        <v>7</v>
      </c>
    </row>
    <row r="12" ht="10.5" customHeight="1" s="672">
      <c r="B12" s="526" t="n"/>
      <c r="C12" s="526" t="n"/>
      <c r="D12" s="526" t="n"/>
      <c r="E12" s="526" t="n"/>
      <c r="F12" s="526" t="n"/>
      <c r="G12" s="526" t="n"/>
      <c r="H12" s="527" t="n"/>
      <c r="I12" s="527" t="n"/>
      <c r="J12" s="527" t="n"/>
    </row>
    <row r="13" ht="28" customHeight="1" s="672">
      <c r="A13" s="528" t="inlineStr">
        <is>
          <t>STT</t>
        </is>
      </c>
      <c r="B13" s="529" t="inlineStr">
        <is>
          <t>Hạng mục</t>
        </is>
      </c>
      <c r="C13" s="530" t="inlineStr">
        <is>
          <t>Đối tượng nghiệm thu</t>
        </is>
      </c>
      <c r="D13" s="531" t="inlineStr">
        <is>
          <t>Giờ bắt đầu</t>
        </is>
      </c>
      <c r="E13" s="531" t="inlineStr">
        <is>
          <t>Giờ kết thúc</t>
        </is>
      </c>
      <c r="F13" s="531" t="inlineStr">
        <is>
          <t>Ngày yêu cầu NT</t>
        </is>
      </c>
      <c r="G13" s="531" t="inlineStr">
        <is>
          <t>Ngày nghiệm thu</t>
        </is>
      </c>
      <c r="H13" s="530" t="inlineStr">
        <is>
          <t>PYC số</t>
        </is>
      </c>
      <c r="I13" s="530" t="inlineStr">
        <is>
          <t>Biên bản số</t>
        </is>
      </c>
      <c r="J13" s="530" t="inlineStr">
        <is>
          <t>Ghi chú</t>
        </is>
      </c>
      <c r="K13" s="530" t="inlineStr">
        <is>
          <t>Số lần tần suất</t>
        </is>
      </c>
      <c r="L13" s="589" t="inlineStr">
        <is>
          <t>Địa điểm</t>
        </is>
      </c>
      <c r="M13" s="590" t="inlineStr">
        <is>
          <t>Số lô</t>
        </is>
      </c>
      <c r="N13" s="597" t="inlineStr">
        <is>
          <t>Số lần (trích từ K)</t>
        </is>
      </c>
    </row>
    <row r="14" ht="50" customHeight="1" s="672">
      <c r="A14" s="532" t="n">
        <v>1</v>
      </c>
      <c r="B14" s="583" t="inlineStr">
        <is>
          <t>Phần cầu - Cầu Km19+529,080</t>
        </is>
      </c>
      <c r="C14" s="533">
        <f>"Lấy mẫu tần suất: "&amp;Tong_Hop_Tan_Suat_Vat_Lieu!B6</f>
        <v/>
      </c>
      <c r="D14" s="729" t="n">
        <v>0.3125</v>
      </c>
      <c r="E14" s="729" t="n">
        <v>0.3333333333333333</v>
      </c>
      <c r="F14" s="534">
        <f>IF(N(G14)&lt;=0,"",G14-1)</f>
        <v/>
      </c>
      <c r="G14" s="534">
        <f>Theo_Doi_Tan_Suat_Be_Tong!C4</f>
        <v/>
      </c>
      <c r="H14" s="730">
        <f>IF(N(F14)&lt;=0,"","PYC/09-XL-307HG/TS/"&amp;TEXT(F14,"d.m.yyyy")&amp;"/"&amp;TEXT(N14,"00"))</f>
        <v/>
      </c>
      <c r="I14" s="534">
        <f>IF(N(G14)&lt;=0,"","NTCV/09-XL-307HG/TS/"&amp;TEXT(G14,"d.m.yyyy")&amp;"/"&amp;TEXT(N14,"00"))</f>
        <v/>
      </c>
      <c r="J14" s="534" t="n"/>
      <c r="K14" s="533">
        <f>"Lần 1 - "&amp;Theo_Doi_Tan_Suat_Be_Tong!B4</f>
        <v/>
      </c>
      <c r="L14" s="591" t="inlineStr">
        <is>
          <t>Trạm Trộn Bê Tông Phúc Lâm</t>
        </is>
      </c>
      <c r="M14" s="590" t="n"/>
      <c r="N14" s="513">
        <f>IFERROR(VALUE(MID(K14,FIND("Lần ",K14)+4,FIND(" -",K14)-FIND("Lần ",K14)-4)),"")</f>
        <v/>
      </c>
    </row>
    <row r="15" ht="50" customHeight="1" s="672">
      <c r="A15" s="532">
        <f>+A14+1</f>
        <v/>
      </c>
      <c r="B15" s="583" t="inlineStr">
        <is>
          <t>Phần cầu - Cầu Km19+529,080</t>
        </is>
      </c>
      <c r="C15" s="533">
        <f>"Lấy mẫu tần suất: "&amp;Tong_Hop_Tan_Suat_Vat_Lieu!B7</f>
        <v/>
      </c>
      <c r="D15" s="729" t="n">
        <v>0.3125</v>
      </c>
      <c r="E15" s="729" t="n">
        <v>0.3333333333333333</v>
      </c>
      <c r="F15" s="534">
        <f>IF(N(G15)&lt;=0,"",G15-1)</f>
        <v/>
      </c>
      <c r="G15" s="534">
        <f>Theo_Doi_Tan_Suat_Be_Tong!C4</f>
        <v/>
      </c>
      <c r="H15" s="730">
        <f>IF(N(F15)&lt;=0,"","PYC/09-XL-307HG/TS/"&amp;TEXT(F15,"d.m.yyyy")&amp;"/"&amp;TEXT(N15,"00"))</f>
        <v/>
      </c>
      <c r="I15" s="534">
        <f>IF(N(G15)&lt;=0,"","NTCV/09-XL-307HG/TS/"&amp;TEXT(G15,"d.m.yyyy")&amp;"/"&amp;TEXT(N15,"00"))</f>
        <v/>
      </c>
      <c r="J15" s="534" t="n"/>
      <c r="K15" s="533">
        <f>"Lần 1 - "&amp;Theo_Doi_Tan_Suat_Be_Tong!B4</f>
        <v/>
      </c>
      <c r="L15" s="591" t="inlineStr">
        <is>
          <t>Trạm Trộn Bê Tông Phúc Lâm</t>
        </is>
      </c>
      <c r="M15" s="590" t="n"/>
      <c r="N15" s="513">
        <f>IFERROR(VALUE(MID(K15,FIND("Lần ",K15)+4,FIND(" -",K15)-FIND("Lần ",K15)-4)),"")</f>
        <v/>
      </c>
    </row>
    <row r="16" ht="50" customHeight="1" s="672">
      <c r="A16" s="532">
        <f>+A15+1</f>
        <v/>
      </c>
      <c r="B16" s="583" t="inlineStr">
        <is>
          <t>Phần cầu - Cầu Km19+529,080</t>
        </is>
      </c>
      <c r="C16" s="533">
        <f>"Lấy mẫu tần suất: "&amp;Tong_Hop_Tan_Suat_Vat_Lieu!B8</f>
        <v/>
      </c>
      <c r="D16" s="729" t="n">
        <v>0.3125</v>
      </c>
      <c r="E16" s="729" t="n">
        <v>0.3333333333333333</v>
      </c>
      <c r="F16" s="534">
        <f>IF(N(G16)&lt;=0,"",G16-1)</f>
        <v/>
      </c>
      <c r="G16" s="534">
        <f>Theo_Doi_Tan_Suat_Be_Tong!C4</f>
        <v/>
      </c>
      <c r="H16" s="730">
        <f>IF(N(F16)&lt;=0,"","PYC/09-XL-307HG/TS/"&amp;TEXT(F16,"d.m.yyyy")&amp;"/"&amp;TEXT(N16,"00"))</f>
        <v/>
      </c>
      <c r="I16" s="534">
        <f>IF(N(G16)&lt;=0,"","NTCV/09-XL-307HG/TS/"&amp;TEXT(G16,"d.m.yyyy")&amp;"/"&amp;TEXT(N16,"00"))</f>
        <v/>
      </c>
      <c r="J16" s="534" t="n"/>
      <c r="K16" s="533">
        <f>"Lần 1 - "&amp;Theo_Doi_Tan_Suat_Be_Tong!B4</f>
        <v/>
      </c>
      <c r="L16" s="591" t="inlineStr">
        <is>
          <t>Trạm Trộn Bê Tông Phúc Lâm</t>
        </is>
      </c>
      <c r="M16" s="590" t="n"/>
      <c r="N16" s="513">
        <f>IFERROR(VALUE(MID(K16,FIND("Lần ",K16)+4,FIND(" -",K16)-FIND("Lần ",K16)-4)),"")</f>
        <v/>
      </c>
    </row>
    <row r="17" ht="50" customHeight="1" s="672">
      <c r="A17" s="532">
        <f>+A16+1</f>
        <v/>
      </c>
      <c r="B17" s="583" t="inlineStr">
        <is>
          <t>Phần cầu - Cầu Km19+529,080</t>
        </is>
      </c>
      <c r="C17" s="533">
        <f>"Lấy mẫu tần suất: "&amp;Tong_Hop_Tan_Suat_Vat_Lieu!B6</f>
        <v/>
      </c>
      <c r="D17" s="729" t="n">
        <v>0.3125</v>
      </c>
      <c r="E17" s="729" t="n">
        <v>0.3333333333333333</v>
      </c>
      <c r="F17" s="534">
        <f>IF(N(G17)&lt;=0,"",G17-1)</f>
        <v/>
      </c>
      <c r="G17" s="534">
        <f>Theo_Doi_Tan_Suat_Be_Tong!C6</f>
        <v/>
      </c>
      <c r="H17" s="730">
        <f>IF(N(F17)&lt;=0,"","PYC/09-XL-307HG/TS/"&amp;TEXT(F17,"d.m.yyyy")&amp;"/"&amp;TEXT(N17,"00"))</f>
        <v/>
      </c>
      <c r="I17" s="534">
        <f>IF(N(G17)&lt;=0,"","NTCV/09-XL-307HG/TS/"&amp;TEXT(G17,"d.m.yyyy")&amp;"/"&amp;TEXT(N17,"00"))</f>
        <v/>
      </c>
      <c r="J17" s="534" t="n"/>
      <c r="K17" s="533">
        <f>"Lần 2 - "&amp;Theo_Doi_Tan_Suat_Be_Tong!B6</f>
        <v/>
      </c>
      <c r="L17" s="591" t="inlineStr">
        <is>
          <t>Trạm Trộn Bê Tông Phúc Lâm</t>
        </is>
      </c>
      <c r="M17" s="590" t="n"/>
      <c r="N17" s="513">
        <f>IFERROR(VALUE(MID(K17,FIND("Lần ",K17)+4,FIND(" -",K17)-FIND("Lần ",K17)-4)),"")</f>
        <v/>
      </c>
    </row>
    <row r="18" ht="50" customHeight="1" s="672">
      <c r="A18" s="532">
        <f>+A17+1</f>
        <v/>
      </c>
      <c r="B18" s="583" t="inlineStr">
        <is>
          <t>Phần cầu - Cầu Km19+529,080</t>
        </is>
      </c>
      <c r="C18" s="533">
        <f>"Lấy mẫu tần suất: "&amp;Tong_Hop_Tan_Suat_Vat_Lieu!B6</f>
        <v/>
      </c>
      <c r="D18" s="729" t="n">
        <v>0.3125</v>
      </c>
      <c r="E18" s="729" t="n">
        <v>0.3333333333333333</v>
      </c>
      <c r="F18" s="534">
        <f>IF(N(G18)&lt;=0,"",G18-1)</f>
        <v/>
      </c>
      <c r="G18" s="534">
        <f>Theo_Doi_Tan_Suat_Be_Tong!C9</f>
        <v/>
      </c>
      <c r="H18" s="730">
        <f>IF(N(F18)&lt;=0,"","PYC/09-XL-307HG/TS/"&amp;TEXT(F18,"d.m.yyyy")&amp;"/"&amp;TEXT(N18,"00"))</f>
        <v/>
      </c>
      <c r="I18" s="534">
        <f>IF(N(G18)&lt;=0,"","NTCV/09-XL-307HG/TS/"&amp;TEXT(G18,"d.m.yyyy")&amp;"/"&amp;TEXT(N18,"00"))</f>
        <v/>
      </c>
      <c r="J18" s="534" t="n"/>
      <c r="K18" s="533">
        <f>"Lần 3 - "&amp;Theo_Doi_Tan_Suat_Be_Tong!B9</f>
        <v/>
      </c>
      <c r="L18" s="591" t="inlineStr">
        <is>
          <t>Trạm Trộn Bê Tông Phúc Lâm</t>
        </is>
      </c>
      <c r="M18" s="590" t="n"/>
      <c r="N18" s="513">
        <f>IFERROR(VALUE(MID(K18,FIND("Lần ",K18)+4,FIND(" -",K18)-FIND("Lần ",K18)-4)),"")</f>
        <v/>
      </c>
    </row>
    <row r="19" ht="50" customHeight="1" s="672">
      <c r="A19" s="532">
        <f>+A18+1</f>
        <v/>
      </c>
      <c r="B19" s="583" t="inlineStr">
        <is>
          <t>Phần cầu - Cầu Km19+529,080</t>
        </is>
      </c>
      <c r="C19" s="533">
        <f>"Lấy mẫu tần suất: "&amp;Tong_Hop_Tan_Suat_Vat_Lieu!B6</f>
        <v/>
      </c>
      <c r="D19" s="729" t="n">
        <v>0.3125</v>
      </c>
      <c r="E19" s="729" t="n">
        <v>0.3333333333333333</v>
      </c>
      <c r="F19" s="534">
        <f>IF(N(G19)&lt;=0,"",G19-1)</f>
        <v/>
      </c>
      <c r="G19" s="534">
        <f>Theo_Doi_Tan_Suat_Be_Tong!C12</f>
        <v/>
      </c>
      <c r="H19" s="730">
        <f>IF(N(F19)&lt;=0,"","PYC/09-XL-307HG/TS/"&amp;TEXT(F19,"d.m.yyyy")&amp;"/"&amp;TEXT(N19,"00"))</f>
        <v/>
      </c>
      <c r="I19" s="534">
        <f>IF(N(G19)&lt;=0,"","NTCV/09-XL-307HG/TS/"&amp;TEXT(G19,"d.m.yyyy")&amp;"/"&amp;TEXT(N19,"00"))</f>
        <v/>
      </c>
      <c r="J19" s="534" t="n"/>
      <c r="K19" s="533">
        <f>"Lần 4 - "&amp;Theo_Doi_Tan_Suat_Be_Tong!B12</f>
        <v/>
      </c>
      <c r="L19" s="591" t="inlineStr">
        <is>
          <t>Trạm Trộn Bê Tông Phúc Lâm</t>
        </is>
      </c>
      <c r="M19" s="590" t="n"/>
      <c r="N19" s="513">
        <f>IFERROR(VALUE(MID(K19,FIND("Lần ",K19)+4,FIND(" -",K19)-FIND("Lần ",K19)-4)),"")</f>
        <v/>
      </c>
    </row>
    <row r="20" ht="50" customHeight="1" s="672">
      <c r="A20" s="532">
        <f>+A19+1</f>
        <v/>
      </c>
      <c r="B20" s="583" t="inlineStr">
        <is>
          <t>Phần cầu - Cầu Km19+529,080</t>
        </is>
      </c>
      <c r="C20" s="533">
        <f>"Lấy mẫu tần suất: "&amp;Tong_Hop_Tan_Suat_Vat_Lieu!B7</f>
        <v/>
      </c>
      <c r="D20" s="729" t="n">
        <v>0.3125</v>
      </c>
      <c r="E20" s="729" t="n">
        <v>0.3333333333333333</v>
      </c>
      <c r="F20" s="534">
        <f>IF(N(G20)&lt;=0,"",G20-1)</f>
        <v/>
      </c>
      <c r="G20" s="534">
        <f>Theo_Doi_Tan_Suat_Be_Tong!C13</f>
        <v/>
      </c>
      <c r="H20" s="730">
        <f>IF(N(F20)&lt;=0,"","PYC/09-XL-307HG/TS/"&amp;TEXT(F20,"d.m.yyyy")&amp;"/"&amp;TEXT(N20,"00"))</f>
        <v/>
      </c>
      <c r="I20" s="534">
        <f>IF(N(G20)&lt;=0,"","NTCV/09-XL-307HG/TS/"&amp;TEXT(G20,"d.m.yyyy")&amp;"/"&amp;TEXT(N20,"00"))</f>
        <v/>
      </c>
      <c r="J20" s="534" t="n"/>
      <c r="K20" s="533">
        <f>"Lần 2 - "&amp;Theo_Doi_Tan_Suat_Be_Tong!B13</f>
        <v/>
      </c>
      <c r="L20" s="591" t="inlineStr">
        <is>
          <t>Trạm Trộn Bê Tông Phúc Lâm</t>
        </is>
      </c>
      <c r="M20" s="590" t="n"/>
      <c r="N20" s="513">
        <f>IFERROR(VALUE(MID(K20,FIND("Lần ",K20)+4,FIND(" -",K20)-FIND("Lần ",K20)-4)),"")</f>
        <v/>
      </c>
    </row>
    <row r="21" ht="50" customHeight="1" s="672">
      <c r="A21" s="532">
        <f>+A20+1</f>
        <v/>
      </c>
      <c r="B21" s="583" t="inlineStr">
        <is>
          <t>Phần cầu - Cầu Km19+529,080</t>
        </is>
      </c>
      <c r="C21" s="533">
        <f>"Lấy mẫu tần suất: "&amp;Tong_Hop_Tan_Suat_Vat_Lieu!B6</f>
        <v/>
      </c>
      <c r="D21" s="729" t="n">
        <v>0.3125</v>
      </c>
      <c r="E21" s="729" t="n">
        <v>0.3333333333333333</v>
      </c>
      <c r="F21" s="534">
        <f>IF(N(G21)&lt;=0,"",G21-1)</f>
        <v/>
      </c>
      <c r="G21" s="534">
        <f>Theo_Doi_Tan_Suat_Be_Tong!C15</f>
        <v/>
      </c>
      <c r="H21" s="730">
        <f>IF(N(F21)&lt;=0,"","PYC/09-XL-307HG/TS/"&amp;TEXT(F21,"d.m.yyyy")&amp;"/"&amp;TEXT(N21,"00"))</f>
        <v/>
      </c>
      <c r="I21" s="534">
        <f>IF(N(G21)&lt;=0,"","NTCV/09-XL-307HG/TS/"&amp;TEXT(G21,"d.m.yyyy")&amp;"/"&amp;TEXT(N21,"00"))</f>
        <v/>
      </c>
      <c r="J21" s="534" t="n"/>
      <c r="K21" s="533">
        <f>"Lần 5 - "&amp;Theo_Doi_Tan_Suat_Be_Tong!B15</f>
        <v/>
      </c>
      <c r="L21" s="591" t="inlineStr">
        <is>
          <t>Trạm Trộn Bê Tông Phúc Lâm</t>
        </is>
      </c>
      <c r="M21" s="590" t="n"/>
      <c r="N21" s="513">
        <f>IFERROR(VALUE(MID(K21,FIND("Lần ",K21)+4,FIND(" -",K21)-FIND("Lần ",K21)-4)),"")</f>
        <v/>
      </c>
    </row>
    <row r="22" ht="50" customHeight="1" s="672">
      <c r="A22" s="532">
        <f>+A21+1</f>
        <v/>
      </c>
      <c r="B22" s="583" t="inlineStr">
        <is>
          <t>Phần cầu - Cầu Km19+529,080</t>
        </is>
      </c>
      <c r="C22" s="533">
        <f>"Lấy mẫu tần suất: "&amp;Tong_Hop_Tan_Suat_Vat_Lieu!B8</f>
        <v/>
      </c>
      <c r="D22" s="729" t="n">
        <v>0.3125</v>
      </c>
      <c r="E22" s="729" t="n">
        <v>0.3333333333333333</v>
      </c>
      <c r="F22" s="534">
        <f>IF(N(G22)&lt;=0,"",G22-1)</f>
        <v/>
      </c>
      <c r="G22" s="534">
        <f>Theo_Doi_Tan_Suat_Be_Tong!C16</f>
        <v/>
      </c>
      <c r="H22" s="730">
        <f>IF(N(F22)&lt;=0,"","PYC/09-XL-307HG/TS/"&amp;TEXT(F22,"d.m.yyyy")&amp;"/"&amp;TEXT(N22,"00"))</f>
        <v/>
      </c>
      <c r="I22" s="534">
        <f>IF(N(G22)&lt;=0,"","NTCV/09-XL-307HG/TS/"&amp;TEXT(G22,"d.m.yyyy")&amp;"/"&amp;TEXT(N22,"00"))</f>
        <v/>
      </c>
      <c r="J22" s="534" t="n"/>
      <c r="K22" s="533">
        <f>"Lần 2 - "&amp;Theo_Doi_Tan_Suat_Be_Tong!B16</f>
        <v/>
      </c>
      <c r="L22" s="591" t="inlineStr">
        <is>
          <t>Trạm Trộn Bê Tông Phúc Lâm</t>
        </is>
      </c>
      <c r="M22" s="590" t="n"/>
      <c r="N22" s="513">
        <f>IFERROR(VALUE(MID(K22,FIND("Lần ",K22)+4,FIND(" -",K22)-FIND("Lần ",K22)-4)),"")</f>
        <v/>
      </c>
    </row>
    <row r="23" ht="50" customHeight="1" s="672">
      <c r="A23" s="532">
        <f>+A22+1</f>
        <v/>
      </c>
      <c r="B23" s="583" t="inlineStr">
        <is>
          <t>Phần cầu - Cầu Km19+529,080</t>
        </is>
      </c>
      <c r="C23" s="533">
        <f>"Lấy mẫu tần suất: "&amp;Tong_Hop_Tan_Suat_Vat_Lieu!B6</f>
        <v/>
      </c>
      <c r="D23" s="729" t="n">
        <v>0.3125</v>
      </c>
      <c r="E23" s="729" t="n">
        <v>0.3333333333333333</v>
      </c>
      <c r="F23" s="534">
        <f>IF(N(G23)&lt;=0,"",G23-1)</f>
        <v/>
      </c>
      <c r="G23" s="534">
        <f>Theo_Doi_Tan_Suat_Be_Tong!C17</f>
        <v/>
      </c>
      <c r="H23" s="730">
        <f>IF(N(F23)&lt;=0,"","PYC/09-XL-307HG/TS/"&amp;TEXT(F23,"d.m.yyyy")&amp;"/"&amp;TEXT(N23,"00"))</f>
        <v/>
      </c>
      <c r="I23" s="534">
        <f>IF(N(G23)&lt;=0,"","NTCV/09-XL-307HG/TS/"&amp;TEXT(G23,"d.m.yyyy")&amp;"/"&amp;TEXT(N23,"00"))</f>
        <v/>
      </c>
      <c r="J23" s="534" t="n"/>
      <c r="K23" s="533">
        <f>"Lần 6 - "&amp;Theo_Doi_Tan_Suat_Be_Tong!B17</f>
        <v/>
      </c>
      <c r="L23" s="591" t="inlineStr">
        <is>
          <t>Trạm Trộn Bê Tông Phúc Lâm</t>
        </is>
      </c>
      <c r="M23" s="590" t="n"/>
      <c r="N23" s="513">
        <f>IFERROR(VALUE(MID(K23,FIND("Lần ",K23)+4,FIND(" -",K23)-FIND("Lần ",K23)-4)),"")</f>
        <v/>
      </c>
    </row>
    <row r="24" ht="50" customHeight="1" s="672">
      <c r="A24" s="532">
        <f>+A23+1</f>
        <v/>
      </c>
      <c r="B24" s="583" t="inlineStr">
        <is>
          <t>Phần cầu - Cầu Km19+529,080</t>
        </is>
      </c>
      <c r="C24" s="533">
        <f>"Lấy mẫu tần suất: "&amp;Tong_Hop_Tan_Suat_Vat_Lieu!B6</f>
        <v/>
      </c>
      <c r="D24" s="729" t="n">
        <v>0.3125</v>
      </c>
      <c r="E24" s="729" t="n">
        <v>0.3333333333333333</v>
      </c>
      <c r="F24" s="534">
        <f>IF(N(G24)&lt;=0,"",G24-1)</f>
        <v/>
      </c>
      <c r="G24" s="534">
        <f>Theo_Doi_Tan_Suat_Be_Tong!C20</f>
        <v/>
      </c>
      <c r="H24" s="730">
        <f>IF(N(F24)&lt;=0,"","PYC/09-XL-307HG/TS/"&amp;TEXT(F24,"d.m.yyyy")&amp;"/"&amp;TEXT(N24,"00"))</f>
        <v/>
      </c>
      <c r="I24" s="534">
        <f>IF(N(G24)&lt;=0,"","NTCV/09-XL-307HG/TS/"&amp;TEXT(G24,"d.m.yyyy")&amp;"/"&amp;TEXT(N24,"00"))</f>
        <v/>
      </c>
      <c r="J24" s="534" t="n"/>
      <c r="K24" s="533">
        <f>"Lần 7 - "&amp;Theo_Doi_Tan_Suat_Be_Tong!B20</f>
        <v/>
      </c>
      <c r="L24" s="591" t="inlineStr">
        <is>
          <t>Trạm Trộn Bê Tông Phúc Lâm</t>
        </is>
      </c>
      <c r="M24" s="590" t="n"/>
      <c r="N24" s="513">
        <f>IFERROR(VALUE(MID(K24,FIND("Lần ",K24)+4,FIND(" -",K24)-FIND("Lần ",K24)-4)),"")</f>
        <v/>
      </c>
    </row>
    <row r="25" ht="50" customHeight="1" s="672">
      <c r="A25" s="532">
        <f>+A24+1</f>
        <v/>
      </c>
      <c r="B25" s="583" t="inlineStr">
        <is>
          <t>Phần cầu - Cầu Km19+529,080</t>
        </is>
      </c>
      <c r="C25" s="533">
        <f>"Lấy mẫu tần suất: "&amp;Tong_Hop_Tan_Suat_Vat_Lieu!B7</f>
        <v/>
      </c>
      <c r="D25" s="729" t="n">
        <v>0.3125</v>
      </c>
      <c r="E25" s="729" t="n">
        <v>0.3333333333333333</v>
      </c>
      <c r="F25" s="534">
        <f>IF(N(G25)&lt;=0,"",G25-1)</f>
        <v/>
      </c>
      <c r="G25" s="534">
        <f>Theo_Doi_Tan_Suat_Be_Tong!C22</f>
        <v/>
      </c>
      <c r="H25" s="730">
        <f>IF(N(F25)&lt;=0,"","PYC/09-XL-307HG/TS/"&amp;TEXT(F25,"d.m.yyyy")&amp;"/"&amp;TEXT(N25,"00"))</f>
        <v/>
      </c>
      <c r="I25" s="534">
        <f>IF(N(G25)&lt;=0,"","NTCV/09-XL-307HG/TS/"&amp;TEXT(G25,"d.m.yyyy")&amp;"/"&amp;TEXT(N25,"00"))</f>
        <v/>
      </c>
      <c r="J25" s="534" t="n"/>
      <c r="K25" s="533">
        <f>"Lần 3 - "&amp;Theo_Doi_Tan_Suat_Be_Tong!B22</f>
        <v/>
      </c>
      <c r="L25" s="591" t="inlineStr">
        <is>
          <t>Trạm Trộn Bê Tông Phúc Lâm</t>
        </is>
      </c>
      <c r="M25" s="590" t="n"/>
      <c r="N25" s="513">
        <f>IFERROR(VALUE(MID(K25,FIND("Lần ",K25)+4,FIND(" -",K25)-FIND("Lần ",K25)-4)),"")</f>
        <v/>
      </c>
    </row>
    <row r="26" ht="50" customHeight="1" s="672">
      <c r="A26" s="532">
        <f>+A25+1</f>
        <v/>
      </c>
      <c r="B26" s="583" t="inlineStr">
        <is>
          <t>Phần cầu - Cầu Km19+529,080</t>
        </is>
      </c>
      <c r="C26" s="533">
        <f>"Lấy mẫu tần suất: "&amp;Tong_Hop_Tan_Suat_Vat_Lieu!B6</f>
        <v/>
      </c>
      <c r="D26" s="729" t="n">
        <v>0.3125</v>
      </c>
      <c r="E26" s="729" t="n">
        <v>0.3333333333333333</v>
      </c>
      <c r="F26" s="534">
        <f>IF(N(G26)&lt;=0,"",G26-1)</f>
        <v/>
      </c>
      <c r="G26" s="534">
        <f>Theo_Doi_Tan_Suat_Be_Tong!C23</f>
        <v/>
      </c>
      <c r="H26" s="730">
        <f>IF(N(F26)&lt;=0,"","PYC/09-XL-307HG/TS/"&amp;TEXT(F26,"d.m.yyyy")&amp;"/"&amp;TEXT(N26,"00"))</f>
        <v/>
      </c>
      <c r="I26" s="534">
        <f>IF(N(G26)&lt;=0,"","NTCV/09-XL-307HG/TS/"&amp;TEXT(G26,"d.m.yyyy")&amp;"/"&amp;TEXT(N26,"00"))</f>
        <v/>
      </c>
      <c r="J26" s="534" t="n"/>
      <c r="K26" s="533">
        <f>"Lần 8 - "&amp;Theo_Doi_Tan_Suat_Be_Tong!B23</f>
        <v/>
      </c>
      <c r="L26" s="591" t="inlineStr">
        <is>
          <t>Trạm Trộn Bê Tông Phúc Lâm</t>
        </is>
      </c>
      <c r="M26" s="590" t="n"/>
      <c r="N26" s="513">
        <f>IFERROR(VALUE(MID(K26,FIND("Lần ",K26)+4,FIND(" -",K26)-FIND("Lần ",K26)-4)),"")</f>
        <v/>
      </c>
    </row>
    <row r="27" ht="50" customHeight="1" s="672">
      <c r="A27" s="532">
        <f>+A26+1</f>
        <v/>
      </c>
      <c r="B27" s="583" t="inlineStr">
        <is>
          <t>Phần cầu - Cầu Km19+529,080</t>
        </is>
      </c>
      <c r="C27" s="533">
        <f>"Lấy mẫu tần suất: "&amp;Tong_Hop_Tan_Suat_Vat_Lieu!B6</f>
        <v/>
      </c>
      <c r="D27" s="729" t="n">
        <v>0.3125</v>
      </c>
      <c r="E27" s="729" t="n">
        <v>0.3333333333333333</v>
      </c>
      <c r="F27" s="534">
        <f>IF(N(G27)&lt;=0,"",G27-1)</f>
        <v/>
      </c>
      <c r="G27" s="534">
        <f>Theo_Doi_Tan_Suat_Be_Tong!C26</f>
        <v/>
      </c>
      <c r="H27" s="730">
        <f>IF(N(F27)&lt;=0,"","PYC/09-XL-307HG/TS/"&amp;TEXT(F27,"d.m.yyyy")&amp;"/"&amp;TEXT(N27,"00"))</f>
        <v/>
      </c>
      <c r="I27" s="534">
        <f>IF(N(G27)&lt;=0,"","NTCV/09-XL-307HG/TS/"&amp;TEXT(G27,"d.m.yyyy")&amp;"/"&amp;TEXT(N27,"00"))</f>
        <v/>
      </c>
      <c r="J27" s="534" t="n"/>
      <c r="K27" s="533">
        <f>"Lần 9 - "&amp;Theo_Doi_Tan_Suat_Be_Tong!B26</f>
        <v/>
      </c>
      <c r="L27" s="591" t="inlineStr">
        <is>
          <t>Trạm Trộn Bê Tông Phúc Lâm</t>
        </is>
      </c>
      <c r="M27" s="590" t="n"/>
      <c r="N27" s="513">
        <f>IFERROR(VALUE(MID(K27,FIND("Lần ",K27)+4,FIND(" -",K27)-FIND("Lần ",K27)-4)),"")</f>
        <v/>
      </c>
    </row>
    <row r="28" ht="50" customHeight="1" s="672">
      <c r="A28" s="532">
        <f>+A27+1</f>
        <v/>
      </c>
      <c r="B28" s="583" t="inlineStr">
        <is>
          <t>Phần cầu - Cầu Km19+529,080</t>
        </is>
      </c>
      <c r="C28" s="533">
        <f>"Lấy mẫu tần suất: "&amp;Tong_Hop_Tan_Suat_Vat_Lieu!B8</f>
        <v/>
      </c>
      <c r="D28" s="729" t="n">
        <v>0.3125</v>
      </c>
      <c r="E28" s="729" t="n">
        <v>0.3333333333333333</v>
      </c>
      <c r="F28" s="534">
        <f>IF(N(G28)&lt;=0,"",G28-1)</f>
        <v/>
      </c>
      <c r="G28" s="534">
        <f>Theo_Doi_Tan_Suat_Be_Tong!C29</f>
        <v/>
      </c>
      <c r="H28" s="730">
        <f>IF(N(F28)&lt;=0,"","PYC/09-XL-307HG/TS/"&amp;TEXT(F28,"d.m.yyyy")&amp;"/"&amp;TEXT(N28,"00"))</f>
        <v/>
      </c>
      <c r="I28" s="534">
        <f>IF(N(G28)&lt;=0,"","NTCV/09-XL-307HG/TS/"&amp;TEXT(G28,"d.m.yyyy")&amp;"/"&amp;TEXT(N28,"00"))</f>
        <v/>
      </c>
      <c r="J28" s="534" t="n"/>
      <c r="K28" s="533">
        <f>"Lần 3 - "&amp;Theo_Doi_Tan_Suat_Be_Tong!B29</f>
        <v/>
      </c>
      <c r="L28" s="591" t="inlineStr">
        <is>
          <t>Trạm Trộn Bê Tông Phúc Lâm</t>
        </is>
      </c>
      <c r="M28" s="590" t="n"/>
      <c r="N28" s="513">
        <f>IFERROR(VALUE(MID(K28,FIND("Lần ",K28)+4,FIND(" -",K28)-FIND("Lần ",K28)-4)),"")</f>
        <v/>
      </c>
    </row>
    <row r="29" ht="50" customHeight="1" s="672">
      <c r="A29" s="532">
        <f>+A28+1</f>
        <v/>
      </c>
      <c r="B29" s="583" t="inlineStr">
        <is>
          <t>Phần cầu - Cầu Km19+529,080</t>
        </is>
      </c>
      <c r="C29" s="533">
        <f>"Lấy mẫu tần suất: "&amp;Tong_Hop_Tan_Suat_Vat_Lieu!B6</f>
        <v/>
      </c>
      <c r="D29" s="729" t="n">
        <v>0.3125</v>
      </c>
      <c r="E29" s="729" t="n">
        <v>0.3333333333333333</v>
      </c>
      <c r="F29" s="534">
        <f>IF(N(G29)&lt;=0,"",G29-1)</f>
        <v/>
      </c>
      <c r="G29" s="534">
        <f>Theo_Doi_Tan_Suat_Be_Tong!C32</f>
        <v/>
      </c>
      <c r="H29" s="730">
        <f>IF(N(F29)&lt;=0,"","PYC/09-XL-307HG/TS/"&amp;TEXT(F29,"d.m.yyyy")&amp;"/"&amp;TEXT(N29,"00"))</f>
        <v/>
      </c>
      <c r="I29" s="534">
        <f>IF(N(G29)&lt;=0,"","NTCV/09-XL-307HG/TS/"&amp;TEXT(G29,"d.m.yyyy")&amp;"/"&amp;TEXT(N29,"00"))</f>
        <v/>
      </c>
      <c r="J29" s="534" t="n"/>
      <c r="K29" s="533">
        <f>"Lần 10 - "&amp;Theo_Doi_Tan_Suat_Be_Tong!B32</f>
        <v/>
      </c>
      <c r="L29" s="591" t="inlineStr">
        <is>
          <t>Trạm Trộn Bê Tông Phúc Lâm</t>
        </is>
      </c>
      <c r="M29" s="590" t="n"/>
      <c r="N29" s="513">
        <f>IFERROR(VALUE(MID(K29,FIND("Lần ",K29)+4,FIND(" -",K29)-FIND("Lần ",K29)-4)),"")</f>
        <v/>
      </c>
    </row>
    <row r="30" ht="50" customHeight="1" s="672">
      <c r="A30" s="532">
        <f>+A29+1</f>
        <v/>
      </c>
      <c r="B30" s="583" t="inlineStr">
        <is>
          <t>Phần cầu - Cầu Km19+529,080</t>
        </is>
      </c>
      <c r="C30" s="533">
        <f>"Lấy mẫu tần suất: "&amp;Tong_Hop_Tan_Suat_Vat_Lieu!B6</f>
        <v/>
      </c>
      <c r="D30" s="729" t="n">
        <v>0.3125</v>
      </c>
      <c r="E30" s="729" t="n">
        <v>0.3333333333333333</v>
      </c>
      <c r="F30" s="534">
        <f>IF(N(G30)&lt;=0,"",G30-1)</f>
        <v/>
      </c>
      <c r="G30" s="534">
        <f>Theo_Doi_Tan_Suat_Be_Tong!C34</f>
        <v/>
      </c>
      <c r="H30" s="730">
        <f>IF(N(F30)&lt;=0,"","PYC/09-XL-307HG/TS/"&amp;TEXT(F30,"d.m.yyyy")&amp;"/"&amp;TEXT(N30,"00"))</f>
        <v/>
      </c>
      <c r="I30" s="534">
        <f>IF(N(G30)&lt;=0,"","NTCV/09-XL-307HG/TS/"&amp;TEXT(G30,"d.m.yyyy")&amp;"/"&amp;TEXT(N30,"00"))</f>
        <v/>
      </c>
      <c r="J30" s="534" t="n"/>
      <c r="K30" s="533">
        <f>"Lần 11 - "&amp;Theo_Doi_Tan_Suat_Be_Tong!B34</f>
        <v/>
      </c>
      <c r="L30" s="591" t="inlineStr">
        <is>
          <t>Trạm Trộn Bê Tông Phúc Lâm</t>
        </is>
      </c>
      <c r="M30" s="590" t="n"/>
      <c r="N30" s="513">
        <f>IFERROR(VALUE(MID(K30,FIND("Lần ",K30)+4,FIND(" -",K30)-FIND("Lần ",K30)-4)),"")</f>
        <v/>
      </c>
    </row>
    <row r="31" ht="50" customHeight="1" s="672">
      <c r="A31" s="532">
        <f>+A30+1</f>
        <v/>
      </c>
      <c r="B31" s="583" t="inlineStr">
        <is>
          <t>Phần cầu - Cầu Km19+529,080</t>
        </is>
      </c>
      <c r="C31" s="533">
        <f>"Lấy mẫu tần suất: "&amp;Tong_Hop_Tan_Suat_Vat_Lieu!B7</f>
        <v/>
      </c>
      <c r="D31" s="729" t="n">
        <v>0.3125</v>
      </c>
      <c r="E31" s="729" t="n">
        <v>0.3333333333333333</v>
      </c>
      <c r="F31" s="534">
        <f>IF(N(G31)&lt;=0,"",G31-1)</f>
        <v/>
      </c>
      <c r="G31" s="534">
        <f>Theo_Doi_Tan_Suat_Be_Tong!C34</f>
        <v/>
      </c>
      <c r="H31" s="730">
        <f>IF(N(F31)&lt;=0,"","PYC/09-XL-307HG/TS/"&amp;TEXT(F31,"d.m.yyyy")&amp;"/"&amp;TEXT(N31,"00"))</f>
        <v/>
      </c>
      <c r="I31" s="534">
        <f>IF(N(G31)&lt;=0,"","NTCV/09-XL-307HG/TS/"&amp;TEXT(G31,"d.m.yyyy")&amp;"/"&amp;TEXT(N31,"00"))</f>
        <v/>
      </c>
      <c r="J31" s="534" t="n"/>
      <c r="K31" s="533">
        <f>"Lần 4 - "&amp;Theo_Doi_Tan_Suat_Be_Tong!B34</f>
        <v/>
      </c>
      <c r="L31" s="591" t="inlineStr">
        <is>
          <t>Trạm Trộn Bê Tông Phúc Lâm</t>
        </is>
      </c>
      <c r="M31" s="590" t="n"/>
      <c r="N31" s="513">
        <f>IFERROR(VALUE(MID(K31,FIND("Lần ",K31)+4,FIND(" -",K31)-FIND("Lần ",K31)-4)),"")</f>
        <v/>
      </c>
    </row>
    <row r="32" ht="50" customHeight="1" s="672">
      <c r="A32" s="532">
        <f>+A31+1</f>
        <v/>
      </c>
      <c r="B32" s="583" t="inlineStr">
        <is>
          <t>Phần cầu - Cầu Km19+529,080</t>
        </is>
      </c>
      <c r="C32" s="533">
        <f>"Lấy mẫu tần suất: "&amp;Tong_Hop_Tan_Suat_Vat_Lieu!B6</f>
        <v/>
      </c>
      <c r="D32" s="729" t="n">
        <v>0.3125</v>
      </c>
      <c r="E32" s="729" t="n">
        <v>0.3333333333333333</v>
      </c>
      <c r="F32" s="534">
        <f>IF(N(G32)&lt;=0,"",G32-1)</f>
        <v/>
      </c>
      <c r="G32" s="534">
        <f>Theo_Doi_Tan_Suat_Be_Tong!C35</f>
        <v/>
      </c>
      <c r="H32" s="730">
        <f>IF(N(F32)&lt;=0,"","PYC/09-XL-307HG/TS/"&amp;TEXT(F32,"d.m.yyyy")&amp;"/"&amp;TEXT(N32,"00"))</f>
        <v/>
      </c>
      <c r="I32" s="534">
        <f>IF(N(G32)&lt;=0,"","NTCV/09-XL-307HG/TS/"&amp;TEXT(G32,"d.m.yyyy")&amp;"/"&amp;TEXT(N32,"00"))</f>
        <v/>
      </c>
      <c r="J32" s="534" t="n"/>
      <c r="K32" s="533">
        <f>"Lần 12 - "&amp;Theo_Doi_Tan_Suat_Be_Tong!B35</f>
        <v/>
      </c>
      <c r="L32" s="591" t="inlineStr">
        <is>
          <t>Trạm Trộn Bê Tông Phúc Lâm</t>
        </is>
      </c>
      <c r="M32" s="590" t="n"/>
      <c r="N32" s="513">
        <f>IFERROR(VALUE(MID(K32,FIND("Lần ",K32)+4,FIND(" -",K32)-FIND("Lần ",K32)-4)),"")</f>
        <v/>
      </c>
    </row>
    <row r="33" ht="50" customHeight="1" s="672">
      <c r="A33" s="532">
        <f>+A32+1</f>
        <v/>
      </c>
      <c r="B33" s="583" t="inlineStr">
        <is>
          <t>Phần cầu - Cầu Km19+529,080</t>
        </is>
      </c>
      <c r="C33" s="533">
        <f>"Lấy mẫu tần suất: "&amp;Tong_Hop_Tan_Suat_Vat_Lieu!B6</f>
        <v/>
      </c>
      <c r="D33" s="729" t="n">
        <v>0.3125</v>
      </c>
      <c r="E33" s="729" t="n">
        <v>0.3333333333333333</v>
      </c>
      <c r="F33" s="534">
        <f>IF(N(G33)&lt;=0,"",G33-1)</f>
        <v/>
      </c>
      <c r="G33" s="534">
        <f>Theo_Doi_Tan_Suat_Be_Tong!C38</f>
        <v/>
      </c>
      <c r="H33" s="730">
        <f>IF(N(F33)&lt;=0,"","PYC/09-XL-307HG/TS/"&amp;TEXT(F33,"d.m.yyyy")&amp;"/"&amp;TEXT(N33,"00"))</f>
        <v/>
      </c>
      <c r="I33" s="534">
        <f>IF(N(G33)&lt;=0,"","NTCV/09-XL-307HG/TS/"&amp;TEXT(G33,"d.m.yyyy")&amp;"/"&amp;TEXT(N33,"00"))</f>
        <v/>
      </c>
      <c r="J33" s="534" t="n"/>
      <c r="K33" s="533">
        <f>"Lần 13 - "&amp;Theo_Doi_Tan_Suat_Be_Tong!B38</f>
        <v/>
      </c>
      <c r="L33" s="591" t="inlineStr">
        <is>
          <t>Trạm Trộn Bê Tông Phúc Lâm</t>
        </is>
      </c>
      <c r="M33" s="590" t="n"/>
      <c r="N33" s="513">
        <f>IFERROR(VALUE(MID(K33,FIND("Lần ",K33)+4,FIND(" -",K33)-FIND("Lần ",K33)-4)),"")</f>
        <v/>
      </c>
    </row>
    <row r="34" ht="50" customHeight="1" s="672">
      <c r="A34" s="532">
        <f>+A33+1</f>
        <v/>
      </c>
      <c r="B34" s="583" t="inlineStr">
        <is>
          <t>Phần cầu - Cầu Km19+529,080</t>
        </is>
      </c>
      <c r="C34" s="533">
        <f>"Lấy mẫu tần suất: "&amp;Tong_Hop_Tan_Suat_Vat_Lieu!B6</f>
        <v/>
      </c>
      <c r="D34" s="729" t="n">
        <v>0.3125</v>
      </c>
      <c r="E34" s="729" t="n">
        <v>0.3333333333333333</v>
      </c>
      <c r="F34" s="534">
        <f>IF(N(G34)&lt;=0,"",G34-1)</f>
        <v/>
      </c>
      <c r="G34" s="534">
        <f>Theo_Doi_Tan_Suat_Be_Tong!C40</f>
        <v/>
      </c>
      <c r="H34" s="730">
        <f>IF(N(F34)&lt;=0,"","PYC/09-XL-307HG/TS/"&amp;TEXT(F34,"d.m.yyyy")&amp;"/"&amp;TEXT(N34,"00"))</f>
        <v/>
      </c>
      <c r="I34" s="534">
        <f>IF(N(G34)&lt;=0,"","NTCV/09-XL-307HG/TS/"&amp;TEXT(G34,"d.m.yyyy")&amp;"/"&amp;TEXT(N34,"00"))</f>
        <v/>
      </c>
      <c r="J34" s="534" t="n"/>
      <c r="K34" s="533">
        <f>"Lần 14 - "&amp;Theo_Doi_Tan_Suat_Be_Tong!B40</f>
        <v/>
      </c>
      <c r="L34" s="591" t="inlineStr">
        <is>
          <t>Trạm Trộn Bê Tông Phúc Lâm</t>
        </is>
      </c>
      <c r="M34" s="590" t="n"/>
      <c r="N34" s="513">
        <f>IFERROR(VALUE(MID(K34,FIND("Lần ",K34)+4,FIND(" -",K34)-FIND("Lần ",K34)-4)),"")</f>
        <v/>
      </c>
    </row>
    <row r="35" ht="50" customHeight="1" s="672">
      <c r="A35" s="532">
        <f>+A34+1</f>
        <v/>
      </c>
      <c r="B35" s="583" t="inlineStr">
        <is>
          <t>Phần cầu - Cầu Km19+529,080</t>
        </is>
      </c>
      <c r="C35" s="533">
        <f>"Lấy mẫu tần suất: "&amp;Tong_Hop_Tan_Suat_Vat_Lieu!B6</f>
        <v/>
      </c>
      <c r="D35" s="729" t="n">
        <v>0.3125</v>
      </c>
      <c r="E35" s="729" t="n">
        <v>0.3333333333333333</v>
      </c>
      <c r="F35" s="534">
        <f>IF(N(G35)&lt;=0,"",G35-1)</f>
        <v/>
      </c>
      <c r="G35" s="534">
        <f>Theo_Doi_Tan_Suat_Be_Tong!C40</f>
        <v/>
      </c>
      <c r="H35" s="730">
        <f>IF(N(F35)&lt;=0,"","PYC/09-XL-307HG/TS/"&amp;TEXT(F35,"d.m.yyyy")&amp;"/"&amp;TEXT(N35,"00"))</f>
        <v/>
      </c>
      <c r="I35" s="534">
        <f>IF(N(G35)&lt;=0,"","NTCV/09-XL-307HG/TS/"&amp;TEXT(G35,"d.m.yyyy")&amp;"/"&amp;TEXT(N35,"00"))</f>
        <v/>
      </c>
      <c r="J35" s="534" t="n"/>
      <c r="K35" s="533">
        <f>"Lần 15 - "&amp;Theo_Doi_Tan_Suat_Be_Tong!B40</f>
        <v/>
      </c>
      <c r="L35" s="591" t="inlineStr">
        <is>
          <t>Trạm Trộn Bê Tông Phúc Lâm</t>
        </is>
      </c>
      <c r="M35" s="590" t="n"/>
      <c r="N35" s="513">
        <f>IFERROR(VALUE(MID(K35,FIND("Lần ",K35)+4,FIND(" -",K35)-FIND("Lần ",K35)-4)),"")</f>
        <v/>
      </c>
    </row>
    <row r="36" ht="50" customHeight="1" s="672">
      <c r="A36" s="532">
        <f>+A35+1</f>
        <v/>
      </c>
      <c r="B36" s="583" t="inlineStr">
        <is>
          <t>Phần cầu - Cầu Km19+529,080</t>
        </is>
      </c>
      <c r="C36" s="533">
        <f>"Lấy mẫu tần suất: "&amp;Tong_Hop_Tan_Suat_Vat_Lieu!B7</f>
        <v/>
      </c>
      <c r="D36" s="729" t="n">
        <v>0.3125</v>
      </c>
      <c r="E36" s="729" t="n">
        <v>0.3333333333333333</v>
      </c>
      <c r="F36" s="534">
        <f>IF(N(G36)&lt;=0,"",G36-1)</f>
        <v/>
      </c>
      <c r="G36" s="534">
        <f>Theo_Doi_Tan_Suat_Be_Tong!C40</f>
        <v/>
      </c>
      <c r="H36" s="730">
        <f>IF(N(F36)&lt;=0,"","PYC/09-XL-307HG/TS/"&amp;TEXT(F36,"d.m.yyyy")&amp;"/"&amp;TEXT(N36,"00"))</f>
        <v/>
      </c>
      <c r="I36" s="534">
        <f>IF(N(G36)&lt;=0,"","NTCV/09-XL-307HG/TS/"&amp;TEXT(G36,"d.m.yyyy")&amp;"/"&amp;TEXT(N36,"00"))</f>
        <v/>
      </c>
      <c r="J36" s="534" t="n"/>
      <c r="K36" s="533">
        <f>"Lần 5 - "&amp;Theo_Doi_Tan_Suat_Be_Tong!B40</f>
        <v/>
      </c>
      <c r="L36" s="591" t="inlineStr">
        <is>
          <t>Trạm Trộn Bê Tông Phúc Lâm</t>
        </is>
      </c>
      <c r="M36" s="590" t="n"/>
      <c r="N36" s="513">
        <f>IFERROR(VALUE(MID(K36,FIND("Lần ",K36)+4,FIND(" -",K36)-FIND("Lần ",K36)-4)),"")</f>
        <v/>
      </c>
    </row>
    <row r="37" ht="50" customHeight="1" s="672">
      <c r="A37" s="532">
        <f>+A36+1</f>
        <v/>
      </c>
      <c r="B37" s="583" t="inlineStr">
        <is>
          <t>Phần cầu - Cầu Km19+529,080</t>
        </is>
      </c>
      <c r="C37" s="533">
        <f>"Lấy mẫu tần suất: "&amp;Tong_Hop_Tan_Suat_Vat_Lieu!B8</f>
        <v/>
      </c>
      <c r="D37" s="729" t="n">
        <v>0.3125</v>
      </c>
      <c r="E37" s="729" t="n">
        <v>0.3333333333333333</v>
      </c>
      <c r="F37" s="534">
        <f>IF(N(G37)&lt;=0,"",G37-1)</f>
        <v/>
      </c>
      <c r="G37" s="534">
        <f>Theo_Doi_Tan_Suat_Be_Tong!C40</f>
        <v/>
      </c>
      <c r="H37" s="730">
        <f>IF(N(F37)&lt;=0,"","PYC/09-XL-307HG/TS/"&amp;TEXT(F37,"d.m.yyyy")&amp;"/"&amp;TEXT(N37,"00"))</f>
        <v/>
      </c>
      <c r="I37" s="534">
        <f>IF(N(G37)&lt;=0,"","NTCV/09-XL-307HG/TS/"&amp;TEXT(G37,"d.m.yyyy")&amp;"/"&amp;TEXT(N37,"00"))</f>
        <v/>
      </c>
      <c r="J37" s="534" t="n"/>
      <c r="K37" s="533">
        <f>"Lần 4 - "&amp;Theo_Doi_Tan_Suat_Be_Tong!B40</f>
        <v/>
      </c>
      <c r="L37" s="591" t="inlineStr">
        <is>
          <t>Trạm Trộn Bê Tông Phúc Lâm</t>
        </is>
      </c>
      <c r="M37" s="590" t="n"/>
      <c r="N37" s="513">
        <f>IFERROR(VALUE(MID(K37,FIND("Lần ",K37)+4,FIND(" -",K37)-FIND("Lần ",K37)-4)),"")</f>
        <v/>
      </c>
    </row>
    <row r="38" ht="50" customHeight="1" s="672">
      <c r="A38" s="532">
        <f>+A37+1</f>
        <v/>
      </c>
      <c r="B38" s="583" t="inlineStr">
        <is>
          <t>Phần cầu - Cầu Km19+529,080</t>
        </is>
      </c>
      <c r="C38" s="533">
        <f>"Lấy mẫu tần suất: "&amp;Tong_Hop_Tan_Suat_Vat_Lieu!B6</f>
        <v/>
      </c>
      <c r="D38" s="729" t="n">
        <v>0.3125</v>
      </c>
      <c r="E38" s="729" t="n">
        <v>0.3333333333333333</v>
      </c>
      <c r="F38" s="534">
        <f>IF(N(G38)&lt;=0,"",G38-1)</f>
        <v/>
      </c>
      <c r="G38" s="534">
        <f>Theo_Doi_Tan_Suat_Be_Tong!C43</f>
        <v/>
      </c>
      <c r="H38" s="730">
        <f>IF(N(F38)&lt;=0,"","PYC/09-XL-307HG/TS/"&amp;TEXT(F38,"d.m.yyyy")&amp;"/"&amp;TEXT(N38,"00"))</f>
        <v/>
      </c>
      <c r="I38" s="534">
        <f>IF(N(G38)&lt;=0,"","NTCV/09-XL-307HG/TS/"&amp;TEXT(G38,"d.m.yyyy")&amp;"/"&amp;TEXT(N38,"00"))</f>
        <v/>
      </c>
      <c r="J38" s="534" t="n"/>
      <c r="K38" s="533">
        <f>"Lần 16 - "&amp;Theo_Doi_Tan_Suat_Be_Tong!B43</f>
        <v/>
      </c>
      <c r="L38" s="591" t="inlineStr">
        <is>
          <t>Trạm Trộn Bê Tông Phúc Lâm</t>
        </is>
      </c>
      <c r="M38" s="590" t="n"/>
      <c r="N38" s="513">
        <f>IFERROR(VALUE(MID(K38,FIND("Lần ",K38)+4,FIND(" -",K38)-FIND("Lần ",K38)-4)),"")</f>
        <v/>
      </c>
    </row>
    <row r="39" ht="50" customHeight="1" s="672">
      <c r="A39" s="532">
        <f>+A38+1</f>
        <v/>
      </c>
      <c r="B39" s="583" t="inlineStr">
        <is>
          <t>Phần cầu - Cầu Km19+529,080</t>
        </is>
      </c>
      <c r="C39" s="533">
        <f>"Lấy mẫu tần suất: "&amp;Tong_Hop_Tan_Suat_Vat_Lieu!B6</f>
        <v/>
      </c>
      <c r="D39" s="729" t="n">
        <v>0.3125</v>
      </c>
      <c r="E39" s="729" t="n">
        <v>0.3333333333333333</v>
      </c>
      <c r="F39" s="534">
        <f>IF(N(G39)&lt;=0,"",G39-1)</f>
        <v/>
      </c>
      <c r="G39" s="534">
        <f>Theo_Doi_Tan_Suat_Be_Tong!C44</f>
        <v/>
      </c>
      <c r="H39" s="730">
        <f>IF(N(F39)&lt;=0,"","PYC/09-XL-307HG/TS/"&amp;TEXT(F39,"d.m.yyyy")&amp;"/"&amp;TEXT(N39,"00"))</f>
        <v/>
      </c>
      <c r="I39" s="534">
        <f>IF(N(G39)&lt;=0,"","NTCV/09-XL-307HG/TS/"&amp;TEXT(G39,"d.m.yyyy")&amp;"/"&amp;TEXT(N39,"00"))</f>
        <v/>
      </c>
      <c r="J39" s="534" t="n"/>
      <c r="K39" s="533">
        <f>"Lần 17 - "&amp;Theo_Doi_Tan_Suat_Be_Tong!B44</f>
        <v/>
      </c>
      <c r="L39" s="591" t="inlineStr">
        <is>
          <t>Trạm Trộn Bê Tông Phúc Lâm</t>
        </is>
      </c>
      <c r="M39" s="590" t="n"/>
      <c r="N39" s="513">
        <f>IFERROR(VALUE(MID(K39,FIND("Lần ",K39)+4,FIND(" -",K39)-FIND("Lần ",K39)-4)),"")</f>
        <v/>
      </c>
    </row>
    <row r="40" ht="50" customHeight="1" s="672">
      <c r="A40" s="532">
        <f>+A39+1</f>
        <v/>
      </c>
      <c r="B40" s="583" t="inlineStr">
        <is>
          <t>Phần cầu - Cầu Km19+529,080</t>
        </is>
      </c>
      <c r="C40" s="533">
        <f>"Lấy mẫu tần suất: "&amp;Tong_Hop_Tan_Suat_Vat_Lieu!B7</f>
        <v/>
      </c>
      <c r="D40" s="729" t="n">
        <v>0.3125</v>
      </c>
      <c r="E40" s="729" t="n">
        <v>0.3333333333333333</v>
      </c>
      <c r="F40" s="534">
        <f>IF(N(G40)&lt;=0,"",G40-1)</f>
        <v/>
      </c>
      <c r="G40" s="534">
        <f>Theo_Doi_Tan_Suat_Be_Tong!C45</f>
        <v/>
      </c>
      <c r="H40" s="730">
        <f>IF(N(F40)&lt;=0,"","PYC/09-XL-307HG/TS/"&amp;TEXT(F40,"d.m.yyyy")&amp;"/"&amp;TEXT(N40,"00"))</f>
        <v/>
      </c>
      <c r="I40" s="534">
        <f>IF(N(G40)&lt;=0,"","NTCV/09-XL-307HG/TS/"&amp;TEXT(G40,"d.m.yyyy")&amp;"/"&amp;TEXT(N40,"00"))</f>
        <v/>
      </c>
      <c r="J40" s="534" t="n"/>
      <c r="K40" s="533">
        <f>"Lần 6 - "&amp;Theo_Doi_Tan_Suat_Be_Tong!B45</f>
        <v/>
      </c>
      <c r="L40" s="591" t="inlineStr">
        <is>
          <t>Trạm Trộn Bê Tông Phúc Lâm</t>
        </is>
      </c>
      <c r="M40" s="590" t="n"/>
      <c r="N40" s="513">
        <f>IFERROR(VALUE(MID(K40,FIND("Lần ",K40)+4,FIND(" -",K40)-FIND("Lần ",K40)-4)),"")</f>
        <v/>
      </c>
    </row>
    <row r="41" ht="50" customHeight="1" s="672">
      <c r="A41" s="532">
        <f>+A40+1</f>
        <v/>
      </c>
      <c r="B41" s="583" t="inlineStr">
        <is>
          <t>Phần cầu - Cầu Km19+529,080</t>
        </is>
      </c>
      <c r="C41" s="533">
        <f>"Lấy mẫu tần suất: "&amp;Tong_Hop_Tan_Suat_Vat_Lieu!B6</f>
        <v/>
      </c>
      <c r="D41" s="729" t="n">
        <v>0.3125</v>
      </c>
      <c r="E41" s="729" t="n">
        <v>0.3333333333333333</v>
      </c>
      <c r="F41" s="534">
        <f>IF(N(G41)&lt;=0,"",G41-1)</f>
        <v/>
      </c>
      <c r="G41" s="534">
        <f>Theo_Doi_Tan_Suat_Be_Tong!C46</f>
        <v/>
      </c>
      <c r="H41" s="730">
        <f>IF(N(F41)&lt;=0,"","PYC/09-XL-307HG/TS/"&amp;TEXT(F41,"d.m.yyyy")&amp;"/"&amp;TEXT(N41,"00"))</f>
        <v/>
      </c>
      <c r="I41" s="534">
        <f>IF(N(G41)&lt;=0,"","NTCV/09-XL-307HG/TS/"&amp;TEXT(G41,"d.m.yyyy")&amp;"/"&amp;TEXT(N41,"00"))</f>
        <v/>
      </c>
      <c r="J41" s="534" t="n"/>
      <c r="K41" s="533">
        <f>"Lần 18 - "&amp;Theo_Doi_Tan_Suat_Be_Tong!B46</f>
        <v/>
      </c>
      <c r="L41" s="591" t="inlineStr">
        <is>
          <t>Trạm Trộn Bê Tông Phúc Lâm</t>
        </is>
      </c>
      <c r="M41" s="590" t="n"/>
      <c r="N41" s="513">
        <f>IFERROR(VALUE(MID(K41,FIND("Lần ",K41)+4,FIND(" -",K41)-FIND("Lần ",K41)-4)),"")</f>
        <v/>
      </c>
    </row>
    <row r="42" ht="50" customHeight="1" s="672">
      <c r="A42" s="532">
        <f>+A41+1</f>
        <v/>
      </c>
      <c r="B42" s="583" t="inlineStr">
        <is>
          <t>Phần cầu - Cầu Km19+529,080</t>
        </is>
      </c>
      <c r="C42" s="533">
        <f>"Lấy mẫu tần suất: "&amp;Tong_Hop_Tan_Suat_Vat_Lieu!B6</f>
        <v/>
      </c>
      <c r="D42" s="729" t="n">
        <v>0.3125</v>
      </c>
      <c r="E42" s="729" t="n">
        <v>0.3333333333333333</v>
      </c>
      <c r="F42" s="534">
        <f>IF(N(G42)&lt;=0,"",G42-1)</f>
        <v/>
      </c>
      <c r="G42" s="534">
        <f>Theo_Doi_Tan_Suat_Be_Tong!C47</f>
        <v/>
      </c>
      <c r="H42" s="730">
        <f>IF(N(F42)&lt;=0,"","PYC/09-XL-307HG/TS/"&amp;TEXT(F42,"d.m.yyyy")&amp;"/"&amp;TEXT(N42,"00"))</f>
        <v/>
      </c>
      <c r="I42" s="534">
        <f>IF(N(G42)&lt;=0,"","NTCV/09-XL-307HG/TS/"&amp;TEXT(G42,"d.m.yyyy")&amp;"/"&amp;TEXT(N42,"00"))</f>
        <v/>
      </c>
      <c r="J42" s="534" t="n"/>
      <c r="K42" s="533">
        <f>"Lần 19 - "&amp;Theo_Doi_Tan_Suat_Be_Tong!B47</f>
        <v/>
      </c>
      <c r="L42" s="591" t="inlineStr">
        <is>
          <t>Trạm Trộn Bê Tông Phúc Lâm</t>
        </is>
      </c>
      <c r="M42" s="590" t="n"/>
      <c r="N42" s="513">
        <f>IFERROR(VALUE(MID(K42,FIND("Lần ",K42)+4,FIND(" -",K42)-FIND("Lần ",K42)-4)),"")</f>
        <v/>
      </c>
    </row>
    <row r="43" ht="50" customHeight="1" s="672">
      <c r="A43" s="532">
        <f>+A42+1</f>
        <v/>
      </c>
      <c r="B43" s="583" t="inlineStr">
        <is>
          <t>Phần cầu - Cầu Km19+529,080</t>
        </is>
      </c>
      <c r="C43" s="533">
        <f>"Lấy mẫu tần suất: "&amp;Tong_Hop_Tan_Suat_Vat_Lieu!B8</f>
        <v/>
      </c>
      <c r="D43" s="729" t="n">
        <v>0.3125</v>
      </c>
      <c r="E43" s="729" t="n">
        <v>0.3333333333333333</v>
      </c>
      <c r="F43" s="534">
        <f>IF(N(G43)&lt;=0,"",G43-1)</f>
        <v/>
      </c>
      <c r="G43" s="534">
        <f>Theo_Doi_Tan_Suat_Be_Tong!C47</f>
        <v/>
      </c>
      <c r="H43" s="730">
        <f>IF(N(F43)&lt;=0,"","PYC/09-XL-307HG/TS/"&amp;TEXT(F43,"d.m.yyyy")&amp;"/"&amp;TEXT(N43,"00"))</f>
        <v/>
      </c>
      <c r="I43" s="534">
        <f>IF(N(G43)&lt;=0,"","NTCV/09-XL-307HG/TS/"&amp;TEXT(G43,"d.m.yyyy")&amp;"/"&amp;TEXT(N43,"00"))</f>
        <v/>
      </c>
      <c r="J43" s="534" t="n"/>
      <c r="K43" s="533">
        <f>"Lần 5 - "&amp;Theo_Doi_Tan_Suat_Be_Tong!B47</f>
        <v/>
      </c>
      <c r="L43" s="591" t="inlineStr">
        <is>
          <t>Trạm Trộn Bê Tông Phúc Lâm</t>
        </is>
      </c>
      <c r="M43" s="590" t="n"/>
      <c r="N43" s="513">
        <f>IFERROR(VALUE(MID(K43,FIND("Lần ",K43)+4,FIND(" -",K43)-FIND("Lần ",K43)-4)),"")</f>
        <v/>
      </c>
    </row>
    <row r="44" ht="50" customHeight="1" s="672">
      <c r="A44" s="532">
        <f>+A43+1</f>
        <v/>
      </c>
      <c r="B44" s="583" t="inlineStr">
        <is>
          <t>Phần cầu - Cầu Km19+529,080</t>
        </is>
      </c>
      <c r="C44" s="533">
        <f>"Lấy mẫu tần suất: "&amp;Tong_Hop_Tan_Suat_Vat_Lieu!B6</f>
        <v/>
      </c>
      <c r="D44" s="729" t="n">
        <v>0.3125</v>
      </c>
      <c r="E44" s="729" t="n">
        <v>0.3333333333333333</v>
      </c>
      <c r="F44" s="534">
        <f>IF(N(G44)&lt;=0,"",G44-1)</f>
        <v/>
      </c>
      <c r="G44" s="534">
        <f>Theo_Doi_Tan_Suat_Be_Tong!C49</f>
        <v/>
      </c>
      <c r="H44" s="730">
        <f>IF(N(F44)&lt;=0,"","PYC/09-XL-307HG/TS/"&amp;TEXT(F44,"d.m.yyyy")&amp;"/"&amp;TEXT(N44,"00"))</f>
        <v/>
      </c>
      <c r="I44" s="534">
        <f>IF(N(G44)&lt;=0,"","NTCV/09-XL-307HG/TS/"&amp;TEXT(G44,"d.m.yyyy")&amp;"/"&amp;TEXT(N44,"00"))</f>
        <v/>
      </c>
      <c r="J44" s="534" t="n"/>
      <c r="K44" s="533">
        <f>"Lần 20 - "&amp;Theo_Doi_Tan_Suat_Be_Tong!B49</f>
        <v/>
      </c>
      <c r="L44" s="591" t="inlineStr">
        <is>
          <t>Trạm Trộn Bê Tông Phúc Lâm</t>
        </is>
      </c>
      <c r="M44" s="590" t="n"/>
      <c r="N44" s="513">
        <f>IFERROR(VALUE(MID(K44,FIND("Lần ",K44)+4,FIND(" -",K44)-FIND("Lần ",K44)-4)),"")</f>
        <v/>
      </c>
    </row>
    <row r="45" ht="50" customHeight="1" s="672">
      <c r="A45" s="532">
        <f>+A44+1</f>
        <v/>
      </c>
      <c r="B45" s="583" t="inlineStr">
        <is>
          <t>Phần cầu - Cầu Km19+529,080</t>
        </is>
      </c>
      <c r="C45" s="533">
        <f>"Lấy mẫu tần suất: "&amp;Tong_Hop_Tan_Suat_Vat_Lieu!B7</f>
        <v/>
      </c>
      <c r="D45" s="729" t="n">
        <v>0.3125</v>
      </c>
      <c r="E45" s="729" t="n">
        <v>0.3333333333333333</v>
      </c>
      <c r="F45" s="534">
        <f>IF(N(G45)&lt;=0,"",G45-1)</f>
        <v/>
      </c>
      <c r="G45" s="534">
        <f>Theo_Doi_Tan_Suat_Be_Tong!C49</f>
        <v/>
      </c>
      <c r="H45" s="730">
        <f>IF(N(F45)&lt;=0,"","PYC/09-XL-307HG/TS/"&amp;TEXT(F45,"d.m.yyyy")&amp;"/"&amp;TEXT(N45,"00"))</f>
        <v/>
      </c>
      <c r="I45" s="534">
        <f>IF(N(G45)&lt;=0,"","NTCV/09-XL-307HG/TS/"&amp;TEXT(G45,"d.m.yyyy")&amp;"/"&amp;TEXT(N45,"00"))</f>
        <v/>
      </c>
      <c r="J45" s="534" t="n"/>
      <c r="K45" s="533">
        <f>"Lần 7 - "&amp;Theo_Doi_Tan_Suat_Be_Tong!B49</f>
        <v/>
      </c>
      <c r="L45" s="591" t="inlineStr">
        <is>
          <t>Trạm Trộn Bê Tông Phúc Lâm</t>
        </is>
      </c>
      <c r="M45" s="590" t="n"/>
      <c r="N45" s="513">
        <f>IFERROR(VALUE(MID(K45,FIND("Lần ",K45)+4,FIND(" -",K45)-FIND("Lần ",K45)-4)),"")</f>
        <v/>
      </c>
    </row>
    <row r="46" ht="50" customHeight="1" s="672">
      <c r="A46" s="532">
        <f>+A45+1</f>
        <v/>
      </c>
      <c r="B46" s="583" t="inlineStr">
        <is>
          <t>Phần cầu - Cầu Km19+529,080</t>
        </is>
      </c>
      <c r="C46" s="533">
        <f>"Lấy mẫu tần suất: "&amp;Tong_Hop_Tan_Suat_Vat_Lieu!B6</f>
        <v/>
      </c>
      <c r="D46" s="729" t="n">
        <v>0.3125</v>
      </c>
      <c r="E46" s="729" t="n">
        <v>0.3333333333333333</v>
      </c>
      <c r="F46" s="534">
        <f>IF(N(G46)&lt;=0,"",G46-1)</f>
        <v/>
      </c>
      <c r="G46" s="534">
        <f>Theo_Doi_Tan_Suat_Be_Tong!C54</f>
        <v/>
      </c>
      <c r="H46" s="730">
        <f>IF(N(F46)&lt;=0,"","PYC/09-XL-307HG/TS/"&amp;TEXT(F46,"d.m.yyyy")&amp;"/"&amp;TEXT(N46,"00"))</f>
        <v/>
      </c>
      <c r="I46" s="534">
        <f>IF(N(G46)&lt;=0,"","NTCV/09-XL-307HG/TS/"&amp;TEXT(G46,"d.m.yyyy")&amp;"/"&amp;TEXT(N46,"00"))</f>
        <v/>
      </c>
      <c r="J46" s="534" t="n"/>
      <c r="K46" s="533">
        <f>"Lần 21 - "&amp;Theo_Doi_Tan_Suat_Be_Tong!B54</f>
        <v/>
      </c>
      <c r="L46" s="591" t="inlineStr">
        <is>
          <t>Trạm Trộn Bê Tông Phúc Lâm</t>
        </is>
      </c>
      <c r="M46" s="590" t="n"/>
      <c r="N46" s="513">
        <f>IFERROR(VALUE(MID(K46,FIND("Lần ",K46)+4,FIND(" -",K46)-FIND("Lần ",K46)-4)),"")</f>
        <v/>
      </c>
    </row>
    <row r="47" ht="50" customHeight="1" s="672">
      <c r="A47" s="532">
        <f>+A46+1</f>
        <v/>
      </c>
      <c r="B47" s="583" t="inlineStr">
        <is>
          <t>Phần cầu - Cầu Km19+529,080</t>
        </is>
      </c>
      <c r="C47" s="533">
        <f>"Lấy mẫu tần suất: "&amp;Tong_Hop_Tan_Suat_Vat_Lieu!B6</f>
        <v/>
      </c>
      <c r="D47" s="729" t="n">
        <v>0.3125</v>
      </c>
      <c r="E47" s="729" t="n">
        <v>0.3333333333333333</v>
      </c>
      <c r="F47" s="534">
        <f>IF(N(G47)&lt;=0,"",G47-1)</f>
        <v/>
      </c>
      <c r="G47" s="534">
        <f>Theo_Doi_Tan_Suat_Be_Tong!C57</f>
        <v/>
      </c>
      <c r="H47" s="730">
        <f>IF(N(F47)&lt;=0,"","PYC/09-XL-307HG/TS/"&amp;TEXT(F47,"d.m.yyyy")&amp;"/"&amp;TEXT(N47,"00"))</f>
        <v/>
      </c>
      <c r="I47" s="534">
        <f>IF(N(G47)&lt;=0,"","NTCV/09-XL-307HG/TS/"&amp;TEXT(G47,"d.m.yyyy")&amp;"/"&amp;TEXT(N47,"00"))</f>
        <v/>
      </c>
      <c r="J47" s="534" t="n"/>
      <c r="K47" s="533">
        <f>"Lần 22 - "&amp;Theo_Doi_Tan_Suat_Be_Tong!B57</f>
        <v/>
      </c>
      <c r="L47" s="591" t="inlineStr">
        <is>
          <t>Trạm Trộn Bê Tông Phúc Lâm</t>
        </is>
      </c>
      <c r="M47" s="590" t="n"/>
      <c r="N47" s="513">
        <f>IFERROR(VALUE(MID(K47,FIND("Lần ",K47)+4,FIND(" -",K47)-FIND("Lần ",K47)-4)),"")</f>
        <v/>
      </c>
    </row>
    <row r="48" ht="50" customHeight="1" s="672">
      <c r="A48" s="532">
        <f>+A47+1</f>
        <v/>
      </c>
      <c r="B48" s="583" t="inlineStr">
        <is>
          <t>Phần cầu - Cầu Km19+529,080</t>
        </is>
      </c>
      <c r="C48" s="533">
        <f>"Lấy mẫu tần suất: "&amp;Tong_Hop_Tan_Suat_Vat_Lieu!B8</f>
        <v/>
      </c>
      <c r="D48" s="729" t="n">
        <v>0.3125</v>
      </c>
      <c r="E48" s="729" t="n">
        <v>0.3333333333333333</v>
      </c>
      <c r="F48" s="534">
        <f>IF(N(G48)&lt;=0,"",G48-1)</f>
        <v/>
      </c>
      <c r="G48" s="534">
        <f>Theo_Doi_Tan_Suat_Be_Tong!C61</f>
        <v/>
      </c>
      <c r="H48" s="730">
        <f>IF(N(F48)&lt;=0,"","PYC/09-XL-307HG/TS/"&amp;TEXT(F48,"d.m.yyyy")&amp;"/"&amp;TEXT(N48,"00"))</f>
        <v/>
      </c>
      <c r="I48" s="534">
        <f>IF(N(G48)&lt;=0,"","NTCV/09-XL-307HG/TS/"&amp;TEXT(G48,"d.m.yyyy")&amp;"/"&amp;TEXT(N48,"00"))</f>
        <v/>
      </c>
      <c r="J48" s="534" t="n"/>
      <c r="K48" s="533">
        <f>"Lần 6 - "&amp;Theo_Doi_Tan_Suat_Be_Tong!B61</f>
        <v/>
      </c>
      <c r="L48" s="591" t="inlineStr">
        <is>
          <t>Trạm Trộn Bê Tông Phúc Lâm</t>
        </is>
      </c>
      <c r="M48" s="590" t="n"/>
      <c r="N48" s="513">
        <f>IFERROR(VALUE(MID(K48,FIND("Lần ",K48)+4,FIND(" -",K48)-FIND("Lần ",K48)-4)),"")</f>
        <v/>
      </c>
    </row>
    <row r="49" ht="50" customHeight="1" s="672">
      <c r="A49" s="532">
        <f>+A48+1</f>
        <v/>
      </c>
      <c r="B49" s="583" t="inlineStr">
        <is>
          <t>Phần cầu - Cầu Km19+529,080</t>
        </is>
      </c>
      <c r="C49" s="533">
        <f>"Lấy mẫu tần suất: "&amp;Tong_Hop_Tan_Suat_Vat_Lieu!B6</f>
        <v/>
      </c>
      <c r="D49" s="729" t="n">
        <v>0.3125</v>
      </c>
      <c r="E49" s="729" t="n">
        <v>0.3333333333333333</v>
      </c>
      <c r="F49" s="534">
        <f>IF(N(G49)&lt;=0,"",G49-1)</f>
        <v/>
      </c>
      <c r="G49" s="534">
        <f>Theo_Doi_Tan_Suat_Be_Tong!C62</f>
        <v/>
      </c>
      <c r="H49" s="730">
        <f>IF(N(F49)&lt;=0,"","PYC/09-XL-307HG/TS/"&amp;TEXT(F49,"d.m.yyyy")&amp;"/"&amp;TEXT(N49,"00"))</f>
        <v/>
      </c>
      <c r="I49" s="534">
        <f>IF(N(G49)&lt;=0,"","NTCV/09-XL-307HG/TS/"&amp;TEXT(G49,"d.m.yyyy")&amp;"/"&amp;TEXT(N49,"00"))</f>
        <v/>
      </c>
      <c r="J49" s="534" t="n"/>
      <c r="K49" s="533">
        <f>"Lần 23 - "&amp;Theo_Doi_Tan_Suat_Be_Tong!B62</f>
        <v/>
      </c>
      <c r="L49" s="591" t="inlineStr">
        <is>
          <t>Trạm Trộn Bê Tông Phúc Lâm</t>
        </is>
      </c>
      <c r="M49" s="590" t="n"/>
      <c r="N49" s="513">
        <f>IFERROR(VALUE(MID(K49,FIND("Lần ",K49)+4,FIND(" -",K49)-FIND("Lần ",K49)-4)),"")</f>
        <v/>
      </c>
    </row>
    <row r="50" ht="50" customHeight="1" s="672">
      <c r="A50" s="532">
        <f>+A49+1</f>
        <v/>
      </c>
      <c r="B50" s="583" t="inlineStr">
        <is>
          <t>Phần cầu - Cầu Km19+529,080</t>
        </is>
      </c>
      <c r="C50" s="533">
        <f>"Lấy mẫu tần suất: "&amp;Tong_Hop_Tan_Suat_Vat_Lieu!B7</f>
        <v/>
      </c>
      <c r="D50" s="729" t="n">
        <v>0.3125</v>
      </c>
      <c r="E50" s="729" t="n">
        <v>0.3333333333333333</v>
      </c>
      <c r="F50" s="534">
        <f>IF(N(G50)&lt;=0,"",G50-1)</f>
        <v/>
      </c>
      <c r="G50" s="534">
        <f>Theo_Doi_Tan_Suat_Be_Tong!C64</f>
        <v/>
      </c>
      <c r="H50" s="730">
        <f>IF(N(F50)&lt;=0,"","PYC/09-XL-307HG/TS/"&amp;TEXT(F50,"d.m.yyyy")&amp;"/"&amp;TEXT(N50,"00"))</f>
        <v/>
      </c>
      <c r="I50" s="534">
        <f>IF(N(G50)&lt;=0,"","NTCV/09-XL-307HG/TS/"&amp;TEXT(G50,"d.m.yyyy")&amp;"/"&amp;TEXT(N50,"00"))</f>
        <v/>
      </c>
      <c r="J50" s="534" t="n"/>
      <c r="K50" s="533">
        <f>"Lần 8 - "&amp;Theo_Doi_Tan_Suat_Be_Tong!B64</f>
        <v/>
      </c>
      <c r="L50" s="591" t="inlineStr">
        <is>
          <t>Trạm Trộn Bê Tông Phúc Lâm</t>
        </is>
      </c>
      <c r="M50" s="590" t="n"/>
      <c r="N50" s="513">
        <f>IFERROR(VALUE(MID(K50,FIND("Lần ",K50)+4,FIND(" -",K50)-FIND("Lần ",K50)-4)),"")</f>
        <v/>
      </c>
    </row>
    <row r="51" ht="50" customHeight="1" s="672">
      <c r="A51" s="532">
        <f>+A50+1</f>
        <v/>
      </c>
      <c r="B51" s="583" t="inlineStr">
        <is>
          <t>Phần cầu - Cầu Km19+529,080</t>
        </is>
      </c>
      <c r="C51" s="533">
        <f>"Lấy mẫu tần suất: "&amp;Tong_Hop_Tan_Suat_Vat_Lieu!B6</f>
        <v/>
      </c>
      <c r="D51" s="729" t="n">
        <v>0.3125</v>
      </c>
      <c r="E51" s="729" t="n">
        <v>0.3333333333333333</v>
      </c>
      <c r="F51" s="534">
        <f>IF(N(G51)&lt;=0,"",G51-1)</f>
        <v/>
      </c>
      <c r="G51" s="534">
        <f>Theo_Doi_Tan_Suat_Be_Tong!C67</f>
        <v/>
      </c>
      <c r="H51" s="730">
        <f>IF(N(F51)&lt;=0,"","PYC/09-XL-307HG/TS/"&amp;TEXT(F51,"d.m.yyyy")&amp;"/"&amp;TEXT(N51,"00"))</f>
        <v/>
      </c>
      <c r="I51" s="534">
        <f>IF(N(G51)&lt;=0,"","NTCV/09-XL-307HG/TS/"&amp;TEXT(G51,"d.m.yyyy")&amp;"/"&amp;TEXT(N51,"00"))</f>
        <v/>
      </c>
      <c r="J51" s="534" t="n"/>
      <c r="K51" s="533">
        <f>"Lần 24 - "&amp;Theo_Doi_Tan_Suat_Be_Tong!B67</f>
        <v/>
      </c>
      <c r="L51" s="591" t="inlineStr">
        <is>
          <t>Trạm Trộn Bê Tông Phúc Lâm</t>
        </is>
      </c>
      <c r="M51" s="590" t="n"/>
      <c r="N51" s="513">
        <f>IFERROR(VALUE(MID(K51,FIND("Lần ",K51)+4,FIND(" -",K51)-FIND("Lần ",K51)-4)),"")</f>
        <v/>
      </c>
    </row>
    <row r="52" ht="50" customHeight="1" s="672">
      <c r="A52" s="532">
        <f>+A51+1</f>
        <v/>
      </c>
      <c r="B52" s="583" t="inlineStr">
        <is>
          <t>Phần cầu - Cầu Km19+529,080</t>
        </is>
      </c>
      <c r="C52" s="533">
        <f>"Lấy mẫu tần suất: "&amp;Tong_Hop_Tan_Suat_Vat_Lieu!B6</f>
        <v/>
      </c>
      <c r="D52" s="729" t="n">
        <v>0.3125</v>
      </c>
      <c r="E52" s="729" t="n">
        <v>0.3333333333333333</v>
      </c>
      <c r="F52" s="534">
        <f>IF(N(G52)&lt;=0,"",G52-1)</f>
        <v/>
      </c>
      <c r="G52" s="534">
        <f>Theo_Doi_Tan_Suat_Be_Tong!C71</f>
        <v/>
      </c>
      <c r="H52" s="730">
        <f>IF(N(F52)&lt;=0,"","PYC/09-XL-307HG/TS/"&amp;TEXT(F52,"d.m.yyyy")&amp;"/"&amp;TEXT(N52,"00"))</f>
        <v/>
      </c>
      <c r="I52" s="534">
        <f>IF(N(G52)&lt;=0,"","NTCV/09-XL-307HG/TS/"&amp;TEXT(G52,"d.m.yyyy")&amp;"/"&amp;TEXT(N52,"00"))</f>
        <v/>
      </c>
      <c r="J52" s="534" t="n"/>
      <c r="K52" s="533">
        <f>"Lần 25 - "&amp;Theo_Doi_Tan_Suat_Be_Tong!B71</f>
        <v/>
      </c>
      <c r="L52" s="591" t="inlineStr">
        <is>
          <t>Trạm Trộn Bê Tông Phúc Lâm</t>
        </is>
      </c>
      <c r="M52" s="590" t="n"/>
      <c r="N52" s="513">
        <f>IFERROR(VALUE(MID(K52,FIND("Lần ",K52)+4,FIND(" -",K52)-FIND("Lần ",K52)-4)),"")</f>
        <v/>
      </c>
    </row>
    <row r="53" ht="50" customHeight="1" s="672">
      <c r="A53" s="532">
        <f>+A52+1</f>
        <v/>
      </c>
      <c r="B53" s="583" t="inlineStr">
        <is>
          <t>Phần cầu - Cầu Km19+529,080</t>
        </is>
      </c>
      <c r="C53" s="533">
        <f>"Lấy mẫu tần suất: "&amp;Tong_Hop_Tan_Suat_Vat_Lieu!B6</f>
        <v/>
      </c>
      <c r="D53" s="729" t="n">
        <v>0.3125</v>
      </c>
      <c r="E53" s="729" t="n">
        <v>0.3333333333333333</v>
      </c>
      <c r="F53" s="534">
        <f>IF(N(G53)&lt;=0,"",G53-1)</f>
        <v/>
      </c>
      <c r="G53" s="534">
        <f>Theo_Doi_Tan_Suat_Be_Tong!C78</f>
        <v/>
      </c>
      <c r="H53" s="730">
        <f>IF(N(F53)&lt;=0,"","PYC/09-XL-307HG/TS/"&amp;TEXT(F53,"d.m.yyyy")&amp;"/"&amp;TEXT(N53,"00"))</f>
        <v/>
      </c>
      <c r="I53" s="534">
        <f>IF(N(G53)&lt;=0,"","NTCV/09-XL-307HG/TS/"&amp;TEXT(G53,"d.m.yyyy")&amp;"/"&amp;TEXT(N53,"00"))</f>
        <v/>
      </c>
      <c r="J53" s="534" t="n"/>
      <c r="K53" s="533">
        <f>"Lần 26 - "&amp;Theo_Doi_Tan_Suat_Be_Tong!B78</f>
        <v/>
      </c>
      <c r="L53" s="591" t="inlineStr">
        <is>
          <t>Trạm Trộn Bê Tông Phúc Lâm</t>
        </is>
      </c>
      <c r="M53" s="590" t="n"/>
      <c r="N53" s="513">
        <f>IFERROR(VALUE(MID(K53,FIND("Lần ",K53)+4,FIND(" -",K53)-FIND("Lần ",K53)-4)),"")</f>
        <v/>
      </c>
    </row>
    <row r="54" ht="50" customHeight="1" s="672">
      <c r="A54" s="532">
        <f>+A53+1</f>
        <v/>
      </c>
      <c r="B54" s="583" t="inlineStr">
        <is>
          <t>Phần cầu - Cầu Km19+529,080</t>
        </is>
      </c>
      <c r="C54" s="533">
        <f>"Lấy mẫu tần suất: "&amp;Tong_Hop_Tan_Suat_Vat_Lieu!B7</f>
        <v/>
      </c>
      <c r="D54" s="729" t="n">
        <v>0.3125</v>
      </c>
      <c r="E54" s="729" t="n">
        <v>0.3333333333333333</v>
      </c>
      <c r="F54" s="534">
        <f>IF(N(G54)&lt;=0,"",G54-1)</f>
        <v/>
      </c>
      <c r="G54" s="534">
        <f>Theo_Doi_Tan_Suat_Be_Tong!C79</f>
        <v/>
      </c>
      <c r="H54" s="730">
        <f>IF(N(F54)&lt;=0,"","PYC/09-XL-307HG/TS/"&amp;TEXT(F54,"d.m.yyyy")&amp;"/"&amp;TEXT(N54,"00"))</f>
        <v/>
      </c>
      <c r="I54" s="534">
        <f>IF(N(G54)&lt;=0,"","NTCV/09-XL-307HG/TS/"&amp;TEXT(G54,"d.m.yyyy")&amp;"/"&amp;TEXT(N54,"00"))</f>
        <v/>
      </c>
      <c r="J54" s="534" t="n"/>
      <c r="K54" s="533">
        <f>"Lần 9 - "&amp;Theo_Doi_Tan_Suat_Be_Tong!B79</f>
        <v/>
      </c>
      <c r="L54" s="591" t="inlineStr">
        <is>
          <t>Trạm Trộn Bê Tông Phúc Lâm</t>
        </is>
      </c>
      <c r="M54" s="590" t="n"/>
      <c r="N54" s="513">
        <f>IFERROR(VALUE(MID(K54,FIND("Lần ",K54)+4,FIND(" -",K54)-FIND("Lần ",K54)-4)),"")</f>
        <v/>
      </c>
    </row>
    <row r="55" ht="50" customHeight="1" s="672">
      <c r="A55" s="532">
        <f>+A54+1</f>
        <v/>
      </c>
      <c r="B55" s="583" t="inlineStr">
        <is>
          <t>Phần cầu - Cầu Km19+529,080</t>
        </is>
      </c>
      <c r="C55" s="533">
        <f>"Lấy mẫu tần suất: "&amp;Tong_Hop_Tan_Suat_Vat_Lieu!B6</f>
        <v/>
      </c>
      <c r="D55" s="729" t="n">
        <v>0.3125</v>
      </c>
      <c r="E55" s="729" t="n">
        <v>0.3333333333333333</v>
      </c>
      <c r="F55" s="534">
        <f>IF(N(G55)&lt;=0,"",G55-1)</f>
        <v/>
      </c>
      <c r="G55" s="534">
        <f>Theo_Doi_Tan_Suat_Be_Tong!C80</f>
        <v/>
      </c>
      <c r="H55" s="730">
        <f>IF(N(F55)&lt;=0,"","PYC/09-XL-307HG/TS/"&amp;TEXT(F55,"d.m.yyyy")&amp;"/"&amp;TEXT(N55,"00"))</f>
        <v/>
      </c>
      <c r="I55" s="534">
        <f>IF(N(G55)&lt;=0,"","NTCV/09-XL-307HG/TS/"&amp;TEXT(G55,"d.m.yyyy")&amp;"/"&amp;TEXT(N55,"00"))</f>
        <v/>
      </c>
      <c r="J55" s="534" t="n"/>
      <c r="K55" s="533">
        <f>"Lần 27 - "&amp;Theo_Doi_Tan_Suat_Be_Tong!B80</f>
        <v/>
      </c>
      <c r="L55" s="591" t="inlineStr">
        <is>
          <t>Trạm Trộn Bê Tông Phúc Lâm</t>
        </is>
      </c>
      <c r="M55" s="590" t="n"/>
      <c r="N55" s="513">
        <f>IFERROR(VALUE(MID(K55,FIND("Lần ",K55)+4,FIND(" -",K55)-FIND("Lần ",K55)-4)),"")</f>
        <v/>
      </c>
    </row>
    <row r="56" ht="50" customHeight="1" s="672">
      <c r="A56" s="532">
        <f>+A55+1</f>
        <v/>
      </c>
      <c r="B56" s="583" t="inlineStr">
        <is>
          <t>Phần cầu - Cầu Km19+529,080</t>
        </is>
      </c>
      <c r="C56" s="533">
        <f>"Lấy mẫu tần suất: "&amp;Tong_Hop_Tan_Suat_Vat_Lieu!B8</f>
        <v/>
      </c>
      <c r="D56" s="729" t="n">
        <v>0.3125</v>
      </c>
      <c r="E56" s="729" t="n">
        <v>0.3333333333333333</v>
      </c>
      <c r="F56" s="534">
        <f>IF(N(G56)&lt;=0,"",G56-1)</f>
        <v/>
      </c>
      <c r="G56" s="534">
        <f>Theo_Doi_Tan_Suat_Be_Tong!C80</f>
        <v/>
      </c>
      <c r="H56" s="730">
        <f>IF(N(F56)&lt;=0,"","PYC/09-XL-307HG/TS/"&amp;TEXT(F56,"d.m.yyyy")&amp;"/"&amp;TEXT(N56,"00"))</f>
        <v/>
      </c>
      <c r="I56" s="534">
        <f>IF(N(G56)&lt;=0,"","NTCV/09-XL-307HG/TS/"&amp;TEXT(G56,"d.m.yyyy")&amp;"/"&amp;TEXT(N56,"00"))</f>
        <v/>
      </c>
      <c r="J56" s="534" t="n"/>
      <c r="K56" s="533">
        <f>"Lần 7 - "&amp;Theo_Doi_Tan_Suat_Be_Tong!B80</f>
        <v/>
      </c>
      <c r="L56" s="591" t="inlineStr">
        <is>
          <t>Trạm Trộn Bê Tông Phúc Lâm</t>
        </is>
      </c>
      <c r="M56" s="590" t="n"/>
      <c r="N56" s="513">
        <f>IFERROR(VALUE(MID(K56,FIND("Lần ",K56)+4,FIND(" -",K56)-FIND("Lần ",K56)-4)),"")</f>
        <v/>
      </c>
    </row>
    <row r="57" ht="50" customHeight="1" s="672">
      <c r="A57" s="532">
        <f>+A56+1</f>
        <v/>
      </c>
      <c r="B57" s="583" t="inlineStr">
        <is>
          <t>Phần cầu - Cầu Km19+529,080</t>
        </is>
      </c>
      <c r="C57" s="533">
        <f>"Lấy mẫu tần suất: "&amp;Tong_Hop_Tan_Suat_Vat_Lieu!B6</f>
        <v/>
      </c>
      <c r="D57" s="729" t="n">
        <v>0.3125</v>
      </c>
      <c r="E57" s="729" t="n">
        <v>0.3333333333333333</v>
      </c>
      <c r="F57" s="534">
        <f>IF(N(G57)&lt;=0,"",G57-1)</f>
        <v/>
      </c>
      <c r="G57" s="534">
        <f>Theo_Doi_Tan_Suat_Be_Tong!C81</f>
        <v/>
      </c>
      <c r="H57" s="730">
        <f>IF(N(F57)&lt;=0,"","PYC/09-XL-307HG/TS/"&amp;TEXT(F57,"d.m.yyyy")&amp;"/"&amp;TEXT(N57,"00"))</f>
        <v/>
      </c>
      <c r="I57" s="534">
        <f>IF(N(G57)&lt;=0,"","NTCV/09-XL-307HG/TS/"&amp;TEXT(G57,"d.m.yyyy")&amp;"/"&amp;TEXT(N57,"00"))</f>
        <v/>
      </c>
      <c r="J57" s="534" t="n"/>
      <c r="K57" s="533">
        <f>"Lần 28 - "&amp;Theo_Doi_Tan_Suat_Be_Tong!B81</f>
        <v/>
      </c>
      <c r="L57" s="591" t="inlineStr">
        <is>
          <t>Trạm Trộn Bê Tông Phúc Lâm</t>
        </is>
      </c>
      <c r="M57" s="590" t="n"/>
      <c r="N57" s="513">
        <f>IFERROR(VALUE(MID(K57,FIND("Lần ",K57)+4,FIND(" -",K57)-FIND("Lần ",K57)-4)),"")</f>
        <v/>
      </c>
    </row>
    <row r="58" ht="50" customHeight="1" s="672">
      <c r="A58" s="532">
        <f>+A57+1</f>
        <v/>
      </c>
      <c r="B58" s="583" t="inlineStr">
        <is>
          <t>Phần cầu - Cầu Km19+529,080</t>
        </is>
      </c>
      <c r="C58" s="533">
        <f>"Lấy mẫu tần suất: "&amp;Tong_Hop_Tan_Suat_Vat_Lieu!B6</f>
        <v/>
      </c>
      <c r="D58" s="729" t="n">
        <v>0.3125</v>
      </c>
      <c r="E58" s="729" t="n">
        <v>0.3333333333333333</v>
      </c>
      <c r="F58" s="534">
        <f>IF(N(G58)&lt;=0,"",G58-1)</f>
        <v/>
      </c>
      <c r="G58" s="534">
        <f>Theo_Doi_Tan_Suat_Be_Tong!C83</f>
        <v/>
      </c>
      <c r="H58" s="730">
        <f>IF(N(F58)&lt;=0,"","PYC/09-XL-307HG/TS/"&amp;TEXT(F58,"d.m.yyyy")&amp;"/"&amp;TEXT(N58,"00"))</f>
        <v/>
      </c>
      <c r="I58" s="534">
        <f>IF(N(G58)&lt;=0,"","NTCV/09-XL-307HG/TS/"&amp;TEXT(G58,"d.m.yyyy")&amp;"/"&amp;TEXT(N58,"00"))</f>
        <v/>
      </c>
      <c r="J58" s="534" t="n"/>
      <c r="K58" s="533">
        <f>"Lần 29 - "&amp;Theo_Doi_Tan_Suat_Be_Tong!B83</f>
        <v/>
      </c>
      <c r="L58" s="591" t="inlineStr">
        <is>
          <t>Trạm Trộn Bê Tông Phúc Lâm</t>
        </is>
      </c>
      <c r="M58" s="590" t="n"/>
      <c r="N58" s="513">
        <f>IFERROR(VALUE(MID(K58,FIND("Lần ",K58)+4,FIND(" -",K58)-FIND("Lần ",K58)-4)),"")</f>
        <v/>
      </c>
    </row>
    <row r="59" ht="50" customHeight="1" s="672">
      <c r="A59" s="532">
        <f>+A58+1</f>
        <v/>
      </c>
      <c r="B59" s="583" t="inlineStr">
        <is>
          <t>Phần cầu - Cầu Km19+529,080</t>
        </is>
      </c>
      <c r="C59" s="533">
        <f>"Lấy mẫu tần suất: "&amp;Tong_Hop_Tan_Suat_Vat_Lieu!B7</f>
        <v/>
      </c>
      <c r="D59" s="729" t="n">
        <v>0.3125</v>
      </c>
      <c r="E59" s="729" t="n">
        <v>0.3333333333333333</v>
      </c>
      <c r="F59" s="534">
        <f>IF(N(G59)&lt;=0,"",G59-1)</f>
        <v/>
      </c>
      <c r="G59" s="534">
        <f>Theo_Doi_Tan_Suat_Be_Tong!C84</f>
        <v/>
      </c>
      <c r="H59" s="730">
        <f>IF(N(F59)&lt;=0,"","PYC/09-XL-307HG/TS/"&amp;TEXT(F59,"d.m.yyyy")&amp;"/"&amp;TEXT(N59,"00"))</f>
        <v/>
      </c>
      <c r="I59" s="534">
        <f>IF(N(G59)&lt;=0,"","NTCV/09-XL-307HG/TS/"&amp;TEXT(G59,"d.m.yyyy")&amp;"/"&amp;TEXT(N59,"00"))</f>
        <v/>
      </c>
      <c r="J59" s="534" t="n"/>
      <c r="K59" s="533">
        <f>"Lần 10 - "&amp;Theo_Doi_Tan_Suat_Be_Tong!B84</f>
        <v/>
      </c>
      <c r="L59" s="591" t="inlineStr">
        <is>
          <t>Trạm Trộn Bê Tông Phúc Lâm</t>
        </is>
      </c>
      <c r="M59" s="590" t="n"/>
      <c r="N59" s="513">
        <f>IFERROR(VALUE(MID(K59,FIND("Lần ",K59)+4,FIND(" -",K59)-FIND("Lần ",K59)-4)),"")</f>
        <v/>
      </c>
    </row>
    <row r="60" ht="50" customHeight="1" s="672">
      <c r="A60" s="532">
        <f>+A59+1</f>
        <v/>
      </c>
      <c r="B60" s="583" t="inlineStr">
        <is>
          <t>Phần cầu - Cầu Km19+529,080</t>
        </is>
      </c>
      <c r="C60" s="533">
        <f>"Lấy mẫu tần suất: "&amp;Tong_Hop_Tan_Suat_Vat_Lieu!B6</f>
        <v/>
      </c>
      <c r="D60" s="729" t="n">
        <v>0.3125</v>
      </c>
      <c r="E60" s="729" t="n">
        <v>0.3333333333333333</v>
      </c>
      <c r="F60" s="534">
        <f>IF(N(G60)&lt;=0,"",G60-1)</f>
        <v/>
      </c>
      <c r="G60" s="534">
        <f>Theo_Doi_Tan_Suat_Be_Tong!C85</f>
        <v/>
      </c>
      <c r="H60" s="730">
        <f>IF(N(F60)&lt;=0,"","PYC/09-XL-307HG/TS/"&amp;TEXT(F60,"d.m.yyyy")&amp;"/"&amp;TEXT(N60,"00"))</f>
        <v/>
      </c>
      <c r="I60" s="534">
        <f>IF(N(G60)&lt;=0,"","NTCV/09-XL-307HG/TS/"&amp;TEXT(G60,"d.m.yyyy")&amp;"/"&amp;TEXT(N60,"00"))</f>
        <v/>
      </c>
      <c r="J60" s="534" t="n"/>
      <c r="K60" s="533">
        <f>"Lần 30 - "&amp;Theo_Doi_Tan_Suat_Be_Tong!B85</f>
        <v/>
      </c>
      <c r="L60" s="591" t="inlineStr">
        <is>
          <t>Trạm Trộn Bê Tông Phúc Lâm</t>
        </is>
      </c>
      <c r="M60" s="590" t="n"/>
      <c r="N60" s="513">
        <f>IFERROR(VALUE(MID(K60,FIND("Lần ",K60)+4,FIND(" -",K60)-FIND("Lần ",K60)-4)),"")</f>
        <v/>
      </c>
    </row>
    <row r="61" ht="50" customHeight="1" s="672">
      <c r="A61" s="532">
        <f>+A60+1</f>
        <v/>
      </c>
      <c r="B61" s="583" t="inlineStr">
        <is>
          <t>Phần cầu - Cầu Km19+529,080</t>
        </is>
      </c>
      <c r="C61" s="533">
        <f>"Lấy mẫu tần suất: "&amp;Tong_Hop_Tan_Suat_Vat_Lieu!B12</f>
        <v/>
      </c>
      <c r="D61" s="729" t="n">
        <v>0.5625</v>
      </c>
      <c r="E61" s="729" t="n">
        <v>0.5833333333333334</v>
      </c>
      <c r="F61" s="534">
        <f>IF(N(G61)&lt;=0,"",G61-1)</f>
        <v/>
      </c>
      <c r="G61" s="534">
        <f>Theo_Doi_Tan_Suat_Cot_Thep!M4</f>
        <v/>
      </c>
      <c r="H61" s="730">
        <f>IF(N(F61)&lt;=0,"","PYC/09-XL-307HG/TS/"&amp;TEXT(F61,"d.m.yyyy")&amp;"/"&amp;TEXT(N61,"00"))</f>
        <v/>
      </c>
      <c r="I61" s="534">
        <f>IF(N(G61)&lt;=0,"","NTCV/09-XL-307HG/TS/"&amp;TEXT(G61,"d.m.yyyy")&amp;"/"&amp;TEXT(N61,"00"))</f>
        <v/>
      </c>
      <c r="J61" s="534" t="n"/>
      <c r="K61" s="533">
        <f>"Lần 1 - "&amp;Theo_Doi_Tan_Suat_Cot_Thep!B4&amp;" - "&amp;Theo_Doi_Tan_Suat_Cot_Thep!C4</f>
        <v/>
      </c>
      <c r="L61" s="590" t="n"/>
      <c r="M61" s="590" t="n"/>
      <c r="N61" s="513">
        <f>IFERROR(VALUE(MID(K61,FIND("Lần ",K61)+4,FIND(" -",K61)-FIND("Lần ",K61)-4)),"")</f>
        <v/>
      </c>
    </row>
    <row r="62" ht="50" customHeight="1" s="672">
      <c r="A62" s="532">
        <f>+A61+1</f>
        <v/>
      </c>
      <c r="B62" s="583" t="inlineStr">
        <is>
          <t>Phần cầu - Cầu Km19+529,080</t>
        </is>
      </c>
      <c r="C62" s="533">
        <f>"Lấy mẫu tần suất: "&amp;Tong_Hop_Tan_Suat_Vat_Lieu!B19</f>
        <v/>
      </c>
      <c r="D62" s="729" t="n">
        <v>0.5625</v>
      </c>
      <c r="E62" s="729" t="n">
        <v>0.5833333333333334</v>
      </c>
      <c r="F62" s="534">
        <f>IF(N(G62)&lt;=0,"",G62-1)</f>
        <v/>
      </c>
      <c r="G62" s="534">
        <f>Theo_Doi_Tan_Suat_Cot_Thep!M9</f>
        <v/>
      </c>
      <c r="H62" s="730">
        <f>IF(N(F62)&lt;=0,"","PYC/09-XL-307HG/TS/"&amp;TEXT(F62,"d.m.yyyy")&amp;"/"&amp;TEXT(N62,"00"))</f>
        <v/>
      </c>
      <c r="I62" s="534">
        <f>IF(N(G62)&lt;=0,"","NTCV/09-XL-307HG/TS/"&amp;TEXT(G62,"d.m.yyyy")&amp;"/"&amp;TEXT(N62,"00"))</f>
        <v/>
      </c>
      <c r="J62" s="534" t="n"/>
      <c r="K62" s="533">
        <f>"Lần 1 - "&amp;Theo_Doi_Tan_Suat_Cot_Thep!B9&amp;" - "&amp;Theo_Doi_Tan_Suat_Cot_Thep!C9</f>
        <v/>
      </c>
      <c r="L62" s="590" t="n"/>
      <c r="M62" s="590" t="n"/>
      <c r="N62" s="513">
        <f>IFERROR(VALUE(MID(K62,FIND("Lần ",K62)+4,FIND(" -",K62)-FIND("Lần ",K62)-4)),"")</f>
        <v/>
      </c>
    </row>
    <row r="63" ht="50" customHeight="1" s="672">
      <c r="A63" s="532">
        <f>+A62+1</f>
        <v/>
      </c>
      <c r="B63" s="583" t="inlineStr">
        <is>
          <t>Phần cầu - Cầu Km19+529,080</t>
        </is>
      </c>
      <c r="C63" s="533">
        <f>"Lấy mẫu tần suất: "&amp;Tong_Hop_Tan_Suat_Vat_Lieu!B13</f>
        <v/>
      </c>
      <c r="D63" s="729" t="n">
        <v>0.5625</v>
      </c>
      <c r="E63" s="729" t="n">
        <v>0.5833333333333334</v>
      </c>
      <c r="F63" s="534">
        <f>IF(N(G63)&lt;=0,"",G63-1)</f>
        <v/>
      </c>
      <c r="G63" s="534">
        <f>Theo_Doi_Tan_Suat_Cot_Thep!M14</f>
        <v/>
      </c>
      <c r="H63" s="730">
        <f>IF(N(F63)&lt;=0,"","PYC/09-XL-307HG/TS/"&amp;TEXT(F63,"d.m.yyyy")&amp;"/"&amp;TEXT(N63,"00"))</f>
        <v/>
      </c>
      <c r="I63" s="534">
        <f>IF(N(G63)&lt;=0,"","NTCV/09-XL-307HG/TS/"&amp;TEXT(G63,"d.m.yyyy")&amp;"/"&amp;TEXT(N63,"00"))</f>
        <v/>
      </c>
      <c r="J63" s="534" t="n"/>
      <c r="K63" s="533">
        <f>"Lần 1 - "&amp;Theo_Doi_Tan_Suat_Cot_Thep!B14&amp;" - "&amp;Theo_Doi_Tan_Suat_Cot_Thep!C14</f>
        <v/>
      </c>
      <c r="L63" s="590" t="n"/>
      <c r="M63" s="590" t="n"/>
      <c r="N63" s="513">
        <f>IFERROR(VALUE(MID(K63,FIND("Lần ",K63)+4,FIND(" -",K63)-FIND("Lần ",K63)-4)),"")</f>
        <v/>
      </c>
    </row>
    <row r="64" ht="50" customHeight="1" s="672">
      <c r="A64" s="532">
        <f>+A63+1</f>
        <v/>
      </c>
      <c r="B64" s="583" t="inlineStr">
        <is>
          <t>Phần cầu - Cầu Km19+529,080</t>
        </is>
      </c>
      <c r="C64" s="533">
        <f>"Lấy mẫu tần suất: "&amp;Tong_Hop_Tan_Suat_Vat_Lieu!B17</f>
        <v/>
      </c>
      <c r="D64" s="729" t="n">
        <v>0.5625</v>
      </c>
      <c r="E64" s="729" t="n">
        <v>0.5833333333333334</v>
      </c>
      <c r="F64" s="534">
        <f>IF(N(G64)&lt;=0,"",G64-1)</f>
        <v/>
      </c>
      <c r="G64" s="534">
        <f>Theo_Doi_Tan_Suat_Cot_Thep!M16</f>
        <v/>
      </c>
      <c r="H64" s="730">
        <f>IF(N(F64)&lt;=0,"","PYC/09-XL-307HG/TS/"&amp;TEXT(F64,"d.m.yyyy")&amp;"/"&amp;TEXT(N64,"00"))</f>
        <v/>
      </c>
      <c r="I64" s="534">
        <f>IF(N(G64)&lt;=0,"","NTCV/09-XL-307HG/TS/"&amp;TEXT(G64,"d.m.yyyy")&amp;"/"&amp;TEXT(N64,"00"))</f>
        <v/>
      </c>
      <c r="J64" s="534" t="n"/>
      <c r="K64" s="533">
        <f>"Lần 1 - "&amp;Theo_Doi_Tan_Suat_Cot_Thep!B16&amp;" - "&amp;Theo_Doi_Tan_Suat_Cot_Thep!C16</f>
        <v/>
      </c>
      <c r="L64" s="590" t="n"/>
      <c r="M64" s="590" t="n"/>
      <c r="N64" s="513">
        <f>IFERROR(VALUE(MID(K64,FIND("Lần ",K64)+4,FIND(" -",K64)-FIND("Lần ",K64)-4)),"")</f>
        <v/>
      </c>
    </row>
    <row r="65" ht="50" customHeight="1" s="672">
      <c r="A65" s="532">
        <f>+A64+1</f>
        <v/>
      </c>
      <c r="B65" s="583" t="inlineStr">
        <is>
          <t>Phần cầu - Cầu Km19+529,080</t>
        </is>
      </c>
      <c r="C65" s="533">
        <f>"Lấy mẫu tần suất: "&amp;Tong_Hop_Tan_Suat_Vat_Lieu!B15</f>
        <v/>
      </c>
      <c r="D65" s="729" t="n">
        <v>0.5625</v>
      </c>
      <c r="E65" s="729" t="n">
        <v>0.5833333333333334</v>
      </c>
      <c r="F65" s="534">
        <f>IF(N(G65)&lt;=0,"",G65-1)</f>
        <v/>
      </c>
      <c r="G65" s="534">
        <f>Theo_Doi_Tan_Suat_Cot_Thep!M18</f>
        <v/>
      </c>
      <c r="H65" s="730">
        <f>IF(N(F65)&lt;=0,"","PYC/09-XL-307HG/TS/"&amp;TEXT(F65,"d.m.yyyy")&amp;"/"&amp;TEXT(N65,"00"))</f>
        <v/>
      </c>
      <c r="I65" s="534">
        <f>IF(N(G65)&lt;=0,"","NTCV/09-XL-307HG/TS/"&amp;TEXT(G65,"d.m.yyyy")&amp;"/"&amp;TEXT(N65,"00"))</f>
        <v/>
      </c>
      <c r="J65" s="534" t="n"/>
      <c r="K65" s="533">
        <f>"Lần 1 - "&amp;Theo_Doi_Tan_Suat_Cot_Thep!B18&amp;" - "&amp;Theo_Doi_Tan_Suat_Cot_Thep!C18</f>
        <v/>
      </c>
      <c r="L65" s="590" t="n"/>
      <c r="M65" s="590" t="n"/>
      <c r="N65" s="513">
        <f>IFERROR(VALUE(MID(K65,FIND("Lần ",K65)+4,FIND(" -",K65)-FIND("Lần ",K65)-4)),"")</f>
        <v/>
      </c>
    </row>
    <row r="66" ht="50" customHeight="1" s="672">
      <c r="A66" s="532">
        <f>+A65+1</f>
        <v/>
      </c>
      <c r="B66" s="583" t="inlineStr">
        <is>
          <t>Phần cầu - Cầu Km19+529,080</t>
        </is>
      </c>
      <c r="C66" s="533">
        <f>"Lấy mẫu tần suất: "&amp;Tong_Hop_Tan_Suat_Vat_Lieu!B19</f>
        <v/>
      </c>
      <c r="D66" s="729" t="n">
        <v>0.5625</v>
      </c>
      <c r="E66" s="729" t="n">
        <v>0.5833333333333334</v>
      </c>
      <c r="F66" s="534">
        <f>IF(N(G66)&lt;=0,"",G66-1)</f>
        <v/>
      </c>
      <c r="G66" s="534">
        <f>Theo_Doi_Tan_Suat_Cot_Thep!M91</f>
        <v/>
      </c>
      <c r="H66" s="730">
        <f>IF(N(F66)&lt;=0,"","PYC/09-XL-307HG/TS/"&amp;TEXT(F66,"d.m.yyyy")&amp;"/"&amp;TEXT(N66,"00"))</f>
        <v/>
      </c>
      <c r="I66" s="534">
        <f>IF(N(G66)&lt;=0,"","NTCV/09-XL-307HG/TS/"&amp;TEXT(G66,"d.m.yyyy")&amp;"/"&amp;TEXT(N66,"00"))</f>
        <v/>
      </c>
      <c r="J66" s="534" t="n"/>
      <c r="K66" s="533">
        <f>"Lần 2 - "&amp;Theo_Doi_Tan_Suat_Cot_Thep!B91&amp;" - "&amp;Theo_Doi_Tan_Suat_Cot_Thep!C91</f>
        <v/>
      </c>
      <c r="L66" s="590" t="n"/>
      <c r="M66" s="590" t="n"/>
      <c r="N66" s="513">
        <f>IFERROR(VALUE(MID(K66,FIND("Lần ",K66)+4,FIND(" -",K66)-FIND("Lần ",K66)-4)),"")</f>
        <v/>
      </c>
    </row>
    <row r="67" ht="50" customHeight="1" s="672">
      <c r="A67" s="532">
        <f>+A66+1</f>
        <v/>
      </c>
      <c r="B67" s="583" t="inlineStr">
        <is>
          <t>Phần cầu - Cầu Km19+529,080</t>
        </is>
      </c>
      <c r="C67" s="533">
        <f>"Lấy mẫu tần suất: "&amp;Tong_Hop_Tan_Suat_Vat_Lieu!B19</f>
        <v/>
      </c>
      <c r="D67" s="729" t="n">
        <v>0.5625</v>
      </c>
      <c r="E67" s="729" t="n">
        <v>0.5833333333333334</v>
      </c>
      <c r="F67" s="534">
        <f>IF(N(G67)&lt;=0,"",G67-1)</f>
        <v/>
      </c>
      <c r="G67" s="534">
        <f>Theo_Doi_Tan_Suat_Cot_Thep!M171</f>
        <v/>
      </c>
      <c r="H67" s="730">
        <f>IF(N(F67)&lt;=0,"","PYC/09-XL-307HG/TS/"&amp;TEXT(F67,"d.m.yyyy")&amp;"/"&amp;TEXT(N67,"00"))</f>
        <v/>
      </c>
      <c r="I67" s="534">
        <f>IF(N(G67)&lt;=0,"","NTCV/09-XL-307HG/TS/"&amp;TEXT(G67,"d.m.yyyy")&amp;"/"&amp;TEXT(N67,"00"))</f>
        <v/>
      </c>
      <c r="J67" s="534" t="n"/>
      <c r="K67" s="533">
        <f>"Lần 3 - "&amp;Theo_Doi_Tan_Suat_Cot_Thep!B171&amp;" - "&amp;Theo_Doi_Tan_Suat_Cot_Thep!C171</f>
        <v/>
      </c>
      <c r="L67" s="590" t="n"/>
      <c r="M67" s="590" t="n"/>
      <c r="N67" s="513">
        <f>IFERROR(VALUE(MID(K67,FIND("Lần ",K67)+4,FIND(" -",K67)-FIND("Lần ",K67)-4)),"")</f>
        <v/>
      </c>
    </row>
    <row r="68" ht="50" customHeight="1" s="672">
      <c r="A68" s="532">
        <f>+A67+1</f>
        <v/>
      </c>
      <c r="B68" s="583" t="inlineStr">
        <is>
          <t>Phần cầu - Cầu Km19+529,080</t>
        </is>
      </c>
      <c r="C68" s="533">
        <f>"Lấy mẫu tần suất: "&amp;Tong_Hop_Tan_Suat_Vat_Lieu!B20</f>
        <v/>
      </c>
      <c r="D68" s="729" t="n">
        <v>0.5625</v>
      </c>
      <c r="E68" s="729" t="n">
        <v>0.5833333333333334</v>
      </c>
      <c r="F68" s="534">
        <f>IF(N(G68)&lt;=0,"",G68-1)</f>
        <v/>
      </c>
      <c r="G68" s="534">
        <f>Theo_Doi_Tan_Suat_Cot_Thep!M265</f>
        <v/>
      </c>
      <c r="H68" s="730">
        <f>IF(N(F68)&lt;=0,"","PYC/09-XL-307HG/TS/"&amp;TEXT(F68,"d.m.yyyy")&amp;"/"&amp;TEXT(N68,"00"))</f>
        <v/>
      </c>
      <c r="I68" s="534">
        <f>IF(N(G68)&lt;=0,"","NTCV/09-XL-307HG/TS/"&amp;TEXT(G68,"d.m.yyyy")&amp;"/"&amp;TEXT(N68,"00"))</f>
        <v/>
      </c>
      <c r="J68" s="534" t="n"/>
      <c r="K68" s="533">
        <f>"Lần 1 - "&amp;Theo_Doi_Tan_Suat_Cot_Thep!B265&amp;" - "&amp;Theo_Doi_Tan_Suat_Cot_Thep!C265</f>
        <v/>
      </c>
      <c r="L68" s="590" t="n"/>
      <c r="M68" s="590" t="n"/>
      <c r="N68" s="513">
        <f>IFERROR(VALUE(MID(K68,FIND("Lần ",K68)+4,FIND(" -",K68)-FIND("Lần ",K68)-4)),"")</f>
        <v/>
      </c>
    </row>
    <row r="69" ht="50" customHeight="1" s="672">
      <c r="A69" s="532">
        <f>+A68+1</f>
        <v/>
      </c>
      <c r="B69" s="583" t="inlineStr">
        <is>
          <t>Phần cầu - Cầu Km19+529,080</t>
        </is>
      </c>
      <c r="C69" s="533">
        <f>"Lấy mẫu tần suất: "&amp;Tong_Hop_Tan_Suat_Vat_Lieu!B19</f>
        <v/>
      </c>
      <c r="D69" s="729" t="n">
        <v>0.5625</v>
      </c>
      <c r="E69" s="729" t="n">
        <v>0.5833333333333334</v>
      </c>
      <c r="F69" s="534">
        <f>IF(N(G69)&lt;=0,"",G69-1)</f>
        <v/>
      </c>
      <c r="G69" s="534">
        <f>Theo_Doi_Tan_Suat_Cot_Thep!M269</f>
        <v/>
      </c>
      <c r="H69" s="730">
        <f>IF(N(F69)&lt;=0,"","PYC/09-XL-307HG/TS/"&amp;TEXT(F69,"d.m.yyyy")&amp;"/"&amp;TEXT(N69,"00"))</f>
        <v/>
      </c>
      <c r="I69" s="534">
        <f>IF(N(G69)&lt;=0,"","NTCV/09-XL-307HG/TS/"&amp;TEXT(G69,"d.m.yyyy")&amp;"/"&amp;TEXT(N69,"00"))</f>
        <v/>
      </c>
      <c r="J69" s="534" t="n"/>
      <c r="K69" s="533">
        <f>"Lần 4 - "&amp;Theo_Doi_Tan_Suat_Cot_Thep!B269&amp;" - "&amp;Theo_Doi_Tan_Suat_Cot_Thep!C269</f>
        <v/>
      </c>
      <c r="L69" s="590" t="n"/>
      <c r="M69" s="590" t="n"/>
      <c r="N69" s="513">
        <f>IFERROR(VALUE(MID(K69,FIND("Lần ",K69)+4,FIND(" -",K69)-FIND("Lần ",K69)-4)),"")</f>
        <v/>
      </c>
    </row>
    <row r="70" ht="50" customHeight="1" s="672">
      <c r="A70" s="532">
        <f>+A69+1</f>
        <v/>
      </c>
      <c r="B70" s="583" t="inlineStr">
        <is>
          <t>Phần cầu - Cầu Km19+529,080</t>
        </is>
      </c>
      <c r="C70" s="533">
        <f>"Lấy mẫu tần suất: "&amp;Tong_Hop_Tan_Suat_Vat_Lieu!B19</f>
        <v/>
      </c>
      <c r="D70" s="729" t="n">
        <v>0.5625</v>
      </c>
      <c r="E70" s="729" t="n">
        <v>0.5833333333333334</v>
      </c>
      <c r="F70" s="534">
        <f>IF(N(G70)&lt;=0,"",G70-1)</f>
        <v/>
      </c>
      <c r="G70" s="534">
        <f>Theo_Doi_Tan_Suat_Cot_Thep!M392</f>
        <v/>
      </c>
      <c r="H70" s="730">
        <f>IF(N(F70)&lt;=0,"","PYC/09-XL-307HG/TS/"&amp;TEXT(F70,"d.m.yyyy")&amp;"/"&amp;TEXT(N70,"00"))</f>
        <v/>
      </c>
      <c r="I70" s="534">
        <f>IF(N(G70)&lt;=0,"","NTCV/09-XL-307HG/TS/"&amp;TEXT(G70,"d.m.yyyy")&amp;"/"&amp;TEXT(N70,"00"))</f>
        <v/>
      </c>
      <c r="J70" s="534" t="n"/>
      <c r="K70" s="533">
        <f>"Lần 5 - "&amp;Theo_Doi_Tan_Suat_Cot_Thep!B392&amp;" - "&amp;Theo_Doi_Tan_Suat_Cot_Thep!C392</f>
        <v/>
      </c>
      <c r="L70" s="590" t="n"/>
      <c r="M70" s="590" t="n"/>
      <c r="N70" s="513">
        <f>IFERROR(VALUE(MID(K70,FIND("Lần ",K70)+4,FIND(" -",K70)-FIND("Lần ",K70)-4)),"")</f>
        <v/>
      </c>
    </row>
    <row r="71" ht="50" customHeight="1" s="672">
      <c r="A71" s="532">
        <f>+A70+1</f>
        <v/>
      </c>
      <c r="B71" s="583" t="inlineStr">
        <is>
          <t>Phần cầu - Cầu Km19+529,080</t>
        </is>
      </c>
      <c r="C71" s="533">
        <f>"Lấy mẫu tần suất: "&amp;Tong_Hop_Tan_Suat_Vat_Lieu!B21</f>
        <v/>
      </c>
      <c r="D71" s="729" t="n">
        <v>0.5625</v>
      </c>
      <c r="E71" s="729" t="n">
        <v>0.5833333333333334</v>
      </c>
      <c r="F71" s="534">
        <f>IF(N(G71)&lt;=0,"",G71-1)</f>
        <v/>
      </c>
      <c r="G71" s="534">
        <f>Theo_Doi_Tan_Suat_Cot_Thep!M431</f>
        <v/>
      </c>
      <c r="H71" s="730">
        <f>IF(N(F71)&lt;=0,"","PYC/09-XL-307HG/TS/"&amp;TEXT(F71,"d.m.yyyy")&amp;"/"&amp;TEXT(N71,"00"))</f>
        <v/>
      </c>
      <c r="I71" s="534">
        <f>IF(N(G71)&lt;=0,"","NTCV/09-XL-307HG/TS/"&amp;TEXT(G71,"d.m.yyyy")&amp;"/"&amp;TEXT(N71,"00"))</f>
        <v/>
      </c>
      <c r="J71" s="534" t="n"/>
      <c r="K71" s="533">
        <f>"Lần 1 - "&amp;Theo_Doi_Tan_Suat_Cot_Thep!B431&amp;" - "&amp;Theo_Doi_Tan_Suat_Cot_Thep!C431</f>
        <v/>
      </c>
      <c r="L71" s="590" t="n"/>
      <c r="M71" s="590" t="n"/>
      <c r="N71" s="513">
        <f>IFERROR(VALUE(MID(K71,FIND("Lần ",K71)+4,FIND(" -",K71)-FIND("Lần ",K71)-4)),"")</f>
        <v/>
      </c>
    </row>
    <row r="72" ht="50" customHeight="1" s="672">
      <c r="A72" s="532">
        <f>+A71+1</f>
        <v/>
      </c>
      <c r="B72" s="583" t="inlineStr">
        <is>
          <t>Phần cầu - Cầu Km19+529,080</t>
        </is>
      </c>
      <c r="C72" s="533">
        <f>"Lấy mẫu tần suất: "&amp;Tong_Hop_Tan_Suat_Vat_Lieu!B16</f>
        <v/>
      </c>
      <c r="D72" s="729" t="n">
        <v>0.5625</v>
      </c>
      <c r="E72" s="729" t="n">
        <v>0.5833333333333334</v>
      </c>
      <c r="F72" s="534">
        <f>IF(N(G72)&lt;=0,"",G72-1)</f>
        <v/>
      </c>
      <c r="G72" s="534">
        <f>Theo_Doi_Tan_Suat_Cot_Thep!M432</f>
        <v/>
      </c>
      <c r="H72" s="730">
        <f>IF(N(F72)&lt;=0,"","PYC/09-XL-307HG/TS/"&amp;TEXT(F72,"d.m.yyyy")&amp;"/"&amp;TEXT(N72,"00"))</f>
        <v/>
      </c>
      <c r="I72" s="534">
        <f>IF(N(G72)&lt;=0,"","NTCV/09-XL-307HG/TS/"&amp;TEXT(G72,"d.m.yyyy")&amp;"/"&amp;TEXT(N72,"00"))</f>
        <v/>
      </c>
      <c r="J72" s="534" t="n"/>
      <c r="K72" s="533">
        <f>"Lần 1 - "&amp;Theo_Doi_Tan_Suat_Cot_Thep!B432&amp;" - "&amp;Theo_Doi_Tan_Suat_Cot_Thep!C432</f>
        <v/>
      </c>
      <c r="L72" s="590" t="n"/>
      <c r="M72" s="590" t="n"/>
      <c r="N72" s="513">
        <f>IFERROR(VALUE(MID(K72,FIND("Lần ",K72)+4,FIND(" -",K72)-FIND("Lần ",K72)-4)),"")</f>
        <v/>
      </c>
    </row>
    <row r="73" ht="50" customHeight="1" s="672">
      <c r="A73" s="532">
        <f>+A72+1</f>
        <v/>
      </c>
      <c r="B73" s="583" t="inlineStr">
        <is>
          <t>Phần cầu - Cầu Km19+529,080</t>
        </is>
      </c>
      <c r="C73" s="533">
        <f>"Lấy mẫu tần suất: "&amp;Tong_Hop_Tan_Suat_Vat_Lieu!B21</f>
        <v/>
      </c>
      <c r="D73" s="729" t="n">
        <v>0.5625</v>
      </c>
      <c r="E73" s="729" t="n">
        <v>0.5833333333333334</v>
      </c>
      <c r="F73" s="534">
        <f>IF(N(G73)&lt;=0,"",G73-1)</f>
        <v/>
      </c>
      <c r="G73" s="534">
        <f>Theo_Doi_Tan_Suat_Cot_Thep!M441</f>
        <v/>
      </c>
      <c r="H73" s="730">
        <f>IF(N(F73)&lt;=0,"","PYC/09-XL-307HG/TS/"&amp;TEXT(F73,"d.m.yyyy")&amp;"/"&amp;TEXT(N73,"00"))</f>
        <v/>
      </c>
      <c r="I73" s="534">
        <f>IF(N(G73)&lt;=0,"","NTCV/09-XL-307HG/TS/"&amp;TEXT(G73,"d.m.yyyy")&amp;"/"&amp;TEXT(N73,"00"))</f>
        <v/>
      </c>
      <c r="J73" s="534" t="n"/>
      <c r="K73" s="533">
        <f>"Lần 2 - "&amp;Theo_Doi_Tan_Suat_Cot_Thep!B441&amp;" - "&amp;Theo_Doi_Tan_Suat_Cot_Thep!C441</f>
        <v/>
      </c>
      <c r="L73" s="590" t="n"/>
      <c r="M73" s="590" t="n"/>
      <c r="N73" s="513">
        <f>IFERROR(VALUE(MID(K73,FIND("Lần ",K73)+4,FIND(" -",K73)-FIND("Lần ",K73)-4)),"")</f>
        <v/>
      </c>
    </row>
    <row r="74" ht="50" customHeight="1" s="672">
      <c r="A74" s="532">
        <f>+A73+1</f>
        <v/>
      </c>
      <c r="B74" s="583" t="inlineStr">
        <is>
          <t>Phần cầu - Cầu Km19+529,080</t>
        </is>
      </c>
      <c r="C74" s="533">
        <f>"Lấy mẫu tần suất: "&amp;Tong_Hop_Tan_Suat_Vat_Lieu!B14</f>
        <v/>
      </c>
      <c r="D74" s="729" t="n">
        <v>0.5625</v>
      </c>
      <c r="E74" s="729" t="n">
        <v>0.5833333333333334</v>
      </c>
      <c r="F74" s="534">
        <f>IF(N(G74)&lt;=0,"",G74-1)</f>
        <v/>
      </c>
      <c r="G74" s="534">
        <f>Theo_Doi_Tan_Suat_Cot_Thep!M448</f>
        <v/>
      </c>
      <c r="H74" s="730">
        <f>IF(N(F74)&lt;=0,"","PYC/09-XL-307HG/TS/"&amp;TEXT(F74,"d.m.yyyy")&amp;"/"&amp;TEXT(N74,"00"))</f>
        <v/>
      </c>
      <c r="I74" s="534">
        <f>IF(N(G74)&lt;=0,"","NTCV/09-XL-307HG/TS/"&amp;TEXT(G74,"d.m.yyyy")&amp;"/"&amp;TEXT(N74,"00"))</f>
        <v/>
      </c>
      <c r="J74" s="534" t="n"/>
      <c r="K74" s="533">
        <f>"Lần 1 - "&amp;Theo_Doi_Tan_Suat_Cot_Thep!B448&amp;" - "&amp;Theo_Doi_Tan_Suat_Cot_Thep!C448</f>
        <v/>
      </c>
      <c r="L74" s="590" t="n"/>
      <c r="M74" s="590" t="n"/>
      <c r="N74" s="513">
        <f>IFERROR(VALUE(MID(K74,FIND("Lần ",K74)+4,FIND(" -",K74)-FIND("Lần ",K74)-4)),"")</f>
        <v/>
      </c>
    </row>
    <row r="75" ht="50" customHeight="1" s="672">
      <c r="A75" s="532">
        <f>+A74+1</f>
        <v/>
      </c>
      <c r="B75" s="583" t="inlineStr">
        <is>
          <t>Phần cầu - Cầu Km19+529,080</t>
        </is>
      </c>
      <c r="C75" s="533">
        <f>"Lấy mẫu tần suất: "&amp;Tong_Hop_Tan_Suat_Vat_Lieu!B18</f>
        <v/>
      </c>
      <c r="D75" s="729" t="n">
        <v>0.5625</v>
      </c>
      <c r="E75" s="729" t="n">
        <v>0.5833333333333334</v>
      </c>
      <c r="F75" s="534">
        <f>IF(N(G75)&lt;=0,"",G75-1)</f>
        <v/>
      </c>
      <c r="G75" s="534">
        <f>Theo_Doi_Tan_Suat_Cot_Thep!M490</f>
        <v/>
      </c>
      <c r="H75" s="730">
        <f>IF(N(F75)&lt;=0,"","PYC/09-XL-307HG/TS/"&amp;TEXT(F75,"d.m.yyyy")&amp;"/"&amp;TEXT(N75,"00"))</f>
        <v/>
      </c>
      <c r="I75" s="534">
        <f>IF(N(G75)&lt;=0,"","NTCV/09-XL-307HG/TS/"&amp;TEXT(G75,"d.m.yyyy")&amp;"/"&amp;TEXT(N75,"00"))</f>
        <v/>
      </c>
      <c r="J75" s="534" t="n"/>
      <c r="K75" s="533">
        <f>"Lần 1 - "&amp;Theo_Doi_Tan_Suat_Cot_Thep!B490&amp;" - "&amp;Theo_Doi_Tan_Suat_Cot_Thep!C490</f>
        <v/>
      </c>
      <c r="L75" s="590" t="n"/>
      <c r="M75" s="590" t="n"/>
      <c r="N75" s="513">
        <f>IFERROR(VALUE(MID(K75,FIND("Lần ",K75)+4,FIND(" -",K75)-FIND("Lần ",K75)-4)),"")</f>
        <v/>
      </c>
    </row>
    <row r="76" ht="50" customHeight="1" s="672">
      <c r="A76" s="532">
        <f>+A75+1</f>
        <v/>
      </c>
      <c r="B76" s="583" t="inlineStr">
        <is>
          <t>Phần cầu - Cầu Km19+529,080</t>
        </is>
      </c>
      <c r="C76" s="533">
        <f>"Lấy mẫu tần suất: "&amp;Tong_Hop_Tan_Suat_Vat_Lieu!B15</f>
        <v/>
      </c>
      <c r="D76" s="729" t="n">
        <v>0.5625</v>
      </c>
      <c r="E76" s="729" t="n">
        <v>0.5833333333333334</v>
      </c>
      <c r="F76" s="534">
        <f>IF(N(G76)&lt;=0,"",G76-1)</f>
        <v/>
      </c>
      <c r="G76" s="534">
        <f>Theo_Doi_Tan_Suat_Cot_Thep!M524</f>
        <v/>
      </c>
      <c r="H76" s="730">
        <f>IF(N(F76)&lt;=0,"","PYC/09-XL-307HG/TS/"&amp;TEXT(F76,"d.m.yyyy")&amp;"/"&amp;TEXT(N76,"00"))</f>
        <v/>
      </c>
      <c r="I76" s="534">
        <f>IF(N(G76)&lt;=0,"","NTCV/09-XL-307HG/TS/"&amp;TEXT(G76,"d.m.yyyy")&amp;"/"&amp;TEXT(N76,"00"))</f>
        <v/>
      </c>
      <c r="J76" s="534" t="n"/>
      <c r="K76" s="533">
        <f>"Lần 2 - "&amp;Theo_Doi_Tan_Suat_Cot_Thep!B524&amp;" - "&amp;Theo_Doi_Tan_Suat_Cot_Thep!C524</f>
        <v/>
      </c>
      <c r="L76" s="590" t="n"/>
      <c r="M76" s="590" t="n"/>
      <c r="N76" s="513">
        <f>IFERROR(VALUE(MID(K76,FIND("Lần ",K76)+4,FIND(" -",K76)-FIND("Lần ",K76)-4)),"")</f>
        <v/>
      </c>
    </row>
    <row r="77" ht="50" customHeight="1" s="672">
      <c r="A77" s="532">
        <f>+A76+1</f>
        <v/>
      </c>
      <c r="B77" s="583" t="inlineStr">
        <is>
          <t>Phần cầu - Cầu Km19+529,080</t>
        </is>
      </c>
      <c r="C77" s="533">
        <f>"Lấy mẫu tần suất: "&amp;Tong_Hop_Tan_Suat_Vat_Lieu!B21</f>
        <v/>
      </c>
      <c r="D77" s="729" t="n">
        <v>0.5625</v>
      </c>
      <c r="E77" s="729" t="n">
        <v>0.5833333333333334</v>
      </c>
      <c r="F77" s="534">
        <f>IF(N(G77)&lt;=0,"",G77-1)</f>
        <v/>
      </c>
      <c r="G77" s="534">
        <f>Theo_Doi_Tan_Suat_Cot_Thep!M527</f>
        <v/>
      </c>
      <c r="H77" s="730">
        <f>IF(N(F77)&lt;=0,"","PYC/09-XL-307HG/TS/"&amp;TEXT(F77,"d.m.yyyy")&amp;"/"&amp;TEXT(N77,"00"))</f>
        <v/>
      </c>
      <c r="I77" s="534">
        <f>IF(N(G77)&lt;=0,"","NTCV/09-XL-307HG/TS/"&amp;TEXT(G77,"d.m.yyyy")&amp;"/"&amp;TEXT(N77,"00"))</f>
        <v/>
      </c>
      <c r="J77" s="534" t="n"/>
      <c r="K77" s="533">
        <f>"Lần 3 - "&amp;Theo_Doi_Tan_Suat_Cot_Thep!B527&amp;" - "&amp;Theo_Doi_Tan_Suat_Cot_Thep!C527</f>
        <v/>
      </c>
      <c r="L77" s="590" t="n"/>
      <c r="M77" s="590" t="n"/>
      <c r="N77" s="513">
        <f>IFERROR(VALUE(MID(K77,FIND("Lần ",K77)+4,FIND(" -",K77)-FIND("Lần ",K77)-4)),"")</f>
        <v/>
      </c>
    </row>
    <row r="78" ht="50" customHeight="1" s="672">
      <c r="A78" s="532">
        <f>+A77+1</f>
        <v/>
      </c>
      <c r="B78" s="583" t="inlineStr">
        <is>
          <t>Phần cầu - Cầu Km19+529,080</t>
        </is>
      </c>
      <c r="C78" s="533">
        <f>"Lấy mẫu tần suất: "&amp;Tong_Hop_Tan_Suat_Vat_Lieu!B21</f>
        <v/>
      </c>
      <c r="D78" s="729" t="n">
        <v>0.5625</v>
      </c>
      <c r="E78" s="729" t="n">
        <v>0.5833333333333334</v>
      </c>
      <c r="F78" s="534">
        <f>IF(N(G78)&lt;=0,"",G78-1)</f>
        <v/>
      </c>
      <c r="G78" s="534">
        <f>Theo_Doi_Tan_Suat_Cot_Thep!M595</f>
        <v/>
      </c>
      <c r="H78" s="730">
        <f>IF(N(F78)&lt;=0,"","PYC/09-XL-307HG/TS/"&amp;TEXT(F78,"d.m.yyyy")&amp;"/"&amp;TEXT(N78,"00"))</f>
        <v/>
      </c>
      <c r="I78" s="534">
        <f>IF(N(G78)&lt;=0,"","NTCV/09-XL-307HG/TS/"&amp;TEXT(G78,"d.m.yyyy")&amp;"/"&amp;TEXT(N78,"00"))</f>
        <v/>
      </c>
      <c r="J78" s="534" t="n"/>
      <c r="K78" s="533">
        <f>"Lần 4 - "&amp;Theo_Doi_Tan_Suat_Cot_Thep!B595&amp;" - "&amp;Theo_Doi_Tan_Suat_Cot_Thep!C595</f>
        <v/>
      </c>
      <c r="L78" s="590" t="n"/>
      <c r="M78" s="590" t="n"/>
      <c r="N78" s="513">
        <f>IFERROR(VALUE(MID(K78,FIND("Lần ",K78)+4,FIND(" -",K78)-FIND("Lần ",K78)-4)),"")</f>
        <v/>
      </c>
    </row>
    <row r="79" ht="50" customHeight="1" s="672">
      <c r="A79" s="532">
        <f>+A78+1</f>
        <v/>
      </c>
      <c r="B79" s="583" t="inlineStr">
        <is>
          <t>Phần cầu - Cầu Km19+529,080</t>
        </is>
      </c>
      <c r="C79" s="533">
        <f>"Lấy mẫu tần suất: "&amp;Tong_Hop_Tan_Suat_Vat_Lieu!B15</f>
        <v/>
      </c>
      <c r="D79" s="729" t="n">
        <v>0.5625</v>
      </c>
      <c r="E79" s="729" t="n">
        <v>0.5833333333333334</v>
      </c>
      <c r="F79" s="534">
        <f>IF(N(G79)&lt;=0,"",G79-1)</f>
        <v/>
      </c>
      <c r="G79" s="534">
        <f>Theo_Doi_Tan_Suat_Cot_Thep!M602</f>
        <v/>
      </c>
      <c r="H79" s="730">
        <f>IF(N(F79)&lt;=0,"","PYC/09-XL-307HG/TS/"&amp;TEXT(F79,"d.m.yyyy")&amp;"/"&amp;TEXT(N79,"00"))</f>
        <v/>
      </c>
      <c r="I79" s="534">
        <f>IF(N(G79)&lt;=0,"","NTCV/09-XL-307HG/TS/"&amp;TEXT(G79,"d.m.yyyy")&amp;"/"&amp;TEXT(N79,"00"))</f>
        <v/>
      </c>
      <c r="J79" s="534" t="n"/>
      <c r="K79" s="533">
        <f>"Lần 3 - "&amp;Theo_Doi_Tan_Suat_Cot_Thep!B602&amp;" - "&amp;Theo_Doi_Tan_Suat_Cot_Thep!C602</f>
        <v/>
      </c>
      <c r="L79" s="590" t="n"/>
      <c r="M79" s="590" t="n"/>
      <c r="N79" s="513">
        <f>IFERROR(VALUE(MID(K79,FIND("Lần ",K79)+4,FIND(" -",K79)-FIND("Lần ",K79)-4)),"")</f>
        <v/>
      </c>
    </row>
    <row r="80" ht="50" customHeight="1" s="672">
      <c r="A80" s="532">
        <f>+A79+1</f>
        <v/>
      </c>
      <c r="B80" s="583" t="inlineStr">
        <is>
          <t>Phần cầu - Cầu Km19+529,080</t>
        </is>
      </c>
      <c r="C80" s="533">
        <f>"Lấy mẫu tần suất: "&amp;Tong_Hop_Tan_Suat_Vat_Lieu!B15</f>
        <v/>
      </c>
      <c r="D80" s="729" t="n">
        <v>0.5625</v>
      </c>
      <c r="E80" s="729" t="n">
        <v>0.5833333333333334</v>
      </c>
      <c r="F80" s="534">
        <f>IF(N(G80)&lt;=0,"",G80-1)</f>
        <v/>
      </c>
      <c r="G80" s="534">
        <f>Theo_Doi_Tan_Suat_Cot_Thep!M688</f>
        <v/>
      </c>
      <c r="H80" s="730">
        <f>IF(N(F80)&lt;=0,"","PYC/09-XL-307HG/TS/"&amp;TEXT(F80,"d.m.yyyy")&amp;"/"&amp;TEXT(N80,"00"))</f>
        <v/>
      </c>
      <c r="I80" s="534">
        <f>IF(N(G80)&lt;=0,"","NTCV/09-XL-307HG/TS/"&amp;TEXT(G80,"d.m.yyyy")&amp;"/"&amp;TEXT(N80,"00"))</f>
        <v/>
      </c>
      <c r="J80" s="534" t="n"/>
      <c r="K80" s="533">
        <f>"Lần 4 - "&amp;Theo_Doi_Tan_Suat_Cot_Thep!B688&amp;" - "&amp;Theo_Doi_Tan_Suat_Cot_Thep!C688</f>
        <v/>
      </c>
      <c r="L80" s="590" t="n"/>
      <c r="M80" s="590" t="n"/>
      <c r="N80" s="513">
        <f>IFERROR(VALUE(MID(K80,FIND("Lần ",K80)+4,FIND(" -",K80)-FIND("Lần ",K80)-4)),"")</f>
        <v/>
      </c>
    </row>
    <row r="81" ht="50" customHeight="1" s="672">
      <c r="A81" s="532">
        <f>+A80+1</f>
        <v/>
      </c>
      <c r="B81" s="583" t="inlineStr">
        <is>
          <t>Phần cầu - Cầu Km19+529,080</t>
        </is>
      </c>
      <c r="C81" s="533">
        <f>"Lấy mẫu tần suất: "&amp;Tong_Hop_Tan_Suat_Vat_Lieu!B15</f>
        <v/>
      </c>
      <c r="D81" s="729" t="n">
        <v>0.5625</v>
      </c>
      <c r="E81" s="729" t="n">
        <v>0.5833333333333334</v>
      </c>
      <c r="F81" s="534">
        <f>IF(N(G81)&lt;=0,"",G81-1)</f>
        <v/>
      </c>
      <c r="G81" s="534">
        <f>Theo_Doi_Tan_Suat_Cot_Thep!M734</f>
        <v/>
      </c>
      <c r="H81" s="730">
        <f>IF(N(F81)&lt;=0,"","PYC/09-XL-307HG/TS/"&amp;TEXT(F81,"d.m.yyyy")&amp;"/"&amp;TEXT(N81,"00"))</f>
        <v/>
      </c>
      <c r="I81" s="534">
        <f>IF(N(G81)&lt;=0,"","NTCV/09-XL-307HG/TS/"&amp;TEXT(G81,"d.m.yyyy")&amp;"/"&amp;TEXT(N81,"00"))</f>
        <v/>
      </c>
      <c r="J81" s="534" t="n"/>
      <c r="K81" s="533">
        <f>"Lần 5 - "&amp;Theo_Doi_Tan_Suat_Cot_Thep!B734&amp;" - "&amp;Theo_Doi_Tan_Suat_Cot_Thep!C734</f>
        <v/>
      </c>
      <c r="L81" s="590" t="n"/>
      <c r="M81" s="590" t="n"/>
      <c r="N81" s="513">
        <f>IFERROR(VALUE(MID(K81,FIND("Lần ",K81)+4,FIND(" -",K81)-FIND("Lần ",K81)-4)),"")</f>
        <v/>
      </c>
    </row>
    <row r="82" ht="50" customHeight="1" s="672">
      <c r="A82" s="532">
        <f>+A81+1</f>
        <v/>
      </c>
      <c r="B82" s="583" t="inlineStr">
        <is>
          <t>Phần cầu - Cầu Km19+529,080</t>
        </is>
      </c>
      <c r="C82" s="533">
        <f>"Lấy mẫu tần suất: "&amp;Tong_Hop_Tan_Suat_Vat_Lieu!B13</f>
        <v/>
      </c>
      <c r="D82" s="729" t="n">
        <v>0.5625</v>
      </c>
      <c r="E82" s="729" t="n">
        <v>0.5833333333333334</v>
      </c>
      <c r="F82" s="534">
        <f>IF(N(G82)&lt;=0,"",G82-1)</f>
        <v/>
      </c>
      <c r="G82" s="534">
        <f>Theo_Doi_Tan_Suat_Cot_Thep!M736</f>
        <v/>
      </c>
      <c r="H82" s="730">
        <f>IF(N(F82)&lt;=0,"","PYC/09-XL-307HG/TS/"&amp;TEXT(F82,"d.m.yyyy")&amp;"/"&amp;TEXT(N82,"00"))</f>
        <v/>
      </c>
      <c r="I82" s="534">
        <f>IF(N(G82)&lt;=0,"","NTCV/09-XL-307HG/TS/"&amp;TEXT(G82,"d.m.yyyy")&amp;"/"&amp;TEXT(N82,"00"))</f>
        <v/>
      </c>
      <c r="J82" s="534" t="n"/>
      <c r="K82" s="533">
        <f>"Lần 2 - "&amp;Theo_Doi_Tan_Suat_Cot_Thep!B736&amp;" - "&amp;Theo_Doi_Tan_Suat_Cot_Thep!C736</f>
        <v/>
      </c>
      <c r="L82" s="590" t="n"/>
      <c r="M82" s="590" t="n"/>
      <c r="N82" s="513">
        <f>IFERROR(VALUE(MID(K82,FIND("Lần ",K82)+4,FIND(" -",K82)-FIND("Lần ",K82)-4)),"")</f>
        <v/>
      </c>
    </row>
    <row r="83" ht="50" customHeight="1" s="672">
      <c r="A83" s="532">
        <f>+A82+1</f>
        <v/>
      </c>
      <c r="B83" s="583" t="inlineStr">
        <is>
          <t>Phần cầu - Cầu Km19+529,080</t>
        </is>
      </c>
      <c r="C83" s="533">
        <f>"Lấy mẫu tần suất: "&amp;Tong_Hop_Tan_Suat_Vat_Lieu!B21</f>
        <v/>
      </c>
      <c r="D83" s="729" t="n">
        <v>0.5625</v>
      </c>
      <c r="E83" s="729" t="n">
        <v>0.5833333333333334</v>
      </c>
      <c r="F83" s="534">
        <f>IF(N(G83)&lt;=0,"",G83-1)</f>
        <v/>
      </c>
      <c r="G83" s="534">
        <f>Theo_Doi_Tan_Suat_Cot_Thep!M746</f>
        <v/>
      </c>
      <c r="H83" s="730">
        <f>IF(N(F83)&lt;=0,"","PYC/09-XL-307HG/TS/"&amp;TEXT(F83,"d.m.yyyy")&amp;"/"&amp;TEXT(N83,"00"))</f>
        <v/>
      </c>
      <c r="I83" s="534">
        <f>IF(N(G83)&lt;=0,"","NTCV/09-XL-307HG/TS/"&amp;TEXT(G83,"d.m.yyyy")&amp;"/"&amp;TEXT(N83,"00"))</f>
        <v/>
      </c>
      <c r="J83" s="534" t="n"/>
      <c r="K83" s="533">
        <f>"Lần 5 - "&amp;Theo_Doi_Tan_Suat_Cot_Thep!B746&amp;" - "&amp;Theo_Doi_Tan_Suat_Cot_Thep!C746</f>
        <v/>
      </c>
      <c r="L83" s="590" t="n"/>
      <c r="M83" s="590" t="n"/>
      <c r="N83" s="513">
        <f>IFERROR(VALUE(MID(K83,FIND("Lần ",K83)+4,FIND(" -",K83)-FIND("Lần ",K83)-4)),"")</f>
        <v/>
      </c>
    </row>
    <row r="84" ht="50" customHeight="1" s="672">
      <c r="A84" s="532">
        <f>+A83+1</f>
        <v/>
      </c>
      <c r="B84" s="583" t="inlineStr">
        <is>
          <t>Phần cầu - Cầu Km19+529,080</t>
        </is>
      </c>
      <c r="C84" s="533">
        <f>"Lấy mẫu tần suất: "&amp;Tong_Hop_Tan_Suat_Vat_Lieu!B22</f>
        <v/>
      </c>
      <c r="D84" s="729" t="n">
        <v>0.5625</v>
      </c>
      <c r="E84" s="729" t="n">
        <v>0.5833333333333334</v>
      </c>
      <c r="F84" s="534">
        <f>IF(N(G84)&lt;=0,"",G84-1)</f>
        <v/>
      </c>
      <c r="G84" s="534">
        <f>Theo_Doi_Tan_Suat_Cot_Thep!M756</f>
        <v/>
      </c>
      <c r="H84" s="730">
        <f>IF(N(F84)&lt;=0,"","PYC/09-XL-307HG/TS/"&amp;TEXT(F84,"d.m.yyyy")&amp;"/"&amp;TEXT(N84,"00"))</f>
        <v/>
      </c>
      <c r="I84" s="534">
        <f>IF(N(G84)&lt;=0,"","NTCV/09-XL-307HG/TS/"&amp;TEXT(G84,"d.m.yyyy")&amp;"/"&amp;TEXT(N84,"00"))</f>
        <v/>
      </c>
      <c r="J84" s="534" t="n"/>
      <c r="K84" s="533">
        <f>"Lần 1 - "&amp;Theo_Doi_Tan_Suat_Cot_Thep!B756&amp;" - "&amp;Theo_Doi_Tan_Suat_Cot_Thep!C756</f>
        <v/>
      </c>
      <c r="L84" s="590" t="n"/>
      <c r="M84" s="590" t="n"/>
      <c r="N84" s="513">
        <f>IFERROR(VALUE(MID(K84,FIND("Lần ",K84)+4,FIND(" -",K84)-FIND("Lần ",K84)-4)),"")</f>
        <v/>
      </c>
    </row>
    <row r="85" ht="50" customHeight="1" s="672">
      <c r="A85" s="532">
        <f>+A84+1</f>
        <v/>
      </c>
      <c r="B85" s="583" t="inlineStr">
        <is>
          <t>Phần cầu - Cầu Km19+529,080</t>
        </is>
      </c>
      <c r="C85" s="533">
        <f>"Lấy mẫu tần suất: "&amp;Tong_Hop_Tan_Suat_Vat_Lieu!B22</f>
        <v/>
      </c>
      <c r="D85" s="729" t="n">
        <v>0.5625</v>
      </c>
      <c r="E85" s="729" t="n">
        <v>0.5833333333333334</v>
      </c>
      <c r="F85" s="534">
        <f>IF(N(G85)&lt;=0,"",G85-1)</f>
        <v/>
      </c>
      <c r="G85" s="534">
        <f>Theo_Doi_Tan_Suat_Cot_Thep!M756</f>
        <v/>
      </c>
      <c r="H85" s="730">
        <f>IF(N(F85)&lt;=0,"","PYC/09-XL-307HG/TS/"&amp;TEXT(F85,"d.m.yyyy")&amp;"/"&amp;TEXT(N85,"00"))</f>
        <v/>
      </c>
      <c r="I85" s="534">
        <f>IF(N(G85)&lt;=0,"","NTCV/09-XL-307HG/TS/"&amp;TEXT(G85,"d.m.yyyy")&amp;"/"&amp;TEXT(N85,"00"))</f>
        <v/>
      </c>
      <c r="J85" s="534" t="n"/>
      <c r="K85" s="533">
        <f>"Lần 2 - "&amp;Theo_Doi_Tan_Suat_Cot_Thep!B756&amp;" - "&amp;Theo_Doi_Tan_Suat_Cot_Thep!C756</f>
        <v/>
      </c>
      <c r="L85" s="590" t="n"/>
      <c r="M85" s="590" t="n"/>
      <c r="N85" s="513">
        <f>IFERROR(VALUE(MID(K85,FIND("Lần ",K85)+4,FIND(" -",K85)-FIND("Lần ",K85)-4)),"")</f>
        <v/>
      </c>
    </row>
    <row r="86" ht="50" customHeight="1" s="672">
      <c r="A86" s="532">
        <f>+A85+1</f>
        <v/>
      </c>
      <c r="B86" s="583" t="inlineStr">
        <is>
          <t>Phần cầu - Cầu Km19+529,080</t>
        </is>
      </c>
      <c r="C86" s="533">
        <f>"Lấy mẫu tần suất: "&amp;Tong_Hop_Tan_Suat_Vat_Lieu!B15</f>
        <v/>
      </c>
      <c r="D86" s="729" t="n">
        <v>0.5625</v>
      </c>
      <c r="E86" s="729" t="n">
        <v>0.5833333333333334</v>
      </c>
      <c r="F86" s="534">
        <f>IF(N(G86)&lt;=0,"",G86-1)</f>
        <v/>
      </c>
      <c r="G86" s="534">
        <f>Theo_Doi_Tan_Suat_Cot_Thep!M762</f>
        <v/>
      </c>
      <c r="H86" s="730">
        <f>IF(N(F86)&lt;=0,"","PYC/09-XL-307HG/TS/"&amp;TEXT(F86,"d.m.yyyy")&amp;"/"&amp;TEXT(N86,"00"))</f>
        <v/>
      </c>
      <c r="I86" s="534">
        <f>IF(N(G86)&lt;=0,"","NTCV/09-XL-307HG/TS/"&amp;TEXT(G86,"d.m.yyyy")&amp;"/"&amp;TEXT(N86,"00"))</f>
        <v/>
      </c>
      <c r="J86" s="534" t="n"/>
      <c r="K86" s="533">
        <f>"Lần 6 - "&amp;Theo_Doi_Tan_Suat_Cot_Thep!B762&amp;" - "&amp;Theo_Doi_Tan_Suat_Cot_Thep!C762</f>
        <v/>
      </c>
      <c r="L86" s="590" t="n"/>
      <c r="M86" s="590" t="n"/>
      <c r="N86" s="513">
        <f>IFERROR(VALUE(MID(K86,FIND("Lần ",K86)+4,FIND(" -",K86)-FIND("Lần ",K86)-4)),"")</f>
        <v/>
      </c>
    </row>
    <row r="87" ht="50" customHeight="1" s="672">
      <c r="A87" s="532">
        <f>+A86+1</f>
        <v/>
      </c>
      <c r="B87" s="583" t="inlineStr">
        <is>
          <t>Phần cầu - Cầu Km19+529,080</t>
        </is>
      </c>
      <c r="C87" s="533">
        <f>"Lấy mẫu tần suất: "&amp;Tong_Hop_Tan_Suat_Vat_Lieu!B16</f>
        <v/>
      </c>
      <c r="D87" s="729" t="n">
        <v>0.5625</v>
      </c>
      <c r="E87" s="729" t="n">
        <v>0.5833333333333334</v>
      </c>
      <c r="F87" s="534">
        <f>IF(N(G87)&lt;=0,"",G87-1)</f>
        <v/>
      </c>
      <c r="G87" s="534">
        <f>Theo_Doi_Tan_Suat_Cot_Thep!M767</f>
        <v/>
      </c>
      <c r="H87" s="730">
        <f>IF(N(F87)&lt;=0,"","PYC/09-XL-307HG/TS/"&amp;TEXT(F87,"d.m.yyyy")&amp;"/"&amp;TEXT(N87,"00"))</f>
        <v/>
      </c>
      <c r="I87" s="534">
        <f>IF(N(G87)&lt;=0,"","NTCV/09-XL-307HG/TS/"&amp;TEXT(G87,"d.m.yyyy")&amp;"/"&amp;TEXT(N87,"00"))</f>
        <v/>
      </c>
      <c r="J87" s="534" t="n"/>
      <c r="K87" s="533">
        <f>"Lần 2 - "&amp;Theo_Doi_Tan_Suat_Cot_Thep!B767&amp;" - "&amp;Theo_Doi_Tan_Suat_Cot_Thep!C767</f>
        <v/>
      </c>
      <c r="L87" s="590" t="n"/>
      <c r="M87" s="590" t="n"/>
      <c r="N87" s="513">
        <f>IFERROR(VALUE(MID(K87,FIND("Lần ",K87)+4,FIND(" -",K87)-FIND("Lần ",K87)-4)),"")</f>
        <v/>
      </c>
    </row>
    <row r="88">
      <c r="A88" s="532">
        <f>+A87+1</f>
        <v/>
      </c>
      <c r="B88" s="583" t="inlineStr">
        <is>
          <t>Phần cầu - Cầu Km19+529,080</t>
        </is>
      </c>
      <c r="C88" s="533">
        <f>"Lấy mẫu tần suất: "&amp;Tong_Hop_Tan_Suat_Vat_Lieu!B16</f>
        <v/>
      </c>
      <c r="D88" s="729" t="n">
        <v>0.5625</v>
      </c>
      <c r="E88" s="729" t="n">
        <v>0.5833333333333334</v>
      </c>
      <c r="F88" s="534">
        <f>IF(N(G88)&lt;=0,"",G88-1)</f>
        <v/>
      </c>
      <c r="G88" s="534">
        <f>Theo_Doi_Tan_Suat_Cot_Thep!M774</f>
        <v/>
      </c>
      <c r="H88" s="730">
        <f>IF(N(F88)&lt;=0,"","PYC/09-XL-307HG/TS/"&amp;TEXT(F88,"d.m.yyyy")&amp;"/"&amp;TEXT(N88,"00"))</f>
        <v/>
      </c>
      <c r="I88" s="534">
        <f>IF(N(G88)&lt;=0,"","NTCV/09-XL-307HG/TS/"&amp;TEXT(G88,"d.m.yyyy")&amp;"/"&amp;TEXT(N88,"00"))</f>
        <v/>
      </c>
      <c r="J88" s="534" t="n"/>
      <c r="K88" s="533">
        <f>"Lần 3 - "&amp;Theo_Doi_Tan_Suat_Cot_Thep!B774&amp;" - "&amp;Theo_Doi_Tan_Suat_Cot_Thep!C774</f>
        <v/>
      </c>
      <c r="L88" s="590" t="n"/>
      <c r="M88" s="590" t="n"/>
      <c r="N88" s="513">
        <f>IFERROR(VALUE(MID(K88,FIND("Lần ",K88)+4,FIND(" -",K88)-FIND("Lần ",K88)-4)),"")</f>
        <v/>
      </c>
    </row>
    <row r="89">
      <c r="A89" s="532">
        <f>+A88+1</f>
        <v/>
      </c>
      <c r="B89" s="583" t="inlineStr">
        <is>
          <t>Phần cầu - Cầu Km19+529,080</t>
        </is>
      </c>
      <c r="C89" s="533">
        <f>"Lấy mẫu tần suất: "&amp;Tong_Hop_Tan_Suat_Vat_Lieu!B14</f>
        <v/>
      </c>
      <c r="D89" s="729" t="n">
        <v>0.5625</v>
      </c>
      <c r="E89" s="729" t="n">
        <v>0.5833333333333334</v>
      </c>
      <c r="F89" s="534">
        <f>IF(N(G89)&lt;=0,"",G89-1)</f>
        <v/>
      </c>
      <c r="G89" s="534">
        <f>Theo_Doi_Tan_Suat_Cot_Thep!M780</f>
        <v/>
      </c>
      <c r="H89" s="730">
        <f>IF(N(F89)&lt;=0,"","PYC/09-XL-307HG/TS/"&amp;TEXT(F89,"d.m.yyyy")&amp;"/"&amp;TEXT(N89,"00"))</f>
        <v/>
      </c>
      <c r="I89" s="534">
        <f>IF(N(G89)&lt;=0,"","NTCV/09-XL-307HG/TS/"&amp;TEXT(G89,"d.m.yyyy")&amp;"/"&amp;TEXT(N89,"00"))</f>
        <v/>
      </c>
      <c r="J89" s="534" t="n"/>
      <c r="K89" s="533">
        <f>"Lần 2 - "&amp;Theo_Doi_Tan_Suat_Cot_Thep!B780&amp;" - "&amp;Theo_Doi_Tan_Suat_Cot_Thep!C780</f>
        <v/>
      </c>
      <c r="L89" s="590" t="n"/>
      <c r="M89" s="590" t="n"/>
      <c r="N89" s="513">
        <f>IFERROR(VALUE(MID(K89,FIND("Lần ",K89)+4,FIND(" -",K89)-FIND("Lần ",K89)-4)),"")</f>
        <v/>
      </c>
    </row>
    <row r="90">
      <c r="A90" s="532">
        <f>+A89+1</f>
        <v/>
      </c>
      <c r="B90" s="583" t="inlineStr">
        <is>
          <t>Phần cầu - Cầu Km19+529,080</t>
        </is>
      </c>
      <c r="C90" s="533">
        <f>"Lấy mẫu tần suất: "&amp;Tong_Hop_Tan_Suat_Vat_Lieu!B16</f>
        <v/>
      </c>
      <c r="D90" s="729" t="n">
        <v>0.5625</v>
      </c>
      <c r="E90" s="729" t="n">
        <v>0.5833333333333334</v>
      </c>
      <c r="F90" s="534">
        <f>IF(N(G90)&lt;=0,"",G90-1)</f>
        <v/>
      </c>
      <c r="G90" s="534">
        <f>Theo_Doi_Tan_Suat_Cot_Thep!M784</f>
        <v/>
      </c>
      <c r="H90" s="730">
        <f>IF(N(F90)&lt;=0,"","PYC/09-XL-307HG/TS/"&amp;TEXT(F90,"d.m.yyyy")&amp;"/"&amp;TEXT(N90,"00"))</f>
        <v/>
      </c>
      <c r="I90" s="534">
        <f>IF(N(G90)&lt;=0,"","NTCV/09-XL-307HG/TS/"&amp;TEXT(G90,"d.m.yyyy")&amp;"/"&amp;TEXT(N90,"00"))</f>
        <v/>
      </c>
      <c r="J90" s="534" t="n"/>
      <c r="K90" s="533">
        <f>"Lần 4 - "&amp;Theo_Doi_Tan_Suat_Cot_Thep!B784&amp;" - "&amp;Theo_Doi_Tan_Suat_Cot_Thep!C784</f>
        <v/>
      </c>
      <c r="L90" s="590" t="n"/>
      <c r="M90" s="590" t="n"/>
      <c r="N90" s="513">
        <f>IFERROR(VALUE(MID(K90,FIND("Lần ",K90)+4,FIND(" -",K90)-FIND("Lần ",K90)-4)),"")</f>
        <v/>
      </c>
    </row>
    <row r="91">
      <c r="A91" s="532">
        <f>+A90+1</f>
        <v/>
      </c>
      <c r="B91" s="583" t="inlineStr">
        <is>
          <t>Phần cầu - Cầu Km19+529,080</t>
        </is>
      </c>
      <c r="C91" s="533">
        <f>"Lấy mẫu tần suất: "&amp;Tong_Hop_Tan_Suat_Vat_Lieu!B19</f>
        <v/>
      </c>
      <c r="D91" s="729" t="n">
        <v>0.5625</v>
      </c>
      <c r="E91" s="729" t="n">
        <v>0.5833333333333334</v>
      </c>
      <c r="F91" s="534">
        <f>IF(N(G91)&lt;=0,"",G91-1)</f>
        <v/>
      </c>
      <c r="G91" s="534">
        <f>Theo_Doi_Tan_Suat_Cot_Thep!M790</f>
        <v/>
      </c>
      <c r="H91" s="730">
        <f>IF(N(F91)&lt;=0,"","PYC/09-XL-307HG/TS/"&amp;TEXT(F91,"d.m.yyyy")&amp;"/"&amp;TEXT(N91,"00"))</f>
        <v/>
      </c>
      <c r="I91" s="534">
        <f>IF(N(G91)&lt;=0,"","NTCV/09-XL-307HG/TS/"&amp;TEXT(G91,"d.m.yyyy")&amp;"/"&amp;TEXT(N91,"00"))</f>
        <v/>
      </c>
      <c r="J91" s="534" t="n"/>
      <c r="K91" s="533">
        <f>"Lần 6 - "&amp;Theo_Doi_Tan_Suat_Cot_Thep!B790&amp;" - "&amp;Theo_Doi_Tan_Suat_Cot_Thep!C790</f>
        <v/>
      </c>
      <c r="L91" s="590" t="n"/>
      <c r="M91" s="590" t="n"/>
      <c r="N91" s="513">
        <f>IFERROR(VALUE(MID(K91,FIND("Lần ",K91)+4,FIND(" -",K91)-FIND("Lần ",K91)-4)),"")</f>
        <v/>
      </c>
    </row>
  </sheetData>
  <mergeCells count="5">
    <mergeCell ref="A2:F2"/>
    <mergeCell ref="A4:K4"/>
    <mergeCell ref="A1:F1"/>
    <mergeCell ref="G2:K2"/>
    <mergeCell ref="G1:K1"/>
  </mergeCells>
  <printOptions horizontalCentered="1"/>
  <pageMargins left="0.6692913385826772" right="0.1181102362204725" top="0.5905511811023623" bottom="0.1181102362204725" header="0.3149606299212598" footer="0.3149606299212598"/>
  <pageSetup orientation="landscape" paperSize="9" scale="74" blackAndWhite="1" horizontalDpi="300" verticalDpi="300"/>
</worksheet>
</file>

<file path=xl/worksheets/sheet6.xml><?xml version="1.0" encoding="utf-8"?>
<worksheet xmlns="http://schemas.openxmlformats.org/spreadsheetml/2006/main">
  <sheetPr>
    <outlinePr summaryBelow="1" summaryRight="1"/>
    <pageSetUpPr/>
  </sheetPr>
  <dimension ref="A1:S77"/>
  <sheetViews>
    <sheetView view="pageBreakPreview" zoomScaleNormal="100" zoomScaleSheetLayoutView="100" workbookViewId="0">
      <selection activeCell="N12" sqref="N12"/>
    </sheetView>
  </sheetViews>
  <sheetFormatPr baseColWidth="8" defaultColWidth="9.1640625" defaultRowHeight="15.5"/>
  <cols>
    <col width="9.1640625" customWidth="1" style="537" min="1" max="1"/>
    <col width="8.58203125" customWidth="1" style="537" min="2" max="2"/>
    <col width="6.58203125" customWidth="1" style="537" min="3" max="3"/>
    <col width="10.58203125" customWidth="1" style="537" min="4" max="4"/>
    <col width="6.58203125" customWidth="1" style="537" min="5" max="6"/>
    <col width="10.58203125" customWidth="1" style="537" min="7" max="8"/>
    <col width="8.58203125" customWidth="1" style="537" min="9" max="10"/>
    <col width="15.58203125" customWidth="1" style="537" min="11" max="11"/>
    <col width="14.1640625" customWidth="1" style="537" min="12" max="12"/>
    <col width="20.1640625" customWidth="1" style="537" min="13" max="13"/>
    <col width="9.75" customWidth="1" style="537" min="14" max="14"/>
    <col width="9.1640625" customWidth="1" style="537" min="15" max="16384"/>
  </cols>
  <sheetData>
    <row r="1"/>
    <row r="2" ht="18.75" customFormat="1" customHeight="1" s="536">
      <c r="B2" s="701" t="inlineStr">
        <is>
          <t>CỘNG HÒA XÃ HỘI CHỦ NGHĨA VIỆT NAM</t>
        </is>
      </c>
      <c r="C2" s="731" t="n"/>
      <c r="D2" s="731" t="n"/>
      <c r="E2" s="731" t="n"/>
      <c r="F2" s="731" t="n"/>
      <c r="G2" s="731" t="n"/>
      <c r="H2" s="731" t="n"/>
      <c r="I2" s="731" t="n"/>
      <c r="J2" s="731" t="n"/>
      <c r="K2" s="731" t="n"/>
      <c r="P2" s="702" t="inlineStr">
        <is>
          <t>UBND TỈNH HÀ GIANG</t>
        </is>
      </c>
    </row>
    <row r="3" ht="18.75" customHeight="1" s="672">
      <c r="B3" s="703" t="inlineStr">
        <is>
          <t>Độc lập - Tự do - Hạnh phúc</t>
        </is>
      </c>
      <c r="C3" s="731" t="n"/>
      <c r="D3" s="731" t="n"/>
      <c r="E3" s="731" t="n"/>
      <c r="F3" s="731" t="n"/>
      <c r="G3" s="731" t="n"/>
      <c r="H3" s="731" t="n"/>
      <c r="I3" s="731" t="n"/>
      <c r="J3" s="731" t="n"/>
      <c r="K3" s="731" t="n"/>
      <c r="P3" s="702" t="inlineStr">
        <is>
          <t>BAN QLDA ĐTXD CTGT TỈNH HÀ GIANG</t>
        </is>
      </c>
    </row>
    <row r="4" ht="27.75" customHeight="1" s="672">
      <c r="C4" s="538" t="n"/>
      <c r="D4" s="538" t="n"/>
      <c r="E4" s="538" t="n"/>
      <c r="F4" s="538" t="n"/>
      <c r="G4" s="732">
        <f>+_xlfn.XLOOKUP(N4,DM!$A$14:$A$1000,DM!$F$14:$F$1000)</f>
        <v/>
      </c>
      <c r="L4" s="539" t="n"/>
      <c r="N4" s="540" t="n">
        <v>1</v>
      </c>
    </row>
    <row r="5" ht="30" customHeight="1" s="672">
      <c r="B5" s="704" t="inlineStr">
        <is>
          <t>PHIẾU YÊU CẦU NGHIỆM THU</t>
        </is>
      </c>
    </row>
    <row r="6" ht="19.5" customHeight="1" s="672">
      <c r="B6" s="705">
        <f>+"Số: "&amp;+_xlfn.XLOOKUP(N4,DM!$A$14:$A$1000,DM!$H$14:$H$1000)</f>
        <v/>
      </c>
      <c r="M6" s="539" t="n"/>
    </row>
    <row r="7" ht="19.5" customHeight="1" s="672">
      <c r="B7" s="705" t="inlineStr">
        <is>
          <t>Dự án Cao tốc Tuyên Quang - Hà Giang (giai đoạn 1), đoạn qua tỉnh Hà Giang</t>
        </is>
      </c>
      <c r="M7" s="539" t="n"/>
    </row>
    <row r="8" ht="19.5" customHeight="1" s="672">
      <c r="B8" s="705" t="inlineStr">
        <is>
          <t xml:space="preserve">Gói thầu số 09-XL: Thi công xây dựng hoàn chỉnh 4 làn xe đoạn Km19+120 đến Km27+480 </t>
        </is>
      </c>
      <c r="M8" s="539" t="n"/>
    </row>
    <row r="9" ht="19.5" customHeight="1" s="672">
      <c r="B9" s="705" t="inlineStr">
        <is>
          <t xml:space="preserve">Phân đoạn: Thi công xây dựng đoạn Km19+120 đến Km20+840 </t>
        </is>
      </c>
      <c r="M9" s="539" t="n"/>
    </row>
    <row r="10" ht="25.5" customHeight="1" s="672">
      <c r="B10" s="706" t="inlineStr">
        <is>
          <t>Kính gửi:</t>
        </is>
      </c>
      <c r="C10" s="731" t="n"/>
      <c r="D10" s="541" t="inlineStr">
        <is>
          <t>- Ban quản lý dự án đầu tư xây dựng công trình tỉnh Tuyên Quang</t>
        </is>
      </c>
      <c r="E10" s="542" t="n"/>
      <c r="F10" s="542" t="n"/>
      <c r="G10" s="542" t="n"/>
      <c r="H10" s="542" t="n"/>
      <c r="I10" s="542" t="n"/>
      <c r="J10" s="543" t="n"/>
      <c r="K10" s="543" t="n"/>
    </row>
    <row r="11" ht="25.5" customFormat="1" customHeight="1" s="545">
      <c r="B11" s="714" t="n"/>
      <c r="C11" s="714" t="n"/>
      <c r="D11" s="700" t="inlineStr">
        <is>
          <t>- Văn phòng tư vấn giám sát hiện trường gói thầu số 09XL</t>
        </is>
      </c>
      <c r="E11" s="731" t="n"/>
      <c r="F11" s="731" t="n"/>
      <c r="G11" s="731" t="n"/>
      <c r="H11" s="731" t="n"/>
      <c r="I11" s="731" t="n"/>
      <c r="J11" s="731" t="n"/>
      <c r="K11" s="731" t="n"/>
    </row>
    <row r="12" ht="33.75" customHeight="1" s="672">
      <c r="B12" s="707" t="inlineStr">
        <is>
          <t xml:space="preserve">Đề nghị: Ban quản lý dự án ĐTXD Công trình tỉnh Tuyên Quang và Tư vấn giám sát xem xét kiểm tra hiện trường và nghiệm thu hạng mục sau: </t>
        </is>
      </c>
      <c r="M12" s="733" t="n"/>
    </row>
    <row r="13" ht="35.25" customHeight="1" s="672">
      <c r="B13" s="547" t="inlineStr">
        <is>
          <t xml:space="preserve">Hạng mục : </t>
        </is>
      </c>
      <c r="C13" s="543" t="n"/>
      <c r="D13" s="548">
        <f>+_xlfn.XLOOKUP(N4,DM!$A$14:$A$1000,DM!$B$14:$B$1000)</f>
        <v/>
      </c>
      <c r="E13" s="543" t="n"/>
      <c r="F13" s="549" t="n"/>
      <c r="G13" s="549" t="n"/>
      <c r="H13" s="549" t="n"/>
      <c r="I13" s="549" t="n"/>
      <c r="J13" s="549" t="n"/>
      <c r="K13" s="549" t="n"/>
    </row>
    <row r="14" ht="24" customHeight="1" s="672">
      <c r="B14" s="709" t="inlineStr">
        <is>
          <t>STT</t>
        </is>
      </c>
      <c r="C14" s="709" t="inlineStr">
        <is>
          <t>Thời gian</t>
        </is>
      </c>
      <c r="D14" s="734" t="n"/>
      <c r="E14" s="709" t="inlineStr">
        <is>
          <t>Công việc nghiệm thu</t>
        </is>
      </c>
      <c r="F14" s="735" t="n"/>
      <c r="G14" s="735" t="n"/>
      <c r="H14" s="734" t="n"/>
      <c r="I14" s="709" t="inlineStr">
        <is>
          <t>Địa điểm</t>
        </is>
      </c>
      <c r="J14" s="735" t="n"/>
      <c r="K14" s="734" t="n"/>
    </row>
    <row r="15" ht="72" customHeight="1" s="672">
      <c r="B15" s="551" t="n">
        <v>1</v>
      </c>
      <c r="C15" s="736">
        <f>+_xlfn.XLOOKUP(N4,DM!$A$14:$A$1000,DM!$D$14:$D$1000)</f>
        <v/>
      </c>
      <c r="D15" s="553">
        <f>+_xlfn.XLOOKUP(N4,DM!$A$14:$A$1000,DM!$G$14:$G$1000)</f>
        <v/>
      </c>
      <c r="E15" s="710">
        <f>+_xlfn.XLOOKUP(N4,DM!$A$14:$A$1000,DM!$C$14:$C$1000)</f>
        <v/>
      </c>
      <c r="F15" s="735" t="n"/>
      <c r="G15" s="735" t="n"/>
      <c r="H15" s="734" t="n"/>
      <c r="I15" s="710">
        <f>+_xlfn.XLOOKUP(N4,DM!$A$14:$A$1000,DM!$L$14:$L$1000)</f>
        <v/>
      </c>
      <c r="J15" s="735" t="n"/>
      <c r="K15" s="734" t="n"/>
    </row>
    <row r="16" hidden="1" ht="72" customHeight="1" s="672">
      <c r="B16" s="551">
        <f>B15+1</f>
        <v/>
      </c>
      <c r="C16" s="552">
        <f>+_xlfn.XLOOKUP(N4+1,DM!$A$14:$A$1000,DM!$D$14:$D$1000)</f>
        <v/>
      </c>
      <c r="D16" s="553">
        <f>+_xlfn.XLOOKUP(N4+1,DM!$A$14:$A$1000,DM!$G$14:$G$1000)</f>
        <v/>
      </c>
      <c r="E16" s="710">
        <f>+_xlfn.XLOOKUP(N4+1,DM!$A$14:$A$1000,DM!$C$14:$C$1000)</f>
        <v/>
      </c>
      <c r="F16" s="735" t="n"/>
      <c r="G16" s="735" t="n"/>
      <c r="H16" s="734" t="n"/>
      <c r="I16" s="710">
        <f>+_xlfn.XLOOKUP(N4+1,DM!$A$14:$A$1000,DM!$L$14:$L$1000)</f>
        <v/>
      </c>
      <c r="J16" s="735" t="n"/>
      <c r="K16" s="734" t="n"/>
    </row>
    <row r="17" hidden="1" ht="72" customHeight="1" s="672">
      <c r="B17" s="551">
        <f>B16+1</f>
        <v/>
      </c>
      <c r="C17" s="552">
        <f>+_xlfn.XLOOKUP(N4+2,DM!$A$14:$A$1000,DM!$D$14:$D$1000)</f>
        <v/>
      </c>
      <c r="D17" s="553">
        <f>+_xlfn.XLOOKUP(N4+2,DM!$A$14:$A$1000,DM!$G$14:$G$1000)</f>
        <v/>
      </c>
      <c r="E17" s="710">
        <f>+_xlfn.XLOOKUP(N4+2,DM!$A$14:$A$1000,DM!$C$14:$C$1000)</f>
        <v/>
      </c>
      <c r="F17" s="735" t="n"/>
      <c r="G17" s="735" t="n"/>
      <c r="H17" s="734" t="n"/>
      <c r="I17" s="710">
        <f>+_xlfn.XLOOKUP(N4+2,DM!$A$14:$A$1000,DM!$L$14:$L$1000)</f>
        <v/>
      </c>
      <c r="J17" s="735" t="n"/>
      <c r="K17" s="734" t="n"/>
    </row>
    <row r="18" ht="16.5" customHeight="1" s="672">
      <c r="B18" s="554" t="n"/>
      <c r="C18" s="554" t="n"/>
      <c r="D18" s="555" t="n"/>
      <c r="E18" s="555" t="n"/>
      <c r="F18" s="555" t="n"/>
      <c r="G18" s="556" t="n"/>
      <c r="H18" s="556" t="n"/>
      <c r="I18" s="555" t="n"/>
      <c r="J18" s="555" t="n"/>
      <c r="K18" s="555" t="n"/>
      <c r="M18" s="542" t="n"/>
    </row>
    <row r="19" ht="54.75" customHeight="1" s="672">
      <c r="B19" s="713" t="inlineStr">
        <is>
          <t xml:space="preserve">     Nhà thầu đã thi công đúng theo Hồ sơ thiết kế, chỉ dẫn kỹ thuật được phê duyệt, quy chuẩn kỹ thuật, tiêu chuẩn áp dụng. Nhà thầu cam kết chất lượng các hạng mục thi công đảm bảo theo yêu cầu kỹ thuật của dự án. </t>
        </is>
      </c>
    </row>
    <row r="20" ht="20.25" customHeight="1" s="672">
      <c r="B20" s="558" t="inlineStr">
        <is>
          <t>- Ý kiến giải quyết của Tư vấn giám sát:</t>
        </is>
      </c>
      <c r="C20" s="713" t="n"/>
      <c r="D20" s="713" t="n"/>
      <c r="E20" s="713" t="n"/>
      <c r="F20" s="559" t="n"/>
      <c r="G20" s="560" t="inlineStr">
        <is>
          <t xml:space="preserve">- Đồng ý: </t>
        </is>
      </c>
      <c r="H20" s="713" t="n"/>
      <c r="I20" s="560" t="inlineStr">
        <is>
          <t xml:space="preserve">- Không đồng ý: </t>
        </is>
      </c>
      <c r="J20" s="713" t="n"/>
      <c r="K20" s="713" t="n"/>
    </row>
    <row r="21" ht="20.25" customHeight="1" s="672">
      <c r="B21" s="558" t="inlineStr">
        <is>
          <t>- Ý kiến khác: Không</t>
        </is>
      </c>
      <c r="C21" s="713" t="n"/>
      <c r="D21" s="536" t="n"/>
      <c r="E21" s="536" t="n"/>
      <c r="F21" s="536" t="n"/>
      <c r="G21" s="536" t="n"/>
      <c r="H21" s="536" t="n"/>
      <c r="I21" s="536" t="n"/>
      <c r="J21" s="536" t="n"/>
      <c r="K21" s="536" t="n"/>
    </row>
    <row r="22">
      <c r="B22" s="545" t="n"/>
      <c r="D22" s="561" t="n"/>
      <c r="E22" s="561" t="n"/>
      <c r="F22" s="561" t="n"/>
      <c r="G22" s="562" t="n"/>
      <c r="H22" s="562" t="n"/>
      <c r="I22" s="562" t="n"/>
      <c r="J22" s="562" t="n"/>
      <c r="K22" s="562" t="n"/>
    </row>
    <row r="23" ht="27.75" customFormat="1" customHeight="1" s="543">
      <c r="B23" s="714" t="inlineStr">
        <is>
          <t xml:space="preserve"> TƯ VẤN GIÁM SÁT</t>
        </is>
      </c>
      <c r="C23" s="731" t="n"/>
      <c r="D23" s="731" t="n"/>
      <c r="E23" s="731" t="n"/>
      <c r="F23" s="731" t="n"/>
      <c r="H23" s="714" t="inlineStr">
        <is>
          <t>NHÀ THẦU THI CÔNG</t>
        </is>
      </c>
      <c r="I23" s="731" t="n"/>
      <c r="J23" s="731" t="n"/>
      <c r="K23" s="731" t="n"/>
    </row>
    <row r="24" ht="20.15" customFormat="1" customHeight="1" s="543">
      <c r="B24" s="711" t="inlineStr">
        <is>
          <t>Kỹ sư thường trú</t>
        </is>
      </c>
      <c r="C24" s="731" t="n"/>
      <c r="D24" s="731" t="n"/>
      <c r="E24" s="731" t="n"/>
      <c r="F24" s="731" t="n"/>
      <c r="H24" s="714" t="inlineStr">
        <is>
          <t>Chỉ huy trưởng</t>
        </is>
      </c>
      <c r="I24" s="731" t="n"/>
      <c r="J24" s="731" t="n"/>
      <c r="K24" s="731" t="n"/>
    </row>
    <row r="25" ht="20.15" customFormat="1" customHeight="1" s="543">
      <c r="C25" s="563" t="n"/>
      <c r="D25" s="563" t="n"/>
      <c r="E25" s="563" t="n"/>
      <c r="F25" s="563" t="n"/>
      <c r="H25" s="564" t="n"/>
      <c r="I25" s="564" t="n"/>
      <c r="J25" s="564" t="n"/>
      <c r="K25" s="565" t="n"/>
    </row>
    <row r="26" ht="20.15" customFormat="1" customHeight="1" s="543">
      <c r="H26" s="548" t="n"/>
      <c r="I26" s="548" t="n"/>
      <c r="J26" s="548" t="n"/>
      <c r="K26" s="548" t="n"/>
    </row>
    <row r="27" ht="20.15" customFormat="1" customHeight="1" s="543">
      <c r="D27" s="565" t="n"/>
      <c r="E27" s="565" t="n"/>
      <c r="H27" s="566" t="n"/>
      <c r="I27" s="566" t="n"/>
      <c r="J27" s="566" t="n"/>
      <c r="K27" s="566" t="n"/>
    </row>
    <row r="28" ht="20.15" customFormat="1" customHeight="1" s="543">
      <c r="C28" s="567" t="n"/>
      <c r="D28" s="567" t="n"/>
      <c r="E28" s="567" t="n"/>
      <c r="F28" s="567" t="n"/>
      <c r="H28" s="567" t="n"/>
      <c r="I28" s="567" t="n"/>
      <c r="J28" s="567" t="n"/>
      <c r="K28" s="567" t="n"/>
    </row>
    <row r="29" ht="20.15" customFormat="1" customHeight="1" s="548">
      <c r="B29" s="712" t="inlineStr">
        <is>
          <t>Đỗ Văn Sáu</t>
        </is>
      </c>
      <c r="H29" s="712" t="inlineStr">
        <is>
          <t>Trần Văn Nguyên</t>
        </is>
      </c>
    </row>
    <row r="30">
      <c r="B30" s="674" t="inlineStr">
        <is>
          <t>UBND TỈNH TUYÊN QUANG</t>
        </is>
      </c>
      <c r="G30" s="674" t="inlineStr">
        <is>
          <t>CỘNG HÒA XÃ HỘI CHỦ NGHĨA VIỆT NAM</t>
        </is>
      </c>
    </row>
    <row r="31">
      <c r="B31" s="697" t="inlineStr">
        <is>
          <t>BAN QLDA ĐTXD CT TỈNH TUYÊN QUANG</t>
        </is>
      </c>
      <c r="G31" s="698" t="inlineStr">
        <is>
          <t>Độc lập - Tự do - Hạnh phúc</t>
        </is>
      </c>
    </row>
    <row r="32" ht="5" customHeight="1" s="672">
      <c r="B32" s="571" t="n"/>
      <c r="C32" s="568" t="n"/>
      <c r="E32" s="737" t="n"/>
      <c r="F32" s="737" t="n"/>
      <c r="G32" s="568" t="n"/>
      <c r="H32" s="568" t="n"/>
      <c r="I32" s="568" t="n"/>
      <c r="J32" s="568" t="n"/>
      <c r="K32" s="568" t="n"/>
    </row>
    <row r="33" ht="16.5" customHeight="1" s="672">
      <c r="B33" s="569" t="n"/>
      <c r="C33" s="569" t="n"/>
      <c r="D33" s="569" t="n"/>
      <c r="E33" s="569" t="n"/>
      <c r="F33" s="569" t="n"/>
      <c r="G33" s="732">
        <f>+_xlfn.XLOOKUP(N4,DM!$A$14:$A$1000,DM!$G$14:$G$1000)</f>
        <v/>
      </c>
    </row>
    <row r="34" ht="5" customHeight="1" s="672">
      <c r="B34" s="571" t="n"/>
      <c r="C34" s="568" t="n"/>
      <c r="E34" s="737" t="n"/>
      <c r="F34" s="737" t="n"/>
      <c r="G34" s="568" t="n"/>
      <c r="H34" s="568" t="n"/>
      <c r="I34" s="568" t="n"/>
      <c r="J34" s="568" t="n"/>
      <c r="K34" s="568" t="n"/>
    </row>
    <row r="35" ht="30" customHeight="1" s="672">
      <c r="B35" s="699">
        <f>"BIÊN BẢN SỐ: "&amp;+_xlfn.XLOOKUP(N4,DM!$A$14:$A$1000,DM!$I$14:$I$1000)</f>
        <v/>
      </c>
    </row>
    <row r="36" ht="30" customHeight="1" s="672">
      <c r="B36" s="687" t="inlineStr">
        <is>
          <t>BIÊN BẢN LẤY MẪU HIỆN TRƯỜNG</t>
        </is>
      </c>
    </row>
    <row r="37" ht="16.5" customHeight="1" s="672">
      <c r="B37" s="687" t="n"/>
      <c r="C37" s="687" t="n"/>
      <c r="D37" s="687" t="n"/>
      <c r="E37" s="687" t="n"/>
      <c r="F37" s="687" t="n"/>
      <c r="G37" s="687" t="n"/>
      <c r="H37" s="687" t="n"/>
      <c r="I37" s="687" t="n"/>
      <c r="J37" s="687" t="n"/>
      <c r="K37" s="687" t="n"/>
    </row>
    <row r="38" ht="18" customHeight="1" s="672">
      <c r="B38" s="568" t="inlineStr">
        <is>
          <t xml:space="preserve">Dự án: </t>
        </is>
      </c>
      <c r="C38" s="568" t="inlineStr">
        <is>
          <t>Cao tốc Tuyên Quang - Hà Giang (giai đoạn 1), đoạn qua tỉnh Hà Giang</t>
        </is>
      </c>
      <c r="D38" s="568" t="n"/>
      <c r="E38" s="568" t="n"/>
      <c r="F38" s="568" t="n"/>
      <c r="G38" s="568" t="n"/>
      <c r="H38" s="568" t="n"/>
      <c r="I38" s="568" t="n"/>
      <c r="J38" s="568" t="n"/>
      <c r="K38" s="568" t="n"/>
    </row>
    <row r="39" ht="18" customHeight="1" s="672">
      <c r="B39" s="571" t="inlineStr">
        <is>
          <t xml:space="preserve">Gói thầu số 09-XL: Thi công xây dựng hoàn chỉnh 4 làn xe đoạn Km19+120 đến Km27+480 </t>
        </is>
      </c>
      <c r="C39" s="568" t="n"/>
      <c r="D39" s="568" t="n"/>
      <c r="E39" s="568" t="n"/>
      <c r="F39" s="568" t="n"/>
      <c r="G39" s="568" t="n"/>
      <c r="H39" s="568" t="n"/>
      <c r="I39" s="568" t="n"/>
      <c r="J39" s="568" t="n"/>
      <c r="K39" s="568" t="n"/>
    </row>
    <row r="40" ht="18" customHeight="1" s="672">
      <c r="B40" s="571" t="inlineStr">
        <is>
          <t xml:space="preserve">Phân đoạn: Thi công xây dựng đoạn Km19+120 đến Km20+840 </t>
        </is>
      </c>
      <c r="C40" s="568" t="n"/>
      <c r="D40" s="571" t="n"/>
      <c r="E40" s="571" t="n"/>
      <c r="F40" s="571" t="n"/>
      <c r="G40" s="571" t="n"/>
      <c r="H40" s="571" t="n"/>
      <c r="I40" s="571" t="n"/>
      <c r="J40" s="571" t="n"/>
      <c r="K40" s="571" t="n"/>
    </row>
    <row r="41" ht="18" customHeight="1" s="672">
      <c r="B41" s="571" t="inlineStr">
        <is>
          <t>Hạng mục:</t>
        </is>
      </c>
      <c r="C41" s="572" t="n"/>
      <c r="D41" s="568">
        <f>+_xlfn.XLOOKUP(N4,DM!$A$14:$A$1000,DM!$B$14:$B$1000)</f>
        <v/>
      </c>
      <c r="E41" s="568" t="n"/>
      <c r="F41" s="568" t="n"/>
      <c r="G41" s="568" t="n"/>
      <c r="H41" s="568" t="n"/>
      <c r="I41" s="568" t="n"/>
      <c r="J41" s="568" t="n"/>
      <c r="K41" s="568" t="n"/>
    </row>
    <row r="42" ht="18" customHeight="1" s="672">
      <c r="B42" s="571" t="inlineStr">
        <is>
          <t>Lý trình:</t>
        </is>
      </c>
      <c r="C42" s="572">
        <f>+_xlfn.XLOOKUP(N4,DM!$A$14:$A$1000,DM!$L$14:$L$1000)</f>
        <v/>
      </c>
      <c r="D42" s="568" t="n"/>
      <c r="E42" s="568" t="n"/>
      <c r="F42" s="568" t="n"/>
      <c r="G42" s="568" t="n"/>
      <c r="H42" s="568" t="n"/>
      <c r="I42" s="568" t="n"/>
      <c r="J42" s="568" t="n"/>
      <c r="K42" s="568" t="n"/>
    </row>
    <row r="43" ht="18" customHeight="1" s="672">
      <c r="B43" s="571" t="inlineStr">
        <is>
          <t>Địa điểm xây dựng:  xã Bắc Quang, tỉnh Tuyên Quang.</t>
        </is>
      </c>
      <c r="C43" s="568" t="n"/>
      <c r="D43" s="568" t="n"/>
      <c r="E43" s="568" t="n"/>
      <c r="F43" s="568" t="n"/>
      <c r="G43" s="568" t="n"/>
      <c r="H43" s="568" t="n"/>
      <c r="I43" s="568" t="n"/>
      <c r="J43" s="568" t="n"/>
      <c r="K43" s="568" t="n"/>
    </row>
    <row r="44" ht="5" customHeight="1" s="672">
      <c r="B44" s="571" t="n"/>
      <c r="C44" s="568" t="n"/>
      <c r="E44" s="737" t="n"/>
      <c r="F44" s="737" t="n"/>
      <c r="G44" s="568" t="n"/>
      <c r="H44" s="568" t="n"/>
      <c r="I44" s="568" t="n"/>
      <c r="J44" s="568" t="n"/>
      <c r="K44" s="568" t="n"/>
    </row>
    <row r="45" ht="18" customHeight="1" s="672">
      <c r="B45" s="573" t="inlineStr">
        <is>
          <t xml:space="preserve">1. Đối tượng lấy mẫu: </t>
        </is>
      </c>
      <c r="C45" s="568" t="n"/>
      <c r="D45" s="568" t="n"/>
      <c r="E45" s="688">
        <f>+_xlfn.XLOOKUP(N4,DM!$A$14:$A$1000,DM!$C$14:$C$1000)</f>
        <v/>
      </c>
    </row>
    <row r="46" ht="5" customHeight="1" s="672">
      <c r="B46" s="571" t="n"/>
      <c r="C46" s="568" t="n"/>
      <c r="E46" s="737" t="n"/>
      <c r="F46" s="737" t="n"/>
      <c r="G46" s="568" t="n"/>
      <c r="H46" s="568" t="n"/>
      <c r="I46" s="568" t="n"/>
      <c r="J46" s="568" t="n"/>
      <c r="K46" s="568" t="n"/>
    </row>
    <row r="47" ht="18" customHeight="1" s="672">
      <c r="B47" s="571" t="inlineStr">
        <is>
          <t>2. Thời gian, địa điểm nghiệm thu:</t>
        </is>
      </c>
      <c r="C47" s="568" t="n"/>
      <c r="E47" s="737" t="n"/>
      <c r="F47" s="737" t="n"/>
      <c r="G47" s="568" t="n"/>
      <c r="H47" s="568" t="n"/>
      <c r="I47" s="568" t="n"/>
      <c r="J47" s="568" t="n"/>
      <c r="K47" s="568" t="n"/>
    </row>
    <row r="48" ht="5" customHeight="1" s="672">
      <c r="B48" s="571" t="n"/>
      <c r="C48" s="568" t="n"/>
      <c r="E48" s="737" t="n"/>
      <c r="F48" s="737" t="n"/>
      <c r="G48" s="568" t="n"/>
      <c r="H48" s="568" t="n"/>
      <c r="I48" s="568" t="n"/>
      <c r="J48" s="568" t="n"/>
      <c r="K48" s="568" t="n"/>
    </row>
    <row r="49" ht="18" customHeight="1" s="672">
      <c r="B49" s="574" t="inlineStr">
        <is>
          <t xml:space="preserve">Bắt đầu: </t>
        </is>
      </c>
      <c r="C49" s="738">
        <f>+_xlfn.XLOOKUP(N4,DM!$A$14:$A$1000,DM!$D$14:$D$1000)</f>
        <v/>
      </c>
      <c r="D49" s="739">
        <f>+_xlfn.XLOOKUP(N4,DM!$A$14:$A$1000,DM!$G$14:$G$1000)</f>
        <v/>
      </c>
      <c r="G49" s="568" t="n"/>
      <c r="H49" s="568" t="n"/>
      <c r="I49" s="568" t="n"/>
      <c r="J49" s="568" t="n"/>
      <c r="K49" s="568" t="n"/>
    </row>
    <row r="50" ht="18" customHeight="1" s="672">
      <c r="B50" s="569" t="inlineStr">
        <is>
          <t xml:space="preserve">Kết thúc: </t>
        </is>
      </c>
      <c r="C50" s="738">
        <f>+_xlfn.XLOOKUP(N4,DM!$A$14:$A$1000,DM!$E$14:$E$1000)</f>
        <v/>
      </c>
      <c r="D50" s="740">
        <f>D49</f>
        <v/>
      </c>
      <c r="G50" s="568" t="n"/>
      <c r="H50" s="568" t="n"/>
      <c r="I50" s="568" t="n"/>
      <c r="J50" s="568" t="n"/>
      <c r="K50" s="568" t="n"/>
    </row>
    <row r="51" ht="18" customHeight="1" s="672">
      <c r="B51" s="568">
        <f>+"Tại: "&amp;C42</f>
        <v/>
      </c>
      <c r="C51" s="572" t="n"/>
      <c r="D51" s="568" t="n"/>
      <c r="E51" s="568" t="n"/>
      <c r="F51" s="568" t="n"/>
      <c r="G51" s="568" t="n"/>
      <c r="H51" s="568" t="n"/>
      <c r="I51" s="568" t="n"/>
      <c r="J51" s="568" t="n"/>
      <c r="K51" s="568" t="n"/>
    </row>
    <row r="52" ht="18" customHeight="1" s="672">
      <c r="B52" s="571" t="inlineStr">
        <is>
          <t>3. Thành phần trực tiếp nghiệm thu:</t>
        </is>
      </c>
      <c r="C52" s="568" t="n"/>
      <c r="D52" s="568" t="n"/>
      <c r="E52" s="568" t="n"/>
      <c r="F52" s="568" t="n"/>
      <c r="G52" s="568" t="n"/>
      <c r="H52" s="568" t="n"/>
      <c r="I52" s="568" t="n"/>
      <c r="J52" s="568" t="n"/>
      <c r="K52" s="568" t="n"/>
    </row>
    <row r="53" ht="18" customHeight="1" s="672">
      <c r="B53" s="573" t="inlineStr">
        <is>
          <t xml:space="preserve">3.1. Đại diện Tư vấn giám sát : </t>
        </is>
      </c>
      <c r="C53" s="568" t="n"/>
      <c r="D53" s="568" t="n"/>
      <c r="E53" s="568" t="n"/>
      <c r="F53" s="569" t="inlineStr">
        <is>
          <t>Công ty CP TVXDCT Thăng Long</t>
        </is>
      </c>
      <c r="G53" s="568" t="n"/>
      <c r="H53" s="568" t="n"/>
      <c r="I53" s="568" t="n"/>
      <c r="J53" s="568" t="n"/>
      <c r="K53" s="568" t="n"/>
    </row>
    <row r="54" ht="3" customHeight="1" s="672">
      <c r="B54" s="573" t="n"/>
      <c r="C54" s="568" t="n"/>
      <c r="D54" s="568" t="n"/>
      <c r="E54" s="568" t="n"/>
      <c r="F54" s="569" t="n"/>
      <c r="G54" s="568" t="n"/>
      <c r="H54" s="568" t="n"/>
      <c r="I54" s="568" t="n"/>
      <c r="J54" s="568" t="n"/>
      <c r="K54" s="568" t="n"/>
    </row>
    <row r="55" ht="18" customHeight="1" s="672">
      <c r="B55" s="575" t="inlineStr">
        <is>
          <t>- Ông: Đỗ Văn Sáu</t>
        </is>
      </c>
      <c r="C55" s="575" t="n"/>
      <c r="D55" s="575" t="n"/>
      <c r="E55" s="575" t="n"/>
      <c r="F55" s="568" t="n"/>
      <c r="G55" s="569" t="inlineStr">
        <is>
          <t xml:space="preserve">Chức vụ: </t>
        </is>
      </c>
      <c r="H55" s="569" t="inlineStr">
        <is>
          <t>Kỹ sư thường trú</t>
        </is>
      </c>
      <c r="I55" s="568" t="n"/>
      <c r="J55" s="568" t="n"/>
      <c r="K55" s="568" t="n"/>
    </row>
    <row r="56" ht="18" customHeight="1" s="672">
      <c r="B56" s="575" t="inlineStr">
        <is>
          <t>- Ông: Nguyễn Bá Linh</t>
        </is>
      </c>
      <c r="C56" s="575" t="n"/>
      <c r="D56" s="575" t="n"/>
      <c r="E56" s="575" t="n"/>
      <c r="F56" s="568" t="n"/>
      <c r="G56" s="569" t="inlineStr">
        <is>
          <t xml:space="preserve">Chức vụ: </t>
        </is>
      </c>
      <c r="H56" s="569" t="inlineStr">
        <is>
          <t>Tư vấn giám sát</t>
        </is>
      </c>
      <c r="I56" s="568" t="n"/>
      <c r="J56" s="568" t="n"/>
      <c r="K56" s="568" t="n"/>
    </row>
    <row r="57" ht="18" customHeight="1" s="672">
      <c r="B57" s="573" t="inlineStr">
        <is>
          <t>3.3. Đại diện Nhà thầu thi công:</t>
        </is>
      </c>
      <c r="C57" s="568" t="n"/>
      <c r="D57" s="568" t="n"/>
      <c r="E57" s="568" t="n"/>
      <c r="F57" s="569" t="inlineStr">
        <is>
          <t>Công ty TNHH 307 Hà Giang</t>
        </is>
      </c>
      <c r="G57" s="568" t="n"/>
      <c r="H57" s="568" t="n"/>
      <c r="I57" s="568" t="n"/>
      <c r="J57" s="568" t="n"/>
      <c r="K57" s="568" t="n"/>
    </row>
    <row r="58" ht="3" customHeight="1" s="672">
      <c r="B58" s="573" t="n"/>
      <c r="C58" s="568" t="n"/>
      <c r="D58" s="568" t="n"/>
      <c r="E58" s="568" t="n"/>
      <c r="F58" s="569" t="n"/>
      <c r="G58" s="568" t="n"/>
      <c r="H58" s="568" t="n"/>
      <c r="I58" s="568" t="n"/>
      <c r="J58" s="568" t="n"/>
      <c r="K58" s="568" t="n"/>
    </row>
    <row r="59" ht="18" customHeight="1" s="672">
      <c r="B59" s="575" t="inlineStr">
        <is>
          <t>- Ông: Trần Văn Nguyên</t>
        </is>
      </c>
      <c r="C59" s="575" t="n"/>
      <c r="D59" s="575" t="n"/>
      <c r="E59" s="575" t="n"/>
      <c r="F59" s="568" t="n"/>
      <c r="G59" s="569" t="inlineStr">
        <is>
          <t xml:space="preserve">Chức vụ: </t>
        </is>
      </c>
      <c r="H59" s="569" t="inlineStr">
        <is>
          <t xml:space="preserve">Chỉ huy trưởng </t>
        </is>
      </c>
      <c r="I59" s="568" t="n"/>
      <c r="J59" s="568" t="n"/>
      <c r="K59" s="568" t="n"/>
    </row>
    <row r="60" ht="18" customHeight="1" s="672">
      <c r="B60" s="575" t="inlineStr">
        <is>
          <t>- Ông: Đặng Minh Thản</t>
        </is>
      </c>
      <c r="C60" s="575" t="n"/>
      <c r="D60" s="575" t="n"/>
      <c r="E60" s="575" t="n"/>
      <c r="F60" s="568" t="n"/>
      <c r="G60" s="569" t="inlineStr">
        <is>
          <t xml:space="preserve">Chức vụ: </t>
        </is>
      </c>
      <c r="H60" s="569" t="inlineStr">
        <is>
          <t>Chỉ huy phó</t>
        </is>
      </c>
      <c r="I60" s="568" t="n"/>
      <c r="J60" s="568" t="n"/>
      <c r="K60" s="568" t="n"/>
    </row>
    <row r="61" ht="18" customHeight="1" s="672">
      <c r="B61" s="573" t="inlineStr">
        <is>
          <t xml:space="preserve">4. Đại diện đơn vị thí nghiệm : </t>
        </is>
      </c>
      <c r="C61" s="568" t="n"/>
      <c r="D61" s="568" t="n"/>
      <c r="E61" s="568" t="n"/>
      <c r="F61" s="569" t="inlineStr">
        <is>
          <t>Công ty cổ phần xây dựng Hồng Hải (Las - XD 726)</t>
        </is>
      </c>
      <c r="G61" s="568" t="n"/>
      <c r="H61" s="568" t="n"/>
      <c r="I61" s="568" t="n"/>
      <c r="J61" s="568" t="n"/>
      <c r="K61" s="568" t="n"/>
    </row>
    <row r="62" ht="3" customHeight="1" s="672">
      <c r="B62" s="573" t="n"/>
      <c r="C62" s="568" t="n"/>
      <c r="D62" s="568" t="n"/>
      <c r="E62" s="568" t="n"/>
      <c r="F62" s="569" t="n"/>
      <c r="G62" s="568" t="n"/>
      <c r="H62" s="568" t="n"/>
      <c r="I62" s="568" t="n"/>
      <c r="J62" s="568" t="n"/>
      <c r="K62" s="568" t="n"/>
    </row>
    <row r="63" ht="18" customHeight="1" s="672">
      <c r="B63" s="575" t="inlineStr">
        <is>
          <t>- Ông: Phạm Văn Đồng</t>
        </is>
      </c>
      <c r="C63" s="575" t="n"/>
      <c r="D63" s="575" t="n"/>
      <c r="E63" s="575" t="n"/>
      <c r="F63" s="568" t="n"/>
      <c r="G63" s="569" t="inlineStr">
        <is>
          <t xml:space="preserve">Chức vụ: </t>
        </is>
      </c>
      <c r="H63" s="569" t="inlineStr">
        <is>
          <t>Thí nghiệm viên</t>
        </is>
      </c>
      <c r="I63" s="568" t="n"/>
      <c r="J63" s="568" t="n"/>
      <c r="K63" s="568" t="n"/>
    </row>
    <row r="64" ht="18" customHeight="1" s="672">
      <c r="B64" s="568">
        <f>+"Căn cứ vào phiếu yêu cầu của đơn vị thi công số : "&amp;_xlfn.XLOOKUP(N4,DM!$A$14:$A$1000,DM!$H$14:$H$1000)</f>
        <v/>
      </c>
      <c r="C64" s="568" t="n"/>
      <c r="D64" s="568" t="n"/>
      <c r="E64" s="568" t="n"/>
      <c r="F64" s="568" t="n"/>
      <c r="G64" s="568" t="n"/>
      <c r="H64" s="568" t="n"/>
      <c r="I64" s="568" t="n"/>
      <c r="J64" s="568" t="n"/>
      <c r="K64" s="568" t="n"/>
    </row>
    <row r="65" ht="5" customHeight="1" s="672">
      <c r="B65" s="571" t="n"/>
      <c r="C65" s="568" t="n"/>
      <c r="E65" s="737" t="n"/>
      <c r="F65" s="737" t="n"/>
      <c r="G65" s="568" t="n"/>
      <c r="H65" s="568" t="n"/>
      <c r="I65" s="568" t="n"/>
      <c r="J65" s="568" t="n"/>
      <c r="K65" s="568" t="n"/>
    </row>
    <row r="66" ht="18" customHeight="1" s="672">
      <c r="B66" s="569" t="inlineStr">
        <is>
          <t>Các bên cùng tiến hành thực hiện công tác lấy mẫu như sau:</t>
        </is>
      </c>
      <c r="C66" s="568" t="n"/>
      <c r="D66" s="568" t="n"/>
      <c r="E66" s="568" t="n"/>
      <c r="F66" s="568" t="n"/>
      <c r="G66" s="568" t="n"/>
      <c r="H66" s="568" t="n"/>
      <c r="I66" s="568" t="n"/>
      <c r="J66" s="568" t="n"/>
      <c r="K66" s="568" t="n"/>
    </row>
    <row r="67" ht="5" customHeight="1" s="672">
      <c r="B67" s="571" t="n"/>
      <c r="C67" s="568" t="n"/>
      <c r="E67" s="737" t="n"/>
      <c r="F67" s="737" t="n"/>
      <c r="G67" s="568" t="n"/>
      <c r="H67" s="568" t="n"/>
      <c r="I67" s="568" t="n"/>
      <c r="J67" s="568" t="n"/>
      <c r="K67" s="568" t="n"/>
    </row>
    <row r="68">
      <c r="B68" s="576" t="inlineStr">
        <is>
          <t>TT</t>
        </is>
      </c>
      <c r="C68" s="741" t="inlineStr">
        <is>
          <t>Nội dung công việc</t>
        </is>
      </c>
      <c r="D68" s="742" t="n"/>
      <c r="E68" s="742" t="n"/>
      <c r="F68" s="743" t="n"/>
      <c r="G68" s="689" t="inlineStr">
        <is>
          <t>Đơn vị</t>
        </is>
      </c>
      <c r="H68" s="576" t="inlineStr">
        <is>
          <t>Số lượng</t>
        </is>
      </c>
      <c r="I68" s="741" t="inlineStr">
        <is>
          <t>Số lô</t>
        </is>
      </c>
      <c r="J68" s="743" t="n"/>
      <c r="K68" s="576" t="inlineStr">
        <is>
          <t>Ghi chú</t>
        </is>
      </c>
    </row>
    <row r="69" ht="31" customHeight="1" s="672">
      <c r="B69" s="696" t="n">
        <v>1</v>
      </c>
      <c r="C69" s="744">
        <f>+_xlfn.XLOOKUP(N4,DM!$A$14:$A$1000,DM!$C$14:$C$1000)</f>
        <v/>
      </c>
      <c r="D69" s="742" t="n"/>
      <c r="E69" s="742" t="n"/>
      <c r="F69" s="743" t="n"/>
      <c r="G69" s="579" t="inlineStr">
        <is>
          <t>Kg</t>
        </is>
      </c>
      <c r="H69" s="580" t="n">
        <v>50</v>
      </c>
      <c r="I69" s="695">
        <f>+_xlfn.XLOOKUP(N4,DM!$A$14:$A$1000,DM!$M$14:$M$1000)</f>
        <v/>
      </c>
      <c r="J69" s="734" t="n"/>
      <c r="K69" s="696">
        <f>+_xlfn.XLOOKUP(N4,DM!$A$14:$A$1000,DM!$L$14:$L$1000)</f>
        <v/>
      </c>
    </row>
    <row r="70">
      <c r="B70" s="569" t="n"/>
      <c r="C70" s="568" t="n"/>
      <c r="D70" s="568" t="n"/>
      <c r="E70" s="568" t="n"/>
      <c r="F70" s="568" t="n"/>
      <c r="G70" s="568" t="n"/>
      <c r="H70" s="568" t="n"/>
      <c r="I70" s="568" t="n"/>
      <c r="J70" s="568" t="n"/>
      <c r="K70" s="568" t="n"/>
    </row>
    <row r="71" ht="30" customHeight="1" s="672">
      <c r="B71" s="683" t="inlineStr">
        <is>
          <t>ĐẠI DIỆN NHÀ THẦU 
THI CÔNG</t>
        </is>
      </c>
      <c r="E71" s="685" t="inlineStr">
        <is>
          <t xml:space="preserve">ĐẠI DIỆN ĐƠN VỊ THÍ NGHIỆM </t>
        </is>
      </c>
      <c r="I71" s="683" t="inlineStr">
        <is>
          <t xml:space="preserve"> ĐẠI DIỆN TƯ VẤN GIÁM SÁT   </t>
        </is>
      </c>
    </row>
    <row r="72">
      <c r="B72" s="588" t="n"/>
      <c r="C72" s="588" t="n"/>
      <c r="D72" s="588" t="n"/>
      <c r="E72" s="588" t="n"/>
      <c r="F72" s="573" t="n"/>
      <c r="G72" s="573" t="n"/>
      <c r="H72" s="573" t="n"/>
      <c r="I72" s="573" t="n"/>
      <c r="J72" s="573" t="n"/>
      <c r="K72" s="573" t="n"/>
    </row>
    <row r="73">
      <c r="B73" s="588" t="n"/>
      <c r="C73" s="588" t="n"/>
      <c r="D73" s="588" t="n"/>
      <c r="E73" s="588" t="n"/>
      <c r="F73" s="573" t="n"/>
      <c r="G73" s="573" t="n"/>
      <c r="H73" s="573" t="n"/>
      <c r="I73" s="573" t="n"/>
      <c r="J73" s="573" t="n"/>
      <c r="K73" s="573" t="n"/>
    </row>
    <row r="74">
      <c r="B74" s="581" t="n"/>
      <c r="C74" s="581" t="n"/>
      <c r="D74" s="581" t="n"/>
      <c r="E74" s="573" t="n"/>
      <c r="F74" s="573" t="n"/>
      <c r="G74" s="573" t="n"/>
      <c r="H74" s="573" t="n"/>
      <c r="I74" s="573" t="n"/>
      <c r="J74" s="573" t="n"/>
      <c r="K74" s="573" t="n"/>
    </row>
    <row r="75">
      <c r="B75" s="573" t="n"/>
      <c r="C75" s="573" t="n"/>
      <c r="D75" s="573" t="n"/>
      <c r="E75" s="573" t="n"/>
      <c r="F75" s="573" t="n"/>
      <c r="G75" s="573" t="n"/>
      <c r="H75" s="573" t="n"/>
      <c r="I75" s="573" t="n"/>
      <c r="J75" s="573" t="n"/>
      <c r="K75" s="573" t="n"/>
    </row>
    <row r="76">
      <c r="B76" s="686" t="n"/>
      <c r="D76" s="686" t="n"/>
      <c r="G76" s="686" t="n"/>
      <c r="I76" s="582" t="n"/>
      <c r="J76" s="686" t="n"/>
    </row>
    <row r="77" ht="17.5" customHeight="1" s="672">
      <c r="B77" s="684" t="inlineStr">
        <is>
          <t>Đặng Minh Thản</t>
        </is>
      </c>
      <c r="E77" s="684" t="inlineStr">
        <is>
          <t>Phạm Văn Đồng</t>
        </is>
      </c>
      <c r="I77" s="679" t="inlineStr">
        <is>
          <t>Nguyễn Bá Linh</t>
        </is>
      </c>
    </row>
  </sheetData>
  <mergeCells count="53">
    <mergeCell ref="E45:K45"/>
    <mergeCell ref="I16:K16"/>
    <mergeCell ref="D76:F76"/>
    <mergeCell ref="B9:K9"/>
    <mergeCell ref="P3:S3"/>
    <mergeCell ref="I71:K71"/>
    <mergeCell ref="E16:H16"/>
    <mergeCell ref="C14:D14"/>
    <mergeCell ref="B31:F31"/>
    <mergeCell ref="G31:K31"/>
    <mergeCell ref="B6:K6"/>
    <mergeCell ref="H24:K24"/>
    <mergeCell ref="B36:K36"/>
    <mergeCell ref="B5:K5"/>
    <mergeCell ref="H23:K23"/>
    <mergeCell ref="C69:F69"/>
    <mergeCell ref="I14:K14"/>
    <mergeCell ref="D11:K11"/>
    <mergeCell ref="B35:K35"/>
    <mergeCell ref="C68:F68"/>
    <mergeCell ref="B7:K7"/>
    <mergeCell ref="I17:K17"/>
    <mergeCell ref="B23:F23"/>
    <mergeCell ref="H29:K29"/>
    <mergeCell ref="E71:H71"/>
    <mergeCell ref="B3:K3"/>
    <mergeCell ref="E14:H14"/>
    <mergeCell ref="B29:F29"/>
    <mergeCell ref="E17:H17"/>
    <mergeCell ref="I68:J68"/>
    <mergeCell ref="G30:K30"/>
    <mergeCell ref="B10:C10"/>
    <mergeCell ref="G33:K33"/>
    <mergeCell ref="D50:F50"/>
    <mergeCell ref="B12:K12"/>
    <mergeCell ref="B2:K2"/>
    <mergeCell ref="P2:S2"/>
    <mergeCell ref="I15:K15"/>
    <mergeCell ref="G4:K4"/>
    <mergeCell ref="B30:F30"/>
    <mergeCell ref="I77:K77"/>
    <mergeCell ref="B8:K8"/>
    <mergeCell ref="B24:F24"/>
    <mergeCell ref="B71:D71"/>
    <mergeCell ref="G76:H76"/>
    <mergeCell ref="B76:C76"/>
    <mergeCell ref="J76:K76"/>
    <mergeCell ref="E15:H15"/>
    <mergeCell ref="I69:J69"/>
    <mergeCell ref="E77:H77"/>
    <mergeCell ref="B77:D77"/>
    <mergeCell ref="D49:F49"/>
    <mergeCell ref="B19:K19"/>
  </mergeCells>
  <printOptions horizontalCentered="1"/>
  <pageMargins left="0.7086614173228347" right="0.1181102362204725" top="0.5118110236220472" bottom="0.5118110236220472" header="0.3149606299212598" footer="0.3149606299212598"/>
  <pageSetup orientation="portrait" paperSize="9" scale="82" blackAndWhite="1"/>
  <rowBreaks count="1" manualBreakCount="1">
    <brk id="29" min="1" max="10" man="1"/>
  </rowBreaks>
</worksheet>
</file>

<file path=xl/worksheets/sheet7.xml><?xml version="1.0" encoding="utf-8"?>
<worksheet xmlns="http://schemas.openxmlformats.org/spreadsheetml/2006/main">
  <sheetPr>
    <outlinePr summaryBelow="1" summaryRight="1"/>
    <pageSetUpPr/>
  </sheetPr>
  <dimension ref="A1:W58"/>
  <sheetViews>
    <sheetView topLeftCell="C1" workbookViewId="0">
      <pane ySplit="4" topLeftCell="A35" activePane="bottomLeft" state="frozen"/>
      <selection pane="bottomLeft" activeCell="C68" sqref="C68"/>
    </sheetView>
  </sheetViews>
  <sheetFormatPr baseColWidth="8" defaultRowHeight="14"/>
  <cols>
    <col width="5.83203125" customWidth="1" style="672" min="1" max="1"/>
    <col width="23.33203125" customWidth="1" style="672" min="2" max="2"/>
    <col width="25" customWidth="1" style="672" min="3" max="3"/>
    <col width="10" customWidth="1" style="672" min="4" max="4"/>
    <col width="15" customWidth="1" style="672" min="7" max="7"/>
  </cols>
  <sheetData>
    <row r="1" ht="16.5" customHeight="1" s="672">
      <c r="A1" s="614" t="inlineStr">
        <is>
          <t>TỔNG HỢP THÉP BẢN QUÁ ĐỘ &amp; GỜ LAN CAN</t>
        </is>
      </c>
    </row>
    <row r="2">
      <c r="A2" s="615" t="inlineStr">
        <is>
          <t>Nguồn: Sheet Theo_Doi_Tan_Suat_Cot_Thep (liên kết công thức)</t>
        </is>
      </c>
    </row>
    <row r="3">
      <c r="O3" t="inlineStr">
        <is>
          <t>Chiều dài</t>
        </is>
      </c>
      <c r="P3" t="inlineStr">
        <is>
          <t>Chiều dài</t>
        </is>
      </c>
      <c r="Q3" t="inlineStr">
        <is>
          <t>Chiều dài</t>
        </is>
      </c>
      <c r="R3" t="inlineStr">
        <is>
          <t>Chiều dài</t>
        </is>
      </c>
      <c r="S3" t="inlineStr">
        <is>
          <t>Chiều dài</t>
        </is>
      </c>
      <c r="T3" t="inlineStr">
        <is>
          <t>Chiều dài</t>
        </is>
      </c>
      <c r="U3" t="inlineStr">
        <is>
          <t>Chiều dài</t>
        </is>
      </c>
    </row>
    <row r="4">
      <c r="A4" s="618" t="inlineStr">
        <is>
          <t>STT</t>
        </is>
      </c>
      <c r="B4" s="618" t="inlineStr">
        <is>
          <t>HẠNG MỤC CẤU KIỆN</t>
        </is>
      </c>
      <c r="C4" s="618" t="inlineStr">
        <is>
          <t>BỘ PHẬN / VỊ TRÍ CHI TIẾT</t>
        </is>
      </c>
      <c r="D4" s="618" t="inlineStr">
        <is>
          <t>KÝ HIỆU THANH</t>
        </is>
      </c>
      <c r="E4" s="618" t="inlineStr">
        <is>
          <t>Ø (mm)</t>
        </is>
      </c>
      <c r="F4" s="618" t="inlineStr">
        <is>
          <t>MÁC THÉP</t>
        </is>
      </c>
      <c r="G4" s="618" t="inlineStr">
        <is>
          <t>HÌNH DẠNG</t>
        </is>
      </c>
      <c r="H4" s="618" t="inlineStr">
        <is>
          <t>DÀI 1 THANH (m)</t>
        </is>
      </c>
      <c r="I4" s="618" t="inlineStr">
        <is>
          <t>SỐ LƯỢNG (Thanh)</t>
        </is>
      </c>
      <c r="J4" s="618" t="inlineStr">
        <is>
          <t>TL 1M (kg/m)</t>
        </is>
      </c>
      <c r="K4" s="618" t="inlineStr">
        <is>
          <t>TỔNG KL (kg)</t>
        </is>
      </c>
      <c r="L4" s="618" t="inlineStr">
        <is>
          <t>KHỐI LƯỢNG (Tấn)</t>
        </is>
      </c>
      <c r="O4" s="633" t="inlineStr">
        <is>
          <t>Ø10</t>
        </is>
      </c>
      <c r="P4" s="633" t="inlineStr">
        <is>
          <t>Ø12</t>
        </is>
      </c>
      <c r="Q4" s="633" t="inlineStr">
        <is>
          <t>Ø14</t>
        </is>
      </c>
      <c r="R4" s="633" t="inlineStr">
        <is>
          <t>Ø16</t>
        </is>
      </c>
      <c r="S4" s="633" t="inlineStr">
        <is>
          <t>Ø18</t>
        </is>
      </c>
      <c r="T4" s="633" t="inlineStr">
        <is>
          <t>Ø20</t>
        </is>
      </c>
      <c r="U4" s="633" t="inlineStr">
        <is>
          <t>Ø22</t>
        </is>
      </c>
      <c r="V4" s="633" t="n"/>
      <c r="W4" s="633" t="n"/>
    </row>
    <row r="5">
      <c r="A5" s="619" t="inlineStr">
        <is>
          <t>GỜ LAN CAN - MỐ M1</t>
        </is>
      </c>
      <c r="B5" s="665" t="n"/>
      <c r="C5" s="665" t="n"/>
      <c r="D5" s="665" t="n"/>
      <c r="E5" s="665" t="n"/>
      <c r="F5" s="665" t="n"/>
      <c r="G5" s="665" t="n"/>
      <c r="H5" s="665" t="n"/>
      <c r="I5" s="665" t="n"/>
      <c r="J5" s="665" t="n"/>
      <c r="K5" s="665" t="n"/>
      <c r="L5" s="665" t="n"/>
    </row>
    <row r="6">
      <c r="A6" s="620">
        <f>1</f>
        <v/>
      </c>
      <c r="B6" s="621">
        <f>Theo_Doi_Tan_Suat_Cot_Thep!B574</f>
        <v/>
      </c>
      <c r="C6" s="621">
        <f>Theo_Doi_Tan_Suat_Cot_Thep!C574</f>
        <v/>
      </c>
      <c r="D6" s="622">
        <f>Theo_Doi_Tan_Suat_Cot_Thep!D574</f>
        <v/>
      </c>
      <c r="E6" s="623">
        <f>Theo_Doi_Tan_Suat_Cot_Thep!E574</f>
        <v/>
      </c>
      <c r="F6" s="621">
        <f>Theo_Doi_Tan_Suat_Cot_Thep!F574</f>
        <v/>
      </c>
      <c r="G6" s="621">
        <f>Theo_Doi_Tan_Suat_Cot_Thep!G574</f>
        <v/>
      </c>
      <c r="H6" s="624">
        <f>Theo_Doi_Tan_Suat_Cot_Thep!H574</f>
        <v/>
      </c>
      <c r="I6" s="625">
        <f>Theo_Doi_Tan_Suat_Cot_Thep!I574</f>
        <v/>
      </c>
      <c r="J6" s="626">
        <f>Theo_Doi_Tan_Suat_Cot_Thep!J574</f>
        <v/>
      </c>
      <c r="K6" s="627">
        <f>Theo_Doi_Tan_Suat_Cot_Thep!K574</f>
        <v/>
      </c>
      <c r="L6" s="628">
        <f>Theo_Doi_Tan_Suat_Cot_Thep!L574</f>
        <v/>
      </c>
      <c r="N6">
        <f>I6*H6</f>
        <v/>
      </c>
      <c r="O6">
        <f>IF(E6&lt;=10,N6,0)</f>
        <v/>
      </c>
      <c r="P6">
        <f>IF(E6=12,N6,0)</f>
        <v/>
      </c>
      <c r="Q6">
        <f>IF(E6=14,N6,0)</f>
        <v/>
      </c>
      <c r="R6">
        <f>IF(E6=16,N6,0)</f>
        <v/>
      </c>
      <c r="S6">
        <f>IF(E6=18,N6,0)</f>
        <v/>
      </c>
      <c r="T6">
        <f>IF(E6=20,N6,0)</f>
        <v/>
      </c>
      <c r="U6">
        <f>IF(E6=22,N6,0)</f>
        <v/>
      </c>
    </row>
    <row r="7">
      <c r="A7" s="620">
        <f>A6+1</f>
        <v/>
      </c>
      <c r="B7" s="621">
        <f>Theo_Doi_Tan_Suat_Cot_Thep!B575</f>
        <v/>
      </c>
      <c r="C7" s="621">
        <f>Theo_Doi_Tan_Suat_Cot_Thep!C575</f>
        <v/>
      </c>
      <c r="D7" s="622">
        <f>Theo_Doi_Tan_Suat_Cot_Thep!D575</f>
        <v/>
      </c>
      <c r="E7" s="623">
        <f>Theo_Doi_Tan_Suat_Cot_Thep!E575</f>
        <v/>
      </c>
      <c r="F7" s="621">
        <f>Theo_Doi_Tan_Suat_Cot_Thep!F575</f>
        <v/>
      </c>
      <c r="G7" s="621">
        <f>Theo_Doi_Tan_Suat_Cot_Thep!G575</f>
        <v/>
      </c>
      <c r="H7" s="624">
        <f>Theo_Doi_Tan_Suat_Cot_Thep!H575</f>
        <v/>
      </c>
      <c r="I7" s="625">
        <f>Theo_Doi_Tan_Suat_Cot_Thep!I575</f>
        <v/>
      </c>
      <c r="J7" s="626">
        <f>Theo_Doi_Tan_Suat_Cot_Thep!J575</f>
        <v/>
      </c>
      <c r="K7" s="627">
        <f>Theo_Doi_Tan_Suat_Cot_Thep!K575</f>
        <v/>
      </c>
      <c r="L7" s="628">
        <f>Theo_Doi_Tan_Suat_Cot_Thep!L575</f>
        <v/>
      </c>
      <c r="N7">
        <f>I7*H7</f>
        <v/>
      </c>
      <c r="O7">
        <f>IF(E7&lt;=10,N7,0)</f>
        <v/>
      </c>
      <c r="P7">
        <f>IF(E7=12,N7,0)</f>
        <v/>
      </c>
      <c r="Q7">
        <f>IF(E7=14,N7,0)</f>
        <v/>
      </c>
      <c r="R7">
        <f>IF(E7=16,N7,0)</f>
        <v/>
      </c>
      <c r="S7">
        <f>IF(E7=18,N7,0)</f>
        <v/>
      </c>
      <c r="T7">
        <f>IF(E7=20,N7,0)</f>
        <v/>
      </c>
      <c r="U7">
        <f>IF(E7=22,N7,0)</f>
        <v/>
      </c>
    </row>
    <row r="8">
      <c r="A8" s="620">
        <f>A7+1</f>
        <v/>
      </c>
      <c r="B8" s="621">
        <f>Theo_Doi_Tan_Suat_Cot_Thep!B576</f>
        <v/>
      </c>
      <c r="C8" s="621">
        <f>Theo_Doi_Tan_Suat_Cot_Thep!C576</f>
        <v/>
      </c>
      <c r="D8" s="622">
        <f>Theo_Doi_Tan_Suat_Cot_Thep!D576</f>
        <v/>
      </c>
      <c r="E8" s="623">
        <f>Theo_Doi_Tan_Suat_Cot_Thep!E576</f>
        <v/>
      </c>
      <c r="F8" s="621">
        <f>Theo_Doi_Tan_Suat_Cot_Thep!F576</f>
        <v/>
      </c>
      <c r="G8" s="621">
        <f>Theo_Doi_Tan_Suat_Cot_Thep!G576</f>
        <v/>
      </c>
      <c r="H8" s="624">
        <f>Theo_Doi_Tan_Suat_Cot_Thep!H576</f>
        <v/>
      </c>
      <c r="I8" s="625">
        <f>Theo_Doi_Tan_Suat_Cot_Thep!I576</f>
        <v/>
      </c>
      <c r="J8" s="626">
        <f>Theo_Doi_Tan_Suat_Cot_Thep!J576</f>
        <v/>
      </c>
      <c r="K8" s="627">
        <f>Theo_Doi_Tan_Suat_Cot_Thep!K576</f>
        <v/>
      </c>
      <c r="L8" s="628">
        <f>Theo_Doi_Tan_Suat_Cot_Thep!L576</f>
        <v/>
      </c>
      <c r="N8">
        <f>I8*H8</f>
        <v/>
      </c>
      <c r="O8">
        <f>IF(E8&lt;=10,N8,0)</f>
        <v/>
      </c>
      <c r="P8">
        <f>IF(E8=12,N8,0)</f>
        <v/>
      </c>
      <c r="Q8">
        <f>IF(E8=14,N8,0)</f>
        <v/>
      </c>
      <c r="R8">
        <f>IF(E8=16,N8,0)</f>
        <v/>
      </c>
      <c r="S8">
        <f>IF(E8=18,N8,0)</f>
        <v/>
      </c>
      <c r="T8">
        <f>IF(E8=20,N8,0)</f>
        <v/>
      </c>
      <c r="U8">
        <f>IF(E8=22,N8,0)</f>
        <v/>
      </c>
    </row>
    <row r="9">
      <c r="A9" s="620">
        <f>A8+1</f>
        <v/>
      </c>
      <c r="B9" s="621">
        <f>Theo_Doi_Tan_Suat_Cot_Thep!B577</f>
        <v/>
      </c>
      <c r="C9" s="621">
        <f>Theo_Doi_Tan_Suat_Cot_Thep!C577</f>
        <v/>
      </c>
      <c r="D9" s="622">
        <f>Theo_Doi_Tan_Suat_Cot_Thep!D577</f>
        <v/>
      </c>
      <c r="E9" s="623">
        <f>Theo_Doi_Tan_Suat_Cot_Thep!E577</f>
        <v/>
      </c>
      <c r="F9" s="621">
        <f>Theo_Doi_Tan_Suat_Cot_Thep!F577</f>
        <v/>
      </c>
      <c r="G9" s="621">
        <f>Theo_Doi_Tan_Suat_Cot_Thep!G577</f>
        <v/>
      </c>
      <c r="H9" s="624">
        <f>Theo_Doi_Tan_Suat_Cot_Thep!H577</f>
        <v/>
      </c>
      <c r="I9" s="625">
        <f>Theo_Doi_Tan_Suat_Cot_Thep!I577</f>
        <v/>
      </c>
      <c r="J9" s="626">
        <f>Theo_Doi_Tan_Suat_Cot_Thep!J577</f>
        <v/>
      </c>
      <c r="K9" s="627">
        <f>Theo_Doi_Tan_Suat_Cot_Thep!K577</f>
        <v/>
      </c>
      <c r="L9" s="628">
        <f>Theo_Doi_Tan_Suat_Cot_Thep!L577</f>
        <v/>
      </c>
      <c r="N9">
        <f>I9*H9</f>
        <v/>
      </c>
      <c r="O9">
        <f>IF(E9&lt;=10,N9,0)</f>
        <v/>
      </c>
      <c r="P9">
        <f>IF(E9=12,N9,0)</f>
        <v/>
      </c>
      <c r="Q9">
        <f>IF(E9=14,N9,0)</f>
        <v/>
      </c>
      <c r="R9">
        <f>IF(E9=16,N9,0)</f>
        <v/>
      </c>
      <c r="S9">
        <f>IF(E9=18,N9,0)</f>
        <v/>
      </c>
      <c r="T9">
        <f>IF(E9=20,N9,0)</f>
        <v/>
      </c>
      <c r="U9">
        <f>IF(E9=22,N9,0)</f>
        <v/>
      </c>
    </row>
    <row r="10">
      <c r="A10" s="620">
        <f>A9+1</f>
        <v/>
      </c>
      <c r="B10" s="621">
        <f>Theo_Doi_Tan_Suat_Cot_Thep!B578</f>
        <v/>
      </c>
      <c r="C10" s="621">
        <f>Theo_Doi_Tan_Suat_Cot_Thep!C578</f>
        <v/>
      </c>
      <c r="D10" s="622">
        <f>Theo_Doi_Tan_Suat_Cot_Thep!D578</f>
        <v/>
      </c>
      <c r="E10" s="623">
        <f>Theo_Doi_Tan_Suat_Cot_Thep!E578</f>
        <v/>
      </c>
      <c r="F10" s="621">
        <f>Theo_Doi_Tan_Suat_Cot_Thep!F578</f>
        <v/>
      </c>
      <c r="G10" s="621">
        <f>Theo_Doi_Tan_Suat_Cot_Thep!G578</f>
        <v/>
      </c>
      <c r="H10" s="624">
        <f>Theo_Doi_Tan_Suat_Cot_Thep!H578</f>
        <v/>
      </c>
      <c r="I10" s="625">
        <f>Theo_Doi_Tan_Suat_Cot_Thep!I578</f>
        <v/>
      </c>
      <c r="J10" s="626">
        <f>Theo_Doi_Tan_Suat_Cot_Thep!J578</f>
        <v/>
      </c>
      <c r="K10" s="627">
        <f>Theo_Doi_Tan_Suat_Cot_Thep!K578</f>
        <v/>
      </c>
      <c r="L10" s="628">
        <f>Theo_Doi_Tan_Suat_Cot_Thep!L578</f>
        <v/>
      </c>
      <c r="N10">
        <f>I10*H10</f>
        <v/>
      </c>
      <c r="O10">
        <f>IF(E10&lt;=10,N10,0)</f>
        <v/>
      </c>
      <c r="P10">
        <f>IF(E10=12,N10,0)</f>
        <v/>
      </c>
      <c r="Q10">
        <f>IF(E10=14,N10,0)</f>
        <v/>
      </c>
      <c r="R10">
        <f>IF(E10=16,N10,0)</f>
        <v/>
      </c>
      <c r="S10">
        <f>IF(E10=18,N10,0)</f>
        <v/>
      </c>
      <c r="T10">
        <f>IF(E10=20,N10,0)</f>
        <v/>
      </c>
      <c r="U10">
        <f>IF(E10=22,N10,0)</f>
        <v/>
      </c>
    </row>
    <row r="11">
      <c r="A11" s="620">
        <f>A10+1</f>
        <v/>
      </c>
      <c r="B11" s="621">
        <f>Theo_Doi_Tan_Suat_Cot_Thep!B579</f>
        <v/>
      </c>
      <c r="C11" s="621">
        <f>Theo_Doi_Tan_Suat_Cot_Thep!C579</f>
        <v/>
      </c>
      <c r="D11" s="622">
        <f>Theo_Doi_Tan_Suat_Cot_Thep!D579</f>
        <v/>
      </c>
      <c r="E11" s="623">
        <f>Theo_Doi_Tan_Suat_Cot_Thep!E579</f>
        <v/>
      </c>
      <c r="F11" s="621">
        <f>Theo_Doi_Tan_Suat_Cot_Thep!F579</f>
        <v/>
      </c>
      <c r="G11" s="621">
        <f>Theo_Doi_Tan_Suat_Cot_Thep!G579</f>
        <v/>
      </c>
      <c r="H11" s="624">
        <f>Theo_Doi_Tan_Suat_Cot_Thep!H579</f>
        <v/>
      </c>
      <c r="I11" s="625">
        <f>Theo_Doi_Tan_Suat_Cot_Thep!I579</f>
        <v/>
      </c>
      <c r="J11" s="626">
        <f>Theo_Doi_Tan_Suat_Cot_Thep!J579</f>
        <v/>
      </c>
      <c r="K11" s="627">
        <f>Theo_Doi_Tan_Suat_Cot_Thep!K579</f>
        <v/>
      </c>
      <c r="L11" s="628">
        <f>Theo_Doi_Tan_Suat_Cot_Thep!L579</f>
        <v/>
      </c>
      <c r="N11">
        <f>I11*H11</f>
        <v/>
      </c>
      <c r="O11">
        <f>IF(E11&lt;=10,N11,0)</f>
        <v/>
      </c>
      <c r="P11">
        <f>IF(E11=12,N11,0)</f>
        <v/>
      </c>
      <c r="Q11">
        <f>IF(E11=14,N11,0)</f>
        <v/>
      </c>
      <c r="R11">
        <f>IF(E11=16,N11,0)</f>
        <v/>
      </c>
      <c r="S11">
        <f>IF(E11=18,N11,0)</f>
        <v/>
      </c>
      <c r="T11">
        <f>IF(E11=20,N11,0)</f>
        <v/>
      </c>
      <c r="U11">
        <f>IF(E11=22,N11,0)</f>
        <v/>
      </c>
    </row>
    <row r="12">
      <c r="A12" s="620">
        <f>A11+1</f>
        <v/>
      </c>
      <c r="B12" s="621">
        <f>Theo_Doi_Tan_Suat_Cot_Thep!B580</f>
        <v/>
      </c>
      <c r="C12" s="621">
        <f>Theo_Doi_Tan_Suat_Cot_Thep!C580</f>
        <v/>
      </c>
      <c r="D12" s="622">
        <f>Theo_Doi_Tan_Suat_Cot_Thep!D580</f>
        <v/>
      </c>
      <c r="E12" s="623">
        <f>Theo_Doi_Tan_Suat_Cot_Thep!E580</f>
        <v/>
      </c>
      <c r="F12" s="621">
        <f>Theo_Doi_Tan_Suat_Cot_Thep!F580</f>
        <v/>
      </c>
      <c r="G12" s="621">
        <f>Theo_Doi_Tan_Suat_Cot_Thep!G580</f>
        <v/>
      </c>
      <c r="H12" s="624">
        <f>Theo_Doi_Tan_Suat_Cot_Thep!H580</f>
        <v/>
      </c>
      <c r="I12" s="625">
        <f>Theo_Doi_Tan_Suat_Cot_Thep!I580</f>
        <v/>
      </c>
      <c r="J12" s="626">
        <f>Theo_Doi_Tan_Suat_Cot_Thep!J580</f>
        <v/>
      </c>
      <c r="K12" s="627">
        <f>Theo_Doi_Tan_Suat_Cot_Thep!K580</f>
        <v/>
      </c>
      <c r="L12" s="628">
        <f>Theo_Doi_Tan_Suat_Cot_Thep!L580</f>
        <v/>
      </c>
      <c r="N12">
        <f>I12*H12</f>
        <v/>
      </c>
      <c r="O12">
        <f>IF(E12&lt;=10,N12,0)</f>
        <v/>
      </c>
      <c r="P12">
        <f>IF(E12=12,N12,0)</f>
        <v/>
      </c>
      <c r="Q12">
        <f>IF(E12=14,N12,0)</f>
        <v/>
      </c>
      <c r="R12">
        <f>IF(E12=16,N12,0)</f>
        <v/>
      </c>
      <c r="S12">
        <f>IF(E12=18,N12,0)</f>
        <v/>
      </c>
      <c r="T12">
        <f>IF(E12=20,N12,0)</f>
        <v/>
      </c>
      <c r="U12">
        <f>IF(E12=22,N12,0)</f>
        <v/>
      </c>
    </row>
    <row r="13">
      <c r="A13" s="620">
        <f>A12+1</f>
        <v/>
      </c>
      <c r="B13" s="621">
        <f>Theo_Doi_Tan_Suat_Cot_Thep!B581</f>
        <v/>
      </c>
      <c r="C13" s="621">
        <f>Theo_Doi_Tan_Suat_Cot_Thep!C581</f>
        <v/>
      </c>
      <c r="D13" s="622">
        <f>Theo_Doi_Tan_Suat_Cot_Thep!D581</f>
        <v/>
      </c>
      <c r="E13" s="623">
        <f>Theo_Doi_Tan_Suat_Cot_Thep!E581</f>
        <v/>
      </c>
      <c r="F13" s="621">
        <f>Theo_Doi_Tan_Suat_Cot_Thep!F581</f>
        <v/>
      </c>
      <c r="G13" s="621">
        <f>Theo_Doi_Tan_Suat_Cot_Thep!G581</f>
        <v/>
      </c>
      <c r="H13" s="624">
        <f>Theo_Doi_Tan_Suat_Cot_Thep!H581</f>
        <v/>
      </c>
      <c r="I13" s="625">
        <f>Theo_Doi_Tan_Suat_Cot_Thep!I581</f>
        <v/>
      </c>
      <c r="J13" s="626">
        <f>Theo_Doi_Tan_Suat_Cot_Thep!J581</f>
        <v/>
      </c>
      <c r="K13" s="627">
        <f>Theo_Doi_Tan_Suat_Cot_Thep!K581</f>
        <v/>
      </c>
      <c r="L13" s="628">
        <f>Theo_Doi_Tan_Suat_Cot_Thep!L581</f>
        <v/>
      </c>
      <c r="N13">
        <f>I13*H13</f>
        <v/>
      </c>
      <c r="O13">
        <f>IF(E13&lt;=10,N13,0)</f>
        <v/>
      </c>
      <c r="P13">
        <f>IF(E13=12,N13,0)</f>
        <v/>
      </c>
      <c r="Q13">
        <f>IF(E13=14,N13,0)</f>
        <v/>
      </c>
      <c r="R13">
        <f>IF(E13=16,N13,0)</f>
        <v/>
      </c>
      <c r="S13">
        <f>IF(E13=18,N13,0)</f>
        <v/>
      </c>
      <c r="T13">
        <f>IF(E13=20,N13,0)</f>
        <v/>
      </c>
      <c r="U13">
        <f>IF(E13=22,N13,0)</f>
        <v/>
      </c>
    </row>
    <row r="14">
      <c r="A14" s="620">
        <f>A13+1</f>
        <v/>
      </c>
      <c r="B14" s="621">
        <f>Theo_Doi_Tan_Suat_Cot_Thep!B582</f>
        <v/>
      </c>
      <c r="C14" s="621">
        <f>Theo_Doi_Tan_Suat_Cot_Thep!C582</f>
        <v/>
      </c>
      <c r="D14" s="622">
        <f>Theo_Doi_Tan_Suat_Cot_Thep!D582</f>
        <v/>
      </c>
      <c r="E14" s="623">
        <f>Theo_Doi_Tan_Suat_Cot_Thep!E582</f>
        <v/>
      </c>
      <c r="F14" s="621">
        <f>Theo_Doi_Tan_Suat_Cot_Thep!F582</f>
        <v/>
      </c>
      <c r="G14" s="621">
        <f>Theo_Doi_Tan_Suat_Cot_Thep!G582</f>
        <v/>
      </c>
      <c r="H14" s="624">
        <f>Theo_Doi_Tan_Suat_Cot_Thep!H582</f>
        <v/>
      </c>
      <c r="I14" s="625">
        <f>Theo_Doi_Tan_Suat_Cot_Thep!I582</f>
        <v/>
      </c>
      <c r="J14" s="626">
        <f>Theo_Doi_Tan_Suat_Cot_Thep!J582</f>
        <v/>
      </c>
      <c r="K14" s="627">
        <f>Theo_Doi_Tan_Suat_Cot_Thep!K582</f>
        <v/>
      </c>
      <c r="L14" s="628">
        <f>Theo_Doi_Tan_Suat_Cot_Thep!L582</f>
        <v/>
      </c>
      <c r="N14">
        <f>I14*H14</f>
        <v/>
      </c>
      <c r="O14">
        <f>IF(E14&lt;=10,N14,0)</f>
        <v/>
      </c>
      <c r="P14">
        <f>IF(E14=12,N14,0)</f>
        <v/>
      </c>
      <c r="Q14">
        <f>IF(E14=14,N14,0)</f>
        <v/>
      </c>
      <c r="R14">
        <f>IF(E14=16,N14,0)</f>
        <v/>
      </c>
      <c r="S14">
        <f>IF(E14=18,N14,0)</f>
        <v/>
      </c>
      <c r="T14">
        <f>IF(E14=20,N14,0)</f>
        <v/>
      </c>
      <c r="U14">
        <f>IF(E14=22,N14,0)</f>
        <v/>
      </c>
    </row>
    <row r="15">
      <c r="A15" s="620">
        <f>A14+1</f>
        <v/>
      </c>
      <c r="B15" s="621">
        <f>Theo_Doi_Tan_Suat_Cot_Thep!B583</f>
        <v/>
      </c>
      <c r="C15" s="621">
        <f>Theo_Doi_Tan_Suat_Cot_Thep!C583</f>
        <v/>
      </c>
      <c r="D15" s="622">
        <f>Theo_Doi_Tan_Suat_Cot_Thep!D583</f>
        <v/>
      </c>
      <c r="E15" s="623">
        <f>Theo_Doi_Tan_Suat_Cot_Thep!E583</f>
        <v/>
      </c>
      <c r="F15" s="621">
        <f>Theo_Doi_Tan_Suat_Cot_Thep!F583</f>
        <v/>
      </c>
      <c r="G15" s="621">
        <f>Theo_Doi_Tan_Suat_Cot_Thep!G583</f>
        <v/>
      </c>
      <c r="H15" s="624">
        <f>Theo_Doi_Tan_Suat_Cot_Thep!H583</f>
        <v/>
      </c>
      <c r="I15" s="625">
        <f>Theo_Doi_Tan_Suat_Cot_Thep!I583</f>
        <v/>
      </c>
      <c r="J15" s="626">
        <f>Theo_Doi_Tan_Suat_Cot_Thep!J583</f>
        <v/>
      </c>
      <c r="K15" s="627">
        <f>Theo_Doi_Tan_Suat_Cot_Thep!K583</f>
        <v/>
      </c>
      <c r="L15" s="628">
        <f>Theo_Doi_Tan_Suat_Cot_Thep!L583</f>
        <v/>
      </c>
      <c r="N15">
        <f>I15*H15</f>
        <v/>
      </c>
      <c r="O15">
        <f>IF(E15&lt;=10,N15,0)</f>
        <v/>
      </c>
      <c r="P15">
        <f>IF(E15=12,N15,0)</f>
        <v/>
      </c>
      <c r="Q15">
        <f>IF(E15=14,N15,0)</f>
        <v/>
      </c>
      <c r="R15">
        <f>IF(E15=16,N15,0)</f>
        <v/>
      </c>
      <c r="S15">
        <f>IF(E15=18,N15,0)</f>
        <v/>
      </c>
      <c r="T15">
        <f>IF(E15=20,N15,0)</f>
        <v/>
      </c>
      <c r="U15">
        <f>IF(E15=22,N15,0)</f>
        <v/>
      </c>
    </row>
    <row r="16">
      <c r="A16" s="620">
        <f>A15+1</f>
        <v/>
      </c>
      <c r="B16" s="621">
        <f>Theo_Doi_Tan_Suat_Cot_Thep!B584</f>
        <v/>
      </c>
      <c r="C16" s="621">
        <f>Theo_Doi_Tan_Suat_Cot_Thep!C584</f>
        <v/>
      </c>
      <c r="D16" s="622">
        <f>Theo_Doi_Tan_Suat_Cot_Thep!D584</f>
        <v/>
      </c>
      <c r="E16" s="623">
        <f>Theo_Doi_Tan_Suat_Cot_Thep!E584</f>
        <v/>
      </c>
      <c r="F16" s="621">
        <f>Theo_Doi_Tan_Suat_Cot_Thep!F584</f>
        <v/>
      </c>
      <c r="G16" s="621">
        <f>Theo_Doi_Tan_Suat_Cot_Thep!G584</f>
        <v/>
      </c>
      <c r="H16" s="624">
        <f>Theo_Doi_Tan_Suat_Cot_Thep!H584</f>
        <v/>
      </c>
      <c r="I16" s="625">
        <f>Theo_Doi_Tan_Suat_Cot_Thep!I584</f>
        <v/>
      </c>
      <c r="J16" s="626">
        <f>Theo_Doi_Tan_Suat_Cot_Thep!J584</f>
        <v/>
      </c>
      <c r="K16" s="627">
        <f>Theo_Doi_Tan_Suat_Cot_Thep!K584</f>
        <v/>
      </c>
      <c r="L16" s="628">
        <f>Theo_Doi_Tan_Suat_Cot_Thep!L584</f>
        <v/>
      </c>
      <c r="N16">
        <f>I16*H16</f>
        <v/>
      </c>
      <c r="O16">
        <f>IF(E16&lt;=10,N16,0)</f>
        <v/>
      </c>
      <c r="P16">
        <f>IF(E16=12,N16,0)</f>
        <v/>
      </c>
      <c r="Q16">
        <f>IF(E16=14,N16,0)</f>
        <v/>
      </c>
      <c r="R16">
        <f>IF(E16=16,N16,0)</f>
        <v/>
      </c>
      <c r="S16">
        <f>IF(E16=18,N16,0)</f>
        <v/>
      </c>
      <c r="T16">
        <f>IF(E16=20,N16,0)</f>
        <v/>
      </c>
      <c r="U16">
        <f>IF(E16=22,N16,0)</f>
        <v/>
      </c>
    </row>
    <row r="17">
      <c r="A17" s="620">
        <f>A16+1</f>
        <v/>
      </c>
      <c r="B17" s="621">
        <f>Theo_Doi_Tan_Suat_Cot_Thep!B585</f>
        <v/>
      </c>
      <c r="C17" s="621">
        <f>Theo_Doi_Tan_Suat_Cot_Thep!C585</f>
        <v/>
      </c>
      <c r="D17" s="622">
        <f>Theo_Doi_Tan_Suat_Cot_Thep!D585</f>
        <v/>
      </c>
      <c r="E17" s="623">
        <f>Theo_Doi_Tan_Suat_Cot_Thep!E585</f>
        <v/>
      </c>
      <c r="F17" s="621">
        <f>Theo_Doi_Tan_Suat_Cot_Thep!F585</f>
        <v/>
      </c>
      <c r="G17" s="621">
        <f>Theo_Doi_Tan_Suat_Cot_Thep!G585</f>
        <v/>
      </c>
      <c r="H17" s="624">
        <f>Theo_Doi_Tan_Suat_Cot_Thep!H585</f>
        <v/>
      </c>
      <c r="I17" s="625">
        <f>Theo_Doi_Tan_Suat_Cot_Thep!I585</f>
        <v/>
      </c>
      <c r="J17" s="626">
        <f>Theo_Doi_Tan_Suat_Cot_Thep!J585</f>
        <v/>
      </c>
      <c r="K17" s="627">
        <f>Theo_Doi_Tan_Suat_Cot_Thep!K585</f>
        <v/>
      </c>
      <c r="L17" s="628">
        <f>Theo_Doi_Tan_Suat_Cot_Thep!L585</f>
        <v/>
      </c>
      <c r="N17">
        <f>I17*H17</f>
        <v/>
      </c>
      <c r="O17">
        <f>IF(E17&lt;=10,N17,0)</f>
        <v/>
      </c>
      <c r="P17">
        <f>IF(E17=12,N17,0)</f>
        <v/>
      </c>
      <c r="Q17">
        <f>IF(E17=14,N17,0)</f>
        <v/>
      </c>
      <c r="R17">
        <f>IF(E17=16,N17,0)</f>
        <v/>
      </c>
      <c r="S17">
        <f>IF(E17=18,N17,0)</f>
        <v/>
      </c>
      <c r="T17">
        <f>IF(E17=20,N17,0)</f>
        <v/>
      </c>
      <c r="U17">
        <f>IF(E17=22,N17,0)</f>
        <v/>
      </c>
    </row>
    <row r="18">
      <c r="A18" s="620">
        <f>A17+1</f>
        <v/>
      </c>
      <c r="B18" s="621">
        <f>Theo_Doi_Tan_Suat_Cot_Thep!B586</f>
        <v/>
      </c>
      <c r="C18" s="621">
        <f>Theo_Doi_Tan_Suat_Cot_Thep!C586</f>
        <v/>
      </c>
      <c r="D18" s="622">
        <f>Theo_Doi_Tan_Suat_Cot_Thep!D586</f>
        <v/>
      </c>
      <c r="E18" s="623">
        <f>Theo_Doi_Tan_Suat_Cot_Thep!E586</f>
        <v/>
      </c>
      <c r="F18" s="621">
        <f>Theo_Doi_Tan_Suat_Cot_Thep!F586</f>
        <v/>
      </c>
      <c r="G18" s="621">
        <f>Theo_Doi_Tan_Suat_Cot_Thep!G586</f>
        <v/>
      </c>
      <c r="H18" s="624">
        <f>Theo_Doi_Tan_Suat_Cot_Thep!H586</f>
        <v/>
      </c>
      <c r="I18" s="625">
        <f>Theo_Doi_Tan_Suat_Cot_Thep!I586</f>
        <v/>
      </c>
      <c r="J18" s="626">
        <f>Theo_Doi_Tan_Suat_Cot_Thep!J586</f>
        <v/>
      </c>
      <c r="K18" s="627">
        <f>Theo_Doi_Tan_Suat_Cot_Thep!K586</f>
        <v/>
      </c>
      <c r="L18" s="628">
        <f>Theo_Doi_Tan_Suat_Cot_Thep!L586</f>
        <v/>
      </c>
      <c r="N18">
        <f>I18*H18</f>
        <v/>
      </c>
      <c r="O18">
        <f>IF(E18&lt;=10,N18,0)</f>
        <v/>
      </c>
      <c r="P18">
        <f>IF(E18=12,N18,0)</f>
        <v/>
      </c>
      <c r="Q18">
        <f>IF(E18=14,N18,0)</f>
        <v/>
      </c>
      <c r="R18">
        <f>IF(E18=16,N18,0)</f>
        <v/>
      </c>
      <c r="S18">
        <f>IF(E18=18,N18,0)</f>
        <v/>
      </c>
      <c r="T18">
        <f>IF(E18=20,N18,0)</f>
        <v/>
      </c>
      <c r="U18">
        <f>IF(E18=22,N18,0)</f>
        <v/>
      </c>
    </row>
    <row r="19">
      <c r="A19" s="620">
        <f>A18+1</f>
        <v/>
      </c>
      <c r="B19" s="621">
        <f>Theo_Doi_Tan_Suat_Cot_Thep!B587</f>
        <v/>
      </c>
      <c r="C19" s="621">
        <f>Theo_Doi_Tan_Suat_Cot_Thep!C587</f>
        <v/>
      </c>
      <c r="D19" s="622">
        <f>Theo_Doi_Tan_Suat_Cot_Thep!D587</f>
        <v/>
      </c>
      <c r="E19" s="623">
        <f>Theo_Doi_Tan_Suat_Cot_Thep!E587</f>
        <v/>
      </c>
      <c r="F19" s="621">
        <f>Theo_Doi_Tan_Suat_Cot_Thep!F587</f>
        <v/>
      </c>
      <c r="G19" s="621">
        <f>Theo_Doi_Tan_Suat_Cot_Thep!G587</f>
        <v/>
      </c>
      <c r="H19" s="624">
        <f>Theo_Doi_Tan_Suat_Cot_Thep!H587</f>
        <v/>
      </c>
      <c r="I19" s="625">
        <f>Theo_Doi_Tan_Suat_Cot_Thep!I587</f>
        <v/>
      </c>
      <c r="J19" s="626">
        <f>Theo_Doi_Tan_Suat_Cot_Thep!J587</f>
        <v/>
      </c>
      <c r="K19" s="627">
        <f>Theo_Doi_Tan_Suat_Cot_Thep!K587</f>
        <v/>
      </c>
      <c r="L19" s="628">
        <f>Theo_Doi_Tan_Suat_Cot_Thep!L587</f>
        <v/>
      </c>
      <c r="N19">
        <f>I19*H19</f>
        <v/>
      </c>
      <c r="O19">
        <f>IF(E19&lt;=10,N19,0)</f>
        <v/>
      </c>
      <c r="P19">
        <f>IF(E19=12,N19,0)</f>
        <v/>
      </c>
      <c r="Q19">
        <f>IF(E19=14,N19,0)</f>
        <v/>
      </c>
      <c r="R19">
        <f>IF(E19=16,N19,0)</f>
        <v/>
      </c>
      <c r="S19">
        <f>IF(E19=18,N19,0)</f>
        <v/>
      </c>
      <c r="T19">
        <f>IF(E19=20,N19,0)</f>
        <v/>
      </c>
      <c r="U19">
        <f>IF(E19=22,N19,0)</f>
        <v/>
      </c>
    </row>
    <row r="20">
      <c r="A20" s="620">
        <f>A19+1</f>
        <v/>
      </c>
      <c r="B20" s="621">
        <f>Theo_Doi_Tan_Suat_Cot_Thep!B588</f>
        <v/>
      </c>
      <c r="C20" s="621">
        <f>Theo_Doi_Tan_Suat_Cot_Thep!C588</f>
        <v/>
      </c>
      <c r="D20" s="622">
        <f>Theo_Doi_Tan_Suat_Cot_Thep!D588</f>
        <v/>
      </c>
      <c r="E20" s="623">
        <f>Theo_Doi_Tan_Suat_Cot_Thep!E588</f>
        <v/>
      </c>
      <c r="F20" s="621">
        <f>Theo_Doi_Tan_Suat_Cot_Thep!F588</f>
        <v/>
      </c>
      <c r="G20" s="621">
        <f>Theo_Doi_Tan_Suat_Cot_Thep!G588</f>
        <v/>
      </c>
      <c r="H20" s="624">
        <f>Theo_Doi_Tan_Suat_Cot_Thep!H588</f>
        <v/>
      </c>
      <c r="I20" s="625">
        <f>Theo_Doi_Tan_Suat_Cot_Thep!I588</f>
        <v/>
      </c>
      <c r="J20" s="626">
        <f>Theo_Doi_Tan_Suat_Cot_Thep!J588</f>
        <v/>
      </c>
      <c r="K20" s="627">
        <f>Theo_Doi_Tan_Suat_Cot_Thep!K588</f>
        <v/>
      </c>
      <c r="L20" s="628">
        <f>Theo_Doi_Tan_Suat_Cot_Thep!L588</f>
        <v/>
      </c>
      <c r="N20">
        <f>I20*H20</f>
        <v/>
      </c>
      <c r="O20">
        <f>IF(E20&lt;=10,N20,0)</f>
        <v/>
      </c>
      <c r="P20">
        <f>IF(E20=12,N20,0)</f>
        <v/>
      </c>
      <c r="Q20">
        <f>IF(E20=14,N20,0)</f>
        <v/>
      </c>
      <c r="R20">
        <f>IF(E20=16,N20,0)</f>
        <v/>
      </c>
      <c r="S20">
        <f>IF(E20=18,N20,0)</f>
        <v/>
      </c>
      <c r="T20">
        <f>IF(E20=20,N20,0)</f>
        <v/>
      </c>
      <c r="U20">
        <f>IF(E20=22,N20,0)</f>
        <v/>
      </c>
    </row>
    <row r="21">
      <c r="A21" s="620" t="n"/>
      <c r="B21" s="621" t="n"/>
      <c r="C21" s="622" t="inlineStr">
        <is>
          <t>Cộng Gờ lan can Mố M1</t>
        </is>
      </c>
      <c r="D21" s="622" t="n"/>
      <c r="E21" s="623" t="n"/>
      <c r="F21" s="621" t="n"/>
      <c r="G21" s="621" t="n"/>
      <c r="H21" s="624" t="n"/>
      <c r="I21" s="625" t="n"/>
      <c r="J21" s="626" t="n"/>
      <c r="K21" s="627" t="n"/>
      <c r="L21" s="628">
        <f>SUM(L6:L20)</f>
        <v/>
      </c>
    </row>
    <row r="22">
      <c r="A22" s="619" t="inlineStr">
        <is>
          <t>GỜ LAN CAN - MỐ M2</t>
        </is>
      </c>
      <c r="B22" s="665" t="n"/>
      <c r="C22" s="665" t="n"/>
      <c r="D22" s="665" t="n"/>
      <c r="E22" s="665" t="n"/>
      <c r="F22" s="665" t="n"/>
      <c r="G22" s="665" t="n"/>
      <c r="H22" s="665" t="n"/>
      <c r="I22" s="665" t="n"/>
      <c r="J22" s="665" t="n"/>
      <c r="K22" s="665" t="n"/>
      <c r="L22" s="665" t="n"/>
    </row>
    <row r="23">
      <c r="A23" s="620">
        <f>1</f>
        <v/>
      </c>
      <c r="B23" s="621">
        <f>Theo_Doi_Tan_Suat_Cot_Thep!B448</f>
        <v/>
      </c>
      <c r="C23" s="621">
        <f>Theo_Doi_Tan_Suat_Cot_Thep!C448</f>
        <v/>
      </c>
      <c r="D23" s="622">
        <f>Theo_Doi_Tan_Suat_Cot_Thep!D448</f>
        <v/>
      </c>
      <c r="E23" s="623">
        <f>Theo_Doi_Tan_Suat_Cot_Thep!E448</f>
        <v/>
      </c>
      <c r="F23" s="621">
        <f>Theo_Doi_Tan_Suat_Cot_Thep!F448</f>
        <v/>
      </c>
      <c r="G23" s="621">
        <f>Theo_Doi_Tan_Suat_Cot_Thep!G448</f>
        <v/>
      </c>
      <c r="H23" s="624">
        <f>Theo_Doi_Tan_Suat_Cot_Thep!H448</f>
        <v/>
      </c>
      <c r="I23" s="625">
        <f>Theo_Doi_Tan_Suat_Cot_Thep!I448</f>
        <v/>
      </c>
      <c r="J23" s="626">
        <f>Theo_Doi_Tan_Suat_Cot_Thep!J448</f>
        <v/>
      </c>
      <c r="K23" s="627">
        <f>Theo_Doi_Tan_Suat_Cot_Thep!K448</f>
        <v/>
      </c>
      <c r="L23" s="628">
        <f>Theo_Doi_Tan_Suat_Cot_Thep!L448</f>
        <v/>
      </c>
      <c r="N23">
        <f>I23*H23</f>
        <v/>
      </c>
      <c r="O23">
        <f>IF(E23&lt;=10,N23,0)</f>
        <v/>
      </c>
      <c r="P23">
        <f>IF(E23=12,N23,0)</f>
        <v/>
      </c>
      <c r="Q23">
        <f>IF(E23=14,N23,0)</f>
        <v/>
      </c>
      <c r="R23">
        <f>IF(E23=16,N23,0)</f>
        <v/>
      </c>
      <c r="S23">
        <f>IF(E23=18,N23,0)</f>
        <v/>
      </c>
      <c r="T23">
        <f>IF(E23=20,N23,0)</f>
        <v/>
      </c>
      <c r="U23">
        <f>IF(E23=22,N23,0)</f>
        <v/>
      </c>
    </row>
    <row r="24">
      <c r="A24" s="620">
        <f>A23+1</f>
        <v/>
      </c>
      <c r="B24" s="621">
        <f>Theo_Doi_Tan_Suat_Cot_Thep!B449</f>
        <v/>
      </c>
      <c r="C24" s="621">
        <f>Theo_Doi_Tan_Suat_Cot_Thep!C449</f>
        <v/>
      </c>
      <c r="D24" s="622">
        <f>Theo_Doi_Tan_Suat_Cot_Thep!D449</f>
        <v/>
      </c>
      <c r="E24" s="623">
        <f>Theo_Doi_Tan_Suat_Cot_Thep!E449</f>
        <v/>
      </c>
      <c r="F24" s="621">
        <f>Theo_Doi_Tan_Suat_Cot_Thep!F449</f>
        <v/>
      </c>
      <c r="G24" s="621">
        <f>Theo_Doi_Tan_Suat_Cot_Thep!G449</f>
        <v/>
      </c>
      <c r="H24" s="624">
        <f>Theo_Doi_Tan_Suat_Cot_Thep!H449</f>
        <v/>
      </c>
      <c r="I24" s="625">
        <f>Theo_Doi_Tan_Suat_Cot_Thep!I449</f>
        <v/>
      </c>
      <c r="J24" s="626">
        <f>Theo_Doi_Tan_Suat_Cot_Thep!J449</f>
        <v/>
      </c>
      <c r="K24" s="627">
        <f>Theo_Doi_Tan_Suat_Cot_Thep!K449</f>
        <v/>
      </c>
      <c r="L24" s="628">
        <f>Theo_Doi_Tan_Suat_Cot_Thep!L449</f>
        <v/>
      </c>
      <c r="N24">
        <f>I24*H24</f>
        <v/>
      </c>
      <c r="O24">
        <f>IF(E24&lt;=10,N24,0)</f>
        <v/>
      </c>
      <c r="P24">
        <f>IF(E24=12,N24,0)</f>
        <v/>
      </c>
      <c r="Q24">
        <f>IF(E24=14,N24,0)</f>
        <v/>
      </c>
      <c r="R24">
        <f>IF(E24=16,N24,0)</f>
        <v/>
      </c>
      <c r="S24">
        <f>IF(E24=18,N24,0)</f>
        <v/>
      </c>
      <c r="T24">
        <f>IF(E24=20,N24,0)</f>
        <v/>
      </c>
      <c r="U24">
        <f>IF(E24=22,N24,0)</f>
        <v/>
      </c>
    </row>
    <row r="25">
      <c r="A25" s="620">
        <f>A24+1</f>
        <v/>
      </c>
      <c r="B25" s="621">
        <f>Theo_Doi_Tan_Suat_Cot_Thep!B450</f>
        <v/>
      </c>
      <c r="C25" s="621">
        <f>Theo_Doi_Tan_Suat_Cot_Thep!C450</f>
        <v/>
      </c>
      <c r="D25" s="622">
        <f>Theo_Doi_Tan_Suat_Cot_Thep!D450</f>
        <v/>
      </c>
      <c r="E25" s="623">
        <f>Theo_Doi_Tan_Suat_Cot_Thep!E450</f>
        <v/>
      </c>
      <c r="F25" s="621">
        <f>Theo_Doi_Tan_Suat_Cot_Thep!F450</f>
        <v/>
      </c>
      <c r="G25" s="621">
        <f>Theo_Doi_Tan_Suat_Cot_Thep!G450</f>
        <v/>
      </c>
      <c r="H25" s="624">
        <f>Theo_Doi_Tan_Suat_Cot_Thep!H450</f>
        <v/>
      </c>
      <c r="I25" s="625">
        <f>Theo_Doi_Tan_Suat_Cot_Thep!I450</f>
        <v/>
      </c>
      <c r="J25" s="626">
        <f>Theo_Doi_Tan_Suat_Cot_Thep!J450</f>
        <v/>
      </c>
      <c r="K25" s="627">
        <f>Theo_Doi_Tan_Suat_Cot_Thep!K450</f>
        <v/>
      </c>
      <c r="L25" s="628">
        <f>Theo_Doi_Tan_Suat_Cot_Thep!L450</f>
        <v/>
      </c>
      <c r="N25">
        <f>I25*H25</f>
        <v/>
      </c>
      <c r="O25">
        <f>IF(E25&lt;=10,N25,0)</f>
        <v/>
      </c>
      <c r="P25">
        <f>IF(E25=12,N25,0)</f>
        <v/>
      </c>
      <c r="Q25">
        <f>IF(E25=14,N25,0)</f>
        <v/>
      </c>
      <c r="R25">
        <f>IF(E25=16,N25,0)</f>
        <v/>
      </c>
      <c r="S25">
        <f>IF(E25=18,N25,0)</f>
        <v/>
      </c>
      <c r="T25">
        <f>IF(E25=20,N25,0)</f>
        <v/>
      </c>
      <c r="U25">
        <f>IF(E25=22,N25,0)</f>
        <v/>
      </c>
    </row>
    <row r="26">
      <c r="A26" s="620">
        <f>A25+1</f>
        <v/>
      </c>
      <c r="B26" s="621">
        <f>Theo_Doi_Tan_Suat_Cot_Thep!B451</f>
        <v/>
      </c>
      <c r="C26" s="621">
        <f>Theo_Doi_Tan_Suat_Cot_Thep!C451</f>
        <v/>
      </c>
      <c r="D26" s="622">
        <f>Theo_Doi_Tan_Suat_Cot_Thep!D451</f>
        <v/>
      </c>
      <c r="E26" s="623">
        <f>Theo_Doi_Tan_Suat_Cot_Thep!E451</f>
        <v/>
      </c>
      <c r="F26" s="621">
        <f>Theo_Doi_Tan_Suat_Cot_Thep!F451</f>
        <v/>
      </c>
      <c r="G26" s="621">
        <f>Theo_Doi_Tan_Suat_Cot_Thep!G451</f>
        <v/>
      </c>
      <c r="H26" s="624">
        <f>Theo_Doi_Tan_Suat_Cot_Thep!H451</f>
        <v/>
      </c>
      <c r="I26" s="625">
        <f>Theo_Doi_Tan_Suat_Cot_Thep!I451</f>
        <v/>
      </c>
      <c r="J26" s="626">
        <f>Theo_Doi_Tan_Suat_Cot_Thep!J451</f>
        <v/>
      </c>
      <c r="K26" s="627">
        <f>Theo_Doi_Tan_Suat_Cot_Thep!K451</f>
        <v/>
      </c>
      <c r="L26" s="628">
        <f>Theo_Doi_Tan_Suat_Cot_Thep!L451</f>
        <v/>
      </c>
      <c r="N26">
        <f>I26*H26</f>
        <v/>
      </c>
      <c r="O26">
        <f>IF(E26&lt;=10,N26,0)</f>
        <v/>
      </c>
      <c r="P26">
        <f>IF(E26=12,N26,0)</f>
        <v/>
      </c>
      <c r="Q26">
        <f>IF(E26=14,N26,0)</f>
        <v/>
      </c>
      <c r="R26">
        <f>IF(E26=16,N26,0)</f>
        <v/>
      </c>
      <c r="S26">
        <f>IF(E26=18,N26,0)</f>
        <v/>
      </c>
      <c r="T26">
        <f>IF(E26=20,N26,0)</f>
        <v/>
      </c>
      <c r="U26">
        <f>IF(E26=22,N26,0)</f>
        <v/>
      </c>
    </row>
    <row r="27">
      <c r="A27" s="620">
        <f>A26+1</f>
        <v/>
      </c>
      <c r="B27" s="621">
        <f>Theo_Doi_Tan_Suat_Cot_Thep!B452</f>
        <v/>
      </c>
      <c r="C27" s="621">
        <f>Theo_Doi_Tan_Suat_Cot_Thep!C452</f>
        <v/>
      </c>
      <c r="D27" s="622">
        <f>Theo_Doi_Tan_Suat_Cot_Thep!D452</f>
        <v/>
      </c>
      <c r="E27" s="623">
        <f>Theo_Doi_Tan_Suat_Cot_Thep!E452</f>
        <v/>
      </c>
      <c r="F27" s="621">
        <f>Theo_Doi_Tan_Suat_Cot_Thep!F452</f>
        <v/>
      </c>
      <c r="G27" s="621">
        <f>Theo_Doi_Tan_Suat_Cot_Thep!G452</f>
        <v/>
      </c>
      <c r="H27" s="624">
        <f>Theo_Doi_Tan_Suat_Cot_Thep!H452</f>
        <v/>
      </c>
      <c r="I27" s="625">
        <f>Theo_Doi_Tan_Suat_Cot_Thep!I452</f>
        <v/>
      </c>
      <c r="J27" s="626">
        <f>Theo_Doi_Tan_Suat_Cot_Thep!J452</f>
        <v/>
      </c>
      <c r="K27" s="627">
        <f>Theo_Doi_Tan_Suat_Cot_Thep!K452</f>
        <v/>
      </c>
      <c r="L27" s="628">
        <f>Theo_Doi_Tan_Suat_Cot_Thep!L452</f>
        <v/>
      </c>
      <c r="N27">
        <f>I27*H27</f>
        <v/>
      </c>
      <c r="O27">
        <f>IF(E27&lt;=10,N27,0)</f>
        <v/>
      </c>
      <c r="P27">
        <f>IF(E27=12,N27,0)</f>
        <v/>
      </c>
      <c r="Q27">
        <f>IF(E27=14,N27,0)</f>
        <v/>
      </c>
      <c r="R27">
        <f>IF(E27=16,N27,0)</f>
        <v/>
      </c>
      <c r="S27">
        <f>IF(E27=18,N27,0)</f>
        <v/>
      </c>
      <c r="T27">
        <f>IF(E27=20,N27,0)</f>
        <v/>
      </c>
      <c r="U27">
        <f>IF(E27=22,N27,0)</f>
        <v/>
      </c>
    </row>
    <row r="28">
      <c r="A28" s="620">
        <f>A27+1</f>
        <v/>
      </c>
      <c r="B28" s="621">
        <f>Theo_Doi_Tan_Suat_Cot_Thep!B453</f>
        <v/>
      </c>
      <c r="C28" s="621">
        <f>Theo_Doi_Tan_Suat_Cot_Thep!C453</f>
        <v/>
      </c>
      <c r="D28" s="622">
        <f>Theo_Doi_Tan_Suat_Cot_Thep!D453</f>
        <v/>
      </c>
      <c r="E28" s="623">
        <f>Theo_Doi_Tan_Suat_Cot_Thep!E453</f>
        <v/>
      </c>
      <c r="F28" s="621">
        <f>Theo_Doi_Tan_Suat_Cot_Thep!F453</f>
        <v/>
      </c>
      <c r="G28" s="621">
        <f>Theo_Doi_Tan_Suat_Cot_Thep!G453</f>
        <v/>
      </c>
      <c r="H28" s="624">
        <f>Theo_Doi_Tan_Suat_Cot_Thep!H453</f>
        <v/>
      </c>
      <c r="I28" s="625">
        <f>Theo_Doi_Tan_Suat_Cot_Thep!I453</f>
        <v/>
      </c>
      <c r="J28" s="626">
        <f>Theo_Doi_Tan_Suat_Cot_Thep!J453</f>
        <v/>
      </c>
      <c r="K28" s="627">
        <f>Theo_Doi_Tan_Suat_Cot_Thep!K453</f>
        <v/>
      </c>
      <c r="L28" s="628">
        <f>Theo_Doi_Tan_Suat_Cot_Thep!L453</f>
        <v/>
      </c>
      <c r="N28">
        <f>I28*H28</f>
        <v/>
      </c>
      <c r="O28">
        <f>IF(E28&lt;=10,N28,0)</f>
        <v/>
      </c>
      <c r="P28">
        <f>IF(E28=12,N28,0)</f>
        <v/>
      </c>
      <c r="Q28">
        <f>IF(E28=14,N28,0)</f>
        <v/>
      </c>
      <c r="R28">
        <f>IF(E28=16,N28,0)</f>
        <v/>
      </c>
      <c r="S28">
        <f>IF(E28=18,N28,0)</f>
        <v/>
      </c>
      <c r="T28">
        <f>IF(E28=20,N28,0)</f>
        <v/>
      </c>
      <c r="U28">
        <f>IF(E28=22,N28,0)</f>
        <v/>
      </c>
    </row>
    <row r="29">
      <c r="A29" s="620">
        <f>A28+1</f>
        <v/>
      </c>
      <c r="B29" s="621">
        <f>Theo_Doi_Tan_Suat_Cot_Thep!B454</f>
        <v/>
      </c>
      <c r="C29" s="621">
        <f>Theo_Doi_Tan_Suat_Cot_Thep!C454</f>
        <v/>
      </c>
      <c r="D29" s="622">
        <f>Theo_Doi_Tan_Suat_Cot_Thep!D454</f>
        <v/>
      </c>
      <c r="E29" s="623">
        <f>Theo_Doi_Tan_Suat_Cot_Thep!E454</f>
        <v/>
      </c>
      <c r="F29" s="621">
        <f>Theo_Doi_Tan_Suat_Cot_Thep!F454</f>
        <v/>
      </c>
      <c r="G29" s="621">
        <f>Theo_Doi_Tan_Suat_Cot_Thep!G454</f>
        <v/>
      </c>
      <c r="H29" s="624">
        <f>Theo_Doi_Tan_Suat_Cot_Thep!H454</f>
        <v/>
      </c>
      <c r="I29" s="625">
        <f>Theo_Doi_Tan_Suat_Cot_Thep!I454</f>
        <v/>
      </c>
      <c r="J29" s="626">
        <f>Theo_Doi_Tan_Suat_Cot_Thep!J454</f>
        <v/>
      </c>
      <c r="K29" s="627">
        <f>Theo_Doi_Tan_Suat_Cot_Thep!K454</f>
        <v/>
      </c>
      <c r="L29" s="628">
        <f>Theo_Doi_Tan_Suat_Cot_Thep!L454</f>
        <v/>
      </c>
      <c r="N29">
        <f>I29*H29</f>
        <v/>
      </c>
      <c r="O29">
        <f>IF(E29&lt;=10,N29,0)</f>
        <v/>
      </c>
      <c r="P29">
        <f>IF(E29=12,N29,0)</f>
        <v/>
      </c>
      <c r="Q29">
        <f>IF(E29=14,N29,0)</f>
        <v/>
      </c>
      <c r="R29">
        <f>IF(E29=16,N29,0)</f>
        <v/>
      </c>
      <c r="S29">
        <f>IF(E29=18,N29,0)</f>
        <v/>
      </c>
      <c r="T29">
        <f>IF(E29=20,N29,0)</f>
        <v/>
      </c>
      <c r="U29">
        <f>IF(E29=22,N29,0)</f>
        <v/>
      </c>
    </row>
    <row r="30">
      <c r="A30" s="620">
        <f>A29+1</f>
        <v/>
      </c>
      <c r="B30" s="621">
        <f>Theo_Doi_Tan_Suat_Cot_Thep!B455</f>
        <v/>
      </c>
      <c r="C30" s="621">
        <f>Theo_Doi_Tan_Suat_Cot_Thep!C455</f>
        <v/>
      </c>
      <c r="D30" s="622">
        <f>Theo_Doi_Tan_Suat_Cot_Thep!D455</f>
        <v/>
      </c>
      <c r="E30" s="623">
        <f>Theo_Doi_Tan_Suat_Cot_Thep!E455</f>
        <v/>
      </c>
      <c r="F30" s="621">
        <f>Theo_Doi_Tan_Suat_Cot_Thep!F455</f>
        <v/>
      </c>
      <c r="G30" s="621">
        <f>Theo_Doi_Tan_Suat_Cot_Thep!G455</f>
        <v/>
      </c>
      <c r="H30" s="624">
        <f>Theo_Doi_Tan_Suat_Cot_Thep!H455</f>
        <v/>
      </c>
      <c r="I30" s="625">
        <f>Theo_Doi_Tan_Suat_Cot_Thep!I455</f>
        <v/>
      </c>
      <c r="J30" s="626">
        <f>Theo_Doi_Tan_Suat_Cot_Thep!J455</f>
        <v/>
      </c>
      <c r="K30" s="627">
        <f>Theo_Doi_Tan_Suat_Cot_Thep!K455</f>
        <v/>
      </c>
      <c r="L30" s="628">
        <f>Theo_Doi_Tan_Suat_Cot_Thep!L455</f>
        <v/>
      </c>
      <c r="N30">
        <f>I30*H30</f>
        <v/>
      </c>
      <c r="O30">
        <f>IF(E30&lt;=10,N30,0)</f>
        <v/>
      </c>
      <c r="P30">
        <f>IF(E30=12,N30,0)</f>
        <v/>
      </c>
      <c r="Q30">
        <f>IF(E30=14,N30,0)</f>
        <v/>
      </c>
      <c r="R30">
        <f>IF(E30=16,N30,0)</f>
        <v/>
      </c>
      <c r="S30">
        <f>IF(E30=18,N30,0)</f>
        <v/>
      </c>
      <c r="T30">
        <f>IF(E30=20,N30,0)</f>
        <v/>
      </c>
      <c r="U30">
        <f>IF(E30=22,N30,0)</f>
        <v/>
      </c>
    </row>
    <row r="31">
      <c r="A31" s="620">
        <f>A30+1</f>
        <v/>
      </c>
      <c r="B31" s="621">
        <f>Theo_Doi_Tan_Suat_Cot_Thep!B456</f>
        <v/>
      </c>
      <c r="C31" s="621">
        <f>Theo_Doi_Tan_Suat_Cot_Thep!C456</f>
        <v/>
      </c>
      <c r="D31" s="622">
        <f>Theo_Doi_Tan_Suat_Cot_Thep!D456</f>
        <v/>
      </c>
      <c r="E31" s="623">
        <f>Theo_Doi_Tan_Suat_Cot_Thep!E456</f>
        <v/>
      </c>
      <c r="F31" s="621">
        <f>Theo_Doi_Tan_Suat_Cot_Thep!F456</f>
        <v/>
      </c>
      <c r="G31" s="621">
        <f>Theo_Doi_Tan_Suat_Cot_Thep!G456</f>
        <v/>
      </c>
      <c r="H31" s="624">
        <f>Theo_Doi_Tan_Suat_Cot_Thep!H456</f>
        <v/>
      </c>
      <c r="I31" s="625">
        <f>Theo_Doi_Tan_Suat_Cot_Thep!I456</f>
        <v/>
      </c>
      <c r="J31" s="626">
        <f>Theo_Doi_Tan_Suat_Cot_Thep!J456</f>
        <v/>
      </c>
      <c r="K31" s="627">
        <f>Theo_Doi_Tan_Suat_Cot_Thep!K456</f>
        <v/>
      </c>
      <c r="L31" s="628">
        <f>Theo_Doi_Tan_Suat_Cot_Thep!L456</f>
        <v/>
      </c>
      <c r="N31">
        <f>I31*H31</f>
        <v/>
      </c>
      <c r="O31">
        <f>IF(E31&lt;=10,N31,0)</f>
        <v/>
      </c>
      <c r="P31">
        <f>IF(E31=12,N31,0)</f>
        <v/>
      </c>
      <c r="Q31">
        <f>IF(E31=14,N31,0)</f>
        <v/>
      </c>
      <c r="R31">
        <f>IF(E31=16,N31,0)</f>
        <v/>
      </c>
      <c r="S31">
        <f>IF(E31=18,N31,0)</f>
        <v/>
      </c>
      <c r="T31">
        <f>IF(E31=20,N31,0)</f>
        <v/>
      </c>
      <c r="U31">
        <f>IF(E31=22,N31,0)</f>
        <v/>
      </c>
    </row>
    <row r="32">
      <c r="A32" s="620">
        <f>A31+1</f>
        <v/>
      </c>
      <c r="B32" s="621">
        <f>Theo_Doi_Tan_Suat_Cot_Thep!B457</f>
        <v/>
      </c>
      <c r="C32" s="621">
        <f>Theo_Doi_Tan_Suat_Cot_Thep!C457</f>
        <v/>
      </c>
      <c r="D32" s="622">
        <f>Theo_Doi_Tan_Suat_Cot_Thep!D457</f>
        <v/>
      </c>
      <c r="E32" s="623">
        <f>Theo_Doi_Tan_Suat_Cot_Thep!E457</f>
        <v/>
      </c>
      <c r="F32" s="621">
        <f>Theo_Doi_Tan_Suat_Cot_Thep!F457</f>
        <v/>
      </c>
      <c r="G32" s="621">
        <f>Theo_Doi_Tan_Suat_Cot_Thep!G457</f>
        <v/>
      </c>
      <c r="H32" s="624">
        <f>Theo_Doi_Tan_Suat_Cot_Thep!H457</f>
        <v/>
      </c>
      <c r="I32" s="625">
        <f>Theo_Doi_Tan_Suat_Cot_Thep!I457</f>
        <v/>
      </c>
      <c r="J32" s="626">
        <f>Theo_Doi_Tan_Suat_Cot_Thep!J457</f>
        <v/>
      </c>
      <c r="K32" s="627">
        <f>Theo_Doi_Tan_Suat_Cot_Thep!K457</f>
        <v/>
      </c>
      <c r="L32" s="628">
        <f>Theo_Doi_Tan_Suat_Cot_Thep!L457</f>
        <v/>
      </c>
      <c r="N32">
        <f>I32*H32</f>
        <v/>
      </c>
      <c r="O32">
        <f>IF(E32&lt;=10,N32,0)</f>
        <v/>
      </c>
      <c r="P32">
        <f>IF(E32=12,N32,0)</f>
        <v/>
      </c>
      <c r="Q32">
        <f>IF(E32=14,N32,0)</f>
        <v/>
      </c>
      <c r="R32">
        <f>IF(E32=16,N32,0)</f>
        <v/>
      </c>
      <c r="S32">
        <f>IF(E32=18,N32,0)</f>
        <v/>
      </c>
      <c r="T32">
        <f>IF(E32=20,N32,0)</f>
        <v/>
      </c>
      <c r="U32">
        <f>IF(E32=22,N32,0)</f>
        <v/>
      </c>
    </row>
    <row r="33">
      <c r="A33" s="620">
        <f>A32+1</f>
        <v/>
      </c>
      <c r="B33" s="621">
        <f>Theo_Doi_Tan_Suat_Cot_Thep!B458</f>
        <v/>
      </c>
      <c r="C33" s="621">
        <f>Theo_Doi_Tan_Suat_Cot_Thep!C458</f>
        <v/>
      </c>
      <c r="D33" s="622">
        <f>Theo_Doi_Tan_Suat_Cot_Thep!D458</f>
        <v/>
      </c>
      <c r="E33" s="623">
        <f>Theo_Doi_Tan_Suat_Cot_Thep!E458</f>
        <v/>
      </c>
      <c r="F33" s="621">
        <f>Theo_Doi_Tan_Suat_Cot_Thep!F458</f>
        <v/>
      </c>
      <c r="G33" s="621">
        <f>Theo_Doi_Tan_Suat_Cot_Thep!G458</f>
        <v/>
      </c>
      <c r="H33" s="624">
        <f>Theo_Doi_Tan_Suat_Cot_Thep!H458</f>
        <v/>
      </c>
      <c r="I33" s="625">
        <f>Theo_Doi_Tan_Suat_Cot_Thep!I458</f>
        <v/>
      </c>
      <c r="J33" s="626">
        <f>Theo_Doi_Tan_Suat_Cot_Thep!J458</f>
        <v/>
      </c>
      <c r="K33" s="627">
        <f>Theo_Doi_Tan_Suat_Cot_Thep!K458</f>
        <v/>
      </c>
      <c r="L33" s="628">
        <f>Theo_Doi_Tan_Suat_Cot_Thep!L458</f>
        <v/>
      </c>
      <c r="N33">
        <f>I33*H33</f>
        <v/>
      </c>
      <c r="O33">
        <f>IF(E33&lt;=10,N33,0)</f>
        <v/>
      </c>
      <c r="P33">
        <f>IF(E33=12,N33,0)</f>
        <v/>
      </c>
      <c r="Q33">
        <f>IF(E33=14,N33,0)</f>
        <v/>
      </c>
      <c r="R33">
        <f>IF(E33=16,N33,0)</f>
        <v/>
      </c>
      <c r="S33">
        <f>IF(E33=18,N33,0)</f>
        <v/>
      </c>
      <c r="T33">
        <f>IF(E33=20,N33,0)</f>
        <v/>
      </c>
      <c r="U33">
        <f>IF(E33=22,N33,0)</f>
        <v/>
      </c>
    </row>
    <row r="34">
      <c r="A34" s="620">
        <f>A33+1</f>
        <v/>
      </c>
      <c r="B34" s="621">
        <f>Theo_Doi_Tan_Suat_Cot_Thep!B459</f>
        <v/>
      </c>
      <c r="C34" s="621">
        <f>Theo_Doi_Tan_Suat_Cot_Thep!C459</f>
        <v/>
      </c>
      <c r="D34" s="622">
        <f>Theo_Doi_Tan_Suat_Cot_Thep!D459</f>
        <v/>
      </c>
      <c r="E34" s="623">
        <f>Theo_Doi_Tan_Suat_Cot_Thep!E459</f>
        <v/>
      </c>
      <c r="F34" s="621">
        <f>Theo_Doi_Tan_Suat_Cot_Thep!F459</f>
        <v/>
      </c>
      <c r="G34" s="621">
        <f>Theo_Doi_Tan_Suat_Cot_Thep!G459</f>
        <v/>
      </c>
      <c r="H34" s="624">
        <f>Theo_Doi_Tan_Suat_Cot_Thep!H459</f>
        <v/>
      </c>
      <c r="I34" s="625">
        <f>Theo_Doi_Tan_Suat_Cot_Thep!I459</f>
        <v/>
      </c>
      <c r="J34" s="626">
        <f>Theo_Doi_Tan_Suat_Cot_Thep!J459</f>
        <v/>
      </c>
      <c r="K34" s="627">
        <f>Theo_Doi_Tan_Suat_Cot_Thep!K459</f>
        <v/>
      </c>
      <c r="L34" s="628">
        <f>Theo_Doi_Tan_Suat_Cot_Thep!L459</f>
        <v/>
      </c>
      <c r="N34">
        <f>I34*H34</f>
        <v/>
      </c>
      <c r="O34">
        <f>IF(E34&lt;=10,N34,0)</f>
        <v/>
      </c>
      <c r="P34">
        <f>IF(E34=12,N34,0)</f>
        <v/>
      </c>
      <c r="Q34">
        <f>IF(E34=14,N34,0)</f>
        <v/>
      </c>
      <c r="R34">
        <f>IF(E34=16,N34,0)</f>
        <v/>
      </c>
      <c r="S34">
        <f>IF(E34=18,N34,0)</f>
        <v/>
      </c>
      <c r="T34">
        <f>IF(E34=20,N34,0)</f>
        <v/>
      </c>
      <c r="U34">
        <f>IF(E34=22,N34,0)</f>
        <v/>
      </c>
    </row>
    <row r="35">
      <c r="A35" s="620">
        <f>A34+1</f>
        <v/>
      </c>
      <c r="B35" s="621">
        <f>Theo_Doi_Tan_Suat_Cot_Thep!B460</f>
        <v/>
      </c>
      <c r="C35" s="621">
        <f>Theo_Doi_Tan_Suat_Cot_Thep!C460</f>
        <v/>
      </c>
      <c r="D35" s="622">
        <f>Theo_Doi_Tan_Suat_Cot_Thep!D460</f>
        <v/>
      </c>
      <c r="E35" s="623">
        <f>Theo_Doi_Tan_Suat_Cot_Thep!E460</f>
        <v/>
      </c>
      <c r="F35" s="621">
        <f>Theo_Doi_Tan_Suat_Cot_Thep!F460</f>
        <v/>
      </c>
      <c r="G35" s="621">
        <f>Theo_Doi_Tan_Suat_Cot_Thep!G460</f>
        <v/>
      </c>
      <c r="H35" s="624">
        <f>Theo_Doi_Tan_Suat_Cot_Thep!H460</f>
        <v/>
      </c>
      <c r="I35" s="625">
        <f>Theo_Doi_Tan_Suat_Cot_Thep!I460</f>
        <v/>
      </c>
      <c r="J35" s="626">
        <f>Theo_Doi_Tan_Suat_Cot_Thep!J460</f>
        <v/>
      </c>
      <c r="K35" s="627">
        <f>Theo_Doi_Tan_Suat_Cot_Thep!K460</f>
        <v/>
      </c>
      <c r="L35" s="628">
        <f>Theo_Doi_Tan_Suat_Cot_Thep!L460</f>
        <v/>
      </c>
      <c r="N35">
        <f>I35*H35</f>
        <v/>
      </c>
      <c r="O35">
        <f>IF(E35&lt;=10,N35,0)</f>
        <v/>
      </c>
      <c r="P35">
        <f>IF(E35=12,N35,0)</f>
        <v/>
      </c>
      <c r="Q35">
        <f>IF(E35=14,N35,0)</f>
        <v/>
      </c>
      <c r="R35">
        <f>IF(E35=16,N35,0)</f>
        <v/>
      </c>
      <c r="S35">
        <f>IF(E35=18,N35,0)</f>
        <v/>
      </c>
      <c r="T35">
        <f>IF(E35=20,N35,0)</f>
        <v/>
      </c>
      <c r="U35">
        <f>IF(E35=22,N35,0)</f>
        <v/>
      </c>
    </row>
    <row r="36">
      <c r="A36" s="620">
        <f>A35+1</f>
        <v/>
      </c>
      <c r="B36" s="621">
        <f>Theo_Doi_Tan_Suat_Cot_Thep!B461</f>
        <v/>
      </c>
      <c r="C36" s="621">
        <f>Theo_Doi_Tan_Suat_Cot_Thep!C461</f>
        <v/>
      </c>
      <c r="D36" s="622">
        <f>Theo_Doi_Tan_Suat_Cot_Thep!D461</f>
        <v/>
      </c>
      <c r="E36" s="623">
        <f>Theo_Doi_Tan_Suat_Cot_Thep!E461</f>
        <v/>
      </c>
      <c r="F36" s="621">
        <f>Theo_Doi_Tan_Suat_Cot_Thep!F461</f>
        <v/>
      </c>
      <c r="G36" s="621">
        <f>Theo_Doi_Tan_Suat_Cot_Thep!G461</f>
        <v/>
      </c>
      <c r="H36" s="624">
        <f>Theo_Doi_Tan_Suat_Cot_Thep!H461</f>
        <v/>
      </c>
      <c r="I36" s="625">
        <f>Theo_Doi_Tan_Suat_Cot_Thep!I461</f>
        <v/>
      </c>
      <c r="J36" s="626">
        <f>Theo_Doi_Tan_Suat_Cot_Thep!J461</f>
        <v/>
      </c>
      <c r="K36" s="627">
        <f>Theo_Doi_Tan_Suat_Cot_Thep!K461</f>
        <v/>
      </c>
      <c r="L36" s="628">
        <f>Theo_Doi_Tan_Suat_Cot_Thep!L461</f>
        <v/>
      </c>
      <c r="N36">
        <f>I36*H36</f>
        <v/>
      </c>
      <c r="O36">
        <f>IF(E36&lt;=10,N36,0)</f>
        <v/>
      </c>
      <c r="P36">
        <f>IF(E36=12,N36,0)</f>
        <v/>
      </c>
      <c r="Q36">
        <f>IF(E36=14,N36,0)</f>
        <v/>
      </c>
      <c r="R36">
        <f>IF(E36=16,N36,0)</f>
        <v/>
      </c>
      <c r="S36">
        <f>IF(E36=18,N36,0)</f>
        <v/>
      </c>
      <c r="T36">
        <f>IF(E36=20,N36,0)</f>
        <v/>
      </c>
      <c r="U36">
        <f>IF(E36=22,N36,0)</f>
        <v/>
      </c>
    </row>
    <row r="37">
      <c r="A37" s="620">
        <f>A36+1</f>
        <v/>
      </c>
      <c r="B37" s="621">
        <f>Theo_Doi_Tan_Suat_Cot_Thep!B462</f>
        <v/>
      </c>
      <c r="C37" s="621">
        <f>Theo_Doi_Tan_Suat_Cot_Thep!C462</f>
        <v/>
      </c>
      <c r="D37" s="622">
        <f>Theo_Doi_Tan_Suat_Cot_Thep!D462</f>
        <v/>
      </c>
      <c r="E37" s="623">
        <f>Theo_Doi_Tan_Suat_Cot_Thep!E462</f>
        <v/>
      </c>
      <c r="F37" s="621">
        <f>Theo_Doi_Tan_Suat_Cot_Thep!F462</f>
        <v/>
      </c>
      <c r="G37" s="621">
        <f>Theo_Doi_Tan_Suat_Cot_Thep!G462</f>
        <v/>
      </c>
      <c r="H37" s="624">
        <f>Theo_Doi_Tan_Suat_Cot_Thep!H462</f>
        <v/>
      </c>
      <c r="I37" s="625">
        <f>Theo_Doi_Tan_Suat_Cot_Thep!I462</f>
        <v/>
      </c>
      <c r="J37" s="626">
        <f>Theo_Doi_Tan_Suat_Cot_Thep!J462</f>
        <v/>
      </c>
      <c r="K37" s="627">
        <f>Theo_Doi_Tan_Suat_Cot_Thep!K462</f>
        <v/>
      </c>
      <c r="L37" s="628">
        <f>Theo_Doi_Tan_Suat_Cot_Thep!L462</f>
        <v/>
      </c>
      <c r="N37">
        <f>I37*H37</f>
        <v/>
      </c>
      <c r="O37">
        <f>IF(E37&lt;=10,N37,0)</f>
        <v/>
      </c>
      <c r="P37">
        <f>IF(E37=12,N37,0)</f>
        <v/>
      </c>
      <c r="Q37">
        <f>IF(E37=14,N37,0)</f>
        <v/>
      </c>
      <c r="R37">
        <f>IF(E37=16,N37,0)</f>
        <v/>
      </c>
      <c r="S37">
        <f>IF(E37=18,N37,0)</f>
        <v/>
      </c>
      <c r="T37">
        <f>IF(E37=20,N37,0)</f>
        <v/>
      </c>
      <c r="U37">
        <f>IF(E37=22,N37,0)</f>
        <v/>
      </c>
    </row>
    <row r="38">
      <c r="A38" s="620" t="n"/>
      <c r="B38" s="621" t="n"/>
      <c r="C38" s="622" t="inlineStr">
        <is>
          <t>Cộng Gờ lan can Mố M2</t>
        </is>
      </c>
      <c r="D38" s="622" t="n"/>
      <c r="E38" s="623" t="n"/>
      <c r="F38" s="621" t="n"/>
      <c r="G38" s="621" t="n"/>
      <c r="H38" s="624" t="n"/>
      <c r="I38" s="625" t="n"/>
      <c r="J38" s="626" t="n"/>
      <c r="K38" s="627" t="n"/>
      <c r="L38" s="628">
        <f>SUM(L23:L37)</f>
        <v/>
      </c>
    </row>
    <row r="39">
      <c r="A39" s="619" t="inlineStr">
        <is>
          <t>BẢN QUÁ ĐỘ (Mố M1 + Mố M2)</t>
        </is>
      </c>
      <c r="B39" s="665" t="n"/>
      <c r="C39" s="665" t="n"/>
      <c r="D39" s="665" t="n"/>
      <c r="E39" s="665" t="n"/>
      <c r="F39" s="665" t="n"/>
      <c r="G39" s="665" t="n"/>
      <c r="H39" s="665" t="n"/>
      <c r="I39" s="665" t="n"/>
      <c r="J39" s="665" t="n"/>
      <c r="K39" s="665" t="n"/>
      <c r="L39" s="665" t="n"/>
    </row>
    <row r="40">
      <c r="A40" s="620">
        <f>1</f>
        <v/>
      </c>
      <c r="B40" s="621">
        <f>Theo_Doi_Tan_Suat_Cot_Thep!B606</f>
        <v/>
      </c>
      <c r="C40" s="621">
        <f>Theo_Doi_Tan_Suat_Cot_Thep!C606</f>
        <v/>
      </c>
      <c r="D40" s="622">
        <f>Theo_Doi_Tan_Suat_Cot_Thep!D606</f>
        <v/>
      </c>
      <c r="E40" s="623">
        <f>Theo_Doi_Tan_Suat_Cot_Thep!E606</f>
        <v/>
      </c>
      <c r="F40" s="621">
        <f>Theo_Doi_Tan_Suat_Cot_Thep!F606</f>
        <v/>
      </c>
      <c r="G40" s="621">
        <f>Theo_Doi_Tan_Suat_Cot_Thep!G606</f>
        <v/>
      </c>
      <c r="H40" s="624">
        <f>Theo_Doi_Tan_Suat_Cot_Thep!H606</f>
        <v/>
      </c>
      <c r="I40" s="625">
        <f>Theo_Doi_Tan_Suat_Cot_Thep!I606</f>
        <v/>
      </c>
      <c r="J40" s="626">
        <f>Theo_Doi_Tan_Suat_Cot_Thep!J606</f>
        <v/>
      </c>
      <c r="K40" s="627">
        <f>Theo_Doi_Tan_Suat_Cot_Thep!K606</f>
        <v/>
      </c>
      <c r="L40" s="628">
        <f>Theo_Doi_Tan_Suat_Cot_Thep!L606</f>
        <v/>
      </c>
      <c r="N40">
        <f>I40*H40</f>
        <v/>
      </c>
      <c r="O40">
        <f>IF(E40&lt;=10,N40,0)</f>
        <v/>
      </c>
      <c r="P40">
        <f>IF(E40=12,N40,0)</f>
        <v/>
      </c>
      <c r="Q40">
        <f>IF(E40=14,N40,0)</f>
        <v/>
      </c>
      <c r="R40">
        <f>IF(E40=16,N40,0)</f>
        <v/>
      </c>
      <c r="S40">
        <f>IF(E40=18,N40,0)</f>
        <v/>
      </c>
      <c r="T40">
        <f>IF(E40=20,N40,0)</f>
        <v/>
      </c>
      <c r="U40">
        <f>IF(E40=22,N40,0)</f>
        <v/>
      </c>
    </row>
    <row r="41">
      <c r="A41" s="620">
        <f>A40+1</f>
        <v/>
      </c>
      <c r="B41" s="621">
        <f>Theo_Doi_Tan_Suat_Cot_Thep!B607</f>
        <v/>
      </c>
      <c r="C41" s="621">
        <f>Theo_Doi_Tan_Suat_Cot_Thep!C607</f>
        <v/>
      </c>
      <c r="D41" s="622">
        <f>Theo_Doi_Tan_Suat_Cot_Thep!D607</f>
        <v/>
      </c>
      <c r="E41" s="623">
        <f>Theo_Doi_Tan_Suat_Cot_Thep!E607</f>
        <v/>
      </c>
      <c r="F41" s="621">
        <f>Theo_Doi_Tan_Suat_Cot_Thep!F607</f>
        <v/>
      </c>
      <c r="G41" s="621">
        <f>Theo_Doi_Tan_Suat_Cot_Thep!G607</f>
        <v/>
      </c>
      <c r="H41" s="624">
        <f>Theo_Doi_Tan_Suat_Cot_Thep!H607</f>
        <v/>
      </c>
      <c r="I41" s="625">
        <f>Theo_Doi_Tan_Suat_Cot_Thep!I607</f>
        <v/>
      </c>
      <c r="J41" s="626">
        <f>Theo_Doi_Tan_Suat_Cot_Thep!J607</f>
        <v/>
      </c>
      <c r="K41" s="627">
        <f>Theo_Doi_Tan_Suat_Cot_Thep!K607</f>
        <v/>
      </c>
      <c r="L41" s="628">
        <f>Theo_Doi_Tan_Suat_Cot_Thep!L607</f>
        <v/>
      </c>
      <c r="N41">
        <f>I41*H41</f>
        <v/>
      </c>
      <c r="O41">
        <f>IF(E41&lt;=10,N41,0)</f>
        <v/>
      </c>
      <c r="P41">
        <f>IF(E41=12,N41,0)</f>
        <v/>
      </c>
      <c r="Q41">
        <f>IF(E41=14,N41,0)</f>
        <v/>
      </c>
      <c r="R41">
        <f>IF(E41=16,N41,0)</f>
        <v/>
      </c>
      <c r="S41">
        <f>IF(E41=18,N41,0)</f>
        <v/>
      </c>
      <c r="T41">
        <f>IF(E41=20,N41,0)</f>
        <v/>
      </c>
      <c r="U41">
        <f>IF(E41=22,N41,0)</f>
        <v/>
      </c>
    </row>
    <row r="42">
      <c r="A42" s="620">
        <f>A41+1</f>
        <v/>
      </c>
      <c r="B42" s="621">
        <f>Theo_Doi_Tan_Suat_Cot_Thep!B608</f>
        <v/>
      </c>
      <c r="C42" s="621">
        <f>Theo_Doi_Tan_Suat_Cot_Thep!C608</f>
        <v/>
      </c>
      <c r="D42" s="622">
        <f>Theo_Doi_Tan_Suat_Cot_Thep!D608</f>
        <v/>
      </c>
      <c r="E42" s="623">
        <f>Theo_Doi_Tan_Suat_Cot_Thep!E608</f>
        <v/>
      </c>
      <c r="F42" s="621">
        <f>Theo_Doi_Tan_Suat_Cot_Thep!F608</f>
        <v/>
      </c>
      <c r="G42" s="621">
        <f>Theo_Doi_Tan_Suat_Cot_Thep!G608</f>
        <v/>
      </c>
      <c r="H42" s="624">
        <f>Theo_Doi_Tan_Suat_Cot_Thep!H608</f>
        <v/>
      </c>
      <c r="I42" s="625">
        <f>Theo_Doi_Tan_Suat_Cot_Thep!I608</f>
        <v/>
      </c>
      <c r="J42" s="626">
        <f>Theo_Doi_Tan_Suat_Cot_Thep!J608</f>
        <v/>
      </c>
      <c r="K42" s="627">
        <f>Theo_Doi_Tan_Suat_Cot_Thep!K608</f>
        <v/>
      </c>
      <c r="L42" s="628">
        <f>Theo_Doi_Tan_Suat_Cot_Thep!L608</f>
        <v/>
      </c>
      <c r="N42">
        <f>I42*H42</f>
        <v/>
      </c>
      <c r="O42">
        <f>IF(E42&lt;=10,N42,0)</f>
        <v/>
      </c>
      <c r="P42">
        <f>IF(E42=12,N42,0)</f>
        <v/>
      </c>
      <c r="Q42">
        <f>IF(E42=14,N42,0)</f>
        <v/>
      </c>
      <c r="R42">
        <f>IF(E42=16,N42,0)</f>
        <v/>
      </c>
      <c r="S42">
        <f>IF(E42=18,N42,0)</f>
        <v/>
      </c>
      <c r="T42">
        <f>IF(E42=20,N42,0)</f>
        <v/>
      </c>
      <c r="U42">
        <f>IF(E42=22,N42,0)</f>
        <v/>
      </c>
    </row>
    <row r="43">
      <c r="A43" s="620">
        <f>A42+1</f>
        <v/>
      </c>
      <c r="B43" s="621">
        <f>Theo_Doi_Tan_Suat_Cot_Thep!B609</f>
        <v/>
      </c>
      <c r="C43" s="621">
        <f>Theo_Doi_Tan_Suat_Cot_Thep!C609</f>
        <v/>
      </c>
      <c r="D43" s="622">
        <f>Theo_Doi_Tan_Suat_Cot_Thep!D609</f>
        <v/>
      </c>
      <c r="E43" s="623">
        <f>Theo_Doi_Tan_Suat_Cot_Thep!E609</f>
        <v/>
      </c>
      <c r="F43" s="621">
        <f>Theo_Doi_Tan_Suat_Cot_Thep!F609</f>
        <v/>
      </c>
      <c r="G43" s="621">
        <f>Theo_Doi_Tan_Suat_Cot_Thep!G609</f>
        <v/>
      </c>
      <c r="H43" s="624">
        <f>Theo_Doi_Tan_Suat_Cot_Thep!H609</f>
        <v/>
      </c>
      <c r="I43" s="625">
        <f>Theo_Doi_Tan_Suat_Cot_Thep!I609</f>
        <v/>
      </c>
      <c r="J43" s="626">
        <f>Theo_Doi_Tan_Suat_Cot_Thep!J609</f>
        <v/>
      </c>
      <c r="K43" s="627">
        <f>Theo_Doi_Tan_Suat_Cot_Thep!K609</f>
        <v/>
      </c>
      <c r="L43" s="628">
        <f>Theo_Doi_Tan_Suat_Cot_Thep!L609</f>
        <v/>
      </c>
      <c r="N43">
        <f>I43*H43</f>
        <v/>
      </c>
      <c r="O43">
        <f>IF(E43&lt;=10,N43,0)</f>
        <v/>
      </c>
      <c r="P43">
        <f>IF(E43=12,N43,0)</f>
        <v/>
      </c>
      <c r="Q43">
        <f>IF(E43=14,N43,0)</f>
        <v/>
      </c>
      <c r="R43">
        <f>IF(E43=16,N43,0)</f>
        <v/>
      </c>
      <c r="S43">
        <f>IF(E43=18,N43,0)</f>
        <v/>
      </c>
      <c r="T43">
        <f>IF(E43=20,N43,0)</f>
        <v/>
      </c>
      <c r="U43">
        <f>IF(E43=22,N43,0)</f>
        <v/>
      </c>
    </row>
    <row r="44">
      <c r="A44" s="620">
        <f>A43+1</f>
        <v/>
      </c>
      <c r="B44" s="621">
        <f>Theo_Doi_Tan_Suat_Cot_Thep!B610</f>
        <v/>
      </c>
      <c r="C44" s="621">
        <f>Theo_Doi_Tan_Suat_Cot_Thep!C610</f>
        <v/>
      </c>
      <c r="D44" s="622">
        <f>Theo_Doi_Tan_Suat_Cot_Thep!D610</f>
        <v/>
      </c>
      <c r="E44" s="623">
        <f>Theo_Doi_Tan_Suat_Cot_Thep!E610</f>
        <v/>
      </c>
      <c r="F44" s="621">
        <f>Theo_Doi_Tan_Suat_Cot_Thep!F610</f>
        <v/>
      </c>
      <c r="G44" s="621">
        <f>Theo_Doi_Tan_Suat_Cot_Thep!G610</f>
        <v/>
      </c>
      <c r="H44" s="624">
        <f>Theo_Doi_Tan_Suat_Cot_Thep!H610</f>
        <v/>
      </c>
      <c r="I44" s="625">
        <f>Theo_Doi_Tan_Suat_Cot_Thep!I610</f>
        <v/>
      </c>
      <c r="J44" s="626">
        <f>Theo_Doi_Tan_Suat_Cot_Thep!J610</f>
        <v/>
      </c>
      <c r="K44" s="627">
        <f>Theo_Doi_Tan_Suat_Cot_Thep!K610</f>
        <v/>
      </c>
      <c r="L44" s="628">
        <f>Theo_Doi_Tan_Suat_Cot_Thep!L610</f>
        <v/>
      </c>
      <c r="N44">
        <f>I44*H44</f>
        <v/>
      </c>
      <c r="O44">
        <f>IF(E44&lt;=10,N44,0)</f>
        <v/>
      </c>
      <c r="P44">
        <f>IF(E44=12,N44,0)</f>
        <v/>
      </c>
      <c r="Q44">
        <f>IF(E44=14,N44,0)</f>
        <v/>
      </c>
      <c r="R44">
        <f>IF(E44=16,N44,0)</f>
        <v/>
      </c>
      <c r="S44">
        <f>IF(E44=18,N44,0)</f>
        <v/>
      </c>
      <c r="T44">
        <f>IF(E44=20,N44,0)</f>
        <v/>
      </c>
      <c r="U44">
        <f>IF(E44=22,N44,0)</f>
        <v/>
      </c>
    </row>
    <row r="45">
      <c r="A45" s="620">
        <f>A44+1</f>
        <v/>
      </c>
      <c r="B45" s="621">
        <f>Theo_Doi_Tan_Suat_Cot_Thep!B611</f>
        <v/>
      </c>
      <c r="C45" s="621">
        <f>Theo_Doi_Tan_Suat_Cot_Thep!C611</f>
        <v/>
      </c>
      <c r="D45" s="622">
        <f>Theo_Doi_Tan_Suat_Cot_Thep!D611</f>
        <v/>
      </c>
      <c r="E45" s="623">
        <f>Theo_Doi_Tan_Suat_Cot_Thep!E611</f>
        <v/>
      </c>
      <c r="F45" s="621">
        <f>Theo_Doi_Tan_Suat_Cot_Thep!F611</f>
        <v/>
      </c>
      <c r="G45" s="621">
        <f>Theo_Doi_Tan_Suat_Cot_Thep!G611</f>
        <v/>
      </c>
      <c r="H45" s="624">
        <f>Theo_Doi_Tan_Suat_Cot_Thep!H611</f>
        <v/>
      </c>
      <c r="I45" s="625">
        <f>Theo_Doi_Tan_Suat_Cot_Thep!I611</f>
        <v/>
      </c>
      <c r="J45" s="626">
        <f>Theo_Doi_Tan_Suat_Cot_Thep!J611</f>
        <v/>
      </c>
      <c r="K45" s="627">
        <f>Theo_Doi_Tan_Suat_Cot_Thep!K611</f>
        <v/>
      </c>
      <c r="L45" s="628">
        <f>Theo_Doi_Tan_Suat_Cot_Thep!L611</f>
        <v/>
      </c>
      <c r="N45">
        <f>I45*H45</f>
        <v/>
      </c>
      <c r="O45">
        <f>IF(E45&lt;=10,N45,0)</f>
        <v/>
      </c>
      <c r="P45">
        <f>IF(E45=12,N45,0)</f>
        <v/>
      </c>
      <c r="Q45">
        <f>IF(E45=14,N45,0)</f>
        <v/>
      </c>
      <c r="R45">
        <f>IF(E45=16,N45,0)</f>
        <v/>
      </c>
      <c r="S45">
        <f>IF(E45=18,N45,0)</f>
        <v/>
      </c>
      <c r="T45">
        <f>IF(E45=20,N45,0)</f>
        <v/>
      </c>
      <c r="U45">
        <f>IF(E45=22,N45,0)</f>
        <v/>
      </c>
    </row>
    <row r="46">
      <c r="A46" s="620">
        <f>A45+1</f>
        <v/>
      </c>
      <c r="B46" s="621">
        <f>Theo_Doi_Tan_Suat_Cot_Thep!B612</f>
        <v/>
      </c>
      <c r="C46" s="621">
        <f>Theo_Doi_Tan_Suat_Cot_Thep!C612</f>
        <v/>
      </c>
      <c r="D46" s="622">
        <f>Theo_Doi_Tan_Suat_Cot_Thep!D612</f>
        <v/>
      </c>
      <c r="E46" s="623">
        <f>Theo_Doi_Tan_Suat_Cot_Thep!E612</f>
        <v/>
      </c>
      <c r="F46" s="621">
        <f>Theo_Doi_Tan_Suat_Cot_Thep!F612</f>
        <v/>
      </c>
      <c r="G46" s="621">
        <f>Theo_Doi_Tan_Suat_Cot_Thep!G612</f>
        <v/>
      </c>
      <c r="H46" s="624">
        <f>Theo_Doi_Tan_Suat_Cot_Thep!H612</f>
        <v/>
      </c>
      <c r="I46" s="625">
        <f>Theo_Doi_Tan_Suat_Cot_Thep!I612</f>
        <v/>
      </c>
      <c r="J46" s="626">
        <f>Theo_Doi_Tan_Suat_Cot_Thep!J612</f>
        <v/>
      </c>
      <c r="K46" s="627">
        <f>Theo_Doi_Tan_Suat_Cot_Thep!K612</f>
        <v/>
      </c>
      <c r="L46" s="628">
        <f>Theo_Doi_Tan_Suat_Cot_Thep!L612</f>
        <v/>
      </c>
      <c r="N46">
        <f>I46*H46</f>
        <v/>
      </c>
      <c r="O46">
        <f>IF(E46&lt;=10,N46,0)</f>
        <v/>
      </c>
      <c r="P46">
        <f>IF(E46=12,N46,0)</f>
        <v/>
      </c>
      <c r="Q46">
        <f>IF(E46=14,N46,0)</f>
        <v/>
      </c>
      <c r="R46">
        <f>IF(E46=16,N46,0)</f>
        <v/>
      </c>
      <c r="S46">
        <f>IF(E46=18,N46,0)</f>
        <v/>
      </c>
      <c r="T46">
        <f>IF(E46=20,N46,0)</f>
        <v/>
      </c>
      <c r="U46">
        <f>IF(E46=22,N46,0)</f>
        <v/>
      </c>
    </row>
    <row r="47">
      <c r="A47" s="620">
        <f>A46+1</f>
        <v/>
      </c>
      <c r="B47" s="621">
        <f>Theo_Doi_Tan_Suat_Cot_Thep!B614</f>
        <v/>
      </c>
      <c r="C47" s="621">
        <f>Theo_Doi_Tan_Suat_Cot_Thep!C614</f>
        <v/>
      </c>
      <c r="D47" s="622">
        <f>Theo_Doi_Tan_Suat_Cot_Thep!D614</f>
        <v/>
      </c>
      <c r="E47" s="623">
        <f>Theo_Doi_Tan_Suat_Cot_Thep!E614</f>
        <v/>
      </c>
      <c r="F47" s="621">
        <f>Theo_Doi_Tan_Suat_Cot_Thep!F614</f>
        <v/>
      </c>
      <c r="G47" s="621">
        <f>Theo_Doi_Tan_Suat_Cot_Thep!G614</f>
        <v/>
      </c>
      <c r="H47" s="624">
        <f>Theo_Doi_Tan_Suat_Cot_Thep!H614</f>
        <v/>
      </c>
      <c r="I47" s="625">
        <f>Theo_Doi_Tan_Suat_Cot_Thep!I614</f>
        <v/>
      </c>
      <c r="J47" s="626">
        <f>Theo_Doi_Tan_Suat_Cot_Thep!J614</f>
        <v/>
      </c>
      <c r="K47" s="627">
        <f>Theo_Doi_Tan_Suat_Cot_Thep!K614</f>
        <v/>
      </c>
      <c r="L47" s="628">
        <f>Theo_Doi_Tan_Suat_Cot_Thep!L614</f>
        <v/>
      </c>
      <c r="N47">
        <f>I47*H47</f>
        <v/>
      </c>
      <c r="O47">
        <f>IF(E47&lt;=10,N47,0)</f>
        <v/>
      </c>
      <c r="P47">
        <f>IF(E47=12,N47,0)</f>
        <v/>
      </c>
      <c r="Q47">
        <f>IF(E47=14,N47,0)</f>
        <v/>
      </c>
      <c r="R47">
        <f>IF(E47=16,N47,0)</f>
        <v/>
      </c>
      <c r="S47">
        <f>IF(E47=18,N47,0)</f>
        <v/>
      </c>
      <c r="T47">
        <f>IF(E47=20,N47,0)</f>
        <v/>
      </c>
      <c r="U47">
        <f>IF(E47=22,N47,0)</f>
        <v/>
      </c>
    </row>
    <row r="48">
      <c r="A48" s="620">
        <f>A47+1</f>
        <v/>
      </c>
      <c r="B48" s="621">
        <f>Theo_Doi_Tan_Suat_Cot_Thep!B615</f>
        <v/>
      </c>
      <c r="C48" s="621">
        <f>Theo_Doi_Tan_Suat_Cot_Thep!C615</f>
        <v/>
      </c>
      <c r="D48" s="622">
        <f>Theo_Doi_Tan_Suat_Cot_Thep!D615</f>
        <v/>
      </c>
      <c r="E48" s="623">
        <f>Theo_Doi_Tan_Suat_Cot_Thep!E615</f>
        <v/>
      </c>
      <c r="F48" s="621">
        <f>Theo_Doi_Tan_Suat_Cot_Thep!F615</f>
        <v/>
      </c>
      <c r="G48" s="621">
        <f>Theo_Doi_Tan_Suat_Cot_Thep!G615</f>
        <v/>
      </c>
      <c r="H48" s="624">
        <f>Theo_Doi_Tan_Suat_Cot_Thep!H615</f>
        <v/>
      </c>
      <c r="I48" s="625">
        <f>Theo_Doi_Tan_Suat_Cot_Thep!I615</f>
        <v/>
      </c>
      <c r="J48" s="626">
        <f>Theo_Doi_Tan_Suat_Cot_Thep!J615</f>
        <v/>
      </c>
      <c r="K48" s="627">
        <f>Theo_Doi_Tan_Suat_Cot_Thep!K615</f>
        <v/>
      </c>
      <c r="L48" s="628">
        <f>Theo_Doi_Tan_Suat_Cot_Thep!L615</f>
        <v/>
      </c>
      <c r="N48">
        <f>I48*H48</f>
        <v/>
      </c>
      <c r="O48">
        <f>IF(E48&lt;=10,N48,0)</f>
        <v/>
      </c>
      <c r="P48">
        <f>IF(E48=12,N48,0)</f>
        <v/>
      </c>
      <c r="Q48">
        <f>IF(E48=14,N48,0)</f>
        <v/>
      </c>
      <c r="R48">
        <f>IF(E48=16,N48,0)</f>
        <v/>
      </c>
      <c r="S48">
        <f>IF(E48=18,N48,0)</f>
        <v/>
      </c>
      <c r="T48">
        <f>IF(E48=20,N48,0)</f>
        <v/>
      </c>
      <c r="U48">
        <f>IF(E48=22,N48,0)</f>
        <v/>
      </c>
    </row>
    <row r="49">
      <c r="A49" s="620">
        <f>A48+1</f>
        <v/>
      </c>
      <c r="B49" s="621">
        <f>Theo_Doi_Tan_Suat_Cot_Thep!B616</f>
        <v/>
      </c>
      <c r="C49" s="621">
        <f>Theo_Doi_Tan_Suat_Cot_Thep!C616</f>
        <v/>
      </c>
      <c r="D49" s="622">
        <f>Theo_Doi_Tan_Suat_Cot_Thep!D616</f>
        <v/>
      </c>
      <c r="E49" s="623">
        <f>Theo_Doi_Tan_Suat_Cot_Thep!E616</f>
        <v/>
      </c>
      <c r="F49" s="621">
        <f>Theo_Doi_Tan_Suat_Cot_Thep!F616</f>
        <v/>
      </c>
      <c r="G49" s="621">
        <f>Theo_Doi_Tan_Suat_Cot_Thep!G616</f>
        <v/>
      </c>
      <c r="H49" s="624">
        <f>Theo_Doi_Tan_Suat_Cot_Thep!H616</f>
        <v/>
      </c>
      <c r="I49" s="625">
        <f>Theo_Doi_Tan_Suat_Cot_Thep!I616</f>
        <v/>
      </c>
      <c r="J49" s="626">
        <f>Theo_Doi_Tan_Suat_Cot_Thep!J616</f>
        <v/>
      </c>
      <c r="K49" s="627">
        <f>Theo_Doi_Tan_Suat_Cot_Thep!K616</f>
        <v/>
      </c>
      <c r="L49" s="628">
        <f>Theo_Doi_Tan_Suat_Cot_Thep!L616</f>
        <v/>
      </c>
      <c r="N49">
        <f>I49*H49</f>
        <v/>
      </c>
      <c r="O49">
        <f>IF(E49&lt;=10,N49,0)</f>
        <v/>
      </c>
      <c r="P49">
        <f>IF(E49=12,N49,0)</f>
        <v/>
      </c>
      <c r="Q49">
        <f>IF(E49=14,N49,0)</f>
        <v/>
      </c>
      <c r="R49">
        <f>IF(E49=16,N49,0)</f>
        <v/>
      </c>
      <c r="S49">
        <f>IF(E49=18,N49,0)</f>
        <v/>
      </c>
      <c r="T49">
        <f>IF(E49=20,N49,0)</f>
        <v/>
      </c>
      <c r="U49">
        <f>IF(E49=22,N49,0)</f>
        <v/>
      </c>
    </row>
    <row r="50">
      <c r="A50" s="620">
        <f>A49+1</f>
        <v/>
      </c>
      <c r="B50" s="621">
        <f>Theo_Doi_Tan_Suat_Cot_Thep!B617</f>
        <v/>
      </c>
      <c r="C50" s="621">
        <f>Theo_Doi_Tan_Suat_Cot_Thep!C617</f>
        <v/>
      </c>
      <c r="D50" s="622">
        <f>Theo_Doi_Tan_Suat_Cot_Thep!D617</f>
        <v/>
      </c>
      <c r="E50" s="623">
        <f>Theo_Doi_Tan_Suat_Cot_Thep!E617</f>
        <v/>
      </c>
      <c r="F50" s="621">
        <f>Theo_Doi_Tan_Suat_Cot_Thep!F617</f>
        <v/>
      </c>
      <c r="G50" s="621">
        <f>Theo_Doi_Tan_Suat_Cot_Thep!G617</f>
        <v/>
      </c>
      <c r="H50" s="624">
        <f>Theo_Doi_Tan_Suat_Cot_Thep!H617</f>
        <v/>
      </c>
      <c r="I50" s="625">
        <f>Theo_Doi_Tan_Suat_Cot_Thep!I617</f>
        <v/>
      </c>
      <c r="J50" s="626">
        <f>Theo_Doi_Tan_Suat_Cot_Thep!J617</f>
        <v/>
      </c>
      <c r="K50" s="627">
        <f>Theo_Doi_Tan_Suat_Cot_Thep!K617</f>
        <v/>
      </c>
      <c r="L50" s="628">
        <f>Theo_Doi_Tan_Suat_Cot_Thep!L617</f>
        <v/>
      </c>
      <c r="N50">
        <f>I50*H50</f>
        <v/>
      </c>
      <c r="O50">
        <f>IF(E50&lt;=10,N50,0)</f>
        <v/>
      </c>
      <c r="P50">
        <f>IF(E50=12,N50,0)</f>
        <v/>
      </c>
      <c r="Q50">
        <f>IF(E50=14,N50,0)</f>
        <v/>
      </c>
      <c r="R50">
        <f>IF(E50=16,N50,0)</f>
        <v/>
      </c>
      <c r="S50">
        <f>IF(E50=18,N50,0)</f>
        <v/>
      </c>
      <c r="T50">
        <f>IF(E50=20,N50,0)</f>
        <v/>
      </c>
      <c r="U50">
        <f>IF(E50=22,N50,0)</f>
        <v/>
      </c>
    </row>
    <row r="51">
      <c r="A51" s="620">
        <f>A50+1</f>
        <v/>
      </c>
      <c r="B51" s="621">
        <f>Theo_Doi_Tan_Suat_Cot_Thep!B618</f>
        <v/>
      </c>
      <c r="C51" s="621">
        <f>Theo_Doi_Tan_Suat_Cot_Thep!C618</f>
        <v/>
      </c>
      <c r="D51" s="622">
        <f>Theo_Doi_Tan_Suat_Cot_Thep!D618</f>
        <v/>
      </c>
      <c r="E51" s="623">
        <f>Theo_Doi_Tan_Suat_Cot_Thep!E618</f>
        <v/>
      </c>
      <c r="F51" s="621">
        <f>Theo_Doi_Tan_Suat_Cot_Thep!F618</f>
        <v/>
      </c>
      <c r="G51" s="621">
        <f>Theo_Doi_Tan_Suat_Cot_Thep!G618</f>
        <v/>
      </c>
      <c r="H51" s="624">
        <f>Theo_Doi_Tan_Suat_Cot_Thep!H618</f>
        <v/>
      </c>
      <c r="I51" s="625">
        <f>Theo_Doi_Tan_Suat_Cot_Thep!I618</f>
        <v/>
      </c>
      <c r="J51" s="626">
        <f>Theo_Doi_Tan_Suat_Cot_Thep!J618</f>
        <v/>
      </c>
      <c r="K51" s="627">
        <f>Theo_Doi_Tan_Suat_Cot_Thep!K618</f>
        <v/>
      </c>
      <c r="L51" s="628">
        <f>Theo_Doi_Tan_Suat_Cot_Thep!L618</f>
        <v/>
      </c>
      <c r="N51">
        <f>I51*H51</f>
        <v/>
      </c>
      <c r="O51">
        <f>IF(E51&lt;=10,N51,0)</f>
        <v/>
      </c>
      <c r="P51">
        <f>IF(E51=12,N51,0)</f>
        <v/>
      </c>
      <c r="Q51">
        <f>IF(E51=14,N51,0)</f>
        <v/>
      </c>
      <c r="R51">
        <f>IF(E51=16,N51,0)</f>
        <v/>
      </c>
      <c r="S51">
        <f>IF(E51=18,N51,0)</f>
        <v/>
      </c>
      <c r="T51">
        <f>IF(E51=20,N51,0)</f>
        <v/>
      </c>
      <c r="U51">
        <f>IF(E51=22,N51,0)</f>
        <v/>
      </c>
    </row>
    <row r="52">
      <c r="A52" s="620">
        <f>A51+1</f>
        <v/>
      </c>
      <c r="B52" s="621">
        <f>Theo_Doi_Tan_Suat_Cot_Thep!B619</f>
        <v/>
      </c>
      <c r="C52" s="621">
        <f>Theo_Doi_Tan_Suat_Cot_Thep!C619</f>
        <v/>
      </c>
      <c r="D52" s="622">
        <f>Theo_Doi_Tan_Suat_Cot_Thep!D619</f>
        <v/>
      </c>
      <c r="E52" s="623">
        <f>Theo_Doi_Tan_Suat_Cot_Thep!E619</f>
        <v/>
      </c>
      <c r="F52" s="621">
        <f>Theo_Doi_Tan_Suat_Cot_Thep!F619</f>
        <v/>
      </c>
      <c r="G52" s="621">
        <f>Theo_Doi_Tan_Suat_Cot_Thep!G619</f>
        <v/>
      </c>
      <c r="H52" s="624">
        <f>Theo_Doi_Tan_Suat_Cot_Thep!H619</f>
        <v/>
      </c>
      <c r="I52" s="625">
        <f>Theo_Doi_Tan_Suat_Cot_Thep!I619</f>
        <v/>
      </c>
      <c r="J52" s="626">
        <f>Theo_Doi_Tan_Suat_Cot_Thep!J619</f>
        <v/>
      </c>
      <c r="K52" s="627">
        <f>Theo_Doi_Tan_Suat_Cot_Thep!K619</f>
        <v/>
      </c>
      <c r="L52" s="628">
        <f>Theo_Doi_Tan_Suat_Cot_Thep!L619</f>
        <v/>
      </c>
      <c r="N52">
        <f>I52*H52</f>
        <v/>
      </c>
      <c r="O52">
        <f>IF(E52&lt;=10,N52,0)</f>
        <v/>
      </c>
      <c r="P52">
        <f>IF(E52=12,N52,0)</f>
        <v/>
      </c>
      <c r="Q52">
        <f>IF(E52=14,N52,0)</f>
        <v/>
      </c>
      <c r="R52">
        <f>IF(E52=16,N52,0)</f>
        <v/>
      </c>
      <c r="S52">
        <f>IF(E52=18,N52,0)</f>
        <v/>
      </c>
      <c r="T52">
        <f>IF(E52=20,N52,0)</f>
        <v/>
      </c>
      <c r="U52">
        <f>IF(E52=22,N52,0)</f>
        <v/>
      </c>
    </row>
    <row r="53">
      <c r="A53" s="620">
        <f>A52+1</f>
        <v/>
      </c>
      <c r="B53" s="621">
        <f>Theo_Doi_Tan_Suat_Cot_Thep!B620</f>
        <v/>
      </c>
      <c r="C53" s="621">
        <f>Theo_Doi_Tan_Suat_Cot_Thep!C620</f>
        <v/>
      </c>
      <c r="D53" s="622">
        <f>Theo_Doi_Tan_Suat_Cot_Thep!D620</f>
        <v/>
      </c>
      <c r="E53" s="623">
        <f>Theo_Doi_Tan_Suat_Cot_Thep!E620</f>
        <v/>
      </c>
      <c r="F53" s="621">
        <f>Theo_Doi_Tan_Suat_Cot_Thep!F620</f>
        <v/>
      </c>
      <c r="G53" s="621">
        <f>Theo_Doi_Tan_Suat_Cot_Thep!G620</f>
        <v/>
      </c>
      <c r="H53" s="624">
        <f>Theo_Doi_Tan_Suat_Cot_Thep!H620</f>
        <v/>
      </c>
      <c r="I53" s="625">
        <f>Theo_Doi_Tan_Suat_Cot_Thep!I620</f>
        <v/>
      </c>
      <c r="J53" s="626">
        <f>Theo_Doi_Tan_Suat_Cot_Thep!J620</f>
        <v/>
      </c>
      <c r="K53" s="627">
        <f>Theo_Doi_Tan_Suat_Cot_Thep!K620</f>
        <v/>
      </c>
      <c r="L53" s="628">
        <f>Theo_Doi_Tan_Suat_Cot_Thep!L620</f>
        <v/>
      </c>
      <c r="N53">
        <f>I53*H53</f>
        <v/>
      </c>
      <c r="O53">
        <f>IF(E53&lt;=10,N53,0)</f>
        <v/>
      </c>
      <c r="P53">
        <f>IF(E53=12,N53,0)</f>
        <v/>
      </c>
      <c r="Q53">
        <f>IF(E53=14,N53,0)</f>
        <v/>
      </c>
      <c r="R53">
        <f>IF(E53=16,N53,0)</f>
        <v/>
      </c>
      <c r="S53">
        <f>IF(E53=18,N53,0)</f>
        <v/>
      </c>
      <c r="T53">
        <f>IF(E53=20,N53,0)</f>
        <v/>
      </c>
      <c r="U53">
        <f>IF(E53=22,N53,0)</f>
        <v/>
      </c>
    </row>
    <row r="54">
      <c r="A54" s="620" t="n"/>
      <c r="B54" s="621" t="n"/>
      <c r="C54" s="622" t="inlineStr">
        <is>
          <t>Cộng Bản quá độ</t>
        </is>
      </c>
      <c r="D54" s="622" t="n"/>
      <c r="E54" s="623" t="n"/>
      <c r="F54" s="621" t="n"/>
      <c r="G54" s="621" t="n"/>
      <c r="H54" s="624" t="n"/>
      <c r="I54" s="625" t="n"/>
      <c r="J54" s="626" t="n"/>
      <c r="K54" s="627" t="n"/>
      <c r="L54" s="628">
        <f>SUM(L40:L53)</f>
        <v/>
      </c>
    </row>
    <row r="55">
      <c r="A55" s="631" t="inlineStr">
        <is>
          <t>TỔNG CỘNG KHỐI LƯỢNG THÉP (TẤN)</t>
        </is>
      </c>
      <c r="B55" s="621" t="n"/>
      <c r="C55" s="621" t="n"/>
      <c r="D55" s="621" t="n"/>
      <c r="E55" s="621" t="n"/>
      <c r="F55" s="621" t="n"/>
      <c r="G55" s="621" t="n"/>
      <c r="H55" s="621" t="n"/>
      <c r="I55" s="621" t="n"/>
      <c r="J55" s="621" t="n"/>
      <c r="K55" s="621" t="n"/>
      <c r="L55" s="632">
        <f>L21+L38+L54</f>
        <v/>
      </c>
      <c r="N55">
        <f>SUBTOTAL(109,N6:N53)</f>
        <v/>
      </c>
      <c r="O55">
        <f>SUM(O6:O53)</f>
        <v/>
      </c>
      <c r="P55">
        <f>SUM(P6:P53)</f>
        <v/>
      </c>
      <c r="Q55">
        <f>SUM(Q6:Q53)</f>
        <v/>
      </c>
      <c r="R55">
        <f>SUM(R6:R53)</f>
        <v/>
      </c>
      <c r="S55">
        <f>SUM(S6:S53)</f>
        <v/>
      </c>
      <c r="T55">
        <f>SUM(T6:T53)</f>
        <v/>
      </c>
      <c r="U55">
        <f>SUM(U6:U53)</f>
        <v/>
      </c>
    </row>
    <row r="56">
      <c r="O56">
        <f>+ROUND(O55/11.7,0)</f>
        <v/>
      </c>
      <c r="P56">
        <f>+ROUND(P55/11.7,0)</f>
        <v/>
      </c>
      <c r="Q56">
        <f>+ROUND(Q55/11.7,0)</f>
        <v/>
      </c>
      <c r="R56">
        <f>+ROUND(R55/11.7,0)</f>
        <v/>
      </c>
      <c r="S56">
        <f>+ROUND(S55/11.7,0)</f>
        <v/>
      </c>
      <c r="T56">
        <f>+ROUND(T55/11.7,0)</f>
        <v/>
      </c>
      <c r="U56">
        <f>+ROUND(U55/11.7,0)</f>
        <v/>
      </c>
      <c r="V56">
        <f>+SUM(O56:U56)</f>
        <v/>
      </c>
    </row>
    <row r="57">
      <c r="N57" t="inlineStr">
        <is>
          <t>PA4</t>
        </is>
      </c>
      <c r="O57" t="n">
        <v>3</v>
      </c>
      <c r="P57" t="n">
        <v>20</v>
      </c>
      <c r="Q57" t="n">
        <v>65</v>
      </c>
      <c r="R57" t="n">
        <v>233</v>
      </c>
      <c r="S57" t="n">
        <v>50</v>
      </c>
      <c r="T57" t="n">
        <v>95</v>
      </c>
      <c r="U57" t="n">
        <v>85</v>
      </c>
      <c r="V57">
        <f>+SUM(O57:U57)</f>
        <v/>
      </c>
    </row>
    <row r="58">
      <c r="N58" t="inlineStr">
        <is>
          <t>PA1</t>
        </is>
      </c>
      <c r="O58" t="n">
        <v>3</v>
      </c>
      <c r="P58" t="n">
        <v>20</v>
      </c>
      <c r="Q58" t="n">
        <v>66</v>
      </c>
      <c r="R58" t="n">
        <v>254</v>
      </c>
      <c r="S58" t="n">
        <v>50</v>
      </c>
      <c r="T58" t="n">
        <v>113</v>
      </c>
      <c r="U58" t="n">
        <v>113</v>
      </c>
      <c r="V58">
        <f>+SUM(O58:U58)</f>
        <v/>
      </c>
    </row>
  </sheetData>
  <autoFilter ref="A4:N54"/>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I14"/>
  <sheetViews>
    <sheetView workbookViewId="0">
      <selection activeCell="D20" sqref="D20"/>
    </sheetView>
  </sheetViews>
  <sheetFormatPr baseColWidth="8" defaultRowHeight="14"/>
  <cols>
    <col width="5.83203125" customWidth="1" style="672" min="1" max="1"/>
    <col width="18.33203125" customWidth="1" style="672" min="2" max="2"/>
    <col width="15" customWidth="1" style="672" min="3" max="4"/>
    <col width="25" customWidth="1" style="672" min="5" max="9"/>
  </cols>
  <sheetData>
    <row r="1" ht="16.5" customHeight="1" s="672">
      <c r="A1" s="614" t="inlineStr">
        <is>
          <t>BẢNG SỐ LƯỢNG SẮT THÉP CẦN NHẬP VỀ (BẢN QUÁ ĐỘ + GỜ LAN CAN)</t>
        </is>
      </c>
    </row>
    <row r="2">
      <c r="A2" s="615" t="inlineStr">
        <is>
          <t>Nguồn: Sheet TH_Thep_BQD_GLC (tổng chiều dài theo từng Ø đã tính ở dòng 53)</t>
        </is>
      </c>
    </row>
    <row r="3"/>
    <row r="4">
      <c r="A4" s="616" t="inlineStr">
        <is>
          <t>Chiều dài thanh thép tiêu chuẩn nhập kho (m):</t>
        </is>
      </c>
      <c r="C4" s="634" t="n">
        <v>11.7</v>
      </c>
    </row>
    <row r="5"/>
    <row r="6" ht="23" customHeight="1" s="672">
      <c r="A6" s="641" t="inlineStr">
        <is>
          <t>STT</t>
        </is>
      </c>
      <c r="B6" s="641" t="inlineStr">
        <is>
          <t>ĐƯỜNG KÍNH Ø (mm)</t>
        </is>
      </c>
      <c r="C6" s="641" t="inlineStr">
        <is>
          <t>MÁC THÉP</t>
        </is>
      </c>
      <c r="D6" s="641" t="inlineStr">
        <is>
          <t>ĐƠN TRỌNG (kg/m)</t>
        </is>
      </c>
      <c r="E6" s="641" t="inlineStr">
        <is>
          <t>TỔNG CHIỀU DÀI CẦN DÙNG (m)</t>
        </is>
      </c>
      <c r="F6" s="641" t="inlineStr">
        <is>
          <t>TRỌNG LƯỢNG CẦN DÙNG (kg)</t>
        </is>
      </c>
      <c r="G6" s="641" t="inlineStr">
        <is>
          <t>SỐ THANH TIÊU CHUẨN CẦN NHẬP (cây)</t>
        </is>
      </c>
      <c r="H6" s="641" t="inlineStr">
        <is>
          <t>CHIỀU DÀI THỰC NHẬP VỀ (m)</t>
        </is>
      </c>
      <c r="I6" s="641" t="inlineStr">
        <is>
          <t>TRỌNG LƯỢNG CẦN NHẬP VỀ (TẤN)</t>
        </is>
      </c>
    </row>
    <row r="7">
      <c r="A7" s="620">
        <f>1</f>
        <v/>
      </c>
      <c r="B7" s="623" t="n">
        <v>10</v>
      </c>
      <c r="C7" s="620">
        <f>VLOOKUP(B7,TH_Thep_BQD_GLC!$E$6:$J$53,2,FALSE)</f>
        <v/>
      </c>
      <c r="D7" s="626">
        <f>VLOOKUP(B7,TH_Thep_BQD_GLC!$E$6:$J$53,6,FALSE)</f>
        <v/>
      </c>
      <c r="E7" s="624">
        <f>TH_Thep_BQD_GLC!O55</f>
        <v/>
      </c>
      <c r="F7" s="627">
        <f>E7*D7</f>
        <v/>
      </c>
      <c r="G7" s="625">
        <f>ROUNDUP(E7/$C$4,0)</f>
        <v/>
      </c>
      <c r="H7" s="624">
        <f>G7*$C$4</f>
        <v/>
      </c>
      <c r="I7" s="628">
        <f>H7*D7/1000</f>
        <v/>
      </c>
    </row>
    <row r="8">
      <c r="A8" s="620">
        <f>A7+1</f>
        <v/>
      </c>
      <c r="B8" s="623" t="n">
        <v>12</v>
      </c>
      <c r="C8" s="620">
        <f>VLOOKUP(B8,TH_Thep_BQD_GLC!$E$6:$J$53,2,FALSE)</f>
        <v/>
      </c>
      <c r="D8" s="626">
        <f>VLOOKUP(B8,TH_Thep_BQD_GLC!$E$6:$J$53,6,FALSE)</f>
        <v/>
      </c>
      <c r="E8" s="624">
        <f>TH_Thep_BQD_GLC!P55</f>
        <v/>
      </c>
      <c r="F8" s="627">
        <f>E8*D8</f>
        <v/>
      </c>
      <c r="G8" s="625">
        <f>ROUNDUP(E8/$C$4,0)</f>
        <v/>
      </c>
      <c r="H8" s="624">
        <f>G8*$C$4</f>
        <v/>
      </c>
      <c r="I8" s="628">
        <f>H8*D8/1000</f>
        <v/>
      </c>
    </row>
    <row r="9">
      <c r="A9" s="620">
        <f>A8+1</f>
        <v/>
      </c>
      <c r="B9" s="623" t="n">
        <v>14</v>
      </c>
      <c r="C9" s="620">
        <f>VLOOKUP(B9,TH_Thep_BQD_GLC!$E$6:$J$53,2,FALSE)</f>
        <v/>
      </c>
      <c r="D9" s="626">
        <f>VLOOKUP(B9,TH_Thep_BQD_GLC!$E$6:$J$53,6,FALSE)</f>
        <v/>
      </c>
      <c r="E9" s="624">
        <f>TH_Thep_BQD_GLC!Q55</f>
        <v/>
      </c>
      <c r="F9" s="627">
        <f>E9*D9</f>
        <v/>
      </c>
      <c r="G9" s="625">
        <f>ROUNDUP(E9/$C$4,0)</f>
        <v/>
      </c>
      <c r="H9" s="624">
        <f>G9*$C$4</f>
        <v/>
      </c>
      <c r="I9" s="628">
        <f>H9*D9/1000</f>
        <v/>
      </c>
    </row>
    <row r="10">
      <c r="A10" s="620">
        <f>A9+1</f>
        <v/>
      </c>
      <c r="B10" s="623" t="n">
        <v>16</v>
      </c>
      <c r="C10" s="620">
        <f>VLOOKUP(B10,TH_Thep_BQD_GLC!$E$6:$J$53,2,FALSE)</f>
        <v/>
      </c>
      <c r="D10" s="626">
        <f>VLOOKUP(B10,TH_Thep_BQD_GLC!$E$6:$J$53,6,FALSE)</f>
        <v/>
      </c>
      <c r="E10" s="624">
        <f>TH_Thep_BQD_GLC!R55</f>
        <v/>
      </c>
      <c r="F10" s="627">
        <f>E10*D10</f>
        <v/>
      </c>
      <c r="G10" s="625">
        <f>ROUNDUP(E10/$C$4,0)</f>
        <v/>
      </c>
      <c r="H10" s="624">
        <f>G10*$C$4</f>
        <v/>
      </c>
      <c r="I10" s="628">
        <f>H10*D10/1000</f>
        <v/>
      </c>
    </row>
    <row r="11">
      <c r="A11" s="620">
        <f>A10+1</f>
        <v/>
      </c>
      <c r="B11" s="623" t="n">
        <v>18</v>
      </c>
      <c r="C11" s="620">
        <f>VLOOKUP(B11,TH_Thep_BQD_GLC!$E$6:$J$53,2,FALSE)</f>
        <v/>
      </c>
      <c r="D11" s="626">
        <f>VLOOKUP(B11,TH_Thep_BQD_GLC!$E$6:$J$53,6,FALSE)</f>
        <v/>
      </c>
      <c r="E11" s="624">
        <f>TH_Thep_BQD_GLC!S55</f>
        <v/>
      </c>
      <c r="F11" s="627">
        <f>E11*D11</f>
        <v/>
      </c>
      <c r="G11" s="625">
        <f>ROUNDUP(E11/$C$4,0)</f>
        <v/>
      </c>
      <c r="H11" s="624">
        <f>G11*$C$4</f>
        <v/>
      </c>
      <c r="I11" s="628">
        <f>H11*D11/1000</f>
        <v/>
      </c>
    </row>
    <row r="12">
      <c r="A12" s="620">
        <f>A11+1</f>
        <v/>
      </c>
      <c r="B12" s="623" t="n">
        <v>20</v>
      </c>
      <c r="C12" s="620">
        <f>VLOOKUP(B12,TH_Thep_BQD_GLC!$E$6:$J$53,2,FALSE)</f>
        <v/>
      </c>
      <c r="D12" s="626">
        <f>VLOOKUP(B12,TH_Thep_BQD_GLC!$E$6:$J$53,6,FALSE)</f>
        <v/>
      </c>
      <c r="E12" s="624">
        <f>TH_Thep_BQD_GLC!T55</f>
        <v/>
      </c>
      <c r="F12" s="627">
        <f>E12*D12</f>
        <v/>
      </c>
      <c r="G12" s="625">
        <f>ROUNDUP(E12/$C$4,0)</f>
        <v/>
      </c>
      <c r="H12" s="624">
        <f>G12*$C$4</f>
        <v/>
      </c>
      <c r="I12" s="628">
        <f>H12*D12/1000</f>
        <v/>
      </c>
    </row>
    <row r="13">
      <c r="A13" s="620">
        <f>A12+1</f>
        <v/>
      </c>
      <c r="B13" s="623" t="n">
        <v>22</v>
      </c>
      <c r="C13" s="620">
        <f>VLOOKUP(B13,TH_Thep_BQD_GLC!$E$6:$J$53,2,FALSE)</f>
        <v/>
      </c>
      <c r="D13" s="626">
        <f>VLOOKUP(B13,TH_Thep_BQD_GLC!$E$6:$J$53,6,FALSE)</f>
        <v/>
      </c>
      <c r="E13" s="624">
        <f>TH_Thep_BQD_GLC!U55</f>
        <v/>
      </c>
      <c r="F13" s="627">
        <f>E13*D13</f>
        <v/>
      </c>
      <c r="G13" s="625">
        <f>ROUNDUP(E13/$C$4,0)</f>
        <v/>
      </c>
      <c r="H13" s="624">
        <f>G13*$C$4</f>
        <v/>
      </c>
      <c r="I13" s="628">
        <f>H13*D13/1000</f>
        <v/>
      </c>
    </row>
    <row r="14">
      <c r="A14" s="635" t="n"/>
      <c r="B14" s="636" t="n"/>
      <c r="C14" s="631" t="inlineStr">
        <is>
          <t>TỔNG CỘNG</t>
        </is>
      </c>
      <c r="D14" s="637" t="n"/>
      <c r="E14" s="632">
        <f>SUM(E7:E13)</f>
        <v/>
      </c>
      <c r="F14" s="638">
        <f>SUM(F7:F13)</f>
        <v/>
      </c>
      <c r="G14" s="639">
        <f>SUM(G7:G13)</f>
        <v/>
      </c>
      <c r="H14" s="632">
        <f>SUM(H7:H13)</f>
        <v/>
      </c>
      <c r="I14" s="632">
        <f>SUM(I7:I13)</f>
        <v/>
      </c>
    </row>
  </sheetData>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I14"/>
  <sheetViews>
    <sheetView workbookViewId="0">
      <selection activeCell="G9" sqref="G9"/>
    </sheetView>
  </sheetViews>
  <sheetFormatPr baseColWidth="8" defaultRowHeight="14"/>
  <cols>
    <col width="5.83203125" customWidth="1" style="672" min="1" max="1"/>
    <col width="18.33203125" customWidth="1" style="672" min="2" max="2"/>
    <col width="15" customWidth="1" style="672" min="3" max="4"/>
    <col width="25" customWidth="1" style="672" min="5" max="9"/>
  </cols>
  <sheetData>
    <row r="1" ht="16.5" customHeight="1" s="672">
      <c r="A1" s="614" t="inlineStr">
        <is>
          <t>BẢNG SỐ LƯỢNG SẮT THÉP CẦN NHẬP VỀ (BẢN QUÁ ĐỘ + GỜ LAN CAN)</t>
        </is>
      </c>
    </row>
    <row r="2">
      <c r="A2" s="615" t="inlineStr">
        <is>
          <t>Nguồn: Sheet TH_Thep_BQD_GLC (tổng chiều dài theo từng Ø đã tính ở dòng 53)</t>
        </is>
      </c>
    </row>
    <row r="3"/>
    <row r="4">
      <c r="A4" s="616" t="inlineStr">
        <is>
          <t>Chiều dài thanh thép tiêu chuẩn nhập kho (m):</t>
        </is>
      </c>
      <c r="C4" s="634" t="n">
        <v>11.7</v>
      </c>
    </row>
    <row r="5"/>
    <row r="6" ht="23" customHeight="1" s="672">
      <c r="A6" s="641" t="inlineStr">
        <is>
          <t>STT</t>
        </is>
      </c>
      <c r="B6" s="641" t="inlineStr">
        <is>
          <t>ĐƯỜNG KÍNH Ø (mm)</t>
        </is>
      </c>
      <c r="C6" s="641" t="inlineStr">
        <is>
          <t>MÁC THÉP</t>
        </is>
      </c>
      <c r="D6" s="641" t="inlineStr">
        <is>
          <t>ĐƠN TRỌNG (kg/m)</t>
        </is>
      </c>
      <c r="E6" s="641" t="inlineStr">
        <is>
          <t>TỔNG CHIỀU DÀI CẦN DÙNG (m)</t>
        </is>
      </c>
      <c r="F6" s="641" t="inlineStr">
        <is>
          <t>TRỌNG LƯỢNG CẦN DÙNG (kg)</t>
        </is>
      </c>
      <c r="G6" s="641" t="inlineStr">
        <is>
          <t>SỐ THANH TIÊU CHUẨN CẦN NHẬP (cây)</t>
        </is>
      </c>
      <c r="H6" s="641" t="inlineStr">
        <is>
          <t>CHIỀU DÀI THỰC NHẬP VỀ (m)</t>
        </is>
      </c>
      <c r="I6" s="641" t="inlineStr">
        <is>
          <t>TRỌNG LƯỢNG CẦN NHẬP VỀ (TẤN)</t>
        </is>
      </c>
    </row>
    <row r="7">
      <c r="A7" s="620">
        <f>1</f>
        <v/>
      </c>
      <c r="B7" s="623" t="n">
        <v>10</v>
      </c>
      <c r="C7" s="620">
        <f>VLOOKUP(B7,TH_Thep_BQD_GLC!$E$6:$J$53,2,FALSE)</f>
        <v/>
      </c>
      <c r="D7" s="626">
        <f>VLOOKUP(B7,TH_Thep_BQD_GLC!$E$6:$J$53,6,FALSE)</f>
        <v/>
      </c>
      <c r="E7" s="624">
        <f>TH_Thep_BQD_GLC!O55</f>
        <v/>
      </c>
      <c r="F7" s="627">
        <f>E7*D7</f>
        <v/>
      </c>
      <c r="G7" s="625" t="n">
        <v>3</v>
      </c>
      <c r="H7" s="624">
        <f>G7*$C$4</f>
        <v/>
      </c>
      <c r="I7" s="628">
        <f>H7*D7/1000</f>
        <v/>
      </c>
    </row>
    <row r="8">
      <c r="A8" s="620">
        <f>A7+1</f>
        <v/>
      </c>
      <c r="B8" s="623" t="n">
        <v>12</v>
      </c>
      <c r="C8" s="620">
        <f>VLOOKUP(B8,TH_Thep_BQD_GLC!$E$6:$J$53,2,FALSE)</f>
        <v/>
      </c>
      <c r="D8" s="626">
        <f>VLOOKUP(B8,TH_Thep_BQD_GLC!$E$6:$J$53,6,FALSE)</f>
        <v/>
      </c>
      <c r="E8" s="624">
        <f>TH_Thep_BQD_GLC!P55</f>
        <v/>
      </c>
      <c r="F8" s="627">
        <f>E8*D8</f>
        <v/>
      </c>
      <c r="G8" s="625" t="n">
        <v>20</v>
      </c>
      <c r="H8" s="624">
        <f>G8*$C$4</f>
        <v/>
      </c>
      <c r="I8" s="628">
        <f>H8*D8/1000</f>
        <v/>
      </c>
    </row>
    <row r="9">
      <c r="A9" s="620">
        <f>A8+1</f>
        <v/>
      </c>
      <c r="B9" s="623" t="n">
        <v>14</v>
      </c>
      <c r="C9" s="620">
        <f>VLOOKUP(B9,TH_Thep_BQD_GLC!$E$6:$J$53,2,FALSE)</f>
        <v/>
      </c>
      <c r="D9" s="626">
        <f>VLOOKUP(B9,TH_Thep_BQD_GLC!$E$6:$J$53,6,FALSE)</f>
        <v/>
      </c>
      <c r="E9" s="624">
        <f>TH_Thep_BQD_GLC!Q55</f>
        <v/>
      </c>
      <c r="F9" s="627">
        <f>E9*D9</f>
        <v/>
      </c>
      <c r="G9" s="625" t="n">
        <v>66</v>
      </c>
      <c r="H9" s="624">
        <f>G9*$C$4</f>
        <v/>
      </c>
      <c r="I9" s="628">
        <f>H9*D9/1000</f>
        <v/>
      </c>
    </row>
    <row r="10">
      <c r="A10" s="620">
        <f>A9+1</f>
        <v/>
      </c>
      <c r="B10" s="623" t="n">
        <v>16</v>
      </c>
      <c r="C10" s="620">
        <f>VLOOKUP(B10,TH_Thep_BQD_GLC!$E$6:$J$53,2,FALSE)</f>
        <v/>
      </c>
      <c r="D10" s="626">
        <f>VLOOKUP(B10,TH_Thep_BQD_GLC!$E$6:$J$53,6,FALSE)</f>
        <v/>
      </c>
      <c r="E10" s="624">
        <f>TH_Thep_BQD_GLC!R55</f>
        <v/>
      </c>
      <c r="F10" s="627">
        <f>E10*D10</f>
        <v/>
      </c>
      <c r="G10" s="625" t="n">
        <v>254</v>
      </c>
      <c r="H10" s="624">
        <f>G10*$C$4</f>
        <v/>
      </c>
      <c r="I10" s="628">
        <f>H10*D10/1000</f>
        <v/>
      </c>
    </row>
    <row r="11">
      <c r="A11" s="620">
        <f>A10+1</f>
        <v/>
      </c>
      <c r="B11" s="623" t="n">
        <v>18</v>
      </c>
      <c r="C11" s="620">
        <f>VLOOKUP(B11,TH_Thep_BQD_GLC!$E$6:$J$53,2,FALSE)</f>
        <v/>
      </c>
      <c r="D11" s="626">
        <f>VLOOKUP(B11,TH_Thep_BQD_GLC!$E$6:$J$53,6,FALSE)</f>
        <v/>
      </c>
      <c r="E11" s="624">
        <f>TH_Thep_BQD_GLC!S55</f>
        <v/>
      </c>
      <c r="F11" s="627">
        <f>E11*D11</f>
        <v/>
      </c>
      <c r="G11" s="625" t="n">
        <v>50</v>
      </c>
      <c r="H11" s="624">
        <f>G11*$C$4</f>
        <v/>
      </c>
      <c r="I11" s="628">
        <f>H11*D11/1000</f>
        <v/>
      </c>
    </row>
    <row r="12">
      <c r="A12" s="620">
        <f>A11+1</f>
        <v/>
      </c>
      <c r="B12" s="623" t="n">
        <v>20</v>
      </c>
      <c r="C12" s="620">
        <f>VLOOKUP(B12,TH_Thep_BQD_GLC!$E$6:$J$53,2,FALSE)</f>
        <v/>
      </c>
      <c r="D12" s="626">
        <f>VLOOKUP(B12,TH_Thep_BQD_GLC!$E$6:$J$53,6,FALSE)</f>
        <v/>
      </c>
      <c r="E12" s="624">
        <f>TH_Thep_BQD_GLC!T55</f>
        <v/>
      </c>
      <c r="F12" s="627">
        <f>E12*D12</f>
        <v/>
      </c>
      <c r="G12" s="625" t="n">
        <v>113</v>
      </c>
      <c r="H12" s="624">
        <f>G12*$C$4</f>
        <v/>
      </c>
      <c r="I12" s="628">
        <f>H12*D12/1000</f>
        <v/>
      </c>
    </row>
    <row r="13">
      <c r="A13" s="620">
        <f>A12+1</f>
        <v/>
      </c>
      <c r="B13" s="623" t="n">
        <v>22</v>
      </c>
      <c r="C13" s="620">
        <f>VLOOKUP(B13,TH_Thep_BQD_GLC!$E$6:$J$53,2,FALSE)</f>
        <v/>
      </c>
      <c r="D13" s="626">
        <f>VLOOKUP(B13,TH_Thep_BQD_GLC!$E$6:$J$53,6,FALSE)</f>
        <v/>
      </c>
      <c r="E13" s="624">
        <f>TH_Thep_BQD_GLC!U55</f>
        <v/>
      </c>
      <c r="F13" s="627">
        <f>E13*D13</f>
        <v/>
      </c>
      <c r="G13" s="625" t="n">
        <v>113</v>
      </c>
      <c r="H13" s="624">
        <f>G13*$C$4</f>
        <v/>
      </c>
      <c r="I13" s="628">
        <f>H13*D13/1000</f>
        <v/>
      </c>
    </row>
    <row r="14">
      <c r="A14" s="635" t="n"/>
      <c r="B14" s="636" t="n"/>
      <c r="C14" s="631" t="inlineStr">
        <is>
          <t>TỔNG CỘNG</t>
        </is>
      </c>
      <c r="D14" s="637" t="n"/>
      <c r="E14" s="632">
        <f>SUM(E7:E13)</f>
        <v/>
      </c>
      <c r="F14" s="638">
        <f>SUM(F7:F13)</f>
        <v/>
      </c>
      <c r="G14" s="639">
        <f>SUM(G7:G13)</f>
        <v/>
      </c>
      <c r="H14" s="632">
        <f>SUM(H7:H13)</f>
        <v/>
      </c>
      <c r="I14" s="632">
        <f>SUM(I7:I13)</f>
        <v/>
      </c>
    </row>
  </sheetData>
  <pageMargins left="0.7" right="0.7" top="0.75" bottom="0.75" header="0.3" footer="0.3"/>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J13"/>
  <sheetViews>
    <sheetView view="pageBreakPreview" zoomScaleNormal="100" zoomScaleSheetLayoutView="100" workbookViewId="0">
      <selection activeCell="E12" sqref="E12"/>
    </sheetView>
  </sheetViews>
  <sheetFormatPr baseColWidth="8" defaultRowHeight="15.5"/>
  <cols>
    <col width="5.83203125" customWidth="1" style="648" min="1" max="1"/>
    <col width="18.33203125" customWidth="1" style="648" min="2" max="2"/>
    <col width="13.83203125" customWidth="1" style="648" min="3" max="3"/>
    <col width="15" customWidth="1" style="648" min="4" max="5"/>
    <col width="17.75" customWidth="1" style="648" min="6" max="6"/>
    <col width="14.83203125" customWidth="1" style="648" min="7" max="10"/>
    <col width="8.6640625" customWidth="1" style="648" min="11" max="16384"/>
  </cols>
  <sheetData>
    <row r="1">
      <c r="A1" s="658" t="inlineStr">
        <is>
          <t>BẢNG SỐ LƯỢNG SẮT THÉP CẦN NHẬP VỀ (BẢN QUÁ ĐỘ + GỜ LAN CAN)</t>
        </is>
      </c>
    </row>
    <row r="2">
      <c r="A2" s="659" t="n"/>
    </row>
    <row r="3">
      <c r="A3" s="716" t="inlineStr">
        <is>
          <t>Chiều dài thanh thép tiêu chuẩn nhập kho (m):</t>
        </is>
      </c>
      <c r="D3" s="642" t="n">
        <v>11.7</v>
      </c>
    </row>
    <row r="4">
      <c r="A4" s="745" t="n"/>
      <c r="B4" s="745" t="n"/>
      <c r="C4" s="745" t="n"/>
    </row>
    <row r="5" ht="42" customHeight="1" s="672">
      <c r="A5" s="660" t="inlineStr">
        <is>
          <t>STT</t>
        </is>
      </c>
      <c r="B5" s="660" t="inlineStr">
        <is>
          <t>ĐƯỜNG KÍNH Ø (mm)</t>
        </is>
      </c>
      <c r="C5" s="660" t="inlineStr">
        <is>
          <t>Chủng loại</t>
        </is>
      </c>
      <c r="D5" s="660" t="inlineStr">
        <is>
          <t>MÁC THÉP</t>
        </is>
      </c>
      <c r="E5" s="660" t="inlineStr">
        <is>
          <t>ĐƠN TRỌNG (kg/m)</t>
        </is>
      </c>
      <c r="F5" s="660" t="inlineStr">
        <is>
          <t>TỔNG CHIỀU DÀI CẦN DÙNG (m)</t>
        </is>
      </c>
      <c r="G5" s="660" t="inlineStr">
        <is>
          <t>TRỌNG LƯỢNG CẦN DÙNG (kg)</t>
        </is>
      </c>
      <c r="H5" s="660" t="inlineStr">
        <is>
          <t>SỐ THANH TIÊU CHUẨN CẦN NHẬP (cây)</t>
        </is>
      </c>
      <c r="I5" s="660" t="inlineStr">
        <is>
          <t>CHIỀU DÀI THỰC NHẬP VỀ (m)</t>
        </is>
      </c>
      <c r="J5" s="660" t="inlineStr">
        <is>
          <t>TRỌNG LƯỢNG CẦN NHẬP VỀ (TẤN)</t>
        </is>
      </c>
    </row>
    <row r="6" ht="40" customHeight="1" s="672">
      <c r="A6" s="643">
        <f>1</f>
        <v/>
      </c>
      <c r="B6" s="644" t="n">
        <v>10</v>
      </c>
      <c r="C6" s="644" t="inlineStr">
        <is>
          <t xml:space="preserve">Hòa Phát </t>
        </is>
      </c>
      <c r="D6" s="643">
        <f>VLOOKUP(B6,TH_Thep_BQD_GLC!$E$6:$J$53,2,FALSE)</f>
        <v/>
      </c>
      <c r="E6" s="649">
        <f>VLOOKUP(B6,TH_Thep_BQD_GLC!$E$6:$J$53,6,FALSE)</f>
        <v/>
      </c>
      <c r="F6" s="650">
        <f>TH_Thep_BQD_GLC!O55</f>
        <v/>
      </c>
      <c r="G6" s="651">
        <f>F6*E6</f>
        <v/>
      </c>
      <c r="H6" s="652" t="n">
        <v>3</v>
      </c>
      <c r="I6" s="650">
        <f>H6*$D$3</f>
        <v/>
      </c>
      <c r="J6" s="653">
        <f>I6*E6/1000</f>
        <v/>
      </c>
    </row>
    <row r="7" ht="40" customHeight="1" s="672">
      <c r="A7" s="643">
        <f>A6+1</f>
        <v/>
      </c>
      <c r="B7" s="644" t="n">
        <v>12</v>
      </c>
      <c r="C7" s="644" t="inlineStr">
        <is>
          <t xml:space="preserve">Hòa Phát </t>
        </is>
      </c>
      <c r="D7" s="643">
        <f>VLOOKUP(B7,TH_Thep_BQD_GLC!$E$6:$J$53,2,FALSE)</f>
        <v/>
      </c>
      <c r="E7" s="649">
        <f>VLOOKUP(B7,TH_Thep_BQD_GLC!$E$6:$J$53,6,FALSE)</f>
        <v/>
      </c>
      <c r="F7" s="650">
        <f>TH_Thep_BQD_GLC!P55</f>
        <v/>
      </c>
      <c r="G7" s="651">
        <f>F7*E7</f>
        <v/>
      </c>
      <c r="H7" s="652" t="n">
        <v>20</v>
      </c>
      <c r="I7" s="650">
        <f>H7*$D$3</f>
        <v/>
      </c>
      <c r="J7" s="653">
        <f>I7*E7/1000</f>
        <v/>
      </c>
    </row>
    <row r="8" ht="40" customHeight="1" s="672">
      <c r="A8" s="643">
        <f>A7+1</f>
        <v/>
      </c>
      <c r="B8" s="644" t="n">
        <v>14</v>
      </c>
      <c r="C8" s="644" t="inlineStr">
        <is>
          <t xml:space="preserve">Hòa Phát </t>
        </is>
      </c>
      <c r="D8" s="643">
        <f>VLOOKUP(B8,TH_Thep_BQD_GLC!$E$6:$J$53,2,FALSE)</f>
        <v/>
      </c>
      <c r="E8" s="649">
        <f>VLOOKUP(B8,TH_Thep_BQD_GLC!$E$6:$J$53,6,FALSE)</f>
        <v/>
      </c>
      <c r="F8" s="650">
        <f>TH_Thep_BQD_GLC!Q55</f>
        <v/>
      </c>
      <c r="G8" s="651">
        <f>F8*E8</f>
        <v/>
      </c>
      <c r="H8" s="652" t="n">
        <v>65</v>
      </c>
      <c r="I8" s="650">
        <f>H8*$D$3</f>
        <v/>
      </c>
      <c r="J8" s="653">
        <f>I8*E8/1000</f>
        <v/>
      </c>
    </row>
    <row r="9" ht="40" customHeight="1" s="672">
      <c r="A9" s="643">
        <f>A8+1</f>
        <v/>
      </c>
      <c r="B9" s="644" t="n">
        <v>16</v>
      </c>
      <c r="C9" s="644" t="inlineStr">
        <is>
          <t xml:space="preserve">Hòa Phát </t>
        </is>
      </c>
      <c r="D9" s="643">
        <f>VLOOKUP(B9,TH_Thep_BQD_GLC!$E$6:$J$53,2,FALSE)</f>
        <v/>
      </c>
      <c r="E9" s="649">
        <f>VLOOKUP(B9,TH_Thep_BQD_GLC!$E$6:$J$53,6,FALSE)</f>
        <v/>
      </c>
      <c r="F9" s="650">
        <f>TH_Thep_BQD_GLC!R55</f>
        <v/>
      </c>
      <c r="G9" s="651">
        <f>F9*E9</f>
        <v/>
      </c>
      <c r="H9" s="652" t="n">
        <v>233</v>
      </c>
      <c r="I9" s="650">
        <f>H9*$D$3</f>
        <v/>
      </c>
      <c r="J9" s="653">
        <f>I9*E9/1000</f>
        <v/>
      </c>
    </row>
    <row r="10" ht="40" customHeight="1" s="672">
      <c r="A10" s="643">
        <f>A9+1</f>
        <v/>
      </c>
      <c r="B10" s="644" t="n">
        <v>18</v>
      </c>
      <c r="C10" s="644" t="inlineStr">
        <is>
          <t xml:space="preserve">Hòa Phát </t>
        </is>
      </c>
      <c r="D10" s="643">
        <f>VLOOKUP(B10,TH_Thep_BQD_GLC!$E$6:$J$53,2,FALSE)</f>
        <v/>
      </c>
      <c r="E10" s="649">
        <f>VLOOKUP(B10,TH_Thep_BQD_GLC!$E$6:$J$53,6,FALSE)</f>
        <v/>
      </c>
      <c r="F10" s="650">
        <f>TH_Thep_BQD_GLC!S55</f>
        <v/>
      </c>
      <c r="G10" s="651">
        <f>F10*E10</f>
        <v/>
      </c>
      <c r="H10" s="652" t="n">
        <v>50</v>
      </c>
      <c r="I10" s="650">
        <f>H10*$D$3</f>
        <v/>
      </c>
      <c r="J10" s="653">
        <f>I10*E10/1000</f>
        <v/>
      </c>
    </row>
    <row r="11" ht="40" customHeight="1" s="672">
      <c r="A11" s="643">
        <f>A10+1</f>
        <v/>
      </c>
      <c r="B11" s="644" t="n">
        <v>20</v>
      </c>
      <c r="C11" s="644" t="inlineStr">
        <is>
          <t xml:space="preserve">Hòa Phát </t>
        </is>
      </c>
      <c r="D11" s="643">
        <f>VLOOKUP(B11,TH_Thep_BQD_GLC!$E$6:$J$53,2,FALSE)</f>
        <v/>
      </c>
      <c r="E11" s="649">
        <f>VLOOKUP(B11,TH_Thep_BQD_GLC!$E$6:$J$53,6,FALSE)</f>
        <v/>
      </c>
      <c r="F11" s="650">
        <f>TH_Thep_BQD_GLC!T55</f>
        <v/>
      </c>
      <c r="G11" s="651">
        <f>F11*E11</f>
        <v/>
      </c>
      <c r="H11" s="652" t="n">
        <v>95</v>
      </c>
      <c r="I11" s="650">
        <f>H11*$D$3</f>
        <v/>
      </c>
      <c r="J11" s="653">
        <f>I11*E11/1000</f>
        <v/>
      </c>
    </row>
    <row r="12" ht="40" customHeight="1" s="672">
      <c r="A12" s="643">
        <f>A11+1</f>
        <v/>
      </c>
      <c r="B12" s="644" t="n">
        <v>22</v>
      </c>
      <c r="C12" s="644" t="inlineStr">
        <is>
          <t xml:space="preserve">Hòa Phát </t>
        </is>
      </c>
      <c r="D12" s="643">
        <f>VLOOKUP(B12,TH_Thep_BQD_GLC!$E$6:$J$53,2,FALSE)</f>
        <v/>
      </c>
      <c r="E12" s="649">
        <f>VLOOKUP(B12,TH_Thep_BQD_GLC!$E$6:$J$53,6,FALSE)</f>
        <v/>
      </c>
      <c r="F12" s="650">
        <f>TH_Thep_BQD_GLC!U55</f>
        <v/>
      </c>
      <c r="G12" s="651">
        <f>F12*E12</f>
        <v/>
      </c>
      <c r="H12" s="652" t="n">
        <v>85</v>
      </c>
      <c r="I12" s="650">
        <f>H12*$D$3</f>
        <v/>
      </c>
      <c r="J12" s="653">
        <f>I12*E12/1000</f>
        <v/>
      </c>
    </row>
    <row r="13" ht="40" customHeight="1" s="672">
      <c r="A13" s="645" t="n"/>
      <c r="B13" s="646" t="n"/>
      <c r="C13" s="646" t="n"/>
      <c r="D13" s="647" t="inlineStr">
        <is>
          <t>TỔNG CỘNG</t>
        </is>
      </c>
      <c r="E13" s="654" t="n"/>
      <c r="F13" s="655">
        <f>SUM(F6:F12)</f>
        <v/>
      </c>
      <c r="G13" s="656">
        <f>SUM(G6:G12)</f>
        <v/>
      </c>
      <c r="H13" s="657">
        <f>SUM(H6:H12)</f>
        <v/>
      </c>
      <c r="I13" s="655">
        <f>SUM(I6:I12)</f>
        <v/>
      </c>
      <c r="J13" s="655">
        <f>SUM(J6:J12)</f>
        <v/>
      </c>
    </row>
  </sheetData>
  <mergeCells count="1">
    <mergeCell ref="A3:C4"/>
  </mergeCells>
  <pageMargins left="0.7" right="0.7" top="0.75" bottom="0.75" header="0.3" footer="0.3"/>
  <pageSetup orientation="landscape" paperSize="9" scale="83"/>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I119"/>
  <sheetViews>
    <sheetView workbookViewId="0">
      <pane ySplit="3" topLeftCell="A4" activePane="bottomLeft" state="frozen"/>
      <selection pane="bottomLeft" activeCell="A1" sqref="A1"/>
    </sheetView>
  </sheetViews>
  <sheetFormatPr baseColWidth="8" defaultRowHeight="15"/>
  <cols>
    <col width="6" customWidth="1" style="672" min="1" max="1"/>
    <col width="24" customWidth="1" style="672" min="2" max="2"/>
    <col width="7" customWidth="1" style="672" min="3" max="3"/>
    <col width="40" customWidth="1" style="672" min="4" max="4"/>
    <col width="90" customWidth="1" style="672" min="5" max="5"/>
    <col width="14" customWidth="1" style="672" min="6" max="6"/>
    <col width="16" customWidth="1" style="672" min="7" max="7"/>
    <col width="18" customWidth="1" style="672" min="8" max="8"/>
    <col width="16" customWidth="1" style="672" min="9" max="9"/>
  </cols>
  <sheetData>
    <row r="1">
      <c r="A1" s="746" t="inlineStr">
        <is>
          <t>NGHI VẤN TẦN SUẤT THÍ NGHIỆM — sửa theo bản vẽ thẩm định ngày 14/10/2026 (soát và ghim ở cột I)</t>
        </is>
      </c>
    </row>
    <row r="3">
      <c r="A3" s="747" t="inlineStr">
        <is>
          <t>STT</t>
        </is>
      </c>
      <c r="B3" s="747" t="inlineStr">
        <is>
          <t>Sheet</t>
        </is>
      </c>
      <c r="C3" s="747" t="inlineStr">
        <is>
          <t>Dòng</t>
        </is>
      </c>
      <c r="D3" s="747" t="inlineStr">
        <is>
          <t>Hạng mục</t>
        </is>
      </c>
      <c r="E3" s="747" t="inlineStr">
        <is>
          <t>Nội dung nghi vấn</t>
        </is>
      </c>
      <c r="F3" s="747" t="inlineStr">
        <is>
          <t>Giá trị cũ</t>
        </is>
      </c>
      <c r="G3" s="747" t="inlineStr">
        <is>
          <t>Giá trị mới</t>
        </is>
      </c>
      <c r="H3" s="747" t="inlineStr">
        <is>
          <t>Trang bản vẽ</t>
        </is>
      </c>
      <c r="I3" s="747" t="inlineStr">
        <is>
          <t>Đã soát / Ghim</t>
        </is>
      </c>
    </row>
    <row r="4">
      <c r="A4" s="748" t="n">
        <v>1</v>
      </c>
      <c r="B4" s="748" t="inlineStr">
        <is>
          <t>Theo_Doi_Tan_Suat_Be_Tong</t>
        </is>
      </c>
      <c r="C4" s="748" t="n">
        <v>4</v>
      </c>
      <c r="D4" s="748" t="inlineStr">
        <is>
          <t>Bê tông cọc khoan nhồi - C5 trụ T1 (L=40m)</t>
        </is>
      </c>
      <c r="E4" s="748" t="inlineStr">
        <is>
          <t>Bản vẽ: 47,01 → 45,88 m³ (tr.68 thể tích 1 cọc (đã gồm bê tông đầu cọc)). File cũ cộng thêm 1,13 m³ đập đầu cọc vào thể tích đã gồm đầu cọc. Cột 'KL thực tế': thay bằng phiếu đổ (có nở thành) khi có.</t>
        </is>
      </c>
      <c r="F4" s="748" t="inlineStr">
        <is>
          <t>47,01</t>
        </is>
      </c>
      <c r="G4" s="748" t="inlineStr">
        <is>
          <t>45,88</t>
        </is>
      </c>
      <c r="H4" s="748" t="inlineStr"/>
      <c r="I4" s="748" t="inlineStr"/>
    </row>
    <row r="5">
      <c r="A5" s="748" t="n">
        <v>2</v>
      </c>
      <c r="B5" s="748" t="inlineStr">
        <is>
          <t>Theo_Doi_Tan_Suat_Be_Tong</t>
        </is>
      </c>
      <c r="C5" s="748" t="n">
        <v>6</v>
      </c>
      <c r="D5" s="748" t="inlineStr">
        <is>
          <t>Bê tông cọc khoan nhồi - C1 trụ T1 (L=40m)</t>
        </is>
      </c>
      <c r="E5" s="748" t="inlineStr">
        <is>
          <t>Bản vẽ: 47,01 → 45,88 m³ (tr.68 thể tích 1 cọc (đã gồm bê tông đầu cọc)). File cũ cộng thêm 1,13 m³ đập đầu cọc vào thể tích đã gồm đầu cọc. Cột 'KL thực tế': thay bằng phiếu đổ (có nở thành) khi có.</t>
        </is>
      </c>
      <c r="F5" s="748" t="inlineStr">
        <is>
          <t>47,01</t>
        </is>
      </c>
      <c r="G5" s="748" t="inlineStr">
        <is>
          <t>45,88</t>
        </is>
      </c>
      <c r="H5" s="748" t="inlineStr"/>
      <c r="I5" s="748" t="inlineStr"/>
    </row>
    <row r="6">
      <c r="A6" s="748" t="n">
        <v>3</v>
      </c>
      <c r="B6" s="748" t="inlineStr">
        <is>
          <t>Theo_Doi_Tan_Suat_Be_Tong</t>
        </is>
      </c>
      <c r="C6" s="748" t="n">
        <v>8</v>
      </c>
      <c r="D6" s="748" t="inlineStr">
        <is>
          <t>Bê tông cọc khoan nhồi - C2 trụ T1 (L=40m)</t>
        </is>
      </c>
      <c r="E6" s="748" t="inlineStr">
        <is>
          <t>Bản vẽ: 47,01 → 45,88 m³ (tr.68 thể tích 1 cọc (đã gồm bê tông đầu cọc)). File cũ cộng thêm 1,13 m³ đập đầu cọc vào thể tích đã gồm đầu cọc. Cột 'KL thực tế': thay bằng phiếu đổ (có nở thành) khi có.</t>
        </is>
      </c>
      <c r="F6" s="748" t="inlineStr">
        <is>
          <t>47,01</t>
        </is>
      </c>
      <c r="G6" s="748" t="inlineStr">
        <is>
          <t>45,88</t>
        </is>
      </c>
      <c r="H6" s="748" t="inlineStr"/>
      <c r="I6" s="748" t="inlineStr"/>
    </row>
    <row r="7">
      <c r="A7" s="748" t="n">
        <v>4</v>
      </c>
      <c r="B7" s="748" t="inlineStr">
        <is>
          <t>Theo_Doi_Tan_Suat_Be_Tong</t>
        </is>
      </c>
      <c r="C7" s="748" t="n">
        <v>10</v>
      </c>
      <c r="D7" s="748" t="inlineStr">
        <is>
          <t>Bê tông cọc khoan nhồi - C3 trụ T1 (L=40m)</t>
        </is>
      </c>
      <c r="E7" s="748" t="inlineStr">
        <is>
          <t>Bản vẽ: 47,01 → 45,88 m³ (tr.68 thể tích 1 cọc (đã gồm bê tông đầu cọc)). File cũ cộng thêm 1,13 m³ đập đầu cọc vào thể tích đã gồm đầu cọc. Cột 'KL thực tế': thay bằng phiếu đổ (có nở thành) khi có.</t>
        </is>
      </c>
      <c r="F7" s="748" t="inlineStr">
        <is>
          <t>47,01</t>
        </is>
      </c>
      <c r="G7" s="748" t="inlineStr">
        <is>
          <t>45,88</t>
        </is>
      </c>
      <c r="H7" s="748" t="inlineStr"/>
      <c r="I7" s="748" t="inlineStr"/>
    </row>
    <row r="8">
      <c r="A8" s="748" t="n">
        <v>5</v>
      </c>
      <c r="B8" s="748" t="inlineStr">
        <is>
          <t>Theo_Doi_Tan_Suat_Be_Tong</t>
        </is>
      </c>
      <c r="C8" s="748" t="n">
        <v>12</v>
      </c>
      <c r="D8" s="748" t="inlineStr">
        <is>
          <t>Bê tông cọc khoan nhồi - C4 trụ T1 (L=40m)</t>
        </is>
      </c>
      <c r="E8" s="748" t="inlineStr">
        <is>
          <t>Bản vẽ: 47,01 → 45,88 m³ (tr.68 thể tích 1 cọc (đã gồm bê tông đầu cọc)). File cũ cộng thêm 1,13 m³ đập đầu cọc vào thể tích đã gồm đầu cọc. Cột 'KL thực tế': thay bằng phiếu đổ (có nở thành) khi có.</t>
        </is>
      </c>
      <c r="F8" s="748" t="inlineStr">
        <is>
          <t>47,01</t>
        </is>
      </c>
      <c r="G8" s="748" t="inlineStr">
        <is>
          <t>45,88</t>
        </is>
      </c>
      <c r="H8" s="748" t="inlineStr"/>
      <c r="I8" s="748" t="inlineStr"/>
    </row>
    <row r="9">
      <c r="A9" s="748" t="n">
        <v>6</v>
      </c>
      <c r="B9" s="748" t="inlineStr">
        <is>
          <t>Theo_Doi_Tan_Suat_Be_Tong</t>
        </is>
      </c>
      <c r="C9" s="748" t="n">
        <v>14</v>
      </c>
      <c r="D9" s="748" t="inlineStr">
        <is>
          <t>Bê tông cọc khoan nhồi - C6 trụ T1 (L=40m)</t>
        </is>
      </c>
      <c r="E9" s="748" t="inlineStr">
        <is>
          <t>Bản vẽ: 47,01 → 45,88 m³ (tr.68 thể tích 1 cọc (đã gồm bê tông đầu cọc)). File cũ cộng thêm 1,13 m³ đập đầu cọc vào thể tích đã gồm đầu cọc. Cột 'KL thực tế': thay bằng phiếu đổ (có nở thành) khi có.</t>
        </is>
      </c>
      <c r="F9" s="748" t="inlineStr">
        <is>
          <t>47,01</t>
        </is>
      </c>
      <c r="G9" s="748" t="inlineStr">
        <is>
          <t>45,88</t>
        </is>
      </c>
      <c r="H9" s="748" t="inlineStr"/>
      <c r="I9" s="748" t="inlineStr"/>
    </row>
    <row r="10">
      <c r="A10" s="748" t="n">
        <v>7</v>
      </c>
      <c r="B10" s="748" t="inlineStr">
        <is>
          <t>Theo_Doi_Tan_Suat_Be_Tong</t>
        </is>
      </c>
      <c r="C10" s="748" t="n">
        <v>16</v>
      </c>
      <c r="D10" s="748" t="inlineStr">
        <is>
          <t>Bê tông cọc khoan nhồi - C7 trụ T1 (L=40m)</t>
        </is>
      </c>
      <c r="E10" s="748" t="inlineStr">
        <is>
          <t>Bản vẽ: 47,01 → 45,88 m³ (tr.68 thể tích 1 cọc (đã gồm bê tông đầu cọc)). File cũ cộng thêm 1,13 m³ đập đầu cọc vào thể tích đã gồm đầu cọc. Cột 'KL thực tế': thay bằng phiếu đổ (có nở thành) khi có.</t>
        </is>
      </c>
      <c r="F10" s="748" t="inlineStr">
        <is>
          <t>47,01</t>
        </is>
      </c>
      <c r="G10" s="748" t="inlineStr">
        <is>
          <t>45,88</t>
        </is>
      </c>
      <c r="H10" s="748" t="inlineStr"/>
      <c r="I10" s="748" t="inlineStr"/>
    </row>
    <row r="11">
      <c r="A11" s="748" t="n">
        <v>8</v>
      </c>
      <c r="B11" s="748" t="inlineStr">
        <is>
          <t>Theo_Doi_Tan_Suat_Be_Tong</t>
        </is>
      </c>
      <c r="C11" s="748" t="n">
        <v>18</v>
      </c>
      <c r="D11" s="748" t="inlineStr">
        <is>
          <t>Bê tông cọc khoan nhồi - C8 trụ T1 (L=40m)</t>
        </is>
      </c>
      <c r="E11" s="748" t="inlineStr">
        <is>
          <t>Bản vẽ: 47,01 → 45,88 m³ (tr.68 thể tích 1 cọc (đã gồm bê tông đầu cọc)). File cũ cộng thêm 1,13 m³ đập đầu cọc vào thể tích đã gồm đầu cọc. Cột 'KL thực tế': thay bằng phiếu đổ (có nở thành) khi có.</t>
        </is>
      </c>
      <c r="F11" s="748" t="inlineStr">
        <is>
          <t>47,01</t>
        </is>
      </c>
      <c r="G11" s="748" t="inlineStr">
        <is>
          <t>45,88</t>
        </is>
      </c>
      <c r="H11" s="748" t="inlineStr"/>
      <c r="I11" s="748" t="inlineStr"/>
    </row>
    <row r="12">
      <c r="A12" s="748" t="n">
        <v>9</v>
      </c>
      <c r="B12" s="748" t="inlineStr">
        <is>
          <t>Theo_Doi_Tan_Suat_Be_Tong</t>
        </is>
      </c>
      <c r="C12" s="748" t="n">
        <v>5</v>
      </c>
      <c r="D12" s="748" t="inlineStr">
        <is>
          <t>Bê tông cọc khoan nhồi - C8 trụ T2 (L=30m)</t>
        </is>
      </c>
      <c r="E12" s="748" t="inlineStr">
        <is>
          <t>Bản vẽ: 35,86 → 34,73 m³ (tr.70 thể tích 1 cọc (đã gồm bê tông đầu cọc)). File cũ cộng thêm 1,13 m³ đập đầu cọc. Thay bằng phiếu đổ thực tế khi có.</t>
        </is>
      </c>
      <c r="F12" s="748" t="inlineStr">
        <is>
          <t>35,86</t>
        </is>
      </c>
      <c r="G12" s="748" t="inlineStr">
        <is>
          <t>34,73</t>
        </is>
      </c>
      <c r="H12" s="748" t="inlineStr"/>
      <c r="I12" s="748" t="inlineStr"/>
    </row>
    <row r="13">
      <c r="A13" s="748" t="n">
        <v>10</v>
      </c>
      <c r="B13" s="748" t="inlineStr">
        <is>
          <t>Theo_Doi_Tan_Suat_Be_Tong</t>
        </is>
      </c>
      <c r="C13" s="748" t="n">
        <v>7</v>
      </c>
      <c r="D13" s="748" t="inlineStr">
        <is>
          <t>Bê tông cọc khoan nhồi - C7 trụ T2 (L=30m)</t>
        </is>
      </c>
      <c r="E13" s="748" t="inlineStr">
        <is>
          <t>Bản vẽ: 35,86 → 34,73 m³ (tr.70 thể tích 1 cọc (đã gồm bê tông đầu cọc)). File cũ cộng thêm 1,13 m³ đập đầu cọc. Thay bằng phiếu đổ thực tế khi có.</t>
        </is>
      </c>
      <c r="F13" s="748" t="inlineStr">
        <is>
          <t>35,86</t>
        </is>
      </c>
      <c r="G13" s="748" t="inlineStr">
        <is>
          <t>34,73</t>
        </is>
      </c>
      <c r="H13" s="748" t="inlineStr"/>
      <c r="I13" s="748" t="inlineStr"/>
    </row>
    <row r="14">
      <c r="A14" s="748" t="n">
        <v>11</v>
      </c>
      <c r="B14" s="748" t="inlineStr">
        <is>
          <t>Theo_Doi_Tan_Suat_Be_Tong</t>
        </is>
      </c>
      <c r="C14" s="748" t="n">
        <v>9</v>
      </c>
      <c r="D14" s="748" t="inlineStr">
        <is>
          <t>Bê tông cọc khoan nhồi - C6 trụ T2 (L=30m)</t>
        </is>
      </c>
      <c r="E14" s="748" t="inlineStr">
        <is>
          <t>Bản vẽ: 35,86 → 34,73 m³ (tr.70 thể tích 1 cọc (đã gồm bê tông đầu cọc)). File cũ cộng thêm 1,13 m³ đập đầu cọc. Thay bằng phiếu đổ thực tế khi có.</t>
        </is>
      </c>
      <c r="F14" s="748" t="inlineStr">
        <is>
          <t>35,86</t>
        </is>
      </c>
      <c r="G14" s="748" t="inlineStr">
        <is>
          <t>34,73</t>
        </is>
      </c>
      <c r="H14" s="748" t="inlineStr"/>
      <c r="I14" s="748" t="inlineStr"/>
    </row>
    <row r="15">
      <c r="A15" s="748" t="n">
        <v>12</v>
      </c>
      <c r="B15" s="748" t="inlineStr">
        <is>
          <t>Theo_Doi_Tan_Suat_Be_Tong</t>
        </is>
      </c>
      <c r="C15" s="748" t="n">
        <v>11</v>
      </c>
      <c r="D15" s="748" t="inlineStr">
        <is>
          <t>Bê tông cọc khoan nhồi - C5 trụ T2 (L=30m)</t>
        </is>
      </c>
      <c r="E15" s="748" t="inlineStr">
        <is>
          <t>Bản vẽ: 35,86 → 34,73 m³ (tr.70 thể tích 1 cọc (đã gồm bê tông đầu cọc)). File cũ cộng thêm 1,13 m³ đập đầu cọc. Thay bằng phiếu đổ thực tế khi có.</t>
        </is>
      </c>
      <c r="F15" s="748" t="inlineStr">
        <is>
          <t>35,86</t>
        </is>
      </c>
      <c r="G15" s="748" t="inlineStr">
        <is>
          <t>34,73</t>
        </is>
      </c>
      <c r="H15" s="748" t="inlineStr"/>
      <c r="I15" s="748" t="inlineStr"/>
    </row>
    <row r="16">
      <c r="A16" s="748" t="n">
        <v>13</v>
      </c>
      <c r="B16" s="748" t="inlineStr">
        <is>
          <t>Theo_Doi_Tan_Suat_Be_Tong</t>
        </is>
      </c>
      <c r="C16" s="748" t="n">
        <v>13</v>
      </c>
      <c r="D16" s="748" t="inlineStr">
        <is>
          <t>Bê tông cọc khoan nhồi - C4 trụ T2 (L=30m)</t>
        </is>
      </c>
      <c r="E16" s="748" t="inlineStr">
        <is>
          <t>Bản vẽ: 35,86 → 34,73 m³ (tr.70 thể tích 1 cọc (đã gồm bê tông đầu cọc)). File cũ cộng thêm 1,13 m³ đập đầu cọc. Thay bằng phiếu đổ thực tế khi có.</t>
        </is>
      </c>
      <c r="F16" s="748" t="inlineStr">
        <is>
          <t>35,86</t>
        </is>
      </c>
      <c r="G16" s="748" t="inlineStr">
        <is>
          <t>34,73</t>
        </is>
      </c>
      <c r="H16" s="748" t="inlineStr"/>
      <c r="I16" s="748" t="inlineStr"/>
    </row>
    <row r="17">
      <c r="A17" s="748" t="n">
        <v>14</v>
      </c>
      <c r="B17" s="748" t="inlineStr">
        <is>
          <t>Theo_Doi_Tan_Suat_Be_Tong</t>
        </is>
      </c>
      <c r="C17" s="748" t="n">
        <v>15</v>
      </c>
      <c r="D17" s="748" t="inlineStr">
        <is>
          <t>Bê tông cọc khoan nhồi - C3 trụ T2 (L=30m)</t>
        </is>
      </c>
      <c r="E17" s="748" t="inlineStr">
        <is>
          <t>Bản vẽ: 35,86 → 34,73 m³ (tr.70 thể tích 1 cọc (đã gồm bê tông đầu cọc)). File cũ cộng thêm 1,13 m³ đập đầu cọc. Thay bằng phiếu đổ thực tế khi có.</t>
        </is>
      </c>
      <c r="F17" s="748" t="inlineStr">
        <is>
          <t>35,86</t>
        </is>
      </c>
      <c r="G17" s="748" t="inlineStr">
        <is>
          <t>34,73</t>
        </is>
      </c>
      <c r="H17" s="748" t="inlineStr"/>
      <c r="I17" s="748" t="inlineStr"/>
    </row>
    <row r="18">
      <c r="A18" s="748" t="n">
        <v>15</v>
      </c>
      <c r="B18" s="748" t="inlineStr">
        <is>
          <t>Theo_Doi_Tan_Suat_Be_Tong</t>
        </is>
      </c>
      <c r="C18" s="748" t="n">
        <v>17</v>
      </c>
      <c r="D18" s="748" t="inlineStr">
        <is>
          <t>Bê tông cọc khoan nhồi - C2 trụ T2 (L=30m)</t>
        </is>
      </c>
      <c r="E18" s="748" t="inlineStr">
        <is>
          <t>Bản vẽ: 35,86 → 34,73 m³ (tr.70 thể tích 1 cọc (đã gồm bê tông đầu cọc)). File cũ cộng thêm 1,13 m³ đập đầu cọc. Thay bằng phiếu đổ thực tế khi có.</t>
        </is>
      </c>
      <c r="F18" s="748" t="inlineStr">
        <is>
          <t>35,86</t>
        </is>
      </c>
      <c r="G18" s="748" t="inlineStr">
        <is>
          <t>34,73</t>
        </is>
      </c>
      <c r="H18" s="748" t="inlineStr"/>
      <c r="I18" s="748" t="inlineStr"/>
    </row>
    <row r="19">
      <c r="A19" s="748" t="n">
        <v>16</v>
      </c>
      <c r="B19" s="748" t="inlineStr">
        <is>
          <t>Theo_Doi_Tan_Suat_Be_Tong</t>
        </is>
      </c>
      <c r="C19" s="748" t="n">
        <v>19</v>
      </c>
      <c r="D19" s="748" t="inlineStr">
        <is>
          <t>Bê tông cọc khoan nhồi - C1 trụ T2 (L=30m)</t>
        </is>
      </c>
      <c r="E19" s="748" t="inlineStr">
        <is>
          <t>Bản vẽ: 35,86 → 34,73 m³ (tr.70 thể tích 1 cọc (đã gồm bê tông đầu cọc)). File cũ cộng thêm 1,13 m³ đập đầu cọc. Thay bằng phiếu đổ thực tế khi có.</t>
        </is>
      </c>
      <c r="F19" s="748" t="inlineStr">
        <is>
          <t>35,86</t>
        </is>
      </c>
      <c r="G19" s="748" t="inlineStr">
        <is>
          <t>34,73</t>
        </is>
      </c>
      <c r="H19" s="748" t="inlineStr"/>
      <c r="I19" s="748" t="inlineStr"/>
    </row>
    <row r="20">
      <c r="A20" s="748" t="n">
        <v>17</v>
      </c>
      <c r="B20" s="748" t="inlineStr">
        <is>
          <t>Theo_Doi_Tan_Suat_Be_Tong</t>
        </is>
      </c>
      <c r="C20" s="748" t="n">
        <v>27</v>
      </c>
      <c r="D20" s="748" t="inlineStr">
        <is>
          <t>Bê tông cọc khoan nhồi - C3 mố M1 (L=20m)</t>
        </is>
      </c>
      <c r="E20" s="748" t="inlineStr">
        <is>
          <t>Bản vẽ: 24,71 → 23,58 m³ (tr.64 thể tích 1 cọc (đã gồm bê tông đầu cọc)). File cũ cộng thêm 1,13 m³ đập đầu cọc. Thay bằng phiếu đổ thực tế khi có.</t>
        </is>
      </c>
      <c r="F20" s="748" t="inlineStr">
        <is>
          <t>24,71</t>
        </is>
      </c>
      <c r="G20" s="748" t="inlineStr">
        <is>
          <t>23,58</t>
        </is>
      </c>
      <c r="H20" s="748" t="inlineStr"/>
      <c r="I20" s="748" t="inlineStr"/>
    </row>
    <row r="21">
      <c r="A21" s="748" t="n">
        <v>18</v>
      </c>
      <c r="B21" s="748" t="inlineStr">
        <is>
          <t>Theo_Doi_Tan_Suat_Be_Tong</t>
        </is>
      </c>
      <c r="C21" s="748" t="n">
        <v>28</v>
      </c>
      <c r="D21" s="748" t="inlineStr">
        <is>
          <t>Bê tông cọc khoan nhồi - C1 mố M1 (L=20m)</t>
        </is>
      </c>
      <c r="E21" s="748" t="inlineStr">
        <is>
          <t>Bản vẽ: 24,71 → 23,58 m³ (tr.64 thể tích 1 cọc (đã gồm bê tông đầu cọc)). File cũ cộng thêm 1,13 m³ đập đầu cọc. Thay bằng phiếu đổ thực tế khi có.</t>
        </is>
      </c>
      <c r="F21" s="748" t="inlineStr">
        <is>
          <t>24,71</t>
        </is>
      </c>
      <c r="G21" s="748" t="inlineStr">
        <is>
          <t>23,58</t>
        </is>
      </c>
      <c r="H21" s="748" t="inlineStr"/>
      <c r="I21" s="748" t="inlineStr"/>
    </row>
    <row r="22">
      <c r="A22" s="748" t="n">
        <v>19</v>
      </c>
      <c r="B22" s="748" t="inlineStr">
        <is>
          <t>Theo_Doi_Tan_Suat_Be_Tong</t>
        </is>
      </c>
      <c r="C22" s="748" t="n">
        <v>29</v>
      </c>
      <c r="D22" s="748" t="inlineStr">
        <is>
          <t>Bê tông cọc khoan nhồi - C2 mố M1 (L=20m)</t>
        </is>
      </c>
      <c r="E22" s="748" t="inlineStr">
        <is>
          <t>Bản vẽ: 24,71 → 23,58 m³ (tr.64 thể tích 1 cọc (đã gồm bê tông đầu cọc)). File cũ cộng thêm 1,13 m³ đập đầu cọc. Thay bằng phiếu đổ thực tế khi có.</t>
        </is>
      </c>
      <c r="F22" s="748" t="inlineStr">
        <is>
          <t>24,71</t>
        </is>
      </c>
      <c r="G22" s="748" t="inlineStr">
        <is>
          <t>23,58</t>
        </is>
      </c>
      <c r="H22" s="748" t="inlineStr"/>
      <c r="I22" s="748" t="inlineStr"/>
    </row>
    <row r="23">
      <c r="A23" s="748" t="n">
        <v>20</v>
      </c>
      <c r="B23" s="748" t="inlineStr">
        <is>
          <t>Theo_Doi_Tan_Suat_Be_Tong</t>
        </is>
      </c>
      <c r="C23" s="748" t="n">
        <v>20</v>
      </c>
      <c r="D23" s="748" t="inlineStr">
        <is>
          <t>Bê tông cọc khoan nhồi - C7 mố M2 (L=36m)</t>
        </is>
      </c>
      <c r="E23" s="748" t="inlineStr">
        <is>
          <t>Bản vẽ: 42,83 → 41,56 m³ (tr.66 thể tích 1 cọc (đã gồm bê tông đầu cọc)). File cũ cộng thêm 1,27 m³ đập đầu cọc. Thay bằng phiếu đổ thực tế khi có.</t>
        </is>
      </c>
      <c r="F23" s="748" t="inlineStr">
        <is>
          <t>42,83</t>
        </is>
      </c>
      <c r="G23" s="748" t="inlineStr">
        <is>
          <t>41,56</t>
        </is>
      </c>
      <c r="H23" s="748" t="inlineStr"/>
      <c r="I23" s="748" t="inlineStr"/>
    </row>
    <row r="24">
      <c r="A24" s="748" t="n">
        <v>21</v>
      </c>
      <c r="B24" s="748" t="inlineStr">
        <is>
          <t>Theo_Doi_Tan_Suat_Be_Tong</t>
        </is>
      </c>
      <c r="C24" s="748" t="n">
        <v>21</v>
      </c>
      <c r="D24" s="748" t="inlineStr">
        <is>
          <t>Bê tông cọc khoan nhồi - C5 mố M2 (L=36m)</t>
        </is>
      </c>
      <c r="E24" s="748" t="inlineStr">
        <is>
          <t>Bản vẽ: 42,83 → 41,56 m³ (tr.66 thể tích 1 cọc (đã gồm bê tông đầu cọc)). File cũ cộng thêm 1,27 m³ đập đầu cọc. Thay bằng phiếu đổ thực tế khi có.</t>
        </is>
      </c>
      <c r="F24" s="748" t="inlineStr">
        <is>
          <t>42,83</t>
        </is>
      </c>
      <c r="G24" s="748" t="inlineStr">
        <is>
          <t>41,56</t>
        </is>
      </c>
      <c r="H24" s="748" t="inlineStr"/>
      <c r="I24" s="748" t="inlineStr"/>
    </row>
    <row r="25">
      <c r="A25" s="748" t="n">
        <v>22</v>
      </c>
      <c r="B25" s="748" t="inlineStr">
        <is>
          <t>Theo_Doi_Tan_Suat_Be_Tong</t>
        </is>
      </c>
      <c r="C25" s="748" t="n">
        <v>22</v>
      </c>
      <c r="D25" s="748" t="inlineStr">
        <is>
          <t>Bê tông cọc khoan nhồi - C3 mố M2 (L=36m)</t>
        </is>
      </c>
      <c r="E25" s="748" t="inlineStr">
        <is>
          <t>Bản vẽ: 42,83 → 41,56 m³ (tr.66 thể tích 1 cọc (đã gồm bê tông đầu cọc)). File cũ cộng thêm 1,27 m³ đập đầu cọc. Thay bằng phiếu đổ thực tế khi có.</t>
        </is>
      </c>
      <c r="F25" s="748" t="inlineStr">
        <is>
          <t>42,83</t>
        </is>
      </c>
      <c r="G25" s="748" t="inlineStr">
        <is>
          <t>41,56</t>
        </is>
      </c>
      <c r="H25" s="748" t="inlineStr"/>
      <c r="I25" s="748" t="inlineStr"/>
    </row>
    <row r="26">
      <c r="A26" s="748" t="n">
        <v>23</v>
      </c>
      <c r="B26" s="748" t="inlineStr">
        <is>
          <t>Theo_Doi_Tan_Suat_Be_Tong</t>
        </is>
      </c>
      <c r="C26" s="748" t="n">
        <v>23</v>
      </c>
      <c r="D26" s="748" t="inlineStr">
        <is>
          <t>Bê tông cọc khoan nhồi - C4 mố M2 (L=36m)</t>
        </is>
      </c>
      <c r="E26" s="748" t="inlineStr">
        <is>
          <t>Bản vẽ: 42,83 → 41,56 m³ (tr.66 thể tích 1 cọc (đã gồm bê tông đầu cọc)). File cũ cộng thêm 1,27 m³ đập đầu cọc. Thay bằng phiếu đổ thực tế khi có.</t>
        </is>
      </c>
      <c r="F26" s="748" t="inlineStr">
        <is>
          <t>42,83</t>
        </is>
      </c>
      <c r="G26" s="748" t="inlineStr">
        <is>
          <t>41,56</t>
        </is>
      </c>
      <c r="H26" s="748" t="inlineStr"/>
      <c r="I26" s="748" t="inlineStr"/>
    </row>
    <row r="27">
      <c r="A27" s="748" t="n">
        <v>24</v>
      </c>
      <c r="B27" s="748" t="inlineStr">
        <is>
          <t>Theo_Doi_Tan_Suat_Be_Tong</t>
        </is>
      </c>
      <c r="C27" s="748" t="n">
        <v>24</v>
      </c>
      <c r="D27" s="748" t="inlineStr">
        <is>
          <t>Bê tông cọc khoan nhồi - C6 mố M2 (L=36m)</t>
        </is>
      </c>
      <c r="E27" s="748" t="inlineStr">
        <is>
          <t>Bản vẽ: 42,83 → 41,56 m³ (tr.66 thể tích 1 cọc (đã gồm bê tông đầu cọc)). File cũ cộng thêm 1,27 m³ đập đầu cọc. Thay bằng phiếu đổ thực tế khi có.</t>
        </is>
      </c>
      <c r="F27" s="748" t="inlineStr">
        <is>
          <t>42,83</t>
        </is>
      </c>
      <c r="G27" s="748" t="inlineStr">
        <is>
          <t>41,56</t>
        </is>
      </c>
      <c r="H27" s="748" t="inlineStr"/>
      <c r="I27" s="748" t="inlineStr"/>
    </row>
    <row r="28">
      <c r="A28" s="748" t="n">
        <v>25</v>
      </c>
      <c r="B28" s="748" t="inlineStr">
        <is>
          <t>Theo_Doi_Tan_Suat_Be_Tong</t>
        </is>
      </c>
      <c r="C28" s="748" t="n">
        <v>25</v>
      </c>
      <c r="D28" s="748" t="inlineStr">
        <is>
          <t>Bê tông cọc khoan nhồi - C1 mố M2 (L=36m)</t>
        </is>
      </c>
      <c r="E28" s="748" t="inlineStr">
        <is>
          <t>Bản vẽ: 42,83 → 41,56 m³ (tr.66 thể tích 1 cọc (đã gồm bê tông đầu cọc)). File cũ cộng thêm 1,27 m³ đập đầu cọc. Thay bằng phiếu đổ thực tế khi có.</t>
        </is>
      </c>
      <c r="F28" s="748" t="inlineStr">
        <is>
          <t>42,83</t>
        </is>
      </c>
      <c r="G28" s="748" t="inlineStr">
        <is>
          <t>41,56</t>
        </is>
      </c>
      <c r="H28" s="748" t="inlineStr"/>
      <c r="I28" s="748" t="inlineStr"/>
    </row>
    <row r="29">
      <c r="A29" s="748" t="n">
        <v>26</v>
      </c>
      <c r="B29" s="748" t="inlineStr">
        <is>
          <t>Theo_Doi_Tan_Suat_Be_Tong</t>
        </is>
      </c>
      <c r="C29" s="748" t="n">
        <v>26</v>
      </c>
      <c r="D29" s="748" t="inlineStr">
        <is>
          <t>Bê tông cọc khoan nhồi - C2 mố M2 (L=36m)</t>
        </is>
      </c>
      <c r="E29" s="748" t="inlineStr">
        <is>
          <t>Bản vẽ: 42,83 → 41,56 m³ (tr.66 thể tích 1 cọc (đã gồm bê tông đầu cọc)). File cũ cộng thêm 1,27 m³ đập đầu cọc. Thay bằng phiếu đổ thực tế khi có.</t>
        </is>
      </c>
      <c r="F29" s="748" t="inlineStr">
        <is>
          <t>42,83</t>
        </is>
      </c>
      <c r="G29" s="748" t="inlineStr">
        <is>
          <t>41,56</t>
        </is>
      </c>
      <c r="H29" s="748" t="inlineStr"/>
      <c r="I29" s="748" t="inlineStr"/>
    </row>
    <row r="30">
      <c r="A30" s="748" t="n">
        <v>27</v>
      </c>
      <c r="B30" s="748" t="inlineStr">
        <is>
          <t>Theo_Doi_Tan_Suat_Be_Tong</t>
        </is>
      </c>
      <c r="C30" s="748" t="n">
        <v>36</v>
      </c>
      <c r="D30" s="748" t="inlineStr">
        <is>
          <t>Bê tông lót móng bệ trụ T2 (M100 đá 4x6)</t>
        </is>
      </c>
      <c r="E30" s="748" t="inlineStr">
        <is>
          <t>Bản vẽ: 12,50 → 8,77 m³ (tr.55 bê tông đệm C10)</t>
        </is>
      </c>
      <c r="F30" s="748" t="inlineStr">
        <is>
          <t>12,50</t>
        </is>
      </c>
      <c r="G30" s="748" t="inlineStr">
        <is>
          <t>8,77</t>
        </is>
      </c>
      <c r="H30" s="748" t="inlineStr"/>
      <c r="I30" s="748" t="inlineStr"/>
    </row>
    <row r="31">
      <c r="A31" s="748" t="n">
        <v>28</v>
      </c>
      <c r="B31" s="748" t="inlineStr">
        <is>
          <t>Theo_Doi_Tan_Suat_Be_Tong</t>
        </is>
      </c>
      <c r="C31" s="748" t="n">
        <v>39</v>
      </c>
      <c r="D31" s="748" t="inlineStr">
        <is>
          <t>Bê tông lót móng bệ mố M2 (M100 đá 4x6)</t>
        </is>
      </c>
      <c r="E31" s="748" t="inlineStr">
        <is>
          <t>Bản vẽ: 9,55 → 7,09 m³ (tr.40 bê tông đệm C10). File cũ 9,55 m³ là tổng đệm của CẢ 2 mố (tr.175).</t>
        </is>
      </c>
      <c r="F31" s="748" t="inlineStr">
        <is>
          <t>9,55</t>
        </is>
      </c>
      <c r="G31" s="748" t="inlineStr">
        <is>
          <t>7,09</t>
        </is>
      </c>
      <c r="H31" s="748" t="inlineStr"/>
      <c r="I31" s="748" t="inlineStr"/>
    </row>
    <row r="32">
      <c r="A32" s="748" t="n">
        <v>29</v>
      </c>
      <c r="B32" s="748" t="inlineStr">
        <is>
          <t>Theo_Doi_Tan_Suat_Be_Tong</t>
        </is>
      </c>
      <c r="C32" s="748" t="n">
        <v>50</v>
      </c>
      <c r="D32" s="748" t="inlineStr">
        <is>
          <t>Bê tông tường thân mố M1 - Đợt 1 (C30 đá 1x2)</t>
        </is>
      </c>
      <c r="E32" s="748" t="inlineStr">
        <is>
          <t>Bản vẽ: 45,00 → 0,00 m³ (trùng với dòng 'tường thân mố M1' phía trên). Tường thân mố M1 đã tính ở dòng 'thân mố M1' (52,96 m³ = tr.31). Hai dòng đợt 1/2 (45 + 39,44 m³, giống số của mố M2) bị tính trùng — để 0. Nếu đổ 2 đợt thì chia 52,96 m³ lại.</t>
        </is>
      </c>
      <c r="F32" s="748" t="inlineStr">
        <is>
          <t>45,00</t>
        </is>
      </c>
      <c r="G32" s="748" t="inlineStr">
        <is>
          <t>0,00</t>
        </is>
      </c>
      <c r="H32" s="748" t="inlineStr"/>
      <c r="I32" s="748" t="inlineStr"/>
    </row>
    <row r="33">
      <c r="A33" s="748" t="n">
        <v>30</v>
      </c>
      <c r="B33" s="748" t="inlineStr">
        <is>
          <t>Theo_Doi_Tan_Suat_Be_Tong</t>
        </is>
      </c>
      <c r="C33" s="748" t="n">
        <v>51</v>
      </c>
      <c r="D33" s="748" t="inlineStr">
        <is>
          <t>Bê tông tường thân mố M1 - Đợt 2 (C30 đá 1x2)</t>
        </is>
      </c>
      <c r="E33" s="748" t="inlineStr">
        <is>
          <t>Bản vẽ: 39,44 → 0,00 m³ (trùng với dòng 'tường thân mố M1' phía trên). Tường thân mố M1 đã tính ở dòng 'thân mố M1' (52,96 m³ = tr.31). Hai dòng đợt 1/2 (45 + 39,44 m³, giống số của mố M2) bị tính trùng — để 0. Nếu đổ 2 đợt thì chia 52,96 m³ lại.</t>
        </is>
      </c>
      <c r="F33" s="748" t="inlineStr">
        <is>
          <t>39,44</t>
        </is>
      </c>
      <c r="G33" s="748" t="inlineStr">
        <is>
          <t>0,00</t>
        </is>
      </c>
      <c r="H33" s="748" t="inlineStr"/>
      <c r="I33" s="748" t="inlineStr"/>
    </row>
    <row r="34">
      <c r="A34" s="748" t="n">
        <v>31</v>
      </c>
      <c r="B34" s="748" t="inlineStr">
        <is>
          <t>Theo_Doi_Tan_Suat_Be_Tong</t>
        </is>
      </c>
      <c r="C34" s="748" t="n">
        <v>52</v>
      </c>
      <c r="D34" s="748" t="inlineStr">
        <is>
          <t>Bê tông tường đỉnh mố M1 &amp; đá kê gối (C30)</t>
        </is>
      </c>
      <c r="E34" s="748" t="inlineStr">
        <is>
          <t>Bản vẽ: 14,33 → 14,23 m³ (tr.31 tường đỉnh mố M1)</t>
        </is>
      </c>
      <c r="F34" s="748" t="inlineStr">
        <is>
          <t>14,33</t>
        </is>
      </c>
      <c r="G34" s="748" t="inlineStr">
        <is>
          <t>14,23</t>
        </is>
      </c>
      <c r="H34" s="748" t="inlineStr"/>
      <c r="I34" s="748" t="inlineStr"/>
    </row>
    <row r="35">
      <c r="A35" s="748" t="n">
        <v>32</v>
      </c>
      <c r="B35" s="748" t="inlineStr">
        <is>
          <t>Theo_Doi_Tan_Suat_Be_Tong</t>
        </is>
      </c>
      <c r="C35" s="748" t="n">
        <v>53</v>
      </c>
      <c r="D35" s="748" t="inlineStr">
        <is>
          <t>Bê tông tường cánh, gờ lan can, ụ chống chuyển vị, tường tai mố M1 (C30)</t>
        </is>
      </c>
      <c r="E35" s="748" t="inlineStr">
        <is>
          <t>Bản vẽ: 10,13 → 7,93 m³ (tr.31 tường cánh 3,45 + gờ lan can/ụ chống chuyển vị/tường tai 4,48). Gộp 'gờ lan can, ụ chống chuyển vị, tường tai' (tr.31) vào dòng tường cánh vì file chưa có dòng riêng.</t>
        </is>
      </c>
      <c r="F35" s="748" t="inlineStr">
        <is>
          <t>10,13</t>
        </is>
      </c>
      <c r="G35" s="748" t="inlineStr">
        <is>
          <t>7,93</t>
        </is>
      </c>
      <c r="H35" s="748" t="inlineStr"/>
      <c r="I35" s="748" t="inlineStr"/>
    </row>
    <row r="36">
      <c r="A36" s="748" t="n">
        <v>33</v>
      </c>
      <c r="B36" s="748" t="inlineStr">
        <is>
          <t>Theo_Doi_Tan_Suat_Be_Tong</t>
        </is>
      </c>
      <c r="C36" s="748" t="n">
        <v>54</v>
      </c>
      <c r="D36" s="748" t="inlineStr">
        <is>
          <t>Bê tông tường thân mố M2 - Đợt 1 (C30 đá 1x2)</t>
        </is>
      </c>
      <c r="E36" s="748" t="inlineStr">
        <is>
          <t>Bản vẽ: 45,00 → 61,77 m³ (tr.40 tường thân mố M2, chia theo tỷ lệ 2 đợt cũ). Bản vẽ 115,91 m³ (file cũ 84,44 m³) — chia 2 đợt theo tỷ lệ cũ; xác nhận cao độ mạch ngừng.</t>
        </is>
      </c>
      <c r="F36" s="748" t="inlineStr">
        <is>
          <t>45,00</t>
        </is>
      </c>
      <c r="G36" s="748" t="inlineStr">
        <is>
          <t>61,77</t>
        </is>
      </c>
      <c r="H36" s="748" t="inlineStr"/>
      <c r="I36" s="748" t="inlineStr"/>
    </row>
    <row r="37">
      <c r="A37" s="748" t="n">
        <v>34</v>
      </c>
      <c r="B37" s="748" t="inlineStr">
        <is>
          <t>Theo_Doi_Tan_Suat_Be_Tong</t>
        </is>
      </c>
      <c r="C37" s="748" t="n">
        <v>55</v>
      </c>
      <c r="D37" s="748" t="inlineStr">
        <is>
          <t>Bê tông tường thân mố M2 - Đợt 2 (C30 đá 1x2)</t>
        </is>
      </c>
      <c r="E37" s="748" t="inlineStr">
        <is>
          <t>Bản vẽ: 39,44 → 54,14 m³ (tr.40 tường thân mố M2, chia theo tỷ lệ 2 đợt cũ). Bản vẽ 115,91 m³ (file cũ 84,44 m³) — chia 2 đợt theo tỷ lệ cũ; xác nhận cao độ mạch ngừng.</t>
        </is>
      </c>
      <c r="F37" s="748" t="inlineStr">
        <is>
          <t>39,44</t>
        </is>
      </c>
      <c r="G37" s="748" t="inlineStr">
        <is>
          <t>54,14</t>
        </is>
      </c>
      <c r="H37" s="748" t="inlineStr"/>
      <c r="I37" s="748" t="inlineStr"/>
    </row>
    <row r="38">
      <c r="A38" s="748" t="n">
        <v>35</v>
      </c>
      <c r="B38" s="748" t="inlineStr">
        <is>
          <t>Theo_Doi_Tan_Suat_Be_Tong</t>
        </is>
      </c>
      <c r="C38" s="748" t="n">
        <v>56</v>
      </c>
      <c r="D38" s="748" t="inlineStr">
        <is>
          <t>Bê tông tường đỉnh mố M2 &amp; đá kê gối (C30)</t>
        </is>
      </c>
      <c r="E38" s="748" t="inlineStr">
        <is>
          <t>Bản vẽ: 14,33 → 14,43 m³ (tr.40 tường đỉnh mố M2)</t>
        </is>
      </c>
      <c r="F38" s="748" t="inlineStr">
        <is>
          <t>14,33</t>
        </is>
      </c>
      <c r="G38" s="748" t="inlineStr">
        <is>
          <t>14,43</t>
        </is>
      </c>
      <c r="H38" s="748" t="inlineStr"/>
      <c r="I38" s="748" t="inlineStr"/>
    </row>
    <row r="39">
      <c r="A39" s="748" t="n">
        <v>36</v>
      </c>
      <c r="B39" s="748" t="inlineStr">
        <is>
          <t>Theo_Doi_Tan_Suat_Be_Tong</t>
        </is>
      </c>
      <c r="C39" s="748" t="n">
        <v>57</v>
      </c>
      <c r="D39" s="748" t="inlineStr">
        <is>
          <t>Bê tông tường cánh, gờ lan can, ụ chống chuyển vị, tường tai mố M2 (C30)</t>
        </is>
      </c>
      <c r="E39" s="748" t="inlineStr">
        <is>
          <t>Bản vẽ: 10,13 → 21,91 m³ (tr.40 tường cánh 16,81 + gờ lan can/ụ chống chuyển vị/tường tai 5,10). Gộp 'gờ lan can, ụ chống chuyển vị, tường tai' (tr.40) vào dòng tường cánh.</t>
        </is>
      </c>
      <c r="F39" s="748" t="inlineStr">
        <is>
          <t>10,13</t>
        </is>
      </c>
      <c r="G39" s="748" t="inlineStr">
        <is>
          <t>21,91</t>
        </is>
      </c>
      <c r="H39" s="748" t="inlineStr"/>
      <c r="I39" s="748" t="inlineStr"/>
    </row>
    <row r="40">
      <c r="A40" s="748" t="n">
        <v>37</v>
      </c>
      <c r="B40" s="748" t="inlineStr">
        <is>
          <t>Theo_Doi_Tan_Suat_Be_Tong</t>
        </is>
      </c>
      <c r="C40" s="748" t="n">
        <v>42</v>
      </c>
      <c r="D40" s="748" t="inlineStr">
        <is>
          <t>Bê tông thân trụ T1 - Đốt 1 (C30 đá 1x2)</t>
        </is>
      </c>
      <c r="E40" s="748" t="inlineStr">
        <is>
          <t>Bản vẽ: 42,00 → 80,87 m³ (tr.48 thân trụ T1, chia theo tỷ lệ 3 đốt cũ). Bản vẽ 234,92 m³ (file cũ 122 m³) — chia 3 đốt theo tỷ lệ cũ; xác nhận chiều cao từng đốt.</t>
        </is>
      </c>
      <c r="F40" s="748" t="inlineStr">
        <is>
          <t>42,00</t>
        </is>
      </c>
      <c r="G40" s="748" t="inlineStr">
        <is>
          <t>80,87</t>
        </is>
      </c>
      <c r="H40" s="748" t="inlineStr"/>
      <c r="I40" s="748" t="inlineStr"/>
    </row>
    <row r="41">
      <c r="A41" s="748" t="n">
        <v>38</v>
      </c>
      <c r="B41" s="748" t="inlineStr">
        <is>
          <t>Theo_Doi_Tan_Suat_Be_Tong</t>
        </is>
      </c>
      <c r="C41" s="748" t="n">
        <v>43</v>
      </c>
      <c r="D41" s="748" t="inlineStr">
        <is>
          <t>Bê tông thân trụ T1 - Đốt 2 (C30 đá 1x2)</t>
        </is>
      </c>
      <c r="E41" s="748" t="inlineStr">
        <is>
          <t>Bản vẽ: 42,00 → 80,87 m³ (tr.48 thân trụ T1, chia theo tỷ lệ 3 đốt cũ). Bản vẽ 234,92 m³ (file cũ 122 m³) — chia 3 đốt theo tỷ lệ cũ; xác nhận chiều cao từng đốt.</t>
        </is>
      </c>
      <c r="F41" s="748" t="inlineStr">
        <is>
          <t>42,00</t>
        </is>
      </c>
      <c r="G41" s="748" t="inlineStr">
        <is>
          <t>80,87</t>
        </is>
      </c>
      <c r="H41" s="748" t="inlineStr"/>
      <c r="I41" s="748" t="inlineStr"/>
    </row>
    <row r="42">
      <c r="A42" s="748" t="n">
        <v>39</v>
      </c>
      <c r="B42" s="748" t="inlineStr">
        <is>
          <t>Theo_Doi_Tan_Suat_Be_Tong</t>
        </is>
      </c>
      <c r="C42" s="748" t="n">
        <v>44</v>
      </c>
      <c r="D42" s="748" t="inlineStr">
        <is>
          <t>Bê tông thân trụ T1 - Đốt 3 (C30 đá 1x2)</t>
        </is>
      </c>
      <c r="E42" s="748" t="inlineStr">
        <is>
          <t>Bản vẽ: 38,00 → 73,18 m³ (tr.48 thân trụ T1, chia theo tỷ lệ 3 đốt cũ). Bản vẽ 234,92 m³ (file cũ 122 m³) — chia 3 đốt theo tỷ lệ cũ; xác nhận chiều cao từng đốt.</t>
        </is>
      </c>
      <c r="F42" s="748" t="inlineStr">
        <is>
          <t>38,00</t>
        </is>
      </c>
      <c r="G42" s="748" t="inlineStr">
        <is>
          <t>73,18</t>
        </is>
      </c>
      <c r="H42" s="748" t="inlineStr"/>
      <c r="I42" s="748" t="inlineStr"/>
    </row>
    <row r="43">
      <c r="A43" s="748" t="n">
        <v>40</v>
      </c>
      <c r="B43" s="748" t="inlineStr">
        <is>
          <t>Theo_Doi_Tan_Suat_Be_Tong</t>
        </is>
      </c>
      <c r="C43" s="748" t="n">
        <v>46</v>
      </c>
      <c r="D43" s="748" t="inlineStr">
        <is>
          <t>Bê tông thân trụ T2 - Đốt 1 (C30 đá 1x2)</t>
        </is>
      </c>
      <c r="E43" s="748" t="inlineStr">
        <is>
          <t>Bản vẽ: 45,00 → 90,95 m³ (tr.59 thân trụ T2, chia theo tỷ lệ 3 đốt cũ). Bản vẽ 266,79 m³ (file cũ 132 m³) — chia 3 đốt theo tỷ lệ cũ; xác nhận chiều cao từng đốt.</t>
        </is>
      </c>
      <c r="F43" s="748" t="inlineStr">
        <is>
          <t>45,00</t>
        </is>
      </c>
      <c r="G43" s="748" t="inlineStr">
        <is>
          <t>90,95</t>
        </is>
      </c>
      <c r="H43" s="748" t="inlineStr"/>
      <c r="I43" s="748" t="inlineStr"/>
    </row>
    <row r="44">
      <c r="A44" s="748" t="n">
        <v>41</v>
      </c>
      <c r="B44" s="748" t="inlineStr">
        <is>
          <t>Theo_Doi_Tan_Suat_Be_Tong</t>
        </is>
      </c>
      <c r="C44" s="748" t="n">
        <v>47</v>
      </c>
      <c r="D44" s="748" t="inlineStr">
        <is>
          <t>Bê tông thân trụ T2 - Đốt 2 (C30 đá 1x2)</t>
        </is>
      </c>
      <c r="E44" s="748" t="inlineStr">
        <is>
          <t>Bản vẽ: 45,00 → 90,95 m³ (tr.59 thân trụ T2, chia theo tỷ lệ 3 đốt cũ). Bản vẽ 266,79 m³ (file cũ 132 m³) — chia 3 đốt theo tỷ lệ cũ; xác nhận chiều cao từng đốt.</t>
        </is>
      </c>
      <c r="F44" s="748" t="inlineStr">
        <is>
          <t>45,00</t>
        </is>
      </c>
      <c r="G44" s="748" t="inlineStr">
        <is>
          <t>90,95</t>
        </is>
      </c>
      <c r="H44" s="748" t="inlineStr"/>
      <c r="I44" s="748" t="inlineStr"/>
    </row>
    <row r="45">
      <c r="A45" s="748" t="n">
        <v>42</v>
      </c>
      <c r="B45" s="748" t="inlineStr">
        <is>
          <t>Theo_Doi_Tan_Suat_Be_Tong</t>
        </is>
      </c>
      <c r="C45" s="748" t="n">
        <v>48</v>
      </c>
      <c r="D45" s="748" t="inlineStr">
        <is>
          <t>Bê tông thân trụ T2 - Đốt 3 (C30 đá 1x2)</t>
        </is>
      </c>
      <c r="E45" s="748" t="inlineStr">
        <is>
          <t>Bản vẽ: 42,00 → 84,89 m³ (tr.59 thân trụ T2, chia theo tỷ lệ 3 đốt cũ). Bản vẽ 266,79 m³ (file cũ 132 m³) — chia 3 đốt theo tỷ lệ cũ; xác nhận chiều cao từng đốt.</t>
        </is>
      </c>
      <c r="F45" s="748" t="inlineStr">
        <is>
          <t>42,00</t>
        </is>
      </c>
      <c r="G45" s="748" t="inlineStr">
        <is>
          <t>84,89</t>
        </is>
      </c>
      <c r="H45" s="748" t="inlineStr"/>
      <c r="I45" s="748" t="inlineStr"/>
    </row>
    <row r="46">
      <c r="A46" s="748" t="n">
        <v>43</v>
      </c>
      <c r="B46" s="748" t="inlineStr">
        <is>
          <t>Theo_Doi_Tan_Suat_Be_Tong</t>
        </is>
      </c>
      <c r="C46" s="748" t="n">
        <v>45</v>
      </c>
      <c r="D46" s="748" t="inlineStr">
        <is>
          <t>Bê tông xà mũ trụ T1 &amp; đá kê gối (C35/C30 đá 1x2)</t>
        </is>
      </c>
      <c r="E46" s="748" t="inlineStr">
        <is>
          <t>Bản vẽ: 45,00 → 72,51 m³ (tr.51 xà mũ trụ T1)</t>
        </is>
      </c>
      <c r="F46" s="748" t="inlineStr">
        <is>
          <t>45,00</t>
        </is>
      </c>
      <c r="G46" s="748" t="inlineStr">
        <is>
          <t>72,51</t>
        </is>
      </c>
      <c r="H46" s="748" t="inlineStr"/>
      <c r="I46" s="748" t="inlineStr"/>
    </row>
    <row r="47">
      <c r="A47" s="748" t="n">
        <v>44</v>
      </c>
      <c r="B47" s="748" t="inlineStr">
        <is>
          <t>Theo_Doi_Tan_Suat_Be_Tong</t>
        </is>
      </c>
      <c r="C47" s="748" t="n">
        <v>49</v>
      </c>
      <c r="D47" s="748" t="inlineStr">
        <is>
          <t>Bê tông xà mũ trụ T2 &amp; đá kê gối (C35/C30 đá 1x2)</t>
        </is>
      </c>
      <c r="E47" s="748" t="inlineStr">
        <is>
          <t>Bản vẽ: 45,00 → 72,51 m³ (tr.62 xà mũ trụ T2)</t>
        </is>
      </c>
      <c r="F47" s="748" t="inlineStr">
        <is>
          <t>45,00</t>
        </is>
      </c>
      <c r="G47" s="748" t="inlineStr">
        <is>
          <t>72,51</t>
        </is>
      </c>
      <c r="H47" s="748" t="inlineStr"/>
      <c r="I47" s="748" t="inlineStr"/>
    </row>
    <row r="48">
      <c r="A48" s="748" t="n">
        <v>45</v>
      </c>
      <c r="B48" s="748" t="inlineStr">
        <is>
          <t>Theo_Doi_Tan_Suat_Be_Tong</t>
        </is>
      </c>
      <c r="C48" s="748" t="n">
        <v>59</v>
      </c>
      <c r="D48" s="748" t="inlineStr">
        <is>
          <t>Bê tông dầm Super-T Nhịp 1 - Phiến D1 (C45 đá 1x2)</t>
        </is>
      </c>
      <c r="E48" s="748" t="inlineStr">
        <is>
          <t>Khớp bản vẽ (tr.175 bê tông 15 phiến ÷ 15). Bình quân 15 phiến; từng loại: S1B1 29,25 (tr.88), S1G 28,83 (tr.94) m³ — thay theo loại phiến khi có sơ đồ vị trí.</t>
        </is>
      </c>
      <c r="F48" s="748" t="inlineStr">
        <is>
          <t>28,99</t>
        </is>
      </c>
      <c r="G48" s="748" t="inlineStr">
        <is>
          <t>28,99</t>
        </is>
      </c>
      <c r="H48" s="748" t="inlineStr"/>
      <c r="I48" s="748" t="inlineStr"/>
    </row>
    <row r="49">
      <c r="A49" s="748" t="n">
        <v>46</v>
      </c>
      <c r="B49" s="748" t="inlineStr">
        <is>
          <t>Theo_Doi_Tan_Suat_Be_Tong</t>
        </is>
      </c>
      <c r="C49" s="748" t="n">
        <v>60</v>
      </c>
      <c r="D49" s="748" t="inlineStr">
        <is>
          <t>Bê tông dầm Super-T Nhịp 1 - Phiến D2 (C45 đá 1x2)</t>
        </is>
      </c>
      <c r="E49" s="748" t="inlineStr">
        <is>
          <t>Khớp bản vẽ (tr.175 bê tông 15 phiến ÷ 15). Bình quân 15 phiến; từng loại: S1B1 29,25 (tr.88), S1G 28,83 (tr.94) m³ — thay theo loại phiến khi có sơ đồ vị trí.</t>
        </is>
      </c>
      <c r="F49" s="748" t="inlineStr">
        <is>
          <t>28,99</t>
        </is>
      </c>
      <c r="G49" s="748" t="inlineStr">
        <is>
          <t>28,99</t>
        </is>
      </c>
      <c r="H49" s="748" t="inlineStr"/>
      <c r="I49" s="748" t="inlineStr"/>
    </row>
    <row r="50">
      <c r="A50" s="748" t="n">
        <v>47</v>
      </c>
      <c r="B50" s="748" t="inlineStr">
        <is>
          <t>Theo_Doi_Tan_Suat_Be_Tong</t>
        </is>
      </c>
      <c r="C50" s="748" t="n">
        <v>61</v>
      </c>
      <c r="D50" s="748" t="inlineStr">
        <is>
          <t>Bê tông dầm Super-T Nhịp 1 - Phiến D3 (C45 đá 1x2)</t>
        </is>
      </c>
      <c r="E50" s="748" t="inlineStr">
        <is>
          <t>Khớp bản vẽ (tr.175 bê tông 15 phiến ÷ 15). Bình quân 15 phiến; từng loại: S1B1 29,25 (tr.88), S1G 28,83 (tr.94) m³ — thay theo loại phiến khi có sơ đồ vị trí.</t>
        </is>
      </c>
      <c r="F50" s="748" t="inlineStr">
        <is>
          <t>28,99</t>
        </is>
      </c>
      <c r="G50" s="748" t="inlineStr">
        <is>
          <t>28,99</t>
        </is>
      </c>
      <c r="H50" s="748" t="inlineStr"/>
      <c r="I50" s="748" t="inlineStr"/>
    </row>
    <row r="51">
      <c r="A51" s="748" t="n">
        <v>48</v>
      </c>
      <c r="B51" s="748" t="inlineStr">
        <is>
          <t>Theo_Doi_Tan_Suat_Be_Tong</t>
        </is>
      </c>
      <c r="C51" s="748" t="n">
        <v>62</v>
      </c>
      <c r="D51" s="748" t="inlineStr">
        <is>
          <t>Bê tông dầm Super-T Nhịp 1 - Phiến D4 (C45 đá 1x2)</t>
        </is>
      </c>
      <c r="E51" s="748" t="inlineStr">
        <is>
          <t>Khớp bản vẽ (tr.175 bê tông 15 phiến ÷ 15). Bình quân 15 phiến; từng loại: S1B1 29,25 (tr.88), S1G 28,83 (tr.94) m³ — thay theo loại phiến khi có sơ đồ vị trí.</t>
        </is>
      </c>
      <c r="F51" s="748" t="inlineStr">
        <is>
          <t>28,99</t>
        </is>
      </c>
      <c r="G51" s="748" t="inlineStr">
        <is>
          <t>28,99</t>
        </is>
      </c>
      <c r="H51" s="748" t="inlineStr"/>
      <c r="I51" s="748" t="inlineStr"/>
    </row>
    <row r="52">
      <c r="A52" s="748" t="n">
        <v>49</v>
      </c>
      <c r="B52" s="748" t="inlineStr">
        <is>
          <t>Theo_Doi_Tan_Suat_Be_Tong</t>
        </is>
      </c>
      <c r="C52" s="748" t="n">
        <v>63</v>
      </c>
      <c r="D52" s="748" t="inlineStr">
        <is>
          <t>Bê tông dầm Super-T Nhịp 1 - Phiến D5 (C45 đá 1x2)</t>
        </is>
      </c>
      <c r="E52" s="748" t="inlineStr">
        <is>
          <t>Khớp bản vẽ (tr.175 bê tông 15 phiến ÷ 15). Bình quân 15 phiến; từng loại: S1B1 29,25 (tr.88), S1G 28,83 (tr.94) m³ — thay theo loại phiến khi có sơ đồ vị trí.</t>
        </is>
      </c>
      <c r="F52" s="748" t="inlineStr">
        <is>
          <t>28,99</t>
        </is>
      </c>
      <c r="G52" s="748" t="inlineStr">
        <is>
          <t>28,99</t>
        </is>
      </c>
      <c r="H52" s="748" t="inlineStr"/>
      <c r="I52" s="748" t="inlineStr"/>
    </row>
    <row r="53">
      <c r="A53" s="748" t="n">
        <v>50</v>
      </c>
      <c r="B53" s="748" t="inlineStr">
        <is>
          <t>Theo_Doi_Tan_Suat_Be_Tong</t>
        </is>
      </c>
      <c r="C53" s="748" t="n">
        <v>64</v>
      </c>
      <c r="D53" s="748" t="inlineStr">
        <is>
          <t>Bê tông dầm Super-T Nhịp 2 - Phiến D1 (C45 đá 1x2)</t>
        </is>
      </c>
      <c r="E53" s="748" t="inlineStr">
        <is>
          <t>Khớp bản vẽ (tr.175 bê tông 15 phiến ÷ 15). Bình quân 15 phiến; từng loại: S1B1 29,25 (tr.88), S1G 28,83 (tr.94) m³ — thay theo loại phiến khi có sơ đồ vị trí.</t>
        </is>
      </c>
      <c r="F53" s="748" t="inlineStr">
        <is>
          <t>28,99</t>
        </is>
      </c>
      <c r="G53" s="748" t="inlineStr">
        <is>
          <t>28,99</t>
        </is>
      </c>
      <c r="H53" s="748" t="inlineStr"/>
      <c r="I53" s="748" t="inlineStr"/>
    </row>
    <row r="54">
      <c r="A54" s="748" t="n">
        <v>51</v>
      </c>
      <c r="B54" s="748" t="inlineStr">
        <is>
          <t>Theo_Doi_Tan_Suat_Be_Tong</t>
        </is>
      </c>
      <c r="C54" s="748" t="n">
        <v>65</v>
      </c>
      <c r="D54" s="748" t="inlineStr">
        <is>
          <t>Bê tông dầm Super-T Nhịp 2 - Phiến D2 (C45 đá 1x2)</t>
        </is>
      </c>
      <c r="E54" s="748" t="inlineStr">
        <is>
          <t>Khớp bản vẽ (tr.175 bê tông 15 phiến ÷ 15). Bình quân 15 phiến; từng loại: S1B1 29,25 (tr.88), S1G 28,83 (tr.94) m³ — thay theo loại phiến khi có sơ đồ vị trí.</t>
        </is>
      </c>
      <c r="F54" s="748" t="inlineStr">
        <is>
          <t>28,99</t>
        </is>
      </c>
      <c r="G54" s="748" t="inlineStr">
        <is>
          <t>28,99</t>
        </is>
      </c>
      <c r="H54" s="748" t="inlineStr"/>
      <c r="I54" s="748" t="inlineStr"/>
    </row>
    <row r="55">
      <c r="A55" s="748" t="n">
        <v>52</v>
      </c>
      <c r="B55" s="748" t="inlineStr">
        <is>
          <t>Theo_Doi_Tan_Suat_Be_Tong</t>
        </is>
      </c>
      <c r="C55" s="748" t="n">
        <v>66</v>
      </c>
      <c r="D55" s="748" t="inlineStr">
        <is>
          <t>Bê tông dầm Super-T Nhịp 2 - Phiến D3 (C45 đá 1x2)</t>
        </is>
      </c>
      <c r="E55" s="748" t="inlineStr">
        <is>
          <t>Khớp bản vẽ (tr.175 bê tông 15 phiến ÷ 15). Bình quân 15 phiến; từng loại: S1B1 29,25 (tr.88), S1G 28,83 (tr.94) m³ — thay theo loại phiến khi có sơ đồ vị trí.</t>
        </is>
      </c>
      <c r="F55" s="748" t="inlineStr">
        <is>
          <t>28,99</t>
        </is>
      </c>
      <c r="G55" s="748" t="inlineStr">
        <is>
          <t>28,99</t>
        </is>
      </c>
      <c r="H55" s="748" t="inlineStr"/>
      <c r="I55" s="748" t="inlineStr"/>
    </row>
    <row r="56">
      <c r="A56" s="748" t="n">
        <v>53</v>
      </c>
      <c r="B56" s="748" t="inlineStr">
        <is>
          <t>Theo_Doi_Tan_Suat_Be_Tong</t>
        </is>
      </c>
      <c r="C56" s="748" t="n">
        <v>67</v>
      </c>
      <c r="D56" s="748" t="inlineStr">
        <is>
          <t>Bê tông dầm Super-T Nhịp 2 - Phiến D4 (C45 đá 1x2)</t>
        </is>
      </c>
      <c r="E56" s="748" t="inlineStr">
        <is>
          <t>Khớp bản vẽ (tr.175 bê tông 15 phiến ÷ 15). Bình quân 15 phiến; từng loại: S1B1 29,25 (tr.88), S1G 28,83 (tr.94) m³ — thay theo loại phiến khi có sơ đồ vị trí.</t>
        </is>
      </c>
      <c r="F56" s="748" t="inlineStr">
        <is>
          <t>28,99</t>
        </is>
      </c>
      <c r="G56" s="748" t="inlineStr">
        <is>
          <t>28,99</t>
        </is>
      </c>
      <c r="H56" s="748" t="inlineStr"/>
      <c r="I56" s="748" t="inlineStr"/>
    </row>
    <row r="57">
      <c r="A57" s="748" t="n">
        <v>54</v>
      </c>
      <c r="B57" s="748" t="inlineStr">
        <is>
          <t>Theo_Doi_Tan_Suat_Be_Tong</t>
        </is>
      </c>
      <c r="C57" s="748" t="n">
        <v>68</v>
      </c>
      <c r="D57" s="748" t="inlineStr">
        <is>
          <t>Bê tông dầm Super-T Nhịp 2 - Phiến D5 (C45 đá 1x2)</t>
        </is>
      </c>
      <c r="E57" s="748" t="inlineStr">
        <is>
          <t>Khớp bản vẽ (tr.175 bê tông 15 phiến ÷ 15). Bình quân 15 phiến; từng loại: S1B1 29,25 (tr.88), S1G 28,83 (tr.94) m³ — thay theo loại phiến khi có sơ đồ vị trí.</t>
        </is>
      </c>
      <c r="F57" s="748" t="inlineStr">
        <is>
          <t>28,99</t>
        </is>
      </c>
      <c r="G57" s="748" t="inlineStr">
        <is>
          <t>28,99</t>
        </is>
      </c>
      <c r="H57" s="748" t="inlineStr"/>
      <c r="I57" s="748" t="inlineStr"/>
    </row>
    <row r="58">
      <c r="A58" s="748" t="n">
        <v>55</v>
      </c>
      <c r="B58" s="748" t="inlineStr">
        <is>
          <t>Theo_Doi_Tan_Suat_Be_Tong</t>
        </is>
      </c>
      <c r="C58" s="748" t="n">
        <v>69</v>
      </c>
      <c r="D58" s="748" t="inlineStr">
        <is>
          <t>Bê tông dầm Super-T Nhịp 3 - Phiến D1 (C45 đá 1x2)</t>
        </is>
      </c>
      <c r="E58" s="748" t="inlineStr">
        <is>
          <t>Khớp bản vẽ (tr.175 bê tông 15 phiến ÷ 15). Bình quân 15 phiến; từng loại: S1B1 29,25 (tr.88), S1G 28,83 (tr.94) m³ — thay theo loại phiến khi có sơ đồ vị trí.</t>
        </is>
      </c>
      <c r="F58" s="748" t="inlineStr">
        <is>
          <t>28,99</t>
        </is>
      </c>
      <c r="G58" s="748" t="inlineStr">
        <is>
          <t>28,99</t>
        </is>
      </c>
      <c r="H58" s="748" t="inlineStr"/>
      <c r="I58" s="748" t="inlineStr"/>
    </row>
    <row r="59">
      <c r="A59" s="748" t="n">
        <v>56</v>
      </c>
      <c r="B59" s="748" t="inlineStr">
        <is>
          <t>Theo_Doi_Tan_Suat_Be_Tong</t>
        </is>
      </c>
      <c r="C59" s="748" t="n">
        <v>70</v>
      </c>
      <c r="D59" s="748" t="inlineStr">
        <is>
          <t>Bê tông dầm Super-T Nhịp 3 - Phiến D2 (C45 đá 1x2)</t>
        </is>
      </c>
      <c r="E59" s="748" t="inlineStr">
        <is>
          <t>Khớp bản vẽ (tr.175 bê tông 15 phiến ÷ 15). Bình quân 15 phiến; từng loại: S1B1 29,25 (tr.88), S1G 28,83 (tr.94) m³ — thay theo loại phiến khi có sơ đồ vị trí.</t>
        </is>
      </c>
      <c r="F59" s="748" t="inlineStr">
        <is>
          <t>28,99</t>
        </is>
      </c>
      <c r="G59" s="748" t="inlineStr">
        <is>
          <t>28,99</t>
        </is>
      </c>
      <c r="H59" s="748" t="inlineStr"/>
      <c r="I59" s="748" t="inlineStr"/>
    </row>
    <row r="60">
      <c r="A60" s="748" t="n">
        <v>57</v>
      </c>
      <c r="B60" s="748" t="inlineStr">
        <is>
          <t>Theo_Doi_Tan_Suat_Be_Tong</t>
        </is>
      </c>
      <c r="C60" s="748" t="n">
        <v>71</v>
      </c>
      <c r="D60" s="748" t="inlineStr">
        <is>
          <t>Bê tông dầm Super-T Nhịp 3 - Phiến D3 (C45 đá 1x2)</t>
        </is>
      </c>
      <c r="E60" s="748" t="inlineStr">
        <is>
          <t>Khớp bản vẽ (tr.175 bê tông 15 phiến ÷ 15). Bình quân 15 phiến; từng loại: S1B1 29,25 (tr.88), S1G 28,83 (tr.94) m³ — thay theo loại phiến khi có sơ đồ vị trí.</t>
        </is>
      </c>
      <c r="F60" s="748" t="inlineStr">
        <is>
          <t>28,99</t>
        </is>
      </c>
      <c r="G60" s="748" t="inlineStr">
        <is>
          <t>28,99</t>
        </is>
      </c>
      <c r="H60" s="748" t="inlineStr"/>
      <c r="I60" s="748" t="inlineStr"/>
    </row>
    <row r="61">
      <c r="A61" s="748" t="n">
        <v>58</v>
      </c>
      <c r="B61" s="748" t="inlineStr">
        <is>
          <t>Theo_Doi_Tan_Suat_Be_Tong</t>
        </is>
      </c>
      <c r="C61" s="748" t="n">
        <v>72</v>
      </c>
      <c r="D61" s="748" t="inlineStr">
        <is>
          <t>Bê tông dầm Super-T Nhịp 3 - Phiến D4 (C45 đá 1x2)</t>
        </is>
      </c>
      <c r="E61" s="748" t="inlineStr">
        <is>
          <t>Khớp bản vẽ (tr.175 bê tông 15 phiến ÷ 15). Bình quân 15 phiến; từng loại: S1B1 29,25 (tr.88), S1G 28,83 (tr.94) m³ — thay theo loại phiến khi có sơ đồ vị trí.</t>
        </is>
      </c>
      <c r="F61" s="748" t="inlineStr">
        <is>
          <t>28,99</t>
        </is>
      </c>
      <c r="G61" s="748" t="inlineStr">
        <is>
          <t>28,99</t>
        </is>
      </c>
      <c r="H61" s="748" t="inlineStr"/>
      <c r="I61" s="748" t="inlineStr"/>
    </row>
    <row r="62">
      <c r="A62" s="748" t="n">
        <v>59</v>
      </c>
      <c r="B62" s="748" t="inlineStr">
        <is>
          <t>Theo_Doi_Tan_Suat_Be_Tong</t>
        </is>
      </c>
      <c r="C62" s="748" t="n">
        <v>73</v>
      </c>
      <c r="D62" s="748" t="inlineStr">
        <is>
          <t>Bê tông dầm Super-T Nhịp 3 - Phiến D5 (C45 đá 1x2)</t>
        </is>
      </c>
      <c r="E62" s="748" t="inlineStr">
        <is>
          <t>Khớp bản vẽ (tr.175 bê tông 15 phiến ÷ 15). Bình quân 15 phiến; từng loại: S1B1 29,25 (tr.88), S1G 28,83 (tr.94) m³ — thay theo loại phiến khi có sơ đồ vị trí.</t>
        </is>
      </c>
      <c r="F62" s="748" t="inlineStr">
        <is>
          <t>28,99</t>
        </is>
      </c>
      <c r="G62" s="748" t="inlineStr">
        <is>
          <t>28,99</t>
        </is>
      </c>
      <c r="H62" s="748" t="inlineStr"/>
      <c r="I62" s="748" t="inlineStr"/>
    </row>
    <row r="63">
      <c r="A63" s="748" t="n">
        <v>60</v>
      </c>
      <c r="B63" s="748" t="inlineStr">
        <is>
          <t>Theo_Doi_Tan_Suat_Be_Tong</t>
        </is>
      </c>
      <c r="C63" s="748" t="n">
        <v>78</v>
      </c>
      <c r="D63" s="748" t="inlineStr">
        <is>
          <t>Bê tông bản liên tục nhiệt tại trụ T1, T2 (C35 đá 1x2)</t>
        </is>
      </c>
      <c r="E63" s="748" t="inlineStr">
        <is>
          <t>Bản vẽ: 8,50 → 21,87 m³ (tr.175 (tr.112: 2 vị trí × 10,93)). File cũ 8,5 m³ ghi C45; bản vẽ 21,87 m³ C35, đổ ở 2 vị trí — nên tách 2 dòng để lấy mẫu từng lần đổ.</t>
        </is>
      </c>
      <c r="F63" s="748" t="inlineStr">
        <is>
          <t>8,50</t>
        </is>
      </c>
      <c r="G63" s="748" t="inlineStr">
        <is>
          <t>21,87</t>
        </is>
      </c>
      <c r="H63" s="748" t="inlineStr"/>
      <c r="I63" s="748" t="inlineStr"/>
    </row>
    <row r="64">
      <c r="A64" s="748" t="n">
        <v>61</v>
      </c>
      <c r="B64" s="748" t="inlineStr">
        <is>
          <t>Theo_Doi_Tan_Suat_Be_Tong</t>
        </is>
      </c>
      <c r="C64" s="748" t="n">
        <v>79</v>
      </c>
      <c r="D64" s="748" t="inlineStr">
        <is>
          <t>Bê tông bản mặt cầu Nhịp 1 (C35 đá 1x2)</t>
        </is>
      </c>
      <c r="E64" s="748" t="inlineStr">
        <is>
          <t>Bản vẽ: 85,00 → 102,53 m³ (tr.112 bản mặt cầu loại 1 (1 nhịp)). Tr.112/175: 2 nhịp loại 1 (102,53) + 1 nhịp loại 2 (100,40) = 305,465 m³. Chưa rõ nhịp nào loại 2 — đang gán nhịp 2.</t>
        </is>
      </c>
      <c r="F64" s="748" t="inlineStr">
        <is>
          <t>85,00</t>
        </is>
      </c>
      <c r="G64" s="748" t="inlineStr">
        <is>
          <t>102,53</t>
        </is>
      </c>
      <c r="H64" s="748" t="inlineStr"/>
      <c r="I64" s="748" t="inlineStr"/>
    </row>
    <row r="65">
      <c r="A65" s="748" t="n">
        <v>62</v>
      </c>
      <c r="B65" s="748" t="inlineStr">
        <is>
          <t>Theo_Doi_Tan_Suat_Be_Tong</t>
        </is>
      </c>
      <c r="C65" s="748" t="n">
        <v>80</v>
      </c>
      <c r="D65" s="748" t="inlineStr">
        <is>
          <t>Bê tông bản mặt cầu Nhịp 2 (C35 đá 1x2)</t>
        </is>
      </c>
      <c r="E65" s="748" t="inlineStr">
        <is>
          <t>Bản vẽ: 85,00 → 100,40 m³ (tr.112 bản mặt cầu loại 2 (1 nhịp)). Chưa rõ nhịp nào loại 2 — đang gán nhịp 2.</t>
        </is>
      </c>
      <c r="F65" s="748" t="inlineStr">
        <is>
          <t>85,00</t>
        </is>
      </c>
      <c r="G65" s="748" t="inlineStr">
        <is>
          <t>100,40</t>
        </is>
      </c>
      <c r="H65" s="748" t="inlineStr"/>
      <c r="I65" s="748" t="inlineStr"/>
    </row>
    <row r="66">
      <c r="A66" s="748" t="n">
        <v>63</v>
      </c>
      <c r="B66" s="748" t="inlineStr">
        <is>
          <t>Theo_Doi_Tan_Suat_Be_Tong</t>
        </is>
      </c>
      <c r="C66" s="748" t="n">
        <v>81</v>
      </c>
      <c r="D66" s="748" t="inlineStr">
        <is>
          <t>Bê tông bản mặt cầu Nhịp 3 (C35 đá 1x2)</t>
        </is>
      </c>
      <c r="E66" s="748" t="inlineStr">
        <is>
          <t>Bản vẽ: 85,00 → 102,53 m³ (tr.112 bản mặt cầu loại 1 (1 nhịp))</t>
        </is>
      </c>
      <c r="F66" s="748" t="inlineStr">
        <is>
          <t>85,00</t>
        </is>
      </c>
      <c r="G66" s="748" t="inlineStr">
        <is>
          <t>102,53</t>
        </is>
      </c>
      <c r="H66" s="748" t="inlineStr"/>
      <c r="I66" s="748" t="inlineStr"/>
    </row>
    <row r="67">
      <c r="A67" s="748" t="n">
        <v>64</v>
      </c>
      <c r="B67" s="748" t="inlineStr">
        <is>
          <t>Theo_Doi_Tan_Suat_Be_Tong</t>
        </is>
      </c>
      <c r="C67" s="748" t="n">
        <v>82</v>
      </c>
      <c r="D67" s="748" t="inlineStr">
        <is>
          <t>Bê tông bản quá độ mố M1 (C25 đá 1x2)</t>
        </is>
      </c>
      <c r="E67" s="748" t="inlineStr">
        <is>
          <t>Bản vẽ: 16,00 → 29,10 m³ (tr.126 bản quá độ A1). File cũ 16 m³ ghi C30; bản vẽ 29,10 m³ C25.</t>
        </is>
      </c>
      <c r="F67" s="748" t="inlineStr">
        <is>
          <t>16,00</t>
        </is>
      </c>
      <c r="G67" s="748" t="inlineStr">
        <is>
          <t>29,10</t>
        </is>
      </c>
      <c r="H67" s="748" t="inlineStr"/>
      <c r="I67" s="748" t="inlineStr"/>
    </row>
    <row r="68">
      <c r="A68" s="748" t="n">
        <v>65</v>
      </c>
      <c r="B68" s="748" t="inlineStr">
        <is>
          <t>Theo_Doi_Tan_Suat_Be_Tong</t>
        </is>
      </c>
      <c r="C68" s="748" t="n">
        <v>83</v>
      </c>
      <c r="D68" s="748" t="inlineStr">
        <is>
          <t>Bê tông bản quá độ mố M2 (C25 đá 1x2)</t>
        </is>
      </c>
      <c r="E68" s="748" t="inlineStr">
        <is>
          <t>Bản vẽ: 16,00 → 38,28 m³ (tr.128 bản quá độ A2). File cũ 16 m³ ghi C30; bản vẽ 38,28 m³ C25.</t>
        </is>
      </c>
      <c r="F68" s="748" t="inlineStr">
        <is>
          <t>16,00</t>
        </is>
      </c>
      <c r="G68" s="748" t="inlineStr">
        <is>
          <t>38,28</t>
        </is>
      </c>
      <c r="H68" s="748" t="inlineStr"/>
      <c r="I68" s="748" t="inlineStr"/>
    </row>
    <row r="69">
      <c r="A69" s="748" t="n">
        <v>66</v>
      </c>
      <c r="B69" s="748" t="inlineStr">
        <is>
          <t>Theo_Doi_Tan_Suat_Be_Tong</t>
        </is>
      </c>
      <c r="C69" s="748" t="n">
        <v>84</v>
      </c>
      <c r="D69" s="748" t="inlineStr">
        <is>
          <t>Bê tông gờ lan can mố M1 &amp; Nhịp 1 (C25 đá 1x2)</t>
        </is>
      </c>
      <c r="E69" s="748" t="inlineStr">
        <is>
          <t>Bản vẽ: 9,50 → 52,14 m³ (tr.175/tr.119 gờ lan can C25, chia theo tỷ lệ 2 đợt cũ). File cũ 2 × 9,5 m³ C30; bản vẽ 104,28 m³ C25 (19 đốt) — nên tách theo đợt đổ thực tế.</t>
        </is>
      </c>
      <c r="F69" s="748" t="inlineStr">
        <is>
          <t>9,50</t>
        </is>
      </c>
      <c r="G69" s="748" t="inlineStr">
        <is>
          <t>52,14</t>
        </is>
      </c>
      <c r="H69" s="748" t="inlineStr"/>
      <c r="I69" s="748" t="inlineStr"/>
    </row>
    <row r="70">
      <c r="A70" s="748" t="n">
        <v>67</v>
      </c>
      <c r="B70" s="748" t="inlineStr">
        <is>
          <t>Theo_Doi_Tan_Suat_Be_Tong</t>
        </is>
      </c>
      <c r="C70" s="748" t="n">
        <v>85</v>
      </c>
      <c r="D70" s="748" t="inlineStr">
        <is>
          <t>Bê tông gờ lan can Nhịp 2, Nhịp 3 &amp; mố M2 (C25)</t>
        </is>
      </c>
      <c r="E70" s="748" t="inlineStr">
        <is>
          <t>Bản vẽ: 9,50 → 52,14 m³ (tr.175/tr.119 gờ lan can C25, chia theo tỷ lệ 2 đợt cũ). File cũ 2 × 9,5 m³ C30; bản vẽ 104,28 m³ C25 (19 đốt) — nên tách theo đợt đổ thực tế.</t>
        </is>
      </c>
      <c r="F70" s="748" t="inlineStr">
        <is>
          <t>9,50</t>
        </is>
      </c>
      <c r="G70" s="748" t="inlineStr">
        <is>
          <t>52,14</t>
        </is>
      </c>
      <c r="H70" s="748" t="inlineStr"/>
      <c r="I70" s="748" t="inlineStr"/>
    </row>
    <row r="71">
      <c r="A71" s="748" t="n">
        <v>68</v>
      </c>
      <c r="B71" s="748" t="inlineStr">
        <is>
          <t>Theo_Doi_Tan_Suat_Be_Tong</t>
        </is>
      </c>
      <c r="C71" s="748" t="n">
        <v>31</v>
      </c>
      <c r="D71" s="748" t="inlineStr">
        <is>
          <t>Bê tông lót móng bệ mố M1 (M100 đá 4x6)</t>
        </is>
      </c>
      <c r="E71" s="748" t="inlineStr">
        <is>
          <t>Mác M100 chưa có cấp phối riêng — đang dùng cấp phối C30 (0,425 t XM; 0,555 m³ cát; 0,700 m³ đá / m³). Nhập cấp phối được duyệt.</t>
        </is>
      </c>
      <c r="F71" s="748" t="inlineStr"/>
      <c r="G71" s="748" t="inlineStr"/>
      <c r="H71" s="748" t="inlineStr"/>
      <c r="I71" s="748" t="inlineStr"/>
    </row>
    <row r="72">
      <c r="A72" s="748" t="n">
        <v>69</v>
      </c>
      <c r="B72" s="748" t="inlineStr">
        <is>
          <t>Theo_Doi_Tan_Suat_Be_Tong</t>
        </is>
      </c>
      <c r="C72" s="748" t="n">
        <v>33</v>
      </c>
      <c r="D72" s="748" t="inlineStr">
        <is>
          <t>Bê tông lót móng bệ trụ T1 (M100 đá 4x6)</t>
        </is>
      </c>
      <c r="E72" s="748" t="inlineStr">
        <is>
          <t>Mác M100 chưa có cấp phối riêng — đang dùng cấp phối C30 (0,425 t XM; 0,555 m³ cát; 0,700 m³ đá / m³). Nhập cấp phối được duyệt.</t>
        </is>
      </c>
      <c r="F72" s="748" t="inlineStr"/>
      <c r="G72" s="748" t="inlineStr"/>
      <c r="H72" s="748" t="inlineStr"/>
      <c r="I72" s="748" t="inlineStr"/>
    </row>
    <row r="73">
      <c r="A73" s="748" t="n">
        <v>70</v>
      </c>
      <c r="B73" s="748" t="inlineStr">
        <is>
          <t>Theo_Doi_Tan_Suat_Be_Tong</t>
        </is>
      </c>
      <c r="C73" s="748" t="n">
        <v>36</v>
      </c>
      <c r="D73" s="748" t="inlineStr">
        <is>
          <t>Bê tông lót móng bệ trụ T2 (M100 đá 4x6)</t>
        </is>
      </c>
      <c r="E73" s="748" t="inlineStr">
        <is>
          <t>Mác M100 chưa có cấp phối riêng — đang dùng cấp phối C30 (0,425 t XM; 0,555 m³ cát; 0,700 m³ đá / m³). Nhập cấp phối được duyệt.</t>
        </is>
      </c>
      <c r="F73" s="748" t="inlineStr"/>
      <c r="G73" s="748" t="inlineStr"/>
      <c r="H73" s="748" t="inlineStr"/>
      <c r="I73" s="748" t="inlineStr"/>
    </row>
    <row r="74">
      <c r="A74" s="748" t="n">
        <v>71</v>
      </c>
      <c r="B74" s="748" t="inlineStr">
        <is>
          <t>Theo_Doi_Tan_Suat_Be_Tong</t>
        </is>
      </c>
      <c r="C74" s="748" t="n">
        <v>39</v>
      </c>
      <c r="D74" s="748" t="inlineStr">
        <is>
          <t>Bê tông lót móng bệ mố M2 (M100 đá 4x6)</t>
        </is>
      </c>
      <c r="E74" s="748" t="inlineStr">
        <is>
          <t>Mác M100 chưa có cấp phối riêng — đang dùng cấp phối C30 (0,425 t XM; 0,555 m³ cát; 0,700 m³ đá / m³). Nhập cấp phối được duyệt.</t>
        </is>
      </c>
      <c r="F74" s="748" t="inlineStr"/>
      <c r="G74" s="748" t="inlineStr"/>
      <c r="H74" s="748" t="inlineStr"/>
      <c r="I74" s="748" t="inlineStr"/>
    </row>
    <row r="75">
      <c r="A75" s="748" t="n">
        <v>72</v>
      </c>
      <c r="B75" s="748" t="inlineStr">
        <is>
          <t>Theo_Doi_Tan_Suat_Be_Tong</t>
        </is>
      </c>
      <c r="C75" s="748" t="n">
        <v>45</v>
      </c>
      <c r="D75" s="748" t="inlineStr">
        <is>
          <t>Bê tông xà mũ trụ T1 &amp; đá kê gối (C35/C30 đá 1x2)</t>
        </is>
      </c>
      <c r="E75" s="748" t="inlineStr">
        <is>
          <t>Mác C35 chưa có cấp phối riêng — đang dùng cấp phối C30 (0,425 t XM; 0,555 m³ cát; 0,700 m³ đá / m³). Nhập cấp phối được duyệt.</t>
        </is>
      </c>
      <c r="F75" s="748" t="inlineStr"/>
      <c r="G75" s="748" t="inlineStr"/>
      <c r="H75" s="748" t="inlineStr"/>
      <c r="I75" s="748" t="inlineStr"/>
    </row>
    <row r="76">
      <c r="A76" s="748" t="n">
        <v>73</v>
      </c>
      <c r="B76" s="748" t="inlineStr">
        <is>
          <t>Theo_Doi_Tan_Suat_Be_Tong</t>
        </is>
      </c>
      <c r="C76" s="748" t="n">
        <v>49</v>
      </c>
      <c r="D76" s="748" t="inlineStr">
        <is>
          <t>Bê tông xà mũ trụ T2 &amp; đá kê gối (C35/C30 đá 1x2)</t>
        </is>
      </c>
      <c r="E76" s="748" t="inlineStr">
        <is>
          <t>Mác C35 chưa có cấp phối riêng — đang dùng cấp phối C30 (0,425 t XM; 0,555 m³ cát; 0,700 m³ đá / m³). Nhập cấp phối được duyệt.</t>
        </is>
      </c>
      <c r="F76" s="748" t="inlineStr"/>
      <c r="G76" s="748" t="inlineStr"/>
      <c r="H76" s="748" t="inlineStr"/>
      <c r="I76" s="748" t="inlineStr"/>
    </row>
    <row r="77">
      <c r="A77" s="748" t="n">
        <v>74</v>
      </c>
      <c r="B77" s="748" t="inlineStr">
        <is>
          <t>Theo_Doi_Tan_Suat_Be_Tong</t>
        </is>
      </c>
      <c r="C77" s="748" t="n">
        <v>59</v>
      </c>
      <c r="D77" s="748" t="inlineStr">
        <is>
          <t>Bê tông dầm Super-T Nhịp 1 - Phiến D1 (C45 đá 1x2)</t>
        </is>
      </c>
      <c r="E77" s="748" t="inlineStr">
        <is>
          <t>Mác C45 chưa có cấp phối riêng — đang dùng cấp phối C30 (0,425 t XM; 0,555 m³ cát; 0,700 m³ đá / m³). Nhập cấp phối được duyệt.</t>
        </is>
      </c>
      <c r="F77" s="748" t="inlineStr"/>
      <c r="G77" s="748" t="inlineStr"/>
      <c r="H77" s="748" t="inlineStr"/>
      <c r="I77" s="748" t="inlineStr"/>
    </row>
    <row r="78">
      <c r="A78" s="748" t="n">
        <v>75</v>
      </c>
      <c r="B78" s="748" t="inlineStr">
        <is>
          <t>Theo_Doi_Tan_Suat_Be_Tong</t>
        </is>
      </c>
      <c r="C78" s="748" t="n">
        <v>60</v>
      </c>
      <c r="D78" s="748" t="inlineStr">
        <is>
          <t>Bê tông dầm Super-T Nhịp 1 - Phiến D2 (C45 đá 1x2)</t>
        </is>
      </c>
      <c r="E78" s="748" t="inlineStr">
        <is>
          <t>Mác C45 chưa có cấp phối riêng — đang dùng cấp phối C30 (0,425 t XM; 0,555 m³ cát; 0,700 m³ đá / m³). Nhập cấp phối được duyệt.</t>
        </is>
      </c>
      <c r="F78" s="748" t="inlineStr"/>
      <c r="G78" s="748" t="inlineStr"/>
      <c r="H78" s="748" t="inlineStr"/>
      <c r="I78" s="748" t="inlineStr"/>
    </row>
    <row r="79">
      <c r="A79" s="748" t="n">
        <v>76</v>
      </c>
      <c r="B79" s="748" t="inlineStr">
        <is>
          <t>Theo_Doi_Tan_Suat_Be_Tong</t>
        </is>
      </c>
      <c r="C79" s="748" t="n">
        <v>61</v>
      </c>
      <c r="D79" s="748" t="inlineStr">
        <is>
          <t>Bê tông dầm Super-T Nhịp 1 - Phiến D3 (C45 đá 1x2)</t>
        </is>
      </c>
      <c r="E79" s="748" t="inlineStr">
        <is>
          <t>Mác C45 chưa có cấp phối riêng — đang dùng cấp phối C30 (0,425 t XM; 0,555 m³ cát; 0,700 m³ đá / m³). Nhập cấp phối được duyệt.</t>
        </is>
      </c>
      <c r="F79" s="748" t="inlineStr"/>
      <c r="G79" s="748" t="inlineStr"/>
      <c r="H79" s="748" t="inlineStr"/>
      <c r="I79" s="748" t="inlineStr"/>
    </row>
    <row r="80">
      <c r="A80" s="748" t="n">
        <v>77</v>
      </c>
      <c r="B80" s="748" t="inlineStr">
        <is>
          <t>Theo_Doi_Tan_Suat_Be_Tong</t>
        </is>
      </c>
      <c r="C80" s="748" t="n">
        <v>62</v>
      </c>
      <c r="D80" s="748" t="inlineStr">
        <is>
          <t>Bê tông dầm Super-T Nhịp 1 - Phiến D4 (C45 đá 1x2)</t>
        </is>
      </c>
      <c r="E80" s="748" t="inlineStr">
        <is>
          <t>Mác C45 chưa có cấp phối riêng — đang dùng cấp phối C30 (0,425 t XM; 0,555 m³ cát; 0,700 m³ đá / m³). Nhập cấp phối được duyệt.</t>
        </is>
      </c>
      <c r="F80" s="748" t="inlineStr"/>
      <c r="G80" s="748" t="inlineStr"/>
      <c r="H80" s="748" t="inlineStr"/>
      <c r="I80" s="748" t="inlineStr"/>
    </row>
    <row r="81">
      <c r="A81" s="748" t="n">
        <v>78</v>
      </c>
      <c r="B81" s="748" t="inlineStr">
        <is>
          <t>Theo_Doi_Tan_Suat_Be_Tong</t>
        </is>
      </c>
      <c r="C81" s="748" t="n">
        <v>63</v>
      </c>
      <c r="D81" s="748" t="inlineStr">
        <is>
          <t>Bê tông dầm Super-T Nhịp 1 - Phiến D5 (C45 đá 1x2)</t>
        </is>
      </c>
      <c r="E81" s="748" t="inlineStr">
        <is>
          <t>Mác C45 chưa có cấp phối riêng — đang dùng cấp phối C30 (0,425 t XM; 0,555 m³ cát; 0,700 m³ đá / m³). Nhập cấp phối được duyệt.</t>
        </is>
      </c>
      <c r="F81" s="748" t="inlineStr"/>
      <c r="G81" s="748" t="inlineStr"/>
      <c r="H81" s="748" t="inlineStr"/>
      <c r="I81" s="748" t="inlineStr"/>
    </row>
    <row r="82">
      <c r="A82" s="748" t="n">
        <v>79</v>
      </c>
      <c r="B82" s="748" t="inlineStr">
        <is>
          <t>Theo_Doi_Tan_Suat_Be_Tong</t>
        </is>
      </c>
      <c r="C82" s="748" t="n">
        <v>64</v>
      </c>
      <c r="D82" s="748" t="inlineStr">
        <is>
          <t>Bê tông dầm Super-T Nhịp 2 - Phiến D1 (C45 đá 1x2)</t>
        </is>
      </c>
      <c r="E82" s="748" t="inlineStr">
        <is>
          <t>Mác C45 chưa có cấp phối riêng — đang dùng cấp phối C30 (0,425 t XM; 0,555 m³ cát; 0,700 m³ đá / m³). Nhập cấp phối được duyệt.</t>
        </is>
      </c>
      <c r="F82" s="748" t="inlineStr"/>
      <c r="G82" s="748" t="inlineStr"/>
      <c r="H82" s="748" t="inlineStr"/>
      <c r="I82" s="748" t="inlineStr"/>
    </row>
    <row r="83">
      <c r="A83" s="748" t="n">
        <v>80</v>
      </c>
      <c r="B83" s="748" t="inlineStr">
        <is>
          <t>Theo_Doi_Tan_Suat_Be_Tong</t>
        </is>
      </c>
      <c r="C83" s="748" t="n">
        <v>65</v>
      </c>
      <c r="D83" s="748" t="inlineStr">
        <is>
          <t>Bê tông dầm Super-T Nhịp 2 - Phiến D2 (C45 đá 1x2)</t>
        </is>
      </c>
      <c r="E83" s="748" t="inlineStr">
        <is>
          <t>Mác C45 chưa có cấp phối riêng — đang dùng cấp phối C30 (0,425 t XM; 0,555 m³ cát; 0,700 m³ đá / m³). Nhập cấp phối được duyệt.</t>
        </is>
      </c>
      <c r="F83" s="748" t="inlineStr"/>
      <c r="G83" s="748" t="inlineStr"/>
      <c r="H83" s="748" t="inlineStr"/>
      <c r="I83" s="748" t="inlineStr"/>
    </row>
    <row r="84">
      <c r="A84" s="748" t="n">
        <v>81</v>
      </c>
      <c r="B84" s="748" t="inlineStr">
        <is>
          <t>Theo_Doi_Tan_Suat_Be_Tong</t>
        </is>
      </c>
      <c r="C84" s="748" t="n">
        <v>66</v>
      </c>
      <c r="D84" s="748" t="inlineStr">
        <is>
          <t>Bê tông dầm Super-T Nhịp 2 - Phiến D3 (C45 đá 1x2)</t>
        </is>
      </c>
      <c r="E84" s="748" t="inlineStr">
        <is>
          <t>Mác C45 chưa có cấp phối riêng — đang dùng cấp phối C30 (0,425 t XM; 0,555 m³ cát; 0,700 m³ đá / m³). Nhập cấp phối được duyệt.</t>
        </is>
      </c>
      <c r="F84" s="748" t="inlineStr"/>
      <c r="G84" s="748" t="inlineStr"/>
      <c r="H84" s="748" t="inlineStr"/>
      <c r="I84" s="748" t="inlineStr"/>
    </row>
    <row r="85">
      <c r="A85" s="748" t="n">
        <v>82</v>
      </c>
      <c r="B85" s="748" t="inlineStr">
        <is>
          <t>Theo_Doi_Tan_Suat_Be_Tong</t>
        </is>
      </c>
      <c r="C85" s="748" t="n">
        <v>67</v>
      </c>
      <c r="D85" s="748" t="inlineStr">
        <is>
          <t>Bê tông dầm Super-T Nhịp 2 - Phiến D4 (C45 đá 1x2)</t>
        </is>
      </c>
      <c r="E85" s="748" t="inlineStr">
        <is>
          <t>Mác C45 chưa có cấp phối riêng — đang dùng cấp phối C30 (0,425 t XM; 0,555 m³ cát; 0,700 m³ đá / m³). Nhập cấp phối được duyệt.</t>
        </is>
      </c>
      <c r="F85" s="748" t="inlineStr"/>
      <c r="G85" s="748" t="inlineStr"/>
      <c r="H85" s="748" t="inlineStr"/>
      <c r="I85" s="748" t="inlineStr"/>
    </row>
    <row r="86">
      <c r="A86" s="748" t="n">
        <v>83</v>
      </c>
      <c r="B86" s="748" t="inlineStr">
        <is>
          <t>Theo_Doi_Tan_Suat_Be_Tong</t>
        </is>
      </c>
      <c r="C86" s="748" t="n">
        <v>68</v>
      </c>
      <c r="D86" s="748" t="inlineStr">
        <is>
          <t>Bê tông dầm Super-T Nhịp 2 - Phiến D5 (C45 đá 1x2)</t>
        </is>
      </c>
      <c r="E86" s="748" t="inlineStr">
        <is>
          <t>Mác C45 chưa có cấp phối riêng — đang dùng cấp phối C30 (0,425 t XM; 0,555 m³ cát; 0,700 m³ đá / m³). Nhập cấp phối được duyệt.</t>
        </is>
      </c>
      <c r="F86" s="748" t="inlineStr"/>
      <c r="G86" s="748" t="inlineStr"/>
      <c r="H86" s="748" t="inlineStr"/>
      <c r="I86" s="748" t="inlineStr"/>
    </row>
    <row r="87">
      <c r="A87" s="748" t="n">
        <v>84</v>
      </c>
      <c r="B87" s="748" t="inlineStr">
        <is>
          <t>Theo_Doi_Tan_Suat_Be_Tong</t>
        </is>
      </c>
      <c r="C87" s="748" t="n">
        <v>69</v>
      </c>
      <c r="D87" s="748" t="inlineStr">
        <is>
          <t>Bê tông dầm Super-T Nhịp 3 - Phiến D1 (C45 đá 1x2)</t>
        </is>
      </c>
      <c r="E87" s="748" t="inlineStr">
        <is>
          <t>Mác C45 chưa có cấp phối riêng — đang dùng cấp phối C30 (0,425 t XM; 0,555 m³ cát; 0,700 m³ đá / m³). Nhập cấp phối được duyệt.</t>
        </is>
      </c>
      <c r="F87" s="748" t="inlineStr"/>
      <c r="G87" s="748" t="inlineStr"/>
      <c r="H87" s="748" t="inlineStr"/>
      <c r="I87" s="748" t="inlineStr"/>
    </row>
    <row r="88">
      <c r="A88" s="748" t="n">
        <v>85</v>
      </c>
      <c r="B88" s="748" t="inlineStr">
        <is>
          <t>Theo_Doi_Tan_Suat_Be_Tong</t>
        </is>
      </c>
      <c r="C88" s="748" t="n">
        <v>70</v>
      </c>
      <c r="D88" s="748" t="inlineStr">
        <is>
          <t>Bê tông dầm Super-T Nhịp 3 - Phiến D2 (C45 đá 1x2)</t>
        </is>
      </c>
      <c r="E88" s="748" t="inlineStr">
        <is>
          <t>Mác C45 chưa có cấp phối riêng — đang dùng cấp phối C30 (0,425 t XM; 0,555 m³ cát; 0,700 m³ đá / m³). Nhập cấp phối được duyệt.</t>
        </is>
      </c>
      <c r="F88" s="748" t="inlineStr"/>
      <c r="G88" s="748" t="inlineStr"/>
      <c r="H88" s="748" t="inlineStr"/>
      <c r="I88" s="748" t="inlineStr"/>
    </row>
    <row r="89">
      <c r="A89" s="748" t="n">
        <v>86</v>
      </c>
      <c r="B89" s="748" t="inlineStr">
        <is>
          <t>Theo_Doi_Tan_Suat_Be_Tong</t>
        </is>
      </c>
      <c r="C89" s="748" t="n">
        <v>71</v>
      </c>
      <c r="D89" s="748" t="inlineStr">
        <is>
          <t>Bê tông dầm Super-T Nhịp 3 - Phiến D3 (C45 đá 1x2)</t>
        </is>
      </c>
      <c r="E89" s="748" t="inlineStr">
        <is>
          <t>Mác C45 chưa có cấp phối riêng — đang dùng cấp phối C30 (0,425 t XM; 0,555 m³ cát; 0,700 m³ đá / m³). Nhập cấp phối được duyệt.</t>
        </is>
      </c>
      <c r="F89" s="748" t="inlineStr"/>
      <c r="G89" s="748" t="inlineStr"/>
      <c r="H89" s="748" t="inlineStr"/>
      <c r="I89" s="748" t="inlineStr"/>
    </row>
    <row r="90">
      <c r="A90" s="748" t="n">
        <v>87</v>
      </c>
      <c r="B90" s="748" t="inlineStr">
        <is>
          <t>Theo_Doi_Tan_Suat_Be_Tong</t>
        </is>
      </c>
      <c r="C90" s="748" t="n">
        <v>72</v>
      </c>
      <c r="D90" s="748" t="inlineStr">
        <is>
          <t>Bê tông dầm Super-T Nhịp 3 - Phiến D4 (C45 đá 1x2)</t>
        </is>
      </c>
      <c r="E90" s="748" t="inlineStr">
        <is>
          <t>Mác C45 chưa có cấp phối riêng — đang dùng cấp phối C30 (0,425 t XM; 0,555 m³ cát; 0,700 m³ đá / m³). Nhập cấp phối được duyệt.</t>
        </is>
      </c>
      <c r="F90" s="748" t="inlineStr"/>
      <c r="G90" s="748" t="inlineStr"/>
      <c r="H90" s="748" t="inlineStr"/>
      <c r="I90" s="748" t="inlineStr"/>
    </row>
    <row r="91">
      <c r="A91" s="748" t="n">
        <v>88</v>
      </c>
      <c r="B91" s="748" t="inlineStr">
        <is>
          <t>Theo_Doi_Tan_Suat_Be_Tong</t>
        </is>
      </c>
      <c r="C91" s="748" t="n">
        <v>73</v>
      </c>
      <c r="D91" s="748" t="inlineStr">
        <is>
          <t>Bê tông dầm Super-T Nhịp 3 - Phiến D5 (C45 đá 1x2)</t>
        </is>
      </c>
      <c r="E91" s="748" t="inlineStr">
        <is>
          <t>Mác C45 chưa có cấp phối riêng — đang dùng cấp phối C30 (0,425 t XM; 0,555 m³ cát; 0,700 m³ đá / m³). Nhập cấp phối được duyệt.</t>
        </is>
      </c>
      <c r="F91" s="748" t="inlineStr"/>
      <c r="G91" s="748" t="inlineStr"/>
      <c r="H91" s="748" t="inlineStr"/>
      <c r="I91" s="748" t="inlineStr"/>
    </row>
    <row r="92">
      <c r="A92" s="748" t="n">
        <v>89</v>
      </c>
      <c r="B92" s="748" t="inlineStr">
        <is>
          <t>Theo_Doi_Tan_Suat_Be_Tong</t>
        </is>
      </c>
      <c r="C92" s="748" t="n">
        <v>75</v>
      </c>
      <c r="D92" s="748" t="inlineStr">
        <is>
          <t>Bê tông dầm ngang mố M1 &amp; Trụ T1 (C35 đá 1x2)</t>
        </is>
      </c>
      <c r="E92" s="748" t="inlineStr">
        <is>
          <t>Mác C35 chưa có cấp phối riêng — đang dùng cấp phối C30 (0,425 t XM; 0,555 m³ cát; 0,700 m³ đá / m³). Nhập cấp phối được duyệt.</t>
        </is>
      </c>
      <c r="F92" s="748" t="inlineStr"/>
      <c r="G92" s="748" t="inlineStr"/>
      <c r="H92" s="748" t="inlineStr"/>
      <c r="I92" s="748" t="inlineStr"/>
    </row>
    <row r="93">
      <c r="A93" s="748" t="n">
        <v>90</v>
      </c>
      <c r="B93" s="748" t="inlineStr">
        <is>
          <t>Theo_Doi_Tan_Suat_Be_Tong</t>
        </is>
      </c>
      <c r="C93" s="748" t="n">
        <v>76</v>
      </c>
      <c r="D93" s="748" t="inlineStr">
        <is>
          <t>Bê tông dầm ngang Trụ T1 &amp; Trụ T2 (C35 đá 1x2)</t>
        </is>
      </c>
      <c r="E93" s="748" t="inlineStr">
        <is>
          <t>Mác C35 chưa có cấp phối riêng — đang dùng cấp phối C30 (0,425 t XM; 0,555 m³ cát; 0,700 m³ đá / m³). Nhập cấp phối được duyệt.</t>
        </is>
      </c>
      <c r="F93" s="748" t="inlineStr"/>
      <c r="G93" s="748" t="inlineStr"/>
      <c r="H93" s="748" t="inlineStr"/>
      <c r="I93" s="748" t="inlineStr"/>
    </row>
    <row r="94">
      <c r="A94" s="748" t="n">
        <v>91</v>
      </c>
      <c r="B94" s="748" t="inlineStr">
        <is>
          <t>Theo_Doi_Tan_Suat_Be_Tong</t>
        </is>
      </c>
      <c r="C94" s="748" t="n">
        <v>77</v>
      </c>
      <c r="D94" s="748" t="inlineStr">
        <is>
          <t>Bê tông dầm ngang Trụ T2 &amp; Mố M2 (C35 đá 1x2)</t>
        </is>
      </c>
      <c r="E94" s="748" t="inlineStr">
        <is>
          <t>Mác C35 chưa có cấp phối riêng — đang dùng cấp phối C30 (0,425 t XM; 0,555 m³ cát; 0,700 m³ đá / m³). Nhập cấp phối được duyệt.</t>
        </is>
      </c>
      <c r="F94" s="748" t="inlineStr"/>
      <c r="G94" s="748" t="inlineStr"/>
      <c r="H94" s="748" t="inlineStr"/>
      <c r="I94" s="748" t="inlineStr"/>
    </row>
    <row r="95">
      <c r="A95" s="748" t="n">
        <v>92</v>
      </c>
      <c r="B95" s="748" t="inlineStr">
        <is>
          <t>Theo_Doi_Tan_Suat_Be_Tong</t>
        </is>
      </c>
      <c r="C95" s="748" t="n">
        <v>78</v>
      </c>
      <c r="D95" s="748" t="inlineStr">
        <is>
          <t>Bê tông bản liên tục nhiệt tại trụ T1, T2 (C35 đá 1x2)</t>
        </is>
      </c>
      <c r="E95" s="748" t="inlineStr">
        <is>
          <t>Mác C35 chưa có cấp phối riêng — đang dùng cấp phối C30 (0,425 t XM; 0,555 m³ cát; 0,700 m³ đá / m³). Nhập cấp phối được duyệt.</t>
        </is>
      </c>
      <c r="F95" s="748" t="inlineStr"/>
      <c r="G95" s="748" t="inlineStr"/>
      <c r="H95" s="748" t="inlineStr"/>
      <c r="I95" s="748" t="inlineStr"/>
    </row>
    <row r="96">
      <c r="A96" s="748" t="n">
        <v>93</v>
      </c>
      <c r="B96" s="748" t="inlineStr">
        <is>
          <t>Theo_Doi_Tan_Suat_Be_Tong</t>
        </is>
      </c>
      <c r="C96" s="748" t="n">
        <v>79</v>
      </c>
      <c r="D96" s="748" t="inlineStr">
        <is>
          <t>Bê tông bản mặt cầu Nhịp 1 (C35 đá 1x2)</t>
        </is>
      </c>
      <c r="E96" s="748" t="inlineStr">
        <is>
          <t>Mác C35 chưa có cấp phối riêng — đang dùng cấp phối C30 (0,425 t XM; 0,555 m³ cát; 0,700 m³ đá / m³). Nhập cấp phối được duyệt.</t>
        </is>
      </c>
      <c r="F96" s="748" t="inlineStr"/>
      <c r="G96" s="748" t="inlineStr"/>
      <c r="H96" s="748" t="inlineStr"/>
      <c r="I96" s="748" t="inlineStr"/>
    </row>
    <row r="97">
      <c r="A97" s="748" t="n">
        <v>94</v>
      </c>
      <c r="B97" s="748" t="inlineStr">
        <is>
          <t>Theo_Doi_Tan_Suat_Be_Tong</t>
        </is>
      </c>
      <c r="C97" s="748" t="n">
        <v>80</v>
      </c>
      <c r="D97" s="748" t="inlineStr">
        <is>
          <t>Bê tông bản mặt cầu Nhịp 2 (C35 đá 1x2)</t>
        </is>
      </c>
      <c r="E97" s="748" t="inlineStr">
        <is>
          <t>Mác C35 chưa có cấp phối riêng — đang dùng cấp phối C30 (0,425 t XM; 0,555 m³ cát; 0,700 m³ đá / m³). Nhập cấp phối được duyệt.</t>
        </is>
      </c>
      <c r="F97" s="748" t="inlineStr"/>
      <c r="G97" s="748" t="inlineStr"/>
      <c r="H97" s="748" t="inlineStr"/>
      <c r="I97" s="748" t="inlineStr"/>
    </row>
    <row r="98">
      <c r="A98" s="748" t="n">
        <v>95</v>
      </c>
      <c r="B98" s="748" t="inlineStr">
        <is>
          <t>Theo_Doi_Tan_Suat_Be_Tong</t>
        </is>
      </c>
      <c r="C98" s="748" t="n">
        <v>81</v>
      </c>
      <c r="D98" s="748" t="inlineStr">
        <is>
          <t>Bê tông bản mặt cầu Nhịp 3 (C35 đá 1x2)</t>
        </is>
      </c>
      <c r="E98" s="748" t="inlineStr">
        <is>
          <t>Mác C35 chưa có cấp phối riêng — đang dùng cấp phối C30 (0,425 t XM; 0,555 m³ cát; 0,700 m³ đá / m³). Nhập cấp phối được duyệt.</t>
        </is>
      </c>
      <c r="F98" s="748" t="inlineStr"/>
      <c r="G98" s="748" t="inlineStr"/>
      <c r="H98" s="748" t="inlineStr"/>
      <c r="I98" s="748" t="inlineStr"/>
    </row>
    <row r="99">
      <c r="A99" s="748" t="n">
        <v>96</v>
      </c>
      <c r="B99" s="748" t="inlineStr">
        <is>
          <t>Theo_Doi_Tan_Suat_Be_Tong</t>
        </is>
      </c>
      <c r="C99" s="748" t="n">
        <v>82</v>
      </c>
      <c r="D99" s="748" t="inlineStr">
        <is>
          <t>Bê tông bản quá độ mố M1 (C25 đá 1x2)</t>
        </is>
      </c>
      <c r="E99" s="748" t="inlineStr">
        <is>
          <t>Mác C25 chưa có cấp phối riêng — đang dùng cấp phối C30 (0,425 t XM; 0,555 m³ cát; 0,700 m³ đá / m³). Nhập cấp phối được duyệt.</t>
        </is>
      </c>
      <c r="F99" s="748" t="inlineStr"/>
      <c r="G99" s="748" t="inlineStr"/>
      <c r="H99" s="748" t="inlineStr"/>
      <c r="I99" s="748" t="inlineStr"/>
    </row>
    <row r="100">
      <c r="A100" s="748" t="n">
        <v>97</v>
      </c>
      <c r="B100" s="748" t="inlineStr">
        <is>
          <t>Theo_Doi_Tan_Suat_Be_Tong</t>
        </is>
      </c>
      <c r="C100" s="748" t="n">
        <v>83</v>
      </c>
      <c r="D100" s="748" t="inlineStr">
        <is>
          <t>Bê tông bản quá độ mố M2 (C25 đá 1x2)</t>
        </is>
      </c>
      <c r="E100" s="748" t="inlineStr">
        <is>
          <t>Mác C25 chưa có cấp phối riêng — đang dùng cấp phối C30 (0,425 t XM; 0,555 m³ cát; 0,700 m³ đá / m³). Nhập cấp phối được duyệt.</t>
        </is>
      </c>
      <c r="F100" s="748" t="inlineStr"/>
      <c r="G100" s="748" t="inlineStr"/>
      <c r="H100" s="748" t="inlineStr"/>
      <c r="I100" s="748" t="inlineStr"/>
    </row>
    <row r="101">
      <c r="A101" s="748" t="n">
        <v>98</v>
      </c>
      <c r="B101" s="748" t="inlineStr">
        <is>
          <t>Theo_Doi_Tan_Suat_Be_Tong</t>
        </is>
      </c>
      <c r="C101" s="748" t="n">
        <v>84</v>
      </c>
      <c r="D101" s="748" t="inlineStr">
        <is>
          <t>Bê tông gờ lan can mố M1 &amp; Nhịp 1 (C25 đá 1x2)</t>
        </is>
      </c>
      <c r="E101" s="748" t="inlineStr">
        <is>
          <t>Mác C25 chưa có cấp phối riêng — đang dùng cấp phối C30 (0,425 t XM; 0,555 m³ cát; 0,700 m³ đá / m³). Nhập cấp phối được duyệt.</t>
        </is>
      </c>
      <c r="F101" s="748" t="inlineStr"/>
      <c r="G101" s="748" t="inlineStr"/>
      <c r="H101" s="748" t="inlineStr"/>
      <c r="I101" s="748" t="inlineStr"/>
    </row>
    <row r="102">
      <c r="A102" s="748" t="n">
        <v>99</v>
      </c>
      <c r="B102" s="748" t="inlineStr">
        <is>
          <t>Theo_Doi_Tan_Suat_Be_Tong</t>
        </is>
      </c>
      <c r="C102" s="748" t="n">
        <v>85</v>
      </c>
      <c r="D102" s="748" t="inlineStr">
        <is>
          <t>Bê tông gờ lan can Nhịp 2, Nhịp 3 &amp; mố M2 (C25)</t>
        </is>
      </c>
      <c r="E102" s="748" t="inlineStr">
        <is>
          <t>Mác C25 chưa có cấp phối riêng — đang dùng cấp phối C30 (0,425 t XM; 0,555 m³ cát; 0,700 m³ đá / m³). Nhập cấp phối được duyệt.</t>
        </is>
      </c>
      <c r="F102" s="748" t="inlineStr"/>
      <c r="G102" s="748" t="inlineStr"/>
      <c r="H102" s="748" t="inlineStr"/>
      <c r="I102" s="748" t="inlineStr"/>
    </row>
    <row r="103">
      <c r="A103" s="748" t="n">
        <v>100</v>
      </c>
      <c r="B103" s="748" t="inlineStr">
        <is>
          <t>Theo_Doi_Tan_Suat_Be_Tong</t>
        </is>
      </c>
      <c r="C103" s="748" t="n">
        <v>86</v>
      </c>
      <c r="D103" s="748" t="inlineStr">
        <is>
          <t>Bê tông khe co giãn răng lược D=100mm mố M1 &amp; M2 (C40)</t>
        </is>
      </c>
      <c r="E103" s="748" t="inlineStr">
        <is>
          <t>Mác C40 chưa có cấp phối riêng — đang dùng cấp phối C30 (0,425 t XM; 0,555 m³ cát; 0,700 m³ đá / m³). Nhập cấp phối được duyệt.</t>
        </is>
      </c>
      <c r="F103" s="748" t="inlineStr"/>
      <c r="G103" s="748" t="inlineStr"/>
      <c r="H103" s="748" t="inlineStr"/>
      <c r="I103" s="748" t="inlineStr"/>
    </row>
    <row r="104">
      <c r="A104" s="748" t="n">
        <v>101</v>
      </c>
      <c r="B104" s="748" t="inlineStr">
        <is>
          <t>Theo_Doi_Tan_Suat_Be_Tong</t>
        </is>
      </c>
      <c r="C104" s="748" t="n"/>
      <c r="D104" s="748" t="inlineStr">
        <is>
          <t>Cột Q/R/S</t>
        </is>
      </c>
      <c r="E104" s="748" t="inlineStr">
        <is>
          <t>Sửa công thức số lần: cát chia 200 m³, đá chia 350 m³ (dòng 4–73 cũ chia ngược 350/200); lần 1 lấy khi bắt đầu dùng (ROUNDUP thay INT).</t>
        </is>
      </c>
      <c r="F104" s="748" t="inlineStr"/>
      <c r="G104" s="748" t="inlineStr"/>
      <c r="H104" s="748" t="inlineStr"/>
      <c r="I104" s="748" t="inlineStr"/>
    </row>
    <row r="105">
      <c r="A105" s="748" t="n">
        <v>102</v>
      </c>
      <c r="B105" s="748" t="inlineStr">
        <is>
          <t>Theo_Doi_Tan_Suat_Be_Tong</t>
        </is>
      </c>
      <c r="C105" s="748" t="n"/>
      <c r="D105" s="748" t="inlineStr">
        <is>
          <t>Tấm ván khuôn đúc sẵn bản mặt cầu (25 MPa)</t>
        </is>
      </c>
      <c r="E105" s="748" t="inlineStr">
        <is>
          <t>Có trên bản vẽ nhưng file chưa có dòng đợt đổ: 13,23 m³</t>
        </is>
      </c>
      <c r="F105" s="748" t="inlineStr"/>
      <c r="G105" s="748" t="inlineStr">
        <is>
          <t>13,23 m³</t>
        </is>
      </c>
      <c r="H105" s="748" t="inlineStr">
        <is>
          <t>tr.175</t>
        </is>
      </c>
      <c r="I105" s="748" t="inlineStr"/>
    </row>
    <row r="106">
      <c r="A106" s="748" t="n">
        <v>103</v>
      </c>
      <c r="B106" s="748" t="inlineStr">
        <is>
          <t>Theo_Doi_Tan_Suat_Be_Tong</t>
        </is>
      </c>
      <c r="C106" s="748" t="n"/>
      <c r="D106" s="748" t="inlineStr">
        <is>
          <t>Bê tông đệm bản quá độ (C10)</t>
        </is>
      </c>
      <c r="E106" s="748" t="inlineStr">
        <is>
          <t>Có trên bản vẽ nhưng file chưa có dòng đợt đổ: 15,94 m³ (6,82 + 9,12)</t>
        </is>
      </c>
      <c r="F106" s="748" t="inlineStr"/>
      <c r="G106" s="748" t="inlineStr">
        <is>
          <t>15,94 m³ (6,82 + 9,12)</t>
        </is>
      </c>
      <c r="H106" s="748" t="inlineStr">
        <is>
          <t>tr.126, tr.128</t>
        </is>
      </c>
      <c r="I106" s="748" t="inlineStr"/>
    </row>
    <row r="107">
      <c r="A107" s="748" t="n">
        <v>104</v>
      </c>
      <c r="B107" s="748" t="inlineStr">
        <is>
          <t>Theo_Doi_Tan_Suat_Be_Tong</t>
        </is>
      </c>
      <c r="C107" s="748" t="n"/>
      <c r="D107" s="748" t="inlineStr">
        <is>
          <t>Cọc thử PDA (30 MPa)</t>
        </is>
      </c>
      <c r="E107" s="748" t="inlineStr">
        <is>
          <t>Có trên bản vẽ nhưng file chưa có dòng đợt đổ: 2,91 m³</t>
        </is>
      </c>
      <c r="F107" s="748" t="inlineStr"/>
      <c r="G107" s="748" t="inlineStr">
        <is>
          <t>2,91 m³</t>
        </is>
      </c>
      <c r="H107" s="748" t="inlineStr">
        <is>
          <t>tr.175</t>
        </is>
      </c>
      <c r="I107" s="748" t="inlineStr"/>
    </row>
    <row r="108">
      <c r="A108" s="748" t="n">
        <v>105</v>
      </c>
      <c r="B108" s="748" t="inlineStr">
        <is>
          <t>Theo_Doi_Tan_Suat_Be_Tong</t>
        </is>
      </c>
      <c r="C108" s="748" t="n"/>
      <c r="D108" s="748" t="inlineStr">
        <is>
          <t>Vữa đệm gối 40 MPa</t>
        </is>
      </c>
      <c r="E108" s="748" t="inlineStr">
        <is>
          <t>Có trên bản vẽ nhưng file chưa có dòng đợt đổ: mố 0,166 m³; trụ 0,261 m³</t>
        </is>
      </c>
      <c r="F108" s="748" t="inlineStr"/>
      <c r="G108" s="748" t="inlineStr">
        <is>
          <t>mố 0,166 m³; trụ 0,261 m³</t>
        </is>
      </c>
      <c r="H108" s="748" t="inlineStr">
        <is>
          <t>tr.175</t>
        </is>
      </c>
      <c r="I108" s="748" t="inlineStr"/>
    </row>
    <row r="109">
      <c r="A109" s="748" t="n">
        <v>106</v>
      </c>
      <c r="B109" s="748" t="inlineStr">
        <is>
          <t>Theo_Doi_Tan_Suat_Cot_Thep</t>
        </is>
      </c>
      <c r="C109" s="748" t="n"/>
      <c r="D109" s="748" t="inlineStr">
        <is>
          <t>Toàn sheet</t>
        </is>
      </c>
      <c r="E109" s="748" t="inlineStr">
        <is>
          <t>Dựng lại từ BBS đã sửa theo bản vẽ thẩm định (thép cũ 793 t theo BBS chưa sửa). Số lần TN = ROUNDUP(lũy kế/20 t) — Ø dưới 20 t vẫn có 1 lần (file cũ dùng INT nên Ø10, Ø22 = 0 lần). Cột kết luận để trống, ghi theo kết quả thí nghiệm (file cũ ghi sẵn 'ĐẠT TCVN 1651:2018').</t>
        </is>
      </c>
      <c r="F109" s="748" t="inlineStr"/>
      <c r="G109" s="748" t="inlineStr"/>
      <c r="H109" s="748" t="inlineStr"/>
      <c r="I109" s="748" t="inlineStr"/>
    </row>
    <row r="110">
      <c r="A110" s="748" t="n">
        <v>107</v>
      </c>
      <c r="B110" s="748" t="inlineStr">
        <is>
          <t>TH_Thep_BQD_GLC</t>
        </is>
      </c>
      <c r="C110" s="748" t="n"/>
      <c r="D110" s="748" t="inlineStr">
        <is>
          <t>Phạm vi</t>
        </is>
      </c>
      <c r="E110" s="748" t="inlineStr">
        <is>
          <t>Sheet chỉ gồm gờ lan can TRÊN MỐ và bản quá độ. Gờ lan can chính của cầu (tr.119, 20,07 t) không nằm ở sheet này — nếu dùng để đặt thép gờ lan can thì cần thêm.</t>
        </is>
      </c>
      <c r="F110" s="748" t="inlineStr"/>
      <c r="G110" s="748" t="inlineStr"/>
      <c r="H110" s="748" t="inlineStr"/>
      <c r="I110" s="748" t="inlineStr"/>
    </row>
    <row r="111">
      <c r="A111" s="748" t="n">
        <v>108</v>
      </c>
      <c r="B111" s="748" t="inlineStr">
        <is>
          <t>TH_Thep_BQD_GLC</t>
        </is>
      </c>
      <c r="C111" s="748" t="n">
        <v>57</v>
      </c>
      <c r="D111" s="748" t="inlineStr">
        <is>
          <t>PA4 / PA1</t>
        </is>
      </c>
      <c r="E111" s="748" t="inlineStr">
        <is>
          <t>Số cây PA4/PA1 nhập tay theo khối lượng cũ — cập nhật theo bộ cắt thép (02_XUONG_TIEN_CHE_COT_THEP).</t>
        </is>
      </c>
      <c r="F111" s="748" t="inlineStr"/>
      <c r="G111" s="748" t="inlineStr"/>
      <c r="H111" s="748" t="inlineStr"/>
      <c r="I111" s="748" t="inlineStr"/>
    </row>
    <row r="112">
      <c r="A112" s="748" t="n">
        <v>109</v>
      </c>
      <c r="B112" s="748" t="inlineStr">
        <is>
          <t>Tong_Hop_Tan_Suat_Vat_Lieu</t>
        </is>
      </c>
      <c r="C112" s="748" t="n">
        <v>22</v>
      </c>
      <c r="D112" s="748" t="inlineStr">
        <is>
          <t>Cáp DƯL 15.2</t>
        </is>
      </c>
      <c r="E112" s="748" t="inlineStr">
        <is>
          <t>BBS 27.784 t; bảng tổng hợp bản vẽ tr.175 ghi 29.911 t</t>
        </is>
      </c>
      <c r="F112" s="748" t="inlineStr">
        <is>
          <t>27.784</t>
        </is>
      </c>
      <c r="G112" s="748" t="inlineStr">
        <is>
          <t>29.911</t>
        </is>
      </c>
      <c r="H112" s="748" t="inlineStr">
        <is>
          <t>tr.175</t>
        </is>
      </c>
      <c r="I112" s="748" t="inlineStr"/>
    </row>
    <row r="113">
      <c r="A113" s="748" t="n">
        <v>110</v>
      </c>
      <c r="B113" s="748" t="inlineStr">
        <is>
          <t>Tong_Hop_Tan_Suat_Vat_Lieu</t>
        </is>
      </c>
      <c r="C113" s="748" t="n">
        <v>23</v>
      </c>
      <c r="D113" s="748" t="inlineStr">
        <is>
          <t>Mối nối cóc nối ren coupler / hàn đối đầu</t>
        </is>
      </c>
      <c r="E113" s="748" t="inlineStr">
        <is>
          <t>Khối lượng '1840' / '4 lần (mỗi lô 3 mẫu kéo)' đang nhập tay — chưa đối chiếu bản vẽ và chỉ dẫn kỹ thuật (tr.175: cóc nối cọc 4.608 bộ)</t>
        </is>
      </c>
      <c r="F113" s="748" t="inlineStr"/>
      <c r="G113" s="748" t="inlineStr"/>
      <c r="H113" s="748" t="inlineStr"/>
      <c r="I113" s="748" t="inlineStr"/>
    </row>
    <row r="114">
      <c r="A114" s="748" t="n">
        <v>111</v>
      </c>
      <c r="B114" s="748" t="inlineStr">
        <is>
          <t>Tong_Hop_Tan_Suat_Vat_Lieu</t>
        </is>
      </c>
      <c r="C114" s="748" t="n">
        <v>25</v>
      </c>
      <c r="D114" s="748" t="inlineStr">
        <is>
          <t>Thí nghiệm nén mẫu bê tông hiện trường R7, R28</t>
        </is>
      </c>
      <c r="E114" s="748" t="inlineStr">
        <is>
          <t>Khối lượng '79' / '79 tổ mẫu (237 viên)' đang nhập tay — chưa đối chiếu bản vẽ và chỉ dẫn kỹ thuật</t>
        </is>
      </c>
      <c r="F114" s="748" t="inlineStr"/>
      <c r="G114" s="748" t="inlineStr"/>
      <c r="H114" s="748" t="inlineStr"/>
      <c r="I114" s="748" t="inlineStr"/>
    </row>
    <row r="115">
      <c r="A115" s="748" t="n">
        <v>112</v>
      </c>
      <c r="B115" s="748" t="inlineStr">
        <is>
          <t>Tong_Hop_Tan_Suat_Vat_Lieu</t>
        </is>
      </c>
      <c r="C115" s="748" t="n">
        <v>26</v>
      </c>
      <c r="D115" s="748" t="inlineStr">
        <is>
          <t>Thí nghiệm siêu âm cọc khoan nhồi D1.2m</t>
        </is>
      </c>
      <c r="E115" s="748" t="inlineStr">
        <is>
          <t>Khối lượng '156' / '156 mặt cắt siêu âm (26 cọc)' đang nhập tay — chưa đối chiếu bản vẽ và chỉ dẫn kỹ thuật</t>
        </is>
      </c>
      <c r="F115" s="748" t="inlineStr"/>
      <c r="G115" s="748" t="inlineStr"/>
      <c r="H115" s="748" t="inlineStr"/>
      <c r="I115" s="748" t="inlineStr"/>
    </row>
    <row r="116">
      <c r="A116" s="748" t="n">
        <v>113</v>
      </c>
      <c r="B116" s="748" t="inlineStr">
        <is>
          <t>Tong_Hop_Tan_Suat_Vat_Lieu</t>
        </is>
      </c>
      <c r="C116" s="748" t="n">
        <v>27</v>
      </c>
      <c r="D116" s="748" t="inlineStr">
        <is>
          <t>Thử động biến dạng lớn PDA (Sức chịu tải cọc)</t>
        </is>
      </c>
      <c r="E116" s="748" t="inlineStr">
        <is>
          <t>Khối lượng '1' / '1 cọc (T1-C5)' đang nhập tay — chưa đối chiếu bản vẽ và chỉ dẫn kỹ thuật</t>
        </is>
      </c>
      <c r="F116" s="748" t="inlineStr"/>
      <c r="G116" s="748" t="inlineStr"/>
      <c r="H116" s="748" t="inlineStr"/>
      <c r="I116" s="748" t="inlineStr"/>
    </row>
    <row r="117">
      <c r="A117" s="748" t="n">
        <v>114</v>
      </c>
      <c r="B117" s="748" t="inlineStr">
        <is>
          <t>Tong_Hop_Tan_Suat_Vat_Lieu</t>
        </is>
      </c>
      <c r="C117" s="748" t="n">
        <v>28</v>
      </c>
      <c r="D117" s="748" t="inlineStr">
        <is>
          <t>Thí nghiệm độ sụt bê tông tươi tại hiện trường</t>
        </is>
      </c>
      <c r="E117" s="748" t="inlineStr">
        <is>
          <t>Khối lượng '285' / '285 xe (mỗi xe 1 lần)' đang nhập tay — chưa đối chiếu bản vẽ và chỉ dẫn kỹ thuật</t>
        </is>
      </c>
      <c r="F117" s="748" t="inlineStr"/>
      <c r="G117" s="748" t="inlineStr"/>
      <c r="H117" s="748" t="inlineStr"/>
      <c r="I117" s="748" t="inlineStr"/>
    </row>
    <row r="118">
      <c r="A118" s="748" t="n">
        <v>115</v>
      </c>
      <c r="B118" s="748" t="inlineStr">
        <is>
          <t>DM</t>
        </is>
      </c>
      <c r="C118" s="748" t="n"/>
      <c r="D118" s="748" t="inlineStr">
        <is>
          <t>Danh mục lấy mẫu</t>
        </is>
      </c>
      <c r="E118" s="748" t="inlineStr">
        <is>
          <t>Sinh lại theo các lần lấy mẫu mới: 78 dòng (cũ 74). Ngày lấy mẫu trống khi đợt đổ chưa có ngày (trước đây báo #VALUE!). Giờ bắt đầu/kết thúc lấy theo dòng mẫu cũ — chỉnh theo thực tế.</t>
        </is>
      </c>
      <c r="F118" s="748" t="inlineStr"/>
      <c r="G118" s="748" t="inlineStr"/>
      <c r="H118" s="748" t="inlineStr"/>
      <c r="I118" s="748" t="inlineStr"/>
    </row>
    <row r="119">
      <c r="A119" s="748" t="n">
        <v>116</v>
      </c>
      <c r="B119" s="748" t="inlineStr">
        <is>
          <t>BBLM</t>
        </is>
      </c>
      <c r="C119" s="748" t="n">
        <v>4</v>
      </c>
      <c r="D119" s="748" t="inlineStr">
        <is>
          <t>Nút chọn phiếu</t>
        </is>
      </c>
      <c r="E119" s="748" t="inlineStr">
        <is>
          <t>Nút xoay (spinner) chọn số phiếu không giữ được khi công cụ lưu file — nhập số thứ tự phiếu vào ô N4, hoặc chép sheet BBLM từ file gốc sang.</t>
        </is>
      </c>
      <c r="F119" s="748" t="inlineStr"/>
      <c r="G119" s="748" t="inlineStr"/>
      <c r="H119" s="748" t="inlineStr"/>
      <c r="I119" s="74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2026-10-07T07:55:49Z</dcterms:created>
  <dcterms:modified xmlns:dcterms="http://purl.org/dc/terms/" xmlns:xsi="http://www.w3.org/2001/XMLSchema-instance" xsi:type="dcterms:W3CDTF">2026-10-14T04:23:56Z</dcterms:modified>
  <cp:lastModifiedBy>tu nguyen</cp:lastModifiedBy>
  <cp:lastPrinted>2026-10-08T09:18:45Z</cp:lastPrinted>
</cp:coreProperties>
</file>