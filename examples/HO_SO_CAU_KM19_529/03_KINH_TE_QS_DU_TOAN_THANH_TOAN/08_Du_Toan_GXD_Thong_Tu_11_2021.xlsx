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</v>
      </c>
      <c r="J18" s="37">
        <f>E18*F18*G18*H18*I18</f>
        <v/>
      </c>
      <c r="K18" s="21" t="n"/>
      <c r="L18" s="21" t="n"/>
      <c r="M18" s="38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</v>
      </c>
      <c r="J19" s="37">
        <f>E19*F19*G19*H19*I19</f>
        <v/>
      </c>
      <c r="K19" s="21" t="n"/>
      <c r="L19" s="21" t="n"/>
      <c r="M19" s="38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</v>
      </c>
      <c r="J20" s="37">
        <f>E20*F20*G20*H20*I20</f>
        <v/>
      </c>
      <c r="K20" s="21" t="n"/>
      <c r="L20" s="21" t="n"/>
      <c r="M20" s="38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</v>
      </c>
      <c r="J21" s="37">
        <f>E21*F21*G21*H21*I21</f>
        <v/>
      </c>
      <c r="K21" s="21" t="n"/>
      <c r="L21" s="21" t="n"/>
      <c r="M21" s="38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M2: tổng bản vẽ tr.40 + W6, W7, W9 (bản vẽ ghi 0 kg)</t>
        </is>
      </c>
      <c r="D58" s="23" t="inlineStr">
        <is>
          <t>Tấn</t>
        </is>
      </c>
      <c r="E58" s="35" t="n">
        <v>1</v>
      </c>
      <c r="F58" s="35">
        <f>19.64873+0.23705</f>
        <v/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16.17783+32.55852+13.01311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16.17783+35.18685+13.01311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2 × S1B1 (tr.88) + 3 × S1B2 (tr.91) + 1 × S1B3 (bảng thép như S1B1, tr.88) + 9 × S1G (tr.94)</t>
        </is>
      </c>
      <c r="D67" s="23" t="inlineStr">
        <is>
          <t>Tấn</t>
        </is>
      </c>
      <c r="E67" s="35" t="n">
        <v>1</v>
      </c>
      <c r="F67" s="35">
        <f>2*6.07125+3*6.06528+6.07125+9*5.92008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2" t="inlineStr">
        <is>
          <t>76,002</t>
        </is>
      </c>
      <c r="G8" s="42" t="inlineStr">
        <is>
          <t>70,740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367,040. Bỏ hệ số nở thành 3,5186 — lấy thể tích thiết kế tr.68.</t>
        </is>
      </c>
      <c r="F9" s="42" t="inlineStr">
        <is>
          <t>405,343</t>
        </is>
      </c>
      <c r="G9" s="42" t="inlineStr">
        <is>
          <t>367,040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277,840. Bỏ hệ số nở thành 3,5186 — lấy thể tích thiết kế tr.70.</t>
        </is>
      </c>
      <c r="F10" s="42" t="inlineStr">
        <is>
          <t>304,007</t>
        </is>
      </c>
      <c r="G10" s="42" t="inlineStr">
        <is>
          <t>277,840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290,920. Bỏ hệ số nở thành 3,5186 — lấy thể tích thiết kế tr.66.</t>
        </is>
      </c>
      <c r="F11" s="42" t="inlineStr">
        <is>
          <t>319,207</t>
        </is>
      </c>
      <c r="G11" s="42" t="inlineStr">
        <is>
          <t>290,920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2" t="inlineStr">
        <is>
          <t>31,850</t>
        </is>
      </c>
      <c r="G33" s="42" t="inlineStr">
        <is>
          <t>19,886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2026-10-11T14:14:36Z</dcterms:modified>
</cp:coreProperties>
</file>