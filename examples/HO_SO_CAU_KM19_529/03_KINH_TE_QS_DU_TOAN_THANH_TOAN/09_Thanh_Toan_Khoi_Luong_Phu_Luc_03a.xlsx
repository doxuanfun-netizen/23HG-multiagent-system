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ANH_TOAN_KY_PHU_LUC_03A" sheetId="1" state="visible" r:id="rId1"/>
    <sheet xmlns:r="http://schemas.openxmlformats.org/officeDocument/2006/relationships" name="QS_DIEN_GIAI_CHI_TIET" sheetId="2" state="visible" r:id="rId2"/>
    <sheet xmlns:r="http://schemas.openxmlformats.org/officeDocument/2006/relationships" name="NGHI_VA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00"/>
  </numFmts>
  <fonts count="10">
    <font>
      <name val="Calibri"/>
      <family val="2"/>
      <color theme="1"/>
      <sz val="11"/>
      <scheme val="minor"/>
    </font>
    <font>
      <name val="Times New Roman"/>
      <b val="1"/>
      <color rgb="001F497D"/>
      <sz val="13"/>
    </font>
    <font>
      <name val="Times New Roman"/>
      <b val="1"/>
      <color rgb="001F497D"/>
      <sz val="10"/>
    </font>
    <font>
      <name val="Times New Roman"/>
      <i val="1"/>
      <color rgb="00595959"/>
      <sz val="10"/>
    </font>
    <font>
      <name val="Times New Roman"/>
      <b val="1"/>
      <color rgb="00FFFFFF"/>
      <sz val="9"/>
    </font>
    <font>
      <name val="Times New Roman"/>
      <sz val="9"/>
    </font>
    <font>
      <name val="Times New Roman"/>
      <b val="1"/>
      <sz val="9"/>
    </font>
    <font>
      <b val="1"/>
      <color rgb="00FFFFFF"/>
    </font>
    <font>
      <b val="1"/>
      <color rgb="00C00000"/>
    </font>
    <font>
      <b val="1"/>
      <sz val="12"/>
    </font>
  </fonts>
  <fills count="10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DCE6F1"/>
        <bgColor rgb="00DCE6F1"/>
      </patternFill>
    </fill>
    <fill>
      <patternFill patternType="solid">
        <fgColor rgb="00EBF1F5"/>
        <bgColor rgb="00EBF1F5"/>
      </patternFill>
    </fill>
    <fill>
      <patternFill patternType="solid">
        <fgColor rgb="00FFF2CC"/>
        <bgColor rgb="00FFF2CC"/>
      </patternFill>
    </fill>
    <fill>
      <patternFill patternType="solid">
        <fgColor rgb="00F9FAFB"/>
        <bgColor rgb="00F9FAFB"/>
      </patternFill>
    </fill>
    <fill>
      <patternFill patternType="solid">
        <fgColor rgb="001F497D"/>
      </patternFill>
    </fill>
    <fill>
      <patternFill patternType="solid">
        <fgColor rgb="00FFF2CC"/>
      </patternFill>
    </fill>
    <fill>
      <patternFill patternType="solid">
        <fgColor rgb="00F8CBAD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double">
        <color rgb="001F497D"/>
      </bottom>
    </border>
    <border>
      <left/>
      <right/>
      <top style="thin">
        <color rgb="00BFBFBF"/>
      </top>
      <bottom style="double">
        <color rgb="001F497D"/>
      </bottom>
      <diagonal/>
    </border>
    <border>
      <left/>
      <right style="thin">
        <color rgb="00BFBFBF"/>
      </right>
      <top style="thin">
        <color rgb="00BFBFBF"/>
      </top>
      <bottom style="double">
        <color rgb="001F497D"/>
      </bottom>
      <diagonal/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4" fontId="5" fillId="0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0" fontId="6" fillId="5" borderId="2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0" fillId="5" borderId="2" pivotButton="0" quotePrefix="0" xfId="0"/>
    <xf numFmtId="3" fontId="6" fillId="5" borderId="2" pivotButton="0" quotePrefix="0" xfId="0"/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/>
    </xf>
    <xf numFmtId="0" fontId="0" fillId="0" borderId="1" pivotButton="0" quotePrefix="0" xfId="0"/>
    <xf numFmtId="3" fontId="6" fillId="0" borderId="1" applyAlignment="1" pivotButton="0" quotePrefix="0" xfId="0">
      <alignment horizontal="right" vertical="center"/>
    </xf>
    <xf numFmtId="0" fontId="0" fillId="5" borderId="2" applyAlignment="1" pivotButton="0" quotePrefix="0" xfId="0">
      <alignment horizontal="center" vertical="center" wrapText="1"/>
    </xf>
    <xf numFmtId="0" fontId="1" fillId="5" borderId="2" applyAlignment="1" pivotButton="0" quotePrefix="0" xfId="0">
      <alignment horizontal="left" vertical="center"/>
    </xf>
    <xf numFmtId="3" fontId="1" fillId="5" borderId="2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 wrapText="1"/>
    </xf>
    <xf numFmtId="4" fontId="6" fillId="0" borderId="1" pivotButton="0" quotePrefix="0" xfId="0"/>
    <xf numFmtId="3" fontId="6" fillId="0" borderId="1" pivotButton="0" quotePrefix="0" xfId="0"/>
    <xf numFmtId="0" fontId="5" fillId="6" borderId="1" pivotButton="0" quotePrefix="0" xfId="0"/>
    <xf numFmtId="0" fontId="5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 wrapText="1"/>
    </xf>
    <xf numFmtId="4" fontId="5" fillId="6" borderId="1" applyAlignment="1" pivotButton="0" quotePrefix="0" xfId="0">
      <alignment horizontal="right" vertical="center"/>
    </xf>
    <xf numFmtId="164" fontId="5" fillId="6" borderId="1" applyAlignment="1" pivotButton="0" quotePrefix="0" xfId="0">
      <alignment horizontal="right" vertical="center"/>
    </xf>
    <xf numFmtId="4" fontId="5" fillId="6" borderId="1" pivotButton="0" quotePrefix="0" xfId="0"/>
    <xf numFmtId="165" fontId="6" fillId="0" borderId="1" pivotButton="0" quotePrefix="0" xfId="0"/>
    <xf numFmtId="165" fontId="5" fillId="6" borderId="1" pivotButton="0" quotePrefix="0" xfId="0"/>
    <xf numFmtId="0" fontId="7" fillId="7" borderId="7" applyAlignment="1" pivotButton="0" quotePrefix="0" xfId="0">
      <alignment horizontal="center" wrapText="1"/>
    </xf>
    <xf numFmtId="0" fontId="0" fillId="9" borderId="7" applyAlignment="1" pivotButton="0" quotePrefix="0" xfId="0">
      <alignment vertical="top" wrapText="1"/>
    </xf>
    <xf numFmtId="4" fontId="5" fillId="8" borderId="1" applyAlignment="1" pivotButton="0" quotePrefix="0" xfId="0">
      <alignment horizontal="right" vertical="center"/>
    </xf>
    <xf numFmtId="3" fontId="5" fillId="8" borderId="1" applyAlignment="1" pivotButton="0" quotePrefix="0" xfId="0">
      <alignment horizontal="right" vertical="center"/>
    </xf>
    <xf numFmtId="0" fontId="8" fillId="0" borderId="0" pivotButton="0" quotePrefix="0" xfId="0"/>
    <xf numFmtId="0" fontId="7" fillId="7" borderId="7" applyAlignment="1" pivotButton="0" quotePrefix="0" xfId="0">
      <alignment horizontal="center" vertical="center" wrapText="1"/>
    </xf>
    <xf numFmtId="164" fontId="5" fillId="8" borderId="1" applyAlignment="1" pivotButton="0" quotePrefix="0" xfId="0">
      <alignment horizontal="right" vertical="center"/>
    </xf>
    <xf numFmtId="4" fontId="5" fillId="8" borderId="1" pivotButton="0" quotePrefix="0" xfId="0"/>
    <xf numFmtId="165" fontId="6" fillId="8" borderId="1" pivotButton="0" quotePrefix="0" xfId="0"/>
    <xf numFmtId="0" fontId="9" fillId="0" borderId="0" pivotButton="0" quotePrefix="0" xfId="0"/>
    <xf numFmtId="0" fontId="0" fillId="0" borderId="7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M3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0" customWidth="1" min="3" max="3"/>
    <col width="15" customWidth="1" min="4" max="4"/>
    <col width="14" customWidth="1" min="5" max="5"/>
    <col width="18" customWidth="1" min="6" max="6"/>
    <col width="15" customWidth="1" min="7" max="7"/>
    <col width="15" customWidth="1" min="8" max="8"/>
    <col width="16" customWidth="1" min="9" max="9"/>
    <col width="18" customWidth="1" min="10" max="10"/>
    <col width="18" customWidth="1" min="11" max="11"/>
    <col width="24" customWidth="1" min="12" max="12"/>
    <col width="70" customWidth="1" min="13" max="13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XÁC ĐỊNH GIÁ TRỊ KHỐI LƯỢNG CÔNG VIỆC HOÀN THÀNH ĐỀ NGHỊ THANH TOÁN (KỲ 01)</t>
        </is>
      </c>
    </row>
    <row r="4">
      <c r="B4" s="3" t="inlineStr">
        <is>
          <t>Ban hành kèm theo Nghị định số 99/2021/NĐ-CP ngày 11/11/2021 của Chính phủ (Mẫu số 03a) - CẦU KM19+529.080</t>
        </is>
      </c>
    </row>
    <row r="6" ht="32" customHeight="1">
      <c r="A6" s="4" t="inlineStr">
        <is>
          <t>STT</t>
        </is>
      </c>
      <c r="B6" s="4" t="inlineStr">
        <is>
          <t>Nội dung công việc theo hợp đồng</t>
        </is>
      </c>
      <c r="C6" s="4" t="inlineStr">
        <is>
          <t>Đơn vị tính</t>
        </is>
      </c>
      <c r="D6" s="4" t="inlineStr">
        <is>
          <t>Khối lượng
theo HĐ (1)</t>
        </is>
      </c>
      <c r="E6" s="4" t="inlineStr">
        <is>
          <t>Đơn giá
theo HĐ (2)</t>
        </is>
      </c>
      <c r="F6" s="4" t="inlineStr">
        <is>
          <t>Thành tiền
theo HĐ (3=1x2)</t>
        </is>
      </c>
      <c r="G6" s="4" t="inlineStr">
        <is>
          <t>Khối lượng
lũy kế kỳ trước (4)</t>
        </is>
      </c>
      <c r="H6" s="4" t="inlineStr">
        <is>
          <t>Khối lượng
thực hiện kỳ này (5)</t>
        </is>
      </c>
      <c r="I6" s="4" t="inlineStr">
        <is>
          <t>Khối lượng
lũy kế hết kỳ này (6=4+5)</t>
        </is>
      </c>
      <c r="J6" s="4" t="inlineStr">
        <is>
          <t>Giá trị lũy kế
hết kỳ này (7=6x2)</t>
        </is>
      </c>
      <c r="K6" s="4" t="inlineStr">
        <is>
          <t>Giá trị đề nghị
thanh toán kỳ này (8=5x2)</t>
        </is>
      </c>
      <c r="L6" s="4" t="inlineStr">
        <is>
          <t>Ghi chú</t>
        </is>
      </c>
      <c r="M6" s="34" t="inlineStr">
        <is>
          <t>NGHI VẤN (soát &amp; ghim)</t>
        </is>
      </c>
    </row>
    <row r="7" ht="24" customHeight="1">
      <c r="A7" s="5" t="inlineStr">
        <is>
          <t>I. CÔNG TÁC CỌC KHOAN NHỒI D1200MM &amp; THÍ NGHIỆM</t>
        </is>
      </c>
    </row>
    <row r="8" ht="20" customHeight="1">
      <c r="A8" s="6" t="inlineStr">
        <is>
          <t>1</t>
        </is>
      </c>
      <c r="B8" s="7" t="inlineStr">
        <is>
          <t>Khoan tạo lỗ cọc khoan nhồi D1200mm vào đất và đá gốc (26 cọc)</t>
        </is>
      </c>
      <c r="C8" s="6" t="inlineStr">
        <is>
          <t>m</t>
        </is>
      </c>
      <c r="D8" s="8">
        <f>QS_DIEN_GIAI_CHI_TIET!J7</f>
        <v/>
      </c>
      <c r="E8" s="9">
        <f>QS_DIEN_GIAI_CHI_TIET!K7</f>
        <v/>
      </c>
      <c r="F8" s="9">
        <f>D8*E8</f>
        <v/>
      </c>
      <c r="G8" s="8" t="n">
        <v>0</v>
      </c>
      <c r="H8" s="8">
        <f>D8*1.0</f>
        <v/>
      </c>
      <c r="I8" s="8">
        <f>G8+H8</f>
        <v/>
      </c>
      <c r="J8" s="9">
        <f>I8*E8</f>
        <v/>
      </c>
      <c r="K8" s="10">
        <f>H8*E8</f>
        <v/>
      </c>
      <c r="L8" s="7" t="inlineStr">
        <is>
          <t>Nghiệm thu 100% 26 cọc</t>
        </is>
      </c>
      <c r="M8" s="35" t="inlineStr">
        <is>
          <t>Tỷ lệ hoàn thành kỳ này (cột H = D × tỷ lệ) chưa có biên bản nghiệm thu kèm theo — soát và ghim. (H = =D8*1.0). Ghi chú cột L 'Nghiệm thu 100% 26 cọc' là số cũ, không cập nhật theo D — soát lại</t>
        </is>
      </c>
    </row>
    <row r="9" ht="20" customHeight="1">
      <c r="A9" s="6" t="inlineStr">
        <is>
          <t>2</t>
        </is>
      </c>
      <c r="B9" s="7" t="inlineStr">
        <is>
          <t>Hạ và nhổ ống vách thép dẫn hướng D1300mm d=8mm</t>
        </is>
      </c>
      <c r="C9" s="6" t="inlineStr">
        <is>
          <t>m</t>
        </is>
      </c>
      <c r="D9" s="36">
        <f>QS_DIEN_GIAI_CHI_TIET!J12</f>
        <v/>
      </c>
      <c r="E9" s="37">
        <f>QS_DIEN_GIAI_CHI_TIET!K12</f>
        <v/>
      </c>
      <c r="F9" s="9">
        <f>D9*E9</f>
        <v/>
      </c>
      <c r="G9" s="8" t="n">
        <v>0</v>
      </c>
      <c r="H9" s="8">
        <f>D9*1.0</f>
        <v/>
      </c>
      <c r="I9" s="8">
        <f>G9+H9</f>
        <v/>
      </c>
      <c r="J9" s="9">
        <f>I9*E9</f>
        <v/>
      </c>
      <c r="K9" s="10">
        <f>H9*E9</f>
        <v/>
      </c>
      <c r="L9" s="7" t="inlineStr">
        <is>
          <t>Luân chuyển hoàn thành</t>
        </is>
      </c>
      <c r="M9" s="35" t="inlineStr">
        <is>
          <t>Sửa tham chiếu QS: =QS_DIEN_GIAI_CHI_TIET!J13 → =QS_DIEN_GIAI_CHI_TIET!J12 (dòng cũ trỏ vào dòng diễn giải, không phải dòng hạng mục — đơn giá về 0) | Tỷ lệ hoàn thành kỳ này (cột H = D × tỷ lệ) chưa có biên bản nghiệm thu kèm theo — soát và ghim. (H = =D9*1.0)</t>
        </is>
      </c>
    </row>
    <row r="10" ht="20" customHeight="1">
      <c r="A10" s="6" t="inlineStr">
        <is>
          <t>3</t>
        </is>
      </c>
      <c r="B10" s="7" t="inlineStr">
        <is>
          <t>Bê tông cọc khoan nhồi C30/37 đổ bằng ống tremie</t>
        </is>
      </c>
      <c r="C10" s="6" t="inlineStr">
        <is>
          <t>m3</t>
        </is>
      </c>
      <c r="D10" s="36">
        <f>QS_DIEN_GIAI_CHI_TIET!J17</f>
        <v/>
      </c>
      <c r="E10" s="37">
        <f>QS_DIEN_GIAI_CHI_TIET!K17</f>
        <v/>
      </c>
      <c r="F10" s="9">
        <f>D10*E10</f>
        <v/>
      </c>
      <c r="G10" s="8" t="n">
        <v>0</v>
      </c>
      <c r="H10" s="8">
        <f>D10*1.0</f>
        <v/>
      </c>
      <c r="I10" s="8">
        <f>G10+H10</f>
        <v/>
      </c>
      <c r="J10" s="9">
        <f>I10*E10</f>
        <v/>
      </c>
      <c r="K10" s="10">
        <f>H10*E10</f>
        <v/>
      </c>
      <c r="L10" s="7" t="inlineStr">
        <is>
          <t>Đổ xong 1100.86 m3</t>
        </is>
      </c>
      <c r="M10" s="35" t="inlineStr">
        <is>
          <t>Sửa tham chiếu QS: =QS_DIEN_GIAI_CHI_TIET!J18 → =QS_DIEN_GIAI_CHI_TIET!J17 (dòng cũ trỏ vào dòng diễn giải, không phải dòng hạng mục — đơn giá về 0) | Tỷ lệ hoàn thành kỳ này (cột H = D × tỷ lệ) chưa có biên bản nghiệm thu kèm theo — soát và ghim. (H = =D10*1.0). Ghi chú cột L 'Đổ xong 1100.86 m3' là số cũ, không cập nhật theo D — soát lại</t>
        </is>
      </c>
    </row>
    <row r="11" ht="20" customHeight="1">
      <c r="A11" s="6" t="inlineStr">
        <is>
          <t>4</t>
        </is>
      </c>
      <c r="B11" s="7" t="inlineStr">
        <is>
          <t>Cốt thép cọc khoan nhồi D1200mm (D25, D16, D10)</t>
        </is>
      </c>
      <c r="C11" s="6" t="inlineStr">
        <is>
          <t>Tấn</t>
        </is>
      </c>
      <c r="D11" s="36">
        <f>QS_DIEN_GIAI_CHI_TIET!J22</f>
        <v/>
      </c>
      <c r="E11" s="37">
        <f>QS_DIEN_GIAI_CHI_TIET!K22</f>
        <v/>
      </c>
      <c r="F11" s="9">
        <f>D11*E11</f>
        <v/>
      </c>
      <c r="G11" s="8" t="n">
        <v>0</v>
      </c>
      <c r="H11" s="8">
        <f>D11*1.0</f>
        <v/>
      </c>
      <c r="I11" s="8">
        <f>G11+H11</f>
        <v/>
      </c>
      <c r="J11" s="9">
        <f>I11*E11</f>
        <v/>
      </c>
      <c r="K11" s="10">
        <f>H11*E11</f>
        <v/>
      </c>
      <c r="L11" s="7" t="inlineStr">
        <is>
          <t>118.98 tấn</t>
        </is>
      </c>
      <c r="M11" s="35" t="inlineStr">
        <is>
          <t>Sửa tham chiếu QS: =QS_DIEN_GIAI_CHI_TIET!J23 → =QS_DIEN_GIAI_CHI_TIET!J22 (dòng cũ trỏ vào dòng diễn giải, không phải dòng hạng mục — đơn giá về 0) | Tỷ lệ hoàn thành kỳ này (cột H = D × tỷ lệ) chưa có biên bản nghiệm thu kèm theo — soát và ghim. (H = =D11*1.0). Ghi chú cột L '118.98 tấn' là số cũ, không cập nhật theo D — soát lại</t>
        </is>
      </c>
    </row>
    <row r="12" ht="20" customHeight="1">
      <c r="A12" s="6" t="inlineStr">
        <is>
          <t>5</t>
        </is>
      </c>
      <c r="B12" s="7" t="inlineStr">
        <is>
          <t>Đập đầu 26 cọc khoan nhồi ngàm vào đài móng</t>
        </is>
      </c>
      <c r="C12" s="6" t="inlineStr">
        <is>
          <t>m3</t>
        </is>
      </c>
      <c r="D12" s="36">
        <f>QS_DIEN_GIAI_CHI_TIET!J27</f>
        <v/>
      </c>
      <c r="E12" s="37">
        <f>QS_DIEN_GIAI_CHI_TIET!K27</f>
        <v/>
      </c>
      <c r="F12" s="9">
        <f>D12*E12</f>
        <v/>
      </c>
      <c r="G12" s="8" t="n">
        <v>0</v>
      </c>
      <c r="H12" s="8">
        <f>D12*1.0</f>
        <v/>
      </c>
      <c r="I12" s="8">
        <f>G12+H12</f>
        <v/>
      </c>
      <c r="J12" s="9">
        <f>I12*E12</f>
        <v/>
      </c>
      <c r="K12" s="10">
        <f>H12*E12</f>
        <v/>
      </c>
      <c r="L12" s="7" t="inlineStr">
        <is>
          <t>Đập đầu cọc xong</t>
        </is>
      </c>
      <c r="M12" s="35" t="inlineStr">
        <is>
          <t>Sửa tham chiếu QS: =QS_DIEN_GIAI_CHI_TIET!J28 → =QS_DIEN_GIAI_CHI_TIET!J27 (dòng cũ trỏ vào dòng diễn giải, không phải dòng hạng mục — đơn giá về 0) | Tỷ lệ hoàn thành kỳ này (cột H = D × tỷ lệ) chưa có biên bản nghiệm thu kèm theo — soát và ghim. (H = =D12*1.0)</t>
        </is>
      </c>
    </row>
    <row r="13" ht="20" customHeight="1">
      <c r="A13" s="6" t="inlineStr">
        <is>
          <t>6</t>
        </is>
      </c>
      <c r="B13" s="7" t="inlineStr">
        <is>
          <t>Gói thí nghiệm kiểm soát cọc (Siêu âm 156 MC, PDA 9434kN, lấy lõi)</t>
        </is>
      </c>
      <c r="C13" s="6" t="inlineStr">
        <is>
          <t>Gói</t>
        </is>
      </c>
      <c r="D13" s="36">
        <f>QS_DIEN_GIAI_CHI_TIET!J29</f>
        <v/>
      </c>
      <c r="E13" s="37">
        <f>QS_DIEN_GIAI_CHI_TIET!K29</f>
        <v/>
      </c>
      <c r="F13" s="9">
        <f>D13*E13</f>
        <v/>
      </c>
      <c r="G13" s="8" t="n">
        <v>0</v>
      </c>
      <c r="H13" s="8">
        <f>D13*1.0</f>
        <v/>
      </c>
      <c r="I13" s="8">
        <f>G13+H13</f>
        <v/>
      </c>
      <c r="J13" s="9">
        <f>I13*E13</f>
        <v/>
      </c>
      <c r="K13" s="10">
        <f>H13*E13</f>
        <v/>
      </c>
      <c r="L13" s="7" t="inlineStr">
        <is>
          <t>Đạt kết quả kiểm tra</t>
        </is>
      </c>
      <c r="M13" s="35" t="inlineStr">
        <is>
          <t>Sửa tham chiếu QS: =QS_DIEN_GIAI_CHI_TIET!J30 → =QS_DIEN_GIAI_CHI_TIET!J29 (dòng cũ trỏ vào dòng diễn giải, không phải dòng hạng mục — đơn giá về 0) | Tỷ lệ hoàn thành kỳ này (cột H = D × tỷ lệ) chưa có biên bản nghiệm thu kèm theo — soát và ghim. (H = =D13*1.0)</t>
        </is>
      </c>
    </row>
    <row r="14" ht="24" customHeight="1">
      <c r="A14" s="5" t="inlineStr">
        <is>
          <t>II. KẾT CẤU PHẦN DƯỚI (BỆ, THÂN, XÀ MŨ M1, M2 &amp; T1, T2)</t>
        </is>
      </c>
    </row>
    <row r="15" ht="20" customHeight="1">
      <c r="A15" s="6" t="inlineStr">
        <is>
          <t>7</t>
        </is>
      </c>
      <c r="B15" s="7" t="inlineStr">
        <is>
          <t>Đào đất đá hố móng bệ mố M1, M2 và bệ trụ T1, T2</t>
        </is>
      </c>
      <c r="C15" s="6" t="inlineStr">
        <is>
          <t>m3</t>
        </is>
      </c>
      <c r="D15" s="8">
        <f>QS_DIEN_GIAI_CHI_TIET!J32</f>
        <v/>
      </c>
      <c r="E15" s="9">
        <f>QS_DIEN_GIAI_CHI_TIET!K32</f>
        <v/>
      </c>
      <c r="F15" s="9">
        <f>D15*E15</f>
        <v/>
      </c>
      <c r="G15" s="8" t="n">
        <v>0</v>
      </c>
      <c r="H15" s="8">
        <f>D15*1.0</f>
        <v/>
      </c>
      <c r="I15" s="8">
        <f>G15+H15</f>
        <v/>
      </c>
      <c r="J15" s="9">
        <f>I15*E15</f>
        <v/>
      </c>
      <c r="K15" s="10">
        <f>H15*E15</f>
        <v/>
      </c>
      <c r="L15" s="7" t="inlineStr">
        <is>
          <t>Nghiệm thu hố móng</t>
        </is>
      </c>
      <c r="M15" s="35" t="inlineStr">
        <is>
          <t>Tỷ lệ hoàn thành kỳ này (cột H = D × tỷ lệ) chưa có biên bản nghiệm thu kèm theo — soát và ghim. (H = =D15*1.0)</t>
        </is>
      </c>
    </row>
    <row r="16" ht="20" customHeight="1">
      <c r="A16" s="6" t="inlineStr">
        <is>
          <t>8</t>
        </is>
      </c>
      <c r="B16" s="7" t="inlineStr">
        <is>
          <t>Bê tông lót đáy bệ móng mác C10 dày 10cm</t>
        </is>
      </c>
      <c r="C16" s="6" t="inlineStr">
        <is>
          <t>m3</t>
        </is>
      </c>
      <c r="D16" s="8">
        <f>QS_DIEN_GIAI_CHI_TIET!J34</f>
        <v/>
      </c>
      <c r="E16" s="9">
        <f>QS_DIEN_GIAI_CHI_TIET!K34</f>
        <v/>
      </c>
      <c r="F16" s="9">
        <f>D16*E16</f>
        <v/>
      </c>
      <c r="G16" s="8" t="n">
        <v>0</v>
      </c>
      <c r="H16" s="8">
        <f>D16*1.0</f>
        <v/>
      </c>
      <c r="I16" s="8">
        <f>G16+H16</f>
        <v/>
      </c>
      <c r="J16" s="9">
        <f>I16*E16</f>
        <v/>
      </c>
      <c r="K16" s="10">
        <f>H16*E16</f>
        <v/>
      </c>
      <c r="L16" s="7" t="inlineStr">
        <is>
          <t>Đổ xong 4 hố móng</t>
        </is>
      </c>
      <c r="M16" s="35" t="inlineStr">
        <is>
          <t>Tỷ lệ hoàn thành kỳ này (cột H = D × tỷ lệ) chưa có biên bản nghiệm thu kèm theo — soát và ghim. (H = =D16*1.0). Ghi chú cột L 'Đổ xong 4 hố móng' là số cũ, không cập nhật theo D — soát lại</t>
        </is>
      </c>
    </row>
    <row r="17" ht="20" customHeight="1">
      <c r="A17" s="6" t="inlineStr">
        <is>
          <t>9</t>
        </is>
      </c>
      <c r="B17" s="7" t="inlineStr">
        <is>
          <t>Bê tông bệ móng mố M1, M2 và bệ trụ T1, T2 mác C30</t>
        </is>
      </c>
      <c r="C17" s="6" t="inlineStr">
        <is>
          <t>m3</t>
        </is>
      </c>
      <c r="D17" s="36">
        <f>QS_DIEN_GIAI_CHI_TIET!J39</f>
        <v/>
      </c>
      <c r="E17" s="37">
        <f>QS_DIEN_GIAI_CHI_TIET!K39</f>
        <v/>
      </c>
      <c r="F17" s="9">
        <f>D17*E17</f>
        <v/>
      </c>
      <c r="G17" s="8" t="n">
        <v>0</v>
      </c>
      <c r="H17" s="8">
        <f>D17*1.0</f>
        <v/>
      </c>
      <c r="I17" s="8">
        <f>G17+H17</f>
        <v/>
      </c>
      <c r="J17" s="9">
        <f>I17*E17</f>
        <v/>
      </c>
      <c r="K17" s="10">
        <f>H17*E17</f>
        <v/>
      </c>
      <c r="L17" s="7" t="inlineStr">
        <is>
          <t>517.48 m3 đạt R28</t>
        </is>
      </c>
      <c r="M17" s="35" t="inlineStr">
        <is>
          <t>Sửa tham chiếu QS: =QS_DIEN_GIAI_CHI_TIET!J37 → =QS_DIEN_GIAI_CHI_TIET!J39 (dòng cũ trỏ vào dòng diễn giải, không phải dòng hạng mục — đơn giá về 0) | Tỷ lệ hoàn thành kỳ này (cột H = D × tỷ lệ) chưa có biên bản nghiệm thu kèm theo — soát và ghim. (H = =D17*1.0). Ghi chú cột L '517.48 m3 đạt R28' là số cũ, không cập nhật theo D — soát lại</t>
        </is>
      </c>
    </row>
    <row r="18" ht="20" customHeight="1">
      <c r="A18" s="6" t="inlineStr">
        <is>
          <t>10</t>
        </is>
      </c>
      <c r="B18" s="7" t="inlineStr">
        <is>
          <t>Bê tông thân mố chân dê M1 và mố chữ U M2 mác C30</t>
        </is>
      </c>
      <c r="C18" s="6" t="inlineStr">
        <is>
          <t>m3</t>
        </is>
      </c>
      <c r="D18" s="36">
        <f>QS_DIEN_GIAI_CHI_TIET!J44</f>
        <v/>
      </c>
      <c r="E18" s="37">
        <f>QS_DIEN_GIAI_CHI_TIET!K44</f>
        <v/>
      </c>
      <c r="F18" s="9">
        <f>D18*E18</f>
        <v/>
      </c>
      <c r="G18" s="8" t="n">
        <v>0</v>
      </c>
      <c r="H18" s="8">
        <f>D18*0.8</f>
        <v/>
      </c>
      <c r="I18" s="8">
        <f>G18+H18</f>
        <v/>
      </c>
      <c r="J18" s="9">
        <f>I18*E18</f>
        <v/>
      </c>
      <c r="K18" s="10">
        <f>H18*E18</f>
        <v/>
      </c>
      <c r="L18" s="7" t="inlineStr">
        <is>
          <t>Nghiệm thu đợt 1 thân mố</t>
        </is>
      </c>
      <c r="M18" s="35" t="inlineStr">
        <is>
          <t>Sửa tham chiếu QS: =QS_DIEN_GIAI_CHI_TIET!J42 → =QS_DIEN_GIAI_CHI_TIET!J44 (dòng cũ trỏ vào dòng diễn giải, không phải dòng hạng mục — đơn giá về 0) | Tỷ lệ hoàn thành kỳ này (cột H = D × tỷ lệ) chưa có biên bản nghiệm thu kèm theo — soát và ghim. (H = =D18*0.8). Ghi chú cột L 'Nghiệm thu đợt 1 thân mố' là số cũ, không cập nhật theo D — soát lại</t>
        </is>
      </c>
    </row>
    <row r="19" ht="20" customHeight="1">
      <c r="A19" s="6" t="inlineStr">
        <is>
          <t>11</t>
        </is>
      </c>
      <c r="B19" s="7" t="inlineStr">
        <is>
          <t>Bê tông thân đặc trụ T1 và T2 mác C30</t>
        </is>
      </c>
      <c r="C19" s="6" t="inlineStr">
        <is>
          <t>m3</t>
        </is>
      </c>
      <c r="D19" s="36">
        <f>QS_DIEN_GIAI_CHI_TIET!J50</f>
        <v/>
      </c>
      <c r="E19" s="37">
        <f>QS_DIEN_GIAI_CHI_TIET!K50</f>
        <v/>
      </c>
      <c r="F19" s="9">
        <f>D19*E19</f>
        <v/>
      </c>
      <c r="G19" s="8" t="n">
        <v>0</v>
      </c>
      <c r="H19" s="8">
        <f>D19*0.75</f>
        <v/>
      </c>
      <c r="I19" s="8">
        <f>G19+H19</f>
        <v/>
      </c>
      <c r="J19" s="9">
        <f>I19*E19</f>
        <v/>
      </c>
      <c r="K19" s="10">
        <f>H19*E19</f>
        <v/>
      </c>
      <c r="L19" s="7" t="inlineStr">
        <is>
          <t>Đổ 3/4 chiều cao trụ</t>
        </is>
      </c>
      <c r="M19" s="35" t="inlineStr">
        <is>
          <t>Sửa tham chiếu QS: =QS_DIEN_GIAI_CHI_TIET!J47 → =QS_DIEN_GIAI_CHI_TIET!J50 (dòng cũ trỏ vào dòng diễn giải, không phải dòng hạng mục — đơn giá về 0) | Tỷ lệ hoàn thành kỳ này (cột H = D × tỷ lệ) chưa có biên bản nghiệm thu kèm theo — soát và ghim. (H = =D19*0.75). Ghi chú cột L 'Đổ 3/4 chiều cao trụ' là số cũ, không cập nhật theo D — soát lại</t>
        </is>
      </c>
    </row>
    <row r="20" ht="20" customHeight="1">
      <c r="A20" s="6" t="inlineStr">
        <is>
          <t>12</t>
        </is>
      </c>
      <c r="B20" s="7" t="inlineStr">
        <is>
          <t>Cốt thép mố và trụ (D&lt;=10, 10&lt;D&lt;=18, D&gt;18)</t>
        </is>
      </c>
      <c r="C20" s="6" t="inlineStr">
        <is>
          <t>Tấn</t>
        </is>
      </c>
      <c r="D20" s="36">
        <f>QS_DIEN_GIAI_CHI_TIET!J56</f>
        <v/>
      </c>
      <c r="E20" s="37">
        <f>QS_DIEN_GIAI_CHI_TIET!K56</f>
        <v/>
      </c>
      <c r="F20" s="9">
        <f>D20*E20</f>
        <v/>
      </c>
      <c r="G20" s="8" t="n">
        <v>0</v>
      </c>
      <c r="H20" s="8">
        <f>D20*0.8</f>
        <v/>
      </c>
      <c r="I20" s="8">
        <f>G20+H20</f>
        <v/>
      </c>
      <c r="J20" s="9">
        <f>I20*E20</f>
        <v/>
      </c>
      <c r="K20" s="10">
        <f>H20*E20</f>
        <v/>
      </c>
      <c r="L20" s="7" t="inlineStr">
        <is>
          <t>Lắp dựng nghiệm thu đợt 1</t>
        </is>
      </c>
      <c r="M20" s="35" t="inlineStr">
        <is>
          <t>Sửa tham chiếu QS: =QS_DIEN_GIAI_CHI_TIET!J53 → =QS_DIEN_GIAI_CHI_TIET!J56 (dòng cũ trỏ vào dòng diễn giải, không phải dòng hạng mục — đơn giá về 0) | Tỷ lệ hoàn thành kỳ này (cột H = D × tỷ lệ) chưa có biên bản nghiệm thu kèm theo — soát và ghim. (H = =D20*0.8). Ghi chú cột L 'Lắp dựng nghiệm thu đợt 1' là số cũ, không cập nhật theo D — soát lại</t>
        </is>
      </c>
    </row>
    <row r="21" ht="24" customHeight="1">
      <c r="A21" s="5" t="inlineStr">
        <is>
          <t>III. KẾT CẤU PHẦN TRÊN (ĐÚC DẦM SUPER-T L=38.2M TẠI BÃI ĐÚC)</t>
        </is>
      </c>
    </row>
    <row r="22" ht="20" customHeight="1">
      <c r="A22" s="6" t="inlineStr">
        <is>
          <t>13</t>
        </is>
      </c>
      <c r="B22" s="7" t="inlineStr">
        <is>
          <t>Bê tông dầm chủ Super-T L=38.2m mác cao C45/55</t>
        </is>
      </c>
      <c r="C22" s="6" t="inlineStr">
        <is>
          <t>m3</t>
        </is>
      </c>
      <c r="D22" s="36">
        <f>QS_DIEN_GIAI_CHI_TIET!J62</f>
        <v/>
      </c>
      <c r="E22" s="37">
        <f>QS_DIEN_GIAI_CHI_TIET!K62</f>
        <v/>
      </c>
      <c r="F22" s="9">
        <f>D22*E22</f>
        <v/>
      </c>
      <c r="G22" s="8" t="n">
        <v>0</v>
      </c>
      <c r="H22" s="8">
        <f>D22*0.6</f>
        <v/>
      </c>
      <c r="I22" s="8">
        <f>G22+H22</f>
        <v/>
      </c>
      <c r="J22" s="9">
        <f>I22*E22</f>
        <v/>
      </c>
      <c r="K22" s="10">
        <f>H22*E22</f>
        <v/>
      </c>
      <c r="L22" s="7" t="inlineStr">
        <is>
          <t>Đúc xong 9/15 phiến dầm</t>
        </is>
      </c>
      <c r="M22" s="35" t="inlineStr">
        <is>
          <t>Sửa tham chiếu QS: =QS_DIEN_GIAI_CHI_TIET!J57 → =QS_DIEN_GIAI_CHI_TIET!J62 (dòng cũ trỏ vào dòng diễn giải, không phải dòng hạng mục — đơn giá về 0) | Tỷ lệ hoàn thành kỳ này (cột H = D × tỷ lệ) chưa có biên bản nghiệm thu kèm theo — soát và ghim. (H = =D22*0.6). Ghi chú cột L 'Đúc xong 9/15 phiến dầm' là số cũ, không cập nhật theo D — soát lại</t>
        </is>
      </c>
    </row>
    <row r="23" ht="20" customHeight="1">
      <c r="A23" s="6" t="inlineStr">
        <is>
          <t>14</t>
        </is>
      </c>
      <c r="B23" s="7" t="inlineStr">
        <is>
          <t>Cáp dự ứng lực tao xoắn 15.2mm Grade 270 kéo căng</t>
        </is>
      </c>
      <c r="C23" s="6" t="inlineStr">
        <is>
          <t>Tấn</t>
        </is>
      </c>
      <c r="D23" s="36">
        <f>QS_DIEN_GIAI_CHI_TIET!J64</f>
        <v/>
      </c>
      <c r="E23" s="37">
        <f>QS_DIEN_GIAI_CHI_TIET!K64</f>
        <v/>
      </c>
      <c r="F23" s="9">
        <f>D23*E23</f>
        <v/>
      </c>
      <c r="G23" s="8" t="n">
        <v>0</v>
      </c>
      <c r="H23" s="8">
        <f>D23*0.6</f>
        <v/>
      </c>
      <c r="I23" s="8">
        <f>G23+H23</f>
        <v/>
      </c>
      <c r="J23" s="9">
        <f>I23*E23</f>
        <v/>
      </c>
      <c r="K23" s="10">
        <f>H23*E23</f>
        <v/>
      </c>
      <c r="L23" s="7" t="inlineStr">
        <is>
          <t>Căng kéo 9 phiến dầm</t>
        </is>
      </c>
      <c r="M23" s="35" t="inlineStr">
        <is>
          <t>Sửa tham chiếu QS: =QS_DIEN_GIAI_CHI_TIET!J59 → =QS_DIEN_GIAI_CHI_TIET!J64 (dòng cũ trỏ vào dòng diễn giải, không phải dòng hạng mục — đơn giá về 0) | Tỷ lệ hoàn thành kỳ này (cột H = D × tỷ lệ) chưa có biên bản nghiệm thu kèm theo — soát và ghim. (H = =D23*0.6). Ghi chú cột L 'Căng kéo 9 phiến dầm' là số cũ, không cập nhật theo D — soát lại</t>
        </is>
      </c>
    </row>
    <row r="24" ht="20" customHeight="1">
      <c r="A24" s="6" t="inlineStr">
        <is>
          <t>15</t>
        </is>
      </c>
      <c r="B24" s="7" t="inlineStr">
        <is>
          <t>Cốt thép thường dầm chủ Super-T (D10, D14, D16, D20)</t>
        </is>
      </c>
      <c r="C24" s="6" t="inlineStr">
        <is>
          <t>Tấn</t>
        </is>
      </c>
      <c r="D24" s="36">
        <f>QS_DIEN_GIAI_CHI_TIET!J66</f>
        <v/>
      </c>
      <c r="E24" s="37">
        <f>QS_DIEN_GIAI_CHI_TIET!K66</f>
        <v/>
      </c>
      <c r="F24" s="9">
        <f>D24*E24</f>
        <v/>
      </c>
      <c r="G24" s="8" t="n">
        <v>0</v>
      </c>
      <c r="H24" s="8">
        <f>D24*0.6</f>
        <v/>
      </c>
      <c r="I24" s="8">
        <f>G24+H24</f>
        <v/>
      </c>
      <c r="J24" s="9">
        <f>I24*E24</f>
        <v/>
      </c>
      <c r="K24" s="10">
        <f>H24*E24</f>
        <v/>
      </c>
      <c r="L24" s="7" t="inlineStr">
        <is>
          <t>9 phiến dầm</t>
        </is>
      </c>
      <c r="M24" s="35" t="inlineStr">
        <is>
          <t>Sửa tham chiếu QS: =QS_DIEN_GIAI_CHI_TIET!J61 → =QS_DIEN_GIAI_CHI_TIET!J66 (dòng cũ trỏ vào dòng diễn giải, không phải dòng hạng mục — đơn giá về 0) | Tỷ lệ hoàn thành kỳ này (cột H = D × tỷ lệ) chưa có biên bản nghiệm thu kèm theo — soát và ghim. (H = =D24*0.6). Ghi chú cột L '9 phiến dầm' là số cũ, không cập nhật theo D — soát lại</t>
        </is>
      </c>
    </row>
    <row r="25" ht="20" customHeight="1">
      <c r="A25" s="6" t="inlineStr">
        <is>
          <t>16</t>
        </is>
      </c>
      <c r="B25" s="7" t="inlineStr">
        <is>
          <t>Vận chuyển và lao lắp 15 phiến dầm Super-T (chưa thi công)</t>
        </is>
      </c>
      <c r="C25" s="6" t="inlineStr">
        <is>
          <t>Phiến</t>
        </is>
      </c>
      <c r="D25" s="36">
        <f>QS_DIEN_GIAI_CHI_TIET!J68</f>
        <v/>
      </c>
      <c r="E25" s="37">
        <f>QS_DIEN_GIAI_CHI_TIET!K68</f>
        <v/>
      </c>
      <c r="F25" s="9">
        <f>D25*E25</f>
        <v/>
      </c>
      <c r="G25" s="8" t="n">
        <v>0</v>
      </c>
      <c r="H25" s="8">
        <f>D25*0.0</f>
        <v/>
      </c>
      <c r="I25" s="8">
        <f>G25+H25</f>
        <v/>
      </c>
      <c r="J25" s="9">
        <f>I25*E25</f>
        <v/>
      </c>
      <c r="K25" s="10">
        <f>H25*E25</f>
        <v/>
      </c>
      <c r="L25" s="7" t="inlineStr">
        <is>
          <t>Kỳ sau thực hiện</t>
        </is>
      </c>
      <c r="M25" s="35" t="inlineStr">
        <is>
          <t>Sửa tham chiếu QS: =QS_DIEN_GIAI_CHI_TIET!J63 → =QS_DIEN_GIAI_CHI_TIET!J68 (dòng cũ trỏ vào dòng diễn giải, không phải dòng hạng mục — đơn giá về 0) | Tỷ lệ hoàn thành kỳ này (cột H = D × tỷ lệ) chưa có biên bản nghiệm thu kèm theo — soát và ghim. (H = =D25*0.0)</t>
        </is>
      </c>
    </row>
    <row r="26" ht="20" customHeight="1">
      <c r="A26" s="6" t="inlineStr">
        <is>
          <t>17</t>
        </is>
      </c>
      <c r="B26" s="7" t="inlineStr">
        <is>
          <t>Gối chậu cao su di động đơn hướng và song hướng</t>
        </is>
      </c>
      <c r="C26" s="6" t="inlineStr">
        <is>
          <t>Cái</t>
        </is>
      </c>
      <c r="D26" s="36">
        <f>QS_DIEN_GIAI_CHI_TIET!J70</f>
        <v/>
      </c>
      <c r="E26" s="37">
        <f>QS_DIEN_GIAI_CHI_TIET!K70</f>
        <v/>
      </c>
      <c r="F26" s="9">
        <f>D26*E26</f>
        <v/>
      </c>
      <c r="G26" s="8" t="n">
        <v>0</v>
      </c>
      <c r="H26" s="8">
        <f>D26*0.0</f>
        <v/>
      </c>
      <c r="I26" s="8">
        <f>G26+H26</f>
        <v/>
      </c>
      <c r="J26" s="9">
        <f>I26*E26</f>
        <v/>
      </c>
      <c r="K26" s="10">
        <f>H26*E26</f>
        <v/>
      </c>
      <c r="L26" s="7" t="inlineStr">
        <is>
          <t>Kỳ sau thực hiện</t>
        </is>
      </c>
      <c r="M26" s="35" t="inlineStr">
        <is>
          <t>Sửa tham chiếu QS: =QS_DIEN_GIAI_CHI_TIET!J65 → =QS_DIEN_GIAI_CHI_TIET!J70 (dòng cũ trỏ vào dòng diễn giải, không phải dòng hạng mục — đơn giá về 0) | Tỷ lệ hoàn thành kỳ này (cột H = D × tỷ lệ) chưa có biên bản nghiệm thu kèm theo — soát và ghim. (H = =D26*0.0)</t>
        </is>
      </c>
    </row>
    <row r="27" ht="20" customHeight="1">
      <c r="A27" s="6" t="inlineStr">
        <is>
          <t>18</t>
        </is>
      </c>
      <c r="B27" s="7" t="inlineStr">
        <is>
          <t>Bản mặt cầu C35 và mối nối liên tục nhiệt</t>
        </is>
      </c>
      <c r="C27" s="6" t="inlineStr">
        <is>
          <t>m3</t>
        </is>
      </c>
      <c r="D27" s="36">
        <f>QS_DIEN_GIAI_CHI_TIET!J77+QS_DIEN_GIAI_CHI_TIET!J79</f>
        <v/>
      </c>
      <c r="E27" s="37">
        <f>(QS_DIEN_GIAI_CHI_TIET!L77+QS_DIEN_GIAI_CHI_TIET!L79)/D27</f>
        <v/>
      </c>
      <c r="F27" s="9">
        <f>D27*E27</f>
        <v/>
      </c>
      <c r="G27" s="8" t="n">
        <v>0</v>
      </c>
      <c r="H27" s="8">
        <f>D27*0.0</f>
        <v/>
      </c>
      <c r="I27" s="8">
        <f>G27+H27</f>
        <v/>
      </c>
      <c r="J27" s="9">
        <f>I27*E27</f>
        <v/>
      </c>
      <c r="K27" s="10">
        <f>H27*E27</f>
        <v/>
      </c>
      <c r="L27" s="7" t="inlineStr">
        <is>
          <t>Kỳ sau thực hiện</t>
        </is>
      </c>
      <c r="M27" s="35" t="inlineStr">
        <is>
          <t>Sửa tham chiếu QS: =QS_DIEN_GIAI_CHI_TIET!J74 → =QS_DIEN_GIAI_CHI_TIET!J77+QS_DIEN_GIAI_CHI_TIET!J79 (dòng cũ trỏ vào dòng diễn giải, không phải dòng hạng mục — đơn giá về 0) | Gộp bản mặt cầu (QS dòng 77) và liên tục nhiệt (QS dòng 79); đơn giá = bình quân gia quyền theo thành tiền 2 dòng. | Tỷ lệ hoàn thành kỳ này (cột H = D × tỷ lệ) chưa có biên bản nghiệm thu kèm theo — soát và ghim. (H = =D27*0.0)</t>
        </is>
      </c>
    </row>
    <row r="28" ht="24" customHeight="1">
      <c r="A28" s="11" t="inlineStr">
        <is>
          <t>TỔNG CỘNG CHI PHÍ XÂY LẮP (VNĐ)</t>
        </is>
      </c>
      <c r="B28" s="12" t="n"/>
      <c r="C28" s="13" t="n"/>
      <c r="D28" s="14" t="n"/>
      <c r="E28" s="14" t="n"/>
      <c r="F28" s="15">
        <f>SUM(F8:F27)</f>
        <v/>
      </c>
      <c r="G28" s="14" t="n"/>
      <c r="H28" s="14" t="n"/>
      <c r="I28" s="14" t="n"/>
      <c r="J28" s="15">
        <f>SUM(J8:J27)</f>
        <v/>
      </c>
      <c r="K28" s="15">
        <f>SUM(K8:K27)</f>
        <v/>
      </c>
      <c r="L28" s="14" t="n"/>
      <c r="M28" s="35" t="inlineStr">
        <is>
          <t>Chưa có trong 03a: bê tông tường đỉnh/tường cánh mố, xà mũ trụ, dầm ngang, bản quá độ và các hạng mục hoàn thiện (QS dòng 47, 53, 73, 86...) — kiểm tra phạm vi hợp đồng.</t>
        </is>
      </c>
    </row>
    <row r="30" ht="24" customHeight="1">
      <c r="B30" s="2" t="inlineStr">
        <is>
          <t>BẢNG TỔNG HỢP KINH PHÍ THANH TOÁN VỐN ĐẦU TƯ CÔNG (THEO NGHỊ ĐỊNH 99/2021/NĐ-CP)</t>
        </is>
      </c>
    </row>
    <row r="31" ht="22" customHeight="1">
      <c r="B31" s="16" t="inlineStr">
        <is>
          <t>1</t>
        </is>
      </c>
      <c r="C31" s="17" t="inlineStr">
        <is>
          <t>Giá trị khối lượng công việc hoàn thành đề nghị thanh toán kỳ này</t>
        </is>
      </c>
      <c r="D31" s="18" t="n"/>
      <c r="E31" s="18" t="n"/>
      <c r="F31" s="19">
        <f>K28</f>
        <v/>
      </c>
      <c r="G31" s="16" t="inlineStr">
        <is>
          <t>VNĐ</t>
        </is>
      </c>
    </row>
    <row r="32" ht="22" customHeight="1">
      <c r="B32" s="16" t="inlineStr">
        <is>
          <t>2</t>
        </is>
      </c>
      <c r="C32" s="7" t="inlineStr">
        <is>
          <t>Thu hồi số tiền tạm ứng hợp đồng kỳ này (Khấu trừ 20% giá trị hoàn thành)</t>
        </is>
      </c>
      <c r="D32" s="18" t="n"/>
      <c r="E32" s="18" t="n"/>
      <c r="F32" s="9">
        <f>F31*0.20</f>
        <v/>
      </c>
      <c r="G32" s="16" t="inlineStr">
        <is>
          <t>VNĐ</t>
        </is>
      </c>
    </row>
    <row r="33" ht="22" customHeight="1">
      <c r="B33" s="16" t="inlineStr">
        <is>
          <t>3</t>
        </is>
      </c>
      <c r="C33" s="7" t="inlineStr">
        <is>
          <t>Số tiền giữ lại bảo hành công trình (5% giá trị hoàn thành)</t>
        </is>
      </c>
      <c r="D33" s="18" t="n"/>
      <c r="E33" s="18" t="n"/>
      <c r="F33" s="9">
        <f>F31*0.05</f>
        <v/>
      </c>
      <c r="G33" s="16" t="inlineStr">
        <is>
          <t>VNĐ</t>
        </is>
      </c>
    </row>
    <row r="34" ht="22" customHeight="1">
      <c r="B34" s="20" t="inlineStr">
        <is>
          <t>4</t>
        </is>
      </c>
      <c r="C34" s="21" t="inlineStr">
        <is>
          <t>SỐ TIỀN THỰC ĐỀ NGHỊ KHO BẠC NHÀ NƯỚC CHUYỂN KỲ NÀY (4 = 1 - 2 - 3)</t>
        </is>
      </c>
      <c r="D34" s="14" t="n"/>
      <c r="E34" s="14" t="n"/>
      <c r="F34" s="22">
        <f>F31-F32-F33</f>
        <v/>
      </c>
      <c r="G34" s="20" t="inlineStr">
        <is>
          <t>VNĐ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48" customWidth="1" min="3" max="3"/>
    <col width="8" customWidth="1" min="4" max="4"/>
    <col width="12" customWidth="1" min="5" max="5"/>
    <col width="10" customWidth="1" min="6" max="6"/>
    <col width="10" customWidth="1" min="7" max="7"/>
    <col width="10" customWidth="1" min="8" max="8"/>
    <col width="10" customWidth="1" min="9" max="9"/>
    <col width="16" customWidth="1" min="10" max="10"/>
    <col width="15" customWidth="1" min="11" max="11"/>
    <col width="18" customWidth="1" min="12" max="12"/>
    <col width="70" customWidth="1" min="13" max="13"/>
    <col width="16" customWidth="1" min="14" max="14"/>
  </cols>
  <sheetData>
    <row r="1">
      <c r="A1" s="38" t="inlineStr">
        <is>
          <t>ĐÃ SỬA THEO BẢN VẼ THẨM ĐỊNH ngày 11/10/2026 — ô vàng: số theo bản vẽ; cột M: NGHI VẤN; cột N: khối lượng cũ. Xem sheet NGHI_VAN để soát và ghim.</t>
        </is>
      </c>
    </row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DIỄN GIẢI TIÊN LƯỢNG KHỐI LƯỢNG HÌNH HỌC CHI TIẾT - CẦU KM19+529.080</t>
        </is>
      </c>
    </row>
    <row r="4">
      <c r="B4" s="3" t="inlineStr">
        <is>
          <t>Tuân thủ nghiêm ngặt nguyên tắc 100% công thức động: Khối lượng = Dài x Rộng x Cao x Số lượng x Hệ số (CẤM SỐ CHẾT)</t>
        </is>
      </c>
    </row>
    <row r="5" ht="28" customHeight="1">
      <c r="A5" s="4" t="inlineStr">
        <is>
          <t>TT</t>
        </is>
      </c>
      <c r="B5" s="4" t="inlineStr">
        <is>
          <t>Mã hiệu</t>
        </is>
      </c>
      <c r="C5" s="4" t="inlineStr">
        <is>
          <t>Nội dung công tác &amp; Diễn giải hình học cấu kiện</t>
        </is>
      </c>
      <c r="D5" s="4" t="inlineStr">
        <is>
          <t>ĐVT</t>
        </is>
      </c>
      <c r="E5" s="4" t="inlineStr">
        <is>
          <t>Số lượng
(Cấu kiện)</t>
        </is>
      </c>
      <c r="F5" s="4" t="inlineStr">
        <is>
          <t>Dài
(m)</t>
        </is>
      </c>
      <c r="G5" s="4" t="inlineStr">
        <is>
          <t>Rộng
(m)</t>
        </is>
      </c>
      <c r="H5" s="4" t="inlineStr">
        <is>
          <t>Cao / Dày
(m)</t>
        </is>
      </c>
      <c r="I5" s="4" t="inlineStr">
        <is>
          <t>Hệ số
hình học</t>
        </is>
      </c>
      <c r="J5" s="4" t="inlineStr">
        <is>
          <t>Khối lượng
(Công thức)</t>
        </is>
      </c>
      <c r="K5" s="4" t="inlineStr">
        <is>
          <t>Đơn giá
(VNĐ)</t>
        </is>
      </c>
      <c r="L5" s="4" t="inlineStr">
        <is>
          <t>Thành tiền
(VNĐ)</t>
        </is>
      </c>
      <c r="M5" s="39" t="inlineStr">
        <is>
          <t>NGHI VẤN (soát &amp; ghim)</t>
        </is>
      </c>
      <c r="N5" s="39" t="inlineStr">
        <is>
          <t>Khối lượng cũ (trước sửa)</t>
        </is>
      </c>
    </row>
    <row r="6" ht="24" customHeight="1">
      <c r="A6" s="5" t="inlineStr">
        <is>
          <t>PHẦN I: THI CÔNG CỌC KHOAN NHỒI D1200MM &amp; THÍ NGHIỆM KIỂM SOÁT</t>
        </is>
      </c>
    </row>
    <row r="7" ht="22" customHeight="1">
      <c r="A7" s="23" t="inlineStr">
        <is>
          <t>1</t>
        </is>
      </c>
      <c r="B7" s="23" t="inlineStr">
        <is>
          <t>AC.11111</t>
        </is>
      </c>
      <c r="C7" s="17" t="inlineStr">
        <is>
          <t>Khoan tạo lỗ cọc khoan nhồi D1200mm vào đất và đá gốc (26 cọc)</t>
        </is>
      </c>
      <c r="D7" s="23" t="inlineStr">
        <is>
          <t>m</t>
        </is>
      </c>
      <c r="E7" s="18" t="n"/>
      <c r="F7" s="18" t="n"/>
      <c r="G7" s="18" t="n"/>
      <c r="H7" s="18" t="n"/>
      <c r="I7" s="18" t="n"/>
      <c r="J7" s="24">
        <f>SUM(J8:J11)</f>
        <v/>
      </c>
      <c r="K7" s="19" t="n">
        <v>2850000</v>
      </c>
      <c r="L7" s="25">
        <f>J7*K7</f>
        <v/>
      </c>
    </row>
    <row r="8" ht="19" customHeight="1">
      <c r="A8" s="26" t="n"/>
      <c r="B8" s="26" t="n"/>
      <c r="C8" s="27" t="inlineStr">
        <is>
          <t>- Cọc mố M1: 3 cọc chiều sâu L=20.0m</t>
        </is>
      </c>
      <c r="D8" s="28" t="inlineStr">
        <is>
          <t>m</t>
        </is>
      </c>
      <c r="E8" s="29" t="n">
        <v>3</v>
      </c>
      <c r="F8" s="29" t="n">
        <v>20</v>
      </c>
      <c r="G8" s="29" t="n">
        <v>1</v>
      </c>
      <c r="H8" s="29" t="n">
        <v>1</v>
      </c>
      <c r="I8" s="30" t="n">
        <v>1</v>
      </c>
      <c r="J8" s="31">
        <f>E8*F8*G8*H8*I8</f>
        <v/>
      </c>
      <c r="K8" s="26" t="n"/>
      <c r="L8" s="26" t="n"/>
    </row>
    <row r="9" ht="19" customHeight="1">
      <c r="A9" s="26" t="n"/>
      <c r="B9" s="26" t="n"/>
      <c r="C9" s="27" t="inlineStr">
        <is>
          <t>- Cọc trụ T1: 8 cọc chiều sâu L=40.0m</t>
        </is>
      </c>
      <c r="D9" s="28" t="inlineStr">
        <is>
          <t>m</t>
        </is>
      </c>
      <c r="E9" s="29" t="n">
        <v>8</v>
      </c>
      <c r="F9" s="29" t="n">
        <v>40</v>
      </c>
      <c r="G9" s="29" t="n">
        <v>1</v>
      </c>
      <c r="H9" s="29" t="n">
        <v>1</v>
      </c>
      <c r="I9" s="30" t="n">
        <v>1</v>
      </c>
      <c r="J9" s="31">
        <f>E9*F9*G9*H9*I9</f>
        <v/>
      </c>
      <c r="K9" s="26" t="n"/>
      <c r="L9" s="26" t="n"/>
    </row>
    <row r="10" ht="19" customHeight="1">
      <c r="A10" s="26" t="n"/>
      <c r="B10" s="26" t="n"/>
      <c r="C10" s="27" t="inlineStr">
        <is>
          <t>- Cọc trụ T2: 8 cọc chiều sâu L=30.0m</t>
        </is>
      </c>
      <c r="D10" s="28" t="inlineStr">
        <is>
          <t>m</t>
        </is>
      </c>
      <c r="E10" s="29" t="n">
        <v>8</v>
      </c>
      <c r="F10" s="29" t="n">
        <v>30</v>
      </c>
      <c r="G10" s="29" t="n">
        <v>1</v>
      </c>
      <c r="H10" s="29" t="n">
        <v>1</v>
      </c>
      <c r="I10" s="30" t="n">
        <v>1</v>
      </c>
      <c r="J10" s="31">
        <f>E10*F10*G10*H10*I10</f>
        <v/>
      </c>
      <c r="K10" s="26" t="n"/>
      <c r="L10" s="26" t="n"/>
    </row>
    <row r="11" ht="19" customHeight="1">
      <c r="A11" s="26" t="n"/>
      <c r="B11" s="26" t="n"/>
      <c r="C11" s="27" t="inlineStr">
        <is>
          <t>- Cọc mố M2: 7 cọc chiều sâu L=36.0m</t>
        </is>
      </c>
      <c r="D11" s="28" t="inlineStr">
        <is>
          <t>m</t>
        </is>
      </c>
      <c r="E11" s="29" t="n">
        <v>7</v>
      </c>
      <c r="F11" s="29" t="n">
        <v>36</v>
      </c>
      <c r="G11" s="29" t="n">
        <v>1</v>
      </c>
      <c r="H11" s="29" t="n">
        <v>1</v>
      </c>
      <c r="I11" s="30" t="n">
        <v>1</v>
      </c>
      <c r="J11" s="31">
        <f>E11*F11*G11*H11*I11</f>
        <v/>
      </c>
      <c r="K11" s="26" t="n"/>
      <c r="L11" s="26" t="n"/>
    </row>
    <row r="12" ht="22" customHeight="1">
      <c r="A12" s="23" t="inlineStr">
        <is>
          <t>2</t>
        </is>
      </c>
      <c r="B12" s="23" t="inlineStr">
        <is>
          <t>AC.12111</t>
        </is>
      </c>
      <c r="C12" s="17" t="inlineStr">
        <is>
          <t>Hạ và nhổ ống vách thép dẫn hướng D1300mm d=8mm (luân chuyển)</t>
        </is>
      </c>
      <c r="D12" s="23" t="inlineStr">
        <is>
          <t>m</t>
        </is>
      </c>
      <c r="E12" s="18" t="n"/>
      <c r="F12" s="18" t="n"/>
      <c r="G12" s="18" t="n"/>
      <c r="H12" s="18" t="n"/>
      <c r="I12" s="18" t="n"/>
      <c r="J12" s="24">
        <f>SUM(J13:J16)</f>
        <v/>
      </c>
      <c r="K12" s="19" t="n">
        <v>1450000</v>
      </c>
      <c r="L12" s="25">
        <f>J12*K12</f>
        <v/>
      </c>
    </row>
    <row r="13" ht="19" customHeight="1">
      <c r="A13" s="26" t="n"/>
      <c r="B13" s="26" t="n"/>
      <c r="C13" s="27" t="inlineStr">
        <is>
          <t>- Ống vách thép cọc mố M1 (3 cọc x 6m)</t>
        </is>
      </c>
      <c r="D13" s="28" t="inlineStr">
        <is>
          <t>m</t>
        </is>
      </c>
      <c r="E13" s="29" t="n">
        <v>3</v>
      </c>
      <c r="F13" s="29" t="n">
        <v>6</v>
      </c>
      <c r="G13" s="29" t="n">
        <v>1</v>
      </c>
      <c r="H13" s="29" t="n">
        <v>1</v>
      </c>
      <c r="I13" s="30" t="n">
        <v>1</v>
      </c>
      <c r="J13" s="31">
        <f>E13*F13*G13*H13*I13</f>
        <v/>
      </c>
      <c r="K13" s="26" t="n"/>
      <c r="L13" s="26" t="n"/>
    </row>
    <row r="14" ht="19" customHeight="1">
      <c r="A14" s="26" t="n"/>
      <c r="B14" s="26" t="n"/>
      <c r="C14" s="27" t="inlineStr">
        <is>
          <t>- Ống vách thép cọc trụ T1 (8 cọc x 6m)</t>
        </is>
      </c>
      <c r="D14" s="28" t="inlineStr">
        <is>
          <t>m</t>
        </is>
      </c>
      <c r="E14" s="29" t="n">
        <v>8</v>
      </c>
      <c r="F14" s="29" t="n">
        <v>6</v>
      </c>
      <c r="G14" s="29" t="n">
        <v>1</v>
      </c>
      <c r="H14" s="29" t="n">
        <v>1</v>
      </c>
      <c r="I14" s="30" t="n">
        <v>1</v>
      </c>
      <c r="J14" s="31">
        <f>E14*F14*G14*H14*I14</f>
        <v/>
      </c>
      <c r="K14" s="26" t="n"/>
      <c r="L14" s="26" t="n"/>
    </row>
    <row r="15" ht="19" customHeight="1">
      <c r="A15" s="26" t="n"/>
      <c r="B15" s="26" t="n"/>
      <c r="C15" s="27" t="inlineStr">
        <is>
          <t>- Ống vách thép cọc trụ T2 (8 cọc x 6m)</t>
        </is>
      </c>
      <c r="D15" s="28" t="inlineStr">
        <is>
          <t>m</t>
        </is>
      </c>
      <c r="E15" s="29" t="n">
        <v>8</v>
      </c>
      <c r="F15" s="29" t="n">
        <v>6</v>
      </c>
      <c r="G15" s="29" t="n">
        <v>1</v>
      </c>
      <c r="H15" s="29" t="n">
        <v>1</v>
      </c>
      <c r="I15" s="30" t="n">
        <v>1</v>
      </c>
      <c r="J15" s="31">
        <f>E15*F15*G15*H15*I15</f>
        <v/>
      </c>
      <c r="K15" s="26" t="n"/>
      <c r="L15" s="26" t="n"/>
    </row>
    <row r="16" ht="19" customHeight="1">
      <c r="A16" s="26" t="n"/>
      <c r="B16" s="26" t="n"/>
      <c r="C16" s="27" t="inlineStr">
        <is>
          <t>- Ống vách thép cọc mố M2 (7 cọc x 6m)</t>
        </is>
      </c>
      <c r="D16" s="28" t="inlineStr">
        <is>
          <t>m</t>
        </is>
      </c>
      <c r="E16" s="29" t="n">
        <v>7</v>
      </c>
      <c r="F16" s="29" t="n">
        <v>6</v>
      </c>
      <c r="G16" s="29" t="n">
        <v>1</v>
      </c>
      <c r="H16" s="29" t="n">
        <v>1</v>
      </c>
      <c r="I16" s="30" t="n">
        <v>1</v>
      </c>
      <c r="J16" s="31">
        <f>E16*F16*G16*H16*I16</f>
        <v/>
      </c>
      <c r="K16" s="26" t="n"/>
      <c r="L16" s="26" t="n"/>
    </row>
    <row r="17" ht="22" customHeight="1">
      <c r="A17" s="23" t="inlineStr">
        <is>
          <t>3</t>
        </is>
      </c>
      <c r="B17" s="23" t="inlineStr">
        <is>
          <t>AF.21111</t>
        </is>
      </c>
      <c r="C17" s="17" t="inlineStr">
        <is>
          <t>Bê tông cọc khoan nhồi C30/37 đổ bằng phương pháp rút ống tremie</t>
        </is>
      </c>
      <c r="D17" s="23" t="inlineStr">
        <is>
          <t>m3</t>
        </is>
      </c>
      <c r="E17" s="18" t="n"/>
      <c r="F17" s="18" t="n"/>
      <c r="G17" s="18" t="n"/>
      <c r="H17" s="18" t="n"/>
      <c r="I17" s="18" t="n"/>
      <c r="J17" s="24">
        <f>SUM(J18:J21)</f>
        <v/>
      </c>
      <c r="K17" s="19" t="n">
        <v>1650000</v>
      </c>
      <c r="L17" s="25">
        <f>J17*K17</f>
        <v/>
      </c>
    </row>
    <row r="18" ht="19" customHeight="1">
      <c r="A18" s="26" t="n"/>
      <c r="B18" s="26" t="n"/>
      <c r="C18" s="27" t="inlineStr">
        <is>
          <t>- Bê tông 3 cọc mố M1 L=20m (bản vẽ tr.64, gồm bê tông đầu cọc)</t>
        </is>
      </c>
      <c r="D18" s="28" t="inlineStr">
        <is>
          <t>m3</t>
        </is>
      </c>
      <c r="E18" s="36" t="n">
        <v>3</v>
      </c>
      <c r="F18" s="36" t="n">
        <v>23.58</v>
      </c>
      <c r="G18" s="36" t="n">
        <v>1</v>
      </c>
      <c r="H18" s="36" t="n">
        <v>1</v>
      </c>
      <c r="I18" s="40" t="n">
        <v>1</v>
      </c>
      <c r="J18" s="41">
        <f>E18*F18*G18*H18*I18</f>
        <v/>
      </c>
      <c r="K18" s="26" t="n"/>
      <c r="L18" s="26" t="n"/>
      <c r="M18" s="35" t="inlineStr">
        <is>
          <t>Theo bản vẽ: 76,002 → 70,740. Bỏ hệ số I = 3,5186 (π × 1,12 nở thành): lấy thể tích thiết kế tr.64. Nếu hợp đồng cho tính nở thành thì ghim lại hệ số.</t>
        </is>
      </c>
      <c r="N18" t="n">
        <v>76.002</v>
      </c>
    </row>
    <row r="19" ht="19" customHeight="1">
      <c r="A19" s="26" t="n"/>
      <c r="B19" s="26" t="n"/>
      <c r="C19" s="27" t="inlineStr">
        <is>
          <t>- Bê tông 8 cọc trụ T1 L=40m (bản vẽ tr.68, gồm bê tông đầu cọc)</t>
        </is>
      </c>
      <c r="D19" s="28" t="inlineStr">
        <is>
          <t>m3</t>
        </is>
      </c>
      <c r="E19" s="36" t="n">
        <v>8</v>
      </c>
      <c r="F19" s="36" t="n">
        <v>45.88</v>
      </c>
      <c r="G19" s="36" t="n">
        <v>1</v>
      </c>
      <c r="H19" s="36" t="n">
        <v>1</v>
      </c>
      <c r="I19" s="40" t="n">
        <v>1</v>
      </c>
      <c r="J19" s="41">
        <f>E19*F19*G19*H19*I19</f>
        <v/>
      </c>
      <c r="K19" s="26" t="n"/>
      <c r="L19" s="26" t="n"/>
      <c r="M19" s="35" t="inlineStr">
        <is>
          <t>Theo bản vẽ: 405,343 → 367,040. Bỏ hệ số nở thành 3,5186 — lấy thể tích thiết kế tr.68.</t>
        </is>
      </c>
      <c r="N19" t="n">
        <v>405.343</v>
      </c>
    </row>
    <row r="20" ht="19" customHeight="1">
      <c r="A20" s="26" t="n"/>
      <c r="B20" s="26" t="n"/>
      <c r="C20" s="27" t="inlineStr">
        <is>
          <t>- Bê tông 8 cọc trụ T2 L=30m (bản vẽ tr.70, gồm bê tông đầu cọc)</t>
        </is>
      </c>
      <c r="D20" s="28" t="inlineStr">
        <is>
          <t>m3</t>
        </is>
      </c>
      <c r="E20" s="36" t="n">
        <v>8</v>
      </c>
      <c r="F20" s="36" t="n">
        <v>34.73</v>
      </c>
      <c r="G20" s="36" t="n">
        <v>1</v>
      </c>
      <c r="H20" s="36" t="n">
        <v>1</v>
      </c>
      <c r="I20" s="40" t="n">
        <v>1</v>
      </c>
      <c r="J20" s="41">
        <f>E20*F20*G20*H20*I20</f>
        <v/>
      </c>
      <c r="K20" s="26" t="n"/>
      <c r="L20" s="26" t="n"/>
      <c r="M20" s="35" t="inlineStr">
        <is>
          <t>Theo bản vẽ: 304,007 → 277,840. Bỏ hệ số nở thành 3,5186 — lấy thể tích thiết kế tr.70.</t>
        </is>
      </c>
      <c r="N20" t="n">
        <v>304.007</v>
      </c>
    </row>
    <row r="21" ht="19" customHeight="1">
      <c r="A21" s="26" t="n"/>
      <c r="B21" s="26" t="n"/>
      <c r="C21" s="27" t="inlineStr">
        <is>
          <t>- Bê tông 7 cọc mố M2 L=36m (bản vẽ tr.66, gồm bê tông đầu cọc)</t>
        </is>
      </c>
      <c r="D21" s="28" t="inlineStr">
        <is>
          <t>m3</t>
        </is>
      </c>
      <c r="E21" s="36" t="n">
        <v>7</v>
      </c>
      <c r="F21" s="36" t="n">
        <v>41.56</v>
      </c>
      <c r="G21" s="36" t="n">
        <v>1</v>
      </c>
      <c r="H21" s="36" t="n">
        <v>1</v>
      </c>
      <c r="I21" s="40" t="n">
        <v>1</v>
      </c>
      <c r="J21" s="41">
        <f>E21*F21*G21*H21*I21</f>
        <v/>
      </c>
      <c r="K21" s="26" t="n"/>
      <c r="L21" s="26" t="n"/>
      <c r="M21" s="35" t="inlineStr">
        <is>
          <t>Theo bản vẽ: 319,207 → 290,920. Bỏ hệ số nở thành 3,5186 — lấy thể tích thiết kế tr.66.</t>
        </is>
      </c>
      <c r="N21" t="n">
        <v>319.207</v>
      </c>
    </row>
    <row r="22" ht="22" customHeight="1">
      <c r="A22" s="23" t="inlineStr">
        <is>
          <t>4</t>
        </is>
      </c>
      <c r="B22" s="23" t="inlineStr">
        <is>
          <t>AF.61111</t>
        </is>
      </c>
      <c r="C22" s="17" t="inlineStr">
        <is>
          <t>Cốt thép cọc khoan nhồi D1200mm (Thép chủ D25, đai D16, D10)</t>
        </is>
      </c>
      <c r="D22" s="23" t="inlineStr">
        <is>
          <t>Tấn</t>
        </is>
      </c>
      <c r="E22" s="18" t="n"/>
      <c r="F22" s="18" t="n"/>
      <c r="G22" s="18" t="n"/>
      <c r="H22" s="18" t="n"/>
      <c r="I22" s="18" t="n"/>
      <c r="J22" s="42">
        <f>SUM(J23:J26)</f>
        <v/>
      </c>
      <c r="K22" s="19" t="n">
        <v>18500000</v>
      </c>
      <c r="L22" s="25">
        <f>J22*K22</f>
        <v/>
      </c>
      <c r="M22" s="35" t="inlineStr">
        <is>
          <t>Tiêu đề ghi cứng 108,766 — đổi thành tổng các dòng diễn giải (=SUM(J23:J26))</t>
        </is>
      </c>
      <c r="N22" t="n">
        <v>108.76599036</v>
      </c>
    </row>
    <row r="23" ht="19" customHeight="1">
      <c r="A23" s="26" t="n"/>
      <c r="B23" s="26" t="n"/>
      <c r="C23" s="27" t="inlineStr">
        <is>
          <t>- Cốt thép cọc mố M1 (3 cọc, bản vẽ tr.64 tấn/cọc)</t>
        </is>
      </c>
      <c r="D23" s="28" t="inlineStr">
        <is>
          <t>Tấn</t>
        </is>
      </c>
      <c r="E23" s="36" t="n">
        <v>3</v>
      </c>
      <c r="F23" s="36" t="n">
        <v>2.50753</v>
      </c>
      <c r="G23" s="36" t="n">
        <v>1</v>
      </c>
      <c r="H23" s="36" t="n">
        <v>1</v>
      </c>
      <c r="I23" s="40" t="n">
        <v>1</v>
      </c>
      <c r="J23" s="41">
        <f>E23*F23*G23*H23*I23</f>
        <v/>
      </c>
      <c r="K23" s="26" t="n"/>
      <c r="L23" s="26" t="n"/>
      <c r="M23" s="35" t="inlineStr">
        <is>
          <t>Theo bản vẽ: 17,667 → 7,523</t>
        </is>
      </c>
      <c r="N23" t="n">
        <v>17.667</v>
      </c>
    </row>
    <row r="24" ht="19" customHeight="1">
      <c r="A24" s="26" t="n"/>
      <c r="B24" s="26" t="n"/>
      <c r="C24" s="27" t="inlineStr">
        <is>
          <t>- Cốt thép cọc trụ T1 (8 cọc, bản vẽ tr.68 tấn/cọc)</t>
        </is>
      </c>
      <c r="D24" s="28" t="inlineStr">
        <is>
          <t>Tấn</t>
        </is>
      </c>
      <c r="E24" s="36" t="n">
        <v>8</v>
      </c>
      <c r="F24" s="36" t="n">
        <v>4.82866</v>
      </c>
      <c r="G24" s="36" t="n">
        <v>1</v>
      </c>
      <c r="H24" s="36" t="n">
        <v>1</v>
      </c>
      <c r="I24" s="40" t="n">
        <v>1</v>
      </c>
      <c r="J24" s="41">
        <f>E24*F24*G24*H24*I24</f>
        <v/>
      </c>
      <c r="K24" s="26" t="n"/>
      <c r="L24" s="26" t="n"/>
      <c r="M24" s="35" t="inlineStr">
        <is>
          <t>Theo bản vẽ: 38,760 → 38,629</t>
        </is>
      </c>
      <c r="N24" t="n">
        <v>38.76</v>
      </c>
    </row>
    <row r="25" ht="19" customHeight="1">
      <c r="A25" s="26" t="n"/>
      <c r="B25" s="26" t="n"/>
      <c r="C25" s="27" t="inlineStr">
        <is>
          <t>- Cốt thép cọc trụ T2 (8 cọc, bản vẽ tr.70 tấn/cọc)</t>
        </is>
      </c>
      <c r="D25" s="28" t="inlineStr">
        <is>
          <t>Tấn</t>
        </is>
      </c>
      <c r="E25" s="36" t="n">
        <v>8</v>
      </c>
      <c r="F25" s="36" t="n">
        <v>3.67107</v>
      </c>
      <c r="G25" s="36" t="n">
        <v>1</v>
      </c>
      <c r="H25" s="36" t="n">
        <v>1</v>
      </c>
      <c r="I25" s="40" t="n">
        <v>1</v>
      </c>
      <c r="J25" s="41">
        <f>E25*F25*G25*H25*I25</f>
        <v/>
      </c>
      <c r="K25" s="26" t="n"/>
      <c r="L25" s="26" t="n"/>
      <c r="M25" s="35" t="inlineStr">
        <is>
          <t>Theo bản vẽ: 29,496 → 29,369</t>
        </is>
      </c>
      <c r="N25" t="n">
        <v>29.496</v>
      </c>
    </row>
    <row r="26" ht="19" customHeight="1">
      <c r="A26" s="26" t="n"/>
      <c r="B26" s="26" t="n"/>
      <c r="C26" s="27" t="inlineStr">
        <is>
          <t>- Cốt thép cọc mố M2 (7 cọc, bản vẽ tr.66 tấn/cọc)</t>
        </is>
      </c>
      <c r="D26" s="28" t="inlineStr">
        <is>
          <t>Tấn</t>
        </is>
      </c>
      <c r="E26" s="36" t="n">
        <v>7</v>
      </c>
      <c r="F26" s="36" t="n">
        <v>4.70588</v>
      </c>
      <c r="G26" s="36" t="n">
        <v>1</v>
      </c>
      <c r="H26" s="36" t="n">
        <v>1</v>
      </c>
      <c r="I26" s="40" t="n">
        <v>1</v>
      </c>
      <c r="J26" s="41">
        <f>E26*F26*G26*H26*I26</f>
        <v/>
      </c>
      <c r="K26" s="26" t="n"/>
      <c r="L26" s="26" t="n"/>
      <c r="M26" s="35" t="inlineStr">
        <is>
          <t>Theo bản vẽ: 33,047 → 32,941. Tổng 4 trang cọc 108,462 t; bảng tổng hợp tr.175 ghi 108,884 t (nhóm 10&lt;D&lt;=18: 0,982 t so với 0,559 t trên các trang cọc) — xem PDF tr.175.</t>
        </is>
      </c>
      <c r="N26" t="n">
        <v>33.047</v>
      </c>
    </row>
    <row r="27" ht="22" customHeight="1">
      <c r="A27" s="23" t="inlineStr">
        <is>
          <t>5</t>
        </is>
      </c>
      <c r="B27" s="23" t="inlineStr">
        <is>
          <t>AC.13111</t>
        </is>
      </c>
      <c r="C27" s="17" t="inlineStr">
        <is>
          <t>Đập đầu cọc khoan nhồi nhô lên đáy bệ ngàm vào kết cấu</t>
        </is>
      </c>
      <c r="D27" s="23" t="inlineStr">
        <is>
          <t>m3</t>
        </is>
      </c>
      <c r="E27" s="18" t="n"/>
      <c r="F27" s="18" t="n"/>
      <c r="G27" s="18" t="n"/>
      <c r="H27" s="18" t="n"/>
      <c r="I27" s="18" t="n"/>
      <c r="J27" s="24">
        <f>SUM(J28:J28)</f>
        <v/>
      </c>
      <c r="K27" s="19" t="n">
        <v>550000</v>
      </c>
      <c r="L27" s="25">
        <f>J27*K27</f>
        <v/>
      </c>
    </row>
    <row r="28" ht="19" customHeight="1">
      <c r="A28" s="26" t="n"/>
      <c r="B28" s="26" t="n"/>
      <c r="C28" s="27" t="inlineStr">
        <is>
          <t>- Đập đầu 26 cọc (bản vẽ tr.64/66/68/70: 3×M1 + 8×T1 + 8×T2 + 7×M2)</t>
        </is>
      </c>
      <c r="D28" s="28" t="inlineStr">
        <is>
          <t>m3</t>
        </is>
      </c>
      <c r="E28" s="36" t="n">
        <v>1</v>
      </c>
      <c r="F28" s="36">
        <f>3*1.13+8*1.13+8*1.13+7*1.27</f>
        <v/>
      </c>
      <c r="G28" s="36" t="n">
        <v>1</v>
      </c>
      <c r="H28" s="36" t="n">
        <v>1</v>
      </c>
      <c r="I28" s="40" t="n">
        <v>1</v>
      </c>
      <c r="J28" s="41">
        <f>E28*F28*G28*H28*I28</f>
        <v/>
      </c>
      <c r="K28" s="26" t="n"/>
      <c r="L28" s="26" t="n"/>
      <c r="M28" s="35" t="inlineStr">
        <is>
          <t>Theo bản vẽ: 29,405 → 30,360</t>
        </is>
      </c>
      <c r="N28" t="n">
        <v>29.405</v>
      </c>
    </row>
    <row r="29" ht="22" customHeight="1">
      <c r="A29" s="23" t="inlineStr">
        <is>
          <t>6</t>
        </is>
      </c>
      <c r="B29" s="23" t="inlineStr">
        <is>
          <t>TN.11111</t>
        </is>
      </c>
      <c r="C29" s="17" t="inlineStr">
        <is>
          <t>Thí nghiệm kiểm soát cọc (Siêu âm 156 mặt cắt, PDA 9434kN, lấy lõi 4 cọc)</t>
        </is>
      </c>
      <c r="D29" s="23" t="inlineStr">
        <is>
          <t>Gói</t>
        </is>
      </c>
      <c r="E29" s="18" t="n"/>
      <c r="F29" s="18" t="n"/>
      <c r="G29" s="18" t="n"/>
      <c r="H29" s="18" t="n"/>
      <c r="I29" s="18" t="n"/>
      <c r="J29" s="24">
        <f>SUM(J30:J30)</f>
        <v/>
      </c>
      <c r="K29" s="19" t="n">
        <v>450000000</v>
      </c>
      <c r="L29" s="25">
        <f>J29*K29</f>
        <v/>
      </c>
    </row>
    <row r="30" ht="19" customHeight="1">
      <c r="A30" s="26" t="n"/>
      <c r="B30" s="26" t="n"/>
      <c r="C30" s="27" t="inlineStr">
        <is>
          <t>- Gói thí nghiệm siêu âm 100% cọc, nén động PDA trụ T1 &amp; khoan lấy lõi</t>
        </is>
      </c>
      <c r="D30" s="28" t="inlineStr">
        <is>
          <t>Gói</t>
        </is>
      </c>
      <c r="E30" s="29" t="n">
        <v>1</v>
      </c>
      <c r="F30" s="29" t="n">
        <v>1</v>
      </c>
      <c r="G30" s="29" t="n">
        <v>1</v>
      </c>
      <c r="H30" s="29" t="n">
        <v>1</v>
      </c>
      <c r="I30" s="30" t="n">
        <v>1</v>
      </c>
      <c r="J30" s="31">
        <f>E30*F30*G30*H30*I30</f>
        <v/>
      </c>
      <c r="K30" s="26" t="n"/>
      <c r="L30" s="26" t="n"/>
    </row>
    <row r="31" ht="24" customHeight="1">
      <c r="A31" s="5" t="inlineStr">
        <is>
          <t>PHẦN II: KẾT CẤU PHẦN DƯỚI (BỆ, THÂN, XÀ MŨ MỐ M1, M2 &amp; TRỤ T1, T2)</t>
        </is>
      </c>
    </row>
    <row r="32" ht="22" customHeight="1">
      <c r="A32" s="23" t="inlineStr">
        <is>
          <t>7</t>
        </is>
      </c>
      <c r="B32" s="23" t="inlineStr">
        <is>
          <t>AB.11111</t>
        </is>
      </c>
      <c r="C32" s="17" t="inlineStr">
        <is>
          <t>Đào đất đá hố móng bệ mố M1, M2 và bệ trụ T1, T2 (Link Sheet Đào Đắp)</t>
        </is>
      </c>
      <c r="D32" s="23" t="inlineStr">
        <is>
          <t>m3</t>
        </is>
      </c>
      <c r="E32" s="18" t="n"/>
      <c r="F32" s="18" t="n"/>
      <c r="G32" s="18" t="n"/>
      <c r="H32" s="18" t="n"/>
      <c r="I32" s="18" t="n"/>
      <c r="J32" s="24">
        <f>SUM(J33:J33)</f>
        <v/>
      </c>
      <c r="K32" s="19" t="n">
        <v>145000</v>
      </c>
      <c r="L32" s="25">
        <f>J32*K32</f>
        <v/>
      </c>
    </row>
    <row r="33" ht="19" customHeight="1">
      <c r="A33" s="26" t="n"/>
      <c r="B33" s="26" t="n"/>
      <c r="C33" s="27" t="inlineStr">
        <is>
          <t>- Đào đất đá hố móng bệ mố M1,M2 &amp; bệ trụ T1,T2 → =KHOI_LUONG_DAO_DAP!F21</t>
        </is>
      </c>
      <c r="D33" s="28" t="inlineStr">
        <is>
          <t>m3</t>
        </is>
      </c>
      <c r="E33" s="29" t="n">
        <v>1</v>
      </c>
      <c r="F33" s="29" t="n">
        <v>1</v>
      </c>
      <c r="G33" s="29" t="n">
        <v>1</v>
      </c>
      <c r="H33" s="29" t="n">
        <v>1</v>
      </c>
      <c r="I33" s="30" t="n">
        <v>1</v>
      </c>
      <c r="J33" s="33" t="n">
        <v>6245</v>
      </c>
      <c r="K33" s="26" t="n"/>
      <c r="L33" s="26" t="n"/>
      <c r="M33" s="35" t="inlineStr">
        <is>
          <t>Khối lượng đào lấy từ sheet đào đắp (6.245 m³) — chưa đối chiếu bản vẽ.</t>
        </is>
      </c>
    </row>
    <row r="34" ht="22" customHeight="1">
      <c r="A34" s="23" t="inlineStr">
        <is>
          <t>8</t>
        </is>
      </c>
      <c r="B34" s="23" t="inlineStr">
        <is>
          <t>AF.11111</t>
        </is>
      </c>
      <c r="C34" s="17" t="inlineStr">
        <is>
          <t>Bê tông lót đáy bệ móng mác C10 dày 10cm</t>
        </is>
      </c>
      <c r="D34" s="23" t="inlineStr">
        <is>
          <t>m3</t>
        </is>
      </c>
      <c r="E34" s="18" t="n"/>
      <c r="F34" s="18" t="n"/>
      <c r="G34" s="18" t="n"/>
      <c r="H34" s="18" t="n"/>
      <c r="I34" s="18" t="n"/>
      <c r="J34" s="24">
        <f>SUM(J35:J38)</f>
        <v/>
      </c>
      <c r="K34" s="19" t="n">
        <v>1150000</v>
      </c>
      <c r="L34" s="25">
        <f>J34*K34</f>
        <v/>
      </c>
    </row>
    <row r="35" ht="19" customHeight="1">
      <c r="A35" s="26" t="n"/>
      <c r="B35" s="26" t="n"/>
      <c r="C35" s="27" t="inlineStr">
        <is>
          <t>- Bê tông đệm C10 mố M1 (bản vẽ tr.31)</t>
        </is>
      </c>
      <c r="D35" s="28" t="inlineStr">
        <is>
          <t>m3</t>
        </is>
      </c>
      <c r="E35" s="36" t="n">
        <v>1</v>
      </c>
      <c r="F35" s="36" t="n">
        <v>2.46</v>
      </c>
      <c r="G35" s="36" t="n">
        <v>1</v>
      </c>
      <c r="H35" s="36" t="n">
        <v>1</v>
      </c>
      <c r="I35" s="40" t="n">
        <v>1</v>
      </c>
      <c r="J35" s="41">
        <f>E35*F35*G35*H35*I35</f>
        <v/>
      </c>
      <c r="K35" s="26" t="n"/>
      <c r="L35" s="26" t="n"/>
      <c r="M35" s="35" t="inlineStr">
        <is>
          <t>Theo bản vẽ: 7,500 → 2,460</t>
        </is>
      </c>
      <c r="N35" t="n">
        <v>7.5</v>
      </c>
    </row>
    <row r="36" ht="19" customHeight="1">
      <c r="A36" s="26" t="n"/>
      <c r="B36" s="26" t="n"/>
      <c r="C36" s="27" t="inlineStr">
        <is>
          <t>- Bê tông đệm C10 mố M2 (bản vẽ tr.40)</t>
        </is>
      </c>
      <c r="D36" s="28" t="inlineStr">
        <is>
          <t>m3</t>
        </is>
      </c>
      <c r="E36" s="36" t="n">
        <v>1</v>
      </c>
      <c r="F36" s="36" t="n">
        <v>7.09</v>
      </c>
      <c r="G36" s="36" t="n">
        <v>1</v>
      </c>
      <c r="H36" s="36" t="n">
        <v>1</v>
      </c>
      <c r="I36" s="40" t="n">
        <v>1</v>
      </c>
      <c r="J36" s="41">
        <f>E36*F36*G36*H36*I36</f>
        <v/>
      </c>
      <c r="K36" s="26" t="n"/>
      <c r="L36" s="26" t="n"/>
      <c r="M36" s="35" t="inlineStr">
        <is>
          <t>Theo bản vẽ: 9,100 → 7,090</t>
        </is>
      </c>
      <c r="N36" t="n">
        <v>9.1</v>
      </c>
    </row>
    <row r="37" ht="19" customHeight="1">
      <c r="A37" s="26" t="n"/>
      <c r="B37" s="26" t="n"/>
      <c r="C37" s="27" t="inlineStr">
        <is>
          <t>- Bê tông đệm C10 bệ trụ T1 (bản vẽ tr.44)</t>
        </is>
      </c>
      <c r="D37" s="28" t="inlineStr">
        <is>
          <t>m3</t>
        </is>
      </c>
      <c r="E37" s="36" t="n">
        <v>1</v>
      </c>
      <c r="F37" s="36" t="n">
        <v>8.77</v>
      </c>
      <c r="G37" s="36" t="n">
        <v>1</v>
      </c>
      <c r="H37" s="36" t="n">
        <v>1</v>
      </c>
      <c r="I37" s="40" t="n">
        <v>1</v>
      </c>
      <c r="J37" s="41">
        <f>E37*F37*G37*H37*I37</f>
        <v/>
      </c>
      <c r="K37" s="26" t="n"/>
      <c r="L37" s="26" t="n"/>
      <c r="M37" s="35" t="inlineStr">
        <is>
          <t>Theo bản vẽ: 8,450 → 8,770</t>
        </is>
      </c>
      <c r="N37" t="n">
        <v>8.449999999999999</v>
      </c>
    </row>
    <row r="38" ht="19" customHeight="1">
      <c r="A38" s="26" t="n"/>
      <c r="B38" s="26" t="n"/>
      <c r="C38" s="27" t="inlineStr">
        <is>
          <t>- Bê tông đệm C10 bệ trụ T2 (bản vẽ tr.55)</t>
        </is>
      </c>
      <c r="D38" s="28" t="inlineStr">
        <is>
          <t>m3</t>
        </is>
      </c>
      <c r="E38" s="36" t="n">
        <v>1</v>
      </c>
      <c r="F38" s="36" t="n">
        <v>8.77</v>
      </c>
      <c r="G38" s="36" t="n">
        <v>1</v>
      </c>
      <c r="H38" s="36" t="n">
        <v>1</v>
      </c>
      <c r="I38" s="40" t="n">
        <v>1</v>
      </c>
      <c r="J38" s="41">
        <f>E38*F38*G38*H38*I38</f>
        <v/>
      </c>
      <c r="K38" s="26" t="n"/>
      <c r="L38" s="26" t="n"/>
      <c r="M38" s="35" t="inlineStr">
        <is>
          <t>Theo bản vẽ: 8,450 → 8,770</t>
        </is>
      </c>
      <c r="N38" t="n">
        <v>8.449999999999999</v>
      </c>
    </row>
    <row r="39" ht="22" customHeight="1">
      <c r="A39" s="23" t="inlineStr">
        <is>
          <t>9</t>
        </is>
      </c>
      <c r="B39" s="23" t="inlineStr">
        <is>
          <t>AF.12111</t>
        </is>
      </c>
      <c r="C39" s="17" t="inlineStr">
        <is>
          <t>Bê tông bệ móng mố M1, M2 và bệ trụ T1, T2 mác C30</t>
        </is>
      </c>
      <c r="D39" s="23" t="inlineStr">
        <is>
          <t>m3</t>
        </is>
      </c>
      <c r="E39" s="18" t="n"/>
      <c r="F39" s="18" t="n"/>
      <c r="G39" s="18" t="n"/>
      <c r="H39" s="18" t="n"/>
      <c r="I39" s="18" t="n"/>
      <c r="J39" s="24">
        <f>SUM(J40:J43)</f>
        <v/>
      </c>
      <c r="K39" s="19" t="n">
        <v>1480000</v>
      </c>
      <c r="L39" s="25">
        <f>J39*K39</f>
        <v/>
      </c>
    </row>
    <row r="40" ht="19" customHeight="1">
      <c r="A40" s="26" t="n"/>
      <c r="B40" s="26" t="n"/>
      <c r="C40" s="27" t="inlineStr">
        <is>
          <t>- Bệ móng mố M1 + M2 (bảng tổng hợp tr.175)</t>
        </is>
      </c>
      <c r="D40" s="28" t="inlineStr">
        <is>
          <t>m3</t>
        </is>
      </c>
      <c r="E40" s="36" t="n">
        <v>1</v>
      </c>
      <c r="F40" s="36" t="n">
        <v>148.992</v>
      </c>
      <c r="G40" s="36" t="n">
        <v>1</v>
      </c>
      <c r="H40" s="36" t="n">
        <v>1</v>
      </c>
      <c r="I40" s="40" t="n">
        <v>1</v>
      </c>
      <c r="J40" s="41">
        <f>E40*F40*G40*H40*I40</f>
        <v/>
      </c>
      <c r="K40" s="26" t="n"/>
      <c r="L40" s="26" t="n"/>
      <c r="M40" s="35" t="inlineStr">
        <is>
          <t>Khớp bản vẽ. Bản vẽ chỉ ghi bê tông bệ mố gộp 2 mố (tr.175) — dòng M2 bên dưới để 0. Tổng bê tông mố (bệ + tường thân + tường đỉnh + tường cánh + ụ) 376,357 m³ khớp tr.31 (75,12) + tr.40 (301,24).</t>
        </is>
      </c>
      <c r="N40" t="n">
        <v>148.988</v>
      </c>
    </row>
    <row r="41" ht="19" customHeight="1">
      <c r="A41" s="26" t="n"/>
      <c r="B41" s="26" t="n"/>
      <c r="C41" s="27" t="inlineStr">
        <is>
          <t>- Bệ móng mố M2: đã gộp vào dòng trên (bản vẽ tr.175 ghi chung 2 mố)</t>
        </is>
      </c>
      <c r="D41" s="28" t="inlineStr">
        <is>
          <t>m3</t>
        </is>
      </c>
      <c r="E41" s="36" t="n">
        <v>0</v>
      </c>
      <c r="F41" s="36" t="n">
        <v>0</v>
      </c>
      <c r="G41" s="36" t="n">
        <v>1</v>
      </c>
      <c r="H41" s="36" t="n">
        <v>1</v>
      </c>
      <c r="I41" s="40" t="n">
        <v>1</v>
      </c>
      <c r="J41" s="41">
        <f>E41*F41*G41*H41*I41</f>
        <v/>
      </c>
      <c r="K41" s="26" t="n"/>
      <c r="L41" s="26" t="n"/>
      <c r="M41" s="35" t="inlineStr">
        <is>
          <t>Theo bản vẽ: 148,990 → 0,000</t>
        </is>
      </c>
      <c r="N41" t="n">
        <v>148.99</v>
      </c>
    </row>
    <row r="42" ht="19" customHeight="1">
      <c r="A42" s="26" t="n"/>
      <c r="B42" s="26" t="n"/>
      <c r="C42" s="27" t="inlineStr">
        <is>
          <t>- Bệ móng trụ T1 (bản vẽ tr.44)</t>
        </is>
      </c>
      <c r="D42" s="28" t="inlineStr">
        <is>
          <t>m3</t>
        </is>
      </c>
      <c r="E42" s="36" t="n">
        <v>1</v>
      </c>
      <c r="F42" s="36" t="n">
        <v>184.24</v>
      </c>
      <c r="G42" s="36" t="n">
        <v>1</v>
      </c>
      <c r="H42" s="36" t="n">
        <v>1</v>
      </c>
      <c r="I42" s="40" t="n">
        <v>1</v>
      </c>
      <c r="J42" s="41">
        <f>E42*F42*G42*H42*I42</f>
        <v/>
      </c>
      <c r="K42" s="26" t="n"/>
      <c r="L42" s="26" t="n"/>
      <c r="M42" s="35" t="inlineStr">
        <is>
          <t>Theo bản vẽ: 184,500 → 184,240</t>
        </is>
      </c>
      <c r="N42" t="n">
        <v>184.5</v>
      </c>
    </row>
    <row r="43" ht="19" customHeight="1">
      <c r="A43" s="26" t="n"/>
      <c r="B43" s="26" t="n"/>
      <c r="C43" s="27" t="inlineStr">
        <is>
          <t>- Bệ móng trụ T2 (bản vẽ tr.55)</t>
        </is>
      </c>
      <c r="D43" s="28" t="inlineStr">
        <is>
          <t>m3</t>
        </is>
      </c>
      <c r="E43" s="36" t="n">
        <v>1</v>
      </c>
      <c r="F43" s="36" t="n">
        <v>184.24</v>
      </c>
      <c r="G43" s="36" t="n">
        <v>1</v>
      </c>
      <c r="H43" s="36" t="n">
        <v>1</v>
      </c>
      <c r="I43" s="40" t="n">
        <v>1</v>
      </c>
      <c r="J43" s="41">
        <f>E43*F43*G43*H43*I43</f>
        <v/>
      </c>
      <c r="K43" s="26" t="n"/>
      <c r="L43" s="26" t="n"/>
      <c r="M43" s="35" t="inlineStr">
        <is>
          <t>Theo bản vẽ: 184,500 → 184,240</t>
        </is>
      </c>
      <c r="N43" t="n">
        <v>184.5</v>
      </c>
    </row>
    <row r="44" ht="22" customHeight="1">
      <c r="A44" s="23" t="inlineStr">
        <is>
          <t>10</t>
        </is>
      </c>
      <c r="B44" s="23" t="inlineStr">
        <is>
          <t>AF.12211</t>
        </is>
      </c>
      <c r="C44" s="17" t="inlineStr">
        <is>
          <t>Bê tông thân mố chân dê M1 và mố chữ U M2 mác C30</t>
        </is>
      </c>
      <c r="D44" s="23" t="inlineStr">
        <is>
          <t>m3</t>
        </is>
      </c>
      <c r="E44" s="18" t="n"/>
      <c r="F44" s="18" t="n"/>
      <c r="G44" s="18" t="n"/>
      <c r="H44" s="18" t="n"/>
      <c r="I44" s="18" t="n"/>
      <c r="J44" s="24">
        <f>SUM(J45:J46)</f>
        <v/>
      </c>
      <c r="K44" s="19" t="n">
        <v>1520000</v>
      </c>
      <c r="L44" s="25">
        <f>J44*K44</f>
        <v/>
      </c>
    </row>
    <row r="45" ht="19" customHeight="1">
      <c r="A45" s="26" t="n"/>
      <c r="B45" s="26" t="n"/>
      <c r="C45" s="27" t="inlineStr">
        <is>
          <t>- Tường thân mố M1 + M2 (bảng tổng hợp tr.175)</t>
        </is>
      </c>
      <c r="D45" s="28" t="inlineStr">
        <is>
          <t>m3</t>
        </is>
      </c>
      <c r="E45" s="36" t="n">
        <v>1</v>
      </c>
      <c r="F45" s="36" t="n">
        <v>168.871</v>
      </c>
      <c r="G45" s="36" t="n">
        <v>1</v>
      </c>
      <c r="H45" s="36" t="n">
        <v>1</v>
      </c>
      <c r="I45" s="40" t="n">
        <v>1</v>
      </c>
      <c r="J45" s="41">
        <f>E45*F45*G45*H45*I45</f>
        <v/>
      </c>
      <c r="K45" s="26" t="n"/>
      <c r="L45" s="26" t="n"/>
      <c r="M45" s="35" t="inlineStr">
        <is>
          <t>Theo bản vẽ: 84,600 → 168,871. Bản vẽ ghi tường thân gộp 2 mố (tr.175) — dòng M2 bên dưới để 0.</t>
        </is>
      </c>
      <c r="N45" t="n">
        <v>84.59999999999999</v>
      </c>
    </row>
    <row r="46" ht="19" customHeight="1">
      <c r="A46" s="26" t="n"/>
      <c r="B46" s="26" t="n"/>
      <c r="C46" s="27" t="inlineStr">
        <is>
          <t>- Tường thân mố M2: đã gộp vào dòng trên (bản vẽ tr.175 ghi chung 2 mố)</t>
        </is>
      </c>
      <c r="D46" s="28" t="inlineStr">
        <is>
          <t>m3</t>
        </is>
      </c>
      <c r="E46" s="36" t="n">
        <v>0</v>
      </c>
      <c r="F46" s="36" t="n">
        <v>0</v>
      </c>
      <c r="G46" s="36" t="n">
        <v>1</v>
      </c>
      <c r="H46" s="36" t="n">
        <v>1</v>
      </c>
      <c r="I46" s="40" t="n">
        <v>1</v>
      </c>
      <c r="J46" s="41">
        <f>E46*F46*G46*H46*I46</f>
        <v/>
      </c>
      <c r="K46" s="26" t="n"/>
      <c r="L46" s="26" t="n"/>
      <c r="M46" s="35" t="inlineStr">
        <is>
          <t>Theo bản vẽ: 84,600 → 0,000</t>
        </is>
      </c>
      <c r="N46" t="n">
        <v>84.59999999999999</v>
      </c>
    </row>
    <row r="47" ht="22" customHeight="1">
      <c r="A47" s="23" t="inlineStr">
        <is>
          <t>11</t>
        </is>
      </c>
      <c r="B47" s="23" t="inlineStr">
        <is>
          <t>AF.12311</t>
        </is>
      </c>
      <c r="C47" s="17" t="inlineStr">
        <is>
          <t>Bê tông tường cánh và tường đỉnh mố M1, M2 mác C30</t>
        </is>
      </c>
      <c r="D47" s="23" t="inlineStr">
        <is>
          <t>m3</t>
        </is>
      </c>
      <c r="E47" s="18" t="n"/>
      <c r="F47" s="18" t="n"/>
      <c r="G47" s="18" t="n"/>
      <c r="H47" s="18" t="n"/>
      <c r="I47" s="18" t="n"/>
      <c r="J47" s="24">
        <f>SUM(J48:J49)</f>
        <v/>
      </c>
      <c r="K47" s="19" t="n">
        <v>1520000</v>
      </c>
      <c r="L47" s="25">
        <f>J47*K47</f>
        <v/>
      </c>
    </row>
    <row r="48" ht="19" customHeight="1">
      <c r="A48" s="26" t="n"/>
      <c r="B48" s="26" t="n"/>
      <c r="C48" s="27" t="inlineStr">
        <is>
          <t>- Tường đỉnh mố M1 + M2 (bảng tổng hợp tr.175)</t>
        </is>
      </c>
      <c r="D48" s="28" t="inlineStr">
        <is>
          <t>m3</t>
        </is>
      </c>
      <c r="E48" s="36" t="n">
        <v>1</v>
      </c>
      <c r="F48" s="36" t="n">
        <v>28.652</v>
      </c>
      <c r="G48" s="36" t="n">
        <v>1</v>
      </c>
      <c r="H48" s="36" t="n">
        <v>1</v>
      </c>
      <c r="I48" s="40" t="n">
        <v>1</v>
      </c>
      <c r="J48" s="41">
        <f>E48*F48*G48*H48*I48</f>
        <v/>
      </c>
      <c r="K48" s="26" t="n"/>
      <c r="L48" s="26" t="n"/>
      <c r="N48" t="n">
        <v>28.658</v>
      </c>
    </row>
    <row r="49" ht="19" customHeight="1">
      <c r="A49" s="26" t="n"/>
      <c r="B49" s="26" t="n"/>
      <c r="C49" s="27" t="inlineStr">
        <is>
          <t>- Tường cánh mố M1 + M2 + gờ lan can, ụ chống chuyển vị tường tai (tr.175)</t>
        </is>
      </c>
      <c r="D49" s="28" t="inlineStr">
        <is>
          <t>m3</t>
        </is>
      </c>
      <c r="E49" s="36" t="n">
        <v>1</v>
      </c>
      <c r="F49" s="36">
        <f>20.254+9.588</f>
        <v/>
      </c>
      <c r="G49" s="36" t="n">
        <v>1</v>
      </c>
      <c r="H49" s="36" t="n">
        <v>1</v>
      </c>
      <c r="I49" s="40" t="n">
        <v>1</v>
      </c>
      <c r="J49" s="41">
        <f>E49*F49*G49*H49*I49</f>
        <v/>
      </c>
      <c r="K49" s="26" t="n"/>
      <c r="L49" s="26" t="n"/>
      <c r="M49" s="35" t="inlineStr">
        <is>
          <t>Theo bản vẽ: 20,256 → 29,842. Gộp 'gờ lan can, ụ chống chuyển vị tường tai' của mố (tr.175) vào hạng mục tường cánh/tường đỉnh vì cùng mác C30 — tách mã nếu đơn giá khác.</t>
        </is>
      </c>
      <c r="N49" t="n">
        <v>20.256</v>
      </c>
    </row>
    <row r="50" ht="22" customHeight="1">
      <c r="A50" s="23" t="inlineStr">
        <is>
          <t>12</t>
        </is>
      </c>
      <c r="B50" s="23" t="inlineStr">
        <is>
          <t>AF.13111</t>
        </is>
      </c>
      <c r="C50" s="17" t="inlineStr">
        <is>
          <t>Bê tông thân đặc trụ T1 và T2 mác C30</t>
        </is>
      </c>
      <c r="D50" s="23" t="inlineStr">
        <is>
          <t>m3</t>
        </is>
      </c>
      <c r="E50" s="18" t="n"/>
      <c r="F50" s="18" t="n"/>
      <c r="G50" s="18" t="n"/>
      <c r="H50" s="18" t="n"/>
      <c r="I50" s="18" t="n"/>
      <c r="J50" s="24">
        <f>SUM(J51:J52)</f>
        <v/>
      </c>
      <c r="K50" s="19" t="n">
        <v>1550000</v>
      </c>
      <c r="L50" s="25">
        <f>J50*K50</f>
        <v/>
      </c>
    </row>
    <row r="51" ht="19" customHeight="1">
      <c r="A51" s="26" t="n"/>
      <c r="B51" s="26" t="n"/>
      <c r="C51" s="27" t="inlineStr">
        <is>
          <t>- Thân trụ T1 (bản vẽ tr.48)</t>
        </is>
      </c>
      <c r="D51" s="28" t="inlineStr">
        <is>
          <t>m3</t>
        </is>
      </c>
      <c r="E51" s="36" t="n">
        <v>1</v>
      </c>
      <c r="F51" s="36" t="n">
        <v>234.92</v>
      </c>
      <c r="G51" s="36" t="n">
        <v>1</v>
      </c>
      <c r="H51" s="36" t="n">
        <v>1</v>
      </c>
      <c r="I51" s="40" t="n">
        <v>1</v>
      </c>
      <c r="J51" s="41">
        <f>E51*F51*G51*H51*I51</f>
        <v/>
      </c>
      <c r="K51" s="26" t="n"/>
      <c r="L51" s="26" t="n"/>
      <c r="M51" s="35" t="inlineStr">
        <is>
          <t>Theo bản vẽ: 281,336 → 234,920. Dự toán cũ ghi H = 14,5 m; cao độ trên bản vẽ cho thân trụ T1 cao khoảng 23,35 m. Đã lấy thể tích bản vẽ.</t>
        </is>
      </c>
      <c r="N51" t="n">
        <v>281.336</v>
      </c>
    </row>
    <row r="52" ht="19" customHeight="1">
      <c r="A52" s="26" t="n"/>
      <c r="B52" s="26" t="n"/>
      <c r="C52" s="27" t="inlineStr">
        <is>
          <t>- Thân trụ T2 (bản vẽ tr.59)</t>
        </is>
      </c>
      <c r="D52" s="28" t="inlineStr">
        <is>
          <t>m3</t>
        </is>
      </c>
      <c r="E52" s="36" t="n">
        <v>1</v>
      </c>
      <c r="F52" s="36" t="n">
        <v>266.79</v>
      </c>
      <c r="G52" s="36" t="n">
        <v>1</v>
      </c>
      <c r="H52" s="36" t="n">
        <v>1</v>
      </c>
      <c r="I52" s="40" t="n">
        <v>1</v>
      </c>
      <c r="J52" s="41">
        <f>E52*F52*G52*H52*I52</f>
        <v/>
      </c>
      <c r="K52" s="26" t="n"/>
      <c r="L52" s="26" t="n"/>
      <c r="M52" s="35" t="inlineStr">
        <is>
          <t>Theo bản vẽ: 221,189 → 266,790. Dự toán cũ ghi H = 11,4 m; cao độ trên bản vẽ cho thân trụ T2 cao khoảng 25,45 m. Đã lấy thể tích bản vẽ.</t>
        </is>
      </c>
      <c r="N52" t="n">
        <v>221.189</v>
      </c>
    </row>
    <row r="53" ht="22" customHeight="1">
      <c r="A53" s="23" t="inlineStr">
        <is>
          <t>13</t>
        </is>
      </c>
      <c r="B53" s="23" t="inlineStr">
        <is>
          <t>AF.13211</t>
        </is>
      </c>
      <c r="C53" s="17" t="inlineStr">
        <is>
          <t>Bê tông xà mũ trụ T1, T2 mác C30</t>
        </is>
      </c>
      <c r="D53" s="23" t="inlineStr">
        <is>
          <t>m3</t>
        </is>
      </c>
      <c r="E53" s="18" t="n"/>
      <c r="F53" s="18" t="n"/>
      <c r="G53" s="18" t="n"/>
      <c r="H53" s="18" t="n"/>
      <c r="I53" s="18" t="n"/>
      <c r="J53" s="24">
        <f>SUM(J54:J55)</f>
        <v/>
      </c>
      <c r="K53" s="19" t="n">
        <v>1580000</v>
      </c>
      <c r="L53" s="25">
        <f>J53*K53</f>
        <v/>
      </c>
    </row>
    <row r="54" ht="19" customHeight="1">
      <c r="A54" s="26" t="n"/>
      <c r="B54" s="26" t="n"/>
      <c r="C54" s="27" t="inlineStr">
        <is>
          <t>- Xà mũ trụ T1 (bản vẽ tr.51)</t>
        </is>
      </c>
      <c r="D54" s="28" t="inlineStr">
        <is>
          <t>m3</t>
        </is>
      </c>
      <c r="E54" s="36" t="n">
        <v>1</v>
      </c>
      <c r="F54" s="36" t="n">
        <v>72.51000000000001</v>
      </c>
      <c r="G54" s="36" t="n">
        <v>1</v>
      </c>
      <c r="H54" s="36" t="n">
        <v>1</v>
      </c>
      <c r="I54" s="40" t="n">
        <v>1</v>
      </c>
      <c r="J54" s="41">
        <f>E54*F54*G54*H54*I54</f>
        <v/>
      </c>
      <c r="K54" s="26" t="n"/>
      <c r="L54" s="26" t="n"/>
      <c r="M54" s="35" t="inlineStr">
        <is>
          <t>Theo bản vẽ: 73,062 → 72,510</t>
        </is>
      </c>
      <c r="N54" t="n">
        <v>73.062</v>
      </c>
    </row>
    <row r="55" ht="19" customHeight="1">
      <c r="A55" s="26" t="n"/>
      <c r="B55" s="26" t="n"/>
      <c r="C55" s="27" t="inlineStr">
        <is>
          <t>- Xà mũ trụ T2 (bản vẽ tr.62)</t>
        </is>
      </c>
      <c r="D55" s="28" t="inlineStr">
        <is>
          <t>m3</t>
        </is>
      </c>
      <c r="E55" s="36" t="n">
        <v>1</v>
      </c>
      <c r="F55" s="36" t="n">
        <v>72.51000000000001</v>
      </c>
      <c r="G55" s="36" t="n">
        <v>1</v>
      </c>
      <c r="H55" s="36" t="n">
        <v>1</v>
      </c>
      <c r="I55" s="40" t="n">
        <v>1</v>
      </c>
      <c r="J55" s="41">
        <f>E55*F55*G55*H55*I55</f>
        <v/>
      </c>
      <c r="K55" s="26" t="n"/>
      <c r="L55" s="26" t="n"/>
      <c r="M55" s="35" t="inlineStr">
        <is>
          <t>Theo bản vẽ: 73,062 → 72,510</t>
        </is>
      </c>
      <c r="N55" t="n">
        <v>73.062</v>
      </c>
    </row>
    <row r="56" ht="22" customHeight="1">
      <c r="A56" s="23" t="inlineStr">
        <is>
          <t>14</t>
        </is>
      </c>
      <c r="B56" s="23" t="inlineStr">
        <is>
          <t>AF.62111</t>
        </is>
      </c>
      <c r="C56" s="17" t="inlineStr">
        <is>
          <t>Cốt thép mố và trụ (D&lt;=10, 10&lt;D&lt;=18, D&gt;18)</t>
        </is>
      </c>
      <c r="D56" s="23" t="inlineStr">
        <is>
          <t>Tấn</t>
        </is>
      </c>
      <c r="E56" s="18" t="n"/>
      <c r="F56" s="18" t="n"/>
      <c r="G56" s="18" t="n"/>
      <c r="H56" s="18" t="n"/>
      <c r="I56" s="18" t="n"/>
      <c r="J56" s="42">
        <f>SUM(J57:J60)</f>
        <v/>
      </c>
      <c r="K56" s="19" t="n">
        <v>18500000</v>
      </c>
      <c r="L56" s="25">
        <f>J56*K56</f>
        <v/>
      </c>
      <c r="M56" s="35" t="inlineStr">
        <is>
          <t>Tiêu đề ghi cứng 224,652 — đổi thành tổng các dòng diễn giải (=SUM(J57:J60))</t>
        </is>
      </c>
      <c r="N56" t="n">
        <v>224.6522560819999</v>
      </c>
    </row>
    <row r="57" ht="19" customHeight="1">
      <c r="A57" s="26" t="n"/>
      <c r="B57" s="26" t="n"/>
      <c r="C57" s="27" t="inlineStr">
        <is>
          <t>- Cốt thép mố M1 (bản vẽ tr.31)</t>
        </is>
      </c>
      <c r="D57" s="28" t="inlineStr">
        <is>
          <t>Tấn</t>
        </is>
      </c>
      <c r="E57" s="36" t="n">
        <v>1</v>
      </c>
      <c r="F57" s="36" t="n">
        <v>7.95856</v>
      </c>
      <c r="G57" s="36" t="n">
        <v>1</v>
      </c>
      <c r="H57" s="36" t="n">
        <v>1</v>
      </c>
      <c r="I57" s="40" t="n">
        <v>1</v>
      </c>
      <c r="J57" s="41">
        <f>E57*F57*G57*H57*I57</f>
        <v/>
      </c>
      <c r="K57" s="26" t="n"/>
      <c r="L57" s="26" t="n"/>
      <c r="M57" s="35" t="inlineStr">
        <is>
          <t>Theo bản vẽ: 23,450 → 7,959</t>
        </is>
      </c>
      <c r="N57" t="n">
        <v>23.45</v>
      </c>
    </row>
    <row r="58" ht="19" customHeight="1">
      <c r="A58" s="26" t="n"/>
      <c r="B58" s="26" t="n"/>
      <c r="C58" s="27" t="inlineStr">
        <is>
          <t>- Cốt thép mố M2 (bản vẽ tr.40)</t>
        </is>
      </c>
      <c r="D58" s="28" t="inlineStr">
        <is>
          <t>Tấn</t>
        </is>
      </c>
      <c r="E58" s="36" t="n">
        <v>1</v>
      </c>
      <c r="F58" s="36" t="n">
        <v>19.64873</v>
      </c>
      <c r="G58" s="36" t="n">
        <v>1</v>
      </c>
      <c r="H58" s="36" t="n">
        <v>1</v>
      </c>
      <c r="I58" s="40" t="n">
        <v>1</v>
      </c>
      <c r="J58" s="41">
        <f>E58*F58*G58*H58*I58</f>
        <v/>
      </c>
      <c r="K58" s="26" t="n"/>
      <c r="L58" s="26" t="n"/>
      <c r="M58" s="35" t="inlineStr">
        <is>
          <t>Theo bản vẽ: 31,850 → 19,649. Tr.40 ghi 0 kg cho W6, W7, W9 dù dài × SL × kg/m = 237,05 kg (51,50 + 48,84 + 136,71). Dòng này lấy tổng bản vẽ 19,649 t; BBS vẫn gia công các thanh đó. Nếu chủ dự án ghim tính thì cộng 0,237 t.</t>
        </is>
      </c>
      <c r="N58" t="n">
        <v>31.85</v>
      </c>
    </row>
    <row r="59" ht="19" customHeight="1">
      <c r="A59" s="26" t="n"/>
      <c r="B59" s="26" t="n"/>
      <c r="C59" s="27" t="inlineStr">
        <is>
          <t>- Cốt thép trụ T1: bệ tr.44 + thân tr.48 + xà mũ tr.51</t>
        </is>
      </c>
      <c r="D59" s="28" t="inlineStr">
        <is>
          <t>Tấn</t>
        </is>
      </c>
      <c r="E59" s="36" t="n">
        <v>1</v>
      </c>
      <c r="F59" s="36">
        <f>16.1778+32.5585+13.0131</f>
        <v/>
      </c>
      <c r="G59" s="36" t="n">
        <v>1</v>
      </c>
      <c r="H59" s="36" t="n">
        <v>1</v>
      </c>
      <c r="I59" s="40" t="n">
        <v>1</v>
      </c>
      <c r="J59" s="41">
        <f>E59*F59*G59*H59*I59</f>
        <v/>
      </c>
      <c r="K59" s="26" t="n"/>
      <c r="L59" s="26" t="n"/>
      <c r="M59" s="35" t="inlineStr">
        <is>
          <t>Theo bản vẽ: 38,600 → 61,749</t>
        </is>
      </c>
      <c r="N59" t="n">
        <v>38.6</v>
      </c>
    </row>
    <row r="60" ht="19" customHeight="1">
      <c r="A60" s="26" t="n"/>
      <c r="B60" s="26" t="n"/>
      <c r="C60" s="27" t="inlineStr">
        <is>
          <t>- Cốt thép trụ T2: bệ tr.55 + thân tr.59 + xà mũ tr.62</t>
        </is>
      </c>
      <c r="D60" s="28" t="inlineStr">
        <is>
          <t>Tấn</t>
        </is>
      </c>
      <c r="E60" s="36" t="n">
        <v>1</v>
      </c>
      <c r="F60" s="36">
        <f>16.1778+35.1868+13.0131</f>
        <v/>
      </c>
      <c r="G60" s="36" t="n">
        <v>1</v>
      </c>
      <c r="H60" s="36" t="n">
        <v>1</v>
      </c>
      <c r="I60" s="40" t="n">
        <v>1</v>
      </c>
      <c r="J60" s="41">
        <f>E60*F60*G60*H60*I60</f>
        <v/>
      </c>
      <c r="K60" s="26" t="n"/>
      <c r="L60" s="26" t="n"/>
      <c r="M60" s="35" t="inlineStr">
        <is>
          <t>Theo bản vẽ: 34,200 → 64,378</t>
        </is>
      </c>
      <c r="N60" t="n">
        <v>34.2</v>
      </c>
    </row>
    <row r="61" ht="24" customHeight="1">
      <c r="A61" s="5" t="inlineStr">
        <is>
          <t>PHẦN III: KẾT CẤU PHẦN TRÊN (15 PHIẾN DẦM SUPER-T L=38.2M, BẢN MẶT CẦU)</t>
        </is>
      </c>
    </row>
    <row r="62" ht="22" customHeight="1">
      <c r="A62" s="23" t="inlineStr">
        <is>
          <t>15</t>
        </is>
      </c>
      <c r="B62" s="23" t="inlineStr">
        <is>
          <t>AF.31111</t>
        </is>
      </c>
      <c r="C62" s="17" t="inlineStr">
        <is>
          <t>Bê tông dầm chủ Super-T L=38.2m mác cao C45/55</t>
        </is>
      </c>
      <c r="D62" s="23" t="inlineStr">
        <is>
          <t>m3</t>
        </is>
      </c>
      <c r="E62" s="18" t="n"/>
      <c r="F62" s="18" t="n"/>
      <c r="G62" s="18" t="n"/>
      <c r="H62" s="18" t="n"/>
      <c r="I62" s="18" t="n"/>
      <c r="J62" s="24">
        <f>SUM(J63:J63)</f>
        <v/>
      </c>
      <c r="K62" s="19" t="n">
        <v>2150000</v>
      </c>
      <c r="L62" s="25">
        <f>J62*K62</f>
        <v/>
      </c>
    </row>
    <row r="63" ht="19" customHeight="1">
      <c r="A63" s="26" t="n"/>
      <c r="B63" s="26" t="n"/>
      <c r="C63" s="27" t="inlineStr">
        <is>
          <t>- Bê tông 15 phiến dầm Super-T 45MPa (bảng tổng hợp tr.175)</t>
        </is>
      </c>
      <c r="D63" s="28" t="inlineStr">
        <is>
          <t>m3</t>
        </is>
      </c>
      <c r="E63" s="36" t="n">
        <v>1</v>
      </c>
      <c r="F63" s="36" t="n">
        <v>434.803</v>
      </c>
      <c r="G63" s="36" t="n">
        <v>1</v>
      </c>
      <c r="H63" s="36" t="n">
        <v>1</v>
      </c>
      <c r="I63" s="40" t="n">
        <v>1</v>
      </c>
      <c r="J63" s="41">
        <f>E63*F63*G63*H63*I63</f>
        <v/>
      </c>
      <c r="K63" s="26" t="n"/>
      <c r="L63" s="26" t="n"/>
      <c r="N63" t="n">
        <v>434.907</v>
      </c>
    </row>
    <row r="64" ht="22" customHeight="1">
      <c r="A64" s="23" t="inlineStr">
        <is>
          <t>16</t>
        </is>
      </c>
      <c r="B64" s="23" t="inlineStr">
        <is>
          <t>AF.63111</t>
        </is>
      </c>
      <c r="C64" s="17" t="inlineStr">
        <is>
          <t>Cáp dự ứng lực tao xoắn 15.2mm Grade 270 kéo căng trước/sau</t>
        </is>
      </c>
      <c r="D64" s="23" t="inlineStr">
        <is>
          <t>Tấn</t>
        </is>
      </c>
      <c r="E64" s="18" t="n"/>
      <c r="F64" s="18" t="n"/>
      <c r="G64" s="18" t="n"/>
      <c r="H64" s="18" t="n"/>
      <c r="I64" s="18" t="n"/>
      <c r="J64" s="42">
        <f>SUM(J65:J65)</f>
        <v/>
      </c>
      <c r="K64" s="19" t="n">
        <v>42000000</v>
      </c>
      <c r="L64" s="25">
        <f>J64*K64</f>
        <v/>
      </c>
      <c r="M64" s="35" t="inlineStr">
        <is>
          <t>Tiêu đề ghi cứng 27,784 — đổi thành tổng các dòng diễn giải (=SUM(J65:J65))</t>
        </is>
      </c>
      <c r="N64" t="n">
        <v>27.78362400000001</v>
      </c>
    </row>
    <row r="65" ht="19" customHeight="1">
      <c r="A65" s="26" t="n"/>
      <c r="B65" s="26" t="n"/>
      <c r="C65" s="27" t="inlineStr">
        <is>
          <t>- Cáp DƯL 15,2mm 15 phiến dầm Super-T (bảng tổng hợp tr.175)</t>
        </is>
      </c>
      <c r="D65" s="28" t="inlineStr">
        <is>
          <t>Tấn</t>
        </is>
      </c>
      <c r="E65" s="36" t="n">
        <v>1</v>
      </c>
      <c r="F65" s="36" t="n">
        <v>29.911</v>
      </c>
      <c r="G65" s="36" t="n">
        <v>1</v>
      </c>
      <c r="H65" s="36" t="n">
        <v>1</v>
      </c>
      <c r="I65" s="40" t="n">
        <v>1</v>
      </c>
      <c r="J65" s="41">
        <f>E65*F65*G65*H65*I65</f>
        <v/>
      </c>
      <c r="K65" s="26" t="n"/>
      <c r="L65" s="26" t="n"/>
      <c r="M65" s="35" t="inlineStr">
        <is>
          <t>Khớp bản vẽ. Dòng tiêu đề cũ ghi cứng 27,784 t, khác dòng diễn giải (15 × 1,994 = 29,91 t). Bảng tổng hợp tr.175 ghi 29,911 t — đã lấy theo bản vẽ và đổi tiêu đề thành tổng công thức.</t>
        </is>
      </c>
      <c r="N65" t="n">
        <v>29.91</v>
      </c>
    </row>
    <row r="66" ht="22" customHeight="1">
      <c r="A66" s="23" t="inlineStr">
        <is>
          <t>17</t>
        </is>
      </c>
      <c r="B66" s="23" t="inlineStr">
        <is>
          <t>AF.64111</t>
        </is>
      </c>
      <c r="C66" s="17" t="inlineStr">
        <is>
          <t>Cốt thép thường dầm chủ Super-T (D10, D14, D16, D20)</t>
        </is>
      </c>
      <c r="D66" s="23" t="inlineStr">
        <is>
          <t>Tấn</t>
        </is>
      </c>
      <c r="E66" s="18" t="n"/>
      <c r="F66" s="18" t="n"/>
      <c r="G66" s="18" t="n"/>
      <c r="H66" s="18" t="n"/>
      <c r="I66" s="18" t="n"/>
      <c r="J66" s="42">
        <f>SUM(J67:J67)</f>
        <v/>
      </c>
      <c r="K66" s="19" t="n">
        <v>18800000</v>
      </c>
      <c r="L66" s="25">
        <f>J66*K66</f>
        <v/>
      </c>
      <c r="M66" s="35" t="inlineStr">
        <is>
          <t>Tiêu đề ghi cứng 361,596 — đổi thành tổng các dòng diễn giải (=SUM(J67:J67))</t>
        </is>
      </c>
      <c r="N66" t="n">
        <v>361.5960984</v>
      </c>
    </row>
    <row r="67" ht="19" customHeight="1">
      <c r="A67" s="26" t="n"/>
      <c r="B67" s="26" t="n"/>
      <c r="C67" s="27" t="inlineStr">
        <is>
          <t>- Cốt thép thường 15 phiến: 3 × S1B1 (tr.88) + 3 × S1B2 (tr.91) + 9 × S1G (tr.94)</t>
        </is>
      </c>
      <c r="D67" s="28" t="inlineStr">
        <is>
          <t>Tấn</t>
        </is>
      </c>
      <c r="E67" s="36" t="n">
        <v>1</v>
      </c>
      <c r="F67" s="36">
        <f>3*6.07125+3*6.06528+9*5.92008</f>
        <v/>
      </c>
      <c r="G67" s="36" t="n">
        <v>1</v>
      </c>
      <c r="H67" s="36" t="n">
        <v>1</v>
      </c>
      <c r="I67" s="40" t="n">
        <v>1</v>
      </c>
      <c r="J67" s="41">
        <f>E67*F67*G67*H67*I67</f>
        <v/>
      </c>
      <c r="K67" s="26" t="n"/>
      <c r="L67" s="26" t="n"/>
      <c r="M67" s="35" t="inlineStr">
        <is>
          <t>Theo bản vẽ: 90,630 → 89,690. Dòng tiêu đề cũ ghi cứng 361,596 t (= BBS cũ, gấp khoảng 4 lần bản vẽ). Bản vẽ: 89,690 t = tr.175 (77,743 + 11,947 t). Số phiến 3/3/9 suy từ tổng tr.175 — xác nhận theo mặt cắt ngang.</t>
        </is>
      </c>
      <c r="N67" t="n">
        <v>90.63</v>
      </c>
    </row>
    <row r="68" ht="22" customHeight="1">
      <c r="A68" s="23" t="inlineStr">
        <is>
          <t>18</t>
        </is>
      </c>
      <c r="B68" s="23" t="inlineStr">
        <is>
          <t>AC.21111</t>
        </is>
      </c>
      <c r="C68" s="17" t="inlineStr">
        <is>
          <t>Vận chuyển và lao lắp 15 phiến dầm Super-T bằng giá lao dầm ray P43</t>
        </is>
      </c>
      <c r="D68" s="23" t="inlineStr">
        <is>
          <t>Phiến</t>
        </is>
      </c>
      <c r="E68" s="18" t="n"/>
      <c r="F68" s="18" t="n"/>
      <c r="G68" s="18" t="n"/>
      <c r="H68" s="18" t="n"/>
      <c r="I68" s="18" t="n"/>
      <c r="J68" s="24">
        <f>SUM(J69:J69)</f>
        <v/>
      </c>
      <c r="K68" s="19" t="n">
        <v>18500000</v>
      </c>
      <c r="L68" s="25">
        <f>J68*K68</f>
        <v/>
      </c>
    </row>
    <row r="69" ht="19" customHeight="1">
      <c r="A69" s="26" t="n"/>
      <c r="B69" s="26" t="n"/>
      <c r="C69" s="27" t="inlineStr">
        <is>
          <t>- Lao lắp hoàn chỉnh 15 phiến dầm vào 3 nhịp (3 nhịp x 5 phiến)</t>
        </is>
      </c>
      <c r="D69" s="28" t="inlineStr">
        <is>
          <t>Phiến</t>
        </is>
      </c>
      <c r="E69" s="29" t="n">
        <v>3</v>
      </c>
      <c r="F69" s="29" t="n">
        <v>5</v>
      </c>
      <c r="G69" s="29" t="n">
        <v>1</v>
      </c>
      <c r="H69" s="29" t="n">
        <v>1</v>
      </c>
      <c r="I69" s="30" t="n">
        <v>1</v>
      </c>
      <c r="J69" s="31">
        <f>E69*F69*G69*H69*I69</f>
        <v/>
      </c>
      <c r="K69" s="26" t="n"/>
      <c r="L69" s="26" t="n"/>
    </row>
    <row r="70" ht="22" customHeight="1">
      <c r="A70" s="23" t="inlineStr">
        <is>
          <t>19</t>
        </is>
      </c>
      <c r="B70" s="23" t="inlineStr">
        <is>
          <t>AF.32111</t>
        </is>
      </c>
      <c r="C70" s="17" t="inlineStr">
        <is>
          <t>Gối chậu cao su di động đơn hướng và song hướng</t>
        </is>
      </c>
      <c r="D70" s="23" t="inlineStr">
        <is>
          <t>Cái</t>
        </is>
      </c>
      <c r="E70" s="18" t="n"/>
      <c r="F70" s="18" t="n"/>
      <c r="G70" s="18" t="n"/>
      <c r="H70" s="18" t="n"/>
      <c r="I70" s="18" t="n"/>
      <c r="J70" s="24">
        <f>SUM(J71:J72)</f>
        <v/>
      </c>
      <c r="K70" s="19" t="n">
        <v>12500000</v>
      </c>
      <c r="L70" s="25">
        <f>J70*K70</f>
        <v/>
      </c>
    </row>
    <row r="71" ht="19" customHeight="1">
      <c r="A71" s="26" t="n"/>
      <c r="B71" s="26" t="n"/>
      <c r="C71" s="27" t="inlineStr">
        <is>
          <t>- Gối chậu đơn hướng (15 vị trí trên mố và trụ)</t>
        </is>
      </c>
      <c r="D71" s="28" t="inlineStr">
        <is>
          <t>Cái</t>
        </is>
      </c>
      <c r="E71" s="29" t="n">
        <v>15</v>
      </c>
      <c r="F71" s="29" t="n">
        <v>1</v>
      </c>
      <c r="G71" s="29" t="n">
        <v>1</v>
      </c>
      <c r="H71" s="29" t="n">
        <v>1</v>
      </c>
      <c r="I71" s="30" t="n">
        <v>1</v>
      </c>
      <c r="J71" s="31">
        <f>E71*F71*G71*H71*I71</f>
        <v/>
      </c>
      <c r="K71" s="26" t="n"/>
      <c r="L71" s="26" t="n"/>
    </row>
    <row r="72" ht="19" customHeight="1">
      <c r="A72" s="26" t="n"/>
      <c r="B72" s="26" t="n"/>
      <c r="C72" s="27" t="inlineStr">
        <is>
          <t>- Gối chậu song hướng (15 vị trí trên mố và trụ)</t>
        </is>
      </c>
      <c r="D72" s="28" t="inlineStr">
        <is>
          <t>Cái</t>
        </is>
      </c>
      <c r="E72" s="29" t="n">
        <v>15</v>
      </c>
      <c r="F72" s="29" t="n">
        <v>1</v>
      </c>
      <c r="G72" s="29" t="n">
        <v>1</v>
      </c>
      <c r="H72" s="29" t="n">
        <v>1</v>
      </c>
      <c r="I72" s="30" t="n">
        <v>1</v>
      </c>
      <c r="J72" s="31">
        <f>E72*F72*G72*H72*I72</f>
        <v/>
      </c>
      <c r="K72" s="26" t="n"/>
      <c r="L72" s="26" t="n"/>
    </row>
    <row r="73" ht="22" customHeight="1">
      <c r="A73" s="23" t="inlineStr">
        <is>
          <t>20</t>
        </is>
      </c>
      <c r="B73" s="23" t="inlineStr">
        <is>
          <t>AF.33111</t>
        </is>
      </c>
      <c r="C73" s="17" t="inlineStr">
        <is>
          <t>Bê tông dầm ngang mố và trụ mác C35</t>
        </is>
      </c>
      <c r="D73" s="23" t="inlineStr">
        <is>
          <t>m3</t>
        </is>
      </c>
      <c r="E73" s="18" t="n"/>
      <c r="F73" s="18" t="n"/>
      <c r="G73" s="18" t="n"/>
      <c r="H73" s="18" t="n"/>
      <c r="I73" s="18" t="n"/>
      <c r="J73" s="24">
        <f>SUM(J74:J74)</f>
        <v/>
      </c>
      <c r="K73" s="19" t="n">
        <v>1650000</v>
      </c>
      <c r="L73" s="25">
        <f>J73*K73</f>
        <v/>
      </c>
    </row>
    <row r="74" ht="19" customHeight="1">
      <c r="A74" s="26" t="n"/>
      <c r="B74" s="26" t="n"/>
      <c r="C74" s="27" t="inlineStr">
        <is>
          <t>- Dầm ngang (bản vẽ tr.96: 3 dầm × 6,46 m³)</t>
        </is>
      </c>
      <c r="D74" s="28" t="inlineStr">
        <is>
          <t>m3</t>
        </is>
      </c>
      <c r="E74" s="36" t="n">
        <v>1</v>
      </c>
      <c r="F74" s="36" t="n">
        <v>19.38</v>
      </c>
      <c r="G74" s="36" t="n">
        <v>1</v>
      </c>
      <c r="H74" s="36" t="n">
        <v>1</v>
      </c>
      <c r="I74" s="40" t="n">
        <v>1</v>
      </c>
      <c r="J74" s="41">
        <f>E74*F74*G74*H74*I74</f>
        <v/>
      </c>
      <c r="K74" s="26" t="n"/>
      <c r="L74" s="26" t="n"/>
      <c r="M74" s="35" t="inlineStr">
        <is>
          <t>Theo bản vẽ: 39,852 → 19,380. Dự toán cũ: 4 dầm 12,3 × 0,45 × 1,8 m. Bản vẽ tr.96 và tr.175 ghi 19,38 m³.</t>
        </is>
      </c>
      <c r="N74" t="n">
        <v>39.852</v>
      </c>
    </row>
    <row r="75" ht="22" customHeight="1">
      <c r="A75" s="23" t="inlineStr">
        <is>
          <t>21</t>
        </is>
      </c>
      <c r="B75" s="23" t="inlineStr">
        <is>
          <t>AF.34111</t>
        </is>
      </c>
      <c r="C75" s="17" t="inlineStr">
        <is>
          <t>Cung cấp và lắp đặt tấm ván khuôn đúc sẵn đáy bản mặt cầu</t>
        </is>
      </c>
      <c r="D75" s="23" t="inlineStr">
        <is>
          <t>Tấm</t>
        </is>
      </c>
      <c r="E75" s="18" t="n"/>
      <c r="F75" s="18" t="n"/>
      <c r="G75" s="18" t="n"/>
      <c r="H75" s="18" t="n"/>
      <c r="I75" s="18" t="n"/>
      <c r="J75" s="24">
        <f>SUM(J76:J76)</f>
        <v/>
      </c>
      <c r="K75" s="19" t="n">
        <v>285000</v>
      </c>
      <c r="L75" s="25">
        <f>J75*K75</f>
        <v/>
      </c>
    </row>
    <row r="76" ht="19" customHeight="1">
      <c r="A76" s="26" t="n"/>
      <c r="B76" s="26" t="n"/>
      <c r="C76" s="27" t="inlineStr">
        <is>
          <t>- Tấm ván khuôn đúc sẵn (510 tấm toàn cầu)</t>
        </is>
      </c>
      <c r="D76" s="28" t="inlineStr">
        <is>
          <t>Tấm</t>
        </is>
      </c>
      <c r="E76" s="29" t="n">
        <v>510</v>
      </c>
      <c r="F76" s="29" t="n">
        <v>1</v>
      </c>
      <c r="G76" s="29" t="n">
        <v>1</v>
      </c>
      <c r="H76" s="29" t="n">
        <v>1</v>
      </c>
      <c r="I76" s="30" t="n">
        <v>1</v>
      </c>
      <c r="J76" s="31">
        <f>E76*F76*G76*H76*I76</f>
        <v/>
      </c>
      <c r="K76" s="26" t="n"/>
      <c r="L76" s="26" t="n"/>
    </row>
    <row r="77" ht="22" customHeight="1">
      <c r="A77" s="23" t="inlineStr">
        <is>
          <t>22</t>
        </is>
      </c>
      <c r="B77" s="23" t="inlineStr">
        <is>
          <t>AF.35111</t>
        </is>
      </c>
      <c r="C77" s="17" t="inlineStr">
        <is>
          <t>Bê tông bản mặt cầu đổ tại chỗ dày 180mm mác C35</t>
        </is>
      </c>
      <c r="D77" s="23" t="inlineStr">
        <is>
          <t>m3</t>
        </is>
      </c>
      <c r="E77" s="18" t="n"/>
      <c r="F77" s="18" t="n"/>
      <c r="G77" s="18" t="n"/>
      <c r="H77" s="18" t="n"/>
      <c r="I77" s="18" t="n"/>
      <c r="J77" s="24">
        <f>SUM(J78:J78)</f>
        <v/>
      </c>
      <c r="K77" s="19" t="n">
        <v>1680000</v>
      </c>
      <c r="L77" s="25">
        <f>J77*K77</f>
        <v/>
      </c>
    </row>
    <row r="78" ht="19" customHeight="1">
      <c r="A78" s="26" t="n"/>
      <c r="B78" s="26" t="n"/>
      <c r="C78" s="27" t="inlineStr">
        <is>
          <t>- Bê tông bản mặt cầu 35MPa (bảng tổng hợp tr.175)</t>
        </is>
      </c>
      <c r="D78" s="28" t="inlineStr">
        <is>
          <t>m3</t>
        </is>
      </c>
      <c r="E78" s="36" t="n">
        <v>1</v>
      </c>
      <c r="F78" s="36" t="n">
        <v>305.465</v>
      </c>
      <c r="G78" s="36" t="n">
        <v>1</v>
      </c>
      <c r="H78" s="36" t="n">
        <v>1</v>
      </c>
      <c r="I78" s="40" t="n">
        <v>1</v>
      </c>
      <c r="J78" s="41">
        <f>E78*F78*G78*H78*I78</f>
        <v/>
      </c>
      <c r="K78" s="26" t="n"/>
      <c r="L78" s="26" t="n"/>
      <c r="N78" t="n">
        <v>305.382</v>
      </c>
    </row>
    <row r="79" ht="22" customHeight="1">
      <c r="A79" s="23" t="inlineStr">
        <is>
          <t>23</t>
        </is>
      </c>
      <c r="B79" s="23" t="inlineStr">
        <is>
          <t>AF.36111</t>
        </is>
      </c>
      <c r="C79" s="17" t="inlineStr">
        <is>
          <t>Bê tông mối nối liên tục nhiệt đỉnh trụ T1, T2 mác C35</t>
        </is>
      </c>
      <c r="D79" s="23" t="inlineStr">
        <is>
          <t>m3</t>
        </is>
      </c>
      <c r="E79" s="18" t="n"/>
      <c r="F79" s="18" t="n"/>
      <c r="G79" s="18" t="n"/>
      <c r="H79" s="18" t="n"/>
      <c r="I79" s="18" t="n"/>
      <c r="J79" s="24">
        <f>SUM(J80:J80)</f>
        <v/>
      </c>
      <c r="K79" s="19" t="n">
        <v>1700000</v>
      </c>
      <c r="L79" s="25">
        <f>J79*K79</f>
        <v/>
      </c>
    </row>
    <row r="80" ht="19" customHeight="1">
      <c r="A80" s="26" t="n"/>
      <c r="B80" s="26" t="n"/>
      <c r="C80" s="27" t="inlineStr">
        <is>
          <t>- Bê tông bản liên tục nhiệt 35MPa tại trụ T1, T2 (bảng tổng hợp tr.175)</t>
        </is>
      </c>
      <c r="D80" s="28" t="inlineStr">
        <is>
          <t>m3</t>
        </is>
      </c>
      <c r="E80" s="36" t="n">
        <v>1</v>
      </c>
      <c r="F80" s="36" t="n">
        <v>21.868</v>
      </c>
      <c r="G80" s="36" t="n">
        <v>1</v>
      </c>
      <c r="H80" s="36" t="n">
        <v>1</v>
      </c>
      <c r="I80" s="40" t="n">
        <v>1</v>
      </c>
      <c r="J80" s="41">
        <f>E80*F80*G80*H80*I80</f>
        <v/>
      </c>
      <c r="K80" s="26" t="n"/>
      <c r="L80" s="26" t="n"/>
      <c r="M80" s="35" t="inlineStr">
        <is>
          <t>Theo bản vẽ: 21,799 → 21,868</t>
        </is>
      </c>
      <c r="N80" t="n">
        <v>21.799</v>
      </c>
    </row>
    <row r="81" ht="22" customHeight="1">
      <c r="A81" s="23" t="inlineStr">
        <is>
          <t>24</t>
        </is>
      </c>
      <c r="B81" s="23" t="inlineStr">
        <is>
          <t>AF.65111</t>
        </is>
      </c>
      <c r="C81" s="17" t="inlineStr">
        <is>
          <t>Cốt thép bản mặt cầu và mối nối liên tục nhiệt (D14, D16)</t>
        </is>
      </c>
      <c r="D81" s="23" t="inlineStr">
        <is>
          <t>Tấn</t>
        </is>
      </c>
      <c r="E81" s="18" t="n"/>
      <c r="F81" s="18" t="n"/>
      <c r="G81" s="18" t="n"/>
      <c r="H81" s="18" t="n"/>
      <c r="I81" s="18" t="n"/>
      <c r="J81" s="24">
        <f>SUM(J82:J82)</f>
        <v/>
      </c>
      <c r="K81" s="19" t="n">
        <v>18500000</v>
      </c>
      <c r="L81" s="25">
        <f>J81*K81</f>
        <v/>
      </c>
    </row>
    <row r="82" ht="19" customHeight="1">
      <c r="A82" s="26" t="n"/>
      <c r="B82" s="26" t="n"/>
      <c r="C82" s="27" t="inlineStr">
        <is>
          <t>- Thép bản mặt cầu và liên tục nhiệt (tr.175: D&lt;=10 + 10&lt;D&lt;=18 + D&gt;18)</t>
        </is>
      </c>
      <c r="D82" s="28" t="inlineStr">
        <is>
          <t>Tấn</t>
        </is>
      </c>
      <c r="E82" s="36" t="n">
        <v>1</v>
      </c>
      <c r="F82" s="36">
        <f>1.573+78.951+5.071</f>
        <v/>
      </c>
      <c r="G82" s="36" t="n">
        <v>1</v>
      </c>
      <c r="H82" s="36" t="n">
        <v>1</v>
      </c>
      <c r="I82" s="40" t="n">
        <v>1</v>
      </c>
      <c r="J82" s="41">
        <f>E82*F82*G82*H82*I82</f>
        <v/>
      </c>
      <c r="K82" s="26" t="n"/>
      <c r="L82" s="26" t="n"/>
      <c r="M82" s="35" t="inlineStr">
        <is>
          <t>Theo bản vẽ: 33,070 → 85,595. Dự toán cũ 33,07 t. Bản vẽ tr.175: 85,595 t (khớp tr.112: 2 × 25.691,33 + 25.293,79 + 2 × 4.458,97 kg).</t>
        </is>
      </c>
      <c r="N82" t="n">
        <v>33.07</v>
      </c>
    </row>
    <row r="83" ht="22" customHeight="1">
      <c r="A83" s="23" t="inlineStr">
        <is>
          <t>25</t>
        </is>
      </c>
      <c r="B83" s="23" t="inlineStr">
        <is>
          <t>AC.31111</t>
        </is>
      </c>
      <c r="C83" s="17" t="inlineStr">
        <is>
          <t>Khe co giãn răng lược thép D=100mm mạ kẽm nhúng nóng</t>
        </is>
      </c>
      <c r="D83" s="23" t="inlineStr">
        <is>
          <t>m</t>
        </is>
      </c>
      <c r="E83" s="18" t="n"/>
      <c r="F83" s="18" t="n"/>
      <c r="G83" s="18" t="n"/>
      <c r="H83" s="18" t="n"/>
      <c r="I83" s="18" t="n"/>
      <c r="J83" s="24">
        <f>SUM(J84:J84)</f>
        <v/>
      </c>
      <c r="K83" s="19" t="n">
        <v>8500000</v>
      </c>
      <c r="L83" s="25">
        <f>J83*K83</f>
        <v/>
      </c>
    </row>
    <row r="84" ht="19" customHeight="1">
      <c r="A84" s="26" t="n"/>
      <c r="B84" s="26" t="n"/>
      <c r="C84" s="27" t="inlineStr">
        <is>
          <t>- Khe co giãn mố M1 và M2 (2 vị trí x 12.25m)</t>
        </is>
      </c>
      <c r="D84" s="28" t="inlineStr">
        <is>
          <t>m</t>
        </is>
      </c>
      <c r="E84" s="29" t="n">
        <v>2</v>
      </c>
      <c r="F84" s="29" t="n">
        <v>12.25</v>
      </c>
      <c r="G84" s="29" t="n">
        <v>1</v>
      </c>
      <c r="H84" s="29" t="n">
        <v>1</v>
      </c>
      <c r="I84" s="30" t="n">
        <v>1</v>
      </c>
      <c r="J84" s="31">
        <f>E84*F84*G84*H84*I84</f>
        <v/>
      </c>
      <c r="K84" s="26" t="n"/>
      <c r="L84" s="26" t="n"/>
    </row>
    <row r="85" ht="24" customHeight="1">
      <c r="A85" s="5" t="inlineStr">
        <is>
          <t>PHẦN IV: KẾT CẤU PHỤ TRỢ, ĐƯỜNG ĐẦU CẦU &amp; HOÀN THIỆN TOÀN CẦU</t>
        </is>
      </c>
    </row>
    <row r="86" ht="22" customHeight="1">
      <c r="A86" s="23" t="inlineStr">
        <is>
          <t>26</t>
        </is>
      </c>
      <c r="B86" s="23" t="inlineStr">
        <is>
          <t>AF.41111</t>
        </is>
      </c>
      <c r="C86" s="17" t="inlineStr">
        <is>
          <t>Bê tông bản quá độ sau mố M1, M2 mác C25</t>
        </is>
      </c>
      <c r="D86" s="23" t="inlineStr">
        <is>
          <t>m3</t>
        </is>
      </c>
      <c r="E86" s="18" t="n"/>
      <c r="F86" s="18" t="n"/>
      <c r="G86" s="18" t="n"/>
      <c r="H86" s="18" t="n"/>
      <c r="I86" s="18" t="n"/>
      <c r="J86" s="24">
        <f>SUM(J87:J88)</f>
        <v/>
      </c>
      <c r="K86" s="19" t="n">
        <v>1450000</v>
      </c>
      <c r="L86" s="25">
        <f>J86*K86</f>
        <v/>
      </c>
    </row>
    <row r="87" ht="19" customHeight="1">
      <c r="A87" s="26" t="n"/>
      <c r="B87" s="26" t="n"/>
      <c r="C87" s="27" t="inlineStr">
        <is>
          <t>- Bản quá độ sau mố M1 (bản vẽ tr.126)</t>
        </is>
      </c>
      <c r="D87" s="28" t="inlineStr">
        <is>
          <t>m3</t>
        </is>
      </c>
      <c r="E87" s="36" t="n">
        <v>1</v>
      </c>
      <c r="F87" s="36" t="n">
        <v>29.1</v>
      </c>
      <c r="G87" s="36" t="n">
        <v>1</v>
      </c>
      <c r="H87" s="36" t="n">
        <v>1</v>
      </c>
      <c r="I87" s="40" t="n">
        <v>1</v>
      </c>
      <c r="J87" s="41">
        <f>E87*F87*G87*H87*I87</f>
        <v/>
      </c>
      <c r="K87" s="26" t="n"/>
      <c r="L87" s="26" t="n"/>
      <c r="M87" s="35" t="inlineStr">
        <is>
          <t>Theo bản vẽ: 33,691 → 29,100</t>
        </is>
      </c>
      <c r="N87" t="n">
        <v>33.691</v>
      </c>
    </row>
    <row r="88" ht="19" customHeight="1">
      <c r="A88" s="26" t="n"/>
      <c r="B88" s="26" t="n"/>
      <c r="C88" s="27" t="inlineStr">
        <is>
          <t>- Bản quá độ sau mố M2 (bản vẽ tr.128)</t>
        </is>
      </c>
      <c r="D88" s="28" t="inlineStr">
        <is>
          <t>m3</t>
        </is>
      </c>
      <c r="E88" s="36" t="n">
        <v>1</v>
      </c>
      <c r="F88" s="36" t="n">
        <v>38.28</v>
      </c>
      <c r="G88" s="36" t="n">
        <v>1</v>
      </c>
      <c r="H88" s="36" t="n">
        <v>1</v>
      </c>
      <c r="I88" s="40" t="n">
        <v>1</v>
      </c>
      <c r="J88" s="41">
        <f>E88*F88*G88*H88*I88</f>
        <v/>
      </c>
      <c r="K88" s="26" t="n"/>
      <c r="L88" s="26" t="n"/>
      <c r="M88" s="35" t="inlineStr">
        <is>
          <t>Theo bản vẽ: 33,691 → 38,280</t>
        </is>
      </c>
      <c r="N88" t="n">
        <v>33.691</v>
      </c>
    </row>
    <row r="89" ht="22" customHeight="1">
      <c r="A89" s="23" t="inlineStr">
        <is>
          <t>27</t>
        </is>
      </c>
      <c r="B89" s="23" t="inlineStr">
        <is>
          <t>AB.21111</t>
        </is>
      </c>
      <c r="C89" s="17" t="inlineStr">
        <is>
          <t>Đắp vật liệu dạng hạt chọn lọc sau mố đầm chặt K &gt;= 0.98</t>
        </is>
      </c>
      <c r="D89" s="23" t="inlineStr">
        <is>
          <t>m3</t>
        </is>
      </c>
      <c r="E89" s="18" t="n"/>
      <c r="F89" s="18" t="n"/>
      <c r="G89" s="18" t="n"/>
      <c r="H89" s="18" t="n"/>
      <c r="I89" s="18" t="n"/>
      <c r="J89" s="24">
        <f>SUM(J90:J90)</f>
        <v/>
      </c>
      <c r="K89" s="19" t="n">
        <v>185000</v>
      </c>
      <c r="L89" s="25">
        <f>J89*K89</f>
        <v/>
      </c>
    </row>
    <row r="90" ht="19" customHeight="1">
      <c r="A90" s="26" t="n"/>
      <c r="B90" s="26" t="n"/>
      <c r="C90" s="27" t="inlineStr">
        <is>
          <t>- Vật liệu dạng hạt trong lòng mố K98 (bảng tổng hợp tr.175)</t>
        </is>
      </c>
      <c r="D90" s="28" t="inlineStr">
        <is>
          <t>m3</t>
        </is>
      </c>
      <c r="E90" s="36" t="n">
        <v>1</v>
      </c>
      <c r="F90" s="36" t="n">
        <v>1012.955</v>
      </c>
      <c r="G90" s="36" t="n">
        <v>1</v>
      </c>
      <c r="H90" s="36" t="n">
        <v>1</v>
      </c>
      <c r="I90" s="40" t="n">
        <v>1</v>
      </c>
      <c r="J90" s="41">
        <f>E90*F90*G90*H90*I90</f>
        <v/>
      </c>
      <c r="K90" s="26" t="n"/>
      <c r="L90" s="26" t="n"/>
      <c r="M90" s="35" t="inlineStr">
        <is>
          <t>Khớp bản vẽ. Dự toán cũ diễn giải 'đắp chuyển tiếp sau mố' 2 × 18 × 12,5 × 4,5 × 0,5 = 1.012,5 m³; tr.175 ghi 'vật liệu dạng hạt trong lòng mố K98' 1.012,955 m³ — xác nhận đúng hạng mục.</t>
        </is>
      </c>
      <c r="N90" t="n">
        <v>1012.5</v>
      </c>
    </row>
    <row r="91" ht="22" customHeight="1">
      <c r="A91" s="23" t="inlineStr">
        <is>
          <t>28</t>
        </is>
      </c>
      <c r="B91" s="23" t="inlineStr">
        <is>
          <t>AF.42111</t>
        </is>
      </c>
      <c r="C91" s="17" t="inlineStr">
        <is>
          <t>Bê tông gờ lan can mác C25 và lắp tay vịn thép mạ kẽm</t>
        </is>
      </c>
      <c r="D91" s="23" t="inlineStr">
        <is>
          <t>m</t>
        </is>
      </c>
      <c r="E91" s="18" t="n"/>
      <c r="F91" s="18" t="n"/>
      <c r="G91" s="18" t="n"/>
      <c r="H91" s="18" t="n"/>
      <c r="I91" s="18" t="n"/>
      <c r="J91" s="24">
        <f>SUM(J92:J92)</f>
        <v/>
      </c>
      <c r="K91" s="19" t="n">
        <v>1650000</v>
      </c>
      <c r="L91" s="25">
        <f>J91*K91</f>
        <v/>
      </c>
    </row>
    <row r="92" ht="19" customHeight="1">
      <c r="A92" s="26" t="n"/>
      <c r="B92" s="26" t="n"/>
      <c r="C92" s="27" t="inlineStr">
        <is>
          <t>- Lan can 2 bên suốt chiều dài cầu (2 bên x 130.4m)</t>
        </is>
      </c>
      <c r="D92" s="28" t="inlineStr">
        <is>
          <t>m</t>
        </is>
      </c>
      <c r="E92" s="29" t="n">
        <v>2</v>
      </c>
      <c r="F92" s="29" t="n">
        <v>130.4</v>
      </c>
      <c r="G92" s="29" t="n">
        <v>1</v>
      </c>
      <c r="H92" s="29" t="n">
        <v>1</v>
      </c>
      <c r="I92" s="30" t="n">
        <v>1</v>
      </c>
      <c r="J92" s="31">
        <f>E92*F92*G92*H92*I92</f>
        <v/>
      </c>
      <c r="K92" s="26" t="n"/>
      <c r="L92" s="26" t="n"/>
      <c r="M92" s="35" t="inlineStr">
        <is>
          <t>Gờ lan can tính theo m dài (2 × 130,4 m). Bản vẽ tr.119/tr.175: bê tông 104,277 m³ C25 và cốt thép 20,069 t — thép gờ lan can chưa có trong dự toán; đơn giá 1.650.000 đ/m giống đơn giá m³.</t>
        </is>
      </c>
    </row>
    <row r="93" ht="22" customHeight="1">
      <c r="A93" s="23" t="inlineStr">
        <is>
          <t>29</t>
        </is>
      </c>
      <c r="B93" s="23" t="inlineStr">
        <is>
          <t>AC.41111</t>
        </is>
      </c>
      <c r="C93" s="17" t="inlineStr">
        <is>
          <t>Hệ thống thoát nước mặt cầu (24 bộ hố ga gang &amp; ống PVC D150)</t>
        </is>
      </c>
      <c r="D93" s="23" t="inlineStr">
        <is>
          <t>Bộ</t>
        </is>
      </c>
      <c r="E93" s="18" t="n"/>
      <c r="F93" s="18" t="n"/>
      <c r="G93" s="18" t="n"/>
      <c r="H93" s="18" t="n"/>
      <c r="I93" s="18" t="n"/>
      <c r="J93" s="24">
        <f>SUM(J94:J94)</f>
        <v/>
      </c>
      <c r="K93" s="19" t="n">
        <v>2850000</v>
      </c>
      <c r="L93" s="25">
        <f>J93*K93</f>
        <v/>
      </c>
    </row>
    <row r="94" ht="19" customHeight="1">
      <c r="A94" s="26" t="n"/>
      <c r="B94" s="26" t="n"/>
      <c r="C94" s="27" t="inlineStr">
        <is>
          <t>- Cụm hố ga gang xám có lưới chắn rác và ống xả D150</t>
        </is>
      </c>
      <c r="D94" s="28" t="inlineStr">
        <is>
          <t>Bộ</t>
        </is>
      </c>
      <c r="E94" s="29" t="n">
        <v>24</v>
      </c>
      <c r="F94" s="29" t="n">
        <v>1</v>
      </c>
      <c r="G94" s="29" t="n">
        <v>1</v>
      </c>
      <c r="H94" s="29" t="n">
        <v>1</v>
      </c>
      <c r="I94" s="30" t="n">
        <v>1</v>
      </c>
      <c r="J94" s="31">
        <f>E94*F94*G94*H94*I94</f>
        <v/>
      </c>
      <c r="K94" s="26" t="n"/>
      <c r="L94" s="26" t="n"/>
    </row>
    <row r="95" ht="22" customHeight="1">
      <c r="A95" s="23" t="inlineStr">
        <is>
          <t>30</t>
        </is>
      </c>
      <c r="B95" s="23" t="inlineStr">
        <is>
          <t>AD.11111</t>
        </is>
      </c>
      <c r="C95" s="17" t="inlineStr">
        <is>
          <t>Lớp phun chống thấm &amp; thảm bê tông nhựa chặt C16 dày 7cm mặt cầu</t>
        </is>
      </c>
      <c r="D95" s="23" t="inlineStr">
        <is>
          <t>m2</t>
        </is>
      </c>
      <c r="E95" s="18" t="n"/>
      <c r="F95" s="18" t="n"/>
      <c r="G95" s="18" t="n"/>
      <c r="H95" s="18" t="n"/>
      <c r="I95" s="18" t="n"/>
      <c r="J95" s="24">
        <f>SUM(J96:J96)</f>
        <v/>
      </c>
      <c r="K95" s="19" t="n">
        <v>385000</v>
      </c>
      <c r="L95" s="25">
        <f>J95*K95</f>
        <v/>
      </c>
    </row>
    <row r="96" ht="19" customHeight="1">
      <c r="A96" s="26" t="n"/>
      <c r="B96" s="26" t="n"/>
      <c r="C96" s="27" t="inlineStr">
        <is>
          <t>- Diện tích mặt cầu (bảng tổng hợp tr.175: BTN C16 dày 7cm)</t>
        </is>
      </c>
      <c r="D96" s="28" t="inlineStr">
        <is>
          <t>m2</t>
        </is>
      </c>
      <c r="E96" s="36" t="n">
        <v>1</v>
      </c>
      <c r="F96" s="36" t="n">
        <v>1380.39</v>
      </c>
      <c r="G96" s="36" t="n">
        <v>1</v>
      </c>
      <c r="H96" s="36" t="n">
        <v>1</v>
      </c>
      <c r="I96" s="40" t="n">
        <v>1</v>
      </c>
      <c r="J96" s="41">
        <f>E96*F96*G96*H96*I96</f>
        <v/>
      </c>
      <c r="K96" s="26" t="n"/>
      <c r="L96" s="26" t="n"/>
      <c r="N96" t="n">
        <v>1380.34</v>
      </c>
    </row>
    <row r="97" ht="22" customHeight="1">
      <c r="A97" s="23" t="inlineStr">
        <is>
          <t>31</t>
        </is>
      </c>
      <c r="B97" s="23" t="inlineStr">
        <is>
          <t>AL.11111</t>
        </is>
      </c>
      <c r="C97" s="17" t="inlineStr">
        <is>
          <t>Gia cố mái taluy tứ nón mố bằng đá hộc xây vữa VXM M100</t>
        </is>
      </c>
      <c r="D97" s="23" t="inlineStr">
        <is>
          <t>m3</t>
        </is>
      </c>
      <c r="E97" s="18" t="n"/>
      <c r="F97" s="18" t="n"/>
      <c r="G97" s="18" t="n"/>
      <c r="H97" s="18" t="n"/>
      <c r="I97" s="18" t="n"/>
      <c r="J97" s="24">
        <f>SUM(J98:J98)</f>
        <v/>
      </c>
      <c r="K97" s="19" t="n">
        <v>850000</v>
      </c>
      <c r="L97" s="25">
        <f>J97*K97</f>
        <v/>
      </c>
    </row>
    <row r="98" ht="19" customHeight="1">
      <c r="A98" s="26" t="n"/>
      <c r="B98" s="26" t="n"/>
      <c r="C98" s="27" t="inlineStr">
        <is>
          <t>- Tứ nón và chân khay đá hộc mố M1, M2</t>
        </is>
      </c>
      <c r="D98" s="28" t="inlineStr">
        <is>
          <t>m3</t>
        </is>
      </c>
      <c r="E98" s="29" t="n">
        <v>1</v>
      </c>
      <c r="F98" s="29" t="n">
        <v>52.216</v>
      </c>
      <c r="G98" s="29" t="n">
        <v>1</v>
      </c>
      <c r="H98" s="29" t="n">
        <v>1</v>
      </c>
      <c r="I98" s="30" t="n">
        <v>1</v>
      </c>
      <c r="J98" s="31">
        <f>E98*F98*G98*H98*I98</f>
        <v/>
      </c>
      <c r="K98" s="26" t="n"/>
      <c r="L98" s="26" t="n"/>
      <c r="M98" s="35" t="inlineStr">
        <is>
          <t>Tứ nón đá hộc 52,216 m³ — tr.175 ghi 'đá hộc xây vữa' 104,738 m³ và 'chân khay đá hộc' 4,0 m³ (đường sau mố). Chưa rõ tương ứng — soát PDF tr.175.</t>
        </is>
      </c>
    </row>
    <row r="99" ht="22" customHeight="1">
      <c r="A99" s="23" t="inlineStr">
        <is>
          <t>32</t>
        </is>
      </c>
      <c r="B99" s="23" t="inlineStr">
        <is>
          <t>TN.21111</t>
        </is>
      </c>
      <c r="C99" s="17" t="inlineStr">
        <is>
          <t>Thử tải tĩnh/động cầu &amp; kiểm định an toàn chịu lực trước khi bàn giao</t>
        </is>
      </c>
      <c r="D99" s="23" t="inlineStr">
        <is>
          <t>Gói</t>
        </is>
      </c>
      <c r="E99" s="18" t="n"/>
      <c r="F99" s="18" t="n"/>
      <c r="G99" s="18" t="n"/>
      <c r="H99" s="18" t="n"/>
      <c r="I99" s="18" t="n"/>
      <c r="J99" s="24">
        <f>SUM(J100:J100)</f>
        <v/>
      </c>
      <c r="K99" s="19" t="n">
        <v>350000000</v>
      </c>
      <c r="L99" s="25">
        <f>J99*K99</f>
        <v/>
      </c>
    </row>
    <row r="100" ht="19" customHeight="1">
      <c r="A100" s="26" t="n"/>
      <c r="B100" s="26" t="n"/>
      <c r="C100" s="27" t="inlineStr">
        <is>
          <t>- Trọn gói thử tải xe tải nặng theo đề cương phê duyệt</t>
        </is>
      </c>
      <c r="D100" s="28" t="inlineStr">
        <is>
          <t>Gói</t>
        </is>
      </c>
      <c r="E100" s="29" t="n">
        <v>1</v>
      </c>
      <c r="F100" s="29" t="n">
        <v>1</v>
      </c>
      <c r="G100" s="29" t="n">
        <v>1</v>
      </c>
      <c r="H100" s="29" t="n">
        <v>1</v>
      </c>
      <c r="I100" s="30" t="n">
        <v>1</v>
      </c>
      <c r="J100" s="31">
        <f>E100*F100*G100*H100*I100</f>
        <v/>
      </c>
      <c r="K100" s="26" t="n"/>
      <c r="L100" s="26" t="n"/>
    </row>
    <row r="101" ht="26" customHeight="1">
      <c r="A101" s="11" t="inlineStr">
        <is>
          <t>TỔNG CỘNG CHI PHÍ TRỰC TIẾP (T) (VNĐ)</t>
        </is>
      </c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3" t="n"/>
      <c r="L101" s="15">
        <f>L7+L12+L17+L22+L27+L29+L32+L34+L39+L44+L47+L50+L53+L56+L62+L64+L66+L68+L70+L73+L75+L77+L79+L81+L83+L86+L89+L91+L93+L95+L97+L99</f>
        <v/>
      </c>
    </row>
  </sheetData>
  <mergeCells count="5">
    <mergeCell ref="A101:K101"/>
    <mergeCell ref="A85:L85"/>
    <mergeCell ref="A31:L31"/>
    <mergeCell ref="A61:L61"/>
    <mergeCell ref="A6:L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7" customWidth="1" min="3" max="3"/>
    <col width="40" customWidth="1" min="4" max="4"/>
    <col width="90" customWidth="1" min="5" max="5"/>
    <col width="14" customWidth="1" min="6" max="6"/>
    <col width="16" customWidth="1" min="7" max="7"/>
    <col width="18" customWidth="1" min="8" max="8"/>
    <col width="16" customWidth="1" min="9" max="9"/>
  </cols>
  <sheetData>
    <row r="1">
      <c r="A1" s="43" t="inlineStr">
        <is>
          <t>NGHI VẤN PHỤ LỤC 03a — soát và ghim (cột I)</t>
        </is>
      </c>
    </row>
    <row r="3">
      <c r="A3" s="34" t="inlineStr">
        <is>
          <t>STT</t>
        </is>
      </c>
      <c r="B3" s="34" t="inlineStr">
        <is>
          <t>Sheet</t>
        </is>
      </c>
      <c r="C3" s="34" t="inlineStr">
        <is>
          <t>Dòng</t>
        </is>
      </c>
      <c r="D3" s="34" t="inlineStr">
        <is>
          <t>Hạng mục</t>
        </is>
      </c>
      <c r="E3" s="34" t="inlineStr">
        <is>
          <t>Nội dung nghi vấn</t>
        </is>
      </c>
      <c r="F3" s="34" t="inlineStr">
        <is>
          <t>Giá trị cũ</t>
        </is>
      </c>
      <c r="G3" s="34" t="inlineStr">
        <is>
          <t>Giá trị mới</t>
        </is>
      </c>
      <c r="H3" s="34" t="inlineStr">
        <is>
          <t>Trang bản vẽ</t>
        </is>
      </c>
      <c r="I3" s="34" t="inlineStr">
        <is>
          <t>Đã soát / Ghim</t>
        </is>
      </c>
    </row>
    <row r="4">
      <c r="A4" s="44" t="n">
        <v>1</v>
      </c>
      <c r="B4" s="44" t="inlineStr">
        <is>
          <t>QS_DIEN_GIAI_CHI_TIET</t>
        </is>
      </c>
      <c r="C4" s="44" t="n">
        <v>22</v>
      </c>
      <c r="D4" s="44" t="inlineStr">
        <is>
          <t>4. Cốt thép cọc khoan nhồi D1200mm (Thép chủ D25, đai D16, D10)</t>
        </is>
      </c>
      <c r="E4" s="44" t="inlineStr">
        <is>
          <t>Tiêu đề ghi cứng 108,766 — đổi thành tổng các dòng diễn giải (=SUM(J23:J26))</t>
        </is>
      </c>
      <c r="F4" s="44" t="inlineStr">
        <is>
          <t>108,766</t>
        </is>
      </c>
      <c r="G4" s="44">
        <f>SUM(J23:J26)</f>
        <v/>
      </c>
      <c r="H4" s="44" t="inlineStr"/>
      <c r="I4" s="44" t="inlineStr"/>
    </row>
    <row r="5">
      <c r="A5" s="44" t="n">
        <v>2</v>
      </c>
      <c r="B5" s="44" t="inlineStr">
        <is>
          <t>QS_DIEN_GIAI_CHI_TIET</t>
        </is>
      </c>
      <c r="C5" s="44" t="n">
        <v>56</v>
      </c>
      <c r="D5" s="44" t="inlineStr">
        <is>
          <t>14. Cốt thép mố và trụ (D&lt;=10, 10&lt;D&lt;=18, D&gt;18)</t>
        </is>
      </c>
      <c r="E5" s="44" t="inlineStr">
        <is>
          <t>Tiêu đề ghi cứng 224,652 — đổi thành tổng các dòng diễn giải (=SUM(J57:J60))</t>
        </is>
      </c>
      <c r="F5" s="44" t="inlineStr">
        <is>
          <t>224,652</t>
        </is>
      </c>
      <c r="G5" s="44">
        <f>SUM(J57:J60)</f>
        <v/>
      </c>
      <c r="H5" s="44" t="inlineStr"/>
      <c r="I5" s="44" t="inlineStr"/>
    </row>
    <row r="6">
      <c r="A6" s="44" t="n">
        <v>3</v>
      </c>
      <c r="B6" s="44" t="inlineStr">
        <is>
          <t>QS_DIEN_GIAI_CHI_TIET</t>
        </is>
      </c>
      <c r="C6" s="44" t="n">
        <v>64</v>
      </c>
      <c r="D6" s="44" t="inlineStr">
        <is>
          <t>16. Cáp dự ứng lực tao xoắn 15.2mm Grade 270 kéo căng trước/sau</t>
        </is>
      </c>
      <c r="E6" s="44" t="inlineStr">
        <is>
          <t>Tiêu đề ghi cứng 27,784 — đổi thành tổng các dòng diễn giải (=SUM(J65:J65))</t>
        </is>
      </c>
      <c r="F6" s="44" t="inlineStr">
        <is>
          <t>27,784</t>
        </is>
      </c>
      <c r="G6" s="44">
        <f>SUM(J65:J65)</f>
        <v/>
      </c>
      <c r="H6" s="44" t="inlineStr"/>
      <c r="I6" s="44" t="inlineStr"/>
    </row>
    <row r="7">
      <c r="A7" s="44" t="n">
        <v>4</v>
      </c>
      <c r="B7" s="44" t="inlineStr">
        <is>
          <t>QS_DIEN_GIAI_CHI_TIET</t>
        </is>
      </c>
      <c r="C7" s="44" t="n">
        <v>66</v>
      </c>
      <c r="D7" s="44" t="inlineStr">
        <is>
          <t>17. Cốt thép thường dầm chủ Super-T (D10, D14, D16, D20)</t>
        </is>
      </c>
      <c r="E7" s="44" t="inlineStr">
        <is>
          <t>Tiêu đề ghi cứng 361,596 — đổi thành tổng các dòng diễn giải (=SUM(J67:J67))</t>
        </is>
      </c>
      <c r="F7" s="44" t="inlineStr">
        <is>
          <t>361,596</t>
        </is>
      </c>
      <c r="G7" s="44">
        <f>SUM(J67:J67)</f>
        <v/>
      </c>
      <c r="H7" s="44" t="inlineStr"/>
      <c r="I7" s="44" t="inlineStr"/>
    </row>
    <row r="8">
      <c r="A8" s="44" t="n">
        <v>5</v>
      </c>
      <c r="B8" s="44" t="inlineStr">
        <is>
          <t>QS_DIEN_GIAI_CHI_TIET</t>
        </is>
      </c>
      <c r="C8" s="44" t="n">
        <v>18</v>
      </c>
      <c r="D8" s="44" t="inlineStr">
        <is>
          <t>3. Bê tông cọc khoan nhồi C30/37 đổ bằng phương pháp rút ống tremie</t>
        </is>
      </c>
      <c r="E8" s="44" t="inlineStr">
        <is>
          <t>Theo bản vẽ: 76,002 → 70,740. Bỏ hệ số I = 3,5186 (π × 1,12 nở thành): lấy thể tích thiết kế tr.64. Nếu hợp đồng cho tính nở thành thì ghim lại hệ số.</t>
        </is>
      </c>
      <c r="F8" s="44" t="inlineStr">
        <is>
          <t>76,002</t>
        </is>
      </c>
      <c r="G8" s="44" t="inlineStr">
        <is>
          <t>70,740</t>
        </is>
      </c>
      <c r="H8" s="44" t="inlineStr">
        <is>
          <t>tr.64</t>
        </is>
      </c>
      <c r="I8" s="44" t="inlineStr"/>
    </row>
    <row r="9">
      <c r="A9" s="44" t="n">
        <v>6</v>
      </c>
      <c r="B9" s="44" t="inlineStr">
        <is>
          <t>QS_DIEN_GIAI_CHI_TIET</t>
        </is>
      </c>
      <c r="C9" s="44" t="n">
        <v>19</v>
      </c>
      <c r="D9" s="44" t="inlineStr">
        <is>
          <t>3. Bê tông cọc khoan nhồi C30/37 đổ bằng phương pháp rút ống tremie</t>
        </is>
      </c>
      <c r="E9" s="44" t="inlineStr">
        <is>
          <t>Theo bản vẽ: 405,343 → 367,040. Bỏ hệ số nở thành 3,5186 — lấy thể tích thiết kế tr.68.</t>
        </is>
      </c>
      <c r="F9" s="44" t="inlineStr">
        <is>
          <t>405,343</t>
        </is>
      </c>
      <c r="G9" s="44" t="inlineStr">
        <is>
          <t>367,040</t>
        </is>
      </c>
      <c r="H9" s="44" t="inlineStr">
        <is>
          <t>tr.68</t>
        </is>
      </c>
      <c r="I9" s="44" t="inlineStr"/>
    </row>
    <row r="10">
      <c r="A10" s="44" t="n">
        <v>7</v>
      </c>
      <c r="B10" s="44" t="inlineStr">
        <is>
          <t>QS_DIEN_GIAI_CHI_TIET</t>
        </is>
      </c>
      <c r="C10" s="44" t="n">
        <v>20</v>
      </c>
      <c r="D10" s="44" t="inlineStr">
        <is>
          <t>3. Bê tông cọc khoan nhồi C30/37 đổ bằng phương pháp rút ống tremie</t>
        </is>
      </c>
      <c r="E10" s="44" t="inlineStr">
        <is>
          <t>Theo bản vẽ: 304,007 → 277,840. Bỏ hệ số nở thành 3,5186 — lấy thể tích thiết kế tr.70.</t>
        </is>
      </c>
      <c r="F10" s="44" t="inlineStr">
        <is>
          <t>304,007</t>
        </is>
      </c>
      <c r="G10" s="44" t="inlineStr">
        <is>
          <t>277,840</t>
        </is>
      </c>
      <c r="H10" s="44" t="inlineStr">
        <is>
          <t>tr.70</t>
        </is>
      </c>
      <c r="I10" s="44" t="inlineStr"/>
    </row>
    <row r="11">
      <c r="A11" s="44" t="n">
        <v>8</v>
      </c>
      <c r="B11" s="44" t="inlineStr">
        <is>
          <t>QS_DIEN_GIAI_CHI_TIET</t>
        </is>
      </c>
      <c r="C11" s="44" t="n">
        <v>21</v>
      </c>
      <c r="D11" s="44" t="inlineStr">
        <is>
          <t>3. Bê tông cọc khoan nhồi C30/37 đổ bằng phương pháp rút ống tremie</t>
        </is>
      </c>
      <c r="E11" s="44" t="inlineStr">
        <is>
          <t>Theo bản vẽ: 319,207 → 290,920. Bỏ hệ số nở thành 3,5186 — lấy thể tích thiết kế tr.66.</t>
        </is>
      </c>
      <c r="F11" s="44" t="inlineStr">
        <is>
          <t>319,207</t>
        </is>
      </c>
      <c r="G11" s="44" t="inlineStr">
        <is>
          <t>290,920</t>
        </is>
      </c>
      <c r="H11" s="44" t="inlineStr">
        <is>
          <t>tr.66</t>
        </is>
      </c>
      <c r="I11" s="44" t="inlineStr"/>
    </row>
    <row r="12">
      <c r="A12" s="44" t="n">
        <v>9</v>
      </c>
      <c r="B12" s="44" t="inlineStr">
        <is>
          <t>QS_DIEN_GIAI_CHI_TIET</t>
        </is>
      </c>
      <c r="C12" s="44" t="n">
        <v>23</v>
      </c>
      <c r="D12" s="44" t="inlineStr">
        <is>
          <t>4. Cốt thép cọc khoan nhồi D1200mm (Thép chủ D25, đai D16, D10)</t>
        </is>
      </c>
      <c r="E12" s="44" t="inlineStr">
        <is>
          <t>Theo bản vẽ: 17,667 → 7,523</t>
        </is>
      </c>
      <c r="F12" s="44" t="inlineStr">
        <is>
          <t>17,667</t>
        </is>
      </c>
      <c r="G12" s="44" t="inlineStr">
        <is>
          <t>7,523</t>
        </is>
      </c>
      <c r="H12" s="44" t="inlineStr">
        <is>
          <t>tr.64</t>
        </is>
      </c>
      <c r="I12" s="44" t="inlineStr"/>
    </row>
    <row r="13">
      <c r="A13" s="44" t="n">
        <v>10</v>
      </c>
      <c r="B13" s="44" t="inlineStr">
        <is>
          <t>QS_DIEN_GIAI_CHI_TIET</t>
        </is>
      </c>
      <c r="C13" s="44" t="n">
        <v>24</v>
      </c>
      <c r="D13" s="44" t="inlineStr">
        <is>
          <t>4. Cốt thép cọc khoan nhồi D1200mm (Thép chủ D25, đai D16, D10)</t>
        </is>
      </c>
      <c r="E13" s="44" t="inlineStr">
        <is>
          <t>Theo bản vẽ: 38,760 → 38,629</t>
        </is>
      </c>
      <c r="F13" s="44" t="inlineStr">
        <is>
          <t>38,760</t>
        </is>
      </c>
      <c r="G13" s="44" t="inlineStr">
        <is>
          <t>38,629</t>
        </is>
      </c>
      <c r="H13" s="44" t="inlineStr">
        <is>
          <t>tr.68</t>
        </is>
      </c>
      <c r="I13" s="44" t="inlineStr"/>
    </row>
    <row r="14">
      <c r="A14" s="44" t="n">
        <v>11</v>
      </c>
      <c r="B14" s="44" t="inlineStr">
        <is>
          <t>QS_DIEN_GIAI_CHI_TIET</t>
        </is>
      </c>
      <c r="C14" s="44" t="n">
        <v>25</v>
      </c>
      <c r="D14" s="44" t="inlineStr">
        <is>
          <t>4. Cốt thép cọc khoan nhồi D1200mm (Thép chủ D25, đai D16, D10)</t>
        </is>
      </c>
      <c r="E14" s="44" t="inlineStr">
        <is>
          <t>Theo bản vẽ: 29,496 → 29,369</t>
        </is>
      </c>
      <c r="F14" s="44" t="inlineStr">
        <is>
          <t>29,496</t>
        </is>
      </c>
      <c r="G14" s="44" t="inlineStr">
        <is>
          <t>29,369</t>
        </is>
      </c>
      <c r="H14" s="44" t="inlineStr">
        <is>
          <t>tr.70</t>
        </is>
      </c>
      <c r="I14" s="44" t="inlineStr"/>
    </row>
    <row r="15">
      <c r="A15" s="44" t="n">
        <v>12</v>
      </c>
      <c r="B15" s="44" t="inlineStr">
        <is>
          <t>QS_DIEN_GIAI_CHI_TIET</t>
        </is>
      </c>
      <c r="C15" s="44" t="n">
        <v>26</v>
      </c>
      <c r="D15" s="44" t="inlineStr">
        <is>
          <t>4. Cốt thép cọc khoan nhồi D1200mm (Thép chủ D25, đai D16, D10)</t>
        </is>
      </c>
      <c r="E15" s="44" t="inlineStr">
        <is>
          <t>Theo bản vẽ: 33,047 → 32,941. Tổng 4 trang cọc 108,462 t; bảng tổng hợp tr.175 ghi 108,884 t (nhóm 10&lt;D&lt;=18: 0,982 t so với 0,559 t trên các trang cọc) — xem PDF tr.175.</t>
        </is>
      </c>
      <c r="F15" s="44" t="inlineStr">
        <is>
          <t>33,047</t>
        </is>
      </c>
      <c r="G15" s="44" t="inlineStr">
        <is>
          <t>32,941</t>
        </is>
      </c>
      <c r="H15" s="44" t="inlineStr">
        <is>
          <t>tr.66</t>
        </is>
      </c>
      <c r="I15" s="44" t="inlineStr"/>
    </row>
    <row r="16">
      <c r="A16" s="44" t="n">
        <v>13</v>
      </c>
      <c r="B16" s="44" t="inlineStr">
        <is>
          <t>QS_DIEN_GIAI_CHI_TIET</t>
        </is>
      </c>
      <c r="C16" s="44" t="n">
        <v>28</v>
      </c>
      <c r="D16" s="44" t="inlineStr">
        <is>
          <t>5. Đập đầu cọc khoan nhồi nhô lên đáy bệ ngàm vào kết cấu</t>
        </is>
      </c>
      <c r="E16" s="44" t="inlineStr">
        <is>
          <t>Theo bản vẽ: 29,405 → 30,360</t>
        </is>
      </c>
      <c r="F16" s="44" t="inlineStr">
        <is>
          <t>29,405</t>
        </is>
      </c>
      <c r="G16" s="44" t="inlineStr">
        <is>
          <t>30,360</t>
        </is>
      </c>
      <c r="H16" s="44" t="inlineStr">
        <is>
          <t>tr.64</t>
        </is>
      </c>
      <c r="I16" s="44" t="inlineStr"/>
    </row>
    <row r="17">
      <c r="A17" s="44" t="n">
        <v>14</v>
      </c>
      <c r="B17" s="44" t="inlineStr">
        <is>
          <t>QS_DIEN_GIAI_CHI_TIET</t>
        </is>
      </c>
      <c r="C17" s="44" t="n">
        <v>35</v>
      </c>
      <c r="D17" s="44" t="inlineStr">
        <is>
          <t>8. Bê tông lót đáy bệ móng mác C10 dày 10cm</t>
        </is>
      </c>
      <c r="E17" s="44" t="inlineStr">
        <is>
          <t>Theo bản vẽ: 7,500 → 2,460</t>
        </is>
      </c>
      <c r="F17" s="44" t="inlineStr">
        <is>
          <t>7,500</t>
        </is>
      </c>
      <c r="G17" s="44" t="inlineStr">
        <is>
          <t>2,460</t>
        </is>
      </c>
      <c r="H17" s="44" t="inlineStr">
        <is>
          <t>tr.31</t>
        </is>
      </c>
      <c r="I17" s="44" t="inlineStr"/>
    </row>
    <row r="18">
      <c r="A18" s="44" t="n">
        <v>15</v>
      </c>
      <c r="B18" s="44" t="inlineStr">
        <is>
          <t>QS_DIEN_GIAI_CHI_TIET</t>
        </is>
      </c>
      <c r="C18" s="44" t="n">
        <v>36</v>
      </c>
      <c r="D18" s="44" t="inlineStr">
        <is>
          <t>8. Bê tông lót đáy bệ móng mác C10 dày 10cm</t>
        </is>
      </c>
      <c r="E18" s="44" t="inlineStr">
        <is>
          <t>Theo bản vẽ: 9,100 → 7,090</t>
        </is>
      </c>
      <c r="F18" s="44" t="inlineStr">
        <is>
          <t>9,100</t>
        </is>
      </c>
      <c r="G18" s="44" t="inlineStr">
        <is>
          <t>7,090</t>
        </is>
      </c>
      <c r="H18" s="44" t="inlineStr">
        <is>
          <t>tr.40</t>
        </is>
      </c>
      <c r="I18" s="44" t="inlineStr"/>
    </row>
    <row r="19">
      <c r="A19" s="44" t="n">
        <v>16</v>
      </c>
      <c r="B19" s="44" t="inlineStr">
        <is>
          <t>QS_DIEN_GIAI_CHI_TIET</t>
        </is>
      </c>
      <c r="C19" s="44" t="n">
        <v>37</v>
      </c>
      <c r="D19" s="44" t="inlineStr">
        <is>
          <t>8. Bê tông lót đáy bệ móng mác C10 dày 10cm</t>
        </is>
      </c>
      <c r="E19" s="44" t="inlineStr">
        <is>
          <t>Theo bản vẽ: 8,450 → 8,770</t>
        </is>
      </c>
      <c r="F19" s="44" t="inlineStr">
        <is>
          <t>8,450</t>
        </is>
      </c>
      <c r="G19" s="44" t="inlineStr">
        <is>
          <t>8,770</t>
        </is>
      </c>
      <c r="H19" s="44" t="inlineStr">
        <is>
          <t>tr.44</t>
        </is>
      </c>
      <c r="I19" s="44" t="inlineStr"/>
    </row>
    <row r="20">
      <c r="A20" s="44" t="n">
        <v>17</v>
      </c>
      <c r="B20" s="44" t="inlineStr">
        <is>
          <t>QS_DIEN_GIAI_CHI_TIET</t>
        </is>
      </c>
      <c r="C20" s="44" t="n">
        <v>38</v>
      </c>
      <c r="D20" s="44" t="inlineStr">
        <is>
          <t>8. Bê tông lót đáy bệ móng mác C10 dày 10cm</t>
        </is>
      </c>
      <c r="E20" s="44" t="inlineStr">
        <is>
          <t>Theo bản vẽ: 8,450 → 8,770</t>
        </is>
      </c>
      <c r="F20" s="44" t="inlineStr">
        <is>
          <t>8,450</t>
        </is>
      </c>
      <c r="G20" s="44" t="inlineStr">
        <is>
          <t>8,770</t>
        </is>
      </c>
      <c r="H20" s="44" t="inlineStr">
        <is>
          <t>tr.55</t>
        </is>
      </c>
      <c r="I20" s="44" t="inlineStr"/>
    </row>
    <row r="21">
      <c r="A21" s="44" t="n">
        <v>18</v>
      </c>
      <c r="B21" s="44" t="inlineStr">
        <is>
          <t>QS_DIEN_GIAI_CHI_TIET</t>
        </is>
      </c>
      <c r="C21" s="44" t="n">
        <v>40</v>
      </c>
      <c r="D21" s="44" t="inlineStr">
        <is>
          <t>9. Bê tông bệ móng mố M1, M2 và bệ trụ T1, T2 mác C30</t>
        </is>
      </c>
      <c r="E21" s="44" t="inlineStr">
        <is>
          <t>Khớp bản vẽ. Bản vẽ chỉ ghi bê tông bệ mố gộp 2 mố (tr.175) — dòng M2 bên dưới để 0. Tổng bê tông mố (bệ + tường thân + tường đỉnh + tường cánh + ụ) 376,357 m³ khớp tr.31 (75,12) + tr.40 (301,24).</t>
        </is>
      </c>
      <c r="F21" s="44" t="inlineStr">
        <is>
          <t>148,988</t>
        </is>
      </c>
      <c r="G21" s="44" t="inlineStr">
        <is>
          <t>148,992</t>
        </is>
      </c>
      <c r="H21" s="44" t="inlineStr">
        <is>
          <t>tr.175</t>
        </is>
      </c>
      <c r="I21" s="44" t="inlineStr"/>
    </row>
    <row r="22">
      <c r="A22" s="44" t="n">
        <v>19</v>
      </c>
      <c r="B22" s="44" t="inlineStr">
        <is>
          <t>QS_DIEN_GIAI_CHI_TIET</t>
        </is>
      </c>
      <c r="C22" s="44" t="n">
        <v>41</v>
      </c>
      <c r="D22" s="44" t="inlineStr">
        <is>
          <t>9. Bê tông bệ móng mố M1, M2 và bệ trụ T1, T2 mác C30</t>
        </is>
      </c>
      <c r="E22" s="44" t="inlineStr">
        <is>
          <t>Theo bản vẽ: 148,990 → 0,000</t>
        </is>
      </c>
      <c r="F22" s="44" t="inlineStr">
        <is>
          <t>148,990</t>
        </is>
      </c>
      <c r="G22" s="44" t="inlineStr">
        <is>
          <t>0,000</t>
        </is>
      </c>
      <c r="H22" s="44" t="inlineStr">
        <is>
          <t>tr.175</t>
        </is>
      </c>
      <c r="I22" s="44" t="inlineStr"/>
    </row>
    <row r="23">
      <c r="A23" s="44" t="n">
        <v>20</v>
      </c>
      <c r="B23" s="44" t="inlineStr">
        <is>
          <t>QS_DIEN_GIAI_CHI_TIET</t>
        </is>
      </c>
      <c r="C23" s="44" t="n">
        <v>42</v>
      </c>
      <c r="D23" s="44" t="inlineStr">
        <is>
          <t>9. Bê tông bệ móng mố M1, M2 và bệ trụ T1, T2 mác C30</t>
        </is>
      </c>
      <c r="E23" s="44" t="inlineStr">
        <is>
          <t>Theo bản vẽ: 184,500 → 184,240</t>
        </is>
      </c>
      <c r="F23" s="44" t="inlineStr">
        <is>
          <t>184,500</t>
        </is>
      </c>
      <c r="G23" s="44" t="inlineStr">
        <is>
          <t>184,240</t>
        </is>
      </c>
      <c r="H23" s="44" t="inlineStr">
        <is>
          <t>tr.44</t>
        </is>
      </c>
      <c r="I23" s="44" t="inlineStr"/>
    </row>
    <row r="24">
      <c r="A24" s="44" t="n">
        <v>21</v>
      </c>
      <c r="B24" s="44" t="inlineStr">
        <is>
          <t>QS_DIEN_GIAI_CHI_TIET</t>
        </is>
      </c>
      <c r="C24" s="44" t="n">
        <v>43</v>
      </c>
      <c r="D24" s="44" t="inlineStr">
        <is>
          <t>9. Bê tông bệ móng mố M1, M2 và bệ trụ T1, T2 mác C30</t>
        </is>
      </c>
      <c r="E24" s="44" t="inlineStr">
        <is>
          <t>Theo bản vẽ: 184,500 → 184,240</t>
        </is>
      </c>
      <c r="F24" s="44" t="inlineStr">
        <is>
          <t>184,500</t>
        </is>
      </c>
      <c r="G24" s="44" t="inlineStr">
        <is>
          <t>184,240</t>
        </is>
      </c>
      <c r="H24" s="44" t="inlineStr">
        <is>
          <t>tr.55</t>
        </is>
      </c>
      <c r="I24" s="44" t="inlineStr"/>
    </row>
    <row r="25">
      <c r="A25" s="44" t="n">
        <v>22</v>
      </c>
      <c r="B25" s="44" t="inlineStr">
        <is>
          <t>QS_DIEN_GIAI_CHI_TIET</t>
        </is>
      </c>
      <c r="C25" s="44" t="n">
        <v>45</v>
      </c>
      <c r="D25" s="44" t="inlineStr">
        <is>
          <t>10. Bê tông thân mố chân dê M1 và mố chữ U M2 mác C30</t>
        </is>
      </c>
      <c r="E25" s="44" t="inlineStr">
        <is>
          <t>Theo bản vẽ: 84,600 → 168,871. Bản vẽ ghi tường thân gộp 2 mố (tr.175) — dòng M2 bên dưới để 0.</t>
        </is>
      </c>
      <c r="F25" s="44" t="inlineStr">
        <is>
          <t>84,600</t>
        </is>
      </c>
      <c r="G25" s="44" t="inlineStr">
        <is>
          <t>168,871</t>
        </is>
      </c>
      <c r="H25" s="44" t="inlineStr">
        <is>
          <t>tr.175</t>
        </is>
      </c>
      <c r="I25" s="44" t="inlineStr"/>
    </row>
    <row r="26">
      <c r="A26" s="44" t="n">
        <v>23</v>
      </c>
      <c r="B26" s="44" t="inlineStr">
        <is>
          <t>QS_DIEN_GIAI_CHI_TIET</t>
        </is>
      </c>
      <c r="C26" s="44" t="n">
        <v>46</v>
      </c>
      <c r="D26" s="44" t="inlineStr">
        <is>
          <t>10. Bê tông thân mố chân dê M1 và mố chữ U M2 mác C30</t>
        </is>
      </c>
      <c r="E26" s="44" t="inlineStr">
        <is>
          <t>Theo bản vẽ: 84,600 → 0,000</t>
        </is>
      </c>
      <c r="F26" s="44" t="inlineStr">
        <is>
          <t>84,600</t>
        </is>
      </c>
      <c r="G26" s="44" t="inlineStr">
        <is>
          <t>0,000</t>
        </is>
      </c>
      <c r="H26" s="44" t="inlineStr">
        <is>
          <t>tr.175</t>
        </is>
      </c>
      <c r="I26" s="44" t="inlineStr"/>
    </row>
    <row r="27">
      <c r="A27" s="44" t="n">
        <v>24</v>
      </c>
      <c r="B27" s="44" t="inlineStr">
        <is>
          <t>QS_DIEN_GIAI_CHI_TIET</t>
        </is>
      </c>
      <c r="C27" s="44" t="n">
        <v>49</v>
      </c>
      <c r="D27" s="44" t="inlineStr">
        <is>
          <t>11. Bê tông tường cánh và tường đỉnh mố M1, M2 mác C30</t>
        </is>
      </c>
      <c r="E27" s="44" t="inlineStr">
        <is>
          <t>Theo bản vẽ: 20,256 → 29,842. Gộp 'gờ lan can, ụ chống chuyển vị tường tai' của mố (tr.175) vào hạng mục tường cánh/tường đỉnh vì cùng mác C30 — tách mã nếu đơn giá khác.</t>
        </is>
      </c>
      <c r="F27" s="44" t="inlineStr">
        <is>
          <t>20,256</t>
        </is>
      </c>
      <c r="G27" s="44" t="inlineStr">
        <is>
          <t>29,842</t>
        </is>
      </c>
      <c r="H27" s="44" t="inlineStr">
        <is>
          <t>tr.175</t>
        </is>
      </c>
      <c r="I27" s="44" t="inlineStr"/>
    </row>
    <row r="28">
      <c r="A28" s="44" t="n">
        <v>25</v>
      </c>
      <c r="B28" s="44" t="inlineStr">
        <is>
          <t>QS_DIEN_GIAI_CHI_TIET</t>
        </is>
      </c>
      <c r="C28" s="44" t="n">
        <v>51</v>
      </c>
      <c r="D28" s="44" t="inlineStr">
        <is>
          <t>12. Bê tông thân đặc trụ T1 và T2 mác C30</t>
        </is>
      </c>
      <c r="E28" s="44" t="inlineStr">
        <is>
          <t>Theo bản vẽ: 281,336 → 234,920. Dự toán cũ ghi H = 14,5 m; cao độ trên bản vẽ cho thân trụ T1 cao khoảng 23,35 m. Đã lấy thể tích bản vẽ.</t>
        </is>
      </c>
      <c r="F28" s="44" t="inlineStr">
        <is>
          <t>281,336</t>
        </is>
      </c>
      <c r="G28" s="44" t="inlineStr">
        <is>
          <t>234,920</t>
        </is>
      </c>
      <c r="H28" s="44" t="inlineStr">
        <is>
          <t>tr.48</t>
        </is>
      </c>
      <c r="I28" s="44" t="inlineStr"/>
    </row>
    <row r="29">
      <c r="A29" s="44" t="n">
        <v>26</v>
      </c>
      <c r="B29" s="44" t="inlineStr">
        <is>
          <t>QS_DIEN_GIAI_CHI_TIET</t>
        </is>
      </c>
      <c r="C29" s="44" t="n">
        <v>52</v>
      </c>
      <c r="D29" s="44" t="inlineStr">
        <is>
          <t>12. Bê tông thân đặc trụ T1 và T2 mác C30</t>
        </is>
      </c>
      <c r="E29" s="44" t="inlineStr">
        <is>
          <t>Theo bản vẽ: 221,189 → 266,790. Dự toán cũ ghi H = 11,4 m; cao độ trên bản vẽ cho thân trụ T2 cao khoảng 25,45 m. Đã lấy thể tích bản vẽ.</t>
        </is>
      </c>
      <c r="F29" s="44" t="inlineStr">
        <is>
          <t>221,189</t>
        </is>
      </c>
      <c r="G29" s="44" t="inlineStr">
        <is>
          <t>266,790</t>
        </is>
      </c>
      <c r="H29" s="44" t="inlineStr">
        <is>
          <t>tr.59</t>
        </is>
      </c>
      <c r="I29" s="44" t="inlineStr"/>
    </row>
    <row r="30">
      <c r="A30" s="44" t="n">
        <v>27</v>
      </c>
      <c r="B30" s="44" t="inlineStr">
        <is>
          <t>QS_DIEN_GIAI_CHI_TIET</t>
        </is>
      </c>
      <c r="C30" s="44" t="n">
        <v>54</v>
      </c>
      <c r="D30" s="44" t="inlineStr">
        <is>
          <t>13. Bê tông xà mũ trụ T1, T2 mác C30</t>
        </is>
      </c>
      <c r="E30" s="44" t="inlineStr">
        <is>
          <t>Theo bản vẽ: 73,062 → 72,510</t>
        </is>
      </c>
      <c r="F30" s="44" t="inlineStr">
        <is>
          <t>73,062</t>
        </is>
      </c>
      <c r="G30" s="44" t="inlineStr">
        <is>
          <t>72,510</t>
        </is>
      </c>
      <c r="H30" s="44" t="inlineStr">
        <is>
          <t>tr.51</t>
        </is>
      </c>
      <c r="I30" s="44" t="inlineStr"/>
    </row>
    <row r="31">
      <c r="A31" s="44" t="n">
        <v>28</v>
      </c>
      <c r="B31" s="44" t="inlineStr">
        <is>
          <t>QS_DIEN_GIAI_CHI_TIET</t>
        </is>
      </c>
      <c r="C31" s="44" t="n">
        <v>55</v>
      </c>
      <c r="D31" s="44" t="inlineStr">
        <is>
          <t>13. Bê tông xà mũ trụ T1, T2 mác C30</t>
        </is>
      </c>
      <c r="E31" s="44" t="inlineStr">
        <is>
          <t>Theo bản vẽ: 73,062 → 72,510</t>
        </is>
      </c>
      <c r="F31" s="44" t="inlineStr">
        <is>
          <t>73,062</t>
        </is>
      </c>
      <c r="G31" s="44" t="inlineStr">
        <is>
          <t>72,510</t>
        </is>
      </c>
      <c r="H31" s="44" t="inlineStr">
        <is>
          <t>tr.62</t>
        </is>
      </c>
      <c r="I31" s="44" t="inlineStr"/>
    </row>
    <row r="32">
      <c r="A32" s="44" t="n">
        <v>29</v>
      </c>
      <c r="B32" s="44" t="inlineStr">
        <is>
          <t>QS_DIEN_GIAI_CHI_TIET</t>
        </is>
      </c>
      <c r="C32" s="44" t="n">
        <v>57</v>
      </c>
      <c r="D32" s="44" t="inlineStr">
        <is>
          <t>14. Cốt thép mố và trụ (D&lt;=10, 10&lt;D&lt;=18, D&gt;18)</t>
        </is>
      </c>
      <c r="E32" s="44" t="inlineStr">
        <is>
          <t>Theo bản vẽ: 23,450 → 7,959</t>
        </is>
      </c>
      <c r="F32" s="44" t="inlineStr">
        <is>
          <t>23,450</t>
        </is>
      </c>
      <c r="G32" s="44" t="inlineStr">
        <is>
          <t>7,959</t>
        </is>
      </c>
      <c r="H32" s="44" t="inlineStr">
        <is>
          <t>tr.31</t>
        </is>
      </c>
      <c r="I32" s="44" t="inlineStr"/>
    </row>
    <row r="33">
      <c r="A33" s="44" t="n">
        <v>30</v>
      </c>
      <c r="B33" s="44" t="inlineStr">
        <is>
          <t>QS_DIEN_GIAI_CHI_TIET</t>
        </is>
      </c>
      <c r="C33" s="44" t="n">
        <v>58</v>
      </c>
      <c r="D33" s="44" t="inlineStr">
        <is>
          <t>14. Cốt thép mố và trụ (D&lt;=10, 10&lt;D&lt;=18, D&gt;18)</t>
        </is>
      </c>
      <c r="E33" s="44" t="inlineStr">
        <is>
          <t>Theo bản vẽ: 31,850 → 19,649. Tr.40 ghi 0 kg cho W6, W7, W9 dù dài × SL × kg/m = 237,05 kg (51,50 + 48,84 + 136,71). Dòng này lấy tổng bản vẽ 19,649 t; BBS vẫn gia công các thanh đó. Nếu chủ dự án ghim tính thì cộng 0,237 t.</t>
        </is>
      </c>
      <c r="F33" s="44" t="inlineStr">
        <is>
          <t>31,850</t>
        </is>
      </c>
      <c r="G33" s="44" t="inlineStr">
        <is>
          <t>19,649</t>
        </is>
      </c>
      <c r="H33" s="44" t="inlineStr">
        <is>
          <t>tr.40</t>
        </is>
      </c>
      <c r="I33" s="44" t="inlineStr"/>
    </row>
    <row r="34">
      <c r="A34" s="44" t="n">
        <v>31</v>
      </c>
      <c r="B34" s="44" t="inlineStr">
        <is>
          <t>QS_DIEN_GIAI_CHI_TIET</t>
        </is>
      </c>
      <c r="C34" s="44" t="n">
        <v>59</v>
      </c>
      <c r="D34" s="44" t="inlineStr">
        <is>
          <t>14. Cốt thép mố và trụ (D&lt;=10, 10&lt;D&lt;=18, D&gt;18)</t>
        </is>
      </c>
      <c r="E34" s="44" t="inlineStr">
        <is>
          <t>Theo bản vẽ: 38,600 → 61,749</t>
        </is>
      </c>
      <c r="F34" s="44" t="inlineStr">
        <is>
          <t>38,600</t>
        </is>
      </c>
      <c r="G34" s="44" t="inlineStr">
        <is>
          <t>61,749</t>
        </is>
      </c>
      <c r="H34" s="44" t="inlineStr">
        <is>
          <t>tr.44, tr.48, tr.51</t>
        </is>
      </c>
      <c r="I34" s="44" t="inlineStr"/>
    </row>
    <row r="35">
      <c r="A35" s="44" t="n">
        <v>32</v>
      </c>
      <c r="B35" s="44" t="inlineStr">
        <is>
          <t>QS_DIEN_GIAI_CHI_TIET</t>
        </is>
      </c>
      <c r="C35" s="44" t="n">
        <v>60</v>
      </c>
      <c r="D35" s="44" t="inlineStr">
        <is>
          <t>14. Cốt thép mố và trụ (D&lt;=10, 10&lt;D&lt;=18, D&gt;18)</t>
        </is>
      </c>
      <c r="E35" s="44" t="inlineStr">
        <is>
          <t>Theo bản vẽ: 34,200 → 64,378</t>
        </is>
      </c>
      <c r="F35" s="44" t="inlineStr">
        <is>
          <t>34,200</t>
        </is>
      </c>
      <c r="G35" s="44" t="inlineStr">
        <is>
          <t>64,378</t>
        </is>
      </c>
      <c r="H35" s="44" t="inlineStr">
        <is>
          <t>tr.55, tr.59, tr.62</t>
        </is>
      </c>
      <c r="I35" s="44" t="inlineStr"/>
    </row>
    <row r="36">
      <c r="A36" s="44" t="n">
        <v>33</v>
      </c>
      <c r="B36" s="44" t="inlineStr">
        <is>
          <t>QS_DIEN_GIAI_CHI_TIET</t>
        </is>
      </c>
      <c r="C36" s="44" t="n">
        <v>65</v>
      </c>
      <c r="D36" s="44" t="inlineStr">
        <is>
          <t>16. Cáp dự ứng lực tao xoắn 15.2mm Grade 270 kéo căng trước/sau</t>
        </is>
      </c>
      <c r="E36" s="44" t="inlineStr">
        <is>
          <t>Khớp bản vẽ. Dòng tiêu đề cũ ghi cứng 27,784 t, khác dòng diễn giải (15 × 1,994 = 29,91 t). Bảng tổng hợp tr.175 ghi 29,911 t — đã lấy theo bản vẽ và đổi tiêu đề thành tổng công thức.</t>
        </is>
      </c>
      <c r="F36" s="44" t="inlineStr">
        <is>
          <t>29,910</t>
        </is>
      </c>
      <c r="G36" s="44" t="inlineStr">
        <is>
          <t>29,911</t>
        </is>
      </c>
      <c r="H36" s="44" t="inlineStr">
        <is>
          <t>tr.175</t>
        </is>
      </c>
      <c r="I36" s="44" t="inlineStr"/>
    </row>
    <row r="37">
      <c r="A37" s="44" t="n">
        <v>34</v>
      </c>
      <c r="B37" s="44" t="inlineStr">
        <is>
          <t>QS_DIEN_GIAI_CHI_TIET</t>
        </is>
      </c>
      <c r="C37" s="44" t="n">
        <v>67</v>
      </c>
      <c r="D37" s="44" t="inlineStr">
        <is>
          <t>17. Cốt thép thường dầm chủ Super-T (D10, D14, D16, D20)</t>
        </is>
      </c>
      <c r="E37" s="44" t="inlineStr">
        <is>
          <t>Theo bản vẽ: 90,630 → 89,690. Dòng tiêu đề cũ ghi cứng 361,596 t (= BBS cũ, gấp khoảng 4 lần bản vẽ). Bản vẽ: 89,690 t = tr.175 (77,743 + 11,947 t). Số phiến 3/3/9 suy từ tổng tr.175 — xác nhận theo mặt cắt ngang.</t>
        </is>
      </c>
      <c r="F37" s="44" t="inlineStr">
        <is>
          <t>90,630</t>
        </is>
      </c>
      <c r="G37" s="44" t="inlineStr">
        <is>
          <t>89,690</t>
        </is>
      </c>
      <c r="H37" s="44" t="inlineStr">
        <is>
          <t>tr.88, tr.91, tr.94</t>
        </is>
      </c>
      <c r="I37" s="44" t="inlineStr"/>
    </row>
    <row r="38">
      <c r="A38" s="44" t="n">
        <v>35</v>
      </c>
      <c r="B38" s="44" t="inlineStr">
        <is>
          <t>QS_DIEN_GIAI_CHI_TIET</t>
        </is>
      </c>
      <c r="C38" s="44" t="n">
        <v>74</v>
      </c>
      <c r="D38" s="44" t="inlineStr">
        <is>
          <t>20. Bê tông dầm ngang mố và trụ mác C35</t>
        </is>
      </c>
      <c r="E38" s="44" t="inlineStr">
        <is>
          <t>Theo bản vẽ: 39,852 → 19,380. Dự toán cũ: 4 dầm 12,3 × 0,45 × 1,8 m. Bản vẽ tr.96 và tr.175 ghi 19,38 m³.</t>
        </is>
      </c>
      <c r="F38" s="44" t="inlineStr">
        <is>
          <t>39,852</t>
        </is>
      </c>
      <c r="G38" s="44" t="inlineStr">
        <is>
          <t>19,380</t>
        </is>
      </c>
      <c r="H38" s="44" t="inlineStr">
        <is>
          <t>tr.96</t>
        </is>
      </c>
      <c r="I38" s="44" t="inlineStr"/>
    </row>
    <row r="39">
      <c r="A39" s="44" t="n">
        <v>36</v>
      </c>
      <c r="B39" s="44" t="inlineStr">
        <is>
          <t>QS_DIEN_GIAI_CHI_TIET</t>
        </is>
      </c>
      <c r="C39" s="44" t="n">
        <v>80</v>
      </c>
      <c r="D39" s="44" t="inlineStr">
        <is>
          <t>23. Bê tông mối nối liên tục nhiệt đỉnh trụ T1, T2 mác C35</t>
        </is>
      </c>
      <c r="E39" s="44" t="inlineStr">
        <is>
          <t>Theo bản vẽ: 21,799 → 21,868</t>
        </is>
      </c>
      <c r="F39" s="44" t="inlineStr">
        <is>
          <t>21,799</t>
        </is>
      </c>
      <c r="G39" s="44" t="inlineStr">
        <is>
          <t>21,868</t>
        </is>
      </c>
      <c r="H39" s="44" t="inlineStr">
        <is>
          <t>tr.175</t>
        </is>
      </c>
      <c r="I39" s="44" t="inlineStr"/>
    </row>
    <row r="40">
      <c r="A40" s="44" t="n">
        <v>37</v>
      </c>
      <c r="B40" s="44" t="inlineStr">
        <is>
          <t>QS_DIEN_GIAI_CHI_TIET</t>
        </is>
      </c>
      <c r="C40" s="44" t="n">
        <v>82</v>
      </c>
      <c r="D40" s="44" t="inlineStr">
        <is>
          <t>24. Cốt thép bản mặt cầu và mối nối liên tục nhiệt (D14, D16)</t>
        </is>
      </c>
      <c r="E40" s="44" t="inlineStr">
        <is>
          <t>Theo bản vẽ: 33,070 → 85,595. Dự toán cũ 33,07 t. Bản vẽ tr.175: 85,595 t (khớp tr.112: 2 × 25.691,33 + 25.293,79 + 2 × 4.458,97 kg).</t>
        </is>
      </c>
      <c r="F40" s="44" t="inlineStr">
        <is>
          <t>33,070</t>
        </is>
      </c>
      <c r="G40" s="44" t="inlineStr">
        <is>
          <t>85,595</t>
        </is>
      </c>
      <c r="H40" s="44" t="inlineStr">
        <is>
          <t>tr.175</t>
        </is>
      </c>
      <c r="I40" s="44" t="inlineStr"/>
    </row>
    <row r="41">
      <c r="A41" s="44" t="n">
        <v>38</v>
      </c>
      <c r="B41" s="44" t="inlineStr">
        <is>
          <t>QS_DIEN_GIAI_CHI_TIET</t>
        </is>
      </c>
      <c r="C41" s="44" t="n">
        <v>87</v>
      </c>
      <c r="D41" s="44" t="inlineStr">
        <is>
          <t>26. Bê tông bản quá độ sau mố M1, M2 mác C25</t>
        </is>
      </c>
      <c r="E41" s="44" t="inlineStr">
        <is>
          <t>Theo bản vẽ: 33,691 → 29,100</t>
        </is>
      </c>
      <c r="F41" s="44" t="inlineStr">
        <is>
          <t>33,691</t>
        </is>
      </c>
      <c r="G41" s="44" t="inlineStr">
        <is>
          <t>29,100</t>
        </is>
      </c>
      <c r="H41" s="44" t="inlineStr">
        <is>
          <t>tr.126</t>
        </is>
      </c>
      <c r="I41" s="44" t="inlineStr"/>
    </row>
    <row r="42">
      <c r="A42" s="44" t="n">
        <v>39</v>
      </c>
      <c r="B42" s="44" t="inlineStr">
        <is>
          <t>QS_DIEN_GIAI_CHI_TIET</t>
        </is>
      </c>
      <c r="C42" s="44" t="n">
        <v>88</v>
      </c>
      <c r="D42" s="44" t="inlineStr">
        <is>
          <t>26. Bê tông bản quá độ sau mố M1, M2 mác C25</t>
        </is>
      </c>
      <c r="E42" s="44" t="inlineStr">
        <is>
          <t>Theo bản vẽ: 33,691 → 38,280</t>
        </is>
      </c>
      <c r="F42" s="44" t="inlineStr">
        <is>
          <t>33,691</t>
        </is>
      </c>
      <c r="G42" s="44" t="inlineStr">
        <is>
          <t>38,280</t>
        </is>
      </c>
      <c r="H42" s="44" t="inlineStr">
        <is>
          <t>tr.128</t>
        </is>
      </c>
      <c r="I42" s="44" t="inlineStr"/>
    </row>
    <row r="43">
      <c r="A43" s="44" t="n">
        <v>40</v>
      </c>
      <c r="B43" s="44" t="inlineStr">
        <is>
          <t>QS_DIEN_GIAI_CHI_TIET</t>
        </is>
      </c>
      <c r="C43" s="44" t="n">
        <v>90</v>
      </c>
      <c r="D43" s="44" t="inlineStr">
        <is>
          <t>27. Đắp vật liệu dạng hạt chọn lọc sau mố đầm chặt K &gt;= 0.98</t>
        </is>
      </c>
      <c r="E43" s="44" t="inlineStr">
        <is>
          <t>Khớp bản vẽ. Dự toán cũ diễn giải 'đắp chuyển tiếp sau mố' 2 × 18 × 12,5 × 4,5 × 0,5 = 1.012,5 m³; tr.175 ghi 'vật liệu dạng hạt trong lòng mố K98' 1.012,955 m³ — xác nhận đúng hạng mục.</t>
        </is>
      </c>
      <c r="F43" s="44" t="inlineStr">
        <is>
          <t>1.012,500</t>
        </is>
      </c>
      <c r="G43" s="44" t="inlineStr">
        <is>
          <t>1.012,955</t>
        </is>
      </c>
      <c r="H43" s="44" t="inlineStr">
        <is>
          <t>tr.175</t>
        </is>
      </c>
      <c r="I43" s="44" t="inlineStr"/>
    </row>
    <row r="44">
      <c r="A44" s="44" t="n">
        <v>41</v>
      </c>
      <c r="B44" s="44" t="inlineStr">
        <is>
          <t>QS_DIEN_GIAI_CHI_TIET</t>
        </is>
      </c>
      <c r="C44" s="44" t="n">
        <v>33</v>
      </c>
      <c r="D44" s="44" t="inlineStr">
        <is>
          <t>7. Đào đất đá hố móng bệ mố M1, M2 và bệ trụ T1, T2 (Link Sheet Đào Đắp)</t>
        </is>
      </c>
      <c r="E44" s="44" t="inlineStr">
        <is>
          <t>Khối lượng đào lấy từ sheet đào đắp (6.245 m³) — chưa đối chiếu bản vẽ.</t>
        </is>
      </c>
      <c r="F44" s="44" t="inlineStr"/>
      <c r="G44" s="44" t="inlineStr"/>
      <c r="H44" s="44" t="inlineStr"/>
      <c r="I44" s="44" t="inlineStr"/>
    </row>
    <row r="45">
      <c r="A45" s="44" t="n">
        <v>42</v>
      </c>
      <c r="B45" s="44" t="inlineStr">
        <is>
          <t>QS_DIEN_GIAI_CHI_TIET</t>
        </is>
      </c>
      <c r="C45" s="44" t="n">
        <v>92</v>
      </c>
      <c r="D45" s="44" t="inlineStr">
        <is>
          <t>28. Bê tông gờ lan can mác C25 và lắp tay vịn thép mạ kẽm</t>
        </is>
      </c>
      <c r="E45" s="44" t="inlineStr">
        <is>
          <t>Gờ lan can tính theo m dài (2 × 130,4 m). Bản vẽ tr.119/tr.175: bê tông 104,277 m³ C25 và cốt thép 20,069 t — thép gờ lan can chưa có trong dự toán; đơn giá 1.650.000 đ/m giống đơn giá m³.</t>
        </is>
      </c>
      <c r="F45" s="44" t="inlineStr"/>
      <c r="G45" s="44" t="inlineStr"/>
      <c r="H45" s="44" t="inlineStr"/>
      <c r="I45" s="44" t="inlineStr"/>
    </row>
    <row r="46">
      <c r="A46" s="44" t="n">
        <v>43</v>
      </c>
      <c r="B46" s="44" t="inlineStr">
        <is>
          <t>QS_DIEN_GIAI_CHI_TIET</t>
        </is>
      </c>
      <c r="C46" s="44" t="n">
        <v>98</v>
      </c>
      <c r="D46" s="44" t="inlineStr">
        <is>
          <t>31. Gia cố mái taluy tứ nón mố bằng đá hộc xây vữa VXM M100</t>
        </is>
      </c>
      <c r="E46" s="44" t="inlineStr">
        <is>
          <t>Tứ nón đá hộc 52,216 m³ — tr.175 ghi 'đá hộc xây vữa' 104,738 m³ và 'chân khay đá hộc' 4,0 m³ (đường sau mố). Chưa rõ tương ứng — soát PDF tr.175.</t>
        </is>
      </c>
      <c r="F46" s="44" t="inlineStr"/>
      <c r="G46" s="44" t="inlineStr"/>
      <c r="H46" s="44" t="inlineStr"/>
      <c r="I46" s="44" t="inlineStr"/>
    </row>
    <row r="47">
      <c r="A47" s="44" t="n">
        <v>44</v>
      </c>
      <c r="B47" s="44" t="inlineStr">
        <is>
          <t>THANH_TOAN_KY_PHU_LUC_03A</t>
        </is>
      </c>
      <c r="C47" s="44" t="n">
        <v>8</v>
      </c>
      <c r="D47" s="44" t="inlineStr">
        <is>
          <t>1. Khoan tạo lỗ cọc khoan nhồi D1200mm vào đất và đá gốc (26 cọc)</t>
        </is>
      </c>
      <c r="E47" s="44" t="inlineStr">
        <is>
          <t>Tỷ lệ hoàn thành kỳ này (cột H = D × tỷ lệ) chưa có biên bản nghiệm thu kèm theo — soát và ghim. (H = =D8*1.0). Ghi chú cột L 'Nghiệm thu 100% 26 cọc' là số cũ, không cập nhật theo D — soát lại</t>
        </is>
      </c>
      <c r="F47" s="44" t="inlineStr"/>
      <c r="G47" s="44" t="inlineStr"/>
      <c r="H47" s="44" t="inlineStr"/>
      <c r="I47" s="44" t="inlineStr"/>
    </row>
    <row r="48">
      <c r="A48" s="44" t="n">
        <v>45</v>
      </c>
      <c r="B48" s="44" t="inlineStr">
        <is>
          <t>THANH_TOAN_KY_PHU_LUC_03A</t>
        </is>
      </c>
      <c r="C48" s="44" t="n">
        <v>9</v>
      </c>
      <c r="D48" s="44" t="inlineStr">
        <is>
          <t>2. Hạ và nhổ ống vách thép dẫn hướng D1300mm d=8mm</t>
        </is>
      </c>
      <c r="E48" s="44" t="inlineStr">
        <is>
          <t>Sửa tham chiếu QS: =QS_DIEN_GIAI_CHI_TIET!J13 → =QS_DIEN_GIAI_CHI_TIET!J12 (dòng cũ trỏ vào dòng diễn giải, không phải dòng hạng mục — đơn giá về 0)</t>
        </is>
      </c>
      <c r="F48" s="44">
        <f>QS_DIEN_GIAI_CHI_TIET!J13</f>
        <v/>
      </c>
      <c r="G48" s="44">
        <f>QS_DIEN_GIAI_CHI_TIET!J12</f>
        <v/>
      </c>
      <c r="H48" s="44" t="inlineStr"/>
      <c r="I48" s="44" t="inlineStr"/>
    </row>
    <row r="49">
      <c r="A49" s="44" t="n">
        <v>46</v>
      </c>
      <c r="B49" s="44" t="inlineStr">
        <is>
          <t>THANH_TOAN_KY_PHU_LUC_03A</t>
        </is>
      </c>
      <c r="C49" s="44" t="n">
        <v>9</v>
      </c>
      <c r="D49" s="44" t="inlineStr">
        <is>
          <t>2. Hạ và nhổ ống vách thép dẫn hướng D1300mm d=8mm</t>
        </is>
      </c>
      <c r="E49" s="44" t="inlineStr">
        <is>
          <t>Tỷ lệ hoàn thành kỳ này (cột H = D × tỷ lệ) chưa có biên bản nghiệm thu kèm theo — soát và ghim. (H = =D9*1.0)</t>
        </is>
      </c>
      <c r="F49" s="44" t="inlineStr"/>
      <c r="G49" s="44" t="inlineStr"/>
      <c r="H49" s="44" t="inlineStr"/>
      <c r="I49" s="44" t="inlineStr"/>
    </row>
    <row r="50">
      <c r="A50" s="44" t="n">
        <v>47</v>
      </c>
      <c r="B50" s="44" t="inlineStr">
        <is>
          <t>THANH_TOAN_KY_PHU_LUC_03A</t>
        </is>
      </c>
      <c r="C50" s="44" t="n">
        <v>10</v>
      </c>
      <c r="D50" s="44" t="inlineStr">
        <is>
          <t>3. Bê tông cọc khoan nhồi C30/37 đổ bằng ống tremie</t>
        </is>
      </c>
      <c r="E50" s="44" t="inlineStr">
        <is>
          <t>Sửa tham chiếu QS: =QS_DIEN_GIAI_CHI_TIET!J18 → =QS_DIEN_GIAI_CHI_TIET!J17 (dòng cũ trỏ vào dòng diễn giải, không phải dòng hạng mục — đơn giá về 0)</t>
        </is>
      </c>
      <c r="F50" s="44">
        <f>QS_DIEN_GIAI_CHI_TIET!J18</f>
        <v/>
      </c>
      <c r="G50" s="44">
        <f>QS_DIEN_GIAI_CHI_TIET!J17</f>
        <v/>
      </c>
      <c r="H50" s="44" t="inlineStr"/>
      <c r="I50" s="44" t="inlineStr"/>
    </row>
    <row r="51">
      <c r="A51" s="44" t="n">
        <v>48</v>
      </c>
      <c r="B51" s="44" t="inlineStr">
        <is>
          <t>THANH_TOAN_KY_PHU_LUC_03A</t>
        </is>
      </c>
      <c r="C51" s="44" t="n">
        <v>10</v>
      </c>
      <c r="D51" s="44" t="inlineStr">
        <is>
          <t>3. Bê tông cọc khoan nhồi C30/37 đổ bằng ống tremie</t>
        </is>
      </c>
      <c r="E51" s="44" t="inlineStr">
        <is>
          <t>Tỷ lệ hoàn thành kỳ này (cột H = D × tỷ lệ) chưa có biên bản nghiệm thu kèm theo — soát và ghim. (H = =D10*1.0). Ghi chú cột L 'Đổ xong 1100.86 m3' là số cũ, không cập nhật theo D — soát lại</t>
        </is>
      </c>
      <c r="F51" s="44" t="inlineStr"/>
      <c r="G51" s="44" t="inlineStr"/>
      <c r="H51" s="44" t="inlineStr"/>
      <c r="I51" s="44" t="inlineStr"/>
    </row>
    <row r="52">
      <c r="A52" s="44" t="n">
        <v>49</v>
      </c>
      <c r="B52" s="44" t="inlineStr">
        <is>
          <t>THANH_TOAN_KY_PHU_LUC_03A</t>
        </is>
      </c>
      <c r="C52" s="44" t="n">
        <v>11</v>
      </c>
      <c r="D52" s="44" t="inlineStr">
        <is>
          <t>4. Cốt thép cọc khoan nhồi D1200mm (D25, D16, D10)</t>
        </is>
      </c>
      <c r="E52" s="44" t="inlineStr">
        <is>
          <t>Sửa tham chiếu QS: =QS_DIEN_GIAI_CHI_TIET!J23 → =QS_DIEN_GIAI_CHI_TIET!J22 (dòng cũ trỏ vào dòng diễn giải, không phải dòng hạng mục — đơn giá về 0)</t>
        </is>
      </c>
      <c r="F52" s="44">
        <f>QS_DIEN_GIAI_CHI_TIET!J23</f>
        <v/>
      </c>
      <c r="G52" s="44">
        <f>QS_DIEN_GIAI_CHI_TIET!J22</f>
        <v/>
      </c>
      <c r="H52" s="44" t="inlineStr"/>
      <c r="I52" s="44" t="inlineStr"/>
    </row>
    <row r="53">
      <c r="A53" s="44" t="n">
        <v>50</v>
      </c>
      <c r="B53" s="44" t="inlineStr">
        <is>
          <t>THANH_TOAN_KY_PHU_LUC_03A</t>
        </is>
      </c>
      <c r="C53" s="44" t="n">
        <v>11</v>
      </c>
      <c r="D53" s="44" t="inlineStr">
        <is>
          <t>4. Cốt thép cọc khoan nhồi D1200mm (D25, D16, D10)</t>
        </is>
      </c>
      <c r="E53" s="44" t="inlineStr">
        <is>
          <t>Tỷ lệ hoàn thành kỳ này (cột H = D × tỷ lệ) chưa có biên bản nghiệm thu kèm theo — soát và ghim. (H = =D11*1.0). Ghi chú cột L '118.98 tấn' là số cũ, không cập nhật theo D — soát lại</t>
        </is>
      </c>
      <c r="F53" s="44" t="inlineStr"/>
      <c r="G53" s="44" t="inlineStr"/>
      <c r="H53" s="44" t="inlineStr"/>
      <c r="I53" s="44" t="inlineStr"/>
    </row>
    <row r="54">
      <c r="A54" s="44" t="n">
        <v>51</v>
      </c>
      <c r="B54" s="44" t="inlineStr">
        <is>
          <t>THANH_TOAN_KY_PHU_LUC_03A</t>
        </is>
      </c>
      <c r="C54" s="44" t="n">
        <v>12</v>
      </c>
      <c r="D54" s="44" t="inlineStr">
        <is>
          <t>5. Đập đầu 26 cọc khoan nhồi ngàm vào đài móng</t>
        </is>
      </c>
      <c r="E54" s="44" t="inlineStr">
        <is>
          <t>Sửa tham chiếu QS: =QS_DIEN_GIAI_CHI_TIET!J28 → =QS_DIEN_GIAI_CHI_TIET!J27 (dòng cũ trỏ vào dòng diễn giải, không phải dòng hạng mục — đơn giá về 0)</t>
        </is>
      </c>
      <c r="F54" s="44">
        <f>QS_DIEN_GIAI_CHI_TIET!J28</f>
        <v/>
      </c>
      <c r="G54" s="44">
        <f>QS_DIEN_GIAI_CHI_TIET!J27</f>
        <v/>
      </c>
      <c r="H54" s="44" t="inlineStr"/>
      <c r="I54" s="44" t="inlineStr"/>
    </row>
    <row r="55">
      <c r="A55" s="44" t="n">
        <v>52</v>
      </c>
      <c r="B55" s="44" t="inlineStr">
        <is>
          <t>THANH_TOAN_KY_PHU_LUC_03A</t>
        </is>
      </c>
      <c r="C55" s="44" t="n">
        <v>12</v>
      </c>
      <c r="D55" s="44" t="inlineStr">
        <is>
          <t>5. Đập đầu 26 cọc khoan nhồi ngàm vào đài móng</t>
        </is>
      </c>
      <c r="E55" s="44" t="inlineStr">
        <is>
          <t>Tỷ lệ hoàn thành kỳ này (cột H = D × tỷ lệ) chưa có biên bản nghiệm thu kèm theo — soát và ghim. (H = =D12*1.0)</t>
        </is>
      </c>
      <c r="F55" s="44" t="inlineStr"/>
      <c r="G55" s="44" t="inlineStr"/>
      <c r="H55" s="44" t="inlineStr"/>
      <c r="I55" s="44" t="inlineStr"/>
    </row>
    <row r="56">
      <c r="A56" s="44" t="n">
        <v>53</v>
      </c>
      <c r="B56" s="44" t="inlineStr">
        <is>
          <t>THANH_TOAN_KY_PHU_LUC_03A</t>
        </is>
      </c>
      <c r="C56" s="44" t="n">
        <v>13</v>
      </c>
      <c r="D56" s="44" t="inlineStr">
        <is>
          <t>6. Gói thí nghiệm kiểm soát cọc (Siêu âm 156 MC, PDA 9434kN, lấy lõi)</t>
        </is>
      </c>
      <c r="E56" s="44" t="inlineStr">
        <is>
          <t>Sửa tham chiếu QS: =QS_DIEN_GIAI_CHI_TIET!J30 → =QS_DIEN_GIAI_CHI_TIET!J29 (dòng cũ trỏ vào dòng diễn giải, không phải dòng hạng mục — đơn giá về 0)</t>
        </is>
      </c>
      <c r="F56" s="44">
        <f>QS_DIEN_GIAI_CHI_TIET!J30</f>
        <v/>
      </c>
      <c r="G56" s="44">
        <f>QS_DIEN_GIAI_CHI_TIET!J29</f>
        <v/>
      </c>
      <c r="H56" s="44" t="inlineStr"/>
      <c r="I56" s="44" t="inlineStr"/>
    </row>
    <row r="57">
      <c r="A57" s="44" t="n">
        <v>54</v>
      </c>
      <c r="B57" s="44" t="inlineStr">
        <is>
          <t>THANH_TOAN_KY_PHU_LUC_03A</t>
        </is>
      </c>
      <c r="C57" s="44" t="n">
        <v>13</v>
      </c>
      <c r="D57" s="44" t="inlineStr">
        <is>
          <t>6. Gói thí nghiệm kiểm soát cọc (Siêu âm 156 MC, PDA 9434kN, lấy lõi)</t>
        </is>
      </c>
      <c r="E57" s="44" t="inlineStr">
        <is>
          <t>Tỷ lệ hoàn thành kỳ này (cột H = D × tỷ lệ) chưa có biên bản nghiệm thu kèm theo — soát và ghim. (H = =D13*1.0)</t>
        </is>
      </c>
      <c r="F57" s="44" t="inlineStr"/>
      <c r="G57" s="44" t="inlineStr"/>
      <c r="H57" s="44" t="inlineStr"/>
      <c r="I57" s="44" t="inlineStr"/>
    </row>
    <row r="58">
      <c r="A58" s="44" t="n">
        <v>55</v>
      </c>
      <c r="B58" s="44" t="inlineStr">
        <is>
          <t>THANH_TOAN_KY_PHU_LUC_03A</t>
        </is>
      </c>
      <c r="C58" s="44" t="n">
        <v>15</v>
      </c>
      <c r="D58" s="44" t="inlineStr">
        <is>
          <t>7. Đào đất đá hố móng bệ mố M1, M2 và bệ trụ T1, T2</t>
        </is>
      </c>
      <c r="E58" s="44" t="inlineStr">
        <is>
          <t>Tỷ lệ hoàn thành kỳ này (cột H = D × tỷ lệ) chưa có biên bản nghiệm thu kèm theo — soát và ghim. (H = =D15*1.0)</t>
        </is>
      </c>
      <c r="F58" s="44" t="inlineStr"/>
      <c r="G58" s="44" t="inlineStr"/>
      <c r="H58" s="44" t="inlineStr"/>
      <c r="I58" s="44" t="inlineStr"/>
    </row>
    <row r="59">
      <c r="A59" s="44" t="n">
        <v>56</v>
      </c>
      <c r="B59" s="44" t="inlineStr">
        <is>
          <t>THANH_TOAN_KY_PHU_LUC_03A</t>
        </is>
      </c>
      <c r="C59" s="44" t="n">
        <v>16</v>
      </c>
      <c r="D59" s="44" t="inlineStr">
        <is>
          <t>8. Bê tông lót đáy bệ móng mác C10 dày 10cm</t>
        </is>
      </c>
      <c r="E59" s="44" t="inlineStr">
        <is>
          <t>Tỷ lệ hoàn thành kỳ này (cột H = D × tỷ lệ) chưa có biên bản nghiệm thu kèm theo — soát và ghim. (H = =D16*1.0). Ghi chú cột L 'Đổ xong 4 hố móng' là số cũ, không cập nhật theo D — soát lại</t>
        </is>
      </c>
      <c r="F59" s="44" t="inlineStr"/>
      <c r="G59" s="44" t="inlineStr"/>
      <c r="H59" s="44" t="inlineStr"/>
      <c r="I59" s="44" t="inlineStr"/>
    </row>
    <row r="60">
      <c r="A60" s="44" t="n">
        <v>57</v>
      </c>
      <c r="B60" s="44" t="inlineStr">
        <is>
          <t>THANH_TOAN_KY_PHU_LUC_03A</t>
        </is>
      </c>
      <c r="C60" s="44" t="n">
        <v>17</v>
      </c>
      <c r="D60" s="44" t="inlineStr">
        <is>
          <t>9. Bê tông bệ móng mố M1, M2 và bệ trụ T1, T2 mác C30</t>
        </is>
      </c>
      <c r="E60" s="44" t="inlineStr">
        <is>
          <t>Sửa tham chiếu QS: =QS_DIEN_GIAI_CHI_TIET!J37 → =QS_DIEN_GIAI_CHI_TIET!J39 (dòng cũ trỏ vào dòng diễn giải, không phải dòng hạng mục — đơn giá về 0)</t>
        </is>
      </c>
      <c r="F60" s="44">
        <f>QS_DIEN_GIAI_CHI_TIET!J37</f>
        <v/>
      </c>
      <c r="G60" s="44">
        <f>QS_DIEN_GIAI_CHI_TIET!J39</f>
        <v/>
      </c>
      <c r="H60" s="44" t="inlineStr"/>
      <c r="I60" s="44" t="inlineStr"/>
    </row>
    <row r="61">
      <c r="A61" s="44" t="n">
        <v>58</v>
      </c>
      <c r="B61" s="44" t="inlineStr">
        <is>
          <t>THANH_TOAN_KY_PHU_LUC_03A</t>
        </is>
      </c>
      <c r="C61" s="44" t="n">
        <v>17</v>
      </c>
      <c r="D61" s="44" t="inlineStr">
        <is>
          <t>9. Bê tông bệ móng mố M1, M2 và bệ trụ T1, T2 mác C30</t>
        </is>
      </c>
      <c r="E61" s="44" t="inlineStr">
        <is>
          <t>Tỷ lệ hoàn thành kỳ này (cột H = D × tỷ lệ) chưa có biên bản nghiệm thu kèm theo — soát và ghim. (H = =D17*1.0). Ghi chú cột L '517.48 m3 đạt R28' là số cũ, không cập nhật theo D — soát lại</t>
        </is>
      </c>
      <c r="F61" s="44" t="inlineStr"/>
      <c r="G61" s="44" t="inlineStr"/>
      <c r="H61" s="44" t="inlineStr"/>
      <c r="I61" s="44" t="inlineStr"/>
    </row>
    <row r="62">
      <c r="A62" s="44" t="n">
        <v>59</v>
      </c>
      <c r="B62" s="44" t="inlineStr">
        <is>
          <t>THANH_TOAN_KY_PHU_LUC_03A</t>
        </is>
      </c>
      <c r="C62" s="44" t="n">
        <v>18</v>
      </c>
      <c r="D62" s="44" t="inlineStr">
        <is>
          <t>10. Bê tông thân mố chân dê M1 và mố chữ U M2 mác C30</t>
        </is>
      </c>
      <c r="E62" s="44" t="inlineStr">
        <is>
          <t>Sửa tham chiếu QS: =QS_DIEN_GIAI_CHI_TIET!J42 → =QS_DIEN_GIAI_CHI_TIET!J44 (dòng cũ trỏ vào dòng diễn giải, không phải dòng hạng mục — đơn giá về 0)</t>
        </is>
      </c>
      <c r="F62" s="44">
        <f>QS_DIEN_GIAI_CHI_TIET!J42</f>
        <v/>
      </c>
      <c r="G62" s="44">
        <f>QS_DIEN_GIAI_CHI_TIET!J44</f>
        <v/>
      </c>
      <c r="H62" s="44" t="inlineStr"/>
      <c r="I62" s="44" t="inlineStr"/>
    </row>
    <row r="63">
      <c r="A63" s="44" t="n">
        <v>60</v>
      </c>
      <c r="B63" s="44" t="inlineStr">
        <is>
          <t>THANH_TOAN_KY_PHU_LUC_03A</t>
        </is>
      </c>
      <c r="C63" s="44" t="n">
        <v>18</v>
      </c>
      <c r="D63" s="44" t="inlineStr">
        <is>
          <t>10. Bê tông thân mố chân dê M1 và mố chữ U M2 mác C30</t>
        </is>
      </c>
      <c r="E63" s="44" t="inlineStr">
        <is>
          <t>Tỷ lệ hoàn thành kỳ này (cột H = D × tỷ lệ) chưa có biên bản nghiệm thu kèm theo — soát và ghim. (H = =D18*0.8). Ghi chú cột L 'Nghiệm thu đợt 1 thân mố' là số cũ, không cập nhật theo D — soát lại</t>
        </is>
      </c>
      <c r="F63" s="44" t="inlineStr"/>
      <c r="G63" s="44" t="inlineStr"/>
      <c r="H63" s="44" t="inlineStr"/>
      <c r="I63" s="44" t="inlineStr"/>
    </row>
    <row r="64">
      <c r="A64" s="44" t="n">
        <v>61</v>
      </c>
      <c r="B64" s="44" t="inlineStr">
        <is>
          <t>THANH_TOAN_KY_PHU_LUC_03A</t>
        </is>
      </c>
      <c r="C64" s="44" t="n">
        <v>19</v>
      </c>
      <c r="D64" s="44" t="inlineStr">
        <is>
          <t>11. Bê tông thân đặc trụ T1 và T2 mác C30 (H=14.5m &amp; 11.4m)</t>
        </is>
      </c>
      <c r="E64" s="44" t="inlineStr">
        <is>
          <t>Sửa tham chiếu QS: =QS_DIEN_GIAI_CHI_TIET!J47 → =QS_DIEN_GIAI_CHI_TIET!J50 (dòng cũ trỏ vào dòng diễn giải, không phải dòng hạng mục — đơn giá về 0)</t>
        </is>
      </c>
      <c r="F64" s="44">
        <f>QS_DIEN_GIAI_CHI_TIET!J47</f>
        <v/>
      </c>
      <c r="G64" s="44">
        <f>QS_DIEN_GIAI_CHI_TIET!J50</f>
        <v/>
      </c>
      <c r="H64" s="44" t="inlineStr"/>
      <c r="I64" s="44" t="inlineStr"/>
    </row>
    <row r="65">
      <c r="A65" s="44" t="n">
        <v>62</v>
      </c>
      <c r="B65" s="44" t="inlineStr">
        <is>
          <t>THANH_TOAN_KY_PHU_LUC_03A</t>
        </is>
      </c>
      <c r="C65" s="44" t="n">
        <v>19</v>
      </c>
      <c r="D65" s="44" t="inlineStr">
        <is>
          <t>11. Bê tông thân đặc trụ T1 và T2 mác C30</t>
        </is>
      </c>
      <c r="E65" s="44" t="inlineStr">
        <is>
          <t>Tỷ lệ hoàn thành kỳ này (cột H = D × tỷ lệ) chưa có biên bản nghiệm thu kèm theo — soát và ghim. (H = =D19*0.75). Ghi chú cột L 'Đổ 3/4 chiều cao trụ' là số cũ, không cập nhật theo D — soát lại</t>
        </is>
      </c>
      <c r="F65" s="44" t="inlineStr"/>
      <c r="G65" s="44" t="inlineStr"/>
      <c r="H65" s="44" t="inlineStr"/>
      <c r="I65" s="44" t="inlineStr"/>
    </row>
    <row r="66">
      <c r="A66" s="44" t="n">
        <v>63</v>
      </c>
      <c r="B66" s="44" t="inlineStr">
        <is>
          <t>THANH_TOAN_KY_PHU_LUC_03A</t>
        </is>
      </c>
      <c r="C66" s="44" t="n">
        <v>20</v>
      </c>
      <c r="D66" s="44" t="inlineStr">
        <is>
          <t>12. Cốt thép mố và trụ (D&lt;=10, 10&lt;D&lt;=18, D&gt;18)</t>
        </is>
      </c>
      <c r="E66" s="44" t="inlineStr">
        <is>
          <t>Sửa tham chiếu QS: =QS_DIEN_GIAI_CHI_TIET!J53 → =QS_DIEN_GIAI_CHI_TIET!J56 (dòng cũ trỏ vào dòng diễn giải, không phải dòng hạng mục — đơn giá về 0)</t>
        </is>
      </c>
      <c r="F66" s="44">
        <f>QS_DIEN_GIAI_CHI_TIET!J53</f>
        <v/>
      </c>
      <c r="G66" s="44">
        <f>QS_DIEN_GIAI_CHI_TIET!J56</f>
        <v/>
      </c>
      <c r="H66" s="44" t="inlineStr"/>
      <c r="I66" s="44" t="inlineStr"/>
    </row>
    <row r="67">
      <c r="A67" s="44" t="n">
        <v>64</v>
      </c>
      <c r="B67" s="44" t="inlineStr">
        <is>
          <t>THANH_TOAN_KY_PHU_LUC_03A</t>
        </is>
      </c>
      <c r="C67" s="44" t="n">
        <v>20</v>
      </c>
      <c r="D67" s="44" t="inlineStr">
        <is>
          <t>12. Cốt thép mố và trụ (D&lt;=10, 10&lt;D&lt;=18, D&gt;18)</t>
        </is>
      </c>
      <c r="E67" s="44" t="inlineStr">
        <is>
          <t>Tỷ lệ hoàn thành kỳ này (cột H = D × tỷ lệ) chưa có biên bản nghiệm thu kèm theo — soát và ghim. (H = =D20*0.8). Ghi chú cột L 'Lắp dựng nghiệm thu đợt 1' là số cũ, không cập nhật theo D — soát lại</t>
        </is>
      </c>
      <c r="F67" s="44" t="inlineStr"/>
      <c r="G67" s="44" t="inlineStr"/>
      <c r="H67" s="44" t="inlineStr"/>
      <c r="I67" s="44" t="inlineStr"/>
    </row>
    <row r="68">
      <c r="A68" s="44" t="n">
        <v>65</v>
      </c>
      <c r="B68" s="44" t="inlineStr">
        <is>
          <t>THANH_TOAN_KY_PHU_LUC_03A</t>
        </is>
      </c>
      <c r="C68" s="44" t="n">
        <v>22</v>
      </c>
      <c r="D68" s="44" t="inlineStr">
        <is>
          <t>13. Bê tông dầm chủ Super-T L=38.2m mác cao C45/55</t>
        </is>
      </c>
      <c r="E68" s="44" t="inlineStr">
        <is>
          <t>Sửa tham chiếu QS: =QS_DIEN_GIAI_CHI_TIET!J57 → =QS_DIEN_GIAI_CHI_TIET!J62 (dòng cũ trỏ vào dòng diễn giải, không phải dòng hạng mục — đơn giá về 0)</t>
        </is>
      </c>
      <c r="F68" s="44">
        <f>QS_DIEN_GIAI_CHI_TIET!J57</f>
        <v/>
      </c>
      <c r="G68" s="44">
        <f>QS_DIEN_GIAI_CHI_TIET!J62</f>
        <v/>
      </c>
      <c r="H68" s="44" t="inlineStr"/>
      <c r="I68" s="44" t="inlineStr"/>
    </row>
    <row r="69">
      <c r="A69" s="44" t="n">
        <v>66</v>
      </c>
      <c r="B69" s="44" t="inlineStr">
        <is>
          <t>THANH_TOAN_KY_PHU_LUC_03A</t>
        </is>
      </c>
      <c r="C69" s="44" t="n">
        <v>22</v>
      </c>
      <c r="D69" s="44" t="inlineStr">
        <is>
          <t>13. Bê tông dầm chủ Super-T L=38.2m mác cao C45/55</t>
        </is>
      </c>
      <c r="E69" s="44" t="inlineStr">
        <is>
          <t>Tỷ lệ hoàn thành kỳ này (cột H = D × tỷ lệ) chưa có biên bản nghiệm thu kèm theo — soát và ghim. (H = =D22*0.6). Ghi chú cột L 'Đúc xong 9/15 phiến dầm' là số cũ, không cập nhật theo D — soát lại</t>
        </is>
      </c>
      <c r="F69" s="44" t="inlineStr"/>
      <c r="G69" s="44" t="inlineStr"/>
      <c r="H69" s="44" t="inlineStr"/>
      <c r="I69" s="44" t="inlineStr"/>
    </row>
    <row r="70">
      <c r="A70" s="44" t="n">
        <v>67</v>
      </c>
      <c r="B70" s="44" t="inlineStr">
        <is>
          <t>THANH_TOAN_KY_PHU_LUC_03A</t>
        </is>
      </c>
      <c r="C70" s="44" t="n">
        <v>23</v>
      </c>
      <c r="D70" s="44" t="inlineStr">
        <is>
          <t>14. Cáp dự ứng lực tao xoắn 15.2mm Grade 270 kéo căng</t>
        </is>
      </c>
      <c r="E70" s="44" t="inlineStr">
        <is>
          <t>Sửa tham chiếu QS: =QS_DIEN_GIAI_CHI_TIET!J59 → =QS_DIEN_GIAI_CHI_TIET!J64 (dòng cũ trỏ vào dòng diễn giải, không phải dòng hạng mục — đơn giá về 0)</t>
        </is>
      </c>
      <c r="F70" s="44">
        <f>QS_DIEN_GIAI_CHI_TIET!J59</f>
        <v/>
      </c>
      <c r="G70" s="44">
        <f>QS_DIEN_GIAI_CHI_TIET!J64</f>
        <v/>
      </c>
      <c r="H70" s="44" t="inlineStr"/>
      <c r="I70" s="44" t="inlineStr"/>
    </row>
    <row r="71">
      <c r="A71" s="44" t="n">
        <v>68</v>
      </c>
      <c r="B71" s="44" t="inlineStr">
        <is>
          <t>THANH_TOAN_KY_PHU_LUC_03A</t>
        </is>
      </c>
      <c r="C71" s="44" t="n">
        <v>23</v>
      </c>
      <c r="D71" s="44" t="inlineStr">
        <is>
          <t>14. Cáp dự ứng lực tao xoắn 15.2mm Grade 270 kéo căng</t>
        </is>
      </c>
      <c r="E71" s="44" t="inlineStr">
        <is>
          <t>Tỷ lệ hoàn thành kỳ này (cột H = D × tỷ lệ) chưa có biên bản nghiệm thu kèm theo — soát và ghim. (H = =D23*0.6). Ghi chú cột L 'Căng kéo 9 phiến dầm' là số cũ, không cập nhật theo D — soát lại</t>
        </is>
      </c>
      <c r="F71" s="44" t="inlineStr"/>
      <c r="G71" s="44" t="inlineStr"/>
      <c r="H71" s="44" t="inlineStr"/>
      <c r="I71" s="44" t="inlineStr"/>
    </row>
    <row r="72">
      <c r="A72" s="44" t="n">
        <v>69</v>
      </c>
      <c r="B72" s="44" t="inlineStr">
        <is>
          <t>THANH_TOAN_KY_PHU_LUC_03A</t>
        </is>
      </c>
      <c r="C72" s="44" t="n">
        <v>24</v>
      </c>
      <c r="D72" s="44" t="inlineStr">
        <is>
          <t>15. Cốt thép thường dầm chủ Super-T (D10, D14, D16, D20)</t>
        </is>
      </c>
      <c r="E72" s="44" t="inlineStr">
        <is>
          <t>Sửa tham chiếu QS: =QS_DIEN_GIAI_CHI_TIET!J61 → =QS_DIEN_GIAI_CHI_TIET!J66 (dòng cũ trỏ vào dòng diễn giải, không phải dòng hạng mục — đơn giá về 0)</t>
        </is>
      </c>
      <c r="F72" s="44">
        <f>QS_DIEN_GIAI_CHI_TIET!J61</f>
        <v/>
      </c>
      <c r="G72" s="44">
        <f>QS_DIEN_GIAI_CHI_TIET!J66</f>
        <v/>
      </c>
      <c r="H72" s="44" t="inlineStr"/>
      <c r="I72" s="44" t="inlineStr"/>
    </row>
    <row r="73">
      <c r="A73" s="44" t="n">
        <v>70</v>
      </c>
      <c r="B73" s="44" t="inlineStr">
        <is>
          <t>THANH_TOAN_KY_PHU_LUC_03A</t>
        </is>
      </c>
      <c r="C73" s="44" t="n">
        <v>24</v>
      </c>
      <c r="D73" s="44" t="inlineStr">
        <is>
          <t>15. Cốt thép thường dầm chủ Super-T (D10, D14, D16, D20)</t>
        </is>
      </c>
      <c r="E73" s="44" t="inlineStr">
        <is>
          <t>Tỷ lệ hoàn thành kỳ này (cột H = D × tỷ lệ) chưa có biên bản nghiệm thu kèm theo — soát và ghim. (H = =D24*0.6). Ghi chú cột L '9 phiến dầm' là số cũ, không cập nhật theo D — soát lại</t>
        </is>
      </c>
      <c r="F73" s="44" t="inlineStr"/>
      <c r="G73" s="44" t="inlineStr"/>
      <c r="H73" s="44" t="inlineStr"/>
      <c r="I73" s="44" t="inlineStr"/>
    </row>
    <row r="74">
      <c r="A74" s="44" t="n">
        <v>71</v>
      </c>
      <c r="B74" s="44" t="inlineStr">
        <is>
          <t>THANH_TOAN_KY_PHU_LUC_03A</t>
        </is>
      </c>
      <c r="C74" s="44" t="n">
        <v>25</v>
      </c>
      <c r="D74" s="44" t="inlineStr">
        <is>
          <t>16. Vận chuyển và lao lắp 15 phiến dầm Super-T (chưa thi công)</t>
        </is>
      </c>
      <c r="E74" s="44" t="inlineStr">
        <is>
          <t>Sửa tham chiếu QS: =QS_DIEN_GIAI_CHI_TIET!J63 → =QS_DIEN_GIAI_CHI_TIET!J68 (dòng cũ trỏ vào dòng diễn giải, không phải dòng hạng mục — đơn giá về 0)</t>
        </is>
      </c>
      <c r="F74" s="44">
        <f>QS_DIEN_GIAI_CHI_TIET!J63</f>
        <v/>
      </c>
      <c r="G74" s="44">
        <f>QS_DIEN_GIAI_CHI_TIET!J68</f>
        <v/>
      </c>
      <c r="H74" s="44" t="inlineStr"/>
      <c r="I74" s="44" t="inlineStr"/>
    </row>
    <row r="75">
      <c r="A75" s="44" t="n">
        <v>72</v>
      </c>
      <c r="B75" s="44" t="inlineStr">
        <is>
          <t>THANH_TOAN_KY_PHU_LUC_03A</t>
        </is>
      </c>
      <c r="C75" s="44" t="n">
        <v>25</v>
      </c>
      <c r="D75" s="44" t="inlineStr">
        <is>
          <t>16. Vận chuyển và lao lắp 15 phiến dầm Super-T (chưa thi công)</t>
        </is>
      </c>
      <c r="E75" s="44" t="inlineStr">
        <is>
          <t>Tỷ lệ hoàn thành kỳ này (cột H = D × tỷ lệ) chưa có biên bản nghiệm thu kèm theo — soát và ghim. (H = =D25*0.0)</t>
        </is>
      </c>
      <c r="F75" s="44" t="inlineStr"/>
      <c r="G75" s="44" t="inlineStr"/>
      <c r="H75" s="44" t="inlineStr"/>
      <c r="I75" s="44" t="inlineStr"/>
    </row>
    <row r="76">
      <c r="A76" s="44" t="n">
        <v>73</v>
      </c>
      <c r="B76" s="44" t="inlineStr">
        <is>
          <t>THANH_TOAN_KY_PHU_LUC_03A</t>
        </is>
      </c>
      <c r="C76" s="44" t="n">
        <v>26</v>
      </c>
      <c r="D76" s="44" t="inlineStr">
        <is>
          <t>17. Gối chậu cao su di động đơn hướng và song hướng</t>
        </is>
      </c>
      <c r="E76" s="44" t="inlineStr">
        <is>
          <t>Sửa tham chiếu QS: =QS_DIEN_GIAI_CHI_TIET!J65 → =QS_DIEN_GIAI_CHI_TIET!J70 (dòng cũ trỏ vào dòng diễn giải, không phải dòng hạng mục — đơn giá về 0)</t>
        </is>
      </c>
      <c r="F76" s="44">
        <f>QS_DIEN_GIAI_CHI_TIET!J65</f>
        <v/>
      </c>
      <c r="G76" s="44">
        <f>QS_DIEN_GIAI_CHI_TIET!J70</f>
        <v/>
      </c>
      <c r="H76" s="44" t="inlineStr"/>
      <c r="I76" s="44" t="inlineStr"/>
    </row>
    <row r="77">
      <c r="A77" s="44" t="n">
        <v>74</v>
      </c>
      <c r="B77" s="44" t="inlineStr">
        <is>
          <t>THANH_TOAN_KY_PHU_LUC_03A</t>
        </is>
      </c>
      <c r="C77" s="44" t="n">
        <v>26</v>
      </c>
      <c r="D77" s="44" t="inlineStr">
        <is>
          <t>17. Gối chậu cao su di động đơn hướng và song hướng</t>
        </is>
      </c>
      <c r="E77" s="44" t="inlineStr">
        <is>
          <t>Tỷ lệ hoàn thành kỳ này (cột H = D × tỷ lệ) chưa có biên bản nghiệm thu kèm theo — soát và ghim. (H = =D26*0.0)</t>
        </is>
      </c>
      <c r="F77" s="44" t="inlineStr"/>
      <c r="G77" s="44" t="inlineStr"/>
      <c r="H77" s="44" t="inlineStr"/>
      <c r="I77" s="44" t="inlineStr"/>
    </row>
    <row r="78">
      <c r="A78" s="44" t="n">
        <v>75</v>
      </c>
      <c r="B78" s="44" t="inlineStr">
        <is>
          <t>THANH_TOAN_KY_PHU_LUC_03A</t>
        </is>
      </c>
      <c r="C78" s="44" t="n">
        <v>27</v>
      </c>
      <c r="D78" s="44" t="inlineStr">
        <is>
          <t>18. Bản mặt cầu C35 và mối nối liên tục nhiệt</t>
        </is>
      </c>
      <c r="E78" s="44" t="inlineStr">
        <is>
          <t>Sửa tham chiếu QS: =QS_DIEN_GIAI_CHI_TIET!J74 → =QS_DIEN_GIAI_CHI_TIET!J77+QS_DIEN_GIAI_CHI_TIET!J79 (dòng cũ trỏ vào dòng diễn giải, không phải dòng hạng mục — đơn giá về 0)</t>
        </is>
      </c>
      <c r="F78" s="44">
        <f>QS_DIEN_GIAI_CHI_TIET!J74</f>
        <v/>
      </c>
      <c r="G78" s="44">
        <f>QS_DIEN_GIAI_CHI_TIET!J77+QS_DIEN_GIAI_CHI_TIET!J79</f>
        <v/>
      </c>
      <c r="H78" s="44" t="inlineStr"/>
      <c r="I78" s="44" t="inlineStr"/>
    </row>
    <row r="79">
      <c r="A79" s="44" t="n">
        <v>76</v>
      </c>
      <c r="B79" s="44" t="inlineStr">
        <is>
          <t>THANH_TOAN_KY_PHU_LUC_03A</t>
        </is>
      </c>
      <c r="C79" s="44" t="n">
        <v>27</v>
      </c>
      <c r="D79" s="44" t="inlineStr">
        <is>
          <t>18. Bản mặt cầu C35 và mối nối liên tục nhiệt</t>
        </is>
      </c>
      <c r="E79" s="44" t="inlineStr">
        <is>
          <t>Gộp bản mặt cầu (QS dòng 77) và liên tục nhiệt (QS dòng 79); đơn giá = bình quân gia quyền theo thành tiền 2 dòng.</t>
        </is>
      </c>
      <c r="F79" s="44" t="inlineStr"/>
      <c r="G79" s="44" t="inlineStr"/>
      <c r="H79" s="44" t="inlineStr"/>
      <c r="I79" s="44" t="inlineStr"/>
    </row>
    <row r="80">
      <c r="A80" s="44" t="n">
        <v>77</v>
      </c>
      <c r="B80" s="44" t="inlineStr">
        <is>
          <t>THANH_TOAN_KY_PHU_LUC_03A</t>
        </is>
      </c>
      <c r="C80" s="44" t="n">
        <v>27</v>
      </c>
      <c r="D80" s="44" t="inlineStr">
        <is>
          <t>18. Bản mặt cầu C35 và mối nối liên tục nhiệt</t>
        </is>
      </c>
      <c r="E80" s="44" t="inlineStr">
        <is>
          <t>Tỷ lệ hoàn thành kỳ này (cột H = D × tỷ lệ) chưa có biên bản nghiệm thu kèm theo — soát và ghim. (H = =D27*0.0)</t>
        </is>
      </c>
      <c r="F80" s="44" t="inlineStr"/>
      <c r="G80" s="44" t="inlineStr"/>
      <c r="H80" s="44" t="inlineStr"/>
      <c r="I80" s="44" t="inlineStr"/>
    </row>
    <row r="81">
      <c r="A81" s="44" t="n">
        <v>78</v>
      </c>
      <c r="B81" s="44" t="inlineStr">
        <is>
          <t>THANH_TOAN_KY_PHU_LUC_03A</t>
        </is>
      </c>
      <c r="C81" s="44" t="n">
        <v>28</v>
      </c>
      <c r="D81" s="44" t="inlineStr">
        <is>
          <t>TỔNG CỘNG CHI PHÍ XÂY LẮP (VNĐ). None</t>
        </is>
      </c>
      <c r="E81" s="44" t="inlineStr">
        <is>
          <t>Chưa có trong 03a: bê tông tường đỉnh/tường cánh mố, xà mũ trụ, dầm ngang, bản quá độ và các hạng mục hoàn thiện (QS dòng 47, 53, 73, 86...) — kiểm tra phạm vi hợp đồng.</t>
        </is>
      </c>
      <c r="F81" s="44" t="inlineStr"/>
      <c r="G81" s="44" t="inlineStr"/>
      <c r="H81" s="44" t="inlineStr"/>
      <c r="I81" s="4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2026-10-07T04:47:26Z</dcterms:created>
  <dcterms:modified xmlns:dcterms="http://purl.org/dc/terms/" xmlns:xsi="http://www.w3.org/2001/XMLSchema-instance" xsi:type="dcterms:W3CDTF">2026-10-11T13:53:34Z</dcterms:modified>
</cp:coreProperties>
</file>