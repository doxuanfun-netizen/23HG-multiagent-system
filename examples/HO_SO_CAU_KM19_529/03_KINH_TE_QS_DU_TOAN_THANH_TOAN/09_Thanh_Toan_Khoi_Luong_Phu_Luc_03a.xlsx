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</v>
      </c>
      <c r="J18" s="41">
        <f>E18*F18*G18*H18*I18</f>
        <v/>
      </c>
      <c r="K18" s="26" t="n"/>
      <c r="L18" s="26" t="n"/>
      <c r="M18" s="35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</v>
      </c>
      <c r="J19" s="41">
        <f>E19*F19*G19*H19*I19</f>
        <v/>
      </c>
      <c r="K19" s="26" t="n"/>
      <c r="L19" s="26" t="n"/>
      <c r="M19" s="35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</v>
      </c>
      <c r="J20" s="41">
        <f>E20*F20*G20*H20*I20</f>
        <v/>
      </c>
      <c r="K20" s="26" t="n"/>
      <c r="L20" s="26" t="n"/>
      <c r="M20" s="35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</v>
      </c>
      <c r="J21" s="41">
        <f>E21*F21*G21*H21*I21</f>
        <v/>
      </c>
      <c r="K21" s="26" t="n"/>
      <c r="L21" s="26" t="n"/>
      <c r="M21" s="35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cọc, bản vẽ tr.64 tấn/cọc)</t>
        </is>
      </c>
      <c r="D23" s="28" t="inlineStr">
        <is>
          <t>Tấn</t>
        </is>
      </c>
      <c r="E23" s="36" t="n">
        <v>3</v>
      </c>
      <c r="F23" s="36" t="n">
        <v>2.50753</v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7,523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cọc, bản vẽ tr.68 tấn/cọc)</t>
        </is>
      </c>
      <c r="D24" s="28" t="inlineStr">
        <is>
          <t>Tấn</t>
        </is>
      </c>
      <c r="E24" s="36" t="n">
        <v>8</v>
      </c>
      <c r="F24" s="36" t="n">
        <v>4.82866</v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M24" s="35" t="inlineStr">
        <is>
          <t>Theo bản vẽ: 38,760 → 38,629</t>
        </is>
      </c>
      <c r="N24" t="n">
        <v>38.76</v>
      </c>
    </row>
    <row r="25" ht="19" customHeight="1">
      <c r="A25" s="26" t="n"/>
      <c r="B25" s="26" t="n"/>
      <c r="C25" s="27" t="inlineStr">
        <is>
          <t>- Cốt thép cọc trụ T2 (8 cọc, bản vẽ tr.70 tấn/cọc)</t>
        </is>
      </c>
      <c r="D25" s="28" t="inlineStr">
        <is>
          <t>Tấn</t>
        </is>
      </c>
      <c r="E25" s="36" t="n">
        <v>8</v>
      </c>
      <c r="F25" s="36" t="n">
        <v>3.67107</v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M25" s="35" t="inlineStr">
        <is>
          <t>Theo bản vẽ: 29,496 → 29,369</t>
        </is>
      </c>
      <c r="N25" t="n">
        <v>29.496</v>
      </c>
    </row>
    <row r="26" ht="19" customHeight="1">
      <c r="A26" s="26" t="n"/>
      <c r="B26" s="26" t="n"/>
      <c r="C26" s="27" t="inlineStr">
        <is>
          <t>- Cốt thép cọc mố M2 (7 cọc, bản vẽ tr.66 tấn/cọc)</t>
        </is>
      </c>
      <c r="D26" s="28" t="inlineStr">
        <is>
          <t>Tấn</t>
        </is>
      </c>
      <c r="E26" s="36" t="n">
        <v>7</v>
      </c>
      <c r="F26" s="36" t="n">
        <v>4.70588</v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 (bản vẽ tr.40)</t>
        </is>
      </c>
      <c r="D58" s="28" t="inlineStr">
        <is>
          <t>Tấn</t>
        </is>
      </c>
      <c r="E58" s="36" t="n">
        <v>1</v>
      </c>
      <c r="F58" s="36" t="n">
        <v>19.64873</v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19,649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16.1778+32.5585+13.0131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16.1778+35.1868+13.0131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3 × S1B1 (tr.88) + 3 × S1B2 (tr.91) + 9 × S1G (tr.94)</t>
        </is>
      </c>
      <c r="D67" s="28" t="inlineStr">
        <is>
          <t>Tấn</t>
        </is>
      </c>
      <c r="E67" s="36" t="n">
        <v>1</v>
      </c>
      <c r="F67" s="36">
        <f>3*6.07125+3*6.06528+9*5.92008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4" t="inlineStr">
        <is>
          <t>76,002</t>
        </is>
      </c>
      <c r="G8" s="44" t="inlineStr">
        <is>
          <t>70,740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367,040. Bỏ hệ số nở thành 3,5186 — lấy thể tích thiết kế tr.68.</t>
        </is>
      </c>
      <c r="F9" s="44" t="inlineStr">
        <is>
          <t>405,343</t>
        </is>
      </c>
      <c r="G9" s="44" t="inlineStr">
        <is>
          <t>367,040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277,840. Bỏ hệ số nở thành 3,5186 — lấy thể tích thiết kế tr.70.</t>
        </is>
      </c>
      <c r="F10" s="44" t="inlineStr">
        <is>
          <t>304,007</t>
        </is>
      </c>
      <c r="G10" s="44" t="inlineStr">
        <is>
          <t>277,840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290,920. Bỏ hệ số nở thành 3,5186 — lấy thể tích thiết kế tr.66.</t>
        </is>
      </c>
      <c r="F11" s="44" t="inlineStr">
        <is>
          <t>319,207</t>
        </is>
      </c>
      <c r="G11" s="44" t="inlineStr">
        <is>
          <t>290,920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7,523</t>
        </is>
      </c>
      <c r="F12" s="44" t="inlineStr">
        <is>
          <t>17,667</t>
        </is>
      </c>
      <c r="G12" s="44" t="inlineStr">
        <is>
          <t>7,523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24</v>
      </c>
      <c r="D13" s="44" t="inlineStr">
        <is>
          <t>4. Cốt thép cọc khoan nhồi D1200mm (Thép chủ D25, đai D16, D10)</t>
        </is>
      </c>
      <c r="E13" s="44" t="inlineStr">
        <is>
          <t>Theo bản vẽ: 38,760 → 38,629</t>
        </is>
      </c>
      <c r="F13" s="44" t="inlineStr">
        <is>
          <t>38,760</t>
        </is>
      </c>
      <c r="G13" s="44" t="inlineStr">
        <is>
          <t>38,629</t>
        </is>
      </c>
      <c r="H13" s="44" t="inlineStr">
        <is>
          <t>tr.68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25</v>
      </c>
      <c r="D14" s="44" t="inlineStr">
        <is>
          <t>4. Cốt thép cọc khoan nhồi D1200mm (Thép chủ D25, đai D16, D10)</t>
        </is>
      </c>
      <c r="E14" s="44" t="inlineStr">
        <is>
          <t>Theo bản vẽ: 29,496 → 29,369</t>
        </is>
      </c>
      <c r="F14" s="44" t="inlineStr">
        <is>
          <t>29,496</t>
        </is>
      </c>
      <c r="G14" s="44" t="inlineStr">
        <is>
          <t>29,369</t>
        </is>
      </c>
      <c r="H14" s="44" t="inlineStr">
        <is>
          <t>tr.70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26</v>
      </c>
      <c r="D15" s="44" t="inlineStr">
        <is>
          <t>4. Cốt thép cọc khoan nhồi D1200mm (Thép chủ D25, đai D16, D10)</t>
        </is>
      </c>
      <c r="E15" s="44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4" t="inlineStr">
        <is>
          <t>33,047</t>
        </is>
      </c>
      <c r="G15" s="44" t="inlineStr">
        <is>
          <t>32,941</t>
        </is>
      </c>
      <c r="H15" s="44" t="inlineStr">
        <is>
          <t>tr.66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28</v>
      </c>
      <c r="D16" s="44" t="inlineStr">
        <is>
          <t>5. Đập đầu cọc khoan nhồi nhô lên đáy bệ ngàm vào kết cấu</t>
        </is>
      </c>
      <c r="E16" s="44" t="inlineStr">
        <is>
          <t>Theo bản vẽ: 29,405 → 30,360</t>
        </is>
      </c>
      <c r="F16" s="44" t="inlineStr">
        <is>
          <t>29,405</t>
        </is>
      </c>
      <c r="G16" s="44" t="inlineStr">
        <is>
          <t>30,360</t>
        </is>
      </c>
      <c r="H16" s="44" t="inlineStr">
        <is>
          <t>tr.64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35</v>
      </c>
      <c r="D17" s="44" t="inlineStr">
        <is>
          <t>8. Bê tông lót đáy bệ móng mác C10 dày 10cm</t>
        </is>
      </c>
      <c r="E17" s="44" t="inlineStr">
        <is>
          <t>Theo bản vẽ: 7,500 → 2,460</t>
        </is>
      </c>
      <c r="F17" s="44" t="inlineStr">
        <is>
          <t>7,500</t>
        </is>
      </c>
      <c r="G17" s="44" t="inlineStr">
        <is>
          <t>2,460</t>
        </is>
      </c>
      <c r="H17" s="44" t="inlineStr">
        <is>
          <t>tr.31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36</v>
      </c>
      <c r="D18" s="44" t="inlineStr">
        <is>
          <t>8. Bê tông lót đáy bệ móng mác C10 dày 10cm</t>
        </is>
      </c>
      <c r="E18" s="44" t="inlineStr">
        <is>
          <t>Theo bản vẽ: 9,100 → 7,090</t>
        </is>
      </c>
      <c r="F18" s="44" t="inlineStr">
        <is>
          <t>9,100</t>
        </is>
      </c>
      <c r="G18" s="44" t="inlineStr">
        <is>
          <t>7,090</t>
        </is>
      </c>
      <c r="H18" s="44" t="inlineStr">
        <is>
          <t>tr.40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37</v>
      </c>
      <c r="D19" s="44" t="inlineStr">
        <is>
          <t>8. Bê tông lót đáy bệ móng mác C10 dày 10cm</t>
        </is>
      </c>
      <c r="E19" s="44" t="inlineStr">
        <is>
          <t>Theo bản vẽ: 8,450 → 8,770</t>
        </is>
      </c>
      <c r="F19" s="44" t="inlineStr">
        <is>
          <t>8,450</t>
        </is>
      </c>
      <c r="G19" s="44" t="inlineStr">
        <is>
          <t>8,770</t>
        </is>
      </c>
      <c r="H19" s="44" t="inlineStr">
        <is>
          <t>tr.44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38</v>
      </c>
      <c r="D20" s="44" t="inlineStr">
        <is>
          <t>8. Bê tông lót đáy bệ móng mác C10 dày 10cm</t>
        </is>
      </c>
      <c r="E20" s="44" t="inlineStr">
        <is>
          <t>Theo bản vẽ: 8,450 → 8,770</t>
        </is>
      </c>
      <c r="F20" s="44" t="inlineStr">
        <is>
          <t>8,450</t>
        </is>
      </c>
      <c r="G20" s="44" t="inlineStr">
        <is>
          <t>8,770</t>
        </is>
      </c>
      <c r="H20" s="44" t="inlineStr">
        <is>
          <t>tr.55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40</v>
      </c>
      <c r="D21" s="44" t="inlineStr">
        <is>
          <t>9. Bê tông bệ móng mố M1, M2 và bệ trụ T1, T2 mác C30</t>
        </is>
      </c>
      <c r="E21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4" t="inlineStr">
        <is>
          <t>148,988</t>
        </is>
      </c>
      <c r="G21" s="44" t="inlineStr">
        <is>
          <t>148,992</t>
        </is>
      </c>
      <c r="H21" s="44" t="inlineStr">
        <is>
          <t>tr.175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41</v>
      </c>
      <c r="D22" s="44" t="inlineStr">
        <is>
          <t>9. Bê tông bệ móng mố M1, M2 và bệ trụ T1, T2 mác C30</t>
        </is>
      </c>
      <c r="E22" s="44" t="inlineStr">
        <is>
          <t>Theo bản vẽ: 148,990 → 0,000</t>
        </is>
      </c>
      <c r="F22" s="44" t="inlineStr">
        <is>
          <t>148,990</t>
        </is>
      </c>
      <c r="G22" s="44" t="inlineStr">
        <is>
          <t>0,000</t>
        </is>
      </c>
      <c r="H22" s="44" t="inlineStr">
        <is>
          <t>tr.175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42</v>
      </c>
      <c r="D23" s="44" t="inlineStr">
        <is>
          <t>9. Bê tông bệ móng mố M1, M2 và bệ trụ T1, T2 mác C30</t>
        </is>
      </c>
      <c r="E23" s="44" t="inlineStr">
        <is>
          <t>Theo bản vẽ: 184,500 → 184,240</t>
        </is>
      </c>
      <c r="F23" s="44" t="inlineStr">
        <is>
          <t>184,500</t>
        </is>
      </c>
      <c r="G23" s="44" t="inlineStr">
        <is>
          <t>184,240</t>
        </is>
      </c>
      <c r="H23" s="44" t="inlineStr">
        <is>
          <t>tr.44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43</v>
      </c>
      <c r="D24" s="44" t="inlineStr">
        <is>
          <t>9. Bê tông bệ móng mố M1, M2 và bệ trụ T1, T2 mác C30</t>
        </is>
      </c>
      <c r="E24" s="44" t="inlineStr">
        <is>
          <t>Theo bản vẽ: 184,500 → 184,240</t>
        </is>
      </c>
      <c r="F24" s="44" t="inlineStr">
        <is>
          <t>184,500</t>
        </is>
      </c>
      <c r="G24" s="44" t="inlineStr">
        <is>
          <t>184,240</t>
        </is>
      </c>
      <c r="H24" s="44" t="inlineStr">
        <is>
          <t>tr.55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45</v>
      </c>
      <c r="D25" s="44" t="inlineStr">
        <is>
          <t>10. Bê tông thân mố chân dê M1 và mố chữ U M2 mác C30</t>
        </is>
      </c>
      <c r="E25" s="44" t="inlineStr">
        <is>
          <t>Theo bản vẽ: 84,600 → 168,871. Bản vẽ ghi tường thân gộp 2 mố (tr.175) — dòng M2 bên dưới để 0.</t>
        </is>
      </c>
      <c r="F25" s="44" t="inlineStr">
        <is>
          <t>84,600</t>
        </is>
      </c>
      <c r="G25" s="44" t="inlineStr">
        <is>
          <t>168,871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46</v>
      </c>
      <c r="D26" s="44" t="inlineStr">
        <is>
          <t>10. Bê tông thân mố chân dê M1 và mố chữ U M2 mác C30</t>
        </is>
      </c>
      <c r="E26" s="44" t="inlineStr">
        <is>
          <t>Theo bản vẽ: 84,600 → 0,000</t>
        </is>
      </c>
      <c r="F26" s="44" t="inlineStr">
        <is>
          <t>84,600</t>
        </is>
      </c>
      <c r="G26" s="44" t="inlineStr">
        <is>
          <t>0,000</t>
        </is>
      </c>
      <c r="H26" s="44" t="inlineStr">
        <is>
          <t>tr.175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49</v>
      </c>
      <c r="D27" s="44" t="inlineStr">
        <is>
          <t>11. Bê tông tường cánh và tường đỉnh mố M1, M2 mác C30</t>
        </is>
      </c>
      <c r="E27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4" t="inlineStr">
        <is>
          <t>20,256</t>
        </is>
      </c>
      <c r="G27" s="44" t="inlineStr">
        <is>
          <t>29,842</t>
        </is>
      </c>
      <c r="H27" s="44" t="inlineStr">
        <is>
          <t>tr.175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51</v>
      </c>
      <c r="D28" s="44" t="inlineStr">
        <is>
          <t>12. Bê tông thân đặc trụ T1 và T2 mác C30</t>
        </is>
      </c>
      <c r="E28" s="44" t="inlineStr">
        <is>
          <t>Theo bản vẽ: 281,336 → 234,920. Dự toán cũ ghi H = 14,5 m; cao độ trên bản vẽ cho thân trụ T1 cao khoảng 23,35 m. Đã lấy thể tích bản vẽ.</t>
        </is>
      </c>
      <c r="F28" s="44" t="inlineStr">
        <is>
          <t>281,336</t>
        </is>
      </c>
      <c r="G28" s="44" t="inlineStr">
        <is>
          <t>234,920</t>
        </is>
      </c>
      <c r="H28" s="44" t="inlineStr">
        <is>
          <t>tr.48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52</v>
      </c>
      <c r="D29" s="44" t="inlineStr">
        <is>
          <t>12. Bê tông thân đặc trụ T1 và T2 mác C30</t>
        </is>
      </c>
      <c r="E29" s="44" t="inlineStr">
        <is>
          <t>Theo bản vẽ: 221,189 → 266,790. Dự toán cũ ghi H = 11,4 m; cao độ trên bản vẽ cho thân trụ T2 cao khoảng 25,45 m. Đã lấy thể tích bản vẽ.</t>
        </is>
      </c>
      <c r="F29" s="44" t="inlineStr">
        <is>
          <t>221,189</t>
        </is>
      </c>
      <c r="G29" s="44" t="inlineStr">
        <is>
          <t>266,790</t>
        </is>
      </c>
      <c r="H29" s="44" t="inlineStr">
        <is>
          <t>tr.59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54</v>
      </c>
      <c r="D30" s="44" t="inlineStr">
        <is>
          <t>13. Bê tông xà mũ trụ T1, T2 mác C30</t>
        </is>
      </c>
      <c r="E30" s="44" t="inlineStr">
        <is>
          <t>Theo bản vẽ: 73,062 → 72,510</t>
        </is>
      </c>
      <c r="F30" s="44" t="inlineStr">
        <is>
          <t>73,062</t>
        </is>
      </c>
      <c r="G30" s="44" t="inlineStr">
        <is>
          <t>72,510</t>
        </is>
      </c>
      <c r="H30" s="44" t="inlineStr">
        <is>
          <t>tr.51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55</v>
      </c>
      <c r="D31" s="44" t="inlineStr">
        <is>
          <t>13. Bê tông xà mũ trụ T1, T2 mác C30</t>
        </is>
      </c>
      <c r="E31" s="44" t="inlineStr">
        <is>
          <t>Theo bản vẽ: 73,062 → 72,510</t>
        </is>
      </c>
      <c r="F31" s="44" t="inlineStr">
        <is>
          <t>73,062</t>
        </is>
      </c>
      <c r="G31" s="44" t="inlineStr">
        <is>
          <t>72,510</t>
        </is>
      </c>
      <c r="H31" s="44" t="inlineStr">
        <is>
          <t>tr.62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57</v>
      </c>
      <c r="D32" s="44" t="inlineStr">
        <is>
          <t>14. Cốt thép mố và trụ (D&lt;=10, 10&lt;D&lt;=18, D&gt;18)</t>
        </is>
      </c>
      <c r="E32" s="44" t="inlineStr">
        <is>
          <t>Theo bản vẽ: 23,450 → 7,959</t>
        </is>
      </c>
      <c r="F32" s="44" t="inlineStr">
        <is>
          <t>23,450</t>
        </is>
      </c>
      <c r="G32" s="44" t="inlineStr">
        <is>
          <t>7,959</t>
        </is>
      </c>
      <c r="H32" s="44" t="inlineStr">
        <is>
          <t>tr.31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58</v>
      </c>
      <c r="D33" s="44" t="inlineStr">
        <is>
          <t>14. Cốt thép mố và trụ (D&lt;=10, 10&lt;D&lt;=18, D&gt;18)</t>
        </is>
      </c>
      <c r="E33" s="44" t="inlineStr">
        <is>
          <t>Theo bản vẽ: 31,850 → 19,649</t>
        </is>
      </c>
      <c r="F33" s="44" t="inlineStr">
        <is>
          <t>31,850</t>
        </is>
      </c>
      <c r="G33" s="44" t="inlineStr">
        <is>
          <t>19,649</t>
        </is>
      </c>
      <c r="H33" s="44" t="inlineStr">
        <is>
          <t>tr.40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59</v>
      </c>
      <c r="D34" s="44" t="inlineStr">
        <is>
          <t>14. Cốt thép mố và trụ (D&lt;=10, 10&lt;D&lt;=18, D&gt;18)</t>
        </is>
      </c>
      <c r="E34" s="44" t="inlineStr">
        <is>
          <t>Theo bản vẽ: 38,600 → 61,749</t>
        </is>
      </c>
      <c r="F34" s="44" t="inlineStr">
        <is>
          <t>38,600</t>
        </is>
      </c>
      <c r="G34" s="44" t="inlineStr">
        <is>
          <t>61,749</t>
        </is>
      </c>
      <c r="H34" s="44" t="inlineStr">
        <is>
          <t>tr.44, tr.48, tr.51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60</v>
      </c>
      <c r="D35" s="44" t="inlineStr">
        <is>
          <t>14. Cốt thép mố và trụ (D&lt;=10, 10&lt;D&lt;=18, D&gt;18)</t>
        </is>
      </c>
      <c r="E35" s="44" t="inlineStr">
        <is>
          <t>Theo bản vẽ: 34,200 → 64,378</t>
        </is>
      </c>
      <c r="F35" s="44" t="inlineStr">
        <is>
          <t>34,200</t>
        </is>
      </c>
      <c r="G35" s="44" t="inlineStr">
        <is>
          <t>64,378</t>
        </is>
      </c>
      <c r="H35" s="44" t="inlineStr">
        <is>
          <t>tr.55, tr.59, tr.62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65</v>
      </c>
      <c r="D36" s="44" t="inlineStr">
        <is>
          <t>16. Cáp dự ứng lực tao xoắn 15.2mm Grade 270 kéo căng trước/sau</t>
        </is>
      </c>
      <c r="E36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4" t="inlineStr">
        <is>
          <t>29,910</t>
        </is>
      </c>
      <c r="G36" s="44" t="inlineStr">
        <is>
          <t>29,911</t>
        </is>
      </c>
      <c r="H36" s="44" t="inlineStr">
        <is>
          <t>tr.175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67</v>
      </c>
      <c r="D37" s="44" t="inlineStr">
        <is>
          <t>17. Cốt thép thường dầm chủ Super-T (D10, D14, D16, D20)</t>
        </is>
      </c>
      <c r="E37" s="44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4" t="inlineStr">
        <is>
          <t>90,630</t>
        </is>
      </c>
      <c r="G37" s="44" t="inlineStr">
        <is>
          <t>89,690</t>
        </is>
      </c>
      <c r="H37" s="44" t="inlineStr">
        <is>
          <t>tr.88, tr.91, tr.94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74</v>
      </c>
      <c r="D38" s="44" t="inlineStr">
        <is>
          <t>20. Bê tông dầm ngang mố và trụ mác C35</t>
        </is>
      </c>
      <c r="E38" s="44" t="inlineStr">
        <is>
          <t>Theo bản vẽ: 39,852 → 19,380. Dự toán cũ: 4 dầm 12,3 × 0,45 × 1,8 m. Bản vẽ tr.96 và tr.175 ghi 19,38 m³.</t>
        </is>
      </c>
      <c r="F38" s="44" t="inlineStr">
        <is>
          <t>39,852</t>
        </is>
      </c>
      <c r="G38" s="44" t="inlineStr">
        <is>
          <t>19,380</t>
        </is>
      </c>
      <c r="H38" s="44" t="inlineStr">
        <is>
          <t>tr.96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80</v>
      </c>
      <c r="D39" s="44" t="inlineStr">
        <is>
          <t>23. Bê tông mối nối liên tục nhiệt đỉnh trụ T1, T2 mác C35</t>
        </is>
      </c>
      <c r="E39" s="44" t="inlineStr">
        <is>
          <t>Theo bản vẽ: 21,799 → 21,868</t>
        </is>
      </c>
      <c r="F39" s="44" t="inlineStr">
        <is>
          <t>21,799</t>
        </is>
      </c>
      <c r="G39" s="44" t="inlineStr">
        <is>
          <t>21,868</t>
        </is>
      </c>
      <c r="H39" s="44" t="inlineStr">
        <is>
          <t>tr.175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82</v>
      </c>
      <c r="D40" s="44" t="inlineStr">
        <is>
          <t>24. Cốt thép bản mặt cầu và mối nối liên tục nhiệt (D14, D16)</t>
        </is>
      </c>
      <c r="E40" s="44" t="inlineStr">
        <is>
          <t>Theo bản vẽ: 33,070 → 85,595. Dự toán cũ 33,07 t. Bản vẽ tr.175: 85,595 t (khớp tr.112: 2 × 25.691,33 + 25.293,79 + 2 × 4.458,97 kg).</t>
        </is>
      </c>
      <c r="F40" s="44" t="inlineStr">
        <is>
          <t>33,070</t>
        </is>
      </c>
      <c r="G40" s="44" t="inlineStr">
        <is>
          <t>85,595</t>
        </is>
      </c>
      <c r="H40" s="44" t="inlineStr">
        <is>
          <t>tr.175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87</v>
      </c>
      <c r="D41" s="44" t="inlineStr">
        <is>
          <t>26. Bê tông bản quá độ sau mố M1, M2 mác C25</t>
        </is>
      </c>
      <c r="E41" s="44" t="inlineStr">
        <is>
          <t>Theo bản vẽ: 33,691 → 29,100</t>
        </is>
      </c>
      <c r="F41" s="44" t="inlineStr">
        <is>
          <t>33,691</t>
        </is>
      </c>
      <c r="G41" s="44" t="inlineStr">
        <is>
          <t>29,100</t>
        </is>
      </c>
      <c r="H41" s="44" t="inlineStr">
        <is>
          <t>tr.126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88</v>
      </c>
      <c r="D42" s="44" t="inlineStr">
        <is>
          <t>26. Bê tông bản quá độ sau mố M1, M2 mác C25</t>
        </is>
      </c>
      <c r="E42" s="44" t="inlineStr">
        <is>
          <t>Theo bản vẽ: 33,691 → 38,280</t>
        </is>
      </c>
      <c r="F42" s="44" t="inlineStr">
        <is>
          <t>33,691</t>
        </is>
      </c>
      <c r="G42" s="44" t="inlineStr">
        <is>
          <t>38,280</t>
        </is>
      </c>
      <c r="H42" s="44" t="inlineStr">
        <is>
          <t>tr.128</t>
        </is>
      </c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90</v>
      </c>
      <c r="D43" s="44" t="inlineStr">
        <is>
          <t>27. Đắp vật liệu dạng hạt chọn lọc sau mố đầm chặt K &gt;= 0.98</t>
        </is>
      </c>
      <c r="E43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4" t="inlineStr">
        <is>
          <t>1.012,500</t>
        </is>
      </c>
      <c r="G43" s="44" t="inlineStr">
        <is>
          <t>1.012,955</t>
        </is>
      </c>
      <c r="H43" s="44" t="inlineStr">
        <is>
          <t>tr.175</t>
        </is>
      </c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33</v>
      </c>
      <c r="D44" s="44" t="inlineStr">
        <is>
          <t>7. Đào đất đá hố móng bệ mố M1, M2 và bệ trụ T1, T2 (Link Sheet Đào Đắp)</t>
        </is>
      </c>
      <c r="E44" s="44" t="inlineStr">
        <is>
          <t>Khối lượng đào lấy từ sheet đào đắp (6.245 m³) — chưa đối chiếu bản vẽ.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QS_DIEN_GIAI_CHI_TIET</t>
        </is>
      </c>
      <c r="C45" s="44" t="n">
        <v>92</v>
      </c>
      <c r="D45" s="44" t="inlineStr">
        <is>
          <t>28. Bê tông gờ lan can mác C25 và lắp tay vịn thép mạ kẽm</t>
        </is>
      </c>
      <c r="E45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QS_DIEN_GIAI_CHI_TIET</t>
        </is>
      </c>
      <c r="C46" s="44" t="n">
        <v>98</v>
      </c>
      <c r="D46" s="44" t="inlineStr">
        <is>
          <t>31. Gia cố mái taluy tứ nón mố bằng đá hộc xây vữa VXM M100</t>
        </is>
      </c>
      <c r="E46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4" t="inlineStr"/>
      <c r="G46" s="44" t="inlineStr"/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8</v>
      </c>
      <c r="D47" s="44" t="inlineStr">
        <is>
          <t>1. Khoan tạo lỗ cọc khoan nhồi D1200mm vào đất và đá gốc (26 cọc)</t>
        </is>
      </c>
      <c r="E47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9</v>
      </c>
      <c r="D48" s="44" t="inlineStr">
        <is>
          <t>2. Hạ và nhổ ống vách thép dẫn hướng D1300mm d=8mm</t>
        </is>
      </c>
      <c r="E48" s="44" t="inlineStr">
        <is>
          <t>Sửa tham chiếu QS: =QS_DIEN_GIAI_CHI_TIET!J13 → =QS_DIEN_GIAI_CHI_TIET!J12 (dòng cũ trỏ vào dòng diễn giải, không phải dòng hạng mục — đơn giá về 0)</t>
        </is>
      </c>
      <c r="F48" s="44">
        <f>QS_DIEN_GIAI_CHI_TIET!J13</f>
        <v/>
      </c>
      <c r="G48" s="44">
        <f>QS_DIEN_GIAI_CHI_TIET!J12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9</v>
      </c>
      <c r="D49" s="44" t="inlineStr">
        <is>
          <t>2. Hạ và nhổ ống vách thép dẫn hướng D1300mm d=8mm</t>
        </is>
      </c>
      <c r="E49" s="44" t="inlineStr">
        <is>
          <t>Tỷ lệ hoàn thành kỳ này (cột H = D × tỷ lệ) chưa có biên bản nghiệm thu kèm theo — soát và ghim. (H = =D9*1.0)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10</v>
      </c>
      <c r="D50" s="44" t="inlineStr">
        <is>
          <t>3. Bê tông cọc khoan nhồi C30/37 đổ bằng ống tremie</t>
        </is>
      </c>
      <c r="E50" s="44" t="inlineStr">
        <is>
          <t>Sửa tham chiếu QS: =QS_DIEN_GIAI_CHI_TIET!J18 → =QS_DIEN_GIAI_CHI_TIET!J17 (dòng cũ trỏ vào dòng diễn giải, không phải dòng hạng mục — đơn giá về 0)</t>
        </is>
      </c>
      <c r="F50" s="44">
        <f>QS_DIEN_GIAI_CHI_TIET!J18</f>
        <v/>
      </c>
      <c r="G50" s="44">
        <f>QS_DIEN_GIAI_CHI_TIET!J17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10</v>
      </c>
      <c r="D51" s="44" t="inlineStr">
        <is>
          <t>3. Bê tông cọc khoan nhồi C30/37 đổ bằng ống tremie</t>
        </is>
      </c>
      <c r="E51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11</v>
      </c>
      <c r="D52" s="44" t="inlineStr">
        <is>
          <t>4. Cốt thép cọc khoan nhồi D1200mm (D25, D16, D10)</t>
        </is>
      </c>
      <c r="E52" s="44" t="inlineStr">
        <is>
          <t>Sửa tham chiếu QS: =QS_DIEN_GIAI_CHI_TIET!J23 → =QS_DIEN_GIAI_CHI_TIET!J22 (dòng cũ trỏ vào dòng diễn giải, không phải dòng hạng mục — đơn giá về 0)</t>
        </is>
      </c>
      <c r="F52" s="44">
        <f>QS_DIEN_GIAI_CHI_TIET!J23</f>
        <v/>
      </c>
      <c r="G52" s="44">
        <f>QS_DIEN_GIAI_CHI_TIET!J22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11</v>
      </c>
      <c r="D53" s="44" t="inlineStr">
        <is>
          <t>4. Cốt thép cọc khoan nhồi D1200mm (D25, D16, D10)</t>
        </is>
      </c>
      <c r="E53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12</v>
      </c>
      <c r="D54" s="44" t="inlineStr">
        <is>
          <t>5. Đập đầu 26 cọc khoan nhồi ngàm vào đài móng</t>
        </is>
      </c>
      <c r="E54" s="44" t="inlineStr">
        <is>
          <t>Sửa tham chiếu QS: =QS_DIEN_GIAI_CHI_TIET!J28 → =QS_DIEN_GIAI_CHI_TIET!J27 (dòng cũ trỏ vào dòng diễn giải, không phải dòng hạng mục — đơn giá về 0)</t>
        </is>
      </c>
      <c r="F54" s="44">
        <f>QS_DIEN_GIAI_CHI_TIET!J28</f>
        <v/>
      </c>
      <c r="G54" s="44">
        <f>QS_DIEN_GIAI_CHI_TIET!J27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12</v>
      </c>
      <c r="D55" s="44" t="inlineStr">
        <is>
          <t>5. Đập đầu 26 cọc khoan nhồi ngàm vào đài móng</t>
        </is>
      </c>
      <c r="E55" s="44" t="inlineStr">
        <is>
          <t>Tỷ lệ hoàn thành kỳ này (cột H = D × tỷ lệ) chưa có biên bản nghiệm thu kèm theo — soát và ghim. (H = =D12*1.0)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13</v>
      </c>
      <c r="D56" s="44" t="inlineStr">
        <is>
          <t>6. Gói thí nghiệm kiểm soát cọc (Siêu âm 156 MC, PDA 9434kN, lấy lõi)</t>
        </is>
      </c>
      <c r="E56" s="44" t="inlineStr">
        <is>
          <t>Sửa tham chiếu QS: =QS_DIEN_GIAI_CHI_TIET!J30 → =QS_DIEN_GIAI_CHI_TIET!J29 (dòng cũ trỏ vào dòng diễn giải, không phải dòng hạng mục — đơn giá về 0)</t>
        </is>
      </c>
      <c r="F56" s="44">
        <f>QS_DIEN_GIAI_CHI_TIET!J30</f>
        <v/>
      </c>
      <c r="G56" s="44">
        <f>QS_DIEN_GIAI_CHI_TIET!J29</f>
        <v/>
      </c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13</v>
      </c>
      <c r="D57" s="44" t="inlineStr">
        <is>
          <t>6. Gói thí nghiệm kiểm soát cọc (Siêu âm 156 MC, PDA 9434kN, lấy lõi)</t>
        </is>
      </c>
      <c r="E57" s="44" t="inlineStr">
        <is>
          <t>Tỷ lệ hoàn thành kỳ này (cột H = D × tỷ lệ) chưa có biên bản nghiệm thu kèm theo — soát và ghim. (H = =D13*1.0)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15</v>
      </c>
      <c r="D58" s="44" t="inlineStr">
        <is>
          <t>7. Đào đất đá hố móng bệ mố M1, M2 và bệ trụ T1, T2</t>
        </is>
      </c>
      <c r="E58" s="44" t="inlineStr">
        <is>
          <t>Tỷ lệ hoàn thành kỳ này (cột H = D × tỷ lệ) chưa có biên bản nghiệm thu kèm theo — soát và ghim. (H = =D15*1.0)</t>
        </is>
      </c>
      <c r="F58" s="44" t="inlineStr"/>
      <c r="G58" s="44" t="inlineStr"/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16</v>
      </c>
      <c r="D59" s="44" t="inlineStr">
        <is>
          <t>8. Bê tông lót đáy bệ móng mác C10 dày 10cm</t>
        </is>
      </c>
      <c r="E59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17</v>
      </c>
      <c r="D60" s="44" t="inlineStr">
        <is>
          <t>9. Bê tông bệ móng mố M1, M2 và bệ trụ T1, T2 mác C30</t>
        </is>
      </c>
      <c r="E60" s="44" t="inlineStr">
        <is>
          <t>Sửa tham chiếu QS: =QS_DIEN_GIAI_CHI_TIET!J37 → =QS_DIEN_GIAI_CHI_TIET!J39 (dòng cũ trỏ vào dòng diễn giải, không phải dòng hạng mục — đơn giá về 0)</t>
        </is>
      </c>
      <c r="F60" s="44">
        <f>QS_DIEN_GIAI_CHI_TIET!J37</f>
        <v/>
      </c>
      <c r="G60" s="44">
        <f>QS_DIEN_GIAI_CHI_TIET!J39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17</v>
      </c>
      <c r="D61" s="44" t="inlineStr">
        <is>
          <t>9. Bê tông bệ móng mố M1, M2 và bệ trụ T1, T2 mác C30</t>
        </is>
      </c>
      <c r="E61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18</v>
      </c>
      <c r="D62" s="44" t="inlineStr">
        <is>
          <t>10. Bê tông thân mố chân dê M1 và mố chữ U M2 mác C30</t>
        </is>
      </c>
      <c r="E62" s="44" t="inlineStr">
        <is>
          <t>Sửa tham chiếu QS: =QS_DIEN_GIAI_CHI_TIET!J42 → =QS_DIEN_GIAI_CHI_TIET!J44 (dòng cũ trỏ vào dòng diễn giải, không phải dòng hạng mục — đơn giá về 0)</t>
        </is>
      </c>
      <c r="F62" s="44">
        <f>QS_DIEN_GIAI_CHI_TIET!J42</f>
        <v/>
      </c>
      <c r="G62" s="44">
        <f>QS_DIEN_GIAI_CHI_TIET!J44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18</v>
      </c>
      <c r="D63" s="44" t="inlineStr">
        <is>
          <t>10. Bê tông thân mố chân dê M1 và mố chữ U M2 mác C30</t>
        </is>
      </c>
      <c r="E63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19</v>
      </c>
      <c r="D64" s="44" t="inlineStr">
        <is>
          <t>11. Bê tông thân đặc trụ T1 và T2 mác C30 (H=14.5m &amp; 11.4m)</t>
        </is>
      </c>
      <c r="E64" s="44" t="inlineStr">
        <is>
          <t>Sửa tham chiếu QS: =QS_DIEN_GIAI_CHI_TIET!J47 → =QS_DIEN_GIAI_CHI_TIET!J50 (dòng cũ trỏ vào dòng diễn giải, không phải dòng hạng mục — đơn giá về 0)</t>
        </is>
      </c>
      <c r="F64" s="44">
        <f>QS_DIEN_GIAI_CHI_TIET!J47</f>
        <v/>
      </c>
      <c r="G64" s="44">
        <f>QS_DIEN_GIAI_CHI_TIET!J50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19</v>
      </c>
      <c r="D65" s="44" t="inlineStr">
        <is>
          <t>11. Bê tông thân đặc trụ T1 và T2 mác C30</t>
        </is>
      </c>
      <c r="E65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20</v>
      </c>
      <c r="D66" s="44" t="inlineStr">
        <is>
          <t>12. Cốt thép mố và trụ (D&lt;=10, 10&lt;D&lt;=18, D&gt;18)</t>
        </is>
      </c>
      <c r="E66" s="44" t="inlineStr">
        <is>
          <t>Sửa tham chiếu QS: =QS_DIEN_GIAI_CHI_TIET!J53 → =QS_DIEN_GIAI_CHI_TIET!J56 (dòng cũ trỏ vào dòng diễn giải, không phải dòng hạng mục — đơn giá về 0)</t>
        </is>
      </c>
      <c r="F66" s="44">
        <f>QS_DIEN_GIAI_CHI_TIET!J53</f>
        <v/>
      </c>
      <c r="G66" s="44">
        <f>QS_DIEN_GIAI_CHI_TIET!J56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20</v>
      </c>
      <c r="D67" s="44" t="inlineStr">
        <is>
          <t>12. Cốt thép mố và trụ (D&lt;=10, 10&lt;D&lt;=18, D&gt;18)</t>
        </is>
      </c>
      <c r="E67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22</v>
      </c>
      <c r="D68" s="44" t="inlineStr">
        <is>
          <t>13. Bê tông dầm chủ Super-T L=38.2m mác cao C45/55</t>
        </is>
      </c>
      <c r="E68" s="44" t="inlineStr">
        <is>
          <t>Sửa tham chiếu QS: =QS_DIEN_GIAI_CHI_TIET!J57 → =QS_DIEN_GIAI_CHI_TIET!J62 (dòng cũ trỏ vào dòng diễn giải, không phải dòng hạng mục — đơn giá về 0)</t>
        </is>
      </c>
      <c r="F68" s="44">
        <f>QS_DIEN_GIAI_CHI_TIET!J57</f>
        <v/>
      </c>
      <c r="G68" s="44">
        <f>QS_DIEN_GIAI_CHI_TIET!J62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22</v>
      </c>
      <c r="D69" s="44" t="inlineStr">
        <is>
          <t>13. Bê tông dầm chủ Super-T L=38.2m mác cao C45/55</t>
        </is>
      </c>
      <c r="E69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23</v>
      </c>
      <c r="D70" s="44" t="inlineStr">
        <is>
          <t>14. Cáp dự ứng lực tao xoắn 15.2mm Grade 270 kéo căng</t>
        </is>
      </c>
      <c r="E70" s="44" t="inlineStr">
        <is>
          <t>Sửa tham chiếu QS: =QS_DIEN_GIAI_CHI_TIET!J59 → =QS_DIEN_GIAI_CHI_TIET!J64 (dòng cũ trỏ vào dòng diễn giải, không phải dòng hạng mục — đơn giá về 0)</t>
        </is>
      </c>
      <c r="F70" s="44">
        <f>QS_DIEN_GIAI_CHI_TIET!J59</f>
        <v/>
      </c>
      <c r="G70" s="44">
        <f>QS_DIEN_GIAI_CHI_TIET!J64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23</v>
      </c>
      <c r="D71" s="44" t="inlineStr">
        <is>
          <t>14. Cáp dự ứng lực tao xoắn 15.2mm Grade 270 kéo căng</t>
        </is>
      </c>
      <c r="E71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24</v>
      </c>
      <c r="D72" s="44" t="inlineStr">
        <is>
          <t>15. Cốt thép thường dầm chủ Super-T (D10, D14, D16, D20)</t>
        </is>
      </c>
      <c r="E72" s="44" t="inlineStr">
        <is>
          <t>Sửa tham chiếu QS: =QS_DIEN_GIAI_CHI_TIET!J61 → =QS_DIEN_GIAI_CHI_TIET!J66 (dòng cũ trỏ vào dòng diễn giải, không phải dòng hạng mục — đơn giá về 0)</t>
        </is>
      </c>
      <c r="F72" s="44">
        <f>QS_DIEN_GIAI_CHI_TIET!J61</f>
        <v/>
      </c>
      <c r="G72" s="44">
        <f>QS_DIEN_GIAI_CHI_TIET!J66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24</v>
      </c>
      <c r="D73" s="44" t="inlineStr">
        <is>
          <t>15. Cốt thép thường dầm chủ Super-T (D10, D14, D16, D20)</t>
        </is>
      </c>
      <c r="E73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25</v>
      </c>
      <c r="D74" s="44" t="inlineStr">
        <is>
          <t>16. Vận chuyển và lao lắp 15 phiến dầm Super-T (chưa thi công)</t>
        </is>
      </c>
      <c r="E74" s="44" t="inlineStr">
        <is>
          <t>Sửa tham chiếu QS: =QS_DIEN_GIAI_CHI_TIET!J63 → =QS_DIEN_GIAI_CHI_TIET!J68 (dòng cũ trỏ vào dòng diễn giải, không phải dòng hạng mục — đơn giá về 0)</t>
        </is>
      </c>
      <c r="F74" s="44">
        <f>QS_DIEN_GIAI_CHI_TIET!J63</f>
        <v/>
      </c>
      <c r="G74" s="44">
        <f>QS_DIEN_GIAI_CHI_TIET!J68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25</v>
      </c>
      <c r="D75" s="44" t="inlineStr">
        <is>
          <t>16. Vận chuyển và lao lắp 15 phiến dầm Super-T (chưa thi công)</t>
        </is>
      </c>
      <c r="E75" s="44" t="inlineStr">
        <is>
          <t>Tỷ lệ hoàn thành kỳ này (cột H = D × tỷ lệ) chưa có biên bản nghiệm thu kèm theo — soát và ghim. (H = =D25*0.0)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26</v>
      </c>
      <c r="D76" s="44" t="inlineStr">
        <is>
          <t>17. Gối chậu cao su di động đơn hướng và song hướng</t>
        </is>
      </c>
      <c r="E76" s="44" t="inlineStr">
        <is>
          <t>Sửa tham chiếu QS: =QS_DIEN_GIAI_CHI_TIET!J65 → =QS_DIEN_GIAI_CHI_TIET!J70 (dòng cũ trỏ vào dòng diễn giải, không phải dòng hạng mục — đơn giá về 0)</t>
        </is>
      </c>
      <c r="F76" s="44">
        <f>QS_DIEN_GIAI_CHI_TIET!J65</f>
        <v/>
      </c>
      <c r="G76" s="44">
        <f>QS_DIEN_GIAI_CHI_TIET!J70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26</v>
      </c>
      <c r="D77" s="44" t="inlineStr">
        <is>
          <t>17. Gối chậu cao su di động đơn hướng và song hướng</t>
        </is>
      </c>
      <c r="E77" s="44" t="inlineStr">
        <is>
          <t>Tỷ lệ hoàn thành kỳ này (cột H = D × tỷ lệ) chưa có biên bản nghiệm thu kèm theo — soát và ghim. (H = =D26*0.0)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8" s="44">
        <f>QS_DIEN_GIAI_CHI_TIET!J74</f>
        <v/>
      </c>
      <c r="G78" s="44">
        <f>QS_DIEN_GIAI_CHI_TIET!J77+QS_DIEN_GIAI_CHI_TIET!J79</f>
        <v/>
      </c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27</v>
      </c>
      <c r="D79" s="44" t="inlineStr">
        <is>
          <t>18. Bản mặt cầu C35 và mối nối liên tục nhiệt</t>
        </is>
      </c>
      <c r="E79" s="44" t="inlineStr">
        <is>
          <t>Gộp bản mặt cầu (QS dòng 77) và liên tục nhiệt (QS dòng 79); đơn giá = bình quân gia quyền theo thành tiền 2 dòng.</t>
        </is>
      </c>
      <c r="F79" s="44" t="inlineStr"/>
      <c r="G79" s="44" t="inlineStr"/>
      <c r="H79" s="44" t="inlineStr"/>
      <c r="I79" s="44" t="inlineStr"/>
    </row>
    <row r="80">
      <c r="A80" s="44" t="n">
        <v>77</v>
      </c>
      <c r="B80" s="44" t="inlineStr">
        <is>
          <t>THANH_TOAN_KY_PHU_LUC_03A</t>
        </is>
      </c>
      <c r="C80" s="44" t="n">
        <v>27</v>
      </c>
      <c r="D80" s="44" t="inlineStr">
        <is>
          <t>18. Bản mặt cầu C35 và mối nối liên tục nhiệt</t>
        </is>
      </c>
      <c r="E80" s="44" t="inlineStr">
        <is>
          <t>Tỷ lệ hoàn thành kỳ này (cột H = D × tỷ lệ) chưa có biên bản nghiệm thu kèm theo — soát và ghim. (H = =D27*0.0)</t>
        </is>
      </c>
      <c r="F80" s="44" t="inlineStr"/>
      <c r="G80" s="44" t="inlineStr"/>
      <c r="H80" s="44" t="inlineStr"/>
      <c r="I80" s="44" t="inlineStr"/>
    </row>
    <row r="81">
      <c r="A81" s="44" t="n">
        <v>78</v>
      </c>
      <c r="B81" s="44" t="inlineStr">
        <is>
          <t>THANH_TOAN_KY_PHU_LUC_03A</t>
        </is>
      </c>
      <c r="C81" s="44" t="n">
        <v>28</v>
      </c>
      <c r="D81" s="44" t="inlineStr">
        <is>
          <t>TỔNG CỘNG CHI PHÍ XÂY LẮP (VNĐ). None</t>
        </is>
      </c>
      <c r="E81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81" s="44" t="inlineStr"/>
      <c r="G81" s="44" t="inlineStr"/>
      <c r="H81" s="44" t="inlineStr"/>
      <c r="I81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2026-10-11T13:36:20Z</dcterms:modified>
</cp:coreProperties>
</file>